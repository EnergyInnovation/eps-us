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BLS Table 2.11" sheetId="2" state="visible" r:id="rId2"/>
    <sheet xmlns:r="http://schemas.openxmlformats.org/officeDocument/2006/relationships" name="AEO25 Table 23" sheetId="3" state="visible" r:id="rId3"/>
    <sheet xmlns:r="http://schemas.openxmlformats.org/officeDocument/2006/relationships" name="AEO 2026 Table 23 " sheetId="4" state="visible" r:id="rId4"/>
    <sheet xmlns:r="http://schemas.openxmlformats.org/officeDocument/2006/relationships" name="Data from BVAbIC" sheetId="5" state="visible" r:id="rId5"/>
    <sheet xmlns:r="http://schemas.openxmlformats.org/officeDocument/2006/relationships" name="GDP Forecast" sheetId="6" state="visible" r:id="rId6"/>
    <sheet xmlns:r="http://schemas.openxmlformats.org/officeDocument/2006/relationships" name="Growth Rates" sheetId="7" state="visible" r:id="rId7"/>
    <sheet xmlns:r="http://schemas.openxmlformats.org/officeDocument/2006/relationships" name="Rescale to Fit GDP Proj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BPCiObIC" sheetId="10" state="visible" r:id="rId10"/>
    <sheet xmlns:r="http://schemas.openxmlformats.org/officeDocument/2006/relationships" name="BPCiDCSbIC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i val="1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ls.gov/emp/tables/industry-employment-and-output.htm" TargetMode="External" Id="rId1"/><Relationship Type="http://schemas.openxmlformats.org/officeDocument/2006/relationships/hyperlink" Target="https://www.eia.gov/outlooks/aeo/tables_ref.php" TargetMode="External" Id="rId2"/><Relationship Type="http://schemas.openxmlformats.org/officeDocument/2006/relationships/hyperlink" Target="https://www.eia.gov/outlooks/aeo/tables_ref.php" TargetMode="External" Id="rId3"/><Relationship Type="http://schemas.openxmlformats.org/officeDocument/2006/relationships/hyperlink" Target="https://www.energypolicy.solutions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BPCiOaDCSbIC BAU Perc Cng in Output and Domestic Content Share by ISIC Code</t>
        </is>
      </c>
    </row>
    <row r="3">
      <c r="A3" s="1" t="inlineStr">
        <is>
          <t>Sources:</t>
        </is>
      </c>
      <c r="B3" s="2" t="inlineStr">
        <is>
          <t>Projected output growth for all ISIC codes (2024-2034)</t>
        </is>
      </c>
    </row>
    <row r="4">
      <c r="B4" s="3" t="inlineStr">
        <is>
          <t>U.S. Bureau of Labor Statistics</t>
        </is>
      </c>
    </row>
    <row r="5">
      <c r="B5" s="3" t="inlineStr">
        <is>
          <t>Employment Projections, Table 2.11 Output and Employment by Industry (2024 National Employment Matrix)</t>
        </is>
      </c>
    </row>
    <row r="6">
      <c r="B6" s="3" t="n">
        <v>2024</v>
      </c>
    </row>
    <row r="7">
      <c r="B7" s="4" t="inlineStr">
        <is>
          <t>https://www.bls.gov/emp/tables/industry-employment-and-output.htm</t>
        </is>
      </c>
    </row>
    <row r="8">
      <c r="B8" s="3" t="inlineStr">
        <is>
          <t>Tab 'BLS Table 2.11', pasted verbatim (columns A-K). Column L holds the editable ISIC assignment per BLS line; assignments avoid double counting (a summary row and its line items are never both assigned).</t>
        </is>
      </c>
    </row>
    <row r="10">
      <c r="B10" s="2" t="inlineStr">
        <is>
          <t>Projected output growth for AEO-covered industrial codes (to 2050)</t>
        </is>
      </c>
    </row>
    <row r="11">
      <c r="B11" s="3" t="inlineStr">
        <is>
          <t>U.S. EIA</t>
        </is>
      </c>
    </row>
    <row r="12">
      <c r="B12" s="3" t="inlineStr">
        <is>
          <t>Annual Energy Outlook, Table 23 Industrial Sector Macroeconomic Indicators (2026 edition; 2025 edition supplies the 2024 base year)</t>
        </is>
      </c>
    </row>
    <row r="13">
      <c r="B13" s="3" t="n">
        <v>2026</v>
      </c>
    </row>
    <row r="14">
      <c r="B14" s="4" t="inlineStr">
        <is>
          <t>https://www.eia.gov/outlooks/aeo/tables_ref.php</t>
        </is>
      </c>
    </row>
    <row r="15">
      <c r="B15" s="3" t="inlineStr">
        <is>
          <t>Tabs 'AEO25 Table 23' and 'AEO 2026 Table 23 ', pasted verbatim. SCENARIOS: the 2026-edition data are the ELECTRNP case (alternative transportation and power sector — same scenario as BGDP's forward path); the 2025-edition tab (HIGHZTC, High Zero-Carbon Technology Cost — the pre-2026 scenario choice) supplies only the 2024 base year, so the 2025 growth rate of AEO-covered codes splices editions AND scenarios (unavoidable: Table 23 starts at the projection year). Column B holds comma-delimited ISIC assignments wrapped in commas (e.g. ",ISIC 05,ISIC 06,ISIC 08,") matched with "*,&lt;code&gt;,*" — exact-token matching, replacing the stock wildcard match which would collide on the new 52-code labels ("ISIC 30" is a substring of "ISIC 302T309").</t>
        </is>
      </c>
    </row>
    <row r="17">
      <c r="B17" s="2" t="inlineStr">
        <is>
          <t>GDP projection (rescaling target)</t>
        </is>
      </c>
    </row>
    <row r="18">
      <c r="B18" s="3" t="inlineStr">
        <is>
          <t>Energy Innovation, io-model/BGDP</t>
        </is>
      </c>
    </row>
    <row r="19">
      <c r="B19" s="3" t="inlineStr">
        <is>
          <t>The model's own BAU GDP series (BEA history scaled by AEO growth; forward path = AEO 2026 ELECTRNP, matching the Table 23 scenario)</t>
        </is>
      </c>
    </row>
    <row r="20">
      <c r="B20" s="3" t="n">
        <v>2026</v>
      </c>
    </row>
    <row r="21">
      <c r="B21" s="4" t="inlineStr">
        <is>
          <t>https://www.eia.gov/outlooks/aeo/tables_ref.php</t>
        </is>
      </c>
    </row>
    <row r="22">
      <c r="B22" s="3" t="inlineStr">
        <is>
          <t>Tab 'GDP Forecast', 2012 USD, identical to BGDP.csv — the per-year factors therefore pin total value added to exactly the GDP trajectory the model itself uses. If BGDP is updated, repaste this tab.</t>
        </is>
      </c>
    </row>
    <row r="24">
      <c r="B24" s="2" t="inlineStr">
        <is>
          <t>Value added by ISIC code (rescaling weights)</t>
        </is>
      </c>
    </row>
    <row r="25">
      <c r="B25" s="3" t="inlineStr">
        <is>
          <t>Energy Innovation, io-model/BVAbIC</t>
        </is>
      </c>
    </row>
    <row r="26">
      <c r="B26" s="3" t="inlineStr">
        <is>
          <t>Stock 42-code BVAbIC values; the six new OECD-native splits are divided by BEA 2017 VABAS (value added, basic) shares</t>
        </is>
      </c>
    </row>
    <row r="27">
      <c r="B27" s="3" t="n">
        <v>2026</v>
      </c>
    </row>
    <row r="28">
      <c r="B28" s="4" t="inlineStr">
        <is>
          <t>https://www.energypolicy.solutions/</t>
        </is>
      </c>
    </row>
    <row r="29">
      <c r="B29" s="3" t="inlineStr">
        <is>
          <t>Tab 'Data from BVAbIC' (pasted values, as in stock). REFRESH by pasting from the rebuilt 52-code BVAbIC workbook when available; weights only affect the single rescaling factor, so the effect is second-order.</t>
        </is>
      </c>
    </row>
    <row r="32">
      <c r="A32" s="1" t="inlineStr">
        <is>
          <t>Notes:</t>
        </is>
      </c>
    </row>
    <row r="33">
      <c r="A33" s="1" t="inlineStr">
        <is>
          <t>Method</t>
        </is>
      </c>
      <c r="B33" s="3" t="inlineStr">
        <is>
          <t>AEO-covered industrial codes use AEO year-over-year Value-of-Shipments growth directly (their energy demand projections also come from AEO — consistency). All other codes use their BLS compound 2024-2034 output growth (output-weighted across assigned BLS lines, held constant to 2050), scaled by a single factor so that total value added grows at the same rate as the AEO GDP projection. This preserves relative growth differences while matching the macro projection.</t>
        </is>
      </c>
    </row>
    <row r="34">
      <c r="A34" s="1" t="inlineStr">
        <is>
          <t>Per-year scaling factor (closed form — no goal-seek)</t>
        </is>
      </c>
      <c r="B34" s="3" t="inlineStr">
        <is>
          <t>Non-AEO growth rates are scaled by a factor solved separately for each year (row 5 of 'Rescale to Fit GDP Proj'), which is a linear equation with a closed-form cell formula: total VA tracks the GDP projection in EVERY year, not just 2050. This matters when the GDP path is non-linear (e.g. front-loaded investment): the stock single-factor approach would smear that shape flat for non-AEO industries. Current factors range 0.640-1.478 (near-term years highest). Source updates recompute automatically — no goal-seek step.</t>
        </is>
      </c>
    </row>
    <row r="35">
      <c r="A35" s="1" t="inlineStr">
        <is>
          <t>52-code decisions</t>
        </is>
      </c>
      <c r="B35" s="3" t="inlineStr">
        <is>
          <t>Per Industry-Category-Audit-4.1.md: dominant children keep AEO coverage (ISIC 01, ISIC 08, ISIC 302T309); minor children (02, 03, 07, 301) and all service splits use BLS. DEVIATION from stock: BLS line 541500 (computer systems design) is assigned to ISIC 62T63 (OECD puts NAICS 5415 in J62_63); stock had it inside 69T82.</t>
        </is>
      </c>
    </row>
    <row r="36">
      <c r="A36" s="1" t="inlineStr">
        <is>
          <t>BPCiDCSbIC</t>
        </is>
      </c>
      <c r="B36" s="3" t="inlineStr">
        <is>
          <t>The domestic-content-share trend remains all zeros (stock convention) at 52 rows, 2020-2050.</t>
        </is>
      </c>
    </row>
    <row r="37">
      <c r="A37" s="1" t="inlineStr">
        <is>
          <t>Export</t>
        </is>
      </c>
      <c r="B37" s="3" t="inlineStr">
        <is>
          <t>BPCiObIC.csv = tab BPCiObIC; BPCiDCSbIC.csv = tab BPCiDCSbIC. Row order is the canonical 52-code order (positional Vensim read — load-bearing).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1" r:id="rId3"/>
    <hyperlink xmlns:r="http://schemas.openxmlformats.org/officeDocument/2006/relationships" ref="B2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Table 2.11 Employment and output by industry (Employment in thousands; Output in billion of chained 2017 dollars)</t>
        </is>
      </c>
    </row>
    <row r="2">
      <c r="A2" t="inlineStr">
        <is>
          <t>2024 National Employment Matrix title</t>
        </is>
      </c>
      <c r="B2" t="inlineStr">
        <is>
          <t>2024 National Employment Matrix code</t>
        </is>
      </c>
      <c r="C2" t="inlineStr">
        <is>
          <t>Industry type</t>
        </is>
      </c>
      <c r="D2" t="inlineStr">
        <is>
          <t>Employment, 2024</t>
        </is>
      </c>
      <c r="E2" t="inlineStr">
        <is>
          <t>Employment, 2034</t>
        </is>
      </c>
      <c r="F2" t="inlineStr">
        <is>
          <t xml:space="preserve">Employment change, numeric, 2024–34 </t>
        </is>
      </c>
      <c r="G2" t="inlineStr">
        <is>
          <t xml:space="preserve">Employment change, percent, 2024–34 </t>
        </is>
      </c>
      <c r="H2" t="inlineStr">
        <is>
          <t xml:space="preserve">Compound annual rate of change, employment, 2024–34 </t>
        </is>
      </c>
      <c r="I2" t="inlineStr">
        <is>
          <t>Output, 2024</t>
        </is>
      </c>
      <c r="J2" t="inlineStr">
        <is>
          <t>Output, 2034</t>
        </is>
      </c>
      <c r="K2" t="inlineStr">
        <is>
          <t xml:space="preserve">Compound annual rate of change, output, 2024–34 </t>
        </is>
      </c>
      <c r="L2" s="5" t="inlineStr">
        <is>
          <t>Assigned ISIC Code (editable)</t>
        </is>
      </c>
    </row>
    <row r="3">
      <c r="A3" t="inlineStr">
        <is>
          <t>Total, all industries</t>
        </is>
      </c>
      <c r="B3" t="inlineStr">
        <is>
          <t>TE1000</t>
        </is>
      </c>
      <c r="C3" t="inlineStr">
        <is>
          <t>Summary</t>
        </is>
      </c>
      <c r="D3" t="n">
        <v>169956.1</v>
      </c>
      <c r="E3" t="n">
        <v>175167.9</v>
      </c>
      <c r="F3" t="n">
        <v>5211.8</v>
      </c>
      <c r="G3" t="n">
        <v>3.1</v>
      </c>
      <c r="H3" t="n">
        <v>0.3</v>
      </c>
      <c r="I3" t="n">
        <v>40174.8</v>
      </c>
      <c r="J3" t="n">
        <v>48622.4</v>
      </c>
      <c r="K3" t="n">
        <v>1.9</v>
      </c>
    </row>
    <row r="4">
      <c r="A4" t="inlineStr">
        <is>
          <t xml:space="preserve">  Self-employed workers</t>
        </is>
      </c>
      <c r="B4" t="inlineStr">
        <is>
          <t>TE1100</t>
        </is>
      </c>
      <c r="C4" t="inlineStr">
        <is>
          <t>Line item</t>
        </is>
      </c>
      <c r="D4" t="n">
        <v>9906.4</v>
      </c>
      <c r="E4" t="n">
        <v>10122.8</v>
      </c>
      <c r="F4" t="n">
        <v>216.4</v>
      </c>
      <c r="G4" t="n">
        <v>2.2</v>
      </c>
      <c r="H4" t="n">
        <v>0.2</v>
      </c>
      <c r="I4" t="inlineStr">
        <is>
          <t>—</t>
        </is>
      </c>
      <c r="J4" t="inlineStr">
        <is>
          <t>—</t>
        </is>
      </c>
      <c r="K4" t="inlineStr">
        <is>
          <t>—</t>
        </is>
      </c>
    </row>
    <row r="5">
      <c r="A5" t="inlineStr">
        <is>
          <t xml:space="preserve">  Total wage and salary employment</t>
        </is>
      </c>
      <c r="B5" t="inlineStr">
        <is>
          <t>TE1200</t>
        </is>
      </c>
      <c r="C5" t="inlineStr">
        <is>
          <t>Summary</t>
        </is>
      </c>
      <c r="D5" t="n">
        <v>160049.7</v>
      </c>
      <c r="E5" t="n">
        <v>165045.1</v>
      </c>
      <c r="F5" t="n">
        <v>4995.4</v>
      </c>
      <c r="G5" t="n">
        <v>3.1</v>
      </c>
      <c r="H5" t="n">
        <v>0.3</v>
      </c>
      <c r="I5" t="inlineStr">
        <is>
          <t>—</t>
        </is>
      </c>
      <c r="J5" t="inlineStr">
        <is>
          <t>—</t>
        </is>
      </c>
      <c r="K5" t="inlineStr">
        <is>
          <t>—</t>
        </is>
      </c>
    </row>
    <row r="6">
      <c r="A6" t="inlineStr">
        <is>
          <t xml:space="preserve">    Agriculture, forestry, fishing, and hunting</t>
        </is>
      </c>
      <c r="B6" t="inlineStr">
        <is>
          <t>110000</t>
        </is>
      </c>
      <c r="C6" t="inlineStr">
        <is>
          <t>Summary</t>
        </is>
      </c>
      <c r="D6" t="n">
        <v>1480.7</v>
      </c>
      <c r="E6" t="n">
        <v>1482.1</v>
      </c>
      <c r="F6" t="n">
        <v>1.4</v>
      </c>
      <c r="G6" t="n">
        <v>0.1</v>
      </c>
      <c r="H6" t="n">
        <v>0</v>
      </c>
      <c r="I6" t="n">
        <v>447.9</v>
      </c>
      <c r="J6" t="n">
        <v>538.8</v>
      </c>
      <c r="K6" t="n">
        <v>1.9</v>
      </c>
    </row>
    <row r="7">
      <c r="A7" t="inlineStr">
        <is>
          <t xml:space="preserve">      Crop production</t>
        </is>
      </c>
      <c r="B7" t="inlineStr">
        <is>
          <t>111000</t>
        </is>
      </c>
      <c r="C7" t="inlineStr">
        <is>
          <t>Line item</t>
        </is>
      </c>
      <c r="D7" t="n">
        <v>863.9</v>
      </c>
      <c r="E7" t="n">
        <v>881.2</v>
      </c>
      <c r="F7" t="n">
        <v>17.3</v>
      </c>
      <c r="G7" t="n">
        <v>2</v>
      </c>
      <c r="H7" t="n">
        <v>0.2</v>
      </c>
      <c r="I7" t="n">
        <v>175.8</v>
      </c>
      <c r="J7" t="n">
        <v>201.8</v>
      </c>
      <c r="K7" t="n">
        <v>1.4</v>
      </c>
      <c r="L7" t="inlineStr">
        <is>
          <t>ISIC 01</t>
        </is>
      </c>
    </row>
    <row r="8">
      <c r="A8" t="inlineStr">
        <is>
          <t xml:space="preserve">      Animal production and aquaculture</t>
        </is>
      </c>
      <c r="B8" t="inlineStr">
        <is>
          <t>112000</t>
        </is>
      </c>
      <c r="C8" t="inlineStr">
        <is>
          <t>Line item</t>
        </is>
      </c>
      <c r="D8" t="n">
        <v>442.4</v>
      </c>
      <c r="E8" t="n">
        <v>427.6</v>
      </c>
      <c r="F8" t="n">
        <v>-14.8</v>
      </c>
      <c r="G8" t="n">
        <v>-3.3</v>
      </c>
      <c r="H8" t="n">
        <v>-0.3</v>
      </c>
      <c r="I8" t="n">
        <v>220</v>
      </c>
      <c r="J8" t="n">
        <v>277.6</v>
      </c>
      <c r="K8" t="n">
        <v>2.4</v>
      </c>
      <c r="L8" t="inlineStr">
        <is>
          <t>ISIC 01</t>
        </is>
      </c>
    </row>
    <row r="9">
      <c r="A9" t="inlineStr">
        <is>
          <t xml:space="preserve">      Forestry and logging</t>
        </is>
      </c>
      <c r="B9" t="inlineStr">
        <is>
          <t>113000</t>
        </is>
      </c>
      <c r="C9" t="inlineStr">
        <is>
          <t>Summary</t>
        </is>
      </c>
      <c r="D9" t="n">
        <v>47.2</v>
      </c>
      <c r="E9" t="n">
        <v>45.1</v>
      </c>
      <c r="F9" t="n">
        <v>-2.1</v>
      </c>
      <c r="G9" t="n">
        <v>-4.4</v>
      </c>
      <c r="H9" t="n">
        <v>-0.5</v>
      </c>
      <c r="I9" t="inlineStr">
        <is>
          <t>—</t>
        </is>
      </c>
      <c r="J9" t="inlineStr">
        <is>
          <t>—</t>
        </is>
      </c>
      <c r="K9" t="inlineStr">
        <is>
          <t>—</t>
        </is>
      </c>
    </row>
    <row r="10">
      <c r="A10" t="inlineStr">
        <is>
          <t xml:space="preserve">        Forestry</t>
        </is>
      </c>
      <c r="B10" t="inlineStr">
        <is>
          <t>1131-2</t>
        </is>
      </c>
      <c r="C10" t="inlineStr">
        <is>
          <t>Line item</t>
        </is>
      </c>
      <c r="D10" t="n">
        <v>7</v>
      </c>
      <c r="E10" t="n">
        <v>6.9</v>
      </c>
      <c r="F10" t="n">
        <v>-0.1</v>
      </c>
      <c r="G10" t="n">
        <v>-2</v>
      </c>
      <c r="H10" t="n">
        <v>-0.1</v>
      </c>
      <c r="I10" t="n">
        <v>3.9</v>
      </c>
      <c r="J10" t="n">
        <v>4.6</v>
      </c>
      <c r="K10" t="n">
        <v>1.6</v>
      </c>
      <c r="L10" t="inlineStr">
        <is>
          <t>ISIC 02</t>
        </is>
      </c>
    </row>
    <row r="11">
      <c r="A11" t="inlineStr">
        <is>
          <t xml:space="preserve">        Logging</t>
        </is>
      </c>
      <c r="B11" t="inlineStr">
        <is>
          <t>113300</t>
        </is>
      </c>
      <c r="C11" t="inlineStr">
        <is>
          <t>Line item</t>
        </is>
      </c>
      <c r="D11" t="n">
        <v>40.2</v>
      </c>
      <c r="E11" t="n">
        <v>38.2</v>
      </c>
      <c r="F11" t="n">
        <v>-2</v>
      </c>
      <c r="G11" t="n">
        <v>-4.9</v>
      </c>
      <c r="H11" t="n">
        <v>-0.5</v>
      </c>
      <c r="I11" t="n">
        <v>18.9</v>
      </c>
      <c r="J11" t="n">
        <v>22.1</v>
      </c>
      <c r="K11" t="n">
        <v>1.6</v>
      </c>
      <c r="L11" t="inlineStr">
        <is>
          <t>ISIC 02</t>
        </is>
      </c>
    </row>
    <row r="12">
      <c r="A12" t="inlineStr">
        <is>
          <t xml:space="preserve">      Fishing, hunting and trapping</t>
        </is>
      </c>
      <c r="B12" t="inlineStr">
        <is>
          <t>114000</t>
        </is>
      </c>
      <c r="C12" t="inlineStr">
        <is>
          <t>Line item</t>
        </is>
      </c>
      <c r="D12" t="n">
        <v>20.9</v>
      </c>
      <c r="E12" t="n">
        <v>20.8</v>
      </c>
      <c r="F12" t="n">
        <v>-0.1</v>
      </c>
      <c r="G12" t="n">
        <v>-0.3</v>
      </c>
      <c r="H12" t="n">
        <v>0</v>
      </c>
      <c r="I12" t="n">
        <v>7.4</v>
      </c>
      <c r="J12" t="n">
        <v>8.6</v>
      </c>
      <c r="K12" t="n">
        <v>1.5</v>
      </c>
      <c r="L12" t="inlineStr">
        <is>
          <t>ISIC 03</t>
        </is>
      </c>
    </row>
    <row r="13">
      <c r="A13" t="inlineStr">
        <is>
          <t xml:space="preserve">      Support activities for agriculture and forestry</t>
        </is>
      </c>
      <c r="B13" t="inlineStr">
        <is>
          <t>115000</t>
        </is>
      </c>
      <c r="C13" t="inlineStr">
        <is>
          <t>Line item</t>
        </is>
      </c>
      <c r="D13" t="n">
        <v>106.2</v>
      </c>
      <c r="E13" t="n">
        <v>107.3</v>
      </c>
      <c r="F13" t="n">
        <v>1.1</v>
      </c>
      <c r="G13" t="n">
        <v>1</v>
      </c>
      <c r="H13" t="n">
        <v>0.1</v>
      </c>
      <c r="I13" t="n">
        <v>23.6</v>
      </c>
      <c r="J13" t="n">
        <v>27.6</v>
      </c>
      <c r="K13" t="n">
        <v>1.6</v>
      </c>
      <c r="L13" t="inlineStr">
        <is>
          <t>ISIC 01</t>
        </is>
      </c>
    </row>
    <row r="14">
      <c r="A14" t="inlineStr">
        <is>
          <t xml:space="preserve">    Mining, quarrying, and oil and gas extraction</t>
        </is>
      </c>
      <c r="B14" t="inlineStr">
        <is>
          <t>210000</t>
        </is>
      </c>
      <c r="C14" t="inlineStr">
        <is>
          <t>Summary</t>
        </is>
      </c>
      <c r="D14" t="n">
        <v>586.1</v>
      </c>
      <c r="E14" t="n">
        <v>576.8</v>
      </c>
      <c r="F14" t="n">
        <v>-9.300000000000001</v>
      </c>
      <c r="G14" t="n">
        <v>-1.6</v>
      </c>
      <c r="H14" t="n">
        <v>-0.2</v>
      </c>
      <c r="I14" t="n">
        <v>564.6</v>
      </c>
      <c r="J14" t="n">
        <v>634.5</v>
      </c>
      <c r="K14" t="n">
        <v>1.2</v>
      </c>
    </row>
    <row r="15">
      <c r="A15" t="inlineStr">
        <is>
          <t xml:space="preserve">      Oil and gas extraction</t>
        </is>
      </c>
      <c r="B15" t="inlineStr">
        <is>
          <t>211000</t>
        </is>
      </c>
      <c r="C15" t="inlineStr">
        <is>
          <t>Line item</t>
        </is>
      </c>
      <c r="D15" t="n">
        <v>122.5</v>
      </c>
      <c r="E15" t="n">
        <v>115.7</v>
      </c>
      <c r="F15" t="n">
        <v>-6.8</v>
      </c>
      <c r="G15" t="n">
        <v>-5.5</v>
      </c>
      <c r="H15" t="n">
        <v>-0.6</v>
      </c>
      <c r="I15" t="n">
        <v>383.8</v>
      </c>
      <c r="J15" t="n">
        <v>450.7</v>
      </c>
      <c r="K15" t="n">
        <v>1.6</v>
      </c>
      <c r="L15" t="inlineStr">
        <is>
          <t>ISIC 06</t>
        </is>
      </c>
    </row>
    <row r="16">
      <c r="A16" t="inlineStr">
        <is>
          <t xml:space="preserve">      Mining (except oil and gas)</t>
        </is>
      </c>
      <c r="B16" t="inlineStr">
        <is>
          <t>212000</t>
        </is>
      </c>
      <c r="C16" t="inlineStr">
        <is>
          <t>Summary</t>
        </is>
      </c>
      <c r="D16" t="n">
        <v>191.7</v>
      </c>
      <c r="E16" t="n">
        <v>182.6</v>
      </c>
      <c r="F16" t="n">
        <v>-9.1</v>
      </c>
      <c r="G16" t="n">
        <v>-4.7</v>
      </c>
      <c r="H16" t="n">
        <v>-0.5</v>
      </c>
      <c r="I16" t="n">
        <v>92.8</v>
      </c>
      <c r="J16" t="n">
        <v>99.90000000000001</v>
      </c>
      <c r="K16" t="n">
        <v>0.7</v>
      </c>
    </row>
    <row r="17">
      <c r="A17" t="inlineStr">
        <is>
          <t xml:space="preserve">        Coal mining</t>
        </is>
      </c>
      <c r="B17" t="inlineStr">
        <is>
          <t>212100</t>
        </is>
      </c>
      <c r="C17" t="inlineStr">
        <is>
          <t>Line item</t>
        </is>
      </c>
      <c r="D17" t="n">
        <v>42.5</v>
      </c>
      <c r="E17" t="n">
        <v>23.2</v>
      </c>
      <c r="F17" t="n">
        <v>-19.3</v>
      </c>
      <c r="G17" t="n">
        <v>-45.3</v>
      </c>
      <c r="H17" t="n">
        <v>-5.9</v>
      </c>
      <c r="I17" t="n">
        <v>29.8</v>
      </c>
      <c r="J17" t="n">
        <v>24.6</v>
      </c>
      <c r="K17" t="n">
        <v>-1.9</v>
      </c>
      <c r="L17" t="inlineStr">
        <is>
          <t>ISIC 05</t>
        </is>
      </c>
    </row>
    <row r="18">
      <c r="A18" t="inlineStr">
        <is>
          <t xml:space="preserve">        Metal ore mining</t>
        </is>
      </c>
      <c r="B18" t="inlineStr">
        <is>
          <t>212200</t>
        </is>
      </c>
      <c r="C18" t="inlineStr">
        <is>
          <t>Line item</t>
        </is>
      </c>
      <c r="D18" t="n">
        <v>44.9</v>
      </c>
      <c r="E18" t="n">
        <v>48.4</v>
      </c>
      <c r="F18" t="n">
        <v>3.5</v>
      </c>
      <c r="G18" t="n">
        <v>7.9</v>
      </c>
      <c r="H18" t="n">
        <v>0.8</v>
      </c>
      <c r="I18" t="n">
        <v>26</v>
      </c>
      <c r="J18" t="n">
        <v>33.5</v>
      </c>
      <c r="K18" t="n">
        <v>2.6</v>
      </c>
      <c r="L18" t="inlineStr">
        <is>
          <t>ISIC 07</t>
        </is>
      </c>
    </row>
    <row r="19">
      <c r="A19" t="inlineStr">
        <is>
          <t xml:space="preserve">        Nonmetallic mineral mining and quarrying</t>
        </is>
      </c>
      <c r="B19" t="inlineStr">
        <is>
          <t>212300</t>
        </is>
      </c>
      <c r="C19" t="inlineStr">
        <is>
          <t>Line item</t>
        </is>
      </c>
      <c r="D19" t="n">
        <v>104.3</v>
      </c>
      <c r="E19" t="n">
        <v>111</v>
      </c>
      <c r="F19" t="n">
        <v>6.7</v>
      </c>
      <c r="G19" t="n">
        <v>6.4</v>
      </c>
      <c r="H19" t="n">
        <v>0.6</v>
      </c>
      <c r="I19" t="n">
        <v>36.9</v>
      </c>
      <c r="J19" t="n">
        <v>41.5</v>
      </c>
      <c r="K19" t="n">
        <v>1.2</v>
      </c>
      <c r="L19" t="inlineStr">
        <is>
          <t>ISIC 08</t>
        </is>
      </c>
    </row>
    <row r="20">
      <c r="A20" t="inlineStr">
        <is>
          <t xml:space="preserve">      Support activities for mining</t>
        </is>
      </c>
      <c r="B20" t="inlineStr">
        <is>
          <t>213000</t>
        </is>
      </c>
      <c r="C20" t="inlineStr">
        <is>
          <t>Line item</t>
        </is>
      </c>
      <c r="D20" t="n">
        <v>271.9</v>
      </c>
      <c r="E20" t="n">
        <v>278.4</v>
      </c>
      <c r="F20" t="n">
        <v>6.5</v>
      </c>
      <c r="G20" t="n">
        <v>2.4</v>
      </c>
      <c r="H20" t="n">
        <v>0.2</v>
      </c>
      <c r="I20" t="n">
        <v>95.59999999999999</v>
      </c>
      <c r="J20" t="n">
        <v>90.59999999999999</v>
      </c>
      <c r="K20" t="n">
        <v>-0.5</v>
      </c>
      <c r="L20" t="inlineStr">
        <is>
          <t>ISIC 09</t>
        </is>
      </c>
    </row>
    <row r="21">
      <c r="A21" t="inlineStr">
        <is>
          <t xml:space="preserve">    Utilities</t>
        </is>
      </c>
      <c r="B21" t="inlineStr">
        <is>
          <t>220000</t>
        </is>
      </c>
      <c r="C21" t="inlineStr">
        <is>
          <t>Summary</t>
        </is>
      </c>
      <c r="D21" t="n">
        <v>591.3</v>
      </c>
      <c r="E21" t="n">
        <v>620</v>
      </c>
      <c r="F21" t="n">
        <v>28.7</v>
      </c>
      <c r="G21" t="n">
        <v>4.9</v>
      </c>
      <c r="H21" t="n">
        <v>0.5</v>
      </c>
      <c r="I21" t="n">
        <v>507.1</v>
      </c>
      <c r="J21" t="n">
        <v>602.2</v>
      </c>
      <c r="K21" t="n">
        <v>1.7</v>
      </c>
    </row>
    <row r="22">
      <c r="A22" t="inlineStr">
        <is>
          <t xml:space="preserve">      Utilities</t>
        </is>
      </c>
      <c r="B22" t="inlineStr">
        <is>
          <t>221000</t>
        </is>
      </c>
      <c r="C22" t="inlineStr">
        <is>
          <t>Summary</t>
        </is>
      </c>
      <c r="D22" t="n">
        <v>591.3</v>
      </c>
      <c r="E22" t="n">
        <v>620</v>
      </c>
      <c r="F22" t="n">
        <v>28.7</v>
      </c>
      <c r="G22" t="n">
        <v>4.9</v>
      </c>
      <c r="H22" t="n">
        <v>0.5</v>
      </c>
      <c r="I22" t="n">
        <v>507.1</v>
      </c>
      <c r="J22" t="n">
        <v>602.2</v>
      </c>
      <c r="K22" t="n">
        <v>1.7</v>
      </c>
    </row>
    <row r="23">
      <c r="A23" t="inlineStr">
        <is>
          <t xml:space="preserve">        Electric power generation, transmission and distribution</t>
        </is>
      </c>
      <c r="B23" t="inlineStr">
        <is>
          <t>221100</t>
        </is>
      </c>
      <c r="C23" t="inlineStr">
        <is>
          <t>Summary</t>
        </is>
      </c>
      <c r="D23" t="n">
        <v>413.1</v>
      </c>
      <c r="E23" t="n">
        <v>445.6</v>
      </c>
      <c r="F23" t="n">
        <v>32.5</v>
      </c>
      <c r="G23" t="n">
        <v>7.9</v>
      </c>
      <c r="H23" t="n">
        <v>0.8</v>
      </c>
      <c r="I23" t="n">
        <v>411.4</v>
      </c>
      <c r="J23" t="n">
        <v>501.2</v>
      </c>
      <c r="K23" t="n">
        <v>2</v>
      </c>
      <c r="L23" t="inlineStr">
        <is>
          <t>ISIC 351</t>
        </is>
      </c>
    </row>
    <row r="24">
      <c r="A24" t="inlineStr">
        <is>
          <t xml:space="preserve">          Electric power generation</t>
        </is>
      </c>
      <c r="B24" t="inlineStr">
        <is>
          <t>221110</t>
        </is>
      </c>
      <c r="C24" t="inlineStr">
        <is>
          <t>Summary</t>
        </is>
      </c>
      <c r="D24" t="n">
        <v>157.3</v>
      </c>
      <c r="E24" t="n">
        <v>169.2</v>
      </c>
      <c r="F24" t="n">
        <v>11.9</v>
      </c>
      <c r="G24" t="n">
        <v>7.6</v>
      </c>
      <c r="H24" t="n">
        <v>0.7</v>
      </c>
      <c r="I24" t="inlineStr">
        <is>
          <t>—</t>
        </is>
      </c>
      <c r="J24" t="inlineStr">
        <is>
          <t>—</t>
        </is>
      </c>
      <c r="K24" t="inlineStr">
        <is>
          <t>—</t>
        </is>
      </c>
    </row>
    <row r="25">
      <c r="A25" t="inlineStr">
        <is>
          <t xml:space="preserve">            Hydroelectric power generation</t>
        </is>
      </c>
      <c r="B25" t="inlineStr">
        <is>
          <t>221111</t>
        </is>
      </c>
      <c r="C25" t="inlineStr">
        <is>
          <t>Line item</t>
        </is>
      </c>
      <c r="D25" t="n">
        <v>8.199999999999999</v>
      </c>
      <c r="E25" t="n">
        <v>8.199999999999999</v>
      </c>
      <c r="F25" t="n">
        <v>0</v>
      </c>
      <c r="G25" t="n">
        <v>0.4</v>
      </c>
      <c r="H25" t="n">
        <v>0</v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</row>
    <row r="26">
      <c r="A26" t="inlineStr">
        <is>
          <t xml:space="preserve">            Fossil fuel electric power generation</t>
        </is>
      </c>
      <c r="B26" t="inlineStr">
        <is>
          <t>221112</t>
        </is>
      </c>
      <c r="C26" t="inlineStr">
        <is>
          <t>Line item</t>
        </is>
      </c>
      <c r="D26" t="n">
        <v>74.5</v>
      </c>
      <c r="E26" t="n">
        <v>51.5</v>
      </c>
      <c r="F26" t="n">
        <v>-23</v>
      </c>
      <c r="G26" t="n">
        <v>-30.9</v>
      </c>
      <c r="H26" t="n">
        <v>-3.6</v>
      </c>
      <c r="I26" t="inlineStr">
        <is>
          <t>—</t>
        </is>
      </c>
      <c r="J26" t="inlineStr">
        <is>
          <t>—</t>
        </is>
      </c>
      <c r="K26" t="inlineStr">
        <is>
          <t>—</t>
        </is>
      </c>
    </row>
    <row r="27">
      <c r="A27" t="inlineStr">
        <is>
          <t xml:space="preserve">            Nuclear electric power generation</t>
        </is>
      </c>
      <c r="B27" t="inlineStr">
        <is>
          <t>221113</t>
        </is>
      </c>
      <c r="C27" t="inlineStr">
        <is>
          <t>Line item</t>
        </is>
      </c>
      <c r="D27" t="n">
        <v>38.2</v>
      </c>
      <c r="E27" t="n">
        <v>31.5</v>
      </c>
      <c r="F27" t="n">
        <v>-6.7</v>
      </c>
      <c r="G27" t="n">
        <v>-17.6</v>
      </c>
      <c r="H27" t="n">
        <v>-1.9</v>
      </c>
      <c r="I27" t="inlineStr">
        <is>
          <t>—</t>
        </is>
      </c>
      <c r="J27" t="inlineStr">
        <is>
          <t>—</t>
        </is>
      </c>
      <c r="K27" t="inlineStr">
        <is>
          <t>—</t>
        </is>
      </c>
    </row>
    <row r="28">
      <c r="A28" t="inlineStr">
        <is>
          <t xml:space="preserve">            Solar electric power generation</t>
        </is>
      </c>
      <c r="B28" t="inlineStr">
        <is>
          <t>221114</t>
        </is>
      </c>
      <c r="C28" t="inlineStr">
        <is>
          <t>Line item</t>
        </is>
      </c>
      <c r="D28" t="n">
        <v>16.9</v>
      </c>
      <c r="E28" t="n">
        <v>47.2</v>
      </c>
      <c r="F28" t="n">
        <v>30.4</v>
      </c>
      <c r="G28" t="n">
        <v>180.2</v>
      </c>
      <c r="H28" t="n">
        <v>10.8</v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</row>
    <row r="29">
      <c r="A29" t="inlineStr">
        <is>
          <t xml:space="preserve">            Wind electric power generation</t>
        </is>
      </c>
      <c r="B29" t="inlineStr">
        <is>
          <t>221115</t>
        </is>
      </c>
      <c r="C29" t="inlineStr">
        <is>
          <t>Line item</t>
        </is>
      </c>
      <c r="D29" t="n">
        <v>11.2</v>
      </c>
      <c r="E29" t="n">
        <v>20.4</v>
      </c>
      <c r="F29" t="n">
        <v>9.199999999999999</v>
      </c>
      <c r="G29" t="n">
        <v>81.40000000000001</v>
      </c>
      <c r="H29" t="n">
        <v>6.2</v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</row>
    <row r="30">
      <c r="A30" t="inlineStr">
        <is>
          <t xml:space="preserve">            Geothermal electric power generation</t>
        </is>
      </c>
      <c r="B30" t="inlineStr">
        <is>
          <t>221116</t>
        </is>
      </c>
      <c r="C30" t="inlineStr">
        <is>
          <t>Line item</t>
        </is>
      </c>
      <c r="D30" t="n">
        <v>1.2</v>
      </c>
      <c r="E30" t="n">
        <v>1.6</v>
      </c>
      <c r="F30" t="n">
        <v>0.5</v>
      </c>
      <c r="G30" t="n">
        <v>41.4</v>
      </c>
      <c r="H30" t="n">
        <v>2.9</v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</row>
    <row r="31">
      <c r="A31" t="inlineStr">
        <is>
          <t xml:space="preserve">            Biomass electric power generation</t>
        </is>
      </c>
      <c r="B31" t="inlineStr">
        <is>
          <t>221117</t>
        </is>
      </c>
      <c r="C31" t="inlineStr">
        <is>
          <t>Line item</t>
        </is>
      </c>
      <c r="D31" t="n">
        <v>2.4</v>
      </c>
      <c r="E31" t="n">
        <v>2.5</v>
      </c>
      <c r="F31" t="n">
        <v>0</v>
      </c>
      <c r="G31" t="n">
        <v>1.9</v>
      </c>
      <c r="H31" t="n">
        <v>0.4</v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</row>
    <row r="32">
      <c r="A32" t="inlineStr">
        <is>
          <t xml:space="preserve">            Other electric power generation</t>
        </is>
      </c>
      <c r="B32" t="inlineStr">
        <is>
          <t>221118</t>
        </is>
      </c>
      <c r="C32" t="inlineStr">
        <is>
          <t>Line item</t>
        </is>
      </c>
      <c r="D32" t="n">
        <v>4.7</v>
      </c>
      <c r="E32" t="n">
        <v>6.2</v>
      </c>
      <c r="F32" t="n">
        <v>1.5</v>
      </c>
      <c r="G32" t="n">
        <v>32.9</v>
      </c>
      <c r="H32" t="n">
        <v>2.8</v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</row>
    <row r="33">
      <c r="A33" t="inlineStr">
        <is>
          <t xml:space="preserve">        Natural gas distribution</t>
        </is>
      </c>
      <c r="B33" t="inlineStr">
        <is>
          <t>221200</t>
        </is>
      </c>
      <c r="C33" t="inlineStr">
        <is>
          <t>Line item</t>
        </is>
      </c>
      <c r="D33" t="n">
        <v>116.1</v>
      </c>
      <c r="E33" t="n">
        <v>112.4</v>
      </c>
      <c r="F33" t="n">
        <v>-3.7</v>
      </c>
      <c r="G33" t="n">
        <v>-3.2</v>
      </c>
      <c r="H33" t="n">
        <v>-0.3</v>
      </c>
      <c r="I33" t="n">
        <v>80.40000000000001</v>
      </c>
      <c r="J33" t="n">
        <v>86.5</v>
      </c>
      <c r="K33" t="n">
        <v>0.7</v>
      </c>
      <c r="L33" t="inlineStr">
        <is>
          <t>ISIC 352T353</t>
        </is>
      </c>
    </row>
    <row r="34">
      <c r="A34" t="inlineStr">
        <is>
          <t xml:space="preserve">        Water, sewage and other systems</t>
        </is>
      </c>
      <c r="B34" t="inlineStr">
        <is>
          <t>221300</t>
        </is>
      </c>
      <c r="C34" t="inlineStr">
        <is>
          <t>Line item</t>
        </is>
      </c>
      <c r="D34" t="n">
        <v>62.1</v>
      </c>
      <c r="E34" t="n">
        <v>62</v>
      </c>
      <c r="F34" t="n">
        <v>-0.1</v>
      </c>
      <c r="G34" t="n">
        <v>-0.1</v>
      </c>
      <c r="H34" t="n">
        <v>0</v>
      </c>
      <c r="I34" t="n">
        <v>15.6</v>
      </c>
      <c r="J34" t="n">
        <v>16.3</v>
      </c>
      <c r="K34" t="n">
        <v>0.5</v>
      </c>
      <c r="L34" t="inlineStr">
        <is>
          <t>ISIC 36T39</t>
        </is>
      </c>
    </row>
    <row r="35">
      <c r="A35" t="inlineStr">
        <is>
          <t xml:space="preserve">    Construction</t>
        </is>
      </c>
      <c r="B35" t="inlineStr">
        <is>
          <t>230000</t>
        </is>
      </c>
      <c r="C35" t="inlineStr">
        <is>
          <t>Summary</t>
        </is>
      </c>
      <c r="D35" t="n">
        <v>8211.700000000001</v>
      </c>
      <c r="E35" t="n">
        <v>8572.200000000001</v>
      </c>
      <c r="F35" t="n">
        <v>360.5</v>
      </c>
      <c r="G35" t="n">
        <v>4.4</v>
      </c>
      <c r="H35" t="n">
        <v>0.4</v>
      </c>
      <c r="I35" t="n">
        <v>1720.9</v>
      </c>
      <c r="J35" t="n">
        <v>1874.7</v>
      </c>
      <c r="K35" t="n">
        <v>0.9</v>
      </c>
      <c r="L35" t="inlineStr">
        <is>
          <t>ISIC 41T43</t>
        </is>
      </c>
    </row>
    <row r="36">
      <c r="A36" t="inlineStr">
        <is>
          <t xml:space="preserve">      Construction of buildings</t>
        </is>
      </c>
      <c r="B36" t="inlineStr">
        <is>
          <t>236000</t>
        </is>
      </c>
      <c r="C36" t="inlineStr">
        <is>
          <t>Summary</t>
        </is>
      </c>
      <c r="D36" t="n">
        <v>1853.6</v>
      </c>
      <c r="E36" t="n">
        <v>1938.2</v>
      </c>
      <c r="F36" t="n">
        <v>84.59999999999999</v>
      </c>
      <c r="G36" t="n">
        <v>4.6</v>
      </c>
      <c r="H36" t="n">
        <v>0.4</v>
      </c>
      <c r="I36" t="inlineStr">
        <is>
          <t>—</t>
        </is>
      </c>
      <c r="J36" t="inlineStr">
        <is>
          <t>—</t>
        </is>
      </c>
      <c r="K36" t="inlineStr">
        <is>
          <t>—</t>
        </is>
      </c>
    </row>
    <row r="37">
      <c r="A37" t="inlineStr">
        <is>
          <t xml:space="preserve">        Residential building construction</t>
        </is>
      </c>
      <c r="B37" t="inlineStr">
        <is>
          <t>236100</t>
        </is>
      </c>
      <c r="C37" t="inlineStr">
        <is>
          <t>Line item</t>
        </is>
      </c>
      <c r="D37" t="n">
        <v>943.1</v>
      </c>
      <c r="E37" t="n">
        <v>982.4</v>
      </c>
      <c r="F37" t="n">
        <v>39.3</v>
      </c>
      <c r="G37" t="n">
        <v>4.2</v>
      </c>
      <c r="H37" t="n">
        <v>0.4</v>
      </c>
      <c r="I37" t="inlineStr">
        <is>
          <t>—</t>
        </is>
      </c>
      <c r="J37" t="inlineStr">
        <is>
          <t>—</t>
        </is>
      </c>
      <c r="K37" t="inlineStr">
        <is>
          <t>—</t>
        </is>
      </c>
    </row>
    <row r="38">
      <c r="A38" t="inlineStr">
        <is>
          <t xml:space="preserve">        Nonresidential building construction</t>
        </is>
      </c>
      <c r="B38" t="inlineStr">
        <is>
          <t>236200</t>
        </is>
      </c>
      <c r="C38" t="inlineStr">
        <is>
          <t>Line item</t>
        </is>
      </c>
      <c r="D38" t="n">
        <v>910.5</v>
      </c>
      <c r="E38" t="n">
        <v>955.8</v>
      </c>
      <c r="F38" t="n">
        <v>45.3</v>
      </c>
      <c r="G38" t="n">
        <v>5</v>
      </c>
      <c r="H38" t="n">
        <v>0.5</v>
      </c>
      <c r="I38" t="inlineStr">
        <is>
          <t>—</t>
        </is>
      </c>
      <c r="J38" t="inlineStr">
        <is>
          <t>—</t>
        </is>
      </c>
      <c r="K38" t="inlineStr">
        <is>
          <t>—</t>
        </is>
      </c>
    </row>
    <row r="39">
      <c r="A39" t="inlineStr">
        <is>
          <t xml:space="preserve">      Heavy and civil engineering construction</t>
        </is>
      </c>
      <c r="B39" t="inlineStr">
        <is>
          <t>237000</t>
        </is>
      </c>
      <c r="C39" t="inlineStr">
        <is>
          <t>Summary</t>
        </is>
      </c>
      <c r="D39" t="n">
        <v>1154.4</v>
      </c>
      <c r="E39" t="n">
        <v>1206.1</v>
      </c>
      <c r="F39" t="n">
        <v>51.7</v>
      </c>
      <c r="G39" t="n">
        <v>4.5</v>
      </c>
      <c r="H39" t="n">
        <v>0.4</v>
      </c>
      <c r="I39" t="inlineStr">
        <is>
          <t>—</t>
        </is>
      </c>
      <c r="J39" t="inlineStr">
        <is>
          <t>—</t>
        </is>
      </c>
      <c r="K39" t="inlineStr">
        <is>
          <t>—</t>
        </is>
      </c>
    </row>
    <row r="40">
      <c r="A40" t="inlineStr">
        <is>
          <t xml:space="preserve">        Utility system construction</t>
        </is>
      </c>
      <c r="B40" t="inlineStr">
        <is>
          <t>237100</t>
        </is>
      </c>
      <c r="C40" t="inlineStr">
        <is>
          <t>Summary</t>
        </is>
      </c>
      <c r="D40" t="n">
        <v>602.8</v>
      </c>
      <c r="E40" t="n">
        <v>634.3</v>
      </c>
      <c r="F40" t="n">
        <v>31.5</v>
      </c>
      <c r="G40" t="n">
        <v>5.2</v>
      </c>
      <c r="H40" t="n">
        <v>0.5</v>
      </c>
      <c r="I40" t="inlineStr">
        <is>
          <t>—</t>
        </is>
      </c>
      <c r="J40" t="inlineStr">
        <is>
          <t>—</t>
        </is>
      </c>
      <c r="K40" t="inlineStr">
        <is>
          <t>—</t>
        </is>
      </c>
    </row>
    <row r="41">
      <c r="A41" t="inlineStr">
        <is>
          <t xml:space="preserve">          Power and communication line and related structures construction</t>
        </is>
      </c>
      <c r="B41" t="inlineStr">
        <is>
          <t>237130</t>
        </is>
      </c>
      <c r="C41" t="inlineStr">
        <is>
          <t>Line item</t>
        </is>
      </c>
      <c r="D41" t="n">
        <v>238.4</v>
      </c>
      <c r="E41" t="n">
        <v>257.2</v>
      </c>
      <c r="F41" t="n">
        <v>18.8</v>
      </c>
      <c r="G41" t="n">
        <v>7.9</v>
      </c>
      <c r="H41" t="n">
        <v>0.8</v>
      </c>
      <c r="I41" t="inlineStr">
        <is>
          <t>—</t>
        </is>
      </c>
      <c r="J41" t="inlineStr">
        <is>
          <t>—</t>
        </is>
      </c>
      <c r="K41" t="inlineStr">
        <is>
          <t>—</t>
        </is>
      </c>
    </row>
    <row r="42">
      <c r="A42" t="inlineStr">
        <is>
          <t xml:space="preserve">        Land subdivision</t>
        </is>
      </c>
      <c r="B42" t="inlineStr">
        <is>
          <t>237200</t>
        </is>
      </c>
      <c r="C42" t="inlineStr">
        <is>
          <t>Line item</t>
        </is>
      </c>
      <c r="D42" t="n">
        <v>37.1</v>
      </c>
      <c r="E42" t="n">
        <v>37.7</v>
      </c>
      <c r="F42" t="n">
        <v>0.6</v>
      </c>
      <c r="G42" t="n">
        <v>1.7</v>
      </c>
      <c r="H42" t="n">
        <v>0.2</v>
      </c>
      <c r="I42" t="inlineStr">
        <is>
          <t>—</t>
        </is>
      </c>
      <c r="J42" t="inlineStr">
        <is>
          <t>—</t>
        </is>
      </c>
      <c r="K42" t="inlineStr">
        <is>
          <t>—</t>
        </is>
      </c>
    </row>
    <row r="43">
      <c r="A43" t="inlineStr">
        <is>
          <t xml:space="preserve">        Highway, street, and bridge construction</t>
        </is>
      </c>
      <c r="B43" t="inlineStr">
        <is>
          <t>237300</t>
        </is>
      </c>
      <c r="C43" t="inlineStr">
        <is>
          <t>Line item</t>
        </is>
      </c>
      <c r="D43" t="n">
        <v>377.9</v>
      </c>
      <c r="E43" t="n">
        <v>390.9</v>
      </c>
      <c r="F43" t="n">
        <v>13</v>
      </c>
      <c r="G43" t="n">
        <v>3.4</v>
      </c>
      <c r="H43" t="n">
        <v>0.3</v>
      </c>
      <c r="I43" t="inlineStr">
        <is>
          <t>—</t>
        </is>
      </c>
      <c r="J43" t="inlineStr">
        <is>
          <t>—</t>
        </is>
      </c>
      <c r="K43" t="inlineStr">
        <is>
          <t>—</t>
        </is>
      </c>
    </row>
    <row r="44">
      <c r="A44" t="inlineStr">
        <is>
          <t xml:space="preserve">        Other heavy and civil engineering construction</t>
        </is>
      </c>
      <c r="B44" t="inlineStr">
        <is>
          <t>237900</t>
        </is>
      </c>
      <c r="C44" t="inlineStr">
        <is>
          <t>Line item</t>
        </is>
      </c>
      <c r="D44" t="n">
        <v>136.6</v>
      </c>
      <c r="E44" t="n">
        <v>143.2</v>
      </c>
      <c r="F44" t="n">
        <v>6.6</v>
      </c>
      <c r="G44" t="n">
        <v>4.8</v>
      </c>
      <c r="H44" t="n">
        <v>0.5</v>
      </c>
      <c r="I44" t="inlineStr">
        <is>
          <t>—</t>
        </is>
      </c>
      <c r="J44" t="inlineStr">
        <is>
          <t>—</t>
        </is>
      </c>
      <c r="K44" t="inlineStr">
        <is>
          <t>—</t>
        </is>
      </c>
    </row>
    <row r="45">
      <c r="A45" t="inlineStr">
        <is>
          <t xml:space="preserve">      Specialty trade contractors</t>
        </is>
      </c>
      <c r="B45" t="inlineStr">
        <is>
          <t>238000</t>
        </is>
      </c>
      <c r="C45" t="inlineStr">
        <is>
          <t>Summary</t>
        </is>
      </c>
      <c r="D45" t="n">
        <v>5203.7</v>
      </c>
      <c r="E45" t="n">
        <v>5427.9</v>
      </c>
      <c r="F45" t="n">
        <v>224.2</v>
      </c>
      <c r="G45" t="n">
        <v>4.3</v>
      </c>
      <c r="H45" t="n">
        <v>0.4</v>
      </c>
      <c r="I45" t="inlineStr">
        <is>
          <t>—</t>
        </is>
      </c>
      <c r="J45" t="inlineStr">
        <is>
          <t>—</t>
        </is>
      </c>
      <c r="K45" t="inlineStr">
        <is>
          <t>—</t>
        </is>
      </c>
    </row>
    <row r="46">
      <c r="A46" t="inlineStr">
        <is>
          <t xml:space="preserve">        Foundation, structure, and building exterior contractors</t>
        </is>
      </c>
      <c r="B46" t="inlineStr">
        <is>
          <t>238100</t>
        </is>
      </c>
      <c r="C46" t="inlineStr">
        <is>
          <t>Summary</t>
        </is>
      </c>
      <c r="D46" t="n">
        <v>992.5</v>
      </c>
      <c r="E46" t="n">
        <v>1032.1</v>
      </c>
      <c r="F46" t="n">
        <v>39.6</v>
      </c>
      <c r="G46" t="n">
        <v>4</v>
      </c>
      <c r="H46" t="n">
        <v>0.4</v>
      </c>
      <c r="I46" t="inlineStr">
        <is>
          <t>—</t>
        </is>
      </c>
      <c r="J46" t="inlineStr">
        <is>
          <t>—</t>
        </is>
      </c>
      <c r="K46" t="inlineStr">
        <is>
          <t>—</t>
        </is>
      </c>
    </row>
    <row r="47">
      <c r="A47" t="inlineStr">
        <is>
          <t xml:space="preserve">          Poured concrete foundation and structure contractors</t>
        </is>
      </c>
      <c r="B47" t="inlineStr">
        <is>
          <t>238110</t>
        </is>
      </c>
      <c r="C47" t="inlineStr">
        <is>
          <t>Line item</t>
        </is>
      </c>
      <c r="D47" t="n">
        <v>258.2</v>
      </c>
      <c r="E47" t="n">
        <v>273.5</v>
      </c>
      <c r="F47" t="n">
        <v>15.3</v>
      </c>
      <c r="G47" t="n">
        <v>5.9</v>
      </c>
      <c r="H47" t="n">
        <v>0.6</v>
      </c>
      <c r="I47" t="inlineStr">
        <is>
          <t>—</t>
        </is>
      </c>
      <c r="J47" t="inlineStr">
        <is>
          <t>—</t>
        </is>
      </c>
      <c r="K47" t="inlineStr">
        <is>
          <t>—</t>
        </is>
      </c>
    </row>
    <row r="48">
      <c r="A48" t="inlineStr">
        <is>
          <t xml:space="preserve">          Masonry contractors</t>
        </is>
      </c>
      <c r="B48" t="inlineStr">
        <is>
          <t>238140</t>
        </is>
      </c>
      <c r="C48" t="inlineStr">
        <is>
          <t>Line item</t>
        </is>
      </c>
      <c r="D48" t="n">
        <v>146.1</v>
      </c>
      <c r="E48" t="n">
        <v>150</v>
      </c>
      <c r="F48" t="n">
        <v>3.9</v>
      </c>
      <c r="G48" t="n">
        <v>2.7</v>
      </c>
      <c r="H48" t="n">
        <v>0.3</v>
      </c>
      <c r="I48" t="inlineStr">
        <is>
          <t>—</t>
        </is>
      </c>
      <c r="J48" t="inlineStr">
        <is>
          <t>—</t>
        </is>
      </c>
      <c r="K48" t="inlineStr">
        <is>
          <t>—</t>
        </is>
      </c>
    </row>
    <row r="49">
      <c r="A49" t="inlineStr">
        <is>
          <t xml:space="preserve">          Roofing contractors</t>
        </is>
      </c>
      <c r="B49" t="inlineStr">
        <is>
          <t>238160</t>
        </is>
      </c>
      <c r="C49" t="inlineStr">
        <is>
          <t>Line item</t>
        </is>
      </c>
      <c r="D49" t="n">
        <v>249.8</v>
      </c>
      <c r="E49" t="n">
        <v>261.5</v>
      </c>
      <c r="F49" t="n">
        <v>11.7</v>
      </c>
      <c r="G49" t="n">
        <v>4.7</v>
      </c>
      <c r="H49" t="n">
        <v>0.5</v>
      </c>
      <c r="I49" t="inlineStr">
        <is>
          <t>—</t>
        </is>
      </c>
      <c r="J49" t="inlineStr">
        <is>
          <t>—</t>
        </is>
      </c>
      <c r="K49" t="inlineStr">
        <is>
          <t>—</t>
        </is>
      </c>
    </row>
    <row r="50">
      <c r="A50" t="inlineStr">
        <is>
          <t xml:space="preserve">        Building equipment contractors</t>
        </is>
      </c>
      <c r="B50" t="inlineStr">
        <is>
          <t>238200</t>
        </is>
      </c>
      <c r="C50" t="inlineStr">
        <is>
          <t>Summary</t>
        </is>
      </c>
      <c r="D50" t="n">
        <v>2556.3</v>
      </c>
      <c r="E50" t="n">
        <v>2688.2</v>
      </c>
      <c r="F50" t="n">
        <v>131.9</v>
      </c>
      <c r="G50" t="n">
        <v>5.2</v>
      </c>
      <c r="H50" t="n">
        <v>0.5</v>
      </c>
      <c r="I50" t="inlineStr">
        <is>
          <t>—</t>
        </is>
      </c>
      <c r="J50" t="inlineStr">
        <is>
          <t>—</t>
        </is>
      </c>
      <c r="K50" t="inlineStr">
        <is>
          <t>—</t>
        </is>
      </c>
    </row>
    <row r="51">
      <c r="A51" t="inlineStr">
        <is>
          <t xml:space="preserve">          Electrical contractors and other wiring installation contractors</t>
        </is>
      </c>
      <c r="B51" t="inlineStr">
        <is>
          <t>238210</t>
        </is>
      </c>
      <c r="C51" t="inlineStr">
        <is>
          <t>Line item</t>
        </is>
      </c>
      <c r="D51" t="n">
        <v>1095.2</v>
      </c>
      <c r="E51" t="n">
        <v>1156.4</v>
      </c>
      <c r="F51" t="n">
        <v>61.2</v>
      </c>
      <c r="G51" t="n">
        <v>5.6</v>
      </c>
      <c r="H51" t="n">
        <v>0.5</v>
      </c>
      <c r="I51" t="inlineStr">
        <is>
          <t>—</t>
        </is>
      </c>
      <c r="J51" t="inlineStr">
        <is>
          <t>—</t>
        </is>
      </c>
      <c r="K51" t="inlineStr">
        <is>
          <t>—</t>
        </is>
      </c>
    </row>
    <row r="52">
      <c r="A52" t="inlineStr">
        <is>
          <t xml:space="preserve">          Plumbing, heating, and air-conditioning contractors</t>
        </is>
      </c>
      <c r="B52" t="inlineStr">
        <is>
          <t>238220</t>
        </is>
      </c>
      <c r="C52" t="inlineStr">
        <is>
          <t>Line item</t>
        </is>
      </c>
      <c r="D52" t="n">
        <v>1298.3</v>
      </c>
      <c r="E52" t="n">
        <v>1361.3</v>
      </c>
      <c r="F52" t="n">
        <v>63</v>
      </c>
      <c r="G52" t="n">
        <v>4.8</v>
      </c>
      <c r="H52" t="n">
        <v>0.5</v>
      </c>
      <c r="I52" t="inlineStr">
        <is>
          <t>—</t>
        </is>
      </c>
      <c r="J52" t="inlineStr">
        <is>
          <t>—</t>
        </is>
      </c>
      <c r="K52" t="inlineStr">
        <is>
          <t>—</t>
        </is>
      </c>
    </row>
    <row r="53">
      <c r="A53" t="inlineStr">
        <is>
          <t xml:space="preserve">          Other building equipment contractors</t>
        </is>
      </c>
      <c r="B53" t="inlineStr">
        <is>
          <t>238290</t>
        </is>
      </c>
      <c r="C53" t="inlineStr">
        <is>
          <t>Line item</t>
        </is>
      </c>
      <c r="D53" t="n">
        <v>162.8</v>
      </c>
      <c r="E53" t="n">
        <v>170.6</v>
      </c>
      <c r="F53" t="n">
        <v>7.8</v>
      </c>
      <c r="G53" t="n">
        <v>4.8</v>
      </c>
      <c r="H53" t="n">
        <v>0.5</v>
      </c>
      <c r="I53" t="inlineStr">
        <is>
          <t>—</t>
        </is>
      </c>
      <c r="J53" t="inlineStr">
        <is>
          <t>—</t>
        </is>
      </c>
      <c r="K53" t="inlineStr">
        <is>
          <t>—</t>
        </is>
      </c>
    </row>
    <row r="54">
      <c r="A54" t="inlineStr">
        <is>
          <t xml:space="preserve">        Building finishing contractors</t>
        </is>
      </c>
      <c r="B54" t="inlineStr">
        <is>
          <t>238300</t>
        </is>
      </c>
      <c r="C54" t="inlineStr">
        <is>
          <t>Summary</t>
        </is>
      </c>
      <c r="D54" t="n">
        <v>849.3</v>
      </c>
      <c r="E54" t="n">
        <v>858.9</v>
      </c>
      <c r="F54" t="n">
        <v>9.6</v>
      </c>
      <c r="G54" t="n">
        <v>1.1</v>
      </c>
      <c r="H54" t="n">
        <v>0.1</v>
      </c>
      <c r="I54" t="inlineStr">
        <is>
          <t>—</t>
        </is>
      </c>
      <c r="J54" t="inlineStr">
        <is>
          <t>—</t>
        </is>
      </c>
      <c r="K54" t="inlineStr">
        <is>
          <t>—</t>
        </is>
      </c>
    </row>
    <row r="55">
      <c r="A55" t="inlineStr">
        <is>
          <t xml:space="preserve">          Drywall and insulation contractors</t>
        </is>
      </c>
      <c r="B55" t="inlineStr">
        <is>
          <t>238310</t>
        </is>
      </c>
      <c r="C55" t="inlineStr">
        <is>
          <t>Line item</t>
        </is>
      </c>
      <c r="D55" t="n">
        <v>247.5</v>
      </c>
      <c r="E55" t="n">
        <v>253.7</v>
      </c>
      <c r="F55" t="n">
        <v>6.2</v>
      </c>
      <c r="G55" t="n">
        <v>2.5</v>
      </c>
      <c r="H55" t="n">
        <v>0.2</v>
      </c>
      <c r="I55" t="inlineStr">
        <is>
          <t>—</t>
        </is>
      </c>
      <c r="J55" t="inlineStr">
        <is>
          <t>—</t>
        </is>
      </c>
      <c r="K55" t="inlineStr">
        <is>
          <t>—</t>
        </is>
      </c>
    </row>
    <row r="56">
      <c r="A56" t="inlineStr">
        <is>
          <t xml:space="preserve">          Painting and wall covering contractors</t>
        </is>
      </c>
      <c r="B56" t="inlineStr">
        <is>
          <t>238320</t>
        </is>
      </c>
      <c r="C56" t="inlineStr">
        <is>
          <t>Line item</t>
        </is>
      </c>
      <c r="D56" t="n">
        <v>210.3</v>
      </c>
      <c r="E56" t="n">
        <v>211.7</v>
      </c>
      <c r="F56" t="n">
        <v>1.4</v>
      </c>
      <c r="G56" t="n">
        <v>0.7</v>
      </c>
      <c r="H56" t="n">
        <v>0.1</v>
      </c>
      <c r="I56" t="inlineStr">
        <is>
          <t>—</t>
        </is>
      </c>
      <c r="J56" t="inlineStr">
        <is>
          <t>—</t>
        </is>
      </c>
      <c r="K56" t="inlineStr">
        <is>
          <t>—</t>
        </is>
      </c>
    </row>
    <row r="57">
      <c r="A57" t="inlineStr">
        <is>
          <t xml:space="preserve">        Other specialty trade contractors</t>
        </is>
      </c>
      <c r="B57" t="inlineStr">
        <is>
          <t>238900</t>
        </is>
      </c>
      <c r="C57" t="inlineStr">
        <is>
          <t>Line item</t>
        </is>
      </c>
      <c r="D57" t="n">
        <v>805.6</v>
      </c>
      <c r="E57" t="n">
        <v>848.6</v>
      </c>
      <c r="F57" t="n">
        <v>43</v>
      </c>
      <c r="G57" t="n">
        <v>5.3</v>
      </c>
      <c r="H57" t="n">
        <v>0.5</v>
      </c>
      <c r="I57" t="inlineStr">
        <is>
          <t>—</t>
        </is>
      </c>
      <c r="J57" t="inlineStr">
        <is>
          <t>—</t>
        </is>
      </c>
      <c r="K57" t="inlineStr">
        <is>
          <t>—</t>
        </is>
      </c>
    </row>
    <row r="58">
      <c r="A58" t="inlineStr">
        <is>
          <t xml:space="preserve">    Manufacturing</t>
        </is>
      </c>
      <c r="B58" t="inlineStr">
        <is>
          <t>31-330</t>
        </is>
      </c>
      <c r="C58" t="inlineStr">
        <is>
          <t>Summary</t>
        </is>
      </c>
      <c r="D58" t="n">
        <v>12817.2</v>
      </c>
      <c r="E58" t="n">
        <v>12816.8</v>
      </c>
      <c r="F58" t="n">
        <v>-0.4</v>
      </c>
      <c r="G58" t="n">
        <v>0</v>
      </c>
      <c r="H58" t="n">
        <v>0</v>
      </c>
      <c r="I58" t="n">
        <v>5696.8</v>
      </c>
      <c r="J58" t="n">
        <v>6486.2</v>
      </c>
      <c r="K58" t="n">
        <v>1.3</v>
      </c>
    </row>
    <row r="59">
      <c r="A59" t="inlineStr">
        <is>
          <t xml:space="preserve">      Food manufacturing</t>
        </is>
      </c>
      <c r="B59" t="inlineStr">
        <is>
          <t>311000</t>
        </is>
      </c>
      <c r="C59" t="inlineStr">
        <is>
          <t>Summary</t>
        </is>
      </c>
      <c r="D59" t="n">
        <v>1767.6</v>
      </c>
      <c r="E59" t="n">
        <v>1860.1</v>
      </c>
      <c r="F59" t="n">
        <v>92.5</v>
      </c>
      <c r="G59" t="n">
        <v>5.2</v>
      </c>
      <c r="H59" t="n">
        <v>0.5</v>
      </c>
      <c r="I59" t="n">
        <v>757.1</v>
      </c>
      <c r="J59" t="n">
        <v>910.3</v>
      </c>
      <c r="K59" t="n">
        <v>1.9</v>
      </c>
      <c r="L59" t="inlineStr">
        <is>
          <t>ISIC 10T12</t>
        </is>
      </c>
    </row>
    <row r="60">
      <c r="A60" t="inlineStr">
        <is>
          <t xml:space="preserve">        Animal food manufacturing</t>
        </is>
      </c>
      <c r="B60" t="inlineStr">
        <is>
          <t>311100</t>
        </is>
      </c>
      <c r="C60" t="inlineStr">
        <is>
          <t>Line item</t>
        </is>
      </c>
      <c r="D60" t="n">
        <v>75.40000000000001</v>
      </c>
      <c r="E60" t="n">
        <v>80.59999999999999</v>
      </c>
      <c r="F60" t="n">
        <v>5.2</v>
      </c>
      <c r="G60" t="n">
        <v>6.9</v>
      </c>
      <c r="H60" t="n">
        <v>0.7</v>
      </c>
      <c r="I60" t="n">
        <v>50.8</v>
      </c>
      <c r="J60" t="n">
        <v>60.7</v>
      </c>
      <c r="K60" t="n">
        <v>1.8</v>
      </c>
    </row>
    <row r="61">
      <c r="A61" t="inlineStr">
        <is>
          <t xml:space="preserve">        Grain and oilseed milling</t>
        </is>
      </c>
      <c r="B61" t="inlineStr">
        <is>
          <t>311200</t>
        </is>
      </c>
      <c r="C61" t="inlineStr">
        <is>
          <t>Line item</t>
        </is>
      </c>
      <c r="D61" t="n">
        <v>67.40000000000001</v>
      </c>
      <c r="E61" t="n">
        <v>67.7</v>
      </c>
      <c r="F61" t="n">
        <v>0.3</v>
      </c>
      <c r="G61" t="n">
        <v>0.5</v>
      </c>
      <c r="H61" t="n">
        <v>0</v>
      </c>
      <c r="I61" t="n">
        <v>81.2</v>
      </c>
      <c r="J61" t="n">
        <v>93.90000000000001</v>
      </c>
      <c r="K61" t="n">
        <v>1.5</v>
      </c>
    </row>
    <row r="62">
      <c r="A62" t="inlineStr">
        <is>
          <t xml:space="preserve">        Sugar and confectionery product manufacturing</t>
        </is>
      </c>
      <c r="B62" t="inlineStr">
        <is>
          <t>311300</t>
        </is>
      </c>
      <c r="C62" t="inlineStr">
        <is>
          <t>Line item</t>
        </is>
      </c>
      <c r="D62" t="n">
        <v>82.2</v>
      </c>
      <c r="E62" t="n">
        <v>84.2</v>
      </c>
      <c r="F62" t="n">
        <v>2</v>
      </c>
      <c r="G62" t="n">
        <v>2.4</v>
      </c>
      <c r="H62" t="n">
        <v>0.2</v>
      </c>
      <c r="I62" t="n">
        <v>32.6</v>
      </c>
      <c r="J62" t="n">
        <v>35.8</v>
      </c>
      <c r="K62" t="n">
        <v>0.9</v>
      </c>
    </row>
    <row r="63">
      <c r="A63" t="inlineStr">
        <is>
          <t xml:space="preserve">        Fruit and vegetable preserving and specialty food manufacturing</t>
        </is>
      </c>
      <c r="B63" t="inlineStr">
        <is>
          <t>311400</t>
        </is>
      </c>
      <c r="C63" t="inlineStr">
        <is>
          <t>Line item</t>
        </is>
      </c>
      <c r="D63" t="n">
        <v>173.8</v>
      </c>
      <c r="E63" t="n">
        <v>172.6</v>
      </c>
      <c r="F63" t="n">
        <v>-1.2</v>
      </c>
      <c r="G63" t="n">
        <v>-0.7</v>
      </c>
      <c r="H63" t="n">
        <v>-0.1</v>
      </c>
      <c r="I63" t="n">
        <v>57.1</v>
      </c>
      <c r="J63" t="n">
        <v>65.90000000000001</v>
      </c>
      <c r="K63" t="n">
        <v>1.4</v>
      </c>
    </row>
    <row r="64">
      <c r="A64" t="inlineStr">
        <is>
          <t xml:space="preserve">        Dairy product manufacturing</t>
        </is>
      </c>
      <c r="B64" t="inlineStr">
        <is>
          <t>311500</t>
        </is>
      </c>
      <c r="C64" t="inlineStr">
        <is>
          <t>Line item</t>
        </is>
      </c>
      <c r="D64" t="n">
        <v>168</v>
      </c>
      <c r="E64" t="n">
        <v>178.8</v>
      </c>
      <c r="F64" t="n">
        <v>10.8</v>
      </c>
      <c r="G64" t="n">
        <v>6.4</v>
      </c>
      <c r="H64" t="n">
        <v>0.6</v>
      </c>
      <c r="I64" t="n">
        <v>130.4</v>
      </c>
      <c r="J64" t="n">
        <v>171.1</v>
      </c>
      <c r="K64" t="n">
        <v>2.8</v>
      </c>
    </row>
    <row r="65">
      <c r="A65" t="inlineStr">
        <is>
          <t xml:space="preserve">        Animal slaughtering and processing</t>
        </is>
      </c>
      <c r="B65" t="inlineStr">
        <is>
          <t>311600</t>
        </is>
      </c>
      <c r="C65" t="inlineStr">
        <is>
          <t>Line item</t>
        </is>
      </c>
      <c r="D65" t="n">
        <v>556.4</v>
      </c>
      <c r="E65" t="n">
        <v>591.8</v>
      </c>
      <c r="F65" t="n">
        <v>35.4</v>
      </c>
      <c r="G65" t="n">
        <v>6.4</v>
      </c>
      <c r="H65" t="n">
        <v>0.6</v>
      </c>
      <c r="I65" t="n">
        <v>221.4</v>
      </c>
      <c r="J65" t="n">
        <v>265.1</v>
      </c>
      <c r="K65" t="n">
        <v>1.8</v>
      </c>
    </row>
    <row r="66">
      <c r="A66" t="inlineStr">
        <is>
          <t xml:space="preserve">        Seafood product preparation and packaging</t>
        </is>
      </c>
      <c r="B66" t="inlineStr">
        <is>
          <t>311700</t>
        </is>
      </c>
      <c r="C66" t="inlineStr">
        <is>
          <t>Line item</t>
        </is>
      </c>
      <c r="D66" t="n">
        <v>31.5</v>
      </c>
      <c r="E66" t="n">
        <v>30.7</v>
      </c>
      <c r="F66" t="n">
        <v>-0.8</v>
      </c>
      <c r="G66" t="n">
        <v>-2.5</v>
      </c>
      <c r="H66" t="n">
        <v>-0.3</v>
      </c>
      <c r="I66" t="n">
        <v>12.2</v>
      </c>
      <c r="J66" t="n">
        <v>14</v>
      </c>
      <c r="K66" t="n">
        <v>1.3</v>
      </c>
    </row>
    <row r="67">
      <c r="A67" t="inlineStr">
        <is>
          <t xml:space="preserve">        Bakeries and tortilla manufacturing</t>
        </is>
      </c>
      <c r="B67" t="inlineStr">
        <is>
          <t>311800</t>
        </is>
      </c>
      <c r="C67" t="inlineStr">
        <is>
          <t>Line item</t>
        </is>
      </c>
      <c r="D67" t="n">
        <v>350.4</v>
      </c>
      <c r="E67" t="n">
        <v>369.2</v>
      </c>
      <c r="F67" t="n">
        <v>18.8</v>
      </c>
      <c r="G67" t="n">
        <v>5.4</v>
      </c>
      <c r="H67" t="n">
        <v>0.5</v>
      </c>
      <c r="I67" t="n">
        <v>62.1</v>
      </c>
      <c r="J67" t="n">
        <v>74.40000000000001</v>
      </c>
      <c r="K67" t="n">
        <v>1.8</v>
      </c>
    </row>
    <row r="68">
      <c r="A68" t="inlineStr">
        <is>
          <t xml:space="preserve">        Other food manufacturing</t>
        </is>
      </c>
      <c r="B68" t="inlineStr">
        <is>
          <t>311900</t>
        </is>
      </c>
      <c r="C68" t="inlineStr">
        <is>
          <t>Line item</t>
        </is>
      </c>
      <c r="D68" t="n">
        <v>262.5</v>
      </c>
      <c r="E68" t="n">
        <v>284.4</v>
      </c>
      <c r="F68" t="n">
        <v>21.9</v>
      </c>
      <c r="G68" t="n">
        <v>8.4</v>
      </c>
      <c r="H68" t="n">
        <v>0.8</v>
      </c>
      <c r="I68" t="n">
        <v>109</v>
      </c>
      <c r="J68" t="n">
        <v>131</v>
      </c>
      <c r="K68" t="n">
        <v>1.9</v>
      </c>
    </row>
    <row r="69">
      <c r="A69" t="inlineStr">
        <is>
          <t xml:space="preserve">      Beverage and tobacco product manufacturing</t>
        </is>
      </c>
      <c r="B69" t="inlineStr">
        <is>
          <t>312000</t>
        </is>
      </c>
      <c r="C69" t="inlineStr">
        <is>
          <t>Summary</t>
        </is>
      </c>
      <c r="D69" t="n">
        <v>343.4</v>
      </c>
      <c r="E69" t="n">
        <v>379.7</v>
      </c>
      <c r="F69" t="n">
        <v>36.3</v>
      </c>
      <c r="G69" t="n">
        <v>10.6</v>
      </c>
      <c r="H69" t="n">
        <v>1</v>
      </c>
      <c r="I69" t="n">
        <v>181.9</v>
      </c>
      <c r="J69" t="n">
        <v>203</v>
      </c>
      <c r="K69" t="n">
        <v>1.1</v>
      </c>
      <c r="L69" t="inlineStr">
        <is>
          <t>ISIC 10T12</t>
        </is>
      </c>
    </row>
    <row r="70">
      <c r="A70" t="inlineStr">
        <is>
          <t xml:space="preserve">        Beverage manufacturing</t>
        </is>
      </c>
      <c r="B70" t="inlineStr">
        <is>
          <t>312100</t>
        </is>
      </c>
      <c r="C70" t="inlineStr">
        <is>
          <t>Line item</t>
        </is>
      </c>
      <c r="D70" t="n">
        <v>333</v>
      </c>
      <c r="E70" t="n">
        <v>370.8</v>
      </c>
      <c r="F70" t="n">
        <v>37.8</v>
      </c>
      <c r="G70" t="n">
        <v>11.4</v>
      </c>
      <c r="H70" t="n">
        <v>1.1</v>
      </c>
      <c r="I70" t="n">
        <v>115.7</v>
      </c>
      <c r="J70" t="n">
        <v>150.5</v>
      </c>
      <c r="K70" t="n">
        <v>2.7</v>
      </c>
    </row>
    <row r="71">
      <c r="A71" t="inlineStr">
        <is>
          <t xml:space="preserve">        Tobacco manufacturing</t>
        </is>
      </c>
      <c r="B71" t="inlineStr">
        <is>
          <t>312200</t>
        </is>
      </c>
      <c r="C71" t="inlineStr">
        <is>
          <t>Line item</t>
        </is>
      </c>
      <c r="D71" t="n">
        <v>10.4</v>
      </c>
      <c r="E71" t="n">
        <v>8.800000000000001</v>
      </c>
      <c r="F71" t="n">
        <v>-1.6</v>
      </c>
      <c r="G71" t="n">
        <v>-15</v>
      </c>
      <c r="H71" t="n">
        <v>-1.7</v>
      </c>
      <c r="I71" t="n">
        <v>65.2</v>
      </c>
      <c r="J71" t="n">
        <v>54.6</v>
      </c>
      <c r="K71" t="n">
        <v>-1.8</v>
      </c>
    </row>
    <row r="72">
      <c r="A72" t="inlineStr">
        <is>
          <t xml:space="preserve">      Textile mills</t>
        </is>
      </c>
      <c r="B72" t="inlineStr">
        <is>
          <t>313000</t>
        </is>
      </c>
      <c r="C72" t="inlineStr">
        <is>
          <t>Line item</t>
        </is>
      </c>
      <c r="D72" t="n">
        <v>86.59999999999999</v>
      </c>
      <c r="E72" t="n">
        <v>78.3</v>
      </c>
      <c r="F72" t="n">
        <v>-8.300000000000001</v>
      </c>
      <c r="G72" t="n">
        <v>-9.5</v>
      </c>
      <c r="H72" t="n">
        <v>-1</v>
      </c>
      <c r="I72" t="n">
        <v>19.4</v>
      </c>
      <c r="J72" t="n">
        <v>20</v>
      </c>
      <c r="K72" t="n">
        <v>0.3</v>
      </c>
      <c r="L72" t="inlineStr">
        <is>
          <t>ISIC 13T15</t>
        </is>
      </c>
    </row>
    <row r="73">
      <c r="A73" t="inlineStr">
        <is>
          <t xml:space="preserve">      Textile product mills</t>
        </is>
      </c>
      <c r="B73" t="inlineStr">
        <is>
          <t>314000</t>
        </is>
      </c>
      <c r="C73" t="inlineStr">
        <is>
          <t>Line item</t>
        </is>
      </c>
      <c r="D73" t="n">
        <v>99.5</v>
      </c>
      <c r="E73" t="n">
        <v>89</v>
      </c>
      <c r="F73" t="n">
        <v>-10.5</v>
      </c>
      <c r="G73" t="n">
        <v>-10.5</v>
      </c>
      <c r="H73" t="n">
        <v>-1.1</v>
      </c>
      <c r="I73" t="n">
        <v>21</v>
      </c>
      <c r="J73" t="n">
        <v>21.9</v>
      </c>
      <c r="K73" t="n">
        <v>0.4</v>
      </c>
      <c r="L73" t="inlineStr">
        <is>
          <t>ISIC 13T15</t>
        </is>
      </c>
    </row>
    <row r="74">
      <c r="A74" t="inlineStr">
        <is>
          <t xml:space="preserve">      Apparel manufacturing</t>
        </is>
      </c>
      <c r="B74" t="inlineStr">
        <is>
          <t>315000</t>
        </is>
      </c>
      <c r="C74" t="inlineStr">
        <is>
          <t>Line item</t>
        </is>
      </c>
      <c r="D74" t="n">
        <v>84.5</v>
      </c>
      <c r="E74" t="n">
        <v>58.8</v>
      </c>
      <c r="F74" t="n">
        <v>-25.7</v>
      </c>
      <c r="G74" t="n">
        <v>-30.4</v>
      </c>
      <c r="H74" t="n">
        <v>-3.6</v>
      </c>
      <c r="I74" t="n">
        <v>12.3</v>
      </c>
      <c r="J74" t="n">
        <v>10.1</v>
      </c>
      <c r="K74" t="n">
        <v>-1.9</v>
      </c>
      <c r="L74" t="inlineStr">
        <is>
          <t>ISIC 13T15</t>
        </is>
      </c>
    </row>
    <row r="75">
      <c r="A75" t="inlineStr">
        <is>
          <t xml:space="preserve">      Leather and allied product manufacturing</t>
        </is>
      </c>
      <c r="B75" t="inlineStr">
        <is>
          <t>316000</t>
        </is>
      </c>
      <c r="C75" t="inlineStr">
        <is>
          <t>Line item</t>
        </is>
      </c>
      <c r="D75" t="n">
        <v>25.1</v>
      </c>
      <c r="E75" t="n">
        <v>23.8</v>
      </c>
      <c r="F75" t="n">
        <v>-1.3</v>
      </c>
      <c r="G75" t="n">
        <v>-5.2</v>
      </c>
      <c r="H75" t="n">
        <v>-0.5</v>
      </c>
      <c r="I75" t="n">
        <v>11.9</v>
      </c>
      <c r="J75" t="n">
        <v>14.2</v>
      </c>
      <c r="K75" t="n">
        <v>1.8</v>
      </c>
      <c r="L75" t="inlineStr">
        <is>
          <t>ISIC 13T15</t>
        </is>
      </c>
    </row>
    <row r="76">
      <c r="A76" t="inlineStr">
        <is>
          <t xml:space="preserve">      Wood product manufacturing</t>
        </is>
      </c>
      <c r="B76" t="inlineStr">
        <is>
          <t>321000</t>
        </is>
      </c>
      <c r="C76" t="inlineStr">
        <is>
          <t>Summary</t>
        </is>
      </c>
      <c r="D76" t="n">
        <v>417</v>
      </c>
      <c r="E76" t="n">
        <v>417.6</v>
      </c>
      <c r="F76" t="n">
        <v>0.6</v>
      </c>
      <c r="G76" t="n">
        <v>0.1</v>
      </c>
      <c r="H76" t="n">
        <v>0</v>
      </c>
      <c r="I76" t="n">
        <v>126.5</v>
      </c>
      <c r="J76" t="n">
        <v>150.1</v>
      </c>
      <c r="K76" t="n">
        <v>1.7</v>
      </c>
      <c r="L76" t="inlineStr">
        <is>
          <t>ISIC 16</t>
        </is>
      </c>
    </row>
    <row r="77">
      <c r="A77" t="inlineStr">
        <is>
          <t xml:space="preserve">        Sawmills and wood preservation</t>
        </is>
      </c>
      <c r="B77" t="inlineStr">
        <is>
          <t>321100</t>
        </is>
      </c>
      <c r="C77" t="inlineStr">
        <is>
          <t>Line item</t>
        </is>
      </c>
      <c r="D77" t="n">
        <v>90.59999999999999</v>
      </c>
      <c r="E77" t="n">
        <v>89.2</v>
      </c>
      <c r="F77" t="n">
        <v>-1.4</v>
      </c>
      <c r="G77" t="n">
        <v>-1.6</v>
      </c>
      <c r="H77" t="n">
        <v>-0.2</v>
      </c>
      <c r="I77" t="n">
        <v>47.2</v>
      </c>
      <c r="J77" t="n">
        <v>56.4</v>
      </c>
      <c r="K77" t="n">
        <v>1.8</v>
      </c>
    </row>
    <row r="78">
      <c r="A78" t="inlineStr">
        <is>
          <t xml:space="preserve">        Veneer, plywood, and engineered wood product manufacturing</t>
        </is>
      </c>
      <c r="B78" t="inlineStr">
        <is>
          <t>321200</t>
        </is>
      </c>
      <c r="C78" t="inlineStr">
        <is>
          <t>Line item</t>
        </is>
      </c>
      <c r="D78" t="n">
        <v>82.2</v>
      </c>
      <c r="E78" t="n">
        <v>81.3</v>
      </c>
      <c r="F78" t="n">
        <v>-0.9</v>
      </c>
      <c r="G78" t="n">
        <v>-1.1</v>
      </c>
      <c r="H78" t="n">
        <v>-0.1</v>
      </c>
      <c r="I78" t="n">
        <v>24.3</v>
      </c>
      <c r="J78" t="n">
        <v>28.6</v>
      </c>
      <c r="K78" t="n">
        <v>1.7</v>
      </c>
    </row>
    <row r="79">
      <c r="A79" t="inlineStr">
        <is>
          <t xml:space="preserve">        Other wood product manufacturing</t>
        </is>
      </c>
      <c r="B79" t="inlineStr">
        <is>
          <t>321900</t>
        </is>
      </c>
      <c r="C79" t="inlineStr">
        <is>
          <t>Line item</t>
        </is>
      </c>
      <c r="D79" t="n">
        <v>244.2</v>
      </c>
      <c r="E79" t="n">
        <v>247.1</v>
      </c>
      <c r="F79" t="n">
        <v>2.9</v>
      </c>
      <c r="G79" t="n">
        <v>1.2</v>
      </c>
      <c r="H79" t="n">
        <v>0.1</v>
      </c>
      <c r="I79" t="n">
        <v>56.8</v>
      </c>
      <c r="J79" t="n">
        <v>67.3</v>
      </c>
      <c r="K79" t="n">
        <v>1.7</v>
      </c>
    </row>
    <row r="80">
      <c r="A80" t="inlineStr">
        <is>
          <t xml:space="preserve">      Paper manufacturing</t>
        </is>
      </c>
      <c r="B80" t="inlineStr">
        <is>
          <t>322000</t>
        </is>
      </c>
      <c r="C80" t="inlineStr">
        <is>
          <t>Summary</t>
        </is>
      </c>
      <c r="D80" t="n">
        <v>354.6</v>
      </c>
      <c r="E80" t="n">
        <v>328.9</v>
      </c>
      <c r="F80" t="n">
        <v>-25.7</v>
      </c>
      <c r="G80" t="n">
        <v>-7.3</v>
      </c>
      <c r="H80" t="n">
        <v>-0.7</v>
      </c>
      <c r="I80" t="n">
        <v>163</v>
      </c>
      <c r="J80" t="n">
        <v>180.2</v>
      </c>
      <c r="K80" t="n">
        <v>1</v>
      </c>
      <c r="L80" t="inlineStr">
        <is>
          <t>ISIC 17T18</t>
        </is>
      </c>
    </row>
    <row r="81">
      <c r="A81" t="inlineStr">
        <is>
          <t xml:space="preserve">        Pulp, paper, and paperboard mills</t>
        </is>
      </c>
      <c r="B81" t="inlineStr">
        <is>
          <t>322100</t>
        </is>
      </c>
      <c r="C81" t="inlineStr">
        <is>
          <t>Line item</t>
        </is>
      </c>
      <c r="D81" t="n">
        <v>84.7</v>
      </c>
      <c r="E81" t="n">
        <v>73.59999999999999</v>
      </c>
      <c r="F81" t="n">
        <v>-11.1</v>
      </c>
      <c r="G81" t="n">
        <v>-13.1</v>
      </c>
      <c r="H81" t="n">
        <v>-1.4</v>
      </c>
      <c r="I81" t="n">
        <v>63.9</v>
      </c>
      <c r="J81" t="n">
        <v>63.1</v>
      </c>
      <c r="K81" t="n">
        <v>-0.1</v>
      </c>
    </row>
    <row r="82">
      <c r="A82" t="inlineStr">
        <is>
          <t xml:space="preserve">        Converted paper product manufacturing</t>
        </is>
      </c>
      <c r="B82" t="inlineStr">
        <is>
          <t>322200</t>
        </is>
      </c>
      <c r="C82" t="inlineStr">
        <is>
          <t>Line item</t>
        </is>
      </c>
      <c r="D82" t="n">
        <v>269.9</v>
      </c>
      <c r="E82" t="n">
        <v>255.3</v>
      </c>
      <c r="F82" t="n">
        <v>-14.6</v>
      </c>
      <c r="G82" t="n">
        <v>-5.4</v>
      </c>
      <c r="H82" t="n">
        <v>-0.6</v>
      </c>
      <c r="I82" t="n">
        <v>99</v>
      </c>
      <c r="J82" t="n">
        <v>116.9</v>
      </c>
      <c r="K82" t="n">
        <v>1.7</v>
      </c>
    </row>
    <row r="83">
      <c r="A83" t="inlineStr">
        <is>
          <t xml:space="preserve">      Printing and related support activities</t>
        </is>
      </c>
      <c r="B83" t="inlineStr">
        <is>
          <t>323000</t>
        </is>
      </c>
      <c r="C83" t="inlineStr">
        <is>
          <t>Line item</t>
        </is>
      </c>
      <c r="D83" t="n">
        <v>357.2</v>
      </c>
      <c r="E83" t="n">
        <v>301.9</v>
      </c>
      <c r="F83" t="n">
        <v>-55.3</v>
      </c>
      <c r="G83" t="n">
        <v>-15.5</v>
      </c>
      <c r="H83" t="n">
        <v>-1.7</v>
      </c>
      <c r="I83" t="n">
        <v>67</v>
      </c>
      <c r="J83" t="n">
        <v>71.09999999999999</v>
      </c>
      <c r="K83" t="n">
        <v>0.6</v>
      </c>
      <c r="L83" t="inlineStr">
        <is>
          <t>ISIC 17T18</t>
        </is>
      </c>
    </row>
    <row r="84">
      <c r="A84" t="inlineStr">
        <is>
          <t xml:space="preserve">      Petroleum and coal products manufacturing</t>
        </is>
      </c>
      <c r="B84" t="inlineStr">
        <is>
          <t>324000</t>
        </is>
      </c>
      <c r="C84" t="inlineStr">
        <is>
          <t>Line item</t>
        </is>
      </c>
      <c r="D84" t="n">
        <v>109.4</v>
      </c>
      <c r="E84" t="n">
        <v>106.2</v>
      </c>
      <c r="F84" t="n">
        <v>-3.2</v>
      </c>
      <c r="G84" t="n">
        <v>-3</v>
      </c>
      <c r="H84" t="n">
        <v>-0.3</v>
      </c>
      <c r="I84" t="n">
        <v>483.5</v>
      </c>
      <c r="J84" t="n">
        <v>535</v>
      </c>
      <c r="K84" t="n">
        <v>1</v>
      </c>
      <c r="L84" t="inlineStr">
        <is>
          <t>ISIC 19</t>
        </is>
      </c>
    </row>
    <row r="85">
      <c r="A85" t="inlineStr">
        <is>
          <t xml:space="preserve">      Chemical manufacturing</t>
        </is>
      </c>
      <c r="B85" t="inlineStr">
        <is>
          <t>325000</t>
        </is>
      </c>
      <c r="C85" t="inlineStr">
        <is>
          <t>Summary</t>
        </is>
      </c>
      <c r="D85" t="n">
        <v>897.9</v>
      </c>
      <c r="E85" t="n">
        <v>928.9</v>
      </c>
      <c r="F85" t="n">
        <v>31</v>
      </c>
      <c r="G85" t="n">
        <v>3.5</v>
      </c>
      <c r="H85" t="n">
        <v>0.3</v>
      </c>
      <c r="I85" t="n">
        <v>849.6</v>
      </c>
      <c r="J85" t="n">
        <v>1004</v>
      </c>
      <c r="K85" t="n">
        <v>1.7</v>
      </c>
    </row>
    <row r="86">
      <c r="A86" t="inlineStr">
        <is>
          <t xml:space="preserve">        Chemical manufacturing (3251,2,3,9)</t>
        </is>
      </c>
      <c r="B86" t="inlineStr">
        <is>
          <t>3250A1</t>
        </is>
      </c>
      <c r="C86" t="inlineStr">
        <is>
          <t>Line item</t>
        </is>
      </c>
      <c r="D86" t="n">
        <v>368.7</v>
      </c>
      <c r="E86" t="n">
        <v>376.7</v>
      </c>
      <c r="F86" t="n">
        <v>8</v>
      </c>
      <c r="G86" t="n">
        <v>2.2</v>
      </c>
      <c r="H86" t="n">
        <v>0.2</v>
      </c>
      <c r="I86" t="n">
        <v>390.8</v>
      </c>
      <c r="J86" t="n">
        <v>431.5</v>
      </c>
      <c r="K86" t="n">
        <v>1</v>
      </c>
      <c r="L86" t="inlineStr">
        <is>
          <t>ISIC 20</t>
        </is>
      </c>
    </row>
    <row r="87">
      <c r="A87" t="inlineStr">
        <is>
          <t xml:space="preserve">        Chemical manufacturing (3255,6)</t>
        </is>
      </c>
      <c r="B87" t="inlineStr">
        <is>
          <t>3250A2</t>
        </is>
      </c>
      <c r="C87" t="inlineStr">
        <is>
          <t>Line item</t>
        </is>
      </c>
      <c r="D87" t="n">
        <v>178.7</v>
      </c>
      <c r="E87" t="n">
        <v>182.7</v>
      </c>
      <c r="F87" t="n">
        <v>4</v>
      </c>
      <c r="G87" t="n">
        <v>2.3</v>
      </c>
      <c r="H87" t="n">
        <v>0.2</v>
      </c>
      <c r="I87" t="n">
        <v>114.5</v>
      </c>
      <c r="J87" t="n">
        <v>139.5</v>
      </c>
      <c r="K87" t="n">
        <v>2</v>
      </c>
      <c r="L87" t="inlineStr">
        <is>
          <t>ISIC 20</t>
        </is>
      </c>
    </row>
    <row r="88">
      <c r="A88" t="inlineStr">
        <is>
          <t xml:space="preserve">        Pharmaceutical and medicine manufacturing</t>
        </is>
      </c>
      <c r="B88" t="inlineStr">
        <is>
          <t>325400</t>
        </is>
      </c>
      <c r="C88" t="inlineStr">
        <is>
          <t>Line item</t>
        </is>
      </c>
      <c r="D88" t="n">
        <v>350.5</v>
      </c>
      <c r="E88" t="n">
        <v>369.5</v>
      </c>
      <c r="F88" t="n">
        <v>19</v>
      </c>
      <c r="G88" t="n">
        <v>5.4</v>
      </c>
      <c r="H88" t="n">
        <v>0.5</v>
      </c>
      <c r="I88" t="n">
        <v>346.7</v>
      </c>
      <c r="J88" t="n">
        <v>438.5</v>
      </c>
      <c r="K88" t="n">
        <v>2.4</v>
      </c>
      <c r="L88" t="inlineStr">
        <is>
          <t>ISIC 21</t>
        </is>
      </c>
    </row>
    <row r="89">
      <c r="A89" t="inlineStr">
        <is>
          <t xml:space="preserve">      Plastics and rubber products manufacturing</t>
        </is>
      </c>
      <c r="B89" t="inlineStr">
        <is>
          <t>326000</t>
        </is>
      </c>
      <c r="C89" t="inlineStr">
        <is>
          <t>Summary</t>
        </is>
      </c>
      <c r="D89" t="n">
        <v>725.1</v>
      </c>
      <c r="E89" t="n">
        <v>753.4</v>
      </c>
      <c r="F89" t="n">
        <v>28.3</v>
      </c>
      <c r="G89" t="n">
        <v>3.9</v>
      </c>
      <c r="H89" t="n">
        <v>0.4</v>
      </c>
      <c r="I89" t="n">
        <v>229.7</v>
      </c>
      <c r="J89" t="n">
        <v>252.1</v>
      </c>
      <c r="K89" t="n">
        <v>0.9</v>
      </c>
      <c r="L89" t="inlineStr">
        <is>
          <t>ISIC 22</t>
        </is>
      </c>
    </row>
    <row r="90">
      <c r="A90" t="inlineStr">
        <is>
          <t xml:space="preserve">        Plastics product manufacturing</t>
        </is>
      </c>
      <c r="B90" t="inlineStr">
        <is>
          <t>326100</t>
        </is>
      </c>
      <c r="C90" t="inlineStr">
        <is>
          <t>Line item</t>
        </is>
      </c>
      <c r="D90" t="n">
        <v>592.5</v>
      </c>
      <c r="E90" t="n">
        <v>618.8</v>
      </c>
      <c r="F90" t="n">
        <v>26.3</v>
      </c>
      <c r="G90" t="n">
        <v>4.4</v>
      </c>
      <c r="H90" t="n">
        <v>0.4</v>
      </c>
      <c r="I90" t="n">
        <v>190.7</v>
      </c>
      <c r="J90" t="n">
        <v>212.4</v>
      </c>
      <c r="K90" t="n">
        <v>1.1</v>
      </c>
    </row>
    <row r="91">
      <c r="A91" t="inlineStr">
        <is>
          <t xml:space="preserve">        Rubber product manufacturing</t>
        </is>
      </c>
      <c r="B91" t="inlineStr">
        <is>
          <t>326200</t>
        </is>
      </c>
      <c r="C91" t="inlineStr">
        <is>
          <t>Line item</t>
        </is>
      </c>
      <c r="D91" t="n">
        <v>132.6</v>
      </c>
      <c r="E91" t="n">
        <v>134.6</v>
      </c>
      <c r="F91" t="n">
        <v>2</v>
      </c>
      <c r="G91" t="n">
        <v>1.5</v>
      </c>
      <c r="H91" t="n">
        <v>0.1</v>
      </c>
      <c r="I91" t="n">
        <v>39.1</v>
      </c>
      <c r="J91" t="n">
        <v>39.7</v>
      </c>
      <c r="K91" t="n">
        <v>0.2</v>
      </c>
    </row>
    <row r="92">
      <c r="A92" t="inlineStr">
        <is>
          <t xml:space="preserve">      Nonmetallic mineral product manufacturing</t>
        </is>
      </c>
      <c r="B92" t="inlineStr">
        <is>
          <t>327000</t>
        </is>
      </c>
      <c r="C92" t="inlineStr">
        <is>
          <t>Line item</t>
        </is>
      </c>
      <c r="D92" t="n">
        <v>422.3</v>
      </c>
      <c r="E92" t="n">
        <v>429</v>
      </c>
      <c r="F92" t="n">
        <v>6.7</v>
      </c>
      <c r="G92" t="n">
        <v>1.6</v>
      </c>
      <c r="H92" t="n">
        <v>0.2</v>
      </c>
      <c r="I92" t="n">
        <v>113.5</v>
      </c>
      <c r="J92" t="n">
        <v>132.3</v>
      </c>
      <c r="K92" t="n">
        <v>1.5</v>
      </c>
      <c r="L92" t="inlineStr">
        <is>
          <t>ISIC 239</t>
        </is>
      </c>
    </row>
    <row r="93">
      <c r="A93" t="inlineStr">
        <is>
          <t xml:space="preserve">      Primary metal manufacturing</t>
        </is>
      </c>
      <c r="B93" t="inlineStr">
        <is>
          <t>331000</t>
        </is>
      </c>
      <c r="C93" t="inlineStr">
        <is>
          <t>Summary</t>
        </is>
      </c>
      <c r="D93" t="n">
        <v>373.2</v>
      </c>
      <c r="E93" t="n">
        <v>360.2</v>
      </c>
      <c r="F93" t="n">
        <v>-13</v>
      </c>
      <c r="G93" t="n">
        <v>-3.5</v>
      </c>
      <c r="H93" t="n">
        <v>-0.4</v>
      </c>
      <c r="I93" t="n">
        <v>246.6</v>
      </c>
      <c r="J93" t="n">
        <v>287.3</v>
      </c>
      <c r="K93" t="n">
        <v>1.5</v>
      </c>
    </row>
    <row r="94">
      <c r="A94" t="inlineStr">
        <is>
          <t xml:space="preserve">        Iron and steel mills and ferroalloy manufacturing</t>
        </is>
      </c>
      <c r="B94" t="inlineStr">
        <is>
          <t>331100</t>
        </is>
      </c>
      <c r="C94" t="inlineStr">
        <is>
          <t>Line item</t>
        </is>
      </c>
      <c r="D94" t="n">
        <v>85.59999999999999</v>
      </c>
      <c r="E94" t="n">
        <v>86.90000000000001</v>
      </c>
      <c r="F94" t="n">
        <v>1.3</v>
      </c>
      <c r="G94" t="n">
        <v>1.5</v>
      </c>
      <c r="H94" t="n">
        <v>0.2</v>
      </c>
      <c r="I94" t="n">
        <v>103.9</v>
      </c>
      <c r="J94" t="n">
        <v>124.3</v>
      </c>
      <c r="K94" t="n">
        <v>1.8</v>
      </c>
      <c r="L94" t="inlineStr">
        <is>
          <t>ISIC 241</t>
        </is>
      </c>
    </row>
    <row r="95">
      <c r="A95" t="inlineStr">
        <is>
          <t xml:space="preserve">        Steel product manufacturing from purchased steel</t>
        </is>
      </c>
      <c r="B95" t="inlineStr">
        <is>
          <t>331200</t>
        </is>
      </c>
      <c r="C95" t="inlineStr">
        <is>
          <t>Line item</t>
        </is>
      </c>
      <c r="D95" t="n">
        <v>59.8</v>
      </c>
      <c r="E95" t="n">
        <v>60.9</v>
      </c>
      <c r="F95" t="n">
        <v>1.1</v>
      </c>
      <c r="G95" t="n">
        <v>1.9</v>
      </c>
      <c r="H95" t="n">
        <v>0.2</v>
      </c>
      <c r="I95" t="n">
        <v>25.6</v>
      </c>
      <c r="J95" t="n">
        <v>30.9</v>
      </c>
      <c r="K95" t="n">
        <v>1.9</v>
      </c>
      <c r="L95" t="inlineStr">
        <is>
          <t>ISIC 241</t>
        </is>
      </c>
    </row>
    <row r="96">
      <c r="A96" t="inlineStr">
        <is>
          <t xml:space="preserve">        Alumina and aluminum production and processing</t>
        </is>
      </c>
      <c r="B96" t="inlineStr">
        <is>
          <t>331300</t>
        </is>
      </c>
      <c r="C96" t="inlineStr">
        <is>
          <t>Line item</t>
        </is>
      </c>
      <c r="D96" t="n">
        <v>59.3</v>
      </c>
      <c r="E96" t="n">
        <v>58.4</v>
      </c>
      <c r="F96" t="n">
        <v>-0.9</v>
      </c>
      <c r="G96" t="n">
        <v>-1.5</v>
      </c>
      <c r="H96" t="n">
        <v>-0.2</v>
      </c>
      <c r="I96" t="n">
        <v>38.1</v>
      </c>
      <c r="J96" t="n">
        <v>39.9</v>
      </c>
      <c r="K96" t="n">
        <v>0.5</v>
      </c>
      <c r="L96" t="inlineStr">
        <is>
          <t>ISIC 242</t>
        </is>
      </c>
    </row>
    <row r="97">
      <c r="A97" t="inlineStr">
        <is>
          <t xml:space="preserve">        Nonferrous metal (except aluminum) production and processing</t>
        </is>
      </c>
      <c r="B97" t="inlineStr">
        <is>
          <t>331400</t>
        </is>
      </c>
      <c r="C97" t="inlineStr">
        <is>
          <t>Line item</t>
        </is>
      </c>
      <c r="D97" t="n">
        <v>62.5</v>
      </c>
      <c r="E97" t="n">
        <v>63.6</v>
      </c>
      <c r="F97" t="n">
        <v>1.1</v>
      </c>
      <c r="G97" t="n">
        <v>1.8</v>
      </c>
      <c r="H97" t="n">
        <v>0.2</v>
      </c>
      <c r="I97" t="n">
        <v>50.3</v>
      </c>
      <c r="J97" t="n">
        <v>64.09999999999999</v>
      </c>
      <c r="K97" t="n">
        <v>2.4</v>
      </c>
      <c r="L97" t="inlineStr">
        <is>
          <t>ISIC 242</t>
        </is>
      </c>
    </row>
    <row r="98">
      <c r="A98" t="inlineStr">
        <is>
          <t xml:space="preserve">        Foundries</t>
        </is>
      </c>
      <c r="B98" t="inlineStr">
        <is>
          <t>331500</t>
        </is>
      </c>
      <c r="C98" t="inlineStr">
        <is>
          <t>Line item</t>
        </is>
      </c>
      <c r="D98" t="n">
        <v>106</v>
      </c>
      <c r="E98" t="n">
        <v>90.40000000000001</v>
      </c>
      <c r="F98" t="n">
        <v>-15.6</v>
      </c>
      <c r="G98" t="n">
        <v>-14.7</v>
      </c>
      <c r="H98" t="n">
        <v>-1.6</v>
      </c>
      <c r="I98" t="n">
        <v>26.9</v>
      </c>
      <c r="J98" t="n">
        <v>24.8</v>
      </c>
      <c r="K98" t="n">
        <v>-0.8</v>
      </c>
    </row>
    <row r="99">
      <c r="A99" t="inlineStr">
        <is>
          <t xml:space="preserve">      Fabricated metal product manufacturing</t>
        </is>
      </c>
      <c r="B99" t="inlineStr">
        <is>
          <t>332000</t>
        </is>
      </c>
      <c r="C99" t="inlineStr">
        <is>
          <t>Summary</t>
        </is>
      </c>
      <c r="D99" t="n">
        <v>1442.1</v>
      </c>
      <c r="E99" t="n">
        <v>1385.3</v>
      </c>
      <c r="F99" t="n">
        <v>-56.8</v>
      </c>
      <c r="G99" t="n">
        <v>-3.9</v>
      </c>
      <c r="H99" t="n">
        <v>-0.4</v>
      </c>
      <c r="I99" t="n">
        <v>303.5</v>
      </c>
      <c r="J99" t="n">
        <v>329.5</v>
      </c>
      <c r="K99" t="n">
        <v>0.8</v>
      </c>
      <c r="L99" t="inlineStr">
        <is>
          <t>ISIC 25</t>
        </is>
      </c>
    </row>
    <row r="100">
      <c r="A100" t="inlineStr">
        <is>
          <t xml:space="preserve">        Fabricated metal product manufacturing (3321,2,5,6,9)</t>
        </is>
      </c>
      <c r="B100" t="inlineStr">
        <is>
          <t>3320A1</t>
        </is>
      </c>
      <c r="C100" t="inlineStr">
        <is>
          <t>Line item</t>
        </is>
      </c>
      <c r="D100" t="n">
        <v>467.8</v>
      </c>
      <c r="E100" t="n">
        <v>423.2</v>
      </c>
      <c r="F100" t="n">
        <v>-44.6</v>
      </c>
      <c r="G100" t="n">
        <v>-9.5</v>
      </c>
      <c r="H100" t="n">
        <v>-1</v>
      </c>
      <c r="I100" t="n">
        <v>123.8</v>
      </c>
      <c r="J100" t="n">
        <v>129.6</v>
      </c>
      <c r="K100" t="n">
        <v>0.5</v>
      </c>
    </row>
    <row r="101">
      <c r="A101" t="inlineStr">
        <is>
          <t xml:space="preserve">        Fabricated metal product manufacturing (3323,4)</t>
        </is>
      </c>
      <c r="B101" t="inlineStr">
        <is>
          <t>3320A2</t>
        </is>
      </c>
      <c r="C101" t="inlineStr">
        <is>
          <t>Line item</t>
        </is>
      </c>
      <c r="D101" t="n">
        <v>511.5</v>
      </c>
      <c r="E101" t="n">
        <v>526.3</v>
      </c>
      <c r="F101" t="n">
        <v>14.8</v>
      </c>
      <c r="G101" t="n">
        <v>2.9</v>
      </c>
      <c r="H101" t="n">
        <v>0.3</v>
      </c>
      <c r="I101" t="n">
        <v>97.40000000000001</v>
      </c>
      <c r="J101" t="n">
        <v>109.1</v>
      </c>
      <c r="K101" t="n">
        <v>1.1</v>
      </c>
    </row>
    <row r="102">
      <c r="A102" t="inlineStr">
        <is>
          <t xml:space="preserve">        Machine shops; turned product; and screw, nut, and bolt manufacturing</t>
        </is>
      </c>
      <c r="B102" t="inlineStr">
        <is>
          <t>332700</t>
        </is>
      </c>
      <c r="C102" t="inlineStr">
        <is>
          <t>Summary</t>
        </is>
      </c>
      <c r="D102" t="n">
        <v>333.2</v>
      </c>
      <c r="E102" t="n">
        <v>319.8</v>
      </c>
      <c r="F102" t="n">
        <v>-13.4</v>
      </c>
      <c r="G102" t="n">
        <v>-4</v>
      </c>
      <c r="H102" t="n">
        <v>-0.4</v>
      </c>
      <c r="I102" t="n">
        <v>59.1</v>
      </c>
      <c r="J102" t="n">
        <v>65.90000000000001</v>
      </c>
      <c r="K102" t="n">
        <v>1.1</v>
      </c>
    </row>
    <row r="103">
      <c r="A103" t="inlineStr">
        <is>
          <t xml:space="preserve">          Machine shops</t>
        </is>
      </c>
      <c r="B103" t="inlineStr">
        <is>
          <t>332710</t>
        </is>
      </c>
      <c r="C103" t="inlineStr">
        <is>
          <t>Line item</t>
        </is>
      </c>
      <c r="D103" t="n">
        <v>259</v>
      </c>
      <c r="E103" t="n">
        <v>260.1</v>
      </c>
      <c r="F103" t="n">
        <v>1.1</v>
      </c>
      <c r="G103" t="n">
        <v>0.4</v>
      </c>
      <c r="H103" t="n">
        <v>0</v>
      </c>
      <c r="I103" t="n">
        <v>37.1</v>
      </c>
      <c r="J103" t="n">
        <v>41.3</v>
      </c>
      <c r="K103" t="n">
        <v>1.1</v>
      </c>
    </row>
    <row r="104">
      <c r="A104" t="inlineStr">
        <is>
          <t xml:space="preserve">          Turned product and screw, nut, and bolt manufacturing</t>
        </is>
      </c>
      <c r="B104" t="inlineStr">
        <is>
          <t>332720</t>
        </is>
      </c>
      <c r="C104" t="inlineStr">
        <is>
          <t>Line item</t>
        </is>
      </c>
      <c r="D104" t="n">
        <v>74.2</v>
      </c>
      <c r="E104" t="n">
        <v>59.8</v>
      </c>
      <c r="F104" t="n">
        <v>-14.4</v>
      </c>
      <c r="G104" t="n">
        <v>-19.5</v>
      </c>
      <c r="H104" t="n">
        <v>-2.1</v>
      </c>
      <c r="I104" t="n">
        <v>22.2</v>
      </c>
      <c r="J104" t="n">
        <v>24.7</v>
      </c>
      <c r="K104" t="n">
        <v>1.1</v>
      </c>
    </row>
    <row r="105">
      <c r="A105" t="inlineStr">
        <is>
          <t xml:space="preserve">        Coating, engraving, heat treating, and allied activities</t>
        </is>
      </c>
      <c r="B105" t="inlineStr">
        <is>
          <t>332800</t>
        </is>
      </c>
      <c r="C105" t="inlineStr">
        <is>
          <t>Line item</t>
        </is>
      </c>
      <c r="D105" t="n">
        <v>129.6</v>
      </c>
      <c r="E105" t="n">
        <v>115.9</v>
      </c>
      <c r="F105" t="n">
        <v>-13.7</v>
      </c>
      <c r="G105" t="n">
        <v>-10.6</v>
      </c>
      <c r="H105" t="n">
        <v>-1.1</v>
      </c>
      <c r="I105" t="n">
        <v>25.1</v>
      </c>
      <c r="J105" t="n">
        <v>26.1</v>
      </c>
      <c r="K105" t="n">
        <v>0.4</v>
      </c>
    </row>
    <row r="106">
      <c r="A106" t="inlineStr">
        <is>
          <t xml:space="preserve">      Machinery manufacturing</t>
        </is>
      </c>
      <c r="B106" t="inlineStr">
        <is>
          <t>333000</t>
        </is>
      </c>
      <c r="C106" t="inlineStr">
        <is>
          <t>Summary</t>
        </is>
      </c>
      <c r="D106" t="n">
        <v>1118.8</v>
      </c>
      <c r="E106" t="n">
        <v>1108.2</v>
      </c>
      <c r="F106" t="n">
        <v>-10.6</v>
      </c>
      <c r="G106" t="n">
        <v>-0.9</v>
      </c>
      <c r="H106" t="n">
        <v>-0.1</v>
      </c>
      <c r="I106" t="n">
        <v>330.1</v>
      </c>
      <c r="J106" t="n">
        <v>366.9</v>
      </c>
      <c r="K106" t="n">
        <v>1.1</v>
      </c>
      <c r="L106" t="inlineStr">
        <is>
          <t>ISIC 28</t>
        </is>
      </c>
    </row>
    <row r="107">
      <c r="A107" t="inlineStr">
        <is>
          <t xml:space="preserve">        Machinery manufacturing (3331,2,4,9)</t>
        </is>
      </c>
      <c r="B107" t="inlineStr">
        <is>
          <t>3330A1</t>
        </is>
      </c>
      <c r="C107" t="inlineStr">
        <is>
          <t>Line item</t>
        </is>
      </c>
      <c r="D107" t="n">
        <v>780.2</v>
      </c>
      <c r="E107" t="n">
        <v>782.8</v>
      </c>
      <c r="F107" t="n">
        <v>2.6</v>
      </c>
      <c r="G107" t="n">
        <v>0.3</v>
      </c>
      <c r="H107" t="n">
        <v>0</v>
      </c>
      <c r="I107" t="n">
        <v>241.2</v>
      </c>
      <c r="J107" t="n">
        <v>266.8</v>
      </c>
      <c r="K107" t="n">
        <v>1</v>
      </c>
    </row>
    <row r="108">
      <c r="A108" t="inlineStr">
        <is>
          <t xml:space="preserve">        Commercial and service industry machinery manufacturing</t>
        </is>
      </c>
      <c r="B108" t="inlineStr">
        <is>
          <t>333300</t>
        </is>
      </c>
      <c r="C108" t="inlineStr">
        <is>
          <t>Line item</t>
        </is>
      </c>
      <c r="D108" t="n">
        <v>88.7</v>
      </c>
      <c r="E108" t="n">
        <v>89.59999999999999</v>
      </c>
      <c r="F108" t="n">
        <v>0.9</v>
      </c>
      <c r="G108" t="n">
        <v>1</v>
      </c>
      <c r="H108" t="n">
        <v>0.1</v>
      </c>
      <c r="I108" t="n">
        <v>23.5</v>
      </c>
      <c r="J108" t="n">
        <v>26.4</v>
      </c>
      <c r="K108" t="n">
        <v>1.2</v>
      </c>
    </row>
    <row r="109">
      <c r="A109" t="inlineStr">
        <is>
          <t xml:space="preserve">        Metalworking machinery manufacturing</t>
        </is>
      </c>
      <c r="B109" t="inlineStr">
        <is>
          <t>333500</t>
        </is>
      </c>
      <c r="C109" t="inlineStr">
        <is>
          <t>Line item</t>
        </is>
      </c>
      <c r="D109" t="n">
        <v>157.1</v>
      </c>
      <c r="E109" t="n">
        <v>147.4</v>
      </c>
      <c r="F109" t="n">
        <v>-9.699999999999999</v>
      </c>
      <c r="G109" t="n">
        <v>-6.2</v>
      </c>
      <c r="H109" t="n">
        <v>-0.6</v>
      </c>
      <c r="I109" t="n">
        <v>27.3</v>
      </c>
      <c r="J109" t="n">
        <v>30.6</v>
      </c>
      <c r="K109" t="n">
        <v>1.1</v>
      </c>
    </row>
    <row r="110">
      <c r="A110" t="inlineStr">
        <is>
          <t xml:space="preserve">        Engine, turbine, and power transmission equipment manufacturing</t>
        </is>
      </c>
      <c r="B110" t="inlineStr">
        <is>
          <t>333600</t>
        </is>
      </c>
      <c r="C110" t="inlineStr">
        <is>
          <t>Line item</t>
        </is>
      </c>
      <c r="D110" t="n">
        <v>92.8</v>
      </c>
      <c r="E110" t="n">
        <v>88.40000000000001</v>
      </c>
      <c r="F110" t="n">
        <v>-4.4</v>
      </c>
      <c r="G110" t="n">
        <v>-4.8</v>
      </c>
      <c r="H110" t="n">
        <v>-0.5</v>
      </c>
      <c r="I110" t="n">
        <v>38</v>
      </c>
      <c r="J110" t="n">
        <v>43.1</v>
      </c>
      <c r="K110" t="n">
        <v>1.3</v>
      </c>
    </row>
    <row r="111">
      <c r="A111" t="inlineStr">
        <is>
          <t xml:space="preserve">      Computer and electronic product manufacturing</t>
        </is>
      </c>
      <c r="B111" t="inlineStr">
        <is>
          <t>334000</t>
        </is>
      </c>
      <c r="C111" t="inlineStr">
        <is>
          <t>Summary</t>
        </is>
      </c>
      <c r="D111" t="n">
        <v>1027.7</v>
      </c>
      <c r="E111" t="n">
        <v>1077.3</v>
      </c>
      <c r="F111" t="n">
        <v>49.6</v>
      </c>
      <c r="G111" t="n">
        <v>4.8</v>
      </c>
      <c r="H111" t="n">
        <v>0.5</v>
      </c>
      <c r="I111" t="n">
        <v>391.5</v>
      </c>
      <c r="J111" t="n">
        <v>488.4</v>
      </c>
      <c r="K111" t="n">
        <v>2.2</v>
      </c>
      <c r="L111" t="inlineStr">
        <is>
          <t>ISIC 26</t>
        </is>
      </c>
    </row>
    <row r="112">
      <c r="A112" t="inlineStr">
        <is>
          <t xml:space="preserve">        Computer and peripheral equipment manufacturing</t>
        </is>
      </c>
      <c r="B112" t="inlineStr">
        <is>
          <t>334100</t>
        </is>
      </c>
      <c r="C112" t="inlineStr">
        <is>
          <t>Line item</t>
        </is>
      </c>
      <c r="D112" t="n">
        <v>110.3</v>
      </c>
      <c r="E112" t="n">
        <v>111.8</v>
      </c>
      <c r="F112" t="n">
        <v>1.5</v>
      </c>
      <c r="G112" t="n">
        <v>1.4</v>
      </c>
      <c r="H112" t="n">
        <v>0.1</v>
      </c>
      <c r="I112" t="n">
        <v>43.5</v>
      </c>
      <c r="J112" t="n">
        <v>51</v>
      </c>
      <c r="K112" t="n">
        <v>1.6</v>
      </c>
    </row>
    <row r="113">
      <c r="A113" t="inlineStr">
        <is>
          <t xml:space="preserve">        Communications equipment manufacturing</t>
        </is>
      </c>
      <c r="B113" t="inlineStr">
        <is>
          <t>334200</t>
        </is>
      </c>
      <c r="C113" t="inlineStr">
        <is>
          <t>Line item</t>
        </is>
      </c>
      <c r="D113" t="n">
        <v>83</v>
      </c>
      <c r="E113" t="n">
        <v>77.5</v>
      </c>
      <c r="F113" t="n">
        <v>-5.5</v>
      </c>
      <c r="G113" t="n">
        <v>-6.6</v>
      </c>
      <c r="H113" t="n">
        <v>-0.7</v>
      </c>
      <c r="I113" t="n">
        <v>54.5</v>
      </c>
      <c r="J113" t="n">
        <v>66.5</v>
      </c>
      <c r="K113" t="n">
        <v>2</v>
      </c>
    </row>
    <row r="114">
      <c r="A114" t="inlineStr">
        <is>
          <t xml:space="preserve">        Audio and video equipment manufacturing</t>
        </is>
      </c>
      <c r="B114" t="inlineStr">
        <is>
          <t>334300</t>
        </is>
      </c>
      <c r="C114" t="inlineStr">
        <is>
          <t>Line item</t>
        </is>
      </c>
      <c r="D114" t="n">
        <v>19.1</v>
      </c>
      <c r="E114" t="n">
        <v>18.4</v>
      </c>
      <c r="F114" t="n">
        <v>-0.7</v>
      </c>
      <c r="G114" t="n">
        <v>-3.6</v>
      </c>
      <c r="H114" t="n">
        <v>-0.4</v>
      </c>
      <c r="I114" t="n">
        <v>4.2</v>
      </c>
      <c r="J114" t="n">
        <v>5.1</v>
      </c>
      <c r="K114" t="n">
        <v>2</v>
      </c>
    </row>
    <row r="115">
      <c r="A115" t="inlineStr">
        <is>
          <t xml:space="preserve">        Semiconductor and other electronic component manufacturing</t>
        </is>
      </c>
      <c r="B115" t="inlineStr">
        <is>
          <t>334400</t>
        </is>
      </c>
      <c r="C115" t="inlineStr">
        <is>
          <t>Line item</t>
        </is>
      </c>
      <c r="D115" t="n">
        <v>392.3</v>
      </c>
      <c r="E115" t="n">
        <v>436.8</v>
      </c>
      <c r="F115" t="n">
        <v>44.5</v>
      </c>
      <c r="G115" t="n">
        <v>11.4</v>
      </c>
      <c r="H115" t="n">
        <v>1.1</v>
      </c>
      <c r="I115" t="n">
        <v>140.2</v>
      </c>
      <c r="J115" t="n">
        <v>183</v>
      </c>
      <c r="K115" t="n">
        <v>2.7</v>
      </c>
    </row>
    <row r="116">
      <c r="A116" t="inlineStr">
        <is>
          <t xml:space="preserve">        Navigational, measuring, electromedical, and control instruments manufacturing</t>
        </is>
      </c>
      <c r="B116" t="inlineStr">
        <is>
          <t>334500</t>
        </is>
      </c>
      <c r="C116" t="inlineStr">
        <is>
          <t>Line item</t>
        </is>
      </c>
      <c r="D116" t="n">
        <v>412.5</v>
      </c>
      <c r="E116" t="n">
        <v>426.5</v>
      </c>
      <c r="F116" t="n">
        <v>14</v>
      </c>
      <c r="G116" t="n">
        <v>3.4</v>
      </c>
      <c r="H116" t="n">
        <v>0.3</v>
      </c>
      <c r="I116" t="n">
        <v>149.7</v>
      </c>
      <c r="J116" t="n">
        <v>184.7</v>
      </c>
      <c r="K116" t="n">
        <v>2.1</v>
      </c>
    </row>
    <row r="117">
      <c r="A117" t="inlineStr">
        <is>
          <t xml:space="preserve">        Manufacturing and reproducing magnetic and optical media</t>
        </is>
      </c>
      <c r="B117" t="inlineStr">
        <is>
          <t>334600</t>
        </is>
      </c>
      <c r="C117" t="inlineStr">
        <is>
          <t>Line item</t>
        </is>
      </c>
      <c r="D117" t="n">
        <v>10.5</v>
      </c>
      <c r="E117" t="n">
        <v>6.2</v>
      </c>
      <c r="F117" t="n">
        <v>-4.3</v>
      </c>
      <c r="G117" t="n">
        <v>-41.3</v>
      </c>
      <c r="H117" t="n">
        <v>-5.1</v>
      </c>
      <c r="I117" t="n">
        <v>1.7</v>
      </c>
      <c r="J117" t="n">
        <v>1.4</v>
      </c>
      <c r="K117" t="n">
        <v>-1.9</v>
      </c>
    </row>
    <row r="118">
      <c r="A118" t="inlineStr">
        <is>
          <t xml:space="preserve">      Electrical equipment, appliance, and component manufacturing</t>
        </is>
      </c>
      <c r="B118" t="inlineStr">
        <is>
          <t>335000</t>
        </is>
      </c>
      <c r="C118" t="inlineStr">
        <is>
          <t>Summary</t>
        </is>
      </c>
      <c r="D118" t="n">
        <v>413.3</v>
      </c>
      <c r="E118" t="n">
        <v>459.7</v>
      </c>
      <c r="F118" t="n">
        <v>46.4</v>
      </c>
      <c r="G118" t="n">
        <v>11.2</v>
      </c>
      <c r="H118" t="n">
        <v>1.1</v>
      </c>
      <c r="I118" t="n">
        <v>121.1</v>
      </c>
      <c r="J118" t="n">
        <v>143.8</v>
      </c>
      <c r="K118" t="n">
        <v>1.7</v>
      </c>
      <c r="L118" t="inlineStr">
        <is>
          <t>ISIC 27</t>
        </is>
      </c>
    </row>
    <row r="119">
      <c r="A119" t="inlineStr">
        <is>
          <t xml:space="preserve">        Electric lighting equipment manufacturing</t>
        </is>
      </c>
      <c r="B119" t="inlineStr">
        <is>
          <t>335100</t>
        </is>
      </c>
      <c r="C119" t="inlineStr">
        <is>
          <t>Line item</t>
        </is>
      </c>
      <c r="D119" t="n">
        <v>34.5</v>
      </c>
      <c r="E119" t="n">
        <v>30.2</v>
      </c>
      <c r="F119" t="n">
        <v>-4.3</v>
      </c>
      <c r="G119" t="n">
        <v>-12.3</v>
      </c>
      <c r="H119" t="n">
        <v>-1.3</v>
      </c>
      <c r="I119" t="n">
        <v>12.1</v>
      </c>
      <c r="J119" t="n">
        <v>10.6</v>
      </c>
      <c r="K119" t="n">
        <v>-1.3</v>
      </c>
    </row>
    <row r="120">
      <c r="A120" t="inlineStr">
        <is>
          <t xml:space="preserve">        Household appliance manufacturing</t>
        </is>
      </c>
      <c r="B120" t="inlineStr">
        <is>
          <t>335200</t>
        </is>
      </c>
      <c r="C120" t="inlineStr">
        <is>
          <t>Line item</t>
        </is>
      </c>
      <c r="D120" t="n">
        <v>60.1</v>
      </c>
      <c r="E120" t="n">
        <v>55.6</v>
      </c>
      <c r="F120" t="n">
        <v>-4.5</v>
      </c>
      <c r="G120" t="n">
        <v>-7.5</v>
      </c>
      <c r="H120" t="n">
        <v>-0.8</v>
      </c>
      <c r="I120" t="n">
        <v>21.9</v>
      </c>
      <c r="J120" t="n">
        <v>24.1</v>
      </c>
      <c r="K120" t="n">
        <v>1</v>
      </c>
    </row>
    <row r="121">
      <c r="A121" t="inlineStr">
        <is>
          <t xml:space="preserve">        Electrical equipment manufacturing</t>
        </is>
      </c>
      <c r="B121" t="inlineStr">
        <is>
          <t>335300</t>
        </is>
      </c>
      <c r="C121" t="inlineStr">
        <is>
          <t>Line item</t>
        </is>
      </c>
      <c r="D121" t="n">
        <v>153</v>
      </c>
      <c r="E121" t="n">
        <v>159.8</v>
      </c>
      <c r="F121" t="n">
        <v>6.8</v>
      </c>
      <c r="G121" t="n">
        <v>4.4</v>
      </c>
      <c r="H121" t="n">
        <v>0.4</v>
      </c>
      <c r="I121" t="n">
        <v>38.5</v>
      </c>
      <c r="J121" t="n">
        <v>44.6</v>
      </c>
      <c r="K121" t="n">
        <v>1.5</v>
      </c>
    </row>
    <row r="122">
      <c r="A122" t="inlineStr">
        <is>
          <t xml:space="preserve">        Other electrical equipment and component manufacturing</t>
        </is>
      </c>
      <c r="B122" t="inlineStr">
        <is>
          <t>335900</t>
        </is>
      </c>
      <c r="C122" t="inlineStr">
        <is>
          <t>Line item</t>
        </is>
      </c>
      <c r="D122" t="n">
        <v>165.7</v>
      </c>
      <c r="E122" t="n">
        <v>214.1</v>
      </c>
      <c r="F122" t="n">
        <v>48.4</v>
      </c>
      <c r="G122" t="n">
        <v>29.2</v>
      </c>
      <c r="H122" t="n">
        <v>2.6</v>
      </c>
      <c r="I122" t="n">
        <v>48.5</v>
      </c>
      <c r="J122" t="n">
        <v>64</v>
      </c>
      <c r="K122" t="n">
        <v>2.8</v>
      </c>
    </row>
    <row r="123">
      <c r="A123" t="inlineStr">
        <is>
          <t xml:space="preserve">      Transportation equipment manufacturing</t>
        </is>
      </c>
      <c r="B123" t="inlineStr">
        <is>
          <t>336000</t>
        </is>
      </c>
      <c r="C123" t="inlineStr">
        <is>
          <t>Summary</t>
        </is>
      </c>
      <c r="D123" t="n">
        <v>1793.2</v>
      </c>
      <c r="E123" t="n">
        <v>1718</v>
      </c>
      <c r="F123" t="n">
        <v>-75.2</v>
      </c>
      <c r="G123" t="n">
        <v>-4.2</v>
      </c>
      <c r="H123" t="n">
        <v>-0.4</v>
      </c>
      <c r="I123" t="n">
        <v>1054.5</v>
      </c>
      <c r="J123" t="n">
        <v>1122</v>
      </c>
      <c r="K123" t="n">
        <v>0.6</v>
      </c>
    </row>
    <row r="124">
      <c r="A124" t="inlineStr">
        <is>
          <t xml:space="preserve">        Motor vehicle manufacturing</t>
        </is>
      </c>
      <c r="B124" t="inlineStr">
        <is>
          <t>336100</t>
        </is>
      </c>
      <c r="C124" t="inlineStr">
        <is>
          <t>Line item</t>
        </is>
      </c>
      <c r="D124" t="n">
        <v>302</v>
      </c>
      <c r="E124" t="n">
        <v>318.2</v>
      </c>
      <c r="F124" t="n">
        <v>16.2</v>
      </c>
      <c r="G124" t="n">
        <v>5.4</v>
      </c>
      <c r="H124" t="n">
        <v>0.5</v>
      </c>
      <c r="I124" t="n">
        <v>396.7</v>
      </c>
      <c r="J124" t="n">
        <v>437.5</v>
      </c>
      <c r="K124" t="n">
        <v>1</v>
      </c>
      <c r="L124" t="inlineStr">
        <is>
          <t>ISIC 29</t>
        </is>
      </c>
    </row>
    <row r="125">
      <c r="A125" t="inlineStr">
        <is>
          <t xml:space="preserve">        Motor vehicle body and trailer manufacturing</t>
        </is>
      </c>
      <c r="B125" t="inlineStr">
        <is>
          <t>336200</t>
        </is>
      </c>
      <c r="C125" t="inlineStr">
        <is>
          <t>Line item</t>
        </is>
      </c>
      <c r="D125" t="n">
        <v>163.5</v>
      </c>
      <c r="E125" t="n">
        <v>169</v>
      </c>
      <c r="F125" t="n">
        <v>5.5</v>
      </c>
      <c r="G125" t="n">
        <v>3.4</v>
      </c>
      <c r="H125" t="n">
        <v>0.3</v>
      </c>
      <c r="I125" t="n">
        <v>55</v>
      </c>
      <c r="J125" t="n">
        <v>69.59999999999999</v>
      </c>
      <c r="K125" t="n">
        <v>2.4</v>
      </c>
      <c r="L125" t="inlineStr">
        <is>
          <t>ISIC 29</t>
        </is>
      </c>
    </row>
    <row r="126">
      <c r="A126" t="inlineStr">
        <is>
          <t xml:space="preserve">        Motor vehicle parts manufacturing</t>
        </is>
      </c>
      <c r="B126" t="inlineStr">
        <is>
          <t>336300</t>
        </is>
      </c>
      <c r="C126" t="inlineStr">
        <is>
          <t>Line item</t>
        </is>
      </c>
      <c r="D126" t="n">
        <v>553.3</v>
      </c>
      <c r="E126" t="n">
        <v>429.3</v>
      </c>
      <c r="F126" t="n">
        <v>-124</v>
      </c>
      <c r="G126" t="n">
        <v>-22.4</v>
      </c>
      <c r="H126" t="n">
        <v>-2.5</v>
      </c>
      <c r="I126" t="n">
        <v>250.8</v>
      </c>
      <c r="J126" t="n">
        <v>180.2</v>
      </c>
      <c r="K126" t="n">
        <v>-3.3</v>
      </c>
      <c r="L126" t="inlineStr">
        <is>
          <t>ISIC 29</t>
        </is>
      </c>
    </row>
    <row r="127">
      <c r="A127" t="inlineStr">
        <is>
          <t xml:space="preserve">        Aerospace product and parts manufacturing</t>
        </is>
      </c>
      <c r="B127" t="inlineStr">
        <is>
          <t>336400</t>
        </is>
      </c>
      <c r="C127" t="inlineStr">
        <is>
          <t>Line item</t>
        </is>
      </c>
      <c r="D127" t="n">
        <v>559.1</v>
      </c>
      <c r="E127" t="n">
        <v>589.2</v>
      </c>
      <c r="F127" t="n">
        <v>30.1</v>
      </c>
      <c r="G127" t="n">
        <v>5.4</v>
      </c>
      <c r="H127" t="n">
        <v>0.5</v>
      </c>
      <c r="I127" t="n">
        <v>281.6</v>
      </c>
      <c r="J127" t="n">
        <v>343.5</v>
      </c>
      <c r="K127" t="n">
        <v>2</v>
      </c>
      <c r="L127" t="inlineStr">
        <is>
          <t>ISIC 302T309</t>
        </is>
      </c>
    </row>
    <row r="128">
      <c r="A128" t="inlineStr">
        <is>
          <t xml:space="preserve">        Railroad rolling stock manufacturing</t>
        </is>
      </c>
      <c r="B128" t="inlineStr">
        <is>
          <t>336500</t>
        </is>
      </c>
      <c r="C128" t="inlineStr">
        <is>
          <t>Line item</t>
        </is>
      </c>
      <c r="D128" t="n">
        <v>23.4</v>
      </c>
      <c r="E128" t="n">
        <v>20.7</v>
      </c>
      <c r="F128" t="n">
        <v>-2.7</v>
      </c>
      <c r="G128" t="n">
        <v>-11.5</v>
      </c>
      <c r="H128" t="n">
        <v>-1.2</v>
      </c>
      <c r="I128" t="n">
        <v>10</v>
      </c>
      <c r="J128" t="n">
        <v>10.6</v>
      </c>
      <c r="K128" t="n">
        <v>0.6</v>
      </c>
      <c r="L128" t="inlineStr">
        <is>
          <t>ISIC 302T309</t>
        </is>
      </c>
    </row>
    <row r="129">
      <c r="A129" t="inlineStr">
        <is>
          <t xml:space="preserve">        Ship and boat building</t>
        </is>
      </c>
      <c r="B129" t="inlineStr">
        <is>
          <t>336600</t>
        </is>
      </c>
      <c r="C129" t="inlineStr">
        <is>
          <t>Line item</t>
        </is>
      </c>
      <c r="D129" t="n">
        <v>150.5</v>
      </c>
      <c r="E129" t="n">
        <v>154.1</v>
      </c>
      <c r="F129" t="n">
        <v>3.6</v>
      </c>
      <c r="G129" t="n">
        <v>2.4</v>
      </c>
      <c r="H129" t="n">
        <v>0.2</v>
      </c>
      <c r="I129" t="n">
        <v>40</v>
      </c>
      <c r="J129" t="n">
        <v>45.3</v>
      </c>
      <c r="K129" t="n">
        <v>1.3</v>
      </c>
      <c r="L129" t="inlineStr">
        <is>
          <t>ISIC 301</t>
        </is>
      </c>
    </row>
    <row r="130">
      <c r="A130" t="inlineStr">
        <is>
          <t xml:space="preserve">        Other transportation equipment manufacturing</t>
        </is>
      </c>
      <c r="B130" t="inlineStr">
        <is>
          <t>336900</t>
        </is>
      </c>
      <c r="C130" t="inlineStr">
        <is>
          <t>Line item</t>
        </is>
      </c>
      <c r="D130" t="n">
        <v>41.4</v>
      </c>
      <c r="E130" t="n">
        <v>37.5</v>
      </c>
      <c r="F130" t="n">
        <v>-3.9</v>
      </c>
      <c r="G130" t="n">
        <v>-9.4</v>
      </c>
      <c r="H130" t="n">
        <v>-1</v>
      </c>
      <c r="I130" t="n">
        <v>23.9</v>
      </c>
      <c r="J130" t="n">
        <v>30.9</v>
      </c>
      <c r="K130" t="n">
        <v>2.6</v>
      </c>
      <c r="L130" t="inlineStr">
        <is>
          <t>ISIC 302T309</t>
        </is>
      </c>
    </row>
    <row r="131">
      <c r="A131" t="inlineStr">
        <is>
          <t xml:space="preserve">      Furniture and related product manufacturing</t>
        </is>
      </c>
      <c r="B131" t="inlineStr">
        <is>
          <t>337000</t>
        </is>
      </c>
      <c r="C131" t="inlineStr">
        <is>
          <t>Summary</t>
        </is>
      </c>
      <c r="D131" t="n">
        <v>343.3</v>
      </c>
      <c r="E131" t="n">
        <v>325.4</v>
      </c>
      <c r="F131" t="n">
        <v>-17.9</v>
      </c>
      <c r="G131" t="n">
        <v>-5.2</v>
      </c>
      <c r="H131" t="n">
        <v>-0.5</v>
      </c>
      <c r="I131" t="n">
        <v>61.7</v>
      </c>
      <c r="J131" t="n">
        <v>68.40000000000001</v>
      </c>
      <c r="K131" t="n">
        <v>1</v>
      </c>
      <c r="L131" t="inlineStr">
        <is>
          <t>ISIC 31T33</t>
        </is>
      </c>
    </row>
    <row r="132">
      <c r="A132" t="inlineStr">
        <is>
          <t xml:space="preserve">        Furniture and related product manufacturing (3371,2)</t>
        </is>
      </c>
      <c r="B132" t="inlineStr">
        <is>
          <t>3370A1</t>
        </is>
      </c>
      <c r="C132" t="inlineStr">
        <is>
          <t>Line item</t>
        </is>
      </c>
      <c r="D132" t="n">
        <v>315.2</v>
      </c>
      <c r="E132" t="n">
        <v>297.7</v>
      </c>
      <c r="F132" t="n">
        <v>-17.5</v>
      </c>
      <c r="G132" t="n">
        <v>-5.6</v>
      </c>
      <c r="H132" t="n">
        <v>-0.6</v>
      </c>
      <c r="I132" t="n">
        <v>54</v>
      </c>
      <c r="J132" t="n">
        <v>59.4</v>
      </c>
      <c r="K132" t="n">
        <v>1</v>
      </c>
    </row>
    <row r="133">
      <c r="A133" t="inlineStr">
        <is>
          <t xml:space="preserve">        Other furniture related product manufacturing</t>
        </is>
      </c>
      <c r="B133" t="inlineStr">
        <is>
          <t>337900</t>
        </is>
      </c>
      <c r="C133" t="inlineStr">
        <is>
          <t>Line item</t>
        </is>
      </c>
      <c r="D133" t="n">
        <v>28.1</v>
      </c>
      <c r="E133" t="n">
        <v>27.7</v>
      </c>
      <c r="F133" t="n">
        <v>-0.4</v>
      </c>
      <c r="G133" t="n">
        <v>-1.3</v>
      </c>
      <c r="H133" t="n">
        <v>-0.1</v>
      </c>
      <c r="I133" t="n">
        <v>7.8</v>
      </c>
      <c r="J133" t="n">
        <v>9</v>
      </c>
      <c r="K133" t="n">
        <v>1.5</v>
      </c>
    </row>
    <row r="134">
      <c r="A134" t="inlineStr">
        <is>
          <t xml:space="preserve">      Miscellaneous manufacturing</t>
        </is>
      </c>
      <c r="B134" t="inlineStr">
        <is>
          <t>339000</t>
        </is>
      </c>
      <c r="C134" t="inlineStr">
        <is>
          <t>Summary</t>
        </is>
      </c>
      <c r="D134" t="n">
        <v>615.4</v>
      </c>
      <c r="E134" t="n">
        <v>626.9</v>
      </c>
      <c r="F134" t="n">
        <v>11.5</v>
      </c>
      <c r="G134" t="n">
        <v>1.9</v>
      </c>
      <c r="H134" t="n">
        <v>0.2</v>
      </c>
      <c r="I134" t="n">
        <v>162.6</v>
      </c>
      <c r="J134" t="n">
        <v>192.9</v>
      </c>
      <c r="K134" t="n">
        <v>1.7</v>
      </c>
      <c r="L134" t="inlineStr">
        <is>
          <t>ISIC 31T33</t>
        </is>
      </c>
    </row>
    <row r="135">
      <c r="A135" t="inlineStr">
        <is>
          <t xml:space="preserve">        Medical equipment and supplies manufacturing</t>
        </is>
      </c>
      <c r="B135" t="inlineStr">
        <is>
          <t>339100</t>
        </is>
      </c>
      <c r="C135" t="inlineStr">
        <is>
          <t>Line item</t>
        </is>
      </c>
      <c r="D135" t="n">
        <v>329.7</v>
      </c>
      <c r="E135" t="n">
        <v>345.5</v>
      </c>
      <c r="F135" t="n">
        <v>15.8</v>
      </c>
      <c r="G135" t="n">
        <v>4.8</v>
      </c>
      <c r="H135" t="n">
        <v>0.5</v>
      </c>
      <c r="I135" t="n">
        <v>101.1</v>
      </c>
      <c r="J135" t="n">
        <v>129.9</v>
      </c>
      <c r="K135" t="n">
        <v>2.5</v>
      </c>
    </row>
    <row r="136">
      <c r="A136" t="inlineStr">
        <is>
          <t xml:space="preserve">        Other miscellaneous manufacturing</t>
        </is>
      </c>
      <c r="B136" t="inlineStr">
        <is>
          <t>339900</t>
        </is>
      </c>
      <c r="C136" t="inlineStr">
        <is>
          <t>Summary</t>
        </is>
      </c>
      <c r="D136" t="n">
        <v>285.7</v>
      </c>
      <c r="E136" t="n">
        <v>281.5</v>
      </c>
      <c r="F136" t="n">
        <v>-4.2</v>
      </c>
      <c r="G136" t="n">
        <v>-1.5</v>
      </c>
      <c r="H136" t="n">
        <v>-0.1</v>
      </c>
      <c r="I136" t="n">
        <v>61.8</v>
      </c>
      <c r="J136" t="n">
        <v>64.09999999999999</v>
      </c>
      <c r="K136" t="n">
        <v>0.4</v>
      </c>
    </row>
    <row r="137">
      <c r="A137" t="inlineStr">
        <is>
          <t xml:space="preserve">          Jewelry and silverware manufacturing</t>
        </is>
      </c>
      <c r="B137" t="inlineStr">
        <is>
          <t>339910</t>
        </is>
      </c>
      <c r="C137" t="inlineStr">
        <is>
          <t>Line item</t>
        </is>
      </c>
      <c r="D137" t="n">
        <v>21</v>
      </c>
      <c r="E137" t="n">
        <v>15.7</v>
      </c>
      <c r="F137" t="n">
        <v>-5.3</v>
      </c>
      <c r="G137" t="n">
        <v>-25.3</v>
      </c>
      <c r="H137" t="n">
        <v>-2.9</v>
      </c>
      <c r="I137" t="n">
        <v>7.3</v>
      </c>
      <c r="J137" t="n">
        <v>7.7</v>
      </c>
      <c r="K137" t="n">
        <v>0.6</v>
      </c>
    </row>
    <row r="138">
      <c r="A138" t="inlineStr">
        <is>
          <t xml:space="preserve">    Wholesale trade</t>
        </is>
      </c>
      <c r="B138" t="inlineStr">
        <is>
          <t>420000</t>
        </is>
      </c>
      <c r="C138" t="inlineStr">
        <is>
          <t>Summary</t>
        </is>
      </c>
      <c r="D138" t="n">
        <v>6145.4</v>
      </c>
      <c r="E138" t="n">
        <v>6354</v>
      </c>
      <c r="F138" t="n">
        <v>208.6</v>
      </c>
      <c r="G138" t="n">
        <v>3.4</v>
      </c>
      <c r="H138" t="n">
        <v>0.3</v>
      </c>
      <c r="I138" t="n">
        <v>2177.5</v>
      </c>
      <c r="J138" t="n">
        <v>2833.4</v>
      </c>
      <c r="K138" t="n">
        <v>2.7</v>
      </c>
      <c r="L138" t="inlineStr">
        <is>
          <t>ISIC 45T47</t>
        </is>
      </c>
    </row>
    <row r="139">
      <c r="A139" t="inlineStr">
        <is>
          <t xml:space="preserve">      Merchant wholesalers, durable goods</t>
        </is>
      </c>
      <c r="B139" t="inlineStr">
        <is>
          <t>423000</t>
        </is>
      </c>
      <c r="C139" t="inlineStr">
        <is>
          <t>Summary</t>
        </is>
      </c>
      <c r="D139" t="n">
        <v>3439.6</v>
      </c>
      <c r="E139" t="n">
        <v>3583</v>
      </c>
      <c r="F139" t="n">
        <v>143.4</v>
      </c>
      <c r="G139" t="n">
        <v>4.2</v>
      </c>
      <c r="H139" t="n">
        <v>0.4</v>
      </c>
      <c r="I139" t="inlineStr">
        <is>
          <t>—</t>
        </is>
      </c>
      <c r="J139" t="inlineStr">
        <is>
          <t>—</t>
        </is>
      </c>
      <c r="K139" t="inlineStr">
        <is>
          <t>—</t>
        </is>
      </c>
    </row>
    <row r="140">
      <c r="A140" t="inlineStr">
        <is>
          <t xml:space="preserve">        Merchant wholesalers, durable goods (4232,3,5,6,7,9)</t>
        </is>
      </c>
      <c r="B140" t="inlineStr">
        <is>
          <t>4230A1</t>
        </is>
      </c>
      <c r="C140" t="inlineStr">
        <is>
          <t>Line item</t>
        </is>
      </c>
      <c r="D140" t="n">
        <v>1529.3</v>
      </c>
      <c r="E140" t="n">
        <v>1581.5</v>
      </c>
      <c r="F140" t="n">
        <v>52.2</v>
      </c>
      <c r="G140" t="n">
        <v>3.4</v>
      </c>
      <c r="H140" t="n">
        <v>0.3</v>
      </c>
      <c r="I140" t="inlineStr">
        <is>
          <t>—</t>
        </is>
      </c>
      <c r="J140" t="inlineStr">
        <is>
          <t>—</t>
        </is>
      </c>
      <c r="K140" t="inlineStr">
        <is>
          <t>—</t>
        </is>
      </c>
    </row>
    <row r="141">
      <c r="A141" t="inlineStr">
        <is>
          <t xml:space="preserve">        Motor vehicle and motor vehicle parts and supplies merchant wholesalers</t>
        </is>
      </c>
      <c r="B141" t="inlineStr">
        <is>
          <t>423100</t>
        </is>
      </c>
      <c r="C141" t="inlineStr">
        <is>
          <t>Line item</t>
        </is>
      </c>
      <c r="D141" t="n">
        <v>381.1</v>
      </c>
      <c r="E141" t="n">
        <v>398.4</v>
      </c>
      <c r="F141" t="n">
        <v>17.3</v>
      </c>
      <c r="G141" t="n">
        <v>4.5</v>
      </c>
      <c r="H141" t="n">
        <v>0.4</v>
      </c>
      <c r="I141" t="inlineStr">
        <is>
          <t>—</t>
        </is>
      </c>
      <c r="J141" t="inlineStr">
        <is>
          <t>—</t>
        </is>
      </c>
      <c r="K141" t="inlineStr">
        <is>
          <t>—</t>
        </is>
      </c>
    </row>
    <row r="142">
      <c r="A142" t="inlineStr">
        <is>
          <t xml:space="preserve">        Professional and commercial equipment and supplies merchant wholesalers</t>
        </is>
      </c>
      <c r="B142" t="inlineStr">
        <is>
          <t>423400</t>
        </is>
      </c>
      <c r="C142" t="inlineStr">
        <is>
          <t>Line item</t>
        </is>
      </c>
      <c r="D142" t="n">
        <v>751.7</v>
      </c>
      <c r="E142" t="n">
        <v>794.3</v>
      </c>
      <c r="F142" t="n">
        <v>42.6</v>
      </c>
      <c r="G142" t="n">
        <v>5.7</v>
      </c>
      <c r="H142" t="n">
        <v>0.6</v>
      </c>
      <c r="I142" t="inlineStr">
        <is>
          <t>—</t>
        </is>
      </c>
      <c r="J142" t="inlineStr">
        <is>
          <t>—</t>
        </is>
      </c>
      <c r="K142" t="inlineStr">
        <is>
          <t>—</t>
        </is>
      </c>
    </row>
    <row r="143">
      <c r="A143" t="inlineStr">
        <is>
          <t xml:space="preserve">        Machinery, equipment, and supplies merchant wholesalers</t>
        </is>
      </c>
      <c r="B143" t="inlineStr">
        <is>
          <t>423800</t>
        </is>
      </c>
      <c r="C143" t="inlineStr">
        <is>
          <t>Summary</t>
        </is>
      </c>
      <c r="D143" t="n">
        <v>777.5</v>
      </c>
      <c r="E143" t="n">
        <v>808.9</v>
      </c>
      <c r="F143" t="n">
        <v>31.4</v>
      </c>
      <c r="G143" t="n">
        <v>4</v>
      </c>
      <c r="H143" t="n">
        <v>0.4</v>
      </c>
      <c r="I143" t="inlineStr">
        <is>
          <t>—</t>
        </is>
      </c>
      <c r="J143" t="inlineStr">
        <is>
          <t>—</t>
        </is>
      </c>
      <c r="K143" t="inlineStr">
        <is>
          <t>—</t>
        </is>
      </c>
    </row>
    <row r="144">
      <c r="A144" t="inlineStr">
        <is>
          <t xml:space="preserve">          Farm and garden machinery and equipment merchant wholesalers</t>
        </is>
      </c>
      <c r="B144" t="inlineStr">
        <is>
          <t>423820</t>
        </is>
      </c>
      <c r="C144" t="inlineStr">
        <is>
          <t>Line item</t>
        </is>
      </c>
      <c r="D144" t="n">
        <v>116.7</v>
      </c>
      <c r="E144" t="n">
        <v>116.3</v>
      </c>
      <c r="F144" t="n">
        <v>-0.4</v>
      </c>
      <c r="G144" t="n">
        <v>-0.4</v>
      </c>
      <c r="H144" t="n">
        <v>0</v>
      </c>
      <c r="I144" t="inlineStr">
        <is>
          <t>—</t>
        </is>
      </c>
      <c r="J144" t="inlineStr">
        <is>
          <t>—</t>
        </is>
      </c>
      <c r="K144" t="inlineStr">
        <is>
          <t>—</t>
        </is>
      </c>
    </row>
    <row r="145">
      <c r="A145" t="inlineStr">
        <is>
          <t xml:space="preserve">      Merchant wholesalers, nondurable goods</t>
        </is>
      </c>
      <c r="B145" t="inlineStr">
        <is>
          <t>424000</t>
        </is>
      </c>
      <c r="C145" t="inlineStr">
        <is>
          <t>Summary</t>
        </is>
      </c>
      <c r="D145" t="n">
        <v>2212.9</v>
      </c>
      <c r="E145" t="n">
        <v>2271.6</v>
      </c>
      <c r="F145" t="n">
        <v>58.7</v>
      </c>
      <c r="G145" t="n">
        <v>2.7</v>
      </c>
      <c r="H145" t="n">
        <v>0.3</v>
      </c>
      <c r="I145" t="inlineStr">
        <is>
          <t>—</t>
        </is>
      </c>
      <c r="J145" t="inlineStr">
        <is>
          <t>—</t>
        </is>
      </c>
      <c r="K145" t="inlineStr">
        <is>
          <t>—</t>
        </is>
      </c>
    </row>
    <row r="146">
      <c r="A146" t="inlineStr">
        <is>
          <t xml:space="preserve">        Merchant wholesalers, nondurable goods (4244,8)</t>
        </is>
      </c>
      <c r="B146" t="inlineStr">
        <is>
          <t>4240A1</t>
        </is>
      </c>
      <c r="C146" t="inlineStr">
        <is>
          <t>Line item</t>
        </is>
      </c>
      <c r="D146" t="n">
        <v>1048.3</v>
      </c>
      <c r="E146" t="n">
        <v>1087.2</v>
      </c>
      <c r="F146" t="n">
        <v>38.9</v>
      </c>
      <c r="G146" t="n">
        <v>3.7</v>
      </c>
      <c r="H146" t="n">
        <v>0.4</v>
      </c>
      <c r="I146" t="inlineStr">
        <is>
          <t>—</t>
        </is>
      </c>
      <c r="J146" t="inlineStr">
        <is>
          <t>—</t>
        </is>
      </c>
      <c r="K146" t="inlineStr">
        <is>
          <t>—</t>
        </is>
      </c>
    </row>
    <row r="147">
      <c r="A147" t="inlineStr">
        <is>
          <t xml:space="preserve">        Merchant wholesalers, nondurable goods (4242,6)</t>
        </is>
      </c>
      <c r="B147" t="inlineStr">
        <is>
          <t>4240A2</t>
        </is>
      </c>
      <c r="C147" t="inlineStr">
        <is>
          <t>Line item</t>
        </is>
      </c>
      <c r="D147" t="n">
        <v>409.3</v>
      </c>
      <c r="E147" t="n">
        <v>423.8</v>
      </c>
      <c r="F147" t="n">
        <v>14.5</v>
      </c>
      <c r="G147" t="n">
        <v>3.5</v>
      </c>
      <c r="H147" t="n">
        <v>0.3</v>
      </c>
      <c r="I147" t="inlineStr">
        <is>
          <t>—</t>
        </is>
      </c>
      <c r="J147" t="inlineStr">
        <is>
          <t>—</t>
        </is>
      </c>
      <c r="K147" t="inlineStr">
        <is>
          <t>—</t>
        </is>
      </c>
    </row>
    <row r="148">
      <c r="A148" t="inlineStr">
        <is>
          <t xml:space="preserve">        Merchant wholesalers, nondurable goods (4241,7,9)</t>
        </is>
      </c>
      <c r="B148" t="inlineStr">
        <is>
          <t>4240A3</t>
        </is>
      </c>
      <c r="C148" t="inlineStr">
        <is>
          <t>Line item</t>
        </is>
      </c>
      <c r="D148" t="n">
        <v>540</v>
      </c>
      <c r="E148" t="n">
        <v>546.4</v>
      </c>
      <c r="F148" t="n">
        <v>6.4</v>
      </c>
      <c r="G148" t="n">
        <v>1.2</v>
      </c>
      <c r="H148" t="n">
        <v>0.1</v>
      </c>
      <c r="I148" t="inlineStr">
        <is>
          <t>—</t>
        </is>
      </c>
      <c r="J148" t="inlineStr">
        <is>
          <t>—</t>
        </is>
      </c>
      <c r="K148" t="inlineStr">
        <is>
          <t>—</t>
        </is>
      </c>
    </row>
    <row r="149">
      <c r="A149" t="inlineStr">
        <is>
          <t xml:space="preserve">        Apparel, piece goods, and notions merchant wholesalers</t>
        </is>
      </c>
      <c r="B149" t="inlineStr">
        <is>
          <t>424300</t>
        </is>
      </c>
      <c r="C149" t="inlineStr">
        <is>
          <t>Line item</t>
        </is>
      </c>
      <c r="D149" t="n">
        <v>141.5</v>
      </c>
      <c r="E149" t="n">
        <v>139.8</v>
      </c>
      <c r="F149" t="n">
        <v>-1.7</v>
      </c>
      <c r="G149" t="n">
        <v>-1.2</v>
      </c>
      <c r="H149" t="n">
        <v>-0.1</v>
      </c>
      <c r="I149" t="inlineStr">
        <is>
          <t>—</t>
        </is>
      </c>
      <c r="J149" t="inlineStr">
        <is>
          <t>—</t>
        </is>
      </c>
      <c r="K149" t="inlineStr">
        <is>
          <t>—</t>
        </is>
      </c>
    </row>
    <row r="150">
      <c r="A150" t="inlineStr">
        <is>
          <t xml:space="preserve">        Farm product raw material merchant wholesalers</t>
        </is>
      </c>
      <c r="B150" t="inlineStr">
        <is>
          <t>424500</t>
        </is>
      </c>
      <c r="C150" t="inlineStr">
        <is>
          <t>Line item</t>
        </is>
      </c>
      <c r="D150" t="n">
        <v>73.8</v>
      </c>
      <c r="E150" t="n">
        <v>74.3</v>
      </c>
      <c r="F150" t="n">
        <v>0.5</v>
      </c>
      <c r="G150" t="n">
        <v>0.7</v>
      </c>
      <c r="H150" t="n">
        <v>0.1</v>
      </c>
      <c r="I150" t="inlineStr">
        <is>
          <t>—</t>
        </is>
      </c>
      <c r="J150" t="inlineStr">
        <is>
          <t>—</t>
        </is>
      </c>
      <c r="K150" t="inlineStr">
        <is>
          <t>—</t>
        </is>
      </c>
    </row>
    <row r="151">
      <c r="A151" t="inlineStr">
        <is>
          <t xml:space="preserve">      Wholesale trade agents and brokers</t>
        </is>
      </c>
      <c r="B151" t="inlineStr">
        <is>
          <t>425000</t>
        </is>
      </c>
      <c r="C151" t="inlineStr">
        <is>
          <t>Line item</t>
        </is>
      </c>
      <c r="D151" t="n">
        <v>492.9</v>
      </c>
      <c r="E151" t="n">
        <v>499.4</v>
      </c>
      <c r="F151" t="n">
        <v>6.5</v>
      </c>
      <c r="G151" t="n">
        <v>1.3</v>
      </c>
      <c r="H151" t="n">
        <v>0.1</v>
      </c>
      <c r="I151" t="inlineStr">
        <is>
          <t>—</t>
        </is>
      </c>
      <c r="J151" t="inlineStr">
        <is>
          <t>—</t>
        </is>
      </c>
      <c r="K151" t="inlineStr">
        <is>
          <t>—</t>
        </is>
      </c>
    </row>
    <row r="152">
      <c r="A152" t="inlineStr">
        <is>
          <t xml:space="preserve">    Retail trade</t>
        </is>
      </c>
      <c r="B152" t="inlineStr">
        <is>
          <t>44-450</t>
        </is>
      </c>
      <c r="C152" t="inlineStr">
        <is>
          <t>Summary</t>
        </is>
      </c>
      <c r="D152" t="n">
        <v>15532</v>
      </c>
      <c r="E152" t="n">
        <v>15350.1</v>
      </c>
      <c r="F152" t="n">
        <v>-181.9</v>
      </c>
      <c r="G152" t="n">
        <v>-1.2</v>
      </c>
      <c r="H152" t="n">
        <v>-0.1</v>
      </c>
      <c r="I152" t="n">
        <v>2210.7</v>
      </c>
      <c r="J152" t="n">
        <v>2795.2</v>
      </c>
      <c r="K152" t="n">
        <v>2.4</v>
      </c>
      <c r="L152" t="inlineStr">
        <is>
          <t>ISIC 45T47</t>
        </is>
      </c>
    </row>
    <row r="153">
      <c r="A153" t="inlineStr">
        <is>
          <t xml:space="preserve">      Motor vehicle and parts dealers</t>
        </is>
      </c>
      <c r="B153" t="inlineStr">
        <is>
          <t>441000</t>
        </is>
      </c>
      <c r="C153" t="inlineStr">
        <is>
          <t>Summary</t>
        </is>
      </c>
      <c r="D153" t="n">
        <v>2050.4</v>
      </c>
      <c r="E153" t="n">
        <v>2111.6</v>
      </c>
      <c r="F153" t="n">
        <v>61.2</v>
      </c>
      <c r="G153" t="n">
        <v>3</v>
      </c>
      <c r="H153" t="n">
        <v>0.3</v>
      </c>
      <c r="I153" t="n">
        <v>380.8</v>
      </c>
      <c r="J153" t="n">
        <v>504.8</v>
      </c>
      <c r="K153" t="n">
        <v>2.9</v>
      </c>
    </row>
    <row r="154">
      <c r="A154" t="inlineStr">
        <is>
          <t xml:space="preserve">        Automobile dealers</t>
        </is>
      </c>
      <c r="B154" t="inlineStr">
        <is>
          <t>441100</t>
        </is>
      </c>
      <c r="C154" t="inlineStr">
        <is>
          <t>Line item</t>
        </is>
      </c>
      <c r="D154" t="n">
        <v>1287.3</v>
      </c>
      <c r="E154" t="n">
        <v>1322.5</v>
      </c>
      <c r="F154" t="n">
        <v>35.2</v>
      </c>
      <c r="G154" t="n">
        <v>2.7</v>
      </c>
      <c r="H154" t="n">
        <v>0.3</v>
      </c>
      <c r="I154" t="inlineStr">
        <is>
          <t>—</t>
        </is>
      </c>
      <c r="J154" t="inlineStr">
        <is>
          <t>—</t>
        </is>
      </c>
      <c r="K154" t="inlineStr">
        <is>
          <t>—</t>
        </is>
      </c>
    </row>
    <row r="155">
      <c r="A155" t="inlineStr">
        <is>
          <t xml:space="preserve">        Other motor vehicle dealers</t>
        </is>
      </c>
      <c r="B155" t="inlineStr">
        <is>
          <t>441200</t>
        </is>
      </c>
      <c r="C155" t="inlineStr">
        <is>
          <t>Line item</t>
        </is>
      </c>
      <c r="D155" t="n">
        <v>169</v>
      </c>
      <c r="E155" t="n">
        <v>177.4</v>
      </c>
      <c r="F155" t="n">
        <v>8.4</v>
      </c>
      <c r="G155" t="n">
        <v>5</v>
      </c>
      <c r="H155" t="n">
        <v>0.5</v>
      </c>
      <c r="I155" t="inlineStr">
        <is>
          <t>—</t>
        </is>
      </c>
      <c r="J155" t="inlineStr">
        <is>
          <t>—</t>
        </is>
      </c>
      <c r="K155" t="inlineStr">
        <is>
          <t>—</t>
        </is>
      </c>
    </row>
    <row r="156">
      <c r="A156" t="inlineStr">
        <is>
          <t xml:space="preserve">        Automotive parts, accessories, and tire retailers</t>
        </is>
      </c>
      <c r="B156" t="inlineStr">
        <is>
          <t>441300</t>
        </is>
      </c>
      <c r="C156" t="inlineStr">
        <is>
          <t>Line item</t>
        </is>
      </c>
      <c r="D156" t="n">
        <v>594.1</v>
      </c>
      <c r="E156" t="n">
        <v>611.7</v>
      </c>
      <c r="F156" t="n">
        <v>17.6</v>
      </c>
      <c r="G156" t="n">
        <v>3</v>
      </c>
      <c r="H156" t="n">
        <v>0.3</v>
      </c>
      <c r="I156" t="inlineStr">
        <is>
          <t>—</t>
        </is>
      </c>
      <c r="J156" t="inlineStr">
        <is>
          <t>—</t>
        </is>
      </c>
      <c r="K156" t="inlineStr">
        <is>
          <t>—</t>
        </is>
      </c>
    </row>
    <row r="157">
      <c r="A157" t="inlineStr">
        <is>
          <t xml:space="preserve">      Food and beverage retailers</t>
        </is>
      </c>
      <c r="B157" t="inlineStr">
        <is>
          <t>445000</t>
        </is>
      </c>
      <c r="C157" t="inlineStr">
        <is>
          <t>Summary</t>
        </is>
      </c>
      <c r="D157" t="n">
        <v>3224.5</v>
      </c>
      <c r="E157" t="n">
        <v>3189.7</v>
      </c>
      <c r="F157" t="n">
        <v>-34.8</v>
      </c>
      <c r="G157" t="n">
        <v>-1.1</v>
      </c>
      <c r="H157" t="n">
        <v>-0.1</v>
      </c>
      <c r="I157" t="n">
        <v>265.5</v>
      </c>
      <c r="J157" t="n">
        <v>286.4</v>
      </c>
      <c r="K157" t="n">
        <v>0.8</v>
      </c>
    </row>
    <row r="158">
      <c r="A158" t="inlineStr">
        <is>
          <t xml:space="preserve">        Grocery and specialty food retailers</t>
        </is>
      </c>
      <c r="B158" t="inlineStr">
        <is>
          <t>4450A1</t>
        </is>
      </c>
      <c r="C158" t="inlineStr">
        <is>
          <t>Line item</t>
        </is>
      </c>
      <c r="D158" t="n">
        <v>3052.4</v>
      </c>
      <c r="E158" t="n">
        <v>3021.6</v>
      </c>
      <c r="F158" t="n">
        <v>-30.8</v>
      </c>
      <c r="G158" t="n">
        <v>-1</v>
      </c>
      <c r="H158" t="n">
        <v>-0.1</v>
      </c>
      <c r="I158" t="inlineStr">
        <is>
          <t>—</t>
        </is>
      </c>
      <c r="J158" t="inlineStr">
        <is>
          <t>—</t>
        </is>
      </c>
      <c r="K158" t="inlineStr">
        <is>
          <t>—</t>
        </is>
      </c>
    </row>
    <row r="159">
      <c r="A159" t="inlineStr">
        <is>
          <t xml:space="preserve">        Beer, wine, and liquor retailers</t>
        </is>
      </c>
      <c r="B159" t="inlineStr">
        <is>
          <t>445300</t>
        </is>
      </c>
      <c r="C159" t="inlineStr">
        <is>
          <t>Line item</t>
        </is>
      </c>
      <c r="D159" t="n">
        <v>172.1</v>
      </c>
      <c r="E159" t="n">
        <v>168.1</v>
      </c>
      <c r="F159" t="n">
        <v>-4</v>
      </c>
      <c r="G159" t="n">
        <v>-2.3</v>
      </c>
      <c r="H159" t="n">
        <v>-0.2</v>
      </c>
      <c r="I159" t="inlineStr">
        <is>
          <t>—</t>
        </is>
      </c>
      <c r="J159" t="inlineStr">
        <is>
          <t>—</t>
        </is>
      </c>
      <c r="K159" t="inlineStr">
        <is>
          <t>—</t>
        </is>
      </c>
    </row>
    <row r="160">
      <c r="A160" t="inlineStr">
        <is>
          <t xml:space="preserve">      General merchandise retailers</t>
        </is>
      </c>
      <c r="B160" t="inlineStr">
        <is>
          <t>455000</t>
        </is>
      </c>
      <c r="C160" t="inlineStr">
        <is>
          <t>Line item</t>
        </is>
      </c>
      <c r="D160" t="n">
        <v>3265.5</v>
      </c>
      <c r="E160" t="n">
        <v>3341</v>
      </c>
      <c r="F160" t="n">
        <v>75.5</v>
      </c>
      <c r="G160" t="n">
        <v>2.3</v>
      </c>
      <c r="H160" t="n">
        <v>0.2</v>
      </c>
      <c r="I160" t="n">
        <v>252</v>
      </c>
      <c r="J160" t="n">
        <v>285</v>
      </c>
      <c r="K160" t="n">
        <v>1.2</v>
      </c>
    </row>
    <row r="161">
      <c r="A161" t="inlineStr">
        <is>
          <t xml:space="preserve">      All other retail trade (444, 449, 456-9)</t>
        </is>
      </c>
      <c r="B161" t="inlineStr">
        <is>
          <t>4445R0</t>
        </is>
      </c>
      <c r="C161" t="inlineStr">
        <is>
          <t>Summary</t>
        </is>
      </c>
      <c r="D161" t="n">
        <v>6991.6</v>
      </c>
      <c r="E161" t="n">
        <v>6707.7</v>
      </c>
      <c r="F161" t="n">
        <v>-283.9</v>
      </c>
      <c r="G161" t="n">
        <v>-4.1</v>
      </c>
      <c r="H161" t="n">
        <v>-0.4</v>
      </c>
      <c r="I161" t="n">
        <v>1317</v>
      </c>
      <c r="J161" t="n">
        <v>1732.5</v>
      </c>
      <c r="K161" t="n">
        <v>2.8</v>
      </c>
    </row>
    <row r="162">
      <c r="A162" t="inlineStr">
        <is>
          <t xml:space="preserve">        Building material and garden equipment and supplies dealers</t>
        </is>
      </c>
      <c r="B162" t="inlineStr">
        <is>
          <t>444000</t>
        </is>
      </c>
      <c r="C162" t="inlineStr">
        <is>
          <t>Summary</t>
        </is>
      </c>
      <c r="D162" t="n">
        <v>1398.9</v>
      </c>
      <c r="E162" t="n">
        <v>1427.4</v>
      </c>
      <c r="F162" t="n">
        <v>28.5</v>
      </c>
      <c r="G162" t="n">
        <v>2</v>
      </c>
      <c r="H162" t="n">
        <v>0.2</v>
      </c>
      <c r="I162" t="inlineStr">
        <is>
          <t>—</t>
        </is>
      </c>
      <c r="J162" t="inlineStr">
        <is>
          <t>—</t>
        </is>
      </c>
      <c r="K162" t="inlineStr">
        <is>
          <t>—</t>
        </is>
      </c>
    </row>
    <row r="163">
      <c r="A163" t="inlineStr">
        <is>
          <t xml:space="preserve">          Building material and supplies dealers</t>
        </is>
      </c>
      <c r="B163" t="inlineStr">
        <is>
          <t>444100</t>
        </is>
      </c>
      <c r="C163" t="inlineStr">
        <is>
          <t>Line item</t>
        </is>
      </c>
      <c r="D163" t="n">
        <v>1212.1</v>
      </c>
      <c r="E163" t="n">
        <v>1236.2</v>
      </c>
      <c r="F163" t="n">
        <v>24.1</v>
      </c>
      <c r="G163" t="n">
        <v>2</v>
      </c>
      <c r="H163" t="n">
        <v>0.2</v>
      </c>
      <c r="I163" t="inlineStr">
        <is>
          <t>—</t>
        </is>
      </c>
      <c r="J163" t="inlineStr">
        <is>
          <t>—</t>
        </is>
      </c>
      <c r="K163" t="inlineStr">
        <is>
          <t>—</t>
        </is>
      </c>
    </row>
    <row r="164">
      <c r="A164" t="inlineStr">
        <is>
          <t xml:space="preserve">          Lawn and garden equipment and supplies retailers</t>
        </is>
      </c>
      <c r="B164" t="inlineStr">
        <is>
          <t>444200</t>
        </is>
      </c>
      <c r="C164" t="inlineStr">
        <is>
          <t>Line item</t>
        </is>
      </c>
      <c r="D164" t="n">
        <v>186.8</v>
      </c>
      <c r="E164" t="n">
        <v>191.2</v>
      </c>
      <c r="F164" t="n">
        <v>4.4</v>
      </c>
      <c r="G164" t="n">
        <v>2.3</v>
      </c>
      <c r="H164" t="n">
        <v>0.2</v>
      </c>
      <c r="I164" t="inlineStr">
        <is>
          <t>—</t>
        </is>
      </c>
      <c r="J164" t="inlineStr">
        <is>
          <t>—</t>
        </is>
      </c>
      <c r="K164" t="inlineStr">
        <is>
          <t>—</t>
        </is>
      </c>
    </row>
    <row r="165">
      <c r="A165" t="inlineStr">
        <is>
          <t xml:space="preserve">        Furniture, home furnishings, electronics, and appliance retailers</t>
        </is>
      </c>
      <c r="B165" t="inlineStr">
        <is>
          <t>449000</t>
        </is>
      </c>
      <c r="C165" t="inlineStr">
        <is>
          <t>Summary</t>
        </is>
      </c>
      <c r="D165" t="n">
        <v>806.1</v>
      </c>
      <c r="E165" t="n">
        <v>771.4</v>
      </c>
      <c r="F165" t="n">
        <v>-34.7</v>
      </c>
      <c r="G165" t="n">
        <v>-4.3</v>
      </c>
      <c r="H165" t="n">
        <v>-0.4</v>
      </c>
      <c r="I165" t="inlineStr">
        <is>
          <t>—</t>
        </is>
      </c>
      <c r="J165" t="inlineStr">
        <is>
          <t>—</t>
        </is>
      </c>
      <c r="K165" t="inlineStr">
        <is>
          <t>—</t>
        </is>
      </c>
    </row>
    <row r="166">
      <c r="A166" t="inlineStr">
        <is>
          <t xml:space="preserve">          Furniture and home furnishings retailers</t>
        </is>
      </c>
      <c r="B166" t="inlineStr">
        <is>
          <t>449100</t>
        </is>
      </c>
      <c r="C166" t="inlineStr">
        <is>
          <t>Line item</t>
        </is>
      </c>
      <c r="D166" t="n">
        <v>409.1</v>
      </c>
      <c r="E166" t="n">
        <v>389</v>
      </c>
      <c r="F166" t="n">
        <v>-20.1</v>
      </c>
      <c r="G166" t="n">
        <v>-4.9</v>
      </c>
      <c r="H166" t="n">
        <v>-0.5</v>
      </c>
      <c r="I166" t="inlineStr">
        <is>
          <t>—</t>
        </is>
      </c>
      <c r="J166" t="inlineStr">
        <is>
          <t>—</t>
        </is>
      </c>
      <c r="K166" t="inlineStr">
        <is>
          <t>—</t>
        </is>
      </c>
    </row>
    <row r="167">
      <c r="A167" t="inlineStr">
        <is>
          <t xml:space="preserve">          Electronics and appliance retailers</t>
        </is>
      </c>
      <c r="B167" t="inlineStr">
        <is>
          <t>449200</t>
        </is>
      </c>
      <c r="C167" t="inlineStr">
        <is>
          <t>Line item</t>
        </is>
      </c>
      <c r="D167" t="n">
        <v>397</v>
      </c>
      <c r="E167" t="n">
        <v>382.3</v>
      </c>
      <c r="F167" t="n">
        <v>-14.7</v>
      </c>
      <c r="G167" t="n">
        <v>-3.7</v>
      </c>
      <c r="H167" t="n">
        <v>-0.4</v>
      </c>
      <c r="I167" t="inlineStr">
        <is>
          <t>—</t>
        </is>
      </c>
      <c r="J167" t="inlineStr">
        <is>
          <t>—</t>
        </is>
      </c>
      <c r="K167" t="inlineStr">
        <is>
          <t>—</t>
        </is>
      </c>
    </row>
    <row r="168">
      <c r="A168" t="inlineStr">
        <is>
          <t xml:space="preserve">        Health and personal care retailers</t>
        </is>
      </c>
      <c r="B168" t="inlineStr">
        <is>
          <t>456000</t>
        </is>
      </c>
      <c r="C168" t="inlineStr">
        <is>
          <t>Summary</t>
        </is>
      </c>
      <c r="D168" t="n">
        <v>1088.9</v>
      </c>
      <c r="E168" t="n">
        <v>1097.4</v>
      </c>
      <c r="F168" t="n">
        <v>8.5</v>
      </c>
      <c r="G168" t="n">
        <v>0.8</v>
      </c>
      <c r="H168" t="n">
        <v>0.1</v>
      </c>
      <c r="I168" t="inlineStr">
        <is>
          <t>—</t>
        </is>
      </c>
      <c r="J168" t="inlineStr">
        <is>
          <t>—</t>
        </is>
      </c>
      <c r="K168" t="inlineStr">
        <is>
          <t>—</t>
        </is>
      </c>
    </row>
    <row r="169">
      <c r="A169" t="inlineStr">
        <is>
          <t xml:space="preserve">          Health and personal care retailers</t>
        </is>
      </c>
      <c r="B169" t="inlineStr">
        <is>
          <t>456100</t>
        </is>
      </c>
      <c r="C169" t="inlineStr">
        <is>
          <t>Summary</t>
        </is>
      </c>
      <c r="D169" t="n">
        <v>1088.9</v>
      </c>
      <c r="E169" t="n">
        <v>1097.4</v>
      </c>
      <c r="F169" t="n">
        <v>8.5</v>
      </c>
      <c r="G169" t="n">
        <v>0.8</v>
      </c>
      <c r="H169" t="n">
        <v>0.1</v>
      </c>
      <c r="I169" t="inlineStr">
        <is>
          <t>—</t>
        </is>
      </c>
      <c r="J169" t="inlineStr">
        <is>
          <t>—</t>
        </is>
      </c>
      <c r="K169" t="inlineStr">
        <is>
          <t>—</t>
        </is>
      </c>
    </row>
    <row r="170">
      <c r="A170" t="inlineStr">
        <is>
          <t xml:space="preserve">            Pharmacies and drug retailers</t>
        </is>
      </c>
      <c r="B170" t="inlineStr">
        <is>
          <t>456110</t>
        </is>
      </c>
      <c r="C170" t="inlineStr">
        <is>
          <t>Line item</t>
        </is>
      </c>
      <c r="D170" t="n">
        <v>709.8</v>
      </c>
      <c r="E170" t="n">
        <v>698.3</v>
      </c>
      <c r="F170" t="n">
        <v>-11.5</v>
      </c>
      <c r="G170" t="n">
        <v>-1.6</v>
      </c>
      <c r="H170" t="n">
        <v>-0.2</v>
      </c>
      <c r="I170" t="inlineStr">
        <is>
          <t>—</t>
        </is>
      </c>
      <c r="J170" t="inlineStr">
        <is>
          <t>—</t>
        </is>
      </c>
      <c r="K170" t="inlineStr">
        <is>
          <t>—</t>
        </is>
      </c>
    </row>
    <row r="171">
      <c r="A171" t="inlineStr">
        <is>
          <t xml:space="preserve">        Gasoline stations and fuel dealers</t>
        </is>
      </c>
      <c r="B171" t="inlineStr">
        <is>
          <t>457000</t>
        </is>
      </c>
      <c r="C171" t="inlineStr">
        <is>
          <t>Summary</t>
        </is>
      </c>
      <c r="D171" t="n">
        <v>1053.7</v>
      </c>
      <c r="E171" t="n">
        <v>908.9</v>
      </c>
      <c r="F171" t="n">
        <v>-144.8</v>
      </c>
      <c r="G171" t="n">
        <v>-13.7</v>
      </c>
      <c r="H171" t="n">
        <v>-1.5</v>
      </c>
      <c r="I171" t="inlineStr">
        <is>
          <t>—</t>
        </is>
      </c>
      <c r="J171" t="inlineStr">
        <is>
          <t>—</t>
        </is>
      </c>
      <c r="K171" t="inlineStr">
        <is>
          <t>—</t>
        </is>
      </c>
    </row>
    <row r="172">
      <c r="A172" t="inlineStr">
        <is>
          <t xml:space="preserve">          Gasoline stations</t>
        </is>
      </c>
      <c r="B172" t="inlineStr">
        <is>
          <t>457100</t>
        </is>
      </c>
      <c r="C172" t="inlineStr">
        <is>
          <t>Line item</t>
        </is>
      </c>
      <c r="D172" t="n">
        <v>983.4</v>
      </c>
      <c r="E172" t="n">
        <v>845.2</v>
      </c>
      <c r="F172" t="n">
        <v>-138.2</v>
      </c>
      <c r="G172" t="n">
        <v>-14.1</v>
      </c>
      <c r="H172" t="n">
        <v>-1.5</v>
      </c>
      <c r="I172" t="inlineStr">
        <is>
          <t>—</t>
        </is>
      </c>
      <c r="J172" t="inlineStr">
        <is>
          <t>—</t>
        </is>
      </c>
      <c r="K172" t="inlineStr">
        <is>
          <t>—</t>
        </is>
      </c>
    </row>
    <row r="173">
      <c r="A173" t="inlineStr">
        <is>
          <t xml:space="preserve">          Fuel dealers</t>
        </is>
      </c>
      <c r="B173" t="inlineStr">
        <is>
          <t>457200</t>
        </is>
      </c>
      <c r="C173" t="inlineStr">
        <is>
          <t>Line item</t>
        </is>
      </c>
      <c r="D173" t="n">
        <v>70.3</v>
      </c>
      <c r="E173" t="n">
        <v>63.7</v>
      </c>
      <c r="F173" t="n">
        <v>-6.6</v>
      </c>
      <c r="G173" t="n">
        <v>-9.4</v>
      </c>
      <c r="H173" t="n">
        <v>-1</v>
      </c>
      <c r="I173" t="inlineStr">
        <is>
          <t>—</t>
        </is>
      </c>
      <c r="J173" t="inlineStr">
        <is>
          <t>—</t>
        </is>
      </c>
      <c r="K173" t="inlineStr">
        <is>
          <t>—</t>
        </is>
      </c>
    </row>
    <row r="174">
      <c r="A174" t="inlineStr">
        <is>
          <t xml:space="preserve">        Clothing, clothing accessories, shoe, and jewelry retailers</t>
        </is>
      </c>
      <c r="B174" t="inlineStr">
        <is>
          <t>458000</t>
        </is>
      </c>
      <c r="C174" t="inlineStr">
        <is>
          <t>Summary</t>
        </is>
      </c>
      <c r="D174" t="n">
        <v>1136.2</v>
      </c>
      <c r="E174" t="n">
        <v>1104.8</v>
      </c>
      <c r="F174" t="n">
        <v>-31.4</v>
      </c>
      <c r="G174" t="n">
        <v>-2.8</v>
      </c>
      <c r="H174" t="n">
        <v>-0.3</v>
      </c>
      <c r="I174" t="inlineStr">
        <is>
          <t>—</t>
        </is>
      </c>
      <c r="J174" t="inlineStr">
        <is>
          <t>—</t>
        </is>
      </c>
      <c r="K174" t="inlineStr">
        <is>
          <t>—</t>
        </is>
      </c>
    </row>
    <row r="175">
      <c r="A175" t="inlineStr">
        <is>
          <t xml:space="preserve">          Clothing and clothing accessories retailers</t>
        </is>
      </c>
      <c r="B175" t="inlineStr">
        <is>
          <t>458100</t>
        </is>
      </c>
      <c r="C175" t="inlineStr">
        <is>
          <t>Line item</t>
        </is>
      </c>
      <c r="D175" t="n">
        <v>841.3</v>
      </c>
      <c r="E175" t="n">
        <v>824.4</v>
      </c>
      <c r="F175" t="n">
        <v>-16.9</v>
      </c>
      <c r="G175" t="n">
        <v>-2</v>
      </c>
      <c r="H175" t="n">
        <v>-0.2</v>
      </c>
      <c r="I175" t="inlineStr">
        <is>
          <t>—</t>
        </is>
      </c>
      <c r="J175" t="inlineStr">
        <is>
          <t>—</t>
        </is>
      </c>
      <c r="K175" t="inlineStr">
        <is>
          <t>—</t>
        </is>
      </c>
    </row>
    <row r="176">
      <c r="A176" t="inlineStr">
        <is>
          <t xml:space="preserve">          Shoe retailers</t>
        </is>
      </c>
      <c r="B176" t="inlineStr">
        <is>
          <t>458200</t>
        </is>
      </c>
      <c r="C176" t="inlineStr">
        <is>
          <t>Line item</t>
        </is>
      </c>
      <c r="D176" t="n">
        <v>169.9</v>
      </c>
      <c r="E176" t="n">
        <v>163</v>
      </c>
      <c r="F176" t="n">
        <v>-6.9</v>
      </c>
      <c r="G176" t="n">
        <v>-4.1</v>
      </c>
      <c r="H176" t="n">
        <v>-0.4</v>
      </c>
      <c r="I176" t="inlineStr">
        <is>
          <t>—</t>
        </is>
      </c>
      <c r="J176" t="inlineStr">
        <is>
          <t>—</t>
        </is>
      </c>
      <c r="K176" t="inlineStr">
        <is>
          <t>—</t>
        </is>
      </c>
    </row>
    <row r="177">
      <c r="A177" t="inlineStr">
        <is>
          <t xml:space="preserve">          Jewelry, luggage, and leather goods retailers</t>
        </is>
      </c>
      <c r="B177" t="inlineStr">
        <is>
          <t>458300</t>
        </is>
      </c>
      <c r="C177" t="inlineStr">
        <is>
          <t>Line item</t>
        </is>
      </c>
      <c r="D177" t="n">
        <v>125</v>
      </c>
      <c r="E177" t="n">
        <v>117.4</v>
      </c>
      <c r="F177" t="n">
        <v>-7.6</v>
      </c>
      <c r="G177" t="n">
        <v>-6.1</v>
      </c>
      <c r="H177" t="n">
        <v>-0.6</v>
      </c>
      <c r="I177" t="inlineStr">
        <is>
          <t>—</t>
        </is>
      </c>
      <c r="J177" t="inlineStr">
        <is>
          <t>—</t>
        </is>
      </c>
      <c r="K177" t="inlineStr">
        <is>
          <t>—</t>
        </is>
      </c>
    </row>
    <row r="178">
      <c r="A178" t="inlineStr">
        <is>
          <t xml:space="preserve">        Sporting goods, hobby, musical instrument, book, and miscellaneous retailers</t>
        </is>
      </c>
      <c r="B178" t="inlineStr">
        <is>
          <t>459000</t>
        </is>
      </c>
      <c r="C178" t="inlineStr">
        <is>
          <t>Summary</t>
        </is>
      </c>
      <c r="D178" t="n">
        <v>1507.8</v>
      </c>
      <c r="E178" t="n">
        <v>1397.9</v>
      </c>
      <c r="F178" t="n">
        <v>-109.9</v>
      </c>
      <c r="G178" t="n">
        <v>-7.3</v>
      </c>
      <c r="H178" t="n">
        <v>-0.8</v>
      </c>
      <c r="I178" t="inlineStr">
        <is>
          <t>—</t>
        </is>
      </c>
      <c r="J178" t="inlineStr">
        <is>
          <t>—</t>
        </is>
      </c>
      <c r="K178" t="inlineStr">
        <is>
          <t>—</t>
        </is>
      </c>
    </row>
    <row r="179">
      <c r="A179" t="inlineStr">
        <is>
          <t xml:space="preserve">          Sporting goods retailers</t>
        </is>
      </c>
      <c r="B179" t="inlineStr">
        <is>
          <t>459110</t>
        </is>
      </c>
      <c r="C179" t="inlineStr">
        <is>
          <t>Line item</t>
        </is>
      </c>
      <c r="D179" t="n">
        <v>299.2</v>
      </c>
      <c r="E179" t="n">
        <v>281.7</v>
      </c>
      <c r="F179" t="n">
        <v>-17.5</v>
      </c>
      <c r="G179" t="n">
        <v>-5.8</v>
      </c>
      <c r="H179" t="n">
        <v>-0.6</v>
      </c>
      <c r="I179" t="inlineStr">
        <is>
          <t>—</t>
        </is>
      </c>
      <c r="J179" t="inlineStr">
        <is>
          <t>—</t>
        </is>
      </c>
      <c r="K179" t="inlineStr">
        <is>
          <t>—</t>
        </is>
      </c>
    </row>
    <row r="180">
      <c r="A180" t="inlineStr">
        <is>
          <t xml:space="preserve">          Book retailers and news dealers</t>
        </is>
      </c>
      <c r="B180" t="inlineStr">
        <is>
          <t>459200</t>
        </is>
      </c>
      <c r="C180" t="inlineStr">
        <is>
          <t>Line item</t>
        </is>
      </c>
      <c r="D180" t="n">
        <v>65.8</v>
      </c>
      <c r="E180" t="n">
        <v>57</v>
      </c>
      <c r="F180" t="n">
        <v>-8.800000000000001</v>
      </c>
      <c r="G180" t="n">
        <v>-13.4</v>
      </c>
      <c r="H180" t="n">
        <v>-1.4</v>
      </c>
      <c r="I180" t="inlineStr">
        <is>
          <t>—</t>
        </is>
      </c>
      <c r="J180" t="inlineStr">
        <is>
          <t>—</t>
        </is>
      </c>
      <c r="K180" t="inlineStr">
        <is>
          <t>—</t>
        </is>
      </c>
    </row>
    <row r="181">
      <c r="A181" t="inlineStr">
        <is>
          <t xml:space="preserve">          Florists</t>
        </is>
      </c>
      <c r="B181" t="inlineStr">
        <is>
          <t>459300</t>
        </is>
      </c>
      <c r="C181" t="inlineStr">
        <is>
          <t>Line item</t>
        </is>
      </c>
      <c r="D181" t="n">
        <v>59</v>
      </c>
      <c r="E181" t="n">
        <v>53.7</v>
      </c>
      <c r="F181" t="n">
        <v>-5.3</v>
      </c>
      <c r="G181" t="n">
        <v>-9</v>
      </c>
      <c r="H181" t="n">
        <v>-0.9</v>
      </c>
      <c r="I181" t="inlineStr">
        <is>
          <t>—</t>
        </is>
      </c>
      <c r="J181" t="inlineStr">
        <is>
          <t>—</t>
        </is>
      </c>
      <c r="K181" t="inlineStr">
        <is>
          <t>—</t>
        </is>
      </c>
    </row>
    <row r="182">
      <c r="A182" t="inlineStr">
        <is>
          <t xml:space="preserve">          Miscellaneous store retailers (4594 and 4595 only)</t>
        </is>
      </c>
      <c r="B182" t="inlineStr">
        <is>
          <t>4590A1</t>
        </is>
      </c>
      <c r="C182" t="inlineStr">
        <is>
          <t>Line item</t>
        </is>
      </c>
      <c r="D182" t="n">
        <v>406.4</v>
      </c>
      <c r="E182" t="n">
        <v>366.9</v>
      </c>
      <c r="F182" t="n">
        <v>-39.5</v>
      </c>
      <c r="G182" t="n">
        <v>-9.699999999999999</v>
      </c>
      <c r="H182" t="n">
        <v>-1</v>
      </c>
      <c r="I182" t="inlineStr">
        <is>
          <t>—</t>
        </is>
      </c>
      <c r="J182" t="inlineStr">
        <is>
          <t>—</t>
        </is>
      </c>
      <c r="K182" t="inlineStr">
        <is>
          <t>—</t>
        </is>
      </c>
    </row>
    <row r="183">
      <c r="A183" t="inlineStr">
        <is>
          <t xml:space="preserve">          Other miscellaneous retailers</t>
        </is>
      </c>
      <c r="B183" t="inlineStr">
        <is>
          <t>459900</t>
        </is>
      </c>
      <c r="C183" t="inlineStr">
        <is>
          <t>Line item</t>
        </is>
      </c>
      <c r="D183" t="n">
        <v>487.7</v>
      </c>
      <c r="E183" t="n">
        <v>474.2</v>
      </c>
      <c r="F183" t="n">
        <v>-13.5</v>
      </c>
      <c r="G183" t="n">
        <v>-2.8</v>
      </c>
      <c r="H183" t="n">
        <v>-0.3</v>
      </c>
      <c r="I183" t="inlineStr">
        <is>
          <t>—</t>
        </is>
      </c>
      <c r="J183" t="inlineStr">
        <is>
          <t>—</t>
        </is>
      </c>
      <c r="K183" t="inlineStr">
        <is>
          <t>—</t>
        </is>
      </c>
    </row>
    <row r="184">
      <c r="A184" t="inlineStr">
        <is>
          <t xml:space="preserve">    Transportation and warehousing</t>
        </is>
      </c>
      <c r="B184" t="inlineStr">
        <is>
          <t>48-490</t>
        </is>
      </c>
      <c r="C184" t="inlineStr">
        <is>
          <t>Summary</t>
        </is>
      </c>
      <c r="D184" t="n">
        <v>6654.5</v>
      </c>
      <c r="E184" t="n">
        <v>6853.3</v>
      </c>
      <c r="F184" t="n">
        <v>198.8</v>
      </c>
      <c r="G184" t="n">
        <v>3</v>
      </c>
      <c r="H184" t="n">
        <v>0.3</v>
      </c>
      <c r="I184" t="n">
        <v>1382</v>
      </c>
      <c r="J184" t="n">
        <v>1720.3</v>
      </c>
      <c r="K184" t="n">
        <v>2.2</v>
      </c>
    </row>
    <row r="185">
      <c r="A185" t="inlineStr">
        <is>
          <t xml:space="preserve">      Air transportation</t>
        </is>
      </c>
      <c r="B185" t="inlineStr">
        <is>
          <t>481000</t>
        </is>
      </c>
      <c r="C185" t="inlineStr">
        <is>
          <t>Summary</t>
        </is>
      </c>
      <c r="D185" t="n">
        <v>564.4</v>
      </c>
      <c r="E185" t="n">
        <v>589.9</v>
      </c>
      <c r="F185" t="n">
        <v>25.5</v>
      </c>
      <c r="G185" t="n">
        <v>4.5</v>
      </c>
      <c r="H185" t="n">
        <v>0.4</v>
      </c>
      <c r="I185" t="n">
        <v>281.6</v>
      </c>
      <c r="J185" t="n">
        <v>353.6</v>
      </c>
      <c r="K185" t="n">
        <v>2.3</v>
      </c>
      <c r="L185" t="inlineStr">
        <is>
          <t>ISIC 51</t>
        </is>
      </c>
    </row>
    <row r="186">
      <c r="A186" t="inlineStr">
        <is>
          <t xml:space="preserve">        Scheduled air transportation</t>
        </is>
      </c>
      <c r="B186" t="inlineStr">
        <is>
          <t>481100</t>
        </is>
      </c>
      <c r="C186" t="inlineStr">
        <is>
          <t>Line item</t>
        </is>
      </c>
      <c r="D186" t="n">
        <v>504.5</v>
      </c>
      <c r="E186" t="n">
        <v>526.4</v>
      </c>
      <c r="F186" t="n">
        <v>21.9</v>
      </c>
      <c r="G186" t="n">
        <v>4.3</v>
      </c>
      <c r="H186" t="n">
        <v>0.4</v>
      </c>
      <c r="I186" t="inlineStr">
        <is>
          <t>—</t>
        </is>
      </c>
      <c r="J186" t="inlineStr">
        <is>
          <t>—</t>
        </is>
      </c>
      <c r="K186" t="inlineStr">
        <is>
          <t>—</t>
        </is>
      </c>
    </row>
    <row r="187">
      <c r="A187" t="inlineStr">
        <is>
          <t xml:space="preserve">        Nonscheduled air transportation</t>
        </is>
      </c>
      <c r="B187" t="inlineStr">
        <is>
          <t>481200</t>
        </is>
      </c>
      <c r="C187" t="inlineStr">
        <is>
          <t>Line item</t>
        </is>
      </c>
      <c r="D187" t="n">
        <v>59.9</v>
      </c>
      <c r="E187" t="n">
        <v>63.4</v>
      </c>
      <c r="F187" t="n">
        <v>3.5</v>
      </c>
      <c r="G187" t="n">
        <v>5.9</v>
      </c>
      <c r="H187" t="n">
        <v>0.6</v>
      </c>
      <c r="I187" t="inlineStr">
        <is>
          <t>—</t>
        </is>
      </c>
      <c r="J187" t="inlineStr">
        <is>
          <t>—</t>
        </is>
      </c>
      <c r="K187" t="inlineStr">
        <is>
          <t>—</t>
        </is>
      </c>
    </row>
    <row r="188">
      <c r="A188" t="inlineStr">
        <is>
          <t xml:space="preserve">      Rail transportation</t>
        </is>
      </c>
      <c r="B188" t="inlineStr">
        <is>
          <t>482000</t>
        </is>
      </c>
      <c r="C188" t="inlineStr">
        <is>
          <t>Line item</t>
        </is>
      </c>
      <c r="D188" t="n">
        <v>156.4</v>
      </c>
      <c r="E188" t="n">
        <v>157.1</v>
      </c>
      <c r="F188" t="n">
        <v>0.7</v>
      </c>
      <c r="G188" t="n">
        <v>0.4</v>
      </c>
      <c r="H188" t="n">
        <v>0</v>
      </c>
      <c r="I188" t="n">
        <v>71.5</v>
      </c>
      <c r="J188" t="n">
        <v>81.2</v>
      </c>
      <c r="K188" t="n">
        <v>1.3</v>
      </c>
      <c r="L188" t="inlineStr">
        <is>
          <t>ISIC 49</t>
        </is>
      </c>
    </row>
    <row r="189">
      <c r="A189" t="inlineStr">
        <is>
          <t xml:space="preserve">      Water transportation</t>
        </is>
      </c>
      <c r="B189" t="inlineStr">
        <is>
          <t>483000</t>
        </is>
      </c>
      <c r="C189" t="inlineStr">
        <is>
          <t>Summary</t>
        </is>
      </c>
      <c r="D189" t="n">
        <v>70</v>
      </c>
      <c r="E189" t="n">
        <v>71.40000000000001</v>
      </c>
      <c r="F189" t="n">
        <v>1.4</v>
      </c>
      <c r="G189" t="n">
        <v>2</v>
      </c>
      <c r="H189" t="n">
        <v>0.2</v>
      </c>
      <c r="I189" t="n">
        <v>55.6</v>
      </c>
      <c r="J189" t="n">
        <v>68.5</v>
      </c>
      <c r="K189" t="n">
        <v>2.1</v>
      </c>
      <c r="L189" t="inlineStr">
        <is>
          <t>ISIC 50</t>
        </is>
      </c>
    </row>
    <row r="190">
      <c r="A190" t="inlineStr">
        <is>
          <t xml:space="preserve">        Deep sea, coastal, and great lakes water transportation</t>
        </is>
      </c>
      <c r="B190" t="inlineStr">
        <is>
          <t>483100</t>
        </is>
      </c>
      <c r="C190" t="inlineStr">
        <is>
          <t>Line item</t>
        </is>
      </c>
      <c r="D190" t="n">
        <v>41.5</v>
      </c>
      <c r="E190" t="n">
        <v>42.3</v>
      </c>
      <c r="F190" t="n">
        <v>0.8</v>
      </c>
      <c r="G190" t="n">
        <v>2</v>
      </c>
      <c r="H190" t="n">
        <v>0.2</v>
      </c>
      <c r="I190" t="inlineStr">
        <is>
          <t>—</t>
        </is>
      </c>
      <c r="J190" t="inlineStr">
        <is>
          <t>—</t>
        </is>
      </c>
      <c r="K190" t="inlineStr">
        <is>
          <t>—</t>
        </is>
      </c>
    </row>
    <row r="191">
      <c r="A191" t="inlineStr">
        <is>
          <t xml:space="preserve">        Inland water transportation</t>
        </is>
      </c>
      <c r="B191" t="inlineStr">
        <is>
          <t>483200</t>
        </is>
      </c>
      <c r="C191" t="inlineStr">
        <is>
          <t>Line item</t>
        </is>
      </c>
      <c r="D191" t="n">
        <v>28.5</v>
      </c>
      <c r="E191" t="n">
        <v>29</v>
      </c>
      <c r="F191" t="n">
        <v>0.5</v>
      </c>
      <c r="G191" t="n">
        <v>1.9</v>
      </c>
      <c r="H191" t="n">
        <v>0.2</v>
      </c>
      <c r="I191" t="inlineStr">
        <is>
          <t>—</t>
        </is>
      </c>
      <c r="J191" t="inlineStr">
        <is>
          <t>—</t>
        </is>
      </c>
      <c r="K191" t="inlineStr">
        <is>
          <t>—</t>
        </is>
      </c>
    </row>
    <row r="192">
      <c r="A192" t="inlineStr">
        <is>
          <t xml:space="preserve">      Truck transportation</t>
        </is>
      </c>
      <c r="B192" t="inlineStr">
        <is>
          <t>484000</t>
        </is>
      </c>
      <c r="C192" t="inlineStr">
        <is>
          <t>Line item</t>
        </is>
      </c>
      <c r="D192" t="n">
        <v>1522.1</v>
      </c>
      <c r="E192" t="n">
        <v>1543.1</v>
      </c>
      <c r="F192" t="n">
        <v>21</v>
      </c>
      <c r="G192" t="n">
        <v>1.4</v>
      </c>
      <c r="H192" t="n">
        <v>0.1</v>
      </c>
      <c r="I192" t="n">
        <v>391.5</v>
      </c>
      <c r="J192" t="n">
        <v>487.1</v>
      </c>
      <c r="K192" t="n">
        <v>2.2</v>
      </c>
      <c r="L192" t="inlineStr">
        <is>
          <t>ISIC 49</t>
        </is>
      </c>
    </row>
    <row r="193">
      <c r="A193" t="inlineStr">
        <is>
          <t xml:space="preserve">      Transit and ground passenger transportation</t>
        </is>
      </c>
      <c r="B193" t="inlineStr">
        <is>
          <t>485000</t>
        </is>
      </c>
      <c r="C193" t="inlineStr">
        <is>
          <t>Summary</t>
        </is>
      </c>
      <c r="D193" t="n">
        <v>472.6</v>
      </c>
      <c r="E193" t="n">
        <v>488.6</v>
      </c>
      <c r="F193" t="n">
        <v>16</v>
      </c>
      <c r="G193" t="n">
        <v>3.4</v>
      </c>
      <c r="H193" t="n">
        <v>0.3</v>
      </c>
      <c r="I193" t="n">
        <v>157.8</v>
      </c>
      <c r="J193" t="n">
        <v>178.6</v>
      </c>
      <c r="K193" t="n">
        <v>1.2</v>
      </c>
      <c r="L193" t="inlineStr">
        <is>
          <t>ISIC 49</t>
        </is>
      </c>
    </row>
    <row r="194">
      <c r="A194" t="inlineStr">
        <is>
          <t xml:space="preserve">        Urban transit systems</t>
        </is>
      </c>
      <c r="B194" t="inlineStr">
        <is>
          <t>485100</t>
        </is>
      </c>
      <c r="C194" t="inlineStr">
        <is>
          <t>Line item</t>
        </is>
      </c>
      <c r="D194" t="n">
        <v>48</v>
      </c>
      <c r="E194" t="n">
        <v>49.8</v>
      </c>
      <c r="F194" t="n">
        <v>1.9</v>
      </c>
      <c r="G194" t="n">
        <v>3.9</v>
      </c>
      <c r="H194" t="n">
        <v>0.4</v>
      </c>
      <c r="I194" t="inlineStr">
        <is>
          <t>—</t>
        </is>
      </c>
      <c r="J194" t="inlineStr">
        <is>
          <t>—</t>
        </is>
      </c>
      <c r="K194" t="inlineStr">
        <is>
          <t>—</t>
        </is>
      </c>
    </row>
    <row r="195">
      <c r="A195" t="inlineStr">
        <is>
          <t xml:space="preserve">        Interurban and rural bus transportation</t>
        </is>
      </c>
      <c r="B195" t="inlineStr">
        <is>
          <t>485200</t>
        </is>
      </c>
      <c r="C195" t="inlineStr">
        <is>
          <t>Line item</t>
        </is>
      </c>
      <c r="D195" t="n">
        <v>16.2</v>
      </c>
      <c r="E195" t="n">
        <v>16.6</v>
      </c>
      <c r="F195" t="n">
        <v>0.5</v>
      </c>
      <c r="G195" t="n">
        <v>2.8</v>
      </c>
      <c r="H195" t="n">
        <v>0.2</v>
      </c>
      <c r="I195" t="inlineStr">
        <is>
          <t>—</t>
        </is>
      </c>
      <c r="J195" t="inlineStr">
        <is>
          <t>—</t>
        </is>
      </c>
      <c r="K195" t="inlineStr">
        <is>
          <t>—</t>
        </is>
      </c>
    </row>
    <row r="196">
      <c r="A196" t="inlineStr">
        <is>
          <t xml:space="preserve">        Taxi and limousine service</t>
        </is>
      </c>
      <c r="B196" t="inlineStr">
        <is>
          <t>485300</t>
        </is>
      </c>
      <c r="C196" t="inlineStr">
        <is>
          <t>Line item</t>
        </is>
      </c>
      <c r="D196" t="n">
        <v>71.2</v>
      </c>
      <c r="E196" t="n">
        <v>67.90000000000001</v>
      </c>
      <c r="F196" t="n">
        <v>-3.3</v>
      </c>
      <c r="G196" t="n">
        <v>-4.6</v>
      </c>
      <c r="H196" t="n">
        <v>-0.5</v>
      </c>
      <c r="I196" t="inlineStr">
        <is>
          <t>—</t>
        </is>
      </c>
      <c r="J196" t="inlineStr">
        <is>
          <t>—</t>
        </is>
      </c>
      <c r="K196" t="inlineStr">
        <is>
          <t>—</t>
        </is>
      </c>
    </row>
    <row r="197">
      <c r="A197" t="inlineStr">
        <is>
          <t xml:space="preserve">        School and employee bus transportation</t>
        </is>
      </c>
      <c r="B197" t="inlineStr">
        <is>
          <t>485400</t>
        </is>
      </c>
      <c r="C197" t="inlineStr">
        <is>
          <t>Line item</t>
        </is>
      </c>
      <c r="D197" t="n">
        <v>203</v>
      </c>
      <c r="E197" t="n">
        <v>208.4</v>
      </c>
      <c r="F197" t="n">
        <v>5.4</v>
      </c>
      <c r="G197" t="n">
        <v>2.7</v>
      </c>
      <c r="H197" t="n">
        <v>0.3</v>
      </c>
      <c r="I197" t="inlineStr">
        <is>
          <t>—</t>
        </is>
      </c>
      <c r="J197" t="inlineStr">
        <is>
          <t>—</t>
        </is>
      </c>
      <c r="K197" t="inlineStr">
        <is>
          <t>—</t>
        </is>
      </c>
    </row>
    <row r="198">
      <c r="A198" t="inlineStr">
        <is>
          <t xml:space="preserve">        Charter bus industry</t>
        </is>
      </c>
      <c r="B198" t="inlineStr">
        <is>
          <t>485500</t>
        </is>
      </c>
      <c r="C198" t="inlineStr">
        <is>
          <t>Line item</t>
        </is>
      </c>
      <c r="D198" t="n">
        <v>24.1</v>
      </c>
      <c r="E198" t="n">
        <v>24.9</v>
      </c>
      <c r="F198" t="n">
        <v>0.9</v>
      </c>
      <c r="G198" t="n">
        <v>3.5</v>
      </c>
      <c r="H198" t="n">
        <v>0.3</v>
      </c>
      <c r="I198" t="inlineStr">
        <is>
          <t>—</t>
        </is>
      </c>
      <c r="J198" t="inlineStr">
        <is>
          <t>—</t>
        </is>
      </c>
      <c r="K198" t="inlineStr">
        <is>
          <t>—</t>
        </is>
      </c>
    </row>
    <row r="199">
      <c r="A199" t="inlineStr">
        <is>
          <t xml:space="preserve">        Other transit and ground passenger transportation</t>
        </is>
      </c>
      <c r="B199" t="inlineStr">
        <is>
          <t>485900</t>
        </is>
      </c>
      <c r="C199" t="inlineStr">
        <is>
          <t>Line item</t>
        </is>
      </c>
      <c r="D199" t="n">
        <v>110.2</v>
      </c>
      <c r="E199" t="n">
        <v>120.9</v>
      </c>
      <c r="F199" t="n">
        <v>10.7</v>
      </c>
      <c r="G199" t="n">
        <v>9.699999999999999</v>
      </c>
      <c r="H199" t="n">
        <v>0.9</v>
      </c>
      <c r="I199" t="inlineStr">
        <is>
          <t>—</t>
        </is>
      </c>
      <c r="J199" t="inlineStr">
        <is>
          <t>—</t>
        </is>
      </c>
      <c r="K199" t="inlineStr">
        <is>
          <t>—</t>
        </is>
      </c>
    </row>
    <row r="200">
      <c r="A200" t="inlineStr">
        <is>
          <t xml:space="preserve">      Pipeline transportation</t>
        </is>
      </c>
      <c r="B200" t="inlineStr">
        <is>
          <t>486000</t>
        </is>
      </c>
      <c r="C200" t="inlineStr">
        <is>
          <t>Summary</t>
        </is>
      </c>
      <c r="D200" t="n">
        <v>55.4</v>
      </c>
      <c r="E200" t="n">
        <v>57.9</v>
      </c>
      <c r="F200" t="n">
        <v>2.5</v>
      </c>
      <c r="G200" t="n">
        <v>4.4</v>
      </c>
      <c r="H200" t="n">
        <v>0.4</v>
      </c>
      <c r="I200" t="n">
        <v>52.8</v>
      </c>
      <c r="J200" t="n">
        <v>62.5</v>
      </c>
      <c r="K200" t="n">
        <v>1.7</v>
      </c>
      <c r="L200" t="inlineStr">
        <is>
          <t>ISIC 352T353</t>
        </is>
      </c>
    </row>
    <row r="201">
      <c r="A201" t="inlineStr">
        <is>
          <t xml:space="preserve">        Pipeline transportation of crude oil</t>
        </is>
      </c>
      <c r="B201" t="inlineStr">
        <is>
          <t>486100</t>
        </is>
      </c>
      <c r="C201" t="inlineStr">
        <is>
          <t>Line item</t>
        </is>
      </c>
      <c r="D201" t="n">
        <v>12.6</v>
      </c>
      <c r="E201" t="n">
        <v>13</v>
      </c>
      <c r="F201" t="n">
        <v>0.4</v>
      </c>
      <c r="G201" t="n">
        <v>3.2</v>
      </c>
      <c r="H201" t="n">
        <v>0.3</v>
      </c>
      <c r="I201" t="inlineStr">
        <is>
          <t>—</t>
        </is>
      </c>
      <c r="J201" t="inlineStr">
        <is>
          <t>—</t>
        </is>
      </c>
      <c r="K201" t="inlineStr">
        <is>
          <t>—</t>
        </is>
      </c>
    </row>
    <row r="202">
      <c r="A202" t="inlineStr">
        <is>
          <t xml:space="preserve">        Pipeline transportation of natural gas</t>
        </is>
      </c>
      <c r="B202" t="inlineStr">
        <is>
          <t>486200</t>
        </is>
      </c>
      <c r="C202" t="inlineStr">
        <is>
          <t>Line item</t>
        </is>
      </c>
      <c r="D202" t="n">
        <v>35.2</v>
      </c>
      <c r="E202" t="n">
        <v>37.1</v>
      </c>
      <c r="F202" t="n">
        <v>1.9</v>
      </c>
      <c r="G202" t="n">
        <v>5.5</v>
      </c>
      <c r="H202" t="n">
        <v>0.5</v>
      </c>
      <c r="I202" t="inlineStr">
        <is>
          <t>—</t>
        </is>
      </c>
      <c r="J202" t="inlineStr">
        <is>
          <t>—</t>
        </is>
      </c>
      <c r="K202" t="inlineStr">
        <is>
          <t>—</t>
        </is>
      </c>
    </row>
    <row r="203">
      <c r="A203" t="inlineStr">
        <is>
          <t xml:space="preserve">        Other pipeline transportation</t>
        </is>
      </c>
      <c r="B203" t="inlineStr">
        <is>
          <t>486900</t>
        </is>
      </c>
      <c r="C203" t="inlineStr">
        <is>
          <t>Line item</t>
        </is>
      </c>
      <c r="D203" t="n">
        <v>7.6</v>
      </c>
      <c r="E203" t="n">
        <v>7.8</v>
      </c>
      <c r="F203" t="n">
        <v>0.1</v>
      </c>
      <c r="G203" t="n">
        <v>1.5</v>
      </c>
      <c r="H203" t="n">
        <v>0.3</v>
      </c>
      <c r="I203" t="inlineStr">
        <is>
          <t>—</t>
        </is>
      </c>
      <c r="J203" t="inlineStr">
        <is>
          <t>—</t>
        </is>
      </c>
      <c r="K203" t="inlineStr">
        <is>
          <t>—</t>
        </is>
      </c>
    </row>
    <row r="204">
      <c r="A204" t="inlineStr">
        <is>
          <t xml:space="preserve">      Scenic and sightseeing transportation and support activities for transportation</t>
        </is>
      </c>
      <c r="B204" t="inlineStr">
        <is>
          <t>487-80</t>
        </is>
      </c>
      <c r="C204" t="inlineStr">
        <is>
          <t>Summary</t>
        </is>
      </c>
      <c r="D204" t="n">
        <v>868.1</v>
      </c>
      <c r="E204" t="n">
        <v>914.9</v>
      </c>
      <c r="F204" t="n">
        <v>46.8</v>
      </c>
      <c r="G204" t="n">
        <v>5.4</v>
      </c>
      <c r="H204" t="n">
        <v>0.5</v>
      </c>
      <c r="I204" t="n">
        <v>165.5</v>
      </c>
      <c r="J204" t="n">
        <v>218.6</v>
      </c>
      <c r="K204" t="n">
        <v>2.8</v>
      </c>
      <c r="L204" t="inlineStr">
        <is>
          <t>ISIC 52</t>
        </is>
      </c>
    </row>
    <row r="205">
      <c r="A205" t="inlineStr">
        <is>
          <t xml:space="preserve">        Scenic and sightseeing transportation</t>
        </is>
      </c>
      <c r="B205" t="inlineStr">
        <is>
          <t>487000</t>
        </is>
      </c>
      <c r="C205" t="inlineStr">
        <is>
          <t>Summary</t>
        </is>
      </c>
      <c r="D205" t="n">
        <v>31.1</v>
      </c>
      <c r="E205" t="n">
        <v>31.6</v>
      </c>
      <c r="F205" t="n">
        <v>0.5</v>
      </c>
      <c r="G205" t="n">
        <v>1.5</v>
      </c>
      <c r="H205" t="n">
        <v>0.2</v>
      </c>
      <c r="I205" t="inlineStr">
        <is>
          <t>—</t>
        </is>
      </c>
      <c r="J205" t="inlineStr">
        <is>
          <t>—</t>
        </is>
      </c>
      <c r="K205" t="inlineStr">
        <is>
          <t>—</t>
        </is>
      </c>
    </row>
    <row r="206">
      <c r="A206" t="inlineStr">
        <is>
          <t xml:space="preserve">          Scenic and sightseeing transportation, land</t>
        </is>
      </c>
      <c r="B206" t="inlineStr">
        <is>
          <t>487100</t>
        </is>
      </c>
      <c r="C206" t="inlineStr">
        <is>
          <t>Line item</t>
        </is>
      </c>
      <c r="D206" t="n">
        <v>10.8</v>
      </c>
      <c r="E206" t="n">
        <v>11</v>
      </c>
      <c r="F206" t="n">
        <v>0.2</v>
      </c>
      <c r="G206" t="n">
        <v>2</v>
      </c>
      <c r="H206" t="n">
        <v>0.2</v>
      </c>
      <c r="I206" t="inlineStr">
        <is>
          <t>—</t>
        </is>
      </c>
      <c r="J206" t="inlineStr">
        <is>
          <t>—</t>
        </is>
      </c>
      <c r="K206" t="inlineStr">
        <is>
          <t>—</t>
        </is>
      </c>
    </row>
    <row r="207">
      <c r="A207" t="inlineStr">
        <is>
          <t xml:space="preserve">          Scenic and sightseeing transportation, water</t>
        </is>
      </c>
      <c r="B207" t="inlineStr">
        <is>
          <t>487200</t>
        </is>
      </c>
      <c r="C207" t="inlineStr">
        <is>
          <t>Line item</t>
        </is>
      </c>
      <c r="D207" t="n">
        <v>17.6</v>
      </c>
      <c r="E207" t="n">
        <v>17.7</v>
      </c>
      <c r="F207" t="n">
        <v>0.2</v>
      </c>
      <c r="G207" t="n">
        <v>0.9</v>
      </c>
      <c r="H207" t="n">
        <v>0.1</v>
      </c>
      <c r="I207" t="inlineStr">
        <is>
          <t>—</t>
        </is>
      </c>
      <c r="J207" t="inlineStr">
        <is>
          <t>—</t>
        </is>
      </c>
      <c r="K207" t="inlineStr">
        <is>
          <t>—</t>
        </is>
      </c>
    </row>
    <row r="208">
      <c r="A208" t="inlineStr">
        <is>
          <t xml:space="preserve">          Scenic and sightseeing transportation, other</t>
        </is>
      </c>
      <c r="B208" t="inlineStr">
        <is>
          <t>487900</t>
        </is>
      </c>
      <c r="C208" t="inlineStr">
        <is>
          <t>Line item</t>
        </is>
      </c>
      <c r="D208" t="n">
        <v>2.8</v>
      </c>
      <c r="E208" t="n">
        <v>2.8</v>
      </c>
      <c r="F208" t="n">
        <v>0.1</v>
      </c>
      <c r="G208" t="n">
        <v>2.8</v>
      </c>
      <c r="H208" t="n">
        <v>0</v>
      </c>
      <c r="I208" t="inlineStr">
        <is>
          <t>—</t>
        </is>
      </c>
      <c r="J208" t="inlineStr">
        <is>
          <t>—</t>
        </is>
      </c>
      <c r="K208" t="inlineStr">
        <is>
          <t>—</t>
        </is>
      </c>
    </row>
    <row r="209">
      <c r="A209" t="inlineStr">
        <is>
          <t xml:space="preserve">        Support activities for transportation</t>
        </is>
      </c>
      <c r="B209" t="inlineStr">
        <is>
          <t>488000</t>
        </is>
      </c>
      <c r="C209" t="inlineStr">
        <is>
          <t>Summary</t>
        </is>
      </c>
      <c r="D209" t="n">
        <v>837</v>
      </c>
      <c r="E209" t="n">
        <v>883.3</v>
      </c>
      <c r="F209" t="n">
        <v>46.3</v>
      </c>
      <c r="G209" t="n">
        <v>5.5</v>
      </c>
      <c r="H209" t="n">
        <v>0.5</v>
      </c>
      <c r="I209" t="inlineStr">
        <is>
          <t>—</t>
        </is>
      </c>
      <c r="J209" t="inlineStr">
        <is>
          <t>—</t>
        </is>
      </c>
      <c r="K209" t="inlineStr">
        <is>
          <t>—</t>
        </is>
      </c>
    </row>
    <row r="210">
      <c r="A210" t="inlineStr">
        <is>
          <t xml:space="preserve">          Support activities for air transportation</t>
        </is>
      </c>
      <c r="B210" t="inlineStr">
        <is>
          <t>488100</t>
        </is>
      </c>
      <c r="C210" t="inlineStr">
        <is>
          <t>Line item</t>
        </is>
      </c>
      <c r="D210" t="n">
        <v>272.3</v>
      </c>
      <c r="E210" t="n">
        <v>283.6</v>
      </c>
      <c r="F210" t="n">
        <v>11.3</v>
      </c>
      <c r="G210" t="n">
        <v>4.2</v>
      </c>
      <c r="H210" t="n">
        <v>0.4</v>
      </c>
      <c r="I210" t="inlineStr">
        <is>
          <t>—</t>
        </is>
      </c>
      <c r="J210" t="inlineStr">
        <is>
          <t>—</t>
        </is>
      </c>
      <c r="K210" t="inlineStr">
        <is>
          <t>—</t>
        </is>
      </c>
    </row>
    <row r="211">
      <c r="A211" t="inlineStr">
        <is>
          <t xml:space="preserve">          Support activities for rail transportation</t>
        </is>
      </c>
      <c r="B211" t="inlineStr">
        <is>
          <t>488200</t>
        </is>
      </c>
      <c r="C211" t="inlineStr">
        <is>
          <t>Line item</t>
        </is>
      </c>
      <c r="D211" t="n">
        <v>43.6</v>
      </c>
      <c r="E211" t="n">
        <v>43.9</v>
      </c>
      <c r="F211" t="n">
        <v>0.3</v>
      </c>
      <c r="G211" t="n">
        <v>0.7</v>
      </c>
      <c r="H211" t="n">
        <v>0.1</v>
      </c>
      <c r="I211" t="inlineStr">
        <is>
          <t>—</t>
        </is>
      </c>
      <c r="J211" t="inlineStr">
        <is>
          <t>—</t>
        </is>
      </c>
      <c r="K211" t="inlineStr">
        <is>
          <t>—</t>
        </is>
      </c>
    </row>
    <row r="212">
      <c r="A212" t="inlineStr">
        <is>
          <t xml:space="preserve">          Support activities for water transportation</t>
        </is>
      </c>
      <c r="B212" t="inlineStr">
        <is>
          <t>488300</t>
        </is>
      </c>
      <c r="C212" t="inlineStr">
        <is>
          <t>Line item</t>
        </is>
      </c>
      <c r="D212" t="n">
        <v>97.59999999999999</v>
      </c>
      <c r="E212" t="n">
        <v>99.7</v>
      </c>
      <c r="F212" t="n">
        <v>2.1</v>
      </c>
      <c r="G212" t="n">
        <v>2.2</v>
      </c>
      <c r="H212" t="n">
        <v>0.2</v>
      </c>
      <c r="I212" t="inlineStr">
        <is>
          <t>—</t>
        </is>
      </c>
      <c r="J212" t="inlineStr">
        <is>
          <t>—</t>
        </is>
      </c>
      <c r="K212" t="inlineStr">
        <is>
          <t>—</t>
        </is>
      </c>
    </row>
    <row r="213">
      <c r="A213" t="inlineStr">
        <is>
          <t xml:space="preserve">          Support activities for road transportation</t>
        </is>
      </c>
      <c r="B213" t="inlineStr">
        <is>
          <t>488400</t>
        </is>
      </c>
      <c r="C213" t="inlineStr">
        <is>
          <t>Line item</t>
        </is>
      </c>
      <c r="D213" t="n">
        <v>114.7</v>
      </c>
      <c r="E213" t="n">
        <v>118.9</v>
      </c>
      <c r="F213" t="n">
        <v>4.2</v>
      </c>
      <c r="G213" t="n">
        <v>3.7</v>
      </c>
      <c r="H213" t="n">
        <v>0.4</v>
      </c>
      <c r="I213" t="inlineStr">
        <is>
          <t>—</t>
        </is>
      </c>
      <c r="J213" t="inlineStr">
        <is>
          <t>—</t>
        </is>
      </c>
      <c r="K213" t="inlineStr">
        <is>
          <t>—</t>
        </is>
      </c>
    </row>
    <row r="214">
      <c r="A214" t="inlineStr">
        <is>
          <t xml:space="preserve">          Freight transportation arrangement</t>
        </is>
      </c>
      <c r="B214" t="inlineStr">
        <is>
          <t>488500</t>
        </is>
      </c>
      <c r="C214" t="inlineStr">
        <is>
          <t>Line item</t>
        </is>
      </c>
      <c r="D214" t="n">
        <v>266.1</v>
      </c>
      <c r="E214" t="n">
        <v>292.8</v>
      </c>
      <c r="F214" t="n">
        <v>26.7</v>
      </c>
      <c r="G214" t="n">
        <v>10</v>
      </c>
      <c r="H214" t="n">
        <v>1</v>
      </c>
      <c r="I214" t="inlineStr">
        <is>
          <t>—</t>
        </is>
      </c>
      <c r="J214" t="inlineStr">
        <is>
          <t>—</t>
        </is>
      </c>
      <c r="K214" t="inlineStr">
        <is>
          <t>—</t>
        </is>
      </c>
    </row>
    <row r="215">
      <c r="A215" t="inlineStr">
        <is>
          <t xml:space="preserve">          Other support activities for transportation</t>
        </is>
      </c>
      <c r="B215" t="inlineStr">
        <is>
          <t>488900</t>
        </is>
      </c>
      <c r="C215" t="inlineStr">
        <is>
          <t>Line item</t>
        </is>
      </c>
      <c r="D215" t="n">
        <v>42.7</v>
      </c>
      <c r="E215" t="n">
        <v>44.4</v>
      </c>
      <c r="F215" t="n">
        <v>1.7</v>
      </c>
      <c r="G215" t="n">
        <v>3.9</v>
      </c>
      <c r="H215" t="n">
        <v>0.4</v>
      </c>
      <c r="I215" t="inlineStr">
        <is>
          <t>—</t>
        </is>
      </c>
      <c r="J215" t="inlineStr">
        <is>
          <t>—</t>
        </is>
      </c>
      <c r="K215" t="inlineStr">
        <is>
          <t>—</t>
        </is>
      </c>
    </row>
    <row r="216">
      <c r="A216" t="inlineStr">
        <is>
          <t xml:space="preserve">      Couriers and messengers</t>
        </is>
      </c>
      <c r="B216" t="inlineStr">
        <is>
          <t>492000</t>
        </is>
      </c>
      <c r="C216" t="inlineStr">
        <is>
          <t>Summary</t>
        </is>
      </c>
      <c r="D216" t="n">
        <v>1096.4</v>
      </c>
      <c r="E216" t="n">
        <v>1155.4</v>
      </c>
      <c r="F216" t="n">
        <v>59</v>
      </c>
      <c r="G216" t="n">
        <v>5.4</v>
      </c>
      <c r="H216" t="n">
        <v>0.5</v>
      </c>
      <c r="I216" t="n">
        <v>96.40000000000001</v>
      </c>
      <c r="J216" t="n">
        <v>126.7</v>
      </c>
      <c r="K216" t="n">
        <v>2.8</v>
      </c>
      <c r="L216" t="inlineStr">
        <is>
          <t>ISIC 53</t>
        </is>
      </c>
    </row>
    <row r="217">
      <c r="A217" t="inlineStr">
        <is>
          <t xml:space="preserve">        Couriers and express delivery services</t>
        </is>
      </c>
      <c r="B217" t="inlineStr">
        <is>
          <t>492100</t>
        </is>
      </c>
      <c r="C217" t="inlineStr">
        <is>
          <t>Line item</t>
        </is>
      </c>
      <c r="D217" t="n">
        <v>909.8</v>
      </c>
      <c r="E217" t="n">
        <v>953.2</v>
      </c>
      <c r="F217" t="n">
        <v>43.4</v>
      </c>
      <c r="G217" t="n">
        <v>4.8</v>
      </c>
      <c r="H217" t="n">
        <v>0.5</v>
      </c>
      <c r="I217" t="inlineStr">
        <is>
          <t>—</t>
        </is>
      </c>
      <c r="J217" t="inlineStr">
        <is>
          <t>—</t>
        </is>
      </c>
      <c r="K217" t="inlineStr">
        <is>
          <t>—</t>
        </is>
      </c>
    </row>
    <row r="218">
      <c r="A218" t="inlineStr">
        <is>
          <t xml:space="preserve">        Local messengers and local delivery</t>
        </is>
      </c>
      <c r="B218" t="inlineStr">
        <is>
          <t>492200</t>
        </is>
      </c>
      <c r="C218" t="inlineStr">
        <is>
          <t>Line item</t>
        </is>
      </c>
      <c r="D218" t="n">
        <v>186.6</v>
      </c>
      <c r="E218" t="n">
        <v>202.2</v>
      </c>
      <c r="F218" t="n">
        <v>15.6</v>
      </c>
      <c r="G218" t="n">
        <v>8.4</v>
      </c>
      <c r="H218" t="n">
        <v>0.8</v>
      </c>
      <c r="I218" t="inlineStr">
        <is>
          <t>—</t>
        </is>
      </c>
      <c r="J218" t="inlineStr">
        <is>
          <t>—</t>
        </is>
      </c>
      <c r="K218" t="inlineStr">
        <is>
          <t>—</t>
        </is>
      </c>
    </row>
    <row r="219">
      <c r="A219" t="inlineStr">
        <is>
          <t xml:space="preserve">      Warehousing and storage</t>
        </is>
      </c>
      <c r="B219" t="inlineStr">
        <is>
          <t>493000</t>
        </is>
      </c>
      <c r="C219" t="inlineStr">
        <is>
          <t>Line item</t>
        </is>
      </c>
      <c r="D219" t="n">
        <v>1849.1</v>
      </c>
      <c r="E219" t="n">
        <v>1875.1</v>
      </c>
      <c r="F219" t="n">
        <v>26</v>
      </c>
      <c r="G219" t="n">
        <v>1.4</v>
      </c>
      <c r="H219" t="n">
        <v>0.1</v>
      </c>
      <c r="I219" t="n">
        <v>134.7</v>
      </c>
      <c r="J219" t="n">
        <v>169.7</v>
      </c>
      <c r="K219" t="n">
        <v>2.3</v>
      </c>
      <c r="L219" t="inlineStr">
        <is>
          <t>ISIC 52</t>
        </is>
      </c>
    </row>
    <row r="220">
      <c r="A220" t="inlineStr">
        <is>
          <t xml:space="preserve">    Information</t>
        </is>
      </c>
      <c r="B220" t="inlineStr">
        <is>
          <t>510000</t>
        </is>
      </c>
      <c r="C220" t="inlineStr">
        <is>
          <t>Summary</t>
        </is>
      </c>
      <c r="D220" t="n">
        <v>2942.8</v>
      </c>
      <c r="E220" t="n">
        <v>3135.1</v>
      </c>
      <c r="F220" t="n">
        <v>192.3</v>
      </c>
      <c r="G220" t="n">
        <v>6.5</v>
      </c>
      <c r="H220" t="n">
        <v>0.6</v>
      </c>
      <c r="I220" t="n">
        <v>2565.5</v>
      </c>
      <c r="J220" t="n">
        <v>3565.6</v>
      </c>
      <c r="K220" t="n">
        <v>3.3</v>
      </c>
    </row>
    <row r="221">
      <c r="A221" t="inlineStr">
        <is>
          <t xml:space="preserve">      Motion picture and sound recording industries</t>
        </is>
      </c>
      <c r="B221" t="inlineStr">
        <is>
          <t>512000</t>
        </is>
      </c>
      <c r="C221" t="inlineStr">
        <is>
          <t>Summary</t>
        </is>
      </c>
      <c r="D221" t="n">
        <v>400.7</v>
      </c>
      <c r="E221" t="n">
        <v>421.9</v>
      </c>
      <c r="F221" t="n">
        <v>21.2</v>
      </c>
      <c r="G221" t="n">
        <v>5.3</v>
      </c>
      <c r="H221" t="n">
        <v>0.5</v>
      </c>
      <c r="I221" t="n">
        <v>190</v>
      </c>
      <c r="J221" t="n">
        <v>249.7</v>
      </c>
      <c r="K221" t="n">
        <v>2.8</v>
      </c>
      <c r="L221" t="inlineStr">
        <is>
          <t>ISIC 58T60</t>
        </is>
      </c>
    </row>
    <row r="222">
      <c r="A222" t="inlineStr">
        <is>
          <t xml:space="preserve">        Motion picture and video industries</t>
        </is>
      </c>
      <c r="B222" t="inlineStr">
        <is>
          <t>512100</t>
        </is>
      </c>
      <c r="C222" t="inlineStr">
        <is>
          <t>Summary</t>
        </is>
      </c>
      <c r="D222" t="n">
        <v>378.1</v>
      </c>
      <c r="E222" t="n">
        <v>398.5</v>
      </c>
      <c r="F222" t="n">
        <v>20.4</v>
      </c>
      <c r="G222" t="n">
        <v>5.4</v>
      </c>
      <c r="H222" t="n">
        <v>0.5</v>
      </c>
      <c r="I222" t="n">
        <v>159.1</v>
      </c>
      <c r="J222" t="n">
        <v>205.8</v>
      </c>
      <c r="K222" t="n">
        <v>2.6</v>
      </c>
    </row>
    <row r="223">
      <c r="A223" t="inlineStr">
        <is>
          <t xml:space="preserve">          Motion picture and video exhibition</t>
        </is>
      </c>
      <c r="B223" t="inlineStr">
        <is>
          <t>512130</t>
        </is>
      </c>
      <c r="C223" t="inlineStr">
        <is>
          <t>Line item</t>
        </is>
      </c>
      <c r="D223" t="n">
        <v>118.5</v>
      </c>
      <c r="E223" t="n">
        <v>120.3</v>
      </c>
      <c r="F223" t="n">
        <v>1.8</v>
      </c>
      <c r="G223" t="n">
        <v>1.6</v>
      </c>
      <c r="H223" t="n">
        <v>0.2</v>
      </c>
      <c r="I223" t="inlineStr">
        <is>
          <t>—</t>
        </is>
      </c>
      <c r="J223" t="inlineStr">
        <is>
          <t>—</t>
        </is>
      </c>
      <c r="K223" t="inlineStr">
        <is>
          <t>—</t>
        </is>
      </c>
    </row>
    <row r="224">
      <c r="A224" t="inlineStr">
        <is>
          <t xml:space="preserve">        Sound recording industries</t>
        </is>
      </c>
      <c r="B224" t="inlineStr">
        <is>
          <t>512200</t>
        </is>
      </c>
      <c r="C224" t="inlineStr">
        <is>
          <t>Line item</t>
        </is>
      </c>
      <c r="D224" t="n">
        <v>22.6</v>
      </c>
      <c r="E224" t="n">
        <v>23.4</v>
      </c>
      <c r="F224" t="n">
        <v>0.8</v>
      </c>
      <c r="G224" t="n">
        <v>3.4</v>
      </c>
      <c r="H224" t="n">
        <v>0.3</v>
      </c>
      <c r="I224" t="n">
        <v>31.4</v>
      </c>
      <c r="J224" t="n">
        <v>45.1</v>
      </c>
      <c r="K224" t="n">
        <v>3.7</v>
      </c>
    </row>
    <row r="225">
      <c r="A225" t="inlineStr">
        <is>
          <t xml:space="preserve">      Publishing, broadcasting, and content providers</t>
        </is>
      </c>
      <c r="B225" t="inlineStr">
        <is>
          <t>513-90</t>
        </is>
      </c>
      <c r="C225" t="inlineStr">
        <is>
          <t>Summary</t>
        </is>
      </c>
      <c r="D225" t="n">
        <v>2542.1</v>
      </c>
      <c r="E225" t="n">
        <v>2713.3</v>
      </c>
      <c r="F225" t="n">
        <v>171.2</v>
      </c>
      <c r="G225" t="n">
        <v>6.7</v>
      </c>
      <c r="H225" t="n">
        <v>0.7</v>
      </c>
      <c r="I225" t="n">
        <v>2375.8</v>
      </c>
      <c r="J225" t="n">
        <v>3317.5</v>
      </c>
      <c r="K225" t="n">
        <v>3.4</v>
      </c>
    </row>
    <row r="226">
      <c r="A226" t="inlineStr">
        <is>
          <t xml:space="preserve">        Software publishers</t>
        </is>
      </c>
      <c r="B226" t="inlineStr">
        <is>
          <t>513200</t>
        </is>
      </c>
      <c r="C226" t="inlineStr">
        <is>
          <t>Line item</t>
        </is>
      </c>
      <c r="D226" t="n">
        <v>645.7</v>
      </c>
      <c r="E226" t="n">
        <v>770.3</v>
      </c>
      <c r="F226" t="n">
        <v>124.6</v>
      </c>
      <c r="G226" t="n">
        <v>19.3</v>
      </c>
      <c r="H226" t="n">
        <v>1.8</v>
      </c>
      <c r="I226" t="n">
        <v>552.2</v>
      </c>
      <c r="J226" t="n">
        <v>896.1</v>
      </c>
      <c r="K226" t="n">
        <v>5</v>
      </c>
      <c r="L226" t="inlineStr">
        <is>
          <t>ISIC 58T60</t>
        </is>
      </c>
    </row>
    <row r="227">
      <c r="A227" t="inlineStr">
        <is>
          <t xml:space="preserve">        Miscellaneous information services (5131, 516, 519)</t>
        </is>
      </c>
      <c r="B227" t="inlineStr">
        <is>
          <t>5136A9</t>
        </is>
      </c>
      <c r="C227" t="inlineStr">
        <is>
          <t>Summary</t>
        </is>
      </c>
      <c r="D227" t="n">
        <v>792.5</v>
      </c>
      <c r="E227" t="n">
        <v>794.2</v>
      </c>
      <c r="F227" t="n">
        <v>1.7</v>
      </c>
      <c r="G227" t="n">
        <v>0.2</v>
      </c>
      <c r="H227" t="n">
        <v>0</v>
      </c>
      <c r="I227" t="n">
        <v>771.6</v>
      </c>
      <c r="J227" t="n">
        <v>1010.7</v>
      </c>
      <c r="K227" t="n">
        <v>2.7</v>
      </c>
      <c r="L227" t="inlineStr">
        <is>
          <t>ISIC 58T60</t>
        </is>
      </c>
    </row>
    <row r="228">
      <c r="A228" t="inlineStr">
        <is>
          <t xml:space="preserve">          Newspaper, Periodical, Book, and Directory Publishers</t>
        </is>
      </c>
      <c r="B228" t="inlineStr">
        <is>
          <t>513100</t>
        </is>
      </c>
      <c r="C228" t="inlineStr">
        <is>
          <t>Summary</t>
        </is>
      </c>
      <c r="D228" t="n">
        <v>268.5</v>
      </c>
      <c r="E228" t="n">
        <v>244.6</v>
      </c>
      <c r="F228" t="n">
        <v>-23.9</v>
      </c>
      <c r="G228" t="n">
        <v>-8.9</v>
      </c>
      <c r="H228" t="n">
        <v>-0.9</v>
      </c>
      <c r="I228" t="inlineStr">
        <is>
          <t>—</t>
        </is>
      </c>
      <c r="J228" t="inlineStr">
        <is>
          <t>—</t>
        </is>
      </c>
      <c r="K228" t="inlineStr">
        <is>
          <t>—</t>
        </is>
      </c>
    </row>
    <row r="229">
      <c r="A229" t="inlineStr">
        <is>
          <t xml:space="preserve">            Newspaper publishers</t>
        </is>
      </c>
      <c r="B229" t="inlineStr">
        <is>
          <t>513110</t>
        </is>
      </c>
      <c r="C229" t="inlineStr">
        <is>
          <t>Line item</t>
        </is>
      </c>
      <c r="D229" t="n">
        <v>89.40000000000001</v>
      </c>
      <c r="E229" t="n">
        <v>71.5</v>
      </c>
      <c r="F229" t="n">
        <v>-17.9</v>
      </c>
      <c r="G229" t="n">
        <v>-20</v>
      </c>
      <c r="H229" t="n">
        <v>-2.2</v>
      </c>
      <c r="I229" t="inlineStr">
        <is>
          <t>—</t>
        </is>
      </c>
      <c r="J229" t="inlineStr">
        <is>
          <t>—</t>
        </is>
      </c>
      <c r="K229" t="inlineStr">
        <is>
          <t>—</t>
        </is>
      </c>
    </row>
    <row r="230">
      <c r="A230" t="inlineStr">
        <is>
          <t xml:space="preserve">          Broadcasting and Content Providers</t>
        </is>
      </c>
      <c r="B230" t="inlineStr">
        <is>
          <t>516000</t>
        </is>
      </c>
      <c r="C230" t="inlineStr">
        <is>
          <t>Summary</t>
        </is>
      </c>
      <c r="D230" t="n">
        <v>340.2</v>
      </c>
      <c r="E230" t="n">
        <v>343.1</v>
      </c>
      <c r="F230" t="n">
        <v>2.9</v>
      </c>
      <c r="G230" t="n">
        <v>0.9</v>
      </c>
      <c r="H230" t="n">
        <v>0.1</v>
      </c>
      <c r="I230" t="inlineStr">
        <is>
          <t>—</t>
        </is>
      </c>
      <c r="J230" t="inlineStr">
        <is>
          <t>—</t>
        </is>
      </c>
      <c r="K230" t="inlineStr">
        <is>
          <t>—</t>
        </is>
      </c>
    </row>
    <row r="231">
      <c r="A231" t="inlineStr">
        <is>
          <t xml:space="preserve">            Radio and Television Broadcasting Stations</t>
        </is>
      </c>
      <c r="B231" t="inlineStr">
        <is>
          <t>516100</t>
        </is>
      </c>
      <c r="C231" t="inlineStr">
        <is>
          <t>Summary</t>
        </is>
      </c>
      <c r="D231" t="n">
        <v>118.1</v>
      </c>
      <c r="E231" t="n">
        <v>111.2</v>
      </c>
      <c r="F231" t="n">
        <v>-6.9</v>
      </c>
      <c r="G231" t="n">
        <v>-5.9</v>
      </c>
      <c r="H231" t="n">
        <v>-0.6</v>
      </c>
      <c r="I231" t="inlineStr">
        <is>
          <t>—</t>
        </is>
      </c>
      <c r="J231" t="inlineStr">
        <is>
          <t>—</t>
        </is>
      </c>
      <c r="K231" t="inlineStr">
        <is>
          <t>—</t>
        </is>
      </c>
    </row>
    <row r="232">
      <c r="A232" t="inlineStr">
        <is>
          <t xml:space="preserve">              Radio broadcasting stations</t>
        </is>
      </c>
      <c r="B232" t="inlineStr">
        <is>
          <t>516110</t>
        </is>
      </c>
      <c r="C232" t="inlineStr">
        <is>
          <t>Line item</t>
        </is>
      </c>
      <c r="D232" t="n">
        <v>51.2</v>
      </c>
      <c r="E232" t="n">
        <v>48</v>
      </c>
      <c r="F232" t="n">
        <v>-3.2</v>
      </c>
      <c r="G232" t="n">
        <v>-6.2</v>
      </c>
      <c r="H232" t="n">
        <v>-0.6</v>
      </c>
      <c r="I232" t="inlineStr">
        <is>
          <t>—</t>
        </is>
      </c>
      <c r="J232" t="inlineStr">
        <is>
          <t>—</t>
        </is>
      </c>
      <c r="K232" t="inlineStr">
        <is>
          <t>—</t>
        </is>
      </c>
    </row>
    <row r="233">
      <c r="A233" t="inlineStr">
        <is>
          <t xml:space="preserve">              Television broadcasting stations</t>
        </is>
      </c>
      <c r="B233" t="inlineStr">
        <is>
          <t>516120</t>
        </is>
      </c>
      <c r="C233" t="inlineStr">
        <is>
          <t>Line item</t>
        </is>
      </c>
      <c r="D233" t="n">
        <v>66.90000000000001</v>
      </c>
      <c r="E233" t="n">
        <v>63.1</v>
      </c>
      <c r="F233" t="n">
        <v>-3.8</v>
      </c>
      <c r="G233" t="n">
        <v>-5.6</v>
      </c>
      <c r="H233" t="n">
        <v>-0.6</v>
      </c>
      <c r="I233" t="inlineStr">
        <is>
          <t>—</t>
        </is>
      </c>
      <c r="J233" t="inlineStr">
        <is>
          <t>—</t>
        </is>
      </c>
      <c r="K233" t="inlineStr">
        <is>
          <t>—</t>
        </is>
      </c>
    </row>
    <row r="234">
      <c r="A234" t="inlineStr">
        <is>
          <t xml:space="preserve">            Media streaming distribution services, social networks, and other media networks and content providers</t>
        </is>
      </c>
      <c r="B234" t="inlineStr">
        <is>
          <t>516210</t>
        </is>
      </c>
      <c r="C234" t="inlineStr">
        <is>
          <t>Line item</t>
        </is>
      </c>
      <c r="D234" t="n">
        <v>222.1</v>
      </c>
      <c r="E234" t="n">
        <v>231.9</v>
      </c>
      <c r="F234" t="n">
        <v>9.800000000000001</v>
      </c>
      <c r="G234" t="n">
        <v>4.4</v>
      </c>
      <c r="H234" t="n">
        <v>0.4</v>
      </c>
      <c r="I234" t="inlineStr">
        <is>
          <t>—</t>
        </is>
      </c>
      <c r="J234" t="inlineStr">
        <is>
          <t>—</t>
        </is>
      </c>
      <c r="K234" t="inlineStr">
        <is>
          <t>—</t>
        </is>
      </c>
    </row>
    <row r="235">
      <c r="A235" t="inlineStr">
        <is>
          <t xml:space="preserve">          Web search portals, libraries, archives, and other information services</t>
        </is>
      </c>
      <c r="B235" t="inlineStr">
        <is>
          <t>519000</t>
        </is>
      </c>
      <c r="C235" t="inlineStr">
        <is>
          <t>Line item</t>
        </is>
      </c>
      <c r="D235" t="n">
        <v>183.8</v>
      </c>
      <c r="E235" t="n">
        <v>206.5</v>
      </c>
      <c r="F235" t="n">
        <v>22.7</v>
      </c>
      <c r="G235" t="n">
        <v>12.3</v>
      </c>
      <c r="H235" t="n">
        <v>1.2</v>
      </c>
      <c r="I235" t="inlineStr">
        <is>
          <t>—</t>
        </is>
      </c>
      <c r="J235" t="inlineStr">
        <is>
          <t>—</t>
        </is>
      </c>
      <c r="K235" t="inlineStr">
        <is>
          <t>—</t>
        </is>
      </c>
    </row>
    <row r="236">
      <c r="A236" t="inlineStr">
        <is>
          <t xml:space="preserve">        Telecommunications</t>
        </is>
      </c>
      <c r="B236" t="inlineStr">
        <is>
          <t>517000</t>
        </is>
      </c>
      <c r="C236" t="inlineStr">
        <is>
          <t>Line item</t>
        </is>
      </c>
      <c r="D236" t="n">
        <v>621.3</v>
      </c>
      <c r="E236" t="n">
        <v>568.3</v>
      </c>
      <c r="F236" t="n">
        <v>-53</v>
      </c>
      <c r="G236" t="n">
        <v>-8.5</v>
      </c>
      <c r="H236" t="n">
        <v>-0.9</v>
      </c>
      <c r="I236" t="n">
        <v>674.3</v>
      </c>
      <c r="J236" t="n">
        <v>876.8</v>
      </c>
      <c r="K236" t="n">
        <v>2.7</v>
      </c>
      <c r="L236" t="inlineStr">
        <is>
          <t>ISIC 61</t>
        </is>
      </c>
    </row>
    <row r="237">
      <c r="A237" t="inlineStr">
        <is>
          <t xml:space="preserve">        Computing infrastructure providers, data processing, web hosting, and related services</t>
        </is>
      </c>
      <c r="B237" t="inlineStr">
        <is>
          <t>518000</t>
        </is>
      </c>
      <c r="C237" t="inlineStr">
        <is>
          <t>Line item</t>
        </is>
      </c>
      <c r="D237" t="n">
        <v>482.6</v>
      </c>
      <c r="E237" t="n">
        <v>580.5</v>
      </c>
      <c r="F237" t="n">
        <v>97.90000000000001</v>
      </c>
      <c r="G237" t="n">
        <v>20.3</v>
      </c>
      <c r="H237" t="n">
        <v>1.9</v>
      </c>
      <c r="I237" t="n">
        <v>387.3</v>
      </c>
      <c r="J237" t="n">
        <v>564.8</v>
      </c>
      <c r="K237" t="n">
        <v>3.8</v>
      </c>
      <c r="L237" t="inlineStr">
        <is>
          <t>ISIC 62T63</t>
        </is>
      </c>
    </row>
    <row r="238">
      <c r="A238" t="inlineStr">
        <is>
          <t xml:space="preserve">    Finance and insurance</t>
        </is>
      </c>
      <c r="B238" t="inlineStr">
        <is>
          <t>520000</t>
        </is>
      </c>
      <c r="C238" t="inlineStr">
        <is>
          <t>Summary</t>
        </is>
      </c>
      <c r="D238" t="n">
        <v>6702.8</v>
      </c>
      <c r="E238" t="n">
        <v>6929.2</v>
      </c>
      <c r="F238" t="n">
        <v>226.4</v>
      </c>
      <c r="G238" t="n">
        <v>3.4</v>
      </c>
      <c r="H238" t="n">
        <v>0.3</v>
      </c>
      <c r="I238" t="n">
        <v>3139.5</v>
      </c>
      <c r="J238" t="n">
        <v>3825.4</v>
      </c>
      <c r="K238" t="n">
        <v>2</v>
      </c>
      <c r="L238" t="inlineStr">
        <is>
          <t>ISIC 64T66</t>
        </is>
      </c>
    </row>
    <row r="239">
      <c r="A239" t="inlineStr">
        <is>
          <t xml:space="preserve">      Monetary authorities - central bank, and credit intermediation and related activities</t>
        </is>
      </c>
      <c r="B239" t="inlineStr">
        <is>
          <t>521-20</t>
        </is>
      </c>
      <c r="C239" t="inlineStr">
        <is>
          <t>Summary</t>
        </is>
      </c>
      <c r="D239" t="n">
        <v>2586.3</v>
      </c>
      <c r="E239" t="n">
        <v>2634.9</v>
      </c>
      <c r="F239" t="n">
        <v>48.6</v>
      </c>
      <c r="G239" t="n">
        <v>1.9</v>
      </c>
      <c r="H239" t="n">
        <v>0.2</v>
      </c>
      <c r="I239" t="n">
        <v>1015</v>
      </c>
      <c r="J239" t="n">
        <v>1264.9</v>
      </c>
      <c r="K239" t="n">
        <v>2.2</v>
      </c>
    </row>
    <row r="240">
      <c r="A240" t="inlineStr">
        <is>
          <t xml:space="preserve">        Monetary authorities-central bank</t>
        </is>
      </c>
      <c r="B240" t="inlineStr">
        <is>
          <t>521000</t>
        </is>
      </c>
      <c r="C240" t="inlineStr">
        <is>
          <t>Line item</t>
        </is>
      </c>
      <c r="D240" t="n">
        <v>20.8</v>
      </c>
      <c r="E240" t="n">
        <v>21.3</v>
      </c>
      <c r="F240" t="n">
        <v>0.5</v>
      </c>
      <c r="G240" t="n">
        <v>2.6</v>
      </c>
      <c r="H240" t="n">
        <v>0.2</v>
      </c>
      <c r="I240" t="inlineStr">
        <is>
          <t>—</t>
        </is>
      </c>
      <c r="J240" t="inlineStr">
        <is>
          <t>—</t>
        </is>
      </c>
      <c r="K240" t="inlineStr">
        <is>
          <t>—</t>
        </is>
      </c>
    </row>
    <row r="241">
      <c r="A241" t="inlineStr">
        <is>
          <t xml:space="preserve">        Credit intermediation and related activities</t>
        </is>
      </c>
      <c r="B241" t="inlineStr">
        <is>
          <t>522000</t>
        </is>
      </c>
      <c r="C241" t="inlineStr">
        <is>
          <t>Summary</t>
        </is>
      </c>
      <c r="D241" t="n">
        <v>2565.5</v>
      </c>
      <c r="E241" t="n">
        <v>2613.6</v>
      </c>
      <c r="F241" t="n">
        <v>48.1</v>
      </c>
      <c r="G241" t="n">
        <v>1.9</v>
      </c>
      <c r="H241" t="n">
        <v>0.2</v>
      </c>
      <c r="I241" t="inlineStr">
        <is>
          <t>—</t>
        </is>
      </c>
      <c r="J241" t="inlineStr">
        <is>
          <t>—</t>
        </is>
      </c>
      <c r="K241" t="inlineStr">
        <is>
          <t>—</t>
        </is>
      </c>
    </row>
    <row r="242">
      <c r="A242" t="inlineStr">
        <is>
          <t xml:space="preserve">          Credit intermediation and related activities (5221,3)</t>
        </is>
      </c>
      <c r="B242" t="inlineStr">
        <is>
          <t>5220A1</t>
        </is>
      </c>
      <c r="C242" t="inlineStr">
        <is>
          <t>Line item</t>
        </is>
      </c>
      <c r="D242" t="n">
        <v>2059.3</v>
      </c>
      <c r="E242" t="n">
        <v>2110</v>
      </c>
      <c r="F242" t="n">
        <v>50.7</v>
      </c>
      <c r="G242" t="n">
        <v>2.5</v>
      </c>
      <c r="H242" t="n">
        <v>0.2</v>
      </c>
      <c r="I242" t="inlineStr">
        <is>
          <t>—</t>
        </is>
      </c>
      <c r="J242" t="inlineStr">
        <is>
          <t>—</t>
        </is>
      </c>
      <c r="K242" t="inlineStr">
        <is>
          <t>—</t>
        </is>
      </c>
    </row>
    <row r="243">
      <c r="A243" t="inlineStr">
        <is>
          <t xml:space="preserve">          Nondepository credit intermediation</t>
        </is>
      </c>
      <c r="B243" t="inlineStr">
        <is>
          <t>522200</t>
        </is>
      </c>
      <c r="C243" t="inlineStr">
        <is>
          <t>Summary</t>
        </is>
      </c>
      <c r="D243" t="n">
        <v>506.2</v>
      </c>
      <c r="E243" t="n">
        <v>503.5</v>
      </c>
      <c r="F243" t="n">
        <v>-2.7</v>
      </c>
      <c r="G243" t="n">
        <v>-0.5</v>
      </c>
      <c r="H243" t="n">
        <v>-0.1</v>
      </c>
      <c r="I243" t="inlineStr">
        <is>
          <t>—</t>
        </is>
      </c>
      <c r="J243" t="inlineStr">
        <is>
          <t>—</t>
        </is>
      </c>
      <c r="K243" t="inlineStr">
        <is>
          <t>—</t>
        </is>
      </c>
    </row>
    <row r="244">
      <c r="A244" t="inlineStr">
        <is>
          <t xml:space="preserve">            Other nondepository credit intermediation</t>
        </is>
      </c>
      <c r="B244" t="inlineStr">
        <is>
          <t>522290</t>
        </is>
      </c>
      <c r="C244" t="inlineStr">
        <is>
          <t>Line item</t>
        </is>
      </c>
      <c r="D244" t="n">
        <v>358.4</v>
      </c>
      <c r="E244" t="n">
        <v>355.7</v>
      </c>
      <c r="F244" t="n">
        <v>-2.7</v>
      </c>
      <c r="G244" t="n">
        <v>-0.7</v>
      </c>
      <c r="H244" t="n">
        <v>-0.1</v>
      </c>
      <c r="I244" t="inlineStr">
        <is>
          <t>—</t>
        </is>
      </c>
      <c r="J244" t="inlineStr">
        <is>
          <t>—</t>
        </is>
      </c>
      <c r="K244" t="inlineStr">
        <is>
          <t>—</t>
        </is>
      </c>
    </row>
    <row r="245">
      <c r="A245" t="inlineStr">
        <is>
          <t xml:space="preserve">      Securities, commodity contracts, and other financial investments and related activities</t>
        </is>
      </c>
      <c r="B245" t="inlineStr">
        <is>
          <t>523000</t>
        </is>
      </c>
      <c r="C245" t="inlineStr">
        <is>
          <t>Line item</t>
        </is>
      </c>
      <c r="D245" t="n">
        <v>1084.9</v>
      </c>
      <c r="E245" t="n">
        <v>1150.3</v>
      </c>
      <c r="F245" t="n">
        <v>65.40000000000001</v>
      </c>
      <c r="G245" t="n">
        <v>6</v>
      </c>
      <c r="H245" t="n">
        <v>0.6</v>
      </c>
      <c r="I245" t="n">
        <v>721.7</v>
      </c>
      <c r="J245" t="n">
        <v>892.4</v>
      </c>
      <c r="K245" t="n">
        <v>2.1</v>
      </c>
    </row>
    <row r="246">
      <c r="A246" t="inlineStr">
        <is>
          <t xml:space="preserve">      Insurance carriers and related activities</t>
        </is>
      </c>
      <c r="B246" t="inlineStr">
        <is>
          <t>524000</t>
        </is>
      </c>
      <c r="C246" t="inlineStr">
        <is>
          <t>Summary</t>
        </is>
      </c>
      <c r="D246" t="n">
        <v>3000.5</v>
      </c>
      <c r="E246" t="n">
        <v>3110.9</v>
      </c>
      <c r="F246" t="n">
        <v>110.4</v>
      </c>
      <c r="G246" t="n">
        <v>3.7</v>
      </c>
      <c r="H246" t="n">
        <v>0.4</v>
      </c>
      <c r="I246" t="n">
        <v>1253</v>
      </c>
      <c r="J246" t="n">
        <v>1511.3</v>
      </c>
      <c r="K246" t="n">
        <v>1.9</v>
      </c>
    </row>
    <row r="247">
      <c r="A247" t="inlineStr">
        <is>
          <t xml:space="preserve">        Insurance carriers</t>
        </is>
      </c>
      <c r="B247" t="inlineStr">
        <is>
          <t>524100</t>
        </is>
      </c>
      <c r="C247" t="inlineStr">
        <is>
          <t>Summary</t>
        </is>
      </c>
      <c r="D247" t="n">
        <v>1614</v>
      </c>
      <c r="E247" t="n">
        <v>1660.8</v>
      </c>
      <c r="F247" t="n">
        <v>46.8</v>
      </c>
      <c r="G247" t="n">
        <v>2.9</v>
      </c>
      <c r="H247" t="n">
        <v>0.3</v>
      </c>
      <c r="I247" t="n">
        <v>724</v>
      </c>
      <c r="J247" t="n">
        <v>870</v>
      </c>
      <c r="K247" t="n">
        <v>1.9</v>
      </c>
    </row>
    <row r="248">
      <c r="A248" t="inlineStr">
        <is>
          <t xml:space="preserve">          Direct health and medical insurance carriers</t>
        </is>
      </c>
      <c r="B248" t="inlineStr">
        <is>
          <t>524114</t>
        </is>
      </c>
      <c r="C248" t="inlineStr">
        <is>
          <t>Line item</t>
        </is>
      </c>
      <c r="D248" t="n">
        <v>611.1</v>
      </c>
      <c r="E248" t="n">
        <v>639.4</v>
      </c>
      <c r="F248" t="n">
        <v>28.3</v>
      </c>
      <c r="G248" t="n">
        <v>4.6</v>
      </c>
      <c r="H248" t="n">
        <v>0.5</v>
      </c>
      <c r="I248" t="inlineStr">
        <is>
          <t>—</t>
        </is>
      </c>
      <c r="J248" t="inlineStr">
        <is>
          <t>—</t>
        </is>
      </c>
      <c r="K248" t="inlineStr">
        <is>
          <t>—</t>
        </is>
      </c>
    </row>
    <row r="249">
      <c r="A249" t="inlineStr">
        <is>
          <t xml:space="preserve">          Direct insurance (except life, health, and medical) carriers</t>
        </is>
      </c>
      <c r="B249" t="inlineStr">
        <is>
          <t>524120</t>
        </is>
      </c>
      <c r="C249" t="inlineStr">
        <is>
          <t>Line item</t>
        </is>
      </c>
      <c r="D249" t="n">
        <v>678.5</v>
      </c>
      <c r="E249" t="n">
        <v>695.9</v>
      </c>
      <c r="F249" t="n">
        <v>17.4</v>
      </c>
      <c r="G249" t="n">
        <v>2.6</v>
      </c>
      <c r="H249" t="n">
        <v>0.3</v>
      </c>
      <c r="I249" t="inlineStr">
        <is>
          <t>—</t>
        </is>
      </c>
      <c r="J249" t="inlineStr">
        <is>
          <t>—</t>
        </is>
      </c>
      <c r="K249" t="inlineStr">
        <is>
          <t>—</t>
        </is>
      </c>
    </row>
    <row r="250">
      <c r="A250" t="inlineStr">
        <is>
          <t xml:space="preserve">        Agencies, brokerages, and other insurance related activities</t>
        </is>
      </c>
      <c r="B250" t="inlineStr">
        <is>
          <t>524200</t>
        </is>
      </c>
      <c r="C250" t="inlineStr">
        <is>
          <t>Summary</t>
        </is>
      </c>
      <c r="D250" t="n">
        <v>1386.5</v>
      </c>
      <c r="E250" t="n">
        <v>1450.1</v>
      </c>
      <c r="F250" t="n">
        <v>63.6</v>
      </c>
      <c r="G250" t="n">
        <v>4.6</v>
      </c>
      <c r="H250" t="n">
        <v>0.4</v>
      </c>
      <c r="I250" t="n">
        <v>535.2</v>
      </c>
      <c r="J250" t="n">
        <v>649.3</v>
      </c>
      <c r="K250" t="n">
        <v>2</v>
      </c>
    </row>
    <row r="251">
      <c r="A251" t="inlineStr">
        <is>
          <t xml:space="preserve">          Insurance agencies and brokerages</t>
        </is>
      </c>
      <c r="B251" t="inlineStr">
        <is>
          <t>524210</t>
        </is>
      </c>
      <c r="C251" t="inlineStr">
        <is>
          <t>Line item</t>
        </is>
      </c>
      <c r="D251" t="n">
        <v>1003.9</v>
      </c>
      <c r="E251" t="n">
        <v>1051.3</v>
      </c>
      <c r="F251" t="n">
        <v>47.4</v>
      </c>
      <c r="G251" t="n">
        <v>4.7</v>
      </c>
      <c r="H251" t="n">
        <v>0.5</v>
      </c>
      <c r="I251" t="inlineStr">
        <is>
          <t>—</t>
        </is>
      </c>
      <c r="J251" t="inlineStr">
        <is>
          <t>—</t>
        </is>
      </c>
      <c r="K251" t="inlineStr">
        <is>
          <t>—</t>
        </is>
      </c>
    </row>
    <row r="252">
      <c r="A252" t="inlineStr">
        <is>
          <t xml:space="preserve">          Other insurance related activities</t>
        </is>
      </c>
      <c r="B252" t="inlineStr">
        <is>
          <t>524290</t>
        </is>
      </c>
      <c r="C252" t="inlineStr">
        <is>
          <t>Line item</t>
        </is>
      </c>
      <c r="D252" t="n">
        <v>382.6</v>
      </c>
      <c r="E252" t="n">
        <v>398.8</v>
      </c>
      <c r="F252" t="n">
        <v>16.2</v>
      </c>
      <c r="G252" t="n">
        <v>4.2</v>
      </c>
      <c r="H252" t="n">
        <v>0.4</v>
      </c>
      <c r="I252" t="inlineStr">
        <is>
          <t>—</t>
        </is>
      </c>
      <c r="J252" t="inlineStr">
        <is>
          <t>—</t>
        </is>
      </c>
      <c r="K252" t="inlineStr">
        <is>
          <t>—</t>
        </is>
      </c>
    </row>
    <row r="253">
      <c r="A253" t="inlineStr">
        <is>
          <t xml:space="preserve">      Funds, trusts, and other financial vehicles</t>
        </is>
      </c>
      <c r="B253" t="inlineStr">
        <is>
          <t>525000</t>
        </is>
      </c>
      <c r="C253" t="inlineStr">
        <is>
          <t>Summary</t>
        </is>
      </c>
      <c r="D253" t="n">
        <v>31.1</v>
      </c>
      <c r="E253" t="n">
        <v>33.1</v>
      </c>
      <c r="F253" t="n">
        <v>2</v>
      </c>
      <c r="G253" t="n">
        <v>6.4</v>
      </c>
      <c r="H253" t="n">
        <v>0.6</v>
      </c>
      <c r="I253" t="n">
        <v>159.2</v>
      </c>
      <c r="J253" t="n">
        <v>165.8</v>
      </c>
      <c r="K253" t="n">
        <v>0.4</v>
      </c>
    </row>
    <row r="254">
      <c r="A254" t="inlineStr">
        <is>
          <t xml:space="preserve">        Insurance and employee benefit funds</t>
        </is>
      </c>
      <c r="B254" t="inlineStr">
        <is>
          <t>525100</t>
        </is>
      </c>
      <c r="C254" t="inlineStr">
        <is>
          <t>Line item</t>
        </is>
      </c>
      <c r="D254" t="n">
        <v>12.3</v>
      </c>
      <c r="E254" t="n">
        <v>12.9</v>
      </c>
      <c r="F254" t="n">
        <v>0.6</v>
      </c>
      <c r="G254" t="n">
        <v>4.6</v>
      </c>
      <c r="H254" t="n">
        <v>0.5</v>
      </c>
      <c r="I254" t="inlineStr">
        <is>
          <t>—</t>
        </is>
      </c>
      <c r="J254" t="inlineStr">
        <is>
          <t>—</t>
        </is>
      </c>
      <c r="K254" t="inlineStr">
        <is>
          <t>—</t>
        </is>
      </c>
    </row>
    <row r="255">
      <c r="A255" t="inlineStr">
        <is>
          <t xml:space="preserve">        Other investment pools and funds</t>
        </is>
      </c>
      <c r="B255" t="inlineStr">
        <is>
          <t>525900</t>
        </is>
      </c>
      <c r="C255" t="inlineStr">
        <is>
          <t>Line item</t>
        </is>
      </c>
      <c r="D255" t="n">
        <v>18.9</v>
      </c>
      <c r="E255" t="n">
        <v>20.3</v>
      </c>
      <c r="F255" t="n">
        <v>1.4</v>
      </c>
      <c r="G255" t="n">
        <v>7.5</v>
      </c>
      <c r="H255" t="n">
        <v>0.7</v>
      </c>
      <c r="I255" t="inlineStr">
        <is>
          <t>—</t>
        </is>
      </c>
      <c r="J255" t="inlineStr">
        <is>
          <t>—</t>
        </is>
      </c>
      <c r="K255" t="inlineStr">
        <is>
          <t>—</t>
        </is>
      </c>
    </row>
    <row r="256">
      <c r="A256" t="inlineStr">
        <is>
          <t xml:space="preserve">    Real estate and rental and leasing</t>
        </is>
      </c>
      <c r="B256" t="inlineStr">
        <is>
          <t>530000</t>
        </is>
      </c>
      <c r="C256" t="inlineStr">
        <is>
          <t>Summary</t>
        </is>
      </c>
      <c r="D256" t="n">
        <v>2465.8</v>
      </c>
      <c r="E256" t="n">
        <v>2547.6</v>
      </c>
      <c r="F256" t="n">
        <v>81.8</v>
      </c>
      <c r="G256" t="n">
        <v>3.3</v>
      </c>
      <c r="H256" t="n">
        <v>0.3</v>
      </c>
      <c r="I256" t="n">
        <v>2818.5</v>
      </c>
      <c r="J256" t="n">
        <v>3433.3</v>
      </c>
      <c r="K256" t="n">
        <v>2</v>
      </c>
    </row>
    <row r="257">
      <c r="A257" t="inlineStr">
        <is>
          <t xml:space="preserve">      Real estate</t>
        </is>
      </c>
      <c r="B257" t="inlineStr">
        <is>
          <t>531000</t>
        </is>
      </c>
      <c r="C257" t="inlineStr">
        <is>
          <t>Line item</t>
        </is>
      </c>
      <c r="D257" t="n">
        <v>1865.8</v>
      </c>
      <c r="E257" t="n">
        <v>1938.4</v>
      </c>
      <c r="F257" t="n">
        <v>72.59999999999999</v>
      </c>
      <c r="G257" t="n">
        <v>3.9</v>
      </c>
      <c r="H257" t="n">
        <v>0.4</v>
      </c>
      <c r="I257" t="n">
        <v>2258.7</v>
      </c>
      <c r="J257" t="n">
        <v>2721</v>
      </c>
      <c r="K257" t="n">
        <v>1.9</v>
      </c>
      <c r="L257" t="inlineStr">
        <is>
          <t>ISIC 68</t>
        </is>
      </c>
    </row>
    <row r="258">
      <c r="A258" t="inlineStr">
        <is>
          <t xml:space="preserve">      Rental and leasing services</t>
        </is>
      </c>
      <c r="B258" t="inlineStr">
        <is>
          <t>532000</t>
        </is>
      </c>
      <c r="C258" t="inlineStr">
        <is>
          <t>Summary</t>
        </is>
      </c>
      <c r="D258" t="n">
        <v>577.4</v>
      </c>
      <c r="E258" t="n">
        <v>588.3</v>
      </c>
      <c r="F258" t="n">
        <v>10.9</v>
      </c>
      <c r="G258" t="n">
        <v>1.9</v>
      </c>
      <c r="H258" t="n">
        <v>0.2</v>
      </c>
      <c r="I258" t="n">
        <v>237.4</v>
      </c>
      <c r="J258" t="n">
        <v>298.9</v>
      </c>
      <c r="K258" t="n">
        <v>2.3</v>
      </c>
      <c r="L258" t="inlineStr">
        <is>
          <t>ISIC 77T82</t>
        </is>
      </c>
    </row>
    <row r="259">
      <c r="A259" t="inlineStr">
        <is>
          <t xml:space="preserve">        Rental and leasing services (5322,3,4)</t>
        </is>
      </c>
      <c r="B259" t="inlineStr">
        <is>
          <t>5320A1</t>
        </is>
      </c>
      <c r="C259" t="inlineStr">
        <is>
          <t>Line item</t>
        </is>
      </c>
      <c r="D259" t="n">
        <v>362.3</v>
      </c>
      <c r="E259" t="n">
        <v>365.9</v>
      </c>
      <c r="F259" t="n">
        <v>3.6</v>
      </c>
      <c r="G259" t="n">
        <v>1</v>
      </c>
      <c r="H259" t="n">
        <v>0.1</v>
      </c>
      <c r="I259" t="n">
        <v>157.4</v>
      </c>
      <c r="J259" t="n">
        <v>192.8</v>
      </c>
      <c r="K259" t="n">
        <v>2.1</v>
      </c>
    </row>
    <row r="260">
      <c r="A260" t="inlineStr">
        <is>
          <t xml:space="preserve">        Automotive equipment rental and leasing</t>
        </is>
      </c>
      <c r="B260" t="inlineStr">
        <is>
          <t>532100</t>
        </is>
      </c>
      <c r="C260" t="inlineStr">
        <is>
          <t>Line item</t>
        </is>
      </c>
      <c r="D260" t="n">
        <v>215.1</v>
      </c>
      <c r="E260" t="n">
        <v>222.4</v>
      </c>
      <c r="F260" t="n">
        <v>7.3</v>
      </c>
      <c r="G260" t="n">
        <v>3.4</v>
      </c>
      <c r="H260" t="n">
        <v>0.3</v>
      </c>
      <c r="I260" t="n">
        <v>79.8</v>
      </c>
      <c r="J260" t="n">
        <v>105.3</v>
      </c>
      <c r="K260" t="n">
        <v>2.8</v>
      </c>
    </row>
    <row r="261">
      <c r="A261" t="inlineStr">
        <is>
          <t xml:space="preserve">      Lessors of nonfinancial intangible assets (except copyrighted works)</t>
        </is>
      </c>
      <c r="B261" t="inlineStr">
        <is>
          <t>533000</t>
        </is>
      </c>
      <c r="C261" t="inlineStr">
        <is>
          <t>Line item</t>
        </is>
      </c>
      <c r="D261" t="n">
        <v>22.6</v>
      </c>
      <c r="E261" t="n">
        <v>20.9</v>
      </c>
      <c r="F261" t="n">
        <v>-1.7</v>
      </c>
      <c r="G261" t="n">
        <v>-7.5</v>
      </c>
      <c r="H261" t="n">
        <v>-0.8</v>
      </c>
      <c r="I261" t="n">
        <v>323</v>
      </c>
      <c r="J261" t="n">
        <v>414.1</v>
      </c>
      <c r="K261" t="n">
        <v>2.5</v>
      </c>
    </row>
    <row r="262">
      <c r="A262" t="inlineStr">
        <is>
          <t xml:space="preserve">    Professional, scientific, and technical services</t>
        </is>
      </c>
      <c r="B262" t="inlineStr">
        <is>
          <t>540000</t>
        </is>
      </c>
      <c r="C262" t="inlineStr">
        <is>
          <t>Summary</t>
        </is>
      </c>
      <c r="D262" t="n">
        <v>10825.8</v>
      </c>
      <c r="E262" t="n">
        <v>11638.3</v>
      </c>
      <c r="F262" t="n">
        <v>812.5</v>
      </c>
      <c r="G262" t="n">
        <v>7.5</v>
      </c>
      <c r="H262" t="n">
        <v>0.7</v>
      </c>
      <c r="I262" t="n">
        <v>3093.9</v>
      </c>
      <c r="J262" t="n">
        <v>3880.7</v>
      </c>
      <c r="K262" t="n">
        <v>2.3</v>
      </c>
    </row>
    <row r="263">
      <c r="A263" t="inlineStr">
        <is>
          <t xml:space="preserve">      Professional, scientific, and technical services</t>
        </is>
      </c>
      <c r="B263" t="inlineStr">
        <is>
          <t>541000</t>
        </is>
      </c>
      <c r="C263" t="inlineStr">
        <is>
          <t>Summary</t>
        </is>
      </c>
      <c r="D263" t="n">
        <v>10825.8</v>
      </c>
      <c r="E263" t="n">
        <v>11638.3</v>
      </c>
      <c r="F263" t="n">
        <v>812.5</v>
      </c>
      <c r="G263" t="n">
        <v>7.5</v>
      </c>
      <c r="H263" t="n">
        <v>0.7</v>
      </c>
      <c r="I263" t="n">
        <v>3093.9</v>
      </c>
      <c r="J263" t="n">
        <v>3880.7</v>
      </c>
      <c r="K263" t="n">
        <v>2.3</v>
      </c>
    </row>
    <row r="264">
      <c r="A264" t="inlineStr">
        <is>
          <t xml:space="preserve">        Legal services</t>
        </is>
      </c>
      <c r="B264" t="inlineStr">
        <is>
          <t>541100</t>
        </is>
      </c>
      <c r="C264" t="inlineStr">
        <is>
          <t>Line item</t>
        </is>
      </c>
      <c r="D264" t="n">
        <v>1192.7</v>
      </c>
      <c r="E264" t="n">
        <v>1207.1</v>
      </c>
      <c r="F264" t="n">
        <v>14.4</v>
      </c>
      <c r="G264" t="n">
        <v>1.2</v>
      </c>
      <c r="H264" t="n">
        <v>0.1</v>
      </c>
      <c r="I264" t="n">
        <v>348.5</v>
      </c>
      <c r="J264" t="n">
        <v>408.9</v>
      </c>
      <c r="K264" t="n">
        <v>1.6</v>
      </c>
      <c r="L264" t="inlineStr">
        <is>
          <t>ISIC 69T75</t>
        </is>
      </c>
    </row>
    <row r="265">
      <c r="A265" t="inlineStr">
        <is>
          <t xml:space="preserve">        Accounting, tax preparation, bookkeeping, and payroll services</t>
        </is>
      </c>
      <c r="B265" t="inlineStr">
        <is>
          <t>541200</t>
        </is>
      </c>
      <c r="C265" t="inlineStr">
        <is>
          <t>Line item</t>
        </is>
      </c>
      <c r="D265" t="n">
        <v>1153.5</v>
      </c>
      <c r="E265" t="n">
        <v>1181.2</v>
      </c>
      <c r="F265" t="n">
        <v>27.7</v>
      </c>
      <c r="G265" t="n">
        <v>2.4</v>
      </c>
      <c r="H265" t="n">
        <v>0.2</v>
      </c>
      <c r="I265" t="n">
        <v>210</v>
      </c>
      <c r="J265" t="n">
        <v>258.6</v>
      </c>
      <c r="K265" t="n">
        <v>2.1</v>
      </c>
      <c r="L265" t="inlineStr">
        <is>
          <t>ISIC 69T75</t>
        </is>
      </c>
    </row>
    <row r="266">
      <c r="A266" t="inlineStr">
        <is>
          <t xml:space="preserve">        Architectural, engineering, and related services</t>
        </is>
      </c>
      <c r="B266" t="inlineStr">
        <is>
          <t>541300</t>
        </is>
      </c>
      <c r="C266" t="inlineStr">
        <is>
          <t>Summary</t>
        </is>
      </c>
      <c r="D266" t="n">
        <v>1703.6</v>
      </c>
      <c r="E266" t="n">
        <v>1770.7</v>
      </c>
      <c r="F266" t="n">
        <v>67.09999999999999</v>
      </c>
      <c r="G266" t="n">
        <v>3.9</v>
      </c>
      <c r="H266" t="n">
        <v>0.4</v>
      </c>
      <c r="I266" t="n">
        <v>407.3</v>
      </c>
      <c r="J266" t="n">
        <v>480.1</v>
      </c>
      <c r="K266" t="n">
        <v>1.7</v>
      </c>
      <c r="L266" t="inlineStr">
        <is>
          <t>ISIC 69T75</t>
        </is>
      </c>
    </row>
    <row r="267">
      <c r="A267" t="inlineStr">
        <is>
          <t xml:space="preserve">          Engineering services</t>
        </is>
      </c>
      <c r="B267" t="inlineStr">
        <is>
          <t>541330</t>
        </is>
      </c>
      <c r="C267" t="inlineStr">
        <is>
          <t>Line item</t>
        </is>
      </c>
      <c r="D267" t="n">
        <v>1179.6</v>
      </c>
      <c r="E267" t="n">
        <v>1228.9</v>
      </c>
      <c r="F267" t="n">
        <v>49.3</v>
      </c>
      <c r="G267" t="n">
        <v>4.2</v>
      </c>
      <c r="H267" t="n">
        <v>0.4</v>
      </c>
      <c r="I267" t="inlineStr">
        <is>
          <t>—</t>
        </is>
      </c>
      <c r="J267" t="inlineStr">
        <is>
          <t>—</t>
        </is>
      </c>
      <c r="K267" t="inlineStr">
        <is>
          <t>—</t>
        </is>
      </c>
    </row>
    <row r="268">
      <c r="A268" t="inlineStr">
        <is>
          <t xml:space="preserve">          Testing laboratories and services</t>
        </is>
      </c>
      <c r="B268" t="inlineStr">
        <is>
          <t>541380</t>
        </is>
      </c>
      <c r="C268" t="inlineStr">
        <is>
          <t>Line item</t>
        </is>
      </c>
      <c r="D268" t="n">
        <v>179.5</v>
      </c>
      <c r="E268" t="n">
        <v>186.5</v>
      </c>
      <c r="F268" t="n">
        <v>7</v>
      </c>
      <c r="G268" t="n">
        <v>3.9</v>
      </c>
      <c r="H268" t="n">
        <v>0.4</v>
      </c>
      <c r="I268" t="inlineStr">
        <is>
          <t>—</t>
        </is>
      </c>
      <c r="J268" t="inlineStr">
        <is>
          <t>—</t>
        </is>
      </c>
      <c r="K268" t="inlineStr">
        <is>
          <t>—</t>
        </is>
      </c>
    </row>
    <row r="269">
      <c r="A269" t="inlineStr">
        <is>
          <t xml:space="preserve">        Specialized design services</t>
        </is>
      </c>
      <c r="B269" t="inlineStr">
        <is>
          <t>541400</t>
        </is>
      </c>
      <c r="C269" t="inlineStr">
        <is>
          <t>Line item</t>
        </is>
      </c>
      <c r="D269" t="n">
        <v>151.1</v>
      </c>
      <c r="E269" t="n">
        <v>156.9</v>
      </c>
      <c r="F269" t="n">
        <v>5.8</v>
      </c>
      <c r="G269" t="n">
        <v>3.8</v>
      </c>
      <c r="H269" t="n">
        <v>0.4</v>
      </c>
      <c r="I269" t="n">
        <v>57.5</v>
      </c>
      <c r="J269" t="n">
        <v>70.3</v>
      </c>
      <c r="K269" t="n">
        <v>2</v>
      </c>
      <c r="L269" t="inlineStr">
        <is>
          <t>ISIC 69T75</t>
        </is>
      </c>
    </row>
    <row r="270">
      <c r="A270" t="inlineStr">
        <is>
          <t xml:space="preserve">        Computer systems design and related services</t>
        </is>
      </c>
      <c r="B270" t="inlineStr">
        <is>
          <t>541500</t>
        </is>
      </c>
      <c r="C270" t="inlineStr">
        <is>
          <t>Line item</t>
        </is>
      </c>
      <c r="D270" t="n">
        <v>2444.8</v>
      </c>
      <c r="E270" t="n">
        <v>2831.6</v>
      </c>
      <c r="F270" t="n">
        <v>386.8</v>
      </c>
      <c r="G270" t="n">
        <v>15.8</v>
      </c>
      <c r="H270" t="n">
        <v>1.5</v>
      </c>
      <c r="I270" t="n">
        <v>799</v>
      </c>
      <c r="J270" t="n">
        <v>1096.2</v>
      </c>
      <c r="K270" t="n">
        <v>3.2</v>
      </c>
      <c r="L270" t="inlineStr">
        <is>
          <t>ISIC 62T63</t>
        </is>
      </c>
    </row>
    <row r="271">
      <c r="A271" t="inlineStr">
        <is>
          <t xml:space="preserve">        Management, scientific, and technical consulting services</t>
        </is>
      </c>
      <c r="B271" t="inlineStr">
        <is>
          <t>541600</t>
        </is>
      </c>
      <c r="C271" t="inlineStr">
        <is>
          <t>Line item</t>
        </is>
      </c>
      <c r="D271" t="n">
        <v>1864.7</v>
      </c>
      <c r="E271" t="n">
        <v>2039.3</v>
      </c>
      <c r="F271" t="n">
        <v>174.6</v>
      </c>
      <c r="G271" t="n">
        <v>9.4</v>
      </c>
      <c r="H271" t="n">
        <v>0.9</v>
      </c>
      <c r="I271" t="n">
        <v>493.3</v>
      </c>
      <c r="J271" t="n">
        <v>639.7</v>
      </c>
      <c r="K271" t="n">
        <v>2.6</v>
      </c>
      <c r="L271" t="inlineStr">
        <is>
          <t>ISIC 69T75</t>
        </is>
      </c>
    </row>
    <row r="272">
      <c r="A272" t="inlineStr">
        <is>
          <t xml:space="preserve">        Scientific research and development services</t>
        </is>
      </c>
      <c r="B272" t="inlineStr">
        <is>
          <t>541700</t>
        </is>
      </c>
      <c r="C272" t="inlineStr">
        <is>
          <t>Summary</t>
        </is>
      </c>
      <c r="D272" t="n">
        <v>936.7</v>
      </c>
      <c r="E272" t="n">
        <v>1015.1</v>
      </c>
      <c r="F272" t="n">
        <v>78.40000000000001</v>
      </c>
      <c r="G272" t="n">
        <v>8.4</v>
      </c>
      <c r="H272" t="n">
        <v>0.8</v>
      </c>
      <c r="I272" t="n">
        <v>408.6</v>
      </c>
      <c r="J272" t="n">
        <v>499</v>
      </c>
      <c r="K272" t="n">
        <v>2</v>
      </c>
      <c r="L272" t="inlineStr">
        <is>
          <t>ISIC 69T75</t>
        </is>
      </c>
    </row>
    <row r="273">
      <c r="A273" t="inlineStr">
        <is>
          <t xml:space="preserve">          Research and development in the physical, engineering, and life sciences</t>
        </is>
      </c>
      <c r="B273" t="inlineStr">
        <is>
          <t>541710</t>
        </is>
      </c>
      <c r="C273" t="inlineStr">
        <is>
          <t>Line item</t>
        </is>
      </c>
      <c r="D273" t="n">
        <v>866.7</v>
      </c>
      <c r="E273" t="n">
        <v>942.5</v>
      </c>
      <c r="F273" t="n">
        <v>75.8</v>
      </c>
      <c r="G273" t="n">
        <v>8.699999999999999</v>
      </c>
      <c r="H273" t="n">
        <v>0.8</v>
      </c>
      <c r="I273" t="inlineStr">
        <is>
          <t>—</t>
        </is>
      </c>
      <c r="J273" t="inlineStr">
        <is>
          <t>—</t>
        </is>
      </c>
      <c r="K273" t="inlineStr">
        <is>
          <t>—</t>
        </is>
      </c>
    </row>
    <row r="274">
      <c r="A274" t="inlineStr">
        <is>
          <t xml:space="preserve">          Research and development in the social sciences and humanities</t>
        </is>
      </c>
      <c r="B274" t="inlineStr">
        <is>
          <t>541720</t>
        </is>
      </c>
      <c r="C274" t="inlineStr">
        <is>
          <t>Line item</t>
        </is>
      </c>
      <c r="D274" t="n">
        <v>70</v>
      </c>
      <c r="E274" t="n">
        <v>72.59999999999999</v>
      </c>
      <c r="F274" t="n">
        <v>2.6</v>
      </c>
      <c r="G274" t="n">
        <v>3.7</v>
      </c>
      <c r="H274" t="n">
        <v>0.4</v>
      </c>
      <c r="I274" t="inlineStr">
        <is>
          <t>—</t>
        </is>
      </c>
      <c r="J274" t="inlineStr">
        <is>
          <t>—</t>
        </is>
      </c>
      <c r="K274" t="inlineStr">
        <is>
          <t>—</t>
        </is>
      </c>
    </row>
    <row r="275">
      <c r="A275" t="inlineStr">
        <is>
          <t xml:space="preserve">        Advertising, public relations, and related services</t>
        </is>
      </c>
      <c r="B275" t="inlineStr">
        <is>
          <t>541800</t>
        </is>
      </c>
      <c r="C275" t="inlineStr">
        <is>
          <t>Line item</t>
        </is>
      </c>
      <c r="D275" t="n">
        <v>497.7</v>
      </c>
      <c r="E275" t="n">
        <v>509.6</v>
      </c>
      <c r="F275" t="n">
        <v>11.9</v>
      </c>
      <c r="G275" t="n">
        <v>2.4</v>
      </c>
      <c r="H275" t="n">
        <v>0.2</v>
      </c>
      <c r="I275" t="n">
        <v>197.3</v>
      </c>
      <c r="J275" t="n">
        <v>257.3</v>
      </c>
      <c r="K275" t="n">
        <v>2.7</v>
      </c>
      <c r="L275" t="inlineStr">
        <is>
          <t>ISIC 69T75</t>
        </is>
      </c>
    </row>
    <row r="276">
      <c r="A276" t="inlineStr">
        <is>
          <t xml:space="preserve">        Other professional, scientific, and technical services</t>
        </is>
      </c>
      <c r="B276" t="inlineStr">
        <is>
          <t>541900</t>
        </is>
      </c>
      <c r="C276" t="inlineStr">
        <is>
          <t>Summary</t>
        </is>
      </c>
      <c r="D276" t="n">
        <v>881</v>
      </c>
      <c r="E276" t="n">
        <v>926.8</v>
      </c>
      <c r="F276" t="n">
        <v>45.8</v>
      </c>
      <c r="G276" t="n">
        <v>5.2</v>
      </c>
      <c r="H276" t="n">
        <v>0.5</v>
      </c>
      <c r="I276" t="n">
        <v>200.2</v>
      </c>
      <c r="J276" t="n">
        <v>253.7</v>
      </c>
      <c r="K276" t="n">
        <v>2.4</v>
      </c>
      <c r="L276" t="inlineStr">
        <is>
          <t>ISIC 69T75</t>
        </is>
      </c>
    </row>
    <row r="277">
      <c r="A277" t="inlineStr">
        <is>
          <t xml:space="preserve">          Photographic services</t>
        </is>
      </c>
      <c r="B277" t="inlineStr">
        <is>
          <t>541920</t>
        </is>
      </c>
      <c r="C277" t="inlineStr">
        <is>
          <t>Line item</t>
        </is>
      </c>
      <c r="D277" t="n">
        <v>49</v>
      </c>
      <c r="E277" t="n">
        <v>44.8</v>
      </c>
      <c r="F277" t="n">
        <v>-4.2</v>
      </c>
      <c r="G277" t="n">
        <v>-8.5</v>
      </c>
      <c r="H277" t="n">
        <v>-0.9</v>
      </c>
      <c r="I277" t="n">
        <v>16.9</v>
      </c>
      <c r="J277" t="n">
        <v>21.4</v>
      </c>
      <c r="K277" t="n">
        <v>2.4</v>
      </c>
    </row>
    <row r="278">
      <c r="A278" t="inlineStr">
        <is>
          <t xml:space="preserve">          Veterinary services</t>
        </is>
      </c>
      <c r="B278" t="inlineStr">
        <is>
          <t>541940</t>
        </is>
      </c>
      <c r="C278" t="inlineStr">
        <is>
          <t>Line item</t>
        </is>
      </c>
      <c r="D278" t="n">
        <v>467</v>
      </c>
      <c r="E278" t="n">
        <v>504.1</v>
      </c>
      <c r="F278" t="n">
        <v>37.1</v>
      </c>
      <c r="G278" t="n">
        <v>7.9</v>
      </c>
      <c r="H278" t="n">
        <v>0.8</v>
      </c>
      <c r="I278" t="n">
        <v>54.9</v>
      </c>
      <c r="J278" t="n">
        <v>72.09999999999999</v>
      </c>
      <c r="K278" t="n">
        <v>2.8</v>
      </c>
    </row>
    <row r="279">
      <c r="A279" t="inlineStr">
        <is>
          <t xml:space="preserve">    Management of companies and enterprises</t>
        </is>
      </c>
      <c r="B279" t="inlineStr">
        <is>
          <t>550000</t>
        </is>
      </c>
      <c r="C279" t="inlineStr">
        <is>
          <t>Summary</t>
        </is>
      </c>
      <c r="D279" t="n">
        <v>2617.1</v>
      </c>
      <c r="E279" t="n">
        <v>2732</v>
      </c>
      <c r="F279" t="n">
        <v>114.9</v>
      </c>
      <c r="G279" t="n">
        <v>4.4</v>
      </c>
      <c r="H279" t="n">
        <v>0.4</v>
      </c>
      <c r="I279" t="n">
        <v>793.6</v>
      </c>
      <c r="J279" t="n">
        <v>1012.1</v>
      </c>
      <c r="K279" t="n">
        <v>2.5</v>
      </c>
      <c r="L279" t="inlineStr">
        <is>
          <t>ISIC 69T75</t>
        </is>
      </c>
    </row>
    <row r="280">
      <c r="A280" t="inlineStr">
        <is>
          <t xml:space="preserve">      Management of companies and enterprises</t>
        </is>
      </c>
      <c r="B280" t="inlineStr">
        <is>
          <t>551000</t>
        </is>
      </c>
      <c r="C280" t="inlineStr">
        <is>
          <t>Line item</t>
        </is>
      </c>
      <c r="D280" t="n">
        <v>2617.1</v>
      </c>
      <c r="E280" t="n">
        <v>2732</v>
      </c>
      <c r="F280" t="n">
        <v>114.9</v>
      </c>
      <c r="G280" t="n">
        <v>4.4</v>
      </c>
      <c r="H280" t="n">
        <v>0.4</v>
      </c>
      <c r="I280" t="n">
        <v>793.6</v>
      </c>
      <c r="J280" t="n">
        <v>1012.1</v>
      </c>
      <c r="K280" t="n">
        <v>2.5</v>
      </c>
    </row>
    <row r="281">
      <c r="A281" t="inlineStr">
        <is>
          <t xml:space="preserve">    Administrative and support and waste management and remediation services</t>
        </is>
      </c>
      <c r="B281" t="inlineStr">
        <is>
          <t>560000</t>
        </is>
      </c>
      <c r="C281" t="inlineStr">
        <is>
          <t>Summary</t>
        </is>
      </c>
      <c r="D281" t="n">
        <v>9177.799999999999</v>
      </c>
      <c r="E281" t="n">
        <v>9279.5</v>
      </c>
      <c r="F281" t="n">
        <v>101.7</v>
      </c>
      <c r="G281" t="n">
        <v>1.1</v>
      </c>
      <c r="H281" t="n">
        <v>0.1</v>
      </c>
      <c r="I281" t="n">
        <v>1238.1</v>
      </c>
      <c r="J281" t="n">
        <v>1548.7</v>
      </c>
      <c r="K281" t="n">
        <v>2.3</v>
      </c>
    </row>
    <row r="282">
      <c r="A282" t="inlineStr">
        <is>
          <t xml:space="preserve">      Administrative and support services</t>
        </is>
      </c>
      <c r="B282" t="inlineStr">
        <is>
          <t>561000</t>
        </is>
      </c>
      <c r="C282" t="inlineStr">
        <is>
          <t>Summary</t>
        </is>
      </c>
      <c r="D282" t="n">
        <v>8666.299999999999</v>
      </c>
      <c r="E282" t="n">
        <v>8738</v>
      </c>
      <c r="F282" t="n">
        <v>71.7</v>
      </c>
      <c r="G282" t="n">
        <v>0.8</v>
      </c>
      <c r="H282" t="n">
        <v>0.1</v>
      </c>
      <c r="I282" t="n">
        <v>1112.7</v>
      </c>
      <c r="J282" t="n">
        <v>1404.9</v>
      </c>
      <c r="K282" t="n">
        <v>2.4</v>
      </c>
      <c r="L282" t="inlineStr">
        <is>
          <t>ISIC 77T82</t>
        </is>
      </c>
    </row>
    <row r="283">
      <c r="A283" t="inlineStr">
        <is>
          <t xml:space="preserve">        Office administrative services</t>
        </is>
      </c>
      <c r="B283" t="inlineStr">
        <is>
          <t>561100</t>
        </is>
      </c>
      <c r="C283" t="inlineStr">
        <is>
          <t>Line item</t>
        </is>
      </c>
      <c r="D283" t="n">
        <v>619.2</v>
      </c>
      <c r="E283" t="n">
        <v>655.6</v>
      </c>
      <c r="F283" t="n">
        <v>36.4</v>
      </c>
      <c r="G283" t="n">
        <v>5.9</v>
      </c>
      <c r="H283" t="n">
        <v>0.6</v>
      </c>
      <c r="I283" t="n">
        <v>94.09999999999999</v>
      </c>
      <c r="J283" t="n">
        <v>119.1</v>
      </c>
      <c r="K283" t="n">
        <v>2.4</v>
      </c>
    </row>
    <row r="284">
      <c r="A284" t="inlineStr">
        <is>
          <t xml:space="preserve">        Facilities support services</t>
        </is>
      </c>
      <c r="B284" t="inlineStr">
        <is>
          <t>561200</t>
        </is>
      </c>
      <c r="C284" t="inlineStr">
        <is>
          <t>Line item</t>
        </is>
      </c>
      <c r="D284" t="n">
        <v>181.2</v>
      </c>
      <c r="E284" t="n">
        <v>191.9</v>
      </c>
      <c r="F284" t="n">
        <v>10.7</v>
      </c>
      <c r="G284" t="n">
        <v>5.9</v>
      </c>
      <c r="H284" t="n">
        <v>0.6</v>
      </c>
      <c r="I284" t="n">
        <v>28.4</v>
      </c>
      <c r="J284" t="n">
        <v>32.5</v>
      </c>
      <c r="K284" t="n">
        <v>1.4</v>
      </c>
    </row>
    <row r="285">
      <c r="A285" t="inlineStr">
        <is>
          <t xml:space="preserve">        Employment services</t>
        </is>
      </c>
      <c r="B285" t="inlineStr">
        <is>
          <t>561300</t>
        </is>
      </c>
      <c r="C285" t="inlineStr">
        <is>
          <t>Summary</t>
        </is>
      </c>
      <c r="D285" t="n">
        <v>3332.3</v>
      </c>
      <c r="E285" t="n">
        <v>3240</v>
      </c>
      <c r="F285" t="n">
        <v>-92.3</v>
      </c>
      <c r="G285" t="n">
        <v>-2.8</v>
      </c>
      <c r="H285" t="n">
        <v>-0.3</v>
      </c>
      <c r="I285" t="n">
        <v>424.6</v>
      </c>
      <c r="J285" t="n">
        <v>545.2</v>
      </c>
      <c r="K285" t="n">
        <v>2.5</v>
      </c>
    </row>
    <row r="286">
      <c r="A286" t="inlineStr">
        <is>
          <t xml:space="preserve">          Temporary help services</t>
        </is>
      </c>
      <c r="B286" t="inlineStr">
        <is>
          <t>561320</t>
        </is>
      </c>
      <c r="C286" t="inlineStr">
        <is>
          <t>Line item</t>
        </is>
      </c>
      <c r="D286" t="n">
        <v>2612.1</v>
      </c>
      <c r="E286" t="n">
        <v>2556.4</v>
      </c>
      <c r="F286" t="n">
        <v>-55.7</v>
      </c>
      <c r="G286" t="n">
        <v>-2.1</v>
      </c>
      <c r="H286" t="n">
        <v>-0.2</v>
      </c>
      <c r="I286" t="inlineStr">
        <is>
          <t>—</t>
        </is>
      </c>
      <c r="J286" t="inlineStr">
        <is>
          <t>—</t>
        </is>
      </c>
      <c r="K286" t="inlineStr">
        <is>
          <t>—</t>
        </is>
      </c>
    </row>
    <row r="287">
      <c r="A287" t="inlineStr">
        <is>
          <t xml:space="preserve">        Business support services</t>
        </is>
      </c>
      <c r="B287" t="inlineStr">
        <is>
          <t>561400</t>
        </is>
      </c>
      <c r="C287" t="inlineStr">
        <is>
          <t>Line item</t>
        </is>
      </c>
      <c r="D287" t="n">
        <v>691</v>
      </c>
      <c r="E287" t="n">
        <v>671.8</v>
      </c>
      <c r="F287" t="n">
        <v>-19.2</v>
      </c>
      <c r="G287" t="n">
        <v>-2.8</v>
      </c>
      <c r="H287" t="n">
        <v>-0.3</v>
      </c>
      <c r="I287" t="n">
        <v>87.40000000000001</v>
      </c>
      <c r="J287" t="n">
        <v>108.6</v>
      </c>
      <c r="K287" t="n">
        <v>2.2</v>
      </c>
    </row>
    <row r="288">
      <c r="A288" t="inlineStr">
        <is>
          <t xml:space="preserve">        Travel arrangement and reservation services</t>
        </is>
      </c>
      <c r="B288" t="inlineStr">
        <is>
          <t>561500</t>
        </is>
      </c>
      <c r="C288" t="inlineStr">
        <is>
          <t>Line item</t>
        </is>
      </c>
      <c r="D288" t="n">
        <v>189.3</v>
      </c>
      <c r="E288" t="n">
        <v>198.5</v>
      </c>
      <c r="F288" t="n">
        <v>9.199999999999999</v>
      </c>
      <c r="G288" t="n">
        <v>4.9</v>
      </c>
      <c r="H288" t="n">
        <v>0.5</v>
      </c>
      <c r="I288" t="n">
        <v>83.7</v>
      </c>
      <c r="J288" t="n">
        <v>107.2</v>
      </c>
      <c r="K288" t="n">
        <v>2.5</v>
      </c>
    </row>
    <row r="289">
      <c r="A289" t="inlineStr">
        <is>
          <t xml:space="preserve">        Investigation and security services</t>
        </is>
      </c>
      <c r="B289" t="inlineStr">
        <is>
          <t>561600</t>
        </is>
      </c>
      <c r="C289" t="inlineStr">
        <is>
          <t>Summary</t>
        </is>
      </c>
      <c r="D289" t="n">
        <v>1025.8</v>
      </c>
      <c r="E289" t="n">
        <v>1086.1</v>
      </c>
      <c r="F289" t="n">
        <v>60.3</v>
      </c>
      <c r="G289" t="n">
        <v>5.9</v>
      </c>
      <c r="H289" t="n">
        <v>0.6</v>
      </c>
      <c r="I289" t="n">
        <v>61.2</v>
      </c>
      <c r="J289" t="n">
        <v>74.59999999999999</v>
      </c>
      <c r="K289" t="n">
        <v>2</v>
      </c>
    </row>
    <row r="290">
      <c r="A290" t="inlineStr">
        <is>
          <t xml:space="preserve">          Investigation, guard, and armored car services</t>
        </is>
      </c>
      <c r="B290" t="inlineStr">
        <is>
          <t>561610</t>
        </is>
      </c>
      <c r="C290" t="inlineStr">
        <is>
          <t>Line item</t>
        </is>
      </c>
      <c r="D290" t="n">
        <v>868.6</v>
      </c>
      <c r="E290" t="n">
        <v>910.2</v>
      </c>
      <c r="F290" t="n">
        <v>41.6</v>
      </c>
      <c r="G290" t="n">
        <v>4.8</v>
      </c>
      <c r="H290" t="n">
        <v>0.5</v>
      </c>
      <c r="I290" t="inlineStr">
        <is>
          <t>—</t>
        </is>
      </c>
      <c r="J290" t="inlineStr">
        <is>
          <t>—</t>
        </is>
      </c>
      <c r="K290" t="inlineStr">
        <is>
          <t>—</t>
        </is>
      </c>
    </row>
    <row r="291">
      <c r="A291" t="inlineStr">
        <is>
          <t xml:space="preserve">          Security systems services</t>
        </is>
      </c>
      <c r="B291" t="inlineStr">
        <is>
          <t>561620</t>
        </is>
      </c>
      <c r="C291" t="inlineStr">
        <is>
          <t>Line item</t>
        </is>
      </c>
      <c r="D291" t="n">
        <v>157.2</v>
      </c>
      <c r="E291" t="n">
        <v>176</v>
      </c>
      <c r="F291" t="n">
        <v>18.8</v>
      </c>
      <c r="G291" t="n">
        <v>11.9</v>
      </c>
      <c r="H291" t="n">
        <v>1.1</v>
      </c>
      <c r="I291" t="inlineStr">
        <is>
          <t>—</t>
        </is>
      </c>
      <c r="J291" t="inlineStr">
        <is>
          <t>—</t>
        </is>
      </c>
      <c r="K291" t="inlineStr">
        <is>
          <t>—</t>
        </is>
      </c>
    </row>
    <row r="292">
      <c r="A292" t="inlineStr">
        <is>
          <t xml:space="preserve">        Services to buildings and dwellings</t>
        </is>
      </c>
      <c r="B292" t="inlineStr">
        <is>
          <t>561700</t>
        </is>
      </c>
      <c r="C292" t="inlineStr">
        <is>
          <t>Summary</t>
        </is>
      </c>
      <c r="D292" t="n">
        <v>2293.8</v>
      </c>
      <c r="E292" t="n">
        <v>2348.9</v>
      </c>
      <c r="F292" t="n">
        <v>55.1</v>
      </c>
      <c r="G292" t="n">
        <v>2.4</v>
      </c>
      <c r="H292" t="n">
        <v>0.2</v>
      </c>
      <c r="I292" t="n">
        <v>264.5</v>
      </c>
      <c r="J292" t="n">
        <v>331.3</v>
      </c>
      <c r="K292" t="n">
        <v>2.3</v>
      </c>
    </row>
    <row r="293">
      <c r="A293" t="inlineStr">
        <is>
          <t xml:space="preserve">          Exterminating and pest control services</t>
        </is>
      </c>
      <c r="B293" t="inlineStr">
        <is>
          <t>561710</t>
        </is>
      </c>
      <c r="C293" t="inlineStr">
        <is>
          <t>Line item</t>
        </is>
      </c>
      <c r="D293" t="n">
        <v>153.5</v>
      </c>
      <c r="E293" t="n">
        <v>158.5</v>
      </c>
      <c r="F293" t="n">
        <v>5</v>
      </c>
      <c r="G293" t="n">
        <v>3.3</v>
      </c>
      <c r="H293" t="n">
        <v>0.3</v>
      </c>
      <c r="I293" t="inlineStr">
        <is>
          <t>—</t>
        </is>
      </c>
      <c r="J293" t="inlineStr">
        <is>
          <t>—</t>
        </is>
      </c>
      <c r="K293" t="inlineStr">
        <is>
          <t>—</t>
        </is>
      </c>
    </row>
    <row r="294">
      <c r="A294" t="inlineStr">
        <is>
          <t xml:space="preserve">          Landscaping services</t>
        </is>
      </c>
      <c r="B294" t="inlineStr">
        <is>
          <t>561730</t>
        </is>
      </c>
      <c r="C294" t="inlineStr">
        <is>
          <t>Line item</t>
        </is>
      </c>
      <c r="D294" t="n">
        <v>911.2</v>
      </c>
      <c r="E294" t="n">
        <v>934.8</v>
      </c>
      <c r="F294" t="n">
        <v>23.6</v>
      </c>
      <c r="G294" t="n">
        <v>2.6</v>
      </c>
      <c r="H294" t="n">
        <v>0.3</v>
      </c>
      <c r="I294" t="inlineStr">
        <is>
          <t>—</t>
        </is>
      </c>
      <c r="J294" t="inlineStr">
        <is>
          <t>—</t>
        </is>
      </c>
      <c r="K294" t="inlineStr">
        <is>
          <t>—</t>
        </is>
      </c>
    </row>
    <row r="295">
      <c r="A295" t="inlineStr">
        <is>
          <t xml:space="preserve">        Other support services</t>
        </is>
      </c>
      <c r="B295" t="inlineStr">
        <is>
          <t>561900</t>
        </is>
      </c>
      <c r="C295" t="inlineStr">
        <is>
          <t>Line item</t>
        </is>
      </c>
      <c r="D295" t="n">
        <v>333.7</v>
      </c>
      <c r="E295" t="n">
        <v>345.2</v>
      </c>
      <c r="F295" t="n">
        <v>11.5</v>
      </c>
      <c r="G295" t="n">
        <v>3.4</v>
      </c>
      <c r="H295" t="n">
        <v>0.3</v>
      </c>
      <c r="I295" t="n">
        <v>72.2</v>
      </c>
      <c r="J295" t="n">
        <v>91.8</v>
      </c>
      <c r="K295" t="n">
        <v>2.4</v>
      </c>
    </row>
    <row r="296">
      <c r="A296" t="inlineStr">
        <is>
          <t xml:space="preserve">      Waste management and remediation services</t>
        </is>
      </c>
      <c r="B296" t="inlineStr">
        <is>
          <t>562000</t>
        </is>
      </c>
      <c r="C296" t="inlineStr">
        <is>
          <t>Summary</t>
        </is>
      </c>
      <c r="D296" t="n">
        <v>511.5</v>
      </c>
      <c r="E296" t="n">
        <v>541.5</v>
      </c>
      <c r="F296" t="n">
        <v>30</v>
      </c>
      <c r="G296" t="n">
        <v>5.9</v>
      </c>
      <c r="H296" t="n">
        <v>0.6</v>
      </c>
      <c r="I296" t="n">
        <v>125.4</v>
      </c>
      <c r="J296" t="n">
        <v>146.4</v>
      </c>
      <c r="K296" t="n">
        <v>1.6</v>
      </c>
      <c r="L296" t="inlineStr">
        <is>
          <t>ISIC 36T39</t>
        </is>
      </c>
    </row>
    <row r="297">
      <c r="A297" t="inlineStr">
        <is>
          <t xml:space="preserve">        Waste collection</t>
        </is>
      </c>
      <c r="B297" t="inlineStr">
        <is>
          <t>562100</t>
        </is>
      </c>
      <c r="C297" t="inlineStr">
        <is>
          <t>Line item</t>
        </is>
      </c>
      <c r="D297" t="n">
        <v>217.2</v>
      </c>
      <c r="E297" t="n">
        <v>230.2</v>
      </c>
      <c r="F297" t="n">
        <v>13</v>
      </c>
      <c r="G297" t="n">
        <v>6</v>
      </c>
      <c r="H297" t="n">
        <v>0.6</v>
      </c>
      <c r="I297" t="inlineStr">
        <is>
          <t>—</t>
        </is>
      </c>
      <c r="J297" t="inlineStr">
        <is>
          <t>—</t>
        </is>
      </c>
      <c r="K297" t="inlineStr">
        <is>
          <t>—</t>
        </is>
      </c>
    </row>
    <row r="298">
      <c r="A298" t="inlineStr">
        <is>
          <t xml:space="preserve">        Waste treatment and disposal</t>
        </is>
      </c>
      <c r="B298" t="inlineStr">
        <is>
          <t>562200</t>
        </is>
      </c>
      <c r="C298" t="inlineStr">
        <is>
          <t>Line item</t>
        </is>
      </c>
      <c r="D298" t="n">
        <v>108.4</v>
      </c>
      <c r="E298" t="n">
        <v>112.6</v>
      </c>
      <c r="F298" t="n">
        <v>4.2</v>
      </c>
      <c r="G298" t="n">
        <v>3.9</v>
      </c>
      <c r="H298" t="n">
        <v>0.4</v>
      </c>
      <c r="I298" t="inlineStr">
        <is>
          <t>—</t>
        </is>
      </c>
      <c r="J298" t="inlineStr">
        <is>
          <t>—</t>
        </is>
      </c>
      <c r="K298" t="inlineStr">
        <is>
          <t>—</t>
        </is>
      </c>
    </row>
    <row r="299">
      <c r="A299" t="inlineStr">
        <is>
          <t xml:space="preserve">        Remediation and other waste management services</t>
        </is>
      </c>
      <c r="B299" t="inlineStr">
        <is>
          <t>562900</t>
        </is>
      </c>
      <c r="C299" t="inlineStr">
        <is>
          <t>Line item</t>
        </is>
      </c>
      <c r="D299" t="n">
        <v>185.9</v>
      </c>
      <c r="E299" t="n">
        <v>198.7</v>
      </c>
      <c r="F299" t="n">
        <v>12.8</v>
      </c>
      <c r="G299" t="n">
        <v>6.9</v>
      </c>
      <c r="H299" t="n">
        <v>0.7</v>
      </c>
      <c r="I299" t="inlineStr">
        <is>
          <t>—</t>
        </is>
      </c>
      <c r="J299" t="inlineStr">
        <is>
          <t>—</t>
        </is>
      </c>
      <c r="K299" t="inlineStr">
        <is>
          <t>—</t>
        </is>
      </c>
    </row>
    <row r="300">
      <c r="A300" t="inlineStr">
        <is>
          <t xml:space="preserve">    Educational services; state, local, and private</t>
        </is>
      </c>
      <c r="B300" t="inlineStr">
        <is>
          <t>610000</t>
        </is>
      </c>
      <c r="C300" t="inlineStr">
        <is>
          <t>Summary</t>
        </is>
      </c>
      <c r="D300" t="n">
        <v>14704.4</v>
      </c>
      <c r="E300" t="n">
        <v>14716.3</v>
      </c>
      <c r="F300" t="n">
        <v>11.9</v>
      </c>
      <c r="G300" t="n">
        <v>0.1</v>
      </c>
      <c r="H300" t="n">
        <v>0</v>
      </c>
      <c r="I300" t="inlineStr">
        <is>
          <t>—</t>
        </is>
      </c>
      <c r="J300" t="inlineStr">
        <is>
          <t>—</t>
        </is>
      </c>
      <c r="K300" t="inlineStr">
        <is>
          <t>—</t>
        </is>
      </c>
    </row>
    <row r="301">
      <c r="A301" t="inlineStr">
        <is>
          <t xml:space="preserve">      Educational services; state, local, and private</t>
        </is>
      </c>
      <c r="B301" t="inlineStr">
        <is>
          <t>611000</t>
        </is>
      </c>
      <c r="C301" t="inlineStr">
        <is>
          <t>Summary</t>
        </is>
      </c>
      <c r="D301" t="n">
        <v>14704.4</v>
      </c>
      <c r="E301" t="n">
        <v>14716.3</v>
      </c>
      <c r="F301" t="n">
        <v>11.9</v>
      </c>
      <c r="G301" t="n">
        <v>0.1</v>
      </c>
      <c r="H301" t="n">
        <v>0</v>
      </c>
      <c r="I301" t="inlineStr">
        <is>
          <t>—</t>
        </is>
      </c>
      <c r="J301" t="inlineStr">
        <is>
          <t>—</t>
        </is>
      </c>
      <c r="K301" t="inlineStr">
        <is>
          <t>—</t>
        </is>
      </c>
    </row>
    <row r="302">
      <c r="A302" t="inlineStr">
        <is>
          <t xml:space="preserve">        Educational services; private</t>
        </is>
      </c>
      <c r="B302" t="inlineStr">
        <is>
          <t>6110P0</t>
        </is>
      </c>
      <c r="C302" t="inlineStr">
        <is>
          <t>Summary</t>
        </is>
      </c>
      <c r="D302" t="n">
        <v>3962.5</v>
      </c>
      <c r="E302" t="n">
        <v>4036.8</v>
      </c>
      <c r="F302" t="n">
        <v>74.3</v>
      </c>
      <c r="G302" t="n">
        <v>1.9</v>
      </c>
      <c r="H302" t="n">
        <v>0.2</v>
      </c>
      <c r="I302" t="n">
        <v>412.5</v>
      </c>
      <c r="J302" t="n">
        <v>475.5</v>
      </c>
      <c r="K302" t="n">
        <v>1.4</v>
      </c>
      <c r="L302" t="inlineStr">
        <is>
          <t>ISIC 85</t>
        </is>
      </c>
    </row>
    <row r="303">
      <c r="A303" t="inlineStr">
        <is>
          <t xml:space="preserve">          Elementary and secondary schools; private</t>
        </is>
      </c>
      <c r="B303" t="inlineStr">
        <is>
          <t>61110P</t>
        </is>
      </c>
      <c r="C303" t="inlineStr">
        <is>
          <t>Line item</t>
        </is>
      </c>
      <c r="D303" t="n">
        <v>1199.4</v>
      </c>
      <c r="E303" t="n">
        <v>1194.6</v>
      </c>
      <c r="F303" t="n">
        <v>-4.8</v>
      </c>
      <c r="G303" t="n">
        <v>-0.4</v>
      </c>
      <c r="H303" t="n">
        <v>0</v>
      </c>
      <c r="I303" t="n">
        <v>55.5</v>
      </c>
      <c r="J303" t="n">
        <v>58.5</v>
      </c>
      <c r="K303" t="n">
        <v>0.5</v>
      </c>
    </row>
    <row r="304">
      <c r="A304" t="inlineStr">
        <is>
          <t xml:space="preserve">          Junior colleges, colleges, universities, and professional schools; private (6112,3)</t>
        </is>
      </c>
      <c r="B304" t="inlineStr">
        <is>
          <t>6110P1</t>
        </is>
      </c>
      <c r="C304" t="inlineStr">
        <is>
          <t>Summary</t>
        </is>
      </c>
      <c r="D304" t="n">
        <v>1790.5</v>
      </c>
      <c r="E304" t="n">
        <v>1797.9</v>
      </c>
      <c r="F304" t="n">
        <v>7.4</v>
      </c>
      <c r="G304" t="n">
        <v>0.4</v>
      </c>
      <c r="H304" t="n">
        <v>0</v>
      </c>
      <c r="I304" t="n">
        <v>238.6</v>
      </c>
      <c r="J304" t="n">
        <v>267.5</v>
      </c>
      <c r="K304" t="n">
        <v>1.2</v>
      </c>
    </row>
    <row r="305">
      <c r="A305" t="inlineStr">
        <is>
          <t xml:space="preserve">            Junior colleges; private</t>
        </is>
      </c>
      <c r="B305" t="inlineStr">
        <is>
          <t>61120P</t>
        </is>
      </c>
      <c r="C305" t="inlineStr">
        <is>
          <t>Line item</t>
        </is>
      </c>
      <c r="D305" t="n">
        <v>27.5</v>
      </c>
      <c r="E305" t="n">
        <v>27.1</v>
      </c>
      <c r="F305" t="n">
        <v>-0.5</v>
      </c>
      <c r="G305" t="n">
        <v>-1.7</v>
      </c>
      <c r="H305" t="n">
        <v>-0.1</v>
      </c>
      <c r="I305" t="inlineStr">
        <is>
          <t>—</t>
        </is>
      </c>
      <c r="J305" t="inlineStr">
        <is>
          <t>—</t>
        </is>
      </c>
      <c r="K305" t="inlineStr">
        <is>
          <t>—</t>
        </is>
      </c>
    </row>
    <row r="306">
      <c r="A306" t="inlineStr">
        <is>
          <t xml:space="preserve">            Colleges, universities, and professional schools; private</t>
        </is>
      </c>
      <c r="B306" t="inlineStr">
        <is>
          <t>61130P</t>
        </is>
      </c>
      <c r="C306" t="inlineStr">
        <is>
          <t>Line item</t>
        </is>
      </c>
      <c r="D306" t="n">
        <v>1763</v>
      </c>
      <c r="E306" t="n">
        <v>1770.8</v>
      </c>
      <c r="F306" t="n">
        <v>7.9</v>
      </c>
      <c r="G306" t="n">
        <v>0.4</v>
      </c>
      <c r="H306" t="n">
        <v>0</v>
      </c>
      <c r="I306" t="inlineStr">
        <is>
          <t>—</t>
        </is>
      </c>
      <c r="J306" t="inlineStr">
        <is>
          <t>—</t>
        </is>
      </c>
      <c r="K306" t="inlineStr">
        <is>
          <t>—</t>
        </is>
      </c>
    </row>
    <row r="307">
      <c r="A307" t="inlineStr">
        <is>
          <t xml:space="preserve">          Other educational services; private (6114-7)</t>
        </is>
      </c>
      <c r="B307" t="inlineStr">
        <is>
          <t>6110P2</t>
        </is>
      </c>
      <c r="C307" t="inlineStr">
        <is>
          <t>Summary</t>
        </is>
      </c>
      <c r="D307" t="n">
        <v>972.6</v>
      </c>
      <c r="E307" t="n">
        <v>1044.3</v>
      </c>
      <c r="F307" t="n">
        <v>71.7</v>
      </c>
      <c r="G307" t="n">
        <v>7.4</v>
      </c>
      <c r="H307" t="n">
        <v>0.7</v>
      </c>
      <c r="I307" t="n">
        <v>119.4</v>
      </c>
      <c r="J307" t="n">
        <v>153.4</v>
      </c>
      <c r="K307" t="n">
        <v>2.5</v>
      </c>
    </row>
    <row r="308">
      <c r="A308" t="inlineStr">
        <is>
          <t xml:space="preserve">            Business schools and computer and management training; private</t>
        </is>
      </c>
      <c r="B308" t="inlineStr">
        <is>
          <t>61140P</t>
        </is>
      </c>
      <c r="C308" t="inlineStr">
        <is>
          <t>Line item</t>
        </is>
      </c>
      <c r="D308" t="n">
        <v>85.5</v>
      </c>
      <c r="E308" t="n">
        <v>94</v>
      </c>
      <c r="F308" t="n">
        <v>8.5</v>
      </c>
      <c r="G308" t="n">
        <v>9.9</v>
      </c>
      <c r="H308" t="n">
        <v>1</v>
      </c>
      <c r="I308" t="inlineStr">
        <is>
          <t>—</t>
        </is>
      </c>
      <c r="J308" t="inlineStr">
        <is>
          <t>—</t>
        </is>
      </c>
      <c r="K308" t="inlineStr">
        <is>
          <t>—</t>
        </is>
      </c>
    </row>
    <row r="309">
      <c r="A309" t="inlineStr">
        <is>
          <t xml:space="preserve">            Technical and trade schools; private</t>
        </is>
      </c>
      <c r="B309" t="inlineStr">
        <is>
          <t>61150P</t>
        </is>
      </c>
      <c r="C309" t="inlineStr">
        <is>
          <t>Line item</t>
        </is>
      </c>
      <c r="D309" t="n">
        <v>129.2</v>
      </c>
      <c r="E309" t="n">
        <v>134.7</v>
      </c>
      <c r="F309" t="n">
        <v>5.5</v>
      </c>
      <c r="G309" t="n">
        <v>4.3</v>
      </c>
      <c r="H309" t="n">
        <v>0.4</v>
      </c>
      <c r="I309" t="inlineStr">
        <is>
          <t>—</t>
        </is>
      </c>
      <c r="J309" t="inlineStr">
        <is>
          <t>—</t>
        </is>
      </c>
      <c r="K309" t="inlineStr">
        <is>
          <t>—</t>
        </is>
      </c>
    </row>
    <row r="310">
      <c r="A310" t="inlineStr">
        <is>
          <t xml:space="preserve">            Other schools and instruction; private</t>
        </is>
      </c>
      <c r="B310" t="inlineStr">
        <is>
          <t>61160P</t>
        </is>
      </c>
      <c r="C310" t="inlineStr">
        <is>
          <t>Line item</t>
        </is>
      </c>
      <c r="D310" t="n">
        <v>550.2</v>
      </c>
      <c r="E310" t="n">
        <v>588.5</v>
      </c>
      <c r="F310" t="n">
        <v>38.3</v>
      </c>
      <c r="G310" t="n">
        <v>7</v>
      </c>
      <c r="H310" t="n">
        <v>0.7</v>
      </c>
      <c r="I310" t="inlineStr">
        <is>
          <t>—</t>
        </is>
      </c>
      <c r="J310" t="inlineStr">
        <is>
          <t>—</t>
        </is>
      </c>
      <c r="K310" t="inlineStr">
        <is>
          <t>—</t>
        </is>
      </c>
    </row>
    <row r="311">
      <c r="A311" t="inlineStr">
        <is>
          <t xml:space="preserve">            Educational support services; private</t>
        </is>
      </c>
      <c r="B311" t="inlineStr">
        <is>
          <t>61170P</t>
        </is>
      </c>
      <c r="C311" t="inlineStr">
        <is>
          <t>Line item</t>
        </is>
      </c>
      <c r="D311" t="n">
        <v>207.7</v>
      </c>
      <c r="E311" t="n">
        <v>227.1</v>
      </c>
      <c r="F311" t="n">
        <v>19.4</v>
      </c>
      <c r="G311" t="n">
        <v>9.4</v>
      </c>
      <c r="H311" t="n">
        <v>0.9</v>
      </c>
      <c r="I311" t="inlineStr">
        <is>
          <t>—</t>
        </is>
      </c>
      <c r="J311" t="inlineStr">
        <is>
          <t>—</t>
        </is>
      </c>
      <c r="K311" t="inlineStr">
        <is>
          <t>—</t>
        </is>
      </c>
    </row>
    <row r="312">
      <c r="A312" t="inlineStr">
        <is>
          <t xml:space="preserve">        Educational services; state and local</t>
        </is>
      </c>
      <c r="B312" t="inlineStr">
        <is>
          <t>6110Y0</t>
        </is>
      </c>
      <c r="C312" t="inlineStr">
        <is>
          <t>Summary</t>
        </is>
      </c>
      <c r="D312" t="n">
        <v>10741.9</v>
      </c>
      <c r="E312" t="n">
        <v>10679.5</v>
      </c>
      <c r="F312" t="n">
        <v>-62.4</v>
      </c>
      <c r="G312" t="n">
        <v>-0.6</v>
      </c>
      <c r="H312" t="n">
        <v>-0.1</v>
      </c>
      <c r="I312" t="n">
        <v>1172.9</v>
      </c>
      <c r="J312" t="n">
        <v>1183.6</v>
      </c>
      <c r="K312" t="n">
        <v>0.1</v>
      </c>
      <c r="L312" t="inlineStr">
        <is>
          <t>ISIC 85</t>
        </is>
      </c>
    </row>
    <row r="313">
      <c r="A313" t="inlineStr">
        <is>
          <t xml:space="preserve">          Elementary and secondary schools; state</t>
        </is>
      </c>
      <c r="B313" t="inlineStr">
        <is>
          <t>61110S</t>
        </is>
      </c>
      <c r="C313" t="inlineStr">
        <is>
          <t>Line item</t>
        </is>
      </c>
      <c r="D313" t="n">
        <v>81.59999999999999</v>
      </c>
      <c r="E313" t="n">
        <v>77.59999999999999</v>
      </c>
      <c r="F313" t="n">
        <v>-4</v>
      </c>
      <c r="G313" t="n">
        <v>-4.9</v>
      </c>
      <c r="H313" t="n">
        <v>-0.5</v>
      </c>
      <c r="I313" t="inlineStr">
        <is>
          <t>—</t>
        </is>
      </c>
      <c r="J313" t="inlineStr">
        <is>
          <t>—</t>
        </is>
      </c>
      <c r="K313" t="inlineStr">
        <is>
          <t>—</t>
        </is>
      </c>
    </row>
    <row r="314">
      <c r="A314" t="inlineStr">
        <is>
          <t xml:space="preserve">          Elementary and secondary schools; local</t>
        </is>
      </c>
      <c r="B314" t="inlineStr">
        <is>
          <t>61110L</t>
        </is>
      </c>
      <c r="C314" t="inlineStr">
        <is>
          <t>Line item</t>
        </is>
      </c>
      <c r="D314" t="n">
        <v>7600.9</v>
      </c>
      <c r="E314" t="n">
        <v>7413</v>
      </c>
      <c r="F314" t="n">
        <v>-187.9</v>
      </c>
      <c r="G314" t="n">
        <v>-2.5</v>
      </c>
      <c r="H314" t="n">
        <v>-0.3</v>
      </c>
      <c r="I314" t="inlineStr">
        <is>
          <t>—</t>
        </is>
      </c>
      <c r="J314" t="inlineStr">
        <is>
          <t>—</t>
        </is>
      </c>
      <c r="K314" t="inlineStr">
        <is>
          <t>—</t>
        </is>
      </c>
    </row>
    <row r="315">
      <c r="A315" t="inlineStr">
        <is>
          <t xml:space="preserve">          Junior colleges, colleges, universities, and professional schools; state and local (6112,3)</t>
        </is>
      </c>
      <c r="B315" t="inlineStr">
        <is>
          <t>6110Y1</t>
        </is>
      </c>
      <c r="C315" t="inlineStr">
        <is>
          <t>Summary</t>
        </is>
      </c>
      <c r="D315" t="n">
        <v>2977.5</v>
      </c>
      <c r="E315" t="n">
        <v>3100.1</v>
      </c>
      <c r="F315" t="n">
        <v>122.5</v>
      </c>
      <c r="G315" t="n">
        <v>4.1</v>
      </c>
      <c r="H315" t="n">
        <v>0.4</v>
      </c>
      <c r="I315" t="inlineStr">
        <is>
          <t>—</t>
        </is>
      </c>
      <c r="J315" t="inlineStr">
        <is>
          <t>—</t>
        </is>
      </c>
      <c r="K315" t="inlineStr">
        <is>
          <t>—</t>
        </is>
      </c>
    </row>
    <row r="316">
      <c r="A316" t="inlineStr">
        <is>
          <t xml:space="preserve">            Junior colleges; state</t>
        </is>
      </c>
      <c r="B316" t="inlineStr">
        <is>
          <t>61120S</t>
        </is>
      </c>
      <c r="C316" t="inlineStr">
        <is>
          <t>Line item</t>
        </is>
      </c>
      <c r="D316" t="n">
        <v>260.7</v>
      </c>
      <c r="E316" t="n">
        <v>265.2</v>
      </c>
      <c r="F316" t="n">
        <v>4.5</v>
      </c>
      <c r="G316" t="n">
        <v>1.7</v>
      </c>
      <c r="H316" t="n">
        <v>0.2</v>
      </c>
      <c r="I316" t="inlineStr">
        <is>
          <t>—</t>
        </is>
      </c>
      <c r="J316" t="inlineStr">
        <is>
          <t>—</t>
        </is>
      </c>
      <c r="K316" t="inlineStr">
        <is>
          <t>—</t>
        </is>
      </c>
    </row>
    <row r="317">
      <c r="A317" t="inlineStr">
        <is>
          <t xml:space="preserve">            Junior colleges; local</t>
        </is>
      </c>
      <c r="B317" t="inlineStr">
        <is>
          <t>61120L</t>
        </is>
      </c>
      <c r="C317" t="inlineStr">
        <is>
          <t>Line item</t>
        </is>
      </c>
      <c r="D317" t="n">
        <v>399.1</v>
      </c>
      <c r="E317" t="n">
        <v>396.8</v>
      </c>
      <c r="F317" t="n">
        <v>-2.3</v>
      </c>
      <c r="G317" t="n">
        <v>-0.6</v>
      </c>
      <c r="H317" t="n">
        <v>-0.1</v>
      </c>
      <c r="I317" t="inlineStr">
        <is>
          <t>—</t>
        </is>
      </c>
      <c r="J317" t="inlineStr">
        <is>
          <t>—</t>
        </is>
      </c>
      <c r="K317" t="inlineStr">
        <is>
          <t>—</t>
        </is>
      </c>
    </row>
    <row r="318">
      <c r="A318" t="inlineStr">
        <is>
          <t xml:space="preserve">            Colleges, universities, and professional schools; state</t>
        </is>
      </c>
      <c r="B318" t="inlineStr">
        <is>
          <t>61130S</t>
        </is>
      </c>
      <c r="C318" t="inlineStr">
        <is>
          <t>Line item</t>
        </is>
      </c>
      <c r="D318" t="n">
        <v>2242.9</v>
      </c>
      <c r="E318" t="n">
        <v>2360.2</v>
      </c>
      <c r="F318" t="n">
        <v>117.3</v>
      </c>
      <c r="G318" t="n">
        <v>5.2</v>
      </c>
      <c r="H318" t="n">
        <v>0.5</v>
      </c>
      <c r="I318" t="inlineStr">
        <is>
          <t>—</t>
        </is>
      </c>
      <c r="J318" t="inlineStr">
        <is>
          <t>—</t>
        </is>
      </c>
      <c r="K318" t="inlineStr">
        <is>
          <t>—</t>
        </is>
      </c>
    </row>
    <row r="319">
      <c r="A319" t="inlineStr">
        <is>
          <t xml:space="preserve">            Colleges, universities, and professional schools; local</t>
        </is>
      </c>
      <c r="B319" t="inlineStr">
        <is>
          <t>61130L</t>
        </is>
      </c>
      <c r="C319" t="inlineStr">
        <is>
          <t>Line item</t>
        </is>
      </c>
      <c r="D319" t="n">
        <v>74.8</v>
      </c>
      <c r="E319" t="n">
        <v>78</v>
      </c>
      <c r="F319" t="n">
        <v>3.1</v>
      </c>
      <c r="G319" t="n">
        <v>4.2</v>
      </c>
      <c r="H319" t="n">
        <v>0.4</v>
      </c>
      <c r="I319" t="inlineStr">
        <is>
          <t>—</t>
        </is>
      </c>
      <c r="J319" t="inlineStr">
        <is>
          <t>—</t>
        </is>
      </c>
      <c r="K319" t="inlineStr">
        <is>
          <t>—</t>
        </is>
      </c>
    </row>
    <row r="320">
      <c r="A320" t="inlineStr">
        <is>
          <t xml:space="preserve">          Other educational services; state and local (6114-7)</t>
        </is>
      </c>
      <c r="B320" t="inlineStr">
        <is>
          <t>6110Y2</t>
        </is>
      </c>
      <c r="C320" t="inlineStr">
        <is>
          <t>Summary</t>
        </is>
      </c>
      <c r="D320" t="n">
        <v>81.90000000000001</v>
      </c>
      <c r="E320" t="n">
        <v>88.8</v>
      </c>
      <c r="F320" t="n">
        <v>6.9</v>
      </c>
      <c r="G320" t="n">
        <v>8.5</v>
      </c>
      <c r="H320" t="n">
        <v>0.8</v>
      </c>
      <c r="I320" t="inlineStr">
        <is>
          <t>—</t>
        </is>
      </c>
      <c r="J320" t="inlineStr">
        <is>
          <t>—</t>
        </is>
      </c>
      <c r="K320" t="inlineStr">
        <is>
          <t>—</t>
        </is>
      </c>
    </row>
    <row r="321">
      <c r="A321" t="inlineStr">
        <is>
          <t xml:space="preserve">            Business schools and computer and management training; state</t>
        </is>
      </c>
      <c r="B321" t="inlineStr">
        <is>
          <t>61140S</t>
        </is>
      </c>
      <c r="C321" t="inlineStr">
        <is>
          <t>Line item</t>
        </is>
      </c>
      <c r="D321" t="n">
        <v>2.9</v>
      </c>
      <c r="E321" t="n">
        <v>3.1</v>
      </c>
      <c r="F321" t="n">
        <v>0.2</v>
      </c>
      <c r="G321" t="n">
        <v>8.199999999999999</v>
      </c>
      <c r="H321" t="n">
        <v>0.7</v>
      </c>
      <c r="I321" t="inlineStr">
        <is>
          <t>—</t>
        </is>
      </c>
      <c r="J321" t="inlineStr">
        <is>
          <t>—</t>
        </is>
      </c>
      <c r="K321" t="inlineStr">
        <is>
          <t>—</t>
        </is>
      </c>
    </row>
    <row r="322">
      <c r="A322" t="inlineStr">
        <is>
          <t xml:space="preserve">            Business schools and computer and management training; local</t>
        </is>
      </c>
      <c r="B322" t="inlineStr">
        <is>
          <t>61140L</t>
        </is>
      </c>
      <c r="C322" t="inlineStr">
        <is>
          <t>Line item</t>
        </is>
      </c>
      <c r="D322" t="n">
        <v>2.3</v>
      </c>
      <c r="E322" t="n">
        <v>2.4</v>
      </c>
      <c r="F322" t="n">
        <v>0.1</v>
      </c>
      <c r="G322" t="n">
        <v>6.5</v>
      </c>
      <c r="H322" t="n">
        <v>0.4</v>
      </c>
      <c r="I322" t="inlineStr">
        <is>
          <t>—</t>
        </is>
      </c>
      <c r="J322" t="inlineStr">
        <is>
          <t>—</t>
        </is>
      </c>
      <c r="K322" t="inlineStr">
        <is>
          <t>—</t>
        </is>
      </c>
    </row>
    <row r="323">
      <c r="A323" t="inlineStr">
        <is>
          <t xml:space="preserve">            Technical and trade schools; state</t>
        </is>
      </c>
      <c r="B323" t="inlineStr">
        <is>
          <t>61150S</t>
        </is>
      </c>
      <c r="C323" t="inlineStr">
        <is>
          <t>Line item</t>
        </is>
      </c>
      <c r="D323" t="n">
        <v>14.7</v>
      </c>
      <c r="E323" t="n">
        <v>15.3</v>
      </c>
      <c r="F323" t="n">
        <v>0.6</v>
      </c>
      <c r="G323" t="n">
        <v>4.1</v>
      </c>
      <c r="H323" t="n">
        <v>0.4</v>
      </c>
      <c r="I323" t="inlineStr">
        <is>
          <t>—</t>
        </is>
      </c>
      <c r="J323" t="inlineStr">
        <is>
          <t>—</t>
        </is>
      </c>
      <c r="K323" t="inlineStr">
        <is>
          <t>—</t>
        </is>
      </c>
    </row>
    <row r="324">
      <c r="A324" t="inlineStr">
        <is>
          <t xml:space="preserve">            Technical and trade schools; local</t>
        </is>
      </c>
      <c r="B324" t="inlineStr">
        <is>
          <t>61150L</t>
        </is>
      </c>
      <c r="C324" t="inlineStr">
        <is>
          <t>Line item</t>
        </is>
      </c>
      <c r="D324" t="n">
        <v>10.6</v>
      </c>
      <c r="E324" t="n">
        <v>10.8</v>
      </c>
      <c r="F324" t="n">
        <v>0.3</v>
      </c>
      <c r="G324" t="n">
        <v>2.7</v>
      </c>
      <c r="H324" t="n">
        <v>0.2</v>
      </c>
      <c r="I324" t="inlineStr">
        <is>
          <t>—</t>
        </is>
      </c>
      <c r="J324" t="inlineStr">
        <is>
          <t>—</t>
        </is>
      </c>
      <c r="K324" t="inlineStr">
        <is>
          <t>—</t>
        </is>
      </c>
    </row>
    <row r="325">
      <c r="A325" t="inlineStr">
        <is>
          <t xml:space="preserve">            Other schools and instruction; state</t>
        </is>
      </c>
      <c r="B325" t="inlineStr">
        <is>
          <t>61160S</t>
        </is>
      </c>
      <c r="C325" t="inlineStr">
        <is>
          <t>Line item</t>
        </is>
      </c>
      <c r="D325" t="n">
        <v>1.6</v>
      </c>
      <c r="E325" t="n">
        <v>1.6</v>
      </c>
      <c r="F325" t="n">
        <v>0.1</v>
      </c>
      <c r="G325" t="n">
        <v>4.4</v>
      </c>
      <c r="H325" t="n">
        <v>0</v>
      </c>
      <c r="I325" t="inlineStr">
        <is>
          <t>—</t>
        </is>
      </c>
      <c r="J325" t="inlineStr">
        <is>
          <t>—</t>
        </is>
      </c>
      <c r="K325" t="inlineStr">
        <is>
          <t>—</t>
        </is>
      </c>
    </row>
    <row r="326">
      <c r="A326" t="inlineStr">
        <is>
          <t xml:space="preserve">            Other schools and instruction; local</t>
        </is>
      </c>
      <c r="B326" t="inlineStr">
        <is>
          <t>61160L</t>
        </is>
      </c>
      <c r="C326" t="inlineStr">
        <is>
          <t>Line item</t>
        </is>
      </c>
      <c r="D326" t="n">
        <v>8.800000000000001</v>
      </c>
      <c r="E326" t="n">
        <v>8.4</v>
      </c>
      <c r="F326" t="n">
        <v>-0.5</v>
      </c>
      <c r="G326" t="n">
        <v>-5.5</v>
      </c>
      <c r="H326" t="n">
        <v>-0.5</v>
      </c>
      <c r="I326" t="inlineStr">
        <is>
          <t>—</t>
        </is>
      </c>
      <c r="J326" t="inlineStr">
        <is>
          <t>—</t>
        </is>
      </c>
      <c r="K326" t="inlineStr">
        <is>
          <t>—</t>
        </is>
      </c>
    </row>
    <row r="327">
      <c r="A327" t="inlineStr">
        <is>
          <t xml:space="preserve">            Educational support services; local</t>
        </is>
      </c>
      <c r="B327" t="inlineStr">
        <is>
          <t>61170L</t>
        </is>
      </c>
      <c r="C327" t="inlineStr">
        <is>
          <t>Line item</t>
        </is>
      </c>
      <c r="D327" t="n">
        <v>40.9</v>
      </c>
      <c r="E327" t="n">
        <v>47</v>
      </c>
      <c r="F327" t="n">
        <v>6.1</v>
      </c>
      <c r="G327" t="n">
        <v>14.8</v>
      </c>
      <c r="H327" t="n">
        <v>1.4</v>
      </c>
      <c r="I327" t="inlineStr">
        <is>
          <t>—</t>
        </is>
      </c>
      <c r="J327" t="inlineStr">
        <is>
          <t>—</t>
        </is>
      </c>
      <c r="K327" t="inlineStr">
        <is>
          <t>—</t>
        </is>
      </c>
    </row>
    <row r="328">
      <c r="A328" t="inlineStr">
        <is>
          <t xml:space="preserve">    Healthcare and social assistance</t>
        </is>
      </c>
      <c r="B328" t="inlineStr">
        <is>
          <t>620000</t>
        </is>
      </c>
      <c r="C328" t="inlineStr">
        <is>
          <t>Summary</t>
        </is>
      </c>
      <c r="D328" t="n">
        <v>23692.2</v>
      </c>
      <c r="E328" t="n">
        <v>25674.9</v>
      </c>
      <c r="F328" t="n">
        <v>1982.7</v>
      </c>
      <c r="G328" t="n">
        <v>8.4</v>
      </c>
      <c r="H328" t="n">
        <v>0.8</v>
      </c>
      <c r="I328" t="inlineStr">
        <is>
          <t>—</t>
        </is>
      </c>
      <c r="J328" t="inlineStr">
        <is>
          <t>—</t>
        </is>
      </c>
      <c r="K328" t="inlineStr">
        <is>
          <t>—</t>
        </is>
      </c>
    </row>
    <row r="329">
      <c r="A329" t="inlineStr">
        <is>
          <t xml:space="preserve">      Ambulatory healthcare services</t>
        </is>
      </c>
      <c r="B329" t="inlineStr">
        <is>
          <t>621000</t>
        </is>
      </c>
      <c r="C329" t="inlineStr">
        <is>
          <t>Summary</t>
        </is>
      </c>
      <c r="D329" t="n">
        <v>8784.9</v>
      </c>
      <c r="E329" t="n">
        <v>9852.799999999999</v>
      </c>
      <c r="F329" t="n">
        <v>1067.9</v>
      </c>
      <c r="G329" t="n">
        <v>12.2</v>
      </c>
      <c r="H329" t="n">
        <v>1.2</v>
      </c>
      <c r="I329" t="n">
        <v>1417.6</v>
      </c>
      <c r="J329" t="n">
        <v>1929</v>
      </c>
      <c r="K329" t="n">
        <v>3.1</v>
      </c>
      <c r="L329" t="inlineStr">
        <is>
          <t>ISIC 86T88</t>
        </is>
      </c>
    </row>
    <row r="330">
      <c r="A330" t="inlineStr">
        <is>
          <t xml:space="preserve">        Offices of physicians</t>
        </is>
      </c>
      <c r="B330" t="inlineStr">
        <is>
          <t>621100</t>
        </is>
      </c>
      <c r="C330" t="inlineStr">
        <is>
          <t>Line item</t>
        </is>
      </c>
      <c r="D330" t="n">
        <v>2975.4</v>
      </c>
      <c r="E330" t="n">
        <v>3180</v>
      </c>
      <c r="F330" t="n">
        <v>204.6</v>
      </c>
      <c r="G330" t="n">
        <v>6.9</v>
      </c>
      <c r="H330" t="n">
        <v>0.7</v>
      </c>
      <c r="I330" t="n">
        <v>646.9</v>
      </c>
      <c r="J330" t="n">
        <v>893.9</v>
      </c>
      <c r="K330" t="n">
        <v>3.3</v>
      </c>
    </row>
    <row r="331">
      <c r="A331" t="inlineStr">
        <is>
          <t xml:space="preserve">        Offices of dentists</t>
        </is>
      </c>
      <c r="B331" t="inlineStr">
        <is>
          <t>621200</t>
        </is>
      </c>
      <c r="C331" t="inlineStr">
        <is>
          <t>Line item</t>
        </is>
      </c>
      <c r="D331" t="n">
        <v>1045.5</v>
      </c>
      <c r="E331" t="n">
        <v>1101.8</v>
      </c>
      <c r="F331" t="n">
        <v>56.3</v>
      </c>
      <c r="G331" t="n">
        <v>5.4</v>
      </c>
      <c r="H331" t="n">
        <v>0.5</v>
      </c>
      <c r="I331" t="n">
        <v>146.7</v>
      </c>
      <c r="J331" t="n">
        <v>164.3</v>
      </c>
      <c r="K331" t="n">
        <v>1.1</v>
      </c>
    </row>
    <row r="332">
      <c r="A332" t="inlineStr">
        <is>
          <t xml:space="preserve">        Offices of other health practitioners</t>
        </is>
      </c>
      <c r="B332" t="inlineStr">
        <is>
          <t>621300</t>
        </is>
      </c>
      <c r="C332" t="inlineStr">
        <is>
          <t>Summary</t>
        </is>
      </c>
      <c r="D332" t="n">
        <v>1232.2</v>
      </c>
      <c r="E332" t="n">
        <v>1457.8</v>
      </c>
      <c r="F332" t="n">
        <v>225.6</v>
      </c>
      <c r="G332" t="n">
        <v>18.3</v>
      </c>
      <c r="H332" t="n">
        <v>1.7</v>
      </c>
      <c r="I332" t="n">
        <v>164.6</v>
      </c>
      <c r="J332" t="n">
        <v>235.3</v>
      </c>
      <c r="K332" t="n">
        <v>3.6</v>
      </c>
    </row>
    <row r="333">
      <c r="A333" t="inlineStr">
        <is>
          <t xml:space="preserve">          Offices of chiropractors</t>
        </is>
      </c>
      <c r="B333" t="inlineStr">
        <is>
          <t>621310</t>
        </is>
      </c>
      <c r="C333" t="inlineStr">
        <is>
          <t>Line item</t>
        </is>
      </c>
      <c r="D333" t="n">
        <v>146.9</v>
      </c>
      <c r="E333" t="n">
        <v>156</v>
      </c>
      <c r="F333" t="n">
        <v>9.1</v>
      </c>
      <c r="G333" t="n">
        <v>6.2</v>
      </c>
      <c r="H333" t="n">
        <v>0.6</v>
      </c>
      <c r="I333" t="inlineStr">
        <is>
          <t>—</t>
        </is>
      </c>
      <c r="J333" t="inlineStr">
        <is>
          <t>—</t>
        </is>
      </c>
      <c r="K333" t="inlineStr">
        <is>
          <t>—</t>
        </is>
      </c>
    </row>
    <row r="334">
      <c r="A334" t="inlineStr">
        <is>
          <t xml:space="preserve">          Offices of optometrists</t>
        </is>
      </c>
      <c r="B334" t="inlineStr">
        <is>
          <t>621320</t>
        </is>
      </c>
      <c r="C334" t="inlineStr">
        <is>
          <t>Line item</t>
        </is>
      </c>
      <c r="D334" t="n">
        <v>154.5</v>
      </c>
      <c r="E334" t="n">
        <v>166.2</v>
      </c>
      <c r="F334" t="n">
        <v>11.7</v>
      </c>
      <c r="G334" t="n">
        <v>7.6</v>
      </c>
      <c r="H334" t="n">
        <v>0.7</v>
      </c>
      <c r="I334" t="inlineStr">
        <is>
          <t>—</t>
        </is>
      </c>
      <c r="J334" t="inlineStr">
        <is>
          <t>—</t>
        </is>
      </c>
      <c r="K334" t="inlineStr">
        <is>
          <t>—</t>
        </is>
      </c>
    </row>
    <row r="335">
      <c r="A335" t="inlineStr">
        <is>
          <t xml:space="preserve">          Offices of mental health practitioners (except physicians)</t>
        </is>
      </c>
      <c r="B335" t="inlineStr">
        <is>
          <t>621330</t>
        </is>
      </c>
      <c r="C335" t="inlineStr">
        <is>
          <t>Line item</t>
        </is>
      </c>
      <c r="D335" t="n">
        <v>247.9</v>
      </c>
      <c r="E335" t="n">
        <v>313.4</v>
      </c>
      <c r="F335" t="n">
        <v>65.5</v>
      </c>
      <c r="G335" t="n">
        <v>26.4</v>
      </c>
      <c r="H335" t="n">
        <v>2.4</v>
      </c>
      <c r="I335" t="inlineStr">
        <is>
          <t>—</t>
        </is>
      </c>
      <c r="J335" t="inlineStr">
        <is>
          <t>—</t>
        </is>
      </c>
      <c r="K335" t="inlineStr">
        <is>
          <t>—</t>
        </is>
      </c>
    </row>
    <row r="336">
      <c r="A336" t="inlineStr">
        <is>
          <t xml:space="preserve">          Offices of physical, occupational and speech therapists, and audiologists</t>
        </is>
      </c>
      <c r="B336" t="inlineStr">
        <is>
          <t>621340</t>
        </is>
      </c>
      <c r="C336" t="inlineStr">
        <is>
          <t>Line item</t>
        </is>
      </c>
      <c r="D336" t="n">
        <v>493.1</v>
      </c>
      <c r="E336" t="n">
        <v>607.9</v>
      </c>
      <c r="F336" t="n">
        <v>114.8</v>
      </c>
      <c r="G336" t="n">
        <v>23.3</v>
      </c>
      <c r="H336" t="n">
        <v>2.1</v>
      </c>
      <c r="I336" t="inlineStr">
        <is>
          <t>—</t>
        </is>
      </c>
      <c r="J336" t="inlineStr">
        <is>
          <t>—</t>
        </is>
      </c>
      <c r="K336" t="inlineStr">
        <is>
          <t>—</t>
        </is>
      </c>
    </row>
    <row r="337">
      <c r="A337" t="inlineStr">
        <is>
          <t xml:space="preserve">          Offices of all other health practitioners</t>
        </is>
      </c>
      <c r="B337" t="inlineStr">
        <is>
          <t>621390</t>
        </is>
      </c>
      <c r="C337" t="inlineStr">
        <is>
          <t>Line item</t>
        </is>
      </c>
      <c r="D337" t="n">
        <v>189.8</v>
      </c>
      <c r="E337" t="n">
        <v>214.3</v>
      </c>
      <c r="F337" t="n">
        <v>24.5</v>
      </c>
      <c r="G337" t="n">
        <v>12.9</v>
      </c>
      <c r="H337" t="n">
        <v>1.2</v>
      </c>
      <c r="I337" t="inlineStr">
        <is>
          <t>—</t>
        </is>
      </c>
      <c r="J337" t="inlineStr">
        <is>
          <t>—</t>
        </is>
      </c>
      <c r="K337" t="inlineStr">
        <is>
          <t>—</t>
        </is>
      </c>
    </row>
    <row r="338">
      <c r="A338" t="inlineStr">
        <is>
          <t xml:space="preserve">        Outpatient care centers</t>
        </is>
      </c>
      <c r="B338" t="inlineStr">
        <is>
          <t>621400</t>
        </is>
      </c>
      <c r="C338" t="inlineStr">
        <is>
          <t>Summary</t>
        </is>
      </c>
      <c r="D338" t="n">
        <v>1115.1</v>
      </c>
      <c r="E338" t="n">
        <v>1324.8</v>
      </c>
      <c r="F338" t="n">
        <v>209.7</v>
      </c>
      <c r="G338" t="n">
        <v>18.8</v>
      </c>
      <c r="H338" t="n">
        <v>1.7</v>
      </c>
      <c r="I338" t="n">
        <v>217.8</v>
      </c>
      <c r="J338" t="n">
        <v>307.4</v>
      </c>
      <c r="K338" t="n">
        <v>3.5</v>
      </c>
    </row>
    <row r="339">
      <c r="A339" t="inlineStr">
        <is>
          <t xml:space="preserve">          Outpatient mental health and substance abuse centers</t>
        </is>
      </c>
      <c r="B339" t="inlineStr">
        <is>
          <t>621420</t>
        </is>
      </c>
      <c r="C339" t="inlineStr">
        <is>
          <t>Line item</t>
        </is>
      </c>
      <c r="D339" t="n">
        <v>314.8</v>
      </c>
      <c r="E339" t="n">
        <v>377.6</v>
      </c>
      <c r="F339" t="n">
        <v>62.8</v>
      </c>
      <c r="G339" t="n">
        <v>19.9</v>
      </c>
      <c r="H339" t="n">
        <v>1.8</v>
      </c>
      <c r="I339" t="inlineStr">
        <is>
          <t>—</t>
        </is>
      </c>
      <c r="J339" t="inlineStr">
        <is>
          <t>—</t>
        </is>
      </c>
      <c r="K339" t="inlineStr">
        <is>
          <t>—</t>
        </is>
      </c>
    </row>
    <row r="340">
      <c r="A340" t="inlineStr">
        <is>
          <t xml:space="preserve">        Medical and diagnostic laboratories</t>
        </is>
      </c>
      <c r="B340" t="inlineStr">
        <is>
          <t>621500</t>
        </is>
      </c>
      <c r="C340" t="inlineStr">
        <is>
          <t>Line item</t>
        </is>
      </c>
      <c r="D340" t="n">
        <v>308</v>
      </c>
      <c r="E340" t="n">
        <v>327.7</v>
      </c>
      <c r="F340" t="n">
        <v>19.7</v>
      </c>
      <c r="G340" t="n">
        <v>6.4</v>
      </c>
      <c r="H340" t="n">
        <v>0.6</v>
      </c>
      <c r="I340" t="n">
        <v>75.90000000000001</v>
      </c>
      <c r="J340" t="n">
        <v>99.09999999999999</v>
      </c>
      <c r="K340" t="n">
        <v>2.7</v>
      </c>
    </row>
    <row r="341">
      <c r="A341" t="inlineStr">
        <is>
          <t xml:space="preserve">        Home healthcare services</t>
        </is>
      </c>
      <c r="B341" t="inlineStr">
        <is>
          <t>621600</t>
        </is>
      </c>
      <c r="C341" t="inlineStr">
        <is>
          <t>Line item</t>
        </is>
      </c>
      <c r="D341" t="n">
        <v>1750.8</v>
      </c>
      <c r="E341" t="n">
        <v>2076.6</v>
      </c>
      <c r="F341" t="n">
        <v>325.8</v>
      </c>
      <c r="G341" t="n">
        <v>18.6</v>
      </c>
      <c r="H341" t="n">
        <v>1.7</v>
      </c>
      <c r="I341" t="n">
        <v>120.6</v>
      </c>
      <c r="J341" t="n">
        <v>176.6</v>
      </c>
      <c r="K341" t="n">
        <v>3.9</v>
      </c>
    </row>
    <row r="342">
      <c r="A342" t="inlineStr">
        <is>
          <t xml:space="preserve">        Other ambulatory healthcare services</t>
        </is>
      </c>
      <c r="B342" t="inlineStr">
        <is>
          <t>621900</t>
        </is>
      </c>
      <c r="C342" t="inlineStr">
        <is>
          <t>Summary</t>
        </is>
      </c>
      <c r="D342" t="n">
        <v>357.9</v>
      </c>
      <c r="E342" t="n">
        <v>384.3</v>
      </c>
      <c r="F342" t="n">
        <v>26.4</v>
      </c>
      <c r="G342" t="n">
        <v>7.4</v>
      </c>
      <c r="H342" t="n">
        <v>0.7</v>
      </c>
      <c r="I342" t="n">
        <v>46.3</v>
      </c>
      <c r="J342" t="n">
        <v>61.5</v>
      </c>
      <c r="K342" t="n">
        <v>2.9</v>
      </c>
    </row>
    <row r="343">
      <c r="A343" t="inlineStr">
        <is>
          <t xml:space="preserve">          Ambulance services</t>
        </is>
      </c>
      <c r="B343" t="inlineStr">
        <is>
          <t>621910</t>
        </is>
      </c>
      <c r="C343" t="inlineStr">
        <is>
          <t>Line item</t>
        </is>
      </c>
      <c r="D343" t="n">
        <v>170.5</v>
      </c>
      <c r="E343" t="n">
        <v>176.8</v>
      </c>
      <c r="F343" t="n">
        <v>6.3</v>
      </c>
      <c r="G343" t="n">
        <v>3.7</v>
      </c>
      <c r="H343" t="n">
        <v>0.4</v>
      </c>
      <c r="I343" t="inlineStr">
        <is>
          <t>—</t>
        </is>
      </c>
      <c r="J343" t="inlineStr">
        <is>
          <t>—</t>
        </is>
      </c>
      <c r="K343" t="inlineStr">
        <is>
          <t>—</t>
        </is>
      </c>
    </row>
    <row r="344">
      <c r="A344" t="inlineStr">
        <is>
          <t xml:space="preserve">          All other ambulatory healthcare services</t>
        </is>
      </c>
      <c r="B344" t="inlineStr">
        <is>
          <t>621990</t>
        </is>
      </c>
      <c r="C344" t="inlineStr">
        <is>
          <t>Line item</t>
        </is>
      </c>
      <c r="D344" t="n">
        <v>187.4</v>
      </c>
      <c r="E344" t="n">
        <v>207.5</v>
      </c>
      <c r="F344" t="n">
        <v>20.1</v>
      </c>
      <c r="G344" t="n">
        <v>10.7</v>
      </c>
      <c r="H344" t="n">
        <v>1</v>
      </c>
      <c r="I344" t="inlineStr">
        <is>
          <t>—</t>
        </is>
      </c>
      <c r="J344" t="inlineStr">
        <is>
          <t>—</t>
        </is>
      </c>
      <c r="K344" t="inlineStr">
        <is>
          <t>—</t>
        </is>
      </c>
    </row>
    <row r="345">
      <c r="A345" t="inlineStr">
        <is>
          <t xml:space="preserve">      Hospitals; state, local, and private</t>
        </is>
      </c>
      <c r="B345" t="inlineStr">
        <is>
          <t>622000</t>
        </is>
      </c>
      <c r="C345" t="inlineStr">
        <is>
          <t>Summary</t>
        </is>
      </c>
      <c r="D345" t="n">
        <v>6715.9</v>
      </c>
      <c r="E345" t="n">
        <v>6980.7</v>
      </c>
      <c r="F345" t="n">
        <v>264.8</v>
      </c>
      <c r="G345" t="n">
        <v>3.9</v>
      </c>
      <c r="H345" t="n">
        <v>0.4</v>
      </c>
      <c r="I345" t="inlineStr">
        <is>
          <t>—</t>
        </is>
      </c>
      <c r="J345" t="inlineStr">
        <is>
          <t>—</t>
        </is>
      </c>
      <c r="K345" t="inlineStr">
        <is>
          <t>—</t>
        </is>
      </c>
    </row>
    <row r="346">
      <c r="A346" t="inlineStr">
        <is>
          <t xml:space="preserve">        Hospitals; private</t>
        </is>
      </c>
      <c r="B346" t="inlineStr">
        <is>
          <t>6220P0</t>
        </is>
      </c>
      <c r="C346" t="inlineStr">
        <is>
          <t>Summary</t>
        </is>
      </c>
      <c r="D346" t="n">
        <v>5551.1</v>
      </c>
      <c r="E346" t="n">
        <v>5794.8</v>
      </c>
      <c r="F346" t="n">
        <v>243.7</v>
      </c>
      <c r="G346" t="n">
        <v>4.4</v>
      </c>
      <c r="H346" t="n">
        <v>0.4</v>
      </c>
      <c r="I346" t="n">
        <v>1007.8</v>
      </c>
      <c r="J346" t="n">
        <v>1311</v>
      </c>
      <c r="K346" t="n">
        <v>2.7</v>
      </c>
      <c r="L346" t="inlineStr">
        <is>
          <t>ISIC 86T88</t>
        </is>
      </c>
    </row>
    <row r="347">
      <c r="A347" t="inlineStr">
        <is>
          <t xml:space="preserve">          General medical and surgical hospitals; private</t>
        </is>
      </c>
      <c r="B347" t="inlineStr">
        <is>
          <t>62210P</t>
        </is>
      </c>
      <c r="C347" t="inlineStr">
        <is>
          <t>Line item</t>
        </is>
      </c>
      <c r="D347" t="n">
        <v>5070.2</v>
      </c>
      <c r="E347" t="n">
        <v>5267.5</v>
      </c>
      <c r="F347" t="n">
        <v>197.3</v>
      </c>
      <c r="G347" t="n">
        <v>3.9</v>
      </c>
      <c r="H347" t="n">
        <v>0.4</v>
      </c>
      <c r="I347" t="inlineStr">
        <is>
          <t>—</t>
        </is>
      </c>
      <c r="J347" t="inlineStr">
        <is>
          <t>—</t>
        </is>
      </c>
      <c r="K347" t="inlineStr">
        <is>
          <t>—</t>
        </is>
      </c>
    </row>
    <row r="348">
      <c r="A348" t="inlineStr">
        <is>
          <t xml:space="preserve">          Psychiatric and substance abuse hospitals; private</t>
        </is>
      </c>
      <c r="B348" t="inlineStr">
        <is>
          <t>62220P</t>
        </is>
      </c>
      <c r="C348" t="inlineStr">
        <is>
          <t>Line item</t>
        </is>
      </c>
      <c r="D348" t="n">
        <v>165.2</v>
      </c>
      <c r="E348" t="n">
        <v>182.5</v>
      </c>
      <c r="F348" t="n">
        <v>17.3</v>
      </c>
      <c r="G348" t="n">
        <v>10.5</v>
      </c>
      <c r="H348" t="n">
        <v>1</v>
      </c>
      <c r="I348" t="inlineStr">
        <is>
          <t>—</t>
        </is>
      </c>
      <c r="J348" t="inlineStr">
        <is>
          <t>—</t>
        </is>
      </c>
      <c r="K348" t="inlineStr">
        <is>
          <t>—</t>
        </is>
      </c>
    </row>
    <row r="349">
      <c r="A349" t="inlineStr">
        <is>
          <t xml:space="preserve">          Specialty (except psychiatric and substance abuse) hospitals; private</t>
        </is>
      </c>
      <c r="B349" t="inlineStr">
        <is>
          <t>62230P</t>
        </is>
      </c>
      <c r="C349" t="inlineStr">
        <is>
          <t>Line item</t>
        </is>
      </c>
      <c r="D349" t="n">
        <v>315.7</v>
      </c>
      <c r="E349" t="n">
        <v>344.8</v>
      </c>
      <c r="F349" t="n">
        <v>29.1</v>
      </c>
      <c r="G349" t="n">
        <v>9.199999999999999</v>
      </c>
      <c r="H349" t="n">
        <v>0.9</v>
      </c>
      <c r="I349" t="inlineStr">
        <is>
          <t>—</t>
        </is>
      </c>
      <c r="J349" t="inlineStr">
        <is>
          <t>—</t>
        </is>
      </c>
      <c r="K349" t="inlineStr">
        <is>
          <t>—</t>
        </is>
      </c>
    </row>
    <row r="350">
      <c r="A350" t="inlineStr">
        <is>
          <t xml:space="preserve">        Hospitals; state and local</t>
        </is>
      </c>
      <c r="B350" t="inlineStr">
        <is>
          <t>6220Y0</t>
        </is>
      </c>
      <c r="C350" t="inlineStr">
        <is>
          <t>Summary</t>
        </is>
      </c>
      <c r="D350" t="n">
        <v>1164.8</v>
      </c>
      <c r="E350" t="n">
        <v>1185.9</v>
      </c>
      <c r="F350" t="n">
        <v>21.1</v>
      </c>
      <c r="G350" t="n">
        <v>1.8</v>
      </c>
      <c r="H350" t="n">
        <v>0.2</v>
      </c>
      <c r="I350" t="n">
        <v>379.1</v>
      </c>
      <c r="J350" t="n">
        <v>482</v>
      </c>
      <c r="K350" t="n">
        <v>2.4</v>
      </c>
      <c r="L350" t="inlineStr">
        <is>
          <t>ISIC 86T88</t>
        </is>
      </c>
    </row>
    <row r="351">
      <c r="A351" t="inlineStr">
        <is>
          <t xml:space="preserve">          General medical and surgical hospitals; state</t>
        </is>
      </c>
      <c r="B351" t="inlineStr">
        <is>
          <t>62210S</t>
        </is>
      </c>
      <c r="C351" t="inlineStr">
        <is>
          <t>Line item</t>
        </is>
      </c>
      <c r="D351" t="n">
        <v>305.1</v>
      </c>
      <c r="E351" t="n">
        <v>316.6</v>
      </c>
      <c r="F351" t="n">
        <v>11.5</v>
      </c>
      <c r="G351" t="n">
        <v>3.8</v>
      </c>
      <c r="H351" t="n">
        <v>0.4</v>
      </c>
      <c r="I351" t="inlineStr">
        <is>
          <t>—</t>
        </is>
      </c>
      <c r="J351" t="inlineStr">
        <is>
          <t>—</t>
        </is>
      </c>
      <c r="K351" t="inlineStr">
        <is>
          <t>—</t>
        </is>
      </c>
    </row>
    <row r="352">
      <c r="A352" t="inlineStr">
        <is>
          <t xml:space="preserve">          General medical and surgical hospitals; local</t>
        </is>
      </c>
      <c r="B352" t="inlineStr">
        <is>
          <t>62210L</t>
        </is>
      </c>
      <c r="C352" t="inlineStr">
        <is>
          <t>Line item</t>
        </is>
      </c>
      <c r="D352" t="n">
        <v>700.5</v>
      </c>
      <c r="E352" t="n">
        <v>717.4</v>
      </c>
      <c r="F352" t="n">
        <v>17</v>
      </c>
      <c r="G352" t="n">
        <v>2.4</v>
      </c>
      <c r="H352" t="n">
        <v>0.2</v>
      </c>
      <c r="I352" t="inlineStr">
        <is>
          <t>—</t>
        </is>
      </c>
      <c r="J352" t="inlineStr">
        <is>
          <t>—</t>
        </is>
      </c>
      <c r="K352" t="inlineStr">
        <is>
          <t>—</t>
        </is>
      </c>
    </row>
    <row r="353">
      <c r="A353" t="inlineStr">
        <is>
          <t xml:space="preserve">          Psychiatric and substance abuse hospitals; state</t>
        </is>
      </c>
      <c r="B353" t="inlineStr">
        <is>
          <t>62220S</t>
        </is>
      </c>
      <c r="C353" t="inlineStr">
        <is>
          <t>Line item</t>
        </is>
      </c>
      <c r="D353" t="n">
        <v>115.2</v>
      </c>
      <c r="E353" t="n">
        <v>106.7</v>
      </c>
      <c r="F353" t="n">
        <v>-8.5</v>
      </c>
      <c r="G353" t="n">
        <v>-7.4</v>
      </c>
      <c r="H353" t="n">
        <v>-0.8</v>
      </c>
      <c r="I353" t="inlineStr">
        <is>
          <t>—</t>
        </is>
      </c>
      <c r="J353" t="inlineStr">
        <is>
          <t>—</t>
        </is>
      </c>
      <c r="K353" t="inlineStr">
        <is>
          <t>—</t>
        </is>
      </c>
    </row>
    <row r="354">
      <c r="A354" t="inlineStr">
        <is>
          <t xml:space="preserve">          Psychiatric and substance abuse hospitals; local</t>
        </is>
      </c>
      <c r="B354" t="inlineStr">
        <is>
          <t>62220L</t>
        </is>
      </c>
      <c r="C354" t="inlineStr">
        <is>
          <t>Line item</t>
        </is>
      </c>
      <c r="D354" t="n">
        <v>3.1</v>
      </c>
      <c r="E354" t="n">
        <v>2.8</v>
      </c>
      <c r="F354" t="n">
        <v>-0.2</v>
      </c>
      <c r="G354" t="n">
        <v>-8</v>
      </c>
      <c r="H354" t="n">
        <v>-1</v>
      </c>
      <c r="I354" t="inlineStr">
        <is>
          <t>—</t>
        </is>
      </c>
      <c r="J354" t="inlineStr">
        <is>
          <t>—</t>
        </is>
      </c>
      <c r="K354" t="inlineStr">
        <is>
          <t>—</t>
        </is>
      </c>
    </row>
    <row r="355">
      <c r="A355" t="inlineStr">
        <is>
          <t xml:space="preserve">          Specialty (except psychiatric and substance abuse) hospitals; state</t>
        </is>
      </c>
      <c r="B355" t="inlineStr">
        <is>
          <t>62230S</t>
        </is>
      </c>
      <c r="C355" t="inlineStr">
        <is>
          <t>Line item</t>
        </is>
      </c>
      <c r="D355" t="n">
        <v>40.2</v>
      </c>
      <c r="E355" t="n">
        <v>41.5</v>
      </c>
      <c r="F355" t="n">
        <v>1.3</v>
      </c>
      <c r="G355" t="n">
        <v>3.3</v>
      </c>
      <c r="H355" t="n">
        <v>0.3</v>
      </c>
      <c r="I355" t="inlineStr">
        <is>
          <t>—</t>
        </is>
      </c>
      <c r="J355" t="inlineStr">
        <is>
          <t>—</t>
        </is>
      </c>
      <c r="K355" t="inlineStr">
        <is>
          <t>—</t>
        </is>
      </c>
    </row>
    <row r="356">
      <c r="A356" t="inlineStr">
        <is>
          <t xml:space="preserve">          Specialty (except psychiatric and substance abuse) hospitals; local</t>
        </is>
      </c>
      <c r="B356" t="inlineStr">
        <is>
          <t>62230L</t>
        </is>
      </c>
      <c r="C356" t="inlineStr">
        <is>
          <t>Line item</t>
        </is>
      </c>
      <c r="D356" t="n">
        <v>0.7</v>
      </c>
      <c r="E356" t="n">
        <v>0.7</v>
      </c>
      <c r="F356" t="n">
        <v>0</v>
      </c>
      <c r="G356" t="n">
        <v>-1.3</v>
      </c>
      <c r="H356" t="n">
        <v>0</v>
      </c>
      <c r="I356" t="inlineStr">
        <is>
          <t>—</t>
        </is>
      </c>
      <c r="J356" t="inlineStr">
        <is>
          <t>—</t>
        </is>
      </c>
      <c r="K356" t="inlineStr">
        <is>
          <t>—</t>
        </is>
      </c>
    </row>
    <row r="357">
      <c r="A357" t="inlineStr">
        <is>
          <t xml:space="preserve">      Nursing and residential care facilities</t>
        </is>
      </c>
      <c r="B357" t="inlineStr">
        <is>
          <t>623000</t>
        </is>
      </c>
      <c r="C357" t="inlineStr">
        <is>
          <t>Summary</t>
        </is>
      </c>
      <c r="D357" t="n">
        <v>3316.6</v>
      </c>
      <c r="E357" t="n">
        <v>3421.1</v>
      </c>
      <c r="F357" t="n">
        <v>104.5</v>
      </c>
      <c r="G357" t="n">
        <v>3.2</v>
      </c>
      <c r="H357" t="n">
        <v>0.3</v>
      </c>
      <c r="I357" t="n">
        <v>268.6</v>
      </c>
      <c r="J357" t="n">
        <v>317.6</v>
      </c>
      <c r="K357" t="n">
        <v>1.7</v>
      </c>
      <c r="L357" t="inlineStr">
        <is>
          <t>ISIC 86T88</t>
        </is>
      </c>
    </row>
    <row r="358">
      <c r="A358" t="inlineStr">
        <is>
          <t xml:space="preserve">          Nursing care facilities (skilled nursing facilities)</t>
        </is>
      </c>
      <c r="B358" t="inlineStr">
        <is>
          <t>623100</t>
        </is>
      </c>
      <c r="C358" t="inlineStr">
        <is>
          <t>Line item</t>
        </is>
      </c>
      <c r="D358" t="n">
        <v>1492.4</v>
      </c>
      <c r="E358" t="n">
        <v>1448.1</v>
      </c>
      <c r="F358" t="n">
        <v>-44.3</v>
      </c>
      <c r="G358" t="n">
        <v>-3</v>
      </c>
      <c r="H358" t="n">
        <v>-0.3</v>
      </c>
      <c r="I358" t="inlineStr">
        <is>
          <t>—</t>
        </is>
      </c>
      <c r="J358" t="inlineStr">
        <is>
          <t>—</t>
        </is>
      </c>
      <c r="K358" t="inlineStr">
        <is>
          <t>—</t>
        </is>
      </c>
    </row>
    <row r="359">
      <c r="A359" t="inlineStr">
        <is>
          <t xml:space="preserve">          Continuing care retirement communities and assisted living facilities for the elderly</t>
        </is>
      </c>
      <c r="B359" t="inlineStr">
        <is>
          <t>623300</t>
        </is>
      </c>
      <c r="C359" t="inlineStr">
        <is>
          <t>Line item</t>
        </is>
      </c>
      <c r="D359" t="n">
        <v>988.5</v>
      </c>
      <c r="E359" t="n">
        <v>1092.4</v>
      </c>
      <c r="F359" t="n">
        <v>103.9</v>
      </c>
      <c r="G359" t="n">
        <v>10.5</v>
      </c>
      <c r="H359" t="n">
        <v>1</v>
      </c>
      <c r="I359" t="inlineStr">
        <is>
          <t>—</t>
        </is>
      </c>
      <c r="J359" t="inlineStr">
        <is>
          <t>—</t>
        </is>
      </c>
      <c r="K359" t="inlineStr">
        <is>
          <t>—</t>
        </is>
      </c>
    </row>
    <row r="360">
      <c r="A360" t="inlineStr">
        <is>
          <t xml:space="preserve">          Residential intellectual and developmental disability, mental health, and substance abuse facilities</t>
        </is>
      </c>
      <c r="B360" t="inlineStr">
        <is>
          <t>623200</t>
        </is>
      </c>
      <c r="C360" t="inlineStr">
        <is>
          <t>Summary</t>
        </is>
      </c>
      <c r="D360" t="n">
        <v>669.9</v>
      </c>
      <c r="E360" t="n">
        <v>710.7</v>
      </c>
      <c r="F360" t="n">
        <v>40.8</v>
      </c>
      <c r="G360" t="n">
        <v>6.1</v>
      </c>
      <c r="H360" t="n">
        <v>0.6</v>
      </c>
      <c r="I360" t="inlineStr">
        <is>
          <t>—</t>
        </is>
      </c>
      <c r="J360" t="inlineStr">
        <is>
          <t>—</t>
        </is>
      </c>
      <c r="K360" t="inlineStr">
        <is>
          <t>—</t>
        </is>
      </c>
    </row>
    <row r="361">
      <c r="A361" t="inlineStr">
        <is>
          <t xml:space="preserve">            Residential intellectual and developmental disability facilities</t>
        </is>
      </c>
      <c r="B361" t="inlineStr">
        <is>
          <t>623210</t>
        </is>
      </c>
      <c r="C361" t="inlineStr">
        <is>
          <t>Line item</t>
        </is>
      </c>
      <c r="D361" t="n">
        <v>405.6</v>
      </c>
      <c r="E361" t="n">
        <v>418.3</v>
      </c>
      <c r="F361" t="n">
        <v>12.7</v>
      </c>
      <c r="G361" t="n">
        <v>3.1</v>
      </c>
      <c r="H361" t="n">
        <v>0.3</v>
      </c>
      <c r="I361" t="inlineStr">
        <is>
          <t>—</t>
        </is>
      </c>
      <c r="J361" t="inlineStr">
        <is>
          <t>—</t>
        </is>
      </c>
      <c r="K361" t="inlineStr">
        <is>
          <t>—</t>
        </is>
      </c>
    </row>
    <row r="362">
      <c r="A362" t="inlineStr">
        <is>
          <t xml:space="preserve">            Residential mental health and substance abuse facilities</t>
        </is>
      </c>
      <c r="B362" t="inlineStr">
        <is>
          <t>623220</t>
        </is>
      </c>
      <c r="C362" t="inlineStr">
        <is>
          <t>Line item</t>
        </is>
      </c>
      <c r="D362" t="n">
        <v>264.3</v>
      </c>
      <c r="E362" t="n">
        <v>292.4</v>
      </c>
      <c r="F362" t="n">
        <v>28.1</v>
      </c>
      <c r="G362" t="n">
        <v>10.6</v>
      </c>
      <c r="H362" t="n">
        <v>1</v>
      </c>
      <c r="I362" t="inlineStr">
        <is>
          <t>—</t>
        </is>
      </c>
      <c r="J362" t="inlineStr">
        <is>
          <t>—</t>
        </is>
      </c>
      <c r="K362" t="inlineStr">
        <is>
          <t>—</t>
        </is>
      </c>
    </row>
    <row r="363">
      <c r="A363" t="inlineStr">
        <is>
          <t xml:space="preserve">          Other residential care facilities</t>
        </is>
      </c>
      <c r="B363" t="inlineStr">
        <is>
          <t>623900</t>
        </is>
      </c>
      <c r="C363" t="inlineStr">
        <is>
          <t>Line item</t>
        </is>
      </c>
      <c r="D363" t="n">
        <v>165.8</v>
      </c>
      <c r="E363" t="n">
        <v>170</v>
      </c>
      <c r="F363" t="n">
        <v>4.2</v>
      </c>
      <c r="G363" t="n">
        <v>2.5</v>
      </c>
      <c r="H363" t="n">
        <v>0.3</v>
      </c>
      <c r="I363" t="inlineStr">
        <is>
          <t>—</t>
        </is>
      </c>
      <c r="J363" t="inlineStr">
        <is>
          <t>—</t>
        </is>
      </c>
      <c r="K363" t="inlineStr">
        <is>
          <t>—</t>
        </is>
      </c>
    </row>
    <row r="364">
      <c r="A364" t="inlineStr">
        <is>
          <t xml:space="preserve">      Social assistance</t>
        </is>
      </c>
      <c r="B364" t="inlineStr">
        <is>
          <t>624000</t>
        </is>
      </c>
      <c r="C364" t="inlineStr">
        <is>
          <t>Summary</t>
        </is>
      </c>
      <c r="D364" t="n">
        <v>4874.8</v>
      </c>
      <c r="E364" t="n">
        <v>5420.4</v>
      </c>
      <c r="F364" t="n">
        <v>545.6</v>
      </c>
      <c r="G364" t="n">
        <v>11.2</v>
      </c>
      <c r="H364" t="n">
        <v>1.1</v>
      </c>
      <c r="I364" t="n">
        <v>275.1</v>
      </c>
      <c r="J364" t="n">
        <v>359.2</v>
      </c>
      <c r="K364" t="n">
        <v>2.7</v>
      </c>
      <c r="L364" t="inlineStr">
        <is>
          <t>ISIC 86T88</t>
        </is>
      </c>
    </row>
    <row r="365">
      <c r="A365" t="inlineStr">
        <is>
          <t xml:space="preserve">        Individual and family services</t>
        </is>
      </c>
      <c r="B365" t="inlineStr">
        <is>
          <t>624100</t>
        </is>
      </c>
      <c r="C365" t="inlineStr">
        <is>
          <t>Summary</t>
        </is>
      </c>
      <c r="D365" t="n">
        <v>3264.5</v>
      </c>
      <c r="E365" t="n">
        <v>3829.7</v>
      </c>
      <c r="F365" t="n">
        <v>565.2</v>
      </c>
      <c r="G365" t="n">
        <v>17.3</v>
      </c>
      <c r="H365" t="n">
        <v>1.6</v>
      </c>
      <c r="I365" t="n">
        <v>150.9</v>
      </c>
      <c r="J365" t="n">
        <v>222.4</v>
      </c>
      <c r="K365" t="n">
        <v>4</v>
      </c>
    </row>
    <row r="366">
      <c r="A366" t="inlineStr">
        <is>
          <t xml:space="preserve">          Services for the elderly and persons with disabilities</t>
        </is>
      </c>
      <c r="B366" t="inlineStr">
        <is>
          <t>624120</t>
        </is>
      </c>
      <c r="C366" t="inlineStr">
        <is>
          <t>Line item</t>
        </is>
      </c>
      <c r="D366" t="n">
        <v>2512.3</v>
      </c>
      <c r="E366" t="n">
        <v>3040.8</v>
      </c>
      <c r="F366" t="n">
        <v>528.5</v>
      </c>
      <c r="G366" t="n">
        <v>21</v>
      </c>
      <c r="H366" t="n">
        <v>1.9</v>
      </c>
      <c r="I366" t="inlineStr">
        <is>
          <t>—</t>
        </is>
      </c>
      <c r="J366" t="inlineStr">
        <is>
          <t>—</t>
        </is>
      </c>
      <c r="K366" t="inlineStr">
        <is>
          <t>—</t>
        </is>
      </c>
    </row>
    <row r="367">
      <c r="A367" t="inlineStr">
        <is>
          <t xml:space="preserve">        Community food and housing, emergency and other relief services, and vocational rehabilitation services</t>
        </is>
      </c>
      <c r="B367" t="inlineStr">
        <is>
          <t>6242-3</t>
        </is>
      </c>
      <c r="C367" t="inlineStr">
        <is>
          <t>Summary</t>
        </is>
      </c>
      <c r="D367" t="n">
        <v>518.4</v>
      </c>
      <c r="E367" t="n">
        <v>505.1</v>
      </c>
      <c r="F367" t="n">
        <v>-13.3</v>
      </c>
      <c r="G367" t="n">
        <v>-2.6</v>
      </c>
      <c r="H367" t="n">
        <v>-0.3</v>
      </c>
      <c r="I367" t="n">
        <v>58.9</v>
      </c>
      <c r="J367" t="n">
        <v>69.40000000000001</v>
      </c>
      <c r="K367" t="n">
        <v>1.7</v>
      </c>
    </row>
    <row r="368">
      <c r="A368" t="inlineStr">
        <is>
          <t xml:space="preserve">          Community food and housing, and emergency and other relief services</t>
        </is>
      </c>
      <c r="B368" t="inlineStr">
        <is>
          <t>624200</t>
        </is>
      </c>
      <c r="C368" t="inlineStr">
        <is>
          <t>Line item</t>
        </is>
      </c>
      <c r="D368" t="n">
        <v>233.3</v>
      </c>
      <c r="E368" t="n">
        <v>252.5</v>
      </c>
      <c r="F368" t="n">
        <v>19.2</v>
      </c>
      <c r="G368" t="n">
        <v>8.199999999999999</v>
      </c>
      <c r="H368" t="n">
        <v>0.8</v>
      </c>
      <c r="I368" t="inlineStr">
        <is>
          <t>—</t>
        </is>
      </c>
      <c r="J368" t="inlineStr">
        <is>
          <t>—</t>
        </is>
      </c>
      <c r="K368" t="inlineStr">
        <is>
          <t>—</t>
        </is>
      </c>
    </row>
    <row r="369">
      <c r="A369" t="inlineStr">
        <is>
          <t xml:space="preserve">          Vocational rehabilitation services</t>
        </is>
      </c>
      <c r="B369" t="inlineStr">
        <is>
          <t>624300</t>
        </is>
      </c>
      <c r="C369" t="inlineStr">
        <is>
          <t>Line item</t>
        </is>
      </c>
      <c r="D369" t="n">
        <v>285.1</v>
      </c>
      <c r="E369" t="n">
        <v>252.5</v>
      </c>
      <c r="F369" t="n">
        <v>-32.6</v>
      </c>
      <c r="G369" t="n">
        <v>-11.4</v>
      </c>
      <c r="H369" t="n">
        <v>-1.2</v>
      </c>
      <c r="I369" t="inlineStr">
        <is>
          <t>—</t>
        </is>
      </c>
      <c r="J369" t="inlineStr">
        <is>
          <t>—</t>
        </is>
      </c>
      <c r="K369" t="inlineStr">
        <is>
          <t>—</t>
        </is>
      </c>
    </row>
    <row r="370">
      <c r="A370" t="inlineStr">
        <is>
          <t xml:space="preserve">        Child daycare services</t>
        </is>
      </c>
      <c r="B370" t="inlineStr">
        <is>
          <t>624400</t>
        </is>
      </c>
      <c r="C370" t="inlineStr">
        <is>
          <t>Line item</t>
        </is>
      </c>
      <c r="D370" t="n">
        <v>1091.9</v>
      </c>
      <c r="E370" t="n">
        <v>1085.6</v>
      </c>
      <c r="F370" t="n">
        <v>-6.3</v>
      </c>
      <c r="G370" t="n">
        <v>-0.6</v>
      </c>
      <c r="H370" t="n">
        <v>-0.1</v>
      </c>
      <c r="I370" t="n">
        <v>65.40000000000001</v>
      </c>
      <c r="J370" t="n">
        <v>66.40000000000001</v>
      </c>
      <c r="K370" t="n">
        <v>0.2</v>
      </c>
    </row>
    <row r="371">
      <c r="A371" t="inlineStr">
        <is>
          <t xml:space="preserve">    Arts, entertainment, and recreation</t>
        </is>
      </c>
      <c r="B371" t="inlineStr">
        <is>
          <t>710000</t>
        </is>
      </c>
      <c r="C371" t="inlineStr">
        <is>
          <t>Summary</t>
        </is>
      </c>
      <c r="D371" t="n">
        <v>2622.4</v>
      </c>
      <c r="E371" t="n">
        <v>2755</v>
      </c>
      <c r="F371" t="n">
        <v>132.6</v>
      </c>
      <c r="G371" t="n">
        <v>5.1</v>
      </c>
      <c r="H371" t="n">
        <v>0.5</v>
      </c>
      <c r="I371" t="n">
        <v>439.4</v>
      </c>
      <c r="J371" t="n">
        <v>545.7</v>
      </c>
      <c r="K371" t="n">
        <v>2.2</v>
      </c>
      <c r="L371" t="inlineStr">
        <is>
          <t>ISIC 90T93</t>
        </is>
      </c>
    </row>
    <row r="372">
      <c r="A372" t="inlineStr">
        <is>
          <t xml:space="preserve">      Performing arts, spectator sports, and related industries</t>
        </is>
      </c>
      <c r="B372" t="inlineStr">
        <is>
          <t>711000</t>
        </is>
      </c>
      <c r="C372" t="inlineStr">
        <is>
          <t>Summary</t>
        </is>
      </c>
      <c r="D372" t="n">
        <v>590.2</v>
      </c>
      <c r="E372" t="n">
        <v>618.1</v>
      </c>
      <c r="F372" t="n">
        <v>27.9</v>
      </c>
      <c r="G372" t="n">
        <v>4.7</v>
      </c>
      <c r="H372" t="n">
        <v>0.5</v>
      </c>
      <c r="I372" t="n">
        <v>231.5</v>
      </c>
      <c r="J372" t="n">
        <v>288.1</v>
      </c>
      <c r="K372" t="n">
        <v>2.2</v>
      </c>
    </row>
    <row r="373">
      <c r="A373" t="inlineStr">
        <is>
          <t xml:space="preserve">        Performing arts companies</t>
        </is>
      </c>
      <c r="B373" t="inlineStr">
        <is>
          <t>711100</t>
        </is>
      </c>
      <c r="C373" t="inlineStr">
        <is>
          <t>Summary</t>
        </is>
      </c>
      <c r="D373" t="n">
        <v>142.1</v>
      </c>
      <c r="E373" t="n">
        <v>147.2</v>
      </c>
      <c r="F373" t="n">
        <v>5.1</v>
      </c>
      <c r="G373" t="n">
        <v>3.6</v>
      </c>
      <c r="H373" t="n">
        <v>0.4</v>
      </c>
      <c r="I373" t="n">
        <v>29.8</v>
      </c>
      <c r="J373" t="n">
        <v>36.9</v>
      </c>
      <c r="K373" t="n">
        <v>2.1</v>
      </c>
    </row>
    <row r="374">
      <c r="A374" t="inlineStr">
        <is>
          <t xml:space="preserve">          Theater companies and dinner theaters</t>
        </is>
      </c>
      <c r="B374" t="inlineStr">
        <is>
          <t>711110</t>
        </is>
      </c>
      <c r="C374" t="inlineStr">
        <is>
          <t>Line item</t>
        </is>
      </c>
      <c r="D374" t="n">
        <v>76.3</v>
      </c>
      <c r="E374" t="n">
        <v>78.90000000000001</v>
      </c>
      <c r="F374" t="n">
        <v>2.6</v>
      </c>
      <c r="G374" t="n">
        <v>3.4</v>
      </c>
      <c r="H374" t="n">
        <v>0.3</v>
      </c>
      <c r="I374" t="inlineStr">
        <is>
          <t>—</t>
        </is>
      </c>
      <c r="J374" t="inlineStr">
        <is>
          <t>—</t>
        </is>
      </c>
      <c r="K374" t="inlineStr">
        <is>
          <t>—</t>
        </is>
      </c>
    </row>
    <row r="375">
      <c r="A375" t="inlineStr">
        <is>
          <t xml:space="preserve">        Spectator sports</t>
        </is>
      </c>
      <c r="B375" t="inlineStr">
        <is>
          <t>711200</t>
        </is>
      </c>
      <c r="C375" t="inlineStr">
        <is>
          <t>Line item</t>
        </is>
      </c>
      <c r="D375" t="n">
        <v>171.5</v>
      </c>
      <c r="E375" t="n">
        <v>179.6</v>
      </c>
      <c r="F375" t="n">
        <v>8.1</v>
      </c>
      <c r="G375" t="n">
        <v>4.7</v>
      </c>
      <c r="H375" t="n">
        <v>0.5</v>
      </c>
      <c r="I375" t="n">
        <v>63.9</v>
      </c>
      <c r="J375" t="n">
        <v>78.40000000000001</v>
      </c>
      <c r="K375" t="n">
        <v>2.1</v>
      </c>
    </row>
    <row r="376">
      <c r="A376" t="inlineStr">
        <is>
          <t xml:space="preserve">        Promoters of performing arts and sports, and agents for public figures</t>
        </is>
      </c>
      <c r="B376" t="inlineStr">
        <is>
          <t>7113-4</t>
        </is>
      </c>
      <c r="C376" t="inlineStr">
        <is>
          <t>Summary</t>
        </is>
      </c>
      <c r="D376" t="n">
        <v>214.4</v>
      </c>
      <c r="E376" t="n">
        <v>230.1</v>
      </c>
      <c r="F376" t="n">
        <v>15.7</v>
      </c>
      <c r="G376" t="n">
        <v>7.3</v>
      </c>
      <c r="H376" t="n">
        <v>0.7</v>
      </c>
      <c r="I376" t="n">
        <v>83.40000000000001</v>
      </c>
      <c r="J376" t="n">
        <v>103.6</v>
      </c>
      <c r="K376" t="n">
        <v>2.2</v>
      </c>
    </row>
    <row r="377">
      <c r="A377" t="inlineStr">
        <is>
          <t xml:space="preserve">          Promoters of performing arts, sports, and similar events</t>
        </is>
      </c>
      <c r="B377" t="inlineStr">
        <is>
          <t>711300</t>
        </is>
      </c>
      <c r="C377" t="inlineStr">
        <is>
          <t>Line item</t>
        </is>
      </c>
      <c r="D377" t="n">
        <v>183.3</v>
      </c>
      <c r="E377" t="n">
        <v>195.8</v>
      </c>
      <c r="F377" t="n">
        <v>12.5</v>
      </c>
      <c r="G377" t="n">
        <v>6.8</v>
      </c>
      <c r="H377" t="n">
        <v>0.7</v>
      </c>
      <c r="I377" t="inlineStr">
        <is>
          <t>—</t>
        </is>
      </c>
      <c r="J377" t="inlineStr">
        <is>
          <t>—</t>
        </is>
      </c>
      <c r="K377" t="inlineStr">
        <is>
          <t>—</t>
        </is>
      </c>
    </row>
    <row r="378">
      <c r="A378" t="inlineStr">
        <is>
          <t xml:space="preserve">          Agents and managers for artists, athletes, entertainers, and other public figures</t>
        </is>
      </c>
      <c r="B378" t="inlineStr">
        <is>
          <t>711400</t>
        </is>
      </c>
      <c r="C378" t="inlineStr">
        <is>
          <t>Line item</t>
        </is>
      </c>
      <c r="D378" t="n">
        <v>31.1</v>
      </c>
      <c r="E378" t="n">
        <v>34.3</v>
      </c>
      <c r="F378" t="n">
        <v>3.2</v>
      </c>
      <c r="G378" t="n">
        <v>10.3</v>
      </c>
      <c r="H378" t="n">
        <v>1</v>
      </c>
      <c r="I378" t="inlineStr">
        <is>
          <t>—</t>
        </is>
      </c>
      <c r="J378" t="inlineStr">
        <is>
          <t>—</t>
        </is>
      </c>
      <c r="K378" t="inlineStr">
        <is>
          <t>—</t>
        </is>
      </c>
    </row>
    <row r="379">
      <c r="A379" t="inlineStr">
        <is>
          <t xml:space="preserve">        Independent artists, writers, and performers</t>
        </is>
      </c>
      <c r="B379" t="inlineStr">
        <is>
          <t>711500</t>
        </is>
      </c>
      <c r="C379" t="inlineStr">
        <is>
          <t>Line item</t>
        </is>
      </c>
      <c r="D379" t="n">
        <v>62.2</v>
      </c>
      <c r="E379" t="n">
        <v>61.2</v>
      </c>
      <c r="F379" t="n">
        <v>-1</v>
      </c>
      <c r="G379" t="n">
        <v>-1.5</v>
      </c>
      <c r="H379" t="n">
        <v>-0.2</v>
      </c>
      <c r="I379" t="n">
        <v>55.2</v>
      </c>
      <c r="J379" t="n">
        <v>70.2</v>
      </c>
      <c r="K379" t="n">
        <v>2.4</v>
      </c>
    </row>
    <row r="380">
      <c r="A380" t="inlineStr">
        <is>
          <t xml:space="preserve">      Museums, historical sites, and similar institutions</t>
        </is>
      </c>
      <c r="B380" t="inlineStr">
        <is>
          <t>712000</t>
        </is>
      </c>
      <c r="C380" t="inlineStr">
        <is>
          <t>Line item</t>
        </is>
      </c>
      <c r="D380" t="n">
        <v>179</v>
      </c>
      <c r="E380" t="n">
        <v>194</v>
      </c>
      <c r="F380" t="n">
        <v>15</v>
      </c>
      <c r="G380" t="n">
        <v>8.4</v>
      </c>
      <c r="H380" t="n">
        <v>0.8</v>
      </c>
      <c r="I380" t="n">
        <v>20.6</v>
      </c>
      <c r="J380" t="n">
        <v>27.2</v>
      </c>
      <c r="K380" t="n">
        <v>2.9</v>
      </c>
    </row>
    <row r="381">
      <c r="A381" t="inlineStr">
        <is>
          <t xml:space="preserve">      Amusement, gambling, and recreation industries</t>
        </is>
      </c>
      <c r="B381" t="inlineStr">
        <is>
          <t>713000</t>
        </is>
      </c>
      <c r="C381" t="inlineStr">
        <is>
          <t>Summary</t>
        </is>
      </c>
      <c r="D381" t="n">
        <v>1853.2</v>
      </c>
      <c r="E381" t="n">
        <v>1942.9</v>
      </c>
      <c r="F381" t="n">
        <v>89.7</v>
      </c>
      <c r="G381" t="n">
        <v>4.8</v>
      </c>
      <c r="H381" t="n">
        <v>0.5</v>
      </c>
      <c r="I381" t="n">
        <v>188.3</v>
      </c>
      <c r="J381" t="n">
        <v>231.6</v>
      </c>
      <c r="K381" t="n">
        <v>2.1</v>
      </c>
    </row>
    <row r="382">
      <c r="A382" t="inlineStr">
        <is>
          <t xml:space="preserve">        Amusement parks and arcades</t>
        </is>
      </c>
      <c r="B382" t="inlineStr">
        <is>
          <t>713100</t>
        </is>
      </c>
      <c r="C382" t="inlineStr">
        <is>
          <t>Line item</t>
        </is>
      </c>
      <c r="D382" t="n">
        <v>232.7</v>
      </c>
      <c r="E382" t="n">
        <v>243</v>
      </c>
      <c r="F382" t="n">
        <v>10.3</v>
      </c>
      <c r="G382" t="n">
        <v>4.4</v>
      </c>
      <c r="H382" t="n">
        <v>0.4</v>
      </c>
      <c r="I382" t="n">
        <v>30.3</v>
      </c>
      <c r="J382" t="n">
        <v>37.8</v>
      </c>
      <c r="K382" t="n">
        <v>2.2</v>
      </c>
    </row>
    <row r="383">
      <c r="A383" t="inlineStr">
        <is>
          <t xml:space="preserve">        Gambling industries (except casino hotels)</t>
        </is>
      </c>
      <c r="B383" t="inlineStr">
        <is>
          <t>713200</t>
        </is>
      </c>
      <c r="C383" t="inlineStr">
        <is>
          <t>Line item</t>
        </is>
      </c>
      <c r="D383" t="n">
        <v>123.3</v>
      </c>
      <c r="E383" t="n">
        <v>104.2</v>
      </c>
      <c r="F383" t="n">
        <v>-19.1</v>
      </c>
      <c r="G383" t="n">
        <v>-15.5</v>
      </c>
      <c r="H383" t="n">
        <v>-1.7</v>
      </c>
      <c r="I383" t="n">
        <v>45.3</v>
      </c>
      <c r="J383" t="n">
        <v>53.1</v>
      </c>
      <c r="K383" t="n">
        <v>1.6</v>
      </c>
    </row>
    <row r="384">
      <c r="A384" t="inlineStr">
        <is>
          <t xml:space="preserve">        Other amusement and recreation industries</t>
        </is>
      </c>
      <c r="B384" t="inlineStr">
        <is>
          <t>713900</t>
        </is>
      </c>
      <c r="C384" t="inlineStr">
        <is>
          <t>Summary</t>
        </is>
      </c>
      <c r="D384" t="n">
        <v>1497.2</v>
      </c>
      <c r="E384" t="n">
        <v>1595.8</v>
      </c>
      <c r="F384" t="n">
        <v>98.59999999999999</v>
      </c>
      <c r="G384" t="n">
        <v>6.6</v>
      </c>
      <c r="H384" t="n">
        <v>0.6</v>
      </c>
      <c r="I384" t="n">
        <v>112.9</v>
      </c>
      <c r="J384" t="n">
        <v>140.9</v>
      </c>
      <c r="K384" t="n">
        <v>2.2</v>
      </c>
    </row>
    <row r="385">
      <c r="A385" t="inlineStr">
        <is>
          <t xml:space="preserve">          Fitness and recreational sports centers</t>
        </is>
      </c>
      <c r="B385" t="inlineStr">
        <is>
          <t>713940</t>
        </is>
      </c>
      <c r="C385" t="inlineStr">
        <is>
          <t>Line item</t>
        </is>
      </c>
      <c r="D385" t="n">
        <v>652</v>
      </c>
      <c r="E385" t="n">
        <v>718.1</v>
      </c>
      <c r="F385" t="n">
        <v>66.09999999999999</v>
      </c>
      <c r="G385" t="n">
        <v>10.1</v>
      </c>
      <c r="H385" t="n">
        <v>1</v>
      </c>
      <c r="I385" t="inlineStr">
        <is>
          <t>—</t>
        </is>
      </c>
      <c r="J385" t="inlineStr">
        <is>
          <t>—</t>
        </is>
      </c>
      <c r="K385" t="inlineStr">
        <is>
          <t>—</t>
        </is>
      </c>
    </row>
    <row r="386">
      <c r="A386" t="inlineStr">
        <is>
          <t xml:space="preserve">    Accommodation and food services</t>
        </is>
      </c>
      <c r="B386" t="inlineStr">
        <is>
          <t>720000</t>
        </is>
      </c>
      <c r="C386" t="inlineStr">
        <is>
          <t>Summary</t>
        </is>
      </c>
      <c r="D386" t="n">
        <v>14195.8</v>
      </c>
      <c r="E386" t="n">
        <v>14749.4</v>
      </c>
      <c r="F386" t="n">
        <v>553.6</v>
      </c>
      <c r="G386" t="n">
        <v>3.9</v>
      </c>
      <c r="H386" t="n">
        <v>0.4</v>
      </c>
      <c r="I386" t="n">
        <v>1303.7</v>
      </c>
      <c r="J386" t="n">
        <v>1639.9</v>
      </c>
      <c r="K386" t="n">
        <v>2.3</v>
      </c>
      <c r="L386" t="inlineStr">
        <is>
          <t>ISIC 55T56</t>
        </is>
      </c>
    </row>
    <row r="387">
      <c r="A387" t="inlineStr">
        <is>
          <t xml:space="preserve">      Accommodation</t>
        </is>
      </c>
      <c r="B387" t="inlineStr">
        <is>
          <t>721000</t>
        </is>
      </c>
      <c r="C387" t="inlineStr">
        <is>
          <t>Summary</t>
        </is>
      </c>
      <c r="D387" t="n">
        <v>1934.9</v>
      </c>
      <c r="E387" t="n">
        <v>2019.8</v>
      </c>
      <c r="F387" t="n">
        <v>84.90000000000001</v>
      </c>
      <c r="G387" t="n">
        <v>4.4</v>
      </c>
      <c r="H387" t="n">
        <v>0.4</v>
      </c>
      <c r="I387" t="n">
        <v>309.1</v>
      </c>
      <c r="J387" t="n">
        <v>411.1</v>
      </c>
      <c r="K387" t="n">
        <v>2.9</v>
      </c>
    </row>
    <row r="388">
      <c r="A388" t="inlineStr">
        <is>
          <t xml:space="preserve">        Traveler accommodation</t>
        </is>
      </c>
      <c r="B388" t="inlineStr">
        <is>
          <t>721100</t>
        </is>
      </c>
      <c r="C388" t="inlineStr">
        <is>
          <t>Summary</t>
        </is>
      </c>
      <c r="D388" t="n">
        <v>1851.3</v>
      </c>
      <c r="E388" t="n">
        <v>1935.7</v>
      </c>
      <c r="F388" t="n">
        <v>84.3</v>
      </c>
      <c r="G388" t="n">
        <v>4.6</v>
      </c>
      <c r="H388" t="n">
        <v>0.4</v>
      </c>
      <c r="I388" t="inlineStr">
        <is>
          <t>—</t>
        </is>
      </c>
      <c r="J388" t="inlineStr">
        <is>
          <t>—</t>
        </is>
      </c>
      <c r="K388" t="inlineStr">
        <is>
          <t>—</t>
        </is>
      </c>
    </row>
    <row r="389">
      <c r="A389" t="inlineStr">
        <is>
          <t xml:space="preserve">          Casino hotels</t>
        </is>
      </c>
      <c r="B389" t="inlineStr">
        <is>
          <t>721120</t>
        </is>
      </c>
      <c r="C389" t="inlineStr">
        <is>
          <t>Line item</t>
        </is>
      </c>
      <c r="D389" t="n">
        <v>252.8</v>
      </c>
      <c r="E389" t="n">
        <v>259.3</v>
      </c>
      <c r="F389" t="n">
        <v>6.5</v>
      </c>
      <c r="G389" t="n">
        <v>2.6</v>
      </c>
      <c r="H389" t="n">
        <v>0.3</v>
      </c>
      <c r="I389" t="inlineStr">
        <is>
          <t>—</t>
        </is>
      </c>
      <c r="J389" t="inlineStr">
        <is>
          <t>—</t>
        </is>
      </c>
      <c r="K389" t="inlineStr">
        <is>
          <t>—</t>
        </is>
      </c>
    </row>
    <row r="390">
      <c r="A390" t="inlineStr">
        <is>
          <t xml:space="preserve">        RV (recreational vehicle) parks and recreational camps</t>
        </is>
      </c>
      <c r="B390" t="inlineStr">
        <is>
          <t>721200</t>
        </is>
      </c>
      <c r="C390" t="inlineStr">
        <is>
          <t>Line item</t>
        </is>
      </c>
      <c r="D390" t="n">
        <v>73.2</v>
      </c>
      <c r="E390" t="n">
        <v>73.7</v>
      </c>
      <c r="F390" t="n">
        <v>0.5</v>
      </c>
      <c r="G390" t="n">
        <v>0.7</v>
      </c>
      <c r="H390" t="n">
        <v>0.1</v>
      </c>
      <c r="I390" t="inlineStr">
        <is>
          <t>—</t>
        </is>
      </c>
      <c r="J390" t="inlineStr">
        <is>
          <t>—</t>
        </is>
      </c>
      <c r="K390" t="inlineStr">
        <is>
          <t>—</t>
        </is>
      </c>
    </row>
    <row r="391">
      <c r="A391" t="inlineStr">
        <is>
          <t xml:space="preserve">        Rooming and boarding houses, dormitories, and workers' camps</t>
        </is>
      </c>
      <c r="B391" t="inlineStr">
        <is>
          <t>721300</t>
        </is>
      </c>
      <c r="C391" t="inlineStr">
        <is>
          <t>Line item</t>
        </is>
      </c>
      <c r="D391" t="n">
        <v>10.4</v>
      </c>
      <c r="E391" t="n">
        <v>10.4</v>
      </c>
      <c r="F391" t="n">
        <v>0</v>
      </c>
      <c r="G391" t="n">
        <v>0.5</v>
      </c>
      <c r="H391" t="n">
        <v>0</v>
      </c>
      <c r="I391" t="inlineStr">
        <is>
          <t>—</t>
        </is>
      </c>
      <c r="J391" t="inlineStr">
        <is>
          <t>—</t>
        </is>
      </c>
      <c r="K391" t="inlineStr">
        <is>
          <t>—</t>
        </is>
      </c>
    </row>
    <row r="392">
      <c r="A392" t="inlineStr">
        <is>
          <t xml:space="preserve">      Food services and drinking places</t>
        </is>
      </c>
      <c r="B392" t="inlineStr">
        <is>
          <t>722000</t>
        </is>
      </c>
      <c r="C392" t="inlineStr">
        <is>
          <t>Summary</t>
        </is>
      </c>
      <c r="D392" t="n">
        <v>12260.9</v>
      </c>
      <c r="E392" t="n">
        <v>12729.6</v>
      </c>
      <c r="F392" t="n">
        <v>468.7</v>
      </c>
      <c r="G392" t="n">
        <v>3.8</v>
      </c>
      <c r="H392" t="n">
        <v>0.4</v>
      </c>
      <c r="I392" t="n">
        <v>994.2</v>
      </c>
      <c r="J392" t="n">
        <v>1230.1</v>
      </c>
      <c r="K392" t="n">
        <v>2.2</v>
      </c>
    </row>
    <row r="393">
      <c r="A393" t="inlineStr">
        <is>
          <t xml:space="preserve">        Full-service restaurants</t>
        </is>
      </c>
      <c r="B393" t="inlineStr">
        <is>
          <t>722511</t>
        </is>
      </c>
      <c r="C393" t="inlineStr">
        <is>
          <t>Line item</t>
        </is>
      </c>
      <c r="D393" t="n">
        <v>5385.1</v>
      </c>
      <c r="E393" t="n">
        <v>5517.7</v>
      </c>
      <c r="F393" t="n">
        <v>132.6</v>
      </c>
      <c r="G393" t="n">
        <v>2.5</v>
      </c>
      <c r="H393" t="n">
        <v>0.2</v>
      </c>
      <c r="I393" t="n">
        <v>452.7</v>
      </c>
      <c r="J393" t="n">
        <v>550.2</v>
      </c>
      <c r="K393" t="n">
        <v>2</v>
      </c>
    </row>
    <row r="394">
      <c r="A394" t="inlineStr">
        <is>
          <t xml:space="preserve">          Special food services</t>
        </is>
      </c>
      <c r="B394" t="inlineStr">
        <is>
          <t>722300</t>
        </is>
      </c>
      <c r="C394" t="inlineStr">
        <is>
          <t>Line item</t>
        </is>
      </c>
      <c r="D394" t="n">
        <v>778.3</v>
      </c>
      <c r="E394" t="n">
        <v>822.1</v>
      </c>
      <c r="F394" t="n">
        <v>43.8</v>
      </c>
      <c r="G394" t="n">
        <v>5.6</v>
      </c>
      <c r="H394" t="n">
        <v>0.5</v>
      </c>
      <c r="I394" t="inlineStr">
        <is>
          <t>—</t>
        </is>
      </c>
      <c r="J394" t="inlineStr">
        <is>
          <t>—</t>
        </is>
      </c>
      <c r="K394" t="inlineStr">
        <is>
          <t>—</t>
        </is>
      </c>
    </row>
    <row r="395">
      <c r="A395" t="inlineStr">
        <is>
          <t xml:space="preserve">          Drinking places (alcoholic beverages)</t>
        </is>
      </c>
      <c r="B395" t="inlineStr">
        <is>
          <t>722400</t>
        </is>
      </c>
      <c r="C395" t="inlineStr">
        <is>
          <t>Line item</t>
        </is>
      </c>
      <c r="D395" t="n">
        <v>421.2</v>
      </c>
      <c r="E395" t="n">
        <v>439.9</v>
      </c>
      <c r="F395" t="n">
        <v>18.7</v>
      </c>
      <c r="G395" t="n">
        <v>4.4</v>
      </c>
      <c r="H395" t="n">
        <v>0.4</v>
      </c>
      <c r="I395" t="inlineStr">
        <is>
          <t>—</t>
        </is>
      </c>
      <c r="J395" t="inlineStr">
        <is>
          <t>—</t>
        </is>
      </c>
      <c r="K395" t="inlineStr">
        <is>
          <t>—</t>
        </is>
      </c>
    </row>
    <row r="396">
      <c r="A396" t="inlineStr">
        <is>
          <t xml:space="preserve">    Other services (except public administration)</t>
        </is>
      </c>
      <c r="B396" t="inlineStr">
        <is>
          <t>810000</t>
        </is>
      </c>
      <c r="C396" t="inlineStr">
        <is>
          <t>Summary</t>
        </is>
      </c>
      <c r="D396" t="n">
        <v>6615.9</v>
      </c>
      <c r="E396" t="n">
        <v>6808.5</v>
      </c>
      <c r="F396" t="n">
        <v>192.5</v>
      </c>
      <c r="G396" t="n">
        <v>2.9</v>
      </c>
      <c r="H396" t="n">
        <v>0.3</v>
      </c>
      <c r="I396" t="n">
        <v>786.2</v>
      </c>
      <c r="J396" t="n">
        <v>962.5</v>
      </c>
      <c r="K396" t="n">
        <v>2</v>
      </c>
    </row>
    <row r="397">
      <c r="A397" t="inlineStr">
        <is>
          <t xml:space="preserve">      Repair and maintenance</t>
        </is>
      </c>
      <c r="B397" t="inlineStr">
        <is>
          <t>811000</t>
        </is>
      </c>
      <c r="C397" t="inlineStr">
        <is>
          <t>Summary</t>
        </is>
      </c>
      <c r="D397" t="n">
        <v>1466.8</v>
      </c>
      <c r="E397" t="n">
        <v>1512</v>
      </c>
      <c r="F397" t="n">
        <v>45.2</v>
      </c>
      <c r="G397" t="n">
        <v>3.1</v>
      </c>
      <c r="H397" t="n">
        <v>0.3</v>
      </c>
      <c r="I397" t="n">
        <v>239.7</v>
      </c>
      <c r="J397" t="n">
        <v>287.3</v>
      </c>
      <c r="K397" t="n">
        <v>1.8</v>
      </c>
    </row>
    <row r="398">
      <c r="A398" t="inlineStr">
        <is>
          <t xml:space="preserve">        Automotive repair and maintenance</t>
        </is>
      </c>
      <c r="B398" t="inlineStr">
        <is>
          <t>811100</t>
        </is>
      </c>
      <c r="C398" t="inlineStr">
        <is>
          <t>Summary</t>
        </is>
      </c>
      <c r="D398" t="n">
        <v>1036</v>
      </c>
      <c r="E398" t="n">
        <v>1052</v>
      </c>
      <c r="F398" t="n">
        <v>16</v>
      </c>
      <c r="G398" t="n">
        <v>1.5</v>
      </c>
      <c r="H398" t="n">
        <v>0.2</v>
      </c>
      <c r="I398" t="n">
        <v>153.3</v>
      </c>
      <c r="J398" t="n">
        <v>183.5</v>
      </c>
      <c r="K398" t="n">
        <v>1.8</v>
      </c>
      <c r="L398" t="inlineStr">
        <is>
          <t>ISIC 45T47</t>
        </is>
      </c>
    </row>
    <row r="399">
      <c r="A399" t="inlineStr">
        <is>
          <t xml:space="preserve">          Automotive mechanical and electrical repair and maintenance</t>
        </is>
      </c>
      <c r="B399" t="inlineStr">
        <is>
          <t>811110</t>
        </is>
      </c>
      <c r="C399" t="inlineStr">
        <is>
          <t>Line item</t>
        </is>
      </c>
      <c r="D399" t="n">
        <v>444</v>
      </c>
      <c r="E399" t="n">
        <v>450.3</v>
      </c>
      <c r="F399" t="n">
        <v>6.3</v>
      </c>
      <c r="G399" t="n">
        <v>1.4</v>
      </c>
      <c r="H399" t="n">
        <v>0.1</v>
      </c>
      <c r="I399" t="inlineStr">
        <is>
          <t>—</t>
        </is>
      </c>
      <c r="J399" t="inlineStr">
        <is>
          <t>—</t>
        </is>
      </c>
      <c r="K399" t="inlineStr">
        <is>
          <t>—</t>
        </is>
      </c>
    </row>
    <row r="400">
      <c r="A400" t="inlineStr">
        <is>
          <t xml:space="preserve">          Automotive body, paint, interior, and glass repair</t>
        </is>
      </c>
      <c r="B400" t="inlineStr">
        <is>
          <t>811120</t>
        </is>
      </c>
      <c r="C400" t="inlineStr">
        <is>
          <t>Line item</t>
        </is>
      </c>
      <c r="D400" t="n">
        <v>297.5</v>
      </c>
      <c r="E400" t="n">
        <v>305.1</v>
      </c>
      <c r="F400" t="n">
        <v>7.6</v>
      </c>
      <c r="G400" t="n">
        <v>2.6</v>
      </c>
      <c r="H400" t="n">
        <v>0.3</v>
      </c>
      <c r="I400" t="inlineStr">
        <is>
          <t>—</t>
        </is>
      </c>
      <c r="J400" t="inlineStr">
        <is>
          <t>—</t>
        </is>
      </c>
      <c r="K400" t="inlineStr">
        <is>
          <t>—</t>
        </is>
      </c>
    </row>
    <row r="401">
      <c r="A401" t="inlineStr">
        <is>
          <t xml:space="preserve">          Other automotive repair and maintenance</t>
        </is>
      </c>
      <c r="B401" t="inlineStr">
        <is>
          <t>811190</t>
        </is>
      </c>
      <c r="C401" t="inlineStr">
        <is>
          <t>Line item</t>
        </is>
      </c>
      <c r="D401" t="n">
        <v>294.5</v>
      </c>
      <c r="E401" t="n">
        <v>296.7</v>
      </c>
      <c r="F401" t="n">
        <v>2.2</v>
      </c>
      <c r="G401" t="n">
        <v>0.7</v>
      </c>
      <c r="H401" t="n">
        <v>0.1</v>
      </c>
      <c r="I401" t="inlineStr">
        <is>
          <t>—</t>
        </is>
      </c>
      <c r="J401" t="inlineStr">
        <is>
          <t>—</t>
        </is>
      </c>
      <c r="K401" t="inlineStr">
        <is>
          <t>—</t>
        </is>
      </c>
    </row>
    <row r="402">
      <c r="A402" t="inlineStr">
        <is>
          <t xml:space="preserve">        Electronic and precision equipment repair and maintenance</t>
        </is>
      </c>
      <c r="B402" t="inlineStr">
        <is>
          <t>811200</t>
        </is>
      </c>
      <c r="C402" t="inlineStr">
        <is>
          <t>Line item</t>
        </is>
      </c>
      <c r="D402" t="n">
        <v>104.7</v>
      </c>
      <c r="E402" t="n">
        <v>109.6</v>
      </c>
      <c r="F402" t="n">
        <v>4.9</v>
      </c>
      <c r="G402" t="n">
        <v>4.7</v>
      </c>
      <c r="H402" t="n">
        <v>0.5</v>
      </c>
      <c r="I402" t="n">
        <v>19.9</v>
      </c>
      <c r="J402" t="n">
        <v>23.2</v>
      </c>
      <c r="K402" t="n">
        <v>1.5</v>
      </c>
      <c r="L402" t="inlineStr">
        <is>
          <t>ISIC 94T96</t>
        </is>
      </c>
    </row>
    <row r="403">
      <c r="A403" t="inlineStr">
        <is>
          <t xml:space="preserve">        Commercial and industrial machinery and equipment (except automotive and electronic) repair and maintenance</t>
        </is>
      </c>
      <c r="B403" t="inlineStr">
        <is>
          <t>811300</t>
        </is>
      </c>
      <c r="C403" t="inlineStr">
        <is>
          <t>Line item</t>
        </is>
      </c>
      <c r="D403" t="n">
        <v>243.6</v>
      </c>
      <c r="E403" t="n">
        <v>263</v>
      </c>
      <c r="F403" t="n">
        <v>19.4</v>
      </c>
      <c r="G403" t="n">
        <v>7.9</v>
      </c>
      <c r="H403" t="n">
        <v>0.8</v>
      </c>
      <c r="I403" t="n">
        <v>41.2</v>
      </c>
      <c r="J403" t="n">
        <v>49.2</v>
      </c>
      <c r="K403" t="n">
        <v>1.8</v>
      </c>
      <c r="L403" t="inlineStr">
        <is>
          <t>ISIC 31T33</t>
        </is>
      </c>
    </row>
    <row r="404">
      <c r="A404" t="inlineStr">
        <is>
          <t xml:space="preserve">        Personal and household goods repair and maintenance</t>
        </is>
      </c>
      <c r="B404" t="inlineStr">
        <is>
          <t>811400</t>
        </is>
      </c>
      <c r="C404" t="inlineStr">
        <is>
          <t>Line item</t>
        </is>
      </c>
      <c r="D404" t="n">
        <v>82.5</v>
      </c>
      <c r="E404" t="n">
        <v>87.40000000000001</v>
      </c>
      <c r="F404" t="n">
        <v>4.9</v>
      </c>
      <c r="G404" t="n">
        <v>5.9</v>
      </c>
      <c r="H404" t="n">
        <v>0.6</v>
      </c>
      <c r="I404" t="n">
        <v>25.3</v>
      </c>
      <c r="J404" t="n">
        <v>31.2</v>
      </c>
      <c r="K404" t="n">
        <v>2.1</v>
      </c>
      <c r="L404" t="inlineStr">
        <is>
          <t>ISIC 94T96</t>
        </is>
      </c>
    </row>
    <row r="405">
      <c r="A405" t="inlineStr">
        <is>
          <t xml:space="preserve">      Personal and laundry services</t>
        </is>
      </c>
      <c r="B405" t="inlineStr">
        <is>
          <t>812000</t>
        </is>
      </c>
      <c r="C405" t="inlineStr">
        <is>
          <t>Summary</t>
        </is>
      </c>
      <c r="D405" t="n">
        <v>1589.2</v>
      </c>
      <c r="E405" t="n">
        <v>1706.1</v>
      </c>
      <c r="F405" t="n">
        <v>116.9</v>
      </c>
      <c r="G405" t="n">
        <v>7.4</v>
      </c>
      <c r="H405" t="n">
        <v>0.7</v>
      </c>
      <c r="I405" t="n">
        <v>238.8</v>
      </c>
      <c r="J405" t="n">
        <v>307.2</v>
      </c>
      <c r="K405" t="n">
        <v>2.5</v>
      </c>
      <c r="L405" t="inlineStr">
        <is>
          <t>ISIC 94T96</t>
        </is>
      </c>
    </row>
    <row r="406">
      <c r="A406" t="inlineStr">
        <is>
          <t xml:space="preserve">        Personal care services</t>
        </is>
      </c>
      <c r="B406" t="inlineStr">
        <is>
          <t>812100</t>
        </is>
      </c>
      <c r="C406" t="inlineStr">
        <is>
          <t>Line item</t>
        </is>
      </c>
      <c r="D406" t="n">
        <v>766.9</v>
      </c>
      <c r="E406" t="n">
        <v>835.1</v>
      </c>
      <c r="F406" t="n">
        <v>68.2</v>
      </c>
      <c r="G406" t="n">
        <v>8.9</v>
      </c>
      <c r="H406" t="n">
        <v>0.9</v>
      </c>
      <c r="I406" t="n">
        <v>87.7</v>
      </c>
      <c r="J406" t="n">
        <v>117.8</v>
      </c>
      <c r="K406" t="n">
        <v>3</v>
      </c>
    </row>
    <row r="407">
      <c r="A407" t="inlineStr">
        <is>
          <t xml:space="preserve">        Death care services</t>
        </is>
      </c>
      <c r="B407" t="inlineStr">
        <is>
          <t>812200</t>
        </is>
      </c>
      <c r="C407" t="inlineStr">
        <is>
          <t>Line item</t>
        </is>
      </c>
      <c r="D407" t="n">
        <v>136.4</v>
      </c>
      <c r="E407" t="n">
        <v>137.2</v>
      </c>
      <c r="F407" t="n">
        <v>0.8</v>
      </c>
      <c r="G407" t="n">
        <v>0.6</v>
      </c>
      <c r="H407" t="n">
        <v>0.1</v>
      </c>
      <c r="I407" t="n">
        <v>24.3</v>
      </c>
      <c r="J407" t="n">
        <v>26.6</v>
      </c>
      <c r="K407" t="n">
        <v>0.9</v>
      </c>
    </row>
    <row r="408">
      <c r="A408" t="inlineStr">
        <is>
          <t xml:space="preserve">        Drycleaning and laundry services</t>
        </is>
      </c>
      <c r="B408" t="inlineStr">
        <is>
          <t>812300</t>
        </is>
      </c>
      <c r="C408" t="inlineStr">
        <is>
          <t>Line item</t>
        </is>
      </c>
      <c r="D408" t="n">
        <v>261.6</v>
      </c>
      <c r="E408" t="n">
        <v>266.5</v>
      </c>
      <c r="F408" t="n">
        <v>4.9</v>
      </c>
      <c r="G408" t="n">
        <v>1.9</v>
      </c>
      <c r="H408" t="n">
        <v>0.2</v>
      </c>
      <c r="I408" t="n">
        <v>29.4</v>
      </c>
      <c r="J408" t="n">
        <v>34.5</v>
      </c>
      <c r="K408" t="n">
        <v>1.6</v>
      </c>
    </row>
    <row r="409">
      <c r="A409" t="inlineStr">
        <is>
          <t xml:space="preserve">        Other personal services</t>
        </is>
      </c>
      <c r="B409" t="inlineStr">
        <is>
          <t>812900</t>
        </is>
      </c>
      <c r="C409" t="inlineStr">
        <is>
          <t>Line item</t>
        </is>
      </c>
      <c r="D409" t="n">
        <v>424.3</v>
      </c>
      <c r="E409" t="n">
        <v>467.3</v>
      </c>
      <c r="F409" t="n">
        <v>43</v>
      </c>
      <c r="G409" t="n">
        <v>10.1</v>
      </c>
      <c r="H409" t="n">
        <v>1</v>
      </c>
      <c r="I409" t="n">
        <v>97</v>
      </c>
      <c r="J409" t="n">
        <v>127.6</v>
      </c>
      <c r="K409" t="n">
        <v>2.8</v>
      </c>
    </row>
    <row r="410">
      <c r="A410" t="inlineStr">
        <is>
          <t xml:space="preserve">      Religious, grantmaking, civic, professional, and similar organizations</t>
        </is>
      </c>
      <c r="B410" t="inlineStr">
        <is>
          <t>813000</t>
        </is>
      </c>
      <c r="C410" t="inlineStr">
        <is>
          <t>Summary</t>
        </is>
      </c>
      <c r="D410" t="n">
        <v>2909.5</v>
      </c>
      <c r="E410" t="n">
        <v>2937.3</v>
      </c>
      <c r="F410" t="n">
        <v>27.8</v>
      </c>
      <c r="G410" t="n">
        <v>1</v>
      </c>
      <c r="H410" t="n">
        <v>0.1</v>
      </c>
      <c r="I410" t="n">
        <v>289.9</v>
      </c>
      <c r="J410" t="n">
        <v>346.5</v>
      </c>
      <c r="K410" t="n">
        <v>1.8</v>
      </c>
      <c r="L410" t="inlineStr">
        <is>
          <t>ISIC 94T96</t>
        </is>
      </c>
    </row>
    <row r="411">
      <c r="A411" t="inlineStr">
        <is>
          <t xml:space="preserve">        Grantmaking and giving services and social advocacy organizations</t>
        </is>
      </c>
      <c r="B411" t="inlineStr">
        <is>
          <t>8132-3</t>
        </is>
      </c>
      <c r="C411" t="inlineStr">
        <is>
          <t>Summary</t>
        </is>
      </c>
      <c r="D411" t="n">
        <v>488.5</v>
      </c>
      <c r="E411" t="n">
        <v>519.7</v>
      </c>
      <c r="F411" t="n">
        <v>31.2</v>
      </c>
      <c r="G411" t="n">
        <v>6.4</v>
      </c>
      <c r="H411" t="n">
        <v>0.6</v>
      </c>
      <c r="I411" t="n">
        <v>82.40000000000001</v>
      </c>
      <c r="J411" t="n">
        <v>109.4</v>
      </c>
      <c r="K411" t="n">
        <v>2.9</v>
      </c>
    </row>
    <row r="412">
      <c r="A412" t="inlineStr">
        <is>
          <t xml:space="preserve">          Grantmaking and giving services</t>
        </is>
      </c>
      <c r="B412" t="inlineStr">
        <is>
          <t>813200</t>
        </is>
      </c>
      <c r="C412" t="inlineStr">
        <is>
          <t>Line item</t>
        </is>
      </c>
      <c r="D412" t="n">
        <v>203.7</v>
      </c>
      <c r="E412" t="n">
        <v>215.1</v>
      </c>
      <c r="F412" t="n">
        <v>11.4</v>
      </c>
      <c r="G412" t="n">
        <v>5.6</v>
      </c>
      <c r="H412" t="n">
        <v>0.5</v>
      </c>
      <c r="I412" t="inlineStr">
        <is>
          <t>—</t>
        </is>
      </c>
      <c r="J412" t="inlineStr">
        <is>
          <t>—</t>
        </is>
      </c>
      <c r="K412" t="inlineStr">
        <is>
          <t>—</t>
        </is>
      </c>
    </row>
    <row r="413">
      <c r="A413" t="inlineStr">
        <is>
          <t xml:space="preserve">          Social advocacy organizations</t>
        </is>
      </c>
      <c r="B413" t="inlineStr">
        <is>
          <t>813300</t>
        </is>
      </c>
      <c r="C413" t="inlineStr">
        <is>
          <t>Line item</t>
        </is>
      </c>
      <c r="D413" t="n">
        <v>284.8</v>
      </c>
      <c r="E413" t="n">
        <v>304.5</v>
      </c>
      <c r="F413" t="n">
        <v>19.7</v>
      </c>
      <c r="G413" t="n">
        <v>6.9</v>
      </c>
      <c r="H413" t="n">
        <v>0.7</v>
      </c>
      <c r="I413" t="inlineStr">
        <is>
          <t>—</t>
        </is>
      </c>
      <c r="J413" t="inlineStr">
        <is>
          <t>—</t>
        </is>
      </c>
      <c r="K413" t="inlineStr">
        <is>
          <t>—</t>
        </is>
      </c>
    </row>
    <row r="414">
      <c r="A414" t="inlineStr">
        <is>
          <t xml:space="preserve">        Civic, social, professional, and similar organizations</t>
        </is>
      </c>
      <c r="B414" t="inlineStr">
        <is>
          <t>8134-9</t>
        </is>
      </c>
      <c r="C414" t="inlineStr">
        <is>
          <t>Summary</t>
        </is>
      </c>
      <c r="D414" t="n">
        <v>847.6</v>
      </c>
      <c r="E414" t="n">
        <v>863.7</v>
      </c>
      <c r="F414" t="n">
        <v>16.1</v>
      </c>
      <c r="G414" t="n">
        <v>1.9</v>
      </c>
      <c r="H414" t="n">
        <v>0.2</v>
      </c>
      <c r="I414" t="n">
        <v>115.6</v>
      </c>
      <c r="J414" t="n">
        <v>141.5</v>
      </c>
      <c r="K414" t="n">
        <v>2</v>
      </c>
    </row>
    <row r="415">
      <c r="A415" t="inlineStr">
        <is>
          <t xml:space="preserve">          Civic and social organizations</t>
        </is>
      </c>
      <c r="B415" t="inlineStr">
        <is>
          <t>813400</t>
        </is>
      </c>
      <c r="C415" t="inlineStr">
        <is>
          <t>Line item</t>
        </is>
      </c>
      <c r="D415" t="n">
        <v>364.4</v>
      </c>
      <c r="E415" t="n">
        <v>375.7</v>
      </c>
      <c r="F415" t="n">
        <v>11.3</v>
      </c>
      <c r="G415" t="n">
        <v>3.1</v>
      </c>
      <c r="H415" t="n">
        <v>0.3</v>
      </c>
      <c r="I415" t="inlineStr">
        <is>
          <t>—</t>
        </is>
      </c>
      <c r="J415" t="inlineStr">
        <is>
          <t>—</t>
        </is>
      </c>
      <c r="K415" t="inlineStr">
        <is>
          <t>—</t>
        </is>
      </c>
    </row>
    <row r="416">
      <c r="A416" t="inlineStr">
        <is>
          <t xml:space="preserve">          Business, professional, labor, political, and similar organizations</t>
        </is>
      </c>
      <c r="B416" t="inlineStr">
        <is>
          <t>813900</t>
        </is>
      </c>
      <c r="C416" t="inlineStr">
        <is>
          <t>Summary</t>
        </is>
      </c>
      <c r="D416" t="n">
        <v>483.2</v>
      </c>
      <c r="E416" t="n">
        <v>488</v>
      </c>
      <c r="F416" t="n">
        <v>4.8</v>
      </c>
      <c r="G416" t="n">
        <v>1</v>
      </c>
      <c r="H416" t="n">
        <v>0.1</v>
      </c>
      <c r="I416" t="inlineStr">
        <is>
          <t>—</t>
        </is>
      </c>
      <c r="J416" t="inlineStr">
        <is>
          <t>—</t>
        </is>
      </c>
      <c r="K416" t="inlineStr">
        <is>
          <t>—</t>
        </is>
      </c>
    </row>
    <row r="417">
      <c r="A417" t="inlineStr">
        <is>
          <t xml:space="preserve">            Labor unions and similar labor organizations</t>
        </is>
      </c>
      <c r="B417" t="inlineStr">
        <is>
          <t>813930</t>
        </is>
      </c>
      <c r="C417" t="inlineStr">
        <is>
          <t>Line item</t>
        </is>
      </c>
      <c r="D417" t="n">
        <v>107.2</v>
      </c>
      <c r="E417" t="n">
        <v>103.6</v>
      </c>
      <c r="F417" t="n">
        <v>-3.6</v>
      </c>
      <c r="G417" t="n">
        <v>-3.3</v>
      </c>
      <c r="H417" t="n">
        <v>-0.3</v>
      </c>
      <c r="I417" t="inlineStr">
        <is>
          <t>—</t>
        </is>
      </c>
      <c r="J417" t="inlineStr">
        <is>
          <t>—</t>
        </is>
      </c>
      <c r="K417" t="inlineStr">
        <is>
          <t>—</t>
        </is>
      </c>
    </row>
    <row r="418">
      <c r="A418" t="inlineStr">
        <is>
          <t xml:space="preserve">      Private households</t>
        </is>
      </c>
      <c r="B418" t="inlineStr">
        <is>
          <t>814000</t>
        </is>
      </c>
      <c r="C418" t="inlineStr">
        <is>
          <t>Line item</t>
        </is>
      </c>
      <c r="D418" t="n">
        <v>650.4</v>
      </c>
      <c r="E418" t="n">
        <v>653</v>
      </c>
      <c r="F418" t="n">
        <v>2.6</v>
      </c>
      <c r="G418" t="n">
        <v>0.4</v>
      </c>
      <c r="H418" t="n">
        <v>0</v>
      </c>
      <c r="I418" t="n">
        <v>19.2</v>
      </c>
      <c r="J418" t="n">
        <v>23</v>
      </c>
      <c r="K418" t="n">
        <v>1.8</v>
      </c>
      <c r="L418" t="inlineStr">
        <is>
          <t>ISIC 97T98</t>
        </is>
      </c>
    </row>
    <row r="419">
      <c r="A419" t="inlineStr">
        <is>
          <t xml:space="preserve">    Government, excluding state and local education and hospitals</t>
        </is>
      </c>
      <c r="B419" t="inlineStr">
        <is>
          <t>900000</t>
        </is>
      </c>
      <c r="C419" t="inlineStr">
        <is>
          <t>Summary</t>
        </is>
      </c>
      <c r="D419" t="n">
        <v>11468</v>
      </c>
      <c r="E419" t="n">
        <v>11453.9</v>
      </c>
      <c r="F419" t="n">
        <v>-14.1</v>
      </c>
      <c r="G419" t="n">
        <v>-0.1</v>
      </c>
      <c r="H419" t="n">
        <v>0</v>
      </c>
      <c r="I419" t="inlineStr">
        <is>
          <t>—</t>
        </is>
      </c>
      <c r="J419" t="inlineStr">
        <is>
          <t>—</t>
        </is>
      </c>
      <c r="K419" t="inlineStr">
        <is>
          <t>—</t>
        </is>
      </c>
    </row>
    <row r="420">
      <c r="A420" t="inlineStr">
        <is>
          <t xml:space="preserve">      Federal government</t>
        </is>
      </c>
      <c r="B420" t="inlineStr">
        <is>
          <t>910000</t>
        </is>
      </c>
      <c r="C420" t="inlineStr">
        <is>
          <t>Summary</t>
        </is>
      </c>
      <c r="D420" t="n">
        <v>2999.5</v>
      </c>
      <c r="E420" t="n">
        <v>2862.9</v>
      </c>
      <c r="F420" t="n">
        <v>-136.6</v>
      </c>
      <c r="G420" t="n">
        <v>-4.6</v>
      </c>
      <c r="H420" t="n">
        <v>-0.5</v>
      </c>
      <c r="I420" t="n">
        <v>1278.1</v>
      </c>
      <c r="J420" t="n">
        <v>1325.2</v>
      </c>
      <c r="K420" t="n">
        <v>0.4</v>
      </c>
      <c r="L420" t="inlineStr">
        <is>
          <t>ISIC 84</t>
        </is>
      </c>
    </row>
    <row r="421">
      <c r="A421" t="inlineStr">
        <is>
          <t xml:space="preserve">        Postal service</t>
        </is>
      </c>
      <c r="B421" t="inlineStr">
        <is>
          <t>491000</t>
        </is>
      </c>
      <c r="C421" t="inlineStr">
        <is>
          <t>Line item</t>
        </is>
      </c>
      <c r="D421" t="n">
        <v>605.7</v>
      </c>
      <c r="E421" t="n">
        <v>578.2</v>
      </c>
      <c r="F421" t="n">
        <v>-27.5</v>
      </c>
      <c r="G421" t="n">
        <v>-4.5</v>
      </c>
      <c r="H421" t="n">
        <v>-0.5</v>
      </c>
      <c r="I421" t="n">
        <v>61.9</v>
      </c>
      <c r="J421" t="n">
        <v>69.8</v>
      </c>
      <c r="K421" t="n">
        <v>1.2</v>
      </c>
    </row>
    <row r="422">
      <c r="A422" t="inlineStr">
        <is>
          <t xml:space="preserve">        Federal government, excluding postal service</t>
        </is>
      </c>
      <c r="B422" t="inlineStr">
        <is>
          <t>999100</t>
        </is>
      </c>
      <c r="C422" t="inlineStr">
        <is>
          <t>Line item</t>
        </is>
      </c>
      <c r="D422" t="n">
        <v>2393.8</v>
      </c>
      <c r="E422" t="n">
        <v>2284.6</v>
      </c>
      <c r="F422" t="n">
        <v>-109.2</v>
      </c>
      <c r="G422" t="n">
        <v>-4.6</v>
      </c>
      <c r="H422" t="n">
        <v>-0.5</v>
      </c>
      <c r="I422" t="n">
        <v>1216.5</v>
      </c>
      <c r="J422" t="n">
        <v>1255.2</v>
      </c>
      <c r="K422" t="n">
        <v>0.3</v>
      </c>
    </row>
    <row r="423">
      <c r="A423" t="inlineStr">
        <is>
          <t xml:space="preserve">      State and local government, excluding education and hospitals</t>
        </is>
      </c>
      <c r="B423" t="inlineStr">
        <is>
          <t>9992-3</t>
        </is>
      </c>
      <c r="C423" t="inlineStr">
        <is>
          <t>Summary</t>
        </is>
      </c>
      <c r="D423" t="n">
        <v>8468.5</v>
      </c>
      <c r="E423" t="n">
        <v>8591.1</v>
      </c>
      <c r="F423" t="n">
        <v>122.6</v>
      </c>
      <c r="G423" t="n">
        <v>1.4</v>
      </c>
      <c r="H423" t="n">
        <v>0.1</v>
      </c>
      <c r="I423" t="n">
        <v>1420.6</v>
      </c>
      <c r="J423" t="n">
        <v>1510.1</v>
      </c>
      <c r="K423" t="n">
        <v>0.6</v>
      </c>
      <c r="L423" t="inlineStr">
        <is>
          <t>ISIC 84</t>
        </is>
      </c>
    </row>
    <row r="424">
      <c r="A424" t="inlineStr">
        <is>
          <t xml:space="preserve">        State government, excluding education and hospitals</t>
        </is>
      </c>
      <c r="B424" t="inlineStr">
        <is>
          <t>999200</t>
        </is>
      </c>
      <c r="C424" t="inlineStr">
        <is>
          <t>Line item</t>
        </is>
      </c>
      <c r="D424" t="n">
        <v>2380.3</v>
      </c>
      <c r="E424" t="n">
        <v>2388.3</v>
      </c>
      <c r="F424" t="n">
        <v>8</v>
      </c>
      <c r="G424" t="n">
        <v>0.3</v>
      </c>
      <c r="H424" t="n">
        <v>0</v>
      </c>
      <c r="I424" t="inlineStr">
        <is>
          <t>—</t>
        </is>
      </c>
      <c r="J424" t="inlineStr">
        <is>
          <t>—</t>
        </is>
      </c>
      <c r="K424" t="inlineStr">
        <is>
          <t>—</t>
        </is>
      </c>
    </row>
    <row r="425">
      <c r="A425" t="inlineStr">
        <is>
          <t xml:space="preserve">        Local government, excluding education and hospitals</t>
        </is>
      </c>
      <c r="B425" t="inlineStr">
        <is>
          <t>999300</t>
        </is>
      </c>
      <c r="C425" t="inlineStr">
        <is>
          <t>Line item</t>
        </is>
      </c>
      <c r="D425" t="n">
        <v>6088.2</v>
      </c>
      <c r="E425" t="n">
        <v>6202.8</v>
      </c>
      <c r="F425" t="n">
        <v>114.6</v>
      </c>
      <c r="G425" t="n">
        <v>1.9</v>
      </c>
      <c r="H425" t="n">
        <v>0.2</v>
      </c>
      <c r="I425" t="inlineStr">
        <is>
          <t>—</t>
        </is>
      </c>
      <c r="J425" t="inlineStr">
        <is>
          <t>—</t>
        </is>
      </c>
      <c r="K425" t="inlineStr">
        <is>
          <t>—</t>
        </is>
      </c>
    </row>
    <row r="426">
      <c r="A426" t="inlineStr">
        <is>
          <t>Source: Employment Projections program, U.S. Bureau of Labor Statistics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C1" t="inlineStr">
        <is>
          <t>Table 23.  Industrial Sector Macroeconomic Indicators</t>
        </is>
      </c>
    </row>
    <row r="2">
      <c r="C2" t="inlineStr">
        <is>
          <t>https://www.eia.gov/outlooks/aeo/data/browser/#/?id=34-AEO2025&amp;cases=highZTC&amp;sourcekey=0</t>
        </is>
      </c>
    </row>
    <row r="3">
      <c r="C3" t="inlineStr">
        <is>
          <t>Tue Dec 02 2025 13:21:59 GMT-0800 (Pacific Standard Time)</t>
        </is>
      </c>
    </row>
    <row r="4">
      <c r="C4" t="inlineStr">
        <is>
          <t>Source: U.S. Energy Information Administration</t>
        </is>
      </c>
    </row>
    <row r="5">
      <c r="B5" s="5" t="inlineStr">
        <is>
          <t>ISIC assignment (editable)</t>
        </is>
      </c>
      <c r="D5" t="inlineStr">
        <is>
          <t>full name</t>
        </is>
      </c>
      <c r="E5" t="inlineStr">
        <is>
          <t>api key</t>
        </is>
      </c>
      <c r="F5" t="inlineStr">
        <is>
          <t>units</t>
        </is>
      </c>
      <c r="G5" t="n">
        <v>2023</v>
      </c>
      <c r="H5" t="n">
        <v>2024</v>
      </c>
      <c r="I5" t="n">
        <v>2025</v>
      </c>
      <c r="J5" t="n">
        <v>2026</v>
      </c>
      <c r="K5" t="n">
        <v>2027</v>
      </c>
      <c r="L5" t="n">
        <v>2028</v>
      </c>
      <c r="M5" t="n">
        <v>2029</v>
      </c>
      <c r="N5" t="n">
        <v>2030</v>
      </c>
      <c r="O5" t="n">
        <v>2031</v>
      </c>
      <c r="P5" t="n">
        <v>2032</v>
      </c>
      <c r="Q5" t="n">
        <v>2033</v>
      </c>
      <c r="R5" t="n">
        <v>2034</v>
      </c>
      <c r="S5" t="n">
        <v>2035</v>
      </c>
      <c r="T5" t="n">
        <v>2036</v>
      </c>
      <c r="U5" t="n">
        <v>2037</v>
      </c>
      <c r="V5" t="n">
        <v>2038</v>
      </c>
      <c r="W5" t="n">
        <v>2039</v>
      </c>
      <c r="X5" t="n">
        <v>2040</v>
      </c>
      <c r="Y5" t="n">
        <v>2041</v>
      </c>
      <c r="Z5" t="n">
        <v>2042</v>
      </c>
      <c r="AA5" t="n">
        <v>2043</v>
      </c>
      <c r="AB5" t="n">
        <v>2044</v>
      </c>
      <c r="AC5" t="n">
        <v>2045</v>
      </c>
      <c r="AD5" t="n">
        <v>2046</v>
      </c>
      <c r="AE5" t="n">
        <v>2047</v>
      </c>
      <c r="AF5" t="n">
        <v>2048</v>
      </c>
      <c r="AG5" t="n">
        <v>2049</v>
      </c>
      <c r="AH5" t="n">
        <v>2050</v>
      </c>
      <c r="AI5" t="inlineStr">
        <is>
          <t>Growth (2024-2050)</t>
        </is>
      </c>
    </row>
    <row r="6">
      <c r="A6" t="inlineStr">
        <is>
          <t>ISM000:ba_GDP(billionm_</t>
        </is>
      </c>
      <c r="C6" t="inlineStr">
        <is>
          <t>Gross Domestic Product (billion 2012 dollars)</t>
        </is>
      </c>
      <c r="D6" t="inlineStr">
        <is>
          <t>Industrial Macroeconomic: Gross Domestic Product: High Zero-Carbon Technology Cost</t>
        </is>
      </c>
      <c r="E6" t="inlineStr">
        <is>
          <t>AEO.2025.HIGHZTC.ECI_GDP_NA_NA_NA_NA_NA_BLNY09DLR.A</t>
        </is>
      </c>
      <c r="F6" t="inlineStr">
        <is>
          <t>billion 2012 $</t>
        </is>
      </c>
      <c r="H6" t="n">
        <v>21699.671875</v>
      </c>
      <c r="I6" t="n">
        <v>22171.929688</v>
      </c>
      <c r="J6" t="n">
        <v>22685.953125</v>
      </c>
      <c r="K6" t="n">
        <v>23162.595703</v>
      </c>
      <c r="L6" t="n">
        <v>23590.015625</v>
      </c>
      <c r="M6" t="n">
        <v>24042.869141</v>
      </c>
      <c r="N6" t="n">
        <v>24479.318359</v>
      </c>
      <c r="O6" t="n">
        <v>24877.939453</v>
      </c>
      <c r="P6" t="n">
        <v>25299.824219</v>
      </c>
      <c r="Q6" t="n">
        <v>25731.902344</v>
      </c>
      <c r="R6" t="n">
        <v>26166.296875</v>
      </c>
      <c r="S6" t="n">
        <v>26621.835938</v>
      </c>
      <c r="T6" t="n">
        <v>27077.875</v>
      </c>
      <c r="U6" t="n">
        <v>27546.341797</v>
      </c>
      <c r="V6" t="n">
        <v>28018.710938</v>
      </c>
      <c r="W6" t="n">
        <v>28503.035156</v>
      </c>
      <c r="X6" t="n">
        <v>29003.939453</v>
      </c>
      <c r="Y6" t="n">
        <v>29486.919922</v>
      </c>
      <c r="Z6" t="n">
        <v>29991.914062</v>
      </c>
      <c r="AA6" t="n">
        <v>30494.671875</v>
      </c>
      <c r="AB6" t="n">
        <v>30998.292969</v>
      </c>
      <c r="AC6" t="n">
        <v>31501.849609</v>
      </c>
      <c r="AD6" t="n">
        <v>32021.367188</v>
      </c>
      <c r="AE6" t="n">
        <v>32546.509766</v>
      </c>
      <c r="AF6" t="n">
        <v>33074.625</v>
      </c>
      <c r="AG6" t="n">
        <v>33617.65625</v>
      </c>
      <c r="AH6" t="n">
        <v>34162.722656</v>
      </c>
      <c r="AI6" t="n">
        <v>0.018</v>
      </c>
    </row>
    <row r="7">
      <c r="A7" t="inlineStr">
        <is>
          <t>ISM000:ca_NonfarmEmploy</t>
        </is>
      </c>
      <c r="C7" t="inlineStr">
        <is>
          <t>Nonfarm Employment (millions)</t>
        </is>
      </c>
      <c r="D7" t="inlineStr">
        <is>
          <t>Industrial Macroeconomic: Employment, Nonfarm: High Zero-Carbon Technology Cost</t>
        </is>
      </c>
      <c r="E7" t="inlineStr">
        <is>
          <t>AEO.2025.HIGHZTC.ECI_NFE_NA_NA_NA_NA_NA_MILL.A</t>
        </is>
      </c>
      <c r="F7" t="inlineStr">
        <is>
          <t>millions</t>
        </is>
      </c>
      <c r="H7" t="n">
        <v>159.545197</v>
      </c>
      <c r="I7" t="n">
        <v>160.898468</v>
      </c>
      <c r="J7" t="n">
        <v>161.430664</v>
      </c>
      <c r="K7" t="n">
        <v>161.697113</v>
      </c>
      <c r="L7" t="n">
        <v>161.99791</v>
      </c>
      <c r="M7" t="n">
        <v>162.531403</v>
      </c>
      <c r="N7" t="n">
        <v>163.241547</v>
      </c>
      <c r="O7" t="n">
        <v>163.926712</v>
      </c>
      <c r="P7" t="n">
        <v>164.54892</v>
      </c>
      <c r="Q7" t="n">
        <v>164.984772</v>
      </c>
      <c r="R7" t="n">
        <v>165.29776</v>
      </c>
      <c r="S7" t="n">
        <v>165.565933</v>
      </c>
      <c r="T7" t="n">
        <v>166.083389</v>
      </c>
      <c r="U7" t="n">
        <v>166.791397</v>
      </c>
      <c r="V7" t="n">
        <v>167.531403</v>
      </c>
      <c r="W7" t="n">
        <v>168.186554</v>
      </c>
      <c r="X7" t="n">
        <v>169.003845</v>
      </c>
      <c r="Y7" t="n">
        <v>169.658646</v>
      </c>
      <c r="Z7" t="n">
        <v>170.297318</v>
      </c>
      <c r="AA7" t="n">
        <v>170.740448</v>
      </c>
      <c r="AB7" t="n">
        <v>171.206131</v>
      </c>
      <c r="AC7" t="n">
        <v>171.654968</v>
      </c>
      <c r="AD7" t="n">
        <v>172.127533</v>
      </c>
      <c r="AE7" t="n">
        <v>172.641632</v>
      </c>
      <c r="AF7" t="n">
        <v>173.163284</v>
      </c>
      <c r="AG7" t="n">
        <v>173.717438</v>
      </c>
      <c r="AH7" t="n">
        <v>174.287827</v>
      </c>
      <c r="AI7" t="n">
        <v>0.003</v>
      </c>
    </row>
    <row r="8">
      <c r="C8" t="inlineStr">
        <is>
          <t>Value of Shipments (billion 2012 dollars)</t>
        </is>
      </c>
    </row>
    <row r="9">
      <c r="C9" t="inlineStr">
        <is>
          <t>Nonmanufacturing Sector</t>
        </is>
      </c>
    </row>
    <row r="10">
      <c r="A10" t="inlineStr">
        <is>
          <t>ISM000:ea_Agricultural</t>
        </is>
      </c>
      <c r="B10" t="inlineStr">
        <is>
          <t>,ISIC 01,</t>
        </is>
      </c>
      <c r="C10" t="inlineStr">
        <is>
          <t>Agriculture/Forestry/Fishing/Hunting</t>
        </is>
      </c>
      <c r="D10" t="inlineStr">
        <is>
          <t>Industrial Macroeconomic: Nonmanufacturing: Agriculture/Forestry/Fishing/Hunting: High Zero-Carbon Technology Cost</t>
        </is>
      </c>
      <c r="E10" t="inlineStr">
        <is>
          <t>AEO.2025.HIGHZTC.ECI_VOS_NMFG_AFF_NA_NA_NA_BLNY09DLR.A</t>
        </is>
      </c>
      <c r="F10" t="inlineStr">
        <is>
          <t>billion 2012 $</t>
        </is>
      </c>
      <c r="H10" t="n">
        <v>538.826599</v>
      </c>
      <c r="I10" t="n">
        <v>544.768066</v>
      </c>
      <c r="J10" t="n">
        <v>552.019348</v>
      </c>
      <c r="K10" t="n">
        <v>559.253113</v>
      </c>
      <c r="L10" t="n">
        <v>565.518921</v>
      </c>
      <c r="M10" t="n">
        <v>573.795471</v>
      </c>
      <c r="N10" t="n">
        <v>581.47052</v>
      </c>
      <c r="O10" t="n">
        <v>587.561462</v>
      </c>
      <c r="P10" t="n">
        <v>593.569092</v>
      </c>
      <c r="Q10" t="n">
        <v>599.282349</v>
      </c>
      <c r="R10" t="n">
        <v>606.56781</v>
      </c>
      <c r="S10" t="n">
        <v>614.138733</v>
      </c>
      <c r="T10" t="n">
        <v>623.177429</v>
      </c>
      <c r="U10" t="n">
        <v>630.447266</v>
      </c>
      <c r="V10" t="n">
        <v>636.679871</v>
      </c>
      <c r="W10" t="n">
        <v>643.489014</v>
      </c>
      <c r="X10" t="n">
        <v>649.694031</v>
      </c>
      <c r="Y10" t="n">
        <v>654.328003</v>
      </c>
      <c r="Z10" t="n">
        <v>659.783386</v>
      </c>
      <c r="AA10" t="n">
        <v>665.283447</v>
      </c>
      <c r="AB10" t="n">
        <v>671.343628</v>
      </c>
      <c r="AC10" t="n">
        <v>678.9600830000001</v>
      </c>
      <c r="AD10" t="n">
        <v>686.825134</v>
      </c>
      <c r="AE10" t="n">
        <v>694.616272</v>
      </c>
      <c r="AF10" t="n">
        <v>702.28125</v>
      </c>
      <c r="AG10" t="n">
        <v>710.255798</v>
      </c>
      <c r="AH10" t="n">
        <v>718.014893</v>
      </c>
      <c r="AI10" t="n">
        <v>0.011</v>
      </c>
    </row>
    <row r="11">
      <c r="A11" t="inlineStr">
        <is>
          <t>ISM000:ea_Mining</t>
        </is>
      </c>
      <c r="B11" t="inlineStr">
        <is>
          <t>,ISIC 05,ISIC 06,ISIC 08,</t>
        </is>
      </c>
      <c r="C11" t="inlineStr">
        <is>
          <t>Mining</t>
        </is>
      </c>
      <c r="D11" t="inlineStr">
        <is>
          <t>Industrial Macroeconomic: Nonmanufacturing: Mining: High Zero-Carbon Technology Cost</t>
        </is>
      </c>
      <c r="E11" t="inlineStr">
        <is>
          <t>AEO.2025.HIGHZTC.ECI_VOS_NMFG_MING_NA_NA_NA_BLNY09DLR.A</t>
        </is>
      </c>
      <c r="F11" t="inlineStr">
        <is>
          <t>billion 2012 $</t>
        </is>
      </c>
      <c r="H11" t="n">
        <v>738.626099</v>
      </c>
      <c r="I11" t="n">
        <v>800.092712</v>
      </c>
      <c r="J11" t="n">
        <v>807.262756</v>
      </c>
      <c r="K11" t="n">
        <v>812.871582</v>
      </c>
      <c r="L11" t="n">
        <v>822.885315</v>
      </c>
      <c r="M11" t="n">
        <v>830.664001</v>
      </c>
      <c r="N11" t="n">
        <v>837.446838</v>
      </c>
      <c r="O11" t="n">
        <v>834.118469</v>
      </c>
      <c r="P11" t="n">
        <v>842.656616</v>
      </c>
      <c r="Q11" t="n">
        <v>842.878845</v>
      </c>
      <c r="R11" t="n">
        <v>843.774536</v>
      </c>
      <c r="S11" t="n">
        <v>839.434753</v>
      </c>
      <c r="T11" t="n">
        <v>833.558167</v>
      </c>
      <c r="U11" t="n">
        <v>824.762329</v>
      </c>
      <c r="V11" t="n">
        <v>820.582458</v>
      </c>
      <c r="W11" t="n">
        <v>815.211426</v>
      </c>
      <c r="X11" t="n">
        <v>817.202637</v>
      </c>
      <c r="Y11" t="n">
        <v>820.17926</v>
      </c>
      <c r="Z11" t="n">
        <v>823.919983</v>
      </c>
      <c r="AA11" t="n">
        <v>823.7770389999999</v>
      </c>
      <c r="AB11" t="n">
        <v>825.681152</v>
      </c>
      <c r="AC11" t="n">
        <v>828.091492</v>
      </c>
      <c r="AD11" t="n">
        <v>834.330933</v>
      </c>
      <c r="AE11" t="n">
        <v>835.119141</v>
      </c>
      <c r="AF11" t="n">
        <v>834.696716</v>
      </c>
      <c r="AG11" t="n">
        <v>836.806152</v>
      </c>
      <c r="AH11" t="n">
        <v>839.4102779999999</v>
      </c>
      <c r="AI11" t="n">
        <v>0.005</v>
      </c>
    </row>
    <row r="12">
      <c r="A12" t="inlineStr">
        <is>
          <t>ISM000:ea_Construction</t>
        </is>
      </c>
      <c r="B12" t="inlineStr">
        <is>
          <t>,ISIC 41T43,</t>
        </is>
      </c>
      <c r="C12" t="inlineStr">
        <is>
          <t>Construction</t>
        </is>
      </c>
      <c r="D12" t="inlineStr">
        <is>
          <t>Industrial Macroeconomic: Nonmanufacturing: Construction: High Zero-Carbon Technology Cost</t>
        </is>
      </c>
      <c r="E12" t="inlineStr">
        <is>
          <t>AEO.2025.HIGHZTC.ECI_VOS_NMFG_CNS_NA_NA_NA_BLNY09DLR.A</t>
        </is>
      </c>
      <c r="F12" t="inlineStr">
        <is>
          <t>billion 2012 $</t>
        </is>
      </c>
      <c r="H12" t="n">
        <v>1440.797729</v>
      </c>
      <c r="I12" t="n">
        <v>1433.057251</v>
      </c>
      <c r="J12" t="n">
        <v>1444.22644</v>
      </c>
      <c r="K12" t="n">
        <v>1467.153198</v>
      </c>
      <c r="L12" t="n">
        <v>1502.783447</v>
      </c>
      <c r="M12" t="n">
        <v>1544.019775</v>
      </c>
      <c r="N12" t="n">
        <v>1573.192505</v>
      </c>
      <c r="O12" t="n">
        <v>1598.660034</v>
      </c>
      <c r="P12" t="n">
        <v>1617.260254</v>
      </c>
      <c r="Q12" t="n">
        <v>1624.038696</v>
      </c>
      <c r="R12" t="n">
        <v>1624.389282</v>
      </c>
      <c r="S12" t="n">
        <v>1639.516479</v>
      </c>
      <c r="T12" t="n">
        <v>1660.512451</v>
      </c>
      <c r="U12" t="n">
        <v>1673.635742</v>
      </c>
      <c r="V12" t="n">
        <v>1687.702271</v>
      </c>
      <c r="W12" t="n">
        <v>1700.453979</v>
      </c>
      <c r="X12" t="n">
        <v>1710.27478</v>
      </c>
      <c r="Y12" t="n">
        <v>1717.300293</v>
      </c>
      <c r="Z12" t="n">
        <v>1728.816284</v>
      </c>
      <c r="AA12" t="n">
        <v>1737.110474</v>
      </c>
      <c r="AB12" t="n">
        <v>1744.956787</v>
      </c>
      <c r="AC12" t="n">
        <v>1762.098999</v>
      </c>
      <c r="AD12" t="n">
        <v>1781.256226</v>
      </c>
      <c r="AE12" t="n">
        <v>1803.246948</v>
      </c>
      <c r="AF12" t="n">
        <v>1826.451538</v>
      </c>
      <c r="AG12" t="n">
        <v>1851.138794</v>
      </c>
      <c r="AH12" t="n">
        <v>1872.746948</v>
      </c>
      <c r="AI12" t="n">
        <v>0.01</v>
      </c>
    </row>
    <row r="13">
      <c r="C13" t="inlineStr">
        <is>
          <t>Manufacturing Sector</t>
        </is>
      </c>
    </row>
    <row r="14">
      <c r="A14" t="inlineStr">
        <is>
          <t>ISM000:fa_FoodandKindre</t>
        </is>
      </c>
      <c r="B14" t="inlineStr">
        <is>
          <t>,ISIC 10T12,</t>
        </is>
      </c>
      <c r="C14" t="inlineStr">
        <is>
          <t>Food Products</t>
        </is>
      </c>
      <c r="D14" t="inlineStr">
        <is>
          <t>Industrial Macroeconomic: Manufacturing: Food Products: High Zero-Carbon Technology Cost</t>
        </is>
      </c>
      <c r="E14" t="inlineStr">
        <is>
          <t>AEO.2025.HIGHZTC.ECI_VOS_MANF_FPA_NA_NA_NA_BLNY09DLR.A</t>
        </is>
      </c>
      <c r="F14" t="inlineStr">
        <is>
          <t>billion 2012 $</t>
        </is>
      </c>
      <c r="H14" t="n">
        <v>821.565002</v>
      </c>
      <c r="I14" t="n">
        <v>826.256287</v>
      </c>
      <c r="J14" t="n">
        <v>829.6024169999999</v>
      </c>
      <c r="K14" t="n">
        <v>837.906738</v>
      </c>
      <c r="L14" t="n">
        <v>844.650085</v>
      </c>
      <c r="M14" t="n">
        <v>853.047974</v>
      </c>
      <c r="N14" t="n">
        <v>861.582275</v>
      </c>
      <c r="O14" t="n">
        <v>869.489197</v>
      </c>
      <c r="P14" t="n">
        <v>877.761536</v>
      </c>
      <c r="Q14" t="n">
        <v>885.73114</v>
      </c>
      <c r="R14" t="n">
        <v>894.016113</v>
      </c>
      <c r="S14" t="n">
        <v>901.545471</v>
      </c>
      <c r="T14" t="n">
        <v>911.374939</v>
      </c>
      <c r="U14" t="n">
        <v>920.41272</v>
      </c>
      <c r="V14" t="n">
        <v>929.094971</v>
      </c>
      <c r="W14" t="n">
        <v>938.252808</v>
      </c>
      <c r="X14" t="n">
        <v>947.329895</v>
      </c>
      <c r="Y14" t="n">
        <v>956.443298</v>
      </c>
      <c r="Z14" t="n">
        <v>965.737</v>
      </c>
      <c r="AA14" t="n">
        <v>974.68512</v>
      </c>
      <c r="AB14" t="n">
        <v>983.6879269999999</v>
      </c>
      <c r="AC14" t="n">
        <v>992.500061</v>
      </c>
      <c r="AD14" t="n">
        <v>1001.497559</v>
      </c>
      <c r="AE14" t="n">
        <v>1010.571472</v>
      </c>
      <c r="AF14" t="n">
        <v>1019.670227</v>
      </c>
      <c r="AG14" t="n">
        <v>1029.158447</v>
      </c>
      <c r="AH14" t="n">
        <v>1038.471802</v>
      </c>
      <c r="AI14" t="n">
        <v>0.008999999999999999</v>
      </c>
    </row>
    <row r="15">
      <c r="A15" t="inlineStr">
        <is>
          <t>ISM000:fa_BeveragesandT</t>
        </is>
      </c>
      <c r="B15" t="inlineStr">
        <is>
          <t>,ISIC 10T12,</t>
        </is>
      </c>
      <c r="C15" t="inlineStr">
        <is>
          <t>Beverages and Tobacco Products</t>
        </is>
      </c>
      <c r="D15" t="inlineStr">
        <is>
          <t>Industrial Macroeconomic: Manufacturing: Beverages and Tobacco Products: High Zero-Carbon Technology Cost</t>
        </is>
      </c>
      <c r="E15" t="inlineStr">
        <is>
          <t>AEO.2025.HIGHZTC.ECI_VOS_MANF_BVTP_NA_NA_NA_BLNY09DLR.A</t>
        </is>
      </c>
      <c r="F15" t="inlineStr">
        <is>
          <t>billion 2012 $</t>
        </is>
      </c>
      <c r="H15" t="n">
        <v>141.906082</v>
      </c>
      <c r="I15" t="n">
        <v>139.8526</v>
      </c>
      <c r="J15" t="n">
        <v>138.711395</v>
      </c>
      <c r="K15" t="n">
        <v>138.033768</v>
      </c>
      <c r="L15" t="n">
        <v>137.527145</v>
      </c>
      <c r="M15" t="n">
        <v>136.838623</v>
      </c>
      <c r="N15" t="n">
        <v>136.098373</v>
      </c>
      <c r="O15" t="n">
        <v>135.327225</v>
      </c>
      <c r="P15" t="n">
        <v>134.486893</v>
      </c>
      <c r="Q15" t="n">
        <v>133.751328</v>
      </c>
      <c r="R15" t="n">
        <v>133.0681</v>
      </c>
      <c r="S15" t="n">
        <v>132.550552</v>
      </c>
      <c r="T15" t="n">
        <v>131.986618</v>
      </c>
      <c r="U15" t="n">
        <v>131.448853</v>
      </c>
      <c r="V15" t="n">
        <v>130.934769</v>
      </c>
      <c r="W15" t="n">
        <v>130.426331</v>
      </c>
      <c r="X15" t="n">
        <v>129.932602</v>
      </c>
      <c r="Y15" t="n">
        <v>129.437927</v>
      </c>
      <c r="Z15" t="n">
        <v>128.931274</v>
      </c>
      <c r="AA15" t="n">
        <v>128.378098</v>
      </c>
      <c r="AB15" t="n">
        <v>127.794327</v>
      </c>
      <c r="AC15" t="n">
        <v>127.174377</v>
      </c>
      <c r="AD15" t="n">
        <v>126.600021</v>
      </c>
      <c r="AE15" t="n">
        <v>126.074577</v>
      </c>
      <c r="AF15" t="n">
        <v>125.574326</v>
      </c>
      <c r="AG15" t="n">
        <v>125.095772</v>
      </c>
      <c r="AH15" t="n">
        <v>124.58905</v>
      </c>
      <c r="AI15" t="n">
        <v>-0.005</v>
      </c>
    </row>
    <row r="16">
      <c r="A16" t="inlineStr">
        <is>
          <t>ISM000:fa_TextileMillPr</t>
        </is>
      </c>
      <c r="B16" t="inlineStr">
        <is>
          <t>,ISIC 13T15,</t>
        </is>
      </c>
      <c r="C16" t="inlineStr">
        <is>
          <t>Textile Mills and Products</t>
        </is>
      </c>
      <c r="D16" t="inlineStr">
        <is>
          <t>Industrial Macroeconomic: Manufacturing: Textile Mills and Products: High Zero-Carbon Technology Cost</t>
        </is>
      </c>
      <c r="E16" t="inlineStr">
        <is>
          <t>AEO.2025.HIGHZTC.ECI_VOS_MANF_TMP_NA_NA_NA_BLNY09DLR.A</t>
        </is>
      </c>
      <c r="F16" t="inlineStr">
        <is>
          <t>billion 2012 $</t>
        </is>
      </c>
      <c r="H16" t="n">
        <v>66.08916499999999</v>
      </c>
      <c r="I16" t="n">
        <v>66.53851299999999</v>
      </c>
      <c r="J16" t="n">
        <v>65.89919999999999</v>
      </c>
      <c r="K16" t="n">
        <v>65.924271</v>
      </c>
      <c r="L16" t="n">
        <v>64.83783</v>
      </c>
      <c r="M16" t="n">
        <v>64.16680100000001</v>
      </c>
      <c r="N16" t="n">
        <v>63.704239</v>
      </c>
      <c r="O16" t="n">
        <v>63.158009</v>
      </c>
      <c r="P16" t="n">
        <v>62.414116</v>
      </c>
      <c r="Q16" t="n">
        <v>61.727993</v>
      </c>
      <c r="R16" t="n">
        <v>61.319778</v>
      </c>
      <c r="S16" t="n">
        <v>60.568184</v>
      </c>
      <c r="T16" t="n">
        <v>59.831409</v>
      </c>
      <c r="U16" t="n">
        <v>59.532326</v>
      </c>
      <c r="V16" t="n">
        <v>59.14883</v>
      </c>
      <c r="W16" t="n">
        <v>58.90044</v>
      </c>
      <c r="X16" t="n">
        <v>58.791424</v>
      </c>
      <c r="Y16" t="n">
        <v>58.565128</v>
      </c>
      <c r="Z16" t="n">
        <v>58.345596</v>
      </c>
      <c r="AA16" t="n">
        <v>57.977749</v>
      </c>
      <c r="AB16" t="n">
        <v>57.632816</v>
      </c>
      <c r="AC16" t="n">
        <v>57.247356</v>
      </c>
      <c r="AD16" t="n">
        <v>56.93322</v>
      </c>
      <c r="AE16" t="n">
        <v>56.724243</v>
      </c>
      <c r="AF16" t="n">
        <v>56.464836</v>
      </c>
      <c r="AG16" t="n">
        <v>56.23605</v>
      </c>
      <c r="AH16" t="n">
        <v>55.887161</v>
      </c>
      <c r="AI16" t="n">
        <v>-0.006</v>
      </c>
    </row>
    <row r="17">
      <c r="A17" t="inlineStr">
        <is>
          <t>ISM000:fa_LumberandWood</t>
        </is>
      </c>
      <c r="B17" t="inlineStr">
        <is>
          <t>,ISIC 16,</t>
        </is>
      </c>
      <c r="C17" t="inlineStr">
        <is>
          <t>Wood Products</t>
        </is>
      </c>
      <c r="D17" t="inlineStr">
        <is>
          <t>Industrial Macroeconomic: Manufacturing: Wood Products: High Zero-Carbon Technology Cost</t>
        </is>
      </c>
      <c r="E17" t="inlineStr">
        <is>
          <t>AEO.2025.HIGHZTC.ECI_VOS_MANF_WDP_NA_NA_NA_BLNY09DLR.A</t>
        </is>
      </c>
      <c r="F17" t="inlineStr">
        <is>
          <t>billion 2012 $</t>
        </is>
      </c>
      <c r="H17" t="n">
        <v>98.40712000000001</v>
      </c>
      <c r="I17" t="n">
        <v>99.04071</v>
      </c>
      <c r="J17" t="n">
        <v>101.040649</v>
      </c>
      <c r="K17" t="n">
        <v>102.246925</v>
      </c>
      <c r="L17" t="n">
        <v>103.987923</v>
      </c>
      <c r="M17" t="n">
        <v>107.2435</v>
      </c>
      <c r="N17" t="n">
        <v>109.763878</v>
      </c>
      <c r="O17" t="n">
        <v>111.444023</v>
      </c>
      <c r="P17" t="n">
        <v>112.569977</v>
      </c>
      <c r="Q17" t="n">
        <v>112.379074</v>
      </c>
      <c r="R17" t="n">
        <v>113.57045</v>
      </c>
      <c r="S17" t="n">
        <v>115.056473</v>
      </c>
      <c r="T17" t="n">
        <v>118.327522</v>
      </c>
      <c r="U17" t="n">
        <v>120.524979</v>
      </c>
      <c r="V17" t="n">
        <v>121.295052</v>
      </c>
      <c r="W17" t="n">
        <v>122.199997</v>
      </c>
      <c r="X17" t="n">
        <v>122.039398</v>
      </c>
      <c r="Y17" t="n">
        <v>119.662926</v>
      </c>
      <c r="Z17" t="n">
        <v>118.093803</v>
      </c>
      <c r="AA17" t="n">
        <v>115.158073</v>
      </c>
      <c r="AB17" t="n">
        <v>113.127899</v>
      </c>
      <c r="AC17" t="n">
        <v>113.014549</v>
      </c>
      <c r="AD17" t="n">
        <v>113.406578</v>
      </c>
      <c r="AE17" t="n">
        <v>114.637749</v>
      </c>
      <c r="AF17" t="n">
        <v>115.775826</v>
      </c>
      <c r="AG17" t="n">
        <v>117.229729</v>
      </c>
      <c r="AH17" t="n">
        <v>118.126198</v>
      </c>
      <c r="AI17" t="n">
        <v>0.007</v>
      </c>
    </row>
    <row r="18">
      <c r="A18" t="inlineStr">
        <is>
          <t>ISM000:fa_FurnitureandF</t>
        </is>
      </c>
      <c r="B18" t="inlineStr">
        <is>
          <t>,ISIC 31T33,</t>
        </is>
      </c>
      <c r="C18" t="inlineStr">
        <is>
          <t>Furniture and Related Products</t>
        </is>
      </c>
      <c r="D18" t="inlineStr">
        <is>
          <t>Industrial Macroeconomic: Manufacturing: Furniture and Related Products: High Zero-Carbon Technology Cost</t>
        </is>
      </c>
      <c r="E18" t="inlineStr">
        <is>
          <t>AEO.2025.HIGHZTC.ECI_VOS_MANF_FRP_NA_NA_NA_BLNY09DLR.A</t>
        </is>
      </c>
      <c r="F18" t="inlineStr">
        <is>
          <t>billion 2012 $</t>
        </is>
      </c>
      <c r="H18" t="n">
        <v>53.271854</v>
      </c>
      <c r="I18" t="n">
        <v>52.269444</v>
      </c>
      <c r="J18" t="n">
        <v>53.980427</v>
      </c>
      <c r="K18" t="n">
        <v>55.926292</v>
      </c>
      <c r="L18" t="n">
        <v>56.093472</v>
      </c>
      <c r="M18" t="n">
        <v>56.599045</v>
      </c>
      <c r="N18" t="n">
        <v>58.34198</v>
      </c>
      <c r="O18" t="n">
        <v>58.92627</v>
      </c>
      <c r="P18" t="n">
        <v>59.556118</v>
      </c>
      <c r="Q18" t="n">
        <v>59.890476</v>
      </c>
      <c r="R18" t="n">
        <v>61.148804</v>
      </c>
      <c r="S18" t="n">
        <v>61.658676</v>
      </c>
      <c r="T18" t="n">
        <v>62.141407</v>
      </c>
      <c r="U18" t="n">
        <v>63.414036</v>
      </c>
      <c r="V18" t="n">
        <v>64.38812299999999</v>
      </c>
      <c r="W18" t="n">
        <v>65.33425099999999</v>
      </c>
      <c r="X18" t="n">
        <v>66.700745</v>
      </c>
      <c r="Y18" t="n">
        <v>67.73155199999999</v>
      </c>
      <c r="Z18" t="n">
        <v>68.640739</v>
      </c>
      <c r="AA18" t="n">
        <v>69.67757400000001</v>
      </c>
      <c r="AB18" t="n">
        <v>70.93280799999999</v>
      </c>
      <c r="AC18" t="n">
        <v>71.80574799999999</v>
      </c>
      <c r="AD18" t="n">
        <v>72.81534600000001</v>
      </c>
      <c r="AE18" t="n">
        <v>74.18843099999999</v>
      </c>
      <c r="AF18" t="n">
        <v>74.879402</v>
      </c>
      <c r="AG18" t="n">
        <v>76.066422</v>
      </c>
      <c r="AH18" t="n">
        <v>76.886627</v>
      </c>
      <c r="AI18" t="n">
        <v>0.014</v>
      </c>
    </row>
    <row r="19">
      <c r="A19" t="inlineStr">
        <is>
          <t>ISM000:fa_PaperandAllie</t>
        </is>
      </c>
      <c r="B19" t="inlineStr">
        <is>
          <t>,ISIC 17T18,</t>
        </is>
      </c>
      <c r="C19" t="inlineStr">
        <is>
          <t>Paper Products</t>
        </is>
      </c>
      <c r="D19" t="inlineStr">
        <is>
          <t>Industrial Macroeconomic: Manufacturing: Paper Products: High Zero-Carbon Technology Cost</t>
        </is>
      </c>
      <c r="E19" t="inlineStr">
        <is>
          <t>AEO.2025.HIGHZTC.ECI_VOS_MANF_PPM_NA_NA_NA_BLNY09DLR.A</t>
        </is>
      </c>
      <c r="F19" t="inlineStr">
        <is>
          <t>billion 2012 $</t>
        </is>
      </c>
      <c r="H19" t="n">
        <v>161.469193</v>
      </c>
      <c r="I19" t="n">
        <v>162.769196</v>
      </c>
      <c r="J19" t="n">
        <v>164.025757</v>
      </c>
      <c r="K19" t="n">
        <v>162.470276</v>
      </c>
      <c r="L19" t="n">
        <v>161.556381</v>
      </c>
      <c r="M19" t="n">
        <v>161.470718</v>
      </c>
      <c r="N19" t="n">
        <v>161.809799</v>
      </c>
      <c r="O19" t="n">
        <v>162.977753</v>
      </c>
      <c r="P19" t="n">
        <v>163.752823</v>
      </c>
      <c r="Q19" t="n">
        <v>164.066971</v>
      </c>
      <c r="R19" t="n">
        <v>165.191055</v>
      </c>
      <c r="S19" t="n">
        <v>166.252869</v>
      </c>
      <c r="T19" t="n">
        <v>167.39653</v>
      </c>
      <c r="U19" t="n">
        <v>168.348846</v>
      </c>
      <c r="V19" t="n">
        <v>169.471603</v>
      </c>
      <c r="W19" t="n">
        <v>171.078369</v>
      </c>
      <c r="X19" t="n">
        <v>172.765427</v>
      </c>
      <c r="Y19" t="n">
        <v>174.022369</v>
      </c>
      <c r="Z19" t="n">
        <v>175.348923</v>
      </c>
      <c r="AA19" t="n">
        <v>176.498169</v>
      </c>
      <c r="AB19" t="n">
        <v>178.14328</v>
      </c>
      <c r="AC19" t="n">
        <v>179.318451</v>
      </c>
      <c r="AD19" t="n">
        <v>180.706772</v>
      </c>
      <c r="AE19" t="n">
        <v>182.094498</v>
      </c>
      <c r="AF19" t="n">
        <v>183.340454</v>
      </c>
      <c r="AG19" t="n">
        <v>184.407928</v>
      </c>
      <c r="AH19" t="n">
        <v>185.493958</v>
      </c>
      <c r="AI19" t="n">
        <v>0.005</v>
      </c>
    </row>
    <row r="20">
      <c r="A20" t="inlineStr">
        <is>
          <t>ISM000:fa_PrintingandPu</t>
        </is>
      </c>
      <c r="B20" t="inlineStr">
        <is>
          <t>,ISIC 17T18,</t>
        </is>
      </c>
      <c r="C20" t="inlineStr">
        <is>
          <t>Printing</t>
        </is>
      </c>
      <c r="D20" t="inlineStr">
        <is>
          <t>Industrial Macroeconomic: Manufacturing: Printing: High Zero-Carbon Technology Cost</t>
        </is>
      </c>
      <c r="E20" t="inlineStr">
        <is>
          <t>AEO.2025.HIGHZTC.ECI_VOS_MANF_PRN_NA_NA_NA_BLNY09DLR.A</t>
        </is>
      </c>
      <c r="F20" t="inlineStr">
        <is>
          <t>billion 2012 $</t>
        </is>
      </c>
      <c r="H20" t="n">
        <v>60.525852</v>
      </c>
      <c r="I20" t="n">
        <v>57.448959</v>
      </c>
      <c r="J20" t="n">
        <v>56.292637</v>
      </c>
      <c r="K20" t="n">
        <v>54.877972</v>
      </c>
      <c r="L20" t="n">
        <v>53.651821</v>
      </c>
      <c r="M20" t="n">
        <v>52.613571</v>
      </c>
      <c r="N20" t="n">
        <v>51.594307</v>
      </c>
      <c r="O20" t="n">
        <v>50.581692</v>
      </c>
      <c r="P20" t="n">
        <v>49.633221</v>
      </c>
      <c r="Q20" t="n">
        <v>48.66946</v>
      </c>
      <c r="R20" t="n">
        <v>47.801643</v>
      </c>
      <c r="S20" t="n">
        <v>46.996117</v>
      </c>
      <c r="T20" t="n">
        <v>46.399475</v>
      </c>
      <c r="U20" t="n">
        <v>45.814659</v>
      </c>
      <c r="V20" t="n">
        <v>45.239269</v>
      </c>
      <c r="W20" t="n">
        <v>44.861446</v>
      </c>
      <c r="X20" t="n">
        <v>44.471886</v>
      </c>
      <c r="Y20" t="n">
        <v>44.081989</v>
      </c>
      <c r="Z20" t="n">
        <v>43.735256</v>
      </c>
      <c r="AA20" t="n">
        <v>43.354687</v>
      </c>
      <c r="AB20" t="n">
        <v>43.027943</v>
      </c>
      <c r="AC20" t="n">
        <v>42.731819</v>
      </c>
      <c r="AD20" t="n">
        <v>42.579571</v>
      </c>
      <c r="AE20" t="n">
        <v>42.327194</v>
      </c>
      <c r="AF20" t="n">
        <v>42.10128</v>
      </c>
      <c r="AG20" t="n">
        <v>41.857502</v>
      </c>
      <c r="AH20" t="n">
        <v>41.633499</v>
      </c>
      <c r="AI20" t="n">
        <v>-0.014</v>
      </c>
    </row>
    <row r="21">
      <c r="A21" t="inlineStr">
        <is>
          <t>ISM000:fa_ChemicalandAl</t>
        </is>
      </c>
      <c r="B21" t="inlineStr">
        <is>
          <t>,ISIC 20,</t>
        </is>
      </c>
      <c r="C21" t="inlineStr">
        <is>
          <t>Chemical Manufacturing</t>
        </is>
      </c>
      <c r="D21" t="inlineStr">
        <is>
          <t>Industrial Macroeconomic: Manufacturing: Chemical Manufacturing: High Zero-Carbon Technology Cost</t>
        </is>
      </c>
      <c r="E21" t="inlineStr">
        <is>
          <t>AEO.2025.HIGHZTC.ECI_VOS_MANF_CHE_NA_NA_NA_BLNY09DLR.A</t>
        </is>
      </c>
      <c r="F21" t="inlineStr">
        <is>
          <t>billion 2012 $</t>
        </is>
      </c>
      <c r="H21" t="n">
        <v>808.2136839999999</v>
      </c>
      <c r="I21" t="n">
        <v>812.3893430000001</v>
      </c>
      <c r="J21" t="n">
        <v>806.690735</v>
      </c>
      <c r="K21" t="n">
        <v>804.931763</v>
      </c>
      <c r="L21" t="n">
        <v>803.349426</v>
      </c>
      <c r="M21" t="n">
        <v>806.0986329999999</v>
      </c>
      <c r="N21" t="n">
        <v>813.568115</v>
      </c>
      <c r="O21" t="n">
        <v>823.251343</v>
      </c>
      <c r="P21" t="n">
        <v>834.164551</v>
      </c>
      <c r="Q21" t="n">
        <v>843.791748</v>
      </c>
      <c r="R21" t="n">
        <v>855.429565</v>
      </c>
      <c r="S21" t="n">
        <v>865.728149</v>
      </c>
      <c r="T21" t="n">
        <v>874.201355</v>
      </c>
      <c r="U21" t="n">
        <v>885.517822</v>
      </c>
      <c r="V21" t="n">
        <v>896.985718</v>
      </c>
      <c r="W21" t="n">
        <v>909.449463</v>
      </c>
      <c r="X21" t="n">
        <v>923.436829</v>
      </c>
      <c r="Y21" t="n">
        <v>936.806641</v>
      </c>
      <c r="Z21" t="n">
        <v>950.8414310000001</v>
      </c>
      <c r="AA21" t="n">
        <v>963.143188</v>
      </c>
      <c r="AB21" t="n">
        <v>974.985901</v>
      </c>
      <c r="AC21" t="n">
        <v>984.6070560000001</v>
      </c>
      <c r="AD21" t="n">
        <v>994.838989</v>
      </c>
      <c r="AE21" t="n">
        <v>1008.811035</v>
      </c>
      <c r="AF21" t="n">
        <v>1020.661987</v>
      </c>
      <c r="AG21" t="n">
        <v>1031.750244</v>
      </c>
      <c r="AH21" t="n">
        <v>1041.1604</v>
      </c>
      <c r="AI21" t="n">
        <v>0.01</v>
      </c>
    </row>
    <row r="22">
      <c r="A22" t="inlineStr">
        <is>
          <t>ISM000:fa_BulkChemicals</t>
        </is>
      </c>
      <c r="C22" t="inlineStr">
        <is>
          <t>Bulk Chemicals</t>
        </is>
      </c>
      <c r="D22" t="inlineStr">
        <is>
          <t>Industrial Macroeconomic: Manufacturing: Chemicals: Bulk Chemicals: High Zero-Carbon Technology Cost</t>
        </is>
      </c>
      <c r="E22" t="inlineStr">
        <is>
          <t>AEO.2025.HIGHZTC.ECI_VOS_MANF_BCH_NA_NA_NA_BLNY09DLR.A</t>
        </is>
      </c>
      <c r="F22" t="inlineStr">
        <is>
          <t>billion 2012 $</t>
        </is>
      </c>
      <c r="H22" t="n">
        <v>367.322174</v>
      </c>
      <c r="I22" t="n">
        <v>372.954346</v>
      </c>
      <c r="J22" t="n">
        <v>365.470062</v>
      </c>
      <c r="K22" t="n">
        <v>360.027527</v>
      </c>
      <c r="L22" t="n">
        <v>354.244965</v>
      </c>
      <c r="M22" t="n">
        <v>352.824768</v>
      </c>
      <c r="N22" t="n">
        <v>355.281525</v>
      </c>
      <c r="O22" t="n">
        <v>359.698914</v>
      </c>
      <c r="P22" t="n">
        <v>364.245941</v>
      </c>
      <c r="Q22" t="n">
        <v>367.190613</v>
      </c>
      <c r="R22" t="n">
        <v>373.40387</v>
      </c>
      <c r="S22" t="n">
        <v>379.885864</v>
      </c>
      <c r="T22" t="n">
        <v>384.065918</v>
      </c>
      <c r="U22" t="n">
        <v>389.134827</v>
      </c>
      <c r="V22" t="n">
        <v>394.534912</v>
      </c>
      <c r="W22" t="n">
        <v>400.990601</v>
      </c>
      <c r="X22" t="n">
        <v>408.143433</v>
      </c>
      <c r="Y22" t="n">
        <v>414.301453</v>
      </c>
      <c r="Z22" t="n">
        <v>420.513336</v>
      </c>
      <c r="AA22" t="n">
        <v>425.350372</v>
      </c>
      <c r="AB22" t="n">
        <v>430.832703</v>
      </c>
      <c r="AC22" t="n">
        <v>435.236176</v>
      </c>
      <c r="AD22" t="n">
        <v>439.595734</v>
      </c>
      <c r="AE22" t="n">
        <v>446.340973</v>
      </c>
      <c r="AF22" t="n">
        <v>451.72757</v>
      </c>
      <c r="AG22" t="n">
        <v>456.244598</v>
      </c>
      <c r="AH22" t="n">
        <v>460.802155</v>
      </c>
      <c r="AI22" t="n">
        <v>0.008999999999999999</v>
      </c>
    </row>
    <row r="23">
      <c r="A23" t="inlineStr">
        <is>
          <t>ISM000:fa_Inorganic</t>
        </is>
      </c>
      <c r="C23" t="inlineStr">
        <is>
          <t>Inorganic</t>
        </is>
      </c>
      <c r="D23" t="inlineStr">
        <is>
          <t>Industrial Macroeconomic: Manufacturing: Chemicals: Bulk Chemicals: Inorganic: High Zero-Carbon Technology Cost</t>
        </is>
      </c>
      <c r="E23" t="inlineStr">
        <is>
          <t>AEO.2025.HIGHZTC.ECI_VOS_MANF_CHEIN_NA_NA_NA_BLNY09DLR.A</t>
        </is>
      </c>
      <c r="F23" t="inlineStr">
        <is>
          <t>billion 2012 $</t>
        </is>
      </c>
      <c r="H23" t="n">
        <v>50.760822</v>
      </c>
      <c r="I23" t="n">
        <v>51.478336</v>
      </c>
      <c r="J23" t="n">
        <v>52.328194</v>
      </c>
      <c r="K23" t="n">
        <v>52.508663</v>
      </c>
      <c r="L23" t="n">
        <v>52.006046</v>
      </c>
      <c r="M23" t="n">
        <v>51.169857</v>
      </c>
      <c r="N23" t="n">
        <v>51.473831</v>
      </c>
      <c r="O23" t="n">
        <v>51.551136</v>
      </c>
      <c r="P23" t="n">
        <v>51.466038</v>
      </c>
      <c r="Q23" t="n">
        <v>51.676189</v>
      </c>
      <c r="R23" t="n">
        <v>51.725769</v>
      </c>
      <c r="S23" t="n">
        <v>52.104076</v>
      </c>
      <c r="T23" t="n">
        <v>52.200466</v>
      </c>
      <c r="U23" t="n">
        <v>51.96347</v>
      </c>
      <c r="V23" t="n">
        <v>52.269703</v>
      </c>
      <c r="W23" t="n">
        <v>52.373104</v>
      </c>
      <c r="X23" t="n">
        <v>52.339554</v>
      </c>
      <c r="Y23" t="n">
        <v>52.473537</v>
      </c>
      <c r="Z23" t="n">
        <v>52.384289</v>
      </c>
      <c r="AA23" t="n">
        <v>52.293137</v>
      </c>
      <c r="AB23" t="n">
        <v>52.097511</v>
      </c>
      <c r="AC23" t="n">
        <v>51.880245</v>
      </c>
      <c r="AD23" t="n">
        <v>51.748787</v>
      </c>
      <c r="AE23" t="n">
        <v>51.814064</v>
      </c>
      <c r="AF23" t="n">
        <v>51.907967</v>
      </c>
      <c r="AG23" t="n">
        <v>51.836624</v>
      </c>
      <c r="AH23" t="n">
        <v>51.954746</v>
      </c>
      <c r="AI23" t="n">
        <v>0.001</v>
      </c>
    </row>
    <row r="24">
      <c r="A24" t="inlineStr">
        <is>
          <t>ISM000:fa_Organic</t>
        </is>
      </c>
      <c r="C24" t="inlineStr">
        <is>
          <t>Organic</t>
        </is>
      </c>
      <c r="D24" t="inlineStr">
        <is>
          <t>Industrial Macroeconomic: Manufacturing: Chemicals: Bulk Chemicals: Organic: High Zero-Carbon Technology Cost</t>
        </is>
      </c>
      <c r="E24" t="inlineStr">
        <is>
          <t>AEO.2025.HIGHZTC.ECI_VOS_MANF_CHEOR_NA_NA_NA_BLNY09DLR.A</t>
        </is>
      </c>
      <c r="F24" t="inlineStr">
        <is>
          <t>billion 2012 $</t>
        </is>
      </c>
      <c r="H24" t="n">
        <v>179.648499</v>
      </c>
      <c r="I24" t="n">
        <v>184.153397</v>
      </c>
      <c r="J24" t="n">
        <v>172.360718</v>
      </c>
      <c r="K24" t="n">
        <v>167.715881</v>
      </c>
      <c r="L24" t="n">
        <v>163.974594</v>
      </c>
      <c r="M24" t="n">
        <v>162.341644</v>
      </c>
      <c r="N24" t="n">
        <v>162.018326</v>
      </c>
      <c r="O24" t="n">
        <v>164.700974</v>
      </c>
      <c r="P24" t="n">
        <v>167.635681</v>
      </c>
      <c r="Q24" t="n">
        <v>169.28833</v>
      </c>
      <c r="R24" t="n">
        <v>172.177399</v>
      </c>
      <c r="S24" t="n">
        <v>176.190979</v>
      </c>
      <c r="T24" t="n">
        <v>179.034775</v>
      </c>
      <c r="U24" t="n">
        <v>181.718399</v>
      </c>
      <c r="V24" t="n">
        <v>185.004654</v>
      </c>
      <c r="W24" t="n">
        <v>189.101746</v>
      </c>
      <c r="X24" t="n">
        <v>193.481354</v>
      </c>
      <c r="Y24" t="n">
        <v>197.500076</v>
      </c>
      <c r="Z24" t="n">
        <v>201.285721</v>
      </c>
      <c r="AA24" t="n">
        <v>205.213623</v>
      </c>
      <c r="AB24" t="n">
        <v>209.589371</v>
      </c>
      <c r="AC24" t="n">
        <v>213.815353</v>
      </c>
      <c r="AD24" t="n">
        <v>216.956268</v>
      </c>
      <c r="AE24" t="n">
        <v>221.063828</v>
      </c>
      <c r="AF24" t="n">
        <v>224.531143</v>
      </c>
      <c r="AG24" t="n">
        <v>227.097778</v>
      </c>
      <c r="AH24" t="n">
        <v>230.2061</v>
      </c>
      <c r="AI24" t="n">
        <v>0.01</v>
      </c>
    </row>
    <row r="25">
      <c r="A25" t="inlineStr">
        <is>
          <t>ISM000:fa_Resins</t>
        </is>
      </c>
      <c r="C25" t="inlineStr">
        <is>
          <t>Resin</t>
        </is>
      </c>
      <c r="D25" t="inlineStr">
        <is>
          <t xml:space="preserve"> Synthetic Rubber</t>
        </is>
      </c>
      <c r="E25" t="inlineStr">
        <is>
          <t xml:space="preserve"> and Fibers</t>
        </is>
      </c>
      <c r="F25" t="inlineStr">
        <is>
          <t>Industrial Macroeconomic: Manufacturing: Chemicals: Bulk Chemicals: Resin, Synthetic Rubber, and Fibers: High Zero-Carbon Technology Cost</t>
        </is>
      </c>
      <c r="G25" t="inlineStr">
        <is>
          <t>AEO.2025.HIGHZTC.ECI_VOS_MANF_CHEBR_NA_NA_NA_BLNY09DLR.A</t>
        </is>
      </c>
      <c r="H25" t="n">
        <v>98.834442</v>
      </c>
      <c r="I25" t="n">
        <v>97.966858</v>
      </c>
      <c r="J25" t="n">
        <v>99.32622499999999</v>
      </c>
      <c r="K25" t="n">
        <v>97.665497</v>
      </c>
      <c r="L25" t="n">
        <v>95.804192</v>
      </c>
      <c r="M25" t="n">
        <v>96.423264</v>
      </c>
      <c r="N25" t="n">
        <v>98.262207</v>
      </c>
      <c r="O25" t="n">
        <v>99.258095</v>
      </c>
      <c r="P25" t="n">
        <v>100.284996</v>
      </c>
      <c r="Q25" t="n">
        <v>100.911903</v>
      </c>
      <c r="R25" t="n">
        <v>103.31385</v>
      </c>
      <c r="S25" t="n">
        <v>104.717003</v>
      </c>
      <c r="T25" t="n">
        <v>105.349876</v>
      </c>
      <c r="U25" t="n">
        <v>107.174423</v>
      </c>
      <c r="V25" t="n">
        <v>108.362297</v>
      </c>
      <c r="W25" t="n">
        <v>110.005051</v>
      </c>
      <c r="X25" t="n">
        <v>112.154022</v>
      </c>
      <c r="Y25" t="n">
        <v>113.590202</v>
      </c>
      <c r="Z25" t="n">
        <v>115.539803</v>
      </c>
      <c r="AA25" t="n">
        <v>116.007896</v>
      </c>
      <c r="AB25" t="n">
        <v>116.684151</v>
      </c>
      <c r="AC25" t="n">
        <v>116.623276</v>
      </c>
      <c r="AD25" t="n">
        <v>117.464996</v>
      </c>
      <c r="AE25" t="n">
        <v>119.548798</v>
      </c>
      <c r="AF25" t="n">
        <v>120.945053</v>
      </c>
      <c r="AG25" t="n">
        <v>122.551376</v>
      </c>
      <c r="AH25" t="n">
        <v>123.52005</v>
      </c>
      <c r="AI25" t="n">
        <v>0.008999999999999999</v>
      </c>
    </row>
    <row r="26">
      <c r="A26" t="inlineStr">
        <is>
          <t>ISM000:fa_AgriculturalC</t>
        </is>
      </c>
      <c r="C26" t="inlineStr">
        <is>
          <t>Agricultural Chemicals</t>
        </is>
      </c>
      <c r="D26" t="inlineStr">
        <is>
          <t>Industrial Macroeconomic: Manufacturing: Chemicals: Bulk Chemicals: Agricultural Chemicals: High Zero-Carbon Technology Cost</t>
        </is>
      </c>
      <c r="E26" t="inlineStr">
        <is>
          <t>AEO.2025.HIGHZTC.ECI_VOS_MANF_AGC_NA_NA_NA_BLNY09DLR.A</t>
        </is>
      </c>
      <c r="F26" t="inlineStr">
        <is>
          <t>billion 2012 $</t>
        </is>
      </c>
      <c r="H26" t="n">
        <v>38.078388</v>
      </c>
      <c r="I26" t="n">
        <v>39.355778</v>
      </c>
      <c r="J26" t="n">
        <v>41.454929</v>
      </c>
      <c r="K26" t="n">
        <v>42.137497</v>
      </c>
      <c r="L26" t="n">
        <v>42.460148</v>
      </c>
      <c r="M26" t="n">
        <v>42.890003</v>
      </c>
      <c r="N26" t="n">
        <v>43.527168</v>
      </c>
      <c r="O26" t="n">
        <v>44.188728</v>
      </c>
      <c r="P26" t="n">
        <v>44.859222</v>
      </c>
      <c r="Q26" t="n">
        <v>45.314175</v>
      </c>
      <c r="R26" t="n">
        <v>46.186852</v>
      </c>
      <c r="S26" t="n">
        <v>46.873821</v>
      </c>
      <c r="T26" t="n">
        <v>47.480816</v>
      </c>
      <c r="U26" t="n">
        <v>48.278534</v>
      </c>
      <c r="V26" t="n">
        <v>48.898262</v>
      </c>
      <c r="W26" t="n">
        <v>49.510666</v>
      </c>
      <c r="X26" t="n">
        <v>50.168533</v>
      </c>
      <c r="Y26" t="n">
        <v>50.737656</v>
      </c>
      <c r="Z26" t="n">
        <v>51.303539</v>
      </c>
      <c r="AA26" t="n">
        <v>51.835686</v>
      </c>
      <c r="AB26" t="n">
        <v>52.461685</v>
      </c>
      <c r="AC26" t="n">
        <v>52.917336</v>
      </c>
      <c r="AD26" t="n">
        <v>53.425697</v>
      </c>
      <c r="AE26" t="n">
        <v>53.914276</v>
      </c>
      <c r="AF26" t="n">
        <v>54.343407</v>
      </c>
      <c r="AG26" t="n">
        <v>54.758823</v>
      </c>
      <c r="AH26" t="n">
        <v>55.121239</v>
      </c>
      <c r="AI26" t="n">
        <v>0.014</v>
      </c>
    </row>
    <row r="27">
      <c r="A27" t="inlineStr">
        <is>
          <t>ISM000:fa_OtherChemical</t>
        </is>
      </c>
      <c r="C27" t="inlineStr">
        <is>
          <t>Other Chemical Products</t>
        </is>
      </c>
      <c r="D27" t="inlineStr">
        <is>
          <t>Industrial Macroeconomic: Manufacturing: Chemicals: Other Chemical Products: High Zero-Carbon Technology Cost</t>
        </is>
      </c>
      <c r="E27" t="inlineStr">
        <is>
          <t>AEO.2025.HIGHZTC.ECI_VOS_MANF_CHEO_NA_NA_NA_BLNY09DLR.A</t>
        </is>
      </c>
      <c r="F27" t="inlineStr">
        <is>
          <t>billion 2012 $</t>
        </is>
      </c>
      <c r="H27" t="n">
        <v>440.89151</v>
      </c>
      <c r="I27" t="n">
        <v>439.434998</v>
      </c>
      <c r="J27" t="n">
        <v>441.220673</v>
      </c>
      <c r="K27" t="n">
        <v>444.904205</v>
      </c>
      <c r="L27" t="n">
        <v>449.104462</v>
      </c>
      <c r="M27" t="n">
        <v>453.273834</v>
      </c>
      <c r="N27" t="n">
        <v>458.28656</v>
      </c>
      <c r="O27" t="n">
        <v>463.552399</v>
      </c>
      <c r="P27" t="n">
        <v>469.91864</v>
      </c>
      <c r="Q27" t="n">
        <v>476.601135</v>
      </c>
      <c r="R27" t="n">
        <v>482.025665</v>
      </c>
      <c r="S27" t="n">
        <v>485.842255</v>
      </c>
      <c r="T27" t="n">
        <v>490.135437</v>
      </c>
      <c r="U27" t="n">
        <v>496.382996</v>
      </c>
      <c r="V27" t="n">
        <v>502.450836</v>
      </c>
      <c r="W27" t="n">
        <v>508.458862</v>
      </c>
      <c r="X27" t="n">
        <v>515.293396</v>
      </c>
      <c r="Y27" t="n">
        <v>522.505188</v>
      </c>
      <c r="Z27" t="n">
        <v>530.328064</v>
      </c>
      <c r="AA27" t="n">
        <v>537.792786</v>
      </c>
      <c r="AB27" t="n">
        <v>544.153198</v>
      </c>
      <c r="AC27" t="n">
        <v>549.37085</v>
      </c>
      <c r="AD27" t="n">
        <v>555.2432250000001</v>
      </c>
      <c r="AE27" t="n">
        <v>562.4700319999999</v>
      </c>
      <c r="AF27" t="n">
        <v>568.934448</v>
      </c>
      <c r="AG27" t="n">
        <v>575.505615</v>
      </c>
      <c r="AH27" t="n">
        <v>580.358276</v>
      </c>
      <c r="AI27" t="n">
        <v>0.011</v>
      </c>
    </row>
    <row r="28">
      <c r="A28" t="inlineStr">
        <is>
          <t>ISM000:fa_PetroleumandC</t>
        </is>
      </c>
      <c r="C28" t="inlineStr">
        <is>
          <t>Petroleum and Coal Products</t>
        </is>
      </c>
      <c r="D28" t="inlineStr">
        <is>
          <t>Industrial Macroeconomic: Manufacturing: Petroleum and Coal Products: High Zero-Carbon Technology Cost</t>
        </is>
      </c>
      <c r="E28" t="inlineStr">
        <is>
          <t>AEO.2025.HIGHZTC.ECI_VOS_MANF_PCL_NA_NA_NA_BLNY09DLR.A</t>
        </is>
      </c>
      <c r="F28" t="inlineStr">
        <is>
          <t>billion 2012 $</t>
        </is>
      </c>
      <c r="H28" t="n">
        <v>816.096008</v>
      </c>
      <c r="I28" t="n">
        <v>829.730652</v>
      </c>
      <c r="J28" t="n">
        <v>826.3580930000001</v>
      </c>
      <c r="K28" t="n">
        <v>822.635254</v>
      </c>
      <c r="L28" t="n">
        <v>818.113647</v>
      </c>
      <c r="M28" t="n">
        <v>811.789795</v>
      </c>
      <c r="N28" t="n">
        <v>801.8726810000001</v>
      </c>
      <c r="O28" t="n">
        <v>790.940002</v>
      </c>
      <c r="P28" t="n">
        <v>777.927734</v>
      </c>
      <c r="Q28" t="n">
        <v>764.579773</v>
      </c>
      <c r="R28" t="n">
        <v>753.0217290000001</v>
      </c>
      <c r="S28" t="n">
        <v>741.509338</v>
      </c>
      <c r="T28" t="n">
        <v>729.787598</v>
      </c>
      <c r="U28" t="n">
        <v>718.640503</v>
      </c>
      <c r="V28" t="n">
        <v>709.417236</v>
      </c>
      <c r="W28" t="n">
        <v>702.529297</v>
      </c>
      <c r="X28" t="n">
        <v>697.514648</v>
      </c>
      <c r="Y28" t="n">
        <v>692.160339</v>
      </c>
      <c r="Z28" t="n">
        <v>686.876709</v>
      </c>
      <c r="AA28" t="n">
        <v>682.1292110000001</v>
      </c>
      <c r="AB28" t="n">
        <v>678.856873</v>
      </c>
      <c r="AC28" t="n">
        <v>674.431702</v>
      </c>
      <c r="AD28" t="n">
        <v>672.459167</v>
      </c>
      <c r="AE28" t="n">
        <v>673.334656</v>
      </c>
      <c r="AF28" t="n">
        <v>671.36792</v>
      </c>
      <c r="AG28" t="n">
        <v>672.131042</v>
      </c>
      <c r="AH28" t="n">
        <v>673.045044</v>
      </c>
      <c r="AI28" t="n">
        <v>-0.007</v>
      </c>
    </row>
    <row r="29">
      <c r="A29" t="inlineStr">
        <is>
          <t>ISM000:fa_PetroleumRefi</t>
        </is>
      </c>
      <c r="B29" t="inlineStr">
        <is>
          <t>,ISIC 19,</t>
        </is>
      </c>
      <c r="C29" t="inlineStr">
        <is>
          <t>Petroleum Refineries</t>
        </is>
      </c>
      <c r="D29" t="inlineStr">
        <is>
          <t>Industrial Macroeconomic: Manufacturing: Petroleum and Coal: Petroleum Refineries: High Zero-Carbon Technology Cost</t>
        </is>
      </c>
      <c r="E29" t="inlineStr">
        <is>
          <t>AEO.2025.HIGHZTC.ECI_VOS_MANF_REF_NA_NA_NA_BLNY09DLR.A</t>
        </is>
      </c>
      <c r="F29" t="inlineStr">
        <is>
          <t>billion 2012 $</t>
        </is>
      </c>
      <c r="H29" t="n">
        <v>773.821899</v>
      </c>
      <c r="I29" t="n">
        <v>786.618408</v>
      </c>
      <c r="J29" t="n">
        <v>783.183228</v>
      </c>
      <c r="K29" t="n">
        <v>779.689026</v>
      </c>
      <c r="L29" t="n">
        <v>775.450012</v>
      </c>
      <c r="M29" t="n">
        <v>769.398071</v>
      </c>
      <c r="N29" t="n">
        <v>759.902161</v>
      </c>
      <c r="O29" t="n">
        <v>749.353149</v>
      </c>
      <c r="P29" t="n">
        <v>736.87854</v>
      </c>
      <c r="Q29" t="n">
        <v>724.180664</v>
      </c>
      <c r="R29" t="n">
        <v>713.244385</v>
      </c>
      <c r="S29" t="n">
        <v>702.289001</v>
      </c>
      <c r="T29" t="n">
        <v>691.018555</v>
      </c>
      <c r="U29" t="n">
        <v>680.328491</v>
      </c>
      <c r="V29" t="n">
        <v>671.508911</v>
      </c>
      <c r="W29" t="n">
        <v>664.934265</v>
      </c>
      <c r="X29" t="n">
        <v>660.106567</v>
      </c>
      <c r="Y29" t="n">
        <v>654.973938</v>
      </c>
      <c r="Z29" t="n">
        <v>650.0242919999999</v>
      </c>
      <c r="AA29" t="n">
        <v>645.5703119999999</v>
      </c>
      <c r="AB29" t="n">
        <v>642.489502</v>
      </c>
      <c r="AC29" t="n">
        <v>638.272705</v>
      </c>
      <c r="AD29" t="n">
        <v>636.511536</v>
      </c>
      <c r="AE29" t="n">
        <v>637.533508</v>
      </c>
      <c r="AF29" t="n">
        <v>635.757263</v>
      </c>
      <c r="AG29" t="n">
        <v>636.629944</v>
      </c>
      <c r="AH29" t="n">
        <v>637.633301</v>
      </c>
      <c r="AI29" t="n">
        <v>-0.007</v>
      </c>
    </row>
    <row r="30">
      <c r="A30" t="inlineStr">
        <is>
          <t>ISM000:fa_OtherPetroleu</t>
        </is>
      </c>
      <c r="B30" t="inlineStr">
        <is>
          <t>,ISIC 241,</t>
        </is>
      </c>
      <c r="C30" t="inlineStr">
        <is>
          <t>Other Petroleum and Coal Products</t>
        </is>
      </c>
      <c r="D30" t="inlineStr">
        <is>
          <t>Industrial Macroeconomic: Manufacturing: Petroleum and Coal: Other Petroleum &amp; Coal Products: High Zero-Carbon Technology Cost</t>
        </is>
      </c>
      <c r="E30" t="inlineStr">
        <is>
          <t>AEO.2025.HIGHZTC.ECI_VOS_MANF_PCLO_NA_NA_NA_BLNY09DLR.A</t>
        </is>
      </c>
      <c r="F30" t="inlineStr">
        <is>
          <t>billion 2012 $</t>
        </is>
      </c>
      <c r="H30" t="n">
        <v>42.27409</v>
      </c>
      <c r="I30" t="n">
        <v>43.112217</v>
      </c>
      <c r="J30" t="n">
        <v>43.174866</v>
      </c>
      <c r="K30" t="n">
        <v>42.94622</v>
      </c>
      <c r="L30" t="n">
        <v>42.663628</v>
      </c>
      <c r="M30" t="n">
        <v>42.391701</v>
      </c>
      <c r="N30" t="n">
        <v>41.970547</v>
      </c>
      <c r="O30" t="n">
        <v>41.586861</v>
      </c>
      <c r="P30" t="n">
        <v>41.049202</v>
      </c>
      <c r="Q30" t="n">
        <v>40.399086</v>
      </c>
      <c r="R30" t="n">
        <v>39.777332</v>
      </c>
      <c r="S30" t="n">
        <v>39.220341</v>
      </c>
      <c r="T30" t="n">
        <v>38.769024</v>
      </c>
      <c r="U30" t="n">
        <v>38.312031</v>
      </c>
      <c r="V30" t="n">
        <v>37.90834</v>
      </c>
      <c r="W30" t="n">
        <v>37.595055</v>
      </c>
      <c r="X30" t="n">
        <v>37.408058</v>
      </c>
      <c r="Y30" t="n">
        <v>37.186394</v>
      </c>
      <c r="Z30" t="n">
        <v>36.85239</v>
      </c>
      <c r="AA30" t="n">
        <v>36.558922</v>
      </c>
      <c r="AB30" t="n">
        <v>36.367348</v>
      </c>
      <c r="AC30" t="n">
        <v>36.158981</v>
      </c>
      <c r="AD30" t="n">
        <v>35.947632</v>
      </c>
      <c r="AE30" t="n">
        <v>35.801125</v>
      </c>
      <c r="AF30" t="n">
        <v>35.610645</v>
      </c>
      <c r="AG30" t="n">
        <v>35.501125</v>
      </c>
      <c r="AH30" t="n">
        <v>35.411743</v>
      </c>
      <c r="AI30" t="n">
        <v>-0.007</v>
      </c>
    </row>
    <row r="31">
      <c r="A31" t="inlineStr">
        <is>
          <t>ISM000:fa_RubberandMisc</t>
        </is>
      </c>
      <c r="B31" t="inlineStr">
        <is>
          <t>,ISIC 22,</t>
        </is>
      </c>
      <c r="C31" t="inlineStr">
        <is>
          <t>Plastics and Rubber Products</t>
        </is>
      </c>
      <c r="D31" t="inlineStr">
        <is>
          <t>Industrial Macroeconomic: Manufacturing: Plastics and Rubber Products: High Zero-Carbon Technology Cost</t>
        </is>
      </c>
      <c r="E31" t="inlineStr">
        <is>
          <t>AEO.2025.HIGHZTC.ECI_VOS_MANF_PRP_NA_NA_NA_BLNY09DLR.A</t>
        </is>
      </c>
      <c r="F31" t="inlineStr">
        <is>
          <t>billion 2012 $</t>
        </is>
      </c>
      <c r="H31" t="n">
        <v>212.329132</v>
      </c>
      <c r="I31" t="n">
        <v>217.696106</v>
      </c>
      <c r="J31" t="n">
        <v>224.714172</v>
      </c>
      <c r="K31" t="n">
        <v>228.998383</v>
      </c>
      <c r="L31" t="n">
        <v>231.000732</v>
      </c>
      <c r="M31" t="n">
        <v>233.928268</v>
      </c>
      <c r="N31" t="n">
        <v>237.692154</v>
      </c>
      <c r="O31" t="n">
        <v>241.49115</v>
      </c>
      <c r="P31" t="n">
        <v>245.098969</v>
      </c>
      <c r="Q31" t="n">
        <v>248.243774</v>
      </c>
      <c r="R31" t="n">
        <v>252.306168</v>
      </c>
      <c r="S31" t="n">
        <v>255.406128</v>
      </c>
      <c r="T31" t="n">
        <v>257.668365</v>
      </c>
      <c r="U31" t="n">
        <v>260.664551</v>
      </c>
      <c r="V31" t="n">
        <v>263.215424</v>
      </c>
      <c r="W31" t="n">
        <v>265.90036</v>
      </c>
      <c r="X31" t="n">
        <v>268.942963</v>
      </c>
      <c r="Y31" t="n">
        <v>271.580078</v>
      </c>
      <c r="Z31" t="n">
        <v>274.435425</v>
      </c>
      <c r="AA31" t="n">
        <v>276.424652</v>
      </c>
      <c r="AB31" t="n">
        <v>278.511597</v>
      </c>
      <c r="AC31" t="n">
        <v>280.172211</v>
      </c>
      <c r="AD31" t="n">
        <v>282.027313</v>
      </c>
      <c r="AE31" t="n">
        <v>284.194641</v>
      </c>
      <c r="AF31" t="n">
        <v>286.123779</v>
      </c>
      <c r="AG31" t="n">
        <v>288.19809</v>
      </c>
      <c r="AH31" t="n">
        <v>289.852631</v>
      </c>
      <c r="AI31" t="n">
        <v>0.012</v>
      </c>
    </row>
    <row r="32">
      <c r="A32" t="inlineStr">
        <is>
          <t>ISM000:fa_Stone,Clay,an</t>
        </is>
      </c>
      <c r="C32" t="inlineStr">
        <is>
          <t>Non-metallic minerals</t>
        </is>
      </c>
      <c r="D32" t="inlineStr">
        <is>
          <t>Industrial Macroeconomic: Manufacturing: Stone, Clay, and Glass Products: High Zero-Carbon Technology Cost</t>
        </is>
      </c>
      <c r="E32" t="inlineStr">
        <is>
          <t>AEO.2025.HIGHZTC.ECI_VOS_MANF_SCG_NA_NA_NA_BLNY09DLR.A</t>
        </is>
      </c>
      <c r="F32" t="inlineStr">
        <is>
          <t>billion 2012 $</t>
        </is>
      </c>
      <c r="H32" t="n">
        <v>111.547691</v>
      </c>
      <c r="I32" t="n">
        <v>111.646118</v>
      </c>
      <c r="J32" t="n">
        <v>111.83931</v>
      </c>
      <c r="K32" t="n">
        <v>112.530006</v>
      </c>
      <c r="L32" t="n">
        <v>113.191704</v>
      </c>
      <c r="M32" t="n">
        <v>113.502251</v>
      </c>
      <c r="N32" t="n">
        <v>114.455154</v>
      </c>
      <c r="O32" t="n">
        <v>115.922195</v>
      </c>
      <c r="P32" t="n">
        <v>117.233231</v>
      </c>
      <c r="Q32" t="n">
        <v>118.135986</v>
      </c>
      <c r="R32" t="n">
        <v>118.882309</v>
      </c>
      <c r="S32" t="n">
        <v>119.855042</v>
      </c>
      <c r="T32" t="n">
        <v>120.868042</v>
      </c>
      <c r="U32" t="n">
        <v>121.951553</v>
      </c>
      <c r="V32" t="n">
        <v>123.172432</v>
      </c>
      <c r="W32" t="n">
        <v>124.29541</v>
      </c>
      <c r="X32" t="n">
        <v>125.051186</v>
      </c>
      <c r="Y32" t="n">
        <v>125.540993</v>
      </c>
      <c r="Z32" t="n">
        <v>125.832672</v>
      </c>
      <c r="AA32" t="n">
        <v>125.669724</v>
      </c>
      <c r="AB32" t="n">
        <v>125.183174</v>
      </c>
      <c r="AC32" t="n">
        <v>125.382446</v>
      </c>
      <c r="AD32" t="n">
        <v>126.047348</v>
      </c>
      <c r="AE32" t="n">
        <v>126.827301</v>
      </c>
      <c r="AF32" t="n">
        <v>127.722153</v>
      </c>
      <c r="AG32" t="n">
        <v>128.639481</v>
      </c>
      <c r="AH32" t="n">
        <v>129.612427</v>
      </c>
      <c r="AI32" t="n">
        <v>0.006</v>
      </c>
    </row>
    <row r="33">
      <c r="A33" t="inlineStr">
        <is>
          <t>ISM000:fa_GlassandGlass</t>
        </is>
      </c>
      <c r="B33" t="inlineStr">
        <is>
          <t>,ISIC 231,</t>
        </is>
      </c>
      <c r="C33" t="inlineStr">
        <is>
          <t>Glass and Glass Products</t>
        </is>
      </c>
      <c r="D33" t="inlineStr">
        <is>
          <t>Industrial Macroeconomic: Manufacturing: Stone, Clay, and Glass: Glass and Glass Products: High Zero-Carbon Technology Cost</t>
        </is>
      </c>
      <c r="E33" t="inlineStr">
        <is>
          <t>AEO.2025.HIGHZTC.ECI_VOS_MANF_SCGG_NA_NA_NA_BLNY09DLR.A</t>
        </is>
      </c>
      <c r="F33" t="inlineStr">
        <is>
          <t>billion 2012 $</t>
        </is>
      </c>
      <c r="H33" t="n">
        <v>21.45093</v>
      </c>
      <c r="I33" t="n">
        <v>21.290245</v>
      </c>
      <c r="J33" t="n">
        <v>21.242983</v>
      </c>
      <c r="K33" t="n">
        <v>21.230724</v>
      </c>
      <c r="L33" t="n">
        <v>21.263985</v>
      </c>
      <c r="M33" t="n">
        <v>21.310061</v>
      </c>
      <c r="N33" t="n">
        <v>21.371811</v>
      </c>
      <c r="O33" t="n">
        <v>21.476692</v>
      </c>
      <c r="P33" t="n">
        <v>21.61256</v>
      </c>
      <c r="Q33" t="n">
        <v>21.745703</v>
      </c>
      <c r="R33" t="n">
        <v>21.89089</v>
      </c>
      <c r="S33" t="n">
        <v>22.055412</v>
      </c>
      <c r="T33" t="n">
        <v>22.216677</v>
      </c>
      <c r="U33" t="n">
        <v>22.39768</v>
      </c>
      <c r="V33" t="n">
        <v>22.595711</v>
      </c>
      <c r="W33" t="n">
        <v>22.798956</v>
      </c>
      <c r="X33" t="n">
        <v>23.015873</v>
      </c>
      <c r="Y33" t="n">
        <v>23.23588</v>
      </c>
      <c r="Z33" t="n">
        <v>23.452274</v>
      </c>
      <c r="AA33" t="n">
        <v>23.653669</v>
      </c>
      <c r="AB33" t="n">
        <v>23.834209</v>
      </c>
      <c r="AC33" t="n">
        <v>23.998465</v>
      </c>
      <c r="AD33" t="n">
        <v>24.153</v>
      </c>
      <c r="AE33" t="n">
        <v>24.320282</v>
      </c>
      <c r="AF33" t="n">
        <v>24.498272</v>
      </c>
      <c r="AG33" t="n">
        <v>24.677088</v>
      </c>
      <c r="AH33" t="n">
        <v>24.843611</v>
      </c>
      <c r="AI33" t="n">
        <v>0.006</v>
      </c>
    </row>
    <row r="34">
      <c r="A34" t="inlineStr">
        <is>
          <t>ISM000:fa_CementandHydr</t>
        </is>
      </c>
      <c r="B34" t="inlineStr">
        <is>
          <t>,ISIC 239,</t>
        </is>
      </c>
      <c r="C34" t="inlineStr">
        <is>
          <t>Cement and Lime</t>
        </is>
      </c>
      <c r="D34" t="inlineStr">
        <is>
          <t>Industrial Macroeconomic: Manufacturing: Stone, Clay, and Glass: Cement and Lime: High Zero-Carbon Technology Cost</t>
        </is>
      </c>
      <c r="E34" t="inlineStr">
        <is>
          <t>AEO.2025.HIGHZTC.ECI_VOS_MANF_SCGCL_NA_NA_NA_BLNY09DLR.A</t>
        </is>
      </c>
      <c r="F34" t="inlineStr">
        <is>
          <t>billion 2012 $</t>
        </is>
      </c>
      <c r="H34" t="n">
        <v>9.305412</v>
      </c>
      <c r="I34" t="n">
        <v>9.341552</v>
      </c>
      <c r="J34" t="n">
        <v>9.271191999999999</v>
      </c>
      <c r="K34" t="n">
        <v>9.279629</v>
      </c>
      <c r="L34" t="n">
        <v>9.351248</v>
      </c>
      <c r="M34" t="n">
        <v>9.433073</v>
      </c>
      <c r="N34" t="n">
        <v>9.557518999999999</v>
      </c>
      <c r="O34" t="n">
        <v>9.703685999999999</v>
      </c>
      <c r="P34" t="n">
        <v>9.855732</v>
      </c>
      <c r="Q34" t="n">
        <v>9.999584</v>
      </c>
      <c r="R34" t="n">
        <v>10.13154</v>
      </c>
      <c r="S34" t="n">
        <v>10.260571</v>
      </c>
      <c r="T34" t="n">
        <v>10.38773</v>
      </c>
      <c r="U34" t="n">
        <v>10.523909</v>
      </c>
      <c r="V34" t="n">
        <v>10.673493</v>
      </c>
      <c r="W34" t="n">
        <v>10.821849</v>
      </c>
      <c r="X34" t="n">
        <v>10.946848</v>
      </c>
      <c r="Y34" t="n">
        <v>11.046646</v>
      </c>
      <c r="Z34" t="n">
        <v>11.118332</v>
      </c>
      <c r="AA34" t="n">
        <v>11.14825</v>
      </c>
      <c r="AB34" t="n">
        <v>11.14453</v>
      </c>
      <c r="AC34" t="n">
        <v>11.16645</v>
      </c>
      <c r="AD34" t="n">
        <v>11.222955</v>
      </c>
      <c r="AE34" t="n">
        <v>11.310638</v>
      </c>
      <c r="AF34" t="n">
        <v>11.422865</v>
      </c>
      <c r="AG34" t="n">
        <v>11.550447</v>
      </c>
      <c r="AH34" t="n">
        <v>11.685319</v>
      </c>
      <c r="AI34" t="n">
        <v>0.008999999999999999</v>
      </c>
    </row>
    <row r="35">
      <c r="A35" t="inlineStr">
        <is>
          <t>ISM000:fa_OtherStone,Cl</t>
        </is>
      </c>
      <c r="B35" t="inlineStr">
        <is>
          <t>,ISIC 239,</t>
        </is>
      </c>
      <c r="C35" t="inlineStr">
        <is>
          <t>Other Nonmetallic Mineral Products</t>
        </is>
      </c>
      <c r="D35" t="inlineStr">
        <is>
          <t>Industrial Macroeconomic: Manufacturing: Stone, Clay, and Glass: Other Nonmetallic Mineral Products: High Zero-Carbon Technology Cost</t>
        </is>
      </c>
      <c r="E35" t="inlineStr">
        <is>
          <t>AEO.2025.HIGHZTC.ECI_VOS_MANF_SCGOM_NA_NA_NA_BLNY09DLR.A</t>
        </is>
      </c>
      <c r="F35" t="inlineStr">
        <is>
          <t>billion 2012 $</t>
        </is>
      </c>
      <c r="H35" t="n">
        <v>80.79135100000001</v>
      </c>
      <c r="I35" t="n">
        <v>81.01432</v>
      </c>
      <c r="J35" t="n">
        <v>81.32513400000001</v>
      </c>
      <c r="K35" t="n">
        <v>82.01965300000001</v>
      </c>
      <c r="L35" t="n">
        <v>82.576469</v>
      </c>
      <c r="M35" t="n">
        <v>82.759117</v>
      </c>
      <c r="N35" t="n">
        <v>83.525826</v>
      </c>
      <c r="O35" t="n">
        <v>84.74181400000001</v>
      </c>
      <c r="P35" t="n">
        <v>85.764938</v>
      </c>
      <c r="Q35" t="n">
        <v>86.39070100000001</v>
      </c>
      <c r="R35" t="n">
        <v>86.85987900000001</v>
      </c>
      <c r="S35" t="n">
        <v>87.539062</v>
      </c>
      <c r="T35" t="n">
        <v>88.263634</v>
      </c>
      <c r="U35" t="n">
        <v>89.029968</v>
      </c>
      <c r="V35" t="n">
        <v>89.903229</v>
      </c>
      <c r="W35" t="n">
        <v>90.674606</v>
      </c>
      <c r="X35" t="n">
        <v>91.088463</v>
      </c>
      <c r="Y35" t="n">
        <v>91.25846900000001</v>
      </c>
      <c r="Z35" t="n">
        <v>91.26206999999999</v>
      </c>
      <c r="AA35" t="n">
        <v>90.867805</v>
      </c>
      <c r="AB35" t="n">
        <v>90.204437</v>
      </c>
      <c r="AC35" t="n">
        <v>90.217529</v>
      </c>
      <c r="AD35" t="n">
        <v>90.67139400000001</v>
      </c>
      <c r="AE35" t="n">
        <v>91.196381</v>
      </c>
      <c r="AF35" t="n">
        <v>91.801018</v>
      </c>
      <c r="AG35" t="n">
        <v>92.41194900000001</v>
      </c>
      <c r="AH35" t="n">
        <v>93.083488</v>
      </c>
      <c r="AI35" t="n">
        <v>0.005</v>
      </c>
    </row>
    <row r="36">
      <c r="A36" t="inlineStr">
        <is>
          <t>ISM000:ga_PrimaryMetals</t>
        </is>
      </c>
      <c r="C36" t="inlineStr">
        <is>
          <t>Primary Metals Industry</t>
        </is>
      </c>
      <c r="D36" t="inlineStr">
        <is>
          <t>Industrial Macroeconomic: Manufacturing: Primary Metals Industry: High Zero-Carbon Technology Cost</t>
        </is>
      </c>
      <c r="E36" t="inlineStr">
        <is>
          <t>AEO.2025.HIGHZTC.ECI_VOS_MANF_PMM_NA_NA_NA_BLNY09DLR.A</t>
        </is>
      </c>
      <c r="F36" t="inlineStr">
        <is>
          <t>billion 2012 $</t>
        </is>
      </c>
      <c r="H36" t="n">
        <v>244.865036</v>
      </c>
      <c r="I36" t="n">
        <v>248.52803</v>
      </c>
      <c r="J36" t="n">
        <v>255.542496</v>
      </c>
      <c r="K36" t="n">
        <v>258.274902</v>
      </c>
      <c r="L36" t="n">
        <v>258.450531</v>
      </c>
      <c r="M36" t="n">
        <v>259.364136</v>
      </c>
      <c r="N36" t="n">
        <v>262.413971</v>
      </c>
      <c r="O36" t="n">
        <v>266.268433</v>
      </c>
      <c r="P36" t="n">
        <v>270.278839</v>
      </c>
      <c r="Q36" t="n">
        <v>271.53186</v>
      </c>
      <c r="R36" t="n">
        <v>274.663147</v>
      </c>
      <c r="S36" t="n">
        <v>277.693695</v>
      </c>
      <c r="T36" t="n">
        <v>280.427246</v>
      </c>
      <c r="U36" t="n">
        <v>284.756256</v>
      </c>
      <c r="V36" t="n">
        <v>288.452942</v>
      </c>
      <c r="W36" t="n">
        <v>292.013855</v>
      </c>
      <c r="X36" t="n">
        <v>297.006897</v>
      </c>
      <c r="Y36" t="n">
        <v>300.80423</v>
      </c>
      <c r="Z36" t="n">
        <v>303.972198</v>
      </c>
      <c r="AA36" t="n">
        <v>308.312378</v>
      </c>
      <c r="AB36" t="n">
        <v>311.885468</v>
      </c>
      <c r="AC36" t="n">
        <v>314.560791</v>
      </c>
      <c r="AD36" t="n">
        <v>316.644135</v>
      </c>
      <c r="AE36" t="n">
        <v>319.675537</v>
      </c>
      <c r="AF36" t="n">
        <v>321.567108</v>
      </c>
      <c r="AG36" t="n">
        <v>322.922424</v>
      </c>
      <c r="AH36" t="n">
        <v>324.232117</v>
      </c>
      <c r="AI36" t="n">
        <v>0.011</v>
      </c>
    </row>
    <row r="37">
      <c r="A37" t="inlineStr">
        <is>
          <t>ISM000:ga_BlastFurnacea</t>
        </is>
      </c>
      <c r="B37" t="inlineStr">
        <is>
          <t>,ISIC 241,</t>
        </is>
      </c>
      <c r="C37" t="inlineStr">
        <is>
          <t>Iron and Steel Mills and Products</t>
        </is>
      </c>
      <c r="D37" t="inlineStr">
        <is>
          <t>Industrial Macroeconomic: Manufacturing: Primary Metals: Iron and Steel Mills and Products: High Zero-Carbon Technology Cost</t>
        </is>
      </c>
      <c r="E37" t="inlineStr">
        <is>
          <t>AEO.2025.HIGHZTC.ECI_VOS_MANF_ISM_NA_NA_NA_BLNY09DLR.A</t>
        </is>
      </c>
      <c r="F37" t="inlineStr">
        <is>
          <t>billion 2012 $</t>
        </is>
      </c>
      <c r="H37" t="n">
        <v>131.325729</v>
      </c>
      <c r="I37" t="n">
        <v>134.934113</v>
      </c>
      <c r="J37" t="n">
        <v>141.459885</v>
      </c>
      <c r="K37" t="n">
        <v>142.773773</v>
      </c>
      <c r="L37" t="n">
        <v>141.887939</v>
      </c>
      <c r="M37" t="n">
        <v>141.749786</v>
      </c>
      <c r="N37" t="n">
        <v>143.738235</v>
      </c>
      <c r="O37" t="n">
        <v>146.534988</v>
      </c>
      <c r="P37" t="n">
        <v>149.384964</v>
      </c>
      <c r="Q37" t="n">
        <v>149.455109</v>
      </c>
      <c r="R37" t="n">
        <v>151.378143</v>
      </c>
      <c r="S37" t="n">
        <v>153.106293</v>
      </c>
      <c r="T37" t="n">
        <v>154.536301</v>
      </c>
      <c r="U37" t="n">
        <v>157.535034</v>
      </c>
      <c r="V37" t="n">
        <v>159.873383</v>
      </c>
      <c r="W37" t="n">
        <v>162.084717</v>
      </c>
      <c r="X37" t="n">
        <v>165.732437</v>
      </c>
      <c r="Y37" t="n">
        <v>168.196808</v>
      </c>
      <c r="Z37" t="n">
        <v>170.064301</v>
      </c>
      <c r="AA37" t="n">
        <v>173.142654</v>
      </c>
      <c r="AB37" t="n">
        <v>175.508896</v>
      </c>
      <c r="AC37" t="n">
        <v>177.0495</v>
      </c>
      <c r="AD37" t="n">
        <v>178.078873</v>
      </c>
      <c r="AE37" t="n">
        <v>180.097672</v>
      </c>
      <c r="AF37" t="n">
        <v>181.03627</v>
      </c>
      <c r="AG37" t="n">
        <v>181.499786</v>
      </c>
      <c r="AH37" t="n">
        <v>181.988113</v>
      </c>
      <c r="AI37" t="n">
        <v>0.013</v>
      </c>
    </row>
    <row r="38">
      <c r="A38" t="inlineStr">
        <is>
          <t>ISM000:ga_Aluminum</t>
        </is>
      </c>
      <c r="B38" t="inlineStr">
        <is>
          <t>,ISIC 242,</t>
        </is>
      </c>
      <c r="C38" t="inlineStr">
        <is>
          <t>Alumina and Aluminum Products</t>
        </is>
      </c>
      <c r="D38" t="inlineStr">
        <is>
          <t>Industrial Macroeconomic: Manufacturing: Primary Metals: Alumina and Aluminum Products: High Zero-Carbon Technology Cost</t>
        </is>
      </c>
      <c r="E38" t="inlineStr">
        <is>
          <t>AEO.2025.HIGHZTC.ECI_VOS_MANF_AAP_NA_NA_NA_BLNY09DLR.A</t>
        </is>
      </c>
      <c r="F38" t="inlineStr">
        <is>
          <t>billion 2012 $</t>
        </is>
      </c>
      <c r="H38" t="n">
        <v>34.597599</v>
      </c>
      <c r="I38" t="n">
        <v>34.167324</v>
      </c>
      <c r="J38" t="n">
        <v>34.714939</v>
      </c>
      <c r="K38" t="n">
        <v>35.325741</v>
      </c>
      <c r="L38" t="n">
        <v>35.804806</v>
      </c>
      <c r="M38" t="n">
        <v>36.362534</v>
      </c>
      <c r="N38" t="n">
        <v>36.869461</v>
      </c>
      <c r="O38" t="n">
        <v>37.424278</v>
      </c>
      <c r="P38" t="n">
        <v>38.041748</v>
      </c>
      <c r="Q38" t="n">
        <v>38.662601</v>
      </c>
      <c r="R38" t="n">
        <v>39.322857</v>
      </c>
      <c r="S38" t="n">
        <v>40.049435</v>
      </c>
      <c r="T38" t="n">
        <v>40.793427</v>
      </c>
      <c r="U38" t="n">
        <v>41.567074</v>
      </c>
      <c r="V38" t="n">
        <v>42.354301</v>
      </c>
      <c r="W38" t="n">
        <v>43.131817</v>
      </c>
      <c r="X38" t="n">
        <v>43.905979</v>
      </c>
      <c r="Y38" t="n">
        <v>44.671326</v>
      </c>
      <c r="Z38" t="n">
        <v>45.415844</v>
      </c>
      <c r="AA38" t="n">
        <v>46.116341</v>
      </c>
      <c r="AB38" t="n">
        <v>46.751091</v>
      </c>
      <c r="AC38" t="n">
        <v>47.299404</v>
      </c>
      <c r="AD38" t="n">
        <v>47.767883</v>
      </c>
      <c r="AE38" t="n">
        <v>48.191673</v>
      </c>
      <c r="AF38" t="n">
        <v>48.568092</v>
      </c>
      <c r="AG38" t="n">
        <v>48.904499</v>
      </c>
      <c r="AH38" t="n">
        <v>49.198971</v>
      </c>
      <c r="AI38" t="n">
        <v>0.014</v>
      </c>
    </row>
    <row r="39">
      <c r="A39" t="inlineStr">
        <is>
          <t>ISM000:ga_OtherPrimaryM</t>
        </is>
      </c>
      <c r="B39" t="inlineStr">
        <is>
          <t>,ISIC 242,</t>
        </is>
      </c>
      <c r="C39" t="inlineStr">
        <is>
          <t>Other Primary Metal Products</t>
        </is>
      </c>
      <c r="D39" t="inlineStr">
        <is>
          <t>Industrial Macroeconomic: Manufacturing: Primary Metals: Other Primary Metal Products: High Zero-Carbon Technology Cost</t>
        </is>
      </c>
      <c r="E39" t="inlineStr">
        <is>
          <t>AEO.2025.HIGHZTC.ECI_VOS_MANF_PMO_NA_NA_NA_BLNY09DLR.A</t>
        </is>
      </c>
      <c r="F39" t="inlineStr">
        <is>
          <t>billion 2012 $</t>
        </is>
      </c>
      <c r="H39" t="n">
        <v>78.941711</v>
      </c>
      <c r="I39" t="n">
        <v>79.426582</v>
      </c>
      <c r="J39" t="n">
        <v>79.36766799999999</v>
      </c>
      <c r="K39" t="n">
        <v>80.175369</v>
      </c>
      <c r="L39" t="n">
        <v>80.75779</v>
      </c>
      <c r="M39" t="n">
        <v>81.251801</v>
      </c>
      <c r="N39" t="n">
        <v>81.806282</v>
      </c>
      <c r="O39" t="n">
        <v>82.309166</v>
      </c>
      <c r="P39" t="n">
        <v>82.852135</v>
      </c>
      <c r="Q39" t="n">
        <v>83.414146</v>
      </c>
      <c r="R39" t="n">
        <v>83.962135</v>
      </c>
      <c r="S39" t="n">
        <v>84.53795599999999</v>
      </c>
      <c r="T39" t="n">
        <v>85.09751900000001</v>
      </c>
      <c r="U39" t="n">
        <v>85.654175</v>
      </c>
      <c r="V39" t="n">
        <v>86.225258</v>
      </c>
      <c r="W39" t="n">
        <v>86.797302</v>
      </c>
      <c r="X39" t="n">
        <v>87.368469</v>
      </c>
      <c r="Y39" t="n">
        <v>87.93609600000001</v>
      </c>
      <c r="Z39" t="n">
        <v>88.492043</v>
      </c>
      <c r="AA39" t="n">
        <v>89.053383</v>
      </c>
      <c r="AB39" t="n">
        <v>89.62550400000001</v>
      </c>
      <c r="AC39" t="n">
        <v>90.211868</v>
      </c>
      <c r="AD39" t="n">
        <v>90.797394</v>
      </c>
      <c r="AE39" t="n">
        <v>91.3862</v>
      </c>
      <c r="AF39" t="n">
        <v>91.962723</v>
      </c>
      <c r="AG39" t="n">
        <v>92.51812700000001</v>
      </c>
      <c r="AH39" t="n">
        <v>93.045013</v>
      </c>
      <c r="AI39" t="n">
        <v>0.006</v>
      </c>
    </row>
    <row r="40">
      <c r="A40" t="inlineStr">
        <is>
          <t>ISM000:ga_FabricatedMet</t>
        </is>
      </c>
      <c r="B40" t="inlineStr">
        <is>
          <t>,ISIC 25,</t>
        </is>
      </c>
      <c r="C40" t="inlineStr">
        <is>
          <t>Fabricated Metal Products</t>
        </is>
      </c>
      <c r="D40" t="inlineStr">
        <is>
          <t>Industrial Macroeconomic: Manufacturing: Fabricated Metal Products: High Zero-Carbon Technology Cost</t>
        </is>
      </c>
      <c r="E40" t="inlineStr">
        <is>
          <t>AEO.2025.HIGHZTC.ECI_VOS_MANF_FBP_NA_NA_NA_BLNY09DLR.A</t>
        </is>
      </c>
      <c r="F40" t="inlineStr">
        <is>
          <t>billion 2012 $</t>
        </is>
      </c>
      <c r="H40" t="n">
        <v>302.453583</v>
      </c>
      <c r="I40" t="n">
        <v>308.423645</v>
      </c>
      <c r="J40" t="n">
        <v>320.753296</v>
      </c>
      <c r="K40" t="n">
        <v>328.516968</v>
      </c>
      <c r="L40" t="n">
        <v>329.17981</v>
      </c>
      <c r="M40" t="n">
        <v>329.989777</v>
      </c>
      <c r="N40" t="n">
        <v>332.519562</v>
      </c>
      <c r="O40" t="n">
        <v>335.487305</v>
      </c>
      <c r="P40" t="n">
        <v>338.850281</v>
      </c>
      <c r="Q40" t="n">
        <v>339.641541</v>
      </c>
      <c r="R40" t="n">
        <v>343.304688</v>
      </c>
      <c r="S40" t="n">
        <v>344.994019</v>
      </c>
      <c r="T40" t="n">
        <v>347.506378</v>
      </c>
      <c r="U40" t="n">
        <v>351.450073</v>
      </c>
      <c r="V40" t="n">
        <v>354.346893</v>
      </c>
      <c r="W40" t="n">
        <v>357.362793</v>
      </c>
      <c r="X40" t="n">
        <v>361.169312</v>
      </c>
      <c r="Y40" t="n">
        <v>363.914948</v>
      </c>
      <c r="Z40" t="n">
        <v>366.687836</v>
      </c>
      <c r="AA40" t="n">
        <v>368.300964</v>
      </c>
      <c r="AB40" t="n">
        <v>371.019073</v>
      </c>
      <c r="AC40" t="n">
        <v>372.191315</v>
      </c>
      <c r="AD40" t="n">
        <v>374.320221</v>
      </c>
      <c r="AE40" t="n">
        <v>376.14328</v>
      </c>
      <c r="AF40" t="n">
        <v>377.552765</v>
      </c>
      <c r="AG40" t="n">
        <v>379.679962</v>
      </c>
      <c r="AH40" t="n">
        <v>379.721832</v>
      </c>
      <c r="AI40" t="n">
        <v>0.008999999999999999</v>
      </c>
    </row>
    <row r="41">
      <c r="A41" t="inlineStr">
        <is>
          <t>ISM000:ga_IndustrialMac</t>
        </is>
      </c>
      <c r="B41" t="inlineStr">
        <is>
          <t>,ISIC 28,</t>
        </is>
      </c>
      <c r="C41" t="inlineStr">
        <is>
          <t>Machinery</t>
        </is>
      </c>
      <c r="D41" t="inlineStr">
        <is>
          <t>Industrial Macroeconomic: Manufacturing: Machinery: High Zero-Carbon Technology Cost</t>
        </is>
      </c>
      <c r="E41" t="inlineStr">
        <is>
          <t>AEO.2025.HIGHZTC.ECI_VOS_MANF_MCHI_NA_NA_NA_BLNY09DLR.A</t>
        </is>
      </c>
      <c r="F41" t="inlineStr">
        <is>
          <t>billion 2012 $</t>
        </is>
      </c>
      <c r="H41" t="n">
        <v>298.007568</v>
      </c>
      <c r="I41" t="n">
        <v>301.467865</v>
      </c>
      <c r="J41" t="n">
        <v>307.617004</v>
      </c>
      <c r="K41" t="n">
        <v>319.366699</v>
      </c>
      <c r="L41" t="n">
        <v>326.129608</v>
      </c>
      <c r="M41" t="n">
        <v>331.912842</v>
      </c>
      <c r="N41" t="n">
        <v>338.646362</v>
      </c>
      <c r="O41" t="n">
        <v>343.727081</v>
      </c>
      <c r="P41" t="n">
        <v>348.294067</v>
      </c>
      <c r="Q41" t="n">
        <v>349.591461</v>
      </c>
      <c r="R41" t="n">
        <v>352.931213</v>
      </c>
      <c r="S41" t="n">
        <v>355.550873</v>
      </c>
      <c r="T41" t="n">
        <v>358.416809</v>
      </c>
      <c r="U41" t="n">
        <v>361.28418</v>
      </c>
      <c r="V41" t="n">
        <v>362.449188</v>
      </c>
      <c r="W41" t="n">
        <v>363.335358</v>
      </c>
      <c r="X41" t="n">
        <v>364.774994</v>
      </c>
      <c r="Y41" t="n">
        <v>365.611969</v>
      </c>
      <c r="Z41" t="n">
        <v>366.479584</v>
      </c>
      <c r="AA41" t="n">
        <v>366.931366</v>
      </c>
      <c r="AB41" t="n">
        <v>367.695129</v>
      </c>
      <c r="AC41" t="n">
        <v>367.918579</v>
      </c>
      <c r="AD41" t="n">
        <v>368.884979</v>
      </c>
      <c r="AE41" t="n">
        <v>370.444489</v>
      </c>
      <c r="AF41" t="n">
        <v>370.690857</v>
      </c>
      <c r="AG41" t="n">
        <v>371.664276</v>
      </c>
      <c r="AH41" t="n">
        <v>371.938568</v>
      </c>
      <c r="AI41" t="n">
        <v>0.008999999999999999</v>
      </c>
    </row>
    <row r="42">
      <c r="A42" t="inlineStr">
        <is>
          <t>ISM000:ga_Electronicand</t>
        </is>
      </c>
      <c r="B42" t="inlineStr">
        <is>
          <t>,ISIC 26,</t>
        </is>
      </c>
      <c r="C42" t="inlineStr">
        <is>
          <t>Computers and Electronics</t>
        </is>
      </c>
      <c r="D42" t="inlineStr">
        <is>
          <t>Industrial Macroeconomic: Manufacturing: Computers and Electronics: High Zero-Carbon Technology Cost</t>
        </is>
      </c>
      <c r="E42" t="inlineStr">
        <is>
          <t>AEO.2025.HIGHZTC.ECI_VOS_MANF_CMPEL_NA_NA_NA_BLNY09DLR.A</t>
        </is>
      </c>
      <c r="F42" t="inlineStr">
        <is>
          <t>billion 2012 $</t>
        </is>
      </c>
      <c r="H42" t="n">
        <v>440.022278</v>
      </c>
      <c r="I42" t="n">
        <v>457.773651</v>
      </c>
      <c r="J42" t="n">
        <v>467.248352</v>
      </c>
      <c r="K42" t="n">
        <v>485.610229</v>
      </c>
      <c r="L42" t="n">
        <v>505.605988</v>
      </c>
      <c r="M42" t="n">
        <v>521.779541</v>
      </c>
      <c r="N42" t="n">
        <v>537.289001</v>
      </c>
      <c r="O42" t="n">
        <v>552.0299680000001</v>
      </c>
      <c r="P42" t="n">
        <v>567.710876</v>
      </c>
      <c r="Q42" t="n">
        <v>579.988464</v>
      </c>
      <c r="R42" t="n">
        <v>593.5048829999999</v>
      </c>
      <c r="S42" t="n">
        <v>608.810791</v>
      </c>
      <c r="T42" t="n">
        <v>626.121765</v>
      </c>
      <c r="U42" t="n">
        <v>643.887878</v>
      </c>
      <c r="V42" t="n">
        <v>661.9784550000001</v>
      </c>
      <c r="W42" t="n">
        <v>681.56665</v>
      </c>
      <c r="X42" t="n">
        <v>702.596497</v>
      </c>
      <c r="Y42" t="n">
        <v>724.232178</v>
      </c>
      <c r="Z42" t="n">
        <v>746.6678470000001</v>
      </c>
      <c r="AA42" t="n">
        <v>768.786194</v>
      </c>
      <c r="AB42" t="n">
        <v>792.4130249999999</v>
      </c>
      <c r="AC42" t="n">
        <v>815.761902</v>
      </c>
      <c r="AD42" t="n">
        <v>841.444763</v>
      </c>
      <c r="AE42" t="n">
        <v>868.177612</v>
      </c>
      <c r="AF42" t="n">
        <v>895.317261</v>
      </c>
      <c r="AG42" t="n">
        <v>922.963257</v>
      </c>
      <c r="AH42" t="n">
        <v>950.849609</v>
      </c>
      <c r="AI42" t="n">
        <v>0.03</v>
      </c>
    </row>
    <row r="43">
      <c r="A43" t="inlineStr">
        <is>
          <t>ISM000:ga_Transportatio</t>
        </is>
      </c>
      <c r="B43" t="inlineStr">
        <is>
          <t>,ISIC 29,ISIC 302T309,</t>
        </is>
      </c>
      <c r="C43" t="inlineStr">
        <is>
          <t>Transportation Equipment</t>
        </is>
      </c>
      <c r="D43" t="inlineStr">
        <is>
          <t>Industrial Macroeconomic: Manufacturing: Transportation Equipment: High Zero-Carbon Technology Cost</t>
        </is>
      </c>
      <c r="E43" t="inlineStr">
        <is>
          <t>AEO.2025.HIGHZTC.ECI_VOS_MANF_TEQ_NA_NA_NA_BLNY09DLR.A</t>
        </is>
      </c>
      <c r="F43" t="inlineStr">
        <is>
          <t>billion 2012 $</t>
        </is>
      </c>
      <c r="H43" t="n">
        <v>1067.689941</v>
      </c>
      <c r="I43" t="n">
        <v>1135.095947</v>
      </c>
      <c r="J43" t="n">
        <v>1211.557495</v>
      </c>
      <c r="K43" t="n">
        <v>1234.713989</v>
      </c>
      <c r="L43" t="n">
        <v>1260.625977</v>
      </c>
      <c r="M43" t="n">
        <v>1284.185791</v>
      </c>
      <c r="N43" t="n">
        <v>1298.361694</v>
      </c>
      <c r="O43" t="n">
        <v>1299.627441</v>
      </c>
      <c r="P43" t="n">
        <v>1310.219727</v>
      </c>
      <c r="Q43" t="n">
        <v>1323.284302</v>
      </c>
      <c r="R43" t="n">
        <v>1352.747803</v>
      </c>
      <c r="S43" t="n">
        <v>1371.891479</v>
      </c>
      <c r="T43" t="n">
        <v>1384.062012</v>
      </c>
      <c r="U43" t="n">
        <v>1398.425537</v>
      </c>
      <c r="V43" t="n">
        <v>1415.861206</v>
      </c>
      <c r="W43" t="n">
        <v>1434.640503</v>
      </c>
      <c r="X43" t="n">
        <v>1452.193237</v>
      </c>
      <c r="Y43" t="n">
        <v>1466.641235</v>
      </c>
      <c r="Z43" t="n">
        <v>1482.19519</v>
      </c>
      <c r="AA43" t="n">
        <v>1494.682739</v>
      </c>
      <c r="AB43" t="n">
        <v>1508.628052</v>
      </c>
      <c r="AC43" t="n">
        <v>1524.234985</v>
      </c>
      <c r="AD43" t="n">
        <v>1539.355713</v>
      </c>
      <c r="AE43" t="n">
        <v>1554.106201</v>
      </c>
      <c r="AF43" t="n">
        <v>1568.6698</v>
      </c>
      <c r="AG43" t="n">
        <v>1581.38147</v>
      </c>
      <c r="AH43" t="n">
        <v>1589.390747</v>
      </c>
      <c r="AI43" t="n">
        <v>0.015</v>
      </c>
    </row>
    <row r="44">
      <c r="A44" t="inlineStr">
        <is>
          <t>ISM000:ga_Instrumentsan</t>
        </is>
      </c>
      <c r="B44" t="inlineStr">
        <is>
          <t>,ISIC 27,</t>
        </is>
      </c>
      <c r="C44" t="inlineStr">
        <is>
          <t>Electrical Equipment</t>
        </is>
      </c>
      <c r="D44" t="inlineStr">
        <is>
          <t>Industrial Macroeconomic: Manufacturing: Electrical Equipment: High Zero-Carbon Technology Cost</t>
        </is>
      </c>
      <c r="E44" t="inlineStr">
        <is>
          <t>AEO.2025.HIGHZTC.ECI_VOS_MANF_EEQ_NA_NA_NA_BLNY09DLR.A</t>
        </is>
      </c>
      <c r="F44" t="inlineStr">
        <is>
          <t>billion 2012 $</t>
        </is>
      </c>
      <c r="H44" t="n">
        <v>117.174522</v>
      </c>
      <c r="I44" t="n">
        <v>117.890251</v>
      </c>
      <c r="J44" t="n">
        <v>117.056648</v>
      </c>
      <c r="K44" t="n">
        <v>118.637428</v>
      </c>
      <c r="L44" t="n">
        <v>121.151604</v>
      </c>
      <c r="M44" t="n">
        <v>122.989899</v>
      </c>
      <c r="N44" t="n">
        <v>124.640625</v>
      </c>
      <c r="O44" t="n">
        <v>125.652847</v>
      </c>
      <c r="P44" t="n">
        <v>126.778503</v>
      </c>
      <c r="Q44" t="n">
        <v>126.760826</v>
      </c>
      <c r="R44" t="n">
        <v>126.979576</v>
      </c>
      <c r="S44" t="n">
        <v>127.534897</v>
      </c>
      <c r="T44" t="n">
        <v>128.186218</v>
      </c>
      <c r="U44" t="n">
        <v>128.977249</v>
      </c>
      <c r="V44" t="n">
        <v>129.602203</v>
      </c>
      <c r="W44" t="n">
        <v>130.39653</v>
      </c>
      <c r="X44" t="n">
        <v>131.375854</v>
      </c>
      <c r="Y44" t="n">
        <v>132.214798</v>
      </c>
      <c r="Z44" t="n">
        <v>133.019226</v>
      </c>
      <c r="AA44" t="n">
        <v>133.660675</v>
      </c>
      <c r="AB44" t="n">
        <v>134.388824</v>
      </c>
      <c r="AC44" t="n">
        <v>134.903046</v>
      </c>
      <c r="AD44" t="n">
        <v>135.610321</v>
      </c>
      <c r="AE44" t="n">
        <v>136.455154</v>
      </c>
      <c r="AF44" t="n">
        <v>137.008881</v>
      </c>
      <c r="AG44" t="n">
        <v>137.575974</v>
      </c>
      <c r="AH44" t="n">
        <v>137.962296</v>
      </c>
      <c r="AI44" t="n">
        <v>0.006</v>
      </c>
    </row>
    <row r="45">
      <c r="A45" t="inlineStr">
        <is>
          <t>ISM000:ga_Miscellaneous</t>
        </is>
      </c>
      <c r="B45" t="inlineStr">
        <is>
          <t>,ISIC 31T33,</t>
        </is>
      </c>
      <c r="C45" t="inlineStr">
        <is>
          <t>Miscellaneous Manufacturing</t>
        </is>
      </c>
      <c r="D45" t="inlineStr">
        <is>
          <t>Industrial Macroeconomic: Manufacturing: Miscellaneous Manufacturing: High Zero-Carbon Technology Cost</t>
        </is>
      </c>
      <c r="E45" t="inlineStr">
        <is>
          <t>AEO.2025.HIGHZTC.ECI_VOS_MANF_MISC_NA_NA_NA_BLNY09DLR.A</t>
        </is>
      </c>
      <c r="F45" t="inlineStr">
        <is>
          <t>billion 2012 $</t>
        </is>
      </c>
      <c r="H45" t="n">
        <v>153.330368</v>
      </c>
      <c r="I45" t="n">
        <v>157.286224</v>
      </c>
      <c r="J45" t="n">
        <v>161.451569</v>
      </c>
      <c r="K45" t="n">
        <v>166.086945</v>
      </c>
      <c r="L45" t="n">
        <v>170.003372</v>
      </c>
      <c r="M45" t="n">
        <v>172.204956</v>
      </c>
      <c r="N45" t="n">
        <v>174.938797</v>
      </c>
      <c r="O45" t="n">
        <v>177.685883</v>
      </c>
      <c r="P45" t="n">
        <v>181.157349</v>
      </c>
      <c r="Q45" t="n">
        <v>182.864746</v>
      </c>
      <c r="R45" t="n">
        <v>184.450928</v>
      </c>
      <c r="S45" t="n">
        <v>186.486755</v>
      </c>
      <c r="T45" t="n">
        <v>188.98085</v>
      </c>
      <c r="U45" t="n">
        <v>191.598297</v>
      </c>
      <c r="V45" t="n">
        <v>193.246002</v>
      </c>
      <c r="W45" t="n">
        <v>194.852448</v>
      </c>
      <c r="X45" t="n">
        <v>196.925156</v>
      </c>
      <c r="Y45" t="n">
        <v>199.009705</v>
      </c>
      <c r="Z45" t="n">
        <v>201.023148</v>
      </c>
      <c r="AA45" t="n">
        <v>202.837402</v>
      </c>
      <c r="AB45" t="n">
        <v>204.955948</v>
      </c>
      <c r="AC45" t="n">
        <v>206.374527</v>
      </c>
      <c r="AD45" t="n">
        <v>208.37825</v>
      </c>
      <c r="AE45" t="n">
        <v>210.468475</v>
      </c>
      <c r="AF45" t="n">
        <v>211.747971</v>
      </c>
      <c r="AG45" t="n">
        <v>214.569382</v>
      </c>
      <c r="AH45" t="n">
        <v>214.750275</v>
      </c>
      <c r="AI45" t="n">
        <v>0.013</v>
      </c>
    </row>
    <row r="46">
      <c r="A46" t="inlineStr">
        <is>
          <t>ISM000:ha_TotalIndustri</t>
        </is>
      </c>
      <c r="C46" t="inlineStr">
        <is>
          <t>Total Industrial Value of Shipments</t>
        </is>
      </c>
      <c r="D46" t="inlineStr">
        <is>
          <t>Industrial Macroeconomic: Total Industrial Value of Shipments: High Zero-Carbon Technology Cost</t>
        </is>
      </c>
      <c r="E46" t="inlineStr">
        <is>
          <t>AEO.2025.HIGHZTC.ECI_VOS_IDAL_NA_NA_NA_NA_BLNY09DLR.A</t>
        </is>
      </c>
      <c r="F46" t="inlineStr">
        <is>
          <t>billion 2012 $</t>
        </is>
      </c>
      <c r="H46" t="n">
        <v>8693.215819999999</v>
      </c>
      <c r="I46" t="n">
        <v>8880.021484000001</v>
      </c>
      <c r="J46" t="n">
        <v>9023.890625</v>
      </c>
      <c r="K46" t="n">
        <v>9136.966796999999</v>
      </c>
      <c r="L46" t="n">
        <v>9250.293944999999</v>
      </c>
      <c r="M46" t="n">
        <v>9368.206055000001</v>
      </c>
      <c r="N46" t="n">
        <v>9471.402344</v>
      </c>
      <c r="O46" t="n">
        <v>9544.327148</v>
      </c>
      <c r="P46" t="n">
        <v>9631.375</v>
      </c>
      <c r="Q46" t="n">
        <v>9680.830078000001</v>
      </c>
      <c r="R46" t="n">
        <v>9759.069336</v>
      </c>
      <c r="S46" t="n">
        <v>9833.179688</v>
      </c>
      <c r="T46" t="n">
        <v>9910.932617</v>
      </c>
      <c r="U46" t="n">
        <v>9985.496094</v>
      </c>
      <c r="V46" t="n">
        <v>10063.265625</v>
      </c>
      <c r="W46" t="n">
        <v>10146.550781</v>
      </c>
      <c r="X46" t="n">
        <v>10240.19043</v>
      </c>
      <c r="Y46" t="n">
        <v>10320.270508</v>
      </c>
      <c r="Z46" t="n">
        <v>10409.383789</v>
      </c>
      <c r="AA46" t="n">
        <v>10482.779297</v>
      </c>
      <c r="AB46" t="n">
        <v>10564.850586</v>
      </c>
      <c r="AC46" t="n">
        <v>10653.482422</v>
      </c>
      <c r="AD46" t="n">
        <v>10756.960938</v>
      </c>
      <c r="AE46" t="n">
        <v>10868.238281</v>
      </c>
      <c r="AF46" t="n">
        <v>10969.666016</v>
      </c>
      <c r="AG46" t="n">
        <v>11079.727539</v>
      </c>
      <c r="AH46" t="n">
        <v>11173.775391</v>
      </c>
      <c r="AI46" t="n">
        <v>0.01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C1" t="inlineStr">
        <is>
          <t>Table 23.  Industrial Sector Macroeconomic Indicators</t>
        </is>
      </c>
    </row>
    <row r="2">
      <c r="C2" t="inlineStr">
        <is>
          <t>https://www.eia.gov/outlooks/aeo/data/browser/#/?id=34-AEO2026&amp;cases=electrnp&amp;sourcekey=0</t>
        </is>
      </c>
    </row>
    <row r="3">
      <c r="C3" t="inlineStr">
        <is>
          <t>Thu Apr 23 2026 15:01:03 GMT-0700 (Pacific Daylight Time)</t>
        </is>
      </c>
    </row>
    <row r="4">
      <c r="C4" t="inlineStr">
        <is>
          <t>Source: U.S. Energy Information Administration</t>
        </is>
      </c>
    </row>
    <row r="5">
      <c r="B5" s="5" t="inlineStr">
        <is>
          <t>ISIC assignment (editable)</t>
        </is>
      </c>
      <c r="D5" t="inlineStr">
        <is>
          <t>full name</t>
        </is>
      </c>
      <c r="E5" t="inlineStr">
        <is>
          <t>api key</t>
        </is>
      </c>
      <c r="F5" t="inlineStr">
        <is>
          <t>units</t>
        </is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(2025-2050)</t>
        </is>
      </c>
    </row>
    <row r="6">
      <c r="A6" t="inlineStr">
        <is>
          <t>ISM000:ba_GDP(billionm_</t>
        </is>
      </c>
      <c r="C6" t="inlineStr">
        <is>
          <t>Gross Domestic Product (billion 2012 dollars)</t>
        </is>
      </c>
      <c r="D6" t="inlineStr">
        <is>
          <t>Industrial Macroeconomic: Gross Domestic Product: Alternative Electricity and Transportation</t>
        </is>
      </c>
      <c r="E6" t="inlineStr">
        <is>
          <t>AEO.2026.ELECTRNP.ECI_GDP_NA_NA_NA_NA_NA_BLNY09DLR.A</t>
        </is>
      </c>
      <c r="F6" t="inlineStr">
        <is>
          <t>billion 2012 $</t>
        </is>
      </c>
      <c r="G6" t="n">
        <v>22086.083984</v>
      </c>
      <c r="H6" t="n">
        <v>22669.974609</v>
      </c>
      <c r="I6" t="n">
        <v>23095.640625</v>
      </c>
      <c r="J6" t="n">
        <v>23390.617188</v>
      </c>
      <c r="K6" t="n">
        <v>23750.759766</v>
      </c>
      <c r="L6" t="n">
        <v>24166.652344</v>
      </c>
      <c r="M6" t="n">
        <v>24572.644531</v>
      </c>
      <c r="N6" t="n">
        <v>25034.144531</v>
      </c>
      <c r="O6" t="n">
        <v>25522.300781</v>
      </c>
      <c r="P6" t="n">
        <v>26041.154297</v>
      </c>
      <c r="Q6" t="n">
        <v>26595.578125</v>
      </c>
      <c r="R6" t="n">
        <v>27063.660156</v>
      </c>
      <c r="S6" t="n">
        <v>27531.339844</v>
      </c>
      <c r="T6" t="n">
        <v>28000.277344</v>
      </c>
      <c r="U6" t="n">
        <v>28461.050781</v>
      </c>
      <c r="V6" t="n">
        <v>28925.544922</v>
      </c>
      <c r="W6" t="n">
        <v>29375.912109</v>
      </c>
      <c r="X6" t="n">
        <v>29841.964844</v>
      </c>
      <c r="Y6" t="n">
        <v>30321.671875</v>
      </c>
      <c r="Z6" t="n">
        <v>30806.214844</v>
      </c>
      <c r="AA6" t="n">
        <v>31294.171875</v>
      </c>
      <c r="AB6" t="n">
        <v>31769.9375</v>
      </c>
      <c r="AC6" t="n">
        <v>32226.466797</v>
      </c>
      <c r="AD6" t="n">
        <v>32681.023438</v>
      </c>
      <c r="AE6" t="n">
        <v>33125.082031</v>
      </c>
      <c r="AF6" t="n">
        <v>33582.949219</v>
      </c>
      <c r="AG6" t="n">
        <v>0.017</v>
      </c>
    </row>
    <row r="7">
      <c r="A7" t="inlineStr">
        <is>
          <t>ISM000:ca_NonfarmEmploy</t>
        </is>
      </c>
      <c r="C7" t="inlineStr">
        <is>
          <t>Nonfarm Employment (millions)</t>
        </is>
      </c>
      <c r="D7" t="inlineStr">
        <is>
          <t>Industrial Macroeconomic: Employment, Nonfarm: Alternative Electricity and Transportation</t>
        </is>
      </c>
      <c r="E7" t="inlineStr">
        <is>
          <t>AEO.2026.ELECTRNP.ECI_NFE_NA_NA_NA_NA_NA_MILL.A</t>
        </is>
      </c>
      <c r="F7" t="inlineStr">
        <is>
          <t>millions</t>
        </is>
      </c>
      <c r="G7" t="n">
        <v>160.340073</v>
      </c>
      <c r="H7" t="n">
        <v>161.281006</v>
      </c>
      <c r="I7" t="n">
        <v>162.170471</v>
      </c>
      <c r="J7" t="n">
        <v>162.608612</v>
      </c>
      <c r="K7" t="n">
        <v>163.086288</v>
      </c>
      <c r="L7" t="n">
        <v>163.62587</v>
      </c>
      <c r="M7" t="n">
        <v>164.116058</v>
      </c>
      <c r="N7" t="n">
        <v>164.787292</v>
      </c>
      <c r="O7" t="n">
        <v>165.462021</v>
      </c>
      <c r="P7" t="n">
        <v>166.1698</v>
      </c>
      <c r="Q7" t="n">
        <v>166.884872</v>
      </c>
      <c r="R7" t="n">
        <v>167.661987</v>
      </c>
      <c r="S7" t="n">
        <v>168.565765</v>
      </c>
      <c r="T7" t="n">
        <v>169.439774</v>
      </c>
      <c r="U7" t="n">
        <v>170.151398</v>
      </c>
      <c r="V7" t="n">
        <v>170.952469</v>
      </c>
      <c r="W7" t="n">
        <v>171.580383</v>
      </c>
      <c r="X7" t="n">
        <v>172.178421</v>
      </c>
      <c r="Y7" t="n">
        <v>172.706116</v>
      </c>
      <c r="Z7" t="n">
        <v>173.327744</v>
      </c>
      <c r="AA7" t="n">
        <v>174.001205</v>
      </c>
      <c r="AB7" t="n">
        <v>174.602432</v>
      </c>
      <c r="AC7" t="n">
        <v>175.097656</v>
      </c>
      <c r="AD7" t="n">
        <v>175.47995</v>
      </c>
      <c r="AE7" t="n">
        <v>175.778961</v>
      </c>
      <c r="AF7" t="n">
        <v>176.125061</v>
      </c>
      <c r="AG7" t="n">
        <v>0.004</v>
      </c>
    </row>
    <row r="8">
      <c r="C8" t="inlineStr">
        <is>
          <t>Value of Shipments (billion 2012 dollars)</t>
        </is>
      </c>
    </row>
    <row r="9">
      <c r="C9" t="inlineStr">
        <is>
          <t>Nonmanufacturing Sector</t>
        </is>
      </c>
    </row>
    <row r="10">
      <c r="A10" t="inlineStr">
        <is>
          <t>ISM000:ea_Agricultural</t>
        </is>
      </c>
      <c r="B10" t="inlineStr">
        <is>
          <t>,ISIC 01,</t>
        </is>
      </c>
      <c r="C10" t="inlineStr">
        <is>
          <t>Agriculture/Forestry/Fishing/Hunting</t>
        </is>
      </c>
      <c r="D10" t="inlineStr">
        <is>
          <t>Industrial Macroeconomic: Nonmanufacturing: Agriculture/Forestry/Fishing/Hunting: Alternative Electricity and Transportation</t>
        </is>
      </c>
      <c r="E10" t="inlineStr">
        <is>
          <t>AEO.2026.ELECTRNP.ECI_VOS_NMFG_AFF_NA_NA_NA_BLNY09DLR.A</t>
        </is>
      </c>
      <c r="F10" t="inlineStr">
        <is>
          <t>billion 2012 $</t>
        </is>
      </c>
      <c r="G10" t="n">
        <v>485.349976</v>
      </c>
      <c r="H10" t="n">
        <v>486.525574</v>
      </c>
      <c r="I10" t="n">
        <v>493.375366</v>
      </c>
      <c r="J10" t="n">
        <v>503.258575</v>
      </c>
      <c r="K10" t="n">
        <v>509.903961</v>
      </c>
      <c r="L10" t="n">
        <v>516.43335</v>
      </c>
      <c r="M10" t="n">
        <v>522.852539</v>
      </c>
      <c r="N10" t="n">
        <v>529.386108</v>
      </c>
      <c r="O10" t="n">
        <v>532.953369</v>
      </c>
      <c r="P10" t="n">
        <v>539.970764</v>
      </c>
      <c r="Q10" t="n">
        <v>547.718567</v>
      </c>
      <c r="R10" t="n">
        <v>555.45874</v>
      </c>
      <c r="S10" t="n">
        <v>562.9729</v>
      </c>
      <c r="T10" t="n">
        <v>570.922974</v>
      </c>
      <c r="U10" t="n">
        <v>579.125</v>
      </c>
      <c r="V10" t="n">
        <v>586.071716</v>
      </c>
      <c r="W10" t="n">
        <v>592.656189</v>
      </c>
      <c r="X10" t="n">
        <v>599.9951170000001</v>
      </c>
      <c r="Y10" t="n">
        <v>606.935852</v>
      </c>
      <c r="Z10" t="n">
        <v>614.492859</v>
      </c>
      <c r="AA10" t="n">
        <v>623.081543</v>
      </c>
      <c r="AB10" t="n">
        <v>632.104004</v>
      </c>
      <c r="AC10" t="n">
        <v>641.207092</v>
      </c>
      <c r="AD10" t="n">
        <v>650.440002</v>
      </c>
      <c r="AE10" t="n">
        <v>659.608276</v>
      </c>
      <c r="AF10" t="n">
        <v>668.854126</v>
      </c>
      <c r="AG10" t="n">
        <v>0.013</v>
      </c>
    </row>
    <row r="11">
      <c r="A11" t="inlineStr">
        <is>
          <t>ISM000:ea_Mining</t>
        </is>
      </c>
      <c r="B11" t="inlineStr">
        <is>
          <t>,ISIC 05,ISIC 06,ISIC 08,</t>
        </is>
      </c>
      <c r="C11" t="inlineStr">
        <is>
          <t>Mining</t>
        </is>
      </c>
      <c r="D11" t="inlineStr">
        <is>
          <t>Industrial Macroeconomic: Nonmanufacturing: Mining: Alternative Electricity and Transportation</t>
        </is>
      </c>
      <c r="E11" t="inlineStr">
        <is>
          <t>AEO.2026.ELECTRNP.ECI_VOS_NMFG_MING_NA_NA_NA_BLNY09DLR.A</t>
        </is>
      </c>
      <c r="F11" t="inlineStr">
        <is>
          <t>billion 2012 $</t>
        </is>
      </c>
      <c r="G11" t="n">
        <v>791.224121</v>
      </c>
      <c r="H11" t="n">
        <v>863.609741</v>
      </c>
      <c r="I11" t="n">
        <v>857.478638</v>
      </c>
      <c r="J11" t="n">
        <v>862.241821</v>
      </c>
      <c r="K11" t="n">
        <v>867.373169</v>
      </c>
      <c r="L11" t="n">
        <v>886.085205</v>
      </c>
      <c r="M11" t="n">
        <v>900.359436</v>
      </c>
      <c r="N11" t="n">
        <v>913.719971</v>
      </c>
      <c r="O11" t="n">
        <v>923.650269</v>
      </c>
      <c r="P11" t="n">
        <v>935.968262</v>
      </c>
      <c r="Q11" t="n">
        <v>939.371094</v>
      </c>
      <c r="R11" t="n">
        <v>943.469116</v>
      </c>
      <c r="S11" t="n">
        <v>948.6922</v>
      </c>
      <c r="T11" t="n">
        <v>953.503418</v>
      </c>
      <c r="U11" t="n">
        <v>959.692139</v>
      </c>
      <c r="V11" t="n">
        <v>971.0234380000001</v>
      </c>
      <c r="W11" t="n">
        <v>984.752441</v>
      </c>
      <c r="X11" t="n">
        <v>992.501953</v>
      </c>
      <c r="Y11" t="n">
        <v>1001.04248</v>
      </c>
      <c r="Z11" t="n">
        <v>1006.122925</v>
      </c>
      <c r="AA11" t="n">
        <v>1009.776611</v>
      </c>
      <c r="AB11" t="n">
        <v>1013.545105</v>
      </c>
      <c r="AC11" t="n">
        <v>1019.138367</v>
      </c>
      <c r="AD11" t="n">
        <v>1021.347168</v>
      </c>
      <c r="AE11" t="n">
        <v>1021.363525</v>
      </c>
      <c r="AF11" t="n">
        <v>1019.486755</v>
      </c>
      <c r="AG11" t="n">
        <v>0.01</v>
      </c>
    </row>
    <row r="12">
      <c r="A12" t="inlineStr">
        <is>
          <t>ISM000:ea_Construction</t>
        </is>
      </c>
      <c r="B12" t="inlineStr">
        <is>
          <t>,ISIC 41T43,</t>
        </is>
      </c>
      <c r="C12" t="inlineStr">
        <is>
          <t>Construction</t>
        </is>
      </c>
      <c r="D12" t="inlineStr">
        <is>
          <t>Industrial Macroeconomic: Nonmanufacturing: Construction: Alternative Electricity and Transportation</t>
        </is>
      </c>
      <c r="E12" t="inlineStr">
        <is>
          <t>AEO.2026.ELECTRNP.ECI_VOS_NMFG_CNS_NA_NA_NA_BLNY09DLR.A</t>
        </is>
      </c>
      <c r="F12" t="inlineStr">
        <is>
          <t>billion 2012 $</t>
        </is>
      </c>
      <c r="G12" t="n">
        <v>1526.77002</v>
      </c>
      <c r="H12" t="n">
        <v>1521.331299</v>
      </c>
      <c r="I12" t="n">
        <v>1530.459717</v>
      </c>
      <c r="J12" t="n">
        <v>1540.004761</v>
      </c>
      <c r="K12" t="n">
        <v>1565.405518</v>
      </c>
      <c r="L12" t="n">
        <v>1591.652954</v>
      </c>
      <c r="M12" t="n">
        <v>1615.953003</v>
      </c>
      <c r="N12" t="n">
        <v>1640.333496</v>
      </c>
      <c r="O12" t="n">
        <v>1660.849976</v>
      </c>
      <c r="P12" t="n">
        <v>1674.029053</v>
      </c>
      <c r="Q12" t="n">
        <v>1692.322266</v>
      </c>
      <c r="R12" t="n">
        <v>1708.327759</v>
      </c>
      <c r="S12" t="n">
        <v>1722.020752</v>
      </c>
      <c r="T12" t="n">
        <v>1733.716309</v>
      </c>
      <c r="U12" t="n">
        <v>1743.819946</v>
      </c>
      <c r="V12" t="n">
        <v>1750.116455</v>
      </c>
      <c r="W12" t="n">
        <v>1754.272217</v>
      </c>
      <c r="X12" t="n">
        <v>1764.618042</v>
      </c>
      <c r="Y12" t="n">
        <v>1772.140747</v>
      </c>
      <c r="Z12" t="n">
        <v>1781.164795</v>
      </c>
      <c r="AA12" t="n">
        <v>1798.493042</v>
      </c>
      <c r="AB12" t="n">
        <v>1816.645752</v>
      </c>
      <c r="AC12" t="n">
        <v>1833.321533</v>
      </c>
      <c r="AD12" t="n">
        <v>1850.2052</v>
      </c>
      <c r="AE12" t="n">
        <v>1869.44397</v>
      </c>
      <c r="AF12" t="n">
        <v>1891.598999</v>
      </c>
      <c r="AG12" t="n">
        <v>0.008999999999999999</v>
      </c>
    </row>
    <row r="13">
      <c r="C13" t="inlineStr">
        <is>
          <t>Manufacturing Sector</t>
        </is>
      </c>
    </row>
    <row r="14">
      <c r="A14" t="inlineStr">
        <is>
          <t>ISM000:fa_FoodandKindre</t>
        </is>
      </c>
      <c r="B14" t="inlineStr">
        <is>
          <t>,ISIC 10T12,</t>
        </is>
      </c>
      <c r="C14" t="inlineStr">
        <is>
          <t>Food Products</t>
        </is>
      </c>
      <c r="D14" t="inlineStr">
        <is>
          <t>Industrial Macroeconomic: Manufacturing: Food Products: Alternative Electricity and Transportation</t>
        </is>
      </c>
      <c r="E14" t="inlineStr">
        <is>
          <t>AEO.2026.ELECTRNP.ECI_VOS_MANF_FPA_NA_NA_NA_BLNY09DLR.A</t>
        </is>
      </c>
      <c r="F14" t="inlineStr">
        <is>
          <t>billion 2012 $</t>
        </is>
      </c>
      <c r="G14" t="n">
        <v>762.710022</v>
      </c>
      <c r="H14" t="n">
        <v>766.648804</v>
      </c>
      <c r="I14" t="n">
        <v>776.753235</v>
      </c>
      <c r="J14" t="n">
        <v>786.116455</v>
      </c>
      <c r="K14" t="n">
        <v>792.971313</v>
      </c>
      <c r="L14" t="n">
        <v>801.6843260000001</v>
      </c>
      <c r="M14" t="n">
        <v>810.9381100000001</v>
      </c>
      <c r="N14" t="n">
        <v>819.746887</v>
      </c>
      <c r="O14" t="n">
        <v>828.7248540000001</v>
      </c>
      <c r="P14" t="n">
        <v>838.038818</v>
      </c>
      <c r="Q14" t="n">
        <v>846.848877</v>
      </c>
      <c r="R14" t="n">
        <v>856.586609</v>
      </c>
      <c r="S14" t="n">
        <v>866.086487</v>
      </c>
      <c r="T14" t="n">
        <v>875.84137</v>
      </c>
      <c r="U14" t="n">
        <v>885.781311</v>
      </c>
      <c r="V14" t="n">
        <v>894.879639</v>
      </c>
      <c r="W14" t="n">
        <v>903.738525</v>
      </c>
      <c r="X14" t="n">
        <v>912.516663</v>
      </c>
      <c r="Y14" t="n">
        <v>921.0223999999999</v>
      </c>
      <c r="Z14" t="n">
        <v>929.5047</v>
      </c>
      <c r="AA14" t="n">
        <v>937.150269</v>
      </c>
      <c r="AB14" t="n">
        <v>945.1365970000001</v>
      </c>
      <c r="AC14" t="n">
        <v>953.131531</v>
      </c>
      <c r="AD14" t="n">
        <v>961.09613</v>
      </c>
      <c r="AE14" t="n">
        <v>969.418396</v>
      </c>
      <c r="AF14" t="n">
        <v>977.19104</v>
      </c>
      <c r="AG14" t="n">
        <v>0.01</v>
      </c>
    </row>
    <row r="15">
      <c r="A15" t="inlineStr">
        <is>
          <t>ISM000:fa_BeveragesandT</t>
        </is>
      </c>
      <c r="B15" t="inlineStr">
        <is>
          <t>,ISIC 10T12,</t>
        </is>
      </c>
      <c r="C15" t="inlineStr">
        <is>
          <t>Beverages and Tobacco Products</t>
        </is>
      </c>
      <c r="D15" t="inlineStr">
        <is>
          <t>Industrial Macroeconomic: Manufacturing: Beverages and Tobacco Products: Alternative Electricity and Transportation</t>
        </is>
      </c>
      <c r="E15" t="inlineStr">
        <is>
          <t>AEO.2026.ELECTRNP.ECI_VOS_MANF_BVTP_NA_NA_NA_BLNY09DLR.A</t>
        </is>
      </c>
      <c r="F15" t="inlineStr">
        <is>
          <t>billion 2012 $</t>
        </is>
      </c>
      <c r="G15" t="n">
        <v>145.139999</v>
      </c>
      <c r="H15" t="n">
        <v>143.296982</v>
      </c>
      <c r="I15" t="n">
        <v>141.078918</v>
      </c>
      <c r="J15" t="n">
        <v>139.880646</v>
      </c>
      <c r="K15" t="n">
        <v>138.8069</v>
      </c>
      <c r="L15" t="n">
        <v>137.827148</v>
      </c>
      <c r="M15" t="n">
        <v>136.892181</v>
      </c>
      <c r="N15" t="n">
        <v>136.199097</v>
      </c>
      <c r="O15" t="n">
        <v>135.471451</v>
      </c>
      <c r="P15" t="n">
        <v>134.654373</v>
      </c>
      <c r="Q15" t="n">
        <v>133.956329</v>
      </c>
      <c r="R15" t="n">
        <v>133.194199</v>
      </c>
      <c r="S15" t="n">
        <v>132.519043</v>
      </c>
      <c r="T15" t="n">
        <v>131.791122</v>
      </c>
      <c r="U15" t="n">
        <v>130.831894</v>
      </c>
      <c r="V15" t="n">
        <v>130.092133</v>
      </c>
      <c r="W15" t="n">
        <v>129.588699</v>
      </c>
      <c r="X15" t="n">
        <v>129.14653</v>
      </c>
      <c r="Y15" t="n">
        <v>128.575577</v>
      </c>
      <c r="Z15" t="n">
        <v>128.060776</v>
      </c>
      <c r="AA15" t="n">
        <v>127.763702</v>
      </c>
      <c r="AB15" t="n">
        <v>127.407951</v>
      </c>
      <c r="AC15" t="n">
        <v>126.890099</v>
      </c>
      <c r="AD15" t="n">
        <v>126.399101</v>
      </c>
      <c r="AE15" t="n">
        <v>125.874901</v>
      </c>
      <c r="AF15" t="n">
        <v>125.281326</v>
      </c>
      <c r="AG15" t="n">
        <v>-0.006</v>
      </c>
    </row>
    <row r="16">
      <c r="A16" t="inlineStr">
        <is>
          <t>ISM000:fa_TextileMillPr</t>
        </is>
      </c>
      <c r="B16" t="inlineStr">
        <is>
          <t>,ISIC 13T15,</t>
        </is>
      </c>
      <c r="C16" t="inlineStr">
        <is>
          <t>Textile Mills and Products</t>
        </is>
      </c>
      <c r="D16" t="inlineStr">
        <is>
          <t>Industrial Macroeconomic: Manufacturing: Textile Mills and Products: Alternative Electricity and Transportation</t>
        </is>
      </c>
      <c r="E16" t="inlineStr">
        <is>
          <t>AEO.2026.ELECTRNP.ECI_VOS_MANF_TMP_NA_NA_NA_BLNY09DLR.A</t>
        </is>
      </c>
      <c r="F16" t="inlineStr">
        <is>
          <t>billion 2012 $</t>
        </is>
      </c>
      <c r="G16" t="n">
        <v>58.60323</v>
      </c>
      <c r="H16" t="n">
        <v>59.344818</v>
      </c>
      <c r="I16" t="n">
        <v>60.159962</v>
      </c>
      <c r="J16" t="n">
        <v>58.416599</v>
      </c>
      <c r="K16" t="n">
        <v>56.206123</v>
      </c>
      <c r="L16" t="n">
        <v>55.21006</v>
      </c>
      <c r="M16" t="n">
        <v>54.903446</v>
      </c>
      <c r="N16" t="n">
        <v>54.746746</v>
      </c>
      <c r="O16" t="n">
        <v>54.889694</v>
      </c>
      <c r="P16" t="n">
        <v>55.283863</v>
      </c>
      <c r="Q16" t="n">
        <v>55.522114</v>
      </c>
      <c r="R16" t="n">
        <v>55.493893</v>
      </c>
      <c r="S16" t="n">
        <v>55.565697</v>
      </c>
      <c r="T16" t="n">
        <v>55.676113</v>
      </c>
      <c r="U16" t="n">
        <v>55.728962</v>
      </c>
      <c r="V16" t="n">
        <v>55.944988</v>
      </c>
      <c r="W16" t="n">
        <v>56.146873</v>
      </c>
      <c r="X16" t="n">
        <v>56.280396</v>
      </c>
      <c r="Y16" t="n">
        <v>56.407085</v>
      </c>
      <c r="Z16" t="n">
        <v>56.575737</v>
      </c>
      <c r="AA16" t="n">
        <v>56.78751</v>
      </c>
      <c r="AB16" t="n">
        <v>56.890766</v>
      </c>
      <c r="AC16" t="n">
        <v>56.785236</v>
      </c>
      <c r="AD16" t="n">
        <v>56.510384</v>
      </c>
      <c r="AE16" t="n">
        <v>56.437035</v>
      </c>
      <c r="AF16" t="n">
        <v>56.381992</v>
      </c>
      <c r="AG16" t="n">
        <v>-0.002</v>
      </c>
    </row>
    <row r="17">
      <c r="A17" t="inlineStr">
        <is>
          <t>ISM000:fa_LumberandWood</t>
        </is>
      </c>
      <c r="B17" t="inlineStr">
        <is>
          <t>,ISIC 16,</t>
        </is>
      </c>
      <c r="C17" t="inlineStr">
        <is>
          <t>Wood Products</t>
        </is>
      </c>
      <c r="D17" t="inlineStr">
        <is>
          <t>Industrial Macroeconomic: Manufacturing: Wood Products: Alternative Electricity and Transportation</t>
        </is>
      </c>
      <c r="E17" t="inlineStr">
        <is>
          <t>AEO.2026.ELECTRNP.ECI_VOS_MANF_WDP_NA_NA_NA_BLNY09DLR.A</t>
        </is>
      </c>
      <c r="F17" t="inlineStr">
        <is>
          <t>billion 2012 $</t>
        </is>
      </c>
      <c r="G17" t="n">
        <v>118.724998</v>
      </c>
      <c r="H17" t="n">
        <v>99.63253</v>
      </c>
      <c r="I17" t="n">
        <v>93.661903</v>
      </c>
      <c r="J17" t="n">
        <v>98.211769</v>
      </c>
      <c r="K17" t="n">
        <v>105.913048</v>
      </c>
      <c r="L17" t="n">
        <v>107.063103</v>
      </c>
      <c r="M17" t="n">
        <v>104.342751</v>
      </c>
      <c r="N17" t="n">
        <v>104.021378</v>
      </c>
      <c r="O17" t="n">
        <v>106.398071</v>
      </c>
      <c r="P17" t="n">
        <v>110.545998</v>
      </c>
      <c r="Q17" t="n">
        <v>113.7761</v>
      </c>
      <c r="R17" t="n">
        <v>117.102203</v>
      </c>
      <c r="S17" t="n">
        <v>119.568474</v>
      </c>
      <c r="T17" t="n">
        <v>122.233253</v>
      </c>
      <c r="U17" t="n">
        <v>124.190926</v>
      </c>
      <c r="V17" t="n">
        <v>124.834053</v>
      </c>
      <c r="W17" t="n">
        <v>122.585373</v>
      </c>
      <c r="X17" t="n">
        <v>121.283722</v>
      </c>
      <c r="Y17" t="n">
        <v>118.868103</v>
      </c>
      <c r="Z17" t="n">
        <v>117.277946</v>
      </c>
      <c r="AA17" t="n">
        <v>118.019348</v>
      </c>
      <c r="AB17" t="n">
        <v>118.727875</v>
      </c>
      <c r="AC17" t="n">
        <v>119.795547</v>
      </c>
      <c r="AD17" t="n">
        <v>120.763</v>
      </c>
      <c r="AE17" t="n">
        <v>122.421951</v>
      </c>
      <c r="AF17" t="n">
        <v>123.797501</v>
      </c>
      <c r="AG17" t="n">
        <v>0.002</v>
      </c>
    </row>
    <row r="18">
      <c r="A18" t="inlineStr">
        <is>
          <t>ISM000:fa_FurnitureandF</t>
        </is>
      </c>
      <c r="B18" t="inlineStr">
        <is>
          <t>,ISIC 31T33,</t>
        </is>
      </c>
      <c r="C18" t="inlineStr">
        <is>
          <t>Furniture and Related Products</t>
        </is>
      </c>
      <c r="D18" t="inlineStr">
        <is>
          <t>Industrial Macroeconomic: Manufacturing: Furniture and Related Products: Alternative Electricity and Transportation</t>
        </is>
      </c>
      <c r="E18" t="inlineStr">
        <is>
          <t>AEO.2026.ELECTRNP.ECI_VOS_MANF_FRP_NA_NA_NA_BLNY09DLR.A</t>
        </is>
      </c>
      <c r="F18" t="inlineStr">
        <is>
          <t>billion 2012 $</t>
        </is>
      </c>
      <c r="G18" t="n">
        <v>58.322498</v>
      </c>
      <c r="H18" t="n">
        <v>59.011951</v>
      </c>
      <c r="I18" t="n">
        <v>60.173313</v>
      </c>
      <c r="J18" t="n">
        <v>59.152695</v>
      </c>
      <c r="K18" t="n">
        <v>59.48531</v>
      </c>
      <c r="L18" t="n">
        <v>60.807999</v>
      </c>
      <c r="M18" t="n">
        <v>61.878868</v>
      </c>
      <c r="N18" t="n">
        <v>63.159161</v>
      </c>
      <c r="O18" t="n">
        <v>64.566895</v>
      </c>
      <c r="P18" t="n">
        <v>65.93828600000001</v>
      </c>
      <c r="Q18" t="n">
        <v>68.11844600000001</v>
      </c>
      <c r="R18" t="n">
        <v>69.331093</v>
      </c>
      <c r="S18" t="n">
        <v>70.475876</v>
      </c>
      <c r="T18" t="n">
        <v>72.192848</v>
      </c>
      <c r="U18" t="n">
        <v>73.15149700000001</v>
      </c>
      <c r="V18" t="n">
        <v>74.65935500000001</v>
      </c>
      <c r="W18" t="n">
        <v>76.165657</v>
      </c>
      <c r="X18" t="n">
        <v>77.67437700000001</v>
      </c>
      <c r="Y18" t="n">
        <v>79.193832</v>
      </c>
      <c r="Z18" t="n">
        <v>80.946732</v>
      </c>
      <c r="AA18" t="n">
        <v>83.448448</v>
      </c>
      <c r="AB18" t="n">
        <v>84.887985</v>
      </c>
      <c r="AC18" t="n">
        <v>86.415627</v>
      </c>
      <c r="AD18" t="n">
        <v>87.191368</v>
      </c>
      <c r="AE18" t="n">
        <v>88.336067</v>
      </c>
      <c r="AF18" t="n">
        <v>89.970726</v>
      </c>
      <c r="AG18" t="n">
        <v>0.017</v>
      </c>
    </row>
    <row r="19">
      <c r="A19" t="inlineStr">
        <is>
          <t>ISM000:fa_PaperandAllie</t>
        </is>
      </c>
      <c r="B19" t="inlineStr">
        <is>
          <t>,ISIC 17T18,</t>
        </is>
      </c>
      <c r="C19" t="inlineStr">
        <is>
          <t>Paper Products</t>
        </is>
      </c>
      <c r="D19" t="inlineStr">
        <is>
          <t>Industrial Macroeconomic: Manufacturing: Paper Products: Alternative Electricity and Transportation</t>
        </is>
      </c>
      <c r="E19" t="inlineStr">
        <is>
          <t>AEO.2026.ELECTRNP.ECI_VOS_MANF_PPM_NA_NA_NA_BLNY09DLR.A</t>
        </is>
      </c>
      <c r="F19" t="inlineStr">
        <is>
          <t>billion 2012 $</t>
        </is>
      </c>
      <c r="G19" t="n">
        <v>146.524994</v>
      </c>
      <c r="H19" t="n">
        <v>146.300095</v>
      </c>
      <c r="I19" t="n">
        <v>148.355103</v>
      </c>
      <c r="J19" t="n">
        <v>148.390045</v>
      </c>
      <c r="K19" t="n">
        <v>148.275146</v>
      </c>
      <c r="L19" t="n">
        <v>148.229797</v>
      </c>
      <c r="M19" t="n">
        <v>149.00885</v>
      </c>
      <c r="N19" t="n">
        <v>149.76033</v>
      </c>
      <c r="O19" t="n">
        <v>150.414368</v>
      </c>
      <c r="P19" t="n">
        <v>151.044525</v>
      </c>
      <c r="Q19" t="n">
        <v>151.765381</v>
      </c>
      <c r="R19" t="n">
        <v>152.443451</v>
      </c>
      <c r="S19" t="n">
        <v>152.84227</v>
      </c>
      <c r="T19" t="n">
        <v>153.868576</v>
      </c>
      <c r="U19" t="n">
        <v>155.214478</v>
      </c>
      <c r="V19" t="n">
        <v>156.889221</v>
      </c>
      <c r="W19" t="n">
        <v>158.345627</v>
      </c>
      <c r="X19" t="n">
        <v>159.918076</v>
      </c>
      <c r="Y19" t="n">
        <v>161.629044</v>
      </c>
      <c r="Z19" t="n">
        <v>163.462219</v>
      </c>
      <c r="AA19" t="n">
        <v>165.475052</v>
      </c>
      <c r="AB19" t="n">
        <v>167.213623</v>
      </c>
      <c r="AC19" t="n">
        <v>169.048172</v>
      </c>
      <c r="AD19" t="n">
        <v>170.649673</v>
      </c>
      <c r="AE19" t="n">
        <v>172.450027</v>
      </c>
      <c r="AF19" t="n">
        <v>174.190781</v>
      </c>
      <c r="AG19" t="n">
        <v>0.007</v>
      </c>
    </row>
    <row r="20">
      <c r="A20" t="inlineStr">
        <is>
          <t>ISM000:fa_PrintingandPu</t>
        </is>
      </c>
      <c r="B20" t="inlineStr">
        <is>
          <t>,ISIC 17T18,</t>
        </is>
      </c>
      <c r="C20" t="inlineStr">
        <is>
          <t>Printing</t>
        </is>
      </c>
      <c r="D20" t="inlineStr">
        <is>
          <t>Industrial Macroeconomic: Manufacturing: Printing: Alternative Electricity and Transportation</t>
        </is>
      </c>
      <c r="E20" t="inlineStr">
        <is>
          <t>AEO.2026.ELECTRNP.ECI_VOS_MANF_PRN_NA_NA_NA_BLNY09DLR.A</t>
        </is>
      </c>
      <c r="F20" t="inlineStr">
        <is>
          <t>billion 2012 $</t>
        </is>
      </c>
      <c r="G20" t="n">
        <v>64.35749800000001</v>
      </c>
      <c r="H20" t="n">
        <v>62.670582</v>
      </c>
      <c r="I20" t="n">
        <v>60.88274</v>
      </c>
      <c r="J20" t="n">
        <v>59.342823</v>
      </c>
      <c r="K20" t="n">
        <v>58.132961</v>
      </c>
      <c r="L20" t="n">
        <v>56.884991</v>
      </c>
      <c r="M20" t="n">
        <v>55.614899</v>
      </c>
      <c r="N20" t="n">
        <v>54.24551</v>
      </c>
      <c r="O20" t="n">
        <v>52.755295</v>
      </c>
      <c r="P20" t="n">
        <v>51.431721</v>
      </c>
      <c r="Q20" t="n">
        <v>50.014038</v>
      </c>
      <c r="R20" t="n">
        <v>48.692402</v>
      </c>
      <c r="S20" t="n">
        <v>47.663521</v>
      </c>
      <c r="T20" t="n">
        <v>46.690609</v>
      </c>
      <c r="U20" t="n">
        <v>46.016659</v>
      </c>
      <c r="V20" t="n">
        <v>45.447735</v>
      </c>
      <c r="W20" t="n">
        <v>44.834614</v>
      </c>
      <c r="X20" t="n">
        <v>44.365486</v>
      </c>
      <c r="Y20" t="n">
        <v>43.841122</v>
      </c>
      <c r="Z20" t="n">
        <v>43.243725</v>
      </c>
      <c r="AA20" t="n">
        <v>42.610481</v>
      </c>
      <c r="AB20" t="n">
        <v>42.079239</v>
      </c>
      <c r="AC20" t="n">
        <v>41.707779</v>
      </c>
      <c r="AD20" t="n">
        <v>41.560303</v>
      </c>
      <c r="AE20" t="n">
        <v>41.430828</v>
      </c>
      <c r="AF20" t="n">
        <v>41.002571</v>
      </c>
      <c r="AG20" t="n">
        <v>-0.018</v>
      </c>
    </row>
    <row r="21">
      <c r="A21" t="inlineStr">
        <is>
          <t>ISM000:fa_ChemicalandAl</t>
        </is>
      </c>
      <c r="B21" t="inlineStr">
        <is>
          <t>,ISIC 20,</t>
        </is>
      </c>
      <c r="C21" t="inlineStr">
        <is>
          <t>Chemical Manufacturing</t>
        </is>
      </c>
      <c r="D21" t="inlineStr">
        <is>
          <t>Industrial Macroeconomic: Manufacturing: Chemical Manufacturing: Alternative Electricity and Transportation</t>
        </is>
      </c>
      <c r="E21" t="inlineStr">
        <is>
          <t>AEO.2026.ELECTRNP.ECI_VOS_MANF_CHE_NA_NA_NA_BLNY09DLR.A</t>
        </is>
      </c>
      <c r="F21" t="inlineStr">
        <is>
          <t>billion 2012 $</t>
        </is>
      </c>
      <c r="G21" t="n">
        <v>866.14447</v>
      </c>
      <c r="H21" t="n">
        <v>854.605042</v>
      </c>
      <c r="I21" t="n">
        <v>844.643433</v>
      </c>
      <c r="J21" t="n">
        <v>841.278809</v>
      </c>
      <c r="K21" t="n">
        <v>834.162598</v>
      </c>
      <c r="L21" t="n">
        <v>833.864868</v>
      </c>
      <c r="M21" t="n">
        <v>837.7092290000001</v>
      </c>
      <c r="N21" t="n">
        <v>842.627686</v>
      </c>
      <c r="O21" t="n">
        <v>851.863525</v>
      </c>
      <c r="P21" t="n">
        <v>861.189331</v>
      </c>
      <c r="Q21" t="n">
        <v>871.220154</v>
      </c>
      <c r="R21" t="n">
        <v>881.649658</v>
      </c>
      <c r="S21" t="n">
        <v>893.154846</v>
      </c>
      <c r="T21" t="n">
        <v>904.770081</v>
      </c>
      <c r="U21" t="n">
        <v>918.347168</v>
      </c>
      <c r="V21" t="n">
        <v>932.809692</v>
      </c>
      <c r="W21" t="n">
        <v>949.002747</v>
      </c>
      <c r="X21" t="n">
        <v>967.69165</v>
      </c>
      <c r="Y21" t="n">
        <v>985.70813</v>
      </c>
      <c r="Z21" t="n">
        <v>1004.382019</v>
      </c>
      <c r="AA21" t="n">
        <v>1024.803711</v>
      </c>
      <c r="AB21" t="n">
        <v>1046.931396</v>
      </c>
      <c r="AC21" t="n">
        <v>1070.060059</v>
      </c>
      <c r="AD21" t="n">
        <v>1091.039185</v>
      </c>
      <c r="AE21" t="n">
        <v>1111.16748</v>
      </c>
      <c r="AF21" t="n">
        <v>1133.631836</v>
      </c>
      <c r="AG21" t="n">
        <v>0.011</v>
      </c>
    </row>
    <row r="22">
      <c r="A22" t="inlineStr">
        <is>
          <t>ISM000:fa_BulkChemicals</t>
        </is>
      </c>
      <c r="C22" t="inlineStr">
        <is>
          <t>Bulk Chemicals</t>
        </is>
      </c>
      <c r="D22" t="inlineStr">
        <is>
          <t>Industrial Macroeconomic: Manufacturing: Chemicals: Bulk Chemicals: Alternative Electricity and Transportation</t>
        </is>
      </c>
      <c r="E22" t="inlineStr">
        <is>
          <t>AEO.2026.ELECTRNP.ECI_VOS_MANF_BCH_NA_NA_NA_BLNY09DLR.A</t>
        </is>
      </c>
      <c r="F22" t="inlineStr">
        <is>
          <t>billion 2012 $</t>
        </is>
      </c>
      <c r="G22" t="n">
        <v>389.914459</v>
      </c>
      <c r="H22" t="n">
        <v>374.334625</v>
      </c>
      <c r="I22" t="n">
        <v>368.809448</v>
      </c>
      <c r="J22" t="n">
        <v>367.27594</v>
      </c>
      <c r="K22" t="n">
        <v>361.547424</v>
      </c>
      <c r="L22" t="n">
        <v>361.884399</v>
      </c>
      <c r="M22" t="n">
        <v>365.397369</v>
      </c>
      <c r="N22" t="n">
        <v>366.774536</v>
      </c>
      <c r="O22" t="n">
        <v>369.985901</v>
      </c>
      <c r="P22" t="n">
        <v>373.718048</v>
      </c>
      <c r="Q22" t="n">
        <v>378.386871</v>
      </c>
      <c r="R22" t="n">
        <v>383.467773</v>
      </c>
      <c r="S22" t="n">
        <v>388.052979</v>
      </c>
      <c r="T22" t="n">
        <v>392.619202</v>
      </c>
      <c r="U22" t="n">
        <v>399.434265</v>
      </c>
      <c r="V22" t="n">
        <v>406.024017</v>
      </c>
      <c r="W22" t="n">
        <v>412.861633</v>
      </c>
      <c r="X22" t="n">
        <v>420.913422</v>
      </c>
      <c r="Y22" t="n">
        <v>427.610382</v>
      </c>
      <c r="Z22" t="n">
        <v>434.302368</v>
      </c>
      <c r="AA22" t="n">
        <v>442.083435</v>
      </c>
      <c r="AB22" t="n">
        <v>450.44989</v>
      </c>
      <c r="AC22" t="n">
        <v>459.500702</v>
      </c>
      <c r="AD22" t="n">
        <v>467.66095</v>
      </c>
      <c r="AE22" t="n">
        <v>474.064636</v>
      </c>
      <c r="AF22" t="n">
        <v>482.12265</v>
      </c>
      <c r="AG22" t="n">
        <v>0.008999999999999999</v>
      </c>
    </row>
    <row r="23">
      <c r="A23" t="inlineStr">
        <is>
          <t>ISM000:fa_Inorganic</t>
        </is>
      </c>
      <c r="C23" t="inlineStr">
        <is>
          <t>Inorganic</t>
        </is>
      </c>
      <c r="D23" t="inlineStr">
        <is>
          <t>Industrial Macroeconomic: Manufacturing: Chemicals: Bulk Chemicals: Inorganic: Alternative Electricity and Transportation</t>
        </is>
      </c>
      <c r="E23" t="inlineStr">
        <is>
          <t>AEO.2026.ELECTRNP.ECI_VOS_MANF_CHEIN_NA_NA_NA_BLNY09DLR.A</t>
        </is>
      </c>
      <c r="F23" t="inlineStr">
        <is>
          <t>billion 2012 $</t>
        </is>
      </c>
      <c r="G23" t="n">
        <v>51.491623</v>
      </c>
      <c r="H23" t="n">
        <v>52.255329</v>
      </c>
      <c r="I23" t="n">
        <v>51.697498</v>
      </c>
      <c r="J23" t="n">
        <v>51.97789</v>
      </c>
      <c r="K23" t="n">
        <v>51.210506</v>
      </c>
      <c r="L23" t="n">
        <v>50.927029</v>
      </c>
      <c r="M23" t="n">
        <v>51.219692</v>
      </c>
      <c r="N23" t="n">
        <v>51.075771</v>
      </c>
      <c r="O23" t="n">
        <v>51.268539</v>
      </c>
      <c r="P23" t="n">
        <v>51.611919</v>
      </c>
      <c r="Q23" t="n">
        <v>51.78804</v>
      </c>
      <c r="R23" t="n">
        <v>51.978779</v>
      </c>
      <c r="S23" t="n">
        <v>51.913784</v>
      </c>
      <c r="T23" t="n">
        <v>51.978077</v>
      </c>
      <c r="U23" t="n">
        <v>52.200249</v>
      </c>
      <c r="V23" t="n">
        <v>52.240593</v>
      </c>
      <c r="W23" t="n">
        <v>52.3074</v>
      </c>
      <c r="X23" t="n">
        <v>52.404572</v>
      </c>
      <c r="Y23" t="n">
        <v>52.432655</v>
      </c>
      <c r="Z23" t="n">
        <v>52.335209</v>
      </c>
      <c r="AA23" t="n">
        <v>52.231144</v>
      </c>
      <c r="AB23" t="n">
        <v>52.381222</v>
      </c>
      <c r="AC23" t="n">
        <v>52.576962</v>
      </c>
      <c r="AD23" t="n">
        <v>52.698147</v>
      </c>
      <c r="AE23" t="n">
        <v>52.773537</v>
      </c>
      <c r="AF23" t="n">
        <v>52.96476</v>
      </c>
      <c r="AG23" t="n">
        <v>0.001</v>
      </c>
    </row>
    <row r="24">
      <c r="A24" t="inlineStr">
        <is>
          <t>ISM000:fa_Organic</t>
        </is>
      </c>
      <c r="C24" t="inlineStr">
        <is>
          <t>Organic</t>
        </is>
      </c>
      <c r="D24" t="inlineStr">
        <is>
          <t>Industrial Macroeconomic: Manufacturing: Chemicals: Bulk Chemicals: Organic: Alternative Electricity and Transportation</t>
        </is>
      </c>
      <c r="E24" t="inlineStr">
        <is>
          <t>AEO.2026.ELECTRNP.ECI_VOS_MANF_CHEOR_NA_NA_NA_BLNY09DLR.A</t>
        </is>
      </c>
      <c r="F24" t="inlineStr">
        <is>
          <t>billion 2012 $</t>
        </is>
      </c>
      <c r="G24" t="n">
        <v>184.63533</v>
      </c>
      <c r="H24" t="n">
        <v>169.545074</v>
      </c>
      <c r="I24" t="n">
        <v>162.997955</v>
      </c>
      <c r="J24" t="n">
        <v>163.280975</v>
      </c>
      <c r="K24" t="n">
        <v>159.475098</v>
      </c>
      <c r="L24" t="n">
        <v>158.518433</v>
      </c>
      <c r="M24" t="n">
        <v>160.615677</v>
      </c>
      <c r="N24" t="n">
        <v>162.619919</v>
      </c>
      <c r="O24" t="n">
        <v>165.466705</v>
      </c>
      <c r="P24" t="n">
        <v>168.747543</v>
      </c>
      <c r="Q24" t="n">
        <v>171.988846</v>
      </c>
      <c r="R24" t="n">
        <v>176.306595</v>
      </c>
      <c r="S24" t="n">
        <v>178.549179</v>
      </c>
      <c r="T24" t="n">
        <v>181.376526</v>
      </c>
      <c r="U24" t="n">
        <v>186.222549</v>
      </c>
      <c r="V24" t="n">
        <v>190.339157</v>
      </c>
      <c r="W24" t="n">
        <v>194.995026</v>
      </c>
      <c r="X24" t="n">
        <v>200.036819</v>
      </c>
      <c r="Y24" t="n">
        <v>205.301331</v>
      </c>
      <c r="Z24" t="n">
        <v>211.083527</v>
      </c>
      <c r="AA24" t="n">
        <v>217.316818</v>
      </c>
      <c r="AB24" t="n">
        <v>223.622421</v>
      </c>
      <c r="AC24" t="n">
        <v>229.466644</v>
      </c>
      <c r="AD24" t="n">
        <v>235.0215</v>
      </c>
      <c r="AE24" t="n">
        <v>239.404282</v>
      </c>
      <c r="AF24" t="n">
        <v>244.677795</v>
      </c>
      <c r="AG24" t="n">
        <v>0.011</v>
      </c>
    </row>
    <row r="25">
      <c r="A25" t="inlineStr">
        <is>
          <t>ISM000:fa_Resins</t>
        </is>
      </c>
      <c r="C25" t="inlineStr">
        <is>
          <t>Resin</t>
        </is>
      </c>
      <c r="D25" t="inlineStr">
        <is>
          <t xml:space="preserve"> Synthetic Rubber</t>
        </is>
      </c>
      <c r="E25" t="inlineStr">
        <is>
          <t xml:space="preserve"> and Fibers</t>
        </is>
      </c>
      <c r="F25" t="inlineStr">
        <is>
          <t>Industrial Macroeconomic: Manufacturing: Chemicals: Bulk Chemicals: Resin, Synthetic Rubber, and Fibers: Alternative Electricity and Transportation</t>
        </is>
      </c>
      <c r="G25" t="inlineStr">
        <is>
          <t>AEO.2026.ELECTRNP.ECI_VOS_MANF_CHEBR_NA_NA_NA_BLNY09DLR.A</t>
        </is>
      </c>
      <c r="H25" t="inlineStr">
        <is>
          <t>billion 2012 $</t>
        </is>
      </c>
      <c r="I25" t="n">
        <v>112.347504</v>
      </c>
      <c r="J25" t="n">
        <v>111.065125</v>
      </c>
      <c r="K25" t="n">
        <v>112.167877</v>
      </c>
      <c r="L25" t="n">
        <v>110.210426</v>
      </c>
      <c r="M25" t="n">
        <v>109.016777</v>
      </c>
      <c r="N25" t="n">
        <v>110.270576</v>
      </c>
      <c r="O25" t="n">
        <v>111.023552</v>
      </c>
      <c r="P25" t="n">
        <v>110.383377</v>
      </c>
      <c r="Q25" t="n">
        <v>110.300377</v>
      </c>
      <c r="R25" t="n">
        <v>110.13205</v>
      </c>
      <c r="S25" t="n">
        <v>110.979073</v>
      </c>
      <c r="T25" t="n">
        <v>111.196999</v>
      </c>
      <c r="U25" t="n">
        <v>113.116776</v>
      </c>
      <c r="V25" t="n">
        <v>114.378525</v>
      </c>
      <c r="W25" t="n">
        <v>115.730423</v>
      </c>
      <c r="X25" t="n">
        <v>117.687897</v>
      </c>
      <c r="Y25" t="n">
        <v>119.253349</v>
      </c>
      <c r="Z25" t="n">
        <v>121.622749</v>
      </c>
      <c r="AA25" t="n">
        <v>122.511253</v>
      </c>
      <c r="AB25" t="n">
        <v>123.042229</v>
      </c>
      <c r="AC25" t="n">
        <v>123.998947</v>
      </c>
      <c r="AD25" t="n">
        <v>125.264999</v>
      </c>
      <c r="AE25" t="n">
        <v>127.588448</v>
      </c>
      <c r="AF25" t="n">
        <v>129.466446</v>
      </c>
      <c r="AG25" t="n">
        <v>130.94455</v>
      </c>
      <c r="AH25" t="n">
        <v>132.972122</v>
      </c>
      <c r="AI25" t="n">
        <v>0.007</v>
      </c>
    </row>
    <row r="26">
      <c r="A26" t="inlineStr">
        <is>
          <t>ISM000:fa_AgriculturalC</t>
        </is>
      </c>
      <c r="C26" t="inlineStr">
        <is>
          <t>Agricultural Chemicals</t>
        </is>
      </c>
      <c r="D26" t="inlineStr">
        <is>
          <t>Industrial Macroeconomic: Manufacturing: Chemicals: Bulk Chemicals: Agricultural Chemicals: Alternative Electricity and Transportation</t>
        </is>
      </c>
      <c r="E26" t="inlineStr">
        <is>
          <t>AEO.2026.ELECTRNP.ECI_VOS_MANF_AGC_NA_NA_NA_BLNY09DLR.A</t>
        </is>
      </c>
      <c r="F26" t="inlineStr">
        <is>
          <t>billion 2012 $</t>
        </is>
      </c>
      <c r="G26" t="n">
        <v>41.439999</v>
      </c>
      <c r="H26" t="n">
        <v>41.469086</v>
      </c>
      <c r="I26" t="n">
        <v>41.946102</v>
      </c>
      <c r="J26" t="n">
        <v>41.806648</v>
      </c>
      <c r="K26" t="n">
        <v>41.845043</v>
      </c>
      <c r="L26" t="n">
        <v>42.168369</v>
      </c>
      <c r="M26" t="n">
        <v>42.538464</v>
      </c>
      <c r="N26" t="n">
        <v>42.695454</v>
      </c>
      <c r="O26" t="n">
        <v>42.950291</v>
      </c>
      <c r="P26" t="n">
        <v>43.226524</v>
      </c>
      <c r="Q26" t="n">
        <v>43.630913</v>
      </c>
      <c r="R26" t="n">
        <v>43.985401</v>
      </c>
      <c r="S26" t="n">
        <v>44.473221</v>
      </c>
      <c r="T26" t="n">
        <v>44.886093</v>
      </c>
      <c r="U26" t="n">
        <v>45.281067</v>
      </c>
      <c r="V26" t="n">
        <v>45.756378</v>
      </c>
      <c r="W26" t="n">
        <v>46.305859</v>
      </c>
      <c r="X26" t="n">
        <v>46.84927</v>
      </c>
      <c r="Y26" t="n">
        <v>47.365139</v>
      </c>
      <c r="Z26" t="n">
        <v>47.841415</v>
      </c>
      <c r="AA26" t="n">
        <v>48.536507</v>
      </c>
      <c r="AB26" t="n">
        <v>49.181259</v>
      </c>
      <c r="AC26" t="n">
        <v>49.868652</v>
      </c>
      <c r="AD26" t="n">
        <v>50.474846</v>
      </c>
      <c r="AE26" t="n">
        <v>50.942249</v>
      </c>
      <c r="AF26" t="n">
        <v>51.507961</v>
      </c>
      <c r="AG26" t="n">
        <v>0.008999999999999999</v>
      </c>
    </row>
    <row r="27">
      <c r="A27" t="inlineStr">
        <is>
          <t>ISM000:fa_OtherChemical</t>
        </is>
      </c>
      <c r="C27" t="inlineStr">
        <is>
          <t>Other Chemical Products</t>
        </is>
      </c>
      <c r="D27" t="inlineStr">
        <is>
          <t>Industrial Macroeconomic: Manufacturing: Chemicals: Other Chemical Products: Alternative Electricity and Transportation</t>
        </is>
      </c>
      <c r="E27" t="inlineStr">
        <is>
          <t>AEO.2026.ELECTRNP.ECI_VOS_MANF_CHEO_NA_NA_NA_BLNY09DLR.A</t>
        </is>
      </c>
      <c r="F27" t="inlineStr">
        <is>
          <t>billion 2012 $</t>
        </is>
      </c>
      <c r="G27" t="n">
        <v>476.230011</v>
      </c>
      <c r="H27" t="n">
        <v>480.270416</v>
      </c>
      <c r="I27" t="n">
        <v>475.834015</v>
      </c>
      <c r="J27" t="n">
        <v>474.002838</v>
      </c>
      <c r="K27" t="n">
        <v>472.615173</v>
      </c>
      <c r="L27" t="n">
        <v>471.980499</v>
      </c>
      <c r="M27" t="n">
        <v>472.31189</v>
      </c>
      <c r="N27" t="n">
        <v>475.85318</v>
      </c>
      <c r="O27" t="n">
        <v>481.877594</v>
      </c>
      <c r="P27" t="n">
        <v>487.471252</v>
      </c>
      <c r="Q27" t="n">
        <v>492.833282</v>
      </c>
      <c r="R27" t="n">
        <v>498.181854</v>
      </c>
      <c r="S27" t="n">
        <v>505.101868</v>
      </c>
      <c r="T27" t="n">
        <v>512.150879</v>
      </c>
      <c r="U27" t="n">
        <v>518.912903</v>
      </c>
      <c r="V27" t="n">
        <v>526.785706</v>
      </c>
      <c r="W27" t="n">
        <v>536.141113</v>
      </c>
      <c r="X27" t="n">
        <v>546.778198</v>
      </c>
      <c r="Y27" t="n">
        <v>558.097717</v>
      </c>
      <c r="Z27" t="n">
        <v>570.079651</v>
      </c>
      <c r="AA27" t="n">
        <v>582.720276</v>
      </c>
      <c r="AB27" t="n">
        <v>596.481506</v>
      </c>
      <c r="AC27" t="n">
        <v>610.5593260000001</v>
      </c>
      <c r="AD27" t="n">
        <v>623.378235</v>
      </c>
      <c r="AE27" t="n">
        <v>637.102844</v>
      </c>
      <c r="AF27" t="n">
        <v>651.509155</v>
      </c>
      <c r="AG27" t="n">
        <v>0.013</v>
      </c>
    </row>
    <row r="28">
      <c r="A28" t="inlineStr">
        <is>
          <t>ISM000:fa_PetroleumandC</t>
        </is>
      </c>
      <c r="C28" t="inlineStr">
        <is>
          <t>Petroleum and Coal Products</t>
        </is>
      </c>
      <c r="D28" t="inlineStr">
        <is>
          <t>Industrial Macroeconomic: Manufacturing: Petroleum and Coal Products: Alternative Electricity and Transportation</t>
        </is>
      </c>
      <c r="E28" t="inlineStr">
        <is>
          <t>AEO.2026.ELECTRNP.ECI_VOS_MANF_PCL_NA_NA_NA_BLNY09DLR.A</t>
        </is>
      </c>
      <c r="F28" t="inlineStr">
        <is>
          <t>billion 2012 $</t>
        </is>
      </c>
      <c r="G28" t="n">
        <v>812.46875</v>
      </c>
      <c r="H28" t="n">
        <v>815.599121</v>
      </c>
      <c r="I28" t="n">
        <v>814.629578</v>
      </c>
      <c r="J28" t="n">
        <v>812.4406739999999</v>
      </c>
      <c r="K28" t="n">
        <v>805.569824</v>
      </c>
      <c r="L28" t="n">
        <v>801.775452</v>
      </c>
      <c r="M28" t="n">
        <v>797.088501</v>
      </c>
      <c r="N28" t="n">
        <v>795.297058</v>
      </c>
      <c r="O28" t="n">
        <v>793.848999</v>
      </c>
      <c r="P28" t="n">
        <v>794.524231</v>
      </c>
      <c r="Q28" t="n">
        <v>795.751404</v>
      </c>
      <c r="R28" t="n">
        <v>793.120361</v>
      </c>
      <c r="S28" t="n">
        <v>787.339966</v>
      </c>
      <c r="T28" t="n">
        <v>781.713196</v>
      </c>
      <c r="U28" t="n">
        <v>778.870544</v>
      </c>
      <c r="V28" t="n">
        <v>777.977966</v>
      </c>
      <c r="W28" t="n">
        <v>779.204834</v>
      </c>
      <c r="X28" t="n">
        <v>777.897339</v>
      </c>
      <c r="Y28" t="n">
        <v>774.047607</v>
      </c>
      <c r="Z28" t="n">
        <v>769.8038330000001</v>
      </c>
      <c r="AA28" t="n">
        <v>765.906128</v>
      </c>
      <c r="AB28" t="n">
        <v>766.344543</v>
      </c>
      <c r="AC28" t="n">
        <v>767.629517</v>
      </c>
      <c r="AD28" t="n">
        <v>764.871216</v>
      </c>
      <c r="AE28" t="n">
        <v>763.110718</v>
      </c>
      <c r="AF28" t="n">
        <v>762.698486</v>
      </c>
      <c r="AG28" t="n">
        <v>-0.003</v>
      </c>
    </row>
    <row r="29">
      <c r="A29" t="inlineStr">
        <is>
          <t>ISM000:fa_PetroleumRefi</t>
        </is>
      </c>
      <c r="B29" t="inlineStr">
        <is>
          <t>,ISIC 19,</t>
        </is>
      </c>
      <c r="C29" t="inlineStr">
        <is>
          <t>Petroleum Refineries</t>
        </is>
      </c>
      <c r="D29" t="inlineStr">
        <is>
          <t>Industrial Macroeconomic: Manufacturing: Petroleum and Coal: Petroleum Refineries: Alternative Electricity and Transportation</t>
        </is>
      </c>
      <c r="E29" t="inlineStr">
        <is>
          <t>AEO.2026.ELECTRNP.ECI_VOS_MANF_REF_NA_NA_NA_BLNY09DLR.A</t>
        </is>
      </c>
      <c r="F29" t="inlineStr">
        <is>
          <t>billion 2012 $</t>
        </is>
      </c>
      <c r="G29" t="n">
        <v>774.539978</v>
      </c>
      <c r="H29" t="n">
        <v>777.5373540000001</v>
      </c>
      <c r="I29" t="n">
        <v>776.067749</v>
      </c>
      <c r="J29" t="n">
        <v>773.384399</v>
      </c>
      <c r="K29" t="n">
        <v>766.238708</v>
      </c>
      <c r="L29" t="n">
        <v>762.010864</v>
      </c>
      <c r="M29" t="n">
        <v>756.968933</v>
      </c>
      <c r="N29" t="n">
        <v>754.997803</v>
      </c>
      <c r="O29" t="n">
        <v>753.451904</v>
      </c>
      <c r="P29" t="n">
        <v>754.009399</v>
      </c>
      <c r="Q29" t="n">
        <v>755.11731</v>
      </c>
      <c r="R29" t="n">
        <v>752.423645</v>
      </c>
      <c r="S29" t="n">
        <v>746.491028</v>
      </c>
      <c r="T29" t="n">
        <v>740.768005</v>
      </c>
      <c r="U29" t="n">
        <v>737.8125</v>
      </c>
      <c r="V29" t="n">
        <v>736.7052</v>
      </c>
      <c r="W29" t="n">
        <v>737.79657</v>
      </c>
      <c r="X29" t="n">
        <v>736.509888</v>
      </c>
      <c r="Y29" t="n">
        <v>732.667786</v>
      </c>
      <c r="Z29" t="n">
        <v>728.454712</v>
      </c>
      <c r="AA29" t="n">
        <v>724.670837</v>
      </c>
      <c r="AB29" t="n">
        <v>725.172791</v>
      </c>
      <c r="AC29" t="n">
        <v>726.477966</v>
      </c>
      <c r="AD29" t="n">
        <v>723.8184199999999</v>
      </c>
      <c r="AE29" t="n">
        <v>722.17981</v>
      </c>
      <c r="AF29" t="n">
        <v>721.855103</v>
      </c>
      <c r="AG29" t="n">
        <v>-0.003</v>
      </c>
    </row>
    <row r="30">
      <c r="A30" t="inlineStr">
        <is>
          <t>ISM000:fa_OtherPetroleu</t>
        </is>
      </c>
      <c r="B30" t="inlineStr">
        <is>
          <t>,ISIC 241,</t>
        </is>
      </c>
      <c r="C30" t="inlineStr">
        <is>
          <t>Other Petroleum and Coal Products</t>
        </is>
      </c>
      <c r="D30" t="inlineStr">
        <is>
          <t>Industrial Macroeconomic: Manufacturing: Petroleum and Coal: Other Petroleum &amp; Coal Products: Alternative Electricity and Transportation</t>
        </is>
      </c>
      <c r="E30" t="inlineStr">
        <is>
          <t>AEO.2026.ELECTRNP.ECI_VOS_MANF_PCLO_NA_NA_NA_BLNY09DLR.A</t>
        </is>
      </c>
      <c r="F30" t="inlineStr">
        <is>
          <t>billion 2012 $</t>
        </is>
      </c>
      <c r="G30" t="n">
        <v>37.928802</v>
      </c>
      <c r="H30" t="n">
        <v>38.061752</v>
      </c>
      <c r="I30" t="n">
        <v>38.561806</v>
      </c>
      <c r="J30" t="n">
        <v>39.056305</v>
      </c>
      <c r="K30" t="n">
        <v>39.331112</v>
      </c>
      <c r="L30" t="n">
        <v>39.764568</v>
      </c>
      <c r="M30" t="n">
        <v>40.11956</v>
      </c>
      <c r="N30" t="n">
        <v>40.299236</v>
      </c>
      <c r="O30" t="n">
        <v>40.397125</v>
      </c>
      <c r="P30" t="n">
        <v>40.514839</v>
      </c>
      <c r="Q30" t="n">
        <v>40.634068</v>
      </c>
      <c r="R30" t="n">
        <v>40.696747</v>
      </c>
      <c r="S30" t="n">
        <v>40.848927</v>
      </c>
      <c r="T30" t="n">
        <v>40.945206</v>
      </c>
      <c r="U30" t="n">
        <v>41.058052</v>
      </c>
      <c r="V30" t="n">
        <v>41.272781</v>
      </c>
      <c r="W30" t="n">
        <v>41.408283</v>
      </c>
      <c r="X30" t="n">
        <v>41.387432</v>
      </c>
      <c r="Y30" t="n">
        <v>41.379841</v>
      </c>
      <c r="Z30" t="n">
        <v>41.349102</v>
      </c>
      <c r="AA30" t="n">
        <v>41.235302</v>
      </c>
      <c r="AB30" t="n">
        <v>41.17173</v>
      </c>
      <c r="AC30" t="n">
        <v>41.151543</v>
      </c>
      <c r="AD30" t="n">
        <v>41.052803</v>
      </c>
      <c r="AE30" t="n">
        <v>40.930908</v>
      </c>
      <c r="AF30" t="n">
        <v>40.843361</v>
      </c>
      <c r="AG30" t="n">
        <v>0.003</v>
      </c>
    </row>
    <row r="31">
      <c r="A31" t="inlineStr">
        <is>
          <t>ISM000:fa_RubberandMisc</t>
        </is>
      </c>
      <c r="B31" t="inlineStr">
        <is>
          <t>,ISIC 22,</t>
        </is>
      </c>
      <c r="C31" t="inlineStr">
        <is>
          <t>Plastics and Rubber Products</t>
        </is>
      </c>
      <c r="D31" t="inlineStr">
        <is>
          <t>Industrial Macroeconomic: Manufacturing: Plastics and Rubber Products: Alternative Electricity and Transportation</t>
        </is>
      </c>
      <c r="E31" t="inlineStr">
        <is>
          <t>AEO.2026.ELECTRNP.ECI_VOS_MANF_PRP_NA_NA_NA_BLNY09DLR.A</t>
        </is>
      </c>
      <c r="F31" t="inlineStr">
        <is>
          <t>billion 2012 $</t>
        </is>
      </c>
      <c r="G31" t="n">
        <v>216.092499</v>
      </c>
      <c r="H31" t="n">
        <v>214.823395</v>
      </c>
      <c r="I31" t="n">
        <v>219.677505</v>
      </c>
      <c r="J31" t="n">
        <v>222.330856</v>
      </c>
      <c r="K31" t="n">
        <v>223.295807</v>
      </c>
      <c r="L31" t="n">
        <v>225.648972</v>
      </c>
      <c r="M31" t="n">
        <v>228.338623</v>
      </c>
      <c r="N31" t="n">
        <v>229.98912</v>
      </c>
      <c r="O31" t="n">
        <v>231.525879</v>
      </c>
      <c r="P31" t="n">
        <v>232.555054</v>
      </c>
      <c r="Q31" t="n">
        <v>234.369232</v>
      </c>
      <c r="R31" t="n">
        <v>237.0793</v>
      </c>
      <c r="S31" t="n">
        <v>240.294846</v>
      </c>
      <c r="T31" t="n">
        <v>243.169006</v>
      </c>
      <c r="U31" t="n">
        <v>245.565353</v>
      </c>
      <c r="V31" t="n">
        <v>248.448929</v>
      </c>
      <c r="W31" t="n">
        <v>251.362656</v>
      </c>
      <c r="X31" t="n">
        <v>254.492828</v>
      </c>
      <c r="Y31" t="n">
        <v>257.412537</v>
      </c>
      <c r="Z31" t="n">
        <v>260.395477</v>
      </c>
      <c r="AA31" t="n">
        <v>263.662231</v>
      </c>
      <c r="AB31" t="n">
        <v>266.493835</v>
      </c>
      <c r="AC31" t="n">
        <v>269.102417</v>
      </c>
      <c r="AD31" t="n">
        <v>271.19577</v>
      </c>
      <c r="AE31" t="n">
        <v>274.129761</v>
      </c>
      <c r="AF31" t="n">
        <v>277.056915</v>
      </c>
      <c r="AG31" t="n">
        <v>0.01</v>
      </c>
    </row>
    <row r="32">
      <c r="A32" t="inlineStr">
        <is>
          <t>ISM000:fa_Stone,Clay,an</t>
        </is>
      </c>
      <c r="C32" t="inlineStr">
        <is>
          <t>Non-metallic minerals</t>
        </is>
      </c>
      <c r="D32" t="inlineStr">
        <is>
          <t>Industrial Macroeconomic: Manufacturing: Stone, Clay, and Glass Products: Alternative Electricity and Transportation</t>
        </is>
      </c>
      <c r="E32" t="inlineStr">
        <is>
          <t>AEO.2026.ELECTRNP.ECI_VOS_MANF_SCG_NA_NA_NA_BLNY09DLR.A</t>
        </is>
      </c>
      <c r="F32" t="inlineStr">
        <is>
          <t>billion 2012 $</t>
        </is>
      </c>
      <c r="G32" t="n">
        <v>111.717621</v>
      </c>
      <c r="H32" t="n">
        <v>110.275085</v>
      </c>
      <c r="I32" t="n">
        <v>108.786674</v>
      </c>
      <c r="J32" t="n">
        <v>108.493782</v>
      </c>
      <c r="K32" t="n">
        <v>108.214882</v>
      </c>
      <c r="L32" t="n">
        <v>108.480453</v>
      </c>
      <c r="M32" t="n">
        <v>109.168541</v>
      </c>
      <c r="N32" t="n">
        <v>109.853004</v>
      </c>
      <c r="O32" t="n">
        <v>110.825157</v>
      </c>
      <c r="P32" t="n">
        <v>111.884613</v>
      </c>
      <c r="Q32" t="n">
        <v>112.972191</v>
      </c>
      <c r="R32" t="n">
        <v>114.100296</v>
      </c>
      <c r="S32" t="n">
        <v>115.132263</v>
      </c>
      <c r="T32" t="n">
        <v>116.23027</v>
      </c>
      <c r="U32" t="n">
        <v>117.294624</v>
      </c>
      <c r="V32" t="n">
        <v>117.994339</v>
      </c>
      <c r="W32" t="n">
        <v>118.390892</v>
      </c>
      <c r="X32" t="n">
        <v>118.60862</v>
      </c>
      <c r="Y32" t="n">
        <v>118.440742</v>
      </c>
      <c r="Z32" t="n">
        <v>118.101471</v>
      </c>
      <c r="AA32" t="n">
        <v>118.495834</v>
      </c>
      <c r="AB32" t="n">
        <v>119.35685</v>
      </c>
      <c r="AC32" t="n">
        <v>120.240875</v>
      </c>
      <c r="AD32" t="n">
        <v>121.143654</v>
      </c>
      <c r="AE32" t="n">
        <v>122.017525</v>
      </c>
      <c r="AF32" t="n">
        <v>122.991974</v>
      </c>
      <c r="AG32" t="n">
        <v>0.004</v>
      </c>
    </row>
    <row r="33">
      <c r="A33" t="inlineStr">
        <is>
          <t>ISM000:fa_GlassandGlass</t>
        </is>
      </c>
      <c r="B33" t="inlineStr">
        <is>
          <t>,ISIC 231,</t>
        </is>
      </c>
      <c r="C33" t="inlineStr">
        <is>
          <t>Glass and Glass Products</t>
        </is>
      </c>
      <c r="D33" t="inlineStr">
        <is>
          <t>Industrial Macroeconomic: Manufacturing: Stone, Clay, and Glass: Glass and Glass Products: Alternative Electricity and Transportation</t>
        </is>
      </c>
      <c r="E33" t="inlineStr">
        <is>
          <t>AEO.2026.ELECTRNP.ECI_VOS_MANF_SCGG_NA_NA_NA_BLNY09DLR.A</t>
        </is>
      </c>
      <c r="F33" t="inlineStr">
        <is>
          <t>billion 2012 $</t>
        </is>
      </c>
      <c r="G33" t="n">
        <v>21.317434</v>
      </c>
      <c r="H33" t="n">
        <v>21.330378</v>
      </c>
      <c r="I33" t="n">
        <v>21.382898</v>
      </c>
      <c r="J33" t="n">
        <v>21.358</v>
      </c>
      <c r="K33" t="n">
        <v>21.324633</v>
      </c>
      <c r="L33" t="n">
        <v>21.333778</v>
      </c>
      <c r="M33" t="n">
        <v>21.370119</v>
      </c>
      <c r="N33" t="n">
        <v>21.456921</v>
      </c>
      <c r="O33" t="n">
        <v>21.599215</v>
      </c>
      <c r="P33" t="n">
        <v>21.778683</v>
      </c>
      <c r="Q33" t="n">
        <v>22.004484</v>
      </c>
      <c r="R33" t="n">
        <v>22.229578</v>
      </c>
      <c r="S33" t="n">
        <v>22.444937</v>
      </c>
      <c r="T33" t="n">
        <v>22.672058</v>
      </c>
      <c r="U33" t="n">
        <v>22.897127</v>
      </c>
      <c r="V33" t="n">
        <v>23.127674</v>
      </c>
      <c r="W33" t="n">
        <v>23.370462</v>
      </c>
      <c r="X33" t="n">
        <v>23.622248</v>
      </c>
      <c r="Y33" t="n">
        <v>23.883127</v>
      </c>
      <c r="Z33" t="n">
        <v>24.140699</v>
      </c>
      <c r="AA33" t="n">
        <v>24.406715</v>
      </c>
      <c r="AB33" t="n">
        <v>24.67695</v>
      </c>
      <c r="AC33" t="n">
        <v>24.94762</v>
      </c>
      <c r="AD33" t="n">
        <v>25.221365</v>
      </c>
      <c r="AE33" t="n">
        <v>25.484995</v>
      </c>
      <c r="AF33" t="n">
        <v>25.749542</v>
      </c>
      <c r="AG33" t="n">
        <v>0.008</v>
      </c>
    </row>
    <row r="34">
      <c r="A34" t="inlineStr">
        <is>
          <t>ISM000:fa_CementandHydr</t>
        </is>
      </c>
      <c r="B34" t="inlineStr">
        <is>
          <t>,ISIC 239,</t>
        </is>
      </c>
      <c r="C34" t="inlineStr">
        <is>
          <t>Cement and Lime</t>
        </is>
      </c>
      <c r="D34" t="inlineStr">
        <is>
          <t>Industrial Macroeconomic: Manufacturing: Stone, Clay, and Glass: Cement and Lime: Alternative Electricity and Transportation</t>
        </is>
      </c>
      <c r="E34" t="inlineStr">
        <is>
          <t>AEO.2026.ELECTRNP.ECI_VOS_MANF_SCGCL_NA_NA_NA_BLNY09DLR.A</t>
        </is>
      </c>
      <c r="F34" t="inlineStr">
        <is>
          <t>billion 2012 $</t>
        </is>
      </c>
      <c r="G34" t="n">
        <v>9.336027</v>
      </c>
      <c r="H34" t="n">
        <v>9.138749000000001</v>
      </c>
      <c r="I34" t="n">
        <v>8.976787</v>
      </c>
      <c r="J34" t="n">
        <v>8.899744</v>
      </c>
      <c r="K34" t="n">
        <v>8.858376</v>
      </c>
      <c r="L34" t="n">
        <v>8.879111</v>
      </c>
      <c r="M34" t="n">
        <v>8.939971</v>
      </c>
      <c r="N34" t="n">
        <v>9.02407</v>
      </c>
      <c r="O34" t="n">
        <v>9.135289</v>
      </c>
      <c r="P34" t="n">
        <v>9.258552999999999</v>
      </c>
      <c r="Q34" t="n">
        <v>9.389754</v>
      </c>
      <c r="R34" t="n">
        <v>9.524654</v>
      </c>
      <c r="S34" t="n">
        <v>9.657454</v>
      </c>
      <c r="T34" t="n">
        <v>9.793234</v>
      </c>
      <c r="U34" t="n">
        <v>9.925656</v>
      </c>
      <c r="V34" t="n">
        <v>10.036542</v>
      </c>
      <c r="W34" t="n">
        <v>10.121435</v>
      </c>
      <c r="X34" t="n">
        <v>10.178687</v>
      </c>
      <c r="Y34" t="n">
        <v>10.198941</v>
      </c>
      <c r="Z34" t="n">
        <v>10.195507</v>
      </c>
      <c r="AA34" t="n">
        <v>10.222628</v>
      </c>
      <c r="AB34" t="n">
        <v>10.289026</v>
      </c>
      <c r="AC34" t="n">
        <v>10.381219</v>
      </c>
      <c r="AD34" t="n">
        <v>10.489734</v>
      </c>
      <c r="AE34" t="n">
        <v>10.605895</v>
      </c>
      <c r="AF34" t="n">
        <v>10.7287</v>
      </c>
      <c r="AG34" t="n">
        <v>0.006</v>
      </c>
    </row>
    <row r="35">
      <c r="A35" t="inlineStr">
        <is>
          <t>ISM000:fa_OtherStone,Cl</t>
        </is>
      </c>
      <c r="B35" t="inlineStr">
        <is>
          <t>,ISIC 239,</t>
        </is>
      </c>
      <c r="C35" t="inlineStr">
        <is>
          <t>Other Nonmetallic Mineral Products</t>
        </is>
      </c>
      <c r="D35" t="inlineStr">
        <is>
          <t>Industrial Macroeconomic: Manufacturing: Stone, Clay, and Glass: Other Nonmetallic Mineral Products: Alternative Electricity and Transportation</t>
        </is>
      </c>
      <c r="E35" t="inlineStr">
        <is>
          <t>AEO.2026.ELECTRNP.ECI_VOS_MANF_SCGOM_NA_NA_NA_BLNY09DLR.A</t>
        </is>
      </c>
      <c r="F35" t="inlineStr">
        <is>
          <t>billion 2012 $</t>
        </is>
      </c>
      <c r="G35" t="n">
        <v>81.064156</v>
      </c>
      <c r="H35" t="n">
        <v>79.80596199999999</v>
      </c>
      <c r="I35" t="n">
        <v>78.426987</v>
      </c>
      <c r="J35" t="n">
        <v>78.23603799999999</v>
      </c>
      <c r="K35" t="n">
        <v>78.031876</v>
      </c>
      <c r="L35" t="n">
        <v>78.267563</v>
      </c>
      <c r="M35" t="n">
        <v>78.858452</v>
      </c>
      <c r="N35" t="n">
        <v>79.372017</v>
      </c>
      <c r="O35" t="n">
        <v>80.09065200000001</v>
      </c>
      <c r="P35" t="n">
        <v>80.847382</v>
      </c>
      <c r="Q35" t="n">
        <v>81.57795</v>
      </c>
      <c r="R35" t="n">
        <v>82.346069</v>
      </c>
      <c r="S35" t="n">
        <v>83.02986900000001</v>
      </c>
      <c r="T35" t="n">
        <v>83.764977</v>
      </c>
      <c r="U35" t="n">
        <v>84.47184</v>
      </c>
      <c r="V35" t="n">
        <v>84.830124</v>
      </c>
      <c r="W35" t="n">
        <v>84.898994</v>
      </c>
      <c r="X35" t="n">
        <v>84.807686</v>
      </c>
      <c r="Y35" t="n">
        <v>84.358673</v>
      </c>
      <c r="Z35" t="n">
        <v>83.765266</v>
      </c>
      <c r="AA35" t="n">
        <v>83.86648599999999</v>
      </c>
      <c r="AB35" t="n">
        <v>84.390877</v>
      </c>
      <c r="AC35" t="n">
        <v>84.91203299999999</v>
      </c>
      <c r="AD35" t="n">
        <v>85.43255600000001</v>
      </c>
      <c r="AE35" t="n">
        <v>85.926636</v>
      </c>
      <c r="AF35" t="n">
        <v>86.513733</v>
      </c>
      <c r="AG35" t="n">
        <v>0.003</v>
      </c>
    </row>
    <row r="36">
      <c r="A36" t="inlineStr">
        <is>
          <t>ISM000:ga_PrimaryMetals</t>
        </is>
      </c>
      <c r="C36" t="inlineStr">
        <is>
          <t>Primary Metals Industry</t>
        </is>
      </c>
      <c r="D36" t="inlineStr">
        <is>
          <t>Industrial Macroeconomic: Manufacturing: Primary Metals Industry: Alternative Electricity and Transportation</t>
        </is>
      </c>
      <c r="E36" t="inlineStr">
        <is>
          <t>AEO.2026.ELECTRNP.ECI_VOS_MANF_PMM_NA_NA_NA_BLNY09DLR.A</t>
        </is>
      </c>
      <c r="F36" t="inlineStr">
        <is>
          <t>billion 2012 $</t>
        </is>
      </c>
      <c r="G36" t="n">
        <v>246.755722</v>
      </c>
      <c r="H36" t="n">
        <v>250.087158</v>
      </c>
      <c r="I36" t="n">
        <v>255.740158</v>
      </c>
      <c r="J36" t="n">
        <v>255.595413</v>
      </c>
      <c r="K36" t="n">
        <v>257.121918</v>
      </c>
      <c r="L36" t="n">
        <v>260.644714</v>
      </c>
      <c r="M36" t="n">
        <v>263.586365</v>
      </c>
      <c r="N36" t="n">
        <v>267.570404</v>
      </c>
      <c r="O36" t="n">
        <v>271.298248</v>
      </c>
      <c r="P36" t="n">
        <v>273.569824</v>
      </c>
      <c r="Q36" t="n">
        <v>276.890106</v>
      </c>
      <c r="R36" t="n">
        <v>279.220032</v>
      </c>
      <c r="S36" t="n">
        <v>281.901062</v>
      </c>
      <c r="T36" t="n">
        <v>284.142548</v>
      </c>
      <c r="U36" t="n">
        <v>286.104187</v>
      </c>
      <c r="V36" t="n">
        <v>289.029602</v>
      </c>
      <c r="W36" t="n">
        <v>292.310883</v>
      </c>
      <c r="X36" t="n">
        <v>295.618896</v>
      </c>
      <c r="Y36" t="n">
        <v>298.473785</v>
      </c>
      <c r="Z36" t="n">
        <v>301.266174</v>
      </c>
      <c r="AA36" t="n">
        <v>305.139069</v>
      </c>
      <c r="AB36" t="n">
        <v>308.23111</v>
      </c>
      <c r="AC36" t="n">
        <v>311.825836</v>
      </c>
      <c r="AD36" t="n">
        <v>314.935364</v>
      </c>
      <c r="AE36" t="n">
        <v>316.969177</v>
      </c>
      <c r="AF36" t="n">
        <v>319.741119</v>
      </c>
      <c r="AG36" t="n">
        <v>0.01</v>
      </c>
    </row>
    <row r="37">
      <c r="A37" t="inlineStr">
        <is>
          <t>ISM000:ga_BlastFurnacea</t>
        </is>
      </c>
      <c r="B37" t="inlineStr">
        <is>
          <t>,ISIC 241,</t>
        </is>
      </c>
      <c r="C37" t="inlineStr">
        <is>
          <t>Iron and Steel Mills and Products</t>
        </is>
      </c>
      <c r="D37" t="inlineStr">
        <is>
          <t>Industrial Macroeconomic: Manufacturing: Primary Metals: Iron and Steel Mills and Products: Alternative Electricity and Transportation</t>
        </is>
      </c>
      <c r="E37" t="inlineStr">
        <is>
          <t>AEO.2026.ELECTRNP.ECI_VOS_MANF_ISM_NA_NA_NA_BLNY09DLR.A</t>
        </is>
      </c>
      <c r="F37" t="inlineStr">
        <is>
          <t>billion 2012 $</t>
        </is>
      </c>
      <c r="G37" t="n">
        <v>133.185272</v>
      </c>
      <c r="H37" t="n">
        <v>136.571045</v>
      </c>
      <c r="I37" t="n">
        <v>141.489243</v>
      </c>
      <c r="J37" t="n">
        <v>140.726959</v>
      </c>
      <c r="K37" t="n">
        <v>141.82077</v>
      </c>
      <c r="L37" t="n">
        <v>144.799606</v>
      </c>
      <c r="M37" t="n">
        <v>147.152618</v>
      </c>
      <c r="N37" t="n">
        <v>150.407516</v>
      </c>
      <c r="O37" t="n">
        <v>153.237595</v>
      </c>
      <c r="P37" t="n">
        <v>154.478958</v>
      </c>
      <c r="Q37" t="n">
        <v>156.598999</v>
      </c>
      <c r="R37" t="n">
        <v>157.666306</v>
      </c>
      <c r="S37" t="n">
        <v>159.091263</v>
      </c>
      <c r="T37" t="n">
        <v>160.069885</v>
      </c>
      <c r="U37" t="n">
        <v>160.77774</v>
      </c>
      <c r="V37" t="n">
        <v>162.439377</v>
      </c>
      <c r="W37" t="n">
        <v>164.433517</v>
      </c>
      <c r="X37" t="n">
        <v>166.445129</v>
      </c>
      <c r="Y37" t="n">
        <v>168.004395</v>
      </c>
      <c r="Z37" t="n">
        <v>169.520996</v>
      </c>
      <c r="AA37" t="n">
        <v>172.14064</v>
      </c>
      <c r="AB37" t="n">
        <v>174.01265</v>
      </c>
      <c r="AC37" t="n">
        <v>176.440125</v>
      </c>
      <c r="AD37" t="n">
        <v>178.451385</v>
      </c>
      <c r="AE37" t="n">
        <v>179.463089</v>
      </c>
      <c r="AF37" t="n">
        <v>181.260727</v>
      </c>
      <c r="AG37" t="n">
        <v>0.012</v>
      </c>
    </row>
    <row r="38">
      <c r="A38" t="inlineStr">
        <is>
          <t>ISM000:ga_Aluminum</t>
        </is>
      </c>
      <c r="B38" t="inlineStr">
        <is>
          <t>,ISIC 242,</t>
        </is>
      </c>
      <c r="C38" t="inlineStr">
        <is>
          <t>Alumina and Aluminum Products</t>
        </is>
      </c>
      <c r="D38" t="inlineStr">
        <is>
          <t>Industrial Macroeconomic: Manufacturing: Primary Metals: Alumina and Aluminum Products: Alternative Electricity and Transportation</t>
        </is>
      </c>
      <c r="E38" t="inlineStr">
        <is>
          <t>AEO.2026.ELECTRNP.ECI_VOS_MANF_AAP_NA_NA_NA_BLNY09DLR.A</t>
        </is>
      </c>
      <c r="F38" t="inlineStr">
        <is>
          <t>billion 2012 $</t>
        </is>
      </c>
      <c r="G38" t="n">
        <v>34.303463</v>
      </c>
      <c r="H38" t="n">
        <v>34.704796</v>
      </c>
      <c r="I38" t="n">
        <v>35.137936</v>
      </c>
      <c r="J38" t="n">
        <v>35.538319</v>
      </c>
      <c r="K38" t="n">
        <v>35.894688</v>
      </c>
      <c r="L38" t="n">
        <v>36.223057</v>
      </c>
      <c r="M38" t="n">
        <v>36.590855</v>
      </c>
      <c r="N38" t="n">
        <v>37.023113</v>
      </c>
      <c r="O38" t="n">
        <v>37.529774</v>
      </c>
      <c r="P38" t="n">
        <v>38.114296</v>
      </c>
      <c r="Q38" t="n">
        <v>38.792519</v>
      </c>
      <c r="R38" t="n">
        <v>39.503159</v>
      </c>
      <c r="S38" t="n">
        <v>40.215851</v>
      </c>
      <c r="T38" t="n">
        <v>40.931011</v>
      </c>
      <c r="U38" t="n">
        <v>41.635021</v>
      </c>
      <c r="V38" t="n">
        <v>42.331554</v>
      </c>
      <c r="W38" t="n">
        <v>43.032452</v>
      </c>
      <c r="X38" t="n">
        <v>43.73204</v>
      </c>
      <c r="Y38" t="n">
        <v>44.414871</v>
      </c>
      <c r="Z38" t="n">
        <v>45.054203</v>
      </c>
      <c r="AA38" t="n">
        <v>45.637836</v>
      </c>
      <c r="AB38" t="n">
        <v>46.167351</v>
      </c>
      <c r="AC38" t="n">
        <v>46.650509</v>
      </c>
      <c r="AD38" t="n">
        <v>47.085503</v>
      </c>
      <c r="AE38" t="n">
        <v>47.473671</v>
      </c>
      <c r="AF38" t="n">
        <v>47.835384</v>
      </c>
      <c r="AG38" t="n">
        <v>0.013</v>
      </c>
    </row>
    <row r="39">
      <c r="A39" t="inlineStr">
        <is>
          <t>ISM000:ga_OtherPrimaryM</t>
        </is>
      </c>
      <c r="B39" t="inlineStr">
        <is>
          <t>,ISIC 242,</t>
        </is>
      </c>
      <c r="C39" t="inlineStr">
        <is>
          <t>Other Primary Metal Products</t>
        </is>
      </c>
      <c r="D39" t="inlineStr">
        <is>
          <t>Industrial Macroeconomic: Manufacturing: Primary Metals: Other Primary Metal Products: Alternative Electricity and Transportation</t>
        </is>
      </c>
      <c r="E39" t="inlineStr">
        <is>
          <t>AEO.2026.ELECTRNP.ECI_VOS_MANF_PMO_NA_NA_NA_BLNY09DLR.A</t>
        </is>
      </c>
      <c r="F39" t="inlineStr">
        <is>
          <t>billion 2012 $</t>
        </is>
      </c>
      <c r="G39" t="n">
        <v>79.266983</v>
      </c>
      <c r="H39" t="n">
        <v>78.811302</v>
      </c>
      <c r="I39" t="n">
        <v>79.112976</v>
      </c>
      <c r="J39" t="n">
        <v>79.330147</v>
      </c>
      <c r="K39" t="n">
        <v>79.406471</v>
      </c>
      <c r="L39" t="n">
        <v>79.62204699999999</v>
      </c>
      <c r="M39" t="n">
        <v>79.842896</v>
      </c>
      <c r="N39" t="n">
        <v>80.139786</v>
      </c>
      <c r="O39" t="n">
        <v>80.530861</v>
      </c>
      <c r="P39" t="n">
        <v>80.976562</v>
      </c>
      <c r="Q39" t="n">
        <v>81.49857299999999</v>
      </c>
      <c r="R39" t="n">
        <v>82.050552</v>
      </c>
      <c r="S39" t="n">
        <v>82.593948</v>
      </c>
      <c r="T39" t="n">
        <v>83.14164700000001</v>
      </c>
      <c r="U39" t="n">
        <v>83.691399</v>
      </c>
      <c r="V39" t="n">
        <v>84.258675</v>
      </c>
      <c r="W39" t="n">
        <v>84.844894</v>
      </c>
      <c r="X39" t="n">
        <v>85.441742</v>
      </c>
      <c r="Y39" t="n">
        <v>86.05452</v>
      </c>
      <c r="Z39" t="n">
        <v>86.690979</v>
      </c>
      <c r="AA39" t="n">
        <v>87.36061100000001</v>
      </c>
      <c r="AB39" t="n">
        <v>88.051102</v>
      </c>
      <c r="AC39" t="n">
        <v>88.735176</v>
      </c>
      <c r="AD39" t="n">
        <v>89.398453</v>
      </c>
      <c r="AE39" t="n">
        <v>90.03241</v>
      </c>
      <c r="AF39" t="n">
        <v>90.644989</v>
      </c>
      <c r="AG39" t="n">
        <v>0.005</v>
      </c>
    </row>
    <row r="40">
      <c r="A40" t="inlineStr">
        <is>
          <t>ISM000:ga_FabricatedMet</t>
        </is>
      </c>
      <c r="B40" t="inlineStr">
        <is>
          <t>,ISIC 25,</t>
        </is>
      </c>
      <c r="C40" t="inlineStr">
        <is>
          <t>Fabricated Metal Products</t>
        </is>
      </c>
      <c r="D40" t="inlineStr">
        <is>
          <t>Industrial Macroeconomic: Manufacturing: Fabricated Metal Products: Alternative Electricity and Transportation</t>
        </is>
      </c>
      <c r="E40" t="inlineStr">
        <is>
          <t>AEO.2026.ELECTRNP.ECI_VOS_MANF_FBP_NA_NA_NA_BLNY09DLR.A</t>
        </is>
      </c>
      <c r="F40" t="inlineStr">
        <is>
          <t>billion 2012 $</t>
        </is>
      </c>
      <c r="G40" t="n">
        <v>310.267487</v>
      </c>
      <c r="H40" t="n">
        <v>316.877045</v>
      </c>
      <c r="I40" t="n">
        <v>322.389435</v>
      </c>
      <c r="J40" t="n">
        <v>319.584412</v>
      </c>
      <c r="K40" t="n">
        <v>318.392212</v>
      </c>
      <c r="L40" t="n">
        <v>318.325897</v>
      </c>
      <c r="M40" t="n">
        <v>318.722137</v>
      </c>
      <c r="N40" t="n">
        <v>321.753662</v>
      </c>
      <c r="O40" t="n">
        <v>324.085693</v>
      </c>
      <c r="P40" t="n">
        <v>328.128998</v>
      </c>
      <c r="Q40" t="n">
        <v>332.004303</v>
      </c>
      <c r="R40" t="n">
        <v>334.631134</v>
      </c>
      <c r="S40" t="n">
        <v>337.585022</v>
      </c>
      <c r="T40" t="n">
        <v>341.105255</v>
      </c>
      <c r="U40" t="n">
        <v>343.534821</v>
      </c>
      <c r="V40" t="n">
        <v>346.934143</v>
      </c>
      <c r="W40" t="n">
        <v>350.070038</v>
      </c>
      <c r="X40" t="n">
        <v>353.55838</v>
      </c>
      <c r="Y40" t="n">
        <v>357.13855</v>
      </c>
      <c r="Z40" t="n">
        <v>362.213501</v>
      </c>
      <c r="AA40" t="n">
        <v>367.135986</v>
      </c>
      <c r="AB40" t="n">
        <v>371.484283</v>
      </c>
      <c r="AC40" t="n">
        <v>373.76889</v>
      </c>
      <c r="AD40" t="n">
        <v>375.089203</v>
      </c>
      <c r="AE40" t="n">
        <v>379.121002</v>
      </c>
      <c r="AF40" t="n">
        <v>382.781158</v>
      </c>
      <c r="AG40" t="n">
        <v>0.008</v>
      </c>
    </row>
    <row r="41">
      <c r="A41" t="inlineStr">
        <is>
          <t>ISM000:ga_IndustrialMac</t>
        </is>
      </c>
      <c r="B41" t="inlineStr">
        <is>
          <t>,ISIC 28,</t>
        </is>
      </c>
      <c r="C41" t="inlineStr">
        <is>
          <t>Machinery</t>
        </is>
      </c>
      <c r="D41" t="inlineStr">
        <is>
          <t>Industrial Macroeconomic: Manufacturing: Machinery: Alternative Electricity and Transportation</t>
        </is>
      </c>
      <c r="E41" t="inlineStr">
        <is>
          <t>AEO.2026.ELECTRNP.ECI_VOS_MANF_MCHI_NA_NA_NA_BLNY09DLR.A</t>
        </is>
      </c>
      <c r="F41" t="inlineStr">
        <is>
          <t>billion 2012 $</t>
        </is>
      </c>
      <c r="G41" t="n">
        <v>305.26001</v>
      </c>
      <c r="H41" t="n">
        <v>299.013855</v>
      </c>
      <c r="I41" t="n">
        <v>306.222961</v>
      </c>
      <c r="J41" t="n">
        <v>311.988953</v>
      </c>
      <c r="K41" t="n">
        <v>318.057556</v>
      </c>
      <c r="L41" t="n">
        <v>322.155853</v>
      </c>
      <c r="M41" t="n">
        <v>328.441467</v>
      </c>
      <c r="N41" t="n">
        <v>333.775635</v>
      </c>
      <c r="O41" t="n">
        <v>334.120361</v>
      </c>
      <c r="P41" t="n">
        <v>336.719849</v>
      </c>
      <c r="Q41" t="n">
        <v>341.104828</v>
      </c>
      <c r="R41" t="n">
        <v>344.257172</v>
      </c>
      <c r="S41" t="n">
        <v>346.368835</v>
      </c>
      <c r="T41" t="n">
        <v>347.215332</v>
      </c>
      <c r="U41" t="n">
        <v>347.323059</v>
      </c>
      <c r="V41" t="n">
        <v>348.831635</v>
      </c>
      <c r="W41" t="n">
        <v>350.165375</v>
      </c>
      <c r="X41" t="n">
        <v>351.428162</v>
      </c>
      <c r="Y41" t="n">
        <v>352.080353</v>
      </c>
      <c r="Z41" t="n">
        <v>352.599304</v>
      </c>
      <c r="AA41" t="n">
        <v>353.708008</v>
      </c>
      <c r="AB41" t="n">
        <v>355.370605</v>
      </c>
      <c r="AC41" t="n">
        <v>357.263489</v>
      </c>
      <c r="AD41" t="n">
        <v>358.306305</v>
      </c>
      <c r="AE41" t="n">
        <v>358.593384</v>
      </c>
      <c r="AF41" t="n">
        <v>358.35907</v>
      </c>
      <c r="AG41" t="n">
        <v>0.006</v>
      </c>
    </row>
    <row r="42">
      <c r="A42" t="inlineStr">
        <is>
          <t>ISM000:ga_Electronicand</t>
        </is>
      </c>
      <c r="B42" t="inlineStr">
        <is>
          <t>,ISIC 26,</t>
        </is>
      </c>
      <c r="C42" t="inlineStr">
        <is>
          <t>Computers and Electronics</t>
        </is>
      </c>
      <c r="D42" t="inlineStr">
        <is>
          <t>Industrial Macroeconomic: Manufacturing: Computers and Electronics: Alternative Electricity and Transportation</t>
        </is>
      </c>
      <c r="E42" t="inlineStr">
        <is>
          <t>AEO.2026.ELECTRNP.ECI_VOS_MANF_CMPEL_NA_NA_NA_BLNY09DLR.A</t>
        </is>
      </c>
      <c r="F42" t="inlineStr">
        <is>
          <t>billion 2012 $</t>
        </is>
      </c>
      <c r="G42" t="n">
        <v>411.202515</v>
      </c>
      <c r="H42" t="n">
        <v>415.516998</v>
      </c>
      <c r="I42" t="n">
        <v>431.086823</v>
      </c>
      <c r="J42" t="n">
        <v>441.412354</v>
      </c>
      <c r="K42" t="n">
        <v>452.649292</v>
      </c>
      <c r="L42" t="n">
        <v>461.904633</v>
      </c>
      <c r="M42" t="n">
        <v>469.320007</v>
      </c>
      <c r="N42" t="n">
        <v>478.329987</v>
      </c>
      <c r="O42" t="n">
        <v>484.94519</v>
      </c>
      <c r="P42" t="n">
        <v>493.503387</v>
      </c>
      <c r="Q42" t="n">
        <v>503.609009</v>
      </c>
      <c r="R42" t="n">
        <v>513.616821</v>
      </c>
      <c r="S42" t="n">
        <v>524.408508</v>
      </c>
      <c r="T42" t="n">
        <v>535.191406</v>
      </c>
      <c r="U42" t="n">
        <v>546.870239</v>
      </c>
      <c r="V42" t="n">
        <v>559.026672</v>
      </c>
      <c r="W42" t="n">
        <v>570.980469</v>
      </c>
      <c r="X42" t="n">
        <v>583.860474</v>
      </c>
      <c r="Y42" t="n">
        <v>597.45813</v>
      </c>
      <c r="Z42" t="n">
        <v>612.4938959999999</v>
      </c>
      <c r="AA42" t="n">
        <v>628.377686</v>
      </c>
      <c r="AB42" t="n">
        <v>645.0931399999999</v>
      </c>
      <c r="AC42" t="n">
        <v>661.210693</v>
      </c>
      <c r="AD42" t="n">
        <v>677.411194</v>
      </c>
      <c r="AE42" t="n">
        <v>693.939575</v>
      </c>
      <c r="AF42" t="n">
        <v>708.702087</v>
      </c>
      <c r="AG42" t="n">
        <v>0.022</v>
      </c>
    </row>
    <row r="43">
      <c r="A43" t="inlineStr">
        <is>
          <t>ISM000:ga_Transportatio</t>
        </is>
      </c>
      <c r="B43" t="inlineStr">
        <is>
          <t>,ISIC 29,ISIC 302T309,</t>
        </is>
      </c>
      <c r="C43" t="inlineStr">
        <is>
          <t>Transportation Equipment</t>
        </is>
      </c>
      <c r="D43" t="inlineStr">
        <is>
          <t>Industrial Macroeconomic: Manufacturing: Transportation Equipment: Alternative Electricity and Transportation</t>
        </is>
      </c>
      <c r="E43" t="inlineStr">
        <is>
          <t>AEO.2026.ELECTRNP.ECI_VOS_MANF_TEQ_NA_NA_NA_BLNY09DLR.A</t>
        </is>
      </c>
      <c r="F43" t="inlineStr">
        <is>
          <t>billion 2012 $</t>
        </is>
      </c>
      <c r="G43" t="n">
        <v>1002.35498</v>
      </c>
      <c r="H43" t="n">
        <v>1005.299988</v>
      </c>
      <c r="I43" t="n">
        <v>1068.974976</v>
      </c>
      <c r="J43" t="n">
        <v>1089.931763</v>
      </c>
      <c r="K43" t="n">
        <v>1107.296997</v>
      </c>
      <c r="L43" t="n">
        <v>1125.723999</v>
      </c>
      <c r="M43" t="n">
        <v>1133.268799</v>
      </c>
      <c r="N43" t="n">
        <v>1151.268799</v>
      </c>
      <c r="O43" t="n">
        <v>1159.228271</v>
      </c>
      <c r="P43" t="n">
        <v>1162.536987</v>
      </c>
      <c r="Q43" t="n">
        <v>1167.008545</v>
      </c>
      <c r="R43" t="n">
        <v>1179.001953</v>
      </c>
      <c r="S43" t="n">
        <v>1203.256714</v>
      </c>
      <c r="T43" t="n">
        <v>1225.75769</v>
      </c>
      <c r="U43" t="n">
        <v>1248.692993</v>
      </c>
      <c r="V43" t="n">
        <v>1269.942505</v>
      </c>
      <c r="W43" t="n">
        <v>1288.689453</v>
      </c>
      <c r="X43" t="n">
        <v>1307.558716</v>
      </c>
      <c r="Y43" t="n">
        <v>1324.182495</v>
      </c>
      <c r="Z43" t="n">
        <v>1341.259521</v>
      </c>
      <c r="AA43" t="n">
        <v>1359.182983</v>
      </c>
      <c r="AB43" t="n">
        <v>1376.203247</v>
      </c>
      <c r="AC43" t="n">
        <v>1391.797729</v>
      </c>
      <c r="AD43" t="n">
        <v>1407.749756</v>
      </c>
      <c r="AE43" t="n">
        <v>1422.330811</v>
      </c>
      <c r="AF43" t="n">
        <v>1434.135742</v>
      </c>
      <c r="AG43" t="n">
        <v>0.014</v>
      </c>
    </row>
    <row r="44">
      <c r="A44" t="inlineStr">
        <is>
          <t>ISM000:ga_Instrumentsan</t>
        </is>
      </c>
      <c r="B44" t="inlineStr">
        <is>
          <t>,ISIC 27,</t>
        </is>
      </c>
      <c r="C44" t="inlineStr">
        <is>
          <t>Electrical Equipment</t>
        </is>
      </c>
      <c r="D44" t="inlineStr">
        <is>
          <t>Industrial Macroeconomic: Manufacturing: Electrical Equipment: Alternative Electricity and Transportation</t>
        </is>
      </c>
      <c r="E44" t="inlineStr">
        <is>
          <t>AEO.2026.ELECTRNP.ECI_VOS_MANF_EEQ_NA_NA_NA_BLNY09DLR.A</t>
        </is>
      </c>
      <c r="F44" t="inlineStr">
        <is>
          <t>billion 2012 $</t>
        </is>
      </c>
      <c r="G44" t="n">
        <v>118.297501</v>
      </c>
      <c r="H44" t="n">
        <v>116.738251</v>
      </c>
      <c r="I44" t="n">
        <v>116.096672</v>
      </c>
      <c r="J44" t="n">
        <v>114.278603</v>
      </c>
      <c r="K44" t="n">
        <v>113.856224</v>
      </c>
      <c r="L44" t="n">
        <v>115.909378</v>
      </c>
      <c r="M44" t="n">
        <v>117.778427</v>
      </c>
      <c r="N44" t="n">
        <v>119.758278</v>
      </c>
      <c r="O44" t="n">
        <v>120.4133</v>
      </c>
      <c r="P44" t="n">
        <v>120.946648</v>
      </c>
      <c r="Q44" t="n">
        <v>122.242722</v>
      </c>
      <c r="R44" t="n">
        <v>123.168228</v>
      </c>
      <c r="S44" t="n">
        <v>124.023949</v>
      </c>
      <c r="T44" t="n">
        <v>124.646446</v>
      </c>
      <c r="U44" t="n">
        <v>125.239227</v>
      </c>
      <c r="V44" t="n">
        <v>126.064003</v>
      </c>
      <c r="W44" t="n">
        <v>126.777603</v>
      </c>
      <c r="X44" t="n">
        <v>127.612022</v>
      </c>
      <c r="Y44" t="n">
        <v>128.323776</v>
      </c>
      <c r="Z44" t="n">
        <v>129.008896</v>
      </c>
      <c r="AA44" t="n">
        <v>129.821594</v>
      </c>
      <c r="AB44" t="n">
        <v>130.855392</v>
      </c>
      <c r="AC44" t="n">
        <v>131.880081</v>
      </c>
      <c r="AD44" t="n">
        <v>132.773621</v>
      </c>
      <c r="AE44" t="n">
        <v>133.500122</v>
      </c>
      <c r="AF44" t="n">
        <v>134.008026</v>
      </c>
      <c r="AG44" t="n">
        <v>0.005</v>
      </c>
    </row>
    <row r="45">
      <c r="A45" t="inlineStr">
        <is>
          <t>ISM000:ga_Miscellaneous</t>
        </is>
      </c>
      <c r="B45" t="inlineStr">
        <is>
          <t>,ISIC 31T33,</t>
        </is>
      </c>
      <c r="C45" t="inlineStr">
        <is>
          <t>Miscellaneous Manufacturing</t>
        </is>
      </c>
      <c r="D45" t="inlineStr">
        <is>
          <t>Industrial Macroeconomic: Manufacturing: Miscellaneous Manufacturing: Alternative Electricity and Transportation</t>
        </is>
      </c>
      <c r="E45" t="inlineStr">
        <is>
          <t>AEO.2026.ELECTRNP.ECI_VOS_MANF_MISC_NA_NA_NA_BLNY09DLR.A</t>
        </is>
      </c>
      <c r="F45" t="inlineStr">
        <is>
          <t>billion 2012 $</t>
        </is>
      </c>
      <c r="G45" t="n">
        <v>144.907501</v>
      </c>
      <c r="H45" t="n">
        <v>145.356125</v>
      </c>
      <c r="I45" t="n">
        <v>149.458694</v>
      </c>
      <c r="J45" t="n">
        <v>152.859497</v>
      </c>
      <c r="K45" t="n">
        <v>155.880325</v>
      </c>
      <c r="L45" t="n">
        <v>159.699677</v>
      </c>
      <c r="M45" t="n">
        <v>164.222504</v>
      </c>
      <c r="N45" t="n">
        <v>165.365555</v>
      </c>
      <c r="O45" t="n">
        <v>164.929428</v>
      </c>
      <c r="P45" t="n">
        <v>163.969254</v>
      </c>
      <c r="Q45" t="n">
        <v>163.580322</v>
      </c>
      <c r="R45" t="n">
        <v>164.353745</v>
      </c>
      <c r="S45" t="n">
        <v>165.490326</v>
      </c>
      <c r="T45" t="n">
        <v>166.505325</v>
      </c>
      <c r="U45" t="n">
        <v>166.727798</v>
      </c>
      <c r="V45" t="n">
        <v>167.809006</v>
      </c>
      <c r="W45" t="n">
        <v>168.991028</v>
      </c>
      <c r="X45" t="n">
        <v>169.767181</v>
      </c>
      <c r="Y45" t="n">
        <v>170.393799</v>
      </c>
      <c r="Z45" t="n">
        <v>171.006378</v>
      </c>
      <c r="AA45" t="n">
        <v>171.547394</v>
      </c>
      <c r="AB45" t="n">
        <v>172.194077</v>
      </c>
      <c r="AC45" t="n">
        <v>172.570618</v>
      </c>
      <c r="AD45" t="n">
        <v>172.609955</v>
      </c>
      <c r="AE45" t="n">
        <v>174.438751</v>
      </c>
      <c r="AF45" t="n">
        <v>173.48642</v>
      </c>
      <c r="AG45" t="n">
        <v>0.007</v>
      </c>
    </row>
    <row r="46">
      <c r="A46" t="inlineStr">
        <is>
          <t>ISM000:ha_TotalIndustri</t>
        </is>
      </c>
      <c r="C46" t="inlineStr">
        <is>
          <t>Total Industrial Value of Shipments</t>
        </is>
      </c>
      <c r="D46" t="inlineStr">
        <is>
          <t>Industrial Macroeconomic: Total Industrial Value of Shipments: Alternative Electricity and Transportation</t>
        </is>
      </c>
      <c r="E46" t="inlineStr">
        <is>
          <t>AEO.2026.ELECTRNP.ECI_VOS_IDAL_NA_NA_NA_NA_BLNY09DLR.A</t>
        </is>
      </c>
      <c r="F46" t="inlineStr">
        <is>
          <t>billion 2012 $</t>
        </is>
      </c>
      <c r="G46" t="n">
        <v>8703.197265999999</v>
      </c>
      <c r="H46" t="n">
        <v>8752.564453000001</v>
      </c>
      <c r="I46" t="n">
        <v>8860.086914</v>
      </c>
      <c r="J46" t="n">
        <v>8925.209961</v>
      </c>
      <c r="K46" t="n">
        <v>8996.970703000001</v>
      </c>
      <c r="L46" t="n">
        <v>9096.010742</v>
      </c>
      <c r="M46" t="n">
        <v>9180.387694999999</v>
      </c>
      <c r="N46" t="n">
        <v>9280.90625</v>
      </c>
      <c r="O46" t="n">
        <v>9357.758789</v>
      </c>
      <c r="P46" t="n">
        <v>9436.433594</v>
      </c>
      <c r="Q46" t="n">
        <v>9520.166992</v>
      </c>
      <c r="R46" t="n">
        <v>9604.296875</v>
      </c>
      <c r="S46" t="n">
        <v>9697.364258</v>
      </c>
      <c r="T46" t="n">
        <v>9786.883789</v>
      </c>
      <c r="U46" t="n">
        <v>9878.123046999999</v>
      </c>
      <c r="V46" t="n">
        <v>9974.826171999999</v>
      </c>
      <c r="W46" t="n">
        <v>10069.032227</v>
      </c>
      <c r="X46" t="n">
        <v>10166.395508</v>
      </c>
      <c r="Y46" t="n">
        <v>10253.317383</v>
      </c>
      <c r="Z46" t="n">
        <v>10343.382812</v>
      </c>
      <c r="AA46" t="n">
        <v>10450.386719</v>
      </c>
      <c r="AB46" t="n">
        <v>10563.197266</v>
      </c>
      <c r="AC46" t="n">
        <v>10674.791016</v>
      </c>
      <c r="AD46" t="n">
        <v>10773.288086</v>
      </c>
      <c r="AE46" t="n">
        <v>10876.103516</v>
      </c>
      <c r="AF46" t="n">
        <v>10975.348633</v>
      </c>
      <c r="AG46" t="n">
        <v>0.008999999999999999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$ (paste from rebuilt 52-code BVAbIC when available)</t>
        </is>
      </c>
      <c r="B1" s="1" t="inlineStr">
        <is>
          <t>ISIC 01</t>
        </is>
      </c>
      <c r="C1" s="1" t="inlineStr">
        <is>
          <t>ISIC 02</t>
        </is>
      </c>
      <c r="D1" s="1" t="inlineStr">
        <is>
          <t>ISIC 03</t>
        </is>
      </c>
      <c r="E1" s="1" t="inlineStr">
        <is>
          <t>ISIC 05</t>
        </is>
      </c>
      <c r="F1" s="1" t="inlineStr">
        <is>
          <t>ISIC 06</t>
        </is>
      </c>
      <c r="G1" s="1" t="inlineStr">
        <is>
          <t>ISIC 07</t>
        </is>
      </c>
      <c r="H1" s="1" t="inlineStr">
        <is>
          <t>ISIC 08</t>
        </is>
      </c>
      <c r="I1" s="1" t="inlineStr">
        <is>
          <t>ISIC 09</t>
        </is>
      </c>
      <c r="J1" s="1" t="inlineStr">
        <is>
          <t>ISIC 10T12</t>
        </is>
      </c>
      <c r="K1" s="1" t="inlineStr">
        <is>
          <t>ISIC 13T15</t>
        </is>
      </c>
      <c r="L1" s="1" t="inlineStr">
        <is>
          <t>ISIC 16</t>
        </is>
      </c>
      <c r="M1" s="1" t="inlineStr">
        <is>
          <t>ISIC 17T18</t>
        </is>
      </c>
      <c r="N1" s="1" t="inlineStr">
        <is>
          <t>ISIC 19</t>
        </is>
      </c>
      <c r="O1" s="1" t="inlineStr">
        <is>
          <t>ISIC 20</t>
        </is>
      </c>
      <c r="P1" s="1" t="inlineStr">
        <is>
          <t>ISIC 21</t>
        </is>
      </c>
      <c r="Q1" s="1" t="inlineStr">
        <is>
          <t>ISIC 22</t>
        </is>
      </c>
      <c r="R1" s="1" t="inlineStr">
        <is>
          <t>ISIC 231</t>
        </is>
      </c>
      <c r="S1" s="1" t="inlineStr">
        <is>
          <t>ISIC 239</t>
        </is>
      </c>
      <c r="T1" s="1" t="inlineStr">
        <is>
          <t>ISIC 241</t>
        </is>
      </c>
      <c r="U1" s="1" t="inlineStr">
        <is>
          <t>ISIC 242</t>
        </is>
      </c>
      <c r="V1" s="1" t="inlineStr">
        <is>
          <t>ISIC 25</t>
        </is>
      </c>
      <c r="W1" s="1" t="inlineStr">
        <is>
          <t>ISIC 26</t>
        </is>
      </c>
      <c r="X1" s="1" t="inlineStr">
        <is>
          <t>ISIC 27</t>
        </is>
      </c>
      <c r="Y1" s="1" t="inlineStr">
        <is>
          <t>ISIC 28</t>
        </is>
      </c>
      <c r="Z1" s="1" t="inlineStr">
        <is>
          <t>ISIC 29</t>
        </is>
      </c>
      <c r="AA1" s="1" t="inlineStr">
        <is>
          <t>ISIC 301</t>
        </is>
      </c>
      <c r="AB1" s="1" t="inlineStr">
        <is>
          <t>ISIC 302T309</t>
        </is>
      </c>
      <c r="AC1" s="1" t="inlineStr">
        <is>
          <t>ISIC 31T33</t>
        </is>
      </c>
      <c r="AD1" s="1" t="inlineStr">
        <is>
          <t>ISIC 351</t>
        </is>
      </c>
      <c r="AE1" s="1" t="inlineStr">
        <is>
          <t>ISIC 352T353</t>
        </is>
      </c>
      <c r="AF1" s="1" t="inlineStr">
        <is>
          <t>ISIC 36T39</t>
        </is>
      </c>
      <c r="AG1" s="1" t="inlineStr">
        <is>
          <t>ISIC 41T43</t>
        </is>
      </c>
      <c r="AH1" s="1" t="inlineStr">
        <is>
          <t>ISIC 45T47</t>
        </is>
      </c>
      <c r="AI1" s="1" t="inlineStr">
        <is>
          <t>ISIC 49</t>
        </is>
      </c>
      <c r="AJ1" s="1" t="inlineStr">
        <is>
          <t>ISIC 50</t>
        </is>
      </c>
      <c r="AK1" s="1" t="inlineStr">
        <is>
          <t>ISIC 51</t>
        </is>
      </c>
      <c r="AL1" s="1" t="inlineStr">
        <is>
          <t>ISIC 52</t>
        </is>
      </c>
      <c r="AM1" s="1" t="inlineStr">
        <is>
          <t>ISIC 53</t>
        </is>
      </c>
      <c r="AN1" s="1" t="inlineStr">
        <is>
          <t>ISIC 55T56</t>
        </is>
      </c>
      <c r="AO1" s="1" t="inlineStr">
        <is>
          <t>ISIC 58T60</t>
        </is>
      </c>
      <c r="AP1" s="1" t="inlineStr">
        <is>
          <t>ISIC 61</t>
        </is>
      </c>
      <c r="AQ1" s="1" t="inlineStr">
        <is>
          <t>ISIC 62T63</t>
        </is>
      </c>
      <c r="AR1" s="1" t="inlineStr">
        <is>
          <t>ISIC 64T66</t>
        </is>
      </c>
      <c r="AS1" s="1" t="inlineStr">
        <is>
          <t>ISIC 68</t>
        </is>
      </c>
      <c r="AT1" s="1" t="inlineStr">
        <is>
          <t>ISIC 69T75</t>
        </is>
      </c>
      <c r="AU1" s="1" t="inlineStr">
        <is>
          <t>ISIC 77T82</t>
        </is>
      </c>
      <c r="AV1" s="1" t="inlineStr">
        <is>
          <t>ISIC 84</t>
        </is>
      </c>
      <c r="AW1" s="1" t="inlineStr">
        <is>
          <t>ISIC 85</t>
        </is>
      </c>
      <c r="AX1" s="1" t="inlineStr">
        <is>
          <t>ISIC 86T88</t>
        </is>
      </c>
      <c r="AY1" s="1" t="inlineStr">
        <is>
          <t>ISIC 90T93</t>
        </is>
      </c>
      <c r="AZ1" s="1" t="inlineStr">
        <is>
          <t>ISIC 94T96</t>
        </is>
      </c>
      <c r="BA1" s="1" t="inlineStr">
        <is>
          <t>ISIC 97T98</t>
        </is>
      </c>
    </row>
    <row r="2">
      <c r="A2" t="inlineStr">
        <is>
          <t>Value added (basic)</t>
        </is>
      </c>
      <c r="B2" t="n">
        <v>179323977701.507</v>
      </c>
      <c r="C2" t="n">
        <v>11250222748.96766</v>
      </c>
      <c r="D2" t="n">
        <v>6812799549.525393</v>
      </c>
      <c r="E2" t="n">
        <v>19459700000</v>
      </c>
      <c r="F2" t="n">
        <v>184888000000</v>
      </c>
      <c r="G2" t="n">
        <v>16619382098.66826</v>
      </c>
      <c r="H2" t="n">
        <v>23059017901.33174</v>
      </c>
      <c r="I2" t="n">
        <v>51848900000</v>
      </c>
      <c r="J2" t="n">
        <v>263619000000</v>
      </c>
      <c r="K2" t="n">
        <v>21056500000</v>
      </c>
      <c r="L2" t="n">
        <v>44040100000</v>
      </c>
      <c r="M2" t="n">
        <v>84707600000</v>
      </c>
      <c r="N2" t="n">
        <v>137808000000</v>
      </c>
      <c r="O2" t="n">
        <v>269741000000</v>
      </c>
      <c r="P2" t="n">
        <v>135756000000</v>
      </c>
      <c r="Q2" t="n">
        <v>74268200000</v>
      </c>
      <c r="R2" t="n">
        <v>10908300000</v>
      </c>
      <c r="S2" t="n">
        <v>45826900000</v>
      </c>
      <c r="T2" t="n">
        <v>42096300000</v>
      </c>
      <c r="U2" t="n">
        <v>19343900000</v>
      </c>
      <c r="V2" t="n">
        <v>139456000000</v>
      </c>
      <c r="W2" t="n">
        <v>219416000000</v>
      </c>
      <c r="X2" t="n">
        <v>58678400000</v>
      </c>
      <c r="Y2" t="n">
        <v>152693000000</v>
      </c>
      <c r="Z2" t="n">
        <v>136030000000</v>
      </c>
      <c r="AA2" t="n">
        <v>14323093965.29431</v>
      </c>
      <c r="AB2" t="n">
        <v>130105906034.7057</v>
      </c>
      <c r="AC2" t="n">
        <v>134673000000</v>
      </c>
      <c r="AD2" t="n">
        <v>259989000000</v>
      </c>
      <c r="AE2" t="n">
        <v>61106700000</v>
      </c>
      <c r="AF2" t="n">
        <v>76304000000</v>
      </c>
      <c r="AG2" t="n">
        <v>955445000000</v>
      </c>
      <c r="AH2" t="n">
        <v>2695700000000</v>
      </c>
      <c r="AI2" t="n">
        <v>361372297293.0648</v>
      </c>
      <c r="AJ2" t="n">
        <v>16243782662.17305</v>
      </c>
      <c r="AK2" t="n">
        <v>126110928922.1524</v>
      </c>
      <c r="AL2" t="n">
        <v>152411004029.2455</v>
      </c>
      <c r="AM2" t="n">
        <v>66483987093.36431</v>
      </c>
      <c r="AN2" t="n">
        <v>702900000000</v>
      </c>
      <c r="AO2" t="n">
        <v>502078000000</v>
      </c>
      <c r="AP2" t="n">
        <v>276414000000</v>
      </c>
      <c r="AQ2" t="n">
        <v>769467000000</v>
      </c>
      <c r="AR2" t="n">
        <v>1631550000000</v>
      </c>
      <c r="AS2" t="n">
        <v>2966020000000</v>
      </c>
      <c r="AT2" t="n">
        <v>1713918800817.965</v>
      </c>
      <c r="AU2" t="n">
        <v>628401199182.0348</v>
      </c>
      <c r="AV2" t="n">
        <v>2412650000000</v>
      </c>
      <c r="AW2" t="n">
        <v>245035000000</v>
      </c>
      <c r="AX2" t="n">
        <v>1617080000000</v>
      </c>
      <c r="AY2" t="n">
        <v>222923275035.2329</v>
      </c>
      <c r="AZ2" t="n">
        <v>344791724964.767</v>
      </c>
      <c r="BA2" t="n">
        <v>11489000000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Value (2012 USD) — pasted from the model's io-model/BGDP.csv (repaste on BGDP update)</t>
        </is>
      </c>
    </row>
    <row r="2">
      <c r="A2" t="n">
        <v>2024</v>
      </c>
      <c r="B2" t="n">
        <v>21443700000000</v>
      </c>
    </row>
    <row r="3">
      <c r="A3" t="n">
        <v>2025</v>
      </c>
      <c r="B3" t="n">
        <v>21825500000000</v>
      </c>
    </row>
    <row r="4">
      <c r="A4" t="n">
        <v>2026</v>
      </c>
      <c r="B4" t="n">
        <v>22402500000000</v>
      </c>
    </row>
    <row r="5">
      <c r="A5" t="n">
        <v>2027</v>
      </c>
      <c r="B5" t="n">
        <v>22823200000000</v>
      </c>
    </row>
    <row r="6">
      <c r="A6" t="n">
        <v>2028</v>
      </c>
      <c r="B6" t="n">
        <v>23114700000000</v>
      </c>
    </row>
    <row r="7">
      <c r="A7" t="n">
        <v>2029</v>
      </c>
      <c r="B7" t="n">
        <v>23470600000000</v>
      </c>
    </row>
    <row r="8">
      <c r="A8" t="n">
        <v>2030</v>
      </c>
      <c r="B8" t="n">
        <v>23881600000000</v>
      </c>
    </row>
    <row r="9">
      <c r="A9" t="n">
        <v>2031</v>
      </c>
      <c r="B9" t="n">
        <v>24282800000000</v>
      </c>
    </row>
    <row r="10">
      <c r="A10" t="n">
        <v>2032</v>
      </c>
      <c r="B10" t="n">
        <v>24738800000000</v>
      </c>
    </row>
    <row r="11">
      <c r="A11" t="n">
        <v>2033</v>
      </c>
      <c r="B11" t="n">
        <v>25221200000000</v>
      </c>
    </row>
    <row r="12">
      <c r="A12" t="n">
        <v>2034</v>
      </c>
      <c r="B12" t="n">
        <v>25734000000000</v>
      </c>
    </row>
    <row r="13">
      <c r="A13" t="n">
        <v>2035</v>
      </c>
      <c r="B13" t="n">
        <v>26281800000000</v>
      </c>
    </row>
    <row r="14">
      <c r="A14" t="n">
        <v>2036</v>
      </c>
      <c r="B14" t="n">
        <v>26744400000000</v>
      </c>
    </row>
    <row r="15">
      <c r="A15" t="n">
        <v>2037</v>
      </c>
      <c r="B15" t="n">
        <v>27206600000000</v>
      </c>
    </row>
    <row r="16">
      <c r="A16" t="n">
        <v>2038</v>
      </c>
      <c r="B16" t="n">
        <v>27670000000000</v>
      </c>
    </row>
    <row r="17">
      <c r="A17" t="n">
        <v>2039</v>
      </c>
      <c r="B17" t="n">
        <v>28125300000000</v>
      </c>
    </row>
    <row r="18">
      <c r="A18" t="n">
        <v>2040</v>
      </c>
      <c r="B18" t="n">
        <v>28584300000000</v>
      </c>
    </row>
    <row r="19">
      <c r="A19" t="n">
        <v>2041</v>
      </c>
      <c r="B19" t="n">
        <v>29029400000000</v>
      </c>
    </row>
    <row r="20">
      <c r="A20" t="n">
        <v>2042</v>
      </c>
      <c r="B20" t="n">
        <v>29489900000000</v>
      </c>
    </row>
    <row r="21">
      <c r="A21" t="n">
        <v>2043</v>
      </c>
      <c r="B21" t="n">
        <v>29964000000000</v>
      </c>
    </row>
    <row r="22">
      <c r="A22" t="n">
        <v>2044</v>
      </c>
      <c r="B22" t="n">
        <v>30442800000000</v>
      </c>
    </row>
    <row r="23">
      <c r="A23" t="n">
        <v>2045</v>
      </c>
      <c r="B23" t="n">
        <v>30925000000000</v>
      </c>
    </row>
    <row r="24">
      <c r="A24" t="n">
        <v>2046</v>
      </c>
      <c r="B24" t="n">
        <v>31395200000000</v>
      </c>
    </row>
    <row r="25">
      <c r="A25" t="n">
        <v>2047</v>
      </c>
      <c r="B25" t="n">
        <v>31846300000000</v>
      </c>
    </row>
    <row r="26">
      <c r="A26" t="n">
        <v>2048</v>
      </c>
      <c r="B26" t="n">
        <v>32295500000000</v>
      </c>
    </row>
    <row r="27">
      <c r="A27" t="n">
        <v>2049</v>
      </c>
      <c r="B27" t="n">
        <v>32734300000000</v>
      </c>
    </row>
    <row r="28">
      <c r="A28" t="n">
        <v>2050</v>
      </c>
      <c r="B28" t="n">
        <v>33186800000000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BLS compound growth 2024-2034 (output-weighted across assigned lines) + AEO year-over-year growth where covered</t>
        </is>
      </c>
    </row>
    <row r="3">
      <c r="A3" s="1" t="inlineStr">
        <is>
          <t>ISIC</t>
        </is>
      </c>
      <c r="B3" s="1" t="inlineStr">
        <is>
          <t>BLS compound</t>
        </is>
      </c>
      <c r="D3" s="1" t="n">
        <v>2025</v>
      </c>
      <c r="E3" s="1" t="n">
        <v>2026</v>
      </c>
      <c r="F3" s="1" t="n">
        <v>2027</v>
      </c>
      <c r="G3" s="1" t="n">
        <v>2028</v>
      </c>
      <c r="H3" s="1" t="n">
        <v>2029</v>
      </c>
      <c r="I3" s="1" t="n">
        <v>2030</v>
      </c>
      <c r="J3" s="1" t="n">
        <v>2031</v>
      </c>
      <c r="K3" s="1" t="n">
        <v>2032</v>
      </c>
      <c r="L3" s="1" t="n">
        <v>2033</v>
      </c>
      <c r="M3" s="1" t="n">
        <v>2034</v>
      </c>
      <c r="N3" s="1" t="n">
        <v>2035</v>
      </c>
      <c r="O3" s="1" t="n">
        <v>2036</v>
      </c>
      <c r="P3" s="1" t="n">
        <v>2037</v>
      </c>
      <c r="Q3" s="1" t="n">
        <v>2038</v>
      </c>
      <c r="R3" s="1" t="n">
        <v>2039</v>
      </c>
      <c r="S3" s="1" t="n">
        <v>2040</v>
      </c>
      <c r="T3" s="1" t="n">
        <v>2041</v>
      </c>
      <c r="U3" s="1" t="n">
        <v>2042</v>
      </c>
      <c r="V3" s="1" t="n">
        <v>2043</v>
      </c>
      <c r="W3" s="1" t="n">
        <v>2044</v>
      </c>
      <c r="X3" s="1" t="n">
        <v>2045</v>
      </c>
      <c r="Y3" s="1" t="n">
        <v>2046</v>
      </c>
      <c r="Z3" s="1" t="n">
        <v>2047</v>
      </c>
      <c r="AA3" s="1" t="n">
        <v>2048</v>
      </c>
      <c r="AB3" s="1" t="n">
        <v>2049</v>
      </c>
      <c r="AC3" s="1" t="n">
        <v>2050</v>
      </c>
    </row>
    <row r="4">
      <c r="A4" t="inlineStr">
        <is>
          <t>ISIC 01</t>
        </is>
      </c>
      <c r="B4">
        <f>IFERROR(SUMPRODUCT(--('BLS Table 2.11'!$L$1:$L$426=$A4),'BLS Table 2.11'!$J$1:$J$426,'BLS Table 2.11'!$K$1:$K$426)/SUMIFS('BLS Table 2.11'!$J$1:$J$426,'BLS Table 2.11'!$L$1:$L$426,$A4)/100,0)</f>
        <v/>
      </c>
      <c r="D4">
        <f>IFERROR((SUMIFS('AEO 2026 Table 23 '!G:G,'AEO 2026 Table 23 '!$B:$B,"*,"&amp;$A4&amp;",*")-SUMIFS('AEO25 Table 23'!H:H,'AEO25 Table 23'!$B:$B,"*,"&amp;$A4&amp;",*"))/SUMIFS('AEO25 Table 23'!H:H,'AEO25 Table 23'!$B:$B,"*,"&amp;$A4&amp;",*"),"")</f>
        <v/>
      </c>
      <c r="E4">
        <f>IFERROR((SUMIFS('AEO 2026 Table 23 '!H:H,'AEO 2026 Table 23 '!$B:$B,"*,"&amp;$A4&amp;",*")-SUMIFS('AEO 2026 Table 23 '!G:G,'AEO 2026 Table 23 '!$B:$B,"*,"&amp;$A4&amp;",*"))/SUMIFS('AEO 2026 Table 23 '!G:G,'AEO 2026 Table 23 '!$B:$B,"*,"&amp;$A4&amp;",*"),"")</f>
        <v/>
      </c>
      <c r="F4">
        <f>IFERROR((SUMIFS('AEO 2026 Table 23 '!I:I,'AEO 2026 Table 23 '!$B:$B,"*,"&amp;$A4&amp;",*")-SUMIFS('AEO 2026 Table 23 '!H:H,'AEO 2026 Table 23 '!$B:$B,"*,"&amp;$A4&amp;",*"))/SUMIFS('AEO 2026 Table 23 '!H:H,'AEO 2026 Table 23 '!$B:$B,"*,"&amp;$A4&amp;",*"),"")</f>
        <v/>
      </c>
      <c r="G4">
        <f>IFERROR((SUMIFS('AEO 2026 Table 23 '!J:J,'AEO 2026 Table 23 '!$B:$B,"*,"&amp;$A4&amp;",*")-SUMIFS('AEO 2026 Table 23 '!I:I,'AEO 2026 Table 23 '!$B:$B,"*,"&amp;$A4&amp;",*"))/SUMIFS('AEO 2026 Table 23 '!I:I,'AEO 2026 Table 23 '!$B:$B,"*,"&amp;$A4&amp;",*"),"")</f>
        <v/>
      </c>
      <c r="H4">
        <f>IFERROR((SUMIFS('AEO 2026 Table 23 '!K:K,'AEO 2026 Table 23 '!$B:$B,"*,"&amp;$A4&amp;",*")-SUMIFS('AEO 2026 Table 23 '!J:J,'AEO 2026 Table 23 '!$B:$B,"*,"&amp;$A4&amp;",*"))/SUMIFS('AEO 2026 Table 23 '!J:J,'AEO 2026 Table 23 '!$B:$B,"*,"&amp;$A4&amp;",*"),"")</f>
        <v/>
      </c>
      <c r="I4">
        <f>IFERROR((SUMIFS('AEO 2026 Table 23 '!L:L,'AEO 2026 Table 23 '!$B:$B,"*,"&amp;$A4&amp;",*")-SUMIFS('AEO 2026 Table 23 '!K:K,'AEO 2026 Table 23 '!$B:$B,"*,"&amp;$A4&amp;",*"))/SUMIFS('AEO 2026 Table 23 '!K:K,'AEO 2026 Table 23 '!$B:$B,"*,"&amp;$A4&amp;",*"),"")</f>
        <v/>
      </c>
      <c r="J4">
        <f>IFERROR((SUMIFS('AEO 2026 Table 23 '!M:M,'AEO 2026 Table 23 '!$B:$B,"*,"&amp;$A4&amp;",*")-SUMIFS('AEO 2026 Table 23 '!L:L,'AEO 2026 Table 23 '!$B:$B,"*,"&amp;$A4&amp;",*"))/SUMIFS('AEO 2026 Table 23 '!L:L,'AEO 2026 Table 23 '!$B:$B,"*,"&amp;$A4&amp;",*"),"")</f>
        <v/>
      </c>
      <c r="K4">
        <f>IFERROR((SUMIFS('AEO 2026 Table 23 '!N:N,'AEO 2026 Table 23 '!$B:$B,"*,"&amp;$A4&amp;",*")-SUMIFS('AEO 2026 Table 23 '!M:M,'AEO 2026 Table 23 '!$B:$B,"*,"&amp;$A4&amp;",*"))/SUMIFS('AEO 2026 Table 23 '!M:M,'AEO 2026 Table 23 '!$B:$B,"*,"&amp;$A4&amp;",*"),"")</f>
        <v/>
      </c>
      <c r="L4">
        <f>IFERROR((SUMIFS('AEO 2026 Table 23 '!O:O,'AEO 2026 Table 23 '!$B:$B,"*,"&amp;$A4&amp;",*")-SUMIFS('AEO 2026 Table 23 '!N:N,'AEO 2026 Table 23 '!$B:$B,"*,"&amp;$A4&amp;",*"))/SUMIFS('AEO 2026 Table 23 '!N:N,'AEO 2026 Table 23 '!$B:$B,"*,"&amp;$A4&amp;",*"),"")</f>
        <v/>
      </c>
      <c r="M4">
        <f>IFERROR((SUMIFS('AEO 2026 Table 23 '!P:P,'AEO 2026 Table 23 '!$B:$B,"*,"&amp;$A4&amp;",*")-SUMIFS('AEO 2026 Table 23 '!O:O,'AEO 2026 Table 23 '!$B:$B,"*,"&amp;$A4&amp;",*"))/SUMIFS('AEO 2026 Table 23 '!O:O,'AEO 2026 Table 23 '!$B:$B,"*,"&amp;$A4&amp;",*"),"")</f>
        <v/>
      </c>
      <c r="N4">
        <f>IFERROR((SUMIFS('AEO 2026 Table 23 '!Q:Q,'AEO 2026 Table 23 '!$B:$B,"*,"&amp;$A4&amp;",*")-SUMIFS('AEO 2026 Table 23 '!P:P,'AEO 2026 Table 23 '!$B:$B,"*,"&amp;$A4&amp;",*"))/SUMIFS('AEO 2026 Table 23 '!P:P,'AEO 2026 Table 23 '!$B:$B,"*,"&amp;$A4&amp;",*"),"")</f>
        <v/>
      </c>
      <c r="O4">
        <f>IFERROR((SUMIFS('AEO 2026 Table 23 '!R:R,'AEO 2026 Table 23 '!$B:$B,"*,"&amp;$A4&amp;",*")-SUMIFS('AEO 2026 Table 23 '!Q:Q,'AEO 2026 Table 23 '!$B:$B,"*,"&amp;$A4&amp;",*"))/SUMIFS('AEO 2026 Table 23 '!Q:Q,'AEO 2026 Table 23 '!$B:$B,"*,"&amp;$A4&amp;",*"),"")</f>
        <v/>
      </c>
      <c r="P4">
        <f>IFERROR((SUMIFS('AEO 2026 Table 23 '!S:S,'AEO 2026 Table 23 '!$B:$B,"*,"&amp;$A4&amp;",*")-SUMIFS('AEO 2026 Table 23 '!R:R,'AEO 2026 Table 23 '!$B:$B,"*,"&amp;$A4&amp;",*"))/SUMIFS('AEO 2026 Table 23 '!R:R,'AEO 2026 Table 23 '!$B:$B,"*,"&amp;$A4&amp;",*"),"")</f>
        <v/>
      </c>
      <c r="Q4">
        <f>IFERROR((SUMIFS('AEO 2026 Table 23 '!T:T,'AEO 2026 Table 23 '!$B:$B,"*,"&amp;$A4&amp;",*")-SUMIFS('AEO 2026 Table 23 '!S:S,'AEO 2026 Table 23 '!$B:$B,"*,"&amp;$A4&amp;",*"))/SUMIFS('AEO 2026 Table 23 '!S:S,'AEO 2026 Table 23 '!$B:$B,"*,"&amp;$A4&amp;",*"),"")</f>
        <v/>
      </c>
      <c r="R4">
        <f>IFERROR((SUMIFS('AEO 2026 Table 23 '!U:U,'AEO 2026 Table 23 '!$B:$B,"*,"&amp;$A4&amp;",*")-SUMIFS('AEO 2026 Table 23 '!T:T,'AEO 2026 Table 23 '!$B:$B,"*,"&amp;$A4&amp;",*"))/SUMIFS('AEO 2026 Table 23 '!T:T,'AEO 2026 Table 23 '!$B:$B,"*,"&amp;$A4&amp;",*"),"")</f>
        <v/>
      </c>
      <c r="S4">
        <f>IFERROR((SUMIFS('AEO 2026 Table 23 '!V:V,'AEO 2026 Table 23 '!$B:$B,"*,"&amp;$A4&amp;",*")-SUMIFS('AEO 2026 Table 23 '!U:U,'AEO 2026 Table 23 '!$B:$B,"*,"&amp;$A4&amp;",*"))/SUMIFS('AEO 2026 Table 23 '!U:U,'AEO 2026 Table 23 '!$B:$B,"*,"&amp;$A4&amp;",*"),"")</f>
        <v/>
      </c>
      <c r="T4">
        <f>IFERROR((SUMIFS('AEO 2026 Table 23 '!W:W,'AEO 2026 Table 23 '!$B:$B,"*,"&amp;$A4&amp;",*")-SUMIFS('AEO 2026 Table 23 '!V:V,'AEO 2026 Table 23 '!$B:$B,"*,"&amp;$A4&amp;",*"))/SUMIFS('AEO 2026 Table 23 '!V:V,'AEO 2026 Table 23 '!$B:$B,"*,"&amp;$A4&amp;",*"),"")</f>
        <v/>
      </c>
      <c r="U4">
        <f>IFERROR((SUMIFS('AEO 2026 Table 23 '!X:X,'AEO 2026 Table 23 '!$B:$B,"*,"&amp;$A4&amp;",*")-SUMIFS('AEO 2026 Table 23 '!W:W,'AEO 2026 Table 23 '!$B:$B,"*,"&amp;$A4&amp;",*"))/SUMIFS('AEO 2026 Table 23 '!W:W,'AEO 2026 Table 23 '!$B:$B,"*,"&amp;$A4&amp;",*"),"")</f>
        <v/>
      </c>
      <c r="V4">
        <f>IFERROR((SUMIFS('AEO 2026 Table 23 '!Y:Y,'AEO 2026 Table 23 '!$B:$B,"*,"&amp;$A4&amp;",*")-SUMIFS('AEO 2026 Table 23 '!X:X,'AEO 2026 Table 23 '!$B:$B,"*,"&amp;$A4&amp;",*"))/SUMIFS('AEO 2026 Table 23 '!X:X,'AEO 2026 Table 23 '!$B:$B,"*,"&amp;$A4&amp;",*"),"")</f>
        <v/>
      </c>
      <c r="W4">
        <f>IFERROR((SUMIFS('AEO 2026 Table 23 '!Z:Z,'AEO 2026 Table 23 '!$B:$B,"*,"&amp;$A4&amp;",*")-SUMIFS('AEO 2026 Table 23 '!Y:Y,'AEO 2026 Table 23 '!$B:$B,"*,"&amp;$A4&amp;",*"))/SUMIFS('AEO 2026 Table 23 '!Y:Y,'AEO 2026 Table 23 '!$B:$B,"*,"&amp;$A4&amp;",*"),"")</f>
        <v/>
      </c>
      <c r="X4">
        <f>IFERROR((SUMIFS('AEO 2026 Table 23 '!AA:AA,'AEO 2026 Table 23 '!$B:$B,"*,"&amp;$A4&amp;",*")-SUMIFS('AEO 2026 Table 23 '!Z:Z,'AEO 2026 Table 23 '!$B:$B,"*,"&amp;$A4&amp;",*"))/SUMIFS('AEO 2026 Table 23 '!Z:Z,'AEO 2026 Table 23 '!$B:$B,"*,"&amp;$A4&amp;",*"),"")</f>
        <v/>
      </c>
      <c r="Y4">
        <f>IFERROR((SUMIFS('AEO 2026 Table 23 '!AB:AB,'AEO 2026 Table 23 '!$B:$B,"*,"&amp;$A4&amp;",*")-SUMIFS('AEO 2026 Table 23 '!AA:AA,'AEO 2026 Table 23 '!$B:$B,"*,"&amp;$A4&amp;",*"))/SUMIFS('AEO 2026 Table 23 '!AA:AA,'AEO 2026 Table 23 '!$B:$B,"*,"&amp;$A4&amp;",*"),"")</f>
        <v/>
      </c>
      <c r="Z4">
        <f>IFERROR((SUMIFS('AEO 2026 Table 23 '!AC:AC,'AEO 2026 Table 23 '!$B:$B,"*,"&amp;$A4&amp;",*")-SUMIFS('AEO 2026 Table 23 '!AB:AB,'AEO 2026 Table 23 '!$B:$B,"*,"&amp;$A4&amp;",*"))/SUMIFS('AEO 2026 Table 23 '!AB:AB,'AEO 2026 Table 23 '!$B:$B,"*,"&amp;$A4&amp;",*"),"")</f>
        <v/>
      </c>
      <c r="AA4">
        <f>IFERROR((SUMIFS('AEO 2026 Table 23 '!AD:AD,'AEO 2026 Table 23 '!$B:$B,"*,"&amp;$A4&amp;",*")-SUMIFS('AEO 2026 Table 23 '!AC:AC,'AEO 2026 Table 23 '!$B:$B,"*,"&amp;$A4&amp;",*"))/SUMIFS('AEO 2026 Table 23 '!AC:AC,'AEO 2026 Table 23 '!$B:$B,"*,"&amp;$A4&amp;",*"),"")</f>
        <v/>
      </c>
      <c r="AB4">
        <f>IFERROR((SUMIFS('AEO 2026 Table 23 '!AE:AE,'AEO 2026 Table 23 '!$B:$B,"*,"&amp;$A4&amp;",*")-SUMIFS('AEO 2026 Table 23 '!AD:AD,'AEO 2026 Table 23 '!$B:$B,"*,"&amp;$A4&amp;",*"))/SUMIFS('AEO 2026 Table 23 '!AD:AD,'AEO 2026 Table 23 '!$B:$B,"*,"&amp;$A4&amp;",*"),"")</f>
        <v/>
      </c>
      <c r="AC4">
        <f>IFERROR((SUMIFS('AEO 2026 Table 23 '!AF:AF,'AEO 2026 Table 23 '!$B:$B,"*,"&amp;$A4&amp;",*")-SUMIFS('AEO 2026 Table 23 '!AE:AE,'AEO 2026 Table 23 '!$B:$B,"*,"&amp;$A4&amp;",*"))/SUMIFS('AEO 2026 Table 23 '!AE:AE,'AEO 2026 Table 23 '!$B:$B,"*,"&amp;$A4&amp;",*"),"")</f>
        <v/>
      </c>
    </row>
    <row r="5">
      <c r="A5" t="inlineStr">
        <is>
          <t>ISIC 02</t>
        </is>
      </c>
      <c r="B5">
        <f>IFERROR(SUMPRODUCT(--('BLS Table 2.11'!$L$1:$L$426=$A5),'BLS Table 2.11'!$J$1:$J$426,'BLS Table 2.11'!$K$1:$K$426)/SUMIFS('BLS Table 2.11'!$J$1:$J$426,'BLS Table 2.11'!$L$1:$L$426,$A5)/100,0)</f>
        <v/>
      </c>
      <c r="D5">
        <f>IFERROR((SUMIFS('AEO 2026 Table 23 '!G:G,'AEO 2026 Table 23 '!$B:$B,"*,"&amp;$A5&amp;",*")-SUMIFS('AEO25 Table 23'!H:H,'AEO25 Table 23'!$B:$B,"*,"&amp;$A5&amp;",*"))/SUMIFS('AEO25 Table 23'!H:H,'AEO25 Table 23'!$B:$B,"*,"&amp;$A5&amp;",*"),"")</f>
        <v/>
      </c>
      <c r="E5">
        <f>IFERROR((SUMIFS('AEO 2026 Table 23 '!H:H,'AEO 2026 Table 23 '!$B:$B,"*,"&amp;$A5&amp;",*")-SUMIFS('AEO 2026 Table 23 '!G:G,'AEO 2026 Table 23 '!$B:$B,"*,"&amp;$A5&amp;",*"))/SUMIFS('AEO 2026 Table 23 '!G:G,'AEO 2026 Table 23 '!$B:$B,"*,"&amp;$A5&amp;",*"),"")</f>
        <v/>
      </c>
      <c r="F5">
        <f>IFERROR((SUMIFS('AEO 2026 Table 23 '!I:I,'AEO 2026 Table 23 '!$B:$B,"*,"&amp;$A5&amp;",*")-SUMIFS('AEO 2026 Table 23 '!H:H,'AEO 2026 Table 23 '!$B:$B,"*,"&amp;$A5&amp;",*"))/SUMIFS('AEO 2026 Table 23 '!H:H,'AEO 2026 Table 23 '!$B:$B,"*,"&amp;$A5&amp;",*"),"")</f>
        <v/>
      </c>
      <c r="G5">
        <f>IFERROR((SUMIFS('AEO 2026 Table 23 '!J:J,'AEO 2026 Table 23 '!$B:$B,"*,"&amp;$A5&amp;",*")-SUMIFS('AEO 2026 Table 23 '!I:I,'AEO 2026 Table 23 '!$B:$B,"*,"&amp;$A5&amp;",*"))/SUMIFS('AEO 2026 Table 23 '!I:I,'AEO 2026 Table 23 '!$B:$B,"*,"&amp;$A5&amp;",*"),"")</f>
        <v/>
      </c>
      <c r="H5">
        <f>IFERROR((SUMIFS('AEO 2026 Table 23 '!K:K,'AEO 2026 Table 23 '!$B:$B,"*,"&amp;$A5&amp;",*")-SUMIFS('AEO 2026 Table 23 '!J:J,'AEO 2026 Table 23 '!$B:$B,"*,"&amp;$A5&amp;",*"))/SUMIFS('AEO 2026 Table 23 '!J:J,'AEO 2026 Table 23 '!$B:$B,"*,"&amp;$A5&amp;",*"),"")</f>
        <v/>
      </c>
      <c r="I5">
        <f>IFERROR((SUMIFS('AEO 2026 Table 23 '!L:L,'AEO 2026 Table 23 '!$B:$B,"*,"&amp;$A5&amp;",*")-SUMIFS('AEO 2026 Table 23 '!K:K,'AEO 2026 Table 23 '!$B:$B,"*,"&amp;$A5&amp;",*"))/SUMIFS('AEO 2026 Table 23 '!K:K,'AEO 2026 Table 23 '!$B:$B,"*,"&amp;$A5&amp;",*"),"")</f>
        <v/>
      </c>
      <c r="J5">
        <f>IFERROR((SUMIFS('AEO 2026 Table 23 '!M:M,'AEO 2026 Table 23 '!$B:$B,"*,"&amp;$A5&amp;",*")-SUMIFS('AEO 2026 Table 23 '!L:L,'AEO 2026 Table 23 '!$B:$B,"*,"&amp;$A5&amp;",*"))/SUMIFS('AEO 2026 Table 23 '!L:L,'AEO 2026 Table 23 '!$B:$B,"*,"&amp;$A5&amp;",*"),"")</f>
        <v/>
      </c>
      <c r="K5">
        <f>IFERROR((SUMIFS('AEO 2026 Table 23 '!N:N,'AEO 2026 Table 23 '!$B:$B,"*,"&amp;$A5&amp;",*")-SUMIFS('AEO 2026 Table 23 '!M:M,'AEO 2026 Table 23 '!$B:$B,"*,"&amp;$A5&amp;",*"))/SUMIFS('AEO 2026 Table 23 '!M:M,'AEO 2026 Table 23 '!$B:$B,"*,"&amp;$A5&amp;",*"),"")</f>
        <v/>
      </c>
      <c r="L5">
        <f>IFERROR((SUMIFS('AEO 2026 Table 23 '!O:O,'AEO 2026 Table 23 '!$B:$B,"*,"&amp;$A5&amp;",*")-SUMIFS('AEO 2026 Table 23 '!N:N,'AEO 2026 Table 23 '!$B:$B,"*,"&amp;$A5&amp;",*"))/SUMIFS('AEO 2026 Table 23 '!N:N,'AEO 2026 Table 23 '!$B:$B,"*,"&amp;$A5&amp;",*"),"")</f>
        <v/>
      </c>
      <c r="M5">
        <f>IFERROR((SUMIFS('AEO 2026 Table 23 '!P:P,'AEO 2026 Table 23 '!$B:$B,"*,"&amp;$A5&amp;",*")-SUMIFS('AEO 2026 Table 23 '!O:O,'AEO 2026 Table 23 '!$B:$B,"*,"&amp;$A5&amp;",*"))/SUMIFS('AEO 2026 Table 23 '!O:O,'AEO 2026 Table 23 '!$B:$B,"*,"&amp;$A5&amp;",*"),"")</f>
        <v/>
      </c>
      <c r="N5">
        <f>IFERROR((SUMIFS('AEO 2026 Table 23 '!Q:Q,'AEO 2026 Table 23 '!$B:$B,"*,"&amp;$A5&amp;",*")-SUMIFS('AEO 2026 Table 23 '!P:P,'AEO 2026 Table 23 '!$B:$B,"*,"&amp;$A5&amp;",*"))/SUMIFS('AEO 2026 Table 23 '!P:P,'AEO 2026 Table 23 '!$B:$B,"*,"&amp;$A5&amp;",*"),"")</f>
        <v/>
      </c>
      <c r="O5">
        <f>IFERROR((SUMIFS('AEO 2026 Table 23 '!R:R,'AEO 2026 Table 23 '!$B:$B,"*,"&amp;$A5&amp;",*")-SUMIFS('AEO 2026 Table 23 '!Q:Q,'AEO 2026 Table 23 '!$B:$B,"*,"&amp;$A5&amp;",*"))/SUMIFS('AEO 2026 Table 23 '!Q:Q,'AEO 2026 Table 23 '!$B:$B,"*,"&amp;$A5&amp;",*"),"")</f>
        <v/>
      </c>
      <c r="P5">
        <f>IFERROR((SUMIFS('AEO 2026 Table 23 '!S:S,'AEO 2026 Table 23 '!$B:$B,"*,"&amp;$A5&amp;",*")-SUMIFS('AEO 2026 Table 23 '!R:R,'AEO 2026 Table 23 '!$B:$B,"*,"&amp;$A5&amp;",*"))/SUMIFS('AEO 2026 Table 23 '!R:R,'AEO 2026 Table 23 '!$B:$B,"*,"&amp;$A5&amp;",*"),"")</f>
        <v/>
      </c>
      <c r="Q5">
        <f>IFERROR((SUMIFS('AEO 2026 Table 23 '!T:T,'AEO 2026 Table 23 '!$B:$B,"*,"&amp;$A5&amp;",*")-SUMIFS('AEO 2026 Table 23 '!S:S,'AEO 2026 Table 23 '!$B:$B,"*,"&amp;$A5&amp;",*"))/SUMIFS('AEO 2026 Table 23 '!S:S,'AEO 2026 Table 23 '!$B:$B,"*,"&amp;$A5&amp;",*"),"")</f>
        <v/>
      </c>
      <c r="R5">
        <f>IFERROR((SUMIFS('AEO 2026 Table 23 '!U:U,'AEO 2026 Table 23 '!$B:$B,"*,"&amp;$A5&amp;",*")-SUMIFS('AEO 2026 Table 23 '!T:T,'AEO 2026 Table 23 '!$B:$B,"*,"&amp;$A5&amp;",*"))/SUMIFS('AEO 2026 Table 23 '!T:T,'AEO 2026 Table 23 '!$B:$B,"*,"&amp;$A5&amp;",*"),"")</f>
        <v/>
      </c>
      <c r="S5">
        <f>IFERROR((SUMIFS('AEO 2026 Table 23 '!V:V,'AEO 2026 Table 23 '!$B:$B,"*,"&amp;$A5&amp;",*")-SUMIFS('AEO 2026 Table 23 '!U:U,'AEO 2026 Table 23 '!$B:$B,"*,"&amp;$A5&amp;",*"))/SUMIFS('AEO 2026 Table 23 '!U:U,'AEO 2026 Table 23 '!$B:$B,"*,"&amp;$A5&amp;",*"),"")</f>
        <v/>
      </c>
      <c r="T5">
        <f>IFERROR((SUMIFS('AEO 2026 Table 23 '!W:W,'AEO 2026 Table 23 '!$B:$B,"*,"&amp;$A5&amp;",*")-SUMIFS('AEO 2026 Table 23 '!V:V,'AEO 2026 Table 23 '!$B:$B,"*,"&amp;$A5&amp;",*"))/SUMIFS('AEO 2026 Table 23 '!V:V,'AEO 2026 Table 23 '!$B:$B,"*,"&amp;$A5&amp;",*"),"")</f>
        <v/>
      </c>
      <c r="U5">
        <f>IFERROR((SUMIFS('AEO 2026 Table 23 '!X:X,'AEO 2026 Table 23 '!$B:$B,"*,"&amp;$A5&amp;",*")-SUMIFS('AEO 2026 Table 23 '!W:W,'AEO 2026 Table 23 '!$B:$B,"*,"&amp;$A5&amp;",*"))/SUMIFS('AEO 2026 Table 23 '!W:W,'AEO 2026 Table 23 '!$B:$B,"*,"&amp;$A5&amp;",*"),"")</f>
        <v/>
      </c>
      <c r="V5">
        <f>IFERROR((SUMIFS('AEO 2026 Table 23 '!Y:Y,'AEO 2026 Table 23 '!$B:$B,"*,"&amp;$A5&amp;",*")-SUMIFS('AEO 2026 Table 23 '!X:X,'AEO 2026 Table 23 '!$B:$B,"*,"&amp;$A5&amp;",*"))/SUMIFS('AEO 2026 Table 23 '!X:X,'AEO 2026 Table 23 '!$B:$B,"*,"&amp;$A5&amp;",*"),"")</f>
        <v/>
      </c>
      <c r="W5">
        <f>IFERROR((SUMIFS('AEO 2026 Table 23 '!Z:Z,'AEO 2026 Table 23 '!$B:$B,"*,"&amp;$A5&amp;",*")-SUMIFS('AEO 2026 Table 23 '!Y:Y,'AEO 2026 Table 23 '!$B:$B,"*,"&amp;$A5&amp;",*"))/SUMIFS('AEO 2026 Table 23 '!Y:Y,'AEO 2026 Table 23 '!$B:$B,"*,"&amp;$A5&amp;",*"),"")</f>
        <v/>
      </c>
      <c r="X5">
        <f>IFERROR((SUMIFS('AEO 2026 Table 23 '!AA:AA,'AEO 2026 Table 23 '!$B:$B,"*,"&amp;$A5&amp;",*")-SUMIFS('AEO 2026 Table 23 '!Z:Z,'AEO 2026 Table 23 '!$B:$B,"*,"&amp;$A5&amp;",*"))/SUMIFS('AEO 2026 Table 23 '!Z:Z,'AEO 2026 Table 23 '!$B:$B,"*,"&amp;$A5&amp;",*"),"")</f>
        <v/>
      </c>
      <c r="Y5">
        <f>IFERROR((SUMIFS('AEO 2026 Table 23 '!AB:AB,'AEO 2026 Table 23 '!$B:$B,"*,"&amp;$A5&amp;",*")-SUMIFS('AEO 2026 Table 23 '!AA:AA,'AEO 2026 Table 23 '!$B:$B,"*,"&amp;$A5&amp;",*"))/SUMIFS('AEO 2026 Table 23 '!AA:AA,'AEO 2026 Table 23 '!$B:$B,"*,"&amp;$A5&amp;",*"),"")</f>
        <v/>
      </c>
      <c r="Z5">
        <f>IFERROR((SUMIFS('AEO 2026 Table 23 '!AC:AC,'AEO 2026 Table 23 '!$B:$B,"*,"&amp;$A5&amp;",*")-SUMIFS('AEO 2026 Table 23 '!AB:AB,'AEO 2026 Table 23 '!$B:$B,"*,"&amp;$A5&amp;",*"))/SUMIFS('AEO 2026 Table 23 '!AB:AB,'AEO 2026 Table 23 '!$B:$B,"*,"&amp;$A5&amp;",*"),"")</f>
        <v/>
      </c>
      <c r="AA5">
        <f>IFERROR((SUMIFS('AEO 2026 Table 23 '!AD:AD,'AEO 2026 Table 23 '!$B:$B,"*,"&amp;$A5&amp;",*")-SUMIFS('AEO 2026 Table 23 '!AC:AC,'AEO 2026 Table 23 '!$B:$B,"*,"&amp;$A5&amp;",*"))/SUMIFS('AEO 2026 Table 23 '!AC:AC,'AEO 2026 Table 23 '!$B:$B,"*,"&amp;$A5&amp;",*"),"")</f>
        <v/>
      </c>
      <c r="AB5">
        <f>IFERROR((SUMIFS('AEO 2026 Table 23 '!AE:AE,'AEO 2026 Table 23 '!$B:$B,"*,"&amp;$A5&amp;",*")-SUMIFS('AEO 2026 Table 23 '!AD:AD,'AEO 2026 Table 23 '!$B:$B,"*,"&amp;$A5&amp;",*"))/SUMIFS('AEO 2026 Table 23 '!AD:AD,'AEO 2026 Table 23 '!$B:$B,"*,"&amp;$A5&amp;",*"),"")</f>
        <v/>
      </c>
      <c r="AC5">
        <f>IFERROR((SUMIFS('AEO 2026 Table 23 '!AF:AF,'AEO 2026 Table 23 '!$B:$B,"*,"&amp;$A5&amp;",*")-SUMIFS('AEO 2026 Table 23 '!AE:AE,'AEO 2026 Table 23 '!$B:$B,"*,"&amp;$A5&amp;",*"))/SUMIFS('AEO 2026 Table 23 '!AE:AE,'AEO 2026 Table 23 '!$B:$B,"*,"&amp;$A5&amp;",*"),"")</f>
        <v/>
      </c>
    </row>
    <row r="6">
      <c r="A6" t="inlineStr">
        <is>
          <t>ISIC 03</t>
        </is>
      </c>
      <c r="B6">
        <f>IFERROR(SUMPRODUCT(--('BLS Table 2.11'!$L$1:$L$426=$A6),'BLS Table 2.11'!$J$1:$J$426,'BLS Table 2.11'!$K$1:$K$426)/SUMIFS('BLS Table 2.11'!$J$1:$J$426,'BLS Table 2.11'!$L$1:$L$426,$A6)/100,0)</f>
        <v/>
      </c>
      <c r="D6">
        <f>IFERROR((SUMIFS('AEO 2026 Table 23 '!G:G,'AEO 2026 Table 23 '!$B:$B,"*,"&amp;$A6&amp;",*")-SUMIFS('AEO25 Table 23'!H:H,'AEO25 Table 23'!$B:$B,"*,"&amp;$A6&amp;",*"))/SUMIFS('AEO25 Table 23'!H:H,'AEO25 Table 23'!$B:$B,"*,"&amp;$A6&amp;",*"),"")</f>
        <v/>
      </c>
      <c r="E6">
        <f>IFERROR((SUMIFS('AEO 2026 Table 23 '!H:H,'AEO 2026 Table 23 '!$B:$B,"*,"&amp;$A6&amp;",*")-SUMIFS('AEO 2026 Table 23 '!G:G,'AEO 2026 Table 23 '!$B:$B,"*,"&amp;$A6&amp;",*"))/SUMIFS('AEO 2026 Table 23 '!G:G,'AEO 2026 Table 23 '!$B:$B,"*,"&amp;$A6&amp;",*"),"")</f>
        <v/>
      </c>
      <c r="F6">
        <f>IFERROR((SUMIFS('AEO 2026 Table 23 '!I:I,'AEO 2026 Table 23 '!$B:$B,"*,"&amp;$A6&amp;",*")-SUMIFS('AEO 2026 Table 23 '!H:H,'AEO 2026 Table 23 '!$B:$B,"*,"&amp;$A6&amp;",*"))/SUMIFS('AEO 2026 Table 23 '!H:H,'AEO 2026 Table 23 '!$B:$B,"*,"&amp;$A6&amp;",*"),"")</f>
        <v/>
      </c>
      <c r="G6">
        <f>IFERROR((SUMIFS('AEO 2026 Table 23 '!J:J,'AEO 2026 Table 23 '!$B:$B,"*,"&amp;$A6&amp;",*")-SUMIFS('AEO 2026 Table 23 '!I:I,'AEO 2026 Table 23 '!$B:$B,"*,"&amp;$A6&amp;",*"))/SUMIFS('AEO 2026 Table 23 '!I:I,'AEO 2026 Table 23 '!$B:$B,"*,"&amp;$A6&amp;",*"),"")</f>
        <v/>
      </c>
      <c r="H6">
        <f>IFERROR((SUMIFS('AEO 2026 Table 23 '!K:K,'AEO 2026 Table 23 '!$B:$B,"*,"&amp;$A6&amp;",*")-SUMIFS('AEO 2026 Table 23 '!J:J,'AEO 2026 Table 23 '!$B:$B,"*,"&amp;$A6&amp;",*"))/SUMIFS('AEO 2026 Table 23 '!J:J,'AEO 2026 Table 23 '!$B:$B,"*,"&amp;$A6&amp;",*"),"")</f>
        <v/>
      </c>
      <c r="I6">
        <f>IFERROR((SUMIFS('AEO 2026 Table 23 '!L:L,'AEO 2026 Table 23 '!$B:$B,"*,"&amp;$A6&amp;",*")-SUMIFS('AEO 2026 Table 23 '!K:K,'AEO 2026 Table 23 '!$B:$B,"*,"&amp;$A6&amp;",*"))/SUMIFS('AEO 2026 Table 23 '!K:K,'AEO 2026 Table 23 '!$B:$B,"*,"&amp;$A6&amp;",*"),"")</f>
        <v/>
      </c>
      <c r="J6">
        <f>IFERROR((SUMIFS('AEO 2026 Table 23 '!M:M,'AEO 2026 Table 23 '!$B:$B,"*,"&amp;$A6&amp;",*")-SUMIFS('AEO 2026 Table 23 '!L:L,'AEO 2026 Table 23 '!$B:$B,"*,"&amp;$A6&amp;",*"))/SUMIFS('AEO 2026 Table 23 '!L:L,'AEO 2026 Table 23 '!$B:$B,"*,"&amp;$A6&amp;",*"),"")</f>
        <v/>
      </c>
      <c r="K6">
        <f>IFERROR((SUMIFS('AEO 2026 Table 23 '!N:N,'AEO 2026 Table 23 '!$B:$B,"*,"&amp;$A6&amp;",*")-SUMIFS('AEO 2026 Table 23 '!M:M,'AEO 2026 Table 23 '!$B:$B,"*,"&amp;$A6&amp;",*"))/SUMIFS('AEO 2026 Table 23 '!M:M,'AEO 2026 Table 23 '!$B:$B,"*,"&amp;$A6&amp;",*"),"")</f>
        <v/>
      </c>
      <c r="L6">
        <f>IFERROR((SUMIFS('AEO 2026 Table 23 '!O:O,'AEO 2026 Table 23 '!$B:$B,"*,"&amp;$A6&amp;",*")-SUMIFS('AEO 2026 Table 23 '!N:N,'AEO 2026 Table 23 '!$B:$B,"*,"&amp;$A6&amp;",*"))/SUMIFS('AEO 2026 Table 23 '!N:N,'AEO 2026 Table 23 '!$B:$B,"*,"&amp;$A6&amp;",*"),"")</f>
        <v/>
      </c>
      <c r="M6">
        <f>IFERROR((SUMIFS('AEO 2026 Table 23 '!P:P,'AEO 2026 Table 23 '!$B:$B,"*,"&amp;$A6&amp;",*")-SUMIFS('AEO 2026 Table 23 '!O:O,'AEO 2026 Table 23 '!$B:$B,"*,"&amp;$A6&amp;",*"))/SUMIFS('AEO 2026 Table 23 '!O:O,'AEO 2026 Table 23 '!$B:$B,"*,"&amp;$A6&amp;",*"),"")</f>
        <v/>
      </c>
      <c r="N6">
        <f>IFERROR((SUMIFS('AEO 2026 Table 23 '!Q:Q,'AEO 2026 Table 23 '!$B:$B,"*,"&amp;$A6&amp;",*")-SUMIFS('AEO 2026 Table 23 '!P:P,'AEO 2026 Table 23 '!$B:$B,"*,"&amp;$A6&amp;",*"))/SUMIFS('AEO 2026 Table 23 '!P:P,'AEO 2026 Table 23 '!$B:$B,"*,"&amp;$A6&amp;",*"),"")</f>
        <v/>
      </c>
      <c r="O6">
        <f>IFERROR((SUMIFS('AEO 2026 Table 23 '!R:R,'AEO 2026 Table 23 '!$B:$B,"*,"&amp;$A6&amp;",*")-SUMIFS('AEO 2026 Table 23 '!Q:Q,'AEO 2026 Table 23 '!$B:$B,"*,"&amp;$A6&amp;",*"))/SUMIFS('AEO 2026 Table 23 '!Q:Q,'AEO 2026 Table 23 '!$B:$B,"*,"&amp;$A6&amp;",*"),"")</f>
        <v/>
      </c>
      <c r="P6">
        <f>IFERROR((SUMIFS('AEO 2026 Table 23 '!S:S,'AEO 2026 Table 23 '!$B:$B,"*,"&amp;$A6&amp;",*")-SUMIFS('AEO 2026 Table 23 '!R:R,'AEO 2026 Table 23 '!$B:$B,"*,"&amp;$A6&amp;",*"))/SUMIFS('AEO 2026 Table 23 '!R:R,'AEO 2026 Table 23 '!$B:$B,"*,"&amp;$A6&amp;",*"),"")</f>
        <v/>
      </c>
      <c r="Q6">
        <f>IFERROR((SUMIFS('AEO 2026 Table 23 '!T:T,'AEO 2026 Table 23 '!$B:$B,"*,"&amp;$A6&amp;",*")-SUMIFS('AEO 2026 Table 23 '!S:S,'AEO 2026 Table 23 '!$B:$B,"*,"&amp;$A6&amp;",*"))/SUMIFS('AEO 2026 Table 23 '!S:S,'AEO 2026 Table 23 '!$B:$B,"*,"&amp;$A6&amp;",*"),"")</f>
        <v/>
      </c>
      <c r="R6">
        <f>IFERROR((SUMIFS('AEO 2026 Table 23 '!U:U,'AEO 2026 Table 23 '!$B:$B,"*,"&amp;$A6&amp;",*")-SUMIFS('AEO 2026 Table 23 '!T:T,'AEO 2026 Table 23 '!$B:$B,"*,"&amp;$A6&amp;",*"))/SUMIFS('AEO 2026 Table 23 '!T:T,'AEO 2026 Table 23 '!$B:$B,"*,"&amp;$A6&amp;",*"),"")</f>
        <v/>
      </c>
      <c r="S6">
        <f>IFERROR((SUMIFS('AEO 2026 Table 23 '!V:V,'AEO 2026 Table 23 '!$B:$B,"*,"&amp;$A6&amp;",*")-SUMIFS('AEO 2026 Table 23 '!U:U,'AEO 2026 Table 23 '!$B:$B,"*,"&amp;$A6&amp;",*"))/SUMIFS('AEO 2026 Table 23 '!U:U,'AEO 2026 Table 23 '!$B:$B,"*,"&amp;$A6&amp;",*"),"")</f>
        <v/>
      </c>
      <c r="T6">
        <f>IFERROR((SUMIFS('AEO 2026 Table 23 '!W:W,'AEO 2026 Table 23 '!$B:$B,"*,"&amp;$A6&amp;",*")-SUMIFS('AEO 2026 Table 23 '!V:V,'AEO 2026 Table 23 '!$B:$B,"*,"&amp;$A6&amp;",*"))/SUMIFS('AEO 2026 Table 23 '!V:V,'AEO 2026 Table 23 '!$B:$B,"*,"&amp;$A6&amp;",*"),"")</f>
        <v/>
      </c>
      <c r="U6">
        <f>IFERROR((SUMIFS('AEO 2026 Table 23 '!X:X,'AEO 2026 Table 23 '!$B:$B,"*,"&amp;$A6&amp;",*")-SUMIFS('AEO 2026 Table 23 '!W:W,'AEO 2026 Table 23 '!$B:$B,"*,"&amp;$A6&amp;",*"))/SUMIFS('AEO 2026 Table 23 '!W:W,'AEO 2026 Table 23 '!$B:$B,"*,"&amp;$A6&amp;",*"),"")</f>
        <v/>
      </c>
      <c r="V6">
        <f>IFERROR((SUMIFS('AEO 2026 Table 23 '!Y:Y,'AEO 2026 Table 23 '!$B:$B,"*,"&amp;$A6&amp;",*")-SUMIFS('AEO 2026 Table 23 '!X:X,'AEO 2026 Table 23 '!$B:$B,"*,"&amp;$A6&amp;",*"))/SUMIFS('AEO 2026 Table 23 '!X:X,'AEO 2026 Table 23 '!$B:$B,"*,"&amp;$A6&amp;",*"),"")</f>
        <v/>
      </c>
      <c r="W6">
        <f>IFERROR((SUMIFS('AEO 2026 Table 23 '!Z:Z,'AEO 2026 Table 23 '!$B:$B,"*,"&amp;$A6&amp;",*")-SUMIFS('AEO 2026 Table 23 '!Y:Y,'AEO 2026 Table 23 '!$B:$B,"*,"&amp;$A6&amp;",*"))/SUMIFS('AEO 2026 Table 23 '!Y:Y,'AEO 2026 Table 23 '!$B:$B,"*,"&amp;$A6&amp;",*"),"")</f>
        <v/>
      </c>
      <c r="X6">
        <f>IFERROR((SUMIFS('AEO 2026 Table 23 '!AA:AA,'AEO 2026 Table 23 '!$B:$B,"*,"&amp;$A6&amp;",*")-SUMIFS('AEO 2026 Table 23 '!Z:Z,'AEO 2026 Table 23 '!$B:$B,"*,"&amp;$A6&amp;",*"))/SUMIFS('AEO 2026 Table 23 '!Z:Z,'AEO 2026 Table 23 '!$B:$B,"*,"&amp;$A6&amp;",*"),"")</f>
        <v/>
      </c>
      <c r="Y6">
        <f>IFERROR((SUMIFS('AEO 2026 Table 23 '!AB:AB,'AEO 2026 Table 23 '!$B:$B,"*,"&amp;$A6&amp;",*")-SUMIFS('AEO 2026 Table 23 '!AA:AA,'AEO 2026 Table 23 '!$B:$B,"*,"&amp;$A6&amp;",*"))/SUMIFS('AEO 2026 Table 23 '!AA:AA,'AEO 2026 Table 23 '!$B:$B,"*,"&amp;$A6&amp;",*"),"")</f>
        <v/>
      </c>
      <c r="Z6">
        <f>IFERROR((SUMIFS('AEO 2026 Table 23 '!AC:AC,'AEO 2026 Table 23 '!$B:$B,"*,"&amp;$A6&amp;",*")-SUMIFS('AEO 2026 Table 23 '!AB:AB,'AEO 2026 Table 23 '!$B:$B,"*,"&amp;$A6&amp;",*"))/SUMIFS('AEO 2026 Table 23 '!AB:AB,'AEO 2026 Table 23 '!$B:$B,"*,"&amp;$A6&amp;",*"),"")</f>
        <v/>
      </c>
      <c r="AA6">
        <f>IFERROR((SUMIFS('AEO 2026 Table 23 '!AD:AD,'AEO 2026 Table 23 '!$B:$B,"*,"&amp;$A6&amp;",*")-SUMIFS('AEO 2026 Table 23 '!AC:AC,'AEO 2026 Table 23 '!$B:$B,"*,"&amp;$A6&amp;",*"))/SUMIFS('AEO 2026 Table 23 '!AC:AC,'AEO 2026 Table 23 '!$B:$B,"*,"&amp;$A6&amp;",*"),"")</f>
        <v/>
      </c>
      <c r="AB6">
        <f>IFERROR((SUMIFS('AEO 2026 Table 23 '!AE:AE,'AEO 2026 Table 23 '!$B:$B,"*,"&amp;$A6&amp;",*")-SUMIFS('AEO 2026 Table 23 '!AD:AD,'AEO 2026 Table 23 '!$B:$B,"*,"&amp;$A6&amp;",*"))/SUMIFS('AEO 2026 Table 23 '!AD:AD,'AEO 2026 Table 23 '!$B:$B,"*,"&amp;$A6&amp;",*"),"")</f>
        <v/>
      </c>
      <c r="AC6">
        <f>IFERROR((SUMIFS('AEO 2026 Table 23 '!AF:AF,'AEO 2026 Table 23 '!$B:$B,"*,"&amp;$A6&amp;",*")-SUMIFS('AEO 2026 Table 23 '!AE:AE,'AEO 2026 Table 23 '!$B:$B,"*,"&amp;$A6&amp;",*"))/SUMIFS('AEO 2026 Table 23 '!AE:AE,'AEO 2026 Table 23 '!$B:$B,"*,"&amp;$A6&amp;",*"),"")</f>
        <v/>
      </c>
    </row>
    <row r="7">
      <c r="A7" t="inlineStr">
        <is>
          <t>ISIC 05</t>
        </is>
      </c>
      <c r="B7">
        <f>IFERROR(SUMPRODUCT(--('BLS Table 2.11'!$L$1:$L$426=$A7),'BLS Table 2.11'!$J$1:$J$426,'BLS Table 2.11'!$K$1:$K$426)/SUMIFS('BLS Table 2.11'!$J$1:$J$426,'BLS Table 2.11'!$L$1:$L$426,$A7)/100,0)</f>
        <v/>
      </c>
      <c r="D7">
        <f>IFERROR((SUMIFS('AEO 2026 Table 23 '!G:G,'AEO 2026 Table 23 '!$B:$B,"*,"&amp;$A7&amp;",*")-SUMIFS('AEO25 Table 23'!H:H,'AEO25 Table 23'!$B:$B,"*,"&amp;$A7&amp;",*"))/SUMIFS('AEO25 Table 23'!H:H,'AEO25 Table 23'!$B:$B,"*,"&amp;$A7&amp;",*"),"")</f>
        <v/>
      </c>
      <c r="E7">
        <f>IFERROR((SUMIFS('AEO 2026 Table 23 '!H:H,'AEO 2026 Table 23 '!$B:$B,"*,"&amp;$A7&amp;",*")-SUMIFS('AEO 2026 Table 23 '!G:G,'AEO 2026 Table 23 '!$B:$B,"*,"&amp;$A7&amp;",*"))/SUMIFS('AEO 2026 Table 23 '!G:G,'AEO 2026 Table 23 '!$B:$B,"*,"&amp;$A7&amp;",*"),"")</f>
        <v/>
      </c>
      <c r="F7">
        <f>IFERROR((SUMIFS('AEO 2026 Table 23 '!I:I,'AEO 2026 Table 23 '!$B:$B,"*,"&amp;$A7&amp;",*")-SUMIFS('AEO 2026 Table 23 '!H:H,'AEO 2026 Table 23 '!$B:$B,"*,"&amp;$A7&amp;",*"))/SUMIFS('AEO 2026 Table 23 '!H:H,'AEO 2026 Table 23 '!$B:$B,"*,"&amp;$A7&amp;",*"),"")</f>
        <v/>
      </c>
      <c r="G7">
        <f>IFERROR((SUMIFS('AEO 2026 Table 23 '!J:J,'AEO 2026 Table 23 '!$B:$B,"*,"&amp;$A7&amp;",*")-SUMIFS('AEO 2026 Table 23 '!I:I,'AEO 2026 Table 23 '!$B:$B,"*,"&amp;$A7&amp;",*"))/SUMIFS('AEO 2026 Table 23 '!I:I,'AEO 2026 Table 23 '!$B:$B,"*,"&amp;$A7&amp;",*"),"")</f>
        <v/>
      </c>
      <c r="H7">
        <f>IFERROR((SUMIFS('AEO 2026 Table 23 '!K:K,'AEO 2026 Table 23 '!$B:$B,"*,"&amp;$A7&amp;",*")-SUMIFS('AEO 2026 Table 23 '!J:J,'AEO 2026 Table 23 '!$B:$B,"*,"&amp;$A7&amp;",*"))/SUMIFS('AEO 2026 Table 23 '!J:J,'AEO 2026 Table 23 '!$B:$B,"*,"&amp;$A7&amp;",*"),"")</f>
        <v/>
      </c>
      <c r="I7">
        <f>IFERROR((SUMIFS('AEO 2026 Table 23 '!L:L,'AEO 2026 Table 23 '!$B:$B,"*,"&amp;$A7&amp;",*")-SUMIFS('AEO 2026 Table 23 '!K:K,'AEO 2026 Table 23 '!$B:$B,"*,"&amp;$A7&amp;",*"))/SUMIFS('AEO 2026 Table 23 '!K:K,'AEO 2026 Table 23 '!$B:$B,"*,"&amp;$A7&amp;",*"),"")</f>
        <v/>
      </c>
      <c r="J7">
        <f>IFERROR((SUMIFS('AEO 2026 Table 23 '!M:M,'AEO 2026 Table 23 '!$B:$B,"*,"&amp;$A7&amp;",*")-SUMIFS('AEO 2026 Table 23 '!L:L,'AEO 2026 Table 23 '!$B:$B,"*,"&amp;$A7&amp;",*"))/SUMIFS('AEO 2026 Table 23 '!L:L,'AEO 2026 Table 23 '!$B:$B,"*,"&amp;$A7&amp;",*"),"")</f>
        <v/>
      </c>
      <c r="K7">
        <f>IFERROR((SUMIFS('AEO 2026 Table 23 '!N:N,'AEO 2026 Table 23 '!$B:$B,"*,"&amp;$A7&amp;",*")-SUMIFS('AEO 2026 Table 23 '!M:M,'AEO 2026 Table 23 '!$B:$B,"*,"&amp;$A7&amp;",*"))/SUMIFS('AEO 2026 Table 23 '!M:M,'AEO 2026 Table 23 '!$B:$B,"*,"&amp;$A7&amp;",*"),"")</f>
        <v/>
      </c>
      <c r="L7">
        <f>IFERROR((SUMIFS('AEO 2026 Table 23 '!O:O,'AEO 2026 Table 23 '!$B:$B,"*,"&amp;$A7&amp;",*")-SUMIFS('AEO 2026 Table 23 '!N:N,'AEO 2026 Table 23 '!$B:$B,"*,"&amp;$A7&amp;",*"))/SUMIFS('AEO 2026 Table 23 '!N:N,'AEO 2026 Table 23 '!$B:$B,"*,"&amp;$A7&amp;",*"),"")</f>
        <v/>
      </c>
      <c r="M7">
        <f>IFERROR((SUMIFS('AEO 2026 Table 23 '!P:P,'AEO 2026 Table 23 '!$B:$B,"*,"&amp;$A7&amp;",*")-SUMIFS('AEO 2026 Table 23 '!O:O,'AEO 2026 Table 23 '!$B:$B,"*,"&amp;$A7&amp;",*"))/SUMIFS('AEO 2026 Table 23 '!O:O,'AEO 2026 Table 23 '!$B:$B,"*,"&amp;$A7&amp;",*"),"")</f>
        <v/>
      </c>
      <c r="N7">
        <f>IFERROR((SUMIFS('AEO 2026 Table 23 '!Q:Q,'AEO 2026 Table 23 '!$B:$B,"*,"&amp;$A7&amp;",*")-SUMIFS('AEO 2026 Table 23 '!P:P,'AEO 2026 Table 23 '!$B:$B,"*,"&amp;$A7&amp;",*"))/SUMIFS('AEO 2026 Table 23 '!P:P,'AEO 2026 Table 23 '!$B:$B,"*,"&amp;$A7&amp;",*"),"")</f>
        <v/>
      </c>
      <c r="O7">
        <f>IFERROR((SUMIFS('AEO 2026 Table 23 '!R:R,'AEO 2026 Table 23 '!$B:$B,"*,"&amp;$A7&amp;",*")-SUMIFS('AEO 2026 Table 23 '!Q:Q,'AEO 2026 Table 23 '!$B:$B,"*,"&amp;$A7&amp;",*"))/SUMIFS('AEO 2026 Table 23 '!Q:Q,'AEO 2026 Table 23 '!$B:$B,"*,"&amp;$A7&amp;",*"),"")</f>
        <v/>
      </c>
      <c r="P7">
        <f>IFERROR((SUMIFS('AEO 2026 Table 23 '!S:S,'AEO 2026 Table 23 '!$B:$B,"*,"&amp;$A7&amp;",*")-SUMIFS('AEO 2026 Table 23 '!R:R,'AEO 2026 Table 23 '!$B:$B,"*,"&amp;$A7&amp;",*"))/SUMIFS('AEO 2026 Table 23 '!R:R,'AEO 2026 Table 23 '!$B:$B,"*,"&amp;$A7&amp;",*"),"")</f>
        <v/>
      </c>
      <c r="Q7">
        <f>IFERROR((SUMIFS('AEO 2026 Table 23 '!T:T,'AEO 2026 Table 23 '!$B:$B,"*,"&amp;$A7&amp;",*")-SUMIFS('AEO 2026 Table 23 '!S:S,'AEO 2026 Table 23 '!$B:$B,"*,"&amp;$A7&amp;",*"))/SUMIFS('AEO 2026 Table 23 '!S:S,'AEO 2026 Table 23 '!$B:$B,"*,"&amp;$A7&amp;",*"),"")</f>
        <v/>
      </c>
      <c r="R7">
        <f>IFERROR((SUMIFS('AEO 2026 Table 23 '!U:U,'AEO 2026 Table 23 '!$B:$B,"*,"&amp;$A7&amp;",*")-SUMIFS('AEO 2026 Table 23 '!T:T,'AEO 2026 Table 23 '!$B:$B,"*,"&amp;$A7&amp;",*"))/SUMIFS('AEO 2026 Table 23 '!T:T,'AEO 2026 Table 23 '!$B:$B,"*,"&amp;$A7&amp;",*"),"")</f>
        <v/>
      </c>
      <c r="S7">
        <f>IFERROR((SUMIFS('AEO 2026 Table 23 '!V:V,'AEO 2026 Table 23 '!$B:$B,"*,"&amp;$A7&amp;",*")-SUMIFS('AEO 2026 Table 23 '!U:U,'AEO 2026 Table 23 '!$B:$B,"*,"&amp;$A7&amp;",*"))/SUMIFS('AEO 2026 Table 23 '!U:U,'AEO 2026 Table 23 '!$B:$B,"*,"&amp;$A7&amp;",*"),"")</f>
        <v/>
      </c>
      <c r="T7">
        <f>IFERROR((SUMIFS('AEO 2026 Table 23 '!W:W,'AEO 2026 Table 23 '!$B:$B,"*,"&amp;$A7&amp;",*")-SUMIFS('AEO 2026 Table 23 '!V:V,'AEO 2026 Table 23 '!$B:$B,"*,"&amp;$A7&amp;",*"))/SUMIFS('AEO 2026 Table 23 '!V:V,'AEO 2026 Table 23 '!$B:$B,"*,"&amp;$A7&amp;",*"),"")</f>
        <v/>
      </c>
      <c r="U7">
        <f>IFERROR((SUMIFS('AEO 2026 Table 23 '!X:X,'AEO 2026 Table 23 '!$B:$B,"*,"&amp;$A7&amp;",*")-SUMIFS('AEO 2026 Table 23 '!W:W,'AEO 2026 Table 23 '!$B:$B,"*,"&amp;$A7&amp;",*"))/SUMIFS('AEO 2026 Table 23 '!W:W,'AEO 2026 Table 23 '!$B:$B,"*,"&amp;$A7&amp;",*"),"")</f>
        <v/>
      </c>
      <c r="V7">
        <f>IFERROR((SUMIFS('AEO 2026 Table 23 '!Y:Y,'AEO 2026 Table 23 '!$B:$B,"*,"&amp;$A7&amp;",*")-SUMIFS('AEO 2026 Table 23 '!X:X,'AEO 2026 Table 23 '!$B:$B,"*,"&amp;$A7&amp;",*"))/SUMIFS('AEO 2026 Table 23 '!X:X,'AEO 2026 Table 23 '!$B:$B,"*,"&amp;$A7&amp;",*"),"")</f>
        <v/>
      </c>
      <c r="W7">
        <f>IFERROR((SUMIFS('AEO 2026 Table 23 '!Z:Z,'AEO 2026 Table 23 '!$B:$B,"*,"&amp;$A7&amp;",*")-SUMIFS('AEO 2026 Table 23 '!Y:Y,'AEO 2026 Table 23 '!$B:$B,"*,"&amp;$A7&amp;",*"))/SUMIFS('AEO 2026 Table 23 '!Y:Y,'AEO 2026 Table 23 '!$B:$B,"*,"&amp;$A7&amp;",*"),"")</f>
        <v/>
      </c>
      <c r="X7">
        <f>IFERROR((SUMIFS('AEO 2026 Table 23 '!AA:AA,'AEO 2026 Table 23 '!$B:$B,"*,"&amp;$A7&amp;",*")-SUMIFS('AEO 2026 Table 23 '!Z:Z,'AEO 2026 Table 23 '!$B:$B,"*,"&amp;$A7&amp;",*"))/SUMIFS('AEO 2026 Table 23 '!Z:Z,'AEO 2026 Table 23 '!$B:$B,"*,"&amp;$A7&amp;",*"),"")</f>
        <v/>
      </c>
      <c r="Y7">
        <f>IFERROR((SUMIFS('AEO 2026 Table 23 '!AB:AB,'AEO 2026 Table 23 '!$B:$B,"*,"&amp;$A7&amp;",*")-SUMIFS('AEO 2026 Table 23 '!AA:AA,'AEO 2026 Table 23 '!$B:$B,"*,"&amp;$A7&amp;",*"))/SUMIFS('AEO 2026 Table 23 '!AA:AA,'AEO 2026 Table 23 '!$B:$B,"*,"&amp;$A7&amp;",*"),"")</f>
        <v/>
      </c>
      <c r="Z7">
        <f>IFERROR((SUMIFS('AEO 2026 Table 23 '!AC:AC,'AEO 2026 Table 23 '!$B:$B,"*,"&amp;$A7&amp;",*")-SUMIFS('AEO 2026 Table 23 '!AB:AB,'AEO 2026 Table 23 '!$B:$B,"*,"&amp;$A7&amp;",*"))/SUMIFS('AEO 2026 Table 23 '!AB:AB,'AEO 2026 Table 23 '!$B:$B,"*,"&amp;$A7&amp;",*"),"")</f>
        <v/>
      </c>
      <c r="AA7">
        <f>IFERROR((SUMIFS('AEO 2026 Table 23 '!AD:AD,'AEO 2026 Table 23 '!$B:$B,"*,"&amp;$A7&amp;",*")-SUMIFS('AEO 2026 Table 23 '!AC:AC,'AEO 2026 Table 23 '!$B:$B,"*,"&amp;$A7&amp;",*"))/SUMIFS('AEO 2026 Table 23 '!AC:AC,'AEO 2026 Table 23 '!$B:$B,"*,"&amp;$A7&amp;",*"),"")</f>
        <v/>
      </c>
      <c r="AB7">
        <f>IFERROR((SUMIFS('AEO 2026 Table 23 '!AE:AE,'AEO 2026 Table 23 '!$B:$B,"*,"&amp;$A7&amp;",*")-SUMIFS('AEO 2026 Table 23 '!AD:AD,'AEO 2026 Table 23 '!$B:$B,"*,"&amp;$A7&amp;",*"))/SUMIFS('AEO 2026 Table 23 '!AD:AD,'AEO 2026 Table 23 '!$B:$B,"*,"&amp;$A7&amp;",*"),"")</f>
        <v/>
      </c>
      <c r="AC7">
        <f>IFERROR((SUMIFS('AEO 2026 Table 23 '!AF:AF,'AEO 2026 Table 23 '!$B:$B,"*,"&amp;$A7&amp;",*")-SUMIFS('AEO 2026 Table 23 '!AE:AE,'AEO 2026 Table 23 '!$B:$B,"*,"&amp;$A7&amp;",*"))/SUMIFS('AEO 2026 Table 23 '!AE:AE,'AEO 2026 Table 23 '!$B:$B,"*,"&amp;$A7&amp;",*"),"")</f>
        <v/>
      </c>
    </row>
    <row r="8">
      <c r="A8" t="inlineStr">
        <is>
          <t>ISIC 06</t>
        </is>
      </c>
      <c r="B8">
        <f>IFERROR(SUMPRODUCT(--('BLS Table 2.11'!$L$1:$L$426=$A8),'BLS Table 2.11'!$J$1:$J$426,'BLS Table 2.11'!$K$1:$K$426)/SUMIFS('BLS Table 2.11'!$J$1:$J$426,'BLS Table 2.11'!$L$1:$L$426,$A8)/100,0)</f>
        <v/>
      </c>
      <c r="D8">
        <f>IFERROR((SUMIFS('AEO 2026 Table 23 '!G:G,'AEO 2026 Table 23 '!$B:$B,"*,"&amp;$A8&amp;",*")-SUMIFS('AEO25 Table 23'!H:H,'AEO25 Table 23'!$B:$B,"*,"&amp;$A8&amp;",*"))/SUMIFS('AEO25 Table 23'!H:H,'AEO25 Table 23'!$B:$B,"*,"&amp;$A8&amp;",*"),"")</f>
        <v/>
      </c>
      <c r="E8">
        <f>IFERROR((SUMIFS('AEO 2026 Table 23 '!H:H,'AEO 2026 Table 23 '!$B:$B,"*,"&amp;$A8&amp;",*")-SUMIFS('AEO 2026 Table 23 '!G:G,'AEO 2026 Table 23 '!$B:$B,"*,"&amp;$A8&amp;",*"))/SUMIFS('AEO 2026 Table 23 '!G:G,'AEO 2026 Table 23 '!$B:$B,"*,"&amp;$A8&amp;",*"),"")</f>
        <v/>
      </c>
      <c r="F8">
        <f>IFERROR((SUMIFS('AEO 2026 Table 23 '!I:I,'AEO 2026 Table 23 '!$B:$B,"*,"&amp;$A8&amp;",*")-SUMIFS('AEO 2026 Table 23 '!H:H,'AEO 2026 Table 23 '!$B:$B,"*,"&amp;$A8&amp;",*"))/SUMIFS('AEO 2026 Table 23 '!H:H,'AEO 2026 Table 23 '!$B:$B,"*,"&amp;$A8&amp;",*"),"")</f>
        <v/>
      </c>
      <c r="G8">
        <f>IFERROR((SUMIFS('AEO 2026 Table 23 '!J:J,'AEO 2026 Table 23 '!$B:$B,"*,"&amp;$A8&amp;",*")-SUMIFS('AEO 2026 Table 23 '!I:I,'AEO 2026 Table 23 '!$B:$B,"*,"&amp;$A8&amp;",*"))/SUMIFS('AEO 2026 Table 23 '!I:I,'AEO 2026 Table 23 '!$B:$B,"*,"&amp;$A8&amp;",*"),"")</f>
        <v/>
      </c>
      <c r="H8">
        <f>IFERROR((SUMIFS('AEO 2026 Table 23 '!K:K,'AEO 2026 Table 23 '!$B:$B,"*,"&amp;$A8&amp;",*")-SUMIFS('AEO 2026 Table 23 '!J:J,'AEO 2026 Table 23 '!$B:$B,"*,"&amp;$A8&amp;",*"))/SUMIFS('AEO 2026 Table 23 '!J:J,'AEO 2026 Table 23 '!$B:$B,"*,"&amp;$A8&amp;",*"),"")</f>
        <v/>
      </c>
      <c r="I8">
        <f>IFERROR((SUMIFS('AEO 2026 Table 23 '!L:L,'AEO 2026 Table 23 '!$B:$B,"*,"&amp;$A8&amp;",*")-SUMIFS('AEO 2026 Table 23 '!K:K,'AEO 2026 Table 23 '!$B:$B,"*,"&amp;$A8&amp;",*"))/SUMIFS('AEO 2026 Table 23 '!K:K,'AEO 2026 Table 23 '!$B:$B,"*,"&amp;$A8&amp;",*"),"")</f>
        <v/>
      </c>
      <c r="J8">
        <f>IFERROR((SUMIFS('AEO 2026 Table 23 '!M:M,'AEO 2026 Table 23 '!$B:$B,"*,"&amp;$A8&amp;",*")-SUMIFS('AEO 2026 Table 23 '!L:L,'AEO 2026 Table 23 '!$B:$B,"*,"&amp;$A8&amp;",*"))/SUMIFS('AEO 2026 Table 23 '!L:L,'AEO 2026 Table 23 '!$B:$B,"*,"&amp;$A8&amp;",*"),"")</f>
        <v/>
      </c>
      <c r="K8">
        <f>IFERROR((SUMIFS('AEO 2026 Table 23 '!N:N,'AEO 2026 Table 23 '!$B:$B,"*,"&amp;$A8&amp;",*")-SUMIFS('AEO 2026 Table 23 '!M:M,'AEO 2026 Table 23 '!$B:$B,"*,"&amp;$A8&amp;",*"))/SUMIFS('AEO 2026 Table 23 '!M:M,'AEO 2026 Table 23 '!$B:$B,"*,"&amp;$A8&amp;",*"),"")</f>
        <v/>
      </c>
      <c r="L8">
        <f>IFERROR((SUMIFS('AEO 2026 Table 23 '!O:O,'AEO 2026 Table 23 '!$B:$B,"*,"&amp;$A8&amp;",*")-SUMIFS('AEO 2026 Table 23 '!N:N,'AEO 2026 Table 23 '!$B:$B,"*,"&amp;$A8&amp;",*"))/SUMIFS('AEO 2026 Table 23 '!N:N,'AEO 2026 Table 23 '!$B:$B,"*,"&amp;$A8&amp;",*"),"")</f>
        <v/>
      </c>
      <c r="M8">
        <f>IFERROR((SUMIFS('AEO 2026 Table 23 '!P:P,'AEO 2026 Table 23 '!$B:$B,"*,"&amp;$A8&amp;",*")-SUMIFS('AEO 2026 Table 23 '!O:O,'AEO 2026 Table 23 '!$B:$B,"*,"&amp;$A8&amp;",*"))/SUMIFS('AEO 2026 Table 23 '!O:O,'AEO 2026 Table 23 '!$B:$B,"*,"&amp;$A8&amp;",*"),"")</f>
        <v/>
      </c>
      <c r="N8">
        <f>IFERROR((SUMIFS('AEO 2026 Table 23 '!Q:Q,'AEO 2026 Table 23 '!$B:$B,"*,"&amp;$A8&amp;",*")-SUMIFS('AEO 2026 Table 23 '!P:P,'AEO 2026 Table 23 '!$B:$B,"*,"&amp;$A8&amp;",*"))/SUMIFS('AEO 2026 Table 23 '!P:P,'AEO 2026 Table 23 '!$B:$B,"*,"&amp;$A8&amp;",*"),"")</f>
        <v/>
      </c>
      <c r="O8">
        <f>IFERROR((SUMIFS('AEO 2026 Table 23 '!R:R,'AEO 2026 Table 23 '!$B:$B,"*,"&amp;$A8&amp;",*")-SUMIFS('AEO 2026 Table 23 '!Q:Q,'AEO 2026 Table 23 '!$B:$B,"*,"&amp;$A8&amp;",*"))/SUMIFS('AEO 2026 Table 23 '!Q:Q,'AEO 2026 Table 23 '!$B:$B,"*,"&amp;$A8&amp;",*"),"")</f>
        <v/>
      </c>
      <c r="P8">
        <f>IFERROR((SUMIFS('AEO 2026 Table 23 '!S:S,'AEO 2026 Table 23 '!$B:$B,"*,"&amp;$A8&amp;",*")-SUMIFS('AEO 2026 Table 23 '!R:R,'AEO 2026 Table 23 '!$B:$B,"*,"&amp;$A8&amp;",*"))/SUMIFS('AEO 2026 Table 23 '!R:R,'AEO 2026 Table 23 '!$B:$B,"*,"&amp;$A8&amp;",*"),"")</f>
        <v/>
      </c>
      <c r="Q8">
        <f>IFERROR((SUMIFS('AEO 2026 Table 23 '!T:T,'AEO 2026 Table 23 '!$B:$B,"*,"&amp;$A8&amp;",*")-SUMIFS('AEO 2026 Table 23 '!S:S,'AEO 2026 Table 23 '!$B:$B,"*,"&amp;$A8&amp;",*"))/SUMIFS('AEO 2026 Table 23 '!S:S,'AEO 2026 Table 23 '!$B:$B,"*,"&amp;$A8&amp;",*"),"")</f>
        <v/>
      </c>
      <c r="R8">
        <f>IFERROR((SUMIFS('AEO 2026 Table 23 '!U:U,'AEO 2026 Table 23 '!$B:$B,"*,"&amp;$A8&amp;",*")-SUMIFS('AEO 2026 Table 23 '!T:T,'AEO 2026 Table 23 '!$B:$B,"*,"&amp;$A8&amp;",*"))/SUMIFS('AEO 2026 Table 23 '!T:T,'AEO 2026 Table 23 '!$B:$B,"*,"&amp;$A8&amp;",*"),"")</f>
        <v/>
      </c>
      <c r="S8">
        <f>IFERROR((SUMIFS('AEO 2026 Table 23 '!V:V,'AEO 2026 Table 23 '!$B:$B,"*,"&amp;$A8&amp;",*")-SUMIFS('AEO 2026 Table 23 '!U:U,'AEO 2026 Table 23 '!$B:$B,"*,"&amp;$A8&amp;",*"))/SUMIFS('AEO 2026 Table 23 '!U:U,'AEO 2026 Table 23 '!$B:$B,"*,"&amp;$A8&amp;",*"),"")</f>
        <v/>
      </c>
      <c r="T8">
        <f>IFERROR((SUMIFS('AEO 2026 Table 23 '!W:W,'AEO 2026 Table 23 '!$B:$B,"*,"&amp;$A8&amp;",*")-SUMIFS('AEO 2026 Table 23 '!V:V,'AEO 2026 Table 23 '!$B:$B,"*,"&amp;$A8&amp;",*"))/SUMIFS('AEO 2026 Table 23 '!V:V,'AEO 2026 Table 23 '!$B:$B,"*,"&amp;$A8&amp;",*"),"")</f>
        <v/>
      </c>
      <c r="U8">
        <f>IFERROR((SUMIFS('AEO 2026 Table 23 '!X:X,'AEO 2026 Table 23 '!$B:$B,"*,"&amp;$A8&amp;",*")-SUMIFS('AEO 2026 Table 23 '!W:W,'AEO 2026 Table 23 '!$B:$B,"*,"&amp;$A8&amp;",*"))/SUMIFS('AEO 2026 Table 23 '!W:W,'AEO 2026 Table 23 '!$B:$B,"*,"&amp;$A8&amp;",*"),"")</f>
        <v/>
      </c>
      <c r="V8">
        <f>IFERROR((SUMIFS('AEO 2026 Table 23 '!Y:Y,'AEO 2026 Table 23 '!$B:$B,"*,"&amp;$A8&amp;",*")-SUMIFS('AEO 2026 Table 23 '!X:X,'AEO 2026 Table 23 '!$B:$B,"*,"&amp;$A8&amp;",*"))/SUMIFS('AEO 2026 Table 23 '!X:X,'AEO 2026 Table 23 '!$B:$B,"*,"&amp;$A8&amp;",*"),"")</f>
        <v/>
      </c>
      <c r="W8">
        <f>IFERROR((SUMIFS('AEO 2026 Table 23 '!Z:Z,'AEO 2026 Table 23 '!$B:$B,"*,"&amp;$A8&amp;",*")-SUMIFS('AEO 2026 Table 23 '!Y:Y,'AEO 2026 Table 23 '!$B:$B,"*,"&amp;$A8&amp;",*"))/SUMIFS('AEO 2026 Table 23 '!Y:Y,'AEO 2026 Table 23 '!$B:$B,"*,"&amp;$A8&amp;",*"),"")</f>
        <v/>
      </c>
      <c r="X8">
        <f>IFERROR((SUMIFS('AEO 2026 Table 23 '!AA:AA,'AEO 2026 Table 23 '!$B:$B,"*,"&amp;$A8&amp;",*")-SUMIFS('AEO 2026 Table 23 '!Z:Z,'AEO 2026 Table 23 '!$B:$B,"*,"&amp;$A8&amp;",*"))/SUMIFS('AEO 2026 Table 23 '!Z:Z,'AEO 2026 Table 23 '!$B:$B,"*,"&amp;$A8&amp;",*"),"")</f>
        <v/>
      </c>
      <c r="Y8">
        <f>IFERROR((SUMIFS('AEO 2026 Table 23 '!AB:AB,'AEO 2026 Table 23 '!$B:$B,"*,"&amp;$A8&amp;",*")-SUMIFS('AEO 2026 Table 23 '!AA:AA,'AEO 2026 Table 23 '!$B:$B,"*,"&amp;$A8&amp;",*"))/SUMIFS('AEO 2026 Table 23 '!AA:AA,'AEO 2026 Table 23 '!$B:$B,"*,"&amp;$A8&amp;",*"),"")</f>
        <v/>
      </c>
      <c r="Z8">
        <f>IFERROR((SUMIFS('AEO 2026 Table 23 '!AC:AC,'AEO 2026 Table 23 '!$B:$B,"*,"&amp;$A8&amp;",*")-SUMIFS('AEO 2026 Table 23 '!AB:AB,'AEO 2026 Table 23 '!$B:$B,"*,"&amp;$A8&amp;",*"))/SUMIFS('AEO 2026 Table 23 '!AB:AB,'AEO 2026 Table 23 '!$B:$B,"*,"&amp;$A8&amp;",*"),"")</f>
        <v/>
      </c>
      <c r="AA8">
        <f>IFERROR((SUMIFS('AEO 2026 Table 23 '!AD:AD,'AEO 2026 Table 23 '!$B:$B,"*,"&amp;$A8&amp;",*")-SUMIFS('AEO 2026 Table 23 '!AC:AC,'AEO 2026 Table 23 '!$B:$B,"*,"&amp;$A8&amp;",*"))/SUMIFS('AEO 2026 Table 23 '!AC:AC,'AEO 2026 Table 23 '!$B:$B,"*,"&amp;$A8&amp;",*"),"")</f>
        <v/>
      </c>
      <c r="AB8">
        <f>IFERROR((SUMIFS('AEO 2026 Table 23 '!AE:AE,'AEO 2026 Table 23 '!$B:$B,"*,"&amp;$A8&amp;",*")-SUMIFS('AEO 2026 Table 23 '!AD:AD,'AEO 2026 Table 23 '!$B:$B,"*,"&amp;$A8&amp;",*"))/SUMIFS('AEO 2026 Table 23 '!AD:AD,'AEO 2026 Table 23 '!$B:$B,"*,"&amp;$A8&amp;",*"),"")</f>
        <v/>
      </c>
      <c r="AC8">
        <f>IFERROR((SUMIFS('AEO 2026 Table 23 '!AF:AF,'AEO 2026 Table 23 '!$B:$B,"*,"&amp;$A8&amp;",*")-SUMIFS('AEO 2026 Table 23 '!AE:AE,'AEO 2026 Table 23 '!$B:$B,"*,"&amp;$A8&amp;",*"))/SUMIFS('AEO 2026 Table 23 '!AE:AE,'AEO 2026 Table 23 '!$B:$B,"*,"&amp;$A8&amp;",*"),"")</f>
        <v/>
      </c>
    </row>
    <row r="9">
      <c r="A9" t="inlineStr">
        <is>
          <t>ISIC 07</t>
        </is>
      </c>
      <c r="B9">
        <f>IFERROR(SUMPRODUCT(--('BLS Table 2.11'!$L$1:$L$426=$A9),'BLS Table 2.11'!$J$1:$J$426,'BLS Table 2.11'!$K$1:$K$426)/SUMIFS('BLS Table 2.11'!$J$1:$J$426,'BLS Table 2.11'!$L$1:$L$426,$A9)/100,0)</f>
        <v/>
      </c>
      <c r="D9">
        <f>IFERROR((SUMIFS('AEO 2026 Table 23 '!G:G,'AEO 2026 Table 23 '!$B:$B,"*,"&amp;$A9&amp;",*")-SUMIFS('AEO25 Table 23'!H:H,'AEO25 Table 23'!$B:$B,"*,"&amp;$A9&amp;",*"))/SUMIFS('AEO25 Table 23'!H:H,'AEO25 Table 23'!$B:$B,"*,"&amp;$A9&amp;",*"),"")</f>
        <v/>
      </c>
      <c r="E9">
        <f>IFERROR((SUMIFS('AEO 2026 Table 23 '!H:H,'AEO 2026 Table 23 '!$B:$B,"*,"&amp;$A9&amp;",*")-SUMIFS('AEO 2026 Table 23 '!G:G,'AEO 2026 Table 23 '!$B:$B,"*,"&amp;$A9&amp;",*"))/SUMIFS('AEO 2026 Table 23 '!G:G,'AEO 2026 Table 23 '!$B:$B,"*,"&amp;$A9&amp;",*"),"")</f>
        <v/>
      </c>
      <c r="F9">
        <f>IFERROR((SUMIFS('AEO 2026 Table 23 '!I:I,'AEO 2026 Table 23 '!$B:$B,"*,"&amp;$A9&amp;",*")-SUMIFS('AEO 2026 Table 23 '!H:H,'AEO 2026 Table 23 '!$B:$B,"*,"&amp;$A9&amp;",*"))/SUMIFS('AEO 2026 Table 23 '!H:H,'AEO 2026 Table 23 '!$B:$B,"*,"&amp;$A9&amp;",*"),"")</f>
        <v/>
      </c>
      <c r="G9">
        <f>IFERROR((SUMIFS('AEO 2026 Table 23 '!J:J,'AEO 2026 Table 23 '!$B:$B,"*,"&amp;$A9&amp;",*")-SUMIFS('AEO 2026 Table 23 '!I:I,'AEO 2026 Table 23 '!$B:$B,"*,"&amp;$A9&amp;",*"))/SUMIFS('AEO 2026 Table 23 '!I:I,'AEO 2026 Table 23 '!$B:$B,"*,"&amp;$A9&amp;",*"),"")</f>
        <v/>
      </c>
      <c r="H9">
        <f>IFERROR((SUMIFS('AEO 2026 Table 23 '!K:K,'AEO 2026 Table 23 '!$B:$B,"*,"&amp;$A9&amp;",*")-SUMIFS('AEO 2026 Table 23 '!J:J,'AEO 2026 Table 23 '!$B:$B,"*,"&amp;$A9&amp;",*"))/SUMIFS('AEO 2026 Table 23 '!J:J,'AEO 2026 Table 23 '!$B:$B,"*,"&amp;$A9&amp;",*"),"")</f>
        <v/>
      </c>
      <c r="I9">
        <f>IFERROR((SUMIFS('AEO 2026 Table 23 '!L:L,'AEO 2026 Table 23 '!$B:$B,"*,"&amp;$A9&amp;",*")-SUMIFS('AEO 2026 Table 23 '!K:K,'AEO 2026 Table 23 '!$B:$B,"*,"&amp;$A9&amp;",*"))/SUMIFS('AEO 2026 Table 23 '!K:K,'AEO 2026 Table 23 '!$B:$B,"*,"&amp;$A9&amp;",*"),"")</f>
        <v/>
      </c>
      <c r="J9">
        <f>IFERROR((SUMIFS('AEO 2026 Table 23 '!M:M,'AEO 2026 Table 23 '!$B:$B,"*,"&amp;$A9&amp;",*")-SUMIFS('AEO 2026 Table 23 '!L:L,'AEO 2026 Table 23 '!$B:$B,"*,"&amp;$A9&amp;",*"))/SUMIFS('AEO 2026 Table 23 '!L:L,'AEO 2026 Table 23 '!$B:$B,"*,"&amp;$A9&amp;",*"),"")</f>
        <v/>
      </c>
      <c r="K9">
        <f>IFERROR((SUMIFS('AEO 2026 Table 23 '!N:N,'AEO 2026 Table 23 '!$B:$B,"*,"&amp;$A9&amp;",*")-SUMIFS('AEO 2026 Table 23 '!M:M,'AEO 2026 Table 23 '!$B:$B,"*,"&amp;$A9&amp;",*"))/SUMIFS('AEO 2026 Table 23 '!M:M,'AEO 2026 Table 23 '!$B:$B,"*,"&amp;$A9&amp;",*"),"")</f>
        <v/>
      </c>
      <c r="L9">
        <f>IFERROR((SUMIFS('AEO 2026 Table 23 '!O:O,'AEO 2026 Table 23 '!$B:$B,"*,"&amp;$A9&amp;",*")-SUMIFS('AEO 2026 Table 23 '!N:N,'AEO 2026 Table 23 '!$B:$B,"*,"&amp;$A9&amp;",*"))/SUMIFS('AEO 2026 Table 23 '!N:N,'AEO 2026 Table 23 '!$B:$B,"*,"&amp;$A9&amp;",*"),"")</f>
        <v/>
      </c>
      <c r="M9">
        <f>IFERROR((SUMIFS('AEO 2026 Table 23 '!P:P,'AEO 2026 Table 23 '!$B:$B,"*,"&amp;$A9&amp;",*")-SUMIFS('AEO 2026 Table 23 '!O:O,'AEO 2026 Table 23 '!$B:$B,"*,"&amp;$A9&amp;",*"))/SUMIFS('AEO 2026 Table 23 '!O:O,'AEO 2026 Table 23 '!$B:$B,"*,"&amp;$A9&amp;",*"),"")</f>
        <v/>
      </c>
      <c r="N9">
        <f>IFERROR((SUMIFS('AEO 2026 Table 23 '!Q:Q,'AEO 2026 Table 23 '!$B:$B,"*,"&amp;$A9&amp;",*")-SUMIFS('AEO 2026 Table 23 '!P:P,'AEO 2026 Table 23 '!$B:$B,"*,"&amp;$A9&amp;",*"))/SUMIFS('AEO 2026 Table 23 '!P:P,'AEO 2026 Table 23 '!$B:$B,"*,"&amp;$A9&amp;",*"),"")</f>
        <v/>
      </c>
      <c r="O9">
        <f>IFERROR((SUMIFS('AEO 2026 Table 23 '!R:R,'AEO 2026 Table 23 '!$B:$B,"*,"&amp;$A9&amp;",*")-SUMIFS('AEO 2026 Table 23 '!Q:Q,'AEO 2026 Table 23 '!$B:$B,"*,"&amp;$A9&amp;",*"))/SUMIFS('AEO 2026 Table 23 '!Q:Q,'AEO 2026 Table 23 '!$B:$B,"*,"&amp;$A9&amp;",*"),"")</f>
        <v/>
      </c>
      <c r="P9">
        <f>IFERROR((SUMIFS('AEO 2026 Table 23 '!S:S,'AEO 2026 Table 23 '!$B:$B,"*,"&amp;$A9&amp;",*")-SUMIFS('AEO 2026 Table 23 '!R:R,'AEO 2026 Table 23 '!$B:$B,"*,"&amp;$A9&amp;",*"))/SUMIFS('AEO 2026 Table 23 '!R:R,'AEO 2026 Table 23 '!$B:$B,"*,"&amp;$A9&amp;",*"),"")</f>
        <v/>
      </c>
      <c r="Q9">
        <f>IFERROR((SUMIFS('AEO 2026 Table 23 '!T:T,'AEO 2026 Table 23 '!$B:$B,"*,"&amp;$A9&amp;",*")-SUMIFS('AEO 2026 Table 23 '!S:S,'AEO 2026 Table 23 '!$B:$B,"*,"&amp;$A9&amp;",*"))/SUMIFS('AEO 2026 Table 23 '!S:S,'AEO 2026 Table 23 '!$B:$B,"*,"&amp;$A9&amp;",*"),"")</f>
        <v/>
      </c>
      <c r="R9">
        <f>IFERROR((SUMIFS('AEO 2026 Table 23 '!U:U,'AEO 2026 Table 23 '!$B:$B,"*,"&amp;$A9&amp;",*")-SUMIFS('AEO 2026 Table 23 '!T:T,'AEO 2026 Table 23 '!$B:$B,"*,"&amp;$A9&amp;",*"))/SUMIFS('AEO 2026 Table 23 '!T:T,'AEO 2026 Table 23 '!$B:$B,"*,"&amp;$A9&amp;",*"),"")</f>
        <v/>
      </c>
      <c r="S9">
        <f>IFERROR((SUMIFS('AEO 2026 Table 23 '!V:V,'AEO 2026 Table 23 '!$B:$B,"*,"&amp;$A9&amp;",*")-SUMIFS('AEO 2026 Table 23 '!U:U,'AEO 2026 Table 23 '!$B:$B,"*,"&amp;$A9&amp;",*"))/SUMIFS('AEO 2026 Table 23 '!U:U,'AEO 2026 Table 23 '!$B:$B,"*,"&amp;$A9&amp;",*"),"")</f>
        <v/>
      </c>
      <c r="T9">
        <f>IFERROR((SUMIFS('AEO 2026 Table 23 '!W:W,'AEO 2026 Table 23 '!$B:$B,"*,"&amp;$A9&amp;",*")-SUMIFS('AEO 2026 Table 23 '!V:V,'AEO 2026 Table 23 '!$B:$B,"*,"&amp;$A9&amp;",*"))/SUMIFS('AEO 2026 Table 23 '!V:V,'AEO 2026 Table 23 '!$B:$B,"*,"&amp;$A9&amp;",*"),"")</f>
        <v/>
      </c>
      <c r="U9">
        <f>IFERROR((SUMIFS('AEO 2026 Table 23 '!X:X,'AEO 2026 Table 23 '!$B:$B,"*,"&amp;$A9&amp;",*")-SUMIFS('AEO 2026 Table 23 '!W:W,'AEO 2026 Table 23 '!$B:$B,"*,"&amp;$A9&amp;",*"))/SUMIFS('AEO 2026 Table 23 '!W:W,'AEO 2026 Table 23 '!$B:$B,"*,"&amp;$A9&amp;",*"),"")</f>
        <v/>
      </c>
      <c r="V9">
        <f>IFERROR((SUMIFS('AEO 2026 Table 23 '!Y:Y,'AEO 2026 Table 23 '!$B:$B,"*,"&amp;$A9&amp;",*")-SUMIFS('AEO 2026 Table 23 '!X:X,'AEO 2026 Table 23 '!$B:$B,"*,"&amp;$A9&amp;",*"))/SUMIFS('AEO 2026 Table 23 '!X:X,'AEO 2026 Table 23 '!$B:$B,"*,"&amp;$A9&amp;",*"),"")</f>
        <v/>
      </c>
      <c r="W9">
        <f>IFERROR((SUMIFS('AEO 2026 Table 23 '!Z:Z,'AEO 2026 Table 23 '!$B:$B,"*,"&amp;$A9&amp;",*")-SUMIFS('AEO 2026 Table 23 '!Y:Y,'AEO 2026 Table 23 '!$B:$B,"*,"&amp;$A9&amp;",*"))/SUMIFS('AEO 2026 Table 23 '!Y:Y,'AEO 2026 Table 23 '!$B:$B,"*,"&amp;$A9&amp;",*"),"")</f>
        <v/>
      </c>
      <c r="X9">
        <f>IFERROR((SUMIFS('AEO 2026 Table 23 '!AA:AA,'AEO 2026 Table 23 '!$B:$B,"*,"&amp;$A9&amp;",*")-SUMIFS('AEO 2026 Table 23 '!Z:Z,'AEO 2026 Table 23 '!$B:$B,"*,"&amp;$A9&amp;",*"))/SUMIFS('AEO 2026 Table 23 '!Z:Z,'AEO 2026 Table 23 '!$B:$B,"*,"&amp;$A9&amp;",*"),"")</f>
        <v/>
      </c>
      <c r="Y9">
        <f>IFERROR((SUMIFS('AEO 2026 Table 23 '!AB:AB,'AEO 2026 Table 23 '!$B:$B,"*,"&amp;$A9&amp;",*")-SUMIFS('AEO 2026 Table 23 '!AA:AA,'AEO 2026 Table 23 '!$B:$B,"*,"&amp;$A9&amp;",*"))/SUMIFS('AEO 2026 Table 23 '!AA:AA,'AEO 2026 Table 23 '!$B:$B,"*,"&amp;$A9&amp;",*"),"")</f>
        <v/>
      </c>
      <c r="Z9">
        <f>IFERROR((SUMIFS('AEO 2026 Table 23 '!AC:AC,'AEO 2026 Table 23 '!$B:$B,"*,"&amp;$A9&amp;",*")-SUMIFS('AEO 2026 Table 23 '!AB:AB,'AEO 2026 Table 23 '!$B:$B,"*,"&amp;$A9&amp;",*"))/SUMIFS('AEO 2026 Table 23 '!AB:AB,'AEO 2026 Table 23 '!$B:$B,"*,"&amp;$A9&amp;",*"),"")</f>
        <v/>
      </c>
      <c r="AA9">
        <f>IFERROR((SUMIFS('AEO 2026 Table 23 '!AD:AD,'AEO 2026 Table 23 '!$B:$B,"*,"&amp;$A9&amp;",*")-SUMIFS('AEO 2026 Table 23 '!AC:AC,'AEO 2026 Table 23 '!$B:$B,"*,"&amp;$A9&amp;",*"))/SUMIFS('AEO 2026 Table 23 '!AC:AC,'AEO 2026 Table 23 '!$B:$B,"*,"&amp;$A9&amp;",*"),"")</f>
        <v/>
      </c>
      <c r="AB9">
        <f>IFERROR((SUMIFS('AEO 2026 Table 23 '!AE:AE,'AEO 2026 Table 23 '!$B:$B,"*,"&amp;$A9&amp;",*")-SUMIFS('AEO 2026 Table 23 '!AD:AD,'AEO 2026 Table 23 '!$B:$B,"*,"&amp;$A9&amp;",*"))/SUMIFS('AEO 2026 Table 23 '!AD:AD,'AEO 2026 Table 23 '!$B:$B,"*,"&amp;$A9&amp;",*"),"")</f>
        <v/>
      </c>
      <c r="AC9">
        <f>IFERROR((SUMIFS('AEO 2026 Table 23 '!AF:AF,'AEO 2026 Table 23 '!$B:$B,"*,"&amp;$A9&amp;",*")-SUMIFS('AEO 2026 Table 23 '!AE:AE,'AEO 2026 Table 23 '!$B:$B,"*,"&amp;$A9&amp;",*"))/SUMIFS('AEO 2026 Table 23 '!AE:AE,'AEO 2026 Table 23 '!$B:$B,"*,"&amp;$A9&amp;",*"),"")</f>
        <v/>
      </c>
    </row>
    <row r="10">
      <c r="A10" t="inlineStr">
        <is>
          <t>ISIC 08</t>
        </is>
      </c>
      <c r="B10">
        <f>IFERROR(SUMPRODUCT(--('BLS Table 2.11'!$L$1:$L$426=$A10),'BLS Table 2.11'!$J$1:$J$426,'BLS Table 2.11'!$K$1:$K$426)/SUMIFS('BLS Table 2.11'!$J$1:$J$426,'BLS Table 2.11'!$L$1:$L$426,$A10)/100,0)</f>
        <v/>
      </c>
      <c r="D10">
        <f>IFERROR((SUMIFS('AEO 2026 Table 23 '!G:G,'AEO 2026 Table 23 '!$B:$B,"*,"&amp;$A10&amp;",*")-SUMIFS('AEO25 Table 23'!H:H,'AEO25 Table 23'!$B:$B,"*,"&amp;$A10&amp;",*"))/SUMIFS('AEO25 Table 23'!H:H,'AEO25 Table 23'!$B:$B,"*,"&amp;$A10&amp;",*"),"")</f>
        <v/>
      </c>
      <c r="E10">
        <f>IFERROR((SUMIFS('AEO 2026 Table 23 '!H:H,'AEO 2026 Table 23 '!$B:$B,"*,"&amp;$A10&amp;",*")-SUMIFS('AEO 2026 Table 23 '!G:G,'AEO 2026 Table 23 '!$B:$B,"*,"&amp;$A10&amp;",*"))/SUMIFS('AEO 2026 Table 23 '!G:G,'AEO 2026 Table 23 '!$B:$B,"*,"&amp;$A10&amp;",*"),"")</f>
        <v/>
      </c>
      <c r="F10">
        <f>IFERROR((SUMIFS('AEO 2026 Table 23 '!I:I,'AEO 2026 Table 23 '!$B:$B,"*,"&amp;$A10&amp;",*")-SUMIFS('AEO 2026 Table 23 '!H:H,'AEO 2026 Table 23 '!$B:$B,"*,"&amp;$A10&amp;",*"))/SUMIFS('AEO 2026 Table 23 '!H:H,'AEO 2026 Table 23 '!$B:$B,"*,"&amp;$A10&amp;",*"),"")</f>
        <v/>
      </c>
      <c r="G10">
        <f>IFERROR((SUMIFS('AEO 2026 Table 23 '!J:J,'AEO 2026 Table 23 '!$B:$B,"*,"&amp;$A10&amp;",*")-SUMIFS('AEO 2026 Table 23 '!I:I,'AEO 2026 Table 23 '!$B:$B,"*,"&amp;$A10&amp;",*"))/SUMIFS('AEO 2026 Table 23 '!I:I,'AEO 2026 Table 23 '!$B:$B,"*,"&amp;$A10&amp;",*"),"")</f>
        <v/>
      </c>
      <c r="H10">
        <f>IFERROR((SUMIFS('AEO 2026 Table 23 '!K:K,'AEO 2026 Table 23 '!$B:$B,"*,"&amp;$A10&amp;",*")-SUMIFS('AEO 2026 Table 23 '!J:J,'AEO 2026 Table 23 '!$B:$B,"*,"&amp;$A10&amp;",*"))/SUMIFS('AEO 2026 Table 23 '!J:J,'AEO 2026 Table 23 '!$B:$B,"*,"&amp;$A10&amp;",*"),"")</f>
        <v/>
      </c>
      <c r="I10">
        <f>IFERROR((SUMIFS('AEO 2026 Table 23 '!L:L,'AEO 2026 Table 23 '!$B:$B,"*,"&amp;$A10&amp;",*")-SUMIFS('AEO 2026 Table 23 '!K:K,'AEO 2026 Table 23 '!$B:$B,"*,"&amp;$A10&amp;",*"))/SUMIFS('AEO 2026 Table 23 '!K:K,'AEO 2026 Table 23 '!$B:$B,"*,"&amp;$A10&amp;",*"),"")</f>
        <v/>
      </c>
      <c r="J10">
        <f>IFERROR((SUMIFS('AEO 2026 Table 23 '!M:M,'AEO 2026 Table 23 '!$B:$B,"*,"&amp;$A10&amp;",*")-SUMIFS('AEO 2026 Table 23 '!L:L,'AEO 2026 Table 23 '!$B:$B,"*,"&amp;$A10&amp;",*"))/SUMIFS('AEO 2026 Table 23 '!L:L,'AEO 2026 Table 23 '!$B:$B,"*,"&amp;$A10&amp;",*"),"")</f>
        <v/>
      </c>
      <c r="K10">
        <f>IFERROR((SUMIFS('AEO 2026 Table 23 '!N:N,'AEO 2026 Table 23 '!$B:$B,"*,"&amp;$A10&amp;",*")-SUMIFS('AEO 2026 Table 23 '!M:M,'AEO 2026 Table 23 '!$B:$B,"*,"&amp;$A10&amp;",*"))/SUMIFS('AEO 2026 Table 23 '!M:M,'AEO 2026 Table 23 '!$B:$B,"*,"&amp;$A10&amp;",*"),"")</f>
        <v/>
      </c>
      <c r="L10">
        <f>IFERROR((SUMIFS('AEO 2026 Table 23 '!O:O,'AEO 2026 Table 23 '!$B:$B,"*,"&amp;$A10&amp;",*")-SUMIFS('AEO 2026 Table 23 '!N:N,'AEO 2026 Table 23 '!$B:$B,"*,"&amp;$A10&amp;",*"))/SUMIFS('AEO 2026 Table 23 '!N:N,'AEO 2026 Table 23 '!$B:$B,"*,"&amp;$A10&amp;",*"),"")</f>
        <v/>
      </c>
      <c r="M10">
        <f>IFERROR((SUMIFS('AEO 2026 Table 23 '!P:P,'AEO 2026 Table 23 '!$B:$B,"*,"&amp;$A10&amp;",*")-SUMIFS('AEO 2026 Table 23 '!O:O,'AEO 2026 Table 23 '!$B:$B,"*,"&amp;$A10&amp;",*"))/SUMIFS('AEO 2026 Table 23 '!O:O,'AEO 2026 Table 23 '!$B:$B,"*,"&amp;$A10&amp;",*"),"")</f>
        <v/>
      </c>
      <c r="N10">
        <f>IFERROR((SUMIFS('AEO 2026 Table 23 '!Q:Q,'AEO 2026 Table 23 '!$B:$B,"*,"&amp;$A10&amp;",*")-SUMIFS('AEO 2026 Table 23 '!P:P,'AEO 2026 Table 23 '!$B:$B,"*,"&amp;$A10&amp;",*"))/SUMIFS('AEO 2026 Table 23 '!P:P,'AEO 2026 Table 23 '!$B:$B,"*,"&amp;$A10&amp;",*"),"")</f>
        <v/>
      </c>
      <c r="O10">
        <f>IFERROR((SUMIFS('AEO 2026 Table 23 '!R:R,'AEO 2026 Table 23 '!$B:$B,"*,"&amp;$A10&amp;",*")-SUMIFS('AEO 2026 Table 23 '!Q:Q,'AEO 2026 Table 23 '!$B:$B,"*,"&amp;$A10&amp;",*"))/SUMIFS('AEO 2026 Table 23 '!Q:Q,'AEO 2026 Table 23 '!$B:$B,"*,"&amp;$A10&amp;",*"),"")</f>
        <v/>
      </c>
      <c r="P10">
        <f>IFERROR((SUMIFS('AEO 2026 Table 23 '!S:S,'AEO 2026 Table 23 '!$B:$B,"*,"&amp;$A10&amp;",*")-SUMIFS('AEO 2026 Table 23 '!R:R,'AEO 2026 Table 23 '!$B:$B,"*,"&amp;$A10&amp;",*"))/SUMIFS('AEO 2026 Table 23 '!R:R,'AEO 2026 Table 23 '!$B:$B,"*,"&amp;$A10&amp;",*"),"")</f>
        <v/>
      </c>
      <c r="Q10">
        <f>IFERROR((SUMIFS('AEO 2026 Table 23 '!T:T,'AEO 2026 Table 23 '!$B:$B,"*,"&amp;$A10&amp;",*")-SUMIFS('AEO 2026 Table 23 '!S:S,'AEO 2026 Table 23 '!$B:$B,"*,"&amp;$A10&amp;",*"))/SUMIFS('AEO 2026 Table 23 '!S:S,'AEO 2026 Table 23 '!$B:$B,"*,"&amp;$A10&amp;",*"),"")</f>
        <v/>
      </c>
      <c r="R10">
        <f>IFERROR((SUMIFS('AEO 2026 Table 23 '!U:U,'AEO 2026 Table 23 '!$B:$B,"*,"&amp;$A10&amp;",*")-SUMIFS('AEO 2026 Table 23 '!T:T,'AEO 2026 Table 23 '!$B:$B,"*,"&amp;$A10&amp;",*"))/SUMIFS('AEO 2026 Table 23 '!T:T,'AEO 2026 Table 23 '!$B:$B,"*,"&amp;$A10&amp;",*"),"")</f>
        <v/>
      </c>
      <c r="S10">
        <f>IFERROR((SUMIFS('AEO 2026 Table 23 '!V:V,'AEO 2026 Table 23 '!$B:$B,"*,"&amp;$A10&amp;",*")-SUMIFS('AEO 2026 Table 23 '!U:U,'AEO 2026 Table 23 '!$B:$B,"*,"&amp;$A10&amp;",*"))/SUMIFS('AEO 2026 Table 23 '!U:U,'AEO 2026 Table 23 '!$B:$B,"*,"&amp;$A10&amp;",*"),"")</f>
        <v/>
      </c>
      <c r="T10">
        <f>IFERROR((SUMIFS('AEO 2026 Table 23 '!W:W,'AEO 2026 Table 23 '!$B:$B,"*,"&amp;$A10&amp;",*")-SUMIFS('AEO 2026 Table 23 '!V:V,'AEO 2026 Table 23 '!$B:$B,"*,"&amp;$A10&amp;",*"))/SUMIFS('AEO 2026 Table 23 '!V:V,'AEO 2026 Table 23 '!$B:$B,"*,"&amp;$A10&amp;",*"),"")</f>
        <v/>
      </c>
      <c r="U10">
        <f>IFERROR((SUMIFS('AEO 2026 Table 23 '!X:X,'AEO 2026 Table 23 '!$B:$B,"*,"&amp;$A10&amp;",*")-SUMIFS('AEO 2026 Table 23 '!W:W,'AEO 2026 Table 23 '!$B:$B,"*,"&amp;$A10&amp;",*"))/SUMIFS('AEO 2026 Table 23 '!W:W,'AEO 2026 Table 23 '!$B:$B,"*,"&amp;$A10&amp;",*"),"")</f>
        <v/>
      </c>
      <c r="V10">
        <f>IFERROR((SUMIFS('AEO 2026 Table 23 '!Y:Y,'AEO 2026 Table 23 '!$B:$B,"*,"&amp;$A10&amp;",*")-SUMIFS('AEO 2026 Table 23 '!X:X,'AEO 2026 Table 23 '!$B:$B,"*,"&amp;$A10&amp;",*"))/SUMIFS('AEO 2026 Table 23 '!X:X,'AEO 2026 Table 23 '!$B:$B,"*,"&amp;$A10&amp;",*"),"")</f>
        <v/>
      </c>
      <c r="W10">
        <f>IFERROR((SUMIFS('AEO 2026 Table 23 '!Z:Z,'AEO 2026 Table 23 '!$B:$B,"*,"&amp;$A10&amp;",*")-SUMIFS('AEO 2026 Table 23 '!Y:Y,'AEO 2026 Table 23 '!$B:$B,"*,"&amp;$A10&amp;",*"))/SUMIFS('AEO 2026 Table 23 '!Y:Y,'AEO 2026 Table 23 '!$B:$B,"*,"&amp;$A10&amp;",*"),"")</f>
        <v/>
      </c>
      <c r="X10">
        <f>IFERROR((SUMIFS('AEO 2026 Table 23 '!AA:AA,'AEO 2026 Table 23 '!$B:$B,"*,"&amp;$A10&amp;",*")-SUMIFS('AEO 2026 Table 23 '!Z:Z,'AEO 2026 Table 23 '!$B:$B,"*,"&amp;$A10&amp;",*"))/SUMIFS('AEO 2026 Table 23 '!Z:Z,'AEO 2026 Table 23 '!$B:$B,"*,"&amp;$A10&amp;",*"),"")</f>
        <v/>
      </c>
      <c r="Y10">
        <f>IFERROR((SUMIFS('AEO 2026 Table 23 '!AB:AB,'AEO 2026 Table 23 '!$B:$B,"*,"&amp;$A10&amp;",*")-SUMIFS('AEO 2026 Table 23 '!AA:AA,'AEO 2026 Table 23 '!$B:$B,"*,"&amp;$A10&amp;",*"))/SUMIFS('AEO 2026 Table 23 '!AA:AA,'AEO 2026 Table 23 '!$B:$B,"*,"&amp;$A10&amp;",*"),"")</f>
        <v/>
      </c>
      <c r="Z10">
        <f>IFERROR((SUMIFS('AEO 2026 Table 23 '!AC:AC,'AEO 2026 Table 23 '!$B:$B,"*,"&amp;$A10&amp;",*")-SUMIFS('AEO 2026 Table 23 '!AB:AB,'AEO 2026 Table 23 '!$B:$B,"*,"&amp;$A10&amp;",*"))/SUMIFS('AEO 2026 Table 23 '!AB:AB,'AEO 2026 Table 23 '!$B:$B,"*,"&amp;$A10&amp;",*"),"")</f>
        <v/>
      </c>
      <c r="AA10">
        <f>IFERROR((SUMIFS('AEO 2026 Table 23 '!AD:AD,'AEO 2026 Table 23 '!$B:$B,"*,"&amp;$A10&amp;",*")-SUMIFS('AEO 2026 Table 23 '!AC:AC,'AEO 2026 Table 23 '!$B:$B,"*,"&amp;$A10&amp;",*"))/SUMIFS('AEO 2026 Table 23 '!AC:AC,'AEO 2026 Table 23 '!$B:$B,"*,"&amp;$A10&amp;",*"),"")</f>
        <v/>
      </c>
      <c r="AB10">
        <f>IFERROR((SUMIFS('AEO 2026 Table 23 '!AE:AE,'AEO 2026 Table 23 '!$B:$B,"*,"&amp;$A10&amp;",*")-SUMIFS('AEO 2026 Table 23 '!AD:AD,'AEO 2026 Table 23 '!$B:$B,"*,"&amp;$A10&amp;",*"))/SUMIFS('AEO 2026 Table 23 '!AD:AD,'AEO 2026 Table 23 '!$B:$B,"*,"&amp;$A10&amp;",*"),"")</f>
        <v/>
      </c>
      <c r="AC10">
        <f>IFERROR((SUMIFS('AEO 2026 Table 23 '!AF:AF,'AEO 2026 Table 23 '!$B:$B,"*,"&amp;$A10&amp;",*")-SUMIFS('AEO 2026 Table 23 '!AE:AE,'AEO 2026 Table 23 '!$B:$B,"*,"&amp;$A10&amp;",*"))/SUMIFS('AEO 2026 Table 23 '!AE:AE,'AEO 2026 Table 23 '!$B:$B,"*,"&amp;$A10&amp;",*"),"")</f>
        <v/>
      </c>
    </row>
    <row r="11">
      <c r="A11" t="inlineStr">
        <is>
          <t>ISIC 09</t>
        </is>
      </c>
      <c r="B11">
        <f>IFERROR(SUMPRODUCT(--('BLS Table 2.11'!$L$1:$L$426=$A11),'BLS Table 2.11'!$J$1:$J$426,'BLS Table 2.11'!$K$1:$K$426)/SUMIFS('BLS Table 2.11'!$J$1:$J$426,'BLS Table 2.11'!$L$1:$L$426,$A11)/100,0)</f>
        <v/>
      </c>
      <c r="D11">
        <f>IFERROR((SUMIFS('AEO 2026 Table 23 '!G:G,'AEO 2026 Table 23 '!$B:$B,"*,"&amp;$A11&amp;",*")-SUMIFS('AEO25 Table 23'!H:H,'AEO25 Table 23'!$B:$B,"*,"&amp;$A11&amp;",*"))/SUMIFS('AEO25 Table 23'!H:H,'AEO25 Table 23'!$B:$B,"*,"&amp;$A11&amp;",*"),"")</f>
        <v/>
      </c>
      <c r="E11">
        <f>IFERROR((SUMIFS('AEO 2026 Table 23 '!H:H,'AEO 2026 Table 23 '!$B:$B,"*,"&amp;$A11&amp;",*")-SUMIFS('AEO 2026 Table 23 '!G:G,'AEO 2026 Table 23 '!$B:$B,"*,"&amp;$A11&amp;",*"))/SUMIFS('AEO 2026 Table 23 '!G:G,'AEO 2026 Table 23 '!$B:$B,"*,"&amp;$A11&amp;",*"),"")</f>
        <v/>
      </c>
      <c r="F11">
        <f>IFERROR((SUMIFS('AEO 2026 Table 23 '!I:I,'AEO 2026 Table 23 '!$B:$B,"*,"&amp;$A11&amp;",*")-SUMIFS('AEO 2026 Table 23 '!H:H,'AEO 2026 Table 23 '!$B:$B,"*,"&amp;$A11&amp;",*"))/SUMIFS('AEO 2026 Table 23 '!H:H,'AEO 2026 Table 23 '!$B:$B,"*,"&amp;$A11&amp;",*"),"")</f>
        <v/>
      </c>
      <c r="G11">
        <f>IFERROR((SUMIFS('AEO 2026 Table 23 '!J:J,'AEO 2026 Table 23 '!$B:$B,"*,"&amp;$A11&amp;",*")-SUMIFS('AEO 2026 Table 23 '!I:I,'AEO 2026 Table 23 '!$B:$B,"*,"&amp;$A11&amp;",*"))/SUMIFS('AEO 2026 Table 23 '!I:I,'AEO 2026 Table 23 '!$B:$B,"*,"&amp;$A11&amp;",*"),"")</f>
        <v/>
      </c>
      <c r="H11">
        <f>IFERROR((SUMIFS('AEO 2026 Table 23 '!K:K,'AEO 2026 Table 23 '!$B:$B,"*,"&amp;$A11&amp;",*")-SUMIFS('AEO 2026 Table 23 '!J:J,'AEO 2026 Table 23 '!$B:$B,"*,"&amp;$A11&amp;",*"))/SUMIFS('AEO 2026 Table 23 '!J:J,'AEO 2026 Table 23 '!$B:$B,"*,"&amp;$A11&amp;",*"),"")</f>
        <v/>
      </c>
      <c r="I11">
        <f>IFERROR((SUMIFS('AEO 2026 Table 23 '!L:L,'AEO 2026 Table 23 '!$B:$B,"*,"&amp;$A11&amp;",*")-SUMIFS('AEO 2026 Table 23 '!K:K,'AEO 2026 Table 23 '!$B:$B,"*,"&amp;$A11&amp;",*"))/SUMIFS('AEO 2026 Table 23 '!K:K,'AEO 2026 Table 23 '!$B:$B,"*,"&amp;$A11&amp;",*"),"")</f>
        <v/>
      </c>
      <c r="J11">
        <f>IFERROR((SUMIFS('AEO 2026 Table 23 '!M:M,'AEO 2026 Table 23 '!$B:$B,"*,"&amp;$A11&amp;",*")-SUMIFS('AEO 2026 Table 23 '!L:L,'AEO 2026 Table 23 '!$B:$B,"*,"&amp;$A11&amp;",*"))/SUMIFS('AEO 2026 Table 23 '!L:L,'AEO 2026 Table 23 '!$B:$B,"*,"&amp;$A11&amp;",*"),"")</f>
        <v/>
      </c>
      <c r="K11">
        <f>IFERROR((SUMIFS('AEO 2026 Table 23 '!N:N,'AEO 2026 Table 23 '!$B:$B,"*,"&amp;$A11&amp;",*")-SUMIFS('AEO 2026 Table 23 '!M:M,'AEO 2026 Table 23 '!$B:$B,"*,"&amp;$A11&amp;",*"))/SUMIFS('AEO 2026 Table 23 '!M:M,'AEO 2026 Table 23 '!$B:$B,"*,"&amp;$A11&amp;",*"),"")</f>
        <v/>
      </c>
      <c r="L11">
        <f>IFERROR((SUMIFS('AEO 2026 Table 23 '!O:O,'AEO 2026 Table 23 '!$B:$B,"*,"&amp;$A11&amp;",*")-SUMIFS('AEO 2026 Table 23 '!N:N,'AEO 2026 Table 23 '!$B:$B,"*,"&amp;$A11&amp;",*"))/SUMIFS('AEO 2026 Table 23 '!N:N,'AEO 2026 Table 23 '!$B:$B,"*,"&amp;$A11&amp;",*"),"")</f>
        <v/>
      </c>
      <c r="M11">
        <f>IFERROR((SUMIFS('AEO 2026 Table 23 '!P:P,'AEO 2026 Table 23 '!$B:$B,"*,"&amp;$A11&amp;",*")-SUMIFS('AEO 2026 Table 23 '!O:O,'AEO 2026 Table 23 '!$B:$B,"*,"&amp;$A11&amp;",*"))/SUMIFS('AEO 2026 Table 23 '!O:O,'AEO 2026 Table 23 '!$B:$B,"*,"&amp;$A11&amp;",*"),"")</f>
        <v/>
      </c>
      <c r="N11">
        <f>IFERROR((SUMIFS('AEO 2026 Table 23 '!Q:Q,'AEO 2026 Table 23 '!$B:$B,"*,"&amp;$A11&amp;",*")-SUMIFS('AEO 2026 Table 23 '!P:P,'AEO 2026 Table 23 '!$B:$B,"*,"&amp;$A11&amp;",*"))/SUMIFS('AEO 2026 Table 23 '!P:P,'AEO 2026 Table 23 '!$B:$B,"*,"&amp;$A11&amp;",*"),"")</f>
        <v/>
      </c>
      <c r="O11">
        <f>IFERROR((SUMIFS('AEO 2026 Table 23 '!R:R,'AEO 2026 Table 23 '!$B:$B,"*,"&amp;$A11&amp;",*")-SUMIFS('AEO 2026 Table 23 '!Q:Q,'AEO 2026 Table 23 '!$B:$B,"*,"&amp;$A11&amp;",*"))/SUMIFS('AEO 2026 Table 23 '!Q:Q,'AEO 2026 Table 23 '!$B:$B,"*,"&amp;$A11&amp;",*"),"")</f>
        <v/>
      </c>
      <c r="P11">
        <f>IFERROR((SUMIFS('AEO 2026 Table 23 '!S:S,'AEO 2026 Table 23 '!$B:$B,"*,"&amp;$A11&amp;",*")-SUMIFS('AEO 2026 Table 23 '!R:R,'AEO 2026 Table 23 '!$B:$B,"*,"&amp;$A11&amp;",*"))/SUMIFS('AEO 2026 Table 23 '!R:R,'AEO 2026 Table 23 '!$B:$B,"*,"&amp;$A11&amp;",*"),"")</f>
        <v/>
      </c>
      <c r="Q11">
        <f>IFERROR((SUMIFS('AEO 2026 Table 23 '!T:T,'AEO 2026 Table 23 '!$B:$B,"*,"&amp;$A11&amp;",*")-SUMIFS('AEO 2026 Table 23 '!S:S,'AEO 2026 Table 23 '!$B:$B,"*,"&amp;$A11&amp;",*"))/SUMIFS('AEO 2026 Table 23 '!S:S,'AEO 2026 Table 23 '!$B:$B,"*,"&amp;$A11&amp;",*"),"")</f>
        <v/>
      </c>
      <c r="R11">
        <f>IFERROR((SUMIFS('AEO 2026 Table 23 '!U:U,'AEO 2026 Table 23 '!$B:$B,"*,"&amp;$A11&amp;",*")-SUMIFS('AEO 2026 Table 23 '!T:T,'AEO 2026 Table 23 '!$B:$B,"*,"&amp;$A11&amp;",*"))/SUMIFS('AEO 2026 Table 23 '!T:T,'AEO 2026 Table 23 '!$B:$B,"*,"&amp;$A11&amp;",*"),"")</f>
        <v/>
      </c>
      <c r="S11">
        <f>IFERROR((SUMIFS('AEO 2026 Table 23 '!V:V,'AEO 2026 Table 23 '!$B:$B,"*,"&amp;$A11&amp;",*")-SUMIFS('AEO 2026 Table 23 '!U:U,'AEO 2026 Table 23 '!$B:$B,"*,"&amp;$A11&amp;",*"))/SUMIFS('AEO 2026 Table 23 '!U:U,'AEO 2026 Table 23 '!$B:$B,"*,"&amp;$A11&amp;",*"),"")</f>
        <v/>
      </c>
      <c r="T11">
        <f>IFERROR((SUMIFS('AEO 2026 Table 23 '!W:W,'AEO 2026 Table 23 '!$B:$B,"*,"&amp;$A11&amp;",*")-SUMIFS('AEO 2026 Table 23 '!V:V,'AEO 2026 Table 23 '!$B:$B,"*,"&amp;$A11&amp;",*"))/SUMIFS('AEO 2026 Table 23 '!V:V,'AEO 2026 Table 23 '!$B:$B,"*,"&amp;$A11&amp;",*"),"")</f>
        <v/>
      </c>
      <c r="U11">
        <f>IFERROR((SUMIFS('AEO 2026 Table 23 '!X:X,'AEO 2026 Table 23 '!$B:$B,"*,"&amp;$A11&amp;",*")-SUMIFS('AEO 2026 Table 23 '!W:W,'AEO 2026 Table 23 '!$B:$B,"*,"&amp;$A11&amp;",*"))/SUMIFS('AEO 2026 Table 23 '!W:W,'AEO 2026 Table 23 '!$B:$B,"*,"&amp;$A11&amp;",*"),"")</f>
        <v/>
      </c>
      <c r="V11">
        <f>IFERROR((SUMIFS('AEO 2026 Table 23 '!Y:Y,'AEO 2026 Table 23 '!$B:$B,"*,"&amp;$A11&amp;",*")-SUMIFS('AEO 2026 Table 23 '!X:X,'AEO 2026 Table 23 '!$B:$B,"*,"&amp;$A11&amp;",*"))/SUMIFS('AEO 2026 Table 23 '!X:X,'AEO 2026 Table 23 '!$B:$B,"*,"&amp;$A11&amp;",*"),"")</f>
        <v/>
      </c>
      <c r="W11">
        <f>IFERROR((SUMIFS('AEO 2026 Table 23 '!Z:Z,'AEO 2026 Table 23 '!$B:$B,"*,"&amp;$A11&amp;",*")-SUMIFS('AEO 2026 Table 23 '!Y:Y,'AEO 2026 Table 23 '!$B:$B,"*,"&amp;$A11&amp;",*"))/SUMIFS('AEO 2026 Table 23 '!Y:Y,'AEO 2026 Table 23 '!$B:$B,"*,"&amp;$A11&amp;",*"),"")</f>
        <v/>
      </c>
      <c r="X11">
        <f>IFERROR((SUMIFS('AEO 2026 Table 23 '!AA:AA,'AEO 2026 Table 23 '!$B:$B,"*,"&amp;$A11&amp;",*")-SUMIFS('AEO 2026 Table 23 '!Z:Z,'AEO 2026 Table 23 '!$B:$B,"*,"&amp;$A11&amp;",*"))/SUMIFS('AEO 2026 Table 23 '!Z:Z,'AEO 2026 Table 23 '!$B:$B,"*,"&amp;$A11&amp;",*"),"")</f>
        <v/>
      </c>
      <c r="Y11">
        <f>IFERROR((SUMIFS('AEO 2026 Table 23 '!AB:AB,'AEO 2026 Table 23 '!$B:$B,"*,"&amp;$A11&amp;",*")-SUMIFS('AEO 2026 Table 23 '!AA:AA,'AEO 2026 Table 23 '!$B:$B,"*,"&amp;$A11&amp;",*"))/SUMIFS('AEO 2026 Table 23 '!AA:AA,'AEO 2026 Table 23 '!$B:$B,"*,"&amp;$A11&amp;",*"),"")</f>
        <v/>
      </c>
      <c r="Z11">
        <f>IFERROR((SUMIFS('AEO 2026 Table 23 '!AC:AC,'AEO 2026 Table 23 '!$B:$B,"*,"&amp;$A11&amp;",*")-SUMIFS('AEO 2026 Table 23 '!AB:AB,'AEO 2026 Table 23 '!$B:$B,"*,"&amp;$A11&amp;",*"))/SUMIFS('AEO 2026 Table 23 '!AB:AB,'AEO 2026 Table 23 '!$B:$B,"*,"&amp;$A11&amp;",*"),"")</f>
        <v/>
      </c>
      <c r="AA11">
        <f>IFERROR((SUMIFS('AEO 2026 Table 23 '!AD:AD,'AEO 2026 Table 23 '!$B:$B,"*,"&amp;$A11&amp;",*")-SUMIFS('AEO 2026 Table 23 '!AC:AC,'AEO 2026 Table 23 '!$B:$B,"*,"&amp;$A11&amp;",*"))/SUMIFS('AEO 2026 Table 23 '!AC:AC,'AEO 2026 Table 23 '!$B:$B,"*,"&amp;$A11&amp;",*"),"")</f>
        <v/>
      </c>
      <c r="AB11">
        <f>IFERROR((SUMIFS('AEO 2026 Table 23 '!AE:AE,'AEO 2026 Table 23 '!$B:$B,"*,"&amp;$A11&amp;",*")-SUMIFS('AEO 2026 Table 23 '!AD:AD,'AEO 2026 Table 23 '!$B:$B,"*,"&amp;$A11&amp;",*"))/SUMIFS('AEO 2026 Table 23 '!AD:AD,'AEO 2026 Table 23 '!$B:$B,"*,"&amp;$A11&amp;",*"),"")</f>
        <v/>
      </c>
      <c r="AC11">
        <f>IFERROR((SUMIFS('AEO 2026 Table 23 '!AF:AF,'AEO 2026 Table 23 '!$B:$B,"*,"&amp;$A11&amp;",*")-SUMIFS('AEO 2026 Table 23 '!AE:AE,'AEO 2026 Table 23 '!$B:$B,"*,"&amp;$A11&amp;",*"))/SUMIFS('AEO 2026 Table 23 '!AE:AE,'AEO 2026 Table 23 '!$B:$B,"*,"&amp;$A11&amp;",*"),"")</f>
        <v/>
      </c>
    </row>
    <row r="12">
      <c r="A12" t="inlineStr">
        <is>
          <t>ISIC 10T12</t>
        </is>
      </c>
      <c r="B12">
        <f>IFERROR(SUMPRODUCT(--('BLS Table 2.11'!$L$1:$L$426=$A12),'BLS Table 2.11'!$J$1:$J$426,'BLS Table 2.11'!$K$1:$K$426)/SUMIFS('BLS Table 2.11'!$J$1:$J$426,'BLS Table 2.11'!$L$1:$L$426,$A12)/100,0)</f>
        <v/>
      </c>
      <c r="D12">
        <f>IFERROR((SUMIFS('AEO 2026 Table 23 '!G:G,'AEO 2026 Table 23 '!$B:$B,"*,"&amp;$A12&amp;",*")-SUMIFS('AEO25 Table 23'!H:H,'AEO25 Table 23'!$B:$B,"*,"&amp;$A12&amp;",*"))/SUMIFS('AEO25 Table 23'!H:H,'AEO25 Table 23'!$B:$B,"*,"&amp;$A12&amp;",*"),"")</f>
        <v/>
      </c>
      <c r="E12">
        <f>IFERROR((SUMIFS('AEO 2026 Table 23 '!H:H,'AEO 2026 Table 23 '!$B:$B,"*,"&amp;$A12&amp;",*")-SUMIFS('AEO 2026 Table 23 '!G:G,'AEO 2026 Table 23 '!$B:$B,"*,"&amp;$A12&amp;",*"))/SUMIFS('AEO 2026 Table 23 '!G:G,'AEO 2026 Table 23 '!$B:$B,"*,"&amp;$A12&amp;",*"),"")</f>
        <v/>
      </c>
      <c r="F12">
        <f>IFERROR((SUMIFS('AEO 2026 Table 23 '!I:I,'AEO 2026 Table 23 '!$B:$B,"*,"&amp;$A12&amp;",*")-SUMIFS('AEO 2026 Table 23 '!H:H,'AEO 2026 Table 23 '!$B:$B,"*,"&amp;$A12&amp;",*"))/SUMIFS('AEO 2026 Table 23 '!H:H,'AEO 2026 Table 23 '!$B:$B,"*,"&amp;$A12&amp;",*"),"")</f>
        <v/>
      </c>
      <c r="G12">
        <f>IFERROR((SUMIFS('AEO 2026 Table 23 '!J:J,'AEO 2026 Table 23 '!$B:$B,"*,"&amp;$A12&amp;",*")-SUMIFS('AEO 2026 Table 23 '!I:I,'AEO 2026 Table 23 '!$B:$B,"*,"&amp;$A12&amp;",*"))/SUMIFS('AEO 2026 Table 23 '!I:I,'AEO 2026 Table 23 '!$B:$B,"*,"&amp;$A12&amp;",*"),"")</f>
        <v/>
      </c>
      <c r="H12">
        <f>IFERROR((SUMIFS('AEO 2026 Table 23 '!K:K,'AEO 2026 Table 23 '!$B:$B,"*,"&amp;$A12&amp;",*")-SUMIFS('AEO 2026 Table 23 '!J:J,'AEO 2026 Table 23 '!$B:$B,"*,"&amp;$A12&amp;",*"))/SUMIFS('AEO 2026 Table 23 '!J:J,'AEO 2026 Table 23 '!$B:$B,"*,"&amp;$A12&amp;",*"),"")</f>
        <v/>
      </c>
      <c r="I12">
        <f>IFERROR((SUMIFS('AEO 2026 Table 23 '!L:L,'AEO 2026 Table 23 '!$B:$B,"*,"&amp;$A12&amp;",*")-SUMIFS('AEO 2026 Table 23 '!K:K,'AEO 2026 Table 23 '!$B:$B,"*,"&amp;$A12&amp;",*"))/SUMIFS('AEO 2026 Table 23 '!K:K,'AEO 2026 Table 23 '!$B:$B,"*,"&amp;$A12&amp;",*"),"")</f>
        <v/>
      </c>
      <c r="J12">
        <f>IFERROR((SUMIFS('AEO 2026 Table 23 '!M:M,'AEO 2026 Table 23 '!$B:$B,"*,"&amp;$A12&amp;",*")-SUMIFS('AEO 2026 Table 23 '!L:L,'AEO 2026 Table 23 '!$B:$B,"*,"&amp;$A12&amp;",*"))/SUMIFS('AEO 2026 Table 23 '!L:L,'AEO 2026 Table 23 '!$B:$B,"*,"&amp;$A12&amp;",*"),"")</f>
        <v/>
      </c>
      <c r="K12">
        <f>IFERROR((SUMIFS('AEO 2026 Table 23 '!N:N,'AEO 2026 Table 23 '!$B:$B,"*,"&amp;$A12&amp;",*")-SUMIFS('AEO 2026 Table 23 '!M:M,'AEO 2026 Table 23 '!$B:$B,"*,"&amp;$A12&amp;",*"))/SUMIFS('AEO 2026 Table 23 '!M:M,'AEO 2026 Table 23 '!$B:$B,"*,"&amp;$A12&amp;",*"),"")</f>
        <v/>
      </c>
      <c r="L12">
        <f>IFERROR((SUMIFS('AEO 2026 Table 23 '!O:O,'AEO 2026 Table 23 '!$B:$B,"*,"&amp;$A12&amp;",*")-SUMIFS('AEO 2026 Table 23 '!N:N,'AEO 2026 Table 23 '!$B:$B,"*,"&amp;$A12&amp;",*"))/SUMIFS('AEO 2026 Table 23 '!N:N,'AEO 2026 Table 23 '!$B:$B,"*,"&amp;$A12&amp;",*"),"")</f>
        <v/>
      </c>
      <c r="M12">
        <f>IFERROR((SUMIFS('AEO 2026 Table 23 '!P:P,'AEO 2026 Table 23 '!$B:$B,"*,"&amp;$A12&amp;",*")-SUMIFS('AEO 2026 Table 23 '!O:O,'AEO 2026 Table 23 '!$B:$B,"*,"&amp;$A12&amp;",*"))/SUMIFS('AEO 2026 Table 23 '!O:O,'AEO 2026 Table 23 '!$B:$B,"*,"&amp;$A12&amp;",*"),"")</f>
        <v/>
      </c>
      <c r="N12">
        <f>IFERROR((SUMIFS('AEO 2026 Table 23 '!Q:Q,'AEO 2026 Table 23 '!$B:$B,"*,"&amp;$A12&amp;",*")-SUMIFS('AEO 2026 Table 23 '!P:P,'AEO 2026 Table 23 '!$B:$B,"*,"&amp;$A12&amp;",*"))/SUMIFS('AEO 2026 Table 23 '!P:P,'AEO 2026 Table 23 '!$B:$B,"*,"&amp;$A12&amp;",*"),"")</f>
        <v/>
      </c>
      <c r="O12">
        <f>IFERROR((SUMIFS('AEO 2026 Table 23 '!R:R,'AEO 2026 Table 23 '!$B:$B,"*,"&amp;$A12&amp;",*")-SUMIFS('AEO 2026 Table 23 '!Q:Q,'AEO 2026 Table 23 '!$B:$B,"*,"&amp;$A12&amp;",*"))/SUMIFS('AEO 2026 Table 23 '!Q:Q,'AEO 2026 Table 23 '!$B:$B,"*,"&amp;$A12&amp;",*"),"")</f>
        <v/>
      </c>
      <c r="P12">
        <f>IFERROR((SUMIFS('AEO 2026 Table 23 '!S:S,'AEO 2026 Table 23 '!$B:$B,"*,"&amp;$A12&amp;",*")-SUMIFS('AEO 2026 Table 23 '!R:R,'AEO 2026 Table 23 '!$B:$B,"*,"&amp;$A12&amp;",*"))/SUMIFS('AEO 2026 Table 23 '!R:R,'AEO 2026 Table 23 '!$B:$B,"*,"&amp;$A12&amp;",*"),"")</f>
        <v/>
      </c>
      <c r="Q12">
        <f>IFERROR((SUMIFS('AEO 2026 Table 23 '!T:T,'AEO 2026 Table 23 '!$B:$B,"*,"&amp;$A12&amp;",*")-SUMIFS('AEO 2026 Table 23 '!S:S,'AEO 2026 Table 23 '!$B:$B,"*,"&amp;$A12&amp;",*"))/SUMIFS('AEO 2026 Table 23 '!S:S,'AEO 2026 Table 23 '!$B:$B,"*,"&amp;$A12&amp;",*"),"")</f>
        <v/>
      </c>
      <c r="R12">
        <f>IFERROR((SUMIFS('AEO 2026 Table 23 '!U:U,'AEO 2026 Table 23 '!$B:$B,"*,"&amp;$A12&amp;",*")-SUMIFS('AEO 2026 Table 23 '!T:T,'AEO 2026 Table 23 '!$B:$B,"*,"&amp;$A12&amp;",*"))/SUMIFS('AEO 2026 Table 23 '!T:T,'AEO 2026 Table 23 '!$B:$B,"*,"&amp;$A12&amp;",*"),"")</f>
        <v/>
      </c>
      <c r="S12">
        <f>IFERROR((SUMIFS('AEO 2026 Table 23 '!V:V,'AEO 2026 Table 23 '!$B:$B,"*,"&amp;$A12&amp;",*")-SUMIFS('AEO 2026 Table 23 '!U:U,'AEO 2026 Table 23 '!$B:$B,"*,"&amp;$A12&amp;",*"))/SUMIFS('AEO 2026 Table 23 '!U:U,'AEO 2026 Table 23 '!$B:$B,"*,"&amp;$A12&amp;",*"),"")</f>
        <v/>
      </c>
      <c r="T12">
        <f>IFERROR((SUMIFS('AEO 2026 Table 23 '!W:W,'AEO 2026 Table 23 '!$B:$B,"*,"&amp;$A12&amp;",*")-SUMIFS('AEO 2026 Table 23 '!V:V,'AEO 2026 Table 23 '!$B:$B,"*,"&amp;$A12&amp;",*"))/SUMIFS('AEO 2026 Table 23 '!V:V,'AEO 2026 Table 23 '!$B:$B,"*,"&amp;$A12&amp;",*"),"")</f>
        <v/>
      </c>
      <c r="U12">
        <f>IFERROR((SUMIFS('AEO 2026 Table 23 '!X:X,'AEO 2026 Table 23 '!$B:$B,"*,"&amp;$A12&amp;",*")-SUMIFS('AEO 2026 Table 23 '!W:W,'AEO 2026 Table 23 '!$B:$B,"*,"&amp;$A12&amp;",*"))/SUMIFS('AEO 2026 Table 23 '!W:W,'AEO 2026 Table 23 '!$B:$B,"*,"&amp;$A12&amp;",*"),"")</f>
        <v/>
      </c>
      <c r="V12">
        <f>IFERROR((SUMIFS('AEO 2026 Table 23 '!Y:Y,'AEO 2026 Table 23 '!$B:$B,"*,"&amp;$A12&amp;",*")-SUMIFS('AEO 2026 Table 23 '!X:X,'AEO 2026 Table 23 '!$B:$B,"*,"&amp;$A12&amp;",*"))/SUMIFS('AEO 2026 Table 23 '!X:X,'AEO 2026 Table 23 '!$B:$B,"*,"&amp;$A12&amp;",*"),"")</f>
        <v/>
      </c>
      <c r="W12">
        <f>IFERROR((SUMIFS('AEO 2026 Table 23 '!Z:Z,'AEO 2026 Table 23 '!$B:$B,"*,"&amp;$A12&amp;",*")-SUMIFS('AEO 2026 Table 23 '!Y:Y,'AEO 2026 Table 23 '!$B:$B,"*,"&amp;$A12&amp;",*"))/SUMIFS('AEO 2026 Table 23 '!Y:Y,'AEO 2026 Table 23 '!$B:$B,"*,"&amp;$A12&amp;",*"),"")</f>
        <v/>
      </c>
      <c r="X12">
        <f>IFERROR((SUMIFS('AEO 2026 Table 23 '!AA:AA,'AEO 2026 Table 23 '!$B:$B,"*,"&amp;$A12&amp;",*")-SUMIFS('AEO 2026 Table 23 '!Z:Z,'AEO 2026 Table 23 '!$B:$B,"*,"&amp;$A12&amp;",*"))/SUMIFS('AEO 2026 Table 23 '!Z:Z,'AEO 2026 Table 23 '!$B:$B,"*,"&amp;$A12&amp;",*"),"")</f>
        <v/>
      </c>
      <c r="Y12">
        <f>IFERROR((SUMIFS('AEO 2026 Table 23 '!AB:AB,'AEO 2026 Table 23 '!$B:$B,"*,"&amp;$A12&amp;",*")-SUMIFS('AEO 2026 Table 23 '!AA:AA,'AEO 2026 Table 23 '!$B:$B,"*,"&amp;$A12&amp;",*"))/SUMIFS('AEO 2026 Table 23 '!AA:AA,'AEO 2026 Table 23 '!$B:$B,"*,"&amp;$A12&amp;",*"),"")</f>
        <v/>
      </c>
      <c r="Z12">
        <f>IFERROR((SUMIFS('AEO 2026 Table 23 '!AC:AC,'AEO 2026 Table 23 '!$B:$B,"*,"&amp;$A12&amp;",*")-SUMIFS('AEO 2026 Table 23 '!AB:AB,'AEO 2026 Table 23 '!$B:$B,"*,"&amp;$A12&amp;",*"))/SUMIFS('AEO 2026 Table 23 '!AB:AB,'AEO 2026 Table 23 '!$B:$B,"*,"&amp;$A12&amp;",*"),"")</f>
        <v/>
      </c>
      <c r="AA12">
        <f>IFERROR((SUMIFS('AEO 2026 Table 23 '!AD:AD,'AEO 2026 Table 23 '!$B:$B,"*,"&amp;$A12&amp;",*")-SUMIFS('AEO 2026 Table 23 '!AC:AC,'AEO 2026 Table 23 '!$B:$B,"*,"&amp;$A12&amp;",*"))/SUMIFS('AEO 2026 Table 23 '!AC:AC,'AEO 2026 Table 23 '!$B:$B,"*,"&amp;$A12&amp;",*"),"")</f>
        <v/>
      </c>
      <c r="AB12">
        <f>IFERROR((SUMIFS('AEO 2026 Table 23 '!AE:AE,'AEO 2026 Table 23 '!$B:$B,"*,"&amp;$A12&amp;",*")-SUMIFS('AEO 2026 Table 23 '!AD:AD,'AEO 2026 Table 23 '!$B:$B,"*,"&amp;$A12&amp;",*"))/SUMIFS('AEO 2026 Table 23 '!AD:AD,'AEO 2026 Table 23 '!$B:$B,"*,"&amp;$A12&amp;",*"),"")</f>
        <v/>
      </c>
      <c r="AC12">
        <f>IFERROR((SUMIFS('AEO 2026 Table 23 '!AF:AF,'AEO 2026 Table 23 '!$B:$B,"*,"&amp;$A12&amp;",*")-SUMIFS('AEO 2026 Table 23 '!AE:AE,'AEO 2026 Table 23 '!$B:$B,"*,"&amp;$A12&amp;",*"))/SUMIFS('AEO 2026 Table 23 '!AE:AE,'AEO 2026 Table 23 '!$B:$B,"*,"&amp;$A12&amp;",*"),"")</f>
        <v/>
      </c>
    </row>
    <row r="13">
      <c r="A13" t="inlineStr">
        <is>
          <t>ISIC 13T15</t>
        </is>
      </c>
      <c r="B13">
        <f>IFERROR(SUMPRODUCT(--('BLS Table 2.11'!$L$1:$L$426=$A13),'BLS Table 2.11'!$J$1:$J$426,'BLS Table 2.11'!$K$1:$K$426)/SUMIFS('BLS Table 2.11'!$J$1:$J$426,'BLS Table 2.11'!$L$1:$L$426,$A13)/100,0)</f>
        <v/>
      </c>
      <c r="D13">
        <f>IFERROR((SUMIFS('AEO 2026 Table 23 '!G:G,'AEO 2026 Table 23 '!$B:$B,"*,"&amp;$A13&amp;",*")-SUMIFS('AEO25 Table 23'!H:H,'AEO25 Table 23'!$B:$B,"*,"&amp;$A13&amp;",*"))/SUMIFS('AEO25 Table 23'!H:H,'AEO25 Table 23'!$B:$B,"*,"&amp;$A13&amp;",*"),"")</f>
        <v/>
      </c>
      <c r="E13">
        <f>IFERROR((SUMIFS('AEO 2026 Table 23 '!H:H,'AEO 2026 Table 23 '!$B:$B,"*,"&amp;$A13&amp;",*")-SUMIFS('AEO 2026 Table 23 '!G:G,'AEO 2026 Table 23 '!$B:$B,"*,"&amp;$A13&amp;",*"))/SUMIFS('AEO 2026 Table 23 '!G:G,'AEO 2026 Table 23 '!$B:$B,"*,"&amp;$A13&amp;",*"),"")</f>
        <v/>
      </c>
      <c r="F13">
        <f>IFERROR((SUMIFS('AEO 2026 Table 23 '!I:I,'AEO 2026 Table 23 '!$B:$B,"*,"&amp;$A13&amp;",*")-SUMIFS('AEO 2026 Table 23 '!H:H,'AEO 2026 Table 23 '!$B:$B,"*,"&amp;$A13&amp;",*"))/SUMIFS('AEO 2026 Table 23 '!H:H,'AEO 2026 Table 23 '!$B:$B,"*,"&amp;$A13&amp;",*"),"")</f>
        <v/>
      </c>
      <c r="G13">
        <f>IFERROR((SUMIFS('AEO 2026 Table 23 '!J:J,'AEO 2026 Table 23 '!$B:$B,"*,"&amp;$A13&amp;",*")-SUMIFS('AEO 2026 Table 23 '!I:I,'AEO 2026 Table 23 '!$B:$B,"*,"&amp;$A13&amp;",*"))/SUMIFS('AEO 2026 Table 23 '!I:I,'AEO 2026 Table 23 '!$B:$B,"*,"&amp;$A13&amp;",*"),"")</f>
        <v/>
      </c>
      <c r="H13">
        <f>IFERROR((SUMIFS('AEO 2026 Table 23 '!K:K,'AEO 2026 Table 23 '!$B:$B,"*,"&amp;$A13&amp;",*")-SUMIFS('AEO 2026 Table 23 '!J:J,'AEO 2026 Table 23 '!$B:$B,"*,"&amp;$A13&amp;",*"))/SUMIFS('AEO 2026 Table 23 '!J:J,'AEO 2026 Table 23 '!$B:$B,"*,"&amp;$A13&amp;",*"),"")</f>
        <v/>
      </c>
      <c r="I13">
        <f>IFERROR((SUMIFS('AEO 2026 Table 23 '!L:L,'AEO 2026 Table 23 '!$B:$B,"*,"&amp;$A13&amp;",*")-SUMIFS('AEO 2026 Table 23 '!K:K,'AEO 2026 Table 23 '!$B:$B,"*,"&amp;$A13&amp;",*"))/SUMIFS('AEO 2026 Table 23 '!K:K,'AEO 2026 Table 23 '!$B:$B,"*,"&amp;$A13&amp;",*"),"")</f>
        <v/>
      </c>
      <c r="J13">
        <f>IFERROR((SUMIFS('AEO 2026 Table 23 '!M:M,'AEO 2026 Table 23 '!$B:$B,"*,"&amp;$A13&amp;",*")-SUMIFS('AEO 2026 Table 23 '!L:L,'AEO 2026 Table 23 '!$B:$B,"*,"&amp;$A13&amp;",*"))/SUMIFS('AEO 2026 Table 23 '!L:L,'AEO 2026 Table 23 '!$B:$B,"*,"&amp;$A13&amp;",*"),"")</f>
        <v/>
      </c>
      <c r="K13">
        <f>IFERROR((SUMIFS('AEO 2026 Table 23 '!N:N,'AEO 2026 Table 23 '!$B:$B,"*,"&amp;$A13&amp;",*")-SUMIFS('AEO 2026 Table 23 '!M:M,'AEO 2026 Table 23 '!$B:$B,"*,"&amp;$A13&amp;",*"))/SUMIFS('AEO 2026 Table 23 '!M:M,'AEO 2026 Table 23 '!$B:$B,"*,"&amp;$A13&amp;",*"),"")</f>
        <v/>
      </c>
      <c r="L13">
        <f>IFERROR((SUMIFS('AEO 2026 Table 23 '!O:O,'AEO 2026 Table 23 '!$B:$B,"*,"&amp;$A13&amp;",*")-SUMIFS('AEO 2026 Table 23 '!N:N,'AEO 2026 Table 23 '!$B:$B,"*,"&amp;$A13&amp;",*"))/SUMIFS('AEO 2026 Table 23 '!N:N,'AEO 2026 Table 23 '!$B:$B,"*,"&amp;$A13&amp;",*"),"")</f>
        <v/>
      </c>
      <c r="M13">
        <f>IFERROR((SUMIFS('AEO 2026 Table 23 '!P:P,'AEO 2026 Table 23 '!$B:$B,"*,"&amp;$A13&amp;",*")-SUMIFS('AEO 2026 Table 23 '!O:O,'AEO 2026 Table 23 '!$B:$B,"*,"&amp;$A13&amp;",*"))/SUMIFS('AEO 2026 Table 23 '!O:O,'AEO 2026 Table 23 '!$B:$B,"*,"&amp;$A13&amp;",*"),"")</f>
        <v/>
      </c>
      <c r="N13">
        <f>IFERROR((SUMIFS('AEO 2026 Table 23 '!Q:Q,'AEO 2026 Table 23 '!$B:$B,"*,"&amp;$A13&amp;",*")-SUMIFS('AEO 2026 Table 23 '!P:P,'AEO 2026 Table 23 '!$B:$B,"*,"&amp;$A13&amp;",*"))/SUMIFS('AEO 2026 Table 23 '!P:P,'AEO 2026 Table 23 '!$B:$B,"*,"&amp;$A13&amp;",*"),"")</f>
        <v/>
      </c>
      <c r="O13">
        <f>IFERROR((SUMIFS('AEO 2026 Table 23 '!R:R,'AEO 2026 Table 23 '!$B:$B,"*,"&amp;$A13&amp;",*")-SUMIFS('AEO 2026 Table 23 '!Q:Q,'AEO 2026 Table 23 '!$B:$B,"*,"&amp;$A13&amp;",*"))/SUMIFS('AEO 2026 Table 23 '!Q:Q,'AEO 2026 Table 23 '!$B:$B,"*,"&amp;$A13&amp;",*"),"")</f>
        <v/>
      </c>
      <c r="P13">
        <f>IFERROR((SUMIFS('AEO 2026 Table 23 '!S:S,'AEO 2026 Table 23 '!$B:$B,"*,"&amp;$A13&amp;",*")-SUMIFS('AEO 2026 Table 23 '!R:R,'AEO 2026 Table 23 '!$B:$B,"*,"&amp;$A13&amp;",*"))/SUMIFS('AEO 2026 Table 23 '!R:R,'AEO 2026 Table 23 '!$B:$B,"*,"&amp;$A13&amp;",*"),"")</f>
        <v/>
      </c>
      <c r="Q13">
        <f>IFERROR((SUMIFS('AEO 2026 Table 23 '!T:T,'AEO 2026 Table 23 '!$B:$B,"*,"&amp;$A13&amp;",*")-SUMIFS('AEO 2026 Table 23 '!S:S,'AEO 2026 Table 23 '!$B:$B,"*,"&amp;$A13&amp;",*"))/SUMIFS('AEO 2026 Table 23 '!S:S,'AEO 2026 Table 23 '!$B:$B,"*,"&amp;$A13&amp;",*"),"")</f>
        <v/>
      </c>
      <c r="R13">
        <f>IFERROR((SUMIFS('AEO 2026 Table 23 '!U:U,'AEO 2026 Table 23 '!$B:$B,"*,"&amp;$A13&amp;",*")-SUMIFS('AEO 2026 Table 23 '!T:T,'AEO 2026 Table 23 '!$B:$B,"*,"&amp;$A13&amp;",*"))/SUMIFS('AEO 2026 Table 23 '!T:T,'AEO 2026 Table 23 '!$B:$B,"*,"&amp;$A13&amp;",*"),"")</f>
        <v/>
      </c>
      <c r="S13">
        <f>IFERROR((SUMIFS('AEO 2026 Table 23 '!V:V,'AEO 2026 Table 23 '!$B:$B,"*,"&amp;$A13&amp;",*")-SUMIFS('AEO 2026 Table 23 '!U:U,'AEO 2026 Table 23 '!$B:$B,"*,"&amp;$A13&amp;",*"))/SUMIFS('AEO 2026 Table 23 '!U:U,'AEO 2026 Table 23 '!$B:$B,"*,"&amp;$A13&amp;",*"),"")</f>
        <v/>
      </c>
      <c r="T13">
        <f>IFERROR((SUMIFS('AEO 2026 Table 23 '!W:W,'AEO 2026 Table 23 '!$B:$B,"*,"&amp;$A13&amp;",*")-SUMIFS('AEO 2026 Table 23 '!V:V,'AEO 2026 Table 23 '!$B:$B,"*,"&amp;$A13&amp;",*"))/SUMIFS('AEO 2026 Table 23 '!V:V,'AEO 2026 Table 23 '!$B:$B,"*,"&amp;$A13&amp;",*"),"")</f>
        <v/>
      </c>
      <c r="U13">
        <f>IFERROR((SUMIFS('AEO 2026 Table 23 '!X:X,'AEO 2026 Table 23 '!$B:$B,"*,"&amp;$A13&amp;",*")-SUMIFS('AEO 2026 Table 23 '!W:W,'AEO 2026 Table 23 '!$B:$B,"*,"&amp;$A13&amp;",*"))/SUMIFS('AEO 2026 Table 23 '!W:W,'AEO 2026 Table 23 '!$B:$B,"*,"&amp;$A13&amp;",*"),"")</f>
        <v/>
      </c>
      <c r="V13">
        <f>IFERROR((SUMIFS('AEO 2026 Table 23 '!Y:Y,'AEO 2026 Table 23 '!$B:$B,"*,"&amp;$A13&amp;",*")-SUMIFS('AEO 2026 Table 23 '!X:X,'AEO 2026 Table 23 '!$B:$B,"*,"&amp;$A13&amp;",*"))/SUMIFS('AEO 2026 Table 23 '!X:X,'AEO 2026 Table 23 '!$B:$B,"*,"&amp;$A13&amp;",*"),"")</f>
        <v/>
      </c>
      <c r="W13">
        <f>IFERROR((SUMIFS('AEO 2026 Table 23 '!Z:Z,'AEO 2026 Table 23 '!$B:$B,"*,"&amp;$A13&amp;",*")-SUMIFS('AEO 2026 Table 23 '!Y:Y,'AEO 2026 Table 23 '!$B:$B,"*,"&amp;$A13&amp;",*"))/SUMIFS('AEO 2026 Table 23 '!Y:Y,'AEO 2026 Table 23 '!$B:$B,"*,"&amp;$A13&amp;",*"),"")</f>
        <v/>
      </c>
      <c r="X13">
        <f>IFERROR((SUMIFS('AEO 2026 Table 23 '!AA:AA,'AEO 2026 Table 23 '!$B:$B,"*,"&amp;$A13&amp;",*")-SUMIFS('AEO 2026 Table 23 '!Z:Z,'AEO 2026 Table 23 '!$B:$B,"*,"&amp;$A13&amp;",*"))/SUMIFS('AEO 2026 Table 23 '!Z:Z,'AEO 2026 Table 23 '!$B:$B,"*,"&amp;$A13&amp;",*"),"")</f>
        <v/>
      </c>
      <c r="Y13">
        <f>IFERROR((SUMIFS('AEO 2026 Table 23 '!AB:AB,'AEO 2026 Table 23 '!$B:$B,"*,"&amp;$A13&amp;",*")-SUMIFS('AEO 2026 Table 23 '!AA:AA,'AEO 2026 Table 23 '!$B:$B,"*,"&amp;$A13&amp;",*"))/SUMIFS('AEO 2026 Table 23 '!AA:AA,'AEO 2026 Table 23 '!$B:$B,"*,"&amp;$A13&amp;",*"),"")</f>
        <v/>
      </c>
      <c r="Z13">
        <f>IFERROR((SUMIFS('AEO 2026 Table 23 '!AC:AC,'AEO 2026 Table 23 '!$B:$B,"*,"&amp;$A13&amp;",*")-SUMIFS('AEO 2026 Table 23 '!AB:AB,'AEO 2026 Table 23 '!$B:$B,"*,"&amp;$A13&amp;",*"))/SUMIFS('AEO 2026 Table 23 '!AB:AB,'AEO 2026 Table 23 '!$B:$B,"*,"&amp;$A13&amp;",*"),"")</f>
        <v/>
      </c>
      <c r="AA13">
        <f>IFERROR((SUMIFS('AEO 2026 Table 23 '!AD:AD,'AEO 2026 Table 23 '!$B:$B,"*,"&amp;$A13&amp;",*")-SUMIFS('AEO 2026 Table 23 '!AC:AC,'AEO 2026 Table 23 '!$B:$B,"*,"&amp;$A13&amp;",*"))/SUMIFS('AEO 2026 Table 23 '!AC:AC,'AEO 2026 Table 23 '!$B:$B,"*,"&amp;$A13&amp;",*"),"")</f>
        <v/>
      </c>
      <c r="AB13">
        <f>IFERROR((SUMIFS('AEO 2026 Table 23 '!AE:AE,'AEO 2026 Table 23 '!$B:$B,"*,"&amp;$A13&amp;",*")-SUMIFS('AEO 2026 Table 23 '!AD:AD,'AEO 2026 Table 23 '!$B:$B,"*,"&amp;$A13&amp;",*"))/SUMIFS('AEO 2026 Table 23 '!AD:AD,'AEO 2026 Table 23 '!$B:$B,"*,"&amp;$A13&amp;",*"),"")</f>
        <v/>
      </c>
      <c r="AC13">
        <f>IFERROR((SUMIFS('AEO 2026 Table 23 '!AF:AF,'AEO 2026 Table 23 '!$B:$B,"*,"&amp;$A13&amp;",*")-SUMIFS('AEO 2026 Table 23 '!AE:AE,'AEO 2026 Table 23 '!$B:$B,"*,"&amp;$A13&amp;",*"))/SUMIFS('AEO 2026 Table 23 '!AE:AE,'AEO 2026 Table 23 '!$B:$B,"*,"&amp;$A13&amp;",*"),"")</f>
        <v/>
      </c>
    </row>
    <row r="14">
      <c r="A14" t="inlineStr">
        <is>
          <t>ISIC 16</t>
        </is>
      </c>
      <c r="B14">
        <f>IFERROR(SUMPRODUCT(--('BLS Table 2.11'!$L$1:$L$426=$A14),'BLS Table 2.11'!$J$1:$J$426,'BLS Table 2.11'!$K$1:$K$426)/SUMIFS('BLS Table 2.11'!$J$1:$J$426,'BLS Table 2.11'!$L$1:$L$426,$A14)/100,0)</f>
        <v/>
      </c>
      <c r="D14">
        <f>IFERROR((SUMIFS('AEO 2026 Table 23 '!G:G,'AEO 2026 Table 23 '!$B:$B,"*,"&amp;$A14&amp;",*")-SUMIFS('AEO25 Table 23'!H:H,'AEO25 Table 23'!$B:$B,"*,"&amp;$A14&amp;",*"))/SUMIFS('AEO25 Table 23'!H:H,'AEO25 Table 23'!$B:$B,"*,"&amp;$A14&amp;",*"),"")</f>
        <v/>
      </c>
      <c r="E14">
        <f>IFERROR((SUMIFS('AEO 2026 Table 23 '!H:H,'AEO 2026 Table 23 '!$B:$B,"*,"&amp;$A14&amp;",*")-SUMIFS('AEO 2026 Table 23 '!G:G,'AEO 2026 Table 23 '!$B:$B,"*,"&amp;$A14&amp;",*"))/SUMIFS('AEO 2026 Table 23 '!G:G,'AEO 2026 Table 23 '!$B:$B,"*,"&amp;$A14&amp;",*"),"")</f>
        <v/>
      </c>
      <c r="F14">
        <f>IFERROR((SUMIFS('AEO 2026 Table 23 '!I:I,'AEO 2026 Table 23 '!$B:$B,"*,"&amp;$A14&amp;",*")-SUMIFS('AEO 2026 Table 23 '!H:H,'AEO 2026 Table 23 '!$B:$B,"*,"&amp;$A14&amp;",*"))/SUMIFS('AEO 2026 Table 23 '!H:H,'AEO 2026 Table 23 '!$B:$B,"*,"&amp;$A14&amp;",*"),"")</f>
        <v/>
      </c>
      <c r="G14">
        <f>IFERROR((SUMIFS('AEO 2026 Table 23 '!J:J,'AEO 2026 Table 23 '!$B:$B,"*,"&amp;$A14&amp;",*")-SUMIFS('AEO 2026 Table 23 '!I:I,'AEO 2026 Table 23 '!$B:$B,"*,"&amp;$A14&amp;",*"))/SUMIFS('AEO 2026 Table 23 '!I:I,'AEO 2026 Table 23 '!$B:$B,"*,"&amp;$A14&amp;",*"),"")</f>
        <v/>
      </c>
      <c r="H14">
        <f>IFERROR((SUMIFS('AEO 2026 Table 23 '!K:K,'AEO 2026 Table 23 '!$B:$B,"*,"&amp;$A14&amp;",*")-SUMIFS('AEO 2026 Table 23 '!J:J,'AEO 2026 Table 23 '!$B:$B,"*,"&amp;$A14&amp;",*"))/SUMIFS('AEO 2026 Table 23 '!J:J,'AEO 2026 Table 23 '!$B:$B,"*,"&amp;$A14&amp;",*"),"")</f>
        <v/>
      </c>
      <c r="I14">
        <f>IFERROR((SUMIFS('AEO 2026 Table 23 '!L:L,'AEO 2026 Table 23 '!$B:$B,"*,"&amp;$A14&amp;",*")-SUMIFS('AEO 2026 Table 23 '!K:K,'AEO 2026 Table 23 '!$B:$B,"*,"&amp;$A14&amp;",*"))/SUMIFS('AEO 2026 Table 23 '!K:K,'AEO 2026 Table 23 '!$B:$B,"*,"&amp;$A14&amp;",*"),"")</f>
        <v/>
      </c>
      <c r="J14">
        <f>IFERROR((SUMIFS('AEO 2026 Table 23 '!M:M,'AEO 2026 Table 23 '!$B:$B,"*,"&amp;$A14&amp;",*")-SUMIFS('AEO 2026 Table 23 '!L:L,'AEO 2026 Table 23 '!$B:$B,"*,"&amp;$A14&amp;",*"))/SUMIFS('AEO 2026 Table 23 '!L:L,'AEO 2026 Table 23 '!$B:$B,"*,"&amp;$A14&amp;",*"),"")</f>
        <v/>
      </c>
      <c r="K14">
        <f>IFERROR((SUMIFS('AEO 2026 Table 23 '!N:N,'AEO 2026 Table 23 '!$B:$B,"*,"&amp;$A14&amp;",*")-SUMIFS('AEO 2026 Table 23 '!M:M,'AEO 2026 Table 23 '!$B:$B,"*,"&amp;$A14&amp;",*"))/SUMIFS('AEO 2026 Table 23 '!M:M,'AEO 2026 Table 23 '!$B:$B,"*,"&amp;$A14&amp;",*"),"")</f>
        <v/>
      </c>
      <c r="L14">
        <f>IFERROR((SUMIFS('AEO 2026 Table 23 '!O:O,'AEO 2026 Table 23 '!$B:$B,"*,"&amp;$A14&amp;",*")-SUMIFS('AEO 2026 Table 23 '!N:N,'AEO 2026 Table 23 '!$B:$B,"*,"&amp;$A14&amp;",*"))/SUMIFS('AEO 2026 Table 23 '!N:N,'AEO 2026 Table 23 '!$B:$B,"*,"&amp;$A14&amp;",*"),"")</f>
        <v/>
      </c>
      <c r="M14">
        <f>IFERROR((SUMIFS('AEO 2026 Table 23 '!P:P,'AEO 2026 Table 23 '!$B:$B,"*,"&amp;$A14&amp;",*")-SUMIFS('AEO 2026 Table 23 '!O:O,'AEO 2026 Table 23 '!$B:$B,"*,"&amp;$A14&amp;",*"))/SUMIFS('AEO 2026 Table 23 '!O:O,'AEO 2026 Table 23 '!$B:$B,"*,"&amp;$A14&amp;",*"),"")</f>
        <v/>
      </c>
      <c r="N14">
        <f>IFERROR((SUMIFS('AEO 2026 Table 23 '!Q:Q,'AEO 2026 Table 23 '!$B:$B,"*,"&amp;$A14&amp;",*")-SUMIFS('AEO 2026 Table 23 '!P:P,'AEO 2026 Table 23 '!$B:$B,"*,"&amp;$A14&amp;",*"))/SUMIFS('AEO 2026 Table 23 '!P:P,'AEO 2026 Table 23 '!$B:$B,"*,"&amp;$A14&amp;",*"),"")</f>
        <v/>
      </c>
      <c r="O14">
        <f>IFERROR((SUMIFS('AEO 2026 Table 23 '!R:R,'AEO 2026 Table 23 '!$B:$B,"*,"&amp;$A14&amp;",*")-SUMIFS('AEO 2026 Table 23 '!Q:Q,'AEO 2026 Table 23 '!$B:$B,"*,"&amp;$A14&amp;",*"))/SUMIFS('AEO 2026 Table 23 '!Q:Q,'AEO 2026 Table 23 '!$B:$B,"*,"&amp;$A14&amp;",*"),"")</f>
        <v/>
      </c>
      <c r="P14">
        <f>IFERROR((SUMIFS('AEO 2026 Table 23 '!S:S,'AEO 2026 Table 23 '!$B:$B,"*,"&amp;$A14&amp;",*")-SUMIFS('AEO 2026 Table 23 '!R:R,'AEO 2026 Table 23 '!$B:$B,"*,"&amp;$A14&amp;",*"))/SUMIFS('AEO 2026 Table 23 '!R:R,'AEO 2026 Table 23 '!$B:$B,"*,"&amp;$A14&amp;",*"),"")</f>
        <v/>
      </c>
      <c r="Q14">
        <f>IFERROR((SUMIFS('AEO 2026 Table 23 '!T:T,'AEO 2026 Table 23 '!$B:$B,"*,"&amp;$A14&amp;",*")-SUMIFS('AEO 2026 Table 23 '!S:S,'AEO 2026 Table 23 '!$B:$B,"*,"&amp;$A14&amp;",*"))/SUMIFS('AEO 2026 Table 23 '!S:S,'AEO 2026 Table 23 '!$B:$B,"*,"&amp;$A14&amp;",*"),"")</f>
        <v/>
      </c>
      <c r="R14">
        <f>IFERROR((SUMIFS('AEO 2026 Table 23 '!U:U,'AEO 2026 Table 23 '!$B:$B,"*,"&amp;$A14&amp;",*")-SUMIFS('AEO 2026 Table 23 '!T:T,'AEO 2026 Table 23 '!$B:$B,"*,"&amp;$A14&amp;",*"))/SUMIFS('AEO 2026 Table 23 '!T:T,'AEO 2026 Table 23 '!$B:$B,"*,"&amp;$A14&amp;",*"),"")</f>
        <v/>
      </c>
      <c r="S14">
        <f>IFERROR((SUMIFS('AEO 2026 Table 23 '!V:V,'AEO 2026 Table 23 '!$B:$B,"*,"&amp;$A14&amp;",*")-SUMIFS('AEO 2026 Table 23 '!U:U,'AEO 2026 Table 23 '!$B:$B,"*,"&amp;$A14&amp;",*"))/SUMIFS('AEO 2026 Table 23 '!U:U,'AEO 2026 Table 23 '!$B:$B,"*,"&amp;$A14&amp;",*"),"")</f>
        <v/>
      </c>
      <c r="T14">
        <f>IFERROR((SUMIFS('AEO 2026 Table 23 '!W:W,'AEO 2026 Table 23 '!$B:$B,"*,"&amp;$A14&amp;",*")-SUMIFS('AEO 2026 Table 23 '!V:V,'AEO 2026 Table 23 '!$B:$B,"*,"&amp;$A14&amp;",*"))/SUMIFS('AEO 2026 Table 23 '!V:V,'AEO 2026 Table 23 '!$B:$B,"*,"&amp;$A14&amp;",*"),"")</f>
        <v/>
      </c>
      <c r="U14">
        <f>IFERROR((SUMIFS('AEO 2026 Table 23 '!X:X,'AEO 2026 Table 23 '!$B:$B,"*,"&amp;$A14&amp;",*")-SUMIFS('AEO 2026 Table 23 '!W:W,'AEO 2026 Table 23 '!$B:$B,"*,"&amp;$A14&amp;",*"))/SUMIFS('AEO 2026 Table 23 '!W:W,'AEO 2026 Table 23 '!$B:$B,"*,"&amp;$A14&amp;",*"),"")</f>
        <v/>
      </c>
      <c r="V14">
        <f>IFERROR((SUMIFS('AEO 2026 Table 23 '!Y:Y,'AEO 2026 Table 23 '!$B:$B,"*,"&amp;$A14&amp;",*")-SUMIFS('AEO 2026 Table 23 '!X:X,'AEO 2026 Table 23 '!$B:$B,"*,"&amp;$A14&amp;",*"))/SUMIFS('AEO 2026 Table 23 '!X:X,'AEO 2026 Table 23 '!$B:$B,"*,"&amp;$A14&amp;",*"),"")</f>
        <v/>
      </c>
      <c r="W14">
        <f>IFERROR((SUMIFS('AEO 2026 Table 23 '!Z:Z,'AEO 2026 Table 23 '!$B:$B,"*,"&amp;$A14&amp;",*")-SUMIFS('AEO 2026 Table 23 '!Y:Y,'AEO 2026 Table 23 '!$B:$B,"*,"&amp;$A14&amp;",*"))/SUMIFS('AEO 2026 Table 23 '!Y:Y,'AEO 2026 Table 23 '!$B:$B,"*,"&amp;$A14&amp;",*"),"")</f>
        <v/>
      </c>
      <c r="X14">
        <f>IFERROR((SUMIFS('AEO 2026 Table 23 '!AA:AA,'AEO 2026 Table 23 '!$B:$B,"*,"&amp;$A14&amp;",*")-SUMIFS('AEO 2026 Table 23 '!Z:Z,'AEO 2026 Table 23 '!$B:$B,"*,"&amp;$A14&amp;",*"))/SUMIFS('AEO 2026 Table 23 '!Z:Z,'AEO 2026 Table 23 '!$B:$B,"*,"&amp;$A14&amp;",*"),"")</f>
        <v/>
      </c>
      <c r="Y14">
        <f>IFERROR((SUMIFS('AEO 2026 Table 23 '!AB:AB,'AEO 2026 Table 23 '!$B:$B,"*,"&amp;$A14&amp;",*")-SUMIFS('AEO 2026 Table 23 '!AA:AA,'AEO 2026 Table 23 '!$B:$B,"*,"&amp;$A14&amp;",*"))/SUMIFS('AEO 2026 Table 23 '!AA:AA,'AEO 2026 Table 23 '!$B:$B,"*,"&amp;$A14&amp;",*"),"")</f>
        <v/>
      </c>
      <c r="Z14">
        <f>IFERROR((SUMIFS('AEO 2026 Table 23 '!AC:AC,'AEO 2026 Table 23 '!$B:$B,"*,"&amp;$A14&amp;",*")-SUMIFS('AEO 2026 Table 23 '!AB:AB,'AEO 2026 Table 23 '!$B:$B,"*,"&amp;$A14&amp;",*"))/SUMIFS('AEO 2026 Table 23 '!AB:AB,'AEO 2026 Table 23 '!$B:$B,"*,"&amp;$A14&amp;",*"),"")</f>
        <v/>
      </c>
      <c r="AA14">
        <f>IFERROR((SUMIFS('AEO 2026 Table 23 '!AD:AD,'AEO 2026 Table 23 '!$B:$B,"*,"&amp;$A14&amp;",*")-SUMIFS('AEO 2026 Table 23 '!AC:AC,'AEO 2026 Table 23 '!$B:$B,"*,"&amp;$A14&amp;",*"))/SUMIFS('AEO 2026 Table 23 '!AC:AC,'AEO 2026 Table 23 '!$B:$B,"*,"&amp;$A14&amp;",*"),"")</f>
        <v/>
      </c>
      <c r="AB14">
        <f>IFERROR((SUMIFS('AEO 2026 Table 23 '!AE:AE,'AEO 2026 Table 23 '!$B:$B,"*,"&amp;$A14&amp;",*")-SUMIFS('AEO 2026 Table 23 '!AD:AD,'AEO 2026 Table 23 '!$B:$B,"*,"&amp;$A14&amp;",*"))/SUMIFS('AEO 2026 Table 23 '!AD:AD,'AEO 2026 Table 23 '!$B:$B,"*,"&amp;$A14&amp;",*"),"")</f>
        <v/>
      </c>
      <c r="AC14">
        <f>IFERROR((SUMIFS('AEO 2026 Table 23 '!AF:AF,'AEO 2026 Table 23 '!$B:$B,"*,"&amp;$A14&amp;",*")-SUMIFS('AEO 2026 Table 23 '!AE:AE,'AEO 2026 Table 23 '!$B:$B,"*,"&amp;$A14&amp;",*"))/SUMIFS('AEO 2026 Table 23 '!AE:AE,'AEO 2026 Table 23 '!$B:$B,"*,"&amp;$A14&amp;",*"),"")</f>
        <v/>
      </c>
    </row>
    <row r="15">
      <c r="A15" t="inlineStr">
        <is>
          <t>ISIC 17T18</t>
        </is>
      </c>
      <c r="B15">
        <f>IFERROR(SUMPRODUCT(--('BLS Table 2.11'!$L$1:$L$426=$A15),'BLS Table 2.11'!$J$1:$J$426,'BLS Table 2.11'!$K$1:$K$426)/SUMIFS('BLS Table 2.11'!$J$1:$J$426,'BLS Table 2.11'!$L$1:$L$426,$A15)/100,0)</f>
        <v/>
      </c>
      <c r="D15">
        <f>IFERROR((SUMIFS('AEO 2026 Table 23 '!G:G,'AEO 2026 Table 23 '!$B:$B,"*,"&amp;$A15&amp;",*")-SUMIFS('AEO25 Table 23'!H:H,'AEO25 Table 23'!$B:$B,"*,"&amp;$A15&amp;",*"))/SUMIFS('AEO25 Table 23'!H:H,'AEO25 Table 23'!$B:$B,"*,"&amp;$A15&amp;",*"),"")</f>
        <v/>
      </c>
      <c r="E15">
        <f>IFERROR((SUMIFS('AEO 2026 Table 23 '!H:H,'AEO 2026 Table 23 '!$B:$B,"*,"&amp;$A15&amp;",*")-SUMIFS('AEO 2026 Table 23 '!G:G,'AEO 2026 Table 23 '!$B:$B,"*,"&amp;$A15&amp;",*"))/SUMIFS('AEO 2026 Table 23 '!G:G,'AEO 2026 Table 23 '!$B:$B,"*,"&amp;$A15&amp;",*"),"")</f>
        <v/>
      </c>
      <c r="F15">
        <f>IFERROR((SUMIFS('AEO 2026 Table 23 '!I:I,'AEO 2026 Table 23 '!$B:$B,"*,"&amp;$A15&amp;",*")-SUMIFS('AEO 2026 Table 23 '!H:H,'AEO 2026 Table 23 '!$B:$B,"*,"&amp;$A15&amp;",*"))/SUMIFS('AEO 2026 Table 23 '!H:H,'AEO 2026 Table 23 '!$B:$B,"*,"&amp;$A15&amp;",*"),"")</f>
        <v/>
      </c>
      <c r="G15">
        <f>IFERROR((SUMIFS('AEO 2026 Table 23 '!J:J,'AEO 2026 Table 23 '!$B:$B,"*,"&amp;$A15&amp;",*")-SUMIFS('AEO 2026 Table 23 '!I:I,'AEO 2026 Table 23 '!$B:$B,"*,"&amp;$A15&amp;",*"))/SUMIFS('AEO 2026 Table 23 '!I:I,'AEO 2026 Table 23 '!$B:$B,"*,"&amp;$A15&amp;",*"),"")</f>
        <v/>
      </c>
      <c r="H15">
        <f>IFERROR((SUMIFS('AEO 2026 Table 23 '!K:K,'AEO 2026 Table 23 '!$B:$B,"*,"&amp;$A15&amp;",*")-SUMIFS('AEO 2026 Table 23 '!J:J,'AEO 2026 Table 23 '!$B:$B,"*,"&amp;$A15&amp;",*"))/SUMIFS('AEO 2026 Table 23 '!J:J,'AEO 2026 Table 23 '!$B:$B,"*,"&amp;$A15&amp;",*"),"")</f>
        <v/>
      </c>
      <c r="I15">
        <f>IFERROR((SUMIFS('AEO 2026 Table 23 '!L:L,'AEO 2026 Table 23 '!$B:$B,"*,"&amp;$A15&amp;",*")-SUMIFS('AEO 2026 Table 23 '!K:K,'AEO 2026 Table 23 '!$B:$B,"*,"&amp;$A15&amp;",*"))/SUMIFS('AEO 2026 Table 23 '!K:K,'AEO 2026 Table 23 '!$B:$B,"*,"&amp;$A15&amp;",*"),"")</f>
        <v/>
      </c>
      <c r="J15">
        <f>IFERROR((SUMIFS('AEO 2026 Table 23 '!M:M,'AEO 2026 Table 23 '!$B:$B,"*,"&amp;$A15&amp;",*")-SUMIFS('AEO 2026 Table 23 '!L:L,'AEO 2026 Table 23 '!$B:$B,"*,"&amp;$A15&amp;",*"))/SUMIFS('AEO 2026 Table 23 '!L:L,'AEO 2026 Table 23 '!$B:$B,"*,"&amp;$A15&amp;",*"),"")</f>
        <v/>
      </c>
      <c r="K15">
        <f>IFERROR((SUMIFS('AEO 2026 Table 23 '!N:N,'AEO 2026 Table 23 '!$B:$B,"*,"&amp;$A15&amp;",*")-SUMIFS('AEO 2026 Table 23 '!M:M,'AEO 2026 Table 23 '!$B:$B,"*,"&amp;$A15&amp;",*"))/SUMIFS('AEO 2026 Table 23 '!M:M,'AEO 2026 Table 23 '!$B:$B,"*,"&amp;$A15&amp;",*"),"")</f>
        <v/>
      </c>
      <c r="L15">
        <f>IFERROR((SUMIFS('AEO 2026 Table 23 '!O:O,'AEO 2026 Table 23 '!$B:$B,"*,"&amp;$A15&amp;",*")-SUMIFS('AEO 2026 Table 23 '!N:N,'AEO 2026 Table 23 '!$B:$B,"*,"&amp;$A15&amp;",*"))/SUMIFS('AEO 2026 Table 23 '!N:N,'AEO 2026 Table 23 '!$B:$B,"*,"&amp;$A15&amp;",*"),"")</f>
        <v/>
      </c>
      <c r="M15">
        <f>IFERROR((SUMIFS('AEO 2026 Table 23 '!P:P,'AEO 2026 Table 23 '!$B:$B,"*,"&amp;$A15&amp;",*")-SUMIFS('AEO 2026 Table 23 '!O:O,'AEO 2026 Table 23 '!$B:$B,"*,"&amp;$A15&amp;",*"))/SUMIFS('AEO 2026 Table 23 '!O:O,'AEO 2026 Table 23 '!$B:$B,"*,"&amp;$A15&amp;",*"),"")</f>
        <v/>
      </c>
      <c r="N15">
        <f>IFERROR((SUMIFS('AEO 2026 Table 23 '!Q:Q,'AEO 2026 Table 23 '!$B:$B,"*,"&amp;$A15&amp;",*")-SUMIFS('AEO 2026 Table 23 '!P:P,'AEO 2026 Table 23 '!$B:$B,"*,"&amp;$A15&amp;",*"))/SUMIFS('AEO 2026 Table 23 '!P:P,'AEO 2026 Table 23 '!$B:$B,"*,"&amp;$A15&amp;",*"),"")</f>
        <v/>
      </c>
      <c r="O15">
        <f>IFERROR((SUMIFS('AEO 2026 Table 23 '!R:R,'AEO 2026 Table 23 '!$B:$B,"*,"&amp;$A15&amp;",*")-SUMIFS('AEO 2026 Table 23 '!Q:Q,'AEO 2026 Table 23 '!$B:$B,"*,"&amp;$A15&amp;",*"))/SUMIFS('AEO 2026 Table 23 '!Q:Q,'AEO 2026 Table 23 '!$B:$B,"*,"&amp;$A15&amp;",*"),"")</f>
        <v/>
      </c>
      <c r="P15">
        <f>IFERROR((SUMIFS('AEO 2026 Table 23 '!S:S,'AEO 2026 Table 23 '!$B:$B,"*,"&amp;$A15&amp;",*")-SUMIFS('AEO 2026 Table 23 '!R:R,'AEO 2026 Table 23 '!$B:$B,"*,"&amp;$A15&amp;",*"))/SUMIFS('AEO 2026 Table 23 '!R:R,'AEO 2026 Table 23 '!$B:$B,"*,"&amp;$A15&amp;",*"),"")</f>
        <v/>
      </c>
      <c r="Q15">
        <f>IFERROR((SUMIFS('AEO 2026 Table 23 '!T:T,'AEO 2026 Table 23 '!$B:$B,"*,"&amp;$A15&amp;",*")-SUMIFS('AEO 2026 Table 23 '!S:S,'AEO 2026 Table 23 '!$B:$B,"*,"&amp;$A15&amp;",*"))/SUMIFS('AEO 2026 Table 23 '!S:S,'AEO 2026 Table 23 '!$B:$B,"*,"&amp;$A15&amp;",*"),"")</f>
        <v/>
      </c>
      <c r="R15">
        <f>IFERROR((SUMIFS('AEO 2026 Table 23 '!U:U,'AEO 2026 Table 23 '!$B:$B,"*,"&amp;$A15&amp;",*")-SUMIFS('AEO 2026 Table 23 '!T:T,'AEO 2026 Table 23 '!$B:$B,"*,"&amp;$A15&amp;",*"))/SUMIFS('AEO 2026 Table 23 '!T:T,'AEO 2026 Table 23 '!$B:$B,"*,"&amp;$A15&amp;",*"),"")</f>
        <v/>
      </c>
      <c r="S15">
        <f>IFERROR((SUMIFS('AEO 2026 Table 23 '!V:V,'AEO 2026 Table 23 '!$B:$B,"*,"&amp;$A15&amp;",*")-SUMIFS('AEO 2026 Table 23 '!U:U,'AEO 2026 Table 23 '!$B:$B,"*,"&amp;$A15&amp;",*"))/SUMIFS('AEO 2026 Table 23 '!U:U,'AEO 2026 Table 23 '!$B:$B,"*,"&amp;$A15&amp;",*"),"")</f>
        <v/>
      </c>
      <c r="T15">
        <f>IFERROR((SUMIFS('AEO 2026 Table 23 '!W:W,'AEO 2026 Table 23 '!$B:$B,"*,"&amp;$A15&amp;",*")-SUMIFS('AEO 2026 Table 23 '!V:V,'AEO 2026 Table 23 '!$B:$B,"*,"&amp;$A15&amp;",*"))/SUMIFS('AEO 2026 Table 23 '!V:V,'AEO 2026 Table 23 '!$B:$B,"*,"&amp;$A15&amp;",*"),"")</f>
        <v/>
      </c>
      <c r="U15">
        <f>IFERROR((SUMIFS('AEO 2026 Table 23 '!X:X,'AEO 2026 Table 23 '!$B:$B,"*,"&amp;$A15&amp;",*")-SUMIFS('AEO 2026 Table 23 '!W:W,'AEO 2026 Table 23 '!$B:$B,"*,"&amp;$A15&amp;",*"))/SUMIFS('AEO 2026 Table 23 '!W:W,'AEO 2026 Table 23 '!$B:$B,"*,"&amp;$A15&amp;",*"),"")</f>
        <v/>
      </c>
      <c r="V15">
        <f>IFERROR((SUMIFS('AEO 2026 Table 23 '!Y:Y,'AEO 2026 Table 23 '!$B:$B,"*,"&amp;$A15&amp;",*")-SUMIFS('AEO 2026 Table 23 '!X:X,'AEO 2026 Table 23 '!$B:$B,"*,"&amp;$A15&amp;",*"))/SUMIFS('AEO 2026 Table 23 '!X:X,'AEO 2026 Table 23 '!$B:$B,"*,"&amp;$A15&amp;",*"),"")</f>
        <v/>
      </c>
      <c r="W15">
        <f>IFERROR((SUMIFS('AEO 2026 Table 23 '!Z:Z,'AEO 2026 Table 23 '!$B:$B,"*,"&amp;$A15&amp;",*")-SUMIFS('AEO 2026 Table 23 '!Y:Y,'AEO 2026 Table 23 '!$B:$B,"*,"&amp;$A15&amp;",*"))/SUMIFS('AEO 2026 Table 23 '!Y:Y,'AEO 2026 Table 23 '!$B:$B,"*,"&amp;$A15&amp;",*"),"")</f>
        <v/>
      </c>
      <c r="X15">
        <f>IFERROR((SUMIFS('AEO 2026 Table 23 '!AA:AA,'AEO 2026 Table 23 '!$B:$B,"*,"&amp;$A15&amp;",*")-SUMIFS('AEO 2026 Table 23 '!Z:Z,'AEO 2026 Table 23 '!$B:$B,"*,"&amp;$A15&amp;",*"))/SUMIFS('AEO 2026 Table 23 '!Z:Z,'AEO 2026 Table 23 '!$B:$B,"*,"&amp;$A15&amp;",*"),"")</f>
        <v/>
      </c>
      <c r="Y15">
        <f>IFERROR((SUMIFS('AEO 2026 Table 23 '!AB:AB,'AEO 2026 Table 23 '!$B:$B,"*,"&amp;$A15&amp;",*")-SUMIFS('AEO 2026 Table 23 '!AA:AA,'AEO 2026 Table 23 '!$B:$B,"*,"&amp;$A15&amp;",*"))/SUMIFS('AEO 2026 Table 23 '!AA:AA,'AEO 2026 Table 23 '!$B:$B,"*,"&amp;$A15&amp;",*"),"")</f>
        <v/>
      </c>
      <c r="Z15">
        <f>IFERROR((SUMIFS('AEO 2026 Table 23 '!AC:AC,'AEO 2026 Table 23 '!$B:$B,"*,"&amp;$A15&amp;",*")-SUMIFS('AEO 2026 Table 23 '!AB:AB,'AEO 2026 Table 23 '!$B:$B,"*,"&amp;$A15&amp;",*"))/SUMIFS('AEO 2026 Table 23 '!AB:AB,'AEO 2026 Table 23 '!$B:$B,"*,"&amp;$A15&amp;",*"),"")</f>
        <v/>
      </c>
      <c r="AA15">
        <f>IFERROR((SUMIFS('AEO 2026 Table 23 '!AD:AD,'AEO 2026 Table 23 '!$B:$B,"*,"&amp;$A15&amp;",*")-SUMIFS('AEO 2026 Table 23 '!AC:AC,'AEO 2026 Table 23 '!$B:$B,"*,"&amp;$A15&amp;",*"))/SUMIFS('AEO 2026 Table 23 '!AC:AC,'AEO 2026 Table 23 '!$B:$B,"*,"&amp;$A15&amp;",*"),"")</f>
        <v/>
      </c>
      <c r="AB15">
        <f>IFERROR((SUMIFS('AEO 2026 Table 23 '!AE:AE,'AEO 2026 Table 23 '!$B:$B,"*,"&amp;$A15&amp;",*")-SUMIFS('AEO 2026 Table 23 '!AD:AD,'AEO 2026 Table 23 '!$B:$B,"*,"&amp;$A15&amp;",*"))/SUMIFS('AEO 2026 Table 23 '!AD:AD,'AEO 2026 Table 23 '!$B:$B,"*,"&amp;$A15&amp;",*"),"")</f>
        <v/>
      </c>
      <c r="AC15">
        <f>IFERROR((SUMIFS('AEO 2026 Table 23 '!AF:AF,'AEO 2026 Table 23 '!$B:$B,"*,"&amp;$A15&amp;",*")-SUMIFS('AEO 2026 Table 23 '!AE:AE,'AEO 2026 Table 23 '!$B:$B,"*,"&amp;$A15&amp;",*"))/SUMIFS('AEO 2026 Table 23 '!AE:AE,'AEO 2026 Table 23 '!$B:$B,"*,"&amp;$A15&amp;",*"),"")</f>
        <v/>
      </c>
    </row>
    <row r="16">
      <c r="A16" t="inlineStr">
        <is>
          <t>ISIC 19</t>
        </is>
      </c>
      <c r="B16">
        <f>IFERROR(SUMPRODUCT(--('BLS Table 2.11'!$L$1:$L$426=$A16),'BLS Table 2.11'!$J$1:$J$426,'BLS Table 2.11'!$K$1:$K$426)/SUMIFS('BLS Table 2.11'!$J$1:$J$426,'BLS Table 2.11'!$L$1:$L$426,$A16)/100,0)</f>
        <v/>
      </c>
      <c r="D16">
        <f>IFERROR((SUMIFS('AEO 2026 Table 23 '!G:G,'AEO 2026 Table 23 '!$B:$B,"*,"&amp;$A16&amp;",*")-SUMIFS('AEO25 Table 23'!H:H,'AEO25 Table 23'!$B:$B,"*,"&amp;$A16&amp;",*"))/SUMIFS('AEO25 Table 23'!H:H,'AEO25 Table 23'!$B:$B,"*,"&amp;$A16&amp;",*"),"")</f>
        <v/>
      </c>
      <c r="E16">
        <f>IFERROR((SUMIFS('AEO 2026 Table 23 '!H:H,'AEO 2026 Table 23 '!$B:$B,"*,"&amp;$A16&amp;",*")-SUMIFS('AEO 2026 Table 23 '!G:G,'AEO 2026 Table 23 '!$B:$B,"*,"&amp;$A16&amp;",*"))/SUMIFS('AEO 2026 Table 23 '!G:G,'AEO 2026 Table 23 '!$B:$B,"*,"&amp;$A16&amp;",*"),"")</f>
        <v/>
      </c>
      <c r="F16">
        <f>IFERROR((SUMIFS('AEO 2026 Table 23 '!I:I,'AEO 2026 Table 23 '!$B:$B,"*,"&amp;$A16&amp;",*")-SUMIFS('AEO 2026 Table 23 '!H:H,'AEO 2026 Table 23 '!$B:$B,"*,"&amp;$A16&amp;",*"))/SUMIFS('AEO 2026 Table 23 '!H:H,'AEO 2026 Table 23 '!$B:$B,"*,"&amp;$A16&amp;",*"),"")</f>
        <v/>
      </c>
      <c r="G16">
        <f>IFERROR((SUMIFS('AEO 2026 Table 23 '!J:J,'AEO 2026 Table 23 '!$B:$B,"*,"&amp;$A16&amp;",*")-SUMIFS('AEO 2026 Table 23 '!I:I,'AEO 2026 Table 23 '!$B:$B,"*,"&amp;$A16&amp;",*"))/SUMIFS('AEO 2026 Table 23 '!I:I,'AEO 2026 Table 23 '!$B:$B,"*,"&amp;$A16&amp;",*"),"")</f>
        <v/>
      </c>
      <c r="H16">
        <f>IFERROR((SUMIFS('AEO 2026 Table 23 '!K:K,'AEO 2026 Table 23 '!$B:$B,"*,"&amp;$A16&amp;",*")-SUMIFS('AEO 2026 Table 23 '!J:J,'AEO 2026 Table 23 '!$B:$B,"*,"&amp;$A16&amp;",*"))/SUMIFS('AEO 2026 Table 23 '!J:J,'AEO 2026 Table 23 '!$B:$B,"*,"&amp;$A16&amp;",*"),"")</f>
        <v/>
      </c>
      <c r="I16">
        <f>IFERROR((SUMIFS('AEO 2026 Table 23 '!L:L,'AEO 2026 Table 23 '!$B:$B,"*,"&amp;$A16&amp;",*")-SUMIFS('AEO 2026 Table 23 '!K:K,'AEO 2026 Table 23 '!$B:$B,"*,"&amp;$A16&amp;",*"))/SUMIFS('AEO 2026 Table 23 '!K:K,'AEO 2026 Table 23 '!$B:$B,"*,"&amp;$A16&amp;",*"),"")</f>
        <v/>
      </c>
      <c r="J16">
        <f>IFERROR((SUMIFS('AEO 2026 Table 23 '!M:M,'AEO 2026 Table 23 '!$B:$B,"*,"&amp;$A16&amp;",*")-SUMIFS('AEO 2026 Table 23 '!L:L,'AEO 2026 Table 23 '!$B:$B,"*,"&amp;$A16&amp;",*"))/SUMIFS('AEO 2026 Table 23 '!L:L,'AEO 2026 Table 23 '!$B:$B,"*,"&amp;$A16&amp;",*"),"")</f>
        <v/>
      </c>
      <c r="K16">
        <f>IFERROR((SUMIFS('AEO 2026 Table 23 '!N:N,'AEO 2026 Table 23 '!$B:$B,"*,"&amp;$A16&amp;",*")-SUMIFS('AEO 2026 Table 23 '!M:M,'AEO 2026 Table 23 '!$B:$B,"*,"&amp;$A16&amp;",*"))/SUMIFS('AEO 2026 Table 23 '!M:M,'AEO 2026 Table 23 '!$B:$B,"*,"&amp;$A16&amp;",*"),"")</f>
        <v/>
      </c>
      <c r="L16">
        <f>IFERROR((SUMIFS('AEO 2026 Table 23 '!O:O,'AEO 2026 Table 23 '!$B:$B,"*,"&amp;$A16&amp;",*")-SUMIFS('AEO 2026 Table 23 '!N:N,'AEO 2026 Table 23 '!$B:$B,"*,"&amp;$A16&amp;",*"))/SUMIFS('AEO 2026 Table 23 '!N:N,'AEO 2026 Table 23 '!$B:$B,"*,"&amp;$A16&amp;",*"),"")</f>
        <v/>
      </c>
      <c r="M16">
        <f>IFERROR((SUMIFS('AEO 2026 Table 23 '!P:P,'AEO 2026 Table 23 '!$B:$B,"*,"&amp;$A16&amp;",*")-SUMIFS('AEO 2026 Table 23 '!O:O,'AEO 2026 Table 23 '!$B:$B,"*,"&amp;$A16&amp;",*"))/SUMIFS('AEO 2026 Table 23 '!O:O,'AEO 2026 Table 23 '!$B:$B,"*,"&amp;$A16&amp;",*"),"")</f>
        <v/>
      </c>
      <c r="N16">
        <f>IFERROR((SUMIFS('AEO 2026 Table 23 '!Q:Q,'AEO 2026 Table 23 '!$B:$B,"*,"&amp;$A16&amp;",*")-SUMIFS('AEO 2026 Table 23 '!P:P,'AEO 2026 Table 23 '!$B:$B,"*,"&amp;$A16&amp;",*"))/SUMIFS('AEO 2026 Table 23 '!P:P,'AEO 2026 Table 23 '!$B:$B,"*,"&amp;$A16&amp;",*"),"")</f>
        <v/>
      </c>
      <c r="O16">
        <f>IFERROR((SUMIFS('AEO 2026 Table 23 '!R:R,'AEO 2026 Table 23 '!$B:$B,"*,"&amp;$A16&amp;",*")-SUMIFS('AEO 2026 Table 23 '!Q:Q,'AEO 2026 Table 23 '!$B:$B,"*,"&amp;$A16&amp;",*"))/SUMIFS('AEO 2026 Table 23 '!Q:Q,'AEO 2026 Table 23 '!$B:$B,"*,"&amp;$A16&amp;",*"),"")</f>
        <v/>
      </c>
      <c r="P16">
        <f>IFERROR((SUMIFS('AEO 2026 Table 23 '!S:S,'AEO 2026 Table 23 '!$B:$B,"*,"&amp;$A16&amp;",*")-SUMIFS('AEO 2026 Table 23 '!R:R,'AEO 2026 Table 23 '!$B:$B,"*,"&amp;$A16&amp;",*"))/SUMIFS('AEO 2026 Table 23 '!R:R,'AEO 2026 Table 23 '!$B:$B,"*,"&amp;$A16&amp;",*"),"")</f>
        <v/>
      </c>
      <c r="Q16">
        <f>IFERROR((SUMIFS('AEO 2026 Table 23 '!T:T,'AEO 2026 Table 23 '!$B:$B,"*,"&amp;$A16&amp;",*")-SUMIFS('AEO 2026 Table 23 '!S:S,'AEO 2026 Table 23 '!$B:$B,"*,"&amp;$A16&amp;",*"))/SUMIFS('AEO 2026 Table 23 '!S:S,'AEO 2026 Table 23 '!$B:$B,"*,"&amp;$A16&amp;",*"),"")</f>
        <v/>
      </c>
      <c r="R16">
        <f>IFERROR((SUMIFS('AEO 2026 Table 23 '!U:U,'AEO 2026 Table 23 '!$B:$B,"*,"&amp;$A16&amp;",*")-SUMIFS('AEO 2026 Table 23 '!T:T,'AEO 2026 Table 23 '!$B:$B,"*,"&amp;$A16&amp;",*"))/SUMIFS('AEO 2026 Table 23 '!T:T,'AEO 2026 Table 23 '!$B:$B,"*,"&amp;$A16&amp;",*"),"")</f>
        <v/>
      </c>
      <c r="S16">
        <f>IFERROR((SUMIFS('AEO 2026 Table 23 '!V:V,'AEO 2026 Table 23 '!$B:$B,"*,"&amp;$A16&amp;",*")-SUMIFS('AEO 2026 Table 23 '!U:U,'AEO 2026 Table 23 '!$B:$B,"*,"&amp;$A16&amp;",*"))/SUMIFS('AEO 2026 Table 23 '!U:U,'AEO 2026 Table 23 '!$B:$B,"*,"&amp;$A16&amp;",*"),"")</f>
        <v/>
      </c>
      <c r="T16">
        <f>IFERROR((SUMIFS('AEO 2026 Table 23 '!W:W,'AEO 2026 Table 23 '!$B:$B,"*,"&amp;$A16&amp;",*")-SUMIFS('AEO 2026 Table 23 '!V:V,'AEO 2026 Table 23 '!$B:$B,"*,"&amp;$A16&amp;",*"))/SUMIFS('AEO 2026 Table 23 '!V:V,'AEO 2026 Table 23 '!$B:$B,"*,"&amp;$A16&amp;",*"),"")</f>
        <v/>
      </c>
      <c r="U16">
        <f>IFERROR((SUMIFS('AEO 2026 Table 23 '!X:X,'AEO 2026 Table 23 '!$B:$B,"*,"&amp;$A16&amp;",*")-SUMIFS('AEO 2026 Table 23 '!W:W,'AEO 2026 Table 23 '!$B:$B,"*,"&amp;$A16&amp;",*"))/SUMIFS('AEO 2026 Table 23 '!W:W,'AEO 2026 Table 23 '!$B:$B,"*,"&amp;$A16&amp;",*"),"")</f>
        <v/>
      </c>
      <c r="V16">
        <f>IFERROR((SUMIFS('AEO 2026 Table 23 '!Y:Y,'AEO 2026 Table 23 '!$B:$B,"*,"&amp;$A16&amp;",*")-SUMIFS('AEO 2026 Table 23 '!X:X,'AEO 2026 Table 23 '!$B:$B,"*,"&amp;$A16&amp;",*"))/SUMIFS('AEO 2026 Table 23 '!X:X,'AEO 2026 Table 23 '!$B:$B,"*,"&amp;$A16&amp;",*"),"")</f>
        <v/>
      </c>
      <c r="W16">
        <f>IFERROR((SUMIFS('AEO 2026 Table 23 '!Z:Z,'AEO 2026 Table 23 '!$B:$B,"*,"&amp;$A16&amp;",*")-SUMIFS('AEO 2026 Table 23 '!Y:Y,'AEO 2026 Table 23 '!$B:$B,"*,"&amp;$A16&amp;",*"))/SUMIFS('AEO 2026 Table 23 '!Y:Y,'AEO 2026 Table 23 '!$B:$B,"*,"&amp;$A16&amp;",*"),"")</f>
        <v/>
      </c>
      <c r="X16">
        <f>IFERROR((SUMIFS('AEO 2026 Table 23 '!AA:AA,'AEO 2026 Table 23 '!$B:$B,"*,"&amp;$A16&amp;",*")-SUMIFS('AEO 2026 Table 23 '!Z:Z,'AEO 2026 Table 23 '!$B:$B,"*,"&amp;$A16&amp;",*"))/SUMIFS('AEO 2026 Table 23 '!Z:Z,'AEO 2026 Table 23 '!$B:$B,"*,"&amp;$A16&amp;",*"),"")</f>
        <v/>
      </c>
      <c r="Y16">
        <f>IFERROR((SUMIFS('AEO 2026 Table 23 '!AB:AB,'AEO 2026 Table 23 '!$B:$B,"*,"&amp;$A16&amp;",*")-SUMIFS('AEO 2026 Table 23 '!AA:AA,'AEO 2026 Table 23 '!$B:$B,"*,"&amp;$A16&amp;",*"))/SUMIFS('AEO 2026 Table 23 '!AA:AA,'AEO 2026 Table 23 '!$B:$B,"*,"&amp;$A16&amp;",*"),"")</f>
        <v/>
      </c>
      <c r="Z16">
        <f>IFERROR((SUMIFS('AEO 2026 Table 23 '!AC:AC,'AEO 2026 Table 23 '!$B:$B,"*,"&amp;$A16&amp;",*")-SUMIFS('AEO 2026 Table 23 '!AB:AB,'AEO 2026 Table 23 '!$B:$B,"*,"&amp;$A16&amp;",*"))/SUMIFS('AEO 2026 Table 23 '!AB:AB,'AEO 2026 Table 23 '!$B:$B,"*,"&amp;$A16&amp;",*"),"")</f>
        <v/>
      </c>
      <c r="AA16">
        <f>IFERROR((SUMIFS('AEO 2026 Table 23 '!AD:AD,'AEO 2026 Table 23 '!$B:$B,"*,"&amp;$A16&amp;",*")-SUMIFS('AEO 2026 Table 23 '!AC:AC,'AEO 2026 Table 23 '!$B:$B,"*,"&amp;$A16&amp;",*"))/SUMIFS('AEO 2026 Table 23 '!AC:AC,'AEO 2026 Table 23 '!$B:$B,"*,"&amp;$A16&amp;",*"),"")</f>
        <v/>
      </c>
      <c r="AB16">
        <f>IFERROR((SUMIFS('AEO 2026 Table 23 '!AE:AE,'AEO 2026 Table 23 '!$B:$B,"*,"&amp;$A16&amp;",*")-SUMIFS('AEO 2026 Table 23 '!AD:AD,'AEO 2026 Table 23 '!$B:$B,"*,"&amp;$A16&amp;",*"))/SUMIFS('AEO 2026 Table 23 '!AD:AD,'AEO 2026 Table 23 '!$B:$B,"*,"&amp;$A16&amp;",*"),"")</f>
        <v/>
      </c>
      <c r="AC16">
        <f>IFERROR((SUMIFS('AEO 2026 Table 23 '!AF:AF,'AEO 2026 Table 23 '!$B:$B,"*,"&amp;$A16&amp;",*")-SUMIFS('AEO 2026 Table 23 '!AE:AE,'AEO 2026 Table 23 '!$B:$B,"*,"&amp;$A16&amp;",*"))/SUMIFS('AEO 2026 Table 23 '!AE:AE,'AEO 2026 Table 23 '!$B:$B,"*,"&amp;$A16&amp;",*"),"")</f>
        <v/>
      </c>
    </row>
    <row r="17">
      <c r="A17" t="inlineStr">
        <is>
          <t>ISIC 20</t>
        </is>
      </c>
      <c r="B17">
        <f>IFERROR(SUMPRODUCT(--('BLS Table 2.11'!$L$1:$L$426=$A17),'BLS Table 2.11'!$J$1:$J$426,'BLS Table 2.11'!$K$1:$K$426)/SUMIFS('BLS Table 2.11'!$J$1:$J$426,'BLS Table 2.11'!$L$1:$L$426,$A17)/100,0)</f>
        <v/>
      </c>
      <c r="D17">
        <f>IFERROR((SUMIFS('AEO 2026 Table 23 '!G:G,'AEO 2026 Table 23 '!$B:$B,"*,"&amp;$A17&amp;",*")-SUMIFS('AEO25 Table 23'!H:H,'AEO25 Table 23'!$B:$B,"*,"&amp;$A17&amp;",*"))/SUMIFS('AEO25 Table 23'!H:H,'AEO25 Table 23'!$B:$B,"*,"&amp;$A17&amp;",*"),"")</f>
        <v/>
      </c>
      <c r="E17">
        <f>IFERROR((SUMIFS('AEO 2026 Table 23 '!H:H,'AEO 2026 Table 23 '!$B:$B,"*,"&amp;$A17&amp;",*")-SUMIFS('AEO 2026 Table 23 '!G:G,'AEO 2026 Table 23 '!$B:$B,"*,"&amp;$A17&amp;",*"))/SUMIFS('AEO 2026 Table 23 '!G:G,'AEO 2026 Table 23 '!$B:$B,"*,"&amp;$A17&amp;",*"),"")</f>
        <v/>
      </c>
      <c r="F17">
        <f>IFERROR((SUMIFS('AEO 2026 Table 23 '!I:I,'AEO 2026 Table 23 '!$B:$B,"*,"&amp;$A17&amp;",*")-SUMIFS('AEO 2026 Table 23 '!H:H,'AEO 2026 Table 23 '!$B:$B,"*,"&amp;$A17&amp;",*"))/SUMIFS('AEO 2026 Table 23 '!H:H,'AEO 2026 Table 23 '!$B:$B,"*,"&amp;$A17&amp;",*"),"")</f>
        <v/>
      </c>
      <c r="G17">
        <f>IFERROR((SUMIFS('AEO 2026 Table 23 '!J:J,'AEO 2026 Table 23 '!$B:$B,"*,"&amp;$A17&amp;",*")-SUMIFS('AEO 2026 Table 23 '!I:I,'AEO 2026 Table 23 '!$B:$B,"*,"&amp;$A17&amp;",*"))/SUMIFS('AEO 2026 Table 23 '!I:I,'AEO 2026 Table 23 '!$B:$B,"*,"&amp;$A17&amp;",*"),"")</f>
        <v/>
      </c>
      <c r="H17">
        <f>IFERROR((SUMIFS('AEO 2026 Table 23 '!K:K,'AEO 2026 Table 23 '!$B:$B,"*,"&amp;$A17&amp;",*")-SUMIFS('AEO 2026 Table 23 '!J:J,'AEO 2026 Table 23 '!$B:$B,"*,"&amp;$A17&amp;",*"))/SUMIFS('AEO 2026 Table 23 '!J:J,'AEO 2026 Table 23 '!$B:$B,"*,"&amp;$A17&amp;",*"),"")</f>
        <v/>
      </c>
      <c r="I17">
        <f>IFERROR((SUMIFS('AEO 2026 Table 23 '!L:L,'AEO 2026 Table 23 '!$B:$B,"*,"&amp;$A17&amp;",*")-SUMIFS('AEO 2026 Table 23 '!K:K,'AEO 2026 Table 23 '!$B:$B,"*,"&amp;$A17&amp;",*"))/SUMIFS('AEO 2026 Table 23 '!K:K,'AEO 2026 Table 23 '!$B:$B,"*,"&amp;$A17&amp;",*"),"")</f>
        <v/>
      </c>
      <c r="J17">
        <f>IFERROR((SUMIFS('AEO 2026 Table 23 '!M:M,'AEO 2026 Table 23 '!$B:$B,"*,"&amp;$A17&amp;",*")-SUMIFS('AEO 2026 Table 23 '!L:L,'AEO 2026 Table 23 '!$B:$B,"*,"&amp;$A17&amp;",*"))/SUMIFS('AEO 2026 Table 23 '!L:L,'AEO 2026 Table 23 '!$B:$B,"*,"&amp;$A17&amp;",*"),"")</f>
        <v/>
      </c>
      <c r="K17">
        <f>IFERROR((SUMIFS('AEO 2026 Table 23 '!N:N,'AEO 2026 Table 23 '!$B:$B,"*,"&amp;$A17&amp;",*")-SUMIFS('AEO 2026 Table 23 '!M:M,'AEO 2026 Table 23 '!$B:$B,"*,"&amp;$A17&amp;",*"))/SUMIFS('AEO 2026 Table 23 '!M:M,'AEO 2026 Table 23 '!$B:$B,"*,"&amp;$A17&amp;",*"),"")</f>
        <v/>
      </c>
      <c r="L17">
        <f>IFERROR((SUMIFS('AEO 2026 Table 23 '!O:O,'AEO 2026 Table 23 '!$B:$B,"*,"&amp;$A17&amp;",*")-SUMIFS('AEO 2026 Table 23 '!N:N,'AEO 2026 Table 23 '!$B:$B,"*,"&amp;$A17&amp;",*"))/SUMIFS('AEO 2026 Table 23 '!N:N,'AEO 2026 Table 23 '!$B:$B,"*,"&amp;$A17&amp;",*"),"")</f>
        <v/>
      </c>
      <c r="M17">
        <f>IFERROR((SUMIFS('AEO 2026 Table 23 '!P:P,'AEO 2026 Table 23 '!$B:$B,"*,"&amp;$A17&amp;",*")-SUMIFS('AEO 2026 Table 23 '!O:O,'AEO 2026 Table 23 '!$B:$B,"*,"&amp;$A17&amp;",*"))/SUMIFS('AEO 2026 Table 23 '!O:O,'AEO 2026 Table 23 '!$B:$B,"*,"&amp;$A17&amp;",*"),"")</f>
        <v/>
      </c>
      <c r="N17">
        <f>IFERROR((SUMIFS('AEO 2026 Table 23 '!Q:Q,'AEO 2026 Table 23 '!$B:$B,"*,"&amp;$A17&amp;",*")-SUMIFS('AEO 2026 Table 23 '!P:P,'AEO 2026 Table 23 '!$B:$B,"*,"&amp;$A17&amp;",*"))/SUMIFS('AEO 2026 Table 23 '!P:P,'AEO 2026 Table 23 '!$B:$B,"*,"&amp;$A17&amp;",*"),"")</f>
        <v/>
      </c>
      <c r="O17">
        <f>IFERROR((SUMIFS('AEO 2026 Table 23 '!R:R,'AEO 2026 Table 23 '!$B:$B,"*,"&amp;$A17&amp;",*")-SUMIFS('AEO 2026 Table 23 '!Q:Q,'AEO 2026 Table 23 '!$B:$B,"*,"&amp;$A17&amp;",*"))/SUMIFS('AEO 2026 Table 23 '!Q:Q,'AEO 2026 Table 23 '!$B:$B,"*,"&amp;$A17&amp;",*"),"")</f>
        <v/>
      </c>
      <c r="P17">
        <f>IFERROR((SUMIFS('AEO 2026 Table 23 '!S:S,'AEO 2026 Table 23 '!$B:$B,"*,"&amp;$A17&amp;",*")-SUMIFS('AEO 2026 Table 23 '!R:R,'AEO 2026 Table 23 '!$B:$B,"*,"&amp;$A17&amp;",*"))/SUMIFS('AEO 2026 Table 23 '!R:R,'AEO 2026 Table 23 '!$B:$B,"*,"&amp;$A17&amp;",*"),"")</f>
        <v/>
      </c>
      <c r="Q17">
        <f>IFERROR((SUMIFS('AEO 2026 Table 23 '!T:T,'AEO 2026 Table 23 '!$B:$B,"*,"&amp;$A17&amp;",*")-SUMIFS('AEO 2026 Table 23 '!S:S,'AEO 2026 Table 23 '!$B:$B,"*,"&amp;$A17&amp;",*"))/SUMIFS('AEO 2026 Table 23 '!S:S,'AEO 2026 Table 23 '!$B:$B,"*,"&amp;$A17&amp;",*"),"")</f>
        <v/>
      </c>
      <c r="R17">
        <f>IFERROR((SUMIFS('AEO 2026 Table 23 '!U:U,'AEO 2026 Table 23 '!$B:$B,"*,"&amp;$A17&amp;",*")-SUMIFS('AEO 2026 Table 23 '!T:T,'AEO 2026 Table 23 '!$B:$B,"*,"&amp;$A17&amp;",*"))/SUMIFS('AEO 2026 Table 23 '!T:T,'AEO 2026 Table 23 '!$B:$B,"*,"&amp;$A17&amp;",*"),"")</f>
        <v/>
      </c>
      <c r="S17">
        <f>IFERROR((SUMIFS('AEO 2026 Table 23 '!V:V,'AEO 2026 Table 23 '!$B:$B,"*,"&amp;$A17&amp;",*")-SUMIFS('AEO 2026 Table 23 '!U:U,'AEO 2026 Table 23 '!$B:$B,"*,"&amp;$A17&amp;",*"))/SUMIFS('AEO 2026 Table 23 '!U:U,'AEO 2026 Table 23 '!$B:$B,"*,"&amp;$A17&amp;",*"),"")</f>
        <v/>
      </c>
      <c r="T17">
        <f>IFERROR((SUMIFS('AEO 2026 Table 23 '!W:W,'AEO 2026 Table 23 '!$B:$B,"*,"&amp;$A17&amp;",*")-SUMIFS('AEO 2026 Table 23 '!V:V,'AEO 2026 Table 23 '!$B:$B,"*,"&amp;$A17&amp;",*"))/SUMIFS('AEO 2026 Table 23 '!V:V,'AEO 2026 Table 23 '!$B:$B,"*,"&amp;$A17&amp;",*"),"")</f>
        <v/>
      </c>
      <c r="U17">
        <f>IFERROR((SUMIFS('AEO 2026 Table 23 '!X:X,'AEO 2026 Table 23 '!$B:$B,"*,"&amp;$A17&amp;",*")-SUMIFS('AEO 2026 Table 23 '!W:W,'AEO 2026 Table 23 '!$B:$B,"*,"&amp;$A17&amp;",*"))/SUMIFS('AEO 2026 Table 23 '!W:W,'AEO 2026 Table 23 '!$B:$B,"*,"&amp;$A17&amp;",*"),"")</f>
        <v/>
      </c>
      <c r="V17">
        <f>IFERROR((SUMIFS('AEO 2026 Table 23 '!Y:Y,'AEO 2026 Table 23 '!$B:$B,"*,"&amp;$A17&amp;",*")-SUMIFS('AEO 2026 Table 23 '!X:X,'AEO 2026 Table 23 '!$B:$B,"*,"&amp;$A17&amp;",*"))/SUMIFS('AEO 2026 Table 23 '!X:X,'AEO 2026 Table 23 '!$B:$B,"*,"&amp;$A17&amp;",*"),"")</f>
        <v/>
      </c>
      <c r="W17">
        <f>IFERROR((SUMIFS('AEO 2026 Table 23 '!Z:Z,'AEO 2026 Table 23 '!$B:$B,"*,"&amp;$A17&amp;",*")-SUMIFS('AEO 2026 Table 23 '!Y:Y,'AEO 2026 Table 23 '!$B:$B,"*,"&amp;$A17&amp;",*"))/SUMIFS('AEO 2026 Table 23 '!Y:Y,'AEO 2026 Table 23 '!$B:$B,"*,"&amp;$A17&amp;",*"),"")</f>
        <v/>
      </c>
      <c r="X17">
        <f>IFERROR((SUMIFS('AEO 2026 Table 23 '!AA:AA,'AEO 2026 Table 23 '!$B:$B,"*,"&amp;$A17&amp;",*")-SUMIFS('AEO 2026 Table 23 '!Z:Z,'AEO 2026 Table 23 '!$B:$B,"*,"&amp;$A17&amp;",*"))/SUMIFS('AEO 2026 Table 23 '!Z:Z,'AEO 2026 Table 23 '!$B:$B,"*,"&amp;$A17&amp;",*"),"")</f>
        <v/>
      </c>
      <c r="Y17">
        <f>IFERROR((SUMIFS('AEO 2026 Table 23 '!AB:AB,'AEO 2026 Table 23 '!$B:$B,"*,"&amp;$A17&amp;",*")-SUMIFS('AEO 2026 Table 23 '!AA:AA,'AEO 2026 Table 23 '!$B:$B,"*,"&amp;$A17&amp;",*"))/SUMIFS('AEO 2026 Table 23 '!AA:AA,'AEO 2026 Table 23 '!$B:$B,"*,"&amp;$A17&amp;",*"),"")</f>
        <v/>
      </c>
      <c r="Z17">
        <f>IFERROR((SUMIFS('AEO 2026 Table 23 '!AC:AC,'AEO 2026 Table 23 '!$B:$B,"*,"&amp;$A17&amp;",*")-SUMIFS('AEO 2026 Table 23 '!AB:AB,'AEO 2026 Table 23 '!$B:$B,"*,"&amp;$A17&amp;",*"))/SUMIFS('AEO 2026 Table 23 '!AB:AB,'AEO 2026 Table 23 '!$B:$B,"*,"&amp;$A17&amp;",*"),"")</f>
        <v/>
      </c>
      <c r="AA17">
        <f>IFERROR((SUMIFS('AEO 2026 Table 23 '!AD:AD,'AEO 2026 Table 23 '!$B:$B,"*,"&amp;$A17&amp;",*")-SUMIFS('AEO 2026 Table 23 '!AC:AC,'AEO 2026 Table 23 '!$B:$B,"*,"&amp;$A17&amp;",*"))/SUMIFS('AEO 2026 Table 23 '!AC:AC,'AEO 2026 Table 23 '!$B:$B,"*,"&amp;$A17&amp;",*"),"")</f>
        <v/>
      </c>
      <c r="AB17">
        <f>IFERROR((SUMIFS('AEO 2026 Table 23 '!AE:AE,'AEO 2026 Table 23 '!$B:$B,"*,"&amp;$A17&amp;",*")-SUMIFS('AEO 2026 Table 23 '!AD:AD,'AEO 2026 Table 23 '!$B:$B,"*,"&amp;$A17&amp;",*"))/SUMIFS('AEO 2026 Table 23 '!AD:AD,'AEO 2026 Table 23 '!$B:$B,"*,"&amp;$A17&amp;",*"),"")</f>
        <v/>
      </c>
      <c r="AC17">
        <f>IFERROR((SUMIFS('AEO 2026 Table 23 '!AF:AF,'AEO 2026 Table 23 '!$B:$B,"*,"&amp;$A17&amp;",*")-SUMIFS('AEO 2026 Table 23 '!AE:AE,'AEO 2026 Table 23 '!$B:$B,"*,"&amp;$A17&amp;",*"))/SUMIFS('AEO 2026 Table 23 '!AE:AE,'AEO 2026 Table 23 '!$B:$B,"*,"&amp;$A17&amp;",*"),"")</f>
        <v/>
      </c>
    </row>
    <row r="18">
      <c r="A18" t="inlineStr">
        <is>
          <t>ISIC 21</t>
        </is>
      </c>
      <c r="B18">
        <f>IFERROR(SUMPRODUCT(--('BLS Table 2.11'!$L$1:$L$426=$A18),'BLS Table 2.11'!$J$1:$J$426,'BLS Table 2.11'!$K$1:$K$426)/SUMIFS('BLS Table 2.11'!$J$1:$J$426,'BLS Table 2.11'!$L$1:$L$426,$A18)/100,0)</f>
        <v/>
      </c>
      <c r="D18">
        <f>IFERROR((SUMIFS('AEO 2026 Table 23 '!G:G,'AEO 2026 Table 23 '!$B:$B,"*,"&amp;$A18&amp;",*")-SUMIFS('AEO25 Table 23'!H:H,'AEO25 Table 23'!$B:$B,"*,"&amp;$A18&amp;",*"))/SUMIFS('AEO25 Table 23'!H:H,'AEO25 Table 23'!$B:$B,"*,"&amp;$A18&amp;",*"),"")</f>
        <v/>
      </c>
      <c r="E18">
        <f>IFERROR((SUMIFS('AEO 2026 Table 23 '!H:H,'AEO 2026 Table 23 '!$B:$B,"*,"&amp;$A18&amp;",*")-SUMIFS('AEO 2026 Table 23 '!G:G,'AEO 2026 Table 23 '!$B:$B,"*,"&amp;$A18&amp;",*"))/SUMIFS('AEO 2026 Table 23 '!G:G,'AEO 2026 Table 23 '!$B:$B,"*,"&amp;$A18&amp;",*"),"")</f>
        <v/>
      </c>
      <c r="F18">
        <f>IFERROR((SUMIFS('AEO 2026 Table 23 '!I:I,'AEO 2026 Table 23 '!$B:$B,"*,"&amp;$A18&amp;",*")-SUMIFS('AEO 2026 Table 23 '!H:H,'AEO 2026 Table 23 '!$B:$B,"*,"&amp;$A18&amp;",*"))/SUMIFS('AEO 2026 Table 23 '!H:H,'AEO 2026 Table 23 '!$B:$B,"*,"&amp;$A18&amp;",*"),"")</f>
        <v/>
      </c>
      <c r="G18">
        <f>IFERROR((SUMIFS('AEO 2026 Table 23 '!J:J,'AEO 2026 Table 23 '!$B:$B,"*,"&amp;$A18&amp;",*")-SUMIFS('AEO 2026 Table 23 '!I:I,'AEO 2026 Table 23 '!$B:$B,"*,"&amp;$A18&amp;",*"))/SUMIFS('AEO 2026 Table 23 '!I:I,'AEO 2026 Table 23 '!$B:$B,"*,"&amp;$A18&amp;",*"),"")</f>
        <v/>
      </c>
      <c r="H18">
        <f>IFERROR((SUMIFS('AEO 2026 Table 23 '!K:K,'AEO 2026 Table 23 '!$B:$B,"*,"&amp;$A18&amp;",*")-SUMIFS('AEO 2026 Table 23 '!J:J,'AEO 2026 Table 23 '!$B:$B,"*,"&amp;$A18&amp;",*"))/SUMIFS('AEO 2026 Table 23 '!J:J,'AEO 2026 Table 23 '!$B:$B,"*,"&amp;$A18&amp;",*"),"")</f>
        <v/>
      </c>
      <c r="I18">
        <f>IFERROR((SUMIFS('AEO 2026 Table 23 '!L:L,'AEO 2026 Table 23 '!$B:$B,"*,"&amp;$A18&amp;",*")-SUMIFS('AEO 2026 Table 23 '!K:K,'AEO 2026 Table 23 '!$B:$B,"*,"&amp;$A18&amp;",*"))/SUMIFS('AEO 2026 Table 23 '!K:K,'AEO 2026 Table 23 '!$B:$B,"*,"&amp;$A18&amp;",*"),"")</f>
        <v/>
      </c>
      <c r="J18">
        <f>IFERROR((SUMIFS('AEO 2026 Table 23 '!M:M,'AEO 2026 Table 23 '!$B:$B,"*,"&amp;$A18&amp;",*")-SUMIFS('AEO 2026 Table 23 '!L:L,'AEO 2026 Table 23 '!$B:$B,"*,"&amp;$A18&amp;",*"))/SUMIFS('AEO 2026 Table 23 '!L:L,'AEO 2026 Table 23 '!$B:$B,"*,"&amp;$A18&amp;",*"),"")</f>
        <v/>
      </c>
      <c r="K18">
        <f>IFERROR((SUMIFS('AEO 2026 Table 23 '!N:N,'AEO 2026 Table 23 '!$B:$B,"*,"&amp;$A18&amp;",*")-SUMIFS('AEO 2026 Table 23 '!M:M,'AEO 2026 Table 23 '!$B:$B,"*,"&amp;$A18&amp;",*"))/SUMIFS('AEO 2026 Table 23 '!M:M,'AEO 2026 Table 23 '!$B:$B,"*,"&amp;$A18&amp;",*"),"")</f>
        <v/>
      </c>
      <c r="L18">
        <f>IFERROR((SUMIFS('AEO 2026 Table 23 '!O:O,'AEO 2026 Table 23 '!$B:$B,"*,"&amp;$A18&amp;",*")-SUMIFS('AEO 2026 Table 23 '!N:N,'AEO 2026 Table 23 '!$B:$B,"*,"&amp;$A18&amp;",*"))/SUMIFS('AEO 2026 Table 23 '!N:N,'AEO 2026 Table 23 '!$B:$B,"*,"&amp;$A18&amp;",*"),"")</f>
        <v/>
      </c>
      <c r="M18">
        <f>IFERROR((SUMIFS('AEO 2026 Table 23 '!P:P,'AEO 2026 Table 23 '!$B:$B,"*,"&amp;$A18&amp;",*")-SUMIFS('AEO 2026 Table 23 '!O:O,'AEO 2026 Table 23 '!$B:$B,"*,"&amp;$A18&amp;",*"))/SUMIFS('AEO 2026 Table 23 '!O:O,'AEO 2026 Table 23 '!$B:$B,"*,"&amp;$A18&amp;",*"),"")</f>
        <v/>
      </c>
      <c r="N18">
        <f>IFERROR((SUMIFS('AEO 2026 Table 23 '!Q:Q,'AEO 2026 Table 23 '!$B:$B,"*,"&amp;$A18&amp;",*")-SUMIFS('AEO 2026 Table 23 '!P:P,'AEO 2026 Table 23 '!$B:$B,"*,"&amp;$A18&amp;",*"))/SUMIFS('AEO 2026 Table 23 '!P:P,'AEO 2026 Table 23 '!$B:$B,"*,"&amp;$A18&amp;",*"),"")</f>
        <v/>
      </c>
      <c r="O18">
        <f>IFERROR((SUMIFS('AEO 2026 Table 23 '!R:R,'AEO 2026 Table 23 '!$B:$B,"*,"&amp;$A18&amp;",*")-SUMIFS('AEO 2026 Table 23 '!Q:Q,'AEO 2026 Table 23 '!$B:$B,"*,"&amp;$A18&amp;",*"))/SUMIFS('AEO 2026 Table 23 '!Q:Q,'AEO 2026 Table 23 '!$B:$B,"*,"&amp;$A18&amp;",*"),"")</f>
        <v/>
      </c>
      <c r="P18">
        <f>IFERROR((SUMIFS('AEO 2026 Table 23 '!S:S,'AEO 2026 Table 23 '!$B:$B,"*,"&amp;$A18&amp;",*")-SUMIFS('AEO 2026 Table 23 '!R:R,'AEO 2026 Table 23 '!$B:$B,"*,"&amp;$A18&amp;",*"))/SUMIFS('AEO 2026 Table 23 '!R:R,'AEO 2026 Table 23 '!$B:$B,"*,"&amp;$A18&amp;",*"),"")</f>
        <v/>
      </c>
      <c r="Q18">
        <f>IFERROR((SUMIFS('AEO 2026 Table 23 '!T:T,'AEO 2026 Table 23 '!$B:$B,"*,"&amp;$A18&amp;",*")-SUMIFS('AEO 2026 Table 23 '!S:S,'AEO 2026 Table 23 '!$B:$B,"*,"&amp;$A18&amp;",*"))/SUMIFS('AEO 2026 Table 23 '!S:S,'AEO 2026 Table 23 '!$B:$B,"*,"&amp;$A18&amp;",*"),"")</f>
        <v/>
      </c>
      <c r="R18">
        <f>IFERROR((SUMIFS('AEO 2026 Table 23 '!U:U,'AEO 2026 Table 23 '!$B:$B,"*,"&amp;$A18&amp;",*")-SUMIFS('AEO 2026 Table 23 '!T:T,'AEO 2026 Table 23 '!$B:$B,"*,"&amp;$A18&amp;",*"))/SUMIFS('AEO 2026 Table 23 '!T:T,'AEO 2026 Table 23 '!$B:$B,"*,"&amp;$A18&amp;",*"),"")</f>
        <v/>
      </c>
      <c r="S18">
        <f>IFERROR((SUMIFS('AEO 2026 Table 23 '!V:V,'AEO 2026 Table 23 '!$B:$B,"*,"&amp;$A18&amp;",*")-SUMIFS('AEO 2026 Table 23 '!U:U,'AEO 2026 Table 23 '!$B:$B,"*,"&amp;$A18&amp;",*"))/SUMIFS('AEO 2026 Table 23 '!U:U,'AEO 2026 Table 23 '!$B:$B,"*,"&amp;$A18&amp;",*"),"")</f>
        <v/>
      </c>
      <c r="T18">
        <f>IFERROR((SUMIFS('AEO 2026 Table 23 '!W:W,'AEO 2026 Table 23 '!$B:$B,"*,"&amp;$A18&amp;",*")-SUMIFS('AEO 2026 Table 23 '!V:V,'AEO 2026 Table 23 '!$B:$B,"*,"&amp;$A18&amp;",*"))/SUMIFS('AEO 2026 Table 23 '!V:V,'AEO 2026 Table 23 '!$B:$B,"*,"&amp;$A18&amp;",*"),"")</f>
        <v/>
      </c>
      <c r="U18">
        <f>IFERROR((SUMIFS('AEO 2026 Table 23 '!X:X,'AEO 2026 Table 23 '!$B:$B,"*,"&amp;$A18&amp;",*")-SUMIFS('AEO 2026 Table 23 '!W:W,'AEO 2026 Table 23 '!$B:$B,"*,"&amp;$A18&amp;",*"))/SUMIFS('AEO 2026 Table 23 '!W:W,'AEO 2026 Table 23 '!$B:$B,"*,"&amp;$A18&amp;",*"),"")</f>
        <v/>
      </c>
      <c r="V18">
        <f>IFERROR((SUMIFS('AEO 2026 Table 23 '!Y:Y,'AEO 2026 Table 23 '!$B:$B,"*,"&amp;$A18&amp;",*")-SUMIFS('AEO 2026 Table 23 '!X:X,'AEO 2026 Table 23 '!$B:$B,"*,"&amp;$A18&amp;",*"))/SUMIFS('AEO 2026 Table 23 '!X:X,'AEO 2026 Table 23 '!$B:$B,"*,"&amp;$A18&amp;",*"),"")</f>
        <v/>
      </c>
      <c r="W18">
        <f>IFERROR((SUMIFS('AEO 2026 Table 23 '!Z:Z,'AEO 2026 Table 23 '!$B:$B,"*,"&amp;$A18&amp;",*")-SUMIFS('AEO 2026 Table 23 '!Y:Y,'AEO 2026 Table 23 '!$B:$B,"*,"&amp;$A18&amp;",*"))/SUMIFS('AEO 2026 Table 23 '!Y:Y,'AEO 2026 Table 23 '!$B:$B,"*,"&amp;$A18&amp;",*"),"")</f>
        <v/>
      </c>
      <c r="X18">
        <f>IFERROR((SUMIFS('AEO 2026 Table 23 '!AA:AA,'AEO 2026 Table 23 '!$B:$B,"*,"&amp;$A18&amp;",*")-SUMIFS('AEO 2026 Table 23 '!Z:Z,'AEO 2026 Table 23 '!$B:$B,"*,"&amp;$A18&amp;",*"))/SUMIFS('AEO 2026 Table 23 '!Z:Z,'AEO 2026 Table 23 '!$B:$B,"*,"&amp;$A18&amp;",*"),"")</f>
        <v/>
      </c>
      <c r="Y18">
        <f>IFERROR((SUMIFS('AEO 2026 Table 23 '!AB:AB,'AEO 2026 Table 23 '!$B:$B,"*,"&amp;$A18&amp;",*")-SUMIFS('AEO 2026 Table 23 '!AA:AA,'AEO 2026 Table 23 '!$B:$B,"*,"&amp;$A18&amp;",*"))/SUMIFS('AEO 2026 Table 23 '!AA:AA,'AEO 2026 Table 23 '!$B:$B,"*,"&amp;$A18&amp;",*"),"")</f>
        <v/>
      </c>
      <c r="Z18">
        <f>IFERROR((SUMIFS('AEO 2026 Table 23 '!AC:AC,'AEO 2026 Table 23 '!$B:$B,"*,"&amp;$A18&amp;",*")-SUMIFS('AEO 2026 Table 23 '!AB:AB,'AEO 2026 Table 23 '!$B:$B,"*,"&amp;$A18&amp;",*"))/SUMIFS('AEO 2026 Table 23 '!AB:AB,'AEO 2026 Table 23 '!$B:$B,"*,"&amp;$A18&amp;",*"),"")</f>
        <v/>
      </c>
      <c r="AA18">
        <f>IFERROR((SUMIFS('AEO 2026 Table 23 '!AD:AD,'AEO 2026 Table 23 '!$B:$B,"*,"&amp;$A18&amp;",*")-SUMIFS('AEO 2026 Table 23 '!AC:AC,'AEO 2026 Table 23 '!$B:$B,"*,"&amp;$A18&amp;",*"))/SUMIFS('AEO 2026 Table 23 '!AC:AC,'AEO 2026 Table 23 '!$B:$B,"*,"&amp;$A18&amp;",*"),"")</f>
        <v/>
      </c>
      <c r="AB18">
        <f>IFERROR((SUMIFS('AEO 2026 Table 23 '!AE:AE,'AEO 2026 Table 23 '!$B:$B,"*,"&amp;$A18&amp;",*")-SUMIFS('AEO 2026 Table 23 '!AD:AD,'AEO 2026 Table 23 '!$B:$B,"*,"&amp;$A18&amp;",*"))/SUMIFS('AEO 2026 Table 23 '!AD:AD,'AEO 2026 Table 23 '!$B:$B,"*,"&amp;$A18&amp;",*"),"")</f>
        <v/>
      </c>
      <c r="AC18">
        <f>IFERROR((SUMIFS('AEO 2026 Table 23 '!AF:AF,'AEO 2026 Table 23 '!$B:$B,"*,"&amp;$A18&amp;",*")-SUMIFS('AEO 2026 Table 23 '!AE:AE,'AEO 2026 Table 23 '!$B:$B,"*,"&amp;$A18&amp;",*"))/SUMIFS('AEO 2026 Table 23 '!AE:AE,'AEO 2026 Table 23 '!$B:$B,"*,"&amp;$A18&amp;",*"),"")</f>
        <v/>
      </c>
    </row>
    <row r="19">
      <c r="A19" t="inlineStr">
        <is>
          <t>ISIC 22</t>
        </is>
      </c>
      <c r="B19">
        <f>IFERROR(SUMPRODUCT(--('BLS Table 2.11'!$L$1:$L$426=$A19),'BLS Table 2.11'!$J$1:$J$426,'BLS Table 2.11'!$K$1:$K$426)/SUMIFS('BLS Table 2.11'!$J$1:$J$426,'BLS Table 2.11'!$L$1:$L$426,$A19)/100,0)</f>
        <v/>
      </c>
      <c r="D19">
        <f>IFERROR((SUMIFS('AEO 2026 Table 23 '!G:G,'AEO 2026 Table 23 '!$B:$B,"*,"&amp;$A19&amp;",*")-SUMIFS('AEO25 Table 23'!H:H,'AEO25 Table 23'!$B:$B,"*,"&amp;$A19&amp;",*"))/SUMIFS('AEO25 Table 23'!H:H,'AEO25 Table 23'!$B:$B,"*,"&amp;$A19&amp;",*"),"")</f>
        <v/>
      </c>
      <c r="E19">
        <f>IFERROR((SUMIFS('AEO 2026 Table 23 '!H:H,'AEO 2026 Table 23 '!$B:$B,"*,"&amp;$A19&amp;",*")-SUMIFS('AEO 2026 Table 23 '!G:G,'AEO 2026 Table 23 '!$B:$B,"*,"&amp;$A19&amp;",*"))/SUMIFS('AEO 2026 Table 23 '!G:G,'AEO 2026 Table 23 '!$B:$B,"*,"&amp;$A19&amp;",*"),"")</f>
        <v/>
      </c>
      <c r="F19">
        <f>IFERROR((SUMIFS('AEO 2026 Table 23 '!I:I,'AEO 2026 Table 23 '!$B:$B,"*,"&amp;$A19&amp;",*")-SUMIFS('AEO 2026 Table 23 '!H:H,'AEO 2026 Table 23 '!$B:$B,"*,"&amp;$A19&amp;",*"))/SUMIFS('AEO 2026 Table 23 '!H:H,'AEO 2026 Table 23 '!$B:$B,"*,"&amp;$A19&amp;",*"),"")</f>
        <v/>
      </c>
      <c r="G19">
        <f>IFERROR((SUMIFS('AEO 2026 Table 23 '!J:J,'AEO 2026 Table 23 '!$B:$B,"*,"&amp;$A19&amp;",*")-SUMIFS('AEO 2026 Table 23 '!I:I,'AEO 2026 Table 23 '!$B:$B,"*,"&amp;$A19&amp;",*"))/SUMIFS('AEO 2026 Table 23 '!I:I,'AEO 2026 Table 23 '!$B:$B,"*,"&amp;$A19&amp;",*"),"")</f>
        <v/>
      </c>
      <c r="H19">
        <f>IFERROR((SUMIFS('AEO 2026 Table 23 '!K:K,'AEO 2026 Table 23 '!$B:$B,"*,"&amp;$A19&amp;",*")-SUMIFS('AEO 2026 Table 23 '!J:J,'AEO 2026 Table 23 '!$B:$B,"*,"&amp;$A19&amp;",*"))/SUMIFS('AEO 2026 Table 23 '!J:J,'AEO 2026 Table 23 '!$B:$B,"*,"&amp;$A19&amp;",*"),"")</f>
        <v/>
      </c>
      <c r="I19">
        <f>IFERROR((SUMIFS('AEO 2026 Table 23 '!L:L,'AEO 2026 Table 23 '!$B:$B,"*,"&amp;$A19&amp;",*")-SUMIFS('AEO 2026 Table 23 '!K:K,'AEO 2026 Table 23 '!$B:$B,"*,"&amp;$A19&amp;",*"))/SUMIFS('AEO 2026 Table 23 '!K:K,'AEO 2026 Table 23 '!$B:$B,"*,"&amp;$A19&amp;",*"),"")</f>
        <v/>
      </c>
      <c r="J19">
        <f>IFERROR((SUMIFS('AEO 2026 Table 23 '!M:M,'AEO 2026 Table 23 '!$B:$B,"*,"&amp;$A19&amp;",*")-SUMIFS('AEO 2026 Table 23 '!L:L,'AEO 2026 Table 23 '!$B:$B,"*,"&amp;$A19&amp;",*"))/SUMIFS('AEO 2026 Table 23 '!L:L,'AEO 2026 Table 23 '!$B:$B,"*,"&amp;$A19&amp;",*"),"")</f>
        <v/>
      </c>
      <c r="K19">
        <f>IFERROR((SUMIFS('AEO 2026 Table 23 '!N:N,'AEO 2026 Table 23 '!$B:$B,"*,"&amp;$A19&amp;",*")-SUMIFS('AEO 2026 Table 23 '!M:M,'AEO 2026 Table 23 '!$B:$B,"*,"&amp;$A19&amp;",*"))/SUMIFS('AEO 2026 Table 23 '!M:M,'AEO 2026 Table 23 '!$B:$B,"*,"&amp;$A19&amp;",*"),"")</f>
        <v/>
      </c>
      <c r="L19">
        <f>IFERROR((SUMIFS('AEO 2026 Table 23 '!O:O,'AEO 2026 Table 23 '!$B:$B,"*,"&amp;$A19&amp;",*")-SUMIFS('AEO 2026 Table 23 '!N:N,'AEO 2026 Table 23 '!$B:$B,"*,"&amp;$A19&amp;",*"))/SUMIFS('AEO 2026 Table 23 '!N:N,'AEO 2026 Table 23 '!$B:$B,"*,"&amp;$A19&amp;",*"),"")</f>
        <v/>
      </c>
      <c r="M19">
        <f>IFERROR((SUMIFS('AEO 2026 Table 23 '!P:P,'AEO 2026 Table 23 '!$B:$B,"*,"&amp;$A19&amp;",*")-SUMIFS('AEO 2026 Table 23 '!O:O,'AEO 2026 Table 23 '!$B:$B,"*,"&amp;$A19&amp;",*"))/SUMIFS('AEO 2026 Table 23 '!O:O,'AEO 2026 Table 23 '!$B:$B,"*,"&amp;$A19&amp;",*"),"")</f>
        <v/>
      </c>
      <c r="N19">
        <f>IFERROR((SUMIFS('AEO 2026 Table 23 '!Q:Q,'AEO 2026 Table 23 '!$B:$B,"*,"&amp;$A19&amp;",*")-SUMIFS('AEO 2026 Table 23 '!P:P,'AEO 2026 Table 23 '!$B:$B,"*,"&amp;$A19&amp;",*"))/SUMIFS('AEO 2026 Table 23 '!P:P,'AEO 2026 Table 23 '!$B:$B,"*,"&amp;$A19&amp;",*"),"")</f>
        <v/>
      </c>
      <c r="O19">
        <f>IFERROR((SUMIFS('AEO 2026 Table 23 '!R:R,'AEO 2026 Table 23 '!$B:$B,"*,"&amp;$A19&amp;",*")-SUMIFS('AEO 2026 Table 23 '!Q:Q,'AEO 2026 Table 23 '!$B:$B,"*,"&amp;$A19&amp;",*"))/SUMIFS('AEO 2026 Table 23 '!Q:Q,'AEO 2026 Table 23 '!$B:$B,"*,"&amp;$A19&amp;",*"),"")</f>
        <v/>
      </c>
      <c r="P19">
        <f>IFERROR((SUMIFS('AEO 2026 Table 23 '!S:S,'AEO 2026 Table 23 '!$B:$B,"*,"&amp;$A19&amp;",*")-SUMIFS('AEO 2026 Table 23 '!R:R,'AEO 2026 Table 23 '!$B:$B,"*,"&amp;$A19&amp;",*"))/SUMIFS('AEO 2026 Table 23 '!R:R,'AEO 2026 Table 23 '!$B:$B,"*,"&amp;$A19&amp;",*"),"")</f>
        <v/>
      </c>
      <c r="Q19">
        <f>IFERROR((SUMIFS('AEO 2026 Table 23 '!T:T,'AEO 2026 Table 23 '!$B:$B,"*,"&amp;$A19&amp;",*")-SUMIFS('AEO 2026 Table 23 '!S:S,'AEO 2026 Table 23 '!$B:$B,"*,"&amp;$A19&amp;",*"))/SUMIFS('AEO 2026 Table 23 '!S:S,'AEO 2026 Table 23 '!$B:$B,"*,"&amp;$A19&amp;",*"),"")</f>
        <v/>
      </c>
      <c r="R19">
        <f>IFERROR((SUMIFS('AEO 2026 Table 23 '!U:U,'AEO 2026 Table 23 '!$B:$B,"*,"&amp;$A19&amp;",*")-SUMIFS('AEO 2026 Table 23 '!T:T,'AEO 2026 Table 23 '!$B:$B,"*,"&amp;$A19&amp;",*"))/SUMIFS('AEO 2026 Table 23 '!T:T,'AEO 2026 Table 23 '!$B:$B,"*,"&amp;$A19&amp;",*"),"")</f>
        <v/>
      </c>
      <c r="S19">
        <f>IFERROR((SUMIFS('AEO 2026 Table 23 '!V:V,'AEO 2026 Table 23 '!$B:$B,"*,"&amp;$A19&amp;",*")-SUMIFS('AEO 2026 Table 23 '!U:U,'AEO 2026 Table 23 '!$B:$B,"*,"&amp;$A19&amp;",*"))/SUMIFS('AEO 2026 Table 23 '!U:U,'AEO 2026 Table 23 '!$B:$B,"*,"&amp;$A19&amp;",*"),"")</f>
        <v/>
      </c>
      <c r="T19">
        <f>IFERROR((SUMIFS('AEO 2026 Table 23 '!W:W,'AEO 2026 Table 23 '!$B:$B,"*,"&amp;$A19&amp;",*")-SUMIFS('AEO 2026 Table 23 '!V:V,'AEO 2026 Table 23 '!$B:$B,"*,"&amp;$A19&amp;",*"))/SUMIFS('AEO 2026 Table 23 '!V:V,'AEO 2026 Table 23 '!$B:$B,"*,"&amp;$A19&amp;",*"),"")</f>
        <v/>
      </c>
      <c r="U19">
        <f>IFERROR((SUMIFS('AEO 2026 Table 23 '!X:X,'AEO 2026 Table 23 '!$B:$B,"*,"&amp;$A19&amp;",*")-SUMIFS('AEO 2026 Table 23 '!W:W,'AEO 2026 Table 23 '!$B:$B,"*,"&amp;$A19&amp;",*"))/SUMIFS('AEO 2026 Table 23 '!W:W,'AEO 2026 Table 23 '!$B:$B,"*,"&amp;$A19&amp;",*"),"")</f>
        <v/>
      </c>
      <c r="V19">
        <f>IFERROR((SUMIFS('AEO 2026 Table 23 '!Y:Y,'AEO 2026 Table 23 '!$B:$B,"*,"&amp;$A19&amp;",*")-SUMIFS('AEO 2026 Table 23 '!X:X,'AEO 2026 Table 23 '!$B:$B,"*,"&amp;$A19&amp;",*"))/SUMIFS('AEO 2026 Table 23 '!X:X,'AEO 2026 Table 23 '!$B:$B,"*,"&amp;$A19&amp;",*"),"")</f>
        <v/>
      </c>
      <c r="W19">
        <f>IFERROR((SUMIFS('AEO 2026 Table 23 '!Z:Z,'AEO 2026 Table 23 '!$B:$B,"*,"&amp;$A19&amp;",*")-SUMIFS('AEO 2026 Table 23 '!Y:Y,'AEO 2026 Table 23 '!$B:$B,"*,"&amp;$A19&amp;",*"))/SUMIFS('AEO 2026 Table 23 '!Y:Y,'AEO 2026 Table 23 '!$B:$B,"*,"&amp;$A19&amp;",*"),"")</f>
        <v/>
      </c>
      <c r="X19">
        <f>IFERROR((SUMIFS('AEO 2026 Table 23 '!AA:AA,'AEO 2026 Table 23 '!$B:$B,"*,"&amp;$A19&amp;",*")-SUMIFS('AEO 2026 Table 23 '!Z:Z,'AEO 2026 Table 23 '!$B:$B,"*,"&amp;$A19&amp;",*"))/SUMIFS('AEO 2026 Table 23 '!Z:Z,'AEO 2026 Table 23 '!$B:$B,"*,"&amp;$A19&amp;",*"),"")</f>
        <v/>
      </c>
      <c r="Y19">
        <f>IFERROR((SUMIFS('AEO 2026 Table 23 '!AB:AB,'AEO 2026 Table 23 '!$B:$B,"*,"&amp;$A19&amp;",*")-SUMIFS('AEO 2026 Table 23 '!AA:AA,'AEO 2026 Table 23 '!$B:$B,"*,"&amp;$A19&amp;",*"))/SUMIFS('AEO 2026 Table 23 '!AA:AA,'AEO 2026 Table 23 '!$B:$B,"*,"&amp;$A19&amp;",*"),"")</f>
        <v/>
      </c>
      <c r="Z19">
        <f>IFERROR((SUMIFS('AEO 2026 Table 23 '!AC:AC,'AEO 2026 Table 23 '!$B:$B,"*,"&amp;$A19&amp;",*")-SUMIFS('AEO 2026 Table 23 '!AB:AB,'AEO 2026 Table 23 '!$B:$B,"*,"&amp;$A19&amp;",*"))/SUMIFS('AEO 2026 Table 23 '!AB:AB,'AEO 2026 Table 23 '!$B:$B,"*,"&amp;$A19&amp;",*"),"")</f>
        <v/>
      </c>
      <c r="AA19">
        <f>IFERROR((SUMIFS('AEO 2026 Table 23 '!AD:AD,'AEO 2026 Table 23 '!$B:$B,"*,"&amp;$A19&amp;",*")-SUMIFS('AEO 2026 Table 23 '!AC:AC,'AEO 2026 Table 23 '!$B:$B,"*,"&amp;$A19&amp;",*"))/SUMIFS('AEO 2026 Table 23 '!AC:AC,'AEO 2026 Table 23 '!$B:$B,"*,"&amp;$A19&amp;",*"),"")</f>
        <v/>
      </c>
      <c r="AB19">
        <f>IFERROR((SUMIFS('AEO 2026 Table 23 '!AE:AE,'AEO 2026 Table 23 '!$B:$B,"*,"&amp;$A19&amp;",*")-SUMIFS('AEO 2026 Table 23 '!AD:AD,'AEO 2026 Table 23 '!$B:$B,"*,"&amp;$A19&amp;",*"))/SUMIFS('AEO 2026 Table 23 '!AD:AD,'AEO 2026 Table 23 '!$B:$B,"*,"&amp;$A19&amp;",*"),"")</f>
        <v/>
      </c>
      <c r="AC19">
        <f>IFERROR((SUMIFS('AEO 2026 Table 23 '!AF:AF,'AEO 2026 Table 23 '!$B:$B,"*,"&amp;$A19&amp;",*")-SUMIFS('AEO 2026 Table 23 '!AE:AE,'AEO 2026 Table 23 '!$B:$B,"*,"&amp;$A19&amp;",*"))/SUMIFS('AEO 2026 Table 23 '!AE:AE,'AEO 2026 Table 23 '!$B:$B,"*,"&amp;$A19&amp;",*"),"")</f>
        <v/>
      </c>
    </row>
    <row r="20">
      <c r="A20" t="inlineStr">
        <is>
          <t>ISIC 231</t>
        </is>
      </c>
      <c r="B20">
        <f>IFERROR(SUMPRODUCT(--('BLS Table 2.11'!$L$1:$L$426=$A20),'BLS Table 2.11'!$J$1:$J$426,'BLS Table 2.11'!$K$1:$K$426)/SUMIFS('BLS Table 2.11'!$J$1:$J$426,'BLS Table 2.11'!$L$1:$L$426,$A20)/100,0)</f>
        <v/>
      </c>
      <c r="D20">
        <f>IFERROR((SUMIFS('AEO 2026 Table 23 '!G:G,'AEO 2026 Table 23 '!$B:$B,"*,"&amp;$A20&amp;",*")-SUMIFS('AEO25 Table 23'!H:H,'AEO25 Table 23'!$B:$B,"*,"&amp;$A20&amp;",*"))/SUMIFS('AEO25 Table 23'!H:H,'AEO25 Table 23'!$B:$B,"*,"&amp;$A20&amp;",*"),"")</f>
        <v/>
      </c>
      <c r="E20">
        <f>IFERROR((SUMIFS('AEO 2026 Table 23 '!H:H,'AEO 2026 Table 23 '!$B:$B,"*,"&amp;$A20&amp;",*")-SUMIFS('AEO 2026 Table 23 '!G:G,'AEO 2026 Table 23 '!$B:$B,"*,"&amp;$A20&amp;",*"))/SUMIFS('AEO 2026 Table 23 '!G:G,'AEO 2026 Table 23 '!$B:$B,"*,"&amp;$A20&amp;",*"),"")</f>
        <v/>
      </c>
      <c r="F20">
        <f>IFERROR((SUMIFS('AEO 2026 Table 23 '!I:I,'AEO 2026 Table 23 '!$B:$B,"*,"&amp;$A20&amp;",*")-SUMIFS('AEO 2026 Table 23 '!H:H,'AEO 2026 Table 23 '!$B:$B,"*,"&amp;$A20&amp;",*"))/SUMIFS('AEO 2026 Table 23 '!H:H,'AEO 2026 Table 23 '!$B:$B,"*,"&amp;$A20&amp;",*"),"")</f>
        <v/>
      </c>
      <c r="G20">
        <f>IFERROR((SUMIFS('AEO 2026 Table 23 '!J:J,'AEO 2026 Table 23 '!$B:$B,"*,"&amp;$A20&amp;",*")-SUMIFS('AEO 2026 Table 23 '!I:I,'AEO 2026 Table 23 '!$B:$B,"*,"&amp;$A20&amp;",*"))/SUMIFS('AEO 2026 Table 23 '!I:I,'AEO 2026 Table 23 '!$B:$B,"*,"&amp;$A20&amp;",*"),"")</f>
        <v/>
      </c>
      <c r="H20">
        <f>IFERROR((SUMIFS('AEO 2026 Table 23 '!K:K,'AEO 2026 Table 23 '!$B:$B,"*,"&amp;$A20&amp;",*")-SUMIFS('AEO 2026 Table 23 '!J:J,'AEO 2026 Table 23 '!$B:$B,"*,"&amp;$A20&amp;",*"))/SUMIFS('AEO 2026 Table 23 '!J:J,'AEO 2026 Table 23 '!$B:$B,"*,"&amp;$A20&amp;",*"),"")</f>
        <v/>
      </c>
      <c r="I20">
        <f>IFERROR((SUMIFS('AEO 2026 Table 23 '!L:L,'AEO 2026 Table 23 '!$B:$B,"*,"&amp;$A20&amp;",*")-SUMIFS('AEO 2026 Table 23 '!K:K,'AEO 2026 Table 23 '!$B:$B,"*,"&amp;$A20&amp;",*"))/SUMIFS('AEO 2026 Table 23 '!K:K,'AEO 2026 Table 23 '!$B:$B,"*,"&amp;$A20&amp;",*"),"")</f>
        <v/>
      </c>
      <c r="J20">
        <f>IFERROR((SUMIFS('AEO 2026 Table 23 '!M:M,'AEO 2026 Table 23 '!$B:$B,"*,"&amp;$A20&amp;",*")-SUMIFS('AEO 2026 Table 23 '!L:L,'AEO 2026 Table 23 '!$B:$B,"*,"&amp;$A20&amp;",*"))/SUMIFS('AEO 2026 Table 23 '!L:L,'AEO 2026 Table 23 '!$B:$B,"*,"&amp;$A20&amp;",*"),"")</f>
        <v/>
      </c>
      <c r="K20">
        <f>IFERROR((SUMIFS('AEO 2026 Table 23 '!N:N,'AEO 2026 Table 23 '!$B:$B,"*,"&amp;$A20&amp;",*")-SUMIFS('AEO 2026 Table 23 '!M:M,'AEO 2026 Table 23 '!$B:$B,"*,"&amp;$A20&amp;",*"))/SUMIFS('AEO 2026 Table 23 '!M:M,'AEO 2026 Table 23 '!$B:$B,"*,"&amp;$A20&amp;",*"),"")</f>
        <v/>
      </c>
      <c r="L20">
        <f>IFERROR((SUMIFS('AEO 2026 Table 23 '!O:O,'AEO 2026 Table 23 '!$B:$B,"*,"&amp;$A20&amp;",*")-SUMIFS('AEO 2026 Table 23 '!N:N,'AEO 2026 Table 23 '!$B:$B,"*,"&amp;$A20&amp;",*"))/SUMIFS('AEO 2026 Table 23 '!N:N,'AEO 2026 Table 23 '!$B:$B,"*,"&amp;$A20&amp;",*"),"")</f>
        <v/>
      </c>
      <c r="M20">
        <f>IFERROR((SUMIFS('AEO 2026 Table 23 '!P:P,'AEO 2026 Table 23 '!$B:$B,"*,"&amp;$A20&amp;",*")-SUMIFS('AEO 2026 Table 23 '!O:O,'AEO 2026 Table 23 '!$B:$B,"*,"&amp;$A20&amp;",*"))/SUMIFS('AEO 2026 Table 23 '!O:O,'AEO 2026 Table 23 '!$B:$B,"*,"&amp;$A20&amp;",*"),"")</f>
        <v/>
      </c>
      <c r="N20">
        <f>IFERROR((SUMIFS('AEO 2026 Table 23 '!Q:Q,'AEO 2026 Table 23 '!$B:$B,"*,"&amp;$A20&amp;",*")-SUMIFS('AEO 2026 Table 23 '!P:P,'AEO 2026 Table 23 '!$B:$B,"*,"&amp;$A20&amp;",*"))/SUMIFS('AEO 2026 Table 23 '!P:P,'AEO 2026 Table 23 '!$B:$B,"*,"&amp;$A20&amp;",*"),"")</f>
        <v/>
      </c>
      <c r="O20">
        <f>IFERROR((SUMIFS('AEO 2026 Table 23 '!R:R,'AEO 2026 Table 23 '!$B:$B,"*,"&amp;$A20&amp;",*")-SUMIFS('AEO 2026 Table 23 '!Q:Q,'AEO 2026 Table 23 '!$B:$B,"*,"&amp;$A20&amp;",*"))/SUMIFS('AEO 2026 Table 23 '!Q:Q,'AEO 2026 Table 23 '!$B:$B,"*,"&amp;$A20&amp;",*"),"")</f>
        <v/>
      </c>
      <c r="P20">
        <f>IFERROR((SUMIFS('AEO 2026 Table 23 '!S:S,'AEO 2026 Table 23 '!$B:$B,"*,"&amp;$A20&amp;",*")-SUMIFS('AEO 2026 Table 23 '!R:R,'AEO 2026 Table 23 '!$B:$B,"*,"&amp;$A20&amp;",*"))/SUMIFS('AEO 2026 Table 23 '!R:R,'AEO 2026 Table 23 '!$B:$B,"*,"&amp;$A20&amp;",*"),"")</f>
        <v/>
      </c>
      <c r="Q20">
        <f>IFERROR((SUMIFS('AEO 2026 Table 23 '!T:T,'AEO 2026 Table 23 '!$B:$B,"*,"&amp;$A20&amp;",*")-SUMIFS('AEO 2026 Table 23 '!S:S,'AEO 2026 Table 23 '!$B:$B,"*,"&amp;$A20&amp;",*"))/SUMIFS('AEO 2026 Table 23 '!S:S,'AEO 2026 Table 23 '!$B:$B,"*,"&amp;$A20&amp;",*"),"")</f>
        <v/>
      </c>
      <c r="R20">
        <f>IFERROR((SUMIFS('AEO 2026 Table 23 '!U:U,'AEO 2026 Table 23 '!$B:$B,"*,"&amp;$A20&amp;",*")-SUMIFS('AEO 2026 Table 23 '!T:T,'AEO 2026 Table 23 '!$B:$B,"*,"&amp;$A20&amp;",*"))/SUMIFS('AEO 2026 Table 23 '!T:T,'AEO 2026 Table 23 '!$B:$B,"*,"&amp;$A20&amp;",*"),"")</f>
        <v/>
      </c>
      <c r="S20">
        <f>IFERROR((SUMIFS('AEO 2026 Table 23 '!V:V,'AEO 2026 Table 23 '!$B:$B,"*,"&amp;$A20&amp;",*")-SUMIFS('AEO 2026 Table 23 '!U:U,'AEO 2026 Table 23 '!$B:$B,"*,"&amp;$A20&amp;",*"))/SUMIFS('AEO 2026 Table 23 '!U:U,'AEO 2026 Table 23 '!$B:$B,"*,"&amp;$A20&amp;",*"),"")</f>
        <v/>
      </c>
      <c r="T20">
        <f>IFERROR((SUMIFS('AEO 2026 Table 23 '!W:W,'AEO 2026 Table 23 '!$B:$B,"*,"&amp;$A20&amp;",*")-SUMIFS('AEO 2026 Table 23 '!V:V,'AEO 2026 Table 23 '!$B:$B,"*,"&amp;$A20&amp;",*"))/SUMIFS('AEO 2026 Table 23 '!V:V,'AEO 2026 Table 23 '!$B:$B,"*,"&amp;$A20&amp;",*"),"")</f>
        <v/>
      </c>
      <c r="U20">
        <f>IFERROR((SUMIFS('AEO 2026 Table 23 '!X:X,'AEO 2026 Table 23 '!$B:$B,"*,"&amp;$A20&amp;",*")-SUMIFS('AEO 2026 Table 23 '!W:W,'AEO 2026 Table 23 '!$B:$B,"*,"&amp;$A20&amp;",*"))/SUMIFS('AEO 2026 Table 23 '!W:W,'AEO 2026 Table 23 '!$B:$B,"*,"&amp;$A20&amp;",*"),"")</f>
        <v/>
      </c>
      <c r="V20">
        <f>IFERROR((SUMIFS('AEO 2026 Table 23 '!Y:Y,'AEO 2026 Table 23 '!$B:$B,"*,"&amp;$A20&amp;",*")-SUMIFS('AEO 2026 Table 23 '!X:X,'AEO 2026 Table 23 '!$B:$B,"*,"&amp;$A20&amp;",*"))/SUMIFS('AEO 2026 Table 23 '!X:X,'AEO 2026 Table 23 '!$B:$B,"*,"&amp;$A20&amp;",*"),"")</f>
        <v/>
      </c>
      <c r="W20">
        <f>IFERROR((SUMIFS('AEO 2026 Table 23 '!Z:Z,'AEO 2026 Table 23 '!$B:$B,"*,"&amp;$A20&amp;",*")-SUMIFS('AEO 2026 Table 23 '!Y:Y,'AEO 2026 Table 23 '!$B:$B,"*,"&amp;$A20&amp;",*"))/SUMIFS('AEO 2026 Table 23 '!Y:Y,'AEO 2026 Table 23 '!$B:$B,"*,"&amp;$A20&amp;",*"),"")</f>
        <v/>
      </c>
      <c r="X20">
        <f>IFERROR((SUMIFS('AEO 2026 Table 23 '!AA:AA,'AEO 2026 Table 23 '!$B:$B,"*,"&amp;$A20&amp;",*")-SUMIFS('AEO 2026 Table 23 '!Z:Z,'AEO 2026 Table 23 '!$B:$B,"*,"&amp;$A20&amp;",*"))/SUMIFS('AEO 2026 Table 23 '!Z:Z,'AEO 2026 Table 23 '!$B:$B,"*,"&amp;$A20&amp;",*"),"")</f>
        <v/>
      </c>
      <c r="Y20">
        <f>IFERROR((SUMIFS('AEO 2026 Table 23 '!AB:AB,'AEO 2026 Table 23 '!$B:$B,"*,"&amp;$A20&amp;",*")-SUMIFS('AEO 2026 Table 23 '!AA:AA,'AEO 2026 Table 23 '!$B:$B,"*,"&amp;$A20&amp;",*"))/SUMIFS('AEO 2026 Table 23 '!AA:AA,'AEO 2026 Table 23 '!$B:$B,"*,"&amp;$A20&amp;",*"),"")</f>
        <v/>
      </c>
      <c r="Z20">
        <f>IFERROR((SUMIFS('AEO 2026 Table 23 '!AC:AC,'AEO 2026 Table 23 '!$B:$B,"*,"&amp;$A20&amp;",*")-SUMIFS('AEO 2026 Table 23 '!AB:AB,'AEO 2026 Table 23 '!$B:$B,"*,"&amp;$A20&amp;",*"))/SUMIFS('AEO 2026 Table 23 '!AB:AB,'AEO 2026 Table 23 '!$B:$B,"*,"&amp;$A20&amp;",*"),"")</f>
        <v/>
      </c>
      <c r="AA20">
        <f>IFERROR((SUMIFS('AEO 2026 Table 23 '!AD:AD,'AEO 2026 Table 23 '!$B:$B,"*,"&amp;$A20&amp;",*")-SUMIFS('AEO 2026 Table 23 '!AC:AC,'AEO 2026 Table 23 '!$B:$B,"*,"&amp;$A20&amp;",*"))/SUMIFS('AEO 2026 Table 23 '!AC:AC,'AEO 2026 Table 23 '!$B:$B,"*,"&amp;$A20&amp;",*"),"")</f>
        <v/>
      </c>
      <c r="AB20">
        <f>IFERROR((SUMIFS('AEO 2026 Table 23 '!AE:AE,'AEO 2026 Table 23 '!$B:$B,"*,"&amp;$A20&amp;",*")-SUMIFS('AEO 2026 Table 23 '!AD:AD,'AEO 2026 Table 23 '!$B:$B,"*,"&amp;$A20&amp;",*"))/SUMIFS('AEO 2026 Table 23 '!AD:AD,'AEO 2026 Table 23 '!$B:$B,"*,"&amp;$A20&amp;",*"),"")</f>
        <v/>
      </c>
      <c r="AC20">
        <f>IFERROR((SUMIFS('AEO 2026 Table 23 '!AF:AF,'AEO 2026 Table 23 '!$B:$B,"*,"&amp;$A20&amp;",*")-SUMIFS('AEO 2026 Table 23 '!AE:AE,'AEO 2026 Table 23 '!$B:$B,"*,"&amp;$A20&amp;",*"))/SUMIFS('AEO 2026 Table 23 '!AE:AE,'AEO 2026 Table 23 '!$B:$B,"*,"&amp;$A20&amp;",*"),"")</f>
        <v/>
      </c>
    </row>
    <row r="21">
      <c r="A21" t="inlineStr">
        <is>
          <t>ISIC 239</t>
        </is>
      </c>
      <c r="B21">
        <f>IFERROR(SUMPRODUCT(--('BLS Table 2.11'!$L$1:$L$426=$A21),'BLS Table 2.11'!$J$1:$J$426,'BLS Table 2.11'!$K$1:$K$426)/SUMIFS('BLS Table 2.11'!$J$1:$J$426,'BLS Table 2.11'!$L$1:$L$426,$A21)/100,0)</f>
        <v/>
      </c>
      <c r="D21">
        <f>IFERROR((SUMIFS('AEO 2026 Table 23 '!G:G,'AEO 2026 Table 23 '!$B:$B,"*,"&amp;$A21&amp;",*")-SUMIFS('AEO25 Table 23'!H:H,'AEO25 Table 23'!$B:$B,"*,"&amp;$A21&amp;",*"))/SUMIFS('AEO25 Table 23'!H:H,'AEO25 Table 23'!$B:$B,"*,"&amp;$A21&amp;",*"),"")</f>
        <v/>
      </c>
      <c r="E21">
        <f>IFERROR((SUMIFS('AEO 2026 Table 23 '!H:H,'AEO 2026 Table 23 '!$B:$B,"*,"&amp;$A21&amp;",*")-SUMIFS('AEO 2026 Table 23 '!G:G,'AEO 2026 Table 23 '!$B:$B,"*,"&amp;$A21&amp;",*"))/SUMIFS('AEO 2026 Table 23 '!G:G,'AEO 2026 Table 23 '!$B:$B,"*,"&amp;$A21&amp;",*"),"")</f>
        <v/>
      </c>
      <c r="F21">
        <f>IFERROR((SUMIFS('AEO 2026 Table 23 '!I:I,'AEO 2026 Table 23 '!$B:$B,"*,"&amp;$A21&amp;",*")-SUMIFS('AEO 2026 Table 23 '!H:H,'AEO 2026 Table 23 '!$B:$B,"*,"&amp;$A21&amp;",*"))/SUMIFS('AEO 2026 Table 23 '!H:H,'AEO 2026 Table 23 '!$B:$B,"*,"&amp;$A21&amp;",*"),"")</f>
        <v/>
      </c>
      <c r="G21">
        <f>IFERROR((SUMIFS('AEO 2026 Table 23 '!J:J,'AEO 2026 Table 23 '!$B:$B,"*,"&amp;$A21&amp;",*")-SUMIFS('AEO 2026 Table 23 '!I:I,'AEO 2026 Table 23 '!$B:$B,"*,"&amp;$A21&amp;",*"))/SUMIFS('AEO 2026 Table 23 '!I:I,'AEO 2026 Table 23 '!$B:$B,"*,"&amp;$A21&amp;",*"),"")</f>
        <v/>
      </c>
      <c r="H21">
        <f>IFERROR((SUMIFS('AEO 2026 Table 23 '!K:K,'AEO 2026 Table 23 '!$B:$B,"*,"&amp;$A21&amp;",*")-SUMIFS('AEO 2026 Table 23 '!J:J,'AEO 2026 Table 23 '!$B:$B,"*,"&amp;$A21&amp;",*"))/SUMIFS('AEO 2026 Table 23 '!J:J,'AEO 2026 Table 23 '!$B:$B,"*,"&amp;$A21&amp;",*"),"")</f>
        <v/>
      </c>
      <c r="I21">
        <f>IFERROR((SUMIFS('AEO 2026 Table 23 '!L:L,'AEO 2026 Table 23 '!$B:$B,"*,"&amp;$A21&amp;",*")-SUMIFS('AEO 2026 Table 23 '!K:K,'AEO 2026 Table 23 '!$B:$B,"*,"&amp;$A21&amp;",*"))/SUMIFS('AEO 2026 Table 23 '!K:K,'AEO 2026 Table 23 '!$B:$B,"*,"&amp;$A21&amp;",*"),"")</f>
        <v/>
      </c>
      <c r="J21">
        <f>IFERROR((SUMIFS('AEO 2026 Table 23 '!M:M,'AEO 2026 Table 23 '!$B:$B,"*,"&amp;$A21&amp;",*")-SUMIFS('AEO 2026 Table 23 '!L:L,'AEO 2026 Table 23 '!$B:$B,"*,"&amp;$A21&amp;",*"))/SUMIFS('AEO 2026 Table 23 '!L:L,'AEO 2026 Table 23 '!$B:$B,"*,"&amp;$A21&amp;",*"),"")</f>
        <v/>
      </c>
      <c r="K21">
        <f>IFERROR((SUMIFS('AEO 2026 Table 23 '!N:N,'AEO 2026 Table 23 '!$B:$B,"*,"&amp;$A21&amp;",*")-SUMIFS('AEO 2026 Table 23 '!M:M,'AEO 2026 Table 23 '!$B:$B,"*,"&amp;$A21&amp;",*"))/SUMIFS('AEO 2026 Table 23 '!M:M,'AEO 2026 Table 23 '!$B:$B,"*,"&amp;$A21&amp;",*"),"")</f>
        <v/>
      </c>
      <c r="L21">
        <f>IFERROR((SUMIFS('AEO 2026 Table 23 '!O:O,'AEO 2026 Table 23 '!$B:$B,"*,"&amp;$A21&amp;",*")-SUMIFS('AEO 2026 Table 23 '!N:N,'AEO 2026 Table 23 '!$B:$B,"*,"&amp;$A21&amp;",*"))/SUMIFS('AEO 2026 Table 23 '!N:N,'AEO 2026 Table 23 '!$B:$B,"*,"&amp;$A21&amp;",*"),"")</f>
        <v/>
      </c>
      <c r="M21">
        <f>IFERROR((SUMIFS('AEO 2026 Table 23 '!P:P,'AEO 2026 Table 23 '!$B:$B,"*,"&amp;$A21&amp;",*")-SUMIFS('AEO 2026 Table 23 '!O:O,'AEO 2026 Table 23 '!$B:$B,"*,"&amp;$A21&amp;",*"))/SUMIFS('AEO 2026 Table 23 '!O:O,'AEO 2026 Table 23 '!$B:$B,"*,"&amp;$A21&amp;",*"),"")</f>
        <v/>
      </c>
      <c r="N21">
        <f>IFERROR((SUMIFS('AEO 2026 Table 23 '!Q:Q,'AEO 2026 Table 23 '!$B:$B,"*,"&amp;$A21&amp;",*")-SUMIFS('AEO 2026 Table 23 '!P:P,'AEO 2026 Table 23 '!$B:$B,"*,"&amp;$A21&amp;",*"))/SUMIFS('AEO 2026 Table 23 '!P:P,'AEO 2026 Table 23 '!$B:$B,"*,"&amp;$A21&amp;",*"),"")</f>
        <v/>
      </c>
      <c r="O21">
        <f>IFERROR((SUMIFS('AEO 2026 Table 23 '!R:R,'AEO 2026 Table 23 '!$B:$B,"*,"&amp;$A21&amp;",*")-SUMIFS('AEO 2026 Table 23 '!Q:Q,'AEO 2026 Table 23 '!$B:$B,"*,"&amp;$A21&amp;",*"))/SUMIFS('AEO 2026 Table 23 '!Q:Q,'AEO 2026 Table 23 '!$B:$B,"*,"&amp;$A21&amp;",*"),"")</f>
        <v/>
      </c>
      <c r="P21">
        <f>IFERROR((SUMIFS('AEO 2026 Table 23 '!S:S,'AEO 2026 Table 23 '!$B:$B,"*,"&amp;$A21&amp;",*")-SUMIFS('AEO 2026 Table 23 '!R:R,'AEO 2026 Table 23 '!$B:$B,"*,"&amp;$A21&amp;",*"))/SUMIFS('AEO 2026 Table 23 '!R:R,'AEO 2026 Table 23 '!$B:$B,"*,"&amp;$A21&amp;",*"),"")</f>
        <v/>
      </c>
      <c r="Q21">
        <f>IFERROR((SUMIFS('AEO 2026 Table 23 '!T:T,'AEO 2026 Table 23 '!$B:$B,"*,"&amp;$A21&amp;",*")-SUMIFS('AEO 2026 Table 23 '!S:S,'AEO 2026 Table 23 '!$B:$B,"*,"&amp;$A21&amp;",*"))/SUMIFS('AEO 2026 Table 23 '!S:S,'AEO 2026 Table 23 '!$B:$B,"*,"&amp;$A21&amp;",*"),"")</f>
        <v/>
      </c>
      <c r="R21">
        <f>IFERROR((SUMIFS('AEO 2026 Table 23 '!U:U,'AEO 2026 Table 23 '!$B:$B,"*,"&amp;$A21&amp;",*")-SUMIFS('AEO 2026 Table 23 '!T:T,'AEO 2026 Table 23 '!$B:$B,"*,"&amp;$A21&amp;",*"))/SUMIFS('AEO 2026 Table 23 '!T:T,'AEO 2026 Table 23 '!$B:$B,"*,"&amp;$A21&amp;",*"),"")</f>
        <v/>
      </c>
      <c r="S21">
        <f>IFERROR((SUMIFS('AEO 2026 Table 23 '!V:V,'AEO 2026 Table 23 '!$B:$B,"*,"&amp;$A21&amp;",*")-SUMIFS('AEO 2026 Table 23 '!U:U,'AEO 2026 Table 23 '!$B:$B,"*,"&amp;$A21&amp;",*"))/SUMIFS('AEO 2026 Table 23 '!U:U,'AEO 2026 Table 23 '!$B:$B,"*,"&amp;$A21&amp;",*"),"")</f>
        <v/>
      </c>
      <c r="T21">
        <f>IFERROR((SUMIFS('AEO 2026 Table 23 '!W:W,'AEO 2026 Table 23 '!$B:$B,"*,"&amp;$A21&amp;",*")-SUMIFS('AEO 2026 Table 23 '!V:V,'AEO 2026 Table 23 '!$B:$B,"*,"&amp;$A21&amp;",*"))/SUMIFS('AEO 2026 Table 23 '!V:V,'AEO 2026 Table 23 '!$B:$B,"*,"&amp;$A21&amp;",*"),"")</f>
        <v/>
      </c>
      <c r="U21">
        <f>IFERROR((SUMIFS('AEO 2026 Table 23 '!X:X,'AEO 2026 Table 23 '!$B:$B,"*,"&amp;$A21&amp;",*")-SUMIFS('AEO 2026 Table 23 '!W:W,'AEO 2026 Table 23 '!$B:$B,"*,"&amp;$A21&amp;",*"))/SUMIFS('AEO 2026 Table 23 '!W:W,'AEO 2026 Table 23 '!$B:$B,"*,"&amp;$A21&amp;",*"),"")</f>
        <v/>
      </c>
      <c r="V21">
        <f>IFERROR((SUMIFS('AEO 2026 Table 23 '!Y:Y,'AEO 2026 Table 23 '!$B:$B,"*,"&amp;$A21&amp;",*")-SUMIFS('AEO 2026 Table 23 '!X:X,'AEO 2026 Table 23 '!$B:$B,"*,"&amp;$A21&amp;",*"))/SUMIFS('AEO 2026 Table 23 '!X:X,'AEO 2026 Table 23 '!$B:$B,"*,"&amp;$A21&amp;",*"),"")</f>
        <v/>
      </c>
      <c r="W21">
        <f>IFERROR((SUMIFS('AEO 2026 Table 23 '!Z:Z,'AEO 2026 Table 23 '!$B:$B,"*,"&amp;$A21&amp;",*")-SUMIFS('AEO 2026 Table 23 '!Y:Y,'AEO 2026 Table 23 '!$B:$B,"*,"&amp;$A21&amp;",*"))/SUMIFS('AEO 2026 Table 23 '!Y:Y,'AEO 2026 Table 23 '!$B:$B,"*,"&amp;$A21&amp;",*"),"")</f>
        <v/>
      </c>
      <c r="X21">
        <f>IFERROR((SUMIFS('AEO 2026 Table 23 '!AA:AA,'AEO 2026 Table 23 '!$B:$B,"*,"&amp;$A21&amp;",*")-SUMIFS('AEO 2026 Table 23 '!Z:Z,'AEO 2026 Table 23 '!$B:$B,"*,"&amp;$A21&amp;",*"))/SUMIFS('AEO 2026 Table 23 '!Z:Z,'AEO 2026 Table 23 '!$B:$B,"*,"&amp;$A21&amp;",*"),"")</f>
        <v/>
      </c>
      <c r="Y21">
        <f>IFERROR((SUMIFS('AEO 2026 Table 23 '!AB:AB,'AEO 2026 Table 23 '!$B:$B,"*,"&amp;$A21&amp;",*")-SUMIFS('AEO 2026 Table 23 '!AA:AA,'AEO 2026 Table 23 '!$B:$B,"*,"&amp;$A21&amp;",*"))/SUMIFS('AEO 2026 Table 23 '!AA:AA,'AEO 2026 Table 23 '!$B:$B,"*,"&amp;$A21&amp;",*"),"")</f>
        <v/>
      </c>
      <c r="Z21">
        <f>IFERROR((SUMIFS('AEO 2026 Table 23 '!AC:AC,'AEO 2026 Table 23 '!$B:$B,"*,"&amp;$A21&amp;",*")-SUMIFS('AEO 2026 Table 23 '!AB:AB,'AEO 2026 Table 23 '!$B:$B,"*,"&amp;$A21&amp;",*"))/SUMIFS('AEO 2026 Table 23 '!AB:AB,'AEO 2026 Table 23 '!$B:$B,"*,"&amp;$A21&amp;",*"),"")</f>
        <v/>
      </c>
      <c r="AA21">
        <f>IFERROR((SUMIFS('AEO 2026 Table 23 '!AD:AD,'AEO 2026 Table 23 '!$B:$B,"*,"&amp;$A21&amp;",*")-SUMIFS('AEO 2026 Table 23 '!AC:AC,'AEO 2026 Table 23 '!$B:$B,"*,"&amp;$A21&amp;",*"))/SUMIFS('AEO 2026 Table 23 '!AC:AC,'AEO 2026 Table 23 '!$B:$B,"*,"&amp;$A21&amp;",*"),"")</f>
        <v/>
      </c>
      <c r="AB21">
        <f>IFERROR((SUMIFS('AEO 2026 Table 23 '!AE:AE,'AEO 2026 Table 23 '!$B:$B,"*,"&amp;$A21&amp;",*")-SUMIFS('AEO 2026 Table 23 '!AD:AD,'AEO 2026 Table 23 '!$B:$B,"*,"&amp;$A21&amp;",*"))/SUMIFS('AEO 2026 Table 23 '!AD:AD,'AEO 2026 Table 23 '!$B:$B,"*,"&amp;$A21&amp;",*"),"")</f>
        <v/>
      </c>
      <c r="AC21">
        <f>IFERROR((SUMIFS('AEO 2026 Table 23 '!AF:AF,'AEO 2026 Table 23 '!$B:$B,"*,"&amp;$A21&amp;",*")-SUMIFS('AEO 2026 Table 23 '!AE:AE,'AEO 2026 Table 23 '!$B:$B,"*,"&amp;$A21&amp;",*"))/SUMIFS('AEO 2026 Table 23 '!AE:AE,'AEO 2026 Table 23 '!$B:$B,"*,"&amp;$A21&amp;",*"),"")</f>
        <v/>
      </c>
    </row>
    <row r="22">
      <c r="A22" t="inlineStr">
        <is>
          <t>ISIC 241</t>
        </is>
      </c>
      <c r="B22">
        <f>IFERROR(SUMPRODUCT(--('BLS Table 2.11'!$L$1:$L$426=$A22),'BLS Table 2.11'!$J$1:$J$426,'BLS Table 2.11'!$K$1:$K$426)/SUMIFS('BLS Table 2.11'!$J$1:$J$426,'BLS Table 2.11'!$L$1:$L$426,$A22)/100,0)</f>
        <v/>
      </c>
      <c r="D22">
        <f>IFERROR((SUMIFS('AEO 2026 Table 23 '!G:G,'AEO 2026 Table 23 '!$B:$B,"*,"&amp;$A22&amp;",*")-SUMIFS('AEO25 Table 23'!H:H,'AEO25 Table 23'!$B:$B,"*,"&amp;$A22&amp;",*"))/SUMIFS('AEO25 Table 23'!H:H,'AEO25 Table 23'!$B:$B,"*,"&amp;$A22&amp;",*"),"")</f>
        <v/>
      </c>
      <c r="E22">
        <f>IFERROR((SUMIFS('AEO 2026 Table 23 '!H:H,'AEO 2026 Table 23 '!$B:$B,"*,"&amp;$A22&amp;",*")-SUMIFS('AEO 2026 Table 23 '!G:G,'AEO 2026 Table 23 '!$B:$B,"*,"&amp;$A22&amp;",*"))/SUMIFS('AEO 2026 Table 23 '!G:G,'AEO 2026 Table 23 '!$B:$B,"*,"&amp;$A22&amp;",*"),"")</f>
        <v/>
      </c>
      <c r="F22">
        <f>IFERROR((SUMIFS('AEO 2026 Table 23 '!I:I,'AEO 2026 Table 23 '!$B:$B,"*,"&amp;$A22&amp;",*")-SUMIFS('AEO 2026 Table 23 '!H:H,'AEO 2026 Table 23 '!$B:$B,"*,"&amp;$A22&amp;",*"))/SUMIFS('AEO 2026 Table 23 '!H:H,'AEO 2026 Table 23 '!$B:$B,"*,"&amp;$A22&amp;",*"),"")</f>
        <v/>
      </c>
      <c r="G22">
        <f>IFERROR((SUMIFS('AEO 2026 Table 23 '!J:J,'AEO 2026 Table 23 '!$B:$B,"*,"&amp;$A22&amp;",*")-SUMIFS('AEO 2026 Table 23 '!I:I,'AEO 2026 Table 23 '!$B:$B,"*,"&amp;$A22&amp;",*"))/SUMIFS('AEO 2026 Table 23 '!I:I,'AEO 2026 Table 23 '!$B:$B,"*,"&amp;$A22&amp;",*"),"")</f>
        <v/>
      </c>
      <c r="H22">
        <f>IFERROR((SUMIFS('AEO 2026 Table 23 '!K:K,'AEO 2026 Table 23 '!$B:$B,"*,"&amp;$A22&amp;",*")-SUMIFS('AEO 2026 Table 23 '!J:J,'AEO 2026 Table 23 '!$B:$B,"*,"&amp;$A22&amp;",*"))/SUMIFS('AEO 2026 Table 23 '!J:J,'AEO 2026 Table 23 '!$B:$B,"*,"&amp;$A22&amp;",*"),"")</f>
        <v/>
      </c>
      <c r="I22">
        <f>IFERROR((SUMIFS('AEO 2026 Table 23 '!L:L,'AEO 2026 Table 23 '!$B:$B,"*,"&amp;$A22&amp;",*")-SUMIFS('AEO 2026 Table 23 '!K:K,'AEO 2026 Table 23 '!$B:$B,"*,"&amp;$A22&amp;",*"))/SUMIFS('AEO 2026 Table 23 '!K:K,'AEO 2026 Table 23 '!$B:$B,"*,"&amp;$A22&amp;",*"),"")</f>
        <v/>
      </c>
      <c r="J22">
        <f>IFERROR((SUMIFS('AEO 2026 Table 23 '!M:M,'AEO 2026 Table 23 '!$B:$B,"*,"&amp;$A22&amp;",*")-SUMIFS('AEO 2026 Table 23 '!L:L,'AEO 2026 Table 23 '!$B:$B,"*,"&amp;$A22&amp;",*"))/SUMIFS('AEO 2026 Table 23 '!L:L,'AEO 2026 Table 23 '!$B:$B,"*,"&amp;$A22&amp;",*"),"")</f>
        <v/>
      </c>
      <c r="K22">
        <f>IFERROR((SUMIFS('AEO 2026 Table 23 '!N:N,'AEO 2026 Table 23 '!$B:$B,"*,"&amp;$A22&amp;",*")-SUMIFS('AEO 2026 Table 23 '!M:M,'AEO 2026 Table 23 '!$B:$B,"*,"&amp;$A22&amp;",*"))/SUMIFS('AEO 2026 Table 23 '!M:M,'AEO 2026 Table 23 '!$B:$B,"*,"&amp;$A22&amp;",*"),"")</f>
        <v/>
      </c>
      <c r="L22">
        <f>IFERROR((SUMIFS('AEO 2026 Table 23 '!O:O,'AEO 2026 Table 23 '!$B:$B,"*,"&amp;$A22&amp;",*")-SUMIFS('AEO 2026 Table 23 '!N:N,'AEO 2026 Table 23 '!$B:$B,"*,"&amp;$A22&amp;",*"))/SUMIFS('AEO 2026 Table 23 '!N:N,'AEO 2026 Table 23 '!$B:$B,"*,"&amp;$A22&amp;",*"),"")</f>
        <v/>
      </c>
      <c r="M22">
        <f>IFERROR((SUMIFS('AEO 2026 Table 23 '!P:P,'AEO 2026 Table 23 '!$B:$B,"*,"&amp;$A22&amp;",*")-SUMIFS('AEO 2026 Table 23 '!O:O,'AEO 2026 Table 23 '!$B:$B,"*,"&amp;$A22&amp;",*"))/SUMIFS('AEO 2026 Table 23 '!O:O,'AEO 2026 Table 23 '!$B:$B,"*,"&amp;$A22&amp;",*"),"")</f>
        <v/>
      </c>
      <c r="N22">
        <f>IFERROR((SUMIFS('AEO 2026 Table 23 '!Q:Q,'AEO 2026 Table 23 '!$B:$B,"*,"&amp;$A22&amp;",*")-SUMIFS('AEO 2026 Table 23 '!P:P,'AEO 2026 Table 23 '!$B:$B,"*,"&amp;$A22&amp;",*"))/SUMIFS('AEO 2026 Table 23 '!P:P,'AEO 2026 Table 23 '!$B:$B,"*,"&amp;$A22&amp;",*"),"")</f>
        <v/>
      </c>
      <c r="O22">
        <f>IFERROR((SUMIFS('AEO 2026 Table 23 '!R:R,'AEO 2026 Table 23 '!$B:$B,"*,"&amp;$A22&amp;",*")-SUMIFS('AEO 2026 Table 23 '!Q:Q,'AEO 2026 Table 23 '!$B:$B,"*,"&amp;$A22&amp;",*"))/SUMIFS('AEO 2026 Table 23 '!Q:Q,'AEO 2026 Table 23 '!$B:$B,"*,"&amp;$A22&amp;",*"),"")</f>
        <v/>
      </c>
      <c r="P22">
        <f>IFERROR((SUMIFS('AEO 2026 Table 23 '!S:S,'AEO 2026 Table 23 '!$B:$B,"*,"&amp;$A22&amp;",*")-SUMIFS('AEO 2026 Table 23 '!R:R,'AEO 2026 Table 23 '!$B:$B,"*,"&amp;$A22&amp;",*"))/SUMIFS('AEO 2026 Table 23 '!R:R,'AEO 2026 Table 23 '!$B:$B,"*,"&amp;$A22&amp;",*"),"")</f>
        <v/>
      </c>
      <c r="Q22">
        <f>IFERROR((SUMIFS('AEO 2026 Table 23 '!T:T,'AEO 2026 Table 23 '!$B:$B,"*,"&amp;$A22&amp;",*")-SUMIFS('AEO 2026 Table 23 '!S:S,'AEO 2026 Table 23 '!$B:$B,"*,"&amp;$A22&amp;",*"))/SUMIFS('AEO 2026 Table 23 '!S:S,'AEO 2026 Table 23 '!$B:$B,"*,"&amp;$A22&amp;",*"),"")</f>
        <v/>
      </c>
      <c r="R22">
        <f>IFERROR((SUMIFS('AEO 2026 Table 23 '!U:U,'AEO 2026 Table 23 '!$B:$B,"*,"&amp;$A22&amp;",*")-SUMIFS('AEO 2026 Table 23 '!T:T,'AEO 2026 Table 23 '!$B:$B,"*,"&amp;$A22&amp;",*"))/SUMIFS('AEO 2026 Table 23 '!T:T,'AEO 2026 Table 23 '!$B:$B,"*,"&amp;$A22&amp;",*"),"")</f>
        <v/>
      </c>
      <c r="S22">
        <f>IFERROR((SUMIFS('AEO 2026 Table 23 '!V:V,'AEO 2026 Table 23 '!$B:$B,"*,"&amp;$A22&amp;",*")-SUMIFS('AEO 2026 Table 23 '!U:U,'AEO 2026 Table 23 '!$B:$B,"*,"&amp;$A22&amp;",*"))/SUMIFS('AEO 2026 Table 23 '!U:U,'AEO 2026 Table 23 '!$B:$B,"*,"&amp;$A22&amp;",*"),"")</f>
        <v/>
      </c>
      <c r="T22">
        <f>IFERROR((SUMIFS('AEO 2026 Table 23 '!W:W,'AEO 2026 Table 23 '!$B:$B,"*,"&amp;$A22&amp;",*")-SUMIFS('AEO 2026 Table 23 '!V:V,'AEO 2026 Table 23 '!$B:$B,"*,"&amp;$A22&amp;",*"))/SUMIFS('AEO 2026 Table 23 '!V:V,'AEO 2026 Table 23 '!$B:$B,"*,"&amp;$A22&amp;",*"),"")</f>
        <v/>
      </c>
      <c r="U22">
        <f>IFERROR((SUMIFS('AEO 2026 Table 23 '!X:X,'AEO 2026 Table 23 '!$B:$B,"*,"&amp;$A22&amp;",*")-SUMIFS('AEO 2026 Table 23 '!W:W,'AEO 2026 Table 23 '!$B:$B,"*,"&amp;$A22&amp;",*"))/SUMIFS('AEO 2026 Table 23 '!W:W,'AEO 2026 Table 23 '!$B:$B,"*,"&amp;$A22&amp;",*"),"")</f>
        <v/>
      </c>
      <c r="V22">
        <f>IFERROR((SUMIFS('AEO 2026 Table 23 '!Y:Y,'AEO 2026 Table 23 '!$B:$B,"*,"&amp;$A22&amp;",*")-SUMIFS('AEO 2026 Table 23 '!X:X,'AEO 2026 Table 23 '!$B:$B,"*,"&amp;$A22&amp;",*"))/SUMIFS('AEO 2026 Table 23 '!X:X,'AEO 2026 Table 23 '!$B:$B,"*,"&amp;$A22&amp;",*"),"")</f>
        <v/>
      </c>
      <c r="W22">
        <f>IFERROR((SUMIFS('AEO 2026 Table 23 '!Z:Z,'AEO 2026 Table 23 '!$B:$B,"*,"&amp;$A22&amp;",*")-SUMIFS('AEO 2026 Table 23 '!Y:Y,'AEO 2026 Table 23 '!$B:$B,"*,"&amp;$A22&amp;",*"))/SUMIFS('AEO 2026 Table 23 '!Y:Y,'AEO 2026 Table 23 '!$B:$B,"*,"&amp;$A22&amp;",*"),"")</f>
        <v/>
      </c>
      <c r="X22">
        <f>IFERROR((SUMIFS('AEO 2026 Table 23 '!AA:AA,'AEO 2026 Table 23 '!$B:$B,"*,"&amp;$A22&amp;",*")-SUMIFS('AEO 2026 Table 23 '!Z:Z,'AEO 2026 Table 23 '!$B:$B,"*,"&amp;$A22&amp;",*"))/SUMIFS('AEO 2026 Table 23 '!Z:Z,'AEO 2026 Table 23 '!$B:$B,"*,"&amp;$A22&amp;",*"),"")</f>
        <v/>
      </c>
      <c r="Y22">
        <f>IFERROR((SUMIFS('AEO 2026 Table 23 '!AB:AB,'AEO 2026 Table 23 '!$B:$B,"*,"&amp;$A22&amp;",*")-SUMIFS('AEO 2026 Table 23 '!AA:AA,'AEO 2026 Table 23 '!$B:$B,"*,"&amp;$A22&amp;",*"))/SUMIFS('AEO 2026 Table 23 '!AA:AA,'AEO 2026 Table 23 '!$B:$B,"*,"&amp;$A22&amp;",*"),"")</f>
        <v/>
      </c>
      <c r="Z22">
        <f>IFERROR((SUMIFS('AEO 2026 Table 23 '!AC:AC,'AEO 2026 Table 23 '!$B:$B,"*,"&amp;$A22&amp;",*")-SUMIFS('AEO 2026 Table 23 '!AB:AB,'AEO 2026 Table 23 '!$B:$B,"*,"&amp;$A22&amp;",*"))/SUMIFS('AEO 2026 Table 23 '!AB:AB,'AEO 2026 Table 23 '!$B:$B,"*,"&amp;$A22&amp;",*"),"")</f>
        <v/>
      </c>
      <c r="AA22">
        <f>IFERROR((SUMIFS('AEO 2026 Table 23 '!AD:AD,'AEO 2026 Table 23 '!$B:$B,"*,"&amp;$A22&amp;",*")-SUMIFS('AEO 2026 Table 23 '!AC:AC,'AEO 2026 Table 23 '!$B:$B,"*,"&amp;$A22&amp;",*"))/SUMIFS('AEO 2026 Table 23 '!AC:AC,'AEO 2026 Table 23 '!$B:$B,"*,"&amp;$A22&amp;",*"),"")</f>
        <v/>
      </c>
      <c r="AB22">
        <f>IFERROR((SUMIFS('AEO 2026 Table 23 '!AE:AE,'AEO 2026 Table 23 '!$B:$B,"*,"&amp;$A22&amp;",*")-SUMIFS('AEO 2026 Table 23 '!AD:AD,'AEO 2026 Table 23 '!$B:$B,"*,"&amp;$A22&amp;",*"))/SUMIFS('AEO 2026 Table 23 '!AD:AD,'AEO 2026 Table 23 '!$B:$B,"*,"&amp;$A22&amp;",*"),"")</f>
        <v/>
      </c>
      <c r="AC22">
        <f>IFERROR((SUMIFS('AEO 2026 Table 23 '!AF:AF,'AEO 2026 Table 23 '!$B:$B,"*,"&amp;$A22&amp;",*")-SUMIFS('AEO 2026 Table 23 '!AE:AE,'AEO 2026 Table 23 '!$B:$B,"*,"&amp;$A22&amp;",*"))/SUMIFS('AEO 2026 Table 23 '!AE:AE,'AEO 2026 Table 23 '!$B:$B,"*,"&amp;$A22&amp;",*"),"")</f>
        <v/>
      </c>
    </row>
    <row r="23">
      <c r="A23" t="inlineStr">
        <is>
          <t>ISIC 242</t>
        </is>
      </c>
      <c r="B23">
        <f>IFERROR(SUMPRODUCT(--('BLS Table 2.11'!$L$1:$L$426=$A23),'BLS Table 2.11'!$J$1:$J$426,'BLS Table 2.11'!$K$1:$K$426)/SUMIFS('BLS Table 2.11'!$J$1:$J$426,'BLS Table 2.11'!$L$1:$L$426,$A23)/100,0)</f>
        <v/>
      </c>
      <c r="D23">
        <f>IFERROR((SUMIFS('AEO 2026 Table 23 '!G:G,'AEO 2026 Table 23 '!$B:$B,"*,"&amp;$A23&amp;",*")-SUMIFS('AEO25 Table 23'!H:H,'AEO25 Table 23'!$B:$B,"*,"&amp;$A23&amp;",*"))/SUMIFS('AEO25 Table 23'!H:H,'AEO25 Table 23'!$B:$B,"*,"&amp;$A23&amp;",*"),"")</f>
        <v/>
      </c>
      <c r="E23">
        <f>IFERROR((SUMIFS('AEO 2026 Table 23 '!H:H,'AEO 2026 Table 23 '!$B:$B,"*,"&amp;$A23&amp;",*")-SUMIFS('AEO 2026 Table 23 '!G:G,'AEO 2026 Table 23 '!$B:$B,"*,"&amp;$A23&amp;",*"))/SUMIFS('AEO 2026 Table 23 '!G:G,'AEO 2026 Table 23 '!$B:$B,"*,"&amp;$A23&amp;",*"),"")</f>
        <v/>
      </c>
      <c r="F23">
        <f>IFERROR((SUMIFS('AEO 2026 Table 23 '!I:I,'AEO 2026 Table 23 '!$B:$B,"*,"&amp;$A23&amp;",*")-SUMIFS('AEO 2026 Table 23 '!H:H,'AEO 2026 Table 23 '!$B:$B,"*,"&amp;$A23&amp;",*"))/SUMIFS('AEO 2026 Table 23 '!H:H,'AEO 2026 Table 23 '!$B:$B,"*,"&amp;$A23&amp;",*"),"")</f>
        <v/>
      </c>
      <c r="G23">
        <f>IFERROR((SUMIFS('AEO 2026 Table 23 '!J:J,'AEO 2026 Table 23 '!$B:$B,"*,"&amp;$A23&amp;",*")-SUMIFS('AEO 2026 Table 23 '!I:I,'AEO 2026 Table 23 '!$B:$B,"*,"&amp;$A23&amp;",*"))/SUMIFS('AEO 2026 Table 23 '!I:I,'AEO 2026 Table 23 '!$B:$B,"*,"&amp;$A23&amp;",*"),"")</f>
        <v/>
      </c>
      <c r="H23">
        <f>IFERROR((SUMIFS('AEO 2026 Table 23 '!K:K,'AEO 2026 Table 23 '!$B:$B,"*,"&amp;$A23&amp;",*")-SUMIFS('AEO 2026 Table 23 '!J:J,'AEO 2026 Table 23 '!$B:$B,"*,"&amp;$A23&amp;",*"))/SUMIFS('AEO 2026 Table 23 '!J:J,'AEO 2026 Table 23 '!$B:$B,"*,"&amp;$A23&amp;",*"),"")</f>
        <v/>
      </c>
      <c r="I23">
        <f>IFERROR((SUMIFS('AEO 2026 Table 23 '!L:L,'AEO 2026 Table 23 '!$B:$B,"*,"&amp;$A23&amp;",*")-SUMIFS('AEO 2026 Table 23 '!K:K,'AEO 2026 Table 23 '!$B:$B,"*,"&amp;$A23&amp;",*"))/SUMIFS('AEO 2026 Table 23 '!K:K,'AEO 2026 Table 23 '!$B:$B,"*,"&amp;$A23&amp;",*"),"")</f>
        <v/>
      </c>
      <c r="J23">
        <f>IFERROR((SUMIFS('AEO 2026 Table 23 '!M:M,'AEO 2026 Table 23 '!$B:$B,"*,"&amp;$A23&amp;",*")-SUMIFS('AEO 2026 Table 23 '!L:L,'AEO 2026 Table 23 '!$B:$B,"*,"&amp;$A23&amp;",*"))/SUMIFS('AEO 2026 Table 23 '!L:L,'AEO 2026 Table 23 '!$B:$B,"*,"&amp;$A23&amp;",*"),"")</f>
        <v/>
      </c>
      <c r="K23">
        <f>IFERROR((SUMIFS('AEO 2026 Table 23 '!N:N,'AEO 2026 Table 23 '!$B:$B,"*,"&amp;$A23&amp;",*")-SUMIFS('AEO 2026 Table 23 '!M:M,'AEO 2026 Table 23 '!$B:$B,"*,"&amp;$A23&amp;",*"))/SUMIFS('AEO 2026 Table 23 '!M:M,'AEO 2026 Table 23 '!$B:$B,"*,"&amp;$A23&amp;",*"),"")</f>
        <v/>
      </c>
      <c r="L23">
        <f>IFERROR((SUMIFS('AEO 2026 Table 23 '!O:O,'AEO 2026 Table 23 '!$B:$B,"*,"&amp;$A23&amp;",*")-SUMIFS('AEO 2026 Table 23 '!N:N,'AEO 2026 Table 23 '!$B:$B,"*,"&amp;$A23&amp;",*"))/SUMIFS('AEO 2026 Table 23 '!N:N,'AEO 2026 Table 23 '!$B:$B,"*,"&amp;$A23&amp;",*"),"")</f>
        <v/>
      </c>
      <c r="M23">
        <f>IFERROR((SUMIFS('AEO 2026 Table 23 '!P:P,'AEO 2026 Table 23 '!$B:$B,"*,"&amp;$A23&amp;",*")-SUMIFS('AEO 2026 Table 23 '!O:O,'AEO 2026 Table 23 '!$B:$B,"*,"&amp;$A23&amp;",*"))/SUMIFS('AEO 2026 Table 23 '!O:O,'AEO 2026 Table 23 '!$B:$B,"*,"&amp;$A23&amp;",*"),"")</f>
        <v/>
      </c>
      <c r="N23">
        <f>IFERROR((SUMIFS('AEO 2026 Table 23 '!Q:Q,'AEO 2026 Table 23 '!$B:$B,"*,"&amp;$A23&amp;",*")-SUMIFS('AEO 2026 Table 23 '!P:P,'AEO 2026 Table 23 '!$B:$B,"*,"&amp;$A23&amp;",*"))/SUMIFS('AEO 2026 Table 23 '!P:P,'AEO 2026 Table 23 '!$B:$B,"*,"&amp;$A23&amp;",*"),"")</f>
        <v/>
      </c>
      <c r="O23">
        <f>IFERROR((SUMIFS('AEO 2026 Table 23 '!R:R,'AEO 2026 Table 23 '!$B:$B,"*,"&amp;$A23&amp;",*")-SUMIFS('AEO 2026 Table 23 '!Q:Q,'AEO 2026 Table 23 '!$B:$B,"*,"&amp;$A23&amp;",*"))/SUMIFS('AEO 2026 Table 23 '!Q:Q,'AEO 2026 Table 23 '!$B:$B,"*,"&amp;$A23&amp;",*"),"")</f>
        <v/>
      </c>
      <c r="P23">
        <f>IFERROR((SUMIFS('AEO 2026 Table 23 '!S:S,'AEO 2026 Table 23 '!$B:$B,"*,"&amp;$A23&amp;",*")-SUMIFS('AEO 2026 Table 23 '!R:R,'AEO 2026 Table 23 '!$B:$B,"*,"&amp;$A23&amp;",*"))/SUMIFS('AEO 2026 Table 23 '!R:R,'AEO 2026 Table 23 '!$B:$B,"*,"&amp;$A23&amp;",*"),"")</f>
        <v/>
      </c>
      <c r="Q23">
        <f>IFERROR((SUMIFS('AEO 2026 Table 23 '!T:T,'AEO 2026 Table 23 '!$B:$B,"*,"&amp;$A23&amp;",*")-SUMIFS('AEO 2026 Table 23 '!S:S,'AEO 2026 Table 23 '!$B:$B,"*,"&amp;$A23&amp;",*"))/SUMIFS('AEO 2026 Table 23 '!S:S,'AEO 2026 Table 23 '!$B:$B,"*,"&amp;$A23&amp;",*"),"")</f>
        <v/>
      </c>
      <c r="R23">
        <f>IFERROR((SUMIFS('AEO 2026 Table 23 '!U:U,'AEO 2026 Table 23 '!$B:$B,"*,"&amp;$A23&amp;",*")-SUMIFS('AEO 2026 Table 23 '!T:T,'AEO 2026 Table 23 '!$B:$B,"*,"&amp;$A23&amp;",*"))/SUMIFS('AEO 2026 Table 23 '!T:T,'AEO 2026 Table 23 '!$B:$B,"*,"&amp;$A23&amp;",*"),"")</f>
        <v/>
      </c>
      <c r="S23">
        <f>IFERROR((SUMIFS('AEO 2026 Table 23 '!V:V,'AEO 2026 Table 23 '!$B:$B,"*,"&amp;$A23&amp;",*")-SUMIFS('AEO 2026 Table 23 '!U:U,'AEO 2026 Table 23 '!$B:$B,"*,"&amp;$A23&amp;",*"))/SUMIFS('AEO 2026 Table 23 '!U:U,'AEO 2026 Table 23 '!$B:$B,"*,"&amp;$A23&amp;",*"),"")</f>
        <v/>
      </c>
      <c r="T23">
        <f>IFERROR((SUMIFS('AEO 2026 Table 23 '!W:W,'AEO 2026 Table 23 '!$B:$B,"*,"&amp;$A23&amp;",*")-SUMIFS('AEO 2026 Table 23 '!V:V,'AEO 2026 Table 23 '!$B:$B,"*,"&amp;$A23&amp;",*"))/SUMIFS('AEO 2026 Table 23 '!V:V,'AEO 2026 Table 23 '!$B:$B,"*,"&amp;$A23&amp;",*"),"")</f>
        <v/>
      </c>
      <c r="U23">
        <f>IFERROR((SUMIFS('AEO 2026 Table 23 '!X:X,'AEO 2026 Table 23 '!$B:$B,"*,"&amp;$A23&amp;",*")-SUMIFS('AEO 2026 Table 23 '!W:W,'AEO 2026 Table 23 '!$B:$B,"*,"&amp;$A23&amp;",*"))/SUMIFS('AEO 2026 Table 23 '!W:W,'AEO 2026 Table 23 '!$B:$B,"*,"&amp;$A23&amp;",*"),"")</f>
        <v/>
      </c>
      <c r="V23">
        <f>IFERROR((SUMIFS('AEO 2026 Table 23 '!Y:Y,'AEO 2026 Table 23 '!$B:$B,"*,"&amp;$A23&amp;",*")-SUMIFS('AEO 2026 Table 23 '!X:X,'AEO 2026 Table 23 '!$B:$B,"*,"&amp;$A23&amp;",*"))/SUMIFS('AEO 2026 Table 23 '!X:X,'AEO 2026 Table 23 '!$B:$B,"*,"&amp;$A23&amp;",*"),"")</f>
        <v/>
      </c>
      <c r="W23">
        <f>IFERROR((SUMIFS('AEO 2026 Table 23 '!Z:Z,'AEO 2026 Table 23 '!$B:$B,"*,"&amp;$A23&amp;",*")-SUMIFS('AEO 2026 Table 23 '!Y:Y,'AEO 2026 Table 23 '!$B:$B,"*,"&amp;$A23&amp;",*"))/SUMIFS('AEO 2026 Table 23 '!Y:Y,'AEO 2026 Table 23 '!$B:$B,"*,"&amp;$A23&amp;",*"),"")</f>
        <v/>
      </c>
      <c r="X23">
        <f>IFERROR((SUMIFS('AEO 2026 Table 23 '!AA:AA,'AEO 2026 Table 23 '!$B:$B,"*,"&amp;$A23&amp;",*")-SUMIFS('AEO 2026 Table 23 '!Z:Z,'AEO 2026 Table 23 '!$B:$B,"*,"&amp;$A23&amp;",*"))/SUMIFS('AEO 2026 Table 23 '!Z:Z,'AEO 2026 Table 23 '!$B:$B,"*,"&amp;$A23&amp;",*"),"")</f>
        <v/>
      </c>
      <c r="Y23">
        <f>IFERROR((SUMIFS('AEO 2026 Table 23 '!AB:AB,'AEO 2026 Table 23 '!$B:$B,"*,"&amp;$A23&amp;",*")-SUMIFS('AEO 2026 Table 23 '!AA:AA,'AEO 2026 Table 23 '!$B:$B,"*,"&amp;$A23&amp;",*"))/SUMIFS('AEO 2026 Table 23 '!AA:AA,'AEO 2026 Table 23 '!$B:$B,"*,"&amp;$A23&amp;",*"),"")</f>
        <v/>
      </c>
      <c r="Z23">
        <f>IFERROR((SUMIFS('AEO 2026 Table 23 '!AC:AC,'AEO 2026 Table 23 '!$B:$B,"*,"&amp;$A23&amp;",*")-SUMIFS('AEO 2026 Table 23 '!AB:AB,'AEO 2026 Table 23 '!$B:$B,"*,"&amp;$A23&amp;",*"))/SUMIFS('AEO 2026 Table 23 '!AB:AB,'AEO 2026 Table 23 '!$B:$B,"*,"&amp;$A23&amp;",*"),"")</f>
        <v/>
      </c>
      <c r="AA23">
        <f>IFERROR((SUMIFS('AEO 2026 Table 23 '!AD:AD,'AEO 2026 Table 23 '!$B:$B,"*,"&amp;$A23&amp;",*")-SUMIFS('AEO 2026 Table 23 '!AC:AC,'AEO 2026 Table 23 '!$B:$B,"*,"&amp;$A23&amp;",*"))/SUMIFS('AEO 2026 Table 23 '!AC:AC,'AEO 2026 Table 23 '!$B:$B,"*,"&amp;$A23&amp;",*"),"")</f>
        <v/>
      </c>
      <c r="AB23">
        <f>IFERROR((SUMIFS('AEO 2026 Table 23 '!AE:AE,'AEO 2026 Table 23 '!$B:$B,"*,"&amp;$A23&amp;",*")-SUMIFS('AEO 2026 Table 23 '!AD:AD,'AEO 2026 Table 23 '!$B:$B,"*,"&amp;$A23&amp;",*"))/SUMIFS('AEO 2026 Table 23 '!AD:AD,'AEO 2026 Table 23 '!$B:$B,"*,"&amp;$A23&amp;",*"),"")</f>
        <v/>
      </c>
      <c r="AC23">
        <f>IFERROR((SUMIFS('AEO 2026 Table 23 '!AF:AF,'AEO 2026 Table 23 '!$B:$B,"*,"&amp;$A23&amp;",*")-SUMIFS('AEO 2026 Table 23 '!AE:AE,'AEO 2026 Table 23 '!$B:$B,"*,"&amp;$A23&amp;",*"))/SUMIFS('AEO 2026 Table 23 '!AE:AE,'AEO 2026 Table 23 '!$B:$B,"*,"&amp;$A23&amp;",*"),"")</f>
        <v/>
      </c>
    </row>
    <row r="24">
      <c r="A24" t="inlineStr">
        <is>
          <t>ISIC 25</t>
        </is>
      </c>
      <c r="B24">
        <f>IFERROR(SUMPRODUCT(--('BLS Table 2.11'!$L$1:$L$426=$A24),'BLS Table 2.11'!$J$1:$J$426,'BLS Table 2.11'!$K$1:$K$426)/SUMIFS('BLS Table 2.11'!$J$1:$J$426,'BLS Table 2.11'!$L$1:$L$426,$A24)/100,0)</f>
        <v/>
      </c>
      <c r="D24">
        <f>IFERROR((SUMIFS('AEO 2026 Table 23 '!G:G,'AEO 2026 Table 23 '!$B:$B,"*,"&amp;$A24&amp;",*")-SUMIFS('AEO25 Table 23'!H:H,'AEO25 Table 23'!$B:$B,"*,"&amp;$A24&amp;",*"))/SUMIFS('AEO25 Table 23'!H:H,'AEO25 Table 23'!$B:$B,"*,"&amp;$A24&amp;",*"),"")</f>
        <v/>
      </c>
      <c r="E24">
        <f>IFERROR((SUMIFS('AEO 2026 Table 23 '!H:H,'AEO 2026 Table 23 '!$B:$B,"*,"&amp;$A24&amp;",*")-SUMIFS('AEO 2026 Table 23 '!G:G,'AEO 2026 Table 23 '!$B:$B,"*,"&amp;$A24&amp;",*"))/SUMIFS('AEO 2026 Table 23 '!G:G,'AEO 2026 Table 23 '!$B:$B,"*,"&amp;$A24&amp;",*"),"")</f>
        <v/>
      </c>
      <c r="F24">
        <f>IFERROR((SUMIFS('AEO 2026 Table 23 '!I:I,'AEO 2026 Table 23 '!$B:$B,"*,"&amp;$A24&amp;",*")-SUMIFS('AEO 2026 Table 23 '!H:H,'AEO 2026 Table 23 '!$B:$B,"*,"&amp;$A24&amp;",*"))/SUMIFS('AEO 2026 Table 23 '!H:H,'AEO 2026 Table 23 '!$B:$B,"*,"&amp;$A24&amp;",*"),"")</f>
        <v/>
      </c>
      <c r="G24">
        <f>IFERROR((SUMIFS('AEO 2026 Table 23 '!J:J,'AEO 2026 Table 23 '!$B:$B,"*,"&amp;$A24&amp;",*")-SUMIFS('AEO 2026 Table 23 '!I:I,'AEO 2026 Table 23 '!$B:$B,"*,"&amp;$A24&amp;",*"))/SUMIFS('AEO 2026 Table 23 '!I:I,'AEO 2026 Table 23 '!$B:$B,"*,"&amp;$A24&amp;",*"),"")</f>
        <v/>
      </c>
      <c r="H24">
        <f>IFERROR((SUMIFS('AEO 2026 Table 23 '!K:K,'AEO 2026 Table 23 '!$B:$B,"*,"&amp;$A24&amp;",*")-SUMIFS('AEO 2026 Table 23 '!J:J,'AEO 2026 Table 23 '!$B:$B,"*,"&amp;$A24&amp;",*"))/SUMIFS('AEO 2026 Table 23 '!J:J,'AEO 2026 Table 23 '!$B:$B,"*,"&amp;$A24&amp;",*"),"")</f>
        <v/>
      </c>
      <c r="I24">
        <f>IFERROR((SUMIFS('AEO 2026 Table 23 '!L:L,'AEO 2026 Table 23 '!$B:$B,"*,"&amp;$A24&amp;",*")-SUMIFS('AEO 2026 Table 23 '!K:K,'AEO 2026 Table 23 '!$B:$B,"*,"&amp;$A24&amp;",*"))/SUMIFS('AEO 2026 Table 23 '!K:K,'AEO 2026 Table 23 '!$B:$B,"*,"&amp;$A24&amp;",*"),"")</f>
        <v/>
      </c>
      <c r="J24">
        <f>IFERROR((SUMIFS('AEO 2026 Table 23 '!M:M,'AEO 2026 Table 23 '!$B:$B,"*,"&amp;$A24&amp;",*")-SUMIFS('AEO 2026 Table 23 '!L:L,'AEO 2026 Table 23 '!$B:$B,"*,"&amp;$A24&amp;",*"))/SUMIFS('AEO 2026 Table 23 '!L:L,'AEO 2026 Table 23 '!$B:$B,"*,"&amp;$A24&amp;",*"),"")</f>
        <v/>
      </c>
      <c r="K24">
        <f>IFERROR((SUMIFS('AEO 2026 Table 23 '!N:N,'AEO 2026 Table 23 '!$B:$B,"*,"&amp;$A24&amp;",*")-SUMIFS('AEO 2026 Table 23 '!M:M,'AEO 2026 Table 23 '!$B:$B,"*,"&amp;$A24&amp;",*"))/SUMIFS('AEO 2026 Table 23 '!M:M,'AEO 2026 Table 23 '!$B:$B,"*,"&amp;$A24&amp;",*"),"")</f>
        <v/>
      </c>
      <c r="L24">
        <f>IFERROR((SUMIFS('AEO 2026 Table 23 '!O:O,'AEO 2026 Table 23 '!$B:$B,"*,"&amp;$A24&amp;",*")-SUMIFS('AEO 2026 Table 23 '!N:N,'AEO 2026 Table 23 '!$B:$B,"*,"&amp;$A24&amp;",*"))/SUMIFS('AEO 2026 Table 23 '!N:N,'AEO 2026 Table 23 '!$B:$B,"*,"&amp;$A24&amp;",*"),"")</f>
        <v/>
      </c>
      <c r="M24">
        <f>IFERROR((SUMIFS('AEO 2026 Table 23 '!P:P,'AEO 2026 Table 23 '!$B:$B,"*,"&amp;$A24&amp;",*")-SUMIFS('AEO 2026 Table 23 '!O:O,'AEO 2026 Table 23 '!$B:$B,"*,"&amp;$A24&amp;",*"))/SUMIFS('AEO 2026 Table 23 '!O:O,'AEO 2026 Table 23 '!$B:$B,"*,"&amp;$A24&amp;",*"),"")</f>
        <v/>
      </c>
      <c r="N24">
        <f>IFERROR((SUMIFS('AEO 2026 Table 23 '!Q:Q,'AEO 2026 Table 23 '!$B:$B,"*,"&amp;$A24&amp;",*")-SUMIFS('AEO 2026 Table 23 '!P:P,'AEO 2026 Table 23 '!$B:$B,"*,"&amp;$A24&amp;",*"))/SUMIFS('AEO 2026 Table 23 '!P:P,'AEO 2026 Table 23 '!$B:$B,"*,"&amp;$A24&amp;",*"),"")</f>
        <v/>
      </c>
      <c r="O24">
        <f>IFERROR((SUMIFS('AEO 2026 Table 23 '!R:R,'AEO 2026 Table 23 '!$B:$B,"*,"&amp;$A24&amp;",*")-SUMIFS('AEO 2026 Table 23 '!Q:Q,'AEO 2026 Table 23 '!$B:$B,"*,"&amp;$A24&amp;",*"))/SUMIFS('AEO 2026 Table 23 '!Q:Q,'AEO 2026 Table 23 '!$B:$B,"*,"&amp;$A24&amp;",*"),"")</f>
        <v/>
      </c>
      <c r="P24">
        <f>IFERROR((SUMIFS('AEO 2026 Table 23 '!S:S,'AEO 2026 Table 23 '!$B:$B,"*,"&amp;$A24&amp;",*")-SUMIFS('AEO 2026 Table 23 '!R:R,'AEO 2026 Table 23 '!$B:$B,"*,"&amp;$A24&amp;",*"))/SUMIFS('AEO 2026 Table 23 '!R:R,'AEO 2026 Table 23 '!$B:$B,"*,"&amp;$A24&amp;",*"),"")</f>
        <v/>
      </c>
      <c r="Q24">
        <f>IFERROR((SUMIFS('AEO 2026 Table 23 '!T:T,'AEO 2026 Table 23 '!$B:$B,"*,"&amp;$A24&amp;",*")-SUMIFS('AEO 2026 Table 23 '!S:S,'AEO 2026 Table 23 '!$B:$B,"*,"&amp;$A24&amp;",*"))/SUMIFS('AEO 2026 Table 23 '!S:S,'AEO 2026 Table 23 '!$B:$B,"*,"&amp;$A24&amp;",*"),"")</f>
        <v/>
      </c>
      <c r="R24">
        <f>IFERROR((SUMIFS('AEO 2026 Table 23 '!U:U,'AEO 2026 Table 23 '!$B:$B,"*,"&amp;$A24&amp;",*")-SUMIFS('AEO 2026 Table 23 '!T:T,'AEO 2026 Table 23 '!$B:$B,"*,"&amp;$A24&amp;",*"))/SUMIFS('AEO 2026 Table 23 '!T:T,'AEO 2026 Table 23 '!$B:$B,"*,"&amp;$A24&amp;",*"),"")</f>
        <v/>
      </c>
      <c r="S24">
        <f>IFERROR((SUMIFS('AEO 2026 Table 23 '!V:V,'AEO 2026 Table 23 '!$B:$B,"*,"&amp;$A24&amp;",*")-SUMIFS('AEO 2026 Table 23 '!U:U,'AEO 2026 Table 23 '!$B:$B,"*,"&amp;$A24&amp;",*"))/SUMIFS('AEO 2026 Table 23 '!U:U,'AEO 2026 Table 23 '!$B:$B,"*,"&amp;$A24&amp;",*"),"")</f>
        <v/>
      </c>
      <c r="T24">
        <f>IFERROR((SUMIFS('AEO 2026 Table 23 '!W:W,'AEO 2026 Table 23 '!$B:$B,"*,"&amp;$A24&amp;",*")-SUMIFS('AEO 2026 Table 23 '!V:V,'AEO 2026 Table 23 '!$B:$B,"*,"&amp;$A24&amp;",*"))/SUMIFS('AEO 2026 Table 23 '!V:V,'AEO 2026 Table 23 '!$B:$B,"*,"&amp;$A24&amp;",*"),"")</f>
        <v/>
      </c>
      <c r="U24">
        <f>IFERROR((SUMIFS('AEO 2026 Table 23 '!X:X,'AEO 2026 Table 23 '!$B:$B,"*,"&amp;$A24&amp;",*")-SUMIFS('AEO 2026 Table 23 '!W:W,'AEO 2026 Table 23 '!$B:$B,"*,"&amp;$A24&amp;",*"))/SUMIFS('AEO 2026 Table 23 '!W:W,'AEO 2026 Table 23 '!$B:$B,"*,"&amp;$A24&amp;",*"),"")</f>
        <v/>
      </c>
      <c r="V24">
        <f>IFERROR((SUMIFS('AEO 2026 Table 23 '!Y:Y,'AEO 2026 Table 23 '!$B:$B,"*,"&amp;$A24&amp;",*")-SUMIFS('AEO 2026 Table 23 '!X:X,'AEO 2026 Table 23 '!$B:$B,"*,"&amp;$A24&amp;",*"))/SUMIFS('AEO 2026 Table 23 '!X:X,'AEO 2026 Table 23 '!$B:$B,"*,"&amp;$A24&amp;",*"),"")</f>
        <v/>
      </c>
      <c r="W24">
        <f>IFERROR((SUMIFS('AEO 2026 Table 23 '!Z:Z,'AEO 2026 Table 23 '!$B:$B,"*,"&amp;$A24&amp;",*")-SUMIFS('AEO 2026 Table 23 '!Y:Y,'AEO 2026 Table 23 '!$B:$B,"*,"&amp;$A24&amp;",*"))/SUMIFS('AEO 2026 Table 23 '!Y:Y,'AEO 2026 Table 23 '!$B:$B,"*,"&amp;$A24&amp;",*"),"")</f>
        <v/>
      </c>
      <c r="X24">
        <f>IFERROR((SUMIFS('AEO 2026 Table 23 '!AA:AA,'AEO 2026 Table 23 '!$B:$B,"*,"&amp;$A24&amp;",*")-SUMIFS('AEO 2026 Table 23 '!Z:Z,'AEO 2026 Table 23 '!$B:$B,"*,"&amp;$A24&amp;",*"))/SUMIFS('AEO 2026 Table 23 '!Z:Z,'AEO 2026 Table 23 '!$B:$B,"*,"&amp;$A24&amp;",*"),"")</f>
        <v/>
      </c>
      <c r="Y24">
        <f>IFERROR((SUMIFS('AEO 2026 Table 23 '!AB:AB,'AEO 2026 Table 23 '!$B:$B,"*,"&amp;$A24&amp;",*")-SUMIFS('AEO 2026 Table 23 '!AA:AA,'AEO 2026 Table 23 '!$B:$B,"*,"&amp;$A24&amp;",*"))/SUMIFS('AEO 2026 Table 23 '!AA:AA,'AEO 2026 Table 23 '!$B:$B,"*,"&amp;$A24&amp;",*"),"")</f>
        <v/>
      </c>
      <c r="Z24">
        <f>IFERROR((SUMIFS('AEO 2026 Table 23 '!AC:AC,'AEO 2026 Table 23 '!$B:$B,"*,"&amp;$A24&amp;",*")-SUMIFS('AEO 2026 Table 23 '!AB:AB,'AEO 2026 Table 23 '!$B:$B,"*,"&amp;$A24&amp;",*"))/SUMIFS('AEO 2026 Table 23 '!AB:AB,'AEO 2026 Table 23 '!$B:$B,"*,"&amp;$A24&amp;",*"),"")</f>
        <v/>
      </c>
      <c r="AA24">
        <f>IFERROR((SUMIFS('AEO 2026 Table 23 '!AD:AD,'AEO 2026 Table 23 '!$B:$B,"*,"&amp;$A24&amp;",*")-SUMIFS('AEO 2026 Table 23 '!AC:AC,'AEO 2026 Table 23 '!$B:$B,"*,"&amp;$A24&amp;",*"))/SUMIFS('AEO 2026 Table 23 '!AC:AC,'AEO 2026 Table 23 '!$B:$B,"*,"&amp;$A24&amp;",*"),"")</f>
        <v/>
      </c>
      <c r="AB24">
        <f>IFERROR((SUMIFS('AEO 2026 Table 23 '!AE:AE,'AEO 2026 Table 23 '!$B:$B,"*,"&amp;$A24&amp;",*")-SUMIFS('AEO 2026 Table 23 '!AD:AD,'AEO 2026 Table 23 '!$B:$B,"*,"&amp;$A24&amp;",*"))/SUMIFS('AEO 2026 Table 23 '!AD:AD,'AEO 2026 Table 23 '!$B:$B,"*,"&amp;$A24&amp;",*"),"")</f>
        <v/>
      </c>
      <c r="AC24">
        <f>IFERROR((SUMIFS('AEO 2026 Table 23 '!AF:AF,'AEO 2026 Table 23 '!$B:$B,"*,"&amp;$A24&amp;",*")-SUMIFS('AEO 2026 Table 23 '!AE:AE,'AEO 2026 Table 23 '!$B:$B,"*,"&amp;$A24&amp;",*"))/SUMIFS('AEO 2026 Table 23 '!AE:AE,'AEO 2026 Table 23 '!$B:$B,"*,"&amp;$A24&amp;",*"),"")</f>
        <v/>
      </c>
    </row>
    <row r="25">
      <c r="A25" t="inlineStr">
        <is>
          <t>ISIC 26</t>
        </is>
      </c>
      <c r="B25">
        <f>IFERROR(SUMPRODUCT(--('BLS Table 2.11'!$L$1:$L$426=$A25),'BLS Table 2.11'!$J$1:$J$426,'BLS Table 2.11'!$K$1:$K$426)/SUMIFS('BLS Table 2.11'!$J$1:$J$426,'BLS Table 2.11'!$L$1:$L$426,$A25)/100,0)</f>
        <v/>
      </c>
      <c r="D25">
        <f>IFERROR((SUMIFS('AEO 2026 Table 23 '!G:G,'AEO 2026 Table 23 '!$B:$B,"*,"&amp;$A25&amp;",*")-SUMIFS('AEO25 Table 23'!H:H,'AEO25 Table 23'!$B:$B,"*,"&amp;$A25&amp;",*"))/SUMIFS('AEO25 Table 23'!H:H,'AEO25 Table 23'!$B:$B,"*,"&amp;$A25&amp;",*"),"")</f>
        <v/>
      </c>
      <c r="E25">
        <f>IFERROR((SUMIFS('AEO 2026 Table 23 '!H:H,'AEO 2026 Table 23 '!$B:$B,"*,"&amp;$A25&amp;",*")-SUMIFS('AEO 2026 Table 23 '!G:G,'AEO 2026 Table 23 '!$B:$B,"*,"&amp;$A25&amp;",*"))/SUMIFS('AEO 2026 Table 23 '!G:G,'AEO 2026 Table 23 '!$B:$B,"*,"&amp;$A25&amp;",*"),"")</f>
        <v/>
      </c>
      <c r="F25">
        <f>IFERROR((SUMIFS('AEO 2026 Table 23 '!I:I,'AEO 2026 Table 23 '!$B:$B,"*,"&amp;$A25&amp;",*")-SUMIFS('AEO 2026 Table 23 '!H:H,'AEO 2026 Table 23 '!$B:$B,"*,"&amp;$A25&amp;",*"))/SUMIFS('AEO 2026 Table 23 '!H:H,'AEO 2026 Table 23 '!$B:$B,"*,"&amp;$A25&amp;",*"),"")</f>
        <v/>
      </c>
      <c r="G25">
        <f>IFERROR((SUMIFS('AEO 2026 Table 23 '!J:J,'AEO 2026 Table 23 '!$B:$B,"*,"&amp;$A25&amp;",*")-SUMIFS('AEO 2026 Table 23 '!I:I,'AEO 2026 Table 23 '!$B:$B,"*,"&amp;$A25&amp;",*"))/SUMIFS('AEO 2026 Table 23 '!I:I,'AEO 2026 Table 23 '!$B:$B,"*,"&amp;$A25&amp;",*"),"")</f>
        <v/>
      </c>
      <c r="H25">
        <f>IFERROR((SUMIFS('AEO 2026 Table 23 '!K:K,'AEO 2026 Table 23 '!$B:$B,"*,"&amp;$A25&amp;",*")-SUMIFS('AEO 2026 Table 23 '!J:J,'AEO 2026 Table 23 '!$B:$B,"*,"&amp;$A25&amp;",*"))/SUMIFS('AEO 2026 Table 23 '!J:J,'AEO 2026 Table 23 '!$B:$B,"*,"&amp;$A25&amp;",*"),"")</f>
        <v/>
      </c>
      <c r="I25">
        <f>IFERROR((SUMIFS('AEO 2026 Table 23 '!L:L,'AEO 2026 Table 23 '!$B:$B,"*,"&amp;$A25&amp;",*")-SUMIFS('AEO 2026 Table 23 '!K:K,'AEO 2026 Table 23 '!$B:$B,"*,"&amp;$A25&amp;",*"))/SUMIFS('AEO 2026 Table 23 '!K:K,'AEO 2026 Table 23 '!$B:$B,"*,"&amp;$A25&amp;",*"),"")</f>
        <v/>
      </c>
      <c r="J25">
        <f>IFERROR((SUMIFS('AEO 2026 Table 23 '!M:M,'AEO 2026 Table 23 '!$B:$B,"*,"&amp;$A25&amp;",*")-SUMIFS('AEO 2026 Table 23 '!L:L,'AEO 2026 Table 23 '!$B:$B,"*,"&amp;$A25&amp;",*"))/SUMIFS('AEO 2026 Table 23 '!L:L,'AEO 2026 Table 23 '!$B:$B,"*,"&amp;$A25&amp;",*"),"")</f>
        <v/>
      </c>
      <c r="K25">
        <f>IFERROR((SUMIFS('AEO 2026 Table 23 '!N:N,'AEO 2026 Table 23 '!$B:$B,"*,"&amp;$A25&amp;",*")-SUMIFS('AEO 2026 Table 23 '!M:M,'AEO 2026 Table 23 '!$B:$B,"*,"&amp;$A25&amp;",*"))/SUMIFS('AEO 2026 Table 23 '!M:M,'AEO 2026 Table 23 '!$B:$B,"*,"&amp;$A25&amp;",*"),"")</f>
        <v/>
      </c>
      <c r="L25">
        <f>IFERROR((SUMIFS('AEO 2026 Table 23 '!O:O,'AEO 2026 Table 23 '!$B:$B,"*,"&amp;$A25&amp;",*")-SUMIFS('AEO 2026 Table 23 '!N:N,'AEO 2026 Table 23 '!$B:$B,"*,"&amp;$A25&amp;",*"))/SUMIFS('AEO 2026 Table 23 '!N:N,'AEO 2026 Table 23 '!$B:$B,"*,"&amp;$A25&amp;",*"),"")</f>
        <v/>
      </c>
      <c r="M25">
        <f>IFERROR((SUMIFS('AEO 2026 Table 23 '!P:P,'AEO 2026 Table 23 '!$B:$B,"*,"&amp;$A25&amp;",*")-SUMIFS('AEO 2026 Table 23 '!O:O,'AEO 2026 Table 23 '!$B:$B,"*,"&amp;$A25&amp;",*"))/SUMIFS('AEO 2026 Table 23 '!O:O,'AEO 2026 Table 23 '!$B:$B,"*,"&amp;$A25&amp;",*"),"")</f>
        <v/>
      </c>
      <c r="N25">
        <f>IFERROR((SUMIFS('AEO 2026 Table 23 '!Q:Q,'AEO 2026 Table 23 '!$B:$B,"*,"&amp;$A25&amp;",*")-SUMIFS('AEO 2026 Table 23 '!P:P,'AEO 2026 Table 23 '!$B:$B,"*,"&amp;$A25&amp;",*"))/SUMIFS('AEO 2026 Table 23 '!P:P,'AEO 2026 Table 23 '!$B:$B,"*,"&amp;$A25&amp;",*"),"")</f>
        <v/>
      </c>
      <c r="O25">
        <f>IFERROR((SUMIFS('AEO 2026 Table 23 '!R:R,'AEO 2026 Table 23 '!$B:$B,"*,"&amp;$A25&amp;",*")-SUMIFS('AEO 2026 Table 23 '!Q:Q,'AEO 2026 Table 23 '!$B:$B,"*,"&amp;$A25&amp;",*"))/SUMIFS('AEO 2026 Table 23 '!Q:Q,'AEO 2026 Table 23 '!$B:$B,"*,"&amp;$A25&amp;",*"),"")</f>
        <v/>
      </c>
      <c r="P25">
        <f>IFERROR((SUMIFS('AEO 2026 Table 23 '!S:S,'AEO 2026 Table 23 '!$B:$B,"*,"&amp;$A25&amp;",*")-SUMIFS('AEO 2026 Table 23 '!R:R,'AEO 2026 Table 23 '!$B:$B,"*,"&amp;$A25&amp;",*"))/SUMIFS('AEO 2026 Table 23 '!R:R,'AEO 2026 Table 23 '!$B:$B,"*,"&amp;$A25&amp;",*"),"")</f>
        <v/>
      </c>
      <c r="Q25">
        <f>IFERROR((SUMIFS('AEO 2026 Table 23 '!T:T,'AEO 2026 Table 23 '!$B:$B,"*,"&amp;$A25&amp;",*")-SUMIFS('AEO 2026 Table 23 '!S:S,'AEO 2026 Table 23 '!$B:$B,"*,"&amp;$A25&amp;",*"))/SUMIFS('AEO 2026 Table 23 '!S:S,'AEO 2026 Table 23 '!$B:$B,"*,"&amp;$A25&amp;",*"),"")</f>
        <v/>
      </c>
      <c r="R25">
        <f>IFERROR((SUMIFS('AEO 2026 Table 23 '!U:U,'AEO 2026 Table 23 '!$B:$B,"*,"&amp;$A25&amp;",*")-SUMIFS('AEO 2026 Table 23 '!T:T,'AEO 2026 Table 23 '!$B:$B,"*,"&amp;$A25&amp;",*"))/SUMIFS('AEO 2026 Table 23 '!T:T,'AEO 2026 Table 23 '!$B:$B,"*,"&amp;$A25&amp;",*"),"")</f>
        <v/>
      </c>
      <c r="S25">
        <f>IFERROR((SUMIFS('AEO 2026 Table 23 '!V:V,'AEO 2026 Table 23 '!$B:$B,"*,"&amp;$A25&amp;",*")-SUMIFS('AEO 2026 Table 23 '!U:U,'AEO 2026 Table 23 '!$B:$B,"*,"&amp;$A25&amp;",*"))/SUMIFS('AEO 2026 Table 23 '!U:U,'AEO 2026 Table 23 '!$B:$B,"*,"&amp;$A25&amp;",*"),"")</f>
        <v/>
      </c>
      <c r="T25">
        <f>IFERROR((SUMIFS('AEO 2026 Table 23 '!W:W,'AEO 2026 Table 23 '!$B:$B,"*,"&amp;$A25&amp;",*")-SUMIFS('AEO 2026 Table 23 '!V:V,'AEO 2026 Table 23 '!$B:$B,"*,"&amp;$A25&amp;",*"))/SUMIFS('AEO 2026 Table 23 '!V:V,'AEO 2026 Table 23 '!$B:$B,"*,"&amp;$A25&amp;",*"),"")</f>
        <v/>
      </c>
      <c r="U25">
        <f>IFERROR((SUMIFS('AEO 2026 Table 23 '!X:X,'AEO 2026 Table 23 '!$B:$B,"*,"&amp;$A25&amp;",*")-SUMIFS('AEO 2026 Table 23 '!W:W,'AEO 2026 Table 23 '!$B:$B,"*,"&amp;$A25&amp;",*"))/SUMIFS('AEO 2026 Table 23 '!W:W,'AEO 2026 Table 23 '!$B:$B,"*,"&amp;$A25&amp;",*"),"")</f>
        <v/>
      </c>
      <c r="V25">
        <f>IFERROR((SUMIFS('AEO 2026 Table 23 '!Y:Y,'AEO 2026 Table 23 '!$B:$B,"*,"&amp;$A25&amp;",*")-SUMIFS('AEO 2026 Table 23 '!X:X,'AEO 2026 Table 23 '!$B:$B,"*,"&amp;$A25&amp;",*"))/SUMIFS('AEO 2026 Table 23 '!X:X,'AEO 2026 Table 23 '!$B:$B,"*,"&amp;$A25&amp;",*"),"")</f>
        <v/>
      </c>
      <c r="W25">
        <f>IFERROR((SUMIFS('AEO 2026 Table 23 '!Z:Z,'AEO 2026 Table 23 '!$B:$B,"*,"&amp;$A25&amp;",*")-SUMIFS('AEO 2026 Table 23 '!Y:Y,'AEO 2026 Table 23 '!$B:$B,"*,"&amp;$A25&amp;",*"))/SUMIFS('AEO 2026 Table 23 '!Y:Y,'AEO 2026 Table 23 '!$B:$B,"*,"&amp;$A25&amp;",*"),"")</f>
        <v/>
      </c>
      <c r="X25">
        <f>IFERROR((SUMIFS('AEO 2026 Table 23 '!AA:AA,'AEO 2026 Table 23 '!$B:$B,"*,"&amp;$A25&amp;",*")-SUMIFS('AEO 2026 Table 23 '!Z:Z,'AEO 2026 Table 23 '!$B:$B,"*,"&amp;$A25&amp;",*"))/SUMIFS('AEO 2026 Table 23 '!Z:Z,'AEO 2026 Table 23 '!$B:$B,"*,"&amp;$A25&amp;",*"),"")</f>
        <v/>
      </c>
      <c r="Y25">
        <f>IFERROR((SUMIFS('AEO 2026 Table 23 '!AB:AB,'AEO 2026 Table 23 '!$B:$B,"*,"&amp;$A25&amp;",*")-SUMIFS('AEO 2026 Table 23 '!AA:AA,'AEO 2026 Table 23 '!$B:$B,"*,"&amp;$A25&amp;",*"))/SUMIFS('AEO 2026 Table 23 '!AA:AA,'AEO 2026 Table 23 '!$B:$B,"*,"&amp;$A25&amp;",*"),"")</f>
        <v/>
      </c>
      <c r="Z25">
        <f>IFERROR((SUMIFS('AEO 2026 Table 23 '!AC:AC,'AEO 2026 Table 23 '!$B:$B,"*,"&amp;$A25&amp;",*")-SUMIFS('AEO 2026 Table 23 '!AB:AB,'AEO 2026 Table 23 '!$B:$B,"*,"&amp;$A25&amp;",*"))/SUMIFS('AEO 2026 Table 23 '!AB:AB,'AEO 2026 Table 23 '!$B:$B,"*,"&amp;$A25&amp;",*"),"")</f>
        <v/>
      </c>
      <c r="AA25">
        <f>IFERROR((SUMIFS('AEO 2026 Table 23 '!AD:AD,'AEO 2026 Table 23 '!$B:$B,"*,"&amp;$A25&amp;",*")-SUMIFS('AEO 2026 Table 23 '!AC:AC,'AEO 2026 Table 23 '!$B:$B,"*,"&amp;$A25&amp;",*"))/SUMIFS('AEO 2026 Table 23 '!AC:AC,'AEO 2026 Table 23 '!$B:$B,"*,"&amp;$A25&amp;",*"),"")</f>
        <v/>
      </c>
      <c r="AB25">
        <f>IFERROR((SUMIFS('AEO 2026 Table 23 '!AE:AE,'AEO 2026 Table 23 '!$B:$B,"*,"&amp;$A25&amp;",*")-SUMIFS('AEO 2026 Table 23 '!AD:AD,'AEO 2026 Table 23 '!$B:$B,"*,"&amp;$A25&amp;",*"))/SUMIFS('AEO 2026 Table 23 '!AD:AD,'AEO 2026 Table 23 '!$B:$B,"*,"&amp;$A25&amp;",*"),"")</f>
        <v/>
      </c>
      <c r="AC25">
        <f>IFERROR((SUMIFS('AEO 2026 Table 23 '!AF:AF,'AEO 2026 Table 23 '!$B:$B,"*,"&amp;$A25&amp;",*")-SUMIFS('AEO 2026 Table 23 '!AE:AE,'AEO 2026 Table 23 '!$B:$B,"*,"&amp;$A25&amp;",*"))/SUMIFS('AEO 2026 Table 23 '!AE:AE,'AEO 2026 Table 23 '!$B:$B,"*,"&amp;$A25&amp;",*"),"")</f>
        <v/>
      </c>
    </row>
    <row r="26">
      <c r="A26" t="inlineStr">
        <is>
          <t>ISIC 27</t>
        </is>
      </c>
      <c r="B26">
        <f>IFERROR(SUMPRODUCT(--('BLS Table 2.11'!$L$1:$L$426=$A26),'BLS Table 2.11'!$J$1:$J$426,'BLS Table 2.11'!$K$1:$K$426)/SUMIFS('BLS Table 2.11'!$J$1:$J$426,'BLS Table 2.11'!$L$1:$L$426,$A26)/100,0)</f>
        <v/>
      </c>
      <c r="D26">
        <f>IFERROR((SUMIFS('AEO 2026 Table 23 '!G:G,'AEO 2026 Table 23 '!$B:$B,"*,"&amp;$A26&amp;",*")-SUMIFS('AEO25 Table 23'!H:H,'AEO25 Table 23'!$B:$B,"*,"&amp;$A26&amp;",*"))/SUMIFS('AEO25 Table 23'!H:H,'AEO25 Table 23'!$B:$B,"*,"&amp;$A26&amp;",*"),"")</f>
        <v/>
      </c>
      <c r="E26">
        <f>IFERROR((SUMIFS('AEO 2026 Table 23 '!H:H,'AEO 2026 Table 23 '!$B:$B,"*,"&amp;$A26&amp;",*")-SUMIFS('AEO 2026 Table 23 '!G:G,'AEO 2026 Table 23 '!$B:$B,"*,"&amp;$A26&amp;",*"))/SUMIFS('AEO 2026 Table 23 '!G:G,'AEO 2026 Table 23 '!$B:$B,"*,"&amp;$A26&amp;",*"),"")</f>
        <v/>
      </c>
      <c r="F26">
        <f>IFERROR((SUMIFS('AEO 2026 Table 23 '!I:I,'AEO 2026 Table 23 '!$B:$B,"*,"&amp;$A26&amp;",*")-SUMIFS('AEO 2026 Table 23 '!H:H,'AEO 2026 Table 23 '!$B:$B,"*,"&amp;$A26&amp;",*"))/SUMIFS('AEO 2026 Table 23 '!H:H,'AEO 2026 Table 23 '!$B:$B,"*,"&amp;$A26&amp;",*"),"")</f>
        <v/>
      </c>
      <c r="G26">
        <f>IFERROR((SUMIFS('AEO 2026 Table 23 '!J:J,'AEO 2026 Table 23 '!$B:$B,"*,"&amp;$A26&amp;",*")-SUMIFS('AEO 2026 Table 23 '!I:I,'AEO 2026 Table 23 '!$B:$B,"*,"&amp;$A26&amp;",*"))/SUMIFS('AEO 2026 Table 23 '!I:I,'AEO 2026 Table 23 '!$B:$B,"*,"&amp;$A26&amp;",*"),"")</f>
        <v/>
      </c>
      <c r="H26">
        <f>IFERROR((SUMIFS('AEO 2026 Table 23 '!K:K,'AEO 2026 Table 23 '!$B:$B,"*,"&amp;$A26&amp;",*")-SUMIFS('AEO 2026 Table 23 '!J:J,'AEO 2026 Table 23 '!$B:$B,"*,"&amp;$A26&amp;",*"))/SUMIFS('AEO 2026 Table 23 '!J:J,'AEO 2026 Table 23 '!$B:$B,"*,"&amp;$A26&amp;",*"),"")</f>
        <v/>
      </c>
      <c r="I26">
        <f>IFERROR((SUMIFS('AEO 2026 Table 23 '!L:L,'AEO 2026 Table 23 '!$B:$B,"*,"&amp;$A26&amp;",*")-SUMIFS('AEO 2026 Table 23 '!K:K,'AEO 2026 Table 23 '!$B:$B,"*,"&amp;$A26&amp;",*"))/SUMIFS('AEO 2026 Table 23 '!K:K,'AEO 2026 Table 23 '!$B:$B,"*,"&amp;$A26&amp;",*"),"")</f>
        <v/>
      </c>
      <c r="J26">
        <f>IFERROR((SUMIFS('AEO 2026 Table 23 '!M:M,'AEO 2026 Table 23 '!$B:$B,"*,"&amp;$A26&amp;",*")-SUMIFS('AEO 2026 Table 23 '!L:L,'AEO 2026 Table 23 '!$B:$B,"*,"&amp;$A26&amp;",*"))/SUMIFS('AEO 2026 Table 23 '!L:L,'AEO 2026 Table 23 '!$B:$B,"*,"&amp;$A26&amp;",*"),"")</f>
        <v/>
      </c>
      <c r="K26">
        <f>IFERROR((SUMIFS('AEO 2026 Table 23 '!N:N,'AEO 2026 Table 23 '!$B:$B,"*,"&amp;$A26&amp;",*")-SUMIFS('AEO 2026 Table 23 '!M:M,'AEO 2026 Table 23 '!$B:$B,"*,"&amp;$A26&amp;",*"))/SUMIFS('AEO 2026 Table 23 '!M:M,'AEO 2026 Table 23 '!$B:$B,"*,"&amp;$A26&amp;",*"),"")</f>
        <v/>
      </c>
      <c r="L26">
        <f>IFERROR((SUMIFS('AEO 2026 Table 23 '!O:O,'AEO 2026 Table 23 '!$B:$B,"*,"&amp;$A26&amp;",*")-SUMIFS('AEO 2026 Table 23 '!N:N,'AEO 2026 Table 23 '!$B:$B,"*,"&amp;$A26&amp;",*"))/SUMIFS('AEO 2026 Table 23 '!N:N,'AEO 2026 Table 23 '!$B:$B,"*,"&amp;$A26&amp;",*"),"")</f>
        <v/>
      </c>
      <c r="M26">
        <f>IFERROR((SUMIFS('AEO 2026 Table 23 '!P:P,'AEO 2026 Table 23 '!$B:$B,"*,"&amp;$A26&amp;",*")-SUMIFS('AEO 2026 Table 23 '!O:O,'AEO 2026 Table 23 '!$B:$B,"*,"&amp;$A26&amp;",*"))/SUMIFS('AEO 2026 Table 23 '!O:O,'AEO 2026 Table 23 '!$B:$B,"*,"&amp;$A26&amp;",*"),"")</f>
        <v/>
      </c>
      <c r="N26">
        <f>IFERROR((SUMIFS('AEO 2026 Table 23 '!Q:Q,'AEO 2026 Table 23 '!$B:$B,"*,"&amp;$A26&amp;",*")-SUMIFS('AEO 2026 Table 23 '!P:P,'AEO 2026 Table 23 '!$B:$B,"*,"&amp;$A26&amp;",*"))/SUMIFS('AEO 2026 Table 23 '!P:P,'AEO 2026 Table 23 '!$B:$B,"*,"&amp;$A26&amp;",*"),"")</f>
        <v/>
      </c>
      <c r="O26">
        <f>IFERROR((SUMIFS('AEO 2026 Table 23 '!R:R,'AEO 2026 Table 23 '!$B:$B,"*,"&amp;$A26&amp;",*")-SUMIFS('AEO 2026 Table 23 '!Q:Q,'AEO 2026 Table 23 '!$B:$B,"*,"&amp;$A26&amp;",*"))/SUMIFS('AEO 2026 Table 23 '!Q:Q,'AEO 2026 Table 23 '!$B:$B,"*,"&amp;$A26&amp;",*"),"")</f>
        <v/>
      </c>
      <c r="P26">
        <f>IFERROR((SUMIFS('AEO 2026 Table 23 '!S:S,'AEO 2026 Table 23 '!$B:$B,"*,"&amp;$A26&amp;",*")-SUMIFS('AEO 2026 Table 23 '!R:R,'AEO 2026 Table 23 '!$B:$B,"*,"&amp;$A26&amp;",*"))/SUMIFS('AEO 2026 Table 23 '!R:R,'AEO 2026 Table 23 '!$B:$B,"*,"&amp;$A26&amp;",*"),"")</f>
        <v/>
      </c>
      <c r="Q26">
        <f>IFERROR((SUMIFS('AEO 2026 Table 23 '!T:T,'AEO 2026 Table 23 '!$B:$B,"*,"&amp;$A26&amp;",*")-SUMIFS('AEO 2026 Table 23 '!S:S,'AEO 2026 Table 23 '!$B:$B,"*,"&amp;$A26&amp;",*"))/SUMIFS('AEO 2026 Table 23 '!S:S,'AEO 2026 Table 23 '!$B:$B,"*,"&amp;$A26&amp;",*"),"")</f>
        <v/>
      </c>
      <c r="R26">
        <f>IFERROR((SUMIFS('AEO 2026 Table 23 '!U:U,'AEO 2026 Table 23 '!$B:$B,"*,"&amp;$A26&amp;",*")-SUMIFS('AEO 2026 Table 23 '!T:T,'AEO 2026 Table 23 '!$B:$B,"*,"&amp;$A26&amp;",*"))/SUMIFS('AEO 2026 Table 23 '!T:T,'AEO 2026 Table 23 '!$B:$B,"*,"&amp;$A26&amp;",*"),"")</f>
        <v/>
      </c>
      <c r="S26">
        <f>IFERROR((SUMIFS('AEO 2026 Table 23 '!V:V,'AEO 2026 Table 23 '!$B:$B,"*,"&amp;$A26&amp;",*")-SUMIFS('AEO 2026 Table 23 '!U:U,'AEO 2026 Table 23 '!$B:$B,"*,"&amp;$A26&amp;",*"))/SUMIFS('AEO 2026 Table 23 '!U:U,'AEO 2026 Table 23 '!$B:$B,"*,"&amp;$A26&amp;",*"),"")</f>
        <v/>
      </c>
      <c r="T26">
        <f>IFERROR((SUMIFS('AEO 2026 Table 23 '!W:W,'AEO 2026 Table 23 '!$B:$B,"*,"&amp;$A26&amp;",*")-SUMIFS('AEO 2026 Table 23 '!V:V,'AEO 2026 Table 23 '!$B:$B,"*,"&amp;$A26&amp;",*"))/SUMIFS('AEO 2026 Table 23 '!V:V,'AEO 2026 Table 23 '!$B:$B,"*,"&amp;$A26&amp;",*"),"")</f>
        <v/>
      </c>
      <c r="U26">
        <f>IFERROR((SUMIFS('AEO 2026 Table 23 '!X:X,'AEO 2026 Table 23 '!$B:$B,"*,"&amp;$A26&amp;",*")-SUMIFS('AEO 2026 Table 23 '!W:W,'AEO 2026 Table 23 '!$B:$B,"*,"&amp;$A26&amp;",*"))/SUMIFS('AEO 2026 Table 23 '!W:W,'AEO 2026 Table 23 '!$B:$B,"*,"&amp;$A26&amp;",*"),"")</f>
        <v/>
      </c>
      <c r="V26">
        <f>IFERROR((SUMIFS('AEO 2026 Table 23 '!Y:Y,'AEO 2026 Table 23 '!$B:$B,"*,"&amp;$A26&amp;",*")-SUMIFS('AEO 2026 Table 23 '!X:X,'AEO 2026 Table 23 '!$B:$B,"*,"&amp;$A26&amp;",*"))/SUMIFS('AEO 2026 Table 23 '!X:X,'AEO 2026 Table 23 '!$B:$B,"*,"&amp;$A26&amp;",*"),"")</f>
        <v/>
      </c>
      <c r="W26">
        <f>IFERROR((SUMIFS('AEO 2026 Table 23 '!Z:Z,'AEO 2026 Table 23 '!$B:$B,"*,"&amp;$A26&amp;",*")-SUMIFS('AEO 2026 Table 23 '!Y:Y,'AEO 2026 Table 23 '!$B:$B,"*,"&amp;$A26&amp;",*"))/SUMIFS('AEO 2026 Table 23 '!Y:Y,'AEO 2026 Table 23 '!$B:$B,"*,"&amp;$A26&amp;",*"),"")</f>
        <v/>
      </c>
      <c r="X26">
        <f>IFERROR((SUMIFS('AEO 2026 Table 23 '!AA:AA,'AEO 2026 Table 23 '!$B:$B,"*,"&amp;$A26&amp;",*")-SUMIFS('AEO 2026 Table 23 '!Z:Z,'AEO 2026 Table 23 '!$B:$B,"*,"&amp;$A26&amp;",*"))/SUMIFS('AEO 2026 Table 23 '!Z:Z,'AEO 2026 Table 23 '!$B:$B,"*,"&amp;$A26&amp;",*"),"")</f>
        <v/>
      </c>
      <c r="Y26">
        <f>IFERROR((SUMIFS('AEO 2026 Table 23 '!AB:AB,'AEO 2026 Table 23 '!$B:$B,"*,"&amp;$A26&amp;",*")-SUMIFS('AEO 2026 Table 23 '!AA:AA,'AEO 2026 Table 23 '!$B:$B,"*,"&amp;$A26&amp;",*"))/SUMIFS('AEO 2026 Table 23 '!AA:AA,'AEO 2026 Table 23 '!$B:$B,"*,"&amp;$A26&amp;",*"),"")</f>
        <v/>
      </c>
      <c r="Z26">
        <f>IFERROR((SUMIFS('AEO 2026 Table 23 '!AC:AC,'AEO 2026 Table 23 '!$B:$B,"*,"&amp;$A26&amp;",*")-SUMIFS('AEO 2026 Table 23 '!AB:AB,'AEO 2026 Table 23 '!$B:$B,"*,"&amp;$A26&amp;",*"))/SUMIFS('AEO 2026 Table 23 '!AB:AB,'AEO 2026 Table 23 '!$B:$B,"*,"&amp;$A26&amp;",*"),"")</f>
        <v/>
      </c>
      <c r="AA26">
        <f>IFERROR((SUMIFS('AEO 2026 Table 23 '!AD:AD,'AEO 2026 Table 23 '!$B:$B,"*,"&amp;$A26&amp;",*")-SUMIFS('AEO 2026 Table 23 '!AC:AC,'AEO 2026 Table 23 '!$B:$B,"*,"&amp;$A26&amp;",*"))/SUMIFS('AEO 2026 Table 23 '!AC:AC,'AEO 2026 Table 23 '!$B:$B,"*,"&amp;$A26&amp;",*"),"")</f>
        <v/>
      </c>
      <c r="AB26">
        <f>IFERROR((SUMIFS('AEO 2026 Table 23 '!AE:AE,'AEO 2026 Table 23 '!$B:$B,"*,"&amp;$A26&amp;",*")-SUMIFS('AEO 2026 Table 23 '!AD:AD,'AEO 2026 Table 23 '!$B:$B,"*,"&amp;$A26&amp;",*"))/SUMIFS('AEO 2026 Table 23 '!AD:AD,'AEO 2026 Table 23 '!$B:$B,"*,"&amp;$A26&amp;",*"),"")</f>
        <v/>
      </c>
      <c r="AC26">
        <f>IFERROR((SUMIFS('AEO 2026 Table 23 '!AF:AF,'AEO 2026 Table 23 '!$B:$B,"*,"&amp;$A26&amp;",*")-SUMIFS('AEO 2026 Table 23 '!AE:AE,'AEO 2026 Table 23 '!$B:$B,"*,"&amp;$A26&amp;",*"))/SUMIFS('AEO 2026 Table 23 '!AE:AE,'AEO 2026 Table 23 '!$B:$B,"*,"&amp;$A26&amp;",*"),"")</f>
        <v/>
      </c>
    </row>
    <row r="27">
      <c r="A27" t="inlineStr">
        <is>
          <t>ISIC 28</t>
        </is>
      </c>
      <c r="B27">
        <f>IFERROR(SUMPRODUCT(--('BLS Table 2.11'!$L$1:$L$426=$A27),'BLS Table 2.11'!$J$1:$J$426,'BLS Table 2.11'!$K$1:$K$426)/SUMIFS('BLS Table 2.11'!$J$1:$J$426,'BLS Table 2.11'!$L$1:$L$426,$A27)/100,0)</f>
        <v/>
      </c>
      <c r="D27">
        <f>IFERROR((SUMIFS('AEO 2026 Table 23 '!G:G,'AEO 2026 Table 23 '!$B:$B,"*,"&amp;$A27&amp;",*")-SUMIFS('AEO25 Table 23'!H:H,'AEO25 Table 23'!$B:$B,"*,"&amp;$A27&amp;",*"))/SUMIFS('AEO25 Table 23'!H:H,'AEO25 Table 23'!$B:$B,"*,"&amp;$A27&amp;",*"),"")</f>
        <v/>
      </c>
      <c r="E27">
        <f>IFERROR((SUMIFS('AEO 2026 Table 23 '!H:H,'AEO 2026 Table 23 '!$B:$B,"*,"&amp;$A27&amp;",*")-SUMIFS('AEO 2026 Table 23 '!G:G,'AEO 2026 Table 23 '!$B:$B,"*,"&amp;$A27&amp;",*"))/SUMIFS('AEO 2026 Table 23 '!G:G,'AEO 2026 Table 23 '!$B:$B,"*,"&amp;$A27&amp;",*"),"")</f>
        <v/>
      </c>
      <c r="F27">
        <f>IFERROR((SUMIFS('AEO 2026 Table 23 '!I:I,'AEO 2026 Table 23 '!$B:$B,"*,"&amp;$A27&amp;",*")-SUMIFS('AEO 2026 Table 23 '!H:H,'AEO 2026 Table 23 '!$B:$B,"*,"&amp;$A27&amp;",*"))/SUMIFS('AEO 2026 Table 23 '!H:H,'AEO 2026 Table 23 '!$B:$B,"*,"&amp;$A27&amp;",*"),"")</f>
        <v/>
      </c>
      <c r="G27">
        <f>IFERROR((SUMIFS('AEO 2026 Table 23 '!J:J,'AEO 2026 Table 23 '!$B:$B,"*,"&amp;$A27&amp;",*")-SUMIFS('AEO 2026 Table 23 '!I:I,'AEO 2026 Table 23 '!$B:$B,"*,"&amp;$A27&amp;",*"))/SUMIFS('AEO 2026 Table 23 '!I:I,'AEO 2026 Table 23 '!$B:$B,"*,"&amp;$A27&amp;",*"),"")</f>
        <v/>
      </c>
      <c r="H27">
        <f>IFERROR((SUMIFS('AEO 2026 Table 23 '!K:K,'AEO 2026 Table 23 '!$B:$B,"*,"&amp;$A27&amp;",*")-SUMIFS('AEO 2026 Table 23 '!J:J,'AEO 2026 Table 23 '!$B:$B,"*,"&amp;$A27&amp;",*"))/SUMIFS('AEO 2026 Table 23 '!J:J,'AEO 2026 Table 23 '!$B:$B,"*,"&amp;$A27&amp;",*"),"")</f>
        <v/>
      </c>
      <c r="I27">
        <f>IFERROR((SUMIFS('AEO 2026 Table 23 '!L:L,'AEO 2026 Table 23 '!$B:$B,"*,"&amp;$A27&amp;",*")-SUMIFS('AEO 2026 Table 23 '!K:K,'AEO 2026 Table 23 '!$B:$B,"*,"&amp;$A27&amp;",*"))/SUMIFS('AEO 2026 Table 23 '!K:K,'AEO 2026 Table 23 '!$B:$B,"*,"&amp;$A27&amp;",*"),"")</f>
        <v/>
      </c>
      <c r="J27">
        <f>IFERROR((SUMIFS('AEO 2026 Table 23 '!M:M,'AEO 2026 Table 23 '!$B:$B,"*,"&amp;$A27&amp;",*")-SUMIFS('AEO 2026 Table 23 '!L:L,'AEO 2026 Table 23 '!$B:$B,"*,"&amp;$A27&amp;",*"))/SUMIFS('AEO 2026 Table 23 '!L:L,'AEO 2026 Table 23 '!$B:$B,"*,"&amp;$A27&amp;",*"),"")</f>
        <v/>
      </c>
      <c r="K27">
        <f>IFERROR((SUMIFS('AEO 2026 Table 23 '!N:N,'AEO 2026 Table 23 '!$B:$B,"*,"&amp;$A27&amp;",*")-SUMIFS('AEO 2026 Table 23 '!M:M,'AEO 2026 Table 23 '!$B:$B,"*,"&amp;$A27&amp;",*"))/SUMIFS('AEO 2026 Table 23 '!M:M,'AEO 2026 Table 23 '!$B:$B,"*,"&amp;$A27&amp;",*"),"")</f>
        <v/>
      </c>
      <c r="L27">
        <f>IFERROR((SUMIFS('AEO 2026 Table 23 '!O:O,'AEO 2026 Table 23 '!$B:$B,"*,"&amp;$A27&amp;",*")-SUMIFS('AEO 2026 Table 23 '!N:N,'AEO 2026 Table 23 '!$B:$B,"*,"&amp;$A27&amp;",*"))/SUMIFS('AEO 2026 Table 23 '!N:N,'AEO 2026 Table 23 '!$B:$B,"*,"&amp;$A27&amp;",*"),"")</f>
        <v/>
      </c>
      <c r="M27">
        <f>IFERROR((SUMIFS('AEO 2026 Table 23 '!P:P,'AEO 2026 Table 23 '!$B:$B,"*,"&amp;$A27&amp;",*")-SUMIFS('AEO 2026 Table 23 '!O:O,'AEO 2026 Table 23 '!$B:$B,"*,"&amp;$A27&amp;",*"))/SUMIFS('AEO 2026 Table 23 '!O:O,'AEO 2026 Table 23 '!$B:$B,"*,"&amp;$A27&amp;",*"),"")</f>
        <v/>
      </c>
      <c r="N27">
        <f>IFERROR((SUMIFS('AEO 2026 Table 23 '!Q:Q,'AEO 2026 Table 23 '!$B:$B,"*,"&amp;$A27&amp;",*")-SUMIFS('AEO 2026 Table 23 '!P:P,'AEO 2026 Table 23 '!$B:$B,"*,"&amp;$A27&amp;",*"))/SUMIFS('AEO 2026 Table 23 '!P:P,'AEO 2026 Table 23 '!$B:$B,"*,"&amp;$A27&amp;",*"),"")</f>
        <v/>
      </c>
      <c r="O27">
        <f>IFERROR((SUMIFS('AEO 2026 Table 23 '!R:R,'AEO 2026 Table 23 '!$B:$B,"*,"&amp;$A27&amp;",*")-SUMIFS('AEO 2026 Table 23 '!Q:Q,'AEO 2026 Table 23 '!$B:$B,"*,"&amp;$A27&amp;",*"))/SUMIFS('AEO 2026 Table 23 '!Q:Q,'AEO 2026 Table 23 '!$B:$B,"*,"&amp;$A27&amp;",*"),"")</f>
        <v/>
      </c>
      <c r="P27">
        <f>IFERROR((SUMIFS('AEO 2026 Table 23 '!S:S,'AEO 2026 Table 23 '!$B:$B,"*,"&amp;$A27&amp;",*")-SUMIFS('AEO 2026 Table 23 '!R:R,'AEO 2026 Table 23 '!$B:$B,"*,"&amp;$A27&amp;",*"))/SUMIFS('AEO 2026 Table 23 '!R:R,'AEO 2026 Table 23 '!$B:$B,"*,"&amp;$A27&amp;",*"),"")</f>
        <v/>
      </c>
      <c r="Q27">
        <f>IFERROR((SUMIFS('AEO 2026 Table 23 '!T:T,'AEO 2026 Table 23 '!$B:$B,"*,"&amp;$A27&amp;",*")-SUMIFS('AEO 2026 Table 23 '!S:S,'AEO 2026 Table 23 '!$B:$B,"*,"&amp;$A27&amp;",*"))/SUMIFS('AEO 2026 Table 23 '!S:S,'AEO 2026 Table 23 '!$B:$B,"*,"&amp;$A27&amp;",*"),"")</f>
        <v/>
      </c>
      <c r="R27">
        <f>IFERROR((SUMIFS('AEO 2026 Table 23 '!U:U,'AEO 2026 Table 23 '!$B:$B,"*,"&amp;$A27&amp;",*")-SUMIFS('AEO 2026 Table 23 '!T:T,'AEO 2026 Table 23 '!$B:$B,"*,"&amp;$A27&amp;",*"))/SUMIFS('AEO 2026 Table 23 '!T:T,'AEO 2026 Table 23 '!$B:$B,"*,"&amp;$A27&amp;",*"),"")</f>
        <v/>
      </c>
      <c r="S27">
        <f>IFERROR((SUMIFS('AEO 2026 Table 23 '!V:V,'AEO 2026 Table 23 '!$B:$B,"*,"&amp;$A27&amp;",*")-SUMIFS('AEO 2026 Table 23 '!U:U,'AEO 2026 Table 23 '!$B:$B,"*,"&amp;$A27&amp;",*"))/SUMIFS('AEO 2026 Table 23 '!U:U,'AEO 2026 Table 23 '!$B:$B,"*,"&amp;$A27&amp;",*"),"")</f>
        <v/>
      </c>
      <c r="T27">
        <f>IFERROR((SUMIFS('AEO 2026 Table 23 '!W:W,'AEO 2026 Table 23 '!$B:$B,"*,"&amp;$A27&amp;",*")-SUMIFS('AEO 2026 Table 23 '!V:V,'AEO 2026 Table 23 '!$B:$B,"*,"&amp;$A27&amp;",*"))/SUMIFS('AEO 2026 Table 23 '!V:V,'AEO 2026 Table 23 '!$B:$B,"*,"&amp;$A27&amp;",*"),"")</f>
        <v/>
      </c>
      <c r="U27">
        <f>IFERROR((SUMIFS('AEO 2026 Table 23 '!X:X,'AEO 2026 Table 23 '!$B:$B,"*,"&amp;$A27&amp;",*")-SUMIFS('AEO 2026 Table 23 '!W:W,'AEO 2026 Table 23 '!$B:$B,"*,"&amp;$A27&amp;",*"))/SUMIFS('AEO 2026 Table 23 '!W:W,'AEO 2026 Table 23 '!$B:$B,"*,"&amp;$A27&amp;",*"),"")</f>
        <v/>
      </c>
      <c r="V27">
        <f>IFERROR((SUMIFS('AEO 2026 Table 23 '!Y:Y,'AEO 2026 Table 23 '!$B:$B,"*,"&amp;$A27&amp;",*")-SUMIFS('AEO 2026 Table 23 '!X:X,'AEO 2026 Table 23 '!$B:$B,"*,"&amp;$A27&amp;",*"))/SUMIFS('AEO 2026 Table 23 '!X:X,'AEO 2026 Table 23 '!$B:$B,"*,"&amp;$A27&amp;",*"),"")</f>
        <v/>
      </c>
      <c r="W27">
        <f>IFERROR((SUMIFS('AEO 2026 Table 23 '!Z:Z,'AEO 2026 Table 23 '!$B:$B,"*,"&amp;$A27&amp;",*")-SUMIFS('AEO 2026 Table 23 '!Y:Y,'AEO 2026 Table 23 '!$B:$B,"*,"&amp;$A27&amp;",*"))/SUMIFS('AEO 2026 Table 23 '!Y:Y,'AEO 2026 Table 23 '!$B:$B,"*,"&amp;$A27&amp;",*"),"")</f>
        <v/>
      </c>
      <c r="X27">
        <f>IFERROR((SUMIFS('AEO 2026 Table 23 '!AA:AA,'AEO 2026 Table 23 '!$B:$B,"*,"&amp;$A27&amp;",*")-SUMIFS('AEO 2026 Table 23 '!Z:Z,'AEO 2026 Table 23 '!$B:$B,"*,"&amp;$A27&amp;",*"))/SUMIFS('AEO 2026 Table 23 '!Z:Z,'AEO 2026 Table 23 '!$B:$B,"*,"&amp;$A27&amp;",*"),"")</f>
        <v/>
      </c>
      <c r="Y27">
        <f>IFERROR((SUMIFS('AEO 2026 Table 23 '!AB:AB,'AEO 2026 Table 23 '!$B:$B,"*,"&amp;$A27&amp;",*")-SUMIFS('AEO 2026 Table 23 '!AA:AA,'AEO 2026 Table 23 '!$B:$B,"*,"&amp;$A27&amp;",*"))/SUMIFS('AEO 2026 Table 23 '!AA:AA,'AEO 2026 Table 23 '!$B:$B,"*,"&amp;$A27&amp;",*"),"")</f>
        <v/>
      </c>
      <c r="Z27">
        <f>IFERROR((SUMIFS('AEO 2026 Table 23 '!AC:AC,'AEO 2026 Table 23 '!$B:$B,"*,"&amp;$A27&amp;",*")-SUMIFS('AEO 2026 Table 23 '!AB:AB,'AEO 2026 Table 23 '!$B:$B,"*,"&amp;$A27&amp;",*"))/SUMIFS('AEO 2026 Table 23 '!AB:AB,'AEO 2026 Table 23 '!$B:$B,"*,"&amp;$A27&amp;",*"),"")</f>
        <v/>
      </c>
      <c r="AA27">
        <f>IFERROR((SUMIFS('AEO 2026 Table 23 '!AD:AD,'AEO 2026 Table 23 '!$B:$B,"*,"&amp;$A27&amp;",*")-SUMIFS('AEO 2026 Table 23 '!AC:AC,'AEO 2026 Table 23 '!$B:$B,"*,"&amp;$A27&amp;",*"))/SUMIFS('AEO 2026 Table 23 '!AC:AC,'AEO 2026 Table 23 '!$B:$B,"*,"&amp;$A27&amp;",*"),"")</f>
        <v/>
      </c>
      <c r="AB27">
        <f>IFERROR((SUMIFS('AEO 2026 Table 23 '!AE:AE,'AEO 2026 Table 23 '!$B:$B,"*,"&amp;$A27&amp;",*")-SUMIFS('AEO 2026 Table 23 '!AD:AD,'AEO 2026 Table 23 '!$B:$B,"*,"&amp;$A27&amp;",*"))/SUMIFS('AEO 2026 Table 23 '!AD:AD,'AEO 2026 Table 23 '!$B:$B,"*,"&amp;$A27&amp;",*"),"")</f>
        <v/>
      </c>
      <c r="AC27">
        <f>IFERROR((SUMIFS('AEO 2026 Table 23 '!AF:AF,'AEO 2026 Table 23 '!$B:$B,"*,"&amp;$A27&amp;",*")-SUMIFS('AEO 2026 Table 23 '!AE:AE,'AEO 2026 Table 23 '!$B:$B,"*,"&amp;$A27&amp;",*"))/SUMIFS('AEO 2026 Table 23 '!AE:AE,'AEO 2026 Table 23 '!$B:$B,"*,"&amp;$A27&amp;",*"),"")</f>
        <v/>
      </c>
    </row>
    <row r="28">
      <c r="A28" t="inlineStr">
        <is>
          <t>ISIC 29</t>
        </is>
      </c>
      <c r="B28">
        <f>IFERROR(SUMPRODUCT(--('BLS Table 2.11'!$L$1:$L$426=$A28),'BLS Table 2.11'!$J$1:$J$426,'BLS Table 2.11'!$K$1:$K$426)/SUMIFS('BLS Table 2.11'!$J$1:$J$426,'BLS Table 2.11'!$L$1:$L$426,$A28)/100,0)</f>
        <v/>
      </c>
      <c r="D28">
        <f>IFERROR((SUMIFS('AEO 2026 Table 23 '!G:G,'AEO 2026 Table 23 '!$B:$B,"*,"&amp;$A28&amp;",*")-SUMIFS('AEO25 Table 23'!H:H,'AEO25 Table 23'!$B:$B,"*,"&amp;$A28&amp;",*"))/SUMIFS('AEO25 Table 23'!H:H,'AEO25 Table 23'!$B:$B,"*,"&amp;$A28&amp;",*"),"")</f>
        <v/>
      </c>
      <c r="E28">
        <f>IFERROR((SUMIFS('AEO 2026 Table 23 '!H:H,'AEO 2026 Table 23 '!$B:$B,"*,"&amp;$A28&amp;",*")-SUMIFS('AEO 2026 Table 23 '!G:G,'AEO 2026 Table 23 '!$B:$B,"*,"&amp;$A28&amp;",*"))/SUMIFS('AEO 2026 Table 23 '!G:G,'AEO 2026 Table 23 '!$B:$B,"*,"&amp;$A28&amp;",*"),"")</f>
        <v/>
      </c>
      <c r="F28">
        <f>IFERROR((SUMIFS('AEO 2026 Table 23 '!I:I,'AEO 2026 Table 23 '!$B:$B,"*,"&amp;$A28&amp;",*")-SUMIFS('AEO 2026 Table 23 '!H:H,'AEO 2026 Table 23 '!$B:$B,"*,"&amp;$A28&amp;",*"))/SUMIFS('AEO 2026 Table 23 '!H:H,'AEO 2026 Table 23 '!$B:$B,"*,"&amp;$A28&amp;",*"),"")</f>
        <v/>
      </c>
      <c r="G28">
        <f>IFERROR((SUMIFS('AEO 2026 Table 23 '!J:J,'AEO 2026 Table 23 '!$B:$B,"*,"&amp;$A28&amp;",*")-SUMIFS('AEO 2026 Table 23 '!I:I,'AEO 2026 Table 23 '!$B:$B,"*,"&amp;$A28&amp;",*"))/SUMIFS('AEO 2026 Table 23 '!I:I,'AEO 2026 Table 23 '!$B:$B,"*,"&amp;$A28&amp;",*"),"")</f>
        <v/>
      </c>
      <c r="H28">
        <f>IFERROR((SUMIFS('AEO 2026 Table 23 '!K:K,'AEO 2026 Table 23 '!$B:$B,"*,"&amp;$A28&amp;",*")-SUMIFS('AEO 2026 Table 23 '!J:J,'AEO 2026 Table 23 '!$B:$B,"*,"&amp;$A28&amp;",*"))/SUMIFS('AEO 2026 Table 23 '!J:J,'AEO 2026 Table 23 '!$B:$B,"*,"&amp;$A28&amp;",*"),"")</f>
        <v/>
      </c>
      <c r="I28">
        <f>IFERROR((SUMIFS('AEO 2026 Table 23 '!L:L,'AEO 2026 Table 23 '!$B:$B,"*,"&amp;$A28&amp;",*")-SUMIFS('AEO 2026 Table 23 '!K:K,'AEO 2026 Table 23 '!$B:$B,"*,"&amp;$A28&amp;",*"))/SUMIFS('AEO 2026 Table 23 '!K:K,'AEO 2026 Table 23 '!$B:$B,"*,"&amp;$A28&amp;",*"),"")</f>
        <v/>
      </c>
      <c r="J28">
        <f>IFERROR((SUMIFS('AEO 2026 Table 23 '!M:M,'AEO 2026 Table 23 '!$B:$B,"*,"&amp;$A28&amp;",*")-SUMIFS('AEO 2026 Table 23 '!L:L,'AEO 2026 Table 23 '!$B:$B,"*,"&amp;$A28&amp;",*"))/SUMIFS('AEO 2026 Table 23 '!L:L,'AEO 2026 Table 23 '!$B:$B,"*,"&amp;$A28&amp;",*"),"")</f>
        <v/>
      </c>
      <c r="K28">
        <f>IFERROR((SUMIFS('AEO 2026 Table 23 '!N:N,'AEO 2026 Table 23 '!$B:$B,"*,"&amp;$A28&amp;",*")-SUMIFS('AEO 2026 Table 23 '!M:M,'AEO 2026 Table 23 '!$B:$B,"*,"&amp;$A28&amp;",*"))/SUMIFS('AEO 2026 Table 23 '!M:M,'AEO 2026 Table 23 '!$B:$B,"*,"&amp;$A28&amp;",*"),"")</f>
        <v/>
      </c>
      <c r="L28">
        <f>IFERROR((SUMIFS('AEO 2026 Table 23 '!O:O,'AEO 2026 Table 23 '!$B:$B,"*,"&amp;$A28&amp;",*")-SUMIFS('AEO 2026 Table 23 '!N:N,'AEO 2026 Table 23 '!$B:$B,"*,"&amp;$A28&amp;",*"))/SUMIFS('AEO 2026 Table 23 '!N:N,'AEO 2026 Table 23 '!$B:$B,"*,"&amp;$A28&amp;",*"),"")</f>
        <v/>
      </c>
      <c r="M28">
        <f>IFERROR((SUMIFS('AEO 2026 Table 23 '!P:P,'AEO 2026 Table 23 '!$B:$B,"*,"&amp;$A28&amp;",*")-SUMIFS('AEO 2026 Table 23 '!O:O,'AEO 2026 Table 23 '!$B:$B,"*,"&amp;$A28&amp;",*"))/SUMIFS('AEO 2026 Table 23 '!O:O,'AEO 2026 Table 23 '!$B:$B,"*,"&amp;$A28&amp;",*"),"")</f>
        <v/>
      </c>
      <c r="N28">
        <f>IFERROR((SUMIFS('AEO 2026 Table 23 '!Q:Q,'AEO 2026 Table 23 '!$B:$B,"*,"&amp;$A28&amp;",*")-SUMIFS('AEO 2026 Table 23 '!P:P,'AEO 2026 Table 23 '!$B:$B,"*,"&amp;$A28&amp;",*"))/SUMIFS('AEO 2026 Table 23 '!P:P,'AEO 2026 Table 23 '!$B:$B,"*,"&amp;$A28&amp;",*"),"")</f>
        <v/>
      </c>
      <c r="O28">
        <f>IFERROR((SUMIFS('AEO 2026 Table 23 '!R:R,'AEO 2026 Table 23 '!$B:$B,"*,"&amp;$A28&amp;",*")-SUMIFS('AEO 2026 Table 23 '!Q:Q,'AEO 2026 Table 23 '!$B:$B,"*,"&amp;$A28&amp;",*"))/SUMIFS('AEO 2026 Table 23 '!Q:Q,'AEO 2026 Table 23 '!$B:$B,"*,"&amp;$A28&amp;",*"),"")</f>
        <v/>
      </c>
      <c r="P28">
        <f>IFERROR((SUMIFS('AEO 2026 Table 23 '!S:S,'AEO 2026 Table 23 '!$B:$B,"*,"&amp;$A28&amp;",*")-SUMIFS('AEO 2026 Table 23 '!R:R,'AEO 2026 Table 23 '!$B:$B,"*,"&amp;$A28&amp;",*"))/SUMIFS('AEO 2026 Table 23 '!R:R,'AEO 2026 Table 23 '!$B:$B,"*,"&amp;$A28&amp;",*"),"")</f>
        <v/>
      </c>
      <c r="Q28">
        <f>IFERROR((SUMIFS('AEO 2026 Table 23 '!T:T,'AEO 2026 Table 23 '!$B:$B,"*,"&amp;$A28&amp;",*")-SUMIFS('AEO 2026 Table 23 '!S:S,'AEO 2026 Table 23 '!$B:$B,"*,"&amp;$A28&amp;",*"))/SUMIFS('AEO 2026 Table 23 '!S:S,'AEO 2026 Table 23 '!$B:$B,"*,"&amp;$A28&amp;",*"),"")</f>
        <v/>
      </c>
      <c r="R28">
        <f>IFERROR((SUMIFS('AEO 2026 Table 23 '!U:U,'AEO 2026 Table 23 '!$B:$B,"*,"&amp;$A28&amp;",*")-SUMIFS('AEO 2026 Table 23 '!T:T,'AEO 2026 Table 23 '!$B:$B,"*,"&amp;$A28&amp;",*"))/SUMIFS('AEO 2026 Table 23 '!T:T,'AEO 2026 Table 23 '!$B:$B,"*,"&amp;$A28&amp;",*"),"")</f>
        <v/>
      </c>
      <c r="S28">
        <f>IFERROR((SUMIFS('AEO 2026 Table 23 '!V:V,'AEO 2026 Table 23 '!$B:$B,"*,"&amp;$A28&amp;",*")-SUMIFS('AEO 2026 Table 23 '!U:U,'AEO 2026 Table 23 '!$B:$B,"*,"&amp;$A28&amp;",*"))/SUMIFS('AEO 2026 Table 23 '!U:U,'AEO 2026 Table 23 '!$B:$B,"*,"&amp;$A28&amp;",*"),"")</f>
        <v/>
      </c>
      <c r="T28">
        <f>IFERROR((SUMIFS('AEO 2026 Table 23 '!W:W,'AEO 2026 Table 23 '!$B:$B,"*,"&amp;$A28&amp;",*")-SUMIFS('AEO 2026 Table 23 '!V:V,'AEO 2026 Table 23 '!$B:$B,"*,"&amp;$A28&amp;",*"))/SUMIFS('AEO 2026 Table 23 '!V:V,'AEO 2026 Table 23 '!$B:$B,"*,"&amp;$A28&amp;",*"),"")</f>
        <v/>
      </c>
      <c r="U28">
        <f>IFERROR((SUMIFS('AEO 2026 Table 23 '!X:X,'AEO 2026 Table 23 '!$B:$B,"*,"&amp;$A28&amp;",*")-SUMIFS('AEO 2026 Table 23 '!W:W,'AEO 2026 Table 23 '!$B:$B,"*,"&amp;$A28&amp;",*"))/SUMIFS('AEO 2026 Table 23 '!W:W,'AEO 2026 Table 23 '!$B:$B,"*,"&amp;$A28&amp;",*"),"")</f>
        <v/>
      </c>
      <c r="V28">
        <f>IFERROR((SUMIFS('AEO 2026 Table 23 '!Y:Y,'AEO 2026 Table 23 '!$B:$B,"*,"&amp;$A28&amp;",*")-SUMIFS('AEO 2026 Table 23 '!X:X,'AEO 2026 Table 23 '!$B:$B,"*,"&amp;$A28&amp;",*"))/SUMIFS('AEO 2026 Table 23 '!X:X,'AEO 2026 Table 23 '!$B:$B,"*,"&amp;$A28&amp;",*"),"")</f>
        <v/>
      </c>
      <c r="W28">
        <f>IFERROR((SUMIFS('AEO 2026 Table 23 '!Z:Z,'AEO 2026 Table 23 '!$B:$B,"*,"&amp;$A28&amp;",*")-SUMIFS('AEO 2026 Table 23 '!Y:Y,'AEO 2026 Table 23 '!$B:$B,"*,"&amp;$A28&amp;",*"))/SUMIFS('AEO 2026 Table 23 '!Y:Y,'AEO 2026 Table 23 '!$B:$B,"*,"&amp;$A28&amp;",*"),"")</f>
        <v/>
      </c>
      <c r="X28">
        <f>IFERROR((SUMIFS('AEO 2026 Table 23 '!AA:AA,'AEO 2026 Table 23 '!$B:$B,"*,"&amp;$A28&amp;",*")-SUMIFS('AEO 2026 Table 23 '!Z:Z,'AEO 2026 Table 23 '!$B:$B,"*,"&amp;$A28&amp;",*"))/SUMIFS('AEO 2026 Table 23 '!Z:Z,'AEO 2026 Table 23 '!$B:$B,"*,"&amp;$A28&amp;",*"),"")</f>
        <v/>
      </c>
      <c r="Y28">
        <f>IFERROR((SUMIFS('AEO 2026 Table 23 '!AB:AB,'AEO 2026 Table 23 '!$B:$B,"*,"&amp;$A28&amp;",*")-SUMIFS('AEO 2026 Table 23 '!AA:AA,'AEO 2026 Table 23 '!$B:$B,"*,"&amp;$A28&amp;",*"))/SUMIFS('AEO 2026 Table 23 '!AA:AA,'AEO 2026 Table 23 '!$B:$B,"*,"&amp;$A28&amp;",*"),"")</f>
        <v/>
      </c>
      <c r="Z28">
        <f>IFERROR((SUMIFS('AEO 2026 Table 23 '!AC:AC,'AEO 2026 Table 23 '!$B:$B,"*,"&amp;$A28&amp;",*")-SUMIFS('AEO 2026 Table 23 '!AB:AB,'AEO 2026 Table 23 '!$B:$B,"*,"&amp;$A28&amp;",*"))/SUMIFS('AEO 2026 Table 23 '!AB:AB,'AEO 2026 Table 23 '!$B:$B,"*,"&amp;$A28&amp;",*"),"")</f>
        <v/>
      </c>
      <c r="AA28">
        <f>IFERROR((SUMIFS('AEO 2026 Table 23 '!AD:AD,'AEO 2026 Table 23 '!$B:$B,"*,"&amp;$A28&amp;",*")-SUMIFS('AEO 2026 Table 23 '!AC:AC,'AEO 2026 Table 23 '!$B:$B,"*,"&amp;$A28&amp;",*"))/SUMIFS('AEO 2026 Table 23 '!AC:AC,'AEO 2026 Table 23 '!$B:$B,"*,"&amp;$A28&amp;",*"),"")</f>
        <v/>
      </c>
      <c r="AB28">
        <f>IFERROR((SUMIFS('AEO 2026 Table 23 '!AE:AE,'AEO 2026 Table 23 '!$B:$B,"*,"&amp;$A28&amp;",*")-SUMIFS('AEO 2026 Table 23 '!AD:AD,'AEO 2026 Table 23 '!$B:$B,"*,"&amp;$A28&amp;",*"))/SUMIFS('AEO 2026 Table 23 '!AD:AD,'AEO 2026 Table 23 '!$B:$B,"*,"&amp;$A28&amp;",*"),"")</f>
        <v/>
      </c>
      <c r="AC28">
        <f>IFERROR((SUMIFS('AEO 2026 Table 23 '!AF:AF,'AEO 2026 Table 23 '!$B:$B,"*,"&amp;$A28&amp;",*")-SUMIFS('AEO 2026 Table 23 '!AE:AE,'AEO 2026 Table 23 '!$B:$B,"*,"&amp;$A28&amp;",*"))/SUMIFS('AEO 2026 Table 23 '!AE:AE,'AEO 2026 Table 23 '!$B:$B,"*,"&amp;$A28&amp;",*"),"")</f>
        <v/>
      </c>
    </row>
    <row r="29">
      <c r="A29" t="inlineStr">
        <is>
          <t>ISIC 301</t>
        </is>
      </c>
      <c r="B29">
        <f>IFERROR(SUMPRODUCT(--('BLS Table 2.11'!$L$1:$L$426=$A29),'BLS Table 2.11'!$J$1:$J$426,'BLS Table 2.11'!$K$1:$K$426)/SUMIFS('BLS Table 2.11'!$J$1:$J$426,'BLS Table 2.11'!$L$1:$L$426,$A29)/100,0)</f>
        <v/>
      </c>
      <c r="D29">
        <f>IFERROR((SUMIFS('AEO 2026 Table 23 '!G:G,'AEO 2026 Table 23 '!$B:$B,"*,"&amp;$A29&amp;",*")-SUMIFS('AEO25 Table 23'!H:H,'AEO25 Table 23'!$B:$B,"*,"&amp;$A29&amp;",*"))/SUMIFS('AEO25 Table 23'!H:H,'AEO25 Table 23'!$B:$B,"*,"&amp;$A29&amp;",*"),"")</f>
        <v/>
      </c>
      <c r="E29">
        <f>IFERROR((SUMIFS('AEO 2026 Table 23 '!H:H,'AEO 2026 Table 23 '!$B:$B,"*,"&amp;$A29&amp;",*")-SUMIFS('AEO 2026 Table 23 '!G:G,'AEO 2026 Table 23 '!$B:$B,"*,"&amp;$A29&amp;",*"))/SUMIFS('AEO 2026 Table 23 '!G:G,'AEO 2026 Table 23 '!$B:$B,"*,"&amp;$A29&amp;",*"),"")</f>
        <v/>
      </c>
      <c r="F29">
        <f>IFERROR((SUMIFS('AEO 2026 Table 23 '!I:I,'AEO 2026 Table 23 '!$B:$B,"*,"&amp;$A29&amp;",*")-SUMIFS('AEO 2026 Table 23 '!H:H,'AEO 2026 Table 23 '!$B:$B,"*,"&amp;$A29&amp;",*"))/SUMIFS('AEO 2026 Table 23 '!H:H,'AEO 2026 Table 23 '!$B:$B,"*,"&amp;$A29&amp;",*"),"")</f>
        <v/>
      </c>
      <c r="G29">
        <f>IFERROR((SUMIFS('AEO 2026 Table 23 '!J:J,'AEO 2026 Table 23 '!$B:$B,"*,"&amp;$A29&amp;",*")-SUMIFS('AEO 2026 Table 23 '!I:I,'AEO 2026 Table 23 '!$B:$B,"*,"&amp;$A29&amp;",*"))/SUMIFS('AEO 2026 Table 23 '!I:I,'AEO 2026 Table 23 '!$B:$B,"*,"&amp;$A29&amp;",*"),"")</f>
        <v/>
      </c>
      <c r="H29">
        <f>IFERROR((SUMIFS('AEO 2026 Table 23 '!K:K,'AEO 2026 Table 23 '!$B:$B,"*,"&amp;$A29&amp;",*")-SUMIFS('AEO 2026 Table 23 '!J:J,'AEO 2026 Table 23 '!$B:$B,"*,"&amp;$A29&amp;",*"))/SUMIFS('AEO 2026 Table 23 '!J:J,'AEO 2026 Table 23 '!$B:$B,"*,"&amp;$A29&amp;",*"),"")</f>
        <v/>
      </c>
      <c r="I29">
        <f>IFERROR((SUMIFS('AEO 2026 Table 23 '!L:L,'AEO 2026 Table 23 '!$B:$B,"*,"&amp;$A29&amp;",*")-SUMIFS('AEO 2026 Table 23 '!K:K,'AEO 2026 Table 23 '!$B:$B,"*,"&amp;$A29&amp;",*"))/SUMIFS('AEO 2026 Table 23 '!K:K,'AEO 2026 Table 23 '!$B:$B,"*,"&amp;$A29&amp;",*"),"")</f>
        <v/>
      </c>
      <c r="J29">
        <f>IFERROR((SUMIFS('AEO 2026 Table 23 '!M:M,'AEO 2026 Table 23 '!$B:$B,"*,"&amp;$A29&amp;",*")-SUMIFS('AEO 2026 Table 23 '!L:L,'AEO 2026 Table 23 '!$B:$B,"*,"&amp;$A29&amp;",*"))/SUMIFS('AEO 2026 Table 23 '!L:L,'AEO 2026 Table 23 '!$B:$B,"*,"&amp;$A29&amp;",*"),"")</f>
        <v/>
      </c>
      <c r="K29">
        <f>IFERROR((SUMIFS('AEO 2026 Table 23 '!N:N,'AEO 2026 Table 23 '!$B:$B,"*,"&amp;$A29&amp;",*")-SUMIFS('AEO 2026 Table 23 '!M:M,'AEO 2026 Table 23 '!$B:$B,"*,"&amp;$A29&amp;",*"))/SUMIFS('AEO 2026 Table 23 '!M:M,'AEO 2026 Table 23 '!$B:$B,"*,"&amp;$A29&amp;",*"),"")</f>
        <v/>
      </c>
      <c r="L29">
        <f>IFERROR((SUMIFS('AEO 2026 Table 23 '!O:O,'AEO 2026 Table 23 '!$B:$B,"*,"&amp;$A29&amp;",*")-SUMIFS('AEO 2026 Table 23 '!N:N,'AEO 2026 Table 23 '!$B:$B,"*,"&amp;$A29&amp;",*"))/SUMIFS('AEO 2026 Table 23 '!N:N,'AEO 2026 Table 23 '!$B:$B,"*,"&amp;$A29&amp;",*"),"")</f>
        <v/>
      </c>
      <c r="M29">
        <f>IFERROR((SUMIFS('AEO 2026 Table 23 '!P:P,'AEO 2026 Table 23 '!$B:$B,"*,"&amp;$A29&amp;",*")-SUMIFS('AEO 2026 Table 23 '!O:O,'AEO 2026 Table 23 '!$B:$B,"*,"&amp;$A29&amp;",*"))/SUMIFS('AEO 2026 Table 23 '!O:O,'AEO 2026 Table 23 '!$B:$B,"*,"&amp;$A29&amp;",*"),"")</f>
        <v/>
      </c>
      <c r="N29">
        <f>IFERROR((SUMIFS('AEO 2026 Table 23 '!Q:Q,'AEO 2026 Table 23 '!$B:$B,"*,"&amp;$A29&amp;",*")-SUMIFS('AEO 2026 Table 23 '!P:P,'AEO 2026 Table 23 '!$B:$B,"*,"&amp;$A29&amp;",*"))/SUMIFS('AEO 2026 Table 23 '!P:P,'AEO 2026 Table 23 '!$B:$B,"*,"&amp;$A29&amp;",*"),"")</f>
        <v/>
      </c>
      <c r="O29">
        <f>IFERROR((SUMIFS('AEO 2026 Table 23 '!R:R,'AEO 2026 Table 23 '!$B:$B,"*,"&amp;$A29&amp;",*")-SUMIFS('AEO 2026 Table 23 '!Q:Q,'AEO 2026 Table 23 '!$B:$B,"*,"&amp;$A29&amp;",*"))/SUMIFS('AEO 2026 Table 23 '!Q:Q,'AEO 2026 Table 23 '!$B:$B,"*,"&amp;$A29&amp;",*"),"")</f>
        <v/>
      </c>
      <c r="P29">
        <f>IFERROR((SUMIFS('AEO 2026 Table 23 '!S:S,'AEO 2026 Table 23 '!$B:$B,"*,"&amp;$A29&amp;",*")-SUMIFS('AEO 2026 Table 23 '!R:R,'AEO 2026 Table 23 '!$B:$B,"*,"&amp;$A29&amp;",*"))/SUMIFS('AEO 2026 Table 23 '!R:R,'AEO 2026 Table 23 '!$B:$B,"*,"&amp;$A29&amp;",*"),"")</f>
        <v/>
      </c>
      <c r="Q29">
        <f>IFERROR((SUMIFS('AEO 2026 Table 23 '!T:T,'AEO 2026 Table 23 '!$B:$B,"*,"&amp;$A29&amp;",*")-SUMIFS('AEO 2026 Table 23 '!S:S,'AEO 2026 Table 23 '!$B:$B,"*,"&amp;$A29&amp;",*"))/SUMIFS('AEO 2026 Table 23 '!S:S,'AEO 2026 Table 23 '!$B:$B,"*,"&amp;$A29&amp;",*"),"")</f>
        <v/>
      </c>
      <c r="R29">
        <f>IFERROR((SUMIFS('AEO 2026 Table 23 '!U:U,'AEO 2026 Table 23 '!$B:$B,"*,"&amp;$A29&amp;",*")-SUMIFS('AEO 2026 Table 23 '!T:T,'AEO 2026 Table 23 '!$B:$B,"*,"&amp;$A29&amp;",*"))/SUMIFS('AEO 2026 Table 23 '!T:T,'AEO 2026 Table 23 '!$B:$B,"*,"&amp;$A29&amp;",*"),"")</f>
        <v/>
      </c>
      <c r="S29">
        <f>IFERROR((SUMIFS('AEO 2026 Table 23 '!V:V,'AEO 2026 Table 23 '!$B:$B,"*,"&amp;$A29&amp;",*")-SUMIFS('AEO 2026 Table 23 '!U:U,'AEO 2026 Table 23 '!$B:$B,"*,"&amp;$A29&amp;",*"))/SUMIFS('AEO 2026 Table 23 '!U:U,'AEO 2026 Table 23 '!$B:$B,"*,"&amp;$A29&amp;",*"),"")</f>
        <v/>
      </c>
      <c r="T29">
        <f>IFERROR((SUMIFS('AEO 2026 Table 23 '!W:W,'AEO 2026 Table 23 '!$B:$B,"*,"&amp;$A29&amp;",*")-SUMIFS('AEO 2026 Table 23 '!V:V,'AEO 2026 Table 23 '!$B:$B,"*,"&amp;$A29&amp;",*"))/SUMIFS('AEO 2026 Table 23 '!V:V,'AEO 2026 Table 23 '!$B:$B,"*,"&amp;$A29&amp;",*"),"")</f>
        <v/>
      </c>
      <c r="U29">
        <f>IFERROR((SUMIFS('AEO 2026 Table 23 '!X:X,'AEO 2026 Table 23 '!$B:$B,"*,"&amp;$A29&amp;",*")-SUMIFS('AEO 2026 Table 23 '!W:W,'AEO 2026 Table 23 '!$B:$B,"*,"&amp;$A29&amp;",*"))/SUMIFS('AEO 2026 Table 23 '!W:W,'AEO 2026 Table 23 '!$B:$B,"*,"&amp;$A29&amp;",*"),"")</f>
        <v/>
      </c>
      <c r="V29">
        <f>IFERROR((SUMIFS('AEO 2026 Table 23 '!Y:Y,'AEO 2026 Table 23 '!$B:$B,"*,"&amp;$A29&amp;",*")-SUMIFS('AEO 2026 Table 23 '!X:X,'AEO 2026 Table 23 '!$B:$B,"*,"&amp;$A29&amp;",*"))/SUMIFS('AEO 2026 Table 23 '!X:X,'AEO 2026 Table 23 '!$B:$B,"*,"&amp;$A29&amp;",*"),"")</f>
        <v/>
      </c>
      <c r="W29">
        <f>IFERROR((SUMIFS('AEO 2026 Table 23 '!Z:Z,'AEO 2026 Table 23 '!$B:$B,"*,"&amp;$A29&amp;",*")-SUMIFS('AEO 2026 Table 23 '!Y:Y,'AEO 2026 Table 23 '!$B:$B,"*,"&amp;$A29&amp;",*"))/SUMIFS('AEO 2026 Table 23 '!Y:Y,'AEO 2026 Table 23 '!$B:$B,"*,"&amp;$A29&amp;",*"),"")</f>
        <v/>
      </c>
      <c r="X29">
        <f>IFERROR((SUMIFS('AEO 2026 Table 23 '!AA:AA,'AEO 2026 Table 23 '!$B:$B,"*,"&amp;$A29&amp;",*")-SUMIFS('AEO 2026 Table 23 '!Z:Z,'AEO 2026 Table 23 '!$B:$B,"*,"&amp;$A29&amp;",*"))/SUMIFS('AEO 2026 Table 23 '!Z:Z,'AEO 2026 Table 23 '!$B:$B,"*,"&amp;$A29&amp;",*"),"")</f>
        <v/>
      </c>
      <c r="Y29">
        <f>IFERROR((SUMIFS('AEO 2026 Table 23 '!AB:AB,'AEO 2026 Table 23 '!$B:$B,"*,"&amp;$A29&amp;",*")-SUMIFS('AEO 2026 Table 23 '!AA:AA,'AEO 2026 Table 23 '!$B:$B,"*,"&amp;$A29&amp;",*"))/SUMIFS('AEO 2026 Table 23 '!AA:AA,'AEO 2026 Table 23 '!$B:$B,"*,"&amp;$A29&amp;",*"),"")</f>
        <v/>
      </c>
      <c r="Z29">
        <f>IFERROR((SUMIFS('AEO 2026 Table 23 '!AC:AC,'AEO 2026 Table 23 '!$B:$B,"*,"&amp;$A29&amp;",*")-SUMIFS('AEO 2026 Table 23 '!AB:AB,'AEO 2026 Table 23 '!$B:$B,"*,"&amp;$A29&amp;",*"))/SUMIFS('AEO 2026 Table 23 '!AB:AB,'AEO 2026 Table 23 '!$B:$B,"*,"&amp;$A29&amp;",*"),"")</f>
        <v/>
      </c>
      <c r="AA29">
        <f>IFERROR((SUMIFS('AEO 2026 Table 23 '!AD:AD,'AEO 2026 Table 23 '!$B:$B,"*,"&amp;$A29&amp;",*")-SUMIFS('AEO 2026 Table 23 '!AC:AC,'AEO 2026 Table 23 '!$B:$B,"*,"&amp;$A29&amp;",*"))/SUMIFS('AEO 2026 Table 23 '!AC:AC,'AEO 2026 Table 23 '!$B:$B,"*,"&amp;$A29&amp;",*"),"")</f>
        <v/>
      </c>
      <c r="AB29">
        <f>IFERROR((SUMIFS('AEO 2026 Table 23 '!AE:AE,'AEO 2026 Table 23 '!$B:$B,"*,"&amp;$A29&amp;",*")-SUMIFS('AEO 2026 Table 23 '!AD:AD,'AEO 2026 Table 23 '!$B:$B,"*,"&amp;$A29&amp;",*"))/SUMIFS('AEO 2026 Table 23 '!AD:AD,'AEO 2026 Table 23 '!$B:$B,"*,"&amp;$A29&amp;",*"),"")</f>
        <v/>
      </c>
      <c r="AC29">
        <f>IFERROR((SUMIFS('AEO 2026 Table 23 '!AF:AF,'AEO 2026 Table 23 '!$B:$B,"*,"&amp;$A29&amp;",*")-SUMIFS('AEO 2026 Table 23 '!AE:AE,'AEO 2026 Table 23 '!$B:$B,"*,"&amp;$A29&amp;",*"))/SUMIFS('AEO 2026 Table 23 '!AE:AE,'AEO 2026 Table 23 '!$B:$B,"*,"&amp;$A29&amp;",*"),"")</f>
        <v/>
      </c>
    </row>
    <row r="30">
      <c r="A30" t="inlineStr">
        <is>
          <t>ISIC 302T309</t>
        </is>
      </c>
      <c r="B30">
        <f>IFERROR(SUMPRODUCT(--('BLS Table 2.11'!$L$1:$L$426=$A30),'BLS Table 2.11'!$J$1:$J$426,'BLS Table 2.11'!$K$1:$K$426)/SUMIFS('BLS Table 2.11'!$J$1:$J$426,'BLS Table 2.11'!$L$1:$L$426,$A30)/100,0)</f>
        <v/>
      </c>
      <c r="D30">
        <f>IFERROR((SUMIFS('AEO 2026 Table 23 '!G:G,'AEO 2026 Table 23 '!$B:$B,"*,"&amp;$A30&amp;",*")-SUMIFS('AEO25 Table 23'!H:H,'AEO25 Table 23'!$B:$B,"*,"&amp;$A30&amp;",*"))/SUMIFS('AEO25 Table 23'!H:H,'AEO25 Table 23'!$B:$B,"*,"&amp;$A30&amp;",*"),"")</f>
        <v/>
      </c>
      <c r="E30">
        <f>IFERROR((SUMIFS('AEO 2026 Table 23 '!H:H,'AEO 2026 Table 23 '!$B:$B,"*,"&amp;$A30&amp;",*")-SUMIFS('AEO 2026 Table 23 '!G:G,'AEO 2026 Table 23 '!$B:$B,"*,"&amp;$A30&amp;",*"))/SUMIFS('AEO 2026 Table 23 '!G:G,'AEO 2026 Table 23 '!$B:$B,"*,"&amp;$A30&amp;",*"),"")</f>
        <v/>
      </c>
      <c r="F30">
        <f>IFERROR((SUMIFS('AEO 2026 Table 23 '!I:I,'AEO 2026 Table 23 '!$B:$B,"*,"&amp;$A30&amp;",*")-SUMIFS('AEO 2026 Table 23 '!H:H,'AEO 2026 Table 23 '!$B:$B,"*,"&amp;$A30&amp;",*"))/SUMIFS('AEO 2026 Table 23 '!H:H,'AEO 2026 Table 23 '!$B:$B,"*,"&amp;$A30&amp;",*"),"")</f>
        <v/>
      </c>
      <c r="G30">
        <f>IFERROR((SUMIFS('AEO 2026 Table 23 '!J:J,'AEO 2026 Table 23 '!$B:$B,"*,"&amp;$A30&amp;",*")-SUMIFS('AEO 2026 Table 23 '!I:I,'AEO 2026 Table 23 '!$B:$B,"*,"&amp;$A30&amp;",*"))/SUMIFS('AEO 2026 Table 23 '!I:I,'AEO 2026 Table 23 '!$B:$B,"*,"&amp;$A30&amp;",*"),"")</f>
        <v/>
      </c>
      <c r="H30">
        <f>IFERROR((SUMIFS('AEO 2026 Table 23 '!K:K,'AEO 2026 Table 23 '!$B:$B,"*,"&amp;$A30&amp;",*")-SUMIFS('AEO 2026 Table 23 '!J:J,'AEO 2026 Table 23 '!$B:$B,"*,"&amp;$A30&amp;",*"))/SUMIFS('AEO 2026 Table 23 '!J:J,'AEO 2026 Table 23 '!$B:$B,"*,"&amp;$A30&amp;",*"),"")</f>
        <v/>
      </c>
      <c r="I30">
        <f>IFERROR((SUMIFS('AEO 2026 Table 23 '!L:L,'AEO 2026 Table 23 '!$B:$B,"*,"&amp;$A30&amp;",*")-SUMIFS('AEO 2026 Table 23 '!K:K,'AEO 2026 Table 23 '!$B:$B,"*,"&amp;$A30&amp;",*"))/SUMIFS('AEO 2026 Table 23 '!K:K,'AEO 2026 Table 23 '!$B:$B,"*,"&amp;$A30&amp;",*"),"")</f>
        <v/>
      </c>
      <c r="J30">
        <f>IFERROR((SUMIFS('AEO 2026 Table 23 '!M:M,'AEO 2026 Table 23 '!$B:$B,"*,"&amp;$A30&amp;",*")-SUMIFS('AEO 2026 Table 23 '!L:L,'AEO 2026 Table 23 '!$B:$B,"*,"&amp;$A30&amp;",*"))/SUMIFS('AEO 2026 Table 23 '!L:L,'AEO 2026 Table 23 '!$B:$B,"*,"&amp;$A30&amp;",*"),"")</f>
        <v/>
      </c>
      <c r="K30">
        <f>IFERROR((SUMIFS('AEO 2026 Table 23 '!N:N,'AEO 2026 Table 23 '!$B:$B,"*,"&amp;$A30&amp;",*")-SUMIFS('AEO 2026 Table 23 '!M:M,'AEO 2026 Table 23 '!$B:$B,"*,"&amp;$A30&amp;",*"))/SUMIFS('AEO 2026 Table 23 '!M:M,'AEO 2026 Table 23 '!$B:$B,"*,"&amp;$A30&amp;",*"),"")</f>
        <v/>
      </c>
      <c r="L30">
        <f>IFERROR((SUMIFS('AEO 2026 Table 23 '!O:O,'AEO 2026 Table 23 '!$B:$B,"*,"&amp;$A30&amp;",*")-SUMIFS('AEO 2026 Table 23 '!N:N,'AEO 2026 Table 23 '!$B:$B,"*,"&amp;$A30&amp;",*"))/SUMIFS('AEO 2026 Table 23 '!N:N,'AEO 2026 Table 23 '!$B:$B,"*,"&amp;$A30&amp;",*"),"")</f>
        <v/>
      </c>
      <c r="M30">
        <f>IFERROR((SUMIFS('AEO 2026 Table 23 '!P:P,'AEO 2026 Table 23 '!$B:$B,"*,"&amp;$A30&amp;",*")-SUMIFS('AEO 2026 Table 23 '!O:O,'AEO 2026 Table 23 '!$B:$B,"*,"&amp;$A30&amp;",*"))/SUMIFS('AEO 2026 Table 23 '!O:O,'AEO 2026 Table 23 '!$B:$B,"*,"&amp;$A30&amp;",*"),"")</f>
        <v/>
      </c>
      <c r="N30">
        <f>IFERROR((SUMIFS('AEO 2026 Table 23 '!Q:Q,'AEO 2026 Table 23 '!$B:$B,"*,"&amp;$A30&amp;",*")-SUMIFS('AEO 2026 Table 23 '!P:P,'AEO 2026 Table 23 '!$B:$B,"*,"&amp;$A30&amp;",*"))/SUMIFS('AEO 2026 Table 23 '!P:P,'AEO 2026 Table 23 '!$B:$B,"*,"&amp;$A30&amp;",*"),"")</f>
        <v/>
      </c>
      <c r="O30">
        <f>IFERROR((SUMIFS('AEO 2026 Table 23 '!R:R,'AEO 2026 Table 23 '!$B:$B,"*,"&amp;$A30&amp;",*")-SUMIFS('AEO 2026 Table 23 '!Q:Q,'AEO 2026 Table 23 '!$B:$B,"*,"&amp;$A30&amp;",*"))/SUMIFS('AEO 2026 Table 23 '!Q:Q,'AEO 2026 Table 23 '!$B:$B,"*,"&amp;$A30&amp;",*"),"")</f>
        <v/>
      </c>
      <c r="P30">
        <f>IFERROR((SUMIFS('AEO 2026 Table 23 '!S:S,'AEO 2026 Table 23 '!$B:$B,"*,"&amp;$A30&amp;",*")-SUMIFS('AEO 2026 Table 23 '!R:R,'AEO 2026 Table 23 '!$B:$B,"*,"&amp;$A30&amp;",*"))/SUMIFS('AEO 2026 Table 23 '!R:R,'AEO 2026 Table 23 '!$B:$B,"*,"&amp;$A30&amp;",*"),"")</f>
        <v/>
      </c>
      <c r="Q30">
        <f>IFERROR((SUMIFS('AEO 2026 Table 23 '!T:T,'AEO 2026 Table 23 '!$B:$B,"*,"&amp;$A30&amp;",*")-SUMIFS('AEO 2026 Table 23 '!S:S,'AEO 2026 Table 23 '!$B:$B,"*,"&amp;$A30&amp;",*"))/SUMIFS('AEO 2026 Table 23 '!S:S,'AEO 2026 Table 23 '!$B:$B,"*,"&amp;$A30&amp;",*"),"")</f>
        <v/>
      </c>
      <c r="R30">
        <f>IFERROR((SUMIFS('AEO 2026 Table 23 '!U:U,'AEO 2026 Table 23 '!$B:$B,"*,"&amp;$A30&amp;",*")-SUMIFS('AEO 2026 Table 23 '!T:T,'AEO 2026 Table 23 '!$B:$B,"*,"&amp;$A30&amp;",*"))/SUMIFS('AEO 2026 Table 23 '!T:T,'AEO 2026 Table 23 '!$B:$B,"*,"&amp;$A30&amp;",*"),"")</f>
        <v/>
      </c>
      <c r="S30">
        <f>IFERROR((SUMIFS('AEO 2026 Table 23 '!V:V,'AEO 2026 Table 23 '!$B:$B,"*,"&amp;$A30&amp;",*")-SUMIFS('AEO 2026 Table 23 '!U:U,'AEO 2026 Table 23 '!$B:$B,"*,"&amp;$A30&amp;",*"))/SUMIFS('AEO 2026 Table 23 '!U:U,'AEO 2026 Table 23 '!$B:$B,"*,"&amp;$A30&amp;",*"),"")</f>
        <v/>
      </c>
      <c r="T30">
        <f>IFERROR((SUMIFS('AEO 2026 Table 23 '!W:W,'AEO 2026 Table 23 '!$B:$B,"*,"&amp;$A30&amp;",*")-SUMIFS('AEO 2026 Table 23 '!V:V,'AEO 2026 Table 23 '!$B:$B,"*,"&amp;$A30&amp;",*"))/SUMIFS('AEO 2026 Table 23 '!V:V,'AEO 2026 Table 23 '!$B:$B,"*,"&amp;$A30&amp;",*"),"")</f>
        <v/>
      </c>
      <c r="U30">
        <f>IFERROR((SUMIFS('AEO 2026 Table 23 '!X:X,'AEO 2026 Table 23 '!$B:$B,"*,"&amp;$A30&amp;",*")-SUMIFS('AEO 2026 Table 23 '!W:W,'AEO 2026 Table 23 '!$B:$B,"*,"&amp;$A30&amp;",*"))/SUMIFS('AEO 2026 Table 23 '!W:W,'AEO 2026 Table 23 '!$B:$B,"*,"&amp;$A30&amp;",*"),"")</f>
        <v/>
      </c>
      <c r="V30">
        <f>IFERROR((SUMIFS('AEO 2026 Table 23 '!Y:Y,'AEO 2026 Table 23 '!$B:$B,"*,"&amp;$A30&amp;",*")-SUMIFS('AEO 2026 Table 23 '!X:X,'AEO 2026 Table 23 '!$B:$B,"*,"&amp;$A30&amp;",*"))/SUMIFS('AEO 2026 Table 23 '!X:X,'AEO 2026 Table 23 '!$B:$B,"*,"&amp;$A30&amp;",*"),"")</f>
        <v/>
      </c>
      <c r="W30">
        <f>IFERROR((SUMIFS('AEO 2026 Table 23 '!Z:Z,'AEO 2026 Table 23 '!$B:$B,"*,"&amp;$A30&amp;",*")-SUMIFS('AEO 2026 Table 23 '!Y:Y,'AEO 2026 Table 23 '!$B:$B,"*,"&amp;$A30&amp;",*"))/SUMIFS('AEO 2026 Table 23 '!Y:Y,'AEO 2026 Table 23 '!$B:$B,"*,"&amp;$A30&amp;",*"),"")</f>
        <v/>
      </c>
      <c r="X30">
        <f>IFERROR((SUMIFS('AEO 2026 Table 23 '!AA:AA,'AEO 2026 Table 23 '!$B:$B,"*,"&amp;$A30&amp;",*")-SUMIFS('AEO 2026 Table 23 '!Z:Z,'AEO 2026 Table 23 '!$B:$B,"*,"&amp;$A30&amp;",*"))/SUMIFS('AEO 2026 Table 23 '!Z:Z,'AEO 2026 Table 23 '!$B:$B,"*,"&amp;$A30&amp;",*"),"")</f>
        <v/>
      </c>
      <c r="Y30">
        <f>IFERROR((SUMIFS('AEO 2026 Table 23 '!AB:AB,'AEO 2026 Table 23 '!$B:$B,"*,"&amp;$A30&amp;",*")-SUMIFS('AEO 2026 Table 23 '!AA:AA,'AEO 2026 Table 23 '!$B:$B,"*,"&amp;$A30&amp;",*"))/SUMIFS('AEO 2026 Table 23 '!AA:AA,'AEO 2026 Table 23 '!$B:$B,"*,"&amp;$A30&amp;",*"),"")</f>
        <v/>
      </c>
      <c r="Z30">
        <f>IFERROR((SUMIFS('AEO 2026 Table 23 '!AC:AC,'AEO 2026 Table 23 '!$B:$B,"*,"&amp;$A30&amp;",*")-SUMIFS('AEO 2026 Table 23 '!AB:AB,'AEO 2026 Table 23 '!$B:$B,"*,"&amp;$A30&amp;",*"))/SUMIFS('AEO 2026 Table 23 '!AB:AB,'AEO 2026 Table 23 '!$B:$B,"*,"&amp;$A30&amp;",*"),"")</f>
        <v/>
      </c>
      <c r="AA30">
        <f>IFERROR((SUMIFS('AEO 2026 Table 23 '!AD:AD,'AEO 2026 Table 23 '!$B:$B,"*,"&amp;$A30&amp;",*")-SUMIFS('AEO 2026 Table 23 '!AC:AC,'AEO 2026 Table 23 '!$B:$B,"*,"&amp;$A30&amp;",*"))/SUMIFS('AEO 2026 Table 23 '!AC:AC,'AEO 2026 Table 23 '!$B:$B,"*,"&amp;$A30&amp;",*"),"")</f>
        <v/>
      </c>
      <c r="AB30">
        <f>IFERROR((SUMIFS('AEO 2026 Table 23 '!AE:AE,'AEO 2026 Table 23 '!$B:$B,"*,"&amp;$A30&amp;",*")-SUMIFS('AEO 2026 Table 23 '!AD:AD,'AEO 2026 Table 23 '!$B:$B,"*,"&amp;$A30&amp;",*"))/SUMIFS('AEO 2026 Table 23 '!AD:AD,'AEO 2026 Table 23 '!$B:$B,"*,"&amp;$A30&amp;",*"),"")</f>
        <v/>
      </c>
      <c r="AC30">
        <f>IFERROR((SUMIFS('AEO 2026 Table 23 '!AF:AF,'AEO 2026 Table 23 '!$B:$B,"*,"&amp;$A30&amp;",*")-SUMIFS('AEO 2026 Table 23 '!AE:AE,'AEO 2026 Table 23 '!$B:$B,"*,"&amp;$A30&amp;",*"))/SUMIFS('AEO 2026 Table 23 '!AE:AE,'AEO 2026 Table 23 '!$B:$B,"*,"&amp;$A30&amp;",*"),"")</f>
        <v/>
      </c>
    </row>
    <row r="31">
      <c r="A31" t="inlineStr">
        <is>
          <t>ISIC 31T33</t>
        </is>
      </c>
      <c r="B31">
        <f>IFERROR(SUMPRODUCT(--('BLS Table 2.11'!$L$1:$L$426=$A31),'BLS Table 2.11'!$J$1:$J$426,'BLS Table 2.11'!$K$1:$K$426)/SUMIFS('BLS Table 2.11'!$J$1:$J$426,'BLS Table 2.11'!$L$1:$L$426,$A31)/100,0)</f>
        <v/>
      </c>
      <c r="D31">
        <f>IFERROR((SUMIFS('AEO 2026 Table 23 '!G:G,'AEO 2026 Table 23 '!$B:$B,"*,"&amp;$A31&amp;",*")-SUMIFS('AEO25 Table 23'!H:H,'AEO25 Table 23'!$B:$B,"*,"&amp;$A31&amp;",*"))/SUMIFS('AEO25 Table 23'!H:H,'AEO25 Table 23'!$B:$B,"*,"&amp;$A31&amp;",*"),"")</f>
        <v/>
      </c>
      <c r="E31">
        <f>IFERROR((SUMIFS('AEO 2026 Table 23 '!H:H,'AEO 2026 Table 23 '!$B:$B,"*,"&amp;$A31&amp;",*")-SUMIFS('AEO 2026 Table 23 '!G:G,'AEO 2026 Table 23 '!$B:$B,"*,"&amp;$A31&amp;",*"))/SUMIFS('AEO 2026 Table 23 '!G:G,'AEO 2026 Table 23 '!$B:$B,"*,"&amp;$A31&amp;",*"),"")</f>
        <v/>
      </c>
      <c r="F31">
        <f>IFERROR((SUMIFS('AEO 2026 Table 23 '!I:I,'AEO 2026 Table 23 '!$B:$B,"*,"&amp;$A31&amp;",*")-SUMIFS('AEO 2026 Table 23 '!H:H,'AEO 2026 Table 23 '!$B:$B,"*,"&amp;$A31&amp;",*"))/SUMIFS('AEO 2026 Table 23 '!H:H,'AEO 2026 Table 23 '!$B:$B,"*,"&amp;$A31&amp;",*"),"")</f>
        <v/>
      </c>
      <c r="G31">
        <f>IFERROR((SUMIFS('AEO 2026 Table 23 '!J:J,'AEO 2026 Table 23 '!$B:$B,"*,"&amp;$A31&amp;",*")-SUMIFS('AEO 2026 Table 23 '!I:I,'AEO 2026 Table 23 '!$B:$B,"*,"&amp;$A31&amp;",*"))/SUMIFS('AEO 2026 Table 23 '!I:I,'AEO 2026 Table 23 '!$B:$B,"*,"&amp;$A31&amp;",*"),"")</f>
        <v/>
      </c>
      <c r="H31">
        <f>IFERROR((SUMIFS('AEO 2026 Table 23 '!K:K,'AEO 2026 Table 23 '!$B:$B,"*,"&amp;$A31&amp;",*")-SUMIFS('AEO 2026 Table 23 '!J:J,'AEO 2026 Table 23 '!$B:$B,"*,"&amp;$A31&amp;",*"))/SUMIFS('AEO 2026 Table 23 '!J:J,'AEO 2026 Table 23 '!$B:$B,"*,"&amp;$A31&amp;",*"),"")</f>
        <v/>
      </c>
      <c r="I31">
        <f>IFERROR((SUMIFS('AEO 2026 Table 23 '!L:L,'AEO 2026 Table 23 '!$B:$B,"*,"&amp;$A31&amp;",*")-SUMIFS('AEO 2026 Table 23 '!K:K,'AEO 2026 Table 23 '!$B:$B,"*,"&amp;$A31&amp;",*"))/SUMIFS('AEO 2026 Table 23 '!K:K,'AEO 2026 Table 23 '!$B:$B,"*,"&amp;$A31&amp;",*"),"")</f>
        <v/>
      </c>
      <c r="J31">
        <f>IFERROR((SUMIFS('AEO 2026 Table 23 '!M:M,'AEO 2026 Table 23 '!$B:$B,"*,"&amp;$A31&amp;",*")-SUMIFS('AEO 2026 Table 23 '!L:L,'AEO 2026 Table 23 '!$B:$B,"*,"&amp;$A31&amp;",*"))/SUMIFS('AEO 2026 Table 23 '!L:L,'AEO 2026 Table 23 '!$B:$B,"*,"&amp;$A31&amp;",*"),"")</f>
        <v/>
      </c>
      <c r="K31">
        <f>IFERROR((SUMIFS('AEO 2026 Table 23 '!N:N,'AEO 2026 Table 23 '!$B:$B,"*,"&amp;$A31&amp;",*")-SUMIFS('AEO 2026 Table 23 '!M:M,'AEO 2026 Table 23 '!$B:$B,"*,"&amp;$A31&amp;",*"))/SUMIFS('AEO 2026 Table 23 '!M:M,'AEO 2026 Table 23 '!$B:$B,"*,"&amp;$A31&amp;",*"),"")</f>
        <v/>
      </c>
      <c r="L31">
        <f>IFERROR((SUMIFS('AEO 2026 Table 23 '!O:O,'AEO 2026 Table 23 '!$B:$B,"*,"&amp;$A31&amp;",*")-SUMIFS('AEO 2026 Table 23 '!N:N,'AEO 2026 Table 23 '!$B:$B,"*,"&amp;$A31&amp;",*"))/SUMIFS('AEO 2026 Table 23 '!N:N,'AEO 2026 Table 23 '!$B:$B,"*,"&amp;$A31&amp;",*"),"")</f>
        <v/>
      </c>
      <c r="M31">
        <f>IFERROR((SUMIFS('AEO 2026 Table 23 '!P:P,'AEO 2026 Table 23 '!$B:$B,"*,"&amp;$A31&amp;",*")-SUMIFS('AEO 2026 Table 23 '!O:O,'AEO 2026 Table 23 '!$B:$B,"*,"&amp;$A31&amp;",*"))/SUMIFS('AEO 2026 Table 23 '!O:O,'AEO 2026 Table 23 '!$B:$B,"*,"&amp;$A31&amp;",*"),"")</f>
        <v/>
      </c>
      <c r="N31">
        <f>IFERROR((SUMIFS('AEO 2026 Table 23 '!Q:Q,'AEO 2026 Table 23 '!$B:$B,"*,"&amp;$A31&amp;",*")-SUMIFS('AEO 2026 Table 23 '!P:P,'AEO 2026 Table 23 '!$B:$B,"*,"&amp;$A31&amp;",*"))/SUMIFS('AEO 2026 Table 23 '!P:P,'AEO 2026 Table 23 '!$B:$B,"*,"&amp;$A31&amp;",*"),"")</f>
        <v/>
      </c>
      <c r="O31">
        <f>IFERROR((SUMIFS('AEO 2026 Table 23 '!R:R,'AEO 2026 Table 23 '!$B:$B,"*,"&amp;$A31&amp;",*")-SUMIFS('AEO 2026 Table 23 '!Q:Q,'AEO 2026 Table 23 '!$B:$B,"*,"&amp;$A31&amp;",*"))/SUMIFS('AEO 2026 Table 23 '!Q:Q,'AEO 2026 Table 23 '!$B:$B,"*,"&amp;$A31&amp;",*"),"")</f>
        <v/>
      </c>
      <c r="P31">
        <f>IFERROR((SUMIFS('AEO 2026 Table 23 '!S:S,'AEO 2026 Table 23 '!$B:$B,"*,"&amp;$A31&amp;",*")-SUMIFS('AEO 2026 Table 23 '!R:R,'AEO 2026 Table 23 '!$B:$B,"*,"&amp;$A31&amp;",*"))/SUMIFS('AEO 2026 Table 23 '!R:R,'AEO 2026 Table 23 '!$B:$B,"*,"&amp;$A31&amp;",*"),"")</f>
        <v/>
      </c>
      <c r="Q31">
        <f>IFERROR((SUMIFS('AEO 2026 Table 23 '!T:T,'AEO 2026 Table 23 '!$B:$B,"*,"&amp;$A31&amp;",*")-SUMIFS('AEO 2026 Table 23 '!S:S,'AEO 2026 Table 23 '!$B:$B,"*,"&amp;$A31&amp;",*"))/SUMIFS('AEO 2026 Table 23 '!S:S,'AEO 2026 Table 23 '!$B:$B,"*,"&amp;$A31&amp;",*"),"")</f>
        <v/>
      </c>
      <c r="R31">
        <f>IFERROR((SUMIFS('AEO 2026 Table 23 '!U:U,'AEO 2026 Table 23 '!$B:$B,"*,"&amp;$A31&amp;",*")-SUMIFS('AEO 2026 Table 23 '!T:T,'AEO 2026 Table 23 '!$B:$B,"*,"&amp;$A31&amp;",*"))/SUMIFS('AEO 2026 Table 23 '!T:T,'AEO 2026 Table 23 '!$B:$B,"*,"&amp;$A31&amp;",*"),"")</f>
        <v/>
      </c>
      <c r="S31">
        <f>IFERROR((SUMIFS('AEO 2026 Table 23 '!V:V,'AEO 2026 Table 23 '!$B:$B,"*,"&amp;$A31&amp;",*")-SUMIFS('AEO 2026 Table 23 '!U:U,'AEO 2026 Table 23 '!$B:$B,"*,"&amp;$A31&amp;",*"))/SUMIFS('AEO 2026 Table 23 '!U:U,'AEO 2026 Table 23 '!$B:$B,"*,"&amp;$A31&amp;",*"),"")</f>
        <v/>
      </c>
      <c r="T31">
        <f>IFERROR((SUMIFS('AEO 2026 Table 23 '!W:W,'AEO 2026 Table 23 '!$B:$B,"*,"&amp;$A31&amp;",*")-SUMIFS('AEO 2026 Table 23 '!V:V,'AEO 2026 Table 23 '!$B:$B,"*,"&amp;$A31&amp;",*"))/SUMIFS('AEO 2026 Table 23 '!V:V,'AEO 2026 Table 23 '!$B:$B,"*,"&amp;$A31&amp;",*"),"")</f>
        <v/>
      </c>
      <c r="U31">
        <f>IFERROR((SUMIFS('AEO 2026 Table 23 '!X:X,'AEO 2026 Table 23 '!$B:$B,"*,"&amp;$A31&amp;",*")-SUMIFS('AEO 2026 Table 23 '!W:W,'AEO 2026 Table 23 '!$B:$B,"*,"&amp;$A31&amp;",*"))/SUMIFS('AEO 2026 Table 23 '!W:W,'AEO 2026 Table 23 '!$B:$B,"*,"&amp;$A31&amp;",*"),"")</f>
        <v/>
      </c>
      <c r="V31">
        <f>IFERROR((SUMIFS('AEO 2026 Table 23 '!Y:Y,'AEO 2026 Table 23 '!$B:$B,"*,"&amp;$A31&amp;",*")-SUMIFS('AEO 2026 Table 23 '!X:X,'AEO 2026 Table 23 '!$B:$B,"*,"&amp;$A31&amp;",*"))/SUMIFS('AEO 2026 Table 23 '!X:X,'AEO 2026 Table 23 '!$B:$B,"*,"&amp;$A31&amp;",*"),"")</f>
        <v/>
      </c>
      <c r="W31">
        <f>IFERROR((SUMIFS('AEO 2026 Table 23 '!Z:Z,'AEO 2026 Table 23 '!$B:$B,"*,"&amp;$A31&amp;",*")-SUMIFS('AEO 2026 Table 23 '!Y:Y,'AEO 2026 Table 23 '!$B:$B,"*,"&amp;$A31&amp;",*"))/SUMIFS('AEO 2026 Table 23 '!Y:Y,'AEO 2026 Table 23 '!$B:$B,"*,"&amp;$A31&amp;",*"),"")</f>
        <v/>
      </c>
      <c r="X31">
        <f>IFERROR((SUMIFS('AEO 2026 Table 23 '!AA:AA,'AEO 2026 Table 23 '!$B:$B,"*,"&amp;$A31&amp;",*")-SUMIFS('AEO 2026 Table 23 '!Z:Z,'AEO 2026 Table 23 '!$B:$B,"*,"&amp;$A31&amp;",*"))/SUMIFS('AEO 2026 Table 23 '!Z:Z,'AEO 2026 Table 23 '!$B:$B,"*,"&amp;$A31&amp;",*"),"")</f>
        <v/>
      </c>
      <c r="Y31">
        <f>IFERROR((SUMIFS('AEO 2026 Table 23 '!AB:AB,'AEO 2026 Table 23 '!$B:$B,"*,"&amp;$A31&amp;",*")-SUMIFS('AEO 2026 Table 23 '!AA:AA,'AEO 2026 Table 23 '!$B:$B,"*,"&amp;$A31&amp;",*"))/SUMIFS('AEO 2026 Table 23 '!AA:AA,'AEO 2026 Table 23 '!$B:$B,"*,"&amp;$A31&amp;",*"),"")</f>
        <v/>
      </c>
      <c r="Z31">
        <f>IFERROR((SUMIFS('AEO 2026 Table 23 '!AC:AC,'AEO 2026 Table 23 '!$B:$B,"*,"&amp;$A31&amp;",*")-SUMIFS('AEO 2026 Table 23 '!AB:AB,'AEO 2026 Table 23 '!$B:$B,"*,"&amp;$A31&amp;",*"))/SUMIFS('AEO 2026 Table 23 '!AB:AB,'AEO 2026 Table 23 '!$B:$B,"*,"&amp;$A31&amp;",*"),"")</f>
        <v/>
      </c>
      <c r="AA31">
        <f>IFERROR((SUMIFS('AEO 2026 Table 23 '!AD:AD,'AEO 2026 Table 23 '!$B:$B,"*,"&amp;$A31&amp;",*")-SUMIFS('AEO 2026 Table 23 '!AC:AC,'AEO 2026 Table 23 '!$B:$B,"*,"&amp;$A31&amp;",*"))/SUMIFS('AEO 2026 Table 23 '!AC:AC,'AEO 2026 Table 23 '!$B:$B,"*,"&amp;$A31&amp;",*"),"")</f>
        <v/>
      </c>
      <c r="AB31">
        <f>IFERROR((SUMIFS('AEO 2026 Table 23 '!AE:AE,'AEO 2026 Table 23 '!$B:$B,"*,"&amp;$A31&amp;",*")-SUMIFS('AEO 2026 Table 23 '!AD:AD,'AEO 2026 Table 23 '!$B:$B,"*,"&amp;$A31&amp;",*"))/SUMIFS('AEO 2026 Table 23 '!AD:AD,'AEO 2026 Table 23 '!$B:$B,"*,"&amp;$A31&amp;",*"),"")</f>
        <v/>
      </c>
      <c r="AC31">
        <f>IFERROR((SUMIFS('AEO 2026 Table 23 '!AF:AF,'AEO 2026 Table 23 '!$B:$B,"*,"&amp;$A31&amp;",*")-SUMIFS('AEO 2026 Table 23 '!AE:AE,'AEO 2026 Table 23 '!$B:$B,"*,"&amp;$A31&amp;",*"))/SUMIFS('AEO 2026 Table 23 '!AE:AE,'AEO 2026 Table 23 '!$B:$B,"*,"&amp;$A31&amp;",*"),"")</f>
        <v/>
      </c>
    </row>
    <row r="32">
      <c r="A32" t="inlineStr">
        <is>
          <t>ISIC 351</t>
        </is>
      </c>
      <c r="B32">
        <f>IFERROR(SUMPRODUCT(--('BLS Table 2.11'!$L$1:$L$426=$A32),'BLS Table 2.11'!$J$1:$J$426,'BLS Table 2.11'!$K$1:$K$426)/SUMIFS('BLS Table 2.11'!$J$1:$J$426,'BLS Table 2.11'!$L$1:$L$426,$A32)/100,0)</f>
        <v/>
      </c>
      <c r="D32">
        <f>IFERROR((SUMIFS('AEO 2026 Table 23 '!G:G,'AEO 2026 Table 23 '!$B:$B,"*,"&amp;$A32&amp;",*")-SUMIFS('AEO25 Table 23'!H:H,'AEO25 Table 23'!$B:$B,"*,"&amp;$A32&amp;",*"))/SUMIFS('AEO25 Table 23'!H:H,'AEO25 Table 23'!$B:$B,"*,"&amp;$A32&amp;",*"),"")</f>
        <v/>
      </c>
      <c r="E32">
        <f>IFERROR((SUMIFS('AEO 2026 Table 23 '!H:H,'AEO 2026 Table 23 '!$B:$B,"*,"&amp;$A32&amp;",*")-SUMIFS('AEO 2026 Table 23 '!G:G,'AEO 2026 Table 23 '!$B:$B,"*,"&amp;$A32&amp;",*"))/SUMIFS('AEO 2026 Table 23 '!G:G,'AEO 2026 Table 23 '!$B:$B,"*,"&amp;$A32&amp;",*"),"")</f>
        <v/>
      </c>
      <c r="F32">
        <f>IFERROR((SUMIFS('AEO 2026 Table 23 '!I:I,'AEO 2026 Table 23 '!$B:$B,"*,"&amp;$A32&amp;",*")-SUMIFS('AEO 2026 Table 23 '!H:H,'AEO 2026 Table 23 '!$B:$B,"*,"&amp;$A32&amp;",*"))/SUMIFS('AEO 2026 Table 23 '!H:H,'AEO 2026 Table 23 '!$B:$B,"*,"&amp;$A32&amp;",*"),"")</f>
        <v/>
      </c>
      <c r="G32">
        <f>IFERROR((SUMIFS('AEO 2026 Table 23 '!J:J,'AEO 2026 Table 23 '!$B:$B,"*,"&amp;$A32&amp;",*")-SUMIFS('AEO 2026 Table 23 '!I:I,'AEO 2026 Table 23 '!$B:$B,"*,"&amp;$A32&amp;",*"))/SUMIFS('AEO 2026 Table 23 '!I:I,'AEO 2026 Table 23 '!$B:$B,"*,"&amp;$A32&amp;",*"),"")</f>
        <v/>
      </c>
      <c r="H32">
        <f>IFERROR((SUMIFS('AEO 2026 Table 23 '!K:K,'AEO 2026 Table 23 '!$B:$B,"*,"&amp;$A32&amp;",*")-SUMIFS('AEO 2026 Table 23 '!J:J,'AEO 2026 Table 23 '!$B:$B,"*,"&amp;$A32&amp;",*"))/SUMIFS('AEO 2026 Table 23 '!J:J,'AEO 2026 Table 23 '!$B:$B,"*,"&amp;$A32&amp;",*"),"")</f>
        <v/>
      </c>
      <c r="I32">
        <f>IFERROR((SUMIFS('AEO 2026 Table 23 '!L:L,'AEO 2026 Table 23 '!$B:$B,"*,"&amp;$A32&amp;",*")-SUMIFS('AEO 2026 Table 23 '!K:K,'AEO 2026 Table 23 '!$B:$B,"*,"&amp;$A32&amp;",*"))/SUMIFS('AEO 2026 Table 23 '!K:K,'AEO 2026 Table 23 '!$B:$B,"*,"&amp;$A32&amp;",*"),"")</f>
        <v/>
      </c>
      <c r="J32">
        <f>IFERROR((SUMIFS('AEO 2026 Table 23 '!M:M,'AEO 2026 Table 23 '!$B:$B,"*,"&amp;$A32&amp;",*")-SUMIFS('AEO 2026 Table 23 '!L:L,'AEO 2026 Table 23 '!$B:$B,"*,"&amp;$A32&amp;",*"))/SUMIFS('AEO 2026 Table 23 '!L:L,'AEO 2026 Table 23 '!$B:$B,"*,"&amp;$A32&amp;",*"),"")</f>
        <v/>
      </c>
      <c r="K32">
        <f>IFERROR((SUMIFS('AEO 2026 Table 23 '!N:N,'AEO 2026 Table 23 '!$B:$B,"*,"&amp;$A32&amp;",*")-SUMIFS('AEO 2026 Table 23 '!M:M,'AEO 2026 Table 23 '!$B:$B,"*,"&amp;$A32&amp;",*"))/SUMIFS('AEO 2026 Table 23 '!M:M,'AEO 2026 Table 23 '!$B:$B,"*,"&amp;$A32&amp;",*"),"")</f>
        <v/>
      </c>
      <c r="L32">
        <f>IFERROR((SUMIFS('AEO 2026 Table 23 '!O:O,'AEO 2026 Table 23 '!$B:$B,"*,"&amp;$A32&amp;",*")-SUMIFS('AEO 2026 Table 23 '!N:N,'AEO 2026 Table 23 '!$B:$B,"*,"&amp;$A32&amp;",*"))/SUMIFS('AEO 2026 Table 23 '!N:N,'AEO 2026 Table 23 '!$B:$B,"*,"&amp;$A32&amp;",*"),"")</f>
        <v/>
      </c>
      <c r="M32">
        <f>IFERROR((SUMIFS('AEO 2026 Table 23 '!P:P,'AEO 2026 Table 23 '!$B:$B,"*,"&amp;$A32&amp;",*")-SUMIFS('AEO 2026 Table 23 '!O:O,'AEO 2026 Table 23 '!$B:$B,"*,"&amp;$A32&amp;",*"))/SUMIFS('AEO 2026 Table 23 '!O:O,'AEO 2026 Table 23 '!$B:$B,"*,"&amp;$A32&amp;",*"),"")</f>
        <v/>
      </c>
      <c r="N32">
        <f>IFERROR((SUMIFS('AEO 2026 Table 23 '!Q:Q,'AEO 2026 Table 23 '!$B:$B,"*,"&amp;$A32&amp;",*")-SUMIFS('AEO 2026 Table 23 '!P:P,'AEO 2026 Table 23 '!$B:$B,"*,"&amp;$A32&amp;",*"))/SUMIFS('AEO 2026 Table 23 '!P:P,'AEO 2026 Table 23 '!$B:$B,"*,"&amp;$A32&amp;",*"),"")</f>
        <v/>
      </c>
      <c r="O32">
        <f>IFERROR((SUMIFS('AEO 2026 Table 23 '!R:R,'AEO 2026 Table 23 '!$B:$B,"*,"&amp;$A32&amp;",*")-SUMIFS('AEO 2026 Table 23 '!Q:Q,'AEO 2026 Table 23 '!$B:$B,"*,"&amp;$A32&amp;",*"))/SUMIFS('AEO 2026 Table 23 '!Q:Q,'AEO 2026 Table 23 '!$B:$B,"*,"&amp;$A32&amp;",*"),"")</f>
        <v/>
      </c>
      <c r="P32">
        <f>IFERROR((SUMIFS('AEO 2026 Table 23 '!S:S,'AEO 2026 Table 23 '!$B:$B,"*,"&amp;$A32&amp;",*")-SUMIFS('AEO 2026 Table 23 '!R:R,'AEO 2026 Table 23 '!$B:$B,"*,"&amp;$A32&amp;",*"))/SUMIFS('AEO 2026 Table 23 '!R:R,'AEO 2026 Table 23 '!$B:$B,"*,"&amp;$A32&amp;",*"),"")</f>
        <v/>
      </c>
      <c r="Q32">
        <f>IFERROR((SUMIFS('AEO 2026 Table 23 '!T:T,'AEO 2026 Table 23 '!$B:$B,"*,"&amp;$A32&amp;",*")-SUMIFS('AEO 2026 Table 23 '!S:S,'AEO 2026 Table 23 '!$B:$B,"*,"&amp;$A32&amp;",*"))/SUMIFS('AEO 2026 Table 23 '!S:S,'AEO 2026 Table 23 '!$B:$B,"*,"&amp;$A32&amp;",*"),"")</f>
        <v/>
      </c>
      <c r="R32">
        <f>IFERROR((SUMIFS('AEO 2026 Table 23 '!U:U,'AEO 2026 Table 23 '!$B:$B,"*,"&amp;$A32&amp;",*")-SUMIFS('AEO 2026 Table 23 '!T:T,'AEO 2026 Table 23 '!$B:$B,"*,"&amp;$A32&amp;",*"))/SUMIFS('AEO 2026 Table 23 '!T:T,'AEO 2026 Table 23 '!$B:$B,"*,"&amp;$A32&amp;",*"),"")</f>
        <v/>
      </c>
      <c r="S32">
        <f>IFERROR((SUMIFS('AEO 2026 Table 23 '!V:V,'AEO 2026 Table 23 '!$B:$B,"*,"&amp;$A32&amp;",*")-SUMIFS('AEO 2026 Table 23 '!U:U,'AEO 2026 Table 23 '!$B:$B,"*,"&amp;$A32&amp;",*"))/SUMIFS('AEO 2026 Table 23 '!U:U,'AEO 2026 Table 23 '!$B:$B,"*,"&amp;$A32&amp;",*"),"")</f>
        <v/>
      </c>
      <c r="T32">
        <f>IFERROR((SUMIFS('AEO 2026 Table 23 '!W:W,'AEO 2026 Table 23 '!$B:$B,"*,"&amp;$A32&amp;",*")-SUMIFS('AEO 2026 Table 23 '!V:V,'AEO 2026 Table 23 '!$B:$B,"*,"&amp;$A32&amp;",*"))/SUMIFS('AEO 2026 Table 23 '!V:V,'AEO 2026 Table 23 '!$B:$B,"*,"&amp;$A32&amp;",*"),"")</f>
        <v/>
      </c>
      <c r="U32">
        <f>IFERROR((SUMIFS('AEO 2026 Table 23 '!X:X,'AEO 2026 Table 23 '!$B:$B,"*,"&amp;$A32&amp;",*")-SUMIFS('AEO 2026 Table 23 '!W:W,'AEO 2026 Table 23 '!$B:$B,"*,"&amp;$A32&amp;",*"))/SUMIFS('AEO 2026 Table 23 '!W:W,'AEO 2026 Table 23 '!$B:$B,"*,"&amp;$A32&amp;",*"),"")</f>
        <v/>
      </c>
      <c r="V32">
        <f>IFERROR((SUMIFS('AEO 2026 Table 23 '!Y:Y,'AEO 2026 Table 23 '!$B:$B,"*,"&amp;$A32&amp;",*")-SUMIFS('AEO 2026 Table 23 '!X:X,'AEO 2026 Table 23 '!$B:$B,"*,"&amp;$A32&amp;",*"))/SUMIFS('AEO 2026 Table 23 '!X:X,'AEO 2026 Table 23 '!$B:$B,"*,"&amp;$A32&amp;",*"),"")</f>
        <v/>
      </c>
      <c r="W32">
        <f>IFERROR((SUMIFS('AEO 2026 Table 23 '!Z:Z,'AEO 2026 Table 23 '!$B:$B,"*,"&amp;$A32&amp;",*")-SUMIFS('AEO 2026 Table 23 '!Y:Y,'AEO 2026 Table 23 '!$B:$B,"*,"&amp;$A32&amp;",*"))/SUMIFS('AEO 2026 Table 23 '!Y:Y,'AEO 2026 Table 23 '!$B:$B,"*,"&amp;$A32&amp;",*"),"")</f>
        <v/>
      </c>
      <c r="X32">
        <f>IFERROR((SUMIFS('AEO 2026 Table 23 '!AA:AA,'AEO 2026 Table 23 '!$B:$B,"*,"&amp;$A32&amp;",*")-SUMIFS('AEO 2026 Table 23 '!Z:Z,'AEO 2026 Table 23 '!$B:$B,"*,"&amp;$A32&amp;",*"))/SUMIFS('AEO 2026 Table 23 '!Z:Z,'AEO 2026 Table 23 '!$B:$B,"*,"&amp;$A32&amp;",*"),"")</f>
        <v/>
      </c>
      <c r="Y32">
        <f>IFERROR((SUMIFS('AEO 2026 Table 23 '!AB:AB,'AEO 2026 Table 23 '!$B:$B,"*,"&amp;$A32&amp;",*")-SUMIFS('AEO 2026 Table 23 '!AA:AA,'AEO 2026 Table 23 '!$B:$B,"*,"&amp;$A32&amp;",*"))/SUMIFS('AEO 2026 Table 23 '!AA:AA,'AEO 2026 Table 23 '!$B:$B,"*,"&amp;$A32&amp;",*"),"")</f>
        <v/>
      </c>
      <c r="Z32">
        <f>IFERROR((SUMIFS('AEO 2026 Table 23 '!AC:AC,'AEO 2026 Table 23 '!$B:$B,"*,"&amp;$A32&amp;",*")-SUMIFS('AEO 2026 Table 23 '!AB:AB,'AEO 2026 Table 23 '!$B:$B,"*,"&amp;$A32&amp;",*"))/SUMIFS('AEO 2026 Table 23 '!AB:AB,'AEO 2026 Table 23 '!$B:$B,"*,"&amp;$A32&amp;",*"),"")</f>
        <v/>
      </c>
      <c r="AA32">
        <f>IFERROR((SUMIFS('AEO 2026 Table 23 '!AD:AD,'AEO 2026 Table 23 '!$B:$B,"*,"&amp;$A32&amp;",*")-SUMIFS('AEO 2026 Table 23 '!AC:AC,'AEO 2026 Table 23 '!$B:$B,"*,"&amp;$A32&amp;",*"))/SUMIFS('AEO 2026 Table 23 '!AC:AC,'AEO 2026 Table 23 '!$B:$B,"*,"&amp;$A32&amp;",*"),"")</f>
        <v/>
      </c>
      <c r="AB32">
        <f>IFERROR((SUMIFS('AEO 2026 Table 23 '!AE:AE,'AEO 2026 Table 23 '!$B:$B,"*,"&amp;$A32&amp;",*")-SUMIFS('AEO 2026 Table 23 '!AD:AD,'AEO 2026 Table 23 '!$B:$B,"*,"&amp;$A32&amp;",*"))/SUMIFS('AEO 2026 Table 23 '!AD:AD,'AEO 2026 Table 23 '!$B:$B,"*,"&amp;$A32&amp;",*"),"")</f>
        <v/>
      </c>
      <c r="AC32">
        <f>IFERROR((SUMIFS('AEO 2026 Table 23 '!AF:AF,'AEO 2026 Table 23 '!$B:$B,"*,"&amp;$A32&amp;",*")-SUMIFS('AEO 2026 Table 23 '!AE:AE,'AEO 2026 Table 23 '!$B:$B,"*,"&amp;$A32&amp;",*"))/SUMIFS('AEO 2026 Table 23 '!AE:AE,'AEO 2026 Table 23 '!$B:$B,"*,"&amp;$A32&amp;",*"),"")</f>
        <v/>
      </c>
    </row>
    <row r="33">
      <c r="A33" t="inlineStr">
        <is>
          <t>ISIC 352T353</t>
        </is>
      </c>
      <c r="B33">
        <f>IFERROR(SUMPRODUCT(--('BLS Table 2.11'!$L$1:$L$426=$A33),'BLS Table 2.11'!$J$1:$J$426,'BLS Table 2.11'!$K$1:$K$426)/SUMIFS('BLS Table 2.11'!$J$1:$J$426,'BLS Table 2.11'!$L$1:$L$426,$A33)/100,0)</f>
        <v/>
      </c>
      <c r="D33">
        <f>IFERROR((SUMIFS('AEO 2026 Table 23 '!G:G,'AEO 2026 Table 23 '!$B:$B,"*,"&amp;$A33&amp;",*")-SUMIFS('AEO25 Table 23'!H:H,'AEO25 Table 23'!$B:$B,"*,"&amp;$A33&amp;",*"))/SUMIFS('AEO25 Table 23'!H:H,'AEO25 Table 23'!$B:$B,"*,"&amp;$A33&amp;",*"),"")</f>
        <v/>
      </c>
      <c r="E33">
        <f>IFERROR((SUMIFS('AEO 2026 Table 23 '!H:H,'AEO 2026 Table 23 '!$B:$B,"*,"&amp;$A33&amp;",*")-SUMIFS('AEO 2026 Table 23 '!G:G,'AEO 2026 Table 23 '!$B:$B,"*,"&amp;$A33&amp;",*"))/SUMIFS('AEO 2026 Table 23 '!G:G,'AEO 2026 Table 23 '!$B:$B,"*,"&amp;$A33&amp;",*"),"")</f>
        <v/>
      </c>
      <c r="F33">
        <f>IFERROR((SUMIFS('AEO 2026 Table 23 '!I:I,'AEO 2026 Table 23 '!$B:$B,"*,"&amp;$A33&amp;",*")-SUMIFS('AEO 2026 Table 23 '!H:H,'AEO 2026 Table 23 '!$B:$B,"*,"&amp;$A33&amp;",*"))/SUMIFS('AEO 2026 Table 23 '!H:H,'AEO 2026 Table 23 '!$B:$B,"*,"&amp;$A33&amp;",*"),"")</f>
        <v/>
      </c>
      <c r="G33">
        <f>IFERROR((SUMIFS('AEO 2026 Table 23 '!J:J,'AEO 2026 Table 23 '!$B:$B,"*,"&amp;$A33&amp;",*")-SUMIFS('AEO 2026 Table 23 '!I:I,'AEO 2026 Table 23 '!$B:$B,"*,"&amp;$A33&amp;",*"))/SUMIFS('AEO 2026 Table 23 '!I:I,'AEO 2026 Table 23 '!$B:$B,"*,"&amp;$A33&amp;",*"),"")</f>
        <v/>
      </c>
      <c r="H33">
        <f>IFERROR((SUMIFS('AEO 2026 Table 23 '!K:K,'AEO 2026 Table 23 '!$B:$B,"*,"&amp;$A33&amp;",*")-SUMIFS('AEO 2026 Table 23 '!J:J,'AEO 2026 Table 23 '!$B:$B,"*,"&amp;$A33&amp;",*"))/SUMIFS('AEO 2026 Table 23 '!J:J,'AEO 2026 Table 23 '!$B:$B,"*,"&amp;$A33&amp;",*"),"")</f>
        <v/>
      </c>
      <c r="I33">
        <f>IFERROR((SUMIFS('AEO 2026 Table 23 '!L:L,'AEO 2026 Table 23 '!$B:$B,"*,"&amp;$A33&amp;",*")-SUMIFS('AEO 2026 Table 23 '!K:K,'AEO 2026 Table 23 '!$B:$B,"*,"&amp;$A33&amp;",*"))/SUMIFS('AEO 2026 Table 23 '!K:K,'AEO 2026 Table 23 '!$B:$B,"*,"&amp;$A33&amp;",*"),"")</f>
        <v/>
      </c>
      <c r="J33">
        <f>IFERROR((SUMIFS('AEO 2026 Table 23 '!M:M,'AEO 2026 Table 23 '!$B:$B,"*,"&amp;$A33&amp;",*")-SUMIFS('AEO 2026 Table 23 '!L:L,'AEO 2026 Table 23 '!$B:$B,"*,"&amp;$A33&amp;",*"))/SUMIFS('AEO 2026 Table 23 '!L:L,'AEO 2026 Table 23 '!$B:$B,"*,"&amp;$A33&amp;",*"),"")</f>
        <v/>
      </c>
      <c r="K33">
        <f>IFERROR((SUMIFS('AEO 2026 Table 23 '!N:N,'AEO 2026 Table 23 '!$B:$B,"*,"&amp;$A33&amp;",*")-SUMIFS('AEO 2026 Table 23 '!M:M,'AEO 2026 Table 23 '!$B:$B,"*,"&amp;$A33&amp;",*"))/SUMIFS('AEO 2026 Table 23 '!M:M,'AEO 2026 Table 23 '!$B:$B,"*,"&amp;$A33&amp;",*"),"")</f>
        <v/>
      </c>
      <c r="L33">
        <f>IFERROR((SUMIFS('AEO 2026 Table 23 '!O:O,'AEO 2026 Table 23 '!$B:$B,"*,"&amp;$A33&amp;",*")-SUMIFS('AEO 2026 Table 23 '!N:N,'AEO 2026 Table 23 '!$B:$B,"*,"&amp;$A33&amp;",*"))/SUMIFS('AEO 2026 Table 23 '!N:N,'AEO 2026 Table 23 '!$B:$B,"*,"&amp;$A33&amp;",*"),"")</f>
        <v/>
      </c>
      <c r="M33">
        <f>IFERROR((SUMIFS('AEO 2026 Table 23 '!P:P,'AEO 2026 Table 23 '!$B:$B,"*,"&amp;$A33&amp;",*")-SUMIFS('AEO 2026 Table 23 '!O:O,'AEO 2026 Table 23 '!$B:$B,"*,"&amp;$A33&amp;",*"))/SUMIFS('AEO 2026 Table 23 '!O:O,'AEO 2026 Table 23 '!$B:$B,"*,"&amp;$A33&amp;",*"),"")</f>
        <v/>
      </c>
      <c r="N33">
        <f>IFERROR((SUMIFS('AEO 2026 Table 23 '!Q:Q,'AEO 2026 Table 23 '!$B:$B,"*,"&amp;$A33&amp;",*")-SUMIFS('AEO 2026 Table 23 '!P:P,'AEO 2026 Table 23 '!$B:$B,"*,"&amp;$A33&amp;",*"))/SUMIFS('AEO 2026 Table 23 '!P:P,'AEO 2026 Table 23 '!$B:$B,"*,"&amp;$A33&amp;",*"),"")</f>
        <v/>
      </c>
      <c r="O33">
        <f>IFERROR((SUMIFS('AEO 2026 Table 23 '!R:R,'AEO 2026 Table 23 '!$B:$B,"*,"&amp;$A33&amp;",*")-SUMIFS('AEO 2026 Table 23 '!Q:Q,'AEO 2026 Table 23 '!$B:$B,"*,"&amp;$A33&amp;",*"))/SUMIFS('AEO 2026 Table 23 '!Q:Q,'AEO 2026 Table 23 '!$B:$B,"*,"&amp;$A33&amp;",*"),"")</f>
        <v/>
      </c>
      <c r="P33">
        <f>IFERROR((SUMIFS('AEO 2026 Table 23 '!S:S,'AEO 2026 Table 23 '!$B:$B,"*,"&amp;$A33&amp;",*")-SUMIFS('AEO 2026 Table 23 '!R:R,'AEO 2026 Table 23 '!$B:$B,"*,"&amp;$A33&amp;",*"))/SUMIFS('AEO 2026 Table 23 '!R:R,'AEO 2026 Table 23 '!$B:$B,"*,"&amp;$A33&amp;",*"),"")</f>
        <v/>
      </c>
      <c r="Q33">
        <f>IFERROR((SUMIFS('AEO 2026 Table 23 '!T:T,'AEO 2026 Table 23 '!$B:$B,"*,"&amp;$A33&amp;",*")-SUMIFS('AEO 2026 Table 23 '!S:S,'AEO 2026 Table 23 '!$B:$B,"*,"&amp;$A33&amp;",*"))/SUMIFS('AEO 2026 Table 23 '!S:S,'AEO 2026 Table 23 '!$B:$B,"*,"&amp;$A33&amp;",*"),"")</f>
        <v/>
      </c>
      <c r="R33">
        <f>IFERROR((SUMIFS('AEO 2026 Table 23 '!U:U,'AEO 2026 Table 23 '!$B:$B,"*,"&amp;$A33&amp;",*")-SUMIFS('AEO 2026 Table 23 '!T:T,'AEO 2026 Table 23 '!$B:$B,"*,"&amp;$A33&amp;",*"))/SUMIFS('AEO 2026 Table 23 '!T:T,'AEO 2026 Table 23 '!$B:$B,"*,"&amp;$A33&amp;",*"),"")</f>
        <v/>
      </c>
      <c r="S33">
        <f>IFERROR((SUMIFS('AEO 2026 Table 23 '!V:V,'AEO 2026 Table 23 '!$B:$B,"*,"&amp;$A33&amp;",*")-SUMIFS('AEO 2026 Table 23 '!U:U,'AEO 2026 Table 23 '!$B:$B,"*,"&amp;$A33&amp;",*"))/SUMIFS('AEO 2026 Table 23 '!U:U,'AEO 2026 Table 23 '!$B:$B,"*,"&amp;$A33&amp;",*"),"")</f>
        <v/>
      </c>
      <c r="T33">
        <f>IFERROR((SUMIFS('AEO 2026 Table 23 '!W:W,'AEO 2026 Table 23 '!$B:$B,"*,"&amp;$A33&amp;",*")-SUMIFS('AEO 2026 Table 23 '!V:V,'AEO 2026 Table 23 '!$B:$B,"*,"&amp;$A33&amp;",*"))/SUMIFS('AEO 2026 Table 23 '!V:V,'AEO 2026 Table 23 '!$B:$B,"*,"&amp;$A33&amp;",*"),"")</f>
        <v/>
      </c>
      <c r="U33">
        <f>IFERROR((SUMIFS('AEO 2026 Table 23 '!X:X,'AEO 2026 Table 23 '!$B:$B,"*,"&amp;$A33&amp;",*")-SUMIFS('AEO 2026 Table 23 '!W:W,'AEO 2026 Table 23 '!$B:$B,"*,"&amp;$A33&amp;",*"))/SUMIFS('AEO 2026 Table 23 '!W:W,'AEO 2026 Table 23 '!$B:$B,"*,"&amp;$A33&amp;",*"),"")</f>
        <v/>
      </c>
      <c r="V33">
        <f>IFERROR((SUMIFS('AEO 2026 Table 23 '!Y:Y,'AEO 2026 Table 23 '!$B:$B,"*,"&amp;$A33&amp;",*")-SUMIFS('AEO 2026 Table 23 '!X:X,'AEO 2026 Table 23 '!$B:$B,"*,"&amp;$A33&amp;",*"))/SUMIFS('AEO 2026 Table 23 '!X:X,'AEO 2026 Table 23 '!$B:$B,"*,"&amp;$A33&amp;",*"),"")</f>
        <v/>
      </c>
      <c r="W33">
        <f>IFERROR((SUMIFS('AEO 2026 Table 23 '!Z:Z,'AEO 2026 Table 23 '!$B:$B,"*,"&amp;$A33&amp;",*")-SUMIFS('AEO 2026 Table 23 '!Y:Y,'AEO 2026 Table 23 '!$B:$B,"*,"&amp;$A33&amp;",*"))/SUMIFS('AEO 2026 Table 23 '!Y:Y,'AEO 2026 Table 23 '!$B:$B,"*,"&amp;$A33&amp;",*"),"")</f>
        <v/>
      </c>
      <c r="X33">
        <f>IFERROR((SUMIFS('AEO 2026 Table 23 '!AA:AA,'AEO 2026 Table 23 '!$B:$B,"*,"&amp;$A33&amp;",*")-SUMIFS('AEO 2026 Table 23 '!Z:Z,'AEO 2026 Table 23 '!$B:$B,"*,"&amp;$A33&amp;",*"))/SUMIFS('AEO 2026 Table 23 '!Z:Z,'AEO 2026 Table 23 '!$B:$B,"*,"&amp;$A33&amp;",*"),"")</f>
        <v/>
      </c>
      <c r="Y33">
        <f>IFERROR((SUMIFS('AEO 2026 Table 23 '!AB:AB,'AEO 2026 Table 23 '!$B:$B,"*,"&amp;$A33&amp;",*")-SUMIFS('AEO 2026 Table 23 '!AA:AA,'AEO 2026 Table 23 '!$B:$B,"*,"&amp;$A33&amp;",*"))/SUMIFS('AEO 2026 Table 23 '!AA:AA,'AEO 2026 Table 23 '!$B:$B,"*,"&amp;$A33&amp;",*"),"")</f>
        <v/>
      </c>
      <c r="Z33">
        <f>IFERROR((SUMIFS('AEO 2026 Table 23 '!AC:AC,'AEO 2026 Table 23 '!$B:$B,"*,"&amp;$A33&amp;",*")-SUMIFS('AEO 2026 Table 23 '!AB:AB,'AEO 2026 Table 23 '!$B:$B,"*,"&amp;$A33&amp;",*"))/SUMIFS('AEO 2026 Table 23 '!AB:AB,'AEO 2026 Table 23 '!$B:$B,"*,"&amp;$A33&amp;",*"),"")</f>
        <v/>
      </c>
      <c r="AA33">
        <f>IFERROR((SUMIFS('AEO 2026 Table 23 '!AD:AD,'AEO 2026 Table 23 '!$B:$B,"*,"&amp;$A33&amp;",*")-SUMIFS('AEO 2026 Table 23 '!AC:AC,'AEO 2026 Table 23 '!$B:$B,"*,"&amp;$A33&amp;",*"))/SUMIFS('AEO 2026 Table 23 '!AC:AC,'AEO 2026 Table 23 '!$B:$B,"*,"&amp;$A33&amp;",*"),"")</f>
        <v/>
      </c>
      <c r="AB33">
        <f>IFERROR((SUMIFS('AEO 2026 Table 23 '!AE:AE,'AEO 2026 Table 23 '!$B:$B,"*,"&amp;$A33&amp;",*")-SUMIFS('AEO 2026 Table 23 '!AD:AD,'AEO 2026 Table 23 '!$B:$B,"*,"&amp;$A33&amp;",*"))/SUMIFS('AEO 2026 Table 23 '!AD:AD,'AEO 2026 Table 23 '!$B:$B,"*,"&amp;$A33&amp;",*"),"")</f>
        <v/>
      </c>
      <c r="AC33">
        <f>IFERROR((SUMIFS('AEO 2026 Table 23 '!AF:AF,'AEO 2026 Table 23 '!$B:$B,"*,"&amp;$A33&amp;",*")-SUMIFS('AEO 2026 Table 23 '!AE:AE,'AEO 2026 Table 23 '!$B:$B,"*,"&amp;$A33&amp;",*"))/SUMIFS('AEO 2026 Table 23 '!AE:AE,'AEO 2026 Table 23 '!$B:$B,"*,"&amp;$A33&amp;",*"),"")</f>
        <v/>
      </c>
    </row>
    <row r="34">
      <c r="A34" t="inlineStr">
        <is>
          <t>ISIC 36T39</t>
        </is>
      </c>
      <c r="B34">
        <f>IFERROR(SUMPRODUCT(--('BLS Table 2.11'!$L$1:$L$426=$A34),'BLS Table 2.11'!$J$1:$J$426,'BLS Table 2.11'!$K$1:$K$426)/SUMIFS('BLS Table 2.11'!$J$1:$J$426,'BLS Table 2.11'!$L$1:$L$426,$A34)/100,0)</f>
        <v/>
      </c>
      <c r="D34">
        <f>IFERROR((SUMIFS('AEO 2026 Table 23 '!G:G,'AEO 2026 Table 23 '!$B:$B,"*,"&amp;$A34&amp;",*")-SUMIFS('AEO25 Table 23'!H:H,'AEO25 Table 23'!$B:$B,"*,"&amp;$A34&amp;",*"))/SUMIFS('AEO25 Table 23'!H:H,'AEO25 Table 23'!$B:$B,"*,"&amp;$A34&amp;",*"),"")</f>
        <v/>
      </c>
      <c r="E34">
        <f>IFERROR((SUMIFS('AEO 2026 Table 23 '!H:H,'AEO 2026 Table 23 '!$B:$B,"*,"&amp;$A34&amp;",*")-SUMIFS('AEO 2026 Table 23 '!G:G,'AEO 2026 Table 23 '!$B:$B,"*,"&amp;$A34&amp;",*"))/SUMIFS('AEO 2026 Table 23 '!G:G,'AEO 2026 Table 23 '!$B:$B,"*,"&amp;$A34&amp;",*"),"")</f>
        <v/>
      </c>
      <c r="F34">
        <f>IFERROR((SUMIFS('AEO 2026 Table 23 '!I:I,'AEO 2026 Table 23 '!$B:$B,"*,"&amp;$A34&amp;",*")-SUMIFS('AEO 2026 Table 23 '!H:H,'AEO 2026 Table 23 '!$B:$B,"*,"&amp;$A34&amp;",*"))/SUMIFS('AEO 2026 Table 23 '!H:H,'AEO 2026 Table 23 '!$B:$B,"*,"&amp;$A34&amp;",*"),"")</f>
        <v/>
      </c>
      <c r="G34">
        <f>IFERROR((SUMIFS('AEO 2026 Table 23 '!J:J,'AEO 2026 Table 23 '!$B:$B,"*,"&amp;$A34&amp;",*")-SUMIFS('AEO 2026 Table 23 '!I:I,'AEO 2026 Table 23 '!$B:$B,"*,"&amp;$A34&amp;",*"))/SUMIFS('AEO 2026 Table 23 '!I:I,'AEO 2026 Table 23 '!$B:$B,"*,"&amp;$A34&amp;",*"),"")</f>
        <v/>
      </c>
      <c r="H34">
        <f>IFERROR((SUMIFS('AEO 2026 Table 23 '!K:K,'AEO 2026 Table 23 '!$B:$B,"*,"&amp;$A34&amp;",*")-SUMIFS('AEO 2026 Table 23 '!J:J,'AEO 2026 Table 23 '!$B:$B,"*,"&amp;$A34&amp;",*"))/SUMIFS('AEO 2026 Table 23 '!J:J,'AEO 2026 Table 23 '!$B:$B,"*,"&amp;$A34&amp;",*"),"")</f>
        <v/>
      </c>
      <c r="I34">
        <f>IFERROR((SUMIFS('AEO 2026 Table 23 '!L:L,'AEO 2026 Table 23 '!$B:$B,"*,"&amp;$A34&amp;",*")-SUMIFS('AEO 2026 Table 23 '!K:K,'AEO 2026 Table 23 '!$B:$B,"*,"&amp;$A34&amp;",*"))/SUMIFS('AEO 2026 Table 23 '!K:K,'AEO 2026 Table 23 '!$B:$B,"*,"&amp;$A34&amp;",*"),"")</f>
        <v/>
      </c>
      <c r="J34">
        <f>IFERROR((SUMIFS('AEO 2026 Table 23 '!M:M,'AEO 2026 Table 23 '!$B:$B,"*,"&amp;$A34&amp;",*")-SUMIFS('AEO 2026 Table 23 '!L:L,'AEO 2026 Table 23 '!$B:$B,"*,"&amp;$A34&amp;",*"))/SUMIFS('AEO 2026 Table 23 '!L:L,'AEO 2026 Table 23 '!$B:$B,"*,"&amp;$A34&amp;",*"),"")</f>
        <v/>
      </c>
      <c r="K34">
        <f>IFERROR((SUMIFS('AEO 2026 Table 23 '!N:N,'AEO 2026 Table 23 '!$B:$B,"*,"&amp;$A34&amp;",*")-SUMIFS('AEO 2026 Table 23 '!M:M,'AEO 2026 Table 23 '!$B:$B,"*,"&amp;$A34&amp;",*"))/SUMIFS('AEO 2026 Table 23 '!M:M,'AEO 2026 Table 23 '!$B:$B,"*,"&amp;$A34&amp;",*"),"")</f>
        <v/>
      </c>
      <c r="L34">
        <f>IFERROR((SUMIFS('AEO 2026 Table 23 '!O:O,'AEO 2026 Table 23 '!$B:$B,"*,"&amp;$A34&amp;",*")-SUMIFS('AEO 2026 Table 23 '!N:N,'AEO 2026 Table 23 '!$B:$B,"*,"&amp;$A34&amp;",*"))/SUMIFS('AEO 2026 Table 23 '!N:N,'AEO 2026 Table 23 '!$B:$B,"*,"&amp;$A34&amp;",*"),"")</f>
        <v/>
      </c>
      <c r="M34">
        <f>IFERROR((SUMIFS('AEO 2026 Table 23 '!P:P,'AEO 2026 Table 23 '!$B:$B,"*,"&amp;$A34&amp;",*")-SUMIFS('AEO 2026 Table 23 '!O:O,'AEO 2026 Table 23 '!$B:$B,"*,"&amp;$A34&amp;",*"))/SUMIFS('AEO 2026 Table 23 '!O:O,'AEO 2026 Table 23 '!$B:$B,"*,"&amp;$A34&amp;",*"),"")</f>
        <v/>
      </c>
      <c r="N34">
        <f>IFERROR((SUMIFS('AEO 2026 Table 23 '!Q:Q,'AEO 2026 Table 23 '!$B:$B,"*,"&amp;$A34&amp;",*")-SUMIFS('AEO 2026 Table 23 '!P:P,'AEO 2026 Table 23 '!$B:$B,"*,"&amp;$A34&amp;",*"))/SUMIFS('AEO 2026 Table 23 '!P:P,'AEO 2026 Table 23 '!$B:$B,"*,"&amp;$A34&amp;",*"),"")</f>
        <v/>
      </c>
      <c r="O34">
        <f>IFERROR((SUMIFS('AEO 2026 Table 23 '!R:R,'AEO 2026 Table 23 '!$B:$B,"*,"&amp;$A34&amp;",*")-SUMIFS('AEO 2026 Table 23 '!Q:Q,'AEO 2026 Table 23 '!$B:$B,"*,"&amp;$A34&amp;",*"))/SUMIFS('AEO 2026 Table 23 '!Q:Q,'AEO 2026 Table 23 '!$B:$B,"*,"&amp;$A34&amp;",*"),"")</f>
        <v/>
      </c>
      <c r="P34">
        <f>IFERROR((SUMIFS('AEO 2026 Table 23 '!S:S,'AEO 2026 Table 23 '!$B:$B,"*,"&amp;$A34&amp;",*")-SUMIFS('AEO 2026 Table 23 '!R:R,'AEO 2026 Table 23 '!$B:$B,"*,"&amp;$A34&amp;",*"))/SUMIFS('AEO 2026 Table 23 '!R:R,'AEO 2026 Table 23 '!$B:$B,"*,"&amp;$A34&amp;",*"),"")</f>
        <v/>
      </c>
      <c r="Q34">
        <f>IFERROR((SUMIFS('AEO 2026 Table 23 '!T:T,'AEO 2026 Table 23 '!$B:$B,"*,"&amp;$A34&amp;",*")-SUMIFS('AEO 2026 Table 23 '!S:S,'AEO 2026 Table 23 '!$B:$B,"*,"&amp;$A34&amp;",*"))/SUMIFS('AEO 2026 Table 23 '!S:S,'AEO 2026 Table 23 '!$B:$B,"*,"&amp;$A34&amp;",*"),"")</f>
        <v/>
      </c>
      <c r="R34">
        <f>IFERROR((SUMIFS('AEO 2026 Table 23 '!U:U,'AEO 2026 Table 23 '!$B:$B,"*,"&amp;$A34&amp;",*")-SUMIFS('AEO 2026 Table 23 '!T:T,'AEO 2026 Table 23 '!$B:$B,"*,"&amp;$A34&amp;",*"))/SUMIFS('AEO 2026 Table 23 '!T:T,'AEO 2026 Table 23 '!$B:$B,"*,"&amp;$A34&amp;",*"),"")</f>
        <v/>
      </c>
      <c r="S34">
        <f>IFERROR((SUMIFS('AEO 2026 Table 23 '!V:V,'AEO 2026 Table 23 '!$B:$B,"*,"&amp;$A34&amp;",*")-SUMIFS('AEO 2026 Table 23 '!U:U,'AEO 2026 Table 23 '!$B:$B,"*,"&amp;$A34&amp;",*"))/SUMIFS('AEO 2026 Table 23 '!U:U,'AEO 2026 Table 23 '!$B:$B,"*,"&amp;$A34&amp;",*"),"")</f>
        <v/>
      </c>
      <c r="T34">
        <f>IFERROR((SUMIFS('AEO 2026 Table 23 '!W:W,'AEO 2026 Table 23 '!$B:$B,"*,"&amp;$A34&amp;",*")-SUMIFS('AEO 2026 Table 23 '!V:V,'AEO 2026 Table 23 '!$B:$B,"*,"&amp;$A34&amp;",*"))/SUMIFS('AEO 2026 Table 23 '!V:V,'AEO 2026 Table 23 '!$B:$B,"*,"&amp;$A34&amp;",*"),"")</f>
        <v/>
      </c>
      <c r="U34">
        <f>IFERROR((SUMIFS('AEO 2026 Table 23 '!X:X,'AEO 2026 Table 23 '!$B:$B,"*,"&amp;$A34&amp;",*")-SUMIFS('AEO 2026 Table 23 '!W:W,'AEO 2026 Table 23 '!$B:$B,"*,"&amp;$A34&amp;",*"))/SUMIFS('AEO 2026 Table 23 '!W:W,'AEO 2026 Table 23 '!$B:$B,"*,"&amp;$A34&amp;",*"),"")</f>
        <v/>
      </c>
      <c r="V34">
        <f>IFERROR((SUMIFS('AEO 2026 Table 23 '!Y:Y,'AEO 2026 Table 23 '!$B:$B,"*,"&amp;$A34&amp;",*")-SUMIFS('AEO 2026 Table 23 '!X:X,'AEO 2026 Table 23 '!$B:$B,"*,"&amp;$A34&amp;",*"))/SUMIFS('AEO 2026 Table 23 '!X:X,'AEO 2026 Table 23 '!$B:$B,"*,"&amp;$A34&amp;",*"),"")</f>
        <v/>
      </c>
      <c r="W34">
        <f>IFERROR((SUMIFS('AEO 2026 Table 23 '!Z:Z,'AEO 2026 Table 23 '!$B:$B,"*,"&amp;$A34&amp;",*")-SUMIFS('AEO 2026 Table 23 '!Y:Y,'AEO 2026 Table 23 '!$B:$B,"*,"&amp;$A34&amp;",*"))/SUMIFS('AEO 2026 Table 23 '!Y:Y,'AEO 2026 Table 23 '!$B:$B,"*,"&amp;$A34&amp;",*"),"")</f>
        <v/>
      </c>
      <c r="X34">
        <f>IFERROR((SUMIFS('AEO 2026 Table 23 '!AA:AA,'AEO 2026 Table 23 '!$B:$B,"*,"&amp;$A34&amp;",*")-SUMIFS('AEO 2026 Table 23 '!Z:Z,'AEO 2026 Table 23 '!$B:$B,"*,"&amp;$A34&amp;",*"))/SUMIFS('AEO 2026 Table 23 '!Z:Z,'AEO 2026 Table 23 '!$B:$B,"*,"&amp;$A34&amp;",*"),"")</f>
        <v/>
      </c>
      <c r="Y34">
        <f>IFERROR((SUMIFS('AEO 2026 Table 23 '!AB:AB,'AEO 2026 Table 23 '!$B:$B,"*,"&amp;$A34&amp;",*")-SUMIFS('AEO 2026 Table 23 '!AA:AA,'AEO 2026 Table 23 '!$B:$B,"*,"&amp;$A34&amp;",*"))/SUMIFS('AEO 2026 Table 23 '!AA:AA,'AEO 2026 Table 23 '!$B:$B,"*,"&amp;$A34&amp;",*"),"")</f>
        <v/>
      </c>
      <c r="Z34">
        <f>IFERROR((SUMIFS('AEO 2026 Table 23 '!AC:AC,'AEO 2026 Table 23 '!$B:$B,"*,"&amp;$A34&amp;",*")-SUMIFS('AEO 2026 Table 23 '!AB:AB,'AEO 2026 Table 23 '!$B:$B,"*,"&amp;$A34&amp;",*"))/SUMIFS('AEO 2026 Table 23 '!AB:AB,'AEO 2026 Table 23 '!$B:$B,"*,"&amp;$A34&amp;",*"),"")</f>
        <v/>
      </c>
      <c r="AA34">
        <f>IFERROR((SUMIFS('AEO 2026 Table 23 '!AD:AD,'AEO 2026 Table 23 '!$B:$B,"*,"&amp;$A34&amp;",*")-SUMIFS('AEO 2026 Table 23 '!AC:AC,'AEO 2026 Table 23 '!$B:$B,"*,"&amp;$A34&amp;",*"))/SUMIFS('AEO 2026 Table 23 '!AC:AC,'AEO 2026 Table 23 '!$B:$B,"*,"&amp;$A34&amp;",*"),"")</f>
        <v/>
      </c>
      <c r="AB34">
        <f>IFERROR((SUMIFS('AEO 2026 Table 23 '!AE:AE,'AEO 2026 Table 23 '!$B:$B,"*,"&amp;$A34&amp;",*")-SUMIFS('AEO 2026 Table 23 '!AD:AD,'AEO 2026 Table 23 '!$B:$B,"*,"&amp;$A34&amp;",*"))/SUMIFS('AEO 2026 Table 23 '!AD:AD,'AEO 2026 Table 23 '!$B:$B,"*,"&amp;$A34&amp;",*"),"")</f>
        <v/>
      </c>
      <c r="AC34">
        <f>IFERROR((SUMIFS('AEO 2026 Table 23 '!AF:AF,'AEO 2026 Table 23 '!$B:$B,"*,"&amp;$A34&amp;",*")-SUMIFS('AEO 2026 Table 23 '!AE:AE,'AEO 2026 Table 23 '!$B:$B,"*,"&amp;$A34&amp;",*"))/SUMIFS('AEO 2026 Table 23 '!AE:AE,'AEO 2026 Table 23 '!$B:$B,"*,"&amp;$A34&amp;",*"),"")</f>
        <v/>
      </c>
    </row>
    <row r="35">
      <c r="A35" t="inlineStr">
        <is>
          <t>ISIC 41T43</t>
        </is>
      </c>
      <c r="B35">
        <f>IFERROR(SUMPRODUCT(--('BLS Table 2.11'!$L$1:$L$426=$A35),'BLS Table 2.11'!$J$1:$J$426,'BLS Table 2.11'!$K$1:$K$426)/SUMIFS('BLS Table 2.11'!$J$1:$J$426,'BLS Table 2.11'!$L$1:$L$426,$A35)/100,0)</f>
        <v/>
      </c>
      <c r="D35">
        <f>IFERROR((SUMIFS('AEO 2026 Table 23 '!G:G,'AEO 2026 Table 23 '!$B:$B,"*,"&amp;$A35&amp;",*")-SUMIFS('AEO25 Table 23'!H:H,'AEO25 Table 23'!$B:$B,"*,"&amp;$A35&amp;",*"))/SUMIFS('AEO25 Table 23'!H:H,'AEO25 Table 23'!$B:$B,"*,"&amp;$A35&amp;",*"),"")</f>
        <v/>
      </c>
      <c r="E35">
        <f>IFERROR((SUMIFS('AEO 2026 Table 23 '!H:H,'AEO 2026 Table 23 '!$B:$B,"*,"&amp;$A35&amp;",*")-SUMIFS('AEO 2026 Table 23 '!G:G,'AEO 2026 Table 23 '!$B:$B,"*,"&amp;$A35&amp;",*"))/SUMIFS('AEO 2026 Table 23 '!G:G,'AEO 2026 Table 23 '!$B:$B,"*,"&amp;$A35&amp;",*"),"")</f>
        <v/>
      </c>
      <c r="F35">
        <f>IFERROR((SUMIFS('AEO 2026 Table 23 '!I:I,'AEO 2026 Table 23 '!$B:$B,"*,"&amp;$A35&amp;",*")-SUMIFS('AEO 2026 Table 23 '!H:H,'AEO 2026 Table 23 '!$B:$B,"*,"&amp;$A35&amp;",*"))/SUMIFS('AEO 2026 Table 23 '!H:H,'AEO 2026 Table 23 '!$B:$B,"*,"&amp;$A35&amp;",*"),"")</f>
        <v/>
      </c>
      <c r="G35">
        <f>IFERROR((SUMIFS('AEO 2026 Table 23 '!J:J,'AEO 2026 Table 23 '!$B:$B,"*,"&amp;$A35&amp;",*")-SUMIFS('AEO 2026 Table 23 '!I:I,'AEO 2026 Table 23 '!$B:$B,"*,"&amp;$A35&amp;",*"))/SUMIFS('AEO 2026 Table 23 '!I:I,'AEO 2026 Table 23 '!$B:$B,"*,"&amp;$A35&amp;",*"),"")</f>
        <v/>
      </c>
      <c r="H35">
        <f>IFERROR((SUMIFS('AEO 2026 Table 23 '!K:K,'AEO 2026 Table 23 '!$B:$B,"*,"&amp;$A35&amp;",*")-SUMIFS('AEO 2026 Table 23 '!J:J,'AEO 2026 Table 23 '!$B:$B,"*,"&amp;$A35&amp;",*"))/SUMIFS('AEO 2026 Table 23 '!J:J,'AEO 2026 Table 23 '!$B:$B,"*,"&amp;$A35&amp;",*"),"")</f>
        <v/>
      </c>
      <c r="I35">
        <f>IFERROR((SUMIFS('AEO 2026 Table 23 '!L:L,'AEO 2026 Table 23 '!$B:$B,"*,"&amp;$A35&amp;",*")-SUMIFS('AEO 2026 Table 23 '!K:K,'AEO 2026 Table 23 '!$B:$B,"*,"&amp;$A35&amp;",*"))/SUMIFS('AEO 2026 Table 23 '!K:K,'AEO 2026 Table 23 '!$B:$B,"*,"&amp;$A35&amp;",*"),"")</f>
        <v/>
      </c>
      <c r="J35">
        <f>IFERROR((SUMIFS('AEO 2026 Table 23 '!M:M,'AEO 2026 Table 23 '!$B:$B,"*,"&amp;$A35&amp;",*")-SUMIFS('AEO 2026 Table 23 '!L:L,'AEO 2026 Table 23 '!$B:$B,"*,"&amp;$A35&amp;",*"))/SUMIFS('AEO 2026 Table 23 '!L:L,'AEO 2026 Table 23 '!$B:$B,"*,"&amp;$A35&amp;",*"),"")</f>
        <v/>
      </c>
      <c r="K35">
        <f>IFERROR((SUMIFS('AEO 2026 Table 23 '!N:N,'AEO 2026 Table 23 '!$B:$B,"*,"&amp;$A35&amp;",*")-SUMIFS('AEO 2026 Table 23 '!M:M,'AEO 2026 Table 23 '!$B:$B,"*,"&amp;$A35&amp;",*"))/SUMIFS('AEO 2026 Table 23 '!M:M,'AEO 2026 Table 23 '!$B:$B,"*,"&amp;$A35&amp;",*"),"")</f>
        <v/>
      </c>
      <c r="L35">
        <f>IFERROR((SUMIFS('AEO 2026 Table 23 '!O:O,'AEO 2026 Table 23 '!$B:$B,"*,"&amp;$A35&amp;",*")-SUMIFS('AEO 2026 Table 23 '!N:N,'AEO 2026 Table 23 '!$B:$B,"*,"&amp;$A35&amp;",*"))/SUMIFS('AEO 2026 Table 23 '!N:N,'AEO 2026 Table 23 '!$B:$B,"*,"&amp;$A35&amp;",*"),"")</f>
        <v/>
      </c>
      <c r="M35">
        <f>IFERROR((SUMIFS('AEO 2026 Table 23 '!P:P,'AEO 2026 Table 23 '!$B:$B,"*,"&amp;$A35&amp;",*")-SUMIFS('AEO 2026 Table 23 '!O:O,'AEO 2026 Table 23 '!$B:$B,"*,"&amp;$A35&amp;",*"))/SUMIFS('AEO 2026 Table 23 '!O:O,'AEO 2026 Table 23 '!$B:$B,"*,"&amp;$A35&amp;",*"),"")</f>
        <v/>
      </c>
      <c r="N35">
        <f>IFERROR((SUMIFS('AEO 2026 Table 23 '!Q:Q,'AEO 2026 Table 23 '!$B:$B,"*,"&amp;$A35&amp;",*")-SUMIFS('AEO 2026 Table 23 '!P:P,'AEO 2026 Table 23 '!$B:$B,"*,"&amp;$A35&amp;",*"))/SUMIFS('AEO 2026 Table 23 '!P:P,'AEO 2026 Table 23 '!$B:$B,"*,"&amp;$A35&amp;",*"),"")</f>
        <v/>
      </c>
      <c r="O35">
        <f>IFERROR((SUMIFS('AEO 2026 Table 23 '!R:R,'AEO 2026 Table 23 '!$B:$B,"*,"&amp;$A35&amp;",*")-SUMIFS('AEO 2026 Table 23 '!Q:Q,'AEO 2026 Table 23 '!$B:$B,"*,"&amp;$A35&amp;",*"))/SUMIFS('AEO 2026 Table 23 '!Q:Q,'AEO 2026 Table 23 '!$B:$B,"*,"&amp;$A35&amp;",*"),"")</f>
        <v/>
      </c>
      <c r="P35">
        <f>IFERROR((SUMIFS('AEO 2026 Table 23 '!S:S,'AEO 2026 Table 23 '!$B:$B,"*,"&amp;$A35&amp;",*")-SUMIFS('AEO 2026 Table 23 '!R:R,'AEO 2026 Table 23 '!$B:$B,"*,"&amp;$A35&amp;",*"))/SUMIFS('AEO 2026 Table 23 '!R:R,'AEO 2026 Table 23 '!$B:$B,"*,"&amp;$A35&amp;",*"),"")</f>
        <v/>
      </c>
      <c r="Q35">
        <f>IFERROR((SUMIFS('AEO 2026 Table 23 '!T:T,'AEO 2026 Table 23 '!$B:$B,"*,"&amp;$A35&amp;",*")-SUMIFS('AEO 2026 Table 23 '!S:S,'AEO 2026 Table 23 '!$B:$B,"*,"&amp;$A35&amp;",*"))/SUMIFS('AEO 2026 Table 23 '!S:S,'AEO 2026 Table 23 '!$B:$B,"*,"&amp;$A35&amp;",*"),"")</f>
        <v/>
      </c>
      <c r="R35">
        <f>IFERROR((SUMIFS('AEO 2026 Table 23 '!U:U,'AEO 2026 Table 23 '!$B:$B,"*,"&amp;$A35&amp;",*")-SUMIFS('AEO 2026 Table 23 '!T:T,'AEO 2026 Table 23 '!$B:$B,"*,"&amp;$A35&amp;",*"))/SUMIFS('AEO 2026 Table 23 '!T:T,'AEO 2026 Table 23 '!$B:$B,"*,"&amp;$A35&amp;",*"),"")</f>
        <v/>
      </c>
      <c r="S35">
        <f>IFERROR((SUMIFS('AEO 2026 Table 23 '!V:V,'AEO 2026 Table 23 '!$B:$B,"*,"&amp;$A35&amp;",*")-SUMIFS('AEO 2026 Table 23 '!U:U,'AEO 2026 Table 23 '!$B:$B,"*,"&amp;$A35&amp;",*"))/SUMIFS('AEO 2026 Table 23 '!U:U,'AEO 2026 Table 23 '!$B:$B,"*,"&amp;$A35&amp;",*"),"")</f>
        <v/>
      </c>
      <c r="T35">
        <f>IFERROR((SUMIFS('AEO 2026 Table 23 '!W:W,'AEO 2026 Table 23 '!$B:$B,"*,"&amp;$A35&amp;",*")-SUMIFS('AEO 2026 Table 23 '!V:V,'AEO 2026 Table 23 '!$B:$B,"*,"&amp;$A35&amp;",*"))/SUMIFS('AEO 2026 Table 23 '!V:V,'AEO 2026 Table 23 '!$B:$B,"*,"&amp;$A35&amp;",*"),"")</f>
        <v/>
      </c>
      <c r="U35">
        <f>IFERROR((SUMIFS('AEO 2026 Table 23 '!X:X,'AEO 2026 Table 23 '!$B:$B,"*,"&amp;$A35&amp;",*")-SUMIFS('AEO 2026 Table 23 '!W:W,'AEO 2026 Table 23 '!$B:$B,"*,"&amp;$A35&amp;",*"))/SUMIFS('AEO 2026 Table 23 '!W:W,'AEO 2026 Table 23 '!$B:$B,"*,"&amp;$A35&amp;",*"),"")</f>
        <v/>
      </c>
      <c r="V35">
        <f>IFERROR((SUMIFS('AEO 2026 Table 23 '!Y:Y,'AEO 2026 Table 23 '!$B:$B,"*,"&amp;$A35&amp;",*")-SUMIFS('AEO 2026 Table 23 '!X:X,'AEO 2026 Table 23 '!$B:$B,"*,"&amp;$A35&amp;",*"))/SUMIFS('AEO 2026 Table 23 '!X:X,'AEO 2026 Table 23 '!$B:$B,"*,"&amp;$A35&amp;",*"),"")</f>
        <v/>
      </c>
      <c r="W35">
        <f>IFERROR((SUMIFS('AEO 2026 Table 23 '!Z:Z,'AEO 2026 Table 23 '!$B:$B,"*,"&amp;$A35&amp;",*")-SUMIFS('AEO 2026 Table 23 '!Y:Y,'AEO 2026 Table 23 '!$B:$B,"*,"&amp;$A35&amp;",*"))/SUMIFS('AEO 2026 Table 23 '!Y:Y,'AEO 2026 Table 23 '!$B:$B,"*,"&amp;$A35&amp;",*"),"")</f>
        <v/>
      </c>
      <c r="X35">
        <f>IFERROR((SUMIFS('AEO 2026 Table 23 '!AA:AA,'AEO 2026 Table 23 '!$B:$B,"*,"&amp;$A35&amp;",*")-SUMIFS('AEO 2026 Table 23 '!Z:Z,'AEO 2026 Table 23 '!$B:$B,"*,"&amp;$A35&amp;",*"))/SUMIFS('AEO 2026 Table 23 '!Z:Z,'AEO 2026 Table 23 '!$B:$B,"*,"&amp;$A35&amp;",*"),"")</f>
        <v/>
      </c>
      <c r="Y35">
        <f>IFERROR((SUMIFS('AEO 2026 Table 23 '!AB:AB,'AEO 2026 Table 23 '!$B:$B,"*,"&amp;$A35&amp;",*")-SUMIFS('AEO 2026 Table 23 '!AA:AA,'AEO 2026 Table 23 '!$B:$B,"*,"&amp;$A35&amp;",*"))/SUMIFS('AEO 2026 Table 23 '!AA:AA,'AEO 2026 Table 23 '!$B:$B,"*,"&amp;$A35&amp;",*"),"")</f>
        <v/>
      </c>
      <c r="Z35">
        <f>IFERROR((SUMIFS('AEO 2026 Table 23 '!AC:AC,'AEO 2026 Table 23 '!$B:$B,"*,"&amp;$A35&amp;",*")-SUMIFS('AEO 2026 Table 23 '!AB:AB,'AEO 2026 Table 23 '!$B:$B,"*,"&amp;$A35&amp;",*"))/SUMIFS('AEO 2026 Table 23 '!AB:AB,'AEO 2026 Table 23 '!$B:$B,"*,"&amp;$A35&amp;",*"),"")</f>
        <v/>
      </c>
      <c r="AA35">
        <f>IFERROR((SUMIFS('AEO 2026 Table 23 '!AD:AD,'AEO 2026 Table 23 '!$B:$B,"*,"&amp;$A35&amp;",*")-SUMIFS('AEO 2026 Table 23 '!AC:AC,'AEO 2026 Table 23 '!$B:$B,"*,"&amp;$A35&amp;",*"))/SUMIFS('AEO 2026 Table 23 '!AC:AC,'AEO 2026 Table 23 '!$B:$B,"*,"&amp;$A35&amp;",*"),"")</f>
        <v/>
      </c>
      <c r="AB35">
        <f>IFERROR((SUMIFS('AEO 2026 Table 23 '!AE:AE,'AEO 2026 Table 23 '!$B:$B,"*,"&amp;$A35&amp;",*")-SUMIFS('AEO 2026 Table 23 '!AD:AD,'AEO 2026 Table 23 '!$B:$B,"*,"&amp;$A35&amp;",*"))/SUMIFS('AEO 2026 Table 23 '!AD:AD,'AEO 2026 Table 23 '!$B:$B,"*,"&amp;$A35&amp;",*"),"")</f>
        <v/>
      </c>
      <c r="AC35">
        <f>IFERROR((SUMIFS('AEO 2026 Table 23 '!AF:AF,'AEO 2026 Table 23 '!$B:$B,"*,"&amp;$A35&amp;",*")-SUMIFS('AEO 2026 Table 23 '!AE:AE,'AEO 2026 Table 23 '!$B:$B,"*,"&amp;$A35&amp;",*"))/SUMIFS('AEO 2026 Table 23 '!AE:AE,'AEO 2026 Table 23 '!$B:$B,"*,"&amp;$A35&amp;",*"),"")</f>
        <v/>
      </c>
    </row>
    <row r="36">
      <c r="A36" t="inlineStr">
        <is>
          <t>ISIC 45T47</t>
        </is>
      </c>
      <c r="B36">
        <f>IFERROR(SUMPRODUCT(--('BLS Table 2.11'!$L$1:$L$426=$A36),'BLS Table 2.11'!$J$1:$J$426,'BLS Table 2.11'!$K$1:$K$426)/SUMIFS('BLS Table 2.11'!$J$1:$J$426,'BLS Table 2.11'!$L$1:$L$426,$A36)/100,0)</f>
        <v/>
      </c>
      <c r="D36">
        <f>IFERROR((SUMIFS('AEO 2026 Table 23 '!G:G,'AEO 2026 Table 23 '!$B:$B,"*,"&amp;$A36&amp;",*")-SUMIFS('AEO25 Table 23'!H:H,'AEO25 Table 23'!$B:$B,"*,"&amp;$A36&amp;",*"))/SUMIFS('AEO25 Table 23'!H:H,'AEO25 Table 23'!$B:$B,"*,"&amp;$A36&amp;",*"),"")</f>
        <v/>
      </c>
      <c r="E36">
        <f>IFERROR((SUMIFS('AEO 2026 Table 23 '!H:H,'AEO 2026 Table 23 '!$B:$B,"*,"&amp;$A36&amp;",*")-SUMIFS('AEO 2026 Table 23 '!G:G,'AEO 2026 Table 23 '!$B:$B,"*,"&amp;$A36&amp;",*"))/SUMIFS('AEO 2026 Table 23 '!G:G,'AEO 2026 Table 23 '!$B:$B,"*,"&amp;$A36&amp;",*"),"")</f>
        <v/>
      </c>
      <c r="F36">
        <f>IFERROR((SUMIFS('AEO 2026 Table 23 '!I:I,'AEO 2026 Table 23 '!$B:$B,"*,"&amp;$A36&amp;",*")-SUMIFS('AEO 2026 Table 23 '!H:H,'AEO 2026 Table 23 '!$B:$B,"*,"&amp;$A36&amp;",*"))/SUMIFS('AEO 2026 Table 23 '!H:H,'AEO 2026 Table 23 '!$B:$B,"*,"&amp;$A36&amp;",*"),"")</f>
        <v/>
      </c>
      <c r="G36">
        <f>IFERROR((SUMIFS('AEO 2026 Table 23 '!J:J,'AEO 2026 Table 23 '!$B:$B,"*,"&amp;$A36&amp;",*")-SUMIFS('AEO 2026 Table 23 '!I:I,'AEO 2026 Table 23 '!$B:$B,"*,"&amp;$A36&amp;",*"))/SUMIFS('AEO 2026 Table 23 '!I:I,'AEO 2026 Table 23 '!$B:$B,"*,"&amp;$A36&amp;",*"),"")</f>
        <v/>
      </c>
      <c r="H36">
        <f>IFERROR((SUMIFS('AEO 2026 Table 23 '!K:K,'AEO 2026 Table 23 '!$B:$B,"*,"&amp;$A36&amp;",*")-SUMIFS('AEO 2026 Table 23 '!J:J,'AEO 2026 Table 23 '!$B:$B,"*,"&amp;$A36&amp;",*"))/SUMIFS('AEO 2026 Table 23 '!J:J,'AEO 2026 Table 23 '!$B:$B,"*,"&amp;$A36&amp;",*"),"")</f>
        <v/>
      </c>
      <c r="I36">
        <f>IFERROR((SUMIFS('AEO 2026 Table 23 '!L:L,'AEO 2026 Table 23 '!$B:$B,"*,"&amp;$A36&amp;",*")-SUMIFS('AEO 2026 Table 23 '!K:K,'AEO 2026 Table 23 '!$B:$B,"*,"&amp;$A36&amp;",*"))/SUMIFS('AEO 2026 Table 23 '!K:K,'AEO 2026 Table 23 '!$B:$B,"*,"&amp;$A36&amp;",*"),"")</f>
        <v/>
      </c>
      <c r="J36">
        <f>IFERROR((SUMIFS('AEO 2026 Table 23 '!M:M,'AEO 2026 Table 23 '!$B:$B,"*,"&amp;$A36&amp;",*")-SUMIFS('AEO 2026 Table 23 '!L:L,'AEO 2026 Table 23 '!$B:$B,"*,"&amp;$A36&amp;",*"))/SUMIFS('AEO 2026 Table 23 '!L:L,'AEO 2026 Table 23 '!$B:$B,"*,"&amp;$A36&amp;",*"),"")</f>
        <v/>
      </c>
      <c r="K36">
        <f>IFERROR((SUMIFS('AEO 2026 Table 23 '!N:N,'AEO 2026 Table 23 '!$B:$B,"*,"&amp;$A36&amp;",*")-SUMIFS('AEO 2026 Table 23 '!M:M,'AEO 2026 Table 23 '!$B:$B,"*,"&amp;$A36&amp;",*"))/SUMIFS('AEO 2026 Table 23 '!M:M,'AEO 2026 Table 23 '!$B:$B,"*,"&amp;$A36&amp;",*"),"")</f>
        <v/>
      </c>
      <c r="L36">
        <f>IFERROR((SUMIFS('AEO 2026 Table 23 '!O:O,'AEO 2026 Table 23 '!$B:$B,"*,"&amp;$A36&amp;",*")-SUMIFS('AEO 2026 Table 23 '!N:N,'AEO 2026 Table 23 '!$B:$B,"*,"&amp;$A36&amp;",*"))/SUMIFS('AEO 2026 Table 23 '!N:N,'AEO 2026 Table 23 '!$B:$B,"*,"&amp;$A36&amp;",*"),"")</f>
        <v/>
      </c>
      <c r="M36">
        <f>IFERROR((SUMIFS('AEO 2026 Table 23 '!P:P,'AEO 2026 Table 23 '!$B:$B,"*,"&amp;$A36&amp;",*")-SUMIFS('AEO 2026 Table 23 '!O:O,'AEO 2026 Table 23 '!$B:$B,"*,"&amp;$A36&amp;",*"))/SUMIFS('AEO 2026 Table 23 '!O:O,'AEO 2026 Table 23 '!$B:$B,"*,"&amp;$A36&amp;",*"),"")</f>
        <v/>
      </c>
      <c r="N36">
        <f>IFERROR((SUMIFS('AEO 2026 Table 23 '!Q:Q,'AEO 2026 Table 23 '!$B:$B,"*,"&amp;$A36&amp;",*")-SUMIFS('AEO 2026 Table 23 '!P:P,'AEO 2026 Table 23 '!$B:$B,"*,"&amp;$A36&amp;",*"))/SUMIFS('AEO 2026 Table 23 '!P:P,'AEO 2026 Table 23 '!$B:$B,"*,"&amp;$A36&amp;",*"),"")</f>
        <v/>
      </c>
      <c r="O36">
        <f>IFERROR((SUMIFS('AEO 2026 Table 23 '!R:R,'AEO 2026 Table 23 '!$B:$B,"*,"&amp;$A36&amp;",*")-SUMIFS('AEO 2026 Table 23 '!Q:Q,'AEO 2026 Table 23 '!$B:$B,"*,"&amp;$A36&amp;",*"))/SUMIFS('AEO 2026 Table 23 '!Q:Q,'AEO 2026 Table 23 '!$B:$B,"*,"&amp;$A36&amp;",*"),"")</f>
        <v/>
      </c>
      <c r="P36">
        <f>IFERROR((SUMIFS('AEO 2026 Table 23 '!S:S,'AEO 2026 Table 23 '!$B:$B,"*,"&amp;$A36&amp;",*")-SUMIFS('AEO 2026 Table 23 '!R:R,'AEO 2026 Table 23 '!$B:$B,"*,"&amp;$A36&amp;",*"))/SUMIFS('AEO 2026 Table 23 '!R:R,'AEO 2026 Table 23 '!$B:$B,"*,"&amp;$A36&amp;",*"),"")</f>
        <v/>
      </c>
      <c r="Q36">
        <f>IFERROR((SUMIFS('AEO 2026 Table 23 '!T:T,'AEO 2026 Table 23 '!$B:$B,"*,"&amp;$A36&amp;",*")-SUMIFS('AEO 2026 Table 23 '!S:S,'AEO 2026 Table 23 '!$B:$B,"*,"&amp;$A36&amp;",*"))/SUMIFS('AEO 2026 Table 23 '!S:S,'AEO 2026 Table 23 '!$B:$B,"*,"&amp;$A36&amp;",*"),"")</f>
        <v/>
      </c>
      <c r="R36">
        <f>IFERROR((SUMIFS('AEO 2026 Table 23 '!U:U,'AEO 2026 Table 23 '!$B:$B,"*,"&amp;$A36&amp;",*")-SUMIFS('AEO 2026 Table 23 '!T:T,'AEO 2026 Table 23 '!$B:$B,"*,"&amp;$A36&amp;",*"))/SUMIFS('AEO 2026 Table 23 '!T:T,'AEO 2026 Table 23 '!$B:$B,"*,"&amp;$A36&amp;",*"),"")</f>
        <v/>
      </c>
      <c r="S36">
        <f>IFERROR((SUMIFS('AEO 2026 Table 23 '!V:V,'AEO 2026 Table 23 '!$B:$B,"*,"&amp;$A36&amp;",*")-SUMIFS('AEO 2026 Table 23 '!U:U,'AEO 2026 Table 23 '!$B:$B,"*,"&amp;$A36&amp;",*"))/SUMIFS('AEO 2026 Table 23 '!U:U,'AEO 2026 Table 23 '!$B:$B,"*,"&amp;$A36&amp;",*"),"")</f>
        <v/>
      </c>
      <c r="T36">
        <f>IFERROR((SUMIFS('AEO 2026 Table 23 '!W:W,'AEO 2026 Table 23 '!$B:$B,"*,"&amp;$A36&amp;",*")-SUMIFS('AEO 2026 Table 23 '!V:V,'AEO 2026 Table 23 '!$B:$B,"*,"&amp;$A36&amp;",*"))/SUMIFS('AEO 2026 Table 23 '!V:V,'AEO 2026 Table 23 '!$B:$B,"*,"&amp;$A36&amp;",*"),"")</f>
        <v/>
      </c>
      <c r="U36">
        <f>IFERROR((SUMIFS('AEO 2026 Table 23 '!X:X,'AEO 2026 Table 23 '!$B:$B,"*,"&amp;$A36&amp;",*")-SUMIFS('AEO 2026 Table 23 '!W:W,'AEO 2026 Table 23 '!$B:$B,"*,"&amp;$A36&amp;",*"))/SUMIFS('AEO 2026 Table 23 '!W:W,'AEO 2026 Table 23 '!$B:$B,"*,"&amp;$A36&amp;",*"),"")</f>
        <v/>
      </c>
      <c r="V36">
        <f>IFERROR((SUMIFS('AEO 2026 Table 23 '!Y:Y,'AEO 2026 Table 23 '!$B:$B,"*,"&amp;$A36&amp;",*")-SUMIFS('AEO 2026 Table 23 '!X:X,'AEO 2026 Table 23 '!$B:$B,"*,"&amp;$A36&amp;",*"))/SUMIFS('AEO 2026 Table 23 '!X:X,'AEO 2026 Table 23 '!$B:$B,"*,"&amp;$A36&amp;",*"),"")</f>
        <v/>
      </c>
      <c r="W36">
        <f>IFERROR((SUMIFS('AEO 2026 Table 23 '!Z:Z,'AEO 2026 Table 23 '!$B:$B,"*,"&amp;$A36&amp;",*")-SUMIFS('AEO 2026 Table 23 '!Y:Y,'AEO 2026 Table 23 '!$B:$B,"*,"&amp;$A36&amp;",*"))/SUMIFS('AEO 2026 Table 23 '!Y:Y,'AEO 2026 Table 23 '!$B:$B,"*,"&amp;$A36&amp;",*"),"")</f>
        <v/>
      </c>
      <c r="X36">
        <f>IFERROR((SUMIFS('AEO 2026 Table 23 '!AA:AA,'AEO 2026 Table 23 '!$B:$B,"*,"&amp;$A36&amp;",*")-SUMIFS('AEO 2026 Table 23 '!Z:Z,'AEO 2026 Table 23 '!$B:$B,"*,"&amp;$A36&amp;",*"))/SUMIFS('AEO 2026 Table 23 '!Z:Z,'AEO 2026 Table 23 '!$B:$B,"*,"&amp;$A36&amp;",*"),"")</f>
        <v/>
      </c>
      <c r="Y36">
        <f>IFERROR((SUMIFS('AEO 2026 Table 23 '!AB:AB,'AEO 2026 Table 23 '!$B:$B,"*,"&amp;$A36&amp;",*")-SUMIFS('AEO 2026 Table 23 '!AA:AA,'AEO 2026 Table 23 '!$B:$B,"*,"&amp;$A36&amp;",*"))/SUMIFS('AEO 2026 Table 23 '!AA:AA,'AEO 2026 Table 23 '!$B:$B,"*,"&amp;$A36&amp;",*"),"")</f>
        <v/>
      </c>
      <c r="Z36">
        <f>IFERROR((SUMIFS('AEO 2026 Table 23 '!AC:AC,'AEO 2026 Table 23 '!$B:$B,"*,"&amp;$A36&amp;",*")-SUMIFS('AEO 2026 Table 23 '!AB:AB,'AEO 2026 Table 23 '!$B:$B,"*,"&amp;$A36&amp;",*"))/SUMIFS('AEO 2026 Table 23 '!AB:AB,'AEO 2026 Table 23 '!$B:$B,"*,"&amp;$A36&amp;",*"),"")</f>
        <v/>
      </c>
      <c r="AA36">
        <f>IFERROR((SUMIFS('AEO 2026 Table 23 '!AD:AD,'AEO 2026 Table 23 '!$B:$B,"*,"&amp;$A36&amp;",*")-SUMIFS('AEO 2026 Table 23 '!AC:AC,'AEO 2026 Table 23 '!$B:$B,"*,"&amp;$A36&amp;",*"))/SUMIFS('AEO 2026 Table 23 '!AC:AC,'AEO 2026 Table 23 '!$B:$B,"*,"&amp;$A36&amp;",*"),"")</f>
        <v/>
      </c>
      <c r="AB36">
        <f>IFERROR((SUMIFS('AEO 2026 Table 23 '!AE:AE,'AEO 2026 Table 23 '!$B:$B,"*,"&amp;$A36&amp;",*")-SUMIFS('AEO 2026 Table 23 '!AD:AD,'AEO 2026 Table 23 '!$B:$B,"*,"&amp;$A36&amp;",*"))/SUMIFS('AEO 2026 Table 23 '!AD:AD,'AEO 2026 Table 23 '!$B:$B,"*,"&amp;$A36&amp;",*"),"")</f>
        <v/>
      </c>
      <c r="AC36">
        <f>IFERROR((SUMIFS('AEO 2026 Table 23 '!AF:AF,'AEO 2026 Table 23 '!$B:$B,"*,"&amp;$A36&amp;",*")-SUMIFS('AEO 2026 Table 23 '!AE:AE,'AEO 2026 Table 23 '!$B:$B,"*,"&amp;$A36&amp;",*"))/SUMIFS('AEO 2026 Table 23 '!AE:AE,'AEO 2026 Table 23 '!$B:$B,"*,"&amp;$A36&amp;",*"),"")</f>
        <v/>
      </c>
    </row>
    <row r="37">
      <c r="A37" t="inlineStr">
        <is>
          <t>ISIC 49</t>
        </is>
      </c>
      <c r="B37">
        <f>IFERROR(SUMPRODUCT(--('BLS Table 2.11'!$L$1:$L$426=$A37),'BLS Table 2.11'!$J$1:$J$426,'BLS Table 2.11'!$K$1:$K$426)/SUMIFS('BLS Table 2.11'!$J$1:$J$426,'BLS Table 2.11'!$L$1:$L$426,$A37)/100,0)</f>
        <v/>
      </c>
      <c r="D37">
        <f>IFERROR((SUMIFS('AEO 2026 Table 23 '!G:G,'AEO 2026 Table 23 '!$B:$B,"*,"&amp;$A37&amp;",*")-SUMIFS('AEO25 Table 23'!H:H,'AEO25 Table 23'!$B:$B,"*,"&amp;$A37&amp;",*"))/SUMIFS('AEO25 Table 23'!H:H,'AEO25 Table 23'!$B:$B,"*,"&amp;$A37&amp;",*"),"")</f>
        <v/>
      </c>
      <c r="E37">
        <f>IFERROR((SUMIFS('AEO 2026 Table 23 '!H:H,'AEO 2026 Table 23 '!$B:$B,"*,"&amp;$A37&amp;",*")-SUMIFS('AEO 2026 Table 23 '!G:G,'AEO 2026 Table 23 '!$B:$B,"*,"&amp;$A37&amp;",*"))/SUMIFS('AEO 2026 Table 23 '!G:G,'AEO 2026 Table 23 '!$B:$B,"*,"&amp;$A37&amp;",*"),"")</f>
        <v/>
      </c>
      <c r="F37">
        <f>IFERROR((SUMIFS('AEO 2026 Table 23 '!I:I,'AEO 2026 Table 23 '!$B:$B,"*,"&amp;$A37&amp;",*")-SUMIFS('AEO 2026 Table 23 '!H:H,'AEO 2026 Table 23 '!$B:$B,"*,"&amp;$A37&amp;",*"))/SUMIFS('AEO 2026 Table 23 '!H:H,'AEO 2026 Table 23 '!$B:$B,"*,"&amp;$A37&amp;",*"),"")</f>
        <v/>
      </c>
      <c r="G37">
        <f>IFERROR((SUMIFS('AEO 2026 Table 23 '!J:J,'AEO 2026 Table 23 '!$B:$B,"*,"&amp;$A37&amp;",*")-SUMIFS('AEO 2026 Table 23 '!I:I,'AEO 2026 Table 23 '!$B:$B,"*,"&amp;$A37&amp;",*"))/SUMIFS('AEO 2026 Table 23 '!I:I,'AEO 2026 Table 23 '!$B:$B,"*,"&amp;$A37&amp;",*"),"")</f>
        <v/>
      </c>
      <c r="H37">
        <f>IFERROR((SUMIFS('AEO 2026 Table 23 '!K:K,'AEO 2026 Table 23 '!$B:$B,"*,"&amp;$A37&amp;",*")-SUMIFS('AEO 2026 Table 23 '!J:J,'AEO 2026 Table 23 '!$B:$B,"*,"&amp;$A37&amp;",*"))/SUMIFS('AEO 2026 Table 23 '!J:J,'AEO 2026 Table 23 '!$B:$B,"*,"&amp;$A37&amp;",*"),"")</f>
        <v/>
      </c>
      <c r="I37">
        <f>IFERROR((SUMIFS('AEO 2026 Table 23 '!L:L,'AEO 2026 Table 23 '!$B:$B,"*,"&amp;$A37&amp;",*")-SUMIFS('AEO 2026 Table 23 '!K:K,'AEO 2026 Table 23 '!$B:$B,"*,"&amp;$A37&amp;",*"))/SUMIFS('AEO 2026 Table 23 '!K:K,'AEO 2026 Table 23 '!$B:$B,"*,"&amp;$A37&amp;",*"),"")</f>
        <v/>
      </c>
      <c r="J37">
        <f>IFERROR((SUMIFS('AEO 2026 Table 23 '!M:M,'AEO 2026 Table 23 '!$B:$B,"*,"&amp;$A37&amp;",*")-SUMIFS('AEO 2026 Table 23 '!L:L,'AEO 2026 Table 23 '!$B:$B,"*,"&amp;$A37&amp;",*"))/SUMIFS('AEO 2026 Table 23 '!L:L,'AEO 2026 Table 23 '!$B:$B,"*,"&amp;$A37&amp;",*"),"")</f>
        <v/>
      </c>
      <c r="K37">
        <f>IFERROR((SUMIFS('AEO 2026 Table 23 '!N:N,'AEO 2026 Table 23 '!$B:$B,"*,"&amp;$A37&amp;",*")-SUMIFS('AEO 2026 Table 23 '!M:M,'AEO 2026 Table 23 '!$B:$B,"*,"&amp;$A37&amp;",*"))/SUMIFS('AEO 2026 Table 23 '!M:M,'AEO 2026 Table 23 '!$B:$B,"*,"&amp;$A37&amp;",*"),"")</f>
        <v/>
      </c>
      <c r="L37">
        <f>IFERROR((SUMIFS('AEO 2026 Table 23 '!O:O,'AEO 2026 Table 23 '!$B:$B,"*,"&amp;$A37&amp;",*")-SUMIFS('AEO 2026 Table 23 '!N:N,'AEO 2026 Table 23 '!$B:$B,"*,"&amp;$A37&amp;",*"))/SUMIFS('AEO 2026 Table 23 '!N:N,'AEO 2026 Table 23 '!$B:$B,"*,"&amp;$A37&amp;",*"),"")</f>
        <v/>
      </c>
      <c r="M37">
        <f>IFERROR((SUMIFS('AEO 2026 Table 23 '!P:P,'AEO 2026 Table 23 '!$B:$B,"*,"&amp;$A37&amp;",*")-SUMIFS('AEO 2026 Table 23 '!O:O,'AEO 2026 Table 23 '!$B:$B,"*,"&amp;$A37&amp;",*"))/SUMIFS('AEO 2026 Table 23 '!O:O,'AEO 2026 Table 23 '!$B:$B,"*,"&amp;$A37&amp;",*"),"")</f>
        <v/>
      </c>
      <c r="N37">
        <f>IFERROR((SUMIFS('AEO 2026 Table 23 '!Q:Q,'AEO 2026 Table 23 '!$B:$B,"*,"&amp;$A37&amp;",*")-SUMIFS('AEO 2026 Table 23 '!P:P,'AEO 2026 Table 23 '!$B:$B,"*,"&amp;$A37&amp;",*"))/SUMIFS('AEO 2026 Table 23 '!P:P,'AEO 2026 Table 23 '!$B:$B,"*,"&amp;$A37&amp;",*"),"")</f>
        <v/>
      </c>
      <c r="O37">
        <f>IFERROR((SUMIFS('AEO 2026 Table 23 '!R:R,'AEO 2026 Table 23 '!$B:$B,"*,"&amp;$A37&amp;",*")-SUMIFS('AEO 2026 Table 23 '!Q:Q,'AEO 2026 Table 23 '!$B:$B,"*,"&amp;$A37&amp;",*"))/SUMIFS('AEO 2026 Table 23 '!Q:Q,'AEO 2026 Table 23 '!$B:$B,"*,"&amp;$A37&amp;",*"),"")</f>
        <v/>
      </c>
      <c r="P37">
        <f>IFERROR((SUMIFS('AEO 2026 Table 23 '!S:S,'AEO 2026 Table 23 '!$B:$B,"*,"&amp;$A37&amp;",*")-SUMIFS('AEO 2026 Table 23 '!R:R,'AEO 2026 Table 23 '!$B:$B,"*,"&amp;$A37&amp;",*"))/SUMIFS('AEO 2026 Table 23 '!R:R,'AEO 2026 Table 23 '!$B:$B,"*,"&amp;$A37&amp;",*"),"")</f>
        <v/>
      </c>
      <c r="Q37">
        <f>IFERROR((SUMIFS('AEO 2026 Table 23 '!T:T,'AEO 2026 Table 23 '!$B:$B,"*,"&amp;$A37&amp;",*")-SUMIFS('AEO 2026 Table 23 '!S:S,'AEO 2026 Table 23 '!$B:$B,"*,"&amp;$A37&amp;",*"))/SUMIFS('AEO 2026 Table 23 '!S:S,'AEO 2026 Table 23 '!$B:$B,"*,"&amp;$A37&amp;",*"),"")</f>
        <v/>
      </c>
      <c r="R37">
        <f>IFERROR((SUMIFS('AEO 2026 Table 23 '!U:U,'AEO 2026 Table 23 '!$B:$B,"*,"&amp;$A37&amp;",*")-SUMIFS('AEO 2026 Table 23 '!T:T,'AEO 2026 Table 23 '!$B:$B,"*,"&amp;$A37&amp;",*"))/SUMIFS('AEO 2026 Table 23 '!T:T,'AEO 2026 Table 23 '!$B:$B,"*,"&amp;$A37&amp;",*"),"")</f>
        <v/>
      </c>
      <c r="S37">
        <f>IFERROR((SUMIFS('AEO 2026 Table 23 '!V:V,'AEO 2026 Table 23 '!$B:$B,"*,"&amp;$A37&amp;",*")-SUMIFS('AEO 2026 Table 23 '!U:U,'AEO 2026 Table 23 '!$B:$B,"*,"&amp;$A37&amp;",*"))/SUMIFS('AEO 2026 Table 23 '!U:U,'AEO 2026 Table 23 '!$B:$B,"*,"&amp;$A37&amp;",*"),"")</f>
        <v/>
      </c>
      <c r="T37">
        <f>IFERROR((SUMIFS('AEO 2026 Table 23 '!W:W,'AEO 2026 Table 23 '!$B:$B,"*,"&amp;$A37&amp;",*")-SUMIFS('AEO 2026 Table 23 '!V:V,'AEO 2026 Table 23 '!$B:$B,"*,"&amp;$A37&amp;",*"))/SUMIFS('AEO 2026 Table 23 '!V:V,'AEO 2026 Table 23 '!$B:$B,"*,"&amp;$A37&amp;",*"),"")</f>
        <v/>
      </c>
      <c r="U37">
        <f>IFERROR((SUMIFS('AEO 2026 Table 23 '!X:X,'AEO 2026 Table 23 '!$B:$B,"*,"&amp;$A37&amp;",*")-SUMIFS('AEO 2026 Table 23 '!W:W,'AEO 2026 Table 23 '!$B:$B,"*,"&amp;$A37&amp;",*"))/SUMIFS('AEO 2026 Table 23 '!W:W,'AEO 2026 Table 23 '!$B:$B,"*,"&amp;$A37&amp;",*"),"")</f>
        <v/>
      </c>
      <c r="V37">
        <f>IFERROR((SUMIFS('AEO 2026 Table 23 '!Y:Y,'AEO 2026 Table 23 '!$B:$B,"*,"&amp;$A37&amp;",*")-SUMIFS('AEO 2026 Table 23 '!X:X,'AEO 2026 Table 23 '!$B:$B,"*,"&amp;$A37&amp;",*"))/SUMIFS('AEO 2026 Table 23 '!X:X,'AEO 2026 Table 23 '!$B:$B,"*,"&amp;$A37&amp;",*"),"")</f>
        <v/>
      </c>
      <c r="W37">
        <f>IFERROR((SUMIFS('AEO 2026 Table 23 '!Z:Z,'AEO 2026 Table 23 '!$B:$B,"*,"&amp;$A37&amp;",*")-SUMIFS('AEO 2026 Table 23 '!Y:Y,'AEO 2026 Table 23 '!$B:$B,"*,"&amp;$A37&amp;",*"))/SUMIFS('AEO 2026 Table 23 '!Y:Y,'AEO 2026 Table 23 '!$B:$B,"*,"&amp;$A37&amp;",*"),"")</f>
        <v/>
      </c>
      <c r="X37">
        <f>IFERROR((SUMIFS('AEO 2026 Table 23 '!AA:AA,'AEO 2026 Table 23 '!$B:$B,"*,"&amp;$A37&amp;",*")-SUMIFS('AEO 2026 Table 23 '!Z:Z,'AEO 2026 Table 23 '!$B:$B,"*,"&amp;$A37&amp;",*"))/SUMIFS('AEO 2026 Table 23 '!Z:Z,'AEO 2026 Table 23 '!$B:$B,"*,"&amp;$A37&amp;",*"),"")</f>
        <v/>
      </c>
      <c r="Y37">
        <f>IFERROR((SUMIFS('AEO 2026 Table 23 '!AB:AB,'AEO 2026 Table 23 '!$B:$B,"*,"&amp;$A37&amp;",*")-SUMIFS('AEO 2026 Table 23 '!AA:AA,'AEO 2026 Table 23 '!$B:$B,"*,"&amp;$A37&amp;",*"))/SUMIFS('AEO 2026 Table 23 '!AA:AA,'AEO 2026 Table 23 '!$B:$B,"*,"&amp;$A37&amp;",*"),"")</f>
        <v/>
      </c>
      <c r="Z37">
        <f>IFERROR((SUMIFS('AEO 2026 Table 23 '!AC:AC,'AEO 2026 Table 23 '!$B:$B,"*,"&amp;$A37&amp;",*")-SUMIFS('AEO 2026 Table 23 '!AB:AB,'AEO 2026 Table 23 '!$B:$B,"*,"&amp;$A37&amp;",*"))/SUMIFS('AEO 2026 Table 23 '!AB:AB,'AEO 2026 Table 23 '!$B:$B,"*,"&amp;$A37&amp;",*"),"")</f>
        <v/>
      </c>
      <c r="AA37">
        <f>IFERROR((SUMIFS('AEO 2026 Table 23 '!AD:AD,'AEO 2026 Table 23 '!$B:$B,"*,"&amp;$A37&amp;",*")-SUMIFS('AEO 2026 Table 23 '!AC:AC,'AEO 2026 Table 23 '!$B:$B,"*,"&amp;$A37&amp;",*"))/SUMIFS('AEO 2026 Table 23 '!AC:AC,'AEO 2026 Table 23 '!$B:$B,"*,"&amp;$A37&amp;",*"),"")</f>
        <v/>
      </c>
      <c r="AB37">
        <f>IFERROR((SUMIFS('AEO 2026 Table 23 '!AE:AE,'AEO 2026 Table 23 '!$B:$B,"*,"&amp;$A37&amp;",*")-SUMIFS('AEO 2026 Table 23 '!AD:AD,'AEO 2026 Table 23 '!$B:$B,"*,"&amp;$A37&amp;",*"))/SUMIFS('AEO 2026 Table 23 '!AD:AD,'AEO 2026 Table 23 '!$B:$B,"*,"&amp;$A37&amp;",*"),"")</f>
        <v/>
      </c>
      <c r="AC37">
        <f>IFERROR((SUMIFS('AEO 2026 Table 23 '!AF:AF,'AEO 2026 Table 23 '!$B:$B,"*,"&amp;$A37&amp;",*")-SUMIFS('AEO 2026 Table 23 '!AE:AE,'AEO 2026 Table 23 '!$B:$B,"*,"&amp;$A37&amp;",*"))/SUMIFS('AEO 2026 Table 23 '!AE:AE,'AEO 2026 Table 23 '!$B:$B,"*,"&amp;$A37&amp;",*"),"")</f>
        <v/>
      </c>
    </row>
    <row r="38">
      <c r="A38" t="inlineStr">
        <is>
          <t>ISIC 50</t>
        </is>
      </c>
      <c r="B38">
        <f>IFERROR(SUMPRODUCT(--('BLS Table 2.11'!$L$1:$L$426=$A38),'BLS Table 2.11'!$J$1:$J$426,'BLS Table 2.11'!$K$1:$K$426)/SUMIFS('BLS Table 2.11'!$J$1:$J$426,'BLS Table 2.11'!$L$1:$L$426,$A38)/100,0)</f>
        <v/>
      </c>
      <c r="D38">
        <f>IFERROR((SUMIFS('AEO 2026 Table 23 '!G:G,'AEO 2026 Table 23 '!$B:$B,"*,"&amp;$A38&amp;",*")-SUMIFS('AEO25 Table 23'!H:H,'AEO25 Table 23'!$B:$B,"*,"&amp;$A38&amp;",*"))/SUMIFS('AEO25 Table 23'!H:H,'AEO25 Table 23'!$B:$B,"*,"&amp;$A38&amp;",*"),"")</f>
        <v/>
      </c>
      <c r="E38">
        <f>IFERROR((SUMIFS('AEO 2026 Table 23 '!H:H,'AEO 2026 Table 23 '!$B:$B,"*,"&amp;$A38&amp;",*")-SUMIFS('AEO 2026 Table 23 '!G:G,'AEO 2026 Table 23 '!$B:$B,"*,"&amp;$A38&amp;",*"))/SUMIFS('AEO 2026 Table 23 '!G:G,'AEO 2026 Table 23 '!$B:$B,"*,"&amp;$A38&amp;",*"),"")</f>
        <v/>
      </c>
      <c r="F38">
        <f>IFERROR((SUMIFS('AEO 2026 Table 23 '!I:I,'AEO 2026 Table 23 '!$B:$B,"*,"&amp;$A38&amp;",*")-SUMIFS('AEO 2026 Table 23 '!H:H,'AEO 2026 Table 23 '!$B:$B,"*,"&amp;$A38&amp;",*"))/SUMIFS('AEO 2026 Table 23 '!H:H,'AEO 2026 Table 23 '!$B:$B,"*,"&amp;$A38&amp;",*"),"")</f>
        <v/>
      </c>
      <c r="G38">
        <f>IFERROR((SUMIFS('AEO 2026 Table 23 '!J:J,'AEO 2026 Table 23 '!$B:$B,"*,"&amp;$A38&amp;",*")-SUMIFS('AEO 2026 Table 23 '!I:I,'AEO 2026 Table 23 '!$B:$B,"*,"&amp;$A38&amp;",*"))/SUMIFS('AEO 2026 Table 23 '!I:I,'AEO 2026 Table 23 '!$B:$B,"*,"&amp;$A38&amp;",*"),"")</f>
        <v/>
      </c>
      <c r="H38">
        <f>IFERROR((SUMIFS('AEO 2026 Table 23 '!K:K,'AEO 2026 Table 23 '!$B:$B,"*,"&amp;$A38&amp;",*")-SUMIFS('AEO 2026 Table 23 '!J:J,'AEO 2026 Table 23 '!$B:$B,"*,"&amp;$A38&amp;",*"))/SUMIFS('AEO 2026 Table 23 '!J:J,'AEO 2026 Table 23 '!$B:$B,"*,"&amp;$A38&amp;",*"),"")</f>
        <v/>
      </c>
      <c r="I38">
        <f>IFERROR((SUMIFS('AEO 2026 Table 23 '!L:L,'AEO 2026 Table 23 '!$B:$B,"*,"&amp;$A38&amp;",*")-SUMIFS('AEO 2026 Table 23 '!K:K,'AEO 2026 Table 23 '!$B:$B,"*,"&amp;$A38&amp;",*"))/SUMIFS('AEO 2026 Table 23 '!K:K,'AEO 2026 Table 23 '!$B:$B,"*,"&amp;$A38&amp;",*"),"")</f>
        <v/>
      </c>
      <c r="J38">
        <f>IFERROR((SUMIFS('AEO 2026 Table 23 '!M:M,'AEO 2026 Table 23 '!$B:$B,"*,"&amp;$A38&amp;",*")-SUMIFS('AEO 2026 Table 23 '!L:L,'AEO 2026 Table 23 '!$B:$B,"*,"&amp;$A38&amp;",*"))/SUMIFS('AEO 2026 Table 23 '!L:L,'AEO 2026 Table 23 '!$B:$B,"*,"&amp;$A38&amp;",*"),"")</f>
        <v/>
      </c>
      <c r="K38">
        <f>IFERROR((SUMIFS('AEO 2026 Table 23 '!N:N,'AEO 2026 Table 23 '!$B:$B,"*,"&amp;$A38&amp;",*")-SUMIFS('AEO 2026 Table 23 '!M:M,'AEO 2026 Table 23 '!$B:$B,"*,"&amp;$A38&amp;",*"))/SUMIFS('AEO 2026 Table 23 '!M:M,'AEO 2026 Table 23 '!$B:$B,"*,"&amp;$A38&amp;",*"),"")</f>
        <v/>
      </c>
      <c r="L38">
        <f>IFERROR((SUMIFS('AEO 2026 Table 23 '!O:O,'AEO 2026 Table 23 '!$B:$B,"*,"&amp;$A38&amp;",*")-SUMIFS('AEO 2026 Table 23 '!N:N,'AEO 2026 Table 23 '!$B:$B,"*,"&amp;$A38&amp;",*"))/SUMIFS('AEO 2026 Table 23 '!N:N,'AEO 2026 Table 23 '!$B:$B,"*,"&amp;$A38&amp;",*"),"")</f>
        <v/>
      </c>
      <c r="M38">
        <f>IFERROR((SUMIFS('AEO 2026 Table 23 '!P:P,'AEO 2026 Table 23 '!$B:$B,"*,"&amp;$A38&amp;",*")-SUMIFS('AEO 2026 Table 23 '!O:O,'AEO 2026 Table 23 '!$B:$B,"*,"&amp;$A38&amp;",*"))/SUMIFS('AEO 2026 Table 23 '!O:O,'AEO 2026 Table 23 '!$B:$B,"*,"&amp;$A38&amp;",*"),"")</f>
        <v/>
      </c>
      <c r="N38">
        <f>IFERROR((SUMIFS('AEO 2026 Table 23 '!Q:Q,'AEO 2026 Table 23 '!$B:$B,"*,"&amp;$A38&amp;",*")-SUMIFS('AEO 2026 Table 23 '!P:P,'AEO 2026 Table 23 '!$B:$B,"*,"&amp;$A38&amp;",*"))/SUMIFS('AEO 2026 Table 23 '!P:P,'AEO 2026 Table 23 '!$B:$B,"*,"&amp;$A38&amp;",*"),"")</f>
        <v/>
      </c>
      <c r="O38">
        <f>IFERROR((SUMIFS('AEO 2026 Table 23 '!R:R,'AEO 2026 Table 23 '!$B:$B,"*,"&amp;$A38&amp;",*")-SUMIFS('AEO 2026 Table 23 '!Q:Q,'AEO 2026 Table 23 '!$B:$B,"*,"&amp;$A38&amp;",*"))/SUMIFS('AEO 2026 Table 23 '!Q:Q,'AEO 2026 Table 23 '!$B:$B,"*,"&amp;$A38&amp;",*"),"")</f>
        <v/>
      </c>
      <c r="P38">
        <f>IFERROR((SUMIFS('AEO 2026 Table 23 '!S:S,'AEO 2026 Table 23 '!$B:$B,"*,"&amp;$A38&amp;",*")-SUMIFS('AEO 2026 Table 23 '!R:R,'AEO 2026 Table 23 '!$B:$B,"*,"&amp;$A38&amp;",*"))/SUMIFS('AEO 2026 Table 23 '!R:R,'AEO 2026 Table 23 '!$B:$B,"*,"&amp;$A38&amp;",*"),"")</f>
        <v/>
      </c>
      <c r="Q38">
        <f>IFERROR((SUMIFS('AEO 2026 Table 23 '!T:T,'AEO 2026 Table 23 '!$B:$B,"*,"&amp;$A38&amp;",*")-SUMIFS('AEO 2026 Table 23 '!S:S,'AEO 2026 Table 23 '!$B:$B,"*,"&amp;$A38&amp;",*"))/SUMIFS('AEO 2026 Table 23 '!S:S,'AEO 2026 Table 23 '!$B:$B,"*,"&amp;$A38&amp;",*"),"")</f>
        <v/>
      </c>
      <c r="R38">
        <f>IFERROR((SUMIFS('AEO 2026 Table 23 '!U:U,'AEO 2026 Table 23 '!$B:$B,"*,"&amp;$A38&amp;",*")-SUMIFS('AEO 2026 Table 23 '!T:T,'AEO 2026 Table 23 '!$B:$B,"*,"&amp;$A38&amp;",*"))/SUMIFS('AEO 2026 Table 23 '!T:T,'AEO 2026 Table 23 '!$B:$B,"*,"&amp;$A38&amp;",*"),"")</f>
        <v/>
      </c>
      <c r="S38">
        <f>IFERROR((SUMIFS('AEO 2026 Table 23 '!V:V,'AEO 2026 Table 23 '!$B:$B,"*,"&amp;$A38&amp;",*")-SUMIFS('AEO 2026 Table 23 '!U:U,'AEO 2026 Table 23 '!$B:$B,"*,"&amp;$A38&amp;",*"))/SUMIFS('AEO 2026 Table 23 '!U:U,'AEO 2026 Table 23 '!$B:$B,"*,"&amp;$A38&amp;",*"),"")</f>
        <v/>
      </c>
      <c r="T38">
        <f>IFERROR((SUMIFS('AEO 2026 Table 23 '!W:W,'AEO 2026 Table 23 '!$B:$B,"*,"&amp;$A38&amp;",*")-SUMIFS('AEO 2026 Table 23 '!V:V,'AEO 2026 Table 23 '!$B:$B,"*,"&amp;$A38&amp;",*"))/SUMIFS('AEO 2026 Table 23 '!V:V,'AEO 2026 Table 23 '!$B:$B,"*,"&amp;$A38&amp;",*"),"")</f>
        <v/>
      </c>
      <c r="U38">
        <f>IFERROR((SUMIFS('AEO 2026 Table 23 '!X:X,'AEO 2026 Table 23 '!$B:$B,"*,"&amp;$A38&amp;",*")-SUMIFS('AEO 2026 Table 23 '!W:W,'AEO 2026 Table 23 '!$B:$B,"*,"&amp;$A38&amp;",*"))/SUMIFS('AEO 2026 Table 23 '!W:W,'AEO 2026 Table 23 '!$B:$B,"*,"&amp;$A38&amp;",*"),"")</f>
        <v/>
      </c>
      <c r="V38">
        <f>IFERROR((SUMIFS('AEO 2026 Table 23 '!Y:Y,'AEO 2026 Table 23 '!$B:$B,"*,"&amp;$A38&amp;",*")-SUMIFS('AEO 2026 Table 23 '!X:X,'AEO 2026 Table 23 '!$B:$B,"*,"&amp;$A38&amp;",*"))/SUMIFS('AEO 2026 Table 23 '!X:X,'AEO 2026 Table 23 '!$B:$B,"*,"&amp;$A38&amp;",*"),"")</f>
        <v/>
      </c>
      <c r="W38">
        <f>IFERROR((SUMIFS('AEO 2026 Table 23 '!Z:Z,'AEO 2026 Table 23 '!$B:$B,"*,"&amp;$A38&amp;",*")-SUMIFS('AEO 2026 Table 23 '!Y:Y,'AEO 2026 Table 23 '!$B:$B,"*,"&amp;$A38&amp;",*"))/SUMIFS('AEO 2026 Table 23 '!Y:Y,'AEO 2026 Table 23 '!$B:$B,"*,"&amp;$A38&amp;",*"),"")</f>
        <v/>
      </c>
      <c r="X38">
        <f>IFERROR((SUMIFS('AEO 2026 Table 23 '!AA:AA,'AEO 2026 Table 23 '!$B:$B,"*,"&amp;$A38&amp;",*")-SUMIFS('AEO 2026 Table 23 '!Z:Z,'AEO 2026 Table 23 '!$B:$B,"*,"&amp;$A38&amp;",*"))/SUMIFS('AEO 2026 Table 23 '!Z:Z,'AEO 2026 Table 23 '!$B:$B,"*,"&amp;$A38&amp;",*"),"")</f>
        <v/>
      </c>
      <c r="Y38">
        <f>IFERROR((SUMIFS('AEO 2026 Table 23 '!AB:AB,'AEO 2026 Table 23 '!$B:$B,"*,"&amp;$A38&amp;",*")-SUMIFS('AEO 2026 Table 23 '!AA:AA,'AEO 2026 Table 23 '!$B:$B,"*,"&amp;$A38&amp;",*"))/SUMIFS('AEO 2026 Table 23 '!AA:AA,'AEO 2026 Table 23 '!$B:$B,"*,"&amp;$A38&amp;",*"),"")</f>
        <v/>
      </c>
      <c r="Z38">
        <f>IFERROR((SUMIFS('AEO 2026 Table 23 '!AC:AC,'AEO 2026 Table 23 '!$B:$B,"*,"&amp;$A38&amp;",*")-SUMIFS('AEO 2026 Table 23 '!AB:AB,'AEO 2026 Table 23 '!$B:$B,"*,"&amp;$A38&amp;",*"))/SUMIFS('AEO 2026 Table 23 '!AB:AB,'AEO 2026 Table 23 '!$B:$B,"*,"&amp;$A38&amp;",*"),"")</f>
        <v/>
      </c>
      <c r="AA38">
        <f>IFERROR((SUMIFS('AEO 2026 Table 23 '!AD:AD,'AEO 2026 Table 23 '!$B:$B,"*,"&amp;$A38&amp;",*")-SUMIFS('AEO 2026 Table 23 '!AC:AC,'AEO 2026 Table 23 '!$B:$B,"*,"&amp;$A38&amp;",*"))/SUMIFS('AEO 2026 Table 23 '!AC:AC,'AEO 2026 Table 23 '!$B:$B,"*,"&amp;$A38&amp;",*"),"")</f>
        <v/>
      </c>
      <c r="AB38">
        <f>IFERROR((SUMIFS('AEO 2026 Table 23 '!AE:AE,'AEO 2026 Table 23 '!$B:$B,"*,"&amp;$A38&amp;",*")-SUMIFS('AEO 2026 Table 23 '!AD:AD,'AEO 2026 Table 23 '!$B:$B,"*,"&amp;$A38&amp;",*"))/SUMIFS('AEO 2026 Table 23 '!AD:AD,'AEO 2026 Table 23 '!$B:$B,"*,"&amp;$A38&amp;",*"),"")</f>
        <v/>
      </c>
      <c r="AC38">
        <f>IFERROR((SUMIFS('AEO 2026 Table 23 '!AF:AF,'AEO 2026 Table 23 '!$B:$B,"*,"&amp;$A38&amp;",*")-SUMIFS('AEO 2026 Table 23 '!AE:AE,'AEO 2026 Table 23 '!$B:$B,"*,"&amp;$A38&amp;",*"))/SUMIFS('AEO 2026 Table 23 '!AE:AE,'AEO 2026 Table 23 '!$B:$B,"*,"&amp;$A38&amp;",*"),"")</f>
        <v/>
      </c>
    </row>
    <row r="39">
      <c r="A39" t="inlineStr">
        <is>
          <t>ISIC 51</t>
        </is>
      </c>
      <c r="B39">
        <f>IFERROR(SUMPRODUCT(--('BLS Table 2.11'!$L$1:$L$426=$A39),'BLS Table 2.11'!$J$1:$J$426,'BLS Table 2.11'!$K$1:$K$426)/SUMIFS('BLS Table 2.11'!$J$1:$J$426,'BLS Table 2.11'!$L$1:$L$426,$A39)/100,0)</f>
        <v/>
      </c>
      <c r="D39">
        <f>IFERROR((SUMIFS('AEO 2026 Table 23 '!G:G,'AEO 2026 Table 23 '!$B:$B,"*,"&amp;$A39&amp;",*")-SUMIFS('AEO25 Table 23'!H:H,'AEO25 Table 23'!$B:$B,"*,"&amp;$A39&amp;",*"))/SUMIFS('AEO25 Table 23'!H:H,'AEO25 Table 23'!$B:$B,"*,"&amp;$A39&amp;",*"),"")</f>
        <v/>
      </c>
      <c r="E39">
        <f>IFERROR((SUMIFS('AEO 2026 Table 23 '!H:H,'AEO 2026 Table 23 '!$B:$B,"*,"&amp;$A39&amp;",*")-SUMIFS('AEO 2026 Table 23 '!G:G,'AEO 2026 Table 23 '!$B:$B,"*,"&amp;$A39&amp;",*"))/SUMIFS('AEO 2026 Table 23 '!G:G,'AEO 2026 Table 23 '!$B:$B,"*,"&amp;$A39&amp;",*"),"")</f>
        <v/>
      </c>
      <c r="F39">
        <f>IFERROR((SUMIFS('AEO 2026 Table 23 '!I:I,'AEO 2026 Table 23 '!$B:$B,"*,"&amp;$A39&amp;",*")-SUMIFS('AEO 2026 Table 23 '!H:H,'AEO 2026 Table 23 '!$B:$B,"*,"&amp;$A39&amp;",*"))/SUMIFS('AEO 2026 Table 23 '!H:H,'AEO 2026 Table 23 '!$B:$B,"*,"&amp;$A39&amp;",*"),"")</f>
        <v/>
      </c>
      <c r="G39">
        <f>IFERROR((SUMIFS('AEO 2026 Table 23 '!J:J,'AEO 2026 Table 23 '!$B:$B,"*,"&amp;$A39&amp;",*")-SUMIFS('AEO 2026 Table 23 '!I:I,'AEO 2026 Table 23 '!$B:$B,"*,"&amp;$A39&amp;",*"))/SUMIFS('AEO 2026 Table 23 '!I:I,'AEO 2026 Table 23 '!$B:$B,"*,"&amp;$A39&amp;",*"),"")</f>
        <v/>
      </c>
      <c r="H39">
        <f>IFERROR((SUMIFS('AEO 2026 Table 23 '!K:K,'AEO 2026 Table 23 '!$B:$B,"*,"&amp;$A39&amp;",*")-SUMIFS('AEO 2026 Table 23 '!J:J,'AEO 2026 Table 23 '!$B:$B,"*,"&amp;$A39&amp;",*"))/SUMIFS('AEO 2026 Table 23 '!J:J,'AEO 2026 Table 23 '!$B:$B,"*,"&amp;$A39&amp;",*"),"")</f>
        <v/>
      </c>
      <c r="I39">
        <f>IFERROR((SUMIFS('AEO 2026 Table 23 '!L:L,'AEO 2026 Table 23 '!$B:$B,"*,"&amp;$A39&amp;",*")-SUMIFS('AEO 2026 Table 23 '!K:K,'AEO 2026 Table 23 '!$B:$B,"*,"&amp;$A39&amp;",*"))/SUMIFS('AEO 2026 Table 23 '!K:K,'AEO 2026 Table 23 '!$B:$B,"*,"&amp;$A39&amp;",*"),"")</f>
        <v/>
      </c>
      <c r="J39">
        <f>IFERROR((SUMIFS('AEO 2026 Table 23 '!M:M,'AEO 2026 Table 23 '!$B:$B,"*,"&amp;$A39&amp;",*")-SUMIFS('AEO 2026 Table 23 '!L:L,'AEO 2026 Table 23 '!$B:$B,"*,"&amp;$A39&amp;",*"))/SUMIFS('AEO 2026 Table 23 '!L:L,'AEO 2026 Table 23 '!$B:$B,"*,"&amp;$A39&amp;",*"),"")</f>
        <v/>
      </c>
      <c r="K39">
        <f>IFERROR((SUMIFS('AEO 2026 Table 23 '!N:N,'AEO 2026 Table 23 '!$B:$B,"*,"&amp;$A39&amp;",*")-SUMIFS('AEO 2026 Table 23 '!M:M,'AEO 2026 Table 23 '!$B:$B,"*,"&amp;$A39&amp;",*"))/SUMIFS('AEO 2026 Table 23 '!M:M,'AEO 2026 Table 23 '!$B:$B,"*,"&amp;$A39&amp;",*"),"")</f>
        <v/>
      </c>
      <c r="L39">
        <f>IFERROR((SUMIFS('AEO 2026 Table 23 '!O:O,'AEO 2026 Table 23 '!$B:$B,"*,"&amp;$A39&amp;",*")-SUMIFS('AEO 2026 Table 23 '!N:N,'AEO 2026 Table 23 '!$B:$B,"*,"&amp;$A39&amp;",*"))/SUMIFS('AEO 2026 Table 23 '!N:N,'AEO 2026 Table 23 '!$B:$B,"*,"&amp;$A39&amp;",*"),"")</f>
        <v/>
      </c>
      <c r="M39">
        <f>IFERROR((SUMIFS('AEO 2026 Table 23 '!P:P,'AEO 2026 Table 23 '!$B:$B,"*,"&amp;$A39&amp;",*")-SUMIFS('AEO 2026 Table 23 '!O:O,'AEO 2026 Table 23 '!$B:$B,"*,"&amp;$A39&amp;",*"))/SUMIFS('AEO 2026 Table 23 '!O:O,'AEO 2026 Table 23 '!$B:$B,"*,"&amp;$A39&amp;",*"),"")</f>
        <v/>
      </c>
      <c r="N39">
        <f>IFERROR((SUMIFS('AEO 2026 Table 23 '!Q:Q,'AEO 2026 Table 23 '!$B:$B,"*,"&amp;$A39&amp;",*")-SUMIFS('AEO 2026 Table 23 '!P:P,'AEO 2026 Table 23 '!$B:$B,"*,"&amp;$A39&amp;",*"))/SUMIFS('AEO 2026 Table 23 '!P:P,'AEO 2026 Table 23 '!$B:$B,"*,"&amp;$A39&amp;",*"),"")</f>
        <v/>
      </c>
      <c r="O39">
        <f>IFERROR((SUMIFS('AEO 2026 Table 23 '!R:R,'AEO 2026 Table 23 '!$B:$B,"*,"&amp;$A39&amp;",*")-SUMIFS('AEO 2026 Table 23 '!Q:Q,'AEO 2026 Table 23 '!$B:$B,"*,"&amp;$A39&amp;",*"))/SUMIFS('AEO 2026 Table 23 '!Q:Q,'AEO 2026 Table 23 '!$B:$B,"*,"&amp;$A39&amp;",*"),"")</f>
        <v/>
      </c>
      <c r="P39">
        <f>IFERROR((SUMIFS('AEO 2026 Table 23 '!S:S,'AEO 2026 Table 23 '!$B:$B,"*,"&amp;$A39&amp;",*")-SUMIFS('AEO 2026 Table 23 '!R:R,'AEO 2026 Table 23 '!$B:$B,"*,"&amp;$A39&amp;",*"))/SUMIFS('AEO 2026 Table 23 '!R:R,'AEO 2026 Table 23 '!$B:$B,"*,"&amp;$A39&amp;",*"),"")</f>
        <v/>
      </c>
      <c r="Q39">
        <f>IFERROR((SUMIFS('AEO 2026 Table 23 '!T:T,'AEO 2026 Table 23 '!$B:$B,"*,"&amp;$A39&amp;",*")-SUMIFS('AEO 2026 Table 23 '!S:S,'AEO 2026 Table 23 '!$B:$B,"*,"&amp;$A39&amp;",*"))/SUMIFS('AEO 2026 Table 23 '!S:S,'AEO 2026 Table 23 '!$B:$B,"*,"&amp;$A39&amp;",*"),"")</f>
        <v/>
      </c>
      <c r="R39">
        <f>IFERROR((SUMIFS('AEO 2026 Table 23 '!U:U,'AEO 2026 Table 23 '!$B:$B,"*,"&amp;$A39&amp;",*")-SUMIFS('AEO 2026 Table 23 '!T:T,'AEO 2026 Table 23 '!$B:$B,"*,"&amp;$A39&amp;",*"))/SUMIFS('AEO 2026 Table 23 '!T:T,'AEO 2026 Table 23 '!$B:$B,"*,"&amp;$A39&amp;",*"),"")</f>
        <v/>
      </c>
      <c r="S39">
        <f>IFERROR((SUMIFS('AEO 2026 Table 23 '!V:V,'AEO 2026 Table 23 '!$B:$B,"*,"&amp;$A39&amp;",*")-SUMIFS('AEO 2026 Table 23 '!U:U,'AEO 2026 Table 23 '!$B:$B,"*,"&amp;$A39&amp;",*"))/SUMIFS('AEO 2026 Table 23 '!U:U,'AEO 2026 Table 23 '!$B:$B,"*,"&amp;$A39&amp;",*"),"")</f>
        <v/>
      </c>
      <c r="T39">
        <f>IFERROR((SUMIFS('AEO 2026 Table 23 '!W:W,'AEO 2026 Table 23 '!$B:$B,"*,"&amp;$A39&amp;",*")-SUMIFS('AEO 2026 Table 23 '!V:V,'AEO 2026 Table 23 '!$B:$B,"*,"&amp;$A39&amp;",*"))/SUMIFS('AEO 2026 Table 23 '!V:V,'AEO 2026 Table 23 '!$B:$B,"*,"&amp;$A39&amp;",*"),"")</f>
        <v/>
      </c>
      <c r="U39">
        <f>IFERROR((SUMIFS('AEO 2026 Table 23 '!X:X,'AEO 2026 Table 23 '!$B:$B,"*,"&amp;$A39&amp;",*")-SUMIFS('AEO 2026 Table 23 '!W:W,'AEO 2026 Table 23 '!$B:$B,"*,"&amp;$A39&amp;",*"))/SUMIFS('AEO 2026 Table 23 '!W:W,'AEO 2026 Table 23 '!$B:$B,"*,"&amp;$A39&amp;",*"),"")</f>
        <v/>
      </c>
      <c r="V39">
        <f>IFERROR((SUMIFS('AEO 2026 Table 23 '!Y:Y,'AEO 2026 Table 23 '!$B:$B,"*,"&amp;$A39&amp;",*")-SUMIFS('AEO 2026 Table 23 '!X:X,'AEO 2026 Table 23 '!$B:$B,"*,"&amp;$A39&amp;",*"))/SUMIFS('AEO 2026 Table 23 '!X:X,'AEO 2026 Table 23 '!$B:$B,"*,"&amp;$A39&amp;",*"),"")</f>
        <v/>
      </c>
      <c r="W39">
        <f>IFERROR((SUMIFS('AEO 2026 Table 23 '!Z:Z,'AEO 2026 Table 23 '!$B:$B,"*,"&amp;$A39&amp;",*")-SUMIFS('AEO 2026 Table 23 '!Y:Y,'AEO 2026 Table 23 '!$B:$B,"*,"&amp;$A39&amp;",*"))/SUMIFS('AEO 2026 Table 23 '!Y:Y,'AEO 2026 Table 23 '!$B:$B,"*,"&amp;$A39&amp;",*"),"")</f>
        <v/>
      </c>
      <c r="X39">
        <f>IFERROR((SUMIFS('AEO 2026 Table 23 '!AA:AA,'AEO 2026 Table 23 '!$B:$B,"*,"&amp;$A39&amp;",*")-SUMIFS('AEO 2026 Table 23 '!Z:Z,'AEO 2026 Table 23 '!$B:$B,"*,"&amp;$A39&amp;",*"))/SUMIFS('AEO 2026 Table 23 '!Z:Z,'AEO 2026 Table 23 '!$B:$B,"*,"&amp;$A39&amp;",*"),"")</f>
        <v/>
      </c>
      <c r="Y39">
        <f>IFERROR((SUMIFS('AEO 2026 Table 23 '!AB:AB,'AEO 2026 Table 23 '!$B:$B,"*,"&amp;$A39&amp;",*")-SUMIFS('AEO 2026 Table 23 '!AA:AA,'AEO 2026 Table 23 '!$B:$B,"*,"&amp;$A39&amp;",*"))/SUMIFS('AEO 2026 Table 23 '!AA:AA,'AEO 2026 Table 23 '!$B:$B,"*,"&amp;$A39&amp;",*"),"")</f>
        <v/>
      </c>
      <c r="Z39">
        <f>IFERROR((SUMIFS('AEO 2026 Table 23 '!AC:AC,'AEO 2026 Table 23 '!$B:$B,"*,"&amp;$A39&amp;",*")-SUMIFS('AEO 2026 Table 23 '!AB:AB,'AEO 2026 Table 23 '!$B:$B,"*,"&amp;$A39&amp;",*"))/SUMIFS('AEO 2026 Table 23 '!AB:AB,'AEO 2026 Table 23 '!$B:$B,"*,"&amp;$A39&amp;",*"),"")</f>
        <v/>
      </c>
      <c r="AA39">
        <f>IFERROR((SUMIFS('AEO 2026 Table 23 '!AD:AD,'AEO 2026 Table 23 '!$B:$B,"*,"&amp;$A39&amp;",*")-SUMIFS('AEO 2026 Table 23 '!AC:AC,'AEO 2026 Table 23 '!$B:$B,"*,"&amp;$A39&amp;",*"))/SUMIFS('AEO 2026 Table 23 '!AC:AC,'AEO 2026 Table 23 '!$B:$B,"*,"&amp;$A39&amp;",*"),"")</f>
        <v/>
      </c>
      <c r="AB39">
        <f>IFERROR((SUMIFS('AEO 2026 Table 23 '!AE:AE,'AEO 2026 Table 23 '!$B:$B,"*,"&amp;$A39&amp;",*")-SUMIFS('AEO 2026 Table 23 '!AD:AD,'AEO 2026 Table 23 '!$B:$B,"*,"&amp;$A39&amp;",*"))/SUMIFS('AEO 2026 Table 23 '!AD:AD,'AEO 2026 Table 23 '!$B:$B,"*,"&amp;$A39&amp;",*"),"")</f>
        <v/>
      </c>
      <c r="AC39">
        <f>IFERROR((SUMIFS('AEO 2026 Table 23 '!AF:AF,'AEO 2026 Table 23 '!$B:$B,"*,"&amp;$A39&amp;",*")-SUMIFS('AEO 2026 Table 23 '!AE:AE,'AEO 2026 Table 23 '!$B:$B,"*,"&amp;$A39&amp;",*"))/SUMIFS('AEO 2026 Table 23 '!AE:AE,'AEO 2026 Table 23 '!$B:$B,"*,"&amp;$A39&amp;",*"),"")</f>
        <v/>
      </c>
    </row>
    <row r="40">
      <c r="A40" t="inlineStr">
        <is>
          <t>ISIC 52</t>
        </is>
      </c>
      <c r="B40">
        <f>IFERROR(SUMPRODUCT(--('BLS Table 2.11'!$L$1:$L$426=$A40),'BLS Table 2.11'!$J$1:$J$426,'BLS Table 2.11'!$K$1:$K$426)/SUMIFS('BLS Table 2.11'!$J$1:$J$426,'BLS Table 2.11'!$L$1:$L$426,$A40)/100,0)</f>
        <v/>
      </c>
      <c r="D40">
        <f>IFERROR((SUMIFS('AEO 2026 Table 23 '!G:G,'AEO 2026 Table 23 '!$B:$B,"*,"&amp;$A40&amp;",*")-SUMIFS('AEO25 Table 23'!H:H,'AEO25 Table 23'!$B:$B,"*,"&amp;$A40&amp;",*"))/SUMIFS('AEO25 Table 23'!H:H,'AEO25 Table 23'!$B:$B,"*,"&amp;$A40&amp;",*"),"")</f>
        <v/>
      </c>
      <c r="E40">
        <f>IFERROR((SUMIFS('AEO 2026 Table 23 '!H:H,'AEO 2026 Table 23 '!$B:$B,"*,"&amp;$A40&amp;",*")-SUMIFS('AEO 2026 Table 23 '!G:G,'AEO 2026 Table 23 '!$B:$B,"*,"&amp;$A40&amp;",*"))/SUMIFS('AEO 2026 Table 23 '!G:G,'AEO 2026 Table 23 '!$B:$B,"*,"&amp;$A40&amp;",*"),"")</f>
        <v/>
      </c>
      <c r="F40">
        <f>IFERROR((SUMIFS('AEO 2026 Table 23 '!I:I,'AEO 2026 Table 23 '!$B:$B,"*,"&amp;$A40&amp;",*")-SUMIFS('AEO 2026 Table 23 '!H:H,'AEO 2026 Table 23 '!$B:$B,"*,"&amp;$A40&amp;",*"))/SUMIFS('AEO 2026 Table 23 '!H:H,'AEO 2026 Table 23 '!$B:$B,"*,"&amp;$A40&amp;",*"),"")</f>
        <v/>
      </c>
      <c r="G40">
        <f>IFERROR((SUMIFS('AEO 2026 Table 23 '!J:J,'AEO 2026 Table 23 '!$B:$B,"*,"&amp;$A40&amp;",*")-SUMIFS('AEO 2026 Table 23 '!I:I,'AEO 2026 Table 23 '!$B:$B,"*,"&amp;$A40&amp;",*"))/SUMIFS('AEO 2026 Table 23 '!I:I,'AEO 2026 Table 23 '!$B:$B,"*,"&amp;$A40&amp;",*"),"")</f>
        <v/>
      </c>
      <c r="H40">
        <f>IFERROR((SUMIFS('AEO 2026 Table 23 '!K:K,'AEO 2026 Table 23 '!$B:$B,"*,"&amp;$A40&amp;",*")-SUMIFS('AEO 2026 Table 23 '!J:J,'AEO 2026 Table 23 '!$B:$B,"*,"&amp;$A40&amp;",*"))/SUMIFS('AEO 2026 Table 23 '!J:J,'AEO 2026 Table 23 '!$B:$B,"*,"&amp;$A40&amp;",*"),"")</f>
        <v/>
      </c>
      <c r="I40">
        <f>IFERROR((SUMIFS('AEO 2026 Table 23 '!L:L,'AEO 2026 Table 23 '!$B:$B,"*,"&amp;$A40&amp;",*")-SUMIFS('AEO 2026 Table 23 '!K:K,'AEO 2026 Table 23 '!$B:$B,"*,"&amp;$A40&amp;",*"))/SUMIFS('AEO 2026 Table 23 '!K:K,'AEO 2026 Table 23 '!$B:$B,"*,"&amp;$A40&amp;",*"),"")</f>
        <v/>
      </c>
      <c r="J40">
        <f>IFERROR((SUMIFS('AEO 2026 Table 23 '!M:M,'AEO 2026 Table 23 '!$B:$B,"*,"&amp;$A40&amp;",*")-SUMIFS('AEO 2026 Table 23 '!L:L,'AEO 2026 Table 23 '!$B:$B,"*,"&amp;$A40&amp;",*"))/SUMIFS('AEO 2026 Table 23 '!L:L,'AEO 2026 Table 23 '!$B:$B,"*,"&amp;$A40&amp;",*"),"")</f>
        <v/>
      </c>
      <c r="K40">
        <f>IFERROR((SUMIFS('AEO 2026 Table 23 '!N:N,'AEO 2026 Table 23 '!$B:$B,"*,"&amp;$A40&amp;",*")-SUMIFS('AEO 2026 Table 23 '!M:M,'AEO 2026 Table 23 '!$B:$B,"*,"&amp;$A40&amp;",*"))/SUMIFS('AEO 2026 Table 23 '!M:M,'AEO 2026 Table 23 '!$B:$B,"*,"&amp;$A40&amp;",*"),"")</f>
        <v/>
      </c>
      <c r="L40">
        <f>IFERROR((SUMIFS('AEO 2026 Table 23 '!O:O,'AEO 2026 Table 23 '!$B:$B,"*,"&amp;$A40&amp;",*")-SUMIFS('AEO 2026 Table 23 '!N:N,'AEO 2026 Table 23 '!$B:$B,"*,"&amp;$A40&amp;",*"))/SUMIFS('AEO 2026 Table 23 '!N:N,'AEO 2026 Table 23 '!$B:$B,"*,"&amp;$A40&amp;",*"),"")</f>
        <v/>
      </c>
      <c r="M40">
        <f>IFERROR((SUMIFS('AEO 2026 Table 23 '!P:P,'AEO 2026 Table 23 '!$B:$B,"*,"&amp;$A40&amp;",*")-SUMIFS('AEO 2026 Table 23 '!O:O,'AEO 2026 Table 23 '!$B:$B,"*,"&amp;$A40&amp;",*"))/SUMIFS('AEO 2026 Table 23 '!O:O,'AEO 2026 Table 23 '!$B:$B,"*,"&amp;$A40&amp;",*"),"")</f>
        <v/>
      </c>
      <c r="N40">
        <f>IFERROR((SUMIFS('AEO 2026 Table 23 '!Q:Q,'AEO 2026 Table 23 '!$B:$B,"*,"&amp;$A40&amp;",*")-SUMIFS('AEO 2026 Table 23 '!P:P,'AEO 2026 Table 23 '!$B:$B,"*,"&amp;$A40&amp;",*"))/SUMIFS('AEO 2026 Table 23 '!P:P,'AEO 2026 Table 23 '!$B:$B,"*,"&amp;$A40&amp;",*"),"")</f>
        <v/>
      </c>
      <c r="O40">
        <f>IFERROR((SUMIFS('AEO 2026 Table 23 '!R:R,'AEO 2026 Table 23 '!$B:$B,"*,"&amp;$A40&amp;",*")-SUMIFS('AEO 2026 Table 23 '!Q:Q,'AEO 2026 Table 23 '!$B:$B,"*,"&amp;$A40&amp;",*"))/SUMIFS('AEO 2026 Table 23 '!Q:Q,'AEO 2026 Table 23 '!$B:$B,"*,"&amp;$A40&amp;",*"),"")</f>
        <v/>
      </c>
      <c r="P40">
        <f>IFERROR((SUMIFS('AEO 2026 Table 23 '!S:S,'AEO 2026 Table 23 '!$B:$B,"*,"&amp;$A40&amp;",*")-SUMIFS('AEO 2026 Table 23 '!R:R,'AEO 2026 Table 23 '!$B:$B,"*,"&amp;$A40&amp;",*"))/SUMIFS('AEO 2026 Table 23 '!R:R,'AEO 2026 Table 23 '!$B:$B,"*,"&amp;$A40&amp;",*"),"")</f>
        <v/>
      </c>
      <c r="Q40">
        <f>IFERROR((SUMIFS('AEO 2026 Table 23 '!T:T,'AEO 2026 Table 23 '!$B:$B,"*,"&amp;$A40&amp;",*")-SUMIFS('AEO 2026 Table 23 '!S:S,'AEO 2026 Table 23 '!$B:$B,"*,"&amp;$A40&amp;",*"))/SUMIFS('AEO 2026 Table 23 '!S:S,'AEO 2026 Table 23 '!$B:$B,"*,"&amp;$A40&amp;",*"),"")</f>
        <v/>
      </c>
      <c r="R40">
        <f>IFERROR((SUMIFS('AEO 2026 Table 23 '!U:U,'AEO 2026 Table 23 '!$B:$B,"*,"&amp;$A40&amp;",*")-SUMIFS('AEO 2026 Table 23 '!T:T,'AEO 2026 Table 23 '!$B:$B,"*,"&amp;$A40&amp;",*"))/SUMIFS('AEO 2026 Table 23 '!T:T,'AEO 2026 Table 23 '!$B:$B,"*,"&amp;$A40&amp;",*"),"")</f>
        <v/>
      </c>
      <c r="S40">
        <f>IFERROR((SUMIFS('AEO 2026 Table 23 '!V:V,'AEO 2026 Table 23 '!$B:$B,"*,"&amp;$A40&amp;",*")-SUMIFS('AEO 2026 Table 23 '!U:U,'AEO 2026 Table 23 '!$B:$B,"*,"&amp;$A40&amp;",*"))/SUMIFS('AEO 2026 Table 23 '!U:U,'AEO 2026 Table 23 '!$B:$B,"*,"&amp;$A40&amp;",*"),"")</f>
        <v/>
      </c>
      <c r="T40">
        <f>IFERROR((SUMIFS('AEO 2026 Table 23 '!W:W,'AEO 2026 Table 23 '!$B:$B,"*,"&amp;$A40&amp;",*")-SUMIFS('AEO 2026 Table 23 '!V:V,'AEO 2026 Table 23 '!$B:$B,"*,"&amp;$A40&amp;",*"))/SUMIFS('AEO 2026 Table 23 '!V:V,'AEO 2026 Table 23 '!$B:$B,"*,"&amp;$A40&amp;",*"),"")</f>
        <v/>
      </c>
      <c r="U40">
        <f>IFERROR((SUMIFS('AEO 2026 Table 23 '!X:X,'AEO 2026 Table 23 '!$B:$B,"*,"&amp;$A40&amp;",*")-SUMIFS('AEO 2026 Table 23 '!W:W,'AEO 2026 Table 23 '!$B:$B,"*,"&amp;$A40&amp;",*"))/SUMIFS('AEO 2026 Table 23 '!W:W,'AEO 2026 Table 23 '!$B:$B,"*,"&amp;$A40&amp;",*"),"")</f>
        <v/>
      </c>
      <c r="V40">
        <f>IFERROR((SUMIFS('AEO 2026 Table 23 '!Y:Y,'AEO 2026 Table 23 '!$B:$B,"*,"&amp;$A40&amp;",*")-SUMIFS('AEO 2026 Table 23 '!X:X,'AEO 2026 Table 23 '!$B:$B,"*,"&amp;$A40&amp;",*"))/SUMIFS('AEO 2026 Table 23 '!X:X,'AEO 2026 Table 23 '!$B:$B,"*,"&amp;$A40&amp;",*"),"")</f>
        <v/>
      </c>
      <c r="W40">
        <f>IFERROR((SUMIFS('AEO 2026 Table 23 '!Z:Z,'AEO 2026 Table 23 '!$B:$B,"*,"&amp;$A40&amp;",*")-SUMIFS('AEO 2026 Table 23 '!Y:Y,'AEO 2026 Table 23 '!$B:$B,"*,"&amp;$A40&amp;",*"))/SUMIFS('AEO 2026 Table 23 '!Y:Y,'AEO 2026 Table 23 '!$B:$B,"*,"&amp;$A40&amp;",*"),"")</f>
        <v/>
      </c>
      <c r="X40">
        <f>IFERROR((SUMIFS('AEO 2026 Table 23 '!AA:AA,'AEO 2026 Table 23 '!$B:$B,"*,"&amp;$A40&amp;",*")-SUMIFS('AEO 2026 Table 23 '!Z:Z,'AEO 2026 Table 23 '!$B:$B,"*,"&amp;$A40&amp;",*"))/SUMIFS('AEO 2026 Table 23 '!Z:Z,'AEO 2026 Table 23 '!$B:$B,"*,"&amp;$A40&amp;",*"),"")</f>
        <v/>
      </c>
      <c r="Y40">
        <f>IFERROR((SUMIFS('AEO 2026 Table 23 '!AB:AB,'AEO 2026 Table 23 '!$B:$B,"*,"&amp;$A40&amp;",*")-SUMIFS('AEO 2026 Table 23 '!AA:AA,'AEO 2026 Table 23 '!$B:$B,"*,"&amp;$A40&amp;",*"))/SUMIFS('AEO 2026 Table 23 '!AA:AA,'AEO 2026 Table 23 '!$B:$B,"*,"&amp;$A40&amp;",*"),"")</f>
        <v/>
      </c>
      <c r="Z40">
        <f>IFERROR((SUMIFS('AEO 2026 Table 23 '!AC:AC,'AEO 2026 Table 23 '!$B:$B,"*,"&amp;$A40&amp;",*")-SUMIFS('AEO 2026 Table 23 '!AB:AB,'AEO 2026 Table 23 '!$B:$B,"*,"&amp;$A40&amp;",*"))/SUMIFS('AEO 2026 Table 23 '!AB:AB,'AEO 2026 Table 23 '!$B:$B,"*,"&amp;$A40&amp;",*"),"")</f>
        <v/>
      </c>
      <c r="AA40">
        <f>IFERROR((SUMIFS('AEO 2026 Table 23 '!AD:AD,'AEO 2026 Table 23 '!$B:$B,"*,"&amp;$A40&amp;",*")-SUMIFS('AEO 2026 Table 23 '!AC:AC,'AEO 2026 Table 23 '!$B:$B,"*,"&amp;$A40&amp;",*"))/SUMIFS('AEO 2026 Table 23 '!AC:AC,'AEO 2026 Table 23 '!$B:$B,"*,"&amp;$A40&amp;",*"),"")</f>
        <v/>
      </c>
      <c r="AB40">
        <f>IFERROR((SUMIFS('AEO 2026 Table 23 '!AE:AE,'AEO 2026 Table 23 '!$B:$B,"*,"&amp;$A40&amp;",*")-SUMIFS('AEO 2026 Table 23 '!AD:AD,'AEO 2026 Table 23 '!$B:$B,"*,"&amp;$A40&amp;",*"))/SUMIFS('AEO 2026 Table 23 '!AD:AD,'AEO 2026 Table 23 '!$B:$B,"*,"&amp;$A40&amp;",*"),"")</f>
        <v/>
      </c>
      <c r="AC40">
        <f>IFERROR((SUMIFS('AEO 2026 Table 23 '!AF:AF,'AEO 2026 Table 23 '!$B:$B,"*,"&amp;$A40&amp;",*")-SUMIFS('AEO 2026 Table 23 '!AE:AE,'AEO 2026 Table 23 '!$B:$B,"*,"&amp;$A40&amp;",*"))/SUMIFS('AEO 2026 Table 23 '!AE:AE,'AEO 2026 Table 23 '!$B:$B,"*,"&amp;$A40&amp;",*"),"")</f>
        <v/>
      </c>
    </row>
    <row r="41">
      <c r="A41" t="inlineStr">
        <is>
          <t>ISIC 53</t>
        </is>
      </c>
      <c r="B41">
        <f>IFERROR(SUMPRODUCT(--('BLS Table 2.11'!$L$1:$L$426=$A41),'BLS Table 2.11'!$J$1:$J$426,'BLS Table 2.11'!$K$1:$K$426)/SUMIFS('BLS Table 2.11'!$J$1:$J$426,'BLS Table 2.11'!$L$1:$L$426,$A41)/100,0)</f>
        <v/>
      </c>
      <c r="D41">
        <f>IFERROR((SUMIFS('AEO 2026 Table 23 '!G:G,'AEO 2026 Table 23 '!$B:$B,"*,"&amp;$A41&amp;",*")-SUMIFS('AEO25 Table 23'!H:H,'AEO25 Table 23'!$B:$B,"*,"&amp;$A41&amp;",*"))/SUMIFS('AEO25 Table 23'!H:H,'AEO25 Table 23'!$B:$B,"*,"&amp;$A41&amp;",*"),"")</f>
        <v/>
      </c>
      <c r="E41">
        <f>IFERROR((SUMIFS('AEO 2026 Table 23 '!H:H,'AEO 2026 Table 23 '!$B:$B,"*,"&amp;$A41&amp;",*")-SUMIFS('AEO 2026 Table 23 '!G:G,'AEO 2026 Table 23 '!$B:$B,"*,"&amp;$A41&amp;",*"))/SUMIFS('AEO 2026 Table 23 '!G:G,'AEO 2026 Table 23 '!$B:$B,"*,"&amp;$A41&amp;",*"),"")</f>
        <v/>
      </c>
      <c r="F41">
        <f>IFERROR((SUMIFS('AEO 2026 Table 23 '!I:I,'AEO 2026 Table 23 '!$B:$B,"*,"&amp;$A41&amp;",*")-SUMIFS('AEO 2026 Table 23 '!H:H,'AEO 2026 Table 23 '!$B:$B,"*,"&amp;$A41&amp;",*"))/SUMIFS('AEO 2026 Table 23 '!H:H,'AEO 2026 Table 23 '!$B:$B,"*,"&amp;$A41&amp;",*"),"")</f>
        <v/>
      </c>
      <c r="G41">
        <f>IFERROR((SUMIFS('AEO 2026 Table 23 '!J:J,'AEO 2026 Table 23 '!$B:$B,"*,"&amp;$A41&amp;",*")-SUMIFS('AEO 2026 Table 23 '!I:I,'AEO 2026 Table 23 '!$B:$B,"*,"&amp;$A41&amp;",*"))/SUMIFS('AEO 2026 Table 23 '!I:I,'AEO 2026 Table 23 '!$B:$B,"*,"&amp;$A41&amp;",*"),"")</f>
        <v/>
      </c>
      <c r="H41">
        <f>IFERROR((SUMIFS('AEO 2026 Table 23 '!K:K,'AEO 2026 Table 23 '!$B:$B,"*,"&amp;$A41&amp;",*")-SUMIFS('AEO 2026 Table 23 '!J:J,'AEO 2026 Table 23 '!$B:$B,"*,"&amp;$A41&amp;",*"))/SUMIFS('AEO 2026 Table 23 '!J:J,'AEO 2026 Table 23 '!$B:$B,"*,"&amp;$A41&amp;",*"),"")</f>
        <v/>
      </c>
      <c r="I41">
        <f>IFERROR((SUMIFS('AEO 2026 Table 23 '!L:L,'AEO 2026 Table 23 '!$B:$B,"*,"&amp;$A41&amp;",*")-SUMIFS('AEO 2026 Table 23 '!K:K,'AEO 2026 Table 23 '!$B:$B,"*,"&amp;$A41&amp;",*"))/SUMIFS('AEO 2026 Table 23 '!K:K,'AEO 2026 Table 23 '!$B:$B,"*,"&amp;$A41&amp;",*"),"")</f>
        <v/>
      </c>
      <c r="J41">
        <f>IFERROR((SUMIFS('AEO 2026 Table 23 '!M:M,'AEO 2026 Table 23 '!$B:$B,"*,"&amp;$A41&amp;",*")-SUMIFS('AEO 2026 Table 23 '!L:L,'AEO 2026 Table 23 '!$B:$B,"*,"&amp;$A41&amp;",*"))/SUMIFS('AEO 2026 Table 23 '!L:L,'AEO 2026 Table 23 '!$B:$B,"*,"&amp;$A41&amp;",*"),"")</f>
        <v/>
      </c>
      <c r="K41">
        <f>IFERROR((SUMIFS('AEO 2026 Table 23 '!N:N,'AEO 2026 Table 23 '!$B:$B,"*,"&amp;$A41&amp;",*")-SUMIFS('AEO 2026 Table 23 '!M:M,'AEO 2026 Table 23 '!$B:$B,"*,"&amp;$A41&amp;",*"))/SUMIFS('AEO 2026 Table 23 '!M:M,'AEO 2026 Table 23 '!$B:$B,"*,"&amp;$A41&amp;",*"),"")</f>
        <v/>
      </c>
      <c r="L41">
        <f>IFERROR((SUMIFS('AEO 2026 Table 23 '!O:O,'AEO 2026 Table 23 '!$B:$B,"*,"&amp;$A41&amp;",*")-SUMIFS('AEO 2026 Table 23 '!N:N,'AEO 2026 Table 23 '!$B:$B,"*,"&amp;$A41&amp;",*"))/SUMIFS('AEO 2026 Table 23 '!N:N,'AEO 2026 Table 23 '!$B:$B,"*,"&amp;$A41&amp;",*"),"")</f>
        <v/>
      </c>
      <c r="M41">
        <f>IFERROR((SUMIFS('AEO 2026 Table 23 '!P:P,'AEO 2026 Table 23 '!$B:$B,"*,"&amp;$A41&amp;",*")-SUMIFS('AEO 2026 Table 23 '!O:O,'AEO 2026 Table 23 '!$B:$B,"*,"&amp;$A41&amp;",*"))/SUMIFS('AEO 2026 Table 23 '!O:O,'AEO 2026 Table 23 '!$B:$B,"*,"&amp;$A41&amp;",*"),"")</f>
        <v/>
      </c>
      <c r="N41">
        <f>IFERROR((SUMIFS('AEO 2026 Table 23 '!Q:Q,'AEO 2026 Table 23 '!$B:$B,"*,"&amp;$A41&amp;",*")-SUMIFS('AEO 2026 Table 23 '!P:P,'AEO 2026 Table 23 '!$B:$B,"*,"&amp;$A41&amp;",*"))/SUMIFS('AEO 2026 Table 23 '!P:P,'AEO 2026 Table 23 '!$B:$B,"*,"&amp;$A41&amp;",*"),"")</f>
        <v/>
      </c>
      <c r="O41">
        <f>IFERROR((SUMIFS('AEO 2026 Table 23 '!R:R,'AEO 2026 Table 23 '!$B:$B,"*,"&amp;$A41&amp;",*")-SUMIFS('AEO 2026 Table 23 '!Q:Q,'AEO 2026 Table 23 '!$B:$B,"*,"&amp;$A41&amp;",*"))/SUMIFS('AEO 2026 Table 23 '!Q:Q,'AEO 2026 Table 23 '!$B:$B,"*,"&amp;$A41&amp;",*"),"")</f>
        <v/>
      </c>
      <c r="P41">
        <f>IFERROR((SUMIFS('AEO 2026 Table 23 '!S:S,'AEO 2026 Table 23 '!$B:$B,"*,"&amp;$A41&amp;",*")-SUMIFS('AEO 2026 Table 23 '!R:R,'AEO 2026 Table 23 '!$B:$B,"*,"&amp;$A41&amp;",*"))/SUMIFS('AEO 2026 Table 23 '!R:R,'AEO 2026 Table 23 '!$B:$B,"*,"&amp;$A41&amp;",*"),"")</f>
        <v/>
      </c>
      <c r="Q41">
        <f>IFERROR((SUMIFS('AEO 2026 Table 23 '!T:T,'AEO 2026 Table 23 '!$B:$B,"*,"&amp;$A41&amp;",*")-SUMIFS('AEO 2026 Table 23 '!S:S,'AEO 2026 Table 23 '!$B:$B,"*,"&amp;$A41&amp;",*"))/SUMIFS('AEO 2026 Table 23 '!S:S,'AEO 2026 Table 23 '!$B:$B,"*,"&amp;$A41&amp;",*"),"")</f>
        <v/>
      </c>
      <c r="R41">
        <f>IFERROR((SUMIFS('AEO 2026 Table 23 '!U:U,'AEO 2026 Table 23 '!$B:$B,"*,"&amp;$A41&amp;",*")-SUMIFS('AEO 2026 Table 23 '!T:T,'AEO 2026 Table 23 '!$B:$B,"*,"&amp;$A41&amp;",*"))/SUMIFS('AEO 2026 Table 23 '!T:T,'AEO 2026 Table 23 '!$B:$B,"*,"&amp;$A41&amp;",*"),"")</f>
        <v/>
      </c>
      <c r="S41">
        <f>IFERROR((SUMIFS('AEO 2026 Table 23 '!V:V,'AEO 2026 Table 23 '!$B:$B,"*,"&amp;$A41&amp;",*")-SUMIFS('AEO 2026 Table 23 '!U:U,'AEO 2026 Table 23 '!$B:$B,"*,"&amp;$A41&amp;",*"))/SUMIFS('AEO 2026 Table 23 '!U:U,'AEO 2026 Table 23 '!$B:$B,"*,"&amp;$A41&amp;",*"),"")</f>
        <v/>
      </c>
      <c r="T41">
        <f>IFERROR((SUMIFS('AEO 2026 Table 23 '!W:W,'AEO 2026 Table 23 '!$B:$B,"*,"&amp;$A41&amp;",*")-SUMIFS('AEO 2026 Table 23 '!V:V,'AEO 2026 Table 23 '!$B:$B,"*,"&amp;$A41&amp;",*"))/SUMIFS('AEO 2026 Table 23 '!V:V,'AEO 2026 Table 23 '!$B:$B,"*,"&amp;$A41&amp;",*"),"")</f>
        <v/>
      </c>
      <c r="U41">
        <f>IFERROR((SUMIFS('AEO 2026 Table 23 '!X:X,'AEO 2026 Table 23 '!$B:$B,"*,"&amp;$A41&amp;",*")-SUMIFS('AEO 2026 Table 23 '!W:W,'AEO 2026 Table 23 '!$B:$B,"*,"&amp;$A41&amp;",*"))/SUMIFS('AEO 2026 Table 23 '!W:W,'AEO 2026 Table 23 '!$B:$B,"*,"&amp;$A41&amp;",*"),"")</f>
        <v/>
      </c>
      <c r="V41">
        <f>IFERROR((SUMIFS('AEO 2026 Table 23 '!Y:Y,'AEO 2026 Table 23 '!$B:$B,"*,"&amp;$A41&amp;",*")-SUMIFS('AEO 2026 Table 23 '!X:X,'AEO 2026 Table 23 '!$B:$B,"*,"&amp;$A41&amp;",*"))/SUMIFS('AEO 2026 Table 23 '!X:X,'AEO 2026 Table 23 '!$B:$B,"*,"&amp;$A41&amp;",*"),"")</f>
        <v/>
      </c>
      <c r="W41">
        <f>IFERROR((SUMIFS('AEO 2026 Table 23 '!Z:Z,'AEO 2026 Table 23 '!$B:$B,"*,"&amp;$A41&amp;",*")-SUMIFS('AEO 2026 Table 23 '!Y:Y,'AEO 2026 Table 23 '!$B:$B,"*,"&amp;$A41&amp;",*"))/SUMIFS('AEO 2026 Table 23 '!Y:Y,'AEO 2026 Table 23 '!$B:$B,"*,"&amp;$A41&amp;",*"),"")</f>
        <v/>
      </c>
      <c r="X41">
        <f>IFERROR((SUMIFS('AEO 2026 Table 23 '!AA:AA,'AEO 2026 Table 23 '!$B:$B,"*,"&amp;$A41&amp;",*")-SUMIFS('AEO 2026 Table 23 '!Z:Z,'AEO 2026 Table 23 '!$B:$B,"*,"&amp;$A41&amp;",*"))/SUMIFS('AEO 2026 Table 23 '!Z:Z,'AEO 2026 Table 23 '!$B:$B,"*,"&amp;$A41&amp;",*"),"")</f>
        <v/>
      </c>
      <c r="Y41">
        <f>IFERROR((SUMIFS('AEO 2026 Table 23 '!AB:AB,'AEO 2026 Table 23 '!$B:$B,"*,"&amp;$A41&amp;",*")-SUMIFS('AEO 2026 Table 23 '!AA:AA,'AEO 2026 Table 23 '!$B:$B,"*,"&amp;$A41&amp;",*"))/SUMIFS('AEO 2026 Table 23 '!AA:AA,'AEO 2026 Table 23 '!$B:$B,"*,"&amp;$A41&amp;",*"),"")</f>
        <v/>
      </c>
      <c r="Z41">
        <f>IFERROR((SUMIFS('AEO 2026 Table 23 '!AC:AC,'AEO 2026 Table 23 '!$B:$B,"*,"&amp;$A41&amp;",*")-SUMIFS('AEO 2026 Table 23 '!AB:AB,'AEO 2026 Table 23 '!$B:$B,"*,"&amp;$A41&amp;",*"))/SUMIFS('AEO 2026 Table 23 '!AB:AB,'AEO 2026 Table 23 '!$B:$B,"*,"&amp;$A41&amp;",*"),"")</f>
        <v/>
      </c>
      <c r="AA41">
        <f>IFERROR((SUMIFS('AEO 2026 Table 23 '!AD:AD,'AEO 2026 Table 23 '!$B:$B,"*,"&amp;$A41&amp;",*")-SUMIFS('AEO 2026 Table 23 '!AC:AC,'AEO 2026 Table 23 '!$B:$B,"*,"&amp;$A41&amp;",*"))/SUMIFS('AEO 2026 Table 23 '!AC:AC,'AEO 2026 Table 23 '!$B:$B,"*,"&amp;$A41&amp;",*"),"")</f>
        <v/>
      </c>
      <c r="AB41">
        <f>IFERROR((SUMIFS('AEO 2026 Table 23 '!AE:AE,'AEO 2026 Table 23 '!$B:$B,"*,"&amp;$A41&amp;",*")-SUMIFS('AEO 2026 Table 23 '!AD:AD,'AEO 2026 Table 23 '!$B:$B,"*,"&amp;$A41&amp;",*"))/SUMIFS('AEO 2026 Table 23 '!AD:AD,'AEO 2026 Table 23 '!$B:$B,"*,"&amp;$A41&amp;",*"),"")</f>
        <v/>
      </c>
      <c r="AC41">
        <f>IFERROR((SUMIFS('AEO 2026 Table 23 '!AF:AF,'AEO 2026 Table 23 '!$B:$B,"*,"&amp;$A41&amp;",*")-SUMIFS('AEO 2026 Table 23 '!AE:AE,'AEO 2026 Table 23 '!$B:$B,"*,"&amp;$A41&amp;",*"))/SUMIFS('AEO 2026 Table 23 '!AE:AE,'AEO 2026 Table 23 '!$B:$B,"*,"&amp;$A41&amp;",*"),"")</f>
        <v/>
      </c>
    </row>
    <row r="42">
      <c r="A42" t="inlineStr">
        <is>
          <t>ISIC 55T56</t>
        </is>
      </c>
      <c r="B42">
        <f>IFERROR(SUMPRODUCT(--('BLS Table 2.11'!$L$1:$L$426=$A42),'BLS Table 2.11'!$J$1:$J$426,'BLS Table 2.11'!$K$1:$K$426)/SUMIFS('BLS Table 2.11'!$J$1:$J$426,'BLS Table 2.11'!$L$1:$L$426,$A42)/100,0)</f>
        <v/>
      </c>
      <c r="D42">
        <f>IFERROR((SUMIFS('AEO 2026 Table 23 '!G:G,'AEO 2026 Table 23 '!$B:$B,"*,"&amp;$A42&amp;",*")-SUMIFS('AEO25 Table 23'!H:H,'AEO25 Table 23'!$B:$B,"*,"&amp;$A42&amp;",*"))/SUMIFS('AEO25 Table 23'!H:H,'AEO25 Table 23'!$B:$B,"*,"&amp;$A42&amp;",*"),"")</f>
        <v/>
      </c>
      <c r="E42">
        <f>IFERROR((SUMIFS('AEO 2026 Table 23 '!H:H,'AEO 2026 Table 23 '!$B:$B,"*,"&amp;$A42&amp;",*")-SUMIFS('AEO 2026 Table 23 '!G:G,'AEO 2026 Table 23 '!$B:$B,"*,"&amp;$A42&amp;",*"))/SUMIFS('AEO 2026 Table 23 '!G:G,'AEO 2026 Table 23 '!$B:$B,"*,"&amp;$A42&amp;",*"),"")</f>
        <v/>
      </c>
      <c r="F42">
        <f>IFERROR((SUMIFS('AEO 2026 Table 23 '!I:I,'AEO 2026 Table 23 '!$B:$B,"*,"&amp;$A42&amp;",*")-SUMIFS('AEO 2026 Table 23 '!H:H,'AEO 2026 Table 23 '!$B:$B,"*,"&amp;$A42&amp;",*"))/SUMIFS('AEO 2026 Table 23 '!H:H,'AEO 2026 Table 23 '!$B:$B,"*,"&amp;$A42&amp;",*"),"")</f>
        <v/>
      </c>
      <c r="G42">
        <f>IFERROR((SUMIFS('AEO 2026 Table 23 '!J:J,'AEO 2026 Table 23 '!$B:$B,"*,"&amp;$A42&amp;",*")-SUMIFS('AEO 2026 Table 23 '!I:I,'AEO 2026 Table 23 '!$B:$B,"*,"&amp;$A42&amp;",*"))/SUMIFS('AEO 2026 Table 23 '!I:I,'AEO 2026 Table 23 '!$B:$B,"*,"&amp;$A42&amp;",*"),"")</f>
        <v/>
      </c>
      <c r="H42">
        <f>IFERROR((SUMIFS('AEO 2026 Table 23 '!K:K,'AEO 2026 Table 23 '!$B:$B,"*,"&amp;$A42&amp;",*")-SUMIFS('AEO 2026 Table 23 '!J:J,'AEO 2026 Table 23 '!$B:$B,"*,"&amp;$A42&amp;",*"))/SUMIFS('AEO 2026 Table 23 '!J:J,'AEO 2026 Table 23 '!$B:$B,"*,"&amp;$A42&amp;",*"),"")</f>
        <v/>
      </c>
      <c r="I42">
        <f>IFERROR((SUMIFS('AEO 2026 Table 23 '!L:L,'AEO 2026 Table 23 '!$B:$B,"*,"&amp;$A42&amp;",*")-SUMIFS('AEO 2026 Table 23 '!K:K,'AEO 2026 Table 23 '!$B:$B,"*,"&amp;$A42&amp;",*"))/SUMIFS('AEO 2026 Table 23 '!K:K,'AEO 2026 Table 23 '!$B:$B,"*,"&amp;$A42&amp;",*"),"")</f>
        <v/>
      </c>
      <c r="J42">
        <f>IFERROR((SUMIFS('AEO 2026 Table 23 '!M:M,'AEO 2026 Table 23 '!$B:$B,"*,"&amp;$A42&amp;",*")-SUMIFS('AEO 2026 Table 23 '!L:L,'AEO 2026 Table 23 '!$B:$B,"*,"&amp;$A42&amp;",*"))/SUMIFS('AEO 2026 Table 23 '!L:L,'AEO 2026 Table 23 '!$B:$B,"*,"&amp;$A42&amp;",*"),"")</f>
        <v/>
      </c>
      <c r="K42">
        <f>IFERROR((SUMIFS('AEO 2026 Table 23 '!N:N,'AEO 2026 Table 23 '!$B:$B,"*,"&amp;$A42&amp;",*")-SUMIFS('AEO 2026 Table 23 '!M:M,'AEO 2026 Table 23 '!$B:$B,"*,"&amp;$A42&amp;",*"))/SUMIFS('AEO 2026 Table 23 '!M:M,'AEO 2026 Table 23 '!$B:$B,"*,"&amp;$A42&amp;",*"),"")</f>
        <v/>
      </c>
      <c r="L42">
        <f>IFERROR((SUMIFS('AEO 2026 Table 23 '!O:O,'AEO 2026 Table 23 '!$B:$B,"*,"&amp;$A42&amp;",*")-SUMIFS('AEO 2026 Table 23 '!N:N,'AEO 2026 Table 23 '!$B:$B,"*,"&amp;$A42&amp;",*"))/SUMIFS('AEO 2026 Table 23 '!N:N,'AEO 2026 Table 23 '!$B:$B,"*,"&amp;$A42&amp;",*"),"")</f>
        <v/>
      </c>
      <c r="M42">
        <f>IFERROR((SUMIFS('AEO 2026 Table 23 '!P:P,'AEO 2026 Table 23 '!$B:$B,"*,"&amp;$A42&amp;",*")-SUMIFS('AEO 2026 Table 23 '!O:O,'AEO 2026 Table 23 '!$B:$B,"*,"&amp;$A42&amp;",*"))/SUMIFS('AEO 2026 Table 23 '!O:O,'AEO 2026 Table 23 '!$B:$B,"*,"&amp;$A42&amp;",*"),"")</f>
        <v/>
      </c>
      <c r="N42">
        <f>IFERROR((SUMIFS('AEO 2026 Table 23 '!Q:Q,'AEO 2026 Table 23 '!$B:$B,"*,"&amp;$A42&amp;",*")-SUMIFS('AEO 2026 Table 23 '!P:P,'AEO 2026 Table 23 '!$B:$B,"*,"&amp;$A42&amp;",*"))/SUMIFS('AEO 2026 Table 23 '!P:P,'AEO 2026 Table 23 '!$B:$B,"*,"&amp;$A42&amp;",*"),"")</f>
        <v/>
      </c>
      <c r="O42">
        <f>IFERROR((SUMIFS('AEO 2026 Table 23 '!R:R,'AEO 2026 Table 23 '!$B:$B,"*,"&amp;$A42&amp;",*")-SUMIFS('AEO 2026 Table 23 '!Q:Q,'AEO 2026 Table 23 '!$B:$B,"*,"&amp;$A42&amp;",*"))/SUMIFS('AEO 2026 Table 23 '!Q:Q,'AEO 2026 Table 23 '!$B:$B,"*,"&amp;$A42&amp;",*"),"")</f>
        <v/>
      </c>
      <c r="P42">
        <f>IFERROR((SUMIFS('AEO 2026 Table 23 '!S:S,'AEO 2026 Table 23 '!$B:$B,"*,"&amp;$A42&amp;",*")-SUMIFS('AEO 2026 Table 23 '!R:R,'AEO 2026 Table 23 '!$B:$B,"*,"&amp;$A42&amp;",*"))/SUMIFS('AEO 2026 Table 23 '!R:R,'AEO 2026 Table 23 '!$B:$B,"*,"&amp;$A42&amp;",*"),"")</f>
        <v/>
      </c>
      <c r="Q42">
        <f>IFERROR((SUMIFS('AEO 2026 Table 23 '!T:T,'AEO 2026 Table 23 '!$B:$B,"*,"&amp;$A42&amp;",*")-SUMIFS('AEO 2026 Table 23 '!S:S,'AEO 2026 Table 23 '!$B:$B,"*,"&amp;$A42&amp;",*"))/SUMIFS('AEO 2026 Table 23 '!S:S,'AEO 2026 Table 23 '!$B:$B,"*,"&amp;$A42&amp;",*"),"")</f>
        <v/>
      </c>
      <c r="R42">
        <f>IFERROR((SUMIFS('AEO 2026 Table 23 '!U:U,'AEO 2026 Table 23 '!$B:$B,"*,"&amp;$A42&amp;",*")-SUMIFS('AEO 2026 Table 23 '!T:T,'AEO 2026 Table 23 '!$B:$B,"*,"&amp;$A42&amp;",*"))/SUMIFS('AEO 2026 Table 23 '!T:T,'AEO 2026 Table 23 '!$B:$B,"*,"&amp;$A42&amp;",*"),"")</f>
        <v/>
      </c>
      <c r="S42">
        <f>IFERROR((SUMIFS('AEO 2026 Table 23 '!V:V,'AEO 2026 Table 23 '!$B:$B,"*,"&amp;$A42&amp;",*")-SUMIFS('AEO 2026 Table 23 '!U:U,'AEO 2026 Table 23 '!$B:$B,"*,"&amp;$A42&amp;",*"))/SUMIFS('AEO 2026 Table 23 '!U:U,'AEO 2026 Table 23 '!$B:$B,"*,"&amp;$A42&amp;",*"),"")</f>
        <v/>
      </c>
      <c r="T42">
        <f>IFERROR((SUMIFS('AEO 2026 Table 23 '!W:W,'AEO 2026 Table 23 '!$B:$B,"*,"&amp;$A42&amp;",*")-SUMIFS('AEO 2026 Table 23 '!V:V,'AEO 2026 Table 23 '!$B:$B,"*,"&amp;$A42&amp;",*"))/SUMIFS('AEO 2026 Table 23 '!V:V,'AEO 2026 Table 23 '!$B:$B,"*,"&amp;$A42&amp;",*"),"")</f>
        <v/>
      </c>
      <c r="U42">
        <f>IFERROR((SUMIFS('AEO 2026 Table 23 '!X:X,'AEO 2026 Table 23 '!$B:$B,"*,"&amp;$A42&amp;",*")-SUMIFS('AEO 2026 Table 23 '!W:W,'AEO 2026 Table 23 '!$B:$B,"*,"&amp;$A42&amp;",*"))/SUMIFS('AEO 2026 Table 23 '!W:W,'AEO 2026 Table 23 '!$B:$B,"*,"&amp;$A42&amp;",*"),"")</f>
        <v/>
      </c>
      <c r="V42">
        <f>IFERROR((SUMIFS('AEO 2026 Table 23 '!Y:Y,'AEO 2026 Table 23 '!$B:$B,"*,"&amp;$A42&amp;",*")-SUMIFS('AEO 2026 Table 23 '!X:X,'AEO 2026 Table 23 '!$B:$B,"*,"&amp;$A42&amp;",*"))/SUMIFS('AEO 2026 Table 23 '!X:X,'AEO 2026 Table 23 '!$B:$B,"*,"&amp;$A42&amp;",*"),"")</f>
        <v/>
      </c>
      <c r="W42">
        <f>IFERROR((SUMIFS('AEO 2026 Table 23 '!Z:Z,'AEO 2026 Table 23 '!$B:$B,"*,"&amp;$A42&amp;",*")-SUMIFS('AEO 2026 Table 23 '!Y:Y,'AEO 2026 Table 23 '!$B:$B,"*,"&amp;$A42&amp;",*"))/SUMIFS('AEO 2026 Table 23 '!Y:Y,'AEO 2026 Table 23 '!$B:$B,"*,"&amp;$A42&amp;",*"),"")</f>
        <v/>
      </c>
      <c r="X42">
        <f>IFERROR((SUMIFS('AEO 2026 Table 23 '!AA:AA,'AEO 2026 Table 23 '!$B:$B,"*,"&amp;$A42&amp;",*")-SUMIFS('AEO 2026 Table 23 '!Z:Z,'AEO 2026 Table 23 '!$B:$B,"*,"&amp;$A42&amp;",*"))/SUMIFS('AEO 2026 Table 23 '!Z:Z,'AEO 2026 Table 23 '!$B:$B,"*,"&amp;$A42&amp;",*"),"")</f>
        <v/>
      </c>
      <c r="Y42">
        <f>IFERROR((SUMIFS('AEO 2026 Table 23 '!AB:AB,'AEO 2026 Table 23 '!$B:$B,"*,"&amp;$A42&amp;",*")-SUMIFS('AEO 2026 Table 23 '!AA:AA,'AEO 2026 Table 23 '!$B:$B,"*,"&amp;$A42&amp;",*"))/SUMIFS('AEO 2026 Table 23 '!AA:AA,'AEO 2026 Table 23 '!$B:$B,"*,"&amp;$A42&amp;",*"),"")</f>
        <v/>
      </c>
      <c r="Z42">
        <f>IFERROR((SUMIFS('AEO 2026 Table 23 '!AC:AC,'AEO 2026 Table 23 '!$B:$B,"*,"&amp;$A42&amp;",*")-SUMIFS('AEO 2026 Table 23 '!AB:AB,'AEO 2026 Table 23 '!$B:$B,"*,"&amp;$A42&amp;",*"))/SUMIFS('AEO 2026 Table 23 '!AB:AB,'AEO 2026 Table 23 '!$B:$B,"*,"&amp;$A42&amp;",*"),"")</f>
        <v/>
      </c>
      <c r="AA42">
        <f>IFERROR((SUMIFS('AEO 2026 Table 23 '!AD:AD,'AEO 2026 Table 23 '!$B:$B,"*,"&amp;$A42&amp;",*")-SUMIFS('AEO 2026 Table 23 '!AC:AC,'AEO 2026 Table 23 '!$B:$B,"*,"&amp;$A42&amp;",*"))/SUMIFS('AEO 2026 Table 23 '!AC:AC,'AEO 2026 Table 23 '!$B:$B,"*,"&amp;$A42&amp;",*"),"")</f>
        <v/>
      </c>
      <c r="AB42">
        <f>IFERROR((SUMIFS('AEO 2026 Table 23 '!AE:AE,'AEO 2026 Table 23 '!$B:$B,"*,"&amp;$A42&amp;",*")-SUMIFS('AEO 2026 Table 23 '!AD:AD,'AEO 2026 Table 23 '!$B:$B,"*,"&amp;$A42&amp;",*"))/SUMIFS('AEO 2026 Table 23 '!AD:AD,'AEO 2026 Table 23 '!$B:$B,"*,"&amp;$A42&amp;",*"),"")</f>
        <v/>
      </c>
      <c r="AC42">
        <f>IFERROR((SUMIFS('AEO 2026 Table 23 '!AF:AF,'AEO 2026 Table 23 '!$B:$B,"*,"&amp;$A42&amp;",*")-SUMIFS('AEO 2026 Table 23 '!AE:AE,'AEO 2026 Table 23 '!$B:$B,"*,"&amp;$A42&amp;",*"))/SUMIFS('AEO 2026 Table 23 '!AE:AE,'AEO 2026 Table 23 '!$B:$B,"*,"&amp;$A42&amp;",*"),"")</f>
        <v/>
      </c>
    </row>
    <row r="43">
      <c r="A43" t="inlineStr">
        <is>
          <t>ISIC 58T60</t>
        </is>
      </c>
      <c r="B43">
        <f>IFERROR(SUMPRODUCT(--('BLS Table 2.11'!$L$1:$L$426=$A43),'BLS Table 2.11'!$J$1:$J$426,'BLS Table 2.11'!$K$1:$K$426)/SUMIFS('BLS Table 2.11'!$J$1:$J$426,'BLS Table 2.11'!$L$1:$L$426,$A43)/100,0)</f>
        <v/>
      </c>
      <c r="D43">
        <f>IFERROR((SUMIFS('AEO 2026 Table 23 '!G:G,'AEO 2026 Table 23 '!$B:$B,"*,"&amp;$A43&amp;",*")-SUMIFS('AEO25 Table 23'!H:H,'AEO25 Table 23'!$B:$B,"*,"&amp;$A43&amp;",*"))/SUMIFS('AEO25 Table 23'!H:H,'AEO25 Table 23'!$B:$B,"*,"&amp;$A43&amp;",*"),"")</f>
        <v/>
      </c>
      <c r="E43">
        <f>IFERROR((SUMIFS('AEO 2026 Table 23 '!H:H,'AEO 2026 Table 23 '!$B:$B,"*,"&amp;$A43&amp;",*")-SUMIFS('AEO 2026 Table 23 '!G:G,'AEO 2026 Table 23 '!$B:$B,"*,"&amp;$A43&amp;",*"))/SUMIFS('AEO 2026 Table 23 '!G:G,'AEO 2026 Table 23 '!$B:$B,"*,"&amp;$A43&amp;",*"),"")</f>
        <v/>
      </c>
      <c r="F43">
        <f>IFERROR((SUMIFS('AEO 2026 Table 23 '!I:I,'AEO 2026 Table 23 '!$B:$B,"*,"&amp;$A43&amp;",*")-SUMIFS('AEO 2026 Table 23 '!H:H,'AEO 2026 Table 23 '!$B:$B,"*,"&amp;$A43&amp;",*"))/SUMIFS('AEO 2026 Table 23 '!H:H,'AEO 2026 Table 23 '!$B:$B,"*,"&amp;$A43&amp;",*"),"")</f>
        <v/>
      </c>
      <c r="G43">
        <f>IFERROR((SUMIFS('AEO 2026 Table 23 '!J:J,'AEO 2026 Table 23 '!$B:$B,"*,"&amp;$A43&amp;",*")-SUMIFS('AEO 2026 Table 23 '!I:I,'AEO 2026 Table 23 '!$B:$B,"*,"&amp;$A43&amp;",*"))/SUMIFS('AEO 2026 Table 23 '!I:I,'AEO 2026 Table 23 '!$B:$B,"*,"&amp;$A43&amp;",*"),"")</f>
        <v/>
      </c>
      <c r="H43">
        <f>IFERROR((SUMIFS('AEO 2026 Table 23 '!K:K,'AEO 2026 Table 23 '!$B:$B,"*,"&amp;$A43&amp;",*")-SUMIFS('AEO 2026 Table 23 '!J:J,'AEO 2026 Table 23 '!$B:$B,"*,"&amp;$A43&amp;",*"))/SUMIFS('AEO 2026 Table 23 '!J:J,'AEO 2026 Table 23 '!$B:$B,"*,"&amp;$A43&amp;",*"),"")</f>
        <v/>
      </c>
      <c r="I43">
        <f>IFERROR((SUMIFS('AEO 2026 Table 23 '!L:L,'AEO 2026 Table 23 '!$B:$B,"*,"&amp;$A43&amp;",*")-SUMIFS('AEO 2026 Table 23 '!K:K,'AEO 2026 Table 23 '!$B:$B,"*,"&amp;$A43&amp;",*"))/SUMIFS('AEO 2026 Table 23 '!K:K,'AEO 2026 Table 23 '!$B:$B,"*,"&amp;$A43&amp;",*"),"")</f>
        <v/>
      </c>
      <c r="J43">
        <f>IFERROR((SUMIFS('AEO 2026 Table 23 '!M:M,'AEO 2026 Table 23 '!$B:$B,"*,"&amp;$A43&amp;",*")-SUMIFS('AEO 2026 Table 23 '!L:L,'AEO 2026 Table 23 '!$B:$B,"*,"&amp;$A43&amp;",*"))/SUMIFS('AEO 2026 Table 23 '!L:L,'AEO 2026 Table 23 '!$B:$B,"*,"&amp;$A43&amp;",*"),"")</f>
        <v/>
      </c>
      <c r="K43">
        <f>IFERROR((SUMIFS('AEO 2026 Table 23 '!N:N,'AEO 2026 Table 23 '!$B:$B,"*,"&amp;$A43&amp;",*")-SUMIFS('AEO 2026 Table 23 '!M:M,'AEO 2026 Table 23 '!$B:$B,"*,"&amp;$A43&amp;",*"))/SUMIFS('AEO 2026 Table 23 '!M:M,'AEO 2026 Table 23 '!$B:$B,"*,"&amp;$A43&amp;",*"),"")</f>
        <v/>
      </c>
      <c r="L43">
        <f>IFERROR((SUMIFS('AEO 2026 Table 23 '!O:O,'AEO 2026 Table 23 '!$B:$B,"*,"&amp;$A43&amp;",*")-SUMIFS('AEO 2026 Table 23 '!N:N,'AEO 2026 Table 23 '!$B:$B,"*,"&amp;$A43&amp;",*"))/SUMIFS('AEO 2026 Table 23 '!N:N,'AEO 2026 Table 23 '!$B:$B,"*,"&amp;$A43&amp;",*"),"")</f>
        <v/>
      </c>
      <c r="M43">
        <f>IFERROR((SUMIFS('AEO 2026 Table 23 '!P:P,'AEO 2026 Table 23 '!$B:$B,"*,"&amp;$A43&amp;",*")-SUMIFS('AEO 2026 Table 23 '!O:O,'AEO 2026 Table 23 '!$B:$B,"*,"&amp;$A43&amp;",*"))/SUMIFS('AEO 2026 Table 23 '!O:O,'AEO 2026 Table 23 '!$B:$B,"*,"&amp;$A43&amp;",*"),"")</f>
        <v/>
      </c>
      <c r="N43">
        <f>IFERROR((SUMIFS('AEO 2026 Table 23 '!Q:Q,'AEO 2026 Table 23 '!$B:$B,"*,"&amp;$A43&amp;",*")-SUMIFS('AEO 2026 Table 23 '!P:P,'AEO 2026 Table 23 '!$B:$B,"*,"&amp;$A43&amp;",*"))/SUMIFS('AEO 2026 Table 23 '!P:P,'AEO 2026 Table 23 '!$B:$B,"*,"&amp;$A43&amp;",*"),"")</f>
        <v/>
      </c>
      <c r="O43">
        <f>IFERROR((SUMIFS('AEO 2026 Table 23 '!R:R,'AEO 2026 Table 23 '!$B:$B,"*,"&amp;$A43&amp;",*")-SUMIFS('AEO 2026 Table 23 '!Q:Q,'AEO 2026 Table 23 '!$B:$B,"*,"&amp;$A43&amp;",*"))/SUMIFS('AEO 2026 Table 23 '!Q:Q,'AEO 2026 Table 23 '!$B:$B,"*,"&amp;$A43&amp;",*"),"")</f>
        <v/>
      </c>
      <c r="P43">
        <f>IFERROR((SUMIFS('AEO 2026 Table 23 '!S:S,'AEO 2026 Table 23 '!$B:$B,"*,"&amp;$A43&amp;",*")-SUMIFS('AEO 2026 Table 23 '!R:R,'AEO 2026 Table 23 '!$B:$B,"*,"&amp;$A43&amp;",*"))/SUMIFS('AEO 2026 Table 23 '!R:R,'AEO 2026 Table 23 '!$B:$B,"*,"&amp;$A43&amp;",*"),"")</f>
        <v/>
      </c>
      <c r="Q43">
        <f>IFERROR((SUMIFS('AEO 2026 Table 23 '!T:T,'AEO 2026 Table 23 '!$B:$B,"*,"&amp;$A43&amp;",*")-SUMIFS('AEO 2026 Table 23 '!S:S,'AEO 2026 Table 23 '!$B:$B,"*,"&amp;$A43&amp;",*"))/SUMIFS('AEO 2026 Table 23 '!S:S,'AEO 2026 Table 23 '!$B:$B,"*,"&amp;$A43&amp;",*"),"")</f>
        <v/>
      </c>
      <c r="R43">
        <f>IFERROR((SUMIFS('AEO 2026 Table 23 '!U:U,'AEO 2026 Table 23 '!$B:$B,"*,"&amp;$A43&amp;",*")-SUMIFS('AEO 2026 Table 23 '!T:T,'AEO 2026 Table 23 '!$B:$B,"*,"&amp;$A43&amp;",*"))/SUMIFS('AEO 2026 Table 23 '!T:T,'AEO 2026 Table 23 '!$B:$B,"*,"&amp;$A43&amp;",*"),"")</f>
        <v/>
      </c>
      <c r="S43">
        <f>IFERROR((SUMIFS('AEO 2026 Table 23 '!V:V,'AEO 2026 Table 23 '!$B:$B,"*,"&amp;$A43&amp;",*")-SUMIFS('AEO 2026 Table 23 '!U:U,'AEO 2026 Table 23 '!$B:$B,"*,"&amp;$A43&amp;",*"))/SUMIFS('AEO 2026 Table 23 '!U:U,'AEO 2026 Table 23 '!$B:$B,"*,"&amp;$A43&amp;",*"),"")</f>
        <v/>
      </c>
      <c r="T43">
        <f>IFERROR((SUMIFS('AEO 2026 Table 23 '!W:W,'AEO 2026 Table 23 '!$B:$B,"*,"&amp;$A43&amp;",*")-SUMIFS('AEO 2026 Table 23 '!V:V,'AEO 2026 Table 23 '!$B:$B,"*,"&amp;$A43&amp;",*"))/SUMIFS('AEO 2026 Table 23 '!V:V,'AEO 2026 Table 23 '!$B:$B,"*,"&amp;$A43&amp;",*"),"")</f>
        <v/>
      </c>
      <c r="U43">
        <f>IFERROR((SUMIFS('AEO 2026 Table 23 '!X:X,'AEO 2026 Table 23 '!$B:$B,"*,"&amp;$A43&amp;",*")-SUMIFS('AEO 2026 Table 23 '!W:W,'AEO 2026 Table 23 '!$B:$B,"*,"&amp;$A43&amp;",*"))/SUMIFS('AEO 2026 Table 23 '!W:W,'AEO 2026 Table 23 '!$B:$B,"*,"&amp;$A43&amp;",*"),"")</f>
        <v/>
      </c>
      <c r="V43">
        <f>IFERROR((SUMIFS('AEO 2026 Table 23 '!Y:Y,'AEO 2026 Table 23 '!$B:$B,"*,"&amp;$A43&amp;",*")-SUMIFS('AEO 2026 Table 23 '!X:X,'AEO 2026 Table 23 '!$B:$B,"*,"&amp;$A43&amp;",*"))/SUMIFS('AEO 2026 Table 23 '!X:X,'AEO 2026 Table 23 '!$B:$B,"*,"&amp;$A43&amp;",*"),"")</f>
        <v/>
      </c>
      <c r="W43">
        <f>IFERROR((SUMIFS('AEO 2026 Table 23 '!Z:Z,'AEO 2026 Table 23 '!$B:$B,"*,"&amp;$A43&amp;",*")-SUMIFS('AEO 2026 Table 23 '!Y:Y,'AEO 2026 Table 23 '!$B:$B,"*,"&amp;$A43&amp;",*"))/SUMIFS('AEO 2026 Table 23 '!Y:Y,'AEO 2026 Table 23 '!$B:$B,"*,"&amp;$A43&amp;",*"),"")</f>
        <v/>
      </c>
      <c r="X43">
        <f>IFERROR((SUMIFS('AEO 2026 Table 23 '!AA:AA,'AEO 2026 Table 23 '!$B:$B,"*,"&amp;$A43&amp;",*")-SUMIFS('AEO 2026 Table 23 '!Z:Z,'AEO 2026 Table 23 '!$B:$B,"*,"&amp;$A43&amp;",*"))/SUMIFS('AEO 2026 Table 23 '!Z:Z,'AEO 2026 Table 23 '!$B:$B,"*,"&amp;$A43&amp;",*"),"")</f>
        <v/>
      </c>
      <c r="Y43">
        <f>IFERROR((SUMIFS('AEO 2026 Table 23 '!AB:AB,'AEO 2026 Table 23 '!$B:$B,"*,"&amp;$A43&amp;",*")-SUMIFS('AEO 2026 Table 23 '!AA:AA,'AEO 2026 Table 23 '!$B:$B,"*,"&amp;$A43&amp;",*"))/SUMIFS('AEO 2026 Table 23 '!AA:AA,'AEO 2026 Table 23 '!$B:$B,"*,"&amp;$A43&amp;",*"),"")</f>
        <v/>
      </c>
      <c r="Z43">
        <f>IFERROR((SUMIFS('AEO 2026 Table 23 '!AC:AC,'AEO 2026 Table 23 '!$B:$B,"*,"&amp;$A43&amp;",*")-SUMIFS('AEO 2026 Table 23 '!AB:AB,'AEO 2026 Table 23 '!$B:$B,"*,"&amp;$A43&amp;",*"))/SUMIFS('AEO 2026 Table 23 '!AB:AB,'AEO 2026 Table 23 '!$B:$B,"*,"&amp;$A43&amp;",*"),"")</f>
        <v/>
      </c>
      <c r="AA43">
        <f>IFERROR((SUMIFS('AEO 2026 Table 23 '!AD:AD,'AEO 2026 Table 23 '!$B:$B,"*,"&amp;$A43&amp;",*")-SUMIFS('AEO 2026 Table 23 '!AC:AC,'AEO 2026 Table 23 '!$B:$B,"*,"&amp;$A43&amp;",*"))/SUMIFS('AEO 2026 Table 23 '!AC:AC,'AEO 2026 Table 23 '!$B:$B,"*,"&amp;$A43&amp;",*"),"")</f>
        <v/>
      </c>
      <c r="AB43">
        <f>IFERROR((SUMIFS('AEO 2026 Table 23 '!AE:AE,'AEO 2026 Table 23 '!$B:$B,"*,"&amp;$A43&amp;",*")-SUMIFS('AEO 2026 Table 23 '!AD:AD,'AEO 2026 Table 23 '!$B:$B,"*,"&amp;$A43&amp;",*"))/SUMIFS('AEO 2026 Table 23 '!AD:AD,'AEO 2026 Table 23 '!$B:$B,"*,"&amp;$A43&amp;",*"),"")</f>
        <v/>
      </c>
      <c r="AC43">
        <f>IFERROR((SUMIFS('AEO 2026 Table 23 '!AF:AF,'AEO 2026 Table 23 '!$B:$B,"*,"&amp;$A43&amp;",*")-SUMIFS('AEO 2026 Table 23 '!AE:AE,'AEO 2026 Table 23 '!$B:$B,"*,"&amp;$A43&amp;",*"))/SUMIFS('AEO 2026 Table 23 '!AE:AE,'AEO 2026 Table 23 '!$B:$B,"*,"&amp;$A43&amp;",*"),"")</f>
        <v/>
      </c>
    </row>
    <row r="44">
      <c r="A44" t="inlineStr">
        <is>
          <t>ISIC 61</t>
        </is>
      </c>
      <c r="B44">
        <f>IFERROR(SUMPRODUCT(--('BLS Table 2.11'!$L$1:$L$426=$A44),'BLS Table 2.11'!$J$1:$J$426,'BLS Table 2.11'!$K$1:$K$426)/SUMIFS('BLS Table 2.11'!$J$1:$J$426,'BLS Table 2.11'!$L$1:$L$426,$A44)/100,0)</f>
        <v/>
      </c>
      <c r="D44">
        <f>IFERROR((SUMIFS('AEO 2026 Table 23 '!G:G,'AEO 2026 Table 23 '!$B:$B,"*,"&amp;$A44&amp;",*")-SUMIFS('AEO25 Table 23'!H:H,'AEO25 Table 23'!$B:$B,"*,"&amp;$A44&amp;",*"))/SUMIFS('AEO25 Table 23'!H:H,'AEO25 Table 23'!$B:$B,"*,"&amp;$A44&amp;",*"),"")</f>
        <v/>
      </c>
      <c r="E44">
        <f>IFERROR((SUMIFS('AEO 2026 Table 23 '!H:H,'AEO 2026 Table 23 '!$B:$B,"*,"&amp;$A44&amp;",*")-SUMIFS('AEO 2026 Table 23 '!G:G,'AEO 2026 Table 23 '!$B:$B,"*,"&amp;$A44&amp;",*"))/SUMIFS('AEO 2026 Table 23 '!G:G,'AEO 2026 Table 23 '!$B:$B,"*,"&amp;$A44&amp;",*"),"")</f>
        <v/>
      </c>
      <c r="F44">
        <f>IFERROR((SUMIFS('AEO 2026 Table 23 '!I:I,'AEO 2026 Table 23 '!$B:$B,"*,"&amp;$A44&amp;",*")-SUMIFS('AEO 2026 Table 23 '!H:H,'AEO 2026 Table 23 '!$B:$B,"*,"&amp;$A44&amp;",*"))/SUMIFS('AEO 2026 Table 23 '!H:H,'AEO 2026 Table 23 '!$B:$B,"*,"&amp;$A44&amp;",*"),"")</f>
        <v/>
      </c>
      <c r="G44">
        <f>IFERROR((SUMIFS('AEO 2026 Table 23 '!J:J,'AEO 2026 Table 23 '!$B:$B,"*,"&amp;$A44&amp;",*")-SUMIFS('AEO 2026 Table 23 '!I:I,'AEO 2026 Table 23 '!$B:$B,"*,"&amp;$A44&amp;",*"))/SUMIFS('AEO 2026 Table 23 '!I:I,'AEO 2026 Table 23 '!$B:$B,"*,"&amp;$A44&amp;",*"),"")</f>
        <v/>
      </c>
      <c r="H44">
        <f>IFERROR((SUMIFS('AEO 2026 Table 23 '!K:K,'AEO 2026 Table 23 '!$B:$B,"*,"&amp;$A44&amp;",*")-SUMIFS('AEO 2026 Table 23 '!J:J,'AEO 2026 Table 23 '!$B:$B,"*,"&amp;$A44&amp;",*"))/SUMIFS('AEO 2026 Table 23 '!J:J,'AEO 2026 Table 23 '!$B:$B,"*,"&amp;$A44&amp;",*"),"")</f>
        <v/>
      </c>
      <c r="I44">
        <f>IFERROR((SUMIFS('AEO 2026 Table 23 '!L:L,'AEO 2026 Table 23 '!$B:$B,"*,"&amp;$A44&amp;",*")-SUMIFS('AEO 2026 Table 23 '!K:K,'AEO 2026 Table 23 '!$B:$B,"*,"&amp;$A44&amp;",*"))/SUMIFS('AEO 2026 Table 23 '!K:K,'AEO 2026 Table 23 '!$B:$B,"*,"&amp;$A44&amp;",*"),"")</f>
        <v/>
      </c>
      <c r="J44">
        <f>IFERROR((SUMIFS('AEO 2026 Table 23 '!M:M,'AEO 2026 Table 23 '!$B:$B,"*,"&amp;$A44&amp;",*")-SUMIFS('AEO 2026 Table 23 '!L:L,'AEO 2026 Table 23 '!$B:$B,"*,"&amp;$A44&amp;",*"))/SUMIFS('AEO 2026 Table 23 '!L:L,'AEO 2026 Table 23 '!$B:$B,"*,"&amp;$A44&amp;",*"),"")</f>
        <v/>
      </c>
      <c r="K44">
        <f>IFERROR((SUMIFS('AEO 2026 Table 23 '!N:N,'AEO 2026 Table 23 '!$B:$B,"*,"&amp;$A44&amp;",*")-SUMIFS('AEO 2026 Table 23 '!M:M,'AEO 2026 Table 23 '!$B:$B,"*,"&amp;$A44&amp;",*"))/SUMIFS('AEO 2026 Table 23 '!M:M,'AEO 2026 Table 23 '!$B:$B,"*,"&amp;$A44&amp;",*"),"")</f>
        <v/>
      </c>
      <c r="L44">
        <f>IFERROR((SUMIFS('AEO 2026 Table 23 '!O:O,'AEO 2026 Table 23 '!$B:$B,"*,"&amp;$A44&amp;",*")-SUMIFS('AEO 2026 Table 23 '!N:N,'AEO 2026 Table 23 '!$B:$B,"*,"&amp;$A44&amp;",*"))/SUMIFS('AEO 2026 Table 23 '!N:N,'AEO 2026 Table 23 '!$B:$B,"*,"&amp;$A44&amp;",*"),"")</f>
        <v/>
      </c>
      <c r="M44">
        <f>IFERROR((SUMIFS('AEO 2026 Table 23 '!P:P,'AEO 2026 Table 23 '!$B:$B,"*,"&amp;$A44&amp;",*")-SUMIFS('AEO 2026 Table 23 '!O:O,'AEO 2026 Table 23 '!$B:$B,"*,"&amp;$A44&amp;",*"))/SUMIFS('AEO 2026 Table 23 '!O:O,'AEO 2026 Table 23 '!$B:$B,"*,"&amp;$A44&amp;",*"),"")</f>
        <v/>
      </c>
      <c r="N44">
        <f>IFERROR((SUMIFS('AEO 2026 Table 23 '!Q:Q,'AEO 2026 Table 23 '!$B:$B,"*,"&amp;$A44&amp;",*")-SUMIFS('AEO 2026 Table 23 '!P:P,'AEO 2026 Table 23 '!$B:$B,"*,"&amp;$A44&amp;",*"))/SUMIFS('AEO 2026 Table 23 '!P:P,'AEO 2026 Table 23 '!$B:$B,"*,"&amp;$A44&amp;",*"),"")</f>
        <v/>
      </c>
      <c r="O44">
        <f>IFERROR((SUMIFS('AEO 2026 Table 23 '!R:R,'AEO 2026 Table 23 '!$B:$B,"*,"&amp;$A44&amp;",*")-SUMIFS('AEO 2026 Table 23 '!Q:Q,'AEO 2026 Table 23 '!$B:$B,"*,"&amp;$A44&amp;",*"))/SUMIFS('AEO 2026 Table 23 '!Q:Q,'AEO 2026 Table 23 '!$B:$B,"*,"&amp;$A44&amp;",*"),"")</f>
        <v/>
      </c>
      <c r="P44">
        <f>IFERROR((SUMIFS('AEO 2026 Table 23 '!S:S,'AEO 2026 Table 23 '!$B:$B,"*,"&amp;$A44&amp;",*")-SUMIFS('AEO 2026 Table 23 '!R:R,'AEO 2026 Table 23 '!$B:$B,"*,"&amp;$A44&amp;",*"))/SUMIFS('AEO 2026 Table 23 '!R:R,'AEO 2026 Table 23 '!$B:$B,"*,"&amp;$A44&amp;",*"),"")</f>
        <v/>
      </c>
      <c r="Q44">
        <f>IFERROR((SUMIFS('AEO 2026 Table 23 '!T:T,'AEO 2026 Table 23 '!$B:$B,"*,"&amp;$A44&amp;",*")-SUMIFS('AEO 2026 Table 23 '!S:S,'AEO 2026 Table 23 '!$B:$B,"*,"&amp;$A44&amp;",*"))/SUMIFS('AEO 2026 Table 23 '!S:S,'AEO 2026 Table 23 '!$B:$B,"*,"&amp;$A44&amp;",*"),"")</f>
        <v/>
      </c>
      <c r="R44">
        <f>IFERROR((SUMIFS('AEO 2026 Table 23 '!U:U,'AEO 2026 Table 23 '!$B:$B,"*,"&amp;$A44&amp;",*")-SUMIFS('AEO 2026 Table 23 '!T:T,'AEO 2026 Table 23 '!$B:$B,"*,"&amp;$A44&amp;",*"))/SUMIFS('AEO 2026 Table 23 '!T:T,'AEO 2026 Table 23 '!$B:$B,"*,"&amp;$A44&amp;",*"),"")</f>
        <v/>
      </c>
      <c r="S44">
        <f>IFERROR((SUMIFS('AEO 2026 Table 23 '!V:V,'AEO 2026 Table 23 '!$B:$B,"*,"&amp;$A44&amp;",*")-SUMIFS('AEO 2026 Table 23 '!U:U,'AEO 2026 Table 23 '!$B:$B,"*,"&amp;$A44&amp;",*"))/SUMIFS('AEO 2026 Table 23 '!U:U,'AEO 2026 Table 23 '!$B:$B,"*,"&amp;$A44&amp;",*"),"")</f>
        <v/>
      </c>
      <c r="T44">
        <f>IFERROR((SUMIFS('AEO 2026 Table 23 '!W:W,'AEO 2026 Table 23 '!$B:$B,"*,"&amp;$A44&amp;",*")-SUMIFS('AEO 2026 Table 23 '!V:V,'AEO 2026 Table 23 '!$B:$B,"*,"&amp;$A44&amp;",*"))/SUMIFS('AEO 2026 Table 23 '!V:V,'AEO 2026 Table 23 '!$B:$B,"*,"&amp;$A44&amp;",*"),"")</f>
        <v/>
      </c>
      <c r="U44">
        <f>IFERROR((SUMIFS('AEO 2026 Table 23 '!X:X,'AEO 2026 Table 23 '!$B:$B,"*,"&amp;$A44&amp;",*")-SUMIFS('AEO 2026 Table 23 '!W:W,'AEO 2026 Table 23 '!$B:$B,"*,"&amp;$A44&amp;",*"))/SUMIFS('AEO 2026 Table 23 '!W:W,'AEO 2026 Table 23 '!$B:$B,"*,"&amp;$A44&amp;",*"),"")</f>
        <v/>
      </c>
      <c r="V44">
        <f>IFERROR((SUMIFS('AEO 2026 Table 23 '!Y:Y,'AEO 2026 Table 23 '!$B:$B,"*,"&amp;$A44&amp;",*")-SUMIFS('AEO 2026 Table 23 '!X:X,'AEO 2026 Table 23 '!$B:$B,"*,"&amp;$A44&amp;",*"))/SUMIFS('AEO 2026 Table 23 '!X:X,'AEO 2026 Table 23 '!$B:$B,"*,"&amp;$A44&amp;",*"),"")</f>
        <v/>
      </c>
      <c r="W44">
        <f>IFERROR((SUMIFS('AEO 2026 Table 23 '!Z:Z,'AEO 2026 Table 23 '!$B:$B,"*,"&amp;$A44&amp;",*")-SUMIFS('AEO 2026 Table 23 '!Y:Y,'AEO 2026 Table 23 '!$B:$B,"*,"&amp;$A44&amp;",*"))/SUMIFS('AEO 2026 Table 23 '!Y:Y,'AEO 2026 Table 23 '!$B:$B,"*,"&amp;$A44&amp;",*"),"")</f>
        <v/>
      </c>
      <c r="X44">
        <f>IFERROR((SUMIFS('AEO 2026 Table 23 '!AA:AA,'AEO 2026 Table 23 '!$B:$B,"*,"&amp;$A44&amp;",*")-SUMIFS('AEO 2026 Table 23 '!Z:Z,'AEO 2026 Table 23 '!$B:$B,"*,"&amp;$A44&amp;",*"))/SUMIFS('AEO 2026 Table 23 '!Z:Z,'AEO 2026 Table 23 '!$B:$B,"*,"&amp;$A44&amp;",*"),"")</f>
        <v/>
      </c>
      <c r="Y44">
        <f>IFERROR((SUMIFS('AEO 2026 Table 23 '!AB:AB,'AEO 2026 Table 23 '!$B:$B,"*,"&amp;$A44&amp;",*")-SUMIFS('AEO 2026 Table 23 '!AA:AA,'AEO 2026 Table 23 '!$B:$B,"*,"&amp;$A44&amp;",*"))/SUMIFS('AEO 2026 Table 23 '!AA:AA,'AEO 2026 Table 23 '!$B:$B,"*,"&amp;$A44&amp;",*"),"")</f>
        <v/>
      </c>
      <c r="Z44">
        <f>IFERROR((SUMIFS('AEO 2026 Table 23 '!AC:AC,'AEO 2026 Table 23 '!$B:$B,"*,"&amp;$A44&amp;",*")-SUMIFS('AEO 2026 Table 23 '!AB:AB,'AEO 2026 Table 23 '!$B:$B,"*,"&amp;$A44&amp;",*"))/SUMIFS('AEO 2026 Table 23 '!AB:AB,'AEO 2026 Table 23 '!$B:$B,"*,"&amp;$A44&amp;",*"),"")</f>
        <v/>
      </c>
      <c r="AA44">
        <f>IFERROR((SUMIFS('AEO 2026 Table 23 '!AD:AD,'AEO 2026 Table 23 '!$B:$B,"*,"&amp;$A44&amp;",*")-SUMIFS('AEO 2026 Table 23 '!AC:AC,'AEO 2026 Table 23 '!$B:$B,"*,"&amp;$A44&amp;",*"))/SUMIFS('AEO 2026 Table 23 '!AC:AC,'AEO 2026 Table 23 '!$B:$B,"*,"&amp;$A44&amp;",*"),"")</f>
        <v/>
      </c>
      <c r="AB44">
        <f>IFERROR((SUMIFS('AEO 2026 Table 23 '!AE:AE,'AEO 2026 Table 23 '!$B:$B,"*,"&amp;$A44&amp;",*")-SUMIFS('AEO 2026 Table 23 '!AD:AD,'AEO 2026 Table 23 '!$B:$B,"*,"&amp;$A44&amp;",*"))/SUMIFS('AEO 2026 Table 23 '!AD:AD,'AEO 2026 Table 23 '!$B:$B,"*,"&amp;$A44&amp;",*"),"")</f>
        <v/>
      </c>
      <c r="AC44">
        <f>IFERROR((SUMIFS('AEO 2026 Table 23 '!AF:AF,'AEO 2026 Table 23 '!$B:$B,"*,"&amp;$A44&amp;",*")-SUMIFS('AEO 2026 Table 23 '!AE:AE,'AEO 2026 Table 23 '!$B:$B,"*,"&amp;$A44&amp;",*"))/SUMIFS('AEO 2026 Table 23 '!AE:AE,'AEO 2026 Table 23 '!$B:$B,"*,"&amp;$A44&amp;",*"),"")</f>
        <v/>
      </c>
    </row>
    <row r="45">
      <c r="A45" t="inlineStr">
        <is>
          <t>ISIC 62T63</t>
        </is>
      </c>
      <c r="B45">
        <f>IFERROR(SUMPRODUCT(--('BLS Table 2.11'!$L$1:$L$426=$A45),'BLS Table 2.11'!$J$1:$J$426,'BLS Table 2.11'!$K$1:$K$426)/SUMIFS('BLS Table 2.11'!$J$1:$J$426,'BLS Table 2.11'!$L$1:$L$426,$A45)/100,0)</f>
        <v/>
      </c>
      <c r="D45">
        <f>IFERROR((SUMIFS('AEO 2026 Table 23 '!G:G,'AEO 2026 Table 23 '!$B:$B,"*,"&amp;$A45&amp;",*")-SUMIFS('AEO25 Table 23'!H:H,'AEO25 Table 23'!$B:$B,"*,"&amp;$A45&amp;",*"))/SUMIFS('AEO25 Table 23'!H:H,'AEO25 Table 23'!$B:$B,"*,"&amp;$A45&amp;",*"),"")</f>
        <v/>
      </c>
      <c r="E45">
        <f>IFERROR((SUMIFS('AEO 2026 Table 23 '!H:H,'AEO 2026 Table 23 '!$B:$B,"*,"&amp;$A45&amp;",*")-SUMIFS('AEO 2026 Table 23 '!G:G,'AEO 2026 Table 23 '!$B:$B,"*,"&amp;$A45&amp;",*"))/SUMIFS('AEO 2026 Table 23 '!G:G,'AEO 2026 Table 23 '!$B:$B,"*,"&amp;$A45&amp;",*"),"")</f>
        <v/>
      </c>
      <c r="F45">
        <f>IFERROR((SUMIFS('AEO 2026 Table 23 '!I:I,'AEO 2026 Table 23 '!$B:$B,"*,"&amp;$A45&amp;",*")-SUMIFS('AEO 2026 Table 23 '!H:H,'AEO 2026 Table 23 '!$B:$B,"*,"&amp;$A45&amp;",*"))/SUMIFS('AEO 2026 Table 23 '!H:H,'AEO 2026 Table 23 '!$B:$B,"*,"&amp;$A45&amp;",*"),"")</f>
        <v/>
      </c>
      <c r="G45">
        <f>IFERROR((SUMIFS('AEO 2026 Table 23 '!J:J,'AEO 2026 Table 23 '!$B:$B,"*,"&amp;$A45&amp;",*")-SUMIFS('AEO 2026 Table 23 '!I:I,'AEO 2026 Table 23 '!$B:$B,"*,"&amp;$A45&amp;",*"))/SUMIFS('AEO 2026 Table 23 '!I:I,'AEO 2026 Table 23 '!$B:$B,"*,"&amp;$A45&amp;",*"),"")</f>
        <v/>
      </c>
      <c r="H45">
        <f>IFERROR((SUMIFS('AEO 2026 Table 23 '!K:K,'AEO 2026 Table 23 '!$B:$B,"*,"&amp;$A45&amp;",*")-SUMIFS('AEO 2026 Table 23 '!J:J,'AEO 2026 Table 23 '!$B:$B,"*,"&amp;$A45&amp;",*"))/SUMIFS('AEO 2026 Table 23 '!J:J,'AEO 2026 Table 23 '!$B:$B,"*,"&amp;$A45&amp;",*"),"")</f>
        <v/>
      </c>
      <c r="I45">
        <f>IFERROR((SUMIFS('AEO 2026 Table 23 '!L:L,'AEO 2026 Table 23 '!$B:$B,"*,"&amp;$A45&amp;",*")-SUMIFS('AEO 2026 Table 23 '!K:K,'AEO 2026 Table 23 '!$B:$B,"*,"&amp;$A45&amp;",*"))/SUMIFS('AEO 2026 Table 23 '!K:K,'AEO 2026 Table 23 '!$B:$B,"*,"&amp;$A45&amp;",*"),"")</f>
        <v/>
      </c>
      <c r="J45">
        <f>IFERROR((SUMIFS('AEO 2026 Table 23 '!M:M,'AEO 2026 Table 23 '!$B:$B,"*,"&amp;$A45&amp;",*")-SUMIFS('AEO 2026 Table 23 '!L:L,'AEO 2026 Table 23 '!$B:$B,"*,"&amp;$A45&amp;",*"))/SUMIFS('AEO 2026 Table 23 '!L:L,'AEO 2026 Table 23 '!$B:$B,"*,"&amp;$A45&amp;",*"),"")</f>
        <v/>
      </c>
      <c r="K45">
        <f>IFERROR((SUMIFS('AEO 2026 Table 23 '!N:N,'AEO 2026 Table 23 '!$B:$B,"*,"&amp;$A45&amp;",*")-SUMIFS('AEO 2026 Table 23 '!M:M,'AEO 2026 Table 23 '!$B:$B,"*,"&amp;$A45&amp;",*"))/SUMIFS('AEO 2026 Table 23 '!M:M,'AEO 2026 Table 23 '!$B:$B,"*,"&amp;$A45&amp;",*"),"")</f>
        <v/>
      </c>
      <c r="L45">
        <f>IFERROR((SUMIFS('AEO 2026 Table 23 '!O:O,'AEO 2026 Table 23 '!$B:$B,"*,"&amp;$A45&amp;",*")-SUMIFS('AEO 2026 Table 23 '!N:N,'AEO 2026 Table 23 '!$B:$B,"*,"&amp;$A45&amp;",*"))/SUMIFS('AEO 2026 Table 23 '!N:N,'AEO 2026 Table 23 '!$B:$B,"*,"&amp;$A45&amp;",*"),"")</f>
        <v/>
      </c>
      <c r="M45">
        <f>IFERROR((SUMIFS('AEO 2026 Table 23 '!P:P,'AEO 2026 Table 23 '!$B:$B,"*,"&amp;$A45&amp;",*")-SUMIFS('AEO 2026 Table 23 '!O:O,'AEO 2026 Table 23 '!$B:$B,"*,"&amp;$A45&amp;",*"))/SUMIFS('AEO 2026 Table 23 '!O:O,'AEO 2026 Table 23 '!$B:$B,"*,"&amp;$A45&amp;",*"),"")</f>
        <v/>
      </c>
      <c r="N45">
        <f>IFERROR((SUMIFS('AEO 2026 Table 23 '!Q:Q,'AEO 2026 Table 23 '!$B:$B,"*,"&amp;$A45&amp;",*")-SUMIFS('AEO 2026 Table 23 '!P:P,'AEO 2026 Table 23 '!$B:$B,"*,"&amp;$A45&amp;",*"))/SUMIFS('AEO 2026 Table 23 '!P:P,'AEO 2026 Table 23 '!$B:$B,"*,"&amp;$A45&amp;",*"),"")</f>
        <v/>
      </c>
      <c r="O45">
        <f>IFERROR((SUMIFS('AEO 2026 Table 23 '!R:R,'AEO 2026 Table 23 '!$B:$B,"*,"&amp;$A45&amp;",*")-SUMIFS('AEO 2026 Table 23 '!Q:Q,'AEO 2026 Table 23 '!$B:$B,"*,"&amp;$A45&amp;",*"))/SUMIFS('AEO 2026 Table 23 '!Q:Q,'AEO 2026 Table 23 '!$B:$B,"*,"&amp;$A45&amp;",*"),"")</f>
        <v/>
      </c>
      <c r="P45">
        <f>IFERROR((SUMIFS('AEO 2026 Table 23 '!S:S,'AEO 2026 Table 23 '!$B:$B,"*,"&amp;$A45&amp;",*")-SUMIFS('AEO 2026 Table 23 '!R:R,'AEO 2026 Table 23 '!$B:$B,"*,"&amp;$A45&amp;",*"))/SUMIFS('AEO 2026 Table 23 '!R:R,'AEO 2026 Table 23 '!$B:$B,"*,"&amp;$A45&amp;",*"),"")</f>
        <v/>
      </c>
      <c r="Q45">
        <f>IFERROR((SUMIFS('AEO 2026 Table 23 '!T:T,'AEO 2026 Table 23 '!$B:$B,"*,"&amp;$A45&amp;",*")-SUMIFS('AEO 2026 Table 23 '!S:S,'AEO 2026 Table 23 '!$B:$B,"*,"&amp;$A45&amp;",*"))/SUMIFS('AEO 2026 Table 23 '!S:S,'AEO 2026 Table 23 '!$B:$B,"*,"&amp;$A45&amp;",*"),"")</f>
        <v/>
      </c>
      <c r="R45">
        <f>IFERROR((SUMIFS('AEO 2026 Table 23 '!U:U,'AEO 2026 Table 23 '!$B:$B,"*,"&amp;$A45&amp;",*")-SUMIFS('AEO 2026 Table 23 '!T:T,'AEO 2026 Table 23 '!$B:$B,"*,"&amp;$A45&amp;",*"))/SUMIFS('AEO 2026 Table 23 '!T:T,'AEO 2026 Table 23 '!$B:$B,"*,"&amp;$A45&amp;",*"),"")</f>
        <v/>
      </c>
      <c r="S45">
        <f>IFERROR((SUMIFS('AEO 2026 Table 23 '!V:V,'AEO 2026 Table 23 '!$B:$B,"*,"&amp;$A45&amp;",*")-SUMIFS('AEO 2026 Table 23 '!U:U,'AEO 2026 Table 23 '!$B:$B,"*,"&amp;$A45&amp;",*"))/SUMIFS('AEO 2026 Table 23 '!U:U,'AEO 2026 Table 23 '!$B:$B,"*,"&amp;$A45&amp;",*"),"")</f>
        <v/>
      </c>
      <c r="T45">
        <f>IFERROR((SUMIFS('AEO 2026 Table 23 '!W:W,'AEO 2026 Table 23 '!$B:$B,"*,"&amp;$A45&amp;",*")-SUMIFS('AEO 2026 Table 23 '!V:V,'AEO 2026 Table 23 '!$B:$B,"*,"&amp;$A45&amp;",*"))/SUMIFS('AEO 2026 Table 23 '!V:V,'AEO 2026 Table 23 '!$B:$B,"*,"&amp;$A45&amp;",*"),"")</f>
        <v/>
      </c>
      <c r="U45">
        <f>IFERROR((SUMIFS('AEO 2026 Table 23 '!X:X,'AEO 2026 Table 23 '!$B:$B,"*,"&amp;$A45&amp;",*")-SUMIFS('AEO 2026 Table 23 '!W:W,'AEO 2026 Table 23 '!$B:$B,"*,"&amp;$A45&amp;",*"))/SUMIFS('AEO 2026 Table 23 '!W:W,'AEO 2026 Table 23 '!$B:$B,"*,"&amp;$A45&amp;",*"),"")</f>
        <v/>
      </c>
      <c r="V45">
        <f>IFERROR((SUMIFS('AEO 2026 Table 23 '!Y:Y,'AEO 2026 Table 23 '!$B:$B,"*,"&amp;$A45&amp;",*")-SUMIFS('AEO 2026 Table 23 '!X:X,'AEO 2026 Table 23 '!$B:$B,"*,"&amp;$A45&amp;",*"))/SUMIFS('AEO 2026 Table 23 '!X:X,'AEO 2026 Table 23 '!$B:$B,"*,"&amp;$A45&amp;",*"),"")</f>
        <v/>
      </c>
      <c r="W45">
        <f>IFERROR((SUMIFS('AEO 2026 Table 23 '!Z:Z,'AEO 2026 Table 23 '!$B:$B,"*,"&amp;$A45&amp;",*")-SUMIFS('AEO 2026 Table 23 '!Y:Y,'AEO 2026 Table 23 '!$B:$B,"*,"&amp;$A45&amp;",*"))/SUMIFS('AEO 2026 Table 23 '!Y:Y,'AEO 2026 Table 23 '!$B:$B,"*,"&amp;$A45&amp;",*"),"")</f>
        <v/>
      </c>
      <c r="X45">
        <f>IFERROR((SUMIFS('AEO 2026 Table 23 '!AA:AA,'AEO 2026 Table 23 '!$B:$B,"*,"&amp;$A45&amp;",*")-SUMIFS('AEO 2026 Table 23 '!Z:Z,'AEO 2026 Table 23 '!$B:$B,"*,"&amp;$A45&amp;",*"))/SUMIFS('AEO 2026 Table 23 '!Z:Z,'AEO 2026 Table 23 '!$B:$B,"*,"&amp;$A45&amp;",*"),"")</f>
        <v/>
      </c>
      <c r="Y45">
        <f>IFERROR((SUMIFS('AEO 2026 Table 23 '!AB:AB,'AEO 2026 Table 23 '!$B:$B,"*,"&amp;$A45&amp;",*")-SUMIFS('AEO 2026 Table 23 '!AA:AA,'AEO 2026 Table 23 '!$B:$B,"*,"&amp;$A45&amp;",*"))/SUMIFS('AEO 2026 Table 23 '!AA:AA,'AEO 2026 Table 23 '!$B:$B,"*,"&amp;$A45&amp;",*"),"")</f>
        <v/>
      </c>
      <c r="Z45">
        <f>IFERROR((SUMIFS('AEO 2026 Table 23 '!AC:AC,'AEO 2026 Table 23 '!$B:$B,"*,"&amp;$A45&amp;",*")-SUMIFS('AEO 2026 Table 23 '!AB:AB,'AEO 2026 Table 23 '!$B:$B,"*,"&amp;$A45&amp;",*"))/SUMIFS('AEO 2026 Table 23 '!AB:AB,'AEO 2026 Table 23 '!$B:$B,"*,"&amp;$A45&amp;",*"),"")</f>
        <v/>
      </c>
      <c r="AA45">
        <f>IFERROR((SUMIFS('AEO 2026 Table 23 '!AD:AD,'AEO 2026 Table 23 '!$B:$B,"*,"&amp;$A45&amp;",*")-SUMIFS('AEO 2026 Table 23 '!AC:AC,'AEO 2026 Table 23 '!$B:$B,"*,"&amp;$A45&amp;",*"))/SUMIFS('AEO 2026 Table 23 '!AC:AC,'AEO 2026 Table 23 '!$B:$B,"*,"&amp;$A45&amp;",*"),"")</f>
        <v/>
      </c>
      <c r="AB45">
        <f>IFERROR((SUMIFS('AEO 2026 Table 23 '!AE:AE,'AEO 2026 Table 23 '!$B:$B,"*,"&amp;$A45&amp;",*")-SUMIFS('AEO 2026 Table 23 '!AD:AD,'AEO 2026 Table 23 '!$B:$B,"*,"&amp;$A45&amp;",*"))/SUMIFS('AEO 2026 Table 23 '!AD:AD,'AEO 2026 Table 23 '!$B:$B,"*,"&amp;$A45&amp;",*"),"")</f>
        <v/>
      </c>
      <c r="AC45">
        <f>IFERROR((SUMIFS('AEO 2026 Table 23 '!AF:AF,'AEO 2026 Table 23 '!$B:$B,"*,"&amp;$A45&amp;",*")-SUMIFS('AEO 2026 Table 23 '!AE:AE,'AEO 2026 Table 23 '!$B:$B,"*,"&amp;$A45&amp;",*"))/SUMIFS('AEO 2026 Table 23 '!AE:AE,'AEO 2026 Table 23 '!$B:$B,"*,"&amp;$A45&amp;",*"),"")</f>
        <v/>
      </c>
    </row>
    <row r="46">
      <c r="A46" t="inlineStr">
        <is>
          <t>ISIC 64T66</t>
        </is>
      </c>
      <c r="B46">
        <f>IFERROR(SUMPRODUCT(--('BLS Table 2.11'!$L$1:$L$426=$A46),'BLS Table 2.11'!$J$1:$J$426,'BLS Table 2.11'!$K$1:$K$426)/SUMIFS('BLS Table 2.11'!$J$1:$J$426,'BLS Table 2.11'!$L$1:$L$426,$A46)/100,0)</f>
        <v/>
      </c>
      <c r="D46">
        <f>IFERROR((SUMIFS('AEO 2026 Table 23 '!G:G,'AEO 2026 Table 23 '!$B:$B,"*,"&amp;$A46&amp;",*")-SUMIFS('AEO25 Table 23'!H:H,'AEO25 Table 23'!$B:$B,"*,"&amp;$A46&amp;",*"))/SUMIFS('AEO25 Table 23'!H:H,'AEO25 Table 23'!$B:$B,"*,"&amp;$A46&amp;",*"),"")</f>
        <v/>
      </c>
      <c r="E46">
        <f>IFERROR((SUMIFS('AEO 2026 Table 23 '!H:H,'AEO 2026 Table 23 '!$B:$B,"*,"&amp;$A46&amp;",*")-SUMIFS('AEO 2026 Table 23 '!G:G,'AEO 2026 Table 23 '!$B:$B,"*,"&amp;$A46&amp;",*"))/SUMIFS('AEO 2026 Table 23 '!G:G,'AEO 2026 Table 23 '!$B:$B,"*,"&amp;$A46&amp;",*"),"")</f>
        <v/>
      </c>
      <c r="F46">
        <f>IFERROR((SUMIFS('AEO 2026 Table 23 '!I:I,'AEO 2026 Table 23 '!$B:$B,"*,"&amp;$A46&amp;",*")-SUMIFS('AEO 2026 Table 23 '!H:H,'AEO 2026 Table 23 '!$B:$B,"*,"&amp;$A46&amp;",*"))/SUMIFS('AEO 2026 Table 23 '!H:H,'AEO 2026 Table 23 '!$B:$B,"*,"&amp;$A46&amp;",*"),"")</f>
        <v/>
      </c>
      <c r="G46">
        <f>IFERROR((SUMIFS('AEO 2026 Table 23 '!J:J,'AEO 2026 Table 23 '!$B:$B,"*,"&amp;$A46&amp;",*")-SUMIFS('AEO 2026 Table 23 '!I:I,'AEO 2026 Table 23 '!$B:$B,"*,"&amp;$A46&amp;",*"))/SUMIFS('AEO 2026 Table 23 '!I:I,'AEO 2026 Table 23 '!$B:$B,"*,"&amp;$A46&amp;",*"),"")</f>
        <v/>
      </c>
      <c r="H46">
        <f>IFERROR((SUMIFS('AEO 2026 Table 23 '!K:K,'AEO 2026 Table 23 '!$B:$B,"*,"&amp;$A46&amp;",*")-SUMIFS('AEO 2026 Table 23 '!J:J,'AEO 2026 Table 23 '!$B:$B,"*,"&amp;$A46&amp;",*"))/SUMIFS('AEO 2026 Table 23 '!J:J,'AEO 2026 Table 23 '!$B:$B,"*,"&amp;$A46&amp;",*"),"")</f>
        <v/>
      </c>
      <c r="I46">
        <f>IFERROR((SUMIFS('AEO 2026 Table 23 '!L:L,'AEO 2026 Table 23 '!$B:$B,"*,"&amp;$A46&amp;",*")-SUMIFS('AEO 2026 Table 23 '!K:K,'AEO 2026 Table 23 '!$B:$B,"*,"&amp;$A46&amp;",*"))/SUMIFS('AEO 2026 Table 23 '!K:K,'AEO 2026 Table 23 '!$B:$B,"*,"&amp;$A46&amp;",*"),"")</f>
        <v/>
      </c>
      <c r="J46">
        <f>IFERROR((SUMIFS('AEO 2026 Table 23 '!M:M,'AEO 2026 Table 23 '!$B:$B,"*,"&amp;$A46&amp;",*")-SUMIFS('AEO 2026 Table 23 '!L:L,'AEO 2026 Table 23 '!$B:$B,"*,"&amp;$A46&amp;",*"))/SUMIFS('AEO 2026 Table 23 '!L:L,'AEO 2026 Table 23 '!$B:$B,"*,"&amp;$A46&amp;",*"),"")</f>
        <v/>
      </c>
      <c r="K46">
        <f>IFERROR((SUMIFS('AEO 2026 Table 23 '!N:N,'AEO 2026 Table 23 '!$B:$B,"*,"&amp;$A46&amp;",*")-SUMIFS('AEO 2026 Table 23 '!M:M,'AEO 2026 Table 23 '!$B:$B,"*,"&amp;$A46&amp;",*"))/SUMIFS('AEO 2026 Table 23 '!M:M,'AEO 2026 Table 23 '!$B:$B,"*,"&amp;$A46&amp;",*"),"")</f>
        <v/>
      </c>
      <c r="L46">
        <f>IFERROR((SUMIFS('AEO 2026 Table 23 '!O:O,'AEO 2026 Table 23 '!$B:$B,"*,"&amp;$A46&amp;",*")-SUMIFS('AEO 2026 Table 23 '!N:N,'AEO 2026 Table 23 '!$B:$B,"*,"&amp;$A46&amp;",*"))/SUMIFS('AEO 2026 Table 23 '!N:N,'AEO 2026 Table 23 '!$B:$B,"*,"&amp;$A46&amp;",*"),"")</f>
        <v/>
      </c>
      <c r="M46">
        <f>IFERROR((SUMIFS('AEO 2026 Table 23 '!P:P,'AEO 2026 Table 23 '!$B:$B,"*,"&amp;$A46&amp;",*")-SUMIFS('AEO 2026 Table 23 '!O:O,'AEO 2026 Table 23 '!$B:$B,"*,"&amp;$A46&amp;",*"))/SUMIFS('AEO 2026 Table 23 '!O:O,'AEO 2026 Table 23 '!$B:$B,"*,"&amp;$A46&amp;",*"),"")</f>
        <v/>
      </c>
      <c r="N46">
        <f>IFERROR((SUMIFS('AEO 2026 Table 23 '!Q:Q,'AEO 2026 Table 23 '!$B:$B,"*,"&amp;$A46&amp;",*")-SUMIFS('AEO 2026 Table 23 '!P:P,'AEO 2026 Table 23 '!$B:$B,"*,"&amp;$A46&amp;",*"))/SUMIFS('AEO 2026 Table 23 '!P:P,'AEO 2026 Table 23 '!$B:$B,"*,"&amp;$A46&amp;",*"),"")</f>
        <v/>
      </c>
      <c r="O46">
        <f>IFERROR((SUMIFS('AEO 2026 Table 23 '!R:R,'AEO 2026 Table 23 '!$B:$B,"*,"&amp;$A46&amp;",*")-SUMIFS('AEO 2026 Table 23 '!Q:Q,'AEO 2026 Table 23 '!$B:$B,"*,"&amp;$A46&amp;",*"))/SUMIFS('AEO 2026 Table 23 '!Q:Q,'AEO 2026 Table 23 '!$B:$B,"*,"&amp;$A46&amp;",*"),"")</f>
        <v/>
      </c>
      <c r="P46">
        <f>IFERROR((SUMIFS('AEO 2026 Table 23 '!S:S,'AEO 2026 Table 23 '!$B:$B,"*,"&amp;$A46&amp;",*")-SUMIFS('AEO 2026 Table 23 '!R:R,'AEO 2026 Table 23 '!$B:$B,"*,"&amp;$A46&amp;",*"))/SUMIFS('AEO 2026 Table 23 '!R:R,'AEO 2026 Table 23 '!$B:$B,"*,"&amp;$A46&amp;",*"),"")</f>
        <v/>
      </c>
      <c r="Q46">
        <f>IFERROR((SUMIFS('AEO 2026 Table 23 '!T:T,'AEO 2026 Table 23 '!$B:$B,"*,"&amp;$A46&amp;",*")-SUMIFS('AEO 2026 Table 23 '!S:S,'AEO 2026 Table 23 '!$B:$B,"*,"&amp;$A46&amp;",*"))/SUMIFS('AEO 2026 Table 23 '!S:S,'AEO 2026 Table 23 '!$B:$B,"*,"&amp;$A46&amp;",*"),"")</f>
        <v/>
      </c>
      <c r="R46">
        <f>IFERROR((SUMIFS('AEO 2026 Table 23 '!U:U,'AEO 2026 Table 23 '!$B:$B,"*,"&amp;$A46&amp;",*")-SUMIFS('AEO 2026 Table 23 '!T:T,'AEO 2026 Table 23 '!$B:$B,"*,"&amp;$A46&amp;",*"))/SUMIFS('AEO 2026 Table 23 '!T:T,'AEO 2026 Table 23 '!$B:$B,"*,"&amp;$A46&amp;",*"),"")</f>
        <v/>
      </c>
      <c r="S46">
        <f>IFERROR((SUMIFS('AEO 2026 Table 23 '!V:V,'AEO 2026 Table 23 '!$B:$B,"*,"&amp;$A46&amp;",*")-SUMIFS('AEO 2026 Table 23 '!U:U,'AEO 2026 Table 23 '!$B:$B,"*,"&amp;$A46&amp;",*"))/SUMIFS('AEO 2026 Table 23 '!U:U,'AEO 2026 Table 23 '!$B:$B,"*,"&amp;$A46&amp;",*"),"")</f>
        <v/>
      </c>
      <c r="T46">
        <f>IFERROR((SUMIFS('AEO 2026 Table 23 '!W:W,'AEO 2026 Table 23 '!$B:$B,"*,"&amp;$A46&amp;",*")-SUMIFS('AEO 2026 Table 23 '!V:V,'AEO 2026 Table 23 '!$B:$B,"*,"&amp;$A46&amp;",*"))/SUMIFS('AEO 2026 Table 23 '!V:V,'AEO 2026 Table 23 '!$B:$B,"*,"&amp;$A46&amp;",*"),"")</f>
        <v/>
      </c>
      <c r="U46">
        <f>IFERROR((SUMIFS('AEO 2026 Table 23 '!X:X,'AEO 2026 Table 23 '!$B:$B,"*,"&amp;$A46&amp;",*")-SUMIFS('AEO 2026 Table 23 '!W:W,'AEO 2026 Table 23 '!$B:$B,"*,"&amp;$A46&amp;",*"))/SUMIFS('AEO 2026 Table 23 '!W:W,'AEO 2026 Table 23 '!$B:$B,"*,"&amp;$A46&amp;",*"),"")</f>
        <v/>
      </c>
      <c r="V46">
        <f>IFERROR((SUMIFS('AEO 2026 Table 23 '!Y:Y,'AEO 2026 Table 23 '!$B:$B,"*,"&amp;$A46&amp;",*")-SUMIFS('AEO 2026 Table 23 '!X:X,'AEO 2026 Table 23 '!$B:$B,"*,"&amp;$A46&amp;",*"))/SUMIFS('AEO 2026 Table 23 '!X:X,'AEO 2026 Table 23 '!$B:$B,"*,"&amp;$A46&amp;",*"),"")</f>
        <v/>
      </c>
      <c r="W46">
        <f>IFERROR((SUMIFS('AEO 2026 Table 23 '!Z:Z,'AEO 2026 Table 23 '!$B:$B,"*,"&amp;$A46&amp;",*")-SUMIFS('AEO 2026 Table 23 '!Y:Y,'AEO 2026 Table 23 '!$B:$B,"*,"&amp;$A46&amp;",*"))/SUMIFS('AEO 2026 Table 23 '!Y:Y,'AEO 2026 Table 23 '!$B:$B,"*,"&amp;$A46&amp;",*"),"")</f>
        <v/>
      </c>
      <c r="X46">
        <f>IFERROR((SUMIFS('AEO 2026 Table 23 '!AA:AA,'AEO 2026 Table 23 '!$B:$B,"*,"&amp;$A46&amp;",*")-SUMIFS('AEO 2026 Table 23 '!Z:Z,'AEO 2026 Table 23 '!$B:$B,"*,"&amp;$A46&amp;",*"))/SUMIFS('AEO 2026 Table 23 '!Z:Z,'AEO 2026 Table 23 '!$B:$B,"*,"&amp;$A46&amp;",*"),"")</f>
        <v/>
      </c>
      <c r="Y46">
        <f>IFERROR((SUMIFS('AEO 2026 Table 23 '!AB:AB,'AEO 2026 Table 23 '!$B:$B,"*,"&amp;$A46&amp;",*")-SUMIFS('AEO 2026 Table 23 '!AA:AA,'AEO 2026 Table 23 '!$B:$B,"*,"&amp;$A46&amp;",*"))/SUMIFS('AEO 2026 Table 23 '!AA:AA,'AEO 2026 Table 23 '!$B:$B,"*,"&amp;$A46&amp;",*"),"")</f>
        <v/>
      </c>
      <c r="Z46">
        <f>IFERROR((SUMIFS('AEO 2026 Table 23 '!AC:AC,'AEO 2026 Table 23 '!$B:$B,"*,"&amp;$A46&amp;",*")-SUMIFS('AEO 2026 Table 23 '!AB:AB,'AEO 2026 Table 23 '!$B:$B,"*,"&amp;$A46&amp;",*"))/SUMIFS('AEO 2026 Table 23 '!AB:AB,'AEO 2026 Table 23 '!$B:$B,"*,"&amp;$A46&amp;",*"),"")</f>
        <v/>
      </c>
      <c r="AA46">
        <f>IFERROR((SUMIFS('AEO 2026 Table 23 '!AD:AD,'AEO 2026 Table 23 '!$B:$B,"*,"&amp;$A46&amp;",*")-SUMIFS('AEO 2026 Table 23 '!AC:AC,'AEO 2026 Table 23 '!$B:$B,"*,"&amp;$A46&amp;",*"))/SUMIFS('AEO 2026 Table 23 '!AC:AC,'AEO 2026 Table 23 '!$B:$B,"*,"&amp;$A46&amp;",*"),"")</f>
        <v/>
      </c>
      <c r="AB46">
        <f>IFERROR((SUMIFS('AEO 2026 Table 23 '!AE:AE,'AEO 2026 Table 23 '!$B:$B,"*,"&amp;$A46&amp;",*")-SUMIFS('AEO 2026 Table 23 '!AD:AD,'AEO 2026 Table 23 '!$B:$B,"*,"&amp;$A46&amp;",*"))/SUMIFS('AEO 2026 Table 23 '!AD:AD,'AEO 2026 Table 23 '!$B:$B,"*,"&amp;$A46&amp;",*"),"")</f>
        <v/>
      </c>
      <c r="AC46">
        <f>IFERROR((SUMIFS('AEO 2026 Table 23 '!AF:AF,'AEO 2026 Table 23 '!$B:$B,"*,"&amp;$A46&amp;",*")-SUMIFS('AEO 2026 Table 23 '!AE:AE,'AEO 2026 Table 23 '!$B:$B,"*,"&amp;$A46&amp;",*"))/SUMIFS('AEO 2026 Table 23 '!AE:AE,'AEO 2026 Table 23 '!$B:$B,"*,"&amp;$A46&amp;",*"),"")</f>
        <v/>
      </c>
    </row>
    <row r="47">
      <c r="A47" t="inlineStr">
        <is>
          <t>ISIC 68</t>
        </is>
      </c>
      <c r="B47">
        <f>IFERROR(SUMPRODUCT(--('BLS Table 2.11'!$L$1:$L$426=$A47),'BLS Table 2.11'!$J$1:$J$426,'BLS Table 2.11'!$K$1:$K$426)/SUMIFS('BLS Table 2.11'!$J$1:$J$426,'BLS Table 2.11'!$L$1:$L$426,$A47)/100,0)</f>
        <v/>
      </c>
      <c r="D47">
        <f>IFERROR((SUMIFS('AEO 2026 Table 23 '!G:G,'AEO 2026 Table 23 '!$B:$B,"*,"&amp;$A47&amp;",*")-SUMIFS('AEO25 Table 23'!H:H,'AEO25 Table 23'!$B:$B,"*,"&amp;$A47&amp;",*"))/SUMIFS('AEO25 Table 23'!H:H,'AEO25 Table 23'!$B:$B,"*,"&amp;$A47&amp;",*"),"")</f>
        <v/>
      </c>
      <c r="E47">
        <f>IFERROR((SUMIFS('AEO 2026 Table 23 '!H:H,'AEO 2026 Table 23 '!$B:$B,"*,"&amp;$A47&amp;",*")-SUMIFS('AEO 2026 Table 23 '!G:G,'AEO 2026 Table 23 '!$B:$B,"*,"&amp;$A47&amp;",*"))/SUMIFS('AEO 2026 Table 23 '!G:G,'AEO 2026 Table 23 '!$B:$B,"*,"&amp;$A47&amp;",*"),"")</f>
        <v/>
      </c>
      <c r="F47">
        <f>IFERROR((SUMIFS('AEO 2026 Table 23 '!I:I,'AEO 2026 Table 23 '!$B:$B,"*,"&amp;$A47&amp;",*")-SUMIFS('AEO 2026 Table 23 '!H:H,'AEO 2026 Table 23 '!$B:$B,"*,"&amp;$A47&amp;",*"))/SUMIFS('AEO 2026 Table 23 '!H:H,'AEO 2026 Table 23 '!$B:$B,"*,"&amp;$A47&amp;",*"),"")</f>
        <v/>
      </c>
      <c r="G47">
        <f>IFERROR((SUMIFS('AEO 2026 Table 23 '!J:J,'AEO 2026 Table 23 '!$B:$B,"*,"&amp;$A47&amp;",*")-SUMIFS('AEO 2026 Table 23 '!I:I,'AEO 2026 Table 23 '!$B:$B,"*,"&amp;$A47&amp;",*"))/SUMIFS('AEO 2026 Table 23 '!I:I,'AEO 2026 Table 23 '!$B:$B,"*,"&amp;$A47&amp;",*"),"")</f>
        <v/>
      </c>
      <c r="H47">
        <f>IFERROR((SUMIFS('AEO 2026 Table 23 '!K:K,'AEO 2026 Table 23 '!$B:$B,"*,"&amp;$A47&amp;",*")-SUMIFS('AEO 2026 Table 23 '!J:J,'AEO 2026 Table 23 '!$B:$B,"*,"&amp;$A47&amp;",*"))/SUMIFS('AEO 2026 Table 23 '!J:J,'AEO 2026 Table 23 '!$B:$B,"*,"&amp;$A47&amp;",*"),"")</f>
        <v/>
      </c>
      <c r="I47">
        <f>IFERROR((SUMIFS('AEO 2026 Table 23 '!L:L,'AEO 2026 Table 23 '!$B:$B,"*,"&amp;$A47&amp;",*")-SUMIFS('AEO 2026 Table 23 '!K:K,'AEO 2026 Table 23 '!$B:$B,"*,"&amp;$A47&amp;",*"))/SUMIFS('AEO 2026 Table 23 '!K:K,'AEO 2026 Table 23 '!$B:$B,"*,"&amp;$A47&amp;",*"),"")</f>
        <v/>
      </c>
      <c r="J47">
        <f>IFERROR((SUMIFS('AEO 2026 Table 23 '!M:M,'AEO 2026 Table 23 '!$B:$B,"*,"&amp;$A47&amp;",*")-SUMIFS('AEO 2026 Table 23 '!L:L,'AEO 2026 Table 23 '!$B:$B,"*,"&amp;$A47&amp;",*"))/SUMIFS('AEO 2026 Table 23 '!L:L,'AEO 2026 Table 23 '!$B:$B,"*,"&amp;$A47&amp;",*"),"")</f>
        <v/>
      </c>
      <c r="K47">
        <f>IFERROR((SUMIFS('AEO 2026 Table 23 '!N:N,'AEO 2026 Table 23 '!$B:$B,"*,"&amp;$A47&amp;",*")-SUMIFS('AEO 2026 Table 23 '!M:M,'AEO 2026 Table 23 '!$B:$B,"*,"&amp;$A47&amp;",*"))/SUMIFS('AEO 2026 Table 23 '!M:M,'AEO 2026 Table 23 '!$B:$B,"*,"&amp;$A47&amp;",*"),"")</f>
        <v/>
      </c>
      <c r="L47">
        <f>IFERROR((SUMIFS('AEO 2026 Table 23 '!O:O,'AEO 2026 Table 23 '!$B:$B,"*,"&amp;$A47&amp;",*")-SUMIFS('AEO 2026 Table 23 '!N:N,'AEO 2026 Table 23 '!$B:$B,"*,"&amp;$A47&amp;",*"))/SUMIFS('AEO 2026 Table 23 '!N:N,'AEO 2026 Table 23 '!$B:$B,"*,"&amp;$A47&amp;",*"),"")</f>
        <v/>
      </c>
      <c r="M47">
        <f>IFERROR((SUMIFS('AEO 2026 Table 23 '!P:P,'AEO 2026 Table 23 '!$B:$B,"*,"&amp;$A47&amp;",*")-SUMIFS('AEO 2026 Table 23 '!O:O,'AEO 2026 Table 23 '!$B:$B,"*,"&amp;$A47&amp;",*"))/SUMIFS('AEO 2026 Table 23 '!O:O,'AEO 2026 Table 23 '!$B:$B,"*,"&amp;$A47&amp;",*"),"")</f>
        <v/>
      </c>
      <c r="N47">
        <f>IFERROR((SUMIFS('AEO 2026 Table 23 '!Q:Q,'AEO 2026 Table 23 '!$B:$B,"*,"&amp;$A47&amp;",*")-SUMIFS('AEO 2026 Table 23 '!P:P,'AEO 2026 Table 23 '!$B:$B,"*,"&amp;$A47&amp;",*"))/SUMIFS('AEO 2026 Table 23 '!P:P,'AEO 2026 Table 23 '!$B:$B,"*,"&amp;$A47&amp;",*"),"")</f>
        <v/>
      </c>
      <c r="O47">
        <f>IFERROR((SUMIFS('AEO 2026 Table 23 '!R:R,'AEO 2026 Table 23 '!$B:$B,"*,"&amp;$A47&amp;",*")-SUMIFS('AEO 2026 Table 23 '!Q:Q,'AEO 2026 Table 23 '!$B:$B,"*,"&amp;$A47&amp;",*"))/SUMIFS('AEO 2026 Table 23 '!Q:Q,'AEO 2026 Table 23 '!$B:$B,"*,"&amp;$A47&amp;",*"),"")</f>
        <v/>
      </c>
      <c r="P47">
        <f>IFERROR((SUMIFS('AEO 2026 Table 23 '!S:S,'AEO 2026 Table 23 '!$B:$B,"*,"&amp;$A47&amp;",*")-SUMIFS('AEO 2026 Table 23 '!R:R,'AEO 2026 Table 23 '!$B:$B,"*,"&amp;$A47&amp;",*"))/SUMIFS('AEO 2026 Table 23 '!R:R,'AEO 2026 Table 23 '!$B:$B,"*,"&amp;$A47&amp;",*"),"")</f>
        <v/>
      </c>
      <c r="Q47">
        <f>IFERROR((SUMIFS('AEO 2026 Table 23 '!T:T,'AEO 2026 Table 23 '!$B:$B,"*,"&amp;$A47&amp;",*")-SUMIFS('AEO 2026 Table 23 '!S:S,'AEO 2026 Table 23 '!$B:$B,"*,"&amp;$A47&amp;",*"))/SUMIFS('AEO 2026 Table 23 '!S:S,'AEO 2026 Table 23 '!$B:$B,"*,"&amp;$A47&amp;",*"),"")</f>
        <v/>
      </c>
      <c r="R47">
        <f>IFERROR((SUMIFS('AEO 2026 Table 23 '!U:U,'AEO 2026 Table 23 '!$B:$B,"*,"&amp;$A47&amp;",*")-SUMIFS('AEO 2026 Table 23 '!T:T,'AEO 2026 Table 23 '!$B:$B,"*,"&amp;$A47&amp;",*"))/SUMIFS('AEO 2026 Table 23 '!T:T,'AEO 2026 Table 23 '!$B:$B,"*,"&amp;$A47&amp;",*"),"")</f>
        <v/>
      </c>
      <c r="S47">
        <f>IFERROR((SUMIFS('AEO 2026 Table 23 '!V:V,'AEO 2026 Table 23 '!$B:$B,"*,"&amp;$A47&amp;",*")-SUMIFS('AEO 2026 Table 23 '!U:U,'AEO 2026 Table 23 '!$B:$B,"*,"&amp;$A47&amp;",*"))/SUMIFS('AEO 2026 Table 23 '!U:U,'AEO 2026 Table 23 '!$B:$B,"*,"&amp;$A47&amp;",*"),"")</f>
        <v/>
      </c>
      <c r="T47">
        <f>IFERROR((SUMIFS('AEO 2026 Table 23 '!W:W,'AEO 2026 Table 23 '!$B:$B,"*,"&amp;$A47&amp;",*")-SUMIFS('AEO 2026 Table 23 '!V:V,'AEO 2026 Table 23 '!$B:$B,"*,"&amp;$A47&amp;",*"))/SUMIFS('AEO 2026 Table 23 '!V:V,'AEO 2026 Table 23 '!$B:$B,"*,"&amp;$A47&amp;",*"),"")</f>
        <v/>
      </c>
      <c r="U47">
        <f>IFERROR((SUMIFS('AEO 2026 Table 23 '!X:X,'AEO 2026 Table 23 '!$B:$B,"*,"&amp;$A47&amp;",*")-SUMIFS('AEO 2026 Table 23 '!W:W,'AEO 2026 Table 23 '!$B:$B,"*,"&amp;$A47&amp;",*"))/SUMIFS('AEO 2026 Table 23 '!W:W,'AEO 2026 Table 23 '!$B:$B,"*,"&amp;$A47&amp;",*"),"")</f>
        <v/>
      </c>
      <c r="V47">
        <f>IFERROR((SUMIFS('AEO 2026 Table 23 '!Y:Y,'AEO 2026 Table 23 '!$B:$B,"*,"&amp;$A47&amp;",*")-SUMIFS('AEO 2026 Table 23 '!X:X,'AEO 2026 Table 23 '!$B:$B,"*,"&amp;$A47&amp;",*"))/SUMIFS('AEO 2026 Table 23 '!X:X,'AEO 2026 Table 23 '!$B:$B,"*,"&amp;$A47&amp;",*"),"")</f>
        <v/>
      </c>
      <c r="W47">
        <f>IFERROR((SUMIFS('AEO 2026 Table 23 '!Z:Z,'AEO 2026 Table 23 '!$B:$B,"*,"&amp;$A47&amp;",*")-SUMIFS('AEO 2026 Table 23 '!Y:Y,'AEO 2026 Table 23 '!$B:$B,"*,"&amp;$A47&amp;",*"))/SUMIFS('AEO 2026 Table 23 '!Y:Y,'AEO 2026 Table 23 '!$B:$B,"*,"&amp;$A47&amp;",*"),"")</f>
        <v/>
      </c>
      <c r="X47">
        <f>IFERROR((SUMIFS('AEO 2026 Table 23 '!AA:AA,'AEO 2026 Table 23 '!$B:$B,"*,"&amp;$A47&amp;",*")-SUMIFS('AEO 2026 Table 23 '!Z:Z,'AEO 2026 Table 23 '!$B:$B,"*,"&amp;$A47&amp;",*"))/SUMIFS('AEO 2026 Table 23 '!Z:Z,'AEO 2026 Table 23 '!$B:$B,"*,"&amp;$A47&amp;",*"),"")</f>
        <v/>
      </c>
      <c r="Y47">
        <f>IFERROR((SUMIFS('AEO 2026 Table 23 '!AB:AB,'AEO 2026 Table 23 '!$B:$B,"*,"&amp;$A47&amp;",*")-SUMIFS('AEO 2026 Table 23 '!AA:AA,'AEO 2026 Table 23 '!$B:$B,"*,"&amp;$A47&amp;",*"))/SUMIFS('AEO 2026 Table 23 '!AA:AA,'AEO 2026 Table 23 '!$B:$B,"*,"&amp;$A47&amp;",*"),"")</f>
        <v/>
      </c>
      <c r="Z47">
        <f>IFERROR((SUMIFS('AEO 2026 Table 23 '!AC:AC,'AEO 2026 Table 23 '!$B:$B,"*,"&amp;$A47&amp;",*")-SUMIFS('AEO 2026 Table 23 '!AB:AB,'AEO 2026 Table 23 '!$B:$B,"*,"&amp;$A47&amp;",*"))/SUMIFS('AEO 2026 Table 23 '!AB:AB,'AEO 2026 Table 23 '!$B:$B,"*,"&amp;$A47&amp;",*"),"")</f>
        <v/>
      </c>
      <c r="AA47">
        <f>IFERROR((SUMIFS('AEO 2026 Table 23 '!AD:AD,'AEO 2026 Table 23 '!$B:$B,"*,"&amp;$A47&amp;",*")-SUMIFS('AEO 2026 Table 23 '!AC:AC,'AEO 2026 Table 23 '!$B:$B,"*,"&amp;$A47&amp;",*"))/SUMIFS('AEO 2026 Table 23 '!AC:AC,'AEO 2026 Table 23 '!$B:$B,"*,"&amp;$A47&amp;",*"),"")</f>
        <v/>
      </c>
      <c r="AB47">
        <f>IFERROR((SUMIFS('AEO 2026 Table 23 '!AE:AE,'AEO 2026 Table 23 '!$B:$B,"*,"&amp;$A47&amp;",*")-SUMIFS('AEO 2026 Table 23 '!AD:AD,'AEO 2026 Table 23 '!$B:$B,"*,"&amp;$A47&amp;",*"))/SUMIFS('AEO 2026 Table 23 '!AD:AD,'AEO 2026 Table 23 '!$B:$B,"*,"&amp;$A47&amp;",*"),"")</f>
        <v/>
      </c>
      <c r="AC47">
        <f>IFERROR((SUMIFS('AEO 2026 Table 23 '!AF:AF,'AEO 2026 Table 23 '!$B:$B,"*,"&amp;$A47&amp;",*")-SUMIFS('AEO 2026 Table 23 '!AE:AE,'AEO 2026 Table 23 '!$B:$B,"*,"&amp;$A47&amp;",*"))/SUMIFS('AEO 2026 Table 23 '!AE:AE,'AEO 2026 Table 23 '!$B:$B,"*,"&amp;$A47&amp;",*"),"")</f>
        <v/>
      </c>
    </row>
    <row r="48">
      <c r="A48" t="inlineStr">
        <is>
          <t>ISIC 69T75</t>
        </is>
      </c>
      <c r="B48">
        <f>IFERROR(SUMPRODUCT(--('BLS Table 2.11'!$L$1:$L$426=$A48),'BLS Table 2.11'!$J$1:$J$426,'BLS Table 2.11'!$K$1:$K$426)/SUMIFS('BLS Table 2.11'!$J$1:$J$426,'BLS Table 2.11'!$L$1:$L$426,$A48)/100,0)</f>
        <v/>
      </c>
      <c r="D48">
        <f>IFERROR((SUMIFS('AEO 2026 Table 23 '!G:G,'AEO 2026 Table 23 '!$B:$B,"*,"&amp;$A48&amp;",*")-SUMIFS('AEO25 Table 23'!H:H,'AEO25 Table 23'!$B:$B,"*,"&amp;$A48&amp;",*"))/SUMIFS('AEO25 Table 23'!H:H,'AEO25 Table 23'!$B:$B,"*,"&amp;$A48&amp;",*"),"")</f>
        <v/>
      </c>
      <c r="E48">
        <f>IFERROR((SUMIFS('AEO 2026 Table 23 '!H:H,'AEO 2026 Table 23 '!$B:$B,"*,"&amp;$A48&amp;",*")-SUMIFS('AEO 2026 Table 23 '!G:G,'AEO 2026 Table 23 '!$B:$B,"*,"&amp;$A48&amp;",*"))/SUMIFS('AEO 2026 Table 23 '!G:G,'AEO 2026 Table 23 '!$B:$B,"*,"&amp;$A48&amp;",*"),"")</f>
        <v/>
      </c>
      <c r="F48">
        <f>IFERROR((SUMIFS('AEO 2026 Table 23 '!I:I,'AEO 2026 Table 23 '!$B:$B,"*,"&amp;$A48&amp;",*")-SUMIFS('AEO 2026 Table 23 '!H:H,'AEO 2026 Table 23 '!$B:$B,"*,"&amp;$A48&amp;",*"))/SUMIFS('AEO 2026 Table 23 '!H:H,'AEO 2026 Table 23 '!$B:$B,"*,"&amp;$A48&amp;",*"),"")</f>
        <v/>
      </c>
      <c r="G48">
        <f>IFERROR((SUMIFS('AEO 2026 Table 23 '!J:J,'AEO 2026 Table 23 '!$B:$B,"*,"&amp;$A48&amp;",*")-SUMIFS('AEO 2026 Table 23 '!I:I,'AEO 2026 Table 23 '!$B:$B,"*,"&amp;$A48&amp;",*"))/SUMIFS('AEO 2026 Table 23 '!I:I,'AEO 2026 Table 23 '!$B:$B,"*,"&amp;$A48&amp;",*"),"")</f>
        <v/>
      </c>
      <c r="H48">
        <f>IFERROR((SUMIFS('AEO 2026 Table 23 '!K:K,'AEO 2026 Table 23 '!$B:$B,"*,"&amp;$A48&amp;",*")-SUMIFS('AEO 2026 Table 23 '!J:J,'AEO 2026 Table 23 '!$B:$B,"*,"&amp;$A48&amp;",*"))/SUMIFS('AEO 2026 Table 23 '!J:J,'AEO 2026 Table 23 '!$B:$B,"*,"&amp;$A48&amp;",*"),"")</f>
        <v/>
      </c>
      <c r="I48">
        <f>IFERROR((SUMIFS('AEO 2026 Table 23 '!L:L,'AEO 2026 Table 23 '!$B:$B,"*,"&amp;$A48&amp;",*")-SUMIFS('AEO 2026 Table 23 '!K:K,'AEO 2026 Table 23 '!$B:$B,"*,"&amp;$A48&amp;",*"))/SUMIFS('AEO 2026 Table 23 '!K:K,'AEO 2026 Table 23 '!$B:$B,"*,"&amp;$A48&amp;",*"),"")</f>
        <v/>
      </c>
      <c r="J48">
        <f>IFERROR((SUMIFS('AEO 2026 Table 23 '!M:M,'AEO 2026 Table 23 '!$B:$B,"*,"&amp;$A48&amp;",*")-SUMIFS('AEO 2026 Table 23 '!L:L,'AEO 2026 Table 23 '!$B:$B,"*,"&amp;$A48&amp;",*"))/SUMIFS('AEO 2026 Table 23 '!L:L,'AEO 2026 Table 23 '!$B:$B,"*,"&amp;$A48&amp;",*"),"")</f>
        <v/>
      </c>
      <c r="K48">
        <f>IFERROR((SUMIFS('AEO 2026 Table 23 '!N:N,'AEO 2026 Table 23 '!$B:$B,"*,"&amp;$A48&amp;",*")-SUMIFS('AEO 2026 Table 23 '!M:M,'AEO 2026 Table 23 '!$B:$B,"*,"&amp;$A48&amp;",*"))/SUMIFS('AEO 2026 Table 23 '!M:M,'AEO 2026 Table 23 '!$B:$B,"*,"&amp;$A48&amp;",*"),"")</f>
        <v/>
      </c>
      <c r="L48">
        <f>IFERROR((SUMIFS('AEO 2026 Table 23 '!O:O,'AEO 2026 Table 23 '!$B:$B,"*,"&amp;$A48&amp;",*")-SUMIFS('AEO 2026 Table 23 '!N:N,'AEO 2026 Table 23 '!$B:$B,"*,"&amp;$A48&amp;",*"))/SUMIFS('AEO 2026 Table 23 '!N:N,'AEO 2026 Table 23 '!$B:$B,"*,"&amp;$A48&amp;",*"),"")</f>
        <v/>
      </c>
      <c r="M48">
        <f>IFERROR((SUMIFS('AEO 2026 Table 23 '!P:P,'AEO 2026 Table 23 '!$B:$B,"*,"&amp;$A48&amp;",*")-SUMIFS('AEO 2026 Table 23 '!O:O,'AEO 2026 Table 23 '!$B:$B,"*,"&amp;$A48&amp;",*"))/SUMIFS('AEO 2026 Table 23 '!O:O,'AEO 2026 Table 23 '!$B:$B,"*,"&amp;$A48&amp;",*"),"")</f>
        <v/>
      </c>
      <c r="N48">
        <f>IFERROR((SUMIFS('AEO 2026 Table 23 '!Q:Q,'AEO 2026 Table 23 '!$B:$B,"*,"&amp;$A48&amp;",*")-SUMIFS('AEO 2026 Table 23 '!P:P,'AEO 2026 Table 23 '!$B:$B,"*,"&amp;$A48&amp;",*"))/SUMIFS('AEO 2026 Table 23 '!P:P,'AEO 2026 Table 23 '!$B:$B,"*,"&amp;$A48&amp;",*"),"")</f>
        <v/>
      </c>
      <c r="O48">
        <f>IFERROR((SUMIFS('AEO 2026 Table 23 '!R:R,'AEO 2026 Table 23 '!$B:$B,"*,"&amp;$A48&amp;",*")-SUMIFS('AEO 2026 Table 23 '!Q:Q,'AEO 2026 Table 23 '!$B:$B,"*,"&amp;$A48&amp;",*"))/SUMIFS('AEO 2026 Table 23 '!Q:Q,'AEO 2026 Table 23 '!$B:$B,"*,"&amp;$A48&amp;",*"),"")</f>
        <v/>
      </c>
      <c r="P48">
        <f>IFERROR((SUMIFS('AEO 2026 Table 23 '!S:S,'AEO 2026 Table 23 '!$B:$B,"*,"&amp;$A48&amp;",*")-SUMIFS('AEO 2026 Table 23 '!R:R,'AEO 2026 Table 23 '!$B:$B,"*,"&amp;$A48&amp;",*"))/SUMIFS('AEO 2026 Table 23 '!R:R,'AEO 2026 Table 23 '!$B:$B,"*,"&amp;$A48&amp;",*"),"")</f>
        <v/>
      </c>
      <c r="Q48">
        <f>IFERROR((SUMIFS('AEO 2026 Table 23 '!T:T,'AEO 2026 Table 23 '!$B:$B,"*,"&amp;$A48&amp;",*")-SUMIFS('AEO 2026 Table 23 '!S:S,'AEO 2026 Table 23 '!$B:$B,"*,"&amp;$A48&amp;",*"))/SUMIFS('AEO 2026 Table 23 '!S:S,'AEO 2026 Table 23 '!$B:$B,"*,"&amp;$A48&amp;",*"),"")</f>
        <v/>
      </c>
      <c r="R48">
        <f>IFERROR((SUMIFS('AEO 2026 Table 23 '!U:U,'AEO 2026 Table 23 '!$B:$B,"*,"&amp;$A48&amp;",*")-SUMIFS('AEO 2026 Table 23 '!T:T,'AEO 2026 Table 23 '!$B:$B,"*,"&amp;$A48&amp;",*"))/SUMIFS('AEO 2026 Table 23 '!T:T,'AEO 2026 Table 23 '!$B:$B,"*,"&amp;$A48&amp;",*"),"")</f>
        <v/>
      </c>
      <c r="S48">
        <f>IFERROR((SUMIFS('AEO 2026 Table 23 '!V:V,'AEO 2026 Table 23 '!$B:$B,"*,"&amp;$A48&amp;",*")-SUMIFS('AEO 2026 Table 23 '!U:U,'AEO 2026 Table 23 '!$B:$B,"*,"&amp;$A48&amp;",*"))/SUMIFS('AEO 2026 Table 23 '!U:U,'AEO 2026 Table 23 '!$B:$B,"*,"&amp;$A48&amp;",*"),"")</f>
        <v/>
      </c>
      <c r="T48">
        <f>IFERROR((SUMIFS('AEO 2026 Table 23 '!W:W,'AEO 2026 Table 23 '!$B:$B,"*,"&amp;$A48&amp;",*")-SUMIFS('AEO 2026 Table 23 '!V:V,'AEO 2026 Table 23 '!$B:$B,"*,"&amp;$A48&amp;",*"))/SUMIFS('AEO 2026 Table 23 '!V:V,'AEO 2026 Table 23 '!$B:$B,"*,"&amp;$A48&amp;",*"),"")</f>
        <v/>
      </c>
      <c r="U48">
        <f>IFERROR((SUMIFS('AEO 2026 Table 23 '!X:X,'AEO 2026 Table 23 '!$B:$B,"*,"&amp;$A48&amp;",*")-SUMIFS('AEO 2026 Table 23 '!W:W,'AEO 2026 Table 23 '!$B:$B,"*,"&amp;$A48&amp;",*"))/SUMIFS('AEO 2026 Table 23 '!W:W,'AEO 2026 Table 23 '!$B:$B,"*,"&amp;$A48&amp;",*"),"")</f>
        <v/>
      </c>
      <c r="V48">
        <f>IFERROR((SUMIFS('AEO 2026 Table 23 '!Y:Y,'AEO 2026 Table 23 '!$B:$B,"*,"&amp;$A48&amp;",*")-SUMIFS('AEO 2026 Table 23 '!X:X,'AEO 2026 Table 23 '!$B:$B,"*,"&amp;$A48&amp;",*"))/SUMIFS('AEO 2026 Table 23 '!X:X,'AEO 2026 Table 23 '!$B:$B,"*,"&amp;$A48&amp;",*"),"")</f>
        <v/>
      </c>
      <c r="W48">
        <f>IFERROR((SUMIFS('AEO 2026 Table 23 '!Z:Z,'AEO 2026 Table 23 '!$B:$B,"*,"&amp;$A48&amp;",*")-SUMIFS('AEO 2026 Table 23 '!Y:Y,'AEO 2026 Table 23 '!$B:$B,"*,"&amp;$A48&amp;",*"))/SUMIFS('AEO 2026 Table 23 '!Y:Y,'AEO 2026 Table 23 '!$B:$B,"*,"&amp;$A48&amp;",*"),"")</f>
        <v/>
      </c>
      <c r="X48">
        <f>IFERROR((SUMIFS('AEO 2026 Table 23 '!AA:AA,'AEO 2026 Table 23 '!$B:$B,"*,"&amp;$A48&amp;",*")-SUMIFS('AEO 2026 Table 23 '!Z:Z,'AEO 2026 Table 23 '!$B:$B,"*,"&amp;$A48&amp;",*"))/SUMIFS('AEO 2026 Table 23 '!Z:Z,'AEO 2026 Table 23 '!$B:$B,"*,"&amp;$A48&amp;",*"),"")</f>
        <v/>
      </c>
      <c r="Y48">
        <f>IFERROR((SUMIFS('AEO 2026 Table 23 '!AB:AB,'AEO 2026 Table 23 '!$B:$B,"*,"&amp;$A48&amp;",*")-SUMIFS('AEO 2026 Table 23 '!AA:AA,'AEO 2026 Table 23 '!$B:$B,"*,"&amp;$A48&amp;",*"))/SUMIFS('AEO 2026 Table 23 '!AA:AA,'AEO 2026 Table 23 '!$B:$B,"*,"&amp;$A48&amp;",*"),"")</f>
        <v/>
      </c>
      <c r="Z48">
        <f>IFERROR((SUMIFS('AEO 2026 Table 23 '!AC:AC,'AEO 2026 Table 23 '!$B:$B,"*,"&amp;$A48&amp;",*")-SUMIFS('AEO 2026 Table 23 '!AB:AB,'AEO 2026 Table 23 '!$B:$B,"*,"&amp;$A48&amp;",*"))/SUMIFS('AEO 2026 Table 23 '!AB:AB,'AEO 2026 Table 23 '!$B:$B,"*,"&amp;$A48&amp;",*"),"")</f>
        <v/>
      </c>
      <c r="AA48">
        <f>IFERROR((SUMIFS('AEO 2026 Table 23 '!AD:AD,'AEO 2026 Table 23 '!$B:$B,"*,"&amp;$A48&amp;",*")-SUMIFS('AEO 2026 Table 23 '!AC:AC,'AEO 2026 Table 23 '!$B:$B,"*,"&amp;$A48&amp;",*"))/SUMIFS('AEO 2026 Table 23 '!AC:AC,'AEO 2026 Table 23 '!$B:$B,"*,"&amp;$A48&amp;",*"),"")</f>
        <v/>
      </c>
      <c r="AB48">
        <f>IFERROR((SUMIFS('AEO 2026 Table 23 '!AE:AE,'AEO 2026 Table 23 '!$B:$B,"*,"&amp;$A48&amp;",*")-SUMIFS('AEO 2026 Table 23 '!AD:AD,'AEO 2026 Table 23 '!$B:$B,"*,"&amp;$A48&amp;",*"))/SUMIFS('AEO 2026 Table 23 '!AD:AD,'AEO 2026 Table 23 '!$B:$B,"*,"&amp;$A48&amp;",*"),"")</f>
        <v/>
      </c>
      <c r="AC48">
        <f>IFERROR((SUMIFS('AEO 2026 Table 23 '!AF:AF,'AEO 2026 Table 23 '!$B:$B,"*,"&amp;$A48&amp;",*")-SUMIFS('AEO 2026 Table 23 '!AE:AE,'AEO 2026 Table 23 '!$B:$B,"*,"&amp;$A48&amp;",*"))/SUMIFS('AEO 2026 Table 23 '!AE:AE,'AEO 2026 Table 23 '!$B:$B,"*,"&amp;$A48&amp;",*"),"")</f>
        <v/>
      </c>
    </row>
    <row r="49">
      <c r="A49" t="inlineStr">
        <is>
          <t>ISIC 77T82</t>
        </is>
      </c>
      <c r="B49">
        <f>IFERROR(SUMPRODUCT(--('BLS Table 2.11'!$L$1:$L$426=$A49),'BLS Table 2.11'!$J$1:$J$426,'BLS Table 2.11'!$K$1:$K$426)/SUMIFS('BLS Table 2.11'!$J$1:$J$426,'BLS Table 2.11'!$L$1:$L$426,$A49)/100,0)</f>
        <v/>
      </c>
      <c r="D49">
        <f>IFERROR((SUMIFS('AEO 2026 Table 23 '!G:G,'AEO 2026 Table 23 '!$B:$B,"*,"&amp;$A49&amp;",*")-SUMIFS('AEO25 Table 23'!H:H,'AEO25 Table 23'!$B:$B,"*,"&amp;$A49&amp;",*"))/SUMIFS('AEO25 Table 23'!H:H,'AEO25 Table 23'!$B:$B,"*,"&amp;$A49&amp;",*"),"")</f>
        <v/>
      </c>
      <c r="E49">
        <f>IFERROR((SUMIFS('AEO 2026 Table 23 '!H:H,'AEO 2026 Table 23 '!$B:$B,"*,"&amp;$A49&amp;",*")-SUMIFS('AEO 2026 Table 23 '!G:G,'AEO 2026 Table 23 '!$B:$B,"*,"&amp;$A49&amp;",*"))/SUMIFS('AEO 2026 Table 23 '!G:G,'AEO 2026 Table 23 '!$B:$B,"*,"&amp;$A49&amp;",*"),"")</f>
        <v/>
      </c>
      <c r="F49">
        <f>IFERROR((SUMIFS('AEO 2026 Table 23 '!I:I,'AEO 2026 Table 23 '!$B:$B,"*,"&amp;$A49&amp;",*")-SUMIFS('AEO 2026 Table 23 '!H:H,'AEO 2026 Table 23 '!$B:$B,"*,"&amp;$A49&amp;",*"))/SUMIFS('AEO 2026 Table 23 '!H:H,'AEO 2026 Table 23 '!$B:$B,"*,"&amp;$A49&amp;",*"),"")</f>
        <v/>
      </c>
      <c r="G49">
        <f>IFERROR((SUMIFS('AEO 2026 Table 23 '!J:J,'AEO 2026 Table 23 '!$B:$B,"*,"&amp;$A49&amp;",*")-SUMIFS('AEO 2026 Table 23 '!I:I,'AEO 2026 Table 23 '!$B:$B,"*,"&amp;$A49&amp;",*"))/SUMIFS('AEO 2026 Table 23 '!I:I,'AEO 2026 Table 23 '!$B:$B,"*,"&amp;$A49&amp;",*"),"")</f>
        <v/>
      </c>
      <c r="H49">
        <f>IFERROR((SUMIFS('AEO 2026 Table 23 '!K:K,'AEO 2026 Table 23 '!$B:$B,"*,"&amp;$A49&amp;",*")-SUMIFS('AEO 2026 Table 23 '!J:J,'AEO 2026 Table 23 '!$B:$B,"*,"&amp;$A49&amp;",*"))/SUMIFS('AEO 2026 Table 23 '!J:J,'AEO 2026 Table 23 '!$B:$B,"*,"&amp;$A49&amp;",*"),"")</f>
        <v/>
      </c>
      <c r="I49">
        <f>IFERROR((SUMIFS('AEO 2026 Table 23 '!L:L,'AEO 2026 Table 23 '!$B:$B,"*,"&amp;$A49&amp;",*")-SUMIFS('AEO 2026 Table 23 '!K:K,'AEO 2026 Table 23 '!$B:$B,"*,"&amp;$A49&amp;",*"))/SUMIFS('AEO 2026 Table 23 '!K:K,'AEO 2026 Table 23 '!$B:$B,"*,"&amp;$A49&amp;",*"),"")</f>
        <v/>
      </c>
      <c r="J49">
        <f>IFERROR((SUMIFS('AEO 2026 Table 23 '!M:M,'AEO 2026 Table 23 '!$B:$B,"*,"&amp;$A49&amp;",*")-SUMIFS('AEO 2026 Table 23 '!L:L,'AEO 2026 Table 23 '!$B:$B,"*,"&amp;$A49&amp;",*"))/SUMIFS('AEO 2026 Table 23 '!L:L,'AEO 2026 Table 23 '!$B:$B,"*,"&amp;$A49&amp;",*"),"")</f>
        <v/>
      </c>
      <c r="K49">
        <f>IFERROR((SUMIFS('AEO 2026 Table 23 '!N:N,'AEO 2026 Table 23 '!$B:$B,"*,"&amp;$A49&amp;",*")-SUMIFS('AEO 2026 Table 23 '!M:M,'AEO 2026 Table 23 '!$B:$B,"*,"&amp;$A49&amp;",*"))/SUMIFS('AEO 2026 Table 23 '!M:M,'AEO 2026 Table 23 '!$B:$B,"*,"&amp;$A49&amp;",*"),"")</f>
        <v/>
      </c>
      <c r="L49">
        <f>IFERROR((SUMIFS('AEO 2026 Table 23 '!O:O,'AEO 2026 Table 23 '!$B:$B,"*,"&amp;$A49&amp;",*")-SUMIFS('AEO 2026 Table 23 '!N:N,'AEO 2026 Table 23 '!$B:$B,"*,"&amp;$A49&amp;",*"))/SUMIFS('AEO 2026 Table 23 '!N:N,'AEO 2026 Table 23 '!$B:$B,"*,"&amp;$A49&amp;",*"),"")</f>
        <v/>
      </c>
      <c r="M49">
        <f>IFERROR((SUMIFS('AEO 2026 Table 23 '!P:P,'AEO 2026 Table 23 '!$B:$B,"*,"&amp;$A49&amp;",*")-SUMIFS('AEO 2026 Table 23 '!O:O,'AEO 2026 Table 23 '!$B:$B,"*,"&amp;$A49&amp;",*"))/SUMIFS('AEO 2026 Table 23 '!O:O,'AEO 2026 Table 23 '!$B:$B,"*,"&amp;$A49&amp;",*"),"")</f>
        <v/>
      </c>
      <c r="N49">
        <f>IFERROR((SUMIFS('AEO 2026 Table 23 '!Q:Q,'AEO 2026 Table 23 '!$B:$B,"*,"&amp;$A49&amp;",*")-SUMIFS('AEO 2026 Table 23 '!P:P,'AEO 2026 Table 23 '!$B:$B,"*,"&amp;$A49&amp;",*"))/SUMIFS('AEO 2026 Table 23 '!P:P,'AEO 2026 Table 23 '!$B:$B,"*,"&amp;$A49&amp;",*"),"")</f>
        <v/>
      </c>
      <c r="O49">
        <f>IFERROR((SUMIFS('AEO 2026 Table 23 '!R:R,'AEO 2026 Table 23 '!$B:$B,"*,"&amp;$A49&amp;",*")-SUMIFS('AEO 2026 Table 23 '!Q:Q,'AEO 2026 Table 23 '!$B:$B,"*,"&amp;$A49&amp;",*"))/SUMIFS('AEO 2026 Table 23 '!Q:Q,'AEO 2026 Table 23 '!$B:$B,"*,"&amp;$A49&amp;",*"),"")</f>
        <v/>
      </c>
      <c r="P49">
        <f>IFERROR((SUMIFS('AEO 2026 Table 23 '!S:S,'AEO 2026 Table 23 '!$B:$B,"*,"&amp;$A49&amp;",*")-SUMIFS('AEO 2026 Table 23 '!R:R,'AEO 2026 Table 23 '!$B:$B,"*,"&amp;$A49&amp;",*"))/SUMIFS('AEO 2026 Table 23 '!R:R,'AEO 2026 Table 23 '!$B:$B,"*,"&amp;$A49&amp;",*"),"")</f>
        <v/>
      </c>
      <c r="Q49">
        <f>IFERROR((SUMIFS('AEO 2026 Table 23 '!T:T,'AEO 2026 Table 23 '!$B:$B,"*,"&amp;$A49&amp;",*")-SUMIFS('AEO 2026 Table 23 '!S:S,'AEO 2026 Table 23 '!$B:$B,"*,"&amp;$A49&amp;",*"))/SUMIFS('AEO 2026 Table 23 '!S:S,'AEO 2026 Table 23 '!$B:$B,"*,"&amp;$A49&amp;",*"),"")</f>
        <v/>
      </c>
      <c r="R49">
        <f>IFERROR((SUMIFS('AEO 2026 Table 23 '!U:U,'AEO 2026 Table 23 '!$B:$B,"*,"&amp;$A49&amp;",*")-SUMIFS('AEO 2026 Table 23 '!T:T,'AEO 2026 Table 23 '!$B:$B,"*,"&amp;$A49&amp;",*"))/SUMIFS('AEO 2026 Table 23 '!T:T,'AEO 2026 Table 23 '!$B:$B,"*,"&amp;$A49&amp;",*"),"")</f>
        <v/>
      </c>
      <c r="S49">
        <f>IFERROR((SUMIFS('AEO 2026 Table 23 '!V:V,'AEO 2026 Table 23 '!$B:$B,"*,"&amp;$A49&amp;",*")-SUMIFS('AEO 2026 Table 23 '!U:U,'AEO 2026 Table 23 '!$B:$B,"*,"&amp;$A49&amp;",*"))/SUMIFS('AEO 2026 Table 23 '!U:U,'AEO 2026 Table 23 '!$B:$B,"*,"&amp;$A49&amp;",*"),"")</f>
        <v/>
      </c>
      <c r="T49">
        <f>IFERROR((SUMIFS('AEO 2026 Table 23 '!W:W,'AEO 2026 Table 23 '!$B:$B,"*,"&amp;$A49&amp;",*")-SUMIFS('AEO 2026 Table 23 '!V:V,'AEO 2026 Table 23 '!$B:$B,"*,"&amp;$A49&amp;",*"))/SUMIFS('AEO 2026 Table 23 '!V:V,'AEO 2026 Table 23 '!$B:$B,"*,"&amp;$A49&amp;",*"),"")</f>
        <v/>
      </c>
      <c r="U49">
        <f>IFERROR((SUMIFS('AEO 2026 Table 23 '!X:X,'AEO 2026 Table 23 '!$B:$B,"*,"&amp;$A49&amp;",*")-SUMIFS('AEO 2026 Table 23 '!W:W,'AEO 2026 Table 23 '!$B:$B,"*,"&amp;$A49&amp;",*"))/SUMIFS('AEO 2026 Table 23 '!W:W,'AEO 2026 Table 23 '!$B:$B,"*,"&amp;$A49&amp;",*"),"")</f>
        <v/>
      </c>
      <c r="V49">
        <f>IFERROR((SUMIFS('AEO 2026 Table 23 '!Y:Y,'AEO 2026 Table 23 '!$B:$B,"*,"&amp;$A49&amp;",*")-SUMIFS('AEO 2026 Table 23 '!X:X,'AEO 2026 Table 23 '!$B:$B,"*,"&amp;$A49&amp;",*"))/SUMIFS('AEO 2026 Table 23 '!X:X,'AEO 2026 Table 23 '!$B:$B,"*,"&amp;$A49&amp;",*"),"")</f>
        <v/>
      </c>
      <c r="W49">
        <f>IFERROR((SUMIFS('AEO 2026 Table 23 '!Z:Z,'AEO 2026 Table 23 '!$B:$B,"*,"&amp;$A49&amp;",*")-SUMIFS('AEO 2026 Table 23 '!Y:Y,'AEO 2026 Table 23 '!$B:$B,"*,"&amp;$A49&amp;",*"))/SUMIFS('AEO 2026 Table 23 '!Y:Y,'AEO 2026 Table 23 '!$B:$B,"*,"&amp;$A49&amp;",*"),"")</f>
        <v/>
      </c>
      <c r="X49">
        <f>IFERROR((SUMIFS('AEO 2026 Table 23 '!AA:AA,'AEO 2026 Table 23 '!$B:$B,"*,"&amp;$A49&amp;",*")-SUMIFS('AEO 2026 Table 23 '!Z:Z,'AEO 2026 Table 23 '!$B:$B,"*,"&amp;$A49&amp;",*"))/SUMIFS('AEO 2026 Table 23 '!Z:Z,'AEO 2026 Table 23 '!$B:$B,"*,"&amp;$A49&amp;",*"),"")</f>
        <v/>
      </c>
      <c r="Y49">
        <f>IFERROR((SUMIFS('AEO 2026 Table 23 '!AB:AB,'AEO 2026 Table 23 '!$B:$B,"*,"&amp;$A49&amp;",*")-SUMIFS('AEO 2026 Table 23 '!AA:AA,'AEO 2026 Table 23 '!$B:$B,"*,"&amp;$A49&amp;",*"))/SUMIFS('AEO 2026 Table 23 '!AA:AA,'AEO 2026 Table 23 '!$B:$B,"*,"&amp;$A49&amp;",*"),"")</f>
        <v/>
      </c>
      <c r="Z49">
        <f>IFERROR((SUMIFS('AEO 2026 Table 23 '!AC:AC,'AEO 2026 Table 23 '!$B:$B,"*,"&amp;$A49&amp;",*")-SUMIFS('AEO 2026 Table 23 '!AB:AB,'AEO 2026 Table 23 '!$B:$B,"*,"&amp;$A49&amp;",*"))/SUMIFS('AEO 2026 Table 23 '!AB:AB,'AEO 2026 Table 23 '!$B:$B,"*,"&amp;$A49&amp;",*"),"")</f>
        <v/>
      </c>
      <c r="AA49">
        <f>IFERROR((SUMIFS('AEO 2026 Table 23 '!AD:AD,'AEO 2026 Table 23 '!$B:$B,"*,"&amp;$A49&amp;",*")-SUMIFS('AEO 2026 Table 23 '!AC:AC,'AEO 2026 Table 23 '!$B:$B,"*,"&amp;$A49&amp;",*"))/SUMIFS('AEO 2026 Table 23 '!AC:AC,'AEO 2026 Table 23 '!$B:$B,"*,"&amp;$A49&amp;",*"),"")</f>
        <v/>
      </c>
      <c r="AB49">
        <f>IFERROR((SUMIFS('AEO 2026 Table 23 '!AE:AE,'AEO 2026 Table 23 '!$B:$B,"*,"&amp;$A49&amp;",*")-SUMIFS('AEO 2026 Table 23 '!AD:AD,'AEO 2026 Table 23 '!$B:$B,"*,"&amp;$A49&amp;",*"))/SUMIFS('AEO 2026 Table 23 '!AD:AD,'AEO 2026 Table 23 '!$B:$B,"*,"&amp;$A49&amp;",*"),"")</f>
        <v/>
      </c>
      <c r="AC49">
        <f>IFERROR((SUMIFS('AEO 2026 Table 23 '!AF:AF,'AEO 2026 Table 23 '!$B:$B,"*,"&amp;$A49&amp;",*")-SUMIFS('AEO 2026 Table 23 '!AE:AE,'AEO 2026 Table 23 '!$B:$B,"*,"&amp;$A49&amp;",*"))/SUMIFS('AEO 2026 Table 23 '!AE:AE,'AEO 2026 Table 23 '!$B:$B,"*,"&amp;$A49&amp;",*"),"")</f>
        <v/>
      </c>
    </row>
    <row r="50">
      <c r="A50" t="inlineStr">
        <is>
          <t>ISIC 84</t>
        </is>
      </c>
      <c r="B50">
        <f>IFERROR(SUMPRODUCT(--('BLS Table 2.11'!$L$1:$L$426=$A50),'BLS Table 2.11'!$J$1:$J$426,'BLS Table 2.11'!$K$1:$K$426)/SUMIFS('BLS Table 2.11'!$J$1:$J$426,'BLS Table 2.11'!$L$1:$L$426,$A50)/100,0)</f>
        <v/>
      </c>
      <c r="D50">
        <f>IFERROR((SUMIFS('AEO 2026 Table 23 '!G:G,'AEO 2026 Table 23 '!$B:$B,"*,"&amp;$A50&amp;",*")-SUMIFS('AEO25 Table 23'!H:H,'AEO25 Table 23'!$B:$B,"*,"&amp;$A50&amp;",*"))/SUMIFS('AEO25 Table 23'!H:H,'AEO25 Table 23'!$B:$B,"*,"&amp;$A50&amp;",*"),"")</f>
        <v/>
      </c>
      <c r="E50">
        <f>IFERROR((SUMIFS('AEO 2026 Table 23 '!H:H,'AEO 2026 Table 23 '!$B:$B,"*,"&amp;$A50&amp;",*")-SUMIFS('AEO 2026 Table 23 '!G:G,'AEO 2026 Table 23 '!$B:$B,"*,"&amp;$A50&amp;",*"))/SUMIFS('AEO 2026 Table 23 '!G:G,'AEO 2026 Table 23 '!$B:$B,"*,"&amp;$A50&amp;",*"),"")</f>
        <v/>
      </c>
      <c r="F50">
        <f>IFERROR((SUMIFS('AEO 2026 Table 23 '!I:I,'AEO 2026 Table 23 '!$B:$B,"*,"&amp;$A50&amp;",*")-SUMIFS('AEO 2026 Table 23 '!H:H,'AEO 2026 Table 23 '!$B:$B,"*,"&amp;$A50&amp;",*"))/SUMIFS('AEO 2026 Table 23 '!H:H,'AEO 2026 Table 23 '!$B:$B,"*,"&amp;$A50&amp;",*"),"")</f>
        <v/>
      </c>
      <c r="G50">
        <f>IFERROR((SUMIFS('AEO 2026 Table 23 '!J:J,'AEO 2026 Table 23 '!$B:$B,"*,"&amp;$A50&amp;",*")-SUMIFS('AEO 2026 Table 23 '!I:I,'AEO 2026 Table 23 '!$B:$B,"*,"&amp;$A50&amp;",*"))/SUMIFS('AEO 2026 Table 23 '!I:I,'AEO 2026 Table 23 '!$B:$B,"*,"&amp;$A50&amp;",*"),"")</f>
        <v/>
      </c>
      <c r="H50">
        <f>IFERROR((SUMIFS('AEO 2026 Table 23 '!K:K,'AEO 2026 Table 23 '!$B:$B,"*,"&amp;$A50&amp;",*")-SUMIFS('AEO 2026 Table 23 '!J:J,'AEO 2026 Table 23 '!$B:$B,"*,"&amp;$A50&amp;",*"))/SUMIFS('AEO 2026 Table 23 '!J:J,'AEO 2026 Table 23 '!$B:$B,"*,"&amp;$A50&amp;",*"),"")</f>
        <v/>
      </c>
      <c r="I50">
        <f>IFERROR((SUMIFS('AEO 2026 Table 23 '!L:L,'AEO 2026 Table 23 '!$B:$B,"*,"&amp;$A50&amp;",*")-SUMIFS('AEO 2026 Table 23 '!K:K,'AEO 2026 Table 23 '!$B:$B,"*,"&amp;$A50&amp;",*"))/SUMIFS('AEO 2026 Table 23 '!K:K,'AEO 2026 Table 23 '!$B:$B,"*,"&amp;$A50&amp;",*"),"")</f>
        <v/>
      </c>
      <c r="J50">
        <f>IFERROR((SUMIFS('AEO 2026 Table 23 '!M:M,'AEO 2026 Table 23 '!$B:$B,"*,"&amp;$A50&amp;",*")-SUMIFS('AEO 2026 Table 23 '!L:L,'AEO 2026 Table 23 '!$B:$B,"*,"&amp;$A50&amp;",*"))/SUMIFS('AEO 2026 Table 23 '!L:L,'AEO 2026 Table 23 '!$B:$B,"*,"&amp;$A50&amp;",*"),"")</f>
        <v/>
      </c>
      <c r="K50">
        <f>IFERROR((SUMIFS('AEO 2026 Table 23 '!N:N,'AEO 2026 Table 23 '!$B:$B,"*,"&amp;$A50&amp;",*")-SUMIFS('AEO 2026 Table 23 '!M:M,'AEO 2026 Table 23 '!$B:$B,"*,"&amp;$A50&amp;",*"))/SUMIFS('AEO 2026 Table 23 '!M:M,'AEO 2026 Table 23 '!$B:$B,"*,"&amp;$A50&amp;",*"),"")</f>
        <v/>
      </c>
      <c r="L50">
        <f>IFERROR((SUMIFS('AEO 2026 Table 23 '!O:O,'AEO 2026 Table 23 '!$B:$B,"*,"&amp;$A50&amp;",*")-SUMIFS('AEO 2026 Table 23 '!N:N,'AEO 2026 Table 23 '!$B:$B,"*,"&amp;$A50&amp;",*"))/SUMIFS('AEO 2026 Table 23 '!N:N,'AEO 2026 Table 23 '!$B:$B,"*,"&amp;$A50&amp;",*"),"")</f>
        <v/>
      </c>
      <c r="M50">
        <f>IFERROR((SUMIFS('AEO 2026 Table 23 '!P:P,'AEO 2026 Table 23 '!$B:$B,"*,"&amp;$A50&amp;",*")-SUMIFS('AEO 2026 Table 23 '!O:O,'AEO 2026 Table 23 '!$B:$B,"*,"&amp;$A50&amp;",*"))/SUMIFS('AEO 2026 Table 23 '!O:O,'AEO 2026 Table 23 '!$B:$B,"*,"&amp;$A50&amp;",*"),"")</f>
        <v/>
      </c>
      <c r="N50">
        <f>IFERROR((SUMIFS('AEO 2026 Table 23 '!Q:Q,'AEO 2026 Table 23 '!$B:$B,"*,"&amp;$A50&amp;",*")-SUMIFS('AEO 2026 Table 23 '!P:P,'AEO 2026 Table 23 '!$B:$B,"*,"&amp;$A50&amp;",*"))/SUMIFS('AEO 2026 Table 23 '!P:P,'AEO 2026 Table 23 '!$B:$B,"*,"&amp;$A50&amp;",*"),"")</f>
        <v/>
      </c>
      <c r="O50">
        <f>IFERROR((SUMIFS('AEO 2026 Table 23 '!R:R,'AEO 2026 Table 23 '!$B:$B,"*,"&amp;$A50&amp;",*")-SUMIFS('AEO 2026 Table 23 '!Q:Q,'AEO 2026 Table 23 '!$B:$B,"*,"&amp;$A50&amp;",*"))/SUMIFS('AEO 2026 Table 23 '!Q:Q,'AEO 2026 Table 23 '!$B:$B,"*,"&amp;$A50&amp;",*"),"")</f>
        <v/>
      </c>
      <c r="P50">
        <f>IFERROR((SUMIFS('AEO 2026 Table 23 '!S:S,'AEO 2026 Table 23 '!$B:$B,"*,"&amp;$A50&amp;",*")-SUMIFS('AEO 2026 Table 23 '!R:R,'AEO 2026 Table 23 '!$B:$B,"*,"&amp;$A50&amp;",*"))/SUMIFS('AEO 2026 Table 23 '!R:R,'AEO 2026 Table 23 '!$B:$B,"*,"&amp;$A50&amp;",*"),"")</f>
        <v/>
      </c>
      <c r="Q50">
        <f>IFERROR((SUMIFS('AEO 2026 Table 23 '!T:T,'AEO 2026 Table 23 '!$B:$B,"*,"&amp;$A50&amp;",*")-SUMIFS('AEO 2026 Table 23 '!S:S,'AEO 2026 Table 23 '!$B:$B,"*,"&amp;$A50&amp;",*"))/SUMIFS('AEO 2026 Table 23 '!S:S,'AEO 2026 Table 23 '!$B:$B,"*,"&amp;$A50&amp;",*"),"")</f>
        <v/>
      </c>
      <c r="R50">
        <f>IFERROR((SUMIFS('AEO 2026 Table 23 '!U:U,'AEO 2026 Table 23 '!$B:$B,"*,"&amp;$A50&amp;",*")-SUMIFS('AEO 2026 Table 23 '!T:T,'AEO 2026 Table 23 '!$B:$B,"*,"&amp;$A50&amp;",*"))/SUMIFS('AEO 2026 Table 23 '!T:T,'AEO 2026 Table 23 '!$B:$B,"*,"&amp;$A50&amp;",*"),"")</f>
        <v/>
      </c>
      <c r="S50">
        <f>IFERROR((SUMIFS('AEO 2026 Table 23 '!V:V,'AEO 2026 Table 23 '!$B:$B,"*,"&amp;$A50&amp;",*")-SUMIFS('AEO 2026 Table 23 '!U:U,'AEO 2026 Table 23 '!$B:$B,"*,"&amp;$A50&amp;",*"))/SUMIFS('AEO 2026 Table 23 '!U:U,'AEO 2026 Table 23 '!$B:$B,"*,"&amp;$A50&amp;",*"),"")</f>
        <v/>
      </c>
      <c r="T50">
        <f>IFERROR((SUMIFS('AEO 2026 Table 23 '!W:W,'AEO 2026 Table 23 '!$B:$B,"*,"&amp;$A50&amp;",*")-SUMIFS('AEO 2026 Table 23 '!V:V,'AEO 2026 Table 23 '!$B:$B,"*,"&amp;$A50&amp;",*"))/SUMIFS('AEO 2026 Table 23 '!V:V,'AEO 2026 Table 23 '!$B:$B,"*,"&amp;$A50&amp;",*"),"")</f>
        <v/>
      </c>
      <c r="U50">
        <f>IFERROR((SUMIFS('AEO 2026 Table 23 '!X:X,'AEO 2026 Table 23 '!$B:$B,"*,"&amp;$A50&amp;",*")-SUMIFS('AEO 2026 Table 23 '!W:W,'AEO 2026 Table 23 '!$B:$B,"*,"&amp;$A50&amp;",*"))/SUMIFS('AEO 2026 Table 23 '!W:W,'AEO 2026 Table 23 '!$B:$B,"*,"&amp;$A50&amp;",*"),"")</f>
        <v/>
      </c>
      <c r="V50">
        <f>IFERROR((SUMIFS('AEO 2026 Table 23 '!Y:Y,'AEO 2026 Table 23 '!$B:$B,"*,"&amp;$A50&amp;",*")-SUMIFS('AEO 2026 Table 23 '!X:X,'AEO 2026 Table 23 '!$B:$B,"*,"&amp;$A50&amp;",*"))/SUMIFS('AEO 2026 Table 23 '!X:X,'AEO 2026 Table 23 '!$B:$B,"*,"&amp;$A50&amp;",*"),"")</f>
        <v/>
      </c>
      <c r="W50">
        <f>IFERROR((SUMIFS('AEO 2026 Table 23 '!Z:Z,'AEO 2026 Table 23 '!$B:$B,"*,"&amp;$A50&amp;",*")-SUMIFS('AEO 2026 Table 23 '!Y:Y,'AEO 2026 Table 23 '!$B:$B,"*,"&amp;$A50&amp;",*"))/SUMIFS('AEO 2026 Table 23 '!Y:Y,'AEO 2026 Table 23 '!$B:$B,"*,"&amp;$A50&amp;",*"),"")</f>
        <v/>
      </c>
      <c r="X50">
        <f>IFERROR((SUMIFS('AEO 2026 Table 23 '!AA:AA,'AEO 2026 Table 23 '!$B:$B,"*,"&amp;$A50&amp;",*")-SUMIFS('AEO 2026 Table 23 '!Z:Z,'AEO 2026 Table 23 '!$B:$B,"*,"&amp;$A50&amp;",*"))/SUMIFS('AEO 2026 Table 23 '!Z:Z,'AEO 2026 Table 23 '!$B:$B,"*,"&amp;$A50&amp;",*"),"")</f>
        <v/>
      </c>
      <c r="Y50">
        <f>IFERROR((SUMIFS('AEO 2026 Table 23 '!AB:AB,'AEO 2026 Table 23 '!$B:$B,"*,"&amp;$A50&amp;",*")-SUMIFS('AEO 2026 Table 23 '!AA:AA,'AEO 2026 Table 23 '!$B:$B,"*,"&amp;$A50&amp;",*"))/SUMIFS('AEO 2026 Table 23 '!AA:AA,'AEO 2026 Table 23 '!$B:$B,"*,"&amp;$A50&amp;",*"),"")</f>
        <v/>
      </c>
      <c r="Z50">
        <f>IFERROR((SUMIFS('AEO 2026 Table 23 '!AC:AC,'AEO 2026 Table 23 '!$B:$B,"*,"&amp;$A50&amp;",*")-SUMIFS('AEO 2026 Table 23 '!AB:AB,'AEO 2026 Table 23 '!$B:$B,"*,"&amp;$A50&amp;",*"))/SUMIFS('AEO 2026 Table 23 '!AB:AB,'AEO 2026 Table 23 '!$B:$B,"*,"&amp;$A50&amp;",*"),"")</f>
        <v/>
      </c>
      <c r="AA50">
        <f>IFERROR((SUMIFS('AEO 2026 Table 23 '!AD:AD,'AEO 2026 Table 23 '!$B:$B,"*,"&amp;$A50&amp;",*")-SUMIFS('AEO 2026 Table 23 '!AC:AC,'AEO 2026 Table 23 '!$B:$B,"*,"&amp;$A50&amp;",*"))/SUMIFS('AEO 2026 Table 23 '!AC:AC,'AEO 2026 Table 23 '!$B:$B,"*,"&amp;$A50&amp;",*"),"")</f>
        <v/>
      </c>
      <c r="AB50">
        <f>IFERROR((SUMIFS('AEO 2026 Table 23 '!AE:AE,'AEO 2026 Table 23 '!$B:$B,"*,"&amp;$A50&amp;",*")-SUMIFS('AEO 2026 Table 23 '!AD:AD,'AEO 2026 Table 23 '!$B:$B,"*,"&amp;$A50&amp;",*"))/SUMIFS('AEO 2026 Table 23 '!AD:AD,'AEO 2026 Table 23 '!$B:$B,"*,"&amp;$A50&amp;",*"),"")</f>
        <v/>
      </c>
      <c r="AC50">
        <f>IFERROR((SUMIFS('AEO 2026 Table 23 '!AF:AF,'AEO 2026 Table 23 '!$B:$B,"*,"&amp;$A50&amp;",*")-SUMIFS('AEO 2026 Table 23 '!AE:AE,'AEO 2026 Table 23 '!$B:$B,"*,"&amp;$A50&amp;",*"))/SUMIFS('AEO 2026 Table 23 '!AE:AE,'AEO 2026 Table 23 '!$B:$B,"*,"&amp;$A50&amp;",*"),"")</f>
        <v/>
      </c>
    </row>
    <row r="51">
      <c r="A51" t="inlineStr">
        <is>
          <t>ISIC 85</t>
        </is>
      </c>
      <c r="B51">
        <f>IFERROR(SUMPRODUCT(--('BLS Table 2.11'!$L$1:$L$426=$A51),'BLS Table 2.11'!$J$1:$J$426,'BLS Table 2.11'!$K$1:$K$426)/SUMIFS('BLS Table 2.11'!$J$1:$J$426,'BLS Table 2.11'!$L$1:$L$426,$A51)/100,0)</f>
        <v/>
      </c>
      <c r="D51">
        <f>IFERROR((SUMIFS('AEO 2026 Table 23 '!G:G,'AEO 2026 Table 23 '!$B:$B,"*,"&amp;$A51&amp;",*")-SUMIFS('AEO25 Table 23'!H:H,'AEO25 Table 23'!$B:$B,"*,"&amp;$A51&amp;",*"))/SUMIFS('AEO25 Table 23'!H:H,'AEO25 Table 23'!$B:$B,"*,"&amp;$A51&amp;",*"),"")</f>
        <v/>
      </c>
      <c r="E51">
        <f>IFERROR((SUMIFS('AEO 2026 Table 23 '!H:H,'AEO 2026 Table 23 '!$B:$B,"*,"&amp;$A51&amp;",*")-SUMIFS('AEO 2026 Table 23 '!G:G,'AEO 2026 Table 23 '!$B:$B,"*,"&amp;$A51&amp;",*"))/SUMIFS('AEO 2026 Table 23 '!G:G,'AEO 2026 Table 23 '!$B:$B,"*,"&amp;$A51&amp;",*"),"")</f>
        <v/>
      </c>
      <c r="F51">
        <f>IFERROR((SUMIFS('AEO 2026 Table 23 '!I:I,'AEO 2026 Table 23 '!$B:$B,"*,"&amp;$A51&amp;",*")-SUMIFS('AEO 2026 Table 23 '!H:H,'AEO 2026 Table 23 '!$B:$B,"*,"&amp;$A51&amp;",*"))/SUMIFS('AEO 2026 Table 23 '!H:H,'AEO 2026 Table 23 '!$B:$B,"*,"&amp;$A51&amp;",*"),"")</f>
        <v/>
      </c>
      <c r="G51">
        <f>IFERROR((SUMIFS('AEO 2026 Table 23 '!J:J,'AEO 2026 Table 23 '!$B:$B,"*,"&amp;$A51&amp;",*")-SUMIFS('AEO 2026 Table 23 '!I:I,'AEO 2026 Table 23 '!$B:$B,"*,"&amp;$A51&amp;",*"))/SUMIFS('AEO 2026 Table 23 '!I:I,'AEO 2026 Table 23 '!$B:$B,"*,"&amp;$A51&amp;",*"),"")</f>
        <v/>
      </c>
      <c r="H51">
        <f>IFERROR((SUMIFS('AEO 2026 Table 23 '!K:K,'AEO 2026 Table 23 '!$B:$B,"*,"&amp;$A51&amp;",*")-SUMIFS('AEO 2026 Table 23 '!J:J,'AEO 2026 Table 23 '!$B:$B,"*,"&amp;$A51&amp;",*"))/SUMIFS('AEO 2026 Table 23 '!J:J,'AEO 2026 Table 23 '!$B:$B,"*,"&amp;$A51&amp;",*"),"")</f>
        <v/>
      </c>
      <c r="I51">
        <f>IFERROR((SUMIFS('AEO 2026 Table 23 '!L:L,'AEO 2026 Table 23 '!$B:$B,"*,"&amp;$A51&amp;",*")-SUMIFS('AEO 2026 Table 23 '!K:K,'AEO 2026 Table 23 '!$B:$B,"*,"&amp;$A51&amp;",*"))/SUMIFS('AEO 2026 Table 23 '!K:K,'AEO 2026 Table 23 '!$B:$B,"*,"&amp;$A51&amp;",*"),"")</f>
        <v/>
      </c>
      <c r="J51">
        <f>IFERROR((SUMIFS('AEO 2026 Table 23 '!M:M,'AEO 2026 Table 23 '!$B:$B,"*,"&amp;$A51&amp;",*")-SUMIFS('AEO 2026 Table 23 '!L:L,'AEO 2026 Table 23 '!$B:$B,"*,"&amp;$A51&amp;",*"))/SUMIFS('AEO 2026 Table 23 '!L:L,'AEO 2026 Table 23 '!$B:$B,"*,"&amp;$A51&amp;",*"),"")</f>
        <v/>
      </c>
      <c r="K51">
        <f>IFERROR((SUMIFS('AEO 2026 Table 23 '!N:N,'AEO 2026 Table 23 '!$B:$B,"*,"&amp;$A51&amp;",*")-SUMIFS('AEO 2026 Table 23 '!M:M,'AEO 2026 Table 23 '!$B:$B,"*,"&amp;$A51&amp;",*"))/SUMIFS('AEO 2026 Table 23 '!M:M,'AEO 2026 Table 23 '!$B:$B,"*,"&amp;$A51&amp;",*"),"")</f>
        <v/>
      </c>
      <c r="L51">
        <f>IFERROR((SUMIFS('AEO 2026 Table 23 '!O:O,'AEO 2026 Table 23 '!$B:$B,"*,"&amp;$A51&amp;",*")-SUMIFS('AEO 2026 Table 23 '!N:N,'AEO 2026 Table 23 '!$B:$B,"*,"&amp;$A51&amp;",*"))/SUMIFS('AEO 2026 Table 23 '!N:N,'AEO 2026 Table 23 '!$B:$B,"*,"&amp;$A51&amp;",*"),"")</f>
        <v/>
      </c>
      <c r="M51">
        <f>IFERROR((SUMIFS('AEO 2026 Table 23 '!P:P,'AEO 2026 Table 23 '!$B:$B,"*,"&amp;$A51&amp;",*")-SUMIFS('AEO 2026 Table 23 '!O:O,'AEO 2026 Table 23 '!$B:$B,"*,"&amp;$A51&amp;",*"))/SUMIFS('AEO 2026 Table 23 '!O:O,'AEO 2026 Table 23 '!$B:$B,"*,"&amp;$A51&amp;",*"),"")</f>
        <v/>
      </c>
      <c r="N51">
        <f>IFERROR((SUMIFS('AEO 2026 Table 23 '!Q:Q,'AEO 2026 Table 23 '!$B:$B,"*,"&amp;$A51&amp;",*")-SUMIFS('AEO 2026 Table 23 '!P:P,'AEO 2026 Table 23 '!$B:$B,"*,"&amp;$A51&amp;",*"))/SUMIFS('AEO 2026 Table 23 '!P:P,'AEO 2026 Table 23 '!$B:$B,"*,"&amp;$A51&amp;",*"),"")</f>
        <v/>
      </c>
      <c r="O51">
        <f>IFERROR((SUMIFS('AEO 2026 Table 23 '!R:R,'AEO 2026 Table 23 '!$B:$B,"*,"&amp;$A51&amp;",*")-SUMIFS('AEO 2026 Table 23 '!Q:Q,'AEO 2026 Table 23 '!$B:$B,"*,"&amp;$A51&amp;",*"))/SUMIFS('AEO 2026 Table 23 '!Q:Q,'AEO 2026 Table 23 '!$B:$B,"*,"&amp;$A51&amp;",*"),"")</f>
        <v/>
      </c>
      <c r="P51">
        <f>IFERROR((SUMIFS('AEO 2026 Table 23 '!S:S,'AEO 2026 Table 23 '!$B:$B,"*,"&amp;$A51&amp;",*")-SUMIFS('AEO 2026 Table 23 '!R:R,'AEO 2026 Table 23 '!$B:$B,"*,"&amp;$A51&amp;",*"))/SUMIFS('AEO 2026 Table 23 '!R:R,'AEO 2026 Table 23 '!$B:$B,"*,"&amp;$A51&amp;",*"),"")</f>
        <v/>
      </c>
      <c r="Q51">
        <f>IFERROR((SUMIFS('AEO 2026 Table 23 '!T:T,'AEO 2026 Table 23 '!$B:$B,"*,"&amp;$A51&amp;",*")-SUMIFS('AEO 2026 Table 23 '!S:S,'AEO 2026 Table 23 '!$B:$B,"*,"&amp;$A51&amp;",*"))/SUMIFS('AEO 2026 Table 23 '!S:S,'AEO 2026 Table 23 '!$B:$B,"*,"&amp;$A51&amp;",*"),"")</f>
        <v/>
      </c>
      <c r="R51">
        <f>IFERROR((SUMIFS('AEO 2026 Table 23 '!U:U,'AEO 2026 Table 23 '!$B:$B,"*,"&amp;$A51&amp;",*")-SUMIFS('AEO 2026 Table 23 '!T:T,'AEO 2026 Table 23 '!$B:$B,"*,"&amp;$A51&amp;",*"))/SUMIFS('AEO 2026 Table 23 '!T:T,'AEO 2026 Table 23 '!$B:$B,"*,"&amp;$A51&amp;",*"),"")</f>
        <v/>
      </c>
      <c r="S51">
        <f>IFERROR((SUMIFS('AEO 2026 Table 23 '!V:V,'AEO 2026 Table 23 '!$B:$B,"*,"&amp;$A51&amp;",*")-SUMIFS('AEO 2026 Table 23 '!U:U,'AEO 2026 Table 23 '!$B:$B,"*,"&amp;$A51&amp;",*"))/SUMIFS('AEO 2026 Table 23 '!U:U,'AEO 2026 Table 23 '!$B:$B,"*,"&amp;$A51&amp;",*"),"")</f>
        <v/>
      </c>
      <c r="T51">
        <f>IFERROR((SUMIFS('AEO 2026 Table 23 '!W:W,'AEO 2026 Table 23 '!$B:$B,"*,"&amp;$A51&amp;",*")-SUMIFS('AEO 2026 Table 23 '!V:V,'AEO 2026 Table 23 '!$B:$B,"*,"&amp;$A51&amp;",*"))/SUMIFS('AEO 2026 Table 23 '!V:V,'AEO 2026 Table 23 '!$B:$B,"*,"&amp;$A51&amp;",*"),"")</f>
        <v/>
      </c>
      <c r="U51">
        <f>IFERROR((SUMIFS('AEO 2026 Table 23 '!X:X,'AEO 2026 Table 23 '!$B:$B,"*,"&amp;$A51&amp;",*")-SUMIFS('AEO 2026 Table 23 '!W:W,'AEO 2026 Table 23 '!$B:$B,"*,"&amp;$A51&amp;",*"))/SUMIFS('AEO 2026 Table 23 '!W:W,'AEO 2026 Table 23 '!$B:$B,"*,"&amp;$A51&amp;",*"),"")</f>
        <v/>
      </c>
      <c r="V51">
        <f>IFERROR((SUMIFS('AEO 2026 Table 23 '!Y:Y,'AEO 2026 Table 23 '!$B:$B,"*,"&amp;$A51&amp;",*")-SUMIFS('AEO 2026 Table 23 '!X:X,'AEO 2026 Table 23 '!$B:$B,"*,"&amp;$A51&amp;",*"))/SUMIFS('AEO 2026 Table 23 '!X:X,'AEO 2026 Table 23 '!$B:$B,"*,"&amp;$A51&amp;",*"),"")</f>
        <v/>
      </c>
      <c r="W51">
        <f>IFERROR((SUMIFS('AEO 2026 Table 23 '!Z:Z,'AEO 2026 Table 23 '!$B:$B,"*,"&amp;$A51&amp;",*")-SUMIFS('AEO 2026 Table 23 '!Y:Y,'AEO 2026 Table 23 '!$B:$B,"*,"&amp;$A51&amp;",*"))/SUMIFS('AEO 2026 Table 23 '!Y:Y,'AEO 2026 Table 23 '!$B:$B,"*,"&amp;$A51&amp;",*"),"")</f>
        <v/>
      </c>
      <c r="X51">
        <f>IFERROR((SUMIFS('AEO 2026 Table 23 '!AA:AA,'AEO 2026 Table 23 '!$B:$B,"*,"&amp;$A51&amp;",*")-SUMIFS('AEO 2026 Table 23 '!Z:Z,'AEO 2026 Table 23 '!$B:$B,"*,"&amp;$A51&amp;",*"))/SUMIFS('AEO 2026 Table 23 '!Z:Z,'AEO 2026 Table 23 '!$B:$B,"*,"&amp;$A51&amp;",*"),"")</f>
        <v/>
      </c>
      <c r="Y51">
        <f>IFERROR((SUMIFS('AEO 2026 Table 23 '!AB:AB,'AEO 2026 Table 23 '!$B:$B,"*,"&amp;$A51&amp;",*")-SUMIFS('AEO 2026 Table 23 '!AA:AA,'AEO 2026 Table 23 '!$B:$B,"*,"&amp;$A51&amp;",*"))/SUMIFS('AEO 2026 Table 23 '!AA:AA,'AEO 2026 Table 23 '!$B:$B,"*,"&amp;$A51&amp;",*"),"")</f>
        <v/>
      </c>
      <c r="Z51">
        <f>IFERROR((SUMIFS('AEO 2026 Table 23 '!AC:AC,'AEO 2026 Table 23 '!$B:$B,"*,"&amp;$A51&amp;",*")-SUMIFS('AEO 2026 Table 23 '!AB:AB,'AEO 2026 Table 23 '!$B:$B,"*,"&amp;$A51&amp;",*"))/SUMIFS('AEO 2026 Table 23 '!AB:AB,'AEO 2026 Table 23 '!$B:$B,"*,"&amp;$A51&amp;",*"),"")</f>
        <v/>
      </c>
      <c r="AA51">
        <f>IFERROR((SUMIFS('AEO 2026 Table 23 '!AD:AD,'AEO 2026 Table 23 '!$B:$B,"*,"&amp;$A51&amp;",*")-SUMIFS('AEO 2026 Table 23 '!AC:AC,'AEO 2026 Table 23 '!$B:$B,"*,"&amp;$A51&amp;",*"))/SUMIFS('AEO 2026 Table 23 '!AC:AC,'AEO 2026 Table 23 '!$B:$B,"*,"&amp;$A51&amp;",*"),"")</f>
        <v/>
      </c>
      <c r="AB51">
        <f>IFERROR((SUMIFS('AEO 2026 Table 23 '!AE:AE,'AEO 2026 Table 23 '!$B:$B,"*,"&amp;$A51&amp;",*")-SUMIFS('AEO 2026 Table 23 '!AD:AD,'AEO 2026 Table 23 '!$B:$B,"*,"&amp;$A51&amp;",*"))/SUMIFS('AEO 2026 Table 23 '!AD:AD,'AEO 2026 Table 23 '!$B:$B,"*,"&amp;$A51&amp;",*"),"")</f>
        <v/>
      </c>
      <c r="AC51">
        <f>IFERROR((SUMIFS('AEO 2026 Table 23 '!AF:AF,'AEO 2026 Table 23 '!$B:$B,"*,"&amp;$A51&amp;",*")-SUMIFS('AEO 2026 Table 23 '!AE:AE,'AEO 2026 Table 23 '!$B:$B,"*,"&amp;$A51&amp;",*"))/SUMIFS('AEO 2026 Table 23 '!AE:AE,'AEO 2026 Table 23 '!$B:$B,"*,"&amp;$A51&amp;",*"),"")</f>
        <v/>
      </c>
    </row>
    <row r="52">
      <c r="A52" t="inlineStr">
        <is>
          <t>ISIC 86T88</t>
        </is>
      </c>
      <c r="B52">
        <f>IFERROR(SUMPRODUCT(--('BLS Table 2.11'!$L$1:$L$426=$A52),'BLS Table 2.11'!$J$1:$J$426,'BLS Table 2.11'!$K$1:$K$426)/SUMIFS('BLS Table 2.11'!$J$1:$J$426,'BLS Table 2.11'!$L$1:$L$426,$A52)/100,0)</f>
        <v/>
      </c>
      <c r="D52">
        <f>IFERROR((SUMIFS('AEO 2026 Table 23 '!G:G,'AEO 2026 Table 23 '!$B:$B,"*,"&amp;$A52&amp;",*")-SUMIFS('AEO25 Table 23'!H:H,'AEO25 Table 23'!$B:$B,"*,"&amp;$A52&amp;",*"))/SUMIFS('AEO25 Table 23'!H:H,'AEO25 Table 23'!$B:$B,"*,"&amp;$A52&amp;",*"),"")</f>
        <v/>
      </c>
      <c r="E52">
        <f>IFERROR((SUMIFS('AEO 2026 Table 23 '!H:H,'AEO 2026 Table 23 '!$B:$B,"*,"&amp;$A52&amp;",*")-SUMIFS('AEO 2026 Table 23 '!G:G,'AEO 2026 Table 23 '!$B:$B,"*,"&amp;$A52&amp;",*"))/SUMIFS('AEO 2026 Table 23 '!G:G,'AEO 2026 Table 23 '!$B:$B,"*,"&amp;$A52&amp;",*"),"")</f>
        <v/>
      </c>
      <c r="F52">
        <f>IFERROR((SUMIFS('AEO 2026 Table 23 '!I:I,'AEO 2026 Table 23 '!$B:$B,"*,"&amp;$A52&amp;",*")-SUMIFS('AEO 2026 Table 23 '!H:H,'AEO 2026 Table 23 '!$B:$B,"*,"&amp;$A52&amp;",*"))/SUMIFS('AEO 2026 Table 23 '!H:H,'AEO 2026 Table 23 '!$B:$B,"*,"&amp;$A52&amp;",*"),"")</f>
        <v/>
      </c>
      <c r="G52">
        <f>IFERROR((SUMIFS('AEO 2026 Table 23 '!J:J,'AEO 2026 Table 23 '!$B:$B,"*,"&amp;$A52&amp;",*")-SUMIFS('AEO 2026 Table 23 '!I:I,'AEO 2026 Table 23 '!$B:$B,"*,"&amp;$A52&amp;",*"))/SUMIFS('AEO 2026 Table 23 '!I:I,'AEO 2026 Table 23 '!$B:$B,"*,"&amp;$A52&amp;",*"),"")</f>
        <v/>
      </c>
      <c r="H52">
        <f>IFERROR((SUMIFS('AEO 2026 Table 23 '!K:K,'AEO 2026 Table 23 '!$B:$B,"*,"&amp;$A52&amp;",*")-SUMIFS('AEO 2026 Table 23 '!J:J,'AEO 2026 Table 23 '!$B:$B,"*,"&amp;$A52&amp;",*"))/SUMIFS('AEO 2026 Table 23 '!J:J,'AEO 2026 Table 23 '!$B:$B,"*,"&amp;$A52&amp;",*"),"")</f>
        <v/>
      </c>
      <c r="I52">
        <f>IFERROR((SUMIFS('AEO 2026 Table 23 '!L:L,'AEO 2026 Table 23 '!$B:$B,"*,"&amp;$A52&amp;",*")-SUMIFS('AEO 2026 Table 23 '!K:K,'AEO 2026 Table 23 '!$B:$B,"*,"&amp;$A52&amp;",*"))/SUMIFS('AEO 2026 Table 23 '!K:K,'AEO 2026 Table 23 '!$B:$B,"*,"&amp;$A52&amp;",*"),"")</f>
        <v/>
      </c>
      <c r="J52">
        <f>IFERROR((SUMIFS('AEO 2026 Table 23 '!M:M,'AEO 2026 Table 23 '!$B:$B,"*,"&amp;$A52&amp;",*")-SUMIFS('AEO 2026 Table 23 '!L:L,'AEO 2026 Table 23 '!$B:$B,"*,"&amp;$A52&amp;",*"))/SUMIFS('AEO 2026 Table 23 '!L:L,'AEO 2026 Table 23 '!$B:$B,"*,"&amp;$A52&amp;",*"),"")</f>
        <v/>
      </c>
      <c r="K52">
        <f>IFERROR((SUMIFS('AEO 2026 Table 23 '!N:N,'AEO 2026 Table 23 '!$B:$B,"*,"&amp;$A52&amp;",*")-SUMIFS('AEO 2026 Table 23 '!M:M,'AEO 2026 Table 23 '!$B:$B,"*,"&amp;$A52&amp;",*"))/SUMIFS('AEO 2026 Table 23 '!M:M,'AEO 2026 Table 23 '!$B:$B,"*,"&amp;$A52&amp;",*"),"")</f>
        <v/>
      </c>
      <c r="L52">
        <f>IFERROR((SUMIFS('AEO 2026 Table 23 '!O:O,'AEO 2026 Table 23 '!$B:$B,"*,"&amp;$A52&amp;",*")-SUMIFS('AEO 2026 Table 23 '!N:N,'AEO 2026 Table 23 '!$B:$B,"*,"&amp;$A52&amp;",*"))/SUMIFS('AEO 2026 Table 23 '!N:N,'AEO 2026 Table 23 '!$B:$B,"*,"&amp;$A52&amp;",*"),"")</f>
        <v/>
      </c>
      <c r="M52">
        <f>IFERROR((SUMIFS('AEO 2026 Table 23 '!P:P,'AEO 2026 Table 23 '!$B:$B,"*,"&amp;$A52&amp;",*")-SUMIFS('AEO 2026 Table 23 '!O:O,'AEO 2026 Table 23 '!$B:$B,"*,"&amp;$A52&amp;",*"))/SUMIFS('AEO 2026 Table 23 '!O:O,'AEO 2026 Table 23 '!$B:$B,"*,"&amp;$A52&amp;",*"),"")</f>
        <v/>
      </c>
      <c r="N52">
        <f>IFERROR((SUMIFS('AEO 2026 Table 23 '!Q:Q,'AEO 2026 Table 23 '!$B:$B,"*,"&amp;$A52&amp;",*")-SUMIFS('AEO 2026 Table 23 '!P:P,'AEO 2026 Table 23 '!$B:$B,"*,"&amp;$A52&amp;",*"))/SUMIFS('AEO 2026 Table 23 '!P:P,'AEO 2026 Table 23 '!$B:$B,"*,"&amp;$A52&amp;",*"),"")</f>
        <v/>
      </c>
      <c r="O52">
        <f>IFERROR((SUMIFS('AEO 2026 Table 23 '!R:R,'AEO 2026 Table 23 '!$B:$B,"*,"&amp;$A52&amp;",*")-SUMIFS('AEO 2026 Table 23 '!Q:Q,'AEO 2026 Table 23 '!$B:$B,"*,"&amp;$A52&amp;",*"))/SUMIFS('AEO 2026 Table 23 '!Q:Q,'AEO 2026 Table 23 '!$B:$B,"*,"&amp;$A52&amp;",*"),"")</f>
        <v/>
      </c>
      <c r="P52">
        <f>IFERROR((SUMIFS('AEO 2026 Table 23 '!S:S,'AEO 2026 Table 23 '!$B:$B,"*,"&amp;$A52&amp;",*")-SUMIFS('AEO 2026 Table 23 '!R:R,'AEO 2026 Table 23 '!$B:$B,"*,"&amp;$A52&amp;",*"))/SUMIFS('AEO 2026 Table 23 '!R:R,'AEO 2026 Table 23 '!$B:$B,"*,"&amp;$A52&amp;",*"),"")</f>
        <v/>
      </c>
      <c r="Q52">
        <f>IFERROR((SUMIFS('AEO 2026 Table 23 '!T:T,'AEO 2026 Table 23 '!$B:$B,"*,"&amp;$A52&amp;",*")-SUMIFS('AEO 2026 Table 23 '!S:S,'AEO 2026 Table 23 '!$B:$B,"*,"&amp;$A52&amp;",*"))/SUMIFS('AEO 2026 Table 23 '!S:S,'AEO 2026 Table 23 '!$B:$B,"*,"&amp;$A52&amp;",*"),"")</f>
        <v/>
      </c>
      <c r="R52">
        <f>IFERROR((SUMIFS('AEO 2026 Table 23 '!U:U,'AEO 2026 Table 23 '!$B:$B,"*,"&amp;$A52&amp;",*")-SUMIFS('AEO 2026 Table 23 '!T:T,'AEO 2026 Table 23 '!$B:$B,"*,"&amp;$A52&amp;",*"))/SUMIFS('AEO 2026 Table 23 '!T:T,'AEO 2026 Table 23 '!$B:$B,"*,"&amp;$A52&amp;",*"),"")</f>
        <v/>
      </c>
      <c r="S52">
        <f>IFERROR((SUMIFS('AEO 2026 Table 23 '!V:V,'AEO 2026 Table 23 '!$B:$B,"*,"&amp;$A52&amp;",*")-SUMIFS('AEO 2026 Table 23 '!U:U,'AEO 2026 Table 23 '!$B:$B,"*,"&amp;$A52&amp;",*"))/SUMIFS('AEO 2026 Table 23 '!U:U,'AEO 2026 Table 23 '!$B:$B,"*,"&amp;$A52&amp;",*"),"")</f>
        <v/>
      </c>
      <c r="T52">
        <f>IFERROR((SUMIFS('AEO 2026 Table 23 '!W:W,'AEO 2026 Table 23 '!$B:$B,"*,"&amp;$A52&amp;",*")-SUMIFS('AEO 2026 Table 23 '!V:V,'AEO 2026 Table 23 '!$B:$B,"*,"&amp;$A52&amp;",*"))/SUMIFS('AEO 2026 Table 23 '!V:V,'AEO 2026 Table 23 '!$B:$B,"*,"&amp;$A52&amp;",*"),"")</f>
        <v/>
      </c>
      <c r="U52">
        <f>IFERROR((SUMIFS('AEO 2026 Table 23 '!X:X,'AEO 2026 Table 23 '!$B:$B,"*,"&amp;$A52&amp;",*")-SUMIFS('AEO 2026 Table 23 '!W:W,'AEO 2026 Table 23 '!$B:$B,"*,"&amp;$A52&amp;",*"))/SUMIFS('AEO 2026 Table 23 '!W:W,'AEO 2026 Table 23 '!$B:$B,"*,"&amp;$A52&amp;",*"),"")</f>
        <v/>
      </c>
      <c r="V52">
        <f>IFERROR((SUMIFS('AEO 2026 Table 23 '!Y:Y,'AEO 2026 Table 23 '!$B:$B,"*,"&amp;$A52&amp;",*")-SUMIFS('AEO 2026 Table 23 '!X:X,'AEO 2026 Table 23 '!$B:$B,"*,"&amp;$A52&amp;",*"))/SUMIFS('AEO 2026 Table 23 '!X:X,'AEO 2026 Table 23 '!$B:$B,"*,"&amp;$A52&amp;",*"),"")</f>
        <v/>
      </c>
      <c r="W52">
        <f>IFERROR((SUMIFS('AEO 2026 Table 23 '!Z:Z,'AEO 2026 Table 23 '!$B:$B,"*,"&amp;$A52&amp;",*")-SUMIFS('AEO 2026 Table 23 '!Y:Y,'AEO 2026 Table 23 '!$B:$B,"*,"&amp;$A52&amp;",*"))/SUMIFS('AEO 2026 Table 23 '!Y:Y,'AEO 2026 Table 23 '!$B:$B,"*,"&amp;$A52&amp;",*"),"")</f>
        <v/>
      </c>
      <c r="X52">
        <f>IFERROR((SUMIFS('AEO 2026 Table 23 '!AA:AA,'AEO 2026 Table 23 '!$B:$B,"*,"&amp;$A52&amp;",*")-SUMIFS('AEO 2026 Table 23 '!Z:Z,'AEO 2026 Table 23 '!$B:$B,"*,"&amp;$A52&amp;",*"))/SUMIFS('AEO 2026 Table 23 '!Z:Z,'AEO 2026 Table 23 '!$B:$B,"*,"&amp;$A52&amp;",*"),"")</f>
        <v/>
      </c>
      <c r="Y52">
        <f>IFERROR((SUMIFS('AEO 2026 Table 23 '!AB:AB,'AEO 2026 Table 23 '!$B:$B,"*,"&amp;$A52&amp;",*")-SUMIFS('AEO 2026 Table 23 '!AA:AA,'AEO 2026 Table 23 '!$B:$B,"*,"&amp;$A52&amp;",*"))/SUMIFS('AEO 2026 Table 23 '!AA:AA,'AEO 2026 Table 23 '!$B:$B,"*,"&amp;$A52&amp;",*"),"")</f>
        <v/>
      </c>
      <c r="Z52">
        <f>IFERROR((SUMIFS('AEO 2026 Table 23 '!AC:AC,'AEO 2026 Table 23 '!$B:$B,"*,"&amp;$A52&amp;",*")-SUMIFS('AEO 2026 Table 23 '!AB:AB,'AEO 2026 Table 23 '!$B:$B,"*,"&amp;$A52&amp;",*"))/SUMIFS('AEO 2026 Table 23 '!AB:AB,'AEO 2026 Table 23 '!$B:$B,"*,"&amp;$A52&amp;",*"),"")</f>
        <v/>
      </c>
      <c r="AA52">
        <f>IFERROR((SUMIFS('AEO 2026 Table 23 '!AD:AD,'AEO 2026 Table 23 '!$B:$B,"*,"&amp;$A52&amp;",*")-SUMIFS('AEO 2026 Table 23 '!AC:AC,'AEO 2026 Table 23 '!$B:$B,"*,"&amp;$A52&amp;",*"))/SUMIFS('AEO 2026 Table 23 '!AC:AC,'AEO 2026 Table 23 '!$B:$B,"*,"&amp;$A52&amp;",*"),"")</f>
        <v/>
      </c>
      <c r="AB52">
        <f>IFERROR((SUMIFS('AEO 2026 Table 23 '!AE:AE,'AEO 2026 Table 23 '!$B:$B,"*,"&amp;$A52&amp;",*")-SUMIFS('AEO 2026 Table 23 '!AD:AD,'AEO 2026 Table 23 '!$B:$B,"*,"&amp;$A52&amp;",*"))/SUMIFS('AEO 2026 Table 23 '!AD:AD,'AEO 2026 Table 23 '!$B:$B,"*,"&amp;$A52&amp;",*"),"")</f>
        <v/>
      </c>
      <c r="AC52">
        <f>IFERROR((SUMIFS('AEO 2026 Table 23 '!AF:AF,'AEO 2026 Table 23 '!$B:$B,"*,"&amp;$A52&amp;",*")-SUMIFS('AEO 2026 Table 23 '!AE:AE,'AEO 2026 Table 23 '!$B:$B,"*,"&amp;$A52&amp;",*"))/SUMIFS('AEO 2026 Table 23 '!AE:AE,'AEO 2026 Table 23 '!$B:$B,"*,"&amp;$A52&amp;",*"),"")</f>
        <v/>
      </c>
    </row>
    <row r="53">
      <c r="A53" t="inlineStr">
        <is>
          <t>ISIC 90T93</t>
        </is>
      </c>
      <c r="B53">
        <f>IFERROR(SUMPRODUCT(--('BLS Table 2.11'!$L$1:$L$426=$A53),'BLS Table 2.11'!$J$1:$J$426,'BLS Table 2.11'!$K$1:$K$426)/SUMIFS('BLS Table 2.11'!$J$1:$J$426,'BLS Table 2.11'!$L$1:$L$426,$A53)/100,0)</f>
        <v/>
      </c>
      <c r="D53">
        <f>IFERROR((SUMIFS('AEO 2026 Table 23 '!G:G,'AEO 2026 Table 23 '!$B:$B,"*,"&amp;$A53&amp;",*")-SUMIFS('AEO25 Table 23'!H:H,'AEO25 Table 23'!$B:$B,"*,"&amp;$A53&amp;",*"))/SUMIFS('AEO25 Table 23'!H:H,'AEO25 Table 23'!$B:$B,"*,"&amp;$A53&amp;",*"),"")</f>
        <v/>
      </c>
      <c r="E53">
        <f>IFERROR((SUMIFS('AEO 2026 Table 23 '!H:H,'AEO 2026 Table 23 '!$B:$B,"*,"&amp;$A53&amp;",*")-SUMIFS('AEO 2026 Table 23 '!G:G,'AEO 2026 Table 23 '!$B:$B,"*,"&amp;$A53&amp;",*"))/SUMIFS('AEO 2026 Table 23 '!G:G,'AEO 2026 Table 23 '!$B:$B,"*,"&amp;$A53&amp;",*"),"")</f>
        <v/>
      </c>
      <c r="F53">
        <f>IFERROR((SUMIFS('AEO 2026 Table 23 '!I:I,'AEO 2026 Table 23 '!$B:$B,"*,"&amp;$A53&amp;",*")-SUMIFS('AEO 2026 Table 23 '!H:H,'AEO 2026 Table 23 '!$B:$B,"*,"&amp;$A53&amp;",*"))/SUMIFS('AEO 2026 Table 23 '!H:H,'AEO 2026 Table 23 '!$B:$B,"*,"&amp;$A53&amp;",*"),"")</f>
        <v/>
      </c>
      <c r="G53">
        <f>IFERROR((SUMIFS('AEO 2026 Table 23 '!J:J,'AEO 2026 Table 23 '!$B:$B,"*,"&amp;$A53&amp;",*")-SUMIFS('AEO 2026 Table 23 '!I:I,'AEO 2026 Table 23 '!$B:$B,"*,"&amp;$A53&amp;",*"))/SUMIFS('AEO 2026 Table 23 '!I:I,'AEO 2026 Table 23 '!$B:$B,"*,"&amp;$A53&amp;",*"),"")</f>
        <v/>
      </c>
      <c r="H53">
        <f>IFERROR((SUMIFS('AEO 2026 Table 23 '!K:K,'AEO 2026 Table 23 '!$B:$B,"*,"&amp;$A53&amp;",*")-SUMIFS('AEO 2026 Table 23 '!J:J,'AEO 2026 Table 23 '!$B:$B,"*,"&amp;$A53&amp;",*"))/SUMIFS('AEO 2026 Table 23 '!J:J,'AEO 2026 Table 23 '!$B:$B,"*,"&amp;$A53&amp;",*"),"")</f>
        <v/>
      </c>
      <c r="I53">
        <f>IFERROR((SUMIFS('AEO 2026 Table 23 '!L:L,'AEO 2026 Table 23 '!$B:$B,"*,"&amp;$A53&amp;",*")-SUMIFS('AEO 2026 Table 23 '!K:K,'AEO 2026 Table 23 '!$B:$B,"*,"&amp;$A53&amp;",*"))/SUMIFS('AEO 2026 Table 23 '!K:K,'AEO 2026 Table 23 '!$B:$B,"*,"&amp;$A53&amp;",*"),"")</f>
        <v/>
      </c>
      <c r="J53">
        <f>IFERROR((SUMIFS('AEO 2026 Table 23 '!M:M,'AEO 2026 Table 23 '!$B:$B,"*,"&amp;$A53&amp;",*")-SUMIFS('AEO 2026 Table 23 '!L:L,'AEO 2026 Table 23 '!$B:$B,"*,"&amp;$A53&amp;",*"))/SUMIFS('AEO 2026 Table 23 '!L:L,'AEO 2026 Table 23 '!$B:$B,"*,"&amp;$A53&amp;",*"),"")</f>
        <v/>
      </c>
      <c r="K53">
        <f>IFERROR((SUMIFS('AEO 2026 Table 23 '!N:N,'AEO 2026 Table 23 '!$B:$B,"*,"&amp;$A53&amp;",*")-SUMIFS('AEO 2026 Table 23 '!M:M,'AEO 2026 Table 23 '!$B:$B,"*,"&amp;$A53&amp;",*"))/SUMIFS('AEO 2026 Table 23 '!M:M,'AEO 2026 Table 23 '!$B:$B,"*,"&amp;$A53&amp;",*"),"")</f>
        <v/>
      </c>
      <c r="L53">
        <f>IFERROR((SUMIFS('AEO 2026 Table 23 '!O:O,'AEO 2026 Table 23 '!$B:$B,"*,"&amp;$A53&amp;",*")-SUMIFS('AEO 2026 Table 23 '!N:N,'AEO 2026 Table 23 '!$B:$B,"*,"&amp;$A53&amp;",*"))/SUMIFS('AEO 2026 Table 23 '!N:N,'AEO 2026 Table 23 '!$B:$B,"*,"&amp;$A53&amp;",*"),"")</f>
        <v/>
      </c>
      <c r="M53">
        <f>IFERROR((SUMIFS('AEO 2026 Table 23 '!P:P,'AEO 2026 Table 23 '!$B:$B,"*,"&amp;$A53&amp;",*")-SUMIFS('AEO 2026 Table 23 '!O:O,'AEO 2026 Table 23 '!$B:$B,"*,"&amp;$A53&amp;",*"))/SUMIFS('AEO 2026 Table 23 '!O:O,'AEO 2026 Table 23 '!$B:$B,"*,"&amp;$A53&amp;",*"),"")</f>
        <v/>
      </c>
      <c r="N53">
        <f>IFERROR((SUMIFS('AEO 2026 Table 23 '!Q:Q,'AEO 2026 Table 23 '!$B:$B,"*,"&amp;$A53&amp;",*")-SUMIFS('AEO 2026 Table 23 '!P:P,'AEO 2026 Table 23 '!$B:$B,"*,"&amp;$A53&amp;",*"))/SUMIFS('AEO 2026 Table 23 '!P:P,'AEO 2026 Table 23 '!$B:$B,"*,"&amp;$A53&amp;",*"),"")</f>
        <v/>
      </c>
      <c r="O53">
        <f>IFERROR((SUMIFS('AEO 2026 Table 23 '!R:R,'AEO 2026 Table 23 '!$B:$B,"*,"&amp;$A53&amp;",*")-SUMIFS('AEO 2026 Table 23 '!Q:Q,'AEO 2026 Table 23 '!$B:$B,"*,"&amp;$A53&amp;",*"))/SUMIFS('AEO 2026 Table 23 '!Q:Q,'AEO 2026 Table 23 '!$B:$B,"*,"&amp;$A53&amp;",*"),"")</f>
        <v/>
      </c>
      <c r="P53">
        <f>IFERROR((SUMIFS('AEO 2026 Table 23 '!S:S,'AEO 2026 Table 23 '!$B:$B,"*,"&amp;$A53&amp;",*")-SUMIFS('AEO 2026 Table 23 '!R:R,'AEO 2026 Table 23 '!$B:$B,"*,"&amp;$A53&amp;",*"))/SUMIFS('AEO 2026 Table 23 '!R:R,'AEO 2026 Table 23 '!$B:$B,"*,"&amp;$A53&amp;",*"),"")</f>
        <v/>
      </c>
      <c r="Q53">
        <f>IFERROR((SUMIFS('AEO 2026 Table 23 '!T:T,'AEO 2026 Table 23 '!$B:$B,"*,"&amp;$A53&amp;",*")-SUMIFS('AEO 2026 Table 23 '!S:S,'AEO 2026 Table 23 '!$B:$B,"*,"&amp;$A53&amp;",*"))/SUMIFS('AEO 2026 Table 23 '!S:S,'AEO 2026 Table 23 '!$B:$B,"*,"&amp;$A53&amp;",*"),"")</f>
        <v/>
      </c>
      <c r="R53">
        <f>IFERROR((SUMIFS('AEO 2026 Table 23 '!U:U,'AEO 2026 Table 23 '!$B:$B,"*,"&amp;$A53&amp;",*")-SUMIFS('AEO 2026 Table 23 '!T:T,'AEO 2026 Table 23 '!$B:$B,"*,"&amp;$A53&amp;",*"))/SUMIFS('AEO 2026 Table 23 '!T:T,'AEO 2026 Table 23 '!$B:$B,"*,"&amp;$A53&amp;",*"),"")</f>
        <v/>
      </c>
      <c r="S53">
        <f>IFERROR((SUMIFS('AEO 2026 Table 23 '!V:V,'AEO 2026 Table 23 '!$B:$B,"*,"&amp;$A53&amp;",*")-SUMIFS('AEO 2026 Table 23 '!U:U,'AEO 2026 Table 23 '!$B:$B,"*,"&amp;$A53&amp;",*"))/SUMIFS('AEO 2026 Table 23 '!U:U,'AEO 2026 Table 23 '!$B:$B,"*,"&amp;$A53&amp;",*"),"")</f>
        <v/>
      </c>
      <c r="T53">
        <f>IFERROR((SUMIFS('AEO 2026 Table 23 '!W:W,'AEO 2026 Table 23 '!$B:$B,"*,"&amp;$A53&amp;",*")-SUMIFS('AEO 2026 Table 23 '!V:V,'AEO 2026 Table 23 '!$B:$B,"*,"&amp;$A53&amp;",*"))/SUMIFS('AEO 2026 Table 23 '!V:V,'AEO 2026 Table 23 '!$B:$B,"*,"&amp;$A53&amp;",*"),"")</f>
        <v/>
      </c>
      <c r="U53">
        <f>IFERROR((SUMIFS('AEO 2026 Table 23 '!X:X,'AEO 2026 Table 23 '!$B:$B,"*,"&amp;$A53&amp;",*")-SUMIFS('AEO 2026 Table 23 '!W:W,'AEO 2026 Table 23 '!$B:$B,"*,"&amp;$A53&amp;",*"))/SUMIFS('AEO 2026 Table 23 '!W:W,'AEO 2026 Table 23 '!$B:$B,"*,"&amp;$A53&amp;",*"),"")</f>
        <v/>
      </c>
      <c r="V53">
        <f>IFERROR((SUMIFS('AEO 2026 Table 23 '!Y:Y,'AEO 2026 Table 23 '!$B:$B,"*,"&amp;$A53&amp;",*")-SUMIFS('AEO 2026 Table 23 '!X:X,'AEO 2026 Table 23 '!$B:$B,"*,"&amp;$A53&amp;",*"))/SUMIFS('AEO 2026 Table 23 '!X:X,'AEO 2026 Table 23 '!$B:$B,"*,"&amp;$A53&amp;",*"),"")</f>
        <v/>
      </c>
      <c r="W53">
        <f>IFERROR((SUMIFS('AEO 2026 Table 23 '!Z:Z,'AEO 2026 Table 23 '!$B:$B,"*,"&amp;$A53&amp;",*")-SUMIFS('AEO 2026 Table 23 '!Y:Y,'AEO 2026 Table 23 '!$B:$B,"*,"&amp;$A53&amp;",*"))/SUMIFS('AEO 2026 Table 23 '!Y:Y,'AEO 2026 Table 23 '!$B:$B,"*,"&amp;$A53&amp;",*"),"")</f>
        <v/>
      </c>
      <c r="X53">
        <f>IFERROR((SUMIFS('AEO 2026 Table 23 '!AA:AA,'AEO 2026 Table 23 '!$B:$B,"*,"&amp;$A53&amp;",*")-SUMIFS('AEO 2026 Table 23 '!Z:Z,'AEO 2026 Table 23 '!$B:$B,"*,"&amp;$A53&amp;",*"))/SUMIFS('AEO 2026 Table 23 '!Z:Z,'AEO 2026 Table 23 '!$B:$B,"*,"&amp;$A53&amp;",*"),"")</f>
        <v/>
      </c>
      <c r="Y53">
        <f>IFERROR((SUMIFS('AEO 2026 Table 23 '!AB:AB,'AEO 2026 Table 23 '!$B:$B,"*,"&amp;$A53&amp;",*")-SUMIFS('AEO 2026 Table 23 '!AA:AA,'AEO 2026 Table 23 '!$B:$B,"*,"&amp;$A53&amp;",*"))/SUMIFS('AEO 2026 Table 23 '!AA:AA,'AEO 2026 Table 23 '!$B:$B,"*,"&amp;$A53&amp;",*"),"")</f>
        <v/>
      </c>
      <c r="Z53">
        <f>IFERROR((SUMIFS('AEO 2026 Table 23 '!AC:AC,'AEO 2026 Table 23 '!$B:$B,"*,"&amp;$A53&amp;",*")-SUMIFS('AEO 2026 Table 23 '!AB:AB,'AEO 2026 Table 23 '!$B:$B,"*,"&amp;$A53&amp;",*"))/SUMIFS('AEO 2026 Table 23 '!AB:AB,'AEO 2026 Table 23 '!$B:$B,"*,"&amp;$A53&amp;",*"),"")</f>
        <v/>
      </c>
      <c r="AA53">
        <f>IFERROR((SUMIFS('AEO 2026 Table 23 '!AD:AD,'AEO 2026 Table 23 '!$B:$B,"*,"&amp;$A53&amp;",*")-SUMIFS('AEO 2026 Table 23 '!AC:AC,'AEO 2026 Table 23 '!$B:$B,"*,"&amp;$A53&amp;",*"))/SUMIFS('AEO 2026 Table 23 '!AC:AC,'AEO 2026 Table 23 '!$B:$B,"*,"&amp;$A53&amp;",*"),"")</f>
        <v/>
      </c>
      <c r="AB53">
        <f>IFERROR((SUMIFS('AEO 2026 Table 23 '!AE:AE,'AEO 2026 Table 23 '!$B:$B,"*,"&amp;$A53&amp;",*")-SUMIFS('AEO 2026 Table 23 '!AD:AD,'AEO 2026 Table 23 '!$B:$B,"*,"&amp;$A53&amp;",*"))/SUMIFS('AEO 2026 Table 23 '!AD:AD,'AEO 2026 Table 23 '!$B:$B,"*,"&amp;$A53&amp;",*"),"")</f>
        <v/>
      </c>
      <c r="AC53">
        <f>IFERROR((SUMIFS('AEO 2026 Table 23 '!AF:AF,'AEO 2026 Table 23 '!$B:$B,"*,"&amp;$A53&amp;",*")-SUMIFS('AEO 2026 Table 23 '!AE:AE,'AEO 2026 Table 23 '!$B:$B,"*,"&amp;$A53&amp;",*"))/SUMIFS('AEO 2026 Table 23 '!AE:AE,'AEO 2026 Table 23 '!$B:$B,"*,"&amp;$A53&amp;",*"),"")</f>
        <v/>
      </c>
    </row>
    <row r="54">
      <c r="A54" t="inlineStr">
        <is>
          <t>ISIC 94T96</t>
        </is>
      </c>
      <c r="B54">
        <f>IFERROR(SUMPRODUCT(--('BLS Table 2.11'!$L$1:$L$426=$A54),'BLS Table 2.11'!$J$1:$J$426,'BLS Table 2.11'!$K$1:$K$426)/SUMIFS('BLS Table 2.11'!$J$1:$J$426,'BLS Table 2.11'!$L$1:$L$426,$A54)/100,0)</f>
        <v/>
      </c>
      <c r="D54">
        <f>IFERROR((SUMIFS('AEO 2026 Table 23 '!G:G,'AEO 2026 Table 23 '!$B:$B,"*,"&amp;$A54&amp;",*")-SUMIFS('AEO25 Table 23'!H:H,'AEO25 Table 23'!$B:$B,"*,"&amp;$A54&amp;",*"))/SUMIFS('AEO25 Table 23'!H:H,'AEO25 Table 23'!$B:$B,"*,"&amp;$A54&amp;",*"),"")</f>
        <v/>
      </c>
      <c r="E54">
        <f>IFERROR((SUMIFS('AEO 2026 Table 23 '!H:H,'AEO 2026 Table 23 '!$B:$B,"*,"&amp;$A54&amp;",*")-SUMIFS('AEO 2026 Table 23 '!G:G,'AEO 2026 Table 23 '!$B:$B,"*,"&amp;$A54&amp;",*"))/SUMIFS('AEO 2026 Table 23 '!G:G,'AEO 2026 Table 23 '!$B:$B,"*,"&amp;$A54&amp;",*"),"")</f>
        <v/>
      </c>
      <c r="F54">
        <f>IFERROR((SUMIFS('AEO 2026 Table 23 '!I:I,'AEO 2026 Table 23 '!$B:$B,"*,"&amp;$A54&amp;",*")-SUMIFS('AEO 2026 Table 23 '!H:H,'AEO 2026 Table 23 '!$B:$B,"*,"&amp;$A54&amp;",*"))/SUMIFS('AEO 2026 Table 23 '!H:H,'AEO 2026 Table 23 '!$B:$B,"*,"&amp;$A54&amp;",*"),"")</f>
        <v/>
      </c>
      <c r="G54">
        <f>IFERROR((SUMIFS('AEO 2026 Table 23 '!J:J,'AEO 2026 Table 23 '!$B:$B,"*,"&amp;$A54&amp;",*")-SUMIFS('AEO 2026 Table 23 '!I:I,'AEO 2026 Table 23 '!$B:$B,"*,"&amp;$A54&amp;",*"))/SUMIFS('AEO 2026 Table 23 '!I:I,'AEO 2026 Table 23 '!$B:$B,"*,"&amp;$A54&amp;",*"),"")</f>
        <v/>
      </c>
      <c r="H54">
        <f>IFERROR((SUMIFS('AEO 2026 Table 23 '!K:K,'AEO 2026 Table 23 '!$B:$B,"*,"&amp;$A54&amp;",*")-SUMIFS('AEO 2026 Table 23 '!J:J,'AEO 2026 Table 23 '!$B:$B,"*,"&amp;$A54&amp;",*"))/SUMIFS('AEO 2026 Table 23 '!J:J,'AEO 2026 Table 23 '!$B:$B,"*,"&amp;$A54&amp;",*"),"")</f>
        <v/>
      </c>
      <c r="I54">
        <f>IFERROR((SUMIFS('AEO 2026 Table 23 '!L:L,'AEO 2026 Table 23 '!$B:$B,"*,"&amp;$A54&amp;",*")-SUMIFS('AEO 2026 Table 23 '!K:K,'AEO 2026 Table 23 '!$B:$B,"*,"&amp;$A54&amp;",*"))/SUMIFS('AEO 2026 Table 23 '!K:K,'AEO 2026 Table 23 '!$B:$B,"*,"&amp;$A54&amp;",*"),"")</f>
        <v/>
      </c>
      <c r="J54">
        <f>IFERROR((SUMIFS('AEO 2026 Table 23 '!M:M,'AEO 2026 Table 23 '!$B:$B,"*,"&amp;$A54&amp;",*")-SUMIFS('AEO 2026 Table 23 '!L:L,'AEO 2026 Table 23 '!$B:$B,"*,"&amp;$A54&amp;",*"))/SUMIFS('AEO 2026 Table 23 '!L:L,'AEO 2026 Table 23 '!$B:$B,"*,"&amp;$A54&amp;",*"),"")</f>
        <v/>
      </c>
      <c r="K54">
        <f>IFERROR((SUMIFS('AEO 2026 Table 23 '!N:N,'AEO 2026 Table 23 '!$B:$B,"*,"&amp;$A54&amp;",*")-SUMIFS('AEO 2026 Table 23 '!M:M,'AEO 2026 Table 23 '!$B:$B,"*,"&amp;$A54&amp;",*"))/SUMIFS('AEO 2026 Table 23 '!M:M,'AEO 2026 Table 23 '!$B:$B,"*,"&amp;$A54&amp;",*"),"")</f>
        <v/>
      </c>
      <c r="L54">
        <f>IFERROR((SUMIFS('AEO 2026 Table 23 '!O:O,'AEO 2026 Table 23 '!$B:$B,"*,"&amp;$A54&amp;",*")-SUMIFS('AEO 2026 Table 23 '!N:N,'AEO 2026 Table 23 '!$B:$B,"*,"&amp;$A54&amp;",*"))/SUMIFS('AEO 2026 Table 23 '!N:N,'AEO 2026 Table 23 '!$B:$B,"*,"&amp;$A54&amp;",*"),"")</f>
        <v/>
      </c>
      <c r="M54">
        <f>IFERROR((SUMIFS('AEO 2026 Table 23 '!P:P,'AEO 2026 Table 23 '!$B:$B,"*,"&amp;$A54&amp;",*")-SUMIFS('AEO 2026 Table 23 '!O:O,'AEO 2026 Table 23 '!$B:$B,"*,"&amp;$A54&amp;",*"))/SUMIFS('AEO 2026 Table 23 '!O:O,'AEO 2026 Table 23 '!$B:$B,"*,"&amp;$A54&amp;",*"),"")</f>
        <v/>
      </c>
      <c r="N54">
        <f>IFERROR((SUMIFS('AEO 2026 Table 23 '!Q:Q,'AEO 2026 Table 23 '!$B:$B,"*,"&amp;$A54&amp;",*")-SUMIFS('AEO 2026 Table 23 '!P:P,'AEO 2026 Table 23 '!$B:$B,"*,"&amp;$A54&amp;",*"))/SUMIFS('AEO 2026 Table 23 '!P:P,'AEO 2026 Table 23 '!$B:$B,"*,"&amp;$A54&amp;",*"),"")</f>
        <v/>
      </c>
      <c r="O54">
        <f>IFERROR((SUMIFS('AEO 2026 Table 23 '!R:R,'AEO 2026 Table 23 '!$B:$B,"*,"&amp;$A54&amp;",*")-SUMIFS('AEO 2026 Table 23 '!Q:Q,'AEO 2026 Table 23 '!$B:$B,"*,"&amp;$A54&amp;",*"))/SUMIFS('AEO 2026 Table 23 '!Q:Q,'AEO 2026 Table 23 '!$B:$B,"*,"&amp;$A54&amp;",*"),"")</f>
        <v/>
      </c>
      <c r="P54">
        <f>IFERROR((SUMIFS('AEO 2026 Table 23 '!S:S,'AEO 2026 Table 23 '!$B:$B,"*,"&amp;$A54&amp;",*")-SUMIFS('AEO 2026 Table 23 '!R:R,'AEO 2026 Table 23 '!$B:$B,"*,"&amp;$A54&amp;",*"))/SUMIFS('AEO 2026 Table 23 '!R:R,'AEO 2026 Table 23 '!$B:$B,"*,"&amp;$A54&amp;",*"),"")</f>
        <v/>
      </c>
      <c r="Q54">
        <f>IFERROR((SUMIFS('AEO 2026 Table 23 '!T:T,'AEO 2026 Table 23 '!$B:$B,"*,"&amp;$A54&amp;",*")-SUMIFS('AEO 2026 Table 23 '!S:S,'AEO 2026 Table 23 '!$B:$B,"*,"&amp;$A54&amp;",*"))/SUMIFS('AEO 2026 Table 23 '!S:S,'AEO 2026 Table 23 '!$B:$B,"*,"&amp;$A54&amp;",*"),"")</f>
        <v/>
      </c>
      <c r="R54">
        <f>IFERROR((SUMIFS('AEO 2026 Table 23 '!U:U,'AEO 2026 Table 23 '!$B:$B,"*,"&amp;$A54&amp;",*")-SUMIFS('AEO 2026 Table 23 '!T:T,'AEO 2026 Table 23 '!$B:$B,"*,"&amp;$A54&amp;",*"))/SUMIFS('AEO 2026 Table 23 '!T:T,'AEO 2026 Table 23 '!$B:$B,"*,"&amp;$A54&amp;",*"),"")</f>
        <v/>
      </c>
      <c r="S54">
        <f>IFERROR((SUMIFS('AEO 2026 Table 23 '!V:V,'AEO 2026 Table 23 '!$B:$B,"*,"&amp;$A54&amp;",*")-SUMIFS('AEO 2026 Table 23 '!U:U,'AEO 2026 Table 23 '!$B:$B,"*,"&amp;$A54&amp;",*"))/SUMIFS('AEO 2026 Table 23 '!U:U,'AEO 2026 Table 23 '!$B:$B,"*,"&amp;$A54&amp;",*"),"")</f>
        <v/>
      </c>
      <c r="T54">
        <f>IFERROR((SUMIFS('AEO 2026 Table 23 '!W:W,'AEO 2026 Table 23 '!$B:$B,"*,"&amp;$A54&amp;",*")-SUMIFS('AEO 2026 Table 23 '!V:V,'AEO 2026 Table 23 '!$B:$B,"*,"&amp;$A54&amp;",*"))/SUMIFS('AEO 2026 Table 23 '!V:V,'AEO 2026 Table 23 '!$B:$B,"*,"&amp;$A54&amp;",*"),"")</f>
        <v/>
      </c>
      <c r="U54">
        <f>IFERROR((SUMIFS('AEO 2026 Table 23 '!X:X,'AEO 2026 Table 23 '!$B:$B,"*,"&amp;$A54&amp;",*")-SUMIFS('AEO 2026 Table 23 '!W:W,'AEO 2026 Table 23 '!$B:$B,"*,"&amp;$A54&amp;",*"))/SUMIFS('AEO 2026 Table 23 '!W:W,'AEO 2026 Table 23 '!$B:$B,"*,"&amp;$A54&amp;",*"),"")</f>
        <v/>
      </c>
      <c r="V54">
        <f>IFERROR((SUMIFS('AEO 2026 Table 23 '!Y:Y,'AEO 2026 Table 23 '!$B:$B,"*,"&amp;$A54&amp;",*")-SUMIFS('AEO 2026 Table 23 '!X:X,'AEO 2026 Table 23 '!$B:$B,"*,"&amp;$A54&amp;",*"))/SUMIFS('AEO 2026 Table 23 '!X:X,'AEO 2026 Table 23 '!$B:$B,"*,"&amp;$A54&amp;",*"),"")</f>
        <v/>
      </c>
      <c r="W54">
        <f>IFERROR((SUMIFS('AEO 2026 Table 23 '!Z:Z,'AEO 2026 Table 23 '!$B:$B,"*,"&amp;$A54&amp;",*")-SUMIFS('AEO 2026 Table 23 '!Y:Y,'AEO 2026 Table 23 '!$B:$B,"*,"&amp;$A54&amp;",*"))/SUMIFS('AEO 2026 Table 23 '!Y:Y,'AEO 2026 Table 23 '!$B:$B,"*,"&amp;$A54&amp;",*"),"")</f>
        <v/>
      </c>
      <c r="X54">
        <f>IFERROR((SUMIFS('AEO 2026 Table 23 '!AA:AA,'AEO 2026 Table 23 '!$B:$B,"*,"&amp;$A54&amp;",*")-SUMIFS('AEO 2026 Table 23 '!Z:Z,'AEO 2026 Table 23 '!$B:$B,"*,"&amp;$A54&amp;",*"))/SUMIFS('AEO 2026 Table 23 '!Z:Z,'AEO 2026 Table 23 '!$B:$B,"*,"&amp;$A54&amp;",*"),"")</f>
        <v/>
      </c>
      <c r="Y54">
        <f>IFERROR((SUMIFS('AEO 2026 Table 23 '!AB:AB,'AEO 2026 Table 23 '!$B:$B,"*,"&amp;$A54&amp;",*")-SUMIFS('AEO 2026 Table 23 '!AA:AA,'AEO 2026 Table 23 '!$B:$B,"*,"&amp;$A54&amp;",*"))/SUMIFS('AEO 2026 Table 23 '!AA:AA,'AEO 2026 Table 23 '!$B:$B,"*,"&amp;$A54&amp;",*"),"")</f>
        <v/>
      </c>
      <c r="Z54">
        <f>IFERROR((SUMIFS('AEO 2026 Table 23 '!AC:AC,'AEO 2026 Table 23 '!$B:$B,"*,"&amp;$A54&amp;",*")-SUMIFS('AEO 2026 Table 23 '!AB:AB,'AEO 2026 Table 23 '!$B:$B,"*,"&amp;$A54&amp;",*"))/SUMIFS('AEO 2026 Table 23 '!AB:AB,'AEO 2026 Table 23 '!$B:$B,"*,"&amp;$A54&amp;",*"),"")</f>
        <v/>
      </c>
      <c r="AA54">
        <f>IFERROR((SUMIFS('AEO 2026 Table 23 '!AD:AD,'AEO 2026 Table 23 '!$B:$B,"*,"&amp;$A54&amp;",*")-SUMIFS('AEO 2026 Table 23 '!AC:AC,'AEO 2026 Table 23 '!$B:$B,"*,"&amp;$A54&amp;",*"))/SUMIFS('AEO 2026 Table 23 '!AC:AC,'AEO 2026 Table 23 '!$B:$B,"*,"&amp;$A54&amp;",*"),"")</f>
        <v/>
      </c>
      <c r="AB54">
        <f>IFERROR((SUMIFS('AEO 2026 Table 23 '!AE:AE,'AEO 2026 Table 23 '!$B:$B,"*,"&amp;$A54&amp;",*")-SUMIFS('AEO 2026 Table 23 '!AD:AD,'AEO 2026 Table 23 '!$B:$B,"*,"&amp;$A54&amp;",*"))/SUMIFS('AEO 2026 Table 23 '!AD:AD,'AEO 2026 Table 23 '!$B:$B,"*,"&amp;$A54&amp;",*"),"")</f>
        <v/>
      </c>
      <c r="AC54">
        <f>IFERROR((SUMIFS('AEO 2026 Table 23 '!AF:AF,'AEO 2026 Table 23 '!$B:$B,"*,"&amp;$A54&amp;",*")-SUMIFS('AEO 2026 Table 23 '!AE:AE,'AEO 2026 Table 23 '!$B:$B,"*,"&amp;$A54&amp;",*"))/SUMIFS('AEO 2026 Table 23 '!AE:AE,'AEO 2026 Table 23 '!$B:$B,"*,"&amp;$A54&amp;",*"),"")</f>
        <v/>
      </c>
    </row>
    <row r="55">
      <c r="A55" t="inlineStr">
        <is>
          <t>ISIC 97T98</t>
        </is>
      </c>
      <c r="B55">
        <f>IFERROR(SUMPRODUCT(--('BLS Table 2.11'!$L$1:$L$426=$A55),'BLS Table 2.11'!$J$1:$J$426,'BLS Table 2.11'!$K$1:$K$426)/SUMIFS('BLS Table 2.11'!$J$1:$J$426,'BLS Table 2.11'!$L$1:$L$426,$A55)/100,0)</f>
        <v/>
      </c>
      <c r="D55">
        <f>IFERROR((SUMIFS('AEO 2026 Table 23 '!G:G,'AEO 2026 Table 23 '!$B:$B,"*,"&amp;$A55&amp;",*")-SUMIFS('AEO25 Table 23'!H:H,'AEO25 Table 23'!$B:$B,"*,"&amp;$A55&amp;",*"))/SUMIFS('AEO25 Table 23'!H:H,'AEO25 Table 23'!$B:$B,"*,"&amp;$A55&amp;",*"),"")</f>
        <v/>
      </c>
      <c r="E55">
        <f>IFERROR((SUMIFS('AEO 2026 Table 23 '!H:H,'AEO 2026 Table 23 '!$B:$B,"*,"&amp;$A55&amp;",*")-SUMIFS('AEO 2026 Table 23 '!G:G,'AEO 2026 Table 23 '!$B:$B,"*,"&amp;$A55&amp;",*"))/SUMIFS('AEO 2026 Table 23 '!G:G,'AEO 2026 Table 23 '!$B:$B,"*,"&amp;$A55&amp;",*"),"")</f>
        <v/>
      </c>
      <c r="F55">
        <f>IFERROR((SUMIFS('AEO 2026 Table 23 '!I:I,'AEO 2026 Table 23 '!$B:$B,"*,"&amp;$A55&amp;",*")-SUMIFS('AEO 2026 Table 23 '!H:H,'AEO 2026 Table 23 '!$B:$B,"*,"&amp;$A55&amp;",*"))/SUMIFS('AEO 2026 Table 23 '!H:H,'AEO 2026 Table 23 '!$B:$B,"*,"&amp;$A55&amp;",*"),"")</f>
        <v/>
      </c>
      <c r="G55">
        <f>IFERROR((SUMIFS('AEO 2026 Table 23 '!J:J,'AEO 2026 Table 23 '!$B:$B,"*,"&amp;$A55&amp;",*")-SUMIFS('AEO 2026 Table 23 '!I:I,'AEO 2026 Table 23 '!$B:$B,"*,"&amp;$A55&amp;",*"))/SUMIFS('AEO 2026 Table 23 '!I:I,'AEO 2026 Table 23 '!$B:$B,"*,"&amp;$A55&amp;",*"),"")</f>
        <v/>
      </c>
      <c r="H55">
        <f>IFERROR((SUMIFS('AEO 2026 Table 23 '!K:K,'AEO 2026 Table 23 '!$B:$B,"*,"&amp;$A55&amp;",*")-SUMIFS('AEO 2026 Table 23 '!J:J,'AEO 2026 Table 23 '!$B:$B,"*,"&amp;$A55&amp;",*"))/SUMIFS('AEO 2026 Table 23 '!J:J,'AEO 2026 Table 23 '!$B:$B,"*,"&amp;$A55&amp;",*"),"")</f>
        <v/>
      </c>
      <c r="I55">
        <f>IFERROR((SUMIFS('AEO 2026 Table 23 '!L:L,'AEO 2026 Table 23 '!$B:$B,"*,"&amp;$A55&amp;",*")-SUMIFS('AEO 2026 Table 23 '!K:K,'AEO 2026 Table 23 '!$B:$B,"*,"&amp;$A55&amp;",*"))/SUMIFS('AEO 2026 Table 23 '!K:K,'AEO 2026 Table 23 '!$B:$B,"*,"&amp;$A55&amp;",*"),"")</f>
        <v/>
      </c>
      <c r="J55">
        <f>IFERROR((SUMIFS('AEO 2026 Table 23 '!M:M,'AEO 2026 Table 23 '!$B:$B,"*,"&amp;$A55&amp;",*")-SUMIFS('AEO 2026 Table 23 '!L:L,'AEO 2026 Table 23 '!$B:$B,"*,"&amp;$A55&amp;",*"))/SUMIFS('AEO 2026 Table 23 '!L:L,'AEO 2026 Table 23 '!$B:$B,"*,"&amp;$A55&amp;",*"),"")</f>
        <v/>
      </c>
      <c r="K55">
        <f>IFERROR((SUMIFS('AEO 2026 Table 23 '!N:N,'AEO 2026 Table 23 '!$B:$B,"*,"&amp;$A55&amp;",*")-SUMIFS('AEO 2026 Table 23 '!M:M,'AEO 2026 Table 23 '!$B:$B,"*,"&amp;$A55&amp;",*"))/SUMIFS('AEO 2026 Table 23 '!M:M,'AEO 2026 Table 23 '!$B:$B,"*,"&amp;$A55&amp;",*"),"")</f>
        <v/>
      </c>
      <c r="L55">
        <f>IFERROR((SUMIFS('AEO 2026 Table 23 '!O:O,'AEO 2026 Table 23 '!$B:$B,"*,"&amp;$A55&amp;",*")-SUMIFS('AEO 2026 Table 23 '!N:N,'AEO 2026 Table 23 '!$B:$B,"*,"&amp;$A55&amp;",*"))/SUMIFS('AEO 2026 Table 23 '!N:N,'AEO 2026 Table 23 '!$B:$B,"*,"&amp;$A55&amp;",*"),"")</f>
        <v/>
      </c>
      <c r="M55">
        <f>IFERROR((SUMIFS('AEO 2026 Table 23 '!P:P,'AEO 2026 Table 23 '!$B:$B,"*,"&amp;$A55&amp;",*")-SUMIFS('AEO 2026 Table 23 '!O:O,'AEO 2026 Table 23 '!$B:$B,"*,"&amp;$A55&amp;",*"))/SUMIFS('AEO 2026 Table 23 '!O:O,'AEO 2026 Table 23 '!$B:$B,"*,"&amp;$A55&amp;",*"),"")</f>
        <v/>
      </c>
      <c r="N55">
        <f>IFERROR((SUMIFS('AEO 2026 Table 23 '!Q:Q,'AEO 2026 Table 23 '!$B:$B,"*,"&amp;$A55&amp;",*")-SUMIFS('AEO 2026 Table 23 '!P:P,'AEO 2026 Table 23 '!$B:$B,"*,"&amp;$A55&amp;",*"))/SUMIFS('AEO 2026 Table 23 '!P:P,'AEO 2026 Table 23 '!$B:$B,"*,"&amp;$A55&amp;",*"),"")</f>
        <v/>
      </c>
      <c r="O55">
        <f>IFERROR((SUMIFS('AEO 2026 Table 23 '!R:R,'AEO 2026 Table 23 '!$B:$B,"*,"&amp;$A55&amp;",*")-SUMIFS('AEO 2026 Table 23 '!Q:Q,'AEO 2026 Table 23 '!$B:$B,"*,"&amp;$A55&amp;",*"))/SUMIFS('AEO 2026 Table 23 '!Q:Q,'AEO 2026 Table 23 '!$B:$B,"*,"&amp;$A55&amp;",*"),"")</f>
        <v/>
      </c>
      <c r="P55">
        <f>IFERROR((SUMIFS('AEO 2026 Table 23 '!S:S,'AEO 2026 Table 23 '!$B:$B,"*,"&amp;$A55&amp;",*")-SUMIFS('AEO 2026 Table 23 '!R:R,'AEO 2026 Table 23 '!$B:$B,"*,"&amp;$A55&amp;",*"))/SUMIFS('AEO 2026 Table 23 '!R:R,'AEO 2026 Table 23 '!$B:$B,"*,"&amp;$A55&amp;",*"),"")</f>
        <v/>
      </c>
      <c r="Q55">
        <f>IFERROR((SUMIFS('AEO 2026 Table 23 '!T:T,'AEO 2026 Table 23 '!$B:$B,"*,"&amp;$A55&amp;",*")-SUMIFS('AEO 2026 Table 23 '!S:S,'AEO 2026 Table 23 '!$B:$B,"*,"&amp;$A55&amp;",*"))/SUMIFS('AEO 2026 Table 23 '!S:S,'AEO 2026 Table 23 '!$B:$B,"*,"&amp;$A55&amp;",*"),"")</f>
        <v/>
      </c>
      <c r="R55">
        <f>IFERROR((SUMIFS('AEO 2026 Table 23 '!U:U,'AEO 2026 Table 23 '!$B:$B,"*,"&amp;$A55&amp;",*")-SUMIFS('AEO 2026 Table 23 '!T:T,'AEO 2026 Table 23 '!$B:$B,"*,"&amp;$A55&amp;",*"))/SUMIFS('AEO 2026 Table 23 '!T:T,'AEO 2026 Table 23 '!$B:$B,"*,"&amp;$A55&amp;",*"),"")</f>
        <v/>
      </c>
      <c r="S55">
        <f>IFERROR((SUMIFS('AEO 2026 Table 23 '!V:V,'AEO 2026 Table 23 '!$B:$B,"*,"&amp;$A55&amp;",*")-SUMIFS('AEO 2026 Table 23 '!U:U,'AEO 2026 Table 23 '!$B:$B,"*,"&amp;$A55&amp;",*"))/SUMIFS('AEO 2026 Table 23 '!U:U,'AEO 2026 Table 23 '!$B:$B,"*,"&amp;$A55&amp;",*"),"")</f>
        <v/>
      </c>
      <c r="T55">
        <f>IFERROR((SUMIFS('AEO 2026 Table 23 '!W:W,'AEO 2026 Table 23 '!$B:$B,"*,"&amp;$A55&amp;",*")-SUMIFS('AEO 2026 Table 23 '!V:V,'AEO 2026 Table 23 '!$B:$B,"*,"&amp;$A55&amp;",*"))/SUMIFS('AEO 2026 Table 23 '!V:V,'AEO 2026 Table 23 '!$B:$B,"*,"&amp;$A55&amp;",*"),"")</f>
        <v/>
      </c>
      <c r="U55">
        <f>IFERROR((SUMIFS('AEO 2026 Table 23 '!X:X,'AEO 2026 Table 23 '!$B:$B,"*,"&amp;$A55&amp;",*")-SUMIFS('AEO 2026 Table 23 '!W:W,'AEO 2026 Table 23 '!$B:$B,"*,"&amp;$A55&amp;",*"))/SUMIFS('AEO 2026 Table 23 '!W:W,'AEO 2026 Table 23 '!$B:$B,"*,"&amp;$A55&amp;",*"),"")</f>
        <v/>
      </c>
      <c r="V55">
        <f>IFERROR((SUMIFS('AEO 2026 Table 23 '!Y:Y,'AEO 2026 Table 23 '!$B:$B,"*,"&amp;$A55&amp;",*")-SUMIFS('AEO 2026 Table 23 '!X:X,'AEO 2026 Table 23 '!$B:$B,"*,"&amp;$A55&amp;",*"))/SUMIFS('AEO 2026 Table 23 '!X:X,'AEO 2026 Table 23 '!$B:$B,"*,"&amp;$A55&amp;",*"),"")</f>
        <v/>
      </c>
      <c r="W55">
        <f>IFERROR((SUMIFS('AEO 2026 Table 23 '!Z:Z,'AEO 2026 Table 23 '!$B:$B,"*,"&amp;$A55&amp;",*")-SUMIFS('AEO 2026 Table 23 '!Y:Y,'AEO 2026 Table 23 '!$B:$B,"*,"&amp;$A55&amp;",*"))/SUMIFS('AEO 2026 Table 23 '!Y:Y,'AEO 2026 Table 23 '!$B:$B,"*,"&amp;$A55&amp;",*"),"")</f>
        <v/>
      </c>
      <c r="X55">
        <f>IFERROR((SUMIFS('AEO 2026 Table 23 '!AA:AA,'AEO 2026 Table 23 '!$B:$B,"*,"&amp;$A55&amp;",*")-SUMIFS('AEO 2026 Table 23 '!Z:Z,'AEO 2026 Table 23 '!$B:$B,"*,"&amp;$A55&amp;",*"))/SUMIFS('AEO 2026 Table 23 '!Z:Z,'AEO 2026 Table 23 '!$B:$B,"*,"&amp;$A55&amp;",*"),"")</f>
        <v/>
      </c>
      <c r="Y55">
        <f>IFERROR((SUMIFS('AEO 2026 Table 23 '!AB:AB,'AEO 2026 Table 23 '!$B:$B,"*,"&amp;$A55&amp;",*")-SUMIFS('AEO 2026 Table 23 '!AA:AA,'AEO 2026 Table 23 '!$B:$B,"*,"&amp;$A55&amp;",*"))/SUMIFS('AEO 2026 Table 23 '!AA:AA,'AEO 2026 Table 23 '!$B:$B,"*,"&amp;$A55&amp;",*"),"")</f>
        <v/>
      </c>
      <c r="Z55">
        <f>IFERROR((SUMIFS('AEO 2026 Table 23 '!AC:AC,'AEO 2026 Table 23 '!$B:$B,"*,"&amp;$A55&amp;",*")-SUMIFS('AEO 2026 Table 23 '!AB:AB,'AEO 2026 Table 23 '!$B:$B,"*,"&amp;$A55&amp;",*"))/SUMIFS('AEO 2026 Table 23 '!AB:AB,'AEO 2026 Table 23 '!$B:$B,"*,"&amp;$A55&amp;",*"),"")</f>
        <v/>
      </c>
      <c r="AA55">
        <f>IFERROR((SUMIFS('AEO 2026 Table 23 '!AD:AD,'AEO 2026 Table 23 '!$B:$B,"*,"&amp;$A55&amp;",*")-SUMIFS('AEO 2026 Table 23 '!AC:AC,'AEO 2026 Table 23 '!$B:$B,"*,"&amp;$A55&amp;",*"))/SUMIFS('AEO 2026 Table 23 '!AC:AC,'AEO 2026 Table 23 '!$B:$B,"*,"&amp;$A55&amp;",*"),"")</f>
        <v/>
      </c>
      <c r="AB55">
        <f>IFERROR((SUMIFS('AEO 2026 Table 23 '!AE:AE,'AEO 2026 Table 23 '!$B:$B,"*,"&amp;$A55&amp;",*")-SUMIFS('AEO 2026 Table 23 '!AD:AD,'AEO 2026 Table 23 '!$B:$B,"*,"&amp;$A55&amp;",*"))/SUMIFS('AEO 2026 Table 23 '!AD:AD,'AEO 2026 Table 23 '!$B:$B,"*,"&amp;$A55&amp;",*"),"")</f>
        <v/>
      </c>
      <c r="AC55">
        <f>IFERROR((SUMIFS('AEO 2026 Table 23 '!AF:AF,'AEO 2026 Table 23 '!$B:$B,"*,"&amp;$A55&amp;",*")-SUMIFS('AEO 2026 Table 23 '!AE:AE,'AEO 2026 Table 23 '!$B:$B,"*,"&amp;$A55&amp;",*"))/SUMIFS('AEO 2026 Table 23 '!AE:AE,'AEO 2026 Table 23 '!$B:$B,"*,"&amp;$A55&amp;",*"),"")</f>
        <v/>
      </c>
    </row>
    <row r="59">
      <c r="A59" s="1" t="inlineStr">
        <is>
          <t>Chosen rates by year (AEO where available, else BLS compound)</t>
        </is>
      </c>
    </row>
    <row r="60">
      <c r="C60" s="1" t="n">
        <v>2024</v>
      </c>
      <c r="D60" s="1" t="n">
        <v>2025</v>
      </c>
      <c r="E60" s="1" t="n">
        <v>2026</v>
      </c>
      <c r="F60" s="1" t="n">
        <v>2027</v>
      </c>
      <c r="G60" s="1" t="n">
        <v>2028</v>
      </c>
      <c r="H60" s="1" t="n">
        <v>2029</v>
      </c>
      <c r="I60" s="1" t="n">
        <v>2030</v>
      </c>
      <c r="J60" s="1" t="n">
        <v>2031</v>
      </c>
      <c r="K60" s="1" t="n">
        <v>2032</v>
      </c>
      <c r="L60" s="1" t="n">
        <v>2033</v>
      </c>
      <c r="M60" s="1" t="n">
        <v>2034</v>
      </c>
      <c r="N60" s="1" t="n">
        <v>2035</v>
      </c>
      <c r="O60" s="1" t="n">
        <v>2036</v>
      </c>
      <c r="P60" s="1" t="n">
        <v>2037</v>
      </c>
      <c r="Q60" s="1" t="n">
        <v>2038</v>
      </c>
      <c r="R60" s="1" t="n">
        <v>2039</v>
      </c>
      <c r="S60" s="1" t="n">
        <v>2040</v>
      </c>
      <c r="T60" s="1" t="n">
        <v>2041</v>
      </c>
      <c r="U60" s="1" t="n">
        <v>2042</v>
      </c>
      <c r="V60" s="1" t="n">
        <v>2043</v>
      </c>
      <c r="W60" s="1" t="n">
        <v>2044</v>
      </c>
      <c r="X60" s="1" t="n">
        <v>2045</v>
      </c>
      <c r="Y60" s="1" t="n">
        <v>2046</v>
      </c>
      <c r="Z60" s="1" t="n">
        <v>2047</v>
      </c>
      <c r="AA60" s="1" t="n">
        <v>2048</v>
      </c>
      <c r="AB60" s="1" t="n">
        <v>2049</v>
      </c>
      <c r="AC60" s="1" t="n">
        <v>2050</v>
      </c>
    </row>
    <row r="61">
      <c r="A61" t="inlineStr">
        <is>
          <t>ISIC 01</t>
        </is>
      </c>
      <c r="C61" t="n">
        <v>0</v>
      </c>
      <c r="D61">
        <f>IF(D4="",$B4,D4)</f>
        <v/>
      </c>
      <c r="E61">
        <f>IF(E4="",$B4,E4)</f>
        <v/>
      </c>
      <c r="F61">
        <f>IF(F4="",$B4,F4)</f>
        <v/>
      </c>
      <c r="G61">
        <f>IF(G4="",$B4,G4)</f>
        <v/>
      </c>
      <c r="H61">
        <f>IF(H4="",$B4,H4)</f>
        <v/>
      </c>
      <c r="I61">
        <f>IF(I4="",$B4,I4)</f>
        <v/>
      </c>
      <c r="J61">
        <f>IF(J4="",$B4,J4)</f>
        <v/>
      </c>
      <c r="K61">
        <f>IF(K4="",$B4,K4)</f>
        <v/>
      </c>
      <c r="L61">
        <f>IF(L4="",$B4,L4)</f>
        <v/>
      </c>
      <c r="M61">
        <f>IF(M4="",$B4,M4)</f>
        <v/>
      </c>
      <c r="N61">
        <f>IF(N4="",$B4,N4)</f>
        <v/>
      </c>
      <c r="O61">
        <f>IF(O4="",$B4,O4)</f>
        <v/>
      </c>
      <c r="P61">
        <f>IF(P4="",$B4,P4)</f>
        <v/>
      </c>
      <c r="Q61">
        <f>IF(Q4="",$B4,Q4)</f>
        <v/>
      </c>
      <c r="R61">
        <f>IF(R4="",$B4,R4)</f>
        <v/>
      </c>
      <c r="S61">
        <f>IF(S4="",$B4,S4)</f>
        <v/>
      </c>
      <c r="T61">
        <f>IF(T4="",$B4,T4)</f>
        <v/>
      </c>
      <c r="U61">
        <f>IF(U4="",$B4,U4)</f>
        <v/>
      </c>
      <c r="V61">
        <f>IF(V4="",$B4,V4)</f>
        <v/>
      </c>
      <c r="W61">
        <f>IF(W4="",$B4,W4)</f>
        <v/>
      </c>
      <c r="X61">
        <f>IF(X4="",$B4,X4)</f>
        <v/>
      </c>
      <c r="Y61">
        <f>IF(Y4="",$B4,Y4)</f>
        <v/>
      </c>
      <c r="Z61">
        <f>IF(Z4="",$B4,Z4)</f>
        <v/>
      </c>
      <c r="AA61">
        <f>IF(AA4="",$B4,AA4)</f>
        <v/>
      </c>
      <c r="AB61">
        <f>IF(AB4="",$B4,AB4)</f>
        <v/>
      </c>
      <c r="AC61">
        <f>IF(AC4="",$B4,AC4)</f>
        <v/>
      </c>
    </row>
    <row r="62">
      <c r="A62" t="inlineStr">
        <is>
          <t>ISIC 02</t>
        </is>
      </c>
      <c r="C62" t="n">
        <v>0</v>
      </c>
      <c r="D62">
        <f>IF(D5="",$B5,D5)</f>
        <v/>
      </c>
      <c r="E62">
        <f>IF(E5="",$B5,E5)</f>
        <v/>
      </c>
      <c r="F62">
        <f>IF(F5="",$B5,F5)</f>
        <v/>
      </c>
      <c r="G62">
        <f>IF(G5="",$B5,G5)</f>
        <v/>
      </c>
      <c r="H62">
        <f>IF(H5="",$B5,H5)</f>
        <v/>
      </c>
      <c r="I62">
        <f>IF(I5="",$B5,I5)</f>
        <v/>
      </c>
      <c r="J62">
        <f>IF(J5="",$B5,J5)</f>
        <v/>
      </c>
      <c r="K62">
        <f>IF(K5="",$B5,K5)</f>
        <v/>
      </c>
      <c r="L62">
        <f>IF(L5="",$B5,L5)</f>
        <v/>
      </c>
      <c r="M62">
        <f>IF(M5="",$B5,M5)</f>
        <v/>
      </c>
      <c r="N62">
        <f>IF(N5="",$B5,N5)</f>
        <v/>
      </c>
      <c r="O62">
        <f>IF(O5="",$B5,O5)</f>
        <v/>
      </c>
      <c r="P62">
        <f>IF(P5="",$B5,P5)</f>
        <v/>
      </c>
      <c r="Q62">
        <f>IF(Q5="",$B5,Q5)</f>
        <v/>
      </c>
      <c r="R62">
        <f>IF(R5="",$B5,R5)</f>
        <v/>
      </c>
      <c r="S62">
        <f>IF(S5="",$B5,S5)</f>
        <v/>
      </c>
      <c r="T62">
        <f>IF(T5="",$B5,T5)</f>
        <v/>
      </c>
      <c r="U62">
        <f>IF(U5="",$B5,U5)</f>
        <v/>
      </c>
      <c r="V62">
        <f>IF(V5="",$B5,V5)</f>
        <v/>
      </c>
      <c r="W62">
        <f>IF(W5="",$B5,W5)</f>
        <v/>
      </c>
      <c r="X62">
        <f>IF(X5="",$B5,X5)</f>
        <v/>
      </c>
      <c r="Y62">
        <f>IF(Y5="",$B5,Y5)</f>
        <v/>
      </c>
      <c r="Z62">
        <f>IF(Z5="",$B5,Z5)</f>
        <v/>
      </c>
      <c r="AA62">
        <f>IF(AA5="",$B5,AA5)</f>
        <v/>
      </c>
      <c r="AB62">
        <f>IF(AB5="",$B5,AB5)</f>
        <v/>
      </c>
      <c r="AC62">
        <f>IF(AC5="",$B5,AC5)</f>
        <v/>
      </c>
    </row>
    <row r="63">
      <c r="A63" t="inlineStr">
        <is>
          <t>ISIC 03</t>
        </is>
      </c>
      <c r="C63" t="n">
        <v>0</v>
      </c>
      <c r="D63">
        <f>IF(D6="",$B6,D6)</f>
        <v/>
      </c>
      <c r="E63">
        <f>IF(E6="",$B6,E6)</f>
        <v/>
      </c>
      <c r="F63">
        <f>IF(F6="",$B6,F6)</f>
        <v/>
      </c>
      <c r="G63">
        <f>IF(G6="",$B6,G6)</f>
        <v/>
      </c>
      <c r="H63">
        <f>IF(H6="",$B6,H6)</f>
        <v/>
      </c>
      <c r="I63">
        <f>IF(I6="",$B6,I6)</f>
        <v/>
      </c>
      <c r="J63">
        <f>IF(J6="",$B6,J6)</f>
        <v/>
      </c>
      <c r="K63">
        <f>IF(K6="",$B6,K6)</f>
        <v/>
      </c>
      <c r="L63">
        <f>IF(L6="",$B6,L6)</f>
        <v/>
      </c>
      <c r="M63">
        <f>IF(M6="",$B6,M6)</f>
        <v/>
      </c>
      <c r="N63">
        <f>IF(N6="",$B6,N6)</f>
        <v/>
      </c>
      <c r="O63">
        <f>IF(O6="",$B6,O6)</f>
        <v/>
      </c>
      <c r="P63">
        <f>IF(P6="",$B6,P6)</f>
        <v/>
      </c>
      <c r="Q63">
        <f>IF(Q6="",$B6,Q6)</f>
        <v/>
      </c>
      <c r="R63">
        <f>IF(R6="",$B6,R6)</f>
        <v/>
      </c>
      <c r="S63">
        <f>IF(S6="",$B6,S6)</f>
        <v/>
      </c>
      <c r="T63">
        <f>IF(T6="",$B6,T6)</f>
        <v/>
      </c>
      <c r="U63">
        <f>IF(U6="",$B6,U6)</f>
        <v/>
      </c>
      <c r="V63">
        <f>IF(V6="",$B6,V6)</f>
        <v/>
      </c>
      <c r="W63">
        <f>IF(W6="",$B6,W6)</f>
        <v/>
      </c>
      <c r="X63">
        <f>IF(X6="",$B6,X6)</f>
        <v/>
      </c>
      <c r="Y63">
        <f>IF(Y6="",$B6,Y6)</f>
        <v/>
      </c>
      <c r="Z63">
        <f>IF(Z6="",$B6,Z6)</f>
        <v/>
      </c>
      <c r="AA63">
        <f>IF(AA6="",$B6,AA6)</f>
        <v/>
      </c>
      <c r="AB63">
        <f>IF(AB6="",$B6,AB6)</f>
        <v/>
      </c>
      <c r="AC63">
        <f>IF(AC6="",$B6,AC6)</f>
        <v/>
      </c>
    </row>
    <row r="64">
      <c r="A64" t="inlineStr">
        <is>
          <t>ISIC 05</t>
        </is>
      </c>
      <c r="C64" t="n">
        <v>0</v>
      </c>
      <c r="D64">
        <f>IF(D7="",$B7,D7)</f>
        <v/>
      </c>
      <c r="E64">
        <f>IF(E7="",$B7,E7)</f>
        <v/>
      </c>
      <c r="F64">
        <f>IF(F7="",$B7,F7)</f>
        <v/>
      </c>
      <c r="G64">
        <f>IF(G7="",$B7,G7)</f>
        <v/>
      </c>
      <c r="H64">
        <f>IF(H7="",$B7,H7)</f>
        <v/>
      </c>
      <c r="I64">
        <f>IF(I7="",$B7,I7)</f>
        <v/>
      </c>
      <c r="J64">
        <f>IF(J7="",$B7,J7)</f>
        <v/>
      </c>
      <c r="K64">
        <f>IF(K7="",$B7,K7)</f>
        <v/>
      </c>
      <c r="L64">
        <f>IF(L7="",$B7,L7)</f>
        <v/>
      </c>
      <c r="M64">
        <f>IF(M7="",$B7,M7)</f>
        <v/>
      </c>
      <c r="N64">
        <f>IF(N7="",$B7,N7)</f>
        <v/>
      </c>
      <c r="O64">
        <f>IF(O7="",$B7,O7)</f>
        <v/>
      </c>
      <c r="P64">
        <f>IF(P7="",$B7,P7)</f>
        <v/>
      </c>
      <c r="Q64">
        <f>IF(Q7="",$B7,Q7)</f>
        <v/>
      </c>
      <c r="R64">
        <f>IF(R7="",$B7,R7)</f>
        <v/>
      </c>
      <c r="S64">
        <f>IF(S7="",$B7,S7)</f>
        <v/>
      </c>
      <c r="T64">
        <f>IF(T7="",$B7,T7)</f>
        <v/>
      </c>
      <c r="U64">
        <f>IF(U7="",$B7,U7)</f>
        <v/>
      </c>
      <c r="V64">
        <f>IF(V7="",$B7,V7)</f>
        <v/>
      </c>
      <c r="W64">
        <f>IF(W7="",$B7,W7)</f>
        <v/>
      </c>
      <c r="X64">
        <f>IF(X7="",$B7,X7)</f>
        <v/>
      </c>
      <c r="Y64">
        <f>IF(Y7="",$B7,Y7)</f>
        <v/>
      </c>
      <c r="Z64">
        <f>IF(Z7="",$B7,Z7)</f>
        <v/>
      </c>
      <c r="AA64">
        <f>IF(AA7="",$B7,AA7)</f>
        <v/>
      </c>
      <c r="AB64">
        <f>IF(AB7="",$B7,AB7)</f>
        <v/>
      </c>
      <c r="AC64">
        <f>IF(AC7="",$B7,AC7)</f>
        <v/>
      </c>
    </row>
    <row r="65">
      <c r="A65" t="inlineStr">
        <is>
          <t>ISIC 06</t>
        </is>
      </c>
      <c r="C65" t="n">
        <v>0</v>
      </c>
      <c r="D65">
        <f>IF(D8="",$B8,D8)</f>
        <v/>
      </c>
      <c r="E65">
        <f>IF(E8="",$B8,E8)</f>
        <v/>
      </c>
      <c r="F65">
        <f>IF(F8="",$B8,F8)</f>
        <v/>
      </c>
      <c r="G65">
        <f>IF(G8="",$B8,G8)</f>
        <v/>
      </c>
      <c r="H65">
        <f>IF(H8="",$B8,H8)</f>
        <v/>
      </c>
      <c r="I65">
        <f>IF(I8="",$B8,I8)</f>
        <v/>
      </c>
      <c r="J65">
        <f>IF(J8="",$B8,J8)</f>
        <v/>
      </c>
      <c r="K65">
        <f>IF(K8="",$B8,K8)</f>
        <v/>
      </c>
      <c r="L65">
        <f>IF(L8="",$B8,L8)</f>
        <v/>
      </c>
      <c r="M65">
        <f>IF(M8="",$B8,M8)</f>
        <v/>
      </c>
      <c r="N65">
        <f>IF(N8="",$B8,N8)</f>
        <v/>
      </c>
      <c r="O65">
        <f>IF(O8="",$B8,O8)</f>
        <v/>
      </c>
      <c r="P65">
        <f>IF(P8="",$B8,P8)</f>
        <v/>
      </c>
      <c r="Q65">
        <f>IF(Q8="",$B8,Q8)</f>
        <v/>
      </c>
      <c r="R65">
        <f>IF(R8="",$B8,R8)</f>
        <v/>
      </c>
      <c r="S65">
        <f>IF(S8="",$B8,S8)</f>
        <v/>
      </c>
      <c r="T65">
        <f>IF(T8="",$B8,T8)</f>
        <v/>
      </c>
      <c r="U65">
        <f>IF(U8="",$B8,U8)</f>
        <v/>
      </c>
      <c r="V65">
        <f>IF(V8="",$B8,V8)</f>
        <v/>
      </c>
      <c r="W65">
        <f>IF(W8="",$B8,W8)</f>
        <v/>
      </c>
      <c r="X65">
        <f>IF(X8="",$B8,X8)</f>
        <v/>
      </c>
      <c r="Y65">
        <f>IF(Y8="",$B8,Y8)</f>
        <v/>
      </c>
      <c r="Z65">
        <f>IF(Z8="",$B8,Z8)</f>
        <v/>
      </c>
      <c r="AA65">
        <f>IF(AA8="",$B8,AA8)</f>
        <v/>
      </c>
      <c r="AB65">
        <f>IF(AB8="",$B8,AB8)</f>
        <v/>
      </c>
      <c r="AC65">
        <f>IF(AC8="",$B8,AC8)</f>
        <v/>
      </c>
    </row>
    <row r="66">
      <c r="A66" t="inlineStr">
        <is>
          <t>ISIC 07</t>
        </is>
      </c>
      <c r="C66" t="n">
        <v>0</v>
      </c>
      <c r="D66">
        <f>IF(D9="",$B9,D9)</f>
        <v/>
      </c>
      <c r="E66">
        <f>IF(E9="",$B9,E9)</f>
        <v/>
      </c>
      <c r="F66">
        <f>IF(F9="",$B9,F9)</f>
        <v/>
      </c>
      <c r="G66">
        <f>IF(G9="",$B9,G9)</f>
        <v/>
      </c>
      <c r="H66">
        <f>IF(H9="",$B9,H9)</f>
        <v/>
      </c>
      <c r="I66">
        <f>IF(I9="",$B9,I9)</f>
        <v/>
      </c>
      <c r="J66">
        <f>IF(J9="",$B9,J9)</f>
        <v/>
      </c>
      <c r="K66">
        <f>IF(K9="",$B9,K9)</f>
        <v/>
      </c>
      <c r="L66">
        <f>IF(L9="",$B9,L9)</f>
        <v/>
      </c>
      <c r="M66">
        <f>IF(M9="",$B9,M9)</f>
        <v/>
      </c>
      <c r="N66">
        <f>IF(N9="",$B9,N9)</f>
        <v/>
      </c>
      <c r="O66">
        <f>IF(O9="",$B9,O9)</f>
        <v/>
      </c>
      <c r="P66">
        <f>IF(P9="",$B9,P9)</f>
        <v/>
      </c>
      <c r="Q66">
        <f>IF(Q9="",$B9,Q9)</f>
        <v/>
      </c>
      <c r="R66">
        <f>IF(R9="",$B9,R9)</f>
        <v/>
      </c>
      <c r="S66">
        <f>IF(S9="",$B9,S9)</f>
        <v/>
      </c>
      <c r="T66">
        <f>IF(T9="",$B9,T9)</f>
        <v/>
      </c>
      <c r="U66">
        <f>IF(U9="",$B9,U9)</f>
        <v/>
      </c>
      <c r="V66">
        <f>IF(V9="",$B9,V9)</f>
        <v/>
      </c>
      <c r="W66">
        <f>IF(W9="",$B9,W9)</f>
        <v/>
      </c>
      <c r="X66">
        <f>IF(X9="",$B9,X9)</f>
        <v/>
      </c>
      <c r="Y66">
        <f>IF(Y9="",$B9,Y9)</f>
        <v/>
      </c>
      <c r="Z66">
        <f>IF(Z9="",$B9,Z9)</f>
        <v/>
      </c>
      <c r="AA66">
        <f>IF(AA9="",$B9,AA9)</f>
        <v/>
      </c>
      <c r="AB66">
        <f>IF(AB9="",$B9,AB9)</f>
        <v/>
      </c>
      <c r="AC66">
        <f>IF(AC9="",$B9,AC9)</f>
        <v/>
      </c>
    </row>
    <row r="67">
      <c r="A67" t="inlineStr">
        <is>
          <t>ISIC 08</t>
        </is>
      </c>
      <c r="C67" t="n">
        <v>0</v>
      </c>
      <c r="D67">
        <f>IF(D10="",$B10,D10)</f>
        <v/>
      </c>
      <c r="E67">
        <f>IF(E10="",$B10,E10)</f>
        <v/>
      </c>
      <c r="F67">
        <f>IF(F10="",$B10,F10)</f>
        <v/>
      </c>
      <c r="G67">
        <f>IF(G10="",$B10,G10)</f>
        <v/>
      </c>
      <c r="H67">
        <f>IF(H10="",$B10,H10)</f>
        <v/>
      </c>
      <c r="I67">
        <f>IF(I10="",$B10,I10)</f>
        <v/>
      </c>
      <c r="J67">
        <f>IF(J10="",$B10,J10)</f>
        <v/>
      </c>
      <c r="K67">
        <f>IF(K10="",$B10,K10)</f>
        <v/>
      </c>
      <c r="L67">
        <f>IF(L10="",$B10,L10)</f>
        <v/>
      </c>
      <c r="M67">
        <f>IF(M10="",$B10,M10)</f>
        <v/>
      </c>
      <c r="N67">
        <f>IF(N10="",$B10,N10)</f>
        <v/>
      </c>
      <c r="O67">
        <f>IF(O10="",$B10,O10)</f>
        <v/>
      </c>
      <c r="P67">
        <f>IF(P10="",$B10,P10)</f>
        <v/>
      </c>
      <c r="Q67">
        <f>IF(Q10="",$B10,Q10)</f>
        <v/>
      </c>
      <c r="R67">
        <f>IF(R10="",$B10,R10)</f>
        <v/>
      </c>
      <c r="S67">
        <f>IF(S10="",$B10,S10)</f>
        <v/>
      </c>
      <c r="T67">
        <f>IF(T10="",$B10,T10)</f>
        <v/>
      </c>
      <c r="U67">
        <f>IF(U10="",$B10,U10)</f>
        <v/>
      </c>
      <c r="V67">
        <f>IF(V10="",$B10,V10)</f>
        <v/>
      </c>
      <c r="W67">
        <f>IF(W10="",$B10,W10)</f>
        <v/>
      </c>
      <c r="X67">
        <f>IF(X10="",$B10,X10)</f>
        <v/>
      </c>
      <c r="Y67">
        <f>IF(Y10="",$B10,Y10)</f>
        <v/>
      </c>
      <c r="Z67">
        <f>IF(Z10="",$B10,Z10)</f>
        <v/>
      </c>
      <c r="AA67">
        <f>IF(AA10="",$B10,AA10)</f>
        <v/>
      </c>
      <c r="AB67">
        <f>IF(AB10="",$B10,AB10)</f>
        <v/>
      </c>
      <c r="AC67">
        <f>IF(AC10="",$B10,AC10)</f>
        <v/>
      </c>
    </row>
    <row r="68">
      <c r="A68" t="inlineStr">
        <is>
          <t>ISIC 09</t>
        </is>
      </c>
      <c r="C68" t="n">
        <v>0</v>
      </c>
      <c r="D68">
        <f>IF(D11="",$B11,D11)</f>
        <v/>
      </c>
      <c r="E68">
        <f>IF(E11="",$B11,E11)</f>
        <v/>
      </c>
      <c r="F68">
        <f>IF(F11="",$B11,F11)</f>
        <v/>
      </c>
      <c r="G68">
        <f>IF(G11="",$B11,G11)</f>
        <v/>
      </c>
      <c r="H68">
        <f>IF(H11="",$B11,H11)</f>
        <v/>
      </c>
      <c r="I68">
        <f>IF(I11="",$B11,I11)</f>
        <v/>
      </c>
      <c r="J68">
        <f>IF(J11="",$B11,J11)</f>
        <v/>
      </c>
      <c r="K68">
        <f>IF(K11="",$B11,K11)</f>
        <v/>
      </c>
      <c r="L68">
        <f>IF(L11="",$B11,L11)</f>
        <v/>
      </c>
      <c r="M68">
        <f>IF(M11="",$B11,M11)</f>
        <v/>
      </c>
      <c r="N68">
        <f>IF(N11="",$B11,N11)</f>
        <v/>
      </c>
      <c r="O68">
        <f>IF(O11="",$B11,O11)</f>
        <v/>
      </c>
      <c r="P68">
        <f>IF(P11="",$B11,P11)</f>
        <v/>
      </c>
      <c r="Q68">
        <f>IF(Q11="",$B11,Q11)</f>
        <v/>
      </c>
      <c r="R68">
        <f>IF(R11="",$B11,R11)</f>
        <v/>
      </c>
      <c r="S68">
        <f>IF(S11="",$B11,S11)</f>
        <v/>
      </c>
      <c r="T68">
        <f>IF(T11="",$B11,T11)</f>
        <v/>
      </c>
      <c r="U68">
        <f>IF(U11="",$B11,U11)</f>
        <v/>
      </c>
      <c r="V68">
        <f>IF(V11="",$B11,V11)</f>
        <v/>
      </c>
      <c r="W68">
        <f>IF(W11="",$B11,W11)</f>
        <v/>
      </c>
      <c r="X68">
        <f>IF(X11="",$B11,X11)</f>
        <v/>
      </c>
      <c r="Y68">
        <f>IF(Y11="",$B11,Y11)</f>
        <v/>
      </c>
      <c r="Z68">
        <f>IF(Z11="",$B11,Z11)</f>
        <v/>
      </c>
      <c r="AA68">
        <f>IF(AA11="",$B11,AA11)</f>
        <v/>
      </c>
      <c r="AB68">
        <f>IF(AB11="",$B11,AB11)</f>
        <v/>
      </c>
      <c r="AC68">
        <f>IF(AC11="",$B11,AC11)</f>
        <v/>
      </c>
    </row>
    <row r="69">
      <c r="A69" t="inlineStr">
        <is>
          <t>ISIC 10T12</t>
        </is>
      </c>
      <c r="C69" t="n">
        <v>0</v>
      </c>
      <c r="D69">
        <f>IF(D12="",$B12,D12)</f>
        <v/>
      </c>
      <c r="E69">
        <f>IF(E12="",$B12,E12)</f>
        <v/>
      </c>
      <c r="F69">
        <f>IF(F12="",$B12,F12)</f>
        <v/>
      </c>
      <c r="G69">
        <f>IF(G12="",$B12,G12)</f>
        <v/>
      </c>
      <c r="H69">
        <f>IF(H12="",$B12,H12)</f>
        <v/>
      </c>
      <c r="I69">
        <f>IF(I12="",$B12,I12)</f>
        <v/>
      </c>
      <c r="J69">
        <f>IF(J12="",$B12,J12)</f>
        <v/>
      </c>
      <c r="K69">
        <f>IF(K12="",$B12,K12)</f>
        <v/>
      </c>
      <c r="L69">
        <f>IF(L12="",$B12,L12)</f>
        <v/>
      </c>
      <c r="M69">
        <f>IF(M12="",$B12,M12)</f>
        <v/>
      </c>
      <c r="N69">
        <f>IF(N12="",$B12,N12)</f>
        <v/>
      </c>
      <c r="O69">
        <f>IF(O12="",$B12,O12)</f>
        <v/>
      </c>
      <c r="P69">
        <f>IF(P12="",$B12,P12)</f>
        <v/>
      </c>
      <c r="Q69">
        <f>IF(Q12="",$B12,Q12)</f>
        <v/>
      </c>
      <c r="R69">
        <f>IF(R12="",$B12,R12)</f>
        <v/>
      </c>
      <c r="S69">
        <f>IF(S12="",$B12,S12)</f>
        <v/>
      </c>
      <c r="T69">
        <f>IF(T12="",$B12,T12)</f>
        <v/>
      </c>
      <c r="U69">
        <f>IF(U12="",$B12,U12)</f>
        <v/>
      </c>
      <c r="V69">
        <f>IF(V12="",$B12,V12)</f>
        <v/>
      </c>
      <c r="W69">
        <f>IF(W12="",$B12,W12)</f>
        <v/>
      </c>
      <c r="X69">
        <f>IF(X12="",$B12,X12)</f>
        <v/>
      </c>
      <c r="Y69">
        <f>IF(Y12="",$B12,Y12)</f>
        <v/>
      </c>
      <c r="Z69">
        <f>IF(Z12="",$B12,Z12)</f>
        <v/>
      </c>
      <c r="AA69">
        <f>IF(AA12="",$B12,AA12)</f>
        <v/>
      </c>
      <c r="AB69">
        <f>IF(AB12="",$B12,AB12)</f>
        <v/>
      </c>
      <c r="AC69">
        <f>IF(AC12="",$B12,AC12)</f>
        <v/>
      </c>
    </row>
    <row r="70">
      <c r="A70" t="inlineStr">
        <is>
          <t>ISIC 13T15</t>
        </is>
      </c>
      <c r="C70" t="n">
        <v>0</v>
      </c>
      <c r="D70">
        <f>IF(D13="",$B13,D13)</f>
        <v/>
      </c>
      <c r="E70">
        <f>IF(E13="",$B13,E13)</f>
        <v/>
      </c>
      <c r="F70">
        <f>IF(F13="",$B13,F13)</f>
        <v/>
      </c>
      <c r="G70">
        <f>IF(G13="",$B13,G13)</f>
        <v/>
      </c>
      <c r="H70">
        <f>IF(H13="",$B13,H13)</f>
        <v/>
      </c>
      <c r="I70">
        <f>IF(I13="",$B13,I13)</f>
        <v/>
      </c>
      <c r="J70">
        <f>IF(J13="",$B13,J13)</f>
        <v/>
      </c>
      <c r="K70">
        <f>IF(K13="",$B13,K13)</f>
        <v/>
      </c>
      <c r="L70">
        <f>IF(L13="",$B13,L13)</f>
        <v/>
      </c>
      <c r="M70">
        <f>IF(M13="",$B13,M13)</f>
        <v/>
      </c>
      <c r="N70">
        <f>IF(N13="",$B13,N13)</f>
        <v/>
      </c>
      <c r="O70">
        <f>IF(O13="",$B13,O13)</f>
        <v/>
      </c>
      <c r="P70">
        <f>IF(P13="",$B13,P13)</f>
        <v/>
      </c>
      <c r="Q70">
        <f>IF(Q13="",$B13,Q13)</f>
        <v/>
      </c>
      <c r="R70">
        <f>IF(R13="",$B13,R13)</f>
        <v/>
      </c>
      <c r="S70">
        <f>IF(S13="",$B13,S13)</f>
        <v/>
      </c>
      <c r="T70">
        <f>IF(T13="",$B13,T13)</f>
        <v/>
      </c>
      <c r="U70">
        <f>IF(U13="",$B13,U13)</f>
        <v/>
      </c>
      <c r="V70">
        <f>IF(V13="",$B13,V13)</f>
        <v/>
      </c>
      <c r="W70">
        <f>IF(W13="",$B13,W13)</f>
        <v/>
      </c>
      <c r="X70">
        <f>IF(X13="",$B13,X13)</f>
        <v/>
      </c>
      <c r="Y70">
        <f>IF(Y13="",$B13,Y13)</f>
        <v/>
      </c>
      <c r="Z70">
        <f>IF(Z13="",$B13,Z13)</f>
        <v/>
      </c>
      <c r="AA70">
        <f>IF(AA13="",$B13,AA13)</f>
        <v/>
      </c>
      <c r="AB70">
        <f>IF(AB13="",$B13,AB13)</f>
        <v/>
      </c>
      <c r="AC70">
        <f>IF(AC13="",$B13,AC13)</f>
        <v/>
      </c>
    </row>
    <row r="71">
      <c r="A71" t="inlineStr">
        <is>
          <t>ISIC 16</t>
        </is>
      </c>
      <c r="C71" t="n">
        <v>0</v>
      </c>
      <c r="D71">
        <f>IF(D14="",$B14,D14)</f>
        <v/>
      </c>
      <c r="E71">
        <f>IF(E14="",$B14,E14)</f>
        <v/>
      </c>
      <c r="F71">
        <f>IF(F14="",$B14,F14)</f>
        <v/>
      </c>
      <c r="G71">
        <f>IF(G14="",$B14,G14)</f>
        <v/>
      </c>
      <c r="H71">
        <f>IF(H14="",$B14,H14)</f>
        <v/>
      </c>
      <c r="I71">
        <f>IF(I14="",$B14,I14)</f>
        <v/>
      </c>
      <c r="J71">
        <f>IF(J14="",$B14,J14)</f>
        <v/>
      </c>
      <c r="K71">
        <f>IF(K14="",$B14,K14)</f>
        <v/>
      </c>
      <c r="L71">
        <f>IF(L14="",$B14,L14)</f>
        <v/>
      </c>
      <c r="M71">
        <f>IF(M14="",$B14,M14)</f>
        <v/>
      </c>
      <c r="N71">
        <f>IF(N14="",$B14,N14)</f>
        <v/>
      </c>
      <c r="O71">
        <f>IF(O14="",$B14,O14)</f>
        <v/>
      </c>
      <c r="P71">
        <f>IF(P14="",$B14,P14)</f>
        <v/>
      </c>
      <c r="Q71">
        <f>IF(Q14="",$B14,Q14)</f>
        <v/>
      </c>
      <c r="R71">
        <f>IF(R14="",$B14,R14)</f>
        <v/>
      </c>
      <c r="S71">
        <f>IF(S14="",$B14,S14)</f>
        <v/>
      </c>
      <c r="T71">
        <f>IF(T14="",$B14,T14)</f>
        <v/>
      </c>
      <c r="U71">
        <f>IF(U14="",$B14,U14)</f>
        <v/>
      </c>
      <c r="V71">
        <f>IF(V14="",$B14,V14)</f>
        <v/>
      </c>
      <c r="W71">
        <f>IF(W14="",$B14,W14)</f>
        <v/>
      </c>
      <c r="X71">
        <f>IF(X14="",$B14,X14)</f>
        <v/>
      </c>
      <c r="Y71">
        <f>IF(Y14="",$B14,Y14)</f>
        <v/>
      </c>
      <c r="Z71">
        <f>IF(Z14="",$B14,Z14)</f>
        <v/>
      </c>
      <c r="AA71">
        <f>IF(AA14="",$B14,AA14)</f>
        <v/>
      </c>
      <c r="AB71">
        <f>IF(AB14="",$B14,AB14)</f>
        <v/>
      </c>
      <c r="AC71">
        <f>IF(AC14="",$B14,AC14)</f>
        <v/>
      </c>
    </row>
    <row r="72">
      <c r="A72" t="inlineStr">
        <is>
          <t>ISIC 17T18</t>
        </is>
      </c>
      <c r="C72" t="n">
        <v>0</v>
      </c>
      <c r="D72">
        <f>IF(D15="",$B15,D15)</f>
        <v/>
      </c>
      <c r="E72">
        <f>IF(E15="",$B15,E15)</f>
        <v/>
      </c>
      <c r="F72">
        <f>IF(F15="",$B15,F15)</f>
        <v/>
      </c>
      <c r="G72">
        <f>IF(G15="",$B15,G15)</f>
        <v/>
      </c>
      <c r="H72">
        <f>IF(H15="",$B15,H15)</f>
        <v/>
      </c>
      <c r="I72">
        <f>IF(I15="",$B15,I15)</f>
        <v/>
      </c>
      <c r="J72">
        <f>IF(J15="",$B15,J15)</f>
        <v/>
      </c>
      <c r="K72">
        <f>IF(K15="",$B15,K15)</f>
        <v/>
      </c>
      <c r="L72">
        <f>IF(L15="",$B15,L15)</f>
        <v/>
      </c>
      <c r="M72">
        <f>IF(M15="",$B15,M15)</f>
        <v/>
      </c>
      <c r="N72">
        <f>IF(N15="",$B15,N15)</f>
        <v/>
      </c>
      <c r="O72">
        <f>IF(O15="",$B15,O15)</f>
        <v/>
      </c>
      <c r="P72">
        <f>IF(P15="",$B15,P15)</f>
        <v/>
      </c>
      <c r="Q72">
        <f>IF(Q15="",$B15,Q15)</f>
        <v/>
      </c>
      <c r="R72">
        <f>IF(R15="",$B15,R15)</f>
        <v/>
      </c>
      <c r="S72">
        <f>IF(S15="",$B15,S15)</f>
        <v/>
      </c>
      <c r="T72">
        <f>IF(T15="",$B15,T15)</f>
        <v/>
      </c>
      <c r="U72">
        <f>IF(U15="",$B15,U15)</f>
        <v/>
      </c>
      <c r="V72">
        <f>IF(V15="",$B15,V15)</f>
        <v/>
      </c>
      <c r="W72">
        <f>IF(W15="",$B15,W15)</f>
        <v/>
      </c>
      <c r="X72">
        <f>IF(X15="",$B15,X15)</f>
        <v/>
      </c>
      <c r="Y72">
        <f>IF(Y15="",$B15,Y15)</f>
        <v/>
      </c>
      <c r="Z72">
        <f>IF(Z15="",$B15,Z15)</f>
        <v/>
      </c>
      <c r="AA72">
        <f>IF(AA15="",$B15,AA15)</f>
        <v/>
      </c>
      <c r="AB72">
        <f>IF(AB15="",$B15,AB15)</f>
        <v/>
      </c>
      <c r="AC72">
        <f>IF(AC15="",$B15,AC15)</f>
        <v/>
      </c>
    </row>
    <row r="73">
      <c r="A73" t="inlineStr">
        <is>
          <t>ISIC 19</t>
        </is>
      </c>
      <c r="C73" t="n">
        <v>0</v>
      </c>
      <c r="D73">
        <f>IF(D16="",$B16,D16)</f>
        <v/>
      </c>
      <c r="E73">
        <f>IF(E16="",$B16,E16)</f>
        <v/>
      </c>
      <c r="F73">
        <f>IF(F16="",$B16,F16)</f>
        <v/>
      </c>
      <c r="G73">
        <f>IF(G16="",$B16,G16)</f>
        <v/>
      </c>
      <c r="H73">
        <f>IF(H16="",$B16,H16)</f>
        <v/>
      </c>
      <c r="I73">
        <f>IF(I16="",$B16,I16)</f>
        <v/>
      </c>
      <c r="J73">
        <f>IF(J16="",$B16,J16)</f>
        <v/>
      </c>
      <c r="K73">
        <f>IF(K16="",$B16,K16)</f>
        <v/>
      </c>
      <c r="L73">
        <f>IF(L16="",$B16,L16)</f>
        <v/>
      </c>
      <c r="M73">
        <f>IF(M16="",$B16,M16)</f>
        <v/>
      </c>
      <c r="N73">
        <f>IF(N16="",$B16,N16)</f>
        <v/>
      </c>
      <c r="O73">
        <f>IF(O16="",$B16,O16)</f>
        <v/>
      </c>
      <c r="P73">
        <f>IF(P16="",$B16,P16)</f>
        <v/>
      </c>
      <c r="Q73">
        <f>IF(Q16="",$B16,Q16)</f>
        <v/>
      </c>
      <c r="R73">
        <f>IF(R16="",$B16,R16)</f>
        <v/>
      </c>
      <c r="S73">
        <f>IF(S16="",$B16,S16)</f>
        <v/>
      </c>
      <c r="T73">
        <f>IF(T16="",$B16,T16)</f>
        <v/>
      </c>
      <c r="U73">
        <f>IF(U16="",$B16,U16)</f>
        <v/>
      </c>
      <c r="V73">
        <f>IF(V16="",$B16,V16)</f>
        <v/>
      </c>
      <c r="W73">
        <f>IF(W16="",$B16,W16)</f>
        <v/>
      </c>
      <c r="X73">
        <f>IF(X16="",$B16,X16)</f>
        <v/>
      </c>
      <c r="Y73">
        <f>IF(Y16="",$B16,Y16)</f>
        <v/>
      </c>
      <c r="Z73">
        <f>IF(Z16="",$B16,Z16)</f>
        <v/>
      </c>
      <c r="AA73">
        <f>IF(AA16="",$B16,AA16)</f>
        <v/>
      </c>
      <c r="AB73">
        <f>IF(AB16="",$B16,AB16)</f>
        <v/>
      </c>
      <c r="AC73">
        <f>IF(AC16="",$B16,AC16)</f>
        <v/>
      </c>
    </row>
    <row r="74">
      <c r="A74" t="inlineStr">
        <is>
          <t>ISIC 20</t>
        </is>
      </c>
      <c r="C74" t="n">
        <v>0</v>
      </c>
      <c r="D74">
        <f>IF(D17="",$B17,D17)</f>
        <v/>
      </c>
      <c r="E74">
        <f>IF(E17="",$B17,E17)</f>
        <v/>
      </c>
      <c r="F74">
        <f>IF(F17="",$B17,F17)</f>
        <v/>
      </c>
      <c r="G74">
        <f>IF(G17="",$B17,G17)</f>
        <v/>
      </c>
      <c r="H74">
        <f>IF(H17="",$B17,H17)</f>
        <v/>
      </c>
      <c r="I74">
        <f>IF(I17="",$B17,I17)</f>
        <v/>
      </c>
      <c r="J74">
        <f>IF(J17="",$B17,J17)</f>
        <v/>
      </c>
      <c r="K74">
        <f>IF(K17="",$B17,K17)</f>
        <v/>
      </c>
      <c r="L74">
        <f>IF(L17="",$B17,L17)</f>
        <v/>
      </c>
      <c r="M74">
        <f>IF(M17="",$B17,M17)</f>
        <v/>
      </c>
      <c r="N74">
        <f>IF(N17="",$B17,N17)</f>
        <v/>
      </c>
      <c r="O74">
        <f>IF(O17="",$B17,O17)</f>
        <v/>
      </c>
      <c r="P74">
        <f>IF(P17="",$B17,P17)</f>
        <v/>
      </c>
      <c r="Q74">
        <f>IF(Q17="",$B17,Q17)</f>
        <v/>
      </c>
      <c r="R74">
        <f>IF(R17="",$B17,R17)</f>
        <v/>
      </c>
      <c r="S74">
        <f>IF(S17="",$B17,S17)</f>
        <v/>
      </c>
      <c r="T74">
        <f>IF(T17="",$B17,T17)</f>
        <v/>
      </c>
      <c r="U74">
        <f>IF(U17="",$B17,U17)</f>
        <v/>
      </c>
      <c r="V74">
        <f>IF(V17="",$B17,V17)</f>
        <v/>
      </c>
      <c r="W74">
        <f>IF(W17="",$B17,W17)</f>
        <v/>
      </c>
      <c r="X74">
        <f>IF(X17="",$B17,X17)</f>
        <v/>
      </c>
      <c r="Y74">
        <f>IF(Y17="",$B17,Y17)</f>
        <v/>
      </c>
      <c r="Z74">
        <f>IF(Z17="",$B17,Z17)</f>
        <v/>
      </c>
      <c r="AA74">
        <f>IF(AA17="",$B17,AA17)</f>
        <v/>
      </c>
      <c r="AB74">
        <f>IF(AB17="",$B17,AB17)</f>
        <v/>
      </c>
      <c r="AC74">
        <f>IF(AC17="",$B17,AC17)</f>
        <v/>
      </c>
    </row>
    <row r="75">
      <c r="A75" t="inlineStr">
        <is>
          <t>ISIC 21</t>
        </is>
      </c>
      <c r="C75" t="n">
        <v>0</v>
      </c>
      <c r="D75">
        <f>IF(D18="",$B18,D18)</f>
        <v/>
      </c>
      <c r="E75">
        <f>IF(E18="",$B18,E18)</f>
        <v/>
      </c>
      <c r="F75">
        <f>IF(F18="",$B18,F18)</f>
        <v/>
      </c>
      <c r="G75">
        <f>IF(G18="",$B18,G18)</f>
        <v/>
      </c>
      <c r="H75">
        <f>IF(H18="",$B18,H18)</f>
        <v/>
      </c>
      <c r="I75">
        <f>IF(I18="",$B18,I18)</f>
        <v/>
      </c>
      <c r="J75">
        <f>IF(J18="",$B18,J18)</f>
        <v/>
      </c>
      <c r="K75">
        <f>IF(K18="",$B18,K18)</f>
        <v/>
      </c>
      <c r="L75">
        <f>IF(L18="",$B18,L18)</f>
        <v/>
      </c>
      <c r="M75">
        <f>IF(M18="",$B18,M18)</f>
        <v/>
      </c>
      <c r="N75">
        <f>IF(N18="",$B18,N18)</f>
        <v/>
      </c>
      <c r="O75">
        <f>IF(O18="",$B18,O18)</f>
        <v/>
      </c>
      <c r="P75">
        <f>IF(P18="",$B18,P18)</f>
        <v/>
      </c>
      <c r="Q75">
        <f>IF(Q18="",$B18,Q18)</f>
        <v/>
      </c>
      <c r="R75">
        <f>IF(R18="",$B18,R18)</f>
        <v/>
      </c>
      <c r="S75">
        <f>IF(S18="",$B18,S18)</f>
        <v/>
      </c>
      <c r="T75">
        <f>IF(T18="",$B18,T18)</f>
        <v/>
      </c>
      <c r="U75">
        <f>IF(U18="",$B18,U18)</f>
        <v/>
      </c>
      <c r="V75">
        <f>IF(V18="",$B18,V18)</f>
        <v/>
      </c>
      <c r="W75">
        <f>IF(W18="",$B18,W18)</f>
        <v/>
      </c>
      <c r="X75">
        <f>IF(X18="",$B18,X18)</f>
        <v/>
      </c>
      <c r="Y75">
        <f>IF(Y18="",$B18,Y18)</f>
        <v/>
      </c>
      <c r="Z75">
        <f>IF(Z18="",$B18,Z18)</f>
        <v/>
      </c>
      <c r="AA75">
        <f>IF(AA18="",$B18,AA18)</f>
        <v/>
      </c>
      <c r="AB75">
        <f>IF(AB18="",$B18,AB18)</f>
        <v/>
      </c>
      <c r="AC75">
        <f>IF(AC18="",$B18,AC18)</f>
        <v/>
      </c>
    </row>
    <row r="76">
      <c r="A76" t="inlineStr">
        <is>
          <t>ISIC 22</t>
        </is>
      </c>
      <c r="C76" t="n">
        <v>0</v>
      </c>
      <c r="D76">
        <f>IF(D19="",$B19,D19)</f>
        <v/>
      </c>
      <c r="E76">
        <f>IF(E19="",$B19,E19)</f>
        <v/>
      </c>
      <c r="F76">
        <f>IF(F19="",$B19,F19)</f>
        <v/>
      </c>
      <c r="G76">
        <f>IF(G19="",$B19,G19)</f>
        <v/>
      </c>
      <c r="H76">
        <f>IF(H19="",$B19,H19)</f>
        <v/>
      </c>
      <c r="I76">
        <f>IF(I19="",$B19,I19)</f>
        <v/>
      </c>
      <c r="J76">
        <f>IF(J19="",$B19,J19)</f>
        <v/>
      </c>
      <c r="K76">
        <f>IF(K19="",$B19,K19)</f>
        <v/>
      </c>
      <c r="L76">
        <f>IF(L19="",$B19,L19)</f>
        <v/>
      </c>
      <c r="M76">
        <f>IF(M19="",$B19,M19)</f>
        <v/>
      </c>
      <c r="N76">
        <f>IF(N19="",$B19,N19)</f>
        <v/>
      </c>
      <c r="O76">
        <f>IF(O19="",$B19,O19)</f>
        <v/>
      </c>
      <c r="P76">
        <f>IF(P19="",$B19,P19)</f>
        <v/>
      </c>
      <c r="Q76">
        <f>IF(Q19="",$B19,Q19)</f>
        <v/>
      </c>
      <c r="R76">
        <f>IF(R19="",$B19,R19)</f>
        <v/>
      </c>
      <c r="S76">
        <f>IF(S19="",$B19,S19)</f>
        <v/>
      </c>
      <c r="T76">
        <f>IF(T19="",$B19,T19)</f>
        <v/>
      </c>
      <c r="U76">
        <f>IF(U19="",$B19,U19)</f>
        <v/>
      </c>
      <c r="V76">
        <f>IF(V19="",$B19,V19)</f>
        <v/>
      </c>
      <c r="W76">
        <f>IF(W19="",$B19,W19)</f>
        <v/>
      </c>
      <c r="X76">
        <f>IF(X19="",$B19,X19)</f>
        <v/>
      </c>
      <c r="Y76">
        <f>IF(Y19="",$B19,Y19)</f>
        <v/>
      </c>
      <c r="Z76">
        <f>IF(Z19="",$B19,Z19)</f>
        <v/>
      </c>
      <c r="AA76">
        <f>IF(AA19="",$B19,AA19)</f>
        <v/>
      </c>
      <c r="AB76">
        <f>IF(AB19="",$B19,AB19)</f>
        <v/>
      </c>
      <c r="AC76">
        <f>IF(AC19="",$B19,AC19)</f>
        <v/>
      </c>
    </row>
    <row r="77">
      <c r="A77" t="inlineStr">
        <is>
          <t>ISIC 231</t>
        </is>
      </c>
      <c r="C77" t="n">
        <v>0</v>
      </c>
      <c r="D77">
        <f>IF(D20="",$B20,D20)</f>
        <v/>
      </c>
      <c r="E77">
        <f>IF(E20="",$B20,E20)</f>
        <v/>
      </c>
      <c r="F77">
        <f>IF(F20="",$B20,F20)</f>
        <v/>
      </c>
      <c r="G77">
        <f>IF(G20="",$B20,G20)</f>
        <v/>
      </c>
      <c r="H77">
        <f>IF(H20="",$B20,H20)</f>
        <v/>
      </c>
      <c r="I77">
        <f>IF(I20="",$B20,I20)</f>
        <v/>
      </c>
      <c r="J77">
        <f>IF(J20="",$B20,J20)</f>
        <v/>
      </c>
      <c r="K77">
        <f>IF(K20="",$B20,K20)</f>
        <v/>
      </c>
      <c r="L77">
        <f>IF(L20="",$B20,L20)</f>
        <v/>
      </c>
      <c r="M77">
        <f>IF(M20="",$B20,M20)</f>
        <v/>
      </c>
      <c r="N77">
        <f>IF(N20="",$B20,N20)</f>
        <v/>
      </c>
      <c r="O77">
        <f>IF(O20="",$B20,O20)</f>
        <v/>
      </c>
      <c r="P77">
        <f>IF(P20="",$B20,P20)</f>
        <v/>
      </c>
      <c r="Q77">
        <f>IF(Q20="",$B20,Q20)</f>
        <v/>
      </c>
      <c r="R77">
        <f>IF(R20="",$B20,R20)</f>
        <v/>
      </c>
      <c r="S77">
        <f>IF(S20="",$B20,S20)</f>
        <v/>
      </c>
      <c r="T77">
        <f>IF(T20="",$B20,T20)</f>
        <v/>
      </c>
      <c r="U77">
        <f>IF(U20="",$B20,U20)</f>
        <v/>
      </c>
      <c r="V77">
        <f>IF(V20="",$B20,V20)</f>
        <v/>
      </c>
      <c r="W77">
        <f>IF(W20="",$B20,W20)</f>
        <v/>
      </c>
      <c r="X77">
        <f>IF(X20="",$B20,X20)</f>
        <v/>
      </c>
      <c r="Y77">
        <f>IF(Y20="",$B20,Y20)</f>
        <v/>
      </c>
      <c r="Z77">
        <f>IF(Z20="",$B20,Z20)</f>
        <v/>
      </c>
      <c r="AA77">
        <f>IF(AA20="",$B20,AA20)</f>
        <v/>
      </c>
      <c r="AB77">
        <f>IF(AB20="",$B20,AB20)</f>
        <v/>
      </c>
      <c r="AC77">
        <f>IF(AC20="",$B20,AC20)</f>
        <v/>
      </c>
    </row>
    <row r="78">
      <c r="A78" t="inlineStr">
        <is>
          <t>ISIC 239</t>
        </is>
      </c>
      <c r="C78" t="n">
        <v>0</v>
      </c>
      <c r="D78">
        <f>IF(D21="",$B21,D21)</f>
        <v/>
      </c>
      <c r="E78">
        <f>IF(E21="",$B21,E21)</f>
        <v/>
      </c>
      <c r="F78">
        <f>IF(F21="",$B21,F21)</f>
        <v/>
      </c>
      <c r="G78">
        <f>IF(G21="",$B21,G21)</f>
        <v/>
      </c>
      <c r="H78">
        <f>IF(H21="",$B21,H21)</f>
        <v/>
      </c>
      <c r="I78">
        <f>IF(I21="",$B21,I21)</f>
        <v/>
      </c>
      <c r="J78">
        <f>IF(J21="",$B21,J21)</f>
        <v/>
      </c>
      <c r="K78">
        <f>IF(K21="",$B21,K21)</f>
        <v/>
      </c>
      <c r="L78">
        <f>IF(L21="",$B21,L21)</f>
        <v/>
      </c>
      <c r="M78">
        <f>IF(M21="",$B21,M21)</f>
        <v/>
      </c>
      <c r="N78">
        <f>IF(N21="",$B21,N21)</f>
        <v/>
      </c>
      <c r="O78">
        <f>IF(O21="",$B21,O21)</f>
        <v/>
      </c>
      <c r="P78">
        <f>IF(P21="",$B21,P21)</f>
        <v/>
      </c>
      <c r="Q78">
        <f>IF(Q21="",$B21,Q21)</f>
        <v/>
      </c>
      <c r="R78">
        <f>IF(R21="",$B21,R21)</f>
        <v/>
      </c>
      <c r="S78">
        <f>IF(S21="",$B21,S21)</f>
        <v/>
      </c>
      <c r="T78">
        <f>IF(T21="",$B21,T21)</f>
        <v/>
      </c>
      <c r="U78">
        <f>IF(U21="",$B21,U21)</f>
        <v/>
      </c>
      <c r="V78">
        <f>IF(V21="",$B21,V21)</f>
        <v/>
      </c>
      <c r="W78">
        <f>IF(W21="",$B21,W21)</f>
        <v/>
      </c>
      <c r="X78">
        <f>IF(X21="",$B21,X21)</f>
        <v/>
      </c>
      <c r="Y78">
        <f>IF(Y21="",$B21,Y21)</f>
        <v/>
      </c>
      <c r="Z78">
        <f>IF(Z21="",$B21,Z21)</f>
        <v/>
      </c>
      <c r="AA78">
        <f>IF(AA21="",$B21,AA21)</f>
        <v/>
      </c>
      <c r="AB78">
        <f>IF(AB21="",$B21,AB21)</f>
        <v/>
      </c>
      <c r="AC78">
        <f>IF(AC21="",$B21,AC21)</f>
        <v/>
      </c>
    </row>
    <row r="79">
      <c r="A79" t="inlineStr">
        <is>
          <t>ISIC 241</t>
        </is>
      </c>
      <c r="C79" t="n">
        <v>0</v>
      </c>
      <c r="D79">
        <f>IF(D22="",$B22,D22)</f>
        <v/>
      </c>
      <c r="E79">
        <f>IF(E22="",$B22,E22)</f>
        <v/>
      </c>
      <c r="F79">
        <f>IF(F22="",$B22,F22)</f>
        <v/>
      </c>
      <c r="G79">
        <f>IF(G22="",$B22,G22)</f>
        <v/>
      </c>
      <c r="H79">
        <f>IF(H22="",$B22,H22)</f>
        <v/>
      </c>
      <c r="I79">
        <f>IF(I22="",$B22,I22)</f>
        <v/>
      </c>
      <c r="J79">
        <f>IF(J22="",$B22,J22)</f>
        <v/>
      </c>
      <c r="K79">
        <f>IF(K22="",$B22,K22)</f>
        <v/>
      </c>
      <c r="L79">
        <f>IF(L22="",$B22,L22)</f>
        <v/>
      </c>
      <c r="M79">
        <f>IF(M22="",$B22,M22)</f>
        <v/>
      </c>
      <c r="N79">
        <f>IF(N22="",$B22,N22)</f>
        <v/>
      </c>
      <c r="O79">
        <f>IF(O22="",$B22,O22)</f>
        <v/>
      </c>
      <c r="P79">
        <f>IF(P22="",$B22,P22)</f>
        <v/>
      </c>
      <c r="Q79">
        <f>IF(Q22="",$B22,Q22)</f>
        <v/>
      </c>
      <c r="R79">
        <f>IF(R22="",$B22,R22)</f>
        <v/>
      </c>
      <c r="S79">
        <f>IF(S22="",$B22,S22)</f>
        <v/>
      </c>
      <c r="T79">
        <f>IF(T22="",$B22,T22)</f>
        <v/>
      </c>
      <c r="U79">
        <f>IF(U22="",$B22,U22)</f>
        <v/>
      </c>
      <c r="V79">
        <f>IF(V22="",$B22,V22)</f>
        <v/>
      </c>
      <c r="W79">
        <f>IF(W22="",$B22,W22)</f>
        <v/>
      </c>
      <c r="X79">
        <f>IF(X22="",$B22,X22)</f>
        <v/>
      </c>
      <c r="Y79">
        <f>IF(Y22="",$B22,Y22)</f>
        <v/>
      </c>
      <c r="Z79">
        <f>IF(Z22="",$B22,Z22)</f>
        <v/>
      </c>
      <c r="AA79">
        <f>IF(AA22="",$B22,AA22)</f>
        <v/>
      </c>
      <c r="AB79">
        <f>IF(AB22="",$B22,AB22)</f>
        <v/>
      </c>
      <c r="AC79">
        <f>IF(AC22="",$B22,AC22)</f>
        <v/>
      </c>
    </row>
    <row r="80">
      <c r="A80" t="inlineStr">
        <is>
          <t>ISIC 242</t>
        </is>
      </c>
      <c r="C80" t="n">
        <v>0</v>
      </c>
      <c r="D80">
        <f>IF(D23="",$B23,D23)</f>
        <v/>
      </c>
      <c r="E80">
        <f>IF(E23="",$B23,E23)</f>
        <v/>
      </c>
      <c r="F80">
        <f>IF(F23="",$B23,F23)</f>
        <v/>
      </c>
      <c r="G80">
        <f>IF(G23="",$B23,G23)</f>
        <v/>
      </c>
      <c r="H80">
        <f>IF(H23="",$B23,H23)</f>
        <v/>
      </c>
      <c r="I80">
        <f>IF(I23="",$B23,I23)</f>
        <v/>
      </c>
      <c r="J80">
        <f>IF(J23="",$B23,J23)</f>
        <v/>
      </c>
      <c r="K80">
        <f>IF(K23="",$B23,K23)</f>
        <v/>
      </c>
      <c r="L80">
        <f>IF(L23="",$B23,L23)</f>
        <v/>
      </c>
      <c r="M80">
        <f>IF(M23="",$B23,M23)</f>
        <v/>
      </c>
      <c r="N80">
        <f>IF(N23="",$B23,N23)</f>
        <v/>
      </c>
      <c r="O80">
        <f>IF(O23="",$B23,O23)</f>
        <v/>
      </c>
      <c r="P80">
        <f>IF(P23="",$B23,P23)</f>
        <v/>
      </c>
      <c r="Q80">
        <f>IF(Q23="",$B23,Q23)</f>
        <v/>
      </c>
      <c r="R80">
        <f>IF(R23="",$B23,R23)</f>
        <v/>
      </c>
      <c r="S80">
        <f>IF(S23="",$B23,S23)</f>
        <v/>
      </c>
      <c r="T80">
        <f>IF(T23="",$B23,T23)</f>
        <v/>
      </c>
      <c r="U80">
        <f>IF(U23="",$B23,U23)</f>
        <v/>
      </c>
      <c r="V80">
        <f>IF(V23="",$B23,V23)</f>
        <v/>
      </c>
      <c r="W80">
        <f>IF(W23="",$B23,W23)</f>
        <v/>
      </c>
      <c r="X80">
        <f>IF(X23="",$B23,X23)</f>
        <v/>
      </c>
      <c r="Y80">
        <f>IF(Y23="",$B23,Y23)</f>
        <v/>
      </c>
      <c r="Z80">
        <f>IF(Z23="",$B23,Z23)</f>
        <v/>
      </c>
      <c r="AA80">
        <f>IF(AA23="",$B23,AA23)</f>
        <v/>
      </c>
      <c r="AB80">
        <f>IF(AB23="",$B23,AB23)</f>
        <v/>
      </c>
      <c r="AC80">
        <f>IF(AC23="",$B23,AC23)</f>
        <v/>
      </c>
    </row>
    <row r="81">
      <c r="A81" t="inlineStr">
        <is>
          <t>ISIC 25</t>
        </is>
      </c>
      <c r="C81" t="n">
        <v>0</v>
      </c>
      <c r="D81">
        <f>IF(D24="",$B24,D24)</f>
        <v/>
      </c>
      <c r="E81">
        <f>IF(E24="",$B24,E24)</f>
        <v/>
      </c>
      <c r="F81">
        <f>IF(F24="",$B24,F24)</f>
        <v/>
      </c>
      <c r="G81">
        <f>IF(G24="",$B24,G24)</f>
        <v/>
      </c>
      <c r="H81">
        <f>IF(H24="",$B24,H24)</f>
        <v/>
      </c>
      <c r="I81">
        <f>IF(I24="",$B24,I24)</f>
        <v/>
      </c>
      <c r="J81">
        <f>IF(J24="",$B24,J24)</f>
        <v/>
      </c>
      <c r="K81">
        <f>IF(K24="",$B24,K24)</f>
        <v/>
      </c>
      <c r="L81">
        <f>IF(L24="",$B24,L24)</f>
        <v/>
      </c>
      <c r="M81">
        <f>IF(M24="",$B24,M24)</f>
        <v/>
      </c>
      <c r="N81">
        <f>IF(N24="",$B24,N24)</f>
        <v/>
      </c>
      <c r="O81">
        <f>IF(O24="",$B24,O24)</f>
        <v/>
      </c>
      <c r="P81">
        <f>IF(P24="",$B24,P24)</f>
        <v/>
      </c>
      <c r="Q81">
        <f>IF(Q24="",$B24,Q24)</f>
        <v/>
      </c>
      <c r="R81">
        <f>IF(R24="",$B24,R24)</f>
        <v/>
      </c>
      <c r="S81">
        <f>IF(S24="",$B24,S24)</f>
        <v/>
      </c>
      <c r="T81">
        <f>IF(T24="",$B24,T24)</f>
        <v/>
      </c>
      <c r="U81">
        <f>IF(U24="",$B24,U24)</f>
        <v/>
      </c>
      <c r="V81">
        <f>IF(V24="",$B24,V24)</f>
        <v/>
      </c>
      <c r="W81">
        <f>IF(W24="",$B24,W24)</f>
        <v/>
      </c>
      <c r="X81">
        <f>IF(X24="",$B24,X24)</f>
        <v/>
      </c>
      <c r="Y81">
        <f>IF(Y24="",$B24,Y24)</f>
        <v/>
      </c>
      <c r="Z81">
        <f>IF(Z24="",$B24,Z24)</f>
        <v/>
      </c>
      <c r="AA81">
        <f>IF(AA24="",$B24,AA24)</f>
        <v/>
      </c>
      <c r="AB81">
        <f>IF(AB24="",$B24,AB24)</f>
        <v/>
      </c>
      <c r="AC81">
        <f>IF(AC24="",$B24,AC24)</f>
        <v/>
      </c>
    </row>
    <row r="82">
      <c r="A82" t="inlineStr">
        <is>
          <t>ISIC 26</t>
        </is>
      </c>
      <c r="C82" t="n">
        <v>0</v>
      </c>
      <c r="D82">
        <f>IF(D25="",$B25,D25)</f>
        <v/>
      </c>
      <c r="E82">
        <f>IF(E25="",$B25,E25)</f>
        <v/>
      </c>
      <c r="F82">
        <f>IF(F25="",$B25,F25)</f>
        <v/>
      </c>
      <c r="G82">
        <f>IF(G25="",$B25,G25)</f>
        <v/>
      </c>
      <c r="H82">
        <f>IF(H25="",$B25,H25)</f>
        <v/>
      </c>
      <c r="I82">
        <f>IF(I25="",$B25,I25)</f>
        <v/>
      </c>
      <c r="J82">
        <f>IF(J25="",$B25,J25)</f>
        <v/>
      </c>
      <c r="K82">
        <f>IF(K25="",$B25,K25)</f>
        <v/>
      </c>
      <c r="L82">
        <f>IF(L25="",$B25,L25)</f>
        <v/>
      </c>
      <c r="M82">
        <f>IF(M25="",$B25,M25)</f>
        <v/>
      </c>
      <c r="N82">
        <f>IF(N25="",$B25,N25)</f>
        <v/>
      </c>
      <c r="O82">
        <f>IF(O25="",$B25,O25)</f>
        <v/>
      </c>
      <c r="P82">
        <f>IF(P25="",$B25,P25)</f>
        <v/>
      </c>
      <c r="Q82">
        <f>IF(Q25="",$B25,Q25)</f>
        <v/>
      </c>
      <c r="R82">
        <f>IF(R25="",$B25,R25)</f>
        <v/>
      </c>
      <c r="S82">
        <f>IF(S25="",$B25,S25)</f>
        <v/>
      </c>
      <c r="T82">
        <f>IF(T25="",$B25,T25)</f>
        <v/>
      </c>
      <c r="U82">
        <f>IF(U25="",$B25,U25)</f>
        <v/>
      </c>
      <c r="V82">
        <f>IF(V25="",$B25,V25)</f>
        <v/>
      </c>
      <c r="W82">
        <f>IF(W25="",$B25,W25)</f>
        <v/>
      </c>
      <c r="X82">
        <f>IF(X25="",$B25,X25)</f>
        <v/>
      </c>
      <c r="Y82">
        <f>IF(Y25="",$B25,Y25)</f>
        <v/>
      </c>
      <c r="Z82">
        <f>IF(Z25="",$B25,Z25)</f>
        <v/>
      </c>
      <c r="AA82">
        <f>IF(AA25="",$B25,AA25)</f>
        <v/>
      </c>
      <c r="AB82">
        <f>IF(AB25="",$B25,AB25)</f>
        <v/>
      </c>
      <c r="AC82">
        <f>IF(AC25="",$B25,AC25)</f>
        <v/>
      </c>
    </row>
    <row r="83">
      <c r="A83" t="inlineStr">
        <is>
          <t>ISIC 27</t>
        </is>
      </c>
      <c r="C83" t="n">
        <v>0</v>
      </c>
      <c r="D83">
        <f>IF(D26="",$B26,D26)</f>
        <v/>
      </c>
      <c r="E83">
        <f>IF(E26="",$B26,E26)</f>
        <v/>
      </c>
      <c r="F83">
        <f>IF(F26="",$B26,F26)</f>
        <v/>
      </c>
      <c r="G83">
        <f>IF(G26="",$B26,G26)</f>
        <v/>
      </c>
      <c r="H83">
        <f>IF(H26="",$B26,H26)</f>
        <v/>
      </c>
      <c r="I83">
        <f>IF(I26="",$B26,I26)</f>
        <v/>
      </c>
      <c r="J83">
        <f>IF(J26="",$B26,J26)</f>
        <v/>
      </c>
      <c r="K83">
        <f>IF(K26="",$B26,K26)</f>
        <v/>
      </c>
      <c r="L83">
        <f>IF(L26="",$B26,L26)</f>
        <v/>
      </c>
      <c r="M83">
        <f>IF(M26="",$B26,M26)</f>
        <v/>
      </c>
      <c r="N83">
        <f>IF(N26="",$B26,N26)</f>
        <v/>
      </c>
      <c r="O83">
        <f>IF(O26="",$B26,O26)</f>
        <v/>
      </c>
      <c r="P83">
        <f>IF(P26="",$B26,P26)</f>
        <v/>
      </c>
      <c r="Q83">
        <f>IF(Q26="",$B26,Q26)</f>
        <v/>
      </c>
      <c r="R83">
        <f>IF(R26="",$B26,R26)</f>
        <v/>
      </c>
      <c r="S83">
        <f>IF(S26="",$B26,S26)</f>
        <v/>
      </c>
      <c r="T83">
        <f>IF(T26="",$B26,T26)</f>
        <v/>
      </c>
      <c r="U83">
        <f>IF(U26="",$B26,U26)</f>
        <v/>
      </c>
      <c r="V83">
        <f>IF(V26="",$B26,V26)</f>
        <v/>
      </c>
      <c r="W83">
        <f>IF(W26="",$B26,W26)</f>
        <v/>
      </c>
      <c r="X83">
        <f>IF(X26="",$B26,X26)</f>
        <v/>
      </c>
      <c r="Y83">
        <f>IF(Y26="",$B26,Y26)</f>
        <v/>
      </c>
      <c r="Z83">
        <f>IF(Z26="",$B26,Z26)</f>
        <v/>
      </c>
      <c r="AA83">
        <f>IF(AA26="",$B26,AA26)</f>
        <v/>
      </c>
      <c r="AB83">
        <f>IF(AB26="",$B26,AB26)</f>
        <v/>
      </c>
      <c r="AC83">
        <f>IF(AC26="",$B26,AC26)</f>
        <v/>
      </c>
    </row>
    <row r="84">
      <c r="A84" t="inlineStr">
        <is>
          <t>ISIC 28</t>
        </is>
      </c>
      <c r="C84" t="n">
        <v>0</v>
      </c>
      <c r="D84">
        <f>IF(D27="",$B27,D27)</f>
        <v/>
      </c>
      <c r="E84">
        <f>IF(E27="",$B27,E27)</f>
        <v/>
      </c>
      <c r="F84">
        <f>IF(F27="",$B27,F27)</f>
        <v/>
      </c>
      <c r="G84">
        <f>IF(G27="",$B27,G27)</f>
        <v/>
      </c>
      <c r="H84">
        <f>IF(H27="",$B27,H27)</f>
        <v/>
      </c>
      <c r="I84">
        <f>IF(I27="",$B27,I27)</f>
        <v/>
      </c>
      <c r="J84">
        <f>IF(J27="",$B27,J27)</f>
        <v/>
      </c>
      <c r="K84">
        <f>IF(K27="",$B27,K27)</f>
        <v/>
      </c>
      <c r="L84">
        <f>IF(L27="",$B27,L27)</f>
        <v/>
      </c>
      <c r="M84">
        <f>IF(M27="",$B27,M27)</f>
        <v/>
      </c>
      <c r="N84">
        <f>IF(N27="",$B27,N27)</f>
        <v/>
      </c>
      <c r="O84">
        <f>IF(O27="",$B27,O27)</f>
        <v/>
      </c>
      <c r="P84">
        <f>IF(P27="",$B27,P27)</f>
        <v/>
      </c>
      <c r="Q84">
        <f>IF(Q27="",$B27,Q27)</f>
        <v/>
      </c>
      <c r="R84">
        <f>IF(R27="",$B27,R27)</f>
        <v/>
      </c>
      <c r="S84">
        <f>IF(S27="",$B27,S27)</f>
        <v/>
      </c>
      <c r="T84">
        <f>IF(T27="",$B27,T27)</f>
        <v/>
      </c>
      <c r="U84">
        <f>IF(U27="",$B27,U27)</f>
        <v/>
      </c>
      <c r="V84">
        <f>IF(V27="",$B27,V27)</f>
        <v/>
      </c>
      <c r="W84">
        <f>IF(W27="",$B27,W27)</f>
        <v/>
      </c>
      <c r="X84">
        <f>IF(X27="",$B27,X27)</f>
        <v/>
      </c>
      <c r="Y84">
        <f>IF(Y27="",$B27,Y27)</f>
        <v/>
      </c>
      <c r="Z84">
        <f>IF(Z27="",$B27,Z27)</f>
        <v/>
      </c>
      <c r="AA84">
        <f>IF(AA27="",$B27,AA27)</f>
        <v/>
      </c>
      <c r="AB84">
        <f>IF(AB27="",$B27,AB27)</f>
        <v/>
      </c>
      <c r="AC84">
        <f>IF(AC27="",$B27,AC27)</f>
        <v/>
      </c>
    </row>
    <row r="85">
      <c r="A85" t="inlineStr">
        <is>
          <t>ISIC 29</t>
        </is>
      </c>
      <c r="C85" t="n">
        <v>0</v>
      </c>
      <c r="D85">
        <f>IF(D28="",$B28,D28)</f>
        <v/>
      </c>
      <c r="E85">
        <f>IF(E28="",$B28,E28)</f>
        <v/>
      </c>
      <c r="F85">
        <f>IF(F28="",$B28,F28)</f>
        <v/>
      </c>
      <c r="G85">
        <f>IF(G28="",$B28,G28)</f>
        <v/>
      </c>
      <c r="H85">
        <f>IF(H28="",$B28,H28)</f>
        <v/>
      </c>
      <c r="I85">
        <f>IF(I28="",$B28,I28)</f>
        <v/>
      </c>
      <c r="J85">
        <f>IF(J28="",$B28,J28)</f>
        <v/>
      </c>
      <c r="K85">
        <f>IF(K28="",$B28,K28)</f>
        <v/>
      </c>
      <c r="L85">
        <f>IF(L28="",$B28,L28)</f>
        <v/>
      </c>
      <c r="M85">
        <f>IF(M28="",$B28,M28)</f>
        <v/>
      </c>
      <c r="N85">
        <f>IF(N28="",$B28,N28)</f>
        <v/>
      </c>
      <c r="O85">
        <f>IF(O28="",$B28,O28)</f>
        <v/>
      </c>
      <c r="P85">
        <f>IF(P28="",$B28,P28)</f>
        <v/>
      </c>
      <c r="Q85">
        <f>IF(Q28="",$B28,Q28)</f>
        <v/>
      </c>
      <c r="R85">
        <f>IF(R28="",$B28,R28)</f>
        <v/>
      </c>
      <c r="S85">
        <f>IF(S28="",$B28,S28)</f>
        <v/>
      </c>
      <c r="T85">
        <f>IF(T28="",$B28,T28)</f>
        <v/>
      </c>
      <c r="U85">
        <f>IF(U28="",$B28,U28)</f>
        <v/>
      </c>
      <c r="V85">
        <f>IF(V28="",$B28,V28)</f>
        <v/>
      </c>
      <c r="W85">
        <f>IF(W28="",$B28,W28)</f>
        <v/>
      </c>
      <c r="X85">
        <f>IF(X28="",$B28,X28)</f>
        <v/>
      </c>
      <c r="Y85">
        <f>IF(Y28="",$B28,Y28)</f>
        <v/>
      </c>
      <c r="Z85">
        <f>IF(Z28="",$B28,Z28)</f>
        <v/>
      </c>
      <c r="AA85">
        <f>IF(AA28="",$B28,AA28)</f>
        <v/>
      </c>
      <c r="AB85">
        <f>IF(AB28="",$B28,AB28)</f>
        <v/>
      </c>
      <c r="AC85">
        <f>IF(AC28="",$B28,AC28)</f>
        <v/>
      </c>
    </row>
    <row r="86">
      <c r="A86" t="inlineStr">
        <is>
          <t>ISIC 301</t>
        </is>
      </c>
      <c r="C86" t="n">
        <v>0</v>
      </c>
      <c r="D86">
        <f>IF(D29="",$B29,D29)</f>
        <v/>
      </c>
      <c r="E86">
        <f>IF(E29="",$B29,E29)</f>
        <v/>
      </c>
      <c r="F86">
        <f>IF(F29="",$B29,F29)</f>
        <v/>
      </c>
      <c r="G86">
        <f>IF(G29="",$B29,G29)</f>
        <v/>
      </c>
      <c r="H86">
        <f>IF(H29="",$B29,H29)</f>
        <v/>
      </c>
      <c r="I86">
        <f>IF(I29="",$B29,I29)</f>
        <v/>
      </c>
      <c r="J86">
        <f>IF(J29="",$B29,J29)</f>
        <v/>
      </c>
      <c r="K86">
        <f>IF(K29="",$B29,K29)</f>
        <v/>
      </c>
      <c r="L86">
        <f>IF(L29="",$B29,L29)</f>
        <v/>
      </c>
      <c r="M86">
        <f>IF(M29="",$B29,M29)</f>
        <v/>
      </c>
      <c r="N86">
        <f>IF(N29="",$B29,N29)</f>
        <v/>
      </c>
      <c r="O86">
        <f>IF(O29="",$B29,O29)</f>
        <v/>
      </c>
      <c r="P86">
        <f>IF(P29="",$B29,P29)</f>
        <v/>
      </c>
      <c r="Q86">
        <f>IF(Q29="",$B29,Q29)</f>
        <v/>
      </c>
      <c r="R86">
        <f>IF(R29="",$B29,R29)</f>
        <v/>
      </c>
      <c r="S86">
        <f>IF(S29="",$B29,S29)</f>
        <v/>
      </c>
      <c r="T86">
        <f>IF(T29="",$B29,T29)</f>
        <v/>
      </c>
      <c r="U86">
        <f>IF(U29="",$B29,U29)</f>
        <v/>
      </c>
      <c r="V86">
        <f>IF(V29="",$B29,V29)</f>
        <v/>
      </c>
      <c r="W86">
        <f>IF(W29="",$B29,W29)</f>
        <v/>
      </c>
      <c r="X86">
        <f>IF(X29="",$B29,X29)</f>
        <v/>
      </c>
      <c r="Y86">
        <f>IF(Y29="",$B29,Y29)</f>
        <v/>
      </c>
      <c r="Z86">
        <f>IF(Z29="",$B29,Z29)</f>
        <v/>
      </c>
      <c r="AA86">
        <f>IF(AA29="",$B29,AA29)</f>
        <v/>
      </c>
      <c r="AB86">
        <f>IF(AB29="",$B29,AB29)</f>
        <v/>
      </c>
      <c r="AC86">
        <f>IF(AC29="",$B29,AC29)</f>
        <v/>
      </c>
    </row>
    <row r="87">
      <c r="A87" t="inlineStr">
        <is>
          <t>ISIC 302T309</t>
        </is>
      </c>
      <c r="C87" t="n">
        <v>0</v>
      </c>
      <c r="D87">
        <f>IF(D30="",$B30,D30)</f>
        <v/>
      </c>
      <c r="E87">
        <f>IF(E30="",$B30,E30)</f>
        <v/>
      </c>
      <c r="F87">
        <f>IF(F30="",$B30,F30)</f>
        <v/>
      </c>
      <c r="G87">
        <f>IF(G30="",$B30,G30)</f>
        <v/>
      </c>
      <c r="H87">
        <f>IF(H30="",$B30,H30)</f>
        <v/>
      </c>
      <c r="I87">
        <f>IF(I30="",$B30,I30)</f>
        <v/>
      </c>
      <c r="J87">
        <f>IF(J30="",$B30,J30)</f>
        <v/>
      </c>
      <c r="K87">
        <f>IF(K30="",$B30,K30)</f>
        <v/>
      </c>
      <c r="L87">
        <f>IF(L30="",$B30,L30)</f>
        <v/>
      </c>
      <c r="M87">
        <f>IF(M30="",$B30,M30)</f>
        <v/>
      </c>
      <c r="N87">
        <f>IF(N30="",$B30,N30)</f>
        <v/>
      </c>
      <c r="O87">
        <f>IF(O30="",$B30,O30)</f>
        <v/>
      </c>
      <c r="P87">
        <f>IF(P30="",$B30,P30)</f>
        <v/>
      </c>
      <c r="Q87">
        <f>IF(Q30="",$B30,Q30)</f>
        <v/>
      </c>
      <c r="R87">
        <f>IF(R30="",$B30,R30)</f>
        <v/>
      </c>
      <c r="S87">
        <f>IF(S30="",$B30,S30)</f>
        <v/>
      </c>
      <c r="T87">
        <f>IF(T30="",$B30,T30)</f>
        <v/>
      </c>
      <c r="U87">
        <f>IF(U30="",$B30,U30)</f>
        <v/>
      </c>
      <c r="V87">
        <f>IF(V30="",$B30,V30)</f>
        <v/>
      </c>
      <c r="W87">
        <f>IF(W30="",$B30,W30)</f>
        <v/>
      </c>
      <c r="X87">
        <f>IF(X30="",$B30,X30)</f>
        <v/>
      </c>
      <c r="Y87">
        <f>IF(Y30="",$B30,Y30)</f>
        <v/>
      </c>
      <c r="Z87">
        <f>IF(Z30="",$B30,Z30)</f>
        <v/>
      </c>
      <c r="AA87">
        <f>IF(AA30="",$B30,AA30)</f>
        <v/>
      </c>
      <c r="AB87">
        <f>IF(AB30="",$B30,AB30)</f>
        <v/>
      </c>
      <c r="AC87">
        <f>IF(AC30="",$B30,AC30)</f>
        <v/>
      </c>
    </row>
    <row r="88">
      <c r="A88" t="inlineStr">
        <is>
          <t>ISIC 31T33</t>
        </is>
      </c>
      <c r="C88" t="n">
        <v>0</v>
      </c>
      <c r="D88">
        <f>IF(D31="",$B31,D31)</f>
        <v/>
      </c>
      <c r="E88">
        <f>IF(E31="",$B31,E31)</f>
        <v/>
      </c>
      <c r="F88">
        <f>IF(F31="",$B31,F31)</f>
        <v/>
      </c>
      <c r="G88">
        <f>IF(G31="",$B31,G31)</f>
        <v/>
      </c>
      <c r="H88">
        <f>IF(H31="",$B31,H31)</f>
        <v/>
      </c>
      <c r="I88">
        <f>IF(I31="",$B31,I31)</f>
        <v/>
      </c>
      <c r="J88">
        <f>IF(J31="",$B31,J31)</f>
        <v/>
      </c>
      <c r="K88">
        <f>IF(K31="",$B31,K31)</f>
        <v/>
      </c>
      <c r="L88">
        <f>IF(L31="",$B31,L31)</f>
        <v/>
      </c>
      <c r="M88">
        <f>IF(M31="",$B31,M31)</f>
        <v/>
      </c>
      <c r="N88">
        <f>IF(N31="",$B31,N31)</f>
        <v/>
      </c>
      <c r="O88">
        <f>IF(O31="",$B31,O31)</f>
        <v/>
      </c>
      <c r="P88">
        <f>IF(P31="",$B31,P31)</f>
        <v/>
      </c>
      <c r="Q88">
        <f>IF(Q31="",$B31,Q31)</f>
        <v/>
      </c>
      <c r="R88">
        <f>IF(R31="",$B31,R31)</f>
        <v/>
      </c>
      <c r="S88">
        <f>IF(S31="",$B31,S31)</f>
        <v/>
      </c>
      <c r="T88">
        <f>IF(T31="",$B31,T31)</f>
        <v/>
      </c>
      <c r="U88">
        <f>IF(U31="",$B31,U31)</f>
        <v/>
      </c>
      <c r="V88">
        <f>IF(V31="",$B31,V31)</f>
        <v/>
      </c>
      <c r="W88">
        <f>IF(W31="",$B31,W31)</f>
        <v/>
      </c>
      <c r="X88">
        <f>IF(X31="",$B31,X31)</f>
        <v/>
      </c>
      <c r="Y88">
        <f>IF(Y31="",$B31,Y31)</f>
        <v/>
      </c>
      <c r="Z88">
        <f>IF(Z31="",$B31,Z31)</f>
        <v/>
      </c>
      <c r="AA88">
        <f>IF(AA31="",$B31,AA31)</f>
        <v/>
      </c>
      <c r="AB88">
        <f>IF(AB31="",$B31,AB31)</f>
        <v/>
      </c>
      <c r="AC88">
        <f>IF(AC31="",$B31,AC31)</f>
        <v/>
      </c>
    </row>
    <row r="89">
      <c r="A89" t="inlineStr">
        <is>
          <t>ISIC 351</t>
        </is>
      </c>
      <c r="C89" t="n">
        <v>0</v>
      </c>
      <c r="D89">
        <f>IF(D32="",$B32,D32)</f>
        <v/>
      </c>
      <c r="E89">
        <f>IF(E32="",$B32,E32)</f>
        <v/>
      </c>
      <c r="F89">
        <f>IF(F32="",$B32,F32)</f>
        <v/>
      </c>
      <c r="G89">
        <f>IF(G32="",$B32,G32)</f>
        <v/>
      </c>
      <c r="H89">
        <f>IF(H32="",$B32,H32)</f>
        <v/>
      </c>
      <c r="I89">
        <f>IF(I32="",$B32,I32)</f>
        <v/>
      </c>
      <c r="J89">
        <f>IF(J32="",$B32,J32)</f>
        <v/>
      </c>
      <c r="K89">
        <f>IF(K32="",$B32,K32)</f>
        <v/>
      </c>
      <c r="L89">
        <f>IF(L32="",$B32,L32)</f>
        <v/>
      </c>
      <c r="M89">
        <f>IF(M32="",$B32,M32)</f>
        <v/>
      </c>
      <c r="N89">
        <f>IF(N32="",$B32,N32)</f>
        <v/>
      </c>
      <c r="O89">
        <f>IF(O32="",$B32,O32)</f>
        <v/>
      </c>
      <c r="P89">
        <f>IF(P32="",$B32,P32)</f>
        <v/>
      </c>
      <c r="Q89">
        <f>IF(Q32="",$B32,Q32)</f>
        <v/>
      </c>
      <c r="R89">
        <f>IF(R32="",$B32,R32)</f>
        <v/>
      </c>
      <c r="S89">
        <f>IF(S32="",$B32,S32)</f>
        <v/>
      </c>
      <c r="T89">
        <f>IF(T32="",$B32,T32)</f>
        <v/>
      </c>
      <c r="U89">
        <f>IF(U32="",$B32,U32)</f>
        <v/>
      </c>
      <c r="V89">
        <f>IF(V32="",$B32,V32)</f>
        <v/>
      </c>
      <c r="W89">
        <f>IF(W32="",$B32,W32)</f>
        <v/>
      </c>
      <c r="X89">
        <f>IF(X32="",$B32,X32)</f>
        <v/>
      </c>
      <c r="Y89">
        <f>IF(Y32="",$B32,Y32)</f>
        <v/>
      </c>
      <c r="Z89">
        <f>IF(Z32="",$B32,Z32)</f>
        <v/>
      </c>
      <c r="AA89">
        <f>IF(AA32="",$B32,AA32)</f>
        <v/>
      </c>
      <c r="AB89">
        <f>IF(AB32="",$B32,AB32)</f>
        <v/>
      </c>
      <c r="AC89">
        <f>IF(AC32="",$B32,AC32)</f>
        <v/>
      </c>
    </row>
    <row r="90">
      <c r="A90" t="inlineStr">
        <is>
          <t>ISIC 352T353</t>
        </is>
      </c>
      <c r="C90" t="n">
        <v>0</v>
      </c>
      <c r="D90">
        <f>IF(D33="",$B33,D33)</f>
        <v/>
      </c>
      <c r="E90">
        <f>IF(E33="",$B33,E33)</f>
        <v/>
      </c>
      <c r="F90">
        <f>IF(F33="",$B33,F33)</f>
        <v/>
      </c>
      <c r="G90">
        <f>IF(G33="",$B33,G33)</f>
        <v/>
      </c>
      <c r="H90">
        <f>IF(H33="",$B33,H33)</f>
        <v/>
      </c>
      <c r="I90">
        <f>IF(I33="",$B33,I33)</f>
        <v/>
      </c>
      <c r="J90">
        <f>IF(J33="",$B33,J33)</f>
        <v/>
      </c>
      <c r="K90">
        <f>IF(K33="",$B33,K33)</f>
        <v/>
      </c>
      <c r="L90">
        <f>IF(L33="",$B33,L33)</f>
        <v/>
      </c>
      <c r="M90">
        <f>IF(M33="",$B33,M33)</f>
        <v/>
      </c>
      <c r="N90">
        <f>IF(N33="",$B33,N33)</f>
        <v/>
      </c>
      <c r="O90">
        <f>IF(O33="",$B33,O33)</f>
        <v/>
      </c>
      <c r="P90">
        <f>IF(P33="",$B33,P33)</f>
        <v/>
      </c>
      <c r="Q90">
        <f>IF(Q33="",$B33,Q33)</f>
        <v/>
      </c>
      <c r="R90">
        <f>IF(R33="",$B33,R33)</f>
        <v/>
      </c>
      <c r="S90">
        <f>IF(S33="",$B33,S33)</f>
        <v/>
      </c>
      <c r="T90">
        <f>IF(T33="",$B33,T33)</f>
        <v/>
      </c>
      <c r="U90">
        <f>IF(U33="",$B33,U33)</f>
        <v/>
      </c>
      <c r="V90">
        <f>IF(V33="",$B33,V33)</f>
        <v/>
      </c>
      <c r="W90">
        <f>IF(W33="",$B33,W33)</f>
        <v/>
      </c>
      <c r="X90">
        <f>IF(X33="",$B33,X33)</f>
        <v/>
      </c>
      <c r="Y90">
        <f>IF(Y33="",$B33,Y33)</f>
        <v/>
      </c>
      <c r="Z90">
        <f>IF(Z33="",$B33,Z33)</f>
        <v/>
      </c>
      <c r="AA90">
        <f>IF(AA33="",$B33,AA33)</f>
        <v/>
      </c>
      <c r="AB90">
        <f>IF(AB33="",$B33,AB33)</f>
        <v/>
      </c>
      <c r="AC90">
        <f>IF(AC33="",$B33,AC33)</f>
        <v/>
      </c>
    </row>
    <row r="91">
      <c r="A91" t="inlineStr">
        <is>
          <t>ISIC 36T39</t>
        </is>
      </c>
      <c r="C91" t="n">
        <v>0</v>
      </c>
      <c r="D91">
        <f>IF(D34="",$B34,D34)</f>
        <v/>
      </c>
      <c r="E91">
        <f>IF(E34="",$B34,E34)</f>
        <v/>
      </c>
      <c r="F91">
        <f>IF(F34="",$B34,F34)</f>
        <v/>
      </c>
      <c r="G91">
        <f>IF(G34="",$B34,G34)</f>
        <v/>
      </c>
      <c r="H91">
        <f>IF(H34="",$B34,H34)</f>
        <v/>
      </c>
      <c r="I91">
        <f>IF(I34="",$B34,I34)</f>
        <v/>
      </c>
      <c r="J91">
        <f>IF(J34="",$B34,J34)</f>
        <v/>
      </c>
      <c r="K91">
        <f>IF(K34="",$B34,K34)</f>
        <v/>
      </c>
      <c r="L91">
        <f>IF(L34="",$B34,L34)</f>
        <v/>
      </c>
      <c r="M91">
        <f>IF(M34="",$B34,M34)</f>
        <v/>
      </c>
      <c r="N91">
        <f>IF(N34="",$B34,N34)</f>
        <v/>
      </c>
      <c r="O91">
        <f>IF(O34="",$B34,O34)</f>
        <v/>
      </c>
      <c r="P91">
        <f>IF(P34="",$B34,P34)</f>
        <v/>
      </c>
      <c r="Q91">
        <f>IF(Q34="",$B34,Q34)</f>
        <v/>
      </c>
      <c r="R91">
        <f>IF(R34="",$B34,R34)</f>
        <v/>
      </c>
      <c r="S91">
        <f>IF(S34="",$B34,S34)</f>
        <v/>
      </c>
      <c r="T91">
        <f>IF(T34="",$B34,T34)</f>
        <v/>
      </c>
      <c r="U91">
        <f>IF(U34="",$B34,U34)</f>
        <v/>
      </c>
      <c r="V91">
        <f>IF(V34="",$B34,V34)</f>
        <v/>
      </c>
      <c r="W91">
        <f>IF(W34="",$B34,W34)</f>
        <v/>
      </c>
      <c r="X91">
        <f>IF(X34="",$B34,X34)</f>
        <v/>
      </c>
      <c r="Y91">
        <f>IF(Y34="",$B34,Y34)</f>
        <v/>
      </c>
      <c r="Z91">
        <f>IF(Z34="",$B34,Z34)</f>
        <v/>
      </c>
      <c r="AA91">
        <f>IF(AA34="",$B34,AA34)</f>
        <v/>
      </c>
      <c r="AB91">
        <f>IF(AB34="",$B34,AB34)</f>
        <v/>
      </c>
      <c r="AC91">
        <f>IF(AC34="",$B34,AC34)</f>
        <v/>
      </c>
    </row>
    <row r="92">
      <c r="A92" t="inlineStr">
        <is>
          <t>ISIC 41T43</t>
        </is>
      </c>
      <c r="C92" t="n">
        <v>0</v>
      </c>
      <c r="D92">
        <f>IF(D35="",$B35,D35)</f>
        <v/>
      </c>
      <c r="E92">
        <f>IF(E35="",$B35,E35)</f>
        <v/>
      </c>
      <c r="F92">
        <f>IF(F35="",$B35,F35)</f>
        <v/>
      </c>
      <c r="G92">
        <f>IF(G35="",$B35,G35)</f>
        <v/>
      </c>
      <c r="H92">
        <f>IF(H35="",$B35,H35)</f>
        <v/>
      </c>
      <c r="I92">
        <f>IF(I35="",$B35,I35)</f>
        <v/>
      </c>
      <c r="J92">
        <f>IF(J35="",$B35,J35)</f>
        <v/>
      </c>
      <c r="K92">
        <f>IF(K35="",$B35,K35)</f>
        <v/>
      </c>
      <c r="L92">
        <f>IF(L35="",$B35,L35)</f>
        <v/>
      </c>
      <c r="M92">
        <f>IF(M35="",$B35,M35)</f>
        <v/>
      </c>
      <c r="N92">
        <f>IF(N35="",$B35,N35)</f>
        <v/>
      </c>
      <c r="O92">
        <f>IF(O35="",$B35,O35)</f>
        <v/>
      </c>
      <c r="P92">
        <f>IF(P35="",$B35,P35)</f>
        <v/>
      </c>
      <c r="Q92">
        <f>IF(Q35="",$B35,Q35)</f>
        <v/>
      </c>
      <c r="R92">
        <f>IF(R35="",$B35,R35)</f>
        <v/>
      </c>
      <c r="S92">
        <f>IF(S35="",$B35,S35)</f>
        <v/>
      </c>
      <c r="T92">
        <f>IF(T35="",$B35,T35)</f>
        <v/>
      </c>
      <c r="U92">
        <f>IF(U35="",$B35,U35)</f>
        <v/>
      </c>
      <c r="V92">
        <f>IF(V35="",$B35,V35)</f>
        <v/>
      </c>
      <c r="W92">
        <f>IF(W35="",$B35,W35)</f>
        <v/>
      </c>
      <c r="X92">
        <f>IF(X35="",$B35,X35)</f>
        <v/>
      </c>
      <c r="Y92">
        <f>IF(Y35="",$B35,Y35)</f>
        <v/>
      </c>
      <c r="Z92">
        <f>IF(Z35="",$B35,Z35)</f>
        <v/>
      </c>
      <c r="AA92">
        <f>IF(AA35="",$B35,AA35)</f>
        <v/>
      </c>
      <c r="AB92">
        <f>IF(AB35="",$B35,AB35)</f>
        <v/>
      </c>
      <c r="AC92">
        <f>IF(AC35="",$B35,AC35)</f>
        <v/>
      </c>
    </row>
    <row r="93">
      <c r="A93" t="inlineStr">
        <is>
          <t>ISIC 45T47</t>
        </is>
      </c>
      <c r="C93" t="n">
        <v>0</v>
      </c>
      <c r="D93">
        <f>IF(D36="",$B36,D36)</f>
        <v/>
      </c>
      <c r="E93">
        <f>IF(E36="",$B36,E36)</f>
        <v/>
      </c>
      <c r="F93">
        <f>IF(F36="",$B36,F36)</f>
        <v/>
      </c>
      <c r="G93">
        <f>IF(G36="",$B36,G36)</f>
        <v/>
      </c>
      <c r="H93">
        <f>IF(H36="",$B36,H36)</f>
        <v/>
      </c>
      <c r="I93">
        <f>IF(I36="",$B36,I36)</f>
        <v/>
      </c>
      <c r="J93">
        <f>IF(J36="",$B36,J36)</f>
        <v/>
      </c>
      <c r="K93">
        <f>IF(K36="",$B36,K36)</f>
        <v/>
      </c>
      <c r="L93">
        <f>IF(L36="",$B36,L36)</f>
        <v/>
      </c>
      <c r="M93">
        <f>IF(M36="",$B36,M36)</f>
        <v/>
      </c>
      <c r="N93">
        <f>IF(N36="",$B36,N36)</f>
        <v/>
      </c>
      <c r="O93">
        <f>IF(O36="",$B36,O36)</f>
        <v/>
      </c>
      <c r="P93">
        <f>IF(P36="",$B36,P36)</f>
        <v/>
      </c>
      <c r="Q93">
        <f>IF(Q36="",$B36,Q36)</f>
        <v/>
      </c>
      <c r="R93">
        <f>IF(R36="",$B36,R36)</f>
        <v/>
      </c>
      <c r="S93">
        <f>IF(S36="",$B36,S36)</f>
        <v/>
      </c>
      <c r="T93">
        <f>IF(T36="",$B36,T36)</f>
        <v/>
      </c>
      <c r="U93">
        <f>IF(U36="",$B36,U36)</f>
        <v/>
      </c>
      <c r="V93">
        <f>IF(V36="",$B36,V36)</f>
        <v/>
      </c>
      <c r="W93">
        <f>IF(W36="",$B36,W36)</f>
        <v/>
      </c>
      <c r="X93">
        <f>IF(X36="",$B36,X36)</f>
        <v/>
      </c>
      <c r="Y93">
        <f>IF(Y36="",$B36,Y36)</f>
        <v/>
      </c>
      <c r="Z93">
        <f>IF(Z36="",$B36,Z36)</f>
        <v/>
      </c>
      <c r="AA93">
        <f>IF(AA36="",$B36,AA36)</f>
        <v/>
      </c>
      <c r="AB93">
        <f>IF(AB36="",$B36,AB36)</f>
        <v/>
      </c>
      <c r="AC93">
        <f>IF(AC36="",$B36,AC36)</f>
        <v/>
      </c>
    </row>
    <row r="94">
      <c r="A94" t="inlineStr">
        <is>
          <t>ISIC 49</t>
        </is>
      </c>
      <c r="C94" t="n">
        <v>0</v>
      </c>
      <c r="D94">
        <f>IF(D37="",$B37,D37)</f>
        <v/>
      </c>
      <c r="E94">
        <f>IF(E37="",$B37,E37)</f>
        <v/>
      </c>
      <c r="F94">
        <f>IF(F37="",$B37,F37)</f>
        <v/>
      </c>
      <c r="G94">
        <f>IF(G37="",$B37,G37)</f>
        <v/>
      </c>
      <c r="H94">
        <f>IF(H37="",$B37,H37)</f>
        <v/>
      </c>
      <c r="I94">
        <f>IF(I37="",$B37,I37)</f>
        <v/>
      </c>
      <c r="J94">
        <f>IF(J37="",$B37,J37)</f>
        <v/>
      </c>
      <c r="K94">
        <f>IF(K37="",$B37,K37)</f>
        <v/>
      </c>
      <c r="L94">
        <f>IF(L37="",$B37,L37)</f>
        <v/>
      </c>
      <c r="M94">
        <f>IF(M37="",$B37,M37)</f>
        <v/>
      </c>
      <c r="N94">
        <f>IF(N37="",$B37,N37)</f>
        <v/>
      </c>
      <c r="O94">
        <f>IF(O37="",$B37,O37)</f>
        <v/>
      </c>
      <c r="P94">
        <f>IF(P37="",$B37,P37)</f>
        <v/>
      </c>
      <c r="Q94">
        <f>IF(Q37="",$B37,Q37)</f>
        <v/>
      </c>
      <c r="R94">
        <f>IF(R37="",$B37,R37)</f>
        <v/>
      </c>
      <c r="S94">
        <f>IF(S37="",$B37,S37)</f>
        <v/>
      </c>
      <c r="T94">
        <f>IF(T37="",$B37,T37)</f>
        <v/>
      </c>
      <c r="U94">
        <f>IF(U37="",$B37,U37)</f>
        <v/>
      </c>
      <c r="V94">
        <f>IF(V37="",$B37,V37)</f>
        <v/>
      </c>
      <c r="W94">
        <f>IF(W37="",$B37,W37)</f>
        <v/>
      </c>
      <c r="X94">
        <f>IF(X37="",$B37,X37)</f>
        <v/>
      </c>
      <c r="Y94">
        <f>IF(Y37="",$B37,Y37)</f>
        <v/>
      </c>
      <c r="Z94">
        <f>IF(Z37="",$B37,Z37)</f>
        <v/>
      </c>
      <c r="AA94">
        <f>IF(AA37="",$B37,AA37)</f>
        <v/>
      </c>
      <c r="AB94">
        <f>IF(AB37="",$B37,AB37)</f>
        <v/>
      </c>
      <c r="AC94">
        <f>IF(AC37="",$B37,AC37)</f>
        <v/>
      </c>
    </row>
    <row r="95">
      <c r="A95" t="inlineStr">
        <is>
          <t>ISIC 50</t>
        </is>
      </c>
      <c r="C95" t="n">
        <v>0</v>
      </c>
      <c r="D95">
        <f>IF(D38="",$B38,D38)</f>
        <v/>
      </c>
      <c r="E95">
        <f>IF(E38="",$B38,E38)</f>
        <v/>
      </c>
      <c r="F95">
        <f>IF(F38="",$B38,F38)</f>
        <v/>
      </c>
      <c r="G95">
        <f>IF(G38="",$B38,G38)</f>
        <v/>
      </c>
      <c r="H95">
        <f>IF(H38="",$B38,H38)</f>
        <v/>
      </c>
      <c r="I95">
        <f>IF(I38="",$B38,I38)</f>
        <v/>
      </c>
      <c r="J95">
        <f>IF(J38="",$B38,J38)</f>
        <v/>
      </c>
      <c r="K95">
        <f>IF(K38="",$B38,K38)</f>
        <v/>
      </c>
      <c r="L95">
        <f>IF(L38="",$B38,L38)</f>
        <v/>
      </c>
      <c r="M95">
        <f>IF(M38="",$B38,M38)</f>
        <v/>
      </c>
      <c r="N95">
        <f>IF(N38="",$B38,N38)</f>
        <v/>
      </c>
      <c r="O95">
        <f>IF(O38="",$B38,O38)</f>
        <v/>
      </c>
      <c r="P95">
        <f>IF(P38="",$B38,P38)</f>
        <v/>
      </c>
      <c r="Q95">
        <f>IF(Q38="",$B38,Q38)</f>
        <v/>
      </c>
      <c r="R95">
        <f>IF(R38="",$B38,R38)</f>
        <v/>
      </c>
      <c r="S95">
        <f>IF(S38="",$B38,S38)</f>
        <v/>
      </c>
      <c r="T95">
        <f>IF(T38="",$B38,T38)</f>
        <v/>
      </c>
      <c r="U95">
        <f>IF(U38="",$B38,U38)</f>
        <v/>
      </c>
      <c r="V95">
        <f>IF(V38="",$B38,V38)</f>
        <v/>
      </c>
      <c r="W95">
        <f>IF(W38="",$B38,W38)</f>
        <v/>
      </c>
      <c r="X95">
        <f>IF(X38="",$B38,X38)</f>
        <v/>
      </c>
      <c r="Y95">
        <f>IF(Y38="",$B38,Y38)</f>
        <v/>
      </c>
      <c r="Z95">
        <f>IF(Z38="",$B38,Z38)</f>
        <v/>
      </c>
      <c r="AA95">
        <f>IF(AA38="",$B38,AA38)</f>
        <v/>
      </c>
      <c r="AB95">
        <f>IF(AB38="",$B38,AB38)</f>
        <v/>
      </c>
      <c r="AC95">
        <f>IF(AC38="",$B38,AC38)</f>
        <v/>
      </c>
    </row>
    <row r="96">
      <c r="A96" t="inlineStr">
        <is>
          <t>ISIC 51</t>
        </is>
      </c>
      <c r="C96" t="n">
        <v>0</v>
      </c>
      <c r="D96">
        <f>IF(D39="",$B39,D39)</f>
        <v/>
      </c>
      <c r="E96">
        <f>IF(E39="",$B39,E39)</f>
        <v/>
      </c>
      <c r="F96">
        <f>IF(F39="",$B39,F39)</f>
        <v/>
      </c>
      <c r="G96">
        <f>IF(G39="",$B39,G39)</f>
        <v/>
      </c>
      <c r="H96">
        <f>IF(H39="",$B39,H39)</f>
        <v/>
      </c>
      <c r="I96">
        <f>IF(I39="",$B39,I39)</f>
        <v/>
      </c>
      <c r="J96">
        <f>IF(J39="",$B39,J39)</f>
        <v/>
      </c>
      <c r="K96">
        <f>IF(K39="",$B39,K39)</f>
        <v/>
      </c>
      <c r="L96">
        <f>IF(L39="",$B39,L39)</f>
        <v/>
      </c>
      <c r="M96">
        <f>IF(M39="",$B39,M39)</f>
        <v/>
      </c>
      <c r="N96">
        <f>IF(N39="",$B39,N39)</f>
        <v/>
      </c>
      <c r="O96">
        <f>IF(O39="",$B39,O39)</f>
        <v/>
      </c>
      <c r="P96">
        <f>IF(P39="",$B39,P39)</f>
        <v/>
      </c>
      <c r="Q96">
        <f>IF(Q39="",$B39,Q39)</f>
        <v/>
      </c>
      <c r="R96">
        <f>IF(R39="",$B39,R39)</f>
        <v/>
      </c>
      <c r="S96">
        <f>IF(S39="",$B39,S39)</f>
        <v/>
      </c>
      <c r="T96">
        <f>IF(T39="",$B39,T39)</f>
        <v/>
      </c>
      <c r="U96">
        <f>IF(U39="",$B39,U39)</f>
        <v/>
      </c>
      <c r="V96">
        <f>IF(V39="",$B39,V39)</f>
        <v/>
      </c>
      <c r="W96">
        <f>IF(W39="",$B39,W39)</f>
        <v/>
      </c>
      <c r="X96">
        <f>IF(X39="",$B39,X39)</f>
        <v/>
      </c>
      <c r="Y96">
        <f>IF(Y39="",$B39,Y39)</f>
        <v/>
      </c>
      <c r="Z96">
        <f>IF(Z39="",$B39,Z39)</f>
        <v/>
      </c>
      <c r="AA96">
        <f>IF(AA39="",$B39,AA39)</f>
        <v/>
      </c>
      <c r="AB96">
        <f>IF(AB39="",$B39,AB39)</f>
        <v/>
      </c>
      <c r="AC96">
        <f>IF(AC39="",$B39,AC39)</f>
        <v/>
      </c>
    </row>
    <row r="97">
      <c r="A97" t="inlineStr">
        <is>
          <t>ISIC 52</t>
        </is>
      </c>
      <c r="C97" t="n">
        <v>0</v>
      </c>
      <c r="D97">
        <f>IF(D40="",$B40,D40)</f>
        <v/>
      </c>
      <c r="E97">
        <f>IF(E40="",$B40,E40)</f>
        <v/>
      </c>
      <c r="F97">
        <f>IF(F40="",$B40,F40)</f>
        <v/>
      </c>
      <c r="G97">
        <f>IF(G40="",$B40,G40)</f>
        <v/>
      </c>
      <c r="H97">
        <f>IF(H40="",$B40,H40)</f>
        <v/>
      </c>
      <c r="I97">
        <f>IF(I40="",$B40,I40)</f>
        <v/>
      </c>
      <c r="J97">
        <f>IF(J40="",$B40,J40)</f>
        <v/>
      </c>
      <c r="K97">
        <f>IF(K40="",$B40,K40)</f>
        <v/>
      </c>
      <c r="L97">
        <f>IF(L40="",$B40,L40)</f>
        <v/>
      </c>
      <c r="M97">
        <f>IF(M40="",$B40,M40)</f>
        <v/>
      </c>
      <c r="N97">
        <f>IF(N40="",$B40,N40)</f>
        <v/>
      </c>
      <c r="O97">
        <f>IF(O40="",$B40,O40)</f>
        <v/>
      </c>
      <c r="P97">
        <f>IF(P40="",$B40,P40)</f>
        <v/>
      </c>
      <c r="Q97">
        <f>IF(Q40="",$B40,Q40)</f>
        <v/>
      </c>
      <c r="R97">
        <f>IF(R40="",$B40,R40)</f>
        <v/>
      </c>
      <c r="S97">
        <f>IF(S40="",$B40,S40)</f>
        <v/>
      </c>
      <c r="T97">
        <f>IF(T40="",$B40,T40)</f>
        <v/>
      </c>
      <c r="U97">
        <f>IF(U40="",$B40,U40)</f>
        <v/>
      </c>
      <c r="V97">
        <f>IF(V40="",$B40,V40)</f>
        <v/>
      </c>
      <c r="W97">
        <f>IF(W40="",$B40,W40)</f>
        <v/>
      </c>
      <c r="X97">
        <f>IF(X40="",$B40,X40)</f>
        <v/>
      </c>
      <c r="Y97">
        <f>IF(Y40="",$B40,Y40)</f>
        <v/>
      </c>
      <c r="Z97">
        <f>IF(Z40="",$B40,Z40)</f>
        <v/>
      </c>
      <c r="AA97">
        <f>IF(AA40="",$B40,AA40)</f>
        <v/>
      </c>
      <c r="AB97">
        <f>IF(AB40="",$B40,AB40)</f>
        <v/>
      </c>
      <c r="AC97">
        <f>IF(AC40="",$B40,AC40)</f>
        <v/>
      </c>
    </row>
    <row r="98">
      <c r="A98" t="inlineStr">
        <is>
          <t>ISIC 53</t>
        </is>
      </c>
      <c r="C98" t="n">
        <v>0</v>
      </c>
      <c r="D98">
        <f>IF(D41="",$B41,D41)</f>
        <v/>
      </c>
      <c r="E98">
        <f>IF(E41="",$B41,E41)</f>
        <v/>
      </c>
      <c r="F98">
        <f>IF(F41="",$B41,F41)</f>
        <v/>
      </c>
      <c r="G98">
        <f>IF(G41="",$B41,G41)</f>
        <v/>
      </c>
      <c r="H98">
        <f>IF(H41="",$B41,H41)</f>
        <v/>
      </c>
      <c r="I98">
        <f>IF(I41="",$B41,I41)</f>
        <v/>
      </c>
      <c r="J98">
        <f>IF(J41="",$B41,J41)</f>
        <v/>
      </c>
      <c r="K98">
        <f>IF(K41="",$B41,K41)</f>
        <v/>
      </c>
      <c r="L98">
        <f>IF(L41="",$B41,L41)</f>
        <v/>
      </c>
      <c r="M98">
        <f>IF(M41="",$B41,M41)</f>
        <v/>
      </c>
      <c r="N98">
        <f>IF(N41="",$B41,N41)</f>
        <v/>
      </c>
      <c r="O98">
        <f>IF(O41="",$B41,O41)</f>
        <v/>
      </c>
      <c r="P98">
        <f>IF(P41="",$B41,P41)</f>
        <v/>
      </c>
      <c r="Q98">
        <f>IF(Q41="",$B41,Q41)</f>
        <v/>
      </c>
      <c r="R98">
        <f>IF(R41="",$B41,R41)</f>
        <v/>
      </c>
      <c r="S98">
        <f>IF(S41="",$B41,S41)</f>
        <v/>
      </c>
      <c r="T98">
        <f>IF(T41="",$B41,T41)</f>
        <v/>
      </c>
      <c r="U98">
        <f>IF(U41="",$B41,U41)</f>
        <v/>
      </c>
      <c r="V98">
        <f>IF(V41="",$B41,V41)</f>
        <v/>
      </c>
      <c r="W98">
        <f>IF(W41="",$B41,W41)</f>
        <v/>
      </c>
      <c r="X98">
        <f>IF(X41="",$B41,X41)</f>
        <v/>
      </c>
      <c r="Y98">
        <f>IF(Y41="",$B41,Y41)</f>
        <v/>
      </c>
      <c r="Z98">
        <f>IF(Z41="",$B41,Z41)</f>
        <v/>
      </c>
      <c r="AA98">
        <f>IF(AA41="",$B41,AA41)</f>
        <v/>
      </c>
      <c r="AB98">
        <f>IF(AB41="",$B41,AB41)</f>
        <v/>
      </c>
      <c r="AC98">
        <f>IF(AC41="",$B41,AC41)</f>
        <v/>
      </c>
    </row>
    <row r="99">
      <c r="A99" t="inlineStr">
        <is>
          <t>ISIC 55T56</t>
        </is>
      </c>
      <c r="C99" t="n">
        <v>0</v>
      </c>
      <c r="D99">
        <f>IF(D42="",$B42,D42)</f>
        <v/>
      </c>
      <c r="E99">
        <f>IF(E42="",$B42,E42)</f>
        <v/>
      </c>
      <c r="F99">
        <f>IF(F42="",$B42,F42)</f>
        <v/>
      </c>
      <c r="G99">
        <f>IF(G42="",$B42,G42)</f>
        <v/>
      </c>
      <c r="H99">
        <f>IF(H42="",$B42,H42)</f>
        <v/>
      </c>
      <c r="I99">
        <f>IF(I42="",$B42,I42)</f>
        <v/>
      </c>
      <c r="J99">
        <f>IF(J42="",$B42,J42)</f>
        <v/>
      </c>
      <c r="K99">
        <f>IF(K42="",$B42,K42)</f>
        <v/>
      </c>
      <c r="L99">
        <f>IF(L42="",$B42,L42)</f>
        <v/>
      </c>
      <c r="M99">
        <f>IF(M42="",$B42,M42)</f>
        <v/>
      </c>
      <c r="N99">
        <f>IF(N42="",$B42,N42)</f>
        <v/>
      </c>
      <c r="O99">
        <f>IF(O42="",$B42,O42)</f>
        <v/>
      </c>
      <c r="P99">
        <f>IF(P42="",$B42,P42)</f>
        <v/>
      </c>
      <c r="Q99">
        <f>IF(Q42="",$B42,Q42)</f>
        <v/>
      </c>
      <c r="R99">
        <f>IF(R42="",$B42,R42)</f>
        <v/>
      </c>
      <c r="S99">
        <f>IF(S42="",$B42,S42)</f>
        <v/>
      </c>
      <c r="T99">
        <f>IF(T42="",$B42,T42)</f>
        <v/>
      </c>
      <c r="U99">
        <f>IF(U42="",$B42,U42)</f>
        <v/>
      </c>
      <c r="V99">
        <f>IF(V42="",$B42,V42)</f>
        <v/>
      </c>
      <c r="W99">
        <f>IF(W42="",$B42,W42)</f>
        <v/>
      </c>
      <c r="X99">
        <f>IF(X42="",$B42,X42)</f>
        <v/>
      </c>
      <c r="Y99">
        <f>IF(Y42="",$B42,Y42)</f>
        <v/>
      </c>
      <c r="Z99">
        <f>IF(Z42="",$B42,Z42)</f>
        <v/>
      </c>
      <c r="AA99">
        <f>IF(AA42="",$B42,AA42)</f>
        <v/>
      </c>
      <c r="AB99">
        <f>IF(AB42="",$B42,AB42)</f>
        <v/>
      </c>
      <c r="AC99">
        <f>IF(AC42="",$B42,AC42)</f>
        <v/>
      </c>
    </row>
    <row r="100">
      <c r="A100" t="inlineStr">
        <is>
          <t>ISIC 58T60</t>
        </is>
      </c>
      <c r="C100" t="n">
        <v>0</v>
      </c>
      <c r="D100">
        <f>IF(D43="",$B43,D43)</f>
        <v/>
      </c>
      <c r="E100">
        <f>IF(E43="",$B43,E43)</f>
        <v/>
      </c>
      <c r="F100">
        <f>IF(F43="",$B43,F43)</f>
        <v/>
      </c>
      <c r="G100">
        <f>IF(G43="",$B43,G43)</f>
        <v/>
      </c>
      <c r="H100">
        <f>IF(H43="",$B43,H43)</f>
        <v/>
      </c>
      <c r="I100">
        <f>IF(I43="",$B43,I43)</f>
        <v/>
      </c>
      <c r="J100">
        <f>IF(J43="",$B43,J43)</f>
        <v/>
      </c>
      <c r="K100">
        <f>IF(K43="",$B43,K43)</f>
        <v/>
      </c>
      <c r="L100">
        <f>IF(L43="",$B43,L43)</f>
        <v/>
      </c>
      <c r="M100">
        <f>IF(M43="",$B43,M43)</f>
        <v/>
      </c>
      <c r="N100">
        <f>IF(N43="",$B43,N43)</f>
        <v/>
      </c>
      <c r="O100">
        <f>IF(O43="",$B43,O43)</f>
        <v/>
      </c>
      <c r="P100">
        <f>IF(P43="",$B43,P43)</f>
        <v/>
      </c>
      <c r="Q100">
        <f>IF(Q43="",$B43,Q43)</f>
        <v/>
      </c>
      <c r="R100">
        <f>IF(R43="",$B43,R43)</f>
        <v/>
      </c>
      <c r="S100">
        <f>IF(S43="",$B43,S43)</f>
        <v/>
      </c>
      <c r="T100">
        <f>IF(T43="",$B43,T43)</f>
        <v/>
      </c>
      <c r="U100">
        <f>IF(U43="",$B43,U43)</f>
        <v/>
      </c>
      <c r="V100">
        <f>IF(V43="",$B43,V43)</f>
        <v/>
      </c>
      <c r="W100">
        <f>IF(W43="",$B43,W43)</f>
        <v/>
      </c>
      <c r="X100">
        <f>IF(X43="",$B43,X43)</f>
        <v/>
      </c>
      <c r="Y100">
        <f>IF(Y43="",$B43,Y43)</f>
        <v/>
      </c>
      <c r="Z100">
        <f>IF(Z43="",$B43,Z43)</f>
        <v/>
      </c>
      <c r="AA100">
        <f>IF(AA43="",$B43,AA43)</f>
        <v/>
      </c>
      <c r="AB100">
        <f>IF(AB43="",$B43,AB43)</f>
        <v/>
      </c>
      <c r="AC100">
        <f>IF(AC43="",$B43,AC43)</f>
        <v/>
      </c>
    </row>
    <row r="101">
      <c r="A101" t="inlineStr">
        <is>
          <t>ISIC 61</t>
        </is>
      </c>
      <c r="C101" t="n">
        <v>0</v>
      </c>
      <c r="D101">
        <f>IF(D44="",$B44,D44)</f>
        <v/>
      </c>
      <c r="E101">
        <f>IF(E44="",$B44,E44)</f>
        <v/>
      </c>
      <c r="F101">
        <f>IF(F44="",$B44,F44)</f>
        <v/>
      </c>
      <c r="G101">
        <f>IF(G44="",$B44,G44)</f>
        <v/>
      </c>
      <c r="H101">
        <f>IF(H44="",$B44,H44)</f>
        <v/>
      </c>
      <c r="I101">
        <f>IF(I44="",$B44,I44)</f>
        <v/>
      </c>
      <c r="J101">
        <f>IF(J44="",$B44,J44)</f>
        <v/>
      </c>
      <c r="K101">
        <f>IF(K44="",$B44,K44)</f>
        <v/>
      </c>
      <c r="L101">
        <f>IF(L44="",$B44,L44)</f>
        <v/>
      </c>
      <c r="M101">
        <f>IF(M44="",$B44,M44)</f>
        <v/>
      </c>
      <c r="N101">
        <f>IF(N44="",$B44,N44)</f>
        <v/>
      </c>
      <c r="O101">
        <f>IF(O44="",$B44,O44)</f>
        <v/>
      </c>
      <c r="P101">
        <f>IF(P44="",$B44,P44)</f>
        <v/>
      </c>
      <c r="Q101">
        <f>IF(Q44="",$B44,Q44)</f>
        <v/>
      </c>
      <c r="R101">
        <f>IF(R44="",$B44,R44)</f>
        <v/>
      </c>
      <c r="S101">
        <f>IF(S44="",$B44,S44)</f>
        <v/>
      </c>
      <c r="T101">
        <f>IF(T44="",$B44,T44)</f>
        <v/>
      </c>
      <c r="U101">
        <f>IF(U44="",$B44,U44)</f>
        <v/>
      </c>
      <c r="V101">
        <f>IF(V44="",$B44,V44)</f>
        <v/>
      </c>
      <c r="W101">
        <f>IF(W44="",$B44,W44)</f>
        <v/>
      </c>
      <c r="X101">
        <f>IF(X44="",$B44,X44)</f>
        <v/>
      </c>
      <c r="Y101">
        <f>IF(Y44="",$B44,Y44)</f>
        <v/>
      </c>
      <c r="Z101">
        <f>IF(Z44="",$B44,Z44)</f>
        <v/>
      </c>
      <c r="AA101">
        <f>IF(AA44="",$B44,AA44)</f>
        <v/>
      </c>
      <c r="AB101">
        <f>IF(AB44="",$B44,AB44)</f>
        <v/>
      </c>
      <c r="AC101">
        <f>IF(AC44="",$B44,AC44)</f>
        <v/>
      </c>
    </row>
    <row r="102">
      <c r="A102" t="inlineStr">
        <is>
          <t>ISIC 62T63</t>
        </is>
      </c>
      <c r="C102" t="n">
        <v>0</v>
      </c>
      <c r="D102">
        <f>IF(D45="",$B45,D45)</f>
        <v/>
      </c>
      <c r="E102">
        <f>IF(E45="",$B45,E45)</f>
        <v/>
      </c>
      <c r="F102">
        <f>IF(F45="",$B45,F45)</f>
        <v/>
      </c>
      <c r="G102">
        <f>IF(G45="",$B45,G45)</f>
        <v/>
      </c>
      <c r="H102">
        <f>IF(H45="",$B45,H45)</f>
        <v/>
      </c>
      <c r="I102">
        <f>IF(I45="",$B45,I45)</f>
        <v/>
      </c>
      <c r="J102">
        <f>IF(J45="",$B45,J45)</f>
        <v/>
      </c>
      <c r="K102">
        <f>IF(K45="",$B45,K45)</f>
        <v/>
      </c>
      <c r="L102">
        <f>IF(L45="",$B45,L45)</f>
        <v/>
      </c>
      <c r="M102">
        <f>IF(M45="",$B45,M45)</f>
        <v/>
      </c>
      <c r="N102">
        <f>IF(N45="",$B45,N45)</f>
        <v/>
      </c>
      <c r="O102">
        <f>IF(O45="",$B45,O45)</f>
        <v/>
      </c>
      <c r="P102">
        <f>IF(P45="",$B45,P45)</f>
        <v/>
      </c>
      <c r="Q102">
        <f>IF(Q45="",$B45,Q45)</f>
        <v/>
      </c>
      <c r="R102">
        <f>IF(R45="",$B45,R45)</f>
        <v/>
      </c>
      <c r="S102">
        <f>IF(S45="",$B45,S45)</f>
        <v/>
      </c>
      <c r="T102">
        <f>IF(T45="",$B45,T45)</f>
        <v/>
      </c>
      <c r="U102">
        <f>IF(U45="",$B45,U45)</f>
        <v/>
      </c>
      <c r="V102">
        <f>IF(V45="",$B45,V45)</f>
        <v/>
      </c>
      <c r="W102">
        <f>IF(W45="",$B45,W45)</f>
        <v/>
      </c>
      <c r="X102">
        <f>IF(X45="",$B45,X45)</f>
        <v/>
      </c>
      <c r="Y102">
        <f>IF(Y45="",$B45,Y45)</f>
        <v/>
      </c>
      <c r="Z102">
        <f>IF(Z45="",$B45,Z45)</f>
        <v/>
      </c>
      <c r="AA102">
        <f>IF(AA45="",$B45,AA45)</f>
        <v/>
      </c>
      <c r="AB102">
        <f>IF(AB45="",$B45,AB45)</f>
        <v/>
      </c>
      <c r="AC102">
        <f>IF(AC45="",$B45,AC45)</f>
        <v/>
      </c>
    </row>
    <row r="103">
      <c r="A103" t="inlineStr">
        <is>
          <t>ISIC 64T66</t>
        </is>
      </c>
      <c r="C103" t="n">
        <v>0</v>
      </c>
      <c r="D103">
        <f>IF(D46="",$B46,D46)</f>
        <v/>
      </c>
      <c r="E103">
        <f>IF(E46="",$B46,E46)</f>
        <v/>
      </c>
      <c r="F103">
        <f>IF(F46="",$B46,F46)</f>
        <v/>
      </c>
      <c r="G103">
        <f>IF(G46="",$B46,G46)</f>
        <v/>
      </c>
      <c r="H103">
        <f>IF(H46="",$B46,H46)</f>
        <v/>
      </c>
      <c r="I103">
        <f>IF(I46="",$B46,I46)</f>
        <v/>
      </c>
      <c r="J103">
        <f>IF(J46="",$B46,J46)</f>
        <v/>
      </c>
      <c r="K103">
        <f>IF(K46="",$B46,K46)</f>
        <v/>
      </c>
      <c r="L103">
        <f>IF(L46="",$B46,L46)</f>
        <v/>
      </c>
      <c r="M103">
        <f>IF(M46="",$B46,M46)</f>
        <v/>
      </c>
      <c r="N103">
        <f>IF(N46="",$B46,N46)</f>
        <v/>
      </c>
      <c r="O103">
        <f>IF(O46="",$B46,O46)</f>
        <v/>
      </c>
      <c r="P103">
        <f>IF(P46="",$B46,P46)</f>
        <v/>
      </c>
      <c r="Q103">
        <f>IF(Q46="",$B46,Q46)</f>
        <v/>
      </c>
      <c r="R103">
        <f>IF(R46="",$B46,R46)</f>
        <v/>
      </c>
      <c r="S103">
        <f>IF(S46="",$B46,S46)</f>
        <v/>
      </c>
      <c r="T103">
        <f>IF(T46="",$B46,T46)</f>
        <v/>
      </c>
      <c r="U103">
        <f>IF(U46="",$B46,U46)</f>
        <v/>
      </c>
      <c r="V103">
        <f>IF(V46="",$B46,V46)</f>
        <v/>
      </c>
      <c r="W103">
        <f>IF(W46="",$B46,W46)</f>
        <v/>
      </c>
      <c r="X103">
        <f>IF(X46="",$B46,X46)</f>
        <v/>
      </c>
      <c r="Y103">
        <f>IF(Y46="",$B46,Y46)</f>
        <v/>
      </c>
      <c r="Z103">
        <f>IF(Z46="",$B46,Z46)</f>
        <v/>
      </c>
      <c r="AA103">
        <f>IF(AA46="",$B46,AA46)</f>
        <v/>
      </c>
      <c r="AB103">
        <f>IF(AB46="",$B46,AB46)</f>
        <v/>
      </c>
      <c r="AC103">
        <f>IF(AC46="",$B46,AC46)</f>
        <v/>
      </c>
    </row>
    <row r="104">
      <c r="A104" t="inlineStr">
        <is>
          <t>ISIC 68</t>
        </is>
      </c>
      <c r="C104" t="n">
        <v>0</v>
      </c>
      <c r="D104">
        <f>IF(D47="",$B47,D47)</f>
        <v/>
      </c>
      <c r="E104">
        <f>IF(E47="",$B47,E47)</f>
        <v/>
      </c>
      <c r="F104">
        <f>IF(F47="",$B47,F47)</f>
        <v/>
      </c>
      <c r="G104">
        <f>IF(G47="",$B47,G47)</f>
        <v/>
      </c>
      <c r="H104">
        <f>IF(H47="",$B47,H47)</f>
        <v/>
      </c>
      <c r="I104">
        <f>IF(I47="",$B47,I47)</f>
        <v/>
      </c>
      <c r="J104">
        <f>IF(J47="",$B47,J47)</f>
        <v/>
      </c>
      <c r="K104">
        <f>IF(K47="",$B47,K47)</f>
        <v/>
      </c>
      <c r="L104">
        <f>IF(L47="",$B47,L47)</f>
        <v/>
      </c>
      <c r="M104">
        <f>IF(M47="",$B47,M47)</f>
        <v/>
      </c>
      <c r="N104">
        <f>IF(N47="",$B47,N47)</f>
        <v/>
      </c>
      <c r="O104">
        <f>IF(O47="",$B47,O47)</f>
        <v/>
      </c>
      <c r="P104">
        <f>IF(P47="",$B47,P47)</f>
        <v/>
      </c>
      <c r="Q104">
        <f>IF(Q47="",$B47,Q47)</f>
        <v/>
      </c>
      <c r="R104">
        <f>IF(R47="",$B47,R47)</f>
        <v/>
      </c>
      <c r="S104">
        <f>IF(S47="",$B47,S47)</f>
        <v/>
      </c>
      <c r="T104">
        <f>IF(T47="",$B47,T47)</f>
        <v/>
      </c>
      <c r="U104">
        <f>IF(U47="",$B47,U47)</f>
        <v/>
      </c>
      <c r="V104">
        <f>IF(V47="",$B47,V47)</f>
        <v/>
      </c>
      <c r="W104">
        <f>IF(W47="",$B47,W47)</f>
        <v/>
      </c>
      <c r="X104">
        <f>IF(X47="",$B47,X47)</f>
        <v/>
      </c>
      <c r="Y104">
        <f>IF(Y47="",$B47,Y47)</f>
        <v/>
      </c>
      <c r="Z104">
        <f>IF(Z47="",$B47,Z47)</f>
        <v/>
      </c>
      <c r="AA104">
        <f>IF(AA47="",$B47,AA47)</f>
        <v/>
      </c>
      <c r="AB104">
        <f>IF(AB47="",$B47,AB47)</f>
        <v/>
      </c>
      <c r="AC104">
        <f>IF(AC47="",$B47,AC47)</f>
        <v/>
      </c>
    </row>
    <row r="105">
      <c r="A105" t="inlineStr">
        <is>
          <t>ISIC 69T75</t>
        </is>
      </c>
      <c r="C105" t="n">
        <v>0</v>
      </c>
      <c r="D105">
        <f>IF(D48="",$B48,D48)</f>
        <v/>
      </c>
      <c r="E105">
        <f>IF(E48="",$B48,E48)</f>
        <v/>
      </c>
      <c r="F105">
        <f>IF(F48="",$B48,F48)</f>
        <v/>
      </c>
      <c r="G105">
        <f>IF(G48="",$B48,G48)</f>
        <v/>
      </c>
      <c r="H105">
        <f>IF(H48="",$B48,H48)</f>
        <v/>
      </c>
      <c r="I105">
        <f>IF(I48="",$B48,I48)</f>
        <v/>
      </c>
      <c r="J105">
        <f>IF(J48="",$B48,J48)</f>
        <v/>
      </c>
      <c r="K105">
        <f>IF(K48="",$B48,K48)</f>
        <v/>
      </c>
      <c r="L105">
        <f>IF(L48="",$B48,L48)</f>
        <v/>
      </c>
      <c r="M105">
        <f>IF(M48="",$B48,M48)</f>
        <v/>
      </c>
      <c r="N105">
        <f>IF(N48="",$B48,N48)</f>
        <v/>
      </c>
      <c r="O105">
        <f>IF(O48="",$B48,O48)</f>
        <v/>
      </c>
      <c r="P105">
        <f>IF(P48="",$B48,P48)</f>
        <v/>
      </c>
      <c r="Q105">
        <f>IF(Q48="",$B48,Q48)</f>
        <v/>
      </c>
      <c r="R105">
        <f>IF(R48="",$B48,R48)</f>
        <v/>
      </c>
      <c r="S105">
        <f>IF(S48="",$B48,S48)</f>
        <v/>
      </c>
      <c r="T105">
        <f>IF(T48="",$B48,T48)</f>
        <v/>
      </c>
      <c r="U105">
        <f>IF(U48="",$B48,U48)</f>
        <v/>
      </c>
      <c r="V105">
        <f>IF(V48="",$B48,V48)</f>
        <v/>
      </c>
      <c r="W105">
        <f>IF(W48="",$B48,W48)</f>
        <v/>
      </c>
      <c r="X105">
        <f>IF(X48="",$B48,X48)</f>
        <v/>
      </c>
      <c r="Y105">
        <f>IF(Y48="",$B48,Y48)</f>
        <v/>
      </c>
      <c r="Z105">
        <f>IF(Z48="",$B48,Z48)</f>
        <v/>
      </c>
      <c r="AA105">
        <f>IF(AA48="",$B48,AA48)</f>
        <v/>
      </c>
      <c r="AB105">
        <f>IF(AB48="",$B48,AB48)</f>
        <v/>
      </c>
      <c r="AC105">
        <f>IF(AC48="",$B48,AC48)</f>
        <v/>
      </c>
    </row>
    <row r="106">
      <c r="A106" t="inlineStr">
        <is>
          <t>ISIC 77T82</t>
        </is>
      </c>
      <c r="C106" t="n">
        <v>0</v>
      </c>
      <c r="D106">
        <f>IF(D49="",$B49,D49)</f>
        <v/>
      </c>
      <c r="E106">
        <f>IF(E49="",$B49,E49)</f>
        <v/>
      </c>
      <c r="F106">
        <f>IF(F49="",$B49,F49)</f>
        <v/>
      </c>
      <c r="G106">
        <f>IF(G49="",$B49,G49)</f>
        <v/>
      </c>
      <c r="H106">
        <f>IF(H49="",$B49,H49)</f>
        <v/>
      </c>
      <c r="I106">
        <f>IF(I49="",$B49,I49)</f>
        <v/>
      </c>
      <c r="J106">
        <f>IF(J49="",$B49,J49)</f>
        <v/>
      </c>
      <c r="K106">
        <f>IF(K49="",$B49,K49)</f>
        <v/>
      </c>
      <c r="L106">
        <f>IF(L49="",$B49,L49)</f>
        <v/>
      </c>
      <c r="M106">
        <f>IF(M49="",$B49,M49)</f>
        <v/>
      </c>
      <c r="N106">
        <f>IF(N49="",$B49,N49)</f>
        <v/>
      </c>
      <c r="O106">
        <f>IF(O49="",$B49,O49)</f>
        <v/>
      </c>
      <c r="P106">
        <f>IF(P49="",$B49,P49)</f>
        <v/>
      </c>
      <c r="Q106">
        <f>IF(Q49="",$B49,Q49)</f>
        <v/>
      </c>
      <c r="R106">
        <f>IF(R49="",$B49,R49)</f>
        <v/>
      </c>
      <c r="S106">
        <f>IF(S49="",$B49,S49)</f>
        <v/>
      </c>
      <c r="T106">
        <f>IF(T49="",$B49,T49)</f>
        <v/>
      </c>
      <c r="U106">
        <f>IF(U49="",$B49,U49)</f>
        <v/>
      </c>
      <c r="V106">
        <f>IF(V49="",$B49,V49)</f>
        <v/>
      </c>
      <c r="W106">
        <f>IF(W49="",$B49,W49)</f>
        <v/>
      </c>
      <c r="X106">
        <f>IF(X49="",$B49,X49)</f>
        <v/>
      </c>
      <c r="Y106">
        <f>IF(Y49="",$B49,Y49)</f>
        <v/>
      </c>
      <c r="Z106">
        <f>IF(Z49="",$B49,Z49)</f>
        <v/>
      </c>
      <c r="AA106">
        <f>IF(AA49="",$B49,AA49)</f>
        <v/>
      </c>
      <c r="AB106">
        <f>IF(AB49="",$B49,AB49)</f>
        <v/>
      </c>
      <c r="AC106">
        <f>IF(AC49="",$B49,AC49)</f>
        <v/>
      </c>
    </row>
    <row r="107">
      <c r="A107" t="inlineStr">
        <is>
          <t>ISIC 84</t>
        </is>
      </c>
      <c r="C107" t="n">
        <v>0</v>
      </c>
      <c r="D107">
        <f>IF(D50="",$B50,D50)</f>
        <v/>
      </c>
      <c r="E107">
        <f>IF(E50="",$B50,E50)</f>
        <v/>
      </c>
      <c r="F107">
        <f>IF(F50="",$B50,F50)</f>
        <v/>
      </c>
      <c r="G107">
        <f>IF(G50="",$B50,G50)</f>
        <v/>
      </c>
      <c r="H107">
        <f>IF(H50="",$B50,H50)</f>
        <v/>
      </c>
      <c r="I107">
        <f>IF(I50="",$B50,I50)</f>
        <v/>
      </c>
      <c r="J107">
        <f>IF(J50="",$B50,J50)</f>
        <v/>
      </c>
      <c r="K107">
        <f>IF(K50="",$B50,K50)</f>
        <v/>
      </c>
      <c r="L107">
        <f>IF(L50="",$B50,L50)</f>
        <v/>
      </c>
      <c r="M107">
        <f>IF(M50="",$B50,M50)</f>
        <v/>
      </c>
      <c r="N107">
        <f>IF(N50="",$B50,N50)</f>
        <v/>
      </c>
      <c r="O107">
        <f>IF(O50="",$B50,O50)</f>
        <v/>
      </c>
      <c r="P107">
        <f>IF(P50="",$B50,P50)</f>
        <v/>
      </c>
      <c r="Q107">
        <f>IF(Q50="",$B50,Q50)</f>
        <v/>
      </c>
      <c r="R107">
        <f>IF(R50="",$B50,R50)</f>
        <v/>
      </c>
      <c r="S107">
        <f>IF(S50="",$B50,S50)</f>
        <v/>
      </c>
      <c r="T107">
        <f>IF(T50="",$B50,T50)</f>
        <v/>
      </c>
      <c r="U107">
        <f>IF(U50="",$B50,U50)</f>
        <v/>
      </c>
      <c r="V107">
        <f>IF(V50="",$B50,V50)</f>
        <v/>
      </c>
      <c r="W107">
        <f>IF(W50="",$B50,W50)</f>
        <v/>
      </c>
      <c r="X107">
        <f>IF(X50="",$B50,X50)</f>
        <v/>
      </c>
      <c r="Y107">
        <f>IF(Y50="",$B50,Y50)</f>
        <v/>
      </c>
      <c r="Z107">
        <f>IF(Z50="",$B50,Z50)</f>
        <v/>
      </c>
      <c r="AA107">
        <f>IF(AA50="",$B50,AA50)</f>
        <v/>
      </c>
      <c r="AB107">
        <f>IF(AB50="",$B50,AB50)</f>
        <v/>
      </c>
      <c r="AC107">
        <f>IF(AC50="",$B50,AC50)</f>
        <v/>
      </c>
    </row>
    <row r="108">
      <c r="A108" t="inlineStr">
        <is>
          <t>ISIC 85</t>
        </is>
      </c>
      <c r="C108" t="n">
        <v>0</v>
      </c>
      <c r="D108">
        <f>IF(D51="",$B51,D51)</f>
        <v/>
      </c>
      <c r="E108">
        <f>IF(E51="",$B51,E51)</f>
        <v/>
      </c>
      <c r="F108">
        <f>IF(F51="",$B51,F51)</f>
        <v/>
      </c>
      <c r="G108">
        <f>IF(G51="",$B51,G51)</f>
        <v/>
      </c>
      <c r="H108">
        <f>IF(H51="",$B51,H51)</f>
        <v/>
      </c>
      <c r="I108">
        <f>IF(I51="",$B51,I51)</f>
        <v/>
      </c>
      <c r="J108">
        <f>IF(J51="",$B51,J51)</f>
        <v/>
      </c>
      <c r="K108">
        <f>IF(K51="",$B51,K51)</f>
        <v/>
      </c>
      <c r="L108">
        <f>IF(L51="",$B51,L51)</f>
        <v/>
      </c>
      <c r="M108">
        <f>IF(M51="",$B51,M51)</f>
        <v/>
      </c>
      <c r="N108">
        <f>IF(N51="",$B51,N51)</f>
        <v/>
      </c>
      <c r="O108">
        <f>IF(O51="",$B51,O51)</f>
        <v/>
      </c>
      <c r="P108">
        <f>IF(P51="",$B51,P51)</f>
        <v/>
      </c>
      <c r="Q108">
        <f>IF(Q51="",$B51,Q51)</f>
        <v/>
      </c>
      <c r="R108">
        <f>IF(R51="",$B51,R51)</f>
        <v/>
      </c>
      <c r="S108">
        <f>IF(S51="",$B51,S51)</f>
        <v/>
      </c>
      <c r="T108">
        <f>IF(T51="",$B51,T51)</f>
        <v/>
      </c>
      <c r="U108">
        <f>IF(U51="",$B51,U51)</f>
        <v/>
      </c>
      <c r="V108">
        <f>IF(V51="",$B51,V51)</f>
        <v/>
      </c>
      <c r="W108">
        <f>IF(W51="",$B51,W51)</f>
        <v/>
      </c>
      <c r="X108">
        <f>IF(X51="",$B51,X51)</f>
        <v/>
      </c>
      <c r="Y108">
        <f>IF(Y51="",$B51,Y51)</f>
        <v/>
      </c>
      <c r="Z108">
        <f>IF(Z51="",$B51,Z51)</f>
        <v/>
      </c>
      <c r="AA108">
        <f>IF(AA51="",$B51,AA51)</f>
        <v/>
      </c>
      <c r="AB108">
        <f>IF(AB51="",$B51,AB51)</f>
        <v/>
      </c>
      <c r="AC108">
        <f>IF(AC51="",$B51,AC51)</f>
        <v/>
      </c>
    </row>
    <row r="109">
      <c r="A109" t="inlineStr">
        <is>
          <t>ISIC 86T88</t>
        </is>
      </c>
      <c r="C109" t="n">
        <v>0</v>
      </c>
      <c r="D109">
        <f>IF(D52="",$B52,D52)</f>
        <v/>
      </c>
      <c r="E109">
        <f>IF(E52="",$B52,E52)</f>
        <v/>
      </c>
      <c r="F109">
        <f>IF(F52="",$B52,F52)</f>
        <v/>
      </c>
      <c r="G109">
        <f>IF(G52="",$B52,G52)</f>
        <v/>
      </c>
      <c r="H109">
        <f>IF(H52="",$B52,H52)</f>
        <v/>
      </c>
      <c r="I109">
        <f>IF(I52="",$B52,I52)</f>
        <v/>
      </c>
      <c r="J109">
        <f>IF(J52="",$B52,J52)</f>
        <v/>
      </c>
      <c r="K109">
        <f>IF(K52="",$B52,K52)</f>
        <v/>
      </c>
      <c r="L109">
        <f>IF(L52="",$B52,L52)</f>
        <v/>
      </c>
      <c r="M109">
        <f>IF(M52="",$B52,M52)</f>
        <v/>
      </c>
      <c r="N109">
        <f>IF(N52="",$B52,N52)</f>
        <v/>
      </c>
      <c r="O109">
        <f>IF(O52="",$B52,O52)</f>
        <v/>
      </c>
      <c r="P109">
        <f>IF(P52="",$B52,P52)</f>
        <v/>
      </c>
      <c r="Q109">
        <f>IF(Q52="",$B52,Q52)</f>
        <v/>
      </c>
      <c r="R109">
        <f>IF(R52="",$B52,R52)</f>
        <v/>
      </c>
      <c r="S109">
        <f>IF(S52="",$B52,S52)</f>
        <v/>
      </c>
      <c r="T109">
        <f>IF(T52="",$B52,T52)</f>
        <v/>
      </c>
      <c r="U109">
        <f>IF(U52="",$B52,U52)</f>
        <v/>
      </c>
      <c r="V109">
        <f>IF(V52="",$B52,V52)</f>
        <v/>
      </c>
      <c r="W109">
        <f>IF(W52="",$B52,W52)</f>
        <v/>
      </c>
      <c r="X109">
        <f>IF(X52="",$B52,X52)</f>
        <v/>
      </c>
      <c r="Y109">
        <f>IF(Y52="",$B52,Y52)</f>
        <v/>
      </c>
      <c r="Z109">
        <f>IF(Z52="",$B52,Z52)</f>
        <v/>
      </c>
      <c r="AA109">
        <f>IF(AA52="",$B52,AA52)</f>
        <v/>
      </c>
      <c r="AB109">
        <f>IF(AB52="",$B52,AB52)</f>
        <v/>
      </c>
      <c r="AC109">
        <f>IF(AC52="",$B52,AC52)</f>
        <v/>
      </c>
    </row>
    <row r="110">
      <c r="A110" t="inlineStr">
        <is>
          <t>ISIC 90T93</t>
        </is>
      </c>
      <c r="C110" t="n">
        <v>0</v>
      </c>
      <c r="D110">
        <f>IF(D53="",$B53,D53)</f>
        <v/>
      </c>
      <c r="E110">
        <f>IF(E53="",$B53,E53)</f>
        <v/>
      </c>
      <c r="F110">
        <f>IF(F53="",$B53,F53)</f>
        <v/>
      </c>
      <c r="G110">
        <f>IF(G53="",$B53,G53)</f>
        <v/>
      </c>
      <c r="H110">
        <f>IF(H53="",$B53,H53)</f>
        <v/>
      </c>
      <c r="I110">
        <f>IF(I53="",$B53,I53)</f>
        <v/>
      </c>
      <c r="J110">
        <f>IF(J53="",$B53,J53)</f>
        <v/>
      </c>
      <c r="K110">
        <f>IF(K53="",$B53,K53)</f>
        <v/>
      </c>
      <c r="L110">
        <f>IF(L53="",$B53,L53)</f>
        <v/>
      </c>
      <c r="M110">
        <f>IF(M53="",$B53,M53)</f>
        <v/>
      </c>
      <c r="N110">
        <f>IF(N53="",$B53,N53)</f>
        <v/>
      </c>
      <c r="O110">
        <f>IF(O53="",$B53,O53)</f>
        <v/>
      </c>
      <c r="P110">
        <f>IF(P53="",$B53,P53)</f>
        <v/>
      </c>
      <c r="Q110">
        <f>IF(Q53="",$B53,Q53)</f>
        <v/>
      </c>
      <c r="R110">
        <f>IF(R53="",$B53,R53)</f>
        <v/>
      </c>
      <c r="S110">
        <f>IF(S53="",$B53,S53)</f>
        <v/>
      </c>
      <c r="T110">
        <f>IF(T53="",$B53,T53)</f>
        <v/>
      </c>
      <c r="U110">
        <f>IF(U53="",$B53,U53)</f>
        <v/>
      </c>
      <c r="V110">
        <f>IF(V53="",$B53,V53)</f>
        <v/>
      </c>
      <c r="W110">
        <f>IF(W53="",$B53,W53)</f>
        <v/>
      </c>
      <c r="X110">
        <f>IF(X53="",$B53,X53)</f>
        <v/>
      </c>
      <c r="Y110">
        <f>IF(Y53="",$B53,Y53)</f>
        <v/>
      </c>
      <c r="Z110">
        <f>IF(Z53="",$B53,Z53)</f>
        <v/>
      </c>
      <c r="AA110">
        <f>IF(AA53="",$B53,AA53)</f>
        <v/>
      </c>
      <c r="AB110">
        <f>IF(AB53="",$B53,AB53)</f>
        <v/>
      </c>
      <c r="AC110">
        <f>IF(AC53="",$B53,AC53)</f>
        <v/>
      </c>
    </row>
    <row r="111">
      <c r="A111" t="inlineStr">
        <is>
          <t>ISIC 94T96</t>
        </is>
      </c>
      <c r="C111" t="n">
        <v>0</v>
      </c>
      <c r="D111">
        <f>IF(D54="",$B54,D54)</f>
        <v/>
      </c>
      <c r="E111">
        <f>IF(E54="",$B54,E54)</f>
        <v/>
      </c>
      <c r="F111">
        <f>IF(F54="",$B54,F54)</f>
        <v/>
      </c>
      <c r="G111">
        <f>IF(G54="",$B54,G54)</f>
        <v/>
      </c>
      <c r="H111">
        <f>IF(H54="",$B54,H54)</f>
        <v/>
      </c>
      <c r="I111">
        <f>IF(I54="",$B54,I54)</f>
        <v/>
      </c>
      <c r="J111">
        <f>IF(J54="",$B54,J54)</f>
        <v/>
      </c>
      <c r="K111">
        <f>IF(K54="",$B54,K54)</f>
        <v/>
      </c>
      <c r="L111">
        <f>IF(L54="",$B54,L54)</f>
        <v/>
      </c>
      <c r="M111">
        <f>IF(M54="",$B54,M54)</f>
        <v/>
      </c>
      <c r="N111">
        <f>IF(N54="",$B54,N54)</f>
        <v/>
      </c>
      <c r="O111">
        <f>IF(O54="",$B54,O54)</f>
        <v/>
      </c>
      <c r="P111">
        <f>IF(P54="",$B54,P54)</f>
        <v/>
      </c>
      <c r="Q111">
        <f>IF(Q54="",$B54,Q54)</f>
        <v/>
      </c>
      <c r="R111">
        <f>IF(R54="",$B54,R54)</f>
        <v/>
      </c>
      <c r="S111">
        <f>IF(S54="",$B54,S54)</f>
        <v/>
      </c>
      <c r="T111">
        <f>IF(T54="",$B54,T54)</f>
        <v/>
      </c>
      <c r="U111">
        <f>IF(U54="",$B54,U54)</f>
        <v/>
      </c>
      <c r="V111">
        <f>IF(V54="",$B54,V54)</f>
        <v/>
      </c>
      <c r="W111">
        <f>IF(W54="",$B54,W54)</f>
        <v/>
      </c>
      <c r="X111">
        <f>IF(X54="",$B54,X54)</f>
        <v/>
      </c>
      <c r="Y111">
        <f>IF(Y54="",$B54,Y54)</f>
        <v/>
      </c>
      <c r="Z111">
        <f>IF(Z54="",$B54,Z54)</f>
        <v/>
      </c>
      <c r="AA111">
        <f>IF(AA54="",$B54,AA54)</f>
        <v/>
      </c>
      <c r="AB111">
        <f>IF(AB54="",$B54,AB54)</f>
        <v/>
      </c>
      <c r="AC111">
        <f>IF(AC54="",$B54,AC54)</f>
        <v/>
      </c>
    </row>
    <row r="112">
      <c r="A112" t="inlineStr">
        <is>
          <t>ISIC 97T98</t>
        </is>
      </c>
      <c r="C112" t="n">
        <v>0</v>
      </c>
      <c r="D112">
        <f>IF(D55="",$B55,D55)</f>
        <v/>
      </c>
      <c r="E112">
        <f>IF(E55="",$B55,E55)</f>
        <v/>
      </c>
      <c r="F112">
        <f>IF(F55="",$B55,F55)</f>
        <v/>
      </c>
      <c r="G112">
        <f>IF(G55="",$B55,G55)</f>
        <v/>
      </c>
      <c r="H112">
        <f>IF(H55="",$B55,H55)</f>
        <v/>
      </c>
      <c r="I112">
        <f>IF(I55="",$B55,I55)</f>
        <v/>
      </c>
      <c r="J112">
        <f>IF(J55="",$B55,J55)</f>
        <v/>
      </c>
      <c r="K112">
        <f>IF(K55="",$B55,K55)</f>
        <v/>
      </c>
      <c r="L112">
        <f>IF(L55="",$B55,L55)</f>
        <v/>
      </c>
      <c r="M112">
        <f>IF(M55="",$B55,M55)</f>
        <v/>
      </c>
      <c r="N112">
        <f>IF(N55="",$B55,N55)</f>
        <v/>
      </c>
      <c r="O112">
        <f>IF(O55="",$B55,O55)</f>
        <v/>
      </c>
      <c r="P112">
        <f>IF(P55="",$B55,P55)</f>
        <v/>
      </c>
      <c r="Q112">
        <f>IF(Q55="",$B55,Q55)</f>
        <v/>
      </c>
      <c r="R112">
        <f>IF(R55="",$B55,R55)</f>
        <v/>
      </c>
      <c r="S112">
        <f>IF(S55="",$B55,S55)</f>
        <v/>
      </c>
      <c r="T112">
        <f>IF(T55="",$B55,T55)</f>
        <v/>
      </c>
      <c r="U112">
        <f>IF(U55="",$B55,U55)</f>
        <v/>
      </c>
      <c r="V112">
        <f>IF(V55="",$B55,V55)</f>
        <v/>
      </c>
      <c r="W112">
        <f>IF(W55="",$B55,W55)</f>
        <v/>
      </c>
      <c r="X112">
        <f>IF(X55="",$B55,X55)</f>
        <v/>
      </c>
      <c r="Y112">
        <f>IF(Y55="",$B55,Y55)</f>
        <v/>
      </c>
      <c r="Z112">
        <f>IF(Z55="",$B55,Z55)</f>
        <v/>
      </c>
      <c r="AA112">
        <f>IF(AA55="",$B55,AA55)</f>
        <v/>
      </c>
      <c r="AB112">
        <f>IF(AB55="",$B55,AB55)</f>
        <v/>
      </c>
      <c r="AC112">
        <f>IF(AC55="",$B55,AC55)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Per-year scaling factor on non-AEO growth rates, solved in closed form so TOTAL value added tracks the GDP projection in EVERY year (linear solve; no goal-seek). Preserves within-year relative growth differences across non-AEO codes.</t>
        </is>
      </c>
    </row>
    <row r="3">
      <c r="C3" s="1" t="n">
        <v>2024</v>
      </c>
      <c r="D3" s="1" t="n">
        <v>2025</v>
      </c>
      <c r="E3" s="1" t="n">
        <v>2026</v>
      </c>
      <c r="F3" s="1" t="n">
        <v>2027</v>
      </c>
      <c r="G3" s="1" t="n">
        <v>2028</v>
      </c>
      <c r="H3" s="1" t="n">
        <v>2029</v>
      </c>
      <c r="I3" s="1" t="n">
        <v>2030</v>
      </c>
      <c r="J3" s="1" t="n">
        <v>2031</v>
      </c>
      <c r="K3" s="1" t="n">
        <v>2032</v>
      </c>
      <c r="L3" s="1" t="n">
        <v>2033</v>
      </c>
      <c r="M3" s="1" t="n">
        <v>2034</v>
      </c>
      <c r="N3" s="1" t="n">
        <v>2035</v>
      </c>
      <c r="O3" s="1" t="n">
        <v>2036</v>
      </c>
      <c r="P3" s="1" t="n">
        <v>2037</v>
      </c>
      <c r="Q3" s="1" t="n">
        <v>2038</v>
      </c>
      <c r="R3" s="1" t="n">
        <v>2039</v>
      </c>
      <c r="S3" s="1" t="n">
        <v>2040</v>
      </c>
      <c r="T3" s="1" t="n">
        <v>2041</v>
      </c>
      <c r="U3" s="1" t="n">
        <v>2042</v>
      </c>
      <c r="V3" s="1" t="n">
        <v>2043</v>
      </c>
      <c r="W3" s="1" t="n">
        <v>2044</v>
      </c>
      <c r="X3" s="1" t="n">
        <v>2045</v>
      </c>
      <c r="Y3" s="1" t="n">
        <v>2046</v>
      </c>
      <c r="Z3" s="1" t="n">
        <v>2047</v>
      </c>
      <c r="AA3" s="1" t="n">
        <v>2048</v>
      </c>
      <c r="AB3" s="1" t="n">
        <v>2049</v>
      </c>
      <c r="AC3" s="1" t="n">
        <v>2050</v>
      </c>
    </row>
    <row r="4">
      <c r="A4" s="1" t="inlineStr">
        <is>
          <t>Target total VA (= VA base total x GDP_y / GDP_2024)</t>
        </is>
      </c>
      <c r="C4">
        <f>SUM(C$9:C$60)</f>
        <v/>
      </c>
      <c r="D4">
        <f>$C$4*INDEX('GDP Forecast'!B:B,MATCH(2025,'GDP Forecast'!A:A,0))/INDEX('GDP Forecast'!B:B,MATCH(2024,'GDP Forecast'!A:A,0))</f>
        <v/>
      </c>
      <c r="E4">
        <f>$C$4*INDEX('GDP Forecast'!B:B,MATCH(2026,'GDP Forecast'!A:A,0))/INDEX('GDP Forecast'!B:B,MATCH(2024,'GDP Forecast'!A:A,0))</f>
        <v/>
      </c>
      <c r="F4">
        <f>$C$4*INDEX('GDP Forecast'!B:B,MATCH(2027,'GDP Forecast'!A:A,0))/INDEX('GDP Forecast'!B:B,MATCH(2024,'GDP Forecast'!A:A,0))</f>
        <v/>
      </c>
      <c r="G4">
        <f>$C$4*INDEX('GDP Forecast'!B:B,MATCH(2028,'GDP Forecast'!A:A,0))/INDEX('GDP Forecast'!B:B,MATCH(2024,'GDP Forecast'!A:A,0))</f>
        <v/>
      </c>
      <c r="H4">
        <f>$C$4*INDEX('GDP Forecast'!B:B,MATCH(2029,'GDP Forecast'!A:A,0))/INDEX('GDP Forecast'!B:B,MATCH(2024,'GDP Forecast'!A:A,0))</f>
        <v/>
      </c>
      <c r="I4">
        <f>$C$4*INDEX('GDP Forecast'!B:B,MATCH(2030,'GDP Forecast'!A:A,0))/INDEX('GDP Forecast'!B:B,MATCH(2024,'GDP Forecast'!A:A,0))</f>
        <v/>
      </c>
      <c r="J4">
        <f>$C$4*INDEX('GDP Forecast'!B:B,MATCH(2031,'GDP Forecast'!A:A,0))/INDEX('GDP Forecast'!B:B,MATCH(2024,'GDP Forecast'!A:A,0))</f>
        <v/>
      </c>
      <c r="K4">
        <f>$C$4*INDEX('GDP Forecast'!B:B,MATCH(2032,'GDP Forecast'!A:A,0))/INDEX('GDP Forecast'!B:B,MATCH(2024,'GDP Forecast'!A:A,0))</f>
        <v/>
      </c>
      <c r="L4">
        <f>$C$4*INDEX('GDP Forecast'!B:B,MATCH(2033,'GDP Forecast'!A:A,0))/INDEX('GDP Forecast'!B:B,MATCH(2024,'GDP Forecast'!A:A,0))</f>
        <v/>
      </c>
      <c r="M4">
        <f>$C$4*INDEX('GDP Forecast'!B:B,MATCH(2034,'GDP Forecast'!A:A,0))/INDEX('GDP Forecast'!B:B,MATCH(2024,'GDP Forecast'!A:A,0))</f>
        <v/>
      </c>
      <c r="N4">
        <f>$C$4*INDEX('GDP Forecast'!B:B,MATCH(2035,'GDP Forecast'!A:A,0))/INDEX('GDP Forecast'!B:B,MATCH(2024,'GDP Forecast'!A:A,0))</f>
        <v/>
      </c>
      <c r="O4">
        <f>$C$4*INDEX('GDP Forecast'!B:B,MATCH(2036,'GDP Forecast'!A:A,0))/INDEX('GDP Forecast'!B:B,MATCH(2024,'GDP Forecast'!A:A,0))</f>
        <v/>
      </c>
      <c r="P4">
        <f>$C$4*INDEX('GDP Forecast'!B:B,MATCH(2037,'GDP Forecast'!A:A,0))/INDEX('GDP Forecast'!B:B,MATCH(2024,'GDP Forecast'!A:A,0))</f>
        <v/>
      </c>
      <c r="Q4">
        <f>$C$4*INDEX('GDP Forecast'!B:B,MATCH(2038,'GDP Forecast'!A:A,0))/INDEX('GDP Forecast'!B:B,MATCH(2024,'GDP Forecast'!A:A,0))</f>
        <v/>
      </c>
      <c r="R4">
        <f>$C$4*INDEX('GDP Forecast'!B:B,MATCH(2039,'GDP Forecast'!A:A,0))/INDEX('GDP Forecast'!B:B,MATCH(2024,'GDP Forecast'!A:A,0))</f>
        <v/>
      </c>
      <c r="S4">
        <f>$C$4*INDEX('GDP Forecast'!B:B,MATCH(2040,'GDP Forecast'!A:A,0))/INDEX('GDP Forecast'!B:B,MATCH(2024,'GDP Forecast'!A:A,0))</f>
        <v/>
      </c>
      <c r="T4">
        <f>$C$4*INDEX('GDP Forecast'!B:B,MATCH(2041,'GDP Forecast'!A:A,0))/INDEX('GDP Forecast'!B:B,MATCH(2024,'GDP Forecast'!A:A,0))</f>
        <v/>
      </c>
      <c r="U4">
        <f>$C$4*INDEX('GDP Forecast'!B:B,MATCH(2042,'GDP Forecast'!A:A,0))/INDEX('GDP Forecast'!B:B,MATCH(2024,'GDP Forecast'!A:A,0))</f>
        <v/>
      </c>
      <c r="V4">
        <f>$C$4*INDEX('GDP Forecast'!B:B,MATCH(2043,'GDP Forecast'!A:A,0))/INDEX('GDP Forecast'!B:B,MATCH(2024,'GDP Forecast'!A:A,0))</f>
        <v/>
      </c>
      <c r="W4">
        <f>$C$4*INDEX('GDP Forecast'!B:B,MATCH(2044,'GDP Forecast'!A:A,0))/INDEX('GDP Forecast'!B:B,MATCH(2024,'GDP Forecast'!A:A,0))</f>
        <v/>
      </c>
      <c r="X4">
        <f>$C$4*INDEX('GDP Forecast'!B:B,MATCH(2045,'GDP Forecast'!A:A,0))/INDEX('GDP Forecast'!B:B,MATCH(2024,'GDP Forecast'!A:A,0))</f>
        <v/>
      </c>
      <c r="Y4">
        <f>$C$4*INDEX('GDP Forecast'!B:B,MATCH(2046,'GDP Forecast'!A:A,0))/INDEX('GDP Forecast'!B:B,MATCH(2024,'GDP Forecast'!A:A,0))</f>
        <v/>
      </c>
      <c r="Z4">
        <f>$C$4*INDEX('GDP Forecast'!B:B,MATCH(2047,'GDP Forecast'!A:A,0))/INDEX('GDP Forecast'!B:B,MATCH(2024,'GDP Forecast'!A:A,0))</f>
        <v/>
      </c>
      <c r="AA4">
        <f>$C$4*INDEX('GDP Forecast'!B:B,MATCH(2048,'GDP Forecast'!A:A,0))/INDEX('GDP Forecast'!B:B,MATCH(2024,'GDP Forecast'!A:A,0))</f>
        <v/>
      </c>
      <c r="AB4">
        <f>$C$4*INDEX('GDP Forecast'!B:B,MATCH(2049,'GDP Forecast'!A:A,0))/INDEX('GDP Forecast'!B:B,MATCH(2024,'GDP Forecast'!A:A,0))</f>
        <v/>
      </c>
      <c r="AC4">
        <f>$C$4*INDEX('GDP Forecast'!B:B,MATCH(2050,'GDP Forecast'!A:A,0))/INDEX('GDP Forecast'!B:B,MATCH(2024,'GDP Forecast'!A:A,0))</f>
        <v/>
      </c>
    </row>
    <row r="5">
      <c r="A5" s="1" t="inlineStr">
        <is>
          <t>Per-year non-AEO scaling factor f_y</t>
        </is>
      </c>
      <c r="D5">
        <f>(D4-SUMPRODUCT(--($A$9:$A$60="AEO"),C$9:C$60,(1+'Growth Rates'!D$61:D$112))-SUMPRODUCT(--($A$9:$A$60=""),C$9:C$60))/SUMPRODUCT(--($A$9:$A$60=""),C$9:C$60,'Growth Rates'!D$61:D$112)</f>
        <v/>
      </c>
      <c r="E5">
        <f>(E4-SUMPRODUCT(--($A$9:$A$60="AEO"),D$9:D$60,(1+'Growth Rates'!E$61:E$112))-SUMPRODUCT(--($A$9:$A$60=""),D$9:D$60))/SUMPRODUCT(--($A$9:$A$60=""),D$9:D$60,'Growth Rates'!E$61:E$112)</f>
        <v/>
      </c>
      <c r="F5">
        <f>(F4-SUMPRODUCT(--($A$9:$A$60="AEO"),E$9:E$60,(1+'Growth Rates'!F$61:F$112))-SUMPRODUCT(--($A$9:$A$60=""),E$9:E$60))/SUMPRODUCT(--($A$9:$A$60=""),E$9:E$60,'Growth Rates'!F$61:F$112)</f>
        <v/>
      </c>
      <c r="G5">
        <f>(G4-SUMPRODUCT(--($A$9:$A$60="AEO"),F$9:F$60,(1+'Growth Rates'!G$61:G$112))-SUMPRODUCT(--($A$9:$A$60=""),F$9:F$60))/SUMPRODUCT(--($A$9:$A$60=""),F$9:F$60,'Growth Rates'!G$61:G$112)</f>
        <v/>
      </c>
      <c r="H5">
        <f>(H4-SUMPRODUCT(--($A$9:$A$60="AEO"),G$9:G$60,(1+'Growth Rates'!H$61:H$112))-SUMPRODUCT(--($A$9:$A$60=""),G$9:G$60))/SUMPRODUCT(--($A$9:$A$60=""),G$9:G$60,'Growth Rates'!H$61:H$112)</f>
        <v/>
      </c>
      <c r="I5">
        <f>(I4-SUMPRODUCT(--($A$9:$A$60="AEO"),H$9:H$60,(1+'Growth Rates'!I$61:I$112))-SUMPRODUCT(--($A$9:$A$60=""),H$9:H$60))/SUMPRODUCT(--($A$9:$A$60=""),H$9:H$60,'Growth Rates'!I$61:I$112)</f>
        <v/>
      </c>
      <c r="J5">
        <f>(J4-SUMPRODUCT(--($A$9:$A$60="AEO"),I$9:I$60,(1+'Growth Rates'!J$61:J$112))-SUMPRODUCT(--($A$9:$A$60=""),I$9:I$60))/SUMPRODUCT(--($A$9:$A$60=""),I$9:I$60,'Growth Rates'!J$61:J$112)</f>
        <v/>
      </c>
      <c r="K5">
        <f>(K4-SUMPRODUCT(--($A$9:$A$60="AEO"),J$9:J$60,(1+'Growth Rates'!K$61:K$112))-SUMPRODUCT(--($A$9:$A$60=""),J$9:J$60))/SUMPRODUCT(--($A$9:$A$60=""),J$9:J$60,'Growth Rates'!K$61:K$112)</f>
        <v/>
      </c>
      <c r="L5">
        <f>(L4-SUMPRODUCT(--($A$9:$A$60="AEO"),K$9:K$60,(1+'Growth Rates'!L$61:L$112))-SUMPRODUCT(--($A$9:$A$60=""),K$9:K$60))/SUMPRODUCT(--($A$9:$A$60=""),K$9:K$60,'Growth Rates'!L$61:L$112)</f>
        <v/>
      </c>
      <c r="M5">
        <f>(M4-SUMPRODUCT(--($A$9:$A$60="AEO"),L$9:L$60,(1+'Growth Rates'!M$61:M$112))-SUMPRODUCT(--($A$9:$A$60=""),L$9:L$60))/SUMPRODUCT(--($A$9:$A$60=""),L$9:L$60,'Growth Rates'!M$61:M$112)</f>
        <v/>
      </c>
      <c r="N5">
        <f>(N4-SUMPRODUCT(--($A$9:$A$60="AEO"),M$9:M$60,(1+'Growth Rates'!N$61:N$112))-SUMPRODUCT(--($A$9:$A$60=""),M$9:M$60))/SUMPRODUCT(--($A$9:$A$60=""),M$9:M$60,'Growth Rates'!N$61:N$112)</f>
        <v/>
      </c>
      <c r="O5">
        <f>(O4-SUMPRODUCT(--($A$9:$A$60="AEO"),N$9:N$60,(1+'Growth Rates'!O$61:O$112))-SUMPRODUCT(--($A$9:$A$60=""),N$9:N$60))/SUMPRODUCT(--($A$9:$A$60=""),N$9:N$60,'Growth Rates'!O$61:O$112)</f>
        <v/>
      </c>
      <c r="P5">
        <f>(P4-SUMPRODUCT(--($A$9:$A$60="AEO"),O$9:O$60,(1+'Growth Rates'!P$61:P$112))-SUMPRODUCT(--($A$9:$A$60=""),O$9:O$60))/SUMPRODUCT(--($A$9:$A$60=""),O$9:O$60,'Growth Rates'!P$61:P$112)</f>
        <v/>
      </c>
      <c r="Q5">
        <f>(Q4-SUMPRODUCT(--($A$9:$A$60="AEO"),P$9:P$60,(1+'Growth Rates'!Q$61:Q$112))-SUMPRODUCT(--($A$9:$A$60=""),P$9:P$60))/SUMPRODUCT(--($A$9:$A$60=""),P$9:P$60,'Growth Rates'!Q$61:Q$112)</f>
        <v/>
      </c>
      <c r="R5">
        <f>(R4-SUMPRODUCT(--($A$9:$A$60="AEO"),Q$9:Q$60,(1+'Growth Rates'!R$61:R$112))-SUMPRODUCT(--($A$9:$A$60=""),Q$9:Q$60))/SUMPRODUCT(--($A$9:$A$60=""),Q$9:Q$60,'Growth Rates'!R$61:R$112)</f>
        <v/>
      </c>
      <c r="S5">
        <f>(S4-SUMPRODUCT(--($A$9:$A$60="AEO"),R$9:R$60,(1+'Growth Rates'!S$61:S$112))-SUMPRODUCT(--($A$9:$A$60=""),R$9:R$60))/SUMPRODUCT(--($A$9:$A$60=""),R$9:R$60,'Growth Rates'!S$61:S$112)</f>
        <v/>
      </c>
      <c r="T5">
        <f>(T4-SUMPRODUCT(--($A$9:$A$60="AEO"),S$9:S$60,(1+'Growth Rates'!T$61:T$112))-SUMPRODUCT(--($A$9:$A$60=""),S$9:S$60))/SUMPRODUCT(--($A$9:$A$60=""),S$9:S$60,'Growth Rates'!T$61:T$112)</f>
        <v/>
      </c>
      <c r="U5">
        <f>(U4-SUMPRODUCT(--($A$9:$A$60="AEO"),T$9:T$60,(1+'Growth Rates'!U$61:U$112))-SUMPRODUCT(--($A$9:$A$60=""),T$9:T$60))/SUMPRODUCT(--($A$9:$A$60=""),T$9:T$60,'Growth Rates'!U$61:U$112)</f>
        <v/>
      </c>
      <c r="V5">
        <f>(V4-SUMPRODUCT(--($A$9:$A$60="AEO"),U$9:U$60,(1+'Growth Rates'!V$61:V$112))-SUMPRODUCT(--($A$9:$A$60=""),U$9:U$60))/SUMPRODUCT(--($A$9:$A$60=""),U$9:U$60,'Growth Rates'!V$61:V$112)</f>
        <v/>
      </c>
      <c r="W5">
        <f>(W4-SUMPRODUCT(--($A$9:$A$60="AEO"),V$9:V$60,(1+'Growth Rates'!W$61:W$112))-SUMPRODUCT(--($A$9:$A$60=""),V$9:V$60))/SUMPRODUCT(--($A$9:$A$60=""),V$9:V$60,'Growth Rates'!W$61:W$112)</f>
        <v/>
      </c>
      <c r="X5">
        <f>(X4-SUMPRODUCT(--($A$9:$A$60="AEO"),W$9:W$60,(1+'Growth Rates'!X$61:X$112))-SUMPRODUCT(--($A$9:$A$60=""),W$9:W$60))/SUMPRODUCT(--($A$9:$A$60=""),W$9:W$60,'Growth Rates'!X$61:X$112)</f>
        <v/>
      </c>
      <c r="Y5">
        <f>(Y4-SUMPRODUCT(--($A$9:$A$60="AEO"),X$9:X$60,(1+'Growth Rates'!Y$61:Y$112))-SUMPRODUCT(--($A$9:$A$60=""),X$9:X$60))/SUMPRODUCT(--($A$9:$A$60=""),X$9:X$60,'Growth Rates'!Y$61:Y$112)</f>
        <v/>
      </c>
      <c r="Z5">
        <f>(Z4-SUMPRODUCT(--($A$9:$A$60="AEO"),Y$9:Y$60,(1+'Growth Rates'!Z$61:Z$112))-SUMPRODUCT(--($A$9:$A$60=""),Y$9:Y$60))/SUMPRODUCT(--($A$9:$A$60=""),Y$9:Y$60,'Growth Rates'!Z$61:Z$112)</f>
        <v/>
      </c>
      <c r="AA5">
        <f>(AA4-SUMPRODUCT(--($A$9:$A$60="AEO"),Z$9:Z$60,(1+'Growth Rates'!AA$61:AA$112))-SUMPRODUCT(--($A$9:$A$60=""),Z$9:Z$60))/SUMPRODUCT(--($A$9:$A$60=""),Z$9:Z$60,'Growth Rates'!AA$61:AA$112)</f>
        <v/>
      </c>
      <c r="AB5">
        <f>(AB4-SUMPRODUCT(--($A$9:$A$60="AEO"),AA$9:AA$60,(1+'Growth Rates'!AB$61:AB$112))-SUMPRODUCT(--($A$9:$A$60=""),AA$9:AA$60))/SUMPRODUCT(--($A$9:$A$60=""),AA$9:AA$60,'Growth Rates'!AB$61:AB$112)</f>
        <v/>
      </c>
      <c r="AC5">
        <f>(AC4-SUMPRODUCT(--($A$9:$A$60="AEO"),AB$9:AB$60,(1+'Growth Rates'!AC$61:AC$112))-SUMPRODUCT(--($A$9:$A$60=""),AB$9:AB$60))/SUMPRODUCT(--($A$9:$A$60=""),AB$9:AB$60,'Growth Rates'!AC$61:AC$112)</f>
        <v/>
      </c>
    </row>
    <row r="7">
      <c r="A7" s="1" t="inlineStr">
        <is>
          <t>VA levels (AEO rows at AEO rates; non-AEO at BLS rate x f_y)</t>
        </is>
      </c>
    </row>
    <row r="8">
      <c r="A8" s="1" t="inlineStr">
        <is>
          <t>AEO?</t>
        </is>
      </c>
    </row>
    <row r="9">
      <c r="A9" t="inlineStr">
        <is>
          <t>AEO</t>
        </is>
      </c>
      <c r="B9" t="inlineStr">
        <is>
          <t>ISIC 01</t>
        </is>
      </c>
      <c r="C9">
        <f>'Data from BVAbIC'!B2</f>
        <v/>
      </c>
      <c r="D9">
        <f>C9*(1+IF($A9="AEO",'Growth Rates'!D61,'Growth Rates'!D61*D$5))</f>
        <v/>
      </c>
      <c r="E9">
        <f>D9*(1+IF($A9="AEO",'Growth Rates'!E61,'Growth Rates'!E61*E$5))</f>
        <v/>
      </c>
      <c r="F9">
        <f>E9*(1+IF($A9="AEO",'Growth Rates'!F61,'Growth Rates'!F61*F$5))</f>
        <v/>
      </c>
      <c r="G9">
        <f>F9*(1+IF($A9="AEO",'Growth Rates'!G61,'Growth Rates'!G61*G$5))</f>
        <v/>
      </c>
      <c r="H9">
        <f>G9*(1+IF($A9="AEO",'Growth Rates'!H61,'Growth Rates'!H61*H$5))</f>
        <v/>
      </c>
      <c r="I9">
        <f>H9*(1+IF($A9="AEO",'Growth Rates'!I61,'Growth Rates'!I61*I$5))</f>
        <v/>
      </c>
      <c r="J9">
        <f>I9*(1+IF($A9="AEO",'Growth Rates'!J61,'Growth Rates'!J61*J$5))</f>
        <v/>
      </c>
      <c r="K9">
        <f>J9*(1+IF($A9="AEO",'Growth Rates'!K61,'Growth Rates'!K61*K$5))</f>
        <v/>
      </c>
      <c r="L9">
        <f>K9*(1+IF($A9="AEO",'Growth Rates'!L61,'Growth Rates'!L61*L$5))</f>
        <v/>
      </c>
      <c r="M9">
        <f>L9*(1+IF($A9="AEO",'Growth Rates'!M61,'Growth Rates'!M61*M$5))</f>
        <v/>
      </c>
      <c r="N9">
        <f>M9*(1+IF($A9="AEO",'Growth Rates'!N61,'Growth Rates'!N61*N$5))</f>
        <v/>
      </c>
      <c r="O9">
        <f>N9*(1+IF($A9="AEO",'Growth Rates'!O61,'Growth Rates'!O61*O$5))</f>
        <v/>
      </c>
      <c r="P9">
        <f>O9*(1+IF($A9="AEO",'Growth Rates'!P61,'Growth Rates'!P61*P$5))</f>
        <v/>
      </c>
      <c r="Q9">
        <f>P9*(1+IF($A9="AEO",'Growth Rates'!Q61,'Growth Rates'!Q61*Q$5))</f>
        <v/>
      </c>
      <c r="R9">
        <f>Q9*(1+IF($A9="AEO",'Growth Rates'!R61,'Growth Rates'!R61*R$5))</f>
        <v/>
      </c>
      <c r="S9">
        <f>R9*(1+IF($A9="AEO",'Growth Rates'!S61,'Growth Rates'!S61*S$5))</f>
        <v/>
      </c>
      <c r="T9">
        <f>S9*(1+IF($A9="AEO",'Growth Rates'!T61,'Growth Rates'!T61*T$5))</f>
        <v/>
      </c>
      <c r="U9">
        <f>T9*(1+IF($A9="AEO",'Growth Rates'!U61,'Growth Rates'!U61*U$5))</f>
        <v/>
      </c>
      <c r="V9">
        <f>U9*(1+IF($A9="AEO",'Growth Rates'!V61,'Growth Rates'!V61*V$5))</f>
        <v/>
      </c>
      <c r="W9">
        <f>V9*(1+IF($A9="AEO",'Growth Rates'!W61,'Growth Rates'!W61*W$5))</f>
        <v/>
      </c>
      <c r="X9">
        <f>W9*(1+IF($A9="AEO",'Growth Rates'!X61,'Growth Rates'!X61*X$5))</f>
        <v/>
      </c>
      <c r="Y9">
        <f>X9*(1+IF($A9="AEO",'Growth Rates'!Y61,'Growth Rates'!Y61*Y$5))</f>
        <v/>
      </c>
      <c r="Z9">
        <f>Y9*(1+IF($A9="AEO",'Growth Rates'!Z61,'Growth Rates'!Z61*Z$5))</f>
        <v/>
      </c>
      <c r="AA9">
        <f>Z9*(1+IF($A9="AEO",'Growth Rates'!AA61,'Growth Rates'!AA61*AA$5))</f>
        <v/>
      </c>
      <c r="AB9">
        <f>AA9*(1+IF($A9="AEO",'Growth Rates'!AB61,'Growth Rates'!AB61*AB$5))</f>
        <v/>
      </c>
      <c r="AC9">
        <f>AB9*(1+IF($A9="AEO",'Growth Rates'!AC61,'Growth Rates'!AC61*AC$5))</f>
        <v/>
      </c>
    </row>
    <row r="10">
      <c r="A10" t="inlineStr"/>
      <c r="B10" t="inlineStr">
        <is>
          <t>ISIC 02</t>
        </is>
      </c>
      <c r="C10">
        <f>'Data from BVAbIC'!C2</f>
        <v/>
      </c>
      <c r="D10">
        <f>C10*(1+IF($A10="AEO",'Growth Rates'!D62,'Growth Rates'!D62*D$5))</f>
        <v/>
      </c>
      <c r="E10">
        <f>D10*(1+IF($A10="AEO",'Growth Rates'!E62,'Growth Rates'!E62*E$5))</f>
        <v/>
      </c>
      <c r="F10">
        <f>E10*(1+IF($A10="AEO",'Growth Rates'!F62,'Growth Rates'!F62*F$5))</f>
        <v/>
      </c>
      <c r="G10">
        <f>F10*(1+IF($A10="AEO",'Growth Rates'!G62,'Growth Rates'!G62*G$5))</f>
        <v/>
      </c>
      <c r="H10">
        <f>G10*(1+IF($A10="AEO",'Growth Rates'!H62,'Growth Rates'!H62*H$5))</f>
        <v/>
      </c>
      <c r="I10">
        <f>H10*(1+IF($A10="AEO",'Growth Rates'!I62,'Growth Rates'!I62*I$5))</f>
        <v/>
      </c>
      <c r="J10">
        <f>I10*(1+IF($A10="AEO",'Growth Rates'!J62,'Growth Rates'!J62*J$5))</f>
        <v/>
      </c>
      <c r="K10">
        <f>J10*(1+IF($A10="AEO",'Growth Rates'!K62,'Growth Rates'!K62*K$5))</f>
        <v/>
      </c>
      <c r="L10">
        <f>K10*(1+IF($A10="AEO",'Growth Rates'!L62,'Growth Rates'!L62*L$5))</f>
        <v/>
      </c>
      <c r="M10">
        <f>L10*(1+IF($A10="AEO",'Growth Rates'!M62,'Growth Rates'!M62*M$5))</f>
        <v/>
      </c>
      <c r="N10">
        <f>M10*(1+IF($A10="AEO",'Growth Rates'!N62,'Growth Rates'!N62*N$5))</f>
        <v/>
      </c>
      <c r="O10">
        <f>N10*(1+IF($A10="AEO",'Growth Rates'!O62,'Growth Rates'!O62*O$5))</f>
        <v/>
      </c>
      <c r="P10">
        <f>O10*(1+IF($A10="AEO",'Growth Rates'!P62,'Growth Rates'!P62*P$5))</f>
        <v/>
      </c>
      <c r="Q10">
        <f>P10*(1+IF($A10="AEO",'Growth Rates'!Q62,'Growth Rates'!Q62*Q$5))</f>
        <v/>
      </c>
      <c r="R10">
        <f>Q10*(1+IF($A10="AEO",'Growth Rates'!R62,'Growth Rates'!R62*R$5))</f>
        <v/>
      </c>
      <c r="S10">
        <f>R10*(1+IF($A10="AEO",'Growth Rates'!S62,'Growth Rates'!S62*S$5))</f>
        <v/>
      </c>
      <c r="T10">
        <f>S10*(1+IF($A10="AEO",'Growth Rates'!T62,'Growth Rates'!T62*T$5))</f>
        <v/>
      </c>
      <c r="U10">
        <f>T10*(1+IF($A10="AEO",'Growth Rates'!U62,'Growth Rates'!U62*U$5))</f>
        <v/>
      </c>
      <c r="V10">
        <f>U10*(1+IF($A10="AEO",'Growth Rates'!V62,'Growth Rates'!V62*V$5))</f>
        <v/>
      </c>
      <c r="W10">
        <f>V10*(1+IF($A10="AEO",'Growth Rates'!W62,'Growth Rates'!W62*W$5))</f>
        <v/>
      </c>
      <c r="X10">
        <f>W10*(1+IF($A10="AEO",'Growth Rates'!X62,'Growth Rates'!X62*X$5))</f>
        <v/>
      </c>
      <c r="Y10">
        <f>X10*(1+IF($A10="AEO",'Growth Rates'!Y62,'Growth Rates'!Y62*Y$5))</f>
        <v/>
      </c>
      <c r="Z10">
        <f>Y10*(1+IF($A10="AEO",'Growth Rates'!Z62,'Growth Rates'!Z62*Z$5))</f>
        <v/>
      </c>
      <c r="AA10">
        <f>Z10*(1+IF($A10="AEO",'Growth Rates'!AA62,'Growth Rates'!AA62*AA$5))</f>
        <v/>
      </c>
      <c r="AB10">
        <f>AA10*(1+IF($A10="AEO",'Growth Rates'!AB62,'Growth Rates'!AB62*AB$5))</f>
        <v/>
      </c>
      <c r="AC10">
        <f>AB10*(1+IF($A10="AEO",'Growth Rates'!AC62,'Growth Rates'!AC62*AC$5))</f>
        <v/>
      </c>
    </row>
    <row r="11">
      <c r="A11" t="inlineStr"/>
      <c r="B11" t="inlineStr">
        <is>
          <t>ISIC 03</t>
        </is>
      </c>
      <c r="C11">
        <f>'Data from BVAbIC'!D2</f>
        <v/>
      </c>
      <c r="D11">
        <f>C11*(1+IF($A11="AEO",'Growth Rates'!D63,'Growth Rates'!D63*D$5))</f>
        <v/>
      </c>
      <c r="E11">
        <f>D11*(1+IF($A11="AEO",'Growth Rates'!E63,'Growth Rates'!E63*E$5))</f>
        <v/>
      </c>
      <c r="F11">
        <f>E11*(1+IF($A11="AEO",'Growth Rates'!F63,'Growth Rates'!F63*F$5))</f>
        <v/>
      </c>
      <c r="G11">
        <f>F11*(1+IF($A11="AEO",'Growth Rates'!G63,'Growth Rates'!G63*G$5))</f>
        <v/>
      </c>
      <c r="H11">
        <f>G11*(1+IF($A11="AEO",'Growth Rates'!H63,'Growth Rates'!H63*H$5))</f>
        <v/>
      </c>
      <c r="I11">
        <f>H11*(1+IF($A11="AEO",'Growth Rates'!I63,'Growth Rates'!I63*I$5))</f>
        <v/>
      </c>
      <c r="J11">
        <f>I11*(1+IF($A11="AEO",'Growth Rates'!J63,'Growth Rates'!J63*J$5))</f>
        <v/>
      </c>
      <c r="K11">
        <f>J11*(1+IF($A11="AEO",'Growth Rates'!K63,'Growth Rates'!K63*K$5))</f>
        <v/>
      </c>
      <c r="L11">
        <f>K11*(1+IF($A11="AEO",'Growth Rates'!L63,'Growth Rates'!L63*L$5))</f>
        <v/>
      </c>
      <c r="M11">
        <f>L11*(1+IF($A11="AEO",'Growth Rates'!M63,'Growth Rates'!M63*M$5))</f>
        <v/>
      </c>
      <c r="N11">
        <f>M11*(1+IF($A11="AEO",'Growth Rates'!N63,'Growth Rates'!N63*N$5))</f>
        <v/>
      </c>
      <c r="O11">
        <f>N11*(1+IF($A11="AEO",'Growth Rates'!O63,'Growth Rates'!O63*O$5))</f>
        <v/>
      </c>
      <c r="P11">
        <f>O11*(1+IF($A11="AEO",'Growth Rates'!P63,'Growth Rates'!P63*P$5))</f>
        <v/>
      </c>
      <c r="Q11">
        <f>P11*(1+IF($A11="AEO",'Growth Rates'!Q63,'Growth Rates'!Q63*Q$5))</f>
        <v/>
      </c>
      <c r="R11">
        <f>Q11*(1+IF($A11="AEO",'Growth Rates'!R63,'Growth Rates'!R63*R$5))</f>
        <v/>
      </c>
      <c r="S11">
        <f>R11*(1+IF($A11="AEO",'Growth Rates'!S63,'Growth Rates'!S63*S$5))</f>
        <v/>
      </c>
      <c r="T11">
        <f>S11*(1+IF($A11="AEO",'Growth Rates'!T63,'Growth Rates'!T63*T$5))</f>
        <v/>
      </c>
      <c r="U11">
        <f>T11*(1+IF($A11="AEO",'Growth Rates'!U63,'Growth Rates'!U63*U$5))</f>
        <v/>
      </c>
      <c r="V11">
        <f>U11*(1+IF($A11="AEO",'Growth Rates'!V63,'Growth Rates'!V63*V$5))</f>
        <v/>
      </c>
      <c r="W11">
        <f>V11*(1+IF($A11="AEO",'Growth Rates'!W63,'Growth Rates'!W63*W$5))</f>
        <v/>
      </c>
      <c r="X11">
        <f>W11*(1+IF($A11="AEO",'Growth Rates'!X63,'Growth Rates'!X63*X$5))</f>
        <v/>
      </c>
      <c r="Y11">
        <f>X11*(1+IF($A11="AEO",'Growth Rates'!Y63,'Growth Rates'!Y63*Y$5))</f>
        <v/>
      </c>
      <c r="Z11">
        <f>Y11*(1+IF($A11="AEO",'Growth Rates'!Z63,'Growth Rates'!Z63*Z$5))</f>
        <v/>
      </c>
      <c r="AA11">
        <f>Z11*(1+IF($A11="AEO",'Growth Rates'!AA63,'Growth Rates'!AA63*AA$5))</f>
        <v/>
      </c>
      <c r="AB11">
        <f>AA11*(1+IF($A11="AEO",'Growth Rates'!AB63,'Growth Rates'!AB63*AB$5))</f>
        <v/>
      </c>
      <c r="AC11">
        <f>AB11*(1+IF($A11="AEO",'Growth Rates'!AC63,'Growth Rates'!AC63*AC$5))</f>
        <v/>
      </c>
    </row>
    <row r="12">
      <c r="A12" t="inlineStr">
        <is>
          <t>AEO</t>
        </is>
      </c>
      <c r="B12" t="inlineStr">
        <is>
          <t>ISIC 05</t>
        </is>
      </c>
      <c r="C12">
        <f>'Data from BVAbIC'!E2</f>
        <v/>
      </c>
      <c r="D12">
        <f>C12*(1+IF($A12="AEO",'Growth Rates'!D64,'Growth Rates'!D64*D$5))</f>
        <v/>
      </c>
      <c r="E12">
        <f>D12*(1+IF($A12="AEO",'Growth Rates'!E64,'Growth Rates'!E64*E$5))</f>
        <v/>
      </c>
      <c r="F12">
        <f>E12*(1+IF($A12="AEO",'Growth Rates'!F64,'Growth Rates'!F64*F$5))</f>
        <v/>
      </c>
      <c r="G12">
        <f>F12*(1+IF($A12="AEO",'Growth Rates'!G64,'Growth Rates'!G64*G$5))</f>
        <v/>
      </c>
      <c r="H12">
        <f>G12*(1+IF($A12="AEO",'Growth Rates'!H64,'Growth Rates'!H64*H$5))</f>
        <v/>
      </c>
      <c r="I12">
        <f>H12*(1+IF($A12="AEO",'Growth Rates'!I64,'Growth Rates'!I64*I$5))</f>
        <v/>
      </c>
      <c r="J12">
        <f>I12*(1+IF($A12="AEO",'Growth Rates'!J64,'Growth Rates'!J64*J$5))</f>
        <v/>
      </c>
      <c r="K12">
        <f>J12*(1+IF($A12="AEO",'Growth Rates'!K64,'Growth Rates'!K64*K$5))</f>
        <v/>
      </c>
      <c r="L12">
        <f>K12*(1+IF($A12="AEO",'Growth Rates'!L64,'Growth Rates'!L64*L$5))</f>
        <v/>
      </c>
      <c r="M12">
        <f>L12*(1+IF($A12="AEO",'Growth Rates'!M64,'Growth Rates'!M64*M$5))</f>
        <v/>
      </c>
      <c r="N12">
        <f>M12*(1+IF($A12="AEO",'Growth Rates'!N64,'Growth Rates'!N64*N$5))</f>
        <v/>
      </c>
      <c r="O12">
        <f>N12*(1+IF($A12="AEO",'Growth Rates'!O64,'Growth Rates'!O64*O$5))</f>
        <v/>
      </c>
      <c r="P12">
        <f>O12*(1+IF($A12="AEO",'Growth Rates'!P64,'Growth Rates'!P64*P$5))</f>
        <v/>
      </c>
      <c r="Q12">
        <f>P12*(1+IF($A12="AEO",'Growth Rates'!Q64,'Growth Rates'!Q64*Q$5))</f>
        <v/>
      </c>
      <c r="R12">
        <f>Q12*(1+IF($A12="AEO",'Growth Rates'!R64,'Growth Rates'!R64*R$5))</f>
        <v/>
      </c>
      <c r="S12">
        <f>R12*(1+IF($A12="AEO",'Growth Rates'!S64,'Growth Rates'!S64*S$5))</f>
        <v/>
      </c>
      <c r="T12">
        <f>S12*(1+IF($A12="AEO",'Growth Rates'!T64,'Growth Rates'!T64*T$5))</f>
        <v/>
      </c>
      <c r="U12">
        <f>T12*(1+IF($A12="AEO",'Growth Rates'!U64,'Growth Rates'!U64*U$5))</f>
        <v/>
      </c>
      <c r="V12">
        <f>U12*(1+IF($A12="AEO",'Growth Rates'!V64,'Growth Rates'!V64*V$5))</f>
        <v/>
      </c>
      <c r="W12">
        <f>V12*(1+IF($A12="AEO",'Growth Rates'!W64,'Growth Rates'!W64*W$5))</f>
        <v/>
      </c>
      <c r="X12">
        <f>W12*(1+IF($A12="AEO",'Growth Rates'!X64,'Growth Rates'!X64*X$5))</f>
        <v/>
      </c>
      <c r="Y12">
        <f>X12*(1+IF($A12="AEO",'Growth Rates'!Y64,'Growth Rates'!Y64*Y$5))</f>
        <v/>
      </c>
      <c r="Z12">
        <f>Y12*(1+IF($A12="AEO",'Growth Rates'!Z64,'Growth Rates'!Z64*Z$5))</f>
        <v/>
      </c>
      <c r="AA12">
        <f>Z12*(1+IF($A12="AEO",'Growth Rates'!AA64,'Growth Rates'!AA64*AA$5))</f>
        <v/>
      </c>
      <c r="AB12">
        <f>AA12*(1+IF($A12="AEO",'Growth Rates'!AB64,'Growth Rates'!AB64*AB$5))</f>
        <v/>
      </c>
      <c r="AC12">
        <f>AB12*(1+IF($A12="AEO",'Growth Rates'!AC64,'Growth Rates'!AC64*AC$5))</f>
        <v/>
      </c>
    </row>
    <row r="13">
      <c r="A13" t="inlineStr">
        <is>
          <t>AEO</t>
        </is>
      </c>
      <c r="B13" t="inlineStr">
        <is>
          <t>ISIC 06</t>
        </is>
      </c>
      <c r="C13">
        <f>'Data from BVAbIC'!F2</f>
        <v/>
      </c>
      <c r="D13">
        <f>C13*(1+IF($A13="AEO",'Growth Rates'!D65,'Growth Rates'!D65*D$5))</f>
        <v/>
      </c>
      <c r="E13">
        <f>D13*(1+IF($A13="AEO",'Growth Rates'!E65,'Growth Rates'!E65*E$5))</f>
        <v/>
      </c>
      <c r="F13">
        <f>E13*(1+IF($A13="AEO",'Growth Rates'!F65,'Growth Rates'!F65*F$5))</f>
        <v/>
      </c>
      <c r="G13">
        <f>F13*(1+IF($A13="AEO",'Growth Rates'!G65,'Growth Rates'!G65*G$5))</f>
        <v/>
      </c>
      <c r="H13">
        <f>G13*(1+IF($A13="AEO",'Growth Rates'!H65,'Growth Rates'!H65*H$5))</f>
        <v/>
      </c>
      <c r="I13">
        <f>H13*(1+IF($A13="AEO",'Growth Rates'!I65,'Growth Rates'!I65*I$5))</f>
        <v/>
      </c>
      <c r="J13">
        <f>I13*(1+IF($A13="AEO",'Growth Rates'!J65,'Growth Rates'!J65*J$5))</f>
        <v/>
      </c>
      <c r="K13">
        <f>J13*(1+IF($A13="AEO",'Growth Rates'!K65,'Growth Rates'!K65*K$5))</f>
        <v/>
      </c>
      <c r="L13">
        <f>K13*(1+IF($A13="AEO",'Growth Rates'!L65,'Growth Rates'!L65*L$5))</f>
        <v/>
      </c>
      <c r="M13">
        <f>L13*(1+IF($A13="AEO",'Growth Rates'!M65,'Growth Rates'!M65*M$5))</f>
        <v/>
      </c>
      <c r="N13">
        <f>M13*(1+IF($A13="AEO",'Growth Rates'!N65,'Growth Rates'!N65*N$5))</f>
        <v/>
      </c>
      <c r="O13">
        <f>N13*(1+IF($A13="AEO",'Growth Rates'!O65,'Growth Rates'!O65*O$5))</f>
        <v/>
      </c>
      <c r="P13">
        <f>O13*(1+IF($A13="AEO",'Growth Rates'!P65,'Growth Rates'!P65*P$5))</f>
        <v/>
      </c>
      <c r="Q13">
        <f>P13*(1+IF($A13="AEO",'Growth Rates'!Q65,'Growth Rates'!Q65*Q$5))</f>
        <v/>
      </c>
      <c r="R13">
        <f>Q13*(1+IF($A13="AEO",'Growth Rates'!R65,'Growth Rates'!R65*R$5))</f>
        <v/>
      </c>
      <c r="S13">
        <f>R13*(1+IF($A13="AEO",'Growth Rates'!S65,'Growth Rates'!S65*S$5))</f>
        <v/>
      </c>
      <c r="T13">
        <f>S13*(1+IF($A13="AEO",'Growth Rates'!T65,'Growth Rates'!T65*T$5))</f>
        <v/>
      </c>
      <c r="U13">
        <f>T13*(1+IF($A13="AEO",'Growth Rates'!U65,'Growth Rates'!U65*U$5))</f>
        <v/>
      </c>
      <c r="V13">
        <f>U13*(1+IF($A13="AEO",'Growth Rates'!V65,'Growth Rates'!V65*V$5))</f>
        <v/>
      </c>
      <c r="W13">
        <f>V13*(1+IF($A13="AEO",'Growth Rates'!W65,'Growth Rates'!W65*W$5))</f>
        <v/>
      </c>
      <c r="X13">
        <f>W13*(1+IF($A13="AEO",'Growth Rates'!X65,'Growth Rates'!X65*X$5))</f>
        <v/>
      </c>
      <c r="Y13">
        <f>X13*(1+IF($A13="AEO",'Growth Rates'!Y65,'Growth Rates'!Y65*Y$5))</f>
        <v/>
      </c>
      <c r="Z13">
        <f>Y13*(1+IF($A13="AEO",'Growth Rates'!Z65,'Growth Rates'!Z65*Z$5))</f>
        <v/>
      </c>
      <c r="AA13">
        <f>Z13*(1+IF($A13="AEO",'Growth Rates'!AA65,'Growth Rates'!AA65*AA$5))</f>
        <v/>
      </c>
      <c r="AB13">
        <f>AA13*(1+IF($A13="AEO",'Growth Rates'!AB65,'Growth Rates'!AB65*AB$5))</f>
        <v/>
      </c>
      <c r="AC13">
        <f>AB13*(1+IF($A13="AEO",'Growth Rates'!AC65,'Growth Rates'!AC65*AC$5))</f>
        <v/>
      </c>
    </row>
    <row r="14">
      <c r="A14" t="inlineStr"/>
      <c r="B14" t="inlineStr">
        <is>
          <t>ISIC 07</t>
        </is>
      </c>
      <c r="C14">
        <f>'Data from BVAbIC'!G2</f>
        <v/>
      </c>
      <c r="D14">
        <f>C14*(1+IF($A14="AEO",'Growth Rates'!D66,'Growth Rates'!D66*D$5))</f>
        <v/>
      </c>
      <c r="E14">
        <f>D14*(1+IF($A14="AEO",'Growth Rates'!E66,'Growth Rates'!E66*E$5))</f>
        <v/>
      </c>
      <c r="F14">
        <f>E14*(1+IF($A14="AEO",'Growth Rates'!F66,'Growth Rates'!F66*F$5))</f>
        <v/>
      </c>
      <c r="G14">
        <f>F14*(1+IF($A14="AEO",'Growth Rates'!G66,'Growth Rates'!G66*G$5))</f>
        <v/>
      </c>
      <c r="H14">
        <f>G14*(1+IF($A14="AEO",'Growth Rates'!H66,'Growth Rates'!H66*H$5))</f>
        <v/>
      </c>
      <c r="I14">
        <f>H14*(1+IF($A14="AEO",'Growth Rates'!I66,'Growth Rates'!I66*I$5))</f>
        <v/>
      </c>
      <c r="J14">
        <f>I14*(1+IF($A14="AEO",'Growth Rates'!J66,'Growth Rates'!J66*J$5))</f>
        <v/>
      </c>
      <c r="K14">
        <f>J14*(1+IF($A14="AEO",'Growth Rates'!K66,'Growth Rates'!K66*K$5))</f>
        <v/>
      </c>
      <c r="L14">
        <f>K14*(1+IF($A14="AEO",'Growth Rates'!L66,'Growth Rates'!L66*L$5))</f>
        <v/>
      </c>
      <c r="M14">
        <f>L14*(1+IF($A14="AEO",'Growth Rates'!M66,'Growth Rates'!M66*M$5))</f>
        <v/>
      </c>
      <c r="N14">
        <f>M14*(1+IF($A14="AEO",'Growth Rates'!N66,'Growth Rates'!N66*N$5))</f>
        <v/>
      </c>
      <c r="O14">
        <f>N14*(1+IF($A14="AEO",'Growth Rates'!O66,'Growth Rates'!O66*O$5))</f>
        <v/>
      </c>
      <c r="P14">
        <f>O14*(1+IF($A14="AEO",'Growth Rates'!P66,'Growth Rates'!P66*P$5))</f>
        <v/>
      </c>
      <c r="Q14">
        <f>P14*(1+IF($A14="AEO",'Growth Rates'!Q66,'Growth Rates'!Q66*Q$5))</f>
        <v/>
      </c>
      <c r="R14">
        <f>Q14*(1+IF($A14="AEO",'Growth Rates'!R66,'Growth Rates'!R66*R$5))</f>
        <v/>
      </c>
      <c r="S14">
        <f>R14*(1+IF($A14="AEO",'Growth Rates'!S66,'Growth Rates'!S66*S$5))</f>
        <v/>
      </c>
      <c r="T14">
        <f>S14*(1+IF($A14="AEO",'Growth Rates'!T66,'Growth Rates'!T66*T$5))</f>
        <v/>
      </c>
      <c r="U14">
        <f>T14*(1+IF($A14="AEO",'Growth Rates'!U66,'Growth Rates'!U66*U$5))</f>
        <v/>
      </c>
      <c r="V14">
        <f>U14*(1+IF($A14="AEO",'Growth Rates'!V66,'Growth Rates'!V66*V$5))</f>
        <v/>
      </c>
      <c r="W14">
        <f>V14*(1+IF($A14="AEO",'Growth Rates'!W66,'Growth Rates'!W66*W$5))</f>
        <v/>
      </c>
      <c r="X14">
        <f>W14*(1+IF($A14="AEO",'Growth Rates'!X66,'Growth Rates'!X66*X$5))</f>
        <v/>
      </c>
      <c r="Y14">
        <f>X14*(1+IF($A14="AEO",'Growth Rates'!Y66,'Growth Rates'!Y66*Y$5))</f>
        <v/>
      </c>
      <c r="Z14">
        <f>Y14*(1+IF($A14="AEO",'Growth Rates'!Z66,'Growth Rates'!Z66*Z$5))</f>
        <v/>
      </c>
      <c r="AA14">
        <f>Z14*(1+IF($A14="AEO",'Growth Rates'!AA66,'Growth Rates'!AA66*AA$5))</f>
        <v/>
      </c>
      <c r="AB14">
        <f>AA14*(1+IF($A14="AEO",'Growth Rates'!AB66,'Growth Rates'!AB66*AB$5))</f>
        <v/>
      </c>
      <c r="AC14">
        <f>AB14*(1+IF($A14="AEO",'Growth Rates'!AC66,'Growth Rates'!AC66*AC$5))</f>
        <v/>
      </c>
    </row>
    <row r="15">
      <c r="A15" t="inlineStr">
        <is>
          <t>AEO</t>
        </is>
      </c>
      <c r="B15" t="inlineStr">
        <is>
          <t>ISIC 08</t>
        </is>
      </c>
      <c r="C15">
        <f>'Data from BVAbIC'!H2</f>
        <v/>
      </c>
      <c r="D15">
        <f>C15*(1+IF($A15="AEO",'Growth Rates'!D67,'Growth Rates'!D67*D$5))</f>
        <v/>
      </c>
      <c r="E15">
        <f>D15*(1+IF($A15="AEO",'Growth Rates'!E67,'Growth Rates'!E67*E$5))</f>
        <v/>
      </c>
      <c r="F15">
        <f>E15*(1+IF($A15="AEO",'Growth Rates'!F67,'Growth Rates'!F67*F$5))</f>
        <v/>
      </c>
      <c r="G15">
        <f>F15*(1+IF($A15="AEO",'Growth Rates'!G67,'Growth Rates'!G67*G$5))</f>
        <v/>
      </c>
      <c r="H15">
        <f>G15*(1+IF($A15="AEO",'Growth Rates'!H67,'Growth Rates'!H67*H$5))</f>
        <v/>
      </c>
      <c r="I15">
        <f>H15*(1+IF($A15="AEO",'Growth Rates'!I67,'Growth Rates'!I67*I$5))</f>
        <v/>
      </c>
      <c r="J15">
        <f>I15*(1+IF($A15="AEO",'Growth Rates'!J67,'Growth Rates'!J67*J$5))</f>
        <v/>
      </c>
      <c r="K15">
        <f>J15*(1+IF($A15="AEO",'Growth Rates'!K67,'Growth Rates'!K67*K$5))</f>
        <v/>
      </c>
      <c r="L15">
        <f>K15*(1+IF($A15="AEO",'Growth Rates'!L67,'Growth Rates'!L67*L$5))</f>
        <v/>
      </c>
      <c r="M15">
        <f>L15*(1+IF($A15="AEO",'Growth Rates'!M67,'Growth Rates'!M67*M$5))</f>
        <v/>
      </c>
      <c r="N15">
        <f>M15*(1+IF($A15="AEO",'Growth Rates'!N67,'Growth Rates'!N67*N$5))</f>
        <v/>
      </c>
      <c r="O15">
        <f>N15*(1+IF($A15="AEO",'Growth Rates'!O67,'Growth Rates'!O67*O$5))</f>
        <v/>
      </c>
      <c r="P15">
        <f>O15*(1+IF($A15="AEO",'Growth Rates'!P67,'Growth Rates'!P67*P$5))</f>
        <v/>
      </c>
      <c r="Q15">
        <f>P15*(1+IF($A15="AEO",'Growth Rates'!Q67,'Growth Rates'!Q67*Q$5))</f>
        <v/>
      </c>
      <c r="R15">
        <f>Q15*(1+IF($A15="AEO",'Growth Rates'!R67,'Growth Rates'!R67*R$5))</f>
        <v/>
      </c>
      <c r="S15">
        <f>R15*(1+IF($A15="AEO",'Growth Rates'!S67,'Growth Rates'!S67*S$5))</f>
        <v/>
      </c>
      <c r="T15">
        <f>S15*(1+IF($A15="AEO",'Growth Rates'!T67,'Growth Rates'!T67*T$5))</f>
        <v/>
      </c>
      <c r="U15">
        <f>T15*(1+IF($A15="AEO",'Growth Rates'!U67,'Growth Rates'!U67*U$5))</f>
        <v/>
      </c>
      <c r="V15">
        <f>U15*(1+IF($A15="AEO",'Growth Rates'!V67,'Growth Rates'!V67*V$5))</f>
        <v/>
      </c>
      <c r="W15">
        <f>V15*(1+IF($A15="AEO",'Growth Rates'!W67,'Growth Rates'!W67*W$5))</f>
        <v/>
      </c>
      <c r="X15">
        <f>W15*(1+IF($A15="AEO",'Growth Rates'!X67,'Growth Rates'!X67*X$5))</f>
        <v/>
      </c>
      <c r="Y15">
        <f>X15*(1+IF($A15="AEO",'Growth Rates'!Y67,'Growth Rates'!Y67*Y$5))</f>
        <v/>
      </c>
      <c r="Z15">
        <f>Y15*(1+IF($A15="AEO",'Growth Rates'!Z67,'Growth Rates'!Z67*Z$5))</f>
        <v/>
      </c>
      <c r="AA15">
        <f>Z15*(1+IF($A15="AEO",'Growth Rates'!AA67,'Growth Rates'!AA67*AA$5))</f>
        <v/>
      </c>
      <c r="AB15">
        <f>AA15*(1+IF($A15="AEO",'Growth Rates'!AB67,'Growth Rates'!AB67*AB$5))</f>
        <v/>
      </c>
      <c r="AC15">
        <f>AB15*(1+IF($A15="AEO",'Growth Rates'!AC67,'Growth Rates'!AC67*AC$5))</f>
        <v/>
      </c>
    </row>
    <row r="16">
      <c r="A16" t="inlineStr"/>
      <c r="B16" t="inlineStr">
        <is>
          <t>ISIC 09</t>
        </is>
      </c>
      <c r="C16">
        <f>'Data from BVAbIC'!I2</f>
        <v/>
      </c>
      <c r="D16">
        <f>C16*(1+IF($A16="AEO",'Growth Rates'!D68,'Growth Rates'!D68*D$5))</f>
        <v/>
      </c>
      <c r="E16">
        <f>D16*(1+IF($A16="AEO",'Growth Rates'!E68,'Growth Rates'!E68*E$5))</f>
        <v/>
      </c>
      <c r="F16">
        <f>E16*(1+IF($A16="AEO",'Growth Rates'!F68,'Growth Rates'!F68*F$5))</f>
        <v/>
      </c>
      <c r="G16">
        <f>F16*(1+IF($A16="AEO",'Growth Rates'!G68,'Growth Rates'!G68*G$5))</f>
        <v/>
      </c>
      <c r="H16">
        <f>G16*(1+IF($A16="AEO",'Growth Rates'!H68,'Growth Rates'!H68*H$5))</f>
        <v/>
      </c>
      <c r="I16">
        <f>H16*(1+IF($A16="AEO",'Growth Rates'!I68,'Growth Rates'!I68*I$5))</f>
        <v/>
      </c>
      <c r="J16">
        <f>I16*(1+IF($A16="AEO",'Growth Rates'!J68,'Growth Rates'!J68*J$5))</f>
        <v/>
      </c>
      <c r="K16">
        <f>J16*(1+IF($A16="AEO",'Growth Rates'!K68,'Growth Rates'!K68*K$5))</f>
        <v/>
      </c>
      <c r="L16">
        <f>K16*(1+IF($A16="AEO",'Growth Rates'!L68,'Growth Rates'!L68*L$5))</f>
        <v/>
      </c>
      <c r="M16">
        <f>L16*(1+IF($A16="AEO",'Growth Rates'!M68,'Growth Rates'!M68*M$5))</f>
        <v/>
      </c>
      <c r="N16">
        <f>M16*(1+IF($A16="AEO",'Growth Rates'!N68,'Growth Rates'!N68*N$5))</f>
        <v/>
      </c>
      <c r="O16">
        <f>N16*(1+IF($A16="AEO",'Growth Rates'!O68,'Growth Rates'!O68*O$5))</f>
        <v/>
      </c>
      <c r="P16">
        <f>O16*(1+IF($A16="AEO",'Growth Rates'!P68,'Growth Rates'!P68*P$5))</f>
        <v/>
      </c>
      <c r="Q16">
        <f>P16*(1+IF($A16="AEO",'Growth Rates'!Q68,'Growth Rates'!Q68*Q$5))</f>
        <v/>
      </c>
      <c r="R16">
        <f>Q16*(1+IF($A16="AEO",'Growth Rates'!R68,'Growth Rates'!R68*R$5))</f>
        <v/>
      </c>
      <c r="S16">
        <f>R16*(1+IF($A16="AEO",'Growth Rates'!S68,'Growth Rates'!S68*S$5))</f>
        <v/>
      </c>
      <c r="T16">
        <f>S16*(1+IF($A16="AEO",'Growth Rates'!T68,'Growth Rates'!T68*T$5))</f>
        <v/>
      </c>
      <c r="U16">
        <f>T16*(1+IF($A16="AEO",'Growth Rates'!U68,'Growth Rates'!U68*U$5))</f>
        <v/>
      </c>
      <c r="V16">
        <f>U16*(1+IF($A16="AEO",'Growth Rates'!V68,'Growth Rates'!V68*V$5))</f>
        <v/>
      </c>
      <c r="W16">
        <f>V16*(1+IF($A16="AEO",'Growth Rates'!W68,'Growth Rates'!W68*W$5))</f>
        <v/>
      </c>
      <c r="X16">
        <f>W16*(1+IF($A16="AEO",'Growth Rates'!X68,'Growth Rates'!X68*X$5))</f>
        <v/>
      </c>
      <c r="Y16">
        <f>X16*(1+IF($A16="AEO",'Growth Rates'!Y68,'Growth Rates'!Y68*Y$5))</f>
        <v/>
      </c>
      <c r="Z16">
        <f>Y16*(1+IF($A16="AEO",'Growth Rates'!Z68,'Growth Rates'!Z68*Z$5))</f>
        <v/>
      </c>
      <c r="AA16">
        <f>Z16*(1+IF($A16="AEO",'Growth Rates'!AA68,'Growth Rates'!AA68*AA$5))</f>
        <v/>
      </c>
      <c r="AB16">
        <f>AA16*(1+IF($A16="AEO",'Growth Rates'!AB68,'Growth Rates'!AB68*AB$5))</f>
        <v/>
      </c>
      <c r="AC16">
        <f>AB16*(1+IF($A16="AEO",'Growth Rates'!AC68,'Growth Rates'!AC68*AC$5))</f>
        <v/>
      </c>
    </row>
    <row r="17">
      <c r="A17" t="inlineStr">
        <is>
          <t>AEO</t>
        </is>
      </c>
      <c r="B17" t="inlineStr">
        <is>
          <t>ISIC 10T12</t>
        </is>
      </c>
      <c r="C17">
        <f>'Data from BVAbIC'!J2</f>
        <v/>
      </c>
      <c r="D17">
        <f>C17*(1+IF($A17="AEO",'Growth Rates'!D69,'Growth Rates'!D69*D$5))</f>
        <v/>
      </c>
      <c r="E17">
        <f>D17*(1+IF($A17="AEO",'Growth Rates'!E69,'Growth Rates'!E69*E$5))</f>
        <v/>
      </c>
      <c r="F17">
        <f>E17*(1+IF($A17="AEO",'Growth Rates'!F69,'Growth Rates'!F69*F$5))</f>
        <v/>
      </c>
      <c r="G17">
        <f>F17*(1+IF($A17="AEO",'Growth Rates'!G69,'Growth Rates'!G69*G$5))</f>
        <v/>
      </c>
      <c r="H17">
        <f>G17*(1+IF($A17="AEO",'Growth Rates'!H69,'Growth Rates'!H69*H$5))</f>
        <v/>
      </c>
      <c r="I17">
        <f>H17*(1+IF($A17="AEO",'Growth Rates'!I69,'Growth Rates'!I69*I$5))</f>
        <v/>
      </c>
      <c r="J17">
        <f>I17*(1+IF($A17="AEO",'Growth Rates'!J69,'Growth Rates'!J69*J$5))</f>
        <v/>
      </c>
      <c r="K17">
        <f>J17*(1+IF($A17="AEO",'Growth Rates'!K69,'Growth Rates'!K69*K$5))</f>
        <v/>
      </c>
      <c r="L17">
        <f>K17*(1+IF($A17="AEO",'Growth Rates'!L69,'Growth Rates'!L69*L$5))</f>
        <v/>
      </c>
      <c r="M17">
        <f>L17*(1+IF($A17="AEO",'Growth Rates'!M69,'Growth Rates'!M69*M$5))</f>
        <v/>
      </c>
      <c r="N17">
        <f>M17*(1+IF($A17="AEO",'Growth Rates'!N69,'Growth Rates'!N69*N$5))</f>
        <v/>
      </c>
      <c r="O17">
        <f>N17*(1+IF($A17="AEO",'Growth Rates'!O69,'Growth Rates'!O69*O$5))</f>
        <v/>
      </c>
      <c r="P17">
        <f>O17*(1+IF($A17="AEO",'Growth Rates'!P69,'Growth Rates'!P69*P$5))</f>
        <v/>
      </c>
      <c r="Q17">
        <f>P17*(1+IF($A17="AEO",'Growth Rates'!Q69,'Growth Rates'!Q69*Q$5))</f>
        <v/>
      </c>
      <c r="R17">
        <f>Q17*(1+IF($A17="AEO",'Growth Rates'!R69,'Growth Rates'!R69*R$5))</f>
        <v/>
      </c>
      <c r="S17">
        <f>R17*(1+IF($A17="AEO",'Growth Rates'!S69,'Growth Rates'!S69*S$5))</f>
        <v/>
      </c>
      <c r="T17">
        <f>S17*(1+IF($A17="AEO",'Growth Rates'!T69,'Growth Rates'!T69*T$5))</f>
        <v/>
      </c>
      <c r="U17">
        <f>T17*(1+IF($A17="AEO",'Growth Rates'!U69,'Growth Rates'!U69*U$5))</f>
        <v/>
      </c>
      <c r="V17">
        <f>U17*(1+IF($A17="AEO",'Growth Rates'!V69,'Growth Rates'!V69*V$5))</f>
        <v/>
      </c>
      <c r="W17">
        <f>V17*(1+IF($A17="AEO",'Growth Rates'!W69,'Growth Rates'!W69*W$5))</f>
        <v/>
      </c>
      <c r="X17">
        <f>W17*(1+IF($A17="AEO",'Growth Rates'!X69,'Growth Rates'!X69*X$5))</f>
        <v/>
      </c>
      <c r="Y17">
        <f>X17*(1+IF($A17="AEO",'Growth Rates'!Y69,'Growth Rates'!Y69*Y$5))</f>
        <v/>
      </c>
      <c r="Z17">
        <f>Y17*(1+IF($A17="AEO",'Growth Rates'!Z69,'Growth Rates'!Z69*Z$5))</f>
        <v/>
      </c>
      <c r="AA17">
        <f>Z17*(1+IF($A17="AEO",'Growth Rates'!AA69,'Growth Rates'!AA69*AA$5))</f>
        <v/>
      </c>
      <c r="AB17">
        <f>AA17*(1+IF($A17="AEO",'Growth Rates'!AB69,'Growth Rates'!AB69*AB$5))</f>
        <v/>
      </c>
      <c r="AC17">
        <f>AB17*(1+IF($A17="AEO",'Growth Rates'!AC69,'Growth Rates'!AC69*AC$5))</f>
        <v/>
      </c>
    </row>
    <row r="18">
      <c r="A18" t="inlineStr">
        <is>
          <t>AEO</t>
        </is>
      </c>
      <c r="B18" t="inlineStr">
        <is>
          <t>ISIC 13T15</t>
        </is>
      </c>
      <c r="C18">
        <f>'Data from BVAbIC'!K2</f>
        <v/>
      </c>
      <c r="D18">
        <f>C18*(1+IF($A18="AEO",'Growth Rates'!D70,'Growth Rates'!D70*D$5))</f>
        <v/>
      </c>
      <c r="E18">
        <f>D18*(1+IF($A18="AEO",'Growth Rates'!E70,'Growth Rates'!E70*E$5))</f>
        <v/>
      </c>
      <c r="F18">
        <f>E18*(1+IF($A18="AEO",'Growth Rates'!F70,'Growth Rates'!F70*F$5))</f>
        <v/>
      </c>
      <c r="G18">
        <f>F18*(1+IF($A18="AEO",'Growth Rates'!G70,'Growth Rates'!G70*G$5))</f>
        <v/>
      </c>
      <c r="H18">
        <f>G18*(1+IF($A18="AEO",'Growth Rates'!H70,'Growth Rates'!H70*H$5))</f>
        <v/>
      </c>
      <c r="I18">
        <f>H18*(1+IF($A18="AEO",'Growth Rates'!I70,'Growth Rates'!I70*I$5))</f>
        <v/>
      </c>
      <c r="J18">
        <f>I18*(1+IF($A18="AEO",'Growth Rates'!J70,'Growth Rates'!J70*J$5))</f>
        <v/>
      </c>
      <c r="K18">
        <f>J18*(1+IF($A18="AEO",'Growth Rates'!K70,'Growth Rates'!K70*K$5))</f>
        <v/>
      </c>
      <c r="L18">
        <f>K18*(1+IF($A18="AEO",'Growth Rates'!L70,'Growth Rates'!L70*L$5))</f>
        <v/>
      </c>
      <c r="M18">
        <f>L18*(1+IF($A18="AEO",'Growth Rates'!M70,'Growth Rates'!M70*M$5))</f>
        <v/>
      </c>
      <c r="N18">
        <f>M18*(1+IF($A18="AEO",'Growth Rates'!N70,'Growth Rates'!N70*N$5))</f>
        <v/>
      </c>
      <c r="O18">
        <f>N18*(1+IF($A18="AEO",'Growth Rates'!O70,'Growth Rates'!O70*O$5))</f>
        <v/>
      </c>
      <c r="P18">
        <f>O18*(1+IF($A18="AEO",'Growth Rates'!P70,'Growth Rates'!P70*P$5))</f>
        <v/>
      </c>
      <c r="Q18">
        <f>P18*(1+IF($A18="AEO",'Growth Rates'!Q70,'Growth Rates'!Q70*Q$5))</f>
        <v/>
      </c>
      <c r="R18">
        <f>Q18*(1+IF($A18="AEO",'Growth Rates'!R70,'Growth Rates'!R70*R$5))</f>
        <v/>
      </c>
      <c r="S18">
        <f>R18*(1+IF($A18="AEO",'Growth Rates'!S70,'Growth Rates'!S70*S$5))</f>
        <v/>
      </c>
      <c r="T18">
        <f>S18*(1+IF($A18="AEO",'Growth Rates'!T70,'Growth Rates'!T70*T$5))</f>
        <v/>
      </c>
      <c r="U18">
        <f>T18*(1+IF($A18="AEO",'Growth Rates'!U70,'Growth Rates'!U70*U$5))</f>
        <v/>
      </c>
      <c r="V18">
        <f>U18*(1+IF($A18="AEO",'Growth Rates'!V70,'Growth Rates'!V70*V$5))</f>
        <v/>
      </c>
      <c r="W18">
        <f>V18*(1+IF($A18="AEO",'Growth Rates'!W70,'Growth Rates'!W70*W$5))</f>
        <v/>
      </c>
      <c r="X18">
        <f>W18*(1+IF($A18="AEO",'Growth Rates'!X70,'Growth Rates'!X70*X$5))</f>
        <v/>
      </c>
      <c r="Y18">
        <f>X18*(1+IF($A18="AEO",'Growth Rates'!Y70,'Growth Rates'!Y70*Y$5))</f>
        <v/>
      </c>
      <c r="Z18">
        <f>Y18*(1+IF($A18="AEO",'Growth Rates'!Z70,'Growth Rates'!Z70*Z$5))</f>
        <v/>
      </c>
      <c r="AA18">
        <f>Z18*(1+IF($A18="AEO",'Growth Rates'!AA70,'Growth Rates'!AA70*AA$5))</f>
        <v/>
      </c>
      <c r="AB18">
        <f>AA18*(1+IF($A18="AEO",'Growth Rates'!AB70,'Growth Rates'!AB70*AB$5))</f>
        <v/>
      </c>
      <c r="AC18">
        <f>AB18*(1+IF($A18="AEO",'Growth Rates'!AC70,'Growth Rates'!AC70*AC$5))</f>
        <v/>
      </c>
    </row>
    <row r="19">
      <c r="A19" t="inlineStr">
        <is>
          <t>AEO</t>
        </is>
      </c>
      <c r="B19" t="inlineStr">
        <is>
          <t>ISIC 16</t>
        </is>
      </c>
      <c r="C19">
        <f>'Data from BVAbIC'!L2</f>
        <v/>
      </c>
      <c r="D19">
        <f>C19*(1+IF($A19="AEO",'Growth Rates'!D71,'Growth Rates'!D71*D$5))</f>
        <v/>
      </c>
      <c r="E19">
        <f>D19*(1+IF($A19="AEO",'Growth Rates'!E71,'Growth Rates'!E71*E$5))</f>
        <v/>
      </c>
      <c r="F19">
        <f>E19*(1+IF($A19="AEO",'Growth Rates'!F71,'Growth Rates'!F71*F$5))</f>
        <v/>
      </c>
      <c r="G19">
        <f>F19*(1+IF($A19="AEO",'Growth Rates'!G71,'Growth Rates'!G71*G$5))</f>
        <v/>
      </c>
      <c r="H19">
        <f>G19*(1+IF($A19="AEO",'Growth Rates'!H71,'Growth Rates'!H71*H$5))</f>
        <v/>
      </c>
      <c r="I19">
        <f>H19*(1+IF($A19="AEO",'Growth Rates'!I71,'Growth Rates'!I71*I$5))</f>
        <v/>
      </c>
      <c r="J19">
        <f>I19*(1+IF($A19="AEO",'Growth Rates'!J71,'Growth Rates'!J71*J$5))</f>
        <v/>
      </c>
      <c r="K19">
        <f>J19*(1+IF($A19="AEO",'Growth Rates'!K71,'Growth Rates'!K71*K$5))</f>
        <v/>
      </c>
      <c r="L19">
        <f>K19*(1+IF($A19="AEO",'Growth Rates'!L71,'Growth Rates'!L71*L$5))</f>
        <v/>
      </c>
      <c r="M19">
        <f>L19*(1+IF($A19="AEO",'Growth Rates'!M71,'Growth Rates'!M71*M$5))</f>
        <v/>
      </c>
      <c r="N19">
        <f>M19*(1+IF($A19="AEO",'Growth Rates'!N71,'Growth Rates'!N71*N$5))</f>
        <v/>
      </c>
      <c r="O19">
        <f>N19*(1+IF($A19="AEO",'Growth Rates'!O71,'Growth Rates'!O71*O$5))</f>
        <v/>
      </c>
      <c r="P19">
        <f>O19*(1+IF($A19="AEO",'Growth Rates'!P71,'Growth Rates'!P71*P$5))</f>
        <v/>
      </c>
      <c r="Q19">
        <f>P19*(1+IF($A19="AEO",'Growth Rates'!Q71,'Growth Rates'!Q71*Q$5))</f>
        <v/>
      </c>
      <c r="R19">
        <f>Q19*(1+IF($A19="AEO",'Growth Rates'!R71,'Growth Rates'!R71*R$5))</f>
        <v/>
      </c>
      <c r="S19">
        <f>R19*(1+IF($A19="AEO",'Growth Rates'!S71,'Growth Rates'!S71*S$5))</f>
        <v/>
      </c>
      <c r="T19">
        <f>S19*(1+IF($A19="AEO",'Growth Rates'!T71,'Growth Rates'!T71*T$5))</f>
        <v/>
      </c>
      <c r="U19">
        <f>T19*(1+IF($A19="AEO",'Growth Rates'!U71,'Growth Rates'!U71*U$5))</f>
        <v/>
      </c>
      <c r="V19">
        <f>U19*(1+IF($A19="AEO",'Growth Rates'!V71,'Growth Rates'!V71*V$5))</f>
        <v/>
      </c>
      <c r="W19">
        <f>V19*(1+IF($A19="AEO",'Growth Rates'!W71,'Growth Rates'!W71*W$5))</f>
        <v/>
      </c>
      <c r="X19">
        <f>W19*(1+IF($A19="AEO",'Growth Rates'!X71,'Growth Rates'!X71*X$5))</f>
        <v/>
      </c>
      <c r="Y19">
        <f>X19*(1+IF($A19="AEO",'Growth Rates'!Y71,'Growth Rates'!Y71*Y$5))</f>
        <v/>
      </c>
      <c r="Z19">
        <f>Y19*(1+IF($A19="AEO",'Growth Rates'!Z71,'Growth Rates'!Z71*Z$5))</f>
        <v/>
      </c>
      <c r="AA19">
        <f>Z19*(1+IF($A19="AEO",'Growth Rates'!AA71,'Growth Rates'!AA71*AA$5))</f>
        <v/>
      </c>
      <c r="AB19">
        <f>AA19*(1+IF($A19="AEO",'Growth Rates'!AB71,'Growth Rates'!AB71*AB$5))</f>
        <v/>
      </c>
      <c r="AC19">
        <f>AB19*(1+IF($A19="AEO",'Growth Rates'!AC71,'Growth Rates'!AC71*AC$5))</f>
        <v/>
      </c>
    </row>
    <row r="20">
      <c r="A20" t="inlineStr">
        <is>
          <t>AEO</t>
        </is>
      </c>
      <c r="B20" t="inlineStr">
        <is>
          <t>ISIC 17T18</t>
        </is>
      </c>
      <c r="C20">
        <f>'Data from BVAbIC'!M2</f>
        <v/>
      </c>
      <c r="D20">
        <f>C20*(1+IF($A20="AEO",'Growth Rates'!D72,'Growth Rates'!D72*D$5))</f>
        <v/>
      </c>
      <c r="E20">
        <f>D20*(1+IF($A20="AEO",'Growth Rates'!E72,'Growth Rates'!E72*E$5))</f>
        <v/>
      </c>
      <c r="F20">
        <f>E20*(1+IF($A20="AEO",'Growth Rates'!F72,'Growth Rates'!F72*F$5))</f>
        <v/>
      </c>
      <c r="G20">
        <f>F20*(1+IF($A20="AEO",'Growth Rates'!G72,'Growth Rates'!G72*G$5))</f>
        <v/>
      </c>
      <c r="H20">
        <f>G20*(1+IF($A20="AEO",'Growth Rates'!H72,'Growth Rates'!H72*H$5))</f>
        <v/>
      </c>
      <c r="I20">
        <f>H20*(1+IF($A20="AEO",'Growth Rates'!I72,'Growth Rates'!I72*I$5))</f>
        <v/>
      </c>
      <c r="J20">
        <f>I20*(1+IF($A20="AEO",'Growth Rates'!J72,'Growth Rates'!J72*J$5))</f>
        <v/>
      </c>
      <c r="K20">
        <f>J20*(1+IF($A20="AEO",'Growth Rates'!K72,'Growth Rates'!K72*K$5))</f>
        <v/>
      </c>
      <c r="L20">
        <f>K20*(1+IF($A20="AEO",'Growth Rates'!L72,'Growth Rates'!L72*L$5))</f>
        <v/>
      </c>
      <c r="M20">
        <f>L20*(1+IF($A20="AEO",'Growth Rates'!M72,'Growth Rates'!M72*M$5))</f>
        <v/>
      </c>
      <c r="N20">
        <f>M20*(1+IF($A20="AEO",'Growth Rates'!N72,'Growth Rates'!N72*N$5))</f>
        <v/>
      </c>
      <c r="O20">
        <f>N20*(1+IF($A20="AEO",'Growth Rates'!O72,'Growth Rates'!O72*O$5))</f>
        <v/>
      </c>
      <c r="P20">
        <f>O20*(1+IF($A20="AEO",'Growth Rates'!P72,'Growth Rates'!P72*P$5))</f>
        <v/>
      </c>
      <c r="Q20">
        <f>P20*(1+IF($A20="AEO",'Growth Rates'!Q72,'Growth Rates'!Q72*Q$5))</f>
        <v/>
      </c>
      <c r="R20">
        <f>Q20*(1+IF($A20="AEO",'Growth Rates'!R72,'Growth Rates'!R72*R$5))</f>
        <v/>
      </c>
      <c r="S20">
        <f>R20*(1+IF($A20="AEO",'Growth Rates'!S72,'Growth Rates'!S72*S$5))</f>
        <v/>
      </c>
      <c r="T20">
        <f>S20*(1+IF($A20="AEO",'Growth Rates'!T72,'Growth Rates'!T72*T$5))</f>
        <v/>
      </c>
      <c r="U20">
        <f>T20*(1+IF($A20="AEO",'Growth Rates'!U72,'Growth Rates'!U72*U$5))</f>
        <v/>
      </c>
      <c r="V20">
        <f>U20*(1+IF($A20="AEO",'Growth Rates'!V72,'Growth Rates'!V72*V$5))</f>
        <v/>
      </c>
      <c r="W20">
        <f>V20*(1+IF($A20="AEO",'Growth Rates'!W72,'Growth Rates'!W72*W$5))</f>
        <v/>
      </c>
      <c r="X20">
        <f>W20*(1+IF($A20="AEO",'Growth Rates'!X72,'Growth Rates'!X72*X$5))</f>
        <v/>
      </c>
      <c r="Y20">
        <f>X20*(1+IF($A20="AEO",'Growth Rates'!Y72,'Growth Rates'!Y72*Y$5))</f>
        <v/>
      </c>
      <c r="Z20">
        <f>Y20*(1+IF($A20="AEO",'Growth Rates'!Z72,'Growth Rates'!Z72*Z$5))</f>
        <v/>
      </c>
      <c r="AA20">
        <f>Z20*(1+IF($A20="AEO",'Growth Rates'!AA72,'Growth Rates'!AA72*AA$5))</f>
        <v/>
      </c>
      <c r="AB20">
        <f>AA20*(1+IF($A20="AEO",'Growth Rates'!AB72,'Growth Rates'!AB72*AB$5))</f>
        <v/>
      </c>
      <c r="AC20">
        <f>AB20*(1+IF($A20="AEO",'Growth Rates'!AC72,'Growth Rates'!AC72*AC$5))</f>
        <v/>
      </c>
    </row>
    <row r="21">
      <c r="A21" t="inlineStr">
        <is>
          <t>AEO</t>
        </is>
      </c>
      <c r="B21" t="inlineStr">
        <is>
          <t>ISIC 19</t>
        </is>
      </c>
      <c r="C21">
        <f>'Data from BVAbIC'!N2</f>
        <v/>
      </c>
      <c r="D21">
        <f>C21*(1+IF($A21="AEO",'Growth Rates'!D73,'Growth Rates'!D73*D$5))</f>
        <v/>
      </c>
      <c r="E21">
        <f>D21*(1+IF($A21="AEO",'Growth Rates'!E73,'Growth Rates'!E73*E$5))</f>
        <v/>
      </c>
      <c r="F21">
        <f>E21*(1+IF($A21="AEO",'Growth Rates'!F73,'Growth Rates'!F73*F$5))</f>
        <v/>
      </c>
      <c r="G21">
        <f>F21*(1+IF($A21="AEO",'Growth Rates'!G73,'Growth Rates'!G73*G$5))</f>
        <v/>
      </c>
      <c r="H21">
        <f>G21*(1+IF($A21="AEO",'Growth Rates'!H73,'Growth Rates'!H73*H$5))</f>
        <v/>
      </c>
      <c r="I21">
        <f>H21*(1+IF($A21="AEO",'Growth Rates'!I73,'Growth Rates'!I73*I$5))</f>
        <v/>
      </c>
      <c r="J21">
        <f>I21*(1+IF($A21="AEO",'Growth Rates'!J73,'Growth Rates'!J73*J$5))</f>
        <v/>
      </c>
      <c r="K21">
        <f>J21*(1+IF($A21="AEO",'Growth Rates'!K73,'Growth Rates'!K73*K$5))</f>
        <v/>
      </c>
      <c r="L21">
        <f>K21*(1+IF($A21="AEO",'Growth Rates'!L73,'Growth Rates'!L73*L$5))</f>
        <v/>
      </c>
      <c r="M21">
        <f>L21*(1+IF($A21="AEO",'Growth Rates'!M73,'Growth Rates'!M73*M$5))</f>
        <v/>
      </c>
      <c r="N21">
        <f>M21*(1+IF($A21="AEO",'Growth Rates'!N73,'Growth Rates'!N73*N$5))</f>
        <v/>
      </c>
      <c r="O21">
        <f>N21*(1+IF($A21="AEO",'Growth Rates'!O73,'Growth Rates'!O73*O$5))</f>
        <v/>
      </c>
      <c r="P21">
        <f>O21*(1+IF($A21="AEO",'Growth Rates'!P73,'Growth Rates'!P73*P$5))</f>
        <v/>
      </c>
      <c r="Q21">
        <f>P21*(1+IF($A21="AEO",'Growth Rates'!Q73,'Growth Rates'!Q73*Q$5))</f>
        <v/>
      </c>
      <c r="R21">
        <f>Q21*(1+IF($A21="AEO",'Growth Rates'!R73,'Growth Rates'!R73*R$5))</f>
        <v/>
      </c>
      <c r="S21">
        <f>R21*(1+IF($A21="AEO",'Growth Rates'!S73,'Growth Rates'!S73*S$5))</f>
        <v/>
      </c>
      <c r="T21">
        <f>S21*(1+IF($A21="AEO",'Growth Rates'!T73,'Growth Rates'!T73*T$5))</f>
        <v/>
      </c>
      <c r="U21">
        <f>T21*(1+IF($A21="AEO",'Growth Rates'!U73,'Growth Rates'!U73*U$5))</f>
        <v/>
      </c>
      <c r="V21">
        <f>U21*(1+IF($A21="AEO",'Growth Rates'!V73,'Growth Rates'!V73*V$5))</f>
        <v/>
      </c>
      <c r="W21">
        <f>V21*(1+IF($A21="AEO",'Growth Rates'!W73,'Growth Rates'!W73*W$5))</f>
        <v/>
      </c>
      <c r="X21">
        <f>W21*(1+IF($A21="AEO",'Growth Rates'!X73,'Growth Rates'!X73*X$5))</f>
        <v/>
      </c>
      <c r="Y21">
        <f>X21*(1+IF($A21="AEO",'Growth Rates'!Y73,'Growth Rates'!Y73*Y$5))</f>
        <v/>
      </c>
      <c r="Z21">
        <f>Y21*(1+IF($A21="AEO",'Growth Rates'!Z73,'Growth Rates'!Z73*Z$5))</f>
        <v/>
      </c>
      <c r="AA21">
        <f>Z21*(1+IF($A21="AEO",'Growth Rates'!AA73,'Growth Rates'!AA73*AA$5))</f>
        <v/>
      </c>
      <c r="AB21">
        <f>AA21*(1+IF($A21="AEO",'Growth Rates'!AB73,'Growth Rates'!AB73*AB$5))</f>
        <v/>
      </c>
      <c r="AC21">
        <f>AB21*(1+IF($A21="AEO",'Growth Rates'!AC73,'Growth Rates'!AC73*AC$5))</f>
        <v/>
      </c>
    </row>
    <row r="22">
      <c r="A22" t="inlineStr">
        <is>
          <t>AEO</t>
        </is>
      </c>
      <c r="B22" t="inlineStr">
        <is>
          <t>ISIC 20</t>
        </is>
      </c>
      <c r="C22">
        <f>'Data from BVAbIC'!O2</f>
        <v/>
      </c>
      <c r="D22">
        <f>C22*(1+IF($A22="AEO",'Growth Rates'!D74,'Growth Rates'!D74*D$5))</f>
        <v/>
      </c>
      <c r="E22">
        <f>D22*(1+IF($A22="AEO",'Growth Rates'!E74,'Growth Rates'!E74*E$5))</f>
        <v/>
      </c>
      <c r="F22">
        <f>E22*(1+IF($A22="AEO",'Growth Rates'!F74,'Growth Rates'!F74*F$5))</f>
        <v/>
      </c>
      <c r="G22">
        <f>F22*(1+IF($A22="AEO",'Growth Rates'!G74,'Growth Rates'!G74*G$5))</f>
        <v/>
      </c>
      <c r="H22">
        <f>G22*(1+IF($A22="AEO",'Growth Rates'!H74,'Growth Rates'!H74*H$5))</f>
        <v/>
      </c>
      <c r="I22">
        <f>H22*(1+IF($A22="AEO",'Growth Rates'!I74,'Growth Rates'!I74*I$5))</f>
        <v/>
      </c>
      <c r="J22">
        <f>I22*(1+IF($A22="AEO",'Growth Rates'!J74,'Growth Rates'!J74*J$5))</f>
        <v/>
      </c>
      <c r="K22">
        <f>J22*(1+IF($A22="AEO",'Growth Rates'!K74,'Growth Rates'!K74*K$5))</f>
        <v/>
      </c>
      <c r="L22">
        <f>K22*(1+IF($A22="AEO",'Growth Rates'!L74,'Growth Rates'!L74*L$5))</f>
        <v/>
      </c>
      <c r="M22">
        <f>L22*(1+IF($A22="AEO",'Growth Rates'!M74,'Growth Rates'!M74*M$5))</f>
        <v/>
      </c>
      <c r="N22">
        <f>M22*(1+IF($A22="AEO",'Growth Rates'!N74,'Growth Rates'!N74*N$5))</f>
        <v/>
      </c>
      <c r="O22">
        <f>N22*(1+IF($A22="AEO",'Growth Rates'!O74,'Growth Rates'!O74*O$5))</f>
        <v/>
      </c>
      <c r="P22">
        <f>O22*(1+IF($A22="AEO",'Growth Rates'!P74,'Growth Rates'!P74*P$5))</f>
        <v/>
      </c>
      <c r="Q22">
        <f>P22*(1+IF($A22="AEO",'Growth Rates'!Q74,'Growth Rates'!Q74*Q$5))</f>
        <v/>
      </c>
      <c r="R22">
        <f>Q22*(1+IF($A22="AEO",'Growth Rates'!R74,'Growth Rates'!R74*R$5))</f>
        <v/>
      </c>
      <c r="S22">
        <f>R22*(1+IF($A22="AEO",'Growth Rates'!S74,'Growth Rates'!S74*S$5))</f>
        <v/>
      </c>
      <c r="T22">
        <f>S22*(1+IF($A22="AEO",'Growth Rates'!T74,'Growth Rates'!T74*T$5))</f>
        <v/>
      </c>
      <c r="U22">
        <f>T22*(1+IF($A22="AEO",'Growth Rates'!U74,'Growth Rates'!U74*U$5))</f>
        <v/>
      </c>
      <c r="V22">
        <f>U22*(1+IF($A22="AEO",'Growth Rates'!V74,'Growth Rates'!V74*V$5))</f>
        <v/>
      </c>
      <c r="W22">
        <f>V22*(1+IF($A22="AEO",'Growth Rates'!W74,'Growth Rates'!W74*W$5))</f>
        <v/>
      </c>
      <c r="X22">
        <f>W22*(1+IF($A22="AEO",'Growth Rates'!X74,'Growth Rates'!X74*X$5))</f>
        <v/>
      </c>
      <c r="Y22">
        <f>X22*(1+IF($A22="AEO",'Growth Rates'!Y74,'Growth Rates'!Y74*Y$5))</f>
        <v/>
      </c>
      <c r="Z22">
        <f>Y22*(1+IF($A22="AEO",'Growth Rates'!Z74,'Growth Rates'!Z74*Z$5))</f>
        <v/>
      </c>
      <c r="AA22">
        <f>Z22*(1+IF($A22="AEO",'Growth Rates'!AA74,'Growth Rates'!AA74*AA$5))</f>
        <v/>
      </c>
      <c r="AB22">
        <f>AA22*(1+IF($A22="AEO",'Growth Rates'!AB74,'Growth Rates'!AB74*AB$5))</f>
        <v/>
      </c>
      <c r="AC22">
        <f>AB22*(1+IF($A22="AEO",'Growth Rates'!AC74,'Growth Rates'!AC74*AC$5))</f>
        <v/>
      </c>
    </row>
    <row r="23">
      <c r="A23" t="inlineStr"/>
      <c r="B23" t="inlineStr">
        <is>
          <t>ISIC 21</t>
        </is>
      </c>
      <c r="C23">
        <f>'Data from BVAbIC'!P2</f>
        <v/>
      </c>
      <c r="D23">
        <f>C23*(1+IF($A23="AEO",'Growth Rates'!D75,'Growth Rates'!D75*D$5))</f>
        <v/>
      </c>
      <c r="E23">
        <f>D23*(1+IF($A23="AEO",'Growth Rates'!E75,'Growth Rates'!E75*E$5))</f>
        <v/>
      </c>
      <c r="F23">
        <f>E23*(1+IF($A23="AEO",'Growth Rates'!F75,'Growth Rates'!F75*F$5))</f>
        <v/>
      </c>
      <c r="G23">
        <f>F23*(1+IF($A23="AEO",'Growth Rates'!G75,'Growth Rates'!G75*G$5))</f>
        <v/>
      </c>
      <c r="H23">
        <f>G23*(1+IF($A23="AEO",'Growth Rates'!H75,'Growth Rates'!H75*H$5))</f>
        <v/>
      </c>
      <c r="I23">
        <f>H23*(1+IF($A23="AEO",'Growth Rates'!I75,'Growth Rates'!I75*I$5))</f>
        <v/>
      </c>
      <c r="J23">
        <f>I23*(1+IF($A23="AEO",'Growth Rates'!J75,'Growth Rates'!J75*J$5))</f>
        <v/>
      </c>
      <c r="K23">
        <f>J23*(1+IF($A23="AEO",'Growth Rates'!K75,'Growth Rates'!K75*K$5))</f>
        <v/>
      </c>
      <c r="L23">
        <f>K23*(1+IF($A23="AEO",'Growth Rates'!L75,'Growth Rates'!L75*L$5))</f>
        <v/>
      </c>
      <c r="M23">
        <f>L23*(1+IF($A23="AEO",'Growth Rates'!M75,'Growth Rates'!M75*M$5))</f>
        <v/>
      </c>
      <c r="N23">
        <f>M23*(1+IF($A23="AEO",'Growth Rates'!N75,'Growth Rates'!N75*N$5))</f>
        <v/>
      </c>
      <c r="O23">
        <f>N23*(1+IF($A23="AEO",'Growth Rates'!O75,'Growth Rates'!O75*O$5))</f>
        <v/>
      </c>
      <c r="P23">
        <f>O23*(1+IF($A23="AEO",'Growth Rates'!P75,'Growth Rates'!P75*P$5))</f>
        <v/>
      </c>
      <c r="Q23">
        <f>P23*(1+IF($A23="AEO",'Growth Rates'!Q75,'Growth Rates'!Q75*Q$5))</f>
        <v/>
      </c>
      <c r="R23">
        <f>Q23*(1+IF($A23="AEO",'Growth Rates'!R75,'Growth Rates'!R75*R$5))</f>
        <v/>
      </c>
      <c r="S23">
        <f>R23*(1+IF($A23="AEO",'Growth Rates'!S75,'Growth Rates'!S75*S$5))</f>
        <v/>
      </c>
      <c r="T23">
        <f>S23*(1+IF($A23="AEO",'Growth Rates'!T75,'Growth Rates'!T75*T$5))</f>
        <v/>
      </c>
      <c r="U23">
        <f>T23*(1+IF($A23="AEO",'Growth Rates'!U75,'Growth Rates'!U75*U$5))</f>
        <v/>
      </c>
      <c r="V23">
        <f>U23*(1+IF($A23="AEO",'Growth Rates'!V75,'Growth Rates'!V75*V$5))</f>
        <v/>
      </c>
      <c r="W23">
        <f>V23*(1+IF($A23="AEO",'Growth Rates'!W75,'Growth Rates'!W75*W$5))</f>
        <v/>
      </c>
      <c r="X23">
        <f>W23*(1+IF($A23="AEO",'Growth Rates'!X75,'Growth Rates'!X75*X$5))</f>
        <v/>
      </c>
      <c r="Y23">
        <f>X23*(1+IF($A23="AEO",'Growth Rates'!Y75,'Growth Rates'!Y75*Y$5))</f>
        <v/>
      </c>
      <c r="Z23">
        <f>Y23*(1+IF($A23="AEO",'Growth Rates'!Z75,'Growth Rates'!Z75*Z$5))</f>
        <v/>
      </c>
      <c r="AA23">
        <f>Z23*(1+IF($A23="AEO",'Growth Rates'!AA75,'Growth Rates'!AA75*AA$5))</f>
        <v/>
      </c>
      <c r="AB23">
        <f>AA23*(1+IF($A23="AEO",'Growth Rates'!AB75,'Growth Rates'!AB75*AB$5))</f>
        <v/>
      </c>
      <c r="AC23">
        <f>AB23*(1+IF($A23="AEO",'Growth Rates'!AC75,'Growth Rates'!AC75*AC$5))</f>
        <v/>
      </c>
    </row>
    <row r="24">
      <c r="A24" t="inlineStr">
        <is>
          <t>AEO</t>
        </is>
      </c>
      <c r="B24" t="inlineStr">
        <is>
          <t>ISIC 22</t>
        </is>
      </c>
      <c r="C24">
        <f>'Data from BVAbIC'!Q2</f>
        <v/>
      </c>
      <c r="D24">
        <f>C24*(1+IF($A24="AEO",'Growth Rates'!D76,'Growth Rates'!D76*D$5))</f>
        <v/>
      </c>
      <c r="E24">
        <f>D24*(1+IF($A24="AEO",'Growth Rates'!E76,'Growth Rates'!E76*E$5))</f>
        <v/>
      </c>
      <c r="F24">
        <f>E24*(1+IF($A24="AEO",'Growth Rates'!F76,'Growth Rates'!F76*F$5))</f>
        <v/>
      </c>
      <c r="G24">
        <f>F24*(1+IF($A24="AEO",'Growth Rates'!G76,'Growth Rates'!G76*G$5))</f>
        <v/>
      </c>
      <c r="H24">
        <f>G24*(1+IF($A24="AEO",'Growth Rates'!H76,'Growth Rates'!H76*H$5))</f>
        <v/>
      </c>
      <c r="I24">
        <f>H24*(1+IF($A24="AEO",'Growth Rates'!I76,'Growth Rates'!I76*I$5))</f>
        <v/>
      </c>
      <c r="J24">
        <f>I24*(1+IF($A24="AEO",'Growth Rates'!J76,'Growth Rates'!J76*J$5))</f>
        <v/>
      </c>
      <c r="K24">
        <f>J24*(1+IF($A24="AEO",'Growth Rates'!K76,'Growth Rates'!K76*K$5))</f>
        <v/>
      </c>
      <c r="L24">
        <f>K24*(1+IF($A24="AEO",'Growth Rates'!L76,'Growth Rates'!L76*L$5))</f>
        <v/>
      </c>
      <c r="M24">
        <f>L24*(1+IF($A24="AEO",'Growth Rates'!M76,'Growth Rates'!M76*M$5))</f>
        <v/>
      </c>
      <c r="N24">
        <f>M24*(1+IF($A24="AEO",'Growth Rates'!N76,'Growth Rates'!N76*N$5))</f>
        <v/>
      </c>
      <c r="O24">
        <f>N24*(1+IF($A24="AEO",'Growth Rates'!O76,'Growth Rates'!O76*O$5))</f>
        <v/>
      </c>
      <c r="P24">
        <f>O24*(1+IF($A24="AEO",'Growth Rates'!P76,'Growth Rates'!P76*P$5))</f>
        <v/>
      </c>
      <c r="Q24">
        <f>P24*(1+IF($A24="AEO",'Growth Rates'!Q76,'Growth Rates'!Q76*Q$5))</f>
        <v/>
      </c>
      <c r="R24">
        <f>Q24*(1+IF($A24="AEO",'Growth Rates'!R76,'Growth Rates'!R76*R$5))</f>
        <v/>
      </c>
      <c r="S24">
        <f>R24*(1+IF($A24="AEO",'Growth Rates'!S76,'Growth Rates'!S76*S$5))</f>
        <v/>
      </c>
      <c r="T24">
        <f>S24*(1+IF($A24="AEO",'Growth Rates'!T76,'Growth Rates'!T76*T$5))</f>
        <v/>
      </c>
      <c r="U24">
        <f>T24*(1+IF($A24="AEO",'Growth Rates'!U76,'Growth Rates'!U76*U$5))</f>
        <v/>
      </c>
      <c r="V24">
        <f>U24*(1+IF($A24="AEO",'Growth Rates'!V76,'Growth Rates'!V76*V$5))</f>
        <v/>
      </c>
      <c r="W24">
        <f>V24*(1+IF($A24="AEO",'Growth Rates'!W76,'Growth Rates'!W76*W$5))</f>
        <v/>
      </c>
      <c r="X24">
        <f>W24*(1+IF($A24="AEO",'Growth Rates'!X76,'Growth Rates'!X76*X$5))</f>
        <v/>
      </c>
      <c r="Y24">
        <f>X24*(1+IF($A24="AEO",'Growth Rates'!Y76,'Growth Rates'!Y76*Y$5))</f>
        <v/>
      </c>
      <c r="Z24">
        <f>Y24*(1+IF($A24="AEO",'Growth Rates'!Z76,'Growth Rates'!Z76*Z$5))</f>
        <v/>
      </c>
      <c r="AA24">
        <f>Z24*(1+IF($A24="AEO",'Growth Rates'!AA76,'Growth Rates'!AA76*AA$5))</f>
        <v/>
      </c>
      <c r="AB24">
        <f>AA24*(1+IF($A24="AEO",'Growth Rates'!AB76,'Growth Rates'!AB76*AB$5))</f>
        <v/>
      </c>
      <c r="AC24">
        <f>AB24*(1+IF($A24="AEO",'Growth Rates'!AC76,'Growth Rates'!AC76*AC$5))</f>
        <v/>
      </c>
    </row>
    <row r="25">
      <c r="A25" t="inlineStr">
        <is>
          <t>AEO</t>
        </is>
      </c>
      <c r="B25" t="inlineStr">
        <is>
          <t>ISIC 231</t>
        </is>
      </c>
      <c r="C25">
        <f>'Data from BVAbIC'!R2</f>
        <v/>
      </c>
      <c r="D25">
        <f>C25*(1+IF($A25="AEO",'Growth Rates'!D77,'Growth Rates'!D77*D$5))</f>
        <v/>
      </c>
      <c r="E25">
        <f>D25*(1+IF($A25="AEO",'Growth Rates'!E77,'Growth Rates'!E77*E$5))</f>
        <v/>
      </c>
      <c r="F25">
        <f>E25*(1+IF($A25="AEO",'Growth Rates'!F77,'Growth Rates'!F77*F$5))</f>
        <v/>
      </c>
      <c r="G25">
        <f>F25*(1+IF($A25="AEO",'Growth Rates'!G77,'Growth Rates'!G77*G$5))</f>
        <v/>
      </c>
      <c r="H25">
        <f>G25*(1+IF($A25="AEO",'Growth Rates'!H77,'Growth Rates'!H77*H$5))</f>
        <v/>
      </c>
      <c r="I25">
        <f>H25*(1+IF($A25="AEO",'Growth Rates'!I77,'Growth Rates'!I77*I$5))</f>
        <v/>
      </c>
      <c r="J25">
        <f>I25*(1+IF($A25="AEO",'Growth Rates'!J77,'Growth Rates'!J77*J$5))</f>
        <v/>
      </c>
      <c r="K25">
        <f>J25*(1+IF($A25="AEO",'Growth Rates'!K77,'Growth Rates'!K77*K$5))</f>
        <v/>
      </c>
      <c r="L25">
        <f>K25*(1+IF($A25="AEO",'Growth Rates'!L77,'Growth Rates'!L77*L$5))</f>
        <v/>
      </c>
      <c r="M25">
        <f>L25*(1+IF($A25="AEO",'Growth Rates'!M77,'Growth Rates'!M77*M$5))</f>
        <v/>
      </c>
      <c r="N25">
        <f>M25*(1+IF($A25="AEO",'Growth Rates'!N77,'Growth Rates'!N77*N$5))</f>
        <v/>
      </c>
      <c r="O25">
        <f>N25*(1+IF($A25="AEO",'Growth Rates'!O77,'Growth Rates'!O77*O$5))</f>
        <v/>
      </c>
      <c r="P25">
        <f>O25*(1+IF($A25="AEO",'Growth Rates'!P77,'Growth Rates'!P77*P$5))</f>
        <v/>
      </c>
      <c r="Q25">
        <f>P25*(1+IF($A25="AEO",'Growth Rates'!Q77,'Growth Rates'!Q77*Q$5))</f>
        <v/>
      </c>
      <c r="R25">
        <f>Q25*(1+IF($A25="AEO",'Growth Rates'!R77,'Growth Rates'!R77*R$5))</f>
        <v/>
      </c>
      <c r="S25">
        <f>R25*(1+IF($A25="AEO",'Growth Rates'!S77,'Growth Rates'!S77*S$5))</f>
        <v/>
      </c>
      <c r="T25">
        <f>S25*(1+IF($A25="AEO",'Growth Rates'!T77,'Growth Rates'!T77*T$5))</f>
        <v/>
      </c>
      <c r="U25">
        <f>T25*(1+IF($A25="AEO",'Growth Rates'!U77,'Growth Rates'!U77*U$5))</f>
        <v/>
      </c>
      <c r="V25">
        <f>U25*(1+IF($A25="AEO",'Growth Rates'!V77,'Growth Rates'!V77*V$5))</f>
        <v/>
      </c>
      <c r="W25">
        <f>V25*(1+IF($A25="AEO",'Growth Rates'!W77,'Growth Rates'!W77*W$5))</f>
        <v/>
      </c>
      <c r="X25">
        <f>W25*(1+IF($A25="AEO",'Growth Rates'!X77,'Growth Rates'!X77*X$5))</f>
        <v/>
      </c>
      <c r="Y25">
        <f>X25*(1+IF($A25="AEO",'Growth Rates'!Y77,'Growth Rates'!Y77*Y$5))</f>
        <v/>
      </c>
      <c r="Z25">
        <f>Y25*(1+IF($A25="AEO",'Growth Rates'!Z77,'Growth Rates'!Z77*Z$5))</f>
        <v/>
      </c>
      <c r="AA25">
        <f>Z25*(1+IF($A25="AEO",'Growth Rates'!AA77,'Growth Rates'!AA77*AA$5))</f>
        <v/>
      </c>
      <c r="AB25">
        <f>AA25*(1+IF($A25="AEO",'Growth Rates'!AB77,'Growth Rates'!AB77*AB$5))</f>
        <v/>
      </c>
      <c r="AC25">
        <f>AB25*(1+IF($A25="AEO",'Growth Rates'!AC77,'Growth Rates'!AC77*AC$5))</f>
        <v/>
      </c>
    </row>
    <row r="26">
      <c r="A26" t="inlineStr">
        <is>
          <t>AEO</t>
        </is>
      </c>
      <c r="B26" t="inlineStr">
        <is>
          <t>ISIC 239</t>
        </is>
      </c>
      <c r="C26">
        <f>'Data from BVAbIC'!S2</f>
        <v/>
      </c>
      <c r="D26">
        <f>C26*(1+IF($A26="AEO",'Growth Rates'!D78,'Growth Rates'!D78*D$5))</f>
        <v/>
      </c>
      <c r="E26">
        <f>D26*(1+IF($A26="AEO",'Growth Rates'!E78,'Growth Rates'!E78*E$5))</f>
        <v/>
      </c>
      <c r="F26">
        <f>E26*(1+IF($A26="AEO",'Growth Rates'!F78,'Growth Rates'!F78*F$5))</f>
        <v/>
      </c>
      <c r="G26">
        <f>F26*(1+IF($A26="AEO",'Growth Rates'!G78,'Growth Rates'!G78*G$5))</f>
        <v/>
      </c>
      <c r="H26">
        <f>G26*(1+IF($A26="AEO",'Growth Rates'!H78,'Growth Rates'!H78*H$5))</f>
        <v/>
      </c>
      <c r="I26">
        <f>H26*(1+IF($A26="AEO",'Growth Rates'!I78,'Growth Rates'!I78*I$5))</f>
        <v/>
      </c>
      <c r="J26">
        <f>I26*(1+IF($A26="AEO",'Growth Rates'!J78,'Growth Rates'!J78*J$5))</f>
        <v/>
      </c>
      <c r="K26">
        <f>J26*(1+IF($A26="AEO",'Growth Rates'!K78,'Growth Rates'!K78*K$5))</f>
        <v/>
      </c>
      <c r="L26">
        <f>K26*(1+IF($A26="AEO",'Growth Rates'!L78,'Growth Rates'!L78*L$5))</f>
        <v/>
      </c>
      <c r="M26">
        <f>L26*(1+IF($A26="AEO",'Growth Rates'!M78,'Growth Rates'!M78*M$5))</f>
        <v/>
      </c>
      <c r="N26">
        <f>M26*(1+IF($A26="AEO",'Growth Rates'!N78,'Growth Rates'!N78*N$5))</f>
        <v/>
      </c>
      <c r="O26">
        <f>N26*(1+IF($A26="AEO",'Growth Rates'!O78,'Growth Rates'!O78*O$5))</f>
        <v/>
      </c>
      <c r="P26">
        <f>O26*(1+IF($A26="AEO",'Growth Rates'!P78,'Growth Rates'!P78*P$5))</f>
        <v/>
      </c>
      <c r="Q26">
        <f>P26*(1+IF($A26="AEO",'Growth Rates'!Q78,'Growth Rates'!Q78*Q$5))</f>
        <v/>
      </c>
      <c r="R26">
        <f>Q26*(1+IF($A26="AEO",'Growth Rates'!R78,'Growth Rates'!R78*R$5))</f>
        <v/>
      </c>
      <c r="S26">
        <f>R26*(1+IF($A26="AEO",'Growth Rates'!S78,'Growth Rates'!S78*S$5))</f>
        <v/>
      </c>
      <c r="T26">
        <f>S26*(1+IF($A26="AEO",'Growth Rates'!T78,'Growth Rates'!T78*T$5))</f>
        <v/>
      </c>
      <c r="U26">
        <f>T26*(1+IF($A26="AEO",'Growth Rates'!U78,'Growth Rates'!U78*U$5))</f>
        <v/>
      </c>
      <c r="V26">
        <f>U26*(1+IF($A26="AEO",'Growth Rates'!V78,'Growth Rates'!V78*V$5))</f>
        <v/>
      </c>
      <c r="W26">
        <f>V26*(1+IF($A26="AEO",'Growth Rates'!W78,'Growth Rates'!W78*W$5))</f>
        <v/>
      </c>
      <c r="X26">
        <f>W26*(1+IF($A26="AEO",'Growth Rates'!X78,'Growth Rates'!X78*X$5))</f>
        <v/>
      </c>
      <c r="Y26">
        <f>X26*(1+IF($A26="AEO",'Growth Rates'!Y78,'Growth Rates'!Y78*Y$5))</f>
        <v/>
      </c>
      <c r="Z26">
        <f>Y26*(1+IF($A26="AEO",'Growth Rates'!Z78,'Growth Rates'!Z78*Z$5))</f>
        <v/>
      </c>
      <c r="AA26">
        <f>Z26*(1+IF($A26="AEO",'Growth Rates'!AA78,'Growth Rates'!AA78*AA$5))</f>
        <v/>
      </c>
      <c r="AB26">
        <f>AA26*(1+IF($A26="AEO",'Growth Rates'!AB78,'Growth Rates'!AB78*AB$5))</f>
        <v/>
      </c>
      <c r="AC26">
        <f>AB26*(1+IF($A26="AEO",'Growth Rates'!AC78,'Growth Rates'!AC78*AC$5))</f>
        <v/>
      </c>
    </row>
    <row r="27">
      <c r="A27" t="inlineStr">
        <is>
          <t>AEO</t>
        </is>
      </c>
      <c r="B27" t="inlineStr">
        <is>
          <t>ISIC 241</t>
        </is>
      </c>
      <c r="C27">
        <f>'Data from BVAbIC'!T2</f>
        <v/>
      </c>
      <c r="D27">
        <f>C27*(1+IF($A27="AEO",'Growth Rates'!D79,'Growth Rates'!D79*D$5))</f>
        <v/>
      </c>
      <c r="E27">
        <f>D27*(1+IF($A27="AEO",'Growth Rates'!E79,'Growth Rates'!E79*E$5))</f>
        <v/>
      </c>
      <c r="F27">
        <f>E27*(1+IF($A27="AEO",'Growth Rates'!F79,'Growth Rates'!F79*F$5))</f>
        <v/>
      </c>
      <c r="G27">
        <f>F27*(1+IF($A27="AEO",'Growth Rates'!G79,'Growth Rates'!G79*G$5))</f>
        <v/>
      </c>
      <c r="H27">
        <f>G27*(1+IF($A27="AEO",'Growth Rates'!H79,'Growth Rates'!H79*H$5))</f>
        <v/>
      </c>
      <c r="I27">
        <f>H27*(1+IF($A27="AEO",'Growth Rates'!I79,'Growth Rates'!I79*I$5))</f>
        <v/>
      </c>
      <c r="J27">
        <f>I27*(1+IF($A27="AEO",'Growth Rates'!J79,'Growth Rates'!J79*J$5))</f>
        <v/>
      </c>
      <c r="K27">
        <f>J27*(1+IF($A27="AEO",'Growth Rates'!K79,'Growth Rates'!K79*K$5))</f>
        <v/>
      </c>
      <c r="L27">
        <f>K27*(1+IF($A27="AEO",'Growth Rates'!L79,'Growth Rates'!L79*L$5))</f>
        <v/>
      </c>
      <c r="M27">
        <f>L27*(1+IF($A27="AEO",'Growth Rates'!M79,'Growth Rates'!M79*M$5))</f>
        <v/>
      </c>
      <c r="N27">
        <f>M27*(1+IF($A27="AEO",'Growth Rates'!N79,'Growth Rates'!N79*N$5))</f>
        <v/>
      </c>
      <c r="O27">
        <f>N27*(1+IF($A27="AEO",'Growth Rates'!O79,'Growth Rates'!O79*O$5))</f>
        <v/>
      </c>
      <c r="P27">
        <f>O27*(1+IF($A27="AEO",'Growth Rates'!P79,'Growth Rates'!P79*P$5))</f>
        <v/>
      </c>
      <c r="Q27">
        <f>P27*(1+IF($A27="AEO",'Growth Rates'!Q79,'Growth Rates'!Q79*Q$5))</f>
        <v/>
      </c>
      <c r="R27">
        <f>Q27*(1+IF($A27="AEO",'Growth Rates'!R79,'Growth Rates'!R79*R$5))</f>
        <v/>
      </c>
      <c r="S27">
        <f>R27*(1+IF($A27="AEO",'Growth Rates'!S79,'Growth Rates'!S79*S$5))</f>
        <v/>
      </c>
      <c r="T27">
        <f>S27*(1+IF($A27="AEO",'Growth Rates'!T79,'Growth Rates'!T79*T$5))</f>
        <v/>
      </c>
      <c r="U27">
        <f>T27*(1+IF($A27="AEO",'Growth Rates'!U79,'Growth Rates'!U79*U$5))</f>
        <v/>
      </c>
      <c r="V27">
        <f>U27*(1+IF($A27="AEO",'Growth Rates'!V79,'Growth Rates'!V79*V$5))</f>
        <v/>
      </c>
      <c r="W27">
        <f>V27*(1+IF($A27="AEO",'Growth Rates'!W79,'Growth Rates'!W79*W$5))</f>
        <v/>
      </c>
      <c r="X27">
        <f>W27*(1+IF($A27="AEO",'Growth Rates'!X79,'Growth Rates'!X79*X$5))</f>
        <v/>
      </c>
      <c r="Y27">
        <f>X27*(1+IF($A27="AEO",'Growth Rates'!Y79,'Growth Rates'!Y79*Y$5))</f>
        <v/>
      </c>
      <c r="Z27">
        <f>Y27*(1+IF($A27="AEO",'Growth Rates'!Z79,'Growth Rates'!Z79*Z$5))</f>
        <v/>
      </c>
      <c r="AA27">
        <f>Z27*(1+IF($A27="AEO",'Growth Rates'!AA79,'Growth Rates'!AA79*AA$5))</f>
        <v/>
      </c>
      <c r="AB27">
        <f>AA27*(1+IF($A27="AEO",'Growth Rates'!AB79,'Growth Rates'!AB79*AB$5))</f>
        <v/>
      </c>
      <c r="AC27">
        <f>AB27*(1+IF($A27="AEO",'Growth Rates'!AC79,'Growth Rates'!AC79*AC$5))</f>
        <v/>
      </c>
    </row>
    <row r="28">
      <c r="A28" t="inlineStr">
        <is>
          <t>AEO</t>
        </is>
      </c>
      <c r="B28" t="inlineStr">
        <is>
          <t>ISIC 242</t>
        </is>
      </c>
      <c r="C28">
        <f>'Data from BVAbIC'!U2</f>
        <v/>
      </c>
      <c r="D28">
        <f>C28*(1+IF($A28="AEO",'Growth Rates'!D80,'Growth Rates'!D80*D$5))</f>
        <v/>
      </c>
      <c r="E28">
        <f>D28*(1+IF($A28="AEO",'Growth Rates'!E80,'Growth Rates'!E80*E$5))</f>
        <v/>
      </c>
      <c r="F28">
        <f>E28*(1+IF($A28="AEO",'Growth Rates'!F80,'Growth Rates'!F80*F$5))</f>
        <v/>
      </c>
      <c r="G28">
        <f>F28*(1+IF($A28="AEO",'Growth Rates'!G80,'Growth Rates'!G80*G$5))</f>
        <v/>
      </c>
      <c r="H28">
        <f>G28*(1+IF($A28="AEO",'Growth Rates'!H80,'Growth Rates'!H80*H$5))</f>
        <v/>
      </c>
      <c r="I28">
        <f>H28*(1+IF($A28="AEO",'Growth Rates'!I80,'Growth Rates'!I80*I$5))</f>
        <v/>
      </c>
      <c r="J28">
        <f>I28*(1+IF($A28="AEO",'Growth Rates'!J80,'Growth Rates'!J80*J$5))</f>
        <v/>
      </c>
      <c r="K28">
        <f>J28*(1+IF($A28="AEO",'Growth Rates'!K80,'Growth Rates'!K80*K$5))</f>
        <v/>
      </c>
      <c r="L28">
        <f>K28*(1+IF($A28="AEO",'Growth Rates'!L80,'Growth Rates'!L80*L$5))</f>
        <v/>
      </c>
      <c r="M28">
        <f>L28*(1+IF($A28="AEO",'Growth Rates'!M80,'Growth Rates'!M80*M$5))</f>
        <v/>
      </c>
      <c r="N28">
        <f>M28*(1+IF($A28="AEO",'Growth Rates'!N80,'Growth Rates'!N80*N$5))</f>
        <v/>
      </c>
      <c r="O28">
        <f>N28*(1+IF($A28="AEO",'Growth Rates'!O80,'Growth Rates'!O80*O$5))</f>
        <v/>
      </c>
      <c r="P28">
        <f>O28*(1+IF($A28="AEO",'Growth Rates'!P80,'Growth Rates'!P80*P$5))</f>
        <v/>
      </c>
      <c r="Q28">
        <f>P28*(1+IF($A28="AEO",'Growth Rates'!Q80,'Growth Rates'!Q80*Q$5))</f>
        <v/>
      </c>
      <c r="R28">
        <f>Q28*(1+IF($A28="AEO",'Growth Rates'!R80,'Growth Rates'!R80*R$5))</f>
        <v/>
      </c>
      <c r="S28">
        <f>R28*(1+IF($A28="AEO",'Growth Rates'!S80,'Growth Rates'!S80*S$5))</f>
        <v/>
      </c>
      <c r="T28">
        <f>S28*(1+IF($A28="AEO",'Growth Rates'!T80,'Growth Rates'!T80*T$5))</f>
        <v/>
      </c>
      <c r="U28">
        <f>T28*(1+IF($A28="AEO",'Growth Rates'!U80,'Growth Rates'!U80*U$5))</f>
        <v/>
      </c>
      <c r="V28">
        <f>U28*(1+IF($A28="AEO",'Growth Rates'!V80,'Growth Rates'!V80*V$5))</f>
        <v/>
      </c>
      <c r="W28">
        <f>V28*(1+IF($A28="AEO",'Growth Rates'!W80,'Growth Rates'!W80*W$5))</f>
        <v/>
      </c>
      <c r="X28">
        <f>W28*(1+IF($A28="AEO",'Growth Rates'!X80,'Growth Rates'!X80*X$5))</f>
        <v/>
      </c>
      <c r="Y28">
        <f>X28*(1+IF($A28="AEO",'Growth Rates'!Y80,'Growth Rates'!Y80*Y$5))</f>
        <v/>
      </c>
      <c r="Z28">
        <f>Y28*(1+IF($A28="AEO",'Growth Rates'!Z80,'Growth Rates'!Z80*Z$5))</f>
        <v/>
      </c>
      <c r="AA28">
        <f>Z28*(1+IF($A28="AEO",'Growth Rates'!AA80,'Growth Rates'!AA80*AA$5))</f>
        <v/>
      </c>
      <c r="AB28">
        <f>AA28*(1+IF($A28="AEO",'Growth Rates'!AB80,'Growth Rates'!AB80*AB$5))</f>
        <v/>
      </c>
      <c r="AC28">
        <f>AB28*(1+IF($A28="AEO",'Growth Rates'!AC80,'Growth Rates'!AC80*AC$5))</f>
        <v/>
      </c>
    </row>
    <row r="29">
      <c r="A29" t="inlineStr">
        <is>
          <t>AEO</t>
        </is>
      </c>
      <c r="B29" t="inlineStr">
        <is>
          <t>ISIC 25</t>
        </is>
      </c>
      <c r="C29">
        <f>'Data from BVAbIC'!V2</f>
        <v/>
      </c>
      <c r="D29">
        <f>C29*(1+IF($A29="AEO",'Growth Rates'!D81,'Growth Rates'!D81*D$5))</f>
        <v/>
      </c>
      <c r="E29">
        <f>D29*(1+IF($A29="AEO",'Growth Rates'!E81,'Growth Rates'!E81*E$5))</f>
        <v/>
      </c>
      <c r="F29">
        <f>E29*(1+IF($A29="AEO",'Growth Rates'!F81,'Growth Rates'!F81*F$5))</f>
        <v/>
      </c>
      <c r="G29">
        <f>F29*(1+IF($A29="AEO",'Growth Rates'!G81,'Growth Rates'!G81*G$5))</f>
        <v/>
      </c>
      <c r="H29">
        <f>G29*(1+IF($A29="AEO",'Growth Rates'!H81,'Growth Rates'!H81*H$5))</f>
        <v/>
      </c>
      <c r="I29">
        <f>H29*(1+IF($A29="AEO",'Growth Rates'!I81,'Growth Rates'!I81*I$5))</f>
        <v/>
      </c>
      <c r="J29">
        <f>I29*(1+IF($A29="AEO",'Growth Rates'!J81,'Growth Rates'!J81*J$5))</f>
        <v/>
      </c>
      <c r="K29">
        <f>J29*(1+IF($A29="AEO",'Growth Rates'!K81,'Growth Rates'!K81*K$5))</f>
        <v/>
      </c>
      <c r="L29">
        <f>K29*(1+IF($A29="AEO",'Growth Rates'!L81,'Growth Rates'!L81*L$5))</f>
        <v/>
      </c>
      <c r="M29">
        <f>L29*(1+IF($A29="AEO",'Growth Rates'!M81,'Growth Rates'!M81*M$5))</f>
        <v/>
      </c>
      <c r="N29">
        <f>M29*(1+IF($A29="AEO",'Growth Rates'!N81,'Growth Rates'!N81*N$5))</f>
        <v/>
      </c>
      <c r="O29">
        <f>N29*(1+IF($A29="AEO",'Growth Rates'!O81,'Growth Rates'!O81*O$5))</f>
        <v/>
      </c>
      <c r="P29">
        <f>O29*(1+IF($A29="AEO",'Growth Rates'!P81,'Growth Rates'!P81*P$5))</f>
        <v/>
      </c>
      <c r="Q29">
        <f>P29*(1+IF($A29="AEO",'Growth Rates'!Q81,'Growth Rates'!Q81*Q$5))</f>
        <v/>
      </c>
      <c r="R29">
        <f>Q29*(1+IF($A29="AEO",'Growth Rates'!R81,'Growth Rates'!R81*R$5))</f>
        <v/>
      </c>
      <c r="S29">
        <f>R29*(1+IF($A29="AEO",'Growth Rates'!S81,'Growth Rates'!S81*S$5))</f>
        <v/>
      </c>
      <c r="T29">
        <f>S29*(1+IF($A29="AEO",'Growth Rates'!T81,'Growth Rates'!T81*T$5))</f>
        <v/>
      </c>
      <c r="U29">
        <f>T29*(1+IF($A29="AEO",'Growth Rates'!U81,'Growth Rates'!U81*U$5))</f>
        <v/>
      </c>
      <c r="V29">
        <f>U29*(1+IF($A29="AEO",'Growth Rates'!V81,'Growth Rates'!V81*V$5))</f>
        <v/>
      </c>
      <c r="W29">
        <f>V29*(1+IF($A29="AEO",'Growth Rates'!W81,'Growth Rates'!W81*W$5))</f>
        <v/>
      </c>
      <c r="X29">
        <f>W29*(1+IF($A29="AEO",'Growth Rates'!X81,'Growth Rates'!X81*X$5))</f>
        <v/>
      </c>
      <c r="Y29">
        <f>X29*(1+IF($A29="AEO",'Growth Rates'!Y81,'Growth Rates'!Y81*Y$5))</f>
        <v/>
      </c>
      <c r="Z29">
        <f>Y29*(1+IF($A29="AEO",'Growth Rates'!Z81,'Growth Rates'!Z81*Z$5))</f>
        <v/>
      </c>
      <c r="AA29">
        <f>Z29*(1+IF($A29="AEO",'Growth Rates'!AA81,'Growth Rates'!AA81*AA$5))</f>
        <v/>
      </c>
      <c r="AB29">
        <f>AA29*(1+IF($A29="AEO",'Growth Rates'!AB81,'Growth Rates'!AB81*AB$5))</f>
        <v/>
      </c>
      <c r="AC29">
        <f>AB29*(1+IF($A29="AEO",'Growth Rates'!AC81,'Growth Rates'!AC81*AC$5))</f>
        <v/>
      </c>
    </row>
    <row r="30">
      <c r="A30" t="inlineStr">
        <is>
          <t>AEO</t>
        </is>
      </c>
      <c r="B30" t="inlineStr">
        <is>
          <t>ISIC 26</t>
        </is>
      </c>
      <c r="C30">
        <f>'Data from BVAbIC'!W2</f>
        <v/>
      </c>
      <c r="D30">
        <f>C30*(1+IF($A30="AEO",'Growth Rates'!D82,'Growth Rates'!D82*D$5))</f>
        <v/>
      </c>
      <c r="E30">
        <f>D30*(1+IF($A30="AEO",'Growth Rates'!E82,'Growth Rates'!E82*E$5))</f>
        <v/>
      </c>
      <c r="F30">
        <f>E30*(1+IF($A30="AEO",'Growth Rates'!F82,'Growth Rates'!F82*F$5))</f>
        <v/>
      </c>
      <c r="G30">
        <f>F30*(1+IF($A30="AEO",'Growth Rates'!G82,'Growth Rates'!G82*G$5))</f>
        <v/>
      </c>
      <c r="H30">
        <f>G30*(1+IF($A30="AEO",'Growth Rates'!H82,'Growth Rates'!H82*H$5))</f>
        <v/>
      </c>
      <c r="I30">
        <f>H30*(1+IF($A30="AEO",'Growth Rates'!I82,'Growth Rates'!I82*I$5))</f>
        <v/>
      </c>
      <c r="J30">
        <f>I30*(1+IF($A30="AEO",'Growth Rates'!J82,'Growth Rates'!J82*J$5))</f>
        <v/>
      </c>
      <c r="K30">
        <f>J30*(1+IF($A30="AEO",'Growth Rates'!K82,'Growth Rates'!K82*K$5))</f>
        <v/>
      </c>
      <c r="L30">
        <f>K30*(1+IF($A30="AEO",'Growth Rates'!L82,'Growth Rates'!L82*L$5))</f>
        <v/>
      </c>
      <c r="M30">
        <f>L30*(1+IF($A30="AEO",'Growth Rates'!M82,'Growth Rates'!M82*M$5))</f>
        <v/>
      </c>
      <c r="N30">
        <f>M30*(1+IF($A30="AEO",'Growth Rates'!N82,'Growth Rates'!N82*N$5))</f>
        <v/>
      </c>
      <c r="O30">
        <f>N30*(1+IF($A30="AEO",'Growth Rates'!O82,'Growth Rates'!O82*O$5))</f>
        <v/>
      </c>
      <c r="P30">
        <f>O30*(1+IF($A30="AEO",'Growth Rates'!P82,'Growth Rates'!P82*P$5))</f>
        <v/>
      </c>
      <c r="Q30">
        <f>P30*(1+IF($A30="AEO",'Growth Rates'!Q82,'Growth Rates'!Q82*Q$5))</f>
        <v/>
      </c>
      <c r="R30">
        <f>Q30*(1+IF($A30="AEO",'Growth Rates'!R82,'Growth Rates'!R82*R$5))</f>
        <v/>
      </c>
      <c r="S30">
        <f>R30*(1+IF($A30="AEO",'Growth Rates'!S82,'Growth Rates'!S82*S$5))</f>
        <v/>
      </c>
      <c r="T30">
        <f>S30*(1+IF($A30="AEO",'Growth Rates'!T82,'Growth Rates'!T82*T$5))</f>
        <v/>
      </c>
      <c r="U30">
        <f>T30*(1+IF($A30="AEO",'Growth Rates'!U82,'Growth Rates'!U82*U$5))</f>
        <v/>
      </c>
      <c r="V30">
        <f>U30*(1+IF($A30="AEO",'Growth Rates'!V82,'Growth Rates'!V82*V$5))</f>
        <v/>
      </c>
      <c r="W30">
        <f>V30*(1+IF($A30="AEO",'Growth Rates'!W82,'Growth Rates'!W82*W$5))</f>
        <v/>
      </c>
      <c r="X30">
        <f>W30*(1+IF($A30="AEO",'Growth Rates'!X82,'Growth Rates'!X82*X$5))</f>
        <v/>
      </c>
      <c r="Y30">
        <f>X30*(1+IF($A30="AEO",'Growth Rates'!Y82,'Growth Rates'!Y82*Y$5))</f>
        <v/>
      </c>
      <c r="Z30">
        <f>Y30*(1+IF($A30="AEO",'Growth Rates'!Z82,'Growth Rates'!Z82*Z$5))</f>
        <v/>
      </c>
      <c r="AA30">
        <f>Z30*(1+IF($A30="AEO",'Growth Rates'!AA82,'Growth Rates'!AA82*AA$5))</f>
        <v/>
      </c>
      <c r="AB30">
        <f>AA30*(1+IF($A30="AEO",'Growth Rates'!AB82,'Growth Rates'!AB82*AB$5))</f>
        <v/>
      </c>
      <c r="AC30">
        <f>AB30*(1+IF($A30="AEO",'Growth Rates'!AC82,'Growth Rates'!AC82*AC$5))</f>
        <v/>
      </c>
    </row>
    <row r="31">
      <c r="A31" t="inlineStr">
        <is>
          <t>AEO</t>
        </is>
      </c>
      <c r="B31" t="inlineStr">
        <is>
          <t>ISIC 27</t>
        </is>
      </c>
      <c r="C31">
        <f>'Data from BVAbIC'!X2</f>
        <v/>
      </c>
      <c r="D31">
        <f>C31*(1+IF($A31="AEO",'Growth Rates'!D83,'Growth Rates'!D83*D$5))</f>
        <v/>
      </c>
      <c r="E31">
        <f>D31*(1+IF($A31="AEO",'Growth Rates'!E83,'Growth Rates'!E83*E$5))</f>
        <v/>
      </c>
      <c r="F31">
        <f>E31*(1+IF($A31="AEO",'Growth Rates'!F83,'Growth Rates'!F83*F$5))</f>
        <v/>
      </c>
      <c r="G31">
        <f>F31*(1+IF($A31="AEO",'Growth Rates'!G83,'Growth Rates'!G83*G$5))</f>
        <v/>
      </c>
      <c r="H31">
        <f>G31*(1+IF($A31="AEO",'Growth Rates'!H83,'Growth Rates'!H83*H$5))</f>
        <v/>
      </c>
      <c r="I31">
        <f>H31*(1+IF($A31="AEO",'Growth Rates'!I83,'Growth Rates'!I83*I$5))</f>
        <v/>
      </c>
      <c r="J31">
        <f>I31*(1+IF($A31="AEO",'Growth Rates'!J83,'Growth Rates'!J83*J$5))</f>
        <v/>
      </c>
      <c r="K31">
        <f>J31*(1+IF($A31="AEO",'Growth Rates'!K83,'Growth Rates'!K83*K$5))</f>
        <v/>
      </c>
      <c r="L31">
        <f>K31*(1+IF($A31="AEO",'Growth Rates'!L83,'Growth Rates'!L83*L$5))</f>
        <v/>
      </c>
      <c r="M31">
        <f>L31*(1+IF($A31="AEO",'Growth Rates'!M83,'Growth Rates'!M83*M$5))</f>
        <v/>
      </c>
      <c r="N31">
        <f>M31*(1+IF($A31="AEO",'Growth Rates'!N83,'Growth Rates'!N83*N$5))</f>
        <v/>
      </c>
      <c r="O31">
        <f>N31*(1+IF($A31="AEO",'Growth Rates'!O83,'Growth Rates'!O83*O$5))</f>
        <v/>
      </c>
      <c r="P31">
        <f>O31*(1+IF($A31="AEO",'Growth Rates'!P83,'Growth Rates'!P83*P$5))</f>
        <v/>
      </c>
      <c r="Q31">
        <f>P31*(1+IF($A31="AEO",'Growth Rates'!Q83,'Growth Rates'!Q83*Q$5))</f>
        <v/>
      </c>
      <c r="R31">
        <f>Q31*(1+IF($A31="AEO",'Growth Rates'!R83,'Growth Rates'!R83*R$5))</f>
        <v/>
      </c>
      <c r="S31">
        <f>R31*(1+IF($A31="AEO",'Growth Rates'!S83,'Growth Rates'!S83*S$5))</f>
        <v/>
      </c>
      <c r="T31">
        <f>S31*(1+IF($A31="AEO",'Growth Rates'!T83,'Growth Rates'!T83*T$5))</f>
        <v/>
      </c>
      <c r="U31">
        <f>T31*(1+IF($A31="AEO",'Growth Rates'!U83,'Growth Rates'!U83*U$5))</f>
        <v/>
      </c>
      <c r="V31">
        <f>U31*(1+IF($A31="AEO",'Growth Rates'!V83,'Growth Rates'!V83*V$5))</f>
        <v/>
      </c>
      <c r="W31">
        <f>V31*(1+IF($A31="AEO",'Growth Rates'!W83,'Growth Rates'!W83*W$5))</f>
        <v/>
      </c>
      <c r="X31">
        <f>W31*(1+IF($A31="AEO",'Growth Rates'!X83,'Growth Rates'!X83*X$5))</f>
        <v/>
      </c>
      <c r="Y31">
        <f>X31*(1+IF($A31="AEO",'Growth Rates'!Y83,'Growth Rates'!Y83*Y$5))</f>
        <v/>
      </c>
      <c r="Z31">
        <f>Y31*(1+IF($A31="AEO",'Growth Rates'!Z83,'Growth Rates'!Z83*Z$5))</f>
        <v/>
      </c>
      <c r="AA31">
        <f>Z31*(1+IF($A31="AEO",'Growth Rates'!AA83,'Growth Rates'!AA83*AA$5))</f>
        <v/>
      </c>
      <c r="AB31">
        <f>AA31*(1+IF($A31="AEO",'Growth Rates'!AB83,'Growth Rates'!AB83*AB$5))</f>
        <v/>
      </c>
      <c r="AC31">
        <f>AB31*(1+IF($A31="AEO",'Growth Rates'!AC83,'Growth Rates'!AC83*AC$5))</f>
        <v/>
      </c>
    </row>
    <row r="32">
      <c r="A32" t="inlineStr">
        <is>
          <t>AEO</t>
        </is>
      </c>
      <c r="B32" t="inlineStr">
        <is>
          <t>ISIC 28</t>
        </is>
      </c>
      <c r="C32">
        <f>'Data from BVAbIC'!Y2</f>
        <v/>
      </c>
      <c r="D32">
        <f>C32*(1+IF($A32="AEO",'Growth Rates'!D84,'Growth Rates'!D84*D$5))</f>
        <v/>
      </c>
      <c r="E32">
        <f>D32*(1+IF($A32="AEO",'Growth Rates'!E84,'Growth Rates'!E84*E$5))</f>
        <v/>
      </c>
      <c r="F32">
        <f>E32*(1+IF($A32="AEO",'Growth Rates'!F84,'Growth Rates'!F84*F$5))</f>
        <v/>
      </c>
      <c r="G32">
        <f>F32*(1+IF($A32="AEO",'Growth Rates'!G84,'Growth Rates'!G84*G$5))</f>
        <v/>
      </c>
      <c r="H32">
        <f>G32*(1+IF($A32="AEO",'Growth Rates'!H84,'Growth Rates'!H84*H$5))</f>
        <v/>
      </c>
      <c r="I32">
        <f>H32*(1+IF($A32="AEO",'Growth Rates'!I84,'Growth Rates'!I84*I$5))</f>
        <v/>
      </c>
      <c r="J32">
        <f>I32*(1+IF($A32="AEO",'Growth Rates'!J84,'Growth Rates'!J84*J$5))</f>
        <v/>
      </c>
      <c r="K32">
        <f>J32*(1+IF($A32="AEO",'Growth Rates'!K84,'Growth Rates'!K84*K$5))</f>
        <v/>
      </c>
      <c r="L32">
        <f>K32*(1+IF($A32="AEO",'Growth Rates'!L84,'Growth Rates'!L84*L$5))</f>
        <v/>
      </c>
      <c r="M32">
        <f>L32*(1+IF($A32="AEO",'Growth Rates'!M84,'Growth Rates'!M84*M$5))</f>
        <v/>
      </c>
      <c r="N32">
        <f>M32*(1+IF($A32="AEO",'Growth Rates'!N84,'Growth Rates'!N84*N$5))</f>
        <v/>
      </c>
      <c r="O32">
        <f>N32*(1+IF($A32="AEO",'Growth Rates'!O84,'Growth Rates'!O84*O$5))</f>
        <v/>
      </c>
      <c r="P32">
        <f>O32*(1+IF($A32="AEO",'Growth Rates'!P84,'Growth Rates'!P84*P$5))</f>
        <v/>
      </c>
      <c r="Q32">
        <f>P32*(1+IF($A32="AEO",'Growth Rates'!Q84,'Growth Rates'!Q84*Q$5))</f>
        <v/>
      </c>
      <c r="R32">
        <f>Q32*(1+IF($A32="AEO",'Growth Rates'!R84,'Growth Rates'!R84*R$5))</f>
        <v/>
      </c>
      <c r="S32">
        <f>R32*(1+IF($A32="AEO",'Growth Rates'!S84,'Growth Rates'!S84*S$5))</f>
        <v/>
      </c>
      <c r="T32">
        <f>S32*(1+IF($A32="AEO",'Growth Rates'!T84,'Growth Rates'!T84*T$5))</f>
        <v/>
      </c>
      <c r="U32">
        <f>T32*(1+IF($A32="AEO",'Growth Rates'!U84,'Growth Rates'!U84*U$5))</f>
        <v/>
      </c>
      <c r="V32">
        <f>U32*(1+IF($A32="AEO",'Growth Rates'!V84,'Growth Rates'!V84*V$5))</f>
        <v/>
      </c>
      <c r="W32">
        <f>V32*(1+IF($A32="AEO",'Growth Rates'!W84,'Growth Rates'!W84*W$5))</f>
        <v/>
      </c>
      <c r="X32">
        <f>W32*(1+IF($A32="AEO",'Growth Rates'!X84,'Growth Rates'!X84*X$5))</f>
        <v/>
      </c>
      <c r="Y32">
        <f>X32*(1+IF($A32="AEO",'Growth Rates'!Y84,'Growth Rates'!Y84*Y$5))</f>
        <v/>
      </c>
      <c r="Z32">
        <f>Y32*(1+IF($A32="AEO",'Growth Rates'!Z84,'Growth Rates'!Z84*Z$5))</f>
        <v/>
      </c>
      <c r="AA32">
        <f>Z32*(1+IF($A32="AEO",'Growth Rates'!AA84,'Growth Rates'!AA84*AA$5))</f>
        <v/>
      </c>
      <c r="AB32">
        <f>AA32*(1+IF($A32="AEO",'Growth Rates'!AB84,'Growth Rates'!AB84*AB$5))</f>
        <v/>
      </c>
      <c r="AC32">
        <f>AB32*(1+IF($A32="AEO",'Growth Rates'!AC84,'Growth Rates'!AC84*AC$5))</f>
        <v/>
      </c>
    </row>
    <row r="33">
      <c r="A33" t="inlineStr">
        <is>
          <t>AEO</t>
        </is>
      </c>
      <c r="B33" t="inlineStr">
        <is>
          <t>ISIC 29</t>
        </is>
      </c>
      <c r="C33">
        <f>'Data from BVAbIC'!Z2</f>
        <v/>
      </c>
      <c r="D33">
        <f>C33*(1+IF($A33="AEO",'Growth Rates'!D85,'Growth Rates'!D85*D$5))</f>
        <v/>
      </c>
      <c r="E33">
        <f>D33*(1+IF($A33="AEO",'Growth Rates'!E85,'Growth Rates'!E85*E$5))</f>
        <v/>
      </c>
      <c r="F33">
        <f>E33*(1+IF($A33="AEO",'Growth Rates'!F85,'Growth Rates'!F85*F$5))</f>
        <v/>
      </c>
      <c r="G33">
        <f>F33*(1+IF($A33="AEO",'Growth Rates'!G85,'Growth Rates'!G85*G$5))</f>
        <v/>
      </c>
      <c r="H33">
        <f>G33*(1+IF($A33="AEO",'Growth Rates'!H85,'Growth Rates'!H85*H$5))</f>
        <v/>
      </c>
      <c r="I33">
        <f>H33*(1+IF($A33="AEO",'Growth Rates'!I85,'Growth Rates'!I85*I$5))</f>
        <v/>
      </c>
      <c r="J33">
        <f>I33*(1+IF($A33="AEO",'Growth Rates'!J85,'Growth Rates'!J85*J$5))</f>
        <v/>
      </c>
      <c r="K33">
        <f>J33*(1+IF($A33="AEO",'Growth Rates'!K85,'Growth Rates'!K85*K$5))</f>
        <v/>
      </c>
      <c r="L33">
        <f>K33*(1+IF($A33="AEO",'Growth Rates'!L85,'Growth Rates'!L85*L$5))</f>
        <v/>
      </c>
      <c r="M33">
        <f>L33*(1+IF($A33="AEO",'Growth Rates'!M85,'Growth Rates'!M85*M$5))</f>
        <v/>
      </c>
      <c r="N33">
        <f>M33*(1+IF($A33="AEO",'Growth Rates'!N85,'Growth Rates'!N85*N$5))</f>
        <v/>
      </c>
      <c r="O33">
        <f>N33*(1+IF($A33="AEO",'Growth Rates'!O85,'Growth Rates'!O85*O$5))</f>
        <v/>
      </c>
      <c r="P33">
        <f>O33*(1+IF($A33="AEO",'Growth Rates'!P85,'Growth Rates'!P85*P$5))</f>
        <v/>
      </c>
      <c r="Q33">
        <f>P33*(1+IF($A33="AEO",'Growth Rates'!Q85,'Growth Rates'!Q85*Q$5))</f>
        <v/>
      </c>
      <c r="R33">
        <f>Q33*(1+IF($A33="AEO",'Growth Rates'!R85,'Growth Rates'!R85*R$5))</f>
        <v/>
      </c>
      <c r="S33">
        <f>R33*(1+IF($A33="AEO",'Growth Rates'!S85,'Growth Rates'!S85*S$5))</f>
        <v/>
      </c>
      <c r="T33">
        <f>S33*(1+IF($A33="AEO",'Growth Rates'!T85,'Growth Rates'!T85*T$5))</f>
        <v/>
      </c>
      <c r="U33">
        <f>T33*(1+IF($A33="AEO",'Growth Rates'!U85,'Growth Rates'!U85*U$5))</f>
        <v/>
      </c>
      <c r="V33">
        <f>U33*(1+IF($A33="AEO",'Growth Rates'!V85,'Growth Rates'!V85*V$5))</f>
        <v/>
      </c>
      <c r="W33">
        <f>V33*(1+IF($A33="AEO",'Growth Rates'!W85,'Growth Rates'!W85*W$5))</f>
        <v/>
      </c>
      <c r="X33">
        <f>W33*(1+IF($A33="AEO",'Growth Rates'!X85,'Growth Rates'!X85*X$5))</f>
        <v/>
      </c>
      <c r="Y33">
        <f>X33*(1+IF($A33="AEO",'Growth Rates'!Y85,'Growth Rates'!Y85*Y$5))</f>
        <v/>
      </c>
      <c r="Z33">
        <f>Y33*(1+IF($A33="AEO",'Growth Rates'!Z85,'Growth Rates'!Z85*Z$5))</f>
        <v/>
      </c>
      <c r="AA33">
        <f>Z33*(1+IF($A33="AEO",'Growth Rates'!AA85,'Growth Rates'!AA85*AA$5))</f>
        <v/>
      </c>
      <c r="AB33">
        <f>AA33*(1+IF($A33="AEO",'Growth Rates'!AB85,'Growth Rates'!AB85*AB$5))</f>
        <v/>
      </c>
      <c r="AC33">
        <f>AB33*(1+IF($A33="AEO",'Growth Rates'!AC85,'Growth Rates'!AC85*AC$5))</f>
        <v/>
      </c>
    </row>
    <row r="34">
      <c r="A34" t="inlineStr"/>
      <c r="B34" t="inlineStr">
        <is>
          <t>ISIC 301</t>
        </is>
      </c>
      <c r="C34">
        <f>'Data from BVAbIC'!AA2</f>
        <v/>
      </c>
      <c r="D34">
        <f>C34*(1+IF($A34="AEO",'Growth Rates'!D86,'Growth Rates'!D86*D$5))</f>
        <v/>
      </c>
      <c r="E34">
        <f>D34*(1+IF($A34="AEO",'Growth Rates'!E86,'Growth Rates'!E86*E$5))</f>
        <v/>
      </c>
      <c r="F34">
        <f>E34*(1+IF($A34="AEO",'Growth Rates'!F86,'Growth Rates'!F86*F$5))</f>
        <v/>
      </c>
      <c r="G34">
        <f>F34*(1+IF($A34="AEO",'Growth Rates'!G86,'Growth Rates'!G86*G$5))</f>
        <v/>
      </c>
      <c r="H34">
        <f>G34*(1+IF($A34="AEO",'Growth Rates'!H86,'Growth Rates'!H86*H$5))</f>
        <v/>
      </c>
      <c r="I34">
        <f>H34*(1+IF($A34="AEO",'Growth Rates'!I86,'Growth Rates'!I86*I$5))</f>
        <v/>
      </c>
      <c r="J34">
        <f>I34*(1+IF($A34="AEO",'Growth Rates'!J86,'Growth Rates'!J86*J$5))</f>
        <v/>
      </c>
      <c r="K34">
        <f>J34*(1+IF($A34="AEO",'Growth Rates'!K86,'Growth Rates'!K86*K$5))</f>
        <v/>
      </c>
      <c r="L34">
        <f>K34*(1+IF($A34="AEO",'Growth Rates'!L86,'Growth Rates'!L86*L$5))</f>
        <v/>
      </c>
      <c r="M34">
        <f>L34*(1+IF($A34="AEO",'Growth Rates'!M86,'Growth Rates'!M86*M$5))</f>
        <v/>
      </c>
      <c r="N34">
        <f>M34*(1+IF($A34="AEO",'Growth Rates'!N86,'Growth Rates'!N86*N$5))</f>
        <v/>
      </c>
      <c r="O34">
        <f>N34*(1+IF($A34="AEO",'Growth Rates'!O86,'Growth Rates'!O86*O$5))</f>
        <v/>
      </c>
      <c r="P34">
        <f>O34*(1+IF($A34="AEO",'Growth Rates'!P86,'Growth Rates'!P86*P$5))</f>
        <v/>
      </c>
      <c r="Q34">
        <f>P34*(1+IF($A34="AEO",'Growth Rates'!Q86,'Growth Rates'!Q86*Q$5))</f>
        <v/>
      </c>
      <c r="R34">
        <f>Q34*(1+IF($A34="AEO",'Growth Rates'!R86,'Growth Rates'!R86*R$5))</f>
        <v/>
      </c>
      <c r="S34">
        <f>R34*(1+IF($A34="AEO",'Growth Rates'!S86,'Growth Rates'!S86*S$5))</f>
        <v/>
      </c>
      <c r="T34">
        <f>S34*(1+IF($A34="AEO",'Growth Rates'!T86,'Growth Rates'!T86*T$5))</f>
        <v/>
      </c>
      <c r="U34">
        <f>T34*(1+IF($A34="AEO",'Growth Rates'!U86,'Growth Rates'!U86*U$5))</f>
        <v/>
      </c>
      <c r="V34">
        <f>U34*(1+IF($A34="AEO",'Growth Rates'!V86,'Growth Rates'!V86*V$5))</f>
        <v/>
      </c>
      <c r="W34">
        <f>V34*(1+IF($A34="AEO",'Growth Rates'!W86,'Growth Rates'!W86*W$5))</f>
        <v/>
      </c>
      <c r="X34">
        <f>W34*(1+IF($A34="AEO",'Growth Rates'!X86,'Growth Rates'!X86*X$5))</f>
        <v/>
      </c>
      <c r="Y34">
        <f>X34*(1+IF($A34="AEO",'Growth Rates'!Y86,'Growth Rates'!Y86*Y$5))</f>
        <v/>
      </c>
      <c r="Z34">
        <f>Y34*(1+IF($A34="AEO",'Growth Rates'!Z86,'Growth Rates'!Z86*Z$5))</f>
        <v/>
      </c>
      <c r="AA34">
        <f>Z34*(1+IF($A34="AEO",'Growth Rates'!AA86,'Growth Rates'!AA86*AA$5))</f>
        <v/>
      </c>
      <c r="AB34">
        <f>AA34*(1+IF($A34="AEO",'Growth Rates'!AB86,'Growth Rates'!AB86*AB$5))</f>
        <v/>
      </c>
      <c r="AC34">
        <f>AB34*(1+IF($A34="AEO",'Growth Rates'!AC86,'Growth Rates'!AC86*AC$5))</f>
        <v/>
      </c>
    </row>
    <row r="35">
      <c r="A35" t="inlineStr">
        <is>
          <t>AEO</t>
        </is>
      </c>
      <c r="B35" t="inlineStr">
        <is>
          <t>ISIC 302T309</t>
        </is>
      </c>
      <c r="C35">
        <f>'Data from BVAbIC'!AB2</f>
        <v/>
      </c>
      <c r="D35">
        <f>C35*(1+IF($A35="AEO",'Growth Rates'!D87,'Growth Rates'!D87*D$5))</f>
        <v/>
      </c>
      <c r="E35">
        <f>D35*(1+IF($A35="AEO",'Growth Rates'!E87,'Growth Rates'!E87*E$5))</f>
        <v/>
      </c>
      <c r="F35">
        <f>E35*(1+IF($A35="AEO",'Growth Rates'!F87,'Growth Rates'!F87*F$5))</f>
        <v/>
      </c>
      <c r="G35">
        <f>F35*(1+IF($A35="AEO",'Growth Rates'!G87,'Growth Rates'!G87*G$5))</f>
        <v/>
      </c>
      <c r="H35">
        <f>G35*(1+IF($A35="AEO",'Growth Rates'!H87,'Growth Rates'!H87*H$5))</f>
        <v/>
      </c>
      <c r="I35">
        <f>H35*(1+IF($A35="AEO",'Growth Rates'!I87,'Growth Rates'!I87*I$5))</f>
        <v/>
      </c>
      <c r="J35">
        <f>I35*(1+IF($A35="AEO",'Growth Rates'!J87,'Growth Rates'!J87*J$5))</f>
        <v/>
      </c>
      <c r="K35">
        <f>J35*(1+IF($A35="AEO",'Growth Rates'!K87,'Growth Rates'!K87*K$5))</f>
        <v/>
      </c>
      <c r="L35">
        <f>K35*(1+IF($A35="AEO",'Growth Rates'!L87,'Growth Rates'!L87*L$5))</f>
        <v/>
      </c>
      <c r="M35">
        <f>L35*(1+IF($A35="AEO",'Growth Rates'!M87,'Growth Rates'!M87*M$5))</f>
        <v/>
      </c>
      <c r="N35">
        <f>M35*(1+IF($A35="AEO",'Growth Rates'!N87,'Growth Rates'!N87*N$5))</f>
        <v/>
      </c>
      <c r="O35">
        <f>N35*(1+IF($A35="AEO",'Growth Rates'!O87,'Growth Rates'!O87*O$5))</f>
        <v/>
      </c>
      <c r="P35">
        <f>O35*(1+IF($A35="AEO",'Growth Rates'!P87,'Growth Rates'!P87*P$5))</f>
        <v/>
      </c>
      <c r="Q35">
        <f>P35*(1+IF($A35="AEO",'Growth Rates'!Q87,'Growth Rates'!Q87*Q$5))</f>
        <v/>
      </c>
      <c r="R35">
        <f>Q35*(1+IF($A35="AEO",'Growth Rates'!R87,'Growth Rates'!R87*R$5))</f>
        <v/>
      </c>
      <c r="S35">
        <f>R35*(1+IF($A35="AEO",'Growth Rates'!S87,'Growth Rates'!S87*S$5))</f>
        <v/>
      </c>
      <c r="T35">
        <f>S35*(1+IF($A35="AEO",'Growth Rates'!T87,'Growth Rates'!T87*T$5))</f>
        <v/>
      </c>
      <c r="U35">
        <f>T35*(1+IF($A35="AEO",'Growth Rates'!U87,'Growth Rates'!U87*U$5))</f>
        <v/>
      </c>
      <c r="V35">
        <f>U35*(1+IF($A35="AEO",'Growth Rates'!V87,'Growth Rates'!V87*V$5))</f>
        <v/>
      </c>
      <c r="W35">
        <f>V35*(1+IF($A35="AEO",'Growth Rates'!W87,'Growth Rates'!W87*W$5))</f>
        <v/>
      </c>
      <c r="X35">
        <f>W35*(1+IF($A35="AEO",'Growth Rates'!X87,'Growth Rates'!X87*X$5))</f>
        <v/>
      </c>
      <c r="Y35">
        <f>X35*(1+IF($A35="AEO",'Growth Rates'!Y87,'Growth Rates'!Y87*Y$5))</f>
        <v/>
      </c>
      <c r="Z35">
        <f>Y35*(1+IF($A35="AEO",'Growth Rates'!Z87,'Growth Rates'!Z87*Z$5))</f>
        <v/>
      </c>
      <c r="AA35">
        <f>Z35*(1+IF($A35="AEO",'Growth Rates'!AA87,'Growth Rates'!AA87*AA$5))</f>
        <v/>
      </c>
      <c r="AB35">
        <f>AA35*(1+IF($A35="AEO",'Growth Rates'!AB87,'Growth Rates'!AB87*AB$5))</f>
        <v/>
      </c>
      <c r="AC35">
        <f>AB35*(1+IF($A35="AEO",'Growth Rates'!AC87,'Growth Rates'!AC87*AC$5))</f>
        <v/>
      </c>
    </row>
    <row r="36">
      <c r="A36" t="inlineStr">
        <is>
          <t>AEO</t>
        </is>
      </c>
      <c r="B36" t="inlineStr">
        <is>
          <t>ISIC 31T33</t>
        </is>
      </c>
      <c r="C36">
        <f>'Data from BVAbIC'!AC2</f>
        <v/>
      </c>
      <c r="D36">
        <f>C36*(1+IF($A36="AEO",'Growth Rates'!D88,'Growth Rates'!D88*D$5))</f>
        <v/>
      </c>
      <c r="E36">
        <f>D36*(1+IF($A36="AEO",'Growth Rates'!E88,'Growth Rates'!E88*E$5))</f>
        <v/>
      </c>
      <c r="F36">
        <f>E36*(1+IF($A36="AEO",'Growth Rates'!F88,'Growth Rates'!F88*F$5))</f>
        <v/>
      </c>
      <c r="G36">
        <f>F36*(1+IF($A36="AEO",'Growth Rates'!G88,'Growth Rates'!G88*G$5))</f>
        <v/>
      </c>
      <c r="H36">
        <f>G36*(1+IF($A36="AEO",'Growth Rates'!H88,'Growth Rates'!H88*H$5))</f>
        <v/>
      </c>
      <c r="I36">
        <f>H36*(1+IF($A36="AEO",'Growth Rates'!I88,'Growth Rates'!I88*I$5))</f>
        <v/>
      </c>
      <c r="J36">
        <f>I36*(1+IF($A36="AEO",'Growth Rates'!J88,'Growth Rates'!J88*J$5))</f>
        <v/>
      </c>
      <c r="K36">
        <f>J36*(1+IF($A36="AEO",'Growth Rates'!K88,'Growth Rates'!K88*K$5))</f>
        <v/>
      </c>
      <c r="L36">
        <f>K36*(1+IF($A36="AEO",'Growth Rates'!L88,'Growth Rates'!L88*L$5))</f>
        <v/>
      </c>
      <c r="M36">
        <f>L36*(1+IF($A36="AEO",'Growth Rates'!M88,'Growth Rates'!M88*M$5))</f>
        <v/>
      </c>
      <c r="N36">
        <f>M36*(1+IF($A36="AEO",'Growth Rates'!N88,'Growth Rates'!N88*N$5))</f>
        <v/>
      </c>
      <c r="O36">
        <f>N36*(1+IF($A36="AEO",'Growth Rates'!O88,'Growth Rates'!O88*O$5))</f>
        <v/>
      </c>
      <c r="P36">
        <f>O36*(1+IF($A36="AEO",'Growth Rates'!P88,'Growth Rates'!P88*P$5))</f>
        <v/>
      </c>
      <c r="Q36">
        <f>P36*(1+IF($A36="AEO",'Growth Rates'!Q88,'Growth Rates'!Q88*Q$5))</f>
        <v/>
      </c>
      <c r="R36">
        <f>Q36*(1+IF($A36="AEO",'Growth Rates'!R88,'Growth Rates'!R88*R$5))</f>
        <v/>
      </c>
      <c r="S36">
        <f>R36*(1+IF($A36="AEO",'Growth Rates'!S88,'Growth Rates'!S88*S$5))</f>
        <v/>
      </c>
      <c r="T36">
        <f>S36*(1+IF($A36="AEO",'Growth Rates'!T88,'Growth Rates'!T88*T$5))</f>
        <v/>
      </c>
      <c r="U36">
        <f>T36*(1+IF($A36="AEO",'Growth Rates'!U88,'Growth Rates'!U88*U$5))</f>
        <v/>
      </c>
      <c r="V36">
        <f>U36*(1+IF($A36="AEO",'Growth Rates'!V88,'Growth Rates'!V88*V$5))</f>
        <v/>
      </c>
      <c r="W36">
        <f>V36*(1+IF($A36="AEO",'Growth Rates'!W88,'Growth Rates'!W88*W$5))</f>
        <v/>
      </c>
      <c r="X36">
        <f>W36*(1+IF($A36="AEO",'Growth Rates'!X88,'Growth Rates'!X88*X$5))</f>
        <v/>
      </c>
      <c r="Y36">
        <f>X36*(1+IF($A36="AEO",'Growth Rates'!Y88,'Growth Rates'!Y88*Y$5))</f>
        <v/>
      </c>
      <c r="Z36">
        <f>Y36*(1+IF($A36="AEO",'Growth Rates'!Z88,'Growth Rates'!Z88*Z$5))</f>
        <v/>
      </c>
      <c r="AA36">
        <f>Z36*(1+IF($A36="AEO",'Growth Rates'!AA88,'Growth Rates'!AA88*AA$5))</f>
        <v/>
      </c>
      <c r="AB36">
        <f>AA36*(1+IF($A36="AEO",'Growth Rates'!AB88,'Growth Rates'!AB88*AB$5))</f>
        <v/>
      </c>
      <c r="AC36">
        <f>AB36*(1+IF($A36="AEO",'Growth Rates'!AC88,'Growth Rates'!AC88*AC$5))</f>
        <v/>
      </c>
    </row>
    <row r="37">
      <c r="A37" t="inlineStr"/>
      <c r="B37" t="inlineStr">
        <is>
          <t>ISIC 351</t>
        </is>
      </c>
      <c r="C37">
        <f>'Data from BVAbIC'!AD2</f>
        <v/>
      </c>
      <c r="D37">
        <f>C37*(1+IF($A37="AEO",'Growth Rates'!D89,'Growth Rates'!D89*D$5))</f>
        <v/>
      </c>
      <c r="E37">
        <f>D37*(1+IF($A37="AEO",'Growth Rates'!E89,'Growth Rates'!E89*E$5))</f>
        <v/>
      </c>
      <c r="F37">
        <f>E37*(1+IF($A37="AEO",'Growth Rates'!F89,'Growth Rates'!F89*F$5))</f>
        <v/>
      </c>
      <c r="G37">
        <f>F37*(1+IF($A37="AEO",'Growth Rates'!G89,'Growth Rates'!G89*G$5))</f>
        <v/>
      </c>
      <c r="H37">
        <f>G37*(1+IF($A37="AEO",'Growth Rates'!H89,'Growth Rates'!H89*H$5))</f>
        <v/>
      </c>
      <c r="I37">
        <f>H37*(1+IF($A37="AEO",'Growth Rates'!I89,'Growth Rates'!I89*I$5))</f>
        <v/>
      </c>
      <c r="J37">
        <f>I37*(1+IF($A37="AEO",'Growth Rates'!J89,'Growth Rates'!J89*J$5))</f>
        <v/>
      </c>
      <c r="K37">
        <f>J37*(1+IF($A37="AEO",'Growth Rates'!K89,'Growth Rates'!K89*K$5))</f>
        <v/>
      </c>
      <c r="L37">
        <f>K37*(1+IF($A37="AEO",'Growth Rates'!L89,'Growth Rates'!L89*L$5))</f>
        <v/>
      </c>
      <c r="M37">
        <f>L37*(1+IF($A37="AEO",'Growth Rates'!M89,'Growth Rates'!M89*M$5))</f>
        <v/>
      </c>
      <c r="N37">
        <f>M37*(1+IF($A37="AEO",'Growth Rates'!N89,'Growth Rates'!N89*N$5))</f>
        <v/>
      </c>
      <c r="O37">
        <f>N37*(1+IF($A37="AEO",'Growth Rates'!O89,'Growth Rates'!O89*O$5))</f>
        <v/>
      </c>
      <c r="P37">
        <f>O37*(1+IF($A37="AEO",'Growth Rates'!P89,'Growth Rates'!P89*P$5))</f>
        <v/>
      </c>
      <c r="Q37">
        <f>P37*(1+IF($A37="AEO",'Growth Rates'!Q89,'Growth Rates'!Q89*Q$5))</f>
        <v/>
      </c>
      <c r="R37">
        <f>Q37*(1+IF($A37="AEO",'Growth Rates'!R89,'Growth Rates'!R89*R$5))</f>
        <v/>
      </c>
      <c r="S37">
        <f>R37*(1+IF($A37="AEO",'Growth Rates'!S89,'Growth Rates'!S89*S$5))</f>
        <v/>
      </c>
      <c r="T37">
        <f>S37*(1+IF($A37="AEO",'Growth Rates'!T89,'Growth Rates'!T89*T$5))</f>
        <v/>
      </c>
      <c r="U37">
        <f>T37*(1+IF($A37="AEO",'Growth Rates'!U89,'Growth Rates'!U89*U$5))</f>
        <v/>
      </c>
      <c r="V37">
        <f>U37*(1+IF($A37="AEO",'Growth Rates'!V89,'Growth Rates'!V89*V$5))</f>
        <v/>
      </c>
      <c r="W37">
        <f>V37*(1+IF($A37="AEO",'Growth Rates'!W89,'Growth Rates'!W89*W$5))</f>
        <v/>
      </c>
      <c r="X37">
        <f>W37*(1+IF($A37="AEO",'Growth Rates'!X89,'Growth Rates'!X89*X$5))</f>
        <v/>
      </c>
      <c r="Y37">
        <f>X37*(1+IF($A37="AEO",'Growth Rates'!Y89,'Growth Rates'!Y89*Y$5))</f>
        <v/>
      </c>
      <c r="Z37">
        <f>Y37*(1+IF($A37="AEO",'Growth Rates'!Z89,'Growth Rates'!Z89*Z$5))</f>
        <v/>
      </c>
      <c r="AA37">
        <f>Z37*(1+IF($A37="AEO",'Growth Rates'!AA89,'Growth Rates'!AA89*AA$5))</f>
        <v/>
      </c>
      <c r="AB37">
        <f>AA37*(1+IF($A37="AEO",'Growth Rates'!AB89,'Growth Rates'!AB89*AB$5))</f>
        <v/>
      </c>
      <c r="AC37">
        <f>AB37*(1+IF($A37="AEO",'Growth Rates'!AC89,'Growth Rates'!AC89*AC$5))</f>
        <v/>
      </c>
    </row>
    <row r="38">
      <c r="A38" t="inlineStr"/>
      <c r="B38" t="inlineStr">
        <is>
          <t>ISIC 352T353</t>
        </is>
      </c>
      <c r="C38">
        <f>'Data from BVAbIC'!AE2</f>
        <v/>
      </c>
      <c r="D38">
        <f>C38*(1+IF($A38="AEO",'Growth Rates'!D90,'Growth Rates'!D90*D$5))</f>
        <v/>
      </c>
      <c r="E38">
        <f>D38*(1+IF($A38="AEO",'Growth Rates'!E90,'Growth Rates'!E90*E$5))</f>
        <v/>
      </c>
      <c r="F38">
        <f>E38*(1+IF($A38="AEO",'Growth Rates'!F90,'Growth Rates'!F90*F$5))</f>
        <v/>
      </c>
      <c r="G38">
        <f>F38*(1+IF($A38="AEO",'Growth Rates'!G90,'Growth Rates'!G90*G$5))</f>
        <v/>
      </c>
      <c r="H38">
        <f>G38*(1+IF($A38="AEO",'Growth Rates'!H90,'Growth Rates'!H90*H$5))</f>
        <v/>
      </c>
      <c r="I38">
        <f>H38*(1+IF($A38="AEO",'Growth Rates'!I90,'Growth Rates'!I90*I$5))</f>
        <v/>
      </c>
      <c r="J38">
        <f>I38*(1+IF($A38="AEO",'Growth Rates'!J90,'Growth Rates'!J90*J$5))</f>
        <v/>
      </c>
      <c r="K38">
        <f>J38*(1+IF($A38="AEO",'Growth Rates'!K90,'Growth Rates'!K90*K$5))</f>
        <v/>
      </c>
      <c r="L38">
        <f>K38*(1+IF($A38="AEO",'Growth Rates'!L90,'Growth Rates'!L90*L$5))</f>
        <v/>
      </c>
      <c r="M38">
        <f>L38*(1+IF($A38="AEO",'Growth Rates'!M90,'Growth Rates'!M90*M$5))</f>
        <v/>
      </c>
      <c r="N38">
        <f>M38*(1+IF($A38="AEO",'Growth Rates'!N90,'Growth Rates'!N90*N$5))</f>
        <v/>
      </c>
      <c r="O38">
        <f>N38*(1+IF($A38="AEO",'Growth Rates'!O90,'Growth Rates'!O90*O$5))</f>
        <v/>
      </c>
      <c r="P38">
        <f>O38*(1+IF($A38="AEO",'Growth Rates'!P90,'Growth Rates'!P90*P$5))</f>
        <v/>
      </c>
      <c r="Q38">
        <f>P38*(1+IF($A38="AEO",'Growth Rates'!Q90,'Growth Rates'!Q90*Q$5))</f>
        <v/>
      </c>
      <c r="R38">
        <f>Q38*(1+IF($A38="AEO",'Growth Rates'!R90,'Growth Rates'!R90*R$5))</f>
        <v/>
      </c>
      <c r="S38">
        <f>R38*(1+IF($A38="AEO",'Growth Rates'!S90,'Growth Rates'!S90*S$5))</f>
        <v/>
      </c>
      <c r="T38">
        <f>S38*(1+IF($A38="AEO",'Growth Rates'!T90,'Growth Rates'!T90*T$5))</f>
        <v/>
      </c>
      <c r="U38">
        <f>T38*(1+IF($A38="AEO",'Growth Rates'!U90,'Growth Rates'!U90*U$5))</f>
        <v/>
      </c>
      <c r="V38">
        <f>U38*(1+IF($A38="AEO",'Growth Rates'!V90,'Growth Rates'!V90*V$5))</f>
        <v/>
      </c>
      <c r="W38">
        <f>V38*(1+IF($A38="AEO",'Growth Rates'!W90,'Growth Rates'!W90*W$5))</f>
        <v/>
      </c>
      <c r="X38">
        <f>W38*(1+IF($A38="AEO",'Growth Rates'!X90,'Growth Rates'!X90*X$5))</f>
        <v/>
      </c>
      <c r="Y38">
        <f>X38*(1+IF($A38="AEO",'Growth Rates'!Y90,'Growth Rates'!Y90*Y$5))</f>
        <v/>
      </c>
      <c r="Z38">
        <f>Y38*(1+IF($A38="AEO",'Growth Rates'!Z90,'Growth Rates'!Z90*Z$5))</f>
        <v/>
      </c>
      <c r="AA38">
        <f>Z38*(1+IF($A38="AEO",'Growth Rates'!AA90,'Growth Rates'!AA90*AA$5))</f>
        <v/>
      </c>
      <c r="AB38">
        <f>AA38*(1+IF($A38="AEO",'Growth Rates'!AB90,'Growth Rates'!AB90*AB$5))</f>
        <v/>
      </c>
      <c r="AC38">
        <f>AB38*(1+IF($A38="AEO",'Growth Rates'!AC90,'Growth Rates'!AC90*AC$5))</f>
        <v/>
      </c>
    </row>
    <row r="39">
      <c r="A39" t="inlineStr"/>
      <c r="B39" t="inlineStr">
        <is>
          <t>ISIC 36T39</t>
        </is>
      </c>
      <c r="C39">
        <f>'Data from BVAbIC'!AF2</f>
        <v/>
      </c>
      <c r="D39">
        <f>C39*(1+IF($A39="AEO",'Growth Rates'!D91,'Growth Rates'!D91*D$5))</f>
        <v/>
      </c>
      <c r="E39">
        <f>D39*(1+IF($A39="AEO",'Growth Rates'!E91,'Growth Rates'!E91*E$5))</f>
        <v/>
      </c>
      <c r="F39">
        <f>E39*(1+IF($A39="AEO",'Growth Rates'!F91,'Growth Rates'!F91*F$5))</f>
        <v/>
      </c>
      <c r="G39">
        <f>F39*(1+IF($A39="AEO",'Growth Rates'!G91,'Growth Rates'!G91*G$5))</f>
        <v/>
      </c>
      <c r="H39">
        <f>G39*(1+IF($A39="AEO",'Growth Rates'!H91,'Growth Rates'!H91*H$5))</f>
        <v/>
      </c>
      <c r="I39">
        <f>H39*(1+IF($A39="AEO",'Growth Rates'!I91,'Growth Rates'!I91*I$5))</f>
        <v/>
      </c>
      <c r="J39">
        <f>I39*(1+IF($A39="AEO",'Growth Rates'!J91,'Growth Rates'!J91*J$5))</f>
        <v/>
      </c>
      <c r="K39">
        <f>J39*(1+IF($A39="AEO",'Growth Rates'!K91,'Growth Rates'!K91*K$5))</f>
        <v/>
      </c>
      <c r="L39">
        <f>K39*(1+IF($A39="AEO",'Growth Rates'!L91,'Growth Rates'!L91*L$5))</f>
        <v/>
      </c>
      <c r="M39">
        <f>L39*(1+IF($A39="AEO",'Growth Rates'!M91,'Growth Rates'!M91*M$5))</f>
        <v/>
      </c>
      <c r="N39">
        <f>M39*(1+IF($A39="AEO",'Growth Rates'!N91,'Growth Rates'!N91*N$5))</f>
        <v/>
      </c>
      <c r="O39">
        <f>N39*(1+IF($A39="AEO",'Growth Rates'!O91,'Growth Rates'!O91*O$5))</f>
        <v/>
      </c>
      <c r="P39">
        <f>O39*(1+IF($A39="AEO",'Growth Rates'!P91,'Growth Rates'!P91*P$5))</f>
        <v/>
      </c>
      <c r="Q39">
        <f>P39*(1+IF($A39="AEO",'Growth Rates'!Q91,'Growth Rates'!Q91*Q$5))</f>
        <v/>
      </c>
      <c r="R39">
        <f>Q39*(1+IF($A39="AEO",'Growth Rates'!R91,'Growth Rates'!R91*R$5))</f>
        <v/>
      </c>
      <c r="S39">
        <f>R39*(1+IF($A39="AEO",'Growth Rates'!S91,'Growth Rates'!S91*S$5))</f>
        <v/>
      </c>
      <c r="T39">
        <f>S39*(1+IF($A39="AEO",'Growth Rates'!T91,'Growth Rates'!T91*T$5))</f>
        <v/>
      </c>
      <c r="U39">
        <f>T39*(1+IF($A39="AEO",'Growth Rates'!U91,'Growth Rates'!U91*U$5))</f>
        <v/>
      </c>
      <c r="V39">
        <f>U39*(1+IF($A39="AEO",'Growth Rates'!V91,'Growth Rates'!V91*V$5))</f>
        <v/>
      </c>
      <c r="W39">
        <f>V39*(1+IF($A39="AEO",'Growth Rates'!W91,'Growth Rates'!W91*W$5))</f>
        <v/>
      </c>
      <c r="X39">
        <f>W39*(1+IF($A39="AEO",'Growth Rates'!X91,'Growth Rates'!X91*X$5))</f>
        <v/>
      </c>
      <c r="Y39">
        <f>X39*(1+IF($A39="AEO",'Growth Rates'!Y91,'Growth Rates'!Y91*Y$5))</f>
        <v/>
      </c>
      <c r="Z39">
        <f>Y39*(1+IF($A39="AEO",'Growth Rates'!Z91,'Growth Rates'!Z91*Z$5))</f>
        <v/>
      </c>
      <c r="AA39">
        <f>Z39*(1+IF($A39="AEO",'Growth Rates'!AA91,'Growth Rates'!AA91*AA$5))</f>
        <v/>
      </c>
      <c r="AB39">
        <f>AA39*(1+IF($A39="AEO",'Growth Rates'!AB91,'Growth Rates'!AB91*AB$5))</f>
        <v/>
      </c>
      <c r="AC39">
        <f>AB39*(1+IF($A39="AEO",'Growth Rates'!AC91,'Growth Rates'!AC91*AC$5))</f>
        <v/>
      </c>
    </row>
    <row r="40">
      <c r="A40" t="inlineStr">
        <is>
          <t>AEO</t>
        </is>
      </c>
      <c r="B40" t="inlineStr">
        <is>
          <t>ISIC 41T43</t>
        </is>
      </c>
      <c r="C40">
        <f>'Data from BVAbIC'!AG2</f>
        <v/>
      </c>
      <c r="D40">
        <f>C40*(1+IF($A40="AEO",'Growth Rates'!D92,'Growth Rates'!D92*D$5))</f>
        <v/>
      </c>
      <c r="E40">
        <f>D40*(1+IF($A40="AEO",'Growth Rates'!E92,'Growth Rates'!E92*E$5))</f>
        <v/>
      </c>
      <c r="F40">
        <f>E40*(1+IF($A40="AEO",'Growth Rates'!F92,'Growth Rates'!F92*F$5))</f>
        <v/>
      </c>
      <c r="G40">
        <f>F40*(1+IF($A40="AEO",'Growth Rates'!G92,'Growth Rates'!G92*G$5))</f>
        <v/>
      </c>
      <c r="H40">
        <f>G40*(1+IF($A40="AEO",'Growth Rates'!H92,'Growth Rates'!H92*H$5))</f>
        <v/>
      </c>
      <c r="I40">
        <f>H40*(1+IF($A40="AEO",'Growth Rates'!I92,'Growth Rates'!I92*I$5))</f>
        <v/>
      </c>
      <c r="J40">
        <f>I40*(1+IF($A40="AEO",'Growth Rates'!J92,'Growth Rates'!J92*J$5))</f>
        <v/>
      </c>
      <c r="K40">
        <f>J40*(1+IF($A40="AEO",'Growth Rates'!K92,'Growth Rates'!K92*K$5))</f>
        <v/>
      </c>
      <c r="L40">
        <f>K40*(1+IF($A40="AEO",'Growth Rates'!L92,'Growth Rates'!L92*L$5))</f>
        <v/>
      </c>
      <c r="M40">
        <f>L40*(1+IF($A40="AEO",'Growth Rates'!M92,'Growth Rates'!M92*M$5))</f>
        <v/>
      </c>
      <c r="N40">
        <f>M40*(1+IF($A40="AEO",'Growth Rates'!N92,'Growth Rates'!N92*N$5))</f>
        <v/>
      </c>
      <c r="O40">
        <f>N40*(1+IF($A40="AEO",'Growth Rates'!O92,'Growth Rates'!O92*O$5))</f>
        <v/>
      </c>
      <c r="P40">
        <f>O40*(1+IF($A40="AEO",'Growth Rates'!P92,'Growth Rates'!P92*P$5))</f>
        <v/>
      </c>
      <c r="Q40">
        <f>P40*(1+IF($A40="AEO",'Growth Rates'!Q92,'Growth Rates'!Q92*Q$5))</f>
        <v/>
      </c>
      <c r="R40">
        <f>Q40*(1+IF($A40="AEO",'Growth Rates'!R92,'Growth Rates'!R92*R$5))</f>
        <v/>
      </c>
      <c r="S40">
        <f>R40*(1+IF($A40="AEO",'Growth Rates'!S92,'Growth Rates'!S92*S$5))</f>
        <v/>
      </c>
      <c r="T40">
        <f>S40*(1+IF($A40="AEO",'Growth Rates'!T92,'Growth Rates'!T92*T$5))</f>
        <v/>
      </c>
      <c r="U40">
        <f>T40*(1+IF($A40="AEO",'Growth Rates'!U92,'Growth Rates'!U92*U$5))</f>
        <v/>
      </c>
      <c r="V40">
        <f>U40*(1+IF($A40="AEO",'Growth Rates'!V92,'Growth Rates'!V92*V$5))</f>
        <v/>
      </c>
      <c r="W40">
        <f>V40*(1+IF($A40="AEO",'Growth Rates'!W92,'Growth Rates'!W92*W$5))</f>
        <v/>
      </c>
      <c r="X40">
        <f>W40*(1+IF($A40="AEO",'Growth Rates'!X92,'Growth Rates'!X92*X$5))</f>
        <v/>
      </c>
      <c r="Y40">
        <f>X40*(1+IF($A40="AEO",'Growth Rates'!Y92,'Growth Rates'!Y92*Y$5))</f>
        <v/>
      </c>
      <c r="Z40">
        <f>Y40*(1+IF($A40="AEO",'Growth Rates'!Z92,'Growth Rates'!Z92*Z$5))</f>
        <v/>
      </c>
      <c r="AA40">
        <f>Z40*(1+IF($A40="AEO",'Growth Rates'!AA92,'Growth Rates'!AA92*AA$5))</f>
        <v/>
      </c>
      <c r="AB40">
        <f>AA40*(1+IF($A40="AEO",'Growth Rates'!AB92,'Growth Rates'!AB92*AB$5))</f>
        <v/>
      </c>
      <c r="AC40">
        <f>AB40*(1+IF($A40="AEO",'Growth Rates'!AC92,'Growth Rates'!AC92*AC$5))</f>
        <v/>
      </c>
    </row>
    <row r="41">
      <c r="A41" t="inlineStr"/>
      <c r="B41" t="inlineStr">
        <is>
          <t>ISIC 45T47</t>
        </is>
      </c>
      <c r="C41">
        <f>'Data from BVAbIC'!AH2</f>
        <v/>
      </c>
      <c r="D41">
        <f>C41*(1+IF($A41="AEO",'Growth Rates'!D93,'Growth Rates'!D93*D$5))</f>
        <v/>
      </c>
      <c r="E41">
        <f>D41*(1+IF($A41="AEO",'Growth Rates'!E93,'Growth Rates'!E93*E$5))</f>
        <v/>
      </c>
      <c r="F41">
        <f>E41*(1+IF($A41="AEO",'Growth Rates'!F93,'Growth Rates'!F93*F$5))</f>
        <v/>
      </c>
      <c r="G41">
        <f>F41*(1+IF($A41="AEO",'Growth Rates'!G93,'Growth Rates'!G93*G$5))</f>
        <v/>
      </c>
      <c r="H41">
        <f>G41*(1+IF($A41="AEO",'Growth Rates'!H93,'Growth Rates'!H93*H$5))</f>
        <v/>
      </c>
      <c r="I41">
        <f>H41*(1+IF($A41="AEO",'Growth Rates'!I93,'Growth Rates'!I93*I$5))</f>
        <v/>
      </c>
      <c r="J41">
        <f>I41*(1+IF($A41="AEO",'Growth Rates'!J93,'Growth Rates'!J93*J$5))</f>
        <v/>
      </c>
      <c r="K41">
        <f>J41*(1+IF($A41="AEO",'Growth Rates'!K93,'Growth Rates'!K93*K$5))</f>
        <v/>
      </c>
      <c r="L41">
        <f>K41*(1+IF($A41="AEO",'Growth Rates'!L93,'Growth Rates'!L93*L$5))</f>
        <v/>
      </c>
      <c r="M41">
        <f>L41*(1+IF($A41="AEO",'Growth Rates'!M93,'Growth Rates'!M93*M$5))</f>
        <v/>
      </c>
      <c r="N41">
        <f>M41*(1+IF($A41="AEO",'Growth Rates'!N93,'Growth Rates'!N93*N$5))</f>
        <v/>
      </c>
      <c r="O41">
        <f>N41*(1+IF($A41="AEO",'Growth Rates'!O93,'Growth Rates'!O93*O$5))</f>
        <v/>
      </c>
      <c r="P41">
        <f>O41*(1+IF($A41="AEO",'Growth Rates'!P93,'Growth Rates'!P93*P$5))</f>
        <v/>
      </c>
      <c r="Q41">
        <f>P41*(1+IF($A41="AEO",'Growth Rates'!Q93,'Growth Rates'!Q93*Q$5))</f>
        <v/>
      </c>
      <c r="R41">
        <f>Q41*(1+IF($A41="AEO",'Growth Rates'!R93,'Growth Rates'!R93*R$5))</f>
        <v/>
      </c>
      <c r="S41">
        <f>R41*(1+IF($A41="AEO",'Growth Rates'!S93,'Growth Rates'!S93*S$5))</f>
        <v/>
      </c>
      <c r="T41">
        <f>S41*(1+IF($A41="AEO",'Growth Rates'!T93,'Growth Rates'!T93*T$5))</f>
        <v/>
      </c>
      <c r="U41">
        <f>T41*(1+IF($A41="AEO",'Growth Rates'!U93,'Growth Rates'!U93*U$5))</f>
        <v/>
      </c>
      <c r="V41">
        <f>U41*(1+IF($A41="AEO",'Growth Rates'!V93,'Growth Rates'!V93*V$5))</f>
        <v/>
      </c>
      <c r="W41">
        <f>V41*(1+IF($A41="AEO",'Growth Rates'!W93,'Growth Rates'!W93*W$5))</f>
        <v/>
      </c>
      <c r="X41">
        <f>W41*(1+IF($A41="AEO",'Growth Rates'!X93,'Growth Rates'!X93*X$5))</f>
        <v/>
      </c>
      <c r="Y41">
        <f>X41*(1+IF($A41="AEO",'Growth Rates'!Y93,'Growth Rates'!Y93*Y$5))</f>
        <v/>
      </c>
      <c r="Z41">
        <f>Y41*(1+IF($A41="AEO",'Growth Rates'!Z93,'Growth Rates'!Z93*Z$5))</f>
        <v/>
      </c>
      <c r="AA41">
        <f>Z41*(1+IF($A41="AEO",'Growth Rates'!AA93,'Growth Rates'!AA93*AA$5))</f>
        <v/>
      </c>
      <c r="AB41">
        <f>AA41*(1+IF($A41="AEO",'Growth Rates'!AB93,'Growth Rates'!AB93*AB$5))</f>
        <v/>
      </c>
      <c r="AC41">
        <f>AB41*(1+IF($A41="AEO",'Growth Rates'!AC93,'Growth Rates'!AC93*AC$5))</f>
        <v/>
      </c>
    </row>
    <row r="42">
      <c r="A42" t="inlineStr"/>
      <c r="B42" t="inlineStr">
        <is>
          <t>ISIC 49</t>
        </is>
      </c>
      <c r="C42">
        <f>'Data from BVAbIC'!AI2</f>
        <v/>
      </c>
      <c r="D42">
        <f>C42*(1+IF($A42="AEO",'Growth Rates'!D94,'Growth Rates'!D94*D$5))</f>
        <v/>
      </c>
      <c r="E42">
        <f>D42*(1+IF($A42="AEO",'Growth Rates'!E94,'Growth Rates'!E94*E$5))</f>
        <v/>
      </c>
      <c r="F42">
        <f>E42*(1+IF($A42="AEO",'Growth Rates'!F94,'Growth Rates'!F94*F$5))</f>
        <v/>
      </c>
      <c r="G42">
        <f>F42*(1+IF($A42="AEO",'Growth Rates'!G94,'Growth Rates'!G94*G$5))</f>
        <v/>
      </c>
      <c r="H42">
        <f>G42*(1+IF($A42="AEO",'Growth Rates'!H94,'Growth Rates'!H94*H$5))</f>
        <v/>
      </c>
      <c r="I42">
        <f>H42*(1+IF($A42="AEO",'Growth Rates'!I94,'Growth Rates'!I94*I$5))</f>
        <v/>
      </c>
      <c r="J42">
        <f>I42*(1+IF($A42="AEO",'Growth Rates'!J94,'Growth Rates'!J94*J$5))</f>
        <v/>
      </c>
      <c r="K42">
        <f>J42*(1+IF($A42="AEO",'Growth Rates'!K94,'Growth Rates'!K94*K$5))</f>
        <v/>
      </c>
      <c r="L42">
        <f>K42*(1+IF($A42="AEO",'Growth Rates'!L94,'Growth Rates'!L94*L$5))</f>
        <v/>
      </c>
      <c r="M42">
        <f>L42*(1+IF($A42="AEO",'Growth Rates'!M94,'Growth Rates'!M94*M$5))</f>
        <v/>
      </c>
      <c r="N42">
        <f>M42*(1+IF($A42="AEO",'Growth Rates'!N94,'Growth Rates'!N94*N$5))</f>
        <v/>
      </c>
      <c r="O42">
        <f>N42*(1+IF($A42="AEO",'Growth Rates'!O94,'Growth Rates'!O94*O$5))</f>
        <v/>
      </c>
      <c r="P42">
        <f>O42*(1+IF($A42="AEO",'Growth Rates'!P94,'Growth Rates'!P94*P$5))</f>
        <v/>
      </c>
      <c r="Q42">
        <f>P42*(1+IF($A42="AEO",'Growth Rates'!Q94,'Growth Rates'!Q94*Q$5))</f>
        <v/>
      </c>
      <c r="R42">
        <f>Q42*(1+IF($A42="AEO",'Growth Rates'!R94,'Growth Rates'!R94*R$5))</f>
        <v/>
      </c>
      <c r="S42">
        <f>R42*(1+IF($A42="AEO",'Growth Rates'!S94,'Growth Rates'!S94*S$5))</f>
        <v/>
      </c>
      <c r="T42">
        <f>S42*(1+IF($A42="AEO",'Growth Rates'!T94,'Growth Rates'!T94*T$5))</f>
        <v/>
      </c>
      <c r="U42">
        <f>T42*(1+IF($A42="AEO",'Growth Rates'!U94,'Growth Rates'!U94*U$5))</f>
        <v/>
      </c>
      <c r="V42">
        <f>U42*(1+IF($A42="AEO",'Growth Rates'!V94,'Growth Rates'!V94*V$5))</f>
        <v/>
      </c>
      <c r="W42">
        <f>V42*(1+IF($A42="AEO",'Growth Rates'!W94,'Growth Rates'!W94*W$5))</f>
        <v/>
      </c>
      <c r="X42">
        <f>W42*(1+IF($A42="AEO",'Growth Rates'!X94,'Growth Rates'!X94*X$5))</f>
        <v/>
      </c>
      <c r="Y42">
        <f>X42*(1+IF($A42="AEO",'Growth Rates'!Y94,'Growth Rates'!Y94*Y$5))</f>
        <v/>
      </c>
      <c r="Z42">
        <f>Y42*(1+IF($A42="AEO",'Growth Rates'!Z94,'Growth Rates'!Z94*Z$5))</f>
        <v/>
      </c>
      <c r="AA42">
        <f>Z42*(1+IF($A42="AEO",'Growth Rates'!AA94,'Growth Rates'!AA94*AA$5))</f>
        <v/>
      </c>
      <c r="AB42">
        <f>AA42*(1+IF($A42="AEO",'Growth Rates'!AB94,'Growth Rates'!AB94*AB$5))</f>
        <v/>
      </c>
      <c r="AC42">
        <f>AB42*(1+IF($A42="AEO",'Growth Rates'!AC94,'Growth Rates'!AC94*AC$5))</f>
        <v/>
      </c>
    </row>
    <row r="43">
      <c r="A43" t="inlineStr"/>
      <c r="B43" t="inlineStr">
        <is>
          <t>ISIC 50</t>
        </is>
      </c>
      <c r="C43">
        <f>'Data from BVAbIC'!AJ2</f>
        <v/>
      </c>
      <c r="D43">
        <f>C43*(1+IF($A43="AEO",'Growth Rates'!D95,'Growth Rates'!D95*D$5))</f>
        <v/>
      </c>
      <c r="E43">
        <f>D43*(1+IF($A43="AEO",'Growth Rates'!E95,'Growth Rates'!E95*E$5))</f>
        <v/>
      </c>
      <c r="F43">
        <f>E43*(1+IF($A43="AEO",'Growth Rates'!F95,'Growth Rates'!F95*F$5))</f>
        <v/>
      </c>
      <c r="G43">
        <f>F43*(1+IF($A43="AEO",'Growth Rates'!G95,'Growth Rates'!G95*G$5))</f>
        <v/>
      </c>
      <c r="H43">
        <f>G43*(1+IF($A43="AEO",'Growth Rates'!H95,'Growth Rates'!H95*H$5))</f>
        <v/>
      </c>
      <c r="I43">
        <f>H43*(1+IF($A43="AEO",'Growth Rates'!I95,'Growth Rates'!I95*I$5))</f>
        <v/>
      </c>
      <c r="J43">
        <f>I43*(1+IF($A43="AEO",'Growth Rates'!J95,'Growth Rates'!J95*J$5))</f>
        <v/>
      </c>
      <c r="K43">
        <f>J43*(1+IF($A43="AEO",'Growth Rates'!K95,'Growth Rates'!K95*K$5))</f>
        <v/>
      </c>
      <c r="L43">
        <f>K43*(1+IF($A43="AEO",'Growth Rates'!L95,'Growth Rates'!L95*L$5))</f>
        <v/>
      </c>
      <c r="M43">
        <f>L43*(1+IF($A43="AEO",'Growth Rates'!M95,'Growth Rates'!M95*M$5))</f>
        <v/>
      </c>
      <c r="N43">
        <f>M43*(1+IF($A43="AEO",'Growth Rates'!N95,'Growth Rates'!N95*N$5))</f>
        <v/>
      </c>
      <c r="O43">
        <f>N43*(1+IF($A43="AEO",'Growth Rates'!O95,'Growth Rates'!O95*O$5))</f>
        <v/>
      </c>
      <c r="P43">
        <f>O43*(1+IF($A43="AEO",'Growth Rates'!P95,'Growth Rates'!P95*P$5))</f>
        <v/>
      </c>
      <c r="Q43">
        <f>P43*(1+IF($A43="AEO",'Growth Rates'!Q95,'Growth Rates'!Q95*Q$5))</f>
        <v/>
      </c>
      <c r="R43">
        <f>Q43*(1+IF($A43="AEO",'Growth Rates'!R95,'Growth Rates'!R95*R$5))</f>
        <v/>
      </c>
      <c r="S43">
        <f>R43*(1+IF($A43="AEO",'Growth Rates'!S95,'Growth Rates'!S95*S$5))</f>
        <v/>
      </c>
      <c r="T43">
        <f>S43*(1+IF($A43="AEO",'Growth Rates'!T95,'Growth Rates'!T95*T$5))</f>
        <v/>
      </c>
      <c r="U43">
        <f>T43*(1+IF($A43="AEO",'Growth Rates'!U95,'Growth Rates'!U95*U$5))</f>
        <v/>
      </c>
      <c r="V43">
        <f>U43*(1+IF($A43="AEO",'Growth Rates'!V95,'Growth Rates'!V95*V$5))</f>
        <v/>
      </c>
      <c r="W43">
        <f>V43*(1+IF($A43="AEO",'Growth Rates'!W95,'Growth Rates'!W95*W$5))</f>
        <v/>
      </c>
      <c r="X43">
        <f>W43*(1+IF($A43="AEO",'Growth Rates'!X95,'Growth Rates'!X95*X$5))</f>
        <v/>
      </c>
      <c r="Y43">
        <f>X43*(1+IF($A43="AEO",'Growth Rates'!Y95,'Growth Rates'!Y95*Y$5))</f>
        <v/>
      </c>
      <c r="Z43">
        <f>Y43*(1+IF($A43="AEO",'Growth Rates'!Z95,'Growth Rates'!Z95*Z$5))</f>
        <v/>
      </c>
      <c r="AA43">
        <f>Z43*(1+IF($A43="AEO",'Growth Rates'!AA95,'Growth Rates'!AA95*AA$5))</f>
        <v/>
      </c>
      <c r="AB43">
        <f>AA43*(1+IF($A43="AEO",'Growth Rates'!AB95,'Growth Rates'!AB95*AB$5))</f>
        <v/>
      </c>
      <c r="AC43">
        <f>AB43*(1+IF($A43="AEO",'Growth Rates'!AC95,'Growth Rates'!AC95*AC$5))</f>
        <v/>
      </c>
    </row>
    <row r="44">
      <c r="A44" t="inlineStr"/>
      <c r="B44" t="inlineStr">
        <is>
          <t>ISIC 51</t>
        </is>
      </c>
      <c r="C44">
        <f>'Data from BVAbIC'!AK2</f>
        <v/>
      </c>
      <c r="D44">
        <f>C44*(1+IF($A44="AEO",'Growth Rates'!D96,'Growth Rates'!D96*D$5))</f>
        <v/>
      </c>
      <c r="E44">
        <f>D44*(1+IF($A44="AEO",'Growth Rates'!E96,'Growth Rates'!E96*E$5))</f>
        <v/>
      </c>
      <c r="F44">
        <f>E44*(1+IF($A44="AEO",'Growth Rates'!F96,'Growth Rates'!F96*F$5))</f>
        <v/>
      </c>
      <c r="G44">
        <f>F44*(1+IF($A44="AEO",'Growth Rates'!G96,'Growth Rates'!G96*G$5))</f>
        <v/>
      </c>
      <c r="H44">
        <f>G44*(1+IF($A44="AEO",'Growth Rates'!H96,'Growth Rates'!H96*H$5))</f>
        <v/>
      </c>
      <c r="I44">
        <f>H44*(1+IF($A44="AEO",'Growth Rates'!I96,'Growth Rates'!I96*I$5))</f>
        <v/>
      </c>
      <c r="J44">
        <f>I44*(1+IF($A44="AEO",'Growth Rates'!J96,'Growth Rates'!J96*J$5))</f>
        <v/>
      </c>
      <c r="K44">
        <f>J44*(1+IF($A44="AEO",'Growth Rates'!K96,'Growth Rates'!K96*K$5))</f>
        <v/>
      </c>
      <c r="L44">
        <f>K44*(1+IF($A44="AEO",'Growth Rates'!L96,'Growth Rates'!L96*L$5))</f>
        <v/>
      </c>
      <c r="M44">
        <f>L44*(1+IF($A44="AEO",'Growth Rates'!M96,'Growth Rates'!M96*M$5))</f>
        <v/>
      </c>
      <c r="N44">
        <f>M44*(1+IF($A44="AEO",'Growth Rates'!N96,'Growth Rates'!N96*N$5))</f>
        <v/>
      </c>
      <c r="O44">
        <f>N44*(1+IF($A44="AEO",'Growth Rates'!O96,'Growth Rates'!O96*O$5))</f>
        <v/>
      </c>
      <c r="P44">
        <f>O44*(1+IF($A44="AEO",'Growth Rates'!P96,'Growth Rates'!P96*P$5))</f>
        <v/>
      </c>
      <c r="Q44">
        <f>P44*(1+IF($A44="AEO",'Growth Rates'!Q96,'Growth Rates'!Q96*Q$5))</f>
        <v/>
      </c>
      <c r="R44">
        <f>Q44*(1+IF($A44="AEO",'Growth Rates'!R96,'Growth Rates'!R96*R$5))</f>
        <v/>
      </c>
      <c r="S44">
        <f>R44*(1+IF($A44="AEO",'Growth Rates'!S96,'Growth Rates'!S96*S$5))</f>
        <v/>
      </c>
      <c r="T44">
        <f>S44*(1+IF($A44="AEO",'Growth Rates'!T96,'Growth Rates'!T96*T$5))</f>
        <v/>
      </c>
      <c r="U44">
        <f>T44*(1+IF($A44="AEO",'Growth Rates'!U96,'Growth Rates'!U96*U$5))</f>
        <v/>
      </c>
      <c r="V44">
        <f>U44*(1+IF($A44="AEO",'Growth Rates'!V96,'Growth Rates'!V96*V$5))</f>
        <v/>
      </c>
      <c r="W44">
        <f>V44*(1+IF($A44="AEO",'Growth Rates'!W96,'Growth Rates'!W96*W$5))</f>
        <v/>
      </c>
      <c r="X44">
        <f>W44*(1+IF($A44="AEO",'Growth Rates'!X96,'Growth Rates'!X96*X$5))</f>
        <v/>
      </c>
      <c r="Y44">
        <f>X44*(1+IF($A44="AEO",'Growth Rates'!Y96,'Growth Rates'!Y96*Y$5))</f>
        <v/>
      </c>
      <c r="Z44">
        <f>Y44*(1+IF($A44="AEO",'Growth Rates'!Z96,'Growth Rates'!Z96*Z$5))</f>
        <v/>
      </c>
      <c r="AA44">
        <f>Z44*(1+IF($A44="AEO",'Growth Rates'!AA96,'Growth Rates'!AA96*AA$5))</f>
        <v/>
      </c>
      <c r="AB44">
        <f>AA44*(1+IF($A44="AEO",'Growth Rates'!AB96,'Growth Rates'!AB96*AB$5))</f>
        <v/>
      </c>
      <c r="AC44">
        <f>AB44*(1+IF($A44="AEO",'Growth Rates'!AC96,'Growth Rates'!AC96*AC$5))</f>
        <v/>
      </c>
    </row>
    <row r="45">
      <c r="A45" t="inlineStr"/>
      <c r="B45" t="inlineStr">
        <is>
          <t>ISIC 52</t>
        </is>
      </c>
      <c r="C45">
        <f>'Data from BVAbIC'!AL2</f>
        <v/>
      </c>
      <c r="D45">
        <f>C45*(1+IF($A45="AEO",'Growth Rates'!D97,'Growth Rates'!D97*D$5))</f>
        <v/>
      </c>
      <c r="E45">
        <f>D45*(1+IF($A45="AEO",'Growth Rates'!E97,'Growth Rates'!E97*E$5))</f>
        <v/>
      </c>
      <c r="F45">
        <f>E45*(1+IF($A45="AEO",'Growth Rates'!F97,'Growth Rates'!F97*F$5))</f>
        <v/>
      </c>
      <c r="G45">
        <f>F45*(1+IF($A45="AEO",'Growth Rates'!G97,'Growth Rates'!G97*G$5))</f>
        <v/>
      </c>
      <c r="H45">
        <f>G45*(1+IF($A45="AEO",'Growth Rates'!H97,'Growth Rates'!H97*H$5))</f>
        <v/>
      </c>
      <c r="I45">
        <f>H45*(1+IF($A45="AEO",'Growth Rates'!I97,'Growth Rates'!I97*I$5))</f>
        <v/>
      </c>
      <c r="J45">
        <f>I45*(1+IF($A45="AEO",'Growth Rates'!J97,'Growth Rates'!J97*J$5))</f>
        <v/>
      </c>
      <c r="K45">
        <f>J45*(1+IF($A45="AEO",'Growth Rates'!K97,'Growth Rates'!K97*K$5))</f>
        <v/>
      </c>
      <c r="L45">
        <f>K45*(1+IF($A45="AEO",'Growth Rates'!L97,'Growth Rates'!L97*L$5))</f>
        <v/>
      </c>
      <c r="M45">
        <f>L45*(1+IF($A45="AEO",'Growth Rates'!M97,'Growth Rates'!M97*M$5))</f>
        <v/>
      </c>
      <c r="N45">
        <f>M45*(1+IF($A45="AEO",'Growth Rates'!N97,'Growth Rates'!N97*N$5))</f>
        <v/>
      </c>
      <c r="O45">
        <f>N45*(1+IF($A45="AEO",'Growth Rates'!O97,'Growth Rates'!O97*O$5))</f>
        <v/>
      </c>
      <c r="P45">
        <f>O45*(1+IF($A45="AEO",'Growth Rates'!P97,'Growth Rates'!P97*P$5))</f>
        <v/>
      </c>
      <c r="Q45">
        <f>P45*(1+IF($A45="AEO",'Growth Rates'!Q97,'Growth Rates'!Q97*Q$5))</f>
        <v/>
      </c>
      <c r="R45">
        <f>Q45*(1+IF($A45="AEO",'Growth Rates'!R97,'Growth Rates'!R97*R$5))</f>
        <v/>
      </c>
      <c r="S45">
        <f>R45*(1+IF($A45="AEO",'Growth Rates'!S97,'Growth Rates'!S97*S$5))</f>
        <v/>
      </c>
      <c r="T45">
        <f>S45*(1+IF($A45="AEO",'Growth Rates'!T97,'Growth Rates'!T97*T$5))</f>
        <v/>
      </c>
      <c r="U45">
        <f>T45*(1+IF($A45="AEO",'Growth Rates'!U97,'Growth Rates'!U97*U$5))</f>
        <v/>
      </c>
      <c r="V45">
        <f>U45*(1+IF($A45="AEO",'Growth Rates'!V97,'Growth Rates'!V97*V$5))</f>
        <v/>
      </c>
      <c r="W45">
        <f>V45*(1+IF($A45="AEO",'Growth Rates'!W97,'Growth Rates'!W97*W$5))</f>
        <v/>
      </c>
      <c r="X45">
        <f>W45*(1+IF($A45="AEO",'Growth Rates'!X97,'Growth Rates'!X97*X$5))</f>
        <v/>
      </c>
      <c r="Y45">
        <f>X45*(1+IF($A45="AEO",'Growth Rates'!Y97,'Growth Rates'!Y97*Y$5))</f>
        <v/>
      </c>
      <c r="Z45">
        <f>Y45*(1+IF($A45="AEO",'Growth Rates'!Z97,'Growth Rates'!Z97*Z$5))</f>
        <v/>
      </c>
      <c r="AA45">
        <f>Z45*(1+IF($A45="AEO",'Growth Rates'!AA97,'Growth Rates'!AA97*AA$5))</f>
        <v/>
      </c>
      <c r="AB45">
        <f>AA45*(1+IF($A45="AEO",'Growth Rates'!AB97,'Growth Rates'!AB97*AB$5))</f>
        <v/>
      </c>
      <c r="AC45">
        <f>AB45*(1+IF($A45="AEO",'Growth Rates'!AC97,'Growth Rates'!AC97*AC$5))</f>
        <v/>
      </c>
    </row>
    <row r="46">
      <c r="A46" t="inlineStr"/>
      <c r="B46" t="inlineStr">
        <is>
          <t>ISIC 53</t>
        </is>
      </c>
      <c r="C46">
        <f>'Data from BVAbIC'!AM2</f>
        <v/>
      </c>
      <c r="D46">
        <f>C46*(1+IF($A46="AEO",'Growth Rates'!D98,'Growth Rates'!D98*D$5))</f>
        <v/>
      </c>
      <c r="E46">
        <f>D46*(1+IF($A46="AEO",'Growth Rates'!E98,'Growth Rates'!E98*E$5))</f>
        <v/>
      </c>
      <c r="F46">
        <f>E46*(1+IF($A46="AEO",'Growth Rates'!F98,'Growth Rates'!F98*F$5))</f>
        <v/>
      </c>
      <c r="G46">
        <f>F46*(1+IF($A46="AEO",'Growth Rates'!G98,'Growth Rates'!G98*G$5))</f>
        <v/>
      </c>
      <c r="H46">
        <f>G46*(1+IF($A46="AEO",'Growth Rates'!H98,'Growth Rates'!H98*H$5))</f>
        <v/>
      </c>
      <c r="I46">
        <f>H46*(1+IF($A46="AEO",'Growth Rates'!I98,'Growth Rates'!I98*I$5))</f>
        <v/>
      </c>
      <c r="J46">
        <f>I46*(1+IF($A46="AEO",'Growth Rates'!J98,'Growth Rates'!J98*J$5))</f>
        <v/>
      </c>
      <c r="K46">
        <f>J46*(1+IF($A46="AEO",'Growth Rates'!K98,'Growth Rates'!K98*K$5))</f>
        <v/>
      </c>
      <c r="L46">
        <f>K46*(1+IF($A46="AEO",'Growth Rates'!L98,'Growth Rates'!L98*L$5))</f>
        <v/>
      </c>
      <c r="M46">
        <f>L46*(1+IF($A46="AEO",'Growth Rates'!M98,'Growth Rates'!M98*M$5))</f>
        <v/>
      </c>
      <c r="N46">
        <f>M46*(1+IF($A46="AEO",'Growth Rates'!N98,'Growth Rates'!N98*N$5))</f>
        <v/>
      </c>
      <c r="O46">
        <f>N46*(1+IF($A46="AEO",'Growth Rates'!O98,'Growth Rates'!O98*O$5))</f>
        <v/>
      </c>
      <c r="P46">
        <f>O46*(1+IF($A46="AEO",'Growth Rates'!P98,'Growth Rates'!P98*P$5))</f>
        <v/>
      </c>
      <c r="Q46">
        <f>P46*(1+IF($A46="AEO",'Growth Rates'!Q98,'Growth Rates'!Q98*Q$5))</f>
        <v/>
      </c>
      <c r="R46">
        <f>Q46*(1+IF($A46="AEO",'Growth Rates'!R98,'Growth Rates'!R98*R$5))</f>
        <v/>
      </c>
      <c r="S46">
        <f>R46*(1+IF($A46="AEO",'Growth Rates'!S98,'Growth Rates'!S98*S$5))</f>
        <v/>
      </c>
      <c r="T46">
        <f>S46*(1+IF($A46="AEO",'Growth Rates'!T98,'Growth Rates'!T98*T$5))</f>
        <v/>
      </c>
      <c r="U46">
        <f>T46*(1+IF($A46="AEO",'Growth Rates'!U98,'Growth Rates'!U98*U$5))</f>
        <v/>
      </c>
      <c r="V46">
        <f>U46*(1+IF($A46="AEO",'Growth Rates'!V98,'Growth Rates'!V98*V$5))</f>
        <v/>
      </c>
      <c r="W46">
        <f>V46*(1+IF($A46="AEO",'Growth Rates'!W98,'Growth Rates'!W98*W$5))</f>
        <v/>
      </c>
      <c r="X46">
        <f>W46*(1+IF($A46="AEO",'Growth Rates'!X98,'Growth Rates'!X98*X$5))</f>
        <v/>
      </c>
      <c r="Y46">
        <f>X46*(1+IF($A46="AEO",'Growth Rates'!Y98,'Growth Rates'!Y98*Y$5))</f>
        <v/>
      </c>
      <c r="Z46">
        <f>Y46*(1+IF($A46="AEO",'Growth Rates'!Z98,'Growth Rates'!Z98*Z$5))</f>
        <v/>
      </c>
      <c r="AA46">
        <f>Z46*(1+IF($A46="AEO",'Growth Rates'!AA98,'Growth Rates'!AA98*AA$5))</f>
        <v/>
      </c>
      <c r="AB46">
        <f>AA46*(1+IF($A46="AEO",'Growth Rates'!AB98,'Growth Rates'!AB98*AB$5))</f>
        <v/>
      </c>
      <c r="AC46">
        <f>AB46*(1+IF($A46="AEO",'Growth Rates'!AC98,'Growth Rates'!AC98*AC$5))</f>
        <v/>
      </c>
    </row>
    <row r="47">
      <c r="A47" t="inlineStr"/>
      <c r="B47" t="inlineStr">
        <is>
          <t>ISIC 55T56</t>
        </is>
      </c>
      <c r="C47">
        <f>'Data from BVAbIC'!AN2</f>
        <v/>
      </c>
      <c r="D47">
        <f>C47*(1+IF($A47="AEO",'Growth Rates'!D99,'Growth Rates'!D99*D$5))</f>
        <v/>
      </c>
      <c r="E47">
        <f>D47*(1+IF($A47="AEO",'Growth Rates'!E99,'Growth Rates'!E99*E$5))</f>
        <v/>
      </c>
      <c r="F47">
        <f>E47*(1+IF($A47="AEO",'Growth Rates'!F99,'Growth Rates'!F99*F$5))</f>
        <v/>
      </c>
      <c r="G47">
        <f>F47*(1+IF($A47="AEO",'Growth Rates'!G99,'Growth Rates'!G99*G$5))</f>
        <v/>
      </c>
      <c r="H47">
        <f>G47*(1+IF($A47="AEO",'Growth Rates'!H99,'Growth Rates'!H99*H$5))</f>
        <v/>
      </c>
      <c r="I47">
        <f>H47*(1+IF($A47="AEO",'Growth Rates'!I99,'Growth Rates'!I99*I$5))</f>
        <v/>
      </c>
      <c r="J47">
        <f>I47*(1+IF($A47="AEO",'Growth Rates'!J99,'Growth Rates'!J99*J$5))</f>
        <v/>
      </c>
      <c r="K47">
        <f>J47*(1+IF($A47="AEO",'Growth Rates'!K99,'Growth Rates'!K99*K$5))</f>
        <v/>
      </c>
      <c r="L47">
        <f>K47*(1+IF($A47="AEO",'Growth Rates'!L99,'Growth Rates'!L99*L$5))</f>
        <v/>
      </c>
      <c r="M47">
        <f>L47*(1+IF($A47="AEO",'Growth Rates'!M99,'Growth Rates'!M99*M$5))</f>
        <v/>
      </c>
      <c r="N47">
        <f>M47*(1+IF($A47="AEO",'Growth Rates'!N99,'Growth Rates'!N99*N$5))</f>
        <v/>
      </c>
      <c r="O47">
        <f>N47*(1+IF($A47="AEO",'Growth Rates'!O99,'Growth Rates'!O99*O$5))</f>
        <v/>
      </c>
      <c r="P47">
        <f>O47*(1+IF($A47="AEO",'Growth Rates'!P99,'Growth Rates'!P99*P$5))</f>
        <v/>
      </c>
      <c r="Q47">
        <f>P47*(1+IF($A47="AEO",'Growth Rates'!Q99,'Growth Rates'!Q99*Q$5))</f>
        <v/>
      </c>
      <c r="R47">
        <f>Q47*(1+IF($A47="AEO",'Growth Rates'!R99,'Growth Rates'!R99*R$5))</f>
        <v/>
      </c>
      <c r="S47">
        <f>R47*(1+IF($A47="AEO",'Growth Rates'!S99,'Growth Rates'!S99*S$5))</f>
        <v/>
      </c>
      <c r="T47">
        <f>S47*(1+IF($A47="AEO",'Growth Rates'!T99,'Growth Rates'!T99*T$5))</f>
        <v/>
      </c>
      <c r="U47">
        <f>T47*(1+IF($A47="AEO",'Growth Rates'!U99,'Growth Rates'!U99*U$5))</f>
        <v/>
      </c>
      <c r="V47">
        <f>U47*(1+IF($A47="AEO",'Growth Rates'!V99,'Growth Rates'!V99*V$5))</f>
        <v/>
      </c>
      <c r="W47">
        <f>V47*(1+IF($A47="AEO",'Growth Rates'!W99,'Growth Rates'!W99*W$5))</f>
        <v/>
      </c>
      <c r="X47">
        <f>W47*(1+IF($A47="AEO",'Growth Rates'!X99,'Growth Rates'!X99*X$5))</f>
        <v/>
      </c>
      <c r="Y47">
        <f>X47*(1+IF($A47="AEO",'Growth Rates'!Y99,'Growth Rates'!Y99*Y$5))</f>
        <v/>
      </c>
      <c r="Z47">
        <f>Y47*(1+IF($A47="AEO",'Growth Rates'!Z99,'Growth Rates'!Z99*Z$5))</f>
        <v/>
      </c>
      <c r="AA47">
        <f>Z47*(1+IF($A47="AEO",'Growth Rates'!AA99,'Growth Rates'!AA99*AA$5))</f>
        <v/>
      </c>
      <c r="AB47">
        <f>AA47*(1+IF($A47="AEO",'Growth Rates'!AB99,'Growth Rates'!AB99*AB$5))</f>
        <v/>
      </c>
      <c r="AC47">
        <f>AB47*(1+IF($A47="AEO",'Growth Rates'!AC99,'Growth Rates'!AC99*AC$5))</f>
        <v/>
      </c>
    </row>
    <row r="48">
      <c r="A48" t="inlineStr"/>
      <c r="B48" t="inlineStr">
        <is>
          <t>ISIC 58T60</t>
        </is>
      </c>
      <c r="C48">
        <f>'Data from BVAbIC'!AO2</f>
        <v/>
      </c>
      <c r="D48">
        <f>C48*(1+IF($A48="AEO",'Growth Rates'!D100,'Growth Rates'!D100*D$5))</f>
        <v/>
      </c>
      <c r="E48">
        <f>D48*(1+IF($A48="AEO",'Growth Rates'!E100,'Growth Rates'!E100*E$5))</f>
        <v/>
      </c>
      <c r="F48">
        <f>E48*(1+IF($A48="AEO",'Growth Rates'!F100,'Growth Rates'!F100*F$5))</f>
        <v/>
      </c>
      <c r="G48">
        <f>F48*(1+IF($A48="AEO",'Growth Rates'!G100,'Growth Rates'!G100*G$5))</f>
        <v/>
      </c>
      <c r="H48">
        <f>G48*(1+IF($A48="AEO",'Growth Rates'!H100,'Growth Rates'!H100*H$5))</f>
        <v/>
      </c>
      <c r="I48">
        <f>H48*(1+IF($A48="AEO",'Growth Rates'!I100,'Growth Rates'!I100*I$5))</f>
        <v/>
      </c>
      <c r="J48">
        <f>I48*(1+IF($A48="AEO",'Growth Rates'!J100,'Growth Rates'!J100*J$5))</f>
        <v/>
      </c>
      <c r="K48">
        <f>J48*(1+IF($A48="AEO",'Growth Rates'!K100,'Growth Rates'!K100*K$5))</f>
        <v/>
      </c>
      <c r="L48">
        <f>K48*(1+IF($A48="AEO",'Growth Rates'!L100,'Growth Rates'!L100*L$5))</f>
        <v/>
      </c>
      <c r="M48">
        <f>L48*(1+IF($A48="AEO",'Growth Rates'!M100,'Growth Rates'!M100*M$5))</f>
        <v/>
      </c>
      <c r="N48">
        <f>M48*(1+IF($A48="AEO",'Growth Rates'!N100,'Growth Rates'!N100*N$5))</f>
        <v/>
      </c>
      <c r="O48">
        <f>N48*(1+IF($A48="AEO",'Growth Rates'!O100,'Growth Rates'!O100*O$5))</f>
        <v/>
      </c>
      <c r="P48">
        <f>O48*(1+IF($A48="AEO",'Growth Rates'!P100,'Growth Rates'!P100*P$5))</f>
        <v/>
      </c>
      <c r="Q48">
        <f>P48*(1+IF($A48="AEO",'Growth Rates'!Q100,'Growth Rates'!Q100*Q$5))</f>
        <v/>
      </c>
      <c r="R48">
        <f>Q48*(1+IF($A48="AEO",'Growth Rates'!R100,'Growth Rates'!R100*R$5))</f>
        <v/>
      </c>
      <c r="S48">
        <f>R48*(1+IF($A48="AEO",'Growth Rates'!S100,'Growth Rates'!S100*S$5))</f>
        <v/>
      </c>
      <c r="T48">
        <f>S48*(1+IF($A48="AEO",'Growth Rates'!T100,'Growth Rates'!T100*T$5))</f>
        <v/>
      </c>
      <c r="U48">
        <f>T48*(1+IF($A48="AEO",'Growth Rates'!U100,'Growth Rates'!U100*U$5))</f>
        <v/>
      </c>
      <c r="V48">
        <f>U48*(1+IF($A48="AEO",'Growth Rates'!V100,'Growth Rates'!V100*V$5))</f>
        <v/>
      </c>
      <c r="W48">
        <f>V48*(1+IF($A48="AEO",'Growth Rates'!W100,'Growth Rates'!W100*W$5))</f>
        <v/>
      </c>
      <c r="X48">
        <f>W48*(1+IF($A48="AEO",'Growth Rates'!X100,'Growth Rates'!X100*X$5))</f>
        <v/>
      </c>
      <c r="Y48">
        <f>X48*(1+IF($A48="AEO",'Growth Rates'!Y100,'Growth Rates'!Y100*Y$5))</f>
        <v/>
      </c>
      <c r="Z48">
        <f>Y48*(1+IF($A48="AEO",'Growth Rates'!Z100,'Growth Rates'!Z100*Z$5))</f>
        <v/>
      </c>
      <c r="AA48">
        <f>Z48*(1+IF($A48="AEO",'Growth Rates'!AA100,'Growth Rates'!AA100*AA$5))</f>
        <v/>
      </c>
      <c r="AB48">
        <f>AA48*(1+IF($A48="AEO",'Growth Rates'!AB100,'Growth Rates'!AB100*AB$5))</f>
        <v/>
      </c>
      <c r="AC48">
        <f>AB48*(1+IF($A48="AEO",'Growth Rates'!AC100,'Growth Rates'!AC100*AC$5))</f>
        <v/>
      </c>
    </row>
    <row r="49">
      <c r="A49" t="inlineStr"/>
      <c r="B49" t="inlineStr">
        <is>
          <t>ISIC 61</t>
        </is>
      </c>
      <c r="C49">
        <f>'Data from BVAbIC'!AP2</f>
        <v/>
      </c>
      <c r="D49">
        <f>C49*(1+IF($A49="AEO",'Growth Rates'!D101,'Growth Rates'!D101*D$5))</f>
        <v/>
      </c>
      <c r="E49">
        <f>D49*(1+IF($A49="AEO",'Growth Rates'!E101,'Growth Rates'!E101*E$5))</f>
        <v/>
      </c>
      <c r="F49">
        <f>E49*(1+IF($A49="AEO",'Growth Rates'!F101,'Growth Rates'!F101*F$5))</f>
        <v/>
      </c>
      <c r="G49">
        <f>F49*(1+IF($A49="AEO",'Growth Rates'!G101,'Growth Rates'!G101*G$5))</f>
        <v/>
      </c>
      <c r="H49">
        <f>G49*(1+IF($A49="AEO",'Growth Rates'!H101,'Growth Rates'!H101*H$5))</f>
        <v/>
      </c>
      <c r="I49">
        <f>H49*(1+IF($A49="AEO",'Growth Rates'!I101,'Growth Rates'!I101*I$5))</f>
        <v/>
      </c>
      <c r="J49">
        <f>I49*(1+IF($A49="AEO",'Growth Rates'!J101,'Growth Rates'!J101*J$5))</f>
        <v/>
      </c>
      <c r="K49">
        <f>J49*(1+IF($A49="AEO",'Growth Rates'!K101,'Growth Rates'!K101*K$5))</f>
        <v/>
      </c>
      <c r="L49">
        <f>K49*(1+IF($A49="AEO",'Growth Rates'!L101,'Growth Rates'!L101*L$5))</f>
        <v/>
      </c>
      <c r="M49">
        <f>L49*(1+IF($A49="AEO",'Growth Rates'!M101,'Growth Rates'!M101*M$5))</f>
        <v/>
      </c>
      <c r="N49">
        <f>M49*(1+IF($A49="AEO",'Growth Rates'!N101,'Growth Rates'!N101*N$5))</f>
        <v/>
      </c>
      <c r="O49">
        <f>N49*(1+IF($A49="AEO",'Growth Rates'!O101,'Growth Rates'!O101*O$5))</f>
        <v/>
      </c>
      <c r="P49">
        <f>O49*(1+IF($A49="AEO",'Growth Rates'!P101,'Growth Rates'!P101*P$5))</f>
        <v/>
      </c>
      <c r="Q49">
        <f>P49*(1+IF($A49="AEO",'Growth Rates'!Q101,'Growth Rates'!Q101*Q$5))</f>
        <v/>
      </c>
      <c r="R49">
        <f>Q49*(1+IF($A49="AEO",'Growth Rates'!R101,'Growth Rates'!R101*R$5))</f>
        <v/>
      </c>
      <c r="S49">
        <f>R49*(1+IF($A49="AEO",'Growth Rates'!S101,'Growth Rates'!S101*S$5))</f>
        <v/>
      </c>
      <c r="T49">
        <f>S49*(1+IF($A49="AEO",'Growth Rates'!T101,'Growth Rates'!T101*T$5))</f>
        <v/>
      </c>
      <c r="U49">
        <f>T49*(1+IF($A49="AEO",'Growth Rates'!U101,'Growth Rates'!U101*U$5))</f>
        <v/>
      </c>
      <c r="V49">
        <f>U49*(1+IF($A49="AEO",'Growth Rates'!V101,'Growth Rates'!V101*V$5))</f>
        <v/>
      </c>
      <c r="W49">
        <f>V49*(1+IF($A49="AEO",'Growth Rates'!W101,'Growth Rates'!W101*W$5))</f>
        <v/>
      </c>
      <c r="X49">
        <f>W49*(1+IF($A49="AEO",'Growth Rates'!X101,'Growth Rates'!X101*X$5))</f>
        <v/>
      </c>
      <c r="Y49">
        <f>X49*(1+IF($A49="AEO",'Growth Rates'!Y101,'Growth Rates'!Y101*Y$5))</f>
        <v/>
      </c>
      <c r="Z49">
        <f>Y49*(1+IF($A49="AEO",'Growth Rates'!Z101,'Growth Rates'!Z101*Z$5))</f>
        <v/>
      </c>
      <c r="AA49">
        <f>Z49*(1+IF($A49="AEO",'Growth Rates'!AA101,'Growth Rates'!AA101*AA$5))</f>
        <v/>
      </c>
      <c r="AB49">
        <f>AA49*(1+IF($A49="AEO",'Growth Rates'!AB101,'Growth Rates'!AB101*AB$5))</f>
        <v/>
      </c>
      <c r="AC49">
        <f>AB49*(1+IF($A49="AEO",'Growth Rates'!AC101,'Growth Rates'!AC101*AC$5))</f>
        <v/>
      </c>
    </row>
    <row r="50">
      <c r="A50" t="inlineStr"/>
      <c r="B50" t="inlineStr">
        <is>
          <t>ISIC 62T63</t>
        </is>
      </c>
      <c r="C50">
        <f>'Data from BVAbIC'!AQ2</f>
        <v/>
      </c>
      <c r="D50">
        <f>C50*(1+IF($A50="AEO",'Growth Rates'!D102,'Growth Rates'!D102*D$5))</f>
        <v/>
      </c>
      <c r="E50">
        <f>D50*(1+IF($A50="AEO",'Growth Rates'!E102,'Growth Rates'!E102*E$5))</f>
        <v/>
      </c>
      <c r="F50">
        <f>E50*(1+IF($A50="AEO",'Growth Rates'!F102,'Growth Rates'!F102*F$5))</f>
        <v/>
      </c>
      <c r="G50">
        <f>F50*(1+IF($A50="AEO",'Growth Rates'!G102,'Growth Rates'!G102*G$5))</f>
        <v/>
      </c>
      <c r="H50">
        <f>G50*(1+IF($A50="AEO",'Growth Rates'!H102,'Growth Rates'!H102*H$5))</f>
        <v/>
      </c>
      <c r="I50">
        <f>H50*(1+IF($A50="AEO",'Growth Rates'!I102,'Growth Rates'!I102*I$5))</f>
        <v/>
      </c>
      <c r="J50">
        <f>I50*(1+IF($A50="AEO",'Growth Rates'!J102,'Growth Rates'!J102*J$5))</f>
        <v/>
      </c>
      <c r="K50">
        <f>J50*(1+IF($A50="AEO",'Growth Rates'!K102,'Growth Rates'!K102*K$5))</f>
        <v/>
      </c>
      <c r="L50">
        <f>K50*(1+IF($A50="AEO",'Growth Rates'!L102,'Growth Rates'!L102*L$5))</f>
        <v/>
      </c>
      <c r="M50">
        <f>L50*(1+IF($A50="AEO",'Growth Rates'!M102,'Growth Rates'!M102*M$5))</f>
        <v/>
      </c>
      <c r="N50">
        <f>M50*(1+IF($A50="AEO",'Growth Rates'!N102,'Growth Rates'!N102*N$5))</f>
        <v/>
      </c>
      <c r="O50">
        <f>N50*(1+IF($A50="AEO",'Growth Rates'!O102,'Growth Rates'!O102*O$5))</f>
        <v/>
      </c>
      <c r="P50">
        <f>O50*(1+IF($A50="AEO",'Growth Rates'!P102,'Growth Rates'!P102*P$5))</f>
        <v/>
      </c>
      <c r="Q50">
        <f>P50*(1+IF($A50="AEO",'Growth Rates'!Q102,'Growth Rates'!Q102*Q$5))</f>
        <v/>
      </c>
      <c r="R50">
        <f>Q50*(1+IF($A50="AEO",'Growth Rates'!R102,'Growth Rates'!R102*R$5))</f>
        <v/>
      </c>
      <c r="S50">
        <f>R50*(1+IF($A50="AEO",'Growth Rates'!S102,'Growth Rates'!S102*S$5))</f>
        <v/>
      </c>
      <c r="T50">
        <f>S50*(1+IF($A50="AEO",'Growth Rates'!T102,'Growth Rates'!T102*T$5))</f>
        <v/>
      </c>
      <c r="U50">
        <f>T50*(1+IF($A50="AEO",'Growth Rates'!U102,'Growth Rates'!U102*U$5))</f>
        <v/>
      </c>
      <c r="V50">
        <f>U50*(1+IF($A50="AEO",'Growth Rates'!V102,'Growth Rates'!V102*V$5))</f>
        <v/>
      </c>
      <c r="W50">
        <f>V50*(1+IF($A50="AEO",'Growth Rates'!W102,'Growth Rates'!W102*W$5))</f>
        <v/>
      </c>
      <c r="X50">
        <f>W50*(1+IF($A50="AEO",'Growth Rates'!X102,'Growth Rates'!X102*X$5))</f>
        <v/>
      </c>
      <c r="Y50">
        <f>X50*(1+IF($A50="AEO",'Growth Rates'!Y102,'Growth Rates'!Y102*Y$5))</f>
        <v/>
      </c>
      <c r="Z50">
        <f>Y50*(1+IF($A50="AEO",'Growth Rates'!Z102,'Growth Rates'!Z102*Z$5))</f>
        <v/>
      </c>
      <c r="AA50">
        <f>Z50*(1+IF($A50="AEO",'Growth Rates'!AA102,'Growth Rates'!AA102*AA$5))</f>
        <v/>
      </c>
      <c r="AB50">
        <f>AA50*(1+IF($A50="AEO",'Growth Rates'!AB102,'Growth Rates'!AB102*AB$5))</f>
        <v/>
      </c>
      <c r="AC50">
        <f>AB50*(1+IF($A50="AEO",'Growth Rates'!AC102,'Growth Rates'!AC102*AC$5))</f>
        <v/>
      </c>
    </row>
    <row r="51">
      <c r="A51" t="inlineStr"/>
      <c r="B51" t="inlineStr">
        <is>
          <t>ISIC 64T66</t>
        </is>
      </c>
      <c r="C51">
        <f>'Data from BVAbIC'!AR2</f>
        <v/>
      </c>
      <c r="D51">
        <f>C51*(1+IF($A51="AEO",'Growth Rates'!D103,'Growth Rates'!D103*D$5))</f>
        <v/>
      </c>
      <c r="E51">
        <f>D51*(1+IF($A51="AEO",'Growth Rates'!E103,'Growth Rates'!E103*E$5))</f>
        <v/>
      </c>
      <c r="F51">
        <f>E51*(1+IF($A51="AEO",'Growth Rates'!F103,'Growth Rates'!F103*F$5))</f>
        <v/>
      </c>
      <c r="G51">
        <f>F51*(1+IF($A51="AEO",'Growth Rates'!G103,'Growth Rates'!G103*G$5))</f>
        <v/>
      </c>
      <c r="H51">
        <f>G51*(1+IF($A51="AEO",'Growth Rates'!H103,'Growth Rates'!H103*H$5))</f>
        <v/>
      </c>
      <c r="I51">
        <f>H51*(1+IF($A51="AEO",'Growth Rates'!I103,'Growth Rates'!I103*I$5))</f>
        <v/>
      </c>
      <c r="J51">
        <f>I51*(1+IF($A51="AEO",'Growth Rates'!J103,'Growth Rates'!J103*J$5))</f>
        <v/>
      </c>
      <c r="K51">
        <f>J51*(1+IF($A51="AEO",'Growth Rates'!K103,'Growth Rates'!K103*K$5))</f>
        <v/>
      </c>
      <c r="L51">
        <f>K51*(1+IF($A51="AEO",'Growth Rates'!L103,'Growth Rates'!L103*L$5))</f>
        <v/>
      </c>
      <c r="M51">
        <f>L51*(1+IF($A51="AEO",'Growth Rates'!M103,'Growth Rates'!M103*M$5))</f>
        <v/>
      </c>
      <c r="N51">
        <f>M51*(1+IF($A51="AEO",'Growth Rates'!N103,'Growth Rates'!N103*N$5))</f>
        <v/>
      </c>
      <c r="O51">
        <f>N51*(1+IF($A51="AEO",'Growth Rates'!O103,'Growth Rates'!O103*O$5))</f>
        <v/>
      </c>
      <c r="P51">
        <f>O51*(1+IF($A51="AEO",'Growth Rates'!P103,'Growth Rates'!P103*P$5))</f>
        <v/>
      </c>
      <c r="Q51">
        <f>P51*(1+IF($A51="AEO",'Growth Rates'!Q103,'Growth Rates'!Q103*Q$5))</f>
        <v/>
      </c>
      <c r="R51">
        <f>Q51*(1+IF($A51="AEO",'Growth Rates'!R103,'Growth Rates'!R103*R$5))</f>
        <v/>
      </c>
      <c r="S51">
        <f>R51*(1+IF($A51="AEO",'Growth Rates'!S103,'Growth Rates'!S103*S$5))</f>
        <v/>
      </c>
      <c r="T51">
        <f>S51*(1+IF($A51="AEO",'Growth Rates'!T103,'Growth Rates'!T103*T$5))</f>
        <v/>
      </c>
      <c r="U51">
        <f>T51*(1+IF($A51="AEO",'Growth Rates'!U103,'Growth Rates'!U103*U$5))</f>
        <v/>
      </c>
      <c r="V51">
        <f>U51*(1+IF($A51="AEO",'Growth Rates'!V103,'Growth Rates'!V103*V$5))</f>
        <v/>
      </c>
      <c r="W51">
        <f>V51*(1+IF($A51="AEO",'Growth Rates'!W103,'Growth Rates'!W103*W$5))</f>
        <v/>
      </c>
      <c r="X51">
        <f>W51*(1+IF($A51="AEO",'Growth Rates'!X103,'Growth Rates'!X103*X$5))</f>
        <v/>
      </c>
      <c r="Y51">
        <f>X51*(1+IF($A51="AEO",'Growth Rates'!Y103,'Growth Rates'!Y103*Y$5))</f>
        <v/>
      </c>
      <c r="Z51">
        <f>Y51*(1+IF($A51="AEO",'Growth Rates'!Z103,'Growth Rates'!Z103*Z$5))</f>
        <v/>
      </c>
      <c r="AA51">
        <f>Z51*(1+IF($A51="AEO",'Growth Rates'!AA103,'Growth Rates'!AA103*AA$5))</f>
        <v/>
      </c>
      <c r="AB51">
        <f>AA51*(1+IF($A51="AEO",'Growth Rates'!AB103,'Growth Rates'!AB103*AB$5))</f>
        <v/>
      </c>
      <c r="AC51">
        <f>AB51*(1+IF($A51="AEO",'Growth Rates'!AC103,'Growth Rates'!AC103*AC$5))</f>
        <v/>
      </c>
    </row>
    <row r="52">
      <c r="A52" t="inlineStr"/>
      <c r="B52" t="inlineStr">
        <is>
          <t>ISIC 68</t>
        </is>
      </c>
      <c r="C52">
        <f>'Data from BVAbIC'!AS2</f>
        <v/>
      </c>
      <c r="D52">
        <f>C52*(1+IF($A52="AEO",'Growth Rates'!D104,'Growth Rates'!D104*D$5))</f>
        <v/>
      </c>
      <c r="E52">
        <f>D52*(1+IF($A52="AEO",'Growth Rates'!E104,'Growth Rates'!E104*E$5))</f>
        <v/>
      </c>
      <c r="F52">
        <f>E52*(1+IF($A52="AEO",'Growth Rates'!F104,'Growth Rates'!F104*F$5))</f>
        <v/>
      </c>
      <c r="G52">
        <f>F52*(1+IF($A52="AEO",'Growth Rates'!G104,'Growth Rates'!G104*G$5))</f>
        <v/>
      </c>
      <c r="H52">
        <f>G52*(1+IF($A52="AEO",'Growth Rates'!H104,'Growth Rates'!H104*H$5))</f>
        <v/>
      </c>
      <c r="I52">
        <f>H52*(1+IF($A52="AEO",'Growth Rates'!I104,'Growth Rates'!I104*I$5))</f>
        <v/>
      </c>
      <c r="J52">
        <f>I52*(1+IF($A52="AEO",'Growth Rates'!J104,'Growth Rates'!J104*J$5))</f>
        <v/>
      </c>
      <c r="K52">
        <f>J52*(1+IF($A52="AEO",'Growth Rates'!K104,'Growth Rates'!K104*K$5))</f>
        <v/>
      </c>
      <c r="L52">
        <f>K52*(1+IF($A52="AEO",'Growth Rates'!L104,'Growth Rates'!L104*L$5))</f>
        <v/>
      </c>
      <c r="M52">
        <f>L52*(1+IF($A52="AEO",'Growth Rates'!M104,'Growth Rates'!M104*M$5))</f>
        <v/>
      </c>
      <c r="N52">
        <f>M52*(1+IF($A52="AEO",'Growth Rates'!N104,'Growth Rates'!N104*N$5))</f>
        <v/>
      </c>
      <c r="O52">
        <f>N52*(1+IF($A52="AEO",'Growth Rates'!O104,'Growth Rates'!O104*O$5))</f>
        <v/>
      </c>
      <c r="P52">
        <f>O52*(1+IF($A52="AEO",'Growth Rates'!P104,'Growth Rates'!P104*P$5))</f>
        <v/>
      </c>
      <c r="Q52">
        <f>P52*(1+IF($A52="AEO",'Growth Rates'!Q104,'Growth Rates'!Q104*Q$5))</f>
        <v/>
      </c>
      <c r="R52">
        <f>Q52*(1+IF($A52="AEO",'Growth Rates'!R104,'Growth Rates'!R104*R$5))</f>
        <v/>
      </c>
      <c r="S52">
        <f>R52*(1+IF($A52="AEO",'Growth Rates'!S104,'Growth Rates'!S104*S$5))</f>
        <v/>
      </c>
      <c r="T52">
        <f>S52*(1+IF($A52="AEO",'Growth Rates'!T104,'Growth Rates'!T104*T$5))</f>
        <v/>
      </c>
      <c r="U52">
        <f>T52*(1+IF($A52="AEO",'Growth Rates'!U104,'Growth Rates'!U104*U$5))</f>
        <v/>
      </c>
      <c r="V52">
        <f>U52*(1+IF($A52="AEO",'Growth Rates'!V104,'Growth Rates'!V104*V$5))</f>
        <v/>
      </c>
      <c r="W52">
        <f>V52*(1+IF($A52="AEO",'Growth Rates'!W104,'Growth Rates'!W104*W$5))</f>
        <v/>
      </c>
      <c r="X52">
        <f>W52*(1+IF($A52="AEO",'Growth Rates'!X104,'Growth Rates'!X104*X$5))</f>
        <v/>
      </c>
      <c r="Y52">
        <f>X52*(1+IF($A52="AEO",'Growth Rates'!Y104,'Growth Rates'!Y104*Y$5))</f>
        <v/>
      </c>
      <c r="Z52">
        <f>Y52*(1+IF($A52="AEO",'Growth Rates'!Z104,'Growth Rates'!Z104*Z$5))</f>
        <v/>
      </c>
      <c r="AA52">
        <f>Z52*(1+IF($A52="AEO",'Growth Rates'!AA104,'Growth Rates'!AA104*AA$5))</f>
        <v/>
      </c>
      <c r="AB52">
        <f>AA52*(1+IF($A52="AEO",'Growth Rates'!AB104,'Growth Rates'!AB104*AB$5))</f>
        <v/>
      </c>
      <c r="AC52">
        <f>AB52*(1+IF($A52="AEO",'Growth Rates'!AC104,'Growth Rates'!AC104*AC$5))</f>
        <v/>
      </c>
    </row>
    <row r="53">
      <c r="A53" t="inlineStr"/>
      <c r="B53" t="inlineStr">
        <is>
          <t>ISIC 69T75</t>
        </is>
      </c>
      <c r="C53">
        <f>'Data from BVAbIC'!AT2</f>
        <v/>
      </c>
      <c r="D53">
        <f>C53*(1+IF($A53="AEO",'Growth Rates'!D105,'Growth Rates'!D105*D$5))</f>
        <v/>
      </c>
      <c r="E53">
        <f>D53*(1+IF($A53="AEO",'Growth Rates'!E105,'Growth Rates'!E105*E$5))</f>
        <v/>
      </c>
      <c r="F53">
        <f>E53*(1+IF($A53="AEO",'Growth Rates'!F105,'Growth Rates'!F105*F$5))</f>
        <v/>
      </c>
      <c r="G53">
        <f>F53*(1+IF($A53="AEO",'Growth Rates'!G105,'Growth Rates'!G105*G$5))</f>
        <v/>
      </c>
      <c r="H53">
        <f>G53*(1+IF($A53="AEO",'Growth Rates'!H105,'Growth Rates'!H105*H$5))</f>
        <v/>
      </c>
      <c r="I53">
        <f>H53*(1+IF($A53="AEO",'Growth Rates'!I105,'Growth Rates'!I105*I$5))</f>
        <v/>
      </c>
      <c r="J53">
        <f>I53*(1+IF($A53="AEO",'Growth Rates'!J105,'Growth Rates'!J105*J$5))</f>
        <v/>
      </c>
      <c r="K53">
        <f>J53*(1+IF($A53="AEO",'Growth Rates'!K105,'Growth Rates'!K105*K$5))</f>
        <v/>
      </c>
      <c r="L53">
        <f>K53*(1+IF($A53="AEO",'Growth Rates'!L105,'Growth Rates'!L105*L$5))</f>
        <v/>
      </c>
      <c r="M53">
        <f>L53*(1+IF($A53="AEO",'Growth Rates'!M105,'Growth Rates'!M105*M$5))</f>
        <v/>
      </c>
      <c r="N53">
        <f>M53*(1+IF($A53="AEO",'Growth Rates'!N105,'Growth Rates'!N105*N$5))</f>
        <v/>
      </c>
      <c r="O53">
        <f>N53*(1+IF($A53="AEO",'Growth Rates'!O105,'Growth Rates'!O105*O$5))</f>
        <v/>
      </c>
      <c r="P53">
        <f>O53*(1+IF($A53="AEO",'Growth Rates'!P105,'Growth Rates'!P105*P$5))</f>
        <v/>
      </c>
      <c r="Q53">
        <f>P53*(1+IF($A53="AEO",'Growth Rates'!Q105,'Growth Rates'!Q105*Q$5))</f>
        <v/>
      </c>
      <c r="R53">
        <f>Q53*(1+IF($A53="AEO",'Growth Rates'!R105,'Growth Rates'!R105*R$5))</f>
        <v/>
      </c>
      <c r="S53">
        <f>R53*(1+IF($A53="AEO",'Growth Rates'!S105,'Growth Rates'!S105*S$5))</f>
        <v/>
      </c>
      <c r="T53">
        <f>S53*(1+IF($A53="AEO",'Growth Rates'!T105,'Growth Rates'!T105*T$5))</f>
        <v/>
      </c>
      <c r="U53">
        <f>T53*(1+IF($A53="AEO",'Growth Rates'!U105,'Growth Rates'!U105*U$5))</f>
        <v/>
      </c>
      <c r="V53">
        <f>U53*(1+IF($A53="AEO",'Growth Rates'!V105,'Growth Rates'!V105*V$5))</f>
        <v/>
      </c>
      <c r="W53">
        <f>V53*(1+IF($A53="AEO",'Growth Rates'!W105,'Growth Rates'!W105*W$5))</f>
        <v/>
      </c>
      <c r="X53">
        <f>W53*(1+IF($A53="AEO",'Growth Rates'!X105,'Growth Rates'!X105*X$5))</f>
        <v/>
      </c>
      <c r="Y53">
        <f>X53*(1+IF($A53="AEO",'Growth Rates'!Y105,'Growth Rates'!Y105*Y$5))</f>
        <v/>
      </c>
      <c r="Z53">
        <f>Y53*(1+IF($A53="AEO",'Growth Rates'!Z105,'Growth Rates'!Z105*Z$5))</f>
        <v/>
      </c>
      <c r="AA53">
        <f>Z53*(1+IF($A53="AEO",'Growth Rates'!AA105,'Growth Rates'!AA105*AA$5))</f>
        <v/>
      </c>
      <c r="AB53">
        <f>AA53*(1+IF($A53="AEO",'Growth Rates'!AB105,'Growth Rates'!AB105*AB$5))</f>
        <v/>
      </c>
      <c r="AC53">
        <f>AB53*(1+IF($A53="AEO",'Growth Rates'!AC105,'Growth Rates'!AC105*AC$5))</f>
        <v/>
      </c>
    </row>
    <row r="54">
      <c r="A54" t="inlineStr"/>
      <c r="B54" t="inlineStr">
        <is>
          <t>ISIC 77T82</t>
        </is>
      </c>
      <c r="C54">
        <f>'Data from BVAbIC'!AU2</f>
        <v/>
      </c>
      <c r="D54">
        <f>C54*(1+IF($A54="AEO",'Growth Rates'!D106,'Growth Rates'!D106*D$5))</f>
        <v/>
      </c>
      <c r="E54">
        <f>D54*(1+IF($A54="AEO",'Growth Rates'!E106,'Growth Rates'!E106*E$5))</f>
        <v/>
      </c>
      <c r="F54">
        <f>E54*(1+IF($A54="AEO",'Growth Rates'!F106,'Growth Rates'!F106*F$5))</f>
        <v/>
      </c>
      <c r="G54">
        <f>F54*(1+IF($A54="AEO",'Growth Rates'!G106,'Growth Rates'!G106*G$5))</f>
        <v/>
      </c>
      <c r="H54">
        <f>G54*(1+IF($A54="AEO",'Growth Rates'!H106,'Growth Rates'!H106*H$5))</f>
        <v/>
      </c>
      <c r="I54">
        <f>H54*(1+IF($A54="AEO",'Growth Rates'!I106,'Growth Rates'!I106*I$5))</f>
        <v/>
      </c>
      <c r="J54">
        <f>I54*(1+IF($A54="AEO",'Growth Rates'!J106,'Growth Rates'!J106*J$5))</f>
        <v/>
      </c>
      <c r="K54">
        <f>J54*(1+IF($A54="AEO",'Growth Rates'!K106,'Growth Rates'!K106*K$5))</f>
        <v/>
      </c>
      <c r="L54">
        <f>K54*(1+IF($A54="AEO",'Growth Rates'!L106,'Growth Rates'!L106*L$5))</f>
        <v/>
      </c>
      <c r="M54">
        <f>L54*(1+IF($A54="AEO",'Growth Rates'!M106,'Growth Rates'!M106*M$5))</f>
        <v/>
      </c>
      <c r="N54">
        <f>M54*(1+IF($A54="AEO",'Growth Rates'!N106,'Growth Rates'!N106*N$5))</f>
        <v/>
      </c>
      <c r="O54">
        <f>N54*(1+IF($A54="AEO",'Growth Rates'!O106,'Growth Rates'!O106*O$5))</f>
        <v/>
      </c>
      <c r="P54">
        <f>O54*(1+IF($A54="AEO",'Growth Rates'!P106,'Growth Rates'!P106*P$5))</f>
        <v/>
      </c>
      <c r="Q54">
        <f>P54*(1+IF($A54="AEO",'Growth Rates'!Q106,'Growth Rates'!Q106*Q$5))</f>
        <v/>
      </c>
      <c r="R54">
        <f>Q54*(1+IF($A54="AEO",'Growth Rates'!R106,'Growth Rates'!R106*R$5))</f>
        <v/>
      </c>
      <c r="S54">
        <f>R54*(1+IF($A54="AEO",'Growth Rates'!S106,'Growth Rates'!S106*S$5))</f>
        <v/>
      </c>
      <c r="T54">
        <f>S54*(1+IF($A54="AEO",'Growth Rates'!T106,'Growth Rates'!T106*T$5))</f>
        <v/>
      </c>
      <c r="U54">
        <f>T54*(1+IF($A54="AEO",'Growth Rates'!U106,'Growth Rates'!U106*U$5))</f>
        <v/>
      </c>
      <c r="V54">
        <f>U54*(1+IF($A54="AEO",'Growth Rates'!V106,'Growth Rates'!V106*V$5))</f>
        <v/>
      </c>
      <c r="W54">
        <f>V54*(1+IF($A54="AEO",'Growth Rates'!W106,'Growth Rates'!W106*W$5))</f>
        <v/>
      </c>
      <c r="X54">
        <f>W54*(1+IF($A54="AEO",'Growth Rates'!X106,'Growth Rates'!X106*X$5))</f>
        <v/>
      </c>
      <c r="Y54">
        <f>X54*(1+IF($A54="AEO",'Growth Rates'!Y106,'Growth Rates'!Y106*Y$5))</f>
        <v/>
      </c>
      <c r="Z54">
        <f>Y54*(1+IF($A54="AEO",'Growth Rates'!Z106,'Growth Rates'!Z106*Z$5))</f>
        <v/>
      </c>
      <c r="AA54">
        <f>Z54*(1+IF($A54="AEO",'Growth Rates'!AA106,'Growth Rates'!AA106*AA$5))</f>
        <v/>
      </c>
      <c r="AB54">
        <f>AA54*(1+IF($A54="AEO",'Growth Rates'!AB106,'Growth Rates'!AB106*AB$5))</f>
        <v/>
      </c>
      <c r="AC54">
        <f>AB54*(1+IF($A54="AEO",'Growth Rates'!AC106,'Growth Rates'!AC106*AC$5))</f>
        <v/>
      </c>
    </row>
    <row r="55">
      <c r="A55" t="inlineStr"/>
      <c r="B55" t="inlineStr">
        <is>
          <t>ISIC 84</t>
        </is>
      </c>
      <c r="C55">
        <f>'Data from BVAbIC'!AV2</f>
        <v/>
      </c>
      <c r="D55">
        <f>C55*(1+IF($A55="AEO",'Growth Rates'!D107,'Growth Rates'!D107*D$5))</f>
        <v/>
      </c>
      <c r="E55">
        <f>D55*(1+IF($A55="AEO",'Growth Rates'!E107,'Growth Rates'!E107*E$5))</f>
        <v/>
      </c>
      <c r="F55">
        <f>E55*(1+IF($A55="AEO",'Growth Rates'!F107,'Growth Rates'!F107*F$5))</f>
        <v/>
      </c>
      <c r="G55">
        <f>F55*(1+IF($A55="AEO",'Growth Rates'!G107,'Growth Rates'!G107*G$5))</f>
        <v/>
      </c>
      <c r="H55">
        <f>G55*(1+IF($A55="AEO",'Growth Rates'!H107,'Growth Rates'!H107*H$5))</f>
        <v/>
      </c>
      <c r="I55">
        <f>H55*(1+IF($A55="AEO",'Growth Rates'!I107,'Growth Rates'!I107*I$5))</f>
        <v/>
      </c>
      <c r="J55">
        <f>I55*(1+IF($A55="AEO",'Growth Rates'!J107,'Growth Rates'!J107*J$5))</f>
        <v/>
      </c>
      <c r="K55">
        <f>J55*(1+IF($A55="AEO",'Growth Rates'!K107,'Growth Rates'!K107*K$5))</f>
        <v/>
      </c>
      <c r="L55">
        <f>K55*(1+IF($A55="AEO",'Growth Rates'!L107,'Growth Rates'!L107*L$5))</f>
        <v/>
      </c>
      <c r="M55">
        <f>L55*(1+IF($A55="AEO",'Growth Rates'!M107,'Growth Rates'!M107*M$5))</f>
        <v/>
      </c>
      <c r="N55">
        <f>M55*(1+IF($A55="AEO",'Growth Rates'!N107,'Growth Rates'!N107*N$5))</f>
        <v/>
      </c>
      <c r="O55">
        <f>N55*(1+IF($A55="AEO",'Growth Rates'!O107,'Growth Rates'!O107*O$5))</f>
        <v/>
      </c>
      <c r="P55">
        <f>O55*(1+IF($A55="AEO",'Growth Rates'!P107,'Growth Rates'!P107*P$5))</f>
        <v/>
      </c>
      <c r="Q55">
        <f>P55*(1+IF($A55="AEO",'Growth Rates'!Q107,'Growth Rates'!Q107*Q$5))</f>
        <v/>
      </c>
      <c r="R55">
        <f>Q55*(1+IF($A55="AEO",'Growth Rates'!R107,'Growth Rates'!R107*R$5))</f>
        <v/>
      </c>
      <c r="S55">
        <f>R55*(1+IF($A55="AEO",'Growth Rates'!S107,'Growth Rates'!S107*S$5))</f>
        <v/>
      </c>
      <c r="T55">
        <f>S55*(1+IF($A55="AEO",'Growth Rates'!T107,'Growth Rates'!T107*T$5))</f>
        <v/>
      </c>
      <c r="U55">
        <f>T55*(1+IF($A55="AEO",'Growth Rates'!U107,'Growth Rates'!U107*U$5))</f>
        <v/>
      </c>
      <c r="V55">
        <f>U55*(1+IF($A55="AEO",'Growth Rates'!V107,'Growth Rates'!V107*V$5))</f>
        <v/>
      </c>
      <c r="W55">
        <f>V55*(1+IF($A55="AEO",'Growth Rates'!W107,'Growth Rates'!W107*W$5))</f>
        <v/>
      </c>
      <c r="X55">
        <f>W55*(1+IF($A55="AEO",'Growth Rates'!X107,'Growth Rates'!X107*X$5))</f>
        <v/>
      </c>
      <c r="Y55">
        <f>X55*(1+IF($A55="AEO",'Growth Rates'!Y107,'Growth Rates'!Y107*Y$5))</f>
        <v/>
      </c>
      <c r="Z55">
        <f>Y55*(1+IF($A55="AEO",'Growth Rates'!Z107,'Growth Rates'!Z107*Z$5))</f>
        <v/>
      </c>
      <c r="AA55">
        <f>Z55*(1+IF($A55="AEO",'Growth Rates'!AA107,'Growth Rates'!AA107*AA$5))</f>
        <v/>
      </c>
      <c r="AB55">
        <f>AA55*(1+IF($A55="AEO",'Growth Rates'!AB107,'Growth Rates'!AB107*AB$5))</f>
        <v/>
      </c>
      <c r="AC55">
        <f>AB55*(1+IF($A55="AEO",'Growth Rates'!AC107,'Growth Rates'!AC107*AC$5))</f>
        <v/>
      </c>
    </row>
    <row r="56">
      <c r="A56" t="inlineStr"/>
      <c r="B56" t="inlineStr">
        <is>
          <t>ISIC 85</t>
        </is>
      </c>
      <c r="C56">
        <f>'Data from BVAbIC'!AW2</f>
        <v/>
      </c>
      <c r="D56">
        <f>C56*(1+IF($A56="AEO",'Growth Rates'!D108,'Growth Rates'!D108*D$5))</f>
        <v/>
      </c>
      <c r="E56">
        <f>D56*(1+IF($A56="AEO",'Growth Rates'!E108,'Growth Rates'!E108*E$5))</f>
        <v/>
      </c>
      <c r="F56">
        <f>E56*(1+IF($A56="AEO",'Growth Rates'!F108,'Growth Rates'!F108*F$5))</f>
        <v/>
      </c>
      <c r="G56">
        <f>F56*(1+IF($A56="AEO",'Growth Rates'!G108,'Growth Rates'!G108*G$5))</f>
        <v/>
      </c>
      <c r="H56">
        <f>G56*(1+IF($A56="AEO",'Growth Rates'!H108,'Growth Rates'!H108*H$5))</f>
        <v/>
      </c>
      <c r="I56">
        <f>H56*(1+IF($A56="AEO",'Growth Rates'!I108,'Growth Rates'!I108*I$5))</f>
        <v/>
      </c>
      <c r="J56">
        <f>I56*(1+IF($A56="AEO",'Growth Rates'!J108,'Growth Rates'!J108*J$5))</f>
        <v/>
      </c>
      <c r="K56">
        <f>J56*(1+IF($A56="AEO",'Growth Rates'!K108,'Growth Rates'!K108*K$5))</f>
        <v/>
      </c>
      <c r="L56">
        <f>K56*(1+IF($A56="AEO",'Growth Rates'!L108,'Growth Rates'!L108*L$5))</f>
        <v/>
      </c>
      <c r="M56">
        <f>L56*(1+IF($A56="AEO",'Growth Rates'!M108,'Growth Rates'!M108*M$5))</f>
        <v/>
      </c>
      <c r="N56">
        <f>M56*(1+IF($A56="AEO",'Growth Rates'!N108,'Growth Rates'!N108*N$5))</f>
        <v/>
      </c>
      <c r="O56">
        <f>N56*(1+IF($A56="AEO",'Growth Rates'!O108,'Growth Rates'!O108*O$5))</f>
        <v/>
      </c>
      <c r="P56">
        <f>O56*(1+IF($A56="AEO",'Growth Rates'!P108,'Growth Rates'!P108*P$5))</f>
        <v/>
      </c>
      <c r="Q56">
        <f>P56*(1+IF($A56="AEO",'Growth Rates'!Q108,'Growth Rates'!Q108*Q$5))</f>
        <v/>
      </c>
      <c r="R56">
        <f>Q56*(1+IF($A56="AEO",'Growth Rates'!R108,'Growth Rates'!R108*R$5))</f>
        <v/>
      </c>
      <c r="S56">
        <f>R56*(1+IF($A56="AEO",'Growth Rates'!S108,'Growth Rates'!S108*S$5))</f>
        <v/>
      </c>
      <c r="T56">
        <f>S56*(1+IF($A56="AEO",'Growth Rates'!T108,'Growth Rates'!T108*T$5))</f>
        <v/>
      </c>
      <c r="U56">
        <f>T56*(1+IF($A56="AEO",'Growth Rates'!U108,'Growth Rates'!U108*U$5))</f>
        <v/>
      </c>
      <c r="V56">
        <f>U56*(1+IF($A56="AEO",'Growth Rates'!V108,'Growth Rates'!V108*V$5))</f>
        <v/>
      </c>
      <c r="W56">
        <f>V56*(1+IF($A56="AEO",'Growth Rates'!W108,'Growth Rates'!W108*W$5))</f>
        <v/>
      </c>
      <c r="X56">
        <f>W56*(1+IF($A56="AEO",'Growth Rates'!X108,'Growth Rates'!X108*X$5))</f>
        <v/>
      </c>
      <c r="Y56">
        <f>X56*(1+IF($A56="AEO",'Growth Rates'!Y108,'Growth Rates'!Y108*Y$5))</f>
        <v/>
      </c>
      <c r="Z56">
        <f>Y56*(1+IF($A56="AEO",'Growth Rates'!Z108,'Growth Rates'!Z108*Z$5))</f>
        <v/>
      </c>
      <c r="AA56">
        <f>Z56*(1+IF($A56="AEO",'Growth Rates'!AA108,'Growth Rates'!AA108*AA$5))</f>
        <v/>
      </c>
      <c r="AB56">
        <f>AA56*(1+IF($A56="AEO",'Growth Rates'!AB108,'Growth Rates'!AB108*AB$5))</f>
        <v/>
      </c>
      <c r="AC56">
        <f>AB56*(1+IF($A56="AEO",'Growth Rates'!AC108,'Growth Rates'!AC108*AC$5))</f>
        <v/>
      </c>
    </row>
    <row r="57">
      <c r="A57" t="inlineStr"/>
      <c r="B57" t="inlineStr">
        <is>
          <t>ISIC 86T88</t>
        </is>
      </c>
      <c r="C57">
        <f>'Data from BVAbIC'!AX2</f>
        <v/>
      </c>
      <c r="D57">
        <f>C57*(1+IF($A57="AEO",'Growth Rates'!D109,'Growth Rates'!D109*D$5))</f>
        <v/>
      </c>
      <c r="E57">
        <f>D57*(1+IF($A57="AEO",'Growth Rates'!E109,'Growth Rates'!E109*E$5))</f>
        <v/>
      </c>
      <c r="F57">
        <f>E57*(1+IF($A57="AEO",'Growth Rates'!F109,'Growth Rates'!F109*F$5))</f>
        <v/>
      </c>
      <c r="G57">
        <f>F57*(1+IF($A57="AEO",'Growth Rates'!G109,'Growth Rates'!G109*G$5))</f>
        <v/>
      </c>
      <c r="H57">
        <f>G57*(1+IF($A57="AEO",'Growth Rates'!H109,'Growth Rates'!H109*H$5))</f>
        <v/>
      </c>
      <c r="I57">
        <f>H57*(1+IF($A57="AEO",'Growth Rates'!I109,'Growth Rates'!I109*I$5))</f>
        <v/>
      </c>
      <c r="J57">
        <f>I57*(1+IF($A57="AEO",'Growth Rates'!J109,'Growth Rates'!J109*J$5))</f>
        <v/>
      </c>
      <c r="K57">
        <f>J57*(1+IF($A57="AEO",'Growth Rates'!K109,'Growth Rates'!K109*K$5))</f>
        <v/>
      </c>
      <c r="L57">
        <f>K57*(1+IF($A57="AEO",'Growth Rates'!L109,'Growth Rates'!L109*L$5))</f>
        <v/>
      </c>
      <c r="M57">
        <f>L57*(1+IF($A57="AEO",'Growth Rates'!M109,'Growth Rates'!M109*M$5))</f>
        <v/>
      </c>
      <c r="N57">
        <f>M57*(1+IF($A57="AEO",'Growth Rates'!N109,'Growth Rates'!N109*N$5))</f>
        <v/>
      </c>
      <c r="O57">
        <f>N57*(1+IF($A57="AEO",'Growth Rates'!O109,'Growth Rates'!O109*O$5))</f>
        <v/>
      </c>
      <c r="P57">
        <f>O57*(1+IF($A57="AEO",'Growth Rates'!P109,'Growth Rates'!P109*P$5))</f>
        <v/>
      </c>
      <c r="Q57">
        <f>P57*(1+IF($A57="AEO",'Growth Rates'!Q109,'Growth Rates'!Q109*Q$5))</f>
        <v/>
      </c>
      <c r="R57">
        <f>Q57*(1+IF($A57="AEO",'Growth Rates'!R109,'Growth Rates'!R109*R$5))</f>
        <v/>
      </c>
      <c r="S57">
        <f>R57*(1+IF($A57="AEO",'Growth Rates'!S109,'Growth Rates'!S109*S$5))</f>
        <v/>
      </c>
      <c r="T57">
        <f>S57*(1+IF($A57="AEO",'Growth Rates'!T109,'Growth Rates'!T109*T$5))</f>
        <v/>
      </c>
      <c r="U57">
        <f>T57*(1+IF($A57="AEO",'Growth Rates'!U109,'Growth Rates'!U109*U$5))</f>
        <v/>
      </c>
      <c r="V57">
        <f>U57*(1+IF($A57="AEO",'Growth Rates'!V109,'Growth Rates'!V109*V$5))</f>
        <v/>
      </c>
      <c r="W57">
        <f>V57*(1+IF($A57="AEO",'Growth Rates'!W109,'Growth Rates'!W109*W$5))</f>
        <v/>
      </c>
      <c r="X57">
        <f>W57*(1+IF($A57="AEO",'Growth Rates'!X109,'Growth Rates'!X109*X$5))</f>
        <v/>
      </c>
      <c r="Y57">
        <f>X57*(1+IF($A57="AEO",'Growth Rates'!Y109,'Growth Rates'!Y109*Y$5))</f>
        <v/>
      </c>
      <c r="Z57">
        <f>Y57*(1+IF($A57="AEO",'Growth Rates'!Z109,'Growth Rates'!Z109*Z$5))</f>
        <v/>
      </c>
      <c r="AA57">
        <f>Z57*(1+IF($A57="AEO",'Growth Rates'!AA109,'Growth Rates'!AA109*AA$5))</f>
        <v/>
      </c>
      <c r="AB57">
        <f>AA57*(1+IF($A57="AEO",'Growth Rates'!AB109,'Growth Rates'!AB109*AB$5))</f>
        <v/>
      </c>
      <c r="AC57">
        <f>AB57*(1+IF($A57="AEO",'Growth Rates'!AC109,'Growth Rates'!AC109*AC$5))</f>
        <v/>
      </c>
    </row>
    <row r="58">
      <c r="A58" t="inlineStr"/>
      <c r="B58" t="inlineStr">
        <is>
          <t>ISIC 90T93</t>
        </is>
      </c>
      <c r="C58">
        <f>'Data from BVAbIC'!AY2</f>
        <v/>
      </c>
      <c r="D58">
        <f>C58*(1+IF($A58="AEO",'Growth Rates'!D110,'Growth Rates'!D110*D$5))</f>
        <v/>
      </c>
      <c r="E58">
        <f>D58*(1+IF($A58="AEO",'Growth Rates'!E110,'Growth Rates'!E110*E$5))</f>
        <v/>
      </c>
      <c r="F58">
        <f>E58*(1+IF($A58="AEO",'Growth Rates'!F110,'Growth Rates'!F110*F$5))</f>
        <v/>
      </c>
      <c r="G58">
        <f>F58*(1+IF($A58="AEO",'Growth Rates'!G110,'Growth Rates'!G110*G$5))</f>
        <v/>
      </c>
      <c r="H58">
        <f>G58*(1+IF($A58="AEO",'Growth Rates'!H110,'Growth Rates'!H110*H$5))</f>
        <v/>
      </c>
      <c r="I58">
        <f>H58*(1+IF($A58="AEO",'Growth Rates'!I110,'Growth Rates'!I110*I$5))</f>
        <v/>
      </c>
      <c r="J58">
        <f>I58*(1+IF($A58="AEO",'Growth Rates'!J110,'Growth Rates'!J110*J$5))</f>
        <v/>
      </c>
      <c r="K58">
        <f>J58*(1+IF($A58="AEO",'Growth Rates'!K110,'Growth Rates'!K110*K$5))</f>
        <v/>
      </c>
      <c r="L58">
        <f>K58*(1+IF($A58="AEO",'Growth Rates'!L110,'Growth Rates'!L110*L$5))</f>
        <v/>
      </c>
      <c r="M58">
        <f>L58*(1+IF($A58="AEO",'Growth Rates'!M110,'Growth Rates'!M110*M$5))</f>
        <v/>
      </c>
      <c r="N58">
        <f>M58*(1+IF($A58="AEO",'Growth Rates'!N110,'Growth Rates'!N110*N$5))</f>
        <v/>
      </c>
      <c r="O58">
        <f>N58*(1+IF($A58="AEO",'Growth Rates'!O110,'Growth Rates'!O110*O$5))</f>
        <v/>
      </c>
      <c r="P58">
        <f>O58*(1+IF($A58="AEO",'Growth Rates'!P110,'Growth Rates'!P110*P$5))</f>
        <v/>
      </c>
      <c r="Q58">
        <f>P58*(1+IF($A58="AEO",'Growth Rates'!Q110,'Growth Rates'!Q110*Q$5))</f>
        <v/>
      </c>
      <c r="R58">
        <f>Q58*(1+IF($A58="AEO",'Growth Rates'!R110,'Growth Rates'!R110*R$5))</f>
        <v/>
      </c>
      <c r="S58">
        <f>R58*(1+IF($A58="AEO",'Growth Rates'!S110,'Growth Rates'!S110*S$5))</f>
        <v/>
      </c>
      <c r="T58">
        <f>S58*(1+IF($A58="AEO",'Growth Rates'!T110,'Growth Rates'!T110*T$5))</f>
        <v/>
      </c>
      <c r="U58">
        <f>T58*(1+IF($A58="AEO",'Growth Rates'!U110,'Growth Rates'!U110*U$5))</f>
        <v/>
      </c>
      <c r="V58">
        <f>U58*(1+IF($A58="AEO",'Growth Rates'!V110,'Growth Rates'!V110*V$5))</f>
        <v/>
      </c>
      <c r="W58">
        <f>V58*(1+IF($A58="AEO",'Growth Rates'!W110,'Growth Rates'!W110*W$5))</f>
        <v/>
      </c>
      <c r="X58">
        <f>W58*(1+IF($A58="AEO",'Growth Rates'!X110,'Growth Rates'!X110*X$5))</f>
        <v/>
      </c>
      <c r="Y58">
        <f>X58*(1+IF($A58="AEO",'Growth Rates'!Y110,'Growth Rates'!Y110*Y$5))</f>
        <v/>
      </c>
      <c r="Z58">
        <f>Y58*(1+IF($A58="AEO",'Growth Rates'!Z110,'Growth Rates'!Z110*Z$5))</f>
        <v/>
      </c>
      <c r="AA58">
        <f>Z58*(1+IF($A58="AEO",'Growth Rates'!AA110,'Growth Rates'!AA110*AA$5))</f>
        <v/>
      </c>
      <c r="AB58">
        <f>AA58*(1+IF($A58="AEO",'Growth Rates'!AB110,'Growth Rates'!AB110*AB$5))</f>
        <v/>
      </c>
      <c r="AC58">
        <f>AB58*(1+IF($A58="AEO",'Growth Rates'!AC110,'Growth Rates'!AC110*AC$5))</f>
        <v/>
      </c>
    </row>
    <row r="59">
      <c r="A59" t="inlineStr"/>
      <c r="B59" t="inlineStr">
        <is>
          <t>ISIC 94T96</t>
        </is>
      </c>
      <c r="C59">
        <f>'Data from BVAbIC'!AZ2</f>
        <v/>
      </c>
      <c r="D59">
        <f>C59*(1+IF($A59="AEO",'Growth Rates'!D111,'Growth Rates'!D111*D$5))</f>
        <v/>
      </c>
      <c r="E59">
        <f>D59*(1+IF($A59="AEO",'Growth Rates'!E111,'Growth Rates'!E111*E$5))</f>
        <v/>
      </c>
      <c r="F59">
        <f>E59*(1+IF($A59="AEO",'Growth Rates'!F111,'Growth Rates'!F111*F$5))</f>
        <v/>
      </c>
      <c r="G59">
        <f>F59*(1+IF($A59="AEO",'Growth Rates'!G111,'Growth Rates'!G111*G$5))</f>
        <v/>
      </c>
      <c r="H59">
        <f>G59*(1+IF($A59="AEO",'Growth Rates'!H111,'Growth Rates'!H111*H$5))</f>
        <v/>
      </c>
      <c r="I59">
        <f>H59*(1+IF($A59="AEO",'Growth Rates'!I111,'Growth Rates'!I111*I$5))</f>
        <v/>
      </c>
      <c r="J59">
        <f>I59*(1+IF($A59="AEO",'Growth Rates'!J111,'Growth Rates'!J111*J$5))</f>
        <v/>
      </c>
      <c r="K59">
        <f>J59*(1+IF($A59="AEO",'Growth Rates'!K111,'Growth Rates'!K111*K$5))</f>
        <v/>
      </c>
      <c r="L59">
        <f>K59*(1+IF($A59="AEO",'Growth Rates'!L111,'Growth Rates'!L111*L$5))</f>
        <v/>
      </c>
      <c r="M59">
        <f>L59*(1+IF($A59="AEO",'Growth Rates'!M111,'Growth Rates'!M111*M$5))</f>
        <v/>
      </c>
      <c r="N59">
        <f>M59*(1+IF($A59="AEO",'Growth Rates'!N111,'Growth Rates'!N111*N$5))</f>
        <v/>
      </c>
      <c r="O59">
        <f>N59*(1+IF($A59="AEO",'Growth Rates'!O111,'Growth Rates'!O111*O$5))</f>
        <v/>
      </c>
      <c r="P59">
        <f>O59*(1+IF($A59="AEO",'Growth Rates'!P111,'Growth Rates'!P111*P$5))</f>
        <v/>
      </c>
      <c r="Q59">
        <f>P59*(1+IF($A59="AEO",'Growth Rates'!Q111,'Growth Rates'!Q111*Q$5))</f>
        <v/>
      </c>
      <c r="R59">
        <f>Q59*(1+IF($A59="AEO",'Growth Rates'!R111,'Growth Rates'!R111*R$5))</f>
        <v/>
      </c>
      <c r="S59">
        <f>R59*(1+IF($A59="AEO",'Growth Rates'!S111,'Growth Rates'!S111*S$5))</f>
        <v/>
      </c>
      <c r="T59">
        <f>S59*(1+IF($A59="AEO",'Growth Rates'!T111,'Growth Rates'!T111*T$5))</f>
        <v/>
      </c>
      <c r="U59">
        <f>T59*(1+IF($A59="AEO",'Growth Rates'!U111,'Growth Rates'!U111*U$5))</f>
        <v/>
      </c>
      <c r="V59">
        <f>U59*(1+IF($A59="AEO",'Growth Rates'!V111,'Growth Rates'!V111*V$5))</f>
        <v/>
      </c>
      <c r="W59">
        <f>V59*(1+IF($A59="AEO",'Growth Rates'!W111,'Growth Rates'!W111*W$5))</f>
        <v/>
      </c>
      <c r="X59">
        <f>W59*(1+IF($A59="AEO",'Growth Rates'!X111,'Growth Rates'!X111*X$5))</f>
        <v/>
      </c>
      <c r="Y59">
        <f>X59*(1+IF($A59="AEO",'Growth Rates'!Y111,'Growth Rates'!Y111*Y$5))</f>
        <v/>
      </c>
      <c r="Z59">
        <f>Y59*(1+IF($A59="AEO",'Growth Rates'!Z111,'Growth Rates'!Z111*Z$5))</f>
        <v/>
      </c>
      <c r="AA59">
        <f>Z59*(1+IF($A59="AEO",'Growth Rates'!AA111,'Growth Rates'!AA111*AA$5))</f>
        <v/>
      </c>
      <c r="AB59">
        <f>AA59*(1+IF($A59="AEO",'Growth Rates'!AB111,'Growth Rates'!AB111*AB$5))</f>
        <v/>
      </c>
      <c r="AC59">
        <f>AB59*(1+IF($A59="AEO",'Growth Rates'!AC111,'Growth Rates'!AC111*AC$5))</f>
        <v/>
      </c>
    </row>
    <row r="60">
      <c r="A60" t="inlineStr"/>
      <c r="B60" t="inlineStr">
        <is>
          <t>ISIC 97T98</t>
        </is>
      </c>
      <c r="C60">
        <f>'Data from BVAbIC'!BA2</f>
        <v/>
      </c>
      <c r="D60">
        <f>C60*(1+IF($A60="AEO",'Growth Rates'!D112,'Growth Rates'!D112*D$5))</f>
        <v/>
      </c>
      <c r="E60">
        <f>D60*(1+IF($A60="AEO",'Growth Rates'!E112,'Growth Rates'!E112*E$5))</f>
        <v/>
      </c>
      <c r="F60">
        <f>E60*(1+IF($A60="AEO",'Growth Rates'!F112,'Growth Rates'!F112*F$5))</f>
        <v/>
      </c>
      <c r="G60">
        <f>F60*(1+IF($A60="AEO",'Growth Rates'!G112,'Growth Rates'!G112*G$5))</f>
        <v/>
      </c>
      <c r="H60">
        <f>G60*(1+IF($A60="AEO",'Growth Rates'!H112,'Growth Rates'!H112*H$5))</f>
        <v/>
      </c>
      <c r="I60">
        <f>H60*(1+IF($A60="AEO",'Growth Rates'!I112,'Growth Rates'!I112*I$5))</f>
        <v/>
      </c>
      <c r="J60">
        <f>I60*(1+IF($A60="AEO",'Growth Rates'!J112,'Growth Rates'!J112*J$5))</f>
        <v/>
      </c>
      <c r="K60">
        <f>J60*(1+IF($A60="AEO",'Growth Rates'!K112,'Growth Rates'!K112*K$5))</f>
        <v/>
      </c>
      <c r="L60">
        <f>K60*(1+IF($A60="AEO",'Growth Rates'!L112,'Growth Rates'!L112*L$5))</f>
        <v/>
      </c>
      <c r="M60">
        <f>L60*(1+IF($A60="AEO",'Growth Rates'!M112,'Growth Rates'!M112*M$5))</f>
        <v/>
      </c>
      <c r="N60">
        <f>M60*(1+IF($A60="AEO",'Growth Rates'!N112,'Growth Rates'!N112*N$5))</f>
        <v/>
      </c>
      <c r="O60">
        <f>N60*(1+IF($A60="AEO",'Growth Rates'!O112,'Growth Rates'!O112*O$5))</f>
        <v/>
      </c>
      <c r="P60">
        <f>O60*(1+IF($A60="AEO",'Growth Rates'!P112,'Growth Rates'!P112*P$5))</f>
        <v/>
      </c>
      <c r="Q60">
        <f>P60*(1+IF($A60="AEO",'Growth Rates'!Q112,'Growth Rates'!Q112*Q$5))</f>
        <v/>
      </c>
      <c r="R60">
        <f>Q60*(1+IF($A60="AEO",'Growth Rates'!R112,'Growth Rates'!R112*R$5))</f>
        <v/>
      </c>
      <c r="S60">
        <f>R60*(1+IF($A60="AEO",'Growth Rates'!S112,'Growth Rates'!S112*S$5))</f>
        <v/>
      </c>
      <c r="T60">
        <f>S60*(1+IF($A60="AEO",'Growth Rates'!T112,'Growth Rates'!T112*T$5))</f>
        <v/>
      </c>
      <c r="U60">
        <f>T60*(1+IF($A60="AEO",'Growth Rates'!U112,'Growth Rates'!U112*U$5))</f>
        <v/>
      </c>
      <c r="V60">
        <f>U60*(1+IF($A60="AEO",'Growth Rates'!V112,'Growth Rates'!V112*V$5))</f>
        <v/>
      </c>
      <c r="W60">
        <f>V60*(1+IF($A60="AEO",'Growth Rates'!W112,'Growth Rates'!W112*W$5))</f>
        <v/>
      </c>
      <c r="X60">
        <f>W60*(1+IF($A60="AEO",'Growth Rates'!X112,'Growth Rates'!X112*X$5))</f>
        <v/>
      </c>
      <c r="Y60">
        <f>X60*(1+IF($A60="AEO",'Growth Rates'!Y112,'Growth Rates'!Y112*Y$5))</f>
        <v/>
      </c>
      <c r="Z60">
        <f>Y60*(1+IF($A60="AEO",'Growth Rates'!Z112,'Growth Rates'!Z112*Z$5))</f>
        <v/>
      </c>
      <c r="AA60">
        <f>Z60*(1+IF($A60="AEO",'Growth Rates'!AA112,'Growth Rates'!AA112*AA$5))</f>
        <v/>
      </c>
      <c r="AB60">
        <f>AA60*(1+IF($A60="AEO",'Growth Rates'!AB112,'Growth Rates'!AB112*AB$5))</f>
        <v/>
      </c>
      <c r="AC60">
        <f>AB60*(1+IF($A60="AEO",'Growth Rates'!AC112,'Growth Rates'!AC112*AC$5))</f>
        <v/>
      </c>
    </row>
    <row r="63">
      <c r="A63" s="1" t="inlineStr">
        <is>
          <t>Scaled annual growth rates</t>
        </is>
      </c>
    </row>
    <row r="64">
      <c r="C64" s="1" t="n">
        <v>2024</v>
      </c>
      <c r="D64" s="1" t="n">
        <v>2025</v>
      </c>
      <c r="E64" s="1" t="n">
        <v>2026</v>
      </c>
      <c r="F64" s="1" t="n">
        <v>2027</v>
      </c>
      <c r="G64" s="1" t="n">
        <v>2028</v>
      </c>
      <c r="H64" s="1" t="n">
        <v>2029</v>
      </c>
      <c r="I64" s="1" t="n">
        <v>2030</v>
      </c>
      <c r="J64" s="1" t="n">
        <v>2031</v>
      </c>
      <c r="K64" s="1" t="n">
        <v>2032</v>
      </c>
      <c r="L64" s="1" t="n">
        <v>2033</v>
      </c>
      <c r="M64" s="1" t="n">
        <v>2034</v>
      </c>
      <c r="N64" s="1" t="n">
        <v>2035</v>
      </c>
      <c r="O64" s="1" t="n">
        <v>2036</v>
      </c>
      <c r="P64" s="1" t="n">
        <v>2037</v>
      </c>
      <c r="Q64" s="1" t="n">
        <v>2038</v>
      </c>
      <c r="R64" s="1" t="n">
        <v>2039</v>
      </c>
      <c r="S64" s="1" t="n">
        <v>2040</v>
      </c>
      <c r="T64" s="1" t="n">
        <v>2041</v>
      </c>
      <c r="U64" s="1" t="n">
        <v>2042</v>
      </c>
      <c r="V64" s="1" t="n">
        <v>2043</v>
      </c>
      <c r="W64" s="1" t="n">
        <v>2044</v>
      </c>
      <c r="X64" s="1" t="n">
        <v>2045</v>
      </c>
      <c r="Y64" s="1" t="n">
        <v>2046</v>
      </c>
      <c r="Z64" s="1" t="n">
        <v>2047</v>
      </c>
      <c r="AA64" s="1" t="n">
        <v>2048</v>
      </c>
      <c r="AB64" s="1" t="n">
        <v>2049</v>
      </c>
      <c r="AC64" s="1" t="n">
        <v>2050</v>
      </c>
    </row>
    <row r="65">
      <c r="B65" t="inlineStr">
        <is>
          <t>ISIC 01</t>
        </is>
      </c>
      <c r="C65" t="n">
        <v>0</v>
      </c>
      <c r="D65">
        <f>IF($A9="AEO",'Growth Rates'!D61,'Growth Rates'!D61*D$5)</f>
        <v/>
      </c>
      <c r="E65">
        <f>IF($A9="AEO",'Growth Rates'!E61,'Growth Rates'!E61*E$5)</f>
        <v/>
      </c>
      <c r="F65">
        <f>IF($A9="AEO",'Growth Rates'!F61,'Growth Rates'!F61*F$5)</f>
        <v/>
      </c>
      <c r="G65">
        <f>IF($A9="AEO",'Growth Rates'!G61,'Growth Rates'!G61*G$5)</f>
        <v/>
      </c>
      <c r="H65">
        <f>IF($A9="AEO",'Growth Rates'!H61,'Growth Rates'!H61*H$5)</f>
        <v/>
      </c>
      <c r="I65">
        <f>IF($A9="AEO",'Growth Rates'!I61,'Growth Rates'!I61*I$5)</f>
        <v/>
      </c>
      <c r="J65">
        <f>IF($A9="AEO",'Growth Rates'!J61,'Growth Rates'!J61*J$5)</f>
        <v/>
      </c>
      <c r="K65">
        <f>IF($A9="AEO",'Growth Rates'!K61,'Growth Rates'!K61*K$5)</f>
        <v/>
      </c>
      <c r="L65">
        <f>IF($A9="AEO",'Growth Rates'!L61,'Growth Rates'!L61*L$5)</f>
        <v/>
      </c>
      <c r="M65">
        <f>IF($A9="AEO",'Growth Rates'!M61,'Growth Rates'!M61*M$5)</f>
        <v/>
      </c>
      <c r="N65">
        <f>IF($A9="AEO",'Growth Rates'!N61,'Growth Rates'!N61*N$5)</f>
        <v/>
      </c>
      <c r="O65">
        <f>IF($A9="AEO",'Growth Rates'!O61,'Growth Rates'!O61*O$5)</f>
        <v/>
      </c>
      <c r="P65">
        <f>IF($A9="AEO",'Growth Rates'!P61,'Growth Rates'!P61*P$5)</f>
        <v/>
      </c>
      <c r="Q65">
        <f>IF($A9="AEO",'Growth Rates'!Q61,'Growth Rates'!Q61*Q$5)</f>
        <v/>
      </c>
      <c r="R65">
        <f>IF($A9="AEO",'Growth Rates'!R61,'Growth Rates'!R61*R$5)</f>
        <v/>
      </c>
      <c r="S65">
        <f>IF($A9="AEO",'Growth Rates'!S61,'Growth Rates'!S61*S$5)</f>
        <v/>
      </c>
      <c r="T65">
        <f>IF($A9="AEO",'Growth Rates'!T61,'Growth Rates'!T61*T$5)</f>
        <v/>
      </c>
      <c r="U65">
        <f>IF($A9="AEO",'Growth Rates'!U61,'Growth Rates'!U61*U$5)</f>
        <v/>
      </c>
      <c r="V65">
        <f>IF($A9="AEO",'Growth Rates'!V61,'Growth Rates'!V61*V$5)</f>
        <v/>
      </c>
      <c r="W65">
        <f>IF($A9="AEO",'Growth Rates'!W61,'Growth Rates'!W61*W$5)</f>
        <v/>
      </c>
      <c r="X65">
        <f>IF($A9="AEO",'Growth Rates'!X61,'Growth Rates'!X61*X$5)</f>
        <v/>
      </c>
      <c r="Y65">
        <f>IF($A9="AEO",'Growth Rates'!Y61,'Growth Rates'!Y61*Y$5)</f>
        <v/>
      </c>
      <c r="Z65">
        <f>IF($A9="AEO",'Growth Rates'!Z61,'Growth Rates'!Z61*Z$5)</f>
        <v/>
      </c>
      <c r="AA65">
        <f>IF($A9="AEO",'Growth Rates'!AA61,'Growth Rates'!AA61*AA$5)</f>
        <v/>
      </c>
      <c r="AB65">
        <f>IF($A9="AEO",'Growth Rates'!AB61,'Growth Rates'!AB61*AB$5)</f>
        <v/>
      </c>
      <c r="AC65">
        <f>IF($A9="AEO",'Growth Rates'!AC61,'Growth Rates'!AC61*AC$5)</f>
        <v/>
      </c>
    </row>
    <row r="66">
      <c r="B66" t="inlineStr">
        <is>
          <t>ISIC 02</t>
        </is>
      </c>
      <c r="C66" t="n">
        <v>0</v>
      </c>
      <c r="D66">
        <f>IF($A10="AEO",'Growth Rates'!D62,'Growth Rates'!D62*D$5)</f>
        <v/>
      </c>
      <c r="E66">
        <f>IF($A10="AEO",'Growth Rates'!E62,'Growth Rates'!E62*E$5)</f>
        <v/>
      </c>
      <c r="F66">
        <f>IF($A10="AEO",'Growth Rates'!F62,'Growth Rates'!F62*F$5)</f>
        <v/>
      </c>
      <c r="G66">
        <f>IF($A10="AEO",'Growth Rates'!G62,'Growth Rates'!G62*G$5)</f>
        <v/>
      </c>
      <c r="H66">
        <f>IF($A10="AEO",'Growth Rates'!H62,'Growth Rates'!H62*H$5)</f>
        <v/>
      </c>
      <c r="I66">
        <f>IF($A10="AEO",'Growth Rates'!I62,'Growth Rates'!I62*I$5)</f>
        <v/>
      </c>
      <c r="J66">
        <f>IF($A10="AEO",'Growth Rates'!J62,'Growth Rates'!J62*J$5)</f>
        <v/>
      </c>
      <c r="K66">
        <f>IF($A10="AEO",'Growth Rates'!K62,'Growth Rates'!K62*K$5)</f>
        <v/>
      </c>
      <c r="L66">
        <f>IF($A10="AEO",'Growth Rates'!L62,'Growth Rates'!L62*L$5)</f>
        <v/>
      </c>
      <c r="M66">
        <f>IF($A10="AEO",'Growth Rates'!M62,'Growth Rates'!M62*M$5)</f>
        <v/>
      </c>
      <c r="N66">
        <f>IF($A10="AEO",'Growth Rates'!N62,'Growth Rates'!N62*N$5)</f>
        <v/>
      </c>
      <c r="O66">
        <f>IF($A10="AEO",'Growth Rates'!O62,'Growth Rates'!O62*O$5)</f>
        <v/>
      </c>
      <c r="P66">
        <f>IF($A10="AEO",'Growth Rates'!P62,'Growth Rates'!P62*P$5)</f>
        <v/>
      </c>
      <c r="Q66">
        <f>IF($A10="AEO",'Growth Rates'!Q62,'Growth Rates'!Q62*Q$5)</f>
        <v/>
      </c>
      <c r="R66">
        <f>IF($A10="AEO",'Growth Rates'!R62,'Growth Rates'!R62*R$5)</f>
        <v/>
      </c>
      <c r="S66">
        <f>IF($A10="AEO",'Growth Rates'!S62,'Growth Rates'!S62*S$5)</f>
        <v/>
      </c>
      <c r="T66">
        <f>IF($A10="AEO",'Growth Rates'!T62,'Growth Rates'!T62*T$5)</f>
        <v/>
      </c>
      <c r="U66">
        <f>IF($A10="AEO",'Growth Rates'!U62,'Growth Rates'!U62*U$5)</f>
        <v/>
      </c>
      <c r="V66">
        <f>IF($A10="AEO",'Growth Rates'!V62,'Growth Rates'!V62*V$5)</f>
        <v/>
      </c>
      <c r="W66">
        <f>IF($A10="AEO",'Growth Rates'!W62,'Growth Rates'!W62*W$5)</f>
        <v/>
      </c>
      <c r="X66">
        <f>IF($A10="AEO",'Growth Rates'!X62,'Growth Rates'!X62*X$5)</f>
        <v/>
      </c>
      <c r="Y66">
        <f>IF($A10="AEO",'Growth Rates'!Y62,'Growth Rates'!Y62*Y$5)</f>
        <v/>
      </c>
      <c r="Z66">
        <f>IF($A10="AEO",'Growth Rates'!Z62,'Growth Rates'!Z62*Z$5)</f>
        <v/>
      </c>
      <c r="AA66">
        <f>IF($A10="AEO",'Growth Rates'!AA62,'Growth Rates'!AA62*AA$5)</f>
        <v/>
      </c>
      <c r="AB66">
        <f>IF($A10="AEO",'Growth Rates'!AB62,'Growth Rates'!AB62*AB$5)</f>
        <v/>
      </c>
      <c r="AC66">
        <f>IF($A10="AEO",'Growth Rates'!AC62,'Growth Rates'!AC62*AC$5)</f>
        <v/>
      </c>
    </row>
    <row r="67">
      <c r="B67" t="inlineStr">
        <is>
          <t>ISIC 03</t>
        </is>
      </c>
      <c r="C67" t="n">
        <v>0</v>
      </c>
      <c r="D67">
        <f>IF($A11="AEO",'Growth Rates'!D63,'Growth Rates'!D63*D$5)</f>
        <v/>
      </c>
      <c r="E67">
        <f>IF($A11="AEO",'Growth Rates'!E63,'Growth Rates'!E63*E$5)</f>
        <v/>
      </c>
      <c r="F67">
        <f>IF($A11="AEO",'Growth Rates'!F63,'Growth Rates'!F63*F$5)</f>
        <v/>
      </c>
      <c r="G67">
        <f>IF($A11="AEO",'Growth Rates'!G63,'Growth Rates'!G63*G$5)</f>
        <v/>
      </c>
      <c r="H67">
        <f>IF($A11="AEO",'Growth Rates'!H63,'Growth Rates'!H63*H$5)</f>
        <v/>
      </c>
      <c r="I67">
        <f>IF($A11="AEO",'Growth Rates'!I63,'Growth Rates'!I63*I$5)</f>
        <v/>
      </c>
      <c r="J67">
        <f>IF($A11="AEO",'Growth Rates'!J63,'Growth Rates'!J63*J$5)</f>
        <v/>
      </c>
      <c r="K67">
        <f>IF($A11="AEO",'Growth Rates'!K63,'Growth Rates'!K63*K$5)</f>
        <v/>
      </c>
      <c r="L67">
        <f>IF($A11="AEO",'Growth Rates'!L63,'Growth Rates'!L63*L$5)</f>
        <v/>
      </c>
      <c r="M67">
        <f>IF($A11="AEO",'Growth Rates'!M63,'Growth Rates'!M63*M$5)</f>
        <v/>
      </c>
      <c r="N67">
        <f>IF($A11="AEO",'Growth Rates'!N63,'Growth Rates'!N63*N$5)</f>
        <v/>
      </c>
      <c r="O67">
        <f>IF($A11="AEO",'Growth Rates'!O63,'Growth Rates'!O63*O$5)</f>
        <v/>
      </c>
      <c r="P67">
        <f>IF($A11="AEO",'Growth Rates'!P63,'Growth Rates'!P63*P$5)</f>
        <v/>
      </c>
      <c r="Q67">
        <f>IF($A11="AEO",'Growth Rates'!Q63,'Growth Rates'!Q63*Q$5)</f>
        <v/>
      </c>
      <c r="R67">
        <f>IF($A11="AEO",'Growth Rates'!R63,'Growth Rates'!R63*R$5)</f>
        <v/>
      </c>
      <c r="S67">
        <f>IF($A11="AEO",'Growth Rates'!S63,'Growth Rates'!S63*S$5)</f>
        <v/>
      </c>
      <c r="T67">
        <f>IF($A11="AEO",'Growth Rates'!T63,'Growth Rates'!T63*T$5)</f>
        <v/>
      </c>
      <c r="U67">
        <f>IF($A11="AEO",'Growth Rates'!U63,'Growth Rates'!U63*U$5)</f>
        <v/>
      </c>
      <c r="V67">
        <f>IF($A11="AEO",'Growth Rates'!V63,'Growth Rates'!V63*V$5)</f>
        <v/>
      </c>
      <c r="W67">
        <f>IF($A11="AEO",'Growth Rates'!W63,'Growth Rates'!W63*W$5)</f>
        <v/>
      </c>
      <c r="X67">
        <f>IF($A11="AEO",'Growth Rates'!X63,'Growth Rates'!X63*X$5)</f>
        <v/>
      </c>
      <c r="Y67">
        <f>IF($A11="AEO",'Growth Rates'!Y63,'Growth Rates'!Y63*Y$5)</f>
        <v/>
      </c>
      <c r="Z67">
        <f>IF($A11="AEO",'Growth Rates'!Z63,'Growth Rates'!Z63*Z$5)</f>
        <v/>
      </c>
      <c r="AA67">
        <f>IF($A11="AEO",'Growth Rates'!AA63,'Growth Rates'!AA63*AA$5)</f>
        <v/>
      </c>
      <c r="AB67">
        <f>IF($A11="AEO",'Growth Rates'!AB63,'Growth Rates'!AB63*AB$5)</f>
        <v/>
      </c>
      <c r="AC67">
        <f>IF($A11="AEO",'Growth Rates'!AC63,'Growth Rates'!AC63*AC$5)</f>
        <v/>
      </c>
    </row>
    <row r="68">
      <c r="B68" t="inlineStr">
        <is>
          <t>ISIC 05</t>
        </is>
      </c>
      <c r="C68" t="n">
        <v>0</v>
      </c>
      <c r="D68">
        <f>IF($A12="AEO",'Growth Rates'!D64,'Growth Rates'!D64*D$5)</f>
        <v/>
      </c>
      <c r="E68">
        <f>IF($A12="AEO",'Growth Rates'!E64,'Growth Rates'!E64*E$5)</f>
        <v/>
      </c>
      <c r="F68">
        <f>IF($A12="AEO",'Growth Rates'!F64,'Growth Rates'!F64*F$5)</f>
        <v/>
      </c>
      <c r="G68">
        <f>IF($A12="AEO",'Growth Rates'!G64,'Growth Rates'!G64*G$5)</f>
        <v/>
      </c>
      <c r="H68">
        <f>IF($A12="AEO",'Growth Rates'!H64,'Growth Rates'!H64*H$5)</f>
        <v/>
      </c>
      <c r="I68">
        <f>IF($A12="AEO",'Growth Rates'!I64,'Growth Rates'!I64*I$5)</f>
        <v/>
      </c>
      <c r="J68">
        <f>IF($A12="AEO",'Growth Rates'!J64,'Growth Rates'!J64*J$5)</f>
        <v/>
      </c>
      <c r="K68">
        <f>IF($A12="AEO",'Growth Rates'!K64,'Growth Rates'!K64*K$5)</f>
        <v/>
      </c>
      <c r="L68">
        <f>IF($A12="AEO",'Growth Rates'!L64,'Growth Rates'!L64*L$5)</f>
        <v/>
      </c>
      <c r="M68">
        <f>IF($A12="AEO",'Growth Rates'!M64,'Growth Rates'!M64*M$5)</f>
        <v/>
      </c>
      <c r="N68">
        <f>IF($A12="AEO",'Growth Rates'!N64,'Growth Rates'!N64*N$5)</f>
        <v/>
      </c>
      <c r="O68">
        <f>IF($A12="AEO",'Growth Rates'!O64,'Growth Rates'!O64*O$5)</f>
        <v/>
      </c>
      <c r="P68">
        <f>IF($A12="AEO",'Growth Rates'!P64,'Growth Rates'!P64*P$5)</f>
        <v/>
      </c>
      <c r="Q68">
        <f>IF($A12="AEO",'Growth Rates'!Q64,'Growth Rates'!Q64*Q$5)</f>
        <v/>
      </c>
      <c r="R68">
        <f>IF($A12="AEO",'Growth Rates'!R64,'Growth Rates'!R64*R$5)</f>
        <v/>
      </c>
      <c r="S68">
        <f>IF($A12="AEO",'Growth Rates'!S64,'Growth Rates'!S64*S$5)</f>
        <v/>
      </c>
      <c r="T68">
        <f>IF($A12="AEO",'Growth Rates'!T64,'Growth Rates'!T64*T$5)</f>
        <v/>
      </c>
      <c r="U68">
        <f>IF($A12="AEO",'Growth Rates'!U64,'Growth Rates'!U64*U$5)</f>
        <v/>
      </c>
      <c r="V68">
        <f>IF($A12="AEO",'Growth Rates'!V64,'Growth Rates'!V64*V$5)</f>
        <v/>
      </c>
      <c r="W68">
        <f>IF($A12="AEO",'Growth Rates'!W64,'Growth Rates'!W64*W$5)</f>
        <v/>
      </c>
      <c r="X68">
        <f>IF($A12="AEO",'Growth Rates'!X64,'Growth Rates'!X64*X$5)</f>
        <v/>
      </c>
      <c r="Y68">
        <f>IF($A12="AEO",'Growth Rates'!Y64,'Growth Rates'!Y64*Y$5)</f>
        <v/>
      </c>
      <c r="Z68">
        <f>IF($A12="AEO",'Growth Rates'!Z64,'Growth Rates'!Z64*Z$5)</f>
        <v/>
      </c>
      <c r="AA68">
        <f>IF($A12="AEO",'Growth Rates'!AA64,'Growth Rates'!AA64*AA$5)</f>
        <v/>
      </c>
      <c r="AB68">
        <f>IF($A12="AEO",'Growth Rates'!AB64,'Growth Rates'!AB64*AB$5)</f>
        <v/>
      </c>
      <c r="AC68">
        <f>IF($A12="AEO",'Growth Rates'!AC64,'Growth Rates'!AC64*AC$5)</f>
        <v/>
      </c>
    </row>
    <row r="69">
      <c r="B69" t="inlineStr">
        <is>
          <t>ISIC 06</t>
        </is>
      </c>
      <c r="C69" t="n">
        <v>0</v>
      </c>
      <c r="D69">
        <f>IF($A13="AEO",'Growth Rates'!D65,'Growth Rates'!D65*D$5)</f>
        <v/>
      </c>
      <c r="E69">
        <f>IF($A13="AEO",'Growth Rates'!E65,'Growth Rates'!E65*E$5)</f>
        <v/>
      </c>
      <c r="F69">
        <f>IF($A13="AEO",'Growth Rates'!F65,'Growth Rates'!F65*F$5)</f>
        <v/>
      </c>
      <c r="G69">
        <f>IF($A13="AEO",'Growth Rates'!G65,'Growth Rates'!G65*G$5)</f>
        <v/>
      </c>
      <c r="H69">
        <f>IF($A13="AEO",'Growth Rates'!H65,'Growth Rates'!H65*H$5)</f>
        <v/>
      </c>
      <c r="I69">
        <f>IF($A13="AEO",'Growth Rates'!I65,'Growth Rates'!I65*I$5)</f>
        <v/>
      </c>
      <c r="J69">
        <f>IF($A13="AEO",'Growth Rates'!J65,'Growth Rates'!J65*J$5)</f>
        <v/>
      </c>
      <c r="K69">
        <f>IF($A13="AEO",'Growth Rates'!K65,'Growth Rates'!K65*K$5)</f>
        <v/>
      </c>
      <c r="L69">
        <f>IF($A13="AEO",'Growth Rates'!L65,'Growth Rates'!L65*L$5)</f>
        <v/>
      </c>
      <c r="M69">
        <f>IF($A13="AEO",'Growth Rates'!M65,'Growth Rates'!M65*M$5)</f>
        <v/>
      </c>
      <c r="N69">
        <f>IF($A13="AEO",'Growth Rates'!N65,'Growth Rates'!N65*N$5)</f>
        <v/>
      </c>
      <c r="O69">
        <f>IF($A13="AEO",'Growth Rates'!O65,'Growth Rates'!O65*O$5)</f>
        <v/>
      </c>
      <c r="P69">
        <f>IF($A13="AEO",'Growth Rates'!P65,'Growth Rates'!P65*P$5)</f>
        <v/>
      </c>
      <c r="Q69">
        <f>IF($A13="AEO",'Growth Rates'!Q65,'Growth Rates'!Q65*Q$5)</f>
        <v/>
      </c>
      <c r="R69">
        <f>IF($A13="AEO",'Growth Rates'!R65,'Growth Rates'!R65*R$5)</f>
        <v/>
      </c>
      <c r="S69">
        <f>IF($A13="AEO",'Growth Rates'!S65,'Growth Rates'!S65*S$5)</f>
        <v/>
      </c>
      <c r="T69">
        <f>IF($A13="AEO",'Growth Rates'!T65,'Growth Rates'!T65*T$5)</f>
        <v/>
      </c>
      <c r="U69">
        <f>IF($A13="AEO",'Growth Rates'!U65,'Growth Rates'!U65*U$5)</f>
        <v/>
      </c>
      <c r="V69">
        <f>IF($A13="AEO",'Growth Rates'!V65,'Growth Rates'!V65*V$5)</f>
        <v/>
      </c>
      <c r="W69">
        <f>IF($A13="AEO",'Growth Rates'!W65,'Growth Rates'!W65*W$5)</f>
        <v/>
      </c>
      <c r="X69">
        <f>IF($A13="AEO",'Growth Rates'!X65,'Growth Rates'!X65*X$5)</f>
        <v/>
      </c>
      <c r="Y69">
        <f>IF($A13="AEO",'Growth Rates'!Y65,'Growth Rates'!Y65*Y$5)</f>
        <v/>
      </c>
      <c r="Z69">
        <f>IF($A13="AEO",'Growth Rates'!Z65,'Growth Rates'!Z65*Z$5)</f>
        <v/>
      </c>
      <c r="AA69">
        <f>IF($A13="AEO",'Growth Rates'!AA65,'Growth Rates'!AA65*AA$5)</f>
        <v/>
      </c>
      <c r="AB69">
        <f>IF($A13="AEO",'Growth Rates'!AB65,'Growth Rates'!AB65*AB$5)</f>
        <v/>
      </c>
      <c r="AC69">
        <f>IF($A13="AEO",'Growth Rates'!AC65,'Growth Rates'!AC65*AC$5)</f>
        <v/>
      </c>
    </row>
    <row r="70">
      <c r="B70" t="inlineStr">
        <is>
          <t>ISIC 07</t>
        </is>
      </c>
      <c r="C70" t="n">
        <v>0</v>
      </c>
      <c r="D70">
        <f>IF($A14="AEO",'Growth Rates'!D66,'Growth Rates'!D66*D$5)</f>
        <v/>
      </c>
      <c r="E70">
        <f>IF($A14="AEO",'Growth Rates'!E66,'Growth Rates'!E66*E$5)</f>
        <v/>
      </c>
      <c r="F70">
        <f>IF($A14="AEO",'Growth Rates'!F66,'Growth Rates'!F66*F$5)</f>
        <v/>
      </c>
      <c r="G70">
        <f>IF($A14="AEO",'Growth Rates'!G66,'Growth Rates'!G66*G$5)</f>
        <v/>
      </c>
      <c r="H70">
        <f>IF($A14="AEO",'Growth Rates'!H66,'Growth Rates'!H66*H$5)</f>
        <v/>
      </c>
      <c r="I70">
        <f>IF($A14="AEO",'Growth Rates'!I66,'Growth Rates'!I66*I$5)</f>
        <v/>
      </c>
      <c r="J70">
        <f>IF($A14="AEO",'Growth Rates'!J66,'Growth Rates'!J66*J$5)</f>
        <v/>
      </c>
      <c r="K70">
        <f>IF($A14="AEO",'Growth Rates'!K66,'Growth Rates'!K66*K$5)</f>
        <v/>
      </c>
      <c r="L70">
        <f>IF($A14="AEO",'Growth Rates'!L66,'Growth Rates'!L66*L$5)</f>
        <v/>
      </c>
      <c r="M70">
        <f>IF($A14="AEO",'Growth Rates'!M66,'Growth Rates'!M66*M$5)</f>
        <v/>
      </c>
      <c r="N70">
        <f>IF($A14="AEO",'Growth Rates'!N66,'Growth Rates'!N66*N$5)</f>
        <v/>
      </c>
      <c r="O70">
        <f>IF($A14="AEO",'Growth Rates'!O66,'Growth Rates'!O66*O$5)</f>
        <v/>
      </c>
      <c r="P70">
        <f>IF($A14="AEO",'Growth Rates'!P66,'Growth Rates'!P66*P$5)</f>
        <v/>
      </c>
      <c r="Q70">
        <f>IF($A14="AEO",'Growth Rates'!Q66,'Growth Rates'!Q66*Q$5)</f>
        <v/>
      </c>
      <c r="R70">
        <f>IF($A14="AEO",'Growth Rates'!R66,'Growth Rates'!R66*R$5)</f>
        <v/>
      </c>
      <c r="S70">
        <f>IF($A14="AEO",'Growth Rates'!S66,'Growth Rates'!S66*S$5)</f>
        <v/>
      </c>
      <c r="T70">
        <f>IF($A14="AEO",'Growth Rates'!T66,'Growth Rates'!T66*T$5)</f>
        <v/>
      </c>
      <c r="U70">
        <f>IF($A14="AEO",'Growth Rates'!U66,'Growth Rates'!U66*U$5)</f>
        <v/>
      </c>
      <c r="V70">
        <f>IF($A14="AEO",'Growth Rates'!V66,'Growth Rates'!V66*V$5)</f>
        <v/>
      </c>
      <c r="W70">
        <f>IF($A14="AEO",'Growth Rates'!W66,'Growth Rates'!W66*W$5)</f>
        <v/>
      </c>
      <c r="X70">
        <f>IF($A14="AEO",'Growth Rates'!X66,'Growth Rates'!X66*X$5)</f>
        <v/>
      </c>
      <c r="Y70">
        <f>IF($A14="AEO",'Growth Rates'!Y66,'Growth Rates'!Y66*Y$5)</f>
        <v/>
      </c>
      <c r="Z70">
        <f>IF($A14="AEO",'Growth Rates'!Z66,'Growth Rates'!Z66*Z$5)</f>
        <v/>
      </c>
      <c r="AA70">
        <f>IF($A14="AEO",'Growth Rates'!AA66,'Growth Rates'!AA66*AA$5)</f>
        <v/>
      </c>
      <c r="AB70">
        <f>IF($A14="AEO",'Growth Rates'!AB66,'Growth Rates'!AB66*AB$5)</f>
        <v/>
      </c>
      <c r="AC70">
        <f>IF($A14="AEO",'Growth Rates'!AC66,'Growth Rates'!AC66*AC$5)</f>
        <v/>
      </c>
    </row>
    <row r="71">
      <c r="B71" t="inlineStr">
        <is>
          <t>ISIC 08</t>
        </is>
      </c>
      <c r="C71" t="n">
        <v>0</v>
      </c>
      <c r="D71">
        <f>IF($A15="AEO",'Growth Rates'!D67,'Growth Rates'!D67*D$5)</f>
        <v/>
      </c>
      <c r="E71">
        <f>IF($A15="AEO",'Growth Rates'!E67,'Growth Rates'!E67*E$5)</f>
        <v/>
      </c>
      <c r="F71">
        <f>IF($A15="AEO",'Growth Rates'!F67,'Growth Rates'!F67*F$5)</f>
        <v/>
      </c>
      <c r="G71">
        <f>IF($A15="AEO",'Growth Rates'!G67,'Growth Rates'!G67*G$5)</f>
        <v/>
      </c>
      <c r="H71">
        <f>IF($A15="AEO",'Growth Rates'!H67,'Growth Rates'!H67*H$5)</f>
        <v/>
      </c>
      <c r="I71">
        <f>IF($A15="AEO",'Growth Rates'!I67,'Growth Rates'!I67*I$5)</f>
        <v/>
      </c>
      <c r="J71">
        <f>IF($A15="AEO",'Growth Rates'!J67,'Growth Rates'!J67*J$5)</f>
        <v/>
      </c>
      <c r="K71">
        <f>IF($A15="AEO",'Growth Rates'!K67,'Growth Rates'!K67*K$5)</f>
        <v/>
      </c>
      <c r="L71">
        <f>IF($A15="AEO",'Growth Rates'!L67,'Growth Rates'!L67*L$5)</f>
        <v/>
      </c>
      <c r="M71">
        <f>IF($A15="AEO",'Growth Rates'!M67,'Growth Rates'!M67*M$5)</f>
        <v/>
      </c>
      <c r="N71">
        <f>IF($A15="AEO",'Growth Rates'!N67,'Growth Rates'!N67*N$5)</f>
        <v/>
      </c>
      <c r="O71">
        <f>IF($A15="AEO",'Growth Rates'!O67,'Growth Rates'!O67*O$5)</f>
        <v/>
      </c>
      <c r="P71">
        <f>IF($A15="AEO",'Growth Rates'!P67,'Growth Rates'!P67*P$5)</f>
        <v/>
      </c>
      <c r="Q71">
        <f>IF($A15="AEO",'Growth Rates'!Q67,'Growth Rates'!Q67*Q$5)</f>
        <v/>
      </c>
      <c r="R71">
        <f>IF($A15="AEO",'Growth Rates'!R67,'Growth Rates'!R67*R$5)</f>
        <v/>
      </c>
      <c r="S71">
        <f>IF($A15="AEO",'Growth Rates'!S67,'Growth Rates'!S67*S$5)</f>
        <v/>
      </c>
      <c r="T71">
        <f>IF($A15="AEO",'Growth Rates'!T67,'Growth Rates'!T67*T$5)</f>
        <v/>
      </c>
      <c r="U71">
        <f>IF($A15="AEO",'Growth Rates'!U67,'Growth Rates'!U67*U$5)</f>
        <v/>
      </c>
      <c r="V71">
        <f>IF($A15="AEO",'Growth Rates'!V67,'Growth Rates'!V67*V$5)</f>
        <v/>
      </c>
      <c r="W71">
        <f>IF($A15="AEO",'Growth Rates'!W67,'Growth Rates'!W67*W$5)</f>
        <v/>
      </c>
      <c r="X71">
        <f>IF($A15="AEO",'Growth Rates'!X67,'Growth Rates'!X67*X$5)</f>
        <v/>
      </c>
      <c r="Y71">
        <f>IF($A15="AEO",'Growth Rates'!Y67,'Growth Rates'!Y67*Y$5)</f>
        <v/>
      </c>
      <c r="Z71">
        <f>IF($A15="AEO",'Growth Rates'!Z67,'Growth Rates'!Z67*Z$5)</f>
        <v/>
      </c>
      <c r="AA71">
        <f>IF($A15="AEO",'Growth Rates'!AA67,'Growth Rates'!AA67*AA$5)</f>
        <v/>
      </c>
      <c r="AB71">
        <f>IF($A15="AEO",'Growth Rates'!AB67,'Growth Rates'!AB67*AB$5)</f>
        <v/>
      </c>
      <c r="AC71">
        <f>IF($A15="AEO",'Growth Rates'!AC67,'Growth Rates'!AC67*AC$5)</f>
        <v/>
      </c>
    </row>
    <row r="72">
      <c r="B72" t="inlineStr">
        <is>
          <t>ISIC 09</t>
        </is>
      </c>
      <c r="C72" t="n">
        <v>0</v>
      </c>
      <c r="D72">
        <f>IF($A16="AEO",'Growth Rates'!D68,'Growth Rates'!D68*D$5)</f>
        <v/>
      </c>
      <c r="E72">
        <f>IF($A16="AEO",'Growth Rates'!E68,'Growth Rates'!E68*E$5)</f>
        <v/>
      </c>
      <c r="F72">
        <f>IF($A16="AEO",'Growth Rates'!F68,'Growth Rates'!F68*F$5)</f>
        <v/>
      </c>
      <c r="G72">
        <f>IF($A16="AEO",'Growth Rates'!G68,'Growth Rates'!G68*G$5)</f>
        <v/>
      </c>
      <c r="H72">
        <f>IF($A16="AEO",'Growth Rates'!H68,'Growth Rates'!H68*H$5)</f>
        <v/>
      </c>
      <c r="I72">
        <f>IF($A16="AEO",'Growth Rates'!I68,'Growth Rates'!I68*I$5)</f>
        <v/>
      </c>
      <c r="J72">
        <f>IF($A16="AEO",'Growth Rates'!J68,'Growth Rates'!J68*J$5)</f>
        <v/>
      </c>
      <c r="K72">
        <f>IF($A16="AEO",'Growth Rates'!K68,'Growth Rates'!K68*K$5)</f>
        <v/>
      </c>
      <c r="L72">
        <f>IF($A16="AEO",'Growth Rates'!L68,'Growth Rates'!L68*L$5)</f>
        <v/>
      </c>
      <c r="M72">
        <f>IF($A16="AEO",'Growth Rates'!M68,'Growth Rates'!M68*M$5)</f>
        <v/>
      </c>
      <c r="N72">
        <f>IF($A16="AEO",'Growth Rates'!N68,'Growth Rates'!N68*N$5)</f>
        <v/>
      </c>
      <c r="O72">
        <f>IF($A16="AEO",'Growth Rates'!O68,'Growth Rates'!O68*O$5)</f>
        <v/>
      </c>
      <c r="P72">
        <f>IF($A16="AEO",'Growth Rates'!P68,'Growth Rates'!P68*P$5)</f>
        <v/>
      </c>
      <c r="Q72">
        <f>IF($A16="AEO",'Growth Rates'!Q68,'Growth Rates'!Q68*Q$5)</f>
        <v/>
      </c>
      <c r="R72">
        <f>IF($A16="AEO",'Growth Rates'!R68,'Growth Rates'!R68*R$5)</f>
        <v/>
      </c>
      <c r="S72">
        <f>IF($A16="AEO",'Growth Rates'!S68,'Growth Rates'!S68*S$5)</f>
        <v/>
      </c>
      <c r="T72">
        <f>IF($A16="AEO",'Growth Rates'!T68,'Growth Rates'!T68*T$5)</f>
        <v/>
      </c>
      <c r="U72">
        <f>IF($A16="AEO",'Growth Rates'!U68,'Growth Rates'!U68*U$5)</f>
        <v/>
      </c>
      <c r="V72">
        <f>IF($A16="AEO",'Growth Rates'!V68,'Growth Rates'!V68*V$5)</f>
        <v/>
      </c>
      <c r="W72">
        <f>IF($A16="AEO",'Growth Rates'!W68,'Growth Rates'!W68*W$5)</f>
        <v/>
      </c>
      <c r="X72">
        <f>IF($A16="AEO",'Growth Rates'!X68,'Growth Rates'!X68*X$5)</f>
        <v/>
      </c>
      <c r="Y72">
        <f>IF($A16="AEO",'Growth Rates'!Y68,'Growth Rates'!Y68*Y$5)</f>
        <v/>
      </c>
      <c r="Z72">
        <f>IF($A16="AEO",'Growth Rates'!Z68,'Growth Rates'!Z68*Z$5)</f>
        <v/>
      </c>
      <c r="AA72">
        <f>IF($A16="AEO",'Growth Rates'!AA68,'Growth Rates'!AA68*AA$5)</f>
        <v/>
      </c>
      <c r="AB72">
        <f>IF($A16="AEO",'Growth Rates'!AB68,'Growth Rates'!AB68*AB$5)</f>
        <v/>
      </c>
      <c r="AC72">
        <f>IF($A16="AEO",'Growth Rates'!AC68,'Growth Rates'!AC68*AC$5)</f>
        <v/>
      </c>
    </row>
    <row r="73">
      <c r="B73" t="inlineStr">
        <is>
          <t>ISIC 10T12</t>
        </is>
      </c>
      <c r="C73" t="n">
        <v>0</v>
      </c>
      <c r="D73">
        <f>IF($A17="AEO",'Growth Rates'!D69,'Growth Rates'!D69*D$5)</f>
        <v/>
      </c>
      <c r="E73">
        <f>IF($A17="AEO",'Growth Rates'!E69,'Growth Rates'!E69*E$5)</f>
        <v/>
      </c>
      <c r="F73">
        <f>IF($A17="AEO",'Growth Rates'!F69,'Growth Rates'!F69*F$5)</f>
        <v/>
      </c>
      <c r="G73">
        <f>IF($A17="AEO",'Growth Rates'!G69,'Growth Rates'!G69*G$5)</f>
        <v/>
      </c>
      <c r="H73">
        <f>IF($A17="AEO",'Growth Rates'!H69,'Growth Rates'!H69*H$5)</f>
        <v/>
      </c>
      <c r="I73">
        <f>IF($A17="AEO",'Growth Rates'!I69,'Growth Rates'!I69*I$5)</f>
        <v/>
      </c>
      <c r="J73">
        <f>IF($A17="AEO",'Growth Rates'!J69,'Growth Rates'!J69*J$5)</f>
        <v/>
      </c>
      <c r="K73">
        <f>IF($A17="AEO",'Growth Rates'!K69,'Growth Rates'!K69*K$5)</f>
        <v/>
      </c>
      <c r="L73">
        <f>IF($A17="AEO",'Growth Rates'!L69,'Growth Rates'!L69*L$5)</f>
        <v/>
      </c>
      <c r="M73">
        <f>IF($A17="AEO",'Growth Rates'!M69,'Growth Rates'!M69*M$5)</f>
        <v/>
      </c>
      <c r="N73">
        <f>IF($A17="AEO",'Growth Rates'!N69,'Growth Rates'!N69*N$5)</f>
        <v/>
      </c>
      <c r="O73">
        <f>IF($A17="AEO",'Growth Rates'!O69,'Growth Rates'!O69*O$5)</f>
        <v/>
      </c>
      <c r="P73">
        <f>IF($A17="AEO",'Growth Rates'!P69,'Growth Rates'!P69*P$5)</f>
        <v/>
      </c>
      <c r="Q73">
        <f>IF($A17="AEO",'Growth Rates'!Q69,'Growth Rates'!Q69*Q$5)</f>
        <v/>
      </c>
      <c r="R73">
        <f>IF($A17="AEO",'Growth Rates'!R69,'Growth Rates'!R69*R$5)</f>
        <v/>
      </c>
      <c r="S73">
        <f>IF($A17="AEO",'Growth Rates'!S69,'Growth Rates'!S69*S$5)</f>
        <v/>
      </c>
      <c r="T73">
        <f>IF($A17="AEO",'Growth Rates'!T69,'Growth Rates'!T69*T$5)</f>
        <v/>
      </c>
      <c r="U73">
        <f>IF($A17="AEO",'Growth Rates'!U69,'Growth Rates'!U69*U$5)</f>
        <v/>
      </c>
      <c r="V73">
        <f>IF($A17="AEO",'Growth Rates'!V69,'Growth Rates'!V69*V$5)</f>
        <v/>
      </c>
      <c r="W73">
        <f>IF($A17="AEO",'Growth Rates'!W69,'Growth Rates'!W69*W$5)</f>
        <v/>
      </c>
      <c r="X73">
        <f>IF($A17="AEO",'Growth Rates'!X69,'Growth Rates'!X69*X$5)</f>
        <v/>
      </c>
      <c r="Y73">
        <f>IF($A17="AEO",'Growth Rates'!Y69,'Growth Rates'!Y69*Y$5)</f>
        <v/>
      </c>
      <c r="Z73">
        <f>IF($A17="AEO",'Growth Rates'!Z69,'Growth Rates'!Z69*Z$5)</f>
        <v/>
      </c>
      <c r="AA73">
        <f>IF($A17="AEO",'Growth Rates'!AA69,'Growth Rates'!AA69*AA$5)</f>
        <v/>
      </c>
      <c r="AB73">
        <f>IF($A17="AEO",'Growth Rates'!AB69,'Growth Rates'!AB69*AB$5)</f>
        <v/>
      </c>
      <c r="AC73">
        <f>IF($A17="AEO",'Growth Rates'!AC69,'Growth Rates'!AC69*AC$5)</f>
        <v/>
      </c>
    </row>
    <row r="74">
      <c r="B74" t="inlineStr">
        <is>
          <t>ISIC 13T15</t>
        </is>
      </c>
      <c r="C74" t="n">
        <v>0</v>
      </c>
      <c r="D74">
        <f>IF($A18="AEO",'Growth Rates'!D70,'Growth Rates'!D70*D$5)</f>
        <v/>
      </c>
      <c r="E74">
        <f>IF($A18="AEO",'Growth Rates'!E70,'Growth Rates'!E70*E$5)</f>
        <v/>
      </c>
      <c r="F74">
        <f>IF($A18="AEO",'Growth Rates'!F70,'Growth Rates'!F70*F$5)</f>
        <v/>
      </c>
      <c r="G74">
        <f>IF($A18="AEO",'Growth Rates'!G70,'Growth Rates'!G70*G$5)</f>
        <v/>
      </c>
      <c r="H74">
        <f>IF($A18="AEO",'Growth Rates'!H70,'Growth Rates'!H70*H$5)</f>
        <v/>
      </c>
      <c r="I74">
        <f>IF($A18="AEO",'Growth Rates'!I70,'Growth Rates'!I70*I$5)</f>
        <v/>
      </c>
      <c r="J74">
        <f>IF($A18="AEO",'Growth Rates'!J70,'Growth Rates'!J70*J$5)</f>
        <v/>
      </c>
      <c r="K74">
        <f>IF($A18="AEO",'Growth Rates'!K70,'Growth Rates'!K70*K$5)</f>
        <v/>
      </c>
      <c r="L74">
        <f>IF($A18="AEO",'Growth Rates'!L70,'Growth Rates'!L70*L$5)</f>
        <v/>
      </c>
      <c r="M74">
        <f>IF($A18="AEO",'Growth Rates'!M70,'Growth Rates'!M70*M$5)</f>
        <v/>
      </c>
      <c r="N74">
        <f>IF($A18="AEO",'Growth Rates'!N70,'Growth Rates'!N70*N$5)</f>
        <v/>
      </c>
      <c r="O74">
        <f>IF($A18="AEO",'Growth Rates'!O70,'Growth Rates'!O70*O$5)</f>
        <v/>
      </c>
      <c r="P74">
        <f>IF($A18="AEO",'Growth Rates'!P70,'Growth Rates'!P70*P$5)</f>
        <v/>
      </c>
      <c r="Q74">
        <f>IF($A18="AEO",'Growth Rates'!Q70,'Growth Rates'!Q70*Q$5)</f>
        <v/>
      </c>
      <c r="R74">
        <f>IF($A18="AEO",'Growth Rates'!R70,'Growth Rates'!R70*R$5)</f>
        <v/>
      </c>
      <c r="S74">
        <f>IF($A18="AEO",'Growth Rates'!S70,'Growth Rates'!S70*S$5)</f>
        <v/>
      </c>
      <c r="T74">
        <f>IF($A18="AEO",'Growth Rates'!T70,'Growth Rates'!T70*T$5)</f>
        <v/>
      </c>
      <c r="U74">
        <f>IF($A18="AEO",'Growth Rates'!U70,'Growth Rates'!U70*U$5)</f>
        <v/>
      </c>
      <c r="V74">
        <f>IF($A18="AEO",'Growth Rates'!V70,'Growth Rates'!V70*V$5)</f>
        <v/>
      </c>
      <c r="W74">
        <f>IF($A18="AEO",'Growth Rates'!W70,'Growth Rates'!W70*W$5)</f>
        <v/>
      </c>
      <c r="X74">
        <f>IF($A18="AEO",'Growth Rates'!X70,'Growth Rates'!X70*X$5)</f>
        <v/>
      </c>
      <c r="Y74">
        <f>IF($A18="AEO",'Growth Rates'!Y70,'Growth Rates'!Y70*Y$5)</f>
        <v/>
      </c>
      <c r="Z74">
        <f>IF($A18="AEO",'Growth Rates'!Z70,'Growth Rates'!Z70*Z$5)</f>
        <v/>
      </c>
      <c r="AA74">
        <f>IF($A18="AEO",'Growth Rates'!AA70,'Growth Rates'!AA70*AA$5)</f>
        <v/>
      </c>
      <c r="AB74">
        <f>IF($A18="AEO",'Growth Rates'!AB70,'Growth Rates'!AB70*AB$5)</f>
        <v/>
      </c>
      <c r="AC74">
        <f>IF($A18="AEO",'Growth Rates'!AC70,'Growth Rates'!AC70*AC$5)</f>
        <v/>
      </c>
    </row>
    <row r="75">
      <c r="B75" t="inlineStr">
        <is>
          <t>ISIC 16</t>
        </is>
      </c>
      <c r="C75" t="n">
        <v>0</v>
      </c>
      <c r="D75">
        <f>IF($A19="AEO",'Growth Rates'!D71,'Growth Rates'!D71*D$5)</f>
        <v/>
      </c>
      <c r="E75">
        <f>IF($A19="AEO",'Growth Rates'!E71,'Growth Rates'!E71*E$5)</f>
        <v/>
      </c>
      <c r="F75">
        <f>IF($A19="AEO",'Growth Rates'!F71,'Growth Rates'!F71*F$5)</f>
        <v/>
      </c>
      <c r="G75">
        <f>IF($A19="AEO",'Growth Rates'!G71,'Growth Rates'!G71*G$5)</f>
        <v/>
      </c>
      <c r="H75">
        <f>IF($A19="AEO",'Growth Rates'!H71,'Growth Rates'!H71*H$5)</f>
        <v/>
      </c>
      <c r="I75">
        <f>IF($A19="AEO",'Growth Rates'!I71,'Growth Rates'!I71*I$5)</f>
        <v/>
      </c>
      <c r="J75">
        <f>IF($A19="AEO",'Growth Rates'!J71,'Growth Rates'!J71*J$5)</f>
        <v/>
      </c>
      <c r="K75">
        <f>IF($A19="AEO",'Growth Rates'!K71,'Growth Rates'!K71*K$5)</f>
        <v/>
      </c>
      <c r="L75">
        <f>IF($A19="AEO",'Growth Rates'!L71,'Growth Rates'!L71*L$5)</f>
        <v/>
      </c>
      <c r="M75">
        <f>IF($A19="AEO",'Growth Rates'!M71,'Growth Rates'!M71*M$5)</f>
        <v/>
      </c>
      <c r="N75">
        <f>IF($A19="AEO",'Growth Rates'!N71,'Growth Rates'!N71*N$5)</f>
        <v/>
      </c>
      <c r="O75">
        <f>IF($A19="AEO",'Growth Rates'!O71,'Growth Rates'!O71*O$5)</f>
        <v/>
      </c>
      <c r="P75">
        <f>IF($A19="AEO",'Growth Rates'!P71,'Growth Rates'!P71*P$5)</f>
        <v/>
      </c>
      <c r="Q75">
        <f>IF($A19="AEO",'Growth Rates'!Q71,'Growth Rates'!Q71*Q$5)</f>
        <v/>
      </c>
      <c r="R75">
        <f>IF($A19="AEO",'Growth Rates'!R71,'Growth Rates'!R71*R$5)</f>
        <v/>
      </c>
      <c r="S75">
        <f>IF($A19="AEO",'Growth Rates'!S71,'Growth Rates'!S71*S$5)</f>
        <v/>
      </c>
      <c r="T75">
        <f>IF($A19="AEO",'Growth Rates'!T71,'Growth Rates'!T71*T$5)</f>
        <v/>
      </c>
      <c r="U75">
        <f>IF($A19="AEO",'Growth Rates'!U71,'Growth Rates'!U71*U$5)</f>
        <v/>
      </c>
      <c r="V75">
        <f>IF($A19="AEO",'Growth Rates'!V71,'Growth Rates'!V71*V$5)</f>
        <v/>
      </c>
      <c r="W75">
        <f>IF($A19="AEO",'Growth Rates'!W71,'Growth Rates'!W71*W$5)</f>
        <v/>
      </c>
      <c r="X75">
        <f>IF($A19="AEO",'Growth Rates'!X71,'Growth Rates'!X71*X$5)</f>
        <v/>
      </c>
      <c r="Y75">
        <f>IF($A19="AEO",'Growth Rates'!Y71,'Growth Rates'!Y71*Y$5)</f>
        <v/>
      </c>
      <c r="Z75">
        <f>IF($A19="AEO",'Growth Rates'!Z71,'Growth Rates'!Z71*Z$5)</f>
        <v/>
      </c>
      <c r="AA75">
        <f>IF($A19="AEO",'Growth Rates'!AA71,'Growth Rates'!AA71*AA$5)</f>
        <v/>
      </c>
      <c r="AB75">
        <f>IF($A19="AEO",'Growth Rates'!AB71,'Growth Rates'!AB71*AB$5)</f>
        <v/>
      </c>
      <c r="AC75">
        <f>IF($A19="AEO",'Growth Rates'!AC71,'Growth Rates'!AC71*AC$5)</f>
        <v/>
      </c>
    </row>
    <row r="76">
      <c r="B76" t="inlineStr">
        <is>
          <t>ISIC 17T18</t>
        </is>
      </c>
      <c r="C76" t="n">
        <v>0</v>
      </c>
      <c r="D76">
        <f>IF($A20="AEO",'Growth Rates'!D72,'Growth Rates'!D72*D$5)</f>
        <v/>
      </c>
      <c r="E76">
        <f>IF($A20="AEO",'Growth Rates'!E72,'Growth Rates'!E72*E$5)</f>
        <v/>
      </c>
      <c r="F76">
        <f>IF($A20="AEO",'Growth Rates'!F72,'Growth Rates'!F72*F$5)</f>
        <v/>
      </c>
      <c r="G76">
        <f>IF($A20="AEO",'Growth Rates'!G72,'Growth Rates'!G72*G$5)</f>
        <v/>
      </c>
      <c r="H76">
        <f>IF($A20="AEO",'Growth Rates'!H72,'Growth Rates'!H72*H$5)</f>
        <v/>
      </c>
      <c r="I76">
        <f>IF($A20="AEO",'Growth Rates'!I72,'Growth Rates'!I72*I$5)</f>
        <v/>
      </c>
      <c r="J76">
        <f>IF($A20="AEO",'Growth Rates'!J72,'Growth Rates'!J72*J$5)</f>
        <v/>
      </c>
      <c r="K76">
        <f>IF($A20="AEO",'Growth Rates'!K72,'Growth Rates'!K72*K$5)</f>
        <v/>
      </c>
      <c r="L76">
        <f>IF($A20="AEO",'Growth Rates'!L72,'Growth Rates'!L72*L$5)</f>
        <v/>
      </c>
      <c r="M76">
        <f>IF($A20="AEO",'Growth Rates'!M72,'Growth Rates'!M72*M$5)</f>
        <v/>
      </c>
      <c r="N76">
        <f>IF($A20="AEO",'Growth Rates'!N72,'Growth Rates'!N72*N$5)</f>
        <v/>
      </c>
      <c r="O76">
        <f>IF($A20="AEO",'Growth Rates'!O72,'Growth Rates'!O72*O$5)</f>
        <v/>
      </c>
      <c r="P76">
        <f>IF($A20="AEO",'Growth Rates'!P72,'Growth Rates'!P72*P$5)</f>
        <v/>
      </c>
      <c r="Q76">
        <f>IF($A20="AEO",'Growth Rates'!Q72,'Growth Rates'!Q72*Q$5)</f>
        <v/>
      </c>
      <c r="R76">
        <f>IF($A20="AEO",'Growth Rates'!R72,'Growth Rates'!R72*R$5)</f>
        <v/>
      </c>
      <c r="S76">
        <f>IF($A20="AEO",'Growth Rates'!S72,'Growth Rates'!S72*S$5)</f>
        <v/>
      </c>
      <c r="T76">
        <f>IF($A20="AEO",'Growth Rates'!T72,'Growth Rates'!T72*T$5)</f>
        <v/>
      </c>
      <c r="U76">
        <f>IF($A20="AEO",'Growth Rates'!U72,'Growth Rates'!U72*U$5)</f>
        <v/>
      </c>
      <c r="V76">
        <f>IF($A20="AEO",'Growth Rates'!V72,'Growth Rates'!V72*V$5)</f>
        <v/>
      </c>
      <c r="W76">
        <f>IF($A20="AEO",'Growth Rates'!W72,'Growth Rates'!W72*W$5)</f>
        <v/>
      </c>
      <c r="X76">
        <f>IF($A20="AEO",'Growth Rates'!X72,'Growth Rates'!X72*X$5)</f>
        <v/>
      </c>
      <c r="Y76">
        <f>IF($A20="AEO",'Growth Rates'!Y72,'Growth Rates'!Y72*Y$5)</f>
        <v/>
      </c>
      <c r="Z76">
        <f>IF($A20="AEO",'Growth Rates'!Z72,'Growth Rates'!Z72*Z$5)</f>
        <v/>
      </c>
      <c r="AA76">
        <f>IF($A20="AEO",'Growth Rates'!AA72,'Growth Rates'!AA72*AA$5)</f>
        <v/>
      </c>
      <c r="AB76">
        <f>IF($A20="AEO",'Growth Rates'!AB72,'Growth Rates'!AB72*AB$5)</f>
        <v/>
      </c>
      <c r="AC76">
        <f>IF($A20="AEO",'Growth Rates'!AC72,'Growth Rates'!AC72*AC$5)</f>
        <v/>
      </c>
    </row>
    <row r="77">
      <c r="B77" t="inlineStr">
        <is>
          <t>ISIC 19</t>
        </is>
      </c>
      <c r="C77" t="n">
        <v>0</v>
      </c>
      <c r="D77">
        <f>IF($A21="AEO",'Growth Rates'!D73,'Growth Rates'!D73*D$5)</f>
        <v/>
      </c>
      <c r="E77">
        <f>IF($A21="AEO",'Growth Rates'!E73,'Growth Rates'!E73*E$5)</f>
        <v/>
      </c>
      <c r="F77">
        <f>IF($A21="AEO",'Growth Rates'!F73,'Growth Rates'!F73*F$5)</f>
        <v/>
      </c>
      <c r="G77">
        <f>IF($A21="AEO",'Growth Rates'!G73,'Growth Rates'!G73*G$5)</f>
        <v/>
      </c>
      <c r="H77">
        <f>IF($A21="AEO",'Growth Rates'!H73,'Growth Rates'!H73*H$5)</f>
        <v/>
      </c>
      <c r="I77">
        <f>IF($A21="AEO",'Growth Rates'!I73,'Growth Rates'!I73*I$5)</f>
        <v/>
      </c>
      <c r="J77">
        <f>IF($A21="AEO",'Growth Rates'!J73,'Growth Rates'!J73*J$5)</f>
        <v/>
      </c>
      <c r="K77">
        <f>IF($A21="AEO",'Growth Rates'!K73,'Growth Rates'!K73*K$5)</f>
        <v/>
      </c>
      <c r="L77">
        <f>IF($A21="AEO",'Growth Rates'!L73,'Growth Rates'!L73*L$5)</f>
        <v/>
      </c>
      <c r="M77">
        <f>IF($A21="AEO",'Growth Rates'!M73,'Growth Rates'!M73*M$5)</f>
        <v/>
      </c>
      <c r="N77">
        <f>IF($A21="AEO",'Growth Rates'!N73,'Growth Rates'!N73*N$5)</f>
        <v/>
      </c>
      <c r="O77">
        <f>IF($A21="AEO",'Growth Rates'!O73,'Growth Rates'!O73*O$5)</f>
        <v/>
      </c>
      <c r="P77">
        <f>IF($A21="AEO",'Growth Rates'!P73,'Growth Rates'!P73*P$5)</f>
        <v/>
      </c>
      <c r="Q77">
        <f>IF($A21="AEO",'Growth Rates'!Q73,'Growth Rates'!Q73*Q$5)</f>
        <v/>
      </c>
      <c r="R77">
        <f>IF($A21="AEO",'Growth Rates'!R73,'Growth Rates'!R73*R$5)</f>
        <v/>
      </c>
      <c r="S77">
        <f>IF($A21="AEO",'Growth Rates'!S73,'Growth Rates'!S73*S$5)</f>
        <v/>
      </c>
      <c r="T77">
        <f>IF($A21="AEO",'Growth Rates'!T73,'Growth Rates'!T73*T$5)</f>
        <v/>
      </c>
      <c r="U77">
        <f>IF($A21="AEO",'Growth Rates'!U73,'Growth Rates'!U73*U$5)</f>
        <v/>
      </c>
      <c r="V77">
        <f>IF($A21="AEO",'Growth Rates'!V73,'Growth Rates'!V73*V$5)</f>
        <v/>
      </c>
      <c r="W77">
        <f>IF($A21="AEO",'Growth Rates'!W73,'Growth Rates'!W73*W$5)</f>
        <v/>
      </c>
      <c r="X77">
        <f>IF($A21="AEO",'Growth Rates'!X73,'Growth Rates'!X73*X$5)</f>
        <v/>
      </c>
      <c r="Y77">
        <f>IF($A21="AEO",'Growth Rates'!Y73,'Growth Rates'!Y73*Y$5)</f>
        <v/>
      </c>
      <c r="Z77">
        <f>IF($A21="AEO",'Growth Rates'!Z73,'Growth Rates'!Z73*Z$5)</f>
        <v/>
      </c>
      <c r="AA77">
        <f>IF($A21="AEO",'Growth Rates'!AA73,'Growth Rates'!AA73*AA$5)</f>
        <v/>
      </c>
      <c r="AB77">
        <f>IF($A21="AEO",'Growth Rates'!AB73,'Growth Rates'!AB73*AB$5)</f>
        <v/>
      </c>
      <c r="AC77">
        <f>IF($A21="AEO",'Growth Rates'!AC73,'Growth Rates'!AC73*AC$5)</f>
        <v/>
      </c>
    </row>
    <row r="78">
      <c r="B78" t="inlineStr">
        <is>
          <t>ISIC 20</t>
        </is>
      </c>
      <c r="C78" t="n">
        <v>0</v>
      </c>
      <c r="D78">
        <f>IF($A22="AEO",'Growth Rates'!D74,'Growth Rates'!D74*D$5)</f>
        <v/>
      </c>
      <c r="E78">
        <f>IF($A22="AEO",'Growth Rates'!E74,'Growth Rates'!E74*E$5)</f>
        <v/>
      </c>
      <c r="F78">
        <f>IF($A22="AEO",'Growth Rates'!F74,'Growth Rates'!F74*F$5)</f>
        <v/>
      </c>
      <c r="G78">
        <f>IF($A22="AEO",'Growth Rates'!G74,'Growth Rates'!G74*G$5)</f>
        <v/>
      </c>
      <c r="H78">
        <f>IF($A22="AEO",'Growth Rates'!H74,'Growth Rates'!H74*H$5)</f>
        <v/>
      </c>
      <c r="I78">
        <f>IF($A22="AEO",'Growth Rates'!I74,'Growth Rates'!I74*I$5)</f>
        <v/>
      </c>
      <c r="J78">
        <f>IF($A22="AEO",'Growth Rates'!J74,'Growth Rates'!J74*J$5)</f>
        <v/>
      </c>
      <c r="K78">
        <f>IF($A22="AEO",'Growth Rates'!K74,'Growth Rates'!K74*K$5)</f>
        <v/>
      </c>
      <c r="L78">
        <f>IF($A22="AEO",'Growth Rates'!L74,'Growth Rates'!L74*L$5)</f>
        <v/>
      </c>
      <c r="M78">
        <f>IF($A22="AEO",'Growth Rates'!M74,'Growth Rates'!M74*M$5)</f>
        <v/>
      </c>
      <c r="N78">
        <f>IF($A22="AEO",'Growth Rates'!N74,'Growth Rates'!N74*N$5)</f>
        <v/>
      </c>
      <c r="O78">
        <f>IF($A22="AEO",'Growth Rates'!O74,'Growth Rates'!O74*O$5)</f>
        <v/>
      </c>
      <c r="P78">
        <f>IF($A22="AEO",'Growth Rates'!P74,'Growth Rates'!P74*P$5)</f>
        <v/>
      </c>
      <c r="Q78">
        <f>IF($A22="AEO",'Growth Rates'!Q74,'Growth Rates'!Q74*Q$5)</f>
        <v/>
      </c>
      <c r="R78">
        <f>IF($A22="AEO",'Growth Rates'!R74,'Growth Rates'!R74*R$5)</f>
        <v/>
      </c>
      <c r="S78">
        <f>IF($A22="AEO",'Growth Rates'!S74,'Growth Rates'!S74*S$5)</f>
        <v/>
      </c>
      <c r="T78">
        <f>IF($A22="AEO",'Growth Rates'!T74,'Growth Rates'!T74*T$5)</f>
        <v/>
      </c>
      <c r="U78">
        <f>IF($A22="AEO",'Growth Rates'!U74,'Growth Rates'!U74*U$5)</f>
        <v/>
      </c>
      <c r="V78">
        <f>IF($A22="AEO",'Growth Rates'!V74,'Growth Rates'!V74*V$5)</f>
        <v/>
      </c>
      <c r="W78">
        <f>IF($A22="AEO",'Growth Rates'!W74,'Growth Rates'!W74*W$5)</f>
        <v/>
      </c>
      <c r="X78">
        <f>IF($A22="AEO",'Growth Rates'!X74,'Growth Rates'!X74*X$5)</f>
        <v/>
      </c>
      <c r="Y78">
        <f>IF($A22="AEO",'Growth Rates'!Y74,'Growth Rates'!Y74*Y$5)</f>
        <v/>
      </c>
      <c r="Z78">
        <f>IF($A22="AEO",'Growth Rates'!Z74,'Growth Rates'!Z74*Z$5)</f>
        <v/>
      </c>
      <c r="AA78">
        <f>IF($A22="AEO",'Growth Rates'!AA74,'Growth Rates'!AA74*AA$5)</f>
        <v/>
      </c>
      <c r="AB78">
        <f>IF($A22="AEO",'Growth Rates'!AB74,'Growth Rates'!AB74*AB$5)</f>
        <v/>
      </c>
      <c r="AC78">
        <f>IF($A22="AEO",'Growth Rates'!AC74,'Growth Rates'!AC74*AC$5)</f>
        <v/>
      </c>
    </row>
    <row r="79">
      <c r="B79" t="inlineStr">
        <is>
          <t>ISIC 21</t>
        </is>
      </c>
      <c r="C79" t="n">
        <v>0</v>
      </c>
      <c r="D79">
        <f>IF($A23="AEO",'Growth Rates'!D75,'Growth Rates'!D75*D$5)</f>
        <v/>
      </c>
      <c r="E79">
        <f>IF($A23="AEO",'Growth Rates'!E75,'Growth Rates'!E75*E$5)</f>
        <v/>
      </c>
      <c r="F79">
        <f>IF($A23="AEO",'Growth Rates'!F75,'Growth Rates'!F75*F$5)</f>
        <v/>
      </c>
      <c r="G79">
        <f>IF($A23="AEO",'Growth Rates'!G75,'Growth Rates'!G75*G$5)</f>
        <v/>
      </c>
      <c r="H79">
        <f>IF($A23="AEO",'Growth Rates'!H75,'Growth Rates'!H75*H$5)</f>
        <v/>
      </c>
      <c r="I79">
        <f>IF($A23="AEO",'Growth Rates'!I75,'Growth Rates'!I75*I$5)</f>
        <v/>
      </c>
      <c r="J79">
        <f>IF($A23="AEO",'Growth Rates'!J75,'Growth Rates'!J75*J$5)</f>
        <v/>
      </c>
      <c r="K79">
        <f>IF($A23="AEO",'Growth Rates'!K75,'Growth Rates'!K75*K$5)</f>
        <v/>
      </c>
      <c r="L79">
        <f>IF($A23="AEO",'Growth Rates'!L75,'Growth Rates'!L75*L$5)</f>
        <v/>
      </c>
      <c r="M79">
        <f>IF($A23="AEO",'Growth Rates'!M75,'Growth Rates'!M75*M$5)</f>
        <v/>
      </c>
      <c r="N79">
        <f>IF($A23="AEO",'Growth Rates'!N75,'Growth Rates'!N75*N$5)</f>
        <v/>
      </c>
      <c r="O79">
        <f>IF($A23="AEO",'Growth Rates'!O75,'Growth Rates'!O75*O$5)</f>
        <v/>
      </c>
      <c r="P79">
        <f>IF($A23="AEO",'Growth Rates'!P75,'Growth Rates'!P75*P$5)</f>
        <v/>
      </c>
      <c r="Q79">
        <f>IF($A23="AEO",'Growth Rates'!Q75,'Growth Rates'!Q75*Q$5)</f>
        <v/>
      </c>
      <c r="R79">
        <f>IF($A23="AEO",'Growth Rates'!R75,'Growth Rates'!R75*R$5)</f>
        <v/>
      </c>
      <c r="S79">
        <f>IF($A23="AEO",'Growth Rates'!S75,'Growth Rates'!S75*S$5)</f>
        <v/>
      </c>
      <c r="T79">
        <f>IF($A23="AEO",'Growth Rates'!T75,'Growth Rates'!T75*T$5)</f>
        <v/>
      </c>
      <c r="U79">
        <f>IF($A23="AEO",'Growth Rates'!U75,'Growth Rates'!U75*U$5)</f>
        <v/>
      </c>
      <c r="V79">
        <f>IF($A23="AEO",'Growth Rates'!V75,'Growth Rates'!V75*V$5)</f>
        <v/>
      </c>
      <c r="W79">
        <f>IF($A23="AEO",'Growth Rates'!W75,'Growth Rates'!W75*W$5)</f>
        <v/>
      </c>
      <c r="X79">
        <f>IF($A23="AEO",'Growth Rates'!X75,'Growth Rates'!X75*X$5)</f>
        <v/>
      </c>
      <c r="Y79">
        <f>IF($A23="AEO",'Growth Rates'!Y75,'Growth Rates'!Y75*Y$5)</f>
        <v/>
      </c>
      <c r="Z79">
        <f>IF($A23="AEO",'Growth Rates'!Z75,'Growth Rates'!Z75*Z$5)</f>
        <v/>
      </c>
      <c r="AA79">
        <f>IF($A23="AEO",'Growth Rates'!AA75,'Growth Rates'!AA75*AA$5)</f>
        <v/>
      </c>
      <c r="AB79">
        <f>IF($A23="AEO",'Growth Rates'!AB75,'Growth Rates'!AB75*AB$5)</f>
        <v/>
      </c>
      <c r="AC79">
        <f>IF($A23="AEO",'Growth Rates'!AC75,'Growth Rates'!AC75*AC$5)</f>
        <v/>
      </c>
    </row>
    <row r="80">
      <c r="B80" t="inlineStr">
        <is>
          <t>ISIC 22</t>
        </is>
      </c>
      <c r="C80" t="n">
        <v>0</v>
      </c>
      <c r="D80">
        <f>IF($A24="AEO",'Growth Rates'!D76,'Growth Rates'!D76*D$5)</f>
        <v/>
      </c>
      <c r="E80">
        <f>IF($A24="AEO",'Growth Rates'!E76,'Growth Rates'!E76*E$5)</f>
        <v/>
      </c>
      <c r="F80">
        <f>IF($A24="AEO",'Growth Rates'!F76,'Growth Rates'!F76*F$5)</f>
        <v/>
      </c>
      <c r="G80">
        <f>IF($A24="AEO",'Growth Rates'!G76,'Growth Rates'!G76*G$5)</f>
        <v/>
      </c>
      <c r="H80">
        <f>IF($A24="AEO",'Growth Rates'!H76,'Growth Rates'!H76*H$5)</f>
        <v/>
      </c>
      <c r="I80">
        <f>IF($A24="AEO",'Growth Rates'!I76,'Growth Rates'!I76*I$5)</f>
        <v/>
      </c>
      <c r="J80">
        <f>IF($A24="AEO",'Growth Rates'!J76,'Growth Rates'!J76*J$5)</f>
        <v/>
      </c>
      <c r="K80">
        <f>IF($A24="AEO",'Growth Rates'!K76,'Growth Rates'!K76*K$5)</f>
        <v/>
      </c>
      <c r="L80">
        <f>IF($A24="AEO",'Growth Rates'!L76,'Growth Rates'!L76*L$5)</f>
        <v/>
      </c>
      <c r="M80">
        <f>IF($A24="AEO",'Growth Rates'!M76,'Growth Rates'!M76*M$5)</f>
        <v/>
      </c>
      <c r="N80">
        <f>IF($A24="AEO",'Growth Rates'!N76,'Growth Rates'!N76*N$5)</f>
        <v/>
      </c>
      <c r="O80">
        <f>IF($A24="AEO",'Growth Rates'!O76,'Growth Rates'!O76*O$5)</f>
        <v/>
      </c>
      <c r="P80">
        <f>IF($A24="AEO",'Growth Rates'!P76,'Growth Rates'!P76*P$5)</f>
        <v/>
      </c>
      <c r="Q80">
        <f>IF($A24="AEO",'Growth Rates'!Q76,'Growth Rates'!Q76*Q$5)</f>
        <v/>
      </c>
      <c r="R80">
        <f>IF($A24="AEO",'Growth Rates'!R76,'Growth Rates'!R76*R$5)</f>
        <v/>
      </c>
      <c r="S80">
        <f>IF($A24="AEO",'Growth Rates'!S76,'Growth Rates'!S76*S$5)</f>
        <v/>
      </c>
      <c r="T80">
        <f>IF($A24="AEO",'Growth Rates'!T76,'Growth Rates'!T76*T$5)</f>
        <v/>
      </c>
      <c r="U80">
        <f>IF($A24="AEO",'Growth Rates'!U76,'Growth Rates'!U76*U$5)</f>
        <v/>
      </c>
      <c r="V80">
        <f>IF($A24="AEO",'Growth Rates'!V76,'Growth Rates'!V76*V$5)</f>
        <v/>
      </c>
      <c r="W80">
        <f>IF($A24="AEO",'Growth Rates'!W76,'Growth Rates'!W76*W$5)</f>
        <v/>
      </c>
      <c r="X80">
        <f>IF($A24="AEO",'Growth Rates'!X76,'Growth Rates'!X76*X$5)</f>
        <v/>
      </c>
      <c r="Y80">
        <f>IF($A24="AEO",'Growth Rates'!Y76,'Growth Rates'!Y76*Y$5)</f>
        <v/>
      </c>
      <c r="Z80">
        <f>IF($A24="AEO",'Growth Rates'!Z76,'Growth Rates'!Z76*Z$5)</f>
        <v/>
      </c>
      <c r="AA80">
        <f>IF($A24="AEO",'Growth Rates'!AA76,'Growth Rates'!AA76*AA$5)</f>
        <v/>
      </c>
      <c r="AB80">
        <f>IF($A24="AEO",'Growth Rates'!AB76,'Growth Rates'!AB76*AB$5)</f>
        <v/>
      </c>
      <c r="AC80">
        <f>IF($A24="AEO",'Growth Rates'!AC76,'Growth Rates'!AC76*AC$5)</f>
        <v/>
      </c>
    </row>
    <row r="81">
      <c r="B81" t="inlineStr">
        <is>
          <t>ISIC 231</t>
        </is>
      </c>
      <c r="C81" t="n">
        <v>0</v>
      </c>
      <c r="D81">
        <f>IF($A25="AEO",'Growth Rates'!D77,'Growth Rates'!D77*D$5)</f>
        <v/>
      </c>
      <c r="E81">
        <f>IF($A25="AEO",'Growth Rates'!E77,'Growth Rates'!E77*E$5)</f>
        <v/>
      </c>
      <c r="F81">
        <f>IF($A25="AEO",'Growth Rates'!F77,'Growth Rates'!F77*F$5)</f>
        <v/>
      </c>
      <c r="G81">
        <f>IF($A25="AEO",'Growth Rates'!G77,'Growth Rates'!G77*G$5)</f>
        <v/>
      </c>
      <c r="H81">
        <f>IF($A25="AEO",'Growth Rates'!H77,'Growth Rates'!H77*H$5)</f>
        <v/>
      </c>
      <c r="I81">
        <f>IF($A25="AEO",'Growth Rates'!I77,'Growth Rates'!I77*I$5)</f>
        <v/>
      </c>
      <c r="J81">
        <f>IF($A25="AEO",'Growth Rates'!J77,'Growth Rates'!J77*J$5)</f>
        <v/>
      </c>
      <c r="K81">
        <f>IF($A25="AEO",'Growth Rates'!K77,'Growth Rates'!K77*K$5)</f>
        <v/>
      </c>
      <c r="L81">
        <f>IF($A25="AEO",'Growth Rates'!L77,'Growth Rates'!L77*L$5)</f>
        <v/>
      </c>
      <c r="M81">
        <f>IF($A25="AEO",'Growth Rates'!M77,'Growth Rates'!M77*M$5)</f>
        <v/>
      </c>
      <c r="N81">
        <f>IF($A25="AEO",'Growth Rates'!N77,'Growth Rates'!N77*N$5)</f>
        <v/>
      </c>
      <c r="O81">
        <f>IF($A25="AEO",'Growth Rates'!O77,'Growth Rates'!O77*O$5)</f>
        <v/>
      </c>
      <c r="P81">
        <f>IF($A25="AEO",'Growth Rates'!P77,'Growth Rates'!P77*P$5)</f>
        <v/>
      </c>
      <c r="Q81">
        <f>IF($A25="AEO",'Growth Rates'!Q77,'Growth Rates'!Q77*Q$5)</f>
        <v/>
      </c>
      <c r="R81">
        <f>IF($A25="AEO",'Growth Rates'!R77,'Growth Rates'!R77*R$5)</f>
        <v/>
      </c>
      <c r="S81">
        <f>IF($A25="AEO",'Growth Rates'!S77,'Growth Rates'!S77*S$5)</f>
        <v/>
      </c>
      <c r="T81">
        <f>IF($A25="AEO",'Growth Rates'!T77,'Growth Rates'!T77*T$5)</f>
        <v/>
      </c>
      <c r="U81">
        <f>IF($A25="AEO",'Growth Rates'!U77,'Growth Rates'!U77*U$5)</f>
        <v/>
      </c>
      <c r="V81">
        <f>IF($A25="AEO",'Growth Rates'!V77,'Growth Rates'!V77*V$5)</f>
        <v/>
      </c>
      <c r="W81">
        <f>IF($A25="AEO",'Growth Rates'!W77,'Growth Rates'!W77*W$5)</f>
        <v/>
      </c>
      <c r="X81">
        <f>IF($A25="AEO",'Growth Rates'!X77,'Growth Rates'!X77*X$5)</f>
        <v/>
      </c>
      <c r="Y81">
        <f>IF($A25="AEO",'Growth Rates'!Y77,'Growth Rates'!Y77*Y$5)</f>
        <v/>
      </c>
      <c r="Z81">
        <f>IF($A25="AEO",'Growth Rates'!Z77,'Growth Rates'!Z77*Z$5)</f>
        <v/>
      </c>
      <c r="AA81">
        <f>IF($A25="AEO",'Growth Rates'!AA77,'Growth Rates'!AA77*AA$5)</f>
        <v/>
      </c>
      <c r="AB81">
        <f>IF($A25="AEO",'Growth Rates'!AB77,'Growth Rates'!AB77*AB$5)</f>
        <v/>
      </c>
      <c r="AC81">
        <f>IF($A25="AEO",'Growth Rates'!AC77,'Growth Rates'!AC77*AC$5)</f>
        <v/>
      </c>
    </row>
    <row r="82">
      <c r="B82" t="inlineStr">
        <is>
          <t>ISIC 239</t>
        </is>
      </c>
      <c r="C82" t="n">
        <v>0</v>
      </c>
      <c r="D82">
        <f>IF($A26="AEO",'Growth Rates'!D78,'Growth Rates'!D78*D$5)</f>
        <v/>
      </c>
      <c r="E82">
        <f>IF($A26="AEO",'Growth Rates'!E78,'Growth Rates'!E78*E$5)</f>
        <v/>
      </c>
      <c r="F82">
        <f>IF($A26="AEO",'Growth Rates'!F78,'Growth Rates'!F78*F$5)</f>
        <v/>
      </c>
      <c r="G82">
        <f>IF($A26="AEO",'Growth Rates'!G78,'Growth Rates'!G78*G$5)</f>
        <v/>
      </c>
      <c r="H82">
        <f>IF($A26="AEO",'Growth Rates'!H78,'Growth Rates'!H78*H$5)</f>
        <v/>
      </c>
      <c r="I82">
        <f>IF($A26="AEO",'Growth Rates'!I78,'Growth Rates'!I78*I$5)</f>
        <v/>
      </c>
      <c r="J82">
        <f>IF($A26="AEO",'Growth Rates'!J78,'Growth Rates'!J78*J$5)</f>
        <v/>
      </c>
      <c r="K82">
        <f>IF($A26="AEO",'Growth Rates'!K78,'Growth Rates'!K78*K$5)</f>
        <v/>
      </c>
      <c r="L82">
        <f>IF($A26="AEO",'Growth Rates'!L78,'Growth Rates'!L78*L$5)</f>
        <v/>
      </c>
      <c r="M82">
        <f>IF($A26="AEO",'Growth Rates'!M78,'Growth Rates'!M78*M$5)</f>
        <v/>
      </c>
      <c r="N82">
        <f>IF($A26="AEO",'Growth Rates'!N78,'Growth Rates'!N78*N$5)</f>
        <v/>
      </c>
      <c r="O82">
        <f>IF($A26="AEO",'Growth Rates'!O78,'Growth Rates'!O78*O$5)</f>
        <v/>
      </c>
      <c r="P82">
        <f>IF($A26="AEO",'Growth Rates'!P78,'Growth Rates'!P78*P$5)</f>
        <v/>
      </c>
      <c r="Q82">
        <f>IF($A26="AEO",'Growth Rates'!Q78,'Growth Rates'!Q78*Q$5)</f>
        <v/>
      </c>
      <c r="R82">
        <f>IF($A26="AEO",'Growth Rates'!R78,'Growth Rates'!R78*R$5)</f>
        <v/>
      </c>
      <c r="S82">
        <f>IF($A26="AEO",'Growth Rates'!S78,'Growth Rates'!S78*S$5)</f>
        <v/>
      </c>
      <c r="T82">
        <f>IF($A26="AEO",'Growth Rates'!T78,'Growth Rates'!T78*T$5)</f>
        <v/>
      </c>
      <c r="U82">
        <f>IF($A26="AEO",'Growth Rates'!U78,'Growth Rates'!U78*U$5)</f>
        <v/>
      </c>
      <c r="V82">
        <f>IF($A26="AEO",'Growth Rates'!V78,'Growth Rates'!V78*V$5)</f>
        <v/>
      </c>
      <c r="W82">
        <f>IF($A26="AEO",'Growth Rates'!W78,'Growth Rates'!W78*W$5)</f>
        <v/>
      </c>
      <c r="X82">
        <f>IF($A26="AEO",'Growth Rates'!X78,'Growth Rates'!X78*X$5)</f>
        <v/>
      </c>
      <c r="Y82">
        <f>IF($A26="AEO",'Growth Rates'!Y78,'Growth Rates'!Y78*Y$5)</f>
        <v/>
      </c>
      <c r="Z82">
        <f>IF($A26="AEO",'Growth Rates'!Z78,'Growth Rates'!Z78*Z$5)</f>
        <v/>
      </c>
      <c r="AA82">
        <f>IF($A26="AEO",'Growth Rates'!AA78,'Growth Rates'!AA78*AA$5)</f>
        <v/>
      </c>
      <c r="AB82">
        <f>IF($A26="AEO",'Growth Rates'!AB78,'Growth Rates'!AB78*AB$5)</f>
        <v/>
      </c>
      <c r="AC82">
        <f>IF($A26="AEO",'Growth Rates'!AC78,'Growth Rates'!AC78*AC$5)</f>
        <v/>
      </c>
    </row>
    <row r="83">
      <c r="B83" t="inlineStr">
        <is>
          <t>ISIC 241</t>
        </is>
      </c>
      <c r="C83" t="n">
        <v>0</v>
      </c>
      <c r="D83">
        <f>IF($A27="AEO",'Growth Rates'!D79,'Growth Rates'!D79*D$5)</f>
        <v/>
      </c>
      <c r="E83">
        <f>IF($A27="AEO",'Growth Rates'!E79,'Growth Rates'!E79*E$5)</f>
        <v/>
      </c>
      <c r="F83">
        <f>IF($A27="AEO",'Growth Rates'!F79,'Growth Rates'!F79*F$5)</f>
        <v/>
      </c>
      <c r="G83">
        <f>IF($A27="AEO",'Growth Rates'!G79,'Growth Rates'!G79*G$5)</f>
        <v/>
      </c>
      <c r="H83">
        <f>IF($A27="AEO",'Growth Rates'!H79,'Growth Rates'!H79*H$5)</f>
        <v/>
      </c>
      <c r="I83">
        <f>IF($A27="AEO",'Growth Rates'!I79,'Growth Rates'!I79*I$5)</f>
        <v/>
      </c>
      <c r="J83">
        <f>IF($A27="AEO",'Growth Rates'!J79,'Growth Rates'!J79*J$5)</f>
        <v/>
      </c>
      <c r="K83">
        <f>IF($A27="AEO",'Growth Rates'!K79,'Growth Rates'!K79*K$5)</f>
        <v/>
      </c>
      <c r="L83">
        <f>IF($A27="AEO",'Growth Rates'!L79,'Growth Rates'!L79*L$5)</f>
        <v/>
      </c>
      <c r="M83">
        <f>IF($A27="AEO",'Growth Rates'!M79,'Growth Rates'!M79*M$5)</f>
        <v/>
      </c>
      <c r="N83">
        <f>IF($A27="AEO",'Growth Rates'!N79,'Growth Rates'!N79*N$5)</f>
        <v/>
      </c>
      <c r="O83">
        <f>IF($A27="AEO",'Growth Rates'!O79,'Growth Rates'!O79*O$5)</f>
        <v/>
      </c>
      <c r="P83">
        <f>IF($A27="AEO",'Growth Rates'!P79,'Growth Rates'!P79*P$5)</f>
        <v/>
      </c>
      <c r="Q83">
        <f>IF($A27="AEO",'Growth Rates'!Q79,'Growth Rates'!Q79*Q$5)</f>
        <v/>
      </c>
      <c r="R83">
        <f>IF($A27="AEO",'Growth Rates'!R79,'Growth Rates'!R79*R$5)</f>
        <v/>
      </c>
      <c r="S83">
        <f>IF($A27="AEO",'Growth Rates'!S79,'Growth Rates'!S79*S$5)</f>
        <v/>
      </c>
      <c r="T83">
        <f>IF($A27="AEO",'Growth Rates'!T79,'Growth Rates'!T79*T$5)</f>
        <v/>
      </c>
      <c r="U83">
        <f>IF($A27="AEO",'Growth Rates'!U79,'Growth Rates'!U79*U$5)</f>
        <v/>
      </c>
      <c r="V83">
        <f>IF($A27="AEO",'Growth Rates'!V79,'Growth Rates'!V79*V$5)</f>
        <v/>
      </c>
      <c r="W83">
        <f>IF($A27="AEO",'Growth Rates'!W79,'Growth Rates'!W79*W$5)</f>
        <v/>
      </c>
      <c r="X83">
        <f>IF($A27="AEO",'Growth Rates'!X79,'Growth Rates'!X79*X$5)</f>
        <v/>
      </c>
      <c r="Y83">
        <f>IF($A27="AEO",'Growth Rates'!Y79,'Growth Rates'!Y79*Y$5)</f>
        <v/>
      </c>
      <c r="Z83">
        <f>IF($A27="AEO",'Growth Rates'!Z79,'Growth Rates'!Z79*Z$5)</f>
        <v/>
      </c>
      <c r="AA83">
        <f>IF($A27="AEO",'Growth Rates'!AA79,'Growth Rates'!AA79*AA$5)</f>
        <v/>
      </c>
      <c r="AB83">
        <f>IF($A27="AEO",'Growth Rates'!AB79,'Growth Rates'!AB79*AB$5)</f>
        <v/>
      </c>
      <c r="AC83">
        <f>IF($A27="AEO",'Growth Rates'!AC79,'Growth Rates'!AC79*AC$5)</f>
        <v/>
      </c>
    </row>
    <row r="84">
      <c r="B84" t="inlineStr">
        <is>
          <t>ISIC 242</t>
        </is>
      </c>
      <c r="C84" t="n">
        <v>0</v>
      </c>
      <c r="D84">
        <f>IF($A28="AEO",'Growth Rates'!D80,'Growth Rates'!D80*D$5)</f>
        <v/>
      </c>
      <c r="E84">
        <f>IF($A28="AEO",'Growth Rates'!E80,'Growth Rates'!E80*E$5)</f>
        <v/>
      </c>
      <c r="F84">
        <f>IF($A28="AEO",'Growth Rates'!F80,'Growth Rates'!F80*F$5)</f>
        <v/>
      </c>
      <c r="G84">
        <f>IF($A28="AEO",'Growth Rates'!G80,'Growth Rates'!G80*G$5)</f>
        <v/>
      </c>
      <c r="H84">
        <f>IF($A28="AEO",'Growth Rates'!H80,'Growth Rates'!H80*H$5)</f>
        <v/>
      </c>
      <c r="I84">
        <f>IF($A28="AEO",'Growth Rates'!I80,'Growth Rates'!I80*I$5)</f>
        <v/>
      </c>
      <c r="J84">
        <f>IF($A28="AEO",'Growth Rates'!J80,'Growth Rates'!J80*J$5)</f>
        <v/>
      </c>
      <c r="K84">
        <f>IF($A28="AEO",'Growth Rates'!K80,'Growth Rates'!K80*K$5)</f>
        <v/>
      </c>
      <c r="L84">
        <f>IF($A28="AEO",'Growth Rates'!L80,'Growth Rates'!L80*L$5)</f>
        <v/>
      </c>
      <c r="M84">
        <f>IF($A28="AEO",'Growth Rates'!M80,'Growth Rates'!M80*M$5)</f>
        <v/>
      </c>
      <c r="N84">
        <f>IF($A28="AEO",'Growth Rates'!N80,'Growth Rates'!N80*N$5)</f>
        <v/>
      </c>
      <c r="O84">
        <f>IF($A28="AEO",'Growth Rates'!O80,'Growth Rates'!O80*O$5)</f>
        <v/>
      </c>
      <c r="P84">
        <f>IF($A28="AEO",'Growth Rates'!P80,'Growth Rates'!P80*P$5)</f>
        <v/>
      </c>
      <c r="Q84">
        <f>IF($A28="AEO",'Growth Rates'!Q80,'Growth Rates'!Q80*Q$5)</f>
        <v/>
      </c>
      <c r="R84">
        <f>IF($A28="AEO",'Growth Rates'!R80,'Growth Rates'!R80*R$5)</f>
        <v/>
      </c>
      <c r="S84">
        <f>IF($A28="AEO",'Growth Rates'!S80,'Growth Rates'!S80*S$5)</f>
        <v/>
      </c>
      <c r="T84">
        <f>IF($A28="AEO",'Growth Rates'!T80,'Growth Rates'!T80*T$5)</f>
        <v/>
      </c>
      <c r="U84">
        <f>IF($A28="AEO",'Growth Rates'!U80,'Growth Rates'!U80*U$5)</f>
        <v/>
      </c>
      <c r="V84">
        <f>IF($A28="AEO",'Growth Rates'!V80,'Growth Rates'!V80*V$5)</f>
        <v/>
      </c>
      <c r="W84">
        <f>IF($A28="AEO",'Growth Rates'!W80,'Growth Rates'!W80*W$5)</f>
        <v/>
      </c>
      <c r="X84">
        <f>IF($A28="AEO",'Growth Rates'!X80,'Growth Rates'!X80*X$5)</f>
        <v/>
      </c>
      <c r="Y84">
        <f>IF($A28="AEO",'Growth Rates'!Y80,'Growth Rates'!Y80*Y$5)</f>
        <v/>
      </c>
      <c r="Z84">
        <f>IF($A28="AEO",'Growth Rates'!Z80,'Growth Rates'!Z80*Z$5)</f>
        <v/>
      </c>
      <c r="AA84">
        <f>IF($A28="AEO",'Growth Rates'!AA80,'Growth Rates'!AA80*AA$5)</f>
        <v/>
      </c>
      <c r="AB84">
        <f>IF($A28="AEO",'Growth Rates'!AB80,'Growth Rates'!AB80*AB$5)</f>
        <v/>
      </c>
      <c r="AC84">
        <f>IF($A28="AEO",'Growth Rates'!AC80,'Growth Rates'!AC80*AC$5)</f>
        <v/>
      </c>
    </row>
    <row r="85">
      <c r="B85" t="inlineStr">
        <is>
          <t>ISIC 25</t>
        </is>
      </c>
      <c r="C85" t="n">
        <v>0</v>
      </c>
      <c r="D85">
        <f>IF($A29="AEO",'Growth Rates'!D81,'Growth Rates'!D81*D$5)</f>
        <v/>
      </c>
      <c r="E85">
        <f>IF($A29="AEO",'Growth Rates'!E81,'Growth Rates'!E81*E$5)</f>
        <v/>
      </c>
      <c r="F85">
        <f>IF($A29="AEO",'Growth Rates'!F81,'Growth Rates'!F81*F$5)</f>
        <v/>
      </c>
      <c r="G85">
        <f>IF($A29="AEO",'Growth Rates'!G81,'Growth Rates'!G81*G$5)</f>
        <v/>
      </c>
      <c r="H85">
        <f>IF($A29="AEO",'Growth Rates'!H81,'Growth Rates'!H81*H$5)</f>
        <v/>
      </c>
      <c r="I85">
        <f>IF($A29="AEO",'Growth Rates'!I81,'Growth Rates'!I81*I$5)</f>
        <v/>
      </c>
      <c r="J85">
        <f>IF($A29="AEO",'Growth Rates'!J81,'Growth Rates'!J81*J$5)</f>
        <v/>
      </c>
      <c r="K85">
        <f>IF($A29="AEO",'Growth Rates'!K81,'Growth Rates'!K81*K$5)</f>
        <v/>
      </c>
      <c r="L85">
        <f>IF($A29="AEO",'Growth Rates'!L81,'Growth Rates'!L81*L$5)</f>
        <v/>
      </c>
      <c r="M85">
        <f>IF($A29="AEO",'Growth Rates'!M81,'Growth Rates'!M81*M$5)</f>
        <v/>
      </c>
      <c r="N85">
        <f>IF($A29="AEO",'Growth Rates'!N81,'Growth Rates'!N81*N$5)</f>
        <v/>
      </c>
      <c r="O85">
        <f>IF($A29="AEO",'Growth Rates'!O81,'Growth Rates'!O81*O$5)</f>
        <v/>
      </c>
      <c r="P85">
        <f>IF($A29="AEO",'Growth Rates'!P81,'Growth Rates'!P81*P$5)</f>
        <v/>
      </c>
      <c r="Q85">
        <f>IF($A29="AEO",'Growth Rates'!Q81,'Growth Rates'!Q81*Q$5)</f>
        <v/>
      </c>
      <c r="R85">
        <f>IF($A29="AEO",'Growth Rates'!R81,'Growth Rates'!R81*R$5)</f>
        <v/>
      </c>
      <c r="S85">
        <f>IF($A29="AEO",'Growth Rates'!S81,'Growth Rates'!S81*S$5)</f>
        <v/>
      </c>
      <c r="T85">
        <f>IF($A29="AEO",'Growth Rates'!T81,'Growth Rates'!T81*T$5)</f>
        <v/>
      </c>
      <c r="U85">
        <f>IF($A29="AEO",'Growth Rates'!U81,'Growth Rates'!U81*U$5)</f>
        <v/>
      </c>
      <c r="V85">
        <f>IF($A29="AEO",'Growth Rates'!V81,'Growth Rates'!V81*V$5)</f>
        <v/>
      </c>
      <c r="W85">
        <f>IF($A29="AEO",'Growth Rates'!W81,'Growth Rates'!W81*W$5)</f>
        <v/>
      </c>
      <c r="X85">
        <f>IF($A29="AEO",'Growth Rates'!X81,'Growth Rates'!X81*X$5)</f>
        <v/>
      </c>
      <c r="Y85">
        <f>IF($A29="AEO",'Growth Rates'!Y81,'Growth Rates'!Y81*Y$5)</f>
        <v/>
      </c>
      <c r="Z85">
        <f>IF($A29="AEO",'Growth Rates'!Z81,'Growth Rates'!Z81*Z$5)</f>
        <v/>
      </c>
      <c r="AA85">
        <f>IF($A29="AEO",'Growth Rates'!AA81,'Growth Rates'!AA81*AA$5)</f>
        <v/>
      </c>
      <c r="AB85">
        <f>IF($A29="AEO",'Growth Rates'!AB81,'Growth Rates'!AB81*AB$5)</f>
        <v/>
      </c>
      <c r="AC85">
        <f>IF($A29="AEO",'Growth Rates'!AC81,'Growth Rates'!AC81*AC$5)</f>
        <v/>
      </c>
    </row>
    <row r="86">
      <c r="B86" t="inlineStr">
        <is>
          <t>ISIC 26</t>
        </is>
      </c>
      <c r="C86" t="n">
        <v>0</v>
      </c>
      <c r="D86">
        <f>IF($A30="AEO",'Growth Rates'!D82,'Growth Rates'!D82*D$5)</f>
        <v/>
      </c>
      <c r="E86">
        <f>IF($A30="AEO",'Growth Rates'!E82,'Growth Rates'!E82*E$5)</f>
        <v/>
      </c>
      <c r="F86">
        <f>IF($A30="AEO",'Growth Rates'!F82,'Growth Rates'!F82*F$5)</f>
        <v/>
      </c>
      <c r="G86">
        <f>IF($A30="AEO",'Growth Rates'!G82,'Growth Rates'!G82*G$5)</f>
        <v/>
      </c>
      <c r="H86">
        <f>IF($A30="AEO",'Growth Rates'!H82,'Growth Rates'!H82*H$5)</f>
        <v/>
      </c>
      <c r="I86">
        <f>IF($A30="AEO",'Growth Rates'!I82,'Growth Rates'!I82*I$5)</f>
        <v/>
      </c>
      <c r="J86">
        <f>IF($A30="AEO",'Growth Rates'!J82,'Growth Rates'!J82*J$5)</f>
        <v/>
      </c>
      <c r="K86">
        <f>IF($A30="AEO",'Growth Rates'!K82,'Growth Rates'!K82*K$5)</f>
        <v/>
      </c>
      <c r="L86">
        <f>IF($A30="AEO",'Growth Rates'!L82,'Growth Rates'!L82*L$5)</f>
        <v/>
      </c>
      <c r="M86">
        <f>IF($A30="AEO",'Growth Rates'!M82,'Growth Rates'!M82*M$5)</f>
        <v/>
      </c>
      <c r="N86">
        <f>IF($A30="AEO",'Growth Rates'!N82,'Growth Rates'!N82*N$5)</f>
        <v/>
      </c>
      <c r="O86">
        <f>IF($A30="AEO",'Growth Rates'!O82,'Growth Rates'!O82*O$5)</f>
        <v/>
      </c>
      <c r="P86">
        <f>IF($A30="AEO",'Growth Rates'!P82,'Growth Rates'!P82*P$5)</f>
        <v/>
      </c>
      <c r="Q86">
        <f>IF($A30="AEO",'Growth Rates'!Q82,'Growth Rates'!Q82*Q$5)</f>
        <v/>
      </c>
      <c r="R86">
        <f>IF($A30="AEO",'Growth Rates'!R82,'Growth Rates'!R82*R$5)</f>
        <v/>
      </c>
      <c r="S86">
        <f>IF($A30="AEO",'Growth Rates'!S82,'Growth Rates'!S82*S$5)</f>
        <v/>
      </c>
      <c r="T86">
        <f>IF($A30="AEO",'Growth Rates'!T82,'Growth Rates'!T82*T$5)</f>
        <v/>
      </c>
      <c r="U86">
        <f>IF($A30="AEO",'Growth Rates'!U82,'Growth Rates'!U82*U$5)</f>
        <v/>
      </c>
      <c r="V86">
        <f>IF($A30="AEO",'Growth Rates'!V82,'Growth Rates'!V82*V$5)</f>
        <v/>
      </c>
      <c r="W86">
        <f>IF($A30="AEO",'Growth Rates'!W82,'Growth Rates'!W82*W$5)</f>
        <v/>
      </c>
      <c r="X86">
        <f>IF($A30="AEO",'Growth Rates'!X82,'Growth Rates'!X82*X$5)</f>
        <v/>
      </c>
      <c r="Y86">
        <f>IF($A30="AEO",'Growth Rates'!Y82,'Growth Rates'!Y82*Y$5)</f>
        <v/>
      </c>
      <c r="Z86">
        <f>IF($A30="AEO",'Growth Rates'!Z82,'Growth Rates'!Z82*Z$5)</f>
        <v/>
      </c>
      <c r="AA86">
        <f>IF($A30="AEO",'Growth Rates'!AA82,'Growth Rates'!AA82*AA$5)</f>
        <v/>
      </c>
      <c r="AB86">
        <f>IF($A30="AEO",'Growth Rates'!AB82,'Growth Rates'!AB82*AB$5)</f>
        <v/>
      </c>
      <c r="AC86">
        <f>IF($A30="AEO",'Growth Rates'!AC82,'Growth Rates'!AC82*AC$5)</f>
        <v/>
      </c>
    </row>
    <row r="87">
      <c r="B87" t="inlineStr">
        <is>
          <t>ISIC 27</t>
        </is>
      </c>
      <c r="C87" t="n">
        <v>0</v>
      </c>
      <c r="D87">
        <f>IF($A31="AEO",'Growth Rates'!D83,'Growth Rates'!D83*D$5)</f>
        <v/>
      </c>
      <c r="E87">
        <f>IF($A31="AEO",'Growth Rates'!E83,'Growth Rates'!E83*E$5)</f>
        <v/>
      </c>
      <c r="F87">
        <f>IF($A31="AEO",'Growth Rates'!F83,'Growth Rates'!F83*F$5)</f>
        <v/>
      </c>
      <c r="G87">
        <f>IF($A31="AEO",'Growth Rates'!G83,'Growth Rates'!G83*G$5)</f>
        <v/>
      </c>
      <c r="H87">
        <f>IF($A31="AEO",'Growth Rates'!H83,'Growth Rates'!H83*H$5)</f>
        <v/>
      </c>
      <c r="I87">
        <f>IF($A31="AEO",'Growth Rates'!I83,'Growth Rates'!I83*I$5)</f>
        <v/>
      </c>
      <c r="J87">
        <f>IF($A31="AEO",'Growth Rates'!J83,'Growth Rates'!J83*J$5)</f>
        <v/>
      </c>
      <c r="K87">
        <f>IF($A31="AEO",'Growth Rates'!K83,'Growth Rates'!K83*K$5)</f>
        <v/>
      </c>
      <c r="L87">
        <f>IF($A31="AEO",'Growth Rates'!L83,'Growth Rates'!L83*L$5)</f>
        <v/>
      </c>
      <c r="M87">
        <f>IF($A31="AEO",'Growth Rates'!M83,'Growth Rates'!M83*M$5)</f>
        <v/>
      </c>
      <c r="N87">
        <f>IF($A31="AEO",'Growth Rates'!N83,'Growth Rates'!N83*N$5)</f>
        <v/>
      </c>
      <c r="O87">
        <f>IF($A31="AEO",'Growth Rates'!O83,'Growth Rates'!O83*O$5)</f>
        <v/>
      </c>
      <c r="P87">
        <f>IF($A31="AEO",'Growth Rates'!P83,'Growth Rates'!P83*P$5)</f>
        <v/>
      </c>
      <c r="Q87">
        <f>IF($A31="AEO",'Growth Rates'!Q83,'Growth Rates'!Q83*Q$5)</f>
        <v/>
      </c>
      <c r="R87">
        <f>IF($A31="AEO",'Growth Rates'!R83,'Growth Rates'!R83*R$5)</f>
        <v/>
      </c>
      <c r="S87">
        <f>IF($A31="AEO",'Growth Rates'!S83,'Growth Rates'!S83*S$5)</f>
        <v/>
      </c>
      <c r="T87">
        <f>IF($A31="AEO",'Growth Rates'!T83,'Growth Rates'!T83*T$5)</f>
        <v/>
      </c>
      <c r="U87">
        <f>IF($A31="AEO",'Growth Rates'!U83,'Growth Rates'!U83*U$5)</f>
        <v/>
      </c>
      <c r="V87">
        <f>IF($A31="AEO",'Growth Rates'!V83,'Growth Rates'!V83*V$5)</f>
        <v/>
      </c>
      <c r="W87">
        <f>IF($A31="AEO",'Growth Rates'!W83,'Growth Rates'!W83*W$5)</f>
        <v/>
      </c>
      <c r="X87">
        <f>IF($A31="AEO",'Growth Rates'!X83,'Growth Rates'!X83*X$5)</f>
        <v/>
      </c>
      <c r="Y87">
        <f>IF($A31="AEO",'Growth Rates'!Y83,'Growth Rates'!Y83*Y$5)</f>
        <v/>
      </c>
      <c r="Z87">
        <f>IF($A31="AEO",'Growth Rates'!Z83,'Growth Rates'!Z83*Z$5)</f>
        <v/>
      </c>
      <c r="AA87">
        <f>IF($A31="AEO",'Growth Rates'!AA83,'Growth Rates'!AA83*AA$5)</f>
        <v/>
      </c>
      <c r="AB87">
        <f>IF($A31="AEO",'Growth Rates'!AB83,'Growth Rates'!AB83*AB$5)</f>
        <v/>
      </c>
      <c r="AC87">
        <f>IF($A31="AEO",'Growth Rates'!AC83,'Growth Rates'!AC83*AC$5)</f>
        <v/>
      </c>
    </row>
    <row r="88">
      <c r="B88" t="inlineStr">
        <is>
          <t>ISIC 28</t>
        </is>
      </c>
      <c r="C88" t="n">
        <v>0</v>
      </c>
      <c r="D88">
        <f>IF($A32="AEO",'Growth Rates'!D84,'Growth Rates'!D84*D$5)</f>
        <v/>
      </c>
      <c r="E88">
        <f>IF($A32="AEO",'Growth Rates'!E84,'Growth Rates'!E84*E$5)</f>
        <v/>
      </c>
      <c r="F88">
        <f>IF($A32="AEO",'Growth Rates'!F84,'Growth Rates'!F84*F$5)</f>
        <v/>
      </c>
      <c r="G88">
        <f>IF($A32="AEO",'Growth Rates'!G84,'Growth Rates'!G84*G$5)</f>
        <v/>
      </c>
      <c r="H88">
        <f>IF($A32="AEO",'Growth Rates'!H84,'Growth Rates'!H84*H$5)</f>
        <v/>
      </c>
      <c r="I88">
        <f>IF($A32="AEO",'Growth Rates'!I84,'Growth Rates'!I84*I$5)</f>
        <v/>
      </c>
      <c r="J88">
        <f>IF($A32="AEO",'Growth Rates'!J84,'Growth Rates'!J84*J$5)</f>
        <v/>
      </c>
      <c r="K88">
        <f>IF($A32="AEO",'Growth Rates'!K84,'Growth Rates'!K84*K$5)</f>
        <v/>
      </c>
      <c r="L88">
        <f>IF($A32="AEO",'Growth Rates'!L84,'Growth Rates'!L84*L$5)</f>
        <v/>
      </c>
      <c r="M88">
        <f>IF($A32="AEO",'Growth Rates'!M84,'Growth Rates'!M84*M$5)</f>
        <v/>
      </c>
      <c r="N88">
        <f>IF($A32="AEO",'Growth Rates'!N84,'Growth Rates'!N84*N$5)</f>
        <v/>
      </c>
      <c r="O88">
        <f>IF($A32="AEO",'Growth Rates'!O84,'Growth Rates'!O84*O$5)</f>
        <v/>
      </c>
      <c r="P88">
        <f>IF($A32="AEO",'Growth Rates'!P84,'Growth Rates'!P84*P$5)</f>
        <v/>
      </c>
      <c r="Q88">
        <f>IF($A32="AEO",'Growth Rates'!Q84,'Growth Rates'!Q84*Q$5)</f>
        <v/>
      </c>
      <c r="R88">
        <f>IF($A32="AEO",'Growth Rates'!R84,'Growth Rates'!R84*R$5)</f>
        <v/>
      </c>
      <c r="S88">
        <f>IF($A32="AEO",'Growth Rates'!S84,'Growth Rates'!S84*S$5)</f>
        <v/>
      </c>
      <c r="T88">
        <f>IF($A32="AEO",'Growth Rates'!T84,'Growth Rates'!T84*T$5)</f>
        <v/>
      </c>
      <c r="U88">
        <f>IF($A32="AEO",'Growth Rates'!U84,'Growth Rates'!U84*U$5)</f>
        <v/>
      </c>
      <c r="V88">
        <f>IF($A32="AEO",'Growth Rates'!V84,'Growth Rates'!V84*V$5)</f>
        <v/>
      </c>
      <c r="W88">
        <f>IF($A32="AEO",'Growth Rates'!W84,'Growth Rates'!W84*W$5)</f>
        <v/>
      </c>
      <c r="X88">
        <f>IF($A32="AEO",'Growth Rates'!X84,'Growth Rates'!X84*X$5)</f>
        <v/>
      </c>
      <c r="Y88">
        <f>IF($A32="AEO",'Growth Rates'!Y84,'Growth Rates'!Y84*Y$5)</f>
        <v/>
      </c>
      <c r="Z88">
        <f>IF($A32="AEO",'Growth Rates'!Z84,'Growth Rates'!Z84*Z$5)</f>
        <v/>
      </c>
      <c r="AA88">
        <f>IF($A32="AEO",'Growth Rates'!AA84,'Growth Rates'!AA84*AA$5)</f>
        <v/>
      </c>
      <c r="AB88">
        <f>IF($A32="AEO",'Growth Rates'!AB84,'Growth Rates'!AB84*AB$5)</f>
        <v/>
      </c>
      <c r="AC88">
        <f>IF($A32="AEO",'Growth Rates'!AC84,'Growth Rates'!AC84*AC$5)</f>
        <v/>
      </c>
    </row>
    <row r="89">
      <c r="B89" t="inlineStr">
        <is>
          <t>ISIC 29</t>
        </is>
      </c>
      <c r="C89" t="n">
        <v>0</v>
      </c>
      <c r="D89">
        <f>IF($A33="AEO",'Growth Rates'!D85,'Growth Rates'!D85*D$5)</f>
        <v/>
      </c>
      <c r="E89">
        <f>IF($A33="AEO",'Growth Rates'!E85,'Growth Rates'!E85*E$5)</f>
        <v/>
      </c>
      <c r="F89">
        <f>IF($A33="AEO",'Growth Rates'!F85,'Growth Rates'!F85*F$5)</f>
        <v/>
      </c>
      <c r="G89">
        <f>IF($A33="AEO",'Growth Rates'!G85,'Growth Rates'!G85*G$5)</f>
        <v/>
      </c>
      <c r="H89">
        <f>IF($A33="AEO",'Growth Rates'!H85,'Growth Rates'!H85*H$5)</f>
        <v/>
      </c>
      <c r="I89">
        <f>IF($A33="AEO",'Growth Rates'!I85,'Growth Rates'!I85*I$5)</f>
        <v/>
      </c>
      <c r="J89">
        <f>IF($A33="AEO",'Growth Rates'!J85,'Growth Rates'!J85*J$5)</f>
        <v/>
      </c>
      <c r="K89">
        <f>IF($A33="AEO",'Growth Rates'!K85,'Growth Rates'!K85*K$5)</f>
        <v/>
      </c>
      <c r="L89">
        <f>IF($A33="AEO",'Growth Rates'!L85,'Growth Rates'!L85*L$5)</f>
        <v/>
      </c>
      <c r="M89">
        <f>IF($A33="AEO",'Growth Rates'!M85,'Growth Rates'!M85*M$5)</f>
        <v/>
      </c>
      <c r="N89">
        <f>IF($A33="AEO",'Growth Rates'!N85,'Growth Rates'!N85*N$5)</f>
        <v/>
      </c>
      <c r="O89">
        <f>IF($A33="AEO",'Growth Rates'!O85,'Growth Rates'!O85*O$5)</f>
        <v/>
      </c>
      <c r="P89">
        <f>IF($A33="AEO",'Growth Rates'!P85,'Growth Rates'!P85*P$5)</f>
        <v/>
      </c>
      <c r="Q89">
        <f>IF($A33="AEO",'Growth Rates'!Q85,'Growth Rates'!Q85*Q$5)</f>
        <v/>
      </c>
      <c r="R89">
        <f>IF($A33="AEO",'Growth Rates'!R85,'Growth Rates'!R85*R$5)</f>
        <v/>
      </c>
      <c r="S89">
        <f>IF($A33="AEO",'Growth Rates'!S85,'Growth Rates'!S85*S$5)</f>
        <v/>
      </c>
      <c r="T89">
        <f>IF($A33="AEO",'Growth Rates'!T85,'Growth Rates'!T85*T$5)</f>
        <v/>
      </c>
      <c r="U89">
        <f>IF($A33="AEO",'Growth Rates'!U85,'Growth Rates'!U85*U$5)</f>
        <v/>
      </c>
      <c r="V89">
        <f>IF($A33="AEO",'Growth Rates'!V85,'Growth Rates'!V85*V$5)</f>
        <v/>
      </c>
      <c r="W89">
        <f>IF($A33="AEO",'Growth Rates'!W85,'Growth Rates'!W85*W$5)</f>
        <v/>
      </c>
      <c r="X89">
        <f>IF($A33="AEO",'Growth Rates'!X85,'Growth Rates'!X85*X$5)</f>
        <v/>
      </c>
      <c r="Y89">
        <f>IF($A33="AEO",'Growth Rates'!Y85,'Growth Rates'!Y85*Y$5)</f>
        <v/>
      </c>
      <c r="Z89">
        <f>IF($A33="AEO",'Growth Rates'!Z85,'Growth Rates'!Z85*Z$5)</f>
        <v/>
      </c>
      <c r="AA89">
        <f>IF($A33="AEO",'Growth Rates'!AA85,'Growth Rates'!AA85*AA$5)</f>
        <v/>
      </c>
      <c r="AB89">
        <f>IF($A33="AEO",'Growth Rates'!AB85,'Growth Rates'!AB85*AB$5)</f>
        <v/>
      </c>
      <c r="AC89">
        <f>IF($A33="AEO",'Growth Rates'!AC85,'Growth Rates'!AC85*AC$5)</f>
        <v/>
      </c>
    </row>
    <row r="90">
      <c r="B90" t="inlineStr">
        <is>
          <t>ISIC 301</t>
        </is>
      </c>
      <c r="C90" t="n">
        <v>0</v>
      </c>
      <c r="D90">
        <f>IF($A34="AEO",'Growth Rates'!D86,'Growth Rates'!D86*D$5)</f>
        <v/>
      </c>
      <c r="E90">
        <f>IF($A34="AEO",'Growth Rates'!E86,'Growth Rates'!E86*E$5)</f>
        <v/>
      </c>
      <c r="F90">
        <f>IF($A34="AEO",'Growth Rates'!F86,'Growth Rates'!F86*F$5)</f>
        <v/>
      </c>
      <c r="G90">
        <f>IF($A34="AEO",'Growth Rates'!G86,'Growth Rates'!G86*G$5)</f>
        <v/>
      </c>
      <c r="H90">
        <f>IF($A34="AEO",'Growth Rates'!H86,'Growth Rates'!H86*H$5)</f>
        <v/>
      </c>
      <c r="I90">
        <f>IF($A34="AEO",'Growth Rates'!I86,'Growth Rates'!I86*I$5)</f>
        <v/>
      </c>
      <c r="J90">
        <f>IF($A34="AEO",'Growth Rates'!J86,'Growth Rates'!J86*J$5)</f>
        <v/>
      </c>
      <c r="K90">
        <f>IF($A34="AEO",'Growth Rates'!K86,'Growth Rates'!K86*K$5)</f>
        <v/>
      </c>
      <c r="L90">
        <f>IF($A34="AEO",'Growth Rates'!L86,'Growth Rates'!L86*L$5)</f>
        <v/>
      </c>
      <c r="M90">
        <f>IF($A34="AEO",'Growth Rates'!M86,'Growth Rates'!M86*M$5)</f>
        <v/>
      </c>
      <c r="N90">
        <f>IF($A34="AEO",'Growth Rates'!N86,'Growth Rates'!N86*N$5)</f>
        <v/>
      </c>
      <c r="O90">
        <f>IF($A34="AEO",'Growth Rates'!O86,'Growth Rates'!O86*O$5)</f>
        <v/>
      </c>
      <c r="P90">
        <f>IF($A34="AEO",'Growth Rates'!P86,'Growth Rates'!P86*P$5)</f>
        <v/>
      </c>
      <c r="Q90">
        <f>IF($A34="AEO",'Growth Rates'!Q86,'Growth Rates'!Q86*Q$5)</f>
        <v/>
      </c>
      <c r="R90">
        <f>IF($A34="AEO",'Growth Rates'!R86,'Growth Rates'!R86*R$5)</f>
        <v/>
      </c>
      <c r="S90">
        <f>IF($A34="AEO",'Growth Rates'!S86,'Growth Rates'!S86*S$5)</f>
        <v/>
      </c>
      <c r="T90">
        <f>IF($A34="AEO",'Growth Rates'!T86,'Growth Rates'!T86*T$5)</f>
        <v/>
      </c>
      <c r="U90">
        <f>IF($A34="AEO",'Growth Rates'!U86,'Growth Rates'!U86*U$5)</f>
        <v/>
      </c>
      <c r="V90">
        <f>IF($A34="AEO",'Growth Rates'!V86,'Growth Rates'!V86*V$5)</f>
        <v/>
      </c>
      <c r="W90">
        <f>IF($A34="AEO",'Growth Rates'!W86,'Growth Rates'!W86*W$5)</f>
        <v/>
      </c>
      <c r="X90">
        <f>IF($A34="AEO",'Growth Rates'!X86,'Growth Rates'!X86*X$5)</f>
        <v/>
      </c>
      <c r="Y90">
        <f>IF($A34="AEO",'Growth Rates'!Y86,'Growth Rates'!Y86*Y$5)</f>
        <v/>
      </c>
      <c r="Z90">
        <f>IF($A34="AEO",'Growth Rates'!Z86,'Growth Rates'!Z86*Z$5)</f>
        <v/>
      </c>
      <c r="AA90">
        <f>IF($A34="AEO",'Growth Rates'!AA86,'Growth Rates'!AA86*AA$5)</f>
        <v/>
      </c>
      <c r="AB90">
        <f>IF($A34="AEO",'Growth Rates'!AB86,'Growth Rates'!AB86*AB$5)</f>
        <v/>
      </c>
      <c r="AC90">
        <f>IF($A34="AEO",'Growth Rates'!AC86,'Growth Rates'!AC86*AC$5)</f>
        <v/>
      </c>
    </row>
    <row r="91">
      <c r="B91" t="inlineStr">
        <is>
          <t>ISIC 302T309</t>
        </is>
      </c>
      <c r="C91" t="n">
        <v>0</v>
      </c>
      <c r="D91">
        <f>IF($A35="AEO",'Growth Rates'!D87,'Growth Rates'!D87*D$5)</f>
        <v/>
      </c>
      <c r="E91">
        <f>IF($A35="AEO",'Growth Rates'!E87,'Growth Rates'!E87*E$5)</f>
        <v/>
      </c>
      <c r="F91">
        <f>IF($A35="AEO",'Growth Rates'!F87,'Growth Rates'!F87*F$5)</f>
        <v/>
      </c>
      <c r="G91">
        <f>IF($A35="AEO",'Growth Rates'!G87,'Growth Rates'!G87*G$5)</f>
        <v/>
      </c>
      <c r="H91">
        <f>IF($A35="AEO",'Growth Rates'!H87,'Growth Rates'!H87*H$5)</f>
        <v/>
      </c>
      <c r="I91">
        <f>IF($A35="AEO",'Growth Rates'!I87,'Growth Rates'!I87*I$5)</f>
        <v/>
      </c>
      <c r="J91">
        <f>IF($A35="AEO",'Growth Rates'!J87,'Growth Rates'!J87*J$5)</f>
        <v/>
      </c>
      <c r="K91">
        <f>IF($A35="AEO",'Growth Rates'!K87,'Growth Rates'!K87*K$5)</f>
        <v/>
      </c>
      <c r="L91">
        <f>IF($A35="AEO",'Growth Rates'!L87,'Growth Rates'!L87*L$5)</f>
        <v/>
      </c>
      <c r="M91">
        <f>IF($A35="AEO",'Growth Rates'!M87,'Growth Rates'!M87*M$5)</f>
        <v/>
      </c>
      <c r="N91">
        <f>IF($A35="AEO",'Growth Rates'!N87,'Growth Rates'!N87*N$5)</f>
        <v/>
      </c>
      <c r="O91">
        <f>IF($A35="AEO",'Growth Rates'!O87,'Growth Rates'!O87*O$5)</f>
        <v/>
      </c>
      <c r="P91">
        <f>IF($A35="AEO",'Growth Rates'!P87,'Growth Rates'!P87*P$5)</f>
        <v/>
      </c>
      <c r="Q91">
        <f>IF($A35="AEO",'Growth Rates'!Q87,'Growth Rates'!Q87*Q$5)</f>
        <v/>
      </c>
      <c r="R91">
        <f>IF($A35="AEO",'Growth Rates'!R87,'Growth Rates'!R87*R$5)</f>
        <v/>
      </c>
      <c r="S91">
        <f>IF($A35="AEO",'Growth Rates'!S87,'Growth Rates'!S87*S$5)</f>
        <v/>
      </c>
      <c r="T91">
        <f>IF($A35="AEO",'Growth Rates'!T87,'Growth Rates'!T87*T$5)</f>
        <v/>
      </c>
      <c r="U91">
        <f>IF($A35="AEO",'Growth Rates'!U87,'Growth Rates'!U87*U$5)</f>
        <v/>
      </c>
      <c r="V91">
        <f>IF($A35="AEO",'Growth Rates'!V87,'Growth Rates'!V87*V$5)</f>
        <v/>
      </c>
      <c r="W91">
        <f>IF($A35="AEO",'Growth Rates'!W87,'Growth Rates'!W87*W$5)</f>
        <v/>
      </c>
      <c r="X91">
        <f>IF($A35="AEO",'Growth Rates'!X87,'Growth Rates'!X87*X$5)</f>
        <v/>
      </c>
      <c r="Y91">
        <f>IF($A35="AEO",'Growth Rates'!Y87,'Growth Rates'!Y87*Y$5)</f>
        <v/>
      </c>
      <c r="Z91">
        <f>IF($A35="AEO",'Growth Rates'!Z87,'Growth Rates'!Z87*Z$5)</f>
        <v/>
      </c>
      <c r="AA91">
        <f>IF($A35="AEO",'Growth Rates'!AA87,'Growth Rates'!AA87*AA$5)</f>
        <v/>
      </c>
      <c r="AB91">
        <f>IF($A35="AEO",'Growth Rates'!AB87,'Growth Rates'!AB87*AB$5)</f>
        <v/>
      </c>
      <c r="AC91">
        <f>IF($A35="AEO",'Growth Rates'!AC87,'Growth Rates'!AC87*AC$5)</f>
        <v/>
      </c>
    </row>
    <row r="92">
      <c r="B92" t="inlineStr">
        <is>
          <t>ISIC 31T33</t>
        </is>
      </c>
      <c r="C92" t="n">
        <v>0</v>
      </c>
      <c r="D92">
        <f>IF($A36="AEO",'Growth Rates'!D88,'Growth Rates'!D88*D$5)</f>
        <v/>
      </c>
      <c r="E92">
        <f>IF($A36="AEO",'Growth Rates'!E88,'Growth Rates'!E88*E$5)</f>
        <v/>
      </c>
      <c r="F92">
        <f>IF($A36="AEO",'Growth Rates'!F88,'Growth Rates'!F88*F$5)</f>
        <v/>
      </c>
      <c r="G92">
        <f>IF($A36="AEO",'Growth Rates'!G88,'Growth Rates'!G88*G$5)</f>
        <v/>
      </c>
      <c r="H92">
        <f>IF($A36="AEO",'Growth Rates'!H88,'Growth Rates'!H88*H$5)</f>
        <v/>
      </c>
      <c r="I92">
        <f>IF($A36="AEO",'Growth Rates'!I88,'Growth Rates'!I88*I$5)</f>
        <v/>
      </c>
      <c r="J92">
        <f>IF($A36="AEO",'Growth Rates'!J88,'Growth Rates'!J88*J$5)</f>
        <v/>
      </c>
      <c r="K92">
        <f>IF($A36="AEO",'Growth Rates'!K88,'Growth Rates'!K88*K$5)</f>
        <v/>
      </c>
      <c r="L92">
        <f>IF($A36="AEO",'Growth Rates'!L88,'Growth Rates'!L88*L$5)</f>
        <v/>
      </c>
      <c r="M92">
        <f>IF($A36="AEO",'Growth Rates'!M88,'Growth Rates'!M88*M$5)</f>
        <v/>
      </c>
      <c r="N92">
        <f>IF($A36="AEO",'Growth Rates'!N88,'Growth Rates'!N88*N$5)</f>
        <v/>
      </c>
      <c r="O92">
        <f>IF($A36="AEO",'Growth Rates'!O88,'Growth Rates'!O88*O$5)</f>
        <v/>
      </c>
      <c r="P92">
        <f>IF($A36="AEO",'Growth Rates'!P88,'Growth Rates'!P88*P$5)</f>
        <v/>
      </c>
      <c r="Q92">
        <f>IF($A36="AEO",'Growth Rates'!Q88,'Growth Rates'!Q88*Q$5)</f>
        <v/>
      </c>
      <c r="R92">
        <f>IF($A36="AEO",'Growth Rates'!R88,'Growth Rates'!R88*R$5)</f>
        <v/>
      </c>
      <c r="S92">
        <f>IF($A36="AEO",'Growth Rates'!S88,'Growth Rates'!S88*S$5)</f>
        <v/>
      </c>
      <c r="T92">
        <f>IF($A36="AEO",'Growth Rates'!T88,'Growth Rates'!T88*T$5)</f>
        <v/>
      </c>
      <c r="U92">
        <f>IF($A36="AEO",'Growth Rates'!U88,'Growth Rates'!U88*U$5)</f>
        <v/>
      </c>
      <c r="V92">
        <f>IF($A36="AEO",'Growth Rates'!V88,'Growth Rates'!V88*V$5)</f>
        <v/>
      </c>
      <c r="W92">
        <f>IF($A36="AEO",'Growth Rates'!W88,'Growth Rates'!W88*W$5)</f>
        <v/>
      </c>
      <c r="X92">
        <f>IF($A36="AEO",'Growth Rates'!X88,'Growth Rates'!X88*X$5)</f>
        <v/>
      </c>
      <c r="Y92">
        <f>IF($A36="AEO",'Growth Rates'!Y88,'Growth Rates'!Y88*Y$5)</f>
        <v/>
      </c>
      <c r="Z92">
        <f>IF($A36="AEO",'Growth Rates'!Z88,'Growth Rates'!Z88*Z$5)</f>
        <v/>
      </c>
      <c r="AA92">
        <f>IF($A36="AEO",'Growth Rates'!AA88,'Growth Rates'!AA88*AA$5)</f>
        <v/>
      </c>
      <c r="AB92">
        <f>IF($A36="AEO",'Growth Rates'!AB88,'Growth Rates'!AB88*AB$5)</f>
        <v/>
      </c>
      <c r="AC92">
        <f>IF($A36="AEO",'Growth Rates'!AC88,'Growth Rates'!AC88*AC$5)</f>
        <v/>
      </c>
    </row>
    <row r="93">
      <c r="B93" t="inlineStr">
        <is>
          <t>ISIC 351</t>
        </is>
      </c>
      <c r="C93" t="n">
        <v>0</v>
      </c>
      <c r="D93">
        <f>IF($A37="AEO",'Growth Rates'!D89,'Growth Rates'!D89*D$5)</f>
        <v/>
      </c>
      <c r="E93">
        <f>IF($A37="AEO",'Growth Rates'!E89,'Growth Rates'!E89*E$5)</f>
        <v/>
      </c>
      <c r="F93">
        <f>IF($A37="AEO",'Growth Rates'!F89,'Growth Rates'!F89*F$5)</f>
        <v/>
      </c>
      <c r="G93">
        <f>IF($A37="AEO",'Growth Rates'!G89,'Growth Rates'!G89*G$5)</f>
        <v/>
      </c>
      <c r="H93">
        <f>IF($A37="AEO",'Growth Rates'!H89,'Growth Rates'!H89*H$5)</f>
        <v/>
      </c>
      <c r="I93">
        <f>IF($A37="AEO",'Growth Rates'!I89,'Growth Rates'!I89*I$5)</f>
        <v/>
      </c>
      <c r="J93">
        <f>IF($A37="AEO",'Growth Rates'!J89,'Growth Rates'!J89*J$5)</f>
        <v/>
      </c>
      <c r="K93">
        <f>IF($A37="AEO",'Growth Rates'!K89,'Growth Rates'!K89*K$5)</f>
        <v/>
      </c>
      <c r="L93">
        <f>IF($A37="AEO",'Growth Rates'!L89,'Growth Rates'!L89*L$5)</f>
        <v/>
      </c>
      <c r="M93">
        <f>IF($A37="AEO",'Growth Rates'!M89,'Growth Rates'!M89*M$5)</f>
        <v/>
      </c>
      <c r="N93">
        <f>IF($A37="AEO",'Growth Rates'!N89,'Growth Rates'!N89*N$5)</f>
        <v/>
      </c>
      <c r="O93">
        <f>IF($A37="AEO",'Growth Rates'!O89,'Growth Rates'!O89*O$5)</f>
        <v/>
      </c>
      <c r="P93">
        <f>IF($A37="AEO",'Growth Rates'!P89,'Growth Rates'!P89*P$5)</f>
        <v/>
      </c>
      <c r="Q93">
        <f>IF($A37="AEO",'Growth Rates'!Q89,'Growth Rates'!Q89*Q$5)</f>
        <v/>
      </c>
      <c r="R93">
        <f>IF($A37="AEO",'Growth Rates'!R89,'Growth Rates'!R89*R$5)</f>
        <v/>
      </c>
      <c r="S93">
        <f>IF($A37="AEO",'Growth Rates'!S89,'Growth Rates'!S89*S$5)</f>
        <v/>
      </c>
      <c r="T93">
        <f>IF($A37="AEO",'Growth Rates'!T89,'Growth Rates'!T89*T$5)</f>
        <v/>
      </c>
      <c r="U93">
        <f>IF($A37="AEO",'Growth Rates'!U89,'Growth Rates'!U89*U$5)</f>
        <v/>
      </c>
      <c r="V93">
        <f>IF($A37="AEO",'Growth Rates'!V89,'Growth Rates'!V89*V$5)</f>
        <v/>
      </c>
      <c r="W93">
        <f>IF($A37="AEO",'Growth Rates'!W89,'Growth Rates'!W89*W$5)</f>
        <v/>
      </c>
      <c r="X93">
        <f>IF($A37="AEO",'Growth Rates'!X89,'Growth Rates'!X89*X$5)</f>
        <v/>
      </c>
      <c r="Y93">
        <f>IF($A37="AEO",'Growth Rates'!Y89,'Growth Rates'!Y89*Y$5)</f>
        <v/>
      </c>
      <c r="Z93">
        <f>IF($A37="AEO",'Growth Rates'!Z89,'Growth Rates'!Z89*Z$5)</f>
        <v/>
      </c>
      <c r="AA93">
        <f>IF($A37="AEO",'Growth Rates'!AA89,'Growth Rates'!AA89*AA$5)</f>
        <v/>
      </c>
      <c r="AB93">
        <f>IF($A37="AEO",'Growth Rates'!AB89,'Growth Rates'!AB89*AB$5)</f>
        <v/>
      </c>
      <c r="AC93">
        <f>IF($A37="AEO",'Growth Rates'!AC89,'Growth Rates'!AC89*AC$5)</f>
        <v/>
      </c>
    </row>
    <row r="94">
      <c r="B94" t="inlineStr">
        <is>
          <t>ISIC 352T353</t>
        </is>
      </c>
      <c r="C94" t="n">
        <v>0</v>
      </c>
      <c r="D94">
        <f>IF($A38="AEO",'Growth Rates'!D90,'Growth Rates'!D90*D$5)</f>
        <v/>
      </c>
      <c r="E94">
        <f>IF($A38="AEO",'Growth Rates'!E90,'Growth Rates'!E90*E$5)</f>
        <v/>
      </c>
      <c r="F94">
        <f>IF($A38="AEO",'Growth Rates'!F90,'Growth Rates'!F90*F$5)</f>
        <v/>
      </c>
      <c r="G94">
        <f>IF($A38="AEO",'Growth Rates'!G90,'Growth Rates'!G90*G$5)</f>
        <v/>
      </c>
      <c r="H94">
        <f>IF($A38="AEO",'Growth Rates'!H90,'Growth Rates'!H90*H$5)</f>
        <v/>
      </c>
      <c r="I94">
        <f>IF($A38="AEO",'Growth Rates'!I90,'Growth Rates'!I90*I$5)</f>
        <v/>
      </c>
      <c r="J94">
        <f>IF($A38="AEO",'Growth Rates'!J90,'Growth Rates'!J90*J$5)</f>
        <v/>
      </c>
      <c r="K94">
        <f>IF($A38="AEO",'Growth Rates'!K90,'Growth Rates'!K90*K$5)</f>
        <v/>
      </c>
      <c r="L94">
        <f>IF($A38="AEO",'Growth Rates'!L90,'Growth Rates'!L90*L$5)</f>
        <v/>
      </c>
      <c r="M94">
        <f>IF($A38="AEO",'Growth Rates'!M90,'Growth Rates'!M90*M$5)</f>
        <v/>
      </c>
      <c r="N94">
        <f>IF($A38="AEO",'Growth Rates'!N90,'Growth Rates'!N90*N$5)</f>
        <v/>
      </c>
      <c r="O94">
        <f>IF($A38="AEO",'Growth Rates'!O90,'Growth Rates'!O90*O$5)</f>
        <v/>
      </c>
      <c r="P94">
        <f>IF($A38="AEO",'Growth Rates'!P90,'Growth Rates'!P90*P$5)</f>
        <v/>
      </c>
      <c r="Q94">
        <f>IF($A38="AEO",'Growth Rates'!Q90,'Growth Rates'!Q90*Q$5)</f>
        <v/>
      </c>
      <c r="R94">
        <f>IF($A38="AEO",'Growth Rates'!R90,'Growth Rates'!R90*R$5)</f>
        <v/>
      </c>
      <c r="S94">
        <f>IF($A38="AEO",'Growth Rates'!S90,'Growth Rates'!S90*S$5)</f>
        <v/>
      </c>
      <c r="T94">
        <f>IF($A38="AEO",'Growth Rates'!T90,'Growth Rates'!T90*T$5)</f>
        <v/>
      </c>
      <c r="U94">
        <f>IF($A38="AEO",'Growth Rates'!U90,'Growth Rates'!U90*U$5)</f>
        <v/>
      </c>
      <c r="V94">
        <f>IF($A38="AEO",'Growth Rates'!V90,'Growth Rates'!V90*V$5)</f>
        <v/>
      </c>
      <c r="W94">
        <f>IF($A38="AEO",'Growth Rates'!W90,'Growth Rates'!W90*W$5)</f>
        <v/>
      </c>
      <c r="X94">
        <f>IF($A38="AEO",'Growth Rates'!X90,'Growth Rates'!X90*X$5)</f>
        <v/>
      </c>
      <c r="Y94">
        <f>IF($A38="AEO",'Growth Rates'!Y90,'Growth Rates'!Y90*Y$5)</f>
        <v/>
      </c>
      <c r="Z94">
        <f>IF($A38="AEO",'Growth Rates'!Z90,'Growth Rates'!Z90*Z$5)</f>
        <v/>
      </c>
      <c r="AA94">
        <f>IF($A38="AEO",'Growth Rates'!AA90,'Growth Rates'!AA90*AA$5)</f>
        <v/>
      </c>
      <c r="AB94">
        <f>IF($A38="AEO",'Growth Rates'!AB90,'Growth Rates'!AB90*AB$5)</f>
        <v/>
      </c>
      <c r="AC94">
        <f>IF($A38="AEO",'Growth Rates'!AC90,'Growth Rates'!AC90*AC$5)</f>
        <v/>
      </c>
    </row>
    <row r="95">
      <c r="B95" t="inlineStr">
        <is>
          <t>ISIC 36T39</t>
        </is>
      </c>
      <c r="C95" t="n">
        <v>0</v>
      </c>
      <c r="D95">
        <f>IF($A39="AEO",'Growth Rates'!D91,'Growth Rates'!D91*D$5)</f>
        <v/>
      </c>
      <c r="E95">
        <f>IF($A39="AEO",'Growth Rates'!E91,'Growth Rates'!E91*E$5)</f>
        <v/>
      </c>
      <c r="F95">
        <f>IF($A39="AEO",'Growth Rates'!F91,'Growth Rates'!F91*F$5)</f>
        <v/>
      </c>
      <c r="G95">
        <f>IF($A39="AEO",'Growth Rates'!G91,'Growth Rates'!G91*G$5)</f>
        <v/>
      </c>
      <c r="H95">
        <f>IF($A39="AEO",'Growth Rates'!H91,'Growth Rates'!H91*H$5)</f>
        <v/>
      </c>
      <c r="I95">
        <f>IF($A39="AEO",'Growth Rates'!I91,'Growth Rates'!I91*I$5)</f>
        <v/>
      </c>
      <c r="J95">
        <f>IF($A39="AEO",'Growth Rates'!J91,'Growth Rates'!J91*J$5)</f>
        <v/>
      </c>
      <c r="K95">
        <f>IF($A39="AEO",'Growth Rates'!K91,'Growth Rates'!K91*K$5)</f>
        <v/>
      </c>
      <c r="L95">
        <f>IF($A39="AEO",'Growth Rates'!L91,'Growth Rates'!L91*L$5)</f>
        <v/>
      </c>
      <c r="M95">
        <f>IF($A39="AEO",'Growth Rates'!M91,'Growth Rates'!M91*M$5)</f>
        <v/>
      </c>
      <c r="N95">
        <f>IF($A39="AEO",'Growth Rates'!N91,'Growth Rates'!N91*N$5)</f>
        <v/>
      </c>
      <c r="O95">
        <f>IF($A39="AEO",'Growth Rates'!O91,'Growth Rates'!O91*O$5)</f>
        <v/>
      </c>
      <c r="P95">
        <f>IF($A39="AEO",'Growth Rates'!P91,'Growth Rates'!P91*P$5)</f>
        <v/>
      </c>
      <c r="Q95">
        <f>IF($A39="AEO",'Growth Rates'!Q91,'Growth Rates'!Q91*Q$5)</f>
        <v/>
      </c>
      <c r="R95">
        <f>IF($A39="AEO",'Growth Rates'!R91,'Growth Rates'!R91*R$5)</f>
        <v/>
      </c>
      <c r="S95">
        <f>IF($A39="AEO",'Growth Rates'!S91,'Growth Rates'!S91*S$5)</f>
        <v/>
      </c>
      <c r="T95">
        <f>IF($A39="AEO",'Growth Rates'!T91,'Growth Rates'!T91*T$5)</f>
        <v/>
      </c>
      <c r="U95">
        <f>IF($A39="AEO",'Growth Rates'!U91,'Growth Rates'!U91*U$5)</f>
        <v/>
      </c>
      <c r="V95">
        <f>IF($A39="AEO",'Growth Rates'!V91,'Growth Rates'!V91*V$5)</f>
        <v/>
      </c>
      <c r="W95">
        <f>IF($A39="AEO",'Growth Rates'!W91,'Growth Rates'!W91*W$5)</f>
        <v/>
      </c>
      <c r="X95">
        <f>IF($A39="AEO",'Growth Rates'!X91,'Growth Rates'!X91*X$5)</f>
        <v/>
      </c>
      <c r="Y95">
        <f>IF($A39="AEO",'Growth Rates'!Y91,'Growth Rates'!Y91*Y$5)</f>
        <v/>
      </c>
      <c r="Z95">
        <f>IF($A39="AEO",'Growth Rates'!Z91,'Growth Rates'!Z91*Z$5)</f>
        <v/>
      </c>
      <c r="AA95">
        <f>IF($A39="AEO",'Growth Rates'!AA91,'Growth Rates'!AA91*AA$5)</f>
        <v/>
      </c>
      <c r="AB95">
        <f>IF($A39="AEO",'Growth Rates'!AB91,'Growth Rates'!AB91*AB$5)</f>
        <v/>
      </c>
      <c r="AC95">
        <f>IF($A39="AEO",'Growth Rates'!AC91,'Growth Rates'!AC91*AC$5)</f>
        <v/>
      </c>
    </row>
    <row r="96">
      <c r="B96" t="inlineStr">
        <is>
          <t>ISIC 41T43</t>
        </is>
      </c>
      <c r="C96" t="n">
        <v>0</v>
      </c>
      <c r="D96">
        <f>IF($A40="AEO",'Growth Rates'!D92,'Growth Rates'!D92*D$5)</f>
        <v/>
      </c>
      <c r="E96">
        <f>IF($A40="AEO",'Growth Rates'!E92,'Growth Rates'!E92*E$5)</f>
        <v/>
      </c>
      <c r="F96">
        <f>IF($A40="AEO",'Growth Rates'!F92,'Growth Rates'!F92*F$5)</f>
        <v/>
      </c>
      <c r="G96">
        <f>IF($A40="AEO",'Growth Rates'!G92,'Growth Rates'!G92*G$5)</f>
        <v/>
      </c>
      <c r="H96">
        <f>IF($A40="AEO",'Growth Rates'!H92,'Growth Rates'!H92*H$5)</f>
        <v/>
      </c>
      <c r="I96">
        <f>IF($A40="AEO",'Growth Rates'!I92,'Growth Rates'!I92*I$5)</f>
        <v/>
      </c>
      <c r="J96">
        <f>IF($A40="AEO",'Growth Rates'!J92,'Growth Rates'!J92*J$5)</f>
        <v/>
      </c>
      <c r="K96">
        <f>IF($A40="AEO",'Growth Rates'!K92,'Growth Rates'!K92*K$5)</f>
        <v/>
      </c>
      <c r="L96">
        <f>IF($A40="AEO",'Growth Rates'!L92,'Growth Rates'!L92*L$5)</f>
        <v/>
      </c>
      <c r="M96">
        <f>IF($A40="AEO",'Growth Rates'!M92,'Growth Rates'!M92*M$5)</f>
        <v/>
      </c>
      <c r="N96">
        <f>IF($A40="AEO",'Growth Rates'!N92,'Growth Rates'!N92*N$5)</f>
        <v/>
      </c>
      <c r="O96">
        <f>IF($A40="AEO",'Growth Rates'!O92,'Growth Rates'!O92*O$5)</f>
        <v/>
      </c>
      <c r="P96">
        <f>IF($A40="AEO",'Growth Rates'!P92,'Growth Rates'!P92*P$5)</f>
        <v/>
      </c>
      <c r="Q96">
        <f>IF($A40="AEO",'Growth Rates'!Q92,'Growth Rates'!Q92*Q$5)</f>
        <v/>
      </c>
      <c r="R96">
        <f>IF($A40="AEO",'Growth Rates'!R92,'Growth Rates'!R92*R$5)</f>
        <v/>
      </c>
      <c r="S96">
        <f>IF($A40="AEO",'Growth Rates'!S92,'Growth Rates'!S92*S$5)</f>
        <v/>
      </c>
      <c r="T96">
        <f>IF($A40="AEO",'Growth Rates'!T92,'Growth Rates'!T92*T$5)</f>
        <v/>
      </c>
      <c r="U96">
        <f>IF($A40="AEO",'Growth Rates'!U92,'Growth Rates'!U92*U$5)</f>
        <v/>
      </c>
      <c r="V96">
        <f>IF($A40="AEO",'Growth Rates'!V92,'Growth Rates'!V92*V$5)</f>
        <v/>
      </c>
      <c r="W96">
        <f>IF($A40="AEO",'Growth Rates'!W92,'Growth Rates'!W92*W$5)</f>
        <v/>
      </c>
      <c r="X96">
        <f>IF($A40="AEO",'Growth Rates'!X92,'Growth Rates'!X92*X$5)</f>
        <v/>
      </c>
      <c r="Y96">
        <f>IF($A40="AEO",'Growth Rates'!Y92,'Growth Rates'!Y92*Y$5)</f>
        <v/>
      </c>
      <c r="Z96">
        <f>IF($A40="AEO",'Growth Rates'!Z92,'Growth Rates'!Z92*Z$5)</f>
        <v/>
      </c>
      <c r="AA96">
        <f>IF($A40="AEO",'Growth Rates'!AA92,'Growth Rates'!AA92*AA$5)</f>
        <v/>
      </c>
      <c r="AB96">
        <f>IF($A40="AEO",'Growth Rates'!AB92,'Growth Rates'!AB92*AB$5)</f>
        <v/>
      </c>
      <c r="AC96">
        <f>IF($A40="AEO",'Growth Rates'!AC92,'Growth Rates'!AC92*AC$5)</f>
        <v/>
      </c>
    </row>
    <row r="97">
      <c r="B97" t="inlineStr">
        <is>
          <t>ISIC 45T47</t>
        </is>
      </c>
      <c r="C97" t="n">
        <v>0</v>
      </c>
      <c r="D97">
        <f>IF($A41="AEO",'Growth Rates'!D93,'Growth Rates'!D93*D$5)</f>
        <v/>
      </c>
      <c r="E97">
        <f>IF($A41="AEO",'Growth Rates'!E93,'Growth Rates'!E93*E$5)</f>
        <v/>
      </c>
      <c r="F97">
        <f>IF($A41="AEO",'Growth Rates'!F93,'Growth Rates'!F93*F$5)</f>
        <v/>
      </c>
      <c r="G97">
        <f>IF($A41="AEO",'Growth Rates'!G93,'Growth Rates'!G93*G$5)</f>
        <v/>
      </c>
      <c r="H97">
        <f>IF($A41="AEO",'Growth Rates'!H93,'Growth Rates'!H93*H$5)</f>
        <v/>
      </c>
      <c r="I97">
        <f>IF($A41="AEO",'Growth Rates'!I93,'Growth Rates'!I93*I$5)</f>
        <v/>
      </c>
      <c r="J97">
        <f>IF($A41="AEO",'Growth Rates'!J93,'Growth Rates'!J93*J$5)</f>
        <v/>
      </c>
      <c r="K97">
        <f>IF($A41="AEO",'Growth Rates'!K93,'Growth Rates'!K93*K$5)</f>
        <v/>
      </c>
      <c r="L97">
        <f>IF($A41="AEO",'Growth Rates'!L93,'Growth Rates'!L93*L$5)</f>
        <v/>
      </c>
      <c r="M97">
        <f>IF($A41="AEO",'Growth Rates'!M93,'Growth Rates'!M93*M$5)</f>
        <v/>
      </c>
      <c r="N97">
        <f>IF($A41="AEO",'Growth Rates'!N93,'Growth Rates'!N93*N$5)</f>
        <v/>
      </c>
      <c r="O97">
        <f>IF($A41="AEO",'Growth Rates'!O93,'Growth Rates'!O93*O$5)</f>
        <v/>
      </c>
      <c r="P97">
        <f>IF($A41="AEO",'Growth Rates'!P93,'Growth Rates'!P93*P$5)</f>
        <v/>
      </c>
      <c r="Q97">
        <f>IF($A41="AEO",'Growth Rates'!Q93,'Growth Rates'!Q93*Q$5)</f>
        <v/>
      </c>
      <c r="R97">
        <f>IF($A41="AEO",'Growth Rates'!R93,'Growth Rates'!R93*R$5)</f>
        <v/>
      </c>
      <c r="S97">
        <f>IF($A41="AEO",'Growth Rates'!S93,'Growth Rates'!S93*S$5)</f>
        <v/>
      </c>
      <c r="T97">
        <f>IF($A41="AEO",'Growth Rates'!T93,'Growth Rates'!T93*T$5)</f>
        <v/>
      </c>
      <c r="U97">
        <f>IF($A41="AEO",'Growth Rates'!U93,'Growth Rates'!U93*U$5)</f>
        <v/>
      </c>
      <c r="V97">
        <f>IF($A41="AEO",'Growth Rates'!V93,'Growth Rates'!V93*V$5)</f>
        <v/>
      </c>
      <c r="W97">
        <f>IF($A41="AEO",'Growth Rates'!W93,'Growth Rates'!W93*W$5)</f>
        <v/>
      </c>
      <c r="X97">
        <f>IF($A41="AEO",'Growth Rates'!X93,'Growth Rates'!X93*X$5)</f>
        <v/>
      </c>
      <c r="Y97">
        <f>IF($A41="AEO",'Growth Rates'!Y93,'Growth Rates'!Y93*Y$5)</f>
        <v/>
      </c>
      <c r="Z97">
        <f>IF($A41="AEO",'Growth Rates'!Z93,'Growth Rates'!Z93*Z$5)</f>
        <v/>
      </c>
      <c r="AA97">
        <f>IF($A41="AEO",'Growth Rates'!AA93,'Growth Rates'!AA93*AA$5)</f>
        <v/>
      </c>
      <c r="AB97">
        <f>IF($A41="AEO",'Growth Rates'!AB93,'Growth Rates'!AB93*AB$5)</f>
        <v/>
      </c>
      <c r="AC97">
        <f>IF($A41="AEO",'Growth Rates'!AC93,'Growth Rates'!AC93*AC$5)</f>
        <v/>
      </c>
    </row>
    <row r="98">
      <c r="B98" t="inlineStr">
        <is>
          <t>ISIC 49</t>
        </is>
      </c>
      <c r="C98" t="n">
        <v>0</v>
      </c>
      <c r="D98">
        <f>IF($A42="AEO",'Growth Rates'!D94,'Growth Rates'!D94*D$5)</f>
        <v/>
      </c>
      <c r="E98">
        <f>IF($A42="AEO",'Growth Rates'!E94,'Growth Rates'!E94*E$5)</f>
        <v/>
      </c>
      <c r="F98">
        <f>IF($A42="AEO",'Growth Rates'!F94,'Growth Rates'!F94*F$5)</f>
        <v/>
      </c>
      <c r="G98">
        <f>IF($A42="AEO",'Growth Rates'!G94,'Growth Rates'!G94*G$5)</f>
        <v/>
      </c>
      <c r="H98">
        <f>IF($A42="AEO",'Growth Rates'!H94,'Growth Rates'!H94*H$5)</f>
        <v/>
      </c>
      <c r="I98">
        <f>IF($A42="AEO",'Growth Rates'!I94,'Growth Rates'!I94*I$5)</f>
        <v/>
      </c>
      <c r="J98">
        <f>IF($A42="AEO",'Growth Rates'!J94,'Growth Rates'!J94*J$5)</f>
        <v/>
      </c>
      <c r="K98">
        <f>IF($A42="AEO",'Growth Rates'!K94,'Growth Rates'!K94*K$5)</f>
        <v/>
      </c>
      <c r="L98">
        <f>IF($A42="AEO",'Growth Rates'!L94,'Growth Rates'!L94*L$5)</f>
        <v/>
      </c>
      <c r="M98">
        <f>IF($A42="AEO",'Growth Rates'!M94,'Growth Rates'!M94*M$5)</f>
        <v/>
      </c>
      <c r="N98">
        <f>IF($A42="AEO",'Growth Rates'!N94,'Growth Rates'!N94*N$5)</f>
        <v/>
      </c>
      <c r="O98">
        <f>IF($A42="AEO",'Growth Rates'!O94,'Growth Rates'!O94*O$5)</f>
        <v/>
      </c>
      <c r="P98">
        <f>IF($A42="AEO",'Growth Rates'!P94,'Growth Rates'!P94*P$5)</f>
        <v/>
      </c>
      <c r="Q98">
        <f>IF($A42="AEO",'Growth Rates'!Q94,'Growth Rates'!Q94*Q$5)</f>
        <v/>
      </c>
      <c r="R98">
        <f>IF($A42="AEO",'Growth Rates'!R94,'Growth Rates'!R94*R$5)</f>
        <v/>
      </c>
      <c r="S98">
        <f>IF($A42="AEO",'Growth Rates'!S94,'Growth Rates'!S94*S$5)</f>
        <v/>
      </c>
      <c r="T98">
        <f>IF($A42="AEO",'Growth Rates'!T94,'Growth Rates'!T94*T$5)</f>
        <v/>
      </c>
      <c r="U98">
        <f>IF($A42="AEO",'Growth Rates'!U94,'Growth Rates'!U94*U$5)</f>
        <v/>
      </c>
      <c r="V98">
        <f>IF($A42="AEO",'Growth Rates'!V94,'Growth Rates'!V94*V$5)</f>
        <v/>
      </c>
      <c r="W98">
        <f>IF($A42="AEO",'Growth Rates'!W94,'Growth Rates'!W94*W$5)</f>
        <v/>
      </c>
      <c r="X98">
        <f>IF($A42="AEO",'Growth Rates'!X94,'Growth Rates'!X94*X$5)</f>
        <v/>
      </c>
      <c r="Y98">
        <f>IF($A42="AEO",'Growth Rates'!Y94,'Growth Rates'!Y94*Y$5)</f>
        <v/>
      </c>
      <c r="Z98">
        <f>IF($A42="AEO",'Growth Rates'!Z94,'Growth Rates'!Z94*Z$5)</f>
        <v/>
      </c>
      <c r="AA98">
        <f>IF($A42="AEO",'Growth Rates'!AA94,'Growth Rates'!AA94*AA$5)</f>
        <v/>
      </c>
      <c r="AB98">
        <f>IF($A42="AEO",'Growth Rates'!AB94,'Growth Rates'!AB94*AB$5)</f>
        <v/>
      </c>
      <c r="AC98">
        <f>IF($A42="AEO",'Growth Rates'!AC94,'Growth Rates'!AC94*AC$5)</f>
        <v/>
      </c>
    </row>
    <row r="99">
      <c r="B99" t="inlineStr">
        <is>
          <t>ISIC 50</t>
        </is>
      </c>
      <c r="C99" t="n">
        <v>0</v>
      </c>
      <c r="D99">
        <f>IF($A43="AEO",'Growth Rates'!D95,'Growth Rates'!D95*D$5)</f>
        <v/>
      </c>
      <c r="E99">
        <f>IF($A43="AEO",'Growth Rates'!E95,'Growth Rates'!E95*E$5)</f>
        <v/>
      </c>
      <c r="F99">
        <f>IF($A43="AEO",'Growth Rates'!F95,'Growth Rates'!F95*F$5)</f>
        <v/>
      </c>
      <c r="G99">
        <f>IF($A43="AEO",'Growth Rates'!G95,'Growth Rates'!G95*G$5)</f>
        <v/>
      </c>
      <c r="H99">
        <f>IF($A43="AEO",'Growth Rates'!H95,'Growth Rates'!H95*H$5)</f>
        <v/>
      </c>
      <c r="I99">
        <f>IF($A43="AEO",'Growth Rates'!I95,'Growth Rates'!I95*I$5)</f>
        <v/>
      </c>
      <c r="J99">
        <f>IF($A43="AEO",'Growth Rates'!J95,'Growth Rates'!J95*J$5)</f>
        <v/>
      </c>
      <c r="K99">
        <f>IF($A43="AEO",'Growth Rates'!K95,'Growth Rates'!K95*K$5)</f>
        <v/>
      </c>
      <c r="L99">
        <f>IF($A43="AEO",'Growth Rates'!L95,'Growth Rates'!L95*L$5)</f>
        <v/>
      </c>
      <c r="M99">
        <f>IF($A43="AEO",'Growth Rates'!M95,'Growth Rates'!M95*M$5)</f>
        <v/>
      </c>
      <c r="N99">
        <f>IF($A43="AEO",'Growth Rates'!N95,'Growth Rates'!N95*N$5)</f>
        <v/>
      </c>
      <c r="O99">
        <f>IF($A43="AEO",'Growth Rates'!O95,'Growth Rates'!O95*O$5)</f>
        <v/>
      </c>
      <c r="P99">
        <f>IF($A43="AEO",'Growth Rates'!P95,'Growth Rates'!P95*P$5)</f>
        <v/>
      </c>
      <c r="Q99">
        <f>IF($A43="AEO",'Growth Rates'!Q95,'Growth Rates'!Q95*Q$5)</f>
        <v/>
      </c>
      <c r="R99">
        <f>IF($A43="AEO",'Growth Rates'!R95,'Growth Rates'!R95*R$5)</f>
        <v/>
      </c>
      <c r="S99">
        <f>IF($A43="AEO",'Growth Rates'!S95,'Growth Rates'!S95*S$5)</f>
        <v/>
      </c>
      <c r="T99">
        <f>IF($A43="AEO",'Growth Rates'!T95,'Growth Rates'!T95*T$5)</f>
        <v/>
      </c>
      <c r="U99">
        <f>IF($A43="AEO",'Growth Rates'!U95,'Growth Rates'!U95*U$5)</f>
        <v/>
      </c>
      <c r="V99">
        <f>IF($A43="AEO",'Growth Rates'!V95,'Growth Rates'!V95*V$5)</f>
        <v/>
      </c>
      <c r="W99">
        <f>IF($A43="AEO",'Growth Rates'!W95,'Growth Rates'!W95*W$5)</f>
        <v/>
      </c>
      <c r="X99">
        <f>IF($A43="AEO",'Growth Rates'!X95,'Growth Rates'!X95*X$5)</f>
        <v/>
      </c>
      <c r="Y99">
        <f>IF($A43="AEO",'Growth Rates'!Y95,'Growth Rates'!Y95*Y$5)</f>
        <v/>
      </c>
      <c r="Z99">
        <f>IF($A43="AEO",'Growth Rates'!Z95,'Growth Rates'!Z95*Z$5)</f>
        <v/>
      </c>
      <c r="AA99">
        <f>IF($A43="AEO",'Growth Rates'!AA95,'Growth Rates'!AA95*AA$5)</f>
        <v/>
      </c>
      <c r="AB99">
        <f>IF($A43="AEO",'Growth Rates'!AB95,'Growth Rates'!AB95*AB$5)</f>
        <v/>
      </c>
      <c r="AC99">
        <f>IF($A43="AEO",'Growth Rates'!AC95,'Growth Rates'!AC95*AC$5)</f>
        <v/>
      </c>
    </row>
    <row r="100">
      <c r="B100" t="inlineStr">
        <is>
          <t>ISIC 51</t>
        </is>
      </c>
      <c r="C100" t="n">
        <v>0</v>
      </c>
      <c r="D100">
        <f>IF($A44="AEO",'Growth Rates'!D96,'Growth Rates'!D96*D$5)</f>
        <v/>
      </c>
      <c r="E100">
        <f>IF($A44="AEO",'Growth Rates'!E96,'Growth Rates'!E96*E$5)</f>
        <v/>
      </c>
      <c r="F100">
        <f>IF($A44="AEO",'Growth Rates'!F96,'Growth Rates'!F96*F$5)</f>
        <v/>
      </c>
      <c r="G100">
        <f>IF($A44="AEO",'Growth Rates'!G96,'Growth Rates'!G96*G$5)</f>
        <v/>
      </c>
      <c r="H100">
        <f>IF($A44="AEO",'Growth Rates'!H96,'Growth Rates'!H96*H$5)</f>
        <v/>
      </c>
      <c r="I100">
        <f>IF($A44="AEO",'Growth Rates'!I96,'Growth Rates'!I96*I$5)</f>
        <v/>
      </c>
      <c r="J100">
        <f>IF($A44="AEO",'Growth Rates'!J96,'Growth Rates'!J96*J$5)</f>
        <v/>
      </c>
      <c r="K100">
        <f>IF($A44="AEO",'Growth Rates'!K96,'Growth Rates'!K96*K$5)</f>
        <v/>
      </c>
      <c r="L100">
        <f>IF($A44="AEO",'Growth Rates'!L96,'Growth Rates'!L96*L$5)</f>
        <v/>
      </c>
      <c r="M100">
        <f>IF($A44="AEO",'Growth Rates'!M96,'Growth Rates'!M96*M$5)</f>
        <v/>
      </c>
      <c r="N100">
        <f>IF($A44="AEO",'Growth Rates'!N96,'Growth Rates'!N96*N$5)</f>
        <v/>
      </c>
      <c r="O100">
        <f>IF($A44="AEO",'Growth Rates'!O96,'Growth Rates'!O96*O$5)</f>
        <v/>
      </c>
      <c r="P100">
        <f>IF($A44="AEO",'Growth Rates'!P96,'Growth Rates'!P96*P$5)</f>
        <v/>
      </c>
      <c r="Q100">
        <f>IF($A44="AEO",'Growth Rates'!Q96,'Growth Rates'!Q96*Q$5)</f>
        <v/>
      </c>
      <c r="R100">
        <f>IF($A44="AEO",'Growth Rates'!R96,'Growth Rates'!R96*R$5)</f>
        <v/>
      </c>
      <c r="S100">
        <f>IF($A44="AEO",'Growth Rates'!S96,'Growth Rates'!S96*S$5)</f>
        <v/>
      </c>
      <c r="T100">
        <f>IF($A44="AEO",'Growth Rates'!T96,'Growth Rates'!T96*T$5)</f>
        <v/>
      </c>
      <c r="U100">
        <f>IF($A44="AEO",'Growth Rates'!U96,'Growth Rates'!U96*U$5)</f>
        <v/>
      </c>
      <c r="V100">
        <f>IF($A44="AEO",'Growth Rates'!V96,'Growth Rates'!V96*V$5)</f>
        <v/>
      </c>
      <c r="W100">
        <f>IF($A44="AEO",'Growth Rates'!W96,'Growth Rates'!W96*W$5)</f>
        <v/>
      </c>
      <c r="X100">
        <f>IF($A44="AEO",'Growth Rates'!X96,'Growth Rates'!X96*X$5)</f>
        <v/>
      </c>
      <c r="Y100">
        <f>IF($A44="AEO",'Growth Rates'!Y96,'Growth Rates'!Y96*Y$5)</f>
        <v/>
      </c>
      <c r="Z100">
        <f>IF($A44="AEO",'Growth Rates'!Z96,'Growth Rates'!Z96*Z$5)</f>
        <v/>
      </c>
      <c r="AA100">
        <f>IF($A44="AEO",'Growth Rates'!AA96,'Growth Rates'!AA96*AA$5)</f>
        <v/>
      </c>
      <c r="AB100">
        <f>IF($A44="AEO",'Growth Rates'!AB96,'Growth Rates'!AB96*AB$5)</f>
        <v/>
      </c>
      <c r="AC100">
        <f>IF($A44="AEO",'Growth Rates'!AC96,'Growth Rates'!AC96*AC$5)</f>
        <v/>
      </c>
    </row>
    <row r="101">
      <c r="B101" t="inlineStr">
        <is>
          <t>ISIC 52</t>
        </is>
      </c>
      <c r="C101" t="n">
        <v>0</v>
      </c>
      <c r="D101">
        <f>IF($A45="AEO",'Growth Rates'!D97,'Growth Rates'!D97*D$5)</f>
        <v/>
      </c>
      <c r="E101">
        <f>IF($A45="AEO",'Growth Rates'!E97,'Growth Rates'!E97*E$5)</f>
        <v/>
      </c>
      <c r="F101">
        <f>IF($A45="AEO",'Growth Rates'!F97,'Growth Rates'!F97*F$5)</f>
        <v/>
      </c>
      <c r="G101">
        <f>IF($A45="AEO",'Growth Rates'!G97,'Growth Rates'!G97*G$5)</f>
        <v/>
      </c>
      <c r="H101">
        <f>IF($A45="AEO",'Growth Rates'!H97,'Growth Rates'!H97*H$5)</f>
        <v/>
      </c>
      <c r="I101">
        <f>IF($A45="AEO",'Growth Rates'!I97,'Growth Rates'!I97*I$5)</f>
        <v/>
      </c>
      <c r="J101">
        <f>IF($A45="AEO",'Growth Rates'!J97,'Growth Rates'!J97*J$5)</f>
        <v/>
      </c>
      <c r="K101">
        <f>IF($A45="AEO",'Growth Rates'!K97,'Growth Rates'!K97*K$5)</f>
        <v/>
      </c>
      <c r="L101">
        <f>IF($A45="AEO",'Growth Rates'!L97,'Growth Rates'!L97*L$5)</f>
        <v/>
      </c>
      <c r="M101">
        <f>IF($A45="AEO",'Growth Rates'!M97,'Growth Rates'!M97*M$5)</f>
        <v/>
      </c>
      <c r="N101">
        <f>IF($A45="AEO",'Growth Rates'!N97,'Growth Rates'!N97*N$5)</f>
        <v/>
      </c>
      <c r="O101">
        <f>IF($A45="AEO",'Growth Rates'!O97,'Growth Rates'!O97*O$5)</f>
        <v/>
      </c>
      <c r="P101">
        <f>IF($A45="AEO",'Growth Rates'!P97,'Growth Rates'!P97*P$5)</f>
        <v/>
      </c>
      <c r="Q101">
        <f>IF($A45="AEO",'Growth Rates'!Q97,'Growth Rates'!Q97*Q$5)</f>
        <v/>
      </c>
      <c r="R101">
        <f>IF($A45="AEO",'Growth Rates'!R97,'Growth Rates'!R97*R$5)</f>
        <v/>
      </c>
      <c r="S101">
        <f>IF($A45="AEO",'Growth Rates'!S97,'Growth Rates'!S97*S$5)</f>
        <v/>
      </c>
      <c r="T101">
        <f>IF($A45="AEO",'Growth Rates'!T97,'Growth Rates'!T97*T$5)</f>
        <v/>
      </c>
      <c r="U101">
        <f>IF($A45="AEO",'Growth Rates'!U97,'Growth Rates'!U97*U$5)</f>
        <v/>
      </c>
      <c r="V101">
        <f>IF($A45="AEO",'Growth Rates'!V97,'Growth Rates'!V97*V$5)</f>
        <v/>
      </c>
      <c r="W101">
        <f>IF($A45="AEO",'Growth Rates'!W97,'Growth Rates'!W97*W$5)</f>
        <v/>
      </c>
      <c r="X101">
        <f>IF($A45="AEO",'Growth Rates'!X97,'Growth Rates'!X97*X$5)</f>
        <v/>
      </c>
      <c r="Y101">
        <f>IF($A45="AEO",'Growth Rates'!Y97,'Growth Rates'!Y97*Y$5)</f>
        <v/>
      </c>
      <c r="Z101">
        <f>IF($A45="AEO",'Growth Rates'!Z97,'Growth Rates'!Z97*Z$5)</f>
        <v/>
      </c>
      <c r="AA101">
        <f>IF($A45="AEO",'Growth Rates'!AA97,'Growth Rates'!AA97*AA$5)</f>
        <v/>
      </c>
      <c r="AB101">
        <f>IF($A45="AEO",'Growth Rates'!AB97,'Growth Rates'!AB97*AB$5)</f>
        <v/>
      </c>
      <c r="AC101">
        <f>IF($A45="AEO",'Growth Rates'!AC97,'Growth Rates'!AC97*AC$5)</f>
        <v/>
      </c>
    </row>
    <row r="102">
      <c r="B102" t="inlineStr">
        <is>
          <t>ISIC 53</t>
        </is>
      </c>
      <c r="C102" t="n">
        <v>0</v>
      </c>
      <c r="D102">
        <f>IF($A46="AEO",'Growth Rates'!D98,'Growth Rates'!D98*D$5)</f>
        <v/>
      </c>
      <c r="E102">
        <f>IF($A46="AEO",'Growth Rates'!E98,'Growth Rates'!E98*E$5)</f>
        <v/>
      </c>
      <c r="F102">
        <f>IF($A46="AEO",'Growth Rates'!F98,'Growth Rates'!F98*F$5)</f>
        <v/>
      </c>
      <c r="G102">
        <f>IF($A46="AEO",'Growth Rates'!G98,'Growth Rates'!G98*G$5)</f>
        <v/>
      </c>
      <c r="H102">
        <f>IF($A46="AEO",'Growth Rates'!H98,'Growth Rates'!H98*H$5)</f>
        <v/>
      </c>
      <c r="I102">
        <f>IF($A46="AEO",'Growth Rates'!I98,'Growth Rates'!I98*I$5)</f>
        <v/>
      </c>
      <c r="J102">
        <f>IF($A46="AEO",'Growth Rates'!J98,'Growth Rates'!J98*J$5)</f>
        <v/>
      </c>
      <c r="K102">
        <f>IF($A46="AEO",'Growth Rates'!K98,'Growth Rates'!K98*K$5)</f>
        <v/>
      </c>
      <c r="L102">
        <f>IF($A46="AEO",'Growth Rates'!L98,'Growth Rates'!L98*L$5)</f>
        <v/>
      </c>
      <c r="M102">
        <f>IF($A46="AEO",'Growth Rates'!M98,'Growth Rates'!M98*M$5)</f>
        <v/>
      </c>
      <c r="N102">
        <f>IF($A46="AEO",'Growth Rates'!N98,'Growth Rates'!N98*N$5)</f>
        <v/>
      </c>
      <c r="O102">
        <f>IF($A46="AEO",'Growth Rates'!O98,'Growth Rates'!O98*O$5)</f>
        <v/>
      </c>
      <c r="P102">
        <f>IF($A46="AEO",'Growth Rates'!P98,'Growth Rates'!P98*P$5)</f>
        <v/>
      </c>
      <c r="Q102">
        <f>IF($A46="AEO",'Growth Rates'!Q98,'Growth Rates'!Q98*Q$5)</f>
        <v/>
      </c>
      <c r="R102">
        <f>IF($A46="AEO",'Growth Rates'!R98,'Growth Rates'!R98*R$5)</f>
        <v/>
      </c>
      <c r="S102">
        <f>IF($A46="AEO",'Growth Rates'!S98,'Growth Rates'!S98*S$5)</f>
        <v/>
      </c>
      <c r="T102">
        <f>IF($A46="AEO",'Growth Rates'!T98,'Growth Rates'!T98*T$5)</f>
        <v/>
      </c>
      <c r="U102">
        <f>IF($A46="AEO",'Growth Rates'!U98,'Growth Rates'!U98*U$5)</f>
        <v/>
      </c>
      <c r="V102">
        <f>IF($A46="AEO",'Growth Rates'!V98,'Growth Rates'!V98*V$5)</f>
        <v/>
      </c>
      <c r="W102">
        <f>IF($A46="AEO",'Growth Rates'!W98,'Growth Rates'!W98*W$5)</f>
        <v/>
      </c>
      <c r="X102">
        <f>IF($A46="AEO",'Growth Rates'!X98,'Growth Rates'!X98*X$5)</f>
        <v/>
      </c>
      <c r="Y102">
        <f>IF($A46="AEO",'Growth Rates'!Y98,'Growth Rates'!Y98*Y$5)</f>
        <v/>
      </c>
      <c r="Z102">
        <f>IF($A46="AEO",'Growth Rates'!Z98,'Growth Rates'!Z98*Z$5)</f>
        <v/>
      </c>
      <c r="AA102">
        <f>IF($A46="AEO",'Growth Rates'!AA98,'Growth Rates'!AA98*AA$5)</f>
        <v/>
      </c>
      <c r="AB102">
        <f>IF($A46="AEO",'Growth Rates'!AB98,'Growth Rates'!AB98*AB$5)</f>
        <v/>
      </c>
      <c r="AC102">
        <f>IF($A46="AEO",'Growth Rates'!AC98,'Growth Rates'!AC98*AC$5)</f>
        <v/>
      </c>
    </row>
    <row r="103">
      <c r="B103" t="inlineStr">
        <is>
          <t>ISIC 55T56</t>
        </is>
      </c>
      <c r="C103" t="n">
        <v>0</v>
      </c>
      <c r="D103">
        <f>IF($A47="AEO",'Growth Rates'!D99,'Growth Rates'!D99*D$5)</f>
        <v/>
      </c>
      <c r="E103">
        <f>IF($A47="AEO",'Growth Rates'!E99,'Growth Rates'!E99*E$5)</f>
        <v/>
      </c>
      <c r="F103">
        <f>IF($A47="AEO",'Growth Rates'!F99,'Growth Rates'!F99*F$5)</f>
        <v/>
      </c>
      <c r="G103">
        <f>IF($A47="AEO",'Growth Rates'!G99,'Growth Rates'!G99*G$5)</f>
        <v/>
      </c>
      <c r="H103">
        <f>IF($A47="AEO",'Growth Rates'!H99,'Growth Rates'!H99*H$5)</f>
        <v/>
      </c>
      <c r="I103">
        <f>IF($A47="AEO",'Growth Rates'!I99,'Growth Rates'!I99*I$5)</f>
        <v/>
      </c>
      <c r="J103">
        <f>IF($A47="AEO",'Growth Rates'!J99,'Growth Rates'!J99*J$5)</f>
        <v/>
      </c>
      <c r="K103">
        <f>IF($A47="AEO",'Growth Rates'!K99,'Growth Rates'!K99*K$5)</f>
        <v/>
      </c>
      <c r="L103">
        <f>IF($A47="AEO",'Growth Rates'!L99,'Growth Rates'!L99*L$5)</f>
        <v/>
      </c>
      <c r="M103">
        <f>IF($A47="AEO",'Growth Rates'!M99,'Growth Rates'!M99*M$5)</f>
        <v/>
      </c>
      <c r="N103">
        <f>IF($A47="AEO",'Growth Rates'!N99,'Growth Rates'!N99*N$5)</f>
        <v/>
      </c>
      <c r="O103">
        <f>IF($A47="AEO",'Growth Rates'!O99,'Growth Rates'!O99*O$5)</f>
        <v/>
      </c>
      <c r="P103">
        <f>IF($A47="AEO",'Growth Rates'!P99,'Growth Rates'!P99*P$5)</f>
        <v/>
      </c>
      <c r="Q103">
        <f>IF($A47="AEO",'Growth Rates'!Q99,'Growth Rates'!Q99*Q$5)</f>
        <v/>
      </c>
      <c r="R103">
        <f>IF($A47="AEO",'Growth Rates'!R99,'Growth Rates'!R99*R$5)</f>
        <v/>
      </c>
      <c r="S103">
        <f>IF($A47="AEO",'Growth Rates'!S99,'Growth Rates'!S99*S$5)</f>
        <v/>
      </c>
      <c r="T103">
        <f>IF($A47="AEO",'Growth Rates'!T99,'Growth Rates'!T99*T$5)</f>
        <v/>
      </c>
      <c r="U103">
        <f>IF($A47="AEO",'Growth Rates'!U99,'Growth Rates'!U99*U$5)</f>
        <v/>
      </c>
      <c r="V103">
        <f>IF($A47="AEO",'Growth Rates'!V99,'Growth Rates'!V99*V$5)</f>
        <v/>
      </c>
      <c r="W103">
        <f>IF($A47="AEO",'Growth Rates'!W99,'Growth Rates'!W99*W$5)</f>
        <v/>
      </c>
      <c r="X103">
        <f>IF($A47="AEO",'Growth Rates'!X99,'Growth Rates'!X99*X$5)</f>
        <v/>
      </c>
      <c r="Y103">
        <f>IF($A47="AEO",'Growth Rates'!Y99,'Growth Rates'!Y99*Y$5)</f>
        <v/>
      </c>
      <c r="Z103">
        <f>IF($A47="AEO",'Growth Rates'!Z99,'Growth Rates'!Z99*Z$5)</f>
        <v/>
      </c>
      <c r="AA103">
        <f>IF($A47="AEO",'Growth Rates'!AA99,'Growth Rates'!AA99*AA$5)</f>
        <v/>
      </c>
      <c r="AB103">
        <f>IF($A47="AEO",'Growth Rates'!AB99,'Growth Rates'!AB99*AB$5)</f>
        <v/>
      </c>
      <c r="AC103">
        <f>IF($A47="AEO",'Growth Rates'!AC99,'Growth Rates'!AC99*AC$5)</f>
        <v/>
      </c>
    </row>
    <row r="104">
      <c r="B104" t="inlineStr">
        <is>
          <t>ISIC 58T60</t>
        </is>
      </c>
      <c r="C104" t="n">
        <v>0</v>
      </c>
      <c r="D104">
        <f>IF($A48="AEO",'Growth Rates'!D100,'Growth Rates'!D100*D$5)</f>
        <v/>
      </c>
      <c r="E104">
        <f>IF($A48="AEO",'Growth Rates'!E100,'Growth Rates'!E100*E$5)</f>
        <v/>
      </c>
      <c r="F104">
        <f>IF($A48="AEO",'Growth Rates'!F100,'Growth Rates'!F100*F$5)</f>
        <v/>
      </c>
      <c r="G104">
        <f>IF($A48="AEO",'Growth Rates'!G100,'Growth Rates'!G100*G$5)</f>
        <v/>
      </c>
      <c r="H104">
        <f>IF($A48="AEO",'Growth Rates'!H100,'Growth Rates'!H100*H$5)</f>
        <v/>
      </c>
      <c r="I104">
        <f>IF($A48="AEO",'Growth Rates'!I100,'Growth Rates'!I100*I$5)</f>
        <v/>
      </c>
      <c r="J104">
        <f>IF($A48="AEO",'Growth Rates'!J100,'Growth Rates'!J100*J$5)</f>
        <v/>
      </c>
      <c r="K104">
        <f>IF($A48="AEO",'Growth Rates'!K100,'Growth Rates'!K100*K$5)</f>
        <v/>
      </c>
      <c r="L104">
        <f>IF($A48="AEO",'Growth Rates'!L100,'Growth Rates'!L100*L$5)</f>
        <v/>
      </c>
      <c r="M104">
        <f>IF($A48="AEO",'Growth Rates'!M100,'Growth Rates'!M100*M$5)</f>
        <v/>
      </c>
      <c r="N104">
        <f>IF($A48="AEO",'Growth Rates'!N100,'Growth Rates'!N100*N$5)</f>
        <v/>
      </c>
      <c r="O104">
        <f>IF($A48="AEO",'Growth Rates'!O100,'Growth Rates'!O100*O$5)</f>
        <v/>
      </c>
      <c r="P104">
        <f>IF($A48="AEO",'Growth Rates'!P100,'Growth Rates'!P100*P$5)</f>
        <v/>
      </c>
      <c r="Q104">
        <f>IF($A48="AEO",'Growth Rates'!Q100,'Growth Rates'!Q100*Q$5)</f>
        <v/>
      </c>
      <c r="R104">
        <f>IF($A48="AEO",'Growth Rates'!R100,'Growth Rates'!R100*R$5)</f>
        <v/>
      </c>
      <c r="S104">
        <f>IF($A48="AEO",'Growth Rates'!S100,'Growth Rates'!S100*S$5)</f>
        <v/>
      </c>
      <c r="T104">
        <f>IF($A48="AEO",'Growth Rates'!T100,'Growth Rates'!T100*T$5)</f>
        <v/>
      </c>
      <c r="U104">
        <f>IF($A48="AEO",'Growth Rates'!U100,'Growth Rates'!U100*U$5)</f>
        <v/>
      </c>
      <c r="V104">
        <f>IF($A48="AEO",'Growth Rates'!V100,'Growth Rates'!V100*V$5)</f>
        <v/>
      </c>
      <c r="W104">
        <f>IF($A48="AEO",'Growth Rates'!W100,'Growth Rates'!W100*W$5)</f>
        <v/>
      </c>
      <c r="X104">
        <f>IF($A48="AEO",'Growth Rates'!X100,'Growth Rates'!X100*X$5)</f>
        <v/>
      </c>
      <c r="Y104">
        <f>IF($A48="AEO",'Growth Rates'!Y100,'Growth Rates'!Y100*Y$5)</f>
        <v/>
      </c>
      <c r="Z104">
        <f>IF($A48="AEO",'Growth Rates'!Z100,'Growth Rates'!Z100*Z$5)</f>
        <v/>
      </c>
      <c r="AA104">
        <f>IF($A48="AEO",'Growth Rates'!AA100,'Growth Rates'!AA100*AA$5)</f>
        <v/>
      </c>
      <c r="AB104">
        <f>IF($A48="AEO",'Growth Rates'!AB100,'Growth Rates'!AB100*AB$5)</f>
        <v/>
      </c>
      <c r="AC104">
        <f>IF($A48="AEO",'Growth Rates'!AC100,'Growth Rates'!AC100*AC$5)</f>
        <v/>
      </c>
    </row>
    <row r="105">
      <c r="B105" t="inlineStr">
        <is>
          <t>ISIC 61</t>
        </is>
      </c>
      <c r="C105" t="n">
        <v>0</v>
      </c>
      <c r="D105">
        <f>IF($A49="AEO",'Growth Rates'!D101,'Growth Rates'!D101*D$5)</f>
        <v/>
      </c>
      <c r="E105">
        <f>IF($A49="AEO",'Growth Rates'!E101,'Growth Rates'!E101*E$5)</f>
        <v/>
      </c>
      <c r="F105">
        <f>IF($A49="AEO",'Growth Rates'!F101,'Growth Rates'!F101*F$5)</f>
        <v/>
      </c>
      <c r="G105">
        <f>IF($A49="AEO",'Growth Rates'!G101,'Growth Rates'!G101*G$5)</f>
        <v/>
      </c>
      <c r="H105">
        <f>IF($A49="AEO",'Growth Rates'!H101,'Growth Rates'!H101*H$5)</f>
        <v/>
      </c>
      <c r="I105">
        <f>IF($A49="AEO",'Growth Rates'!I101,'Growth Rates'!I101*I$5)</f>
        <v/>
      </c>
      <c r="J105">
        <f>IF($A49="AEO",'Growth Rates'!J101,'Growth Rates'!J101*J$5)</f>
        <v/>
      </c>
      <c r="K105">
        <f>IF($A49="AEO",'Growth Rates'!K101,'Growth Rates'!K101*K$5)</f>
        <v/>
      </c>
      <c r="L105">
        <f>IF($A49="AEO",'Growth Rates'!L101,'Growth Rates'!L101*L$5)</f>
        <v/>
      </c>
      <c r="M105">
        <f>IF($A49="AEO",'Growth Rates'!M101,'Growth Rates'!M101*M$5)</f>
        <v/>
      </c>
      <c r="N105">
        <f>IF($A49="AEO",'Growth Rates'!N101,'Growth Rates'!N101*N$5)</f>
        <v/>
      </c>
      <c r="O105">
        <f>IF($A49="AEO",'Growth Rates'!O101,'Growth Rates'!O101*O$5)</f>
        <v/>
      </c>
      <c r="P105">
        <f>IF($A49="AEO",'Growth Rates'!P101,'Growth Rates'!P101*P$5)</f>
        <v/>
      </c>
      <c r="Q105">
        <f>IF($A49="AEO",'Growth Rates'!Q101,'Growth Rates'!Q101*Q$5)</f>
        <v/>
      </c>
      <c r="R105">
        <f>IF($A49="AEO",'Growth Rates'!R101,'Growth Rates'!R101*R$5)</f>
        <v/>
      </c>
      <c r="S105">
        <f>IF($A49="AEO",'Growth Rates'!S101,'Growth Rates'!S101*S$5)</f>
        <v/>
      </c>
      <c r="T105">
        <f>IF($A49="AEO",'Growth Rates'!T101,'Growth Rates'!T101*T$5)</f>
        <v/>
      </c>
      <c r="U105">
        <f>IF($A49="AEO",'Growth Rates'!U101,'Growth Rates'!U101*U$5)</f>
        <v/>
      </c>
      <c r="V105">
        <f>IF($A49="AEO",'Growth Rates'!V101,'Growth Rates'!V101*V$5)</f>
        <v/>
      </c>
      <c r="W105">
        <f>IF($A49="AEO",'Growth Rates'!W101,'Growth Rates'!W101*W$5)</f>
        <v/>
      </c>
      <c r="X105">
        <f>IF($A49="AEO",'Growth Rates'!X101,'Growth Rates'!X101*X$5)</f>
        <v/>
      </c>
      <c r="Y105">
        <f>IF($A49="AEO",'Growth Rates'!Y101,'Growth Rates'!Y101*Y$5)</f>
        <v/>
      </c>
      <c r="Z105">
        <f>IF($A49="AEO",'Growth Rates'!Z101,'Growth Rates'!Z101*Z$5)</f>
        <v/>
      </c>
      <c r="AA105">
        <f>IF($A49="AEO",'Growth Rates'!AA101,'Growth Rates'!AA101*AA$5)</f>
        <v/>
      </c>
      <c r="AB105">
        <f>IF($A49="AEO",'Growth Rates'!AB101,'Growth Rates'!AB101*AB$5)</f>
        <v/>
      </c>
      <c r="AC105">
        <f>IF($A49="AEO",'Growth Rates'!AC101,'Growth Rates'!AC101*AC$5)</f>
        <v/>
      </c>
    </row>
    <row r="106">
      <c r="B106" t="inlineStr">
        <is>
          <t>ISIC 62T63</t>
        </is>
      </c>
      <c r="C106" t="n">
        <v>0</v>
      </c>
      <c r="D106">
        <f>IF($A50="AEO",'Growth Rates'!D102,'Growth Rates'!D102*D$5)</f>
        <v/>
      </c>
      <c r="E106">
        <f>IF($A50="AEO",'Growth Rates'!E102,'Growth Rates'!E102*E$5)</f>
        <v/>
      </c>
      <c r="F106">
        <f>IF($A50="AEO",'Growth Rates'!F102,'Growth Rates'!F102*F$5)</f>
        <v/>
      </c>
      <c r="G106">
        <f>IF($A50="AEO",'Growth Rates'!G102,'Growth Rates'!G102*G$5)</f>
        <v/>
      </c>
      <c r="H106">
        <f>IF($A50="AEO",'Growth Rates'!H102,'Growth Rates'!H102*H$5)</f>
        <v/>
      </c>
      <c r="I106">
        <f>IF($A50="AEO",'Growth Rates'!I102,'Growth Rates'!I102*I$5)</f>
        <v/>
      </c>
      <c r="J106">
        <f>IF($A50="AEO",'Growth Rates'!J102,'Growth Rates'!J102*J$5)</f>
        <v/>
      </c>
      <c r="K106">
        <f>IF($A50="AEO",'Growth Rates'!K102,'Growth Rates'!K102*K$5)</f>
        <v/>
      </c>
      <c r="L106">
        <f>IF($A50="AEO",'Growth Rates'!L102,'Growth Rates'!L102*L$5)</f>
        <v/>
      </c>
      <c r="M106">
        <f>IF($A50="AEO",'Growth Rates'!M102,'Growth Rates'!M102*M$5)</f>
        <v/>
      </c>
      <c r="N106">
        <f>IF($A50="AEO",'Growth Rates'!N102,'Growth Rates'!N102*N$5)</f>
        <v/>
      </c>
      <c r="O106">
        <f>IF($A50="AEO",'Growth Rates'!O102,'Growth Rates'!O102*O$5)</f>
        <v/>
      </c>
      <c r="P106">
        <f>IF($A50="AEO",'Growth Rates'!P102,'Growth Rates'!P102*P$5)</f>
        <v/>
      </c>
      <c r="Q106">
        <f>IF($A50="AEO",'Growth Rates'!Q102,'Growth Rates'!Q102*Q$5)</f>
        <v/>
      </c>
      <c r="R106">
        <f>IF($A50="AEO",'Growth Rates'!R102,'Growth Rates'!R102*R$5)</f>
        <v/>
      </c>
      <c r="S106">
        <f>IF($A50="AEO",'Growth Rates'!S102,'Growth Rates'!S102*S$5)</f>
        <v/>
      </c>
      <c r="T106">
        <f>IF($A50="AEO",'Growth Rates'!T102,'Growth Rates'!T102*T$5)</f>
        <v/>
      </c>
      <c r="U106">
        <f>IF($A50="AEO",'Growth Rates'!U102,'Growth Rates'!U102*U$5)</f>
        <v/>
      </c>
      <c r="V106">
        <f>IF($A50="AEO",'Growth Rates'!V102,'Growth Rates'!V102*V$5)</f>
        <v/>
      </c>
      <c r="W106">
        <f>IF($A50="AEO",'Growth Rates'!W102,'Growth Rates'!W102*W$5)</f>
        <v/>
      </c>
      <c r="X106">
        <f>IF($A50="AEO",'Growth Rates'!X102,'Growth Rates'!X102*X$5)</f>
        <v/>
      </c>
      <c r="Y106">
        <f>IF($A50="AEO",'Growth Rates'!Y102,'Growth Rates'!Y102*Y$5)</f>
        <v/>
      </c>
      <c r="Z106">
        <f>IF($A50="AEO",'Growth Rates'!Z102,'Growth Rates'!Z102*Z$5)</f>
        <v/>
      </c>
      <c r="AA106">
        <f>IF($A50="AEO",'Growth Rates'!AA102,'Growth Rates'!AA102*AA$5)</f>
        <v/>
      </c>
      <c r="AB106">
        <f>IF($A50="AEO",'Growth Rates'!AB102,'Growth Rates'!AB102*AB$5)</f>
        <v/>
      </c>
      <c r="AC106">
        <f>IF($A50="AEO",'Growth Rates'!AC102,'Growth Rates'!AC102*AC$5)</f>
        <v/>
      </c>
    </row>
    <row r="107">
      <c r="B107" t="inlineStr">
        <is>
          <t>ISIC 64T66</t>
        </is>
      </c>
      <c r="C107" t="n">
        <v>0</v>
      </c>
      <c r="D107">
        <f>IF($A51="AEO",'Growth Rates'!D103,'Growth Rates'!D103*D$5)</f>
        <v/>
      </c>
      <c r="E107">
        <f>IF($A51="AEO",'Growth Rates'!E103,'Growth Rates'!E103*E$5)</f>
        <v/>
      </c>
      <c r="F107">
        <f>IF($A51="AEO",'Growth Rates'!F103,'Growth Rates'!F103*F$5)</f>
        <v/>
      </c>
      <c r="G107">
        <f>IF($A51="AEO",'Growth Rates'!G103,'Growth Rates'!G103*G$5)</f>
        <v/>
      </c>
      <c r="H107">
        <f>IF($A51="AEO",'Growth Rates'!H103,'Growth Rates'!H103*H$5)</f>
        <v/>
      </c>
      <c r="I107">
        <f>IF($A51="AEO",'Growth Rates'!I103,'Growth Rates'!I103*I$5)</f>
        <v/>
      </c>
      <c r="J107">
        <f>IF($A51="AEO",'Growth Rates'!J103,'Growth Rates'!J103*J$5)</f>
        <v/>
      </c>
      <c r="K107">
        <f>IF($A51="AEO",'Growth Rates'!K103,'Growth Rates'!K103*K$5)</f>
        <v/>
      </c>
      <c r="L107">
        <f>IF($A51="AEO",'Growth Rates'!L103,'Growth Rates'!L103*L$5)</f>
        <v/>
      </c>
      <c r="M107">
        <f>IF($A51="AEO",'Growth Rates'!M103,'Growth Rates'!M103*M$5)</f>
        <v/>
      </c>
      <c r="N107">
        <f>IF($A51="AEO",'Growth Rates'!N103,'Growth Rates'!N103*N$5)</f>
        <v/>
      </c>
      <c r="O107">
        <f>IF($A51="AEO",'Growth Rates'!O103,'Growth Rates'!O103*O$5)</f>
        <v/>
      </c>
      <c r="P107">
        <f>IF($A51="AEO",'Growth Rates'!P103,'Growth Rates'!P103*P$5)</f>
        <v/>
      </c>
      <c r="Q107">
        <f>IF($A51="AEO",'Growth Rates'!Q103,'Growth Rates'!Q103*Q$5)</f>
        <v/>
      </c>
      <c r="R107">
        <f>IF($A51="AEO",'Growth Rates'!R103,'Growth Rates'!R103*R$5)</f>
        <v/>
      </c>
      <c r="S107">
        <f>IF($A51="AEO",'Growth Rates'!S103,'Growth Rates'!S103*S$5)</f>
        <v/>
      </c>
      <c r="T107">
        <f>IF($A51="AEO",'Growth Rates'!T103,'Growth Rates'!T103*T$5)</f>
        <v/>
      </c>
      <c r="U107">
        <f>IF($A51="AEO",'Growth Rates'!U103,'Growth Rates'!U103*U$5)</f>
        <v/>
      </c>
      <c r="V107">
        <f>IF($A51="AEO",'Growth Rates'!V103,'Growth Rates'!V103*V$5)</f>
        <v/>
      </c>
      <c r="W107">
        <f>IF($A51="AEO",'Growth Rates'!W103,'Growth Rates'!W103*W$5)</f>
        <v/>
      </c>
      <c r="X107">
        <f>IF($A51="AEO",'Growth Rates'!X103,'Growth Rates'!X103*X$5)</f>
        <v/>
      </c>
      <c r="Y107">
        <f>IF($A51="AEO",'Growth Rates'!Y103,'Growth Rates'!Y103*Y$5)</f>
        <v/>
      </c>
      <c r="Z107">
        <f>IF($A51="AEO",'Growth Rates'!Z103,'Growth Rates'!Z103*Z$5)</f>
        <v/>
      </c>
      <c r="AA107">
        <f>IF($A51="AEO",'Growth Rates'!AA103,'Growth Rates'!AA103*AA$5)</f>
        <v/>
      </c>
      <c r="AB107">
        <f>IF($A51="AEO",'Growth Rates'!AB103,'Growth Rates'!AB103*AB$5)</f>
        <v/>
      </c>
      <c r="AC107">
        <f>IF($A51="AEO",'Growth Rates'!AC103,'Growth Rates'!AC103*AC$5)</f>
        <v/>
      </c>
    </row>
    <row r="108">
      <c r="B108" t="inlineStr">
        <is>
          <t>ISIC 68</t>
        </is>
      </c>
      <c r="C108" t="n">
        <v>0</v>
      </c>
      <c r="D108">
        <f>IF($A52="AEO",'Growth Rates'!D104,'Growth Rates'!D104*D$5)</f>
        <v/>
      </c>
      <c r="E108">
        <f>IF($A52="AEO",'Growth Rates'!E104,'Growth Rates'!E104*E$5)</f>
        <v/>
      </c>
      <c r="F108">
        <f>IF($A52="AEO",'Growth Rates'!F104,'Growth Rates'!F104*F$5)</f>
        <v/>
      </c>
      <c r="G108">
        <f>IF($A52="AEO",'Growth Rates'!G104,'Growth Rates'!G104*G$5)</f>
        <v/>
      </c>
      <c r="H108">
        <f>IF($A52="AEO",'Growth Rates'!H104,'Growth Rates'!H104*H$5)</f>
        <v/>
      </c>
      <c r="I108">
        <f>IF($A52="AEO",'Growth Rates'!I104,'Growth Rates'!I104*I$5)</f>
        <v/>
      </c>
      <c r="J108">
        <f>IF($A52="AEO",'Growth Rates'!J104,'Growth Rates'!J104*J$5)</f>
        <v/>
      </c>
      <c r="K108">
        <f>IF($A52="AEO",'Growth Rates'!K104,'Growth Rates'!K104*K$5)</f>
        <v/>
      </c>
      <c r="L108">
        <f>IF($A52="AEO",'Growth Rates'!L104,'Growth Rates'!L104*L$5)</f>
        <v/>
      </c>
      <c r="M108">
        <f>IF($A52="AEO",'Growth Rates'!M104,'Growth Rates'!M104*M$5)</f>
        <v/>
      </c>
      <c r="N108">
        <f>IF($A52="AEO",'Growth Rates'!N104,'Growth Rates'!N104*N$5)</f>
        <v/>
      </c>
      <c r="O108">
        <f>IF($A52="AEO",'Growth Rates'!O104,'Growth Rates'!O104*O$5)</f>
        <v/>
      </c>
      <c r="P108">
        <f>IF($A52="AEO",'Growth Rates'!P104,'Growth Rates'!P104*P$5)</f>
        <v/>
      </c>
      <c r="Q108">
        <f>IF($A52="AEO",'Growth Rates'!Q104,'Growth Rates'!Q104*Q$5)</f>
        <v/>
      </c>
      <c r="R108">
        <f>IF($A52="AEO",'Growth Rates'!R104,'Growth Rates'!R104*R$5)</f>
        <v/>
      </c>
      <c r="S108">
        <f>IF($A52="AEO",'Growth Rates'!S104,'Growth Rates'!S104*S$5)</f>
        <v/>
      </c>
      <c r="T108">
        <f>IF($A52="AEO",'Growth Rates'!T104,'Growth Rates'!T104*T$5)</f>
        <v/>
      </c>
      <c r="U108">
        <f>IF($A52="AEO",'Growth Rates'!U104,'Growth Rates'!U104*U$5)</f>
        <v/>
      </c>
      <c r="V108">
        <f>IF($A52="AEO",'Growth Rates'!V104,'Growth Rates'!V104*V$5)</f>
        <v/>
      </c>
      <c r="W108">
        <f>IF($A52="AEO",'Growth Rates'!W104,'Growth Rates'!W104*W$5)</f>
        <v/>
      </c>
      <c r="X108">
        <f>IF($A52="AEO",'Growth Rates'!X104,'Growth Rates'!X104*X$5)</f>
        <v/>
      </c>
      <c r="Y108">
        <f>IF($A52="AEO",'Growth Rates'!Y104,'Growth Rates'!Y104*Y$5)</f>
        <v/>
      </c>
      <c r="Z108">
        <f>IF($A52="AEO",'Growth Rates'!Z104,'Growth Rates'!Z104*Z$5)</f>
        <v/>
      </c>
      <c r="AA108">
        <f>IF($A52="AEO",'Growth Rates'!AA104,'Growth Rates'!AA104*AA$5)</f>
        <v/>
      </c>
      <c r="AB108">
        <f>IF($A52="AEO",'Growth Rates'!AB104,'Growth Rates'!AB104*AB$5)</f>
        <v/>
      </c>
      <c r="AC108">
        <f>IF($A52="AEO",'Growth Rates'!AC104,'Growth Rates'!AC104*AC$5)</f>
        <v/>
      </c>
    </row>
    <row r="109">
      <c r="B109" t="inlineStr">
        <is>
          <t>ISIC 69T75</t>
        </is>
      </c>
      <c r="C109" t="n">
        <v>0</v>
      </c>
      <c r="D109">
        <f>IF($A53="AEO",'Growth Rates'!D105,'Growth Rates'!D105*D$5)</f>
        <v/>
      </c>
      <c r="E109">
        <f>IF($A53="AEO",'Growth Rates'!E105,'Growth Rates'!E105*E$5)</f>
        <v/>
      </c>
      <c r="F109">
        <f>IF($A53="AEO",'Growth Rates'!F105,'Growth Rates'!F105*F$5)</f>
        <v/>
      </c>
      <c r="G109">
        <f>IF($A53="AEO",'Growth Rates'!G105,'Growth Rates'!G105*G$5)</f>
        <v/>
      </c>
      <c r="H109">
        <f>IF($A53="AEO",'Growth Rates'!H105,'Growth Rates'!H105*H$5)</f>
        <v/>
      </c>
      <c r="I109">
        <f>IF($A53="AEO",'Growth Rates'!I105,'Growth Rates'!I105*I$5)</f>
        <v/>
      </c>
      <c r="J109">
        <f>IF($A53="AEO",'Growth Rates'!J105,'Growth Rates'!J105*J$5)</f>
        <v/>
      </c>
      <c r="K109">
        <f>IF($A53="AEO",'Growth Rates'!K105,'Growth Rates'!K105*K$5)</f>
        <v/>
      </c>
      <c r="L109">
        <f>IF($A53="AEO",'Growth Rates'!L105,'Growth Rates'!L105*L$5)</f>
        <v/>
      </c>
      <c r="M109">
        <f>IF($A53="AEO",'Growth Rates'!M105,'Growth Rates'!M105*M$5)</f>
        <v/>
      </c>
      <c r="N109">
        <f>IF($A53="AEO",'Growth Rates'!N105,'Growth Rates'!N105*N$5)</f>
        <v/>
      </c>
      <c r="O109">
        <f>IF($A53="AEO",'Growth Rates'!O105,'Growth Rates'!O105*O$5)</f>
        <v/>
      </c>
      <c r="P109">
        <f>IF($A53="AEO",'Growth Rates'!P105,'Growth Rates'!P105*P$5)</f>
        <v/>
      </c>
      <c r="Q109">
        <f>IF($A53="AEO",'Growth Rates'!Q105,'Growth Rates'!Q105*Q$5)</f>
        <v/>
      </c>
      <c r="R109">
        <f>IF($A53="AEO",'Growth Rates'!R105,'Growth Rates'!R105*R$5)</f>
        <v/>
      </c>
      <c r="S109">
        <f>IF($A53="AEO",'Growth Rates'!S105,'Growth Rates'!S105*S$5)</f>
        <v/>
      </c>
      <c r="T109">
        <f>IF($A53="AEO",'Growth Rates'!T105,'Growth Rates'!T105*T$5)</f>
        <v/>
      </c>
      <c r="U109">
        <f>IF($A53="AEO",'Growth Rates'!U105,'Growth Rates'!U105*U$5)</f>
        <v/>
      </c>
      <c r="V109">
        <f>IF($A53="AEO",'Growth Rates'!V105,'Growth Rates'!V105*V$5)</f>
        <v/>
      </c>
      <c r="W109">
        <f>IF($A53="AEO",'Growth Rates'!W105,'Growth Rates'!W105*W$5)</f>
        <v/>
      </c>
      <c r="X109">
        <f>IF($A53="AEO",'Growth Rates'!X105,'Growth Rates'!X105*X$5)</f>
        <v/>
      </c>
      <c r="Y109">
        <f>IF($A53="AEO",'Growth Rates'!Y105,'Growth Rates'!Y105*Y$5)</f>
        <v/>
      </c>
      <c r="Z109">
        <f>IF($A53="AEO",'Growth Rates'!Z105,'Growth Rates'!Z105*Z$5)</f>
        <v/>
      </c>
      <c r="AA109">
        <f>IF($A53="AEO",'Growth Rates'!AA105,'Growth Rates'!AA105*AA$5)</f>
        <v/>
      </c>
      <c r="AB109">
        <f>IF($A53="AEO",'Growth Rates'!AB105,'Growth Rates'!AB105*AB$5)</f>
        <v/>
      </c>
      <c r="AC109">
        <f>IF($A53="AEO",'Growth Rates'!AC105,'Growth Rates'!AC105*AC$5)</f>
        <v/>
      </c>
    </row>
    <row r="110">
      <c r="B110" t="inlineStr">
        <is>
          <t>ISIC 77T82</t>
        </is>
      </c>
      <c r="C110" t="n">
        <v>0</v>
      </c>
      <c r="D110">
        <f>IF($A54="AEO",'Growth Rates'!D106,'Growth Rates'!D106*D$5)</f>
        <v/>
      </c>
      <c r="E110">
        <f>IF($A54="AEO",'Growth Rates'!E106,'Growth Rates'!E106*E$5)</f>
        <v/>
      </c>
      <c r="F110">
        <f>IF($A54="AEO",'Growth Rates'!F106,'Growth Rates'!F106*F$5)</f>
        <v/>
      </c>
      <c r="G110">
        <f>IF($A54="AEO",'Growth Rates'!G106,'Growth Rates'!G106*G$5)</f>
        <v/>
      </c>
      <c r="H110">
        <f>IF($A54="AEO",'Growth Rates'!H106,'Growth Rates'!H106*H$5)</f>
        <v/>
      </c>
      <c r="I110">
        <f>IF($A54="AEO",'Growth Rates'!I106,'Growth Rates'!I106*I$5)</f>
        <v/>
      </c>
      <c r="J110">
        <f>IF($A54="AEO",'Growth Rates'!J106,'Growth Rates'!J106*J$5)</f>
        <v/>
      </c>
      <c r="K110">
        <f>IF($A54="AEO",'Growth Rates'!K106,'Growth Rates'!K106*K$5)</f>
        <v/>
      </c>
      <c r="L110">
        <f>IF($A54="AEO",'Growth Rates'!L106,'Growth Rates'!L106*L$5)</f>
        <v/>
      </c>
      <c r="M110">
        <f>IF($A54="AEO",'Growth Rates'!M106,'Growth Rates'!M106*M$5)</f>
        <v/>
      </c>
      <c r="N110">
        <f>IF($A54="AEO",'Growth Rates'!N106,'Growth Rates'!N106*N$5)</f>
        <v/>
      </c>
      <c r="O110">
        <f>IF($A54="AEO",'Growth Rates'!O106,'Growth Rates'!O106*O$5)</f>
        <v/>
      </c>
      <c r="P110">
        <f>IF($A54="AEO",'Growth Rates'!P106,'Growth Rates'!P106*P$5)</f>
        <v/>
      </c>
      <c r="Q110">
        <f>IF($A54="AEO",'Growth Rates'!Q106,'Growth Rates'!Q106*Q$5)</f>
        <v/>
      </c>
      <c r="R110">
        <f>IF($A54="AEO",'Growth Rates'!R106,'Growth Rates'!R106*R$5)</f>
        <v/>
      </c>
      <c r="S110">
        <f>IF($A54="AEO",'Growth Rates'!S106,'Growth Rates'!S106*S$5)</f>
        <v/>
      </c>
      <c r="T110">
        <f>IF($A54="AEO",'Growth Rates'!T106,'Growth Rates'!T106*T$5)</f>
        <v/>
      </c>
      <c r="U110">
        <f>IF($A54="AEO",'Growth Rates'!U106,'Growth Rates'!U106*U$5)</f>
        <v/>
      </c>
      <c r="V110">
        <f>IF($A54="AEO",'Growth Rates'!V106,'Growth Rates'!V106*V$5)</f>
        <v/>
      </c>
      <c r="W110">
        <f>IF($A54="AEO",'Growth Rates'!W106,'Growth Rates'!W106*W$5)</f>
        <v/>
      </c>
      <c r="X110">
        <f>IF($A54="AEO",'Growth Rates'!X106,'Growth Rates'!X106*X$5)</f>
        <v/>
      </c>
      <c r="Y110">
        <f>IF($A54="AEO",'Growth Rates'!Y106,'Growth Rates'!Y106*Y$5)</f>
        <v/>
      </c>
      <c r="Z110">
        <f>IF($A54="AEO",'Growth Rates'!Z106,'Growth Rates'!Z106*Z$5)</f>
        <v/>
      </c>
      <c r="AA110">
        <f>IF($A54="AEO",'Growth Rates'!AA106,'Growth Rates'!AA106*AA$5)</f>
        <v/>
      </c>
      <c r="AB110">
        <f>IF($A54="AEO",'Growth Rates'!AB106,'Growth Rates'!AB106*AB$5)</f>
        <v/>
      </c>
      <c r="AC110">
        <f>IF($A54="AEO",'Growth Rates'!AC106,'Growth Rates'!AC106*AC$5)</f>
        <v/>
      </c>
    </row>
    <row r="111">
      <c r="B111" t="inlineStr">
        <is>
          <t>ISIC 84</t>
        </is>
      </c>
      <c r="C111" t="n">
        <v>0</v>
      </c>
      <c r="D111">
        <f>IF($A55="AEO",'Growth Rates'!D107,'Growth Rates'!D107*D$5)</f>
        <v/>
      </c>
      <c r="E111">
        <f>IF($A55="AEO",'Growth Rates'!E107,'Growth Rates'!E107*E$5)</f>
        <v/>
      </c>
      <c r="F111">
        <f>IF($A55="AEO",'Growth Rates'!F107,'Growth Rates'!F107*F$5)</f>
        <v/>
      </c>
      <c r="G111">
        <f>IF($A55="AEO",'Growth Rates'!G107,'Growth Rates'!G107*G$5)</f>
        <v/>
      </c>
      <c r="H111">
        <f>IF($A55="AEO",'Growth Rates'!H107,'Growth Rates'!H107*H$5)</f>
        <v/>
      </c>
      <c r="I111">
        <f>IF($A55="AEO",'Growth Rates'!I107,'Growth Rates'!I107*I$5)</f>
        <v/>
      </c>
      <c r="J111">
        <f>IF($A55="AEO",'Growth Rates'!J107,'Growth Rates'!J107*J$5)</f>
        <v/>
      </c>
      <c r="K111">
        <f>IF($A55="AEO",'Growth Rates'!K107,'Growth Rates'!K107*K$5)</f>
        <v/>
      </c>
      <c r="L111">
        <f>IF($A55="AEO",'Growth Rates'!L107,'Growth Rates'!L107*L$5)</f>
        <v/>
      </c>
      <c r="M111">
        <f>IF($A55="AEO",'Growth Rates'!M107,'Growth Rates'!M107*M$5)</f>
        <v/>
      </c>
      <c r="N111">
        <f>IF($A55="AEO",'Growth Rates'!N107,'Growth Rates'!N107*N$5)</f>
        <v/>
      </c>
      <c r="O111">
        <f>IF($A55="AEO",'Growth Rates'!O107,'Growth Rates'!O107*O$5)</f>
        <v/>
      </c>
      <c r="P111">
        <f>IF($A55="AEO",'Growth Rates'!P107,'Growth Rates'!P107*P$5)</f>
        <v/>
      </c>
      <c r="Q111">
        <f>IF($A55="AEO",'Growth Rates'!Q107,'Growth Rates'!Q107*Q$5)</f>
        <v/>
      </c>
      <c r="R111">
        <f>IF($A55="AEO",'Growth Rates'!R107,'Growth Rates'!R107*R$5)</f>
        <v/>
      </c>
      <c r="S111">
        <f>IF($A55="AEO",'Growth Rates'!S107,'Growth Rates'!S107*S$5)</f>
        <v/>
      </c>
      <c r="T111">
        <f>IF($A55="AEO",'Growth Rates'!T107,'Growth Rates'!T107*T$5)</f>
        <v/>
      </c>
      <c r="U111">
        <f>IF($A55="AEO",'Growth Rates'!U107,'Growth Rates'!U107*U$5)</f>
        <v/>
      </c>
      <c r="V111">
        <f>IF($A55="AEO",'Growth Rates'!V107,'Growth Rates'!V107*V$5)</f>
        <v/>
      </c>
      <c r="W111">
        <f>IF($A55="AEO",'Growth Rates'!W107,'Growth Rates'!W107*W$5)</f>
        <v/>
      </c>
      <c r="X111">
        <f>IF($A55="AEO",'Growth Rates'!X107,'Growth Rates'!X107*X$5)</f>
        <v/>
      </c>
      <c r="Y111">
        <f>IF($A55="AEO",'Growth Rates'!Y107,'Growth Rates'!Y107*Y$5)</f>
        <v/>
      </c>
      <c r="Z111">
        <f>IF($A55="AEO",'Growth Rates'!Z107,'Growth Rates'!Z107*Z$5)</f>
        <v/>
      </c>
      <c r="AA111">
        <f>IF($A55="AEO",'Growth Rates'!AA107,'Growth Rates'!AA107*AA$5)</f>
        <v/>
      </c>
      <c r="AB111">
        <f>IF($A55="AEO",'Growth Rates'!AB107,'Growth Rates'!AB107*AB$5)</f>
        <v/>
      </c>
      <c r="AC111">
        <f>IF($A55="AEO",'Growth Rates'!AC107,'Growth Rates'!AC107*AC$5)</f>
        <v/>
      </c>
    </row>
    <row r="112">
      <c r="B112" t="inlineStr">
        <is>
          <t>ISIC 85</t>
        </is>
      </c>
      <c r="C112" t="n">
        <v>0</v>
      </c>
      <c r="D112">
        <f>IF($A56="AEO",'Growth Rates'!D108,'Growth Rates'!D108*D$5)</f>
        <v/>
      </c>
      <c r="E112">
        <f>IF($A56="AEO",'Growth Rates'!E108,'Growth Rates'!E108*E$5)</f>
        <v/>
      </c>
      <c r="F112">
        <f>IF($A56="AEO",'Growth Rates'!F108,'Growth Rates'!F108*F$5)</f>
        <v/>
      </c>
      <c r="G112">
        <f>IF($A56="AEO",'Growth Rates'!G108,'Growth Rates'!G108*G$5)</f>
        <v/>
      </c>
      <c r="H112">
        <f>IF($A56="AEO",'Growth Rates'!H108,'Growth Rates'!H108*H$5)</f>
        <v/>
      </c>
      <c r="I112">
        <f>IF($A56="AEO",'Growth Rates'!I108,'Growth Rates'!I108*I$5)</f>
        <v/>
      </c>
      <c r="J112">
        <f>IF($A56="AEO",'Growth Rates'!J108,'Growth Rates'!J108*J$5)</f>
        <v/>
      </c>
      <c r="K112">
        <f>IF($A56="AEO",'Growth Rates'!K108,'Growth Rates'!K108*K$5)</f>
        <v/>
      </c>
      <c r="L112">
        <f>IF($A56="AEO",'Growth Rates'!L108,'Growth Rates'!L108*L$5)</f>
        <v/>
      </c>
      <c r="M112">
        <f>IF($A56="AEO",'Growth Rates'!M108,'Growth Rates'!M108*M$5)</f>
        <v/>
      </c>
      <c r="N112">
        <f>IF($A56="AEO",'Growth Rates'!N108,'Growth Rates'!N108*N$5)</f>
        <v/>
      </c>
      <c r="O112">
        <f>IF($A56="AEO",'Growth Rates'!O108,'Growth Rates'!O108*O$5)</f>
        <v/>
      </c>
      <c r="P112">
        <f>IF($A56="AEO",'Growth Rates'!P108,'Growth Rates'!P108*P$5)</f>
        <v/>
      </c>
      <c r="Q112">
        <f>IF($A56="AEO",'Growth Rates'!Q108,'Growth Rates'!Q108*Q$5)</f>
        <v/>
      </c>
      <c r="R112">
        <f>IF($A56="AEO",'Growth Rates'!R108,'Growth Rates'!R108*R$5)</f>
        <v/>
      </c>
      <c r="S112">
        <f>IF($A56="AEO",'Growth Rates'!S108,'Growth Rates'!S108*S$5)</f>
        <v/>
      </c>
      <c r="T112">
        <f>IF($A56="AEO",'Growth Rates'!T108,'Growth Rates'!T108*T$5)</f>
        <v/>
      </c>
      <c r="U112">
        <f>IF($A56="AEO",'Growth Rates'!U108,'Growth Rates'!U108*U$5)</f>
        <v/>
      </c>
      <c r="V112">
        <f>IF($A56="AEO",'Growth Rates'!V108,'Growth Rates'!V108*V$5)</f>
        <v/>
      </c>
      <c r="W112">
        <f>IF($A56="AEO",'Growth Rates'!W108,'Growth Rates'!W108*W$5)</f>
        <v/>
      </c>
      <c r="X112">
        <f>IF($A56="AEO",'Growth Rates'!X108,'Growth Rates'!X108*X$5)</f>
        <v/>
      </c>
      <c r="Y112">
        <f>IF($A56="AEO",'Growth Rates'!Y108,'Growth Rates'!Y108*Y$5)</f>
        <v/>
      </c>
      <c r="Z112">
        <f>IF($A56="AEO",'Growth Rates'!Z108,'Growth Rates'!Z108*Z$5)</f>
        <v/>
      </c>
      <c r="AA112">
        <f>IF($A56="AEO",'Growth Rates'!AA108,'Growth Rates'!AA108*AA$5)</f>
        <v/>
      </c>
      <c r="AB112">
        <f>IF($A56="AEO",'Growth Rates'!AB108,'Growth Rates'!AB108*AB$5)</f>
        <v/>
      </c>
      <c r="AC112">
        <f>IF($A56="AEO",'Growth Rates'!AC108,'Growth Rates'!AC108*AC$5)</f>
        <v/>
      </c>
    </row>
    <row r="113">
      <c r="B113" t="inlineStr">
        <is>
          <t>ISIC 86T88</t>
        </is>
      </c>
      <c r="C113" t="n">
        <v>0</v>
      </c>
      <c r="D113">
        <f>IF($A57="AEO",'Growth Rates'!D109,'Growth Rates'!D109*D$5)</f>
        <v/>
      </c>
      <c r="E113">
        <f>IF($A57="AEO",'Growth Rates'!E109,'Growth Rates'!E109*E$5)</f>
        <v/>
      </c>
      <c r="F113">
        <f>IF($A57="AEO",'Growth Rates'!F109,'Growth Rates'!F109*F$5)</f>
        <v/>
      </c>
      <c r="G113">
        <f>IF($A57="AEO",'Growth Rates'!G109,'Growth Rates'!G109*G$5)</f>
        <v/>
      </c>
      <c r="H113">
        <f>IF($A57="AEO",'Growth Rates'!H109,'Growth Rates'!H109*H$5)</f>
        <v/>
      </c>
      <c r="I113">
        <f>IF($A57="AEO",'Growth Rates'!I109,'Growth Rates'!I109*I$5)</f>
        <v/>
      </c>
      <c r="J113">
        <f>IF($A57="AEO",'Growth Rates'!J109,'Growth Rates'!J109*J$5)</f>
        <v/>
      </c>
      <c r="K113">
        <f>IF($A57="AEO",'Growth Rates'!K109,'Growth Rates'!K109*K$5)</f>
        <v/>
      </c>
      <c r="L113">
        <f>IF($A57="AEO",'Growth Rates'!L109,'Growth Rates'!L109*L$5)</f>
        <v/>
      </c>
      <c r="M113">
        <f>IF($A57="AEO",'Growth Rates'!M109,'Growth Rates'!M109*M$5)</f>
        <v/>
      </c>
      <c r="N113">
        <f>IF($A57="AEO",'Growth Rates'!N109,'Growth Rates'!N109*N$5)</f>
        <v/>
      </c>
      <c r="O113">
        <f>IF($A57="AEO",'Growth Rates'!O109,'Growth Rates'!O109*O$5)</f>
        <v/>
      </c>
      <c r="P113">
        <f>IF($A57="AEO",'Growth Rates'!P109,'Growth Rates'!P109*P$5)</f>
        <v/>
      </c>
      <c r="Q113">
        <f>IF($A57="AEO",'Growth Rates'!Q109,'Growth Rates'!Q109*Q$5)</f>
        <v/>
      </c>
      <c r="R113">
        <f>IF($A57="AEO",'Growth Rates'!R109,'Growth Rates'!R109*R$5)</f>
        <v/>
      </c>
      <c r="S113">
        <f>IF($A57="AEO",'Growth Rates'!S109,'Growth Rates'!S109*S$5)</f>
        <v/>
      </c>
      <c r="T113">
        <f>IF($A57="AEO",'Growth Rates'!T109,'Growth Rates'!T109*T$5)</f>
        <v/>
      </c>
      <c r="U113">
        <f>IF($A57="AEO",'Growth Rates'!U109,'Growth Rates'!U109*U$5)</f>
        <v/>
      </c>
      <c r="V113">
        <f>IF($A57="AEO",'Growth Rates'!V109,'Growth Rates'!V109*V$5)</f>
        <v/>
      </c>
      <c r="W113">
        <f>IF($A57="AEO",'Growth Rates'!W109,'Growth Rates'!W109*W$5)</f>
        <v/>
      </c>
      <c r="X113">
        <f>IF($A57="AEO",'Growth Rates'!X109,'Growth Rates'!X109*X$5)</f>
        <v/>
      </c>
      <c r="Y113">
        <f>IF($A57="AEO",'Growth Rates'!Y109,'Growth Rates'!Y109*Y$5)</f>
        <v/>
      </c>
      <c r="Z113">
        <f>IF($A57="AEO",'Growth Rates'!Z109,'Growth Rates'!Z109*Z$5)</f>
        <v/>
      </c>
      <c r="AA113">
        <f>IF($A57="AEO",'Growth Rates'!AA109,'Growth Rates'!AA109*AA$5)</f>
        <v/>
      </c>
      <c r="AB113">
        <f>IF($A57="AEO",'Growth Rates'!AB109,'Growth Rates'!AB109*AB$5)</f>
        <v/>
      </c>
      <c r="AC113">
        <f>IF($A57="AEO",'Growth Rates'!AC109,'Growth Rates'!AC109*AC$5)</f>
        <v/>
      </c>
    </row>
    <row r="114">
      <c r="B114" t="inlineStr">
        <is>
          <t>ISIC 90T93</t>
        </is>
      </c>
      <c r="C114" t="n">
        <v>0</v>
      </c>
      <c r="D114">
        <f>IF($A58="AEO",'Growth Rates'!D110,'Growth Rates'!D110*D$5)</f>
        <v/>
      </c>
      <c r="E114">
        <f>IF($A58="AEO",'Growth Rates'!E110,'Growth Rates'!E110*E$5)</f>
        <v/>
      </c>
      <c r="F114">
        <f>IF($A58="AEO",'Growth Rates'!F110,'Growth Rates'!F110*F$5)</f>
        <v/>
      </c>
      <c r="G114">
        <f>IF($A58="AEO",'Growth Rates'!G110,'Growth Rates'!G110*G$5)</f>
        <v/>
      </c>
      <c r="H114">
        <f>IF($A58="AEO",'Growth Rates'!H110,'Growth Rates'!H110*H$5)</f>
        <v/>
      </c>
      <c r="I114">
        <f>IF($A58="AEO",'Growth Rates'!I110,'Growth Rates'!I110*I$5)</f>
        <v/>
      </c>
      <c r="J114">
        <f>IF($A58="AEO",'Growth Rates'!J110,'Growth Rates'!J110*J$5)</f>
        <v/>
      </c>
      <c r="K114">
        <f>IF($A58="AEO",'Growth Rates'!K110,'Growth Rates'!K110*K$5)</f>
        <v/>
      </c>
      <c r="L114">
        <f>IF($A58="AEO",'Growth Rates'!L110,'Growth Rates'!L110*L$5)</f>
        <v/>
      </c>
      <c r="M114">
        <f>IF($A58="AEO",'Growth Rates'!M110,'Growth Rates'!M110*M$5)</f>
        <v/>
      </c>
      <c r="N114">
        <f>IF($A58="AEO",'Growth Rates'!N110,'Growth Rates'!N110*N$5)</f>
        <v/>
      </c>
      <c r="O114">
        <f>IF($A58="AEO",'Growth Rates'!O110,'Growth Rates'!O110*O$5)</f>
        <v/>
      </c>
      <c r="P114">
        <f>IF($A58="AEO",'Growth Rates'!P110,'Growth Rates'!P110*P$5)</f>
        <v/>
      </c>
      <c r="Q114">
        <f>IF($A58="AEO",'Growth Rates'!Q110,'Growth Rates'!Q110*Q$5)</f>
        <v/>
      </c>
      <c r="R114">
        <f>IF($A58="AEO",'Growth Rates'!R110,'Growth Rates'!R110*R$5)</f>
        <v/>
      </c>
      <c r="S114">
        <f>IF($A58="AEO",'Growth Rates'!S110,'Growth Rates'!S110*S$5)</f>
        <v/>
      </c>
      <c r="T114">
        <f>IF($A58="AEO",'Growth Rates'!T110,'Growth Rates'!T110*T$5)</f>
        <v/>
      </c>
      <c r="U114">
        <f>IF($A58="AEO",'Growth Rates'!U110,'Growth Rates'!U110*U$5)</f>
        <v/>
      </c>
      <c r="V114">
        <f>IF($A58="AEO",'Growth Rates'!V110,'Growth Rates'!V110*V$5)</f>
        <v/>
      </c>
      <c r="W114">
        <f>IF($A58="AEO",'Growth Rates'!W110,'Growth Rates'!W110*W$5)</f>
        <v/>
      </c>
      <c r="X114">
        <f>IF($A58="AEO",'Growth Rates'!X110,'Growth Rates'!X110*X$5)</f>
        <v/>
      </c>
      <c r="Y114">
        <f>IF($A58="AEO",'Growth Rates'!Y110,'Growth Rates'!Y110*Y$5)</f>
        <v/>
      </c>
      <c r="Z114">
        <f>IF($A58="AEO",'Growth Rates'!Z110,'Growth Rates'!Z110*Z$5)</f>
        <v/>
      </c>
      <c r="AA114">
        <f>IF($A58="AEO",'Growth Rates'!AA110,'Growth Rates'!AA110*AA$5)</f>
        <v/>
      </c>
      <c r="AB114">
        <f>IF($A58="AEO",'Growth Rates'!AB110,'Growth Rates'!AB110*AB$5)</f>
        <v/>
      </c>
      <c r="AC114">
        <f>IF($A58="AEO",'Growth Rates'!AC110,'Growth Rates'!AC110*AC$5)</f>
        <v/>
      </c>
    </row>
    <row r="115">
      <c r="B115" t="inlineStr">
        <is>
          <t>ISIC 94T96</t>
        </is>
      </c>
      <c r="C115" t="n">
        <v>0</v>
      </c>
      <c r="D115">
        <f>IF($A59="AEO",'Growth Rates'!D111,'Growth Rates'!D111*D$5)</f>
        <v/>
      </c>
      <c r="E115">
        <f>IF($A59="AEO",'Growth Rates'!E111,'Growth Rates'!E111*E$5)</f>
        <v/>
      </c>
      <c r="F115">
        <f>IF($A59="AEO",'Growth Rates'!F111,'Growth Rates'!F111*F$5)</f>
        <v/>
      </c>
      <c r="G115">
        <f>IF($A59="AEO",'Growth Rates'!G111,'Growth Rates'!G111*G$5)</f>
        <v/>
      </c>
      <c r="H115">
        <f>IF($A59="AEO",'Growth Rates'!H111,'Growth Rates'!H111*H$5)</f>
        <v/>
      </c>
      <c r="I115">
        <f>IF($A59="AEO",'Growth Rates'!I111,'Growth Rates'!I111*I$5)</f>
        <v/>
      </c>
      <c r="J115">
        <f>IF($A59="AEO",'Growth Rates'!J111,'Growth Rates'!J111*J$5)</f>
        <v/>
      </c>
      <c r="K115">
        <f>IF($A59="AEO",'Growth Rates'!K111,'Growth Rates'!K111*K$5)</f>
        <v/>
      </c>
      <c r="L115">
        <f>IF($A59="AEO",'Growth Rates'!L111,'Growth Rates'!L111*L$5)</f>
        <v/>
      </c>
      <c r="M115">
        <f>IF($A59="AEO",'Growth Rates'!M111,'Growth Rates'!M111*M$5)</f>
        <v/>
      </c>
      <c r="N115">
        <f>IF($A59="AEO",'Growth Rates'!N111,'Growth Rates'!N111*N$5)</f>
        <v/>
      </c>
      <c r="O115">
        <f>IF($A59="AEO",'Growth Rates'!O111,'Growth Rates'!O111*O$5)</f>
        <v/>
      </c>
      <c r="P115">
        <f>IF($A59="AEO",'Growth Rates'!P111,'Growth Rates'!P111*P$5)</f>
        <v/>
      </c>
      <c r="Q115">
        <f>IF($A59="AEO",'Growth Rates'!Q111,'Growth Rates'!Q111*Q$5)</f>
        <v/>
      </c>
      <c r="R115">
        <f>IF($A59="AEO",'Growth Rates'!R111,'Growth Rates'!R111*R$5)</f>
        <v/>
      </c>
      <c r="S115">
        <f>IF($A59="AEO",'Growth Rates'!S111,'Growth Rates'!S111*S$5)</f>
        <v/>
      </c>
      <c r="T115">
        <f>IF($A59="AEO",'Growth Rates'!T111,'Growth Rates'!T111*T$5)</f>
        <v/>
      </c>
      <c r="U115">
        <f>IF($A59="AEO",'Growth Rates'!U111,'Growth Rates'!U111*U$5)</f>
        <v/>
      </c>
      <c r="V115">
        <f>IF($A59="AEO",'Growth Rates'!V111,'Growth Rates'!V111*V$5)</f>
        <v/>
      </c>
      <c r="W115">
        <f>IF($A59="AEO",'Growth Rates'!W111,'Growth Rates'!W111*W$5)</f>
        <v/>
      </c>
      <c r="X115">
        <f>IF($A59="AEO",'Growth Rates'!X111,'Growth Rates'!X111*X$5)</f>
        <v/>
      </c>
      <c r="Y115">
        <f>IF($A59="AEO",'Growth Rates'!Y111,'Growth Rates'!Y111*Y$5)</f>
        <v/>
      </c>
      <c r="Z115">
        <f>IF($A59="AEO",'Growth Rates'!Z111,'Growth Rates'!Z111*Z$5)</f>
        <v/>
      </c>
      <c r="AA115">
        <f>IF($A59="AEO",'Growth Rates'!AA111,'Growth Rates'!AA111*AA$5)</f>
        <v/>
      </c>
      <c r="AB115">
        <f>IF($A59="AEO",'Growth Rates'!AB111,'Growth Rates'!AB111*AB$5)</f>
        <v/>
      </c>
      <c r="AC115">
        <f>IF($A59="AEO",'Growth Rates'!AC111,'Growth Rates'!AC111*AC$5)</f>
        <v/>
      </c>
    </row>
    <row r="116">
      <c r="B116" t="inlineStr">
        <is>
          <t>ISIC 97T98</t>
        </is>
      </c>
      <c r="C116" t="n">
        <v>0</v>
      </c>
      <c r="D116">
        <f>IF($A60="AEO",'Growth Rates'!D112,'Growth Rates'!D112*D$5)</f>
        <v/>
      </c>
      <c r="E116">
        <f>IF($A60="AEO",'Growth Rates'!E112,'Growth Rates'!E112*E$5)</f>
        <v/>
      </c>
      <c r="F116">
        <f>IF($A60="AEO",'Growth Rates'!F112,'Growth Rates'!F112*F$5)</f>
        <v/>
      </c>
      <c r="G116">
        <f>IF($A60="AEO",'Growth Rates'!G112,'Growth Rates'!G112*G$5)</f>
        <v/>
      </c>
      <c r="H116">
        <f>IF($A60="AEO",'Growth Rates'!H112,'Growth Rates'!H112*H$5)</f>
        <v/>
      </c>
      <c r="I116">
        <f>IF($A60="AEO",'Growth Rates'!I112,'Growth Rates'!I112*I$5)</f>
        <v/>
      </c>
      <c r="J116">
        <f>IF($A60="AEO",'Growth Rates'!J112,'Growth Rates'!J112*J$5)</f>
        <v/>
      </c>
      <c r="K116">
        <f>IF($A60="AEO",'Growth Rates'!K112,'Growth Rates'!K112*K$5)</f>
        <v/>
      </c>
      <c r="L116">
        <f>IF($A60="AEO",'Growth Rates'!L112,'Growth Rates'!L112*L$5)</f>
        <v/>
      </c>
      <c r="M116">
        <f>IF($A60="AEO",'Growth Rates'!M112,'Growth Rates'!M112*M$5)</f>
        <v/>
      </c>
      <c r="N116">
        <f>IF($A60="AEO",'Growth Rates'!N112,'Growth Rates'!N112*N$5)</f>
        <v/>
      </c>
      <c r="O116">
        <f>IF($A60="AEO",'Growth Rates'!O112,'Growth Rates'!O112*O$5)</f>
        <v/>
      </c>
      <c r="P116">
        <f>IF($A60="AEO",'Growth Rates'!P112,'Growth Rates'!P112*P$5)</f>
        <v/>
      </c>
      <c r="Q116">
        <f>IF($A60="AEO",'Growth Rates'!Q112,'Growth Rates'!Q112*Q$5)</f>
        <v/>
      </c>
      <c r="R116">
        <f>IF($A60="AEO",'Growth Rates'!R112,'Growth Rates'!R112*R$5)</f>
        <v/>
      </c>
      <c r="S116">
        <f>IF($A60="AEO",'Growth Rates'!S112,'Growth Rates'!S112*S$5)</f>
        <v/>
      </c>
      <c r="T116">
        <f>IF($A60="AEO",'Growth Rates'!T112,'Growth Rates'!T112*T$5)</f>
        <v/>
      </c>
      <c r="U116">
        <f>IF($A60="AEO",'Growth Rates'!U112,'Growth Rates'!U112*U$5)</f>
        <v/>
      </c>
      <c r="V116">
        <f>IF($A60="AEO",'Growth Rates'!V112,'Growth Rates'!V112*V$5)</f>
        <v/>
      </c>
      <c r="W116">
        <f>IF($A60="AEO",'Growth Rates'!W112,'Growth Rates'!W112*W$5)</f>
        <v/>
      </c>
      <c r="X116">
        <f>IF($A60="AEO",'Growth Rates'!X112,'Growth Rates'!X112*X$5)</f>
        <v/>
      </c>
      <c r="Y116">
        <f>IF($A60="AEO",'Growth Rates'!Y112,'Growth Rates'!Y112*Y$5)</f>
        <v/>
      </c>
      <c r="Z116">
        <f>IF($A60="AEO",'Growth Rates'!Z112,'Growth Rates'!Z112*Z$5)</f>
        <v/>
      </c>
      <c r="AA116">
        <f>IF($A60="AEO",'Growth Rates'!AA112,'Growth Rates'!AA112*AA$5)</f>
        <v/>
      </c>
      <c r="AB116">
        <f>IF($A60="AEO",'Growth Rates'!AB112,'Growth Rates'!AB112*AB$5)</f>
        <v/>
      </c>
      <c r="AC116">
        <f>IF($A60="AEO",'Growth Rates'!AC112,'Growth Rates'!AC112*AC$5)</f>
        <v/>
      </c>
    </row>
    <row r="119">
      <c r="A119" s="1" t="inlineStr">
        <is>
          <t>Scaled compounded growth relative to 2024 (-&gt; BPCiObIC)</t>
        </is>
      </c>
    </row>
    <row r="120">
      <c r="C120" s="1" t="n">
        <v>2024</v>
      </c>
      <c r="D120" s="1" t="n">
        <v>2025</v>
      </c>
      <c r="E120" s="1" t="n">
        <v>2026</v>
      </c>
      <c r="F120" s="1" t="n">
        <v>2027</v>
      </c>
      <c r="G120" s="1" t="n">
        <v>2028</v>
      </c>
      <c r="H120" s="1" t="n">
        <v>2029</v>
      </c>
      <c r="I120" s="1" t="n">
        <v>2030</v>
      </c>
      <c r="J120" s="1" t="n">
        <v>2031</v>
      </c>
      <c r="K120" s="1" t="n">
        <v>2032</v>
      </c>
      <c r="L120" s="1" t="n">
        <v>2033</v>
      </c>
      <c r="M120" s="1" t="n">
        <v>2034</v>
      </c>
      <c r="N120" s="1" t="n">
        <v>2035</v>
      </c>
      <c r="O120" s="1" t="n">
        <v>2036</v>
      </c>
      <c r="P120" s="1" t="n">
        <v>2037</v>
      </c>
      <c r="Q120" s="1" t="n">
        <v>2038</v>
      </c>
      <c r="R120" s="1" t="n">
        <v>2039</v>
      </c>
      <c r="S120" s="1" t="n">
        <v>2040</v>
      </c>
      <c r="T120" s="1" t="n">
        <v>2041</v>
      </c>
      <c r="U120" s="1" t="n">
        <v>2042</v>
      </c>
      <c r="V120" s="1" t="n">
        <v>2043</v>
      </c>
      <c r="W120" s="1" t="n">
        <v>2044</v>
      </c>
      <c r="X120" s="1" t="n">
        <v>2045</v>
      </c>
      <c r="Y120" s="1" t="n">
        <v>2046</v>
      </c>
      <c r="Z120" s="1" t="n">
        <v>2047</v>
      </c>
      <c r="AA120" s="1" t="n">
        <v>2048</v>
      </c>
      <c r="AB120" s="1" t="n">
        <v>2049</v>
      </c>
      <c r="AC120" s="1" t="n">
        <v>2050</v>
      </c>
    </row>
    <row r="121">
      <c r="B121" t="inlineStr">
        <is>
          <t>ISIC 01</t>
        </is>
      </c>
      <c r="C121" t="n">
        <v>0</v>
      </c>
      <c r="D121">
        <f>(1+C121)*(1+D65)-1</f>
        <v/>
      </c>
      <c r="E121">
        <f>(1+D121)*(1+E65)-1</f>
        <v/>
      </c>
      <c r="F121">
        <f>(1+E121)*(1+F65)-1</f>
        <v/>
      </c>
      <c r="G121">
        <f>(1+F121)*(1+G65)-1</f>
        <v/>
      </c>
      <c r="H121">
        <f>(1+G121)*(1+H65)-1</f>
        <v/>
      </c>
      <c r="I121">
        <f>(1+H121)*(1+I65)-1</f>
        <v/>
      </c>
      <c r="J121">
        <f>(1+I121)*(1+J65)-1</f>
        <v/>
      </c>
      <c r="K121">
        <f>(1+J121)*(1+K65)-1</f>
        <v/>
      </c>
      <c r="L121">
        <f>(1+K121)*(1+L65)-1</f>
        <v/>
      </c>
      <c r="M121">
        <f>(1+L121)*(1+M65)-1</f>
        <v/>
      </c>
      <c r="N121">
        <f>(1+M121)*(1+N65)-1</f>
        <v/>
      </c>
      <c r="O121">
        <f>(1+N121)*(1+O65)-1</f>
        <v/>
      </c>
      <c r="P121">
        <f>(1+O121)*(1+P65)-1</f>
        <v/>
      </c>
      <c r="Q121">
        <f>(1+P121)*(1+Q65)-1</f>
        <v/>
      </c>
      <c r="R121">
        <f>(1+Q121)*(1+R65)-1</f>
        <v/>
      </c>
      <c r="S121">
        <f>(1+R121)*(1+S65)-1</f>
        <v/>
      </c>
      <c r="T121">
        <f>(1+S121)*(1+T65)-1</f>
        <v/>
      </c>
      <c r="U121">
        <f>(1+T121)*(1+U65)-1</f>
        <v/>
      </c>
      <c r="V121">
        <f>(1+U121)*(1+V65)-1</f>
        <v/>
      </c>
      <c r="W121">
        <f>(1+V121)*(1+W65)-1</f>
        <v/>
      </c>
      <c r="X121">
        <f>(1+W121)*(1+X65)-1</f>
        <v/>
      </c>
      <c r="Y121">
        <f>(1+X121)*(1+Y65)-1</f>
        <v/>
      </c>
      <c r="Z121">
        <f>(1+Y121)*(1+Z65)-1</f>
        <v/>
      </c>
      <c r="AA121">
        <f>(1+Z121)*(1+AA65)-1</f>
        <v/>
      </c>
      <c r="AB121">
        <f>(1+AA121)*(1+AB65)-1</f>
        <v/>
      </c>
      <c r="AC121">
        <f>(1+AB121)*(1+AC65)-1</f>
        <v/>
      </c>
    </row>
    <row r="122">
      <c r="B122" t="inlineStr">
        <is>
          <t>ISIC 02</t>
        </is>
      </c>
      <c r="C122" t="n">
        <v>0</v>
      </c>
      <c r="D122">
        <f>(1+C122)*(1+D66)-1</f>
        <v/>
      </c>
      <c r="E122">
        <f>(1+D122)*(1+E66)-1</f>
        <v/>
      </c>
      <c r="F122">
        <f>(1+E122)*(1+F66)-1</f>
        <v/>
      </c>
      <c r="G122">
        <f>(1+F122)*(1+G66)-1</f>
        <v/>
      </c>
      <c r="H122">
        <f>(1+G122)*(1+H66)-1</f>
        <v/>
      </c>
      <c r="I122">
        <f>(1+H122)*(1+I66)-1</f>
        <v/>
      </c>
      <c r="J122">
        <f>(1+I122)*(1+J66)-1</f>
        <v/>
      </c>
      <c r="K122">
        <f>(1+J122)*(1+K66)-1</f>
        <v/>
      </c>
      <c r="L122">
        <f>(1+K122)*(1+L66)-1</f>
        <v/>
      </c>
      <c r="M122">
        <f>(1+L122)*(1+M66)-1</f>
        <v/>
      </c>
      <c r="N122">
        <f>(1+M122)*(1+N66)-1</f>
        <v/>
      </c>
      <c r="O122">
        <f>(1+N122)*(1+O66)-1</f>
        <v/>
      </c>
      <c r="P122">
        <f>(1+O122)*(1+P66)-1</f>
        <v/>
      </c>
      <c r="Q122">
        <f>(1+P122)*(1+Q66)-1</f>
        <v/>
      </c>
      <c r="R122">
        <f>(1+Q122)*(1+R66)-1</f>
        <v/>
      </c>
      <c r="S122">
        <f>(1+R122)*(1+S66)-1</f>
        <v/>
      </c>
      <c r="T122">
        <f>(1+S122)*(1+T66)-1</f>
        <v/>
      </c>
      <c r="U122">
        <f>(1+T122)*(1+U66)-1</f>
        <v/>
      </c>
      <c r="V122">
        <f>(1+U122)*(1+V66)-1</f>
        <v/>
      </c>
      <c r="W122">
        <f>(1+V122)*(1+W66)-1</f>
        <v/>
      </c>
      <c r="X122">
        <f>(1+W122)*(1+X66)-1</f>
        <v/>
      </c>
      <c r="Y122">
        <f>(1+X122)*(1+Y66)-1</f>
        <v/>
      </c>
      <c r="Z122">
        <f>(1+Y122)*(1+Z66)-1</f>
        <v/>
      </c>
      <c r="AA122">
        <f>(1+Z122)*(1+AA66)-1</f>
        <v/>
      </c>
      <c r="AB122">
        <f>(1+AA122)*(1+AB66)-1</f>
        <v/>
      </c>
      <c r="AC122">
        <f>(1+AB122)*(1+AC66)-1</f>
        <v/>
      </c>
    </row>
    <row r="123">
      <c r="B123" t="inlineStr">
        <is>
          <t>ISIC 03</t>
        </is>
      </c>
      <c r="C123" t="n">
        <v>0</v>
      </c>
      <c r="D123">
        <f>(1+C123)*(1+D67)-1</f>
        <v/>
      </c>
      <c r="E123">
        <f>(1+D123)*(1+E67)-1</f>
        <v/>
      </c>
      <c r="F123">
        <f>(1+E123)*(1+F67)-1</f>
        <v/>
      </c>
      <c r="G123">
        <f>(1+F123)*(1+G67)-1</f>
        <v/>
      </c>
      <c r="H123">
        <f>(1+G123)*(1+H67)-1</f>
        <v/>
      </c>
      <c r="I123">
        <f>(1+H123)*(1+I67)-1</f>
        <v/>
      </c>
      <c r="J123">
        <f>(1+I123)*(1+J67)-1</f>
        <v/>
      </c>
      <c r="K123">
        <f>(1+J123)*(1+K67)-1</f>
        <v/>
      </c>
      <c r="L123">
        <f>(1+K123)*(1+L67)-1</f>
        <v/>
      </c>
      <c r="M123">
        <f>(1+L123)*(1+M67)-1</f>
        <v/>
      </c>
      <c r="N123">
        <f>(1+M123)*(1+N67)-1</f>
        <v/>
      </c>
      <c r="O123">
        <f>(1+N123)*(1+O67)-1</f>
        <v/>
      </c>
      <c r="P123">
        <f>(1+O123)*(1+P67)-1</f>
        <v/>
      </c>
      <c r="Q123">
        <f>(1+P123)*(1+Q67)-1</f>
        <v/>
      </c>
      <c r="R123">
        <f>(1+Q123)*(1+R67)-1</f>
        <v/>
      </c>
      <c r="S123">
        <f>(1+R123)*(1+S67)-1</f>
        <v/>
      </c>
      <c r="T123">
        <f>(1+S123)*(1+T67)-1</f>
        <v/>
      </c>
      <c r="U123">
        <f>(1+T123)*(1+U67)-1</f>
        <v/>
      </c>
      <c r="V123">
        <f>(1+U123)*(1+V67)-1</f>
        <v/>
      </c>
      <c r="W123">
        <f>(1+V123)*(1+W67)-1</f>
        <v/>
      </c>
      <c r="X123">
        <f>(1+W123)*(1+X67)-1</f>
        <v/>
      </c>
      <c r="Y123">
        <f>(1+X123)*(1+Y67)-1</f>
        <v/>
      </c>
      <c r="Z123">
        <f>(1+Y123)*(1+Z67)-1</f>
        <v/>
      </c>
      <c r="AA123">
        <f>(1+Z123)*(1+AA67)-1</f>
        <v/>
      </c>
      <c r="AB123">
        <f>(1+AA123)*(1+AB67)-1</f>
        <v/>
      </c>
      <c r="AC123">
        <f>(1+AB123)*(1+AC67)-1</f>
        <v/>
      </c>
    </row>
    <row r="124">
      <c r="B124" t="inlineStr">
        <is>
          <t>ISIC 05</t>
        </is>
      </c>
      <c r="C124" t="n">
        <v>0</v>
      </c>
      <c r="D124">
        <f>(1+C124)*(1+D68)-1</f>
        <v/>
      </c>
      <c r="E124">
        <f>(1+D124)*(1+E68)-1</f>
        <v/>
      </c>
      <c r="F124">
        <f>(1+E124)*(1+F68)-1</f>
        <v/>
      </c>
      <c r="G124">
        <f>(1+F124)*(1+G68)-1</f>
        <v/>
      </c>
      <c r="H124">
        <f>(1+G124)*(1+H68)-1</f>
        <v/>
      </c>
      <c r="I124">
        <f>(1+H124)*(1+I68)-1</f>
        <v/>
      </c>
      <c r="J124">
        <f>(1+I124)*(1+J68)-1</f>
        <v/>
      </c>
      <c r="K124">
        <f>(1+J124)*(1+K68)-1</f>
        <v/>
      </c>
      <c r="L124">
        <f>(1+K124)*(1+L68)-1</f>
        <v/>
      </c>
      <c r="M124">
        <f>(1+L124)*(1+M68)-1</f>
        <v/>
      </c>
      <c r="N124">
        <f>(1+M124)*(1+N68)-1</f>
        <v/>
      </c>
      <c r="O124">
        <f>(1+N124)*(1+O68)-1</f>
        <v/>
      </c>
      <c r="P124">
        <f>(1+O124)*(1+P68)-1</f>
        <v/>
      </c>
      <c r="Q124">
        <f>(1+P124)*(1+Q68)-1</f>
        <v/>
      </c>
      <c r="R124">
        <f>(1+Q124)*(1+R68)-1</f>
        <v/>
      </c>
      <c r="S124">
        <f>(1+R124)*(1+S68)-1</f>
        <v/>
      </c>
      <c r="T124">
        <f>(1+S124)*(1+T68)-1</f>
        <v/>
      </c>
      <c r="U124">
        <f>(1+T124)*(1+U68)-1</f>
        <v/>
      </c>
      <c r="V124">
        <f>(1+U124)*(1+V68)-1</f>
        <v/>
      </c>
      <c r="W124">
        <f>(1+V124)*(1+W68)-1</f>
        <v/>
      </c>
      <c r="X124">
        <f>(1+W124)*(1+X68)-1</f>
        <v/>
      </c>
      <c r="Y124">
        <f>(1+X124)*(1+Y68)-1</f>
        <v/>
      </c>
      <c r="Z124">
        <f>(1+Y124)*(1+Z68)-1</f>
        <v/>
      </c>
      <c r="AA124">
        <f>(1+Z124)*(1+AA68)-1</f>
        <v/>
      </c>
      <c r="AB124">
        <f>(1+AA124)*(1+AB68)-1</f>
        <v/>
      </c>
      <c r="AC124">
        <f>(1+AB124)*(1+AC68)-1</f>
        <v/>
      </c>
    </row>
    <row r="125">
      <c r="B125" t="inlineStr">
        <is>
          <t>ISIC 06</t>
        </is>
      </c>
      <c r="C125" t="n">
        <v>0</v>
      </c>
      <c r="D125">
        <f>(1+C125)*(1+D69)-1</f>
        <v/>
      </c>
      <c r="E125">
        <f>(1+D125)*(1+E69)-1</f>
        <v/>
      </c>
      <c r="F125">
        <f>(1+E125)*(1+F69)-1</f>
        <v/>
      </c>
      <c r="G125">
        <f>(1+F125)*(1+G69)-1</f>
        <v/>
      </c>
      <c r="H125">
        <f>(1+G125)*(1+H69)-1</f>
        <v/>
      </c>
      <c r="I125">
        <f>(1+H125)*(1+I69)-1</f>
        <v/>
      </c>
      <c r="J125">
        <f>(1+I125)*(1+J69)-1</f>
        <v/>
      </c>
      <c r="K125">
        <f>(1+J125)*(1+K69)-1</f>
        <v/>
      </c>
      <c r="L125">
        <f>(1+K125)*(1+L69)-1</f>
        <v/>
      </c>
      <c r="M125">
        <f>(1+L125)*(1+M69)-1</f>
        <v/>
      </c>
      <c r="N125">
        <f>(1+M125)*(1+N69)-1</f>
        <v/>
      </c>
      <c r="O125">
        <f>(1+N125)*(1+O69)-1</f>
        <v/>
      </c>
      <c r="P125">
        <f>(1+O125)*(1+P69)-1</f>
        <v/>
      </c>
      <c r="Q125">
        <f>(1+P125)*(1+Q69)-1</f>
        <v/>
      </c>
      <c r="R125">
        <f>(1+Q125)*(1+R69)-1</f>
        <v/>
      </c>
      <c r="S125">
        <f>(1+R125)*(1+S69)-1</f>
        <v/>
      </c>
      <c r="T125">
        <f>(1+S125)*(1+T69)-1</f>
        <v/>
      </c>
      <c r="U125">
        <f>(1+T125)*(1+U69)-1</f>
        <v/>
      </c>
      <c r="V125">
        <f>(1+U125)*(1+V69)-1</f>
        <v/>
      </c>
      <c r="W125">
        <f>(1+V125)*(1+W69)-1</f>
        <v/>
      </c>
      <c r="X125">
        <f>(1+W125)*(1+X69)-1</f>
        <v/>
      </c>
      <c r="Y125">
        <f>(1+X125)*(1+Y69)-1</f>
        <v/>
      </c>
      <c r="Z125">
        <f>(1+Y125)*(1+Z69)-1</f>
        <v/>
      </c>
      <c r="AA125">
        <f>(1+Z125)*(1+AA69)-1</f>
        <v/>
      </c>
      <c r="AB125">
        <f>(1+AA125)*(1+AB69)-1</f>
        <v/>
      </c>
      <c r="AC125">
        <f>(1+AB125)*(1+AC69)-1</f>
        <v/>
      </c>
    </row>
    <row r="126">
      <c r="B126" t="inlineStr">
        <is>
          <t>ISIC 07</t>
        </is>
      </c>
      <c r="C126" t="n">
        <v>0</v>
      </c>
      <c r="D126">
        <f>(1+C126)*(1+D70)-1</f>
        <v/>
      </c>
      <c r="E126">
        <f>(1+D126)*(1+E70)-1</f>
        <v/>
      </c>
      <c r="F126">
        <f>(1+E126)*(1+F70)-1</f>
        <v/>
      </c>
      <c r="G126">
        <f>(1+F126)*(1+G70)-1</f>
        <v/>
      </c>
      <c r="H126">
        <f>(1+G126)*(1+H70)-1</f>
        <v/>
      </c>
      <c r="I126">
        <f>(1+H126)*(1+I70)-1</f>
        <v/>
      </c>
      <c r="J126">
        <f>(1+I126)*(1+J70)-1</f>
        <v/>
      </c>
      <c r="K126">
        <f>(1+J126)*(1+K70)-1</f>
        <v/>
      </c>
      <c r="L126">
        <f>(1+K126)*(1+L70)-1</f>
        <v/>
      </c>
      <c r="M126">
        <f>(1+L126)*(1+M70)-1</f>
        <v/>
      </c>
      <c r="N126">
        <f>(1+M126)*(1+N70)-1</f>
        <v/>
      </c>
      <c r="O126">
        <f>(1+N126)*(1+O70)-1</f>
        <v/>
      </c>
      <c r="P126">
        <f>(1+O126)*(1+P70)-1</f>
        <v/>
      </c>
      <c r="Q126">
        <f>(1+P126)*(1+Q70)-1</f>
        <v/>
      </c>
      <c r="R126">
        <f>(1+Q126)*(1+R70)-1</f>
        <v/>
      </c>
      <c r="S126">
        <f>(1+R126)*(1+S70)-1</f>
        <v/>
      </c>
      <c r="T126">
        <f>(1+S126)*(1+T70)-1</f>
        <v/>
      </c>
      <c r="U126">
        <f>(1+T126)*(1+U70)-1</f>
        <v/>
      </c>
      <c r="V126">
        <f>(1+U126)*(1+V70)-1</f>
        <v/>
      </c>
      <c r="W126">
        <f>(1+V126)*(1+W70)-1</f>
        <v/>
      </c>
      <c r="X126">
        <f>(1+W126)*(1+X70)-1</f>
        <v/>
      </c>
      <c r="Y126">
        <f>(1+X126)*(1+Y70)-1</f>
        <v/>
      </c>
      <c r="Z126">
        <f>(1+Y126)*(1+Z70)-1</f>
        <v/>
      </c>
      <c r="AA126">
        <f>(1+Z126)*(1+AA70)-1</f>
        <v/>
      </c>
      <c r="AB126">
        <f>(1+AA126)*(1+AB70)-1</f>
        <v/>
      </c>
      <c r="AC126">
        <f>(1+AB126)*(1+AC70)-1</f>
        <v/>
      </c>
    </row>
    <row r="127">
      <c r="B127" t="inlineStr">
        <is>
          <t>ISIC 08</t>
        </is>
      </c>
      <c r="C127" t="n">
        <v>0</v>
      </c>
      <c r="D127">
        <f>(1+C127)*(1+D71)-1</f>
        <v/>
      </c>
      <c r="E127">
        <f>(1+D127)*(1+E71)-1</f>
        <v/>
      </c>
      <c r="F127">
        <f>(1+E127)*(1+F71)-1</f>
        <v/>
      </c>
      <c r="G127">
        <f>(1+F127)*(1+G71)-1</f>
        <v/>
      </c>
      <c r="H127">
        <f>(1+G127)*(1+H71)-1</f>
        <v/>
      </c>
      <c r="I127">
        <f>(1+H127)*(1+I71)-1</f>
        <v/>
      </c>
      <c r="J127">
        <f>(1+I127)*(1+J71)-1</f>
        <v/>
      </c>
      <c r="K127">
        <f>(1+J127)*(1+K71)-1</f>
        <v/>
      </c>
      <c r="L127">
        <f>(1+K127)*(1+L71)-1</f>
        <v/>
      </c>
      <c r="M127">
        <f>(1+L127)*(1+M71)-1</f>
        <v/>
      </c>
      <c r="N127">
        <f>(1+M127)*(1+N71)-1</f>
        <v/>
      </c>
      <c r="O127">
        <f>(1+N127)*(1+O71)-1</f>
        <v/>
      </c>
      <c r="P127">
        <f>(1+O127)*(1+P71)-1</f>
        <v/>
      </c>
      <c r="Q127">
        <f>(1+P127)*(1+Q71)-1</f>
        <v/>
      </c>
      <c r="R127">
        <f>(1+Q127)*(1+R71)-1</f>
        <v/>
      </c>
      <c r="S127">
        <f>(1+R127)*(1+S71)-1</f>
        <v/>
      </c>
      <c r="T127">
        <f>(1+S127)*(1+T71)-1</f>
        <v/>
      </c>
      <c r="U127">
        <f>(1+T127)*(1+U71)-1</f>
        <v/>
      </c>
      <c r="V127">
        <f>(1+U127)*(1+V71)-1</f>
        <v/>
      </c>
      <c r="W127">
        <f>(1+V127)*(1+W71)-1</f>
        <v/>
      </c>
      <c r="X127">
        <f>(1+W127)*(1+X71)-1</f>
        <v/>
      </c>
      <c r="Y127">
        <f>(1+X127)*(1+Y71)-1</f>
        <v/>
      </c>
      <c r="Z127">
        <f>(1+Y127)*(1+Z71)-1</f>
        <v/>
      </c>
      <c r="AA127">
        <f>(1+Z127)*(1+AA71)-1</f>
        <v/>
      </c>
      <c r="AB127">
        <f>(1+AA127)*(1+AB71)-1</f>
        <v/>
      </c>
      <c r="AC127">
        <f>(1+AB127)*(1+AC71)-1</f>
        <v/>
      </c>
    </row>
    <row r="128">
      <c r="B128" t="inlineStr">
        <is>
          <t>ISIC 09</t>
        </is>
      </c>
      <c r="C128" t="n">
        <v>0</v>
      </c>
      <c r="D128">
        <f>(1+C128)*(1+D72)-1</f>
        <v/>
      </c>
      <c r="E128">
        <f>(1+D128)*(1+E72)-1</f>
        <v/>
      </c>
      <c r="F128">
        <f>(1+E128)*(1+F72)-1</f>
        <v/>
      </c>
      <c r="G128">
        <f>(1+F128)*(1+G72)-1</f>
        <v/>
      </c>
      <c r="H128">
        <f>(1+G128)*(1+H72)-1</f>
        <v/>
      </c>
      <c r="I128">
        <f>(1+H128)*(1+I72)-1</f>
        <v/>
      </c>
      <c r="J128">
        <f>(1+I128)*(1+J72)-1</f>
        <v/>
      </c>
      <c r="K128">
        <f>(1+J128)*(1+K72)-1</f>
        <v/>
      </c>
      <c r="L128">
        <f>(1+K128)*(1+L72)-1</f>
        <v/>
      </c>
      <c r="M128">
        <f>(1+L128)*(1+M72)-1</f>
        <v/>
      </c>
      <c r="N128">
        <f>(1+M128)*(1+N72)-1</f>
        <v/>
      </c>
      <c r="O128">
        <f>(1+N128)*(1+O72)-1</f>
        <v/>
      </c>
      <c r="P128">
        <f>(1+O128)*(1+P72)-1</f>
        <v/>
      </c>
      <c r="Q128">
        <f>(1+P128)*(1+Q72)-1</f>
        <v/>
      </c>
      <c r="R128">
        <f>(1+Q128)*(1+R72)-1</f>
        <v/>
      </c>
      <c r="S128">
        <f>(1+R128)*(1+S72)-1</f>
        <v/>
      </c>
      <c r="T128">
        <f>(1+S128)*(1+T72)-1</f>
        <v/>
      </c>
      <c r="U128">
        <f>(1+T128)*(1+U72)-1</f>
        <v/>
      </c>
      <c r="V128">
        <f>(1+U128)*(1+V72)-1</f>
        <v/>
      </c>
      <c r="W128">
        <f>(1+V128)*(1+W72)-1</f>
        <v/>
      </c>
      <c r="X128">
        <f>(1+W128)*(1+X72)-1</f>
        <v/>
      </c>
      <c r="Y128">
        <f>(1+X128)*(1+Y72)-1</f>
        <v/>
      </c>
      <c r="Z128">
        <f>(1+Y128)*(1+Z72)-1</f>
        <v/>
      </c>
      <c r="AA128">
        <f>(1+Z128)*(1+AA72)-1</f>
        <v/>
      </c>
      <c r="AB128">
        <f>(1+AA128)*(1+AB72)-1</f>
        <v/>
      </c>
      <c r="AC128">
        <f>(1+AB128)*(1+AC72)-1</f>
        <v/>
      </c>
    </row>
    <row r="129">
      <c r="B129" t="inlineStr">
        <is>
          <t>ISIC 10T12</t>
        </is>
      </c>
      <c r="C129" t="n">
        <v>0</v>
      </c>
      <c r="D129">
        <f>(1+C129)*(1+D73)-1</f>
        <v/>
      </c>
      <c r="E129">
        <f>(1+D129)*(1+E73)-1</f>
        <v/>
      </c>
      <c r="F129">
        <f>(1+E129)*(1+F73)-1</f>
        <v/>
      </c>
      <c r="G129">
        <f>(1+F129)*(1+G73)-1</f>
        <v/>
      </c>
      <c r="H129">
        <f>(1+G129)*(1+H73)-1</f>
        <v/>
      </c>
      <c r="I129">
        <f>(1+H129)*(1+I73)-1</f>
        <v/>
      </c>
      <c r="J129">
        <f>(1+I129)*(1+J73)-1</f>
        <v/>
      </c>
      <c r="K129">
        <f>(1+J129)*(1+K73)-1</f>
        <v/>
      </c>
      <c r="L129">
        <f>(1+K129)*(1+L73)-1</f>
        <v/>
      </c>
      <c r="M129">
        <f>(1+L129)*(1+M73)-1</f>
        <v/>
      </c>
      <c r="N129">
        <f>(1+M129)*(1+N73)-1</f>
        <v/>
      </c>
      <c r="O129">
        <f>(1+N129)*(1+O73)-1</f>
        <v/>
      </c>
      <c r="P129">
        <f>(1+O129)*(1+P73)-1</f>
        <v/>
      </c>
      <c r="Q129">
        <f>(1+P129)*(1+Q73)-1</f>
        <v/>
      </c>
      <c r="R129">
        <f>(1+Q129)*(1+R73)-1</f>
        <v/>
      </c>
      <c r="S129">
        <f>(1+R129)*(1+S73)-1</f>
        <v/>
      </c>
      <c r="T129">
        <f>(1+S129)*(1+T73)-1</f>
        <v/>
      </c>
      <c r="U129">
        <f>(1+T129)*(1+U73)-1</f>
        <v/>
      </c>
      <c r="V129">
        <f>(1+U129)*(1+V73)-1</f>
        <v/>
      </c>
      <c r="W129">
        <f>(1+V129)*(1+W73)-1</f>
        <v/>
      </c>
      <c r="X129">
        <f>(1+W129)*(1+X73)-1</f>
        <v/>
      </c>
      <c r="Y129">
        <f>(1+X129)*(1+Y73)-1</f>
        <v/>
      </c>
      <c r="Z129">
        <f>(1+Y129)*(1+Z73)-1</f>
        <v/>
      </c>
      <c r="AA129">
        <f>(1+Z129)*(1+AA73)-1</f>
        <v/>
      </c>
      <c r="AB129">
        <f>(1+AA129)*(1+AB73)-1</f>
        <v/>
      </c>
      <c r="AC129">
        <f>(1+AB129)*(1+AC73)-1</f>
        <v/>
      </c>
    </row>
    <row r="130">
      <c r="B130" t="inlineStr">
        <is>
          <t>ISIC 13T15</t>
        </is>
      </c>
      <c r="C130" t="n">
        <v>0</v>
      </c>
      <c r="D130">
        <f>(1+C130)*(1+D74)-1</f>
        <v/>
      </c>
      <c r="E130">
        <f>(1+D130)*(1+E74)-1</f>
        <v/>
      </c>
      <c r="F130">
        <f>(1+E130)*(1+F74)-1</f>
        <v/>
      </c>
      <c r="G130">
        <f>(1+F130)*(1+G74)-1</f>
        <v/>
      </c>
      <c r="H130">
        <f>(1+G130)*(1+H74)-1</f>
        <v/>
      </c>
      <c r="I130">
        <f>(1+H130)*(1+I74)-1</f>
        <v/>
      </c>
      <c r="J130">
        <f>(1+I130)*(1+J74)-1</f>
        <v/>
      </c>
      <c r="K130">
        <f>(1+J130)*(1+K74)-1</f>
        <v/>
      </c>
      <c r="L130">
        <f>(1+K130)*(1+L74)-1</f>
        <v/>
      </c>
      <c r="M130">
        <f>(1+L130)*(1+M74)-1</f>
        <v/>
      </c>
      <c r="N130">
        <f>(1+M130)*(1+N74)-1</f>
        <v/>
      </c>
      <c r="O130">
        <f>(1+N130)*(1+O74)-1</f>
        <v/>
      </c>
      <c r="P130">
        <f>(1+O130)*(1+P74)-1</f>
        <v/>
      </c>
      <c r="Q130">
        <f>(1+P130)*(1+Q74)-1</f>
        <v/>
      </c>
      <c r="R130">
        <f>(1+Q130)*(1+R74)-1</f>
        <v/>
      </c>
      <c r="S130">
        <f>(1+R130)*(1+S74)-1</f>
        <v/>
      </c>
      <c r="T130">
        <f>(1+S130)*(1+T74)-1</f>
        <v/>
      </c>
      <c r="U130">
        <f>(1+T130)*(1+U74)-1</f>
        <v/>
      </c>
      <c r="V130">
        <f>(1+U130)*(1+V74)-1</f>
        <v/>
      </c>
      <c r="W130">
        <f>(1+V130)*(1+W74)-1</f>
        <v/>
      </c>
      <c r="X130">
        <f>(1+W130)*(1+X74)-1</f>
        <v/>
      </c>
      <c r="Y130">
        <f>(1+X130)*(1+Y74)-1</f>
        <v/>
      </c>
      <c r="Z130">
        <f>(1+Y130)*(1+Z74)-1</f>
        <v/>
      </c>
      <c r="AA130">
        <f>(1+Z130)*(1+AA74)-1</f>
        <v/>
      </c>
      <c r="AB130">
        <f>(1+AA130)*(1+AB74)-1</f>
        <v/>
      </c>
      <c r="AC130">
        <f>(1+AB130)*(1+AC74)-1</f>
        <v/>
      </c>
    </row>
    <row r="131">
      <c r="B131" t="inlineStr">
        <is>
          <t>ISIC 16</t>
        </is>
      </c>
      <c r="C131" t="n">
        <v>0</v>
      </c>
      <c r="D131">
        <f>(1+C131)*(1+D75)-1</f>
        <v/>
      </c>
      <c r="E131">
        <f>(1+D131)*(1+E75)-1</f>
        <v/>
      </c>
      <c r="F131">
        <f>(1+E131)*(1+F75)-1</f>
        <v/>
      </c>
      <c r="G131">
        <f>(1+F131)*(1+G75)-1</f>
        <v/>
      </c>
      <c r="H131">
        <f>(1+G131)*(1+H75)-1</f>
        <v/>
      </c>
      <c r="I131">
        <f>(1+H131)*(1+I75)-1</f>
        <v/>
      </c>
      <c r="J131">
        <f>(1+I131)*(1+J75)-1</f>
        <v/>
      </c>
      <c r="K131">
        <f>(1+J131)*(1+K75)-1</f>
        <v/>
      </c>
      <c r="L131">
        <f>(1+K131)*(1+L75)-1</f>
        <v/>
      </c>
      <c r="M131">
        <f>(1+L131)*(1+M75)-1</f>
        <v/>
      </c>
      <c r="N131">
        <f>(1+M131)*(1+N75)-1</f>
        <v/>
      </c>
      <c r="O131">
        <f>(1+N131)*(1+O75)-1</f>
        <v/>
      </c>
      <c r="P131">
        <f>(1+O131)*(1+P75)-1</f>
        <v/>
      </c>
      <c r="Q131">
        <f>(1+P131)*(1+Q75)-1</f>
        <v/>
      </c>
      <c r="R131">
        <f>(1+Q131)*(1+R75)-1</f>
        <v/>
      </c>
      <c r="S131">
        <f>(1+R131)*(1+S75)-1</f>
        <v/>
      </c>
      <c r="T131">
        <f>(1+S131)*(1+T75)-1</f>
        <v/>
      </c>
      <c r="U131">
        <f>(1+T131)*(1+U75)-1</f>
        <v/>
      </c>
      <c r="V131">
        <f>(1+U131)*(1+V75)-1</f>
        <v/>
      </c>
      <c r="W131">
        <f>(1+V131)*(1+W75)-1</f>
        <v/>
      </c>
      <c r="X131">
        <f>(1+W131)*(1+X75)-1</f>
        <v/>
      </c>
      <c r="Y131">
        <f>(1+X131)*(1+Y75)-1</f>
        <v/>
      </c>
      <c r="Z131">
        <f>(1+Y131)*(1+Z75)-1</f>
        <v/>
      </c>
      <c r="AA131">
        <f>(1+Z131)*(1+AA75)-1</f>
        <v/>
      </c>
      <c r="AB131">
        <f>(1+AA131)*(1+AB75)-1</f>
        <v/>
      </c>
      <c r="AC131">
        <f>(1+AB131)*(1+AC75)-1</f>
        <v/>
      </c>
    </row>
    <row r="132">
      <c r="B132" t="inlineStr">
        <is>
          <t>ISIC 17T18</t>
        </is>
      </c>
      <c r="C132" t="n">
        <v>0</v>
      </c>
      <c r="D132">
        <f>(1+C132)*(1+D76)-1</f>
        <v/>
      </c>
      <c r="E132">
        <f>(1+D132)*(1+E76)-1</f>
        <v/>
      </c>
      <c r="F132">
        <f>(1+E132)*(1+F76)-1</f>
        <v/>
      </c>
      <c r="G132">
        <f>(1+F132)*(1+G76)-1</f>
        <v/>
      </c>
      <c r="H132">
        <f>(1+G132)*(1+H76)-1</f>
        <v/>
      </c>
      <c r="I132">
        <f>(1+H132)*(1+I76)-1</f>
        <v/>
      </c>
      <c r="J132">
        <f>(1+I132)*(1+J76)-1</f>
        <v/>
      </c>
      <c r="K132">
        <f>(1+J132)*(1+K76)-1</f>
        <v/>
      </c>
      <c r="L132">
        <f>(1+K132)*(1+L76)-1</f>
        <v/>
      </c>
      <c r="M132">
        <f>(1+L132)*(1+M76)-1</f>
        <v/>
      </c>
      <c r="N132">
        <f>(1+M132)*(1+N76)-1</f>
        <v/>
      </c>
      <c r="O132">
        <f>(1+N132)*(1+O76)-1</f>
        <v/>
      </c>
      <c r="P132">
        <f>(1+O132)*(1+P76)-1</f>
        <v/>
      </c>
      <c r="Q132">
        <f>(1+P132)*(1+Q76)-1</f>
        <v/>
      </c>
      <c r="R132">
        <f>(1+Q132)*(1+R76)-1</f>
        <v/>
      </c>
      <c r="S132">
        <f>(1+R132)*(1+S76)-1</f>
        <v/>
      </c>
      <c r="T132">
        <f>(1+S132)*(1+T76)-1</f>
        <v/>
      </c>
      <c r="U132">
        <f>(1+T132)*(1+U76)-1</f>
        <v/>
      </c>
      <c r="V132">
        <f>(1+U132)*(1+V76)-1</f>
        <v/>
      </c>
      <c r="W132">
        <f>(1+V132)*(1+W76)-1</f>
        <v/>
      </c>
      <c r="X132">
        <f>(1+W132)*(1+X76)-1</f>
        <v/>
      </c>
      <c r="Y132">
        <f>(1+X132)*(1+Y76)-1</f>
        <v/>
      </c>
      <c r="Z132">
        <f>(1+Y132)*(1+Z76)-1</f>
        <v/>
      </c>
      <c r="AA132">
        <f>(1+Z132)*(1+AA76)-1</f>
        <v/>
      </c>
      <c r="AB132">
        <f>(1+AA132)*(1+AB76)-1</f>
        <v/>
      </c>
      <c r="AC132">
        <f>(1+AB132)*(1+AC76)-1</f>
        <v/>
      </c>
    </row>
    <row r="133">
      <c r="B133" t="inlineStr">
        <is>
          <t>ISIC 19</t>
        </is>
      </c>
      <c r="C133" t="n">
        <v>0</v>
      </c>
      <c r="D133">
        <f>(1+C133)*(1+D77)-1</f>
        <v/>
      </c>
      <c r="E133">
        <f>(1+D133)*(1+E77)-1</f>
        <v/>
      </c>
      <c r="F133">
        <f>(1+E133)*(1+F77)-1</f>
        <v/>
      </c>
      <c r="G133">
        <f>(1+F133)*(1+G77)-1</f>
        <v/>
      </c>
      <c r="H133">
        <f>(1+G133)*(1+H77)-1</f>
        <v/>
      </c>
      <c r="I133">
        <f>(1+H133)*(1+I77)-1</f>
        <v/>
      </c>
      <c r="J133">
        <f>(1+I133)*(1+J77)-1</f>
        <v/>
      </c>
      <c r="K133">
        <f>(1+J133)*(1+K77)-1</f>
        <v/>
      </c>
      <c r="L133">
        <f>(1+K133)*(1+L77)-1</f>
        <v/>
      </c>
      <c r="M133">
        <f>(1+L133)*(1+M77)-1</f>
        <v/>
      </c>
      <c r="N133">
        <f>(1+M133)*(1+N77)-1</f>
        <v/>
      </c>
      <c r="O133">
        <f>(1+N133)*(1+O77)-1</f>
        <v/>
      </c>
      <c r="P133">
        <f>(1+O133)*(1+P77)-1</f>
        <v/>
      </c>
      <c r="Q133">
        <f>(1+P133)*(1+Q77)-1</f>
        <v/>
      </c>
      <c r="R133">
        <f>(1+Q133)*(1+R77)-1</f>
        <v/>
      </c>
      <c r="S133">
        <f>(1+R133)*(1+S77)-1</f>
        <v/>
      </c>
      <c r="T133">
        <f>(1+S133)*(1+T77)-1</f>
        <v/>
      </c>
      <c r="U133">
        <f>(1+T133)*(1+U77)-1</f>
        <v/>
      </c>
      <c r="V133">
        <f>(1+U133)*(1+V77)-1</f>
        <v/>
      </c>
      <c r="W133">
        <f>(1+V133)*(1+W77)-1</f>
        <v/>
      </c>
      <c r="X133">
        <f>(1+W133)*(1+X77)-1</f>
        <v/>
      </c>
      <c r="Y133">
        <f>(1+X133)*(1+Y77)-1</f>
        <v/>
      </c>
      <c r="Z133">
        <f>(1+Y133)*(1+Z77)-1</f>
        <v/>
      </c>
      <c r="AA133">
        <f>(1+Z133)*(1+AA77)-1</f>
        <v/>
      </c>
      <c r="AB133">
        <f>(1+AA133)*(1+AB77)-1</f>
        <v/>
      </c>
      <c r="AC133">
        <f>(1+AB133)*(1+AC77)-1</f>
        <v/>
      </c>
    </row>
    <row r="134">
      <c r="B134" t="inlineStr">
        <is>
          <t>ISIC 20</t>
        </is>
      </c>
      <c r="C134" t="n">
        <v>0</v>
      </c>
      <c r="D134">
        <f>(1+C134)*(1+D78)-1</f>
        <v/>
      </c>
      <c r="E134">
        <f>(1+D134)*(1+E78)-1</f>
        <v/>
      </c>
      <c r="F134">
        <f>(1+E134)*(1+F78)-1</f>
        <v/>
      </c>
      <c r="G134">
        <f>(1+F134)*(1+G78)-1</f>
        <v/>
      </c>
      <c r="H134">
        <f>(1+G134)*(1+H78)-1</f>
        <v/>
      </c>
      <c r="I134">
        <f>(1+H134)*(1+I78)-1</f>
        <v/>
      </c>
      <c r="J134">
        <f>(1+I134)*(1+J78)-1</f>
        <v/>
      </c>
      <c r="K134">
        <f>(1+J134)*(1+K78)-1</f>
        <v/>
      </c>
      <c r="L134">
        <f>(1+K134)*(1+L78)-1</f>
        <v/>
      </c>
      <c r="M134">
        <f>(1+L134)*(1+M78)-1</f>
        <v/>
      </c>
      <c r="N134">
        <f>(1+M134)*(1+N78)-1</f>
        <v/>
      </c>
      <c r="O134">
        <f>(1+N134)*(1+O78)-1</f>
        <v/>
      </c>
      <c r="P134">
        <f>(1+O134)*(1+P78)-1</f>
        <v/>
      </c>
      <c r="Q134">
        <f>(1+P134)*(1+Q78)-1</f>
        <v/>
      </c>
      <c r="R134">
        <f>(1+Q134)*(1+R78)-1</f>
        <v/>
      </c>
      <c r="S134">
        <f>(1+R134)*(1+S78)-1</f>
        <v/>
      </c>
      <c r="T134">
        <f>(1+S134)*(1+T78)-1</f>
        <v/>
      </c>
      <c r="U134">
        <f>(1+T134)*(1+U78)-1</f>
        <v/>
      </c>
      <c r="V134">
        <f>(1+U134)*(1+V78)-1</f>
        <v/>
      </c>
      <c r="W134">
        <f>(1+V134)*(1+W78)-1</f>
        <v/>
      </c>
      <c r="X134">
        <f>(1+W134)*(1+X78)-1</f>
        <v/>
      </c>
      <c r="Y134">
        <f>(1+X134)*(1+Y78)-1</f>
        <v/>
      </c>
      <c r="Z134">
        <f>(1+Y134)*(1+Z78)-1</f>
        <v/>
      </c>
      <c r="AA134">
        <f>(1+Z134)*(1+AA78)-1</f>
        <v/>
      </c>
      <c r="AB134">
        <f>(1+AA134)*(1+AB78)-1</f>
        <v/>
      </c>
      <c r="AC134">
        <f>(1+AB134)*(1+AC78)-1</f>
        <v/>
      </c>
    </row>
    <row r="135">
      <c r="B135" t="inlineStr">
        <is>
          <t>ISIC 21</t>
        </is>
      </c>
      <c r="C135" t="n">
        <v>0</v>
      </c>
      <c r="D135">
        <f>(1+C135)*(1+D79)-1</f>
        <v/>
      </c>
      <c r="E135">
        <f>(1+D135)*(1+E79)-1</f>
        <v/>
      </c>
      <c r="F135">
        <f>(1+E135)*(1+F79)-1</f>
        <v/>
      </c>
      <c r="G135">
        <f>(1+F135)*(1+G79)-1</f>
        <v/>
      </c>
      <c r="H135">
        <f>(1+G135)*(1+H79)-1</f>
        <v/>
      </c>
      <c r="I135">
        <f>(1+H135)*(1+I79)-1</f>
        <v/>
      </c>
      <c r="J135">
        <f>(1+I135)*(1+J79)-1</f>
        <v/>
      </c>
      <c r="K135">
        <f>(1+J135)*(1+K79)-1</f>
        <v/>
      </c>
      <c r="L135">
        <f>(1+K135)*(1+L79)-1</f>
        <v/>
      </c>
      <c r="M135">
        <f>(1+L135)*(1+M79)-1</f>
        <v/>
      </c>
      <c r="N135">
        <f>(1+M135)*(1+N79)-1</f>
        <v/>
      </c>
      <c r="O135">
        <f>(1+N135)*(1+O79)-1</f>
        <v/>
      </c>
      <c r="P135">
        <f>(1+O135)*(1+P79)-1</f>
        <v/>
      </c>
      <c r="Q135">
        <f>(1+P135)*(1+Q79)-1</f>
        <v/>
      </c>
      <c r="R135">
        <f>(1+Q135)*(1+R79)-1</f>
        <v/>
      </c>
      <c r="S135">
        <f>(1+R135)*(1+S79)-1</f>
        <v/>
      </c>
      <c r="T135">
        <f>(1+S135)*(1+T79)-1</f>
        <v/>
      </c>
      <c r="U135">
        <f>(1+T135)*(1+U79)-1</f>
        <v/>
      </c>
      <c r="V135">
        <f>(1+U135)*(1+V79)-1</f>
        <v/>
      </c>
      <c r="W135">
        <f>(1+V135)*(1+W79)-1</f>
        <v/>
      </c>
      <c r="X135">
        <f>(1+W135)*(1+X79)-1</f>
        <v/>
      </c>
      <c r="Y135">
        <f>(1+X135)*(1+Y79)-1</f>
        <v/>
      </c>
      <c r="Z135">
        <f>(1+Y135)*(1+Z79)-1</f>
        <v/>
      </c>
      <c r="AA135">
        <f>(1+Z135)*(1+AA79)-1</f>
        <v/>
      </c>
      <c r="AB135">
        <f>(1+AA135)*(1+AB79)-1</f>
        <v/>
      </c>
      <c r="AC135">
        <f>(1+AB135)*(1+AC79)-1</f>
        <v/>
      </c>
    </row>
    <row r="136">
      <c r="B136" t="inlineStr">
        <is>
          <t>ISIC 22</t>
        </is>
      </c>
      <c r="C136" t="n">
        <v>0</v>
      </c>
      <c r="D136">
        <f>(1+C136)*(1+D80)-1</f>
        <v/>
      </c>
      <c r="E136">
        <f>(1+D136)*(1+E80)-1</f>
        <v/>
      </c>
      <c r="F136">
        <f>(1+E136)*(1+F80)-1</f>
        <v/>
      </c>
      <c r="G136">
        <f>(1+F136)*(1+G80)-1</f>
        <v/>
      </c>
      <c r="H136">
        <f>(1+G136)*(1+H80)-1</f>
        <v/>
      </c>
      <c r="I136">
        <f>(1+H136)*(1+I80)-1</f>
        <v/>
      </c>
      <c r="J136">
        <f>(1+I136)*(1+J80)-1</f>
        <v/>
      </c>
      <c r="K136">
        <f>(1+J136)*(1+K80)-1</f>
        <v/>
      </c>
      <c r="L136">
        <f>(1+K136)*(1+L80)-1</f>
        <v/>
      </c>
      <c r="M136">
        <f>(1+L136)*(1+M80)-1</f>
        <v/>
      </c>
      <c r="N136">
        <f>(1+M136)*(1+N80)-1</f>
        <v/>
      </c>
      <c r="O136">
        <f>(1+N136)*(1+O80)-1</f>
        <v/>
      </c>
      <c r="P136">
        <f>(1+O136)*(1+P80)-1</f>
        <v/>
      </c>
      <c r="Q136">
        <f>(1+P136)*(1+Q80)-1</f>
        <v/>
      </c>
      <c r="R136">
        <f>(1+Q136)*(1+R80)-1</f>
        <v/>
      </c>
      <c r="S136">
        <f>(1+R136)*(1+S80)-1</f>
        <v/>
      </c>
      <c r="T136">
        <f>(1+S136)*(1+T80)-1</f>
        <v/>
      </c>
      <c r="U136">
        <f>(1+T136)*(1+U80)-1</f>
        <v/>
      </c>
      <c r="V136">
        <f>(1+U136)*(1+V80)-1</f>
        <v/>
      </c>
      <c r="W136">
        <f>(1+V136)*(1+W80)-1</f>
        <v/>
      </c>
      <c r="X136">
        <f>(1+W136)*(1+X80)-1</f>
        <v/>
      </c>
      <c r="Y136">
        <f>(1+X136)*(1+Y80)-1</f>
        <v/>
      </c>
      <c r="Z136">
        <f>(1+Y136)*(1+Z80)-1</f>
        <v/>
      </c>
      <c r="AA136">
        <f>(1+Z136)*(1+AA80)-1</f>
        <v/>
      </c>
      <c r="AB136">
        <f>(1+AA136)*(1+AB80)-1</f>
        <v/>
      </c>
      <c r="AC136">
        <f>(1+AB136)*(1+AC80)-1</f>
        <v/>
      </c>
    </row>
    <row r="137">
      <c r="B137" t="inlineStr">
        <is>
          <t>ISIC 231</t>
        </is>
      </c>
      <c r="C137" t="n">
        <v>0</v>
      </c>
      <c r="D137">
        <f>(1+C137)*(1+D81)-1</f>
        <v/>
      </c>
      <c r="E137">
        <f>(1+D137)*(1+E81)-1</f>
        <v/>
      </c>
      <c r="F137">
        <f>(1+E137)*(1+F81)-1</f>
        <v/>
      </c>
      <c r="G137">
        <f>(1+F137)*(1+G81)-1</f>
        <v/>
      </c>
      <c r="H137">
        <f>(1+G137)*(1+H81)-1</f>
        <v/>
      </c>
      <c r="I137">
        <f>(1+H137)*(1+I81)-1</f>
        <v/>
      </c>
      <c r="J137">
        <f>(1+I137)*(1+J81)-1</f>
        <v/>
      </c>
      <c r="K137">
        <f>(1+J137)*(1+K81)-1</f>
        <v/>
      </c>
      <c r="L137">
        <f>(1+K137)*(1+L81)-1</f>
        <v/>
      </c>
      <c r="M137">
        <f>(1+L137)*(1+M81)-1</f>
        <v/>
      </c>
      <c r="N137">
        <f>(1+M137)*(1+N81)-1</f>
        <v/>
      </c>
      <c r="O137">
        <f>(1+N137)*(1+O81)-1</f>
        <v/>
      </c>
      <c r="P137">
        <f>(1+O137)*(1+P81)-1</f>
        <v/>
      </c>
      <c r="Q137">
        <f>(1+P137)*(1+Q81)-1</f>
        <v/>
      </c>
      <c r="R137">
        <f>(1+Q137)*(1+R81)-1</f>
        <v/>
      </c>
      <c r="S137">
        <f>(1+R137)*(1+S81)-1</f>
        <v/>
      </c>
      <c r="T137">
        <f>(1+S137)*(1+T81)-1</f>
        <v/>
      </c>
      <c r="U137">
        <f>(1+T137)*(1+U81)-1</f>
        <v/>
      </c>
      <c r="V137">
        <f>(1+U137)*(1+V81)-1</f>
        <v/>
      </c>
      <c r="W137">
        <f>(1+V137)*(1+W81)-1</f>
        <v/>
      </c>
      <c r="X137">
        <f>(1+W137)*(1+X81)-1</f>
        <v/>
      </c>
      <c r="Y137">
        <f>(1+X137)*(1+Y81)-1</f>
        <v/>
      </c>
      <c r="Z137">
        <f>(1+Y137)*(1+Z81)-1</f>
        <v/>
      </c>
      <c r="AA137">
        <f>(1+Z137)*(1+AA81)-1</f>
        <v/>
      </c>
      <c r="AB137">
        <f>(1+AA137)*(1+AB81)-1</f>
        <v/>
      </c>
      <c r="AC137">
        <f>(1+AB137)*(1+AC81)-1</f>
        <v/>
      </c>
    </row>
    <row r="138">
      <c r="B138" t="inlineStr">
        <is>
          <t>ISIC 239</t>
        </is>
      </c>
      <c r="C138" t="n">
        <v>0</v>
      </c>
      <c r="D138">
        <f>(1+C138)*(1+D82)-1</f>
        <v/>
      </c>
      <c r="E138">
        <f>(1+D138)*(1+E82)-1</f>
        <v/>
      </c>
      <c r="F138">
        <f>(1+E138)*(1+F82)-1</f>
        <v/>
      </c>
      <c r="G138">
        <f>(1+F138)*(1+G82)-1</f>
        <v/>
      </c>
      <c r="H138">
        <f>(1+G138)*(1+H82)-1</f>
        <v/>
      </c>
      <c r="I138">
        <f>(1+H138)*(1+I82)-1</f>
        <v/>
      </c>
      <c r="J138">
        <f>(1+I138)*(1+J82)-1</f>
        <v/>
      </c>
      <c r="K138">
        <f>(1+J138)*(1+K82)-1</f>
        <v/>
      </c>
      <c r="L138">
        <f>(1+K138)*(1+L82)-1</f>
        <v/>
      </c>
      <c r="M138">
        <f>(1+L138)*(1+M82)-1</f>
        <v/>
      </c>
      <c r="N138">
        <f>(1+M138)*(1+N82)-1</f>
        <v/>
      </c>
      <c r="O138">
        <f>(1+N138)*(1+O82)-1</f>
        <v/>
      </c>
      <c r="P138">
        <f>(1+O138)*(1+P82)-1</f>
        <v/>
      </c>
      <c r="Q138">
        <f>(1+P138)*(1+Q82)-1</f>
        <v/>
      </c>
      <c r="R138">
        <f>(1+Q138)*(1+R82)-1</f>
        <v/>
      </c>
      <c r="S138">
        <f>(1+R138)*(1+S82)-1</f>
        <v/>
      </c>
      <c r="T138">
        <f>(1+S138)*(1+T82)-1</f>
        <v/>
      </c>
      <c r="U138">
        <f>(1+T138)*(1+U82)-1</f>
        <v/>
      </c>
      <c r="V138">
        <f>(1+U138)*(1+V82)-1</f>
        <v/>
      </c>
      <c r="W138">
        <f>(1+V138)*(1+W82)-1</f>
        <v/>
      </c>
      <c r="X138">
        <f>(1+W138)*(1+X82)-1</f>
        <v/>
      </c>
      <c r="Y138">
        <f>(1+X138)*(1+Y82)-1</f>
        <v/>
      </c>
      <c r="Z138">
        <f>(1+Y138)*(1+Z82)-1</f>
        <v/>
      </c>
      <c r="AA138">
        <f>(1+Z138)*(1+AA82)-1</f>
        <v/>
      </c>
      <c r="AB138">
        <f>(1+AA138)*(1+AB82)-1</f>
        <v/>
      </c>
      <c r="AC138">
        <f>(1+AB138)*(1+AC82)-1</f>
        <v/>
      </c>
    </row>
    <row r="139">
      <c r="B139" t="inlineStr">
        <is>
          <t>ISIC 241</t>
        </is>
      </c>
      <c r="C139" t="n">
        <v>0</v>
      </c>
      <c r="D139">
        <f>(1+C139)*(1+D83)-1</f>
        <v/>
      </c>
      <c r="E139">
        <f>(1+D139)*(1+E83)-1</f>
        <v/>
      </c>
      <c r="F139">
        <f>(1+E139)*(1+F83)-1</f>
        <v/>
      </c>
      <c r="G139">
        <f>(1+F139)*(1+G83)-1</f>
        <v/>
      </c>
      <c r="H139">
        <f>(1+G139)*(1+H83)-1</f>
        <v/>
      </c>
      <c r="I139">
        <f>(1+H139)*(1+I83)-1</f>
        <v/>
      </c>
      <c r="J139">
        <f>(1+I139)*(1+J83)-1</f>
        <v/>
      </c>
      <c r="K139">
        <f>(1+J139)*(1+K83)-1</f>
        <v/>
      </c>
      <c r="L139">
        <f>(1+K139)*(1+L83)-1</f>
        <v/>
      </c>
      <c r="M139">
        <f>(1+L139)*(1+M83)-1</f>
        <v/>
      </c>
      <c r="N139">
        <f>(1+M139)*(1+N83)-1</f>
        <v/>
      </c>
      <c r="O139">
        <f>(1+N139)*(1+O83)-1</f>
        <v/>
      </c>
      <c r="P139">
        <f>(1+O139)*(1+P83)-1</f>
        <v/>
      </c>
      <c r="Q139">
        <f>(1+P139)*(1+Q83)-1</f>
        <v/>
      </c>
      <c r="R139">
        <f>(1+Q139)*(1+R83)-1</f>
        <v/>
      </c>
      <c r="S139">
        <f>(1+R139)*(1+S83)-1</f>
        <v/>
      </c>
      <c r="T139">
        <f>(1+S139)*(1+T83)-1</f>
        <v/>
      </c>
      <c r="U139">
        <f>(1+T139)*(1+U83)-1</f>
        <v/>
      </c>
      <c r="V139">
        <f>(1+U139)*(1+V83)-1</f>
        <v/>
      </c>
      <c r="W139">
        <f>(1+V139)*(1+W83)-1</f>
        <v/>
      </c>
      <c r="X139">
        <f>(1+W139)*(1+X83)-1</f>
        <v/>
      </c>
      <c r="Y139">
        <f>(1+X139)*(1+Y83)-1</f>
        <v/>
      </c>
      <c r="Z139">
        <f>(1+Y139)*(1+Z83)-1</f>
        <v/>
      </c>
      <c r="AA139">
        <f>(1+Z139)*(1+AA83)-1</f>
        <v/>
      </c>
      <c r="AB139">
        <f>(1+AA139)*(1+AB83)-1</f>
        <v/>
      </c>
      <c r="AC139">
        <f>(1+AB139)*(1+AC83)-1</f>
        <v/>
      </c>
    </row>
    <row r="140">
      <c r="B140" t="inlineStr">
        <is>
          <t>ISIC 242</t>
        </is>
      </c>
      <c r="C140" t="n">
        <v>0</v>
      </c>
      <c r="D140">
        <f>(1+C140)*(1+D84)-1</f>
        <v/>
      </c>
      <c r="E140">
        <f>(1+D140)*(1+E84)-1</f>
        <v/>
      </c>
      <c r="F140">
        <f>(1+E140)*(1+F84)-1</f>
        <v/>
      </c>
      <c r="G140">
        <f>(1+F140)*(1+G84)-1</f>
        <v/>
      </c>
      <c r="H140">
        <f>(1+G140)*(1+H84)-1</f>
        <v/>
      </c>
      <c r="I140">
        <f>(1+H140)*(1+I84)-1</f>
        <v/>
      </c>
      <c r="J140">
        <f>(1+I140)*(1+J84)-1</f>
        <v/>
      </c>
      <c r="K140">
        <f>(1+J140)*(1+K84)-1</f>
        <v/>
      </c>
      <c r="L140">
        <f>(1+K140)*(1+L84)-1</f>
        <v/>
      </c>
      <c r="M140">
        <f>(1+L140)*(1+M84)-1</f>
        <v/>
      </c>
      <c r="N140">
        <f>(1+M140)*(1+N84)-1</f>
        <v/>
      </c>
      <c r="O140">
        <f>(1+N140)*(1+O84)-1</f>
        <v/>
      </c>
      <c r="P140">
        <f>(1+O140)*(1+P84)-1</f>
        <v/>
      </c>
      <c r="Q140">
        <f>(1+P140)*(1+Q84)-1</f>
        <v/>
      </c>
      <c r="R140">
        <f>(1+Q140)*(1+R84)-1</f>
        <v/>
      </c>
      <c r="S140">
        <f>(1+R140)*(1+S84)-1</f>
        <v/>
      </c>
      <c r="T140">
        <f>(1+S140)*(1+T84)-1</f>
        <v/>
      </c>
      <c r="U140">
        <f>(1+T140)*(1+U84)-1</f>
        <v/>
      </c>
      <c r="V140">
        <f>(1+U140)*(1+V84)-1</f>
        <v/>
      </c>
      <c r="W140">
        <f>(1+V140)*(1+W84)-1</f>
        <v/>
      </c>
      <c r="X140">
        <f>(1+W140)*(1+X84)-1</f>
        <v/>
      </c>
      <c r="Y140">
        <f>(1+X140)*(1+Y84)-1</f>
        <v/>
      </c>
      <c r="Z140">
        <f>(1+Y140)*(1+Z84)-1</f>
        <v/>
      </c>
      <c r="AA140">
        <f>(1+Z140)*(1+AA84)-1</f>
        <v/>
      </c>
      <c r="AB140">
        <f>(1+AA140)*(1+AB84)-1</f>
        <v/>
      </c>
      <c r="AC140">
        <f>(1+AB140)*(1+AC84)-1</f>
        <v/>
      </c>
    </row>
    <row r="141">
      <c r="B141" t="inlineStr">
        <is>
          <t>ISIC 25</t>
        </is>
      </c>
      <c r="C141" t="n">
        <v>0</v>
      </c>
      <c r="D141">
        <f>(1+C141)*(1+D85)-1</f>
        <v/>
      </c>
      <c r="E141">
        <f>(1+D141)*(1+E85)-1</f>
        <v/>
      </c>
      <c r="F141">
        <f>(1+E141)*(1+F85)-1</f>
        <v/>
      </c>
      <c r="G141">
        <f>(1+F141)*(1+G85)-1</f>
        <v/>
      </c>
      <c r="H141">
        <f>(1+G141)*(1+H85)-1</f>
        <v/>
      </c>
      <c r="I141">
        <f>(1+H141)*(1+I85)-1</f>
        <v/>
      </c>
      <c r="J141">
        <f>(1+I141)*(1+J85)-1</f>
        <v/>
      </c>
      <c r="K141">
        <f>(1+J141)*(1+K85)-1</f>
        <v/>
      </c>
      <c r="L141">
        <f>(1+K141)*(1+L85)-1</f>
        <v/>
      </c>
      <c r="M141">
        <f>(1+L141)*(1+M85)-1</f>
        <v/>
      </c>
      <c r="N141">
        <f>(1+M141)*(1+N85)-1</f>
        <v/>
      </c>
      <c r="O141">
        <f>(1+N141)*(1+O85)-1</f>
        <v/>
      </c>
      <c r="P141">
        <f>(1+O141)*(1+P85)-1</f>
        <v/>
      </c>
      <c r="Q141">
        <f>(1+P141)*(1+Q85)-1</f>
        <v/>
      </c>
      <c r="R141">
        <f>(1+Q141)*(1+R85)-1</f>
        <v/>
      </c>
      <c r="S141">
        <f>(1+R141)*(1+S85)-1</f>
        <v/>
      </c>
      <c r="T141">
        <f>(1+S141)*(1+T85)-1</f>
        <v/>
      </c>
      <c r="U141">
        <f>(1+T141)*(1+U85)-1</f>
        <v/>
      </c>
      <c r="V141">
        <f>(1+U141)*(1+V85)-1</f>
        <v/>
      </c>
      <c r="W141">
        <f>(1+V141)*(1+W85)-1</f>
        <v/>
      </c>
      <c r="X141">
        <f>(1+W141)*(1+X85)-1</f>
        <v/>
      </c>
      <c r="Y141">
        <f>(1+X141)*(1+Y85)-1</f>
        <v/>
      </c>
      <c r="Z141">
        <f>(1+Y141)*(1+Z85)-1</f>
        <v/>
      </c>
      <c r="AA141">
        <f>(1+Z141)*(1+AA85)-1</f>
        <v/>
      </c>
      <c r="AB141">
        <f>(1+AA141)*(1+AB85)-1</f>
        <v/>
      </c>
      <c r="AC141">
        <f>(1+AB141)*(1+AC85)-1</f>
        <v/>
      </c>
    </row>
    <row r="142">
      <c r="B142" t="inlineStr">
        <is>
          <t>ISIC 26</t>
        </is>
      </c>
      <c r="C142" t="n">
        <v>0</v>
      </c>
      <c r="D142">
        <f>(1+C142)*(1+D86)-1</f>
        <v/>
      </c>
      <c r="E142">
        <f>(1+D142)*(1+E86)-1</f>
        <v/>
      </c>
      <c r="F142">
        <f>(1+E142)*(1+F86)-1</f>
        <v/>
      </c>
      <c r="G142">
        <f>(1+F142)*(1+G86)-1</f>
        <v/>
      </c>
      <c r="H142">
        <f>(1+G142)*(1+H86)-1</f>
        <v/>
      </c>
      <c r="I142">
        <f>(1+H142)*(1+I86)-1</f>
        <v/>
      </c>
      <c r="J142">
        <f>(1+I142)*(1+J86)-1</f>
        <v/>
      </c>
      <c r="K142">
        <f>(1+J142)*(1+K86)-1</f>
        <v/>
      </c>
      <c r="L142">
        <f>(1+K142)*(1+L86)-1</f>
        <v/>
      </c>
      <c r="M142">
        <f>(1+L142)*(1+M86)-1</f>
        <v/>
      </c>
      <c r="N142">
        <f>(1+M142)*(1+N86)-1</f>
        <v/>
      </c>
      <c r="O142">
        <f>(1+N142)*(1+O86)-1</f>
        <v/>
      </c>
      <c r="P142">
        <f>(1+O142)*(1+P86)-1</f>
        <v/>
      </c>
      <c r="Q142">
        <f>(1+P142)*(1+Q86)-1</f>
        <v/>
      </c>
      <c r="R142">
        <f>(1+Q142)*(1+R86)-1</f>
        <v/>
      </c>
      <c r="S142">
        <f>(1+R142)*(1+S86)-1</f>
        <v/>
      </c>
      <c r="T142">
        <f>(1+S142)*(1+T86)-1</f>
        <v/>
      </c>
      <c r="U142">
        <f>(1+T142)*(1+U86)-1</f>
        <v/>
      </c>
      <c r="V142">
        <f>(1+U142)*(1+V86)-1</f>
        <v/>
      </c>
      <c r="W142">
        <f>(1+V142)*(1+W86)-1</f>
        <v/>
      </c>
      <c r="X142">
        <f>(1+W142)*(1+X86)-1</f>
        <v/>
      </c>
      <c r="Y142">
        <f>(1+X142)*(1+Y86)-1</f>
        <v/>
      </c>
      <c r="Z142">
        <f>(1+Y142)*(1+Z86)-1</f>
        <v/>
      </c>
      <c r="AA142">
        <f>(1+Z142)*(1+AA86)-1</f>
        <v/>
      </c>
      <c r="AB142">
        <f>(1+AA142)*(1+AB86)-1</f>
        <v/>
      </c>
      <c r="AC142">
        <f>(1+AB142)*(1+AC86)-1</f>
        <v/>
      </c>
    </row>
    <row r="143">
      <c r="B143" t="inlineStr">
        <is>
          <t>ISIC 27</t>
        </is>
      </c>
      <c r="C143" t="n">
        <v>0</v>
      </c>
      <c r="D143">
        <f>(1+C143)*(1+D87)-1</f>
        <v/>
      </c>
      <c r="E143">
        <f>(1+D143)*(1+E87)-1</f>
        <v/>
      </c>
      <c r="F143">
        <f>(1+E143)*(1+F87)-1</f>
        <v/>
      </c>
      <c r="G143">
        <f>(1+F143)*(1+G87)-1</f>
        <v/>
      </c>
      <c r="H143">
        <f>(1+G143)*(1+H87)-1</f>
        <v/>
      </c>
      <c r="I143">
        <f>(1+H143)*(1+I87)-1</f>
        <v/>
      </c>
      <c r="J143">
        <f>(1+I143)*(1+J87)-1</f>
        <v/>
      </c>
      <c r="K143">
        <f>(1+J143)*(1+K87)-1</f>
        <v/>
      </c>
      <c r="L143">
        <f>(1+K143)*(1+L87)-1</f>
        <v/>
      </c>
      <c r="M143">
        <f>(1+L143)*(1+M87)-1</f>
        <v/>
      </c>
      <c r="N143">
        <f>(1+M143)*(1+N87)-1</f>
        <v/>
      </c>
      <c r="O143">
        <f>(1+N143)*(1+O87)-1</f>
        <v/>
      </c>
      <c r="P143">
        <f>(1+O143)*(1+P87)-1</f>
        <v/>
      </c>
      <c r="Q143">
        <f>(1+P143)*(1+Q87)-1</f>
        <v/>
      </c>
      <c r="R143">
        <f>(1+Q143)*(1+R87)-1</f>
        <v/>
      </c>
      <c r="S143">
        <f>(1+R143)*(1+S87)-1</f>
        <v/>
      </c>
      <c r="T143">
        <f>(1+S143)*(1+T87)-1</f>
        <v/>
      </c>
      <c r="U143">
        <f>(1+T143)*(1+U87)-1</f>
        <v/>
      </c>
      <c r="V143">
        <f>(1+U143)*(1+V87)-1</f>
        <v/>
      </c>
      <c r="W143">
        <f>(1+V143)*(1+W87)-1</f>
        <v/>
      </c>
      <c r="X143">
        <f>(1+W143)*(1+X87)-1</f>
        <v/>
      </c>
      <c r="Y143">
        <f>(1+X143)*(1+Y87)-1</f>
        <v/>
      </c>
      <c r="Z143">
        <f>(1+Y143)*(1+Z87)-1</f>
        <v/>
      </c>
      <c r="AA143">
        <f>(1+Z143)*(1+AA87)-1</f>
        <v/>
      </c>
      <c r="AB143">
        <f>(1+AA143)*(1+AB87)-1</f>
        <v/>
      </c>
      <c r="AC143">
        <f>(1+AB143)*(1+AC87)-1</f>
        <v/>
      </c>
    </row>
    <row r="144">
      <c r="B144" t="inlineStr">
        <is>
          <t>ISIC 28</t>
        </is>
      </c>
      <c r="C144" t="n">
        <v>0</v>
      </c>
      <c r="D144">
        <f>(1+C144)*(1+D88)-1</f>
        <v/>
      </c>
      <c r="E144">
        <f>(1+D144)*(1+E88)-1</f>
        <v/>
      </c>
      <c r="F144">
        <f>(1+E144)*(1+F88)-1</f>
        <v/>
      </c>
      <c r="G144">
        <f>(1+F144)*(1+G88)-1</f>
        <v/>
      </c>
      <c r="H144">
        <f>(1+G144)*(1+H88)-1</f>
        <v/>
      </c>
      <c r="I144">
        <f>(1+H144)*(1+I88)-1</f>
        <v/>
      </c>
      <c r="J144">
        <f>(1+I144)*(1+J88)-1</f>
        <v/>
      </c>
      <c r="K144">
        <f>(1+J144)*(1+K88)-1</f>
        <v/>
      </c>
      <c r="L144">
        <f>(1+K144)*(1+L88)-1</f>
        <v/>
      </c>
      <c r="M144">
        <f>(1+L144)*(1+M88)-1</f>
        <v/>
      </c>
      <c r="N144">
        <f>(1+M144)*(1+N88)-1</f>
        <v/>
      </c>
      <c r="O144">
        <f>(1+N144)*(1+O88)-1</f>
        <v/>
      </c>
      <c r="P144">
        <f>(1+O144)*(1+P88)-1</f>
        <v/>
      </c>
      <c r="Q144">
        <f>(1+P144)*(1+Q88)-1</f>
        <v/>
      </c>
      <c r="R144">
        <f>(1+Q144)*(1+R88)-1</f>
        <v/>
      </c>
      <c r="S144">
        <f>(1+R144)*(1+S88)-1</f>
        <v/>
      </c>
      <c r="T144">
        <f>(1+S144)*(1+T88)-1</f>
        <v/>
      </c>
      <c r="U144">
        <f>(1+T144)*(1+U88)-1</f>
        <v/>
      </c>
      <c r="V144">
        <f>(1+U144)*(1+V88)-1</f>
        <v/>
      </c>
      <c r="W144">
        <f>(1+V144)*(1+W88)-1</f>
        <v/>
      </c>
      <c r="X144">
        <f>(1+W144)*(1+X88)-1</f>
        <v/>
      </c>
      <c r="Y144">
        <f>(1+X144)*(1+Y88)-1</f>
        <v/>
      </c>
      <c r="Z144">
        <f>(1+Y144)*(1+Z88)-1</f>
        <v/>
      </c>
      <c r="AA144">
        <f>(1+Z144)*(1+AA88)-1</f>
        <v/>
      </c>
      <c r="AB144">
        <f>(1+AA144)*(1+AB88)-1</f>
        <v/>
      </c>
      <c r="AC144">
        <f>(1+AB144)*(1+AC88)-1</f>
        <v/>
      </c>
    </row>
    <row r="145">
      <c r="B145" t="inlineStr">
        <is>
          <t>ISIC 29</t>
        </is>
      </c>
      <c r="C145" t="n">
        <v>0</v>
      </c>
      <c r="D145">
        <f>(1+C145)*(1+D89)-1</f>
        <v/>
      </c>
      <c r="E145">
        <f>(1+D145)*(1+E89)-1</f>
        <v/>
      </c>
      <c r="F145">
        <f>(1+E145)*(1+F89)-1</f>
        <v/>
      </c>
      <c r="G145">
        <f>(1+F145)*(1+G89)-1</f>
        <v/>
      </c>
      <c r="H145">
        <f>(1+G145)*(1+H89)-1</f>
        <v/>
      </c>
      <c r="I145">
        <f>(1+H145)*(1+I89)-1</f>
        <v/>
      </c>
      <c r="J145">
        <f>(1+I145)*(1+J89)-1</f>
        <v/>
      </c>
      <c r="K145">
        <f>(1+J145)*(1+K89)-1</f>
        <v/>
      </c>
      <c r="L145">
        <f>(1+K145)*(1+L89)-1</f>
        <v/>
      </c>
      <c r="M145">
        <f>(1+L145)*(1+M89)-1</f>
        <v/>
      </c>
      <c r="N145">
        <f>(1+M145)*(1+N89)-1</f>
        <v/>
      </c>
      <c r="O145">
        <f>(1+N145)*(1+O89)-1</f>
        <v/>
      </c>
      <c r="P145">
        <f>(1+O145)*(1+P89)-1</f>
        <v/>
      </c>
      <c r="Q145">
        <f>(1+P145)*(1+Q89)-1</f>
        <v/>
      </c>
      <c r="R145">
        <f>(1+Q145)*(1+R89)-1</f>
        <v/>
      </c>
      <c r="S145">
        <f>(1+R145)*(1+S89)-1</f>
        <v/>
      </c>
      <c r="T145">
        <f>(1+S145)*(1+T89)-1</f>
        <v/>
      </c>
      <c r="U145">
        <f>(1+T145)*(1+U89)-1</f>
        <v/>
      </c>
      <c r="V145">
        <f>(1+U145)*(1+V89)-1</f>
        <v/>
      </c>
      <c r="W145">
        <f>(1+V145)*(1+W89)-1</f>
        <v/>
      </c>
      <c r="X145">
        <f>(1+W145)*(1+X89)-1</f>
        <v/>
      </c>
      <c r="Y145">
        <f>(1+X145)*(1+Y89)-1</f>
        <v/>
      </c>
      <c r="Z145">
        <f>(1+Y145)*(1+Z89)-1</f>
        <v/>
      </c>
      <c r="AA145">
        <f>(1+Z145)*(1+AA89)-1</f>
        <v/>
      </c>
      <c r="AB145">
        <f>(1+AA145)*(1+AB89)-1</f>
        <v/>
      </c>
      <c r="AC145">
        <f>(1+AB145)*(1+AC89)-1</f>
        <v/>
      </c>
    </row>
    <row r="146">
      <c r="B146" t="inlineStr">
        <is>
          <t>ISIC 301</t>
        </is>
      </c>
      <c r="C146" t="n">
        <v>0</v>
      </c>
      <c r="D146">
        <f>(1+C146)*(1+D90)-1</f>
        <v/>
      </c>
      <c r="E146">
        <f>(1+D146)*(1+E90)-1</f>
        <v/>
      </c>
      <c r="F146">
        <f>(1+E146)*(1+F90)-1</f>
        <v/>
      </c>
      <c r="G146">
        <f>(1+F146)*(1+G90)-1</f>
        <v/>
      </c>
      <c r="H146">
        <f>(1+G146)*(1+H90)-1</f>
        <v/>
      </c>
      <c r="I146">
        <f>(1+H146)*(1+I90)-1</f>
        <v/>
      </c>
      <c r="J146">
        <f>(1+I146)*(1+J90)-1</f>
        <v/>
      </c>
      <c r="K146">
        <f>(1+J146)*(1+K90)-1</f>
        <v/>
      </c>
      <c r="L146">
        <f>(1+K146)*(1+L90)-1</f>
        <v/>
      </c>
      <c r="M146">
        <f>(1+L146)*(1+M90)-1</f>
        <v/>
      </c>
      <c r="N146">
        <f>(1+M146)*(1+N90)-1</f>
        <v/>
      </c>
      <c r="O146">
        <f>(1+N146)*(1+O90)-1</f>
        <v/>
      </c>
      <c r="P146">
        <f>(1+O146)*(1+P90)-1</f>
        <v/>
      </c>
      <c r="Q146">
        <f>(1+P146)*(1+Q90)-1</f>
        <v/>
      </c>
      <c r="R146">
        <f>(1+Q146)*(1+R90)-1</f>
        <v/>
      </c>
      <c r="S146">
        <f>(1+R146)*(1+S90)-1</f>
        <v/>
      </c>
      <c r="T146">
        <f>(1+S146)*(1+T90)-1</f>
        <v/>
      </c>
      <c r="U146">
        <f>(1+T146)*(1+U90)-1</f>
        <v/>
      </c>
      <c r="V146">
        <f>(1+U146)*(1+V90)-1</f>
        <v/>
      </c>
      <c r="W146">
        <f>(1+V146)*(1+W90)-1</f>
        <v/>
      </c>
      <c r="X146">
        <f>(1+W146)*(1+X90)-1</f>
        <v/>
      </c>
      <c r="Y146">
        <f>(1+X146)*(1+Y90)-1</f>
        <v/>
      </c>
      <c r="Z146">
        <f>(1+Y146)*(1+Z90)-1</f>
        <v/>
      </c>
      <c r="AA146">
        <f>(1+Z146)*(1+AA90)-1</f>
        <v/>
      </c>
      <c r="AB146">
        <f>(1+AA146)*(1+AB90)-1</f>
        <v/>
      </c>
      <c r="AC146">
        <f>(1+AB146)*(1+AC90)-1</f>
        <v/>
      </c>
    </row>
    <row r="147">
      <c r="B147" t="inlineStr">
        <is>
          <t>ISIC 302T309</t>
        </is>
      </c>
      <c r="C147" t="n">
        <v>0</v>
      </c>
      <c r="D147">
        <f>(1+C147)*(1+D91)-1</f>
        <v/>
      </c>
      <c r="E147">
        <f>(1+D147)*(1+E91)-1</f>
        <v/>
      </c>
      <c r="F147">
        <f>(1+E147)*(1+F91)-1</f>
        <v/>
      </c>
      <c r="G147">
        <f>(1+F147)*(1+G91)-1</f>
        <v/>
      </c>
      <c r="H147">
        <f>(1+G147)*(1+H91)-1</f>
        <v/>
      </c>
      <c r="I147">
        <f>(1+H147)*(1+I91)-1</f>
        <v/>
      </c>
      <c r="J147">
        <f>(1+I147)*(1+J91)-1</f>
        <v/>
      </c>
      <c r="K147">
        <f>(1+J147)*(1+K91)-1</f>
        <v/>
      </c>
      <c r="L147">
        <f>(1+K147)*(1+L91)-1</f>
        <v/>
      </c>
      <c r="M147">
        <f>(1+L147)*(1+M91)-1</f>
        <v/>
      </c>
      <c r="N147">
        <f>(1+M147)*(1+N91)-1</f>
        <v/>
      </c>
      <c r="O147">
        <f>(1+N147)*(1+O91)-1</f>
        <v/>
      </c>
      <c r="P147">
        <f>(1+O147)*(1+P91)-1</f>
        <v/>
      </c>
      <c r="Q147">
        <f>(1+P147)*(1+Q91)-1</f>
        <v/>
      </c>
      <c r="R147">
        <f>(1+Q147)*(1+R91)-1</f>
        <v/>
      </c>
      <c r="S147">
        <f>(1+R147)*(1+S91)-1</f>
        <v/>
      </c>
      <c r="T147">
        <f>(1+S147)*(1+T91)-1</f>
        <v/>
      </c>
      <c r="U147">
        <f>(1+T147)*(1+U91)-1</f>
        <v/>
      </c>
      <c r="V147">
        <f>(1+U147)*(1+V91)-1</f>
        <v/>
      </c>
      <c r="W147">
        <f>(1+V147)*(1+W91)-1</f>
        <v/>
      </c>
      <c r="X147">
        <f>(1+W147)*(1+X91)-1</f>
        <v/>
      </c>
      <c r="Y147">
        <f>(1+X147)*(1+Y91)-1</f>
        <v/>
      </c>
      <c r="Z147">
        <f>(1+Y147)*(1+Z91)-1</f>
        <v/>
      </c>
      <c r="AA147">
        <f>(1+Z147)*(1+AA91)-1</f>
        <v/>
      </c>
      <c r="AB147">
        <f>(1+AA147)*(1+AB91)-1</f>
        <v/>
      </c>
      <c r="AC147">
        <f>(1+AB147)*(1+AC91)-1</f>
        <v/>
      </c>
    </row>
    <row r="148">
      <c r="B148" t="inlineStr">
        <is>
          <t>ISIC 31T33</t>
        </is>
      </c>
      <c r="C148" t="n">
        <v>0</v>
      </c>
      <c r="D148">
        <f>(1+C148)*(1+D92)-1</f>
        <v/>
      </c>
      <c r="E148">
        <f>(1+D148)*(1+E92)-1</f>
        <v/>
      </c>
      <c r="F148">
        <f>(1+E148)*(1+F92)-1</f>
        <v/>
      </c>
      <c r="G148">
        <f>(1+F148)*(1+G92)-1</f>
        <v/>
      </c>
      <c r="H148">
        <f>(1+G148)*(1+H92)-1</f>
        <v/>
      </c>
      <c r="I148">
        <f>(1+H148)*(1+I92)-1</f>
        <v/>
      </c>
      <c r="J148">
        <f>(1+I148)*(1+J92)-1</f>
        <v/>
      </c>
      <c r="K148">
        <f>(1+J148)*(1+K92)-1</f>
        <v/>
      </c>
      <c r="L148">
        <f>(1+K148)*(1+L92)-1</f>
        <v/>
      </c>
      <c r="M148">
        <f>(1+L148)*(1+M92)-1</f>
        <v/>
      </c>
      <c r="N148">
        <f>(1+M148)*(1+N92)-1</f>
        <v/>
      </c>
      <c r="O148">
        <f>(1+N148)*(1+O92)-1</f>
        <v/>
      </c>
      <c r="P148">
        <f>(1+O148)*(1+P92)-1</f>
        <v/>
      </c>
      <c r="Q148">
        <f>(1+P148)*(1+Q92)-1</f>
        <v/>
      </c>
      <c r="R148">
        <f>(1+Q148)*(1+R92)-1</f>
        <v/>
      </c>
      <c r="S148">
        <f>(1+R148)*(1+S92)-1</f>
        <v/>
      </c>
      <c r="T148">
        <f>(1+S148)*(1+T92)-1</f>
        <v/>
      </c>
      <c r="U148">
        <f>(1+T148)*(1+U92)-1</f>
        <v/>
      </c>
      <c r="V148">
        <f>(1+U148)*(1+V92)-1</f>
        <v/>
      </c>
      <c r="W148">
        <f>(1+V148)*(1+W92)-1</f>
        <v/>
      </c>
      <c r="X148">
        <f>(1+W148)*(1+X92)-1</f>
        <v/>
      </c>
      <c r="Y148">
        <f>(1+X148)*(1+Y92)-1</f>
        <v/>
      </c>
      <c r="Z148">
        <f>(1+Y148)*(1+Z92)-1</f>
        <v/>
      </c>
      <c r="AA148">
        <f>(1+Z148)*(1+AA92)-1</f>
        <v/>
      </c>
      <c r="AB148">
        <f>(1+AA148)*(1+AB92)-1</f>
        <v/>
      </c>
      <c r="AC148">
        <f>(1+AB148)*(1+AC92)-1</f>
        <v/>
      </c>
    </row>
    <row r="149">
      <c r="B149" t="inlineStr">
        <is>
          <t>ISIC 351</t>
        </is>
      </c>
      <c r="C149" t="n">
        <v>0</v>
      </c>
      <c r="D149">
        <f>(1+C149)*(1+D93)-1</f>
        <v/>
      </c>
      <c r="E149">
        <f>(1+D149)*(1+E93)-1</f>
        <v/>
      </c>
      <c r="F149">
        <f>(1+E149)*(1+F93)-1</f>
        <v/>
      </c>
      <c r="G149">
        <f>(1+F149)*(1+G93)-1</f>
        <v/>
      </c>
      <c r="H149">
        <f>(1+G149)*(1+H93)-1</f>
        <v/>
      </c>
      <c r="I149">
        <f>(1+H149)*(1+I93)-1</f>
        <v/>
      </c>
      <c r="J149">
        <f>(1+I149)*(1+J93)-1</f>
        <v/>
      </c>
      <c r="K149">
        <f>(1+J149)*(1+K93)-1</f>
        <v/>
      </c>
      <c r="L149">
        <f>(1+K149)*(1+L93)-1</f>
        <v/>
      </c>
      <c r="M149">
        <f>(1+L149)*(1+M93)-1</f>
        <v/>
      </c>
      <c r="N149">
        <f>(1+M149)*(1+N93)-1</f>
        <v/>
      </c>
      <c r="O149">
        <f>(1+N149)*(1+O93)-1</f>
        <v/>
      </c>
      <c r="P149">
        <f>(1+O149)*(1+P93)-1</f>
        <v/>
      </c>
      <c r="Q149">
        <f>(1+P149)*(1+Q93)-1</f>
        <v/>
      </c>
      <c r="R149">
        <f>(1+Q149)*(1+R93)-1</f>
        <v/>
      </c>
      <c r="S149">
        <f>(1+R149)*(1+S93)-1</f>
        <v/>
      </c>
      <c r="T149">
        <f>(1+S149)*(1+T93)-1</f>
        <v/>
      </c>
      <c r="U149">
        <f>(1+T149)*(1+U93)-1</f>
        <v/>
      </c>
      <c r="V149">
        <f>(1+U149)*(1+V93)-1</f>
        <v/>
      </c>
      <c r="W149">
        <f>(1+V149)*(1+W93)-1</f>
        <v/>
      </c>
      <c r="X149">
        <f>(1+W149)*(1+X93)-1</f>
        <v/>
      </c>
      <c r="Y149">
        <f>(1+X149)*(1+Y93)-1</f>
        <v/>
      </c>
      <c r="Z149">
        <f>(1+Y149)*(1+Z93)-1</f>
        <v/>
      </c>
      <c r="AA149">
        <f>(1+Z149)*(1+AA93)-1</f>
        <v/>
      </c>
      <c r="AB149">
        <f>(1+AA149)*(1+AB93)-1</f>
        <v/>
      </c>
      <c r="AC149">
        <f>(1+AB149)*(1+AC93)-1</f>
        <v/>
      </c>
    </row>
    <row r="150">
      <c r="B150" t="inlineStr">
        <is>
          <t>ISIC 352T353</t>
        </is>
      </c>
      <c r="C150" t="n">
        <v>0</v>
      </c>
      <c r="D150">
        <f>(1+C150)*(1+D94)-1</f>
        <v/>
      </c>
      <c r="E150">
        <f>(1+D150)*(1+E94)-1</f>
        <v/>
      </c>
      <c r="F150">
        <f>(1+E150)*(1+F94)-1</f>
        <v/>
      </c>
      <c r="G150">
        <f>(1+F150)*(1+G94)-1</f>
        <v/>
      </c>
      <c r="H150">
        <f>(1+G150)*(1+H94)-1</f>
        <v/>
      </c>
      <c r="I150">
        <f>(1+H150)*(1+I94)-1</f>
        <v/>
      </c>
      <c r="J150">
        <f>(1+I150)*(1+J94)-1</f>
        <v/>
      </c>
      <c r="K150">
        <f>(1+J150)*(1+K94)-1</f>
        <v/>
      </c>
      <c r="L150">
        <f>(1+K150)*(1+L94)-1</f>
        <v/>
      </c>
      <c r="M150">
        <f>(1+L150)*(1+M94)-1</f>
        <v/>
      </c>
      <c r="N150">
        <f>(1+M150)*(1+N94)-1</f>
        <v/>
      </c>
      <c r="O150">
        <f>(1+N150)*(1+O94)-1</f>
        <v/>
      </c>
      <c r="P150">
        <f>(1+O150)*(1+P94)-1</f>
        <v/>
      </c>
      <c r="Q150">
        <f>(1+P150)*(1+Q94)-1</f>
        <v/>
      </c>
      <c r="R150">
        <f>(1+Q150)*(1+R94)-1</f>
        <v/>
      </c>
      <c r="S150">
        <f>(1+R150)*(1+S94)-1</f>
        <v/>
      </c>
      <c r="T150">
        <f>(1+S150)*(1+T94)-1</f>
        <v/>
      </c>
      <c r="U150">
        <f>(1+T150)*(1+U94)-1</f>
        <v/>
      </c>
      <c r="V150">
        <f>(1+U150)*(1+V94)-1</f>
        <v/>
      </c>
      <c r="W150">
        <f>(1+V150)*(1+W94)-1</f>
        <v/>
      </c>
      <c r="X150">
        <f>(1+W150)*(1+X94)-1</f>
        <v/>
      </c>
      <c r="Y150">
        <f>(1+X150)*(1+Y94)-1</f>
        <v/>
      </c>
      <c r="Z150">
        <f>(1+Y150)*(1+Z94)-1</f>
        <v/>
      </c>
      <c r="AA150">
        <f>(1+Z150)*(1+AA94)-1</f>
        <v/>
      </c>
      <c r="AB150">
        <f>(1+AA150)*(1+AB94)-1</f>
        <v/>
      </c>
      <c r="AC150">
        <f>(1+AB150)*(1+AC94)-1</f>
        <v/>
      </c>
    </row>
    <row r="151">
      <c r="B151" t="inlineStr">
        <is>
          <t>ISIC 36T39</t>
        </is>
      </c>
      <c r="C151" t="n">
        <v>0</v>
      </c>
      <c r="D151">
        <f>(1+C151)*(1+D95)-1</f>
        <v/>
      </c>
      <c r="E151">
        <f>(1+D151)*(1+E95)-1</f>
        <v/>
      </c>
      <c r="F151">
        <f>(1+E151)*(1+F95)-1</f>
        <v/>
      </c>
      <c r="G151">
        <f>(1+F151)*(1+G95)-1</f>
        <v/>
      </c>
      <c r="H151">
        <f>(1+G151)*(1+H95)-1</f>
        <v/>
      </c>
      <c r="I151">
        <f>(1+H151)*(1+I95)-1</f>
        <v/>
      </c>
      <c r="J151">
        <f>(1+I151)*(1+J95)-1</f>
        <v/>
      </c>
      <c r="K151">
        <f>(1+J151)*(1+K95)-1</f>
        <v/>
      </c>
      <c r="L151">
        <f>(1+K151)*(1+L95)-1</f>
        <v/>
      </c>
      <c r="M151">
        <f>(1+L151)*(1+M95)-1</f>
        <v/>
      </c>
      <c r="N151">
        <f>(1+M151)*(1+N95)-1</f>
        <v/>
      </c>
      <c r="O151">
        <f>(1+N151)*(1+O95)-1</f>
        <v/>
      </c>
      <c r="P151">
        <f>(1+O151)*(1+P95)-1</f>
        <v/>
      </c>
      <c r="Q151">
        <f>(1+P151)*(1+Q95)-1</f>
        <v/>
      </c>
      <c r="R151">
        <f>(1+Q151)*(1+R95)-1</f>
        <v/>
      </c>
      <c r="S151">
        <f>(1+R151)*(1+S95)-1</f>
        <v/>
      </c>
      <c r="T151">
        <f>(1+S151)*(1+T95)-1</f>
        <v/>
      </c>
      <c r="U151">
        <f>(1+T151)*(1+U95)-1</f>
        <v/>
      </c>
      <c r="V151">
        <f>(1+U151)*(1+V95)-1</f>
        <v/>
      </c>
      <c r="W151">
        <f>(1+V151)*(1+W95)-1</f>
        <v/>
      </c>
      <c r="X151">
        <f>(1+W151)*(1+X95)-1</f>
        <v/>
      </c>
      <c r="Y151">
        <f>(1+X151)*(1+Y95)-1</f>
        <v/>
      </c>
      <c r="Z151">
        <f>(1+Y151)*(1+Z95)-1</f>
        <v/>
      </c>
      <c r="AA151">
        <f>(1+Z151)*(1+AA95)-1</f>
        <v/>
      </c>
      <c r="AB151">
        <f>(1+AA151)*(1+AB95)-1</f>
        <v/>
      </c>
      <c r="AC151">
        <f>(1+AB151)*(1+AC95)-1</f>
        <v/>
      </c>
    </row>
    <row r="152">
      <c r="B152" t="inlineStr">
        <is>
          <t>ISIC 41T43</t>
        </is>
      </c>
      <c r="C152" t="n">
        <v>0</v>
      </c>
      <c r="D152">
        <f>(1+C152)*(1+D96)-1</f>
        <v/>
      </c>
      <c r="E152">
        <f>(1+D152)*(1+E96)-1</f>
        <v/>
      </c>
      <c r="F152">
        <f>(1+E152)*(1+F96)-1</f>
        <v/>
      </c>
      <c r="G152">
        <f>(1+F152)*(1+G96)-1</f>
        <v/>
      </c>
      <c r="H152">
        <f>(1+G152)*(1+H96)-1</f>
        <v/>
      </c>
      <c r="I152">
        <f>(1+H152)*(1+I96)-1</f>
        <v/>
      </c>
      <c r="J152">
        <f>(1+I152)*(1+J96)-1</f>
        <v/>
      </c>
      <c r="K152">
        <f>(1+J152)*(1+K96)-1</f>
        <v/>
      </c>
      <c r="L152">
        <f>(1+K152)*(1+L96)-1</f>
        <v/>
      </c>
      <c r="M152">
        <f>(1+L152)*(1+M96)-1</f>
        <v/>
      </c>
      <c r="N152">
        <f>(1+M152)*(1+N96)-1</f>
        <v/>
      </c>
      <c r="O152">
        <f>(1+N152)*(1+O96)-1</f>
        <v/>
      </c>
      <c r="P152">
        <f>(1+O152)*(1+P96)-1</f>
        <v/>
      </c>
      <c r="Q152">
        <f>(1+P152)*(1+Q96)-1</f>
        <v/>
      </c>
      <c r="R152">
        <f>(1+Q152)*(1+R96)-1</f>
        <v/>
      </c>
      <c r="S152">
        <f>(1+R152)*(1+S96)-1</f>
        <v/>
      </c>
      <c r="T152">
        <f>(1+S152)*(1+T96)-1</f>
        <v/>
      </c>
      <c r="U152">
        <f>(1+T152)*(1+U96)-1</f>
        <v/>
      </c>
      <c r="V152">
        <f>(1+U152)*(1+V96)-1</f>
        <v/>
      </c>
      <c r="W152">
        <f>(1+V152)*(1+W96)-1</f>
        <v/>
      </c>
      <c r="X152">
        <f>(1+W152)*(1+X96)-1</f>
        <v/>
      </c>
      <c r="Y152">
        <f>(1+X152)*(1+Y96)-1</f>
        <v/>
      </c>
      <c r="Z152">
        <f>(1+Y152)*(1+Z96)-1</f>
        <v/>
      </c>
      <c r="AA152">
        <f>(1+Z152)*(1+AA96)-1</f>
        <v/>
      </c>
      <c r="AB152">
        <f>(1+AA152)*(1+AB96)-1</f>
        <v/>
      </c>
      <c r="AC152">
        <f>(1+AB152)*(1+AC96)-1</f>
        <v/>
      </c>
    </row>
    <row r="153">
      <c r="B153" t="inlineStr">
        <is>
          <t>ISIC 45T47</t>
        </is>
      </c>
      <c r="C153" t="n">
        <v>0</v>
      </c>
      <c r="D153">
        <f>(1+C153)*(1+D97)-1</f>
        <v/>
      </c>
      <c r="E153">
        <f>(1+D153)*(1+E97)-1</f>
        <v/>
      </c>
      <c r="F153">
        <f>(1+E153)*(1+F97)-1</f>
        <v/>
      </c>
      <c r="G153">
        <f>(1+F153)*(1+G97)-1</f>
        <v/>
      </c>
      <c r="H153">
        <f>(1+G153)*(1+H97)-1</f>
        <v/>
      </c>
      <c r="I153">
        <f>(1+H153)*(1+I97)-1</f>
        <v/>
      </c>
      <c r="J153">
        <f>(1+I153)*(1+J97)-1</f>
        <v/>
      </c>
      <c r="K153">
        <f>(1+J153)*(1+K97)-1</f>
        <v/>
      </c>
      <c r="L153">
        <f>(1+K153)*(1+L97)-1</f>
        <v/>
      </c>
      <c r="M153">
        <f>(1+L153)*(1+M97)-1</f>
        <v/>
      </c>
      <c r="N153">
        <f>(1+M153)*(1+N97)-1</f>
        <v/>
      </c>
      <c r="O153">
        <f>(1+N153)*(1+O97)-1</f>
        <v/>
      </c>
      <c r="P153">
        <f>(1+O153)*(1+P97)-1</f>
        <v/>
      </c>
      <c r="Q153">
        <f>(1+P153)*(1+Q97)-1</f>
        <v/>
      </c>
      <c r="R153">
        <f>(1+Q153)*(1+R97)-1</f>
        <v/>
      </c>
      <c r="S153">
        <f>(1+R153)*(1+S97)-1</f>
        <v/>
      </c>
      <c r="T153">
        <f>(1+S153)*(1+T97)-1</f>
        <v/>
      </c>
      <c r="U153">
        <f>(1+T153)*(1+U97)-1</f>
        <v/>
      </c>
      <c r="V153">
        <f>(1+U153)*(1+V97)-1</f>
        <v/>
      </c>
      <c r="W153">
        <f>(1+V153)*(1+W97)-1</f>
        <v/>
      </c>
      <c r="X153">
        <f>(1+W153)*(1+X97)-1</f>
        <v/>
      </c>
      <c r="Y153">
        <f>(1+X153)*(1+Y97)-1</f>
        <v/>
      </c>
      <c r="Z153">
        <f>(1+Y153)*(1+Z97)-1</f>
        <v/>
      </c>
      <c r="AA153">
        <f>(1+Z153)*(1+AA97)-1</f>
        <v/>
      </c>
      <c r="AB153">
        <f>(1+AA153)*(1+AB97)-1</f>
        <v/>
      </c>
      <c r="AC153">
        <f>(1+AB153)*(1+AC97)-1</f>
        <v/>
      </c>
    </row>
    <row r="154">
      <c r="B154" t="inlineStr">
        <is>
          <t>ISIC 49</t>
        </is>
      </c>
      <c r="C154" t="n">
        <v>0</v>
      </c>
      <c r="D154">
        <f>(1+C154)*(1+D98)-1</f>
        <v/>
      </c>
      <c r="E154">
        <f>(1+D154)*(1+E98)-1</f>
        <v/>
      </c>
      <c r="F154">
        <f>(1+E154)*(1+F98)-1</f>
        <v/>
      </c>
      <c r="G154">
        <f>(1+F154)*(1+G98)-1</f>
        <v/>
      </c>
      <c r="H154">
        <f>(1+G154)*(1+H98)-1</f>
        <v/>
      </c>
      <c r="I154">
        <f>(1+H154)*(1+I98)-1</f>
        <v/>
      </c>
      <c r="J154">
        <f>(1+I154)*(1+J98)-1</f>
        <v/>
      </c>
      <c r="K154">
        <f>(1+J154)*(1+K98)-1</f>
        <v/>
      </c>
      <c r="L154">
        <f>(1+K154)*(1+L98)-1</f>
        <v/>
      </c>
      <c r="M154">
        <f>(1+L154)*(1+M98)-1</f>
        <v/>
      </c>
      <c r="N154">
        <f>(1+M154)*(1+N98)-1</f>
        <v/>
      </c>
      <c r="O154">
        <f>(1+N154)*(1+O98)-1</f>
        <v/>
      </c>
      <c r="P154">
        <f>(1+O154)*(1+P98)-1</f>
        <v/>
      </c>
      <c r="Q154">
        <f>(1+P154)*(1+Q98)-1</f>
        <v/>
      </c>
      <c r="R154">
        <f>(1+Q154)*(1+R98)-1</f>
        <v/>
      </c>
      <c r="S154">
        <f>(1+R154)*(1+S98)-1</f>
        <v/>
      </c>
      <c r="T154">
        <f>(1+S154)*(1+T98)-1</f>
        <v/>
      </c>
      <c r="U154">
        <f>(1+T154)*(1+U98)-1</f>
        <v/>
      </c>
      <c r="V154">
        <f>(1+U154)*(1+V98)-1</f>
        <v/>
      </c>
      <c r="W154">
        <f>(1+V154)*(1+W98)-1</f>
        <v/>
      </c>
      <c r="X154">
        <f>(1+W154)*(1+X98)-1</f>
        <v/>
      </c>
      <c r="Y154">
        <f>(1+X154)*(1+Y98)-1</f>
        <v/>
      </c>
      <c r="Z154">
        <f>(1+Y154)*(1+Z98)-1</f>
        <v/>
      </c>
      <c r="AA154">
        <f>(1+Z154)*(1+AA98)-1</f>
        <v/>
      </c>
      <c r="AB154">
        <f>(1+AA154)*(1+AB98)-1</f>
        <v/>
      </c>
      <c r="AC154">
        <f>(1+AB154)*(1+AC98)-1</f>
        <v/>
      </c>
    </row>
    <row r="155">
      <c r="B155" t="inlineStr">
        <is>
          <t>ISIC 50</t>
        </is>
      </c>
      <c r="C155" t="n">
        <v>0</v>
      </c>
      <c r="D155">
        <f>(1+C155)*(1+D99)-1</f>
        <v/>
      </c>
      <c r="E155">
        <f>(1+D155)*(1+E99)-1</f>
        <v/>
      </c>
      <c r="F155">
        <f>(1+E155)*(1+F99)-1</f>
        <v/>
      </c>
      <c r="G155">
        <f>(1+F155)*(1+G99)-1</f>
        <v/>
      </c>
      <c r="H155">
        <f>(1+G155)*(1+H99)-1</f>
        <v/>
      </c>
      <c r="I155">
        <f>(1+H155)*(1+I99)-1</f>
        <v/>
      </c>
      <c r="J155">
        <f>(1+I155)*(1+J99)-1</f>
        <v/>
      </c>
      <c r="K155">
        <f>(1+J155)*(1+K99)-1</f>
        <v/>
      </c>
      <c r="L155">
        <f>(1+K155)*(1+L99)-1</f>
        <v/>
      </c>
      <c r="M155">
        <f>(1+L155)*(1+M99)-1</f>
        <v/>
      </c>
      <c r="N155">
        <f>(1+M155)*(1+N99)-1</f>
        <v/>
      </c>
      <c r="O155">
        <f>(1+N155)*(1+O99)-1</f>
        <v/>
      </c>
      <c r="P155">
        <f>(1+O155)*(1+P99)-1</f>
        <v/>
      </c>
      <c r="Q155">
        <f>(1+P155)*(1+Q99)-1</f>
        <v/>
      </c>
      <c r="R155">
        <f>(1+Q155)*(1+R99)-1</f>
        <v/>
      </c>
      <c r="S155">
        <f>(1+R155)*(1+S99)-1</f>
        <v/>
      </c>
      <c r="T155">
        <f>(1+S155)*(1+T99)-1</f>
        <v/>
      </c>
      <c r="U155">
        <f>(1+T155)*(1+U99)-1</f>
        <v/>
      </c>
      <c r="V155">
        <f>(1+U155)*(1+V99)-1</f>
        <v/>
      </c>
      <c r="W155">
        <f>(1+V155)*(1+W99)-1</f>
        <v/>
      </c>
      <c r="X155">
        <f>(1+W155)*(1+X99)-1</f>
        <v/>
      </c>
      <c r="Y155">
        <f>(1+X155)*(1+Y99)-1</f>
        <v/>
      </c>
      <c r="Z155">
        <f>(1+Y155)*(1+Z99)-1</f>
        <v/>
      </c>
      <c r="AA155">
        <f>(1+Z155)*(1+AA99)-1</f>
        <v/>
      </c>
      <c r="AB155">
        <f>(1+AA155)*(1+AB99)-1</f>
        <v/>
      </c>
      <c r="AC155">
        <f>(1+AB155)*(1+AC99)-1</f>
        <v/>
      </c>
    </row>
    <row r="156">
      <c r="B156" t="inlineStr">
        <is>
          <t>ISIC 51</t>
        </is>
      </c>
      <c r="C156" t="n">
        <v>0</v>
      </c>
      <c r="D156">
        <f>(1+C156)*(1+D100)-1</f>
        <v/>
      </c>
      <c r="E156">
        <f>(1+D156)*(1+E100)-1</f>
        <v/>
      </c>
      <c r="F156">
        <f>(1+E156)*(1+F100)-1</f>
        <v/>
      </c>
      <c r="G156">
        <f>(1+F156)*(1+G100)-1</f>
        <v/>
      </c>
      <c r="H156">
        <f>(1+G156)*(1+H100)-1</f>
        <v/>
      </c>
      <c r="I156">
        <f>(1+H156)*(1+I100)-1</f>
        <v/>
      </c>
      <c r="J156">
        <f>(1+I156)*(1+J100)-1</f>
        <v/>
      </c>
      <c r="K156">
        <f>(1+J156)*(1+K100)-1</f>
        <v/>
      </c>
      <c r="L156">
        <f>(1+K156)*(1+L100)-1</f>
        <v/>
      </c>
      <c r="M156">
        <f>(1+L156)*(1+M100)-1</f>
        <v/>
      </c>
      <c r="N156">
        <f>(1+M156)*(1+N100)-1</f>
        <v/>
      </c>
      <c r="O156">
        <f>(1+N156)*(1+O100)-1</f>
        <v/>
      </c>
      <c r="P156">
        <f>(1+O156)*(1+P100)-1</f>
        <v/>
      </c>
      <c r="Q156">
        <f>(1+P156)*(1+Q100)-1</f>
        <v/>
      </c>
      <c r="R156">
        <f>(1+Q156)*(1+R100)-1</f>
        <v/>
      </c>
      <c r="S156">
        <f>(1+R156)*(1+S100)-1</f>
        <v/>
      </c>
      <c r="T156">
        <f>(1+S156)*(1+T100)-1</f>
        <v/>
      </c>
      <c r="U156">
        <f>(1+T156)*(1+U100)-1</f>
        <v/>
      </c>
      <c r="V156">
        <f>(1+U156)*(1+V100)-1</f>
        <v/>
      </c>
      <c r="W156">
        <f>(1+V156)*(1+W100)-1</f>
        <v/>
      </c>
      <c r="X156">
        <f>(1+W156)*(1+X100)-1</f>
        <v/>
      </c>
      <c r="Y156">
        <f>(1+X156)*(1+Y100)-1</f>
        <v/>
      </c>
      <c r="Z156">
        <f>(1+Y156)*(1+Z100)-1</f>
        <v/>
      </c>
      <c r="AA156">
        <f>(1+Z156)*(1+AA100)-1</f>
        <v/>
      </c>
      <c r="AB156">
        <f>(1+AA156)*(1+AB100)-1</f>
        <v/>
      </c>
      <c r="AC156">
        <f>(1+AB156)*(1+AC100)-1</f>
        <v/>
      </c>
    </row>
    <row r="157">
      <c r="B157" t="inlineStr">
        <is>
          <t>ISIC 52</t>
        </is>
      </c>
      <c r="C157" t="n">
        <v>0</v>
      </c>
      <c r="D157">
        <f>(1+C157)*(1+D101)-1</f>
        <v/>
      </c>
      <c r="E157">
        <f>(1+D157)*(1+E101)-1</f>
        <v/>
      </c>
      <c r="F157">
        <f>(1+E157)*(1+F101)-1</f>
        <v/>
      </c>
      <c r="G157">
        <f>(1+F157)*(1+G101)-1</f>
        <v/>
      </c>
      <c r="H157">
        <f>(1+G157)*(1+H101)-1</f>
        <v/>
      </c>
      <c r="I157">
        <f>(1+H157)*(1+I101)-1</f>
        <v/>
      </c>
      <c r="J157">
        <f>(1+I157)*(1+J101)-1</f>
        <v/>
      </c>
      <c r="K157">
        <f>(1+J157)*(1+K101)-1</f>
        <v/>
      </c>
      <c r="L157">
        <f>(1+K157)*(1+L101)-1</f>
        <v/>
      </c>
      <c r="M157">
        <f>(1+L157)*(1+M101)-1</f>
        <v/>
      </c>
      <c r="N157">
        <f>(1+M157)*(1+N101)-1</f>
        <v/>
      </c>
      <c r="O157">
        <f>(1+N157)*(1+O101)-1</f>
        <v/>
      </c>
      <c r="P157">
        <f>(1+O157)*(1+P101)-1</f>
        <v/>
      </c>
      <c r="Q157">
        <f>(1+P157)*(1+Q101)-1</f>
        <v/>
      </c>
      <c r="R157">
        <f>(1+Q157)*(1+R101)-1</f>
        <v/>
      </c>
      <c r="S157">
        <f>(1+R157)*(1+S101)-1</f>
        <v/>
      </c>
      <c r="T157">
        <f>(1+S157)*(1+T101)-1</f>
        <v/>
      </c>
      <c r="U157">
        <f>(1+T157)*(1+U101)-1</f>
        <v/>
      </c>
      <c r="V157">
        <f>(1+U157)*(1+V101)-1</f>
        <v/>
      </c>
      <c r="W157">
        <f>(1+V157)*(1+W101)-1</f>
        <v/>
      </c>
      <c r="X157">
        <f>(1+W157)*(1+X101)-1</f>
        <v/>
      </c>
      <c r="Y157">
        <f>(1+X157)*(1+Y101)-1</f>
        <v/>
      </c>
      <c r="Z157">
        <f>(1+Y157)*(1+Z101)-1</f>
        <v/>
      </c>
      <c r="AA157">
        <f>(1+Z157)*(1+AA101)-1</f>
        <v/>
      </c>
      <c r="AB157">
        <f>(1+AA157)*(1+AB101)-1</f>
        <v/>
      </c>
      <c r="AC157">
        <f>(1+AB157)*(1+AC101)-1</f>
        <v/>
      </c>
    </row>
    <row r="158">
      <c r="B158" t="inlineStr">
        <is>
          <t>ISIC 53</t>
        </is>
      </c>
      <c r="C158" t="n">
        <v>0</v>
      </c>
      <c r="D158">
        <f>(1+C158)*(1+D102)-1</f>
        <v/>
      </c>
      <c r="E158">
        <f>(1+D158)*(1+E102)-1</f>
        <v/>
      </c>
      <c r="F158">
        <f>(1+E158)*(1+F102)-1</f>
        <v/>
      </c>
      <c r="G158">
        <f>(1+F158)*(1+G102)-1</f>
        <v/>
      </c>
      <c r="H158">
        <f>(1+G158)*(1+H102)-1</f>
        <v/>
      </c>
      <c r="I158">
        <f>(1+H158)*(1+I102)-1</f>
        <v/>
      </c>
      <c r="J158">
        <f>(1+I158)*(1+J102)-1</f>
        <v/>
      </c>
      <c r="K158">
        <f>(1+J158)*(1+K102)-1</f>
        <v/>
      </c>
      <c r="L158">
        <f>(1+K158)*(1+L102)-1</f>
        <v/>
      </c>
      <c r="M158">
        <f>(1+L158)*(1+M102)-1</f>
        <v/>
      </c>
      <c r="N158">
        <f>(1+M158)*(1+N102)-1</f>
        <v/>
      </c>
      <c r="O158">
        <f>(1+N158)*(1+O102)-1</f>
        <v/>
      </c>
      <c r="P158">
        <f>(1+O158)*(1+P102)-1</f>
        <v/>
      </c>
      <c r="Q158">
        <f>(1+P158)*(1+Q102)-1</f>
        <v/>
      </c>
      <c r="R158">
        <f>(1+Q158)*(1+R102)-1</f>
        <v/>
      </c>
      <c r="S158">
        <f>(1+R158)*(1+S102)-1</f>
        <v/>
      </c>
      <c r="T158">
        <f>(1+S158)*(1+T102)-1</f>
        <v/>
      </c>
      <c r="U158">
        <f>(1+T158)*(1+U102)-1</f>
        <v/>
      </c>
      <c r="V158">
        <f>(1+U158)*(1+V102)-1</f>
        <v/>
      </c>
      <c r="W158">
        <f>(1+V158)*(1+W102)-1</f>
        <v/>
      </c>
      <c r="X158">
        <f>(1+W158)*(1+X102)-1</f>
        <v/>
      </c>
      <c r="Y158">
        <f>(1+X158)*(1+Y102)-1</f>
        <v/>
      </c>
      <c r="Z158">
        <f>(1+Y158)*(1+Z102)-1</f>
        <v/>
      </c>
      <c r="AA158">
        <f>(1+Z158)*(1+AA102)-1</f>
        <v/>
      </c>
      <c r="AB158">
        <f>(1+AA158)*(1+AB102)-1</f>
        <v/>
      </c>
      <c r="AC158">
        <f>(1+AB158)*(1+AC102)-1</f>
        <v/>
      </c>
    </row>
    <row r="159">
      <c r="B159" t="inlineStr">
        <is>
          <t>ISIC 55T56</t>
        </is>
      </c>
      <c r="C159" t="n">
        <v>0</v>
      </c>
      <c r="D159">
        <f>(1+C159)*(1+D103)-1</f>
        <v/>
      </c>
      <c r="E159">
        <f>(1+D159)*(1+E103)-1</f>
        <v/>
      </c>
      <c r="F159">
        <f>(1+E159)*(1+F103)-1</f>
        <v/>
      </c>
      <c r="G159">
        <f>(1+F159)*(1+G103)-1</f>
        <v/>
      </c>
      <c r="H159">
        <f>(1+G159)*(1+H103)-1</f>
        <v/>
      </c>
      <c r="I159">
        <f>(1+H159)*(1+I103)-1</f>
        <v/>
      </c>
      <c r="J159">
        <f>(1+I159)*(1+J103)-1</f>
        <v/>
      </c>
      <c r="K159">
        <f>(1+J159)*(1+K103)-1</f>
        <v/>
      </c>
      <c r="L159">
        <f>(1+K159)*(1+L103)-1</f>
        <v/>
      </c>
      <c r="M159">
        <f>(1+L159)*(1+M103)-1</f>
        <v/>
      </c>
      <c r="N159">
        <f>(1+M159)*(1+N103)-1</f>
        <v/>
      </c>
      <c r="O159">
        <f>(1+N159)*(1+O103)-1</f>
        <v/>
      </c>
      <c r="P159">
        <f>(1+O159)*(1+P103)-1</f>
        <v/>
      </c>
      <c r="Q159">
        <f>(1+P159)*(1+Q103)-1</f>
        <v/>
      </c>
      <c r="R159">
        <f>(1+Q159)*(1+R103)-1</f>
        <v/>
      </c>
      <c r="S159">
        <f>(1+R159)*(1+S103)-1</f>
        <v/>
      </c>
      <c r="T159">
        <f>(1+S159)*(1+T103)-1</f>
        <v/>
      </c>
      <c r="U159">
        <f>(1+T159)*(1+U103)-1</f>
        <v/>
      </c>
      <c r="V159">
        <f>(1+U159)*(1+V103)-1</f>
        <v/>
      </c>
      <c r="W159">
        <f>(1+V159)*(1+W103)-1</f>
        <v/>
      </c>
      <c r="X159">
        <f>(1+W159)*(1+X103)-1</f>
        <v/>
      </c>
      <c r="Y159">
        <f>(1+X159)*(1+Y103)-1</f>
        <v/>
      </c>
      <c r="Z159">
        <f>(1+Y159)*(1+Z103)-1</f>
        <v/>
      </c>
      <c r="AA159">
        <f>(1+Z159)*(1+AA103)-1</f>
        <v/>
      </c>
      <c r="AB159">
        <f>(1+AA159)*(1+AB103)-1</f>
        <v/>
      </c>
      <c r="AC159">
        <f>(1+AB159)*(1+AC103)-1</f>
        <v/>
      </c>
    </row>
    <row r="160">
      <c r="B160" t="inlineStr">
        <is>
          <t>ISIC 58T60</t>
        </is>
      </c>
      <c r="C160" t="n">
        <v>0</v>
      </c>
      <c r="D160">
        <f>(1+C160)*(1+D104)-1</f>
        <v/>
      </c>
      <c r="E160">
        <f>(1+D160)*(1+E104)-1</f>
        <v/>
      </c>
      <c r="F160">
        <f>(1+E160)*(1+F104)-1</f>
        <v/>
      </c>
      <c r="G160">
        <f>(1+F160)*(1+G104)-1</f>
        <v/>
      </c>
      <c r="H160">
        <f>(1+G160)*(1+H104)-1</f>
        <v/>
      </c>
      <c r="I160">
        <f>(1+H160)*(1+I104)-1</f>
        <v/>
      </c>
      <c r="J160">
        <f>(1+I160)*(1+J104)-1</f>
        <v/>
      </c>
      <c r="K160">
        <f>(1+J160)*(1+K104)-1</f>
        <v/>
      </c>
      <c r="L160">
        <f>(1+K160)*(1+L104)-1</f>
        <v/>
      </c>
      <c r="M160">
        <f>(1+L160)*(1+M104)-1</f>
        <v/>
      </c>
      <c r="N160">
        <f>(1+M160)*(1+N104)-1</f>
        <v/>
      </c>
      <c r="O160">
        <f>(1+N160)*(1+O104)-1</f>
        <v/>
      </c>
      <c r="P160">
        <f>(1+O160)*(1+P104)-1</f>
        <v/>
      </c>
      <c r="Q160">
        <f>(1+P160)*(1+Q104)-1</f>
        <v/>
      </c>
      <c r="R160">
        <f>(1+Q160)*(1+R104)-1</f>
        <v/>
      </c>
      <c r="S160">
        <f>(1+R160)*(1+S104)-1</f>
        <v/>
      </c>
      <c r="T160">
        <f>(1+S160)*(1+T104)-1</f>
        <v/>
      </c>
      <c r="U160">
        <f>(1+T160)*(1+U104)-1</f>
        <v/>
      </c>
      <c r="V160">
        <f>(1+U160)*(1+V104)-1</f>
        <v/>
      </c>
      <c r="W160">
        <f>(1+V160)*(1+W104)-1</f>
        <v/>
      </c>
      <c r="X160">
        <f>(1+W160)*(1+X104)-1</f>
        <v/>
      </c>
      <c r="Y160">
        <f>(1+X160)*(1+Y104)-1</f>
        <v/>
      </c>
      <c r="Z160">
        <f>(1+Y160)*(1+Z104)-1</f>
        <v/>
      </c>
      <c r="AA160">
        <f>(1+Z160)*(1+AA104)-1</f>
        <v/>
      </c>
      <c r="AB160">
        <f>(1+AA160)*(1+AB104)-1</f>
        <v/>
      </c>
      <c r="AC160">
        <f>(1+AB160)*(1+AC104)-1</f>
        <v/>
      </c>
    </row>
    <row r="161">
      <c r="B161" t="inlineStr">
        <is>
          <t>ISIC 61</t>
        </is>
      </c>
      <c r="C161" t="n">
        <v>0</v>
      </c>
      <c r="D161">
        <f>(1+C161)*(1+D105)-1</f>
        <v/>
      </c>
      <c r="E161">
        <f>(1+D161)*(1+E105)-1</f>
        <v/>
      </c>
      <c r="F161">
        <f>(1+E161)*(1+F105)-1</f>
        <v/>
      </c>
      <c r="G161">
        <f>(1+F161)*(1+G105)-1</f>
        <v/>
      </c>
      <c r="H161">
        <f>(1+G161)*(1+H105)-1</f>
        <v/>
      </c>
      <c r="I161">
        <f>(1+H161)*(1+I105)-1</f>
        <v/>
      </c>
      <c r="J161">
        <f>(1+I161)*(1+J105)-1</f>
        <v/>
      </c>
      <c r="K161">
        <f>(1+J161)*(1+K105)-1</f>
        <v/>
      </c>
      <c r="L161">
        <f>(1+K161)*(1+L105)-1</f>
        <v/>
      </c>
      <c r="M161">
        <f>(1+L161)*(1+M105)-1</f>
        <v/>
      </c>
      <c r="N161">
        <f>(1+M161)*(1+N105)-1</f>
        <v/>
      </c>
      <c r="O161">
        <f>(1+N161)*(1+O105)-1</f>
        <v/>
      </c>
      <c r="P161">
        <f>(1+O161)*(1+P105)-1</f>
        <v/>
      </c>
      <c r="Q161">
        <f>(1+P161)*(1+Q105)-1</f>
        <v/>
      </c>
      <c r="R161">
        <f>(1+Q161)*(1+R105)-1</f>
        <v/>
      </c>
      <c r="S161">
        <f>(1+R161)*(1+S105)-1</f>
        <v/>
      </c>
      <c r="T161">
        <f>(1+S161)*(1+T105)-1</f>
        <v/>
      </c>
      <c r="U161">
        <f>(1+T161)*(1+U105)-1</f>
        <v/>
      </c>
      <c r="V161">
        <f>(1+U161)*(1+V105)-1</f>
        <v/>
      </c>
      <c r="W161">
        <f>(1+V161)*(1+W105)-1</f>
        <v/>
      </c>
      <c r="X161">
        <f>(1+W161)*(1+X105)-1</f>
        <v/>
      </c>
      <c r="Y161">
        <f>(1+X161)*(1+Y105)-1</f>
        <v/>
      </c>
      <c r="Z161">
        <f>(1+Y161)*(1+Z105)-1</f>
        <v/>
      </c>
      <c r="AA161">
        <f>(1+Z161)*(1+AA105)-1</f>
        <v/>
      </c>
      <c r="AB161">
        <f>(1+AA161)*(1+AB105)-1</f>
        <v/>
      </c>
      <c r="AC161">
        <f>(1+AB161)*(1+AC105)-1</f>
        <v/>
      </c>
    </row>
    <row r="162">
      <c r="B162" t="inlineStr">
        <is>
          <t>ISIC 62T63</t>
        </is>
      </c>
      <c r="C162" t="n">
        <v>0</v>
      </c>
      <c r="D162">
        <f>(1+C162)*(1+D106)-1</f>
        <v/>
      </c>
      <c r="E162">
        <f>(1+D162)*(1+E106)-1</f>
        <v/>
      </c>
      <c r="F162">
        <f>(1+E162)*(1+F106)-1</f>
        <v/>
      </c>
      <c r="G162">
        <f>(1+F162)*(1+G106)-1</f>
        <v/>
      </c>
      <c r="H162">
        <f>(1+G162)*(1+H106)-1</f>
        <v/>
      </c>
      <c r="I162">
        <f>(1+H162)*(1+I106)-1</f>
        <v/>
      </c>
      <c r="J162">
        <f>(1+I162)*(1+J106)-1</f>
        <v/>
      </c>
      <c r="K162">
        <f>(1+J162)*(1+K106)-1</f>
        <v/>
      </c>
      <c r="L162">
        <f>(1+K162)*(1+L106)-1</f>
        <v/>
      </c>
      <c r="M162">
        <f>(1+L162)*(1+M106)-1</f>
        <v/>
      </c>
      <c r="N162">
        <f>(1+M162)*(1+N106)-1</f>
        <v/>
      </c>
      <c r="O162">
        <f>(1+N162)*(1+O106)-1</f>
        <v/>
      </c>
      <c r="P162">
        <f>(1+O162)*(1+P106)-1</f>
        <v/>
      </c>
      <c r="Q162">
        <f>(1+P162)*(1+Q106)-1</f>
        <v/>
      </c>
      <c r="R162">
        <f>(1+Q162)*(1+R106)-1</f>
        <v/>
      </c>
      <c r="S162">
        <f>(1+R162)*(1+S106)-1</f>
        <v/>
      </c>
      <c r="T162">
        <f>(1+S162)*(1+T106)-1</f>
        <v/>
      </c>
      <c r="U162">
        <f>(1+T162)*(1+U106)-1</f>
        <v/>
      </c>
      <c r="V162">
        <f>(1+U162)*(1+V106)-1</f>
        <v/>
      </c>
      <c r="W162">
        <f>(1+V162)*(1+W106)-1</f>
        <v/>
      </c>
      <c r="X162">
        <f>(1+W162)*(1+X106)-1</f>
        <v/>
      </c>
      <c r="Y162">
        <f>(1+X162)*(1+Y106)-1</f>
        <v/>
      </c>
      <c r="Z162">
        <f>(1+Y162)*(1+Z106)-1</f>
        <v/>
      </c>
      <c r="AA162">
        <f>(1+Z162)*(1+AA106)-1</f>
        <v/>
      </c>
      <c r="AB162">
        <f>(1+AA162)*(1+AB106)-1</f>
        <v/>
      </c>
      <c r="AC162">
        <f>(1+AB162)*(1+AC106)-1</f>
        <v/>
      </c>
    </row>
    <row r="163">
      <c r="B163" t="inlineStr">
        <is>
          <t>ISIC 64T66</t>
        </is>
      </c>
      <c r="C163" t="n">
        <v>0</v>
      </c>
      <c r="D163">
        <f>(1+C163)*(1+D107)-1</f>
        <v/>
      </c>
      <c r="E163">
        <f>(1+D163)*(1+E107)-1</f>
        <v/>
      </c>
      <c r="F163">
        <f>(1+E163)*(1+F107)-1</f>
        <v/>
      </c>
      <c r="G163">
        <f>(1+F163)*(1+G107)-1</f>
        <v/>
      </c>
      <c r="H163">
        <f>(1+G163)*(1+H107)-1</f>
        <v/>
      </c>
      <c r="I163">
        <f>(1+H163)*(1+I107)-1</f>
        <v/>
      </c>
      <c r="J163">
        <f>(1+I163)*(1+J107)-1</f>
        <v/>
      </c>
      <c r="K163">
        <f>(1+J163)*(1+K107)-1</f>
        <v/>
      </c>
      <c r="L163">
        <f>(1+K163)*(1+L107)-1</f>
        <v/>
      </c>
      <c r="M163">
        <f>(1+L163)*(1+M107)-1</f>
        <v/>
      </c>
      <c r="N163">
        <f>(1+M163)*(1+N107)-1</f>
        <v/>
      </c>
      <c r="O163">
        <f>(1+N163)*(1+O107)-1</f>
        <v/>
      </c>
      <c r="P163">
        <f>(1+O163)*(1+P107)-1</f>
        <v/>
      </c>
      <c r="Q163">
        <f>(1+P163)*(1+Q107)-1</f>
        <v/>
      </c>
      <c r="R163">
        <f>(1+Q163)*(1+R107)-1</f>
        <v/>
      </c>
      <c r="S163">
        <f>(1+R163)*(1+S107)-1</f>
        <v/>
      </c>
      <c r="T163">
        <f>(1+S163)*(1+T107)-1</f>
        <v/>
      </c>
      <c r="U163">
        <f>(1+T163)*(1+U107)-1</f>
        <v/>
      </c>
      <c r="V163">
        <f>(1+U163)*(1+V107)-1</f>
        <v/>
      </c>
      <c r="W163">
        <f>(1+V163)*(1+W107)-1</f>
        <v/>
      </c>
      <c r="X163">
        <f>(1+W163)*(1+X107)-1</f>
        <v/>
      </c>
      <c r="Y163">
        <f>(1+X163)*(1+Y107)-1</f>
        <v/>
      </c>
      <c r="Z163">
        <f>(1+Y163)*(1+Z107)-1</f>
        <v/>
      </c>
      <c r="AA163">
        <f>(1+Z163)*(1+AA107)-1</f>
        <v/>
      </c>
      <c r="AB163">
        <f>(1+AA163)*(1+AB107)-1</f>
        <v/>
      </c>
      <c r="AC163">
        <f>(1+AB163)*(1+AC107)-1</f>
        <v/>
      </c>
    </row>
    <row r="164">
      <c r="B164" t="inlineStr">
        <is>
          <t>ISIC 68</t>
        </is>
      </c>
      <c r="C164" t="n">
        <v>0</v>
      </c>
      <c r="D164">
        <f>(1+C164)*(1+D108)-1</f>
        <v/>
      </c>
      <c r="E164">
        <f>(1+D164)*(1+E108)-1</f>
        <v/>
      </c>
      <c r="F164">
        <f>(1+E164)*(1+F108)-1</f>
        <v/>
      </c>
      <c r="G164">
        <f>(1+F164)*(1+G108)-1</f>
        <v/>
      </c>
      <c r="H164">
        <f>(1+G164)*(1+H108)-1</f>
        <v/>
      </c>
      <c r="I164">
        <f>(1+H164)*(1+I108)-1</f>
        <v/>
      </c>
      <c r="J164">
        <f>(1+I164)*(1+J108)-1</f>
        <v/>
      </c>
      <c r="K164">
        <f>(1+J164)*(1+K108)-1</f>
        <v/>
      </c>
      <c r="L164">
        <f>(1+K164)*(1+L108)-1</f>
        <v/>
      </c>
      <c r="M164">
        <f>(1+L164)*(1+M108)-1</f>
        <v/>
      </c>
      <c r="N164">
        <f>(1+M164)*(1+N108)-1</f>
        <v/>
      </c>
      <c r="O164">
        <f>(1+N164)*(1+O108)-1</f>
        <v/>
      </c>
      <c r="P164">
        <f>(1+O164)*(1+P108)-1</f>
        <v/>
      </c>
      <c r="Q164">
        <f>(1+P164)*(1+Q108)-1</f>
        <v/>
      </c>
      <c r="R164">
        <f>(1+Q164)*(1+R108)-1</f>
        <v/>
      </c>
      <c r="S164">
        <f>(1+R164)*(1+S108)-1</f>
        <v/>
      </c>
      <c r="T164">
        <f>(1+S164)*(1+T108)-1</f>
        <v/>
      </c>
      <c r="U164">
        <f>(1+T164)*(1+U108)-1</f>
        <v/>
      </c>
      <c r="V164">
        <f>(1+U164)*(1+V108)-1</f>
        <v/>
      </c>
      <c r="W164">
        <f>(1+V164)*(1+W108)-1</f>
        <v/>
      </c>
      <c r="X164">
        <f>(1+W164)*(1+X108)-1</f>
        <v/>
      </c>
      <c r="Y164">
        <f>(1+X164)*(1+Y108)-1</f>
        <v/>
      </c>
      <c r="Z164">
        <f>(1+Y164)*(1+Z108)-1</f>
        <v/>
      </c>
      <c r="AA164">
        <f>(1+Z164)*(1+AA108)-1</f>
        <v/>
      </c>
      <c r="AB164">
        <f>(1+AA164)*(1+AB108)-1</f>
        <v/>
      </c>
      <c r="AC164">
        <f>(1+AB164)*(1+AC108)-1</f>
        <v/>
      </c>
    </row>
    <row r="165">
      <c r="B165" t="inlineStr">
        <is>
          <t>ISIC 69T75</t>
        </is>
      </c>
      <c r="C165" t="n">
        <v>0</v>
      </c>
      <c r="D165">
        <f>(1+C165)*(1+D109)-1</f>
        <v/>
      </c>
      <c r="E165">
        <f>(1+D165)*(1+E109)-1</f>
        <v/>
      </c>
      <c r="F165">
        <f>(1+E165)*(1+F109)-1</f>
        <v/>
      </c>
      <c r="G165">
        <f>(1+F165)*(1+G109)-1</f>
        <v/>
      </c>
      <c r="H165">
        <f>(1+G165)*(1+H109)-1</f>
        <v/>
      </c>
      <c r="I165">
        <f>(1+H165)*(1+I109)-1</f>
        <v/>
      </c>
      <c r="J165">
        <f>(1+I165)*(1+J109)-1</f>
        <v/>
      </c>
      <c r="K165">
        <f>(1+J165)*(1+K109)-1</f>
        <v/>
      </c>
      <c r="L165">
        <f>(1+K165)*(1+L109)-1</f>
        <v/>
      </c>
      <c r="M165">
        <f>(1+L165)*(1+M109)-1</f>
        <v/>
      </c>
      <c r="N165">
        <f>(1+M165)*(1+N109)-1</f>
        <v/>
      </c>
      <c r="O165">
        <f>(1+N165)*(1+O109)-1</f>
        <v/>
      </c>
      <c r="P165">
        <f>(1+O165)*(1+P109)-1</f>
        <v/>
      </c>
      <c r="Q165">
        <f>(1+P165)*(1+Q109)-1</f>
        <v/>
      </c>
      <c r="R165">
        <f>(1+Q165)*(1+R109)-1</f>
        <v/>
      </c>
      <c r="S165">
        <f>(1+R165)*(1+S109)-1</f>
        <v/>
      </c>
      <c r="T165">
        <f>(1+S165)*(1+T109)-1</f>
        <v/>
      </c>
      <c r="U165">
        <f>(1+T165)*(1+U109)-1</f>
        <v/>
      </c>
      <c r="V165">
        <f>(1+U165)*(1+V109)-1</f>
        <v/>
      </c>
      <c r="W165">
        <f>(1+V165)*(1+W109)-1</f>
        <v/>
      </c>
      <c r="X165">
        <f>(1+W165)*(1+X109)-1</f>
        <v/>
      </c>
      <c r="Y165">
        <f>(1+X165)*(1+Y109)-1</f>
        <v/>
      </c>
      <c r="Z165">
        <f>(1+Y165)*(1+Z109)-1</f>
        <v/>
      </c>
      <c r="AA165">
        <f>(1+Z165)*(1+AA109)-1</f>
        <v/>
      </c>
      <c r="AB165">
        <f>(1+AA165)*(1+AB109)-1</f>
        <v/>
      </c>
      <c r="AC165">
        <f>(1+AB165)*(1+AC109)-1</f>
        <v/>
      </c>
    </row>
    <row r="166">
      <c r="B166" t="inlineStr">
        <is>
          <t>ISIC 77T82</t>
        </is>
      </c>
      <c r="C166" t="n">
        <v>0</v>
      </c>
      <c r="D166">
        <f>(1+C166)*(1+D110)-1</f>
        <v/>
      </c>
      <c r="E166">
        <f>(1+D166)*(1+E110)-1</f>
        <v/>
      </c>
      <c r="F166">
        <f>(1+E166)*(1+F110)-1</f>
        <v/>
      </c>
      <c r="G166">
        <f>(1+F166)*(1+G110)-1</f>
        <v/>
      </c>
      <c r="H166">
        <f>(1+G166)*(1+H110)-1</f>
        <v/>
      </c>
      <c r="I166">
        <f>(1+H166)*(1+I110)-1</f>
        <v/>
      </c>
      <c r="J166">
        <f>(1+I166)*(1+J110)-1</f>
        <v/>
      </c>
      <c r="K166">
        <f>(1+J166)*(1+K110)-1</f>
        <v/>
      </c>
      <c r="L166">
        <f>(1+K166)*(1+L110)-1</f>
        <v/>
      </c>
      <c r="M166">
        <f>(1+L166)*(1+M110)-1</f>
        <v/>
      </c>
      <c r="N166">
        <f>(1+M166)*(1+N110)-1</f>
        <v/>
      </c>
      <c r="O166">
        <f>(1+N166)*(1+O110)-1</f>
        <v/>
      </c>
      <c r="P166">
        <f>(1+O166)*(1+P110)-1</f>
        <v/>
      </c>
      <c r="Q166">
        <f>(1+P166)*(1+Q110)-1</f>
        <v/>
      </c>
      <c r="R166">
        <f>(1+Q166)*(1+R110)-1</f>
        <v/>
      </c>
      <c r="S166">
        <f>(1+R166)*(1+S110)-1</f>
        <v/>
      </c>
      <c r="T166">
        <f>(1+S166)*(1+T110)-1</f>
        <v/>
      </c>
      <c r="U166">
        <f>(1+T166)*(1+U110)-1</f>
        <v/>
      </c>
      <c r="V166">
        <f>(1+U166)*(1+V110)-1</f>
        <v/>
      </c>
      <c r="W166">
        <f>(1+V166)*(1+W110)-1</f>
        <v/>
      </c>
      <c r="X166">
        <f>(1+W166)*(1+X110)-1</f>
        <v/>
      </c>
      <c r="Y166">
        <f>(1+X166)*(1+Y110)-1</f>
        <v/>
      </c>
      <c r="Z166">
        <f>(1+Y166)*(1+Z110)-1</f>
        <v/>
      </c>
      <c r="AA166">
        <f>(1+Z166)*(1+AA110)-1</f>
        <v/>
      </c>
      <c r="AB166">
        <f>(1+AA166)*(1+AB110)-1</f>
        <v/>
      </c>
      <c r="AC166">
        <f>(1+AB166)*(1+AC110)-1</f>
        <v/>
      </c>
    </row>
    <row r="167">
      <c r="B167" t="inlineStr">
        <is>
          <t>ISIC 84</t>
        </is>
      </c>
      <c r="C167" t="n">
        <v>0</v>
      </c>
      <c r="D167">
        <f>(1+C167)*(1+D111)-1</f>
        <v/>
      </c>
      <c r="E167">
        <f>(1+D167)*(1+E111)-1</f>
        <v/>
      </c>
      <c r="F167">
        <f>(1+E167)*(1+F111)-1</f>
        <v/>
      </c>
      <c r="G167">
        <f>(1+F167)*(1+G111)-1</f>
        <v/>
      </c>
      <c r="H167">
        <f>(1+G167)*(1+H111)-1</f>
        <v/>
      </c>
      <c r="I167">
        <f>(1+H167)*(1+I111)-1</f>
        <v/>
      </c>
      <c r="J167">
        <f>(1+I167)*(1+J111)-1</f>
        <v/>
      </c>
      <c r="K167">
        <f>(1+J167)*(1+K111)-1</f>
        <v/>
      </c>
      <c r="L167">
        <f>(1+K167)*(1+L111)-1</f>
        <v/>
      </c>
      <c r="M167">
        <f>(1+L167)*(1+M111)-1</f>
        <v/>
      </c>
      <c r="N167">
        <f>(1+M167)*(1+N111)-1</f>
        <v/>
      </c>
      <c r="O167">
        <f>(1+N167)*(1+O111)-1</f>
        <v/>
      </c>
      <c r="P167">
        <f>(1+O167)*(1+P111)-1</f>
        <v/>
      </c>
      <c r="Q167">
        <f>(1+P167)*(1+Q111)-1</f>
        <v/>
      </c>
      <c r="R167">
        <f>(1+Q167)*(1+R111)-1</f>
        <v/>
      </c>
      <c r="S167">
        <f>(1+R167)*(1+S111)-1</f>
        <v/>
      </c>
      <c r="T167">
        <f>(1+S167)*(1+T111)-1</f>
        <v/>
      </c>
      <c r="U167">
        <f>(1+T167)*(1+U111)-1</f>
        <v/>
      </c>
      <c r="V167">
        <f>(1+U167)*(1+V111)-1</f>
        <v/>
      </c>
      <c r="W167">
        <f>(1+V167)*(1+W111)-1</f>
        <v/>
      </c>
      <c r="X167">
        <f>(1+W167)*(1+X111)-1</f>
        <v/>
      </c>
      <c r="Y167">
        <f>(1+X167)*(1+Y111)-1</f>
        <v/>
      </c>
      <c r="Z167">
        <f>(1+Y167)*(1+Z111)-1</f>
        <v/>
      </c>
      <c r="AA167">
        <f>(1+Z167)*(1+AA111)-1</f>
        <v/>
      </c>
      <c r="AB167">
        <f>(1+AA167)*(1+AB111)-1</f>
        <v/>
      </c>
      <c r="AC167">
        <f>(1+AB167)*(1+AC111)-1</f>
        <v/>
      </c>
    </row>
    <row r="168">
      <c r="B168" t="inlineStr">
        <is>
          <t>ISIC 85</t>
        </is>
      </c>
      <c r="C168" t="n">
        <v>0</v>
      </c>
      <c r="D168">
        <f>(1+C168)*(1+D112)-1</f>
        <v/>
      </c>
      <c r="E168">
        <f>(1+D168)*(1+E112)-1</f>
        <v/>
      </c>
      <c r="F168">
        <f>(1+E168)*(1+F112)-1</f>
        <v/>
      </c>
      <c r="G168">
        <f>(1+F168)*(1+G112)-1</f>
        <v/>
      </c>
      <c r="H168">
        <f>(1+G168)*(1+H112)-1</f>
        <v/>
      </c>
      <c r="I168">
        <f>(1+H168)*(1+I112)-1</f>
        <v/>
      </c>
      <c r="J168">
        <f>(1+I168)*(1+J112)-1</f>
        <v/>
      </c>
      <c r="K168">
        <f>(1+J168)*(1+K112)-1</f>
        <v/>
      </c>
      <c r="L168">
        <f>(1+K168)*(1+L112)-1</f>
        <v/>
      </c>
      <c r="M168">
        <f>(1+L168)*(1+M112)-1</f>
        <v/>
      </c>
      <c r="N168">
        <f>(1+M168)*(1+N112)-1</f>
        <v/>
      </c>
      <c r="O168">
        <f>(1+N168)*(1+O112)-1</f>
        <v/>
      </c>
      <c r="P168">
        <f>(1+O168)*(1+P112)-1</f>
        <v/>
      </c>
      <c r="Q168">
        <f>(1+P168)*(1+Q112)-1</f>
        <v/>
      </c>
      <c r="R168">
        <f>(1+Q168)*(1+R112)-1</f>
        <v/>
      </c>
      <c r="S168">
        <f>(1+R168)*(1+S112)-1</f>
        <v/>
      </c>
      <c r="T168">
        <f>(1+S168)*(1+T112)-1</f>
        <v/>
      </c>
      <c r="U168">
        <f>(1+T168)*(1+U112)-1</f>
        <v/>
      </c>
      <c r="V168">
        <f>(1+U168)*(1+V112)-1</f>
        <v/>
      </c>
      <c r="W168">
        <f>(1+V168)*(1+W112)-1</f>
        <v/>
      </c>
      <c r="X168">
        <f>(1+W168)*(1+X112)-1</f>
        <v/>
      </c>
      <c r="Y168">
        <f>(1+X168)*(1+Y112)-1</f>
        <v/>
      </c>
      <c r="Z168">
        <f>(1+Y168)*(1+Z112)-1</f>
        <v/>
      </c>
      <c r="AA168">
        <f>(1+Z168)*(1+AA112)-1</f>
        <v/>
      </c>
      <c r="AB168">
        <f>(1+AA168)*(1+AB112)-1</f>
        <v/>
      </c>
      <c r="AC168">
        <f>(1+AB168)*(1+AC112)-1</f>
        <v/>
      </c>
    </row>
    <row r="169">
      <c r="B169" t="inlineStr">
        <is>
          <t>ISIC 86T88</t>
        </is>
      </c>
      <c r="C169" t="n">
        <v>0</v>
      </c>
      <c r="D169">
        <f>(1+C169)*(1+D113)-1</f>
        <v/>
      </c>
      <c r="E169">
        <f>(1+D169)*(1+E113)-1</f>
        <v/>
      </c>
      <c r="F169">
        <f>(1+E169)*(1+F113)-1</f>
        <v/>
      </c>
      <c r="G169">
        <f>(1+F169)*(1+G113)-1</f>
        <v/>
      </c>
      <c r="H169">
        <f>(1+G169)*(1+H113)-1</f>
        <v/>
      </c>
      <c r="I169">
        <f>(1+H169)*(1+I113)-1</f>
        <v/>
      </c>
      <c r="J169">
        <f>(1+I169)*(1+J113)-1</f>
        <v/>
      </c>
      <c r="K169">
        <f>(1+J169)*(1+K113)-1</f>
        <v/>
      </c>
      <c r="L169">
        <f>(1+K169)*(1+L113)-1</f>
        <v/>
      </c>
      <c r="M169">
        <f>(1+L169)*(1+M113)-1</f>
        <v/>
      </c>
      <c r="N169">
        <f>(1+M169)*(1+N113)-1</f>
        <v/>
      </c>
      <c r="O169">
        <f>(1+N169)*(1+O113)-1</f>
        <v/>
      </c>
      <c r="P169">
        <f>(1+O169)*(1+P113)-1</f>
        <v/>
      </c>
      <c r="Q169">
        <f>(1+P169)*(1+Q113)-1</f>
        <v/>
      </c>
      <c r="R169">
        <f>(1+Q169)*(1+R113)-1</f>
        <v/>
      </c>
      <c r="S169">
        <f>(1+R169)*(1+S113)-1</f>
        <v/>
      </c>
      <c r="T169">
        <f>(1+S169)*(1+T113)-1</f>
        <v/>
      </c>
      <c r="U169">
        <f>(1+T169)*(1+U113)-1</f>
        <v/>
      </c>
      <c r="V169">
        <f>(1+U169)*(1+V113)-1</f>
        <v/>
      </c>
      <c r="W169">
        <f>(1+V169)*(1+W113)-1</f>
        <v/>
      </c>
      <c r="X169">
        <f>(1+W169)*(1+X113)-1</f>
        <v/>
      </c>
      <c r="Y169">
        <f>(1+X169)*(1+Y113)-1</f>
        <v/>
      </c>
      <c r="Z169">
        <f>(1+Y169)*(1+Z113)-1</f>
        <v/>
      </c>
      <c r="AA169">
        <f>(1+Z169)*(1+AA113)-1</f>
        <v/>
      </c>
      <c r="AB169">
        <f>(1+AA169)*(1+AB113)-1</f>
        <v/>
      </c>
      <c r="AC169">
        <f>(1+AB169)*(1+AC113)-1</f>
        <v/>
      </c>
    </row>
    <row r="170">
      <c r="B170" t="inlineStr">
        <is>
          <t>ISIC 90T93</t>
        </is>
      </c>
      <c r="C170" t="n">
        <v>0</v>
      </c>
      <c r="D170">
        <f>(1+C170)*(1+D114)-1</f>
        <v/>
      </c>
      <c r="E170">
        <f>(1+D170)*(1+E114)-1</f>
        <v/>
      </c>
      <c r="F170">
        <f>(1+E170)*(1+F114)-1</f>
        <v/>
      </c>
      <c r="G170">
        <f>(1+F170)*(1+G114)-1</f>
        <v/>
      </c>
      <c r="H170">
        <f>(1+G170)*(1+H114)-1</f>
        <v/>
      </c>
      <c r="I170">
        <f>(1+H170)*(1+I114)-1</f>
        <v/>
      </c>
      <c r="J170">
        <f>(1+I170)*(1+J114)-1</f>
        <v/>
      </c>
      <c r="K170">
        <f>(1+J170)*(1+K114)-1</f>
        <v/>
      </c>
      <c r="L170">
        <f>(1+K170)*(1+L114)-1</f>
        <v/>
      </c>
      <c r="M170">
        <f>(1+L170)*(1+M114)-1</f>
        <v/>
      </c>
      <c r="N170">
        <f>(1+M170)*(1+N114)-1</f>
        <v/>
      </c>
      <c r="O170">
        <f>(1+N170)*(1+O114)-1</f>
        <v/>
      </c>
      <c r="P170">
        <f>(1+O170)*(1+P114)-1</f>
        <v/>
      </c>
      <c r="Q170">
        <f>(1+P170)*(1+Q114)-1</f>
        <v/>
      </c>
      <c r="R170">
        <f>(1+Q170)*(1+R114)-1</f>
        <v/>
      </c>
      <c r="S170">
        <f>(1+R170)*(1+S114)-1</f>
        <v/>
      </c>
      <c r="T170">
        <f>(1+S170)*(1+T114)-1</f>
        <v/>
      </c>
      <c r="U170">
        <f>(1+T170)*(1+U114)-1</f>
        <v/>
      </c>
      <c r="V170">
        <f>(1+U170)*(1+V114)-1</f>
        <v/>
      </c>
      <c r="W170">
        <f>(1+V170)*(1+W114)-1</f>
        <v/>
      </c>
      <c r="X170">
        <f>(1+W170)*(1+X114)-1</f>
        <v/>
      </c>
      <c r="Y170">
        <f>(1+X170)*(1+Y114)-1</f>
        <v/>
      </c>
      <c r="Z170">
        <f>(1+Y170)*(1+Z114)-1</f>
        <v/>
      </c>
      <c r="AA170">
        <f>(1+Z170)*(1+AA114)-1</f>
        <v/>
      </c>
      <c r="AB170">
        <f>(1+AA170)*(1+AB114)-1</f>
        <v/>
      </c>
      <c r="AC170">
        <f>(1+AB170)*(1+AC114)-1</f>
        <v/>
      </c>
    </row>
    <row r="171">
      <c r="B171" t="inlineStr">
        <is>
          <t>ISIC 94T96</t>
        </is>
      </c>
      <c r="C171" t="n">
        <v>0</v>
      </c>
      <c r="D171">
        <f>(1+C171)*(1+D115)-1</f>
        <v/>
      </c>
      <c r="E171">
        <f>(1+D171)*(1+E115)-1</f>
        <v/>
      </c>
      <c r="F171">
        <f>(1+E171)*(1+F115)-1</f>
        <v/>
      </c>
      <c r="G171">
        <f>(1+F171)*(1+G115)-1</f>
        <v/>
      </c>
      <c r="H171">
        <f>(1+G171)*(1+H115)-1</f>
        <v/>
      </c>
      <c r="I171">
        <f>(1+H171)*(1+I115)-1</f>
        <v/>
      </c>
      <c r="J171">
        <f>(1+I171)*(1+J115)-1</f>
        <v/>
      </c>
      <c r="K171">
        <f>(1+J171)*(1+K115)-1</f>
        <v/>
      </c>
      <c r="L171">
        <f>(1+K171)*(1+L115)-1</f>
        <v/>
      </c>
      <c r="M171">
        <f>(1+L171)*(1+M115)-1</f>
        <v/>
      </c>
      <c r="N171">
        <f>(1+M171)*(1+N115)-1</f>
        <v/>
      </c>
      <c r="O171">
        <f>(1+N171)*(1+O115)-1</f>
        <v/>
      </c>
      <c r="P171">
        <f>(1+O171)*(1+P115)-1</f>
        <v/>
      </c>
      <c r="Q171">
        <f>(1+P171)*(1+Q115)-1</f>
        <v/>
      </c>
      <c r="R171">
        <f>(1+Q171)*(1+R115)-1</f>
        <v/>
      </c>
      <c r="S171">
        <f>(1+R171)*(1+S115)-1</f>
        <v/>
      </c>
      <c r="T171">
        <f>(1+S171)*(1+T115)-1</f>
        <v/>
      </c>
      <c r="U171">
        <f>(1+T171)*(1+U115)-1</f>
        <v/>
      </c>
      <c r="V171">
        <f>(1+U171)*(1+V115)-1</f>
        <v/>
      </c>
      <c r="W171">
        <f>(1+V171)*(1+W115)-1</f>
        <v/>
      </c>
      <c r="X171">
        <f>(1+W171)*(1+X115)-1</f>
        <v/>
      </c>
      <c r="Y171">
        <f>(1+X171)*(1+Y115)-1</f>
        <v/>
      </c>
      <c r="Z171">
        <f>(1+Y171)*(1+Z115)-1</f>
        <v/>
      </c>
      <c r="AA171">
        <f>(1+Z171)*(1+AA115)-1</f>
        <v/>
      </c>
      <c r="AB171">
        <f>(1+AA171)*(1+AB115)-1</f>
        <v/>
      </c>
      <c r="AC171">
        <f>(1+AB171)*(1+AC115)-1</f>
        <v/>
      </c>
    </row>
    <row r="172">
      <c r="B172" t="inlineStr">
        <is>
          <t>ISIC 97T98</t>
        </is>
      </c>
      <c r="C172" t="n">
        <v>0</v>
      </c>
      <c r="D172">
        <f>(1+C172)*(1+D116)-1</f>
        <v/>
      </c>
      <c r="E172">
        <f>(1+D172)*(1+E116)-1</f>
        <v/>
      </c>
      <c r="F172">
        <f>(1+E172)*(1+F116)-1</f>
        <v/>
      </c>
      <c r="G172">
        <f>(1+F172)*(1+G116)-1</f>
        <v/>
      </c>
      <c r="H172">
        <f>(1+G172)*(1+H116)-1</f>
        <v/>
      </c>
      <c r="I172">
        <f>(1+H172)*(1+I116)-1</f>
        <v/>
      </c>
      <c r="J172">
        <f>(1+I172)*(1+J116)-1</f>
        <v/>
      </c>
      <c r="K172">
        <f>(1+J172)*(1+K116)-1</f>
        <v/>
      </c>
      <c r="L172">
        <f>(1+K172)*(1+L116)-1</f>
        <v/>
      </c>
      <c r="M172">
        <f>(1+L172)*(1+M116)-1</f>
        <v/>
      </c>
      <c r="N172">
        <f>(1+M172)*(1+N116)-1</f>
        <v/>
      </c>
      <c r="O172">
        <f>(1+N172)*(1+O116)-1</f>
        <v/>
      </c>
      <c r="P172">
        <f>(1+O172)*(1+P116)-1</f>
        <v/>
      </c>
      <c r="Q172">
        <f>(1+P172)*(1+Q116)-1</f>
        <v/>
      </c>
      <c r="R172">
        <f>(1+Q172)*(1+R116)-1</f>
        <v/>
      </c>
      <c r="S172">
        <f>(1+R172)*(1+S116)-1</f>
        <v/>
      </c>
      <c r="T172">
        <f>(1+S172)*(1+T116)-1</f>
        <v/>
      </c>
      <c r="U172">
        <f>(1+T172)*(1+U116)-1</f>
        <v/>
      </c>
      <c r="V172">
        <f>(1+U172)*(1+V116)-1</f>
        <v/>
      </c>
      <c r="W172">
        <f>(1+V172)*(1+W116)-1</f>
        <v/>
      </c>
      <c r="X172">
        <f>(1+W172)*(1+X116)-1</f>
        <v/>
      </c>
      <c r="Y172">
        <f>(1+X172)*(1+Y116)-1</f>
        <v/>
      </c>
      <c r="Z172">
        <f>(1+Y172)*(1+Z116)-1</f>
        <v/>
      </c>
      <c r="AA172">
        <f>(1+Z172)*(1+AA116)-1</f>
        <v/>
      </c>
      <c r="AB172">
        <f>(1+AA172)*(1+AB116)-1</f>
        <v/>
      </c>
      <c r="AC172">
        <f>(1+AB172)*(1+AC116)-1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Validation checks</t>
        </is>
      </c>
    </row>
    <row r="3">
      <c r="A3" t="inlineStr">
        <is>
          <t>GDP fit per year: total VA vs target (should be ~0 in EVERY year — exact by construction of the per-year factor)</t>
        </is>
      </c>
    </row>
    <row r="4">
      <c r="A4" t="inlineStr">
        <is>
          <t>max |total VA / target - 1| across 2025-2050</t>
        </is>
      </c>
      <c r="B4">
        <f>MAX(D7:AC7)</f>
        <v/>
      </c>
      <c r="C4" s="1">
        <f>IF(B4&lt;0.000000001,"PASS","FAIL")</f>
        <v/>
      </c>
    </row>
    <row r="5">
      <c r="A5" t="inlineStr">
        <is>
          <t>Year</t>
        </is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  <c r="J5" s="1" t="n">
        <v>2031</v>
      </c>
      <c r="K5" s="1" t="n">
        <v>2032</v>
      </c>
      <c r="L5" s="1" t="n">
        <v>2033</v>
      </c>
      <c r="M5" s="1" t="n">
        <v>2034</v>
      </c>
      <c r="N5" s="1" t="n">
        <v>2035</v>
      </c>
      <c r="O5" s="1" t="n">
        <v>2036</v>
      </c>
      <c r="P5" s="1" t="n">
        <v>2037</v>
      </c>
      <c r="Q5" s="1" t="n">
        <v>2038</v>
      </c>
      <c r="R5" s="1" t="n">
        <v>2039</v>
      </c>
      <c r="S5" s="1" t="n">
        <v>2040</v>
      </c>
      <c r="T5" s="1" t="n">
        <v>2041</v>
      </c>
      <c r="U5" s="1" t="n">
        <v>2042</v>
      </c>
      <c r="V5" s="1" t="n">
        <v>2043</v>
      </c>
      <c r="W5" s="1" t="n">
        <v>2044</v>
      </c>
      <c r="X5" s="1" t="n">
        <v>2045</v>
      </c>
      <c r="Y5" s="1" t="n">
        <v>2046</v>
      </c>
      <c r="Z5" s="1" t="n">
        <v>2047</v>
      </c>
      <c r="AA5" s="1" t="n">
        <v>2048</v>
      </c>
      <c r="AB5" s="1" t="n">
        <v>2049</v>
      </c>
      <c r="AC5" s="1" t="n">
        <v>2050</v>
      </c>
    </row>
    <row r="6">
      <c r="A6" t="inlineStr">
        <is>
          <t>residual</t>
        </is>
      </c>
      <c r="D6">
        <f>SUM('Rescale to Fit GDP Proj'!D9:D60)/'Rescale to Fit GDP Proj'!D4-1</f>
        <v/>
      </c>
      <c r="E6">
        <f>SUM('Rescale to Fit GDP Proj'!E9:E60)/'Rescale to Fit GDP Proj'!E4-1</f>
        <v/>
      </c>
      <c r="F6">
        <f>SUM('Rescale to Fit GDP Proj'!F9:F60)/'Rescale to Fit GDP Proj'!F4-1</f>
        <v/>
      </c>
      <c r="G6">
        <f>SUM('Rescale to Fit GDP Proj'!G9:G60)/'Rescale to Fit GDP Proj'!G4-1</f>
        <v/>
      </c>
      <c r="H6">
        <f>SUM('Rescale to Fit GDP Proj'!H9:H60)/'Rescale to Fit GDP Proj'!H4-1</f>
        <v/>
      </c>
      <c r="I6">
        <f>SUM('Rescale to Fit GDP Proj'!I9:I60)/'Rescale to Fit GDP Proj'!I4-1</f>
        <v/>
      </c>
      <c r="J6">
        <f>SUM('Rescale to Fit GDP Proj'!J9:J60)/'Rescale to Fit GDP Proj'!J4-1</f>
        <v/>
      </c>
      <c r="K6">
        <f>SUM('Rescale to Fit GDP Proj'!K9:K60)/'Rescale to Fit GDP Proj'!K4-1</f>
        <v/>
      </c>
      <c r="L6">
        <f>SUM('Rescale to Fit GDP Proj'!L9:L60)/'Rescale to Fit GDP Proj'!L4-1</f>
        <v/>
      </c>
      <c r="M6">
        <f>SUM('Rescale to Fit GDP Proj'!M9:M60)/'Rescale to Fit GDP Proj'!M4-1</f>
        <v/>
      </c>
      <c r="N6">
        <f>SUM('Rescale to Fit GDP Proj'!N9:N60)/'Rescale to Fit GDP Proj'!N4-1</f>
        <v/>
      </c>
      <c r="O6">
        <f>SUM('Rescale to Fit GDP Proj'!O9:O60)/'Rescale to Fit GDP Proj'!O4-1</f>
        <v/>
      </c>
      <c r="P6">
        <f>SUM('Rescale to Fit GDP Proj'!P9:P60)/'Rescale to Fit GDP Proj'!P4-1</f>
        <v/>
      </c>
      <c r="Q6">
        <f>SUM('Rescale to Fit GDP Proj'!Q9:Q60)/'Rescale to Fit GDP Proj'!Q4-1</f>
        <v/>
      </c>
      <c r="R6">
        <f>SUM('Rescale to Fit GDP Proj'!R9:R60)/'Rescale to Fit GDP Proj'!R4-1</f>
        <v/>
      </c>
      <c r="S6">
        <f>SUM('Rescale to Fit GDP Proj'!S9:S60)/'Rescale to Fit GDP Proj'!S4-1</f>
        <v/>
      </c>
      <c r="T6">
        <f>SUM('Rescale to Fit GDP Proj'!T9:T60)/'Rescale to Fit GDP Proj'!T4-1</f>
        <v/>
      </c>
      <c r="U6">
        <f>SUM('Rescale to Fit GDP Proj'!U9:U60)/'Rescale to Fit GDP Proj'!U4-1</f>
        <v/>
      </c>
      <c r="V6">
        <f>SUM('Rescale to Fit GDP Proj'!V9:V60)/'Rescale to Fit GDP Proj'!V4-1</f>
        <v/>
      </c>
      <c r="W6">
        <f>SUM('Rescale to Fit GDP Proj'!W9:W60)/'Rescale to Fit GDP Proj'!W4-1</f>
        <v/>
      </c>
      <c r="X6">
        <f>SUM('Rescale to Fit GDP Proj'!X9:X60)/'Rescale to Fit GDP Proj'!X4-1</f>
        <v/>
      </c>
      <c r="Y6">
        <f>SUM('Rescale to Fit GDP Proj'!Y9:Y60)/'Rescale to Fit GDP Proj'!Y4-1</f>
        <v/>
      </c>
      <c r="Z6">
        <f>SUM('Rescale to Fit GDP Proj'!Z9:Z60)/'Rescale to Fit GDP Proj'!Z4-1</f>
        <v/>
      </c>
      <c r="AA6">
        <f>SUM('Rescale to Fit GDP Proj'!AA9:AA60)/'Rescale to Fit GDP Proj'!AA4-1</f>
        <v/>
      </c>
      <c r="AB6">
        <f>SUM('Rescale to Fit GDP Proj'!AB9:AB60)/'Rescale to Fit GDP Proj'!AB4-1</f>
        <v/>
      </c>
      <c r="AC6">
        <f>SUM('Rescale to Fit GDP Proj'!AC9:AC60)/'Rescale to Fit GDP Proj'!AC4-1</f>
        <v/>
      </c>
    </row>
    <row r="7">
      <c r="A7" t="inlineStr">
        <is>
          <t>|residual|</t>
        </is>
      </c>
      <c r="D7">
        <f>ABS(D6)</f>
        <v/>
      </c>
      <c r="E7">
        <f>ABS(E6)</f>
        <v/>
      </c>
      <c r="F7">
        <f>ABS(F6)</f>
        <v/>
      </c>
      <c r="G7">
        <f>ABS(G6)</f>
        <v/>
      </c>
      <c r="H7">
        <f>ABS(H6)</f>
        <v/>
      </c>
      <c r="I7">
        <f>ABS(I6)</f>
        <v/>
      </c>
      <c r="J7">
        <f>ABS(J6)</f>
        <v/>
      </c>
      <c r="K7">
        <f>ABS(K6)</f>
        <v/>
      </c>
      <c r="L7">
        <f>ABS(L6)</f>
        <v/>
      </c>
      <c r="M7">
        <f>ABS(M6)</f>
        <v/>
      </c>
      <c r="N7">
        <f>ABS(N6)</f>
        <v/>
      </c>
      <c r="O7">
        <f>ABS(O6)</f>
        <v/>
      </c>
      <c r="P7">
        <f>ABS(P6)</f>
        <v/>
      </c>
      <c r="Q7">
        <f>ABS(Q6)</f>
        <v/>
      </c>
      <c r="R7">
        <f>ABS(R6)</f>
        <v/>
      </c>
      <c r="S7">
        <f>ABS(S6)</f>
        <v/>
      </c>
      <c r="T7">
        <f>ABS(T6)</f>
        <v/>
      </c>
      <c r="U7">
        <f>ABS(U6)</f>
        <v/>
      </c>
      <c r="V7">
        <f>ABS(V6)</f>
        <v/>
      </c>
      <c r="W7">
        <f>ABS(W6)</f>
        <v/>
      </c>
      <c r="X7">
        <f>ABS(X6)</f>
        <v/>
      </c>
      <c r="Y7">
        <f>ABS(Y6)</f>
        <v/>
      </c>
      <c r="Z7">
        <f>ABS(Z6)</f>
        <v/>
      </c>
      <c r="AA7">
        <f>ABS(AA6)</f>
        <v/>
      </c>
      <c r="AB7">
        <f>ABS(AB6)</f>
        <v/>
      </c>
      <c r="AC7">
        <f>ABS(AC6)</f>
        <v/>
      </c>
    </row>
    <row r="8">
      <c r="A8" t="inlineStr">
        <is>
          <t>Per-year factor f_y sanity (large near-term values reflect the GDP path's front-loaded growth)</t>
        </is>
      </c>
    </row>
    <row r="9">
      <c r="A9" t="inlineStr">
        <is>
          <t>min f_y / max f_y</t>
        </is>
      </c>
      <c r="B9">
        <f>MIN('Rescale to Fit GDP Proj'!D5:AC5)</f>
        <v/>
      </c>
      <c r="C9">
        <f>MAX('Rescale to Fit GDP Proj'!D5:AC5)</f>
        <v/>
      </c>
    </row>
    <row r="11">
      <c r="A11" t="inlineStr">
        <is>
          <t>Every code has a growth source (BLS weight sum &gt; 0 or AEO coverage)</t>
        </is>
      </c>
    </row>
    <row r="12">
      <c r="B12">
        <f>SUMPRODUCT(--(COUNTIF('BLS Table 2.11'!$L$1:$L$426,'Rescale to Fit GDP Proj'!B65:B116)+COUNTIF('AEO 2026 Table 23 '!$B$1:$B$47,"*,"&amp;'Rescale to Fit GDP Proj'!B65:B116&amp;",*")=0))</f>
        <v/>
      </c>
      <c r="C12" s="1">
        <f>IF(B12=0,"PASS","FAIL")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AB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Unit: dimensionless (% change)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2027</t>
        </is>
      </c>
      <c r="F1" s="1" t="inlineStr">
        <is>
          <t>2028</t>
        </is>
      </c>
      <c r="G1" s="1" t="inlineStr">
        <is>
          <t>2029</t>
        </is>
      </c>
      <c r="H1" s="1" t="inlineStr">
        <is>
          <t>2030</t>
        </is>
      </c>
      <c r="I1" s="1" t="inlineStr">
        <is>
          <t>2031</t>
        </is>
      </c>
      <c r="J1" s="1" t="inlineStr">
        <is>
          <t>2032</t>
        </is>
      </c>
      <c r="K1" s="1" t="inlineStr">
        <is>
          <t>2033</t>
        </is>
      </c>
      <c r="L1" s="1" t="inlineStr">
        <is>
          <t>2034</t>
        </is>
      </c>
      <c r="M1" s="1" t="inlineStr">
        <is>
          <t>2035</t>
        </is>
      </c>
      <c r="N1" s="1" t="inlineStr">
        <is>
          <t>2036</t>
        </is>
      </c>
      <c r="O1" s="1" t="inlineStr">
        <is>
          <t>2037</t>
        </is>
      </c>
      <c r="P1" s="1" t="inlineStr">
        <is>
          <t>2038</t>
        </is>
      </c>
      <c r="Q1" s="1" t="inlineStr">
        <is>
          <t>2039</t>
        </is>
      </c>
      <c r="R1" s="1" t="inlineStr">
        <is>
          <t>2040</t>
        </is>
      </c>
      <c r="S1" s="1" t="inlineStr">
        <is>
          <t>2041</t>
        </is>
      </c>
      <c r="T1" s="1" t="inlineStr">
        <is>
          <t>2042</t>
        </is>
      </c>
      <c r="U1" s="1" t="inlineStr">
        <is>
          <t>2043</t>
        </is>
      </c>
      <c r="V1" s="1" t="inlineStr">
        <is>
          <t>2044</t>
        </is>
      </c>
      <c r="W1" s="1" t="inlineStr">
        <is>
          <t>2045</t>
        </is>
      </c>
      <c r="X1" s="1" t="inlineStr">
        <is>
          <t>2046</t>
        </is>
      </c>
      <c r="Y1" s="1" t="inlineStr">
        <is>
          <t>2047</t>
        </is>
      </c>
      <c r="Z1" s="1" t="inlineStr">
        <is>
          <t>2048</t>
        </is>
      </c>
      <c r="AA1" s="1" t="inlineStr">
        <is>
          <t>2049</t>
        </is>
      </c>
      <c r="AB1" s="1" t="inlineStr">
        <is>
          <t>2050</t>
        </is>
      </c>
    </row>
    <row r="2">
      <c r="A2" t="inlineStr">
        <is>
          <t>ISIC 01</t>
        </is>
      </c>
      <c r="B2">
        <f>(1+'Rescale to Fit GDP Proj'!C121)/(1+'Rescale to Fit GDP Proj'!$D$121)-1</f>
        <v/>
      </c>
      <c r="C2">
        <f>(1+'Rescale to Fit GDP Proj'!D121)/(1+'Rescale to Fit GDP Proj'!$D$121)-1</f>
        <v/>
      </c>
      <c r="D2">
        <f>(1+'Rescale to Fit GDP Proj'!E121)/(1+'Rescale to Fit GDP Proj'!$D$121)-1</f>
        <v/>
      </c>
      <c r="E2">
        <f>(1+'Rescale to Fit GDP Proj'!F121)/(1+'Rescale to Fit GDP Proj'!$D$121)-1</f>
        <v/>
      </c>
      <c r="F2">
        <f>(1+'Rescale to Fit GDP Proj'!G121)/(1+'Rescale to Fit GDP Proj'!$D$121)-1</f>
        <v/>
      </c>
      <c r="G2">
        <f>(1+'Rescale to Fit GDP Proj'!H121)/(1+'Rescale to Fit GDP Proj'!$D$121)-1</f>
        <v/>
      </c>
      <c r="H2">
        <f>(1+'Rescale to Fit GDP Proj'!I121)/(1+'Rescale to Fit GDP Proj'!$D$121)-1</f>
        <v/>
      </c>
      <c r="I2">
        <f>(1+'Rescale to Fit GDP Proj'!J121)/(1+'Rescale to Fit GDP Proj'!$D$121)-1</f>
        <v/>
      </c>
      <c r="J2">
        <f>(1+'Rescale to Fit GDP Proj'!K121)/(1+'Rescale to Fit GDP Proj'!$D$121)-1</f>
        <v/>
      </c>
      <c r="K2">
        <f>(1+'Rescale to Fit GDP Proj'!L121)/(1+'Rescale to Fit GDP Proj'!$D$121)-1</f>
        <v/>
      </c>
      <c r="L2">
        <f>(1+'Rescale to Fit GDP Proj'!M121)/(1+'Rescale to Fit GDP Proj'!$D$121)-1</f>
        <v/>
      </c>
      <c r="M2">
        <f>(1+'Rescale to Fit GDP Proj'!N121)/(1+'Rescale to Fit GDP Proj'!$D$121)-1</f>
        <v/>
      </c>
      <c r="N2">
        <f>(1+'Rescale to Fit GDP Proj'!O121)/(1+'Rescale to Fit GDP Proj'!$D$121)-1</f>
        <v/>
      </c>
      <c r="O2">
        <f>(1+'Rescale to Fit GDP Proj'!P121)/(1+'Rescale to Fit GDP Proj'!$D$121)-1</f>
        <v/>
      </c>
      <c r="P2">
        <f>(1+'Rescale to Fit GDP Proj'!Q121)/(1+'Rescale to Fit GDP Proj'!$D$121)-1</f>
        <v/>
      </c>
      <c r="Q2">
        <f>(1+'Rescale to Fit GDP Proj'!R121)/(1+'Rescale to Fit GDP Proj'!$D$121)-1</f>
        <v/>
      </c>
      <c r="R2">
        <f>(1+'Rescale to Fit GDP Proj'!S121)/(1+'Rescale to Fit GDP Proj'!$D$121)-1</f>
        <v/>
      </c>
      <c r="S2">
        <f>(1+'Rescale to Fit GDP Proj'!T121)/(1+'Rescale to Fit GDP Proj'!$D$121)-1</f>
        <v/>
      </c>
      <c r="T2">
        <f>(1+'Rescale to Fit GDP Proj'!U121)/(1+'Rescale to Fit GDP Proj'!$D$121)-1</f>
        <v/>
      </c>
      <c r="U2">
        <f>(1+'Rescale to Fit GDP Proj'!V121)/(1+'Rescale to Fit GDP Proj'!$D$121)-1</f>
        <v/>
      </c>
      <c r="V2">
        <f>(1+'Rescale to Fit GDP Proj'!W121)/(1+'Rescale to Fit GDP Proj'!$D$121)-1</f>
        <v/>
      </c>
      <c r="W2">
        <f>(1+'Rescale to Fit GDP Proj'!X121)/(1+'Rescale to Fit GDP Proj'!$D$121)-1</f>
        <v/>
      </c>
      <c r="X2">
        <f>(1+'Rescale to Fit GDP Proj'!Y121)/(1+'Rescale to Fit GDP Proj'!$D$121)-1</f>
        <v/>
      </c>
      <c r="Y2">
        <f>(1+'Rescale to Fit GDP Proj'!Z121)/(1+'Rescale to Fit GDP Proj'!$D$121)-1</f>
        <v/>
      </c>
      <c r="Z2">
        <f>(1+'Rescale to Fit GDP Proj'!AA121)/(1+'Rescale to Fit GDP Proj'!$D$121)-1</f>
        <v/>
      </c>
      <c r="AA2">
        <f>(1+'Rescale to Fit GDP Proj'!AB121)/(1+'Rescale to Fit GDP Proj'!$D$121)-1</f>
        <v/>
      </c>
      <c r="AB2">
        <f>(1+'Rescale to Fit GDP Proj'!AC121)/(1+'Rescale to Fit GDP Proj'!$D$121)-1</f>
        <v/>
      </c>
    </row>
    <row r="3">
      <c r="A3" t="inlineStr">
        <is>
          <t>ISIC 02</t>
        </is>
      </c>
      <c r="B3">
        <f>(1+'Rescale to Fit GDP Proj'!C122)/(1+'Rescale to Fit GDP Proj'!$D$122)-1</f>
        <v/>
      </c>
      <c r="C3">
        <f>(1+'Rescale to Fit GDP Proj'!D122)/(1+'Rescale to Fit GDP Proj'!$D$122)-1</f>
        <v/>
      </c>
      <c r="D3">
        <f>(1+'Rescale to Fit GDP Proj'!E122)/(1+'Rescale to Fit GDP Proj'!$D$122)-1</f>
        <v/>
      </c>
      <c r="E3">
        <f>(1+'Rescale to Fit GDP Proj'!F122)/(1+'Rescale to Fit GDP Proj'!$D$122)-1</f>
        <v/>
      </c>
      <c r="F3">
        <f>(1+'Rescale to Fit GDP Proj'!G122)/(1+'Rescale to Fit GDP Proj'!$D$122)-1</f>
        <v/>
      </c>
      <c r="G3">
        <f>(1+'Rescale to Fit GDP Proj'!H122)/(1+'Rescale to Fit GDP Proj'!$D$122)-1</f>
        <v/>
      </c>
      <c r="H3">
        <f>(1+'Rescale to Fit GDP Proj'!I122)/(1+'Rescale to Fit GDP Proj'!$D$122)-1</f>
        <v/>
      </c>
      <c r="I3">
        <f>(1+'Rescale to Fit GDP Proj'!J122)/(1+'Rescale to Fit GDP Proj'!$D$122)-1</f>
        <v/>
      </c>
      <c r="J3">
        <f>(1+'Rescale to Fit GDP Proj'!K122)/(1+'Rescale to Fit GDP Proj'!$D$122)-1</f>
        <v/>
      </c>
      <c r="K3">
        <f>(1+'Rescale to Fit GDP Proj'!L122)/(1+'Rescale to Fit GDP Proj'!$D$122)-1</f>
        <v/>
      </c>
      <c r="L3">
        <f>(1+'Rescale to Fit GDP Proj'!M122)/(1+'Rescale to Fit GDP Proj'!$D$122)-1</f>
        <v/>
      </c>
      <c r="M3">
        <f>(1+'Rescale to Fit GDP Proj'!N122)/(1+'Rescale to Fit GDP Proj'!$D$122)-1</f>
        <v/>
      </c>
      <c r="N3">
        <f>(1+'Rescale to Fit GDP Proj'!O122)/(1+'Rescale to Fit GDP Proj'!$D$122)-1</f>
        <v/>
      </c>
      <c r="O3">
        <f>(1+'Rescale to Fit GDP Proj'!P122)/(1+'Rescale to Fit GDP Proj'!$D$122)-1</f>
        <v/>
      </c>
      <c r="P3">
        <f>(1+'Rescale to Fit GDP Proj'!Q122)/(1+'Rescale to Fit GDP Proj'!$D$122)-1</f>
        <v/>
      </c>
      <c r="Q3">
        <f>(1+'Rescale to Fit GDP Proj'!R122)/(1+'Rescale to Fit GDP Proj'!$D$122)-1</f>
        <v/>
      </c>
      <c r="R3">
        <f>(1+'Rescale to Fit GDP Proj'!S122)/(1+'Rescale to Fit GDP Proj'!$D$122)-1</f>
        <v/>
      </c>
      <c r="S3">
        <f>(1+'Rescale to Fit GDP Proj'!T122)/(1+'Rescale to Fit GDP Proj'!$D$122)-1</f>
        <v/>
      </c>
      <c r="T3">
        <f>(1+'Rescale to Fit GDP Proj'!U122)/(1+'Rescale to Fit GDP Proj'!$D$122)-1</f>
        <v/>
      </c>
      <c r="U3">
        <f>(1+'Rescale to Fit GDP Proj'!V122)/(1+'Rescale to Fit GDP Proj'!$D$122)-1</f>
        <v/>
      </c>
      <c r="V3">
        <f>(1+'Rescale to Fit GDP Proj'!W122)/(1+'Rescale to Fit GDP Proj'!$D$122)-1</f>
        <v/>
      </c>
      <c r="W3">
        <f>(1+'Rescale to Fit GDP Proj'!X122)/(1+'Rescale to Fit GDP Proj'!$D$122)-1</f>
        <v/>
      </c>
      <c r="X3">
        <f>(1+'Rescale to Fit GDP Proj'!Y122)/(1+'Rescale to Fit GDP Proj'!$D$122)-1</f>
        <v/>
      </c>
      <c r="Y3">
        <f>(1+'Rescale to Fit GDP Proj'!Z122)/(1+'Rescale to Fit GDP Proj'!$D$122)-1</f>
        <v/>
      </c>
      <c r="Z3">
        <f>(1+'Rescale to Fit GDP Proj'!AA122)/(1+'Rescale to Fit GDP Proj'!$D$122)-1</f>
        <v/>
      </c>
      <c r="AA3">
        <f>(1+'Rescale to Fit GDP Proj'!AB122)/(1+'Rescale to Fit GDP Proj'!$D$122)-1</f>
        <v/>
      </c>
      <c r="AB3">
        <f>(1+'Rescale to Fit GDP Proj'!AC122)/(1+'Rescale to Fit GDP Proj'!$D$122)-1</f>
        <v/>
      </c>
    </row>
    <row r="4">
      <c r="A4" t="inlineStr">
        <is>
          <t>ISIC 03</t>
        </is>
      </c>
      <c r="B4">
        <f>(1+'Rescale to Fit GDP Proj'!C123)/(1+'Rescale to Fit GDP Proj'!$D$123)-1</f>
        <v/>
      </c>
      <c r="C4">
        <f>(1+'Rescale to Fit GDP Proj'!D123)/(1+'Rescale to Fit GDP Proj'!$D$123)-1</f>
        <v/>
      </c>
      <c r="D4">
        <f>(1+'Rescale to Fit GDP Proj'!E123)/(1+'Rescale to Fit GDP Proj'!$D$123)-1</f>
        <v/>
      </c>
      <c r="E4">
        <f>(1+'Rescale to Fit GDP Proj'!F123)/(1+'Rescale to Fit GDP Proj'!$D$123)-1</f>
        <v/>
      </c>
      <c r="F4">
        <f>(1+'Rescale to Fit GDP Proj'!G123)/(1+'Rescale to Fit GDP Proj'!$D$123)-1</f>
        <v/>
      </c>
      <c r="G4">
        <f>(1+'Rescale to Fit GDP Proj'!H123)/(1+'Rescale to Fit GDP Proj'!$D$123)-1</f>
        <v/>
      </c>
      <c r="H4">
        <f>(1+'Rescale to Fit GDP Proj'!I123)/(1+'Rescale to Fit GDP Proj'!$D$123)-1</f>
        <v/>
      </c>
      <c r="I4">
        <f>(1+'Rescale to Fit GDP Proj'!J123)/(1+'Rescale to Fit GDP Proj'!$D$123)-1</f>
        <v/>
      </c>
      <c r="J4">
        <f>(1+'Rescale to Fit GDP Proj'!K123)/(1+'Rescale to Fit GDP Proj'!$D$123)-1</f>
        <v/>
      </c>
      <c r="K4">
        <f>(1+'Rescale to Fit GDP Proj'!L123)/(1+'Rescale to Fit GDP Proj'!$D$123)-1</f>
        <v/>
      </c>
      <c r="L4">
        <f>(1+'Rescale to Fit GDP Proj'!M123)/(1+'Rescale to Fit GDP Proj'!$D$123)-1</f>
        <v/>
      </c>
      <c r="M4">
        <f>(1+'Rescale to Fit GDP Proj'!N123)/(1+'Rescale to Fit GDP Proj'!$D$123)-1</f>
        <v/>
      </c>
      <c r="N4">
        <f>(1+'Rescale to Fit GDP Proj'!O123)/(1+'Rescale to Fit GDP Proj'!$D$123)-1</f>
        <v/>
      </c>
      <c r="O4">
        <f>(1+'Rescale to Fit GDP Proj'!P123)/(1+'Rescale to Fit GDP Proj'!$D$123)-1</f>
        <v/>
      </c>
      <c r="P4">
        <f>(1+'Rescale to Fit GDP Proj'!Q123)/(1+'Rescale to Fit GDP Proj'!$D$123)-1</f>
        <v/>
      </c>
      <c r="Q4">
        <f>(1+'Rescale to Fit GDP Proj'!R123)/(1+'Rescale to Fit GDP Proj'!$D$123)-1</f>
        <v/>
      </c>
      <c r="R4">
        <f>(1+'Rescale to Fit GDP Proj'!S123)/(1+'Rescale to Fit GDP Proj'!$D$123)-1</f>
        <v/>
      </c>
      <c r="S4">
        <f>(1+'Rescale to Fit GDP Proj'!T123)/(1+'Rescale to Fit GDP Proj'!$D$123)-1</f>
        <v/>
      </c>
      <c r="T4">
        <f>(1+'Rescale to Fit GDP Proj'!U123)/(1+'Rescale to Fit GDP Proj'!$D$123)-1</f>
        <v/>
      </c>
      <c r="U4">
        <f>(1+'Rescale to Fit GDP Proj'!V123)/(1+'Rescale to Fit GDP Proj'!$D$123)-1</f>
        <v/>
      </c>
      <c r="V4">
        <f>(1+'Rescale to Fit GDP Proj'!W123)/(1+'Rescale to Fit GDP Proj'!$D$123)-1</f>
        <v/>
      </c>
      <c r="W4">
        <f>(1+'Rescale to Fit GDP Proj'!X123)/(1+'Rescale to Fit GDP Proj'!$D$123)-1</f>
        <v/>
      </c>
      <c r="X4">
        <f>(1+'Rescale to Fit GDP Proj'!Y123)/(1+'Rescale to Fit GDP Proj'!$D$123)-1</f>
        <v/>
      </c>
      <c r="Y4">
        <f>(1+'Rescale to Fit GDP Proj'!Z123)/(1+'Rescale to Fit GDP Proj'!$D$123)-1</f>
        <v/>
      </c>
      <c r="Z4">
        <f>(1+'Rescale to Fit GDP Proj'!AA123)/(1+'Rescale to Fit GDP Proj'!$D$123)-1</f>
        <v/>
      </c>
      <c r="AA4">
        <f>(1+'Rescale to Fit GDP Proj'!AB123)/(1+'Rescale to Fit GDP Proj'!$D$123)-1</f>
        <v/>
      </c>
      <c r="AB4">
        <f>(1+'Rescale to Fit GDP Proj'!AC123)/(1+'Rescale to Fit GDP Proj'!$D$123)-1</f>
        <v/>
      </c>
    </row>
    <row r="5">
      <c r="A5" t="inlineStr">
        <is>
          <t>ISIC 05</t>
        </is>
      </c>
      <c r="B5">
        <f>(1+'Rescale to Fit GDP Proj'!C124)/(1+'Rescale to Fit GDP Proj'!$D$124)-1</f>
        <v/>
      </c>
      <c r="C5">
        <f>(1+'Rescale to Fit GDP Proj'!D124)/(1+'Rescale to Fit GDP Proj'!$D$124)-1</f>
        <v/>
      </c>
      <c r="D5">
        <f>(1+'Rescale to Fit GDP Proj'!E124)/(1+'Rescale to Fit GDP Proj'!$D$124)-1</f>
        <v/>
      </c>
      <c r="E5">
        <f>(1+'Rescale to Fit GDP Proj'!F124)/(1+'Rescale to Fit GDP Proj'!$D$124)-1</f>
        <v/>
      </c>
      <c r="F5">
        <f>(1+'Rescale to Fit GDP Proj'!G124)/(1+'Rescale to Fit GDP Proj'!$D$124)-1</f>
        <v/>
      </c>
      <c r="G5">
        <f>(1+'Rescale to Fit GDP Proj'!H124)/(1+'Rescale to Fit GDP Proj'!$D$124)-1</f>
        <v/>
      </c>
      <c r="H5">
        <f>(1+'Rescale to Fit GDP Proj'!I124)/(1+'Rescale to Fit GDP Proj'!$D$124)-1</f>
        <v/>
      </c>
      <c r="I5">
        <f>(1+'Rescale to Fit GDP Proj'!J124)/(1+'Rescale to Fit GDP Proj'!$D$124)-1</f>
        <v/>
      </c>
      <c r="J5">
        <f>(1+'Rescale to Fit GDP Proj'!K124)/(1+'Rescale to Fit GDP Proj'!$D$124)-1</f>
        <v/>
      </c>
      <c r="K5">
        <f>(1+'Rescale to Fit GDP Proj'!L124)/(1+'Rescale to Fit GDP Proj'!$D$124)-1</f>
        <v/>
      </c>
      <c r="L5">
        <f>(1+'Rescale to Fit GDP Proj'!M124)/(1+'Rescale to Fit GDP Proj'!$D$124)-1</f>
        <v/>
      </c>
      <c r="M5">
        <f>(1+'Rescale to Fit GDP Proj'!N124)/(1+'Rescale to Fit GDP Proj'!$D$124)-1</f>
        <v/>
      </c>
      <c r="N5">
        <f>(1+'Rescale to Fit GDP Proj'!O124)/(1+'Rescale to Fit GDP Proj'!$D$124)-1</f>
        <v/>
      </c>
      <c r="O5">
        <f>(1+'Rescale to Fit GDP Proj'!P124)/(1+'Rescale to Fit GDP Proj'!$D$124)-1</f>
        <v/>
      </c>
      <c r="P5">
        <f>(1+'Rescale to Fit GDP Proj'!Q124)/(1+'Rescale to Fit GDP Proj'!$D$124)-1</f>
        <v/>
      </c>
      <c r="Q5">
        <f>(1+'Rescale to Fit GDP Proj'!R124)/(1+'Rescale to Fit GDP Proj'!$D$124)-1</f>
        <v/>
      </c>
      <c r="R5">
        <f>(1+'Rescale to Fit GDP Proj'!S124)/(1+'Rescale to Fit GDP Proj'!$D$124)-1</f>
        <v/>
      </c>
      <c r="S5">
        <f>(1+'Rescale to Fit GDP Proj'!T124)/(1+'Rescale to Fit GDP Proj'!$D$124)-1</f>
        <v/>
      </c>
      <c r="T5">
        <f>(1+'Rescale to Fit GDP Proj'!U124)/(1+'Rescale to Fit GDP Proj'!$D$124)-1</f>
        <v/>
      </c>
      <c r="U5">
        <f>(1+'Rescale to Fit GDP Proj'!V124)/(1+'Rescale to Fit GDP Proj'!$D$124)-1</f>
        <v/>
      </c>
      <c r="V5">
        <f>(1+'Rescale to Fit GDP Proj'!W124)/(1+'Rescale to Fit GDP Proj'!$D$124)-1</f>
        <v/>
      </c>
      <c r="W5">
        <f>(1+'Rescale to Fit GDP Proj'!X124)/(1+'Rescale to Fit GDP Proj'!$D$124)-1</f>
        <v/>
      </c>
      <c r="X5">
        <f>(1+'Rescale to Fit GDP Proj'!Y124)/(1+'Rescale to Fit GDP Proj'!$D$124)-1</f>
        <v/>
      </c>
      <c r="Y5">
        <f>(1+'Rescale to Fit GDP Proj'!Z124)/(1+'Rescale to Fit GDP Proj'!$D$124)-1</f>
        <v/>
      </c>
      <c r="Z5">
        <f>(1+'Rescale to Fit GDP Proj'!AA124)/(1+'Rescale to Fit GDP Proj'!$D$124)-1</f>
        <v/>
      </c>
      <c r="AA5">
        <f>(1+'Rescale to Fit GDP Proj'!AB124)/(1+'Rescale to Fit GDP Proj'!$D$124)-1</f>
        <v/>
      </c>
      <c r="AB5">
        <f>(1+'Rescale to Fit GDP Proj'!AC124)/(1+'Rescale to Fit GDP Proj'!$D$124)-1</f>
        <v/>
      </c>
    </row>
    <row r="6">
      <c r="A6" t="inlineStr">
        <is>
          <t>ISIC 06</t>
        </is>
      </c>
      <c r="B6">
        <f>(1+'Rescale to Fit GDP Proj'!C125)/(1+'Rescale to Fit GDP Proj'!$D$125)-1</f>
        <v/>
      </c>
      <c r="C6">
        <f>(1+'Rescale to Fit GDP Proj'!D125)/(1+'Rescale to Fit GDP Proj'!$D$125)-1</f>
        <v/>
      </c>
      <c r="D6">
        <f>(1+'Rescale to Fit GDP Proj'!E125)/(1+'Rescale to Fit GDP Proj'!$D$125)-1</f>
        <v/>
      </c>
      <c r="E6">
        <f>(1+'Rescale to Fit GDP Proj'!F125)/(1+'Rescale to Fit GDP Proj'!$D$125)-1</f>
        <v/>
      </c>
      <c r="F6">
        <f>(1+'Rescale to Fit GDP Proj'!G125)/(1+'Rescale to Fit GDP Proj'!$D$125)-1</f>
        <v/>
      </c>
      <c r="G6">
        <f>(1+'Rescale to Fit GDP Proj'!H125)/(1+'Rescale to Fit GDP Proj'!$D$125)-1</f>
        <v/>
      </c>
      <c r="H6">
        <f>(1+'Rescale to Fit GDP Proj'!I125)/(1+'Rescale to Fit GDP Proj'!$D$125)-1</f>
        <v/>
      </c>
      <c r="I6">
        <f>(1+'Rescale to Fit GDP Proj'!J125)/(1+'Rescale to Fit GDP Proj'!$D$125)-1</f>
        <v/>
      </c>
      <c r="J6">
        <f>(1+'Rescale to Fit GDP Proj'!K125)/(1+'Rescale to Fit GDP Proj'!$D$125)-1</f>
        <v/>
      </c>
      <c r="K6">
        <f>(1+'Rescale to Fit GDP Proj'!L125)/(1+'Rescale to Fit GDP Proj'!$D$125)-1</f>
        <v/>
      </c>
      <c r="L6">
        <f>(1+'Rescale to Fit GDP Proj'!M125)/(1+'Rescale to Fit GDP Proj'!$D$125)-1</f>
        <v/>
      </c>
      <c r="M6">
        <f>(1+'Rescale to Fit GDP Proj'!N125)/(1+'Rescale to Fit GDP Proj'!$D$125)-1</f>
        <v/>
      </c>
      <c r="N6">
        <f>(1+'Rescale to Fit GDP Proj'!O125)/(1+'Rescale to Fit GDP Proj'!$D$125)-1</f>
        <v/>
      </c>
      <c r="O6">
        <f>(1+'Rescale to Fit GDP Proj'!P125)/(1+'Rescale to Fit GDP Proj'!$D$125)-1</f>
        <v/>
      </c>
      <c r="P6">
        <f>(1+'Rescale to Fit GDP Proj'!Q125)/(1+'Rescale to Fit GDP Proj'!$D$125)-1</f>
        <v/>
      </c>
      <c r="Q6">
        <f>(1+'Rescale to Fit GDP Proj'!R125)/(1+'Rescale to Fit GDP Proj'!$D$125)-1</f>
        <v/>
      </c>
      <c r="R6">
        <f>(1+'Rescale to Fit GDP Proj'!S125)/(1+'Rescale to Fit GDP Proj'!$D$125)-1</f>
        <v/>
      </c>
      <c r="S6">
        <f>(1+'Rescale to Fit GDP Proj'!T125)/(1+'Rescale to Fit GDP Proj'!$D$125)-1</f>
        <v/>
      </c>
      <c r="T6">
        <f>(1+'Rescale to Fit GDP Proj'!U125)/(1+'Rescale to Fit GDP Proj'!$D$125)-1</f>
        <v/>
      </c>
      <c r="U6">
        <f>(1+'Rescale to Fit GDP Proj'!V125)/(1+'Rescale to Fit GDP Proj'!$D$125)-1</f>
        <v/>
      </c>
      <c r="V6">
        <f>(1+'Rescale to Fit GDP Proj'!W125)/(1+'Rescale to Fit GDP Proj'!$D$125)-1</f>
        <v/>
      </c>
      <c r="W6">
        <f>(1+'Rescale to Fit GDP Proj'!X125)/(1+'Rescale to Fit GDP Proj'!$D$125)-1</f>
        <v/>
      </c>
      <c r="X6">
        <f>(1+'Rescale to Fit GDP Proj'!Y125)/(1+'Rescale to Fit GDP Proj'!$D$125)-1</f>
        <v/>
      </c>
      <c r="Y6">
        <f>(1+'Rescale to Fit GDP Proj'!Z125)/(1+'Rescale to Fit GDP Proj'!$D$125)-1</f>
        <v/>
      </c>
      <c r="Z6">
        <f>(1+'Rescale to Fit GDP Proj'!AA125)/(1+'Rescale to Fit GDP Proj'!$D$125)-1</f>
        <v/>
      </c>
      <c r="AA6">
        <f>(1+'Rescale to Fit GDP Proj'!AB125)/(1+'Rescale to Fit GDP Proj'!$D$125)-1</f>
        <v/>
      </c>
      <c r="AB6">
        <f>(1+'Rescale to Fit GDP Proj'!AC125)/(1+'Rescale to Fit GDP Proj'!$D$125)-1</f>
        <v/>
      </c>
    </row>
    <row r="7">
      <c r="A7" t="inlineStr">
        <is>
          <t>ISIC 07</t>
        </is>
      </c>
      <c r="B7">
        <f>(1+'Rescale to Fit GDP Proj'!C126)/(1+'Rescale to Fit GDP Proj'!$D$126)-1</f>
        <v/>
      </c>
      <c r="C7">
        <f>(1+'Rescale to Fit GDP Proj'!D126)/(1+'Rescale to Fit GDP Proj'!$D$126)-1</f>
        <v/>
      </c>
      <c r="D7">
        <f>(1+'Rescale to Fit GDP Proj'!E126)/(1+'Rescale to Fit GDP Proj'!$D$126)-1</f>
        <v/>
      </c>
      <c r="E7">
        <f>(1+'Rescale to Fit GDP Proj'!F126)/(1+'Rescale to Fit GDP Proj'!$D$126)-1</f>
        <v/>
      </c>
      <c r="F7">
        <f>(1+'Rescale to Fit GDP Proj'!G126)/(1+'Rescale to Fit GDP Proj'!$D$126)-1</f>
        <v/>
      </c>
      <c r="G7">
        <f>(1+'Rescale to Fit GDP Proj'!H126)/(1+'Rescale to Fit GDP Proj'!$D$126)-1</f>
        <v/>
      </c>
      <c r="H7">
        <f>(1+'Rescale to Fit GDP Proj'!I126)/(1+'Rescale to Fit GDP Proj'!$D$126)-1</f>
        <v/>
      </c>
      <c r="I7">
        <f>(1+'Rescale to Fit GDP Proj'!J126)/(1+'Rescale to Fit GDP Proj'!$D$126)-1</f>
        <v/>
      </c>
      <c r="J7">
        <f>(1+'Rescale to Fit GDP Proj'!K126)/(1+'Rescale to Fit GDP Proj'!$D$126)-1</f>
        <v/>
      </c>
      <c r="K7">
        <f>(1+'Rescale to Fit GDP Proj'!L126)/(1+'Rescale to Fit GDP Proj'!$D$126)-1</f>
        <v/>
      </c>
      <c r="L7">
        <f>(1+'Rescale to Fit GDP Proj'!M126)/(1+'Rescale to Fit GDP Proj'!$D$126)-1</f>
        <v/>
      </c>
      <c r="M7">
        <f>(1+'Rescale to Fit GDP Proj'!N126)/(1+'Rescale to Fit GDP Proj'!$D$126)-1</f>
        <v/>
      </c>
      <c r="N7">
        <f>(1+'Rescale to Fit GDP Proj'!O126)/(1+'Rescale to Fit GDP Proj'!$D$126)-1</f>
        <v/>
      </c>
      <c r="O7">
        <f>(1+'Rescale to Fit GDP Proj'!P126)/(1+'Rescale to Fit GDP Proj'!$D$126)-1</f>
        <v/>
      </c>
      <c r="P7">
        <f>(1+'Rescale to Fit GDP Proj'!Q126)/(1+'Rescale to Fit GDP Proj'!$D$126)-1</f>
        <v/>
      </c>
      <c r="Q7">
        <f>(1+'Rescale to Fit GDP Proj'!R126)/(1+'Rescale to Fit GDP Proj'!$D$126)-1</f>
        <v/>
      </c>
      <c r="R7">
        <f>(1+'Rescale to Fit GDP Proj'!S126)/(1+'Rescale to Fit GDP Proj'!$D$126)-1</f>
        <v/>
      </c>
      <c r="S7">
        <f>(1+'Rescale to Fit GDP Proj'!T126)/(1+'Rescale to Fit GDP Proj'!$D$126)-1</f>
        <v/>
      </c>
      <c r="T7">
        <f>(1+'Rescale to Fit GDP Proj'!U126)/(1+'Rescale to Fit GDP Proj'!$D$126)-1</f>
        <v/>
      </c>
      <c r="U7">
        <f>(1+'Rescale to Fit GDP Proj'!V126)/(1+'Rescale to Fit GDP Proj'!$D$126)-1</f>
        <v/>
      </c>
      <c r="V7">
        <f>(1+'Rescale to Fit GDP Proj'!W126)/(1+'Rescale to Fit GDP Proj'!$D$126)-1</f>
        <v/>
      </c>
      <c r="W7">
        <f>(1+'Rescale to Fit GDP Proj'!X126)/(1+'Rescale to Fit GDP Proj'!$D$126)-1</f>
        <v/>
      </c>
      <c r="X7">
        <f>(1+'Rescale to Fit GDP Proj'!Y126)/(1+'Rescale to Fit GDP Proj'!$D$126)-1</f>
        <v/>
      </c>
      <c r="Y7">
        <f>(1+'Rescale to Fit GDP Proj'!Z126)/(1+'Rescale to Fit GDP Proj'!$D$126)-1</f>
        <v/>
      </c>
      <c r="Z7">
        <f>(1+'Rescale to Fit GDP Proj'!AA126)/(1+'Rescale to Fit GDP Proj'!$D$126)-1</f>
        <v/>
      </c>
      <c r="AA7">
        <f>(1+'Rescale to Fit GDP Proj'!AB126)/(1+'Rescale to Fit GDP Proj'!$D$126)-1</f>
        <v/>
      </c>
      <c r="AB7">
        <f>(1+'Rescale to Fit GDP Proj'!AC126)/(1+'Rescale to Fit GDP Proj'!$D$126)-1</f>
        <v/>
      </c>
    </row>
    <row r="8">
      <c r="A8" t="inlineStr">
        <is>
          <t>ISIC 08</t>
        </is>
      </c>
      <c r="B8">
        <f>(1+'Rescale to Fit GDP Proj'!C127)/(1+'Rescale to Fit GDP Proj'!$D$127)-1</f>
        <v/>
      </c>
      <c r="C8">
        <f>(1+'Rescale to Fit GDP Proj'!D127)/(1+'Rescale to Fit GDP Proj'!$D$127)-1</f>
        <v/>
      </c>
      <c r="D8">
        <f>(1+'Rescale to Fit GDP Proj'!E127)/(1+'Rescale to Fit GDP Proj'!$D$127)-1</f>
        <v/>
      </c>
      <c r="E8">
        <f>(1+'Rescale to Fit GDP Proj'!F127)/(1+'Rescale to Fit GDP Proj'!$D$127)-1</f>
        <v/>
      </c>
      <c r="F8">
        <f>(1+'Rescale to Fit GDP Proj'!G127)/(1+'Rescale to Fit GDP Proj'!$D$127)-1</f>
        <v/>
      </c>
      <c r="G8">
        <f>(1+'Rescale to Fit GDP Proj'!H127)/(1+'Rescale to Fit GDP Proj'!$D$127)-1</f>
        <v/>
      </c>
      <c r="H8">
        <f>(1+'Rescale to Fit GDP Proj'!I127)/(1+'Rescale to Fit GDP Proj'!$D$127)-1</f>
        <v/>
      </c>
      <c r="I8">
        <f>(1+'Rescale to Fit GDP Proj'!J127)/(1+'Rescale to Fit GDP Proj'!$D$127)-1</f>
        <v/>
      </c>
      <c r="J8">
        <f>(1+'Rescale to Fit GDP Proj'!K127)/(1+'Rescale to Fit GDP Proj'!$D$127)-1</f>
        <v/>
      </c>
      <c r="K8">
        <f>(1+'Rescale to Fit GDP Proj'!L127)/(1+'Rescale to Fit GDP Proj'!$D$127)-1</f>
        <v/>
      </c>
      <c r="L8">
        <f>(1+'Rescale to Fit GDP Proj'!M127)/(1+'Rescale to Fit GDP Proj'!$D$127)-1</f>
        <v/>
      </c>
      <c r="M8">
        <f>(1+'Rescale to Fit GDP Proj'!N127)/(1+'Rescale to Fit GDP Proj'!$D$127)-1</f>
        <v/>
      </c>
      <c r="N8">
        <f>(1+'Rescale to Fit GDP Proj'!O127)/(1+'Rescale to Fit GDP Proj'!$D$127)-1</f>
        <v/>
      </c>
      <c r="O8">
        <f>(1+'Rescale to Fit GDP Proj'!P127)/(1+'Rescale to Fit GDP Proj'!$D$127)-1</f>
        <v/>
      </c>
      <c r="P8">
        <f>(1+'Rescale to Fit GDP Proj'!Q127)/(1+'Rescale to Fit GDP Proj'!$D$127)-1</f>
        <v/>
      </c>
      <c r="Q8">
        <f>(1+'Rescale to Fit GDP Proj'!R127)/(1+'Rescale to Fit GDP Proj'!$D$127)-1</f>
        <v/>
      </c>
      <c r="R8">
        <f>(1+'Rescale to Fit GDP Proj'!S127)/(1+'Rescale to Fit GDP Proj'!$D$127)-1</f>
        <v/>
      </c>
      <c r="S8">
        <f>(1+'Rescale to Fit GDP Proj'!T127)/(1+'Rescale to Fit GDP Proj'!$D$127)-1</f>
        <v/>
      </c>
      <c r="T8">
        <f>(1+'Rescale to Fit GDP Proj'!U127)/(1+'Rescale to Fit GDP Proj'!$D$127)-1</f>
        <v/>
      </c>
      <c r="U8">
        <f>(1+'Rescale to Fit GDP Proj'!V127)/(1+'Rescale to Fit GDP Proj'!$D$127)-1</f>
        <v/>
      </c>
      <c r="V8">
        <f>(1+'Rescale to Fit GDP Proj'!W127)/(1+'Rescale to Fit GDP Proj'!$D$127)-1</f>
        <v/>
      </c>
      <c r="W8">
        <f>(1+'Rescale to Fit GDP Proj'!X127)/(1+'Rescale to Fit GDP Proj'!$D$127)-1</f>
        <v/>
      </c>
      <c r="X8">
        <f>(1+'Rescale to Fit GDP Proj'!Y127)/(1+'Rescale to Fit GDP Proj'!$D$127)-1</f>
        <v/>
      </c>
      <c r="Y8">
        <f>(1+'Rescale to Fit GDP Proj'!Z127)/(1+'Rescale to Fit GDP Proj'!$D$127)-1</f>
        <v/>
      </c>
      <c r="Z8">
        <f>(1+'Rescale to Fit GDP Proj'!AA127)/(1+'Rescale to Fit GDP Proj'!$D$127)-1</f>
        <v/>
      </c>
      <c r="AA8">
        <f>(1+'Rescale to Fit GDP Proj'!AB127)/(1+'Rescale to Fit GDP Proj'!$D$127)-1</f>
        <v/>
      </c>
      <c r="AB8">
        <f>(1+'Rescale to Fit GDP Proj'!AC127)/(1+'Rescale to Fit GDP Proj'!$D$127)-1</f>
        <v/>
      </c>
    </row>
    <row r="9">
      <c r="A9" t="inlineStr">
        <is>
          <t>ISIC 09</t>
        </is>
      </c>
      <c r="B9">
        <f>(1+'Rescale to Fit GDP Proj'!C128)/(1+'Rescale to Fit GDP Proj'!$D$128)-1</f>
        <v/>
      </c>
      <c r="C9">
        <f>(1+'Rescale to Fit GDP Proj'!D128)/(1+'Rescale to Fit GDP Proj'!$D$128)-1</f>
        <v/>
      </c>
      <c r="D9">
        <f>(1+'Rescale to Fit GDP Proj'!E128)/(1+'Rescale to Fit GDP Proj'!$D$128)-1</f>
        <v/>
      </c>
      <c r="E9">
        <f>(1+'Rescale to Fit GDP Proj'!F128)/(1+'Rescale to Fit GDP Proj'!$D$128)-1</f>
        <v/>
      </c>
      <c r="F9">
        <f>(1+'Rescale to Fit GDP Proj'!G128)/(1+'Rescale to Fit GDP Proj'!$D$128)-1</f>
        <v/>
      </c>
      <c r="G9">
        <f>(1+'Rescale to Fit GDP Proj'!H128)/(1+'Rescale to Fit GDP Proj'!$D$128)-1</f>
        <v/>
      </c>
      <c r="H9">
        <f>(1+'Rescale to Fit GDP Proj'!I128)/(1+'Rescale to Fit GDP Proj'!$D$128)-1</f>
        <v/>
      </c>
      <c r="I9">
        <f>(1+'Rescale to Fit GDP Proj'!J128)/(1+'Rescale to Fit GDP Proj'!$D$128)-1</f>
        <v/>
      </c>
      <c r="J9">
        <f>(1+'Rescale to Fit GDP Proj'!K128)/(1+'Rescale to Fit GDP Proj'!$D$128)-1</f>
        <v/>
      </c>
      <c r="K9">
        <f>(1+'Rescale to Fit GDP Proj'!L128)/(1+'Rescale to Fit GDP Proj'!$D$128)-1</f>
        <v/>
      </c>
      <c r="L9">
        <f>(1+'Rescale to Fit GDP Proj'!M128)/(1+'Rescale to Fit GDP Proj'!$D$128)-1</f>
        <v/>
      </c>
      <c r="M9">
        <f>(1+'Rescale to Fit GDP Proj'!N128)/(1+'Rescale to Fit GDP Proj'!$D$128)-1</f>
        <v/>
      </c>
      <c r="N9">
        <f>(1+'Rescale to Fit GDP Proj'!O128)/(1+'Rescale to Fit GDP Proj'!$D$128)-1</f>
        <v/>
      </c>
      <c r="O9">
        <f>(1+'Rescale to Fit GDP Proj'!P128)/(1+'Rescale to Fit GDP Proj'!$D$128)-1</f>
        <v/>
      </c>
      <c r="P9">
        <f>(1+'Rescale to Fit GDP Proj'!Q128)/(1+'Rescale to Fit GDP Proj'!$D$128)-1</f>
        <v/>
      </c>
      <c r="Q9">
        <f>(1+'Rescale to Fit GDP Proj'!R128)/(1+'Rescale to Fit GDP Proj'!$D$128)-1</f>
        <v/>
      </c>
      <c r="R9">
        <f>(1+'Rescale to Fit GDP Proj'!S128)/(1+'Rescale to Fit GDP Proj'!$D$128)-1</f>
        <v/>
      </c>
      <c r="S9">
        <f>(1+'Rescale to Fit GDP Proj'!T128)/(1+'Rescale to Fit GDP Proj'!$D$128)-1</f>
        <v/>
      </c>
      <c r="T9">
        <f>(1+'Rescale to Fit GDP Proj'!U128)/(1+'Rescale to Fit GDP Proj'!$D$128)-1</f>
        <v/>
      </c>
      <c r="U9">
        <f>(1+'Rescale to Fit GDP Proj'!V128)/(1+'Rescale to Fit GDP Proj'!$D$128)-1</f>
        <v/>
      </c>
      <c r="V9">
        <f>(1+'Rescale to Fit GDP Proj'!W128)/(1+'Rescale to Fit GDP Proj'!$D$128)-1</f>
        <v/>
      </c>
      <c r="W9">
        <f>(1+'Rescale to Fit GDP Proj'!X128)/(1+'Rescale to Fit GDP Proj'!$D$128)-1</f>
        <v/>
      </c>
      <c r="X9">
        <f>(1+'Rescale to Fit GDP Proj'!Y128)/(1+'Rescale to Fit GDP Proj'!$D$128)-1</f>
        <v/>
      </c>
      <c r="Y9">
        <f>(1+'Rescale to Fit GDP Proj'!Z128)/(1+'Rescale to Fit GDP Proj'!$D$128)-1</f>
        <v/>
      </c>
      <c r="Z9">
        <f>(1+'Rescale to Fit GDP Proj'!AA128)/(1+'Rescale to Fit GDP Proj'!$D$128)-1</f>
        <v/>
      </c>
      <c r="AA9">
        <f>(1+'Rescale to Fit GDP Proj'!AB128)/(1+'Rescale to Fit GDP Proj'!$D$128)-1</f>
        <v/>
      </c>
      <c r="AB9">
        <f>(1+'Rescale to Fit GDP Proj'!AC128)/(1+'Rescale to Fit GDP Proj'!$D$128)-1</f>
        <v/>
      </c>
    </row>
    <row r="10">
      <c r="A10" t="inlineStr">
        <is>
          <t>ISIC 10T12</t>
        </is>
      </c>
      <c r="B10">
        <f>(1+'Rescale to Fit GDP Proj'!C129)/(1+'Rescale to Fit GDP Proj'!$D$129)-1</f>
        <v/>
      </c>
      <c r="C10">
        <f>(1+'Rescale to Fit GDP Proj'!D129)/(1+'Rescale to Fit GDP Proj'!$D$129)-1</f>
        <v/>
      </c>
      <c r="D10">
        <f>(1+'Rescale to Fit GDP Proj'!E129)/(1+'Rescale to Fit GDP Proj'!$D$129)-1</f>
        <v/>
      </c>
      <c r="E10">
        <f>(1+'Rescale to Fit GDP Proj'!F129)/(1+'Rescale to Fit GDP Proj'!$D$129)-1</f>
        <v/>
      </c>
      <c r="F10">
        <f>(1+'Rescale to Fit GDP Proj'!G129)/(1+'Rescale to Fit GDP Proj'!$D$129)-1</f>
        <v/>
      </c>
      <c r="G10">
        <f>(1+'Rescale to Fit GDP Proj'!H129)/(1+'Rescale to Fit GDP Proj'!$D$129)-1</f>
        <v/>
      </c>
      <c r="H10">
        <f>(1+'Rescale to Fit GDP Proj'!I129)/(1+'Rescale to Fit GDP Proj'!$D$129)-1</f>
        <v/>
      </c>
      <c r="I10">
        <f>(1+'Rescale to Fit GDP Proj'!J129)/(1+'Rescale to Fit GDP Proj'!$D$129)-1</f>
        <v/>
      </c>
      <c r="J10">
        <f>(1+'Rescale to Fit GDP Proj'!K129)/(1+'Rescale to Fit GDP Proj'!$D$129)-1</f>
        <v/>
      </c>
      <c r="K10">
        <f>(1+'Rescale to Fit GDP Proj'!L129)/(1+'Rescale to Fit GDP Proj'!$D$129)-1</f>
        <v/>
      </c>
      <c r="L10">
        <f>(1+'Rescale to Fit GDP Proj'!M129)/(1+'Rescale to Fit GDP Proj'!$D$129)-1</f>
        <v/>
      </c>
      <c r="M10">
        <f>(1+'Rescale to Fit GDP Proj'!N129)/(1+'Rescale to Fit GDP Proj'!$D$129)-1</f>
        <v/>
      </c>
      <c r="N10">
        <f>(1+'Rescale to Fit GDP Proj'!O129)/(1+'Rescale to Fit GDP Proj'!$D$129)-1</f>
        <v/>
      </c>
      <c r="O10">
        <f>(1+'Rescale to Fit GDP Proj'!P129)/(1+'Rescale to Fit GDP Proj'!$D$129)-1</f>
        <v/>
      </c>
      <c r="P10">
        <f>(1+'Rescale to Fit GDP Proj'!Q129)/(1+'Rescale to Fit GDP Proj'!$D$129)-1</f>
        <v/>
      </c>
      <c r="Q10">
        <f>(1+'Rescale to Fit GDP Proj'!R129)/(1+'Rescale to Fit GDP Proj'!$D$129)-1</f>
        <v/>
      </c>
      <c r="R10">
        <f>(1+'Rescale to Fit GDP Proj'!S129)/(1+'Rescale to Fit GDP Proj'!$D$129)-1</f>
        <v/>
      </c>
      <c r="S10">
        <f>(1+'Rescale to Fit GDP Proj'!T129)/(1+'Rescale to Fit GDP Proj'!$D$129)-1</f>
        <v/>
      </c>
      <c r="T10">
        <f>(1+'Rescale to Fit GDP Proj'!U129)/(1+'Rescale to Fit GDP Proj'!$D$129)-1</f>
        <v/>
      </c>
      <c r="U10">
        <f>(1+'Rescale to Fit GDP Proj'!V129)/(1+'Rescale to Fit GDP Proj'!$D$129)-1</f>
        <v/>
      </c>
      <c r="V10">
        <f>(1+'Rescale to Fit GDP Proj'!W129)/(1+'Rescale to Fit GDP Proj'!$D$129)-1</f>
        <v/>
      </c>
      <c r="W10">
        <f>(1+'Rescale to Fit GDP Proj'!X129)/(1+'Rescale to Fit GDP Proj'!$D$129)-1</f>
        <v/>
      </c>
      <c r="X10">
        <f>(1+'Rescale to Fit GDP Proj'!Y129)/(1+'Rescale to Fit GDP Proj'!$D$129)-1</f>
        <v/>
      </c>
      <c r="Y10">
        <f>(1+'Rescale to Fit GDP Proj'!Z129)/(1+'Rescale to Fit GDP Proj'!$D$129)-1</f>
        <v/>
      </c>
      <c r="Z10">
        <f>(1+'Rescale to Fit GDP Proj'!AA129)/(1+'Rescale to Fit GDP Proj'!$D$129)-1</f>
        <v/>
      </c>
      <c r="AA10">
        <f>(1+'Rescale to Fit GDP Proj'!AB129)/(1+'Rescale to Fit GDP Proj'!$D$129)-1</f>
        <v/>
      </c>
      <c r="AB10">
        <f>(1+'Rescale to Fit GDP Proj'!AC129)/(1+'Rescale to Fit GDP Proj'!$D$129)-1</f>
        <v/>
      </c>
    </row>
    <row r="11">
      <c r="A11" t="inlineStr">
        <is>
          <t>ISIC 13T15</t>
        </is>
      </c>
      <c r="B11">
        <f>(1+'Rescale to Fit GDP Proj'!C130)/(1+'Rescale to Fit GDP Proj'!$D$130)-1</f>
        <v/>
      </c>
      <c r="C11">
        <f>(1+'Rescale to Fit GDP Proj'!D130)/(1+'Rescale to Fit GDP Proj'!$D$130)-1</f>
        <v/>
      </c>
      <c r="D11">
        <f>(1+'Rescale to Fit GDP Proj'!E130)/(1+'Rescale to Fit GDP Proj'!$D$130)-1</f>
        <v/>
      </c>
      <c r="E11">
        <f>(1+'Rescale to Fit GDP Proj'!F130)/(1+'Rescale to Fit GDP Proj'!$D$130)-1</f>
        <v/>
      </c>
      <c r="F11">
        <f>(1+'Rescale to Fit GDP Proj'!G130)/(1+'Rescale to Fit GDP Proj'!$D$130)-1</f>
        <v/>
      </c>
      <c r="G11">
        <f>(1+'Rescale to Fit GDP Proj'!H130)/(1+'Rescale to Fit GDP Proj'!$D$130)-1</f>
        <v/>
      </c>
      <c r="H11">
        <f>(1+'Rescale to Fit GDP Proj'!I130)/(1+'Rescale to Fit GDP Proj'!$D$130)-1</f>
        <v/>
      </c>
      <c r="I11">
        <f>(1+'Rescale to Fit GDP Proj'!J130)/(1+'Rescale to Fit GDP Proj'!$D$130)-1</f>
        <v/>
      </c>
      <c r="J11">
        <f>(1+'Rescale to Fit GDP Proj'!K130)/(1+'Rescale to Fit GDP Proj'!$D$130)-1</f>
        <v/>
      </c>
      <c r="K11">
        <f>(1+'Rescale to Fit GDP Proj'!L130)/(1+'Rescale to Fit GDP Proj'!$D$130)-1</f>
        <v/>
      </c>
      <c r="L11">
        <f>(1+'Rescale to Fit GDP Proj'!M130)/(1+'Rescale to Fit GDP Proj'!$D$130)-1</f>
        <v/>
      </c>
      <c r="M11">
        <f>(1+'Rescale to Fit GDP Proj'!N130)/(1+'Rescale to Fit GDP Proj'!$D$130)-1</f>
        <v/>
      </c>
      <c r="N11">
        <f>(1+'Rescale to Fit GDP Proj'!O130)/(1+'Rescale to Fit GDP Proj'!$D$130)-1</f>
        <v/>
      </c>
      <c r="O11">
        <f>(1+'Rescale to Fit GDP Proj'!P130)/(1+'Rescale to Fit GDP Proj'!$D$130)-1</f>
        <v/>
      </c>
      <c r="P11">
        <f>(1+'Rescale to Fit GDP Proj'!Q130)/(1+'Rescale to Fit GDP Proj'!$D$130)-1</f>
        <v/>
      </c>
      <c r="Q11">
        <f>(1+'Rescale to Fit GDP Proj'!R130)/(1+'Rescale to Fit GDP Proj'!$D$130)-1</f>
        <v/>
      </c>
      <c r="R11">
        <f>(1+'Rescale to Fit GDP Proj'!S130)/(1+'Rescale to Fit GDP Proj'!$D$130)-1</f>
        <v/>
      </c>
      <c r="S11">
        <f>(1+'Rescale to Fit GDP Proj'!T130)/(1+'Rescale to Fit GDP Proj'!$D$130)-1</f>
        <v/>
      </c>
      <c r="T11">
        <f>(1+'Rescale to Fit GDP Proj'!U130)/(1+'Rescale to Fit GDP Proj'!$D$130)-1</f>
        <v/>
      </c>
      <c r="U11">
        <f>(1+'Rescale to Fit GDP Proj'!V130)/(1+'Rescale to Fit GDP Proj'!$D$130)-1</f>
        <v/>
      </c>
      <c r="V11">
        <f>(1+'Rescale to Fit GDP Proj'!W130)/(1+'Rescale to Fit GDP Proj'!$D$130)-1</f>
        <v/>
      </c>
      <c r="W11">
        <f>(1+'Rescale to Fit GDP Proj'!X130)/(1+'Rescale to Fit GDP Proj'!$D$130)-1</f>
        <v/>
      </c>
      <c r="X11">
        <f>(1+'Rescale to Fit GDP Proj'!Y130)/(1+'Rescale to Fit GDP Proj'!$D$130)-1</f>
        <v/>
      </c>
      <c r="Y11">
        <f>(1+'Rescale to Fit GDP Proj'!Z130)/(1+'Rescale to Fit GDP Proj'!$D$130)-1</f>
        <v/>
      </c>
      <c r="Z11">
        <f>(1+'Rescale to Fit GDP Proj'!AA130)/(1+'Rescale to Fit GDP Proj'!$D$130)-1</f>
        <v/>
      </c>
      <c r="AA11">
        <f>(1+'Rescale to Fit GDP Proj'!AB130)/(1+'Rescale to Fit GDP Proj'!$D$130)-1</f>
        <v/>
      </c>
      <c r="AB11">
        <f>(1+'Rescale to Fit GDP Proj'!AC130)/(1+'Rescale to Fit GDP Proj'!$D$130)-1</f>
        <v/>
      </c>
    </row>
    <row r="12">
      <c r="A12" t="inlineStr">
        <is>
          <t>ISIC 16</t>
        </is>
      </c>
      <c r="B12">
        <f>(1+'Rescale to Fit GDP Proj'!C131)/(1+'Rescale to Fit GDP Proj'!$D$131)-1</f>
        <v/>
      </c>
      <c r="C12">
        <f>(1+'Rescale to Fit GDP Proj'!D131)/(1+'Rescale to Fit GDP Proj'!$D$131)-1</f>
        <v/>
      </c>
      <c r="D12">
        <f>(1+'Rescale to Fit GDP Proj'!E131)/(1+'Rescale to Fit GDP Proj'!$D$131)-1</f>
        <v/>
      </c>
      <c r="E12">
        <f>(1+'Rescale to Fit GDP Proj'!F131)/(1+'Rescale to Fit GDP Proj'!$D$131)-1</f>
        <v/>
      </c>
      <c r="F12">
        <f>(1+'Rescale to Fit GDP Proj'!G131)/(1+'Rescale to Fit GDP Proj'!$D$131)-1</f>
        <v/>
      </c>
      <c r="G12">
        <f>(1+'Rescale to Fit GDP Proj'!H131)/(1+'Rescale to Fit GDP Proj'!$D$131)-1</f>
        <v/>
      </c>
      <c r="H12">
        <f>(1+'Rescale to Fit GDP Proj'!I131)/(1+'Rescale to Fit GDP Proj'!$D$131)-1</f>
        <v/>
      </c>
      <c r="I12">
        <f>(1+'Rescale to Fit GDP Proj'!J131)/(1+'Rescale to Fit GDP Proj'!$D$131)-1</f>
        <v/>
      </c>
      <c r="J12">
        <f>(1+'Rescale to Fit GDP Proj'!K131)/(1+'Rescale to Fit GDP Proj'!$D$131)-1</f>
        <v/>
      </c>
      <c r="K12">
        <f>(1+'Rescale to Fit GDP Proj'!L131)/(1+'Rescale to Fit GDP Proj'!$D$131)-1</f>
        <v/>
      </c>
      <c r="L12">
        <f>(1+'Rescale to Fit GDP Proj'!M131)/(1+'Rescale to Fit GDP Proj'!$D$131)-1</f>
        <v/>
      </c>
      <c r="M12">
        <f>(1+'Rescale to Fit GDP Proj'!N131)/(1+'Rescale to Fit GDP Proj'!$D$131)-1</f>
        <v/>
      </c>
      <c r="N12">
        <f>(1+'Rescale to Fit GDP Proj'!O131)/(1+'Rescale to Fit GDP Proj'!$D$131)-1</f>
        <v/>
      </c>
      <c r="O12">
        <f>(1+'Rescale to Fit GDP Proj'!P131)/(1+'Rescale to Fit GDP Proj'!$D$131)-1</f>
        <v/>
      </c>
      <c r="P12">
        <f>(1+'Rescale to Fit GDP Proj'!Q131)/(1+'Rescale to Fit GDP Proj'!$D$131)-1</f>
        <v/>
      </c>
      <c r="Q12">
        <f>(1+'Rescale to Fit GDP Proj'!R131)/(1+'Rescale to Fit GDP Proj'!$D$131)-1</f>
        <v/>
      </c>
      <c r="R12">
        <f>(1+'Rescale to Fit GDP Proj'!S131)/(1+'Rescale to Fit GDP Proj'!$D$131)-1</f>
        <v/>
      </c>
      <c r="S12">
        <f>(1+'Rescale to Fit GDP Proj'!T131)/(1+'Rescale to Fit GDP Proj'!$D$131)-1</f>
        <v/>
      </c>
      <c r="T12">
        <f>(1+'Rescale to Fit GDP Proj'!U131)/(1+'Rescale to Fit GDP Proj'!$D$131)-1</f>
        <v/>
      </c>
      <c r="U12">
        <f>(1+'Rescale to Fit GDP Proj'!V131)/(1+'Rescale to Fit GDP Proj'!$D$131)-1</f>
        <v/>
      </c>
      <c r="V12">
        <f>(1+'Rescale to Fit GDP Proj'!W131)/(1+'Rescale to Fit GDP Proj'!$D$131)-1</f>
        <v/>
      </c>
      <c r="W12">
        <f>(1+'Rescale to Fit GDP Proj'!X131)/(1+'Rescale to Fit GDP Proj'!$D$131)-1</f>
        <v/>
      </c>
      <c r="X12">
        <f>(1+'Rescale to Fit GDP Proj'!Y131)/(1+'Rescale to Fit GDP Proj'!$D$131)-1</f>
        <v/>
      </c>
      <c r="Y12">
        <f>(1+'Rescale to Fit GDP Proj'!Z131)/(1+'Rescale to Fit GDP Proj'!$D$131)-1</f>
        <v/>
      </c>
      <c r="Z12">
        <f>(1+'Rescale to Fit GDP Proj'!AA131)/(1+'Rescale to Fit GDP Proj'!$D$131)-1</f>
        <v/>
      </c>
      <c r="AA12">
        <f>(1+'Rescale to Fit GDP Proj'!AB131)/(1+'Rescale to Fit GDP Proj'!$D$131)-1</f>
        <v/>
      </c>
      <c r="AB12">
        <f>(1+'Rescale to Fit GDP Proj'!AC131)/(1+'Rescale to Fit GDP Proj'!$D$131)-1</f>
        <v/>
      </c>
    </row>
    <row r="13">
      <c r="A13" t="inlineStr">
        <is>
          <t>ISIC 17T18</t>
        </is>
      </c>
      <c r="B13">
        <f>(1+'Rescale to Fit GDP Proj'!C132)/(1+'Rescale to Fit GDP Proj'!$D$132)-1</f>
        <v/>
      </c>
      <c r="C13">
        <f>(1+'Rescale to Fit GDP Proj'!D132)/(1+'Rescale to Fit GDP Proj'!$D$132)-1</f>
        <v/>
      </c>
      <c r="D13">
        <f>(1+'Rescale to Fit GDP Proj'!E132)/(1+'Rescale to Fit GDP Proj'!$D$132)-1</f>
        <v/>
      </c>
      <c r="E13">
        <f>(1+'Rescale to Fit GDP Proj'!F132)/(1+'Rescale to Fit GDP Proj'!$D$132)-1</f>
        <v/>
      </c>
      <c r="F13">
        <f>(1+'Rescale to Fit GDP Proj'!G132)/(1+'Rescale to Fit GDP Proj'!$D$132)-1</f>
        <v/>
      </c>
      <c r="G13">
        <f>(1+'Rescale to Fit GDP Proj'!H132)/(1+'Rescale to Fit GDP Proj'!$D$132)-1</f>
        <v/>
      </c>
      <c r="H13">
        <f>(1+'Rescale to Fit GDP Proj'!I132)/(1+'Rescale to Fit GDP Proj'!$D$132)-1</f>
        <v/>
      </c>
      <c r="I13">
        <f>(1+'Rescale to Fit GDP Proj'!J132)/(1+'Rescale to Fit GDP Proj'!$D$132)-1</f>
        <v/>
      </c>
      <c r="J13">
        <f>(1+'Rescale to Fit GDP Proj'!K132)/(1+'Rescale to Fit GDP Proj'!$D$132)-1</f>
        <v/>
      </c>
      <c r="K13">
        <f>(1+'Rescale to Fit GDP Proj'!L132)/(1+'Rescale to Fit GDP Proj'!$D$132)-1</f>
        <v/>
      </c>
      <c r="L13">
        <f>(1+'Rescale to Fit GDP Proj'!M132)/(1+'Rescale to Fit GDP Proj'!$D$132)-1</f>
        <v/>
      </c>
      <c r="M13">
        <f>(1+'Rescale to Fit GDP Proj'!N132)/(1+'Rescale to Fit GDP Proj'!$D$132)-1</f>
        <v/>
      </c>
      <c r="N13">
        <f>(1+'Rescale to Fit GDP Proj'!O132)/(1+'Rescale to Fit GDP Proj'!$D$132)-1</f>
        <v/>
      </c>
      <c r="O13">
        <f>(1+'Rescale to Fit GDP Proj'!P132)/(1+'Rescale to Fit GDP Proj'!$D$132)-1</f>
        <v/>
      </c>
      <c r="P13">
        <f>(1+'Rescale to Fit GDP Proj'!Q132)/(1+'Rescale to Fit GDP Proj'!$D$132)-1</f>
        <v/>
      </c>
      <c r="Q13">
        <f>(1+'Rescale to Fit GDP Proj'!R132)/(1+'Rescale to Fit GDP Proj'!$D$132)-1</f>
        <v/>
      </c>
      <c r="R13">
        <f>(1+'Rescale to Fit GDP Proj'!S132)/(1+'Rescale to Fit GDP Proj'!$D$132)-1</f>
        <v/>
      </c>
      <c r="S13">
        <f>(1+'Rescale to Fit GDP Proj'!T132)/(1+'Rescale to Fit GDP Proj'!$D$132)-1</f>
        <v/>
      </c>
      <c r="T13">
        <f>(1+'Rescale to Fit GDP Proj'!U132)/(1+'Rescale to Fit GDP Proj'!$D$132)-1</f>
        <v/>
      </c>
      <c r="U13">
        <f>(1+'Rescale to Fit GDP Proj'!V132)/(1+'Rescale to Fit GDP Proj'!$D$132)-1</f>
        <v/>
      </c>
      <c r="V13">
        <f>(1+'Rescale to Fit GDP Proj'!W132)/(1+'Rescale to Fit GDP Proj'!$D$132)-1</f>
        <v/>
      </c>
      <c r="W13">
        <f>(1+'Rescale to Fit GDP Proj'!X132)/(1+'Rescale to Fit GDP Proj'!$D$132)-1</f>
        <v/>
      </c>
      <c r="X13">
        <f>(1+'Rescale to Fit GDP Proj'!Y132)/(1+'Rescale to Fit GDP Proj'!$D$132)-1</f>
        <v/>
      </c>
      <c r="Y13">
        <f>(1+'Rescale to Fit GDP Proj'!Z132)/(1+'Rescale to Fit GDP Proj'!$D$132)-1</f>
        <v/>
      </c>
      <c r="Z13">
        <f>(1+'Rescale to Fit GDP Proj'!AA132)/(1+'Rescale to Fit GDP Proj'!$D$132)-1</f>
        <v/>
      </c>
      <c r="AA13">
        <f>(1+'Rescale to Fit GDP Proj'!AB132)/(1+'Rescale to Fit GDP Proj'!$D$132)-1</f>
        <v/>
      </c>
      <c r="AB13">
        <f>(1+'Rescale to Fit GDP Proj'!AC132)/(1+'Rescale to Fit GDP Proj'!$D$132)-1</f>
        <v/>
      </c>
    </row>
    <row r="14">
      <c r="A14" t="inlineStr">
        <is>
          <t>ISIC 19</t>
        </is>
      </c>
      <c r="B14">
        <f>(1+'Rescale to Fit GDP Proj'!C133)/(1+'Rescale to Fit GDP Proj'!$D$133)-1</f>
        <v/>
      </c>
      <c r="C14">
        <f>(1+'Rescale to Fit GDP Proj'!D133)/(1+'Rescale to Fit GDP Proj'!$D$133)-1</f>
        <v/>
      </c>
      <c r="D14">
        <f>(1+'Rescale to Fit GDP Proj'!E133)/(1+'Rescale to Fit GDP Proj'!$D$133)-1</f>
        <v/>
      </c>
      <c r="E14">
        <f>(1+'Rescale to Fit GDP Proj'!F133)/(1+'Rescale to Fit GDP Proj'!$D$133)-1</f>
        <v/>
      </c>
      <c r="F14">
        <f>(1+'Rescale to Fit GDP Proj'!G133)/(1+'Rescale to Fit GDP Proj'!$D$133)-1</f>
        <v/>
      </c>
      <c r="G14">
        <f>(1+'Rescale to Fit GDP Proj'!H133)/(1+'Rescale to Fit GDP Proj'!$D$133)-1</f>
        <v/>
      </c>
      <c r="H14">
        <f>(1+'Rescale to Fit GDP Proj'!I133)/(1+'Rescale to Fit GDP Proj'!$D$133)-1</f>
        <v/>
      </c>
      <c r="I14">
        <f>(1+'Rescale to Fit GDP Proj'!J133)/(1+'Rescale to Fit GDP Proj'!$D$133)-1</f>
        <v/>
      </c>
      <c r="J14">
        <f>(1+'Rescale to Fit GDP Proj'!K133)/(1+'Rescale to Fit GDP Proj'!$D$133)-1</f>
        <v/>
      </c>
      <c r="K14">
        <f>(1+'Rescale to Fit GDP Proj'!L133)/(1+'Rescale to Fit GDP Proj'!$D$133)-1</f>
        <v/>
      </c>
      <c r="L14">
        <f>(1+'Rescale to Fit GDP Proj'!M133)/(1+'Rescale to Fit GDP Proj'!$D$133)-1</f>
        <v/>
      </c>
      <c r="M14">
        <f>(1+'Rescale to Fit GDP Proj'!N133)/(1+'Rescale to Fit GDP Proj'!$D$133)-1</f>
        <v/>
      </c>
      <c r="N14">
        <f>(1+'Rescale to Fit GDP Proj'!O133)/(1+'Rescale to Fit GDP Proj'!$D$133)-1</f>
        <v/>
      </c>
      <c r="O14">
        <f>(1+'Rescale to Fit GDP Proj'!P133)/(1+'Rescale to Fit GDP Proj'!$D$133)-1</f>
        <v/>
      </c>
      <c r="P14">
        <f>(1+'Rescale to Fit GDP Proj'!Q133)/(1+'Rescale to Fit GDP Proj'!$D$133)-1</f>
        <v/>
      </c>
      <c r="Q14">
        <f>(1+'Rescale to Fit GDP Proj'!R133)/(1+'Rescale to Fit GDP Proj'!$D$133)-1</f>
        <v/>
      </c>
      <c r="R14">
        <f>(1+'Rescale to Fit GDP Proj'!S133)/(1+'Rescale to Fit GDP Proj'!$D$133)-1</f>
        <v/>
      </c>
      <c r="S14">
        <f>(1+'Rescale to Fit GDP Proj'!T133)/(1+'Rescale to Fit GDP Proj'!$D$133)-1</f>
        <v/>
      </c>
      <c r="T14">
        <f>(1+'Rescale to Fit GDP Proj'!U133)/(1+'Rescale to Fit GDP Proj'!$D$133)-1</f>
        <v/>
      </c>
      <c r="U14">
        <f>(1+'Rescale to Fit GDP Proj'!V133)/(1+'Rescale to Fit GDP Proj'!$D$133)-1</f>
        <v/>
      </c>
      <c r="V14">
        <f>(1+'Rescale to Fit GDP Proj'!W133)/(1+'Rescale to Fit GDP Proj'!$D$133)-1</f>
        <v/>
      </c>
      <c r="W14">
        <f>(1+'Rescale to Fit GDP Proj'!X133)/(1+'Rescale to Fit GDP Proj'!$D$133)-1</f>
        <v/>
      </c>
      <c r="X14">
        <f>(1+'Rescale to Fit GDP Proj'!Y133)/(1+'Rescale to Fit GDP Proj'!$D$133)-1</f>
        <v/>
      </c>
      <c r="Y14">
        <f>(1+'Rescale to Fit GDP Proj'!Z133)/(1+'Rescale to Fit GDP Proj'!$D$133)-1</f>
        <v/>
      </c>
      <c r="Z14">
        <f>(1+'Rescale to Fit GDP Proj'!AA133)/(1+'Rescale to Fit GDP Proj'!$D$133)-1</f>
        <v/>
      </c>
      <c r="AA14">
        <f>(1+'Rescale to Fit GDP Proj'!AB133)/(1+'Rescale to Fit GDP Proj'!$D$133)-1</f>
        <v/>
      </c>
      <c r="AB14">
        <f>(1+'Rescale to Fit GDP Proj'!AC133)/(1+'Rescale to Fit GDP Proj'!$D$133)-1</f>
        <v/>
      </c>
    </row>
    <row r="15">
      <c r="A15" t="inlineStr">
        <is>
          <t>ISIC 20</t>
        </is>
      </c>
      <c r="B15">
        <f>(1+'Rescale to Fit GDP Proj'!C134)/(1+'Rescale to Fit GDP Proj'!$D$134)-1</f>
        <v/>
      </c>
      <c r="C15">
        <f>(1+'Rescale to Fit GDP Proj'!D134)/(1+'Rescale to Fit GDP Proj'!$D$134)-1</f>
        <v/>
      </c>
      <c r="D15">
        <f>(1+'Rescale to Fit GDP Proj'!E134)/(1+'Rescale to Fit GDP Proj'!$D$134)-1</f>
        <v/>
      </c>
      <c r="E15">
        <f>(1+'Rescale to Fit GDP Proj'!F134)/(1+'Rescale to Fit GDP Proj'!$D$134)-1</f>
        <v/>
      </c>
      <c r="F15">
        <f>(1+'Rescale to Fit GDP Proj'!G134)/(1+'Rescale to Fit GDP Proj'!$D$134)-1</f>
        <v/>
      </c>
      <c r="G15">
        <f>(1+'Rescale to Fit GDP Proj'!H134)/(1+'Rescale to Fit GDP Proj'!$D$134)-1</f>
        <v/>
      </c>
      <c r="H15">
        <f>(1+'Rescale to Fit GDP Proj'!I134)/(1+'Rescale to Fit GDP Proj'!$D$134)-1</f>
        <v/>
      </c>
      <c r="I15">
        <f>(1+'Rescale to Fit GDP Proj'!J134)/(1+'Rescale to Fit GDP Proj'!$D$134)-1</f>
        <v/>
      </c>
      <c r="J15">
        <f>(1+'Rescale to Fit GDP Proj'!K134)/(1+'Rescale to Fit GDP Proj'!$D$134)-1</f>
        <v/>
      </c>
      <c r="K15">
        <f>(1+'Rescale to Fit GDP Proj'!L134)/(1+'Rescale to Fit GDP Proj'!$D$134)-1</f>
        <v/>
      </c>
      <c r="L15">
        <f>(1+'Rescale to Fit GDP Proj'!M134)/(1+'Rescale to Fit GDP Proj'!$D$134)-1</f>
        <v/>
      </c>
      <c r="M15">
        <f>(1+'Rescale to Fit GDP Proj'!N134)/(1+'Rescale to Fit GDP Proj'!$D$134)-1</f>
        <v/>
      </c>
      <c r="N15">
        <f>(1+'Rescale to Fit GDP Proj'!O134)/(1+'Rescale to Fit GDP Proj'!$D$134)-1</f>
        <v/>
      </c>
      <c r="O15">
        <f>(1+'Rescale to Fit GDP Proj'!P134)/(1+'Rescale to Fit GDP Proj'!$D$134)-1</f>
        <v/>
      </c>
      <c r="P15">
        <f>(1+'Rescale to Fit GDP Proj'!Q134)/(1+'Rescale to Fit GDP Proj'!$D$134)-1</f>
        <v/>
      </c>
      <c r="Q15">
        <f>(1+'Rescale to Fit GDP Proj'!R134)/(1+'Rescale to Fit GDP Proj'!$D$134)-1</f>
        <v/>
      </c>
      <c r="R15">
        <f>(1+'Rescale to Fit GDP Proj'!S134)/(1+'Rescale to Fit GDP Proj'!$D$134)-1</f>
        <v/>
      </c>
      <c r="S15">
        <f>(1+'Rescale to Fit GDP Proj'!T134)/(1+'Rescale to Fit GDP Proj'!$D$134)-1</f>
        <v/>
      </c>
      <c r="T15">
        <f>(1+'Rescale to Fit GDP Proj'!U134)/(1+'Rescale to Fit GDP Proj'!$D$134)-1</f>
        <v/>
      </c>
      <c r="U15">
        <f>(1+'Rescale to Fit GDP Proj'!V134)/(1+'Rescale to Fit GDP Proj'!$D$134)-1</f>
        <v/>
      </c>
      <c r="V15">
        <f>(1+'Rescale to Fit GDP Proj'!W134)/(1+'Rescale to Fit GDP Proj'!$D$134)-1</f>
        <v/>
      </c>
      <c r="W15">
        <f>(1+'Rescale to Fit GDP Proj'!X134)/(1+'Rescale to Fit GDP Proj'!$D$134)-1</f>
        <v/>
      </c>
      <c r="X15">
        <f>(1+'Rescale to Fit GDP Proj'!Y134)/(1+'Rescale to Fit GDP Proj'!$D$134)-1</f>
        <v/>
      </c>
      <c r="Y15">
        <f>(1+'Rescale to Fit GDP Proj'!Z134)/(1+'Rescale to Fit GDP Proj'!$D$134)-1</f>
        <v/>
      </c>
      <c r="Z15">
        <f>(1+'Rescale to Fit GDP Proj'!AA134)/(1+'Rescale to Fit GDP Proj'!$D$134)-1</f>
        <v/>
      </c>
      <c r="AA15">
        <f>(1+'Rescale to Fit GDP Proj'!AB134)/(1+'Rescale to Fit GDP Proj'!$D$134)-1</f>
        <v/>
      </c>
      <c r="AB15">
        <f>(1+'Rescale to Fit GDP Proj'!AC134)/(1+'Rescale to Fit GDP Proj'!$D$134)-1</f>
        <v/>
      </c>
    </row>
    <row r="16">
      <c r="A16" t="inlineStr">
        <is>
          <t>ISIC 21</t>
        </is>
      </c>
      <c r="B16">
        <f>(1+'Rescale to Fit GDP Proj'!C135)/(1+'Rescale to Fit GDP Proj'!$D$135)-1</f>
        <v/>
      </c>
      <c r="C16">
        <f>(1+'Rescale to Fit GDP Proj'!D135)/(1+'Rescale to Fit GDP Proj'!$D$135)-1</f>
        <v/>
      </c>
      <c r="D16">
        <f>(1+'Rescale to Fit GDP Proj'!E135)/(1+'Rescale to Fit GDP Proj'!$D$135)-1</f>
        <v/>
      </c>
      <c r="E16">
        <f>(1+'Rescale to Fit GDP Proj'!F135)/(1+'Rescale to Fit GDP Proj'!$D$135)-1</f>
        <v/>
      </c>
      <c r="F16">
        <f>(1+'Rescale to Fit GDP Proj'!G135)/(1+'Rescale to Fit GDP Proj'!$D$135)-1</f>
        <v/>
      </c>
      <c r="G16">
        <f>(1+'Rescale to Fit GDP Proj'!H135)/(1+'Rescale to Fit GDP Proj'!$D$135)-1</f>
        <v/>
      </c>
      <c r="H16">
        <f>(1+'Rescale to Fit GDP Proj'!I135)/(1+'Rescale to Fit GDP Proj'!$D$135)-1</f>
        <v/>
      </c>
      <c r="I16">
        <f>(1+'Rescale to Fit GDP Proj'!J135)/(1+'Rescale to Fit GDP Proj'!$D$135)-1</f>
        <v/>
      </c>
      <c r="J16">
        <f>(1+'Rescale to Fit GDP Proj'!K135)/(1+'Rescale to Fit GDP Proj'!$D$135)-1</f>
        <v/>
      </c>
      <c r="K16">
        <f>(1+'Rescale to Fit GDP Proj'!L135)/(1+'Rescale to Fit GDP Proj'!$D$135)-1</f>
        <v/>
      </c>
      <c r="L16">
        <f>(1+'Rescale to Fit GDP Proj'!M135)/(1+'Rescale to Fit GDP Proj'!$D$135)-1</f>
        <v/>
      </c>
      <c r="M16">
        <f>(1+'Rescale to Fit GDP Proj'!N135)/(1+'Rescale to Fit GDP Proj'!$D$135)-1</f>
        <v/>
      </c>
      <c r="N16">
        <f>(1+'Rescale to Fit GDP Proj'!O135)/(1+'Rescale to Fit GDP Proj'!$D$135)-1</f>
        <v/>
      </c>
      <c r="O16">
        <f>(1+'Rescale to Fit GDP Proj'!P135)/(1+'Rescale to Fit GDP Proj'!$D$135)-1</f>
        <v/>
      </c>
      <c r="P16">
        <f>(1+'Rescale to Fit GDP Proj'!Q135)/(1+'Rescale to Fit GDP Proj'!$D$135)-1</f>
        <v/>
      </c>
      <c r="Q16">
        <f>(1+'Rescale to Fit GDP Proj'!R135)/(1+'Rescale to Fit GDP Proj'!$D$135)-1</f>
        <v/>
      </c>
      <c r="R16">
        <f>(1+'Rescale to Fit GDP Proj'!S135)/(1+'Rescale to Fit GDP Proj'!$D$135)-1</f>
        <v/>
      </c>
      <c r="S16">
        <f>(1+'Rescale to Fit GDP Proj'!T135)/(1+'Rescale to Fit GDP Proj'!$D$135)-1</f>
        <v/>
      </c>
      <c r="T16">
        <f>(1+'Rescale to Fit GDP Proj'!U135)/(1+'Rescale to Fit GDP Proj'!$D$135)-1</f>
        <v/>
      </c>
      <c r="U16">
        <f>(1+'Rescale to Fit GDP Proj'!V135)/(1+'Rescale to Fit GDP Proj'!$D$135)-1</f>
        <v/>
      </c>
      <c r="V16">
        <f>(1+'Rescale to Fit GDP Proj'!W135)/(1+'Rescale to Fit GDP Proj'!$D$135)-1</f>
        <v/>
      </c>
      <c r="W16">
        <f>(1+'Rescale to Fit GDP Proj'!X135)/(1+'Rescale to Fit GDP Proj'!$D$135)-1</f>
        <v/>
      </c>
      <c r="X16">
        <f>(1+'Rescale to Fit GDP Proj'!Y135)/(1+'Rescale to Fit GDP Proj'!$D$135)-1</f>
        <v/>
      </c>
      <c r="Y16">
        <f>(1+'Rescale to Fit GDP Proj'!Z135)/(1+'Rescale to Fit GDP Proj'!$D$135)-1</f>
        <v/>
      </c>
      <c r="Z16">
        <f>(1+'Rescale to Fit GDP Proj'!AA135)/(1+'Rescale to Fit GDP Proj'!$D$135)-1</f>
        <v/>
      </c>
      <c r="AA16">
        <f>(1+'Rescale to Fit GDP Proj'!AB135)/(1+'Rescale to Fit GDP Proj'!$D$135)-1</f>
        <v/>
      </c>
      <c r="AB16">
        <f>(1+'Rescale to Fit GDP Proj'!AC135)/(1+'Rescale to Fit GDP Proj'!$D$135)-1</f>
        <v/>
      </c>
    </row>
    <row r="17">
      <c r="A17" t="inlineStr">
        <is>
          <t>ISIC 22</t>
        </is>
      </c>
      <c r="B17">
        <f>(1+'Rescale to Fit GDP Proj'!C136)/(1+'Rescale to Fit GDP Proj'!$D$136)-1</f>
        <v/>
      </c>
      <c r="C17">
        <f>(1+'Rescale to Fit GDP Proj'!D136)/(1+'Rescale to Fit GDP Proj'!$D$136)-1</f>
        <v/>
      </c>
      <c r="D17">
        <f>(1+'Rescale to Fit GDP Proj'!E136)/(1+'Rescale to Fit GDP Proj'!$D$136)-1</f>
        <v/>
      </c>
      <c r="E17">
        <f>(1+'Rescale to Fit GDP Proj'!F136)/(1+'Rescale to Fit GDP Proj'!$D$136)-1</f>
        <v/>
      </c>
      <c r="F17">
        <f>(1+'Rescale to Fit GDP Proj'!G136)/(1+'Rescale to Fit GDP Proj'!$D$136)-1</f>
        <v/>
      </c>
      <c r="G17">
        <f>(1+'Rescale to Fit GDP Proj'!H136)/(1+'Rescale to Fit GDP Proj'!$D$136)-1</f>
        <v/>
      </c>
      <c r="H17">
        <f>(1+'Rescale to Fit GDP Proj'!I136)/(1+'Rescale to Fit GDP Proj'!$D$136)-1</f>
        <v/>
      </c>
      <c r="I17">
        <f>(1+'Rescale to Fit GDP Proj'!J136)/(1+'Rescale to Fit GDP Proj'!$D$136)-1</f>
        <v/>
      </c>
      <c r="J17">
        <f>(1+'Rescale to Fit GDP Proj'!K136)/(1+'Rescale to Fit GDP Proj'!$D$136)-1</f>
        <v/>
      </c>
      <c r="K17">
        <f>(1+'Rescale to Fit GDP Proj'!L136)/(1+'Rescale to Fit GDP Proj'!$D$136)-1</f>
        <v/>
      </c>
      <c r="L17">
        <f>(1+'Rescale to Fit GDP Proj'!M136)/(1+'Rescale to Fit GDP Proj'!$D$136)-1</f>
        <v/>
      </c>
      <c r="M17">
        <f>(1+'Rescale to Fit GDP Proj'!N136)/(1+'Rescale to Fit GDP Proj'!$D$136)-1</f>
        <v/>
      </c>
      <c r="N17">
        <f>(1+'Rescale to Fit GDP Proj'!O136)/(1+'Rescale to Fit GDP Proj'!$D$136)-1</f>
        <v/>
      </c>
      <c r="O17">
        <f>(1+'Rescale to Fit GDP Proj'!P136)/(1+'Rescale to Fit GDP Proj'!$D$136)-1</f>
        <v/>
      </c>
      <c r="P17">
        <f>(1+'Rescale to Fit GDP Proj'!Q136)/(1+'Rescale to Fit GDP Proj'!$D$136)-1</f>
        <v/>
      </c>
      <c r="Q17">
        <f>(1+'Rescale to Fit GDP Proj'!R136)/(1+'Rescale to Fit GDP Proj'!$D$136)-1</f>
        <v/>
      </c>
      <c r="R17">
        <f>(1+'Rescale to Fit GDP Proj'!S136)/(1+'Rescale to Fit GDP Proj'!$D$136)-1</f>
        <v/>
      </c>
      <c r="S17">
        <f>(1+'Rescale to Fit GDP Proj'!T136)/(1+'Rescale to Fit GDP Proj'!$D$136)-1</f>
        <v/>
      </c>
      <c r="T17">
        <f>(1+'Rescale to Fit GDP Proj'!U136)/(1+'Rescale to Fit GDP Proj'!$D$136)-1</f>
        <v/>
      </c>
      <c r="U17">
        <f>(1+'Rescale to Fit GDP Proj'!V136)/(1+'Rescale to Fit GDP Proj'!$D$136)-1</f>
        <v/>
      </c>
      <c r="V17">
        <f>(1+'Rescale to Fit GDP Proj'!W136)/(1+'Rescale to Fit GDP Proj'!$D$136)-1</f>
        <v/>
      </c>
      <c r="W17">
        <f>(1+'Rescale to Fit GDP Proj'!X136)/(1+'Rescale to Fit GDP Proj'!$D$136)-1</f>
        <v/>
      </c>
      <c r="X17">
        <f>(1+'Rescale to Fit GDP Proj'!Y136)/(1+'Rescale to Fit GDP Proj'!$D$136)-1</f>
        <v/>
      </c>
      <c r="Y17">
        <f>(1+'Rescale to Fit GDP Proj'!Z136)/(1+'Rescale to Fit GDP Proj'!$D$136)-1</f>
        <v/>
      </c>
      <c r="Z17">
        <f>(1+'Rescale to Fit GDP Proj'!AA136)/(1+'Rescale to Fit GDP Proj'!$D$136)-1</f>
        <v/>
      </c>
      <c r="AA17">
        <f>(1+'Rescale to Fit GDP Proj'!AB136)/(1+'Rescale to Fit GDP Proj'!$D$136)-1</f>
        <v/>
      </c>
      <c r="AB17">
        <f>(1+'Rescale to Fit GDP Proj'!AC136)/(1+'Rescale to Fit GDP Proj'!$D$136)-1</f>
        <v/>
      </c>
    </row>
    <row r="18">
      <c r="A18" t="inlineStr">
        <is>
          <t>ISIC 231</t>
        </is>
      </c>
      <c r="B18">
        <f>(1+'Rescale to Fit GDP Proj'!C137)/(1+'Rescale to Fit GDP Proj'!$D$137)-1</f>
        <v/>
      </c>
      <c r="C18">
        <f>(1+'Rescale to Fit GDP Proj'!D137)/(1+'Rescale to Fit GDP Proj'!$D$137)-1</f>
        <v/>
      </c>
      <c r="D18">
        <f>(1+'Rescale to Fit GDP Proj'!E137)/(1+'Rescale to Fit GDP Proj'!$D$137)-1</f>
        <v/>
      </c>
      <c r="E18">
        <f>(1+'Rescale to Fit GDP Proj'!F137)/(1+'Rescale to Fit GDP Proj'!$D$137)-1</f>
        <v/>
      </c>
      <c r="F18">
        <f>(1+'Rescale to Fit GDP Proj'!G137)/(1+'Rescale to Fit GDP Proj'!$D$137)-1</f>
        <v/>
      </c>
      <c r="G18">
        <f>(1+'Rescale to Fit GDP Proj'!H137)/(1+'Rescale to Fit GDP Proj'!$D$137)-1</f>
        <v/>
      </c>
      <c r="H18">
        <f>(1+'Rescale to Fit GDP Proj'!I137)/(1+'Rescale to Fit GDP Proj'!$D$137)-1</f>
        <v/>
      </c>
      <c r="I18">
        <f>(1+'Rescale to Fit GDP Proj'!J137)/(1+'Rescale to Fit GDP Proj'!$D$137)-1</f>
        <v/>
      </c>
      <c r="J18">
        <f>(1+'Rescale to Fit GDP Proj'!K137)/(1+'Rescale to Fit GDP Proj'!$D$137)-1</f>
        <v/>
      </c>
      <c r="K18">
        <f>(1+'Rescale to Fit GDP Proj'!L137)/(1+'Rescale to Fit GDP Proj'!$D$137)-1</f>
        <v/>
      </c>
      <c r="L18">
        <f>(1+'Rescale to Fit GDP Proj'!M137)/(1+'Rescale to Fit GDP Proj'!$D$137)-1</f>
        <v/>
      </c>
      <c r="M18">
        <f>(1+'Rescale to Fit GDP Proj'!N137)/(1+'Rescale to Fit GDP Proj'!$D$137)-1</f>
        <v/>
      </c>
      <c r="N18">
        <f>(1+'Rescale to Fit GDP Proj'!O137)/(1+'Rescale to Fit GDP Proj'!$D$137)-1</f>
        <v/>
      </c>
      <c r="O18">
        <f>(1+'Rescale to Fit GDP Proj'!P137)/(1+'Rescale to Fit GDP Proj'!$D$137)-1</f>
        <v/>
      </c>
      <c r="P18">
        <f>(1+'Rescale to Fit GDP Proj'!Q137)/(1+'Rescale to Fit GDP Proj'!$D$137)-1</f>
        <v/>
      </c>
      <c r="Q18">
        <f>(1+'Rescale to Fit GDP Proj'!R137)/(1+'Rescale to Fit GDP Proj'!$D$137)-1</f>
        <v/>
      </c>
      <c r="R18">
        <f>(1+'Rescale to Fit GDP Proj'!S137)/(1+'Rescale to Fit GDP Proj'!$D$137)-1</f>
        <v/>
      </c>
      <c r="S18">
        <f>(1+'Rescale to Fit GDP Proj'!T137)/(1+'Rescale to Fit GDP Proj'!$D$137)-1</f>
        <v/>
      </c>
      <c r="T18">
        <f>(1+'Rescale to Fit GDP Proj'!U137)/(1+'Rescale to Fit GDP Proj'!$D$137)-1</f>
        <v/>
      </c>
      <c r="U18">
        <f>(1+'Rescale to Fit GDP Proj'!V137)/(1+'Rescale to Fit GDP Proj'!$D$137)-1</f>
        <v/>
      </c>
      <c r="V18">
        <f>(1+'Rescale to Fit GDP Proj'!W137)/(1+'Rescale to Fit GDP Proj'!$D$137)-1</f>
        <v/>
      </c>
      <c r="W18">
        <f>(1+'Rescale to Fit GDP Proj'!X137)/(1+'Rescale to Fit GDP Proj'!$D$137)-1</f>
        <v/>
      </c>
      <c r="X18">
        <f>(1+'Rescale to Fit GDP Proj'!Y137)/(1+'Rescale to Fit GDP Proj'!$D$137)-1</f>
        <v/>
      </c>
      <c r="Y18">
        <f>(1+'Rescale to Fit GDP Proj'!Z137)/(1+'Rescale to Fit GDP Proj'!$D$137)-1</f>
        <v/>
      </c>
      <c r="Z18">
        <f>(1+'Rescale to Fit GDP Proj'!AA137)/(1+'Rescale to Fit GDP Proj'!$D$137)-1</f>
        <v/>
      </c>
      <c r="AA18">
        <f>(1+'Rescale to Fit GDP Proj'!AB137)/(1+'Rescale to Fit GDP Proj'!$D$137)-1</f>
        <v/>
      </c>
      <c r="AB18">
        <f>(1+'Rescale to Fit GDP Proj'!AC137)/(1+'Rescale to Fit GDP Proj'!$D$137)-1</f>
        <v/>
      </c>
    </row>
    <row r="19">
      <c r="A19" t="inlineStr">
        <is>
          <t>ISIC 239</t>
        </is>
      </c>
      <c r="B19">
        <f>(1+'Rescale to Fit GDP Proj'!C138)/(1+'Rescale to Fit GDP Proj'!$D$138)-1</f>
        <v/>
      </c>
      <c r="C19">
        <f>(1+'Rescale to Fit GDP Proj'!D138)/(1+'Rescale to Fit GDP Proj'!$D$138)-1</f>
        <v/>
      </c>
      <c r="D19">
        <f>(1+'Rescale to Fit GDP Proj'!E138)/(1+'Rescale to Fit GDP Proj'!$D$138)-1</f>
        <v/>
      </c>
      <c r="E19">
        <f>(1+'Rescale to Fit GDP Proj'!F138)/(1+'Rescale to Fit GDP Proj'!$D$138)-1</f>
        <v/>
      </c>
      <c r="F19">
        <f>(1+'Rescale to Fit GDP Proj'!G138)/(1+'Rescale to Fit GDP Proj'!$D$138)-1</f>
        <v/>
      </c>
      <c r="G19">
        <f>(1+'Rescale to Fit GDP Proj'!H138)/(1+'Rescale to Fit GDP Proj'!$D$138)-1</f>
        <v/>
      </c>
      <c r="H19">
        <f>(1+'Rescale to Fit GDP Proj'!I138)/(1+'Rescale to Fit GDP Proj'!$D$138)-1</f>
        <v/>
      </c>
      <c r="I19">
        <f>(1+'Rescale to Fit GDP Proj'!J138)/(1+'Rescale to Fit GDP Proj'!$D$138)-1</f>
        <v/>
      </c>
      <c r="J19">
        <f>(1+'Rescale to Fit GDP Proj'!K138)/(1+'Rescale to Fit GDP Proj'!$D$138)-1</f>
        <v/>
      </c>
      <c r="K19">
        <f>(1+'Rescale to Fit GDP Proj'!L138)/(1+'Rescale to Fit GDP Proj'!$D$138)-1</f>
        <v/>
      </c>
      <c r="L19">
        <f>(1+'Rescale to Fit GDP Proj'!M138)/(1+'Rescale to Fit GDP Proj'!$D$138)-1</f>
        <v/>
      </c>
      <c r="M19">
        <f>(1+'Rescale to Fit GDP Proj'!N138)/(1+'Rescale to Fit GDP Proj'!$D$138)-1</f>
        <v/>
      </c>
      <c r="N19">
        <f>(1+'Rescale to Fit GDP Proj'!O138)/(1+'Rescale to Fit GDP Proj'!$D$138)-1</f>
        <v/>
      </c>
      <c r="O19">
        <f>(1+'Rescale to Fit GDP Proj'!P138)/(1+'Rescale to Fit GDP Proj'!$D$138)-1</f>
        <v/>
      </c>
      <c r="P19">
        <f>(1+'Rescale to Fit GDP Proj'!Q138)/(1+'Rescale to Fit GDP Proj'!$D$138)-1</f>
        <v/>
      </c>
      <c r="Q19">
        <f>(1+'Rescale to Fit GDP Proj'!R138)/(1+'Rescale to Fit GDP Proj'!$D$138)-1</f>
        <v/>
      </c>
      <c r="R19">
        <f>(1+'Rescale to Fit GDP Proj'!S138)/(1+'Rescale to Fit GDP Proj'!$D$138)-1</f>
        <v/>
      </c>
      <c r="S19">
        <f>(1+'Rescale to Fit GDP Proj'!T138)/(1+'Rescale to Fit GDP Proj'!$D$138)-1</f>
        <v/>
      </c>
      <c r="T19">
        <f>(1+'Rescale to Fit GDP Proj'!U138)/(1+'Rescale to Fit GDP Proj'!$D$138)-1</f>
        <v/>
      </c>
      <c r="U19">
        <f>(1+'Rescale to Fit GDP Proj'!V138)/(1+'Rescale to Fit GDP Proj'!$D$138)-1</f>
        <v/>
      </c>
      <c r="V19">
        <f>(1+'Rescale to Fit GDP Proj'!W138)/(1+'Rescale to Fit GDP Proj'!$D$138)-1</f>
        <v/>
      </c>
      <c r="W19">
        <f>(1+'Rescale to Fit GDP Proj'!X138)/(1+'Rescale to Fit GDP Proj'!$D$138)-1</f>
        <v/>
      </c>
      <c r="X19">
        <f>(1+'Rescale to Fit GDP Proj'!Y138)/(1+'Rescale to Fit GDP Proj'!$D$138)-1</f>
        <v/>
      </c>
      <c r="Y19">
        <f>(1+'Rescale to Fit GDP Proj'!Z138)/(1+'Rescale to Fit GDP Proj'!$D$138)-1</f>
        <v/>
      </c>
      <c r="Z19">
        <f>(1+'Rescale to Fit GDP Proj'!AA138)/(1+'Rescale to Fit GDP Proj'!$D$138)-1</f>
        <v/>
      </c>
      <c r="AA19">
        <f>(1+'Rescale to Fit GDP Proj'!AB138)/(1+'Rescale to Fit GDP Proj'!$D$138)-1</f>
        <v/>
      </c>
      <c r="AB19">
        <f>(1+'Rescale to Fit GDP Proj'!AC138)/(1+'Rescale to Fit GDP Proj'!$D$138)-1</f>
        <v/>
      </c>
    </row>
    <row r="20">
      <c r="A20" t="inlineStr">
        <is>
          <t>ISIC 241</t>
        </is>
      </c>
      <c r="B20">
        <f>(1+'Rescale to Fit GDP Proj'!C139)/(1+'Rescale to Fit GDP Proj'!$D$139)-1</f>
        <v/>
      </c>
      <c r="C20">
        <f>(1+'Rescale to Fit GDP Proj'!D139)/(1+'Rescale to Fit GDP Proj'!$D$139)-1</f>
        <v/>
      </c>
      <c r="D20">
        <f>(1+'Rescale to Fit GDP Proj'!E139)/(1+'Rescale to Fit GDP Proj'!$D$139)-1</f>
        <v/>
      </c>
      <c r="E20">
        <f>(1+'Rescale to Fit GDP Proj'!F139)/(1+'Rescale to Fit GDP Proj'!$D$139)-1</f>
        <v/>
      </c>
      <c r="F20">
        <f>(1+'Rescale to Fit GDP Proj'!G139)/(1+'Rescale to Fit GDP Proj'!$D$139)-1</f>
        <v/>
      </c>
      <c r="G20">
        <f>(1+'Rescale to Fit GDP Proj'!H139)/(1+'Rescale to Fit GDP Proj'!$D$139)-1</f>
        <v/>
      </c>
      <c r="H20">
        <f>(1+'Rescale to Fit GDP Proj'!I139)/(1+'Rescale to Fit GDP Proj'!$D$139)-1</f>
        <v/>
      </c>
      <c r="I20">
        <f>(1+'Rescale to Fit GDP Proj'!J139)/(1+'Rescale to Fit GDP Proj'!$D$139)-1</f>
        <v/>
      </c>
      <c r="J20">
        <f>(1+'Rescale to Fit GDP Proj'!K139)/(1+'Rescale to Fit GDP Proj'!$D$139)-1</f>
        <v/>
      </c>
      <c r="K20">
        <f>(1+'Rescale to Fit GDP Proj'!L139)/(1+'Rescale to Fit GDP Proj'!$D$139)-1</f>
        <v/>
      </c>
      <c r="L20">
        <f>(1+'Rescale to Fit GDP Proj'!M139)/(1+'Rescale to Fit GDP Proj'!$D$139)-1</f>
        <v/>
      </c>
      <c r="M20">
        <f>(1+'Rescale to Fit GDP Proj'!N139)/(1+'Rescale to Fit GDP Proj'!$D$139)-1</f>
        <v/>
      </c>
      <c r="N20">
        <f>(1+'Rescale to Fit GDP Proj'!O139)/(1+'Rescale to Fit GDP Proj'!$D$139)-1</f>
        <v/>
      </c>
      <c r="O20">
        <f>(1+'Rescale to Fit GDP Proj'!P139)/(1+'Rescale to Fit GDP Proj'!$D$139)-1</f>
        <v/>
      </c>
      <c r="P20">
        <f>(1+'Rescale to Fit GDP Proj'!Q139)/(1+'Rescale to Fit GDP Proj'!$D$139)-1</f>
        <v/>
      </c>
      <c r="Q20">
        <f>(1+'Rescale to Fit GDP Proj'!R139)/(1+'Rescale to Fit GDP Proj'!$D$139)-1</f>
        <v/>
      </c>
      <c r="R20">
        <f>(1+'Rescale to Fit GDP Proj'!S139)/(1+'Rescale to Fit GDP Proj'!$D$139)-1</f>
        <v/>
      </c>
      <c r="S20">
        <f>(1+'Rescale to Fit GDP Proj'!T139)/(1+'Rescale to Fit GDP Proj'!$D$139)-1</f>
        <v/>
      </c>
      <c r="T20">
        <f>(1+'Rescale to Fit GDP Proj'!U139)/(1+'Rescale to Fit GDP Proj'!$D$139)-1</f>
        <v/>
      </c>
      <c r="U20">
        <f>(1+'Rescale to Fit GDP Proj'!V139)/(1+'Rescale to Fit GDP Proj'!$D$139)-1</f>
        <v/>
      </c>
      <c r="V20">
        <f>(1+'Rescale to Fit GDP Proj'!W139)/(1+'Rescale to Fit GDP Proj'!$D$139)-1</f>
        <v/>
      </c>
      <c r="W20">
        <f>(1+'Rescale to Fit GDP Proj'!X139)/(1+'Rescale to Fit GDP Proj'!$D$139)-1</f>
        <v/>
      </c>
      <c r="X20">
        <f>(1+'Rescale to Fit GDP Proj'!Y139)/(1+'Rescale to Fit GDP Proj'!$D$139)-1</f>
        <v/>
      </c>
      <c r="Y20">
        <f>(1+'Rescale to Fit GDP Proj'!Z139)/(1+'Rescale to Fit GDP Proj'!$D$139)-1</f>
        <v/>
      </c>
      <c r="Z20">
        <f>(1+'Rescale to Fit GDP Proj'!AA139)/(1+'Rescale to Fit GDP Proj'!$D$139)-1</f>
        <v/>
      </c>
      <c r="AA20">
        <f>(1+'Rescale to Fit GDP Proj'!AB139)/(1+'Rescale to Fit GDP Proj'!$D$139)-1</f>
        <v/>
      </c>
      <c r="AB20">
        <f>(1+'Rescale to Fit GDP Proj'!AC139)/(1+'Rescale to Fit GDP Proj'!$D$139)-1</f>
        <v/>
      </c>
    </row>
    <row r="21">
      <c r="A21" t="inlineStr">
        <is>
          <t>ISIC 242</t>
        </is>
      </c>
      <c r="B21">
        <f>(1+'Rescale to Fit GDP Proj'!C140)/(1+'Rescale to Fit GDP Proj'!$D$140)-1</f>
        <v/>
      </c>
      <c r="C21">
        <f>(1+'Rescale to Fit GDP Proj'!D140)/(1+'Rescale to Fit GDP Proj'!$D$140)-1</f>
        <v/>
      </c>
      <c r="D21">
        <f>(1+'Rescale to Fit GDP Proj'!E140)/(1+'Rescale to Fit GDP Proj'!$D$140)-1</f>
        <v/>
      </c>
      <c r="E21">
        <f>(1+'Rescale to Fit GDP Proj'!F140)/(1+'Rescale to Fit GDP Proj'!$D$140)-1</f>
        <v/>
      </c>
      <c r="F21">
        <f>(1+'Rescale to Fit GDP Proj'!G140)/(1+'Rescale to Fit GDP Proj'!$D$140)-1</f>
        <v/>
      </c>
      <c r="G21">
        <f>(1+'Rescale to Fit GDP Proj'!H140)/(1+'Rescale to Fit GDP Proj'!$D$140)-1</f>
        <v/>
      </c>
      <c r="H21">
        <f>(1+'Rescale to Fit GDP Proj'!I140)/(1+'Rescale to Fit GDP Proj'!$D$140)-1</f>
        <v/>
      </c>
      <c r="I21">
        <f>(1+'Rescale to Fit GDP Proj'!J140)/(1+'Rescale to Fit GDP Proj'!$D$140)-1</f>
        <v/>
      </c>
      <c r="J21">
        <f>(1+'Rescale to Fit GDP Proj'!K140)/(1+'Rescale to Fit GDP Proj'!$D$140)-1</f>
        <v/>
      </c>
      <c r="K21">
        <f>(1+'Rescale to Fit GDP Proj'!L140)/(1+'Rescale to Fit GDP Proj'!$D$140)-1</f>
        <v/>
      </c>
      <c r="L21">
        <f>(1+'Rescale to Fit GDP Proj'!M140)/(1+'Rescale to Fit GDP Proj'!$D$140)-1</f>
        <v/>
      </c>
      <c r="M21">
        <f>(1+'Rescale to Fit GDP Proj'!N140)/(1+'Rescale to Fit GDP Proj'!$D$140)-1</f>
        <v/>
      </c>
      <c r="N21">
        <f>(1+'Rescale to Fit GDP Proj'!O140)/(1+'Rescale to Fit GDP Proj'!$D$140)-1</f>
        <v/>
      </c>
      <c r="O21">
        <f>(1+'Rescale to Fit GDP Proj'!P140)/(1+'Rescale to Fit GDP Proj'!$D$140)-1</f>
        <v/>
      </c>
      <c r="P21">
        <f>(1+'Rescale to Fit GDP Proj'!Q140)/(1+'Rescale to Fit GDP Proj'!$D$140)-1</f>
        <v/>
      </c>
      <c r="Q21">
        <f>(1+'Rescale to Fit GDP Proj'!R140)/(1+'Rescale to Fit GDP Proj'!$D$140)-1</f>
        <v/>
      </c>
      <c r="R21">
        <f>(1+'Rescale to Fit GDP Proj'!S140)/(1+'Rescale to Fit GDP Proj'!$D$140)-1</f>
        <v/>
      </c>
      <c r="S21">
        <f>(1+'Rescale to Fit GDP Proj'!T140)/(1+'Rescale to Fit GDP Proj'!$D$140)-1</f>
        <v/>
      </c>
      <c r="T21">
        <f>(1+'Rescale to Fit GDP Proj'!U140)/(1+'Rescale to Fit GDP Proj'!$D$140)-1</f>
        <v/>
      </c>
      <c r="U21">
        <f>(1+'Rescale to Fit GDP Proj'!V140)/(1+'Rescale to Fit GDP Proj'!$D$140)-1</f>
        <v/>
      </c>
      <c r="V21">
        <f>(1+'Rescale to Fit GDP Proj'!W140)/(1+'Rescale to Fit GDP Proj'!$D$140)-1</f>
        <v/>
      </c>
      <c r="W21">
        <f>(1+'Rescale to Fit GDP Proj'!X140)/(1+'Rescale to Fit GDP Proj'!$D$140)-1</f>
        <v/>
      </c>
      <c r="X21">
        <f>(1+'Rescale to Fit GDP Proj'!Y140)/(1+'Rescale to Fit GDP Proj'!$D$140)-1</f>
        <v/>
      </c>
      <c r="Y21">
        <f>(1+'Rescale to Fit GDP Proj'!Z140)/(1+'Rescale to Fit GDP Proj'!$D$140)-1</f>
        <v/>
      </c>
      <c r="Z21">
        <f>(1+'Rescale to Fit GDP Proj'!AA140)/(1+'Rescale to Fit GDP Proj'!$D$140)-1</f>
        <v/>
      </c>
      <c r="AA21">
        <f>(1+'Rescale to Fit GDP Proj'!AB140)/(1+'Rescale to Fit GDP Proj'!$D$140)-1</f>
        <v/>
      </c>
      <c r="AB21">
        <f>(1+'Rescale to Fit GDP Proj'!AC140)/(1+'Rescale to Fit GDP Proj'!$D$140)-1</f>
        <v/>
      </c>
    </row>
    <row r="22">
      <c r="A22" t="inlineStr">
        <is>
          <t>ISIC 25</t>
        </is>
      </c>
      <c r="B22">
        <f>(1+'Rescale to Fit GDP Proj'!C141)/(1+'Rescale to Fit GDP Proj'!$D$141)-1</f>
        <v/>
      </c>
      <c r="C22">
        <f>(1+'Rescale to Fit GDP Proj'!D141)/(1+'Rescale to Fit GDP Proj'!$D$141)-1</f>
        <v/>
      </c>
      <c r="D22">
        <f>(1+'Rescale to Fit GDP Proj'!E141)/(1+'Rescale to Fit GDP Proj'!$D$141)-1</f>
        <v/>
      </c>
      <c r="E22">
        <f>(1+'Rescale to Fit GDP Proj'!F141)/(1+'Rescale to Fit GDP Proj'!$D$141)-1</f>
        <v/>
      </c>
      <c r="F22">
        <f>(1+'Rescale to Fit GDP Proj'!G141)/(1+'Rescale to Fit GDP Proj'!$D$141)-1</f>
        <v/>
      </c>
      <c r="G22">
        <f>(1+'Rescale to Fit GDP Proj'!H141)/(1+'Rescale to Fit GDP Proj'!$D$141)-1</f>
        <v/>
      </c>
      <c r="H22">
        <f>(1+'Rescale to Fit GDP Proj'!I141)/(1+'Rescale to Fit GDP Proj'!$D$141)-1</f>
        <v/>
      </c>
      <c r="I22">
        <f>(1+'Rescale to Fit GDP Proj'!J141)/(1+'Rescale to Fit GDP Proj'!$D$141)-1</f>
        <v/>
      </c>
      <c r="J22">
        <f>(1+'Rescale to Fit GDP Proj'!K141)/(1+'Rescale to Fit GDP Proj'!$D$141)-1</f>
        <v/>
      </c>
      <c r="K22">
        <f>(1+'Rescale to Fit GDP Proj'!L141)/(1+'Rescale to Fit GDP Proj'!$D$141)-1</f>
        <v/>
      </c>
      <c r="L22">
        <f>(1+'Rescale to Fit GDP Proj'!M141)/(1+'Rescale to Fit GDP Proj'!$D$141)-1</f>
        <v/>
      </c>
      <c r="M22">
        <f>(1+'Rescale to Fit GDP Proj'!N141)/(1+'Rescale to Fit GDP Proj'!$D$141)-1</f>
        <v/>
      </c>
      <c r="N22">
        <f>(1+'Rescale to Fit GDP Proj'!O141)/(1+'Rescale to Fit GDP Proj'!$D$141)-1</f>
        <v/>
      </c>
      <c r="O22">
        <f>(1+'Rescale to Fit GDP Proj'!P141)/(1+'Rescale to Fit GDP Proj'!$D$141)-1</f>
        <v/>
      </c>
      <c r="P22">
        <f>(1+'Rescale to Fit GDP Proj'!Q141)/(1+'Rescale to Fit GDP Proj'!$D$141)-1</f>
        <v/>
      </c>
      <c r="Q22">
        <f>(1+'Rescale to Fit GDP Proj'!R141)/(1+'Rescale to Fit GDP Proj'!$D$141)-1</f>
        <v/>
      </c>
      <c r="R22">
        <f>(1+'Rescale to Fit GDP Proj'!S141)/(1+'Rescale to Fit GDP Proj'!$D$141)-1</f>
        <v/>
      </c>
      <c r="S22">
        <f>(1+'Rescale to Fit GDP Proj'!T141)/(1+'Rescale to Fit GDP Proj'!$D$141)-1</f>
        <v/>
      </c>
      <c r="T22">
        <f>(1+'Rescale to Fit GDP Proj'!U141)/(1+'Rescale to Fit GDP Proj'!$D$141)-1</f>
        <v/>
      </c>
      <c r="U22">
        <f>(1+'Rescale to Fit GDP Proj'!V141)/(1+'Rescale to Fit GDP Proj'!$D$141)-1</f>
        <v/>
      </c>
      <c r="V22">
        <f>(1+'Rescale to Fit GDP Proj'!W141)/(1+'Rescale to Fit GDP Proj'!$D$141)-1</f>
        <v/>
      </c>
      <c r="W22">
        <f>(1+'Rescale to Fit GDP Proj'!X141)/(1+'Rescale to Fit GDP Proj'!$D$141)-1</f>
        <v/>
      </c>
      <c r="X22">
        <f>(1+'Rescale to Fit GDP Proj'!Y141)/(1+'Rescale to Fit GDP Proj'!$D$141)-1</f>
        <v/>
      </c>
      <c r="Y22">
        <f>(1+'Rescale to Fit GDP Proj'!Z141)/(1+'Rescale to Fit GDP Proj'!$D$141)-1</f>
        <v/>
      </c>
      <c r="Z22">
        <f>(1+'Rescale to Fit GDP Proj'!AA141)/(1+'Rescale to Fit GDP Proj'!$D$141)-1</f>
        <v/>
      </c>
      <c r="AA22">
        <f>(1+'Rescale to Fit GDP Proj'!AB141)/(1+'Rescale to Fit GDP Proj'!$D$141)-1</f>
        <v/>
      </c>
      <c r="AB22">
        <f>(1+'Rescale to Fit GDP Proj'!AC141)/(1+'Rescale to Fit GDP Proj'!$D$141)-1</f>
        <v/>
      </c>
    </row>
    <row r="23">
      <c r="A23" t="inlineStr">
        <is>
          <t>ISIC 26</t>
        </is>
      </c>
      <c r="B23">
        <f>(1+'Rescale to Fit GDP Proj'!C142)/(1+'Rescale to Fit GDP Proj'!$D$142)-1</f>
        <v/>
      </c>
      <c r="C23">
        <f>(1+'Rescale to Fit GDP Proj'!D142)/(1+'Rescale to Fit GDP Proj'!$D$142)-1</f>
        <v/>
      </c>
      <c r="D23">
        <f>(1+'Rescale to Fit GDP Proj'!E142)/(1+'Rescale to Fit GDP Proj'!$D$142)-1</f>
        <v/>
      </c>
      <c r="E23">
        <f>(1+'Rescale to Fit GDP Proj'!F142)/(1+'Rescale to Fit GDP Proj'!$D$142)-1</f>
        <v/>
      </c>
      <c r="F23">
        <f>(1+'Rescale to Fit GDP Proj'!G142)/(1+'Rescale to Fit GDP Proj'!$D$142)-1</f>
        <v/>
      </c>
      <c r="G23">
        <f>(1+'Rescale to Fit GDP Proj'!H142)/(1+'Rescale to Fit GDP Proj'!$D$142)-1</f>
        <v/>
      </c>
      <c r="H23">
        <f>(1+'Rescale to Fit GDP Proj'!I142)/(1+'Rescale to Fit GDP Proj'!$D$142)-1</f>
        <v/>
      </c>
      <c r="I23">
        <f>(1+'Rescale to Fit GDP Proj'!J142)/(1+'Rescale to Fit GDP Proj'!$D$142)-1</f>
        <v/>
      </c>
      <c r="J23">
        <f>(1+'Rescale to Fit GDP Proj'!K142)/(1+'Rescale to Fit GDP Proj'!$D$142)-1</f>
        <v/>
      </c>
      <c r="K23">
        <f>(1+'Rescale to Fit GDP Proj'!L142)/(1+'Rescale to Fit GDP Proj'!$D$142)-1</f>
        <v/>
      </c>
      <c r="L23">
        <f>(1+'Rescale to Fit GDP Proj'!M142)/(1+'Rescale to Fit GDP Proj'!$D$142)-1</f>
        <v/>
      </c>
      <c r="M23">
        <f>(1+'Rescale to Fit GDP Proj'!N142)/(1+'Rescale to Fit GDP Proj'!$D$142)-1</f>
        <v/>
      </c>
      <c r="N23">
        <f>(1+'Rescale to Fit GDP Proj'!O142)/(1+'Rescale to Fit GDP Proj'!$D$142)-1</f>
        <v/>
      </c>
      <c r="O23">
        <f>(1+'Rescale to Fit GDP Proj'!P142)/(1+'Rescale to Fit GDP Proj'!$D$142)-1</f>
        <v/>
      </c>
      <c r="P23">
        <f>(1+'Rescale to Fit GDP Proj'!Q142)/(1+'Rescale to Fit GDP Proj'!$D$142)-1</f>
        <v/>
      </c>
      <c r="Q23">
        <f>(1+'Rescale to Fit GDP Proj'!R142)/(1+'Rescale to Fit GDP Proj'!$D$142)-1</f>
        <v/>
      </c>
      <c r="R23">
        <f>(1+'Rescale to Fit GDP Proj'!S142)/(1+'Rescale to Fit GDP Proj'!$D$142)-1</f>
        <v/>
      </c>
      <c r="S23">
        <f>(1+'Rescale to Fit GDP Proj'!T142)/(1+'Rescale to Fit GDP Proj'!$D$142)-1</f>
        <v/>
      </c>
      <c r="T23">
        <f>(1+'Rescale to Fit GDP Proj'!U142)/(1+'Rescale to Fit GDP Proj'!$D$142)-1</f>
        <v/>
      </c>
      <c r="U23">
        <f>(1+'Rescale to Fit GDP Proj'!V142)/(1+'Rescale to Fit GDP Proj'!$D$142)-1</f>
        <v/>
      </c>
      <c r="V23">
        <f>(1+'Rescale to Fit GDP Proj'!W142)/(1+'Rescale to Fit GDP Proj'!$D$142)-1</f>
        <v/>
      </c>
      <c r="W23">
        <f>(1+'Rescale to Fit GDP Proj'!X142)/(1+'Rescale to Fit GDP Proj'!$D$142)-1</f>
        <v/>
      </c>
      <c r="X23">
        <f>(1+'Rescale to Fit GDP Proj'!Y142)/(1+'Rescale to Fit GDP Proj'!$D$142)-1</f>
        <v/>
      </c>
      <c r="Y23">
        <f>(1+'Rescale to Fit GDP Proj'!Z142)/(1+'Rescale to Fit GDP Proj'!$D$142)-1</f>
        <v/>
      </c>
      <c r="Z23">
        <f>(1+'Rescale to Fit GDP Proj'!AA142)/(1+'Rescale to Fit GDP Proj'!$D$142)-1</f>
        <v/>
      </c>
      <c r="AA23">
        <f>(1+'Rescale to Fit GDP Proj'!AB142)/(1+'Rescale to Fit GDP Proj'!$D$142)-1</f>
        <v/>
      </c>
      <c r="AB23">
        <f>(1+'Rescale to Fit GDP Proj'!AC142)/(1+'Rescale to Fit GDP Proj'!$D$142)-1</f>
        <v/>
      </c>
    </row>
    <row r="24">
      <c r="A24" t="inlineStr">
        <is>
          <t>ISIC 27</t>
        </is>
      </c>
      <c r="B24">
        <f>(1+'Rescale to Fit GDP Proj'!C143)/(1+'Rescale to Fit GDP Proj'!$D$143)-1</f>
        <v/>
      </c>
      <c r="C24">
        <f>(1+'Rescale to Fit GDP Proj'!D143)/(1+'Rescale to Fit GDP Proj'!$D$143)-1</f>
        <v/>
      </c>
      <c r="D24">
        <f>(1+'Rescale to Fit GDP Proj'!E143)/(1+'Rescale to Fit GDP Proj'!$D$143)-1</f>
        <v/>
      </c>
      <c r="E24">
        <f>(1+'Rescale to Fit GDP Proj'!F143)/(1+'Rescale to Fit GDP Proj'!$D$143)-1</f>
        <v/>
      </c>
      <c r="F24">
        <f>(1+'Rescale to Fit GDP Proj'!G143)/(1+'Rescale to Fit GDP Proj'!$D$143)-1</f>
        <v/>
      </c>
      <c r="G24">
        <f>(1+'Rescale to Fit GDP Proj'!H143)/(1+'Rescale to Fit GDP Proj'!$D$143)-1</f>
        <v/>
      </c>
      <c r="H24">
        <f>(1+'Rescale to Fit GDP Proj'!I143)/(1+'Rescale to Fit GDP Proj'!$D$143)-1</f>
        <v/>
      </c>
      <c r="I24">
        <f>(1+'Rescale to Fit GDP Proj'!J143)/(1+'Rescale to Fit GDP Proj'!$D$143)-1</f>
        <v/>
      </c>
      <c r="J24">
        <f>(1+'Rescale to Fit GDP Proj'!K143)/(1+'Rescale to Fit GDP Proj'!$D$143)-1</f>
        <v/>
      </c>
      <c r="K24">
        <f>(1+'Rescale to Fit GDP Proj'!L143)/(1+'Rescale to Fit GDP Proj'!$D$143)-1</f>
        <v/>
      </c>
      <c r="L24">
        <f>(1+'Rescale to Fit GDP Proj'!M143)/(1+'Rescale to Fit GDP Proj'!$D$143)-1</f>
        <v/>
      </c>
      <c r="M24">
        <f>(1+'Rescale to Fit GDP Proj'!N143)/(1+'Rescale to Fit GDP Proj'!$D$143)-1</f>
        <v/>
      </c>
      <c r="N24">
        <f>(1+'Rescale to Fit GDP Proj'!O143)/(1+'Rescale to Fit GDP Proj'!$D$143)-1</f>
        <v/>
      </c>
      <c r="O24">
        <f>(1+'Rescale to Fit GDP Proj'!P143)/(1+'Rescale to Fit GDP Proj'!$D$143)-1</f>
        <v/>
      </c>
      <c r="P24">
        <f>(1+'Rescale to Fit GDP Proj'!Q143)/(1+'Rescale to Fit GDP Proj'!$D$143)-1</f>
        <v/>
      </c>
      <c r="Q24">
        <f>(1+'Rescale to Fit GDP Proj'!R143)/(1+'Rescale to Fit GDP Proj'!$D$143)-1</f>
        <v/>
      </c>
      <c r="R24">
        <f>(1+'Rescale to Fit GDP Proj'!S143)/(1+'Rescale to Fit GDP Proj'!$D$143)-1</f>
        <v/>
      </c>
      <c r="S24">
        <f>(1+'Rescale to Fit GDP Proj'!T143)/(1+'Rescale to Fit GDP Proj'!$D$143)-1</f>
        <v/>
      </c>
      <c r="T24">
        <f>(1+'Rescale to Fit GDP Proj'!U143)/(1+'Rescale to Fit GDP Proj'!$D$143)-1</f>
        <v/>
      </c>
      <c r="U24">
        <f>(1+'Rescale to Fit GDP Proj'!V143)/(1+'Rescale to Fit GDP Proj'!$D$143)-1</f>
        <v/>
      </c>
      <c r="V24">
        <f>(1+'Rescale to Fit GDP Proj'!W143)/(1+'Rescale to Fit GDP Proj'!$D$143)-1</f>
        <v/>
      </c>
      <c r="W24">
        <f>(1+'Rescale to Fit GDP Proj'!X143)/(1+'Rescale to Fit GDP Proj'!$D$143)-1</f>
        <v/>
      </c>
      <c r="X24">
        <f>(1+'Rescale to Fit GDP Proj'!Y143)/(1+'Rescale to Fit GDP Proj'!$D$143)-1</f>
        <v/>
      </c>
      <c r="Y24">
        <f>(1+'Rescale to Fit GDP Proj'!Z143)/(1+'Rescale to Fit GDP Proj'!$D$143)-1</f>
        <v/>
      </c>
      <c r="Z24">
        <f>(1+'Rescale to Fit GDP Proj'!AA143)/(1+'Rescale to Fit GDP Proj'!$D$143)-1</f>
        <v/>
      </c>
      <c r="AA24">
        <f>(1+'Rescale to Fit GDP Proj'!AB143)/(1+'Rescale to Fit GDP Proj'!$D$143)-1</f>
        <v/>
      </c>
      <c r="AB24">
        <f>(1+'Rescale to Fit GDP Proj'!AC143)/(1+'Rescale to Fit GDP Proj'!$D$143)-1</f>
        <v/>
      </c>
    </row>
    <row r="25">
      <c r="A25" t="inlineStr">
        <is>
          <t>ISIC 28</t>
        </is>
      </c>
      <c r="B25">
        <f>(1+'Rescale to Fit GDP Proj'!C144)/(1+'Rescale to Fit GDP Proj'!$D$144)-1</f>
        <v/>
      </c>
      <c r="C25">
        <f>(1+'Rescale to Fit GDP Proj'!D144)/(1+'Rescale to Fit GDP Proj'!$D$144)-1</f>
        <v/>
      </c>
      <c r="D25">
        <f>(1+'Rescale to Fit GDP Proj'!E144)/(1+'Rescale to Fit GDP Proj'!$D$144)-1</f>
        <v/>
      </c>
      <c r="E25">
        <f>(1+'Rescale to Fit GDP Proj'!F144)/(1+'Rescale to Fit GDP Proj'!$D$144)-1</f>
        <v/>
      </c>
      <c r="F25">
        <f>(1+'Rescale to Fit GDP Proj'!G144)/(1+'Rescale to Fit GDP Proj'!$D$144)-1</f>
        <v/>
      </c>
      <c r="G25">
        <f>(1+'Rescale to Fit GDP Proj'!H144)/(1+'Rescale to Fit GDP Proj'!$D$144)-1</f>
        <v/>
      </c>
      <c r="H25">
        <f>(1+'Rescale to Fit GDP Proj'!I144)/(1+'Rescale to Fit GDP Proj'!$D$144)-1</f>
        <v/>
      </c>
      <c r="I25">
        <f>(1+'Rescale to Fit GDP Proj'!J144)/(1+'Rescale to Fit GDP Proj'!$D$144)-1</f>
        <v/>
      </c>
      <c r="J25">
        <f>(1+'Rescale to Fit GDP Proj'!K144)/(1+'Rescale to Fit GDP Proj'!$D$144)-1</f>
        <v/>
      </c>
      <c r="K25">
        <f>(1+'Rescale to Fit GDP Proj'!L144)/(1+'Rescale to Fit GDP Proj'!$D$144)-1</f>
        <v/>
      </c>
      <c r="L25">
        <f>(1+'Rescale to Fit GDP Proj'!M144)/(1+'Rescale to Fit GDP Proj'!$D$144)-1</f>
        <v/>
      </c>
      <c r="M25">
        <f>(1+'Rescale to Fit GDP Proj'!N144)/(1+'Rescale to Fit GDP Proj'!$D$144)-1</f>
        <v/>
      </c>
      <c r="N25">
        <f>(1+'Rescale to Fit GDP Proj'!O144)/(1+'Rescale to Fit GDP Proj'!$D$144)-1</f>
        <v/>
      </c>
      <c r="O25">
        <f>(1+'Rescale to Fit GDP Proj'!P144)/(1+'Rescale to Fit GDP Proj'!$D$144)-1</f>
        <v/>
      </c>
      <c r="P25">
        <f>(1+'Rescale to Fit GDP Proj'!Q144)/(1+'Rescale to Fit GDP Proj'!$D$144)-1</f>
        <v/>
      </c>
      <c r="Q25">
        <f>(1+'Rescale to Fit GDP Proj'!R144)/(1+'Rescale to Fit GDP Proj'!$D$144)-1</f>
        <v/>
      </c>
      <c r="R25">
        <f>(1+'Rescale to Fit GDP Proj'!S144)/(1+'Rescale to Fit GDP Proj'!$D$144)-1</f>
        <v/>
      </c>
      <c r="S25">
        <f>(1+'Rescale to Fit GDP Proj'!T144)/(1+'Rescale to Fit GDP Proj'!$D$144)-1</f>
        <v/>
      </c>
      <c r="T25">
        <f>(1+'Rescale to Fit GDP Proj'!U144)/(1+'Rescale to Fit GDP Proj'!$D$144)-1</f>
        <v/>
      </c>
      <c r="U25">
        <f>(1+'Rescale to Fit GDP Proj'!V144)/(1+'Rescale to Fit GDP Proj'!$D$144)-1</f>
        <v/>
      </c>
      <c r="V25">
        <f>(1+'Rescale to Fit GDP Proj'!W144)/(1+'Rescale to Fit GDP Proj'!$D$144)-1</f>
        <v/>
      </c>
      <c r="W25">
        <f>(1+'Rescale to Fit GDP Proj'!X144)/(1+'Rescale to Fit GDP Proj'!$D$144)-1</f>
        <v/>
      </c>
      <c r="X25">
        <f>(1+'Rescale to Fit GDP Proj'!Y144)/(1+'Rescale to Fit GDP Proj'!$D$144)-1</f>
        <v/>
      </c>
      <c r="Y25">
        <f>(1+'Rescale to Fit GDP Proj'!Z144)/(1+'Rescale to Fit GDP Proj'!$D$144)-1</f>
        <v/>
      </c>
      <c r="Z25">
        <f>(1+'Rescale to Fit GDP Proj'!AA144)/(1+'Rescale to Fit GDP Proj'!$D$144)-1</f>
        <v/>
      </c>
      <c r="AA25">
        <f>(1+'Rescale to Fit GDP Proj'!AB144)/(1+'Rescale to Fit GDP Proj'!$D$144)-1</f>
        <v/>
      </c>
      <c r="AB25">
        <f>(1+'Rescale to Fit GDP Proj'!AC144)/(1+'Rescale to Fit GDP Proj'!$D$144)-1</f>
        <v/>
      </c>
    </row>
    <row r="26">
      <c r="A26" t="inlineStr">
        <is>
          <t>ISIC 29</t>
        </is>
      </c>
      <c r="B26">
        <f>(1+'Rescale to Fit GDP Proj'!C145)/(1+'Rescale to Fit GDP Proj'!$D$145)-1</f>
        <v/>
      </c>
      <c r="C26">
        <f>(1+'Rescale to Fit GDP Proj'!D145)/(1+'Rescale to Fit GDP Proj'!$D$145)-1</f>
        <v/>
      </c>
      <c r="D26">
        <f>(1+'Rescale to Fit GDP Proj'!E145)/(1+'Rescale to Fit GDP Proj'!$D$145)-1</f>
        <v/>
      </c>
      <c r="E26">
        <f>(1+'Rescale to Fit GDP Proj'!F145)/(1+'Rescale to Fit GDP Proj'!$D$145)-1</f>
        <v/>
      </c>
      <c r="F26">
        <f>(1+'Rescale to Fit GDP Proj'!G145)/(1+'Rescale to Fit GDP Proj'!$D$145)-1</f>
        <v/>
      </c>
      <c r="G26">
        <f>(1+'Rescale to Fit GDP Proj'!H145)/(1+'Rescale to Fit GDP Proj'!$D$145)-1</f>
        <v/>
      </c>
      <c r="H26">
        <f>(1+'Rescale to Fit GDP Proj'!I145)/(1+'Rescale to Fit GDP Proj'!$D$145)-1</f>
        <v/>
      </c>
      <c r="I26">
        <f>(1+'Rescale to Fit GDP Proj'!J145)/(1+'Rescale to Fit GDP Proj'!$D$145)-1</f>
        <v/>
      </c>
      <c r="J26">
        <f>(1+'Rescale to Fit GDP Proj'!K145)/(1+'Rescale to Fit GDP Proj'!$D$145)-1</f>
        <v/>
      </c>
      <c r="K26">
        <f>(1+'Rescale to Fit GDP Proj'!L145)/(1+'Rescale to Fit GDP Proj'!$D$145)-1</f>
        <v/>
      </c>
      <c r="L26">
        <f>(1+'Rescale to Fit GDP Proj'!M145)/(1+'Rescale to Fit GDP Proj'!$D$145)-1</f>
        <v/>
      </c>
      <c r="M26">
        <f>(1+'Rescale to Fit GDP Proj'!N145)/(1+'Rescale to Fit GDP Proj'!$D$145)-1</f>
        <v/>
      </c>
      <c r="N26">
        <f>(1+'Rescale to Fit GDP Proj'!O145)/(1+'Rescale to Fit GDP Proj'!$D$145)-1</f>
        <v/>
      </c>
      <c r="O26">
        <f>(1+'Rescale to Fit GDP Proj'!P145)/(1+'Rescale to Fit GDP Proj'!$D$145)-1</f>
        <v/>
      </c>
      <c r="P26">
        <f>(1+'Rescale to Fit GDP Proj'!Q145)/(1+'Rescale to Fit GDP Proj'!$D$145)-1</f>
        <v/>
      </c>
      <c r="Q26">
        <f>(1+'Rescale to Fit GDP Proj'!R145)/(1+'Rescale to Fit GDP Proj'!$D$145)-1</f>
        <v/>
      </c>
      <c r="R26">
        <f>(1+'Rescale to Fit GDP Proj'!S145)/(1+'Rescale to Fit GDP Proj'!$D$145)-1</f>
        <v/>
      </c>
      <c r="S26">
        <f>(1+'Rescale to Fit GDP Proj'!T145)/(1+'Rescale to Fit GDP Proj'!$D$145)-1</f>
        <v/>
      </c>
      <c r="T26">
        <f>(1+'Rescale to Fit GDP Proj'!U145)/(1+'Rescale to Fit GDP Proj'!$D$145)-1</f>
        <v/>
      </c>
      <c r="U26">
        <f>(1+'Rescale to Fit GDP Proj'!V145)/(1+'Rescale to Fit GDP Proj'!$D$145)-1</f>
        <v/>
      </c>
      <c r="V26">
        <f>(1+'Rescale to Fit GDP Proj'!W145)/(1+'Rescale to Fit GDP Proj'!$D$145)-1</f>
        <v/>
      </c>
      <c r="W26">
        <f>(1+'Rescale to Fit GDP Proj'!X145)/(1+'Rescale to Fit GDP Proj'!$D$145)-1</f>
        <v/>
      </c>
      <c r="X26">
        <f>(1+'Rescale to Fit GDP Proj'!Y145)/(1+'Rescale to Fit GDP Proj'!$D$145)-1</f>
        <v/>
      </c>
      <c r="Y26">
        <f>(1+'Rescale to Fit GDP Proj'!Z145)/(1+'Rescale to Fit GDP Proj'!$D$145)-1</f>
        <v/>
      </c>
      <c r="Z26">
        <f>(1+'Rescale to Fit GDP Proj'!AA145)/(1+'Rescale to Fit GDP Proj'!$D$145)-1</f>
        <v/>
      </c>
      <c r="AA26">
        <f>(1+'Rescale to Fit GDP Proj'!AB145)/(1+'Rescale to Fit GDP Proj'!$D$145)-1</f>
        <v/>
      </c>
      <c r="AB26">
        <f>(1+'Rescale to Fit GDP Proj'!AC145)/(1+'Rescale to Fit GDP Proj'!$D$145)-1</f>
        <v/>
      </c>
    </row>
    <row r="27">
      <c r="A27" t="inlineStr">
        <is>
          <t>ISIC 301</t>
        </is>
      </c>
      <c r="B27">
        <f>(1+'Rescale to Fit GDP Proj'!C146)/(1+'Rescale to Fit GDP Proj'!$D$146)-1</f>
        <v/>
      </c>
      <c r="C27">
        <f>(1+'Rescale to Fit GDP Proj'!D146)/(1+'Rescale to Fit GDP Proj'!$D$146)-1</f>
        <v/>
      </c>
      <c r="D27">
        <f>(1+'Rescale to Fit GDP Proj'!E146)/(1+'Rescale to Fit GDP Proj'!$D$146)-1</f>
        <v/>
      </c>
      <c r="E27">
        <f>(1+'Rescale to Fit GDP Proj'!F146)/(1+'Rescale to Fit GDP Proj'!$D$146)-1</f>
        <v/>
      </c>
      <c r="F27">
        <f>(1+'Rescale to Fit GDP Proj'!G146)/(1+'Rescale to Fit GDP Proj'!$D$146)-1</f>
        <v/>
      </c>
      <c r="G27">
        <f>(1+'Rescale to Fit GDP Proj'!H146)/(1+'Rescale to Fit GDP Proj'!$D$146)-1</f>
        <v/>
      </c>
      <c r="H27">
        <f>(1+'Rescale to Fit GDP Proj'!I146)/(1+'Rescale to Fit GDP Proj'!$D$146)-1</f>
        <v/>
      </c>
      <c r="I27">
        <f>(1+'Rescale to Fit GDP Proj'!J146)/(1+'Rescale to Fit GDP Proj'!$D$146)-1</f>
        <v/>
      </c>
      <c r="J27">
        <f>(1+'Rescale to Fit GDP Proj'!K146)/(1+'Rescale to Fit GDP Proj'!$D$146)-1</f>
        <v/>
      </c>
      <c r="K27">
        <f>(1+'Rescale to Fit GDP Proj'!L146)/(1+'Rescale to Fit GDP Proj'!$D$146)-1</f>
        <v/>
      </c>
      <c r="L27">
        <f>(1+'Rescale to Fit GDP Proj'!M146)/(1+'Rescale to Fit GDP Proj'!$D$146)-1</f>
        <v/>
      </c>
      <c r="M27">
        <f>(1+'Rescale to Fit GDP Proj'!N146)/(1+'Rescale to Fit GDP Proj'!$D$146)-1</f>
        <v/>
      </c>
      <c r="N27">
        <f>(1+'Rescale to Fit GDP Proj'!O146)/(1+'Rescale to Fit GDP Proj'!$D$146)-1</f>
        <v/>
      </c>
      <c r="O27">
        <f>(1+'Rescale to Fit GDP Proj'!P146)/(1+'Rescale to Fit GDP Proj'!$D$146)-1</f>
        <v/>
      </c>
      <c r="P27">
        <f>(1+'Rescale to Fit GDP Proj'!Q146)/(1+'Rescale to Fit GDP Proj'!$D$146)-1</f>
        <v/>
      </c>
      <c r="Q27">
        <f>(1+'Rescale to Fit GDP Proj'!R146)/(1+'Rescale to Fit GDP Proj'!$D$146)-1</f>
        <v/>
      </c>
      <c r="R27">
        <f>(1+'Rescale to Fit GDP Proj'!S146)/(1+'Rescale to Fit GDP Proj'!$D$146)-1</f>
        <v/>
      </c>
      <c r="S27">
        <f>(1+'Rescale to Fit GDP Proj'!T146)/(1+'Rescale to Fit GDP Proj'!$D$146)-1</f>
        <v/>
      </c>
      <c r="T27">
        <f>(1+'Rescale to Fit GDP Proj'!U146)/(1+'Rescale to Fit GDP Proj'!$D$146)-1</f>
        <v/>
      </c>
      <c r="U27">
        <f>(1+'Rescale to Fit GDP Proj'!V146)/(1+'Rescale to Fit GDP Proj'!$D$146)-1</f>
        <v/>
      </c>
      <c r="V27">
        <f>(1+'Rescale to Fit GDP Proj'!W146)/(1+'Rescale to Fit GDP Proj'!$D$146)-1</f>
        <v/>
      </c>
      <c r="W27">
        <f>(1+'Rescale to Fit GDP Proj'!X146)/(1+'Rescale to Fit GDP Proj'!$D$146)-1</f>
        <v/>
      </c>
      <c r="X27">
        <f>(1+'Rescale to Fit GDP Proj'!Y146)/(1+'Rescale to Fit GDP Proj'!$D$146)-1</f>
        <v/>
      </c>
      <c r="Y27">
        <f>(1+'Rescale to Fit GDP Proj'!Z146)/(1+'Rescale to Fit GDP Proj'!$D$146)-1</f>
        <v/>
      </c>
      <c r="Z27">
        <f>(1+'Rescale to Fit GDP Proj'!AA146)/(1+'Rescale to Fit GDP Proj'!$D$146)-1</f>
        <v/>
      </c>
      <c r="AA27">
        <f>(1+'Rescale to Fit GDP Proj'!AB146)/(1+'Rescale to Fit GDP Proj'!$D$146)-1</f>
        <v/>
      </c>
      <c r="AB27">
        <f>(1+'Rescale to Fit GDP Proj'!AC146)/(1+'Rescale to Fit GDP Proj'!$D$146)-1</f>
        <v/>
      </c>
    </row>
    <row r="28">
      <c r="A28" t="inlineStr">
        <is>
          <t>ISIC 302T309</t>
        </is>
      </c>
      <c r="B28">
        <f>(1+'Rescale to Fit GDP Proj'!C147)/(1+'Rescale to Fit GDP Proj'!$D$147)-1</f>
        <v/>
      </c>
      <c r="C28">
        <f>(1+'Rescale to Fit GDP Proj'!D147)/(1+'Rescale to Fit GDP Proj'!$D$147)-1</f>
        <v/>
      </c>
      <c r="D28">
        <f>(1+'Rescale to Fit GDP Proj'!E147)/(1+'Rescale to Fit GDP Proj'!$D$147)-1</f>
        <v/>
      </c>
      <c r="E28">
        <f>(1+'Rescale to Fit GDP Proj'!F147)/(1+'Rescale to Fit GDP Proj'!$D$147)-1</f>
        <v/>
      </c>
      <c r="F28">
        <f>(1+'Rescale to Fit GDP Proj'!G147)/(1+'Rescale to Fit GDP Proj'!$D$147)-1</f>
        <v/>
      </c>
      <c r="G28">
        <f>(1+'Rescale to Fit GDP Proj'!H147)/(1+'Rescale to Fit GDP Proj'!$D$147)-1</f>
        <v/>
      </c>
      <c r="H28">
        <f>(1+'Rescale to Fit GDP Proj'!I147)/(1+'Rescale to Fit GDP Proj'!$D$147)-1</f>
        <v/>
      </c>
      <c r="I28">
        <f>(1+'Rescale to Fit GDP Proj'!J147)/(1+'Rescale to Fit GDP Proj'!$D$147)-1</f>
        <v/>
      </c>
      <c r="J28">
        <f>(1+'Rescale to Fit GDP Proj'!K147)/(1+'Rescale to Fit GDP Proj'!$D$147)-1</f>
        <v/>
      </c>
      <c r="K28">
        <f>(1+'Rescale to Fit GDP Proj'!L147)/(1+'Rescale to Fit GDP Proj'!$D$147)-1</f>
        <v/>
      </c>
      <c r="L28">
        <f>(1+'Rescale to Fit GDP Proj'!M147)/(1+'Rescale to Fit GDP Proj'!$D$147)-1</f>
        <v/>
      </c>
      <c r="M28">
        <f>(1+'Rescale to Fit GDP Proj'!N147)/(1+'Rescale to Fit GDP Proj'!$D$147)-1</f>
        <v/>
      </c>
      <c r="N28">
        <f>(1+'Rescale to Fit GDP Proj'!O147)/(1+'Rescale to Fit GDP Proj'!$D$147)-1</f>
        <v/>
      </c>
      <c r="O28">
        <f>(1+'Rescale to Fit GDP Proj'!P147)/(1+'Rescale to Fit GDP Proj'!$D$147)-1</f>
        <v/>
      </c>
      <c r="P28">
        <f>(1+'Rescale to Fit GDP Proj'!Q147)/(1+'Rescale to Fit GDP Proj'!$D$147)-1</f>
        <v/>
      </c>
      <c r="Q28">
        <f>(1+'Rescale to Fit GDP Proj'!R147)/(1+'Rescale to Fit GDP Proj'!$D$147)-1</f>
        <v/>
      </c>
      <c r="R28">
        <f>(1+'Rescale to Fit GDP Proj'!S147)/(1+'Rescale to Fit GDP Proj'!$D$147)-1</f>
        <v/>
      </c>
      <c r="S28">
        <f>(1+'Rescale to Fit GDP Proj'!T147)/(1+'Rescale to Fit GDP Proj'!$D$147)-1</f>
        <v/>
      </c>
      <c r="T28">
        <f>(1+'Rescale to Fit GDP Proj'!U147)/(1+'Rescale to Fit GDP Proj'!$D$147)-1</f>
        <v/>
      </c>
      <c r="U28">
        <f>(1+'Rescale to Fit GDP Proj'!V147)/(1+'Rescale to Fit GDP Proj'!$D$147)-1</f>
        <v/>
      </c>
      <c r="V28">
        <f>(1+'Rescale to Fit GDP Proj'!W147)/(1+'Rescale to Fit GDP Proj'!$D$147)-1</f>
        <v/>
      </c>
      <c r="W28">
        <f>(1+'Rescale to Fit GDP Proj'!X147)/(1+'Rescale to Fit GDP Proj'!$D$147)-1</f>
        <v/>
      </c>
      <c r="X28">
        <f>(1+'Rescale to Fit GDP Proj'!Y147)/(1+'Rescale to Fit GDP Proj'!$D$147)-1</f>
        <v/>
      </c>
      <c r="Y28">
        <f>(1+'Rescale to Fit GDP Proj'!Z147)/(1+'Rescale to Fit GDP Proj'!$D$147)-1</f>
        <v/>
      </c>
      <c r="Z28">
        <f>(1+'Rescale to Fit GDP Proj'!AA147)/(1+'Rescale to Fit GDP Proj'!$D$147)-1</f>
        <v/>
      </c>
      <c r="AA28">
        <f>(1+'Rescale to Fit GDP Proj'!AB147)/(1+'Rescale to Fit GDP Proj'!$D$147)-1</f>
        <v/>
      </c>
      <c r="AB28">
        <f>(1+'Rescale to Fit GDP Proj'!AC147)/(1+'Rescale to Fit GDP Proj'!$D$147)-1</f>
        <v/>
      </c>
    </row>
    <row r="29">
      <c r="A29" t="inlineStr">
        <is>
          <t>ISIC 31T33</t>
        </is>
      </c>
      <c r="B29">
        <f>(1+'Rescale to Fit GDP Proj'!C148)/(1+'Rescale to Fit GDP Proj'!$D$148)-1</f>
        <v/>
      </c>
      <c r="C29">
        <f>(1+'Rescale to Fit GDP Proj'!D148)/(1+'Rescale to Fit GDP Proj'!$D$148)-1</f>
        <v/>
      </c>
      <c r="D29">
        <f>(1+'Rescale to Fit GDP Proj'!E148)/(1+'Rescale to Fit GDP Proj'!$D$148)-1</f>
        <v/>
      </c>
      <c r="E29">
        <f>(1+'Rescale to Fit GDP Proj'!F148)/(1+'Rescale to Fit GDP Proj'!$D$148)-1</f>
        <v/>
      </c>
      <c r="F29">
        <f>(1+'Rescale to Fit GDP Proj'!G148)/(1+'Rescale to Fit GDP Proj'!$D$148)-1</f>
        <v/>
      </c>
      <c r="G29">
        <f>(1+'Rescale to Fit GDP Proj'!H148)/(1+'Rescale to Fit GDP Proj'!$D$148)-1</f>
        <v/>
      </c>
      <c r="H29">
        <f>(1+'Rescale to Fit GDP Proj'!I148)/(1+'Rescale to Fit GDP Proj'!$D$148)-1</f>
        <v/>
      </c>
      <c r="I29">
        <f>(1+'Rescale to Fit GDP Proj'!J148)/(1+'Rescale to Fit GDP Proj'!$D$148)-1</f>
        <v/>
      </c>
      <c r="J29">
        <f>(1+'Rescale to Fit GDP Proj'!K148)/(1+'Rescale to Fit GDP Proj'!$D$148)-1</f>
        <v/>
      </c>
      <c r="K29">
        <f>(1+'Rescale to Fit GDP Proj'!L148)/(1+'Rescale to Fit GDP Proj'!$D$148)-1</f>
        <v/>
      </c>
      <c r="L29">
        <f>(1+'Rescale to Fit GDP Proj'!M148)/(1+'Rescale to Fit GDP Proj'!$D$148)-1</f>
        <v/>
      </c>
      <c r="M29">
        <f>(1+'Rescale to Fit GDP Proj'!N148)/(1+'Rescale to Fit GDP Proj'!$D$148)-1</f>
        <v/>
      </c>
      <c r="N29">
        <f>(1+'Rescale to Fit GDP Proj'!O148)/(1+'Rescale to Fit GDP Proj'!$D$148)-1</f>
        <v/>
      </c>
      <c r="O29">
        <f>(1+'Rescale to Fit GDP Proj'!P148)/(1+'Rescale to Fit GDP Proj'!$D$148)-1</f>
        <v/>
      </c>
      <c r="P29">
        <f>(1+'Rescale to Fit GDP Proj'!Q148)/(1+'Rescale to Fit GDP Proj'!$D$148)-1</f>
        <v/>
      </c>
      <c r="Q29">
        <f>(1+'Rescale to Fit GDP Proj'!R148)/(1+'Rescale to Fit GDP Proj'!$D$148)-1</f>
        <v/>
      </c>
      <c r="R29">
        <f>(1+'Rescale to Fit GDP Proj'!S148)/(1+'Rescale to Fit GDP Proj'!$D$148)-1</f>
        <v/>
      </c>
      <c r="S29">
        <f>(1+'Rescale to Fit GDP Proj'!T148)/(1+'Rescale to Fit GDP Proj'!$D$148)-1</f>
        <v/>
      </c>
      <c r="T29">
        <f>(1+'Rescale to Fit GDP Proj'!U148)/(1+'Rescale to Fit GDP Proj'!$D$148)-1</f>
        <v/>
      </c>
      <c r="U29">
        <f>(1+'Rescale to Fit GDP Proj'!V148)/(1+'Rescale to Fit GDP Proj'!$D$148)-1</f>
        <v/>
      </c>
      <c r="V29">
        <f>(1+'Rescale to Fit GDP Proj'!W148)/(1+'Rescale to Fit GDP Proj'!$D$148)-1</f>
        <v/>
      </c>
      <c r="W29">
        <f>(1+'Rescale to Fit GDP Proj'!X148)/(1+'Rescale to Fit GDP Proj'!$D$148)-1</f>
        <v/>
      </c>
      <c r="X29">
        <f>(1+'Rescale to Fit GDP Proj'!Y148)/(1+'Rescale to Fit GDP Proj'!$D$148)-1</f>
        <v/>
      </c>
      <c r="Y29">
        <f>(1+'Rescale to Fit GDP Proj'!Z148)/(1+'Rescale to Fit GDP Proj'!$D$148)-1</f>
        <v/>
      </c>
      <c r="Z29">
        <f>(1+'Rescale to Fit GDP Proj'!AA148)/(1+'Rescale to Fit GDP Proj'!$D$148)-1</f>
        <v/>
      </c>
      <c r="AA29">
        <f>(1+'Rescale to Fit GDP Proj'!AB148)/(1+'Rescale to Fit GDP Proj'!$D$148)-1</f>
        <v/>
      </c>
      <c r="AB29">
        <f>(1+'Rescale to Fit GDP Proj'!AC148)/(1+'Rescale to Fit GDP Proj'!$D$148)-1</f>
        <v/>
      </c>
    </row>
    <row r="30">
      <c r="A30" t="inlineStr">
        <is>
          <t>ISIC 351</t>
        </is>
      </c>
      <c r="B30">
        <f>(1+'Rescale to Fit GDP Proj'!C149)/(1+'Rescale to Fit GDP Proj'!$D$149)-1</f>
        <v/>
      </c>
      <c r="C30">
        <f>(1+'Rescale to Fit GDP Proj'!D149)/(1+'Rescale to Fit GDP Proj'!$D$149)-1</f>
        <v/>
      </c>
      <c r="D30">
        <f>(1+'Rescale to Fit GDP Proj'!E149)/(1+'Rescale to Fit GDP Proj'!$D$149)-1</f>
        <v/>
      </c>
      <c r="E30">
        <f>(1+'Rescale to Fit GDP Proj'!F149)/(1+'Rescale to Fit GDP Proj'!$D$149)-1</f>
        <v/>
      </c>
      <c r="F30">
        <f>(1+'Rescale to Fit GDP Proj'!G149)/(1+'Rescale to Fit GDP Proj'!$D$149)-1</f>
        <v/>
      </c>
      <c r="G30">
        <f>(1+'Rescale to Fit GDP Proj'!H149)/(1+'Rescale to Fit GDP Proj'!$D$149)-1</f>
        <v/>
      </c>
      <c r="H30">
        <f>(1+'Rescale to Fit GDP Proj'!I149)/(1+'Rescale to Fit GDP Proj'!$D$149)-1</f>
        <v/>
      </c>
      <c r="I30">
        <f>(1+'Rescale to Fit GDP Proj'!J149)/(1+'Rescale to Fit GDP Proj'!$D$149)-1</f>
        <v/>
      </c>
      <c r="J30">
        <f>(1+'Rescale to Fit GDP Proj'!K149)/(1+'Rescale to Fit GDP Proj'!$D$149)-1</f>
        <v/>
      </c>
      <c r="K30">
        <f>(1+'Rescale to Fit GDP Proj'!L149)/(1+'Rescale to Fit GDP Proj'!$D$149)-1</f>
        <v/>
      </c>
      <c r="L30">
        <f>(1+'Rescale to Fit GDP Proj'!M149)/(1+'Rescale to Fit GDP Proj'!$D$149)-1</f>
        <v/>
      </c>
      <c r="M30">
        <f>(1+'Rescale to Fit GDP Proj'!N149)/(1+'Rescale to Fit GDP Proj'!$D$149)-1</f>
        <v/>
      </c>
      <c r="N30">
        <f>(1+'Rescale to Fit GDP Proj'!O149)/(1+'Rescale to Fit GDP Proj'!$D$149)-1</f>
        <v/>
      </c>
      <c r="O30">
        <f>(1+'Rescale to Fit GDP Proj'!P149)/(1+'Rescale to Fit GDP Proj'!$D$149)-1</f>
        <v/>
      </c>
      <c r="P30">
        <f>(1+'Rescale to Fit GDP Proj'!Q149)/(1+'Rescale to Fit GDP Proj'!$D$149)-1</f>
        <v/>
      </c>
      <c r="Q30">
        <f>(1+'Rescale to Fit GDP Proj'!R149)/(1+'Rescale to Fit GDP Proj'!$D$149)-1</f>
        <v/>
      </c>
      <c r="R30">
        <f>(1+'Rescale to Fit GDP Proj'!S149)/(1+'Rescale to Fit GDP Proj'!$D$149)-1</f>
        <v/>
      </c>
      <c r="S30">
        <f>(1+'Rescale to Fit GDP Proj'!T149)/(1+'Rescale to Fit GDP Proj'!$D$149)-1</f>
        <v/>
      </c>
      <c r="T30">
        <f>(1+'Rescale to Fit GDP Proj'!U149)/(1+'Rescale to Fit GDP Proj'!$D$149)-1</f>
        <v/>
      </c>
      <c r="U30">
        <f>(1+'Rescale to Fit GDP Proj'!V149)/(1+'Rescale to Fit GDP Proj'!$D$149)-1</f>
        <v/>
      </c>
      <c r="V30">
        <f>(1+'Rescale to Fit GDP Proj'!W149)/(1+'Rescale to Fit GDP Proj'!$D$149)-1</f>
        <v/>
      </c>
      <c r="W30">
        <f>(1+'Rescale to Fit GDP Proj'!X149)/(1+'Rescale to Fit GDP Proj'!$D$149)-1</f>
        <v/>
      </c>
      <c r="X30">
        <f>(1+'Rescale to Fit GDP Proj'!Y149)/(1+'Rescale to Fit GDP Proj'!$D$149)-1</f>
        <v/>
      </c>
      <c r="Y30">
        <f>(1+'Rescale to Fit GDP Proj'!Z149)/(1+'Rescale to Fit GDP Proj'!$D$149)-1</f>
        <v/>
      </c>
      <c r="Z30">
        <f>(1+'Rescale to Fit GDP Proj'!AA149)/(1+'Rescale to Fit GDP Proj'!$D$149)-1</f>
        <v/>
      </c>
      <c r="AA30">
        <f>(1+'Rescale to Fit GDP Proj'!AB149)/(1+'Rescale to Fit GDP Proj'!$D$149)-1</f>
        <v/>
      </c>
      <c r="AB30">
        <f>(1+'Rescale to Fit GDP Proj'!AC149)/(1+'Rescale to Fit GDP Proj'!$D$149)-1</f>
        <v/>
      </c>
    </row>
    <row r="31">
      <c r="A31" t="inlineStr">
        <is>
          <t>ISIC 352T353</t>
        </is>
      </c>
      <c r="B31">
        <f>(1+'Rescale to Fit GDP Proj'!C150)/(1+'Rescale to Fit GDP Proj'!$D$150)-1</f>
        <v/>
      </c>
      <c r="C31">
        <f>(1+'Rescale to Fit GDP Proj'!D150)/(1+'Rescale to Fit GDP Proj'!$D$150)-1</f>
        <v/>
      </c>
      <c r="D31">
        <f>(1+'Rescale to Fit GDP Proj'!E150)/(1+'Rescale to Fit GDP Proj'!$D$150)-1</f>
        <v/>
      </c>
      <c r="E31">
        <f>(1+'Rescale to Fit GDP Proj'!F150)/(1+'Rescale to Fit GDP Proj'!$D$150)-1</f>
        <v/>
      </c>
      <c r="F31">
        <f>(1+'Rescale to Fit GDP Proj'!G150)/(1+'Rescale to Fit GDP Proj'!$D$150)-1</f>
        <v/>
      </c>
      <c r="G31">
        <f>(1+'Rescale to Fit GDP Proj'!H150)/(1+'Rescale to Fit GDP Proj'!$D$150)-1</f>
        <v/>
      </c>
      <c r="H31">
        <f>(1+'Rescale to Fit GDP Proj'!I150)/(1+'Rescale to Fit GDP Proj'!$D$150)-1</f>
        <v/>
      </c>
      <c r="I31">
        <f>(1+'Rescale to Fit GDP Proj'!J150)/(1+'Rescale to Fit GDP Proj'!$D$150)-1</f>
        <v/>
      </c>
      <c r="J31">
        <f>(1+'Rescale to Fit GDP Proj'!K150)/(1+'Rescale to Fit GDP Proj'!$D$150)-1</f>
        <v/>
      </c>
      <c r="K31">
        <f>(1+'Rescale to Fit GDP Proj'!L150)/(1+'Rescale to Fit GDP Proj'!$D$150)-1</f>
        <v/>
      </c>
      <c r="L31">
        <f>(1+'Rescale to Fit GDP Proj'!M150)/(1+'Rescale to Fit GDP Proj'!$D$150)-1</f>
        <v/>
      </c>
      <c r="M31">
        <f>(1+'Rescale to Fit GDP Proj'!N150)/(1+'Rescale to Fit GDP Proj'!$D$150)-1</f>
        <v/>
      </c>
      <c r="N31">
        <f>(1+'Rescale to Fit GDP Proj'!O150)/(1+'Rescale to Fit GDP Proj'!$D$150)-1</f>
        <v/>
      </c>
      <c r="O31">
        <f>(1+'Rescale to Fit GDP Proj'!P150)/(1+'Rescale to Fit GDP Proj'!$D$150)-1</f>
        <v/>
      </c>
      <c r="P31">
        <f>(1+'Rescale to Fit GDP Proj'!Q150)/(1+'Rescale to Fit GDP Proj'!$D$150)-1</f>
        <v/>
      </c>
      <c r="Q31">
        <f>(1+'Rescale to Fit GDP Proj'!R150)/(1+'Rescale to Fit GDP Proj'!$D$150)-1</f>
        <v/>
      </c>
      <c r="R31">
        <f>(1+'Rescale to Fit GDP Proj'!S150)/(1+'Rescale to Fit GDP Proj'!$D$150)-1</f>
        <v/>
      </c>
      <c r="S31">
        <f>(1+'Rescale to Fit GDP Proj'!T150)/(1+'Rescale to Fit GDP Proj'!$D$150)-1</f>
        <v/>
      </c>
      <c r="T31">
        <f>(1+'Rescale to Fit GDP Proj'!U150)/(1+'Rescale to Fit GDP Proj'!$D$150)-1</f>
        <v/>
      </c>
      <c r="U31">
        <f>(1+'Rescale to Fit GDP Proj'!V150)/(1+'Rescale to Fit GDP Proj'!$D$150)-1</f>
        <v/>
      </c>
      <c r="V31">
        <f>(1+'Rescale to Fit GDP Proj'!W150)/(1+'Rescale to Fit GDP Proj'!$D$150)-1</f>
        <v/>
      </c>
      <c r="W31">
        <f>(1+'Rescale to Fit GDP Proj'!X150)/(1+'Rescale to Fit GDP Proj'!$D$150)-1</f>
        <v/>
      </c>
      <c r="X31">
        <f>(1+'Rescale to Fit GDP Proj'!Y150)/(1+'Rescale to Fit GDP Proj'!$D$150)-1</f>
        <v/>
      </c>
      <c r="Y31">
        <f>(1+'Rescale to Fit GDP Proj'!Z150)/(1+'Rescale to Fit GDP Proj'!$D$150)-1</f>
        <v/>
      </c>
      <c r="Z31">
        <f>(1+'Rescale to Fit GDP Proj'!AA150)/(1+'Rescale to Fit GDP Proj'!$D$150)-1</f>
        <v/>
      </c>
      <c r="AA31">
        <f>(1+'Rescale to Fit GDP Proj'!AB150)/(1+'Rescale to Fit GDP Proj'!$D$150)-1</f>
        <v/>
      </c>
      <c r="AB31">
        <f>(1+'Rescale to Fit GDP Proj'!AC150)/(1+'Rescale to Fit GDP Proj'!$D$150)-1</f>
        <v/>
      </c>
    </row>
    <row r="32">
      <c r="A32" t="inlineStr">
        <is>
          <t>ISIC 36T39</t>
        </is>
      </c>
      <c r="B32">
        <f>(1+'Rescale to Fit GDP Proj'!C151)/(1+'Rescale to Fit GDP Proj'!$D$151)-1</f>
        <v/>
      </c>
      <c r="C32">
        <f>(1+'Rescale to Fit GDP Proj'!D151)/(1+'Rescale to Fit GDP Proj'!$D$151)-1</f>
        <v/>
      </c>
      <c r="D32">
        <f>(1+'Rescale to Fit GDP Proj'!E151)/(1+'Rescale to Fit GDP Proj'!$D$151)-1</f>
        <v/>
      </c>
      <c r="E32">
        <f>(1+'Rescale to Fit GDP Proj'!F151)/(1+'Rescale to Fit GDP Proj'!$D$151)-1</f>
        <v/>
      </c>
      <c r="F32">
        <f>(1+'Rescale to Fit GDP Proj'!G151)/(1+'Rescale to Fit GDP Proj'!$D$151)-1</f>
        <v/>
      </c>
      <c r="G32">
        <f>(1+'Rescale to Fit GDP Proj'!H151)/(1+'Rescale to Fit GDP Proj'!$D$151)-1</f>
        <v/>
      </c>
      <c r="H32">
        <f>(1+'Rescale to Fit GDP Proj'!I151)/(1+'Rescale to Fit GDP Proj'!$D$151)-1</f>
        <v/>
      </c>
      <c r="I32">
        <f>(1+'Rescale to Fit GDP Proj'!J151)/(1+'Rescale to Fit GDP Proj'!$D$151)-1</f>
        <v/>
      </c>
      <c r="J32">
        <f>(1+'Rescale to Fit GDP Proj'!K151)/(1+'Rescale to Fit GDP Proj'!$D$151)-1</f>
        <v/>
      </c>
      <c r="K32">
        <f>(1+'Rescale to Fit GDP Proj'!L151)/(1+'Rescale to Fit GDP Proj'!$D$151)-1</f>
        <v/>
      </c>
      <c r="L32">
        <f>(1+'Rescale to Fit GDP Proj'!M151)/(1+'Rescale to Fit GDP Proj'!$D$151)-1</f>
        <v/>
      </c>
      <c r="M32">
        <f>(1+'Rescale to Fit GDP Proj'!N151)/(1+'Rescale to Fit GDP Proj'!$D$151)-1</f>
        <v/>
      </c>
      <c r="N32">
        <f>(1+'Rescale to Fit GDP Proj'!O151)/(1+'Rescale to Fit GDP Proj'!$D$151)-1</f>
        <v/>
      </c>
      <c r="O32">
        <f>(1+'Rescale to Fit GDP Proj'!P151)/(1+'Rescale to Fit GDP Proj'!$D$151)-1</f>
        <v/>
      </c>
      <c r="P32">
        <f>(1+'Rescale to Fit GDP Proj'!Q151)/(1+'Rescale to Fit GDP Proj'!$D$151)-1</f>
        <v/>
      </c>
      <c r="Q32">
        <f>(1+'Rescale to Fit GDP Proj'!R151)/(1+'Rescale to Fit GDP Proj'!$D$151)-1</f>
        <v/>
      </c>
      <c r="R32">
        <f>(1+'Rescale to Fit GDP Proj'!S151)/(1+'Rescale to Fit GDP Proj'!$D$151)-1</f>
        <v/>
      </c>
      <c r="S32">
        <f>(1+'Rescale to Fit GDP Proj'!T151)/(1+'Rescale to Fit GDP Proj'!$D$151)-1</f>
        <v/>
      </c>
      <c r="T32">
        <f>(1+'Rescale to Fit GDP Proj'!U151)/(1+'Rescale to Fit GDP Proj'!$D$151)-1</f>
        <v/>
      </c>
      <c r="U32">
        <f>(1+'Rescale to Fit GDP Proj'!V151)/(1+'Rescale to Fit GDP Proj'!$D$151)-1</f>
        <v/>
      </c>
      <c r="V32">
        <f>(1+'Rescale to Fit GDP Proj'!W151)/(1+'Rescale to Fit GDP Proj'!$D$151)-1</f>
        <v/>
      </c>
      <c r="W32">
        <f>(1+'Rescale to Fit GDP Proj'!X151)/(1+'Rescale to Fit GDP Proj'!$D$151)-1</f>
        <v/>
      </c>
      <c r="X32">
        <f>(1+'Rescale to Fit GDP Proj'!Y151)/(1+'Rescale to Fit GDP Proj'!$D$151)-1</f>
        <v/>
      </c>
      <c r="Y32">
        <f>(1+'Rescale to Fit GDP Proj'!Z151)/(1+'Rescale to Fit GDP Proj'!$D$151)-1</f>
        <v/>
      </c>
      <c r="Z32">
        <f>(1+'Rescale to Fit GDP Proj'!AA151)/(1+'Rescale to Fit GDP Proj'!$D$151)-1</f>
        <v/>
      </c>
      <c r="AA32">
        <f>(1+'Rescale to Fit GDP Proj'!AB151)/(1+'Rescale to Fit GDP Proj'!$D$151)-1</f>
        <v/>
      </c>
      <c r="AB32">
        <f>(1+'Rescale to Fit GDP Proj'!AC151)/(1+'Rescale to Fit GDP Proj'!$D$151)-1</f>
        <v/>
      </c>
    </row>
    <row r="33">
      <c r="A33" t="inlineStr">
        <is>
          <t>ISIC 41T43</t>
        </is>
      </c>
      <c r="B33">
        <f>(1+'Rescale to Fit GDP Proj'!C152)/(1+'Rescale to Fit GDP Proj'!$D$152)-1</f>
        <v/>
      </c>
      <c r="C33">
        <f>(1+'Rescale to Fit GDP Proj'!D152)/(1+'Rescale to Fit GDP Proj'!$D$152)-1</f>
        <v/>
      </c>
      <c r="D33">
        <f>(1+'Rescale to Fit GDP Proj'!E152)/(1+'Rescale to Fit GDP Proj'!$D$152)-1</f>
        <v/>
      </c>
      <c r="E33">
        <f>(1+'Rescale to Fit GDP Proj'!F152)/(1+'Rescale to Fit GDP Proj'!$D$152)-1</f>
        <v/>
      </c>
      <c r="F33">
        <f>(1+'Rescale to Fit GDP Proj'!G152)/(1+'Rescale to Fit GDP Proj'!$D$152)-1</f>
        <v/>
      </c>
      <c r="G33">
        <f>(1+'Rescale to Fit GDP Proj'!H152)/(1+'Rescale to Fit GDP Proj'!$D$152)-1</f>
        <v/>
      </c>
      <c r="H33">
        <f>(1+'Rescale to Fit GDP Proj'!I152)/(1+'Rescale to Fit GDP Proj'!$D$152)-1</f>
        <v/>
      </c>
      <c r="I33">
        <f>(1+'Rescale to Fit GDP Proj'!J152)/(1+'Rescale to Fit GDP Proj'!$D$152)-1</f>
        <v/>
      </c>
      <c r="J33">
        <f>(1+'Rescale to Fit GDP Proj'!K152)/(1+'Rescale to Fit GDP Proj'!$D$152)-1</f>
        <v/>
      </c>
      <c r="K33">
        <f>(1+'Rescale to Fit GDP Proj'!L152)/(1+'Rescale to Fit GDP Proj'!$D$152)-1</f>
        <v/>
      </c>
      <c r="L33">
        <f>(1+'Rescale to Fit GDP Proj'!M152)/(1+'Rescale to Fit GDP Proj'!$D$152)-1</f>
        <v/>
      </c>
      <c r="M33">
        <f>(1+'Rescale to Fit GDP Proj'!N152)/(1+'Rescale to Fit GDP Proj'!$D$152)-1</f>
        <v/>
      </c>
      <c r="N33">
        <f>(1+'Rescale to Fit GDP Proj'!O152)/(1+'Rescale to Fit GDP Proj'!$D$152)-1</f>
        <v/>
      </c>
      <c r="O33">
        <f>(1+'Rescale to Fit GDP Proj'!P152)/(1+'Rescale to Fit GDP Proj'!$D$152)-1</f>
        <v/>
      </c>
      <c r="P33">
        <f>(1+'Rescale to Fit GDP Proj'!Q152)/(1+'Rescale to Fit GDP Proj'!$D$152)-1</f>
        <v/>
      </c>
      <c r="Q33">
        <f>(1+'Rescale to Fit GDP Proj'!R152)/(1+'Rescale to Fit GDP Proj'!$D$152)-1</f>
        <v/>
      </c>
      <c r="R33">
        <f>(1+'Rescale to Fit GDP Proj'!S152)/(1+'Rescale to Fit GDP Proj'!$D$152)-1</f>
        <v/>
      </c>
      <c r="S33">
        <f>(1+'Rescale to Fit GDP Proj'!T152)/(1+'Rescale to Fit GDP Proj'!$D$152)-1</f>
        <v/>
      </c>
      <c r="T33">
        <f>(1+'Rescale to Fit GDP Proj'!U152)/(1+'Rescale to Fit GDP Proj'!$D$152)-1</f>
        <v/>
      </c>
      <c r="U33">
        <f>(1+'Rescale to Fit GDP Proj'!V152)/(1+'Rescale to Fit GDP Proj'!$D$152)-1</f>
        <v/>
      </c>
      <c r="V33">
        <f>(1+'Rescale to Fit GDP Proj'!W152)/(1+'Rescale to Fit GDP Proj'!$D$152)-1</f>
        <v/>
      </c>
      <c r="W33">
        <f>(1+'Rescale to Fit GDP Proj'!X152)/(1+'Rescale to Fit GDP Proj'!$D$152)-1</f>
        <v/>
      </c>
      <c r="X33">
        <f>(1+'Rescale to Fit GDP Proj'!Y152)/(1+'Rescale to Fit GDP Proj'!$D$152)-1</f>
        <v/>
      </c>
      <c r="Y33">
        <f>(1+'Rescale to Fit GDP Proj'!Z152)/(1+'Rescale to Fit GDP Proj'!$D$152)-1</f>
        <v/>
      </c>
      <c r="Z33">
        <f>(1+'Rescale to Fit GDP Proj'!AA152)/(1+'Rescale to Fit GDP Proj'!$D$152)-1</f>
        <v/>
      </c>
      <c r="AA33">
        <f>(1+'Rescale to Fit GDP Proj'!AB152)/(1+'Rescale to Fit GDP Proj'!$D$152)-1</f>
        <v/>
      </c>
      <c r="AB33">
        <f>(1+'Rescale to Fit GDP Proj'!AC152)/(1+'Rescale to Fit GDP Proj'!$D$152)-1</f>
        <v/>
      </c>
    </row>
    <row r="34">
      <c r="A34" t="inlineStr">
        <is>
          <t>ISIC 45T47</t>
        </is>
      </c>
      <c r="B34">
        <f>(1+'Rescale to Fit GDP Proj'!C153)/(1+'Rescale to Fit GDP Proj'!$D$153)-1</f>
        <v/>
      </c>
      <c r="C34">
        <f>(1+'Rescale to Fit GDP Proj'!D153)/(1+'Rescale to Fit GDP Proj'!$D$153)-1</f>
        <v/>
      </c>
      <c r="D34">
        <f>(1+'Rescale to Fit GDP Proj'!E153)/(1+'Rescale to Fit GDP Proj'!$D$153)-1</f>
        <v/>
      </c>
      <c r="E34">
        <f>(1+'Rescale to Fit GDP Proj'!F153)/(1+'Rescale to Fit GDP Proj'!$D$153)-1</f>
        <v/>
      </c>
      <c r="F34">
        <f>(1+'Rescale to Fit GDP Proj'!G153)/(1+'Rescale to Fit GDP Proj'!$D$153)-1</f>
        <v/>
      </c>
      <c r="G34">
        <f>(1+'Rescale to Fit GDP Proj'!H153)/(1+'Rescale to Fit GDP Proj'!$D$153)-1</f>
        <v/>
      </c>
      <c r="H34">
        <f>(1+'Rescale to Fit GDP Proj'!I153)/(1+'Rescale to Fit GDP Proj'!$D$153)-1</f>
        <v/>
      </c>
      <c r="I34">
        <f>(1+'Rescale to Fit GDP Proj'!J153)/(1+'Rescale to Fit GDP Proj'!$D$153)-1</f>
        <v/>
      </c>
      <c r="J34">
        <f>(1+'Rescale to Fit GDP Proj'!K153)/(1+'Rescale to Fit GDP Proj'!$D$153)-1</f>
        <v/>
      </c>
      <c r="K34">
        <f>(1+'Rescale to Fit GDP Proj'!L153)/(1+'Rescale to Fit GDP Proj'!$D$153)-1</f>
        <v/>
      </c>
      <c r="L34">
        <f>(1+'Rescale to Fit GDP Proj'!M153)/(1+'Rescale to Fit GDP Proj'!$D$153)-1</f>
        <v/>
      </c>
      <c r="M34">
        <f>(1+'Rescale to Fit GDP Proj'!N153)/(1+'Rescale to Fit GDP Proj'!$D$153)-1</f>
        <v/>
      </c>
      <c r="N34">
        <f>(1+'Rescale to Fit GDP Proj'!O153)/(1+'Rescale to Fit GDP Proj'!$D$153)-1</f>
        <v/>
      </c>
      <c r="O34">
        <f>(1+'Rescale to Fit GDP Proj'!P153)/(1+'Rescale to Fit GDP Proj'!$D$153)-1</f>
        <v/>
      </c>
      <c r="P34">
        <f>(1+'Rescale to Fit GDP Proj'!Q153)/(1+'Rescale to Fit GDP Proj'!$D$153)-1</f>
        <v/>
      </c>
      <c r="Q34">
        <f>(1+'Rescale to Fit GDP Proj'!R153)/(1+'Rescale to Fit GDP Proj'!$D$153)-1</f>
        <v/>
      </c>
      <c r="R34">
        <f>(1+'Rescale to Fit GDP Proj'!S153)/(1+'Rescale to Fit GDP Proj'!$D$153)-1</f>
        <v/>
      </c>
      <c r="S34">
        <f>(1+'Rescale to Fit GDP Proj'!T153)/(1+'Rescale to Fit GDP Proj'!$D$153)-1</f>
        <v/>
      </c>
      <c r="T34">
        <f>(1+'Rescale to Fit GDP Proj'!U153)/(1+'Rescale to Fit GDP Proj'!$D$153)-1</f>
        <v/>
      </c>
      <c r="U34">
        <f>(1+'Rescale to Fit GDP Proj'!V153)/(1+'Rescale to Fit GDP Proj'!$D$153)-1</f>
        <v/>
      </c>
      <c r="V34">
        <f>(1+'Rescale to Fit GDP Proj'!W153)/(1+'Rescale to Fit GDP Proj'!$D$153)-1</f>
        <v/>
      </c>
      <c r="W34">
        <f>(1+'Rescale to Fit GDP Proj'!X153)/(1+'Rescale to Fit GDP Proj'!$D$153)-1</f>
        <v/>
      </c>
      <c r="X34">
        <f>(1+'Rescale to Fit GDP Proj'!Y153)/(1+'Rescale to Fit GDP Proj'!$D$153)-1</f>
        <v/>
      </c>
      <c r="Y34">
        <f>(1+'Rescale to Fit GDP Proj'!Z153)/(1+'Rescale to Fit GDP Proj'!$D$153)-1</f>
        <v/>
      </c>
      <c r="Z34">
        <f>(1+'Rescale to Fit GDP Proj'!AA153)/(1+'Rescale to Fit GDP Proj'!$D$153)-1</f>
        <v/>
      </c>
      <c r="AA34">
        <f>(1+'Rescale to Fit GDP Proj'!AB153)/(1+'Rescale to Fit GDP Proj'!$D$153)-1</f>
        <v/>
      </c>
      <c r="AB34">
        <f>(1+'Rescale to Fit GDP Proj'!AC153)/(1+'Rescale to Fit GDP Proj'!$D$153)-1</f>
        <v/>
      </c>
    </row>
    <row r="35">
      <c r="A35" t="inlineStr">
        <is>
          <t>ISIC 49</t>
        </is>
      </c>
      <c r="B35">
        <f>(1+'Rescale to Fit GDP Proj'!C154)/(1+'Rescale to Fit GDP Proj'!$D$154)-1</f>
        <v/>
      </c>
      <c r="C35">
        <f>(1+'Rescale to Fit GDP Proj'!D154)/(1+'Rescale to Fit GDP Proj'!$D$154)-1</f>
        <v/>
      </c>
      <c r="D35">
        <f>(1+'Rescale to Fit GDP Proj'!E154)/(1+'Rescale to Fit GDP Proj'!$D$154)-1</f>
        <v/>
      </c>
      <c r="E35">
        <f>(1+'Rescale to Fit GDP Proj'!F154)/(1+'Rescale to Fit GDP Proj'!$D$154)-1</f>
        <v/>
      </c>
      <c r="F35">
        <f>(1+'Rescale to Fit GDP Proj'!G154)/(1+'Rescale to Fit GDP Proj'!$D$154)-1</f>
        <v/>
      </c>
      <c r="G35">
        <f>(1+'Rescale to Fit GDP Proj'!H154)/(1+'Rescale to Fit GDP Proj'!$D$154)-1</f>
        <v/>
      </c>
      <c r="H35">
        <f>(1+'Rescale to Fit GDP Proj'!I154)/(1+'Rescale to Fit GDP Proj'!$D$154)-1</f>
        <v/>
      </c>
      <c r="I35">
        <f>(1+'Rescale to Fit GDP Proj'!J154)/(1+'Rescale to Fit GDP Proj'!$D$154)-1</f>
        <v/>
      </c>
      <c r="J35">
        <f>(1+'Rescale to Fit GDP Proj'!K154)/(1+'Rescale to Fit GDP Proj'!$D$154)-1</f>
        <v/>
      </c>
      <c r="K35">
        <f>(1+'Rescale to Fit GDP Proj'!L154)/(1+'Rescale to Fit GDP Proj'!$D$154)-1</f>
        <v/>
      </c>
      <c r="L35">
        <f>(1+'Rescale to Fit GDP Proj'!M154)/(1+'Rescale to Fit GDP Proj'!$D$154)-1</f>
        <v/>
      </c>
      <c r="M35">
        <f>(1+'Rescale to Fit GDP Proj'!N154)/(1+'Rescale to Fit GDP Proj'!$D$154)-1</f>
        <v/>
      </c>
      <c r="N35">
        <f>(1+'Rescale to Fit GDP Proj'!O154)/(1+'Rescale to Fit GDP Proj'!$D$154)-1</f>
        <v/>
      </c>
      <c r="O35">
        <f>(1+'Rescale to Fit GDP Proj'!P154)/(1+'Rescale to Fit GDP Proj'!$D$154)-1</f>
        <v/>
      </c>
      <c r="P35">
        <f>(1+'Rescale to Fit GDP Proj'!Q154)/(1+'Rescale to Fit GDP Proj'!$D$154)-1</f>
        <v/>
      </c>
      <c r="Q35">
        <f>(1+'Rescale to Fit GDP Proj'!R154)/(1+'Rescale to Fit GDP Proj'!$D$154)-1</f>
        <v/>
      </c>
      <c r="R35">
        <f>(1+'Rescale to Fit GDP Proj'!S154)/(1+'Rescale to Fit GDP Proj'!$D$154)-1</f>
        <v/>
      </c>
      <c r="S35">
        <f>(1+'Rescale to Fit GDP Proj'!T154)/(1+'Rescale to Fit GDP Proj'!$D$154)-1</f>
        <v/>
      </c>
      <c r="T35">
        <f>(1+'Rescale to Fit GDP Proj'!U154)/(1+'Rescale to Fit GDP Proj'!$D$154)-1</f>
        <v/>
      </c>
      <c r="U35">
        <f>(1+'Rescale to Fit GDP Proj'!V154)/(1+'Rescale to Fit GDP Proj'!$D$154)-1</f>
        <v/>
      </c>
      <c r="V35">
        <f>(1+'Rescale to Fit GDP Proj'!W154)/(1+'Rescale to Fit GDP Proj'!$D$154)-1</f>
        <v/>
      </c>
      <c r="W35">
        <f>(1+'Rescale to Fit GDP Proj'!X154)/(1+'Rescale to Fit GDP Proj'!$D$154)-1</f>
        <v/>
      </c>
      <c r="X35">
        <f>(1+'Rescale to Fit GDP Proj'!Y154)/(1+'Rescale to Fit GDP Proj'!$D$154)-1</f>
        <v/>
      </c>
      <c r="Y35">
        <f>(1+'Rescale to Fit GDP Proj'!Z154)/(1+'Rescale to Fit GDP Proj'!$D$154)-1</f>
        <v/>
      </c>
      <c r="Z35">
        <f>(1+'Rescale to Fit GDP Proj'!AA154)/(1+'Rescale to Fit GDP Proj'!$D$154)-1</f>
        <v/>
      </c>
      <c r="AA35">
        <f>(1+'Rescale to Fit GDP Proj'!AB154)/(1+'Rescale to Fit GDP Proj'!$D$154)-1</f>
        <v/>
      </c>
      <c r="AB35">
        <f>(1+'Rescale to Fit GDP Proj'!AC154)/(1+'Rescale to Fit GDP Proj'!$D$154)-1</f>
        <v/>
      </c>
    </row>
    <row r="36">
      <c r="A36" t="inlineStr">
        <is>
          <t>ISIC 50</t>
        </is>
      </c>
      <c r="B36">
        <f>(1+'Rescale to Fit GDP Proj'!C155)/(1+'Rescale to Fit GDP Proj'!$D$155)-1</f>
        <v/>
      </c>
      <c r="C36">
        <f>(1+'Rescale to Fit GDP Proj'!D155)/(1+'Rescale to Fit GDP Proj'!$D$155)-1</f>
        <v/>
      </c>
      <c r="D36">
        <f>(1+'Rescale to Fit GDP Proj'!E155)/(1+'Rescale to Fit GDP Proj'!$D$155)-1</f>
        <v/>
      </c>
      <c r="E36">
        <f>(1+'Rescale to Fit GDP Proj'!F155)/(1+'Rescale to Fit GDP Proj'!$D$155)-1</f>
        <v/>
      </c>
      <c r="F36">
        <f>(1+'Rescale to Fit GDP Proj'!G155)/(1+'Rescale to Fit GDP Proj'!$D$155)-1</f>
        <v/>
      </c>
      <c r="G36">
        <f>(1+'Rescale to Fit GDP Proj'!H155)/(1+'Rescale to Fit GDP Proj'!$D$155)-1</f>
        <v/>
      </c>
      <c r="H36">
        <f>(1+'Rescale to Fit GDP Proj'!I155)/(1+'Rescale to Fit GDP Proj'!$D$155)-1</f>
        <v/>
      </c>
      <c r="I36">
        <f>(1+'Rescale to Fit GDP Proj'!J155)/(1+'Rescale to Fit GDP Proj'!$D$155)-1</f>
        <v/>
      </c>
      <c r="J36">
        <f>(1+'Rescale to Fit GDP Proj'!K155)/(1+'Rescale to Fit GDP Proj'!$D$155)-1</f>
        <v/>
      </c>
      <c r="K36">
        <f>(1+'Rescale to Fit GDP Proj'!L155)/(1+'Rescale to Fit GDP Proj'!$D$155)-1</f>
        <v/>
      </c>
      <c r="L36">
        <f>(1+'Rescale to Fit GDP Proj'!M155)/(1+'Rescale to Fit GDP Proj'!$D$155)-1</f>
        <v/>
      </c>
      <c r="M36">
        <f>(1+'Rescale to Fit GDP Proj'!N155)/(1+'Rescale to Fit GDP Proj'!$D$155)-1</f>
        <v/>
      </c>
      <c r="N36">
        <f>(1+'Rescale to Fit GDP Proj'!O155)/(1+'Rescale to Fit GDP Proj'!$D$155)-1</f>
        <v/>
      </c>
      <c r="O36">
        <f>(1+'Rescale to Fit GDP Proj'!P155)/(1+'Rescale to Fit GDP Proj'!$D$155)-1</f>
        <v/>
      </c>
      <c r="P36">
        <f>(1+'Rescale to Fit GDP Proj'!Q155)/(1+'Rescale to Fit GDP Proj'!$D$155)-1</f>
        <v/>
      </c>
      <c r="Q36">
        <f>(1+'Rescale to Fit GDP Proj'!R155)/(1+'Rescale to Fit GDP Proj'!$D$155)-1</f>
        <v/>
      </c>
      <c r="R36">
        <f>(1+'Rescale to Fit GDP Proj'!S155)/(1+'Rescale to Fit GDP Proj'!$D$155)-1</f>
        <v/>
      </c>
      <c r="S36">
        <f>(1+'Rescale to Fit GDP Proj'!T155)/(1+'Rescale to Fit GDP Proj'!$D$155)-1</f>
        <v/>
      </c>
      <c r="T36">
        <f>(1+'Rescale to Fit GDP Proj'!U155)/(1+'Rescale to Fit GDP Proj'!$D$155)-1</f>
        <v/>
      </c>
      <c r="U36">
        <f>(1+'Rescale to Fit GDP Proj'!V155)/(1+'Rescale to Fit GDP Proj'!$D$155)-1</f>
        <v/>
      </c>
      <c r="V36">
        <f>(1+'Rescale to Fit GDP Proj'!W155)/(1+'Rescale to Fit GDP Proj'!$D$155)-1</f>
        <v/>
      </c>
      <c r="W36">
        <f>(1+'Rescale to Fit GDP Proj'!X155)/(1+'Rescale to Fit GDP Proj'!$D$155)-1</f>
        <v/>
      </c>
      <c r="X36">
        <f>(1+'Rescale to Fit GDP Proj'!Y155)/(1+'Rescale to Fit GDP Proj'!$D$155)-1</f>
        <v/>
      </c>
      <c r="Y36">
        <f>(1+'Rescale to Fit GDP Proj'!Z155)/(1+'Rescale to Fit GDP Proj'!$D$155)-1</f>
        <v/>
      </c>
      <c r="Z36">
        <f>(1+'Rescale to Fit GDP Proj'!AA155)/(1+'Rescale to Fit GDP Proj'!$D$155)-1</f>
        <v/>
      </c>
      <c r="AA36">
        <f>(1+'Rescale to Fit GDP Proj'!AB155)/(1+'Rescale to Fit GDP Proj'!$D$155)-1</f>
        <v/>
      </c>
      <c r="AB36">
        <f>(1+'Rescale to Fit GDP Proj'!AC155)/(1+'Rescale to Fit GDP Proj'!$D$155)-1</f>
        <v/>
      </c>
    </row>
    <row r="37">
      <c r="A37" t="inlineStr">
        <is>
          <t>ISIC 51</t>
        </is>
      </c>
      <c r="B37">
        <f>(1+'Rescale to Fit GDP Proj'!C156)/(1+'Rescale to Fit GDP Proj'!$D$156)-1</f>
        <v/>
      </c>
      <c r="C37">
        <f>(1+'Rescale to Fit GDP Proj'!D156)/(1+'Rescale to Fit GDP Proj'!$D$156)-1</f>
        <v/>
      </c>
      <c r="D37">
        <f>(1+'Rescale to Fit GDP Proj'!E156)/(1+'Rescale to Fit GDP Proj'!$D$156)-1</f>
        <v/>
      </c>
      <c r="E37">
        <f>(1+'Rescale to Fit GDP Proj'!F156)/(1+'Rescale to Fit GDP Proj'!$D$156)-1</f>
        <v/>
      </c>
      <c r="F37">
        <f>(1+'Rescale to Fit GDP Proj'!G156)/(1+'Rescale to Fit GDP Proj'!$D$156)-1</f>
        <v/>
      </c>
      <c r="G37">
        <f>(1+'Rescale to Fit GDP Proj'!H156)/(1+'Rescale to Fit GDP Proj'!$D$156)-1</f>
        <v/>
      </c>
      <c r="H37">
        <f>(1+'Rescale to Fit GDP Proj'!I156)/(1+'Rescale to Fit GDP Proj'!$D$156)-1</f>
        <v/>
      </c>
      <c r="I37">
        <f>(1+'Rescale to Fit GDP Proj'!J156)/(1+'Rescale to Fit GDP Proj'!$D$156)-1</f>
        <v/>
      </c>
      <c r="J37">
        <f>(1+'Rescale to Fit GDP Proj'!K156)/(1+'Rescale to Fit GDP Proj'!$D$156)-1</f>
        <v/>
      </c>
      <c r="K37">
        <f>(1+'Rescale to Fit GDP Proj'!L156)/(1+'Rescale to Fit GDP Proj'!$D$156)-1</f>
        <v/>
      </c>
      <c r="L37">
        <f>(1+'Rescale to Fit GDP Proj'!M156)/(1+'Rescale to Fit GDP Proj'!$D$156)-1</f>
        <v/>
      </c>
      <c r="M37">
        <f>(1+'Rescale to Fit GDP Proj'!N156)/(1+'Rescale to Fit GDP Proj'!$D$156)-1</f>
        <v/>
      </c>
      <c r="N37">
        <f>(1+'Rescale to Fit GDP Proj'!O156)/(1+'Rescale to Fit GDP Proj'!$D$156)-1</f>
        <v/>
      </c>
      <c r="O37">
        <f>(1+'Rescale to Fit GDP Proj'!P156)/(1+'Rescale to Fit GDP Proj'!$D$156)-1</f>
        <v/>
      </c>
      <c r="P37">
        <f>(1+'Rescale to Fit GDP Proj'!Q156)/(1+'Rescale to Fit GDP Proj'!$D$156)-1</f>
        <v/>
      </c>
      <c r="Q37">
        <f>(1+'Rescale to Fit GDP Proj'!R156)/(1+'Rescale to Fit GDP Proj'!$D$156)-1</f>
        <v/>
      </c>
      <c r="R37">
        <f>(1+'Rescale to Fit GDP Proj'!S156)/(1+'Rescale to Fit GDP Proj'!$D$156)-1</f>
        <v/>
      </c>
      <c r="S37">
        <f>(1+'Rescale to Fit GDP Proj'!T156)/(1+'Rescale to Fit GDP Proj'!$D$156)-1</f>
        <v/>
      </c>
      <c r="T37">
        <f>(1+'Rescale to Fit GDP Proj'!U156)/(1+'Rescale to Fit GDP Proj'!$D$156)-1</f>
        <v/>
      </c>
      <c r="U37">
        <f>(1+'Rescale to Fit GDP Proj'!V156)/(1+'Rescale to Fit GDP Proj'!$D$156)-1</f>
        <v/>
      </c>
      <c r="V37">
        <f>(1+'Rescale to Fit GDP Proj'!W156)/(1+'Rescale to Fit GDP Proj'!$D$156)-1</f>
        <v/>
      </c>
      <c r="W37">
        <f>(1+'Rescale to Fit GDP Proj'!X156)/(1+'Rescale to Fit GDP Proj'!$D$156)-1</f>
        <v/>
      </c>
      <c r="X37">
        <f>(1+'Rescale to Fit GDP Proj'!Y156)/(1+'Rescale to Fit GDP Proj'!$D$156)-1</f>
        <v/>
      </c>
      <c r="Y37">
        <f>(1+'Rescale to Fit GDP Proj'!Z156)/(1+'Rescale to Fit GDP Proj'!$D$156)-1</f>
        <v/>
      </c>
      <c r="Z37">
        <f>(1+'Rescale to Fit GDP Proj'!AA156)/(1+'Rescale to Fit GDP Proj'!$D$156)-1</f>
        <v/>
      </c>
      <c r="AA37">
        <f>(1+'Rescale to Fit GDP Proj'!AB156)/(1+'Rescale to Fit GDP Proj'!$D$156)-1</f>
        <v/>
      </c>
      <c r="AB37">
        <f>(1+'Rescale to Fit GDP Proj'!AC156)/(1+'Rescale to Fit GDP Proj'!$D$156)-1</f>
        <v/>
      </c>
    </row>
    <row r="38">
      <c r="A38" t="inlineStr">
        <is>
          <t>ISIC 52</t>
        </is>
      </c>
      <c r="B38">
        <f>(1+'Rescale to Fit GDP Proj'!C157)/(1+'Rescale to Fit GDP Proj'!$D$157)-1</f>
        <v/>
      </c>
      <c r="C38">
        <f>(1+'Rescale to Fit GDP Proj'!D157)/(1+'Rescale to Fit GDP Proj'!$D$157)-1</f>
        <v/>
      </c>
      <c r="D38">
        <f>(1+'Rescale to Fit GDP Proj'!E157)/(1+'Rescale to Fit GDP Proj'!$D$157)-1</f>
        <v/>
      </c>
      <c r="E38">
        <f>(1+'Rescale to Fit GDP Proj'!F157)/(1+'Rescale to Fit GDP Proj'!$D$157)-1</f>
        <v/>
      </c>
      <c r="F38">
        <f>(1+'Rescale to Fit GDP Proj'!G157)/(1+'Rescale to Fit GDP Proj'!$D$157)-1</f>
        <v/>
      </c>
      <c r="G38">
        <f>(1+'Rescale to Fit GDP Proj'!H157)/(1+'Rescale to Fit GDP Proj'!$D$157)-1</f>
        <v/>
      </c>
      <c r="H38">
        <f>(1+'Rescale to Fit GDP Proj'!I157)/(1+'Rescale to Fit GDP Proj'!$D$157)-1</f>
        <v/>
      </c>
      <c r="I38">
        <f>(1+'Rescale to Fit GDP Proj'!J157)/(1+'Rescale to Fit GDP Proj'!$D$157)-1</f>
        <v/>
      </c>
      <c r="J38">
        <f>(1+'Rescale to Fit GDP Proj'!K157)/(1+'Rescale to Fit GDP Proj'!$D$157)-1</f>
        <v/>
      </c>
      <c r="K38">
        <f>(1+'Rescale to Fit GDP Proj'!L157)/(1+'Rescale to Fit GDP Proj'!$D$157)-1</f>
        <v/>
      </c>
      <c r="L38">
        <f>(1+'Rescale to Fit GDP Proj'!M157)/(1+'Rescale to Fit GDP Proj'!$D$157)-1</f>
        <v/>
      </c>
      <c r="M38">
        <f>(1+'Rescale to Fit GDP Proj'!N157)/(1+'Rescale to Fit GDP Proj'!$D$157)-1</f>
        <v/>
      </c>
      <c r="N38">
        <f>(1+'Rescale to Fit GDP Proj'!O157)/(1+'Rescale to Fit GDP Proj'!$D$157)-1</f>
        <v/>
      </c>
      <c r="O38">
        <f>(1+'Rescale to Fit GDP Proj'!P157)/(1+'Rescale to Fit GDP Proj'!$D$157)-1</f>
        <v/>
      </c>
      <c r="P38">
        <f>(1+'Rescale to Fit GDP Proj'!Q157)/(1+'Rescale to Fit GDP Proj'!$D$157)-1</f>
        <v/>
      </c>
      <c r="Q38">
        <f>(1+'Rescale to Fit GDP Proj'!R157)/(1+'Rescale to Fit GDP Proj'!$D$157)-1</f>
        <v/>
      </c>
      <c r="R38">
        <f>(1+'Rescale to Fit GDP Proj'!S157)/(1+'Rescale to Fit GDP Proj'!$D$157)-1</f>
        <v/>
      </c>
      <c r="S38">
        <f>(1+'Rescale to Fit GDP Proj'!T157)/(1+'Rescale to Fit GDP Proj'!$D$157)-1</f>
        <v/>
      </c>
      <c r="T38">
        <f>(1+'Rescale to Fit GDP Proj'!U157)/(1+'Rescale to Fit GDP Proj'!$D$157)-1</f>
        <v/>
      </c>
      <c r="U38">
        <f>(1+'Rescale to Fit GDP Proj'!V157)/(1+'Rescale to Fit GDP Proj'!$D$157)-1</f>
        <v/>
      </c>
      <c r="V38">
        <f>(1+'Rescale to Fit GDP Proj'!W157)/(1+'Rescale to Fit GDP Proj'!$D$157)-1</f>
        <v/>
      </c>
      <c r="W38">
        <f>(1+'Rescale to Fit GDP Proj'!X157)/(1+'Rescale to Fit GDP Proj'!$D$157)-1</f>
        <v/>
      </c>
      <c r="X38">
        <f>(1+'Rescale to Fit GDP Proj'!Y157)/(1+'Rescale to Fit GDP Proj'!$D$157)-1</f>
        <v/>
      </c>
      <c r="Y38">
        <f>(1+'Rescale to Fit GDP Proj'!Z157)/(1+'Rescale to Fit GDP Proj'!$D$157)-1</f>
        <v/>
      </c>
      <c r="Z38">
        <f>(1+'Rescale to Fit GDP Proj'!AA157)/(1+'Rescale to Fit GDP Proj'!$D$157)-1</f>
        <v/>
      </c>
      <c r="AA38">
        <f>(1+'Rescale to Fit GDP Proj'!AB157)/(1+'Rescale to Fit GDP Proj'!$D$157)-1</f>
        <v/>
      </c>
      <c r="AB38">
        <f>(1+'Rescale to Fit GDP Proj'!AC157)/(1+'Rescale to Fit GDP Proj'!$D$157)-1</f>
        <v/>
      </c>
    </row>
    <row r="39">
      <c r="A39" t="inlineStr">
        <is>
          <t>ISIC 53</t>
        </is>
      </c>
      <c r="B39">
        <f>(1+'Rescale to Fit GDP Proj'!C158)/(1+'Rescale to Fit GDP Proj'!$D$158)-1</f>
        <v/>
      </c>
      <c r="C39">
        <f>(1+'Rescale to Fit GDP Proj'!D158)/(1+'Rescale to Fit GDP Proj'!$D$158)-1</f>
        <v/>
      </c>
      <c r="D39">
        <f>(1+'Rescale to Fit GDP Proj'!E158)/(1+'Rescale to Fit GDP Proj'!$D$158)-1</f>
        <v/>
      </c>
      <c r="E39">
        <f>(1+'Rescale to Fit GDP Proj'!F158)/(1+'Rescale to Fit GDP Proj'!$D$158)-1</f>
        <v/>
      </c>
      <c r="F39">
        <f>(1+'Rescale to Fit GDP Proj'!G158)/(1+'Rescale to Fit GDP Proj'!$D$158)-1</f>
        <v/>
      </c>
      <c r="G39">
        <f>(1+'Rescale to Fit GDP Proj'!H158)/(1+'Rescale to Fit GDP Proj'!$D$158)-1</f>
        <v/>
      </c>
      <c r="H39">
        <f>(1+'Rescale to Fit GDP Proj'!I158)/(1+'Rescale to Fit GDP Proj'!$D$158)-1</f>
        <v/>
      </c>
      <c r="I39">
        <f>(1+'Rescale to Fit GDP Proj'!J158)/(1+'Rescale to Fit GDP Proj'!$D$158)-1</f>
        <v/>
      </c>
      <c r="J39">
        <f>(1+'Rescale to Fit GDP Proj'!K158)/(1+'Rescale to Fit GDP Proj'!$D$158)-1</f>
        <v/>
      </c>
      <c r="K39">
        <f>(1+'Rescale to Fit GDP Proj'!L158)/(1+'Rescale to Fit GDP Proj'!$D$158)-1</f>
        <v/>
      </c>
      <c r="L39">
        <f>(1+'Rescale to Fit GDP Proj'!M158)/(1+'Rescale to Fit GDP Proj'!$D$158)-1</f>
        <v/>
      </c>
      <c r="M39">
        <f>(1+'Rescale to Fit GDP Proj'!N158)/(1+'Rescale to Fit GDP Proj'!$D$158)-1</f>
        <v/>
      </c>
      <c r="N39">
        <f>(1+'Rescale to Fit GDP Proj'!O158)/(1+'Rescale to Fit GDP Proj'!$D$158)-1</f>
        <v/>
      </c>
      <c r="O39">
        <f>(1+'Rescale to Fit GDP Proj'!P158)/(1+'Rescale to Fit GDP Proj'!$D$158)-1</f>
        <v/>
      </c>
      <c r="P39">
        <f>(1+'Rescale to Fit GDP Proj'!Q158)/(1+'Rescale to Fit GDP Proj'!$D$158)-1</f>
        <v/>
      </c>
      <c r="Q39">
        <f>(1+'Rescale to Fit GDP Proj'!R158)/(1+'Rescale to Fit GDP Proj'!$D$158)-1</f>
        <v/>
      </c>
      <c r="R39">
        <f>(1+'Rescale to Fit GDP Proj'!S158)/(1+'Rescale to Fit GDP Proj'!$D$158)-1</f>
        <v/>
      </c>
      <c r="S39">
        <f>(1+'Rescale to Fit GDP Proj'!T158)/(1+'Rescale to Fit GDP Proj'!$D$158)-1</f>
        <v/>
      </c>
      <c r="T39">
        <f>(1+'Rescale to Fit GDP Proj'!U158)/(1+'Rescale to Fit GDP Proj'!$D$158)-1</f>
        <v/>
      </c>
      <c r="U39">
        <f>(1+'Rescale to Fit GDP Proj'!V158)/(1+'Rescale to Fit GDP Proj'!$D$158)-1</f>
        <v/>
      </c>
      <c r="V39">
        <f>(1+'Rescale to Fit GDP Proj'!W158)/(1+'Rescale to Fit GDP Proj'!$D$158)-1</f>
        <v/>
      </c>
      <c r="W39">
        <f>(1+'Rescale to Fit GDP Proj'!X158)/(1+'Rescale to Fit GDP Proj'!$D$158)-1</f>
        <v/>
      </c>
      <c r="X39">
        <f>(1+'Rescale to Fit GDP Proj'!Y158)/(1+'Rescale to Fit GDP Proj'!$D$158)-1</f>
        <v/>
      </c>
      <c r="Y39">
        <f>(1+'Rescale to Fit GDP Proj'!Z158)/(1+'Rescale to Fit GDP Proj'!$D$158)-1</f>
        <v/>
      </c>
      <c r="Z39">
        <f>(1+'Rescale to Fit GDP Proj'!AA158)/(1+'Rescale to Fit GDP Proj'!$D$158)-1</f>
        <v/>
      </c>
      <c r="AA39">
        <f>(1+'Rescale to Fit GDP Proj'!AB158)/(1+'Rescale to Fit GDP Proj'!$D$158)-1</f>
        <v/>
      </c>
      <c r="AB39">
        <f>(1+'Rescale to Fit GDP Proj'!AC158)/(1+'Rescale to Fit GDP Proj'!$D$158)-1</f>
        <v/>
      </c>
    </row>
    <row r="40">
      <c r="A40" t="inlineStr">
        <is>
          <t>ISIC 55T56</t>
        </is>
      </c>
      <c r="B40">
        <f>(1+'Rescale to Fit GDP Proj'!C159)/(1+'Rescale to Fit GDP Proj'!$D$159)-1</f>
        <v/>
      </c>
      <c r="C40">
        <f>(1+'Rescale to Fit GDP Proj'!D159)/(1+'Rescale to Fit GDP Proj'!$D$159)-1</f>
        <v/>
      </c>
      <c r="D40">
        <f>(1+'Rescale to Fit GDP Proj'!E159)/(1+'Rescale to Fit GDP Proj'!$D$159)-1</f>
        <v/>
      </c>
      <c r="E40">
        <f>(1+'Rescale to Fit GDP Proj'!F159)/(1+'Rescale to Fit GDP Proj'!$D$159)-1</f>
        <v/>
      </c>
      <c r="F40">
        <f>(1+'Rescale to Fit GDP Proj'!G159)/(1+'Rescale to Fit GDP Proj'!$D$159)-1</f>
        <v/>
      </c>
      <c r="G40">
        <f>(1+'Rescale to Fit GDP Proj'!H159)/(1+'Rescale to Fit GDP Proj'!$D$159)-1</f>
        <v/>
      </c>
      <c r="H40">
        <f>(1+'Rescale to Fit GDP Proj'!I159)/(1+'Rescale to Fit GDP Proj'!$D$159)-1</f>
        <v/>
      </c>
      <c r="I40">
        <f>(1+'Rescale to Fit GDP Proj'!J159)/(1+'Rescale to Fit GDP Proj'!$D$159)-1</f>
        <v/>
      </c>
      <c r="J40">
        <f>(1+'Rescale to Fit GDP Proj'!K159)/(1+'Rescale to Fit GDP Proj'!$D$159)-1</f>
        <v/>
      </c>
      <c r="K40">
        <f>(1+'Rescale to Fit GDP Proj'!L159)/(1+'Rescale to Fit GDP Proj'!$D$159)-1</f>
        <v/>
      </c>
      <c r="L40">
        <f>(1+'Rescale to Fit GDP Proj'!M159)/(1+'Rescale to Fit GDP Proj'!$D$159)-1</f>
        <v/>
      </c>
      <c r="M40">
        <f>(1+'Rescale to Fit GDP Proj'!N159)/(1+'Rescale to Fit GDP Proj'!$D$159)-1</f>
        <v/>
      </c>
      <c r="N40">
        <f>(1+'Rescale to Fit GDP Proj'!O159)/(1+'Rescale to Fit GDP Proj'!$D$159)-1</f>
        <v/>
      </c>
      <c r="O40">
        <f>(1+'Rescale to Fit GDP Proj'!P159)/(1+'Rescale to Fit GDP Proj'!$D$159)-1</f>
        <v/>
      </c>
      <c r="P40">
        <f>(1+'Rescale to Fit GDP Proj'!Q159)/(1+'Rescale to Fit GDP Proj'!$D$159)-1</f>
        <v/>
      </c>
      <c r="Q40">
        <f>(1+'Rescale to Fit GDP Proj'!R159)/(1+'Rescale to Fit GDP Proj'!$D$159)-1</f>
        <v/>
      </c>
      <c r="R40">
        <f>(1+'Rescale to Fit GDP Proj'!S159)/(1+'Rescale to Fit GDP Proj'!$D$159)-1</f>
        <v/>
      </c>
      <c r="S40">
        <f>(1+'Rescale to Fit GDP Proj'!T159)/(1+'Rescale to Fit GDP Proj'!$D$159)-1</f>
        <v/>
      </c>
      <c r="T40">
        <f>(1+'Rescale to Fit GDP Proj'!U159)/(1+'Rescale to Fit GDP Proj'!$D$159)-1</f>
        <v/>
      </c>
      <c r="U40">
        <f>(1+'Rescale to Fit GDP Proj'!V159)/(1+'Rescale to Fit GDP Proj'!$D$159)-1</f>
        <v/>
      </c>
      <c r="V40">
        <f>(1+'Rescale to Fit GDP Proj'!W159)/(1+'Rescale to Fit GDP Proj'!$D$159)-1</f>
        <v/>
      </c>
      <c r="W40">
        <f>(1+'Rescale to Fit GDP Proj'!X159)/(1+'Rescale to Fit GDP Proj'!$D$159)-1</f>
        <v/>
      </c>
      <c r="X40">
        <f>(1+'Rescale to Fit GDP Proj'!Y159)/(1+'Rescale to Fit GDP Proj'!$D$159)-1</f>
        <v/>
      </c>
      <c r="Y40">
        <f>(1+'Rescale to Fit GDP Proj'!Z159)/(1+'Rescale to Fit GDP Proj'!$D$159)-1</f>
        <v/>
      </c>
      <c r="Z40">
        <f>(1+'Rescale to Fit GDP Proj'!AA159)/(1+'Rescale to Fit GDP Proj'!$D$159)-1</f>
        <v/>
      </c>
      <c r="AA40">
        <f>(1+'Rescale to Fit GDP Proj'!AB159)/(1+'Rescale to Fit GDP Proj'!$D$159)-1</f>
        <v/>
      </c>
      <c r="AB40">
        <f>(1+'Rescale to Fit GDP Proj'!AC159)/(1+'Rescale to Fit GDP Proj'!$D$159)-1</f>
        <v/>
      </c>
    </row>
    <row r="41">
      <c r="A41" t="inlineStr">
        <is>
          <t>ISIC 58T60</t>
        </is>
      </c>
      <c r="B41">
        <f>(1+'Rescale to Fit GDP Proj'!C160)/(1+'Rescale to Fit GDP Proj'!$D$160)-1</f>
        <v/>
      </c>
      <c r="C41">
        <f>(1+'Rescale to Fit GDP Proj'!D160)/(1+'Rescale to Fit GDP Proj'!$D$160)-1</f>
        <v/>
      </c>
      <c r="D41">
        <f>(1+'Rescale to Fit GDP Proj'!E160)/(1+'Rescale to Fit GDP Proj'!$D$160)-1</f>
        <v/>
      </c>
      <c r="E41">
        <f>(1+'Rescale to Fit GDP Proj'!F160)/(1+'Rescale to Fit GDP Proj'!$D$160)-1</f>
        <v/>
      </c>
      <c r="F41">
        <f>(1+'Rescale to Fit GDP Proj'!G160)/(1+'Rescale to Fit GDP Proj'!$D$160)-1</f>
        <v/>
      </c>
      <c r="G41">
        <f>(1+'Rescale to Fit GDP Proj'!H160)/(1+'Rescale to Fit GDP Proj'!$D$160)-1</f>
        <v/>
      </c>
      <c r="H41">
        <f>(1+'Rescale to Fit GDP Proj'!I160)/(1+'Rescale to Fit GDP Proj'!$D$160)-1</f>
        <v/>
      </c>
      <c r="I41">
        <f>(1+'Rescale to Fit GDP Proj'!J160)/(1+'Rescale to Fit GDP Proj'!$D$160)-1</f>
        <v/>
      </c>
      <c r="J41">
        <f>(1+'Rescale to Fit GDP Proj'!K160)/(1+'Rescale to Fit GDP Proj'!$D$160)-1</f>
        <v/>
      </c>
      <c r="K41">
        <f>(1+'Rescale to Fit GDP Proj'!L160)/(1+'Rescale to Fit GDP Proj'!$D$160)-1</f>
        <v/>
      </c>
      <c r="L41">
        <f>(1+'Rescale to Fit GDP Proj'!M160)/(1+'Rescale to Fit GDP Proj'!$D$160)-1</f>
        <v/>
      </c>
      <c r="M41">
        <f>(1+'Rescale to Fit GDP Proj'!N160)/(1+'Rescale to Fit GDP Proj'!$D$160)-1</f>
        <v/>
      </c>
      <c r="N41">
        <f>(1+'Rescale to Fit GDP Proj'!O160)/(1+'Rescale to Fit GDP Proj'!$D$160)-1</f>
        <v/>
      </c>
      <c r="O41">
        <f>(1+'Rescale to Fit GDP Proj'!P160)/(1+'Rescale to Fit GDP Proj'!$D$160)-1</f>
        <v/>
      </c>
      <c r="P41">
        <f>(1+'Rescale to Fit GDP Proj'!Q160)/(1+'Rescale to Fit GDP Proj'!$D$160)-1</f>
        <v/>
      </c>
      <c r="Q41">
        <f>(1+'Rescale to Fit GDP Proj'!R160)/(1+'Rescale to Fit GDP Proj'!$D$160)-1</f>
        <v/>
      </c>
      <c r="R41">
        <f>(1+'Rescale to Fit GDP Proj'!S160)/(1+'Rescale to Fit GDP Proj'!$D$160)-1</f>
        <v/>
      </c>
      <c r="S41">
        <f>(1+'Rescale to Fit GDP Proj'!T160)/(1+'Rescale to Fit GDP Proj'!$D$160)-1</f>
        <v/>
      </c>
      <c r="T41">
        <f>(1+'Rescale to Fit GDP Proj'!U160)/(1+'Rescale to Fit GDP Proj'!$D$160)-1</f>
        <v/>
      </c>
      <c r="U41">
        <f>(1+'Rescale to Fit GDP Proj'!V160)/(1+'Rescale to Fit GDP Proj'!$D$160)-1</f>
        <v/>
      </c>
      <c r="V41">
        <f>(1+'Rescale to Fit GDP Proj'!W160)/(1+'Rescale to Fit GDP Proj'!$D$160)-1</f>
        <v/>
      </c>
      <c r="W41">
        <f>(1+'Rescale to Fit GDP Proj'!X160)/(1+'Rescale to Fit GDP Proj'!$D$160)-1</f>
        <v/>
      </c>
      <c r="X41">
        <f>(1+'Rescale to Fit GDP Proj'!Y160)/(1+'Rescale to Fit GDP Proj'!$D$160)-1</f>
        <v/>
      </c>
      <c r="Y41">
        <f>(1+'Rescale to Fit GDP Proj'!Z160)/(1+'Rescale to Fit GDP Proj'!$D$160)-1</f>
        <v/>
      </c>
      <c r="Z41">
        <f>(1+'Rescale to Fit GDP Proj'!AA160)/(1+'Rescale to Fit GDP Proj'!$D$160)-1</f>
        <v/>
      </c>
      <c r="AA41">
        <f>(1+'Rescale to Fit GDP Proj'!AB160)/(1+'Rescale to Fit GDP Proj'!$D$160)-1</f>
        <v/>
      </c>
      <c r="AB41">
        <f>(1+'Rescale to Fit GDP Proj'!AC160)/(1+'Rescale to Fit GDP Proj'!$D$160)-1</f>
        <v/>
      </c>
    </row>
    <row r="42">
      <c r="A42" t="inlineStr">
        <is>
          <t>ISIC 61</t>
        </is>
      </c>
      <c r="B42">
        <f>(1+'Rescale to Fit GDP Proj'!C161)/(1+'Rescale to Fit GDP Proj'!$D$161)-1</f>
        <v/>
      </c>
      <c r="C42">
        <f>(1+'Rescale to Fit GDP Proj'!D161)/(1+'Rescale to Fit GDP Proj'!$D$161)-1</f>
        <v/>
      </c>
      <c r="D42">
        <f>(1+'Rescale to Fit GDP Proj'!E161)/(1+'Rescale to Fit GDP Proj'!$D$161)-1</f>
        <v/>
      </c>
      <c r="E42">
        <f>(1+'Rescale to Fit GDP Proj'!F161)/(1+'Rescale to Fit GDP Proj'!$D$161)-1</f>
        <v/>
      </c>
      <c r="F42">
        <f>(1+'Rescale to Fit GDP Proj'!G161)/(1+'Rescale to Fit GDP Proj'!$D$161)-1</f>
        <v/>
      </c>
      <c r="G42">
        <f>(1+'Rescale to Fit GDP Proj'!H161)/(1+'Rescale to Fit GDP Proj'!$D$161)-1</f>
        <v/>
      </c>
      <c r="H42">
        <f>(1+'Rescale to Fit GDP Proj'!I161)/(1+'Rescale to Fit GDP Proj'!$D$161)-1</f>
        <v/>
      </c>
      <c r="I42">
        <f>(1+'Rescale to Fit GDP Proj'!J161)/(1+'Rescale to Fit GDP Proj'!$D$161)-1</f>
        <v/>
      </c>
      <c r="J42">
        <f>(1+'Rescale to Fit GDP Proj'!K161)/(1+'Rescale to Fit GDP Proj'!$D$161)-1</f>
        <v/>
      </c>
      <c r="K42">
        <f>(1+'Rescale to Fit GDP Proj'!L161)/(1+'Rescale to Fit GDP Proj'!$D$161)-1</f>
        <v/>
      </c>
      <c r="L42">
        <f>(1+'Rescale to Fit GDP Proj'!M161)/(1+'Rescale to Fit GDP Proj'!$D$161)-1</f>
        <v/>
      </c>
      <c r="M42">
        <f>(1+'Rescale to Fit GDP Proj'!N161)/(1+'Rescale to Fit GDP Proj'!$D$161)-1</f>
        <v/>
      </c>
      <c r="N42">
        <f>(1+'Rescale to Fit GDP Proj'!O161)/(1+'Rescale to Fit GDP Proj'!$D$161)-1</f>
        <v/>
      </c>
      <c r="O42">
        <f>(1+'Rescale to Fit GDP Proj'!P161)/(1+'Rescale to Fit GDP Proj'!$D$161)-1</f>
        <v/>
      </c>
      <c r="P42">
        <f>(1+'Rescale to Fit GDP Proj'!Q161)/(1+'Rescale to Fit GDP Proj'!$D$161)-1</f>
        <v/>
      </c>
      <c r="Q42">
        <f>(1+'Rescale to Fit GDP Proj'!R161)/(1+'Rescale to Fit GDP Proj'!$D$161)-1</f>
        <v/>
      </c>
      <c r="R42">
        <f>(1+'Rescale to Fit GDP Proj'!S161)/(1+'Rescale to Fit GDP Proj'!$D$161)-1</f>
        <v/>
      </c>
      <c r="S42">
        <f>(1+'Rescale to Fit GDP Proj'!T161)/(1+'Rescale to Fit GDP Proj'!$D$161)-1</f>
        <v/>
      </c>
      <c r="T42">
        <f>(1+'Rescale to Fit GDP Proj'!U161)/(1+'Rescale to Fit GDP Proj'!$D$161)-1</f>
        <v/>
      </c>
      <c r="U42">
        <f>(1+'Rescale to Fit GDP Proj'!V161)/(1+'Rescale to Fit GDP Proj'!$D$161)-1</f>
        <v/>
      </c>
      <c r="V42">
        <f>(1+'Rescale to Fit GDP Proj'!W161)/(1+'Rescale to Fit GDP Proj'!$D$161)-1</f>
        <v/>
      </c>
      <c r="W42">
        <f>(1+'Rescale to Fit GDP Proj'!X161)/(1+'Rescale to Fit GDP Proj'!$D$161)-1</f>
        <v/>
      </c>
      <c r="X42">
        <f>(1+'Rescale to Fit GDP Proj'!Y161)/(1+'Rescale to Fit GDP Proj'!$D$161)-1</f>
        <v/>
      </c>
      <c r="Y42">
        <f>(1+'Rescale to Fit GDP Proj'!Z161)/(1+'Rescale to Fit GDP Proj'!$D$161)-1</f>
        <v/>
      </c>
      <c r="Z42">
        <f>(1+'Rescale to Fit GDP Proj'!AA161)/(1+'Rescale to Fit GDP Proj'!$D$161)-1</f>
        <v/>
      </c>
      <c r="AA42">
        <f>(1+'Rescale to Fit GDP Proj'!AB161)/(1+'Rescale to Fit GDP Proj'!$D$161)-1</f>
        <v/>
      </c>
      <c r="AB42">
        <f>(1+'Rescale to Fit GDP Proj'!AC161)/(1+'Rescale to Fit GDP Proj'!$D$161)-1</f>
        <v/>
      </c>
    </row>
    <row r="43">
      <c r="A43" t="inlineStr">
        <is>
          <t>ISIC 62T63</t>
        </is>
      </c>
      <c r="B43">
        <f>(1+'Rescale to Fit GDP Proj'!C162)/(1+'Rescale to Fit GDP Proj'!$D$162)-1</f>
        <v/>
      </c>
      <c r="C43">
        <f>(1+'Rescale to Fit GDP Proj'!D162)/(1+'Rescale to Fit GDP Proj'!$D$162)-1</f>
        <v/>
      </c>
      <c r="D43">
        <f>(1+'Rescale to Fit GDP Proj'!E162)/(1+'Rescale to Fit GDP Proj'!$D$162)-1</f>
        <v/>
      </c>
      <c r="E43">
        <f>(1+'Rescale to Fit GDP Proj'!F162)/(1+'Rescale to Fit GDP Proj'!$D$162)-1</f>
        <v/>
      </c>
      <c r="F43">
        <f>(1+'Rescale to Fit GDP Proj'!G162)/(1+'Rescale to Fit GDP Proj'!$D$162)-1</f>
        <v/>
      </c>
      <c r="G43">
        <f>(1+'Rescale to Fit GDP Proj'!H162)/(1+'Rescale to Fit GDP Proj'!$D$162)-1</f>
        <v/>
      </c>
      <c r="H43">
        <f>(1+'Rescale to Fit GDP Proj'!I162)/(1+'Rescale to Fit GDP Proj'!$D$162)-1</f>
        <v/>
      </c>
      <c r="I43">
        <f>(1+'Rescale to Fit GDP Proj'!J162)/(1+'Rescale to Fit GDP Proj'!$D$162)-1</f>
        <v/>
      </c>
      <c r="J43">
        <f>(1+'Rescale to Fit GDP Proj'!K162)/(1+'Rescale to Fit GDP Proj'!$D$162)-1</f>
        <v/>
      </c>
      <c r="K43">
        <f>(1+'Rescale to Fit GDP Proj'!L162)/(1+'Rescale to Fit GDP Proj'!$D$162)-1</f>
        <v/>
      </c>
      <c r="L43">
        <f>(1+'Rescale to Fit GDP Proj'!M162)/(1+'Rescale to Fit GDP Proj'!$D$162)-1</f>
        <v/>
      </c>
      <c r="M43">
        <f>(1+'Rescale to Fit GDP Proj'!N162)/(1+'Rescale to Fit GDP Proj'!$D$162)-1</f>
        <v/>
      </c>
      <c r="N43">
        <f>(1+'Rescale to Fit GDP Proj'!O162)/(1+'Rescale to Fit GDP Proj'!$D$162)-1</f>
        <v/>
      </c>
      <c r="O43">
        <f>(1+'Rescale to Fit GDP Proj'!P162)/(1+'Rescale to Fit GDP Proj'!$D$162)-1</f>
        <v/>
      </c>
      <c r="P43">
        <f>(1+'Rescale to Fit GDP Proj'!Q162)/(1+'Rescale to Fit GDP Proj'!$D$162)-1</f>
        <v/>
      </c>
      <c r="Q43">
        <f>(1+'Rescale to Fit GDP Proj'!R162)/(1+'Rescale to Fit GDP Proj'!$D$162)-1</f>
        <v/>
      </c>
      <c r="R43">
        <f>(1+'Rescale to Fit GDP Proj'!S162)/(1+'Rescale to Fit GDP Proj'!$D$162)-1</f>
        <v/>
      </c>
      <c r="S43">
        <f>(1+'Rescale to Fit GDP Proj'!T162)/(1+'Rescale to Fit GDP Proj'!$D$162)-1</f>
        <v/>
      </c>
      <c r="T43">
        <f>(1+'Rescale to Fit GDP Proj'!U162)/(1+'Rescale to Fit GDP Proj'!$D$162)-1</f>
        <v/>
      </c>
      <c r="U43">
        <f>(1+'Rescale to Fit GDP Proj'!V162)/(1+'Rescale to Fit GDP Proj'!$D$162)-1</f>
        <v/>
      </c>
      <c r="V43">
        <f>(1+'Rescale to Fit GDP Proj'!W162)/(1+'Rescale to Fit GDP Proj'!$D$162)-1</f>
        <v/>
      </c>
      <c r="W43">
        <f>(1+'Rescale to Fit GDP Proj'!X162)/(1+'Rescale to Fit GDP Proj'!$D$162)-1</f>
        <v/>
      </c>
      <c r="X43">
        <f>(1+'Rescale to Fit GDP Proj'!Y162)/(1+'Rescale to Fit GDP Proj'!$D$162)-1</f>
        <v/>
      </c>
      <c r="Y43">
        <f>(1+'Rescale to Fit GDP Proj'!Z162)/(1+'Rescale to Fit GDP Proj'!$D$162)-1</f>
        <v/>
      </c>
      <c r="Z43">
        <f>(1+'Rescale to Fit GDP Proj'!AA162)/(1+'Rescale to Fit GDP Proj'!$D$162)-1</f>
        <v/>
      </c>
      <c r="AA43">
        <f>(1+'Rescale to Fit GDP Proj'!AB162)/(1+'Rescale to Fit GDP Proj'!$D$162)-1</f>
        <v/>
      </c>
      <c r="AB43">
        <f>(1+'Rescale to Fit GDP Proj'!AC162)/(1+'Rescale to Fit GDP Proj'!$D$162)-1</f>
        <v/>
      </c>
    </row>
    <row r="44">
      <c r="A44" t="inlineStr">
        <is>
          <t>ISIC 64T66</t>
        </is>
      </c>
      <c r="B44">
        <f>(1+'Rescale to Fit GDP Proj'!C163)/(1+'Rescale to Fit GDP Proj'!$D$163)-1</f>
        <v/>
      </c>
      <c r="C44">
        <f>(1+'Rescale to Fit GDP Proj'!D163)/(1+'Rescale to Fit GDP Proj'!$D$163)-1</f>
        <v/>
      </c>
      <c r="D44">
        <f>(1+'Rescale to Fit GDP Proj'!E163)/(1+'Rescale to Fit GDP Proj'!$D$163)-1</f>
        <v/>
      </c>
      <c r="E44">
        <f>(1+'Rescale to Fit GDP Proj'!F163)/(1+'Rescale to Fit GDP Proj'!$D$163)-1</f>
        <v/>
      </c>
      <c r="F44">
        <f>(1+'Rescale to Fit GDP Proj'!G163)/(1+'Rescale to Fit GDP Proj'!$D$163)-1</f>
        <v/>
      </c>
      <c r="G44">
        <f>(1+'Rescale to Fit GDP Proj'!H163)/(1+'Rescale to Fit GDP Proj'!$D$163)-1</f>
        <v/>
      </c>
      <c r="H44">
        <f>(1+'Rescale to Fit GDP Proj'!I163)/(1+'Rescale to Fit GDP Proj'!$D$163)-1</f>
        <v/>
      </c>
      <c r="I44">
        <f>(1+'Rescale to Fit GDP Proj'!J163)/(1+'Rescale to Fit GDP Proj'!$D$163)-1</f>
        <v/>
      </c>
      <c r="J44">
        <f>(1+'Rescale to Fit GDP Proj'!K163)/(1+'Rescale to Fit GDP Proj'!$D$163)-1</f>
        <v/>
      </c>
      <c r="K44">
        <f>(1+'Rescale to Fit GDP Proj'!L163)/(1+'Rescale to Fit GDP Proj'!$D$163)-1</f>
        <v/>
      </c>
      <c r="L44">
        <f>(1+'Rescale to Fit GDP Proj'!M163)/(1+'Rescale to Fit GDP Proj'!$D$163)-1</f>
        <v/>
      </c>
      <c r="M44">
        <f>(1+'Rescale to Fit GDP Proj'!N163)/(1+'Rescale to Fit GDP Proj'!$D$163)-1</f>
        <v/>
      </c>
      <c r="N44">
        <f>(1+'Rescale to Fit GDP Proj'!O163)/(1+'Rescale to Fit GDP Proj'!$D$163)-1</f>
        <v/>
      </c>
      <c r="O44">
        <f>(1+'Rescale to Fit GDP Proj'!P163)/(1+'Rescale to Fit GDP Proj'!$D$163)-1</f>
        <v/>
      </c>
      <c r="P44">
        <f>(1+'Rescale to Fit GDP Proj'!Q163)/(1+'Rescale to Fit GDP Proj'!$D$163)-1</f>
        <v/>
      </c>
      <c r="Q44">
        <f>(1+'Rescale to Fit GDP Proj'!R163)/(1+'Rescale to Fit GDP Proj'!$D$163)-1</f>
        <v/>
      </c>
      <c r="R44">
        <f>(1+'Rescale to Fit GDP Proj'!S163)/(1+'Rescale to Fit GDP Proj'!$D$163)-1</f>
        <v/>
      </c>
      <c r="S44">
        <f>(1+'Rescale to Fit GDP Proj'!T163)/(1+'Rescale to Fit GDP Proj'!$D$163)-1</f>
        <v/>
      </c>
      <c r="T44">
        <f>(1+'Rescale to Fit GDP Proj'!U163)/(1+'Rescale to Fit GDP Proj'!$D$163)-1</f>
        <v/>
      </c>
      <c r="U44">
        <f>(1+'Rescale to Fit GDP Proj'!V163)/(1+'Rescale to Fit GDP Proj'!$D$163)-1</f>
        <v/>
      </c>
      <c r="V44">
        <f>(1+'Rescale to Fit GDP Proj'!W163)/(1+'Rescale to Fit GDP Proj'!$D$163)-1</f>
        <v/>
      </c>
      <c r="W44">
        <f>(1+'Rescale to Fit GDP Proj'!X163)/(1+'Rescale to Fit GDP Proj'!$D$163)-1</f>
        <v/>
      </c>
      <c r="X44">
        <f>(1+'Rescale to Fit GDP Proj'!Y163)/(1+'Rescale to Fit GDP Proj'!$D$163)-1</f>
        <v/>
      </c>
      <c r="Y44">
        <f>(1+'Rescale to Fit GDP Proj'!Z163)/(1+'Rescale to Fit GDP Proj'!$D$163)-1</f>
        <v/>
      </c>
      <c r="Z44">
        <f>(1+'Rescale to Fit GDP Proj'!AA163)/(1+'Rescale to Fit GDP Proj'!$D$163)-1</f>
        <v/>
      </c>
      <c r="AA44">
        <f>(1+'Rescale to Fit GDP Proj'!AB163)/(1+'Rescale to Fit GDP Proj'!$D$163)-1</f>
        <v/>
      </c>
      <c r="AB44">
        <f>(1+'Rescale to Fit GDP Proj'!AC163)/(1+'Rescale to Fit GDP Proj'!$D$163)-1</f>
        <v/>
      </c>
    </row>
    <row r="45">
      <c r="A45" t="inlineStr">
        <is>
          <t>ISIC 68</t>
        </is>
      </c>
      <c r="B45">
        <f>(1+'Rescale to Fit GDP Proj'!C164)/(1+'Rescale to Fit GDP Proj'!$D$164)-1</f>
        <v/>
      </c>
      <c r="C45">
        <f>(1+'Rescale to Fit GDP Proj'!D164)/(1+'Rescale to Fit GDP Proj'!$D$164)-1</f>
        <v/>
      </c>
      <c r="D45">
        <f>(1+'Rescale to Fit GDP Proj'!E164)/(1+'Rescale to Fit GDP Proj'!$D$164)-1</f>
        <v/>
      </c>
      <c r="E45">
        <f>(1+'Rescale to Fit GDP Proj'!F164)/(1+'Rescale to Fit GDP Proj'!$D$164)-1</f>
        <v/>
      </c>
      <c r="F45">
        <f>(1+'Rescale to Fit GDP Proj'!G164)/(1+'Rescale to Fit GDP Proj'!$D$164)-1</f>
        <v/>
      </c>
      <c r="G45">
        <f>(1+'Rescale to Fit GDP Proj'!H164)/(1+'Rescale to Fit GDP Proj'!$D$164)-1</f>
        <v/>
      </c>
      <c r="H45">
        <f>(1+'Rescale to Fit GDP Proj'!I164)/(1+'Rescale to Fit GDP Proj'!$D$164)-1</f>
        <v/>
      </c>
      <c r="I45">
        <f>(1+'Rescale to Fit GDP Proj'!J164)/(1+'Rescale to Fit GDP Proj'!$D$164)-1</f>
        <v/>
      </c>
      <c r="J45">
        <f>(1+'Rescale to Fit GDP Proj'!K164)/(1+'Rescale to Fit GDP Proj'!$D$164)-1</f>
        <v/>
      </c>
      <c r="K45">
        <f>(1+'Rescale to Fit GDP Proj'!L164)/(1+'Rescale to Fit GDP Proj'!$D$164)-1</f>
        <v/>
      </c>
      <c r="L45">
        <f>(1+'Rescale to Fit GDP Proj'!M164)/(1+'Rescale to Fit GDP Proj'!$D$164)-1</f>
        <v/>
      </c>
      <c r="M45">
        <f>(1+'Rescale to Fit GDP Proj'!N164)/(1+'Rescale to Fit GDP Proj'!$D$164)-1</f>
        <v/>
      </c>
      <c r="N45">
        <f>(1+'Rescale to Fit GDP Proj'!O164)/(1+'Rescale to Fit GDP Proj'!$D$164)-1</f>
        <v/>
      </c>
      <c r="O45">
        <f>(1+'Rescale to Fit GDP Proj'!P164)/(1+'Rescale to Fit GDP Proj'!$D$164)-1</f>
        <v/>
      </c>
      <c r="P45">
        <f>(1+'Rescale to Fit GDP Proj'!Q164)/(1+'Rescale to Fit GDP Proj'!$D$164)-1</f>
        <v/>
      </c>
      <c r="Q45">
        <f>(1+'Rescale to Fit GDP Proj'!R164)/(1+'Rescale to Fit GDP Proj'!$D$164)-1</f>
        <v/>
      </c>
      <c r="R45">
        <f>(1+'Rescale to Fit GDP Proj'!S164)/(1+'Rescale to Fit GDP Proj'!$D$164)-1</f>
        <v/>
      </c>
      <c r="S45">
        <f>(1+'Rescale to Fit GDP Proj'!T164)/(1+'Rescale to Fit GDP Proj'!$D$164)-1</f>
        <v/>
      </c>
      <c r="T45">
        <f>(1+'Rescale to Fit GDP Proj'!U164)/(1+'Rescale to Fit GDP Proj'!$D$164)-1</f>
        <v/>
      </c>
      <c r="U45">
        <f>(1+'Rescale to Fit GDP Proj'!V164)/(1+'Rescale to Fit GDP Proj'!$D$164)-1</f>
        <v/>
      </c>
      <c r="V45">
        <f>(1+'Rescale to Fit GDP Proj'!W164)/(1+'Rescale to Fit GDP Proj'!$D$164)-1</f>
        <v/>
      </c>
      <c r="W45">
        <f>(1+'Rescale to Fit GDP Proj'!X164)/(1+'Rescale to Fit GDP Proj'!$D$164)-1</f>
        <v/>
      </c>
      <c r="X45">
        <f>(1+'Rescale to Fit GDP Proj'!Y164)/(1+'Rescale to Fit GDP Proj'!$D$164)-1</f>
        <v/>
      </c>
      <c r="Y45">
        <f>(1+'Rescale to Fit GDP Proj'!Z164)/(1+'Rescale to Fit GDP Proj'!$D$164)-1</f>
        <v/>
      </c>
      <c r="Z45">
        <f>(1+'Rescale to Fit GDP Proj'!AA164)/(1+'Rescale to Fit GDP Proj'!$D$164)-1</f>
        <v/>
      </c>
      <c r="AA45">
        <f>(1+'Rescale to Fit GDP Proj'!AB164)/(1+'Rescale to Fit GDP Proj'!$D$164)-1</f>
        <v/>
      </c>
      <c r="AB45">
        <f>(1+'Rescale to Fit GDP Proj'!AC164)/(1+'Rescale to Fit GDP Proj'!$D$164)-1</f>
        <v/>
      </c>
    </row>
    <row r="46">
      <c r="A46" t="inlineStr">
        <is>
          <t>ISIC 69T75</t>
        </is>
      </c>
      <c r="B46">
        <f>(1+'Rescale to Fit GDP Proj'!C165)/(1+'Rescale to Fit GDP Proj'!$D$165)-1</f>
        <v/>
      </c>
      <c r="C46">
        <f>(1+'Rescale to Fit GDP Proj'!D165)/(1+'Rescale to Fit GDP Proj'!$D$165)-1</f>
        <v/>
      </c>
      <c r="D46">
        <f>(1+'Rescale to Fit GDP Proj'!E165)/(1+'Rescale to Fit GDP Proj'!$D$165)-1</f>
        <v/>
      </c>
      <c r="E46">
        <f>(1+'Rescale to Fit GDP Proj'!F165)/(1+'Rescale to Fit GDP Proj'!$D$165)-1</f>
        <v/>
      </c>
      <c r="F46">
        <f>(1+'Rescale to Fit GDP Proj'!G165)/(1+'Rescale to Fit GDP Proj'!$D$165)-1</f>
        <v/>
      </c>
      <c r="G46">
        <f>(1+'Rescale to Fit GDP Proj'!H165)/(1+'Rescale to Fit GDP Proj'!$D$165)-1</f>
        <v/>
      </c>
      <c r="H46">
        <f>(1+'Rescale to Fit GDP Proj'!I165)/(1+'Rescale to Fit GDP Proj'!$D$165)-1</f>
        <v/>
      </c>
      <c r="I46">
        <f>(1+'Rescale to Fit GDP Proj'!J165)/(1+'Rescale to Fit GDP Proj'!$D$165)-1</f>
        <v/>
      </c>
      <c r="J46">
        <f>(1+'Rescale to Fit GDP Proj'!K165)/(1+'Rescale to Fit GDP Proj'!$D$165)-1</f>
        <v/>
      </c>
      <c r="K46">
        <f>(1+'Rescale to Fit GDP Proj'!L165)/(1+'Rescale to Fit GDP Proj'!$D$165)-1</f>
        <v/>
      </c>
      <c r="L46">
        <f>(1+'Rescale to Fit GDP Proj'!M165)/(1+'Rescale to Fit GDP Proj'!$D$165)-1</f>
        <v/>
      </c>
      <c r="M46">
        <f>(1+'Rescale to Fit GDP Proj'!N165)/(1+'Rescale to Fit GDP Proj'!$D$165)-1</f>
        <v/>
      </c>
      <c r="N46">
        <f>(1+'Rescale to Fit GDP Proj'!O165)/(1+'Rescale to Fit GDP Proj'!$D$165)-1</f>
        <v/>
      </c>
      <c r="O46">
        <f>(1+'Rescale to Fit GDP Proj'!P165)/(1+'Rescale to Fit GDP Proj'!$D$165)-1</f>
        <v/>
      </c>
      <c r="P46">
        <f>(1+'Rescale to Fit GDP Proj'!Q165)/(1+'Rescale to Fit GDP Proj'!$D$165)-1</f>
        <v/>
      </c>
      <c r="Q46">
        <f>(1+'Rescale to Fit GDP Proj'!R165)/(1+'Rescale to Fit GDP Proj'!$D$165)-1</f>
        <v/>
      </c>
      <c r="R46">
        <f>(1+'Rescale to Fit GDP Proj'!S165)/(1+'Rescale to Fit GDP Proj'!$D$165)-1</f>
        <v/>
      </c>
      <c r="S46">
        <f>(1+'Rescale to Fit GDP Proj'!T165)/(1+'Rescale to Fit GDP Proj'!$D$165)-1</f>
        <v/>
      </c>
      <c r="T46">
        <f>(1+'Rescale to Fit GDP Proj'!U165)/(1+'Rescale to Fit GDP Proj'!$D$165)-1</f>
        <v/>
      </c>
      <c r="U46">
        <f>(1+'Rescale to Fit GDP Proj'!V165)/(1+'Rescale to Fit GDP Proj'!$D$165)-1</f>
        <v/>
      </c>
      <c r="V46">
        <f>(1+'Rescale to Fit GDP Proj'!W165)/(1+'Rescale to Fit GDP Proj'!$D$165)-1</f>
        <v/>
      </c>
      <c r="W46">
        <f>(1+'Rescale to Fit GDP Proj'!X165)/(1+'Rescale to Fit GDP Proj'!$D$165)-1</f>
        <v/>
      </c>
      <c r="X46">
        <f>(1+'Rescale to Fit GDP Proj'!Y165)/(1+'Rescale to Fit GDP Proj'!$D$165)-1</f>
        <v/>
      </c>
      <c r="Y46">
        <f>(1+'Rescale to Fit GDP Proj'!Z165)/(1+'Rescale to Fit GDP Proj'!$D$165)-1</f>
        <v/>
      </c>
      <c r="Z46">
        <f>(1+'Rescale to Fit GDP Proj'!AA165)/(1+'Rescale to Fit GDP Proj'!$D$165)-1</f>
        <v/>
      </c>
      <c r="AA46">
        <f>(1+'Rescale to Fit GDP Proj'!AB165)/(1+'Rescale to Fit GDP Proj'!$D$165)-1</f>
        <v/>
      </c>
      <c r="AB46">
        <f>(1+'Rescale to Fit GDP Proj'!AC165)/(1+'Rescale to Fit GDP Proj'!$D$165)-1</f>
        <v/>
      </c>
    </row>
    <row r="47">
      <c r="A47" t="inlineStr">
        <is>
          <t>ISIC 77T82</t>
        </is>
      </c>
      <c r="B47">
        <f>(1+'Rescale to Fit GDP Proj'!C166)/(1+'Rescale to Fit GDP Proj'!$D$166)-1</f>
        <v/>
      </c>
      <c r="C47">
        <f>(1+'Rescale to Fit GDP Proj'!D166)/(1+'Rescale to Fit GDP Proj'!$D$166)-1</f>
        <v/>
      </c>
      <c r="D47">
        <f>(1+'Rescale to Fit GDP Proj'!E166)/(1+'Rescale to Fit GDP Proj'!$D$166)-1</f>
        <v/>
      </c>
      <c r="E47">
        <f>(1+'Rescale to Fit GDP Proj'!F166)/(1+'Rescale to Fit GDP Proj'!$D$166)-1</f>
        <v/>
      </c>
      <c r="F47">
        <f>(1+'Rescale to Fit GDP Proj'!G166)/(1+'Rescale to Fit GDP Proj'!$D$166)-1</f>
        <v/>
      </c>
      <c r="G47">
        <f>(1+'Rescale to Fit GDP Proj'!H166)/(1+'Rescale to Fit GDP Proj'!$D$166)-1</f>
        <v/>
      </c>
      <c r="H47">
        <f>(1+'Rescale to Fit GDP Proj'!I166)/(1+'Rescale to Fit GDP Proj'!$D$166)-1</f>
        <v/>
      </c>
      <c r="I47">
        <f>(1+'Rescale to Fit GDP Proj'!J166)/(1+'Rescale to Fit GDP Proj'!$D$166)-1</f>
        <v/>
      </c>
      <c r="J47">
        <f>(1+'Rescale to Fit GDP Proj'!K166)/(1+'Rescale to Fit GDP Proj'!$D$166)-1</f>
        <v/>
      </c>
      <c r="K47">
        <f>(1+'Rescale to Fit GDP Proj'!L166)/(1+'Rescale to Fit GDP Proj'!$D$166)-1</f>
        <v/>
      </c>
      <c r="L47">
        <f>(1+'Rescale to Fit GDP Proj'!M166)/(1+'Rescale to Fit GDP Proj'!$D$166)-1</f>
        <v/>
      </c>
      <c r="M47">
        <f>(1+'Rescale to Fit GDP Proj'!N166)/(1+'Rescale to Fit GDP Proj'!$D$166)-1</f>
        <v/>
      </c>
      <c r="N47">
        <f>(1+'Rescale to Fit GDP Proj'!O166)/(1+'Rescale to Fit GDP Proj'!$D$166)-1</f>
        <v/>
      </c>
      <c r="O47">
        <f>(1+'Rescale to Fit GDP Proj'!P166)/(1+'Rescale to Fit GDP Proj'!$D$166)-1</f>
        <v/>
      </c>
      <c r="P47">
        <f>(1+'Rescale to Fit GDP Proj'!Q166)/(1+'Rescale to Fit GDP Proj'!$D$166)-1</f>
        <v/>
      </c>
      <c r="Q47">
        <f>(1+'Rescale to Fit GDP Proj'!R166)/(1+'Rescale to Fit GDP Proj'!$D$166)-1</f>
        <v/>
      </c>
      <c r="R47">
        <f>(1+'Rescale to Fit GDP Proj'!S166)/(1+'Rescale to Fit GDP Proj'!$D$166)-1</f>
        <v/>
      </c>
      <c r="S47">
        <f>(1+'Rescale to Fit GDP Proj'!T166)/(1+'Rescale to Fit GDP Proj'!$D$166)-1</f>
        <v/>
      </c>
      <c r="T47">
        <f>(1+'Rescale to Fit GDP Proj'!U166)/(1+'Rescale to Fit GDP Proj'!$D$166)-1</f>
        <v/>
      </c>
      <c r="U47">
        <f>(1+'Rescale to Fit GDP Proj'!V166)/(1+'Rescale to Fit GDP Proj'!$D$166)-1</f>
        <v/>
      </c>
      <c r="V47">
        <f>(1+'Rescale to Fit GDP Proj'!W166)/(1+'Rescale to Fit GDP Proj'!$D$166)-1</f>
        <v/>
      </c>
      <c r="W47">
        <f>(1+'Rescale to Fit GDP Proj'!X166)/(1+'Rescale to Fit GDP Proj'!$D$166)-1</f>
        <v/>
      </c>
      <c r="X47">
        <f>(1+'Rescale to Fit GDP Proj'!Y166)/(1+'Rescale to Fit GDP Proj'!$D$166)-1</f>
        <v/>
      </c>
      <c r="Y47">
        <f>(1+'Rescale to Fit GDP Proj'!Z166)/(1+'Rescale to Fit GDP Proj'!$D$166)-1</f>
        <v/>
      </c>
      <c r="Z47">
        <f>(1+'Rescale to Fit GDP Proj'!AA166)/(1+'Rescale to Fit GDP Proj'!$D$166)-1</f>
        <v/>
      </c>
      <c r="AA47">
        <f>(1+'Rescale to Fit GDP Proj'!AB166)/(1+'Rescale to Fit GDP Proj'!$D$166)-1</f>
        <v/>
      </c>
      <c r="AB47">
        <f>(1+'Rescale to Fit GDP Proj'!AC166)/(1+'Rescale to Fit GDP Proj'!$D$166)-1</f>
        <v/>
      </c>
    </row>
    <row r="48">
      <c r="A48" t="inlineStr">
        <is>
          <t>ISIC 84</t>
        </is>
      </c>
      <c r="B48">
        <f>(1+'Rescale to Fit GDP Proj'!C167)/(1+'Rescale to Fit GDP Proj'!$D$167)-1</f>
        <v/>
      </c>
      <c r="C48">
        <f>(1+'Rescale to Fit GDP Proj'!D167)/(1+'Rescale to Fit GDP Proj'!$D$167)-1</f>
        <v/>
      </c>
      <c r="D48">
        <f>(1+'Rescale to Fit GDP Proj'!E167)/(1+'Rescale to Fit GDP Proj'!$D$167)-1</f>
        <v/>
      </c>
      <c r="E48">
        <f>(1+'Rescale to Fit GDP Proj'!F167)/(1+'Rescale to Fit GDP Proj'!$D$167)-1</f>
        <v/>
      </c>
      <c r="F48">
        <f>(1+'Rescale to Fit GDP Proj'!G167)/(1+'Rescale to Fit GDP Proj'!$D$167)-1</f>
        <v/>
      </c>
      <c r="G48">
        <f>(1+'Rescale to Fit GDP Proj'!H167)/(1+'Rescale to Fit GDP Proj'!$D$167)-1</f>
        <v/>
      </c>
      <c r="H48">
        <f>(1+'Rescale to Fit GDP Proj'!I167)/(1+'Rescale to Fit GDP Proj'!$D$167)-1</f>
        <v/>
      </c>
      <c r="I48">
        <f>(1+'Rescale to Fit GDP Proj'!J167)/(1+'Rescale to Fit GDP Proj'!$D$167)-1</f>
        <v/>
      </c>
      <c r="J48">
        <f>(1+'Rescale to Fit GDP Proj'!K167)/(1+'Rescale to Fit GDP Proj'!$D$167)-1</f>
        <v/>
      </c>
      <c r="K48">
        <f>(1+'Rescale to Fit GDP Proj'!L167)/(1+'Rescale to Fit GDP Proj'!$D$167)-1</f>
        <v/>
      </c>
      <c r="L48">
        <f>(1+'Rescale to Fit GDP Proj'!M167)/(1+'Rescale to Fit GDP Proj'!$D$167)-1</f>
        <v/>
      </c>
      <c r="M48">
        <f>(1+'Rescale to Fit GDP Proj'!N167)/(1+'Rescale to Fit GDP Proj'!$D$167)-1</f>
        <v/>
      </c>
      <c r="N48">
        <f>(1+'Rescale to Fit GDP Proj'!O167)/(1+'Rescale to Fit GDP Proj'!$D$167)-1</f>
        <v/>
      </c>
      <c r="O48">
        <f>(1+'Rescale to Fit GDP Proj'!P167)/(1+'Rescale to Fit GDP Proj'!$D$167)-1</f>
        <v/>
      </c>
      <c r="P48">
        <f>(1+'Rescale to Fit GDP Proj'!Q167)/(1+'Rescale to Fit GDP Proj'!$D$167)-1</f>
        <v/>
      </c>
      <c r="Q48">
        <f>(1+'Rescale to Fit GDP Proj'!R167)/(1+'Rescale to Fit GDP Proj'!$D$167)-1</f>
        <v/>
      </c>
      <c r="R48">
        <f>(1+'Rescale to Fit GDP Proj'!S167)/(1+'Rescale to Fit GDP Proj'!$D$167)-1</f>
        <v/>
      </c>
      <c r="S48">
        <f>(1+'Rescale to Fit GDP Proj'!T167)/(1+'Rescale to Fit GDP Proj'!$D$167)-1</f>
        <v/>
      </c>
      <c r="T48">
        <f>(1+'Rescale to Fit GDP Proj'!U167)/(1+'Rescale to Fit GDP Proj'!$D$167)-1</f>
        <v/>
      </c>
      <c r="U48">
        <f>(1+'Rescale to Fit GDP Proj'!V167)/(1+'Rescale to Fit GDP Proj'!$D$167)-1</f>
        <v/>
      </c>
      <c r="V48">
        <f>(1+'Rescale to Fit GDP Proj'!W167)/(1+'Rescale to Fit GDP Proj'!$D$167)-1</f>
        <v/>
      </c>
      <c r="W48">
        <f>(1+'Rescale to Fit GDP Proj'!X167)/(1+'Rescale to Fit GDP Proj'!$D$167)-1</f>
        <v/>
      </c>
      <c r="X48">
        <f>(1+'Rescale to Fit GDP Proj'!Y167)/(1+'Rescale to Fit GDP Proj'!$D$167)-1</f>
        <v/>
      </c>
      <c r="Y48">
        <f>(1+'Rescale to Fit GDP Proj'!Z167)/(1+'Rescale to Fit GDP Proj'!$D$167)-1</f>
        <v/>
      </c>
      <c r="Z48">
        <f>(1+'Rescale to Fit GDP Proj'!AA167)/(1+'Rescale to Fit GDP Proj'!$D$167)-1</f>
        <v/>
      </c>
      <c r="AA48">
        <f>(1+'Rescale to Fit GDP Proj'!AB167)/(1+'Rescale to Fit GDP Proj'!$D$167)-1</f>
        <v/>
      </c>
      <c r="AB48">
        <f>(1+'Rescale to Fit GDP Proj'!AC167)/(1+'Rescale to Fit GDP Proj'!$D$167)-1</f>
        <v/>
      </c>
    </row>
    <row r="49">
      <c r="A49" t="inlineStr">
        <is>
          <t>ISIC 85</t>
        </is>
      </c>
      <c r="B49">
        <f>(1+'Rescale to Fit GDP Proj'!C168)/(1+'Rescale to Fit GDP Proj'!$D$168)-1</f>
        <v/>
      </c>
      <c r="C49">
        <f>(1+'Rescale to Fit GDP Proj'!D168)/(1+'Rescale to Fit GDP Proj'!$D$168)-1</f>
        <v/>
      </c>
      <c r="D49">
        <f>(1+'Rescale to Fit GDP Proj'!E168)/(1+'Rescale to Fit GDP Proj'!$D$168)-1</f>
        <v/>
      </c>
      <c r="E49">
        <f>(1+'Rescale to Fit GDP Proj'!F168)/(1+'Rescale to Fit GDP Proj'!$D$168)-1</f>
        <v/>
      </c>
      <c r="F49">
        <f>(1+'Rescale to Fit GDP Proj'!G168)/(1+'Rescale to Fit GDP Proj'!$D$168)-1</f>
        <v/>
      </c>
      <c r="G49">
        <f>(1+'Rescale to Fit GDP Proj'!H168)/(1+'Rescale to Fit GDP Proj'!$D$168)-1</f>
        <v/>
      </c>
      <c r="H49">
        <f>(1+'Rescale to Fit GDP Proj'!I168)/(1+'Rescale to Fit GDP Proj'!$D$168)-1</f>
        <v/>
      </c>
      <c r="I49">
        <f>(1+'Rescale to Fit GDP Proj'!J168)/(1+'Rescale to Fit GDP Proj'!$D$168)-1</f>
        <v/>
      </c>
      <c r="J49">
        <f>(1+'Rescale to Fit GDP Proj'!K168)/(1+'Rescale to Fit GDP Proj'!$D$168)-1</f>
        <v/>
      </c>
      <c r="K49">
        <f>(1+'Rescale to Fit GDP Proj'!L168)/(1+'Rescale to Fit GDP Proj'!$D$168)-1</f>
        <v/>
      </c>
      <c r="L49">
        <f>(1+'Rescale to Fit GDP Proj'!M168)/(1+'Rescale to Fit GDP Proj'!$D$168)-1</f>
        <v/>
      </c>
      <c r="M49">
        <f>(1+'Rescale to Fit GDP Proj'!N168)/(1+'Rescale to Fit GDP Proj'!$D$168)-1</f>
        <v/>
      </c>
      <c r="N49">
        <f>(1+'Rescale to Fit GDP Proj'!O168)/(1+'Rescale to Fit GDP Proj'!$D$168)-1</f>
        <v/>
      </c>
      <c r="O49">
        <f>(1+'Rescale to Fit GDP Proj'!P168)/(1+'Rescale to Fit GDP Proj'!$D$168)-1</f>
        <v/>
      </c>
      <c r="P49">
        <f>(1+'Rescale to Fit GDP Proj'!Q168)/(1+'Rescale to Fit GDP Proj'!$D$168)-1</f>
        <v/>
      </c>
      <c r="Q49">
        <f>(1+'Rescale to Fit GDP Proj'!R168)/(1+'Rescale to Fit GDP Proj'!$D$168)-1</f>
        <v/>
      </c>
      <c r="R49">
        <f>(1+'Rescale to Fit GDP Proj'!S168)/(1+'Rescale to Fit GDP Proj'!$D$168)-1</f>
        <v/>
      </c>
      <c r="S49">
        <f>(1+'Rescale to Fit GDP Proj'!T168)/(1+'Rescale to Fit GDP Proj'!$D$168)-1</f>
        <v/>
      </c>
      <c r="T49">
        <f>(1+'Rescale to Fit GDP Proj'!U168)/(1+'Rescale to Fit GDP Proj'!$D$168)-1</f>
        <v/>
      </c>
      <c r="U49">
        <f>(1+'Rescale to Fit GDP Proj'!V168)/(1+'Rescale to Fit GDP Proj'!$D$168)-1</f>
        <v/>
      </c>
      <c r="V49">
        <f>(1+'Rescale to Fit GDP Proj'!W168)/(1+'Rescale to Fit GDP Proj'!$D$168)-1</f>
        <v/>
      </c>
      <c r="W49">
        <f>(1+'Rescale to Fit GDP Proj'!X168)/(1+'Rescale to Fit GDP Proj'!$D$168)-1</f>
        <v/>
      </c>
      <c r="X49">
        <f>(1+'Rescale to Fit GDP Proj'!Y168)/(1+'Rescale to Fit GDP Proj'!$D$168)-1</f>
        <v/>
      </c>
      <c r="Y49">
        <f>(1+'Rescale to Fit GDP Proj'!Z168)/(1+'Rescale to Fit GDP Proj'!$D$168)-1</f>
        <v/>
      </c>
      <c r="Z49">
        <f>(1+'Rescale to Fit GDP Proj'!AA168)/(1+'Rescale to Fit GDP Proj'!$D$168)-1</f>
        <v/>
      </c>
      <c r="AA49">
        <f>(1+'Rescale to Fit GDP Proj'!AB168)/(1+'Rescale to Fit GDP Proj'!$D$168)-1</f>
        <v/>
      </c>
      <c r="AB49">
        <f>(1+'Rescale to Fit GDP Proj'!AC168)/(1+'Rescale to Fit GDP Proj'!$D$168)-1</f>
        <v/>
      </c>
    </row>
    <row r="50">
      <c r="A50" t="inlineStr">
        <is>
          <t>ISIC 86T88</t>
        </is>
      </c>
      <c r="B50">
        <f>(1+'Rescale to Fit GDP Proj'!C169)/(1+'Rescale to Fit GDP Proj'!$D$169)-1</f>
        <v/>
      </c>
      <c r="C50">
        <f>(1+'Rescale to Fit GDP Proj'!D169)/(1+'Rescale to Fit GDP Proj'!$D$169)-1</f>
        <v/>
      </c>
      <c r="D50">
        <f>(1+'Rescale to Fit GDP Proj'!E169)/(1+'Rescale to Fit GDP Proj'!$D$169)-1</f>
        <v/>
      </c>
      <c r="E50">
        <f>(1+'Rescale to Fit GDP Proj'!F169)/(1+'Rescale to Fit GDP Proj'!$D$169)-1</f>
        <v/>
      </c>
      <c r="F50">
        <f>(1+'Rescale to Fit GDP Proj'!G169)/(1+'Rescale to Fit GDP Proj'!$D$169)-1</f>
        <v/>
      </c>
      <c r="G50">
        <f>(1+'Rescale to Fit GDP Proj'!H169)/(1+'Rescale to Fit GDP Proj'!$D$169)-1</f>
        <v/>
      </c>
      <c r="H50">
        <f>(1+'Rescale to Fit GDP Proj'!I169)/(1+'Rescale to Fit GDP Proj'!$D$169)-1</f>
        <v/>
      </c>
      <c r="I50">
        <f>(1+'Rescale to Fit GDP Proj'!J169)/(1+'Rescale to Fit GDP Proj'!$D$169)-1</f>
        <v/>
      </c>
      <c r="J50">
        <f>(1+'Rescale to Fit GDP Proj'!K169)/(1+'Rescale to Fit GDP Proj'!$D$169)-1</f>
        <v/>
      </c>
      <c r="K50">
        <f>(1+'Rescale to Fit GDP Proj'!L169)/(1+'Rescale to Fit GDP Proj'!$D$169)-1</f>
        <v/>
      </c>
      <c r="L50">
        <f>(1+'Rescale to Fit GDP Proj'!M169)/(1+'Rescale to Fit GDP Proj'!$D$169)-1</f>
        <v/>
      </c>
      <c r="M50">
        <f>(1+'Rescale to Fit GDP Proj'!N169)/(1+'Rescale to Fit GDP Proj'!$D$169)-1</f>
        <v/>
      </c>
      <c r="N50">
        <f>(1+'Rescale to Fit GDP Proj'!O169)/(1+'Rescale to Fit GDP Proj'!$D$169)-1</f>
        <v/>
      </c>
      <c r="O50">
        <f>(1+'Rescale to Fit GDP Proj'!P169)/(1+'Rescale to Fit GDP Proj'!$D$169)-1</f>
        <v/>
      </c>
      <c r="P50">
        <f>(1+'Rescale to Fit GDP Proj'!Q169)/(1+'Rescale to Fit GDP Proj'!$D$169)-1</f>
        <v/>
      </c>
      <c r="Q50">
        <f>(1+'Rescale to Fit GDP Proj'!R169)/(1+'Rescale to Fit GDP Proj'!$D$169)-1</f>
        <v/>
      </c>
      <c r="R50">
        <f>(1+'Rescale to Fit GDP Proj'!S169)/(1+'Rescale to Fit GDP Proj'!$D$169)-1</f>
        <v/>
      </c>
      <c r="S50">
        <f>(1+'Rescale to Fit GDP Proj'!T169)/(1+'Rescale to Fit GDP Proj'!$D$169)-1</f>
        <v/>
      </c>
      <c r="T50">
        <f>(1+'Rescale to Fit GDP Proj'!U169)/(1+'Rescale to Fit GDP Proj'!$D$169)-1</f>
        <v/>
      </c>
      <c r="U50">
        <f>(1+'Rescale to Fit GDP Proj'!V169)/(1+'Rescale to Fit GDP Proj'!$D$169)-1</f>
        <v/>
      </c>
      <c r="V50">
        <f>(1+'Rescale to Fit GDP Proj'!W169)/(1+'Rescale to Fit GDP Proj'!$D$169)-1</f>
        <v/>
      </c>
      <c r="W50">
        <f>(1+'Rescale to Fit GDP Proj'!X169)/(1+'Rescale to Fit GDP Proj'!$D$169)-1</f>
        <v/>
      </c>
      <c r="X50">
        <f>(1+'Rescale to Fit GDP Proj'!Y169)/(1+'Rescale to Fit GDP Proj'!$D$169)-1</f>
        <v/>
      </c>
      <c r="Y50">
        <f>(1+'Rescale to Fit GDP Proj'!Z169)/(1+'Rescale to Fit GDP Proj'!$D$169)-1</f>
        <v/>
      </c>
      <c r="Z50">
        <f>(1+'Rescale to Fit GDP Proj'!AA169)/(1+'Rescale to Fit GDP Proj'!$D$169)-1</f>
        <v/>
      </c>
      <c r="AA50">
        <f>(1+'Rescale to Fit GDP Proj'!AB169)/(1+'Rescale to Fit GDP Proj'!$D$169)-1</f>
        <v/>
      </c>
      <c r="AB50">
        <f>(1+'Rescale to Fit GDP Proj'!AC169)/(1+'Rescale to Fit GDP Proj'!$D$169)-1</f>
        <v/>
      </c>
    </row>
    <row r="51">
      <c r="A51" t="inlineStr">
        <is>
          <t>ISIC 90T93</t>
        </is>
      </c>
      <c r="B51">
        <f>(1+'Rescale to Fit GDP Proj'!C170)/(1+'Rescale to Fit GDP Proj'!$D$170)-1</f>
        <v/>
      </c>
      <c r="C51">
        <f>(1+'Rescale to Fit GDP Proj'!D170)/(1+'Rescale to Fit GDP Proj'!$D$170)-1</f>
        <v/>
      </c>
      <c r="D51">
        <f>(1+'Rescale to Fit GDP Proj'!E170)/(1+'Rescale to Fit GDP Proj'!$D$170)-1</f>
        <v/>
      </c>
      <c r="E51">
        <f>(1+'Rescale to Fit GDP Proj'!F170)/(1+'Rescale to Fit GDP Proj'!$D$170)-1</f>
        <v/>
      </c>
      <c r="F51">
        <f>(1+'Rescale to Fit GDP Proj'!G170)/(1+'Rescale to Fit GDP Proj'!$D$170)-1</f>
        <v/>
      </c>
      <c r="G51">
        <f>(1+'Rescale to Fit GDP Proj'!H170)/(1+'Rescale to Fit GDP Proj'!$D$170)-1</f>
        <v/>
      </c>
      <c r="H51">
        <f>(1+'Rescale to Fit GDP Proj'!I170)/(1+'Rescale to Fit GDP Proj'!$D$170)-1</f>
        <v/>
      </c>
      <c r="I51">
        <f>(1+'Rescale to Fit GDP Proj'!J170)/(1+'Rescale to Fit GDP Proj'!$D$170)-1</f>
        <v/>
      </c>
      <c r="J51">
        <f>(1+'Rescale to Fit GDP Proj'!K170)/(1+'Rescale to Fit GDP Proj'!$D$170)-1</f>
        <v/>
      </c>
      <c r="K51">
        <f>(1+'Rescale to Fit GDP Proj'!L170)/(1+'Rescale to Fit GDP Proj'!$D$170)-1</f>
        <v/>
      </c>
      <c r="L51">
        <f>(1+'Rescale to Fit GDP Proj'!M170)/(1+'Rescale to Fit GDP Proj'!$D$170)-1</f>
        <v/>
      </c>
      <c r="M51">
        <f>(1+'Rescale to Fit GDP Proj'!N170)/(1+'Rescale to Fit GDP Proj'!$D$170)-1</f>
        <v/>
      </c>
      <c r="N51">
        <f>(1+'Rescale to Fit GDP Proj'!O170)/(1+'Rescale to Fit GDP Proj'!$D$170)-1</f>
        <v/>
      </c>
      <c r="O51">
        <f>(1+'Rescale to Fit GDP Proj'!P170)/(1+'Rescale to Fit GDP Proj'!$D$170)-1</f>
        <v/>
      </c>
      <c r="P51">
        <f>(1+'Rescale to Fit GDP Proj'!Q170)/(1+'Rescale to Fit GDP Proj'!$D$170)-1</f>
        <v/>
      </c>
      <c r="Q51">
        <f>(1+'Rescale to Fit GDP Proj'!R170)/(1+'Rescale to Fit GDP Proj'!$D$170)-1</f>
        <v/>
      </c>
      <c r="R51">
        <f>(1+'Rescale to Fit GDP Proj'!S170)/(1+'Rescale to Fit GDP Proj'!$D$170)-1</f>
        <v/>
      </c>
      <c r="S51">
        <f>(1+'Rescale to Fit GDP Proj'!T170)/(1+'Rescale to Fit GDP Proj'!$D$170)-1</f>
        <v/>
      </c>
      <c r="T51">
        <f>(1+'Rescale to Fit GDP Proj'!U170)/(1+'Rescale to Fit GDP Proj'!$D$170)-1</f>
        <v/>
      </c>
      <c r="U51">
        <f>(1+'Rescale to Fit GDP Proj'!V170)/(1+'Rescale to Fit GDP Proj'!$D$170)-1</f>
        <v/>
      </c>
      <c r="V51">
        <f>(1+'Rescale to Fit GDP Proj'!W170)/(1+'Rescale to Fit GDP Proj'!$D$170)-1</f>
        <v/>
      </c>
      <c r="W51">
        <f>(1+'Rescale to Fit GDP Proj'!X170)/(1+'Rescale to Fit GDP Proj'!$D$170)-1</f>
        <v/>
      </c>
      <c r="X51">
        <f>(1+'Rescale to Fit GDP Proj'!Y170)/(1+'Rescale to Fit GDP Proj'!$D$170)-1</f>
        <v/>
      </c>
      <c r="Y51">
        <f>(1+'Rescale to Fit GDP Proj'!Z170)/(1+'Rescale to Fit GDP Proj'!$D$170)-1</f>
        <v/>
      </c>
      <c r="Z51">
        <f>(1+'Rescale to Fit GDP Proj'!AA170)/(1+'Rescale to Fit GDP Proj'!$D$170)-1</f>
        <v/>
      </c>
      <c r="AA51">
        <f>(1+'Rescale to Fit GDP Proj'!AB170)/(1+'Rescale to Fit GDP Proj'!$D$170)-1</f>
        <v/>
      </c>
      <c r="AB51">
        <f>(1+'Rescale to Fit GDP Proj'!AC170)/(1+'Rescale to Fit GDP Proj'!$D$170)-1</f>
        <v/>
      </c>
    </row>
    <row r="52">
      <c r="A52" t="inlineStr">
        <is>
          <t>ISIC 94T96</t>
        </is>
      </c>
      <c r="B52">
        <f>(1+'Rescale to Fit GDP Proj'!C171)/(1+'Rescale to Fit GDP Proj'!$D$171)-1</f>
        <v/>
      </c>
      <c r="C52">
        <f>(1+'Rescale to Fit GDP Proj'!D171)/(1+'Rescale to Fit GDP Proj'!$D$171)-1</f>
        <v/>
      </c>
      <c r="D52">
        <f>(1+'Rescale to Fit GDP Proj'!E171)/(1+'Rescale to Fit GDP Proj'!$D$171)-1</f>
        <v/>
      </c>
      <c r="E52">
        <f>(1+'Rescale to Fit GDP Proj'!F171)/(1+'Rescale to Fit GDP Proj'!$D$171)-1</f>
        <v/>
      </c>
      <c r="F52">
        <f>(1+'Rescale to Fit GDP Proj'!G171)/(1+'Rescale to Fit GDP Proj'!$D$171)-1</f>
        <v/>
      </c>
      <c r="G52">
        <f>(1+'Rescale to Fit GDP Proj'!H171)/(1+'Rescale to Fit GDP Proj'!$D$171)-1</f>
        <v/>
      </c>
      <c r="H52">
        <f>(1+'Rescale to Fit GDP Proj'!I171)/(1+'Rescale to Fit GDP Proj'!$D$171)-1</f>
        <v/>
      </c>
      <c r="I52">
        <f>(1+'Rescale to Fit GDP Proj'!J171)/(1+'Rescale to Fit GDP Proj'!$D$171)-1</f>
        <v/>
      </c>
      <c r="J52">
        <f>(1+'Rescale to Fit GDP Proj'!K171)/(1+'Rescale to Fit GDP Proj'!$D$171)-1</f>
        <v/>
      </c>
      <c r="K52">
        <f>(1+'Rescale to Fit GDP Proj'!L171)/(1+'Rescale to Fit GDP Proj'!$D$171)-1</f>
        <v/>
      </c>
      <c r="L52">
        <f>(1+'Rescale to Fit GDP Proj'!M171)/(1+'Rescale to Fit GDP Proj'!$D$171)-1</f>
        <v/>
      </c>
      <c r="M52">
        <f>(1+'Rescale to Fit GDP Proj'!N171)/(1+'Rescale to Fit GDP Proj'!$D$171)-1</f>
        <v/>
      </c>
      <c r="N52">
        <f>(1+'Rescale to Fit GDP Proj'!O171)/(1+'Rescale to Fit GDP Proj'!$D$171)-1</f>
        <v/>
      </c>
      <c r="O52">
        <f>(1+'Rescale to Fit GDP Proj'!P171)/(1+'Rescale to Fit GDP Proj'!$D$171)-1</f>
        <v/>
      </c>
      <c r="P52">
        <f>(1+'Rescale to Fit GDP Proj'!Q171)/(1+'Rescale to Fit GDP Proj'!$D$171)-1</f>
        <v/>
      </c>
      <c r="Q52">
        <f>(1+'Rescale to Fit GDP Proj'!R171)/(1+'Rescale to Fit GDP Proj'!$D$171)-1</f>
        <v/>
      </c>
      <c r="R52">
        <f>(1+'Rescale to Fit GDP Proj'!S171)/(1+'Rescale to Fit GDP Proj'!$D$171)-1</f>
        <v/>
      </c>
      <c r="S52">
        <f>(1+'Rescale to Fit GDP Proj'!T171)/(1+'Rescale to Fit GDP Proj'!$D$171)-1</f>
        <v/>
      </c>
      <c r="T52">
        <f>(1+'Rescale to Fit GDP Proj'!U171)/(1+'Rescale to Fit GDP Proj'!$D$171)-1</f>
        <v/>
      </c>
      <c r="U52">
        <f>(1+'Rescale to Fit GDP Proj'!V171)/(1+'Rescale to Fit GDP Proj'!$D$171)-1</f>
        <v/>
      </c>
      <c r="V52">
        <f>(1+'Rescale to Fit GDP Proj'!W171)/(1+'Rescale to Fit GDP Proj'!$D$171)-1</f>
        <v/>
      </c>
      <c r="W52">
        <f>(1+'Rescale to Fit GDP Proj'!X171)/(1+'Rescale to Fit GDP Proj'!$D$171)-1</f>
        <v/>
      </c>
      <c r="X52">
        <f>(1+'Rescale to Fit GDP Proj'!Y171)/(1+'Rescale to Fit GDP Proj'!$D$171)-1</f>
        <v/>
      </c>
      <c r="Y52">
        <f>(1+'Rescale to Fit GDP Proj'!Z171)/(1+'Rescale to Fit GDP Proj'!$D$171)-1</f>
        <v/>
      </c>
      <c r="Z52">
        <f>(1+'Rescale to Fit GDP Proj'!AA171)/(1+'Rescale to Fit GDP Proj'!$D$171)-1</f>
        <v/>
      </c>
      <c r="AA52">
        <f>(1+'Rescale to Fit GDP Proj'!AB171)/(1+'Rescale to Fit GDP Proj'!$D$171)-1</f>
        <v/>
      </c>
      <c r="AB52">
        <f>(1+'Rescale to Fit GDP Proj'!AC171)/(1+'Rescale to Fit GDP Proj'!$D$171)-1</f>
        <v/>
      </c>
    </row>
    <row r="53">
      <c r="A53" t="inlineStr">
        <is>
          <t>ISIC 97T98</t>
        </is>
      </c>
      <c r="B53">
        <f>(1+'Rescale to Fit GDP Proj'!C172)/(1+'Rescale to Fit GDP Proj'!$D$172)-1</f>
        <v/>
      </c>
      <c r="C53">
        <f>(1+'Rescale to Fit GDP Proj'!D172)/(1+'Rescale to Fit GDP Proj'!$D$172)-1</f>
        <v/>
      </c>
      <c r="D53">
        <f>(1+'Rescale to Fit GDP Proj'!E172)/(1+'Rescale to Fit GDP Proj'!$D$172)-1</f>
        <v/>
      </c>
      <c r="E53">
        <f>(1+'Rescale to Fit GDP Proj'!F172)/(1+'Rescale to Fit GDP Proj'!$D$172)-1</f>
        <v/>
      </c>
      <c r="F53">
        <f>(1+'Rescale to Fit GDP Proj'!G172)/(1+'Rescale to Fit GDP Proj'!$D$172)-1</f>
        <v/>
      </c>
      <c r="G53">
        <f>(1+'Rescale to Fit GDP Proj'!H172)/(1+'Rescale to Fit GDP Proj'!$D$172)-1</f>
        <v/>
      </c>
      <c r="H53">
        <f>(1+'Rescale to Fit GDP Proj'!I172)/(1+'Rescale to Fit GDP Proj'!$D$172)-1</f>
        <v/>
      </c>
      <c r="I53">
        <f>(1+'Rescale to Fit GDP Proj'!J172)/(1+'Rescale to Fit GDP Proj'!$D$172)-1</f>
        <v/>
      </c>
      <c r="J53">
        <f>(1+'Rescale to Fit GDP Proj'!K172)/(1+'Rescale to Fit GDP Proj'!$D$172)-1</f>
        <v/>
      </c>
      <c r="K53">
        <f>(1+'Rescale to Fit GDP Proj'!L172)/(1+'Rescale to Fit GDP Proj'!$D$172)-1</f>
        <v/>
      </c>
      <c r="L53">
        <f>(1+'Rescale to Fit GDP Proj'!M172)/(1+'Rescale to Fit GDP Proj'!$D$172)-1</f>
        <v/>
      </c>
      <c r="M53">
        <f>(1+'Rescale to Fit GDP Proj'!N172)/(1+'Rescale to Fit GDP Proj'!$D$172)-1</f>
        <v/>
      </c>
      <c r="N53">
        <f>(1+'Rescale to Fit GDP Proj'!O172)/(1+'Rescale to Fit GDP Proj'!$D$172)-1</f>
        <v/>
      </c>
      <c r="O53">
        <f>(1+'Rescale to Fit GDP Proj'!P172)/(1+'Rescale to Fit GDP Proj'!$D$172)-1</f>
        <v/>
      </c>
      <c r="P53">
        <f>(1+'Rescale to Fit GDP Proj'!Q172)/(1+'Rescale to Fit GDP Proj'!$D$172)-1</f>
        <v/>
      </c>
      <c r="Q53">
        <f>(1+'Rescale to Fit GDP Proj'!R172)/(1+'Rescale to Fit GDP Proj'!$D$172)-1</f>
        <v/>
      </c>
      <c r="R53">
        <f>(1+'Rescale to Fit GDP Proj'!S172)/(1+'Rescale to Fit GDP Proj'!$D$172)-1</f>
        <v/>
      </c>
      <c r="S53">
        <f>(1+'Rescale to Fit GDP Proj'!T172)/(1+'Rescale to Fit GDP Proj'!$D$172)-1</f>
        <v/>
      </c>
      <c r="T53">
        <f>(1+'Rescale to Fit GDP Proj'!U172)/(1+'Rescale to Fit GDP Proj'!$D$172)-1</f>
        <v/>
      </c>
      <c r="U53">
        <f>(1+'Rescale to Fit GDP Proj'!V172)/(1+'Rescale to Fit GDP Proj'!$D$172)-1</f>
        <v/>
      </c>
      <c r="V53">
        <f>(1+'Rescale to Fit GDP Proj'!W172)/(1+'Rescale to Fit GDP Proj'!$D$172)-1</f>
        <v/>
      </c>
      <c r="W53">
        <f>(1+'Rescale to Fit GDP Proj'!X172)/(1+'Rescale to Fit GDP Proj'!$D$172)-1</f>
        <v/>
      </c>
      <c r="X53">
        <f>(1+'Rescale to Fit GDP Proj'!Y172)/(1+'Rescale to Fit GDP Proj'!$D$172)-1</f>
        <v/>
      </c>
      <c r="Y53">
        <f>(1+'Rescale to Fit GDP Proj'!Z172)/(1+'Rescale to Fit GDP Proj'!$D$172)-1</f>
        <v/>
      </c>
      <c r="Z53">
        <f>(1+'Rescale to Fit GDP Proj'!AA172)/(1+'Rescale to Fit GDP Proj'!$D$172)-1</f>
        <v/>
      </c>
      <c r="AA53">
        <f>(1+'Rescale to Fit GDP Proj'!AB172)/(1+'Rescale to Fit GDP Proj'!$D$172)-1</f>
        <v/>
      </c>
      <c r="AB53">
        <f>(1+'Rescale to Fit GDP Proj'!AC172)/(1+'Rescale to Fit GDP Proj'!$D$172)-1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Unit: dimensionless (% change)</t>
        </is>
      </c>
      <c r="B1" s="1" t="inlineStr">
        <is>
          <t>2020</t>
        </is>
      </c>
      <c r="C1" s="1" t="inlineStr">
        <is>
          <t>2021</t>
        </is>
      </c>
      <c r="D1" s="1" t="inlineStr">
        <is>
          <t>2022</t>
        </is>
      </c>
      <c r="E1" s="1" t="inlineStr">
        <is>
          <t>2023</t>
        </is>
      </c>
      <c r="F1" s="1" t="inlineStr">
        <is>
          <t>2024</t>
        </is>
      </c>
      <c r="G1" s="1" t="inlineStr">
        <is>
          <t>2025</t>
        </is>
      </c>
      <c r="H1" s="1" t="inlineStr">
        <is>
          <t>2026</t>
        </is>
      </c>
      <c r="I1" s="1" t="inlineStr">
        <is>
          <t>2027</t>
        </is>
      </c>
      <c r="J1" s="1" t="inlineStr">
        <is>
          <t>2028</t>
        </is>
      </c>
      <c r="K1" s="1" t="inlineStr">
        <is>
          <t>2029</t>
        </is>
      </c>
      <c r="L1" s="1" t="inlineStr">
        <is>
          <t>2030</t>
        </is>
      </c>
      <c r="M1" s="1" t="inlineStr">
        <is>
          <t>2031</t>
        </is>
      </c>
      <c r="N1" s="1" t="inlineStr">
        <is>
          <t>2032</t>
        </is>
      </c>
      <c r="O1" s="1" t="inlineStr">
        <is>
          <t>2033</t>
        </is>
      </c>
      <c r="P1" s="1" t="inlineStr">
        <is>
          <t>2034</t>
        </is>
      </c>
      <c r="Q1" s="1" t="inlineStr">
        <is>
          <t>2035</t>
        </is>
      </c>
      <c r="R1" s="1" t="inlineStr">
        <is>
          <t>2036</t>
        </is>
      </c>
      <c r="S1" s="1" t="inlineStr">
        <is>
          <t>2037</t>
        </is>
      </c>
      <c r="T1" s="1" t="inlineStr">
        <is>
          <t>2038</t>
        </is>
      </c>
      <c r="U1" s="1" t="inlineStr">
        <is>
          <t>2039</t>
        </is>
      </c>
      <c r="V1" s="1" t="inlineStr">
        <is>
          <t>2040</t>
        </is>
      </c>
      <c r="W1" s="1" t="inlineStr">
        <is>
          <t>2041</t>
        </is>
      </c>
      <c r="X1" s="1" t="inlineStr">
        <is>
          <t>2042</t>
        </is>
      </c>
      <c r="Y1" s="1" t="inlineStr">
        <is>
          <t>2043</t>
        </is>
      </c>
      <c r="Z1" s="1" t="inlineStr">
        <is>
          <t>2044</t>
        </is>
      </c>
      <c r="AA1" s="1" t="inlineStr">
        <is>
          <t>2045</t>
        </is>
      </c>
      <c r="AB1" s="1" t="inlineStr">
        <is>
          <t>2046</t>
        </is>
      </c>
      <c r="AC1" s="1" t="inlineStr">
        <is>
          <t>2047</t>
        </is>
      </c>
      <c r="AD1" s="1" t="inlineStr">
        <is>
          <t>2048</t>
        </is>
      </c>
      <c r="AE1" s="1" t="inlineStr">
        <is>
          <t>2049</t>
        </is>
      </c>
      <c r="AF1" s="1" t="inlineStr">
        <is>
          <t>2050</t>
        </is>
      </c>
    </row>
    <row r="2">
      <c r="A2" t="inlineStr">
        <is>
          <t>ISIC 01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inlineStr">
        <is>
          <t>ISIC 02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inlineStr">
        <is>
          <t>ISIC 03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inlineStr">
        <is>
          <t>ISIC 05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inlineStr">
        <is>
          <t>ISIC 06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inlineStr">
        <is>
          <t>ISIC 07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inlineStr">
        <is>
          <t>ISIC 08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inlineStr">
        <is>
          <t>ISIC 09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inlineStr">
        <is>
          <t>ISIC 10T12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inlineStr">
        <is>
          <t>ISIC 13T15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inlineStr">
        <is>
          <t>ISIC 16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inlineStr">
        <is>
          <t>ISIC 17T18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inlineStr">
        <is>
          <t>ISIC 19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inlineStr">
        <is>
          <t>ISIC 20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inlineStr">
        <is>
          <t>ISIC 21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inlineStr">
        <is>
          <t>ISIC 22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inlineStr">
        <is>
          <t>ISIC 231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inlineStr">
        <is>
          <t>ISIC 239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inlineStr">
        <is>
          <t>ISIC 241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inlineStr">
        <is>
          <t>ISIC 242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inlineStr">
        <is>
          <t>ISIC 25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inlineStr">
        <is>
          <t>ISIC 26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inlineStr">
        <is>
          <t>ISIC 27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inlineStr">
        <is>
          <t>ISIC 28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inlineStr">
        <is>
          <t>ISIC 29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inlineStr">
        <is>
          <t>ISIC 301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inlineStr">
        <is>
          <t>ISIC 302T309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inlineStr">
        <is>
          <t>ISIC 31T33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inlineStr">
        <is>
          <t>ISIC 351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inlineStr">
        <is>
          <t>ISIC 352T353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inlineStr">
        <is>
          <t>ISIC 36T39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inlineStr">
        <is>
          <t>ISIC 41T43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inlineStr">
        <is>
          <t>ISIC 45T47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inlineStr">
        <is>
          <t>ISIC 49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inlineStr">
        <is>
          <t>ISIC 50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inlineStr">
        <is>
          <t>ISIC 51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inlineStr">
        <is>
          <t>ISIC 52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inlineStr">
        <is>
          <t>ISIC 53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inlineStr">
        <is>
          <t>ISIC 55T56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inlineStr">
        <is>
          <t>ISIC 58T60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inlineStr">
        <is>
          <t>ISIC 61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inlineStr">
        <is>
          <t>ISIC 62T63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inlineStr">
        <is>
          <t>ISIC 64T66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inlineStr">
        <is>
          <t>ISIC 68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inlineStr">
        <is>
          <t>ISIC 69T75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inlineStr">
        <is>
          <t>ISIC 77T82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inlineStr">
        <is>
          <t>ISIC 84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inlineStr">
        <is>
          <t>ISIC 85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inlineStr">
        <is>
          <t>ISIC 86T88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inlineStr">
        <is>
          <t>ISIC 90T93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inlineStr">
        <is>
          <t>ISIC 94T96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inlineStr">
        <is>
          <t>ISIC 97T98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2026-07-21T14:40:19Z</dcterms:created>
  <dcterms:modified xmlns:dcterms="http://purl.org/dc/terms/" xmlns:xsi="http://www.w3.org/2001/XMLSchema-instance" xsi:type="dcterms:W3CDTF">2026-07-21T14:40:19Z</dcterms:modified>
</cp:coreProperties>
</file>