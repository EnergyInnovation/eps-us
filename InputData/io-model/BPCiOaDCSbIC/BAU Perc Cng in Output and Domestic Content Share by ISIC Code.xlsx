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nO'Brien\Models\EPS\US\eps-us\InputData\io-model\BPCiOaDCSbIC\"/>
    </mc:Choice>
  </mc:AlternateContent>
  <xr:revisionPtr revIDLastSave="0" documentId="13_ncr:1_{C8946AD8-7702-4E0D-86B8-990B083C372B}" xr6:coauthVersionLast="47" xr6:coauthVersionMax="47" xr10:uidLastSave="{00000000-0000-0000-0000-000000000000}"/>
  <bookViews>
    <workbookView xWindow="-28920" yWindow="-120" windowWidth="29040" windowHeight="17520" xr2:uid="{C3094BDE-EEBB-4416-BA99-794B5E057799}"/>
  </bookViews>
  <sheets>
    <sheet name="About" sheetId="1" r:id="rId1"/>
    <sheet name="source data&gt;" sheetId="26" r:id="rId2"/>
    <sheet name="BLS Table 2.11" sheetId="28" r:id="rId3"/>
    <sheet name="AEO25 Table 23" sheetId="24" r:id="rId4"/>
    <sheet name="Data from BVAbIC" sheetId="14" r:id="rId5"/>
    <sheet name="GDP Forecast" sheetId="17" r:id="rId6"/>
    <sheet name="calcs&gt;" sheetId="25" r:id="rId7"/>
    <sheet name="Rescale to Fit GDP Proj" sheetId="16" r:id="rId8"/>
    <sheet name="Growth Rates" sheetId="13" r:id="rId9"/>
    <sheet name="BPCiObIC" sheetId="2" r:id="rId10"/>
    <sheet name="BPCiDCSbIC" sheetId="20" r:id="rId11"/>
  </sheets>
  <externalReferences>
    <externalReference r:id="rId12"/>
  </externalReferences>
  <definedNames>
    <definedName name="gal_per_barrel">[1]About!$A$63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5" i="13" l="1" a="1"/>
  <c r="B45" i="13" s="1"/>
  <c r="B44" i="13" a="1"/>
  <c r="B44" i="13" s="1"/>
  <c r="B43" i="13" a="1"/>
  <c r="B43" i="13" s="1"/>
  <c r="B42" i="13" a="1"/>
  <c r="B42" i="13" s="1"/>
  <c r="B41" i="13" a="1"/>
  <c r="B41" i="13" s="1"/>
  <c r="B40" i="13" a="1"/>
  <c r="B40" i="13" s="1"/>
  <c r="B39" i="13" a="1"/>
  <c r="B39" i="13" s="1"/>
  <c r="B38" i="13" a="1"/>
  <c r="B38" i="13" s="1"/>
  <c r="B37" i="13" a="1"/>
  <c r="B37" i="13" s="1"/>
  <c r="B36" i="13" a="1"/>
  <c r="B36" i="13" s="1"/>
  <c r="B35" i="13" a="1"/>
  <c r="B35" i="13" s="1"/>
  <c r="B34" i="13" a="1"/>
  <c r="B34" i="13" s="1"/>
  <c r="B33" i="13" a="1"/>
  <c r="B33" i="13" s="1"/>
  <c r="B32" i="13" a="1"/>
  <c r="B32" i="13" s="1"/>
  <c r="B31" i="13" a="1"/>
  <c r="B31" i="13" s="1"/>
  <c r="B30" i="13" a="1"/>
  <c r="B30" i="13" s="1"/>
  <c r="B29" i="13" a="1"/>
  <c r="B29" i="13" s="1"/>
  <c r="B28" i="13" a="1"/>
  <c r="B28" i="13" s="1"/>
  <c r="B27" i="13" a="1"/>
  <c r="B27" i="13" s="1"/>
  <c r="B26" i="13" a="1"/>
  <c r="B26" i="13" s="1"/>
  <c r="B25" i="13" a="1"/>
  <c r="B25" i="13" s="1"/>
  <c r="B24" i="13" a="1"/>
  <c r="B24" i="13" s="1"/>
  <c r="B23" i="13" a="1"/>
  <c r="B23" i="13" s="1"/>
  <c r="B22" i="13" a="1"/>
  <c r="B22" i="13" s="1"/>
  <c r="B21" i="13" a="1"/>
  <c r="B21" i="13" s="1"/>
  <c r="B20" i="13" a="1"/>
  <c r="B20" i="13" s="1"/>
  <c r="B19" i="13" a="1"/>
  <c r="B19" i="13" s="1"/>
  <c r="B18" i="13" a="1"/>
  <c r="B18" i="13" s="1"/>
  <c r="B17" i="13" a="1"/>
  <c r="B17" i="13" s="1"/>
  <c r="B16" i="13" a="1"/>
  <c r="B16" i="13" s="1"/>
  <c r="B15" i="13" a="1"/>
  <c r="B15" i="13" s="1"/>
  <c r="B14" i="13" a="1"/>
  <c r="B14" i="13" s="1"/>
  <c r="B13" i="13" a="1"/>
  <c r="B13" i="13" s="1"/>
  <c r="B12" i="13" a="1"/>
  <c r="B12" i="13" s="1"/>
  <c r="B11" i="13" a="1"/>
  <c r="B11" i="13" s="1"/>
  <c r="B10" i="13" a="1"/>
  <c r="B10" i="13" s="1"/>
  <c r="B9" i="13" a="1"/>
  <c r="B9" i="13" s="1"/>
  <c r="B8" i="13" a="1"/>
  <c r="B8" i="13" s="1"/>
  <c r="B7" i="13" a="1"/>
  <c r="B7" i="13" s="1"/>
  <c r="B6" i="13" a="1"/>
  <c r="B6" i="13" s="1"/>
  <c r="B5" i="13" a="1"/>
  <c r="B5" i="13" s="1"/>
  <c r="B4" i="13" a="1"/>
  <c r="B4" i="13" s="1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03" i="16"/>
  <c r="G4" i="13"/>
  <c r="H4" i="13"/>
  <c r="I4" i="13"/>
  <c r="J4" i="13"/>
  <c r="K4" i="13"/>
  <c r="H51" i="13" s="1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AB4" i="13"/>
  <c r="AC4" i="13"/>
  <c r="AD4" i="13"/>
  <c r="AE4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AB43" i="13"/>
  <c r="AC43" i="13"/>
  <c r="AD43" i="13"/>
  <c r="AE43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9" i="13"/>
  <c r="F7" i="13"/>
  <c r="F5" i="13"/>
  <c r="F6" i="13"/>
  <c r="F8" i="13"/>
  <c r="F4" i="13"/>
  <c r="C51" i="13" s="1"/>
  <c r="D5" i="16" s="1"/>
  <c r="C5" i="16" a="1"/>
  <c r="C5" i="16" s="1"/>
  <c r="C44" i="16" l="1"/>
  <c r="C36" i="16"/>
  <c r="C37" i="16"/>
  <c r="C32" i="16"/>
  <c r="C16" i="16"/>
  <c r="C8" i="16"/>
  <c r="C46" i="16"/>
  <c r="C43" i="16"/>
  <c r="C35" i="16"/>
  <c r="C27" i="16"/>
  <c r="C19" i="16"/>
  <c r="C11" i="16"/>
  <c r="C38" i="16"/>
  <c r="C30" i="16"/>
  <c r="C22" i="16"/>
  <c r="C14" i="16"/>
  <c r="C6" i="16"/>
  <c r="C20" i="16"/>
  <c r="C29" i="16"/>
  <c r="C21" i="16"/>
  <c r="C13" i="16"/>
  <c r="C40" i="16"/>
  <c r="C24" i="16"/>
  <c r="C41" i="16"/>
  <c r="C33" i="16"/>
  <c r="C25" i="16"/>
  <c r="C17" i="16"/>
  <c r="C9" i="16"/>
  <c r="C28" i="16"/>
  <c r="C12" i="16"/>
  <c r="C39" i="16"/>
  <c r="C31" i="16"/>
  <c r="C23" i="16"/>
  <c r="C15" i="16"/>
  <c r="C7" i="16"/>
  <c r="C42" i="16"/>
  <c r="C34" i="16"/>
  <c r="C26" i="16"/>
  <c r="C18" i="16"/>
  <c r="C10" i="16"/>
  <c r="C45" i="16"/>
  <c r="C59" i="16" l="1"/>
  <c r="C149" i="16" s="1"/>
  <c r="C52" i="13"/>
  <c r="C60" i="16"/>
  <c r="C150" i="16" s="1"/>
  <c r="C53" i="13"/>
  <c r="C61" i="16"/>
  <c r="C151" i="16" s="1"/>
  <c r="C54" i="13"/>
  <c r="C63" i="16"/>
  <c r="C153" i="16" s="1"/>
  <c r="C56" i="13"/>
  <c r="C64" i="16"/>
  <c r="C154" i="16" s="1"/>
  <c r="C57" i="13"/>
  <c r="C65" i="16"/>
  <c r="C155" i="16" s="1"/>
  <c r="C58" i="13"/>
  <c r="C66" i="16"/>
  <c r="C156" i="16" s="1"/>
  <c r="C59" i="13"/>
  <c r="C67" i="16"/>
  <c r="C157" i="16" s="1"/>
  <c r="C60" i="13"/>
  <c r="C68" i="16"/>
  <c r="C158" i="16" s="1"/>
  <c r="C61" i="13"/>
  <c r="C70" i="16"/>
  <c r="C160" i="16" s="1"/>
  <c r="C63" i="13"/>
  <c r="C71" i="16"/>
  <c r="C161" i="16" s="1"/>
  <c r="C64" i="13"/>
  <c r="C72" i="16"/>
  <c r="C162" i="16" s="1"/>
  <c r="C65" i="13"/>
  <c r="C73" i="16"/>
  <c r="C163" i="16" s="1"/>
  <c r="C66" i="13"/>
  <c r="C74" i="16"/>
  <c r="C164" i="16" s="1"/>
  <c r="C67" i="13"/>
  <c r="C75" i="16"/>
  <c r="C165" i="16" s="1"/>
  <c r="C68" i="13"/>
  <c r="C76" i="16"/>
  <c r="C166" i="16" s="1"/>
  <c r="C69" i="13"/>
  <c r="C77" i="16"/>
  <c r="C167" i="16" s="1"/>
  <c r="C70" i="13"/>
  <c r="C78" i="16"/>
  <c r="C168" i="16" s="1"/>
  <c r="C71" i="13"/>
  <c r="C79" i="16"/>
  <c r="C169" i="16" s="1"/>
  <c r="C72" i="13"/>
  <c r="C80" i="16"/>
  <c r="C170" i="16" s="1"/>
  <c r="C73" i="13"/>
  <c r="C81" i="16"/>
  <c r="C171" i="16" s="1"/>
  <c r="C74" i="13"/>
  <c r="C85" i="16"/>
  <c r="C175" i="16" s="1"/>
  <c r="C78" i="13"/>
  <c r="C58" i="16"/>
  <c r="C148" i="16" s="1"/>
  <c r="D58" i="16"/>
  <c r="D103" i="16" s="1"/>
  <c r="D59" i="16" l="1"/>
  <c r="D6" i="16"/>
  <c r="D60" i="16"/>
  <c r="D7" i="16"/>
  <c r="D61" i="16"/>
  <c r="D8" i="16"/>
  <c r="D63" i="16"/>
  <c r="D10" i="16"/>
  <c r="D64" i="16"/>
  <c r="D11" i="16"/>
  <c r="D65" i="16"/>
  <c r="D12" i="16"/>
  <c r="D66" i="16"/>
  <c r="D13" i="16"/>
  <c r="D67" i="16"/>
  <c r="D14" i="16"/>
  <c r="D68" i="16"/>
  <c r="D15" i="16"/>
  <c r="D70" i="16"/>
  <c r="D17" i="16"/>
  <c r="D71" i="16"/>
  <c r="D18" i="16"/>
  <c r="D72" i="16"/>
  <c r="D19" i="16"/>
  <c r="D73" i="16"/>
  <c r="D20" i="16"/>
  <c r="D74" i="16"/>
  <c r="D21" i="16"/>
  <c r="D75" i="16"/>
  <c r="D22" i="16"/>
  <c r="D76" i="16"/>
  <c r="D23" i="16"/>
  <c r="D77" i="16"/>
  <c r="D24" i="16"/>
  <c r="D78" i="16"/>
  <c r="D25" i="16"/>
  <c r="D79" i="16"/>
  <c r="D26" i="16"/>
  <c r="D80" i="16"/>
  <c r="D27" i="16"/>
  <c r="D81" i="16"/>
  <c r="D28" i="16"/>
  <c r="D85" i="16"/>
  <c r="D32" i="16"/>
  <c r="D148" i="16"/>
  <c r="D48" i="16"/>
  <c r="E48" i="16"/>
  <c r="F48" i="16"/>
  <c r="G48" i="16"/>
  <c r="H48" i="16"/>
  <c r="I48" i="16"/>
  <c r="J48" i="16"/>
  <c r="K48" i="16"/>
  <c r="L48" i="16"/>
  <c r="M48" i="16"/>
  <c r="N48" i="16"/>
  <c r="O48" i="16"/>
  <c r="P48" i="16"/>
  <c r="Q48" i="16"/>
  <c r="R48" i="16"/>
  <c r="S48" i="16"/>
  <c r="T48" i="16"/>
  <c r="U48" i="16"/>
  <c r="V48" i="16"/>
  <c r="W48" i="16"/>
  <c r="X48" i="16"/>
  <c r="Y48" i="16"/>
  <c r="Z48" i="16"/>
  <c r="AA48" i="16"/>
  <c r="AB48" i="16"/>
  <c r="AC48" i="16"/>
  <c r="C48" i="16"/>
  <c r="C49" i="16" s="1"/>
  <c r="I58" i="16"/>
  <c r="I51" i="13"/>
  <c r="J58" i="16" s="1"/>
  <c r="J51" i="13"/>
  <c r="K58" i="16" s="1"/>
  <c r="K51" i="13"/>
  <c r="L58" i="16" s="1"/>
  <c r="L51" i="13"/>
  <c r="M58" i="16" s="1"/>
  <c r="M51" i="13"/>
  <c r="N58" i="16" s="1"/>
  <c r="N51" i="13"/>
  <c r="O58" i="16" s="1"/>
  <c r="O51" i="13"/>
  <c r="P58" i="16" s="1"/>
  <c r="P51" i="13"/>
  <c r="Q58" i="16" s="1"/>
  <c r="Q51" i="13"/>
  <c r="R58" i="16" s="1"/>
  <c r="R51" i="13"/>
  <c r="S58" i="16" s="1"/>
  <c r="S51" i="13"/>
  <c r="T58" i="16" s="1"/>
  <c r="T51" i="13"/>
  <c r="U58" i="16" s="1"/>
  <c r="U51" i="13"/>
  <c r="V58" i="16" s="1"/>
  <c r="V51" i="13"/>
  <c r="W58" i="16" s="1"/>
  <c r="W51" i="13"/>
  <c r="X58" i="16" s="1"/>
  <c r="X51" i="13"/>
  <c r="Y58" i="16" s="1"/>
  <c r="Y51" i="13"/>
  <c r="Z58" i="16" s="1"/>
  <c r="Z51" i="13"/>
  <c r="AA58" i="16" s="1"/>
  <c r="AA51" i="13"/>
  <c r="AB58" i="16" s="1"/>
  <c r="AB51" i="13"/>
  <c r="AC58" i="16" s="1"/>
  <c r="H52" i="13"/>
  <c r="I59" i="16" s="1"/>
  <c r="I52" i="13"/>
  <c r="J59" i="16" s="1"/>
  <c r="J52" i="13"/>
  <c r="K59" i="16" s="1"/>
  <c r="K52" i="13"/>
  <c r="L59" i="16" s="1"/>
  <c r="L52" i="13"/>
  <c r="M59" i="16" s="1"/>
  <c r="M52" i="13"/>
  <c r="N59" i="16" s="1"/>
  <c r="N52" i="13"/>
  <c r="O59" i="16" s="1"/>
  <c r="O52" i="13"/>
  <c r="P59" i="16" s="1"/>
  <c r="P52" i="13"/>
  <c r="Q59" i="16" s="1"/>
  <c r="Q52" i="13"/>
  <c r="R59" i="16" s="1"/>
  <c r="R52" i="13"/>
  <c r="S59" i="16" s="1"/>
  <c r="S52" i="13"/>
  <c r="T59" i="16" s="1"/>
  <c r="T52" i="13"/>
  <c r="U59" i="16" s="1"/>
  <c r="U52" i="13"/>
  <c r="V59" i="16" s="1"/>
  <c r="V52" i="13"/>
  <c r="W59" i="16" s="1"/>
  <c r="W52" i="13"/>
  <c r="X59" i="16" s="1"/>
  <c r="X52" i="13"/>
  <c r="Y59" i="16" s="1"/>
  <c r="Y52" i="13"/>
  <c r="Z59" i="16" s="1"/>
  <c r="Z52" i="13"/>
  <c r="AA59" i="16" s="1"/>
  <c r="AA52" i="13"/>
  <c r="AB59" i="16" s="1"/>
  <c r="AB52" i="13"/>
  <c r="AC59" i="16" s="1"/>
  <c r="H53" i="13"/>
  <c r="I60" i="16" s="1"/>
  <c r="I53" i="13"/>
  <c r="J60" i="16" s="1"/>
  <c r="J53" i="13"/>
  <c r="K60" i="16" s="1"/>
  <c r="K53" i="13"/>
  <c r="L60" i="16" s="1"/>
  <c r="L53" i="13"/>
  <c r="M60" i="16" s="1"/>
  <c r="M53" i="13"/>
  <c r="N60" i="16" s="1"/>
  <c r="N53" i="13"/>
  <c r="O60" i="16" s="1"/>
  <c r="O53" i="13"/>
  <c r="P60" i="16" s="1"/>
  <c r="P53" i="13"/>
  <c r="Q60" i="16" s="1"/>
  <c r="Q53" i="13"/>
  <c r="R60" i="16" s="1"/>
  <c r="R53" i="13"/>
  <c r="S60" i="16" s="1"/>
  <c r="S53" i="13"/>
  <c r="T60" i="16" s="1"/>
  <c r="T53" i="13"/>
  <c r="U60" i="16" s="1"/>
  <c r="U53" i="13"/>
  <c r="V60" i="16" s="1"/>
  <c r="V53" i="13"/>
  <c r="W60" i="16" s="1"/>
  <c r="W53" i="13"/>
  <c r="X60" i="16" s="1"/>
  <c r="X53" i="13"/>
  <c r="Y60" i="16" s="1"/>
  <c r="Y53" i="13"/>
  <c r="Z60" i="16" s="1"/>
  <c r="Z53" i="13"/>
  <c r="AA60" i="16" s="1"/>
  <c r="AA53" i="13"/>
  <c r="AB60" i="16" s="1"/>
  <c r="AB53" i="13"/>
  <c r="AC60" i="16" s="1"/>
  <c r="H54" i="13"/>
  <c r="I61" i="16" s="1"/>
  <c r="I54" i="13"/>
  <c r="J61" i="16" s="1"/>
  <c r="J54" i="13"/>
  <c r="K61" i="16" s="1"/>
  <c r="K54" i="13"/>
  <c r="L61" i="16" s="1"/>
  <c r="L54" i="13"/>
  <c r="M61" i="16" s="1"/>
  <c r="M54" i="13"/>
  <c r="N61" i="16" s="1"/>
  <c r="N54" i="13"/>
  <c r="O61" i="16" s="1"/>
  <c r="O54" i="13"/>
  <c r="P61" i="16" s="1"/>
  <c r="P54" i="13"/>
  <c r="Q61" i="16" s="1"/>
  <c r="Q54" i="13"/>
  <c r="R61" i="16" s="1"/>
  <c r="R54" i="13"/>
  <c r="S61" i="16" s="1"/>
  <c r="S54" i="13"/>
  <c r="T61" i="16" s="1"/>
  <c r="T54" i="13"/>
  <c r="U61" i="16" s="1"/>
  <c r="U54" i="13"/>
  <c r="V61" i="16" s="1"/>
  <c r="V54" i="13"/>
  <c r="W61" i="16" s="1"/>
  <c r="W54" i="13"/>
  <c r="X61" i="16" s="1"/>
  <c r="X54" i="13"/>
  <c r="Y61" i="16" s="1"/>
  <c r="Y54" i="13"/>
  <c r="Z61" i="16" s="1"/>
  <c r="Z54" i="13"/>
  <c r="AA61" i="16" s="1"/>
  <c r="AA54" i="13"/>
  <c r="AB61" i="16" s="1"/>
  <c r="AB54" i="13"/>
  <c r="AC61" i="16" s="1"/>
  <c r="H56" i="13"/>
  <c r="I63" i="16" s="1"/>
  <c r="I56" i="13"/>
  <c r="J63" i="16" s="1"/>
  <c r="J56" i="13"/>
  <c r="K63" i="16" s="1"/>
  <c r="K56" i="13"/>
  <c r="L63" i="16" s="1"/>
  <c r="L56" i="13"/>
  <c r="M63" i="16" s="1"/>
  <c r="M56" i="13"/>
  <c r="N63" i="16" s="1"/>
  <c r="N56" i="13"/>
  <c r="O63" i="16" s="1"/>
  <c r="O56" i="13"/>
  <c r="P63" i="16" s="1"/>
  <c r="P56" i="13"/>
  <c r="Q63" i="16" s="1"/>
  <c r="Q56" i="13"/>
  <c r="R63" i="16" s="1"/>
  <c r="R56" i="13"/>
  <c r="S63" i="16" s="1"/>
  <c r="S56" i="13"/>
  <c r="T63" i="16" s="1"/>
  <c r="T56" i="13"/>
  <c r="U63" i="16" s="1"/>
  <c r="U56" i="13"/>
  <c r="V63" i="16" s="1"/>
  <c r="V56" i="13"/>
  <c r="W63" i="16" s="1"/>
  <c r="W56" i="13"/>
  <c r="X63" i="16" s="1"/>
  <c r="X56" i="13"/>
  <c r="Y63" i="16" s="1"/>
  <c r="Y56" i="13"/>
  <c r="Z63" i="16" s="1"/>
  <c r="Z56" i="13"/>
  <c r="AA63" i="16" s="1"/>
  <c r="AA56" i="13"/>
  <c r="AB63" i="16" s="1"/>
  <c r="AB56" i="13"/>
  <c r="AC63" i="16" s="1"/>
  <c r="H57" i="13"/>
  <c r="I64" i="16" s="1"/>
  <c r="I57" i="13"/>
  <c r="J64" i="16" s="1"/>
  <c r="J57" i="13"/>
  <c r="K64" i="16" s="1"/>
  <c r="K57" i="13"/>
  <c r="L64" i="16" s="1"/>
  <c r="L57" i="13"/>
  <c r="M64" i="16" s="1"/>
  <c r="M57" i="13"/>
  <c r="N64" i="16" s="1"/>
  <c r="N57" i="13"/>
  <c r="O64" i="16" s="1"/>
  <c r="O57" i="13"/>
  <c r="P64" i="16" s="1"/>
  <c r="P57" i="13"/>
  <c r="Q64" i="16" s="1"/>
  <c r="Q57" i="13"/>
  <c r="R64" i="16" s="1"/>
  <c r="R57" i="13"/>
  <c r="S64" i="16" s="1"/>
  <c r="S57" i="13"/>
  <c r="T64" i="16" s="1"/>
  <c r="T57" i="13"/>
  <c r="U64" i="16" s="1"/>
  <c r="U57" i="13"/>
  <c r="V64" i="16" s="1"/>
  <c r="V57" i="13"/>
  <c r="W64" i="16" s="1"/>
  <c r="W57" i="13"/>
  <c r="X64" i="16" s="1"/>
  <c r="X57" i="13"/>
  <c r="Y64" i="16" s="1"/>
  <c r="Y57" i="13"/>
  <c r="Z64" i="16" s="1"/>
  <c r="Z57" i="13"/>
  <c r="AA64" i="16" s="1"/>
  <c r="AA57" i="13"/>
  <c r="AB64" i="16" s="1"/>
  <c r="AB57" i="13"/>
  <c r="AC64" i="16" s="1"/>
  <c r="H58" i="13"/>
  <c r="I65" i="16" s="1"/>
  <c r="I58" i="13"/>
  <c r="J65" i="16" s="1"/>
  <c r="J58" i="13"/>
  <c r="K65" i="16" s="1"/>
  <c r="K58" i="13"/>
  <c r="L65" i="16" s="1"/>
  <c r="L58" i="13"/>
  <c r="M65" i="16" s="1"/>
  <c r="M58" i="13"/>
  <c r="N65" i="16" s="1"/>
  <c r="N58" i="13"/>
  <c r="O65" i="16" s="1"/>
  <c r="O58" i="13"/>
  <c r="P65" i="16" s="1"/>
  <c r="P58" i="13"/>
  <c r="Q65" i="16" s="1"/>
  <c r="Q58" i="13"/>
  <c r="R65" i="16" s="1"/>
  <c r="R58" i="13"/>
  <c r="S65" i="16" s="1"/>
  <c r="S58" i="13"/>
  <c r="T65" i="16" s="1"/>
  <c r="T58" i="13"/>
  <c r="U65" i="16" s="1"/>
  <c r="U58" i="13"/>
  <c r="V65" i="16" s="1"/>
  <c r="V58" i="13"/>
  <c r="W65" i="16" s="1"/>
  <c r="W58" i="13"/>
  <c r="X65" i="16" s="1"/>
  <c r="X58" i="13"/>
  <c r="Y65" i="16" s="1"/>
  <c r="Y58" i="13"/>
  <c r="Z65" i="16" s="1"/>
  <c r="Z58" i="13"/>
  <c r="AA65" i="16" s="1"/>
  <c r="AA58" i="13"/>
  <c r="AB65" i="16" s="1"/>
  <c r="AB58" i="13"/>
  <c r="AC65" i="16" s="1"/>
  <c r="H59" i="13"/>
  <c r="I66" i="16" s="1"/>
  <c r="I59" i="13"/>
  <c r="J66" i="16" s="1"/>
  <c r="J59" i="13"/>
  <c r="K66" i="16" s="1"/>
  <c r="K59" i="13"/>
  <c r="L66" i="16" s="1"/>
  <c r="L59" i="13"/>
  <c r="M66" i="16" s="1"/>
  <c r="M59" i="13"/>
  <c r="N66" i="16" s="1"/>
  <c r="N59" i="13"/>
  <c r="O66" i="16" s="1"/>
  <c r="O59" i="13"/>
  <c r="P66" i="16" s="1"/>
  <c r="P59" i="13"/>
  <c r="Q66" i="16" s="1"/>
  <c r="Q59" i="13"/>
  <c r="R66" i="16" s="1"/>
  <c r="R59" i="13"/>
  <c r="S66" i="16" s="1"/>
  <c r="S59" i="13"/>
  <c r="T66" i="16" s="1"/>
  <c r="T59" i="13"/>
  <c r="U66" i="16" s="1"/>
  <c r="U59" i="13"/>
  <c r="V66" i="16" s="1"/>
  <c r="V59" i="13"/>
  <c r="W66" i="16" s="1"/>
  <c r="W59" i="13"/>
  <c r="X66" i="16" s="1"/>
  <c r="X59" i="13"/>
  <c r="Y66" i="16" s="1"/>
  <c r="Y59" i="13"/>
  <c r="Z66" i="16" s="1"/>
  <c r="Z59" i="13"/>
  <c r="AA66" i="16" s="1"/>
  <c r="AA59" i="13"/>
  <c r="AB66" i="16" s="1"/>
  <c r="AB59" i="13"/>
  <c r="AC66" i="16" s="1"/>
  <c r="H60" i="13"/>
  <c r="I67" i="16" s="1"/>
  <c r="I60" i="13"/>
  <c r="J67" i="16" s="1"/>
  <c r="J60" i="13"/>
  <c r="K67" i="16" s="1"/>
  <c r="K60" i="13"/>
  <c r="L67" i="16" s="1"/>
  <c r="L60" i="13"/>
  <c r="M67" i="16" s="1"/>
  <c r="M60" i="13"/>
  <c r="N67" i="16" s="1"/>
  <c r="N60" i="13"/>
  <c r="O67" i="16" s="1"/>
  <c r="O60" i="13"/>
  <c r="P67" i="16" s="1"/>
  <c r="P60" i="13"/>
  <c r="Q67" i="16" s="1"/>
  <c r="Q60" i="13"/>
  <c r="R67" i="16" s="1"/>
  <c r="R60" i="13"/>
  <c r="S67" i="16" s="1"/>
  <c r="S60" i="13"/>
  <c r="T67" i="16" s="1"/>
  <c r="T60" i="13"/>
  <c r="U67" i="16" s="1"/>
  <c r="U60" i="13"/>
  <c r="V67" i="16" s="1"/>
  <c r="V60" i="13"/>
  <c r="W67" i="16" s="1"/>
  <c r="W60" i="13"/>
  <c r="X67" i="16" s="1"/>
  <c r="X60" i="13"/>
  <c r="Y67" i="16" s="1"/>
  <c r="Y60" i="13"/>
  <c r="Z67" i="16" s="1"/>
  <c r="Z60" i="13"/>
  <c r="AA67" i="16" s="1"/>
  <c r="AA60" i="13"/>
  <c r="AB67" i="16" s="1"/>
  <c r="AB60" i="13"/>
  <c r="AC67" i="16" s="1"/>
  <c r="H61" i="13"/>
  <c r="I68" i="16" s="1"/>
  <c r="I61" i="13"/>
  <c r="J68" i="16" s="1"/>
  <c r="J61" i="13"/>
  <c r="K68" i="16" s="1"/>
  <c r="K61" i="13"/>
  <c r="L68" i="16" s="1"/>
  <c r="L61" i="13"/>
  <c r="M68" i="16" s="1"/>
  <c r="M61" i="13"/>
  <c r="N68" i="16" s="1"/>
  <c r="N61" i="13"/>
  <c r="O68" i="16" s="1"/>
  <c r="O61" i="13"/>
  <c r="P68" i="16" s="1"/>
  <c r="P61" i="13"/>
  <c r="Q68" i="16" s="1"/>
  <c r="Q61" i="13"/>
  <c r="R68" i="16" s="1"/>
  <c r="R61" i="13"/>
  <c r="S68" i="16" s="1"/>
  <c r="S61" i="13"/>
  <c r="T68" i="16" s="1"/>
  <c r="T61" i="13"/>
  <c r="U68" i="16" s="1"/>
  <c r="U61" i="13"/>
  <c r="V68" i="16" s="1"/>
  <c r="V61" i="13"/>
  <c r="W68" i="16" s="1"/>
  <c r="W61" i="13"/>
  <c r="X68" i="16" s="1"/>
  <c r="X61" i="13"/>
  <c r="Y68" i="16" s="1"/>
  <c r="Y61" i="13"/>
  <c r="Z68" i="16" s="1"/>
  <c r="Z61" i="13"/>
  <c r="AA68" i="16" s="1"/>
  <c r="AA61" i="13"/>
  <c r="AB68" i="16" s="1"/>
  <c r="AB61" i="13"/>
  <c r="AC68" i="16" s="1"/>
  <c r="H63" i="13"/>
  <c r="I70" i="16" s="1"/>
  <c r="I63" i="13"/>
  <c r="J70" i="16" s="1"/>
  <c r="J63" i="13"/>
  <c r="K70" i="16" s="1"/>
  <c r="K63" i="13"/>
  <c r="L70" i="16" s="1"/>
  <c r="L63" i="13"/>
  <c r="M70" i="16" s="1"/>
  <c r="M63" i="13"/>
  <c r="N70" i="16" s="1"/>
  <c r="N63" i="13"/>
  <c r="O70" i="16" s="1"/>
  <c r="O63" i="13"/>
  <c r="P70" i="16" s="1"/>
  <c r="P63" i="13"/>
  <c r="Q70" i="16" s="1"/>
  <c r="Q63" i="13"/>
  <c r="R70" i="16" s="1"/>
  <c r="R63" i="13"/>
  <c r="S70" i="16" s="1"/>
  <c r="S63" i="13"/>
  <c r="T70" i="16" s="1"/>
  <c r="T63" i="13"/>
  <c r="U70" i="16" s="1"/>
  <c r="U63" i="13"/>
  <c r="V70" i="16" s="1"/>
  <c r="V63" i="13"/>
  <c r="W70" i="16" s="1"/>
  <c r="W63" i="13"/>
  <c r="X70" i="16" s="1"/>
  <c r="X63" i="13"/>
  <c r="Y70" i="16" s="1"/>
  <c r="Y63" i="13"/>
  <c r="Z70" i="16" s="1"/>
  <c r="Z63" i="13"/>
  <c r="AA70" i="16" s="1"/>
  <c r="AA63" i="13"/>
  <c r="AB70" i="16" s="1"/>
  <c r="AB63" i="13"/>
  <c r="AC70" i="16" s="1"/>
  <c r="H64" i="13"/>
  <c r="I71" i="16" s="1"/>
  <c r="I64" i="13"/>
  <c r="J71" i="16" s="1"/>
  <c r="J64" i="13"/>
  <c r="K71" i="16" s="1"/>
  <c r="K64" i="13"/>
  <c r="L71" i="16" s="1"/>
  <c r="L64" i="13"/>
  <c r="M71" i="16" s="1"/>
  <c r="M64" i="13"/>
  <c r="N71" i="16" s="1"/>
  <c r="N64" i="13"/>
  <c r="O71" i="16" s="1"/>
  <c r="O64" i="13"/>
  <c r="P71" i="16" s="1"/>
  <c r="P64" i="13"/>
  <c r="Q71" i="16" s="1"/>
  <c r="Q64" i="13"/>
  <c r="R71" i="16" s="1"/>
  <c r="R64" i="13"/>
  <c r="S71" i="16" s="1"/>
  <c r="S64" i="13"/>
  <c r="T71" i="16" s="1"/>
  <c r="T64" i="13"/>
  <c r="U71" i="16" s="1"/>
  <c r="U64" i="13"/>
  <c r="V71" i="16" s="1"/>
  <c r="V64" i="13"/>
  <c r="W71" i="16" s="1"/>
  <c r="W64" i="13"/>
  <c r="X71" i="16" s="1"/>
  <c r="X64" i="13"/>
  <c r="Y71" i="16" s="1"/>
  <c r="Y64" i="13"/>
  <c r="Z71" i="16" s="1"/>
  <c r="Z64" i="13"/>
  <c r="AA71" i="16" s="1"/>
  <c r="AA64" i="13"/>
  <c r="AB71" i="16" s="1"/>
  <c r="AB64" i="13"/>
  <c r="AC71" i="16" s="1"/>
  <c r="H65" i="13"/>
  <c r="I72" i="16" s="1"/>
  <c r="I65" i="13"/>
  <c r="J72" i="16" s="1"/>
  <c r="J65" i="13"/>
  <c r="K72" i="16" s="1"/>
  <c r="K65" i="13"/>
  <c r="L72" i="16" s="1"/>
  <c r="L65" i="13"/>
  <c r="M72" i="16" s="1"/>
  <c r="M65" i="13"/>
  <c r="N72" i="16" s="1"/>
  <c r="N65" i="13"/>
  <c r="O72" i="16" s="1"/>
  <c r="O65" i="13"/>
  <c r="P72" i="16" s="1"/>
  <c r="P65" i="13"/>
  <c r="Q72" i="16" s="1"/>
  <c r="Q65" i="13"/>
  <c r="R72" i="16" s="1"/>
  <c r="R65" i="13"/>
  <c r="S72" i="16" s="1"/>
  <c r="S65" i="13"/>
  <c r="T72" i="16" s="1"/>
  <c r="T65" i="13"/>
  <c r="U72" i="16" s="1"/>
  <c r="U65" i="13"/>
  <c r="V72" i="16" s="1"/>
  <c r="V65" i="13"/>
  <c r="W72" i="16" s="1"/>
  <c r="W65" i="13"/>
  <c r="X72" i="16" s="1"/>
  <c r="X65" i="13"/>
  <c r="Y72" i="16" s="1"/>
  <c r="Y65" i="13"/>
  <c r="Z72" i="16" s="1"/>
  <c r="Z65" i="13"/>
  <c r="AA72" i="16" s="1"/>
  <c r="AA65" i="13"/>
  <c r="AB72" i="16" s="1"/>
  <c r="AB65" i="13"/>
  <c r="AC72" i="16" s="1"/>
  <c r="H66" i="13"/>
  <c r="I73" i="16" s="1"/>
  <c r="I66" i="13"/>
  <c r="J73" i="16" s="1"/>
  <c r="J66" i="13"/>
  <c r="K73" i="16" s="1"/>
  <c r="K66" i="13"/>
  <c r="L73" i="16" s="1"/>
  <c r="L66" i="13"/>
  <c r="M73" i="16" s="1"/>
  <c r="M66" i="13"/>
  <c r="N73" i="16" s="1"/>
  <c r="N66" i="13"/>
  <c r="O73" i="16" s="1"/>
  <c r="O66" i="13"/>
  <c r="P73" i="16" s="1"/>
  <c r="P66" i="13"/>
  <c r="Q73" i="16" s="1"/>
  <c r="Q66" i="13"/>
  <c r="R73" i="16" s="1"/>
  <c r="R66" i="13"/>
  <c r="S73" i="16" s="1"/>
  <c r="S66" i="13"/>
  <c r="T73" i="16" s="1"/>
  <c r="T66" i="13"/>
  <c r="U73" i="16" s="1"/>
  <c r="U66" i="13"/>
  <c r="V73" i="16" s="1"/>
  <c r="V66" i="13"/>
  <c r="W73" i="16" s="1"/>
  <c r="W66" i="13"/>
  <c r="X73" i="16" s="1"/>
  <c r="X66" i="13"/>
  <c r="Y73" i="16" s="1"/>
  <c r="Y66" i="13"/>
  <c r="Z73" i="16" s="1"/>
  <c r="Z66" i="13"/>
  <c r="AA73" i="16" s="1"/>
  <c r="AA66" i="13"/>
  <c r="AB73" i="16" s="1"/>
  <c r="AB66" i="13"/>
  <c r="AC73" i="16" s="1"/>
  <c r="H67" i="13"/>
  <c r="I74" i="16" s="1"/>
  <c r="I67" i="13"/>
  <c r="J74" i="16" s="1"/>
  <c r="J67" i="13"/>
  <c r="K74" i="16" s="1"/>
  <c r="K67" i="13"/>
  <c r="L74" i="16" s="1"/>
  <c r="L67" i="13"/>
  <c r="M74" i="16" s="1"/>
  <c r="M67" i="13"/>
  <c r="N74" i="16" s="1"/>
  <c r="N67" i="13"/>
  <c r="O74" i="16" s="1"/>
  <c r="O67" i="13"/>
  <c r="P74" i="16" s="1"/>
  <c r="P67" i="13"/>
  <c r="Q74" i="16" s="1"/>
  <c r="Q67" i="13"/>
  <c r="R74" i="16" s="1"/>
  <c r="R67" i="13"/>
  <c r="S74" i="16" s="1"/>
  <c r="S67" i="13"/>
  <c r="T74" i="16" s="1"/>
  <c r="T67" i="13"/>
  <c r="U74" i="16" s="1"/>
  <c r="U67" i="13"/>
  <c r="V74" i="16" s="1"/>
  <c r="V67" i="13"/>
  <c r="W74" i="16" s="1"/>
  <c r="W67" i="13"/>
  <c r="X74" i="16" s="1"/>
  <c r="X67" i="13"/>
  <c r="Y74" i="16" s="1"/>
  <c r="Y67" i="13"/>
  <c r="Z74" i="16" s="1"/>
  <c r="Z67" i="13"/>
  <c r="AA74" i="16" s="1"/>
  <c r="AA67" i="13"/>
  <c r="AB74" i="16" s="1"/>
  <c r="AB67" i="13"/>
  <c r="AC74" i="16" s="1"/>
  <c r="H68" i="13"/>
  <c r="I75" i="16" s="1"/>
  <c r="I68" i="13"/>
  <c r="J75" i="16" s="1"/>
  <c r="J68" i="13"/>
  <c r="K75" i="16" s="1"/>
  <c r="K68" i="13"/>
  <c r="L75" i="16" s="1"/>
  <c r="L68" i="13"/>
  <c r="M75" i="16" s="1"/>
  <c r="M68" i="13"/>
  <c r="N75" i="16" s="1"/>
  <c r="N68" i="13"/>
  <c r="O75" i="16" s="1"/>
  <c r="O68" i="13"/>
  <c r="P75" i="16" s="1"/>
  <c r="P68" i="13"/>
  <c r="Q75" i="16" s="1"/>
  <c r="Q68" i="13"/>
  <c r="R75" i="16" s="1"/>
  <c r="R68" i="13"/>
  <c r="S75" i="16" s="1"/>
  <c r="S68" i="13"/>
  <c r="T75" i="16" s="1"/>
  <c r="T68" i="13"/>
  <c r="U75" i="16" s="1"/>
  <c r="U68" i="13"/>
  <c r="V75" i="16" s="1"/>
  <c r="V68" i="13"/>
  <c r="W75" i="16" s="1"/>
  <c r="W68" i="13"/>
  <c r="X75" i="16" s="1"/>
  <c r="X68" i="13"/>
  <c r="Y75" i="16" s="1"/>
  <c r="Y68" i="13"/>
  <c r="Z75" i="16" s="1"/>
  <c r="Z68" i="13"/>
  <c r="AA75" i="16" s="1"/>
  <c r="AA68" i="13"/>
  <c r="AB75" i="16" s="1"/>
  <c r="AB68" i="13"/>
  <c r="AC75" i="16" s="1"/>
  <c r="H69" i="13"/>
  <c r="I76" i="16" s="1"/>
  <c r="I69" i="13"/>
  <c r="J76" i="16" s="1"/>
  <c r="J69" i="13"/>
  <c r="K76" i="16" s="1"/>
  <c r="K69" i="13"/>
  <c r="L76" i="16" s="1"/>
  <c r="L69" i="13"/>
  <c r="M76" i="16" s="1"/>
  <c r="M69" i="13"/>
  <c r="N76" i="16" s="1"/>
  <c r="N69" i="13"/>
  <c r="O76" i="16" s="1"/>
  <c r="O69" i="13"/>
  <c r="P76" i="16" s="1"/>
  <c r="P69" i="13"/>
  <c r="Q76" i="16" s="1"/>
  <c r="Q69" i="13"/>
  <c r="R76" i="16" s="1"/>
  <c r="R69" i="13"/>
  <c r="S76" i="16" s="1"/>
  <c r="S69" i="13"/>
  <c r="T76" i="16" s="1"/>
  <c r="T69" i="13"/>
  <c r="U76" i="16" s="1"/>
  <c r="U69" i="13"/>
  <c r="V76" i="16" s="1"/>
  <c r="V69" i="13"/>
  <c r="W76" i="16" s="1"/>
  <c r="W69" i="13"/>
  <c r="X76" i="16" s="1"/>
  <c r="X69" i="13"/>
  <c r="Y76" i="16" s="1"/>
  <c r="Y69" i="13"/>
  <c r="Z76" i="16" s="1"/>
  <c r="Z69" i="13"/>
  <c r="AA76" i="16" s="1"/>
  <c r="AA69" i="13"/>
  <c r="AB76" i="16" s="1"/>
  <c r="AB69" i="13"/>
  <c r="AC76" i="16" s="1"/>
  <c r="H70" i="13"/>
  <c r="I77" i="16" s="1"/>
  <c r="I70" i="13"/>
  <c r="J77" i="16" s="1"/>
  <c r="J70" i="13"/>
  <c r="K77" i="16" s="1"/>
  <c r="K70" i="13"/>
  <c r="L77" i="16" s="1"/>
  <c r="L70" i="13"/>
  <c r="M77" i="16" s="1"/>
  <c r="M70" i="13"/>
  <c r="N77" i="16" s="1"/>
  <c r="N70" i="13"/>
  <c r="O77" i="16" s="1"/>
  <c r="O70" i="13"/>
  <c r="P77" i="16" s="1"/>
  <c r="P70" i="13"/>
  <c r="Q77" i="16" s="1"/>
  <c r="Q70" i="13"/>
  <c r="R77" i="16" s="1"/>
  <c r="R70" i="13"/>
  <c r="S77" i="16" s="1"/>
  <c r="S70" i="13"/>
  <c r="T77" i="16" s="1"/>
  <c r="T70" i="13"/>
  <c r="U77" i="16" s="1"/>
  <c r="U70" i="13"/>
  <c r="V77" i="16" s="1"/>
  <c r="V70" i="13"/>
  <c r="W77" i="16" s="1"/>
  <c r="W70" i="13"/>
  <c r="X77" i="16" s="1"/>
  <c r="X70" i="13"/>
  <c r="Y77" i="16" s="1"/>
  <c r="Y70" i="13"/>
  <c r="Z77" i="16" s="1"/>
  <c r="Z70" i="13"/>
  <c r="AA77" i="16" s="1"/>
  <c r="AA70" i="13"/>
  <c r="AB77" i="16" s="1"/>
  <c r="AB70" i="13"/>
  <c r="AC77" i="16" s="1"/>
  <c r="H71" i="13"/>
  <c r="I78" i="16" s="1"/>
  <c r="I71" i="13"/>
  <c r="J78" i="16" s="1"/>
  <c r="J71" i="13"/>
  <c r="K78" i="16" s="1"/>
  <c r="K71" i="13"/>
  <c r="L78" i="16" s="1"/>
  <c r="L71" i="13"/>
  <c r="M78" i="16" s="1"/>
  <c r="M71" i="13"/>
  <c r="N78" i="16" s="1"/>
  <c r="N71" i="13"/>
  <c r="O78" i="16" s="1"/>
  <c r="O71" i="13"/>
  <c r="P78" i="16" s="1"/>
  <c r="P71" i="13"/>
  <c r="Q78" i="16" s="1"/>
  <c r="Q71" i="13"/>
  <c r="R78" i="16" s="1"/>
  <c r="R71" i="13"/>
  <c r="S78" i="16" s="1"/>
  <c r="S71" i="13"/>
  <c r="T78" i="16" s="1"/>
  <c r="T71" i="13"/>
  <c r="U78" i="16" s="1"/>
  <c r="U71" i="13"/>
  <c r="V78" i="16" s="1"/>
  <c r="V71" i="13"/>
  <c r="W78" i="16" s="1"/>
  <c r="W71" i="13"/>
  <c r="X78" i="16" s="1"/>
  <c r="X71" i="13"/>
  <c r="Y78" i="16" s="1"/>
  <c r="Y71" i="13"/>
  <c r="Z78" i="16" s="1"/>
  <c r="Z71" i="13"/>
  <c r="AA78" i="16" s="1"/>
  <c r="AA71" i="13"/>
  <c r="AB78" i="16" s="1"/>
  <c r="AB71" i="13"/>
  <c r="AC78" i="16" s="1"/>
  <c r="H72" i="13"/>
  <c r="I79" i="16" s="1"/>
  <c r="I72" i="13"/>
  <c r="J79" i="16" s="1"/>
  <c r="J72" i="13"/>
  <c r="K79" i="16" s="1"/>
  <c r="K72" i="13"/>
  <c r="L79" i="16" s="1"/>
  <c r="L72" i="13"/>
  <c r="M79" i="16" s="1"/>
  <c r="M72" i="13"/>
  <c r="N79" i="16" s="1"/>
  <c r="N72" i="13"/>
  <c r="O79" i="16" s="1"/>
  <c r="O72" i="13"/>
  <c r="P79" i="16" s="1"/>
  <c r="P72" i="13"/>
  <c r="Q79" i="16" s="1"/>
  <c r="Q72" i="13"/>
  <c r="R79" i="16" s="1"/>
  <c r="R72" i="13"/>
  <c r="S79" i="16" s="1"/>
  <c r="S72" i="13"/>
  <c r="T79" i="16" s="1"/>
  <c r="T72" i="13"/>
  <c r="U79" i="16" s="1"/>
  <c r="U72" i="13"/>
  <c r="V79" i="16" s="1"/>
  <c r="V72" i="13"/>
  <c r="W79" i="16" s="1"/>
  <c r="W72" i="13"/>
  <c r="X79" i="16" s="1"/>
  <c r="X72" i="13"/>
  <c r="Y79" i="16" s="1"/>
  <c r="Y72" i="13"/>
  <c r="Z79" i="16" s="1"/>
  <c r="Z72" i="13"/>
  <c r="AA79" i="16" s="1"/>
  <c r="AA72" i="13"/>
  <c r="AB79" i="16" s="1"/>
  <c r="AB72" i="13"/>
  <c r="AC79" i="16" s="1"/>
  <c r="H73" i="13"/>
  <c r="I80" i="16" s="1"/>
  <c r="I73" i="13"/>
  <c r="J80" i="16" s="1"/>
  <c r="J73" i="13"/>
  <c r="K80" i="16" s="1"/>
  <c r="K73" i="13"/>
  <c r="L80" i="16" s="1"/>
  <c r="L73" i="13"/>
  <c r="M80" i="16" s="1"/>
  <c r="M73" i="13"/>
  <c r="N80" i="16" s="1"/>
  <c r="N73" i="13"/>
  <c r="O80" i="16" s="1"/>
  <c r="O73" i="13"/>
  <c r="P80" i="16" s="1"/>
  <c r="P73" i="13"/>
  <c r="Q80" i="16" s="1"/>
  <c r="Q73" i="13"/>
  <c r="R80" i="16" s="1"/>
  <c r="R73" i="13"/>
  <c r="S80" i="16" s="1"/>
  <c r="S73" i="13"/>
  <c r="T80" i="16" s="1"/>
  <c r="T73" i="13"/>
  <c r="U80" i="16" s="1"/>
  <c r="U73" i="13"/>
  <c r="V80" i="16" s="1"/>
  <c r="V73" i="13"/>
  <c r="W80" i="16" s="1"/>
  <c r="W73" i="13"/>
  <c r="X80" i="16" s="1"/>
  <c r="X73" i="13"/>
  <c r="Y80" i="16" s="1"/>
  <c r="Y73" i="13"/>
  <c r="Z80" i="16" s="1"/>
  <c r="Z73" i="13"/>
  <c r="AA80" i="16" s="1"/>
  <c r="AA73" i="13"/>
  <c r="AB80" i="16" s="1"/>
  <c r="AB73" i="13"/>
  <c r="AC80" i="16" s="1"/>
  <c r="H74" i="13"/>
  <c r="I81" i="16" s="1"/>
  <c r="I74" i="13"/>
  <c r="J81" i="16" s="1"/>
  <c r="J74" i="13"/>
  <c r="K81" i="16" s="1"/>
  <c r="K74" i="13"/>
  <c r="L81" i="16" s="1"/>
  <c r="L74" i="13"/>
  <c r="M81" i="16" s="1"/>
  <c r="M74" i="13"/>
  <c r="N81" i="16" s="1"/>
  <c r="N74" i="13"/>
  <c r="O81" i="16" s="1"/>
  <c r="O74" i="13"/>
  <c r="P81" i="16" s="1"/>
  <c r="P74" i="13"/>
  <c r="Q81" i="16" s="1"/>
  <c r="Q74" i="13"/>
  <c r="R81" i="16" s="1"/>
  <c r="R74" i="13"/>
  <c r="S81" i="16" s="1"/>
  <c r="S74" i="13"/>
  <c r="T81" i="16" s="1"/>
  <c r="T74" i="13"/>
  <c r="U81" i="16" s="1"/>
  <c r="U74" i="13"/>
  <c r="V81" i="16" s="1"/>
  <c r="V74" i="13"/>
  <c r="W81" i="16" s="1"/>
  <c r="W74" i="13"/>
  <c r="X81" i="16" s="1"/>
  <c r="X74" i="13"/>
  <c r="Y81" i="16" s="1"/>
  <c r="Y74" i="13"/>
  <c r="Z81" i="16" s="1"/>
  <c r="Z74" i="13"/>
  <c r="AA81" i="16" s="1"/>
  <c r="AA74" i="13"/>
  <c r="AB81" i="16" s="1"/>
  <c r="AB74" i="13"/>
  <c r="AC81" i="16" s="1"/>
  <c r="H78" i="13"/>
  <c r="I85" i="16" s="1"/>
  <c r="I78" i="13"/>
  <c r="J85" i="16" s="1"/>
  <c r="J78" i="13"/>
  <c r="K85" i="16" s="1"/>
  <c r="K78" i="13"/>
  <c r="L85" i="16" s="1"/>
  <c r="L78" i="13"/>
  <c r="M85" i="16" s="1"/>
  <c r="M78" i="13"/>
  <c r="N85" i="16" s="1"/>
  <c r="N78" i="13"/>
  <c r="O85" i="16" s="1"/>
  <c r="O78" i="13"/>
  <c r="P85" i="16" s="1"/>
  <c r="P78" i="13"/>
  <c r="Q85" i="16" s="1"/>
  <c r="Q78" i="13"/>
  <c r="R85" i="16" s="1"/>
  <c r="R78" i="13"/>
  <c r="S85" i="16" s="1"/>
  <c r="S78" i="13"/>
  <c r="T85" i="16" s="1"/>
  <c r="T78" i="13"/>
  <c r="U85" i="16" s="1"/>
  <c r="U78" i="13"/>
  <c r="V85" i="16" s="1"/>
  <c r="V78" i="13"/>
  <c r="W85" i="16" s="1"/>
  <c r="W78" i="13"/>
  <c r="X85" i="16" s="1"/>
  <c r="X78" i="13"/>
  <c r="Y85" i="16" s="1"/>
  <c r="Y78" i="13"/>
  <c r="Z85" i="16" s="1"/>
  <c r="Z78" i="13"/>
  <c r="AA85" i="16" s="1"/>
  <c r="AA78" i="13"/>
  <c r="AB85" i="16" s="1"/>
  <c r="AB78" i="13"/>
  <c r="AC85" i="16" s="1"/>
  <c r="D63" i="13"/>
  <c r="E70" i="16" s="1"/>
  <c r="E63" i="13"/>
  <c r="F70" i="16" s="1"/>
  <c r="F63" i="13"/>
  <c r="G70" i="16" s="1"/>
  <c r="G63" i="13"/>
  <c r="H70" i="16" s="1"/>
  <c r="D64" i="13"/>
  <c r="E71" i="16" s="1"/>
  <c r="E64" i="13"/>
  <c r="F71" i="16" s="1"/>
  <c r="F64" i="13"/>
  <c r="G71" i="16" s="1"/>
  <c r="G64" i="13"/>
  <c r="H71" i="16" s="1"/>
  <c r="D65" i="13"/>
  <c r="E72" i="16" s="1"/>
  <c r="E65" i="13"/>
  <c r="F72" i="16" s="1"/>
  <c r="F65" i="13"/>
  <c r="G72" i="16" s="1"/>
  <c r="G65" i="13"/>
  <c r="H72" i="16" s="1"/>
  <c r="D66" i="13"/>
  <c r="E73" i="16" s="1"/>
  <c r="E66" i="13"/>
  <c r="F73" i="16" s="1"/>
  <c r="F66" i="13"/>
  <c r="G73" i="16" s="1"/>
  <c r="G66" i="13"/>
  <c r="H73" i="16" s="1"/>
  <c r="D67" i="13"/>
  <c r="E74" i="16" s="1"/>
  <c r="E67" i="13"/>
  <c r="F74" i="16" s="1"/>
  <c r="F67" i="13"/>
  <c r="G74" i="16" s="1"/>
  <c r="G67" i="13"/>
  <c r="H74" i="16" s="1"/>
  <c r="D68" i="13"/>
  <c r="E75" i="16" s="1"/>
  <c r="E68" i="13"/>
  <c r="F75" i="16" s="1"/>
  <c r="F68" i="13"/>
  <c r="G75" i="16" s="1"/>
  <c r="G68" i="13"/>
  <c r="H75" i="16" s="1"/>
  <c r="D69" i="13"/>
  <c r="E76" i="16" s="1"/>
  <c r="E69" i="13"/>
  <c r="F76" i="16" s="1"/>
  <c r="F69" i="13"/>
  <c r="G76" i="16" s="1"/>
  <c r="G69" i="13"/>
  <c r="H76" i="16" s="1"/>
  <c r="D70" i="13"/>
  <c r="E77" i="16" s="1"/>
  <c r="E70" i="13"/>
  <c r="F77" i="16" s="1"/>
  <c r="F70" i="13"/>
  <c r="G77" i="16" s="1"/>
  <c r="G70" i="13"/>
  <c r="H77" i="16" s="1"/>
  <c r="D71" i="13"/>
  <c r="E78" i="16" s="1"/>
  <c r="E71" i="13"/>
  <c r="F78" i="16" s="1"/>
  <c r="F71" i="13"/>
  <c r="G78" i="16" s="1"/>
  <c r="G71" i="13"/>
  <c r="H78" i="16" s="1"/>
  <c r="D72" i="13"/>
  <c r="E79" i="16" s="1"/>
  <c r="E72" i="13"/>
  <c r="F79" i="16" s="1"/>
  <c r="F72" i="13"/>
  <c r="G79" i="16" s="1"/>
  <c r="G72" i="13"/>
  <c r="H79" i="16" s="1"/>
  <c r="D73" i="13"/>
  <c r="E80" i="16" s="1"/>
  <c r="E73" i="13"/>
  <c r="F80" i="16" s="1"/>
  <c r="F73" i="13"/>
  <c r="G80" i="16" s="1"/>
  <c r="G73" i="13"/>
  <c r="H80" i="16" s="1"/>
  <c r="D74" i="13"/>
  <c r="E81" i="16" s="1"/>
  <c r="E74" i="13"/>
  <c r="F81" i="16" s="1"/>
  <c r="F74" i="13"/>
  <c r="G81" i="16" s="1"/>
  <c r="G74" i="13"/>
  <c r="H81" i="16" s="1"/>
  <c r="D78" i="13"/>
  <c r="E85" i="16" s="1"/>
  <c r="E78" i="13"/>
  <c r="F85" i="16" s="1"/>
  <c r="F78" i="13"/>
  <c r="G85" i="16" s="1"/>
  <c r="G78" i="13"/>
  <c r="H85" i="16" s="1"/>
  <c r="D52" i="13"/>
  <c r="E59" i="16" s="1"/>
  <c r="E52" i="13"/>
  <c r="F59" i="16" s="1"/>
  <c r="F52" i="13"/>
  <c r="G59" i="16" s="1"/>
  <c r="G52" i="13"/>
  <c r="H59" i="16" s="1"/>
  <c r="D53" i="13"/>
  <c r="E60" i="16" s="1"/>
  <c r="E53" i="13"/>
  <c r="F60" i="16" s="1"/>
  <c r="F53" i="13"/>
  <c r="G60" i="16" s="1"/>
  <c r="G53" i="13"/>
  <c r="H60" i="16" s="1"/>
  <c r="D54" i="13"/>
  <c r="E61" i="16" s="1"/>
  <c r="E54" i="13"/>
  <c r="F61" i="16" s="1"/>
  <c r="F54" i="13"/>
  <c r="G61" i="16" s="1"/>
  <c r="G54" i="13"/>
  <c r="H61" i="16" s="1"/>
  <c r="D56" i="13"/>
  <c r="E63" i="16" s="1"/>
  <c r="E56" i="13"/>
  <c r="F63" i="16" s="1"/>
  <c r="F56" i="13"/>
  <c r="G63" i="16" s="1"/>
  <c r="G56" i="13"/>
  <c r="H63" i="16" s="1"/>
  <c r="D57" i="13"/>
  <c r="E64" i="16" s="1"/>
  <c r="E57" i="13"/>
  <c r="F64" i="16" s="1"/>
  <c r="F57" i="13"/>
  <c r="G64" i="16" s="1"/>
  <c r="G57" i="13"/>
  <c r="H64" i="16" s="1"/>
  <c r="D58" i="13"/>
  <c r="E65" i="16" s="1"/>
  <c r="E58" i="13"/>
  <c r="F65" i="16" s="1"/>
  <c r="F58" i="13"/>
  <c r="G65" i="16" s="1"/>
  <c r="G58" i="13"/>
  <c r="H65" i="16" s="1"/>
  <c r="D59" i="13"/>
  <c r="E66" i="16" s="1"/>
  <c r="E59" i="13"/>
  <c r="F66" i="16" s="1"/>
  <c r="F59" i="13"/>
  <c r="G66" i="16" s="1"/>
  <c r="G59" i="13"/>
  <c r="H66" i="16" s="1"/>
  <c r="D60" i="13"/>
  <c r="E67" i="16" s="1"/>
  <c r="E60" i="13"/>
  <c r="F67" i="16" s="1"/>
  <c r="F60" i="13"/>
  <c r="G67" i="16" s="1"/>
  <c r="G60" i="13"/>
  <c r="H67" i="16" s="1"/>
  <c r="D61" i="13"/>
  <c r="E68" i="16" s="1"/>
  <c r="E61" i="13"/>
  <c r="F68" i="16" s="1"/>
  <c r="F61" i="13"/>
  <c r="G68" i="16" s="1"/>
  <c r="G61" i="13"/>
  <c r="H68" i="16" s="1"/>
  <c r="D51" i="13"/>
  <c r="E5" i="16" s="1"/>
  <c r="E51" i="13"/>
  <c r="F58" i="16" s="1"/>
  <c r="F51" i="13"/>
  <c r="G58" i="16" s="1"/>
  <c r="G51" i="13"/>
  <c r="H58" i="16" s="1"/>
  <c r="E12" i="16" l="1"/>
  <c r="F12" i="16" s="1"/>
  <c r="G12" i="16" s="1"/>
  <c r="H12" i="16" s="1"/>
  <c r="I12" i="16" s="1"/>
  <c r="J12" i="16" s="1"/>
  <c r="K12" i="16" s="1"/>
  <c r="L12" i="16" s="1"/>
  <c r="M12" i="16" s="1"/>
  <c r="N12" i="16" s="1"/>
  <c r="O12" i="16" s="1"/>
  <c r="P12" i="16" s="1"/>
  <c r="Q12" i="16" s="1"/>
  <c r="R12" i="16" s="1"/>
  <c r="S12" i="16" s="1"/>
  <c r="T12" i="16" s="1"/>
  <c r="U12" i="16" s="1"/>
  <c r="V12" i="16" s="1"/>
  <c r="W12" i="16" s="1"/>
  <c r="X12" i="16" s="1"/>
  <c r="Y12" i="16" s="1"/>
  <c r="Z12" i="16" s="1"/>
  <c r="AA12" i="16" s="1"/>
  <c r="AB12" i="16" s="1"/>
  <c r="AC12" i="16" s="1"/>
  <c r="E10" i="16"/>
  <c r="F10" i="16" s="1"/>
  <c r="G10" i="16" s="1"/>
  <c r="H10" i="16" s="1"/>
  <c r="I10" i="16" s="1"/>
  <c r="J10" i="16" s="1"/>
  <c r="K10" i="16" s="1"/>
  <c r="L10" i="16" s="1"/>
  <c r="M10" i="16" s="1"/>
  <c r="N10" i="16" s="1"/>
  <c r="O10" i="16" s="1"/>
  <c r="P10" i="16" s="1"/>
  <c r="Q10" i="16" s="1"/>
  <c r="R10" i="16" s="1"/>
  <c r="S10" i="16" s="1"/>
  <c r="T10" i="16" s="1"/>
  <c r="U10" i="16" s="1"/>
  <c r="V10" i="16" s="1"/>
  <c r="W10" i="16" s="1"/>
  <c r="X10" i="16" s="1"/>
  <c r="Y10" i="16" s="1"/>
  <c r="Z10" i="16" s="1"/>
  <c r="AA10" i="16" s="1"/>
  <c r="AB10" i="16" s="1"/>
  <c r="AC10" i="16" s="1"/>
  <c r="E8" i="16"/>
  <c r="F8" i="16" s="1"/>
  <c r="G8" i="16" s="1"/>
  <c r="H8" i="16" s="1"/>
  <c r="I8" i="16" s="1"/>
  <c r="J8" i="16" s="1"/>
  <c r="K8" i="16" s="1"/>
  <c r="L8" i="16" s="1"/>
  <c r="M8" i="16" s="1"/>
  <c r="N8" i="16" s="1"/>
  <c r="O8" i="16" s="1"/>
  <c r="P8" i="16" s="1"/>
  <c r="Q8" i="16" s="1"/>
  <c r="R8" i="16" s="1"/>
  <c r="S8" i="16" s="1"/>
  <c r="T8" i="16" s="1"/>
  <c r="U8" i="16" s="1"/>
  <c r="V8" i="16" s="1"/>
  <c r="W8" i="16" s="1"/>
  <c r="X8" i="16" s="1"/>
  <c r="Y8" i="16" s="1"/>
  <c r="Z8" i="16" s="1"/>
  <c r="AA8" i="16" s="1"/>
  <c r="AB8" i="16" s="1"/>
  <c r="AC8" i="16" s="1"/>
  <c r="E11" i="16"/>
  <c r="F11" i="16" s="1"/>
  <c r="G11" i="16" s="1"/>
  <c r="H11" i="16" s="1"/>
  <c r="I11" i="16" s="1"/>
  <c r="J11" i="16" s="1"/>
  <c r="K11" i="16" s="1"/>
  <c r="L11" i="16" s="1"/>
  <c r="M11" i="16" s="1"/>
  <c r="N11" i="16" s="1"/>
  <c r="O11" i="16" s="1"/>
  <c r="P11" i="16" s="1"/>
  <c r="Q11" i="16" s="1"/>
  <c r="R11" i="16" s="1"/>
  <c r="S11" i="16" s="1"/>
  <c r="T11" i="16" s="1"/>
  <c r="U11" i="16" s="1"/>
  <c r="V11" i="16" s="1"/>
  <c r="W11" i="16" s="1"/>
  <c r="X11" i="16" s="1"/>
  <c r="Y11" i="16" s="1"/>
  <c r="Z11" i="16" s="1"/>
  <c r="AA11" i="16" s="1"/>
  <c r="AB11" i="16" s="1"/>
  <c r="AC11" i="16" s="1"/>
  <c r="E7" i="16"/>
  <c r="F7" i="16" s="1"/>
  <c r="G7" i="16" s="1"/>
  <c r="H7" i="16" s="1"/>
  <c r="I7" i="16" s="1"/>
  <c r="J7" i="16" s="1"/>
  <c r="K7" i="16" s="1"/>
  <c r="L7" i="16" s="1"/>
  <c r="M7" i="16" s="1"/>
  <c r="N7" i="16" s="1"/>
  <c r="O7" i="16" s="1"/>
  <c r="P7" i="16" s="1"/>
  <c r="Q7" i="16" s="1"/>
  <c r="R7" i="16" s="1"/>
  <c r="S7" i="16" s="1"/>
  <c r="T7" i="16" s="1"/>
  <c r="U7" i="16" s="1"/>
  <c r="V7" i="16" s="1"/>
  <c r="W7" i="16" s="1"/>
  <c r="X7" i="16" s="1"/>
  <c r="Y7" i="16" s="1"/>
  <c r="Z7" i="16" s="1"/>
  <c r="AA7" i="16" s="1"/>
  <c r="AB7" i="16" s="1"/>
  <c r="AC7" i="16" s="1"/>
  <c r="E6" i="16"/>
  <c r="F6" i="16" s="1"/>
  <c r="G6" i="16" s="1"/>
  <c r="H6" i="16" s="1"/>
  <c r="I6" i="16" s="1"/>
  <c r="J6" i="16" s="1"/>
  <c r="K6" i="16" s="1"/>
  <c r="L6" i="16" s="1"/>
  <c r="M6" i="16" s="1"/>
  <c r="N6" i="16" s="1"/>
  <c r="O6" i="16" s="1"/>
  <c r="P6" i="16" s="1"/>
  <c r="Q6" i="16" s="1"/>
  <c r="R6" i="16" s="1"/>
  <c r="S6" i="16" s="1"/>
  <c r="T6" i="16" s="1"/>
  <c r="U6" i="16" s="1"/>
  <c r="V6" i="16" s="1"/>
  <c r="W6" i="16" s="1"/>
  <c r="X6" i="16" s="1"/>
  <c r="Y6" i="16" s="1"/>
  <c r="Z6" i="16" s="1"/>
  <c r="AA6" i="16" s="1"/>
  <c r="AB6" i="16" s="1"/>
  <c r="AC6" i="16" s="1"/>
  <c r="F5" i="16"/>
  <c r="G5" i="16" s="1"/>
  <c r="H5" i="16" s="1"/>
  <c r="I5" i="16" s="1"/>
  <c r="J5" i="16" s="1"/>
  <c r="K5" i="16" s="1"/>
  <c r="L5" i="16" s="1"/>
  <c r="M5" i="16" s="1"/>
  <c r="N5" i="16" s="1"/>
  <c r="O5" i="16" s="1"/>
  <c r="P5" i="16" s="1"/>
  <c r="Q5" i="16" s="1"/>
  <c r="R5" i="16" s="1"/>
  <c r="S5" i="16" s="1"/>
  <c r="T5" i="16" s="1"/>
  <c r="U5" i="16" s="1"/>
  <c r="V5" i="16" s="1"/>
  <c r="W5" i="16" s="1"/>
  <c r="X5" i="16" s="1"/>
  <c r="Y5" i="16" s="1"/>
  <c r="Z5" i="16" s="1"/>
  <c r="AA5" i="16" s="1"/>
  <c r="AB5" i="16" s="1"/>
  <c r="AC5" i="16" s="1"/>
  <c r="E13" i="16"/>
  <c r="F13" i="16" s="1"/>
  <c r="G13" i="16" s="1"/>
  <c r="H13" i="16" s="1"/>
  <c r="I13" i="16" s="1"/>
  <c r="J13" i="16" s="1"/>
  <c r="K13" i="16" s="1"/>
  <c r="L13" i="16" s="1"/>
  <c r="M13" i="16" s="1"/>
  <c r="N13" i="16" s="1"/>
  <c r="O13" i="16" s="1"/>
  <c r="P13" i="16" s="1"/>
  <c r="Q13" i="16" s="1"/>
  <c r="R13" i="16" s="1"/>
  <c r="S13" i="16" s="1"/>
  <c r="T13" i="16" s="1"/>
  <c r="U13" i="16" s="1"/>
  <c r="V13" i="16" s="1"/>
  <c r="W13" i="16" s="1"/>
  <c r="X13" i="16" s="1"/>
  <c r="Y13" i="16" s="1"/>
  <c r="Z13" i="16" s="1"/>
  <c r="AA13" i="16" s="1"/>
  <c r="AB13" i="16" s="1"/>
  <c r="AC13" i="16" s="1"/>
  <c r="E14" i="16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E15" i="16"/>
  <c r="F15" i="16" s="1"/>
  <c r="G15" i="16" s="1"/>
  <c r="H15" i="16" s="1"/>
  <c r="I15" i="16" s="1"/>
  <c r="J15" i="16" s="1"/>
  <c r="K15" i="16" s="1"/>
  <c r="L15" i="16" s="1"/>
  <c r="M15" i="16" s="1"/>
  <c r="N15" i="16" s="1"/>
  <c r="O15" i="16" s="1"/>
  <c r="P15" i="16" s="1"/>
  <c r="Q15" i="16" s="1"/>
  <c r="R15" i="16" s="1"/>
  <c r="S15" i="16" s="1"/>
  <c r="T15" i="16" s="1"/>
  <c r="U15" i="16" s="1"/>
  <c r="V15" i="16" s="1"/>
  <c r="W15" i="16" s="1"/>
  <c r="X15" i="16" s="1"/>
  <c r="Y15" i="16" s="1"/>
  <c r="Z15" i="16" s="1"/>
  <c r="AA15" i="16" s="1"/>
  <c r="AB15" i="16" s="1"/>
  <c r="AC15" i="16" s="1"/>
  <c r="E17" i="16"/>
  <c r="F17" i="16" s="1"/>
  <c r="G17" i="16" s="1"/>
  <c r="H17" i="16" s="1"/>
  <c r="I17" i="16" s="1"/>
  <c r="J17" i="16" s="1"/>
  <c r="K17" i="16" s="1"/>
  <c r="L17" i="16" s="1"/>
  <c r="M17" i="16" s="1"/>
  <c r="N17" i="16" s="1"/>
  <c r="O17" i="16" s="1"/>
  <c r="P17" i="16" s="1"/>
  <c r="Q17" i="16" s="1"/>
  <c r="R17" i="16" s="1"/>
  <c r="S17" i="16" s="1"/>
  <c r="T17" i="16" s="1"/>
  <c r="U17" i="16" s="1"/>
  <c r="V17" i="16" s="1"/>
  <c r="W17" i="16" s="1"/>
  <c r="X17" i="16" s="1"/>
  <c r="Y17" i="16" s="1"/>
  <c r="Z17" i="16" s="1"/>
  <c r="AA17" i="16" s="1"/>
  <c r="AB17" i="16" s="1"/>
  <c r="AC17" i="16" s="1"/>
  <c r="E18" i="16"/>
  <c r="F18" i="16" s="1"/>
  <c r="G18" i="16" s="1"/>
  <c r="H18" i="16" s="1"/>
  <c r="I18" i="16" s="1"/>
  <c r="J18" i="16" s="1"/>
  <c r="K18" i="16" s="1"/>
  <c r="L18" i="16" s="1"/>
  <c r="M18" i="16" s="1"/>
  <c r="N18" i="16" s="1"/>
  <c r="O18" i="16" s="1"/>
  <c r="P18" i="16" s="1"/>
  <c r="Q18" i="16" s="1"/>
  <c r="R18" i="16" s="1"/>
  <c r="S18" i="16" s="1"/>
  <c r="T18" i="16" s="1"/>
  <c r="U18" i="16" s="1"/>
  <c r="V18" i="16" s="1"/>
  <c r="W18" i="16" s="1"/>
  <c r="X18" i="16" s="1"/>
  <c r="Y18" i="16" s="1"/>
  <c r="Z18" i="16" s="1"/>
  <c r="AA18" i="16" s="1"/>
  <c r="AB18" i="16" s="1"/>
  <c r="AC18" i="16" s="1"/>
  <c r="E19" i="16"/>
  <c r="F19" i="16" s="1"/>
  <c r="G19" i="16" s="1"/>
  <c r="H19" i="16" s="1"/>
  <c r="I19" i="16" s="1"/>
  <c r="J19" i="16" s="1"/>
  <c r="K19" i="16" s="1"/>
  <c r="L19" i="16" s="1"/>
  <c r="M19" i="16" s="1"/>
  <c r="N19" i="16" s="1"/>
  <c r="O19" i="16" s="1"/>
  <c r="P19" i="16" s="1"/>
  <c r="Q19" i="16" s="1"/>
  <c r="R19" i="16" s="1"/>
  <c r="S19" i="16" s="1"/>
  <c r="T19" i="16" s="1"/>
  <c r="U19" i="16" s="1"/>
  <c r="V19" i="16" s="1"/>
  <c r="W19" i="16" s="1"/>
  <c r="X19" i="16" s="1"/>
  <c r="Y19" i="16" s="1"/>
  <c r="Z19" i="16" s="1"/>
  <c r="AA19" i="16" s="1"/>
  <c r="AB19" i="16" s="1"/>
  <c r="AC19" i="16" s="1"/>
  <c r="E20" i="16"/>
  <c r="F20" i="16" s="1"/>
  <c r="G20" i="16" s="1"/>
  <c r="H20" i="16" s="1"/>
  <c r="I20" i="16" s="1"/>
  <c r="J20" i="16" s="1"/>
  <c r="K20" i="16" s="1"/>
  <c r="L20" i="16" s="1"/>
  <c r="M20" i="16" s="1"/>
  <c r="N20" i="16" s="1"/>
  <c r="O20" i="16" s="1"/>
  <c r="P20" i="16" s="1"/>
  <c r="Q20" i="16" s="1"/>
  <c r="R20" i="16" s="1"/>
  <c r="S20" i="16" s="1"/>
  <c r="T20" i="16" s="1"/>
  <c r="U20" i="16" s="1"/>
  <c r="V20" i="16" s="1"/>
  <c r="W20" i="16" s="1"/>
  <c r="X20" i="16" s="1"/>
  <c r="Y20" i="16" s="1"/>
  <c r="Z20" i="16" s="1"/>
  <c r="AA20" i="16" s="1"/>
  <c r="AB20" i="16" s="1"/>
  <c r="AC20" i="16" s="1"/>
  <c r="E21" i="16"/>
  <c r="F21" i="16" s="1"/>
  <c r="G21" i="16" s="1"/>
  <c r="H21" i="16" s="1"/>
  <c r="I21" i="16" s="1"/>
  <c r="J21" i="16" s="1"/>
  <c r="K21" i="16" s="1"/>
  <c r="L21" i="16" s="1"/>
  <c r="M21" i="16" s="1"/>
  <c r="N21" i="16" s="1"/>
  <c r="O21" i="16" s="1"/>
  <c r="P21" i="16" s="1"/>
  <c r="Q21" i="16" s="1"/>
  <c r="R21" i="16" s="1"/>
  <c r="S21" i="16" s="1"/>
  <c r="T21" i="16" s="1"/>
  <c r="U21" i="16" s="1"/>
  <c r="V21" i="16" s="1"/>
  <c r="W21" i="16" s="1"/>
  <c r="X21" i="16" s="1"/>
  <c r="Y21" i="16" s="1"/>
  <c r="Z21" i="16" s="1"/>
  <c r="AA21" i="16" s="1"/>
  <c r="AB21" i="16" s="1"/>
  <c r="AC21" i="16" s="1"/>
  <c r="E22" i="16"/>
  <c r="F22" i="16" s="1"/>
  <c r="G22" i="16" s="1"/>
  <c r="H22" i="16" s="1"/>
  <c r="I22" i="16" s="1"/>
  <c r="J22" i="16" s="1"/>
  <c r="K22" i="16" s="1"/>
  <c r="L22" i="16" s="1"/>
  <c r="M22" i="16" s="1"/>
  <c r="N22" i="16" s="1"/>
  <c r="O22" i="16" s="1"/>
  <c r="P22" i="16" s="1"/>
  <c r="Q22" i="16" s="1"/>
  <c r="R22" i="16" s="1"/>
  <c r="S22" i="16" s="1"/>
  <c r="T22" i="16" s="1"/>
  <c r="U22" i="16" s="1"/>
  <c r="V22" i="16" s="1"/>
  <c r="W22" i="16" s="1"/>
  <c r="X22" i="16" s="1"/>
  <c r="Y22" i="16" s="1"/>
  <c r="Z22" i="16" s="1"/>
  <c r="AA22" i="16" s="1"/>
  <c r="AB22" i="16" s="1"/>
  <c r="AC22" i="16" s="1"/>
  <c r="E23" i="16"/>
  <c r="F23" i="16" s="1"/>
  <c r="G23" i="16" s="1"/>
  <c r="H23" i="16" s="1"/>
  <c r="I23" i="16" s="1"/>
  <c r="J23" i="16" s="1"/>
  <c r="K23" i="16" s="1"/>
  <c r="L23" i="16" s="1"/>
  <c r="M23" i="16" s="1"/>
  <c r="N23" i="16" s="1"/>
  <c r="O23" i="16" s="1"/>
  <c r="P23" i="16" s="1"/>
  <c r="Q23" i="16" s="1"/>
  <c r="R23" i="16" s="1"/>
  <c r="S23" i="16" s="1"/>
  <c r="T23" i="16" s="1"/>
  <c r="U23" i="16" s="1"/>
  <c r="V23" i="16" s="1"/>
  <c r="W23" i="16" s="1"/>
  <c r="X23" i="16" s="1"/>
  <c r="Y23" i="16" s="1"/>
  <c r="Z23" i="16" s="1"/>
  <c r="AA23" i="16" s="1"/>
  <c r="AB23" i="16" s="1"/>
  <c r="AC23" i="16" s="1"/>
  <c r="E24" i="16"/>
  <c r="F24" i="16" s="1"/>
  <c r="G24" i="16" s="1"/>
  <c r="H24" i="16" s="1"/>
  <c r="I24" i="16" s="1"/>
  <c r="J24" i="16" s="1"/>
  <c r="K24" i="16" s="1"/>
  <c r="L24" i="16" s="1"/>
  <c r="M24" i="16" s="1"/>
  <c r="N24" i="16" s="1"/>
  <c r="O24" i="16" s="1"/>
  <c r="P24" i="16" s="1"/>
  <c r="Q24" i="16" s="1"/>
  <c r="R24" i="16" s="1"/>
  <c r="S24" i="16" s="1"/>
  <c r="T24" i="16" s="1"/>
  <c r="U24" i="16" s="1"/>
  <c r="V24" i="16" s="1"/>
  <c r="W24" i="16" s="1"/>
  <c r="X24" i="16" s="1"/>
  <c r="Y24" i="16" s="1"/>
  <c r="Z24" i="16" s="1"/>
  <c r="AA24" i="16" s="1"/>
  <c r="AB24" i="16" s="1"/>
  <c r="AC24" i="16" s="1"/>
  <c r="E25" i="16"/>
  <c r="F25" i="16" s="1"/>
  <c r="G25" i="16" s="1"/>
  <c r="H25" i="16" s="1"/>
  <c r="I25" i="16" s="1"/>
  <c r="J25" i="16" s="1"/>
  <c r="K25" i="16" s="1"/>
  <c r="L25" i="16" s="1"/>
  <c r="M25" i="16" s="1"/>
  <c r="N25" i="16" s="1"/>
  <c r="O25" i="16" s="1"/>
  <c r="P25" i="16" s="1"/>
  <c r="Q25" i="16" s="1"/>
  <c r="R25" i="16" s="1"/>
  <c r="S25" i="16" s="1"/>
  <c r="T25" i="16" s="1"/>
  <c r="U25" i="16" s="1"/>
  <c r="V25" i="16" s="1"/>
  <c r="W25" i="16" s="1"/>
  <c r="X25" i="16" s="1"/>
  <c r="Y25" i="16" s="1"/>
  <c r="Z25" i="16" s="1"/>
  <c r="AA25" i="16" s="1"/>
  <c r="AB25" i="16" s="1"/>
  <c r="AC25" i="16" s="1"/>
  <c r="E32" i="16"/>
  <c r="F32" i="16" s="1"/>
  <c r="G32" i="16" s="1"/>
  <c r="H32" i="16" s="1"/>
  <c r="I32" i="16" s="1"/>
  <c r="J32" i="16" s="1"/>
  <c r="K32" i="16" s="1"/>
  <c r="L32" i="16" s="1"/>
  <c r="M32" i="16" s="1"/>
  <c r="N32" i="16" s="1"/>
  <c r="O32" i="16" s="1"/>
  <c r="P32" i="16" s="1"/>
  <c r="Q32" i="16" s="1"/>
  <c r="R32" i="16" s="1"/>
  <c r="S32" i="16" s="1"/>
  <c r="T32" i="16" s="1"/>
  <c r="U32" i="16" s="1"/>
  <c r="V32" i="16" s="1"/>
  <c r="W32" i="16" s="1"/>
  <c r="X32" i="16" s="1"/>
  <c r="Y32" i="16" s="1"/>
  <c r="Z32" i="16" s="1"/>
  <c r="AA32" i="16" s="1"/>
  <c r="AB32" i="16" s="1"/>
  <c r="AC32" i="16" s="1"/>
  <c r="E26" i="16"/>
  <c r="F26" i="16" s="1"/>
  <c r="G26" i="16" s="1"/>
  <c r="H26" i="16" s="1"/>
  <c r="I26" i="16" s="1"/>
  <c r="J26" i="16" s="1"/>
  <c r="K26" i="16" s="1"/>
  <c r="L26" i="16" s="1"/>
  <c r="M26" i="16" s="1"/>
  <c r="N26" i="16" s="1"/>
  <c r="O26" i="16" s="1"/>
  <c r="P26" i="16" s="1"/>
  <c r="Q26" i="16" s="1"/>
  <c r="R26" i="16" s="1"/>
  <c r="S26" i="16" s="1"/>
  <c r="T26" i="16" s="1"/>
  <c r="U26" i="16" s="1"/>
  <c r="V26" i="16" s="1"/>
  <c r="W26" i="16" s="1"/>
  <c r="X26" i="16" s="1"/>
  <c r="Y26" i="16" s="1"/>
  <c r="Z26" i="16" s="1"/>
  <c r="AA26" i="16" s="1"/>
  <c r="AB26" i="16" s="1"/>
  <c r="AC26" i="16" s="1"/>
  <c r="E27" i="16"/>
  <c r="F27" i="16" s="1"/>
  <c r="G27" i="16" s="1"/>
  <c r="H27" i="16" s="1"/>
  <c r="I27" i="16" s="1"/>
  <c r="J27" i="16" s="1"/>
  <c r="K27" i="16" s="1"/>
  <c r="L27" i="16" s="1"/>
  <c r="M27" i="16" s="1"/>
  <c r="N27" i="16" s="1"/>
  <c r="O27" i="16" s="1"/>
  <c r="P27" i="16" s="1"/>
  <c r="Q27" i="16" s="1"/>
  <c r="R27" i="16" s="1"/>
  <c r="S27" i="16" s="1"/>
  <c r="T27" i="16" s="1"/>
  <c r="U27" i="16" s="1"/>
  <c r="V27" i="16" s="1"/>
  <c r="W27" i="16" s="1"/>
  <c r="X27" i="16" s="1"/>
  <c r="Y27" i="16" s="1"/>
  <c r="Z27" i="16" s="1"/>
  <c r="AA27" i="16" s="1"/>
  <c r="AB27" i="16" s="1"/>
  <c r="AC27" i="16" s="1"/>
  <c r="E28" i="16"/>
  <c r="F28" i="16" s="1"/>
  <c r="G28" i="16" s="1"/>
  <c r="H28" i="16" s="1"/>
  <c r="I28" i="16" s="1"/>
  <c r="J28" i="16" s="1"/>
  <c r="K28" i="16" s="1"/>
  <c r="L28" i="16" s="1"/>
  <c r="M28" i="16" s="1"/>
  <c r="N28" i="16" s="1"/>
  <c r="O28" i="16" s="1"/>
  <c r="P28" i="16" s="1"/>
  <c r="Q28" i="16" s="1"/>
  <c r="R28" i="16" s="1"/>
  <c r="S28" i="16" s="1"/>
  <c r="T28" i="16" s="1"/>
  <c r="U28" i="16" s="1"/>
  <c r="V28" i="16" s="1"/>
  <c r="W28" i="16" s="1"/>
  <c r="X28" i="16" s="1"/>
  <c r="Y28" i="16" s="1"/>
  <c r="Z28" i="16" s="1"/>
  <c r="AA28" i="16" s="1"/>
  <c r="AB28" i="16" s="1"/>
  <c r="AC28" i="16" s="1"/>
  <c r="D153" i="16"/>
  <c r="E153" i="16" s="1"/>
  <c r="F153" i="16" s="1"/>
  <c r="G153" i="16" s="1"/>
  <c r="H153" i="16" s="1"/>
  <c r="I153" i="16" s="1"/>
  <c r="J153" i="16" s="1"/>
  <c r="K153" i="16" s="1"/>
  <c r="L153" i="16" s="1"/>
  <c r="M153" i="16" s="1"/>
  <c r="N153" i="16" s="1"/>
  <c r="O153" i="16" s="1"/>
  <c r="P153" i="16" s="1"/>
  <c r="Q153" i="16" s="1"/>
  <c r="R153" i="16" s="1"/>
  <c r="S153" i="16" s="1"/>
  <c r="T153" i="16" s="1"/>
  <c r="U153" i="16" s="1"/>
  <c r="V153" i="16" s="1"/>
  <c r="W153" i="16" s="1"/>
  <c r="X153" i="16" s="1"/>
  <c r="Y153" i="16" s="1"/>
  <c r="Z153" i="16" s="1"/>
  <c r="AA153" i="16" s="1"/>
  <c r="AB153" i="16" s="1"/>
  <c r="AC153" i="16" s="1"/>
  <c r="B7" i="2"/>
  <c r="D108" i="16"/>
  <c r="E108" i="16" s="1"/>
  <c r="E58" i="16"/>
  <c r="D163" i="16" l="1"/>
  <c r="E163" i="16" s="1"/>
  <c r="F163" i="16" s="1"/>
  <c r="G163" i="16" s="1"/>
  <c r="H163" i="16" s="1"/>
  <c r="I163" i="16" s="1"/>
  <c r="J163" i="16" s="1"/>
  <c r="K163" i="16" s="1"/>
  <c r="L163" i="16" s="1"/>
  <c r="M163" i="16" s="1"/>
  <c r="N163" i="16" s="1"/>
  <c r="O163" i="16" s="1"/>
  <c r="P163" i="16" s="1"/>
  <c r="Q163" i="16" s="1"/>
  <c r="R163" i="16" s="1"/>
  <c r="S163" i="16" s="1"/>
  <c r="T163" i="16" s="1"/>
  <c r="U163" i="16" s="1"/>
  <c r="V163" i="16" s="1"/>
  <c r="W163" i="16" s="1"/>
  <c r="X163" i="16" s="1"/>
  <c r="Y163" i="16" s="1"/>
  <c r="Z163" i="16" s="1"/>
  <c r="AA163" i="16" s="1"/>
  <c r="AB163" i="16" s="1"/>
  <c r="AC163" i="16" s="1"/>
  <c r="D158" i="16"/>
  <c r="E158" i="16" s="1"/>
  <c r="F158" i="16" s="1"/>
  <c r="G158" i="16" s="1"/>
  <c r="H158" i="16" s="1"/>
  <c r="I158" i="16" s="1"/>
  <c r="J158" i="16" s="1"/>
  <c r="K158" i="16" s="1"/>
  <c r="L158" i="16" s="1"/>
  <c r="M158" i="16" s="1"/>
  <c r="N158" i="16" s="1"/>
  <c r="O158" i="16" s="1"/>
  <c r="P158" i="16" s="1"/>
  <c r="Q158" i="16" s="1"/>
  <c r="R158" i="16" s="1"/>
  <c r="S158" i="16" s="1"/>
  <c r="T158" i="16" s="1"/>
  <c r="U158" i="16" s="1"/>
  <c r="V158" i="16" s="1"/>
  <c r="W158" i="16" s="1"/>
  <c r="X158" i="16" s="1"/>
  <c r="Y158" i="16" s="1"/>
  <c r="Z158" i="16" s="1"/>
  <c r="AA158" i="16" s="1"/>
  <c r="AB158" i="16" s="1"/>
  <c r="AC158" i="16" s="1"/>
  <c r="D166" i="16"/>
  <c r="E166" i="16" s="1"/>
  <c r="F166" i="16" s="1"/>
  <c r="G166" i="16" s="1"/>
  <c r="H166" i="16" s="1"/>
  <c r="I166" i="16" s="1"/>
  <c r="J166" i="16" s="1"/>
  <c r="K166" i="16" s="1"/>
  <c r="L166" i="16" s="1"/>
  <c r="M166" i="16" s="1"/>
  <c r="N166" i="16" s="1"/>
  <c r="O166" i="16" s="1"/>
  <c r="P166" i="16" s="1"/>
  <c r="Q166" i="16" s="1"/>
  <c r="R166" i="16" s="1"/>
  <c r="S166" i="16" s="1"/>
  <c r="T166" i="16" s="1"/>
  <c r="U166" i="16" s="1"/>
  <c r="V166" i="16" s="1"/>
  <c r="W166" i="16" s="1"/>
  <c r="X166" i="16" s="1"/>
  <c r="Y166" i="16" s="1"/>
  <c r="Z166" i="16" s="1"/>
  <c r="AA166" i="16" s="1"/>
  <c r="AB166" i="16" s="1"/>
  <c r="AC166" i="16" s="1"/>
  <c r="D157" i="16"/>
  <c r="E157" i="16" s="1"/>
  <c r="F157" i="16" s="1"/>
  <c r="G157" i="16" s="1"/>
  <c r="H157" i="16" s="1"/>
  <c r="I157" i="16" s="1"/>
  <c r="J157" i="16" s="1"/>
  <c r="K157" i="16" s="1"/>
  <c r="L157" i="16" s="1"/>
  <c r="M157" i="16" s="1"/>
  <c r="N157" i="16" s="1"/>
  <c r="O157" i="16" s="1"/>
  <c r="P157" i="16" s="1"/>
  <c r="Q157" i="16" s="1"/>
  <c r="R157" i="16" s="1"/>
  <c r="S157" i="16" s="1"/>
  <c r="T157" i="16" s="1"/>
  <c r="U157" i="16" s="1"/>
  <c r="V157" i="16" s="1"/>
  <c r="W157" i="16" s="1"/>
  <c r="X157" i="16" s="1"/>
  <c r="Y157" i="16" s="1"/>
  <c r="Z157" i="16" s="1"/>
  <c r="AA157" i="16" s="1"/>
  <c r="AB157" i="16" s="1"/>
  <c r="AC157" i="16" s="1"/>
  <c r="D169" i="16"/>
  <c r="E169" i="16" s="1"/>
  <c r="F169" i="16" s="1"/>
  <c r="G169" i="16" s="1"/>
  <c r="H169" i="16" s="1"/>
  <c r="I169" i="16" s="1"/>
  <c r="J169" i="16" s="1"/>
  <c r="K169" i="16" s="1"/>
  <c r="L169" i="16" s="1"/>
  <c r="M169" i="16" s="1"/>
  <c r="N169" i="16" s="1"/>
  <c r="O169" i="16" s="1"/>
  <c r="P169" i="16" s="1"/>
  <c r="Q169" i="16" s="1"/>
  <c r="R169" i="16" s="1"/>
  <c r="S169" i="16" s="1"/>
  <c r="T169" i="16" s="1"/>
  <c r="U169" i="16" s="1"/>
  <c r="V169" i="16" s="1"/>
  <c r="W169" i="16" s="1"/>
  <c r="X169" i="16" s="1"/>
  <c r="Y169" i="16" s="1"/>
  <c r="Z169" i="16" s="1"/>
  <c r="AA169" i="16" s="1"/>
  <c r="AB169" i="16" s="1"/>
  <c r="AC169" i="16" s="1"/>
  <c r="D161" i="16"/>
  <c r="E161" i="16" s="1"/>
  <c r="F161" i="16" s="1"/>
  <c r="G161" i="16" s="1"/>
  <c r="H161" i="16" s="1"/>
  <c r="I161" i="16" s="1"/>
  <c r="J161" i="16" s="1"/>
  <c r="K161" i="16" s="1"/>
  <c r="L161" i="16" s="1"/>
  <c r="M161" i="16" s="1"/>
  <c r="N161" i="16" s="1"/>
  <c r="O161" i="16" s="1"/>
  <c r="P161" i="16" s="1"/>
  <c r="Q161" i="16" s="1"/>
  <c r="R161" i="16" s="1"/>
  <c r="S161" i="16" s="1"/>
  <c r="T161" i="16" s="1"/>
  <c r="U161" i="16" s="1"/>
  <c r="V161" i="16" s="1"/>
  <c r="W161" i="16" s="1"/>
  <c r="X161" i="16" s="1"/>
  <c r="Y161" i="16" s="1"/>
  <c r="Z161" i="16" s="1"/>
  <c r="AA161" i="16" s="1"/>
  <c r="AB161" i="16" s="1"/>
  <c r="AC161" i="16" s="1"/>
  <c r="D160" i="16"/>
  <c r="E160" i="16" s="1"/>
  <c r="F160" i="16" s="1"/>
  <c r="G160" i="16" s="1"/>
  <c r="H160" i="16" s="1"/>
  <c r="I160" i="16" s="1"/>
  <c r="J160" i="16" s="1"/>
  <c r="K160" i="16" s="1"/>
  <c r="L160" i="16" s="1"/>
  <c r="M160" i="16" s="1"/>
  <c r="N160" i="16" s="1"/>
  <c r="O160" i="16" s="1"/>
  <c r="P160" i="16" s="1"/>
  <c r="Q160" i="16" s="1"/>
  <c r="R160" i="16" s="1"/>
  <c r="S160" i="16" s="1"/>
  <c r="T160" i="16" s="1"/>
  <c r="U160" i="16" s="1"/>
  <c r="V160" i="16" s="1"/>
  <c r="W160" i="16" s="1"/>
  <c r="X160" i="16" s="1"/>
  <c r="Y160" i="16" s="1"/>
  <c r="Z160" i="16" s="1"/>
  <c r="AA160" i="16" s="1"/>
  <c r="AB160" i="16" s="1"/>
  <c r="AC160" i="16" s="1"/>
  <c r="D156" i="16"/>
  <c r="E156" i="16" s="1"/>
  <c r="F156" i="16" s="1"/>
  <c r="G156" i="16" s="1"/>
  <c r="H156" i="16" s="1"/>
  <c r="I156" i="16" s="1"/>
  <c r="J156" i="16" s="1"/>
  <c r="K156" i="16" s="1"/>
  <c r="L156" i="16" s="1"/>
  <c r="M156" i="16" s="1"/>
  <c r="N156" i="16" s="1"/>
  <c r="O156" i="16" s="1"/>
  <c r="P156" i="16" s="1"/>
  <c r="Q156" i="16" s="1"/>
  <c r="R156" i="16" s="1"/>
  <c r="S156" i="16" s="1"/>
  <c r="T156" i="16" s="1"/>
  <c r="U156" i="16" s="1"/>
  <c r="V156" i="16" s="1"/>
  <c r="W156" i="16" s="1"/>
  <c r="X156" i="16" s="1"/>
  <c r="Y156" i="16" s="1"/>
  <c r="Z156" i="16" s="1"/>
  <c r="AA156" i="16" s="1"/>
  <c r="AB156" i="16" s="1"/>
  <c r="AC156" i="16" s="1"/>
  <c r="D164" i="16"/>
  <c r="E164" i="16" s="1"/>
  <c r="F164" i="16" s="1"/>
  <c r="G164" i="16" s="1"/>
  <c r="H164" i="16" s="1"/>
  <c r="I164" i="16" s="1"/>
  <c r="J164" i="16" s="1"/>
  <c r="K164" i="16" s="1"/>
  <c r="L164" i="16" s="1"/>
  <c r="M164" i="16" s="1"/>
  <c r="N164" i="16" s="1"/>
  <c r="O164" i="16" s="1"/>
  <c r="P164" i="16" s="1"/>
  <c r="Q164" i="16" s="1"/>
  <c r="R164" i="16" s="1"/>
  <c r="S164" i="16" s="1"/>
  <c r="T164" i="16" s="1"/>
  <c r="U164" i="16" s="1"/>
  <c r="V164" i="16" s="1"/>
  <c r="W164" i="16" s="1"/>
  <c r="X164" i="16" s="1"/>
  <c r="Y164" i="16" s="1"/>
  <c r="Z164" i="16" s="1"/>
  <c r="AA164" i="16" s="1"/>
  <c r="AB164" i="16" s="1"/>
  <c r="AC164" i="16" s="1"/>
  <c r="E148" i="16"/>
  <c r="F148" i="16" s="1"/>
  <c r="G148" i="16" s="1"/>
  <c r="H148" i="16" s="1"/>
  <c r="I148" i="16" s="1"/>
  <c r="J148" i="16" s="1"/>
  <c r="K148" i="16" s="1"/>
  <c r="L148" i="16" s="1"/>
  <c r="M148" i="16" s="1"/>
  <c r="N148" i="16" s="1"/>
  <c r="O148" i="16" s="1"/>
  <c r="P148" i="16" s="1"/>
  <c r="Q148" i="16" s="1"/>
  <c r="R148" i="16" s="1"/>
  <c r="S148" i="16" s="1"/>
  <c r="T148" i="16" s="1"/>
  <c r="U148" i="16" s="1"/>
  <c r="V148" i="16" s="1"/>
  <c r="W148" i="16" s="1"/>
  <c r="X148" i="16" s="1"/>
  <c r="Y148" i="16" s="1"/>
  <c r="Z148" i="16" s="1"/>
  <c r="AA148" i="16" s="1"/>
  <c r="AB148" i="16" s="1"/>
  <c r="AC148" i="16" s="1"/>
  <c r="D168" i="16"/>
  <c r="E168" i="16" s="1"/>
  <c r="F168" i="16" s="1"/>
  <c r="G168" i="16" s="1"/>
  <c r="H168" i="16" s="1"/>
  <c r="I168" i="16" s="1"/>
  <c r="J168" i="16" s="1"/>
  <c r="K168" i="16" s="1"/>
  <c r="L168" i="16" s="1"/>
  <c r="M168" i="16" s="1"/>
  <c r="N168" i="16" s="1"/>
  <c r="O168" i="16" s="1"/>
  <c r="P168" i="16" s="1"/>
  <c r="Q168" i="16" s="1"/>
  <c r="R168" i="16" s="1"/>
  <c r="S168" i="16" s="1"/>
  <c r="T168" i="16" s="1"/>
  <c r="U168" i="16" s="1"/>
  <c r="V168" i="16" s="1"/>
  <c r="W168" i="16" s="1"/>
  <c r="X168" i="16" s="1"/>
  <c r="Y168" i="16" s="1"/>
  <c r="Z168" i="16" s="1"/>
  <c r="AA168" i="16" s="1"/>
  <c r="AB168" i="16" s="1"/>
  <c r="AC168" i="16" s="1"/>
  <c r="D155" i="16"/>
  <c r="E155" i="16" s="1"/>
  <c r="F155" i="16" s="1"/>
  <c r="G155" i="16" s="1"/>
  <c r="H155" i="16" s="1"/>
  <c r="I155" i="16" s="1"/>
  <c r="J155" i="16" s="1"/>
  <c r="K155" i="16" s="1"/>
  <c r="L155" i="16" s="1"/>
  <c r="M155" i="16" s="1"/>
  <c r="N155" i="16" s="1"/>
  <c r="O155" i="16" s="1"/>
  <c r="P155" i="16" s="1"/>
  <c r="Q155" i="16" s="1"/>
  <c r="R155" i="16" s="1"/>
  <c r="S155" i="16" s="1"/>
  <c r="T155" i="16" s="1"/>
  <c r="U155" i="16" s="1"/>
  <c r="V155" i="16" s="1"/>
  <c r="W155" i="16" s="1"/>
  <c r="X155" i="16" s="1"/>
  <c r="Y155" i="16" s="1"/>
  <c r="Z155" i="16" s="1"/>
  <c r="AA155" i="16" s="1"/>
  <c r="AB155" i="16" s="1"/>
  <c r="AC155" i="16" s="1"/>
  <c r="D175" i="16"/>
  <c r="E175" i="16" s="1"/>
  <c r="F175" i="16" s="1"/>
  <c r="G175" i="16" s="1"/>
  <c r="H175" i="16" s="1"/>
  <c r="I175" i="16" s="1"/>
  <c r="J175" i="16" s="1"/>
  <c r="K175" i="16" s="1"/>
  <c r="L175" i="16" s="1"/>
  <c r="M175" i="16" s="1"/>
  <c r="N175" i="16" s="1"/>
  <c r="O175" i="16" s="1"/>
  <c r="P175" i="16" s="1"/>
  <c r="Q175" i="16" s="1"/>
  <c r="R175" i="16" s="1"/>
  <c r="S175" i="16" s="1"/>
  <c r="T175" i="16" s="1"/>
  <c r="U175" i="16" s="1"/>
  <c r="V175" i="16" s="1"/>
  <c r="W175" i="16" s="1"/>
  <c r="X175" i="16" s="1"/>
  <c r="Y175" i="16" s="1"/>
  <c r="Z175" i="16" s="1"/>
  <c r="AA175" i="16" s="1"/>
  <c r="AB175" i="16" s="1"/>
  <c r="AC175" i="16" s="1"/>
  <c r="D167" i="16"/>
  <c r="E167" i="16" s="1"/>
  <c r="F167" i="16" s="1"/>
  <c r="G167" i="16" s="1"/>
  <c r="H167" i="16" s="1"/>
  <c r="I167" i="16" s="1"/>
  <c r="J167" i="16" s="1"/>
  <c r="K167" i="16" s="1"/>
  <c r="L167" i="16" s="1"/>
  <c r="M167" i="16" s="1"/>
  <c r="N167" i="16" s="1"/>
  <c r="O167" i="16" s="1"/>
  <c r="P167" i="16" s="1"/>
  <c r="Q167" i="16" s="1"/>
  <c r="R167" i="16" s="1"/>
  <c r="S167" i="16" s="1"/>
  <c r="T167" i="16" s="1"/>
  <c r="U167" i="16" s="1"/>
  <c r="V167" i="16" s="1"/>
  <c r="W167" i="16" s="1"/>
  <c r="X167" i="16" s="1"/>
  <c r="Y167" i="16" s="1"/>
  <c r="Z167" i="16" s="1"/>
  <c r="AA167" i="16" s="1"/>
  <c r="AB167" i="16" s="1"/>
  <c r="AC167" i="16" s="1"/>
  <c r="D171" i="16"/>
  <c r="E171" i="16" s="1"/>
  <c r="F171" i="16" s="1"/>
  <c r="G171" i="16" s="1"/>
  <c r="H171" i="16" s="1"/>
  <c r="I171" i="16" s="1"/>
  <c r="J171" i="16" s="1"/>
  <c r="K171" i="16" s="1"/>
  <c r="L171" i="16" s="1"/>
  <c r="M171" i="16" s="1"/>
  <c r="N171" i="16" s="1"/>
  <c r="O171" i="16" s="1"/>
  <c r="P171" i="16" s="1"/>
  <c r="Q171" i="16" s="1"/>
  <c r="R171" i="16" s="1"/>
  <c r="S171" i="16" s="1"/>
  <c r="T171" i="16" s="1"/>
  <c r="U171" i="16" s="1"/>
  <c r="V171" i="16" s="1"/>
  <c r="W171" i="16" s="1"/>
  <c r="X171" i="16" s="1"/>
  <c r="Y171" i="16" s="1"/>
  <c r="Z171" i="16" s="1"/>
  <c r="AA171" i="16" s="1"/>
  <c r="AB171" i="16" s="1"/>
  <c r="AC171" i="16" s="1"/>
  <c r="D154" i="16"/>
  <c r="E154" i="16" s="1"/>
  <c r="F154" i="16" s="1"/>
  <c r="G154" i="16" s="1"/>
  <c r="H154" i="16" s="1"/>
  <c r="I154" i="16" s="1"/>
  <c r="J154" i="16" s="1"/>
  <c r="K154" i="16" s="1"/>
  <c r="L154" i="16" s="1"/>
  <c r="M154" i="16" s="1"/>
  <c r="N154" i="16" s="1"/>
  <c r="O154" i="16" s="1"/>
  <c r="P154" i="16" s="1"/>
  <c r="Q154" i="16" s="1"/>
  <c r="R154" i="16" s="1"/>
  <c r="S154" i="16" s="1"/>
  <c r="T154" i="16" s="1"/>
  <c r="U154" i="16" s="1"/>
  <c r="V154" i="16" s="1"/>
  <c r="W154" i="16" s="1"/>
  <c r="X154" i="16" s="1"/>
  <c r="Y154" i="16" s="1"/>
  <c r="Z154" i="16" s="1"/>
  <c r="AA154" i="16" s="1"/>
  <c r="AB154" i="16" s="1"/>
  <c r="AC154" i="16" s="1"/>
  <c r="D170" i="16"/>
  <c r="E170" i="16" s="1"/>
  <c r="F170" i="16" s="1"/>
  <c r="G170" i="16" s="1"/>
  <c r="H170" i="16" s="1"/>
  <c r="I170" i="16" s="1"/>
  <c r="J170" i="16" s="1"/>
  <c r="K170" i="16" s="1"/>
  <c r="L170" i="16" s="1"/>
  <c r="M170" i="16" s="1"/>
  <c r="N170" i="16" s="1"/>
  <c r="O170" i="16" s="1"/>
  <c r="P170" i="16" s="1"/>
  <c r="Q170" i="16" s="1"/>
  <c r="R170" i="16" s="1"/>
  <c r="S170" i="16" s="1"/>
  <c r="T170" i="16" s="1"/>
  <c r="U170" i="16" s="1"/>
  <c r="V170" i="16" s="1"/>
  <c r="W170" i="16" s="1"/>
  <c r="X170" i="16" s="1"/>
  <c r="Y170" i="16" s="1"/>
  <c r="Z170" i="16" s="1"/>
  <c r="AA170" i="16" s="1"/>
  <c r="AB170" i="16" s="1"/>
  <c r="AC170" i="16" s="1"/>
  <c r="D162" i="16"/>
  <c r="E162" i="16" s="1"/>
  <c r="F162" i="16" s="1"/>
  <c r="G162" i="16" s="1"/>
  <c r="H162" i="16" s="1"/>
  <c r="I162" i="16" s="1"/>
  <c r="J162" i="16" s="1"/>
  <c r="K162" i="16" s="1"/>
  <c r="L162" i="16" s="1"/>
  <c r="M162" i="16" s="1"/>
  <c r="N162" i="16" s="1"/>
  <c r="O162" i="16" s="1"/>
  <c r="P162" i="16" s="1"/>
  <c r="Q162" i="16" s="1"/>
  <c r="R162" i="16" s="1"/>
  <c r="S162" i="16" s="1"/>
  <c r="T162" i="16" s="1"/>
  <c r="U162" i="16" s="1"/>
  <c r="V162" i="16" s="1"/>
  <c r="W162" i="16" s="1"/>
  <c r="X162" i="16" s="1"/>
  <c r="Y162" i="16" s="1"/>
  <c r="Z162" i="16" s="1"/>
  <c r="AA162" i="16" s="1"/>
  <c r="AB162" i="16" s="1"/>
  <c r="AC162" i="16" s="1"/>
  <c r="D165" i="16"/>
  <c r="E165" i="16" s="1"/>
  <c r="F165" i="16" s="1"/>
  <c r="G165" i="16" s="1"/>
  <c r="H165" i="16" s="1"/>
  <c r="I165" i="16" s="1"/>
  <c r="J165" i="16" s="1"/>
  <c r="K165" i="16" s="1"/>
  <c r="L165" i="16" s="1"/>
  <c r="M165" i="16" s="1"/>
  <c r="N165" i="16" s="1"/>
  <c r="O165" i="16" s="1"/>
  <c r="P165" i="16" s="1"/>
  <c r="Q165" i="16" s="1"/>
  <c r="R165" i="16" s="1"/>
  <c r="S165" i="16" s="1"/>
  <c r="T165" i="16" s="1"/>
  <c r="U165" i="16" s="1"/>
  <c r="V165" i="16" s="1"/>
  <c r="W165" i="16" s="1"/>
  <c r="X165" i="16" s="1"/>
  <c r="Y165" i="16" s="1"/>
  <c r="Z165" i="16" s="1"/>
  <c r="AA165" i="16" s="1"/>
  <c r="AB165" i="16" s="1"/>
  <c r="AC165" i="16" s="1"/>
  <c r="C7" i="2"/>
  <c r="B2" i="2"/>
  <c r="D151" i="16" l="1"/>
  <c r="E151" i="16" s="1"/>
  <c r="F151" i="16" s="1"/>
  <c r="G151" i="16" s="1"/>
  <c r="H151" i="16" s="1"/>
  <c r="I151" i="16" s="1"/>
  <c r="J151" i="16" s="1"/>
  <c r="K151" i="16" s="1"/>
  <c r="L151" i="16" s="1"/>
  <c r="M151" i="16" s="1"/>
  <c r="N151" i="16" s="1"/>
  <c r="O151" i="16" s="1"/>
  <c r="P151" i="16" s="1"/>
  <c r="Q151" i="16" s="1"/>
  <c r="R151" i="16" s="1"/>
  <c r="S151" i="16" s="1"/>
  <c r="T151" i="16" s="1"/>
  <c r="U151" i="16" s="1"/>
  <c r="V151" i="16" s="1"/>
  <c r="W151" i="16" s="1"/>
  <c r="X151" i="16" s="1"/>
  <c r="Y151" i="16" s="1"/>
  <c r="Z151" i="16" s="1"/>
  <c r="AA151" i="16" s="1"/>
  <c r="AB151" i="16" s="1"/>
  <c r="AC151" i="16" s="1"/>
  <c r="D150" i="16"/>
  <c r="E150" i="16" s="1"/>
  <c r="F150" i="16" s="1"/>
  <c r="G150" i="16" s="1"/>
  <c r="H150" i="16" s="1"/>
  <c r="I150" i="16" s="1"/>
  <c r="J150" i="16" s="1"/>
  <c r="K150" i="16" s="1"/>
  <c r="L150" i="16" s="1"/>
  <c r="M150" i="16" s="1"/>
  <c r="N150" i="16" s="1"/>
  <c r="O150" i="16" s="1"/>
  <c r="P150" i="16" s="1"/>
  <c r="Q150" i="16" s="1"/>
  <c r="R150" i="16" s="1"/>
  <c r="S150" i="16" s="1"/>
  <c r="T150" i="16" s="1"/>
  <c r="U150" i="16" s="1"/>
  <c r="V150" i="16" s="1"/>
  <c r="W150" i="16" s="1"/>
  <c r="X150" i="16" s="1"/>
  <c r="Y150" i="16" s="1"/>
  <c r="Z150" i="16" s="1"/>
  <c r="AA150" i="16" s="1"/>
  <c r="AB150" i="16" s="1"/>
  <c r="AC150" i="16" s="1"/>
  <c r="F108" i="16"/>
  <c r="D7" i="2"/>
  <c r="D115" i="16"/>
  <c r="B14" i="2"/>
  <c r="B15" i="2"/>
  <c r="D116" i="16"/>
  <c r="B16" i="2"/>
  <c r="D117" i="16"/>
  <c r="D118" i="16"/>
  <c r="B17" i="2"/>
  <c r="B18" i="2"/>
  <c r="D119" i="16"/>
  <c r="B19" i="2"/>
  <c r="D120" i="16"/>
  <c r="B20" i="2"/>
  <c r="D121" i="16"/>
  <c r="B21" i="2"/>
  <c r="D122" i="16"/>
  <c r="D123" i="16"/>
  <c r="B22" i="2"/>
  <c r="B23" i="2"/>
  <c r="D124" i="16"/>
  <c r="B24" i="2"/>
  <c r="D125" i="16"/>
  <c r="B25" i="2"/>
  <c r="D126" i="16"/>
  <c r="D130" i="16"/>
  <c r="B29" i="2"/>
  <c r="D109" i="16"/>
  <c r="B8" i="2"/>
  <c r="B9" i="2"/>
  <c r="D110" i="16"/>
  <c r="D111" i="16"/>
  <c r="B10" i="2"/>
  <c r="B11" i="2"/>
  <c r="D112" i="16"/>
  <c r="B12" i="2"/>
  <c r="D113" i="16"/>
  <c r="C2" i="2"/>
  <c r="E103" i="16"/>
  <c r="E7" i="2" l="1"/>
  <c r="G108" i="16"/>
  <c r="E115" i="16"/>
  <c r="C14" i="2"/>
  <c r="E116" i="16"/>
  <c r="C15" i="2"/>
  <c r="E117" i="16"/>
  <c r="C16" i="2"/>
  <c r="E118" i="16"/>
  <c r="C17" i="2"/>
  <c r="E119" i="16"/>
  <c r="C18" i="2"/>
  <c r="E120" i="16"/>
  <c r="C19" i="2"/>
  <c r="E121" i="16"/>
  <c r="C20" i="2"/>
  <c r="E122" i="16"/>
  <c r="C21" i="2"/>
  <c r="E123" i="16"/>
  <c r="C22" i="2"/>
  <c r="E124" i="16"/>
  <c r="C23" i="2"/>
  <c r="E125" i="16"/>
  <c r="C24" i="2"/>
  <c r="E126" i="16"/>
  <c r="C25" i="2"/>
  <c r="E130" i="16"/>
  <c r="C29" i="2"/>
  <c r="E109" i="16"/>
  <c r="C8" i="2"/>
  <c r="E110" i="16"/>
  <c r="C9" i="2"/>
  <c r="E111" i="16"/>
  <c r="C10" i="2"/>
  <c r="E112" i="16"/>
  <c r="C11" i="2"/>
  <c r="E113" i="16"/>
  <c r="C12" i="2"/>
  <c r="D2" i="2"/>
  <c r="F103" i="16"/>
  <c r="D149" i="16"/>
  <c r="E149" i="16" s="1"/>
  <c r="F149" i="16" s="1"/>
  <c r="G149" i="16" s="1"/>
  <c r="H149" i="16" s="1"/>
  <c r="I149" i="16" s="1"/>
  <c r="J149" i="16" s="1"/>
  <c r="K149" i="16" s="1"/>
  <c r="L149" i="16" s="1"/>
  <c r="M149" i="16" s="1"/>
  <c r="N149" i="16" s="1"/>
  <c r="O149" i="16" s="1"/>
  <c r="P149" i="16" s="1"/>
  <c r="Q149" i="16" s="1"/>
  <c r="R149" i="16" s="1"/>
  <c r="S149" i="16" s="1"/>
  <c r="T149" i="16" s="1"/>
  <c r="U149" i="16" s="1"/>
  <c r="V149" i="16" s="1"/>
  <c r="W149" i="16" s="1"/>
  <c r="X149" i="16" s="1"/>
  <c r="Y149" i="16" s="1"/>
  <c r="Z149" i="16" s="1"/>
  <c r="AA149" i="16" s="1"/>
  <c r="AB149" i="16" s="1"/>
  <c r="AC149" i="16" s="1"/>
  <c r="H108" i="16" l="1"/>
  <c r="F7" i="2"/>
  <c r="D14" i="2"/>
  <c r="F115" i="16"/>
  <c r="D15" i="2"/>
  <c r="F116" i="16"/>
  <c r="D16" i="2"/>
  <c r="F117" i="16"/>
  <c r="D17" i="2"/>
  <c r="F118" i="16"/>
  <c r="D18" i="2"/>
  <c r="F119" i="16"/>
  <c r="F120" i="16"/>
  <c r="D19" i="2"/>
  <c r="D20" i="2"/>
  <c r="F121" i="16"/>
  <c r="D21" i="2"/>
  <c r="F122" i="16"/>
  <c r="D22" i="2"/>
  <c r="F123" i="16"/>
  <c r="D23" i="2"/>
  <c r="F124" i="16"/>
  <c r="F125" i="16"/>
  <c r="D24" i="2"/>
  <c r="D25" i="2"/>
  <c r="F126" i="16"/>
  <c r="F130" i="16"/>
  <c r="D29" i="2"/>
  <c r="D8" i="2"/>
  <c r="F109" i="16"/>
  <c r="F110" i="16"/>
  <c r="D9" i="2"/>
  <c r="D10" i="2"/>
  <c r="F111" i="16"/>
  <c r="D11" i="2"/>
  <c r="F112" i="16"/>
  <c r="D12" i="2"/>
  <c r="F113" i="16"/>
  <c r="D104" i="16"/>
  <c r="B3" i="2"/>
  <c r="D105" i="16"/>
  <c r="B4" i="2"/>
  <c r="B5" i="2"/>
  <c r="D106" i="16"/>
  <c r="E2" i="2"/>
  <c r="G103" i="16"/>
  <c r="G7" i="2" l="1"/>
  <c r="I108" i="16"/>
  <c r="E14" i="2"/>
  <c r="G115" i="16"/>
  <c r="G116" i="16"/>
  <c r="E15" i="2"/>
  <c r="E16" i="2"/>
  <c r="G117" i="16"/>
  <c r="E17" i="2"/>
  <c r="G118" i="16"/>
  <c r="E18" i="2"/>
  <c r="G119" i="16"/>
  <c r="E19" i="2"/>
  <c r="G120" i="16"/>
  <c r="G121" i="16"/>
  <c r="E20" i="2"/>
  <c r="E21" i="2"/>
  <c r="G122" i="16"/>
  <c r="E22" i="2"/>
  <c r="G123" i="16"/>
  <c r="E23" i="2"/>
  <c r="G124" i="16"/>
  <c r="G125" i="16"/>
  <c r="E24" i="2"/>
  <c r="E25" i="2"/>
  <c r="G126" i="16"/>
  <c r="E29" i="2"/>
  <c r="G130" i="16"/>
  <c r="G109" i="16"/>
  <c r="E8" i="2"/>
  <c r="E9" i="2"/>
  <c r="G110" i="16"/>
  <c r="G111" i="16"/>
  <c r="E10" i="2"/>
  <c r="E11" i="2"/>
  <c r="G112" i="16"/>
  <c r="E12" i="2"/>
  <c r="G113" i="16"/>
  <c r="E104" i="16"/>
  <c r="C3" i="2"/>
  <c r="E105" i="16"/>
  <c r="C4" i="2"/>
  <c r="E106" i="16"/>
  <c r="C5" i="2"/>
  <c r="F2" i="2"/>
  <c r="H103" i="16"/>
  <c r="D49" i="16"/>
  <c r="H7" i="2" l="1"/>
  <c r="J108" i="16"/>
  <c r="F14" i="2"/>
  <c r="H115" i="16"/>
  <c r="H116" i="16"/>
  <c r="F15" i="2"/>
  <c r="F16" i="2"/>
  <c r="H117" i="16"/>
  <c r="F17" i="2"/>
  <c r="H118" i="16"/>
  <c r="F18" i="2"/>
  <c r="H119" i="16"/>
  <c r="F19" i="2"/>
  <c r="H120" i="16"/>
  <c r="F20" i="2"/>
  <c r="H121" i="16"/>
  <c r="F21" i="2"/>
  <c r="H122" i="16"/>
  <c r="F22" i="2"/>
  <c r="H123" i="16"/>
  <c r="H124" i="16"/>
  <c r="F23" i="2"/>
  <c r="F24" i="2"/>
  <c r="H125" i="16"/>
  <c r="F25" i="2"/>
  <c r="H126" i="16"/>
  <c r="H130" i="16"/>
  <c r="F29" i="2"/>
  <c r="F8" i="2"/>
  <c r="H109" i="16"/>
  <c r="F9" i="2"/>
  <c r="H110" i="16"/>
  <c r="F10" i="2"/>
  <c r="H111" i="16"/>
  <c r="F11" i="2"/>
  <c r="H112" i="16"/>
  <c r="H113" i="16"/>
  <c r="F12" i="2"/>
  <c r="F104" i="16"/>
  <c r="D3" i="2"/>
  <c r="D4" i="2"/>
  <c r="F105" i="16"/>
  <c r="D5" i="2"/>
  <c r="F106" i="16"/>
  <c r="G2" i="2"/>
  <c r="I103" i="16"/>
  <c r="E49" i="16"/>
  <c r="K108" i="16" l="1"/>
  <c r="I7" i="2"/>
  <c r="G14" i="2"/>
  <c r="I115" i="16"/>
  <c r="I116" i="16"/>
  <c r="G15" i="2"/>
  <c r="I117" i="16"/>
  <c r="G16" i="2"/>
  <c r="G17" i="2"/>
  <c r="I118" i="16"/>
  <c r="G18" i="2"/>
  <c r="I119" i="16"/>
  <c r="G19" i="2"/>
  <c r="I120" i="16"/>
  <c r="G20" i="2"/>
  <c r="I121" i="16"/>
  <c r="G21" i="2"/>
  <c r="I122" i="16"/>
  <c r="G22" i="2"/>
  <c r="I123" i="16"/>
  <c r="G23" i="2"/>
  <c r="I124" i="16"/>
  <c r="G24" i="2"/>
  <c r="I125" i="16"/>
  <c r="G25" i="2"/>
  <c r="I126" i="16"/>
  <c r="I130" i="16"/>
  <c r="G29" i="2"/>
  <c r="G8" i="2"/>
  <c r="I109" i="16"/>
  <c r="G9" i="2"/>
  <c r="I110" i="16"/>
  <c r="G10" i="2"/>
  <c r="I111" i="16"/>
  <c r="G11" i="2"/>
  <c r="I112" i="16"/>
  <c r="G12" i="2"/>
  <c r="I113" i="16"/>
  <c r="E3" i="2"/>
  <c r="G104" i="16"/>
  <c r="E4" i="2"/>
  <c r="G105" i="16"/>
  <c r="E5" i="2"/>
  <c r="G106" i="16"/>
  <c r="J103" i="16"/>
  <c r="H2" i="2"/>
  <c r="F49" i="16"/>
  <c r="L108" i="16" l="1"/>
  <c r="J7" i="2"/>
  <c r="H14" i="2"/>
  <c r="J115" i="16"/>
  <c r="J116" i="16"/>
  <c r="H15" i="2"/>
  <c r="J117" i="16"/>
  <c r="H16" i="2"/>
  <c r="H17" i="2"/>
  <c r="J118" i="16"/>
  <c r="H18" i="2"/>
  <c r="J119" i="16"/>
  <c r="H19" i="2"/>
  <c r="J120" i="16"/>
  <c r="H20" i="2"/>
  <c r="J121" i="16"/>
  <c r="H21" i="2"/>
  <c r="J122" i="16"/>
  <c r="H22" i="2"/>
  <c r="J123" i="16"/>
  <c r="H23" i="2"/>
  <c r="J124" i="16"/>
  <c r="H24" i="2"/>
  <c r="J125" i="16"/>
  <c r="H25" i="2"/>
  <c r="J126" i="16"/>
  <c r="H29" i="2"/>
  <c r="J130" i="16"/>
  <c r="H8" i="2"/>
  <c r="J109" i="16"/>
  <c r="H9" i="2"/>
  <c r="J110" i="16"/>
  <c r="H10" i="2"/>
  <c r="J111" i="16"/>
  <c r="J112" i="16"/>
  <c r="H11" i="2"/>
  <c r="H12" i="2"/>
  <c r="J113" i="16"/>
  <c r="H104" i="16"/>
  <c r="F3" i="2"/>
  <c r="F4" i="2"/>
  <c r="H105" i="16"/>
  <c r="F5" i="2"/>
  <c r="H106" i="16"/>
  <c r="I2" i="2"/>
  <c r="K103" i="16"/>
  <c r="G49" i="16"/>
  <c r="K7" i="2" l="1"/>
  <c r="M108" i="16"/>
  <c r="I14" i="2"/>
  <c r="K115" i="16"/>
  <c r="K116" i="16"/>
  <c r="I15" i="2"/>
  <c r="K117" i="16"/>
  <c r="I16" i="2"/>
  <c r="I17" i="2"/>
  <c r="K118" i="16"/>
  <c r="I18" i="2"/>
  <c r="K119" i="16"/>
  <c r="I19" i="2"/>
  <c r="K120" i="16"/>
  <c r="I20" i="2"/>
  <c r="K121" i="16"/>
  <c r="I21" i="2"/>
  <c r="K122" i="16"/>
  <c r="I22" i="2"/>
  <c r="K123" i="16"/>
  <c r="I23" i="2"/>
  <c r="K124" i="16"/>
  <c r="I24" i="2"/>
  <c r="K125" i="16"/>
  <c r="I25" i="2"/>
  <c r="K126" i="16"/>
  <c r="I29" i="2"/>
  <c r="K130" i="16"/>
  <c r="I8" i="2"/>
  <c r="K109" i="16"/>
  <c r="I9" i="2"/>
  <c r="K110" i="16"/>
  <c r="I10" i="2"/>
  <c r="K111" i="16"/>
  <c r="I11" i="2"/>
  <c r="K112" i="16"/>
  <c r="K113" i="16"/>
  <c r="I12" i="2"/>
  <c r="I104" i="16"/>
  <c r="G3" i="2"/>
  <c r="G4" i="2"/>
  <c r="I105" i="16"/>
  <c r="G5" i="2"/>
  <c r="I106" i="16"/>
  <c r="J2" i="2"/>
  <c r="L103" i="16"/>
  <c r="H49" i="16"/>
  <c r="C92" i="13"/>
  <c r="C99" i="16"/>
  <c r="C189" i="16" s="1"/>
  <c r="C98" i="16"/>
  <c r="C188" i="16" s="1"/>
  <c r="C91" i="13"/>
  <c r="C90" i="13"/>
  <c r="C97" i="16"/>
  <c r="C187" i="16" s="1"/>
  <c r="C89" i="13"/>
  <c r="C96" i="16"/>
  <c r="C186" i="16" s="1"/>
  <c r="C88" i="13"/>
  <c r="C95" i="16"/>
  <c r="C185" i="16" s="1"/>
  <c r="C87" i="13"/>
  <c r="C94" i="16"/>
  <c r="C184" i="16" s="1"/>
  <c r="C93" i="16"/>
  <c r="C183" i="16" s="1"/>
  <c r="C86" i="13"/>
  <c r="C92" i="16"/>
  <c r="C182" i="16" s="1"/>
  <c r="C85" i="13"/>
  <c r="C91" i="16"/>
  <c r="C181" i="16" s="1"/>
  <c r="C84" i="13"/>
  <c r="C83" i="13"/>
  <c r="C90" i="16"/>
  <c r="C180" i="16" s="1"/>
  <c r="C82" i="13"/>
  <c r="C89" i="16"/>
  <c r="C179" i="16" s="1"/>
  <c r="C81" i="13"/>
  <c r="C88" i="16"/>
  <c r="C178" i="16" s="1"/>
  <c r="C87" i="16"/>
  <c r="C177" i="16" s="1"/>
  <c r="C80" i="13"/>
  <c r="C79" i="13"/>
  <c r="C86" i="16"/>
  <c r="C176" i="16" s="1"/>
  <c r="C84" i="16"/>
  <c r="C174" i="16" s="1"/>
  <c r="C77" i="13"/>
  <c r="C83" i="16"/>
  <c r="C173" i="16" s="1"/>
  <c r="C76" i="13"/>
  <c r="C82" i="16"/>
  <c r="C172" i="16" s="1"/>
  <c r="C75" i="13"/>
  <c r="C62" i="13"/>
  <c r="C69" i="16"/>
  <c r="C159" i="16" s="1"/>
  <c r="C62" i="16"/>
  <c r="C152" i="16" s="1"/>
  <c r="C55" i="13"/>
  <c r="I92" i="13"/>
  <c r="J99" i="16" s="1"/>
  <c r="W92" i="13"/>
  <c r="X99" i="16" s="1"/>
  <c r="G92" i="13"/>
  <c r="H99" i="16" s="1"/>
  <c r="Y92" i="13"/>
  <c r="Z99" i="16" s="1"/>
  <c r="F92" i="13"/>
  <c r="G99" i="16" s="1"/>
  <c r="AA92" i="13"/>
  <c r="AB99" i="16" s="1"/>
  <c r="E92" i="13"/>
  <c r="F99" i="16" s="1"/>
  <c r="Z92" i="13"/>
  <c r="AA99" i="16" s="1"/>
  <c r="S92" i="13"/>
  <c r="T99" i="16" s="1"/>
  <c r="D92" i="13"/>
  <c r="E99" i="16" s="1"/>
  <c r="U92" i="13"/>
  <c r="V99" i="16" s="1"/>
  <c r="AB92" i="13"/>
  <c r="AC99" i="16" s="1"/>
  <c r="K92" i="13"/>
  <c r="L99" i="16" s="1"/>
  <c r="H92" i="13"/>
  <c r="I99" i="16" s="1"/>
  <c r="T92" i="13"/>
  <c r="U99" i="16" s="1"/>
  <c r="X92" i="13"/>
  <c r="Y99" i="16" s="1"/>
  <c r="R92" i="13"/>
  <c r="S99" i="16" s="1"/>
  <c r="N92" i="13"/>
  <c r="O99" i="16" s="1"/>
  <c r="L92" i="13"/>
  <c r="M99" i="16" s="1"/>
  <c r="J92" i="13"/>
  <c r="K99" i="16" s="1"/>
  <c r="V92" i="13"/>
  <c r="W99" i="16" s="1"/>
  <c r="Q92" i="13"/>
  <c r="R99" i="16" s="1"/>
  <c r="O92" i="13"/>
  <c r="P99" i="16" s="1"/>
  <c r="M92" i="13"/>
  <c r="N99" i="16" s="1"/>
  <c r="P92" i="13"/>
  <c r="Q99" i="16" s="1"/>
  <c r="N91" i="13"/>
  <c r="O98" i="16" s="1"/>
  <c r="I91" i="13"/>
  <c r="J98" i="16" s="1"/>
  <c r="AB91" i="13"/>
  <c r="AC98" i="16" s="1"/>
  <c r="D91" i="13"/>
  <c r="E98" i="16" s="1"/>
  <c r="T91" i="13"/>
  <c r="U98" i="16" s="1"/>
  <c r="S91" i="13"/>
  <c r="T98" i="16" s="1"/>
  <c r="V91" i="13"/>
  <c r="W98" i="16" s="1"/>
  <c r="K91" i="13"/>
  <c r="L98" i="16" s="1"/>
  <c r="F91" i="13"/>
  <c r="G98" i="16" s="1"/>
  <c r="E91" i="13"/>
  <c r="F98" i="16" s="1"/>
  <c r="X91" i="13"/>
  <c r="Y98" i="16" s="1"/>
  <c r="G91" i="13"/>
  <c r="H98" i="16" s="1"/>
  <c r="L91" i="13"/>
  <c r="M98" i="16" s="1"/>
  <c r="Z91" i="13"/>
  <c r="AA98" i="16" s="1"/>
  <c r="M91" i="13"/>
  <c r="N98" i="16" s="1"/>
  <c r="H91" i="13"/>
  <c r="I98" i="16" s="1"/>
  <c r="W91" i="13"/>
  <c r="X98" i="16" s="1"/>
  <c r="P91" i="13"/>
  <c r="Q98" i="16" s="1"/>
  <c r="U91" i="13"/>
  <c r="V98" i="16" s="1"/>
  <c r="R91" i="13"/>
  <c r="S98" i="16" s="1"/>
  <c r="Y91" i="13"/>
  <c r="Z98" i="16" s="1"/>
  <c r="O91" i="13"/>
  <c r="P98" i="16" s="1"/>
  <c r="AA91" i="13"/>
  <c r="AB98" i="16" s="1"/>
  <c r="Q91" i="13"/>
  <c r="R98" i="16" s="1"/>
  <c r="J91" i="13"/>
  <c r="K98" i="16" s="1"/>
  <c r="Q90" i="13"/>
  <c r="R97" i="16" s="1"/>
  <c r="M90" i="13"/>
  <c r="N97" i="16" s="1"/>
  <c r="AB90" i="13"/>
  <c r="AC97" i="16" s="1"/>
  <c r="O90" i="13"/>
  <c r="P97" i="16" s="1"/>
  <c r="P90" i="13"/>
  <c r="Q97" i="16" s="1"/>
  <c r="K90" i="13"/>
  <c r="L97" i="16" s="1"/>
  <c r="V90" i="13"/>
  <c r="W97" i="16" s="1"/>
  <c r="T90" i="13"/>
  <c r="U97" i="16" s="1"/>
  <c r="Y90" i="13"/>
  <c r="Z97" i="16" s="1"/>
  <c r="D90" i="13"/>
  <c r="E97" i="16" s="1"/>
  <c r="AA90" i="13"/>
  <c r="AB97" i="16" s="1"/>
  <c r="N90" i="13"/>
  <c r="O97" i="16" s="1"/>
  <c r="L90" i="13"/>
  <c r="M97" i="16" s="1"/>
  <c r="X90" i="13"/>
  <c r="Y97" i="16" s="1"/>
  <c r="G90" i="13"/>
  <c r="H97" i="16" s="1"/>
  <c r="E90" i="13"/>
  <c r="F97" i="16" s="1"/>
  <c r="H90" i="13"/>
  <c r="I97" i="16" s="1"/>
  <c r="J90" i="13"/>
  <c r="K97" i="16" s="1"/>
  <c r="Z90" i="13"/>
  <c r="AA97" i="16" s="1"/>
  <c r="F90" i="13"/>
  <c r="G97" i="16" s="1"/>
  <c r="I90" i="13"/>
  <c r="J97" i="16" s="1"/>
  <c r="U90" i="13"/>
  <c r="V97" i="16" s="1"/>
  <c r="S90" i="13"/>
  <c r="T97" i="16" s="1"/>
  <c r="W90" i="13"/>
  <c r="X97" i="16" s="1"/>
  <c r="R90" i="13"/>
  <c r="S97" i="16" s="1"/>
  <c r="AA89" i="13"/>
  <c r="AB96" i="16" s="1"/>
  <c r="X89" i="13"/>
  <c r="Y96" i="16" s="1"/>
  <c r="V89" i="13"/>
  <c r="W96" i="16" s="1"/>
  <c r="Z89" i="13"/>
  <c r="AA96" i="16" s="1"/>
  <c r="N89" i="13"/>
  <c r="O96" i="16" s="1"/>
  <c r="AB89" i="13"/>
  <c r="AC96" i="16" s="1"/>
  <c r="H89" i="13"/>
  <c r="I96" i="16" s="1"/>
  <c r="P89" i="13"/>
  <c r="Q96" i="16" s="1"/>
  <c r="R89" i="13"/>
  <c r="S96" i="16" s="1"/>
  <c r="T89" i="13"/>
  <c r="U96" i="16" s="1"/>
  <c r="J89" i="13"/>
  <c r="K96" i="16" s="1"/>
  <c r="Y89" i="13"/>
  <c r="Z96" i="16" s="1"/>
  <c r="S89" i="13"/>
  <c r="T96" i="16" s="1"/>
  <c r="Q89" i="13"/>
  <c r="R96" i="16" s="1"/>
  <c r="G89" i="13"/>
  <c r="H96" i="16" s="1"/>
  <c r="K89" i="13"/>
  <c r="L96" i="16" s="1"/>
  <c r="I89" i="13"/>
  <c r="J96" i="16" s="1"/>
  <c r="U89" i="13"/>
  <c r="V96" i="16" s="1"/>
  <c r="W89" i="13"/>
  <c r="X96" i="16" s="1"/>
  <c r="E89" i="13"/>
  <c r="F96" i="16" s="1"/>
  <c r="M89" i="13"/>
  <c r="N96" i="16" s="1"/>
  <c r="D89" i="13"/>
  <c r="E96" i="16" s="1"/>
  <c r="F89" i="13"/>
  <c r="G96" i="16" s="1"/>
  <c r="O89" i="13"/>
  <c r="P96" i="16" s="1"/>
  <c r="L89" i="13"/>
  <c r="M96" i="16" s="1"/>
  <c r="G88" i="13"/>
  <c r="H95" i="16" s="1"/>
  <c r="U88" i="13"/>
  <c r="V95" i="16" s="1"/>
  <c r="H88" i="13"/>
  <c r="I95" i="16" s="1"/>
  <c r="R88" i="13"/>
  <c r="S95" i="16" s="1"/>
  <c r="AB88" i="13"/>
  <c r="AC95" i="16" s="1"/>
  <c r="S88" i="13"/>
  <c r="T95" i="16" s="1"/>
  <c r="J88" i="13"/>
  <c r="K95" i="16" s="1"/>
  <c r="F88" i="13"/>
  <c r="G95" i="16" s="1"/>
  <c r="M88" i="13"/>
  <c r="N95" i="16" s="1"/>
  <c r="AA88" i="13"/>
  <c r="AB95" i="16" s="1"/>
  <c r="W88" i="13"/>
  <c r="X95" i="16" s="1"/>
  <c r="Y88" i="13"/>
  <c r="Z95" i="16" s="1"/>
  <c r="X88" i="13"/>
  <c r="Y95" i="16" s="1"/>
  <c r="T88" i="13"/>
  <c r="U95" i="16" s="1"/>
  <c r="O88" i="13"/>
  <c r="P95" i="16" s="1"/>
  <c r="Q88" i="13"/>
  <c r="R95" i="16" s="1"/>
  <c r="L88" i="13"/>
  <c r="M95" i="16" s="1"/>
  <c r="E88" i="13"/>
  <c r="F95" i="16" s="1"/>
  <c r="V88" i="13"/>
  <c r="W95" i="16" s="1"/>
  <c r="N88" i="13"/>
  <c r="O95" i="16" s="1"/>
  <c r="D88" i="13"/>
  <c r="E95" i="16" s="1"/>
  <c r="Z88" i="13"/>
  <c r="AA95" i="16" s="1"/>
  <c r="K88" i="13"/>
  <c r="L95" i="16" s="1"/>
  <c r="I88" i="13"/>
  <c r="J95" i="16" s="1"/>
  <c r="P88" i="13"/>
  <c r="Q95" i="16" s="1"/>
  <c r="I87" i="13"/>
  <c r="J94" i="16" s="1"/>
  <c r="L87" i="13"/>
  <c r="M94" i="16" s="1"/>
  <c r="AA87" i="13"/>
  <c r="AB94" i="16" s="1"/>
  <c r="N87" i="13"/>
  <c r="O94" i="16" s="1"/>
  <c r="G87" i="13"/>
  <c r="H94" i="16" s="1"/>
  <c r="H87" i="13"/>
  <c r="I94" i="16" s="1"/>
  <c r="U87" i="13"/>
  <c r="V94" i="16" s="1"/>
  <c r="S87" i="13"/>
  <c r="T94" i="16" s="1"/>
  <c r="E87" i="13"/>
  <c r="F94" i="16" s="1"/>
  <c r="Z87" i="13"/>
  <c r="AA94" i="16" s="1"/>
  <c r="M87" i="13"/>
  <c r="N94" i="16" s="1"/>
  <c r="P87" i="13"/>
  <c r="Q94" i="16" s="1"/>
  <c r="X87" i="13"/>
  <c r="Y94" i="16" s="1"/>
  <c r="K87" i="13"/>
  <c r="L94" i="16" s="1"/>
  <c r="W87" i="13"/>
  <c r="X94" i="16" s="1"/>
  <c r="R87" i="13"/>
  <c r="S94" i="16" s="1"/>
  <c r="O87" i="13"/>
  <c r="P94" i="16" s="1"/>
  <c r="J87" i="13"/>
  <c r="K94" i="16" s="1"/>
  <c r="F87" i="13"/>
  <c r="G94" i="16" s="1"/>
  <c r="D87" i="13"/>
  <c r="E94" i="16" s="1"/>
  <c r="AB87" i="13"/>
  <c r="AC94" i="16" s="1"/>
  <c r="V87" i="13"/>
  <c r="W94" i="16" s="1"/>
  <c r="T87" i="13"/>
  <c r="U94" i="16" s="1"/>
  <c r="Q87" i="13"/>
  <c r="R94" i="16" s="1"/>
  <c r="Y87" i="13"/>
  <c r="Z94" i="16" s="1"/>
  <c r="O86" i="13"/>
  <c r="P93" i="16" s="1"/>
  <c r="I86" i="13"/>
  <c r="J93" i="16" s="1"/>
  <c r="X86" i="13"/>
  <c r="Y93" i="16" s="1"/>
  <c r="W86" i="13"/>
  <c r="X93" i="16" s="1"/>
  <c r="G86" i="13"/>
  <c r="H93" i="16" s="1"/>
  <c r="Y86" i="13"/>
  <c r="Z93" i="16" s="1"/>
  <c r="V86" i="13"/>
  <c r="W93" i="16" s="1"/>
  <c r="AA86" i="13"/>
  <c r="AB93" i="16" s="1"/>
  <c r="Z86" i="13"/>
  <c r="AA93" i="16" s="1"/>
  <c r="Q86" i="13"/>
  <c r="R93" i="16" s="1"/>
  <c r="S86" i="13"/>
  <c r="T93" i="16" s="1"/>
  <c r="M86" i="13"/>
  <c r="N93" i="16" s="1"/>
  <c r="D86" i="13"/>
  <c r="E93" i="16" s="1"/>
  <c r="R86" i="13"/>
  <c r="S93" i="16" s="1"/>
  <c r="F86" i="13"/>
  <c r="G93" i="16" s="1"/>
  <c r="P86" i="13"/>
  <c r="Q93" i="16" s="1"/>
  <c r="AB86" i="13"/>
  <c r="AC93" i="16" s="1"/>
  <c r="L86" i="13"/>
  <c r="M93" i="16" s="1"/>
  <c r="E86" i="13"/>
  <c r="F93" i="16" s="1"/>
  <c r="J86" i="13"/>
  <c r="K93" i="16" s="1"/>
  <c r="H86" i="13"/>
  <c r="I93" i="16" s="1"/>
  <c r="T86" i="13"/>
  <c r="U93" i="16" s="1"/>
  <c r="N86" i="13"/>
  <c r="O93" i="16" s="1"/>
  <c r="K86" i="13"/>
  <c r="L93" i="16" s="1"/>
  <c r="U86" i="13"/>
  <c r="V93" i="16" s="1"/>
  <c r="S85" i="13"/>
  <c r="T92" i="16" s="1"/>
  <c r="AA85" i="13"/>
  <c r="AB92" i="16" s="1"/>
  <c r="Q85" i="13"/>
  <c r="R92" i="16" s="1"/>
  <c r="I85" i="13"/>
  <c r="J92" i="16" s="1"/>
  <c r="Z85" i="13"/>
  <c r="AA92" i="16" s="1"/>
  <c r="R85" i="13"/>
  <c r="S92" i="16" s="1"/>
  <c r="F85" i="13"/>
  <c r="G92" i="16" s="1"/>
  <c r="K85" i="13"/>
  <c r="L92" i="16" s="1"/>
  <c r="AB85" i="13"/>
  <c r="AC92" i="16" s="1"/>
  <c r="T85" i="13"/>
  <c r="U92" i="16" s="1"/>
  <c r="G85" i="13"/>
  <c r="H92" i="16" s="1"/>
  <c r="V85" i="13"/>
  <c r="W92" i="16" s="1"/>
  <c r="J85" i="13"/>
  <c r="K92" i="16" s="1"/>
  <c r="X85" i="13"/>
  <c r="Y92" i="16" s="1"/>
  <c r="U85" i="13"/>
  <c r="V92" i="16" s="1"/>
  <c r="L85" i="13"/>
  <c r="M92" i="16" s="1"/>
  <c r="N85" i="13"/>
  <c r="O92" i="16" s="1"/>
  <c r="E85" i="13"/>
  <c r="F92" i="16" s="1"/>
  <c r="P85" i="13"/>
  <c r="Q92" i="16" s="1"/>
  <c r="W85" i="13"/>
  <c r="X92" i="16" s="1"/>
  <c r="M85" i="13"/>
  <c r="N92" i="16" s="1"/>
  <c r="H85" i="13"/>
  <c r="I92" i="16" s="1"/>
  <c r="Y85" i="13"/>
  <c r="Z92" i="16" s="1"/>
  <c r="D85" i="13"/>
  <c r="E92" i="16" s="1"/>
  <c r="O85" i="13"/>
  <c r="P92" i="16" s="1"/>
  <c r="X84" i="13"/>
  <c r="Y91" i="16" s="1"/>
  <c r="AB84" i="13"/>
  <c r="AC91" i="16" s="1"/>
  <c r="K84" i="13"/>
  <c r="L91" i="16" s="1"/>
  <c r="Z84" i="13"/>
  <c r="AA91" i="16" s="1"/>
  <c r="W84" i="13"/>
  <c r="X91" i="16" s="1"/>
  <c r="M84" i="13"/>
  <c r="N91" i="16" s="1"/>
  <c r="E84" i="13"/>
  <c r="F91" i="16" s="1"/>
  <c r="T84" i="13"/>
  <c r="U91" i="16" s="1"/>
  <c r="H84" i="13"/>
  <c r="I91" i="16" s="1"/>
  <c r="R84" i="13"/>
  <c r="S91" i="16" s="1"/>
  <c r="P84" i="13"/>
  <c r="Q91" i="16" s="1"/>
  <c r="N84" i="13"/>
  <c r="O91" i="16" s="1"/>
  <c r="Y84" i="13"/>
  <c r="Z91" i="16" s="1"/>
  <c r="L84" i="13"/>
  <c r="M91" i="16" s="1"/>
  <c r="J84" i="13"/>
  <c r="K91" i="16" s="1"/>
  <c r="V84" i="13"/>
  <c r="W91" i="16" s="1"/>
  <c r="Q84" i="13"/>
  <c r="R91" i="16" s="1"/>
  <c r="I84" i="13"/>
  <c r="J91" i="16" s="1"/>
  <c r="O84" i="13"/>
  <c r="P91" i="16" s="1"/>
  <c r="G84" i="13"/>
  <c r="H91" i="16" s="1"/>
  <c r="AA84" i="13"/>
  <c r="AB91" i="16" s="1"/>
  <c r="F84" i="13"/>
  <c r="G91" i="16" s="1"/>
  <c r="D84" i="13"/>
  <c r="E91" i="16" s="1"/>
  <c r="S84" i="13"/>
  <c r="T91" i="16" s="1"/>
  <c r="U84" i="13"/>
  <c r="V91" i="16" s="1"/>
  <c r="G83" i="13"/>
  <c r="H90" i="16" s="1"/>
  <c r="T83" i="13"/>
  <c r="U90" i="16" s="1"/>
  <c r="M83" i="13"/>
  <c r="N90" i="16" s="1"/>
  <c r="U83" i="13"/>
  <c r="V90" i="16" s="1"/>
  <c r="X83" i="13"/>
  <c r="Y90" i="16" s="1"/>
  <c r="Z83" i="13"/>
  <c r="AA90" i="16" s="1"/>
  <c r="H83" i="13"/>
  <c r="I90" i="16" s="1"/>
  <c r="W83" i="13"/>
  <c r="X90" i="16" s="1"/>
  <c r="P83" i="13"/>
  <c r="Q90" i="16" s="1"/>
  <c r="R83" i="13"/>
  <c r="S90" i="16" s="1"/>
  <c r="Y83" i="13"/>
  <c r="Z90" i="16" s="1"/>
  <c r="Q83" i="13"/>
  <c r="R90" i="16" s="1"/>
  <c r="AB83" i="13"/>
  <c r="AC90" i="16" s="1"/>
  <c r="D83" i="13"/>
  <c r="E90" i="16" s="1"/>
  <c r="O83" i="13"/>
  <c r="P90" i="16" s="1"/>
  <c r="AA83" i="13"/>
  <c r="AB90" i="16" s="1"/>
  <c r="E83" i="13"/>
  <c r="F90" i="16" s="1"/>
  <c r="V83" i="13"/>
  <c r="W90" i="16" s="1"/>
  <c r="I83" i="13"/>
  <c r="J90" i="16" s="1"/>
  <c r="L83" i="13"/>
  <c r="M90" i="16" s="1"/>
  <c r="S83" i="13"/>
  <c r="T90" i="16" s="1"/>
  <c r="F83" i="13"/>
  <c r="G90" i="16" s="1"/>
  <c r="N83" i="13"/>
  <c r="O90" i="16" s="1"/>
  <c r="J83" i="13"/>
  <c r="K90" i="16" s="1"/>
  <c r="K83" i="13"/>
  <c r="L90" i="16" s="1"/>
  <c r="P82" i="13"/>
  <c r="Q89" i="16" s="1"/>
  <c r="F82" i="13"/>
  <c r="G89" i="16" s="1"/>
  <c r="H82" i="13"/>
  <c r="I89" i="16" s="1"/>
  <c r="Y82" i="13"/>
  <c r="Z89" i="16" s="1"/>
  <c r="J82" i="13"/>
  <c r="K89" i="16" s="1"/>
  <c r="R82" i="13"/>
  <c r="S89" i="16" s="1"/>
  <c r="U82" i="13"/>
  <c r="V89" i="16" s="1"/>
  <c r="W82" i="13"/>
  <c r="X89" i="16" s="1"/>
  <c r="V82" i="13"/>
  <c r="W89" i="16" s="1"/>
  <c r="AA82" i="13"/>
  <c r="AB89" i="16" s="1"/>
  <c r="S82" i="13"/>
  <c r="T89" i="16" s="1"/>
  <c r="I82" i="13"/>
  <c r="J89" i="16" s="1"/>
  <c r="M82" i="13"/>
  <c r="N89" i="16" s="1"/>
  <c r="Q82" i="13"/>
  <c r="R89" i="16" s="1"/>
  <c r="AB82" i="13"/>
  <c r="AC89" i="16" s="1"/>
  <c r="O82" i="13"/>
  <c r="P89" i="16" s="1"/>
  <c r="K82" i="13"/>
  <c r="L89" i="16" s="1"/>
  <c r="T82" i="13"/>
  <c r="U89" i="16" s="1"/>
  <c r="E82" i="13"/>
  <c r="F89" i="16" s="1"/>
  <c r="D82" i="13"/>
  <c r="E89" i="16" s="1"/>
  <c r="G82" i="13"/>
  <c r="H89" i="16" s="1"/>
  <c r="L82" i="13"/>
  <c r="M89" i="16" s="1"/>
  <c r="X82" i="13"/>
  <c r="Y89" i="16" s="1"/>
  <c r="N82" i="13"/>
  <c r="O89" i="16" s="1"/>
  <c r="Z82" i="13"/>
  <c r="AA89" i="16" s="1"/>
  <c r="AA81" i="13"/>
  <c r="AB88" i="16" s="1"/>
  <c r="J81" i="13"/>
  <c r="K88" i="16" s="1"/>
  <c r="Y81" i="13"/>
  <c r="Z88" i="16" s="1"/>
  <c r="L81" i="13"/>
  <c r="M88" i="16" s="1"/>
  <c r="X81" i="13"/>
  <c r="Y88" i="16" s="1"/>
  <c r="M81" i="13"/>
  <c r="N88" i="16" s="1"/>
  <c r="S81" i="13"/>
  <c r="T88" i="16" s="1"/>
  <c r="Q81" i="13"/>
  <c r="R88" i="16" s="1"/>
  <c r="O81" i="13"/>
  <c r="P88" i="16" s="1"/>
  <c r="K81" i="13"/>
  <c r="L88" i="16" s="1"/>
  <c r="W81" i="13"/>
  <c r="X88" i="16" s="1"/>
  <c r="I81" i="13"/>
  <c r="J88" i="16" s="1"/>
  <c r="E81" i="13"/>
  <c r="F88" i="16" s="1"/>
  <c r="U81" i="13"/>
  <c r="V88" i="16" s="1"/>
  <c r="V81" i="13"/>
  <c r="W88" i="16" s="1"/>
  <c r="N81" i="13"/>
  <c r="O88" i="16" s="1"/>
  <c r="G81" i="13"/>
  <c r="H88" i="16" s="1"/>
  <c r="H81" i="13"/>
  <c r="I88" i="16" s="1"/>
  <c r="F81" i="13"/>
  <c r="G88" i="16" s="1"/>
  <c r="Z81" i="13"/>
  <c r="AA88" i="16" s="1"/>
  <c r="P81" i="13"/>
  <c r="Q88" i="16" s="1"/>
  <c r="R81" i="13"/>
  <c r="S88" i="16" s="1"/>
  <c r="D81" i="13"/>
  <c r="E88" i="16" s="1"/>
  <c r="T81" i="13"/>
  <c r="U88" i="16" s="1"/>
  <c r="AB81" i="13"/>
  <c r="AC88" i="16" s="1"/>
  <c r="X80" i="13"/>
  <c r="Y87" i="16" s="1"/>
  <c r="L80" i="13"/>
  <c r="M87" i="16" s="1"/>
  <c r="W80" i="13"/>
  <c r="X87" i="16" s="1"/>
  <c r="Y80" i="13"/>
  <c r="Z87" i="16" s="1"/>
  <c r="D80" i="13"/>
  <c r="E87" i="16" s="1"/>
  <c r="O80" i="13"/>
  <c r="P87" i="16" s="1"/>
  <c r="K80" i="13"/>
  <c r="L87" i="16" s="1"/>
  <c r="Q80" i="13"/>
  <c r="R87" i="16" s="1"/>
  <c r="V80" i="13"/>
  <c r="W87" i="16" s="1"/>
  <c r="T80" i="13"/>
  <c r="U87" i="16" s="1"/>
  <c r="F80" i="13"/>
  <c r="G87" i="16" s="1"/>
  <c r="P80" i="13"/>
  <c r="Q87" i="16" s="1"/>
  <c r="N80" i="13"/>
  <c r="O87" i="16" s="1"/>
  <c r="Z80" i="13"/>
  <c r="AA87" i="16" s="1"/>
  <c r="AB80" i="13"/>
  <c r="AC87" i="16" s="1"/>
  <c r="U80" i="13"/>
  <c r="V87" i="16" s="1"/>
  <c r="S80" i="13"/>
  <c r="T87" i="16" s="1"/>
  <c r="AA80" i="13"/>
  <c r="AB87" i="16" s="1"/>
  <c r="H80" i="13"/>
  <c r="I87" i="16" s="1"/>
  <c r="R80" i="13"/>
  <c r="S87" i="16" s="1"/>
  <c r="G80" i="13"/>
  <c r="H87" i="16" s="1"/>
  <c r="E80" i="13"/>
  <c r="F87" i="16" s="1"/>
  <c r="M80" i="13"/>
  <c r="N87" i="16" s="1"/>
  <c r="J80" i="13"/>
  <c r="K87" i="16" s="1"/>
  <c r="I80" i="13"/>
  <c r="J87" i="16" s="1"/>
  <c r="Z79" i="13"/>
  <c r="AA86" i="16" s="1"/>
  <c r="F79" i="13"/>
  <c r="G86" i="16" s="1"/>
  <c r="O79" i="13"/>
  <c r="P86" i="16" s="1"/>
  <c r="Q79" i="13"/>
  <c r="R86" i="16" s="1"/>
  <c r="Y79" i="13"/>
  <c r="Z86" i="16" s="1"/>
  <c r="AB79" i="13"/>
  <c r="AC86" i="16" s="1"/>
  <c r="T79" i="13"/>
  <c r="U86" i="16" s="1"/>
  <c r="V79" i="13"/>
  <c r="W86" i="16" s="1"/>
  <c r="X79" i="13"/>
  <c r="Y86" i="16" s="1"/>
  <c r="L79" i="13"/>
  <c r="M86" i="16" s="1"/>
  <c r="AA79" i="13"/>
  <c r="AB86" i="16" s="1"/>
  <c r="I79" i="13"/>
  <c r="J86" i="16" s="1"/>
  <c r="N79" i="13"/>
  <c r="O86" i="16" s="1"/>
  <c r="E79" i="13"/>
  <c r="F86" i="16" s="1"/>
  <c r="U79" i="13"/>
  <c r="V86" i="16" s="1"/>
  <c r="S79" i="13"/>
  <c r="T86" i="16" s="1"/>
  <c r="M79" i="13"/>
  <c r="N86" i="16" s="1"/>
  <c r="P79" i="13"/>
  <c r="Q86" i="16" s="1"/>
  <c r="W79" i="13"/>
  <c r="X86" i="16" s="1"/>
  <c r="J79" i="13"/>
  <c r="K86" i="16" s="1"/>
  <c r="D79" i="13"/>
  <c r="E86" i="16" s="1"/>
  <c r="G79" i="13"/>
  <c r="H86" i="16" s="1"/>
  <c r="R79" i="13"/>
  <c r="S86" i="16" s="1"/>
  <c r="K79" i="13"/>
  <c r="L86" i="16" s="1"/>
  <c r="H79" i="13"/>
  <c r="I86" i="16" s="1"/>
  <c r="T77" i="13"/>
  <c r="U84" i="16" s="1"/>
  <c r="L77" i="13"/>
  <c r="M84" i="16" s="1"/>
  <c r="G77" i="13"/>
  <c r="H84" i="16" s="1"/>
  <c r="W77" i="13"/>
  <c r="X84" i="16" s="1"/>
  <c r="E77" i="13"/>
  <c r="F84" i="16" s="1"/>
  <c r="U77" i="13"/>
  <c r="V84" i="16" s="1"/>
  <c r="J77" i="13"/>
  <c r="K84" i="16" s="1"/>
  <c r="H77" i="13"/>
  <c r="I84" i="16" s="1"/>
  <c r="AB77" i="13"/>
  <c r="AC84" i="16" s="1"/>
  <c r="O77" i="13"/>
  <c r="P84" i="16" s="1"/>
  <c r="M77" i="13"/>
  <c r="N84" i="16" s="1"/>
  <c r="Y77" i="13"/>
  <c r="Z84" i="16" s="1"/>
  <c r="Q77" i="13"/>
  <c r="R84" i="16" s="1"/>
  <c r="AA77" i="13"/>
  <c r="AB84" i="16" s="1"/>
  <c r="S77" i="13"/>
  <c r="T84" i="16" s="1"/>
  <c r="F77" i="13"/>
  <c r="G84" i="16" s="1"/>
  <c r="R77" i="13"/>
  <c r="S84" i="16" s="1"/>
  <c r="V77" i="13"/>
  <c r="W84" i="16" s="1"/>
  <c r="K77" i="13"/>
  <c r="L84" i="16" s="1"/>
  <c r="X77" i="13"/>
  <c r="Y84" i="16" s="1"/>
  <c r="D77" i="13"/>
  <c r="E84" i="16" s="1"/>
  <c r="I77" i="13"/>
  <c r="J84" i="16" s="1"/>
  <c r="P77" i="13"/>
  <c r="Q84" i="16" s="1"/>
  <c r="N77" i="13"/>
  <c r="O84" i="16" s="1"/>
  <c r="Z77" i="13"/>
  <c r="AA84" i="16" s="1"/>
  <c r="Y76" i="13"/>
  <c r="Z83" i="16" s="1"/>
  <c r="AA76" i="13"/>
  <c r="AB83" i="16" s="1"/>
  <c r="G76" i="13"/>
  <c r="H83" i="16" s="1"/>
  <c r="R76" i="13"/>
  <c r="S83" i="16" s="1"/>
  <c r="I76" i="13"/>
  <c r="J83" i="16" s="1"/>
  <c r="F76" i="13"/>
  <c r="G83" i="16" s="1"/>
  <c r="S76" i="13"/>
  <c r="T83" i="16" s="1"/>
  <c r="D76" i="13"/>
  <c r="E83" i="16" s="1"/>
  <c r="U76" i="13"/>
  <c r="V83" i="16" s="1"/>
  <c r="T76" i="13"/>
  <c r="U83" i="16" s="1"/>
  <c r="Q76" i="13"/>
  <c r="R83" i="16" s="1"/>
  <c r="AB76" i="13"/>
  <c r="AC83" i="16" s="1"/>
  <c r="K76" i="13"/>
  <c r="L83" i="16" s="1"/>
  <c r="Z76" i="13"/>
  <c r="AA83" i="16" s="1"/>
  <c r="M76" i="13"/>
  <c r="N83" i="16" s="1"/>
  <c r="P76" i="13"/>
  <c r="Q83" i="16" s="1"/>
  <c r="L76" i="13"/>
  <c r="M83" i="16" s="1"/>
  <c r="J76" i="13"/>
  <c r="K83" i="16" s="1"/>
  <c r="V76" i="13"/>
  <c r="W83" i="16" s="1"/>
  <c r="O76" i="13"/>
  <c r="P83" i="16" s="1"/>
  <c r="X76" i="13"/>
  <c r="Y83" i="16" s="1"/>
  <c r="H76" i="13"/>
  <c r="I83" i="16" s="1"/>
  <c r="N76" i="13"/>
  <c r="O83" i="16" s="1"/>
  <c r="E76" i="13"/>
  <c r="F83" i="16" s="1"/>
  <c r="W76" i="13"/>
  <c r="X83" i="16" s="1"/>
  <c r="AB75" i="13"/>
  <c r="AC82" i="16" s="1"/>
  <c r="K75" i="13"/>
  <c r="L82" i="16" s="1"/>
  <c r="N75" i="13"/>
  <c r="O82" i="16" s="1"/>
  <c r="L75" i="13"/>
  <c r="M82" i="16" s="1"/>
  <c r="F75" i="13"/>
  <c r="G82" i="16" s="1"/>
  <c r="E75" i="13"/>
  <c r="F82" i="16" s="1"/>
  <c r="X75" i="13"/>
  <c r="Y82" i="16" s="1"/>
  <c r="V75" i="13"/>
  <c r="W82" i="16" s="1"/>
  <c r="U75" i="13"/>
  <c r="V82" i="16" s="1"/>
  <c r="P75" i="13"/>
  <c r="Q82" i="16" s="1"/>
  <c r="G75" i="13"/>
  <c r="H82" i="16" s="1"/>
  <c r="R75" i="13"/>
  <c r="S82" i="16" s="1"/>
  <c r="Q75" i="13"/>
  <c r="R82" i="16" s="1"/>
  <c r="O75" i="13"/>
  <c r="P82" i="16" s="1"/>
  <c r="Y75" i="13"/>
  <c r="Z82" i="16" s="1"/>
  <c r="H75" i="13"/>
  <c r="I82" i="16" s="1"/>
  <c r="W75" i="13"/>
  <c r="X82" i="16" s="1"/>
  <c r="J75" i="13"/>
  <c r="K82" i="16" s="1"/>
  <c r="I75" i="13"/>
  <c r="J82" i="16" s="1"/>
  <c r="M75" i="13"/>
  <c r="N82" i="16" s="1"/>
  <c r="T75" i="13"/>
  <c r="U82" i="16" s="1"/>
  <c r="AA75" i="13"/>
  <c r="AB82" i="16" s="1"/>
  <c r="Z75" i="13"/>
  <c r="AA82" i="16" s="1"/>
  <c r="S75" i="13"/>
  <c r="T82" i="16" s="1"/>
  <c r="D75" i="13"/>
  <c r="E82" i="16" s="1"/>
  <c r="M62" i="13"/>
  <c r="N69" i="16" s="1"/>
  <c r="Z62" i="13"/>
  <c r="AA69" i="16" s="1"/>
  <c r="G62" i="13"/>
  <c r="H69" i="16" s="1"/>
  <c r="I62" i="13"/>
  <c r="J69" i="16" s="1"/>
  <c r="P62" i="13"/>
  <c r="Q69" i="16" s="1"/>
  <c r="V62" i="13"/>
  <c r="W69" i="16" s="1"/>
  <c r="K62" i="13"/>
  <c r="L69" i="16" s="1"/>
  <c r="R62" i="13"/>
  <c r="S69" i="16" s="1"/>
  <c r="H62" i="13"/>
  <c r="I69" i="16" s="1"/>
  <c r="AB62" i="13"/>
  <c r="AC69" i="16" s="1"/>
  <c r="W62" i="13"/>
  <c r="X69" i="16" s="1"/>
  <c r="J62" i="13"/>
  <c r="K69" i="16" s="1"/>
  <c r="F62" i="13"/>
  <c r="G69" i="16" s="1"/>
  <c r="T62" i="13"/>
  <c r="U69" i="16" s="1"/>
  <c r="O62" i="13"/>
  <c r="P69" i="16" s="1"/>
  <c r="Y62" i="13"/>
  <c r="Z69" i="16" s="1"/>
  <c r="D62" i="13"/>
  <c r="E69" i="16" s="1"/>
  <c r="U62" i="13"/>
  <c r="V69" i="16" s="1"/>
  <c r="N62" i="13"/>
  <c r="O69" i="16" s="1"/>
  <c r="E62" i="13"/>
  <c r="F69" i="16" s="1"/>
  <c r="Q62" i="13"/>
  <c r="R69" i="16" s="1"/>
  <c r="AA62" i="13"/>
  <c r="AB69" i="16" s="1"/>
  <c r="L62" i="13"/>
  <c r="M69" i="16" s="1"/>
  <c r="S62" i="13"/>
  <c r="T69" i="16" s="1"/>
  <c r="X62" i="13"/>
  <c r="Y69" i="16" s="1"/>
  <c r="J55" i="13"/>
  <c r="K62" i="16" s="1"/>
  <c r="Z55" i="13"/>
  <c r="AA62" i="16" s="1"/>
  <c r="AB55" i="13"/>
  <c r="AC62" i="16" s="1"/>
  <c r="E55" i="13"/>
  <c r="F62" i="16" s="1"/>
  <c r="V55" i="13"/>
  <c r="W62" i="16" s="1"/>
  <c r="L55" i="13"/>
  <c r="M62" i="16" s="1"/>
  <c r="S55" i="13"/>
  <c r="T62" i="16" s="1"/>
  <c r="R55" i="13"/>
  <c r="S62" i="16" s="1"/>
  <c r="F55" i="13"/>
  <c r="G62" i="16" s="1"/>
  <c r="T55" i="13"/>
  <c r="U62" i="16" s="1"/>
  <c r="AA55" i="13"/>
  <c r="AB62" i="16" s="1"/>
  <c r="P55" i="13"/>
  <c r="Q62" i="16" s="1"/>
  <c r="N55" i="13"/>
  <c r="O62" i="16" s="1"/>
  <c r="U55" i="13"/>
  <c r="V62" i="16" s="1"/>
  <c r="D55" i="13"/>
  <c r="E62" i="16" s="1"/>
  <c r="I55" i="13"/>
  <c r="J62" i="16" s="1"/>
  <c r="M55" i="13"/>
  <c r="N62" i="16" s="1"/>
  <c r="K55" i="13"/>
  <c r="L62" i="16" s="1"/>
  <c r="W55" i="13"/>
  <c r="X62" i="16" s="1"/>
  <c r="Q55" i="13"/>
  <c r="R62" i="16" s="1"/>
  <c r="Y55" i="13"/>
  <c r="Z62" i="16" s="1"/>
  <c r="O55" i="13"/>
  <c r="P62" i="16" s="1"/>
  <c r="G55" i="13"/>
  <c r="H62" i="16" s="1"/>
  <c r="X55" i="13"/>
  <c r="Y62" i="16" s="1"/>
  <c r="H55" i="13"/>
  <c r="I62" i="16" s="1"/>
  <c r="D99" i="16" l="1"/>
  <c r="D46" i="16"/>
  <c r="E46" i="16" s="1"/>
  <c r="F46" i="16" s="1"/>
  <c r="G46" i="16" s="1"/>
  <c r="H46" i="16" s="1"/>
  <c r="I46" i="16" s="1"/>
  <c r="J46" i="16" s="1"/>
  <c r="K46" i="16" s="1"/>
  <c r="L46" i="16" s="1"/>
  <c r="M46" i="16" s="1"/>
  <c r="N46" i="16" s="1"/>
  <c r="O46" i="16" s="1"/>
  <c r="P46" i="16" s="1"/>
  <c r="Q46" i="16" s="1"/>
  <c r="R46" i="16" s="1"/>
  <c r="S46" i="16" s="1"/>
  <c r="T46" i="16" s="1"/>
  <c r="U46" i="16" s="1"/>
  <c r="V46" i="16" s="1"/>
  <c r="W46" i="16" s="1"/>
  <c r="X46" i="16" s="1"/>
  <c r="Y46" i="16" s="1"/>
  <c r="Z46" i="16" s="1"/>
  <c r="AA46" i="16" s="1"/>
  <c r="AB46" i="16" s="1"/>
  <c r="AC46" i="16" s="1"/>
  <c r="D98" i="16"/>
  <c r="D45" i="16"/>
  <c r="E45" i="16" s="1"/>
  <c r="F45" i="16" s="1"/>
  <c r="G45" i="16" s="1"/>
  <c r="H45" i="16" s="1"/>
  <c r="I45" i="16" s="1"/>
  <c r="J45" i="16" s="1"/>
  <c r="K45" i="16" s="1"/>
  <c r="L45" i="16" s="1"/>
  <c r="M45" i="16" s="1"/>
  <c r="N45" i="16" s="1"/>
  <c r="O45" i="16" s="1"/>
  <c r="P45" i="16" s="1"/>
  <c r="Q45" i="16" s="1"/>
  <c r="R45" i="16" s="1"/>
  <c r="S45" i="16" s="1"/>
  <c r="T45" i="16" s="1"/>
  <c r="U45" i="16" s="1"/>
  <c r="V45" i="16" s="1"/>
  <c r="W45" i="16" s="1"/>
  <c r="X45" i="16" s="1"/>
  <c r="Y45" i="16" s="1"/>
  <c r="Z45" i="16" s="1"/>
  <c r="AA45" i="16" s="1"/>
  <c r="AB45" i="16" s="1"/>
  <c r="AC45" i="16" s="1"/>
  <c r="D97" i="16"/>
  <c r="D44" i="16"/>
  <c r="E44" i="16" s="1"/>
  <c r="F44" i="16" s="1"/>
  <c r="G44" i="16" s="1"/>
  <c r="H44" i="16" s="1"/>
  <c r="I44" i="16" s="1"/>
  <c r="J44" i="16" s="1"/>
  <c r="K44" i="16" s="1"/>
  <c r="L44" i="16" s="1"/>
  <c r="M44" i="16" s="1"/>
  <c r="N44" i="16" s="1"/>
  <c r="O44" i="16" s="1"/>
  <c r="P44" i="16" s="1"/>
  <c r="Q44" i="16" s="1"/>
  <c r="R44" i="16" s="1"/>
  <c r="S44" i="16" s="1"/>
  <c r="T44" i="16" s="1"/>
  <c r="U44" i="16" s="1"/>
  <c r="V44" i="16" s="1"/>
  <c r="W44" i="16" s="1"/>
  <c r="X44" i="16" s="1"/>
  <c r="Y44" i="16" s="1"/>
  <c r="Z44" i="16" s="1"/>
  <c r="AA44" i="16" s="1"/>
  <c r="AB44" i="16" s="1"/>
  <c r="AC44" i="16" s="1"/>
  <c r="D96" i="16"/>
  <c r="D43" i="16"/>
  <c r="E43" i="16" s="1"/>
  <c r="F43" i="16" s="1"/>
  <c r="G43" i="16" s="1"/>
  <c r="H43" i="16" s="1"/>
  <c r="I43" i="16" s="1"/>
  <c r="J43" i="16" s="1"/>
  <c r="K43" i="16" s="1"/>
  <c r="L43" i="16" s="1"/>
  <c r="M43" i="16" s="1"/>
  <c r="N43" i="16" s="1"/>
  <c r="O43" i="16" s="1"/>
  <c r="P43" i="16" s="1"/>
  <c r="Q43" i="16" s="1"/>
  <c r="R43" i="16" s="1"/>
  <c r="S43" i="16" s="1"/>
  <c r="T43" i="16" s="1"/>
  <c r="U43" i="16" s="1"/>
  <c r="V43" i="16" s="1"/>
  <c r="W43" i="16" s="1"/>
  <c r="X43" i="16" s="1"/>
  <c r="Y43" i="16" s="1"/>
  <c r="Z43" i="16" s="1"/>
  <c r="AA43" i="16" s="1"/>
  <c r="AB43" i="16" s="1"/>
  <c r="AC43" i="16" s="1"/>
  <c r="D95" i="16"/>
  <c r="D42" i="16"/>
  <c r="E42" i="16" s="1"/>
  <c r="F42" i="16" s="1"/>
  <c r="G42" i="16" s="1"/>
  <c r="H42" i="16" s="1"/>
  <c r="I42" i="16" s="1"/>
  <c r="J42" i="16" s="1"/>
  <c r="K42" i="16" s="1"/>
  <c r="L42" i="16" s="1"/>
  <c r="M42" i="16" s="1"/>
  <c r="N42" i="16" s="1"/>
  <c r="O42" i="16" s="1"/>
  <c r="P42" i="16" s="1"/>
  <c r="Q42" i="16" s="1"/>
  <c r="R42" i="16" s="1"/>
  <c r="S42" i="16" s="1"/>
  <c r="T42" i="16" s="1"/>
  <c r="U42" i="16" s="1"/>
  <c r="V42" i="16" s="1"/>
  <c r="W42" i="16" s="1"/>
  <c r="X42" i="16" s="1"/>
  <c r="Y42" i="16" s="1"/>
  <c r="Z42" i="16" s="1"/>
  <c r="AA42" i="16" s="1"/>
  <c r="AB42" i="16" s="1"/>
  <c r="AC42" i="16" s="1"/>
  <c r="D94" i="16"/>
  <c r="D41" i="16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D93" i="16"/>
  <c r="D40" i="16"/>
  <c r="E40" i="16" s="1"/>
  <c r="F40" i="16" s="1"/>
  <c r="G40" i="16" s="1"/>
  <c r="H40" i="16" s="1"/>
  <c r="I40" i="16" s="1"/>
  <c r="J40" i="16" s="1"/>
  <c r="K40" i="16" s="1"/>
  <c r="L40" i="16" s="1"/>
  <c r="M40" i="16" s="1"/>
  <c r="N40" i="16" s="1"/>
  <c r="O40" i="16" s="1"/>
  <c r="P40" i="16" s="1"/>
  <c r="Q40" i="16" s="1"/>
  <c r="R40" i="16" s="1"/>
  <c r="S40" i="16" s="1"/>
  <c r="T40" i="16" s="1"/>
  <c r="U40" i="16" s="1"/>
  <c r="V40" i="16" s="1"/>
  <c r="W40" i="16" s="1"/>
  <c r="X40" i="16" s="1"/>
  <c r="Y40" i="16" s="1"/>
  <c r="Z40" i="16" s="1"/>
  <c r="AA40" i="16" s="1"/>
  <c r="AB40" i="16" s="1"/>
  <c r="AC40" i="16" s="1"/>
  <c r="D92" i="16"/>
  <c r="D39" i="16"/>
  <c r="E39" i="16" s="1"/>
  <c r="F39" i="16" s="1"/>
  <c r="G39" i="16" s="1"/>
  <c r="H39" i="16" s="1"/>
  <c r="I39" i="16" s="1"/>
  <c r="J39" i="16" s="1"/>
  <c r="K39" i="16" s="1"/>
  <c r="L39" i="16" s="1"/>
  <c r="M39" i="16" s="1"/>
  <c r="N39" i="16" s="1"/>
  <c r="O39" i="16" s="1"/>
  <c r="P39" i="16" s="1"/>
  <c r="Q39" i="16" s="1"/>
  <c r="R39" i="16" s="1"/>
  <c r="S39" i="16" s="1"/>
  <c r="T39" i="16" s="1"/>
  <c r="U39" i="16" s="1"/>
  <c r="V39" i="16" s="1"/>
  <c r="W39" i="16" s="1"/>
  <c r="X39" i="16" s="1"/>
  <c r="Y39" i="16" s="1"/>
  <c r="Z39" i="16" s="1"/>
  <c r="AA39" i="16" s="1"/>
  <c r="AB39" i="16" s="1"/>
  <c r="AC39" i="16" s="1"/>
  <c r="D91" i="16"/>
  <c r="D38" i="16"/>
  <c r="E38" i="16" s="1"/>
  <c r="F38" i="16" s="1"/>
  <c r="G38" i="16" s="1"/>
  <c r="H38" i="16" s="1"/>
  <c r="I38" i="16" s="1"/>
  <c r="J38" i="16" s="1"/>
  <c r="K38" i="16" s="1"/>
  <c r="L38" i="16" s="1"/>
  <c r="M38" i="16" s="1"/>
  <c r="N38" i="16" s="1"/>
  <c r="O38" i="16" s="1"/>
  <c r="P38" i="16" s="1"/>
  <c r="Q38" i="16" s="1"/>
  <c r="R38" i="16" s="1"/>
  <c r="S38" i="16" s="1"/>
  <c r="T38" i="16" s="1"/>
  <c r="U38" i="16" s="1"/>
  <c r="V38" i="16" s="1"/>
  <c r="W38" i="16" s="1"/>
  <c r="X38" i="16" s="1"/>
  <c r="Y38" i="16" s="1"/>
  <c r="Z38" i="16" s="1"/>
  <c r="AA38" i="16" s="1"/>
  <c r="AB38" i="16" s="1"/>
  <c r="AC38" i="16" s="1"/>
  <c r="D90" i="16"/>
  <c r="D37" i="16"/>
  <c r="E37" i="16" s="1"/>
  <c r="F37" i="16" s="1"/>
  <c r="G37" i="16" s="1"/>
  <c r="H37" i="16" s="1"/>
  <c r="I37" i="16" s="1"/>
  <c r="J37" i="16" s="1"/>
  <c r="K37" i="16" s="1"/>
  <c r="L37" i="16" s="1"/>
  <c r="M37" i="16" s="1"/>
  <c r="N37" i="16" s="1"/>
  <c r="O37" i="16" s="1"/>
  <c r="P37" i="16" s="1"/>
  <c r="Q37" i="16" s="1"/>
  <c r="R37" i="16" s="1"/>
  <c r="S37" i="16" s="1"/>
  <c r="T37" i="16" s="1"/>
  <c r="U37" i="16" s="1"/>
  <c r="V37" i="16" s="1"/>
  <c r="W37" i="16" s="1"/>
  <c r="X37" i="16" s="1"/>
  <c r="Y37" i="16" s="1"/>
  <c r="Z37" i="16" s="1"/>
  <c r="AA37" i="16" s="1"/>
  <c r="AB37" i="16" s="1"/>
  <c r="AC37" i="16" s="1"/>
  <c r="D89" i="16"/>
  <c r="D36" i="16"/>
  <c r="E36" i="16" s="1"/>
  <c r="F36" i="16" s="1"/>
  <c r="G36" i="16" s="1"/>
  <c r="H36" i="16" s="1"/>
  <c r="I36" i="16" s="1"/>
  <c r="J36" i="16" s="1"/>
  <c r="K36" i="16" s="1"/>
  <c r="L36" i="16" s="1"/>
  <c r="M36" i="16" s="1"/>
  <c r="N36" i="16" s="1"/>
  <c r="O36" i="16" s="1"/>
  <c r="P36" i="16" s="1"/>
  <c r="Q36" i="16" s="1"/>
  <c r="R36" i="16" s="1"/>
  <c r="S36" i="16" s="1"/>
  <c r="T36" i="16" s="1"/>
  <c r="U36" i="16" s="1"/>
  <c r="V36" i="16" s="1"/>
  <c r="W36" i="16" s="1"/>
  <c r="X36" i="16" s="1"/>
  <c r="Y36" i="16" s="1"/>
  <c r="Z36" i="16" s="1"/>
  <c r="AA36" i="16" s="1"/>
  <c r="AB36" i="16" s="1"/>
  <c r="AC36" i="16" s="1"/>
  <c r="D88" i="16"/>
  <c r="D35" i="16"/>
  <c r="E35" i="16" s="1"/>
  <c r="F35" i="16" s="1"/>
  <c r="G35" i="16" s="1"/>
  <c r="H35" i="16" s="1"/>
  <c r="I35" i="16" s="1"/>
  <c r="J35" i="16" s="1"/>
  <c r="K35" i="16" s="1"/>
  <c r="L35" i="16" s="1"/>
  <c r="M35" i="16" s="1"/>
  <c r="N35" i="16" s="1"/>
  <c r="O35" i="16" s="1"/>
  <c r="P35" i="16" s="1"/>
  <c r="Q35" i="16" s="1"/>
  <c r="R35" i="16" s="1"/>
  <c r="S35" i="16" s="1"/>
  <c r="T35" i="16" s="1"/>
  <c r="U35" i="16" s="1"/>
  <c r="V35" i="16" s="1"/>
  <c r="W35" i="16" s="1"/>
  <c r="X35" i="16" s="1"/>
  <c r="Y35" i="16" s="1"/>
  <c r="Z35" i="16" s="1"/>
  <c r="AA35" i="16" s="1"/>
  <c r="AB35" i="16" s="1"/>
  <c r="AC35" i="16" s="1"/>
  <c r="D87" i="16"/>
  <c r="D34" i="16"/>
  <c r="E34" i="16" s="1"/>
  <c r="F34" i="16" s="1"/>
  <c r="G34" i="16" s="1"/>
  <c r="H34" i="16" s="1"/>
  <c r="I34" i="16" s="1"/>
  <c r="J34" i="16" s="1"/>
  <c r="K34" i="16" s="1"/>
  <c r="L34" i="16" s="1"/>
  <c r="M34" i="16" s="1"/>
  <c r="N34" i="16" s="1"/>
  <c r="O34" i="16" s="1"/>
  <c r="P34" i="16" s="1"/>
  <c r="Q34" i="16" s="1"/>
  <c r="R34" i="16" s="1"/>
  <c r="S34" i="16" s="1"/>
  <c r="T34" i="16" s="1"/>
  <c r="U34" i="16" s="1"/>
  <c r="V34" i="16" s="1"/>
  <c r="W34" i="16" s="1"/>
  <c r="X34" i="16" s="1"/>
  <c r="Y34" i="16" s="1"/>
  <c r="Z34" i="16" s="1"/>
  <c r="AA34" i="16" s="1"/>
  <c r="AB34" i="16" s="1"/>
  <c r="AC34" i="16" s="1"/>
  <c r="D86" i="16"/>
  <c r="D33" i="16"/>
  <c r="E33" i="16" s="1"/>
  <c r="F33" i="16" s="1"/>
  <c r="G33" i="16" s="1"/>
  <c r="H33" i="16" s="1"/>
  <c r="I33" i="16" s="1"/>
  <c r="J33" i="16" s="1"/>
  <c r="K33" i="16" s="1"/>
  <c r="L33" i="16" s="1"/>
  <c r="M33" i="16" s="1"/>
  <c r="N33" i="16" s="1"/>
  <c r="O33" i="16" s="1"/>
  <c r="P33" i="16" s="1"/>
  <c r="Q33" i="16" s="1"/>
  <c r="R33" i="16" s="1"/>
  <c r="S33" i="16" s="1"/>
  <c r="T33" i="16" s="1"/>
  <c r="U33" i="16" s="1"/>
  <c r="V33" i="16" s="1"/>
  <c r="W33" i="16" s="1"/>
  <c r="X33" i="16" s="1"/>
  <c r="Y33" i="16" s="1"/>
  <c r="Z33" i="16" s="1"/>
  <c r="AA33" i="16" s="1"/>
  <c r="AB33" i="16" s="1"/>
  <c r="AC33" i="16" s="1"/>
  <c r="D84" i="16"/>
  <c r="D31" i="16"/>
  <c r="E31" i="16" s="1"/>
  <c r="F31" i="16" s="1"/>
  <c r="G31" i="16" s="1"/>
  <c r="H31" i="16" s="1"/>
  <c r="I31" i="16" s="1"/>
  <c r="J31" i="16" s="1"/>
  <c r="K31" i="16" s="1"/>
  <c r="L31" i="16" s="1"/>
  <c r="M31" i="16" s="1"/>
  <c r="N31" i="16" s="1"/>
  <c r="O31" i="16" s="1"/>
  <c r="P31" i="16" s="1"/>
  <c r="Q31" i="16" s="1"/>
  <c r="R31" i="16" s="1"/>
  <c r="S31" i="16" s="1"/>
  <c r="T31" i="16" s="1"/>
  <c r="U31" i="16" s="1"/>
  <c r="V31" i="16" s="1"/>
  <c r="W31" i="16" s="1"/>
  <c r="X31" i="16" s="1"/>
  <c r="Y31" i="16" s="1"/>
  <c r="Z31" i="16" s="1"/>
  <c r="AA31" i="16" s="1"/>
  <c r="AB31" i="16" s="1"/>
  <c r="AC31" i="16" s="1"/>
  <c r="D83" i="16"/>
  <c r="D30" i="16"/>
  <c r="E30" i="16" s="1"/>
  <c r="F30" i="16" s="1"/>
  <c r="G30" i="16" s="1"/>
  <c r="H30" i="16" s="1"/>
  <c r="I30" i="16" s="1"/>
  <c r="J30" i="16" s="1"/>
  <c r="K30" i="16" s="1"/>
  <c r="L30" i="16" s="1"/>
  <c r="M30" i="16" s="1"/>
  <c r="N30" i="16" s="1"/>
  <c r="O30" i="16" s="1"/>
  <c r="P30" i="16" s="1"/>
  <c r="Q30" i="16" s="1"/>
  <c r="R30" i="16" s="1"/>
  <c r="S30" i="16" s="1"/>
  <c r="T30" i="16" s="1"/>
  <c r="U30" i="16" s="1"/>
  <c r="V30" i="16" s="1"/>
  <c r="W30" i="16" s="1"/>
  <c r="X30" i="16" s="1"/>
  <c r="Y30" i="16" s="1"/>
  <c r="Z30" i="16" s="1"/>
  <c r="AA30" i="16" s="1"/>
  <c r="AB30" i="16" s="1"/>
  <c r="AC30" i="16" s="1"/>
  <c r="D82" i="16"/>
  <c r="D29" i="16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D69" i="16"/>
  <c r="D16" i="16"/>
  <c r="E16" i="16" s="1"/>
  <c r="F16" i="16" s="1"/>
  <c r="G16" i="16" s="1"/>
  <c r="H16" i="16" s="1"/>
  <c r="I16" i="16" s="1"/>
  <c r="J16" i="16" s="1"/>
  <c r="K16" i="16" s="1"/>
  <c r="L16" i="16" s="1"/>
  <c r="M16" i="16" s="1"/>
  <c r="N16" i="16" s="1"/>
  <c r="O16" i="16" s="1"/>
  <c r="P16" i="16" s="1"/>
  <c r="Q16" i="16" s="1"/>
  <c r="R16" i="16" s="1"/>
  <c r="S16" i="16" s="1"/>
  <c r="T16" i="16" s="1"/>
  <c r="U16" i="16" s="1"/>
  <c r="V16" i="16" s="1"/>
  <c r="W16" i="16" s="1"/>
  <c r="X16" i="16" s="1"/>
  <c r="Y16" i="16" s="1"/>
  <c r="Z16" i="16" s="1"/>
  <c r="AA16" i="16" s="1"/>
  <c r="AB16" i="16" s="1"/>
  <c r="AC16" i="16" s="1"/>
  <c r="D62" i="16"/>
  <c r="D9" i="16"/>
  <c r="E9" i="16" s="1"/>
  <c r="F9" i="16" s="1"/>
  <c r="G9" i="16" s="1"/>
  <c r="H9" i="16" s="1"/>
  <c r="I9" i="16" s="1"/>
  <c r="J9" i="16" s="1"/>
  <c r="K9" i="16" s="1"/>
  <c r="L9" i="16" s="1"/>
  <c r="M9" i="16" s="1"/>
  <c r="N9" i="16" s="1"/>
  <c r="O9" i="16" s="1"/>
  <c r="P9" i="16" s="1"/>
  <c r="Q9" i="16" s="1"/>
  <c r="R9" i="16" s="1"/>
  <c r="S9" i="16" s="1"/>
  <c r="T9" i="16" s="1"/>
  <c r="U9" i="16" s="1"/>
  <c r="V9" i="16" s="1"/>
  <c r="W9" i="16" s="1"/>
  <c r="X9" i="16" s="1"/>
  <c r="Y9" i="16" s="1"/>
  <c r="Z9" i="16" s="1"/>
  <c r="AA9" i="16" s="1"/>
  <c r="AB9" i="16" s="1"/>
  <c r="AC9" i="16" s="1"/>
  <c r="N108" i="16"/>
  <c r="L7" i="2"/>
  <c r="J14" i="2"/>
  <c r="L115" i="16"/>
  <c r="J15" i="2"/>
  <c r="L116" i="16"/>
  <c r="L117" i="16"/>
  <c r="J16" i="2"/>
  <c r="J17" i="2"/>
  <c r="L118" i="16"/>
  <c r="J18" i="2"/>
  <c r="L119" i="16"/>
  <c r="L120" i="16"/>
  <c r="J19" i="2"/>
  <c r="J20" i="2"/>
  <c r="L121" i="16"/>
  <c r="J21" i="2"/>
  <c r="L122" i="16"/>
  <c r="L123" i="16"/>
  <c r="J22" i="2"/>
  <c r="J23" i="2"/>
  <c r="L124" i="16"/>
  <c r="J24" i="2"/>
  <c r="L125" i="16"/>
  <c r="J25" i="2"/>
  <c r="L126" i="16"/>
  <c r="L130" i="16"/>
  <c r="J29" i="2"/>
  <c r="J8" i="2"/>
  <c r="L109" i="16"/>
  <c r="L110" i="16"/>
  <c r="J9" i="2"/>
  <c r="J10" i="2"/>
  <c r="L111" i="16"/>
  <c r="J11" i="2"/>
  <c r="L112" i="16"/>
  <c r="J12" i="2"/>
  <c r="L113" i="16"/>
  <c r="H3" i="2"/>
  <c r="J104" i="16"/>
  <c r="J105" i="16"/>
  <c r="H4" i="2"/>
  <c r="J106" i="16"/>
  <c r="H5" i="2"/>
  <c r="M103" i="16"/>
  <c r="K2" i="2"/>
  <c r="I49" i="16"/>
  <c r="D189" i="16" l="1"/>
  <c r="E189" i="16" s="1"/>
  <c r="F189" i="16" s="1"/>
  <c r="G189" i="16" s="1"/>
  <c r="H189" i="16" s="1"/>
  <c r="I189" i="16" s="1"/>
  <c r="J189" i="16" s="1"/>
  <c r="K189" i="16" s="1"/>
  <c r="L189" i="16" s="1"/>
  <c r="M189" i="16" s="1"/>
  <c r="N189" i="16" s="1"/>
  <c r="O189" i="16" s="1"/>
  <c r="P189" i="16" s="1"/>
  <c r="Q189" i="16" s="1"/>
  <c r="R189" i="16" s="1"/>
  <c r="S189" i="16" s="1"/>
  <c r="T189" i="16" s="1"/>
  <c r="U189" i="16" s="1"/>
  <c r="V189" i="16" s="1"/>
  <c r="W189" i="16" s="1"/>
  <c r="X189" i="16" s="1"/>
  <c r="Y189" i="16" s="1"/>
  <c r="Z189" i="16" s="1"/>
  <c r="AA189" i="16" s="1"/>
  <c r="AB189" i="16" s="1"/>
  <c r="AC189" i="16" s="1"/>
  <c r="D152" i="16"/>
  <c r="E152" i="16" s="1"/>
  <c r="F152" i="16" s="1"/>
  <c r="G152" i="16" s="1"/>
  <c r="H152" i="16" s="1"/>
  <c r="I152" i="16" s="1"/>
  <c r="J152" i="16" s="1"/>
  <c r="K152" i="16" s="1"/>
  <c r="L152" i="16" s="1"/>
  <c r="M152" i="16" s="1"/>
  <c r="N152" i="16" s="1"/>
  <c r="O152" i="16" s="1"/>
  <c r="P152" i="16" s="1"/>
  <c r="Q152" i="16" s="1"/>
  <c r="R152" i="16" s="1"/>
  <c r="S152" i="16" s="1"/>
  <c r="T152" i="16" s="1"/>
  <c r="U152" i="16" s="1"/>
  <c r="V152" i="16" s="1"/>
  <c r="W152" i="16" s="1"/>
  <c r="X152" i="16" s="1"/>
  <c r="Y152" i="16" s="1"/>
  <c r="Z152" i="16" s="1"/>
  <c r="AA152" i="16" s="1"/>
  <c r="AB152" i="16" s="1"/>
  <c r="AC152" i="16" s="1"/>
  <c r="D159" i="16"/>
  <c r="E159" i="16" s="1"/>
  <c r="F159" i="16" s="1"/>
  <c r="G159" i="16" s="1"/>
  <c r="H159" i="16" s="1"/>
  <c r="I159" i="16" s="1"/>
  <c r="J159" i="16" s="1"/>
  <c r="K159" i="16" s="1"/>
  <c r="L159" i="16" s="1"/>
  <c r="M159" i="16" s="1"/>
  <c r="N159" i="16" s="1"/>
  <c r="O159" i="16" s="1"/>
  <c r="P159" i="16" s="1"/>
  <c r="Q159" i="16" s="1"/>
  <c r="R159" i="16" s="1"/>
  <c r="S159" i="16" s="1"/>
  <c r="T159" i="16" s="1"/>
  <c r="U159" i="16" s="1"/>
  <c r="V159" i="16" s="1"/>
  <c r="W159" i="16" s="1"/>
  <c r="X159" i="16" s="1"/>
  <c r="Y159" i="16" s="1"/>
  <c r="Z159" i="16" s="1"/>
  <c r="AA159" i="16" s="1"/>
  <c r="AB159" i="16" s="1"/>
  <c r="AC159" i="16" s="1"/>
  <c r="D172" i="16"/>
  <c r="E172" i="16" s="1"/>
  <c r="F172" i="16" s="1"/>
  <c r="G172" i="16" s="1"/>
  <c r="H172" i="16" s="1"/>
  <c r="I172" i="16" s="1"/>
  <c r="J172" i="16" s="1"/>
  <c r="K172" i="16" s="1"/>
  <c r="L172" i="16" s="1"/>
  <c r="M172" i="16" s="1"/>
  <c r="N172" i="16" s="1"/>
  <c r="O172" i="16" s="1"/>
  <c r="P172" i="16" s="1"/>
  <c r="Q172" i="16" s="1"/>
  <c r="R172" i="16" s="1"/>
  <c r="S172" i="16" s="1"/>
  <c r="T172" i="16" s="1"/>
  <c r="U172" i="16" s="1"/>
  <c r="V172" i="16" s="1"/>
  <c r="W172" i="16" s="1"/>
  <c r="X172" i="16" s="1"/>
  <c r="Y172" i="16" s="1"/>
  <c r="Z172" i="16" s="1"/>
  <c r="AA172" i="16" s="1"/>
  <c r="AB172" i="16" s="1"/>
  <c r="AC172" i="16" s="1"/>
  <c r="D173" i="16"/>
  <c r="E173" i="16" s="1"/>
  <c r="F173" i="16" s="1"/>
  <c r="G173" i="16" s="1"/>
  <c r="H173" i="16" s="1"/>
  <c r="I173" i="16" s="1"/>
  <c r="J173" i="16" s="1"/>
  <c r="K173" i="16" s="1"/>
  <c r="L173" i="16" s="1"/>
  <c r="M173" i="16" s="1"/>
  <c r="N173" i="16" s="1"/>
  <c r="O173" i="16" s="1"/>
  <c r="P173" i="16" s="1"/>
  <c r="Q173" i="16" s="1"/>
  <c r="R173" i="16" s="1"/>
  <c r="S173" i="16" s="1"/>
  <c r="T173" i="16" s="1"/>
  <c r="U173" i="16" s="1"/>
  <c r="V173" i="16" s="1"/>
  <c r="W173" i="16" s="1"/>
  <c r="X173" i="16" s="1"/>
  <c r="Y173" i="16" s="1"/>
  <c r="Z173" i="16" s="1"/>
  <c r="AA173" i="16" s="1"/>
  <c r="AB173" i="16" s="1"/>
  <c r="AC173" i="16" s="1"/>
  <c r="D174" i="16"/>
  <c r="E174" i="16" s="1"/>
  <c r="F174" i="16" s="1"/>
  <c r="G174" i="16" s="1"/>
  <c r="H174" i="16" s="1"/>
  <c r="I174" i="16" s="1"/>
  <c r="J174" i="16" s="1"/>
  <c r="K174" i="16" s="1"/>
  <c r="L174" i="16" s="1"/>
  <c r="M174" i="16" s="1"/>
  <c r="N174" i="16" s="1"/>
  <c r="O174" i="16" s="1"/>
  <c r="P174" i="16" s="1"/>
  <c r="Q174" i="16" s="1"/>
  <c r="R174" i="16" s="1"/>
  <c r="S174" i="16" s="1"/>
  <c r="T174" i="16" s="1"/>
  <c r="U174" i="16" s="1"/>
  <c r="V174" i="16" s="1"/>
  <c r="W174" i="16" s="1"/>
  <c r="X174" i="16" s="1"/>
  <c r="Y174" i="16" s="1"/>
  <c r="Z174" i="16" s="1"/>
  <c r="AA174" i="16" s="1"/>
  <c r="AB174" i="16" s="1"/>
  <c r="AC174" i="16" s="1"/>
  <c r="D176" i="16"/>
  <c r="E176" i="16" s="1"/>
  <c r="F176" i="16" s="1"/>
  <c r="G176" i="16" s="1"/>
  <c r="H176" i="16" s="1"/>
  <c r="I176" i="16" s="1"/>
  <c r="J176" i="16" s="1"/>
  <c r="K176" i="16" s="1"/>
  <c r="L176" i="16" s="1"/>
  <c r="M176" i="16" s="1"/>
  <c r="N176" i="16" s="1"/>
  <c r="O176" i="16" s="1"/>
  <c r="P176" i="16" s="1"/>
  <c r="Q176" i="16" s="1"/>
  <c r="R176" i="16" s="1"/>
  <c r="S176" i="16" s="1"/>
  <c r="T176" i="16" s="1"/>
  <c r="U176" i="16" s="1"/>
  <c r="V176" i="16" s="1"/>
  <c r="W176" i="16" s="1"/>
  <c r="X176" i="16" s="1"/>
  <c r="Y176" i="16" s="1"/>
  <c r="Z176" i="16" s="1"/>
  <c r="AA176" i="16" s="1"/>
  <c r="AB176" i="16" s="1"/>
  <c r="AC176" i="16" s="1"/>
  <c r="D177" i="16"/>
  <c r="E177" i="16" s="1"/>
  <c r="F177" i="16" s="1"/>
  <c r="G177" i="16" s="1"/>
  <c r="H177" i="16" s="1"/>
  <c r="I177" i="16" s="1"/>
  <c r="J177" i="16" s="1"/>
  <c r="K177" i="16" s="1"/>
  <c r="L177" i="16" s="1"/>
  <c r="M177" i="16" s="1"/>
  <c r="N177" i="16" s="1"/>
  <c r="O177" i="16" s="1"/>
  <c r="P177" i="16" s="1"/>
  <c r="Q177" i="16" s="1"/>
  <c r="R177" i="16" s="1"/>
  <c r="S177" i="16" s="1"/>
  <c r="T177" i="16" s="1"/>
  <c r="U177" i="16" s="1"/>
  <c r="V177" i="16" s="1"/>
  <c r="W177" i="16" s="1"/>
  <c r="X177" i="16" s="1"/>
  <c r="Y177" i="16" s="1"/>
  <c r="Z177" i="16" s="1"/>
  <c r="AA177" i="16" s="1"/>
  <c r="AB177" i="16" s="1"/>
  <c r="AC177" i="16" s="1"/>
  <c r="D178" i="16"/>
  <c r="E178" i="16" s="1"/>
  <c r="F178" i="16" s="1"/>
  <c r="G178" i="16" s="1"/>
  <c r="H178" i="16" s="1"/>
  <c r="I178" i="16" s="1"/>
  <c r="J178" i="16" s="1"/>
  <c r="K178" i="16" s="1"/>
  <c r="L178" i="16" s="1"/>
  <c r="M178" i="16" s="1"/>
  <c r="N178" i="16" s="1"/>
  <c r="O178" i="16" s="1"/>
  <c r="P178" i="16" s="1"/>
  <c r="Q178" i="16" s="1"/>
  <c r="R178" i="16" s="1"/>
  <c r="S178" i="16" s="1"/>
  <c r="T178" i="16" s="1"/>
  <c r="U178" i="16" s="1"/>
  <c r="V178" i="16" s="1"/>
  <c r="W178" i="16" s="1"/>
  <c r="X178" i="16" s="1"/>
  <c r="Y178" i="16" s="1"/>
  <c r="Z178" i="16" s="1"/>
  <c r="AA178" i="16" s="1"/>
  <c r="AB178" i="16" s="1"/>
  <c r="AC178" i="16" s="1"/>
  <c r="D179" i="16"/>
  <c r="E179" i="16" s="1"/>
  <c r="F179" i="16" s="1"/>
  <c r="G179" i="16" s="1"/>
  <c r="H179" i="16" s="1"/>
  <c r="I179" i="16" s="1"/>
  <c r="J179" i="16" s="1"/>
  <c r="K179" i="16" s="1"/>
  <c r="L179" i="16" s="1"/>
  <c r="M179" i="16" s="1"/>
  <c r="N179" i="16" s="1"/>
  <c r="O179" i="16" s="1"/>
  <c r="P179" i="16" s="1"/>
  <c r="Q179" i="16" s="1"/>
  <c r="R179" i="16" s="1"/>
  <c r="S179" i="16" s="1"/>
  <c r="T179" i="16" s="1"/>
  <c r="U179" i="16" s="1"/>
  <c r="V179" i="16" s="1"/>
  <c r="W179" i="16" s="1"/>
  <c r="X179" i="16" s="1"/>
  <c r="Y179" i="16" s="1"/>
  <c r="Z179" i="16" s="1"/>
  <c r="AA179" i="16" s="1"/>
  <c r="AB179" i="16" s="1"/>
  <c r="AC179" i="16" s="1"/>
  <c r="D180" i="16"/>
  <c r="E180" i="16" s="1"/>
  <c r="F180" i="16" s="1"/>
  <c r="G180" i="16" s="1"/>
  <c r="H180" i="16" s="1"/>
  <c r="I180" i="16" s="1"/>
  <c r="J180" i="16" s="1"/>
  <c r="K180" i="16" s="1"/>
  <c r="L180" i="16" s="1"/>
  <c r="M180" i="16" s="1"/>
  <c r="N180" i="16" s="1"/>
  <c r="O180" i="16" s="1"/>
  <c r="P180" i="16" s="1"/>
  <c r="Q180" i="16" s="1"/>
  <c r="R180" i="16" s="1"/>
  <c r="S180" i="16" s="1"/>
  <c r="T180" i="16" s="1"/>
  <c r="U180" i="16" s="1"/>
  <c r="V180" i="16" s="1"/>
  <c r="W180" i="16" s="1"/>
  <c r="X180" i="16" s="1"/>
  <c r="Y180" i="16" s="1"/>
  <c r="Z180" i="16" s="1"/>
  <c r="AA180" i="16" s="1"/>
  <c r="AB180" i="16" s="1"/>
  <c r="AC180" i="16" s="1"/>
  <c r="D181" i="16"/>
  <c r="E181" i="16" s="1"/>
  <c r="F181" i="16" s="1"/>
  <c r="G181" i="16" s="1"/>
  <c r="H181" i="16" s="1"/>
  <c r="I181" i="16" s="1"/>
  <c r="J181" i="16" s="1"/>
  <c r="K181" i="16" s="1"/>
  <c r="L181" i="16" s="1"/>
  <c r="M181" i="16" s="1"/>
  <c r="N181" i="16" s="1"/>
  <c r="O181" i="16" s="1"/>
  <c r="P181" i="16" s="1"/>
  <c r="Q181" i="16" s="1"/>
  <c r="R181" i="16" s="1"/>
  <c r="S181" i="16" s="1"/>
  <c r="T181" i="16" s="1"/>
  <c r="U181" i="16" s="1"/>
  <c r="V181" i="16" s="1"/>
  <c r="W181" i="16" s="1"/>
  <c r="X181" i="16" s="1"/>
  <c r="Y181" i="16" s="1"/>
  <c r="Z181" i="16" s="1"/>
  <c r="AA181" i="16" s="1"/>
  <c r="AB181" i="16" s="1"/>
  <c r="AC181" i="16" s="1"/>
  <c r="D182" i="16"/>
  <c r="E182" i="16" s="1"/>
  <c r="F182" i="16" s="1"/>
  <c r="G182" i="16" s="1"/>
  <c r="H182" i="16" s="1"/>
  <c r="I182" i="16" s="1"/>
  <c r="J182" i="16" s="1"/>
  <c r="K182" i="16" s="1"/>
  <c r="L182" i="16" s="1"/>
  <c r="M182" i="16" s="1"/>
  <c r="N182" i="16" s="1"/>
  <c r="O182" i="16" s="1"/>
  <c r="P182" i="16" s="1"/>
  <c r="Q182" i="16" s="1"/>
  <c r="R182" i="16" s="1"/>
  <c r="S182" i="16" s="1"/>
  <c r="T182" i="16" s="1"/>
  <c r="U182" i="16" s="1"/>
  <c r="V182" i="16" s="1"/>
  <c r="W182" i="16" s="1"/>
  <c r="X182" i="16" s="1"/>
  <c r="Y182" i="16" s="1"/>
  <c r="Z182" i="16" s="1"/>
  <c r="AA182" i="16" s="1"/>
  <c r="AB182" i="16" s="1"/>
  <c r="AC182" i="16" s="1"/>
  <c r="D183" i="16"/>
  <c r="E183" i="16" s="1"/>
  <c r="F183" i="16" s="1"/>
  <c r="G183" i="16" s="1"/>
  <c r="H183" i="16" s="1"/>
  <c r="I183" i="16" s="1"/>
  <c r="J183" i="16" s="1"/>
  <c r="K183" i="16" s="1"/>
  <c r="L183" i="16" s="1"/>
  <c r="M183" i="16" s="1"/>
  <c r="N183" i="16" s="1"/>
  <c r="O183" i="16" s="1"/>
  <c r="P183" i="16" s="1"/>
  <c r="Q183" i="16" s="1"/>
  <c r="R183" i="16" s="1"/>
  <c r="S183" i="16" s="1"/>
  <c r="T183" i="16" s="1"/>
  <c r="U183" i="16" s="1"/>
  <c r="V183" i="16" s="1"/>
  <c r="W183" i="16" s="1"/>
  <c r="X183" i="16" s="1"/>
  <c r="Y183" i="16" s="1"/>
  <c r="Z183" i="16" s="1"/>
  <c r="AA183" i="16" s="1"/>
  <c r="AB183" i="16" s="1"/>
  <c r="AC183" i="16" s="1"/>
  <c r="D184" i="16"/>
  <c r="E184" i="16" s="1"/>
  <c r="F184" i="16" s="1"/>
  <c r="G184" i="16" s="1"/>
  <c r="H184" i="16" s="1"/>
  <c r="I184" i="16" s="1"/>
  <c r="J184" i="16" s="1"/>
  <c r="K184" i="16" s="1"/>
  <c r="L184" i="16" s="1"/>
  <c r="M184" i="16" s="1"/>
  <c r="N184" i="16" s="1"/>
  <c r="O184" i="16" s="1"/>
  <c r="P184" i="16" s="1"/>
  <c r="Q184" i="16" s="1"/>
  <c r="R184" i="16" s="1"/>
  <c r="S184" i="16" s="1"/>
  <c r="T184" i="16" s="1"/>
  <c r="U184" i="16" s="1"/>
  <c r="V184" i="16" s="1"/>
  <c r="W184" i="16" s="1"/>
  <c r="X184" i="16" s="1"/>
  <c r="Y184" i="16" s="1"/>
  <c r="Z184" i="16" s="1"/>
  <c r="AA184" i="16" s="1"/>
  <c r="AB184" i="16" s="1"/>
  <c r="AC184" i="16" s="1"/>
  <c r="D185" i="16"/>
  <c r="E185" i="16" s="1"/>
  <c r="F185" i="16" s="1"/>
  <c r="G185" i="16" s="1"/>
  <c r="H185" i="16" s="1"/>
  <c r="I185" i="16" s="1"/>
  <c r="J185" i="16" s="1"/>
  <c r="K185" i="16" s="1"/>
  <c r="L185" i="16" s="1"/>
  <c r="M185" i="16" s="1"/>
  <c r="N185" i="16" s="1"/>
  <c r="O185" i="16" s="1"/>
  <c r="P185" i="16" s="1"/>
  <c r="Q185" i="16" s="1"/>
  <c r="R185" i="16" s="1"/>
  <c r="S185" i="16" s="1"/>
  <c r="T185" i="16" s="1"/>
  <c r="U185" i="16" s="1"/>
  <c r="V185" i="16" s="1"/>
  <c r="W185" i="16" s="1"/>
  <c r="X185" i="16" s="1"/>
  <c r="Y185" i="16" s="1"/>
  <c r="Z185" i="16" s="1"/>
  <c r="AA185" i="16" s="1"/>
  <c r="AB185" i="16" s="1"/>
  <c r="AC185" i="16" s="1"/>
  <c r="D186" i="16"/>
  <c r="E186" i="16" s="1"/>
  <c r="F186" i="16" s="1"/>
  <c r="G186" i="16" s="1"/>
  <c r="H186" i="16" s="1"/>
  <c r="I186" i="16" s="1"/>
  <c r="J186" i="16" s="1"/>
  <c r="K186" i="16" s="1"/>
  <c r="L186" i="16" s="1"/>
  <c r="M186" i="16" s="1"/>
  <c r="N186" i="16" s="1"/>
  <c r="O186" i="16" s="1"/>
  <c r="P186" i="16" s="1"/>
  <c r="Q186" i="16" s="1"/>
  <c r="R186" i="16" s="1"/>
  <c r="S186" i="16" s="1"/>
  <c r="T186" i="16" s="1"/>
  <c r="U186" i="16" s="1"/>
  <c r="V186" i="16" s="1"/>
  <c r="W186" i="16" s="1"/>
  <c r="X186" i="16" s="1"/>
  <c r="Y186" i="16" s="1"/>
  <c r="Z186" i="16" s="1"/>
  <c r="AA186" i="16" s="1"/>
  <c r="AB186" i="16" s="1"/>
  <c r="AC186" i="16" s="1"/>
  <c r="D188" i="16"/>
  <c r="E188" i="16" s="1"/>
  <c r="F188" i="16" s="1"/>
  <c r="G188" i="16" s="1"/>
  <c r="H188" i="16" s="1"/>
  <c r="I188" i="16" s="1"/>
  <c r="J188" i="16" s="1"/>
  <c r="K188" i="16" s="1"/>
  <c r="L188" i="16" s="1"/>
  <c r="M188" i="16" s="1"/>
  <c r="N188" i="16" s="1"/>
  <c r="O188" i="16" s="1"/>
  <c r="P188" i="16" s="1"/>
  <c r="Q188" i="16" s="1"/>
  <c r="R188" i="16" s="1"/>
  <c r="S188" i="16" s="1"/>
  <c r="T188" i="16" s="1"/>
  <c r="U188" i="16" s="1"/>
  <c r="V188" i="16" s="1"/>
  <c r="W188" i="16" s="1"/>
  <c r="X188" i="16" s="1"/>
  <c r="Y188" i="16" s="1"/>
  <c r="Z188" i="16" s="1"/>
  <c r="AA188" i="16" s="1"/>
  <c r="AB188" i="16" s="1"/>
  <c r="AC188" i="16" s="1"/>
  <c r="D187" i="16"/>
  <c r="E187" i="16" s="1"/>
  <c r="F187" i="16" s="1"/>
  <c r="G187" i="16" s="1"/>
  <c r="H187" i="16" s="1"/>
  <c r="I187" i="16" s="1"/>
  <c r="J187" i="16" s="1"/>
  <c r="K187" i="16" s="1"/>
  <c r="L187" i="16" s="1"/>
  <c r="M187" i="16" s="1"/>
  <c r="N187" i="16" s="1"/>
  <c r="O187" i="16" s="1"/>
  <c r="P187" i="16" s="1"/>
  <c r="Q187" i="16" s="1"/>
  <c r="R187" i="16" s="1"/>
  <c r="S187" i="16" s="1"/>
  <c r="T187" i="16" s="1"/>
  <c r="U187" i="16" s="1"/>
  <c r="V187" i="16" s="1"/>
  <c r="W187" i="16" s="1"/>
  <c r="X187" i="16" s="1"/>
  <c r="Y187" i="16" s="1"/>
  <c r="Z187" i="16" s="1"/>
  <c r="AA187" i="16" s="1"/>
  <c r="AB187" i="16" s="1"/>
  <c r="AC187" i="16" s="1"/>
  <c r="M7" i="2"/>
  <c r="O108" i="16"/>
  <c r="M115" i="16"/>
  <c r="K14" i="2"/>
  <c r="K15" i="2"/>
  <c r="M116" i="16"/>
  <c r="M117" i="16"/>
  <c r="K16" i="2"/>
  <c r="M118" i="16"/>
  <c r="K17" i="2"/>
  <c r="K18" i="2"/>
  <c r="M119" i="16"/>
  <c r="K19" i="2"/>
  <c r="M120" i="16"/>
  <c r="K20" i="2"/>
  <c r="M121" i="16"/>
  <c r="K21" i="2"/>
  <c r="M122" i="16"/>
  <c r="K22" i="2"/>
  <c r="M123" i="16"/>
  <c r="K23" i="2"/>
  <c r="M124" i="16"/>
  <c r="K24" i="2"/>
  <c r="M125" i="16"/>
  <c r="K25" i="2"/>
  <c r="M126" i="16"/>
  <c r="K29" i="2"/>
  <c r="M130" i="16"/>
  <c r="K8" i="2"/>
  <c r="M109" i="16"/>
  <c r="K9" i="2"/>
  <c r="M110" i="16"/>
  <c r="K10" i="2"/>
  <c r="M111" i="16"/>
  <c r="K11" i="2"/>
  <c r="M112" i="16"/>
  <c r="K12" i="2"/>
  <c r="M113" i="16"/>
  <c r="I3" i="2"/>
  <c r="K104" i="16"/>
  <c r="I4" i="2"/>
  <c r="K105" i="16"/>
  <c r="I5" i="2"/>
  <c r="K106" i="16"/>
  <c r="N103" i="16"/>
  <c r="L2" i="2"/>
  <c r="J49" i="16"/>
  <c r="D54" i="16" l="1"/>
  <c r="P108" i="16"/>
  <c r="N7" i="2"/>
  <c r="N115" i="16"/>
  <c r="L14" i="2"/>
  <c r="N116" i="16"/>
  <c r="L15" i="2"/>
  <c r="N117" i="16"/>
  <c r="L16" i="2"/>
  <c r="N118" i="16"/>
  <c r="L17" i="2"/>
  <c r="L18" i="2"/>
  <c r="N119" i="16"/>
  <c r="N120" i="16"/>
  <c r="L19" i="2"/>
  <c r="L20" i="2"/>
  <c r="N121" i="16"/>
  <c r="N122" i="16"/>
  <c r="L21" i="2"/>
  <c r="L22" i="2"/>
  <c r="N123" i="16"/>
  <c r="N124" i="16"/>
  <c r="L23" i="2"/>
  <c r="L24" i="2"/>
  <c r="N125" i="16"/>
  <c r="N126" i="16"/>
  <c r="L25" i="2"/>
  <c r="L29" i="2"/>
  <c r="N130" i="16"/>
  <c r="N109" i="16"/>
  <c r="L8" i="2"/>
  <c r="N110" i="16"/>
  <c r="L9" i="2"/>
  <c r="L10" i="2"/>
  <c r="N111" i="16"/>
  <c r="L11" i="2"/>
  <c r="N112" i="16"/>
  <c r="L12" i="2"/>
  <c r="N113" i="16"/>
  <c r="J3" i="2"/>
  <c r="L104" i="16"/>
  <c r="J4" i="2"/>
  <c r="L105" i="16"/>
  <c r="J5" i="2"/>
  <c r="L106" i="16"/>
  <c r="B43" i="2"/>
  <c r="D144" i="16"/>
  <c r="O103" i="16"/>
  <c r="M2" i="2"/>
  <c r="K49" i="16"/>
  <c r="Q108" i="16" l="1"/>
  <c r="O7" i="2"/>
  <c r="O115" i="16"/>
  <c r="M14" i="2"/>
  <c r="M15" i="2"/>
  <c r="O116" i="16"/>
  <c r="M16" i="2"/>
  <c r="O117" i="16"/>
  <c r="M17" i="2"/>
  <c r="O118" i="16"/>
  <c r="M18" i="2"/>
  <c r="O119" i="16"/>
  <c r="M19" i="2"/>
  <c r="O120" i="16"/>
  <c r="O121" i="16"/>
  <c r="M20" i="2"/>
  <c r="O122" i="16"/>
  <c r="M21" i="2"/>
  <c r="O123" i="16"/>
  <c r="M22" i="2"/>
  <c r="O124" i="16"/>
  <c r="M23" i="2"/>
  <c r="O125" i="16"/>
  <c r="M24" i="2"/>
  <c r="O126" i="16"/>
  <c r="M25" i="2"/>
  <c r="O130" i="16"/>
  <c r="M29" i="2"/>
  <c r="M8" i="2"/>
  <c r="O109" i="16"/>
  <c r="M9" i="2"/>
  <c r="O110" i="16"/>
  <c r="M10" i="2"/>
  <c r="O111" i="16"/>
  <c r="O112" i="16"/>
  <c r="M11" i="2"/>
  <c r="M12" i="2"/>
  <c r="O113" i="16"/>
  <c r="K3" i="2"/>
  <c r="M104" i="16"/>
  <c r="K4" i="2"/>
  <c r="M105" i="16"/>
  <c r="K5" i="2"/>
  <c r="M106" i="16"/>
  <c r="C43" i="2"/>
  <c r="E144" i="16"/>
  <c r="P103" i="16"/>
  <c r="N2" i="2"/>
  <c r="L49" i="16"/>
  <c r="R108" i="16" l="1"/>
  <c r="P7" i="2"/>
  <c r="N14" i="2"/>
  <c r="P115" i="16"/>
  <c r="N15" i="2"/>
  <c r="P116" i="16"/>
  <c r="N16" i="2"/>
  <c r="P117" i="16"/>
  <c r="P118" i="16"/>
  <c r="N17" i="2"/>
  <c r="N18" i="2"/>
  <c r="P119" i="16"/>
  <c r="N19" i="2"/>
  <c r="P120" i="16"/>
  <c r="N20" i="2"/>
  <c r="P121" i="16"/>
  <c r="N21" i="2"/>
  <c r="P122" i="16"/>
  <c r="N22" i="2"/>
  <c r="P123" i="16"/>
  <c r="N23" i="2"/>
  <c r="P124" i="16"/>
  <c r="N24" i="2"/>
  <c r="P125" i="16"/>
  <c r="P126" i="16"/>
  <c r="N25" i="2"/>
  <c r="P130" i="16"/>
  <c r="N29" i="2"/>
  <c r="N8" i="2"/>
  <c r="P109" i="16"/>
  <c r="N9" i="2"/>
  <c r="P110" i="16"/>
  <c r="N10" i="2"/>
  <c r="P111" i="16"/>
  <c r="N11" i="2"/>
  <c r="P112" i="16"/>
  <c r="P113" i="16"/>
  <c r="N12" i="2"/>
  <c r="N104" i="16"/>
  <c r="L3" i="2"/>
  <c r="N105" i="16"/>
  <c r="L4" i="2"/>
  <c r="L5" i="2"/>
  <c r="N106" i="16"/>
  <c r="D43" i="2"/>
  <c r="F144" i="16"/>
  <c r="B6" i="2"/>
  <c r="D107" i="16"/>
  <c r="B13" i="2"/>
  <c r="D114" i="16"/>
  <c r="B26" i="2"/>
  <c r="D127" i="16"/>
  <c r="B27" i="2"/>
  <c r="D128" i="16"/>
  <c r="B28" i="2"/>
  <c r="D129" i="16"/>
  <c r="B30" i="2"/>
  <c r="D131" i="16"/>
  <c r="B31" i="2"/>
  <c r="D132" i="16"/>
  <c r="B32" i="2"/>
  <c r="D133" i="16"/>
  <c r="B33" i="2"/>
  <c r="D134" i="16"/>
  <c r="B34" i="2"/>
  <c r="D135" i="16"/>
  <c r="B35" i="2"/>
  <c r="D136" i="16"/>
  <c r="D137" i="16"/>
  <c r="B36" i="2"/>
  <c r="D138" i="16"/>
  <c r="B37" i="2"/>
  <c r="D139" i="16"/>
  <c r="B38" i="2"/>
  <c r="D140" i="16"/>
  <c r="B39" i="2"/>
  <c r="B40" i="2"/>
  <c r="D141" i="16"/>
  <c r="D142" i="16"/>
  <c r="B41" i="2"/>
  <c r="B42" i="2"/>
  <c r="D143" i="16"/>
  <c r="Q103" i="16"/>
  <c r="O2" i="2"/>
  <c r="M49" i="16"/>
  <c r="S108" i="16" l="1"/>
  <c r="Q7" i="2"/>
  <c r="O14" i="2"/>
  <c r="Q115" i="16"/>
  <c r="O15" i="2"/>
  <c r="Q116" i="16"/>
  <c r="O16" i="2"/>
  <c r="Q117" i="16"/>
  <c r="O17" i="2"/>
  <c r="Q118" i="16"/>
  <c r="Q119" i="16"/>
  <c r="O18" i="2"/>
  <c r="O19" i="2"/>
  <c r="Q120" i="16"/>
  <c r="Q121" i="16"/>
  <c r="O20" i="2"/>
  <c r="O21" i="2"/>
  <c r="Q122" i="16"/>
  <c r="O22" i="2"/>
  <c r="Q123" i="16"/>
  <c r="O23" i="2"/>
  <c r="Q124" i="16"/>
  <c r="Q125" i="16"/>
  <c r="O24" i="2"/>
  <c r="Q126" i="16"/>
  <c r="O25" i="2"/>
  <c r="Q130" i="16"/>
  <c r="O29" i="2"/>
  <c r="Q109" i="16"/>
  <c r="O8" i="2"/>
  <c r="O9" i="2"/>
  <c r="Q110" i="16"/>
  <c r="O10" i="2"/>
  <c r="Q111" i="16"/>
  <c r="O11" i="2"/>
  <c r="Q112" i="16"/>
  <c r="O12" i="2"/>
  <c r="Q113" i="16"/>
  <c r="M3" i="2"/>
  <c r="O104" i="16"/>
  <c r="M4" i="2"/>
  <c r="O105" i="16"/>
  <c r="O106" i="16"/>
  <c r="M5" i="2"/>
  <c r="E43" i="2"/>
  <c r="G144" i="16"/>
  <c r="C6" i="2"/>
  <c r="E107" i="16"/>
  <c r="E114" i="16"/>
  <c r="C13" i="2"/>
  <c r="C26" i="2"/>
  <c r="E127" i="16"/>
  <c r="C27" i="2"/>
  <c r="E128" i="16"/>
  <c r="C28" i="2"/>
  <c r="E129" i="16"/>
  <c r="C30" i="2"/>
  <c r="E131" i="16"/>
  <c r="C31" i="2"/>
  <c r="E132" i="16"/>
  <c r="E133" i="16"/>
  <c r="C32" i="2"/>
  <c r="E134" i="16"/>
  <c r="C33" i="2"/>
  <c r="E135" i="16"/>
  <c r="C34" i="2"/>
  <c r="E136" i="16"/>
  <c r="C35" i="2"/>
  <c r="C36" i="2"/>
  <c r="E137" i="16"/>
  <c r="C37" i="2"/>
  <c r="E138" i="16"/>
  <c r="E139" i="16"/>
  <c r="C38" i="2"/>
  <c r="C39" i="2"/>
  <c r="E140" i="16"/>
  <c r="E141" i="16"/>
  <c r="C40" i="2"/>
  <c r="C41" i="2"/>
  <c r="E142" i="16"/>
  <c r="E143" i="16"/>
  <c r="C42" i="2"/>
  <c r="R103" i="16"/>
  <c r="P2" i="2"/>
  <c r="N49" i="16"/>
  <c r="R7" i="2" l="1"/>
  <c r="T108" i="16"/>
  <c r="P14" i="2"/>
  <c r="R115" i="16"/>
  <c r="P15" i="2"/>
  <c r="R116" i="16"/>
  <c r="P16" i="2"/>
  <c r="R117" i="16"/>
  <c r="P17" i="2"/>
  <c r="R118" i="16"/>
  <c r="P18" i="2"/>
  <c r="R119" i="16"/>
  <c r="R120" i="16"/>
  <c r="P19" i="2"/>
  <c r="P20" i="2"/>
  <c r="R121" i="16"/>
  <c r="P21" i="2"/>
  <c r="R122" i="16"/>
  <c r="R123" i="16"/>
  <c r="P22" i="2"/>
  <c r="R124" i="16"/>
  <c r="P23" i="2"/>
  <c r="R125" i="16"/>
  <c r="P24" i="2"/>
  <c r="R126" i="16"/>
  <c r="P25" i="2"/>
  <c r="R130" i="16"/>
  <c r="P29" i="2"/>
  <c r="R109" i="16"/>
  <c r="P8" i="2"/>
  <c r="P9" i="2"/>
  <c r="R110" i="16"/>
  <c r="P10" i="2"/>
  <c r="R111" i="16"/>
  <c r="P11" i="2"/>
  <c r="R112" i="16"/>
  <c r="R113" i="16"/>
  <c r="P12" i="2"/>
  <c r="N3" i="2"/>
  <c r="P104" i="16"/>
  <c r="N4" i="2"/>
  <c r="P105" i="16"/>
  <c r="N5" i="2"/>
  <c r="P106" i="16"/>
  <c r="F43" i="2"/>
  <c r="H144" i="16"/>
  <c r="D6" i="2"/>
  <c r="F107" i="16"/>
  <c r="D13" i="2"/>
  <c r="F114" i="16"/>
  <c r="D26" i="2"/>
  <c r="F127" i="16"/>
  <c r="D27" i="2"/>
  <c r="F128" i="16"/>
  <c r="F129" i="16"/>
  <c r="D28" i="2"/>
  <c r="F131" i="16"/>
  <c r="D30" i="2"/>
  <c r="F132" i="16"/>
  <c r="D31" i="2"/>
  <c r="F133" i="16"/>
  <c r="D32" i="2"/>
  <c r="F134" i="16"/>
  <c r="D33" i="2"/>
  <c r="D34" i="2"/>
  <c r="F135" i="16"/>
  <c r="D35" i="2"/>
  <c r="F136" i="16"/>
  <c r="D36" i="2"/>
  <c r="F137" i="16"/>
  <c r="D37" i="2"/>
  <c r="F138" i="16"/>
  <c r="F139" i="16"/>
  <c r="D38" i="2"/>
  <c r="D39" i="2"/>
  <c r="F140" i="16"/>
  <c r="F141" i="16"/>
  <c r="D40" i="2"/>
  <c r="F142" i="16"/>
  <c r="D41" i="2"/>
  <c r="D42" i="2"/>
  <c r="F143" i="16"/>
  <c r="S103" i="16"/>
  <c r="Q2" i="2"/>
  <c r="O49" i="16"/>
  <c r="S7" i="2" l="1"/>
  <c r="U108" i="16"/>
  <c r="Q14" i="2"/>
  <c r="S115" i="16"/>
  <c r="Q15" i="2"/>
  <c r="S116" i="16"/>
  <c r="S117" i="16"/>
  <c r="Q16" i="2"/>
  <c r="Q17" i="2"/>
  <c r="S118" i="16"/>
  <c r="S119" i="16"/>
  <c r="Q18" i="2"/>
  <c r="S120" i="16"/>
  <c r="Q19" i="2"/>
  <c r="Q20" i="2"/>
  <c r="S121" i="16"/>
  <c r="S122" i="16"/>
  <c r="Q21" i="2"/>
  <c r="S123" i="16"/>
  <c r="Q22" i="2"/>
  <c r="Q23" i="2"/>
  <c r="S124" i="16"/>
  <c r="Q24" i="2"/>
  <c r="S125" i="16"/>
  <c r="S126" i="16"/>
  <c r="Q25" i="2"/>
  <c r="S130" i="16"/>
  <c r="Q29" i="2"/>
  <c r="Q8" i="2"/>
  <c r="S109" i="16"/>
  <c r="Q9" i="2"/>
  <c r="S110" i="16"/>
  <c r="S111" i="16"/>
  <c r="Q10" i="2"/>
  <c r="S112" i="16"/>
  <c r="Q11" i="2"/>
  <c r="S113" i="16"/>
  <c r="Q12" i="2"/>
  <c r="O3" i="2"/>
  <c r="Q104" i="16"/>
  <c r="Q105" i="16"/>
  <c r="O4" i="2"/>
  <c r="Q106" i="16"/>
  <c r="O5" i="2"/>
  <c r="G43" i="2"/>
  <c r="I144" i="16"/>
  <c r="E6" i="2"/>
  <c r="G107" i="16"/>
  <c r="G114" i="16"/>
  <c r="E13" i="2"/>
  <c r="E26" i="2"/>
  <c r="G127" i="16"/>
  <c r="G128" i="16"/>
  <c r="E27" i="2"/>
  <c r="G129" i="16"/>
  <c r="E28" i="2"/>
  <c r="E30" i="2"/>
  <c r="G131" i="16"/>
  <c r="G132" i="16"/>
  <c r="E31" i="2"/>
  <c r="G133" i="16"/>
  <c r="E32" i="2"/>
  <c r="G134" i="16"/>
  <c r="E33" i="2"/>
  <c r="G135" i="16"/>
  <c r="E34" i="2"/>
  <c r="E35" i="2"/>
  <c r="G136" i="16"/>
  <c r="G137" i="16"/>
  <c r="E36" i="2"/>
  <c r="G138" i="16"/>
  <c r="E37" i="2"/>
  <c r="G139" i="16"/>
  <c r="E38" i="2"/>
  <c r="E39" i="2"/>
  <c r="G140" i="16"/>
  <c r="G141" i="16"/>
  <c r="E40" i="2"/>
  <c r="G142" i="16"/>
  <c r="E41" i="2"/>
  <c r="E42" i="2"/>
  <c r="G143" i="16"/>
  <c r="T103" i="16"/>
  <c r="R2" i="2"/>
  <c r="P49" i="16"/>
  <c r="V108" i="16" l="1"/>
  <c r="T7" i="2"/>
  <c r="R14" i="2"/>
  <c r="T115" i="16"/>
  <c r="R15" i="2"/>
  <c r="T116" i="16"/>
  <c r="R16" i="2"/>
  <c r="T117" i="16"/>
  <c r="R17" i="2"/>
  <c r="T118" i="16"/>
  <c r="T119" i="16"/>
  <c r="R18" i="2"/>
  <c r="R19" i="2"/>
  <c r="T120" i="16"/>
  <c r="R20" i="2"/>
  <c r="T121" i="16"/>
  <c r="R21" i="2"/>
  <c r="T122" i="16"/>
  <c r="T123" i="16"/>
  <c r="R22" i="2"/>
  <c r="R23" i="2"/>
  <c r="T124" i="16"/>
  <c r="R24" i="2"/>
  <c r="T125" i="16"/>
  <c r="R25" i="2"/>
  <c r="T126" i="16"/>
  <c r="R29" i="2"/>
  <c r="T130" i="16"/>
  <c r="R8" i="2"/>
  <c r="T109" i="16"/>
  <c r="R9" i="2"/>
  <c r="T110" i="16"/>
  <c r="T111" i="16"/>
  <c r="R10" i="2"/>
  <c r="R11" i="2"/>
  <c r="T112" i="16"/>
  <c r="R12" i="2"/>
  <c r="T113" i="16"/>
  <c r="P3" i="2"/>
  <c r="R104" i="16"/>
  <c r="P4" i="2"/>
  <c r="R105" i="16"/>
  <c r="P5" i="2"/>
  <c r="R106" i="16"/>
  <c r="H43" i="2"/>
  <c r="J144" i="16"/>
  <c r="F6" i="2"/>
  <c r="H107" i="16"/>
  <c r="H114" i="16"/>
  <c r="F13" i="2"/>
  <c r="F26" i="2"/>
  <c r="H127" i="16"/>
  <c r="F27" i="2"/>
  <c r="H128" i="16"/>
  <c r="H129" i="16"/>
  <c r="F28" i="2"/>
  <c r="F30" i="2"/>
  <c r="H131" i="16"/>
  <c r="F31" i="2"/>
  <c r="H132" i="16"/>
  <c r="H133" i="16"/>
  <c r="F32" i="2"/>
  <c r="F33" i="2"/>
  <c r="H134" i="16"/>
  <c r="F34" i="2"/>
  <c r="H135" i="16"/>
  <c r="F35" i="2"/>
  <c r="H136" i="16"/>
  <c r="H137" i="16"/>
  <c r="F36" i="2"/>
  <c r="F37" i="2"/>
  <c r="H138" i="16"/>
  <c r="F38" i="2"/>
  <c r="H139" i="16"/>
  <c r="H140" i="16"/>
  <c r="F39" i="2"/>
  <c r="H141" i="16"/>
  <c r="F40" i="2"/>
  <c r="F41" i="2"/>
  <c r="H142" i="16"/>
  <c r="H143" i="16"/>
  <c r="F42" i="2"/>
  <c r="U103" i="16"/>
  <c r="S2" i="2"/>
  <c r="Q49" i="16"/>
  <c r="W108" i="16" l="1"/>
  <c r="U7" i="2"/>
  <c r="S14" i="2"/>
  <c r="U115" i="16"/>
  <c r="S15" i="2"/>
  <c r="U116" i="16"/>
  <c r="S16" i="2"/>
  <c r="U117" i="16"/>
  <c r="U118" i="16"/>
  <c r="S17" i="2"/>
  <c r="S18" i="2"/>
  <c r="U119" i="16"/>
  <c r="S19" i="2"/>
  <c r="U120" i="16"/>
  <c r="S20" i="2"/>
  <c r="U121" i="16"/>
  <c r="S21" i="2"/>
  <c r="U122" i="16"/>
  <c r="S22" i="2"/>
  <c r="U123" i="16"/>
  <c r="S23" i="2"/>
  <c r="U124" i="16"/>
  <c r="S24" i="2"/>
  <c r="U125" i="16"/>
  <c r="S25" i="2"/>
  <c r="U126" i="16"/>
  <c r="S29" i="2"/>
  <c r="U130" i="16"/>
  <c r="S8" i="2"/>
  <c r="U109" i="16"/>
  <c r="S9" i="2"/>
  <c r="U110" i="16"/>
  <c r="U111" i="16"/>
  <c r="S10" i="2"/>
  <c r="S11" i="2"/>
  <c r="U112" i="16"/>
  <c r="S12" i="2"/>
  <c r="U113" i="16"/>
  <c r="S104" i="16"/>
  <c r="Q3" i="2"/>
  <c r="Q4" i="2"/>
  <c r="S105" i="16"/>
  <c r="Q5" i="2"/>
  <c r="S106" i="16"/>
  <c r="I43" i="2"/>
  <c r="K144" i="16"/>
  <c r="I107" i="16"/>
  <c r="G6" i="2"/>
  <c r="I114" i="16"/>
  <c r="G13" i="2"/>
  <c r="G26" i="2"/>
  <c r="I127" i="16"/>
  <c r="I128" i="16"/>
  <c r="G27" i="2"/>
  <c r="G28" i="2"/>
  <c r="I129" i="16"/>
  <c r="G30" i="2"/>
  <c r="I131" i="16"/>
  <c r="I132" i="16"/>
  <c r="G31" i="2"/>
  <c r="G32" i="2"/>
  <c r="I133" i="16"/>
  <c r="I134" i="16"/>
  <c r="G33" i="2"/>
  <c r="G34" i="2"/>
  <c r="I135" i="16"/>
  <c r="I136" i="16"/>
  <c r="G35" i="2"/>
  <c r="G36" i="2"/>
  <c r="I137" i="16"/>
  <c r="I138" i="16"/>
  <c r="G37" i="2"/>
  <c r="G38" i="2"/>
  <c r="I139" i="16"/>
  <c r="G39" i="2"/>
  <c r="I140" i="16"/>
  <c r="I141" i="16"/>
  <c r="G40" i="2"/>
  <c r="G41" i="2"/>
  <c r="I142" i="16"/>
  <c r="G42" i="2"/>
  <c r="I143" i="16"/>
  <c r="V103" i="16"/>
  <c r="T2" i="2"/>
  <c r="R49" i="16"/>
  <c r="V7" i="2" l="1"/>
  <c r="X108" i="16"/>
  <c r="T14" i="2"/>
  <c r="V115" i="16"/>
  <c r="T15" i="2"/>
  <c r="V116" i="16"/>
  <c r="T16" i="2"/>
  <c r="V117" i="16"/>
  <c r="V118" i="16"/>
  <c r="T17" i="2"/>
  <c r="T18" i="2"/>
  <c r="V119" i="16"/>
  <c r="V120" i="16"/>
  <c r="T19" i="2"/>
  <c r="T20" i="2"/>
  <c r="V121" i="16"/>
  <c r="T21" i="2"/>
  <c r="V122" i="16"/>
  <c r="T22" i="2"/>
  <c r="V123" i="16"/>
  <c r="V124" i="16"/>
  <c r="T23" i="2"/>
  <c r="T24" i="2"/>
  <c r="V125" i="16"/>
  <c r="T25" i="2"/>
  <c r="V126" i="16"/>
  <c r="T29" i="2"/>
  <c r="V130" i="16"/>
  <c r="V109" i="16"/>
  <c r="T8" i="2"/>
  <c r="V110" i="16"/>
  <c r="T9" i="2"/>
  <c r="V111" i="16"/>
  <c r="T10" i="2"/>
  <c r="V112" i="16"/>
  <c r="T11" i="2"/>
  <c r="V113" i="16"/>
  <c r="T12" i="2"/>
  <c r="R3" i="2"/>
  <c r="T104" i="16"/>
  <c r="R4" i="2"/>
  <c r="T105" i="16"/>
  <c r="T106" i="16"/>
  <c r="R5" i="2"/>
  <c r="J43" i="2"/>
  <c r="L144" i="16"/>
  <c r="J107" i="16"/>
  <c r="H6" i="2"/>
  <c r="J114" i="16"/>
  <c r="H13" i="2"/>
  <c r="H26" i="2"/>
  <c r="J127" i="16"/>
  <c r="H27" i="2"/>
  <c r="J128" i="16"/>
  <c r="H28" i="2"/>
  <c r="J129" i="16"/>
  <c r="H30" i="2"/>
  <c r="J131" i="16"/>
  <c r="H31" i="2"/>
  <c r="J132" i="16"/>
  <c r="J133" i="16"/>
  <c r="H32" i="2"/>
  <c r="H33" i="2"/>
  <c r="J134" i="16"/>
  <c r="H34" i="2"/>
  <c r="J135" i="16"/>
  <c r="J136" i="16"/>
  <c r="H35" i="2"/>
  <c r="H36" i="2"/>
  <c r="J137" i="16"/>
  <c r="J138" i="16"/>
  <c r="H37" i="2"/>
  <c r="H38" i="2"/>
  <c r="J139" i="16"/>
  <c r="H39" i="2"/>
  <c r="J140" i="16"/>
  <c r="J141" i="16"/>
  <c r="H40" i="2"/>
  <c r="H41" i="2"/>
  <c r="J142" i="16"/>
  <c r="H42" i="2"/>
  <c r="J143" i="16"/>
  <c r="W103" i="16"/>
  <c r="U2" i="2"/>
  <c r="S49" i="16"/>
  <c r="W7" i="2" l="1"/>
  <c r="Y108" i="16"/>
  <c r="U14" i="2"/>
  <c r="W115" i="16"/>
  <c r="U15" i="2"/>
  <c r="W116" i="16"/>
  <c r="W117" i="16"/>
  <c r="U16" i="2"/>
  <c r="U17" i="2"/>
  <c r="W118" i="16"/>
  <c r="W119" i="16"/>
  <c r="U18" i="2"/>
  <c r="W120" i="16"/>
  <c r="U19" i="2"/>
  <c r="U20" i="2"/>
  <c r="W121" i="16"/>
  <c r="U21" i="2"/>
  <c r="W122" i="16"/>
  <c r="U22" i="2"/>
  <c r="W123" i="16"/>
  <c r="U23" i="2"/>
  <c r="W124" i="16"/>
  <c r="W125" i="16"/>
  <c r="U24" i="2"/>
  <c r="U25" i="2"/>
  <c r="W126" i="16"/>
  <c r="U29" i="2"/>
  <c r="W130" i="16"/>
  <c r="U8" i="2"/>
  <c r="W109" i="16"/>
  <c r="U9" i="2"/>
  <c r="W110" i="16"/>
  <c r="W111" i="16"/>
  <c r="U10" i="2"/>
  <c r="W112" i="16"/>
  <c r="U11" i="2"/>
  <c r="U12" i="2"/>
  <c r="W113" i="16"/>
  <c r="S3" i="2"/>
  <c r="U104" i="16"/>
  <c r="S4" i="2"/>
  <c r="U105" i="16"/>
  <c r="S5" i="2"/>
  <c r="U106" i="16"/>
  <c r="K43" i="2"/>
  <c r="M144" i="16"/>
  <c r="I6" i="2"/>
  <c r="K107" i="16"/>
  <c r="I13" i="2"/>
  <c r="K114" i="16"/>
  <c r="I26" i="2"/>
  <c r="K127" i="16"/>
  <c r="I27" i="2"/>
  <c r="K128" i="16"/>
  <c r="I28" i="2"/>
  <c r="K129" i="16"/>
  <c r="K131" i="16"/>
  <c r="I30" i="2"/>
  <c r="K132" i="16"/>
  <c r="I31" i="2"/>
  <c r="I32" i="2"/>
  <c r="K133" i="16"/>
  <c r="K134" i="16"/>
  <c r="I33" i="2"/>
  <c r="K135" i="16"/>
  <c r="I34" i="2"/>
  <c r="K136" i="16"/>
  <c r="I35" i="2"/>
  <c r="I36" i="2"/>
  <c r="K137" i="16"/>
  <c r="K138" i="16"/>
  <c r="I37" i="2"/>
  <c r="I38" i="2"/>
  <c r="K139" i="16"/>
  <c r="I39" i="2"/>
  <c r="K140" i="16"/>
  <c r="I40" i="2"/>
  <c r="K141" i="16"/>
  <c r="I41" i="2"/>
  <c r="K142" i="16"/>
  <c r="K143" i="16"/>
  <c r="I42" i="2"/>
  <c r="X103" i="16"/>
  <c r="V2" i="2"/>
  <c r="T49" i="16"/>
  <c r="Z108" i="16" l="1"/>
  <c r="X7" i="2"/>
  <c r="X115" i="16"/>
  <c r="V14" i="2"/>
  <c r="V15" i="2"/>
  <c r="X116" i="16"/>
  <c r="V16" i="2"/>
  <c r="X117" i="16"/>
  <c r="V17" i="2"/>
  <c r="X118" i="16"/>
  <c r="V18" i="2"/>
  <c r="X119" i="16"/>
  <c r="V19" i="2"/>
  <c r="X120" i="16"/>
  <c r="V20" i="2"/>
  <c r="X121" i="16"/>
  <c r="X122" i="16"/>
  <c r="V21" i="2"/>
  <c r="X123" i="16"/>
  <c r="V22" i="2"/>
  <c r="V23" i="2"/>
  <c r="X124" i="16"/>
  <c r="X125" i="16"/>
  <c r="V24" i="2"/>
  <c r="V25" i="2"/>
  <c r="X126" i="16"/>
  <c r="V29" i="2"/>
  <c r="X130" i="16"/>
  <c r="X109" i="16"/>
  <c r="V8" i="2"/>
  <c r="X110" i="16"/>
  <c r="V9" i="2"/>
  <c r="X111" i="16"/>
  <c r="V10" i="2"/>
  <c r="X112" i="16"/>
  <c r="V11" i="2"/>
  <c r="X113" i="16"/>
  <c r="V12" i="2"/>
  <c r="T3" i="2"/>
  <c r="V104" i="16"/>
  <c r="T4" i="2"/>
  <c r="V105" i="16"/>
  <c r="V106" i="16"/>
  <c r="T5" i="2"/>
  <c r="L43" i="2"/>
  <c r="N144" i="16"/>
  <c r="J6" i="2"/>
  <c r="L107" i="16"/>
  <c r="L114" i="16"/>
  <c r="J13" i="2"/>
  <c r="J26" i="2"/>
  <c r="L127" i="16"/>
  <c r="J27" i="2"/>
  <c r="L128" i="16"/>
  <c r="L129" i="16"/>
  <c r="J28" i="2"/>
  <c r="J30" i="2"/>
  <c r="L131" i="16"/>
  <c r="J31" i="2"/>
  <c r="L132" i="16"/>
  <c r="J32" i="2"/>
  <c r="L133" i="16"/>
  <c r="J33" i="2"/>
  <c r="L134" i="16"/>
  <c r="J34" i="2"/>
  <c r="L135" i="16"/>
  <c r="J35" i="2"/>
  <c r="L136" i="16"/>
  <c r="J36" i="2"/>
  <c r="L137" i="16"/>
  <c r="J37" i="2"/>
  <c r="L138" i="16"/>
  <c r="J38" i="2"/>
  <c r="L139" i="16"/>
  <c r="J39" i="2"/>
  <c r="L140" i="16"/>
  <c r="J40" i="2"/>
  <c r="L141" i="16"/>
  <c r="J41" i="2"/>
  <c r="L142" i="16"/>
  <c r="L143" i="16"/>
  <c r="J42" i="2"/>
  <c r="Y103" i="16"/>
  <c r="W2" i="2"/>
  <c r="U49" i="16"/>
  <c r="Y7" i="2" l="1"/>
  <c r="AA108" i="16"/>
  <c r="W14" i="2"/>
  <c r="Y115" i="16"/>
  <c r="W15" i="2"/>
  <c r="Y116" i="16"/>
  <c r="W16" i="2"/>
  <c r="Y117" i="16"/>
  <c r="Y118" i="16"/>
  <c r="W17" i="2"/>
  <c r="W18" i="2"/>
  <c r="Y119" i="16"/>
  <c r="W19" i="2"/>
  <c r="Y120" i="16"/>
  <c r="W20" i="2"/>
  <c r="Y121" i="16"/>
  <c r="W21" i="2"/>
  <c r="Y122" i="16"/>
  <c r="W22" i="2"/>
  <c r="Y123" i="16"/>
  <c r="Y124" i="16"/>
  <c r="W23" i="2"/>
  <c r="Y125" i="16"/>
  <c r="W24" i="2"/>
  <c r="W25" i="2"/>
  <c r="Y126" i="16"/>
  <c r="W29" i="2"/>
  <c r="Y130" i="16"/>
  <c r="Y109" i="16"/>
  <c r="W8" i="2"/>
  <c r="W9" i="2"/>
  <c r="Y110" i="16"/>
  <c r="Y111" i="16"/>
  <c r="W10" i="2"/>
  <c r="W11" i="2"/>
  <c r="Y112" i="16"/>
  <c r="W12" i="2"/>
  <c r="Y113" i="16"/>
  <c r="U3" i="2"/>
  <c r="W104" i="16"/>
  <c r="U4" i="2"/>
  <c r="W105" i="16"/>
  <c r="U5" i="2"/>
  <c r="W106" i="16"/>
  <c r="M43" i="2"/>
  <c r="O144" i="16"/>
  <c r="M107" i="16"/>
  <c r="K6" i="2"/>
  <c r="M114" i="16"/>
  <c r="K13" i="2"/>
  <c r="K26" i="2"/>
  <c r="M127" i="16"/>
  <c r="M128" i="16"/>
  <c r="K27" i="2"/>
  <c r="K28" i="2"/>
  <c r="M129" i="16"/>
  <c r="M131" i="16"/>
  <c r="K30" i="2"/>
  <c r="M132" i="16"/>
  <c r="K31" i="2"/>
  <c r="M133" i="16"/>
  <c r="K32" i="2"/>
  <c r="M134" i="16"/>
  <c r="K33" i="2"/>
  <c r="M135" i="16"/>
  <c r="K34" i="2"/>
  <c r="K35" i="2"/>
  <c r="M136" i="16"/>
  <c r="M137" i="16"/>
  <c r="K36" i="2"/>
  <c r="M138" i="16"/>
  <c r="K37" i="2"/>
  <c r="M139" i="16"/>
  <c r="K38" i="2"/>
  <c r="K39" i="2"/>
  <c r="M140" i="16"/>
  <c r="K40" i="2"/>
  <c r="M141" i="16"/>
  <c r="K41" i="2"/>
  <c r="M142" i="16"/>
  <c r="M143" i="16"/>
  <c r="K42" i="2"/>
  <c r="Z103" i="16"/>
  <c r="X2" i="2"/>
  <c r="V49" i="16"/>
  <c r="Z7" i="2" l="1"/>
  <c r="AB108" i="16"/>
  <c r="X14" i="2"/>
  <c r="Z115" i="16"/>
  <c r="X15" i="2"/>
  <c r="Z116" i="16"/>
  <c r="X16" i="2"/>
  <c r="Z117" i="16"/>
  <c r="X17" i="2"/>
  <c r="Z118" i="16"/>
  <c r="X18" i="2"/>
  <c r="Z119" i="16"/>
  <c r="X19" i="2"/>
  <c r="Z120" i="16"/>
  <c r="X20" i="2"/>
  <c r="Z121" i="16"/>
  <c r="Z122" i="16"/>
  <c r="X21" i="2"/>
  <c r="X22" i="2"/>
  <c r="Z123" i="16"/>
  <c r="X23" i="2"/>
  <c r="Z124" i="16"/>
  <c r="Z125" i="16"/>
  <c r="X24" i="2"/>
  <c r="X25" i="2"/>
  <c r="Z126" i="16"/>
  <c r="X29" i="2"/>
  <c r="Z130" i="16"/>
  <c r="X8" i="2"/>
  <c r="Z109" i="16"/>
  <c r="X9" i="2"/>
  <c r="Z110" i="16"/>
  <c r="X10" i="2"/>
  <c r="Z111" i="16"/>
  <c r="X11" i="2"/>
  <c r="Z112" i="16"/>
  <c r="X12" i="2"/>
  <c r="Z113" i="16"/>
  <c r="V3" i="2"/>
  <c r="X104" i="16"/>
  <c r="V4" i="2"/>
  <c r="X105" i="16"/>
  <c r="X106" i="16"/>
  <c r="V5" i="2"/>
  <c r="N43" i="2"/>
  <c r="P144" i="16"/>
  <c r="N107" i="16"/>
  <c r="L6" i="2"/>
  <c r="L13" i="2"/>
  <c r="N114" i="16"/>
  <c r="N127" i="16"/>
  <c r="L26" i="2"/>
  <c r="N128" i="16"/>
  <c r="L27" i="2"/>
  <c r="L28" i="2"/>
  <c r="N129" i="16"/>
  <c r="N131" i="16"/>
  <c r="L30" i="2"/>
  <c r="L31" i="2"/>
  <c r="N132" i="16"/>
  <c r="L32" i="2"/>
  <c r="N133" i="16"/>
  <c r="N134" i="16"/>
  <c r="L33" i="2"/>
  <c r="N135" i="16"/>
  <c r="L34" i="2"/>
  <c r="L35" i="2"/>
  <c r="N136" i="16"/>
  <c r="L36" i="2"/>
  <c r="N137" i="16"/>
  <c r="L37" i="2"/>
  <c r="N138" i="16"/>
  <c r="L38" i="2"/>
  <c r="N139" i="16"/>
  <c r="L39" i="2"/>
  <c r="N140" i="16"/>
  <c r="N141" i="16"/>
  <c r="L40" i="2"/>
  <c r="L41" i="2"/>
  <c r="N142" i="16"/>
  <c r="L42" i="2"/>
  <c r="N143" i="16"/>
  <c r="AA103" i="16"/>
  <c r="Y2" i="2"/>
  <c r="W49" i="16"/>
  <c r="AA7" i="2" l="1"/>
  <c r="AC108" i="16"/>
  <c r="AB7" i="2" s="1"/>
  <c r="Y14" i="2"/>
  <c r="AA115" i="16"/>
  <c r="Y15" i="2"/>
  <c r="AA116" i="16"/>
  <c r="Y16" i="2"/>
  <c r="AA117" i="16"/>
  <c r="Y17" i="2"/>
  <c r="AA118" i="16"/>
  <c r="AA119" i="16"/>
  <c r="Y18" i="2"/>
  <c r="AA120" i="16"/>
  <c r="Y19" i="2"/>
  <c r="Y20" i="2"/>
  <c r="AA121" i="16"/>
  <c r="AA122" i="16"/>
  <c r="Y21" i="2"/>
  <c r="AA123" i="16"/>
  <c r="Y22" i="2"/>
  <c r="Y23" i="2"/>
  <c r="AA124" i="16"/>
  <c r="Y24" i="2"/>
  <c r="AA125" i="16"/>
  <c r="Y25" i="2"/>
  <c r="AA126" i="16"/>
  <c r="Y29" i="2"/>
  <c r="AA130" i="16"/>
  <c r="Y8" i="2"/>
  <c r="AA109" i="16"/>
  <c r="Y9" i="2"/>
  <c r="AA110" i="16"/>
  <c r="Y10" i="2"/>
  <c r="AA111" i="16"/>
  <c r="Y11" i="2"/>
  <c r="AA112" i="16"/>
  <c r="Y12" i="2"/>
  <c r="AA113" i="16"/>
  <c r="W3" i="2"/>
  <c r="Y104" i="16"/>
  <c r="W4" i="2"/>
  <c r="Y105" i="16"/>
  <c r="Y106" i="16"/>
  <c r="W5" i="2"/>
  <c r="O43" i="2"/>
  <c r="Q144" i="16"/>
  <c r="M6" i="2"/>
  <c r="O107" i="16"/>
  <c r="O114" i="16"/>
  <c r="M13" i="2"/>
  <c r="M26" i="2"/>
  <c r="O127" i="16"/>
  <c r="O128" i="16"/>
  <c r="M27" i="2"/>
  <c r="M28" i="2"/>
  <c r="O129" i="16"/>
  <c r="M30" i="2"/>
  <c r="O131" i="16"/>
  <c r="M31" i="2"/>
  <c r="O132" i="16"/>
  <c r="M32" i="2"/>
  <c r="O133" i="16"/>
  <c r="M33" i="2"/>
  <c r="O134" i="16"/>
  <c r="M34" i="2"/>
  <c r="O135" i="16"/>
  <c r="M35" i="2"/>
  <c r="O136" i="16"/>
  <c r="M36" i="2"/>
  <c r="O137" i="16"/>
  <c r="M37" i="2"/>
  <c r="O138" i="16"/>
  <c r="M38" i="2"/>
  <c r="O139" i="16"/>
  <c r="M39" i="2"/>
  <c r="O140" i="16"/>
  <c r="M40" i="2"/>
  <c r="O141" i="16"/>
  <c r="M41" i="2"/>
  <c r="O142" i="16"/>
  <c r="M42" i="2"/>
  <c r="O143" i="16"/>
  <c r="AB103" i="16"/>
  <c r="Z2" i="2"/>
  <c r="X49" i="16"/>
  <c r="Z14" i="2" l="1"/>
  <c r="AB115" i="16"/>
  <c r="AB116" i="16"/>
  <c r="Z15" i="2"/>
  <c r="Z16" i="2"/>
  <c r="AB117" i="16"/>
  <c r="Z17" i="2"/>
  <c r="AB118" i="16"/>
  <c r="AB119" i="16"/>
  <c r="Z18" i="2"/>
  <c r="Z19" i="2"/>
  <c r="AB120" i="16"/>
  <c r="Z20" i="2"/>
  <c r="AB121" i="16"/>
  <c r="Z21" i="2"/>
  <c r="AB122" i="16"/>
  <c r="Z22" i="2"/>
  <c r="AB123" i="16"/>
  <c r="Z23" i="2"/>
  <c r="AB124" i="16"/>
  <c r="Z24" i="2"/>
  <c r="AB125" i="16"/>
  <c r="AB126" i="16"/>
  <c r="Z25" i="2"/>
  <c r="AB130" i="16"/>
  <c r="Z29" i="2"/>
  <c r="Z8" i="2"/>
  <c r="AB109" i="16"/>
  <c r="Z9" i="2"/>
  <c r="AB110" i="16"/>
  <c r="Z10" i="2"/>
  <c r="AB111" i="16"/>
  <c r="Z11" i="2"/>
  <c r="AB112" i="16"/>
  <c r="Z12" i="2"/>
  <c r="AB113" i="16"/>
  <c r="X3" i="2"/>
  <c r="Z104" i="16"/>
  <c r="X4" i="2"/>
  <c r="Z105" i="16"/>
  <c r="Z106" i="16"/>
  <c r="X5" i="2"/>
  <c r="P43" i="2"/>
  <c r="R144" i="16"/>
  <c r="P107" i="16"/>
  <c r="N6" i="2"/>
  <c r="N13" i="2"/>
  <c r="P114" i="16"/>
  <c r="N26" i="2"/>
  <c r="P127" i="16"/>
  <c r="P128" i="16"/>
  <c r="N27" i="2"/>
  <c r="N28" i="2"/>
  <c r="P129" i="16"/>
  <c r="P131" i="16"/>
  <c r="N30" i="2"/>
  <c r="N31" i="2"/>
  <c r="P132" i="16"/>
  <c r="N32" i="2"/>
  <c r="P133" i="16"/>
  <c r="N33" i="2"/>
  <c r="P134" i="16"/>
  <c r="P135" i="16"/>
  <c r="N34" i="2"/>
  <c r="N35" i="2"/>
  <c r="P136" i="16"/>
  <c r="N36" i="2"/>
  <c r="P137" i="16"/>
  <c r="N37" i="2"/>
  <c r="P138" i="16"/>
  <c r="N38" i="2"/>
  <c r="P139" i="16"/>
  <c r="N39" i="2"/>
  <c r="P140" i="16"/>
  <c r="P141" i="16"/>
  <c r="N40" i="2"/>
  <c r="N41" i="2"/>
  <c r="P142" i="16"/>
  <c r="N42" i="2"/>
  <c r="P143" i="16"/>
  <c r="AC103" i="16"/>
  <c r="AB2" i="2" s="1"/>
  <c r="AA2" i="2"/>
  <c r="Y49" i="16"/>
  <c r="AA14" i="2" l="1"/>
  <c r="AC115" i="16"/>
  <c r="AB14" i="2" s="1"/>
  <c r="AC116" i="16"/>
  <c r="AB15" i="2" s="1"/>
  <c r="AA15" i="2"/>
  <c r="AA16" i="2"/>
  <c r="AC117" i="16"/>
  <c r="AB16" i="2" s="1"/>
  <c r="AA17" i="2"/>
  <c r="AC118" i="16"/>
  <c r="AB17" i="2" s="1"/>
  <c r="AA18" i="2"/>
  <c r="AC119" i="16"/>
  <c r="AB18" i="2" s="1"/>
  <c r="AC120" i="16"/>
  <c r="AB19" i="2" s="1"/>
  <c r="AA19" i="2"/>
  <c r="AC121" i="16"/>
  <c r="AB20" i="2" s="1"/>
  <c r="AA20" i="2"/>
  <c r="AA21" i="2"/>
  <c r="AC122" i="16"/>
  <c r="AB21" i="2" s="1"/>
  <c r="AA22" i="2"/>
  <c r="AC123" i="16"/>
  <c r="AB22" i="2" s="1"/>
  <c r="AA23" i="2"/>
  <c r="AC124" i="16"/>
  <c r="AB23" i="2" s="1"/>
  <c r="AA24" i="2"/>
  <c r="AC125" i="16"/>
  <c r="AB24" i="2" s="1"/>
  <c r="AA25" i="2"/>
  <c r="AC126" i="16"/>
  <c r="AB25" i="2" s="1"/>
  <c r="AC130" i="16"/>
  <c r="AB29" i="2" s="1"/>
  <c r="AA29" i="2"/>
  <c r="AA8" i="2"/>
  <c r="AC109" i="16"/>
  <c r="AB8" i="2" s="1"/>
  <c r="AC110" i="16"/>
  <c r="AB9" i="2" s="1"/>
  <c r="AA9" i="2"/>
  <c r="AA10" i="2"/>
  <c r="AC111" i="16"/>
  <c r="AB10" i="2" s="1"/>
  <c r="AA11" i="2"/>
  <c r="AC112" i="16"/>
  <c r="AB11" i="2" s="1"/>
  <c r="AA12" i="2"/>
  <c r="AC113" i="16"/>
  <c r="AB12" i="2" s="1"/>
  <c r="Y3" i="2"/>
  <c r="AA104" i="16"/>
  <c r="Y4" i="2"/>
  <c r="AA105" i="16"/>
  <c r="Y5" i="2"/>
  <c r="AA106" i="16"/>
  <c r="Q43" i="2"/>
  <c r="S144" i="16"/>
  <c r="O6" i="2"/>
  <c r="Q107" i="16"/>
  <c r="O13" i="2"/>
  <c r="Q114" i="16"/>
  <c r="O26" i="2"/>
  <c r="Q127" i="16"/>
  <c r="Q128" i="16"/>
  <c r="O27" i="2"/>
  <c r="O28" i="2"/>
  <c r="Q129" i="16"/>
  <c r="O30" i="2"/>
  <c r="Q131" i="16"/>
  <c r="O31" i="2"/>
  <c r="Q132" i="16"/>
  <c r="O32" i="2"/>
  <c r="Q133" i="16"/>
  <c r="O33" i="2"/>
  <c r="Q134" i="16"/>
  <c r="O34" i="2"/>
  <c r="Q135" i="16"/>
  <c r="O35" i="2"/>
  <c r="Q136" i="16"/>
  <c r="O36" i="2"/>
  <c r="Q137" i="16"/>
  <c r="O37" i="2"/>
  <c r="Q138" i="16"/>
  <c r="O38" i="2"/>
  <c r="Q139" i="16"/>
  <c r="O39" i="2"/>
  <c r="Q140" i="16"/>
  <c r="Q141" i="16"/>
  <c r="O40" i="2"/>
  <c r="O41" i="2"/>
  <c r="Q142" i="16"/>
  <c r="O42" i="2"/>
  <c r="Q143" i="16"/>
  <c r="Z49" i="16"/>
  <c r="Z3" i="2" l="1"/>
  <c r="AB104" i="16"/>
  <c r="AB105" i="16"/>
  <c r="Z4" i="2"/>
  <c r="AB106" i="16"/>
  <c r="Z5" i="2"/>
  <c r="R43" i="2"/>
  <c r="T144" i="16"/>
  <c r="R107" i="16"/>
  <c r="P6" i="2"/>
  <c r="R114" i="16"/>
  <c r="P13" i="2"/>
  <c r="P26" i="2"/>
  <c r="R127" i="16"/>
  <c r="P27" i="2"/>
  <c r="R128" i="16"/>
  <c r="R129" i="16"/>
  <c r="P28" i="2"/>
  <c r="P30" i="2"/>
  <c r="R131" i="16"/>
  <c r="R132" i="16"/>
  <c r="P31" i="2"/>
  <c r="P32" i="2"/>
  <c r="R133" i="16"/>
  <c r="R134" i="16"/>
  <c r="P33" i="2"/>
  <c r="R135" i="16"/>
  <c r="P34" i="2"/>
  <c r="P35" i="2"/>
  <c r="R136" i="16"/>
  <c r="P36" i="2"/>
  <c r="R137" i="16"/>
  <c r="P37" i="2"/>
  <c r="R138" i="16"/>
  <c r="P38" i="2"/>
  <c r="R139" i="16"/>
  <c r="R140" i="16"/>
  <c r="P39" i="2"/>
  <c r="P40" i="2"/>
  <c r="R141" i="16"/>
  <c r="P41" i="2"/>
  <c r="R142" i="16"/>
  <c r="R143" i="16"/>
  <c r="P42" i="2"/>
  <c r="AA49" i="16"/>
  <c r="AC104" i="16" l="1"/>
  <c r="AB3" i="2" s="1"/>
  <c r="AA3" i="2"/>
  <c r="AC105" i="16"/>
  <c r="AB4" i="2" s="1"/>
  <c r="AA4" i="2"/>
  <c r="AC106" i="16"/>
  <c r="AB5" i="2" s="1"/>
  <c r="AA5" i="2"/>
  <c r="S43" i="2"/>
  <c r="U144" i="16"/>
  <c r="Q6" i="2"/>
  <c r="S107" i="16"/>
  <c r="S114" i="16"/>
  <c r="Q13" i="2"/>
  <c r="S127" i="16"/>
  <c r="Q26" i="2"/>
  <c r="Q27" i="2"/>
  <c r="S128" i="16"/>
  <c r="S129" i="16"/>
  <c r="Q28" i="2"/>
  <c r="S131" i="16"/>
  <c r="Q30" i="2"/>
  <c r="Q31" i="2"/>
  <c r="S132" i="16"/>
  <c r="S133" i="16"/>
  <c r="Q32" i="2"/>
  <c r="Q33" i="2"/>
  <c r="S134" i="16"/>
  <c r="S135" i="16"/>
  <c r="Q34" i="2"/>
  <c r="Q35" i="2"/>
  <c r="S136" i="16"/>
  <c r="Q36" i="2"/>
  <c r="S137" i="16"/>
  <c r="S138" i="16"/>
  <c r="Q37" i="2"/>
  <c r="Q38" i="2"/>
  <c r="S139" i="16"/>
  <c r="S140" i="16"/>
  <c r="Q39" i="2"/>
  <c r="Q40" i="2"/>
  <c r="S141" i="16"/>
  <c r="Q41" i="2"/>
  <c r="S142" i="16"/>
  <c r="Q42" i="2"/>
  <c r="S143" i="16"/>
  <c r="AC49" i="16"/>
  <c r="AB49" i="16"/>
  <c r="T43" i="2" l="1"/>
  <c r="V144" i="16"/>
  <c r="R6" i="2"/>
  <c r="T107" i="16"/>
  <c r="R13" i="2"/>
  <c r="T114" i="16"/>
  <c r="R26" i="2"/>
  <c r="T127" i="16"/>
  <c r="T128" i="16"/>
  <c r="R27" i="2"/>
  <c r="R28" i="2"/>
  <c r="T129" i="16"/>
  <c r="T131" i="16"/>
  <c r="R30" i="2"/>
  <c r="R31" i="2"/>
  <c r="T132" i="16"/>
  <c r="R32" i="2"/>
  <c r="T133" i="16"/>
  <c r="R33" i="2"/>
  <c r="T134" i="16"/>
  <c r="T135" i="16"/>
  <c r="R34" i="2"/>
  <c r="R35" i="2"/>
  <c r="T136" i="16"/>
  <c r="R36" i="2"/>
  <c r="T137" i="16"/>
  <c r="R37" i="2"/>
  <c r="T138" i="16"/>
  <c r="R38" i="2"/>
  <c r="T139" i="16"/>
  <c r="R39" i="2"/>
  <c r="T140" i="16"/>
  <c r="R40" i="2"/>
  <c r="T141" i="16"/>
  <c r="T142" i="16"/>
  <c r="R41" i="2"/>
  <c r="R42" i="2"/>
  <c r="T143" i="16"/>
  <c r="U43" i="2" l="1"/>
  <c r="W144" i="16"/>
  <c r="S6" i="2"/>
  <c r="U107" i="16"/>
  <c r="S13" i="2"/>
  <c r="U114" i="16"/>
  <c r="U127" i="16"/>
  <c r="S26" i="2"/>
  <c r="U128" i="16"/>
  <c r="S27" i="2"/>
  <c r="S28" i="2"/>
  <c r="U129" i="16"/>
  <c r="U131" i="16"/>
  <c r="S30" i="2"/>
  <c r="S31" i="2"/>
  <c r="U132" i="16"/>
  <c r="S32" i="2"/>
  <c r="U133" i="16"/>
  <c r="S33" i="2"/>
  <c r="U134" i="16"/>
  <c r="S34" i="2"/>
  <c r="U135" i="16"/>
  <c r="S35" i="2"/>
  <c r="U136" i="16"/>
  <c r="U137" i="16"/>
  <c r="S36" i="2"/>
  <c r="S37" i="2"/>
  <c r="U138" i="16"/>
  <c r="U139" i="16"/>
  <c r="S38" i="2"/>
  <c r="U140" i="16"/>
  <c r="S39" i="2"/>
  <c r="S40" i="2"/>
  <c r="U141" i="16"/>
  <c r="S41" i="2"/>
  <c r="U142" i="16"/>
  <c r="S42" i="2"/>
  <c r="U143" i="16"/>
  <c r="V43" i="2" l="1"/>
  <c r="X144" i="16"/>
  <c r="T6" i="2"/>
  <c r="V107" i="16"/>
  <c r="T13" i="2"/>
  <c r="V114" i="16"/>
  <c r="T26" i="2"/>
  <c r="V127" i="16"/>
  <c r="V128" i="16"/>
  <c r="T27" i="2"/>
  <c r="T28" i="2"/>
  <c r="V129" i="16"/>
  <c r="V131" i="16"/>
  <c r="T30" i="2"/>
  <c r="T31" i="2"/>
  <c r="V132" i="16"/>
  <c r="T32" i="2"/>
  <c r="V133" i="16"/>
  <c r="T33" i="2"/>
  <c r="V134" i="16"/>
  <c r="T34" i="2"/>
  <c r="V135" i="16"/>
  <c r="T35" i="2"/>
  <c r="V136" i="16"/>
  <c r="T36" i="2"/>
  <c r="V137" i="16"/>
  <c r="T37" i="2"/>
  <c r="V138" i="16"/>
  <c r="T38" i="2"/>
  <c r="V139" i="16"/>
  <c r="T39" i="2"/>
  <c r="V140" i="16"/>
  <c r="T40" i="2"/>
  <c r="V141" i="16"/>
  <c r="T41" i="2"/>
  <c r="V142" i="16"/>
  <c r="T42" i="2"/>
  <c r="V143" i="16"/>
  <c r="W43" i="2" l="1"/>
  <c r="Y144" i="16"/>
  <c r="U6" i="2"/>
  <c r="W107" i="16"/>
  <c r="U13" i="2"/>
  <c r="W114" i="16"/>
  <c r="U26" i="2"/>
  <c r="W127" i="16"/>
  <c r="W128" i="16"/>
  <c r="U27" i="2"/>
  <c r="U28" i="2"/>
  <c r="W129" i="16"/>
  <c r="W131" i="16"/>
  <c r="U30" i="2"/>
  <c r="U31" i="2"/>
  <c r="W132" i="16"/>
  <c r="U32" i="2"/>
  <c r="W133" i="16"/>
  <c r="U33" i="2"/>
  <c r="W134" i="16"/>
  <c r="W135" i="16"/>
  <c r="U34" i="2"/>
  <c r="U35" i="2"/>
  <c r="W136" i="16"/>
  <c r="U36" i="2"/>
  <c r="W137" i="16"/>
  <c r="U37" i="2"/>
  <c r="W138" i="16"/>
  <c r="U38" i="2"/>
  <c r="W139" i="16"/>
  <c r="U39" i="2"/>
  <c r="W140" i="16"/>
  <c r="U40" i="2"/>
  <c r="W141" i="16"/>
  <c r="U41" i="2"/>
  <c r="W142" i="16"/>
  <c r="U42" i="2"/>
  <c r="W143" i="16"/>
  <c r="Z144" i="16" l="1"/>
  <c r="X43" i="2"/>
  <c r="X107" i="16"/>
  <c r="V6" i="2"/>
  <c r="V13" i="2"/>
  <c r="X114" i="16"/>
  <c r="V26" i="2"/>
  <c r="X127" i="16"/>
  <c r="X128" i="16"/>
  <c r="V27" i="2"/>
  <c r="V28" i="2"/>
  <c r="X129" i="16"/>
  <c r="V30" i="2"/>
  <c r="X131" i="16"/>
  <c r="V31" i="2"/>
  <c r="X132" i="16"/>
  <c r="V32" i="2"/>
  <c r="X133" i="16"/>
  <c r="V33" i="2"/>
  <c r="X134" i="16"/>
  <c r="V34" i="2"/>
  <c r="X135" i="16"/>
  <c r="V35" i="2"/>
  <c r="X136" i="16"/>
  <c r="V36" i="2"/>
  <c r="X137" i="16"/>
  <c r="V37" i="2"/>
  <c r="X138" i="16"/>
  <c r="V38" i="2"/>
  <c r="X139" i="16"/>
  <c r="V39" i="2"/>
  <c r="X140" i="16"/>
  <c r="V40" i="2"/>
  <c r="X141" i="16"/>
  <c r="V41" i="2"/>
  <c r="X142" i="16"/>
  <c r="V42" i="2"/>
  <c r="X143" i="16"/>
  <c r="Y43" i="2" l="1"/>
  <c r="AA144" i="16"/>
  <c r="W6" i="2"/>
  <c r="Y107" i="16"/>
  <c r="W13" i="2"/>
  <c r="Y114" i="16"/>
  <c r="W26" i="2"/>
  <c r="Y127" i="16"/>
  <c r="W27" i="2"/>
  <c r="Y128" i="16"/>
  <c r="W28" i="2"/>
  <c r="Y129" i="16"/>
  <c r="W30" i="2"/>
  <c r="Y131" i="16"/>
  <c r="W31" i="2"/>
  <c r="Y132" i="16"/>
  <c r="W32" i="2"/>
  <c r="Y133" i="16"/>
  <c r="W33" i="2"/>
  <c r="Y134" i="16"/>
  <c r="W34" i="2"/>
  <c r="Y135" i="16"/>
  <c r="Y136" i="16"/>
  <c r="W35" i="2"/>
  <c r="W36" i="2"/>
  <c r="Y137" i="16"/>
  <c r="W37" i="2"/>
  <c r="Y138" i="16"/>
  <c r="W38" i="2"/>
  <c r="Y139" i="16"/>
  <c r="W39" i="2"/>
  <c r="Y140" i="16"/>
  <c r="W40" i="2"/>
  <c r="Y141" i="16"/>
  <c r="Y142" i="16"/>
  <c r="W41" i="2"/>
  <c r="W42" i="2"/>
  <c r="Y143" i="16"/>
  <c r="AB144" i="16" l="1"/>
  <c r="Z43" i="2"/>
  <c r="Z107" i="16"/>
  <c r="X6" i="2"/>
  <c r="X13" i="2"/>
  <c r="Z114" i="16"/>
  <c r="X26" i="2"/>
  <c r="Z127" i="16"/>
  <c r="X27" i="2"/>
  <c r="Z128" i="16"/>
  <c r="X28" i="2"/>
  <c r="Z129" i="16"/>
  <c r="Z131" i="16"/>
  <c r="X30" i="2"/>
  <c r="Z132" i="16"/>
  <c r="X31" i="2"/>
  <c r="X32" i="2"/>
  <c r="Z133" i="16"/>
  <c r="X33" i="2"/>
  <c r="Z134" i="16"/>
  <c r="X34" i="2"/>
  <c r="Z135" i="16"/>
  <c r="X35" i="2"/>
  <c r="Z136" i="16"/>
  <c r="Z137" i="16"/>
  <c r="X36" i="2"/>
  <c r="X37" i="2"/>
  <c r="Z138" i="16"/>
  <c r="Z139" i="16"/>
  <c r="X38" i="2"/>
  <c r="X39" i="2"/>
  <c r="Z140" i="16"/>
  <c r="X40" i="2"/>
  <c r="Z141" i="16"/>
  <c r="X41" i="2"/>
  <c r="Z142" i="16"/>
  <c r="Z143" i="16"/>
  <c r="X42" i="2"/>
  <c r="AA43" i="2" l="1"/>
  <c r="AC144" i="16"/>
  <c r="AB43" i="2" s="1"/>
  <c r="AA107" i="16"/>
  <c r="Y6" i="2"/>
  <c r="Y13" i="2"/>
  <c r="AA114" i="16"/>
  <c r="AA127" i="16"/>
  <c r="Y26" i="2"/>
  <c r="Y27" i="2"/>
  <c r="AA128" i="16"/>
  <c r="Y28" i="2"/>
  <c r="AA129" i="16"/>
  <c r="Y30" i="2"/>
  <c r="AA131" i="16"/>
  <c r="Y31" i="2"/>
  <c r="AA132" i="16"/>
  <c r="Y32" i="2"/>
  <c r="AA133" i="16"/>
  <c r="AA134" i="16"/>
  <c r="Y33" i="2"/>
  <c r="Y34" i="2"/>
  <c r="AA135" i="16"/>
  <c r="Y35" i="2"/>
  <c r="AA136" i="16"/>
  <c r="Y36" i="2"/>
  <c r="AA137" i="16"/>
  <c r="Y37" i="2"/>
  <c r="AA138" i="16"/>
  <c r="Y38" i="2"/>
  <c r="AA139" i="16"/>
  <c r="Y39" i="2"/>
  <c r="AA140" i="16"/>
  <c r="Y40" i="2"/>
  <c r="AA141" i="16"/>
  <c r="Y41" i="2"/>
  <c r="AA142" i="16"/>
  <c r="Y42" i="2"/>
  <c r="AA143" i="16"/>
  <c r="Z6" i="2" l="1"/>
  <c r="AB107" i="16"/>
  <c r="Z13" i="2"/>
  <c r="AB114" i="16"/>
  <c r="Z26" i="2"/>
  <c r="AB127" i="16"/>
  <c r="Z27" i="2"/>
  <c r="AB128" i="16"/>
  <c r="AB129" i="16"/>
  <c r="Z28" i="2"/>
  <c r="Z30" i="2"/>
  <c r="AB131" i="16"/>
  <c r="AB132" i="16"/>
  <c r="Z31" i="2"/>
  <c r="Z32" i="2"/>
  <c r="AB133" i="16"/>
  <c r="Z33" i="2"/>
  <c r="AB134" i="16"/>
  <c r="AB135" i="16"/>
  <c r="Z34" i="2"/>
  <c r="AB136" i="16"/>
  <c r="Z35" i="2"/>
  <c r="Z36" i="2"/>
  <c r="AB137" i="16"/>
  <c r="Z37" i="2"/>
  <c r="AB138" i="16"/>
  <c r="Z38" i="2"/>
  <c r="AB139" i="16"/>
  <c r="Z39" i="2"/>
  <c r="AB140" i="16"/>
  <c r="Z40" i="2"/>
  <c r="AB141" i="16"/>
  <c r="Z41" i="2"/>
  <c r="AB142" i="16"/>
  <c r="Z42" i="2"/>
  <c r="AB143" i="16"/>
  <c r="AA6" i="2" l="1"/>
  <c r="AC107" i="16"/>
  <c r="AB6" i="2" s="1"/>
  <c r="AA13" i="2"/>
  <c r="AC114" i="16"/>
  <c r="AB13" i="2" s="1"/>
  <c r="AC127" i="16"/>
  <c r="AB26" i="2" s="1"/>
  <c r="AA26" i="2"/>
  <c r="AA27" i="2"/>
  <c r="AC128" i="16"/>
  <c r="AB27" i="2" s="1"/>
  <c r="AA28" i="2"/>
  <c r="AC129" i="16"/>
  <c r="AB28" i="2" s="1"/>
  <c r="AC131" i="16"/>
  <c r="AB30" i="2" s="1"/>
  <c r="AA30" i="2"/>
  <c r="AA31" i="2"/>
  <c r="AC132" i="16"/>
  <c r="AB31" i="2" s="1"/>
  <c r="AA32" i="2"/>
  <c r="AC133" i="16"/>
  <c r="AB32" i="2" s="1"/>
  <c r="AA33" i="2"/>
  <c r="AC134" i="16"/>
  <c r="AB33" i="2" s="1"/>
  <c r="AC135" i="16"/>
  <c r="AB34" i="2" s="1"/>
  <c r="AA34" i="2"/>
  <c r="AA35" i="2"/>
  <c r="AC136" i="16"/>
  <c r="AB35" i="2" s="1"/>
  <c r="AA36" i="2"/>
  <c r="AC137" i="16"/>
  <c r="AB36" i="2" s="1"/>
  <c r="AA37" i="2"/>
  <c r="AC138" i="16"/>
  <c r="AB37" i="2" s="1"/>
  <c r="AA38" i="2"/>
  <c r="AC139" i="16"/>
  <c r="AB38" i="2" s="1"/>
  <c r="AA39" i="2"/>
  <c r="AC140" i="16"/>
  <c r="AB39" i="2" s="1"/>
  <c r="AA40" i="2"/>
  <c r="AC141" i="16"/>
  <c r="AB40" i="2" s="1"/>
  <c r="AA41" i="2"/>
  <c r="AC142" i="16"/>
  <c r="AB41" i="2" s="1"/>
  <c r="AA42" i="2"/>
  <c r="AC143" i="16"/>
  <c r="AB4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 O'Brien</author>
  </authors>
  <commentList>
    <comment ref="B30" authorId="0" shapeId="0" xr:uid="{5C42EEE7-EE22-48F8-A855-235EBCA5C2A2}">
      <text>
        <r>
          <rPr>
            <b/>
            <sz val="9"/>
            <color indexed="81"/>
            <rFont val="Tahoma"/>
            <charset val="1"/>
          </rPr>
          <t>Dan O'Brien:</t>
        </r>
        <r>
          <rPr>
            <sz val="9"/>
            <color indexed="81"/>
            <rFont val="Tahoma"/>
            <charset val="1"/>
          </rPr>
          <t xml:space="preserve">
NAICS 324199 is categorized under the iron and steel industrial demand module in NEMS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<sst xmlns="http://schemas.openxmlformats.org/spreadsheetml/2006/main" count="2772" uniqueCount="1130">
  <si>
    <t>Source:</t>
  </si>
  <si>
    <t>Notes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</si>
  <si>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</si>
  <si>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</si>
  <si>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</si>
  <si>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</si>
  <si>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</si>
  <si>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</si>
  <si>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</si>
  <si>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</si>
  <si>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</si>
  <si>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</si>
  <si>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</si>
  <si>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</si>
  <si>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</si>
  <si>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</si>
  <si>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</si>
  <si>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</si>
  <si>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</si>
  <si>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</si>
  <si>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</si>
  <si>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</si>
  <si>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</si>
  <si>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</si>
  <si>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</si>
  <si>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</si>
  <si>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</si>
  <si>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</si>
  <si>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</si>
  <si>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</si>
  <si>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</si>
  <si>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</si>
  <si>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</si>
  <si>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ISIC 20</t>
  </si>
  <si>
    <t>ISIC 21</t>
  </si>
  <si>
    <t>U.S. Bureau of Labor Statistics</t>
  </si>
  <si>
    <t>ISIC 05</t>
  </si>
  <si>
    <t>ISIC 06</t>
  </si>
  <si>
    <t>ISIC 231</t>
  </si>
  <si>
    <t>ISIC 239</t>
  </si>
  <si>
    <t>ISIC 241</t>
  </si>
  <si>
    <t>ISIC 242</t>
  </si>
  <si>
    <t>ISIC 351</t>
  </si>
  <si>
    <t>ISIC 352T353</t>
  </si>
  <si>
    <t>ISIC 36T39</t>
  </si>
  <si>
    <t>ISM000:ba_GDP(billionm_</t>
  </si>
  <si>
    <t>Gross Domestic Product (billion 2012 dollars)</t>
  </si>
  <si>
    <t>ISM000:ca_NonfarmEmploy</t>
  </si>
  <si>
    <t>Nonfarm Employment (millions)</t>
  </si>
  <si>
    <t>Value of Shipments (billion 2012 dollars)</t>
  </si>
  <si>
    <t>Nonmanufacturing Sector</t>
  </si>
  <si>
    <t>ISM000:ea_Agricultural</t>
  </si>
  <si>
    <t>ISM000:ea_Mining</t>
  </si>
  <si>
    <t>ISM000:ea_Construction</t>
  </si>
  <si>
    <t>Manufacturing Sector</t>
  </si>
  <si>
    <t>ISM000:fa_FoodandKindre</t>
  </si>
  <si>
    <t>ISM000:fa_BeveragesandT</t>
  </si>
  <si>
    <t>ISM000:fa_TextileMillPr</t>
  </si>
  <si>
    <t>ISM000:fa_LumberandWood</t>
  </si>
  <si>
    <t>ISM000:fa_FurnitureandF</t>
  </si>
  <si>
    <t>ISM000:fa_PaperandAllie</t>
  </si>
  <si>
    <t>ISM000:fa_PrintingandPu</t>
  </si>
  <si>
    <t>ISM000:fa_ChemicalandAl</t>
  </si>
  <si>
    <t>ISM000:fa_BulkChemicals</t>
  </si>
  <si>
    <t>ISM000:fa_Inorganic</t>
  </si>
  <si>
    <t>ISM000:fa_Organic</t>
  </si>
  <si>
    <t>ISM000:fa_Resins</t>
  </si>
  <si>
    <t>ISM000:fa_AgriculturalC</t>
  </si>
  <si>
    <t>ISM000:fa_OtherChemical</t>
  </si>
  <si>
    <t>ISM000:fa_PetroleumandC</t>
  </si>
  <si>
    <t>ISM000:fa_PetroleumRefi</t>
  </si>
  <si>
    <t>ISM000:fa_OtherPetroleu</t>
  </si>
  <si>
    <t>ISM000:fa_RubberandMisc</t>
  </si>
  <si>
    <t>ISM000:fa_Stone,Clay,an</t>
  </si>
  <si>
    <t>ISM000:fa_GlassandGlass</t>
  </si>
  <si>
    <t>ISM000:fa_CementandHydr</t>
  </si>
  <si>
    <t>ISM000:fa_OtherStone,Cl</t>
  </si>
  <si>
    <t>ISM000:ga_PrimaryMetals</t>
  </si>
  <si>
    <t>ISM000:ga_BlastFurnacea</t>
  </si>
  <si>
    <t>ISM000:ga_Aluminum</t>
  </si>
  <si>
    <t>ISM000:ga_OtherPrimaryM</t>
  </si>
  <si>
    <t>ISM000:ga_FabricatedMet</t>
  </si>
  <si>
    <t>ISM000:ga_IndustrialMac</t>
  </si>
  <si>
    <t>ISM000:ga_Electronicand</t>
  </si>
  <si>
    <t>ISM000:ga_Transportatio</t>
  </si>
  <si>
    <t>ISM000:ga_Instrumentsan</t>
  </si>
  <si>
    <t>ISM000:ga_Miscellaneous</t>
  </si>
  <si>
    <t>ISM000:ha_TotalIndustri</t>
  </si>
  <si>
    <t>Total Industrial Value of Shipments</t>
  </si>
  <si>
    <t>U.S. EIA</t>
  </si>
  <si>
    <t>https://www.eia.gov/outlooks/aeo/tables_ref.php</t>
  </si>
  <si>
    <t>Table 23: Industrial Sector Macroeconomic Indicators</t>
  </si>
  <si>
    <t>Industry Output and Employment</t>
  </si>
  <si>
    <t>https://www.bls.gov/emp/tables/industry-employment-and-output.htm</t>
  </si>
  <si>
    <t>Assigned ISIC Code</t>
  </si>
  <si>
    <t>Compound Growth Rate (output-weighted average of components of each ISIC code)</t>
  </si>
  <si>
    <t>BLS Data</t>
  </si>
  <si>
    <t>ISIC 05, ISIC 06, ISIC 07T08</t>
  </si>
  <si>
    <t>ISIC 29, ISIC 30</t>
  </si>
  <si>
    <t>Chosen Rates by Year</t>
  </si>
  <si>
    <t>BPCiObIC BAU Percent Change in Output by ISIC Code</t>
  </si>
  <si>
    <t>Unit: dimensionless (% change)</t>
  </si>
  <si>
    <t>Now that we have growth rates by ISIC code, we rescale all growth rates together such that BAU Value Added</t>
  </si>
  <si>
    <t>(summed across ISIC codes) reflects the BAU GDP projection in the final year of the model run.</t>
  </si>
  <si>
    <t>We need a set of scaling factors to convert the I/O variables that contain static data (for one historical year)</t>
  </si>
  <si>
    <t>to future time series data.</t>
  </si>
  <si>
    <t>We base these scaling factors on the projected change in output for each ISIC code, which is readily</t>
  </si>
  <si>
    <t>because we need to know how industries grow or shrink relative to one-another, not just how they</t>
  </si>
  <si>
    <t>available disaggregated by ISIC code.  It is crucial for these projections to be disaggregated by ISIC code,</t>
  </si>
  <si>
    <t>grow or shrink overall to fit GDP growth.</t>
  </si>
  <si>
    <t>For the U.S., we use projections from the BLS and EIA AEO.  The BLS has growth rates for all ISIC codes,</t>
  </si>
  <si>
    <t>but only out to 2029.  The EIA has projections for only certain ISIC codes, but out to 2050.</t>
  </si>
  <si>
    <t>the growth in total Value Added across the economy equals the growth of GDP (on a percentage basis),</t>
  </si>
  <si>
    <t>which ensures our results are aligned to the top-level GDP projection while preserving differences</t>
  </si>
  <si>
    <t>in underlying growth (or shrinkage) of specific ISIC codes.</t>
  </si>
  <si>
    <t>If you do not have projected changes in output (or any other useful quantity, such as employment</t>
  </si>
  <si>
    <t>changes in which industries will become more or less important relative to one another, but at least</t>
  </si>
  <si>
    <t>value added, employment, etc.).</t>
  </si>
  <si>
    <t>Note for Adaptation to Other Regions that Lack Projections Disaggregated by ISIC Code</t>
  </si>
  <si>
    <t>or value added) for future years, you should use the percent change in GDP from input variable io-model/BGDP</t>
  </si>
  <si>
    <t>for each modeled year (i.e., the change in GDP relative to GDP in the year of your I/O data) for all</t>
  </si>
  <si>
    <t>ISIC codes in this variable.  This will fail to capture underlying</t>
  </si>
  <si>
    <t>it allows the model to function and gives correct overall magnitude of the I/O variables (such as GDP,</t>
  </si>
  <si>
    <t>Future Year Projected Changes in Output by ISIC Code</t>
  </si>
  <si>
    <t>Value (2012 USD)</t>
  </si>
  <si>
    <t>We adjust projected output and domestic content shares by our calculations for the impact of</t>
  </si>
  <si>
    <t xml:space="preserve">the Inflation Reduction Act (see tab for methodology). </t>
  </si>
  <si>
    <t>AEO</t>
  </si>
  <si>
    <t>Total GDP</t>
  </si>
  <si>
    <t>Toal GDP - sum of AEO projections</t>
  </si>
  <si>
    <t>GDP Check</t>
  </si>
  <si>
    <t>Difference between scaled data and GDP forecast (double check)</t>
  </si>
  <si>
    <t>Non-AEO Scaling Factor to Fit GDP Projection</t>
  </si>
  <si>
    <t>GDP Projection (see BGDP)</t>
  </si>
  <si>
    <t>Because energy demand projections for those ISIC codes come directly from EIA (see indst/BIFUbC),</t>
  </si>
  <si>
    <t>we use those growth rates directly. For all others, we use BLS and rescale the growth rates such that,</t>
  </si>
  <si>
    <t>when applied to Value Added quantities,</t>
  </si>
  <si>
    <t>Scaled Annual Growth Rates</t>
  </si>
  <si>
    <t>Scaled Compounded Growth Relative to Start Year Data</t>
  </si>
  <si>
    <t>billion 2012 $</t>
  </si>
  <si>
    <t>AEO.2025.HIGHZTC.ECI_VOS_IDAL_NA_NA_NA_NA_BLNY09DLR.A</t>
  </si>
  <si>
    <t>Industrial Macroeconomic: Total Industrial Value of Shipments: High Zero-Carbon Technology Cost</t>
  </si>
  <si>
    <t>AEO.2025.HIGHZTC.ECI_VOS_MANF_MISC_NA_NA_NA_BLNY09DLR.A</t>
  </si>
  <si>
    <t>Industrial Macroeconomic: Manufacturing: Miscellaneous Manufacturing: High Zero-Carbon Technology Cost</t>
  </si>
  <si>
    <t>Miscellaneous Manufacturing</t>
  </si>
  <si>
    <t>AEO.2025.HIGHZTC.ECI_VOS_MANF_EEQ_NA_NA_NA_BLNY09DLR.A</t>
  </si>
  <si>
    <t>Industrial Macroeconomic: Manufacturing: Electrical Equipment: High Zero-Carbon Technology Cost</t>
  </si>
  <si>
    <t>Electrical Equipment</t>
  </si>
  <si>
    <t>AEO.2025.HIGHZTC.ECI_VOS_MANF_TEQ_NA_NA_NA_BLNY09DLR.A</t>
  </si>
  <si>
    <t>Industrial Macroeconomic: Manufacturing: Transportation Equipment: High Zero-Carbon Technology Cost</t>
  </si>
  <si>
    <t>Transportation Equipment</t>
  </si>
  <si>
    <t>AEO.2025.HIGHZTC.ECI_VOS_MANF_CMPEL_NA_NA_NA_BLNY09DLR.A</t>
  </si>
  <si>
    <t>Industrial Macroeconomic: Manufacturing: Computers and Electronics: High Zero-Carbon Technology Cost</t>
  </si>
  <si>
    <t>Computers and Electronics</t>
  </si>
  <si>
    <t>AEO.2025.HIGHZTC.ECI_VOS_MANF_MCHI_NA_NA_NA_BLNY09DLR.A</t>
  </si>
  <si>
    <t>Industrial Macroeconomic: Manufacturing: Machinery: High Zero-Carbon Technology Cost</t>
  </si>
  <si>
    <t>Machinery</t>
  </si>
  <si>
    <t>AEO.2025.HIGHZTC.ECI_VOS_MANF_FBP_NA_NA_NA_BLNY09DLR.A</t>
  </si>
  <si>
    <t>Industrial Macroeconomic: Manufacturing: Fabricated Metal Products: High Zero-Carbon Technology Cost</t>
  </si>
  <si>
    <t>Fabricated Metal Products</t>
  </si>
  <si>
    <t>AEO.2025.HIGHZTC.ECI_VOS_MANF_PMO_NA_NA_NA_BLNY09DLR.A</t>
  </si>
  <si>
    <t>Industrial Macroeconomic: Manufacturing: Primary Metals: Other Primary Metal Products: High Zero-Carbon Technology Cost</t>
  </si>
  <si>
    <t>Other Primary Metal Products</t>
  </si>
  <si>
    <t>AEO.2025.HIGHZTC.ECI_VOS_MANF_AAP_NA_NA_NA_BLNY09DLR.A</t>
  </si>
  <si>
    <t>Industrial Macroeconomic: Manufacturing: Primary Metals: Alumina and Aluminum Products: High Zero-Carbon Technology Cost</t>
  </si>
  <si>
    <t>Alumina and Aluminum Products</t>
  </si>
  <si>
    <t>AEO.2025.HIGHZTC.ECI_VOS_MANF_ISM_NA_NA_NA_BLNY09DLR.A</t>
  </si>
  <si>
    <t>Industrial Macroeconomic: Manufacturing: Primary Metals: Iron and Steel Mills and Products: High Zero-Carbon Technology Cost</t>
  </si>
  <si>
    <t>Iron and Steel Mills and Products</t>
  </si>
  <si>
    <t>AEO.2025.HIGHZTC.ECI_VOS_MANF_PMM_NA_NA_NA_BLNY09DLR.A</t>
  </si>
  <si>
    <t>Industrial Macroeconomic: Manufacturing: Primary Metals Industry: High Zero-Carbon Technology Cost</t>
  </si>
  <si>
    <t>Primary Metals Industry</t>
  </si>
  <si>
    <t>AEO.2025.HIGHZTC.ECI_VOS_MANF_SCGOM_NA_NA_NA_BLNY09DLR.A</t>
  </si>
  <si>
    <t>Industrial Macroeconomic: Manufacturing: Stone, Clay, and Glass: Other Nonmetallic Mineral Products: High Zero-Carbon Technology Cost</t>
  </si>
  <si>
    <t>Other Nonmetallic Mineral Products</t>
  </si>
  <si>
    <t>AEO.2025.HIGHZTC.ECI_VOS_MANF_SCGCL_NA_NA_NA_BLNY09DLR.A</t>
  </si>
  <si>
    <t>Industrial Macroeconomic: Manufacturing: Stone, Clay, and Glass: Cement and Lime: High Zero-Carbon Technology Cost</t>
  </si>
  <si>
    <t>Cement and Lime</t>
  </si>
  <si>
    <t>AEO.2025.HIGHZTC.ECI_VOS_MANF_SCGG_NA_NA_NA_BLNY09DLR.A</t>
  </si>
  <si>
    <t>Industrial Macroeconomic: Manufacturing: Stone, Clay, and Glass: Glass and Glass Products: High Zero-Carbon Technology Cost</t>
  </si>
  <si>
    <t>Glass and Glass Products</t>
  </si>
  <si>
    <t>AEO.2025.HIGHZTC.ECI_VOS_MANF_SCG_NA_NA_NA_BLNY09DLR.A</t>
  </si>
  <si>
    <t>Industrial Macroeconomic: Manufacturing: Stone, Clay, and Glass Products: High Zero-Carbon Technology Cost</t>
  </si>
  <si>
    <t>Non-metallic minerals</t>
  </si>
  <si>
    <t>AEO.2025.HIGHZTC.ECI_VOS_MANF_PRP_NA_NA_NA_BLNY09DLR.A</t>
  </si>
  <si>
    <t>Industrial Macroeconomic: Manufacturing: Plastics and Rubber Products: High Zero-Carbon Technology Cost</t>
  </si>
  <si>
    <t>Plastics and Rubber Products</t>
  </si>
  <si>
    <t>AEO.2025.HIGHZTC.ECI_VOS_MANF_PCLO_NA_NA_NA_BLNY09DLR.A</t>
  </si>
  <si>
    <t>Industrial Macroeconomic: Manufacturing: Petroleum and Coal: Other Petroleum &amp; Coal Products: High Zero-Carbon Technology Cost</t>
  </si>
  <si>
    <t>Other Petroleum and Coal Products</t>
  </si>
  <si>
    <t>AEO.2025.HIGHZTC.ECI_VOS_MANF_REF_NA_NA_NA_BLNY09DLR.A</t>
  </si>
  <si>
    <t>Industrial Macroeconomic: Manufacturing: Petroleum and Coal: Petroleum Refineries: High Zero-Carbon Technology Cost</t>
  </si>
  <si>
    <t>Petroleum Refineries</t>
  </si>
  <si>
    <t>AEO.2025.HIGHZTC.ECI_VOS_MANF_PCL_NA_NA_NA_BLNY09DLR.A</t>
  </si>
  <si>
    <t>Industrial Macroeconomic: Manufacturing: Petroleum and Coal Products: High Zero-Carbon Technology Cost</t>
  </si>
  <si>
    <t>Petroleum and Coal Products</t>
  </si>
  <si>
    <t>AEO.2025.HIGHZTC.ECI_VOS_MANF_CHEO_NA_NA_NA_BLNY09DLR.A</t>
  </si>
  <si>
    <t>Industrial Macroeconomic: Manufacturing: Chemicals: Other Chemical Products: High Zero-Carbon Technology Cost</t>
  </si>
  <si>
    <t>Other Chemical Products</t>
  </si>
  <si>
    <t>AEO.2025.HIGHZTC.ECI_VOS_MANF_AGC_NA_NA_NA_BLNY09DLR.A</t>
  </si>
  <si>
    <t>Industrial Macroeconomic: Manufacturing: Chemicals: Bulk Chemicals: Agricultural Chemicals: High Zero-Carbon Technology Cost</t>
  </si>
  <si>
    <t>Agricultural Chemicals</t>
  </si>
  <si>
    <t>AEO.2025.HIGHZTC.ECI_VOS_MANF_CHEBR_NA_NA_NA_BLNY09DLR.A</t>
  </si>
  <si>
    <t>Industrial Macroeconomic: Manufacturing: Chemicals: Bulk Chemicals: Resin, Synthetic Rubber, and Fibers: High Zero-Carbon Technology Cost</t>
  </si>
  <si>
    <t xml:space="preserve"> and Fibers</t>
  </si>
  <si>
    <t xml:space="preserve"> Synthetic Rubber</t>
  </si>
  <si>
    <t>Resin</t>
  </si>
  <si>
    <t>AEO.2025.HIGHZTC.ECI_VOS_MANF_CHEOR_NA_NA_NA_BLNY09DLR.A</t>
  </si>
  <si>
    <t>Industrial Macroeconomic: Manufacturing: Chemicals: Bulk Chemicals: Organic: High Zero-Carbon Technology Cost</t>
  </si>
  <si>
    <t>Organic</t>
  </si>
  <si>
    <t>AEO.2025.HIGHZTC.ECI_VOS_MANF_CHEIN_NA_NA_NA_BLNY09DLR.A</t>
  </si>
  <si>
    <t>Industrial Macroeconomic: Manufacturing: Chemicals: Bulk Chemicals: Inorganic: High Zero-Carbon Technology Cost</t>
  </si>
  <si>
    <t>Inorganic</t>
  </si>
  <si>
    <t>AEO.2025.HIGHZTC.ECI_VOS_MANF_BCH_NA_NA_NA_BLNY09DLR.A</t>
  </si>
  <si>
    <t>Industrial Macroeconomic: Manufacturing: Chemicals: Bulk Chemicals: High Zero-Carbon Technology Cost</t>
  </si>
  <si>
    <t>Bulk Chemicals</t>
  </si>
  <si>
    <t>AEO.2025.HIGHZTC.ECI_VOS_MANF_CHE_NA_NA_NA_BLNY09DLR.A</t>
  </si>
  <si>
    <t>Industrial Macroeconomic: Manufacturing: Chemical Manufacturing: High Zero-Carbon Technology Cost</t>
  </si>
  <si>
    <t>Chemical Manufacturing</t>
  </si>
  <si>
    <t>AEO.2025.HIGHZTC.ECI_VOS_MANF_PRN_NA_NA_NA_BLNY09DLR.A</t>
  </si>
  <si>
    <t>Industrial Macroeconomic: Manufacturing: Printing: High Zero-Carbon Technology Cost</t>
  </si>
  <si>
    <t>Printing</t>
  </si>
  <si>
    <t>AEO.2025.HIGHZTC.ECI_VOS_MANF_PPM_NA_NA_NA_BLNY09DLR.A</t>
  </si>
  <si>
    <t>Industrial Macroeconomic: Manufacturing: Paper Products: High Zero-Carbon Technology Cost</t>
  </si>
  <si>
    <t>Paper Products</t>
  </si>
  <si>
    <t>AEO.2025.HIGHZTC.ECI_VOS_MANF_FRP_NA_NA_NA_BLNY09DLR.A</t>
  </si>
  <si>
    <t>Industrial Macroeconomic: Manufacturing: Furniture and Related Products: High Zero-Carbon Technology Cost</t>
  </si>
  <si>
    <t>Furniture and Related Products</t>
  </si>
  <si>
    <t>AEO.2025.HIGHZTC.ECI_VOS_MANF_WDP_NA_NA_NA_BLNY09DLR.A</t>
  </si>
  <si>
    <t>Industrial Macroeconomic: Manufacturing: Wood Products: High Zero-Carbon Technology Cost</t>
  </si>
  <si>
    <t>Wood Products</t>
  </si>
  <si>
    <t>AEO.2025.HIGHZTC.ECI_VOS_MANF_TMP_NA_NA_NA_BLNY09DLR.A</t>
  </si>
  <si>
    <t>Industrial Macroeconomic: Manufacturing: Textile Mills and Products: High Zero-Carbon Technology Cost</t>
  </si>
  <si>
    <t>Textile Mills and Products</t>
  </si>
  <si>
    <t>AEO.2025.HIGHZTC.ECI_VOS_MANF_BVTP_NA_NA_NA_BLNY09DLR.A</t>
  </si>
  <si>
    <t>Industrial Macroeconomic: Manufacturing: Beverages and Tobacco Products: High Zero-Carbon Technology Cost</t>
  </si>
  <si>
    <t>Beverages and Tobacco Products</t>
  </si>
  <si>
    <t>AEO.2025.HIGHZTC.ECI_VOS_MANF_FPA_NA_NA_NA_BLNY09DLR.A</t>
  </si>
  <si>
    <t>Industrial Macroeconomic: Manufacturing: Food Products: High Zero-Carbon Technology Cost</t>
  </si>
  <si>
    <t>Food Products</t>
  </si>
  <si>
    <t>AEO.2025.HIGHZTC.ECI_VOS_NMFG_CNS_NA_NA_NA_BLNY09DLR.A</t>
  </si>
  <si>
    <t>Industrial Macroeconomic: Nonmanufacturing: Construction: High Zero-Carbon Technology Cost</t>
  </si>
  <si>
    <t>Construction</t>
  </si>
  <si>
    <t>AEO.2025.HIGHZTC.ECI_VOS_NMFG_MING_NA_NA_NA_BLNY09DLR.A</t>
  </si>
  <si>
    <t>Industrial Macroeconomic: Nonmanufacturing: Mining: High Zero-Carbon Technology Cost</t>
  </si>
  <si>
    <t>Mining</t>
  </si>
  <si>
    <t>AEO.2025.HIGHZTC.ECI_VOS_NMFG_AFF_NA_NA_NA_BLNY09DLR.A</t>
  </si>
  <si>
    <t>Industrial Macroeconomic: Nonmanufacturing: Agriculture/Forestry/Fishing/Hunting: High Zero-Carbon Technology Cost</t>
  </si>
  <si>
    <t>Agriculture/Forestry/Fishing/Hunting</t>
  </si>
  <si>
    <t>millions</t>
  </si>
  <si>
    <t>AEO.2025.HIGHZTC.ECI_NFE_NA_NA_NA_NA_NA_MILL.A</t>
  </si>
  <si>
    <t>Industrial Macroeconomic: Employment, Nonfarm: High Zero-Carbon Technology Cost</t>
  </si>
  <si>
    <t>AEO.2025.HIGHZTC.ECI_GDP_NA_NA_NA_NA_NA_BLNY09DLR.A</t>
  </si>
  <si>
    <t>Industrial Macroeconomic: Gross Domestic Product: High Zero-Carbon Technology Cost</t>
  </si>
  <si>
    <t>Growth (2024-2050)</t>
  </si>
  <si>
    <t>units</t>
  </si>
  <si>
    <t>api key</t>
  </si>
  <si>
    <t>full name</t>
  </si>
  <si>
    <t>Source: U.S. Energy Information Administration</t>
  </si>
  <si>
    <t>Tue Dec 02 2025 13:21:59 GMT-0800 (Pacific Standard Time)</t>
  </si>
  <si>
    <t>https://www.eia.gov/outlooks/aeo/data/browser/#/?id=34-AEO2025&amp;cases=highZTC&amp;sourcekey=0</t>
  </si>
  <si>
    <t>Table 23.  Industrial Sector Macroeconomic Indicators</t>
  </si>
  <si>
    <t>Annual Energy Outlook 2025</t>
  </si>
  <si>
    <t>High Zero-Carbon Technology Cost</t>
  </si>
  <si>
    <t>Unit: $</t>
  </si>
  <si>
    <t>Employee Compensation</t>
  </si>
  <si>
    <r>
      <t>Table 2.11 Employment and output by industry</t>
    </r>
    <r>
      <rPr>
        <sz val="10"/>
        <rFont val="Arial"/>
        <family val="2"/>
      </rPr>
      <t xml:space="preserve"> (Employment in thousands; Output in billion of chained 2017 dollars)</t>
    </r>
  </si>
  <si>
    <t>2024 National Employment Matrix title</t>
  </si>
  <si>
    <t>2024 National Employment Matrix code</t>
  </si>
  <si>
    <t>Industry type</t>
  </si>
  <si>
    <t>Employment, 2024</t>
  </si>
  <si>
    <t>Employment, 2034</t>
  </si>
  <si>
    <t xml:space="preserve">Employment change, numeric, 2024–34 </t>
  </si>
  <si>
    <t xml:space="preserve">Employment change, percent, 2024–34 </t>
  </si>
  <si>
    <t xml:space="preserve">Compound annual rate of change, employment, 2024–34 </t>
  </si>
  <si>
    <t>Output, 2024</t>
  </si>
  <si>
    <t>Output, 2034</t>
  </si>
  <si>
    <t xml:space="preserve">Compound annual rate of change, output, 2024–34 </t>
  </si>
  <si>
    <t>Total, all industries</t>
  </si>
  <si>
    <t>TE1000</t>
  </si>
  <si>
    <t>Summary</t>
  </si>
  <si>
    <t xml:space="preserve">  Self-employed workers</t>
  </si>
  <si>
    <t>TE1100</t>
  </si>
  <si>
    <t>Line item</t>
  </si>
  <si>
    <t>—</t>
  </si>
  <si>
    <t xml:space="preserve">  Total wage and salary employment</t>
  </si>
  <si>
    <t>TE1200</t>
  </si>
  <si>
    <t xml:space="preserve">    Agriculture, forestry, fishing, and hunting</t>
  </si>
  <si>
    <t>110000</t>
  </si>
  <si>
    <t xml:space="preserve">      Crop production</t>
  </si>
  <si>
    <t>111000</t>
  </si>
  <si>
    <t xml:space="preserve">      Animal production and aquaculture</t>
  </si>
  <si>
    <t>112000</t>
  </si>
  <si>
    <t xml:space="preserve">      Forestry and logging</t>
  </si>
  <si>
    <t>113000</t>
  </si>
  <si>
    <t xml:space="preserve">        Forestry</t>
  </si>
  <si>
    <t>1131-2</t>
  </si>
  <si>
    <t xml:space="preserve">        Logging</t>
  </si>
  <si>
    <t>113300</t>
  </si>
  <si>
    <t xml:space="preserve">      Fishing, hunting and trapping</t>
  </si>
  <si>
    <t>114000</t>
  </si>
  <si>
    <t xml:space="preserve">      Support activities for agriculture and forestry</t>
  </si>
  <si>
    <t>115000</t>
  </si>
  <si>
    <t xml:space="preserve">    Mining, quarrying, and oil and gas extraction</t>
  </si>
  <si>
    <t>210000</t>
  </si>
  <si>
    <t xml:space="preserve">      Oil and gas extraction</t>
  </si>
  <si>
    <t>211000</t>
  </si>
  <si>
    <t xml:space="preserve">      Mining (except oil and gas)</t>
  </si>
  <si>
    <t>212000</t>
  </si>
  <si>
    <t xml:space="preserve">        Coal mining</t>
  </si>
  <si>
    <t>212100</t>
  </si>
  <si>
    <t xml:space="preserve">        Metal ore mining</t>
  </si>
  <si>
    <t>212200</t>
  </si>
  <si>
    <t xml:space="preserve">        Nonmetallic mineral mining and quarrying</t>
  </si>
  <si>
    <t>212300</t>
  </si>
  <si>
    <t xml:space="preserve">      Support activities for mining</t>
  </si>
  <si>
    <t>213000</t>
  </si>
  <si>
    <t xml:space="preserve">    Utilities</t>
  </si>
  <si>
    <t>220000</t>
  </si>
  <si>
    <t xml:space="preserve">      Utilities</t>
  </si>
  <si>
    <t>221000</t>
  </si>
  <si>
    <t xml:space="preserve">        Electric power generation, transmission and distribution</t>
  </si>
  <si>
    <t>221100</t>
  </si>
  <si>
    <t xml:space="preserve">          Electric power generation</t>
  </si>
  <si>
    <t>221110</t>
  </si>
  <si>
    <t xml:space="preserve">            Hydroelectric power generation</t>
  </si>
  <si>
    <t>221111</t>
  </si>
  <si>
    <t xml:space="preserve">            Fossil fuel electric power generation</t>
  </si>
  <si>
    <t>221112</t>
  </si>
  <si>
    <t xml:space="preserve">            Nuclear electric power generation</t>
  </si>
  <si>
    <t>221113</t>
  </si>
  <si>
    <t xml:space="preserve">            Solar electric power generation</t>
  </si>
  <si>
    <t>221114</t>
  </si>
  <si>
    <t xml:space="preserve">            Wind electric power generation</t>
  </si>
  <si>
    <t>221115</t>
  </si>
  <si>
    <t xml:space="preserve">            Geothermal electric power generation</t>
  </si>
  <si>
    <t>221116</t>
  </si>
  <si>
    <t xml:space="preserve">            Biomass electric power generation</t>
  </si>
  <si>
    <t>221117</t>
  </si>
  <si>
    <t xml:space="preserve">            Other electric power generation</t>
  </si>
  <si>
    <t>221118</t>
  </si>
  <si>
    <t xml:space="preserve">        Natural gas distribution</t>
  </si>
  <si>
    <t>221200</t>
  </si>
  <si>
    <t xml:space="preserve">        Water, sewage and other systems</t>
  </si>
  <si>
    <t>221300</t>
  </si>
  <si>
    <t xml:space="preserve">    Construction</t>
  </si>
  <si>
    <t>230000</t>
  </si>
  <si>
    <t xml:space="preserve">      Construction of buildings</t>
  </si>
  <si>
    <t>236000</t>
  </si>
  <si>
    <t xml:space="preserve">        Residential building construction</t>
  </si>
  <si>
    <t>236100</t>
  </si>
  <si>
    <t xml:space="preserve">        Nonresidential building construction</t>
  </si>
  <si>
    <t>236200</t>
  </si>
  <si>
    <t xml:space="preserve">      Heavy and civil engineering construction</t>
  </si>
  <si>
    <t>237000</t>
  </si>
  <si>
    <t xml:space="preserve">        Utility system construction</t>
  </si>
  <si>
    <t>237100</t>
  </si>
  <si>
    <t xml:space="preserve">          Power and communication line and related structures construction</t>
  </si>
  <si>
    <t>237130</t>
  </si>
  <si>
    <t xml:space="preserve">        Land subdivision</t>
  </si>
  <si>
    <t>237200</t>
  </si>
  <si>
    <t xml:space="preserve">        Highway, street, and bridge construction</t>
  </si>
  <si>
    <t>237300</t>
  </si>
  <si>
    <t xml:space="preserve">        Other heavy and civil engineering construction</t>
  </si>
  <si>
    <t>237900</t>
  </si>
  <si>
    <t xml:space="preserve">      Specialty trade contractors</t>
  </si>
  <si>
    <t>238000</t>
  </si>
  <si>
    <t xml:space="preserve">        Foundation, structure, and building exterior contractors</t>
  </si>
  <si>
    <t>238100</t>
  </si>
  <si>
    <t xml:space="preserve">          Poured concrete foundation and structure contractors</t>
  </si>
  <si>
    <t>238110</t>
  </si>
  <si>
    <t xml:space="preserve">          Masonry contractors</t>
  </si>
  <si>
    <t>238140</t>
  </si>
  <si>
    <t xml:space="preserve">          Roofing contractors</t>
  </si>
  <si>
    <t>238160</t>
  </si>
  <si>
    <t xml:space="preserve">        Building equipment contractors</t>
  </si>
  <si>
    <t>238200</t>
  </si>
  <si>
    <t xml:space="preserve">          Electrical contractors and other wiring installation contractors</t>
  </si>
  <si>
    <t>238210</t>
  </si>
  <si>
    <t xml:space="preserve">          Plumbing, heating, and air-conditioning contractors</t>
  </si>
  <si>
    <t>238220</t>
  </si>
  <si>
    <t xml:space="preserve">          Other building equipment contractors</t>
  </si>
  <si>
    <t>238290</t>
  </si>
  <si>
    <t xml:space="preserve">        Building finishing contractors</t>
  </si>
  <si>
    <t>238300</t>
  </si>
  <si>
    <t xml:space="preserve">          Drywall and insulation contractors</t>
  </si>
  <si>
    <t>238310</t>
  </si>
  <si>
    <t xml:space="preserve">          Painting and wall covering contractors</t>
  </si>
  <si>
    <t>238320</t>
  </si>
  <si>
    <t xml:space="preserve">        Other specialty trade contractors</t>
  </si>
  <si>
    <t>238900</t>
  </si>
  <si>
    <t xml:space="preserve">    Manufacturing</t>
  </si>
  <si>
    <t>31-330</t>
  </si>
  <si>
    <t xml:space="preserve">      Food manufacturing</t>
  </si>
  <si>
    <t>311000</t>
  </si>
  <si>
    <t xml:space="preserve">        Animal food manufacturing</t>
  </si>
  <si>
    <t>311100</t>
  </si>
  <si>
    <t xml:space="preserve">        Grain and oilseed milling</t>
  </si>
  <si>
    <t>311200</t>
  </si>
  <si>
    <t xml:space="preserve">        Sugar and confectionery product manufacturing</t>
  </si>
  <si>
    <t>311300</t>
  </si>
  <si>
    <t xml:space="preserve">        Fruit and vegetable preserving and specialty food manufacturing</t>
  </si>
  <si>
    <t>311400</t>
  </si>
  <si>
    <t xml:space="preserve">        Dairy product manufacturing</t>
  </si>
  <si>
    <t>311500</t>
  </si>
  <si>
    <t xml:space="preserve">        Animal slaughtering and processing</t>
  </si>
  <si>
    <t>311600</t>
  </si>
  <si>
    <t xml:space="preserve">        Seafood product preparation and packaging</t>
  </si>
  <si>
    <t>311700</t>
  </si>
  <si>
    <t xml:space="preserve">        Bakeries and tortilla manufacturing</t>
  </si>
  <si>
    <t>311800</t>
  </si>
  <si>
    <t xml:space="preserve">        Other food manufacturing</t>
  </si>
  <si>
    <t>311900</t>
  </si>
  <si>
    <t xml:space="preserve">      Beverage and tobacco product manufacturing</t>
  </si>
  <si>
    <t>312000</t>
  </si>
  <si>
    <t xml:space="preserve">        Beverage manufacturing</t>
  </si>
  <si>
    <t>312100</t>
  </si>
  <si>
    <t xml:space="preserve">        Tobacco manufacturing</t>
  </si>
  <si>
    <t>312200</t>
  </si>
  <si>
    <t xml:space="preserve">      Textile mills</t>
  </si>
  <si>
    <t>313000</t>
  </si>
  <si>
    <t xml:space="preserve">      Textile product mills</t>
  </si>
  <si>
    <t>314000</t>
  </si>
  <si>
    <t xml:space="preserve">      Apparel manufacturing</t>
  </si>
  <si>
    <t>315000</t>
  </si>
  <si>
    <t xml:space="preserve">      Leather and allied product manufacturing</t>
  </si>
  <si>
    <t>316000</t>
  </si>
  <si>
    <t xml:space="preserve">      Wood product manufacturing</t>
  </si>
  <si>
    <t>321000</t>
  </si>
  <si>
    <t xml:space="preserve">        Sawmills and wood preservation</t>
  </si>
  <si>
    <t>321100</t>
  </si>
  <si>
    <t xml:space="preserve">        Veneer, plywood, and engineered wood product manufacturing</t>
  </si>
  <si>
    <t>321200</t>
  </si>
  <si>
    <t xml:space="preserve">        Other wood product manufacturing</t>
  </si>
  <si>
    <t>321900</t>
  </si>
  <si>
    <t xml:space="preserve">      Paper manufacturing</t>
  </si>
  <si>
    <t>322000</t>
  </si>
  <si>
    <t xml:space="preserve">        Pulp, paper, and paperboard mills</t>
  </si>
  <si>
    <t>322100</t>
  </si>
  <si>
    <t xml:space="preserve">        Converted paper product manufacturing</t>
  </si>
  <si>
    <t>322200</t>
  </si>
  <si>
    <t xml:space="preserve">      Printing and related support activities</t>
  </si>
  <si>
    <t>323000</t>
  </si>
  <si>
    <t xml:space="preserve">      Petroleum and coal products manufacturing</t>
  </si>
  <si>
    <t>324000</t>
  </si>
  <si>
    <t xml:space="preserve">      Chemical manufacturing</t>
  </si>
  <si>
    <t>325000</t>
  </si>
  <si>
    <t xml:space="preserve">        Chemical manufacturing (3251,2,3,9)</t>
  </si>
  <si>
    <t>3250A1</t>
  </si>
  <si>
    <t xml:space="preserve">        Chemical manufacturing (3255,6)</t>
  </si>
  <si>
    <t>3250A2</t>
  </si>
  <si>
    <t xml:space="preserve">        Pharmaceutical and medicine manufacturing</t>
  </si>
  <si>
    <t>325400</t>
  </si>
  <si>
    <t xml:space="preserve">      Plastics and rubber products manufacturing</t>
  </si>
  <si>
    <t>326000</t>
  </si>
  <si>
    <t xml:space="preserve">        Plastics product manufacturing</t>
  </si>
  <si>
    <t>326100</t>
  </si>
  <si>
    <t xml:space="preserve">        Rubber product manufacturing</t>
  </si>
  <si>
    <t>326200</t>
  </si>
  <si>
    <t xml:space="preserve">      Nonmetallic mineral product manufacturing</t>
  </si>
  <si>
    <t>327000</t>
  </si>
  <si>
    <t xml:space="preserve">      Primary metal manufacturing</t>
  </si>
  <si>
    <t>331000</t>
  </si>
  <si>
    <t xml:space="preserve">        Iron and steel mills and ferroalloy manufacturing</t>
  </si>
  <si>
    <t>331100</t>
  </si>
  <si>
    <t xml:space="preserve">        Steel product manufacturing from purchased steel</t>
  </si>
  <si>
    <t>331200</t>
  </si>
  <si>
    <t xml:space="preserve">        Alumina and aluminum production and processing</t>
  </si>
  <si>
    <t>331300</t>
  </si>
  <si>
    <t xml:space="preserve">        Nonferrous metal (except aluminum) production and processing</t>
  </si>
  <si>
    <t>331400</t>
  </si>
  <si>
    <t xml:space="preserve">        Foundries</t>
  </si>
  <si>
    <t>331500</t>
  </si>
  <si>
    <t xml:space="preserve">      Fabricated metal product manufacturing</t>
  </si>
  <si>
    <t>332000</t>
  </si>
  <si>
    <t xml:space="preserve">        Fabricated metal product manufacturing (3321,2,5,6,9)</t>
  </si>
  <si>
    <t>3320A1</t>
  </si>
  <si>
    <t xml:space="preserve">        Fabricated metal product manufacturing (3323,4)</t>
  </si>
  <si>
    <t>3320A2</t>
  </si>
  <si>
    <t xml:space="preserve">        Machine shops; turned product; and screw, nut, and bolt manufacturing</t>
  </si>
  <si>
    <t>332700</t>
  </si>
  <si>
    <t xml:space="preserve">          Machine shops</t>
  </si>
  <si>
    <t>332710</t>
  </si>
  <si>
    <t xml:space="preserve">          Turned product and screw, nut, and bolt manufacturing</t>
  </si>
  <si>
    <t>332720</t>
  </si>
  <si>
    <t xml:space="preserve">        Coating, engraving, heat treating, and allied activities</t>
  </si>
  <si>
    <t>332800</t>
  </si>
  <si>
    <t xml:space="preserve">      Machinery manufacturing</t>
  </si>
  <si>
    <t>333000</t>
  </si>
  <si>
    <t xml:space="preserve">        Machinery manufacturing (3331,2,4,9)</t>
  </si>
  <si>
    <t>3330A1</t>
  </si>
  <si>
    <t xml:space="preserve">        Commercial and service industry machinery manufacturing</t>
  </si>
  <si>
    <t>333300</t>
  </si>
  <si>
    <t xml:space="preserve">        Metalworking machinery manufacturing</t>
  </si>
  <si>
    <t>333500</t>
  </si>
  <si>
    <t xml:space="preserve">        Engine, turbine, and power transmission equipment manufacturing</t>
  </si>
  <si>
    <t>333600</t>
  </si>
  <si>
    <t xml:space="preserve">      Computer and electronic product manufacturing</t>
  </si>
  <si>
    <t>334000</t>
  </si>
  <si>
    <t xml:space="preserve">        Computer and peripheral equipment manufacturing</t>
  </si>
  <si>
    <t>334100</t>
  </si>
  <si>
    <t xml:space="preserve">        Communications equipment manufacturing</t>
  </si>
  <si>
    <t>334200</t>
  </si>
  <si>
    <t xml:space="preserve">        Audio and video equipment manufacturing</t>
  </si>
  <si>
    <t>334300</t>
  </si>
  <si>
    <t xml:space="preserve">        Semiconductor and other electronic component manufacturing</t>
  </si>
  <si>
    <t>334400</t>
  </si>
  <si>
    <t xml:space="preserve">        Navigational, measuring, electromedical, and control instruments manufacturing</t>
  </si>
  <si>
    <t>334500</t>
  </si>
  <si>
    <t xml:space="preserve">        Manufacturing and reproducing magnetic and optical media</t>
  </si>
  <si>
    <t>334600</t>
  </si>
  <si>
    <t xml:space="preserve">      Electrical equipment, appliance, and component manufacturing</t>
  </si>
  <si>
    <t>335000</t>
  </si>
  <si>
    <t xml:space="preserve">        Electric lighting equipment manufacturing</t>
  </si>
  <si>
    <t>335100</t>
  </si>
  <si>
    <t xml:space="preserve">        Household appliance manufacturing</t>
  </si>
  <si>
    <t>335200</t>
  </si>
  <si>
    <t xml:space="preserve">        Electrical equipment manufacturing</t>
  </si>
  <si>
    <t>335300</t>
  </si>
  <si>
    <t xml:space="preserve">        Other electrical equipment and component manufacturing</t>
  </si>
  <si>
    <t>335900</t>
  </si>
  <si>
    <t xml:space="preserve">      Transportation equipment manufacturing</t>
  </si>
  <si>
    <t>336000</t>
  </si>
  <si>
    <t xml:space="preserve">        Motor vehicle manufacturing</t>
  </si>
  <si>
    <t>336100</t>
  </si>
  <si>
    <t xml:space="preserve">        Motor vehicle body and trailer manufacturing</t>
  </si>
  <si>
    <t>336200</t>
  </si>
  <si>
    <t xml:space="preserve">        Motor vehicle parts manufacturing</t>
  </si>
  <si>
    <t>336300</t>
  </si>
  <si>
    <t xml:space="preserve">        Aerospace product and parts manufacturing</t>
  </si>
  <si>
    <t>336400</t>
  </si>
  <si>
    <t xml:space="preserve">        Railroad rolling stock manufacturing</t>
  </si>
  <si>
    <t>336500</t>
  </si>
  <si>
    <t xml:space="preserve">        Ship and boat building</t>
  </si>
  <si>
    <t>336600</t>
  </si>
  <si>
    <t xml:space="preserve">        Other transportation equipment manufacturing</t>
  </si>
  <si>
    <t>336900</t>
  </si>
  <si>
    <t xml:space="preserve">      Furniture and related product manufacturing</t>
  </si>
  <si>
    <t>337000</t>
  </si>
  <si>
    <t xml:space="preserve">        Furniture and related product manufacturing (3371,2)</t>
  </si>
  <si>
    <t>3370A1</t>
  </si>
  <si>
    <t xml:space="preserve">        Other furniture related product manufacturing</t>
  </si>
  <si>
    <t>337900</t>
  </si>
  <si>
    <t xml:space="preserve">      Miscellaneous manufacturing</t>
  </si>
  <si>
    <t>339000</t>
  </si>
  <si>
    <t xml:space="preserve">        Medical equipment and supplies manufacturing</t>
  </si>
  <si>
    <t>339100</t>
  </si>
  <si>
    <t xml:space="preserve">        Other miscellaneous manufacturing</t>
  </si>
  <si>
    <t>339900</t>
  </si>
  <si>
    <t xml:space="preserve">          Jewelry and silverware manufacturing</t>
  </si>
  <si>
    <t>339910</t>
  </si>
  <si>
    <t xml:space="preserve">    Wholesale trade</t>
  </si>
  <si>
    <t>420000</t>
  </si>
  <si>
    <t xml:space="preserve">      Merchant wholesalers, durable goods</t>
  </si>
  <si>
    <t>423000</t>
  </si>
  <si>
    <t xml:space="preserve">        Merchant wholesalers, durable goods (4232,3,5,6,7,9)</t>
  </si>
  <si>
    <t>4230A1</t>
  </si>
  <si>
    <t xml:space="preserve">        Motor vehicle and motor vehicle parts and supplies merchant wholesalers</t>
  </si>
  <si>
    <t>423100</t>
  </si>
  <si>
    <t xml:space="preserve">        Professional and commercial equipment and supplies merchant wholesalers</t>
  </si>
  <si>
    <t>423400</t>
  </si>
  <si>
    <t xml:space="preserve">        Machinery, equipment, and supplies merchant wholesalers</t>
  </si>
  <si>
    <t>423800</t>
  </si>
  <si>
    <t xml:space="preserve">          Farm and garden machinery and equipment merchant wholesalers</t>
  </si>
  <si>
    <t>423820</t>
  </si>
  <si>
    <t xml:space="preserve">      Merchant wholesalers, nondurable goods</t>
  </si>
  <si>
    <t>424000</t>
  </si>
  <si>
    <t xml:space="preserve">        Merchant wholesalers, nondurable goods (4244,8)</t>
  </si>
  <si>
    <t>4240A1</t>
  </si>
  <si>
    <t xml:space="preserve">        Merchant wholesalers, nondurable goods (4242,6)</t>
  </si>
  <si>
    <t>4240A2</t>
  </si>
  <si>
    <t xml:space="preserve">        Merchant wholesalers, nondurable goods (4241,7,9)</t>
  </si>
  <si>
    <t>4240A3</t>
  </si>
  <si>
    <t xml:space="preserve">        Apparel, piece goods, and notions merchant wholesalers</t>
  </si>
  <si>
    <t>424300</t>
  </si>
  <si>
    <t xml:space="preserve">        Farm product raw material merchant wholesalers</t>
  </si>
  <si>
    <t>424500</t>
  </si>
  <si>
    <t xml:space="preserve">      Wholesale trade agents and brokers</t>
  </si>
  <si>
    <t>425000</t>
  </si>
  <si>
    <t xml:space="preserve">    Retail trade</t>
  </si>
  <si>
    <t>44-450</t>
  </si>
  <si>
    <t xml:space="preserve">      Motor vehicle and parts dealers</t>
  </si>
  <si>
    <t>441000</t>
  </si>
  <si>
    <t xml:space="preserve">        Automobile dealers</t>
  </si>
  <si>
    <t>441100</t>
  </si>
  <si>
    <t xml:space="preserve">        Other motor vehicle dealers</t>
  </si>
  <si>
    <t>441200</t>
  </si>
  <si>
    <t xml:space="preserve">        Automotive parts, accessories, and tire retailers</t>
  </si>
  <si>
    <t>441300</t>
  </si>
  <si>
    <t xml:space="preserve">      Food and beverage retailers</t>
  </si>
  <si>
    <t>445000</t>
  </si>
  <si>
    <t xml:space="preserve">        Grocery and specialty food retailers</t>
  </si>
  <si>
    <t>4450A1</t>
  </si>
  <si>
    <t xml:space="preserve">        Beer, wine, and liquor retailers</t>
  </si>
  <si>
    <t>445300</t>
  </si>
  <si>
    <t xml:space="preserve">      General merchandise retailers</t>
  </si>
  <si>
    <t>455000</t>
  </si>
  <si>
    <t xml:space="preserve">      All other retail trade (444, 449, 456-9)</t>
  </si>
  <si>
    <t>4445R0</t>
  </si>
  <si>
    <t xml:space="preserve">        Building material and garden equipment and supplies dealers</t>
  </si>
  <si>
    <t>444000</t>
  </si>
  <si>
    <t xml:space="preserve">          Building material and supplies dealers</t>
  </si>
  <si>
    <t>444100</t>
  </si>
  <si>
    <t xml:space="preserve">          Lawn and garden equipment and supplies retailers</t>
  </si>
  <si>
    <t>444200</t>
  </si>
  <si>
    <t xml:space="preserve">        Furniture, home furnishings, electronics, and appliance retailers</t>
  </si>
  <si>
    <t>449000</t>
  </si>
  <si>
    <t xml:space="preserve">          Furniture and home furnishings retailers</t>
  </si>
  <si>
    <t>449100</t>
  </si>
  <si>
    <t xml:space="preserve">          Electronics and appliance retailers</t>
  </si>
  <si>
    <t>449200</t>
  </si>
  <si>
    <t xml:space="preserve">        Health and personal care retailers</t>
  </si>
  <si>
    <t>456000</t>
  </si>
  <si>
    <t xml:space="preserve">          Health and personal care retailers</t>
  </si>
  <si>
    <t>456100</t>
  </si>
  <si>
    <t xml:space="preserve">            Pharmacies and drug retailers</t>
  </si>
  <si>
    <t>456110</t>
  </si>
  <si>
    <t xml:space="preserve">        Gasoline stations and fuel dealers</t>
  </si>
  <si>
    <t>457000</t>
  </si>
  <si>
    <t xml:space="preserve">          Gasoline stations</t>
  </si>
  <si>
    <t>457100</t>
  </si>
  <si>
    <t xml:space="preserve">          Fuel dealers</t>
  </si>
  <si>
    <t>457200</t>
  </si>
  <si>
    <t xml:space="preserve">        Clothing, clothing accessories, shoe, and jewelry retailers</t>
  </si>
  <si>
    <t>458000</t>
  </si>
  <si>
    <t xml:space="preserve">          Clothing and clothing accessories retailers</t>
  </si>
  <si>
    <t>458100</t>
  </si>
  <si>
    <t xml:space="preserve">          Shoe retailers</t>
  </si>
  <si>
    <t>458200</t>
  </si>
  <si>
    <t xml:space="preserve">          Jewelry, luggage, and leather goods retailers</t>
  </si>
  <si>
    <t>458300</t>
  </si>
  <si>
    <t xml:space="preserve">        Sporting goods, hobby, musical instrument, book, and miscellaneous retailers</t>
  </si>
  <si>
    <t>459000</t>
  </si>
  <si>
    <t xml:space="preserve">          Sporting goods retailers</t>
  </si>
  <si>
    <t>459110</t>
  </si>
  <si>
    <t xml:space="preserve">          Book retailers and news dealers</t>
  </si>
  <si>
    <t>459200</t>
  </si>
  <si>
    <t xml:space="preserve">          Florists</t>
  </si>
  <si>
    <t>459300</t>
  </si>
  <si>
    <t xml:space="preserve">          Miscellaneous store retailers (4594 and 4595 only)</t>
  </si>
  <si>
    <t>4590A1</t>
  </si>
  <si>
    <t xml:space="preserve">          Other miscellaneous retailers</t>
  </si>
  <si>
    <t>459900</t>
  </si>
  <si>
    <t xml:space="preserve">    Transportation and warehousing</t>
  </si>
  <si>
    <t>48-490</t>
  </si>
  <si>
    <t xml:space="preserve">      Air transportation</t>
  </si>
  <si>
    <t>481000</t>
  </si>
  <si>
    <t xml:space="preserve">        Scheduled air transportation</t>
  </si>
  <si>
    <t>481100</t>
  </si>
  <si>
    <t xml:space="preserve">        Nonscheduled air transportation</t>
  </si>
  <si>
    <t>481200</t>
  </si>
  <si>
    <t xml:space="preserve">      Rail transportation</t>
  </si>
  <si>
    <t>482000</t>
  </si>
  <si>
    <t xml:space="preserve">      Water transportation</t>
  </si>
  <si>
    <t>483000</t>
  </si>
  <si>
    <t xml:space="preserve">        Deep sea, coastal, and great lakes water transportation</t>
  </si>
  <si>
    <t>483100</t>
  </si>
  <si>
    <t xml:space="preserve">        Inland water transportation</t>
  </si>
  <si>
    <t>483200</t>
  </si>
  <si>
    <t xml:space="preserve">      Truck transportation</t>
  </si>
  <si>
    <t>484000</t>
  </si>
  <si>
    <t xml:space="preserve">      Transit and ground passenger transportation</t>
  </si>
  <si>
    <t>485000</t>
  </si>
  <si>
    <t xml:space="preserve">        Urban transit systems</t>
  </si>
  <si>
    <t>485100</t>
  </si>
  <si>
    <t xml:space="preserve">        Interurban and rural bus transportation</t>
  </si>
  <si>
    <t>485200</t>
  </si>
  <si>
    <t xml:space="preserve">        Taxi and limousine service</t>
  </si>
  <si>
    <t>485300</t>
  </si>
  <si>
    <t xml:space="preserve">        School and employee bus transportation</t>
  </si>
  <si>
    <t>485400</t>
  </si>
  <si>
    <t xml:space="preserve">        Charter bus industry</t>
  </si>
  <si>
    <t>485500</t>
  </si>
  <si>
    <t xml:space="preserve">        Other transit and ground passenger transportation</t>
  </si>
  <si>
    <t>485900</t>
  </si>
  <si>
    <t xml:space="preserve">      Pipeline transportation</t>
  </si>
  <si>
    <t>486000</t>
  </si>
  <si>
    <t xml:space="preserve">        Pipeline transportation of crude oil</t>
  </si>
  <si>
    <t>486100</t>
  </si>
  <si>
    <t xml:space="preserve">        Pipeline transportation of natural gas</t>
  </si>
  <si>
    <t>486200</t>
  </si>
  <si>
    <t xml:space="preserve">        Other pipeline transportation</t>
  </si>
  <si>
    <t>486900</t>
  </si>
  <si>
    <t xml:space="preserve">      Scenic and sightseeing transportation and support activities for transportation</t>
  </si>
  <si>
    <t>487-80</t>
  </si>
  <si>
    <t xml:space="preserve">        Scenic and sightseeing transportation</t>
  </si>
  <si>
    <t>487000</t>
  </si>
  <si>
    <t xml:space="preserve">          Scenic and sightseeing transportation, land</t>
  </si>
  <si>
    <t>487100</t>
  </si>
  <si>
    <t xml:space="preserve">          Scenic and sightseeing transportation, water</t>
  </si>
  <si>
    <t>487200</t>
  </si>
  <si>
    <t xml:space="preserve">          Scenic and sightseeing transportation, other</t>
  </si>
  <si>
    <t>487900</t>
  </si>
  <si>
    <t xml:space="preserve">        Support activities for transportation</t>
  </si>
  <si>
    <t>488000</t>
  </si>
  <si>
    <t xml:space="preserve">          Support activities for air transportation</t>
  </si>
  <si>
    <t>488100</t>
  </si>
  <si>
    <t xml:space="preserve">          Support activities for rail transportation</t>
  </si>
  <si>
    <t>488200</t>
  </si>
  <si>
    <t xml:space="preserve">          Support activities for water transportation</t>
  </si>
  <si>
    <t>488300</t>
  </si>
  <si>
    <t xml:space="preserve">          Support activities for road transportation</t>
  </si>
  <si>
    <t>488400</t>
  </si>
  <si>
    <t xml:space="preserve">          Freight transportation arrangement</t>
  </si>
  <si>
    <t>488500</t>
  </si>
  <si>
    <t xml:space="preserve">          Other support activities for transportation</t>
  </si>
  <si>
    <t>488900</t>
  </si>
  <si>
    <t xml:space="preserve">      Couriers and messengers</t>
  </si>
  <si>
    <t>492000</t>
  </si>
  <si>
    <t xml:space="preserve">        Couriers and express delivery services</t>
  </si>
  <si>
    <t>492100</t>
  </si>
  <si>
    <t xml:space="preserve">        Local messengers and local delivery</t>
  </si>
  <si>
    <t>492200</t>
  </si>
  <si>
    <t xml:space="preserve">      Warehousing and storage</t>
  </si>
  <si>
    <t>493000</t>
  </si>
  <si>
    <t xml:space="preserve">    Information</t>
  </si>
  <si>
    <t>510000</t>
  </si>
  <si>
    <t xml:space="preserve">      Motion picture and sound recording industries</t>
  </si>
  <si>
    <t>512000</t>
  </si>
  <si>
    <t xml:space="preserve">        Motion picture and video industries</t>
  </si>
  <si>
    <t>512100</t>
  </si>
  <si>
    <t xml:space="preserve">          Motion picture and video exhibition</t>
  </si>
  <si>
    <t>512130</t>
  </si>
  <si>
    <t xml:space="preserve">        Sound recording industries</t>
  </si>
  <si>
    <t>512200</t>
  </si>
  <si>
    <t xml:space="preserve">      Publishing, broadcasting, and content providers</t>
  </si>
  <si>
    <t>513-90</t>
  </si>
  <si>
    <t xml:space="preserve">        Software publishers</t>
  </si>
  <si>
    <t>513200</t>
  </si>
  <si>
    <t xml:space="preserve">        Miscellaneous information services (5131, 516, 519)</t>
  </si>
  <si>
    <t>5136A9</t>
  </si>
  <si>
    <t xml:space="preserve">          Newspaper, Periodical, Book, and Directory Publishers</t>
  </si>
  <si>
    <t>513100</t>
  </si>
  <si>
    <t xml:space="preserve">            Newspaper publishers</t>
  </si>
  <si>
    <t>513110</t>
  </si>
  <si>
    <t xml:space="preserve">          Broadcasting and Content Providers</t>
  </si>
  <si>
    <t>516000</t>
  </si>
  <si>
    <t xml:space="preserve">            Radio and Television Broadcasting Stations</t>
  </si>
  <si>
    <t>516100</t>
  </si>
  <si>
    <t xml:space="preserve">              Radio broadcasting stations</t>
  </si>
  <si>
    <t>516110</t>
  </si>
  <si>
    <t xml:space="preserve">              Television broadcasting stations</t>
  </si>
  <si>
    <t>516120</t>
  </si>
  <si>
    <t xml:space="preserve">            Media streaming distribution services, social networks, and other media networks and content providers</t>
  </si>
  <si>
    <t>516210</t>
  </si>
  <si>
    <t xml:space="preserve">          Web search portals, libraries, archives, and other information services</t>
  </si>
  <si>
    <t>519000</t>
  </si>
  <si>
    <t xml:space="preserve">        Telecommunications</t>
  </si>
  <si>
    <t>517000</t>
  </si>
  <si>
    <t xml:space="preserve">        Computing infrastructure providers, data processing, web hosting, and related services</t>
  </si>
  <si>
    <t>518000</t>
  </si>
  <si>
    <t xml:space="preserve">    Finance and insurance</t>
  </si>
  <si>
    <t>520000</t>
  </si>
  <si>
    <t xml:space="preserve">      Monetary authorities - central bank, and credit intermediation and related activities</t>
  </si>
  <si>
    <t>521-20</t>
  </si>
  <si>
    <t xml:space="preserve">        Monetary authorities-central bank</t>
  </si>
  <si>
    <t>521000</t>
  </si>
  <si>
    <t xml:space="preserve">        Credit intermediation and related activities</t>
  </si>
  <si>
    <t>522000</t>
  </si>
  <si>
    <t xml:space="preserve">          Credit intermediation and related activities (5221,3)</t>
  </si>
  <si>
    <t>5220A1</t>
  </si>
  <si>
    <t xml:space="preserve">          Nondepository credit intermediation</t>
  </si>
  <si>
    <t>522200</t>
  </si>
  <si>
    <t xml:space="preserve">            Other nondepository credit intermediation</t>
  </si>
  <si>
    <t>522290</t>
  </si>
  <si>
    <t xml:space="preserve">      Securities, commodity contracts, and other financial investments and related activities</t>
  </si>
  <si>
    <t>523000</t>
  </si>
  <si>
    <t xml:space="preserve">      Insurance carriers and related activities</t>
  </si>
  <si>
    <t>524000</t>
  </si>
  <si>
    <t xml:space="preserve">        Insurance carriers</t>
  </si>
  <si>
    <t>524100</t>
  </si>
  <si>
    <t xml:space="preserve">          Direct health and medical insurance carriers</t>
  </si>
  <si>
    <t>524114</t>
  </si>
  <si>
    <t xml:space="preserve">          Direct insurance (except life, health, and medical) carriers</t>
  </si>
  <si>
    <t>524120</t>
  </si>
  <si>
    <t xml:space="preserve">        Agencies, brokerages, and other insurance related activities</t>
  </si>
  <si>
    <t>524200</t>
  </si>
  <si>
    <t xml:space="preserve">          Insurance agencies and brokerages</t>
  </si>
  <si>
    <t>524210</t>
  </si>
  <si>
    <t xml:space="preserve">          Other insurance related activities</t>
  </si>
  <si>
    <t>524290</t>
  </si>
  <si>
    <t xml:space="preserve">      Funds, trusts, and other financial vehicles</t>
  </si>
  <si>
    <t>525000</t>
  </si>
  <si>
    <t xml:space="preserve">        Insurance and employee benefit funds</t>
  </si>
  <si>
    <t>525100</t>
  </si>
  <si>
    <t xml:space="preserve">        Other investment pools and funds</t>
  </si>
  <si>
    <t>525900</t>
  </si>
  <si>
    <t xml:space="preserve">    Real estate and rental and leasing</t>
  </si>
  <si>
    <t>530000</t>
  </si>
  <si>
    <t xml:space="preserve">      Real estate</t>
  </si>
  <si>
    <t>531000</t>
  </si>
  <si>
    <t xml:space="preserve">      Rental and leasing services</t>
  </si>
  <si>
    <t>532000</t>
  </si>
  <si>
    <t xml:space="preserve">        Rental and leasing services (5322,3,4)</t>
  </si>
  <si>
    <t>5320A1</t>
  </si>
  <si>
    <t xml:space="preserve">        Automotive equipment rental and leasing</t>
  </si>
  <si>
    <t>532100</t>
  </si>
  <si>
    <t xml:space="preserve">      Lessors of nonfinancial intangible assets (except copyrighted works)</t>
  </si>
  <si>
    <t>533000</t>
  </si>
  <si>
    <t xml:space="preserve">    Professional, scientific, and technical services</t>
  </si>
  <si>
    <t>540000</t>
  </si>
  <si>
    <t xml:space="preserve">      Professional, scientific, and technical services</t>
  </si>
  <si>
    <t>541000</t>
  </si>
  <si>
    <t xml:space="preserve">        Legal services</t>
  </si>
  <si>
    <t>541100</t>
  </si>
  <si>
    <t xml:space="preserve">        Accounting, tax preparation, bookkeeping, and payroll services</t>
  </si>
  <si>
    <t>541200</t>
  </si>
  <si>
    <t xml:space="preserve">        Architectural, engineering, and related services</t>
  </si>
  <si>
    <t>541300</t>
  </si>
  <si>
    <t xml:space="preserve">          Engineering services</t>
  </si>
  <si>
    <t>541330</t>
  </si>
  <si>
    <t xml:space="preserve">          Testing laboratories and services</t>
  </si>
  <si>
    <t>541380</t>
  </si>
  <si>
    <t xml:space="preserve">        Specialized design services</t>
  </si>
  <si>
    <t>541400</t>
  </si>
  <si>
    <t xml:space="preserve">        Computer systems design and related services</t>
  </si>
  <si>
    <t>541500</t>
  </si>
  <si>
    <t xml:space="preserve">        Management, scientific, and technical consulting services</t>
  </si>
  <si>
    <t>541600</t>
  </si>
  <si>
    <t xml:space="preserve">        Scientific research and development services</t>
  </si>
  <si>
    <t>541700</t>
  </si>
  <si>
    <t xml:space="preserve">          Research and development in the physical, engineering, and life sciences</t>
  </si>
  <si>
    <t>541710</t>
  </si>
  <si>
    <t xml:space="preserve">          Research and development in the social sciences and humanities</t>
  </si>
  <si>
    <t>541720</t>
  </si>
  <si>
    <t xml:space="preserve">        Advertising, public relations, and related services</t>
  </si>
  <si>
    <t>541800</t>
  </si>
  <si>
    <t xml:space="preserve">        Other professional, scientific, and technical services</t>
  </si>
  <si>
    <t>541900</t>
  </si>
  <si>
    <t xml:space="preserve">          Photographic services</t>
  </si>
  <si>
    <t>541920</t>
  </si>
  <si>
    <t xml:space="preserve">          Veterinary services</t>
  </si>
  <si>
    <t>541940</t>
  </si>
  <si>
    <t xml:space="preserve">    Management of companies and enterprises</t>
  </si>
  <si>
    <t>550000</t>
  </si>
  <si>
    <t xml:space="preserve">      Management of companies and enterprises</t>
  </si>
  <si>
    <t>551000</t>
  </si>
  <si>
    <t xml:space="preserve">    Administrative and support and waste management and remediation services</t>
  </si>
  <si>
    <t>560000</t>
  </si>
  <si>
    <t xml:space="preserve">      Administrative and support services</t>
  </si>
  <si>
    <t>561000</t>
  </si>
  <si>
    <t xml:space="preserve">        Office administrative services</t>
  </si>
  <si>
    <t>561100</t>
  </si>
  <si>
    <t xml:space="preserve">        Facilities support services</t>
  </si>
  <si>
    <t>561200</t>
  </si>
  <si>
    <t xml:space="preserve">        Employment services</t>
  </si>
  <si>
    <t>561300</t>
  </si>
  <si>
    <t xml:space="preserve">          Temporary help services</t>
  </si>
  <si>
    <t>561320</t>
  </si>
  <si>
    <t xml:space="preserve">        Business support services</t>
  </si>
  <si>
    <t>561400</t>
  </si>
  <si>
    <t xml:space="preserve">        Travel arrangement and reservation services</t>
  </si>
  <si>
    <t>561500</t>
  </si>
  <si>
    <t xml:space="preserve">        Investigation and security services</t>
  </si>
  <si>
    <t>561600</t>
  </si>
  <si>
    <t xml:space="preserve">          Investigation, guard, and armored car services</t>
  </si>
  <si>
    <t>561610</t>
  </si>
  <si>
    <t xml:space="preserve">          Security systems services</t>
  </si>
  <si>
    <t>561620</t>
  </si>
  <si>
    <t xml:space="preserve">        Services to buildings and dwellings</t>
  </si>
  <si>
    <t>561700</t>
  </si>
  <si>
    <t xml:space="preserve">          Exterminating and pest control services</t>
  </si>
  <si>
    <t>561710</t>
  </si>
  <si>
    <t xml:space="preserve">          Landscaping services</t>
  </si>
  <si>
    <t>561730</t>
  </si>
  <si>
    <t xml:space="preserve">        Other support services</t>
  </si>
  <si>
    <t>561900</t>
  </si>
  <si>
    <t xml:space="preserve">      Waste management and remediation services</t>
  </si>
  <si>
    <t>562000</t>
  </si>
  <si>
    <t xml:space="preserve">        Waste collection</t>
  </si>
  <si>
    <t>562100</t>
  </si>
  <si>
    <t xml:space="preserve">        Waste treatment and disposal</t>
  </si>
  <si>
    <t>562200</t>
  </si>
  <si>
    <t xml:space="preserve">        Remediation and other waste management services</t>
  </si>
  <si>
    <t>562900</t>
  </si>
  <si>
    <t xml:space="preserve">    Educational services; state, local, and private</t>
  </si>
  <si>
    <t>610000</t>
  </si>
  <si>
    <t xml:space="preserve">      Educational services; state, local, and private</t>
  </si>
  <si>
    <t>611000</t>
  </si>
  <si>
    <t xml:space="preserve">        Educational services; private</t>
  </si>
  <si>
    <t>6110P0</t>
  </si>
  <si>
    <t xml:space="preserve">          Elementary and secondary schools; private</t>
  </si>
  <si>
    <t>61110P</t>
  </si>
  <si>
    <t xml:space="preserve">          Junior colleges, colleges, universities, and professional schools; private (6112,3)</t>
  </si>
  <si>
    <t>6110P1</t>
  </si>
  <si>
    <t xml:space="preserve">            Junior colleges; private</t>
  </si>
  <si>
    <t>61120P</t>
  </si>
  <si>
    <t xml:space="preserve">            Colleges, universities, and professional schools; private</t>
  </si>
  <si>
    <t>61130P</t>
  </si>
  <si>
    <t xml:space="preserve">          Other educational services; private (6114-7)</t>
  </si>
  <si>
    <t>6110P2</t>
  </si>
  <si>
    <t xml:space="preserve">            Business schools and computer and management training; private</t>
  </si>
  <si>
    <t>61140P</t>
  </si>
  <si>
    <t xml:space="preserve">            Technical and trade schools; private</t>
  </si>
  <si>
    <t>61150P</t>
  </si>
  <si>
    <t xml:space="preserve">            Other schools and instruction; private</t>
  </si>
  <si>
    <t>61160P</t>
  </si>
  <si>
    <t xml:space="preserve">            Educational support services; private</t>
  </si>
  <si>
    <t>61170P</t>
  </si>
  <si>
    <t xml:space="preserve">        Educational services; state and local</t>
  </si>
  <si>
    <t>6110Y0</t>
  </si>
  <si>
    <t xml:space="preserve">          Elementary and secondary schools; state</t>
  </si>
  <si>
    <t>61110S</t>
  </si>
  <si>
    <t xml:space="preserve">          Elementary and secondary schools; local</t>
  </si>
  <si>
    <t>61110L</t>
  </si>
  <si>
    <t xml:space="preserve">          Junior colleges, colleges, universities, and professional schools; state and local (6112,3)</t>
  </si>
  <si>
    <t>6110Y1</t>
  </si>
  <si>
    <t xml:space="preserve">            Junior colleges; state</t>
  </si>
  <si>
    <t>61120S</t>
  </si>
  <si>
    <t xml:space="preserve">            Junior colleges; local</t>
  </si>
  <si>
    <t>61120L</t>
  </si>
  <si>
    <t xml:space="preserve">            Colleges, universities, and professional schools; state</t>
  </si>
  <si>
    <t>61130S</t>
  </si>
  <si>
    <t xml:space="preserve">            Colleges, universities, and professional schools; local</t>
  </si>
  <si>
    <t>61130L</t>
  </si>
  <si>
    <t xml:space="preserve">          Other educational services; state and local (6114-7)</t>
  </si>
  <si>
    <t>6110Y2</t>
  </si>
  <si>
    <t xml:space="preserve">            Business schools and computer and management training; state</t>
  </si>
  <si>
    <t>61140S</t>
  </si>
  <si>
    <t xml:space="preserve">            Business schools and computer and management training; local</t>
  </si>
  <si>
    <t>61140L</t>
  </si>
  <si>
    <t xml:space="preserve">            Technical and trade schools; state</t>
  </si>
  <si>
    <t>61150S</t>
  </si>
  <si>
    <t xml:space="preserve">            Technical and trade schools; local</t>
  </si>
  <si>
    <t>61150L</t>
  </si>
  <si>
    <t xml:space="preserve">            Other schools and instruction; state</t>
  </si>
  <si>
    <t>61160S</t>
  </si>
  <si>
    <t xml:space="preserve">            Other schools and instruction; local</t>
  </si>
  <si>
    <t>61160L</t>
  </si>
  <si>
    <t xml:space="preserve">            Educational support services; local</t>
  </si>
  <si>
    <t>61170L</t>
  </si>
  <si>
    <t xml:space="preserve">    Healthcare and social assistance</t>
  </si>
  <si>
    <t>620000</t>
  </si>
  <si>
    <t xml:space="preserve">      Ambulatory healthcare services</t>
  </si>
  <si>
    <t>621000</t>
  </si>
  <si>
    <t xml:space="preserve">        Offices of physicians</t>
  </si>
  <si>
    <t>621100</t>
  </si>
  <si>
    <t xml:space="preserve">        Offices of dentists</t>
  </si>
  <si>
    <t>621200</t>
  </si>
  <si>
    <t xml:space="preserve">        Offices of other health practitioners</t>
  </si>
  <si>
    <t>621300</t>
  </si>
  <si>
    <t xml:space="preserve">          Offices of chiropractors</t>
  </si>
  <si>
    <t>621310</t>
  </si>
  <si>
    <t xml:space="preserve">          Offices of optometrists</t>
  </si>
  <si>
    <t>621320</t>
  </si>
  <si>
    <t xml:space="preserve">          Offices of mental health practitioners (except physicians)</t>
  </si>
  <si>
    <t>621330</t>
  </si>
  <si>
    <t xml:space="preserve">          Offices of physical, occupational and speech therapists, and audiologists</t>
  </si>
  <si>
    <t>621340</t>
  </si>
  <si>
    <t xml:space="preserve">          Offices of all other health practitioners</t>
  </si>
  <si>
    <t>621390</t>
  </si>
  <si>
    <t xml:space="preserve">        Outpatient care centers</t>
  </si>
  <si>
    <t>621400</t>
  </si>
  <si>
    <t xml:space="preserve">          Outpatient mental health and substance abuse centers</t>
  </si>
  <si>
    <t>621420</t>
  </si>
  <si>
    <t xml:space="preserve">        Medical and diagnostic laboratories</t>
  </si>
  <si>
    <t>621500</t>
  </si>
  <si>
    <t xml:space="preserve">        Home healthcare services</t>
  </si>
  <si>
    <t>621600</t>
  </si>
  <si>
    <t xml:space="preserve">        Other ambulatory healthcare services</t>
  </si>
  <si>
    <t>621900</t>
  </si>
  <si>
    <t xml:space="preserve">          Ambulance services</t>
  </si>
  <si>
    <t>621910</t>
  </si>
  <si>
    <t xml:space="preserve">          All other ambulatory healthcare services</t>
  </si>
  <si>
    <t>621990</t>
  </si>
  <si>
    <t xml:space="preserve">      Hospitals; state, local, and private</t>
  </si>
  <si>
    <t>622000</t>
  </si>
  <si>
    <t xml:space="preserve">        Hospitals; private</t>
  </si>
  <si>
    <t>6220P0</t>
  </si>
  <si>
    <t xml:space="preserve">          General medical and surgical hospitals; private</t>
  </si>
  <si>
    <t>62210P</t>
  </si>
  <si>
    <t xml:space="preserve">          Psychiatric and substance abuse hospitals; private</t>
  </si>
  <si>
    <t>62220P</t>
  </si>
  <si>
    <t xml:space="preserve">          Specialty (except psychiatric and substance abuse) hospitals; private</t>
  </si>
  <si>
    <t>62230P</t>
  </si>
  <si>
    <t xml:space="preserve">        Hospitals; state and local</t>
  </si>
  <si>
    <t>6220Y0</t>
  </si>
  <si>
    <t xml:space="preserve">          General medical and surgical hospitals; state</t>
  </si>
  <si>
    <t>62210S</t>
  </si>
  <si>
    <t xml:space="preserve">          General medical and surgical hospitals; local</t>
  </si>
  <si>
    <t>62210L</t>
  </si>
  <si>
    <t xml:space="preserve">          Psychiatric and substance abuse hospitals; state</t>
  </si>
  <si>
    <t>62220S</t>
  </si>
  <si>
    <t xml:space="preserve">          Psychiatric and substance abuse hospitals; local</t>
  </si>
  <si>
    <t>62220L</t>
  </si>
  <si>
    <t xml:space="preserve">          Specialty (except psychiatric and substance abuse) hospitals; state</t>
  </si>
  <si>
    <t>62230S</t>
  </si>
  <si>
    <t xml:space="preserve">          Specialty (except psychiatric and substance abuse) hospitals; local</t>
  </si>
  <si>
    <t>62230L</t>
  </si>
  <si>
    <t xml:space="preserve">      Nursing and residential care facilities</t>
  </si>
  <si>
    <t>623000</t>
  </si>
  <si>
    <t xml:space="preserve">          Nursing care facilities (skilled nursing facilities)</t>
  </si>
  <si>
    <t>623100</t>
  </si>
  <si>
    <t xml:space="preserve">          Continuing care retirement communities and assisted living facilities for the elderly</t>
  </si>
  <si>
    <t>623300</t>
  </si>
  <si>
    <t xml:space="preserve">          Residential intellectual and developmental disability, mental health, and substance abuse facilities</t>
  </si>
  <si>
    <t>623200</t>
  </si>
  <si>
    <t xml:space="preserve">            Residential intellectual and developmental disability facilities</t>
  </si>
  <si>
    <t>623210</t>
  </si>
  <si>
    <t xml:space="preserve">            Residential mental health and substance abuse facilities</t>
  </si>
  <si>
    <t>623220</t>
  </si>
  <si>
    <t xml:space="preserve">          Other residential care facilities</t>
  </si>
  <si>
    <t>623900</t>
  </si>
  <si>
    <t xml:space="preserve">      Social assistance</t>
  </si>
  <si>
    <t>624000</t>
  </si>
  <si>
    <t xml:space="preserve">        Individual and family services</t>
  </si>
  <si>
    <t>624100</t>
  </si>
  <si>
    <t xml:space="preserve">          Services for the elderly and persons with disabilities</t>
  </si>
  <si>
    <t>624120</t>
  </si>
  <si>
    <t xml:space="preserve">        Community food and housing, emergency and other relief services, and vocational rehabilitation services</t>
  </si>
  <si>
    <t>6242-3</t>
  </si>
  <si>
    <t xml:space="preserve">          Community food and housing, and emergency and other relief services</t>
  </si>
  <si>
    <t>624200</t>
  </si>
  <si>
    <t xml:space="preserve">          Vocational rehabilitation services</t>
  </si>
  <si>
    <t>624300</t>
  </si>
  <si>
    <t xml:space="preserve">        Child daycare services</t>
  </si>
  <si>
    <t>624400</t>
  </si>
  <si>
    <t xml:space="preserve">    Arts, entertainment, and recreation</t>
  </si>
  <si>
    <t>710000</t>
  </si>
  <si>
    <t xml:space="preserve">      Performing arts, spectator sports, and related industries</t>
  </si>
  <si>
    <t>711000</t>
  </si>
  <si>
    <t xml:space="preserve">        Performing arts companies</t>
  </si>
  <si>
    <t>711100</t>
  </si>
  <si>
    <t xml:space="preserve">          Theater companies and dinner theaters</t>
  </si>
  <si>
    <t>711110</t>
  </si>
  <si>
    <t xml:space="preserve">        Spectator sports</t>
  </si>
  <si>
    <t>711200</t>
  </si>
  <si>
    <t xml:space="preserve">        Promoters of performing arts and sports, and agents for public figures</t>
  </si>
  <si>
    <t>7113-4</t>
  </si>
  <si>
    <t xml:space="preserve">          Promoters of performing arts, sports, and similar events</t>
  </si>
  <si>
    <t>711300</t>
  </si>
  <si>
    <t xml:space="preserve">          Agents and managers for artists, athletes, entertainers, and other public figures</t>
  </si>
  <si>
    <t>711400</t>
  </si>
  <si>
    <t xml:space="preserve">        Independent artists, writers, and performers</t>
  </si>
  <si>
    <t>711500</t>
  </si>
  <si>
    <t xml:space="preserve">      Museums, historical sites, and similar institutions</t>
  </si>
  <si>
    <t>712000</t>
  </si>
  <si>
    <t xml:space="preserve">      Amusement, gambling, and recreation industries</t>
  </si>
  <si>
    <t>713000</t>
  </si>
  <si>
    <t xml:space="preserve">        Amusement parks and arcades</t>
  </si>
  <si>
    <t>713100</t>
  </si>
  <si>
    <t xml:space="preserve">        Gambling industries (except casino hotels)</t>
  </si>
  <si>
    <t>713200</t>
  </si>
  <si>
    <t xml:space="preserve">        Other amusement and recreation industries</t>
  </si>
  <si>
    <t>713900</t>
  </si>
  <si>
    <t xml:space="preserve">          Fitness and recreational sports centers</t>
  </si>
  <si>
    <t>713940</t>
  </si>
  <si>
    <t xml:space="preserve">    Accommodation and food services</t>
  </si>
  <si>
    <t>720000</t>
  </si>
  <si>
    <t xml:space="preserve">      Accommodation</t>
  </si>
  <si>
    <t>721000</t>
  </si>
  <si>
    <t xml:space="preserve">        Traveler accommodation</t>
  </si>
  <si>
    <t>721100</t>
  </si>
  <si>
    <t xml:space="preserve">          Casino hotels</t>
  </si>
  <si>
    <t>721120</t>
  </si>
  <si>
    <t xml:space="preserve">        RV (recreational vehicle) parks and recreational camps</t>
  </si>
  <si>
    <t>721200</t>
  </si>
  <si>
    <t xml:space="preserve">        Rooming and boarding houses, dormitories, and workers' camps</t>
  </si>
  <si>
    <t>721300</t>
  </si>
  <si>
    <t xml:space="preserve">      Food services and drinking places</t>
  </si>
  <si>
    <t>722000</t>
  </si>
  <si>
    <t xml:space="preserve">        Full-service restaurants</t>
  </si>
  <si>
    <t>722511</t>
  </si>
  <si>
    <t xml:space="preserve">          Special food services</t>
  </si>
  <si>
    <t>722300</t>
  </si>
  <si>
    <t xml:space="preserve">          Drinking places (alcoholic beverages)</t>
  </si>
  <si>
    <t>722400</t>
  </si>
  <si>
    <t xml:space="preserve">    Other services (except public administration)</t>
  </si>
  <si>
    <t>810000</t>
  </si>
  <si>
    <t xml:space="preserve">      Repair and maintenance</t>
  </si>
  <si>
    <t>811000</t>
  </si>
  <si>
    <t xml:space="preserve">        Automotive repair and maintenance</t>
  </si>
  <si>
    <t>811100</t>
  </si>
  <si>
    <t xml:space="preserve">          Automotive mechanical and electrical repair and maintenance</t>
  </si>
  <si>
    <t>811110</t>
  </si>
  <si>
    <t xml:space="preserve">          Automotive body, paint, interior, and glass repair</t>
  </si>
  <si>
    <t>811120</t>
  </si>
  <si>
    <t xml:space="preserve">          Other automotive repair and maintenance</t>
  </si>
  <si>
    <t>811190</t>
  </si>
  <si>
    <t xml:space="preserve">        Electronic and precision equipment repair and maintenance</t>
  </si>
  <si>
    <t>811200</t>
  </si>
  <si>
    <t xml:space="preserve">        Commercial and industrial machinery and equipment (except automotive and electronic) repair and maintenance</t>
  </si>
  <si>
    <t>811300</t>
  </si>
  <si>
    <t xml:space="preserve">        Personal and household goods repair and maintenance</t>
  </si>
  <si>
    <t>811400</t>
  </si>
  <si>
    <t xml:space="preserve">      Personal and laundry services</t>
  </si>
  <si>
    <t>812000</t>
  </si>
  <si>
    <t xml:space="preserve">        Personal care services</t>
  </si>
  <si>
    <t>812100</t>
  </si>
  <si>
    <t xml:space="preserve">        Death care services</t>
  </si>
  <si>
    <t>812200</t>
  </si>
  <si>
    <t xml:space="preserve">        Drycleaning and laundry services</t>
  </si>
  <si>
    <t>812300</t>
  </si>
  <si>
    <t xml:space="preserve">        Other personal services</t>
  </si>
  <si>
    <t>812900</t>
  </si>
  <si>
    <t xml:space="preserve">      Religious, grantmaking, civic, professional, and similar organizations</t>
  </si>
  <si>
    <t>813000</t>
  </si>
  <si>
    <t xml:space="preserve">        Grantmaking and giving services and social advocacy organizations</t>
  </si>
  <si>
    <t>8132-3</t>
  </si>
  <si>
    <t xml:space="preserve">          Grantmaking and giving services</t>
  </si>
  <si>
    <t>813200</t>
  </si>
  <si>
    <t xml:space="preserve">          Social advocacy organizations</t>
  </si>
  <si>
    <t>813300</t>
  </si>
  <si>
    <t xml:space="preserve">        Civic, social, professional, and similar organizations</t>
  </si>
  <si>
    <t>8134-9</t>
  </si>
  <si>
    <t xml:space="preserve">          Civic and social organizations</t>
  </si>
  <si>
    <t>813400</t>
  </si>
  <si>
    <t xml:space="preserve">          Business, professional, labor, political, and similar organizations</t>
  </si>
  <si>
    <t>813900</t>
  </si>
  <si>
    <t xml:space="preserve">            Labor unions and similar labor organizations</t>
  </si>
  <si>
    <t>813930</t>
  </si>
  <si>
    <t xml:space="preserve">      Private households</t>
  </si>
  <si>
    <t>814000</t>
  </si>
  <si>
    <t xml:space="preserve">    Government, excluding state and local education and hospitals</t>
  </si>
  <si>
    <t>900000</t>
  </si>
  <si>
    <t xml:space="preserve">      Federal government</t>
  </si>
  <si>
    <t>910000</t>
  </si>
  <si>
    <t xml:space="preserve">        Postal service</t>
  </si>
  <si>
    <t>491000</t>
  </si>
  <si>
    <t xml:space="preserve">        Federal government, excluding postal service</t>
  </si>
  <si>
    <t>999100</t>
  </si>
  <si>
    <t xml:space="preserve">      State and local government, excluding education and hospitals</t>
  </si>
  <si>
    <t>9992-3</t>
  </si>
  <si>
    <t xml:space="preserve">        State government, excluding education and hospitals</t>
  </si>
  <si>
    <t>999200</t>
  </si>
  <si>
    <t xml:space="preserve">        Local government, excluding education and hospitals</t>
  </si>
  <si>
    <t>999300</t>
  </si>
  <si>
    <t>Source: Employment Projections program, U.S. Bureau of Labor Statistics</t>
  </si>
  <si>
    <t>2024-2034</t>
  </si>
  <si>
    <t>Table 2.11: Output and Employment by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</si>
</sst>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7" formatCode="0.0%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0"/>
      <color theme="0" tint="-4.9989318521683403E-2"/>
      <name val="Calibri"/>
      <family val="2"/>
      <scheme val="minor"/>
    </font>
    <font>
      <sz val="8"/>
      <name val="Calibri"/>
      <family val="2"/>
      <scheme val="minor"/>
    </font>
    <font>
      <b/>
      <sz val="8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name val="Arial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0" fontId="8" fillId="0" borderId="0"/>
    <xf numFmtId="0" fontId="8" fillId="0" borderId="0"/>
    <xf numFmtId="0" fontId="9" fillId="0" borderId="1">
      <alignment wrapText="1"/>
    </xf>
    <xf numFmtId="0" fontId="10" fillId="0" borderId="0">
      <alignment horizontal="left"/>
    </xf>
    <xf numFmtId="0" fontId="9" fillId="0" borderId="2">
      <alignment wrapText="1"/>
    </xf>
    <xf numFmtId="0" fontId="8" fillId="0" borderId="3">
      <alignment wrapText="1"/>
    </xf>
    <xf numFmtId="0" fontId="8" fillId="0" borderId="4">
      <alignment wrapText="1"/>
    </xf>
    <xf numFmtId="0" fontId="8" fillId="0" borderId="0"/>
  </cellStyleXfs>
  <cellXfs count="4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5" fillId="0" borderId="0" xfId="0" applyFont="1" applyAlignment="1">
      <alignment horizontal="left"/>
    </xf>
    <xf numFmtId="0" fontId="0" fillId="2" borderId="0" xfId="0" applyFill="1"/>
    <xf numFmtId="0" fontId="0" fillId="0" borderId="0" xfId="0" applyAlignment="1">
      <alignment wrapText="1"/>
    </xf>
    <xf numFmtId="0" fontId="0" fillId="4" borderId="0" xfId="0" applyFill="1"/>
    <xf numFmtId="0" fontId="4" fillId="0" borderId="0" xfId="4" applyFont="1"/>
    <xf numFmtId="0" fontId="1" fillId="3" borderId="0" xfId="0" applyFont="1" applyFill="1" applyAlignment="1">
      <alignment horizontal="left"/>
    </xf>
    <xf numFmtId="0" fontId="2" fillId="0" borderId="0" xfId="1" applyAlignment="1">
      <alignment horizontal="left"/>
    </xf>
    <xf numFmtId="0" fontId="1" fillId="2" borderId="0" xfId="0" applyFont="1" applyFill="1"/>
    <xf numFmtId="0" fontId="1" fillId="0" borderId="0" xfId="0" applyFont="1" applyAlignment="1">
      <alignment horizontal="right"/>
    </xf>
    <xf numFmtId="167" fontId="0" fillId="0" borderId="0" xfId="3" applyNumberFormat="1" applyFont="1"/>
    <xf numFmtId="0" fontId="1" fillId="6" borderId="0" xfId="0" applyFont="1" applyFill="1"/>
    <xf numFmtId="0" fontId="0" fillId="6" borderId="0" xfId="0" applyFill="1"/>
    <xf numFmtId="0" fontId="4" fillId="3" borderId="0" xfId="4" applyFont="1" applyFill="1"/>
    <xf numFmtId="10" fontId="0" fillId="0" borderId="0" xfId="3" applyNumberFormat="1" applyFont="1"/>
    <xf numFmtId="0" fontId="1" fillId="5" borderId="0" xfId="0" applyFont="1" applyFill="1"/>
    <xf numFmtId="167" fontId="0" fillId="0" borderId="0" xfId="0" applyNumberFormat="1"/>
    <xf numFmtId="0" fontId="1" fillId="7" borderId="0" xfId="0" applyFont="1" applyFill="1"/>
    <xf numFmtId="0" fontId="1" fillId="0" borderId="0" xfId="0" applyFont="1" applyAlignment="1">
      <alignment horizontal="right" wrapText="1"/>
    </xf>
    <xf numFmtId="0" fontId="1" fillId="4" borderId="0" xfId="0" applyFont="1" applyFill="1"/>
    <xf numFmtId="0" fontId="0" fillId="2" borderId="0" xfId="0" applyFill="1" applyAlignment="1">
      <alignment horizontal="left"/>
    </xf>
    <xf numFmtId="0" fontId="4" fillId="0" borderId="0" xfId="0" applyFont="1"/>
    <xf numFmtId="0" fontId="1" fillId="8" borderId="0" xfId="0" applyFont="1" applyFill="1"/>
    <xf numFmtId="0" fontId="11" fillId="0" borderId="0" xfId="0" applyFont="1"/>
    <xf numFmtId="0" fontId="0" fillId="0" borderId="0" xfId="3" applyNumberFormat="1" applyFont="1"/>
    <xf numFmtId="10" fontId="0" fillId="0" borderId="0" xfId="0" applyNumberFormat="1"/>
    <xf numFmtId="10" fontId="0" fillId="9" borderId="0" xfId="3" applyNumberFormat="1" applyFont="1" applyFill="1"/>
    <xf numFmtId="9" fontId="0" fillId="9" borderId="0" xfId="3" applyFont="1" applyFill="1"/>
    <xf numFmtId="9" fontId="1" fillId="9" borderId="0" xfId="3" applyFont="1" applyFill="1"/>
    <xf numFmtId="0" fontId="0" fillId="9" borderId="0" xfId="0" applyFill="1"/>
    <xf numFmtId="0" fontId="13" fillId="0" borderId="0" xfId="0" applyFont="1"/>
    <xf numFmtId="0" fontId="13" fillId="0" borderId="0" xfId="4" applyFont="1"/>
    <xf numFmtId="10" fontId="1" fillId="0" borderId="0" xfId="0" applyNumberFormat="1" applyFont="1"/>
    <xf numFmtId="167" fontId="0" fillId="10" borderId="0" xfId="3" applyNumberFormat="1" applyFont="1" applyFill="1"/>
    <xf numFmtId="0" fontId="7" fillId="0" borderId="0" xfId="0" applyFont="1"/>
    <xf numFmtId="0" fontId="16" fillId="0" borderId="5" xfId="0" applyFont="1" applyBorder="1" applyAlignment="1">
      <alignment horizontal="center" wrapText="1"/>
    </xf>
    <xf numFmtId="0" fontId="17" fillId="0" borderId="6" xfId="0" applyFont="1" applyBorder="1"/>
    <xf numFmtId="164" fontId="17" fillId="0" borderId="6" xfId="0" applyNumberFormat="1" applyFont="1" applyBorder="1" applyAlignment="1">
      <alignment horizontal="left"/>
    </xf>
    <xf numFmtId="164" fontId="17" fillId="0" borderId="6" xfId="0" applyNumberFormat="1" applyFont="1" applyBorder="1" applyAlignment="1">
      <alignment horizontal="right"/>
    </xf>
    <xf numFmtId="0" fontId="17" fillId="0" borderId="0" xfId="0" applyFont="1"/>
    <xf numFmtId="3" fontId="0" fillId="0" borderId="0" xfId="0" applyNumberFormat="1" applyAlignment="1">
      <alignment horizontal="right"/>
    </xf>
  </cellXfs>
  <cellStyles count="12">
    <cellStyle name="Body: normal cell" xfId="9" xr:uid="{1E571901-62A3-490E-A9CE-5146011C1E6C}"/>
    <cellStyle name="Font: Calibri, 9pt regular" xfId="5" xr:uid="{25FCE220-E6F3-428F-8DE7-22D731B9712E}"/>
    <cellStyle name="Footnotes: top row" xfId="10" xr:uid="{2677079D-F511-4F68-B05E-FB845AB9D3F4}"/>
    <cellStyle name="Header: bottom row" xfId="6" xr:uid="{469194D9-C3F1-450B-9B02-CB17498708FE}"/>
    <cellStyle name="Hyperlink" xfId="1" builtinId="8"/>
    <cellStyle name="Normal" xfId="0" builtinId="0"/>
    <cellStyle name="Normal 2" xfId="2" xr:uid="{3ADF3FF5-E4D2-4BC8-9960-7408DCCB591E}"/>
    <cellStyle name="Normal 2 2" xfId="11" xr:uid="{C374538A-412D-4555-9F49-9098E8F228FC}"/>
    <cellStyle name="Normal 3" xfId="4" xr:uid="{30826B47-D06C-4748-9DDD-ABA68B8B9493}"/>
    <cellStyle name="Parent row" xfId="8" xr:uid="{667DBEB3-6D87-4DEF-AC53-30ED1A57F70C}"/>
    <cellStyle name="Percent" xfId="3" builtinId="5"/>
    <cellStyle name="Table title" xfId="7" xr:uid="{FD69BB4F-2344-4CC5-A7F5-9C09A713FEA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eff-nonadmin\Dropbox%20(Energy%20Innovation)\EI-PlcyMdl\eps-1.5.0-us-wipE\InputData\web-app\BCF\BTU%20Conversion%20Fac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73"/>
      <sheetName val="GREET1 Fuel_Specs"/>
      <sheetName val="BCF-BpLFOU"/>
      <sheetName val="BCF-BpSFOU"/>
      <sheetName val="BCF-VFEUCF"/>
      <sheetName val="BCF-BpEIEOU"/>
    </sheetNames>
    <sheetDataSet>
      <sheetData sheetId="0">
        <row r="63">
          <cell r="A63">
            <v>42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ia.gov/outlooks/aeo/tables_ref.php" TargetMode="External"/><Relationship Id="rId1" Type="http://schemas.openxmlformats.org/officeDocument/2006/relationships/hyperlink" Target="https://www.eia.gov/outlooks/aeo/tables_ref.php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workbookViewId="0">
      <selection activeCell="B12" sqref="B12"/>
    </sheetView>
  </sheetViews>
  <sheetFormatPr defaultRowHeight="15" x14ac:dyDescent="0.25"/>
  <cols>
    <col min="2" max="2" width="77.5703125" style="2" customWidth="1"/>
  </cols>
  <sheetData>
    <row r="1" spans="1:2" x14ac:dyDescent="0.25">
      <c r="A1" s="1" t="s">
        <v>100</v>
      </c>
    </row>
    <row r="3" spans="1:2" x14ac:dyDescent="0.25">
      <c r="A3" s="1" t="s">
        <v>0</v>
      </c>
      <c r="B3" s="9" t="s">
        <v>123</v>
      </c>
    </row>
    <row r="4" spans="1:2" x14ac:dyDescent="0.25">
      <c r="B4" s="2" t="s">
        <v>89</v>
      </c>
    </row>
    <row r="5" spans="1:2" x14ac:dyDescent="0.25">
      <c r="B5" s="2">
        <v>2025</v>
      </c>
    </row>
    <row r="6" spans="1:2" x14ac:dyDescent="0.25">
      <c r="B6" s="2" t="s">
        <v>262</v>
      </c>
    </row>
    <row r="7" spans="1:2" x14ac:dyDescent="0.25">
      <c r="B7" s="10" t="s">
        <v>90</v>
      </c>
    </row>
    <row r="8" spans="1:2" x14ac:dyDescent="0.25">
      <c r="B8" s="2" t="s">
        <v>91</v>
      </c>
    </row>
    <row r="10" spans="1:2" x14ac:dyDescent="0.25">
      <c r="B10" s="2" t="s">
        <v>35</v>
      </c>
    </row>
    <row r="11" spans="1:2" x14ac:dyDescent="0.25">
      <c r="B11" s="2">
        <v>2024</v>
      </c>
    </row>
    <row r="12" spans="1:2" x14ac:dyDescent="0.25">
      <c r="B12" s="2" t="s">
        <v>92</v>
      </c>
    </row>
    <row r="13" spans="1:2" x14ac:dyDescent="0.25">
      <c r="B13" s="2" t="s">
        <v>93</v>
      </c>
    </row>
    <row r="14" spans="1:2" x14ac:dyDescent="0.25">
      <c r="B14" s="2" t="s">
        <v>1129</v>
      </c>
    </row>
    <row r="16" spans="1:2" x14ac:dyDescent="0.25">
      <c r="B16" s="9" t="s">
        <v>133</v>
      </c>
    </row>
    <row r="17" spans="1:2" x14ac:dyDescent="0.25">
      <c r="B17" s="2" t="s">
        <v>89</v>
      </c>
    </row>
    <row r="18" spans="1:2" x14ac:dyDescent="0.25">
      <c r="B18" s="2">
        <v>2025</v>
      </c>
    </row>
    <row r="19" spans="1:2" x14ac:dyDescent="0.25">
      <c r="B19" s="2" t="s">
        <v>262</v>
      </c>
    </row>
    <row r="20" spans="1:2" x14ac:dyDescent="0.25">
      <c r="B20" s="2" t="s">
        <v>263</v>
      </c>
    </row>
    <row r="21" spans="1:2" x14ac:dyDescent="0.25">
      <c r="B21" s="10" t="s">
        <v>90</v>
      </c>
    </row>
    <row r="22" spans="1:2" x14ac:dyDescent="0.25">
      <c r="B22" s="2" t="s">
        <v>91</v>
      </c>
    </row>
    <row r="24" spans="1:2" x14ac:dyDescent="0.25">
      <c r="A24" s="1" t="s">
        <v>1</v>
      </c>
    </row>
    <row r="26" spans="1:2" x14ac:dyDescent="0.25">
      <c r="A26" t="s">
        <v>104</v>
      </c>
    </row>
    <row r="27" spans="1:2" x14ac:dyDescent="0.25">
      <c r="A27" t="s">
        <v>105</v>
      </c>
    </row>
    <row r="29" spans="1:2" x14ac:dyDescent="0.25">
      <c r="A29" t="s">
        <v>106</v>
      </c>
    </row>
    <row r="30" spans="1:2" x14ac:dyDescent="0.25">
      <c r="A30" t="s">
        <v>108</v>
      </c>
    </row>
    <row r="31" spans="1:2" x14ac:dyDescent="0.25">
      <c r="A31" t="s">
        <v>107</v>
      </c>
    </row>
    <row r="32" spans="1:2" x14ac:dyDescent="0.25">
      <c r="A32" t="s">
        <v>109</v>
      </c>
    </row>
    <row r="34" spans="1:2" x14ac:dyDescent="0.25">
      <c r="A34" t="s">
        <v>110</v>
      </c>
    </row>
    <row r="35" spans="1:2" x14ac:dyDescent="0.25">
      <c r="A35" t="s">
        <v>111</v>
      </c>
    </row>
    <row r="36" spans="1:2" x14ac:dyDescent="0.25">
      <c r="A36" t="s">
        <v>134</v>
      </c>
    </row>
    <row r="37" spans="1:2" x14ac:dyDescent="0.25">
      <c r="A37" t="s">
        <v>135</v>
      </c>
    </row>
    <row r="38" spans="1:2" x14ac:dyDescent="0.25">
      <c r="A38" t="s">
        <v>136</v>
      </c>
    </row>
    <row r="39" spans="1:2" x14ac:dyDescent="0.25">
      <c r="A39" t="s">
        <v>112</v>
      </c>
    </row>
    <row r="40" spans="1:2" x14ac:dyDescent="0.25">
      <c r="A40" t="s">
        <v>113</v>
      </c>
    </row>
    <row r="41" spans="1:2" x14ac:dyDescent="0.25">
      <c r="A41" t="s">
        <v>114</v>
      </c>
    </row>
    <row r="43" spans="1:2" x14ac:dyDescent="0.25">
      <c r="A43" t="s">
        <v>125</v>
      </c>
      <c r="B43"/>
    </row>
    <row r="44" spans="1:2" x14ac:dyDescent="0.25">
      <c r="A44" t="s">
        <v>126</v>
      </c>
      <c r="B44"/>
    </row>
    <row r="45" spans="1:2" x14ac:dyDescent="0.25">
      <c r="B45"/>
    </row>
    <row r="46" spans="1:2" x14ac:dyDescent="0.25">
      <c r="A46" s="11" t="s">
        <v>118</v>
      </c>
      <c r="B46" s="23"/>
    </row>
    <row r="48" spans="1:2" x14ac:dyDescent="0.25">
      <c r="A48" t="s">
        <v>115</v>
      </c>
    </row>
    <row r="49" spans="1:1" x14ac:dyDescent="0.25">
      <c r="A49" t="s">
        <v>119</v>
      </c>
    </row>
    <row r="50" spans="1:1" x14ac:dyDescent="0.25">
      <c r="A50" t="s">
        <v>120</v>
      </c>
    </row>
    <row r="51" spans="1:1" x14ac:dyDescent="0.25">
      <c r="A51" t="s">
        <v>121</v>
      </c>
    </row>
    <row r="52" spans="1:1" x14ac:dyDescent="0.25">
      <c r="A52" t="s">
        <v>116</v>
      </c>
    </row>
    <row r="53" spans="1:1" x14ac:dyDescent="0.25">
      <c r="A53" t="s">
        <v>122</v>
      </c>
    </row>
    <row r="54" spans="1:1" x14ac:dyDescent="0.25">
      <c r="A54" t="s">
        <v>117</v>
      </c>
    </row>
  </sheetData>
  <hyperlinks>
    <hyperlink ref="B7" r:id="rId1" xr:uid="{45204913-A7F0-449B-B5F2-3CB3DA1AD8A7}"/>
    <hyperlink ref="B21" r:id="rId2" xr:uid="{A2097F01-EF9C-4540-B0FD-76B3C8B681E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A39DD-396B-4D79-93D6-4BF1A9CDAD97}">
  <sheetPr>
    <tabColor theme="0" tint="-0.499984740745262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083F2-C661-4629-9B06-6472BEA165AE}">
  <dimension ref="A1:M426"/>
  <sheetViews>
    <sheetView topLeftCell="A210" zoomScaleNormal="100" workbookViewId="0">
      <selection activeCell="M227" sqref="M227"/>
    </sheetView>
  </sheetViews>
  <sheetFormatPr defaultRowHeight="15" x14ac:dyDescent="0.25"/>
  <cols>
    <col min="1" max="1" width="115.140625" customWidth="1"/>
    <col min="2" max="2" width="13.28515625" bestFit="1" customWidth="1"/>
    <col min="3" max="3" width="12.5703125" bestFit="1" customWidth="1"/>
    <col min="4" max="5" width="12.85546875" bestFit="1" customWidth="1"/>
    <col min="6" max="6" width="13.28515625" customWidth="1"/>
    <col min="7" max="7" width="13.85546875" customWidth="1"/>
    <col min="8" max="8" width="14" customWidth="1"/>
    <col min="9" max="10" width="12.140625" bestFit="1" customWidth="1"/>
    <col min="11" max="11" width="14.7109375" customWidth="1"/>
  </cols>
  <sheetData>
    <row r="1" spans="1:12" ht="15.75" thickBot="1" x14ac:dyDescent="0.3">
      <c r="A1" s="37" t="s">
        <v>266</v>
      </c>
      <c r="L1" s="5"/>
    </row>
    <row r="2" spans="1:12" ht="66" thickTop="1" thickBot="1" x14ac:dyDescent="0.3">
      <c r="A2" s="38" t="s">
        <v>267</v>
      </c>
      <c r="B2" s="38" t="s">
        <v>268</v>
      </c>
      <c r="C2" s="38" t="s">
        <v>269</v>
      </c>
      <c r="D2" s="38" t="s">
        <v>270</v>
      </c>
      <c r="E2" s="38" t="s">
        <v>271</v>
      </c>
      <c r="F2" s="38" t="s">
        <v>272</v>
      </c>
      <c r="G2" s="38" t="s">
        <v>273</v>
      </c>
      <c r="H2" s="38" t="s">
        <v>274</v>
      </c>
      <c r="I2" s="38" t="s">
        <v>275</v>
      </c>
      <c r="J2" s="38" t="s">
        <v>276</v>
      </c>
      <c r="K2" s="38" t="s">
        <v>277</v>
      </c>
      <c r="L2" s="11" t="s">
        <v>94</v>
      </c>
    </row>
    <row r="3" spans="1:12" ht="15.75" thickTop="1" x14ac:dyDescent="0.25">
      <c r="A3" s="39" t="s">
        <v>278</v>
      </c>
      <c r="B3" s="39" t="s">
        <v>279</v>
      </c>
      <c r="C3" s="40" t="s">
        <v>280</v>
      </c>
      <c r="D3" s="41">
        <v>169956.1</v>
      </c>
      <c r="E3" s="41">
        <v>175167.9</v>
      </c>
      <c r="F3" s="41">
        <v>5211.8</v>
      </c>
      <c r="G3" s="41">
        <v>3.1</v>
      </c>
      <c r="H3" s="41">
        <v>0.3</v>
      </c>
      <c r="I3" s="41">
        <v>40174.800000000003</v>
      </c>
      <c r="J3" s="41">
        <v>48622.400000000001</v>
      </c>
      <c r="K3" s="41">
        <v>1.9</v>
      </c>
    </row>
    <row r="4" spans="1:12" x14ac:dyDescent="0.25">
      <c r="A4" s="39" t="s">
        <v>281</v>
      </c>
      <c r="B4" s="39" t="s">
        <v>282</v>
      </c>
      <c r="C4" s="40" t="s">
        <v>283</v>
      </c>
      <c r="D4" s="41">
        <v>9906.4</v>
      </c>
      <c r="E4" s="41">
        <v>10122.799999999999</v>
      </c>
      <c r="F4" s="41">
        <v>216.4</v>
      </c>
      <c r="G4" s="41">
        <v>2.2000000000000002</v>
      </c>
      <c r="H4" s="41">
        <v>0.2</v>
      </c>
      <c r="I4" s="41" t="s">
        <v>284</v>
      </c>
      <c r="J4" s="41" t="s">
        <v>284</v>
      </c>
      <c r="K4" s="41" t="s">
        <v>284</v>
      </c>
    </row>
    <row r="5" spans="1:12" x14ac:dyDescent="0.25">
      <c r="A5" s="39" t="s">
        <v>285</v>
      </c>
      <c r="B5" s="39" t="s">
        <v>286</v>
      </c>
      <c r="C5" s="40" t="s">
        <v>280</v>
      </c>
      <c r="D5" s="41">
        <v>160049.70000000001</v>
      </c>
      <c r="E5" s="41">
        <v>165045.1</v>
      </c>
      <c r="F5" s="41">
        <v>4995.3999999999996</v>
      </c>
      <c r="G5" s="41">
        <v>3.1</v>
      </c>
      <c r="H5" s="41">
        <v>0.3</v>
      </c>
      <c r="I5" s="41" t="s">
        <v>284</v>
      </c>
      <c r="J5" s="41" t="s">
        <v>284</v>
      </c>
      <c r="K5" s="41" t="s">
        <v>284</v>
      </c>
    </row>
    <row r="6" spans="1:12" x14ac:dyDescent="0.25">
      <c r="A6" s="39" t="s">
        <v>287</v>
      </c>
      <c r="B6" s="39" t="s">
        <v>288</v>
      </c>
      <c r="C6" s="40" t="s">
        <v>280</v>
      </c>
      <c r="D6" s="41">
        <v>1480.7</v>
      </c>
      <c r="E6" s="41">
        <v>1482.1</v>
      </c>
      <c r="F6" s="41">
        <v>1.4</v>
      </c>
      <c r="G6" s="41">
        <v>0.1</v>
      </c>
      <c r="H6" s="41">
        <v>0</v>
      </c>
      <c r="I6" s="41">
        <v>447.9</v>
      </c>
      <c r="J6" s="41">
        <v>538.79999999999995</v>
      </c>
      <c r="K6" s="41">
        <v>1.9</v>
      </c>
      <c r="L6" t="s">
        <v>2</v>
      </c>
    </row>
    <row r="7" spans="1:12" x14ac:dyDescent="0.25">
      <c r="A7" s="39" t="s">
        <v>289</v>
      </c>
      <c r="B7" s="39" t="s">
        <v>290</v>
      </c>
      <c r="C7" s="40" t="s">
        <v>283</v>
      </c>
      <c r="D7" s="41">
        <v>863.9</v>
      </c>
      <c r="E7" s="41">
        <v>881.2</v>
      </c>
      <c r="F7" s="41">
        <v>17.3</v>
      </c>
      <c r="G7" s="41">
        <v>2</v>
      </c>
      <c r="H7" s="41">
        <v>0.2</v>
      </c>
      <c r="I7" s="41">
        <v>175.8</v>
      </c>
      <c r="J7" s="41">
        <v>201.8</v>
      </c>
      <c r="K7" s="41">
        <v>1.4</v>
      </c>
    </row>
    <row r="8" spans="1:12" x14ac:dyDescent="0.25">
      <c r="A8" s="39" t="s">
        <v>291</v>
      </c>
      <c r="B8" s="39" t="s">
        <v>292</v>
      </c>
      <c r="C8" s="40" t="s">
        <v>283</v>
      </c>
      <c r="D8" s="41">
        <v>442.4</v>
      </c>
      <c r="E8" s="41">
        <v>427.6</v>
      </c>
      <c r="F8" s="41">
        <v>-14.8</v>
      </c>
      <c r="G8" s="41">
        <v>-3.3</v>
      </c>
      <c r="H8" s="41">
        <v>-0.3</v>
      </c>
      <c r="I8" s="41">
        <v>220</v>
      </c>
      <c r="J8" s="41">
        <v>277.60000000000002</v>
      </c>
      <c r="K8" s="41">
        <v>2.4</v>
      </c>
    </row>
    <row r="9" spans="1:12" x14ac:dyDescent="0.25">
      <c r="A9" s="39" t="s">
        <v>293</v>
      </c>
      <c r="B9" s="39" t="s">
        <v>294</v>
      </c>
      <c r="C9" s="40" t="s">
        <v>280</v>
      </c>
      <c r="D9" s="41">
        <v>47.2</v>
      </c>
      <c r="E9" s="41">
        <v>45.1</v>
      </c>
      <c r="F9" s="41">
        <v>-2.1</v>
      </c>
      <c r="G9" s="41">
        <v>-4.4000000000000004</v>
      </c>
      <c r="H9" s="41">
        <v>-0.5</v>
      </c>
      <c r="I9" s="41" t="s">
        <v>284</v>
      </c>
      <c r="J9" s="41" t="s">
        <v>284</v>
      </c>
      <c r="K9" s="41" t="s">
        <v>284</v>
      </c>
    </row>
    <row r="10" spans="1:12" x14ac:dyDescent="0.25">
      <c r="A10" s="39" t="s">
        <v>295</v>
      </c>
      <c r="B10" s="39" t="s">
        <v>296</v>
      </c>
      <c r="C10" s="40" t="s">
        <v>283</v>
      </c>
      <c r="D10" s="41">
        <v>7</v>
      </c>
      <c r="E10" s="41">
        <v>6.9</v>
      </c>
      <c r="F10" s="41">
        <v>-0.1</v>
      </c>
      <c r="G10" s="41">
        <v>-2</v>
      </c>
      <c r="H10" s="41">
        <v>-0.1</v>
      </c>
      <c r="I10" s="41">
        <v>3.9</v>
      </c>
      <c r="J10" s="41">
        <v>4.5999999999999996</v>
      </c>
      <c r="K10" s="41">
        <v>1.6</v>
      </c>
    </row>
    <row r="11" spans="1:12" x14ac:dyDescent="0.25">
      <c r="A11" s="39" t="s">
        <v>297</v>
      </c>
      <c r="B11" s="39" t="s">
        <v>298</v>
      </c>
      <c r="C11" s="40" t="s">
        <v>283</v>
      </c>
      <c r="D11" s="41">
        <v>40.200000000000003</v>
      </c>
      <c r="E11" s="41">
        <v>38.200000000000003</v>
      </c>
      <c r="F11" s="41">
        <v>-2</v>
      </c>
      <c r="G11" s="41">
        <v>-4.9000000000000004</v>
      </c>
      <c r="H11" s="41">
        <v>-0.5</v>
      </c>
      <c r="I11" s="41">
        <v>18.899999999999999</v>
      </c>
      <c r="J11" s="41">
        <v>22.1</v>
      </c>
      <c r="K11" s="41">
        <v>1.6</v>
      </c>
    </row>
    <row r="12" spans="1:12" x14ac:dyDescent="0.25">
      <c r="A12" s="39" t="s">
        <v>299</v>
      </c>
      <c r="B12" s="39" t="s">
        <v>300</v>
      </c>
      <c r="C12" s="40" t="s">
        <v>283</v>
      </c>
      <c r="D12" s="41">
        <v>20.9</v>
      </c>
      <c r="E12" s="41">
        <v>20.8</v>
      </c>
      <c r="F12" s="41">
        <v>-0.1</v>
      </c>
      <c r="G12" s="41">
        <v>-0.3</v>
      </c>
      <c r="H12" s="41">
        <v>0</v>
      </c>
      <c r="I12" s="41">
        <v>7.4</v>
      </c>
      <c r="J12" s="41">
        <v>8.6</v>
      </c>
      <c r="K12" s="41">
        <v>1.5</v>
      </c>
    </row>
    <row r="13" spans="1:12" x14ac:dyDescent="0.25">
      <c r="A13" s="39" t="s">
        <v>301</v>
      </c>
      <c r="B13" s="39" t="s">
        <v>302</v>
      </c>
      <c r="C13" s="40" t="s">
        <v>283</v>
      </c>
      <c r="D13" s="41">
        <v>106.2</v>
      </c>
      <c r="E13" s="41">
        <v>107.3</v>
      </c>
      <c r="F13" s="41">
        <v>1.1000000000000001</v>
      </c>
      <c r="G13" s="41">
        <v>1</v>
      </c>
      <c r="H13" s="41">
        <v>0.1</v>
      </c>
      <c r="I13" s="41">
        <v>23.6</v>
      </c>
      <c r="J13" s="41">
        <v>27.6</v>
      </c>
      <c r="K13" s="41">
        <v>1.6</v>
      </c>
    </row>
    <row r="14" spans="1:12" x14ac:dyDescent="0.25">
      <c r="A14" s="39" t="s">
        <v>303</v>
      </c>
      <c r="B14" s="39" t="s">
        <v>304</v>
      </c>
      <c r="C14" s="40" t="s">
        <v>280</v>
      </c>
      <c r="D14" s="41">
        <v>586.1</v>
      </c>
      <c r="E14" s="41">
        <v>576.79999999999995</v>
      </c>
      <c r="F14" s="41">
        <v>-9.3000000000000007</v>
      </c>
      <c r="G14" s="41">
        <v>-1.6</v>
      </c>
      <c r="H14" s="41">
        <v>-0.2</v>
      </c>
      <c r="I14" s="41">
        <v>564.6</v>
      </c>
      <c r="J14" s="41">
        <v>634.5</v>
      </c>
      <c r="K14" s="41">
        <v>1.2</v>
      </c>
    </row>
    <row r="15" spans="1:12" x14ac:dyDescent="0.25">
      <c r="A15" s="39" t="s">
        <v>305</v>
      </c>
      <c r="B15" s="39" t="s">
        <v>306</v>
      </c>
      <c r="C15" s="40" t="s">
        <v>283</v>
      </c>
      <c r="D15" s="41">
        <v>122.5</v>
      </c>
      <c r="E15" s="41">
        <v>115.7</v>
      </c>
      <c r="F15" s="41">
        <v>-6.8</v>
      </c>
      <c r="G15" s="41">
        <v>-5.5</v>
      </c>
      <c r="H15" s="41">
        <v>-0.6</v>
      </c>
      <c r="I15" s="41">
        <v>383.8</v>
      </c>
      <c r="J15" s="41">
        <v>450.7</v>
      </c>
      <c r="K15" s="41">
        <v>1.6</v>
      </c>
      <c r="L15" t="s">
        <v>37</v>
      </c>
    </row>
    <row r="16" spans="1:12" x14ac:dyDescent="0.25">
      <c r="A16" s="39" t="s">
        <v>307</v>
      </c>
      <c r="B16" s="39" t="s">
        <v>308</v>
      </c>
      <c r="C16" s="40" t="s">
        <v>280</v>
      </c>
      <c r="D16" s="41">
        <v>191.7</v>
      </c>
      <c r="E16" s="41">
        <v>182.6</v>
      </c>
      <c r="F16" s="41">
        <v>-9.1</v>
      </c>
      <c r="G16" s="41">
        <v>-4.7</v>
      </c>
      <c r="H16" s="41">
        <v>-0.5</v>
      </c>
      <c r="I16" s="41">
        <v>92.8</v>
      </c>
      <c r="J16" s="41">
        <v>99.9</v>
      </c>
      <c r="K16" s="41">
        <v>0.7</v>
      </c>
    </row>
    <row r="17" spans="1:12" x14ac:dyDescent="0.25">
      <c r="A17" s="39" t="s">
        <v>309</v>
      </c>
      <c r="B17" s="39" t="s">
        <v>310</v>
      </c>
      <c r="C17" s="40" t="s">
        <v>283</v>
      </c>
      <c r="D17" s="41">
        <v>42.5</v>
      </c>
      <c r="E17" s="41">
        <v>23.2</v>
      </c>
      <c r="F17" s="41">
        <v>-19.3</v>
      </c>
      <c r="G17" s="41">
        <v>-45.3</v>
      </c>
      <c r="H17" s="41">
        <v>-5.9</v>
      </c>
      <c r="I17" s="41">
        <v>29.8</v>
      </c>
      <c r="J17" s="41">
        <v>24.6</v>
      </c>
      <c r="K17" s="41">
        <v>-1.9</v>
      </c>
      <c r="L17" t="s">
        <v>36</v>
      </c>
    </row>
    <row r="18" spans="1:12" x14ac:dyDescent="0.25">
      <c r="A18" s="39" t="s">
        <v>311</v>
      </c>
      <c r="B18" s="39" t="s">
        <v>312</v>
      </c>
      <c r="C18" s="40" t="s">
        <v>283</v>
      </c>
      <c r="D18" s="41">
        <v>44.9</v>
      </c>
      <c r="E18" s="41">
        <v>48.4</v>
      </c>
      <c r="F18" s="41">
        <v>3.5</v>
      </c>
      <c r="G18" s="41">
        <v>7.9</v>
      </c>
      <c r="H18" s="41">
        <v>0.8</v>
      </c>
      <c r="I18" s="41">
        <v>26</v>
      </c>
      <c r="J18" s="41">
        <v>33.5</v>
      </c>
      <c r="K18" s="41">
        <v>2.6</v>
      </c>
      <c r="L18" t="s">
        <v>3</v>
      </c>
    </row>
    <row r="19" spans="1:12" x14ac:dyDescent="0.25">
      <c r="A19" s="39" t="s">
        <v>313</v>
      </c>
      <c r="B19" s="39" t="s">
        <v>314</v>
      </c>
      <c r="C19" s="40" t="s">
        <v>283</v>
      </c>
      <c r="D19" s="41">
        <v>104.3</v>
      </c>
      <c r="E19" s="41">
        <v>111</v>
      </c>
      <c r="F19" s="41">
        <v>6.7</v>
      </c>
      <c r="G19" s="41">
        <v>6.4</v>
      </c>
      <c r="H19" s="41">
        <v>0.6</v>
      </c>
      <c r="I19" s="41">
        <v>36.9</v>
      </c>
      <c r="J19" s="41">
        <v>41.5</v>
      </c>
      <c r="K19" s="41">
        <v>1.2</v>
      </c>
      <c r="L19" t="s">
        <v>3</v>
      </c>
    </row>
    <row r="20" spans="1:12" x14ac:dyDescent="0.25">
      <c r="A20" s="39" t="s">
        <v>315</v>
      </c>
      <c r="B20" s="39" t="s">
        <v>316</v>
      </c>
      <c r="C20" s="40" t="s">
        <v>283</v>
      </c>
      <c r="D20" s="41">
        <v>271.89999999999998</v>
      </c>
      <c r="E20" s="41">
        <v>278.39999999999998</v>
      </c>
      <c r="F20" s="41">
        <v>6.5</v>
      </c>
      <c r="G20" s="41">
        <v>2.4</v>
      </c>
      <c r="H20" s="41">
        <v>0.2</v>
      </c>
      <c r="I20" s="41">
        <v>95.6</v>
      </c>
      <c r="J20" s="41">
        <v>90.6</v>
      </c>
      <c r="K20" s="41">
        <v>-0.5</v>
      </c>
      <c r="L20" t="s">
        <v>4</v>
      </c>
    </row>
    <row r="21" spans="1:12" x14ac:dyDescent="0.25">
      <c r="A21" s="39" t="s">
        <v>317</v>
      </c>
      <c r="B21" s="39" t="s">
        <v>318</v>
      </c>
      <c r="C21" s="40" t="s">
        <v>280</v>
      </c>
      <c r="D21" s="41">
        <v>591.29999999999995</v>
      </c>
      <c r="E21" s="41">
        <v>620</v>
      </c>
      <c r="F21" s="41">
        <v>28.7</v>
      </c>
      <c r="G21" s="41">
        <v>4.9000000000000004</v>
      </c>
      <c r="H21" s="41">
        <v>0.5</v>
      </c>
      <c r="I21" s="41">
        <v>507.1</v>
      </c>
      <c r="J21" s="41">
        <v>602.20000000000005</v>
      </c>
      <c r="K21" s="41">
        <v>1.7</v>
      </c>
    </row>
    <row r="22" spans="1:12" x14ac:dyDescent="0.25">
      <c r="A22" s="39" t="s">
        <v>319</v>
      </c>
      <c r="B22" s="39" t="s">
        <v>320</v>
      </c>
      <c r="C22" s="40" t="s">
        <v>280</v>
      </c>
      <c r="D22" s="41">
        <v>591.29999999999995</v>
      </c>
      <c r="E22" s="41">
        <v>620</v>
      </c>
      <c r="F22" s="41">
        <v>28.7</v>
      </c>
      <c r="G22" s="41">
        <v>4.9000000000000004</v>
      </c>
      <c r="H22" s="41">
        <v>0.5</v>
      </c>
      <c r="I22" s="41">
        <v>507.1</v>
      </c>
      <c r="J22" s="41">
        <v>602.20000000000005</v>
      </c>
      <c r="K22" s="41">
        <v>1.7</v>
      </c>
    </row>
    <row r="23" spans="1:12" x14ac:dyDescent="0.25">
      <c r="A23" s="39" t="s">
        <v>321</v>
      </c>
      <c r="B23" s="39" t="s">
        <v>322</v>
      </c>
      <c r="C23" s="40" t="s">
        <v>280</v>
      </c>
      <c r="D23" s="41">
        <v>413.1</v>
      </c>
      <c r="E23" s="41">
        <v>445.6</v>
      </c>
      <c r="F23" s="41">
        <v>32.5</v>
      </c>
      <c r="G23" s="41">
        <v>7.9</v>
      </c>
      <c r="H23" s="41">
        <v>0.8</v>
      </c>
      <c r="I23" s="41">
        <v>411.4</v>
      </c>
      <c r="J23" s="41">
        <v>501.2</v>
      </c>
      <c r="K23" s="41">
        <v>2</v>
      </c>
      <c r="L23" t="s">
        <v>42</v>
      </c>
    </row>
    <row r="24" spans="1:12" x14ac:dyDescent="0.25">
      <c r="A24" s="39" t="s">
        <v>323</v>
      </c>
      <c r="B24" s="39" t="s">
        <v>324</v>
      </c>
      <c r="C24" s="40" t="s">
        <v>280</v>
      </c>
      <c r="D24" s="41">
        <v>157.30000000000001</v>
      </c>
      <c r="E24" s="41">
        <v>169.2</v>
      </c>
      <c r="F24" s="41">
        <v>11.9</v>
      </c>
      <c r="G24" s="41">
        <v>7.6</v>
      </c>
      <c r="H24" s="41">
        <v>0.7</v>
      </c>
      <c r="I24" s="41" t="s">
        <v>284</v>
      </c>
      <c r="J24" s="41" t="s">
        <v>284</v>
      </c>
      <c r="K24" s="41" t="s">
        <v>284</v>
      </c>
    </row>
    <row r="25" spans="1:12" x14ac:dyDescent="0.25">
      <c r="A25" s="39" t="s">
        <v>325</v>
      </c>
      <c r="B25" s="39" t="s">
        <v>326</v>
      </c>
      <c r="C25" s="40" t="s">
        <v>283</v>
      </c>
      <c r="D25" s="41">
        <v>8.1999999999999993</v>
      </c>
      <c r="E25" s="41">
        <v>8.1999999999999993</v>
      </c>
      <c r="F25" s="41">
        <v>0</v>
      </c>
      <c r="G25" s="41">
        <v>0.4</v>
      </c>
      <c r="H25" s="41">
        <v>0</v>
      </c>
      <c r="I25" s="41" t="s">
        <v>284</v>
      </c>
      <c r="J25" s="41" t="s">
        <v>284</v>
      </c>
      <c r="K25" s="41" t="s">
        <v>284</v>
      </c>
    </row>
    <row r="26" spans="1:12" x14ac:dyDescent="0.25">
      <c r="A26" s="39" t="s">
        <v>327</v>
      </c>
      <c r="B26" s="39" t="s">
        <v>328</v>
      </c>
      <c r="C26" s="40" t="s">
        <v>283</v>
      </c>
      <c r="D26" s="41">
        <v>74.5</v>
      </c>
      <c r="E26" s="41">
        <v>51.5</v>
      </c>
      <c r="F26" s="41">
        <v>-23</v>
      </c>
      <c r="G26" s="41">
        <v>-30.9</v>
      </c>
      <c r="H26" s="41">
        <v>-3.6</v>
      </c>
      <c r="I26" s="41" t="s">
        <v>284</v>
      </c>
      <c r="J26" s="41" t="s">
        <v>284</v>
      </c>
      <c r="K26" s="41" t="s">
        <v>284</v>
      </c>
    </row>
    <row r="27" spans="1:12" x14ac:dyDescent="0.25">
      <c r="A27" s="39" t="s">
        <v>329</v>
      </c>
      <c r="B27" s="39" t="s">
        <v>330</v>
      </c>
      <c r="C27" s="40" t="s">
        <v>283</v>
      </c>
      <c r="D27" s="41">
        <v>38.200000000000003</v>
      </c>
      <c r="E27" s="41">
        <v>31.5</v>
      </c>
      <c r="F27" s="41">
        <v>-6.7</v>
      </c>
      <c r="G27" s="41">
        <v>-17.600000000000001</v>
      </c>
      <c r="H27" s="41">
        <v>-1.9</v>
      </c>
      <c r="I27" s="41" t="s">
        <v>284</v>
      </c>
      <c r="J27" s="41" t="s">
        <v>284</v>
      </c>
      <c r="K27" s="41" t="s">
        <v>284</v>
      </c>
    </row>
    <row r="28" spans="1:12" x14ac:dyDescent="0.25">
      <c r="A28" s="39" t="s">
        <v>331</v>
      </c>
      <c r="B28" s="39" t="s">
        <v>332</v>
      </c>
      <c r="C28" s="40" t="s">
        <v>283</v>
      </c>
      <c r="D28" s="41">
        <v>16.899999999999999</v>
      </c>
      <c r="E28" s="41">
        <v>47.2</v>
      </c>
      <c r="F28" s="41">
        <v>30.4</v>
      </c>
      <c r="G28" s="41">
        <v>180.2</v>
      </c>
      <c r="H28" s="41">
        <v>10.8</v>
      </c>
      <c r="I28" s="41" t="s">
        <v>284</v>
      </c>
      <c r="J28" s="41" t="s">
        <v>284</v>
      </c>
      <c r="K28" s="41" t="s">
        <v>284</v>
      </c>
    </row>
    <row r="29" spans="1:12" x14ac:dyDescent="0.25">
      <c r="A29" s="39" t="s">
        <v>333</v>
      </c>
      <c r="B29" s="39" t="s">
        <v>334</v>
      </c>
      <c r="C29" s="40" t="s">
        <v>283</v>
      </c>
      <c r="D29" s="41">
        <v>11.2</v>
      </c>
      <c r="E29" s="41">
        <v>20.399999999999999</v>
      </c>
      <c r="F29" s="41">
        <v>9.1999999999999993</v>
      </c>
      <c r="G29" s="41">
        <v>81.400000000000006</v>
      </c>
      <c r="H29" s="41">
        <v>6.2</v>
      </c>
      <c r="I29" s="41" t="s">
        <v>284</v>
      </c>
      <c r="J29" s="41" t="s">
        <v>284</v>
      </c>
      <c r="K29" s="41" t="s">
        <v>284</v>
      </c>
    </row>
    <row r="30" spans="1:12" x14ac:dyDescent="0.25">
      <c r="A30" s="39" t="s">
        <v>335</v>
      </c>
      <c r="B30" s="39" t="s">
        <v>336</v>
      </c>
      <c r="C30" s="40" t="s">
        <v>283</v>
      </c>
      <c r="D30" s="41">
        <v>1.2</v>
      </c>
      <c r="E30" s="41">
        <v>1.6</v>
      </c>
      <c r="F30" s="41">
        <v>0.5</v>
      </c>
      <c r="G30" s="41">
        <v>41.4</v>
      </c>
      <c r="H30" s="41">
        <v>2.9</v>
      </c>
      <c r="I30" s="41" t="s">
        <v>284</v>
      </c>
      <c r="J30" s="41" t="s">
        <v>284</v>
      </c>
      <c r="K30" s="41" t="s">
        <v>284</v>
      </c>
    </row>
    <row r="31" spans="1:12" x14ac:dyDescent="0.25">
      <c r="A31" s="39" t="s">
        <v>337</v>
      </c>
      <c r="B31" s="39" t="s">
        <v>338</v>
      </c>
      <c r="C31" s="40" t="s">
        <v>283</v>
      </c>
      <c r="D31" s="41">
        <v>2.4</v>
      </c>
      <c r="E31" s="41">
        <v>2.5</v>
      </c>
      <c r="F31" s="41">
        <v>0</v>
      </c>
      <c r="G31" s="41">
        <v>1.9</v>
      </c>
      <c r="H31" s="41">
        <v>0.4</v>
      </c>
      <c r="I31" s="41" t="s">
        <v>284</v>
      </c>
      <c r="J31" s="41" t="s">
        <v>284</v>
      </c>
      <c r="K31" s="41" t="s">
        <v>284</v>
      </c>
    </row>
    <row r="32" spans="1:12" x14ac:dyDescent="0.25">
      <c r="A32" s="39" t="s">
        <v>339</v>
      </c>
      <c r="B32" s="39" t="s">
        <v>340</v>
      </c>
      <c r="C32" s="40" t="s">
        <v>283</v>
      </c>
      <c r="D32" s="41">
        <v>4.7</v>
      </c>
      <c r="E32" s="41">
        <v>6.2</v>
      </c>
      <c r="F32" s="41">
        <v>1.5</v>
      </c>
      <c r="G32" s="41">
        <v>32.9</v>
      </c>
      <c r="H32" s="41">
        <v>2.8</v>
      </c>
      <c r="I32" s="41" t="s">
        <v>284</v>
      </c>
      <c r="J32" s="41" t="s">
        <v>284</v>
      </c>
      <c r="K32" s="41" t="s">
        <v>284</v>
      </c>
    </row>
    <row r="33" spans="1:12" x14ac:dyDescent="0.25">
      <c r="A33" s="39" t="s">
        <v>341</v>
      </c>
      <c r="B33" s="39" t="s">
        <v>342</v>
      </c>
      <c r="C33" s="40" t="s">
        <v>283</v>
      </c>
      <c r="D33" s="41">
        <v>116.1</v>
      </c>
      <c r="E33" s="41">
        <v>112.4</v>
      </c>
      <c r="F33" s="41">
        <v>-3.7</v>
      </c>
      <c r="G33" s="41">
        <v>-3.2</v>
      </c>
      <c r="H33" s="41">
        <v>-0.3</v>
      </c>
      <c r="I33" s="41">
        <v>80.400000000000006</v>
      </c>
      <c r="J33" s="41">
        <v>86.5</v>
      </c>
      <c r="K33" s="41">
        <v>0.7</v>
      </c>
      <c r="L33" t="s">
        <v>43</v>
      </c>
    </row>
    <row r="34" spans="1:12" x14ac:dyDescent="0.25">
      <c r="A34" s="39" t="s">
        <v>343</v>
      </c>
      <c r="B34" s="39" t="s">
        <v>344</v>
      </c>
      <c r="C34" s="40" t="s">
        <v>283</v>
      </c>
      <c r="D34" s="41">
        <v>62.1</v>
      </c>
      <c r="E34" s="41">
        <v>62</v>
      </c>
      <c r="F34" s="41">
        <v>-0.1</v>
      </c>
      <c r="G34" s="41">
        <v>-0.1</v>
      </c>
      <c r="H34" s="41">
        <v>0</v>
      </c>
      <c r="I34" s="41">
        <v>15.6</v>
      </c>
      <c r="J34" s="41">
        <v>16.3</v>
      </c>
      <c r="K34" s="41">
        <v>0.5</v>
      </c>
      <c r="L34" t="s">
        <v>44</v>
      </c>
    </row>
    <row r="35" spans="1:12" x14ac:dyDescent="0.25">
      <c r="A35" s="39" t="s">
        <v>345</v>
      </c>
      <c r="B35" s="39" t="s">
        <v>346</v>
      </c>
      <c r="C35" s="40" t="s">
        <v>280</v>
      </c>
      <c r="D35" s="41">
        <v>8211.7000000000007</v>
      </c>
      <c r="E35" s="41">
        <v>8572.2000000000007</v>
      </c>
      <c r="F35" s="41">
        <v>360.5</v>
      </c>
      <c r="G35" s="41">
        <v>4.4000000000000004</v>
      </c>
      <c r="H35" s="41">
        <v>0.4</v>
      </c>
      <c r="I35" s="41">
        <v>1720.9</v>
      </c>
      <c r="J35" s="41">
        <v>1874.7</v>
      </c>
      <c r="K35" s="41">
        <v>0.9</v>
      </c>
      <c r="L35" t="s">
        <v>18</v>
      </c>
    </row>
    <row r="36" spans="1:12" x14ac:dyDescent="0.25">
      <c r="A36" s="39" t="s">
        <v>347</v>
      </c>
      <c r="B36" s="39" t="s">
        <v>348</v>
      </c>
      <c r="C36" s="40" t="s">
        <v>280</v>
      </c>
      <c r="D36" s="41">
        <v>1853.6</v>
      </c>
      <c r="E36" s="41">
        <v>1938.2</v>
      </c>
      <c r="F36" s="41">
        <v>84.6</v>
      </c>
      <c r="G36" s="41">
        <v>4.5999999999999996</v>
      </c>
      <c r="H36" s="41">
        <v>0.4</v>
      </c>
      <c r="I36" s="41" t="s">
        <v>284</v>
      </c>
      <c r="J36" s="41" t="s">
        <v>284</v>
      </c>
      <c r="K36" s="41" t="s">
        <v>284</v>
      </c>
    </row>
    <row r="37" spans="1:12" x14ac:dyDescent="0.25">
      <c r="A37" s="39" t="s">
        <v>349</v>
      </c>
      <c r="B37" s="39" t="s">
        <v>350</v>
      </c>
      <c r="C37" s="40" t="s">
        <v>283</v>
      </c>
      <c r="D37" s="41">
        <v>943.1</v>
      </c>
      <c r="E37" s="41">
        <v>982.4</v>
      </c>
      <c r="F37" s="41">
        <v>39.299999999999997</v>
      </c>
      <c r="G37" s="41">
        <v>4.2</v>
      </c>
      <c r="H37" s="41">
        <v>0.4</v>
      </c>
      <c r="I37" s="41" t="s">
        <v>284</v>
      </c>
      <c r="J37" s="41" t="s">
        <v>284</v>
      </c>
      <c r="K37" s="41" t="s">
        <v>284</v>
      </c>
    </row>
    <row r="38" spans="1:12" x14ac:dyDescent="0.25">
      <c r="A38" s="39" t="s">
        <v>351</v>
      </c>
      <c r="B38" s="39" t="s">
        <v>352</v>
      </c>
      <c r="C38" s="40" t="s">
        <v>283</v>
      </c>
      <c r="D38" s="41">
        <v>910.5</v>
      </c>
      <c r="E38" s="41">
        <v>955.8</v>
      </c>
      <c r="F38" s="41">
        <v>45.3</v>
      </c>
      <c r="G38" s="41">
        <v>5</v>
      </c>
      <c r="H38" s="41">
        <v>0.5</v>
      </c>
      <c r="I38" s="41" t="s">
        <v>284</v>
      </c>
      <c r="J38" s="41" t="s">
        <v>284</v>
      </c>
      <c r="K38" s="41" t="s">
        <v>284</v>
      </c>
    </row>
    <row r="39" spans="1:12" x14ac:dyDescent="0.25">
      <c r="A39" s="39" t="s">
        <v>353</v>
      </c>
      <c r="B39" s="39" t="s">
        <v>354</v>
      </c>
      <c r="C39" s="40" t="s">
        <v>280</v>
      </c>
      <c r="D39" s="41">
        <v>1154.4000000000001</v>
      </c>
      <c r="E39" s="41">
        <v>1206.0999999999999</v>
      </c>
      <c r="F39" s="41">
        <v>51.7</v>
      </c>
      <c r="G39" s="41">
        <v>4.5</v>
      </c>
      <c r="H39" s="41">
        <v>0.4</v>
      </c>
      <c r="I39" s="41" t="s">
        <v>284</v>
      </c>
      <c r="J39" s="41" t="s">
        <v>284</v>
      </c>
      <c r="K39" s="41" t="s">
        <v>284</v>
      </c>
    </row>
    <row r="40" spans="1:12" x14ac:dyDescent="0.25">
      <c r="A40" s="39" t="s">
        <v>355</v>
      </c>
      <c r="B40" s="39" t="s">
        <v>356</v>
      </c>
      <c r="C40" s="40" t="s">
        <v>280</v>
      </c>
      <c r="D40" s="41">
        <v>602.79999999999995</v>
      </c>
      <c r="E40" s="41">
        <v>634.29999999999995</v>
      </c>
      <c r="F40" s="41">
        <v>31.5</v>
      </c>
      <c r="G40" s="41">
        <v>5.2</v>
      </c>
      <c r="H40" s="41">
        <v>0.5</v>
      </c>
      <c r="I40" s="41" t="s">
        <v>284</v>
      </c>
      <c r="J40" s="41" t="s">
        <v>284</v>
      </c>
      <c r="K40" s="41" t="s">
        <v>284</v>
      </c>
    </row>
    <row r="41" spans="1:12" x14ac:dyDescent="0.25">
      <c r="A41" s="39" t="s">
        <v>357</v>
      </c>
      <c r="B41" s="39" t="s">
        <v>358</v>
      </c>
      <c r="C41" s="40" t="s">
        <v>283</v>
      </c>
      <c r="D41" s="41">
        <v>238.4</v>
      </c>
      <c r="E41" s="41">
        <v>257.2</v>
      </c>
      <c r="F41" s="41">
        <v>18.8</v>
      </c>
      <c r="G41" s="41">
        <v>7.9</v>
      </c>
      <c r="H41" s="41">
        <v>0.8</v>
      </c>
      <c r="I41" s="41" t="s">
        <v>284</v>
      </c>
      <c r="J41" s="41" t="s">
        <v>284</v>
      </c>
      <c r="K41" s="41" t="s">
        <v>284</v>
      </c>
    </row>
    <row r="42" spans="1:12" x14ac:dyDescent="0.25">
      <c r="A42" s="39" t="s">
        <v>359</v>
      </c>
      <c r="B42" s="39" t="s">
        <v>360</v>
      </c>
      <c r="C42" s="40" t="s">
        <v>283</v>
      </c>
      <c r="D42" s="41">
        <v>37.1</v>
      </c>
      <c r="E42" s="41">
        <v>37.700000000000003</v>
      </c>
      <c r="F42" s="41">
        <v>0.6</v>
      </c>
      <c r="G42" s="41">
        <v>1.7</v>
      </c>
      <c r="H42" s="41">
        <v>0.2</v>
      </c>
      <c r="I42" s="41" t="s">
        <v>284</v>
      </c>
      <c r="J42" s="41" t="s">
        <v>284</v>
      </c>
      <c r="K42" s="41" t="s">
        <v>284</v>
      </c>
    </row>
    <row r="43" spans="1:12" x14ac:dyDescent="0.25">
      <c r="A43" s="39" t="s">
        <v>361</v>
      </c>
      <c r="B43" s="39" t="s">
        <v>362</v>
      </c>
      <c r="C43" s="40" t="s">
        <v>283</v>
      </c>
      <c r="D43" s="41">
        <v>377.9</v>
      </c>
      <c r="E43" s="41">
        <v>390.9</v>
      </c>
      <c r="F43" s="41">
        <v>13</v>
      </c>
      <c r="G43" s="41">
        <v>3.4</v>
      </c>
      <c r="H43" s="41">
        <v>0.3</v>
      </c>
      <c r="I43" s="41" t="s">
        <v>284</v>
      </c>
      <c r="J43" s="41" t="s">
        <v>284</v>
      </c>
      <c r="K43" s="41" t="s">
        <v>284</v>
      </c>
    </row>
    <row r="44" spans="1:12" x14ac:dyDescent="0.25">
      <c r="A44" s="39" t="s">
        <v>363</v>
      </c>
      <c r="B44" s="39" t="s">
        <v>364</v>
      </c>
      <c r="C44" s="40" t="s">
        <v>283</v>
      </c>
      <c r="D44" s="41">
        <v>136.6</v>
      </c>
      <c r="E44" s="41">
        <v>143.19999999999999</v>
      </c>
      <c r="F44" s="41">
        <v>6.6</v>
      </c>
      <c r="G44" s="41">
        <v>4.8</v>
      </c>
      <c r="H44" s="41">
        <v>0.5</v>
      </c>
      <c r="I44" s="41" t="s">
        <v>284</v>
      </c>
      <c r="J44" s="41" t="s">
        <v>284</v>
      </c>
      <c r="K44" s="41" t="s">
        <v>284</v>
      </c>
    </row>
    <row r="45" spans="1:12" x14ac:dyDescent="0.25">
      <c r="A45" s="39" t="s">
        <v>365</v>
      </c>
      <c r="B45" s="39" t="s">
        <v>366</v>
      </c>
      <c r="C45" s="40" t="s">
        <v>280</v>
      </c>
      <c r="D45" s="41">
        <v>5203.7</v>
      </c>
      <c r="E45" s="41">
        <v>5427.9</v>
      </c>
      <c r="F45" s="41">
        <v>224.2</v>
      </c>
      <c r="G45" s="41">
        <v>4.3</v>
      </c>
      <c r="H45" s="41">
        <v>0.4</v>
      </c>
      <c r="I45" s="41" t="s">
        <v>284</v>
      </c>
      <c r="J45" s="41" t="s">
        <v>284</v>
      </c>
      <c r="K45" s="41" t="s">
        <v>284</v>
      </c>
    </row>
    <row r="46" spans="1:12" x14ac:dyDescent="0.25">
      <c r="A46" s="39" t="s">
        <v>367</v>
      </c>
      <c r="B46" s="39" t="s">
        <v>368</v>
      </c>
      <c r="C46" s="40" t="s">
        <v>280</v>
      </c>
      <c r="D46" s="41">
        <v>992.5</v>
      </c>
      <c r="E46" s="41">
        <v>1032.0999999999999</v>
      </c>
      <c r="F46" s="41">
        <v>39.6</v>
      </c>
      <c r="G46" s="41">
        <v>4</v>
      </c>
      <c r="H46" s="41">
        <v>0.4</v>
      </c>
      <c r="I46" s="41" t="s">
        <v>284</v>
      </c>
      <c r="J46" s="41" t="s">
        <v>284</v>
      </c>
      <c r="K46" s="41" t="s">
        <v>284</v>
      </c>
    </row>
    <row r="47" spans="1:12" x14ac:dyDescent="0.25">
      <c r="A47" s="39" t="s">
        <v>369</v>
      </c>
      <c r="B47" s="39" t="s">
        <v>370</v>
      </c>
      <c r="C47" s="40" t="s">
        <v>283</v>
      </c>
      <c r="D47" s="41">
        <v>258.2</v>
      </c>
      <c r="E47" s="41">
        <v>273.5</v>
      </c>
      <c r="F47" s="41">
        <v>15.3</v>
      </c>
      <c r="G47" s="41">
        <v>5.9</v>
      </c>
      <c r="H47" s="41">
        <v>0.6</v>
      </c>
      <c r="I47" s="41" t="s">
        <v>284</v>
      </c>
      <c r="J47" s="41" t="s">
        <v>284</v>
      </c>
      <c r="K47" s="41" t="s">
        <v>284</v>
      </c>
    </row>
    <row r="48" spans="1:12" x14ac:dyDescent="0.25">
      <c r="A48" s="39" t="s">
        <v>371</v>
      </c>
      <c r="B48" s="39" t="s">
        <v>372</v>
      </c>
      <c r="C48" s="40" t="s">
        <v>283</v>
      </c>
      <c r="D48" s="41">
        <v>146.1</v>
      </c>
      <c r="E48" s="41">
        <v>150</v>
      </c>
      <c r="F48" s="41">
        <v>3.9</v>
      </c>
      <c r="G48" s="41">
        <v>2.7</v>
      </c>
      <c r="H48" s="41">
        <v>0.3</v>
      </c>
      <c r="I48" s="41" t="s">
        <v>284</v>
      </c>
      <c r="J48" s="41" t="s">
        <v>284</v>
      </c>
      <c r="K48" s="41" t="s">
        <v>284</v>
      </c>
    </row>
    <row r="49" spans="1:12" x14ac:dyDescent="0.25">
      <c r="A49" s="39" t="s">
        <v>373</v>
      </c>
      <c r="B49" s="39" t="s">
        <v>374</v>
      </c>
      <c r="C49" s="40" t="s">
        <v>283</v>
      </c>
      <c r="D49" s="41">
        <v>249.8</v>
      </c>
      <c r="E49" s="41">
        <v>261.5</v>
      </c>
      <c r="F49" s="41">
        <v>11.7</v>
      </c>
      <c r="G49" s="41">
        <v>4.7</v>
      </c>
      <c r="H49" s="41">
        <v>0.5</v>
      </c>
      <c r="I49" s="41" t="s">
        <v>284</v>
      </c>
      <c r="J49" s="41" t="s">
        <v>284</v>
      </c>
      <c r="K49" s="41" t="s">
        <v>284</v>
      </c>
    </row>
    <row r="50" spans="1:12" x14ac:dyDescent="0.25">
      <c r="A50" s="39" t="s">
        <v>375</v>
      </c>
      <c r="B50" s="39" t="s">
        <v>376</v>
      </c>
      <c r="C50" s="40" t="s">
        <v>280</v>
      </c>
      <c r="D50" s="41">
        <v>2556.3000000000002</v>
      </c>
      <c r="E50" s="41">
        <v>2688.2</v>
      </c>
      <c r="F50" s="41">
        <v>131.9</v>
      </c>
      <c r="G50" s="41">
        <v>5.2</v>
      </c>
      <c r="H50" s="41">
        <v>0.5</v>
      </c>
      <c r="I50" s="41" t="s">
        <v>284</v>
      </c>
      <c r="J50" s="41" t="s">
        <v>284</v>
      </c>
      <c r="K50" s="41" t="s">
        <v>284</v>
      </c>
    </row>
    <row r="51" spans="1:12" x14ac:dyDescent="0.25">
      <c r="A51" s="39" t="s">
        <v>377</v>
      </c>
      <c r="B51" s="39" t="s">
        <v>378</v>
      </c>
      <c r="C51" s="40" t="s">
        <v>283</v>
      </c>
      <c r="D51" s="41">
        <v>1095.2</v>
      </c>
      <c r="E51" s="41">
        <v>1156.4000000000001</v>
      </c>
      <c r="F51" s="41">
        <v>61.2</v>
      </c>
      <c r="G51" s="41">
        <v>5.6</v>
      </c>
      <c r="H51" s="41">
        <v>0.5</v>
      </c>
      <c r="I51" s="41" t="s">
        <v>284</v>
      </c>
      <c r="J51" s="41" t="s">
        <v>284</v>
      </c>
      <c r="K51" s="41" t="s">
        <v>284</v>
      </c>
    </row>
    <row r="52" spans="1:12" x14ac:dyDescent="0.25">
      <c r="A52" s="39" t="s">
        <v>379</v>
      </c>
      <c r="B52" s="39" t="s">
        <v>380</v>
      </c>
      <c r="C52" s="40" t="s">
        <v>283</v>
      </c>
      <c r="D52" s="41">
        <v>1298.3</v>
      </c>
      <c r="E52" s="41">
        <v>1361.3</v>
      </c>
      <c r="F52" s="41">
        <v>63</v>
      </c>
      <c r="G52" s="41">
        <v>4.8</v>
      </c>
      <c r="H52" s="41">
        <v>0.5</v>
      </c>
      <c r="I52" s="41" t="s">
        <v>284</v>
      </c>
      <c r="J52" s="41" t="s">
        <v>284</v>
      </c>
      <c r="K52" s="41" t="s">
        <v>284</v>
      </c>
    </row>
    <row r="53" spans="1:12" x14ac:dyDescent="0.25">
      <c r="A53" s="39" t="s">
        <v>381</v>
      </c>
      <c r="B53" s="39" t="s">
        <v>382</v>
      </c>
      <c r="C53" s="40" t="s">
        <v>283</v>
      </c>
      <c r="D53" s="41">
        <v>162.80000000000001</v>
      </c>
      <c r="E53" s="41">
        <v>170.6</v>
      </c>
      <c r="F53" s="41">
        <v>7.8</v>
      </c>
      <c r="G53" s="41">
        <v>4.8</v>
      </c>
      <c r="H53" s="41">
        <v>0.5</v>
      </c>
      <c r="I53" s="41" t="s">
        <v>284</v>
      </c>
      <c r="J53" s="41" t="s">
        <v>284</v>
      </c>
      <c r="K53" s="41" t="s">
        <v>284</v>
      </c>
    </row>
    <row r="54" spans="1:12" x14ac:dyDescent="0.25">
      <c r="A54" s="39" t="s">
        <v>383</v>
      </c>
      <c r="B54" s="39" t="s">
        <v>384</v>
      </c>
      <c r="C54" s="40" t="s">
        <v>280</v>
      </c>
      <c r="D54" s="41">
        <v>849.3</v>
      </c>
      <c r="E54" s="41">
        <v>858.9</v>
      </c>
      <c r="F54" s="41">
        <v>9.6</v>
      </c>
      <c r="G54" s="41">
        <v>1.1000000000000001</v>
      </c>
      <c r="H54" s="41">
        <v>0.1</v>
      </c>
      <c r="I54" s="41" t="s">
        <v>284</v>
      </c>
      <c r="J54" s="41" t="s">
        <v>284</v>
      </c>
      <c r="K54" s="41" t="s">
        <v>284</v>
      </c>
    </row>
    <row r="55" spans="1:12" x14ac:dyDescent="0.25">
      <c r="A55" s="39" t="s">
        <v>385</v>
      </c>
      <c r="B55" s="39" t="s">
        <v>386</v>
      </c>
      <c r="C55" s="40" t="s">
        <v>283</v>
      </c>
      <c r="D55" s="41">
        <v>247.5</v>
      </c>
      <c r="E55" s="41">
        <v>253.7</v>
      </c>
      <c r="F55" s="41">
        <v>6.2</v>
      </c>
      <c r="G55" s="41">
        <v>2.5</v>
      </c>
      <c r="H55" s="41">
        <v>0.2</v>
      </c>
      <c r="I55" s="41" t="s">
        <v>284</v>
      </c>
      <c r="J55" s="41" t="s">
        <v>284</v>
      </c>
      <c r="K55" s="41" t="s">
        <v>284</v>
      </c>
    </row>
    <row r="56" spans="1:12" x14ac:dyDescent="0.25">
      <c r="A56" s="39" t="s">
        <v>387</v>
      </c>
      <c r="B56" s="39" t="s">
        <v>388</v>
      </c>
      <c r="C56" s="40" t="s">
        <v>283</v>
      </c>
      <c r="D56" s="41">
        <v>210.3</v>
      </c>
      <c r="E56" s="41">
        <v>211.7</v>
      </c>
      <c r="F56" s="41">
        <v>1.4</v>
      </c>
      <c r="G56" s="41">
        <v>0.7</v>
      </c>
      <c r="H56" s="41">
        <v>0.1</v>
      </c>
      <c r="I56" s="41" t="s">
        <v>284</v>
      </c>
      <c r="J56" s="41" t="s">
        <v>284</v>
      </c>
      <c r="K56" s="41" t="s">
        <v>284</v>
      </c>
    </row>
    <row r="57" spans="1:12" x14ac:dyDescent="0.25">
      <c r="A57" s="39" t="s">
        <v>389</v>
      </c>
      <c r="B57" s="39" t="s">
        <v>390</v>
      </c>
      <c r="C57" s="40" t="s">
        <v>283</v>
      </c>
      <c r="D57" s="41">
        <v>805.6</v>
      </c>
      <c r="E57" s="41">
        <v>848.6</v>
      </c>
      <c r="F57" s="41">
        <v>43</v>
      </c>
      <c r="G57" s="41">
        <v>5.3</v>
      </c>
      <c r="H57" s="41">
        <v>0.5</v>
      </c>
      <c r="I57" s="41" t="s">
        <v>284</v>
      </c>
      <c r="J57" s="41" t="s">
        <v>284</v>
      </c>
      <c r="K57" s="41" t="s">
        <v>284</v>
      </c>
    </row>
    <row r="58" spans="1:12" x14ac:dyDescent="0.25">
      <c r="A58" s="39" t="s">
        <v>391</v>
      </c>
      <c r="B58" s="39" t="s">
        <v>392</v>
      </c>
      <c r="C58" s="40" t="s">
        <v>280</v>
      </c>
      <c r="D58" s="41">
        <v>12817.2</v>
      </c>
      <c r="E58" s="41">
        <v>12816.8</v>
      </c>
      <c r="F58" s="41">
        <v>-0.4</v>
      </c>
      <c r="G58" s="41">
        <v>0</v>
      </c>
      <c r="H58" s="41">
        <v>0</v>
      </c>
      <c r="I58" s="41">
        <v>5696.8</v>
      </c>
      <c r="J58" s="41">
        <v>6486.2</v>
      </c>
      <c r="K58" s="41">
        <v>1.3</v>
      </c>
    </row>
    <row r="59" spans="1:12" x14ac:dyDescent="0.25">
      <c r="A59" s="39" t="s">
        <v>393</v>
      </c>
      <c r="B59" s="39" t="s">
        <v>394</v>
      </c>
      <c r="C59" s="40" t="s">
        <v>280</v>
      </c>
      <c r="D59" s="41">
        <v>1767.6</v>
      </c>
      <c r="E59" s="41">
        <v>1860.1</v>
      </c>
      <c r="F59" s="41">
        <v>92.5</v>
      </c>
      <c r="G59" s="41">
        <v>5.2</v>
      </c>
      <c r="H59" s="41">
        <v>0.5</v>
      </c>
      <c r="I59" s="41">
        <v>757.1</v>
      </c>
      <c r="J59" s="41">
        <v>910.3</v>
      </c>
      <c r="K59" s="41">
        <v>1.9</v>
      </c>
      <c r="L59" t="s">
        <v>5</v>
      </c>
    </row>
    <row r="60" spans="1:12" x14ac:dyDescent="0.25">
      <c r="A60" s="39" t="s">
        <v>395</v>
      </c>
      <c r="B60" s="39" t="s">
        <v>396</v>
      </c>
      <c r="C60" s="40" t="s">
        <v>283</v>
      </c>
      <c r="D60" s="41">
        <v>75.400000000000006</v>
      </c>
      <c r="E60" s="41">
        <v>80.599999999999994</v>
      </c>
      <c r="F60" s="41">
        <v>5.2</v>
      </c>
      <c r="G60" s="41">
        <v>6.9</v>
      </c>
      <c r="H60" s="41">
        <v>0.7</v>
      </c>
      <c r="I60" s="41">
        <v>50.8</v>
      </c>
      <c r="J60" s="41">
        <v>60.7</v>
      </c>
      <c r="K60" s="41">
        <v>1.8</v>
      </c>
    </row>
    <row r="61" spans="1:12" x14ac:dyDescent="0.25">
      <c r="A61" s="39" t="s">
        <v>397</v>
      </c>
      <c r="B61" s="39" t="s">
        <v>398</v>
      </c>
      <c r="C61" s="40" t="s">
        <v>283</v>
      </c>
      <c r="D61" s="41">
        <v>67.400000000000006</v>
      </c>
      <c r="E61" s="41">
        <v>67.7</v>
      </c>
      <c r="F61" s="41">
        <v>0.3</v>
      </c>
      <c r="G61" s="41">
        <v>0.5</v>
      </c>
      <c r="H61" s="41">
        <v>0</v>
      </c>
      <c r="I61" s="41">
        <v>81.2</v>
      </c>
      <c r="J61" s="41">
        <v>93.9</v>
      </c>
      <c r="K61" s="41">
        <v>1.5</v>
      </c>
    </row>
    <row r="62" spans="1:12" x14ac:dyDescent="0.25">
      <c r="A62" s="39" t="s">
        <v>399</v>
      </c>
      <c r="B62" s="39" t="s">
        <v>400</v>
      </c>
      <c r="C62" s="40" t="s">
        <v>283</v>
      </c>
      <c r="D62" s="41">
        <v>82.2</v>
      </c>
      <c r="E62" s="41">
        <v>84.2</v>
      </c>
      <c r="F62" s="41">
        <v>2</v>
      </c>
      <c r="G62" s="41">
        <v>2.4</v>
      </c>
      <c r="H62" s="41">
        <v>0.2</v>
      </c>
      <c r="I62" s="41">
        <v>32.6</v>
      </c>
      <c r="J62" s="41">
        <v>35.799999999999997</v>
      </c>
      <c r="K62" s="41">
        <v>0.9</v>
      </c>
    </row>
    <row r="63" spans="1:12" x14ac:dyDescent="0.25">
      <c r="A63" s="39" t="s">
        <v>401</v>
      </c>
      <c r="B63" s="39" t="s">
        <v>402</v>
      </c>
      <c r="C63" s="40" t="s">
        <v>283</v>
      </c>
      <c r="D63" s="41">
        <v>173.8</v>
      </c>
      <c r="E63" s="41">
        <v>172.6</v>
      </c>
      <c r="F63" s="41">
        <v>-1.2</v>
      </c>
      <c r="G63" s="41">
        <v>-0.7</v>
      </c>
      <c r="H63" s="41">
        <v>-0.1</v>
      </c>
      <c r="I63" s="41">
        <v>57.1</v>
      </c>
      <c r="J63" s="41">
        <v>65.900000000000006</v>
      </c>
      <c r="K63" s="41">
        <v>1.4</v>
      </c>
    </row>
    <row r="64" spans="1:12" x14ac:dyDescent="0.25">
      <c r="A64" s="39" t="s">
        <v>403</v>
      </c>
      <c r="B64" s="39" t="s">
        <v>404</v>
      </c>
      <c r="C64" s="40" t="s">
        <v>283</v>
      </c>
      <c r="D64" s="41">
        <v>168</v>
      </c>
      <c r="E64" s="41">
        <v>178.8</v>
      </c>
      <c r="F64" s="41">
        <v>10.8</v>
      </c>
      <c r="G64" s="41">
        <v>6.4</v>
      </c>
      <c r="H64" s="41">
        <v>0.6</v>
      </c>
      <c r="I64" s="41">
        <v>130.4</v>
      </c>
      <c r="J64" s="41">
        <v>171.1</v>
      </c>
      <c r="K64" s="41">
        <v>2.8</v>
      </c>
    </row>
    <row r="65" spans="1:12" x14ac:dyDescent="0.25">
      <c r="A65" s="39" t="s">
        <v>405</v>
      </c>
      <c r="B65" s="39" t="s">
        <v>406</v>
      </c>
      <c r="C65" s="40" t="s">
        <v>283</v>
      </c>
      <c r="D65" s="41">
        <v>556.4</v>
      </c>
      <c r="E65" s="41">
        <v>591.79999999999995</v>
      </c>
      <c r="F65" s="41">
        <v>35.4</v>
      </c>
      <c r="G65" s="41">
        <v>6.4</v>
      </c>
      <c r="H65" s="41">
        <v>0.6</v>
      </c>
      <c r="I65" s="41">
        <v>221.4</v>
      </c>
      <c r="J65" s="41">
        <v>265.10000000000002</v>
      </c>
      <c r="K65" s="41">
        <v>1.8</v>
      </c>
    </row>
    <row r="66" spans="1:12" x14ac:dyDescent="0.25">
      <c r="A66" s="39" t="s">
        <v>407</v>
      </c>
      <c r="B66" s="39" t="s">
        <v>408</v>
      </c>
      <c r="C66" s="40" t="s">
        <v>283</v>
      </c>
      <c r="D66" s="41">
        <v>31.5</v>
      </c>
      <c r="E66" s="41">
        <v>30.7</v>
      </c>
      <c r="F66" s="41">
        <v>-0.8</v>
      </c>
      <c r="G66" s="41">
        <v>-2.5</v>
      </c>
      <c r="H66" s="41">
        <v>-0.3</v>
      </c>
      <c r="I66" s="41">
        <v>12.2</v>
      </c>
      <c r="J66" s="41">
        <v>14</v>
      </c>
      <c r="K66" s="41">
        <v>1.3</v>
      </c>
    </row>
    <row r="67" spans="1:12" x14ac:dyDescent="0.25">
      <c r="A67" s="39" t="s">
        <v>409</v>
      </c>
      <c r="B67" s="39" t="s">
        <v>410</v>
      </c>
      <c r="C67" s="40" t="s">
        <v>283</v>
      </c>
      <c r="D67" s="41">
        <v>350.4</v>
      </c>
      <c r="E67" s="41">
        <v>369.2</v>
      </c>
      <c r="F67" s="41">
        <v>18.8</v>
      </c>
      <c r="G67" s="41">
        <v>5.4</v>
      </c>
      <c r="H67" s="41">
        <v>0.5</v>
      </c>
      <c r="I67" s="41">
        <v>62.1</v>
      </c>
      <c r="J67" s="41">
        <v>74.400000000000006</v>
      </c>
      <c r="K67" s="41">
        <v>1.8</v>
      </c>
    </row>
    <row r="68" spans="1:12" x14ac:dyDescent="0.25">
      <c r="A68" s="39" t="s">
        <v>411</v>
      </c>
      <c r="B68" s="39" t="s">
        <v>412</v>
      </c>
      <c r="C68" s="40" t="s">
        <v>283</v>
      </c>
      <c r="D68" s="41">
        <v>262.5</v>
      </c>
      <c r="E68" s="41">
        <v>284.39999999999998</v>
      </c>
      <c r="F68" s="41">
        <v>21.9</v>
      </c>
      <c r="G68" s="41">
        <v>8.4</v>
      </c>
      <c r="H68" s="41">
        <v>0.8</v>
      </c>
      <c r="I68" s="41">
        <v>109</v>
      </c>
      <c r="J68" s="41">
        <v>131</v>
      </c>
      <c r="K68" s="41">
        <v>1.9</v>
      </c>
    </row>
    <row r="69" spans="1:12" x14ac:dyDescent="0.25">
      <c r="A69" s="39" t="s">
        <v>413</v>
      </c>
      <c r="B69" s="39" t="s">
        <v>414</v>
      </c>
      <c r="C69" s="40" t="s">
        <v>280</v>
      </c>
      <c r="D69" s="41">
        <v>343.4</v>
      </c>
      <c r="E69" s="41">
        <v>379.7</v>
      </c>
      <c r="F69" s="41">
        <v>36.299999999999997</v>
      </c>
      <c r="G69" s="41">
        <v>10.6</v>
      </c>
      <c r="H69" s="41">
        <v>1</v>
      </c>
      <c r="I69" s="41">
        <v>181.9</v>
      </c>
      <c r="J69" s="41">
        <v>203</v>
      </c>
      <c r="K69" s="41">
        <v>1.1000000000000001</v>
      </c>
      <c r="L69" t="s">
        <v>5</v>
      </c>
    </row>
    <row r="70" spans="1:12" x14ac:dyDescent="0.25">
      <c r="A70" s="39" t="s">
        <v>415</v>
      </c>
      <c r="B70" s="39" t="s">
        <v>416</v>
      </c>
      <c r="C70" s="40" t="s">
        <v>283</v>
      </c>
      <c r="D70" s="41">
        <v>333</v>
      </c>
      <c r="E70" s="41">
        <v>370.8</v>
      </c>
      <c r="F70" s="41">
        <v>37.799999999999997</v>
      </c>
      <c r="G70" s="41">
        <v>11.4</v>
      </c>
      <c r="H70" s="41">
        <v>1.1000000000000001</v>
      </c>
      <c r="I70" s="41">
        <v>115.7</v>
      </c>
      <c r="J70" s="41">
        <v>150.5</v>
      </c>
      <c r="K70" s="41">
        <v>2.7</v>
      </c>
    </row>
    <row r="71" spans="1:12" x14ac:dyDescent="0.25">
      <c r="A71" s="39" t="s">
        <v>417</v>
      </c>
      <c r="B71" s="39" t="s">
        <v>418</v>
      </c>
      <c r="C71" s="40" t="s">
        <v>283</v>
      </c>
      <c r="D71" s="41">
        <v>10.4</v>
      </c>
      <c r="E71" s="41">
        <v>8.8000000000000007</v>
      </c>
      <c r="F71" s="41">
        <v>-1.6</v>
      </c>
      <c r="G71" s="41">
        <v>-15</v>
      </c>
      <c r="H71" s="41">
        <v>-1.7</v>
      </c>
      <c r="I71" s="41">
        <v>65.2</v>
      </c>
      <c r="J71" s="41">
        <v>54.6</v>
      </c>
      <c r="K71" s="41">
        <v>-1.8</v>
      </c>
    </row>
    <row r="72" spans="1:12" x14ac:dyDescent="0.25">
      <c r="A72" s="39" t="s">
        <v>419</v>
      </c>
      <c r="B72" s="39" t="s">
        <v>420</v>
      </c>
      <c r="C72" s="40" t="s">
        <v>283</v>
      </c>
      <c r="D72" s="41">
        <v>86.6</v>
      </c>
      <c r="E72" s="41">
        <v>78.3</v>
      </c>
      <c r="F72" s="41">
        <v>-8.3000000000000007</v>
      </c>
      <c r="G72" s="41">
        <v>-9.5</v>
      </c>
      <c r="H72" s="41">
        <v>-1</v>
      </c>
      <c r="I72" s="41">
        <v>19.399999999999999</v>
      </c>
      <c r="J72" s="41">
        <v>20</v>
      </c>
      <c r="K72" s="41">
        <v>0.3</v>
      </c>
      <c r="L72" t="s">
        <v>6</v>
      </c>
    </row>
    <row r="73" spans="1:12" x14ac:dyDescent="0.25">
      <c r="A73" s="39" t="s">
        <v>421</v>
      </c>
      <c r="B73" s="39" t="s">
        <v>422</v>
      </c>
      <c r="C73" s="40" t="s">
        <v>283</v>
      </c>
      <c r="D73" s="41">
        <v>99.5</v>
      </c>
      <c r="E73" s="41">
        <v>89</v>
      </c>
      <c r="F73" s="41">
        <v>-10.5</v>
      </c>
      <c r="G73" s="41">
        <v>-10.5</v>
      </c>
      <c r="H73" s="41">
        <v>-1.1000000000000001</v>
      </c>
      <c r="I73" s="41">
        <v>21</v>
      </c>
      <c r="J73" s="41">
        <v>21.9</v>
      </c>
      <c r="K73" s="41">
        <v>0.4</v>
      </c>
      <c r="L73" t="s">
        <v>6</v>
      </c>
    </row>
    <row r="74" spans="1:12" x14ac:dyDescent="0.25">
      <c r="A74" s="39" t="s">
        <v>423</v>
      </c>
      <c r="B74" s="39" t="s">
        <v>424</v>
      </c>
      <c r="C74" s="40" t="s">
        <v>283</v>
      </c>
      <c r="D74" s="41">
        <v>84.5</v>
      </c>
      <c r="E74" s="41">
        <v>58.8</v>
      </c>
      <c r="F74" s="41">
        <v>-25.7</v>
      </c>
      <c r="G74" s="41">
        <v>-30.4</v>
      </c>
      <c r="H74" s="41">
        <v>-3.6</v>
      </c>
      <c r="I74" s="41">
        <v>12.3</v>
      </c>
      <c r="J74" s="41">
        <v>10.1</v>
      </c>
      <c r="K74" s="41">
        <v>-1.9</v>
      </c>
      <c r="L74" t="s">
        <v>6</v>
      </c>
    </row>
    <row r="75" spans="1:12" x14ac:dyDescent="0.25">
      <c r="A75" s="39" t="s">
        <v>425</v>
      </c>
      <c r="B75" s="39" t="s">
        <v>426</v>
      </c>
      <c r="C75" s="40" t="s">
        <v>283</v>
      </c>
      <c r="D75" s="41">
        <v>25.1</v>
      </c>
      <c r="E75" s="41">
        <v>23.8</v>
      </c>
      <c r="F75" s="41">
        <v>-1.3</v>
      </c>
      <c r="G75" s="41">
        <v>-5.2</v>
      </c>
      <c r="H75" s="41">
        <v>-0.5</v>
      </c>
      <c r="I75" s="41">
        <v>11.9</v>
      </c>
      <c r="J75" s="41">
        <v>14.2</v>
      </c>
      <c r="K75" s="41">
        <v>1.8</v>
      </c>
      <c r="L75" t="s">
        <v>6</v>
      </c>
    </row>
    <row r="76" spans="1:12" x14ac:dyDescent="0.25">
      <c r="A76" s="39" t="s">
        <v>427</v>
      </c>
      <c r="B76" s="39" t="s">
        <v>428</v>
      </c>
      <c r="C76" s="40" t="s">
        <v>280</v>
      </c>
      <c r="D76" s="41">
        <v>417</v>
      </c>
      <c r="E76" s="41">
        <v>417.6</v>
      </c>
      <c r="F76" s="41">
        <v>0.6</v>
      </c>
      <c r="G76" s="41">
        <v>0.1</v>
      </c>
      <c r="H76" s="41">
        <v>0</v>
      </c>
      <c r="I76" s="41">
        <v>126.5</v>
      </c>
      <c r="J76" s="41">
        <v>150.1</v>
      </c>
      <c r="K76" s="41">
        <v>1.7</v>
      </c>
      <c r="L76" t="s">
        <v>7</v>
      </c>
    </row>
    <row r="77" spans="1:12" x14ac:dyDescent="0.25">
      <c r="A77" s="39" t="s">
        <v>429</v>
      </c>
      <c r="B77" s="39" t="s">
        <v>430</v>
      </c>
      <c r="C77" s="40" t="s">
        <v>283</v>
      </c>
      <c r="D77" s="41">
        <v>90.6</v>
      </c>
      <c r="E77" s="41">
        <v>89.2</v>
      </c>
      <c r="F77" s="41">
        <v>-1.4</v>
      </c>
      <c r="G77" s="41">
        <v>-1.6</v>
      </c>
      <c r="H77" s="41">
        <v>-0.2</v>
      </c>
      <c r="I77" s="41">
        <v>47.2</v>
      </c>
      <c r="J77" s="41">
        <v>56.4</v>
      </c>
      <c r="K77" s="41">
        <v>1.8</v>
      </c>
    </row>
    <row r="78" spans="1:12" x14ac:dyDescent="0.25">
      <c r="A78" s="39" t="s">
        <v>431</v>
      </c>
      <c r="B78" s="39" t="s">
        <v>432</v>
      </c>
      <c r="C78" s="40" t="s">
        <v>283</v>
      </c>
      <c r="D78" s="41">
        <v>82.2</v>
      </c>
      <c r="E78" s="41">
        <v>81.3</v>
      </c>
      <c r="F78" s="41">
        <v>-0.9</v>
      </c>
      <c r="G78" s="41">
        <v>-1.1000000000000001</v>
      </c>
      <c r="H78" s="41">
        <v>-0.1</v>
      </c>
      <c r="I78" s="41">
        <v>24.3</v>
      </c>
      <c r="J78" s="41">
        <v>28.6</v>
      </c>
      <c r="K78" s="41">
        <v>1.7</v>
      </c>
    </row>
    <row r="79" spans="1:12" x14ac:dyDescent="0.25">
      <c r="A79" s="39" t="s">
        <v>433</v>
      </c>
      <c r="B79" s="39" t="s">
        <v>434</v>
      </c>
      <c r="C79" s="40" t="s">
        <v>283</v>
      </c>
      <c r="D79" s="41">
        <v>244.2</v>
      </c>
      <c r="E79" s="41">
        <v>247.1</v>
      </c>
      <c r="F79" s="41">
        <v>2.9</v>
      </c>
      <c r="G79" s="41">
        <v>1.2</v>
      </c>
      <c r="H79" s="41">
        <v>0.1</v>
      </c>
      <c r="I79" s="41">
        <v>56.8</v>
      </c>
      <c r="J79" s="41">
        <v>67.3</v>
      </c>
      <c r="K79" s="41">
        <v>1.7</v>
      </c>
    </row>
    <row r="80" spans="1:12" x14ac:dyDescent="0.25">
      <c r="A80" s="39" t="s">
        <v>435</v>
      </c>
      <c r="B80" s="39" t="s">
        <v>436</v>
      </c>
      <c r="C80" s="40" t="s">
        <v>280</v>
      </c>
      <c r="D80" s="41">
        <v>354.6</v>
      </c>
      <c r="E80" s="41">
        <v>328.9</v>
      </c>
      <c r="F80" s="41">
        <v>-25.7</v>
      </c>
      <c r="G80" s="41">
        <v>-7.3</v>
      </c>
      <c r="H80" s="41">
        <v>-0.7</v>
      </c>
      <c r="I80" s="41">
        <v>163</v>
      </c>
      <c r="J80" s="41">
        <v>180.2</v>
      </c>
      <c r="K80" s="41">
        <v>1</v>
      </c>
      <c r="L80" t="s">
        <v>8</v>
      </c>
    </row>
    <row r="81" spans="1:13" x14ac:dyDescent="0.25">
      <c r="A81" s="39" t="s">
        <v>437</v>
      </c>
      <c r="B81" s="39" t="s">
        <v>438</v>
      </c>
      <c r="C81" s="40" t="s">
        <v>283</v>
      </c>
      <c r="D81" s="41">
        <v>84.7</v>
      </c>
      <c r="E81" s="41">
        <v>73.599999999999994</v>
      </c>
      <c r="F81" s="41">
        <v>-11.1</v>
      </c>
      <c r="G81" s="41">
        <v>-13.1</v>
      </c>
      <c r="H81" s="41">
        <v>-1.4</v>
      </c>
      <c r="I81" s="41">
        <v>63.9</v>
      </c>
      <c r="J81" s="41">
        <v>63.1</v>
      </c>
      <c r="K81" s="41">
        <v>-0.1</v>
      </c>
    </row>
    <row r="82" spans="1:13" x14ac:dyDescent="0.25">
      <c r="A82" s="39" t="s">
        <v>439</v>
      </c>
      <c r="B82" s="39" t="s">
        <v>440</v>
      </c>
      <c r="C82" s="40" t="s">
        <v>283</v>
      </c>
      <c r="D82" s="41">
        <v>269.89999999999998</v>
      </c>
      <c r="E82" s="41">
        <v>255.3</v>
      </c>
      <c r="F82" s="41">
        <v>-14.6</v>
      </c>
      <c r="G82" s="41">
        <v>-5.4</v>
      </c>
      <c r="H82" s="41">
        <v>-0.6</v>
      </c>
      <c r="I82" s="41">
        <v>99</v>
      </c>
      <c r="J82" s="41">
        <v>116.9</v>
      </c>
      <c r="K82" s="41">
        <v>1.7</v>
      </c>
    </row>
    <row r="83" spans="1:13" x14ac:dyDescent="0.25">
      <c r="A83" s="39" t="s">
        <v>441</v>
      </c>
      <c r="B83" s="39" t="s">
        <v>442</v>
      </c>
      <c r="C83" s="40" t="s">
        <v>283</v>
      </c>
      <c r="D83" s="41">
        <v>357.2</v>
      </c>
      <c r="E83" s="41">
        <v>301.89999999999998</v>
      </c>
      <c r="F83" s="41">
        <v>-55.3</v>
      </c>
      <c r="G83" s="41">
        <v>-15.5</v>
      </c>
      <c r="H83" s="41">
        <v>-1.7</v>
      </c>
      <c r="I83" s="41">
        <v>67</v>
      </c>
      <c r="J83" s="41">
        <v>71.099999999999994</v>
      </c>
      <c r="K83" s="41">
        <v>0.6</v>
      </c>
      <c r="L83" t="s">
        <v>8</v>
      </c>
    </row>
    <row r="84" spans="1:13" x14ac:dyDescent="0.25">
      <c r="A84" s="39" t="s">
        <v>443</v>
      </c>
      <c r="B84" s="39" t="s">
        <v>444</v>
      </c>
      <c r="C84" s="40" t="s">
        <v>283</v>
      </c>
      <c r="D84" s="41">
        <v>109.4</v>
      </c>
      <c r="E84" s="41">
        <v>106.2</v>
      </c>
      <c r="F84" s="41">
        <v>-3.2</v>
      </c>
      <c r="G84" s="41">
        <v>-3</v>
      </c>
      <c r="H84" s="41">
        <v>-0.3</v>
      </c>
      <c r="I84" s="41">
        <v>483.5</v>
      </c>
      <c r="J84" s="41">
        <v>535</v>
      </c>
      <c r="K84" s="41">
        <v>1</v>
      </c>
      <c r="L84" t="s">
        <v>9</v>
      </c>
    </row>
    <row r="85" spans="1:13" x14ac:dyDescent="0.25">
      <c r="A85" s="39" t="s">
        <v>445</v>
      </c>
      <c r="B85" s="39" t="s">
        <v>446</v>
      </c>
      <c r="C85" s="40" t="s">
        <v>280</v>
      </c>
      <c r="D85" s="41">
        <v>897.9</v>
      </c>
      <c r="E85" s="41">
        <v>928.9</v>
      </c>
      <c r="F85" s="41">
        <v>31</v>
      </c>
      <c r="G85" s="41">
        <v>3.5</v>
      </c>
      <c r="H85" s="41">
        <v>0.3</v>
      </c>
      <c r="I85" s="41">
        <v>849.6</v>
      </c>
      <c r="J85" s="41">
        <v>1004</v>
      </c>
      <c r="K85" s="41">
        <v>1.7</v>
      </c>
    </row>
    <row r="86" spans="1:13" x14ac:dyDescent="0.25">
      <c r="A86" s="39" t="s">
        <v>447</v>
      </c>
      <c r="B86" s="39" t="s">
        <v>448</v>
      </c>
      <c r="C86" s="40" t="s">
        <v>283</v>
      </c>
      <c r="D86" s="41">
        <v>368.7</v>
      </c>
      <c r="E86" s="41">
        <v>376.7</v>
      </c>
      <c r="F86" s="41">
        <v>8</v>
      </c>
      <c r="G86" s="41">
        <v>2.2000000000000002</v>
      </c>
      <c r="H86" s="41">
        <v>0.2</v>
      </c>
      <c r="I86" s="41">
        <v>390.8</v>
      </c>
      <c r="J86" s="41">
        <v>431.5</v>
      </c>
      <c r="K86" s="41">
        <v>1</v>
      </c>
      <c r="L86" t="s">
        <v>33</v>
      </c>
    </row>
    <row r="87" spans="1:13" x14ac:dyDescent="0.25">
      <c r="A87" s="39" t="s">
        <v>449</v>
      </c>
      <c r="B87" s="39" t="s">
        <v>450</v>
      </c>
      <c r="C87" s="40" t="s">
        <v>283</v>
      </c>
      <c r="D87" s="41">
        <v>178.7</v>
      </c>
      <c r="E87" s="41">
        <v>182.7</v>
      </c>
      <c r="F87" s="41">
        <v>4</v>
      </c>
      <c r="G87" s="41">
        <v>2.2999999999999998</v>
      </c>
      <c r="H87" s="41">
        <v>0.2</v>
      </c>
      <c r="I87" s="41">
        <v>114.5</v>
      </c>
      <c r="J87" s="41">
        <v>139.5</v>
      </c>
      <c r="K87" s="41">
        <v>2</v>
      </c>
      <c r="L87" t="s">
        <v>33</v>
      </c>
    </row>
    <row r="88" spans="1:13" x14ac:dyDescent="0.25">
      <c r="A88" s="39" t="s">
        <v>451</v>
      </c>
      <c r="B88" s="39" t="s">
        <v>452</v>
      </c>
      <c r="C88" s="40" t="s">
        <v>283</v>
      </c>
      <c r="D88" s="41">
        <v>350.5</v>
      </c>
      <c r="E88" s="41">
        <v>369.5</v>
      </c>
      <c r="F88" s="41">
        <v>19</v>
      </c>
      <c r="G88" s="41">
        <v>5.4</v>
      </c>
      <c r="H88" s="41">
        <v>0.5</v>
      </c>
      <c r="I88" s="41">
        <v>346.7</v>
      </c>
      <c r="J88" s="41">
        <v>438.5</v>
      </c>
      <c r="K88" s="41">
        <v>2.4</v>
      </c>
      <c r="L88" t="s">
        <v>34</v>
      </c>
    </row>
    <row r="89" spans="1:13" x14ac:dyDescent="0.25">
      <c r="A89" s="39" t="s">
        <v>453</v>
      </c>
      <c r="B89" s="39" t="s">
        <v>454</v>
      </c>
      <c r="C89" s="40" t="s">
        <v>280</v>
      </c>
      <c r="D89" s="41">
        <v>725.1</v>
      </c>
      <c r="E89" s="41">
        <v>753.4</v>
      </c>
      <c r="F89" s="41">
        <v>28.3</v>
      </c>
      <c r="G89" s="41">
        <v>3.9</v>
      </c>
      <c r="H89" s="41">
        <v>0.4</v>
      </c>
      <c r="I89" s="41">
        <v>229.7</v>
      </c>
      <c r="J89" s="41">
        <v>252.1</v>
      </c>
      <c r="K89" s="41">
        <v>0.9</v>
      </c>
      <c r="L89" t="s">
        <v>10</v>
      </c>
    </row>
    <row r="90" spans="1:13" x14ac:dyDescent="0.25">
      <c r="A90" s="39" t="s">
        <v>455</v>
      </c>
      <c r="B90" s="39" t="s">
        <v>456</v>
      </c>
      <c r="C90" s="40" t="s">
        <v>283</v>
      </c>
      <c r="D90" s="41">
        <v>592.5</v>
      </c>
      <c r="E90" s="41">
        <v>618.79999999999995</v>
      </c>
      <c r="F90" s="41">
        <v>26.3</v>
      </c>
      <c r="G90" s="41">
        <v>4.4000000000000004</v>
      </c>
      <c r="H90" s="41">
        <v>0.4</v>
      </c>
      <c r="I90" s="41">
        <v>190.7</v>
      </c>
      <c r="J90" s="41">
        <v>212.4</v>
      </c>
      <c r="K90" s="41">
        <v>1.1000000000000001</v>
      </c>
    </row>
    <row r="91" spans="1:13" x14ac:dyDescent="0.25">
      <c r="A91" s="39" t="s">
        <v>457</v>
      </c>
      <c r="B91" s="39" t="s">
        <v>458</v>
      </c>
      <c r="C91" s="40" t="s">
        <v>283</v>
      </c>
      <c r="D91" s="41">
        <v>132.6</v>
      </c>
      <c r="E91" s="41">
        <v>134.6</v>
      </c>
      <c r="F91" s="41">
        <v>2</v>
      </c>
      <c r="G91" s="41">
        <v>1.5</v>
      </c>
      <c r="H91" s="41">
        <v>0.1</v>
      </c>
      <c r="I91" s="41">
        <v>39.1</v>
      </c>
      <c r="J91" s="41">
        <v>39.700000000000003</v>
      </c>
      <c r="K91" s="41">
        <v>0.2</v>
      </c>
    </row>
    <row r="92" spans="1:13" x14ac:dyDescent="0.25">
      <c r="A92" s="39" t="s">
        <v>459</v>
      </c>
      <c r="B92" s="39" t="s">
        <v>460</v>
      </c>
      <c r="C92" s="40" t="s">
        <v>283</v>
      </c>
      <c r="D92" s="41">
        <v>422.3</v>
      </c>
      <c r="E92" s="41">
        <v>429</v>
      </c>
      <c r="F92" s="41">
        <v>6.7</v>
      </c>
      <c r="G92" s="41">
        <v>1.6</v>
      </c>
      <c r="H92" s="41">
        <v>0.2</v>
      </c>
      <c r="I92" s="41">
        <v>113.5</v>
      </c>
      <c r="J92" s="41">
        <v>132.30000000000001</v>
      </c>
      <c r="K92" s="41">
        <v>1.5</v>
      </c>
      <c r="L92" t="s">
        <v>39</v>
      </c>
      <c r="M92" t="s">
        <v>38</v>
      </c>
    </row>
    <row r="93" spans="1:13" x14ac:dyDescent="0.25">
      <c r="A93" s="39" t="s">
        <v>461</v>
      </c>
      <c r="B93" s="39" t="s">
        <v>462</v>
      </c>
      <c r="C93" s="40" t="s">
        <v>280</v>
      </c>
      <c r="D93" s="41">
        <v>373.2</v>
      </c>
      <c r="E93" s="41">
        <v>360.2</v>
      </c>
      <c r="F93" s="41">
        <v>-13</v>
      </c>
      <c r="G93" s="41">
        <v>-3.5</v>
      </c>
      <c r="H93" s="41">
        <v>-0.4</v>
      </c>
      <c r="I93" s="41">
        <v>246.6</v>
      </c>
      <c r="J93" s="41">
        <v>287.3</v>
      </c>
      <c r="K93" s="41">
        <v>1.5</v>
      </c>
    </row>
    <row r="94" spans="1:13" x14ac:dyDescent="0.25">
      <c r="A94" s="39" t="s">
        <v>463</v>
      </c>
      <c r="B94" s="39" t="s">
        <v>464</v>
      </c>
      <c r="C94" s="40" t="s">
        <v>283</v>
      </c>
      <c r="D94" s="41">
        <v>85.6</v>
      </c>
      <c r="E94" s="41">
        <v>86.9</v>
      </c>
      <c r="F94" s="41">
        <v>1.3</v>
      </c>
      <c r="G94" s="41">
        <v>1.5</v>
      </c>
      <c r="H94" s="41">
        <v>0.2</v>
      </c>
      <c r="I94" s="41">
        <v>103.9</v>
      </c>
      <c r="J94" s="41">
        <v>124.3</v>
      </c>
      <c r="K94" s="41">
        <v>1.8</v>
      </c>
      <c r="L94" t="s">
        <v>40</v>
      </c>
    </row>
    <row r="95" spans="1:13" x14ac:dyDescent="0.25">
      <c r="A95" s="39" t="s">
        <v>465</v>
      </c>
      <c r="B95" s="39" t="s">
        <v>466</v>
      </c>
      <c r="C95" s="40" t="s">
        <v>283</v>
      </c>
      <c r="D95" s="41">
        <v>59.8</v>
      </c>
      <c r="E95" s="41">
        <v>60.9</v>
      </c>
      <c r="F95" s="41">
        <v>1.1000000000000001</v>
      </c>
      <c r="G95" s="41">
        <v>1.9</v>
      </c>
      <c r="H95" s="41">
        <v>0.2</v>
      </c>
      <c r="I95" s="41">
        <v>25.6</v>
      </c>
      <c r="J95" s="41">
        <v>30.9</v>
      </c>
      <c r="K95" s="41">
        <v>1.9</v>
      </c>
      <c r="L95" t="s">
        <v>40</v>
      </c>
    </row>
    <row r="96" spans="1:13" x14ac:dyDescent="0.25">
      <c r="A96" s="39" t="s">
        <v>467</v>
      </c>
      <c r="B96" s="39" t="s">
        <v>468</v>
      </c>
      <c r="C96" s="40" t="s">
        <v>283</v>
      </c>
      <c r="D96" s="41">
        <v>59.3</v>
      </c>
      <c r="E96" s="41">
        <v>58.4</v>
      </c>
      <c r="F96" s="41">
        <v>-0.9</v>
      </c>
      <c r="G96" s="41">
        <v>-1.5</v>
      </c>
      <c r="H96" s="41">
        <v>-0.2</v>
      </c>
      <c r="I96" s="41">
        <v>38.1</v>
      </c>
      <c r="J96" s="41">
        <v>39.9</v>
      </c>
      <c r="K96" s="41">
        <v>0.5</v>
      </c>
      <c r="L96" t="s">
        <v>41</v>
      </c>
    </row>
    <row r="97" spans="1:12" x14ac:dyDescent="0.25">
      <c r="A97" s="39" t="s">
        <v>469</v>
      </c>
      <c r="B97" s="39" t="s">
        <v>470</v>
      </c>
      <c r="C97" s="40" t="s">
        <v>283</v>
      </c>
      <c r="D97" s="41">
        <v>62.5</v>
      </c>
      <c r="E97" s="41">
        <v>63.6</v>
      </c>
      <c r="F97" s="41">
        <v>1.1000000000000001</v>
      </c>
      <c r="G97" s="41">
        <v>1.8</v>
      </c>
      <c r="H97" s="41">
        <v>0.2</v>
      </c>
      <c r="I97" s="41">
        <v>50.3</v>
      </c>
      <c r="J97" s="41">
        <v>64.099999999999994</v>
      </c>
      <c r="K97" s="41">
        <v>2.4</v>
      </c>
      <c r="L97" t="s">
        <v>41</v>
      </c>
    </row>
    <row r="98" spans="1:12" x14ac:dyDescent="0.25">
      <c r="A98" s="39" t="s">
        <v>471</v>
      </c>
      <c r="B98" s="39" t="s">
        <v>472</v>
      </c>
      <c r="C98" s="40" t="s">
        <v>283</v>
      </c>
      <c r="D98" s="41">
        <v>106</v>
      </c>
      <c r="E98" s="41">
        <v>90.4</v>
      </c>
      <c r="F98" s="41">
        <v>-15.6</v>
      </c>
      <c r="G98" s="41">
        <v>-14.7</v>
      </c>
      <c r="H98" s="41">
        <v>-1.6</v>
      </c>
      <c r="I98" s="41">
        <v>26.9</v>
      </c>
      <c r="J98" s="41">
        <v>24.8</v>
      </c>
      <c r="K98" s="41">
        <v>-0.8</v>
      </c>
    </row>
    <row r="99" spans="1:12" x14ac:dyDescent="0.25">
      <c r="A99" s="39" t="s">
        <v>473</v>
      </c>
      <c r="B99" s="39" t="s">
        <v>474</v>
      </c>
      <c r="C99" s="40" t="s">
        <v>280</v>
      </c>
      <c r="D99" s="41">
        <v>1442.1</v>
      </c>
      <c r="E99" s="41">
        <v>1385.3</v>
      </c>
      <c r="F99" s="41">
        <v>-56.8</v>
      </c>
      <c r="G99" s="41">
        <v>-3.9</v>
      </c>
      <c r="H99" s="41">
        <v>-0.4</v>
      </c>
      <c r="I99" s="41">
        <v>303.5</v>
      </c>
      <c r="J99" s="41">
        <v>329.5</v>
      </c>
      <c r="K99" s="41">
        <v>0.8</v>
      </c>
      <c r="L99" t="s">
        <v>11</v>
      </c>
    </row>
    <row r="100" spans="1:12" x14ac:dyDescent="0.25">
      <c r="A100" s="39" t="s">
        <v>475</v>
      </c>
      <c r="B100" s="39" t="s">
        <v>476</v>
      </c>
      <c r="C100" s="40" t="s">
        <v>283</v>
      </c>
      <c r="D100" s="41">
        <v>467.8</v>
      </c>
      <c r="E100" s="41">
        <v>423.2</v>
      </c>
      <c r="F100" s="41">
        <v>-44.6</v>
      </c>
      <c r="G100" s="41">
        <v>-9.5</v>
      </c>
      <c r="H100" s="41">
        <v>-1</v>
      </c>
      <c r="I100" s="41">
        <v>123.8</v>
      </c>
      <c r="J100" s="41">
        <v>129.6</v>
      </c>
      <c r="K100" s="41">
        <v>0.5</v>
      </c>
    </row>
    <row r="101" spans="1:12" x14ac:dyDescent="0.25">
      <c r="A101" s="39" t="s">
        <v>477</v>
      </c>
      <c r="B101" s="39" t="s">
        <v>478</v>
      </c>
      <c r="C101" s="40" t="s">
        <v>283</v>
      </c>
      <c r="D101" s="41">
        <v>511.5</v>
      </c>
      <c r="E101" s="41">
        <v>526.29999999999995</v>
      </c>
      <c r="F101" s="41">
        <v>14.8</v>
      </c>
      <c r="G101" s="41">
        <v>2.9</v>
      </c>
      <c r="H101" s="41">
        <v>0.3</v>
      </c>
      <c r="I101" s="41">
        <v>97.4</v>
      </c>
      <c r="J101" s="41">
        <v>109.1</v>
      </c>
      <c r="K101" s="41">
        <v>1.1000000000000001</v>
      </c>
    </row>
    <row r="102" spans="1:12" x14ac:dyDescent="0.25">
      <c r="A102" s="39" t="s">
        <v>479</v>
      </c>
      <c r="B102" s="39" t="s">
        <v>480</v>
      </c>
      <c r="C102" s="40" t="s">
        <v>280</v>
      </c>
      <c r="D102" s="41">
        <v>333.2</v>
      </c>
      <c r="E102" s="41">
        <v>319.8</v>
      </c>
      <c r="F102" s="41">
        <v>-13.4</v>
      </c>
      <c r="G102" s="41">
        <v>-4</v>
      </c>
      <c r="H102" s="41">
        <v>-0.4</v>
      </c>
      <c r="I102" s="41">
        <v>59.1</v>
      </c>
      <c r="J102" s="41">
        <v>65.900000000000006</v>
      </c>
      <c r="K102" s="41">
        <v>1.1000000000000001</v>
      </c>
    </row>
    <row r="103" spans="1:12" x14ac:dyDescent="0.25">
      <c r="A103" s="39" t="s">
        <v>481</v>
      </c>
      <c r="B103" s="39" t="s">
        <v>482</v>
      </c>
      <c r="C103" s="40" t="s">
        <v>283</v>
      </c>
      <c r="D103" s="41">
        <v>259</v>
      </c>
      <c r="E103" s="41">
        <v>260.10000000000002</v>
      </c>
      <c r="F103" s="41">
        <v>1.1000000000000001</v>
      </c>
      <c r="G103" s="41">
        <v>0.4</v>
      </c>
      <c r="H103" s="41">
        <v>0</v>
      </c>
      <c r="I103" s="41">
        <v>37.1</v>
      </c>
      <c r="J103" s="41">
        <v>41.3</v>
      </c>
      <c r="K103" s="41">
        <v>1.1000000000000001</v>
      </c>
    </row>
    <row r="104" spans="1:12" x14ac:dyDescent="0.25">
      <c r="A104" s="39" t="s">
        <v>483</v>
      </c>
      <c r="B104" s="39" t="s">
        <v>484</v>
      </c>
      <c r="C104" s="40" t="s">
        <v>283</v>
      </c>
      <c r="D104" s="41">
        <v>74.2</v>
      </c>
      <c r="E104" s="41">
        <v>59.8</v>
      </c>
      <c r="F104" s="41">
        <v>-14.4</v>
      </c>
      <c r="G104" s="41">
        <v>-19.5</v>
      </c>
      <c r="H104" s="41">
        <v>-2.1</v>
      </c>
      <c r="I104" s="41">
        <v>22.2</v>
      </c>
      <c r="J104" s="41">
        <v>24.7</v>
      </c>
      <c r="K104" s="41">
        <v>1.1000000000000001</v>
      </c>
    </row>
    <row r="105" spans="1:12" x14ac:dyDescent="0.25">
      <c r="A105" s="39" t="s">
        <v>485</v>
      </c>
      <c r="B105" s="39" t="s">
        <v>486</v>
      </c>
      <c r="C105" s="40" t="s">
        <v>283</v>
      </c>
      <c r="D105" s="41">
        <v>129.6</v>
      </c>
      <c r="E105" s="41">
        <v>115.9</v>
      </c>
      <c r="F105" s="41">
        <v>-13.7</v>
      </c>
      <c r="G105" s="41">
        <v>-10.6</v>
      </c>
      <c r="H105" s="41">
        <v>-1.1000000000000001</v>
      </c>
      <c r="I105" s="41">
        <v>25.1</v>
      </c>
      <c r="J105" s="41">
        <v>26.1</v>
      </c>
      <c r="K105" s="41">
        <v>0.4</v>
      </c>
    </row>
    <row r="106" spans="1:12" x14ac:dyDescent="0.25">
      <c r="A106" s="39" t="s">
        <v>487</v>
      </c>
      <c r="B106" s="39" t="s">
        <v>488</v>
      </c>
      <c r="C106" s="40" t="s">
        <v>280</v>
      </c>
      <c r="D106" s="41">
        <v>1118.8</v>
      </c>
      <c r="E106" s="41">
        <v>1108.2</v>
      </c>
      <c r="F106" s="41">
        <v>-10.6</v>
      </c>
      <c r="G106" s="41">
        <v>-0.9</v>
      </c>
      <c r="H106" s="41">
        <v>-0.1</v>
      </c>
      <c r="I106" s="41">
        <v>330.1</v>
      </c>
      <c r="J106" s="41">
        <v>366.9</v>
      </c>
      <c r="K106" s="41">
        <v>1.1000000000000001</v>
      </c>
      <c r="L106" t="s">
        <v>14</v>
      </c>
    </row>
    <row r="107" spans="1:12" x14ac:dyDescent="0.25">
      <c r="A107" s="39" t="s">
        <v>489</v>
      </c>
      <c r="B107" s="39" t="s">
        <v>490</v>
      </c>
      <c r="C107" s="40" t="s">
        <v>283</v>
      </c>
      <c r="D107" s="41">
        <v>780.2</v>
      </c>
      <c r="E107" s="41">
        <v>782.8</v>
      </c>
      <c r="F107" s="41">
        <v>2.6</v>
      </c>
      <c r="G107" s="41">
        <v>0.3</v>
      </c>
      <c r="H107" s="41">
        <v>0</v>
      </c>
      <c r="I107" s="41">
        <v>241.2</v>
      </c>
      <c r="J107" s="41">
        <v>266.8</v>
      </c>
      <c r="K107" s="41">
        <v>1</v>
      </c>
    </row>
    <row r="108" spans="1:12" x14ac:dyDescent="0.25">
      <c r="A108" s="39" t="s">
        <v>491</v>
      </c>
      <c r="B108" s="39" t="s">
        <v>492</v>
      </c>
      <c r="C108" s="40" t="s">
        <v>283</v>
      </c>
      <c r="D108" s="41">
        <v>88.7</v>
      </c>
      <c r="E108" s="41">
        <v>89.6</v>
      </c>
      <c r="F108" s="41">
        <v>0.9</v>
      </c>
      <c r="G108" s="41">
        <v>1</v>
      </c>
      <c r="H108" s="41">
        <v>0.1</v>
      </c>
      <c r="I108" s="41">
        <v>23.5</v>
      </c>
      <c r="J108" s="41">
        <v>26.4</v>
      </c>
      <c r="K108" s="41">
        <v>1.2</v>
      </c>
    </row>
    <row r="109" spans="1:12" x14ac:dyDescent="0.25">
      <c r="A109" s="39" t="s">
        <v>493</v>
      </c>
      <c r="B109" s="39" t="s">
        <v>494</v>
      </c>
      <c r="C109" s="40" t="s">
        <v>283</v>
      </c>
      <c r="D109" s="41">
        <v>157.1</v>
      </c>
      <c r="E109" s="41">
        <v>147.4</v>
      </c>
      <c r="F109" s="41">
        <v>-9.6999999999999993</v>
      </c>
      <c r="G109" s="41">
        <v>-6.2</v>
      </c>
      <c r="H109" s="41">
        <v>-0.6</v>
      </c>
      <c r="I109" s="41">
        <v>27.3</v>
      </c>
      <c r="J109" s="41">
        <v>30.6</v>
      </c>
      <c r="K109" s="41">
        <v>1.1000000000000001</v>
      </c>
    </row>
    <row r="110" spans="1:12" x14ac:dyDescent="0.25">
      <c r="A110" s="39" t="s">
        <v>495</v>
      </c>
      <c r="B110" s="39" t="s">
        <v>496</v>
      </c>
      <c r="C110" s="40" t="s">
        <v>283</v>
      </c>
      <c r="D110" s="41">
        <v>92.8</v>
      </c>
      <c r="E110" s="41">
        <v>88.4</v>
      </c>
      <c r="F110" s="41">
        <v>-4.4000000000000004</v>
      </c>
      <c r="G110" s="41">
        <v>-4.8</v>
      </c>
      <c r="H110" s="41">
        <v>-0.5</v>
      </c>
      <c r="I110" s="41">
        <v>38</v>
      </c>
      <c r="J110" s="41">
        <v>43.1</v>
      </c>
      <c r="K110" s="41">
        <v>1.3</v>
      </c>
    </row>
    <row r="111" spans="1:12" x14ac:dyDescent="0.25">
      <c r="A111" s="39" t="s">
        <v>497</v>
      </c>
      <c r="B111" s="39" t="s">
        <v>498</v>
      </c>
      <c r="C111" s="40" t="s">
        <v>280</v>
      </c>
      <c r="D111" s="41">
        <v>1027.7</v>
      </c>
      <c r="E111" s="41">
        <v>1077.3</v>
      </c>
      <c r="F111" s="41">
        <v>49.6</v>
      </c>
      <c r="G111" s="41">
        <v>4.8</v>
      </c>
      <c r="H111" s="41">
        <v>0.5</v>
      </c>
      <c r="I111" s="41">
        <v>391.5</v>
      </c>
      <c r="J111" s="41">
        <v>488.4</v>
      </c>
      <c r="K111" s="41">
        <v>2.2000000000000002</v>
      </c>
      <c r="L111" t="s">
        <v>12</v>
      </c>
    </row>
    <row r="112" spans="1:12" x14ac:dyDescent="0.25">
      <c r="A112" s="39" t="s">
        <v>499</v>
      </c>
      <c r="B112" s="39" t="s">
        <v>500</v>
      </c>
      <c r="C112" s="40" t="s">
        <v>283</v>
      </c>
      <c r="D112" s="41">
        <v>110.3</v>
      </c>
      <c r="E112" s="41">
        <v>111.8</v>
      </c>
      <c r="F112" s="41">
        <v>1.5</v>
      </c>
      <c r="G112" s="41">
        <v>1.4</v>
      </c>
      <c r="H112" s="41">
        <v>0.1</v>
      </c>
      <c r="I112" s="41">
        <v>43.5</v>
      </c>
      <c r="J112" s="41">
        <v>51</v>
      </c>
      <c r="K112" s="41">
        <v>1.6</v>
      </c>
    </row>
    <row r="113" spans="1:12" x14ac:dyDescent="0.25">
      <c r="A113" s="39" t="s">
        <v>501</v>
      </c>
      <c r="B113" s="39" t="s">
        <v>502</v>
      </c>
      <c r="C113" s="40" t="s">
        <v>283</v>
      </c>
      <c r="D113" s="41">
        <v>83</v>
      </c>
      <c r="E113" s="41">
        <v>77.5</v>
      </c>
      <c r="F113" s="41">
        <v>-5.5</v>
      </c>
      <c r="G113" s="41">
        <v>-6.6</v>
      </c>
      <c r="H113" s="41">
        <v>-0.7</v>
      </c>
      <c r="I113" s="41">
        <v>54.5</v>
      </c>
      <c r="J113" s="41">
        <v>66.5</v>
      </c>
      <c r="K113" s="41">
        <v>2</v>
      </c>
    </row>
    <row r="114" spans="1:12" x14ac:dyDescent="0.25">
      <c r="A114" s="39" t="s">
        <v>503</v>
      </c>
      <c r="B114" s="39" t="s">
        <v>504</v>
      </c>
      <c r="C114" s="40" t="s">
        <v>283</v>
      </c>
      <c r="D114" s="41">
        <v>19.100000000000001</v>
      </c>
      <c r="E114" s="41">
        <v>18.399999999999999</v>
      </c>
      <c r="F114" s="41">
        <v>-0.7</v>
      </c>
      <c r="G114" s="41">
        <v>-3.6</v>
      </c>
      <c r="H114" s="41">
        <v>-0.4</v>
      </c>
      <c r="I114" s="41">
        <v>4.2</v>
      </c>
      <c r="J114" s="41">
        <v>5.0999999999999996</v>
      </c>
      <c r="K114" s="41">
        <v>2</v>
      </c>
    </row>
    <row r="115" spans="1:12" x14ac:dyDescent="0.25">
      <c r="A115" s="39" t="s">
        <v>505</v>
      </c>
      <c r="B115" s="39" t="s">
        <v>506</v>
      </c>
      <c r="C115" s="40" t="s">
        <v>283</v>
      </c>
      <c r="D115" s="41">
        <v>392.3</v>
      </c>
      <c r="E115" s="41">
        <v>436.8</v>
      </c>
      <c r="F115" s="41">
        <v>44.5</v>
      </c>
      <c r="G115" s="41">
        <v>11.4</v>
      </c>
      <c r="H115" s="41">
        <v>1.1000000000000001</v>
      </c>
      <c r="I115" s="41">
        <v>140.19999999999999</v>
      </c>
      <c r="J115" s="41">
        <v>183</v>
      </c>
      <c r="K115" s="41">
        <v>2.7</v>
      </c>
    </row>
    <row r="116" spans="1:12" x14ac:dyDescent="0.25">
      <c r="A116" s="39" t="s">
        <v>507</v>
      </c>
      <c r="B116" s="39" t="s">
        <v>508</v>
      </c>
      <c r="C116" s="40" t="s">
        <v>283</v>
      </c>
      <c r="D116" s="41">
        <v>412.5</v>
      </c>
      <c r="E116" s="41">
        <v>426.5</v>
      </c>
      <c r="F116" s="41">
        <v>14</v>
      </c>
      <c r="G116" s="41">
        <v>3.4</v>
      </c>
      <c r="H116" s="41">
        <v>0.3</v>
      </c>
      <c r="I116" s="41">
        <v>149.69999999999999</v>
      </c>
      <c r="J116" s="41">
        <v>184.7</v>
      </c>
      <c r="K116" s="41">
        <v>2.1</v>
      </c>
    </row>
    <row r="117" spans="1:12" x14ac:dyDescent="0.25">
      <c r="A117" s="39" t="s">
        <v>509</v>
      </c>
      <c r="B117" s="39" t="s">
        <v>510</v>
      </c>
      <c r="C117" s="40" t="s">
        <v>283</v>
      </c>
      <c r="D117" s="41">
        <v>10.5</v>
      </c>
      <c r="E117" s="41">
        <v>6.2</v>
      </c>
      <c r="F117" s="41">
        <v>-4.3</v>
      </c>
      <c r="G117" s="41">
        <v>-41.3</v>
      </c>
      <c r="H117" s="41">
        <v>-5.0999999999999996</v>
      </c>
      <c r="I117" s="41">
        <v>1.7</v>
      </c>
      <c r="J117" s="41">
        <v>1.4</v>
      </c>
      <c r="K117" s="41">
        <v>-1.9</v>
      </c>
    </row>
    <row r="118" spans="1:12" x14ac:dyDescent="0.25">
      <c r="A118" s="39" t="s">
        <v>511</v>
      </c>
      <c r="B118" s="39" t="s">
        <v>512</v>
      </c>
      <c r="C118" s="40" t="s">
        <v>280</v>
      </c>
      <c r="D118" s="41">
        <v>413.3</v>
      </c>
      <c r="E118" s="41">
        <v>459.7</v>
      </c>
      <c r="F118" s="41">
        <v>46.4</v>
      </c>
      <c r="G118" s="41">
        <v>11.2</v>
      </c>
      <c r="H118" s="41">
        <v>1.1000000000000001</v>
      </c>
      <c r="I118" s="41">
        <v>121.1</v>
      </c>
      <c r="J118" s="41">
        <v>143.80000000000001</v>
      </c>
      <c r="K118" s="41">
        <v>1.7</v>
      </c>
      <c r="L118" t="s">
        <v>13</v>
      </c>
    </row>
    <row r="119" spans="1:12" x14ac:dyDescent="0.25">
      <c r="A119" s="39" t="s">
        <v>513</v>
      </c>
      <c r="B119" s="39" t="s">
        <v>514</v>
      </c>
      <c r="C119" s="40" t="s">
        <v>283</v>
      </c>
      <c r="D119" s="41">
        <v>34.5</v>
      </c>
      <c r="E119" s="41">
        <v>30.2</v>
      </c>
      <c r="F119" s="41">
        <v>-4.3</v>
      </c>
      <c r="G119" s="41">
        <v>-12.3</v>
      </c>
      <c r="H119" s="41">
        <v>-1.3</v>
      </c>
      <c r="I119" s="41">
        <v>12.1</v>
      </c>
      <c r="J119" s="41">
        <v>10.6</v>
      </c>
      <c r="K119" s="41">
        <v>-1.3</v>
      </c>
    </row>
    <row r="120" spans="1:12" x14ac:dyDescent="0.25">
      <c r="A120" s="39" t="s">
        <v>515</v>
      </c>
      <c r="B120" s="39" t="s">
        <v>516</v>
      </c>
      <c r="C120" s="40" t="s">
        <v>283</v>
      </c>
      <c r="D120" s="41">
        <v>60.1</v>
      </c>
      <c r="E120" s="41">
        <v>55.6</v>
      </c>
      <c r="F120" s="41">
        <v>-4.5</v>
      </c>
      <c r="G120" s="41">
        <v>-7.5</v>
      </c>
      <c r="H120" s="41">
        <v>-0.8</v>
      </c>
      <c r="I120" s="41">
        <v>21.9</v>
      </c>
      <c r="J120" s="41">
        <v>24.1</v>
      </c>
      <c r="K120" s="41">
        <v>1</v>
      </c>
    </row>
    <row r="121" spans="1:12" x14ac:dyDescent="0.25">
      <c r="A121" s="39" t="s">
        <v>517</v>
      </c>
      <c r="B121" s="39" t="s">
        <v>518</v>
      </c>
      <c r="C121" s="40" t="s">
        <v>283</v>
      </c>
      <c r="D121" s="41">
        <v>153</v>
      </c>
      <c r="E121" s="41">
        <v>159.80000000000001</v>
      </c>
      <c r="F121" s="41">
        <v>6.8</v>
      </c>
      <c r="G121" s="41">
        <v>4.4000000000000004</v>
      </c>
      <c r="H121" s="41">
        <v>0.4</v>
      </c>
      <c r="I121" s="41">
        <v>38.5</v>
      </c>
      <c r="J121" s="41">
        <v>44.6</v>
      </c>
      <c r="K121" s="41">
        <v>1.5</v>
      </c>
    </row>
    <row r="122" spans="1:12" x14ac:dyDescent="0.25">
      <c r="A122" s="39" t="s">
        <v>519</v>
      </c>
      <c r="B122" s="39" t="s">
        <v>520</v>
      </c>
      <c r="C122" s="40" t="s">
        <v>283</v>
      </c>
      <c r="D122" s="41">
        <v>165.7</v>
      </c>
      <c r="E122" s="41">
        <v>214.1</v>
      </c>
      <c r="F122" s="41">
        <v>48.4</v>
      </c>
      <c r="G122" s="41">
        <v>29.2</v>
      </c>
      <c r="H122" s="41">
        <v>2.6</v>
      </c>
      <c r="I122" s="41">
        <v>48.5</v>
      </c>
      <c r="J122" s="41">
        <v>64</v>
      </c>
      <c r="K122" s="41">
        <v>2.8</v>
      </c>
    </row>
    <row r="123" spans="1:12" x14ac:dyDescent="0.25">
      <c r="A123" s="39" t="s">
        <v>521</v>
      </c>
      <c r="B123" s="39" t="s">
        <v>522</v>
      </c>
      <c r="C123" s="40" t="s">
        <v>280</v>
      </c>
      <c r="D123" s="41">
        <v>1793.2</v>
      </c>
      <c r="E123" s="41">
        <v>1718</v>
      </c>
      <c r="F123" s="41">
        <v>-75.2</v>
      </c>
      <c r="G123" s="41">
        <v>-4.2</v>
      </c>
      <c r="H123" s="41">
        <v>-0.4</v>
      </c>
      <c r="I123" s="41">
        <v>1054.5</v>
      </c>
      <c r="J123" s="41">
        <v>1122</v>
      </c>
      <c r="K123" s="41">
        <v>0.6</v>
      </c>
    </row>
    <row r="124" spans="1:12" x14ac:dyDescent="0.25">
      <c r="A124" s="39" t="s">
        <v>523</v>
      </c>
      <c r="B124" s="39" t="s">
        <v>524</v>
      </c>
      <c r="C124" s="40" t="s">
        <v>283</v>
      </c>
      <c r="D124" s="41">
        <v>302</v>
      </c>
      <c r="E124" s="41">
        <v>318.2</v>
      </c>
      <c r="F124" s="41">
        <v>16.2</v>
      </c>
      <c r="G124" s="41">
        <v>5.4</v>
      </c>
      <c r="H124" s="41">
        <v>0.5</v>
      </c>
      <c r="I124" s="41">
        <v>396.7</v>
      </c>
      <c r="J124" s="41">
        <v>437.5</v>
      </c>
      <c r="K124" s="41">
        <v>1</v>
      </c>
      <c r="L124" t="s">
        <v>15</v>
      </c>
    </row>
    <row r="125" spans="1:12" x14ac:dyDescent="0.25">
      <c r="A125" s="39" t="s">
        <v>525</v>
      </c>
      <c r="B125" s="39" t="s">
        <v>526</v>
      </c>
      <c r="C125" s="40" t="s">
        <v>283</v>
      </c>
      <c r="D125" s="41">
        <v>163.5</v>
      </c>
      <c r="E125" s="41">
        <v>169</v>
      </c>
      <c r="F125" s="41">
        <v>5.5</v>
      </c>
      <c r="G125" s="41">
        <v>3.4</v>
      </c>
      <c r="H125" s="41">
        <v>0.3</v>
      </c>
      <c r="I125" s="41">
        <v>55</v>
      </c>
      <c r="J125" s="41">
        <v>69.599999999999994</v>
      </c>
      <c r="K125" s="41">
        <v>2.4</v>
      </c>
      <c r="L125" t="s">
        <v>15</v>
      </c>
    </row>
    <row r="126" spans="1:12" x14ac:dyDescent="0.25">
      <c r="A126" s="39" t="s">
        <v>527</v>
      </c>
      <c r="B126" s="39" t="s">
        <v>528</v>
      </c>
      <c r="C126" s="40" t="s">
        <v>283</v>
      </c>
      <c r="D126" s="41">
        <v>553.29999999999995</v>
      </c>
      <c r="E126" s="41">
        <v>429.3</v>
      </c>
      <c r="F126" s="41">
        <v>-124</v>
      </c>
      <c r="G126" s="41">
        <v>-22.4</v>
      </c>
      <c r="H126" s="41">
        <v>-2.5</v>
      </c>
      <c r="I126" s="41">
        <v>250.8</v>
      </c>
      <c r="J126" s="41">
        <v>180.2</v>
      </c>
      <c r="K126" s="41">
        <v>-3.3</v>
      </c>
      <c r="L126" t="s">
        <v>15</v>
      </c>
    </row>
    <row r="127" spans="1:12" x14ac:dyDescent="0.25">
      <c r="A127" s="39" t="s">
        <v>529</v>
      </c>
      <c r="B127" s="39" t="s">
        <v>530</v>
      </c>
      <c r="C127" s="40" t="s">
        <v>283</v>
      </c>
      <c r="D127" s="41">
        <v>559.1</v>
      </c>
      <c r="E127" s="41">
        <v>589.20000000000005</v>
      </c>
      <c r="F127" s="41">
        <v>30.1</v>
      </c>
      <c r="G127" s="41">
        <v>5.4</v>
      </c>
      <c r="H127" s="41">
        <v>0.5</v>
      </c>
      <c r="I127" s="41">
        <v>281.60000000000002</v>
      </c>
      <c r="J127" s="41">
        <v>343.5</v>
      </c>
      <c r="K127" s="41">
        <v>2</v>
      </c>
      <c r="L127" t="s">
        <v>16</v>
      </c>
    </row>
    <row r="128" spans="1:12" x14ac:dyDescent="0.25">
      <c r="A128" s="39" t="s">
        <v>531</v>
      </c>
      <c r="B128" s="39" t="s">
        <v>532</v>
      </c>
      <c r="C128" s="40" t="s">
        <v>283</v>
      </c>
      <c r="D128" s="41">
        <v>23.4</v>
      </c>
      <c r="E128" s="41">
        <v>20.7</v>
      </c>
      <c r="F128" s="41">
        <v>-2.7</v>
      </c>
      <c r="G128" s="41">
        <v>-11.5</v>
      </c>
      <c r="H128" s="41">
        <v>-1.2</v>
      </c>
      <c r="I128" s="41">
        <v>10</v>
      </c>
      <c r="J128" s="41">
        <v>10.6</v>
      </c>
      <c r="K128" s="41">
        <v>0.6</v>
      </c>
      <c r="L128" t="s">
        <v>16</v>
      </c>
    </row>
    <row r="129" spans="1:12" x14ac:dyDescent="0.25">
      <c r="A129" s="39" t="s">
        <v>533</v>
      </c>
      <c r="B129" s="39" t="s">
        <v>534</v>
      </c>
      <c r="C129" s="40" t="s">
        <v>283</v>
      </c>
      <c r="D129" s="41">
        <v>150.5</v>
      </c>
      <c r="E129" s="41">
        <v>154.1</v>
      </c>
      <c r="F129" s="41">
        <v>3.6</v>
      </c>
      <c r="G129" s="41">
        <v>2.4</v>
      </c>
      <c r="H129" s="41">
        <v>0.2</v>
      </c>
      <c r="I129" s="41">
        <v>40</v>
      </c>
      <c r="J129" s="41">
        <v>45.3</v>
      </c>
      <c r="K129" s="41">
        <v>1.3</v>
      </c>
      <c r="L129" t="s">
        <v>16</v>
      </c>
    </row>
    <row r="130" spans="1:12" x14ac:dyDescent="0.25">
      <c r="A130" s="39" t="s">
        <v>535</v>
      </c>
      <c r="B130" s="39" t="s">
        <v>536</v>
      </c>
      <c r="C130" s="40" t="s">
        <v>283</v>
      </c>
      <c r="D130" s="41">
        <v>41.4</v>
      </c>
      <c r="E130" s="41">
        <v>37.5</v>
      </c>
      <c r="F130" s="41">
        <v>-3.9</v>
      </c>
      <c r="G130" s="41">
        <v>-9.4</v>
      </c>
      <c r="H130" s="41">
        <v>-1</v>
      </c>
      <c r="I130" s="41">
        <v>23.9</v>
      </c>
      <c r="J130" s="41">
        <v>30.9</v>
      </c>
      <c r="K130" s="41">
        <v>2.6</v>
      </c>
      <c r="L130" t="s">
        <v>16</v>
      </c>
    </row>
    <row r="131" spans="1:12" x14ac:dyDescent="0.25">
      <c r="A131" s="39" t="s">
        <v>537</v>
      </c>
      <c r="B131" s="39" t="s">
        <v>538</v>
      </c>
      <c r="C131" s="40" t="s">
        <v>280</v>
      </c>
      <c r="D131" s="41">
        <v>343.3</v>
      </c>
      <c r="E131" s="41">
        <v>325.39999999999998</v>
      </c>
      <c r="F131" s="41">
        <v>-17.899999999999999</v>
      </c>
      <c r="G131" s="41">
        <v>-5.2</v>
      </c>
      <c r="H131" s="41">
        <v>-0.5</v>
      </c>
      <c r="I131" s="41">
        <v>61.7</v>
      </c>
      <c r="J131" s="41">
        <v>68.400000000000006</v>
      </c>
      <c r="K131" s="41">
        <v>1</v>
      </c>
      <c r="L131" t="s">
        <v>17</v>
      </c>
    </row>
    <row r="132" spans="1:12" x14ac:dyDescent="0.25">
      <c r="A132" s="39" t="s">
        <v>539</v>
      </c>
      <c r="B132" s="39" t="s">
        <v>540</v>
      </c>
      <c r="C132" s="40" t="s">
        <v>283</v>
      </c>
      <c r="D132" s="41">
        <v>315.2</v>
      </c>
      <c r="E132" s="41">
        <v>297.7</v>
      </c>
      <c r="F132" s="41">
        <v>-17.5</v>
      </c>
      <c r="G132" s="41">
        <v>-5.6</v>
      </c>
      <c r="H132" s="41">
        <v>-0.6</v>
      </c>
      <c r="I132" s="41">
        <v>54</v>
      </c>
      <c r="J132" s="41">
        <v>59.4</v>
      </c>
      <c r="K132" s="41">
        <v>1</v>
      </c>
    </row>
    <row r="133" spans="1:12" x14ac:dyDescent="0.25">
      <c r="A133" s="39" t="s">
        <v>541</v>
      </c>
      <c r="B133" s="39" t="s">
        <v>542</v>
      </c>
      <c r="C133" s="40" t="s">
        <v>283</v>
      </c>
      <c r="D133" s="41">
        <v>28.1</v>
      </c>
      <c r="E133" s="41">
        <v>27.7</v>
      </c>
      <c r="F133" s="41">
        <v>-0.4</v>
      </c>
      <c r="G133" s="41">
        <v>-1.3</v>
      </c>
      <c r="H133" s="41">
        <v>-0.1</v>
      </c>
      <c r="I133" s="41">
        <v>7.8</v>
      </c>
      <c r="J133" s="41">
        <v>9</v>
      </c>
      <c r="K133" s="41">
        <v>1.5</v>
      </c>
    </row>
    <row r="134" spans="1:12" x14ac:dyDescent="0.25">
      <c r="A134" s="39" t="s">
        <v>543</v>
      </c>
      <c r="B134" s="39" t="s">
        <v>544</v>
      </c>
      <c r="C134" s="40" t="s">
        <v>280</v>
      </c>
      <c r="D134" s="41">
        <v>615.4</v>
      </c>
      <c r="E134" s="41">
        <v>626.9</v>
      </c>
      <c r="F134" s="41">
        <v>11.5</v>
      </c>
      <c r="G134" s="41">
        <v>1.9</v>
      </c>
      <c r="H134" s="41">
        <v>0.2</v>
      </c>
      <c r="I134" s="41">
        <v>162.6</v>
      </c>
      <c r="J134" s="41">
        <v>192.9</v>
      </c>
      <c r="K134" s="41">
        <v>1.7</v>
      </c>
      <c r="L134" t="s">
        <v>17</v>
      </c>
    </row>
    <row r="135" spans="1:12" x14ac:dyDescent="0.25">
      <c r="A135" s="39" t="s">
        <v>545</v>
      </c>
      <c r="B135" s="39" t="s">
        <v>546</v>
      </c>
      <c r="C135" s="40" t="s">
        <v>283</v>
      </c>
      <c r="D135" s="41">
        <v>329.7</v>
      </c>
      <c r="E135" s="41">
        <v>345.5</v>
      </c>
      <c r="F135" s="41">
        <v>15.8</v>
      </c>
      <c r="G135" s="41">
        <v>4.8</v>
      </c>
      <c r="H135" s="41">
        <v>0.5</v>
      </c>
      <c r="I135" s="41">
        <v>101.1</v>
      </c>
      <c r="J135" s="41">
        <v>129.9</v>
      </c>
      <c r="K135" s="41">
        <v>2.5</v>
      </c>
    </row>
    <row r="136" spans="1:12" x14ac:dyDescent="0.25">
      <c r="A136" s="39" t="s">
        <v>547</v>
      </c>
      <c r="B136" s="39" t="s">
        <v>548</v>
      </c>
      <c r="C136" s="40" t="s">
        <v>280</v>
      </c>
      <c r="D136" s="41">
        <v>285.7</v>
      </c>
      <c r="E136" s="41">
        <v>281.5</v>
      </c>
      <c r="F136" s="41">
        <v>-4.2</v>
      </c>
      <c r="G136" s="41">
        <v>-1.5</v>
      </c>
      <c r="H136" s="41">
        <v>-0.1</v>
      </c>
      <c r="I136" s="41">
        <v>61.8</v>
      </c>
      <c r="J136" s="41">
        <v>64.099999999999994</v>
      </c>
      <c r="K136" s="41">
        <v>0.4</v>
      </c>
    </row>
    <row r="137" spans="1:12" x14ac:dyDescent="0.25">
      <c r="A137" s="39" t="s">
        <v>549</v>
      </c>
      <c r="B137" s="39" t="s">
        <v>550</v>
      </c>
      <c r="C137" s="40" t="s">
        <v>283</v>
      </c>
      <c r="D137" s="41">
        <v>21</v>
      </c>
      <c r="E137" s="41">
        <v>15.7</v>
      </c>
      <c r="F137" s="41">
        <v>-5.3</v>
      </c>
      <c r="G137" s="41">
        <v>-25.3</v>
      </c>
      <c r="H137" s="41">
        <v>-2.9</v>
      </c>
      <c r="I137" s="41">
        <v>7.3</v>
      </c>
      <c r="J137" s="41">
        <v>7.7</v>
      </c>
      <c r="K137" s="41">
        <v>0.6</v>
      </c>
    </row>
    <row r="138" spans="1:12" x14ac:dyDescent="0.25">
      <c r="A138" s="39" t="s">
        <v>551</v>
      </c>
      <c r="B138" s="39" t="s">
        <v>552</v>
      </c>
      <c r="C138" s="40" t="s">
        <v>280</v>
      </c>
      <c r="D138" s="41">
        <v>6145.4</v>
      </c>
      <c r="E138" s="41">
        <v>6354</v>
      </c>
      <c r="F138" s="41">
        <v>208.6</v>
      </c>
      <c r="G138" s="41">
        <v>3.4</v>
      </c>
      <c r="H138" s="41">
        <v>0.3</v>
      </c>
      <c r="I138" s="41">
        <v>2177.5</v>
      </c>
      <c r="J138" s="41">
        <v>2833.4</v>
      </c>
      <c r="K138" s="41">
        <v>2.7</v>
      </c>
      <c r="L138" t="s">
        <v>19</v>
      </c>
    </row>
    <row r="139" spans="1:12" x14ac:dyDescent="0.25">
      <c r="A139" s="39" t="s">
        <v>553</v>
      </c>
      <c r="B139" s="39" t="s">
        <v>554</v>
      </c>
      <c r="C139" s="40" t="s">
        <v>280</v>
      </c>
      <c r="D139" s="41">
        <v>3439.6</v>
      </c>
      <c r="E139" s="41">
        <v>3583</v>
      </c>
      <c r="F139" s="41">
        <v>143.4</v>
      </c>
      <c r="G139" s="41">
        <v>4.2</v>
      </c>
      <c r="H139" s="41">
        <v>0.4</v>
      </c>
      <c r="I139" s="41" t="s">
        <v>284</v>
      </c>
      <c r="J139" s="41" t="s">
        <v>284</v>
      </c>
      <c r="K139" s="41" t="s">
        <v>284</v>
      </c>
    </row>
    <row r="140" spans="1:12" x14ac:dyDescent="0.25">
      <c r="A140" s="39" t="s">
        <v>555</v>
      </c>
      <c r="B140" s="39" t="s">
        <v>556</v>
      </c>
      <c r="C140" s="40" t="s">
        <v>283</v>
      </c>
      <c r="D140" s="41">
        <v>1529.3</v>
      </c>
      <c r="E140" s="41">
        <v>1581.5</v>
      </c>
      <c r="F140" s="41">
        <v>52.2</v>
      </c>
      <c r="G140" s="41">
        <v>3.4</v>
      </c>
      <c r="H140" s="41">
        <v>0.3</v>
      </c>
      <c r="I140" s="41" t="s">
        <v>284</v>
      </c>
      <c r="J140" s="41" t="s">
        <v>284</v>
      </c>
      <c r="K140" s="41" t="s">
        <v>284</v>
      </c>
    </row>
    <row r="141" spans="1:12" x14ac:dyDescent="0.25">
      <c r="A141" s="39" t="s">
        <v>557</v>
      </c>
      <c r="B141" s="39" t="s">
        <v>558</v>
      </c>
      <c r="C141" s="40" t="s">
        <v>283</v>
      </c>
      <c r="D141" s="41">
        <v>381.1</v>
      </c>
      <c r="E141" s="41">
        <v>398.4</v>
      </c>
      <c r="F141" s="41">
        <v>17.3</v>
      </c>
      <c r="G141" s="41">
        <v>4.5</v>
      </c>
      <c r="H141" s="41">
        <v>0.4</v>
      </c>
      <c r="I141" s="41" t="s">
        <v>284</v>
      </c>
      <c r="J141" s="41" t="s">
        <v>284</v>
      </c>
      <c r="K141" s="41" t="s">
        <v>284</v>
      </c>
    </row>
    <row r="142" spans="1:12" x14ac:dyDescent="0.25">
      <c r="A142" s="39" t="s">
        <v>559</v>
      </c>
      <c r="B142" s="39" t="s">
        <v>560</v>
      </c>
      <c r="C142" s="40" t="s">
        <v>283</v>
      </c>
      <c r="D142" s="41">
        <v>751.7</v>
      </c>
      <c r="E142" s="41">
        <v>794.3</v>
      </c>
      <c r="F142" s="41">
        <v>42.6</v>
      </c>
      <c r="G142" s="41">
        <v>5.7</v>
      </c>
      <c r="H142" s="41">
        <v>0.6</v>
      </c>
      <c r="I142" s="41" t="s">
        <v>284</v>
      </c>
      <c r="J142" s="41" t="s">
        <v>284</v>
      </c>
      <c r="K142" s="41" t="s">
        <v>284</v>
      </c>
    </row>
    <row r="143" spans="1:12" x14ac:dyDescent="0.25">
      <c r="A143" s="39" t="s">
        <v>561</v>
      </c>
      <c r="B143" s="39" t="s">
        <v>562</v>
      </c>
      <c r="C143" s="40" t="s">
        <v>280</v>
      </c>
      <c r="D143" s="41">
        <v>777.5</v>
      </c>
      <c r="E143" s="41">
        <v>808.9</v>
      </c>
      <c r="F143" s="41">
        <v>31.4</v>
      </c>
      <c r="G143" s="41">
        <v>4</v>
      </c>
      <c r="H143" s="41">
        <v>0.4</v>
      </c>
      <c r="I143" s="41" t="s">
        <v>284</v>
      </c>
      <c r="J143" s="41" t="s">
        <v>284</v>
      </c>
      <c r="K143" s="41" t="s">
        <v>284</v>
      </c>
    </row>
    <row r="144" spans="1:12" x14ac:dyDescent="0.25">
      <c r="A144" s="39" t="s">
        <v>563</v>
      </c>
      <c r="B144" s="39" t="s">
        <v>564</v>
      </c>
      <c r="C144" s="40" t="s">
        <v>283</v>
      </c>
      <c r="D144" s="41">
        <v>116.7</v>
      </c>
      <c r="E144" s="41">
        <v>116.3</v>
      </c>
      <c r="F144" s="41">
        <v>-0.4</v>
      </c>
      <c r="G144" s="41">
        <v>-0.4</v>
      </c>
      <c r="H144" s="41">
        <v>0</v>
      </c>
      <c r="I144" s="41" t="s">
        <v>284</v>
      </c>
      <c r="J144" s="41" t="s">
        <v>284</v>
      </c>
      <c r="K144" s="41" t="s">
        <v>284</v>
      </c>
    </row>
    <row r="145" spans="1:12" x14ac:dyDescent="0.25">
      <c r="A145" s="39" t="s">
        <v>565</v>
      </c>
      <c r="B145" s="39" t="s">
        <v>566</v>
      </c>
      <c r="C145" s="40" t="s">
        <v>280</v>
      </c>
      <c r="D145" s="41">
        <v>2212.9</v>
      </c>
      <c r="E145" s="41">
        <v>2271.6</v>
      </c>
      <c r="F145" s="41">
        <v>58.7</v>
      </c>
      <c r="G145" s="41">
        <v>2.7</v>
      </c>
      <c r="H145" s="41">
        <v>0.3</v>
      </c>
      <c r="I145" s="41" t="s">
        <v>284</v>
      </c>
      <c r="J145" s="41" t="s">
        <v>284</v>
      </c>
      <c r="K145" s="41" t="s">
        <v>284</v>
      </c>
    </row>
    <row r="146" spans="1:12" x14ac:dyDescent="0.25">
      <c r="A146" s="39" t="s">
        <v>567</v>
      </c>
      <c r="B146" s="39" t="s">
        <v>568</v>
      </c>
      <c r="C146" s="40" t="s">
        <v>283</v>
      </c>
      <c r="D146" s="41">
        <v>1048.3</v>
      </c>
      <c r="E146" s="41">
        <v>1087.2</v>
      </c>
      <c r="F146" s="41">
        <v>38.9</v>
      </c>
      <c r="G146" s="41">
        <v>3.7</v>
      </c>
      <c r="H146" s="41">
        <v>0.4</v>
      </c>
      <c r="I146" s="41" t="s">
        <v>284</v>
      </c>
      <c r="J146" s="41" t="s">
        <v>284</v>
      </c>
      <c r="K146" s="41" t="s">
        <v>284</v>
      </c>
    </row>
    <row r="147" spans="1:12" x14ac:dyDescent="0.25">
      <c r="A147" s="39" t="s">
        <v>569</v>
      </c>
      <c r="B147" s="39" t="s">
        <v>570</v>
      </c>
      <c r="C147" s="40" t="s">
        <v>283</v>
      </c>
      <c r="D147" s="41">
        <v>409.3</v>
      </c>
      <c r="E147" s="41">
        <v>423.8</v>
      </c>
      <c r="F147" s="41">
        <v>14.5</v>
      </c>
      <c r="G147" s="41">
        <v>3.5</v>
      </c>
      <c r="H147" s="41">
        <v>0.3</v>
      </c>
      <c r="I147" s="41" t="s">
        <v>284</v>
      </c>
      <c r="J147" s="41" t="s">
        <v>284</v>
      </c>
      <c r="K147" s="41" t="s">
        <v>284</v>
      </c>
    </row>
    <row r="148" spans="1:12" x14ac:dyDescent="0.25">
      <c r="A148" s="39" t="s">
        <v>571</v>
      </c>
      <c r="B148" s="39" t="s">
        <v>572</v>
      </c>
      <c r="C148" s="40" t="s">
        <v>283</v>
      </c>
      <c r="D148" s="41">
        <v>540</v>
      </c>
      <c r="E148" s="41">
        <v>546.4</v>
      </c>
      <c r="F148" s="41">
        <v>6.4</v>
      </c>
      <c r="G148" s="41">
        <v>1.2</v>
      </c>
      <c r="H148" s="41">
        <v>0.1</v>
      </c>
      <c r="I148" s="41" t="s">
        <v>284</v>
      </c>
      <c r="J148" s="41" t="s">
        <v>284</v>
      </c>
      <c r="K148" s="41" t="s">
        <v>284</v>
      </c>
    </row>
    <row r="149" spans="1:12" x14ac:dyDescent="0.25">
      <c r="A149" s="39" t="s">
        <v>573</v>
      </c>
      <c r="B149" s="39" t="s">
        <v>574</v>
      </c>
      <c r="C149" s="40" t="s">
        <v>283</v>
      </c>
      <c r="D149" s="41">
        <v>141.5</v>
      </c>
      <c r="E149" s="41">
        <v>139.80000000000001</v>
      </c>
      <c r="F149" s="41">
        <v>-1.7</v>
      </c>
      <c r="G149" s="41">
        <v>-1.2</v>
      </c>
      <c r="H149" s="41">
        <v>-0.1</v>
      </c>
      <c r="I149" s="41" t="s">
        <v>284</v>
      </c>
      <c r="J149" s="41" t="s">
        <v>284</v>
      </c>
      <c r="K149" s="41" t="s">
        <v>284</v>
      </c>
    </row>
    <row r="150" spans="1:12" x14ac:dyDescent="0.25">
      <c r="A150" s="39" t="s">
        <v>575</v>
      </c>
      <c r="B150" s="39" t="s">
        <v>576</v>
      </c>
      <c r="C150" s="40" t="s">
        <v>283</v>
      </c>
      <c r="D150" s="41">
        <v>73.8</v>
      </c>
      <c r="E150" s="41">
        <v>74.3</v>
      </c>
      <c r="F150" s="41">
        <v>0.5</v>
      </c>
      <c r="G150" s="41">
        <v>0.7</v>
      </c>
      <c r="H150" s="41">
        <v>0.1</v>
      </c>
      <c r="I150" s="41" t="s">
        <v>284</v>
      </c>
      <c r="J150" s="41" t="s">
        <v>284</v>
      </c>
      <c r="K150" s="41" t="s">
        <v>284</v>
      </c>
    </row>
    <row r="151" spans="1:12" x14ac:dyDescent="0.25">
      <c r="A151" s="39" t="s">
        <v>577</v>
      </c>
      <c r="B151" s="39" t="s">
        <v>578</v>
      </c>
      <c r="C151" s="40" t="s">
        <v>283</v>
      </c>
      <c r="D151" s="41">
        <v>492.9</v>
      </c>
      <c r="E151" s="41">
        <v>499.4</v>
      </c>
      <c r="F151" s="41">
        <v>6.5</v>
      </c>
      <c r="G151" s="41">
        <v>1.3</v>
      </c>
      <c r="H151" s="41">
        <v>0.1</v>
      </c>
      <c r="I151" s="41" t="s">
        <v>284</v>
      </c>
      <c r="J151" s="41" t="s">
        <v>284</v>
      </c>
      <c r="K151" s="41" t="s">
        <v>284</v>
      </c>
    </row>
    <row r="152" spans="1:12" x14ac:dyDescent="0.25">
      <c r="A152" s="39" t="s">
        <v>579</v>
      </c>
      <c r="B152" s="39" t="s">
        <v>580</v>
      </c>
      <c r="C152" s="40" t="s">
        <v>280</v>
      </c>
      <c r="D152" s="41">
        <v>15532</v>
      </c>
      <c r="E152" s="41">
        <v>15350.1</v>
      </c>
      <c r="F152" s="41">
        <v>-181.9</v>
      </c>
      <c r="G152" s="41">
        <v>-1.2</v>
      </c>
      <c r="H152" s="41">
        <v>-0.1</v>
      </c>
      <c r="I152" s="41">
        <v>2210.6999999999998</v>
      </c>
      <c r="J152" s="41">
        <v>2795.2</v>
      </c>
      <c r="K152" s="41">
        <v>2.4</v>
      </c>
      <c r="L152" t="s">
        <v>19</v>
      </c>
    </row>
    <row r="153" spans="1:12" x14ac:dyDescent="0.25">
      <c r="A153" s="39" t="s">
        <v>581</v>
      </c>
      <c r="B153" s="39" t="s">
        <v>582</v>
      </c>
      <c r="C153" s="40" t="s">
        <v>280</v>
      </c>
      <c r="D153" s="41">
        <v>2050.4</v>
      </c>
      <c r="E153" s="41">
        <v>2111.6</v>
      </c>
      <c r="F153" s="41">
        <v>61.2</v>
      </c>
      <c r="G153" s="41">
        <v>3</v>
      </c>
      <c r="H153" s="41">
        <v>0.3</v>
      </c>
      <c r="I153" s="41">
        <v>380.8</v>
      </c>
      <c r="J153" s="41">
        <v>504.8</v>
      </c>
      <c r="K153" s="41">
        <v>2.9</v>
      </c>
    </row>
    <row r="154" spans="1:12" x14ac:dyDescent="0.25">
      <c r="A154" s="39" t="s">
        <v>583</v>
      </c>
      <c r="B154" s="39" t="s">
        <v>584</v>
      </c>
      <c r="C154" s="40" t="s">
        <v>283</v>
      </c>
      <c r="D154" s="41">
        <v>1287.3</v>
      </c>
      <c r="E154" s="41">
        <v>1322.5</v>
      </c>
      <c r="F154" s="41">
        <v>35.200000000000003</v>
      </c>
      <c r="G154" s="41">
        <v>2.7</v>
      </c>
      <c r="H154" s="41">
        <v>0.3</v>
      </c>
      <c r="I154" s="41" t="s">
        <v>284</v>
      </c>
      <c r="J154" s="41" t="s">
        <v>284</v>
      </c>
      <c r="K154" s="41" t="s">
        <v>284</v>
      </c>
    </row>
    <row r="155" spans="1:12" x14ac:dyDescent="0.25">
      <c r="A155" s="39" t="s">
        <v>585</v>
      </c>
      <c r="B155" s="39" t="s">
        <v>586</v>
      </c>
      <c r="C155" s="40" t="s">
        <v>283</v>
      </c>
      <c r="D155" s="41">
        <v>169</v>
      </c>
      <c r="E155" s="41">
        <v>177.4</v>
      </c>
      <c r="F155" s="41">
        <v>8.4</v>
      </c>
      <c r="G155" s="41">
        <v>5</v>
      </c>
      <c r="H155" s="41">
        <v>0.5</v>
      </c>
      <c r="I155" s="41" t="s">
        <v>284</v>
      </c>
      <c r="J155" s="41" t="s">
        <v>284</v>
      </c>
      <c r="K155" s="41" t="s">
        <v>284</v>
      </c>
    </row>
    <row r="156" spans="1:12" x14ac:dyDescent="0.25">
      <c r="A156" s="39" t="s">
        <v>587</v>
      </c>
      <c r="B156" s="39" t="s">
        <v>588</v>
      </c>
      <c r="C156" s="40" t="s">
        <v>283</v>
      </c>
      <c r="D156" s="41">
        <v>594.1</v>
      </c>
      <c r="E156" s="41">
        <v>611.70000000000005</v>
      </c>
      <c r="F156" s="41">
        <v>17.600000000000001</v>
      </c>
      <c r="G156" s="41">
        <v>3</v>
      </c>
      <c r="H156" s="41">
        <v>0.3</v>
      </c>
      <c r="I156" s="41" t="s">
        <v>284</v>
      </c>
      <c r="J156" s="41" t="s">
        <v>284</v>
      </c>
      <c r="K156" s="41" t="s">
        <v>284</v>
      </c>
    </row>
    <row r="157" spans="1:12" x14ac:dyDescent="0.25">
      <c r="A157" s="39" t="s">
        <v>589</v>
      </c>
      <c r="B157" s="39" t="s">
        <v>590</v>
      </c>
      <c r="C157" s="40" t="s">
        <v>280</v>
      </c>
      <c r="D157" s="41">
        <v>3224.5</v>
      </c>
      <c r="E157" s="41">
        <v>3189.7</v>
      </c>
      <c r="F157" s="41">
        <v>-34.799999999999997</v>
      </c>
      <c r="G157" s="41">
        <v>-1.1000000000000001</v>
      </c>
      <c r="H157" s="41">
        <v>-0.1</v>
      </c>
      <c r="I157" s="41">
        <v>265.5</v>
      </c>
      <c r="J157" s="41">
        <v>286.39999999999998</v>
      </c>
      <c r="K157" s="41">
        <v>0.8</v>
      </c>
    </row>
    <row r="158" spans="1:12" x14ac:dyDescent="0.25">
      <c r="A158" s="39" t="s">
        <v>591</v>
      </c>
      <c r="B158" s="39" t="s">
        <v>592</v>
      </c>
      <c r="C158" s="40" t="s">
        <v>283</v>
      </c>
      <c r="D158" s="41">
        <v>3052.4</v>
      </c>
      <c r="E158" s="41">
        <v>3021.6</v>
      </c>
      <c r="F158" s="41">
        <v>-30.8</v>
      </c>
      <c r="G158" s="41">
        <v>-1</v>
      </c>
      <c r="H158" s="41">
        <v>-0.1</v>
      </c>
      <c r="I158" s="41" t="s">
        <v>284</v>
      </c>
      <c r="J158" s="41" t="s">
        <v>284</v>
      </c>
      <c r="K158" s="41" t="s">
        <v>284</v>
      </c>
    </row>
    <row r="159" spans="1:12" x14ac:dyDescent="0.25">
      <c r="A159" s="39" t="s">
        <v>593</v>
      </c>
      <c r="B159" s="39" t="s">
        <v>594</v>
      </c>
      <c r="C159" s="40" t="s">
        <v>283</v>
      </c>
      <c r="D159" s="41">
        <v>172.1</v>
      </c>
      <c r="E159" s="41">
        <v>168.1</v>
      </c>
      <c r="F159" s="41">
        <v>-4</v>
      </c>
      <c r="G159" s="41">
        <v>-2.2999999999999998</v>
      </c>
      <c r="H159" s="41">
        <v>-0.2</v>
      </c>
      <c r="I159" s="41" t="s">
        <v>284</v>
      </c>
      <c r="J159" s="41" t="s">
        <v>284</v>
      </c>
      <c r="K159" s="41" t="s">
        <v>284</v>
      </c>
    </row>
    <row r="160" spans="1:12" x14ac:dyDescent="0.25">
      <c r="A160" s="39" t="s">
        <v>595</v>
      </c>
      <c r="B160" s="39" t="s">
        <v>596</v>
      </c>
      <c r="C160" s="40" t="s">
        <v>283</v>
      </c>
      <c r="D160" s="41">
        <v>3265.5</v>
      </c>
      <c r="E160" s="41">
        <v>3341</v>
      </c>
      <c r="F160" s="41">
        <v>75.5</v>
      </c>
      <c r="G160" s="41">
        <v>2.2999999999999998</v>
      </c>
      <c r="H160" s="41">
        <v>0.2</v>
      </c>
      <c r="I160" s="41">
        <v>252</v>
      </c>
      <c r="J160" s="41">
        <v>285</v>
      </c>
      <c r="K160" s="41">
        <v>1.2</v>
      </c>
    </row>
    <row r="161" spans="1:11" x14ac:dyDescent="0.25">
      <c r="A161" s="39" t="s">
        <v>597</v>
      </c>
      <c r="B161" s="39" t="s">
        <v>598</v>
      </c>
      <c r="C161" s="40" t="s">
        <v>280</v>
      </c>
      <c r="D161" s="41">
        <v>6991.6</v>
      </c>
      <c r="E161" s="41">
        <v>6707.7</v>
      </c>
      <c r="F161" s="41">
        <v>-283.89999999999998</v>
      </c>
      <c r="G161" s="41">
        <v>-4.0999999999999996</v>
      </c>
      <c r="H161" s="41">
        <v>-0.4</v>
      </c>
      <c r="I161" s="41">
        <v>1317</v>
      </c>
      <c r="J161" s="41">
        <v>1732.5</v>
      </c>
      <c r="K161" s="41">
        <v>2.8</v>
      </c>
    </row>
    <row r="162" spans="1:11" x14ac:dyDescent="0.25">
      <c r="A162" s="39" t="s">
        <v>599</v>
      </c>
      <c r="B162" s="39" t="s">
        <v>600</v>
      </c>
      <c r="C162" s="40" t="s">
        <v>280</v>
      </c>
      <c r="D162" s="41">
        <v>1398.9</v>
      </c>
      <c r="E162" s="41">
        <v>1427.4</v>
      </c>
      <c r="F162" s="41">
        <v>28.5</v>
      </c>
      <c r="G162" s="41">
        <v>2</v>
      </c>
      <c r="H162" s="41">
        <v>0.2</v>
      </c>
      <c r="I162" s="41" t="s">
        <v>284</v>
      </c>
      <c r="J162" s="41" t="s">
        <v>284</v>
      </c>
      <c r="K162" s="41" t="s">
        <v>284</v>
      </c>
    </row>
    <row r="163" spans="1:11" x14ac:dyDescent="0.25">
      <c r="A163" s="39" t="s">
        <v>601</v>
      </c>
      <c r="B163" s="39" t="s">
        <v>602</v>
      </c>
      <c r="C163" s="40" t="s">
        <v>283</v>
      </c>
      <c r="D163" s="41">
        <v>1212.0999999999999</v>
      </c>
      <c r="E163" s="41">
        <v>1236.2</v>
      </c>
      <c r="F163" s="41">
        <v>24.1</v>
      </c>
      <c r="G163" s="41">
        <v>2</v>
      </c>
      <c r="H163" s="41">
        <v>0.2</v>
      </c>
      <c r="I163" s="41" t="s">
        <v>284</v>
      </c>
      <c r="J163" s="41" t="s">
        <v>284</v>
      </c>
      <c r="K163" s="41" t="s">
        <v>284</v>
      </c>
    </row>
    <row r="164" spans="1:11" x14ac:dyDescent="0.25">
      <c r="A164" s="39" t="s">
        <v>603</v>
      </c>
      <c r="B164" s="39" t="s">
        <v>604</v>
      </c>
      <c r="C164" s="40" t="s">
        <v>283</v>
      </c>
      <c r="D164" s="41">
        <v>186.8</v>
      </c>
      <c r="E164" s="41">
        <v>191.2</v>
      </c>
      <c r="F164" s="41">
        <v>4.4000000000000004</v>
      </c>
      <c r="G164" s="41">
        <v>2.2999999999999998</v>
      </c>
      <c r="H164" s="41">
        <v>0.2</v>
      </c>
      <c r="I164" s="41" t="s">
        <v>284</v>
      </c>
      <c r="J164" s="41" t="s">
        <v>284</v>
      </c>
      <c r="K164" s="41" t="s">
        <v>284</v>
      </c>
    </row>
    <row r="165" spans="1:11" x14ac:dyDescent="0.25">
      <c r="A165" s="39" t="s">
        <v>605</v>
      </c>
      <c r="B165" s="39" t="s">
        <v>606</v>
      </c>
      <c r="C165" s="40" t="s">
        <v>280</v>
      </c>
      <c r="D165" s="41">
        <v>806.1</v>
      </c>
      <c r="E165" s="41">
        <v>771.4</v>
      </c>
      <c r="F165" s="41">
        <v>-34.700000000000003</v>
      </c>
      <c r="G165" s="41">
        <v>-4.3</v>
      </c>
      <c r="H165" s="41">
        <v>-0.4</v>
      </c>
      <c r="I165" s="41" t="s">
        <v>284</v>
      </c>
      <c r="J165" s="41" t="s">
        <v>284</v>
      </c>
      <c r="K165" s="41" t="s">
        <v>284</v>
      </c>
    </row>
    <row r="166" spans="1:11" x14ac:dyDescent="0.25">
      <c r="A166" s="39" t="s">
        <v>607</v>
      </c>
      <c r="B166" s="39" t="s">
        <v>608</v>
      </c>
      <c r="C166" s="40" t="s">
        <v>283</v>
      </c>
      <c r="D166" s="41">
        <v>409.1</v>
      </c>
      <c r="E166" s="41">
        <v>389</v>
      </c>
      <c r="F166" s="41">
        <v>-20.100000000000001</v>
      </c>
      <c r="G166" s="41">
        <v>-4.9000000000000004</v>
      </c>
      <c r="H166" s="41">
        <v>-0.5</v>
      </c>
      <c r="I166" s="41" t="s">
        <v>284</v>
      </c>
      <c r="J166" s="41" t="s">
        <v>284</v>
      </c>
      <c r="K166" s="41" t="s">
        <v>284</v>
      </c>
    </row>
    <row r="167" spans="1:11" x14ac:dyDescent="0.25">
      <c r="A167" s="39" t="s">
        <v>609</v>
      </c>
      <c r="B167" s="39" t="s">
        <v>610</v>
      </c>
      <c r="C167" s="40" t="s">
        <v>283</v>
      </c>
      <c r="D167" s="41">
        <v>397</v>
      </c>
      <c r="E167" s="41">
        <v>382.3</v>
      </c>
      <c r="F167" s="41">
        <v>-14.7</v>
      </c>
      <c r="G167" s="41">
        <v>-3.7</v>
      </c>
      <c r="H167" s="41">
        <v>-0.4</v>
      </c>
      <c r="I167" s="41" t="s">
        <v>284</v>
      </c>
      <c r="J167" s="41" t="s">
        <v>284</v>
      </c>
      <c r="K167" s="41" t="s">
        <v>284</v>
      </c>
    </row>
    <row r="168" spans="1:11" x14ac:dyDescent="0.25">
      <c r="A168" s="39" t="s">
        <v>611</v>
      </c>
      <c r="B168" s="39" t="s">
        <v>612</v>
      </c>
      <c r="C168" s="40" t="s">
        <v>280</v>
      </c>
      <c r="D168" s="41">
        <v>1088.9000000000001</v>
      </c>
      <c r="E168" s="41">
        <v>1097.4000000000001</v>
      </c>
      <c r="F168" s="41">
        <v>8.5</v>
      </c>
      <c r="G168" s="41">
        <v>0.8</v>
      </c>
      <c r="H168" s="41">
        <v>0.1</v>
      </c>
      <c r="I168" s="41" t="s">
        <v>284</v>
      </c>
      <c r="J168" s="41" t="s">
        <v>284</v>
      </c>
      <c r="K168" s="41" t="s">
        <v>284</v>
      </c>
    </row>
    <row r="169" spans="1:11" x14ac:dyDescent="0.25">
      <c r="A169" s="39" t="s">
        <v>613</v>
      </c>
      <c r="B169" s="39" t="s">
        <v>614</v>
      </c>
      <c r="C169" s="40" t="s">
        <v>280</v>
      </c>
      <c r="D169" s="41">
        <v>1088.9000000000001</v>
      </c>
      <c r="E169" s="41">
        <v>1097.4000000000001</v>
      </c>
      <c r="F169" s="41">
        <v>8.5</v>
      </c>
      <c r="G169" s="41">
        <v>0.8</v>
      </c>
      <c r="H169" s="41">
        <v>0.1</v>
      </c>
      <c r="I169" s="41" t="s">
        <v>284</v>
      </c>
      <c r="J169" s="41" t="s">
        <v>284</v>
      </c>
      <c r="K169" s="41" t="s">
        <v>284</v>
      </c>
    </row>
    <row r="170" spans="1:11" x14ac:dyDescent="0.25">
      <c r="A170" s="39" t="s">
        <v>615</v>
      </c>
      <c r="B170" s="39" t="s">
        <v>616</v>
      </c>
      <c r="C170" s="40" t="s">
        <v>283</v>
      </c>
      <c r="D170" s="41">
        <v>709.8</v>
      </c>
      <c r="E170" s="41">
        <v>698.3</v>
      </c>
      <c r="F170" s="41">
        <v>-11.5</v>
      </c>
      <c r="G170" s="41">
        <v>-1.6</v>
      </c>
      <c r="H170" s="41">
        <v>-0.2</v>
      </c>
      <c r="I170" s="41" t="s">
        <v>284</v>
      </c>
      <c r="J170" s="41" t="s">
        <v>284</v>
      </c>
      <c r="K170" s="41" t="s">
        <v>284</v>
      </c>
    </row>
    <row r="171" spans="1:11" x14ac:dyDescent="0.25">
      <c r="A171" s="39" t="s">
        <v>617</v>
      </c>
      <c r="B171" s="39" t="s">
        <v>618</v>
      </c>
      <c r="C171" s="40" t="s">
        <v>280</v>
      </c>
      <c r="D171" s="41">
        <v>1053.7</v>
      </c>
      <c r="E171" s="41">
        <v>908.9</v>
      </c>
      <c r="F171" s="41">
        <v>-144.80000000000001</v>
      </c>
      <c r="G171" s="41">
        <v>-13.7</v>
      </c>
      <c r="H171" s="41">
        <v>-1.5</v>
      </c>
      <c r="I171" s="41" t="s">
        <v>284</v>
      </c>
      <c r="J171" s="41" t="s">
        <v>284</v>
      </c>
      <c r="K171" s="41" t="s">
        <v>284</v>
      </c>
    </row>
    <row r="172" spans="1:11" x14ac:dyDescent="0.25">
      <c r="A172" s="39" t="s">
        <v>619</v>
      </c>
      <c r="B172" s="39" t="s">
        <v>620</v>
      </c>
      <c r="C172" s="40" t="s">
        <v>283</v>
      </c>
      <c r="D172" s="41">
        <v>983.4</v>
      </c>
      <c r="E172" s="41">
        <v>845.2</v>
      </c>
      <c r="F172" s="41">
        <v>-138.19999999999999</v>
      </c>
      <c r="G172" s="41">
        <v>-14.1</v>
      </c>
      <c r="H172" s="41">
        <v>-1.5</v>
      </c>
      <c r="I172" s="41" t="s">
        <v>284</v>
      </c>
      <c r="J172" s="41" t="s">
        <v>284</v>
      </c>
      <c r="K172" s="41" t="s">
        <v>284</v>
      </c>
    </row>
    <row r="173" spans="1:11" x14ac:dyDescent="0.25">
      <c r="A173" s="39" t="s">
        <v>621</v>
      </c>
      <c r="B173" s="39" t="s">
        <v>622</v>
      </c>
      <c r="C173" s="40" t="s">
        <v>283</v>
      </c>
      <c r="D173" s="41">
        <v>70.3</v>
      </c>
      <c r="E173" s="41">
        <v>63.7</v>
      </c>
      <c r="F173" s="41">
        <v>-6.6</v>
      </c>
      <c r="G173" s="41">
        <v>-9.4</v>
      </c>
      <c r="H173" s="41">
        <v>-1</v>
      </c>
      <c r="I173" s="41" t="s">
        <v>284</v>
      </c>
      <c r="J173" s="41" t="s">
        <v>284</v>
      </c>
      <c r="K173" s="41" t="s">
        <v>284</v>
      </c>
    </row>
    <row r="174" spans="1:11" x14ac:dyDescent="0.25">
      <c r="A174" s="39" t="s">
        <v>623</v>
      </c>
      <c r="B174" s="39" t="s">
        <v>624</v>
      </c>
      <c r="C174" s="40" t="s">
        <v>280</v>
      </c>
      <c r="D174" s="41">
        <v>1136.2</v>
      </c>
      <c r="E174" s="41">
        <v>1104.8</v>
      </c>
      <c r="F174" s="41">
        <v>-31.4</v>
      </c>
      <c r="G174" s="41">
        <v>-2.8</v>
      </c>
      <c r="H174" s="41">
        <v>-0.3</v>
      </c>
      <c r="I174" s="41" t="s">
        <v>284</v>
      </c>
      <c r="J174" s="41" t="s">
        <v>284</v>
      </c>
      <c r="K174" s="41" t="s">
        <v>284</v>
      </c>
    </row>
    <row r="175" spans="1:11" x14ac:dyDescent="0.25">
      <c r="A175" s="39" t="s">
        <v>625</v>
      </c>
      <c r="B175" s="39" t="s">
        <v>626</v>
      </c>
      <c r="C175" s="40" t="s">
        <v>283</v>
      </c>
      <c r="D175" s="41">
        <v>841.3</v>
      </c>
      <c r="E175" s="41">
        <v>824.4</v>
      </c>
      <c r="F175" s="41">
        <v>-16.899999999999999</v>
      </c>
      <c r="G175" s="41">
        <v>-2</v>
      </c>
      <c r="H175" s="41">
        <v>-0.2</v>
      </c>
      <c r="I175" s="41" t="s">
        <v>284</v>
      </c>
      <c r="J175" s="41" t="s">
        <v>284</v>
      </c>
      <c r="K175" s="41" t="s">
        <v>284</v>
      </c>
    </row>
    <row r="176" spans="1:11" x14ac:dyDescent="0.25">
      <c r="A176" s="39" t="s">
        <v>627</v>
      </c>
      <c r="B176" s="39" t="s">
        <v>628</v>
      </c>
      <c r="C176" s="40" t="s">
        <v>283</v>
      </c>
      <c r="D176" s="41">
        <v>169.9</v>
      </c>
      <c r="E176" s="41">
        <v>163</v>
      </c>
      <c r="F176" s="41">
        <v>-6.9</v>
      </c>
      <c r="G176" s="41">
        <v>-4.0999999999999996</v>
      </c>
      <c r="H176" s="41">
        <v>-0.4</v>
      </c>
      <c r="I176" s="41" t="s">
        <v>284</v>
      </c>
      <c r="J176" s="41" t="s">
        <v>284</v>
      </c>
      <c r="K176" s="41" t="s">
        <v>284</v>
      </c>
    </row>
    <row r="177" spans="1:12" x14ac:dyDescent="0.25">
      <c r="A177" s="39" t="s">
        <v>629</v>
      </c>
      <c r="B177" s="39" t="s">
        <v>630</v>
      </c>
      <c r="C177" s="40" t="s">
        <v>283</v>
      </c>
      <c r="D177" s="41">
        <v>125</v>
      </c>
      <c r="E177" s="41">
        <v>117.4</v>
      </c>
      <c r="F177" s="41">
        <v>-7.6</v>
      </c>
      <c r="G177" s="41">
        <v>-6.1</v>
      </c>
      <c r="H177" s="41">
        <v>-0.6</v>
      </c>
      <c r="I177" s="41" t="s">
        <v>284</v>
      </c>
      <c r="J177" s="41" t="s">
        <v>284</v>
      </c>
      <c r="K177" s="41" t="s">
        <v>284</v>
      </c>
    </row>
    <row r="178" spans="1:12" x14ac:dyDescent="0.25">
      <c r="A178" s="39" t="s">
        <v>631</v>
      </c>
      <c r="B178" s="39" t="s">
        <v>632</v>
      </c>
      <c r="C178" s="40" t="s">
        <v>280</v>
      </c>
      <c r="D178" s="41">
        <v>1507.8</v>
      </c>
      <c r="E178" s="41">
        <v>1397.9</v>
      </c>
      <c r="F178" s="41">
        <v>-109.9</v>
      </c>
      <c r="G178" s="41">
        <v>-7.3</v>
      </c>
      <c r="H178" s="41">
        <v>-0.8</v>
      </c>
      <c r="I178" s="41" t="s">
        <v>284</v>
      </c>
      <c r="J178" s="41" t="s">
        <v>284</v>
      </c>
      <c r="K178" s="41" t="s">
        <v>284</v>
      </c>
    </row>
    <row r="179" spans="1:12" x14ac:dyDescent="0.25">
      <c r="A179" s="39" t="s">
        <v>633</v>
      </c>
      <c r="B179" s="39" t="s">
        <v>634</v>
      </c>
      <c r="C179" s="40" t="s">
        <v>283</v>
      </c>
      <c r="D179" s="41">
        <v>299.2</v>
      </c>
      <c r="E179" s="41">
        <v>281.7</v>
      </c>
      <c r="F179" s="41">
        <v>-17.5</v>
      </c>
      <c r="G179" s="41">
        <v>-5.8</v>
      </c>
      <c r="H179" s="41">
        <v>-0.6</v>
      </c>
      <c r="I179" s="41" t="s">
        <v>284</v>
      </c>
      <c r="J179" s="41" t="s">
        <v>284</v>
      </c>
      <c r="K179" s="41" t="s">
        <v>284</v>
      </c>
    </row>
    <row r="180" spans="1:12" x14ac:dyDescent="0.25">
      <c r="A180" s="39" t="s">
        <v>635</v>
      </c>
      <c r="B180" s="39" t="s">
        <v>636</v>
      </c>
      <c r="C180" s="40" t="s">
        <v>283</v>
      </c>
      <c r="D180" s="41">
        <v>65.8</v>
      </c>
      <c r="E180" s="41">
        <v>57</v>
      </c>
      <c r="F180" s="41">
        <v>-8.8000000000000007</v>
      </c>
      <c r="G180" s="41">
        <v>-13.4</v>
      </c>
      <c r="H180" s="41">
        <v>-1.4</v>
      </c>
      <c r="I180" s="41" t="s">
        <v>284</v>
      </c>
      <c r="J180" s="41" t="s">
        <v>284</v>
      </c>
      <c r="K180" s="41" t="s">
        <v>284</v>
      </c>
    </row>
    <row r="181" spans="1:12" x14ac:dyDescent="0.25">
      <c r="A181" s="39" t="s">
        <v>637</v>
      </c>
      <c r="B181" s="39" t="s">
        <v>638</v>
      </c>
      <c r="C181" s="40" t="s">
        <v>283</v>
      </c>
      <c r="D181" s="41">
        <v>59</v>
      </c>
      <c r="E181" s="41">
        <v>53.7</v>
      </c>
      <c r="F181" s="41">
        <v>-5.3</v>
      </c>
      <c r="G181" s="41">
        <v>-9</v>
      </c>
      <c r="H181" s="41">
        <v>-0.9</v>
      </c>
      <c r="I181" s="41" t="s">
        <v>284</v>
      </c>
      <c r="J181" s="41" t="s">
        <v>284</v>
      </c>
      <c r="K181" s="41" t="s">
        <v>284</v>
      </c>
    </row>
    <row r="182" spans="1:12" x14ac:dyDescent="0.25">
      <c r="A182" s="39" t="s">
        <v>639</v>
      </c>
      <c r="B182" s="39" t="s">
        <v>640</v>
      </c>
      <c r="C182" s="40" t="s">
        <v>283</v>
      </c>
      <c r="D182" s="41">
        <v>406.4</v>
      </c>
      <c r="E182" s="41">
        <v>366.9</v>
      </c>
      <c r="F182" s="41">
        <v>-39.5</v>
      </c>
      <c r="G182" s="41">
        <v>-9.6999999999999993</v>
      </c>
      <c r="H182" s="41">
        <v>-1</v>
      </c>
      <c r="I182" s="41" t="s">
        <v>284</v>
      </c>
      <c r="J182" s="41" t="s">
        <v>284</v>
      </c>
      <c r="K182" s="41" t="s">
        <v>284</v>
      </c>
    </row>
    <row r="183" spans="1:12" x14ac:dyDescent="0.25">
      <c r="A183" s="39" t="s">
        <v>641</v>
      </c>
      <c r="B183" s="39" t="s">
        <v>642</v>
      </c>
      <c r="C183" s="40" t="s">
        <v>283</v>
      </c>
      <c r="D183" s="41">
        <v>487.7</v>
      </c>
      <c r="E183" s="41">
        <v>474.2</v>
      </c>
      <c r="F183" s="41">
        <v>-13.5</v>
      </c>
      <c r="G183" s="41">
        <v>-2.8</v>
      </c>
      <c r="H183" s="41">
        <v>-0.3</v>
      </c>
      <c r="I183" s="41" t="s">
        <v>284</v>
      </c>
      <c r="J183" s="41" t="s">
        <v>284</v>
      </c>
      <c r="K183" s="41" t="s">
        <v>284</v>
      </c>
    </row>
    <row r="184" spans="1:12" x14ac:dyDescent="0.25">
      <c r="A184" s="39" t="s">
        <v>643</v>
      </c>
      <c r="B184" s="39" t="s">
        <v>644</v>
      </c>
      <c r="C184" s="40" t="s">
        <v>280</v>
      </c>
      <c r="D184" s="41">
        <v>6654.5</v>
      </c>
      <c r="E184" s="41">
        <v>6853.3</v>
      </c>
      <c r="F184" s="41">
        <v>198.8</v>
      </c>
      <c r="G184" s="41">
        <v>3</v>
      </c>
      <c r="H184" s="41">
        <v>0.3</v>
      </c>
      <c r="I184" s="41">
        <v>1382</v>
      </c>
      <c r="J184" s="41">
        <v>1720.3</v>
      </c>
      <c r="K184" s="41">
        <v>2.2000000000000002</v>
      </c>
      <c r="L184" t="s">
        <v>20</v>
      </c>
    </row>
    <row r="185" spans="1:12" x14ac:dyDescent="0.25">
      <c r="A185" s="39" t="s">
        <v>645</v>
      </c>
      <c r="B185" s="39" t="s">
        <v>646</v>
      </c>
      <c r="C185" s="40" t="s">
        <v>280</v>
      </c>
      <c r="D185" s="41">
        <v>564.4</v>
      </c>
      <c r="E185" s="41">
        <v>589.9</v>
      </c>
      <c r="F185" s="41">
        <v>25.5</v>
      </c>
      <c r="G185" s="41">
        <v>4.5</v>
      </c>
      <c r="H185" s="41">
        <v>0.4</v>
      </c>
      <c r="I185" s="41">
        <v>281.60000000000002</v>
      </c>
      <c r="J185" s="41">
        <v>353.6</v>
      </c>
      <c r="K185" s="41">
        <v>2.2999999999999998</v>
      </c>
    </row>
    <row r="186" spans="1:12" x14ac:dyDescent="0.25">
      <c r="A186" s="39" t="s">
        <v>647</v>
      </c>
      <c r="B186" s="39" t="s">
        <v>648</v>
      </c>
      <c r="C186" s="40" t="s">
        <v>283</v>
      </c>
      <c r="D186" s="41">
        <v>504.5</v>
      </c>
      <c r="E186" s="41">
        <v>526.4</v>
      </c>
      <c r="F186" s="41">
        <v>21.9</v>
      </c>
      <c r="G186" s="41">
        <v>4.3</v>
      </c>
      <c r="H186" s="41">
        <v>0.4</v>
      </c>
      <c r="I186" s="41" t="s">
        <v>284</v>
      </c>
      <c r="J186" s="41" t="s">
        <v>284</v>
      </c>
      <c r="K186" s="41" t="s">
        <v>284</v>
      </c>
    </row>
    <row r="187" spans="1:12" x14ac:dyDescent="0.25">
      <c r="A187" s="39" t="s">
        <v>649</v>
      </c>
      <c r="B187" s="39" t="s">
        <v>650</v>
      </c>
      <c r="C187" s="40" t="s">
        <v>283</v>
      </c>
      <c r="D187" s="41">
        <v>59.9</v>
      </c>
      <c r="E187" s="41">
        <v>63.4</v>
      </c>
      <c r="F187" s="41">
        <v>3.5</v>
      </c>
      <c r="G187" s="41">
        <v>5.9</v>
      </c>
      <c r="H187" s="41">
        <v>0.6</v>
      </c>
      <c r="I187" s="41" t="s">
        <v>284</v>
      </c>
      <c r="J187" s="41" t="s">
        <v>284</v>
      </c>
      <c r="K187" s="41" t="s">
        <v>284</v>
      </c>
    </row>
    <row r="188" spans="1:12" x14ac:dyDescent="0.25">
      <c r="A188" s="39" t="s">
        <v>651</v>
      </c>
      <c r="B188" s="39" t="s">
        <v>652</v>
      </c>
      <c r="C188" s="40" t="s">
        <v>283</v>
      </c>
      <c r="D188" s="41">
        <v>156.4</v>
      </c>
      <c r="E188" s="41">
        <v>157.1</v>
      </c>
      <c r="F188" s="41">
        <v>0.7</v>
      </c>
      <c r="G188" s="41">
        <v>0.4</v>
      </c>
      <c r="H188" s="41">
        <v>0</v>
      </c>
      <c r="I188" s="41">
        <v>71.5</v>
      </c>
      <c r="J188" s="41">
        <v>81.2</v>
      </c>
      <c r="K188" s="41">
        <v>1.3</v>
      </c>
    </row>
    <row r="189" spans="1:12" x14ac:dyDescent="0.25">
      <c r="A189" s="39" t="s">
        <v>653</v>
      </c>
      <c r="B189" s="39" t="s">
        <v>654</v>
      </c>
      <c r="C189" s="40" t="s">
        <v>280</v>
      </c>
      <c r="D189" s="41">
        <v>70</v>
      </c>
      <c r="E189" s="41">
        <v>71.400000000000006</v>
      </c>
      <c r="F189" s="41">
        <v>1.4</v>
      </c>
      <c r="G189" s="41">
        <v>2</v>
      </c>
      <c r="H189" s="41">
        <v>0.2</v>
      </c>
      <c r="I189" s="41">
        <v>55.6</v>
      </c>
      <c r="J189" s="41">
        <v>68.5</v>
      </c>
      <c r="K189" s="41">
        <v>2.1</v>
      </c>
    </row>
    <row r="190" spans="1:12" x14ac:dyDescent="0.25">
      <c r="A190" s="39" t="s">
        <v>655</v>
      </c>
      <c r="B190" s="39" t="s">
        <v>656</v>
      </c>
      <c r="C190" s="40" t="s">
        <v>283</v>
      </c>
      <c r="D190" s="41">
        <v>41.5</v>
      </c>
      <c r="E190" s="41">
        <v>42.3</v>
      </c>
      <c r="F190" s="41">
        <v>0.8</v>
      </c>
      <c r="G190" s="41">
        <v>2</v>
      </c>
      <c r="H190" s="41">
        <v>0.2</v>
      </c>
      <c r="I190" s="41" t="s">
        <v>284</v>
      </c>
      <c r="J190" s="41" t="s">
        <v>284</v>
      </c>
      <c r="K190" s="41" t="s">
        <v>284</v>
      </c>
    </row>
    <row r="191" spans="1:12" x14ac:dyDescent="0.25">
      <c r="A191" s="39" t="s">
        <v>657</v>
      </c>
      <c r="B191" s="39" t="s">
        <v>658</v>
      </c>
      <c r="C191" s="40" t="s">
        <v>283</v>
      </c>
      <c r="D191" s="41">
        <v>28.5</v>
      </c>
      <c r="E191" s="41">
        <v>29</v>
      </c>
      <c r="F191" s="41">
        <v>0.5</v>
      </c>
      <c r="G191" s="41">
        <v>1.9</v>
      </c>
      <c r="H191" s="41">
        <v>0.2</v>
      </c>
      <c r="I191" s="41" t="s">
        <v>284</v>
      </c>
      <c r="J191" s="41" t="s">
        <v>284</v>
      </c>
      <c r="K191" s="41" t="s">
        <v>284</v>
      </c>
    </row>
    <row r="192" spans="1:12" x14ac:dyDescent="0.25">
      <c r="A192" s="39" t="s">
        <v>659</v>
      </c>
      <c r="B192" s="39" t="s">
        <v>660</v>
      </c>
      <c r="C192" s="40" t="s">
        <v>283</v>
      </c>
      <c r="D192" s="41">
        <v>1522.1</v>
      </c>
      <c r="E192" s="41">
        <v>1543.1</v>
      </c>
      <c r="F192" s="41">
        <v>21</v>
      </c>
      <c r="G192" s="41">
        <v>1.4</v>
      </c>
      <c r="H192" s="41">
        <v>0.1</v>
      </c>
      <c r="I192" s="41">
        <v>391.5</v>
      </c>
      <c r="J192" s="41">
        <v>487.1</v>
      </c>
      <c r="K192" s="41">
        <v>2.2000000000000002</v>
      </c>
    </row>
    <row r="193" spans="1:11" x14ac:dyDescent="0.25">
      <c r="A193" s="39" t="s">
        <v>661</v>
      </c>
      <c r="B193" s="39" t="s">
        <v>662</v>
      </c>
      <c r="C193" s="40" t="s">
        <v>280</v>
      </c>
      <c r="D193" s="41">
        <v>472.6</v>
      </c>
      <c r="E193" s="41">
        <v>488.6</v>
      </c>
      <c r="F193" s="41">
        <v>16</v>
      </c>
      <c r="G193" s="41">
        <v>3.4</v>
      </c>
      <c r="H193" s="41">
        <v>0.3</v>
      </c>
      <c r="I193" s="41">
        <v>157.80000000000001</v>
      </c>
      <c r="J193" s="41">
        <v>178.6</v>
      </c>
      <c r="K193" s="41">
        <v>1.2</v>
      </c>
    </row>
    <row r="194" spans="1:11" x14ac:dyDescent="0.25">
      <c r="A194" s="39" t="s">
        <v>663</v>
      </c>
      <c r="B194" s="39" t="s">
        <v>664</v>
      </c>
      <c r="C194" s="40" t="s">
        <v>283</v>
      </c>
      <c r="D194" s="41">
        <v>48</v>
      </c>
      <c r="E194" s="41">
        <v>49.8</v>
      </c>
      <c r="F194" s="41">
        <v>1.9</v>
      </c>
      <c r="G194" s="41">
        <v>3.9</v>
      </c>
      <c r="H194" s="41">
        <v>0.4</v>
      </c>
      <c r="I194" s="41" t="s">
        <v>284</v>
      </c>
      <c r="J194" s="41" t="s">
        <v>284</v>
      </c>
      <c r="K194" s="41" t="s">
        <v>284</v>
      </c>
    </row>
    <row r="195" spans="1:11" x14ac:dyDescent="0.25">
      <c r="A195" s="39" t="s">
        <v>665</v>
      </c>
      <c r="B195" s="39" t="s">
        <v>666</v>
      </c>
      <c r="C195" s="40" t="s">
        <v>283</v>
      </c>
      <c r="D195" s="41">
        <v>16.2</v>
      </c>
      <c r="E195" s="41">
        <v>16.600000000000001</v>
      </c>
      <c r="F195" s="41">
        <v>0.5</v>
      </c>
      <c r="G195" s="41">
        <v>2.8</v>
      </c>
      <c r="H195" s="41">
        <v>0.2</v>
      </c>
      <c r="I195" s="41" t="s">
        <v>284</v>
      </c>
      <c r="J195" s="41" t="s">
        <v>284</v>
      </c>
      <c r="K195" s="41" t="s">
        <v>284</v>
      </c>
    </row>
    <row r="196" spans="1:11" x14ac:dyDescent="0.25">
      <c r="A196" s="39" t="s">
        <v>667</v>
      </c>
      <c r="B196" s="39" t="s">
        <v>668</v>
      </c>
      <c r="C196" s="40" t="s">
        <v>283</v>
      </c>
      <c r="D196" s="41">
        <v>71.2</v>
      </c>
      <c r="E196" s="41">
        <v>67.900000000000006</v>
      </c>
      <c r="F196" s="41">
        <v>-3.3</v>
      </c>
      <c r="G196" s="41">
        <v>-4.5999999999999996</v>
      </c>
      <c r="H196" s="41">
        <v>-0.5</v>
      </c>
      <c r="I196" s="41" t="s">
        <v>284</v>
      </c>
      <c r="J196" s="41" t="s">
        <v>284</v>
      </c>
      <c r="K196" s="41" t="s">
        <v>284</v>
      </c>
    </row>
    <row r="197" spans="1:11" x14ac:dyDescent="0.25">
      <c r="A197" s="39" t="s">
        <v>669</v>
      </c>
      <c r="B197" s="39" t="s">
        <v>670</v>
      </c>
      <c r="C197" s="40" t="s">
        <v>283</v>
      </c>
      <c r="D197" s="41">
        <v>203</v>
      </c>
      <c r="E197" s="41">
        <v>208.4</v>
      </c>
      <c r="F197" s="41">
        <v>5.4</v>
      </c>
      <c r="G197" s="41">
        <v>2.7</v>
      </c>
      <c r="H197" s="41">
        <v>0.3</v>
      </c>
      <c r="I197" s="41" t="s">
        <v>284</v>
      </c>
      <c r="J197" s="41" t="s">
        <v>284</v>
      </c>
      <c r="K197" s="41" t="s">
        <v>284</v>
      </c>
    </row>
    <row r="198" spans="1:11" x14ac:dyDescent="0.25">
      <c r="A198" s="39" t="s">
        <v>671</v>
      </c>
      <c r="B198" s="39" t="s">
        <v>672</v>
      </c>
      <c r="C198" s="40" t="s">
        <v>283</v>
      </c>
      <c r="D198" s="41">
        <v>24.1</v>
      </c>
      <c r="E198" s="41">
        <v>24.9</v>
      </c>
      <c r="F198" s="41">
        <v>0.9</v>
      </c>
      <c r="G198" s="41">
        <v>3.5</v>
      </c>
      <c r="H198" s="41">
        <v>0.3</v>
      </c>
      <c r="I198" s="41" t="s">
        <v>284</v>
      </c>
      <c r="J198" s="41" t="s">
        <v>284</v>
      </c>
      <c r="K198" s="41" t="s">
        <v>284</v>
      </c>
    </row>
    <row r="199" spans="1:11" x14ac:dyDescent="0.25">
      <c r="A199" s="39" t="s">
        <v>673</v>
      </c>
      <c r="B199" s="39" t="s">
        <v>674</v>
      </c>
      <c r="C199" s="40" t="s">
        <v>283</v>
      </c>
      <c r="D199" s="41">
        <v>110.2</v>
      </c>
      <c r="E199" s="41">
        <v>120.9</v>
      </c>
      <c r="F199" s="41">
        <v>10.7</v>
      </c>
      <c r="G199" s="41">
        <v>9.6999999999999993</v>
      </c>
      <c r="H199" s="41">
        <v>0.9</v>
      </c>
      <c r="I199" s="41" t="s">
        <v>284</v>
      </c>
      <c r="J199" s="41" t="s">
        <v>284</v>
      </c>
      <c r="K199" s="41" t="s">
        <v>284</v>
      </c>
    </row>
    <row r="200" spans="1:11" x14ac:dyDescent="0.25">
      <c r="A200" s="39" t="s">
        <v>675</v>
      </c>
      <c r="B200" s="39" t="s">
        <v>676</v>
      </c>
      <c r="C200" s="40" t="s">
        <v>280</v>
      </c>
      <c r="D200" s="41">
        <v>55.4</v>
      </c>
      <c r="E200" s="41">
        <v>57.9</v>
      </c>
      <c r="F200" s="41">
        <v>2.5</v>
      </c>
      <c r="G200" s="41">
        <v>4.4000000000000004</v>
      </c>
      <c r="H200" s="41">
        <v>0.4</v>
      </c>
      <c r="I200" s="41">
        <v>52.8</v>
      </c>
      <c r="J200" s="41">
        <v>62.5</v>
      </c>
      <c r="K200" s="41">
        <v>1.7</v>
      </c>
    </row>
    <row r="201" spans="1:11" x14ac:dyDescent="0.25">
      <c r="A201" s="39" t="s">
        <v>677</v>
      </c>
      <c r="B201" s="39" t="s">
        <v>678</v>
      </c>
      <c r="C201" s="40" t="s">
        <v>283</v>
      </c>
      <c r="D201" s="41">
        <v>12.6</v>
      </c>
      <c r="E201" s="41">
        <v>13</v>
      </c>
      <c r="F201" s="41">
        <v>0.4</v>
      </c>
      <c r="G201" s="41">
        <v>3.2</v>
      </c>
      <c r="H201" s="41">
        <v>0.3</v>
      </c>
      <c r="I201" s="41" t="s">
        <v>284</v>
      </c>
      <c r="J201" s="41" t="s">
        <v>284</v>
      </c>
      <c r="K201" s="41" t="s">
        <v>284</v>
      </c>
    </row>
    <row r="202" spans="1:11" x14ac:dyDescent="0.25">
      <c r="A202" s="39" t="s">
        <v>679</v>
      </c>
      <c r="B202" s="39" t="s">
        <v>680</v>
      </c>
      <c r="C202" s="40" t="s">
        <v>283</v>
      </c>
      <c r="D202" s="41">
        <v>35.200000000000003</v>
      </c>
      <c r="E202" s="41">
        <v>37.1</v>
      </c>
      <c r="F202" s="41">
        <v>1.9</v>
      </c>
      <c r="G202" s="41">
        <v>5.5</v>
      </c>
      <c r="H202" s="41">
        <v>0.5</v>
      </c>
      <c r="I202" s="41" t="s">
        <v>284</v>
      </c>
      <c r="J202" s="41" t="s">
        <v>284</v>
      </c>
      <c r="K202" s="41" t="s">
        <v>284</v>
      </c>
    </row>
    <row r="203" spans="1:11" x14ac:dyDescent="0.25">
      <c r="A203" s="39" t="s">
        <v>681</v>
      </c>
      <c r="B203" s="39" t="s">
        <v>682</v>
      </c>
      <c r="C203" s="40" t="s">
        <v>283</v>
      </c>
      <c r="D203" s="41">
        <v>7.6</v>
      </c>
      <c r="E203" s="41">
        <v>7.8</v>
      </c>
      <c r="F203" s="41">
        <v>0.1</v>
      </c>
      <c r="G203" s="41">
        <v>1.5</v>
      </c>
      <c r="H203" s="41">
        <v>0.3</v>
      </c>
      <c r="I203" s="41" t="s">
        <v>284</v>
      </c>
      <c r="J203" s="41" t="s">
        <v>284</v>
      </c>
      <c r="K203" s="41" t="s">
        <v>284</v>
      </c>
    </row>
    <row r="204" spans="1:11" x14ac:dyDescent="0.25">
      <c r="A204" s="39" t="s">
        <v>683</v>
      </c>
      <c r="B204" s="39" t="s">
        <v>684</v>
      </c>
      <c r="C204" s="40" t="s">
        <v>280</v>
      </c>
      <c r="D204" s="41">
        <v>868.1</v>
      </c>
      <c r="E204" s="41">
        <v>914.9</v>
      </c>
      <c r="F204" s="41">
        <v>46.8</v>
      </c>
      <c r="G204" s="41">
        <v>5.4</v>
      </c>
      <c r="H204" s="41">
        <v>0.5</v>
      </c>
      <c r="I204" s="41">
        <v>165.5</v>
      </c>
      <c r="J204" s="41">
        <v>218.6</v>
      </c>
      <c r="K204" s="41">
        <v>2.8</v>
      </c>
    </row>
    <row r="205" spans="1:11" x14ac:dyDescent="0.25">
      <c r="A205" s="39" t="s">
        <v>685</v>
      </c>
      <c r="B205" s="39" t="s">
        <v>686</v>
      </c>
      <c r="C205" s="40" t="s">
        <v>280</v>
      </c>
      <c r="D205" s="41">
        <v>31.1</v>
      </c>
      <c r="E205" s="41">
        <v>31.6</v>
      </c>
      <c r="F205" s="41">
        <v>0.5</v>
      </c>
      <c r="G205" s="41">
        <v>1.5</v>
      </c>
      <c r="H205" s="41">
        <v>0.2</v>
      </c>
      <c r="I205" s="41" t="s">
        <v>284</v>
      </c>
      <c r="J205" s="41" t="s">
        <v>284</v>
      </c>
      <c r="K205" s="41" t="s">
        <v>284</v>
      </c>
    </row>
    <row r="206" spans="1:11" x14ac:dyDescent="0.25">
      <c r="A206" s="39" t="s">
        <v>687</v>
      </c>
      <c r="B206" s="39" t="s">
        <v>688</v>
      </c>
      <c r="C206" s="40" t="s">
        <v>283</v>
      </c>
      <c r="D206" s="41">
        <v>10.8</v>
      </c>
      <c r="E206" s="41">
        <v>11</v>
      </c>
      <c r="F206" s="41">
        <v>0.2</v>
      </c>
      <c r="G206" s="41">
        <v>2</v>
      </c>
      <c r="H206" s="41">
        <v>0.2</v>
      </c>
      <c r="I206" s="41" t="s">
        <v>284</v>
      </c>
      <c r="J206" s="41" t="s">
        <v>284</v>
      </c>
      <c r="K206" s="41" t="s">
        <v>284</v>
      </c>
    </row>
    <row r="207" spans="1:11" x14ac:dyDescent="0.25">
      <c r="A207" s="39" t="s">
        <v>689</v>
      </c>
      <c r="B207" s="39" t="s">
        <v>690</v>
      </c>
      <c r="C207" s="40" t="s">
        <v>283</v>
      </c>
      <c r="D207" s="41">
        <v>17.600000000000001</v>
      </c>
      <c r="E207" s="41">
        <v>17.7</v>
      </c>
      <c r="F207" s="41">
        <v>0.2</v>
      </c>
      <c r="G207" s="41">
        <v>0.9</v>
      </c>
      <c r="H207" s="41">
        <v>0.1</v>
      </c>
      <c r="I207" s="41" t="s">
        <v>284</v>
      </c>
      <c r="J207" s="41" t="s">
        <v>284</v>
      </c>
      <c r="K207" s="41" t="s">
        <v>284</v>
      </c>
    </row>
    <row r="208" spans="1:11" x14ac:dyDescent="0.25">
      <c r="A208" s="39" t="s">
        <v>691</v>
      </c>
      <c r="B208" s="39" t="s">
        <v>692</v>
      </c>
      <c r="C208" s="40" t="s">
        <v>283</v>
      </c>
      <c r="D208" s="41">
        <v>2.8</v>
      </c>
      <c r="E208" s="41">
        <v>2.8</v>
      </c>
      <c r="F208" s="41">
        <v>0.1</v>
      </c>
      <c r="G208" s="41">
        <v>2.8</v>
      </c>
      <c r="H208" s="41">
        <v>0</v>
      </c>
      <c r="I208" s="41" t="s">
        <v>284</v>
      </c>
      <c r="J208" s="41" t="s">
        <v>284</v>
      </c>
      <c r="K208" s="41" t="s">
        <v>284</v>
      </c>
    </row>
    <row r="209" spans="1:12" x14ac:dyDescent="0.25">
      <c r="A209" s="39" t="s">
        <v>693</v>
      </c>
      <c r="B209" s="39" t="s">
        <v>694</v>
      </c>
      <c r="C209" s="40" t="s">
        <v>280</v>
      </c>
      <c r="D209" s="41">
        <v>837</v>
      </c>
      <c r="E209" s="41">
        <v>883.3</v>
      </c>
      <c r="F209" s="41">
        <v>46.3</v>
      </c>
      <c r="G209" s="41">
        <v>5.5</v>
      </c>
      <c r="H209" s="41">
        <v>0.5</v>
      </c>
      <c r="I209" s="41" t="s">
        <v>284</v>
      </c>
      <c r="J209" s="41" t="s">
        <v>284</v>
      </c>
      <c r="K209" s="41" t="s">
        <v>284</v>
      </c>
    </row>
    <row r="210" spans="1:12" x14ac:dyDescent="0.25">
      <c r="A210" s="39" t="s">
        <v>695</v>
      </c>
      <c r="B210" s="39" t="s">
        <v>696</v>
      </c>
      <c r="C210" s="40" t="s">
        <v>283</v>
      </c>
      <c r="D210" s="41">
        <v>272.3</v>
      </c>
      <c r="E210" s="41">
        <v>283.60000000000002</v>
      </c>
      <c r="F210" s="41">
        <v>11.3</v>
      </c>
      <c r="G210" s="41">
        <v>4.2</v>
      </c>
      <c r="H210" s="41">
        <v>0.4</v>
      </c>
      <c r="I210" s="41" t="s">
        <v>284</v>
      </c>
      <c r="J210" s="41" t="s">
        <v>284</v>
      </c>
      <c r="K210" s="41" t="s">
        <v>284</v>
      </c>
    </row>
    <row r="211" spans="1:12" x14ac:dyDescent="0.25">
      <c r="A211" s="39" t="s">
        <v>697</v>
      </c>
      <c r="B211" s="39" t="s">
        <v>698</v>
      </c>
      <c r="C211" s="40" t="s">
        <v>283</v>
      </c>
      <c r="D211" s="41">
        <v>43.6</v>
      </c>
      <c r="E211" s="41">
        <v>43.9</v>
      </c>
      <c r="F211" s="41">
        <v>0.3</v>
      </c>
      <c r="G211" s="41">
        <v>0.7</v>
      </c>
      <c r="H211" s="41">
        <v>0.1</v>
      </c>
      <c r="I211" s="41" t="s">
        <v>284</v>
      </c>
      <c r="J211" s="41" t="s">
        <v>284</v>
      </c>
      <c r="K211" s="41" t="s">
        <v>284</v>
      </c>
    </row>
    <row r="212" spans="1:12" x14ac:dyDescent="0.25">
      <c r="A212" s="39" t="s">
        <v>699</v>
      </c>
      <c r="B212" s="39" t="s">
        <v>700</v>
      </c>
      <c r="C212" s="40" t="s">
        <v>283</v>
      </c>
      <c r="D212" s="41">
        <v>97.6</v>
      </c>
      <c r="E212" s="41">
        <v>99.7</v>
      </c>
      <c r="F212" s="41">
        <v>2.1</v>
      </c>
      <c r="G212" s="41">
        <v>2.2000000000000002</v>
      </c>
      <c r="H212" s="41">
        <v>0.2</v>
      </c>
      <c r="I212" s="41" t="s">
        <v>284</v>
      </c>
      <c r="J212" s="41" t="s">
        <v>284</v>
      </c>
      <c r="K212" s="41" t="s">
        <v>284</v>
      </c>
    </row>
    <row r="213" spans="1:12" x14ac:dyDescent="0.25">
      <c r="A213" s="39" t="s">
        <v>701</v>
      </c>
      <c r="B213" s="39" t="s">
        <v>702</v>
      </c>
      <c r="C213" s="40" t="s">
        <v>283</v>
      </c>
      <c r="D213" s="41">
        <v>114.7</v>
      </c>
      <c r="E213" s="41">
        <v>118.9</v>
      </c>
      <c r="F213" s="41">
        <v>4.2</v>
      </c>
      <c r="G213" s="41">
        <v>3.7</v>
      </c>
      <c r="H213" s="41">
        <v>0.4</v>
      </c>
      <c r="I213" s="41" t="s">
        <v>284</v>
      </c>
      <c r="J213" s="41" t="s">
        <v>284</v>
      </c>
      <c r="K213" s="41" t="s">
        <v>284</v>
      </c>
    </row>
    <row r="214" spans="1:12" x14ac:dyDescent="0.25">
      <c r="A214" s="39" t="s">
        <v>703</v>
      </c>
      <c r="B214" s="39" t="s">
        <v>704</v>
      </c>
      <c r="C214" s="40" t="s">
        <v>283</v>
      </c>
      <c r="D214" s="41">
        <v>266.10000000000002</v>
      </c>
      <c r="E214" s="41">
        <v>292.8</v>
      </c>
      <c r="F214" s="41">
        <v>26.7</v>
      </c>
      <c r="G214" s="41">
        <v>10</v>
      </c>
      <c r="H214" s="41">
        <v>1</v>
      </c>
      <c r="I214" s="41" t="s">
        <v>284</v>
      </c>
      <c r="J214" s="41" t="s">
        <v>284</v>
      </c>
      <c r="K214" s="41" t="s">
        <v>284</v>
      </c>
    </row>
    <row r="215" spans="1:12" x14ac:dyDescent="0.25">
      <c r="A215" s="39" t="s">
        <v>705</v>
      </c>
      <c r="B215" s="39" t="s">
        <v>706</v>
      </c>
      <c r="C215" s="40" t="s">
        <v>283</v>
      </c>
      <c r="D215" s="41">
        <v>42.7</v>
      </c>
      <c r="E215" s="41">
        <v>44.4</v>
      </c>
      <c r="F215" s="41">
        <v>1.7</v>
      </c>
      <c r="G215" s="41">
        <v>3.9</v>
      </c>
      <c r="H215" s="41">
        <v>0.4</v>
      </c>
      <c r="I215" s="41" t="s">
        <v>284</v>
      </c>
      <c r="J215" s="41" t="s">
        <v>284</v>
      </c>
      <c r="K215" s="41" t="s">
        <v>284</v>
      </c>
    </row>
    <row r="216" spans="1:12" x14ac:dyDescent="0.25">
      <c r="A216" s="39" t="s">
        <v>707</v>
      </c>
      <c r="B216" s="39" t="s">
        <v>708</v>
      </c>
      <c r="C216" s="40" t="s">
        <v>280</v>
      </c>
      <c r="D216" s="41">
        <v>1096.4000000000001</v>
      </c>
      <c r="E216" s="41">
        <v>1155.4000000000001</v>
      </c>
      <c r="F216" s="41">
        <v>59</v>
      </c>
      <c r="G216" s="41">
        <v>5.4</v>
      </c>
      <c r="H216" s="41">
        <v>0.5</v>
      </c>
      <c r="I216" s="41">
        <v>96.4</v>
      </c>
      <c r="J216" s="41">
        <v>126.7</v>
      </c>
      <c r="K216" s="41">
        <v>2.8</v>
      </c>
    </row>
    <row r="217" spans="1:12" x14ac:dyDescent="0.25">
      <c r="A217" s="39" t="s">
        <v>709</v>
      </c>
      <c r="B217" s="39" t="s">
        <v>710</v>
      </c>
      <c r="C217" s="40" t="s">
        <v>283</v>
      </c>
      <c r="D217" s="41">
        <v>909.8</v>
      </c>
      <c r="E217" s="41">
        <v>953.2</v>
      </c>
      <c r="F217" s="41">
        <v>43.4</v>
      </c>
      <c r="G217" s="41">
        <v>4.8</v>
      </c>
      <c r="H217" s="41">
        <v>0.5</v>
      </c>
      <c r="I217" s="41" t="s">
        <v>284</v>
      </c>
      <c r="J217" s="41" t="s">
        <v>284</v>
      </c>
      <c r="K217" s="41" t="s">
        <v>284</v>
      </c>
    </row>
    <row r="218" spans="1:12" x14ac:dyDescent="0.25">
      <c r="A218" s="39" t="s">
        <v>711</v>
      </c>
      <c r="B218" s="39" t="s">
        <v>712</v>
      </c>
      <c r="C218" s="40" t="s">
        <v>283</v>
      </c>
      <c r="D218" s="41">
        <v>186.6</v>
      </c>
      <c r="E218" s="41">
        <v>202.2</v>
      </c>
      <c r="F218" s="41">
        <v>15.6</v>
      </c>
      <c r="G218" s="41">
        <v>8.4</v>
      </c>
      <c r="H218" s="41">
        <v>0.8</v>
      </c>
      <c r="I218" s="41" t="s">
        <v>284</v>
      </c>
      <c r="J218" s="41" t="s">
        <v>284</v>
      </c>
      <c r="K218" s="41" t="s">
        <v>284</v>
      </c>
    </row>
    <row r="219" spans="1:12" x14ac:dyDescent="0.25">
      <c r="A219" s="39" t="s">
        <v>713</v>
      </c>
      <c r="B219" s="39" t="s">
        <v>714</v>
      </c>
      <c r="C219" s="40" t="s">
        <v>283</v>
      </c>
      <c r="D219" s="41">
        <v>1849.1</v>
      </c>
      <c r="E219" s="41">
        <v>1875.1</v>
      </c>
      <c r="F219" s="41">
        <v>26</v>
      </c>
      <c r="G219" s="41">
        <v>1.4</v>
      </c>
      <c r="H219" s="41">
        <v>0.1</v>
      </c>
      <c r="I219" s="41">
        <v>134.69999999999999</v>
      </c>
      <c r="J219" s="41">
        <v>169.7</v>
      </c>
      <c r="K219" s="41">
        <v>2.2999999999999998</v>
      </c>
    </row>
    <row r="220" spans="1:12" x14ac:dyDescent="0.25">
      <c r="A220" s="39" t="s">
        <v>715</v>
      </c>
      <c r="B220" s="39" t="s">
        <v>716</v>
      </c>
      <c r="C220" s="40" t="s">
        <v>280</v>
      </c>
      <c r="D220" s="41">
        <v>2942.8</v>
      </c>
      <c r="E220" s="41">
        <v>3135.1</v>
      </c>
      <c r="F220" s="41">
        <v>192.3</v>
      </c>
      <c r="G220" s="41">
        <v>6.5</v>
      </c>
      <c r="H220" s="41">
        <v>0.6</v>
      </c>
      <c r="I220" s="41">
        <v>2565.5</v>
      </c>
      <c r="J220" s="41">
        <v>3565.6</v>
      </c>
      <c r="K220" s="41">
        <v>3.3</v>
      </c>
    </row>
    <row r="221" spans="1:12" x14ac:dyDescent="0.25">
      <c r="A221" s="39" t="s">
        <v>717</v>
      </c>
      <c r="B221" s="39" t="s">
        <v>718</v>
      </c>
      <c r="C221" s="40" t="s">
        <v>280</v>
      </c>
      <c r="D221" s="41">
        <v>400.7</v>
      </c>
      <c r="E221" s="41">
        <v>421.9</v>
      </c>
      <c r="F221" s="41">
        <v>21.2</v>
      </c>
      <c r="G221" s="41">
        <v>5.3</v>
      </c>
      <c r="H221" s="41">
        <v>0.5</v>
      </c>
      <c r="I221" s="41">
        <v>190</v>
      </c>
      <c r="J221" s="41">
        <v>249.7</v>
      </c>
      <c r="K221" s="41">
        <v>2.8</v>
      </c>
      <c r="L221" t="s">
        <v>22</v>
      </c>
    </row>
    <row r="222" spans="1:12" x14ac:dyDescent="0.25">
      <c r="A222" s="39" t="s">
        <v>719</v>
      </c>
      <c r="B222" s="39" t="s">
        <v>720</v>
      </c>
      <c r="C222" s="40" t="s">
        <v>280</v>
      </c>
      <c r="D222" s="41">
        <v>378.1</v>
      </c>
      <c r="E222" s="41">
        <v>398.5</v>
      </c>
      <c r="F222" s="41">
        <v>20.399999999999999</v>
      </c>
      <c r="G222" s="41">
        <v>5.4</v>
      </c>
      <c r="H222" s="41">
        <v>0.5</v>
      </c>
      <c r="I222" s="41">
        <v>159.1</v>
      </c>
      <c r="J222" s="41">
        <v>205.8</v>
      </c>
      <c r="K222" s="41">
        <v>2.6</v>
      </c>
    </row>
    <row r="223" spans="1:12" x14ac:dyDescent="0.25">
      <c r="A223" s="39" t="s">
        <v>721</v>
      </c>
      <c r="B223" s="39" t="s">
        <v>722</v>
      </c>
      <c r="C223" s="40" t="s">
        <v>283</v>
      </c>
      <c r="D223" s="41">
        <v>118.5</v>
      </c>
      <c r="E223" s="41">
        <v>120.3</v>
      </c>
      <c r="F223" s="41">
        <v>1.8</v>
      </c>
      <c r="G223" s="41">
        <v>1.6</v>
      </c>
      <c r="H223" s="41">
        <v>0.2</v>
      </c>
      <c r="I223" s="41" t="s">
        <v>284</v>
      </c>
      <c r="J223" s="41" t="s">
        <v>284</v>
      </c>
      <c r="K223" s="41" t="s">
        <v>284</v>
      </c>
    </row>
    <row r="224" spans="1:12" x14ac:dyDescent="0.25">
      <c r="A224" s="39" t="s">
        <v>723</v>
      </c>
      <c r="B224" s="39" t="s">
        <v>724</v>
      </c>
      <c r="C224" s="40" t="s">
        <v>283</v>
      </c>
      <c r="D224" s="41">
        <v>22.6</v>
      </c>
      <c r="E224" s="41">
        <v>23.4</v>
      </c>
      <c r="F224" s="41">
        <v>0.8</v>
      </c>
      <c r="G224" s="41">
        <v>3.4</v>
      </c>
      <c r="H224" s="41">
        <v>0.3</v>
      </c>
      <c r="I224" s="41">
        <v>31.4</v>
      </c>
      <c r="J224" s="41">
        <v>45.1</v>
      </c>
      <c r="K224" s="41">
        <v>3.7</v>
      </c>
    </row>
    <row r="225" spans="1:13" x14ac:dyDescent="0.25">
      <c r="A225" s="39" t="s">
        <v>725</v>
      </c>
      <c r="B225" s="39" t="s">
        <v>726</v>
      </c>
      <c r="C225" s="40" t="s">
        <v>280</v>
      </c>
      <c r="D225" s="41">
        <v>2542.1</v>
      </c>
      <c r="E225" s="41">
        <v>2713.3</v>
      </c>
      <c r="F225" s="41">
        <v>171.2</v>
      </c>
      <c r="G225" s="41">
        <v>6.7</v>
      </c>
      <c r="H225" s="41">
        <v>0.7</v>
      </c>
      <c r="I225" s="41">
        <v>2375.8000000000002</v>
      </c>
      <c r="J225" s="41">
        <v>3317.5</v>
      </c>
      <c r="K225" s="41">
        <v>3.4</v>
      </c>
    </row>
    <row r="226" spans="1:13" x14ac:dyDescent="0.25">
      <c r="A226" s="39" t="s">
        <v>727</v>
      </c>
      <c r="B226" s="39" t="s">
        <v>728</v>
      </c>
      <c r="C226" s="40" t="s">
        <v>283</v>
      </c>
      <c r="D226" s="41">
        <v>645.70000000000005</v>
      </c>
      <c r="E226" s="41">
        <v>770.3</v>
      </c>
      <c r="F226" s="41">
        <v>124.6</v>
      </c>
      <c r="G226" s="41">
        <v>19.3</v>
      </c>
      <c r="H226" s="41">
        <v>1.8</v>
      </c>
      <c r="I226" s="41">
        <v>552.20000000000005</v>
      </c>
      <c r="J226" s="41">
        <v>896.1</v>
      </c>
      <c r="K226" s="41">
        <v>5</v>
      </c>
      <c r="L226" t="s">
        <v>22</v>
      </c>
    </row>
    <row r="227" spans="1:13" x14ac:dyDescent="0.25">
      <c r="A227" s="39" t="s">
        <v>729</v>
      </c>
      <c r="B227" s="39" t="s">
        <v>730</v>
      </c>
      <c r="C227" s="40" t="s">
        <v>280</v>
      </c>
      <c r="D227" s="41">
        <v>792.5</v>
      </c>
      <c r="E227" s="41">
        <v>794.2</v>
      </c>
      <c r="F227" s="41">
        <v>1.7</v>
      </c>
      <c r="G227" s="41">
        <v>0.2</v>
      </c>
      <c r="H227" s="41">
        <v>0</v>
      </c>
      <c r="I227" s="41">
        <v>771.6</v>
      </c>
      <c r="J227" s="41">
        <v>1010.7</v>
      </c>
      <c r="K227" s="41">
        <v>2.7</v>
      </c>
      <c r="L227" t="s">
        <v>22</v>
      </c>
      <c r="M227" t="s">
        <v>24</v>
      </c>
    </row>
    <row r="228" spans="1:13" x14ac:dyDescent="0.25">
      <c r="A228" s="39" t="s">
        <v>731</v>
      </c>
      <c r="B228" s="39" t="s">
        <v>732</v>
      </c>
      <c r="C228" s="40" t="s">
        <v>280</v>
      </c>
      <c r="D228" s="41">
        <v>268.5</v>
      </c>
      <c r="E228" s="41">
        <v>244.6</v>
      </c>
      <c r="F228" s="41">
        <v>-23.9</v>
      </c>
      <c r="G228" s="41">
        <v>-8.9</v>
      </c>
      <c r="H228" s="41">
        <v>-0.9</v>
      </c>
      <c r="I228" s="41" t="s">
        <v>284</v>
      </c>
      <c r="J228" s="41" t="s">
        <v>284</v>
      </c>
      <c r="K228" s="41" t="s">
        <v>284</v>
      </c>
    </row>
    <row r="229" spans="1:13" x14ac:dyDescent="0.25">
      <c r="A229" s="39" t="s">
        <v>733</v>
      </c>
      <c r="B229" s="39" t="s">
        <v>734</v>
      </c>
      <c r="C229" s="40" t="s">
        <v>283</v>
      </c>
      <c r="D229" s="41">
        <v>89.4</v>
      </c>
      <c r="E229" s="41">
        <v>71.5</v>
      </c>
      <c r="F229" s="41">
        <v>-17.899999999999999</v>
      </c>
      <c r="G229" s="41">
        <v>-20</v>
      </c>
      <c r="H229" s="41">
        <v>-2.2000000000000002</v>
      </c>
      <c r="I229" s="41" t="s">
        <v>284</v>
      </c>
      <c r="J229" s="41" t="s">
        <v>284</v>
      </c>
      <c r="K229" s="41" t="s">
        <v>284</v>
      </c>
    </row>
    <row r="230" spans="1:13" x14ac:dyDescent="0.25">
      <c r="A230" s="39" t="s">
        <v>735</v>
      </c>
      <c r="B230" s="39" t="s">
        <v>736</v>
      </c>
      <c r="C230" s="40" t="s">
        <v>280</v>
      </c>
      <c r="D230" s="41">
        <v>340.2</v>
      </c>
      <c r="E230" s="41">
        <v>343.1</v>
      </c>
      <c r="F230" s="41">
        <v>2.9</v>
      </c>
      <c r="G230" s="41">
        <v>0.9</v>
      </c>
      <c r="H230" s="41">
        <v>0.1</v>
      </c>
      <c r="I230" s="41" t="s">
        <v>284</v>
      </c>
      <c r="J230" s="41" t="s">
        <v>284</v>
      </c>
      <c r="K230" s="41" t="s">
        <v>284</v>
      </c>
    </row>
    <row r="231" spans="1:13" x14ac:dyDescent="0.25">
      <c r="A231" s="39" t="s">
        <v>737</v>
      </c>
      <c r="B231" s="39" t="s">
        <v>738</v>
      </c>
      <c r="C231" s="40" t="s">
        <v>280</v>
      </c>
      <c r="D231" s="41">
        <v>118.1</v>
      </c>
      <c r="E231" s="41">
        <v>111.2</v>
      </c>
      <c r="F231" s="41">
        <v>-6.9</v>
      </c>
      <c r="G231" s="41">
        <v>-5.9</v>
      </c>
      <c r="H231" s="41">
        <v>-0.6</v>
      </c>
      <c r="I231" s="41" t="s">
        <v>284</v>
      </c>
      <c r="J231" s="41" t="s">
        <v>284</v>
      </c>
      <c r="K231" s="41" t="s">
        <v>284</v>
      </c>
    </row>
    <row r="232" spans="1:13" x14ac:dyDescent="0.25">
      <c r="A232" s="39" t="s">
        <v>739</v>
      </c>
      <c r="B232" s="39" t="s">
        <v>740</v>
      </c>
      <c r="C232" s="40" t="s">
        <v>283</v>
      </c>
      <c r="D232" s="41">
        <v>51.2</v>
      </c>
      <c r="E232" s="41">
        <v>48</v>
      </c>
      <c r="F232" s="41">
        <v>-3.2</v>
      </c>
      <c r="G232" s="41">
        <v>-6.2</v>
      </c>
      <c r="H232" s="41">
        <v>-0.6</v>
      </c>
      <c r="I232" s="41" t="s">
        <v>284</v>
      </c>
      <c r="J232" s="41" t="s">
        <v>284</v>
      </c>
      <c r="K232" s="41" t="s">
        <v>284</v>
      </c>
    </row>
    <row r="233" spans="1:13" x14ac:dyDescent="0.25">
      <c r="A233" s="39" t="s">
        <v>741</v>
      </c>
      <c r="B233" s="39" t="s">
        <v>742</v>
      </c>
      <c r="C233" s="40" t="s">
        <v>283</v>
      </c>
      <c r="D233" s="41">
        <v>66.900000000000006</v>
      </c>
      <c r="E233" s="41">
        <v>63.1</v>
      </c>
      <c r="F233" s="41">
        <v>-3.8</v>
      </c>
      <c r="G233" s="41">
        <v>-5.6</v>
      </c>
      <c r="H233" s="41">
        <v>-0.6</v>
      </c>
      <c r="I233" s="41" t="s">
        <v>284</v>
      </c>
      <c r="J233" s="41" t="s">
        <v>284</v>
      </c>
      <c r="K233" s="41" t="s">
        <v>284</v>
      </c>
    </row>
    <row r="234" spans="1:13" x14ac:dyDescent="0.25">
      <c r="A234" s="39" t="s">
        <v>743</v>
      </c>
      <c r="B234" s="39" t="s">
        <v>744</v>
      </c>
      <c r="C234" s="40" t="s">
        <v>283</v>
      </c>
      <c r="D234" s="41">
        <v>222.1</v>
      </c>
      <c r="E234" s="41">
        <v>231.9</v>
      </c>
      <c r="F234" s="41">
        <v>9.8000000000000007</v>
      </c>
      <c r="G234" s="41">
        <v>4.4000000000000004</v>
      </c>
      <c r="H234" s="41">
        <v>0.4</v>
      </c>
      <c r="I234" s="41" t="s">
        <v>284</v>
      </c>
      <c r="J234" s="41" t="s">
        <v>284</v>
      </c>
      <c r="K234" s="41" t="s">
        <v>284</v>
      </c>
    </row>
    <row r="235" spans="1:13" x14ac:dyDescent="0.25">
      <c r="A235" s="39" t="s">
        <v>745</v>
      </c>
      <c r="B235" s="39" t="s">
        <v>746</v>
      </c>
      <c r="C235" s="40" t="s">
        <v>283</v>
      </c>
      <c r="D235" s="41">
        <v>183.8</v>
      </c>
      <c r="E235" s="41">
        <v>206.5</v>
      </c>
      <c r="F235" s="41">
        <v>22.7</v>
      </c>
      <c r="G235" s="41">
        <v>12.3</v>
      </c>
      <c r="H235" s="41">
        <v>1.2</v>
      </c>
      <c r="I235" s="41" t="s">
        <v>284</v>
      </c>
      <c r="J235" s="41" t="s">
        <v>284</v>
      </c>
      <c r="K235" s="41" t="s">
        <v>284</v>
      </c>
    </row>
    <row r="236" spans="1:13" x14ac:dyDescent="0.25">
      <c r="A236" s="39" t="s">
        <v>747</v>
      </c>
      <c r="B236" s="39" t="s">
        <v>748</v>
      </c>
      <c r="C236" s="40" t="s">
        <v>283</v>
      </c>
      <c r="D236" s="41">
        <v>621.29999999999995</v>
      </c>
      <c r="E236" s="41">
        <v>568.29999999999995</v>
      </c>
      <c r="F236" s="41">
        <v>-53</v>
      </c>
      <c r="G236" s="41">
        <v>-8.5</v>
      </c>
      <c r="H236" s="41">
        <v>-0.9</v>
      </c>
      <c r="I236" s="41">
        <v>674.3</v>
      </c>
      <c r="J236" s="41">
        <v>876.8</v>
      </c>
      <c r="K236" s="41">
        <v>2.7</v>
      </c>
      <c r="L236" t="s">
        <v>23</v>
      </c>
    </row>
    <row r="237" spans="1:13" x14ac:dyDescent="0.25">
      <c r="A237" s="39" t="s">
        <v>749</v>
      </c>
      <c r="B237" s="39" t="s">
        <v>750</v>
      </c>
      <c r="C237" s="40" t="s">
        <v>283</v>
      </c>
      <c r="D237" s="41">
        <v>482.6</v>
      </c>
      <c r="E237" s="41">
        <v>580.5</v>
      </c>
      <c r="F237" s="41">
        <v>97.9</v>
      </c>
      <c r="G237" s="41">
        <v>20.3</v>
      </c>
      <c r="H237" s="41">
        <v>1.9</v>
      </c>
      <c r="I237" s="41">
        <v>387.3</v>
      </c>
      <c r="J237" s="41">
        <v>564.79999999999995</v>
      </c>
      <c r="K237" s="41">
        <v>3.8</v>
      </c>
      <c r="L237" t="s">
        <v>24</v>
      </c>
    </row>
    <row r="238" spans="1:13" x14ac:dyDescent="0.25">
      <c r="A238" s="39" t="s">
        <v>751</v>
      </c>
      <c r="B238" s="39" t="s">
        <v>752</v>
      </c>
      <c r="C238" s="40" t="s">
        <v>280</v>
      </c>
      <c r="D238" s="41">
        <v>6702.8</v>
      </c>
      <c r="E238" s="41">
        <v>6929.2</v>
      </c>
      <c r="F238" s="41">
        <v>226.4</v>
      </c>
      <c r="G238" s="41">
        <v>3.4</v>
      </c>
      <c r="H238" s="41">
        <v>0.3</v>
      </c>
      <c r="I238" s="41">
        <v>3139.5</v>
      </c>
      <c r="J238" s="41">
        <v>3825.4</v>
      </c>
      <c r="K238" s="41">
        <v>2</v>
      </c>
      <c r="L238" t="s">
        <v>25</v>
      </c>
    </row>
    <row r="239" spans="1:13" x14ac:dyDescent="0.25">
      <c r="A239" s="39" t="s">
        <v>753</v>
      </c>
      <c r="B239" s="39" t="s">
        <v>754</v>
      </c>
      <c r="C239" s="40" t="s">
        <v>280</v>
      </c>
      <c r="D239" s="41">
        <v>2586.3000000000002</v>
      </c>
      <c r="E239" s="41">
        <v>2634.9</v>
      </c>
      <c r="F239" s="41">
        <v>48.6</v>
      </c>
      <c r="G239" s="41">
        <v>1.9</v>
      </c>
      <c r="H239" s="41">
        <v>0.2</v>
      </c>
      <c r="I239" s="41">
        <v>1015</v>
      </c>
      <c r="J239" s="41">
        <v>1264.9000000000001</v>
      </c>
      <c r="K239" s="41">
        <v>2.2000000000000002</v>
      </c>
    </row>
    <row r="240" spans="1:13" x14ac:dyDescent="0.25">
      <c r="A240" s="39" t="s">
        <v>755</v>
      </c>
      <c r="B240" s="39" t="s">
        <v>756</v>
      </c>
      <c r="C240" s="40" t="s">
        <v>283</v>
      </c>
      <c r="D240" s="41">
        <v>20.8</v>
      </c>
      <c r="E240" s="41">
        <v>21.3</v>
      </c>
      <c r="F240" s="41">
        <v>0.5</v>
      </c>
      <c r="G240" s="41">
        <v>2.6</v>
      </c>
      <c r="H240" s="41">
        <v>0.2</v>
      </c>
      <c r="I240" s="41" t="s">
        <v>284</v>
      </c>
      <c r="J240" s="41" t="s">
        <v>284</v>
      </c>
      <c r="K240" s="41" t="s">
        <v>284</v>
      </c>
    </row>
    <row r="241" spans="1:11" x14ac:dyDescent="0.25">
      <c r="A241" s="39" t="s">
        <v>757</v>
      </c>
      <c r="B241" s="39" t="s">
        <v>758</v>
      </c>
      <c r="C241" s="40" t="s">
        <v>280</v>
      </c>
      <c r="D241" s="41">
        <v>2565.5</v>
      </c>
      <c r="E241" s="41">
        <v>2613.6</v>
      </c>
      <c r="F241" s="41">
        <v>48.1</v>
      </c>
      <c r="G241" s="41">
        <v>1.9</v>
      </c>
      <c r="H241" s="41">
        <v>0.2</v>
      </c>
      <c r="I241" s="41" t="s">
        <v>284</v>
      </c>
      <c r="J241" s="41" t="s">
        <v>284</v>
      </c>
      <c r="K241" s="41" t="s">
        <v>284</v>
      </c>
    </row>
    <row r="242" spans="1:11" x14ac:dyDescent="0.25">
      <c r="A242" s="39" t="s">
        <v>759</v>
      </c>
      <c r="B242" s="39" t="s">
        <v>760</v>
      </c>
      <c r="C242" s="40" t="s">
        <v>283</v>
      </c>
      <c r="D242" s="41">
        <v>2059.3000000000002</v>
      </c>
      <c r="E242" s="41">
        <v>2110</v>
      </c>
      <c r="F242" s="41">
        <v>50.7</v>
      </c>
      <c r="G242" s="41">
        <v>2.5</v>
      </c>
      <c r="H242" s="41">
        <v>0.2</v>
      </c>
      <c r="I242" s="41" t="s">
        <v>284</v>
      </c>
      <c r="J242" s="41" t="s">
        <v>284</v>
      </c>
      <c r="K242" s="41" t="s">
        <v>284</v>
      </c>
    </row>
    <row r="243" spans="1:11" x14ac:dyDescent="0.25">
      <c r="A243" s="39" t="s">
        <v>761</v>
      </c>
      <c r="B243" s="39" t="s">
        <v>762</v>
      </c>
      <c r="C243" s="40" t="s">
        <v>280</v>
      </c>
      <c r="D243" s="41">
        <v>506.2</v>
      </c>
      <c r="E243" s="41">
        <v>503.5</v>
      </c>
      <c r="F243" s="41">
        <v>-2.7</v>
      </c>
      <c r="G243" s="41">
        <v>-0.5</v>
      </c>
      <c r="H243" s="41">
        <v>-0.1</v>
      </c>
      <c r="I243" s="41" t="s">
        <v>284</v>
      </c>
      <c r="J243" s="41" t="s">
        <v>284</v>
      </c>
      <c r="K243" s="41" t="s">
        <v>284</v>
      </c>
    </row>
    <row r="244" spans="1:11" x14ac:dyDescent="0.25">
      <c r="A244" s="39" t="s">
        <v>763</v>
      </c>
      <c r="B244" s="39" t="s">
        <v>764</v>
      </c>
      <c r="C244" s="40" t="s">
        <v>283</v>
      </c>
      <c r="D244" s="41">
        <v>358.4</v>
      </c>
      <c r="E244" s="41">
        <v>355.7</v>
      </c>
      <c r="F244" s="41">
        <v>-2.7</v>
      </c>
      <c r="G244" s="41">
        <v>-0.7</v>
      </c>
      <c r="H244" s="41">
        <v>-0.1</v>
      </c>
      <c r="I244" s="41" t="s">
        <v>284</v>
      </c>
      <c r="J244" s="41" t="s">
        <v>284</v>
      </c>
      <c r="K244" s="41" t="s">
        <v>284</v>
      </c>
    </row>
    <row r="245" spans="1:11" x14ac:dyDescent="0.25">
      <c r="A245" s="39" t="s">
        <v>765</v>
      </c>
      <c r="B245" s="39" t="s">
        <v>766</v>
      </c>
      <c r="C245" s="40" t="s">
        <v>283</v>
      </c>
      <c r="D245" s="41">
        <v>1084.9000000000001</v>
      </c>
      <c r="E245" s="41">
        <v>1150.3</v>
      </c>
      <c r="F245" s="41">
        <v>65.400000000000006</v>
      </c>
      <c r="G245" s="41">
        <v>6</v>
      </c>
      <c r="H245" s="41">
        <v>0.6</v>
      </c>
      <c r="I245" s="41">
        <v>721.7</v>
      </c>
      <c r="J245" s="41">
        <v>892.4</v>
      </c>
      <c r="K245" s="41">
        <v>2.1</v>
      </c>
    </row>
    <row r="246" spans="1:11" x14ac:dyDescent="0.25">
      <c r="A246" s="39" t="s">
        <v>767</v>
      </c>
      <c r="B246" s="39" t="s">
        <v>768</v>
      </c>
      <c r="C246" s="40" t="s">
        <v>280</v>
      </c>
      <c r="D246" s="41">
        <v>3000.5</v>
      </c>
      <c r="E246" s="41">
        <v>3110.9</v>
      </c>
      <c r="F246" s="41">
        <v>110.4</v>
      </c>
      <c r="G246" s="41">
        <v>3.7</v>
      </c>
      <c r="H246" s="41">
        <v>0.4</v>
      </c>
      <c r="I246" s="41">
        <v>1253</v>
      </c>
      <c r="J246" s="41">
        <v>1511.3</v>
      </c>
      <c r="K246" s="41">
        <v>1.9</v>
      </c>
    </row>
    <row r="247" spans="1:11" x14ac:dyDescent="0.25">
      <c r="A247" s="39" t="s">
        <v>769</v>
      </c>
      <c r="B247" s="39" t="s">
        <v>770</v>
      </c>
      <c r="C247" s="40" t="s">
        <v>280</v>
      </c>
      <c r="D247" s="41">
        <v>1614</v>
      </c>
      <c r="E247" s="41">
        <v>1660.8</v>
      </c>
      <c r="F247" s="41">
        <v>46.8</v>
      </c>
      <c r="G247" s="41">
        <v>2.9</v>
      </c>
      <c r="H247" s="41">
        <v>0.3</v>
      </c>
      <c r="I247" s="41">
        <v>724</v>
      </c>
      <c r="J247" s="41">
        <v>870</v>
      </c>
      <c r="K247" s="41">
        <v>1.9</v>
      </c>
    </row>
    <row r="248" spans="1:11" x14ac:dyDescent="0.25">
      <c r="A248" s="39" t="s">
        <v>771</v>
      </c>
      <c r="B248" s="39" t="s">
        <v>772</v>
      </c>
      <c r="C248" s="40" t="s">
        <v>283</v>
      </c>
      <c r="D248" s="41">
        <v>611.1</v>
      </c>
      <c r="E248" s="41">
        <v>639.4</v>
      </c>
      <c r="F248" s="41">
        <v>28.3</v>
      </c>
      <c r="G248" s="41">
        <v>4.5999999999999996</v>
      </c>
      <c r="H248" s="41">
        <v>0.5</v>
      </c>
      <c r="I248" s="41" t="s">
        <v>284</v>
      </c>
      <c r="J248" s="41" t="s">
        <v>284</v>
      </c>
      <c r="K248" s="41" t="s">
        <v>284</v>
      </c>
    </row>
    <row r="249" spans="1:11" x14ac:dyDescent="0.25">
      <c r="A249" s="39" t="s">
        <v>773</v>
      </c>
      <c r="B249" s="39" t="s">
        <v>774</v>
      </c>
      <c r="C249" s="40" t="s">
        <v>283</v>
      </c>
      <c r="D249" s="41">
        <v>678.5</v>
      </c>
      <c r="E249" s="41">
        <v>695.9</v>
      </c>
      <c r="F249" s="41">
        <v>17.399999999999999</v>
      </c>
      <c r="G249" s="41">
        <v>2.6</v>
      </c>
      <c r="H249" s="41">
        <v>0.3</v>
      </c>
      <c r="I249" s="41" t="s">
        <v>284</v>
      </c>
      <c r="J249" s="41" t="s">
        <v>284</v>
      </c>
      <c r="K249" s="41" t="s">
        <v>284</v>
      </c>
    </row>
    <row r="250" spans="1:11" x14ac:dyDescent="0.25">
      <c r="A250" s="39" t="s">
        <v>775</v>
      </c>
      <c r="B250" s="39" t="s">
        <v>776</v>
      </c>
      <c r="C250" s="40" t="s">
        <v>280</v>
      </c>
      <c r="D250" s="41">
        <v>1386.5</v>
      </c>
      <c r="E250" s="41">
        <v>1450.1</v>
      </c>
      <c r="F250" s="41">
        <v>63.6</v>
      </c>
      <c r="G250" s="41">
        <v>4.5999999999999996</v>
      </c>
      <c r="H250" s="41">
        <v>0.4</v>
      </c>
      <c r="I250" s="41">
        <v>535.20000000000005</v>
      </c>
      <c r="J250" s="41">
        <v>649.29999999999995</v>
      </c>
      <c r="K250" s="41">
        <v>2</v>
      </c>
    </row>
    <row r="251" spans="1:11" x14ac:dyDescent="0.25">
      <c r="A251" s="39" t="s">
        <v>777</v>
      </c>
      <c r="B251" s="39" t="s">
        <v>778</v>
      </c>
      <c r="C251" s="40" t="s">
        <v>283</v>
      </c>
      <c r="D251" s="41">
        <v>1003.9</v>
      </c>
      <c r="E251" s="41">
        <v>1051.3</v>
      </c>
      <c r="F251" s="41">
        <v>47.4</v>
      </c>
      <c r="G251" s="41">
        <v>4.7</v>
      </c>
      <c r="H251" s="41">
        <v>0.5</v>
      </c>
      <c r="I251" s="41" t="s">
        <v>284</v>
      </c>
      <c r="J251" s="41" t="s">
        <v>284</v>
      </c>
      <c r="K251" s="41" t="s">
        <v>284</v>
      </c>
    </row>
    <row r="252" spans="1:11" x14ac:dyDescent="0.25">
      <c r="A252" s="39" t="s">
        <v>779</v>
      </c>
      <c r="B252" s="39" t="s">
        <v>780</v>
      </c>
      <c r="C252" s="40" t="s">
        <v>283</v>
      </c>
      <c r="D252" s="41">
        <v>382.6</v>
      </c>
      <c r="E252" s="41">
        <v>398.8</v>
      </c>
      <c r="F252" s="41">
        <v>16.2</v>
      </c>
      <c r="G252" s="41">
        <v>4.2</v>
      </c>
      <c r="H252" s="41">
        <v>0.4</v>
      </c>
      <c r="I252" s="41" t="s">
        <v>284</v>
      </c>
      <c r="J252" s="41" t="s">
        <v>284</v>
      </c>
      <c r="K252" s="41" t="s">
        <v>284</v>
      </c>
    </row>
    <row r="253" spans="1:11" x14ac:dyDescent="0.25">
      <c r="A253" s="39" t="s">
        <v>781</v>
      </c>
      <c r="B253" s="39" t="s">
        <v>782</v>
      </c>
      <c r="C253" s="40" t="s">
        <v>280</v>
      </c>
      <c r="D253" s="41">
        <v>31.1</v>
      </c>
      <c r="E253" s="41">
        <v>33.1</v>
      </c>
      <c r="F253" s="41">
        <v>2</v>
      </c>
      <c r="G253" s="41">
        <v>6.4</v>
      </c>
      <c r="H253" s="41">
        <v>0.6</v>
      </c>
      <c r="I253" s="41">
        <v>159.19999999999999</v>
      </c>
      <c r="J253" s="41">
        <v>165.8</v>
      </c>
      <c r="K253" s="41">
        <v>0.4</v>
      </c>
    </row>
    <row r="254" spans="1:11" x14ac:dyDescent="0.25">
      <c r="A254" s="39" t="s">
        <v>783</v>
      </c>
      <c r="B254" s="39" t="s">
        <v>784</v>
      </c>
      <c r="C254" s="40" t="s">
        <v>283</v>
      </c>
      <c r="D254" s="41">
        <v>12.3</v>
      </c>
      <c r="E254" s="41">
        <v>12.9</v>
      </c>
      <c r="F254" s="41">
        <v>0.6</v>
      </c>
      <c r="G254" s="41">
        <v>4.5999999999999996</v>
      </c>
      <c r="H254" s="41">
        <v>0.5</v>
      </c>
      <c r="I254" s="41" t="s">
        <v>284</v>
      </c>
      <c r="J254" s="41" t="s">
        <v>284</v>
      </c>
      <c r="K254" s="41" t="s">
        <v>284</v>
      </c>
    </row>
    <row r="255" spans="1:11" x14ac:dyDescent="0.25">
      <c r="A255" s="39" t="s">
        <v>785</v>
      </c>
      <c r="B255" s="39" t="s">
        <v>786</v>
      </c>
      <c r="C255" s="40" t="s">
        <v>283</v>
      </c>
      <c r="D255" s="41">
        <v>18.899999999999999</v>
      </c>
      <c r="E255" s="41">
        <v>20.3</v>
      </c>
      <c r="F255" s="41">
        <v>1.4</v>
      </c>
      <c r="G255" s="41">
        <v>7.5</v>
      </c>
      <c r="H255" s="41">
        <v>0.7</v>
      </c>
      <c r="I255" s="41" t="s">
        <v>284</v>
      </c>
      <c r="J255" s="41" t="s">
        <v>284</v>
      </c>
      <c r="K255" s="41" t="s">
        <v>284</v>
      </c>
    </row>
    <row r="256" spans="1:11" x14ac:dyDescent="0.25">
      <c r="A256" s="39" t="s">
        <v>787</v>
      </c>
      <c r="B256" s="39" t="s">
        <v>788</v>
      </c>
      <c r="C256" s="40" t="s">
        <v>280</v>
      </c>
      <c r="D256" s="41">
        <v>2465.8000000000002</v>
      </c>
      <c r="E256" s="41">
        <v>2547.6</v>
      </c>
      <c r="F256" s="41">
        <v>81.8</v>
      </c>
      <c r="G256" s="41">
        <v>3.3</v>
      </c>
      <c r="H256" s="41">
        <v>0.3</v>
      </c>
      <c r="I256" s="41">
        <v>2818.5</v>
      </c>
      <c r="J256" s="41">
        <v>3433.3</v>
      </c>
      <c r="K256" s="41">
        <v>2</v>
      </c>
    </row>
    <row r="257" spans="1:12" x14ac:dyDescent="0.25">
      <c r="A257" s="39" t="s">
        <v>789</v>
      </c>
      <c r="B257" s="39" t="s">
        <v>790</v>
      </c>
      <c r="C257" s="40" t="s">
        <v>283</v>
      </c>
      <c r="D257" s="41">
        <v>1865.8</v>
      </c>
      <c r="E257" s="41">
        <v>1938.4</v>
      </c>
      <c r="F257" s="41">
        <v>72.599999999999994</v>
      </c>
      <c r="G257" s="41">
        <v>3.9</v>
      </c>
      <c r="H257" s="41">
        <v>0.4</v>
      </c>
      <c r="I257" s="41">
        <v>2258.6999999999998</v>
      </c>
      <c r="J257" s="41">
        <v>2721</v>
      </c>
      <c r="K257" s="41">
        <v>1.9</v>
      </c>
      <c r="L257" t="s">
        <v>26</v>
      </c>
    </row>
    <row r="258" spans="1:12" x14ac:dyDescent="0.25">
      <c r="A258" s="39" t="s">
        <v>791</v>
      </c>
      <c r="B258" s="39" t="s">
        <v>792</v>
      </c>
      <c r="C258" s="40" t="s">
        <v>280</v>
      </c>
      <c r="D258" s="41">
        <v>577.4</v>
      </c>
      <c r="E258" s="41">
        <v>588.29999999999995</v>
      </c>
      <c r="F258" s="41">
        <v>10.9</v>
      </c>
      <c r="G258" s="41">
        <v>1.9</v>
      </c>
      <c r="H258" s="41">
        <v>0.2</v>
      </c>
      <c r="I258" s="41">
        <v>237.4</v>
      </c>
      <c r="J258" s="41">
        <v>298.89999999999998</v>
      </c>
      <c r="K258" s="41">
        <v>2.2999999999999998</v>
      </c>
      <c r="L258" t="s">
        <v>27</v>
      </c>
    </row>
    <row r="259" spans="1:12" x14ac:dyDescent="0.25">
      <c r="A259" s="39" t="s">
        <v>793</v>
      </c>
      <c r="B259" s="39" t="s">
        <v>794</v>
      </c>
      <c r="C259" s="40" t="s">
        <v>283</v>
      </c>
      <c r="D259" s="41">
        <v>362.3</v>
      </c>
      <c r="E259" s="41">
        <v>365.9</v>
      </c>
      <c r="F259" s="41">
        <v>3.6</v>
      </c>
      <c r="G259" s="41">
        <v>1</v>
      </c>
      <c r="H259" s="41">
        <v>0.1</v>
      </c>
      <c r="I259" s="41">
        <v>157.4</v>
      </c>
      <c r="J259" s="41">
        <v>192.8</v>
      </c>
      <c r="K259" s="41">
        <v>2.1</v>
      </c>
    </row>
    <row r="260" spans="1:12" x14ac:dyDescent="0.25">
      <c r="A260" s="39" t="s">
        <v>795</v>
      </c>
      <c r="B260" s="39" t="s">
        <v>796</v>
      </c>
      <c r="C260" s="40" t="s">
        <v>283</v>
      </c>
      <c r="D260" s="41">
        <v>215.1</v>
      </c>
      <c r="E260" s="41">
        <v>222.4</v>
      </c>
      <c r="F260" s="41">
        <v>7.3</v>
      </c>
      <c r="G260" s="41">
        <v>3.4</v>
      </c>
      <c r="H260" s="41">
        <v>0.3</v>
      </c>
      <c r="I260" s="41">
        <v>79.8</v>
      </c>
      <c r="J260" s="41">
        <v>105.3</v>
      </c>
      <c r="K260" s="41">
        <v>2.8</v>
      </c>
    </row>
    <row r="261" spans="1:12" x14ac:dyDescent="0.25">
      <c r="A261" s="39" t="s">
        <v>797</v>
      </c>
      <c r="B261" s="39" t="s">
        <v>798</v>
      </c>
      <c r="C261" s="40" t="s">
        <v>283</v>
      </c>
      <c r="D261" s="41">
        <v>22.6</v>
      </c>
      <c r="E261" s="41">
        <v>20.9</v>
      </c>
      <c r="F261" s="41">
        <v>-1.7</v>
      </c>
      <c r="G261" s="41">
        <v>-7.5</v>
      </c>
      <c r="H261" s="41">
        <v>-0.8</v>
      </c>
      <c r="I261" s="41">
        <v>323</v>
      </c>
      <c r="J261" s="41">
        <v>414.1</v>
      </c>
      <c r="K261" s="41">
        <v>2.5</v>
      </c>
    </row>
    <row r="262" spans="1:12" x14ac:dyDescent="0.25">
      <c r="A262" s="39" t="s">
        <v>799</v>
      </c>
      <c r="B262" s="39" t="s">
        <v>800</v>
      </c>
      <c r="C262" s="40" t="s">
        <v>280</v>
      </c>
      <c r="D262" s="41">
        <v>10825.8</v>
      </c>
      <c r="E262" s="41">
        <v>11638.3</v>
      </c>
      <c r="F262" s="41">
        <v>812.5</v>
      </c>
      <c r="G262" s="41">
        <v>7.5</v>
      </c>
      <c r="H262" s="41">
        <v>0.7</v>
      </c>
      <c r="I262" s="41">
        <v>3093.9</v>
      </c>
      <c r="J262" s="41">
        <v>3880.7</v>
      </c>
      <c r="K262" s="41">
        <v>2.2999999999999998</v>
      </c>
      <c r="L262" t="s">
        <v>27</v>
      </c>
    </row>
    <row r="263" spans="1:12" x14ac:dyDescent="0.25">
      <c r="A263" s="39" t="s">
        <v>801</v>
      </c>
      <c r="B263" s="39" t="s">
        <v>802</v>
      </c>
      <c r="C263" s="40" t="s">
        <v>280</v>
      </c>
      <c r="D263" s="41">
        <v>10825.8</v>
      </c>
      <c r="E263" s="41">
        <v>11638.3</v>
      </c>
      <c r="F263" s="41">
        <v>812.5</v>
      </c>
      <c r="G263" s="41">
        <v>7.5</v>
      </c>
      <c r="H263" s="41">
        <v>0.7</v>
      </c>
      <c r="I263" s="41">
        <v>3093.9</v>
      </c>
      <c r="J263" s="41">
        <v>3880.7</v>
      </c>
      <c r="K263" s="41">
        <v>2.2999999999999998</v>
      </c>
    </row>
    <row r="264" spans="1:12" x14ac:dyDescent="0.25">
      <c r="A264" s="39" t="s">
        <v>803</v>
      </c>
      <c r="B264" s="39" t="s">
        <v>804</v>
      </c>
      <c r="C264" s="40" t="s">
        <v>283</v>
      </c>
      <c r="D264" s="41">
        <v>1192.7</v>
      </c>
      <c r="E264" s="41">
        <v>1207.0999999999999</v>
      </c>
      <c r="F264" s="41">
        <v>14.4</v>
      </c>
      <c r="G264" s="41">
        <v>1.2</v>
      </c>
      <c r="H264" s="41">
        <v>0.1</v>
      </c>
      <c r="I264" s="41">
        <v>348.5</v>
      </c>
      <c r="J264" s="41">
        <v>408.9</v>
      </c>
      <c r="K264" s="41">
        <v>1.6</v>
      </c>
    </row>
    <row r="265" spans="1:12" x14ac:dyDescent="0.25">
      <c r="A265" s="39" t="s">
        <v>805</v>
      </c>
      <c r="B265" s="39" t="s">
        <v>806</v>
      </c>
      <c r="C265" s="40" t="s">
        <v>283</v>
      </c>
      <c r="D265" s="41">
        <v>1153.5</v>
      </c>
      <c r="E265" s="41">
        <v>1181.2</v>
      </c>
      <c r="F265" s="41">
        <v>27.7</v>
      </c>
      <c r="G265" s="41">
        <v>2.4</v>
      </c>
      <c r="H265" s="41">
        <v>0.2</v>
      </c>
      <c r="I265" s="41">
        <v>210</v>
      </c>
      <c r="J265" s="41">
        <v>258.60000000000002</v>
      </c>
      <c r="K265" s="41">
        <v>2.1</v>
      </c>
    </row>
    <row r="266" spans="1:12" x14ac:dyDescent="0.25">
      <c r="A266" s="39" t="s">
        <v>807</v>
      </c>
      <c r="B266" s="39" t="s">
        <v>808</v>
      </c>
      <c r="C266" s="40" t="s">
        <v>280</v>
      </c>
      <c r="D266" s="41">
        <v>1703.6</v>
      </c>
      <c r="E266" s="41">
        <v>1770.7</v>
      </c>
      <c r="F266" s="41">
        <v>67.099999999999994</v>
      </c>
      <c r="G266" s="41">
        <v>3.9</v>
      </c>
      <c r="H266" s="41">
        <v>0.4</v>
      </c>
      <c r="I266" s="41">
        <v>407.3</v>
      </c>
      <c r="J266" s="41">
        <v>480.1</v>
      </c>
      <c r="K266" s="41">
        <v>1.7</v>
      </c>
    </row>
    <row r="267" spans="1:12" x14ac:dyDescent="0.25">
      <c r="A267" s="39" t="s">
        <v>809</v>
      </c>
      <c r="B267" s="39" t="s">
        <v>810</v>
      </c>
      <c r="C267" s="40" t="s">
        <v>283</v>
      </c>
      <c r="D267" s="41">
        <v>1179.5999999999999</v>
      </c>
      <c r="E267" s="41">
        <v>1228.9000000000001</v>
      </c>
      <c r="F267" s="41">
        <v>49.3</v>
      </c>
      <c r="G267" s="41">
        <v>4.2</v>
      </c>
      <c r="H267" s="41">
        <v>0.4</v>
      </c>
      <c r="I267" s="41" t="s">
        <v>284</v>
      </c>
      <c r="J267" s="41" t="s">
        <v>284</v>
      </c>
      <c r="K267" s="41" t="s">
        <v>284</v>
      </c>
    </row>
    <row r="268" spans="1:12" x14ac:dyDescent="0.25">
      <c r="A268" s="39" t="s">
        <v>811</v>
      </c>
      <c r="B268" s="39" t="s">
        <v>812</v>
      </c>
      <c r="C268" s="40" t="s">
        <v>283</v>
      </c>
      <c r="D268" s="41">
        <v>179.5</v>
      </c>
      <c r="E268" s="41">
        <v>186.5</v>
      </c>
      <c r="F268" s="41">
        <v>7</v>
      </c>
      <c r="G268" s="41">
        <v>3.9</v>
      </c>
      <c r="H268" s="41">
        <v>0.4</v>
      </c>
      <c r="I268" s="41" t="s">
        <v>284</v>
      </c>
      <c r="J268" s="41" t="s">
        <v>284</v>
      </c>
      <c r="K268" s="41" t="s">
        <v>284</v>
      </c>
    </row>
    <row r="269" spans="1:12" x14ac:dyDescent="0.25">
      <c r="A269" s="39" t="s">
        <v>813</v>
      </c>
      <c r="B269" s="39" t="s">
        <v>814</v>
      </c>
      <c r="C269" s="40" t="s">
        <v>283</v>
      </c>
      <c r="D269" s="41">
        <v>151.1</v>
      </c>
      <c r="E269" s="41">
        <v>156.9</v>
      </c>
      <c r="F269" s="41">
        <v>5.8</v>
      </c>
      <c r="G269" s="41">
        <v>3.8</v>
      </c>
      <c r="H269" s="41">
        <v>0.4</v>
      </c>
      <c r="I269" s="41">
        <v>57.5</v>
      </c>
      <c r="J269" s="41">
        <v>70.3</v>
      </c>
      <c r="K269" s="41">
        <v>2</v>
      </c>
    </row>
    <row r="270" spans="1:12" x14ac:dyDescent="0.25">
      <c r="A270" s="39" t="s">
        <v>815</v>
      </c>
      <c r="B270" s="39" t="s">
        <v>816</v>
      </c>
      <c r="C270" s="40" t="s">
        <v>283</v>
      </c>
      <c r="D270" s="41">
        <v>2444.8000000000002</v>
      </c>
      <c r="E270" s="41">
        <v>2831.6</v>
      </c>
      <c r="F270" s="41">
        <v>386.8</v>
      </c>
      <c r="G270" s="41">
        <v>15.8</v>
      </c>
      <c r="H270" s="41">
        <v>1.5</v>
      </c>
      <c r="I270" s="41">
        <v>799</v>
      </c>
      <c r="J270" s="41">
        <v>1096.2</v>
      </c>
      <c r="K270" s="41">
        <v>3.2</v>
      </c>
    </row>
    <row r="271" spans="1:12" x14ac:dyDescent="0.25">
      <c r="A271" s="39" t="s">
        <v>817</v>
      </c>
      <c r="B271" s="39" t="s">
        <v>818</v>
      </c>
      <c r="C271" s="40" t="s">
        <v>283</v>
      </c>
      <c r="D271" s="41">
        <v>1864.7</v>
      </c>
      <c r="E271" s="41">
        <v>2039.3</v>
      </c>
      <c r="F271" s="41">
        <v>174.6</v>
      </c>
      <c r="G271" s="41">
        <v>9.4</v>
      </c>
      <c r="H271" s="41">
        <v>0.9</v>
      </c>
      <c r="I271" s="41">
        <v>493.3</v>
      </c>
      <c r="J271" s="41">
        <v>639.70000000000005</v>
      </c>
      <c r="K271" s="41">
        <v>2.6</v>
      </c>
    </row>
    <row r="272" spans="1:12" x14ac:dyDescent="0.25">
      <c r="A272" s="39" t="s">
        <v>819</v>
      </c>
      <c r="B272" s="39" t="s">
        <v>820</v>
      </c>
      <c r="C272" s="40" t="s">
        <v>280</v>
      </c>
      <c r="D272" s="41">
        <v>936.7</v>
      </c>
      <c r="E272" s="41">
        <v>1015.1</v>
      </c>
      <c r="F272" s="41">
        <v>78.400000000000006</v>
      </c>
      <c r="G272" s="41">
        <v>8.4</v>
      </c>
      <c r="H272" s="41">
        <v>0.8</v>
      </c>
      <c r="I272" s="41">
        <v>408.6</v>
      </c>
      <c r="J272" s="41">
        <v>499</v>
      </c>
      <c r="K272" s="41">
        <v>2</v>
      </c>
    </row>
    <row r="273" spans="1:12" x14ac:dyDescent="0.25">
      <c r="A273" s="39" t="s">
        <v>821</v>
      </c>
      <c r="B273" s="39" t="s">
        <v>822</v>
      </c>
      <c r="C273" s="40" t="s">
        <v>283</v>
      </c>
      <c r="D273" s="41">
        <v>866.7</v>
      </c>
      <c r="E273" s="41">
        <v>942.5</v>
      </c>
      <c r="F273" s="41">
        <v>75.8</v>
      </c>
      <c r="G273" s="41">
        <v>8.6999999999999993</v>
      </c>
      <c r="H273" s="41">
        <v>0.8</v>
      </c>
      <c r="I273" s="41" t="s">
        <v>284</v>
      </c>
      <c r="J273" s="41" t="s">
        <v>284</v>
      </c>
      <c r="K273" s="41" t="s">
        <v>284</v>
      </c>
    </row>
    <row r="274" spans="1:12" x14ac:dyDescent="0.25">
      <c r="A274" s="39" t="s">
        <v>823</v>
      </c>
      <c r="B274" s="39" t="s">
        <v>824</v>
      </c>
      <c r="C274" s="40" t="s">
        <v>283</v>
      </c>
      <c r="D274" s="41">
        <v>70</v>
      </c>
      <c r="E274" s="41">
        <v>72.599999999999994</v>
      </c>
      <c r="F274" s="41">
        <v>2.6</v>
      </c>
      <c r="G274" s="41">
        <v>3.7</v>
      </c>
      <c r="H274" s="41">
        <v>0.4</v>
      </c>
      <c r="I274" s="41" t="s">
        <v>284</v>
      </c>
      <c r="J274" s="41" t="s">
        <v>284</v>
      </c>
      <c r="K274" s="41" t="s">
        <v>284</v>
      </c>
    </row>
    <row r="275" spans="1:12" x14ac:dyDescent="0.25">
      <c r="A275" s="39" t="s">
        <v>825</v>
      </c>
      <c r="B275" s="39" t="s">
        <v>826</v>
      </c>
      <c r="C275" s="40" t="s">
        <v>283</v>
      </c>
      <c r="D275" s="41">
        <v>497.7</v>
      </c>
      <c r="E275" s="41">
        <v>509.6</v>
      </c>
      <c r="F275" s="41">
        <v>11.9</v>
      </c>
      <c r="G275" s="41">
        <v>2.4</v>
      </c>
      <c r="H275" s="41">
        <v>0.2</v>
      </c>
      <c r="I275" s="41">
        <v>197.3</v>
      </c>
      <c r="J275" s="41">
        <v>257.3</v>
      </c>
      <c r="K275" s="41">
        <v>2.7</v>
      </c>
    </row>
    <row r="276" spans="1:12" x14ac:dyDescent="0.25">
      <c r="A276" s="39" t="s">
        <v>827</v>
      </c>
      <c r="B276" s="39" t="s">
        <v>828</v>
      </c>
      <c r="C276" s="40" t="s">
        <v>280</v>
      </c>
      <c r="D276" s="41">
        <v>881</v>
      </c>
      <c r="E276" s="41">
        <v>926.8</v>
      </c>
      <c r="F276" s="41">
        <v>45.8</v>
      </c>
      <c r="G276" s="41">
        <v>5.2</v>
      </c>
      <c r="H276" s="41">
        <v>0.5</v>
      </c>
      <c r="I276" s="41">
        <v>200.2</v>
      </c>
      <c r="J276" s="41">
        <v>253.7</v>
      </c>
      <c r="K276" s="41">
        <v>2.4</v>
      </c>
    </row>
    <row r="277" spans="1:12" x14ac:dyDescent="0.25">
      <c r="A277" s="39" t="s">
        <v>829</v>
      </c>
      <c r="B277" s="39" t="s">
        <v>830</v>
      </c>
      <c r="C277" s="40" t="s">
        <v>283</v>
      </c>
      <c r="D277" s="41">
        <v>49</v>
      </c>
      <c r="E277" s="41">
        <v>44.8</v>
      </c>
      <c r="F277" s="41">
        <v>-4.2</v>
      </c>
      <c r="G277" s="41">
        <v>-8.5</v>
      </c>
      <c r="H277" s="41">
        <v>-0.9</v>
      </c>
      <c r="I277" s="41">
        <v>16.899999999999999</v>
      </c>
      <c r="J277" s="41">
        <v>21.4</v>
      </c>
      <c r="K277" s="41">
        <v>2.4</v>
      </c>
    </row>
    <row r="278" spans="1:12" x14ac:dyDescent="0.25">
      <c r="A278" s="39" t="s">
        <v>831</v>
      </c>
      <c r="B278" s="39" t="s">
        <v>832</v>
      </c>
      <c r="C278" s="40" t="s">
        <v>283</v>
      </c>
      <c r="D278" s="41">
        <v>467</v>
      </c>
      <c r="E278" s="41">
        <v>504.1</v>
      </c>
      <c r="F278" s="41">
        <v>37.1</v>
      </c>
      <c r="G278" s="41">
        <v>7.9</v>
      </c>
      <c r="H278" s="41">
        <v>0.8</v>
      </c>
      <c r="I278" s="41">
        <v>54.9</v>
      </c>
      <c r="J278" s="41">
        <v>72.099999999999994</v>
      </c>
      <c r="K278" s="41">
        <v>2.8</v>
      </c>
    </row>
    <row r="279" spans="1:12" x14ac:dyDescent="0.25">
      <c r="A279" s="39" t="s">
        <v>833</v>
      </c>
      <c r="B279" s="39" t="s">
        <v>834</v>
      </c>
      <c r="C279" s="40" t="s">
        <v>280</v>
      </c>
      <c r="D279" s="41">
        <v>2617.1</v>
      </c>
      <c r="E279" s="41">
        <v>2732</v>
      </c>
      <c r="F279" s="41">
        <v>114.9</v>
      </c>
      <c r="G279" s="41">
        <v>4.4000000000000004</v>
      </c>
      <c r="H279" s="41">
        <v>0.4</v>
      </c>
      <c r="I279" s="41">
        <v>793.6</v>
      </c>
      <c r="J279" s="41">
        <v>1012.1</v>
      </c>
      <c r="K279" s="41">
        <v>2.5</v>
      </c>
      <c r="L279" t="s">
        <v>27</v>
      </c>
    </row>
    <row r="280" spans="1:12" x14ac:dyDescent="0.25">
      <c r="A280" s="39" t="s">
        <v>835</v>
      </c>
      <c r="B280" s="39" t="s">
        <v>836</v>
      </c>
      <c r="C280" s="40" t="s">
        <v>283</v>
      </c>
      <c r="D280" s="41">
        <v>2617.1</v>
      </c>
      <c r="E280" s="41">
        <v>2732</v>
      </c>
      <c r="F280" s="41">
        <v>114.9</v>
      </c>
      <c r="G280" s="41">
        <v>4.4000000000000004</v>
      </c>
      <c r="H280" s="41">
        <v>0.4</v>
      </c>
      <c r="I280" s="41">
        <v>793.6</v>
      </c>
      <c r="J280" s="41">
        <v>1012.1</v>
      </c>
      <c r="K280" s="41">
        <v>2.5</v>
      </c>
    </row>
    <row r="281" spans="1:12" x14ac:dyDescent="0.25">
      <c r="A281" s="39" t="s">
        <v>837</v>
      </c>
      <c r="B281" s="39" t="s">
        <v>838</v>
      </c>
      <c r="C281" s="40" t="s">
        <v>280</v>
      </c>
      <c r="D281" s="41">
        <v>9177.7999999999993</v>
      </c>
      <c r="E281" s="41">
        <v>9279.5</v>
      </c>
      <c r="F281" s="41">
        <v>101.7</v>
      </c>
      <c r="G281" s="41">
        <v>1.1000000000000001</v>
      </c>
      <c r="H281" s="41">
        <v>0.1</v>
      </c>
      <c r="I281" s="41">
        <v>1238.0999999999999</v>
      </c>
      <c r="J281" s="41">
        <v>1548.7</v>
      </c>
      <c r="K281" s="41">
        <v>2.2999999999999998</v>
      </c>
      <c r="L281" t="s">
        <v>27</v>
      </c>
    </row>
    <row r="282" spans="1:12" x14ac:dyDescent="0.25">
      <c r="A282" s="39" t="s">
        <v>839</v>
      </c>
      <c r="B282" s="39" t="s">
        <v>840</v>
      </c>
      <c r="C282" s="40" t="s">
        <v>280</v>
      </c>
      <c r="D282" s="41">
        <v>8666.2999999999993</v>
      </c>
      <c r="E282" s="41">
        <v>8738</v>
      </c>
      <c r="F282" s="41">
        <v>71.7</v>
      </c>
      <c r="G282" s="41">
        <v>0.8</v>
      </c>
      <c r="H282" s="41">
        <v>0.1</v>
      </c>
      <c r="I282" s="41">
        <v>1112.7</v>
      </c>
      <c r="J282" s="41">
        <v>1404.9</v>
      </c>
      <c r="K282" s="41">
        <v>2.4</v>
      </c>
    </row>
    <row r="283" spans="1:12" x14ac:dyDescent="0.25">
      <c r="A283" s="39" t="s">
        <v>841</v>
      </c>
      <c r="B283" s="39" t="s">
        <v>842</v>
      </c>
      <c r="C283" s="40" t="s">
        <v>283</v>
      </c>
      <c r="D283" s="41">
        <v>619.20000000000005</v>
      </c>
      <c r="E283" s="41">
        <v>655.6</v>
      </c>
      <c r="F283" s="41">
        <v>36.4</v>
      </c>
      <c r="G283" s="41">
        <v>5.9</v>
      </c>
      <c r="H283" s="41">
        <v>0.6</v>
      </c>
      <c r="I283" s="41">
        <v>94.1</v>
      </c>
      <c r="J283" s="41">
        <v>119.1</v>
      </c>
      <c r="K283" s="41">
        <v>2.4</v>
      </c>
    </row>
    <row r="284" spans="1:12" x14ac:dyDescent="0.25">
      <c r="A284" s="39" t="s">
        <v>843</v>
      </c>
      <c r="B284" s="39" t="s">
        <v>844</v>
      </c>
      <c r="C284" s="40" t="s">
        <v>283</v>
      </c>
      <c r="D284" s="41">
        <v>181.2</v>
      </c>
      <c r="E284" s="41">
        <v>191.9</v>
      </c>
      <c r="F284" s="41">
        <v>10.7</v>
      </c>
      <c r="G284" s="41">
        <v>5.9</v>
      </c>
      <c r="H284" s="41">
        <v>0.6</v>
      </c>
      <c r="I284" s="41">
        <v>28.4</v>
      </c>
      <c r="J284" s="41">
        <v>32.5</v>
      </c>
      <c r="K284" s="41">
        <v>1.4</v>
      </c>
    </row>
    <row r="285" spans="1:12" x14ac:dyDescent="0.25">
      <c r="A285" s="39" t="s">
        <v>845</v>
      </c>
      <c r="B285" s="39" t="s">
        <v>846</v>
      </c>
      <c r="C285" s="40" t="s">
        <v>280</v>
      </c>
      <c r="D285" s="41">
        <v>3332.3</v>
      </c>
      <c r="E285" s="41">
        <v>3240</v>
      </c>
      <c r="F285" s="41">
        <v>-92.3</v>
      </c>
      <c r="G285" s="41">
        <v>-2.8</v>
      </c>
      <c r="H285" s="41">
        <v>-0.3</v>
      </c>
      <c r="I285" s="41">
        <v>424.6</v>
      </c>
      <c r="J285" s="41">
        <v>545.20000000000005</v>
      </c>
      <c r="K285" s="41">
        <v>2.5</v>
      </c>
    </row>
    <row r="286" spans="1:12" x14ac:dyDescent="0.25">
      <c r="A286" s="39" t="s">
        <v>847</v>
      </c>
      <c r="B286" s="39" t="s">
        <v>848</v>
      </c>
      <c r="C286" s="40" t="s">
        <v>283</v>
      </c>
      <c r="D286" s="41">
        <v>2612.1</v>
      </c>
      <c r="E286" s="41">
        <v>2556.4</v>
      </c>
      <c r="F286" s="41">
        <v>-55.7</v>
      </c>
      <c r="G286" s="41">
        <v>-2.1</v>
      </c>
      <c r="H286" s="41">
        <v>-0.2</v>
      </c>
      <c r="I286" s="41" t="s">
        <v>284</v>
      </c>
      <c r="J286" s="41" t="s">
        <v>284</v>
      </c>
      <c r="K286" s="41" t="s">
        <v>284</v>
      </c>
    </row>
    <row r="287" spans="1:12" x14ac:dyDescent="0.25">
      <c r="A287" s="39" t="s">
        <v>849</v>
      </c>
      <c r="B287" s="39" t="s">
        <v>850</v>
      </c>
      <c r="C287" s="40" t="s">
        <v>283</v>
      </c>
      <c r="D287" s="41">
        <v>691</v>
      </c>
      <c r="E287" s="41">
        <v>671.8</v>
      </c>
      <c r="F287" s="41">
        <v>-19.2</v>
      </c>
      <c r="G287" s="41">
        <v>-2.8</v>
      </c>
      <c r="H287" s="41">
        <v>-0.3</v>
      </c>
      <c r="I287" s="41">
        <v>87.4</v>
      </c>
      <c r="J287" s="41">
        <v>108.6</v>
      </c>
      <c r="K287" s="41">
        <v>2.2000000000000002</v>
      </c>
    </row>
    <row r="288" spans="1:12" x14ac:dyDescent="0.25">
      <c r="A288" s="39" t="s">
        <v>851</v>
      </c>
      <c r="B288" s="39" t="s">
        <v>852</v>
      </c>
      <c r="C288" s="40" t="s">
        <v>283</v>
      </c>
      <c r="D288" s="41">
        <v>189.3</v>
      </c>
      <c r="E288" s="41">
        <v>198.5</v>
      </c>
      <c r="F288" s="41">
        <v>9.1999999999999993</v>
      </c>
      <c r="G288" s="41">
        <v>4.9000000000000004</v>
      </c>
      <c r="H288" s="41">
        <v>0.5</v>
      </c>
      <c r="I288" s="41">
        <v>83.7</v>
      </c>
      <c r="J288" s="41">
        <v>107.2</v>
      </c>
      <c r="K288" s="41">
        <v>2.5</v>
      </c>
    </row>
    <row r="289" spans="1:12" x14ac:dyDescent="0.25">
      <c r="A289" s="39" t="s">
        <v>853</v>
      </c>
      <c r="B289" s="39" t="s">
        <v>854</v>
      </c>
      <c r="C289" s="40" t="s">
        <v>280</v>
      </c>
      <c r="D289" s="41">
        <v>1025.8</v>
      </c>
      <c r="E289" s="41">
        <v>1086.0999999999999</v>
      </c>
      <c r="F289" s="41">
        <v>60.3</v>
      </c>
      <c r="G289" s="41">
        <v>5.9</v>
      </c>
      <c r="H289" s="41">
        <v>0.6</v>
      </c>
      <c r="I289" s="41">
        <v>61.2</v>
      </c>
      <c r="J289" s="41">
        <v>74.599999999999994</v>
      </c>
      <c r="K289" s="41">
        <v>2</v>
      </c>
    </row>
    <row r="290" spans="1:12" x14ac:dyDescent="0.25">
      <c r="A290" s="39" t="s">
        <v>855</v>
      </c>
      <c r="B290" s="39" t="s">
        <v>856</v>
      </c>
      <c r="C290" s="40" t="s">
        <v>283</v>
      </c>
      <c r="D290" s="41">
        <v>868.6</v>
      </c>
      <c r="E290" s="41">
        <v>910.2</v>
      </c>
      <c r="F290" s="41">
        <v>41.6</v>
      </c>
      <c r="G290" s="41">
        <v>4.8</v>
      </c>
      <c r="H290" s="41">
        <v>0.5</v>
      </c>
      <c r="I290" s="41" t="s">
        <v>284</v>
      </c>
      <c r="J290" s="41" t="s">
        <v>284</v>
      </c>
      <c r="K290" s="41" t="s">
        <v>284</v>
      </c>
    </row>
    <row r="291" spans="1:12" x14ac:dyDescent="0.25">
      <c r="A291" s="39" t="s">
        <v>857</v>
      </c>
      <c r="B291" s="39" t="s">
        <v>858</v>
      </c>
      <c r="C291" s="40" t="s">
        <v>283</v>
      </c>
      <c r="D291" s="41">
        <v>157.19999999999999</v>
      </c>
      <c r="E291" s="41">
        <v>176</v>
      </c>
      <c r="F291" s="41">
        <v>18.8</v>
      </c>
      <c r="G291" s="41">
        <v>11.9</v>
      </c>
      <c r="H291" s="41">
        <v>1.1000000000000001</v>
      </c>
      <c r="I291" s="41" t="s">
        <v>284</v>
      </c>
      <c r="J291" s="41" t="s">
        <v>284</v>
      </c>
      <c r="K291" s="41" t="s">
        <v>284</v>
      </c>
    </row>
    <row r="292" spans="1:12" x14ac:dyDescent="0.25">
      <c r="A292" s="39" t="s">
        <v>859</v>
      </c>
      <c r="B292" s="39" t="s">
        <v>860</v>
      </c>
      <c r="C292" s="40" t="s">
        <v>280</v>
      </c>
      <c r="D292" s="41">
        <v>2293.8000000000002</v>
      </c>
      <c r="E292" s="41">
        <v>2348.9</v>
      </c>
      <c r="F292" s="41">
        <v>55.1</v>
      </c>
      <c r="G292" s="41">
        <v>2.4</v>
      </c>
      <c r="H292" s="41">
        <v>0.2</v>
      </c>
      <c r="I292" s="41">
        <v>264.5</v>
      </c>
      <c r="J292" s="41">
        <v>331.3</v>
      </c>
      <c r="K292" s="41">
        <v>2.2999999999999998</v>
      </c>
    </row>
    <row r="293" spans="1:12" x14ac:dyDescent="0.25">
      <c r="A293" s="39" t="s">
        <v>861</v>
      </c>
      <c r="B293" s="39" t="s">
        <v>862</v>
      </c>
      <c r="C293" s="40" t="s">
        <v>283</v>
      </c>
      <c r="D293" s="41">
        <v>153.5</v>
      </c>
      <c r="E293" s="41">
        <v>158.5</v>
      </c>
      <c r="F293" s="41">
        <v>5</v>
      </c>
      <c r="G293" s="41">
        <v>3.3</v>
      </c>
      <c r="H293" s="41">
        <v>0.3</v>
      </c>
      <c r="I293" s="41" t="s">
        <v>284</v>
      </c>
      <c r="J293" s="41" t="s">
        <v>284</v>
      </c>
      <c r="K293" s="41" t="s">
        <v>284</v>
      </c>
    </row>
    <row r="294" spans="1:12" x14ac:dyDescent="0.25">
      <c r="A294" s="39" t="s">
        <v>863</v>
      </c>
      <c r="B294" s="39" t="s">
        <v>864</v>
      </c>
      <c r="C294" s="40" t="s">
        <v>283</v>
      </c>
      <c r="D294" s="41">
        <v>911.2</v>
      </c>
      <c r="E294" s="41">
        <v>934.8</v>
      </c>
      <c r="F294" s="41">
        <v>23.6</v>
      </c>
      <c r="G294" s="41">
        <v>2.6</v>
      </c>
      <c r="H294" s="41">
        <v>0.3</v>
      </c>
      <c r="I294" s="41" t="s">
        <v>284</v>
      </c>
      <c r="J294" s="41" t="s">
        <v>284</v>
      </c>
      <c r="K294" s="41" t="s">
        <v>284</v>
      </c>
    </row>
    <row r="295" spans="1:12" x14ac:dyDescent="0.25">
      <c r="A295" s="39" t="s">
        <v>865</v>
      </c>
      <c r="B295" s="39" t="s">
        <v>866</v>
      </c>
      <c r="C295" s="40" t="s">
        <v>283</v>
      </c>
      <c r="D295" s="41">
        <v>333.7</v>
      </c>
      <c r="E295" s="41">
        <v>345.2</v>
      </c>
      <c r="F295" s="41">
        <v>11.5</v>
      </c>
      <c r="G295" s="41">
        <v>3.4</v>
      </c>
      <c r="H295" s="41">
        <v>0.3</v>
      </c>
      <c r="I295" s="41">
        <v>72.2</v>
      </c>
      <c r="J295" s="41">
        <v>91.8</v>
      </c>
      <c r="K295" s="41">
        <v>2.4</v>
      </c>
    </row>
    <row r="296" spans="1:12" x14ac:dyDescent="0.25">
      <c r="A296" s="39" t="s">
        <v>867</v>
      </c>
      <c r="B296" s="39" t="s">
        <v>868</v>
      </c>
      <c r="C296" s="40" t="s">
        <v>280</v>
      </c>
      <c r="D296" s="41">
        <v>511.5</v>
      </c>
      <c r="E296" s="41">
        <v>541.5</v>
      </c>
      <c r="F296" s="41">
        <v>30</v>
      </c>
      <c r="G296" s="41">
        <v>5.9</v>
      </c>
      <c r="H296" s="41">
        <v>0.6</v>
      </c>
      <c r="I296" s="41">
        <v>125.4</v>
      </c>
      <c r="J296" s="41">
        <v>146.4</v>
      </c>
      <c r="K296" s="41">
        <v>1.6</v>
      </c>
      <c r="L296" t="s">
        <v>44</v>
      </c>
    </row>
    <row r="297" spans="1:12" x14ac:dyDescent="0.25">
      <c r="A297" s="39" t="s">
        <v>869</v>
      </c>
      <c r="B297" s="39" t="s">
        <v>870</v>
      </c>
      <c r="C297" s="40" t="s">
        <v>283</v>
      </c>
      <c r="D297" s="41">
        <v>217.2</v>
      </c>
      <c r="E297" s="41">
        <v>230.2</v>
      </c>
      <c r="F297" s="41">
        <v>13</v>
      </c>
      <c r="G297" s="41">
        <v>6</v>
      </c>
      <c r="H297" s="41">
        <v>0.6</v>
      </c>
      <c r="I297" s="41" t="s">
        <v>284</v>
      </c>
      <c r="J297" s="41" t="s">
        <v>284</v>
      </c>
      <c r="K297" s="41" t="s">
        <v>284</v>
      </c>
    </row>
    <row r="298" spans="1:12" x14ac:dyDescent="0.25">
      <c r="A298" s="39" t="s">
        <v>871</v>
      </c>
      <c r="B298" s="39" t="s">
        <v>872</v>
      </c>
      <c r="C298" s="40" t="s">
        <v>283</v>
      </c>
      <c r="D298" s="41">
        <v>108.4</v>
      </c>
      <c r="E298" s="41">
        <v>112.6</v>
      </c>
      <c r="F298" s="41">
        <v>4.2</v>
      </c>
      <c r="G298" s="41">
        <v>3.9</v>
      </c>
      <c r="H298" s="41">
        <v>0.4</v>
      </c>
      <c r="I298" s="41" t="s">
        <v>284</v>
      </c>
      <c r="J298" s="41" t="s">
        <v>284</v>
      </c>
      <c r="K298" s="41" t="s">
        <v>284</v>
      </c>
    </row>
    <row r="299" spans="1:12" x14ac:dyDescent="0.25">
      <c r="A299" s="39" t="s">
        <v>873</v>
      </c>
      <c r="B299" s="39" t="s">
        <v>874</v>
      </c>
      <c r="C299" s="40" t="s">
        <v>283</v>
      </c>
      <c r="D299" s="41">
        <v>185.9</v>
      </c>
      <c r="E299" s="41">
        <v>198.7</v>
      </c>
      <c r="F299" s="41">
        <v>12.8</v>
      </c>
      <c r="G299" s="41">
        <v>6.9</v>
      </c>
      <c r="H299" s="41">
        <v>0.7</v>
      </c>
      <c r="I299" s="41" t="s">
        <v>284</v>
      </c>
      <c r="J299" s="41" t="s">
        <v>284</v>
      </c>
      <c r="K299" s="41" t="s">
        <v>284</v>
      </c>
    </row>
    <row r="300" spans="1:12" x14ac:dyDescent="0.25">
      <c r="A300" s="39" t="s">
        <v>875</v>
      </c>
      <c r="B300" s="39" t="s">
        <v>876</v>
      </c>
      <c r="C300" s="40" t="s">
        <v>280</v>
      </c>
      <c r="D300" s="41">
        <v>14704.4</v>
      </c>
      <c r="E300" s="41">
        <v>14716.3</v>
      </c>
      <c r="F300" s="41">
        <v>11.9</v>
      </c>
      <c r="G300" s="41">
        <v>0.1</v>
      </c>
      <c r="H300" s="41">
        <v>0</v>
      </c>
      <c r="I300" s="41" t="s">
        <v>284</v>
      </c>
      <c r="J300" s="41" t="s">
        <v>284</v>
      </c>
      <c r="K300" s="41" t="s">
        <v>284</v>
      </c>
    </row>
    <row r="301" spans="1:12" x14ac:dyDescent="0.25">
      <c r="A301" s="39" t="s">
        <v>877</v>
      </c>
      <c r="B301" s="39" t="s">
        <v>878</v>
      </c>
      <c r="C301" s="40" t="s">
        <v>280</v>
      </c>
      <c r="D301" s="41">
        <v>14704.4</v>
      </c>
      <c r="E301" s="41">
        <v>14716.3</v>
      </c>
      <c r="F301" s="41">
        <v>11.9</v>
      </c>
      <c r="G301" s="41">
        <v>0.1</v>
      </c>
      <c r="H301" s="41">
        <v>0</v>
      </c>
      <c r="I301" s="41" t="s">
        <v>284</v>
      </c>
      <c r="J301" s="41" t="s">
        <v>284</v>
      </c>
      <c r="K301" s="41" t="s">
        <v>284</v>
      </c>
    </row>
    <row r="302" spans="1:12" x14ac:dyDescent="0.25">
      <c r="A302" s="39" t="s">
        <v>879</v>
      </c>
      <c r="B302" s="39" t="s">
        <v>880</v>
      </c>
      <c r="C302" s="40" t="s">
        <v>280</v>
      </c>
      <c r="D302" s="41">
        <v>3962.5</v>
      </c>
      <c r="E302" s="41">
        <v>4036.8</v>
      </c>
      <c r="F302" s="41">
        <v>74.3</v>
      </c>
      <c r="G302" s="41">
        <v>1.9</v>
      </c>
      <c r="H302" s="41">
        <v>0.2</v>
      </c>
      <c r="I302" s="41">
        <v>412.5</v>
      </c>
      <c r="J302" s="41">
        <v>475.5</v>
      </c>
      <c r="K302" s="41">
        <v>1.4</v>
      </c>
      <c r="L302" t="s">
        <v>29</v>
      </c>
    </row>
    <row r="303" spans="1:12" x14ac:dyDescent="0.25">
      <c r="A303" s="39" t="s">
        <v>881</v>
      </c>
      <c r="B303" s="39" t="s">
        <v>882</v>
      </c>
      <c r="C303" s="40" t="s">
        <v>283</v>
      </c>
      <c r="D303" s="41">
        <v>1199.4000000000001</v>
      </c>
      <c r="E303" s="41">
        <v>1194.5999999999999</v>
      </c>
      <c r="F303" s="41">
        <v>-4.8</v>
      </c>
      <c r="G303" s="41">
        <v>-0.4</v>
      </c>
      <c r="H303" s="41">
        <v>0</v>
      </c>
      <c r="I303" s="41">
        <v>55.5</v>
      </c>
      <c r="J303" s="41">
        <v>58.5</v>
      </c>
      <c r="K303" s="41">
        <v>0.5</v>
      </c>
    </row>
    <row r="304" spans="1:12" x14ac:dyDescent="0.25">
      <c r="A304" s="39" t="s">
        <v>883</v>
      </c>
      <c r="B304" s="39" t="s">
        <v>884</v>
      </c>
      <c r="C304" s="40" t="s">
        <v>280</v>
      </c>
      <c r="D304" s="41">
        <v>1790.5</v>
      </c>
      <c r="E304" s="41">
        <v>1797.9</v>
      </c>
      <c r="F304" s="41">
        <v>7.4</v>
      </c>
      <c r="G304" s="41">
        <v>0.4</v>
      </c>
      <c r="H304" s="41">
        <v>0</v>
      </c>
      <c r="I304" s="41">
        <v>238.6</v>
      </c>
      <c r="J304" s="41">
        <v>267.5</v>
      </c>
      <c r="K304" s="41">
        <v>1.2</v>
      </c>
    </row>
    <row r="305" spans="1:12" x14ac:dyDescent="0.25">
      <c r="A305" s="39" t="s">
        <v>885</v>
      </c>
      <c r="B305" s="39" t="s">
        <v>886</v>
      </c>
      <c r="C305" s="40" t="s">
        <v>283</v>
      </c>
      <c r="D305" s="41">
        <v>27.5</v>
      </c>
      <c r="E305" s="41">
        <v>27.1</v>
      </c>
      <c r="F305" s="41">
        <v>-0.5</v>
      </c>
      <c r="G305" s="41">
        <v>-1.7</v>
      </c>
      <c r="H305" s="41">
        <v>-0.1</v>
      </c>
      <c r="I305" s="41" t="s">
        <v>284</v>
      </c>
      <c r="J305" s="41" t="s">
        <v>284</v>
      </c>
      <c r="K305" s="41" t="s">
        <v>284</v>
      </c>
    </row>
    <row r="306" spans="1:12" x14ac:dyDescent="0.25">
      <c r="A306" s="39" t="s">
        <v>887</v>
      </c>
      <c r="B306" s="39" t="s">
        <v>888</v>
      </c>
      <c r="C306" s="40" t="s">
        <v>283</v>
      </c>
      <c r="D306" s="41">
        <v>1763</v>
      </c>
      <c r="E306" s="41">
        <v>1770.8</v>
      </c>
      <c r="F306" s="41">
        <v>7.9</v>
      </c>
      <c r="G306" s="41">
        <v>0.4</v>
      </c>
      <c r="H306" s="41">
        <v>0</v>
      </c>
      <c r="I306" s="41" t="s">
        <v>284</v>
      </c>
      <c r="J306" s="41" t="s">
        <v>284</v>
      </c>
      <c r="K306" s="41" t="s">
        <v>284</v>
      </c>
    </row>
    <row r="307" spans="1:12" x14ac:dyDescent="0.25">
      <c r="A307" s="39" t="s">
        <v>889</v>
      </c>
      <c r="B307" s="39" t="s">
        <v>890</v>
      </c>
      <c r="C307" s="40" t="s">
        <v>280</v>
      </c>
      <c r="D307" s="41">
        <v>972.6</v>
      </c>
      <c r="E307" s="41">
        <v>1044.3</v>
      </c>
      <c r="F307" s="41">
        <v>71.7</v>
      </c>
      <c r="G307" s="41">
        <v>7.4</v>
      </c>
      <c r="H307" s="41">
        <v>0.7</v>
      </c>
      <c r="I307" s="41">
        <v>119.4</v>
      </c>
      <c r="J307" s="41">
        <v>153.4</v>
      </c>
      <c r="K307" s="41">
        <v>2.5</v>
      </c>
    </row>
    <row r="308" spans="1:12" x14ac:dyDescent="0.25">
      <c r="A308" s="39" t="s">
        <v>891</v>
      </c>
      <c r="B308" s="39" t="s">
        <v>892</v>
      </c>
      <c r="C308" s="40" t="s">
        <v>283</v>
      </c>
      <c r="D308" s="41">
        <v>85.5</v>
      </c>
      <c r="E308" s="41">
        <v>94</v>
      </c>
      <c r="F308" s="41">
        <v>8.5</v>
      </c>
      <c r="G308" s="41">
        <v>9.9</v>
      </c>
      <c r="H308" s="41">
        <v>1</v>
      </c>
      <c r="I308" s="41" t="s">
        <v>284</v>
      </c>
      <c r="J308" s="41" t="s">
        <v>284</v>
      </c>
      <c r="K308" s="41" t="s">
        <v>284</v>
      </c>
    </row>
    <row r="309" spans="1:12" x14ac:dyDescent="0.25">
      <c r="A309" s="39" t="s">
        <v>893</v>
      </c>
      <c r="B309" s="39" t="s">
        <v>894</v>
      </c>
      <c r="C309" s="40" t="s">
        <v>283</v>
      </c>
      <c r="D309" s="41">
        <v>129.19999999999999</v>
      </c>
      <c r="E309" s="41">
        <v>134.69999999999999</v>
      </c>
      <c r="F309" s="41">
        <v>5.5</v>
      </c>
      <c r="G309" s="41">
        <v>4.3</v>
      </c>
      <c r="H309" s="41">
        <v>0.4</v>
      </c>
      <c r="I309" s="41" t="s">
        <v>284</v>
      </c>
      <c r="J309" s="41" t="s">
        <v>284</v>
      </c>
      <c r="K309" s="41" t="s">
        <v>284</v>
      </c>
    </row>
    <row r="310" spans="1:12" x14ac:dyDescent="0.25">
      <c r="A310" s="39" t="s">
        <v>895</v>
      </c>
      <c r="B310" s="39" t="s">
        <v>896</v>
      </c>
      <c r="C310" s="40" t="s">
        <v>283</v>
      </c>
      <c r="D310" s="41">
        <v>550.20000000000005</v>
      </c>
      <c r="E310" s="41">
        <v>588.5</v>
      </c>
      <c r="F310" s="41">
        <v>38.299999999999997</v>
      </c>
      <c r="G310" s="41">
        <v>7</v>
      </c>
      <c r="H310" s="41">
        <v>0.7</v>
      </c>
      <c r="I310" s="41" t="s">
        <v>284</v>
      </c>
      <c r="J310" s="41" t="s">
        <v>284</v>
      </c>
      <c r="K310" s="41" t="s">
        <v>284</v>
      </c>
    </row>
    <row r="311" spans="1:12" x14ac:dyDescent="0.25">
      <c r="A311" s="39" t="s">
        <v>897</v>
      </c>
      <c r="B311" s="39" t="s">
        <v>898</v>
      </c>
      <c r="C311" s="40" t="s">
        <v>283</v>
      </c>
      <c r="D311" s="41">
        <v>207.7</v>
      </c>
      <c r="E311" s="41">
        <v>227.1</v>
      </c>
      <c r="F311" s="41">
        <v>19.399999999999999</v>
      </c>
      <c r="G311" s="41">
        <v>9.4</v>
      </c>
      <c r="H311" s="41">
        <v>0.9</v>
      </c>
      <c r="I311" s="41" t="s">
        <v>284</v>
      </c>
      <c r="J311" s="41" t="s">
        <v>284</v>
      </c>
      <c r="K311" s="41" t="s">
        <v>284</v>
      </c>
    </row>
    <row r="312" spans="1:12" x14ac:dyDescent="0.25">
      <c r="A312" s="39" t="s">
        <v>899</v>
      </c>
      <c r="B312" s="39" t="s">
        <v>900</v>
      </c>
      <c r="C312" s="40" t="s">
        <v>280</v>
      </c>
      <c r="D312" s="41">
        <v>10741.9</v>
      </c>
      <c r="E312" s="41">
        <v>10679.5</v>
      </c>
      <c r="F312" s="41">
        <v>-62.4</v>
      </c>
      <c r="G312" s="41">
        <v>-0.6</v>
      </c>
      <c r="H312" s="41">
        <v>-0.1</v>
      </c>
      <c r="I312" s="41">
        <v>1172.9000000000001</v>
      </c>
      <c r="J312" s="41">
        <v>1183.5999999999999</v>
      </c>
      <c r="K312" s="41">
        <v>0.1</v>
      </c>
      <c r="L312" t="s">
        <v>29</v>
      </c>
    </row>
    <row r="313" spans="1:12" x14ac:dyDescent="0.25">
      <c r="A313" s="39" t="s">
        <v>901</v>
      </c>
      <c r="B313" s="39" t="s">
        <v>902</v>
      </c>
      <c r="C313" s="40" t="s">
        <v>283</v>
      </c>
      <c r="D313" s="41">
        <v>81.599999999999994</v>
      </c>
      <c r="E313" s="41">
        <v>77.599999999999994</v>
      </c>
      <c r="F313" s="41">
        <v>-4</v>
      </c>
      <c r="G313" s="41">
        <v>-4.9000000000000004</v>
      </c>
      <c r="H313" s="41">
        <v>-0.5</v>
      </c>
      <c r="I313" s="41" t="s">
        <v>284</v>
      </c>
      <c r="J313" s="41" t="s">
        <v>284</v>
      </c>
      <c r="K313" s="41" t="s">
        <v>284</v>
      </c>
    </row>
    <row r="314" spans="1:12" x14ac:dyDescent="0.25">
      <c r="A314" s="39" t="s">
        <v>903</v>
      </c>
      <c r="B314" s="39" t="s">
        <v>904</v>
      </c>
      <c r="C314" s="40" t="s">
        <v>283</v>
      </c>
      <c r="D314" s="41">
        <v>7600.9</v>
      </c>
      <c r="E314" s="41">
        <v>7413</v>
      </c>
      <c r="F314" s="41">
        <v>-187.9</v>
      </c>
      <c r="G314" s="41">
        <v>-2.5</v>
      </c>
      <c r="H314" s="41">
        <v>-0.3</v>
      </c>
      <c r="I314" s="41" t="s">
        <v>284</v>
      </c>
      <c r="J314" s="41" t="s">
        <v>284</v>
      </c>
      <c r="K314" s="41" t="s">
        <v>284</v>
      </c>
    </row>
    <row r="315" spans="1:12" x14ac:dyDescent="0.25">
      <c r="A315" s="39" t="s">
        <v>905</v>
      </c>
      <c r="B315" s="39" t="s">
        <v>906</v>
      </c>
      <c r="C315" s="40" t="s">
        <v>280</v>
      </c>
      <c r="D315" s="41">
        <v>2977.5</v>
      </c>
      <c r="E315" s="41">
        <v>3100.1</v>
      </c>
      <c r="F315" s="41">
        <v>122.5</v>
      </c>
      <c r="G315" s="41">
        <v>4.0999999999999996</v>
      </c>
      <c r="H315" s="41">
        <v>0.4</v>
      </c>
      <c r="I315" s="41" t="s">
        <v>284</v>
      </c>
      <c r="J315" s="41" t="s">
        <v>284</v>
      </c>
      <c r="K315" s="41" t="s">
        <v>284</v>
      </c>
    </row>
    <row r="316" spans="1:12" x14ac:dyDescent="0.25">
      <c r="A316" s="39" t="s">
        <v>907</v>
      </c>
      <c r="B316" s="39" t="s">
        <v>908</v>
      </c>
      <c r="C316" s="40" t="s">
        <v>283</v>
      </c>
      <c r="D316" s="41">
        <v>260.7</v>
      </c>
      <c r="E316" s="41">
        <v>265.2</v>
      </c>
      <c r="F316" s="41">
        <v>4.5</v>
      </c>
      <c r="G316" s="41">
        <v>1.7</v>
      </c>
      <c r="H316" s="41">
        <v>0.2</v>
      </c>
      <c r="I316" s="41" t="s">
        <v>284</v>
      </c>
      <c r="J316" s="41" t="s">
        <v>284</v>
      </c>
      <c r="K316" s="41" t="s">
        <v>284</v>
      </c>
    </row>
    <row r="317" spans="1:12" x14ac:dyDescent="0.25">
      <c r="A317" s="39" t="s">
        <v>909</v>
      </c>
      <c r="B317" s="39" t="s">
        <v>910</v>
      </c>
      <c r="C317" s="40" t="s">
        <v>283</v>
      </c>
      <c r="D317" s="41">
        <v>399.1</v>
      </c>
      <c r="E317" s="41">
        <v>396.8</v>
      </c>
      <c r="F317" s="41">
        <v>-2.2999999999999998</v>
      </c>
      <c r="G317" s="41">
        <v>-0.6</v>
      </c>
      <c r="H317" s="41">
        <v>-0.1</v>
      </c>
      <c r="I317" s="41" t="s">
        <v>284</v>
      </c>
      <c r="J317" s="41" t="s">
        <v>284</v>
      </c>
      <c r="K317" s="41" t="s">
        <v>284</v>
      </c>
    </row>
    <row r="318" spans="1:12" x14ac:dyDescent="0.25">
      <c r="A318" s="39" t="s">
        <v>911</v>
      </c>
      <c r="B318" s="39" t="s">
        <v>912</v>
      </c>
      <c r="C318" s="40" t="s">
        <v>283</v>
      </c>
      <c r="D318" s="41">
        <v>2242.9</v>
      </c>
      <c r="E318" s="41">
        <v>2360.1999999999998</v>
      </c>
      <c r="F318" s="41">
        <v>117.3</v>
      </c>
      <c r="G318" s="41">
        <v>5.2</v>
      </c>
      <c r="H318" s="41">
        <v>0.5</v>
      </c>
      <c r="I318" s="41" t="s">
        <v>284</v>
      </c>
      <c r="J318" s="41" t="s">
        <v>284</v>
      </c>
      <c r="K318" s="41" t="s">
        <v>284</v>
      </c>
    </row>
    <row r="319" spans="1:12" x14ac:dyDescent="0.25">
      <c r="A319" s="39" t="s">
        <v>913</v>
      </c>
      <c r="B319" s="39" t="s">
        <v>914</v>
      </c>
      <c r="C319" s="40" t="s">
        <v>283</v>
      </c>
      <c r="D319" s="41">
        <v>74.8</v>
      </c>
      <c r="E319" s="41">
        <v>78</v>
      </c>
      <c r="F319" s="41">
        <v>3.1</v>
      </c>
      <c r="G319" s="41">
        <v>4.2</v>
      </c>
      <c r="H319" s="41">
        <v>0.4</v>
      </c>
      <c r="I319" s="41" t="s">
        <v>284</v>
      </c>
      <c r="J319" s="41" t="s">
        <v>284</v>
      </c>
      <c r="K319" s="41" t="s">
        <v>284</v>
      </c>
    </row>
    <row r="320" spans="1:12" x14ac:dyDescent="0.25">
      <c r="A320" s="39" t="s">
        <v>915</v>
      </c>
      <c r="B320" s="39" t="s">
        <v>916</v>
      </c>
      <c r="C320" s="40" t="s">
        <v>280</v>
      </c>
      <c r="D320" s="41">
        <v>81.900000000000006</v>
      </c>
      <c r="E320" s="41">
        <v>88.8</v>
      </c>
      <c r="F320" s="41">
        <v>6.9</v>
      </c>
      <c r="G320" s="41">
        <v>8.5</v>
      </c>
      <c r="H320" s="41">
        <v>0.8</v>
      </c>
      <c r="I320" s="41" t="s">
        <v>284</v>
      </c>
      <c r="J320" s="41" t="s">
        <v>284</v>
      </c>
      <c r="K320" s="41" t="s">
        <v>284</v>
      </c>
    </row>
    <row r="321" spans="1:12" x14ac:dyDescent="0.25">
      <c r="A321" s="39" t="s">
        <v>917</v>
      </c>
      <c r="B321" s="39" t="s">
        <v>918</v>
      </c>
      <c r="C321" s="40" t="s">
        <v>283</v>
      </c>
      <c r="D321" s="41">
        <v>2.9</v>
      </c>
      <c r="E321" s="41">
        <v>3.1</v>
      </c>
      <c r="F321" s="41">
        <v>0.2</v>
      </c>
      <c r="G321" s="41">
        <v>8.1999999999999993</v>
      </c>
      <c r="H321" s="41">
        <v>0.7</v>
      </c>
      <c r="I321" s="41" t="s">
        <v>284</v>
      </c>
      <c r="J321" s="41" t="s">
        <v>284</v>
      </c>
      <c r="K321" s="41" t="s">
        <v>284</v>
      </c>
    </row>
    <row r="322" spans="1:12" x14ac:dyDescent="0.25">
      <c r="A322" s="39" t="s">
        <v>919</v>
      </c>
      <c r="B322" s="39" t="s">
        <v>920</v>
      </c>
      <c r="C322" s="40" t="s">
        <v>283</v>
      </c>
      <c r="D322" s="41">
        <v>2.2999999999999998</v>
      </c>
      <c r="E322" s="41">
        <v>2.4</v>
      </c>
      <c r="F322" s="41">
        <v>0.1</v>
      </c>
      <c r="G322" s="41">
        <v>6.5</v>
      </c>
      <c r="H322" s="41">
        <v>0.4</v>
      </c>
      <c r="I322" s="41" t="s">
        <v>284</v>
      </c>
      <c r="J322" s="41" t="s">
        <v>284</v>
      </c>
      <c r="K322" s="41" t="s">
        <v>284</v>
      </c>
    </row>
    <row r="323" spans="1:12" x14ac:dyDescent="0.25">
      <c r="A323" s="39" t="s">
        <v>921</v>
      </c>
      <c r="B323" s="39" t="s">
        <v>922</v>
      </c>
      <c r="C323" s="40" t="s">
        <v>283</v>
      </c>
      <c r="D323" s="41">
        <v>14.7</v>
      </c>
      <c r="E323" s="41">
        <v>15.3</v>
      </c>
      <c r="F323" s="41">
        <v>0.6</v>
      </c>
      <c r="G323" s="41">
        <v>4.0999999999999996</v>
      </c>
      <c r="H323" s="41">
        <v>0.4</v>
      </c>
      <c r="I323" s="41" t="s">
        <v>284</v>
      </c>
      <c r="J323" s="41" t="s">
        <v>284</v>
      </c>
      <c r="K323" s="41" t="s">
        <v>284</v>
      </c>
    </row>
    <row r="324" spans="1:12" x14ac:dyDescent="0.25">
      <c r="A324" s="39" t="s">
        <v>923</v>
      </c>
      <c r="B324" s="39" t="s">
        <v>924</v>
      </c>
      <c r="C324" s="40" t="s">
        <v>283</v>
      </c>
      <c r="D324" s="41">
        <v>10.6</v>
      </c>
      <c r="E324" s="41">
        <v>10.8</v>
      </c>
      <c r="F324" s="41">
        <v>0.3</v>
      </c>
      <c r="G324" s="41">
        <v>2.7</v>
      </c>
      <c r="H324" s="41">
        <v>0.2</v>
      </c>
      <c r="I324" s="41" t="s">
        <v>284</v>
      </c>
      <c r="J324" s="41" t="s">
        <v>284</v>
      </c>
      <c r="K324" s="41" t="s">
        <v>284</v>
      </c>
    </row>
    <row r="325" spans="1:12" x14ac:dyDescent="0.25">
      <c r="A325" s="39" t="s">
        <v>925</v>
      </c>
      <c r="B325" s="39" t="s">
        <v>926</v>
      </c>
      <c r="C325" s="40" t="s">
        <v>283</v>
      </c>
      <c r="D325" s="41">
        <v>1.6</v>
      </c>
      <c r="E325" s="41">
        <v>1.6</v>
      </c>
      <c r="F325" s="41">
        <v>0.1</v>
      </c>
      <c r="G325" s="41">
        <v>4.4000000000000004</v>
      </c>
      <c r="H325" s="41">
        <v>0</v>
      </c>
      <c r="I325" s="41" t="s">
        <v>284</v>
      </c>
      <c r="J325" s="41" t="s">
        <v>284</v>
      </c>
      <c r="K325" s="41" t="s">
        <v>284</v>
      </c>
    </row>
    <row r="326" spans="1:12" x14ac:dyDescent="0.25">
      <c r="A326" s="39" t="s">
        <v>927</v>
      </c>
      <c r="B326" s="39" t="s">
        <v>928</v>
      </c>
      <c r="C326" s="40" t="s">
        <v>283</v>
      </c>
      <c r="D326" s="41">
        <v>8.8000000000000007</v>
      </c>
      <c r="E326" s="41">
        <v>8.4</v>
      </c>
      <c r="F326" s="41">
        <v>-0.5</v>
      </c>
      <c r="G326" s="41">
        <v>-5.5</v>
      </c>
      <c r="H326" s="41">
        <v>-0.5</v>
      </c>
      <c r="I326" s="41" t="s">
        <v>284</v>
      </c>
      <c r="J326" s="41" t="s">
        <v>284</v>
      </c>
      <c r="K326" s="41" t="s">
        <v>284</v>
      </c>
    </row>
    <row r="327" spans="1:12" x14ac:dyDescent="0.25">
      <c r="A327" s="39" t="s">
        <v>929</v>
      </c>
      <c r="B327" s="39" t="s">
        <v>930</v>
      </c>
      <c r="C327" s="40" t="s">
        <v>283</v>
      </c>
      <c r="D327" s="41">
        <v>40.9</v>
      </c>
      <c r="E327" s="41">
        <v>47</v>
      </c>
      <c r="F327" s="41">
        <v>6.1</v>
      </c>
      <c r="G327" s="41">
        <v>14.8</v>
      </c>
      <c r="H327" s="41">
        <v>1.4</v>
      </c>
      <c r="I327" s="41" t="s">
        <v>284</v>
      </c>
      <c r="J327" s="41" t="s">
        <v>284</v>
      </c>
      <c r="K327" s="41" t="s">
        <v>284</v>
      </c>
    </row>
    <row r="328" spans="1:12" x14ac:dyDescent="0.25">
      <c r="A328" s="39" t="s">
        <v>931</v>
      </c>
      <c r="B328" s="39" t="s">
        <v>932</v>
      </c>
      <c r="C328" s="40" t="s">
        <v>280</v>
      </c>
      <c r="D328" s="41">
        <v>23692.2</v>
      </c>
      <c r="E328" s="41">
        <v>25674.9</v>
      </c>
      <c r="F328" s="41">
        <v>1982.7</v>
      </c>
      <c r="G328" s="41">
        <v>8.4</v>
      </c>
      <c r="H328" s="41">
        <v>0.8</v>
      </c>
      <c r="I328" s="41" t="s">
        <v>284</v>
      </c>
      <c r="J328" s="41" t="s">
        <v>284</v>
      </c>
      <c r="K328" s="41" t="s">
        <v>284</v>
      </c>
    </row>
    <row r="329" spans="1:12" x14ac:dyDescent="0.25">
      <c r="A329" s="39" t="s">
        <v>933</v>
      </c>
      <c r="B329" s="39" t="s">
        <v>934</v>
      </c>
      <c r="C329" s="40" t="s">
        <v>280</v>
      </c>
      <c r="D329" s="41">
        <v>8784.9</v>
      </c>
      <c r="E329" s="41">
        <v>9852.7999999999993</v>
      </c>
      <c r="F329" s="41">
        <v>1067.9000000000001</v>
      </c>
      <c r="G329" s="41">
        <v>12.2</v>
      </c>
      <c r="H329" s="41">
        <v>1.2</v>
      </c>
      <c r="I329" s="41">
        <v>1417.6</v>
      </c>
      <c r="J329" s="41">
        <v>1929</v>
      </c>
      <c r="K329" s="41">
        <v>3.1</v>
      </c>
      <c r="L329" t="s">
        <v>30</v>
      </c>
    </row>
    <row r="330" spans="1:12" x14ac:dyDescent="0.25">
      <c r="A330" s="39" t="s">
        <v>935</v>
      </c>
      <c r="B330" s="39" t="s">
        <v>936</v>
      </c>
      <c r="C330" s="40" t="s">
        <v>283</v>
      </c>
      <c r="D330" s="41">
        <v>2975.4</v>
      </c>
      <c r="E330" s="41">
        <v>3180</v>
      </c>
      <c r="F330" s="41">
        <v>204.6</v>
      </c>
      <c r="G330" s="41">
        <v>6.9</v>
      </c>
      <c r="H330" s="41">
        <v>0.7</v>
      </c>
      <c r="I330" s="41">
        <v>646.9</v>
      </c>
      <c r="J330" s="41">
        <v>893.9</v>
      </c>
      <c r="K330" s="41">
        <v>3.3</v>
      </c>
    </row>
    <row r="331" spans="1:12" x14ac:dyDescent="0.25">
      <c r="A331" s="39" t="s">
        <v>937</v>
      </c>
      <c r="B331" s="39" t="s">
        <v>938</v>
      </c>
      <c r="C331" s="40" t="s">
        <v>283</v>
      </c>
      <c r="D331" s="41">
        <v>1045.5</v>
      </c>
      <c r="E331" s="41">
        <v>1101.8</v>
      </c>
      <c r="F331" s="41">
        <v>56.3</v>
      </c>
      <c r="G331" s="41">
        <v>5.4</v>
      </c>
      <c r="H331" s="41">
        <v>0.5</v>
      </c>
      <c r="I331" s="41">
        <v>146.69999999999999</v>
      </c>
      <c r="J331" s="41">
        <v>164.3</v>
      </c>
      <c r="K331" s="41">
        <v>1.1000000000000001</v>
      </c>
    </row>
    <row r="332" spans="1:12" x14ac:dyDescent="0.25">
      <c r="A332" s="39" t="s">
        <v>939</v>
      </c>
      <c r="B332" s="39" t="s">
        <v>940</v>
      </c>
      <c r="C332" s="40" t="s">
        <v>280</v>
      </c>
      <c r="D332" s="41">
        <v>1232.2</v>
      </c>
      <c r="E332" s="41">
        <v>1457.8</v>
      </c>
      <c r="F332" s="41">
        <v>225.6</v>
      </c>
      <c r="G332" s="41">
        <v>18.3</v>
      </c>
      <c r="H332" s="41">
        <v>1.7</v>
      </c>
      <c r="I332" s="41">
        <v>164.6</v>
      </c>
      <c r="J332" s="41">
        <v>235.3</v>
      </c>
      <c r="K332" s="41">
        <v>3.6</v>
      </c>
    </row>
    <row r="333" spans="1:12" x14ac:dyDescent="0.25">
      <c r="A333" s="39" t="s">
        <v>941</v>
      </c>
      <c r="B333" s="39" t="s">
        <v>942</v>
      </c>
      <c r="C333" s="40" t="s">
        <v>283</v>
      </c>
      <c r="D333" s="41">
        <v>146.9</v>
      </c>
      <c r="E333" s="41">
        <v>156</v>
      </c>
      <c r="F333" s="41">
        <v>9.1</v>
      </c>
      <c r="G333" s="41">
        <v>6.2</v>
      </c>
      <c r="H333" s="41">
        <v>0.6</v>
      </c>
      <c r="I333" s="41" t="s">
        <v>284</v>
      </c>
      <c r="J333" s="41" t="s">
        <v>284</v>
      </c>
      <c r="K333" s="41" t="s">
        <v>284</v>
      </c>
    </row>
    <row r="334" spans="1:12" x14ac:dyDescent="0.25">
      <c r="A334" s="39" t="s">
        <v>943</v>
      </c>
      <c r="B334" s="39" t="s">
        <v>944</v>
      </c>
      <c r="C334" s="40" t="s">
        <v>283</v>
      </c>
      <c r="D334" s="41">
        <v>154.5</v>
      </c>
      <c r="E334" s="41">
        <v>166.2</v>
      </c>
      <c r="F334" s="41">
        <v>11.7</v>
      </c>
      <c r="G334" s="41">
        <v>7.6</v>
      </c>
      <c r="H334" s="41">
        <v>0.7</v>
      </c>
      <c r="I334" s="41" t="s">
        <v>284</v>
      </c>
      <c r="J334" s="41" t="s">
        <v>284</v>
      </c>
      <c r="K334" s="41" t="s">
        <v>284</v>
      </c>
    </row>
    <row r="335" spans="1:12" x14ac:dyDescent="0.25">
      <c r="A335" s="39" t="s">
        <v>945</v>
      </c>
      <c r="B335" s="39" t="s">
        <v>946</v>
      </c>
      <c r="C335" s="40" t="s">
        <v>283</v>
      </c>
      <c r="D335" s="41">
        <v>247.9</v>
      </c>
      <c r="E335" s="41">
        <v>313.39999999999998</v>
      </c>
      <c r="F335" s="41">
        <v>65.5</v>
      </c>
      <c r="G335" s="41">
        <v>26.4</v>
      </c>
      <c r="H335" s="41">
        <v>2.4</v>
      </c>
      <c r="I335" s="41" t="s">
        <v>284</v>
      </c>
      <c r="J335" s="41" t="s">
        <v>284</v>
      </c>
      <c r="K335" s="41" t="s">
        <v>284</v>
      </c>
    </row>
    <row r="336" spans="1:12" x14ac:dyDescent="0.25">
      <c r="A336" s="39" t="s">
        <v>947</v>
      </c>
      <c r="B336" s="39" t="s">
        <v>948</v>
      </c>
      <c r="C336" s="40" t="s">
        <v>283</v>
      </c>
      <c r="D336" s="41">
        <v>493.1</v>
      </c>
      <c r="E336" s="41">
        <v>607.9</v>
      </c>
      <c r="F336" s="41">
        <v>114.8</v>
      </c>
      <c r="G336" s="41">
        <v>23.3</v>
      </c>
      <c r="H336" s="41">
        <v>2.1</v>
      </c>
      <c r="I336" s="41" t="s">
        <v>284</v>
      </c>
      <c r="J336" s="41" t="s">
        <v>284</v>
      </c>
      <c r="K336" s="41" t="s">
        <v>284</v>
      </c>
    </row>
    <row r="337" spans="1:12" x14ac:dyDescent="0.25">
      <c r="A337" s="39" t="s">
        <v>949</v>
      </c>
      <c r="B337" s="39" t="s">
        <v>950</v>
      </c>
      <c r="C337" s="40" t="s">
        <v>283</v>
      </c>
      <c r="D337" s="41">
        <v>189.8</v>
      </c>
      <c r="E337" s="41">
        <v>214.3</v>
      </c>
      <c r="F337" s="41">
        <v>24.5</v>
      </c>
      <c r="G337" s="41">
        <v>12.9</v>
      </c>
      <c r="H337" s="41">
        <v>1.2</v>
      </c>
      <c r="I337" s="41" t="s">
        <v>284</v>
      </c>
      <c r="J337" s="41" t="s">
        <v>284</v>
      </c>
      <c r="K337" s="41" t="s">
        <v>284</v>
      </c>
    </row>
    <row r="338" spans="1:12" x14ac:dyDescent="0.25">
      <c r="A338" s="39" t="s">
        <v>951</v>
      </c>
      <c r="B338" s="39" t="s">
        <v>952</v>
      </c>
      <c r="C338" s="40" t="s">
        <v>280</v>
      </c>
      <c r="D338" s="41">
        <v>1115.0999999999999</v>
      </c>
      <c r="E338" s="41">
        <v>1324.8</v>
      </c>
      <c r="F338" s="41">
        <v>209.7</v>
      </c>
      <c r="G338" s="41">
        <v>18.8</v>
      </c>
      <c r="H338" s="41">
        <v>1.7</v>
      </c>
      <c r="I338" s="41">
        <v>217.8</v>
      </c>
      <c r="J338" s="41">
        <v>307.39999999999998</v>
      </c>
      <c r="K338" s="41">
        <v>3.5</v>
      </c>
    </row>
    <row r="339" spans="1:12" x14ac:dyDescent="0.25">
      <c r="A339" s="39" t="s">
        <v>953</v>
      </c>
      <c r="B339" s="39" t="s">
        <v>954</v>
      </c>
      <c r="C339" s="40" t="s">
        <v>283</v>
      </c>
      <c r="D339" s="41">
        <v>314.8</v>
      </c>
      <c r="E339" s="41">
        <v>377.6</v>
      </c>
      <c r="F339" s="41">
        <v>62.8</v>
      </c>
      <c r="G339" s="41">
        <v>19.899999999999999</v>
      </c>
      <c r="H339" s="41">
        <v>1.8</v>
      </c>
      <c r="I339" s="41" t="s">
        <v>284</v>
      </c>
      <c r="J339" s="41" t="s">
        <v>284</v>
      </c>
      <c r="K339" s="41" t="s">
        <v>284</v>
      </c>
    </row>
    <row r="340" spans="1:12" x14ac:dyDescent="0.25">
      <c r="A340" s="39" t="s">
        <v>955</v>
      </c>
      <c r="B340" s="39" t="s">
        <v>956</v>
      </c>
      <c r="C340" s="40" t="s">
        <v>283</v>
      </c>
      <c r="D340" s="41">
        <v>308</v>
      </c>
      <c r="E340" s="41">
        <v>327.7</v>
      </c>
      <c r="F340" s="41">
        <v>19.7</v>
      </c>
      <c r="G340" s="41">
        <v>6.4</v>
      </c>
      <c r="H340" s="41">
        <v>0.6</v>
      </c>
      <c r="I340" s="41">
        <v>75.900000000000006</v>
      </c>
      <c r="J340" s="41">
        <v>99.1</v>
      </c>
      <c r="K340" s="41">
        <v>2.7</v>
      </c>
    </row>
    <row r="341" spans="1:12" x14ac:dyDescent="0.25">
      <c r="A341" s="39" t="s">
        <v>957</v>
      </c>
      <c r="B341" s="39" t="s">
        <v>958</v>
      </c>
      <c r="C341" s="40" t="s">
        <v>283</v>
      </c>
      <c r="D341" s="41">
        <v>1750.8</v>
      </c>
      <c r="E341" s="41">
        <v>2076.6</v>
      </c>
      <c r="F341" s="41">
        <v>325.8</v>
      </c>
      <c r="G341" s="41">
        <v>18.600000000000001</v>
      </c>
      <c r="H341" s="41">
        <v>1.7</v>
      </c>
      <c r="I341" s="41">
        <v>120.6</v>
      </c>
      <c r="J341" s="41">
        <v>176.6</v>
      </c>
      <c r="K341" s="41">
        <v>3.9</v>
      </c>
    </row>
    <row r="342" spans="1:12" x14ac:dyDescent="0.25">
      <c r="A342" s="39" t="s">
        <v>959</v>
      </c>
      <c r="B342" s="39" t="s">
        <v>960</v>
      </c>
      <c r="C342" s="40" t="s">
        <v>280</v>
      </c>
      <c r="D342" s="41">
        <v>357.9</v>
      </c>
      <c r="E342" s="41">
        <v>384.3</v>
      </c>
      <c r="F342" s="41">
        <v>26.4</v>
      </c>
      <c r="G342" s="41">
        <v>7.4</v>
      </c>
      <c r="H342" s="41">
        <v>0.7</v>
      </c>
      <c r="I342" s="41">
        <v>46.3</v>
      </c>
      <c r="J342" s="41">
        <v>61.5</v>
      </c>
      <c r="K342" s="41">
        <v>2.9</v>
      </c>
    </row>
    <row r="343" spans="1:12" x14ac:dyDescent="0.25">
      <c r="A343" s="39" t="s">
        <v>961</v>
      </c>
      <c r="B343" s="39" t="s">
        <v>962</v>
      </c>
      <c r="C343" s="40" t="s">
        <v>283</v>
      </c>
      <c r="D343" s="41">
        <v>170.5</v>
      </c>
      <c r="E343" s="41">
        <v>176.8</v>
      </c>
      <c r="F343" s="41">
        <v>6.3</v>
      </c>
      <c r="G343" s="41">
        <v>3.7</v>
      </c>
      <c r="H343" s="41">
        <v>0.4</v>
      </c>
      <c r="I343" s="41" t="s">
        <v>284</v>
      </c>
      <c r="J343" s="41" t="s">
        <v>284</v>
      </c>
      <c r="K343" s="41" t="s">
        <v>284</v>
      </c>
    </row>
    <row r="344" spans="1:12" x14ac:dyDescent="0.25">
      <c r="A344" s="39" t="s">
        <v>963</v>
      </c>
      <c r="B344" s="39" t="s">
        <v>964</v>
      </c>
      <c r="C344" s="40" t="s">
        <v>283</v>
      </c>
      <c r="D344" s="41">
        <v>187.4</v>
      </c>
      <c r="E344" s="41">
        <v>207.5</v>
      </c>
      <c r="F344" s="41">
        <v>20.100000000000001</v>
      </c>
      <c r="G344" s="41">
        <v>10.7</v>
      </c>
      <c r="H344" s="41">
        <v>1</v>
      </c>
      <c r="I344" s="41" t="s">
        <v>284</v>
      </c>
      <c r="J344" s="41" t="s">
        <v>284</v>
      </c>
      <c r="K344" s="41" t="s">
        <v>284</v>
      </c>
    </row>
    <row r="345" spans="1:12" x14ac:dyDescent="0.25">
      <c r="A345" s="39" t="s">
        <v>965</v>
      </c>
      <c r="B345" s="39" t="s">
        <v>966</v>
      </c>
      <c r="C345" s="40" t="s">
        <v>280</v>
      </c>
      <c r="D345" s="41">
        <v>6715.9</v>
      </c>
      <c r="E345" s="41">
        <v>6980.7</v>
      </c>
      <c r="F345" s="41">
        <v>264.8</v>
      </c>
      <c r="G345" s="41">
        <v>3.9</v>
      </c>
      <c r="H345" s="41">
        <v>0.4</v>
      </c>
      <c r="I345" s="41" t="s">
        <v>284</v>
      </c>
      <c r="J345" s="41" t="s">
        <v>284</v>
      </c>
      <c r="K345" s="41" t="s">
        <v>284</v>
      </c>
    </row>
    <row r="346" spans="1:12" x14ac:dyDescent="0.25">
      <c r="A346" s="39" t="s">
        <v>967</v>
      </c>
      <c r="B346" s="39" t="s">
        <v>968</v>
      </c>
      <c r="C346" s="40" t="s">
        <v>280</v>
      </c>
      <c r="D346" s="41">
        <v>5551.1</v>
      </c>
      <c r="E346" s="41">
        <v>5794.8</v>
      </c>
      <c r="F346" s="41">
        <v>243.7</v>
      </c>
      <c r="G346" s="41">
        <v>4.4000000000000004</v>
      </c>
      <c r="H346" s="41">
        <v>0.4</v>
      </c>
      <c r="I346" s="41">
        <v>1007.8</v>
      </c>
      <c r="J346" s="41">
        <v>1311</v>
      </c>
      <c r="K346" s="41">
        <v>2.7</v>
      </c>
      <c r="L346" t="s">
        <v>30</v>
      </c>
    </row>
    <row r="347" spans="1:12" x14ac:dyDescent="0.25">
      <c r="A347" s="39" t="s">
        <v>969</v>
      </c>
      <c r="B347" s="39" t="s">
        <v>970</v>
      </c>
      <c r="C347" s="40" t="s">
        <v>283</v>
      </c>
      <c r="D347" s="41">
        <v>5070.2</v>
      </c>
      <c r="E347" s="41">
        <v>5267.5</v>
      </c>
      <c r="F347" s="41">
        <v>197.3</v>
      </c>
      <c r="G347" s="41">
        <v>3.9</v>
      </c>
      <c r="H347" s="41">
        <v>0.4</v>
      </c>
      <c r="I347" s="41" t="s">
        <v>284</v>
      </c>
      <c r="J347" s="41" t="s">
        <v>284</v>
      </c>
      <c r="K347" s="41" t="s">
        <v>284</v>
      </c>
    </row>
    <row r="348" spans="1:12" x14ac:dyDescent="0.25">
      <c r="A348" s="39" t="s">
        <v>971</v>
      </c>
      <c r="B348" s="39" t="s">
        <v>972</v>
      </c>
      <c r="C348" s="40" t="s">
        <v>283</v>
      </c>
      <c r="D348" s="41">
        <v>165.2</v>
      </c>
      <c r="E348" s="41">
        <v>182.5</v>
      </c>
      <c r="F348" s="41">
        <v>17.3</v>
      </c>
      <c r="G348" s="41">
        <v>10.5</v>
      </c>
      <c r="H348" s="41">
        <v>1</v>
      </c>
      <c r="I348" s="41" t="s">
        <v>284</v>
      </c>
      <c r="J348" s="41" t="s">
        <v>284</v>
      </c>
      <c r="K348" s="41" t="s">
        <v>284</v>
      </c>
    </row>
    <row r="349" spans="1:12" x14ac:dyDescent="0.25">
      <c r="A349" s="39" t="s">
        <v>973</v>
      </c>
      <c r="B349" s="39" t="s">
        <v>974</v>
      </c>
      <c r="C349" s="40" t="s">
        <v>283</v>
      </c>
      <c r="D349" s="41">
        <v>315.7</v>
      </c>
      <c r="E349" s="41">
        <v>344.8</v>
      </c>
      <c r="F349" s="41">
        <v>29.1</v>
      </c>
      <c r="G349" s="41">
        <v>9.1999999999999993</v>
      </c>
      <c r="H349" s="41">
        <v>0.9</v>
      </c>
      <c r="I349" s="41" t="s">
        <v>284</v>
      </c>
      <c r="J349" s="41" t="s">
        <v>284</v>
      </c>
      <c r="K349" s="41" t="s">
        <v>284</v>
      </c>
    </row>
    <row r="350" spans="1:12" x14ac:dyDescent="0.25">
      <c r="A350" s="39" t="s">
        <v>975</v>
      </c>
      <c r="B350" s="39" t="s">
        <v>976</v>
      </c>
      <c r="C350" s="40" t="s">
        <v>280</v>
      </c>
      <c r="D350" s="41">
        <v>1164.8</v>
      </c>
      <c r="E350" s="41">
        <v>1185.9000000000001</v>
      </c>
      <c r="F350" s="41">
        <v>21.1</v>
      </c>
      <c r="G350" s="41">
        <v>1.8</v>
      </c>
      <c r="H350" s="41">
        <v>0.2</v>
      </c>
      <c r="I350" s="41">
        <v>379.1</v>
      </c>
      <c r="J350" s="41">
        <v>482</v>
      </c>
      <c r="K350" s="41">
        <v>2.4</v>
      </c>
      <c r="L350" t="s">
        <v>30</v>
      </c>
    </row>
    <row r="351" spans="1:12" x14ac:dyDescent="0.25">
      <c r="A351" s="39" t="s">
        <v>977</v>
      </c>
      <c r="B351" s="39" t="s">
        <v>978</v>
      </c>
      <c r="C351" s="40" t="s">
        <v>283</v>
      </c>
      <c r="D351" s="41">
        <v>305.10000000000002</v>
      </c>
      <c r="E351" s="41">
        <v>316.60000000000002</v>
      </c>
      <c r="F351" s="41">
        <v>11.5</v>
      </c>
      <c r="G351" s="41">
        <v>3.8</v>
      </c>
      <c r="H351" s="41">
        <v>0.4</v>
      </c>
      <c r="I351" s="41" t="s">
        <v>284</v>
      </c>
      <c r="J351" s="41" t="s">
        <v>284</v>
      </c>
      <c r="K351" s="41" t="s">
        <v>284</v>
      </c>
    </row>
    <row r="352" spans="1:12" x14ac:dyDescent="0.25">
      <c r="A352" s="39" t="s">
        <v>979</v>
      </c>
      <c r="B352" s="39" t="s">
        <v>980</v>
      </c>
      <c r="C352" s="40" t="s">
        <v>283</v>
      </c>
      <c r="D352" s="41">
        <v>700.5</v>
      </c>
      <c r="E352" s="41">
        <v>717.4</v>
      </c>
      <c r="F352" s="41">
        <v>17</v>
      </c>
      <c r="G352" s="41">
        <v>2.4</v>
      </c>
      <c r="H352" s="41">
        <v>0.2</v>
      </c>
      <c r="I352" s="41" t="s">
        <v>284</v>
      </c>
      <c r="J352" s="41" t="s">
        <v>284</v>
      </c>
      <c r="K352" s="41" t="s">
        <v>284</v>
      </c>
    </row>
    <row r="353" spans="1:12" x14ac:dyDescent="0.25">
      <c r="A353" s="39" t="s">
        <v>981</v>
      </c>
      <c r="B353" s="39" t="s">
        <v>982</v>
      </c>
      <c r="C353" s="40" t="s">
        <v>283</v>
      </c>
      <c r="D353" s="41">
        <v>115.2</v>
      </c>
      <c r="E353" s="41">
        <v>106.7</v>
      </c>
      <c r="F353" s="41">
        <v>-8.5</v>
      </c>
      <c r="G353" s="41">
        <v>-7.4</v>
      </c>
      <c r="H353" s="41">
        <v>-0.8</v>
      </c>
      <c r="I353" s="41" t="s">
        <v>284</v>
      </c>
      <c r="J353" s="41" t="s">
        <v>284</v>
      </c>
      <c r="K353" s="41" t="s">
        <v>284</v>
      </c>
    </row>
    <row r="354" spans="1:12" x14ac:dyDescent="0.25">
      <c r="A354" s="39" t="s">
        <v>983</v>
      </c>
      <c r="B354" s="39" t="s">
        <v>984</v>
      </c>
      <c r="C354" s="40" t="s">
        <v>283</v>
      </c>
      <c r="D354" s="41">
        <v>3.1</v>
      </c>
      <c r="E354" s="41">
        <v>2.8</v>
      </c>
      <c r="F354" s="41">
        <v>-0.2</v>
      </c>
      <c r="G354" s="41">
        <v>-8</v>
      </c>
      <c r="H354" s="41">
        <v>-1</v>
      </c>
      <c r="I354" s="41" t="s">
        <v>284</v>
      </c>
      <c r="J354" s="41" t="s">
        <v>284</v>
      </c>
      <c r="K354" s="41" t="s">
        <v>284</v>
      </c>
    </row>
    <row r="355" spans="1:12" x14ac:dyDescent="0.25">
      <c r="A355" s="39" t="s">
        <v>985</v>
      </c>
      <c r="B355" s="39" t="s">
        <v>986</v>
      </c>
      <c r="C355" s="40" t="s">
        <v>283</v>
      </c>
      <c r="D355" s="41">
        <v>40.200000000000003</v>
      </c>
      <c r="E355" s="41">
        <v>41.5</v>
      </c>
      <c r="F355" s="41">
        <v>1.3</v>
      </c>
      <c r="G355" s="41">
        <v>3.3</v>
      </c>
      <c r="H355" s="41">
        <v>0.3</v>
      </c>
      <c r="I355" s="41" t="s">
        <v>284</v>
      </c>
      <c r="J355" s="41" t="s">
        <v>284</v>
      </c>
      <c r="K355" s="41" t="s">
        <v>284</v>
      </c>
    </row>
    <row r="356" spans="1:12" x14ac:dyDescent="0.25">
      <c r="A356" s="39" t="s">
        <v>987</v>
      </c>
      <c r="B356" s="39" t="s">
        <v>988</v>
      </c>
      <c r="C356" s="40" t="s">
        <v>283</v>
      </c>
      <c r="D356" s="41">
        <v>0.7</v>
      </c>
      <c r="E356" s="41">
        <v>0.7</v>
      </c>
      <c r="F356" s="41">
        <v>0</v>
      </c>
      <c r="G356" s="41">
        <v>-1.3</v>
      </c>
      <c r="H356" s="41">
        <v>0</v>
      </c>
      <c r="I356" s="41" t="s">
        <v>284</v>
      </c>
      <c r="J356" s="41" t="s">
        <v>284</v>
      </c>
      <c r="K356" s="41" t="s">
        <v>284</v>
      </c>
    </row>
    <row r="357" spans="1:12" x14ac:dyDescent="0.25">
      <c r="A357" s="39" t="s">
        <v>989</v>
      </c>
      <c r="B357" s="39" t="s">
        <v>990</v>
      </c>
      <c r="C357" s="40" t="s">
        <v>280</v>
      </c>
      <c r="D357" s="41">
        <v>3316.6</v>
      </c>
      <c r="E357" s="41">
        <v>3421.1</v>
      </c>
      <c r="F357" s="41">
        <v>104.5</v>
      </c>
      <c r="G357" s="41">
        <v>3.2</v>
      </c>
      <c r="H357" s="41">
        <v>0.3</v>
      </c>
      <c r="I357" s="41">
        <v>268.60000000000002</v>
      </c>
      <c r="J357" s="41">
        <v>317.60000000000002</v>
      </c>
      <c r="K357" s="41">
        <v>1.7</v>
      </c>
      <c r="L357" t="s">
        <v>30</v>
      </c>
    </row>
    <row r="358" spans="1:12" x14ac:dyDescent="0.25">
      <c r="A358" s="39" t="s">
        <v>991</v>
      </c>
      <c r="B358" s="39" t="s">
        <v>992</v>
      </c>
      <c r="C358" s="40" t="s">
        <v>283</v>
      </c>
      <c r="D358" s="41">
        <v>1492.4</v>
      </c>
      <c r="E358" s="41">
        <v>1448.1</v>
      </c>
      <c r="F358" s="41">
        <v>-44.3</v>
      </c>
      <c r="G358" s="41">
        <v>-3</v>
      </c>
      <c r="H358" s="41">
        <v>-0.3</v>
      </c>
      <c r="I358" s="41" t="s">
        <v>284</v>
      </c>
      <c r="J358" s="41" t="s">
        <v>284</v>
      </c>
      <c r="K358" s="41" t="s">
        <v>284</v>
      </c>
    </row>
    <row r="359" spans="1:12" x14ac:dyDescent="0.25">
      <c r="A359" s="39" t="s">
        <v>993</v>
      </c>
      <c r="B359" s="39" t="s">
        <v>994</v>
      </c>
      <c r="C359" s="40" t="s">
        <v>283</v>
      </c>
      <c r="D359" s="41">
        <v>988.5</v>
      </c>
      <c r="E359" s="41">
        <v>1092.4000000000001</v>
      </c>
      <c r="F359" s="41">
        <v>103.9</v>
      </c>
      <c r="G359" s="41">
        <v>10.5</v>
      </c>
      <c r="H359" s="41">
        <v>1</v>
      </c>
      <c r="I359" s="41" t="s">
        <v>284</v>
      </c>
      <c r="J359" s="41" t="s">
        <v>284</v>
      </c>
      <c r="K359" s="41" t="s">
        <v>284</v>
      </c>
    </row>
    <row r="360" spans="1:12" x14ac:dyDescent="0.25">
      <c r="A360" s="39" t="s">
        <v>995</v>
      </c>
      <c r="B360" s="39" t="s">
        <v>996</v>
      </c>
      <c r="C360" s="40" t="s">
        <v>280</v>
      </c>
      <c r="D360" s="41">
        <v>669.9</v>
      </c>
      <c r="E360" s="41">
        <v>710.7</v>
      </c>
      <c r="F360" s="41">
        <v>40.799999999999997</v>
      </c>
      <c r="G360" s="41">
        <v>6.1</v>
      </c>
      <c r="H360" s="41">
        <v>0.6</v>
      </c>
      <c r="I360" s="41" t="s">
        <v>284</v>
      </c>
      <c r="J360" s="41" t="s">
        <v>284</v>
      </c>
      <c r="K360" s="41" t="s">
        <v>284</v>
      </c>
    </row>
    <row r="361" spans="1:12" x14ac:dyDescent="0.25">
      <c r="A361" s="39" t="s">
        <v>997</v>
      </c>
      <c r="B361" s="39" t="s">
        <v>998</v>
      </c>
      <c r="C361" s="40" t="s">
        <v>283</v>
      </c>
      <c r="D361" s="41">
        <v>405.6</v>
      </c>
      <c r="E361" s="41">
        <v>418.3</v>
      </c>
      <c r="F361" s="41">
        <v>12.7</v>
      </c>
      <c r="G361" s="41">
        <v>3.1</v>
      </c>
      <c r="H361" s="41">
        <v>0.3</v>
      </c>
      <c r="I361" s="41" t="s">
        <v>284</v>
      </c>
      <c r="J361" s="41" t="s">
        <v>284</v>
      </c>
      <c r="K361" s="41" t="s">
        <v>284</v>
      </c>
    </row>
    <row r="362" spans="1:12" x14ac:dyDescent="0.25">
      <c r="A362" s="39" t="s">
        <v>999</v>
      </c>
      <c r="B362" s="39" t="s">
        <v>1000</v>
      </c>
      <c r="C362" s="40" t="s">
        <v>283</v>
      </c>
      <c r="D362" s="41">
        <v>264.3</v>
      </c>
      <c r="E362" s="41">
        <v>292.39999999999998</v>
      </c>
      <c r="F362" s="41">
        <v>28.1</v>
      </c>
      <c r="G362" s="41">
        <v>10.6</v>
      </c>
      <c r="H362" s="41">
        <v>1</v>
      </c>
      <c r="I362" s="41" t="s">
        <v>284</v>
      </c>
      <c r="J362" s="41" t="s">
        <v>284</v>
      </c>
      <c r="K362" s="41" t="s">
        <v>284</v>
      </c>
    </row>
    <row r="363" spans="1:12" x14ac:dyDescent="0.25">
      <c r="A363" s="39" t="s">
        <v>1001</v>
      </c>
      <c r="B363" s="39" t="s">
        <v>1002</v>
      </c>
      <c r="C363" s="40" t="s">
        <v>283</v>
      </c>
      <c r="D363" s="41">
        <v>165.8</v>
      </c>
      <c r="E363" s="41">
        <v>170</v>
      </c>
      <c r="F363" s="41">
        <v>4.2</v>
      </c>
      <c r="G363" s="41">
        <v>2.5</v>
      </c>
      <c r="H363" s="41">
        <v>0.3</v>
      </c>
      <c r="I363" s="41" t="s">
        <v>284</v>
      </c>
      <c r="J363" s="41" t="s">
        <v>284</v>
      </c>
      <c r="K363" s="41" t="s">
        <v>284</v>
      </c>
    </row>
    <row r="364" spans="1:12" x14ac:dyDescent="0.25">
      <c r="A364" s="39" t="s">
        <v>1003</v>
      </c>
      <c r="B364" s="39" t="s">
        <v>1004</v>
      </c>
      <c r="C364" s="40" t="s">
        <v>280</v>
      </c>
      <c r="D364" s="41">
        <v>4874.8</v>
      </c>
      <c r="E364" s="41">
        <v>5420.4</v>
      </c>
      <c r="F364" s="41">
        <v>545.6</v>
      </c>
      <c r="G364" s="41">
        <v>11.2</v>
      </c>
      <c r="H364" s="41">
        <v>1.1000000000000001</v>
      </c>
      <c r="I364" s="41">
        <v>275.10000000000002</v>
      </c>
      <c r="J364" s="41">
        <v>359.2</v>
      </c>
      <c r="K364" s="41">
        <v>2.7</v>
      </c>
      <c r="L364" t="s">
        <v>30</v>
      </c>
    </row>
    <row r="365" spans="1:12" x14ac:dyDescent="0.25">
      <c r="A365" s="39" t="s">
        <v>1005</v>
      </c>
      <c r="B365" s="39" t="s">
        <v>1006</v>
      </c>
      <c r="C365" s="40" t="s">
        <v>280</v>
      </c>
      <c r="D365" s="41">
        <v>3264.5</v>
      </c>
      <c r="E365" s="41">
        <v>3829.7</v>
      </c>
      <c r="F365" s="41">
        <v>565.20000000000005</v>
      </c>
      <c r="G365" s="41">
        <v>17.3</v>
      </c>
      <c r="H365" s="41">
        <v>1.6</v>
      </c>
      <c r="I365" s="41">
        <v>150.9</v>
      </c>
      <c r="J365" s="41">
        <v>222.4</v>
      </c>
      <c r="K365" s="41">
        <v>4</v>
      </c>
    </row>
    <row r="366" spans="1:12" x14ac:dyDescent="0.25">
      <c r="A366" s="39" t="s">
        <v>1007</v>
      </c>
      <c r="B366" s="39" t="s">
        <v>1008</v>
      </c>
      <c r="C366" s="40" t="s">
        <v>283</v>
      </c>
      <c r="D366" s="41">
        <v>2512.3000000000002</v>
      </c>
      <c r="E366" s="41">
        <v>3040.8</v>
      </c>
      <c r="F366" s="41">
        <v>528.5</v>
      </c>
      <c r="G366" s="41">
        <v>21</v>
      </c>
      <c r="H366" s="41">
        <v>1.9</v>
      </c>
      <c r="I366" s="41" t="s">
        <v>284</v>
      </c>
      <c r="J366" s="41" t="s">
        <v>284</v>
      </c>
      <c r="K366" s="41" t="s">
        <v>284</v>
      </c>
    </row>
    <row r="367" spans="1:12" x14ac:dyDescent="0.25">
      <c r="A367" s="39" t="s">
        <v>1009</v>
      </c>
      <c r="B367" s="39" t="s">
        <v>1010</v>
      </c>
      <c r="C367" s="40" t="s">
        <v>280</v>
      </c>
      <c r="D367" s="41">
        <v>518.4</v>
      </c>
      <c r="E367" s="41">
        <v>505.1</v>
      </c>
      <c r="F367" s="41">
        <v>-13.3</v>
      </c>
      <c r="G367" s="41">
        <v>-2.6</v>
      </c>
      <c r="H367" s="41">
        <v>-0.3</v>
      </c>
      <c r="I367" s="41">
        <v>58.9</v>
      </c>
      <c r="J367" s="41">
        <v>69.400000000000006</v>
      </c>
      <c r="K367" s="41">
        <v>1.7</v>
      </c>
    </row>
    <row r="368" spans="1:12" x14ac:dyDescent="0.25">
      <c r="A368" s="39" t="s">
        <v>1011</v>
      </c>
      <c r="B368" s="39" t="s">
        <v>1012</v>
      </c>
      <c r="C368" s="40" t="s">
        <v>283</v>
      </c>
      <c r="D368" s="41">
        <v>233.3</v>
      </c>
      <c r="E368" s="41">
        <v>252.5</v>
      </c>
      <c r="F368" s="41">
        <v>19.2</v>
      </c>
      <c r="G368" s="41">
        <v>8.1999999999999993</v>
      </c>
      <c r="H368" s="41">
        <v>0.8</v>
      </c>
      <c r="I368" s="41" t="s">
        <v>284</v>
      </c>
      <c r="J368" s="41" t="s">
        <v>284</v>
      </c>
      <c r="K368" s="41" t="s">
        <v>284</v>
      </c>
    </row>
    <row r="369" spans="1:12" x14ac:dyDescent="0.25">
      <c r="A369" s="39" t="s">
        <v>1013</v>
      </c>
      <c r="B369" s="39" t="s">
        <v>1014</v>
      </c>
      <c r="C369" s="40" t="s">
        <v>283</v>
      </c>
      <c r="D369" s="41">
        <v>285.10000000000002</v>
      </c>
      <c r="E369" s="41">
        <v>252.5</v>
      </c>
      <c r="F369" s="41">
        <v>-32.6</v>
      </c>
      <c r="G369" s="41">
        <v>-11.4</v>
      </c>
      <c r="H369" s="41">
        <v>-1.2</v>
      </c>
      <c r="I369" s="41" t="s">
        <v>284</v>
      </c>
      <c r="J369" s="41" t="s">
        <v>284</v>
      </c>
      <c r="K369" s="41" t="s">
        <v>284</v>
      </c>
    </row>
    <row r="370" spans="1:12" x14ac:dyDescent="0.25">
      <c r="A370" s="39" t="s">
        <v>1015</v>
      </c>
      <c r="B370" s="39" t="s">
        <v>1016</v>
      </c>
      <c r="C370" s="40" t="s">
        <v>283</v>
      </c>
      <c r="D370" s="41">
        <v>1091.9000000000001</v>
      </c>
      <c r="E370" s="41">
        <v>1085.5999999999999</v>
      </c>
      <c r="F370" s="41">
        <v>-6.3</v>
      </c>
      <c r="G370" s="41">
        <v>-0.6</v>
      </c>
      <c r="H370" s="41">
        <v>-0.1</v>
      </c>
      <c r="I370" s="41">
        <v>65.400000000000006</v>
      </c>
      <c r="J370" s="41">
        <v>66.400000000000006</v>
      </c>
      <c r="K370" s="41">
        <v>0.2</v>
      </c>
    </row>
    <row r="371" spans="1:12" x14ac:dyDescent="0.25">
      <c r="A371" s="39" t="s">
        <v>1017</v>
      </c>
      <c r="B371" s="39" t="s">
        <v>1018</v>
      </c>
      <c r="C371" s="40" t="s">
        <v>280</v>
      </c>
      <c r="D371" s="41">
        <v>2622.4</v>
      </c>
      <c r="E371" s="41">
        <v>2755</v>
      </c>
      <c r="F371" s="41">
        <v>132.6</v>
      </c>
      <c r="G371" s="41">
        <v>5.0999999999999996</v>
      </c>
      <c r="H371" s="41">
        <v>0.5</v>
      </c>
      <c r="I371" s="41">
        <v>439.4</v>
      </c>
      <c r="J371" s="41">
        <v>545.70000000000005</v>
      </c>
      <c r="K371" s="41">
        <v>2.2000000000000002</v>
      </c>
      <c r="L371" t="s">
        <v>31</v>
      </c>
    </row>
    <row r="372" spans="1:12" x14ac:dyDescent="0.25">
      <c r="A372" s="39" t="s">
        <v>1019</v>
      </c>
      <c r="B372" s="39" t="s">
        <v>1020</v>
      </c>
      <c r="C372" s="40" t="s">
        <v>280</v>
      </c>
      <c r="D372" s="41">
        <v>590.20000000000005</v>
      </c>
      <c r="E372" s="41">
        <v>618.1</v>
      </c>
      <c r="F372" s="41">
        <v>27.9</v>
      </c>
      <c r="G372" s="41">
        <v>4.7</v>
      </c>
      <c r="H372" s="41">
        <v>0.5</v>
      </c>
      <c r="I372" s="41">
        <v>231.5</v>
      </c>
      <c r="J372" s="41">
        <v>288.10000000000002</v>
      </c>
      <c r="K372" s="41">
        <v>2.2000000000000002</v>
      </c>
    </row>
    <row r="373" spans="1:12" x14ac:dyDescent="0.25">
      <c r="A373" s="39" t="s">
        <v>1021</v>
      </c>
      <c r="B373" s="39" t="s">
        <v>1022</v>
      </c>
      <c r="C373" s="40" t="s">
        <v>280</v>
      </c>
      <c r="D373" s="41">
        <v>142.1</v>
      </c>
      <c r="E373" s="41">
        <v>147.19999999999999</v>
      </c>
      <c r="F373" s="41">
        <v>5.0999999999999996</v>
      </c>
      <c r="G373" s="41">
        <v>3.6</v>
      </c>
      <c r="H373" s="41">
        <v>0.4</v>
      </c>
      <c r="I373" s="41">
        <v>29.8</v>
      </c>
      <c r="J373" s="41">
        <v>36.9</v>
      </c>
      <c r="K373" s="41">
        <v>2.1</v>
      </c>
    </row>
    <row r="374" spans="1:12" x14ac:dyDescent="0.25">
      <c r="A374" s="39" t="s">
        <v>1023</v>
      </c>
      <c r="B374" s="39" t="s">
        <v>1024</v>
      </c>
      <c r="C374" s="40" t="s">
        <v>283</v>
      </c>
      <c r="D374" s="41">
        <v>76.3</v>
      </c>
      <c r="E374" s="41">
        <v>78.900000000000006</v>
      </c>
      <c r="F374" s="41">
        <v>2.6</v>
      </c>
      <c r="G374" s="41">
        <v>3.4</v>
      </c>
      <c r="H374" s="41">
        <v>0.3</v>
      </c>
      <c r="I374" s="41" t="s">
        <v>284</v>
      </c>
      <c r="J374" s="41" t="s">
        <v>284</v>
      </c>
      <c r="K374" s="41" t="s">
        <v>284</v>
      </c>
    </row>
    <row r="375" spans="1:12" x14ac:dyDescent="0.25">
      <c r="A375" s="39" t="s">
        <v>1025</v>
      </c>
      <c r="B375" s="39" t="s">
        <v>1026</v>
      </c>
      <c r="C375" s="40" t="s">
        <v>283</v>
      </c>
      <c r="D375" s="41">
        <v>171.5</v>
      </c>
      <c r="E375" s="41">
        <v>179.6</v>
      </c>
      <c r="F375" s="41">
        <v>8.1</v>
      </c>
      <c r="G375" s="41">
        <v>4.7</v>
      </c>
      <c r="H375" s="41">
        <v>0.5</v>
      </c>
      <c r="I375" s="41">
        <v>63.9</v>
      </c>
      <c r="J375" s="41">
        <v>78.400000000000006</v>
      </c>
      <c r="K375" s="41">
        <v>2.1</v>
      </c>
    </row>
    <row r="376" spans="1:12" x14ac:dyDescent="0.25">
      <c r="A376" s="39" t="s">
        <v>1027</v>
      </c>
      <c r="B376" s="39" t="s">
        <v>1028</v>
      </c>
      <c r="C376" s="40" t="s">
        <v>280</v>
      </c>
      <c r="D376" s="41">
        <v>214.4</v>
      </c>
      <c r="E376" s="41">
        <v>230.1</v>
      </c>
      <c r="F376" s="41">
        <v>15.7</v>
      </c>
      <c r="G376" s="41">
        <v>7.3</v>
      </c>
      <c r="H376" s="41">
        <v>0.7</v>
      </c>
      <c r="I376" s="41">
        <v>83.4</v>
      </c>
      <c r="J376" s="41">
        <v>103.6</v>
      </c>
      <c r="K376" s="41">
        <v>2.2000000000000002</v>
      </c>
    </row>
    <row r="377" spans="1:12" x14ac:dyDescent="0.25">
      <c r="A377" s="39" t="s">
        <v>1029</v>
      </c>
      <c r="B377" s="39" t="s">
        <v>1030</v>
      </c>
      <c r="C377" s="40" t="s">
        <v>283</v>
      </c>
      <c r="D377" s="41">
        <v>183.3</v>
      </c>
      <c r="E377" s="41">
        <v>195.8</v>
      </c>
      <c r="F377" s="41">
        <v>12.5</v>
      </c>
      <c r="G377" s="41">
        <v>6.8</v>
      </c>
      <c r="H377" s="41">
        <v>0.7</v>
      </c>
      <c r="I377" s="41" t="s">
        <v>284</v>
      </c>
      <c r="J377" s="41" t="s">
        <v>284</v>
      </c>
      <c r="K377" s="41" t="s">
        <v>284</v>
      </c>
    </row>
    <row r="378" spans="1:12" x14ac:dyDescent="0.25">
      <c r="A378" s="39" t="s">
        <v>1031</v>
      </c>
      <c r="B378" s="39" t="s">
        <v>1032</v>
      </c>
      <c r="C378" s="40" t="s">
        <v>283</v>
      </c>
      <c r="D378" s="41">
        <v>31.1</v>
      </c>
      <c r="E378" s="41">
        <v>34.299999999999997</v>
      </c>
      <c r="F378" s="41">
        <v>3.2</v>
      </c>
      <c r="G378" s="41">
        <v>10.3</v>
      </c>
      <c r="H378" s="41">
        <v>1</v>
      </c>
      <c r="I378" s="41" t="s">
        <v>284</v>
      </c>
      <c r="J378" s="41" t="s">
        <v>284</v>
      </c>
      <c r="K378" s="41" t="s">
        <v>284</v>
      </c>
    </row>
    <row r="379" spans="1:12" x14ac:dyDescent="0.25">
      <c r="A379" s="39" t="s">
        <v>1033</v>
      </c>
      <c r="B379" s="39" t="s">
        <v>1034</v>
      </c>
      <c r="C379" s="40" t="s">
        <v>283</v>
      </c>
      <c r="D379" s="41">
        <v>62.2</v>
      </c>
      <c r="E379" s="41">
        <v>61.2</v>
      </c>
      <c r="F379" s="41">
        <v>-1</v>
      </c>
      <c r="G379" s="41">
        <v>-1.5</v>
      </c>
      <c r="H379" s="41">
        <v>-0.2</v>
      </c>
      <c r="I379" s="41">
        <v>55.2</v>
      </c>
      <c r="J379" s="41">
        <v>70.2</v>
      </c>
      <c r="K379" s="41">
        <v>2.4</v>
      </c>
    </row>
    <row r="380" spans="1:12" x14ac:dyDescent="0.25">
      <c r="A380" s="39" t="s">
        <v>1035</v>
      </c>
      <c r="B380" s="39" t="s">
        <v>1036</v>
      </c>
      <c r="C380" s="40" t="s">
        <v>283</v>
      </c>
      <c r="D380" s="41">
        <v>179</v>
      </c>
      <c r="E380" s="41">
        <v>194</v>
      </c>
      <c r="F380" s="41">
        <v>15</v>
      </c>
      <c r="G380" s="41">
        <v>8.4</v>
      </c>
      <c r="H380" s="41">
        <v>0.8</v>
      </c>
      <c r="I380" s="41">
        <v>20.6</v>
      </c>
      <c r="J380" s="41">
        <v>27.2</v>
      </c>
      <c r="K380" s="41">
        <v>2.9</v>
      </c>
    </row>
    <row r="381" spans="1:12" x14ac:dyDescent="0.25">
      <c r="A381" s="39" t="s">
        <v>1037</v>
      </c>
      <c r="B381" s="39" t="s">
        <v>1038</v>
      </c>
      <c r="C381" s="40" t="s">
        <v>280</v>
      </c>
      <c r="D381" s="41">
        <v>1853.2</v>
      </c>
      <c r="E381" s="41">
        <v>1942.9</v>
      </c>
      <c r="F381" s="41">
        <v>89.7</v>
      </c>
      <c r="G381" s="41">
        <v>4.8</v>
      </c>
      <c r="H381" s="41">
        <v>0.5</v>
      </c>
      <c r="I381" s="41">
        <v>188.3</v>
      </c>
      <c r="J381" s="41">
        <v>231.6</v>
      </c>
      <c r="K381" s="41">
        <v>2.1</v>
      </c>
    </row>
    <row r="382" spans="1:12" x14ac:dyDescent="0.25">
      <c r="A382" s="39" t="s">
        <v>1039</v>
      </c>
      <c r="B382" s="39" t="s">
        <v>1040</v>
      </c>
      <c r="C382" s="40" t="s">
        <v>283</v>
      </c>
      <c r="D382" s="41">
        <v>232.7</v>
      </c>
      <c r="E382" s="41">
        <v>243</v>
      </c>
      <c r="F382" s="41">
        <v>10.3</v>
      </c>
      <c r="G382" s="41">
        <v>4.4000000000000004</v>
      </c>
      <c r="H382" s="41">
        <v>0.4</v>
      </c>
      <c r="I382" s="41">
        <v>30.3</v>
      </c>
      <c r="J382" s="41">
        <v>37.799999999999997</v>
      </c>
      <c r="K382" s="41">
        <v>2.2000000000000002</v>
      </c>
    </row>
    <row r="383" spans="1:12" x14ac:dyDescent="0.25">
      <c r="A383" s="39" t="s">
        <v>1041</v>
      </c>
      <c r="B383" s="39" t="s">
        <v>1042</v>
      </c>
      <c r="C383" s="40" t="s">
        <v>283</v>
      </c>
      <c r="D383" s="41">
        <v>123.3</v>
      </c>
      <c r="E383" s="41">
        <v>104.2</v>
      </c>
      <c r="F383" s="41">
        <v>-19.100000000000001</v>
      </c>
      <c r="G383" s="41">
        <v>-15.5</v>
      </c>
      <c r="H383" s="41">
        <v>-1.7</v>
      </c>
      <c r="I383" s="41">
        <v>45.3</v>
      </c>
      <c r="J383" s="41">
        <v>53.1</v>
      </c>
      <c r="K383" s="41">
        <v>1.6</v>
      </c>
    </row>
    <row r="384" spans="1:12" x14ac:dyDescent="0.25">
      <c r="A384" s="39" t="s">
        <v>1043</v>
      </c>
      <c r="B384" s="39" t="s">
        <v>1044</v>
      </c>
      <c r="C384" s="40" t="s">
        <v>280</v>
      </c>
      <c r="D384" s="41">
        <v>1497.2</v>
      </c>
      <c r="E384" s="41">
        <v>1595.8</v>
      </c>
      <c r="F384" s="41">
        <v>98.6</v>
      </c>
      <c r="G384" s="41">
        <v>6.6</v>
      </c>
      <c r="H384" s="41">
        <v>0.6</v>
      </c>
      <c r="I384" s="41">
        <v>112.9</v>
      </c>
      <c r="J384" s="41">
        <v>140.9</v>
      </c>
      <c r="K384" s="41">
        <v>2.2000000000000002</v>
      </c>
    </row>
    <row r="385" spans="1:12" x14ac:dyDescent="0.25">
      <c r="A385" s="39" t="s">
        <v>1045</v>
      </c>
      <c r="B385" s="39" t="s">
        <v>1046</v>
      </c>
      <c r="C385" s="40" t="s">
        <v>283</v>
      </c>
      <c r="D385" s="41">
        <v>652</v>
      </c>
      <c r="E385" s="41">
        <v>718.1</v>
      </c>
      <c r="F385" s="41">
        <v>66.099999999999994</v>
      </c>
      <c r="G385" s="41">
        <v>10.1</v>
      </c>
      <c r="H385" s="41">
        <v>1</v>
      </c>
      <c r="I385" s="41" t="s">
        <v>284</v>
      </c>
      <c r="J385" s="41" t="s">
        <v>284</v>
      </c>
      <c r="K385" s="41" t="s">
        <v>284</v>
      </c>
    </row>
    <row r="386" spans="1:12" x14ac:dyDescent="0.25">
      <c r="A386" s="39" t="s">
        <v>1047</v>
      </c>
      <c r="B386" s="39" t="s">
        <v>1048</v>
      </c>
      <c r="C386" s="40" t="s">
        <v>280</v>
      </c>
      <c r="D386" s="41">
        <v>14195.8</v>
      </c>
      <c r="E386" s="41">
        <v>14749.4</v>
      </c>
      <c r="F386" s="41">
        <v>553.6</v>
      </c>
      <c r="G386" s="41">
        <v>3.9</v>
      </c>
      <c r="H386" s="41">
        <v>0.4</v>
      </c>
      <c r="I386" s="41">
        <v>1303.7</v>
      </c>
      <c r="J386" s="41">
        <v>1639.9</v>
      </c>
      <c r="K386" s="41">
        <v>2.2999999999999998</v>
      </c>
      <c r="L386" t="s">
        <v>21</v>
      </c>
    </row>
    <row r="387" spans="1:12" x14ac:dyDescent="0.25">
      <c r="A387" s="39" t="s">
        <v>1049</v>
      </c>
      <c r="B387" s="39" t="s">
        <v>1050</v>
      </c>
      <c r="C387" s="40" t="s">
        <v>280</v>
      </c>
      <c r="D387" s="41">
        <v>1934.9</v>
      </c>
      <c r="E387" s="41">
        <v>2019.8</v>
      </c>
      <c r="F387" s="41">
        <v>84.9</v>
      </c>
      <c r="G387" s="41">
        <v>4.4000000000000004</v>
      </c>
      <c r="H387" s="41">
        <v>0.4</v>
      </c>
      <c r="I387" s="41">
        <v>309.10000000000002</v>
      </c>
      <c r="J387" s="41">
        <v>411.1</v>
      </c>
      <c r="K387" s="41">
        <v>2.9</v>
      </c>
    </row>
    <row r="388" spans="1:12" x14ac:dyDescent="0.25">
      <c r="A388" s="39" t="s">
        <v>1051</v>
      </c>
      <c r="B388" s="39" t="s">
        <v>1052</v>
      </c>
      <c r="C388" s="40" t="s">
        <v>280</v>
      </c>
      <c r="D388" s="41">
        <v>1851.3</v>
      </c>
      <c r="E388" s="41">
        <v>1935.7</v>
      </c>
      <c r="F388" s="41">
        <v>84.3</v>
      </c>
      <c r="G388" s="41">
        <v>4.5999999999999996</v>
      </c>
      <c r="H388" s="41">
        <v>0.4</v>
      </c>
      <c r="I388" s="41" t="s">
        <v>284</v>
      </c>
      <c r="J388" s="41" t="s">
        <v>284</v>
      </c>
      <c r="K388" s="41" t="s">
        <v>284</v>
      </c>
    </row>
    <row r="389" spans="1:12" x14ac:dyDescent="0.25">
      <c r="A389" s="39" t="s">
        <v>1053</v>
      </c>
      <c r="B389" s="39" t="s">
        <v>1054</v>
      </c>
      <c r="C389" s="40" t="s">
        <v>283</v>
      </c>
      <c r="D389" s="41">
        <v>252.8</v>
      </c>
      <c r="E389" s="41">
        <v>259.3</v>
      </c>
      <c r="F389" s="41">
        <v>6.5</v>
      </c>
      <c r="G389" s="41">
        <v>2.6</v>
      </c>
      <c r="H389" s="41">
        <v>0.3</v>
      </c>
      <c r="I389" s="41" t="s">
        <v>284</v>
      </c>
      <c r="J389" s="41" t="s">
        <v>284</v>
      </c>
      <c r="K389" s="41" t="s">
        <v>284</v>
      </c>
    </row>
    <row r="390" spans="1:12" x14ac:dyDescent="0.25">
      <c r="A390" s="39" t="s">
        <v>1055</v>
      </c>
      <c r="B390" s="39" t="s">
        <v>1056</v>
      </c>
      <c r="C390" s="40" t="s">
        <v>283</v>
      </c>
      <c r="D390" s="41">
        <v>73.2</v>
      </c>
      <c r="E390" s="41">
        <v>73.7</v>
      </c>
      <c r="F390" s="41">
        <v>0.5</v>
      </c>
      <c r="G390" s="41">
        <v>0.7</v>
      </c>
      <c r="H390" s="41">
        <v>0.1</v>
      </c>
      <c r="I390" s="41" t="s">
        <v>284</v>
      </c>
      <c r="J390" s="41" t="s">
        <v>284</v>
      </c>
      <c r="K390" s="41" t="s">
        <v>284</v>
      </c>
    </row>
    <row r="391" spans="1:12" x14ac:dyDescent="0.25">
      <c r="A391" s="39" t="s">
        <v>1057</v>
      </c>
      <c r="B391" s="39" t="s">
        <v>1058</v>
      </c>
      <c r="C391" s="40" t="s">
        <v>283</v>
      </c>
      <c r="D391" s="41">
        <v>10.4</v>
      </c>
      <c r="E391" s="41">
        <v>10.4</v>
      </c>
      <c r="F391" s="41">
        <v>0</v>
      </c>
      <c r="G391" s="41">
        <v>0.5</v>
      </c>
      <c r="H391" s="41">
        <v>0</v>
      </c>
      <c r="I391" s="41" t="s">
        <v>284</v>
      </c>
      <c r="J391" s="41" t="s">
        <v>284</v>
      </c>
      <c r="K391" s="41" t="s">
        <v>284</v>
      </c>
    </row>
    <row r="392" spans="1:12" x14ac:dyDescent="0.25">
      <c r="A392" s="39" t="s">
        <v>1059</v>
      </c>
      <c r="B392" s="39" t="s">
        <v>1060</v>
      </c>
      <c r="C392" s="40" t="s">
        <v>280</v>
      </c>
      <c r="D392" s="41">
        <v>12260.9</v>
      </c>
      <c r="E392" s="41">
        <v>12729.6</v>
      </c>
      <c r="F392" s="41">
        <v>468.7</v>
      </c>
      <c r="G392" s="41">
        <v>3.8</v>
      </c>
      <c r="H392" s="41">
        <v>0.4</v>
      </c>
      <c r="I392" s="41">
        <v>994.2</v>
      </c>
      <c r="J392" s="41">
        <v>1230.0999999999999</v>
      </c>
      <c r="K392" s="41">
        <v>2.2000000000000002</v>
      </c>
    </row>
    <row r="393" spans="1:12" x14ac:dyDescent="0.25">
      <c r="A393" s="39" t="s">
        <v>1061</v>
      </c>
      <c r="B393" s="39" t="s">
        <v>1062</v>
      </c>
      <c r="C393" s="40" t="s">
        <v>283</v>
      </c>
      <c r="D393" s="41">
        <v>5385.1</v>
      </c>
      <c r="E393" s="41">
        <v>5517.7</v>
      </c>
      <c r="F393" s="41">
        <v>132.6</v>
      </c>
      <c r="G393" s="41">
        <v>2.5</v>
      </c>
      <c r="H393" s="41">
        <v>0.2</v>
      </c>
      <c r="I393" s="41">
        <v>452.7</v>
      </c>
      <c r="J393" s="41">
        <v>550.20000000000005</v>
      </c>
      <c r="K393" s="41">
        <v>2</v>
      </c>
    </row>
    <row r="394" spans="1:12" x14ac:dyDescent="0.25">
      <c r="A394" s="39" t="s">
        <v>1063</v>
      </c>
      <c r="B394" s="39" t="s">
        <v>1064</v>
      </c>
      <c r="C394" s="40" t="s">
        <v>283</v>
      </c>
      <c r="D394" s="41">
        <v>778.3</v>
      </c>
      <c r="E394" s="41">
        <v>822.1</v>
      </c>
      <c r="F394" s="41">
        <v>43.8</v>
      </c>
      <c r="G394" s="41">
        <v>5.6</v>
      </c>
      <c r="H394" s="41">
        <v>0.5</v>
      </c>
      <c r="I394" s="41" t="s">
        <v>284</v>
      </c>
      <c r="J394" s="41" t="s">
        <v>284</v>
      </c>
      <c r="K394" s="41" t="s">
        <v>284</v>
      </c>
    </row>
    <row r="395" spans="1:12" x14ac:dyDescent="0.25">
      <c r="A395" s="39" t="s">
        <v>1065</v>
      </c>
      <c r="B395" s="39" t="s">
        <v>1066</v>
      </c>
      <c r="C395" s="40" t="s">
        <v>283</v>
      </c>
      <c r="D395" s="41">
        <v>421.2</v>
      </c>
      <c r="E395" s="41">
        <v>439.9</v>
      </c>
      <c r="F395" s="41">
        <v>18.7</v>
      </c>
      <c r="G395" s="41">
        <v>4.4000000000000004</v>
      </c>
      <c r="H395" s="41">
        <v>0.4</v>
      </c>
      <c r="I395" s="41" t="s">
        <v>284</v>
      </c>
      <c r="J395" s="41" t="s">
        <v>284</v>
      </c>
      <c r="K395" s="41" t="s">
        <v>284</v>
      </c>
    </row>
    <row r="396" spans="1:12" x14ac:dyDescent="0.25">
      <c r="A396" s="39" t="s">
        <v>1067</v>
      </c>
      <c r="B396" s="39" t="s">
        <v>1068</v>
      </c>
      <c r="C396" s="40" t="s">
        <v>280</v>
      </c>
      <c r="D396" s="41">
        <v>6615.9</v>
      </c>
      <c r="E396" s="41">
        <v>6808.5</v>
      </c>
      <c r="F396" s="41">
        <v>192.5</v>
      </c>
      <c r="G396" s="41">
        <v>2.9</v>
      </c>
      <c r="H396" s="41">
        <v>0.3</v>
      </c>
      <c r="I396" s="41">
        <v>786.2</v>
      </c>
      <c r="J396" s="41">
        <v>962.5</v>
      </c>
      <c r="K396" s="41">
        <v>2</v>
      </c>
    </row>
    <row r="397" spans="1:12" x14ac:dyDescent="0.25">
      <c r="A397" s="39" t="s">
        <v>1069</v>
      </c>
      <c r="B397" s="39" t="s">
        <v>1070</v>
      </c>
      <c r="C397" s="40" t="s">
        <v>280</v>
      </c>
      <c r="D397" s="41">
        <v>1466.8</v>
      </c>
      <c r="E397" s="41">
        <v>1512</v>
      </c>
      <c r="F397" s="41">
        <v>45.2</v>
      </c>
      <c r="G397" s="41">
        <v>3.1</v>
      </c>
      <c r="H397" s="41">
        <v>0.3</v>
      </c>
      <c r="I397" s="41">
        <v>239.7</v>
      </c>
      <c r="J397" s="41">
        <v>287.3</v>
      </c>
      <c r="K397" s="41">
        <v>1.8</v>
      </c>
    </row>
    <row r="398" spans="1:12" x14ac:dyDescent="0.25">
      <c r="A398" s="39" t="s">
        <v>1071</v>
      </c>
      <c r="B398" s="39" t="s">
        <v>1072</v>
      </c>
      <c r="C398" s="40" t="s">
        <v>280</v>
      </c>
      <c r="D398" s="41">
        <v>1036</v>
      </c>
      <c r="E398" s="41">
        <v>1052</v>
      </c>
      <c r="F398" s="41">
        <v>16</v>
      </c>
      <c r="G398" s="41">
        <v>1.5</v>
      </c>
      <c r="H398" s="41">
        <v>0.2</v>
      </c>
      <c r="I398" s="41">
        <v>153.30000000000001</v>
      </c>
      <c r="J398" s="41">
        <v>183.5</v>
      </c>
      <c r="K398" s="41">
        <v>1.8</v>
      </c>
      <c r="L398" s="43" t="s">
        <v>19</v>
      </c>
    </row>
    <row r="399" spans="1:12" x14ac:dyDescent="0.25">
      <c r="A399" s="39" t="s">
        <v>1073</v>
      </c>
      <c r="B399" s="39" t="s">
        <v>1074</v>
      </c>
      <c r="C399" s="40" t="s">
        <v>283</v>
      </c>
      <c r="D399" s="41">
        <v>444</v>
      </c>
      <c r="E399" s="41">
        <v>450.3</v>
      </c>
      <c r="F399" s="41">
        <v>6.3</v>
      </c>
      <c r="G399" s="41">
        <v>1.4</v>
      </c>
      <c r="H399" s="41">
        <v>0.1</v>
      </c>
      <c r="I399" s="41" t="s">
        <v>284</v>
      </c>
      <c r="J399" s="41" t="s">
        <v>284</v>
      </c>
      <c r="K399" s="41" t="s">
        <v>284</v>
      </c>
    </row>
    <row r="400" spans="1:12" x14ac:dyDescent="0.25">
      <c r="A400" s="39" t="s">
        <v>1075</v>
      </c>
      <c r="B400" s="39" t="s">
        <v>1076</v>
      </c>
      <c r="C400" s="40" t="s">
        <v>283</v>
      </c>
      <c r="D400" s="41">
        <v>297.5</v>
      </c>
      <c r="E400" s="41">
        <v>305.10000000000002</v>
      </c>
      <c r="F400" s="41">
        <v>7.6</v>
      </c>
      <c r="G400" s="41">
        <v>2.6</v>
      </c>
      <c r="H400" s="41">
        <v>0.3</v>
      </c>
      <c r="I400" s="41" t="s">
        <v>284</v>
      </c>
      <c r="J400" s="41" t="s">
        <v>284</v>
      </c>
      <c r="K400" s="41" t="s">
        <v>284</v>
      </c>
    </row>
    <row r="401" spans="1:12" x14ac:dyDescent="0.25">
      <c r="A401" s="39" t="s">
        <v>1077</v>
      </c>
      <c r="B401" s="39" t="s">
        <v>1078</v>
      </c>
      <c r="C401" s="40" t="s">
        <v>283</v>
      </c>
      <c r="D401" s="41">
        <v>294.5</v>
      </c>
      <c r="E401" s="41">
        <v>296.7</v>
      </c>
      <c r="F401" s="41">
        <v>2.2000000000000002</v>
      </c>
      <c r="G401" s="41">
        <v>0.7</v>
      </c>
      <c r="H401" s="41">
        <v>0.1</v>
      </c>
      <c r="I401" s="41" t="s">
        <v>284</v>
      </c>
      <c r="J401" s="41" t="s">
        <v>284</v>
      </c>
      <c r="K401" s="41" t="s">
        <v>284</v>
      </c>
    </row>
    <row r="402" spans="1:12" x14ac:dyDescent="0.25">
      <c r="A402" s="39" t="s">
        <v>1079</v>
      </c>
      <c r="B402" s="39" t="s">
        <v>1080</v>
      </c>
      <c r="C402" s="40" t="s">
        <v>283</v>
      </c>
      <c r="D402" s="41">
        <v>104.7</v>
      </c>
      <c r="E402" s="41">
        <v>109.6</v>
      </c>
      <c r="F402" s="41">
        <v>4.9000000000000004</v>
      </c>
      <c r="G402" s="41">
        <v>4.7</v>
      </c>
      <c r="H402" s="41">
        <v>0.5</v>
      </c>
      <c r="I402" s="41">
        <v>19.899999999999999</v>
      </c>
      <c r="J402" s="41">
        <v>23.2</v>
      </c>
      <c r="K402" s="41">
        <v>1.5</v>
      </c>
      <c r="L402" s="43" t="s">
        <v>31</v>
      </c>
    </row>
    <row r="403" spans="1:12" x14ac:dyDescent="0.25">
      <c r="A403" s="39" t="s">
        <v>1081</v>
      </c>
      <c r="B403" s="39" t="s">
        <v>1082</v>
      </c>
      <c r="C403" s="40" t="s">
        <v>283</v>
      </c>
      <c r="D403" s="41">
        <v>243.6</v>
      </c>
      <c r="E403" s="41">
        <v>263</v>
      </c>
      <c r="F403" s="41">
        <v>19.399999999999999</v>
      </c>
      <c r="G403" s="41">
        <v>7.9</v>
      </c>
      <c r="H403" s="41">
        <v>0.8</v>
      </c>
      <c r="I403" s="41">
        <v>41.2</v>
      </c>
      <c r="J403" s="41">
        <v>49.2</v>
      </c>
      <c r="K403" s="41">
        <v>1.8</v>
      </c>
      <c r="L403" s="43" t="s">
        <v>17</v>
      </c>
    </row>
    <row r="404" spans="1:12" x14ac:dyDescent="0.25">
      <c r="A404" s="39" t="s">
        <v>1083</v>
      </c>
      <c r="B404" s="39" t="s">
        <v>1084</v>
      </c>
      <c r="C404" s="40" t="s">
        <v>283</v>
      </c>
      <c r="D404" s="41">
        <v>82.5</v>
      </c>
      <c r="E404" s="41">
        <v>87.4</v>
      </c>
      <c r="F404" s="41">
        <v>4.9000000000000004</v>
      </c>
      <c r="G404" s="41">
        <v>5.9</v>
      </c>
      <c r="H404" s="41">
        <v>0.6</v>
      </c>
      <c r="I404" s="41">
        <v>25.3</v>
      </c>
      <c r="J404" s="41">
        <v>31.2</v>
      </c>
      <c r="K404" s="41">
        <v>2.1</v>
      </c>
      <c r="L404" s="43" t="s">
        <v>31</v>
      </c>
    </row>
    <row r="405" spans="1:12" x14ac:dyDescent="0.25">
      <c r="A405" s="39" t="s">
        <v>1085</v>
      </c>
      <c r="B405" s="39" t="s">
        <v>1086</v>
      </c>
      <c r="C405" s="40" t="s">
        <v>280</v>
      </c>
      <c r="D405" s="41">
        <v>1589.2</v>
      </c>
      <c r="E405" s="41">
        <v>1706.1</v>
      </c>
      <c r="F405" s="41">
        <v>116.9</v>
      </c>
      <c r="G405" s="41">
        <v>7.4</v>
      </c>
      <c r="H405" s="41">
        <v>0.7</v>
      </c>
      <c r="I405" s="41">
        <v>238.8</v>
      </c>
      <c r="J405" s="41">
        <v>307.2</v>
      </c>
      <c r="K405" s="41">
        <v>2.5</v>
      </c>
      <c r="L405" s="43" t="s">
        <v>31</v>
      </c>
    </row>
    <row r="406" spans="1:12" x14ac:dyDescent="0.25">
      <c r="A406" s="39" t="s">
        <v>1087</v>
      </c>
      <c r="B406" s="39" t="s">
        <v>1088</v>
      </c>
      <c r="C406" s="40" t="s">
        <v>283</v>
      </c>
      <c r="D406" s="41">
        <v>766.9</v>
      </c>
      <c r="E406" s="41">
        <v>835.1</v>
      </c>
      <c r="F406" s="41">
        <v>68.2</v>
      </c>
      <c r="G406" s="41">
        <v>8.9</v>
      </c>
      <c r="H406" s="41">
        <v>0.9</v>
      </c>
      <c r="I406" s="41">
        <v>87.7</v>
      </c>
      <c r="J406" s="41">
        <v>117.8</v>
      </c>
      <c r="K406" s="41">
        <v>3</v>
      </c>
    </row>
    <row r="407" spans="1:12" x14ac:dyDescent="0.25">
      <c r="A407" s="39" t="s">
        <v>1089</v>
      </c>
      <c r="B407" s="39" t="s">
        <v>1090</v>
      </c>
      <c r="C407" s="40" t="s">
        <v>283</v>
      </c>
      <c r="D407" s="41">
        <v>136.4</v>
      </c>
      <c r="E407" s="41">
        <v>137.19999999999999</v>
      </c>
      <c r="F407" s="41">
        <v>0.8</v>
      </c>
      <c r="G407" s="41">
        <v>0.6</v>
      </c>
      <c r="H407" s="41">
        <v>0.1</v>
      </c>
      <c r="I407" s="41">
        <v>24.3</v>
      </c>
      <c r="J407" s="41">
        <v>26.6</v>
      </c>
      <c r="K407" s="41">
        <v>0.9</v>
      </c>
    </row>
    <row r="408" spans="1:12" x14ac:dyDescent="0.25">
      <c r="A408" s="39" t="s">
        <v>1091</v>
      </c>
      <c r="B408" s="39" t="s">
        <v>1092</v>
      </c>
      <c r="C408" s="40" t="s">
        <v>283</v>
      </c>
      <c r="D408" s="41">
        <v>261.60000000000002</v>
      </c>
      <c r="E408" s="41">
        <v>266.5</v>
      </c>
      <c r="F408" s="41">
        <v>4.9000000000000004</v>
      </c>
      <c r="G408" s="41">
        <v>1.9</v>
      </c>
      <c r="H408" s="41">
        <v>0.2</v>
      </c>
      <c r="I408" s="41">
        <v>29.4</v>
      </c>
      <c r="J408" s="41">
        <v>34.5</v>
      </c>
      <c r="K408" s="41">
        <v>1.6</v>
      </c>
    </row>
    <row r="409" spans="1:12" x14ac:dyDescent="0.25">
      <c r="A409" s="39" t="s">
        <v>1093</v>
      </c>
      <c r="B409" s="39" t="s">
        <v>1094</v>
      </c>
      <c r="C409" s="40" t="s">
        <v>283</v>
      </c>
      <c r="D409" s="41">
        <v>424.3</v>
      </c>
      <c r="E409" s="41">
        <v>467.3</v>
      </c>
      <c r="F409" s="41">
        <v>43</v>
      </c>
      <c r="G409" s="41">
        <v>10.1</v>
      </c>
      <c r="H409" s="41">
        <v>1</v>
      </c>
      <c r="I409" s="41">
        <v>97</v>
      </c>
      <c r="J409" s="41">
        <v>127.6</v>
      </c>
      <c r="K409" s="41">
        <v>2.8</v>
      </c>
    </row>
    <row r="410" spans="1:12" x14ac:dyDescent="0.25">
      <c r="A410" s="39" t="s">
        <v>1095</v>
      </c>
      <c r="B410" s="39" t="s">
        <v>1096</v>
      </c>
      <c r="C410" s="40" t="s">
        <v>280</v>
      </c>
      <c r="D410" s="41">
        <v>2909.5</v>
      </c>
      <c r="E410" s="41">
        <v>2937.3</v>
      </c>
      <c r="F410" s="41">
        <v>27.8</v>
      </c>
      <c r="G410" s="41">
        <v>1</v>
      </c>
      <c r="H410" s="41">
        <v>0.1</v>
      </c>
      <c r="I410" s="41">
        <v>289.89999999999998</v>
      </c>
      <c r="J410" s="41">
        <v>346.5</v>
      </c>
      <c r="K410" s="41">
        <v>1.8</v>
      </c>
      <c r="L410" s="43" t="s">
        <v>31</v>
      </c>
    </row>
    <row r="411" spans="1:12" x14ac:dyDescent="0.25">
      <c r="A411" s="39" t="s">
        <v>1097</v>
      </c>
      <c r="B411" s="39" t="s">
        <v>1098</v>
      </c>
      <c r="C411" s="40" t="s">
        <v>280</v>
      </c>
      <c r="D411" s="41">
        <v>488.5</v>
      </c>
      <c r="E411" s="41">
        <v>519.70000000000005</v>
      </c>
      <c r="F411" s="41">
        <v>31.2</v>
      </c>
      <c r="G411" s="41">
        <v>6.4</v>
      </c>
      <c r="H411" s="41">
        <v>0.6</v>
      </c>
      <c r="I411" s="41">
        <v>82.4</v>
      </c>
      <c r="J411" s="41">
        <v>109.4</v>
      </c>
      <c r="K411" s="41">
        <v>2.9</v>
      </c>
    </row>
    <row r="412" spans="1:12" x14ac:dyDescent="0.25">
      <c r="A412" s="39" t="s">
        <v>1099</v>
      </c>
      <c r="B412" s="39" t="s">
        <v>1100</v>
      </c>
      <c r="C412" s="40" t="s">
        <v>283</v>
      </c>
      <c r="D412" s="41">
        <v>203.7</v>
      </c>
      <c r="E412" s="41">
        <v>215.1</v>
      </c>
      <c r="F412" s="41">
        <v>11.4</v>
      </c>
      <c r="G412" s="41">
        <v>5.6</v>
      </c>
      <c r="H412" s="41">
        <v>0.5</v>
      </c>
      <c r="I412" s="41" t="s">
        <v>284</v>
      </c>
      <c r="J412" s="41" t="s">
        <v>284</v>
      </c>
      <c r="K412" s="41" t="s">
        <v>284</v>
      </c>
    </row>
    <row r="413" spans="1:12" x14ac:dyDescent="0.25">
      <c r="A413" s="39" t="s">
        <v>1101</v>
      </c>
      <c r="B413" s="39" t="s">
        <v>1102</v>
      </c>
      <c r="C413" s="40" t="s">
        <v>283</v>
      </c>
      <c r="D413" s="41">
        <v>284.8</v>
      </c>
      <c r="E413" s="41">
        <v>304.5</v>
      </c>
      <c r="F413" s="41">
        <v>19.7</v>
      </c>
      <c r="G413" s="41">
        <v>6.9</v>
      </c>
      <c r="H413" s="41">
        <v>0.7</v>
      </c>
      <c r="I413" s="41" t="s">
        <v>284</v>
      </c>
      <c r="J413" s="41" t="s">
        <v>284</v>
      </c>
      <c r="K413" s="41" t="s">
        <v>284</v>
      </c>
    </row>
    <row r="414" spans="1:12" x14ac:dyDescent="0.25">
      <c r="A414" s="39" t="s">
        <v>1103</v>
      </c>
      <c r="B414" s="39" t="s">
        <v>1104</v>
      </c>
      <c r="C414" s="40" t="s">
        <v>280</v>
      </c>
      <c r="D414" s="41">
        <v>847.6</v>
      </c>
      <c r="E414" s="41">
        <v>863.7</v>
      </c>
      <c r="F414" s="41">
        <v>16.100000000000001</v>
      </c>
      <c r="G414" s="41">
        <v>1.9</v>
      </c>
      <c r="H414" s="41">
        <v>0.2</v>
      </c>
      <c r="I414" s="41">
        <v>115.6</v>
      </c>
      <c r="J414" s="41">
        <v>141.5</v>
      </c>
      <c r="K414" s="41">
        <v>2</v>
      </c>
    </row>
    <row r="415" spans="1:12" x14ac:dyDescent="0.25">
      <c r="A415" s="39" t="s">
        <v>1105</v>
      </c>
      <c r="B415" s="39" t="s">
        <v>1106</v>
      </c>
      <c r="C415" s="40" t="s">
        <v>283</v>
      </c>
      <c r="D415" s="41">
        <v>364.4</v>
      </c>
      <c r="E415" s="41">
        <v>375.7</v>
      </c>
      <c r="F415" s="41">
        <v>11.3</v>
      </c>
      <c r="G415" s="41">
        <v>3.1</v>
      </c>
      <c r="H415" s="41">
        <v>0.3</v>
      </c>
      <c r="I415" s="41" t="s">
        <v>284</v>
      </c>
      <c r="J415" s="41" t="s">
        <v>284</v>
      </c>
      <c r="K415" s="41" t="s">
        <v>284</v>
      </c>
    </row>
    <row r="416" spans="1:12" x14ac:dyDescent="0.25">
      <c r="A416" s="39" t="s">
        <v>1107</v>
      </c>
      <c r="B416" s="39" t="s">
        <v>1108</v>
      </c>
      <c r="C416" s="40" t="s">
        <v>280</v>
      </c>
      <c r="D416" s="41">
        <v>483.2</v>
      </c>
      <c r="E416" s="41">
        <v>488</v>
      </c>
      <c r="F416" s="41">
        <v>4.8</v>
      </c>
      <c r="G416" s="41">
        <v>1</v>
      </c>
      <c r="H416" s="41">
        <v>0.1</v>
      </c>
      <c r="I416" s="41" t="s">
        <v>284</v>
      </c>
      <c r="J416" s="41" t="s">
        <v>284</v>
      </c>
      <c r="K416" s="41" t="s">
        <v>284</v>
      </c>
    </row>
    <row r="417" spans="1:12" x14ac:dyDescent="0.25">
      <c r="A417" s="39" t="s">
        <v>1109</v>
      </c>
      <c r="B417" s="39" t="s">
        <v>1110</v>
      </c>
      <c r="C417" s="40" t="s">
        <v>283</v>
      </c>
      <c r="D417" s="41">
        <v>107.2</v>
      </c>
      <c r="E417" s="41">
        <v>103.6</v>
      </c>
      <c r="F417" s="41">
        <v>-3.6</v>
      </c>
      <c r="G417" s="41">
        <v>-3.3</v>
      </c>
      <c r="H417" s="41">
        <v>-0.3</v>
      </c>
      <c r="I417" s="41" t="s">
        <v>284</v>
      </c>
      <c r="J417" s="41" t="s">
        <v>284</v>
      </c>
      <c r="K417" s="41" t="s">
        <v>284</v>
      </c>
    </row>
    <row r="418" spans="1:12" x14ac:dyDescent="0.25">
      <c r="A418" s="39" t="s">
        <v>1111</v>
      </c>
      <c r="B418" s="39" t="s">
        <v>1112</v>
      </c>
      <c r="C418" s="40" t="s">
        <v>283</v>
      </c>
      <c r="D418" s="41">
        <v>650.4</v>
      </c>
      <c r="E418" s="41">
        <v>653</v>
      </c>
      <c r="F418" s="41">
        <v>2.6</v>
      </c>
      <c r="G418" s="41">
        <v>0.4</v>
      </c>
      <c r="H418" s="41">
        <v>0</v>
      </c>
      <c r="I418" s="41">
        <v>19.2</v>
      </c>
      <c r="J418" s="41">
        <v>23</v>
      </c>
      <c r="K418" s="41">
        <v>1.8</v>
      </c>
      <c r="L418" t="s">
        <v>32</v>
      </c>
    </row>
    <row r="419" spans="1:12" x14ac:dyDescent="0.25">
      <c r="A419" s="39" t="s">
        <v>1113</v>
      </c>
      <c r="B419" s="39" t="s">
        <v>1114</v>
      </c>
      <c r="C419" s="40" t="s">
        <v>280</v>
      </c>
      <c r="D419" s="41">
        <v>11468</v>
      </c>
      <c r="E419" s="41">
        <v>11453.9</v>
      </c>
      <c r="F419" s="41">
        <v>-14.1</v>
      </c>
      <c r="G419" s="41">
        <v>-0.1</v>
      </c>
      <c r="H419" s="41">
        <v>0</v>
      </c>
      <c r="I419" s="41" t="s">
        <v>284</v>
      </c>
      <c r="J419" s="41" t="s">
        <v>284</v>
      </c>
      <c r="K419" s="41" t="s">
        <v>284</v>
      </c>
    </row>
    <row r="420" spans="1:12" x14ac:dyDescent="0.25">
      <c r="A420" s="39" t="s">
        <v>1115</v>
      </c>
      <c r="B420" s="39" t="s">
        <v>1116</v>
      </c>
      <c r="C420" s="40" t="s">
        <v>280</v>
      </c>
      <c r="D420" s="41">
        <v>2999.5</v>
      </c>
      <c r="E420" s="41">
        <v>2862.9</v>
      </c>
      <c r="F420" s="41">
        <v>-136.6</v>
      </c>
      <c r="G420" s="41">
        <v>-4.5999999999999996</v>
      </c>
      <c r="H420" s="41">
        <v>-0.5</v>
      </c>
      <c r="I420" s="41">
        <v>1278.0999999999999</v>
      </c>
      <c r="J420" s="41">
        <v>1325.2</v>
      </c>
      <c r="K420" s="41">
        <v>0.4</v>
      </c>
      <c r="L420" s="43" t="s">
        <v>28</v>
      </c>
    </row>
    <row r="421" spans="1:12" x14ac:dyDescent="0.25">
      <c r="A421" s="39" t="s">
        <v>1117</v>
      </c>
      <c r="B421" s="39" t="s">
        <v>1118</v>
      </c>
      <c r="C421" s="40" t="s">
        <v>283</v>
      </c>
      <c r="D421" s="41">
        <v>605.70000000000005</v>
      </c>
      <c r="E421" s="41">
        <v>578.20000000000005</v>
      </c>
      <c r="F421" s="41">
        <v>-27.5</v>
      </c>
      <c r="G421" s="41">
        <v>-4.5</v>
      </c>
      <c r="H421" s="41">
        <v>-0.5</v>
      </c>
      <c r="I421" s="41">
        <v>61.9</v>
      </c>
      <c r="J421" s="41">
        <v>69.8</v>
      </c>
      <c r="K421" s="41">
        <v>1.2</v>
      </c>
    </row>
    <row r="422" spans="1:12" x14ac:dyDescent="0.25">
      <c r="A422" s="39" t="s">
        <v>1119</v>
      </c>
      <c r="B422" s="39" t="s">
        <v>1120</v>
      </c>
      <c r="C422" s="40" t="s">
        <v>283</v>
      </c>
      <c r="D422" s="41">
        <v>2393.8000000000002</v>
      </c>
      <c r="E422" s="41">
        <v>2284.6</v>
      </c>
      <c r="F422" s="41">
        <v>-109.2</v>
      </c>
      <c r="G422" s="41">
        <v>-4.5999999999999996</v>
      </c>
      <c r="H422" s="41">
        <v>-0.5</v>
      </c>
      <c r="I422" s="41">
        <v>1216.5</v>
      </c>
      <c r="J422" s="41">
        <v>1255.2</v>
      </c>
      <c r="K422" s="41">
        <v>0.3</v>
      </c>
    </row>
    <row r="423" spans="1:12" x14ac:dyDescent="0.25">
      <c r="A423" s="39" t="s">
        <v>1121</v>
      </c>
      <c r="B423" s="39" t="s">
        <v>1122</v>
      </c>
      <c r="C423" s="40" t="s">
        <v>280</v>
      </c>
      <c r="D423" s="41">
        <v>8468.5</v>
      </c>
      <c r="E423" s="41">
        <v>8591.1</v>
      </c>
      <c r="F423" s="41">
        <v>122.6</v>
      </c>
      <c r="G423" s="41">
        <v>1.4</v>
      </c>
      <c r="H423" s="41">
        <v>0.1</v>
      </c>
      <c r="I423" s="41">
        <v>1420.6</v>
      </c>
      <c r="J423" s="41">
        <v>1510.1</v>
      </c>
      <c r="K423" s="41">
        <v>0.6</v>
      </c>
      <c r="L423" s="43" t="s">
        <v>28</v>
      </c>
    </row>
    <row r="424" spans="1:12" x14ac:dyDescent="0.25">
      <c r="A424" s="39" t="s">
        <v>1123</v>
      </c>
      <c r="B424" s="39" t="s">
        <v>1124</v>
      </c>
      <c r="C424" s="40" t="s">
        <v>283</v>
      </c>
      <c r="D424" s="41">
        <v>2380.3000000000002</v>
      </c>
      <c r="E424" s="41">
        <v>2388.3000000000002</v>
      </c>
      <c r="F424" s="41">
        <v>8</v>
      </c>
      <c r="G424" s="41">
        <v>0.3</v>
      </c>
      <c r="H424" s="41">
        <v>0</v>
      </c>
      <c r="I424" s="41" t="s">
        <v>284</v>
      </c>
      <c r="J424" s="41" t="s">
        <v>284</v>
      </c>
      <c r="K424" s="41" t="s">
        <v>284</v>
      </c>
    </row>
    <row r="425" spans="1:12" x14ac:dyDescent="0.25">
      <c r="A425" s="39" t="s">
        <v>1125</v>
      </c>
      <c r="B425" s="39" t="s">
        <v>1126</v>
      </c>
      <c r="C425" s="40" t="s">
        <v>283</v>
      </c>
      <c r="D425" s="41">
        <v>6088.2</v>
      </c>
      <c r="E425" s="41">
        <v>6202.8</v>
      </c>
      <c r="F425" s="41">
        <v>114.6</v>
      </c>
      <c r="G425" s="41">
        <v>1.9</v>
      </c>
      <c r="H425" s="41">
        <v>0.2</v>
      </c>
      <c r="I425" s="41" t="s">
        <v>284</v>
      </c>
      <c r="J425" s="41" t="s">
        <v>284</v>
      </c>
      <c r="K425" s="41" t="s">
        <v>284</v>
      </c>
    </row>
    <row r="426" spans="1:12" x14ac:dyDescent="0.25">
      <c r="A426" s="42" t="s">
        <v>1127</v>
      </c>
      <c r="B426" s="42"/>
      <c r="C426" s="42"/>
      <c r="D426" s="42"/>
      <c r="E426" s="42"/>
      <c r="F426" s="42"/>
      <c r="G426" s="42"/>
      <c r="H426" s="42"/>
      <c r="I426" s="42"/>
      <c r="J426" s="42"/>
      <c r="K426" s="4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265C-1DCD-44BF-858F-9BA42AC22CE3}">
  <dimension ref="A1:AI49"/>
  <sheetViews>
    <sheetView topLeftCell="A4" workbookViewId="0">
      <selection activeCell="E34" sqref="E34"/>
    </sheetView>
  </sheetViews>
  <sheetFormatPr defaultRowHeight="15" x14ac:dyDescent="0.25"/>
  <cols>
    <col min="1" max="1" width="21.85546875" customWidth="1"/>
    <col min="2" max="2" width="19.7109375" bestFit="1" customWidth="1"/>
    <col min="3" max="3" width="47.7109375" customWidth="1"/>
    <col min="4" max="7" width="6.7109375" customWidth="1"/>
  </cols>
  <sheetData>
    <row r="1" spans="1:35" x14ac:dyDescent="0.25">
      <c r="C1" t="s">
        <v>261</v>
      </c>
    </row>
    <row r="2" spans="1:35" x14ac:dyDescent="0.25">
      <c r="C2" t="s">
        <v>260</v>
      </c>
    </row>
    <row r="3" spans="1:35" x14ac:dyDescent="0.25">
      <c r="C3" t="s">
        <v>259</v>
      </c>
    </row>
    <row r="4" spans="1:35" x14ac:dyDescent="0.25">
      <c r="C4" t="s">
        <v>258</v>
      </c>
    </row>
    <row r="5" spans="1:35" x14ac:dyDescent="0.25">
      <c r="D5" t="s">
        <v>257</v>
      </c>
      <c r="E5" t="s">
        <v>256</v>
      </c>
      <c r="F5" t="s">
        <v>255</v>
      </c>
      <c r="G5">
        <v>2023</v>
      </c>
      <c r="H5">
        <v>2024</v>
      </c>
      <c r="I5">
        <v>2025</v>
      </c>
      <c r="J5">
        <v>2026</v>
      </c>
      <c r="K5">
        <v>2027</v>
      </c>
      <c r="L5">
        <v>2028</v>
      </c>
      <c r="M5">
        <v>2029</v>
      </c>
      <c r="N5">
        <v>2030</v>
      </c>
      <c r="O5">
        <v>2031</v>
      </c>
      <c r="P5">
        <v>2032</v>
      </c>
      <c r="Q5">
        <v>2033</v>
      </c>
      <c r="R5">
        <v>2034</v>
      </c>
      <c r="S5">
        <v>2035</v>
      </c>
      <c r="T5">
        <v>2036</v>
      </c>
      <c r="U5">
        <v>2037</v>
      </c>
      <c r="V5">
        <v>2038</v>
      </c>
      <c r="W5">
        <v>2039</v>
      </c>
      <c r="X5">
        <v>2040</v>
      </c>
      <c r="Y5">
        <v>2041</v>
      </c>
      <c r="Z5">
        <v>2042</v>
      </c>
      <c r="AA5">
        <v>2043</v>
      </c>
      <c r="AB5">
        <v>2044</v>
      </c>
      <c r="AC5">
        <v>2045</v>
      </c>
      <c r="AD5">
        <v>2046</v>
      </c>
      <c r="AE5">
        <v>2047</v>
      </c>
      <c r="AF5">
        <v>2048</v>
      </c>
      <c r="AG5">
        <v>2049</v>
      </c>
      <c r="AH5">
        <v>2050</v>
      </c>
      <c r="AI5" t="s">
        <v>254</v>
      </c>
    </row>
    <row r="6" spans="1:35" x14ac:dyDescent="0.25">
      <c r="A6" s="24" t="s">
        <v>45</v>
      </c>
      <c r="C6" t="s">
        <v>46</v>
      </c>
      <c r="D6" t="s">
        <v>253</v>
      </c>
      <c r="E6" t="s">
        <v>252</v>
      </c>
      <c r="F6" t="s">
        <v>139</v>
      </c>
      <c r="H6">
        <v>21699.671875</v>
      </c>
      <c r="I6">
        <v>22171.929688</v>
      </c>
      <c r="J6">
        <v>22685.953125</v>
      </c>
      <c r="K6">
        <v>23162.595702999999</v>
      </c>
      <c r="L6">
        <v>23590.015625</v>
      </c>
      <c r="M6">
        <v>24042.869140999999</v>
      </c>
      <c r="N6">
        <v>24479.318359000001</v>
      </c>
      <c r="O6">
        <v>24877.939452999999</v>
      </c>
      <c r="P6">
        <v>25299.824218999998</v>
      </c>
      <c r="Q6">
        <v>25731.902343999998</v>
      </c>
      <c r="R6">
        <v>26166.296875</v>
      </c>
      <c r="S6">
        <v>26621.835938</v>
      </c>
      <c r="T6">
        <v>27077.875</v>
      </c>
      <c r="U6">
        <v>27546.341797000001</v>
      </c>
      <c r="V6">
        <v>28018.710938</v>
      </c>
      <c r="W6">
        <v>28503.035156000002</v>
      </c>
      <c r="X6">
        <v>29003.939452999999</v>
      </c>
      <c r="Y6">
        <v>29486.919922000001</v>
      </c>
      <c r="Z6">
        <v>29991.914062</v>
      </c>
      <c r="AA6">
        <v>30494.671875</v>
      </c>
      <c r="AB6">
        <v>30998.292968999998</v>
      </c>
      <c r="AC6">
        <v>31501.849609000001</v>
      </c>
      <c r="AD6">
        <v>32021.367188</v>
      </c>
      <c r="AE6">
        <v>32546.509765999999</v>
      </c>
      <c r="AF6">
        <v>33074.625</v>
      </c>
      <c r="AG6">
        <v>33617.65625</v>
      </c>
      <c r="AH6">
        <v>34162.722655999998</v>
      </c>
      <c r="AI6" s="28">
        <v>1.7999999999999999E-2</v>
      </c>
    </row>
    <row r="7" spans="1:35" x14ac:dyDescent="0.25">
      <c r="A7" s="24" t="s">
        <v>47</v>
      </c>
      <c r="C7" t="s">
        <v>48</v>
      </c>
      <c r="D7" t="s">
        <v>251</v>
      </c>
      <c r="E7" t="s">
        <v>250</v>
      </c>
      <c r="F7" t="s">
        <v>249</v>
      </c>
      <c r="H7">
        <v>159.545197</v>
      </c>
      <c r="I7">
        <v>160.89846800000001</v>
      </c>
      <c r="J7">
        <v>161.43066400000001</v>
      </c>
      <c r="K7">
        <v>161.697113</v>
      </c>
      <c r="L7">
        <v>161.99790999999999</v>
      </c>
      <c r="M7">
        <v>162.53140300000001</v>
      </c>
      <c r="N7">
        <v>163.241547</v>
      </c>
      <c r="O7">
        <v>163.92671200000001</v>
      </c>
      <c r="P7">
        <v>164.54892000000001</v>
      </c>
      <c r="Q7">
        <v>164.98477199999999</v>
      </c>
      <c r="R7">
        <v>165.29776000000001</v>
      </c>
      <c r="S7">
        <v>165.565933</v>
      </c>
      <c r="T7">
        <v>166.08338900000001</v>
      </c>
      <c r="U7">
        <v>166.79139699999999</v>
      </c>
      <c r="V7">
        <v>167.53140300000001</v>
      </c>
      <c r="W7">
        <v>168.186554</v>
      </c>
      <c r="X7">
        <v>169.00384500000001</v>
      </c>
      <c r="Y7">
        <v>169.658646</v>
      </c>
      <c r="Z7">
        <v>170.29731799999999</v>
      </c>
      <c r="AA7">
        <v>170.74044799999999</v>
      </c>
      <c r="AB7">
        <v>171.206131</v>
      </c>
      <c r="AC7">
        <v>171.654968</v>
      </c>
      <c r="AD7">
        <v>172.127533</v>
      </c>
      <c r="AE7">
        <v>172.64163199999999</v>
      </c>
      <c r="AF7">
        <v>173.163284</v>
      </c>
      <c r="AG7">
        <v>173.71743799999999</v>
      </c>
      <c r="AH7">
        <v>174.28782699999999</v>
      </c>
      <c r="AI7" s="28">
        <v>3.0000000000000001E-3</v>
      </c>
    </row>
    <row r="8" spans="1:35" x14ac:dyDescent="0.25">
      <c r="C8" t="s">
        <v>49</v>
      </c>
    </row>
    <row r="9" spans="1:35" x14ac:dyDescent="0.25">
      <c r="C9" t="s">
        <v>50</v>
      </c>
    </row>
    <row r="10" spans="1:35" x14ac:dyDescent="0.25">
      <c r="A10" s="24" t="s">
        <v>51</v>
      </c>
      <c r="B10" s="8" t="s">
        <v>2</v>
      </c>
      <c r="C10" t="s">
        <v>248</v>
      </c>
      <c r="D10" t="s">
        <v>247</v>
      </c>
      <c r="E10" t="s">
        <v>246</v>
      </c>
      <c r="F10" t="s">
        <v>139</v>
      </c>
      <c r="H10">
        <v>538.82659899999999</v>
      </c>
      <c r="I10">
        <v>544.76806599999998</v>
      </c>
      <c r="J10">
        <v>552.01934800000004</v>
      </c>
      <c r="K10">
        <v>559.25311299999998</v>
      </c>
      <c r="L10">
        <v>565.51892099999998</v>
      </c>
      <c r="M10">
        <v>573.79547100000002</v>
      </c>
      <c r="N10">
        <v>581.47051999999996</v>
      </c>
      <c r="O10">
        <v>587.56146200000001</v>
      </c>
      <c r="P10">
        <v>593.56909199999996</v>
      </c>
      <c r="Q10">
        <v>599.28234899999995</v>
      </c>
      <c r="R10">
        <v>606.56781000000001</v>
      </c>
      <c r="S10">
        <v>614.138733</v>
      </c>
      <c r="T10">
        <v>623.17742899999996</v>
      </c>
      <c r="U10">
        <v>630.44726600000001</v>
      </c>
      <c r="V10">
        <v>636.67987100000005</v>
      </c>
      <c r="W10">
        <v>643.489014</v>
      </c>
      <c r="X10">
        <v>649.694031</v>
      </c>
      <c r="Y10">
        <v>654.32800299999997</v>
      </c>
      <c r="Z10">
        <v>659.78338599999995</v>
      </c>
      <c r="AA10">
        <v>665.28344700000002</v>
      </c>
      <c r="AB10">
        <v>671.34362799999997</v>
      </c>
      <c r="AC10">
        <v>678.96008300000005</v>
      </c>
      <c r="AD10">
        <v>686.82513400000005</v>
      </c>
      <c r="AE10">
        <v>694.61627199999998</v>
      </c>
      <c r="AF10">
        <v>702.28125</v>
      </c>
      <c r="AG10">
        <v>710.25579800000003</v>
      </c>
      <c r="AH10">
        <v>718.01489300000003</v>
      </c>
      <c r="AI10" s="28">
        <v>1.0999999999999999E-2</v>
      </c>
    </row>
    <row r="11" spans="1:35" x14ac:dyDescent="0.25">
      <c r="A11" s="24" t="s">
        <v>52</v>
      </c>
      <c r="B11" s="8" t="s">
        <v>97</v>
      </c>
      <c r="C11" t="s">
        <v>245</v>
      </c>
      <c r="D11" t="s">
        <v>244</v>
      </c>
      <c r="E11" t="s">
        <v>243</v>
      </c>
      <c r="F11" t="s">
        <v>139</v>
      </c>
      <c r="H11">
        <v>738.62609899999995</v>
      </c>
      <c r="I11">
        <v>800.09271200000001</v>
      </c>
      <c r="J11">
        <v>807.26275599999997</v>
      </c>
      <c r="K11">
        <v>812.87158199999999</v>
      </c>
      <c r="L11">
        <v>822.88531499999999</v>
      </c>
      <c r="M11">
        <v>830.66400099999998</v>
      </c>
      <c r="N11">
        <v>837.44683799999996</v>
      </c>
      <c r="O11">
        <v>834.118469</v>
      </c>
      <c r="P11">
        <v>842.65661599999999</v>
      </c>
      <c r="Q11">
        <v>842.87884499999996</v>
      </c>
      <c r="R11">
        <v>843.77453600000001</v>
      </c>
      <c r="S11">
        <v>839.434753</v>
      </c>
      <c r="T11">
        <v>833.55816700000003</v>
      </c>
      <c r="U11">
        <v>824.76232900000002</v>
      </c>
      <c r="V11">
        <v>820.58245799999997</v>
      </c>
      <c r="W11">
        <v>815.21142599999996</v>
      </c>
      <c r="X11">
        <v>817.20263699999998</v>
      </c>
      <c r="Y11">
        <v>820.17926</v>
      </c>
      <c r="Z11">
        <v>823.919983</v>
      </c>
      <c r="AA11">
        <v>823.77703899999995</v>
      </c>
      <c r="AB11">
        <v>825.681152</v>
      </c>
      <c r="AC11">
        <v>828.09149200000002</v>
      </c>
      <c r="AD11">
        <v>834.33093299999996</v>
      </c>
      <c r="AE11">
        <v>835.11914100000001</v>
      </c>
      <c r="AF11">
        <v>834.69671600000004</v>
      </c>
      <c r="AG11">
        <v>836.806152</v>
      </c>
      <c r="AH11">
        <v>839.41027799999995</v>
      </c>
      <c r="AI11" s="28">
        <v>5.0000000000000001E-3</v>
      </c>
    </row>
    <row r="12" spans="1:35" x14ac:dyDescent="0.25">
      <c r="A12" s="24" t="s">
        <v>53</v>
      </c>
      <c r="B12" s="8" t="s">
        <v>18</v>
      </c>
      <c r="C12" t="s">
        <v>242</v>
      </c>
      <c r="D12" t="s">
        <v>241</v>
      </c>
      <c r="E12" t="s">
        <v>240</v>
      </c>
      <c r="F12" t="s">
        <v>139</v>
      </c>
      <c r="H12">
        <v>1440.7977289999999</v>
      </c>
      <c r="I12">
        <v>1433.057251</v>
      </c>
      <c r="J12">
        <v>1444.2264399999999</v>
      </c>
      <c r="K12">
        <v>1467.153198</v>
      </c>
      <c r="L12">
        <v>1502.783447</v>
      </c>
      <c r="M12">
        <v>1544.019775</v>
      </c>
      <c r="N12">
        <v>1573.192505</v>
      </c>
      <c r="O12">
        <v>1598.660034</v>
      </c>
      <c r="P12">
        <v>1617.260254</v>
      </c>
      <c r="Q12">
        <v>1624.0386960000001</v>
      </c>
      <c r="R12">
        <v>1624.3892820000001</v>
      </c>
      <c r="S12">
        <v>1639.5164789999999</v>
      </c>
      <c r="T12">
        <v>1660.5124510000001</v>
      </c>
      <c r="U12">
        <v>1673.6357419999999</v>
      </c>
      <c r="V12">
        <v>1687.7022710000001</v>
      </c>
      <c r="W12">
        <v>1700.4539789999999</v>
      </c>
      <c r="X12">
        <v>1710.27478</v>
      </c>
      <c r="Y12">
        <v>1717.300293</v>
      </c>
      <c r="Z12">
        <v>1728.816284</v>
      </c>
      <c r="AA12">
        <v>1737.1104740000001</v>
      </c>
      <c r="AB12">
        <v>1744.9567870000001</v>
      </c>
      <c r="AC12">
        <v>1762.098999</v>
      </c>
      <c r="AD12">
        <v>1781.256226</v>
      </c>
      <c r="AE12">
        <v>1803.246948</v>
      </c>
      <c r="AF12">
        <v>1826.451538</v>
      </c>
      <c r="AG12">
        <v>1851.138794</v>
      </c>
      <c r="AH12">
        <v>1872.746948</v>
      </c>
      <c r="AI12" s="28">
        <v>0.01</v>
      </c>
    </row>
    <row r="13" spans="1:35" x14ac:dyDescent="0.25">
      <c r="C13" t="s">
        <v>54</v>
      </c>
    </row>
    <row r="14" spans="1:35" x14ac:dyDescent="0.25">
      <c r="A14" s="24" t="s">
        <v>55</v>
      </c>
      <c r="B14" s="8" t="s">
        <v>5</v>
      </c>
      <c r="C14" t="s">
        <v>239</v>
      </c>
      <c r="D14" t="s">
        <v>238</v>
      </c>
      <c r="E14" t="s">
        <v>237</v>
      </c>
      <c r="F14" t="s">
        <v>139</v>
      </c>
      <c r="H14">
        <v>821.56500200000005</v>
      </c>
      <c r="I14">
        <v>826.25628700000004</v>
      </c>
      <c r="J14">
        <v>829.60241699999995</v>
      </c>
      <c r="K14">
        <v>837.90673800000002</v>
      </c>
      <c r="L14">
        <v>844.65008499999999</v>
      </c>
      <c r="M14">
        <v>853.04797399999995</v>
      </c>
      <c r="N14">
        <v>861.58227499999998</v>
      </c>
      <c r="O14">
        <v>869.48919699999999</v>
      </c>
      <c r="P14">
        <v>877.76153599999998</v>
      </c>
      <c r="Q14">
        <v>885.73113999999998</v>
      </c>
      <c r="R14">
        <v>894.01611300000002</v>
      </c>
      <c r="S14">
        <v>901.54547100000002</v>
      </c>
      <c r="T14">
        <v>911.37493900000004</v>
      </c>
      <c r="U14">
        <v>920.41272000000004</v>
      </c>
      <c r="V14">
        <v>929.09497099999999</v>
      </c>
      <c r="W14">
        <v>938.25280799999996</v>
      </c>
      <c r="X14">
        <v>947.32989499999996</v>
      </c>
      <c r="Y14">
        <v>956.44329800000003</v>
      </c>
      <c r="Z14">
        <v>965.73699999999997</v>
      </c>
      <c r="AA14">
        <v>974.68511999999998</v>
      </c>
      <c r="AB14">
        <v>983.68792699999995</v>
      </c>
      <c r="AC14">
        <v>992.50006099999996</v>
      </c>
      <c r="AD14">
        <v>1001.497559</v>
      </c>
      <c r="AE14">
        <v>1010.571472</v>
      </c>
      <c r="AF14">
        <v>1019.670227</v>
      </c>
      <c r="AG14">
        <v>1029.158447</v>
      </c>
      <c r="AH14">
        <v>1038.471802</v>
      </c>
      <c r="AI14" s="28">
        <v>8.9999999999999993E-3</v>
      </c>
    </row>
    <row r="15" spans="1:35" x14ac:dyDescent="0.25">
      <c r="A15" s="24" t="s">
        <v>56</v>
      </c>
      <c r="B15" s="8" t="s">
        <v>5</v>
      </c>
      <c r="C15" t="s">
        <v>236</v>
      </c>
      <c r="D15" t="s">
        <v>235</v>
      </c>
      <c r="E15" t="s">
        <v>234</v>
      </c>
      <c r="F15" t="s">
        <v>139</v>
      </c>
      <c r="H15">
        <v>141.906082</v>
      </c>
      <c r="I15">
        <v>139.8526</v>
      </c>
      <c r="J15">
        <v>138.71139500000001</v>
      </c>
      <c r="K15">
        <v>138.03376800000001</v>
      </c>
      <c r="L15">
        <v>137.52714499999999</v>
      </c>
      <c r="M15">
        <v>136.83862300000001</v>
      </c>
      <c r="N15">
        <v>136.09837300000001</v>
      </c>
      <c r="O15">
        <v>135.327225</v>
      </c>
      <c r="P15">
        <v>134.48689300000001</v>
      </c>
      <c r="Q15">
        <v>133.751328</v>
      </c>
      <c r="R15">
        <v>133.06809999999999</v>
      </c>
      <c r="S15">
        <v>132.55055200000001</v>
      </c>
      <c r="T15">
        <v>131.98661799999999</v>
      </c>
      <c r="U15">
        <v>131.44885300000001</v>
      </c>
      <c r="V15">
        <v>130.93476899999999</v>
      </c>
      <c r="W15">
        <v>130.426331</v>
      </c>
      <c r="X15">
        <v>129.932602</v>
      </c>
      <c r="Y15">
        <v>129.437927</v>
      </c>
      <c r="Z15">
        <v>128.931274</v>
      </c>
      <c r="AA15">
        <v>128.37809799999999</v>
      </c>
      <c r="AB15">
        <v>127.794327</v>
      </c>
      <c r="AC15">
        <v>127.17437700000001</v>
      </c>
      <c r="AD15">
        <v>126.600021</v>
      </c>
      <c r="AE15">
        <v>126.07457700000001</v>
      </c>
      <c r="AF15">
        <v>125.574326</v>
      </c>
      <c r="AG15">
        <v>125.095772</v>
      </c>
      <c r="AH15">
        <v>124.58905</v>
      </c>
      <c r="AI15" s="28">
        <v>-5.0000000000000001E-3</v>
      </c>
    </row>
    <row r="16" spans="1:35" x14ac:dyDescent="0.25">
      <c r="A16" s="24" t="s">
        <v>57</v>
      </c>
      <c r="B16" s="8" t="s">
        <v>6</v>
      </c>
      <c r="C16" t="s">
        <v>233</v>
      </c>
      <c r="D16" t="s">
        <v>232</v>
      </c>
      <c r="E16" t="s">
        <v>231</v>
      </c>
      <c r="F16" t="s">
        <v>139</v>
      </c>
      <c r="H16">
        <v>66.089164999999994</v>
      </c>
      <c r="I16">
        <v>66.538512999999995</v>
      </c>
      <c r="J16">
        <v>65.899199999999993</v>
      </c>
      <c r="K16">
        <v>65.924271000000005</v>
      </c>
      <c r="L16">
        <v>64.837829999999997</v>
      </c>
      <c r="M16">
        <v>64.166801000000007</v>
      </c>
      <c r="N16">
        <v>63.704239000000001</v>
      </c>
      <c r="O16">
        <v>63.158009</v>
      </c>
      <c r="P16">
        <v>62.414116</v>
      </c>
      <c r="Q16">
        <v>61.727992999999998</v>
      </c>
      <c r="R16">
        <v>61.319777999999999</v>
      </c>
      <c r="S16">
        <v>60.568184000000002</v>
      </c>
      <c r="T16">
        <v>59.831409000000001</v>
      </c>
      <c r="U16">
        <v>59.532325999999998</v>
      </c>
      <c r="V16">
        <v>59.148829999999997</v>
      </c>
      <c r="W16">
        <v>58.900440000000003</v>
      </c>
      <c r="X16">
        <v>58.791423999999999</v>
      </c>
      <c r="Y16">
        <v>58.565128000000001</v>
      </c>
      <c r="Z16">
        <v>58.345596</v>
      </c>
      <c r="AA16">
        <v>57.977749000000003</v>
      </c>
      <c r="AB16">
        <v>57.632815999999998</v>
      </c>
      <c r="AC16">
        <v>57.247356000000003</v>
      </c>
      <c r="AD16">
        <v>56.933219999999999</v>
      </c>
      <c r="AE16">
        <v>56.724243000000001</v>
      </c>
      <c r="AF16">
        <v>56.464835999999998</v>
      </c>
      <c r="AG16">
        <v>56.236049999999999</v>
      </c>
      <c r="AH16">
        <v>55.887160999999999</v>
      </c>
      <c r="AI16" s="28">
        <v>-6.0000000000000001E-3</v>
      </c>
    </row>
    <row r="17" spans="1:35" x14ac:dyDescent="0.25">
      <c r="A17" s="24" t="s">
        <v>58</v>
      </c>
      <c r="B17" s="8" t="s">
        <v>7</v>
      </c>
      <c r="C17" t="s">
        <v>230</v>
      </c>
      <c r="D17" t="s">
        <v>229</v>
      </c>
      <c r="E17" t="s">
        <v>228</v>
      </c>
      <c r="F17" t="s">
        <v>139</v>
      </c>
      <c r="H17">
        <v>98.407120000000006</v>
      </c>
      <c r="I17">
        <v>99.040710000000004</v>
      </c>
      <c r="J17">
        <v>101.040649</v>
      </c>
      <c r="K17">
        <v>102.246925</v>
      </c>
      <c r="L17">
        <v>103.98792299999999</v>
      </c>
      <c r="M17">
        <v>107.2435</v>
      </c>
      <c r="N17">
        <v>109.76387800000001</v>
      </c>
      <c r="O17">
        <v>111.444023</v>
      </c>
      <c r="P17">
        <v>112.56997699999999</v>
      </c>
      <c r="Q17">
        <v>112.379074</v>
      </c>
      <c r="R17">
        <v>113.57044999999999</v>
      </c>
      <c r="S17">
        <v>115.056473</v>
      </c>
      <c r="T17">
        <v>118.327522</v>
      </c>
      <c r="U17">
        <v>120.524979</v>
      </c>
      <c r="V17">
        <v>121.295052</v>
      </c>
      <c r="W17">
        <v>122.199997</v>
      </c>
      <c r="X17">
        <v>122.03939800000001</v>
      </c>
      <c r="Y17">
        <v>119.662926</v>
      </c>
      <c r="Z17">
        <v>118.09380299999999</v>
      </c>
      <c r="AA17">
        <v>115.158073</v>
      </c>
      <c r="AB17">
        <v>113.127899</v>
      </c>
      <c r="AC17">
        <v>113.014549</v>
      </c>
      <c r="AD17">
        <v>113.406578</v>
      </c>
      <c r="AE17">
        <v>114.637749</v>
      </c>
      <c r="AF17">
        <v>115.775826</v>
      </c>
      <c r="AG17">
        <v>117.22972900000001</v>
      </c>
      <c r="AH17">
        <v>118.126198</v>
      </c>
      <c r="AI17" s="28">
        <v>7.0000000000000001E-3</v>
      </c>
    </row>
    <row r="18" spans="1:35" x14ac:dyDescent="0.25">
      <c r="A18" s="24" t="s">
        <v>59</v>
      </c>
      <c r="B18" s="8" t="s">
        <v>17</v>
      </c>
      <c r="C18" t="s">
        <v>227</v>
      </c>
      <c r="D18" t="s">
        <v>226</v>
      </c>
      <c r="E18" t="s">
        <v>225</v>
      </c>
      <c r="F18" t="s">
        <v>139</v>
      </c>
      <c r="H18">
        <v>53.271853999999998</v>
      </c>
      <c r="I18">
        <v>52.269444</v>
      </c>
      <c r="J18">
        <v>53.980426999999999</v>
      </c>
      <c r="K18">
        <v>55.926291999999997</v>
      </c>
      <c r="L18">
        <v>56.093471999999998</v>
      </c>
      <c r="M18">
        <v>56.599044999999997</v>
      </c>
      <c r="N18">
        <v>58.34198</v>
      </c>
      <c r="O18">
        <v>58.926270000000002</v>
      </c>
      <c r="P18">
        <v>59.556117999999998</v>
      </c>
      <c r="Q18">
        <v>59.890476</v>
      </c>
      <c r="R18">
        <v>61.148803999999998</v>
      </c>
      <c r="S18">
        <v>61.658676</v>
      </c>
      <c r="T18">
        <v>62.141407000000001</v>
      </c>
      <c r="U18">
        <v>63.414036000000003</v>
      </c>
      <c r="V18">
        <v>64.388122999999993</v>
      </c>
      <c r="W18">
        <v>65.334250999999995</v>
      </c>
      <c r="X18">
        <v>66.700744999999998</v>
      </c>
      <c r="Y18">
        <v>67.731551999999994</v>
      </c>
      <c r="Z18">
        <v>68.640738999999996</v>
      </c>
      <c r="AA18">
        <v>69.677574000000007</v>
      </c>
      <c r="AB18">
        <v>70.932807999999994</v>
      </c>
      <c r="AC18">
        <v>71.805747999999994</v>
      </c>
      <c r="AD18">
        <v>72.815346000000005</v>
      </c>
      <c r="AE18">
        <v>74.188430999999994</v>
      </c>
      <c r="AF18">
        <v>74.879401999999999</v>
      </c>
      <c r="AG18">
        <v>76.066422000000003</v>
      </c>
      <c r="AH18">
        <v>76.886627000000004</v>
      </c>
      <c r="AI18" s="28">
        <v>1.4E-2</v>
      </c>
    </row>
    <row r="19" spans="1:35" x14ac:dyDescent="0.25">
      <c r="A19" s="24" t="s">
        <v>60</v>
      </c>
      <c r="B19" s="8" t="s">
        <v>8</v>
      </c>
      <c r="C19" t="s">
        <v>224</v>
      </c>
      <c r="D19" t="s">
        <v>223</v>
      </c>
      <c r="E19" t="s">
        <v>222</v>
      </c>
      <c r="F19" t="s">
        <v>139</v>
      </c>
      <c r="H19">
        <v>161.46919299999999</v>
      </c>
      <c r="I19">
        <v>162.76919599999999</v>
      </c>
      <c r="J19">
        <v>164.025757</v>
      </c>
      <c r="K19">
        <v>162.47027600000001</v>
      </c>
      <c r="L19">
        <v>161.55638099999999</v>
      </c>
      <c r="M19">
        <v>161.47071800000001</v>
      </c>
      <c r="N19">
        <v>161.809799</v>
      </c>
      <c r="O19">
        <v>162.97775300000001</v>
      </c>
      <c r="P19">
        <v>163.75282300000001</v>
      </c>
      <c r="Q19">
        <v>164.066971</v>
      </c>
      <c r="R19">
        <v>165.19105500000001</v>
      </c>
      <c r="S19">
        <v>166.252869</v>
      </c>
      <c r="T19">
        <v>167.39653000000001</v>
      </c>
      <c r="U19">
        <v>168.34884600000001</v>
      </c>
      <c r="V19">
        <v>169.47160299999999</v>
      </c>
      <c r="W19">
        <v>171.07836900000001</v>
      </c>
      <c r="X19">
        <v>172.76542699999999</v>
      </c>
      <c r="Y19">
        <v>174.022369</v>
      </c>
      <c r="Z19">
        <v>175.34892300000001</v>
      </c>
      <c r="AA19">
        <v>176.49816899999999</v>
      </c>
      <c r="AB19">
        <v>178.14328</v>
      </c>
      <c r="AC19">
        <v>179.31845100000001</v>
      </c>
      <c r="AD19">
        <v>180.706772</v>
      </c>
      <c r="AE19">
        <v>182.09449799999999</v>
      </c>
      <c r="AF19">
        <v>183.34045399999999</v>
      </c>
      <c r="AG19">
        <v>184.407928</v>
      </c>
      <c r="AH19">
        <v>185.49395799999999</v>
      </c>
      <c r="AI19" s="28">
        <v>5.0000000000000001E-3</v>
      </c>
    </row>
    <row r="20" spans="1:35" x14ac:dyDescent="0.25">
      <c r="A20" s="24" t="s">
        <v>61</v>
      </c>
      <c r="B20" s="8" t="s">
        <v>8</v>
      </c>
      <c r="C20" t="s">
        <v>221</v>
      </c>
      <c r="D20" t="s">
        <v>220</v>
      </c>
      <c r="E20" t="s">
        <v>219</v>
      </c>
      <c r="F20" t="s">
        <v>139</v>
      </c>
      <c r="H20">
        <v>60.525852</v>
      </c>
      <c r="I20">
        <v>57.448959000000002</v>
      </c>
      <c r="J20">
        <v>56.292636999999999</v>
      </c>
      <c r="K20">
        <v>54.877972</v>
      </c>
      <c r="L20">
        <v>53.651820999999998</v>
      </c>
      <c r="M20">
        <v>52.613571</v>
      </c>
      <c r="N20">
        <v>51.594307000000001</v>
      </c>
      <c r="O20">
        <v>50.581691999999997</v>
      </c>
      <c r="P20">
        <v>49.633220999999999</v>
      </c>
      <c r="Q20">
        <v>48.669460000000001</v>
      </c>
      <c r="R20">
        <v>47.801642999999999</v>
      </c>
      <c r="S20">
        <v>46.996116999999998</v>
      </c>
      <c r="T20">
        <v>46.399475000000002</v>
      </c>
      <c r="U20">
        <v>45.814658999999999</v>
      </c>
      <c r="V20">
        <v>45.239269</v>
      </c>
      <c r="W20">
        <v>44.861446000000001</v>
      </c>
      <c r="X20">
        <v>44.471885999999998</v>
      </c>
      <c r="Y20">
        <v>44.081989</v>
      </c>
      <c r="Z20">
        <v>43.735256</v>
      </c>
      <c r="AA20">
        <v>43.354686999999998</v>
      </c>
      <c r="AB20">
        <v>43.027943</v>
      </c>
      <c r="AC20">
        <v>42.731819000000002</v>
      </c>
      <c r="AD20">
        <v>42.579571000000001</v>
      </c>
      <c r="AE20">
        <v>42.327193999999999</v>
      </c>
      <c r="AF20">
        <v>42.101280000000003</v>
      </c>
      <c r="AG20">
        <v>41.857501999999997</v>
      </c>
      <c r="AH20">
        <v>41.633499</v>
      </c>
      <c r="AI20" s="28">
        <v>-1.4E-2</v>
      </c>
    </row>
    <row r="21" spans="1:35" x14ac:dyDescent="0.25">
      <c r="A21" s="24" t="s">
        <v>62</v>
      </c>
      <c r="B21" s="8" t="s">
        <v>33</v>
      </c>
      <c r="C21" t="s">
        <v>218</v>
      </c>
      <c r="D21" t="s">
        <v>217</v>
      </c>
      <c r="E21" t="s">
        <v>216</v>
      </c>
      <c r="F21" t="s">
        <v>139</v>
      </c>
      <c r="H21">
        <v>808.21368399999994</v>
      </c>
      <c r="I21">
        <v>812.38934300000005</v>
      </c>
      <c r="J21">
        <v>806.69073500000002</v>
      </c>
      <c r="K21">
        <v>804.93176300000005</v>
      </c>
      <c r="L21">
        <v>803.34942599999999</v>
      </c>
      <c r="M21">
        <v>806.09863299999995</v>
      </c>
      <c r="N21">
        <v>813.56811500000003</v>
      </c>
      <c r="O21">
        <v>823.25134300000002</v>
      </c>
      <c r="P21">
        <v>834.16455099999996</v>
      </c>
      <c r="Q21">
        <v>843.79174799999998</v>
      </c>
      <c r="R21">
        <v>855.42956500000003</v>
      </c>
      <c r="S21">
        <v>865.72814900000003</v>
      </c>
      <c r="T21">
        <v>874.20135500000004</v>
      </c>
      <c r="U21">
        <v>885.51782200000002</v>
      </c>
      <c r="V21">
        <v>896.98571800000002</v>
      </c>
      <c r="W21">
        <v>909.44946300000004</v>
      </c>
      <c r="X21">
        <v>923.43682899999999</v>
      </c>
      <c r="Y21">
        <v>936.80664100000001</v>
      </c>
      <c r="Z21">
        <v>950.84143100000006</v>
      </c>
      <c r="AA21">
        <v>963.14318800000001</v>
      </c>
      <c r="AB21">
        <v>974.98590100000001</v>
      </c>
      <c r="AC21">
        <v>984.60705600000006</v>
      </c>
      <c r="AD21">
        <v>994.83898899999997</v>
      </c>
      <c r="AE21">
        <v>1008.8110349999999</v>
      </c>
      <c r="AF21">
        <v>1020.661987</v>
      </c>
      <c r="AG21">
        <v>1031.7502440000001</v>
      </c>
      <c r="AH21">
        <v>1041.1604</v>
      </c>
      <c r="AI21" s="28">
        <v>0.01</v>
      </c>
    </row>
    <row r="22" spans="1:35" x14ac:dyDescent="0.25">
      <c r="A22" s="24" t="s">
        <v>63</v>
      </c>
      <c r="B22" s="16"/>
      <c r="C22" t="s">
        <v>215</v>
      </c>
      <c r="D22" t="s">
        <v>214</v>
      </c>
      <c r="E22" t="s">
        <v>213</v>
      </c>
      <c r="F22" t="s">
        <v>139</v>
      </c>
      <c r="H22">
        <v>367.32217400000002</v>
      </c>
      <c r="I22">
        <v>372.95434599999999</v>
      </c>
      <c r="J22">
        <v>365.47006199999998</v>
      </c>
      <c r="K22">
        <v>360.02752700000002</v>
      </c>
      <c r="L22">
        <v>354.24496499999998</v>
      </c>
      <c r="M22">
        <v>352.82476800000001</v>
      </c>
      <c r="N22">
        <v>355.28152499999999</v>
      </c>
      <c r="O22">
        <v>359.698914</v>
      </c>
      <c r="P22">
        <v>364.24594100000002</v>
      </c>
      <c r="Q22">
        <v>367.19061299999998</v>
      </c>
      <c r="R22">
        <v>373.40386999999998</v>
      </c>
      <c r="S22">
        <v>379.88586400000003</v>
      </c>
      <c r="T22">
        <v>384.06591800000001</v>
      </c>
      <c r="U22">
        <v>389.13482699999997</v>
      </c>
      <c r="V22">
        <v>394.53491200000002</v>
      </c>
      <c r="W22">
        <v>400.99060100000003</v>
      </c>
      <c r="X22">
        <v>408.14343300000002</v>
      </c>
      <c r="Y22">
        <v>414.30145299999998</v>
      </c>
      <c r="Z22">
        <v>420.51333599999998</v>
      </c>
      <c r="AA22">
        <v>425.35037199999999</v>
      </c>
      <c r="AB22">
        <v>430.83270299999998</v>
      </c>
      <c r="AC22">
        <v>435.236176</v>
      </c>
      <c r="AD22">
        <v>439.59573399999999</v>
      </c>
      <c r="AE22">
        <v>446.34097300000002</v>
      </c>
      <c r="AF22">
        <v>451.72757000000001</v>
      </c>
      <c r="AG22">
        <v>456.244598</v>
      </c>
      <c r="AH22">
        <v>460.80215500000003</v>
      </c>
      <c r="AI22" s="28">
        <v>8.9999999999999993E-3</v>
      </c>
    </row>
    <row r="23" spans="1:35" x14ac:dyDescent="0.25">
      <c r="A23" s="24" t="s">
        <v>64</v>
      </c>
      <c r="B23" s="16"/>
      <c r="C23" t="s">
        <v>212</v>
      </c>
      <c r="D23" t="s">
        <v>211</v>
      </c>
      <c r="E23" t="s">
        <v>210</v>
      </c>
      <c r="F23" t="s">
        <v>139</v>
      </c>
      <c r="H23">
        <v>50.760821999999997</v>
      </c>
      <c r="I23">
        <v>51.478335999999999</v>
      </c>
      <c r="J23">
        <v>52.328194000000003</v>
      </c>
      <c r="K23">
        <v>52.508662999999999</v>
      </c>
      <c r="L23">
        <v>52.006045999999998</v>
      </c>
      <c r="M23">
        <v>51.169857</v>
      </c>
      <c r="N23">
        <v>51.473830999999997</v>
      </c>
      <c r="O23">
        <v>51.551136</v>
      </c>
      <c r="P23">
        <v>51.466037999999998</v>
      </c>
      <c r="Q23">
        <v>51.676189000000001</v>
      </c>
      <c r="R23">
        <v>51.725769</v>
      </c>
      <c r="S23">
        <v>52.104075999999999</v>
      </c>
      <c r="T23">
        <v>52.200465999999999</v>
      </c>
      <c r="U23">
        <v>51.963470000000001</v>
      </c>
      <c r="V23">
        <v>52.269703</v>
      </c>
      <c r="W23">
        <v>52.373103999999998</v>
      </c>
      <c r="X23">
        <v>52.339554</v>
      </c>
      <c r="Y23">
        <v>52.473537</v>
      </c>
      <c r="Z23">
        <v>52.384289000000003</v>
      </c>
      <c r="AA23">
        <v>52.293137000000002</v>
      </c>
      <c r="AB23">
        <v>52.097510999999997</v>
      </c>
      <c r="AC23">
        <v>51.880245000000002</v>
      </c>
      <c r="AD23">
        <v>51.748787</v>
      </c>
      <c r="AE23">
        <v>51.814064000000002</v>
      </c>
      <c r="AF23">
        <v>51.907966999999999</v>
      </c>
      <c r="AG23">
        <v>51.836624</v>
      </c>
      <c r="AH23">
        <v>51.954746</v>
      </c>
      <c r="AI23" s="28">
        <v>1E-3</v>
      </c>
    </row>
    <row r="24" spans="1:35" x14ac:dyDescent="0.25">
      <c r="A24" s="24" t="s">
        <v>65</v>
      </c>
      <c r="B24" s="16"/>
      <c r="C24" t="s">
        <v>209</v>
      </c>
      <c r="D24" t="s">
        <v>208</v>
      </c>
      <c r="E24" t="s">
        <v>207</v>
      </c>
      <c r="F24" t="s">
        <v>139</v>
      </c>
      <c r="H24">
        <v>179.64849899999999</v>
      </c>
      <c r="I24">
        <v>184.15339700000001</v>
      </c>
      <c r="J24">
        <v>172.36071799999999</v>
      </c>
      <c r="K24">
        <v>167.715881</v>
      </c>
      <c r="L24">
        <v>163.974594</v>
      </c>
      <c r="M24">
        <v>162.341644</v>
      </c>
      <c r="N24">
        <v>162.018326</v>
      </c>
      <c r="O24">
        <v>164.700974</v>
      </c>
      <c r="P24">
        <v>167.63568100000001</v>
      </c>
      <c r="Q24">
        <v>169.28833</v>
      </c>
      <c r="R24">
        <v>172.17739900000001</v>
      </c>
      <c r="S24">
        <v>176.190979</v>
      </c>
      <c r="T24">
        <v>179.034775</v>
      </c>
      <c r="U24">
        <v>181.71839900000001</v>
      </c>
      <c r="V24">
        <v>185.00465399999999</v>
      </c>
      <c r="W24">
        <v>189.10174599999999</v>
      </c>
      <c r="X24">
        <v>193.48135400000001</v>
      </c>
      <c r="Y24">
        <v>197.50007600000001</v>
      </c>
      <c r="Z24">
        <v>201.285721</v>
      </c>
      <c r="AA24">
        <v>205.21362300000001</v>
      </c>
      <c r="AB24">
        <v>209.589371</v>
      </c>
      <c r="AC24">
        <v>213.81535299999999</v>
      </c>
      <c r="AD24">
        <v>216.95626799999999</v>
      </c>
      <c r="AE24">
        <v>221.063828</v>
      </c>
      <c r="AF24">
        <v>224.53114299999999</v>
      </c>
      <c r="AG24">
        <v>227.09777800000001</v>
      </c>
      <c r="AH24">
        <v>230.20609999999999</v>
      </c>
      <c r="AI24" s="28">
        <v>0.01</v>
      </c>
    </row>
    <row r="25" spans="1:35" x14ac:dyDescent="0.25">
      <c r="A25" s="24" t="s">
        <v>66</v>
      </c>
      <c r="B25" s="16"/>
      <c r="C25" t="s">
        <v>206</v>
      </c>
      <c r="D25" t="s">
        <v>205</v>
      </c>
      <c r="E25" t="s">
        <v>204</v>
      </c>
      <c r="F25" t="s">
        <v>203</v>
      </c>
      <c r="G25" t="s">
        <v>202</v>
      </c>
      <c r="H25">
        <v>98.834441999999996</v>
      </c>
      <c r="I25">
        <v>97.966858000000002</v>
      </c>
      <c r="J25">
        <v>99.326224999999994</v>
      </c>
      <c r="K25">
        <v>97.665497000000002</v>
      </c>
      <c r="L25">
        <v>95.804192</v>
      </c>
      <c r="M25">
        <v>96.423264000000003</v>
      </c>
      <c r="N25">
        <v>98.262207000000004</v>
      </c>
      <c r="O25">
        <v>99.258094999999997</v>
      </c>
      <c r="P25">
        <v>100.28499600000001</v>
      </c>
      <c r="Q25">
        <v>100.911903</v>
      </c>
      <c r="R25">
        <v>103.31385</v>
      </c>
      <c r="S25">
        <v>104.71700300000001</v>
      </c>
      <c r="T25">
        <v>105.34987599999999</v>
      </c>
      <c r="U25">
        <v>107.174423</v>
      </c>
      <c r="V25">
        <v>108.362297</v>
      </c>
      <c r="W25">
        <v>110.00505099999999</v>
      </c>
      <c r="X25">
        <v>112.154022</v>
      </c>
      <c r="Y25">
        <v>113.59020200000001</v>
      </c>
      <c r="Z25">
        <v>115.53980300000001</v>
      </c>
      <c r="AA25">
        <v>116.007896</v>
      </c>
      <c r="AB25">
        <v>116.684151</v>
      </c>
      <c r="AC25">
        <v>116.623276</v>
      </c>
      <c r="AD25">
        <v>117.464996</v>
      </c>
      <c r="AE25">
        <v>119.54879800000001</v>
      </c>
      <c r="AF25">
        <v>120.945053</v>
      </c>
      <c r="AG25">
        <v>122.551376</v>
      </c>
      <c r="AH25">
        <v>123.52005</v>
      </c>
      <c r="AI25" s="28">
        <v>8.9999999999999993E-3</v>
      </c>
    </row>
    <row r="26" spans="1:35" x14ac:dyDescent="0.25">
      <c r="A26" s="24" t="s">
        <v>67</v>
      </c>
      <c r="B26" s="16"/>
      <c r="C26" t="s">
        <v>201</v>
      </c>
      <c r="D26" t="s">
        <v>200</v>
      </c>
      <c r="E26" t="s">
        <v>199</v>
      </c>
      <c r="F26" t="s">
        <v>139</v>
      </c>
      <c r="H26">
        <v>38.078387999999997</v>
      </c>
      <c r="I26">
        <v>39.355778000000001</v>
      </c>
      <c r="J26">
        <v>41.454929</v>
      </c>
      <c r="K26">
        <v>42.137497000000003</v>
      </c>
      <c r="L26">
        <v>42.460147999999997</v>
      </c>
      <c r="M26">
        <v>42.890003</v>
      </c>
      <c r="N26">
        <v>43.527168000000003</v>
      </c>
      <c r="O26">
        <v>44.188727999999998</v>
      </c>
      <c r="P26">
        <v>44.859222000000003</v>
      </c>
      <c r="Q26">
        <v>45.314174999999999</v>
      </c>
      <c r="R26">
        <v>46.186852000000002</v>
      </c>
      <c r="S26">
        <v>46.873821</v>
      </c>
      <c r="T26">
        <v>47.480815999999997</v>
      </c>
      <c r="U26">
        <v>48.278534000000001</v>
      </c>
      <c r="V26">
        <v>48.898262000000003</v>
      </c>
      <c r="W26">
        <v>49.510666000000001</v>
      </c>
      <c r="X26">
        <v>50.168532999999996</v>
      </c>
      <c r="Y26">
        <v>50.737656000000001</v>
      </c>
      <c r="Z26">
        <v>51.303539000000001</v>
      </c>
      <c r="AA26">
        <v>51.835686000000003</v>
      </c>
      <c r="AB26">
        <v>52.461685000000003</v>
      </c>
      <c r="AC26">
        <v>52.917335999999999</v>
      </c>
      <c r="AD26">
        <v>53.425697</v>
      </c>
      <c r="AE26">
        <v>53.914276000000001</v>
      </c>
      <c r="AF26">
        <v>54.343406999999999</v>
      </c>
      <c r="AG26">
        <v>54.758823</v>
      </c>
      <c r="AH26">
        <v>55.121239000000003</v>
      </c>
      <c r="AI26" s="28">
        <v>1.4E-2</v>
      </c>
    </row>
    <row r="27" spans="1:35" x14ac:dyDescent="0.25">
      <c r="A27" s="24" t="s">
        <v>68</v>
      </c>
      <c r="B27" s="16"/>
      <c r="C27" t="s">
        <v>198</v>
      </c>
      <c r="D27" t="s">
        <v>197</v>
      </c>
      <c r="E27" t="s">
        <v>196</v>
      </c>
      <c r="F27" t="s">
        <v>139</v>
      </c>
      <c r="H27">
        <v>440.89150999999998</v>
      </c>
      <c r="I27">
        <v>439.43499800000001</v>
      </c>
      <c r="J27">
        <v>441.22067299999998</v>
      </c>
      <c r="K27">
        <v>444.90420499999999</v>
      </c>
      <c r="L27">
        <v>449.10446200000001</v>
      </c>
      <c r="M27">
        <v>453.27383400000002</v>
      </c>
      <c r="N27">
        <v>458.28656000000001</v>
      </c>
      <c r="O27">
        <v>463.55239899999998</v>
      </c>
      <c r="P27">
        <v>469.91863999999998</v>
      </c>
      <c r="Q27">
        <v>476.601135</v>
      </c>
      <c r="R27">
        <v>482.025665</v>
      </c>
      <c r="S27">
        <v>485.84225500000002</v>
      </c>
      <c r="T27">
        <v>490.13543700000002</v>
      </c>
      <c r="U27">
        <v>496.38299599999999</v>
      </c>
      <c r="V27">
        <v>502.45083599999998</v>
      </c>
      <c r="W27">
        <v>508.45886200000001</v>
      </c>
      <c r="X27">
        <v>515.29339600000003</v>
      </c>
      <c r="Y27">
        <v>522.50518799999998</v>
      </c>
      <c r="Z27">
        <v>530.32806400000004</v>
      </c>
      <c r="AA27">
        <v>537.79278599999998</v>
      </c>
      <c r="AB27">
        <v>544.15319799999997</v>
      </c>
      <c r="AC27">
        <v>549.37085000000002</v>
      </c>
      <c r="AD27">
        <v>555.24322500000005</v>
      </c>
      <c r="AE27">
        <v>562.47003199999995</v>
      </c>
      <c r="AF27">
        <v>568.93444799999997</v>
      </c>
      <c r="AG27">
        <v>575.50561500000003</v>
      </c>
      <c r="AH27">
        <v>580.35827600000005</v>
      </c>
      <c r="AI27" s="28">
        <v>1.0999999999999999E-2</v>
      </c>
    </row>
    <row r="28" spans="1:35" x14ac:dyDescent="0.25">
      <c r="A28" s="24" t="s">
        <v>69</v>
      </c>
      <c r="B28" s="16"/>
      <c r="C28" t="s">
        <v>195</v>
      </c>
      <c r="D28" t="s">
        <v>194</v>
      </c>
      <c r="E28" t="s">
        <v>193</v>
      </c>
      <c r="F28" t="s">
        <v>139</v>
      </c>
      <c r="H28">
        <v>816.09600799999998</v>
      </c>
      <c r="I28">
        <v>829.73065199999996</v>
      </c>
      <c r="J28">
        <v>826.35809300000005</v>
      </c>
      <c r="K28">
        <v>822.63525400000003</v>
      </c>
      <c r="L28">
        <v>818.11364700000001</v>
      </c>
      <c r="M28">
        <v>811.78979500000003</v>
      </c>
      <c r="N28">
        <v>801.87268100000006</v>
      </c>
      <c r="O28">
        <v>790.94000200000005</v>
      </c>
      <c r="P28">
        <v>777.92773399999999</v>
      </c>
      <c r="Q28">
        <v>764.57977300000005</v>
      </c>
      <c r="R28">
        <v>753.02172900000005</v>
      </c>
      <c r="S28">
        <v>741.50933799999996</v>
      </c>
      <c r="T28">
        <v>729.787598</v>
      </c>
      <c r="U28">
        <v>718.64050299999997</v>
      </c>
      <c r="V28">
        <v>709.417236</v>
      </c>
      <c r="W28">
        <v>702.52929700000004</v>
      </c>
      <c r="X28">
        <v>697.51464799999997</v>
      </c>
      <c r="Y28">
        <v>692.16033900000002</v>
      </c>
      <c r="Z28">
        <v>686.87670900000001</v>
      </c>
      <c r="AA28">
        <v>682.12921100000005</v>
      </c>
      <c r="AB28">
        <v>678.85687299999995</v>
      </c>
      <c r="AC28">
        <v>674.43170199999997</v>
      </c>
      <c r="AD28">
        <v>672.45916699999998</v>
      </c>
      <c r="AE28">
        <v>673.334656</v>
      </c>
      <c r="AF28">
        <v>671.36792000000003</v>
      </c>
      <c r="AG28">
        <v>672.13104199999998</v>
      </c>
      <c r="AH28">
        <v>673.04504399999996</v>
      </c>
      <c r="AI28" s="28">
        <v>-7.0000000000000001E-3</v>
      </c>
    </row>
    <row r="29" spans="1:35" x14ac:dyDescent="0.25">
      <c r="A29" s="24" t="s">
        <v>70</v>
      </c>
      <c r="B29" s="8" t="s">
        <v>9</v>
      </c>
      <c r="C29" t="s">
        <v>192</v>
      </c>
      <c r="D29" t="s">
        <v>191</v>
      </c>
      <c r="E29" t="s">
        <v>190</v>
      </c>
      <c r="F29" t="s">
        <v>139</v>
      </c>
      <c r="H29">
        <v>773.82189900000003</v>
      </c>
      <c r="I29">
        <v>786.61840800000004</v>
      </c>
      <c r="J29">
        <v>783.18322799999999</v>
      </c>
      <c r="K29">
        <v>779.68902600000001</v>
      </c>
      <c r="L29">
        <v>775.45001200000002</v>
      </c>
      <c r="M29">
        <v>769.39807099999996</v>
      </c>
      <c r="N29">
        <v>759.90216099999998</v>
      </c>
      <c r="O29">
        <v>749.35314900000003</v>
      </c>
      <c r="P29">
        <v>736.87854000000004</v>
      </c>
      <c r="Q29">
        <v>724.18066399999998</v>
      </c>
      <c r="R29">
        <v>713.24438499999997</v>
      </c>
      <c r="S29">
        <v>702.28900099999998</v>
      </c>
      <c r="T29">
        <v>691.01855499999999</v>
      </c>
      <c r="U29">
        <v>680.32849099999999</v>
      </c>
      <c r="V29">
        <v>671.50891100000001</v>
      </c>
      <c r="W29">
        <v>664.93426499999998</v>
      </c>
      <c r="X29">
        <v>660.10656700000004</v>
      </c>
      <c r="Y29">
        <v>654.97393799999998</v>
      </c>
      <c r="Z29">
        <v>650.02429199999995</v>
      </c>
      <c r="AA29">
        <v>645.57031199999994</v>
      </c>
      <c r="AB29">
        <v>642.48950200000002</v>
      </c>
      <c r="AC29">
        <v>638.27270499999997</v>
      </c>
      <c r="AD29">
        <v>636.51153599999998</v>
      </c>
      <c r="AE29">
        <v>637.53350799999998</v>
      </c>
      <c r="AF29">
        <v>635.75726299999997</v>
      </c>
      <c r="AG29">
        <v>636.62994400000002</v>
      </c>
      <c r="AH29">
        <v>637.63330099999996</v>
      </c>
      <c r="AI29" s="28">
        <v>-7.0000000000000001E-3</v>
      </c>
    </row>
    <row r="30" spans="1:35" x14ac:dyDescent="0.25">
      <c r="A30" s="24" t="s">
        <v>71</v>
      </c>
      <c r="B30" s="16" t="s">
        <v>40</v>
      </c>
      <c r="C30" t="s">
        <v>189</v>
      </c>
      <c r="D30" t="s">
        <v>188</v>
      </c>
      <c r="E30" t="s">
        <v>187</v>
      </c>
      <c r="F30" t="s">
        <v>139</v>
      </c>
      <c r="H30">
        <v>42.274090000000001</v>
      </c>
      <c r="I30">
        <v>43.112217000000001</v>
      </c>
      <c r="J30">
        <v>43.174866000000002</v>
      </c>
      <c r="K30">
        <v>42.946219999999997</v>
      </c>
      <c r="L30">
        <v>42.663628000000003</v>
      </c>
      <c r="M30">
        <v>42.391700999999998</v>
      </c>
      <c r="N30">
        <v>41.970547000000003</v>
      </c>
      <c r="O30">
        <v>41.586860999999999</v>
      </c>
      <c r="P30">
        <v>41.049202000000001</v>
      </c>
      <c r="Q30">
        <v>40.399085999999997</v>
      </c>
      <c r="R30">
        <v>39.777332000000001</v>
      </c>
      <c r="S30">
        <v>39.220340999999998</v>
      </c>
      <c r="T30">
        <v>38.769024000000002</v>
      </c>
      <c r="U30">
        <v>38.312030999999998</v>
      </c>
      <c r="V30">
        <v>37.908340000000003</v>
      </c>
      <c r="W30">
        <v>37.595055000000002</v>
      </c>
      <c r="X30">
        <v>37.408057999999997</v>
      </c>
      <c r="Y30">
        <v>37.186394</v>
      </c>
      <c r="Z30">
        <v>36.85239</v>
      </c>
      <c r="AA30">
        <v>36.558922000000003</v>
      </c>
      <c r="AB30">
        <v>36.367348</v>
      </c>
      <c r="AC30">
        <v>36.158980999999997</v>
      </c>
      <c r="AD30">
        <v>35.947631999999999</v>
      </c>
      <c r="AE30">
        <v>35.801124999999999</v>
      </c>
      <c r="AF30">
        <v>35.610644999999998</v>
      </c>
      <c r="AG30">
        <v>35.501125000000002</v>
      </c>
      <c r="AH30">
        <v>35.411743000000001</v>
      </c>
      <c r="AI30" s="28">
        <v>-7.0000000000000001E-3</v>
      </c>
    </row>
    <row r="31" spans="1:35" x14ac:dyDescent="0.25">
      <c r="A31" s="24" t="s">
        <v>72</v>
      </c>
      <c r="B31" s="8" t="s">
        <v>10</v>
      </c>
      <c r="C31" t="s">
        <v>186</v>
      </c>
      <c r="D31" t="s">
        <v>185</v>
      </c>
      <c r="E31" t="s">
        <v>184</v>
      </c>
      <c r="F31" t="s">
        <v>139</v>
      </c>
      <c r="H31">
        <v>212.32913199999999</v>
      </c>
      <c r="I31">
        <v>217.69610599999999</v>
      </c>
      <c r="J31">
        <v>224.71417199999999</v>
      </c>
      <c r="K31">
        <v>228.99838299999999</v>
      </c>
      <c r="L31">
        <v>231.000732</v>
      </c>
      <c r="M31">
        <v>233.928268</v>
      </c>
      <c r="N31">
        <v>237.69215399999999</v>
      </c>
      <c r="O31">
        <v>241.49115</v>
      </c>
      <c r="P31">
        <v>245.09896900000001</v>
      </c>
      <c r="Q31">
        <v>248.243774</v>
      </c>
      <c r="R31">
        <v>252.30616800000001</v>
      </c>
      <c r="S31">
        <v>255.406128</v>
      </c>
      <c r="T31">
        <v>257.66836499999999</v>
      </c>
      <c r="U31">
        <v>260.66455100000002</v>
      </c>
      <c r="V31">
        <v>263.21542399999998</v>
      </c>
      <c r="W31">
        <v>265.90035999999998</v>
      </c>
      <c r="X31">
        <v>268.94296300000002</v>
      </c>
      <c r="Y31">
        <v>271.58007800000001</v>
      </c>
      <c r="Z31">
        <v>274.43542500000001</v>
      </c>
      <c r="AA31">
        <v>276.42465199999998</v>
      </c>
      <c r="AB31">
        <v>278.51159699999999</v>
      </c>
      <c r="AC31">
        <v>280.172211</v>
      </c>
      <c r="AD31">
        <v>282.02731299999999</v>
      </c>
      <c r="AE31">
        <v>284.19464099999999</v>
      </c>
      <c r="AF31">
        <v>286.12377900000001</v>
      </c>
      <c r="AG31">
        <v>288.19808999999998</v>
      </c>
      <c r="AH31">
        <v>289.85263099999997</v>
      </c>
      <c r="AI31" s="28">
        <v>1.2E-2</v>
      </c>
    </row>
    <row r="32" spans="1:35" x14ac:dyDescent="0.25">
      <c r="A32" s="24" t="s">
        <v>73</v>
      </c>
      <c r="B32" s="16"/>
      <c r="C32" t="s">
        <v>183</v>
      </c>
      <c r="D32" t="s">
        <v>182</v>
      </c>
      <c r="E32" t="s">
        <v>181</v>
      </c>
      <c r="F32" t="s">
        <v>139</v>
      </c>
      <c r="H32">
        <v>111.547691</v>
      </c>
      <c r="I32">
        <v>111.646118</v>
      </c>
      <c r="J32">
        <v>111.83931</v>
      </c>
      <c r="K32">
        <v>112.530006</v>
      </c>
      <c r="L32">
        <v>113.191704</v>
      </c>
      <c r="M32">
        <v>113.502251</v>
      </c>
      <c r="N32">
        <v>114.45515399999999</v>
      </c>
      <c r="O32">
        <v>115.922195</v>
      </c>
      <c r="P32">
        <v>117.233231</v>
      </c>
      <c r="Q32">
        <v>118.135986</v>
      </c>
      <c r="R32">
        <v>118.88230900000001</v>
      </c>
      <c r="S32">
        <v>119.855042</v>
      </c>
      <c r="T32">
        <v>120.868042</v>
      </c>
      <c r="U32">
        <v>121.951553</v>
      </c>
      <c r="V32">
        <v>123.172432</v>
      </c>
      <c r="W32">
        <v>124.29541</v>
      </c>
      <c r="X32">
        <v>125.051186</v>
      </c>
      <c r="Y32">
        <v>125.540993</v>
      </c>
      <c r="Z32">
        <v>125.832672</v>
      </c>
      <c r="AA32">
        <v>125.669724</v>
      </c>
      <c r="AB32">
        <v>125.18317399999999</v>
      </c>
      <c r="AC32">
        <v>125.382446</v>
      </c>
      <c r="AD32">
        <v>126.047348</v>
      </c>
      <c r="AE32">
        <v>126.82730100000001</v>
      </c>
      <c r="AF32">
        <v>127.72215300000001</v>
      </c>
      <c r="AG32">
        <v>128.63948099999999</v>
      </c>
      <c r="AH32">
        <v>129.612427</v>
      </c>
      <c r="AI32" s="28">
        <v>6.0000000000000001E-3</v>
      </c>
    </row>
    <row r="33" spans="1:35" x14ac:dyDescent="0.25">
      <c r="A33" s="24" t="s">
        <v>74</v>
      </c>
      <c r="B33" s="8" t="s">
        <v>38</v>
      </c>
      <c r="C33" t="s">
        <v>180</v>
      </c>
      <c r="D33" t="s">
        <v>179</v>
      </c>
      <c r="E33" t="s">
        <v>178</v>
      </c>
      <c r="F33" t="s">
        <v>139</v>
      </c>
      <c r="H33">
        <v>21.45093</v>
      </c>
      <c r="I33">
        <v>21.290244999999999</v>
      </c>
      <c r="J33">
        <v>21.242982999999999</v>
      </c>
      <c r="K33">
        <v>21.230723999999999</v>
      </c>
      <c r="L33">
        <v>21.263985000000002</v>
      </c>
      <c r="M33">
        <v>21.310061000000001</v>
      </c>
      <c r="N33">
        <v>21.371811000000001</v>
      </c>
      <c r="O33">
        <v>21.476692</v>
      </c>
      <c r="P33">
        <v>21.612559999999998</v>
      </c>
      <c r="Q33">
        <v>21.745702999999999</v>
      </c>
      <c r="R33">
        <v>21.890889999999999</v>
      </c>
      <c r="S33">
        <v>22.055412</v>
      </c>
      <c r="T33">
        <v>22.216677000000001</v>
      </c>
      <c r="U33">
        <v>22.397680000000001</v>
      </c>
      <c r="V33">
        <v>22.595711000000001</v>
      </c>
      <c r="W33">
        <v>22.798956</v>
      </c>
      <c r="X33">
        <v>23.015872999999999</v>
      </c>
      <c r="Y33">
        <v>23.235880000000002</v>
      </c>
      <c r="Z33">
        <v>23.452273999999999</v>
      </c>
      <c r="AA33">
        <v>23.653669000000001</v>
      </c>
      <c r="AB33">
        <v>23.834209000000001</v>
      </c>
      <c r="AC33">
        <v>23.998464999999999</v>
      </c>
      <c r="AD33">
        <v>24.152999999999999</v>
      </c>
      <c r="AE33">
        <v>24.320281999999999</v>
      </c>
      <c r="AF33">
        <v>24.498272</v>
      </c>
      <c r="AG33">
        <v>24.677088000000001</v>
      </c>
      <c r="AH33">
        <v>24.843610999999999</v>
      </c>
      <c r="AI33" s="28">
        <v>6.0000000000000001E-3</v>
      </c>
    </row>
    <row r="34" spans="1:35" x14ac:dyDescent="0.25">
      <c r="A34" s="24" t="s">
        <v>75</v>
      </c>
      <c r="B34" s="8" t="s">
        <v>39</v>
      </c>
      <c r="C34" t="s">
        <v>177</v>
      </c>
      <c r="D34" t="s">
        <v>176</v>
      </c>
      <c r="E34" t="s">
        <v>175</v>
      </c>
      <c r="F34" t="s">
        <v>139</v>
      </c>
      <c r="H34">
        <v>9.3054120000000005</v>
      </c>
      <c r="I34">
        <v>9.3415520000000001</v>
      </c>
      <c r="J34">
        <v>9.2711919999999992</v>
      </c>
      <c r="K34">
        <v>9.2796289999999999</v>
      </c>
      <c r="L34">
        <v>9.351248</v>
      </c>
      <c r="M34">
        <v>9.4330730000000003</v>
      </c>
      <c r="N34">
        <v>9.5575189999999992</v>
      </c>
      <c r="O34">
        <v>9.7036859999999994</v>
      </c>
      <c r="P34">
        <v>9.8557319999999997</v>
      </c>
      <c r="Q34">
        <v>9.9995840000000005</v>
      </c>
      <c r="R34">
        <v>10.131539999999999</v>
      </c>
      <c r="S34">
        <v>10.260571000000001</v>
      </c>
      <c r="T34">
        <v>10.387729999999999</v>
      </c>
      <c r="U34">
        <v>10.523909</v>
      </c>
      <c r="V34">
        <v>10.673493000000001</v>
      </c>
      <c r="W34">
        <v>10.821849</v>
      </c>
      <c r="X34">
        <v>10.946847999999999</v>
      </c>
      <c r="Y34">
        <v>11.046646000000001</v>
      </c>
      <c r="Z34">
        <v>11.118332000000001</v>
      </c>
      <c r="AA34">
        <v>11.148250000000001</v>
      </c>
      <c r="AB34">
        <v>11.14453</v>
      </c>
      <c r="AC34">
        <v>11.166449999999999</v>
      </c>
      <c r="AD34">
        <v>11.222955000000001</v>
      </c>
      <c r="AE34">
        <v>11.310638000000001</v>
      </c>
      <c r="AF34">
        <v>11.422865</v>
      </c>
      <c r="AG34">
        <v>11.550447</v>
      </c>
      <c r="AH34">
        <v>11.685319</v>
      </c>
      <c r="AI34" s="28">
        <v>8.9999999999999993E-3</v>
      </c>
    </row>
    <row r="35" spans="1:35" x14ac:dyDescent="0.25">
      <c r="A35" s="24" t="s">
        <v>76</v>
      </c>
      <c r="B35" s="8" t="s">
        <v>39</v>
      </c>
      <c r="C35" t="s">
        <v>174</v>
      </c>
      <c r="D35" t="s">
        <v>173</v>
      </c>
      <c r="E35" t="s">
        <v>172</v>
      </c>
      <c r="F35" t="s">
        <v>139</v>
      </c>
      <c r="H35">
        <v>80.791351000000006</v>
      </c>
      <c r="I35">
        <v>81.014319999999998</v>
      </c>
      <c r="J35">
        <v>81.325134000000006</v>
      </c>
      <c r="K35">
        <v>82.019653000000005</v>
      </c>
      <c r="L35">
        <v>82.576469000000003</v>
      </c>
      <c r="M35">
        <v>82.759117000000003</v>
      </c>
      <c r="N35">
        <v>83.525825999999995</v>
      </c>
      <c r="O35">
        <v>84.741814000000005</v>
      </c>
      <c r="P35">
        <v>85.764938000000001</v>
      </c>
      <c r="Q35">
        <v>86.390701000000007</v>
      </c>
      <c r="R35">
        <v>86.859879000000006</v>
      </c>
      <c r="S35">
        <v>87.539062000000001</v>
      </c>
      <c r="T35">
        <v>88.263633999999996</v>
      </c>
      <c r="U35">
        <v>89.029967999999997</v>
      </c>
      <c r="V35">
        <v>89.903228999999996</v>
      </c>
      <c r="W35">
        <v>90.674605999999997</v>
      </c>
      <c r="X35">
        <v>91.088463000000004</v>
      </c>
      <c r="Y35">
        <v>91.258469000000005</v>
      </c>
      <c r="Z35">
        <v>91.262069999999994</v>
      </c>
      <c r="AA35">
        <v>90.867805000000004</v>
      </c>
      <c r="AB35">
        <v>90.204436999999999</v>
      </c>
      <c r="AC35">
        <v>90.217528999999999</v>
      </c>
      <c r="AD35">
        <v>90.671394000000006</v>
      </c>
      <c r="AE35">
        <v>91.196381000000002</v>
      </c>
      <c r="AF35">
        <v>91.801017999999999</v>
      </c>
      <c r="AG35">
        <v>92.411949000000007</v>
      </c>
      <c r="AH35">
        <v>93.083488000000003</v>
      </c>
      <c r="AI35" s="28">
        <v>5.0000000000000001E-3</v>
      </c>
    </row>
    <row r="36" spans="1:35" x14ac:dyDescent="0.25">
      <c r="A36" s="24" t="s">
        <v>77</v>
      </c>
      <c r="B36" s="16"/>
      <c r="C36" t="s">
        <v>171</v>
      </c>
      <c r="D36" t="s">
        <v>170</v>
      </c>
      <c r="E36" t="s">
        <v>169</v>
      </c>
      <c r="F36" t="s">
        <v>139</v>
      </c>
      <c r="H36">
        <v>244.865036</v>
      </c>
      <c r="I36">
        <v>248.52803</v>
      </c>
      <c r="J36">
        <v>255.542496</v>
      </c>
      <c r="K36">
        <v>258.274902</v>
      </c>
      <c r="L36">
        <v>258.45053100000001</v>
      </c>
      <c r="M36">
        <v>259.36413599999997</v>
      </c>
      <c r="N36">
        <v>262.413971</v>
      </c>
      <c r="O36">
        <v>266.26843300000002</v>
      </c>
      <c r="P36">
        <v>270.278839</v>
      </c>
      <c r="Q36">
        <v>271.53185999999999</v>
      </c>
      <c r="R36">
        <v>274.66314699999998</v>
      </c>
      <c r="S36">
        <v>277.69369499999999</v>
      </c>
      <c r="T36">
        <v>280.42724600000003</v>
      </c>
      <c r="U36">
        <v>284.75625600000001</v>
      </c>
      <c r="V36">
        <v>288.45294200000001</v>
      </c>
      <c r="W36">
        <v>292.01385499999998</v>
      </c>
      <c r="X36">
        <v>297.00689699999998</v>
      </c>
      <c r="Y36">
        <v>300.80423000000002</v>
      </c>
      <c r="Z36">
        <v>303.97219799999999</v>
      </c>
      <c r="AA36">
        <v>308.31237800000002</v>
      </c>
      <c r="AB36">
        <v>311.885468</v>
      </c>
      <c r="AC36">
        <v>314.56079099999999</v>
      </c>
      <c r="AD36">
        <v>316.64413500000001</v>
      </c>
      <c r="AE36">
        <v>319.67553700000002</v>
      </c>
      <c r="AF36">
        <v>321.56710800000002</v>
      </c>
      <c r="AG36">
        <v>322.92242399999998</v>
      </c>
      <c r="AH36">
        <v>324.23211700000002</v>
      </c>
      <c r="AI36" s="28">
        <v>1.0999999999999999E-2</v>
      </c>
    </row>
    <row r="37" spans="1:35" x14ac:dyDescent="0.25">
      <c r="A37" s="24" t="s">
        <v>78</v>
      </c>
      <c r="B37" s="8" t="s">
        <v>40</v>
      </c>
      <c r="C37" t="s">
        <v>168</v>
      </c>
      <c r="D37" t="s">
        <v>167</v>
      </c>
      <c r="E37" t="s">
        <v>166</v>
      </c>
      <c r="F37" t="s">
        <v>139</v>
      </c>
      <c r="H37">
        <v>131.325729</v>
      </c>
      <c r="I37">
        <v>134.934113</v>
      </c>
      <c r="J37">
        <v>141.45988500000001</v>
      </c>
      <c r="K37">
        <v>142.77377300000001</v>
      </c>
      <c r="L37">
        <v>141.88793899999999</v>
      </c>
      <c r="M37">
        <v>141.749786</v>
      </c>
      <c r="N37">
        <v>143.738235</v>
      </c>
      <c r="O37">
        <v>146.534988</v>
      </c>
      <c r="P37">
        <v>149.384964</v>
      </c>
      <c r="Q37">
        <v>149.45510899999999</v>
      </c>
      <c r="R37">
        <v>151.37814299999999</v>
      </c>
      <c r="S37">
        <v>153.10629299999999</v>
      </c>
      <c r="T37">
        <v>154.53630100000001</v>
      </c>
      <c r="U37">
        <v>157.535034</v>
      </c>
      <c r="V37">
        <v>159.87338299999999</v>
      </c>
      <c r="W37">
        <v>162.08471700000001</v>
      </c>
      <c r="X37">
        <v>165.732437</v>
      </c>
      <c r="Y37">
        <v>168.196808</v>
      </c>
      <c r="Z37">
        <v>170.064301</v>
      </c>
      <c r="AA37">
        <v>173.14265399999999</v>
      </c>
      <c r="AB37">
        <v>175.50889599999999</v>
      </c>
      <c r="AC37">
        <v>177.04949999999999</v>
      </c>
      <c r="AD37">
        <v>178.07887299999999</v>
      </c>
      <c r="AE37">
        <v>180.09767199999999</v>
      </c>
      <c r="AF37">
        <v>181.03627</v>
      </c>
      <c r="AG37">
        <v>181.499786</v>
      </c>
      <c r="AH37">
        <v>181.988113</v>
      </c>
      <c r="AI37" s="28">
        <v>1.2999999999999999E-2</v>
      </c>
    </row>
    <row r="38" spans="1:35" s="1" customFormat="1" x14ac:dyDescent="0.25">
      <c r="A38" s="33" t="s">
        <v>79</v>
      </c>
      <c r="B38" s="34" t="s">
        <v>41</v>
      </c>
      <c r="C38" s="1" t="s">
        <v>165</v>
      </c>
      <c r="D38" s="1" t="s">
        <v>164</v>
      </c>
      <c r="E38" s="1" t="s">
        <v>163</v>
      </c>
      <c r="F38" s="1" t="s">
        <v>139</v>
      </c>
      <c r="H38" s="1">
        <v>34.597599000000002</v>
      </c>
      <c r="I38" s="1">
        <v>34.167324000000001</v>
      </c>
      <c r="J38" s="1">
        <v>34.714939000000001</v>
      </c>
      <c r="K38" s="1">
        <v>35.325741000000001</v>
      </c>
      <c r="L38" s="1">
        <v>35.804805999999999</v>
      </c>
      <c r="M38" s="1">
        <v>36.362533999999997</v>
      </c>
      <c r="N38" s="1">
        <v>36.869461000000001</v>
      </c>
      <c r="O38" s="1">
        <v>37.424278000000001</v>
      </c>
      <c r="P38" s="1">
        <v>38.041747999999998</v>
      </c>
      <c r="Q38" s="1">
        <v>38.662601000000002</v>
      </c>
      <c r="R38" s="1">
        <v>39.322856999999999</v>
      </c>
      <c r="S38" s="1">
        <v>40.049435000000003</v>
      </c>
      <c r="T38" s="1">
        <v>40.793427000000001</v>
      </c>
      <c r="U38" s="1">
        <v>41.567073999999998</v>
      </c>
      <c r="V38" s="1">
        <v>42.354301</v>
      </c>
      <c r="W38" s="1">
        <v>43.131816999999998</v>
      </c>
      <c r="X38" s="1">
        <v>43.905979000000002</v>
      </c>
      <c r="Y38" s="1">
        <v>44.671326000000001</v>
      </c>
      <c r="Z38" s="1">
        <v>45.415844</v>
      </c>
      <c r="AA38" s="1">
        <v>46.116340999999998</v>
      </c>
      <c r="AB38" s="1">
        <v>46.751091000000002</v>
      </c>
      <c r="AC38" s="1">
        <v>47.299404000000003</v>
      </c>
      <c r="AD38" s="1">
        <v>47.767882999999998</v>
      </c>
      <c r="AE38" s="1">
        <v>48.191673000000002</v>
      </c>
      <c r="AF38" s="1">
        <v>48.568092</v>
      </c>
      <c r="AG38" s="1">
        <v>48.904499000000001</v>
      </c>
      <c r="AH38" s="1">
        <v>49.198971</v>
      </c>
      <c r="AI38" s="35">
        <v>1.4E-2</v>
      </c>
    </row>
    <row r="39" spans="1:35" s="1" customFormat="1" x14ac:dyDescent="0.25">
      <c r="A39" s="33" t="s">
        <v>80</v>
      </c>
      <c r="B39" s="34" t="s">
        <v>41</v>
      </c>
      <c r="C39" s="1" t="s">
        <v>162</v>
      </c>
      <c r="D39" s="1" t="s">
        <v>161</v>
      </c>
      <c r="E39" s="1" t="s">
        <v>160</v>
      </c>
      <c r="F39" s="1" t="s">
        <v>139</v>
      </c>
      <c r="H39" s="1">
        <v>78.941710999999998</v>
      </c>
      <c r="I39" s="1">
        <v>79.426581999999996</v>
      </c>
      <c r="J39" s="1">
        <v>79.367667999999995</v>
      </c>
      <c r="K39" s="1">
        <v>80.175369000000003</v>
      </c>
      <c r="L39" s="1">
        <v>80.75779</v>
      </c>
      <c r="M39" s="1">
        <v>81.251801</v>
      </c>
      <c r="N39" s="1">
        <v>81.806281999999996</v>
      </c>
      <c r="O39" s="1">
        <v>82.309166000000005</v>
      </c>
      <c r="P39" s="1">
        <v>82.852135000000004</v>
      </c>
      <c r="Q39" s="1">
        <v>83.414146000000002</v>
      </c>
      <c r="R39" s="1">
        <v>83.962135000000004</v>
      </c>
      <c r="S39" s="1">
        <v>84.537955999999994</v>
      </c>
      <c r="T39" s="1">
        <v>85.097519000000005</v>
      </c>
      <c r="U39" s="1">
        <v>85.654174999999995</v>
      </c>
      <c r="V39" s="1">
        <v>86.225257999999997</v>
      </c>
      <c r="W39" s="1">
        <v>86.797302000000002</v>
      </c>
      <c r="X39" s="1">
        <v>87.368469000000005</v>
      </c>
      <c r="Y39" s="1">
        <v>87.936096000000006</v>
      </c>
      <c r="Z39" s="1">
        <v>88.492042999999995</v>
      </c>
      <c r="AA39" s="1">
        <v>89.053382999999997</v>
      </c>
      <c r="AB39" s="1">
        <v>89.625504000000006</v>
      </c>
      <c r="AC39" s="1">
        <v>90.211867999999996</v>
      </c>
      <c r="AD39" s="1">
        <v>90.797393999999997</v>
      </c>
      <c r="AE39" s="1">
        <v>91.386200000000002</v>
      </c>
      <c r="AF39" s="1">
        <v>91.962722999999997</v>
      </c>
      <c r="AG39" s="1">
        <v>92.518127000000007</v>
      </c>
      <c r="AH39" s="1">
        <v>93.045012999999997</v>
      </c>
      <c r="AI39" s="35">
        <v>6.0000000000000001E-3</v>
      </c>
    </row>
    <row r="40" spans="1:35" x14ac:dyDescent="0.25">
      <c r="A40" s="24" t="s">
        <v>81</v>
      </c>
      <c r="B40" s="8" t="s">
        <v>11</v>
      </c>
      <c r="C40" t="s">
        <v>159</v>
      </c>
      <c r="D40" t="s">
        <v>158</v>
      </c>
      <c r="E40" t="s">
        <v>157</v>
      </c>
      <c r="F40" t="s">
        <v>139</v>
      </c>
      <c r="H40">
        <v>302.45358299999998</v>
      </c>
      <c r="I40">
        <v>308.42364500000002</v>
      </c>
      <c r="J40">
        <v>320.75329599999998</v>
      </c>
      <c r="K40">
        <v>328.51696800000002</v>
      </c>
      <c r="L40">
        <v>329.17980999999997</v>
      </c>
      <c r="M40">
        <v>329.989777</v>
      </c>
      <c r="N40">
        <v>332.51956200000001</v>
      </c>
      <c r="O40">
        <v>335.48730499999999</v>
      </c>
      <c r="P40">
        <v>338.850281</v>
      </c>
      <c r="Q40">
        <v>339.64154100000002</v>
      </c>
      <c r="R40">
        <v>343.304688</v>
      </c>
      <c r="S40">
        <v>344.99401899999998</v>
      </c>
      <c r="T40">
        <v>347.50637799999998</v>
      </c>
      <c r="U40">
        <v>351.45007299999997</v>
      </c>
      <c r="V40">
        <v>354.34689300000002</v>
      </c>
      <c r="W40">
        <v>357.36279300000001</v>
      </c>
      <c r="X40">
        <v>361.16931199999999</v>
      </c>
      <c r="Y40">
        <v>363.91494799999998</v>
      </c>
      <c r="Z40">
        <v>366.687836</v>
      </c>
      <c r="AA40">
        <v>368.30096400000002</v>
      </c>
      <c r="AB40">
        <v>371.01907299999999</v>
      </c>
      <c r="AC40">
        <v>372.19131499999997</v>
      </c>
      <c r="AD40">
        <v>374.320221</v>
      </c>
      <c r="AE40">
        <v>376.14328</v>
      </c>
      <c r="AF40">
        <v>377.55276500000002</v>
      </c>
      <c r="AG40">
        <v>379.67996199999999</v>
      </c>
      <c r="AH40">
        <v>379.72183200000001</v>
      </c>
      <c r="AI40" s="28">
        <v>8.9999999999999993E-3</v>
      </c>
    </row>
    <row r="41" spans="1:35" x14ac:dyDescent="0.25">
      <c r="A41" s="24" t="s">
        <v>82</v>
      </c>
      <c r="B41" s="8" t="s">
        <v>14</v>
      </c>
      <c r="C41" t="s">
        <v>156</v>
      </c>
      <c r="D41" t="s">
        <v>155</v>
      </c>
      <c r="E41" t="s">
        <v>154</v>
      </c>
      <c r="F41" t="s">
        <v>139</v>
      </c>
      <c r="H41">
        <v>298.00756799999999</v>
      </c>
      <c r="I41">
        <v>301.46786500000002</v>
      </c>
      <c r="J41">
        <v>307.61700400000001</v>
      </c>
      <c r="K41">
        <v>319.36669899999998</v>
      </c>
      <c r="L41">
        <v>326.12960800000002</v>
      </c>
      <c r="M41">
        <v>331.91284200000001</v>
      </c>
      <c r="N41">
        <v>338.64636200000001</v>
      </c>
      <c r="O41">
        <v>343.727081</v>
      </c>
      <c r="P41">
        <v>348.29406699999998</v>
      </c>
      <c r="Q41">
        <v>349.59146099999998</v>
      </c>
      <c r="R41">
        <v>352.93121300000001</v>
      </c>
      <c r="S41">
        <v>355.55087300000002</v>
      </c>
      <c r="T41">
        <v>358.416809</v>
      </c>
      <c r="U41">
        <v>361.28417999999999</v>
      </c>
      <c r="V41">
        <v>362.44918799999999</v>
      </c>
      <c r="W41">
        <v>363.33535799999999</v>
      </c>
      <c r="X41">
        <v>364.77499399999999</v>
      </c>
      <c r="Y41">
        <v>365.61196899999999</v>
      </c>
      <c r="Z41">
        <v>366.47958399999999</v>
      </c>
      <c r="AA41">
        <v>366.93136600000003</v>
      </c>
      <c r="AB41">
        <v>367.69512900000001</v>
      </c>
      <c r="AC41">
        <v>367.91857900000002</v>
      </c>
      <c r="AD41">
        <v>368.88497899999999</v>
      </c>
      <c r="AE41">
        <v>370.44448899999998</v>
      </c>
      <c r="AF41">
        <v>370.69085699999999</v>
      </c>
      <c r="AG41">
        <v>371.66427599999997</v>
      </c>
      <c r="AH41">
        <v>371.93856799999998</v>
      </c>
      <c r="AI41" s="28">
        <v>8.9999999999999993E-3</v>
      </c>
    </row>
    <row r="42" spans="1:35" x14ac:dyDescent="0.25">
      <c r="A42" s="24" t="s">
        <v>83</v>
      </c>
      <c r="B42" s="8" t="s">
        <v>12</v>
      </c>
      <c r="C42" t="s">
        <v>153</v>
      </c>
      <c r="D42" t="s">
        <v>152</v>
      </c>
      <c r="E42" t="s">
        <v>151</v>
      </c>
      <c r="F42" t="s">
        <v>139</v>
      </c>
      <c r="H42">
        <v>440.02227800000003</v>
      </c>
      <c r="I42">
        <v>457.77365099999997</v>
      </c>
      <c r="J42">
        <v>467.24835200000001</v>
      </c>
      <c r="K42">
        <v>485.610229</v>
      </c>
      <c r="L42">
        <v>505.60598800000002</v>
      </c>
      <c r="M42">
        <v>521.77954099999999</v>
      </c>
      <c r="N42">
        <v>537.28900099999998</v>
      </c>
      <c r="O42">
        <v>552.02996800000005</v>
      </c>
      <c r="P42">
        <v>567.71087599999998</v>
      </c>
      <c r="Q42">
        <v>579.98846400000002</v>
      </c>
      <c r="R42">
        <v>593.50488299999995</v>
      </c>
      <c r="S42">
        <v>608.81079099999999</v>
      </c>
      <c r="T42">
        <v>626.12176499999998</v>
      </c>
      <c r="U42">
        <v>643.887878</v>
      </c>
      <c r="V42">
        <v>661.97845500000005</v>
      </c>
      <c r="W42">
        <v>681.56664999999998</v>
      </c>
      <c r="X42">
        <v>702.596497</v>
      </c>
      <c r="Y42">
        <v>724.23217799999998</v>
      </c>
      <c r="Z42">
        <v>746.66784700000005</v>
      </c>
      <c r="AA42">
        <v>768.78619400000002</v>
      </c>
      <c r="AB42">
        <v>792.41302499999995</v>
      </c>
      <c r="AC42">
        <v>815.76190199999996</v>
      </c>
      <c r="AD42">
        <v>841.44476299999997</v>
      </c>
      <c r="AE42">
        <v>868.17761199999995</v>
      </c>
      <c r="AF42">
        <v>895.31726100000003</v>
      </c>
      <c r="AG42">
        <v>922.963257</v>
      </c>
      <c r="AH42">
        <v>950.84960899999999</v>
      </c>
      <c r="AI42" s="28">
        <v>0.03</v>
      </c>
    </row>
    <row r="43" spans="1:35" x14ac:dyDescent="0.25">
      <c r="A43" s="24" t="s">
        <v>84</v>
      </c>
      <c r="B43" s="8" t="s">
        <v>98</v>
      </c>
      <c r="C43" t="s">
        <v>150</v>
      </c>
      <c r="D43" t="s">
        <v>149</v>
      </c>
      <c r="E43" t="s">
        <v>148</v>
      </c>
      <c r="F43" t="s">
        <v>139</v>
      </c>
      <c r="H43">
        <v>1067.6899410000001</v>
      </c>
      <c r="I43">
        <v>1135.095947</v>
      </c>
      <c r="J43">
        <v>1211.557495</v>
      </c>
      <c r="K43">
        <v>1234.7139890000001</v>
      </c>
      <c r="L43">
        <v>1260.6259769999999</v>
      </c>
      <c r="M43">
        <v>1284.1857910000001</v>
      </c>
      <c r="N43">
        <v>1298.3616939999999</v>
      </c>
      <c r="O43">
        <v>1299.6274410000001</v>
      </c>
      <c r="P43">
        <v>1310.2197269999999</v>
      </c>
      <c r="Q43">
        <v>1323.284302</v>
      </c>
      <c r="R43">
        <v>1352.747803</v>
      </c>
      <c r="S43">
        <v>1371.8914789999999</v>
      </c>
      <c r="T43">
        <v>1384.0620120000001</v>
      </c>
      <c r="U43">
        <v>1398.4255370000001</v>
      </c>
      <c r="V43">
        <v>1415.861206</v>
      </c>
      <c r="W43">
        <v>1434.6405030000001</v>
      </c>
      <c r="X43">
        <v>1452.193237</v>
      </c>
      <c r="Y43">
        <v>1466.6412350000001</v>
      </c>
      <c r="Z43">
        <v>1482.1951899999999</v>
      </c>
      <c r="AA43">
        <v>1494.6827390000001</v>
      </c>
      <c r="AB43">
        <v>1508.628052</v>
      </c>
      <c r="AC43">
        <v>1524.2349850000001</v>
      </c>
      <c r="AD43">
        <v>1539.3557129999999</v>
      </c>
      <c r="AE43">
        <v>1554.1062010000001</v>
      </c>
      <c r="AF43">
        <v>1568.6697999999999</v>
      </c>
      <c r="AG43">
        <v>1581.38147</v>
      </c>
      <c r="AH43">
        <v>1589.3907469999999</v>
      </c>
      <c r="AI43" s="28">
        <v>1.4999999999999999E-2</v>
      </c>
    </row>
    <row r="44" spans="1:35" x14ac:dyDescent="0.25">
      <c r="A44" s="24" t="s">
        <v>85</v>
      </c>
      <c r="B44" s="8" t="s">
        <v>13</v>
      </c>
      <c r="C44" t="s">
        <v>147</v>
      </c>
      <c r="D44" t="s">
        <v>146</v>
      </c>
      <c r="E44" t="s">
        <v>145</v>
      </c>
      <c r="F44" t="s">
        <v>139</v>
      </c>
      <c r="H44">
        <v>117.174522</v>
      </c>
      <c r="I44">
        <v>117.89025100000001</v>
      </c>
      <c r="J44">
        <v>117.056648</v>
      </c>
      <c r="K44">
        <v>118.637428</v>
      </c>
      <c r="L44">
        <v>121.15160400000001</v>
      </c>
      <c r="M44">
        <v>122.98989899999999</v>
      </c>
      <c r="N44">
        <v>124.640625</v>
      </c>
      <c r="O44">
        <v>125.65284699999999</v>
      </c>
      <c r="P44">
        <v>126.778503</v>
      </c>
      <c r="Q44">
        <v>126.76082599999999</v>
      </c>
      <c r="R44">
        <v>126.97957599999999</v>
      </c>
      <c r="S44">
        <v>127.534897</v>
      </c>
      <c r="T44">
        <v>128.186218</v>
      </c>
      <c r="U44">
        <v>128.977249</v>
      </c>
      <c r="V44">
        <v>129.602203</v>
      </c>
      <c r="W44">
        <v>130.39653000000001</v>
      </c>
      <c r="X44">
        <v>131.375854</v>
      </c>
      <c r="Y44">
        <v>132.214798</v>
      </c>
      <c r="Z44">
        <v>133.019226</v>
      </c>
      <c r="AA44">
        <v>133.660675</v>
      </c>
      <c r="AB44">
        <v>134.388824</v>
      </c>
      <c r="AC44">
        <v>134.90304599999999</v>
      </c>
      <c r="AD44">
        <v>135.610321</v>
      </c>
      <c r="AE44">
        <v>136.45515399999999</v>
      </c>
      <c r="AF44">
        <v>137.008881</v>
      </c>
      <c r="AG44">
        <v>137.575974</v>
      </c>
      <c r="AH44">
        <v>137.96229600000001</v>
      </c>
      <c r="AI44" s="28">
        <v>6.0000000000000001E-3</v>
      </c>
    </row>
    <row r="45" spans="1:35" x14ac:dyDescent="0.25">
      <c r="A45" s="24" t="s">
        <v>86</v>
      </c>
      <c r="B45" s="8" t="s">
        <v>17</v>
      </c>
      <c r="C45" t="s">
        <v>144</v>
      </c>
      <c r="D45" t="s">
        <v>143</v>
      </c>
      <c r="E45" t="s">
        <v>142</v>
      </c>
      <c r="F45" t="s">
        <v>139</v>
      </c>
      <c r="H45">
        <v>153.33036799999999</v>
      </c>
      <c r="I45">
        <v>157.286224</v>
      </c>
      <c r="J45">
        <v>161.45156900000001</v>
      </c>
      <c r="K45">
        <v>166.08694499999999</v>
      </c>
      <c r="L45">
        <v>170.00337200000001</v>
      </c>
      <c r="M45">
        <v>172.20495600000001</v>
      </c>
      <c r="N45">
        <v>174.93879699999999</v>
      </c>
      <c r="O45">
        <v>177.68588299999999</v>
      </c>
      <c r="P45">
        <v>181.15734900000001</v>
      </c>
      <c r="Q45">
        <v>182.864746</v>
      </c>
      <c r="R45">
        <v>184.450928</v>
      </c>
      <c r="S45">
        <v>186.48675499999999</v>
      </c>
      <c r="T45">
        <v>188.98085</v>
      </c>
      <c r="U45">
        <v>191.598297</v>
      </c>
      <c r="V45">
        <v>193.246002</v>
      </c>
      <c r="W45">
        <v>194.85244800000001</v>
      </c>
      <c r="X45">
        <v>196.92515599999999</v>
      </c>
      <c r="Y45">
        <v>199.009705</v>
      </c>
      <c r="Z45">
        <v>201.02314799999999</v>
      </c>
      <c r="AA45">
        <v>202.837402</v>
      </c>
      <c r="AB45">
        <v>204.95594800000001</v>
      </c>
      <c r="AC45">
        <v>206.374527</v>
      </c>
      <c r="AD45">
        <v>208.37825000000001</v>
      </c>
      <c r="AE45">
        <v>210.46847500000001</v>
      </c>
      <c r="AF45">
        <v>211.74797100000001</v>
      </c>
      <c r="AG45">
        <v>214.56938199999999</v>
      </c>
      <c r="AH45">
        <v>214.75027499999999</v>
      </c>
      <c r="AI45" s="28">
        <v>1.2999999999999999E-2</v>
      </c>
    </row>
    <row r="46" spans="1:35" x14ac:dyDescent="0.25">
      <c r="A46" s="24" t="s">
        <v>87</v>
      </c>
      <c r="C46" t="s">
        <v>88</v>
      </c>
      <c r="D46" t="s">
        <v>141</v>
      </c>
      <c r="E46" t="s">
        <v>140</v>
      </c>
      <c r="F46" t="s">
        <v>139</v>
      </c>
      <c r="H46">
        <v>8693.2158199999994</v>
      </c>
      <c r="I46">
        <v>8880.0214840000008</v>
      </c>
      <c r="J46">
        <v>9023.890625</v>
      </c>
      <c r="K46">
        <v>9136.9667969999991</v>
      </c>
      <c r="L46">
        <v>9250.2939449999994</v>
      </c>
      <c r="M46">
        <v>9368.2060550000006</v>
      </c>
      <c r="N46">
        <v>9471.4023440000001</v>
      </c>
      <c r="O46">
        <v>9544.3271480000003</v>
      </c>
      <c r="P46">
        <v>9631.375</v>
      </c>
      <c r="Q46">
        <v>9680.8300780000009</v>
      </c>
      <c r="R46">
        <v>9759.0693360000005</v>
      </c>
      <c r="S46">
        <v>9833.1796880000002</v>
      </c>
      <c r="T46">
        <v>9910.9326170000004</v>
      </c>
      <c r="U46">
        <v>9985.4960940000001</v>
      </c>
      <c r="V46">
        <v>10063.265625</v>
      </c>
      <c r="W46">
        <v>10146.550781</v>
      </c>
      <c r="X46">
        <v>10240.190430000001</v>
      </c>
      <c r="Y46">
        <v>10320.270508</v>
      </c>
      <c r="Z46">
        <v>10409.383789</v>
      </c>
      <c r="AA46">
        <v>10482.779296999999</v>
      </c>
      <c r="AB46">
        <v>10564.850586</v>
      </c>
      <c r="AC46">
        <v>10653.482421999999</v>
      </c>
      <c r="AD46">
        <v>10756.960938</v>
      </c>
      <c r="AE46">
        <v>10868.238281</v>
      </c>
      <c r="AF46">
        <v>10969.666015999999</v>
      </c>
      <c r="AG46">
        <v>11079.727539</v>
      </c>
      <c r="AH46">
        <v>11173.775390999999</v>
      </c>
      <c r="AI46" s="28">
        <v>0.01</v>
      </c>
    </row>
    <row r="47" spans="1:35" x14ac:dyDescent="0.25">
      <c r="B47" s="24"/>
    </row>
    <row r="49" spans="9:25" x14ac:dyDescent="0.25"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</sheetData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D1850-4823-47EF-9EC2-7B7534AD36E4}">
  <dimension ref="A1:AQ2"/>
  <sheetViews>
    <sheetView workbookViewId="0">
      <selection activeCell="AH10" sqref="A6:AH10"/>
    </sheetView>
  </sheetViews>
  <sheetFormatPr defaultRowHeight="15" x14ac:dyDescent="0.25"/>
  <cols>
    <col min="1" max="1" width="17.28515625" customWidth="1"/>
    <col min="2" max="2" width="12" bestFit="1" customWidth="1"/>
  </cols>
  <sheetData>
    <row r="1" spans="1:43" x14ac:dyDescent="0.25">
      <c r="A1" t="s">
        <v>264</v>
      </c>
      <c r="B1" t="s">
        <v>2</v>
      </c>
      <c r="C1" t="s">
        <v>36</v>
      </c>
      <c r="D1" t="s">
        <v>37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33</v>
      </c>
      <c r="M1" t="s">
        <v>34</v>
      </c>
      <c r="N1" t="s">
        <v>10</v>
      </c>
      <c r="O1" t="s">
        <v>38</v>
      </c>
      <c r="P1" t="s">
        <v>39</v>
      </c>
      <c r="Q1" t="s">
        <v>40</v>
      </c>
      <c r="R1" t="s">
        <v>41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42</v>
      </c>
      <c r="AA1" t="s">
        <v>43</v>
      </c>
      <c r="AB1" t="s">
        <v>44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</row>
    <row r="2" spans="1:43" x14ac:dyDescent="0.25">
      <c r="A2" t="s">
        <v>265</v>
      </c>
      <c r="B2">
        <v>197387499988.84241</v>
      </c>
      <c r="C2">
        <v>19459681423.489273</v>
      </c>
      <c r="D2">
        <v>184887838438.70837</v>
      </c>
      <c r="E2">
        <v>39678399943.724739</v>
      </c>
      <c r="F2">
        <v>51848929863.654755</v>
      </c>
      <c r="G2">
        <v>263618579370.01294</v>
      </c>
      <c r="H2">
        <v>21056491576.051437</v>
      </c>
      <c r="I2">
        <v>44040117995.849388</v>
      </c>
      <c r="J2">
        <v>84707567036.140884</v>
      </c>
      <c r="K2">
        <v>137807824916.40781</v>
      </c>
      <c r="L2">
        <v>269740517492.50156</v>
      </c>
      <c r="M2">
        <v>135756320056.79083</v>
      </c>
      <c r="N2">
        <v>74268249042.841782</v>
      </c>
      <c r="O2">
        <v>10908275227.808475</v>
      </c>
      <c r="P2">
        <v>45826925891.771736</v>
      </c>
      <c r="Q2">
        <v>42096267746.311668</v>
      </c>
      <c r="R2">
        <v>19343937813.325214</v>
      </c>
      <c r="S2">
        <v>139455616199.48419</v>
      </c>
      <c r="T2">
        <v>219415976020.83588</v>
      </c>
      <c r="U2">
        <v>58678438115.458298</v>
      </c>
      <c r="V2">
        <v>152693049083.64651</v>
      </c>
      <c r="W2">
        <v>136029517375.48972</v>
      </c>
      <c r="X2">
        <v>144428985460.12131</v>
      </c>
      <c r="Y2">
        <v>134672516116.35497</v>
      </c>
      <c r="Z2">
        <v>259988988784.69992</v>
      </c>
      <c r="AA2">
        <v>61106673849.506378</v>
      </c>
      <c r="AB2">
        <v>76303988140.924393</v>
      </c>
      <c r="AC2">
        <v>955444618038.8855</v>
      </c>
      <c r="AD2">
        <v>2695697335690.458</v>
      </c>
      <c r="AE2">
        <v>722622136536.50574</v>
      </c>
      <c r="AF2">
        <v>702899927839.35669</v>
      </c>
      <c r="AG2">
        <v>502077832785.89508</v>
      </c>
      <c r="AH2">
        <v>276414380151.12201</v>
      </c>
      <c r="AI2">
        <v>769466956667.27222</v>
      </c>
      <c r="AJ2">
        <v>1631554224311.3398</v>
      </c>
      <c r="AK2">
        <v>2966016422635.1572</v>
      </c>
      <c r="AL2">
        <v>2342317857718.9507</v>
      </c>
      <c r="AM2">
        <v>2412645470985.5938</v>
      </c>
      <c r="AN2">
        <v>245034500062.16345</v>
      </c>
      <c r="AO2">
        <v>1617081317209.0825</v>
      </c>
      <c r="AP2">
        <v>567715459947.34875</v>
      </c>
      <c r="AQ2">
        <v>11489044573.283243</v>
      </c>
    </row>
  </sheetData>
  <conditionalFormatting sqref="B4:AQ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FAF25-ECAC-4472-9089-144EADE28E6C}">
  <dimension ref="A1:B28"/>
  <sheetViews>
    <sheetView workbookViewId="0">
      <selection activeCell="A2" sqref="A2:B4"/>
    </sheetView>
  </sheetViews>
  <sheetFormatPr defaultRowHeight="15" x14ac:dyDescent="0.25"/>
  <cols>
    <col min="2" max="2" width="21.28515625" customWidth="1"/>
  </cols>
  <sheetData>
    <row r="1" spans="1:2" x14ac:dyDescent="0.25">
      <c r="B1" s="12" t="s">
        <v>124</v>
      </c>
    </row>
    <row r="2" spans="1:2" x14ac:dyDescent="0.25">
      <c r="A2">
        <v>2024</v>
      </c>
      <c r="B2">
        <v>21444000000000</v>
      </c>
    </row>
    <row r="3" spans="1:2" x14ac:dyDescent="0.25">
      <c r="A3">
        <v>2025</v>
      </c>
      <c r="B3">
        <v>21910000000000</v>
      </c>
    </row>
    <row r="4" spans="1:2" x14ac:dyDescent="0.25">
      <c r="A4">
        <v>2026</v>
      </c>
      <c r="B4">
        <v>22418000000000</v>
      </c>
    </row>
    <row r="5" spans="1:2" x14ac:dyDescent="0.25">
      <c r="A5">
        <v>2027</v>
      </c>
      <c r="B5">
        <v>22889000000000</v>
      </c>
    </row>
    <row r="6" spans="1:2" x14ac:dyDescent="0.25">
      <c r="A6">
        <v>2028</v>
      </c>
      <c r="B6">
        <v>23312000000000</v>
      </c>
    </row>
    <row r="7" spans="1:2" x14ac:dyDescent="0.25">
      <c r="A7">
        <v>2029</v>
      </c>
      <c r="B7">
        <v>23759000000000</v>
      </c>
    </row>
    <row r="8" spans="1:2" x14ac:dyDescent="0.25">
      <c r="A8">
        <v>2030</v>
      </c>
      <c r="B8">
        <v>24191000000000</v>
      </c>
    </row>
    <row r="9" spans="1:2" x14ac:dyDescent="0.25">
      <c r="A9">
        <v>2031</v>
      </c>
      <c r="B9">
        <v>24584000000000</v>
      </c>
    </row>
    <row r="10" spans="1:2" x14ac:dyDescent="0.25">
      <c r="A10">
        <v>2032</v>
      </c>
      <c r="B10">
        <v>25001000000000</v>
      </c>
    </row>
    <row r="11" spans="1:2" x14ac:dyDescent="0.25">
      <c r="A11">
        <v>2033</v>
      </c>
      <c r="B11">
        <v>25428000000000</v>
      </c>
    </row>
    <row r="12" spans="1:2" x14ac:dyDescent="0.25">
      <c r="A12">
        <v>2034</v>
      </c>
      <c r="B12">
        <v>25858000000000</v>
      </c>
    </row>
    <row r="13" spans="1:2" x14ac:dyDescent="0.25">
      <c r="A13">
        <v>2035</v>
      </c>
      <c r="B13">
        <v>26308000000000</v>
      </c>
    </row>
    <row r="14" spans="1:2" x14ac:dyDescent="0.25">
      <c r="A14">
        <v>2036</v>
      </c>
      <c r="B14">
        <v>26758000000000</v>
      </c>
    </row>
    <row r="15" spans="1:2" x14ac:dyDescent="0.25">
      <c r="A15">
        <v>2037</v>
      </c>
      <c r="B15">
        <v>27221000000000</v>
      </c>
    </row>
    <row r="16" spans="1:2" x14ac:dyDescent="0.25">
      <c r="A16">
        <v>2038</v>
      </c>
      <c r="B16">
        <v>27688000000000</v>
      </c>
    </row>
    <row r="17" spans="1:2" x14ac:dyDescent="0.25">
      <c r="A17">
        <v>2039</v>
      </c>
      <c r="B17">
        <v>28167000000000</v>
      </c>
    </row>
    <row r="18" spans="1:2" x14ac:dyDescent="0.25">
      <c r="A18">
        <v>2040</v>
      </c>
      <c r="B18">
        <v>28662000000000</v>
      </c>
    </row>
    <row r="19" spans="1:2" x14ac:dyDescent="0.25">
      <c r="A19">
        <v>2041</v>
      </c>
      <c r="B19">
        <v>29139000000000</v>
      </c>
    </row>
    <row r="20" spans="1:2" x14ac:dyDescent="0.25">
      <c r="A20">
        <v>2042</v>
      </c>
      <c r="B20">
        <v>29638000000000</v>
      </c>
    </row>
    <row r="21" spans="1:2" x14ac:dyDescent="0.25">
      <c r="A21">
        <v>2043</v>
      </c>
      <c r="B21">
        <v>30135000000000</v>
      </c>
    </row>
    <row r="22" spans="1:2" x14ac:dyDescent="0.25">
      <c r="A22">
        <v>2044</v>
      </c>
      <c r="B22">
        <v>30633000000000</v>
      </c>
    </row>
    <row r="23" spans="1:2" x14ac:dyDescent="0.25">
      <c r="A23">
        <v>2045</v>
      </c>
      <c r="B23">
        <v>31130000000000</v>
      </c>
    </row>
    <row r="24" spans="1:2" x14ac:dyDescent="0.25">
      <c r="A24">
        <v>2046</v>
      </c>
      <c r="B24">
        <v>31644000000000</v>
      </c>
    </row>
    <row r="25" spans="1:2" x14ac:dyDescent="0.25">
      <c r="A25">
        <v>2047</v>
      </c>
      <c r="B25">
        <v>32163000000000</v>
      </c>
    </row>
    <row r="26" spans="1:2" x14ac:dyDescent="0.25">
      <c r="A26">
        <v>2048</v>
      </c>
      <c r="B26">
        <v>32684000000000</v>
      </c>
    </row>
    <row r="27" spans="1:2" x14ac:dyDescent="0.25">
      <c r="A27">
        <v>2049</v>
      </c>
      <c r="B27">
        <v>33221000000000</v>
      </c>
    </row>
    <row r="28" spans="1:2" x14ac:dyDescent="0.25">
      <c r="A28">
        <v>2050</v>
      </c>
      <c r="B28">
        <v>33760000000000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40DE-D938-418A-BFDB-C126531E643B}">
  <sheetPr>
    <tabColor theme="5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FE70-F863-4AE1-83A0-BF9DD1AEC782}">
  <sheetPr>
    <tabColor rgb="FF92D050"/>
  </sheetPr>
  <dimension ref="A1:AF189"/>
  <sheetViews>
    <sheetView zoomScale="80" zoomScaleNormal="80" workbookViewId="0">
      <selection activeCell="D53" sqref="D53"/>
    </sheetView>
  </sheetViews>
  <sheetFormatPr defaultRowHeight="15" x14ac:dyDescent="0.25"/>
  <cols>
    <col min="1" max="1" width="35" customWidth="1"/>
    <col min="2" max="2" width="31.7109375" customWidth="1"/>
    <col min="3" max="3" width="14.7109375" customWidth="1"/>
    <col min="4" max="4" width="17.28515625" customWidth="1"/>
    <col min="5" max="5" width="12" bestFit="1" customWidth="1"/>
    <col min="6" max="6" width="11.7109375" customWidth="1"/>
    <col min="7" max="7" width="13.85546875" customWidth="1"/>
    <col min="8" max="32" width="12" bestFit="1" customWidth="1"/>
  </cols>
  <sheetData>
    <row r="1" spans="1:29" x14ac:dyDescent="0.25">
      <c r="A1" t="s">
        <v>102</v>
      </c>
    </row>
    <row r="2" spans="1:29" x14ac:dyDescent="0.25">
      <c r="A2" t="s">
        <v>103</v>
      </c>
    </row>
    <row r="4" spans="1:29" s="6" customFormat="1" x14ac:dyDescent="0.25">
      <c r="C4" s="21">
        <v>2024</v>
      </c>
      <c r="D4" s="21">
        <v>2025</v>
      </c>
      <c r="E4" s="21">
        <v>2026</v>
      </c>
      <c r="F4" s="21">
        <v>2027</v>
      </c>
      <c r="G4" s="21">
        <v>2028</v>
      </c>
      <c r="H4" s="21">
        <v>2029</v>
      </c>
      <c r="I4" s="21">
        <v>2030</v>
      </c>
      <c r="J4" s="21">
        <v>2031</v>
      </c>
      <c r="K4" s="21">
        <v>2032</v>
      </c>
      <c r="L4" s="21">
        <v>2033</v>
      </c>
      <c r="M4" s="21">
        <v>2034</v>
      </c>
      <c r="N4" s="21">
        <v>2035</v>
      </c>
      <c r="O4" s="21">
        <v>2036</v>
      </c>
      <c r="P4" s="21">
        <v>2037</v>
      </c>
      <c r="Q4" s="21">
        <v>2038</v>
      </c>
      <c r="R4" s="21">
        <v>2039</v>
      </c>
      <c r="S4" s="21">
        <v>2040</v>
      </c>
      <c r="T4" s="21">
        <v>2041</v>
      </c>
      <c r="U4" s="21">
        <v>2042</v>
      </c>
      <c r="V4" s="21">
        <v>2043</v>
      </c>
      <c r="W4" s="21">
        <v>2044</v>
      </c>
      <c r="X4" s="21">
        <v>2045</v>
      </c>
      <c r="Y4" s="21">
        <v>2046</v>
      </c>
      <c r="Z4" s="21">
        <v>2047</v>
      </c>
      <c r="AA4" s="21">
        <v>2048</v>
      </c>
      <c r="AB4" s="21">
        <v>2049</v>
      </c>
      <c r="AC4" s="21">
        <v>2050</v>
      </c>
    </row>
    <row r="5" spans="1:29" x14ac:dyDescent="0.25">
      <c r="A5" t="s">
        <v>127</v>
      </c>
      <c r="B5" s="1" t="s">
        <v>2</v>
      </c>
      <c r="C5">
        <f t="array" ref="C5:C46">TRANSPOSE('Data from BVAbIC'!B2:AQ2)</f>
        <v>197387499988.84241</v>
      </c>
      <c r="D5">
        <f>C5*(1+'Growth Rates'!C51)</f>
        <v>199564028244.07837</v>
      </c>
      <c r="E5">
        <f>D5*(1+'Growth Rates'!D51)</f>
        <v>202220378966.8349</v>
      </c>
      <c r="F5">
        <f>E5*(1+'Growth Rates'!E51)</f>
        <v>204870312714.55023</v>
      </c>
      <c r="G5">
        <f>F5*(1+'Growth Rates'!F51)</f>
        <v>207165656297.85782</v>
      </c>
      <c r="H5">
        <f>G5*(1+'Growth Rates'!G51)</f>
        <v>210197591833.45425</v>
      </c>
      <c r="I5">
        <f>H5*(1+'Growth Rates'!H51)</f>
        <v>213009180454.38248</v>
      </c>
      <c r="J5">
        <f>I5*(1+'Growth Rates'!I51)</f>
        <v>215240465651.11987</v>
      </c>
      <c r="K5">
        <f>J5*(1+'Growth Rates'!J51)</f>
        <v>217441231294.01639</v>
      </c>
      <c r="L5">
        <f>K5*(1+'Growth Rates'!K51)</f>
        <v>219534159739.11667</v>
      </c>
      <c r="M5">
        <f>L5*(1+'Growth Rates'!L51)</f>
        <v>222203031201.15118</v>
      </c>
      <c r="N5">
        <f>M5*(1+'Growth Rates'!M51)</f>
        <v>224976475508.37628</v>
      </c>
      <c r="O5">
        <f>N5*(1+'Growth Rates'!N51)</f>
        <v>228287606788.66251</v>
      </c>
      <c r="P5">
        <f>O5*(1+'Growth Rates'!O51)</f>
        <v>230950754735.36658</v>
      </c>
      <c r="Q5">
        <f>P5*(1+'Growth Rates'!P51)</f>
        <v>233233935115.94009</v>
      </c>
      <c r="R5">
        <f>Q5*(1+'Growth Rates'!Q51)</f>
        <v>235728317754.67935</v>
      </c>
      <c r="S5">
        <f>R5*(1+'Growth Rates'!R51)</f>
        <v>238001391866.63174</v>
      </c>
      <c r="T5">
        <f>S5*(1+'Growth Rates'!S51)</f>
        <v>239698947536.29587</v>
      </c>
      <c r="U5">
        <f>T5*(1+'Growth Rates'!T51)</f>
        <v>241697409404.82663</v>
      </c>
      <c r="V5">
        <f>U5*(1+'Growth Rates'!U51)</f>
        <v>243712238094.78177</v>
      </c>
      <c r="W5">
        <f>V5*(1+'Growth Rates'!V51)</f>
        <v>245932254662.80179</v>
      </c>
      <c r="X5">
        <f>W5*(1+'Growth Rates'!W51)</f>
        <v>248722378635.92722</v>
      </c>
      <c r="Y5">
        <f>X5*(1+'Growth Rates'!X51)</f>
        <v>251603570390.4841</v>
      </c>
      <c r="Z5">
        <f>Y5*(1+'Growth Rates'!Y51)</f>
        <v>254457685712.07767</v>
      </c>
      <c r="AA5">
        <f>Z5*(1+'Growth Rates'!Z51)</f>
        <v>257265585039.42596</v>
      </c>
      <c r="AB5">
        <f>AA5*(1+'Growth Rates'!AA51)</f>
        <v>260186888657.66293</v>
      </c>
      <c r="AC5">
        <f>AB5*(1+'Growth Rates'!AB51)</f>
        <v>263029265717.49683</v>
      </c>
    </row>
    <row r="6" spans="1:29" x14ac:dyDescent="0.25">
      <c r="A6" t="s">
        <v>127</v>
      </c>
      <c r="B6" s="1" t="s">
        <v>36</v>
      </c>
      <c r="C6">
        <v>19459681423.489273</v>
      </c>
      <c r="D6">
        <f>C6*(1+'Growth Rates'!C52)</f>
        <v>21079067346.597446</v>
      </c>
      <c r="E6">
        <f>D6*(1+'Growth Rates'!D52)</f>
        <v>21267967755.371658</v>
      </c>
      <c r="F6">
        <f>E6*(1+'Growth Rates'!E52)</f>
        <v>21415736656.670372</v>
      </c>
      <c r="G6">
        <f>F6*(1+'Growth Rates'!F52)</f>
        <v>21679556272.987343</v>
      </c>
      <c r="H6">
        <f>G6*(1+'Growth Rates'!G52)</f>
        <v>21884491830.583118</v>
      </c>
      <c r="I6">
        <f>H6*(1+'Growth Rates'!H52)</f>
        <v>22063190968.545013</v>
      </c>
      <c r="J6">
        <f>I6*(1+'Growth Rates'!I52)</f>
        <v>21975502487.881382</v>
      </c>
      <c r="K6">
        <f>J6*(1+'Growth Rates'!J52)</f>
        <v>22200446638.638939</v>
      </c>
      <c r="L6">
        <f>K6*(1+'Growth Rates'!K52)</f>
        <v>22206301435.198277</v>
      </c>
      <c r="M6">
        <f>L6*(1+'Growth Rates'!L52)</f>
        <v>22229899114.1017</v>
      </c>
      <c r="N6">
        <f>M6*(1+'Growth Rates'!M52)</f>
        <v>22115564141.723373</v>
      </c>
      <c r="O6">
        <f>N6*(1+'Growth Rates'!N52)</f>
        <v>21960740894.11195</v>
      </c>
      <c r="P6">
        <f>O6*(1+'Growth Rates'!O52)</f>
        <v>21729007672.710278</v>
      </c>
      <c r="Q6">
        <f>P6*(1+'Growth Rates'!P52)</f>
        <v>21618885706.858536</v>
      </c>
      <c r="R6">
        <f>Q6*(1+'Growth Rates'!Q52)</f>
        <v>21477381674.199966</v>
      </c>
      <c r="S6">
        <f>R6*(1+'Growth Rates'!R52)</f>
        <v>21529841683.072395</v>
      </c>
      <c r="T6">
        <f>S6*(1+'Growth Rates'!S52)</f>
        <v>21608263140.662712</v>
      </c>
      <c r="U6">
        <f>T6*(1+'Growth Rates'!T52)</f>
        <v>21706815409.492737</v>
      </c>
      <c r="V6">
        <f>U6*(1+'Growth Rates'!U52)</f>
        <v>21703049438.177662</v>
      </c>
      <c r="W6">
        <f>V6*(1+'Growth Rates'!V52)</f>
        <v>21753214782.219109</v>
      </c>
      <c r="X6">
        <f>W6*(1+'Growth Rates'!W52)</f>
        <v>21816717071.924004</v>
      </c>
      <c r="Y6">
        <f>X6*(1+'Growth Rates'!X52)</f>
        <v>21981100017.889545</v>
      </c>
      <c r="Z6">
        <f>Y6*(1+'Growth Rates'!Y52)</f>
        <v>22001865973.216892</v>
      </c>
      <c r="AA6">
        <f>Z6*(1+'Growth Rates'!Z52)</f>
        <v>21990736856.69035</v>
      </c>
      <c r="AB6">
        <f>AA6*(1+'Growth Rates'!AA52)</f>
        <v>22046311595.51804</v>
      </c>
      <c r="AC6">
        <f>AB6*(1+'Growth Rates'!AB52)</f>
        <v>22114919328.734116</v>
      </c>
    </row>
    <row r="7" spans="1:29" x14ac:dyDescent="0.25">
      <c r="A7" t="s">
        <v>127</v>
      </c>
      <c r="B7" s="1" t="s">
        <v>37</v>
      </c>
      <c r="C7">
        <v>184887838438.70837</v>
      </c>
      <c r="D7">
        <f>C7*(1+'Growth Rates'!C53)</f>
        <v>200273741034.22256</v>
      </c>
      <c r="E7">
        <f>D7*(1+'Growth Rates'!D53)</f>
        <v>202068497458.97549</v>
      </c>
      <c r="F7">
        <f>E7*(1+'Growth Rates'!E53)</f>
        <v>203472460460.99072</v>
      </c>
      <c r="G7">
        <f>F7*(1+'Growth Rates'!F53)</f>
        <v>205979029686.71796</v>
      </c>
      <c r="H7">
        <f>G7*(1+'Growth Rates'!G53)</f>
        <v>207926137218.36429</v>
      </c>
      <c r="I7">
        <f>H7*(1+'Growth Rates'!H53)</f>
        <v>209623970632.46912</v>
      </c>
      <c r="J7">
        <f>I7*(1+'Growth Rates'!I53)</f>
        <v>208790836045.47101</v>
      </c>
      <c r="K7">
        <f>J7*(1+'Growth Rates'!J53)</f>
        <v>210928046665.6199</v>
      </c>
      <c r="L7">
        <f>K7*(1+'Growth Rates'!K53)</f>
        <v>210983673510.52023</v>
      </c>
      <c r="M7">
        <f>L7*(1+'Growth Rates'!L53)</f>
        <v>211207876761.83133</v>
      </c>
      <c r="N7">
        <f>M7*(1+'Growth Rates'!M53)</f>
        <v>210121571932.83954</v>
      </c>
      <c r="O7">
        <f>N7*(1+'Growth Rates'!N53)</f>
        <v>208650585077.09457</v>
      </c>
      <c r="P7">
        <f>O7*(1+'Growth Rates'!O53)</f>
        <v>206448871006.49951</v>
      </c>
      <c r="Q7">
        <f>P7*(1+'Growth Rates'!P53)</f>
        <v>205402594256.74896</v>
      </c>
      <c r="R7">
        <f>Q7*(1+'Growth Rates'!Q53)</f>
        <v>204058154224.08618</v>
      </c>
      <c r="S7">
        <f>R7*(1+'Growth Rates'!R53)</f>
        <v>204556580556.65662</v>
      </c>
      <c r="T7">
        <f>S7*(1+'Growth Rates'!S53)</f>
        <v>205301668488.23935</v>
      </c>
      <c r="U7">
        <f>T7*(1+'Growth Rates'!T53)</f>
        <v>206238020711.1087</v>
      </c>
      <c r="V7">
        <f>U7*(1+'Growth Rates'!U53)</f>
        <v>206202239945.6936</v>
      </c>
      <c r="W7">
        <f>V7*(1+'Growth Rates'!V53)</f>
        <v>206678864502.00119</v>
      </c>
      <c r="X7">
        <f>W7*(1+'Growth Rates'!W53)</f>
        <v>207282204342.15268</v>
      </c>
      <c r="Y7">
        <f>X7*(1+'Growth Rates'!X53)</f>
        <v>208844018582.29074</v>
      </c>
      <c r="Z7">
        <f>Y7*(1+'Growth Rates'!Y53)</f>
        <v>209041317423.41943</v>
      </c>
      <c r="AA7">
        <f>Z7*(1+'Growth Rates'!Z53)</f>
        <v>208935578883.63834</v>
      </c>
      <c r="AB7">
        <f>AA7*(1+'Growth Rates'!AA53)</f>
        <v>209463598490.43643</v>
      </c>
      <c r="AC7">
        <f>AB7*(1+'Growth Rates'!AB53)</f>
        <v>210115445518.06497</v>
      </c>
    </row>
    <row r="8" spans="1:29" x14ac:dyDescent="0.25">
      <c r="A8" t="s">
        <v>127</v>
      </c>
      <c r="B8" s="1" t="s">
        <v>3</v>
      </c>
      <c r="C8">
        <v>39678399943.724739</v>
      </c>
      <c r="D8">
        <f>C8*(1+'Growth Rates'!C54)</f>
        <v>42980336955.02462</v>
      </c>
      <c r="E8">
        <f>D8*(1+'Growth Rates'!D54)</f>
        <v>43365505951.667542</v>
      </c>
      <c r="F8">
        <f>E8*(1+'Growth Rates'!E54)</f>
        <v>43666807573.075272</v>
      </c>
      <c r="G8">
        <f>F8*(1+'Growth Rates'!F54)</f>
        <v>44204737255.55143</v>
      </c>
      <c r="H8">
        <f>G8*(1+'Growth Rates'!G54)</f>
        <v>44622602010.889099</v>
      </c>
      <c r="I8">
        <f>H8*(1+'Growth Rates'!H54)</f>
        <v>44986970558.931831</v>
      </c>
      <c r="J8">
        <f>I8*(1+'Growth Rates'!I54)</f>
        <v>44808173253.338257</v>
      </c>
      <c r="K8">
        <f>J8*(1+'Growth Rates'!J54)</f>
        <v>45266835642.743362</v>
      </c>
      <c r="L8">
        <f>K8*(1+'Growth Rates'!K54)</f>
        <v>45278773605.879288</v>
      </c>
      <c r="M8">
        <f>L8*(1+'Growth Rates'!L54)</f>
        <v>45326889405.973701</v>
      </c>
      <c r="N8">
        <f>M8*(1+'Growth Rates'!M54)</f>
        <v>45093759753.804482</v>
      </c>
      <c r="O8">
        <f>N8*(1+'Growth Rates'!N54)</f>
        <v>44778074280.5625</v>
      </c>
      <c r="P8">
        <f>O8*(1+'Growth Rates'!O54)</f>
        <v>44305568937.904396</v>
      </c>
      <c r="Q8">
        <f>P8*(1+'Growth Rates'!P54)</f>
        <v>44081029629.754143</v>
      </c>
      <c r="R8">
        <f>Q8*(1+'Growth Rates'!Q54)</f>
        <v>43792502110.763039</v>
      </c>
      <c r="S8">
        <f>R8*(1+'Growth Rates'!R54)</f>
        <v>43899468364.10463</v>
      </c>
      <c r="T8">
        <f>S8*(1+'Growth Rates'!S54)</f>
        <v>44059370157.495888</v>
      </c>
      <c r="U8">
        <f>T8*(1+'Growth Rates'!T54)</f>
        <v>44260318788.303329</v>
      </c>
      <c r="V8">
        <f>U8*(1+'Growth Rates'!U54)</f>
        <v>44252639951.596588</v>
      </c>
      <c r="W8">
        <f>V8*(1+'Growth Rates'!V54)</f>
        <v>44354927370.433182</v>
      </c>
      <c r="X8">
        <f>W8*(1+'Growth Rates'!W54)</f>
        <v>44484408896.539345</v>
      </c>
      <c r="Y8">
        <f>X8*(1+'Growth Rates'!X54)</f>
        <v>44819586648.528404</v>
      </c>
      <c r="Z8">
        <f>Y8*(1+'Growth Rates'!Y54)</f>
        <v>44861928548.31395</v>
      </c>
      <c r="AA8">
        <f>Z8*(1+'Growth Rates'!Z54)</f>
        <v>44839236217.080437</v>
      </c>
      <c r="AB8">
        <f>AA8*(1+'Growth Rates'!AA54)</f>
        <v>44952553422.330841</v>
      </c>
      <c r="AC8">
        <f>AB8*(1+'Growth Rates'!AB54)</f>
        <v>45092444976.490295</v>
      </c>
    </row>
    <row r="9" spans="1:29" x14ac:dyDescent="0.25">
      <c r="B9" s="1" t="s">
        <v>4</v>
      </c>
      <c r="C9">
        <v>51848929863.654755</v>
      </c>
      <c r="D9">
        <f>C9*(1+'Growth Rates'!C55)</f>
        <v>51589685214.336479</v>
      </c>
      <c r="E9">
        <f>D9*(1+'Growth Rates'!D55)</f>
        <v>51331736788.264793</v>
      </c>
      <c r="F9">
        <f>E9*(1+'Growth Rates'!E55)</f>
        <v>51075078104.323471</v>
      </c>
      <c r="G9">
        <f>F9*(1+'Growth Rates'!F55)</f>
        <v>50819702713.801857</v>
      </c>
      <c r="H9">
        <f>G9*(1+'Growth Rates'!G55)</f>
        <v>50565604200.232849</v>
      </c>
      <c r="I9">
        <f>H9*(1+'Growth Rates'!H55)</f>
        <v>50312776179.231682</v>
      </c>
      <c r="J9">
        <f>I9*(1+'Growth Rates'!I55)</f>
        <v>50061212298.335526</v>
      </c>
      <c r="K9">
        <f>J9*(1+'Growth Rates'!J55)</f>
        <v>49810906236.843849</v>
      </c>
      <c r="L9">
        <f>K9*(1+'Growth Rates'!K55)</f>
        <v>49561851705.65963</v>
      </c>
      <c r="M9">
        <f>L9*(1+'Growth Rates'!L55)</f>
        <v>49314042447.131332</v>
      </c>
      <c r="N9">
        <f>M9*(1+'Growth Rates'!M55)</f>
        <v>49067472234.895676</v>
      </c>
      <c r="O9">
        <f>N9*(1+'Growth Rates'!N55)</f>
        <v>48822134873.721199</v>
      </c>
      <c r="P9">
        <f>O9*(1+'Growth Rates'!O55)</f>
        <v>48578024199.352592</v>
      </c>
      <c r="Q9">
        <f>P9*(1+'Growth Rates'!P55)</f>
        <v>48335134078.355827</v>
      </c>
      <c r="R9">
        <f>Q9*(1+'Growth Rates'!Q55)</f>
        <v>48093458407.96405</v>
      </c>
      <c r="S9">
        <f>R9*(1+'Growth Rates'!R55)</f>
        <v>47852991115.924232</v>
      </c>
      <c r="T9">
        <f>S9*(1+'Growth Rates'!S55)</f>
        <v>47613726160.344612</v>
      </c>
      <c r="U9">
        <f>T9*(1+'Growth Rates'!T55)</f>
        <v>47375657529.542892</v>
      </c>
      <c r="V9">
        <f>U9*(1+'Growth Rates'!U55)</f>
        <v>47138779241.89518</v>
      </c>
      <c r="W9">
        <f>V9*(1+'Growth Rates'!V55)</f>
        <v>46903085345.685707</v>
      </c>
      <c r="X9">
        <f>W9*(1+'Growth Rates'!W55)</f>
        <v>46668569918.957275</v>
      </c>
      <c r="Y9">
        <f>X9*(1+'Growth Rates'!X55)</f>
        <v>46435227069.362488</v>
      </c>
      <c r="Z9">
        <f>Y9*(1+'Growth Rates'!Y55)</f>
        <v>46203050934.015678</v>
      </c>
      <c r="AA9">
        <f>Z9*(1+'Growth Rates'!Z55)</f>
        <v>45972035679.345596</v>
      </c>
      <c r="AB9">
        <f>AA9*(1+'Growth Rates'!AA55)</f>
        <v>45742175500.948868</v>
      </c>
      <c r="AC9">
        <f>AB9*(1+'Growth Rates'!AB55)</f>
        <v>45513464623.444122</v>
      </c>
    </row>
    <row r="10" spans="1:29" x14ac:dyDescent="0.25">
      <c r="A10" t="s">
        <v>127</v>
      </c>
      <c r="B10" s="1" t="s">
        <v>5</v>
      </c>
      <c r="C10">
        <v>263618579370.01294</v>
      </c>
      <c r="D10">
        <f>C10*(1+'Growth Rates'!C56)</f>
        <v>264340317563.37009</v>
      </c>
      <c r="E10">
        <f>D10*(1+'Growth Rates'!D56)</f>
        <v>264943614544.22418</v>
      </c>
      <c r="F10">
        <f>E10*(1+'Growth Rates'!E56)</f>
        <v>267030380064.1843</v>
      </c>
      <c r="G10">
        <f>F10*(1+'Growth Rates'!F56)</f>
        <v>268736831195.00296</v>
      </c>
      <c r="H10">
        <f>G10*(1+'Growth Rates'!G56)</f>
        <v>270846217153.88873</v>
      </c>
      <c r="I10">
        <f>H10*(1+'Growth Rates'!H56)</f>
        <v>272978773788.20642</v>
      </c>
      <c r="J10">
        <f>I10*(1+'Growth Rates'!I56)</f>
        <v>274931217027.88898</v>
      </c>
      <c r="K10">
        <f>J10*(1+'Growth Rates'!J56)</f>
        <v>276964713579.82904</v>
      </c>
      <c r="L10">
        <f>K10*(1+'Growth Rates'!K56)</f>
        <v>278944043438.25092</v>
      </c>
      <c r="M10">
        <f>L10*(1+'Growth Rates'!L56)</f>
        <v>281023982578.00525</v>
      </c>
      <c r="N10">
        <f>M10*(1+'Growth Rates'!M56)</f>
        <v>282942507608.70813</v>
      </c>
      <c r="O10">
        <f>N10*(1+'Growth Rates'!N56)</f>
        <v>285477681679.57269</v>
      </c>
      <c r="P10">
        <f>O10*(1+'Growth Rates'!O56)</f>
        <v>287803399783.36835</v>
      </c>
      <c r="Q10">
        <f>P10*(1+'Growth Rates'!P56)</f>
        <v>290038319560.78119</v>
      </c>
      <c r="R10">
        <f>Q10*(1+'Growth Rates'!Q56)</f>
        <v>292404910852.05072</v>
      </c>
      <c r="S10">
        <f>R10*(1+'Growth Rates'!R56)</f>
        <v>294753432442.12292</v>
      </c>
      <c r="T10">
        <f>S10*(1+'Growth Rates'!S56)</f>
        <v>297111631737.42902</v>
      </c>
      <c r="U10">
        <f>T10*(1+'Growth Rates'!T56)</f>
        <v>299515885910.39038</v>
      </c>
      <c r="V10">
        <f>U10*(1+'Growth Rates'!U56)</f>
        <v>301812854909.17236</v>
      </c>
      <c r="W10">
        <f>V10*(1+'Growth Rates'!V56)</f>
        <v>304116415801.49384</v>
      </c>
      <c r="X10">
        <f>W10*(1+'Growth Rates'!W56)</f>
        <v>306357906951.44281</v>
      </c>
      <c r="Y10">
        <f>X10*(1+'Growth Rates'!X56)</f>
        <v>308662591300.30066</v>
      </c>
      <c r="Z10">
        <f>Y10*(1+'Growth Rates'!Y56)</f>
        <v>311001566793.17444</v>
      </c>
      <c r="AA10">
        <f>Z10*(1+'Growth Rates'!Z56)</f>
        <v>313354232531.49292</v>
      </c>
      <c r="AB10">
        <f>AA10*(1+'Growth Rates'!AA56)</f>
        <v>315819397694.16455</v>
      </c>
      <c r="AC10">
        <f>AB10*(1+'Growth Rates'!AB56)</f>
        <v>318229010311.55072</v>
      </c>
    </row>
    <row r="11" spans="1:29" x14ac:dyDescent="0.25">
      <c r="A11" t="s">
        <v>127</v>
      </c>
      <c r="B11" s="1" t="s">
        <v>6</v>
      </c>
      <c r="C11">
        <v>21056491576.051437</v>
      </c>
      <c r="D11">
        <f>C11*(1+'Growth Rates'!C57)</f>
        <v>21199657136.952614</v>
      </c>
      <c r="E11">
        <f>D11*(1+'Growth Rates'!D57)</f>
        <v>20995967336.983734</v>
      </c>
      <c r="F11">
        <f>E11*(1+'Growth Rates'!E57)</f>
        <v>21003955141.040623</v>
      </c>
      <c r="G11">
        <f>F11*(1+'Growth Rates'!F57)</f>
        <v>20657807088.415401</v>
      </c>
      <c r="H11">
        <f>G11*(1+'Growth Rates'!G57)</f>
        <v>20444012338.764896</v>
      </c>
      <c r="I11">
        <f>H11*(1+'Growth Rates'!H57)</f>
        <v>20296636700.770351</v>
      </c>
      <c r="J11">
        <f>I11*(1+'Growth Rates'!I57)</f>
        <v>20122603825.735744</v>
      </c>
      <c r="K11">
        <f>J11*(1+'Growth Rates'!J57)</f>
        <v>19885594072.503368</v>
      </c>
      <c r="L11">
        <f>K11*(1+'Growth Rates'!K57)</f>
        <v>19666990264.002609</v>
      </c>
      <c r="M11">
        <f>L11*(1+'Growth Rates'!L57)</f>
        <v>19536929977.891899</v>
      </c>
      <c r="N11">
        <f>M11*(1+'Growth Rates'!M57)</f>
        <v>19297466629.707508</v>
      </c>
      <c r="O11">
        <f>N11*(1+'Growth Rates'!N57)</f>
        <v>19062724723.361053</v>
      </c>
      <c r="P11">
        <f>O11*(1+'Growth Rates'!O57)</f>
        <v>18967434691.023071</v>
      </c>
      <c r="Q11">
        <f>P11*(1+'Growth Rates'!P57)</f>
        <v>18845250059.193489</v>
      </c>
      <c r="R11">
        <f>Q11*(1+'Growth Rates'!Q57)</f>
        <v>18766111187.601219</v>
      </c>
      <c r="S11">
        <f>R11*(1+'Growth Rates'!R57)</f>
        <v>18731377892.277321</v>
      </c>
      <c r="T11">
        <f>S11*(1+'Growth Rates'!S57)</f>
        <v>18659278330.757759</v>
      </c>
      <c r="U11">
        <f>T11*(1+'Growth Rates'!T57)</f>
        <v>18589333829.13372</v>
      </c>
      <c r="V11">
        <f>U11*(1+'Growth Rates'!U57)</f>
        <v>18472135083.215599</v>
      </c>
      <c r="W11">
        <f>V11*(1+'Growth Rates'!V57)</f>
        <v>18362236905.370529</v>
      </c>
      <c r="X11">
        <f>W11*(1+'Growth Rates'!W57)</f>
        <v>18239426528.769394</v>
      </c>
      <c r="Y11">
        <f>X11*(1+'Growth Rates'!X57)</f>
        <v>18139340500.481178</v>
      </c>
      <c r="Z11">
        <f>Y11*(1+'Growth Rates'!Y57)</f>
        <v>18072758899.093288</v>
      </c>
      <c r="AA11">
        <f>Z11*(1+'Growth Rates'!Z57)</f>
        <v>17990109930.684189</v>
      </c>
      <c r="AB11">
        <f>AA11*(1+'Growth Rates'!AA57)</f>
        <v>17917217036.944065</v>
      </c>
      <c r="AC11">
        <f>AB11*(1+'Growth Rates'!AB57)</f>
        <v>17806058448.550991</v>
      </c>
    </row>
    <row r="12" spans="1:29" x14ac:dyDescent="0.25">
      <c r="A12" t="s">
        <v>127</v>
      </c>
      <c r="B12" s="1" t="s">
        <v>7</v>
      </c>
      <c r="C12">
        <v>44040117995.849388</v>
      </c>
      <c r="D12">
        <f>C12*(1+'Growth Rates'!C58)</f>
        <v>44323668397.090584</v>
      </c>
      <c r="E12">
        <f>D12*(1+'Growth Rates'!D58)</f>
        <v>45218700682.808327</v>
      </c>
      <c r="F12">
        <f>E12*(1+'Growth Rates'!E58)</f>
        <v>45758545130.807228</v>
      </c>
      <c r="G12">
        <f>F12*(1+'Growth Rates'!F58)</f>
        <v>46537693604.520683</v>
      </c>
      <c r="H12">
        <f>G12*(1+'Growth Rates'!G58)</f>
        <v>47994661303.855591</v>
      </c>
      <c r="I12">
        <f>H12*(1+'Growth Rates'!H58)</f>
        <v>49122605547.261383</v>
      </c>
      <c r="J12">
        <f>I12*(1+'Growth Rates'!I58)</f>
        <v>49874520490.510773</v>
      </c>
      <c r="K12">
        <f>J12*(1+'Growth Rates'!J58)</f>
        <v>50378418450.515076</v>
      </c>
      <c r="L12">
        <f>K12*(1+'Growth Rates'!K58)</f>
        <v>50292983670.534103</v>
      </c>
      <c r="M12">
        <f>L12*(1+'Growth Rates'!L58)</f>
        <v>50826159924.624489</v>
      </c>
      <c r="N12">
        <f>M12*(1+'Growth Rates'!M58)</f>
        <v>51491199489.490791</v>
      </c>
      <c r="O12">
        <f>N12*(1+'Growth Rates'!N58)</f>
        <v>52955091369.775528</v>
      </c>
      <c r="P12">
        <f>O12*(1+'Growth Rates'!O58)</f>
        <v>53938518845.051758</v>
      </c>
      <c r="Q12">
        <f>P12*(1+'Growth Rates'!P58)</f>
        <v>54283149454.965126</v>
      </c>
      <c r="R12">
        <f>Q12*(1+'Growth Rates'!Q58)</f>
        <v>54688139303.054916</v>
      </c>
      <c r="S12">
        <f>R12*(1+'Growth Rates'!R58)</f>
        <v>54616266465.906395</v>
      </c>
      <c r="T12">
        <f>S12*(1+'Growth Rates'!S58)</f>
        <v>53552724444.822632</v>
      </c>
      <c r="U12">
        <f>T12*(1+'Growth Rates'!T58)</f>
        <v>52850495154.19812</v>
      </c>
      <c r="V12">
        <f>U12*(1+'Growth Rates'!U58)</f>
        <v>51536668516.410583</v>
      </c>
      <c r="W12">
        <f>V12*(1+'Growth Rates'!V58)</f>
        <v>50628105167.416069</v>
      </c>
      <c r="X12">
        <f>W12*(1+'Growth Rates'!W58)</f>
        <v>50577377665.434204</v>
      </c>
      <c r="Y12">
        <f>X12*(1+'Growth Rates'!X58)</f>
        <v>50752822322.465065</v>
      </c>
      <c r="Z12">
        <f>Y12*(1+'Growth Rates'!Y58)</f>
        <v>51303808024.648689</v>
      </c>
      <c r="AA12">
        <f>Z12*(1+'Growth Rates'!Z58)</f>
        <v>51813131388.327675</v>
      </c>
      <c r="AB12">
        <f>AA12*(1+'Growth Rates'!AA58)</f>
        <v>52463796296.258324</v>
      </c>
      <c r="AC12">
        <f>AB12*(1+'Growth Rates'!AB58)</f>
        <v>52864992881.826736</v>
      </c>
    </row>
    <row r="13" spans="1:29" x14ac:dyDescent="0.25">
      <c r="A13" t="s">
        <v>127</v>
      </c>
      <c r="B13" s="1" t="s">
        <v>8</v>
      </c>
      <c r="C13">
        <v>84707567036.140884</v>
      </c>
      <c r="D13">
        <f>C13*(1+'Growth Rates'!C59)</f>
        <v>84029551773.273865</v>
      </c>
      <c r="E13">
        <f>D13*(1+'Growth Rates'!D59)</f>
        <v>84067800382.886475</v>
      </c>
      <c r="F13">
        <f>E13*(1+'Growth Rates'!E59)</f>
        <v>82934469495.24379</v>
      </c>
      <c r="G13">
        <f>F13*(1+'Growth Rates'!F59)</f>
        <v>82117883296.189529</v>
      </c>
      <c r="H13">
        <f>G13*(1+'Growth Rates'!G59)</f>
        <v>81689027166.584076</v>
      </c>
      <c r="I13">
        <f>H13*(1+'Growth Rates'!H59)</f>
        <v>81429486927.434402</v>
      </c>
      <c r="J13">
        <f>I13*(1+'Growth Rates'!I59)</f>
        <v>81488760271.827408</v>
      </c>
      <c r="K13">
        <f>J13*(1+'Growth Rates'!J59)</f>
        <v>81422594935.427063</v>
      </c>
      <c r="L13">
        <f>K13*(1+'Growth Rates'!K59)</f>
        <v>81174719417.552094</v>
      </c>
      <c r="M13">
        <f>L13*(1+'Growth Rates'!L59)</f>
        <v>81272504276.136002</v>
      </c>
      <c r="N13">
        <f>M13*(1+'Growth Rates'!M59)</f>
        <v>81370297147.776703</v>
      </c>
      <c r="O13">
        <f>N13*(1+'Growth Rates'!N59)</f>
        <v>81579025448.953629</v>
      </c>
      <c r="P13">
        <f>O13*(1+'Growth Rates'!O59)</f>
        <v>81719253943.178726</v>
      </c>
      <c r="Q13">
        <f>P13*(1+'Growth Rates'!P59)</f>
        <v>81928115032.154236</v>
      </c>
      <c r="R13">
        <f>Q13*(1+'Growth Rates'!Q59)</f>
        <v>82397047893.048035</v>
      </c>
      <c r="S13">
        <f>R13*(1+'Growth Rates'!R59)</f>
        <v>82892139568.694473</v>
      </c>
      <c r="T13">
        <f>S13*(1+'Growth Rates'!S59)</f>
        <v>83222981513.661545</v>
      </c>
      <c r="U13">
        <f>T13*(1+'Growth Rates'!T59)</f>
        <v>83596855863.158478</v>
      </c>
      <c r="V13">
        <f>U13*(1+'Growth Rates'!U59)</f>
        <v>83890163123.717545</v>
      </c>
      <c r="W13">
        <f>V13*(1+'Growth Rates'!V59)</f>
        <v>84393217869.965317</v>
      </c>
      <c r="X13">
        <f>W13*(1+'Growth Rates'!W59)</f>
        <v>84728639467.688004</v>
      </c>
      <c r="Y13">
        <f>X13*(1+'Growth Rates'!X59)</f>
        <v>85200292952.156815</v>
      </c>
      <c r="Z13">
        <f>Y13*(1+'Growth Rates'!Y59)</f>
        <v>85633512763.558075</v>
      </c>
      <c r="AA13">
        <f>Z13*(1+'Growth Rates'!Z59)</f>
        <v>86022734406.296448</v>
      </c>
      <c r="AB13">
        <f>AA13*(1+'Growth Rates'!AA59)</f>
        <v>86337035494.131088</v>
      </c>
      <c r="AC13">
        <f>AB13*(1+'Growth Rates'!AB59)</f>
        <v>86665962700.094009</v>
      </c>
    </row>
    <row r="14" spans="1:29" x14ac:dyDescent="0.25">
      <c r="A14" t="s">
        <v>127</v>
      </c>
      <c r="B14" s="1" t="s">
        <v>9</v>
      </c>
      <c r="C14">
        <v>137807824916.40781</v>
      </c>
      <c r="D14">
        <f>C14*(1+'Growth Rates'!C60)</f>
        <v>140086720194.6264</v>
      </c>
      <c r="E14">
        <f>D14*(1+'Growth Rates'!D60)</f>
        <v>139474958386.634</v>
      </c>
      <c r="F14">
        <f>E14*(1+'Growth Rates'!E60)</f>
        <v>138852685512.13815</v>
      </c>
      <c r="G14">
        <f>F14*(1+'Growth Rates'!F60)</f>
        <v>138097771106.27148</v>
      </c>
      <c r="H14">
        <f>G14*(1+'Growth Rates'!G60)</f>
        <v>137019997490.90829</v>
      </c>
      <c r="I14">
        <f>H14*(1+'Growth Rates'!H60)</f>
        <v>135328896858.5883</v>
      </c>
      <c r="J14">
        <f>I14*(1+'Growth Rates'!I60)</f>
        <v>133450252172.239</v>
      </c>
      <c r="K14">
        <f>J14*(1+'Growth Rates'!J60)</f>
        <v>131228683184.3437</v>
      </c>
      <c r="L14">
        <f>K14*(1+'Growth Rates'!K60)</f>
        <v>128967353187.24799</v>
      </c>
      <c r="M14">
        <f>L14*(1+'Growth Rates'!L60)</f>
        <v>127019741180.38104</v>
      </c>
      <c r="N14">
        <f>M14*(1+'Growth Rates'!M60)</f>
        <v>125068726816.3329</v>
      </c>
      <c r="O14">
        <f>N14*(1+'Growth Rates'!N60)</f>
        <v>123061603922.67358</v>
      </c>
      <c r="P14">
        <f>O14*(1+'Growth Rates'!O60)</f>
        <v>121157839671.54427</v>
      </c>
      <c r="Q14">
        <f>P14*(1+'Growth Rates'!P60)</f>
        <v>119587184798.57297</v>
      </c>
      <c r="R14">
        <f>Q14*(1+'Growth Rates'!Q60)</f>
        <v>118416324079.81296</v>
      </c>
      <c r="S14">
        <f>R14*(1+'Growth Rates'!R60)</f>
        <v>117556572550.94948</v>
      </c>
      <c r="T14">
        <f>S14*(1+'Growth Rates'!S60)</f>
        <v>116642516694.54771</v>
      </c>
      <c r="U14">
        <f>T14*(1+'Growth Rates'!T60)</f>
        <v>115761047779.99817</v>
      </c>
      <c r="V14">
        <f>U14*(1+'Growth Rates'!U60)</f>
        <v>114967850667.31064</v>
      </c>
      <c r="W14">
        <f>V14*(1+'Growth Rates'!V60)</f>
        <v>114419197643.10783</v>
      </c>
      <c r="X14">
        <f>W14*(1+'Growth Rates'!W60)</f>
        <v>113668239801.98833</v>
      </c>
      <c r="Y14">
        <f>X14*(1+'Growth Rates'!X60)</f>
        <v>113354598033.10864</v>
      </c>
      <c r="Z14">
        <f>Y14*(1+'Growth Rates'!Y60)</f>
        <v>113536598230.60559</v>
      </c>
      <c r="AA14">
        <f>Z14*(1+'Growth Rates'!Z60)</f>
        <v>113220271618.13188</v>
      </c>
      <c r="AB14">
        <f>AA14*(1+'Growth Rates'!AA60)</f>
        <v>113375684989.87968</v>
      </c>
      <c r="AC14">
        <f>AB14*(1+'Growth Rates'!AB60)</f>
        <v>113554370092.95486</v>
      </c>
    </row>
    <row r="15" spans="1:29" x14ac:dyDescent="0.25">
      <c r="A15" t="s">
        <v>127</v>
      </c>
      <c r="B15" s="1" t="s">
        <v>33</v>
      </c>
      <c r="C15">
        <v>269740517492.50156</v>
      </c>
      <c r="D15">
        <f>C15*(1+'Growth Rates'!C61)</f>
        <v>271134139552.89252</v>
      </c>
      <c r="E15">
        <f>D15*(1+'Growth Rates'!D61)</f>
        <v>269232234770.36111</v>
      </c>
      <c r="F15">
        <f>E15*(1+'Growth Rates'!E61)</f>
        <v>268645179605.46143</v>
      </c>
      <c r="G15">
        <f>F15*(1+'Growth Rates'!F61)</f>
        <v>268117076197.07178</v>
      </c>
      <c r="H15">
        <f>G15*(1+'Growth Rates'!G61)</f>
        <v>269034621313.61057</v>
      </c>
      <c r="I15">
        <f>H15*(1+'Growth Rates'!H61)</f>
        <v>271527553541.76736</v>
      </c>
      <c r="J15">
        <f>I15*(1+'Growth Rates'!I61)</f>
        <v>274759321307.42902</v>
      </c>
      <c r="K15">
        <f>J15*(1+'Growth Rates'!J61)</f>
        <v>278401593681.30695</v>
      </c>
      <c r="L15">
        <f>K15*(1+'Growth Rates'!K61)</f>
        <v>281614661156.1485</v>
      </c>
      <c r="M15">
        <f>L15*(1+'Growth Rates'!L61)</f>
        <v>285498771066.94165</v>
      </c>
      <c r="N15">
        <f>M15*(1+'Growth Rates'!M61)</f>
        <v>288935913288.84943</v>
      </c>
      <c r="O15">
        <f>N15*(1+'Growth Rates'!N61)</f>
        <v>291763837409.05103</v>
      </c>
      <c r="P15">
        <f>O15*(1+'Growth Rates'!O61)</f>
        <v>295540697075.24646</v>
      </c>
      <c r="Q15">
        <f>P15*(1+'Growth Rates'!P61)</f>
        <v>299368096020.38751</v>
      </c>
      <c r="R15">
        <f>Q15*(1+'Growth Rates'!Q61)</f>
        <v>303527858584.11389</v>
      </c>
      <c r="S15">
        <f>R15*(1+'Growth Rates'!R61)</f>
        <v>308196128149.31592</v>
      </c>
      <c r="T15">
        <f>S15*(1+'Growth Rates'!S61)</f>
        <v>312658289677.94635</v>
      </c>
      <c r="U15">
        <f>T15*(1+'Growth Rates'!T61)</f>
        <v>317342386956.23322</v>
      </c>
      <c r="V15">
        <f>U15*(1+'Growth Rates'!U61)</f>
        <v>321448086185.20966</v>
      </c>
      <c r="W15">
        <f>V15*(1+'Growth Rates'!V61)</f>
        <v>325400579933.30511</v>
      </c>
      <c r="X15">
        <f>W15*(1+'Growth Rates'!W61)</f>
        <v>328611630896.6239</v>
      </c>
      <c r="Y15">
        <f>X15*(1+'Growth Rates'!X61)</f>
        <v>332026528413.21753</v>
      </c>
      <c r="Z15">
        <f>Y15*(1+'Growth Rates'!Y61)</f>
        <v>336689684943.5752</v>
      </c>
      <c r="AA15">
        <f>Z15*(1+'Growth Rates'!Z61)</f>
        <v>340644928449.77002</v>
      </c>
      <c r="AB15">
        <f>AA15*(1+'Growth Rates'!AA61)</f>
        <v>344345623254.22705</v>
      </c>
      <c r="AC15">
        <f>AB15*(1+'Growth Rates'!AB61)</f>
        <v>347486253510.03094</v>
      </c>
    </row>
    <row r="16" spans="1:29" x14ac:dyDescent="0.25">
      <c r="B16" s="1" t="s">
        <v>34</v>
      </c>
      <c r="C16">
        <v>135756320056.79083</v>
      </c>
      <c r="D16">
        <f>C16*(1+'Growth Rates'!C62)</f>
        <v>139014471738.15381</v>
      </c>
      <c r="E16">
        <f>D16*(1+'Growth Rates'!D62)</f>
        <v>142350819059.86951</v>
      </c>
      <c r="F16">
        <f>E16*(1+'Growth Rates'!E62)</f>
        <v>145767238717.30637</v>
      </c>
      <c r="G16">
        <f>F16*(1+'Growth Rates'!F62)</f>
        <v>149265652446.52173</v>
      </c>
      <c r="H16">
        <f>G16*(1+'Growth Rates'!G62)</f>
        <v>152848028105.23825</v>
      </c>
      <c r="I16">
        <f>H16*(1+'Growth Rates'!H62)</f>
        <v>156516380779.76398</v>
      </c>
      <c r="J16">
        <f>I16*(1+'Growth Rates'!I62)</f>
        <v>160272773918.4783</v>
      </c>
      <c r="K16">
        <f>J16*(1+'Growth Rates'!J62)</f>
        <v>164119320492.52179</v>
      </c>
      <c r="L16">
        <f>K16*(1+'Growth Rates'!K62)</f>
        <v>168058184184.34232</v>
      </c>
      <c r="M16">
        <f>L16*(1+'Growth Rates'!L62)</f>
        <v>172091580604.76654</v>
      </c>
      <c r="N16">
        <f>M16*(1+'Growth Rates'!M62)</f>
        <v>176221778539.28094</v>
      </c>
      <c r="O16">
        <f>N16*(1+'Growth Rates'!N62)</f>
        <v>180451101224.22369</v>
      </c>
      <c r="P16">
        <f>O16*(1+'Growth Rates'!O62)</f>
        <v>184781927653.60507</v>
      </c>
      <c r="Q16">
        <f>P16*(1+'Growth Rates'!P62)</f>
        <v>189216693917.2916</v>
      </c>
      <c r="R16">
        <f>Q16*(1+'Growth Rates'!Q62)</f>
        <v>193757894571.30661</v>
      </c>
      <c r="S16">
        <f>R16*(1+'Growth Rates'!R62)</f>
        <v>198408084041.01797</v>
      </c>
      <c r="T16">
        <f>S16*(1+'Growth Rates'!S62)</f>
        <v>203169878058.00241</v>
      </c>
      <c r="U16">
        <f>T16*(1+'Growth Rates'!T62)</f>
        <v>208045955131.39447</v>
      </c>
      <c r="V16">
        <f>U16*(1+'Growth Rates'!U62)</f>
        <v>213039058054.54794</v>
      </c>
      <c r="W16">
        <f>V16*(1+'Growth Rates'!V62)</f>
        <v>218151995447.85709</v>
      </c>
      <c r="X16">
        <f>W16*(1+'Growth Rates'!W62)</f>
        <v>223387643338.60565</v>
      </c>
      <c r="Y16">
        <f>X16*(1+'Growth Rates'!X62)</f>
        <v>228748946778.73218</v>
      </c>
      <c r="Z16">
        <f>Y16*(1+'Growth Rates'!Y62)</f>
        <v>234238921501.42175</v>
      </c>
      <c r="AA16">
        <f>Z16*(1+'Growth Rates'!Z62)</f>
        <v>239860655617.45587</v>
      </c>
      <c r="AB16">
        <f>AA16*(1+'Growth Rates'!AA62)</f>
        <v>245617311352.27481</v>
      </c>
      <c r="AC16">
        <f>AB16*(1+'Growth Rates'!AB62)</f>
        <v>251512126824.7294</v>
      </c>
    </row>
    <row r="17" spans="1:29" x14ac:dyDescent="0.25">
      <c r="A17" t="s">
        <v>127</v>
      </c>
      <c r="B17" s="1" t="s">
        <v>10</v>
      </c>
      <c r="C17">
        <v>74268249042.841782</v>
      </c>
      <c r="D17">
        <f>C17*(1+'Growth Rates'!C63)</f>
        <v>76145503274.9104</v>
      </c>
      <c r="E17">
        <f>D17*(1+'Growth Rates'!D63)</f>
        <v>78600274641.314789</v>
      </c>
      <c r="F17">
        <f>E17*(1+'Growth Rates'!E63)</f>
        <v>80098801228.331024</v>
      </c>
      <c r="G17">
        <f>F17*(1+'Growth Rates'!F63)</f>
        <v>80799180647.781982</v>
      </c>
      <c r="H17">
        <f>G17*(1+'Growth Rates'!G63)</f>
        <v>81823170953.219131</v>
      </c>
      <c r="I17">
        <f>H17*(1+'Growth Rates'!H63)</f>
        <v>83139698836.99942</v>
      </c>
      <c r="J17">
        <f>I17*(1+'Growth Rates'!I63)</f>
        <v>84468507457.762604</v>
      </c>
      <c r="K17">
        <f>J17*(1+'Growth Rates'!J63)</f>
        <v>85730446398.828384</v>
      </c>
      <c r="L17">
        <f>K17*(1+'Growth Rates'!K63)</f>
        <v>86830432814.875961</v>
      </c>
      <c r="M17">
        <f>L17*(1+'Growth Rates'!L63)</f>
        <v>88251372496.869995</v>
      </c>
      <c r="N17">
        <f>M17*(1+'Growth Rates'!M63)</f>
        <v>89335673078.397583</v>
      </c>
      <c r="O17">
        <f>N17*(1+'Growth Rates'!N63)</f>
        <v>90126955835.160004</v>
      </c>
      <c r="P17">
        <f>O17*(1+'Growth Rates'!O63)</f>
        <v>91174958461.698669</v>
      </c>
      <c r="Q17">
        <f>P17*(1+'Growth Rates'!P63)</f>
        <v>92067199999.429153</v>
      </c>
      <c r="R17">
        <f>Q17*(1+'Growth Rates'!Q63)</f>
        <v>93006333945.081467</v>
      </c>
      <c r="S17">
        <f>R17*(1+'Growth Rates'!R63)</f>
        <v>94070572258.56218</v>
      </c>
      <c r="T17">
        <f>S17*(1+'Growth Rates'!S63)</f>
        <v>94992979427.704727</v>
      </c>
      <c r="U17">
        <f>T17*(1+'Growth Rates'!T63)</f>
        <v>95991719544.53302</v>
      </c>
      <c r="V17">
        <f>U17*(1+'Growth Rates'!U63)</f>
        <v>96687509165.331467</v>
      </c>
      <c r="W17">
        <f>V17*(1+'Growth Rates'!V63)</f>
        <v>97417478480.134262</v>
      </c>
      <c r="X17">
        <f>W17*(1+'Growth Rates'!W63)</f>
        <v>97998326209.102661</v>
      </c>
      <c r="Y17">
        <f>X17*(1+'Growth Rates'!X63)</f>
        <v>98647201735.687836</v>
      </c>
      <c r="Z17">
        <f>Y17*(1+'Growth Rates'!Y63)</f>
        <v>99405287327.360306</v>
      </c>
      <c r="AA17">
        <f>Z17*(1+'Growth Rates'!Z63)</f>
        <v>100080059084.17233</v>
      </c>
      <c r="AB17">
        <f>AA17*(1+'Growth Rates'!AA63)</f>
        <v>100805609292.42311</v>
      </c>
      <c r="AC17">
        <f>AB17*(1+'Growth Rates'!AB63)</f>
        <v>101384332814.16573</v>
      </c>
    </row>
    <row r="18" spans="1:29" x14ac:dyDescent="0.25">
      <c r="A18" t="s">
        <v>127</v>
      </c>
      <c r="B18" s="1" t="s">
        <v>38</v>
      </c>
      <c r="C18">
        <v>10908275227.808475</v>
      </c>
      <c r="D18">
        <f>C18*(1+'Growth Rates'!C64)</f>
        <v>10826563329.77047</v>
      </c>
      <c r="E18">
        <f>D18*(1+'Growth Rates'!D64)</f>
        <v>10802529551.103685</v>
      </c>
      <c r="F18">
        <f>E18*(1+'Growth Rates'!E64)</f>
        <v>10796295576.818295</v>
      </c>
      <c r="G18">
        <f>F18*(1+'Growth Rates'!F64)</f>
        <v>10813209535.436974</v>
      </c>
      <c r="H18">
        <f>G18*(1+'Growth Rates'!G64)</f>
        <v>10836640206.713066</v>
      </c>
      <c r="I18">
        <f>H18*(1+'Growth Rates'!H64)</f>
        <v>10868041455.764606</v>
      </c>
      <c r="J18">
        <f>I18*(1+'Growth Rates'!I64)</f>
        <v>10921375778.060551</v>
      </c>
      <c r="K18">
        <f>J18*(1+'Growth Rates'!J64)</f>
        <v>10990467679.374474</v>
      </c>
      <c r="L18">
        <f>K18*(1+'Growth Rates'!K64)</f>
        <v>11058173857.552114</v>
      </c>
      <c r="M18">
        <f>L18*(1+'Growth Rates'!L64)</f>
        <v>11132004677.730999</v>
      </c>
      <c r="N18">
        <f>M18*(1+'Growth Rates'!M64)</f>
        <v>11215667775.649342</v>
      </c>
      <c r="O18">
        <f>N18*(1+'Growth Rates'!N64)</f>
        <v>11297674616.59342</v>
      </c>
      <c r="P18">
        <f>O18*(1+'Growth Rates'!O64)</f>
        <v>11389718669.744452</v>
      </c>
      <c r="Q18">
        <f>P18*(1+'Growth Rates'!P64)</f>
        <v>11490421839.799929</v>
      </c>
      <c r="R18">
        <f>Q18*(1+'Growth Rates'!Q64)</f>
        <v>11593776444.876535</v>
      </c>
      <c r="S18">
        <f>R18*(1+'Growth Rates'!R64)</f>
        <v>11704083566.180391</v>
      </c>
      <c r="T18">
        <f>S18*(1+'Growth Rates'!S64)</f>
        <v>11815962021.242456</v>
      </c>
      <c r="U18">
        <f>T18*(1+'Growth Rates'!T64)</f>
        <v>11926003185.408596</v>
      </c>
      <c r="V18">
        <f>U18*(1+'Growth Rates'!U64)</f>
        <v>12028417024.319288</v>
      </c>
      <c r="W18">
        <f>V18*(1+'Growth Rates'!V64)</f>
        <v>12120225631.667713</v>
      </c>
      <c r="X18">
        <f>W18*(1+'Growth Rates'!W64)</f>
        <v>12203753462.667063</v>
      </c>
      <c r="Y18">
        <f>X18*(1+'Growth Rates'!X64)</f>
        <v>12282337948.856211</v>
      </c>
      <c r="Z18">
        <f>Y18*(1+'Growth Rates'!Y64)</f>
        <v>12367404568.18965</v>
      </c>
      <c r="AA18">
        <f>Z18*(1+'Growth Rates'!Z64)</f>
        <v>12457916443.795866</v>
      </c>
      <c r="AB18">
        <f>AA18*(1+'Growth Rates'!AA64)</f>
        <v>12548848358.782106</v>
      </c>
      <c r="AC18">
        <f>AB18*(1+'Growth Rates'!AB64)</f>
        <v>12633529009.726393</v>
      </c>
    </row>
    <row r="19" spans="1:29" x14ac:dyDescent="0.25">
      <c r="A19" t="s">
        <v>127</v>
      </c>
      <c r="B19" s="1" t="s">
        <v>39</v>
      </c>
      <c r="C19">
        <v>45826925891.771736</v>
      </c>
      <c r="D19">
        <f>C19*(1+'Growth Rates'!C65)</f>
        <v>45958719405.162338</v>
      </c>
      <c r="E19">
        <f>D19*(1+'Growth Rates'!D65)</f>
        <v>46081024216.916565</v>
      </c>
      <c r="F19">
        <f>E19*(1+'Growth Rates'!E65)</f>
        <v>46438576602.202332</v>
      </c>
      <c r="G19">
        <f>F19*(1+'Growth Rates'!F65)</f>
        <v>46758224536.421631</v>
      </c>
      <c r="H19">
        <f>G19*(1+'Growth Rates'!G65)</f>
        <v>46892746401.223534</v>
      </c>
      <c r="I19">
        <f>H19*(1+'Growth Rates'!H65)</f>
        <v>47346024552.216385</v>
      </c>
      <c r="J19">
        <f>I19*(1+'Growth Rates'!I65)</f>
        <v>48038872709.681335</v>
      </c>
      <c r="K19">
        <f>J19*(1+'Growth Rates'!J65)</f>
        <v>48636612591.859268</v>
      </c>
      <c r="L19">
        <f>K19*(1+'Growth Rates'!K65)</f>
        <v>49028070491.075867</v>
      </c>
      <c r="M19">
        <f>L19*(1+'Growth Rates'!L65)</f>
        <v>49333832011.820236</v>
      </c>
      <c r="N19">
        <f>M19*(1+'Growth Rates'!M65)</f>
        <v>49744922952.819878</v>
      </c>
      <c r="O19">
        <f>N19*(1+'Growth Rates'!N65)</f>
        <v>50178148433.03746</v>
      </c>
      <c r="P19">
        <f>O19*(1+'Growth Rates'!O65)</f>
        <v>50637203730.810593</v>
      </c>
      <c r="Q19">
        <f>P19*(1+'Growth Rates'!P65)</f>
        <v>51157464841.787117</v>
      </c>
      <c r="R19">
        <f>Q19*(1+'Growth Rates'!Q65)</f>
        <v>51625278941.070763</v>
      </c>
      <c r="S19">
        <f>R19*(1+'Growth Rates'!R65)</f>
        <v>51899363304.993324</v>
      </c>
      <c r="T19">
        <f>S19*(1+'Growth Rates'!S65)</f>
        <v>52036596736.046822</v>
      </c>
      <c r="U19">
        <f>T19*(1+'Growth Rates'!T65)</f>
        <v>52074890806.274551</v>
      </c>
      <c r="V19">
        <f>U19*(1+'Growth Rates'!U65)</f>
        <v>51889568909.994118</v>
      </c>
      <c r="W19">
        <f>V19*(1+'Growth Rates'!V65)</f>
        <v>51550260467.366821</v>
      </c>
      <c r="X19">
        <f>W19*(1+'Growth Rates'!W65)</f>
        <v>51568069013.155777</v>
      </c>
      <c r="Y19">
        <f>X19*(1+'Growth Rates'!X65)</f>
        <v>51827664223.778206</v>
      </c>
      <c r="Z19">
        <f>Y19*(1+'Growth Rates'!Y65)</f>
        <v>52139293429.436928</v>
      </c>
      <c r="AA19">
        <f>Z19*(1+'Growth Rates'!Z65)</f>
        <v>52503919996.569862</v>
      </c>
      <c r="AB19">
        <f>AA19*(1+'Growth Rates'!AA65)</f>
        <v>52879558137.100067</v>
      </c>
      <c r="AC19">
        <f>AB19*(1+'Growth Rates'!AB65)</f>
        <v>53289731998.011246</v>
      </c>
    </row>
    <row r="20" spans="1:29" x14ac:dyDescent="0.25">
      <c r="A20" t="s">
        <v>127</v>
      </c>
      <c r="B20" s="1" t="s">
        <v>40</v>
      </c>
      <c r="C20">
        <v>42096267746.311668</v>
      </c>
      <c r="D20">
        <f>C20*(1+'Growth Rates'!C66)</f>
        <v>43174503418.855316</v>
      </c>
      <c r="E20">
        <f>D20*(1+'Growth Rates'!D66)</f>
        <v>44772131435.054008</v>
      </c>
      <c r="F20">
        <f>E20*(1+'Growth Rates'!E66)</f>
        <v>45035292065.431976</v>
      </c>
      <c r="G20">
        <f>F20*(1+'Growth Rates'!F66)</f>
        <v>44751960124.067726</v>
      </c>
      <c r="H20">
        <f>G20*(1+'Growth Rates'!G66)</f>
        <v>44652519712.338913</v>
      </c>
      <c r="I20">
        <f>H20*(1+'Growth Rates'!H66)</f>
        <v>45032573506.965607</v>
      </c>
      <c r="J20">
        <f>I20*(1+'Growth Rates'!I66)</f>
        <v>45617718785.958023</v>
      </c>
      <c r="K20">
        <f>J20*(1+'Growth Rates'!J66)</f>
        <v>46178433169.80394</v>
      </c>
      <c r="L20">
        <f>K20*(1+'Growth Rates'!K66)</f>
        <v>46037795842.865852</v>
      </c>
      <c r="M20">
        <f>L20*(1+'Growth Rates'!L66)</f>
        <v>46353343587.146164</v>
      </c>
      <c r="N20">
        <f>M20*(1+'Growth Rates'!M66)</f>
        <v>46637338254.430367</v>
      </c>
      <c r="O20">
        <f>N20*(1+'Growth Rates'!N66)</f>
        <v>46874661303.580009</v>
      </c>
      <c r="P20">
        <f>O20*(1+'Growth Rates'!O66)</f>
        <v>47491008533.651199</v>
      </c>
      <c r="Q20">
        <f>P20*(1+'Growth Rates'!P66)</f>
        <v>47960144282.954857</v>
      </c>
      <c r="R20">
        <f>Q20*(1+'Growth Rates'!Q66)</f>
        <v>48420402705.802742</v>
      </c>
      <c r="S20">
        <f>R20*(1+'Growth Rates'!R66)</f>
        <v>49259594375.719276</v>
      </c>
      <c r="T20">
        <f>S20*(1+'Growth Rates'!S66)</f>
        <v>49803429011.563728</v>
      </c>
      <c r="U20">
        <f>T20*(1+'Growth Rates'!T66)</f>
        <v>50175285179.973808</v>
      </c>
      <c r="V20">
        <f>U20*(1+'Growth Rates'!U66)</f>
        <v>50850592707.815674</v>
      </c>
      <c r="W20">
        <f>V20*(1+'Growth Rates'!V66)</f>
        <v>51377928547.879738</v>
      </c>
      <c r="X20">
        <f>W20*(1+'Growth Rates'!W66)</f>
        <v>51700983063.584869</v>
      </c>
      <c r="Y20">
        <f>X20*(1+'Growth Rates'!X66)</f>
        <v>51899345927.816353</v>
      </c>
      <c r="Z20">
        <f>Y20*(1+'Growth Rates'!Y66)</f>
        <v>52353358528.666351</v>
      </c>
      <c r="AA20">
        <f>Z20*(1+'Growth Rates'!Z66)</f>
        <v>52534769867.775154</v>
      </c>
      <c r="AB20">
        <f>AA20*(1+'Growth Rates'!AA66)</f>
        <v>52620610454.954132</v>
      </c>
      <c r="AC20">
        <f>AB20*(1+'Growth Rates'!AB66)</f>
        <v>52717350737.477425</v>
      </c>
    </row>
    <row r="21" spans="1:29" x14ac:dyDescent="0.25">
      <c r="A21" t="s">
        <v>127</v>
      </c>
      <c r="B21" s="1" t="s">
        <v>41</v>
      </c>
      <c r="C21">
        <v>19343937813.325214</v>
      </c>
      <c r="D21">
        <f>C21*(1+'Growth Rates'!C67)</f>
        <v>19353239451.928238</v>
      </c>
      <c r="E21">
        <f>D21*(1+'Growth Rates'!D67)</f>
        <v>19436500498.285748</v>
      </c>
      <c r="F21">
        <f>E21*(1+'Growth Rates'!E67)</f>
        <v>19678173922.40657</v>
      </c>
      <c r="G21">
        <f>F21*(1+'Growth Rates'!F67)</f>
        <v>19859021588.062767</v>
      </c>
      <c r="H21">
        <f>G21*(1+'Growth Rates'!G67)</f>
        <v>20038208636.247654</v>
      </c>
      <c r="I21">
        <f>H21*(1+'Growth Rates'!H67)</f>
        <v>20219043012.875149</v>
      </c>
      <c r="J21">
        <f>I21*(1+'Growth Rates'!I67)</f>
        <v>20399245819.894958</v>
      </c>
      <c r="K21">
        <f>J21*(1+'Growth Rates'!J67)</f>
        <v>20596952322.181763</v>
      </c>
      <c r="L21">
        <f>K21*(1+'Growth Rates'!K67)</f>
        <v>20798479420.220505</v>
      </c>
      <c r="M21">
        <f>L21*(1+'Growth Rates'!L67)</f>
        <v>21004330734.124569</v>
      </c>
      <c r="N21">
        <f>M21*(1+'Growth Rates'!M67)</f>
        <v>21226223268.649719</v>
      </c>
      <c r="O21">
        <f>N21*(1+'Growth Rates'!N67)</f>
        <v>21448312753.39513</v>
      </c>
      <c r="P21">
        <f>O21*(1+'Growth Rates'!O67)</f>
        <v>21674959352.75248</v>
      </c>
      <c r="Q21">
        <f>P21*(1+'Growth Rates'!P67)</f>
        <v>21906377565.274799</v>
      </c>
      <c r="R21">
        <f>Q21*(1+'Growth Rates'!Q67)</f>
        <v>22136305021.372177</v>
      </c>
      <c r="S21">
        <f>R21*(1+'Growth Rates'!R67)</f>
        <v>22365511632.848526</v>
      </c>
      <c r="T21">
        <f>S21*(1+'Growth Rates'!S67)</f>
        <v>22592613296.252853</v>
      </c>
      <c r="U21">
        <f>T21*(1+'Growth Rates'!T67)</f>
        <v>22814176331.015049</v>
      </c>
      <c r="V21">
        <f>U21*(1+'Growth Rates'!U67)</f>
        <v>23029158229.870636</v>
      </c>
      <c r="W21">
        <f>V21*(1+'Growth Rates'!V67)</f>
        <v>23234775452.422947</v>
      </c>
      <c r="X21">
        <f>W21*(1+'Growth Rates'!W67)</f>
        <v>23428092827.050377</v>
      </c>
      <c r="Y21">
        <f>X21*(1+'Growth Rates'!X67)</f>
        <v>23607665938.556286</v>
      </c>
      <c r="Z21">
        <f>Y21*(1+'Growth Rates'!Y67)</f>
        <v>23780184109.1707</v>
      </c>
      <c r="AA21">
        <f>Z21*(1+'Growth Rates'!Z67)</f>
        <v>23942538898.782379</v>
      </c>
      <c r="AB21">
        <f>AA21*(1+'Growth Rates'!AA67)</f>
        <v>24094478667.706814</v>
      </c>
      <c r="AC21">
        <f>AB21*(1+'Growth Rates'!AB67)</f>
        <v>24234415206.641891</v>
      </c>
    </row>
    <row r="22" spans="1:29" x14ac:dyDescent="0.25">
      <c r="A22" t="s">
        <v>127</v>
      </c>
      <c r="B22" s="1" t="s">
        <v>11</v>
      </c>
      <c r="C22">
        <v>139455616199.48419</v>
      </c>
      <c r="D22">
        <f>C22*(1+'Growth Rates'!C68)</f>
        <v>142208298666.33112</v>
      </c>
      <c r="E22">
        <f>D22*(1+'Growth Rates'!D68)</f>
        <v>147893267118.92697</v>
      </c>
      <c r="F22">
        <f>E22*(1+'Growth Rates'!E68)</f>
        <v>151472949171.26587</v>
      </c>
      <c r="G22">
        <f>F22*(1+'Growth Rates'!F68)</f>
        <v>151778573057.86697</v>
      </c>
      <c r="H22">
        <f>G22*(1+'Growth Rates'!G68)</f>
        <v>152152033494.22836</v>
      </c>
      <c r="I22">
        <f>H22*(1+'Growth Rates'!H68)</f>
        <v>153318469423.10016</v>
      </c>
      <c r="J22">
        <f>I22*(1+'Growth Rates'!I68)</f>
        <v>154686839487.29843</v>
      </c>
      <c r="K22">
        <f>J22*(1+'Growth Rates'!J68)</f>
        <v>156237443998.88089</v>
      </c>
      <c r="L22">
        <f>K22*(1+'Growth Rates'!K68)</f>
        <v>156602278992.00446</v>
      </c>
      <c r="M22">
        <f>L22*(1+'Growth Rates'!L68)</f>
        <v>158291286664.01569</v>
      </c>
      <c r="N22">
        <f>M22*(1+'Growth Rates'!M68)</f>
        <v>159070205178.49695</v>
      </c>
      <c r="O22">
        <f>N22*(1+'Growth Rates'!N68)</f>
        <v>160228606308.95844</v>
      </c>
      <c r="P22">
        <f>O22*(1+'Growth Rates'!O68)</f>
        <v>162046969347.91714</v>
      </c>
      <c r="Q22">
        <f>P22*(1+'Growth Rates'!P68)</f>
        <v>163382638160.67178</v>
      </c>
      <c r="R22">
        <f>Q22*(1+'Growth Rates'!Q68)</f>
        <v>164773212505.08621</v>
      </c>
      <c r="S22">
        <f>R22*(1+'Growth Rates'!R68)</f>
        <v>166528326289.66995</v>
      </c>
      <c r="T22">
        <f>S22*(1+'Growth Rates'!S68)</f>
        <v>167794287024.67462</v>
      </c>
      <c r="U22">
        <f>T22*(1+'Growth Rates'!T68)</f>
        <v>169072813140.50562</v>
      </c>
      <c r="V22">
        <f>U22*(1+'Growth Rates'!U68)</f>
        <v>169816595895.5892</v>
      </c>
      <c r="W22">
        <f>V22*(1+'Growth Rates'!V68)</f>
        <v>171069864452.47833</v>
      </c>
      <c r="X22">
        <f>W22*(1+'Growth Rates'!W68)</f>
        <v>171610363026.9155</v>
      </c>
      <c r="Y22">
        <f>X22*(1+'Growth Rates'!X68)</f>
        <v>172591961244.78412</v>
      </c>
      <c r="Z22">
        <f>Y22*(1+'Growth Rates'!Y68)</f>
        <v>173432539206.17337</v>
      </c>
      <c r="AA22">
        <f>Z22*(1+'Growth Rates'!Z68)</f>
        <v>174082426032.60562</v>
      </c>
      <c r="AB22">
        <f>AA22*(1+'Growth Rates'!AA68)</f>
        <v>175063236262.95654</v>
      </c>
      <c r="AC22">
        <f>AB22*(1+'Growth Rates'!AB68)</f>
        <v>175082541726.59946</v>
      </c>
    </row>
    <row r="23" spans="1:29" x14ac:dyDescent="0.25">
      <c r="A23" t="s">
        <v>127</v>
      </c>
      <c r="B23" s="1" t="s">
        <v>12</v>
      </c>
      <c r="C23">
        <v>219415976020.83588</v>
      </c>
      <c r="D23">
        <f>C23*(1+'Growth Rates'!C69)</f>
        <v>228267652463.69293</v>
      </c>
      <c r="E23">
        <f>D23*(1+'Growth Rates'!D69)</f>
        <v>232992187723.29312</v>
      </c>
      <c r="F23">
        <f>E23*(1+'Growth Rates'!E69)</f>
        <v>242148290413.91537</v>
      </c>
      <c r="G23">
        <f>F23*(1+'Growth Rates'!F69)</f>
        <v>252119124157.16147</v>
      </c>
      <c r="H23">
        <f>G23*(1+'Growth Rates'!G69)</f>
        <v>260184024719.35464</v>
      </c>
      <c r="I23">
        <f>H23*(1+'Growth Rates'!H69)</f>
        <v>267917777016.90558</v>
      </c>
      <c r="J23">
        <f>I23*(1+'Growth Rates'!I69)</f>
        <v>275268322258.60797</v>
      </c>
      <c r="K23">
        <f>J23*(1+'Growth Rates'!J69)</f>
        <v>283087566659.94006</v>
      </c>
      <c r="L23">
        <f>K23*(1+'Growth Rates'!K69)</f>
        <v>289209754305.63397</v>
      </c>
      <c r="M23">
        <f>L23*(1+'Growth Rates'!L69)</f>
        <v>295949681839.92023</v>
      </c>
      <c r="N23">
        <f>M23*(1+'Growth Rates'!M69)</f>
        <v>303581933456.74664</v>
      </c>
      <c r="O23">
        <f>N23*(1+'Growth Rates'!N69)</f>
        <v>312214006072.1275</v>
      </c>
      <c r="P23">
        <f>O23*(1+'Growth Rates'!O69)</f>
        <v>321073032578.03424</v>
      </c>
      <c r="Q23">
        <f>P23*(1+'Growth Rates'!P69)</f>
        <v>330093852222.15936</v>
      </c>
      <c r="R23">
        <f>Q23*(1+'Growth Rates'!Q69)</f>
        <v>339861455226.14056</v>
      </c>
      <c r="S23">
        <f>R23*(1+'Growth Rates'!R69)</f>
        <v>350347934288.17084</v>
      </c>
      <c r="T23">
        <f>S23*(1+'Growth Rates'!S69)</f>
        <v>361136510914.48987</v>
      </c>
      <c r="U23">
        <f>T23*(1+'Growth Rates'!T69)</f>
        <v>372323999497.31891</v>
      </c>
      <c r="V23">
        <f>U23*(1+'Growth Rates'!U69)</f>
        <v>383353256281.84137</v>
      </c>
      <c r="W23">
        <f>V23*(1+'Growth Rates'!V69)</f>
        <v>395134714729.14374</v>
      </c>
      <c r="X23">
        <f>W23*(1+'Growth Rates'!W69)</f>
        <v>406777572129.98071</v>
      </c>
      <c r="Y23">
        <f>X23*(1+'Growth Rates'!X69)</f>
        <v>419584264643.22314</v>
      </c>
      <c r="Z23">
        <f>Y23*(1+'Growth Rates'!Y69)</f>
        <v>432914530969.31274</v>
      </c>
      <c r="AA23">
        <f>Z23*(1+'Growth Rates'!Z69)</f>
        <v>446447647068.03424</v>
      </c>
      <c r="AB23">
        <f>AA23*(1+'Growth Rates'!AA69)</f>
        <v>460233251794.63879</v>
      </c>
      <c r="AC23">
        <f>AB23*(1+'Growth Rates'!AB69)</f>
        <v>474138709421.81049</v>
      </c>
    </row>
    <row r="24" spans="1:29" x14ac:dyDescent="0.25">
      <c r="A24" t="s">
        <v>127</v>
      </c>
      <c r="B24" s="1" t="s">
        <v>13</v>
      </c>
      <c r="C24">
        <v>58678438115.458298</v>
      </c>
      <c r="D24">
        <f>C24*(1+'Growth Rates'!C70)</f>
        <v>59036859546.304329</v>
      </c>
      <c r="E24">
        <f>D24*(1+'Growth Rates'!D70)</f>
        <v>58619409394.057396</v>
      </c>
      <c r="F24">
        <f>E24*(1+'Growth Rates'!E70)</f>
        <v>59411029447.810669</v>
      </c>
      <c r="G24">
        <f>F24*(1+'Growth Rates'!F70)</f>
        <v>60670073805.82708</v>
      </c>
      <c r="H24">
        <f>G24*(1+'Growth Rates'!G70)</f>
        <v>61590651739.957291</v>
      </c>
      <c r="I24">
        <f>H24*(1+'Growth Rates'!H70)</f>
        <v>62417299220.854019</v>
      </c>
      <c r="J24">
        <f>I24*(1+'Growth Rates'!I70)</f>
        <v>62924197862.062943</v>
      </c>
      <c r="K24">
        <f>J24*(1+'Growth Rates'!J70)</f>
        <v>63487901769.771606</v>
      </c>
      <c r="L24">
        <f>K24*(1+'Growth Rates'!K70)</f>
        <v>63479049514.751808</v>
      </c>
      <c r="M24">
        <f>L24*(1+'Growth Rates'!L70)</f>
        <v>63588594730.884689</v>
      </c>
      <c r="N24">
        <f>M24*(1+'Growth Rates'!M70)</f>
        <v>63866687343.310402</v>
      </c>
      <c r="O24">
        <f>N24*(1+'Growth Rates'!N70)</f>
        <v>64192854656.301857</v>
      </c>
      <c r="P24">
        <f>O24*(1+'Growth Rates'!O70)</f>
        <v>64588985681.960403</v>
      </c>
      <c r="Q24">
        <f>P24*(1+'Growth Rates'!P70)</f>
        <v>64901948977.974609</v>
      </c>
      <c r="R24">
        <f>Q24*(1+'Growth Rates'!Q70)</f>
        <v>65299730568.352585</v>
      </c>
      <c r="S24">
        <f>R24*(1+'Growth Rates'!R70)</f>
        <v>65790154610.611382</v>
      </c>
      <c r="T24">
        <f>S24*(1+'Growth Rates'!S70)</f>
        <v>66210279418.855408</v>
      </c>
      <c r="U24">
        <f>T24*(1+'Growth Rates'!T70)</f>
        <v>66613119369.133522</v>
      </c>
      <c r="V24">
        <f>U24*(1+'Growth Rates'!U70)</f>
        <v>66934343000.416794</v>
      </c>
      <c r="W24">
        <f>V24*(1+'Growth Rates'!V70)</f>
        <v>67298984095.648506</v>
      </c>
      <c r="X24">
        <f>W24*(1+'Growth Rates'!W70)</f>
        <v>67556495227.672638</v>
      </c>
      <c r="Y24">
        <f>X24*(1+'Growth Rates'!X70)</f>
        <v>67910683080.200089</v>
      </c>
      <c r="Z24">
        <f>Y24*(1+'Growth Rates'!Y70)</f>
        <v>68333756970.856941</v>
      </c>
      <c r="AA24">
        <f>Z24*(1+'Growth Rates'!Z70)</f>
        <v>68611051342.942017</v>
      </c>
      <c r="AB24">
        <f>AA24*(1+'Growth Rates'!AA70)</f>
        <v>68895039115.524597</v>
      </c>
      <c r="AC24">
        <f>AB24*(1+'Growth Rates'!AB70)</f>
        <v>69088500724.607498</v>
      </c>
    </row>
    <row r="25" spans="1:29" x14ac:dyDescent="0.25">
      <c r="A25" t="s">
        <v>127</v>
      </c>
      <c r="B25" s="1" t="s">
        <v>14</v>
      </c>
      <c r="C25">
        <v>152693049083.64651</v>
      </c>
      <c r="D25">
        <f>C25*(1+'Growth Rates'!C71)</f>
        <v>154466035263.86661</v>
      </c>
      <c r="E25">
        <f>D25*(1+'Growth Rates'!D71)</f>
        <v>157616729689.01343</v>
      </c>
      <c r="F25">
        <f>E25*(1+'Growth Rates'!E71)</f>
        <v>163637035708.06351</v>
      </c>
      <c r="G25">
        <f>F25*(1+'Growth Rates'!F71)</f>
        <v>167102213464.50638</v>
      </c>
      <c r="H25">
        <f>G25*(1+'Growth Rates'!G71)</f>
        <v>170065425569.99295</v>
      </c>
      <c r="I25">
        <f>H25*(1+'Growth Rates'!H71)</f>
        <v>173515544997.38184</v>
      </c>
      <c r="J25">
        <f>I25*(1+'Growth Rates'!I71)</f>
        <v>176118802628.9035</v>
      </c>
      <c r="K25">
        <f>J25*(1+'Growth Rates'!J71)</f>
        <v>178458833864.15833</v>
      </c>
      <c r="L25">
        <f>K25*(1+'Growth Rates'!K71)</f>
        <v>179123592303.18839</v>
      </c>
      <c r="M25">
        <f>L25*(1+'Growth Rates'!L71)</f>
        <v>180834813664.0607</v>
      </c>
      <c r="N25">
        <f>M25*(1+'Growth Rates'!M71)</f>
        <v>182177074451.75473</v>
      </c>
      <c r="O25">
        <f>N25*(1+'Growth Rates'!N71)</f>
        <v>183645522079.63034</v>
      </c>
      <c r="P25">
        <f>O25*(1+'Growth Rates'!O71)</f>
        <v>185114704972.47562</v>
      </c>
      <c r="Q25">
        <f>P25*(1+'Growth Rates'!P71)</f>
        <v>185711631503.30399</v>
      </c>
      <c r="R25">
        <f>Q25*(1+'Growth Rates'!Q71)</f>
        <v>186165687083.88727</v>
      </c>
      <c r="S25">
        <f>R25*(1+'Growth Rates'!R71)</f>
        <v>186903327446.12997</v>
      </c>
      <c r="T25">
        <f>S25*(1+'Growth Rates'!S71)</f>
        <v>187332176503.93909</v>
      </c>
      <c r="U25">
        <f>T25*(1+'Growth Rates'!T71)</f>
        <v>187776724877.89417</v>
      </c>
      <c r="V25">
        <f>U25*(1+'Growth Rates'!U71)</f>
        <v>188008208835.04358</v>
      </c>
      <c r="W25">
        <f>V25*(1+'Growth Rates'!V71)</f>
        <v>188399545545.14777</v>
      </c>
      <c r="X25">
        <f>W25*(1+'Growth Rates'!W71)</f>
        <v>188514036804.70447</v>
      </c>
      <c r="Y25">
        <f>X25*(1+'Growth Rates'!X71)</f>
        <v>189009200614.21695</v>
      </c>
      <c r="Z25">
        <f>Y25*(1+'Growth Rates'!Y71)</f>
        <v>189808261988.98187</v>
      </c>
      <c r="AA25">
        <f>Z25*(1+'Growth Rates'!Z71)</f>
        <v>189934495968.10233</v>
      </c>
      <c r="AB25">
        <f>AA25*(1+'Growth Rates'!AA71)</f>
        <v>190433256171.2189</v>
      </c>
      <c r="AC25">
        <f>AB25*(1+'Growth Rates'!AB71)</f>
        <v>190573797843.03058</v>
      </c>
    </row>
    <row r="26" spans="1:29" x14ac:dyDescent="0.25">
      <c r="A26" t="s">
        <v>127</v>
      </c>
      <c r="B26" s="1" t="s">
        <v>15</v>
      </c>
      <c r="C26">
        <v>136029517375.48972</v>
      </c>
      <c r="D26">
        <f>C26*(1+'Growth Rates'!C72)</f>
        <v>144617409901.48044</v>
      </c>
      <c r="E26">
        <f>D26*(1+'Growth Rates'!D72)</f>
        <v>154359027830.82162</v>
      </c>
      <c r="F26">
        <f>E26*(1+'Growth Rates'!E72)</f>
        <v>157309291368.92163</v>
      </c>
      <c r="G26">
        <f>F26*(1+'Growth Rates'!F72)</f>
        <v>160610619860.01721</v>
      </c>
      <c r="H26">
        <f>G26*(1+'Growth Rates'!G72)</f>
        <v>163612268564.20438</v>
      </c>
      <c r="I26">
        <f>H26*(1+'Growth Rates'!H72)</f>
        <v>165418355864.83554</v>
      </c>
      <c r="J26">
        <f>I26*(1+'Growth Rates'!I72)</f>
        <v>165579618930.93527</v>
      </c>
      <c r="K26">
        <f>J26*(1+'Growth Rates'!J72)</f>
        <v>166929133895.1145</v>
      </c>
      <c r="L26">
        <f>K26*(1+'Growth Rates'!K72)</f>
        <v>168593631951.8269</v>
      </c>
      <c r="M26">
        <f>L26*(1+'Growth Rates'!L72)</f>
        <v>172347442554.8082</v>
      </c>
      <c r="N26">
        <f>M26*(1+'Growth Rates'!M72)</f>
        <v>174786451209.91806</v>
      </c>
      <c r="O26">
        <f>N26*(1+'Growth Rates'!N72)</f>
        <v>176337043443.31674</v>
      </c>
      <c r="P26">
        <f>O26*(1+'Growth Rates'!O72)</f>
        <v>178167034809.28467</v>
      </c>
      <c r="Q26">
        <f>P26*(1+'Growth Rates'!P72)</f>
        <v>180388434063.98532</v>
      </c>
      <c r="R26">
        <f>Q26*(1+'Growth Rates'!Q72)</f>
        <v>182781018848.6358</v>
      </c>
      <c r="S26">
        <f>R26*(1+'Growth Rates'!R72)</f>
        <v>185017332822.33868</v>
      </c>
      <c r="T26">
        <f>S26*(1+'Growth Rates'!S72)</f>
        <v>186858086508.883</v>
      </c>
      <c r="U26">
        <f>T26*(1+'Growth Rates'!T72)</f>
        <v>188839745144.67419</v>
      </c>
      <c r="V26">
        <f>U26*(1+'Growth Rates'!U72)</f>
        <v>190430726944.20468</v>
      </c>
      <c r="W26">
        <f>V26*(1+'Growth Rates'!V72)</f>
        <v>192207435822.12424</v>
      </c>
      <c r="X26">
        <f>W26*(1+'Growth Rates'!W72)</f>
        <v>194195844143.8447</v>
      </c>
      <c r="Y26">
        <f>X26*(1+'Growth Rates'!X72)</f>
        <v>196122307298.7561</v>
      </c>
      <c r="Z26">
        <f>Y26*(1+'Growth Rates'!Y72)</f>
        <v>198001599859.86581</v>
      </c>
      <c r="AA26">
        <f>Z26*(1+'Growth Rates'!Z72)</f>
        <v>199857081743.83362</v>
      </c>
      <c r="AB26">
        <f>AA26*(1+'Growth Rates'!AA72)</f>
        <v>201476617780.21976</v>
      </c>
      <c r="AC26">
        <f>AB26*(1+'Growth Rates'!AB72)</f>
        <v>202497043320.4437</v>
      </c>
    </row>
    <row r="27" spans="1:29" x14ac:dyDescent="0.25">
      <c r="A27" t="s">
        <v>127</v>
      </c>
      <c r="B27" s="1" t="s">
        <v>16</v>
      </c>
      <c r="C27">
        <v>144428985460.12131</v>
      </c>
      <c r="D27">
        <f>C27*(1+'Growth Rates'!C73)</f>
        <v>153547157961.94397</v>
      </c>
      <c r="E27">
        <f>D27*(1+'Growth Rates'!D73)</f>
        <v>163890295403.14456</v>
      </c>
      <c r="F27">
        <f>E27*(1+'Growth Rates'!E73)</f>
        <v>167022730023.72455</v>
      </c>
      <c r="G27">
        <f>F27*(1+'Growth Rates'!F73)</f>
        <v>170527906942.96164</v>
      </c>
      <c r="H27">
        <f>G27*(1+'Growth Rates'!G73)</f>
        <v>173714899629.67944</v>
      </c>
      <c r="I27">
        <f>H27*(1+'Growth Rates'!H73)</f>
        <v>175632508112.86273</v>
      </c>
      <c r="J27">
        <f>I27*(1+'Growth Rates'!I73)</f>
        <v>175803728752.89987</v>
      </c>
      <c r="K27">
        <f>J27*(1+'Growth Rates'!J73)</f>
        <v>177236572748.08688</v>
      </c>
      <c r="L27">
        <f>K27*(1+'Growth Rates'!K73)</f>
        <v>179003849220.64633</v>
      </c>
      <c r="M27">
        <f>L27*(1+'Growth Rates'!L73)</f>
        <v>182989447842.60925</v>
      </c>
      <c r="N27">
        <f>M27*(1+'Growth Rates'!M73)</f>
        <v>185579058923.95715</v>
      </c>
      <c r="O27">
        <f>N27*(1+'Growth Rates'!N73)</f>
        <v>187225396185.55261</v>
      </c>
      <c r="P27">
        <f>O27*(1+'Growth Rates'!O73)</f>
        <v>189168384747.79205</v>
      </c>
      <c r="Q27">
        <f>P27*(1+'Growth Rates'!P73)</f>
        <v>191526949615.53815</v>
      </c>
      <c r="R27">
        <f>Q27*(1+'Growth Rates'!Q73)</f>
        <v>194067270273.44748</v>
      </c>
      <c r="S27">
        <f>R27*(1+'Growth Rates'!R73)</f>
        <v>196441670805.21323</v>
      </c>
      <c r="T27">
        <f>S27*(1+'Growth Rates'!S73)</f>
        <v>198396086233.26852</v>
      </c>
      <c r="U27">
        <f>T27*(1+'Growth Rates'!T73)</f>
        <v>200500107123.86371</v>
      </c>
      <c r="V27">
        <f>U27*(1+'Growth Rates'!U73)</f>
        <v>202189327902.00867</v>
      </c>
      <c r="W27">
        <f>V27*(1+'Growth Rates'!V73)</f>
        <v>204075743921.46408</v>
      </c>
      <c r="X27">
        <f>W27*(1+'Growth Rates'!W73)</f>
        <v>206186931273.49899</v>
      </c>
      <c r="Y27">
        <f>X27*(1+'Growth Rates'!X73)</f>
        <v>208232348506.15833</v>
      </c>
      <c r="Z27">
        <f>Y27*(1+'Growth Rates'!Y73)</f>
        <v>210227682483.81702</v>
      </c>
      <c r="AA27">
        <f>Z27*(1+'Growth Rates'!Z73)</f>
        <v>212197735537.09198</v>
      </c>
      <c r="AB27">
        <f>AA27*(1+'Growth Rates'!AA73)</f>
        <v>213917273701.78082</v>
      </c>
      <c r="AC27">
        <f>AB27*(1+'Growth Rates'!AB73)</f>
        <v>215000707858.9816</v>
      </c>
    </row>
    <row r="28" spans="1:29" x14ac:dyDescent="0.25">
      <c r="A28" t="s">
        <v>127</v>
      </c>
      <c r="B28" s="1" t="s">
        <v>17</v>
      </c>
      <c r="C28">
        <v>134672516116.35497</v>
      </c>
      <c r="D28">
        <f>C28*(1+'Growth Rates'!C74)</f>
        <v>136597703561.98557</v>
      </c>
      <c r="E28">
        <f>D28*(1+'Growth Rates'!D74)</f>
        <v>140428155478.83371</v>
      </c>
      <c r="F28">
        <f>E28*(1+'Growth Rates'!E74)</f>
        <v>144718101037.29971</v>
      </c>
      <c r="G28">
        <f>F28*(1+'Growth Rates'!F74)</f>
        <v>147379977682.17126</v>
      </c>
      <c r="H28">
        <f>G28*(1+'Growth Rates'!G74)</f>
        <v>149144623004.87259</v>
      </c>
      <c r="I28">
        <f>H28*(1+'Growth Rates'!H74)</f>
        <v>152062784688.58047</v>
      </c>
      <c r="J28">
        <f>I28*(1+'Growth Rates'!I74)</f>
        <v>154234323715.15317</v>
      </c>
      <c r="K28">
        <f>J28*(1+'Growth Rates'!J74)</f>
        <v>156907742570.07349</v>
      </c>
      <c r="L28">
        <f>K28*(1+'Growth Rates'!K74)</f>
        <v>158238649278.0524</v>
      </c>
      <c r="M28">
        <f>L28*(1+'Growth Rates'!L74)</f>
        <v>160092827394.38522</v>
      </c>
      <c r="N28">
        <f>M28*(1+'Growth Rates'!M74)</f>
        <v>161752227212.4805</v>
      </c>
      <c r="O28">
        <f>N28*(1+'Growth Rates'!N74)</f>
        <v>163692654781.84415</v>
      </c>
      <c r="P28">
        <f>O28*(1+'Growth Rates'!O74)</f>
        <v>166228379314.38983</v>
      </c>
      <c r="Q28">
        <f>P28*(1+'Growth Rates'!P74)</f>
        <v>167937379933.82037</v>
      </c>
      <c r="R28">
        <f>Q28*(1+'Growth Rates'!Q74)</f>
        <v>169601261182.65411</v>
      </c>
      <c r="S28">
        <f>R28*(1+'Growth Rates'!R74)</f>
        <v>171843085991.16174</v>
      </c>
      <c r="T28">
        <f>S28*(1+'Growth Rates'!S74)</f>
        <v>173873813575.09927</v>
      </c>
      <c r="U28">
        <f>T28*(1+'Growth Rates'!T74)</f>
        <v>175778913781.51013</v>
      </c>
      <c r="V28">
        <f>U28*(1+'Growth Rates'!U74)</f>
        <v>177637380382.61792</v>
      </c>
      <c r="W28">
        <f>V28*(1+'Growth Rates'!V74)</f>
        <v>179836560222.14084</v>
      </c>
      <c r="X28">
        <f>W28*(1+'Growth Rates'!W74)</f>
        <v>181330274212.58591</v>
      </c>
      <c r="Y28">
        <f>X28*(1+'Growth Rates'!X74)</f>
        <v>183294490845.92035</v>
      </c>
      <c r="Z28">
        <f>Y28*(1+'Growth Rates'!Y74)</f>
        <v>185552030320.93591</v>
      </c>
      <c r="AA28">
        <f>Z28*(1+'Growth Rates'!Z74)</f>
        <v>186836468340.26297</v>
      </c>
      <c r="AB28">
        <f>AA28*(1+'Growth Rates'!AA74)</f>
        <v>189449341925.17917</v>
      </c>
      <c r="AC28">
        <f>AB28*(1+'Growth Rates'!AB74)</f>
        <v>190101902121.45355</v>
      </c>
    </row>
    <row r="29" spans="1:29" x14ac:dyDescent="0.25">
      <c r="B29" s="1" t="s">
        <v>42</v>
      </c>
      <c r="C29">
        <v>259988988784.69992</v>
      </c>
      <c r="D29">
        <f>C29*(1+'Growth Rates'!C75)</f>
        <v>265188768560.39392</v>
      </c>
      <c r="E29">
        <f>D29*(1+'Growth Rates'!D75)</f>
        <v>270492543931.60181</v>
      </c>
      <c r="F29">
        <f>E29*(1+'Growth Rates'!E75)</f>
        <v>275902394810.23383</v>
      </c>
      <c r="G29">
        <f>F29*(1+'Growth Rates'!F75)</f>
        <v>281420442706.43854</v>
      </c>
      <c r="H29">
        <f>G29*(1+'Growth Rates'!G75)</f>
        <v>287048851560.56732</v>
      </c>
      <c r="I29">
        <f>H29*(1+'Growth Rates'!H75)</f>
        <v>292789828591.77869</v>
      </c>
      <c r="J29">
        <f>I29*(1+'Growth Rates'!I75)</f>
        <v>298645625163.61426</v>
      </c>
      <c r="K29">
        <f>J29*(1+'Growth Rates'!J75)</f>
        <v>304618537666.88654</v>
      </c>
      <c r="L29">
        <f>K29*(1+'Growth Rates'!K75)</f>
        <v>310710908420.22424</v>
      </c>
      <c r="M29">
        <f>L29*(1+'Growth Rates'!L75)</f>
        <v>316925126588.62872</v>
      </c>
      <c r="N29">
        <f>M29*(1+'Growth Rates'!M75)</f>
        <v>323263629120.40131</v>
      </c>
      <c r="O29">
        <f>N29*(1+'Growth Rates'!N75)</f>
        <v>329728901702.80933</v>
      </c>
      <c r="P29">
        <f>O29*(1+'Growth Rates'!O75)</f>
        <v>336323479736.86554</v>
      </c>
      <c r="Q29">
        <f>P29*(1+'Growth Rates'!P75)</f>
        <v>343049949331.60284</v>
      </c>
      <c r="R29">
        <f>Q29*(1+'Growth Rates'!Q75)</f>
        <v>349910948318.23492</v>
      </c>
      <c r="S29">
        <f>R29*(1+'Growth Rates'!R75)</f>
        <v>356909167284.59961</v>
      </c>
      <c r="T29">
        <f>S29*(1+'Growth Rates'!S75)</f>
        <v>364047350630.29163</v>
      </c>
      <c r="U29">
        <f>T29*(1+'Growth Rates'!T75)</f>
        <v>371328297642.89746</v>
      </c>
      <c r="V29">
        <f>U29*(1+'Growth Rates'!U75)</f>
        <v>378754863595.75543</v>
      </c>
      <c r="W29">
        <f>V29*(1+'Growth Rates'!V75)</f>
        <v>386329960867.67053</v>
      </c>
      <c r="X29">
        <f>W29*(1+'Growth Rates'!W75)</f>
        <v>394056560085.02393</v>
      </c>
      <c r="Y29">
        <f>X29*(1+'Growth Rates'!X75)</f>
        <v>401937691286.72443</v>
      </c>
      <c r="Z29">
        <f>Y29*(1+'Growth Rates'!Y75)</f>
        <v>409976445112.45892</v>
      </c>
      <c r="AA29">
        <f>Z29*(1+'Growth Rates'!Z75)</f>
        <v>418175974014.70813</v>
      </c>
      <c r="AB29">
        <f>AA29*(1+'Growth Rates'!AA75)</f>
        <v>426539493495.00232</v>
      </c>
      <c r="AC29">
        <f>AB29*(1+'Growth Rates'!AB75)</f>
        <v>435070283364.90234</v>
      </c>
    </row>
    <row r="30" spans="1:29" x14ac:dyDescent="0.25">
      <c r="B30" s="1" t="s">
        <v>43</v>
      </c>
      <c r="C30">
        <v>61106673849.506378</v>
      </c>
      <c r="D30">
        <f>C30*(1+'Growth Rates'!C76)</f>
        <v>61534420566.452919</v>
      </c>
      <c r="E30">
        <f>D30*(1+'Growth Rates'!D76)</f>
        <v>61965161510.418083</v>
      </c>
      <c r="F30">
        <f>E30*(1+'Growth Rates'!E76)</f>
        <v>62398917640.991005</v>
      </c>
      <c r="G30">
        <f>F30*(1+'Growth Rates'!F76)</f>
        <v>62835710064.477936</v>
      </c>
      <c r="H30">
        <f>G30*(1+'Growth Rates'!G76)</f>
        <v>63275560034.929276</v>
      </c>
      <c r="I30">
        <f>H30*(1+'Growth Rates'!H76)</f>
        <v>63718488955.173775</v>
      </c>
      <c r="J30">
        <f>I30*(1+'Growth Rates'!I76)</f>
        <v>64164518377.859985</v>
      </c>
      <c r="K30">
        <f>J30*(1+'Growth Rates'!J76)</f>
        <v>64613670006.504997</v>
      </c>
      <c r="L30">
        <f>K30*(1+'Growth Rates'!K76)</f>
        <v>65065965696.550522</v>
      </c>
      <c r="M30">
        <f>L30*(1+'Growth Rates'!L76)</f>
        <v>65521427456.426369</v>
      </c>
      <c r="N30">
        <f>M30*(1+'Growth Rates'!M76)</f>
        <v>65980077448.621346</v>
      </c>
      <c r="O30">
        <f>N30*(1+'Growth Rates'!N76)</f>
        <v>66441937990.761688</v>
      </c>
      <c r="P30">
        <f>O30*(1+'Growth Rates'!O76)</f>
        <v>66907031556.697014</v>
      </c>
      <c r="Q30">
        <f>P30*(1+'Growth Rates'!P76)</f>
        <v>67375380777.593887</v>
      </c>
      <c r="R30">
        <f>Q30*(1+'Growth Rates'!Q76)</f>
        <v>67847008443.037041</v>
      </c>
      <c r="S30">
        <f>R30*(1+'Growth Rates'!R76)</f>
        <v>68321937502.13829</v>
      </c>
      <c r="T30">
        <f>S30*(1+'Growth Rates'!S76)</f>
        <v>68800191064.653244</v>
      </c>
      <c r="U30">
        <f>T30*(1+'Growth Rates'!T76)</f>
        <v>69281792402.105804</v>
      </c>
      <c r="V30">
        <f>U30*(1+'Growth Rates'!U76)</f>
        <v>69766764948.920532</v>
      </c>
      <c r="W30">
        <f>V30*(1+'Growth Rates'!V76)</f>
        <v>70255132303.562973</v>
      </c>
      <c r="X30">
        <f>W30*(1+'Growth Rates'!W76)</f>
        <v>70746918229.687912</v>
      </c>
      <c r="Y30">
        <f>X30*(1+'Growth Rates'!X76)</f>
        <v>71242146657.295715</v>
      </c>
      <c r="Z30">
        <f>Y30*(1+'Growth Rates'!Y76)</f>
        <v>71740841683.896774</v>
      </c>
      <c r="AA30">
        <f>Z30*(1+'Growth Rates'!Z76)</f>
        <v>72243027575.684052</v>
      </c>
      <c r="AB30">
        <f>AA30*(1+'Growth Rates'!AA76)</f>
        <v>72748728768.713837</v>
      </c>
      <c r="AC30">
        <f>AB30*(1+'Growth Rates'!AB76)</f>
        <v>73257969870.094833</v>
      </c>
    </row>
    <row r="31" spans="1:29" x14ac:dyDescent="0.25">
      <c r="B31" s="1" t="s">
        <v>44</v>
      </c>
      <c r="C31">
        <v>76303988140.924393</v>
      </c>
      <c r="D31">
        <f>C31*(1+'Growth Rates'!C77)</f>
        <v>77440762798.913254</v>
      </c>
      <c r="E31">
        <f>D31*(1+'Growth Rates'!D77)</f>
        <v>78594473093.616928</v>
      </c>
      <c r="F31">
        <f>E31*(1+'Growth Rates'!E77)</f>
        <v>79765371331.672363</v>
      </c>
      <c r="G31">
        <f>F31*(1+'Growth Rates'!F77)</f>
        <v>80953713578.573669</v>
      </c>
      <c r="H31">
        <f>G31*(1+'Growth Rates'!G77)</f>
        <v>82159759714.671432</v>
      </c>
      <c r="I31">
        <f>H31*(1+'Growth Rates'!H77)</f>
        <v>83383773492.006363</v>
      </c>
      <c r="J31">
        <f>I31*(1+'Growth Rates'!I77)</f>
        <v>84626022591.989609</v>
      </c>
      <c r="K31">
        <f>J31*(1+'Growth Rates'!J77)</f>
        <v>85886778683.942429</v>
      </c>
      <c r="L31">
        <f>K31*(1+'Growth Rates'!K77)</f>
        <v>87166317484.507935</v>
      </c>
      <c r="M31">
        <f>L31*(1+'Growth Rates'!L77)</f>
        <v>88464918817.948013</v>
      </c>
      <c r="N31">
        <f>M31*(1+'Growth Rates'!M77)</f>
        <v>89782866677.338455</v>
      </c>
      <c r="O31">
        <f>N31*(1+'Growth Rates'!N77)</f>
        <v>91120449286.675903</v>
      </c>
      <c r="P31">
        <f>O31*(1+'Growth Rates'!O77)</f>
        <v>92477959163.909927</v>
      </c>
      <c r="Q31">
        <f>P31*(1+'Growth Rates'!P77)</f>
        <v>93855693184.914246</v>
      </c>
      <c r="R31">
        <f>Q31*(1+'Growth Rates'!Q77)</f>
        <v>95253952648.41095</v>
      </c>
      <c r="S31">
        <f>R31*(1+'Growth Rates'!R77)</f>
        <v>96673043341.861984</v>
      </c>
      <c r="T31">
        <f>S31*(1+'Growth Rates'!S77)</f>
        <v>98113275608.342255</v>
      </c>
      <c r="U31">
        <f>T31*(1+'Growth Rates'!T77)</f>
        <v>99574964414.409012</v>
      </c>
      <c r="V31">
        <f>U31*(1+'Growth Rates'!U77)</f>
        <v>101058429418.98238</v>
      </c>
      <c r="W31">
        <f>V31*(1+'Growth Rates'!V77)</f>
        <v>102563995043.25203</v>
      </c>
      <c r="X31">
        <f>W31*(1+'Growth Rates'!W77)</f>
        <v>104091990541.62535</v>
      </c>
      <c r="Y31">
        <f>X31*(1+'Growth Rates'!X77)</f>
        <v>105642750073.73259</v>
      </c>
      <c r="Z31">
        <f>Y31*(1+'Growth Rates'!Y77)</f>
        <v>107216612777.5047</v>
      </c>
      <c r="AA31">
        <f>Z31*(1+'Growth Rates'!Z77)</f>
        <v>108813922843.33995</v>
      </c>
      <c r="AB31">
        <f>AA31*(1+'Growth Rates'!AA77)</f>
        <v>110435029589.37543</v>
      </c>
      <c r="AC31">
        <f>AB31*(1+'Growth Rates'!AB77)</f>
        <v>112080287537.87996</v>
      </c>
    </row>
    <row r="32" spans="1:29" x14ac:dyDescent="0.25">
      <c r="A32" t="s">
        <v>127</v>
      </c>
      <c r="B32" s="1" t="s">
        <v>18</v>
      </c>
      <c r="C32">
        <v>955444618038.8855</v>
      </c>
      <c r="D32">
        <f>C32*(1+'Growth Rates'!C78)</f>
        <v>950311629627.47168</v>
      </c>
      <c r="E32">
        <f>D32*(1+'Growth Rates'!D78)</f>
        <v>957718319201.66724</v>
      </c>
      <c r="F32">
        <f>E32*(1+'Growth Rates'!E78)</f>
        <v>972921874217.94531</v>
      </c>
      <c r="G32">
        <f>F32*(1+'Growth Rates'!F78)</f>
        <v>996549569460.12415</v>
      </c>
      <c r="H32">
        <f>G32*(1+'Growth Rates'!G78)</f>
        <v>1023894856631.441</v>
      </c>
      <c r="I32">
        <f>H32*(1+'Growth Rates'!H78)</f>
        <v>1043240339561.4753</v>
      </c>
      <c r="J32">
        <f>I32*(1+'Growth Rates'!I78)</f>
        <v>1060128770899.2229</v>
      </c>
      <c r="K32">
        <f>J32*(1+'Growth Rates'!J78)</f>
        <v>1072463243487.3174</v>
      </c>
      <c r="L32">
        <f>K32*(1+'Growth Rates'!K78)</f>
        <v>1076958271343.9227</v>
      </c>
      <c r="M32">
        <f>L32*(1+'Growth Rates'!L78)</f>
        <v>1077190757486.9237</v>
      </c>
      <c r="N32">
        <f>M32*(1+'Growth Rates'!M78)</f>
        <v>1087222144036.7173</v>
      </c>
      <c r="O32">
        <f>N32*(1+'Growth Rates'!N78)</f>
        <v>1101145325649.322</v>
      </c>
      <c r="P32">
        <f>O32*(1+'Growth Rates'!O78)</f>
        <v>1109847850302.5295</v>
      </c>
      <c r="Q32">
        <f>P32*(1+'Growth Rates'!P78)</f>
        <v>1119175869882.9507</v>
      </c>
      <c r="R32">
        <f>Q32*(1+'Growth Rates'!Q78)</f>
        <v>1127631984529.8411</v>
      </c>
      <c r="S32">
        <f>R32*(1+'Growth Rates'!R78)</f>
        <v>1134144509689.6311</v>
      </c>
      <c r="T32">
        <f>S32*(1+'Growth Rates'!S78)</f>
        <v>1138803379182.3469</v>
      </c>
      <c r="U32">
        <f>T32*(1+'Growth Rates'!T78)</f>
        <v>1146440045593.5098</v>
      </c>
      <c r="V32">
        <f>U32*(1+'Growth Rates'!U78)</f>
        <v>1151940220279.3708</v>
      </c>
      <c r="W32">
        <f>V32*(1+'Growth Rates'!V78)</f>
        <v>1157143391672.8335</v>
      </c>
      <c r="X32">
        <f>W32*(1+'Growth Rates'!W78)</f>
        <v>1168511006895.3042</v>
      </c>
      <c r="Y32">
        <f>X32*(1+'Growth Rates'!X78)</f>
        <v>1181214850790.4517</v>
      </c>
      <c r="Z32">
        <f>Y32*(1+'Growth Rates'!Y78)</f>
        <v>1195797686783.865</v>
      </c>
      <c r="AA32">
        <f>Z32*(1+'Growth Rates'!Z78)</f>
        <v>1211185482157.9504</v>
      </c>
      <c r="AB32">
        <f>AA32*(1+'Growth Rates'!AA78)</f>
        <v>1227556486501.3005</v>
      </c>
      <c r="AC32">
        <f>AB32*(1+'Growth Rates'!AB78)</f>
        <v>1241885627941.1504</v>
      </c>
    </row>
    <row r="33" spans="2:29" x14ac:dyDescent="0.25">
      <c r="B33" s="1" t="s">
        <v>19</v>
      </c>
      <c r="C33">
        <v>2695697335690.458</v>
      </c>
      <c r="D33">
        <f>C33*(1+'Growth Rates'!C79)</f>
        <v>2763825878447.9185</v>
      </c>
      <c r="E33">
        <f>D33*(1+'Growth Rates'!D79)</f>
        <v>2833676238516.5444</v>
      </c>
      <c r="F33">
        <f>E33*(1+'Growth Rates'!E79)</f>
        <v>2905291931502.7627</v>
      </c>
      <c r="G33">
        <f>F33*(1+'Growth Rates'!F79)</f>
        <v>2978717572785.8901</v>
      </c>
      <c r="H33">
        <f>G33*(1+'Growth Rates'!G79)</f>
        <v>3053998905312.7715</v>
      </c>
      <c r="I33">
        <f>H33*(1+'Growth Rates'!H79)</f>
        <v>3131182828094.8691</v>
      </c>
      <c r="J33">
        <f>I33*(1+'Growth Rates'!I79)</f>
        <v>3210317425425.5625</v>
      </c>
      <c r="K33">
        <f>J33*(1+'Growth Rates'!J79)</f>
        <v>3291451996835.8599</v>
      </c>
      <c r="L33">
        <f>K33*(1+'Growth Rates'!K79)</f>
        <v>3374637087807.1816</v>
      </c>
      <c r="M33">
        <f>L33*(1+'Growth Rates'!L79)</f>
        <v>3459924521260.3501</v>
      </c>
      <c r="N33">
        <f>M33*(1+'Growth Rates'!M79)</f>
        <v>3547367429840.4023</v>
      </c>
      <c r="O33">
        <f>N33*(1+'Growth Rates'!N79)</f>
        <v>3637020289017.3403</v>
      </c>
      <c r="P33">
        <f>O33*(1+'Growth Rates'!O79)</f>
        <v>3728938951023.438</v>
      </c>
      <c r="Q33">
        <f>P33*(1+'Growth Rates'!P79)</f>
        <v>3823180679648.2466</v>
      </c>
      <c r="R33">
        <f>Q33*(1+'Growth Rates'!Q79)</f>
        <v>3919804185912.98</v>
      </c>
      <c r="S33">
        <f>R33*(1+'Growth Rates'!R79)</f>
        <v>4018869664646.498</v>
      </c>
      <c r="T33">
        <f>S33*(1+'Growth Rates'!S79)</f>
        <v>4120438831985.6792</v>
      </c>
      <c r="U33">
        <f>T33*(1+'Growth Rates'!T79)</f>
        <v>4224574963823.542</v>
      </c>
      <c r="V33">
        <f>U33*(1+'Growth Rates'!U79)</f>
        <v>4331342935229.0669</v>
      </c>
      <c r="W33">
        <f>V33*(1+'Growth Rates'!V79)</f>
        <v>4440809260863.2822</v>
      </c>
      <c r="X33">
        <f>W33*(1+'Growth Rates'!W79)</f>
        <v>4553042136416.7832</v>
      </c>
      <c r="Y33">
        <f>X33*(1+'Growth Rates'!X79)</f>
        <v>4668111481094.5078</v>
      </c>
      <c r="Z33">
        <f>Y33*(1+'Growth Rates'!Y79)</f>
        <v>4786088981174.2344</v>
      </c>
      <c r="AA33">
        <f>Z33*(1+'Growth Rates'!Z79)</f>
        <v>4907048134665.9307</v>
      </c>
      <c r="AB33">
        <f>AA33*(1+'Growth Rates'!AA79)</f>
        <v>5031064297099.7881</v>
      </c>
      <c r="AC33">
        <f>AB33*(1+'Growth Rates'!AB79)</f>
        <v>5158214728471.4551</v>
      </c>
    </row>
    <row r="34" spans="2:29" x14ac:dyDescent="0.25">
      <c r="B34" s="1" t="s">
        <v>20</v>
      </c>
      <c r="C34">
        <v>722622136536.50574</v>
      </c>
      <c r="D34">
        <f>C34*(1+'Growth Rates'!C80)</f>
        <v>738519823540.30884</v>
      </c>
      <c r="E34">
        <f>D34*(1+'Growth Rates'!D80)</f>
        <v>754767259658.19568</v>
      </c>
      <c r="F34">
        <f>E34*(1+'Growth Rates'!E80)</f>
        <v>771372139370.67603</v>
      </c>
      <c r="G34">
        <f>F34*(1+'Growth Rates'!F80)</f>
        <v>788342326436.83093</v>
      </c>
      <c r="H34">
        <f>G34*(1+'Growth Rates'!G80)</f>
        <v>805685857618.44128</v>
      </c>
      <c r="I34">
        <f>H34*(1+'Growth Rates'!H80)</f>
        <v>823410946486.047</v>
      </c>
      <c r="J34">
        <f>I34*(1+'Growth Rates'!I80)</f>
        <v>841525987308.73999</v>
      </c>
      <c r="K34">
        <f>J34*(1+'Growth Rates'!J80)</f>
        <v>860039559029.53223</v>
      </c>
      <c r="L34">
        <f>K34*(1+'Growth Rates'!K80)</f>
        <v>878960429328.18201</v>
      </c>
      <c r="M34">
        <f>L34*(1+'Growth Rates'!L80)</f>
        <v>898297558773.40198</v>
      </c>
      <c r="N34">
        <f>M34*(1+'Growth Rates'!M80)</f>
        <v>918060105066.41687</v>
      </c>
      <c r="O34">
        <f>N34*(1+'Growth Rates'!N80)</f>
        <v>938257427377.87805</v>
      </c>
      <c r="P34">
        <f>O34*(1+'Growth Rates'!O80)</f>
        <v>958899090780.19141</v>
      </c>
      <c r="Q34">
        <f>P34*(1+'Growth Rates'!P80)</f>
        <v>979994870777.35559</v>
      </c>
      <c r="R34">
        <f>Q34*(1+'Growth Rates'!Q80)</f>
        <v>1001554757934.4574</v>
      </c>
      <c r="S34">
        <f>R34*(1+'Growth Rates'!R80)</f>
        <v>1023588962609.0155</v>
      </c>
      <c r="T34">
        <f>S34*(1+'Growth Rates'!S80)</f>
        <v>1046107919786.4138</v>
      </c>
      <c r="U34">
        <f>T34*(1+'Growth Rates'!T80)</f>
        <v>1069122294021.715</v>
      </c>
      <c r="V34">
        <f>U34*(1+'Growth Rates'!U80)</f>
        <v>1092642984490.1927</v>
      </c>
      <c r="W34">
        <f>V34*(1+'Growth Rates'!V80)</f>
        <v>1116681130148.9771</v>
      </c>
      <c r="X34">
        <f>W34*(1+'Growth Rates'!W80)</f>
        <v>1141248115012.2546</v>
      </c>
      <c r="Y34">
        <f>X34*(1+'Growth Rates'!X80)</f>
        <v>1166355573542.5242</v>
      </c>
      <c r="Z34">
        <f>Y34*(1+'Growth Rates'!Y80)</f>
        <v>1192015396160.4597</v>
      </c>
      <c r="AA34">
        <f>Z34*(1+'Growth Rates'!Z80)</f>
        <v>1218239734875.9897</v>
      </c>
      <c r="AB34">
        <f>AA34*(1+'Growth Rates'!AA80)</f>
        <v>1245041009043.2615</v>
      </c>
      <c r="AC34">
        <f>AB34*(1+'Growth Rates'!AB80)</f>
        <v>1272431911242.2131</v>
      </c>
    </row>
    <row r="35" spans="2:29" x14ac:dyDescent="0.25">
      <c r="B35" s="1" t="s">
        <v>21</v>
      </c>
      <c r="C35">
        <v>702899927839.35669</v>
      </c>
      <c r="D35">
        <f>C35*(1+'Growth Rates'!C81)</f>
        <v>719066626179.66187</v>
      </c>
      <c r="E35">
        <f>D35*(1+'Growth Rates'!D81)</f>
        <v>735605158581.79407</v>
      </c>
      <c r="F35">
        <f>E35*(1+'Growth Rates'!E81)</f>
        <v>752524077229.17529</v>
      </c>
      <c r="G35">
        <f>F35*(1+'Growth Rates'!F81)</f>
        <v>769832131005.44629</v>
      </c>
      <c r="H35">
        <f>G35*(1+'Growth Rates'!G81)</f>
        <v>787538270018.57153</v>
      </c>
      <c r="I35">
        <f>H35*(1+'Growth Rates'!H81)</f>
        <v>805651650228.99866</v>
      </c>
      <c r="J35">
        <f>I35*(1+'Growth Rates'!I81)</f>
        <v>824181638184.2655</v>
      </c>
      <c r="K35">
        <f>J35*(1+'Growth Rates'!J81)</f>
        <v>843137815862.50354</v>
      </c>
      <c r="L35">
        <f>K35*(1+'Growth Rates'!K81)</f>
        <v>862529985627.34106</v>
      </c>
      <c r="M35">
        <f>L35*(1+'Growth Rates'!L81)</f>
        <v>882368175296.76978</v>
      </c>
      <c r="N35">
        <f>M35*(1+'Growth Rates'!M81)</f>
        <v>902662643328.59546</v>
      </c>
      <c r="O35">
        <f>N35*(1+'Growth Rates'!N81)</f>
        <v>923423884125.15308</v>
      </c>
      <c r="P35">
        <f>O35*(1+'Growth Rates'!O81)</f>
        <v>944662633460.03149</v>
      </c>
      <c r="Q35">
        <f>P35*(1+'Growth Rates'!P81)</f>
        <v>966389874029.61218</v>
      </c>
      <c r="R35">
        <f>Q35*(1+'Growth Rates'!Q81)</f>
        <v>988616841132.29321</v>
      </c>
      <c r="S35">
        <f>R35*(1+'Growth Rates'!R81)</f>
        <v>1011355028478.3358</v>
      </c>
      <c r="T35">
        <f>S35*(1+'Growth Rates'!S81)</f>
        <v>1034616194133.3374</v>
      </c>
      <c r="U35">
        <f>T35*(1+'Growth Rates'!T81)</f>
        <v>1058412366598.4041</v>
      </c>
      <c r="V35">
        <f>U35*(1+'Growth Rates'!U81)</f>
        <v>1082755851030.1672</v>
      </c>
      <c r="W35">
        <f>V35*(1+'Growth Rates'!V81)</f>
        <v>1107659235603.8611</v>
      </c>
      <c r="X35">
        <f>W35*(1+'Growth Rates'!W81)</f>
        <v>1133135398022.7498</v>
      </c>
      <c r="Y35">
        <f>X35*(1+'Growth Rates'!X81)</f>
        <v>1159197512177.2729</v>
      </c>
      <c r="Z35">
        <f>Y35*(1+'Growth Rates'!Y81)</f>
        <v>1185859054957.3501</v>
      </c>
      <c r="AA35">
        <f>Z35*(1+'Growth Rates'!Z81)</f>
        <v>1213133813221.3691</v>
      </c>
      <c r="AB35">
        <f>AA35*(1+'Growth Rates'!AA81)</f>
        <v>1241035890925.4604</v>
      </c>
      <c r="AC35">
        <f>AB35*(1+'Growth Rates'!AB81)</f>
        <v>1269579716416.7458</v>
      </c>
    </row>
    <row r="36" spans="2:29" x14ac:dyDescent="0.25">
      <c r="B36" s="1" t="s">
        <v>22</v>
      </c>
      <c r="C36">
        <v>502077832785.89508</v>
      </c>
      <c r="D36">
        <f>C36*(1+'Growth Rates'!C82)</f>
        <v>520490574007.68451</v>
      </c>
      <c r="E36">
        <f>D36*(1+'Growth Rates'!D82)</f>
        <v>539578567186.76392</v>
      </c>
      <c r="F36">
        <f>E36*(1+'Growth Rates'!E82)</f>
        <v>559366575893.11621</v>
      </c>
      <c r="G36">
        <f>F36*(1+'Growth Rates'!F82)</f>
        <v>579880271853.14172</v>
      </c>
      <c r="H36">
        <f>G36*(1+'Growth Rates'!G82)</f>
        <v>601146268254.55212</v>
      </c>
      <c r="I36">
        <f>H36*(1+'Growth Rates'!H82)</f>
        <v>623192154272.65796</v>
      </c>
      <c r="J36">
        <f>I36*(1+'Growth Rates'!I82)</f>
        <v>646046530862.84131</v>
      </c>
      <c r="K36">
        <f>J36*(1+'Growth Rates'!J82)</f>
        <v>669739047865.64832</v>
      </c>
      <c r="L36">
        <f>K36*(1+'Growth Rates'!K82)</f>
        <v>694300442472.6405</v>
      </c>
      <c r="M36">
        <f>L36*(1+'Growth Rates'!L82)</f>
        <v>719762579102.9071</v>
      </c>
      <c r="N36">
        <f>M36*(1+'Growth Rates'!M82)</f>
        <v>746158490741.9718</v>
      </c>
      <c r="O36">
        <f>N36*(1+'Growth Rates'!N82)</f>
        <v>773522421796.72449</v>
      </c>
      <c r="P36">
        <f>O36*(1+'Growth Rates'!O82)</f>
        <v>801889872521.97595</v>
      </c>
      <c r="Q36">
        <f>P36*(1+'Growth Rates'!P82)</f>
        <v>831297645076.27075</v>
      </c>
      <c r="R36">
        <f>Q36*(1+'Growth Rates'!Q82)</f>
        <v>861783891266.70862</v>
      </c>
      <c r="S36">
        <f>R36*(1+'Growth Rates'!R82)</f>
        <v>893388162044.71619</v>
      </c>
      <c r="T36">
        <f>S36*(1+'Growth Rates'!S82)</f>
        <v>926151458816.98022</v>
      </c>
      <c r="U36">
        <f>T36*(1+'Growth Rates'!T82)</f>
        <v>960116286638.11182</v>
      </c>
      <c r="V36">
        <f>U36*(1+'Growth Rates'!U82)</f>
        <v>995326709354.04895</v>
      </c>
      <c r="W36">
        <f>V36*(1+'Growth Rates'!V82)</f>
        <v>1031828406767.7377</v>
      </c>
      <c r="X36">
        <f>W36*(1+'Growth Rates'!W82)</f>
        <v>1069668733901.2549</v>
      </c>
      <c r="Y36">
        <f>X36*(1+'Growth Rates'!X82)</f>
        <v>1108896782431.2561</v>
      </c>
      <c r="Z36">
        <f>Y36*(1+'Growth Rates'!Y82)</f>
        <v>1149563444377.45</v>
      </c>
      <c r="AA36">
        <f>Z36*(1+'Growth Rates'!Z82)</f>
        <v>1191721478126.7256</v>
      </c>
      <c r="AB36">
        <f>AA36*(1+'Growth Rates'!AA82)</f>
        <v>1235425576878.5879</v>
      </c>
      <c r="AC36">
        <f>AB36*(1+'Growth Rates'!AB82)</f>
        <v>1280732439600.6985</v>
      </c>
    </row>
    <row r="37" spans="2:29" x14ac:dyDescent="0.25">
      <c r="B37" s="1" t="s">
        <v>23</v>
      </c>
      <c r="C37">
        <v>276414380151.12201</v>
      </c>
      <c r="D37">
        <f>C37*(1+'Growth Rates'!C83)</f>
        <v>283877568415.20227</v>
      </c>
      <c r="E37">
        <f>D37*(1+'Growth Rates'!D83)</f>
        <v>291542262762.41272</v>
      </c>
      <c r="F37">
        <f>E37*(1+'Growth Rates'!E83)</f>
        <v>299413903856.99786</v>
      </c>
      <c r="G37">
        <f>F37*(1+'Growth Rates'!F83)</f>
        <v>307498079261.13678</v>
      </c>
      <c r="H37">
        <f>G37*(1+'Growth Rates'!G83)</f>
        <v>315800527401.18744</v>
      </c>
      <c r="I37">
        <f>H37*(1+'Growth Rates'!H83)</f>
        <v>324327141641.01947</v>
      </c>
      <c r="J37">
        <f>I37*(1+'Growth Rates'!I83)</f>
        <v>333083974465.32697</v>
      </c>
      <c r="K37">
        <f>J37*(1+'Growth Rates'!J83)</f>
        <v>342077241775.89075</v>
      </c>
      <c r="L37">
        <f>K37*(1+'Growth Rates'!K83)</f>
        <v>351313327303.83978</v>
      </c>
      <c r="M37">
        <f>L37*(1+'Growth Rates'!L83)</f>
        <v>360798787141.0434</v>
      </c>
      <c r="N37">
        <f>M37*(1+'Growth Rates'!M83)</f>
        <v>370540354393.85156</v>
      </c>
      <c r="O37">
        <f>N37*(1+'Growth Rates'!N83)</f>
        <v>380544943962.48553</v>
      </c>
      <c r="P37">
        <f>O37*(1+'Growth Rates'!O83)</f>
        <v>390819657449.4726</v>
      </c>
      <c r="Q37">
        <f>P37*(1+'Growth Rates'!P83)</f>
        <v>401371788200.60834</v>
      </c>
      <c r="R37">
        <f>Q37*(1+'Growth Rates'!Q83)</f>
        <v>412208826482.02472</v>
      </c>
      <c r="S37">
        <f>R37*(1+'Growth Rates'!R83)</f>
        <v>423338464797.03937</v>
      </c>
      <c r="T37">
        <f>S37*(1+'Growth Rates'!S83)</f>
        <v>434768603346.55939</v>
      </c>
      <c r="U37">
        <f>T37*(1+'Growth Rates'!T83)</f>
        <v>446507355636.91644</v>
      </c>
      <c r="V37">
        <f>U37*(1+'Growth Rates'!U83)</f>
        <v>458563054239.11316</v>
      </c>
      <c r="W37">
        <f>V37*(1+'Growth Rates'!V83)</f>
        <v>470944256703.56915</v>
      </c>
      <c r="X37">
        <f>W37*(1+'Growth Rates'!W83)</f>
        <v>483659751634.56549</v>
      </c>
      <c r="Y37">
        <f>X37*(1+'Growth Rates'!X83)</f>
        <v>496718564928.69873</v>
      </c>
      <c r="Z37">
        <f>Y37*(1+'Growth Rates'!Y83)</f>
        <v>510129966181.77356</v>
      </c>
      <c r="AA37">
        <f>Z37*(1+'Growth Rates'!Z83)</f>
        <v>523903475268.6814</v>
      </c>
      <c r="AB37">
        <f>AA37*(1+'Growth Rates'!AA83)</f>
        <v>538048869100.93573</v>
      </c>
      <c r="AC37">
        <f>AB37*(1+'Growth Rates'!AB83)</f>
        <v>552576188566.66089</v>
      </c>
    </row>
    <row r="38" spans="2:29" x14ac:dyDescent="0.25">
      <c r="B38" s="1" t="s">
        <v>24</v>
      </c>
      <c r="C38">
        <v>769466956667.27222</v>
      </c>
      <c r="D38">
        <f>C38*(1+'Growth Rates'!C84)</f>
        <v>798706701020.62854</v>
      </c>
      <c r="E38">
        <f>D38*(1+'Growth Rates'!D84)</f>
        <v>829057555659.41248</v>
      </c>
      <c r="F38">
        <f>E38*(1+'Growth Rates'!E84)</f>
        <v>860561742774.47021</v>
      </c>
      <c r="G38">
        <f>F38*(1+'Growth Rates'!F84)</f>
        <v>893263088999.90015</v>
      </c>
      <c r="H38">
        <f>G38*(1+'Growth Rates'!G84)</f>
        <v>927207086381.89636</v>
      </c>
      <c r="I38">
        <f>H38*(1+'Growth Rates'!H84)</f>
        <v>962440955664.40845</v>
      </c>
      <c r="J38">
        <f>I38*(1+'Growth Rates'!I84)</f>
        <v>999013711979.65601</v>
      </c>
      <c r="K38">
        <f>J38*(1+'Growth Rates'!J84)</f>
        <v>1036976233034.8829</v>
      </c>
      <c r="L38">
        <f>K38*(1+'Growth Rates'!K84)</f>
        <v>1076381329890.2085</v>
      </c>
      <c r="M38">
        <f>L38*(1+'Growth Rates'!L84)</f>
        <v>1117283820426.0364</v>
      </c>
      <c r="N38">
        <f>M38*(1+'Growth Rates'!M84)</f>
        <v>1159740605602.2258</v>
      </c>
      <c r="O38">
        <f>N38*(1+'Growth Rates'!N84)</f>
        <v>1203810748615.1104</v>
      </c>
      <c r="P38">
        <f>O38*(1+'Growth Rates'!O84)</f>
        <v>1249555557062.4846</v>
      </c>
      <c r="Q38">
        <f>P38*(1+'Growth Rates'!P84)</f>
        <v>1297038668230.8591</v>
      </c>
      <c r="R38">
        <f>Q38*(1+'Growth Rates'!Q84)</f>
        <v>1346326137623.6318</v>
      </c>
      <c r="S38">
        <f>R38*(1+'Growth Rates'!R84)</f>
        <v>1397486530853.3298</v>
      </c>
      <c r="T38">
        <f>S38*(1+'Growth Rates'!S84)</f>
        <v>1450591019025.7563</v>
      </c>
      <c r="U38">
        <f>T38*(1+'Growth Rates'!T84)</f>
        <v>1505713477748.7351</v>
      </c>
      <c r="V38">
        <f>U38*(1+'Growth Rates'!U84)</f>
        <v>1562930589903.187</v>
      </c>
      <c r="W38">
        <f>V38*(1+'Growth Rates'!V84)</f>
        <v>1622321952319.5081</v>
      </c>
      <c r="X38">
        <f>W38*(1+'Growth Rates'!W84)</f>
        <v>1683970186507.6494</v>
      </c>
      <c r="Y38">
        <f>X38*(1+'Growth Rates'!X84)</f>
        <v>1747961053594.9402</v>
      </c>
      <c r="Z38">
        <f>Y38*(1+'Growth Rates'!Y84)</f>
        <v>1814383573631.5479</v>
      </c>
      <c r="AA38">
        <f>Z38*(1+'Growth Rates'!Z84)</f>
        <v>1883330149429.5466</v>
      </c>
      <c r="AB38">
        <f>AA38*(1+'Growth Rates'!AA84)</f>
        <v>1954896695107.8694</v>
      </c>
      <c r="AC38">
        <f>AB38*(1+'Growth Rates'!AB84)</f>
        <v>2029182769521.9685</v>
      </c>
    </row>
    <row r="39" spans="2:29" x14ac:dyDescent="0.25">
      <c r="B39" s="1" t="s">
        <v>25</v>
      </c>
      <c r="C39">
        <v>1631554224311.3398</v>
      </c>
      <c r="D39">
        <f>C39*(1+'Growth Rates'!C85)</f>
        <v>1664185308797.5667</v>
      </c>
      <c r="E39">
        <f>D39*(1+'Growth Rates'!D85)</f>
        <v>1697469014973.5181</v>
      </c>
      <c r="F39">
        <f>E39*(1+'Growth Rates'!E85)</f>
        <v>1731418395272.9885</v>
      </c>
      <c r="G39">
        <f>F39*(1+'Growth Rates'!F85)</f>
        <v>1766046763178.4482</v>
      </c>
      <c r="H39">
        <f>G39*(1+'Growth Rates'!G85)</f>
        <v>1801367698442.0173</v>
      </c>
      <c r="I39">
        <f>H39*(1+'Growth Rates'!H85)</f>
        <v>1837395052410.8577</v>
      </c>
      <c r="J39">
        <f>I39*(1+'Growth Rates'!I85)</f>
        <v>1874142953459.075</v>
      </c>
      <c r="K39">
        <f>J39*(1+'Growth Rates'!J85)</f>
        <v>1911625812528.2566</v>
      </c>
      <c r="L39">
        <f>K39*(1+'Growth Rates'!K85)</f>
        <v>1949858328778.8218</v>
      </c>
      <c r="M39">
        <f>L39*(1+'Growth Rates'!L85)</f>
        <v>1988855495354.3982</v>
      </c>
      <c r="N39">
        <f>M39*(1+'Growth Rates'!M85)</f>
        <v>2028632605261.4861</v>
      </c>
      <c r="O39">
        <f>N39*(1+'Growth Rates'!N85)</f>
        <v>2069205257366.7158</v>
      </c>
      <c r="P39">
        <f>O39*(1+'Growth Rates'!O85)</f>
        <v>2110589362514.0503</v>
      </c>
      <c r="Q39">
        <f>P39*(1+'Growth Rates'!P85)</f>
        <v>2152801149764.3313</v>
      </c>
      <c r="R39">
        <f>Q39*(1+'Growth Rates'!Q85)</f>
        <v>2195857172759.6179</v>
      </c>
      <c r="S39">
        <f>R39*(1+'Growth Rates'!R85)</f>
        <v>2239774316214.8105</v>
      </c>
      <c r="T39">
        <f>S39*(1+'Growth Rates'!S85)</f>
        <v>2284569802539.1069</v>
      </c>
      <c r="U39">
        <f>T39*(1+'Growth Rates'!T85)</f>
        <v>2330261198589.8892</v>
      </c>
      <c r="V39">
        <f>U39*(1+'Growth Rates'!U85)</f>
        <v>2376866422561.687</v>
      </c>
      <c r="W39">
        <f>V39*(1+'Growth Rates'!V85)</f>
        <v>2424403751012.9209</v>
      </c>
      <c r="X39">
        <f>W39*(1+'Growth Rates'!W85)</f>
        <v>2472891826033.1792</v>
      </c>
      <c r="Y39">
        <f>X39*(1+'Growth Rates'!X85)</f>
        <v>2522349662553.8428</v>
      </c>
      <c r="Z39">
        <f>Y39*(1+'Growth Rates'!Y85)</f>
        <v>2572796655804.9194</v>
      </c>
      <c r="AA39">
        <f>Z39*(1+'Growth Rates'!Z85)</f>
        <v>2624252588921.0181</v>
      </c>
      <c r="AB39">
        <f>AA39*(1+'Growth Rates'!AA85)</f>
        <v>2676737640699.4385</v>
      </c>
      <c r="AC39">
        <f>AB39*(1+'Growth Rates'!AB85)</f>
        <v>2730272393513.4272</v>
      </c>
    </row>
    <row r="40" spans="2:29" x14ac:dyDescent="0.25">
      <c r="B40" s="1" t="s">
        <v>26</v>
      </c>
      <c r="C40">
        <v>2966016422635.1572</v>
      </c>
      <c r="D40">
        <f>C40*(1+'Growth Rates'!C86)</f>
        <v>3022370734665.2251</v>
      </c>
      <c r="E40">
        <f>D40*(1+'Growth Rates'!D86)</f>
        <v>3079795778623.8643</v>
      </c>
      <c r="F40">
        <f>E40*(1+'Growth Rates'!E86)</f>
        <v>3138311898417.7173</v>
      </c>
      <c r="G40">
        <f>F40*(1+'Growth Rates'!F86)</f>
        <v>3197939824487.6538</v>
      </c>
      <c r="H40">
        <f>G40*(1+'Growth Rates'!G86)</f>
        <v>3258700681152.9189</v>
      </c>
      <c r="I40">
        <f>H40*(1+'Growth Rates'!H86)</f>
        <v>3320615994094.8242</v>
      </c>
      <c r="J40">
        <f>I40*(1+'Growth Rates'!I86)</f>
        <v>3383707697982.6255</v>
      </c>
      <c r="K40">
        <f>J40*(1+'Growth Rates'!J86)</f>
        <v>3447998144244.2949</v>
      </c>
      <c r="L40">
        <f>K40*(1+'Growth Rates'!K86)</f>
        <v>3513510108984.936</v>
      </c>
      <c r="M40">
        <f>L40*(1+'Growth Rates'!L86)</f>
        <v>3580266801055.6494</v>
      </c>
      <c r="N40">
        <f>M40*(1+'Growth Rates'!M86)</f>
        <v>3648291870275.7065</v>
      </c>
      <c r="O40">
        <f>N40*(1+'Growth Rates'!N86)</f>
        <v>3717609415810.9448</v>
      </c>
      <c r="P40">
        <f>O40*(1+'Growth Rates'!O86)</f>
        <v>3788243994711.3525</v>
      </c>
      <c r="Q40">
        <f>P40*(1+'Growth Rates'!P86)</f>
        <v>3860220630610.8677</v>
      </c>
      <c r="R40">
        <f>Q40*(1+'Growth Rates'!Q86)</f>
        <v>3933564822592.4736</v>
      </c>
      <c r="S40">
        <f>R40*(1+'Growth Rates'!R86)</f>
        <v>4008302554221.7305</v>
      </c>
      <c r="T40">
        <f>S40*(1+'Growth Rates'!S86)</f>
        <v>4084460302751.9429</v>
      </c>
      <c r="U40">
        <f>T40*(1+'Growth Rates'!T86)</f>
        <v>4162065048504.2295</v>
      </c>
      <c r="V40">
        <f>U40*(1+'Growth Rates'!U86)</f>
        <v>4241144284425.8096</v>
      </c>
      <c r="W40">
        <f>V40*(1+'Growth Rates'!V86)</f>
        <v>4321726025829.8994</v>
      </c>
      <c r="X40">
        <f>W40*(1+'Growth Rates'!W86)</f>
        <v>4403838820320.667</v>
      </c>
      <c r="Y40">
        <f>X40*(1+'Growth Rates'!X86)</f>
        <v>4487511757906.7588</v>
      </c>
      <c r="Z40">
        <f>Y40*(1+'Growth Rates'!Y86)</f>
        <v>4572774481306.9863</v>
      </c>
      <c r="AA40">
        <f>Z40*(1+'Growth Rates'!Z86)</f>
        <v>4659657196451.8184</v>
      </c>
      <c r="AB40">
        <f>AA40*(1+'Growth Rates'!AA86)</f>
        <v>4748190683184.4023</v>
      </c>
      <c r="AC40">
        <f>AB40*(1+'Growth Rates'!AB86)</f>
        <v>4838406306164.9053</v>
      </c>
    </row>
    <row r="41" spans="2:29" x14ac:dyDescent="0.25">
      <c r="B41" s="1" t="s">
        <v>27</v>
      </c>
      <c r="C41">
        <v>2342317857718.9507</v>
      </c>
      <c r="D41">
        <f>C41*(1+'Growth Rates'!C87)</f>
        <v>2396894586612.707</v>
      </c>
      <c r="E41">
        <f>D41*(1+'Growth Rates'!D87)</f>
        <v>2452742970131.3584</v>
      </c>
      <c r="F41">
        <f>E41*(1+'Growth Rates'!E87)</f>
        <v>2509892638220.0811</v>
      </c>
      <c r="G41">
        <f>F41*(1+'Growth Rates'!F87)</f>
        <v>2568373911210.917</v>
      </c>
      <c r="H41">
        <f>G41*(1+'Growth Rates'!G87)</f>
        <v>2628217815909.002</v>
      </c>
      <c r="I41">
        <f>H41*(1+'Growth Rates'!H87)</f>
        <v>2689456102053.605</v>
      </c>
      <c r="J41">
        <f>I41*(1+'Growth Rates'!I87)</f>
        <v>2752121259162.7178</v>
      </c>
      <c r="K41">
        <f>J41*(1+'Growth Rates'!J87)</f>
        <v>2816246533770.1274</v>
      </c>
      <c r="L41">
        <f>K41*(1+'Growth Rates'!K87)</f>
        <v>2881865947064.1177</v>
      </c>
      <c r="M41">
        <f>L41*(1+'Growth Rates'!L87)</f>
        <v>2949014312937.1577</v>
      </c>
      <c r="N41">
        <f>M41*(1+'Growth Rates'!M87)</f>
        <v>3017727256456.1538</v>
      </c>
      <c r="O41">
        <f>N41*(1+'Growth Rates'!N87)</f>
        <v>3088041232763.0654</v>
      </c>
      <c r="P41">
        <f>O41*(1+'Growth Rates'!O87)</f>
        <v>3159993546415.9092</v>
      </c>
      <c r="Q41">
        <f>P41*(1+'Growth Rates'!P87)</f>
        <v>3233622371180.415</v>
      </c>
      <c r="R41">
        <f>Q41*(1+'Growth Rates'!Q87)</f>
        <v>3308966770282.834</v>
      </c>
      <c r="S41">
        <f>R41*(1+'Growth Rates'!R87)</f>
        <v>3386066717134.6431</v>
      </c>
      <c r="T41">
        <f>S41*(1+'Growth Rates'!S87)</f>
        <v>3464963116540.1431</v>
      </c>
      <c r="U41">
        <f>T41*(1+'Growth Rates'!T87)</f>
        <v>3545697826398.1963</v>
      </c>
      <c r="V41">
        <f>U41*(1+'Growth Rates'!U87)</f>
        <v>3628313679909.6265</v>
      </c>
      <c r="W41">
        <f>V41*(1+'Growth Rates'!V87)</f>
        <v>3712854508302.0537</v>
      </c>
      <c r="X41">
        <f>W41*(1+'Growth Rates'!W87)</f>
        <v>3799365164084.2275</v>
      </c>
      <c r="Y41">
        <f>X41*(1+'Growth Rates'!X87)</f>
        <v>3887891544842.1919</v>
      </c>
      <c r="Z41">
        <f>Y41*(1+'Growth Rates'!Y87)</f>
        <v>3978480617589.9097</v>
      </c>
      <c r="AA41">
        <f>Z41*(1+'Growth Rates'!Z87)</f>
        <v>4071180443687.2617</v>
      </c>
      <c r="AB41">
        <f>AA41*(1+'Growth Rates'!AA87)</f>
        <v>4166040204338.646</v>
      </c>
      <c r="AC41">
        <f>AB41*(1+'Growth Rates'!AB87)</f>
        <v>4263110226685.6992</v>
      </c>
    </row>
    <row r="42" spans="2:29" x14ac:dyDescent="0.25">
      <c r="B42" s="1" t="s">
        <v>28</v>
      </c>
      <c r="C42">
        <v>2412645470985.5938</v>
      </c>
      <c r="D42">
        <f>C42*(1+'Growth Rates'!C88)</f>
        <v>2424866035535.0288</v>
      </c>
      <c r="E42">
        <f>D42*(1+'Growth Rates'!D88)</f>
        <v>2437148499853.7017</v>
      </c>
      <c r="F42">
        <f>E42*(1+'Growth Rates'!E88)</f>
        <v>2449493177477.1631</v>
      </c>
      <c r="G42">
        <f>F42*(1+'Growth Rates'!F88)</f>
        <v>2461900383529.0874</v>
      </c>
      <c r="H42">
        <f>G42*(1+'Growth Rates'!G88)</f>
        <v>2474370434729.3184</v>
      </c>
      <c r="I42">
        <f>H42*(1+'Growth Rates'!H88)</f>
        <v>2486903649401.9536</v>
      </c>
      <c r="J42">
        <f>I42*(1+'Growth Rates'!I88)</f>
        <v>2499500347483.4697</v>
      </c>
      <c r="K42">
        <f>J42*(1+'Growth Rates'!J88)</f>
        <v>2512160850530.8896</v>
      </c>
      <c r="L42">
        <f>K42*(1+'Growth Rates'!K88)</f>
        <v>2524885481729.9922</v>
      </c>
      <c r="M42">
        <f>L42*(1+'Growth Rates'!L88)</f>
        <v>2537674565903.5605</v>
      </c>
      <c r="N42">
        <f>M42*(1+'Growth Rates'!M88)</f>
        <v>2550528429519.6748</v>
      </c>
      <c r="O42">
        <f>N42*(1+'Growth Rates'!N88)</f>
        <v>2563447400700.0454</v>
      </c>
      <c r="P42">
        <f>O42*(1+'Growth Rates'!O88)</f>
        <v>2576431809228.3896</v>
      </c>
      <c r="Q42">
        <f>P42*(1+'Growth Rates'!P88)</f>
        <v>2589481986558.8496</v>
      </c>
      <c r="R42">
        <f>Q42*(1+'Growth Rates'!Q88)</f>
        <v>2602598265824.4536</v>
      </c>
      <c r="S42">
        <f>R42*(1+'Growth Rates'!R88)</f>
        <v>2615780981845.6196</v>
      </c>
      <c r="T42">
        <f>S42*(1+'Growth Rates'!S88)</f>
        <v>2629030471138.7026</v>
      </c>
      <c r="U42">
        <f>T42*(1+'Growth Rates'!T88)</f>
        <v>2642347071924.585</v>
      </c>
      <c r="V42">
        <f>U42*(1+'Growth Rates'!U88)</f>
        <v>2655731124137.3096</v>
      </c>
      <c r="W42">
        <f>V42*(1+'Growth Rates'!V88)</f>
        <v>2669182969432.7583</v>
      </c>
      <c r="X42">
        <f>W42*(1+'Growth Rates'!W88)</f>
        <v>2682702951197.373</v>
      </c>
      <c r="Y42">
        <f>X42*(1+'Growth Rates'!X88)</f>
        <v>2696291414556.9214</v>
      </c>
      <c r="Z42">
        <f>Y42*(1+'Growth Rates'!Y88)</f>
        <v>2709948706385.3057</v>
      </c>
      <c r="AA42">
        <f>Z42*(1+'Growth Rates'!Z88)</f>
        <v>2723675175313.4199</v>
      </c>
      <c r="AB42">
        <f>AA42*(1+'Growth Rates'!AA88)</f>
        <v>2737471171738.0479</v>
      </c>
      <c r="AC42">
        <f>AB42*(1+'Growth Rates'!AB88)</f>
        <v>2751337047830.8066</v>
      </c>
    </row>
    <row r="43" spans="2:29" x14ac:dyDescent="0.25">
      <c r="B43" s="1" t="s">
        <v>29</v>
      </c>
      <c r="C43">
        <v>245034500062.16345</v>
      </c>
      <c r="D43">
        <f>C43*(1+'Growth Rates'!C89)</f>
        <v>246192487827.32974</v>
      </c>
      <c r="E43">
        <f>D43*(1+'Growth Rates'!D89)</f>
        <v>247355948028.67923</v>
      </c>
      <c r="F43">
        <f>E43*(1+'Growth Rates'!E89)</f>
        <v>248524906527.93402</v>
      </c>
      <c r="G43">
        <f>F43*(1+'Growth Rates'!F89)</f>
        <v>249699389309.03397</v>
      </c>
      <c r="H43">
        <f>G43*(1+'Growth Rates'!G89)</f>
        <v>250879422478.71414</v>
      </c>
      <c r="I43">
        <f>H43*(1+'Growth Rates'!H89)</f>
        <v>252065032267.0853</v>
      </c>
      <c r="J43">
        <f>I43*(1+'Growth Rates'!I89)</f>
        <v>253256245028.2168</v>
      </c>
      <c r="K43">
        <f>J43*(1+'Growth Rates'!J89)</f>
        <v>254453087240.7225</v>
      </c>
      <c r="L43">
        <f>K43*(1+'Growth Rates'!K89)</f>
        <v>255655585508.34927</v>
      </c>
      <c r="M43">
        <f>L43*(1+'Growth Rates'!L89)</f>
        <v>256863766560.56839</v>
      </c>
      <c r="N43">
        <f>M43*(1+'Growth Rates'!M89)</f>
        <v>258077657253.16968</v>
      </c>
      <c r="O43">
        <f>N43*(1+'Growth Rates'!N89)</f>
        <v>259297284568.85843</v>
      </c>
      <c r="P43">
        <f>O43*(1+'Growth Rates'!O89)</f>
        <v>260522675617.85522</v>
      </c>
      <c r="Q43">
        <f>P43*(1+'Growth Rates'!P89)</f>
        <v>261753857638.49854</v>
      </c>
      <c r="R43">
        <f>Q43*(1+'Growth Rates'!Q89)</f>
        <v>262990857997.85022</v>
      </c>
      <c r="S43">
        <f>R43*(1+'Growth Rates'!R89)</f>
        <v>264233704192.3038</v>
      </c>
      <c r="T43">
        <f>S43*(1+'Growth Rates'!S89)</f>
        <v>265482423848.19565</v>
      </c>
      <c r="U43">
        <f>T43*(1+'Growth Rates'!T89)</f>
        <v>266737044722.4191</v>
      </c>
      <c r="V43">
        <f>U43*(1+'Growth Rates'!U89)</f>
        <v>267997594703.04147</v>
      </c>
      <c r="W43">
        <f>V43*(1+'Growth Rates'!V89)</f>
        <v>269264101809.92392</v>
      </c>
      <c r="X43">
        <f>W43*(1+'Growth Rates'!W89)</f>
        <v>270536594195.34424</v>
      </c>
      <c r="Y43">
        <f>X43*(1+'Growth Rates'!X89)</f>
        <v>271815100144.62277</v>
      </c>
      <c r="Z43">
        <f>Y43*(1+'Growth Rates'!Y89)</f>
        <v>273099648076.75098</v>
      </c>
      <c r="AA43">
        <f>Z43*(1+'Growth Rates'!Z89)</f>
        <v>274390266545.02325</v>
      </c>
      <c r="AB43">
        <f>AA43*(1+'Growth Rates'!AA89)</f>
        <v>275686984237.67163</v>
      </c>
      <c r="AC43">
        <f>AB43*(1+'Growth Rates'!AB89)</f>
        <v>276989829978.50336</v>
      </c>
    </row>
    <row r="44" spans="2:29" x14ac:dyDescent="0.25">
      <c r="B44" s="1" t="s">
        <v>30</v>
      </c>
      <c r="C44">
        <v>1617081317209.0825</v>
      </c>
      <c r="D44">
        <f>C44*(1+'Growth Rates'!C90)</f>
        <v>1661879925157.8882</v>
      </c>
      <c r="E44">
        <f>D44*(1+'Growth Rates'!D90)</f>
        <v>1707919605681.5813</v>
      </c>
      <c r="F44">
        <f>E44*(1+'Growth Rates'!E90)</f>
        <v>1755234740677.4272</v>
      </c>
      <c r="G44">
        <f>F44*(1+'Growth Rates'!F90)</f>
        <v>1803860664537.2383</v>
      </c>
      <c r="H44">
        <f>G44*(1+'Growth Rates'!G90)</f>
        <v>1853833690534.6855</v>
      </c>
      <c r="I44">
        <f>H44*(1+'Growth Rates'!H90)</f>
        <v>1905191137943.6294</v>
      </c>
      <c r="J44">
        <f>I44*(1+'Growth Rates'!I90)</f>
        <v>1957971359907.7178</v>
      </c>
      <c r="K44">
        <f>J44*(1+'Growth Rates'!J90)</f>
        <v>2012213772082.0679</v>
      </c>
      <c r="L44">
        <f>K44*(1+'Growth Rates'!K90)</f>
        <v>2067958882068.418</v>
      </c>
      <c r="M44">
        <f>L44*(1+'Growth Rates'!L90)</f>
        <v>2125248319665.7329</v>
      </c>
      <c r="N44">
        <f>M44*(1+'Growth Rates'!M90)</f>
        <v>2184124867958.8533</v>
      </c>
      <c r="O44">
        <f>N44*(1+'Growth Rates'!N90)</f>
        <v>2244632495268.4048</v>
      </c>
      <c r="P44">
        <f>O44*(1+'Growth Rates'!O90)</f>
        <v>2306816387985.8281</v>
      </c>
      <c r="Q44">
        <f>P44*(1+'Growth Rates'!P90)</f>
        <v>2370722984318.0493</v>
      </c>
      <c r="R44">
        <f>Q44*(1+'Growth Rates'!Q90)</f>
        <v>2436400008966.9927</v>
      </c>
      <c r="S44">
        <f>R44*(1+'Growth Rates'!R90)</f>
        <v>2503896508769.8325</v>
      </c>
      <c r="T44">
        <f>S44*(1+'Growth Rates'!S90)</f>
        <v>2573262889326.5996</v>
      </c>
      <c r="U44">
        <f>T44*(1+'Growth Rates'!T90)</f>
        <v>2644550952642.4956</v>
      </c>
      <c r="V44">
        <f>U44*(1+'Growth Rates'!U90)</f>
        <v>2717813935813.0283</v>
      </c>
      <c r="W44">
        <f>V44*(1+'Growth Rates'!V90)</f>
        <v>2793106550780.8545</v>
      </c>
      <c r="X44">
        <f>W44*(1+'Growth Rates'!W90)</f>
        <v>2870485025194.021</v>
      </c>
      <c r="Y44">
        <f>X44*(1+'Growth Rates'!X90)</f>
        <v>2950007144396.1182</v>
      </c>
      <c r="Z44">
        <f>Y44*(1+'Growth Rates'!Y90)</f>
        <v>3031732294579.7007</v>
      </c>
      <c r="AA44">
        <f>Z44*(1+'Growth Rates'!Z90)</f>
        <v>3115721507135.2056</v>
      </c>
      <c r="AB44">
        <f>AA44*(1+'Growth Rates'!AA90)</f>
        <v>3202037504228.4829</v>
      </c>
      <c r="AC44">
        <f>AB44*(1+'Growth Rates'!AB90)</f>
        <v>3290744745640.9795</v>
      </c>
    </row>
    <row r="45" spans="2:29" x14ac:dyDescent="0.25">
      <c r="B45" s="1" t="s">
        <v>31</v>
      </c>
      <c r="C45">
        <v>567715459947.34875</v>
      </c>
      <c r="D45">
        <f>C45*(1+'Growth Rates'!C91)</f>
        <v>579907260384.70581</v>
      </c>
      <c r="E45">
        <f>D45*(1+'Growth Rates'!D91)</f>
        <v>592360882118.80566</v>
      </c>
      <c r="F45">
        <f>E45*(1+'Growth Rates'!E91)</f>
        <v>605081947813.15723</v>
      </c>
      <c r="G45">
        <f>F45*(1+'Growth Rates'!F91)</f>
        <v>618076200879.06714</v>
      </c>
      <c r="H45">
        <f>G45*(1+'Growth Rates'!G91)</f>
        <v>631349508068.72205</v>
      </c>
      <c r="I45">
        <f>H45*(1+'Growth Rates'!H91)</f>
        <v>644907862123.95825</v>
      </c>
      <c r="J45">
        <f>I45*(1+'Growth Rates'!I91)</f>
        <v>658757384481.91394</v>
      </c>
      <c r="K45">
        <f>J45*(1+'Growth Rates'!J91)</f>
        <v>672904328038.78601</v>
      </c>
      <c r="L45">
        <f>K45*(1+'Growth Rates'!K91)</f>
        <v>687355079972.93909</v>
      </c>
      <c r="M45">
        <f>L45*(1+'Growth Rates'!L91)</f>
        <v>702116164628.64124</v>
      </c>
      <c r="N45">
        <f>M45*(1+'Growth Rates'!M91)</f>
        <v>717194246461.72852</v>
      </c>
      <c r="O45">
        <f>N45*(1+'Growth Rates'!N91)</f>
        <v>732596133048.52856</v>
      </c>
      <c r="P45">
        <f>O45*(1+'Growth Rates'!O91)</f>
        <v>748328778159.40063</v>
      </c>
      <c r="Q45">
        <f>P45*(1+'Growth Rates'!P91)</f>
        <v>764399284898.28137</v>
      </c>
      <c r="R45">
        <f>Q45*(1+'Growth Rates'!Q91)</f>
        <v>780814908909.65247</v>
      </c>
      <c r="S45">
        <f>R45*(1+'Growth Rates'!R91)</f>
        <v>797583061654.37866</v>
      </c>
      <c r="T45">
        <f>S45*(1+'Growth Rates'!S91)</f>
        <v>814711313755.8949</v>
      </c>
      <c r="U45">
        <f>T45*(1+'Growth Rates'!T91)</f>
        <v>832207398418.25378</v>
      </c>
      <c r="V45">
        <f>U45*(1+'Growth Rates'!U91)</f>
        <v>850079214917.57617</v>
      </c>
      <c r="W45">
        <f>V45*(1+'Growth Rates'!V91)</f>
        <v>868334832168.48108</v>
      </c>
      <c r="X45">
        <f>W45*(1+'Growth Rates'!W91)</f>
        <v>886982492367.10571</v>
      </c>
      <c r="Y45">
        <f>X45*(1+'Growth Rates'!X91)</f>
        <v>906030614712.35986</v>
      </c>
      <c r="Z45">
        <f>Y45*(1+'Growth Rates'!Y91)</f>
        <v>925487799207.09509</v>
      </c>
      <c r="AA45">
        <f>Z45*(1+'Growth Rates'!Z91)</f>
        <v>945362830540.90466</v>
      </c>
      <c r="AB45">
        <f>AA45*(1+'Growth Rates'!AA91)</f>
        <v>965664682056.3075</v>
      </c>
      <c r="AC45">
        <f>AB45*(1+'Growth Rates'!AB91)</f>
        <v>986402519800.10645</v>
      </c>
    </row>
    <row r="46" spans="2:29" x14ac:dyDescent="0.25">
      <c r="B46" s="1" t="s">
        <v>32</v>
      </c>
      <c r="C46">
        <v>11489044573.283243</v>
      </c>
      <c r="D46">
        <f>C46*(1+'Growth Rates'!C92)</f>
        <v>11695847375.602343</v>
      </c>
      <c r="E46">
        <f>D46*(1+'Growth Rates'!D92)</f>
        <v>11906372628.363186</v>
      </c>
      <c r="F46">
        <f>E46*(1+'Growth Rates'!E92)</f>
        <v>12120687335.673723</v>
      </c>
      <c r="G46">
        <f>F46*(1+'Growth Rates'!F92)</f>
        <v>12338859707.715851</v>
      </c>
      <c r="H46">
        <f>G46*(1+'Growth Rates'!G92)</f>
        <v>12560959182.454737</v>
      </c>
      <c r="I46">
        <f>H46*(1+'Growth Rates'!H92)</f>
        <v>12787056447.738922</v>
      </c>
      <c r="J46">
        <f>I46*(1+'Growth Rates'!I92)</f>
        <v>13017223463.798223</v>
      </c>
      <c r="K46">
        <f>J46*(1+'Growth Rates'!J92)</f>
        <v>13251533486.146591</v>
      </c>
      <c r="L46">
        <f>K46*(1+'Growth Rates'!K92)</f>
        <v>13490061088.89723</v>
      </c>
      <c r="M46">
        <f>L46*(1+'Growth Rates'!L92)</f>
        <v>13732882188.497381</v>
      </c>
      <c r="N46">
        <f>M46*(1+'Growth Rates'!M92)</f>
        <v>13980074067.890335</v>
      </c>
      <c r="O46">
        <f>N46*(1+'Growth Rates'!N92)</f>
        <v>14231715401.112362</v>
      </c>
      <c r="P46">
        <f>O46*(1+'Growth Rates'!O92)</f>
        <v>14487886278.332384</v>
      </c>
      <c r="Q46">
        <f>P46*(1+'Growth Rates'!P92)</f>
        <v>14748668231.342367</v>
      </c>
      <c r="R46">
        <f>Q46*(1+'Growth Rates'!Q92)</f>
        <v>15014144259.506531</v>
      </c>
      <c r="S46">
        <f>R46*(1+'Growth Rates'!R92)</f>
        <v>15284398856.177649</v>
      </c>
      <c r="T46">
        <f>S46*(1+'Growth Rates'!S92)</f>
        <v>15559518035.588846</v>
      </c>
      <c r="U46">
        <f>T46*(1+'Growth Rates'!T92)</f>
        <v>15839589360.229446</v>
      </c>
      <c r="V46">
        <f>U46*(1+'Growth Rates'!U92)</f>
        <v>16124701968.713577</v>
      </c>
      <c r="W46">
        <f>V46*(1+'Growth Rates'!V92)</f>
        <v>16414946604.150421</v>
      </c>
      <c r="X46">
        <f>W46*(1+'Growth Rates'!W92)</f>
        <v>16710415643.025129</v>
      </c>
      <c r="Y46">
        <f>X46*(1+'Growth Rates'!X92)</f>
        <v>17011203124.599583</v>
      </c>
      <c r="Z46">
        <f>Y46*(1+'Growth Rates'!Y92)</f>
        <v>17317404780.842377</v>
      </c>
      <c r="AA46">
        <f>Z46*(1+'Growth Rates'!Z92)</f>
        <v>17629118066.897541</v>
      </c>
      <c r="AB46">
        <f>AA46*(1+'Growth Rates'!AA92)</f>
        <v>17946442192.101696</v>
      </c>
      <c r="AC46">
        <f>AB46*(1+'Growth Rates'!AB92)</f>
        <v>18269478151.559528</v>
      </c>
    </row>
    <row r="48" spans="2:29" x14ac:dyDescent="0.25">
      <c r="B48" s="1" t="s">
        <v>128</v>
      </c>
      <c r="C48">
        <f>INDEX('GDP Forecast'!$B:$B,MATCH('Rescale to Fit GDP Proj'!C4,'GDP Forecast'!$A:$A,0))</f>
        <v>21444000000000</v>
      </c>
      <c r="D48">
        <f>INDEX('GDP Forecast'!$B:$B,MATCH('Rescale to Fit GDP Proj'!D4,'GDP Forecast'!$A:$A,0))</f>
        <v>21910000000000</v>
      </c>
      <c r="E48">
        <f>INDEX('GDP Forecast'!$B:$B,MATCH('Rescale to Fit GDP Proj'!E4,'GDP Forecast'!$A:$A,0))</f>
        <v>22418000000000</v>
      </c>
      <c r="F48">
        <f>INDEX('GDP Forecast'!$B:$B,MATCH('Rescale to Fit GDP Proj'!F4,'GDP Forecast'!$A:$A,0))</f>
        <v>22889000000000</v>
      </c>
      <c r="G48">
        <f>INDEX('GDP Forecast'!$B:$B,MATCH('Rescale to Fit GDP Proj'!G4,'GDP Forecast'!$A:$A,0))</f>
        <v>23312000000000</v>
      </c>
      <c r="H48">
        <f>INDEX('GDP Forecast'!$B:$B,MATCH('Rescale to Fit GDP Proj'!H4,'GDP Forecast'!$A:$A,0))</f>
        <v>23759000000000</v>
      </c>
      <c r="I48">
        <f>INDEX('GDP Forecast'!$B:$B,MATCH('Rescale to Fit GDP Proj'!I4,'GDP Forecast'!$A:$A,0))</f>
        <v>24191000000000</v>
      </c>
      <c r="J48">
        <f>INDEX('GDP Forecast'!$B:$B,MATCH('Rescale to Fit GDP Proj'!J4,'GDP Forecast'!$A:$A,0))</f>
        <v>24584000000000</v>
      </c>
      <c r="K48">
        <f>INDEX('GDP Forecast'!$B:$B,MATCH('Rescale to Fit GDP Proj'!K4,'GDP Forecast'!$A:$A,0))</f>
        <v>25001000000000</v>
      </c>
      <c r="L48">
        <f>INDEX('GDP Forecast'!$B:$B,MATCH('Rescale to Fit GDP Proj'!L4,'GDP Forecast'!$A:$A,0))</f>
        <v>25428000000000</v>
      </c>
      <c r="M48">
        <f>INDEX('GDP Forecast'!$B:$B,MATCH('Rescale to Fit GDP Proj'!M4,'GDP Forecast'!$A:$A,0))</f>
        <v>25858000000000</v>
      </c>
      <c r="N48">
        <f>INDEX('GDP Forecast'!$B:$B,MATCH('Rescale to Fit GDP Proj'!N4,'GDP Forecast'!$A:$A,0))</f>
        <v>26308000000000</v>
      </c>
      <c r="O48">
        <f>INDEX('GDP Forecast'!$B:$B,MATCH('Rescale to Fit GDP Proj'!O4,'GDP Forecast'!$A:$A,0))</f>
        <v>26758000000000</v>
      </c>
      <c r="P48">
        <f>INDEX('GDP Forecast'!$B:$B,MATCH('Rescale to Fit GDP Proj'!P4,'GDP Forecast'!$A:$A,0))</f>
        <v>27221000000000</v>
      </c>
      <c r="Q48">
        <f>INDEX('GDP Forecast'!$B:$B,MATCH('Rescale to Fit GDP Proj'!Q4,'GDP Forecast'!$A:$A,0))</f>
        <v>27688000000000</v>
      </c>
      <c r="R48">
        <f>INDEX('GDP Forecast'!$B:$B,MATCH('Rescale to Fit GDP Proj'!R4,'GDP Forecast'!$A:$A,0))</f>
        <v>28167000000000</v>
      </c>
      <c r="S48">
        <f>INDEX('GDP Forecast'!$B:$B,MATCH('Rescale to Fit GDP Proj'!S4,'GDP Forecast'!$A:$A,0))</f>
        <v>28662000000000</v>
      </c>
      <c r="T48">
        <f>INDEX('GDP Forecast'!$B:$B,MATCH('Rescale to Fit GDP Proj'!T4,'GDP Forecast'!$A:$A,0))</f>
        <v>29139000000000</v>
      </c>
      <c r="U48">
        <f>INDEX('GDP Forecast'!$B:$B,MATCH('Rescale to Fit GDP Proj'!U4,'GDP Forecast'!$A:$A,0))</f>
        <v>29638000000000</v>
      </c>
      <c r="V48">
        <f>INDEX('GDP Forecast'!$B:$B,MATCH('Rescale to Fit GDP Proj'!V4,'GDP Forecast'!$A:$A,0))</f>
        <v>30135000000000</v>
      </c>
      <c r="W48">
        <f>INDEX('GDP Forecast'!$B:$B,MATCH('Rescale to Fit GDP Proj'!W4,'GDP Forecast'!$A:$A,0))</f>
        <v>30633000000000</v>
      </c>
      <c r="X48">
        <f>INDEX('GDP Forecast'!$B:$B,MATCH('Rescale to Fit GDP Proj'!X4,'GDP Forecast'!$A:$A,0))</f>
        <v>31130000000000</v>
      </c>
      <c r="Y48">
        <f>INDEX('GDP Forecast'!$B:$B,MATCH('Rescale to Fit GDP Proj'!Y4,'GDP Forecast'!$A:$A,0))</f>
        <v>31644000000000</v>
      </c>
      <c r="Z48">
        <f>INDEX('GDP Forecast'!$B:$B,MATCH('Rescale to Fit GDP Proj'!Z4,'GDP Forecast'!$A:$A,0))</f>
        <v>32163000000000</v>
      </c>
      <c r="AA48">
        <f>INDEX('GDP Forecast'!$B:$B,MATCH('Rescale to Fit GDP Proj'!AA4,'GDP Forecast'!$A:$A,0))</f>
        <v>32684000000000</v>
      </c>
      <c r="AB48">
        <f>INDEX('GDP Forecast'!$B:$B,MATCH('Rescale to Fit GDP Proj'!AB4,'GDP Forecast'!$A:$A,0))</f>
        <v>33221000000000</v>
      </c>
      <c r="AC48">
        <f>INDEX('GDP Forecast'!$B:$B,MATCH('Rescale to Fit GDP Proj'!AC4,'GDP Forecast'!$A:$A,0))</f>
        <v>33760000000000</v>
      </c>
    </row>
    <row r="49" spans="1:29" x14ac:dyDescent="0.25">
      <c r="B49" s="1" t="s">
        <v>129</v>
      </c>
      <c r="C49">
        <f>C48-SUMIF($A$5:$A$46,"AEO",C5:C46)</f>
        <v>18048353109685.938</v>
      </c>
      <c r="D49">
        <f>D48-SUMIF($A$5:$A$46,"AEO",D5:D46)</f>
        <v>18456477495928.168</v>
      </c>
      <c r="E49">
        <f>E48-SUMIF($A$5:$A$46,"AEO",E5:E46)</f>
        <v>18911934521580.82</v>
      </c>
      <c r="F49">
        <f>F48-SUMIF($A$5:$A$46,"AEO",F5:F46)</f>
        <v>19330661026861.703</v>
      </c>
      <c r="G49">
        <f>G48-SUMIF($A$5:$A$46,"AEO",G5:G46)</f>
        <v>19698986303137.008</v>
      </c>
      <c r="H49">
        <f>H48-SUMIF($A$5:$A$46,"AEO",H5:H46)</f>
        <v>20088738571075.625</v>
      </c>
      <c r="I49">
        <f>I48-SUMIF($A$5:$A$46,"AEO",I5:I46)</f>
        <v>20470504273770.828</v>
      </c>
      <c r="J49">
        <f>J48-SUMIF($A$5:$A$46,"AEO",J5:J46)</f>
        <v>20824368022380.117</v>
      </c>
      <c r="K49">
        <f>K48-SUMIF($A$5:$A$46,"AEO",K5:K46)</f>
        <v>21199940490699.664</v>
      </c>
      <c r="L49">
        <f>L48-SUMIF($A$5:$A$46,"AEO",L5:L46)</f>
        <v>21604374311238.934</v>
      </c>
      <c r="M49">
        <f>M48-SUMIF($A$5:$A$46,"AEO",M5:M46)</f>
        <v>22004494478827.664</v>
      </c>
      <c r="N49">
        <f>N48-SUMIF($A$5:$A$46,"AEO",N5:N46)</f>
        <v>22420390910539.063</v>
      </c>
      <c r="O49">
        <f>O48-SUMIF($A$5:$A$46,"AEO",O5:O46)</f>
        <v>22831815866287.359</v>
      </c>
      <c r="P49">
        <f>P48-SUMIF($A$5:$A$46,"AEO",P5:P46)</f>
        <v>23259835463135.066</v>
      </c>
      <c r="Q49">
        <f>Q48-SUMIF($A$5:$A$46,"AEO",Q5:Q46)</f>
        <v>23691913127474.992</v>
      </c>
      <c r="R49">
        <f>R48-SUMIF($A$5:$A$46,"AEO",R5:R46)</f>
        <v>24134779535060.34</v>
      </c>
      <c r="S49">
        <f>S48-SUMIF($A$5:$A$46,"AEO",S5:S46)</f>
        <v>24590951333379.039</v>
      </c>
      <c r="T49">
        <f>T48-SUMIF($A$5:$A$46,"AEO",T5:T46)</f>
        <v>25034838128423.773</v>
      </c>
      <c r="U49">
        <f>U48-SUMIF($A$5:$A$46,"AEO",U5:U46)</f>
        <v>25496113886617.539</v>
      </c>
      <c r="V49">
        <f>V48-SUMIF($A$5:$A$46,"AEO",V5:V46)</f>
        <v>25962206768526.289</v>
      </c>
      <c r="W49">
        <f>W48-SUMIF($A$5:$A$46,"AEO",W5:W46)</f>
        <v>26426094076321.434</v>
      </c>
      <c r="X49">
        <f>X48-SUMIF($A$5:$A$46,"AEO",X5:X46)</f>
        <v>26883929321451.441</v>
      </c>
      <c r="Y49">
        <f>Y48-SUMIF($A$5:$A$46,"AEO",Y5:Y46)</f>
        <v>27352391228040.672</v>
      </c>
      <c r="Z49">
        <f>Z48-SUMIF($A$5:$A$46,"AEO",Z5:Z46)</f>
        <v>27822285656141.684</v>
      </c>
      <c r="AA49">
        <f>AA48-SUMIF($A$5:$A$46,"AEO",AA5:AA46)</f>
        <v>28297251862196.543</v>
      </c>
      <c r="AB49">
        <f>AB48-SUMIF($A$5:$A$46,"AEO",AB5:AB46)</f>
        <v>28784118284904.664</v>
      </c>
      <c r="AC49">
        <f>AC48-SUMIF($A$5:$A$46,"AEO",AC5:AC46)</f>
        <v>29280413085790.105</v>
      </c>
    </row>
    <row r="52" spans="1:29" x14ac:dyDescent="0.25">
      <c r="A52" s="1" t="s">
        <v>132</v>
      </c>
      <c r="D52" s="36">
        <v>0.86499999999999999</v>
      </c>
    </row>
    <row r="54" spans="1:29" x14ac:dyDescent="0.25">
      <c r="A54" s="1" t="s">
        <v>131</v>
      </c>
      <c r="D54" s="17">
        <f>(SUM(AC148:AC189)-AC48)/AC48</f>
        <v>1.2255093195766069E-6</v>
      </c>
    </row>
    <row r="56" spans="1:29" s="7" customFormat="1" x14ac:dyDescent="0.25">
      <c r="A56" s="22" t="s">
        <v>137</v>
      </c>
    </row>
    <row r="57" spans="1:29" x14ac:dyDescent="0.25">
      <c r="C57">
        <v>2024</v>
      </c>
      <c r="D57">
        <v>2025</v>
      </c>
      <c r="E57">
        <v>2026</v>
      </c>
      <c r="F57">
        <v>2027</v>
      </c>
      <c r="G57">
        <v>2028</v>
      </c>
      <c r="H57">
        <v>2029</v>
      </c>
      <c r="I57">
        <v>2030</v>
      </c>
      <c r="J57">
        <v>2031</v>
      </c>
      <c r="K57">
        <v>2032</v>
      </c>
      <c r="L57">
        <v>2033</v>
      </c>
      <c r="M57">
        <v>2034</v>
      </c>
      <c r="N57">
        <v>2035</v>
      </c>
      <c r="O57">
        <v>2036</v>
      </c>
      <c r="P57">
        <v>2037</v>
      </c>
      <c r="Q57">
        <v>2038</v>
      </c>
      <c r="R57">
        <v>2039</v>
      </c>
      <c r="S57">
        <v>2040</v>
      </c>
      <c r="T57">
        <v>2041</v>
      </c>
      <c r="U57">
        <v>2042</v>
      </c>
      <c r="V57">
        <v>2043</v>
      </c>
      <c r="W57">
        <v>2044</v>
      </c>
      <c r="X57">
        <v>2045</v>
      </c>
      <c r="Y57">
        <v>2046</v>
      </c>
      <c r="Z57">
        <v>2047</v>
      </c>
      <c r="AA57">
        <v>2048</v>
      </c>
      <c r="AB57">
        <v>2049</v>
      </c>
      <c r="AC57">
        <v>2050</v>
      </c>
    </row>
    <row r="58" spans="1:29" x14ac:dyDescent="0.25">
      <c r="A58" t="s">
        <v>127</v>
      </c>
      <c r="B58" s="1" t="s">
        <v>2</v>
      </c>
      <c r="C58" s="13">
        <f>IF($A58="AEO",'Growth Rates'!B51,'Growth Rates'!B51*'Rescale to Fit GDP Proj'!$D$52)</f>
        <v>0</v>
      </c>
      <c r="D58" s="13">
        <f>IF($A58="AEO",'Growth Rates'!C51,'Growth Rates'!C51*'Rescale to Fit GDP Proj'!$D$52)</f>
        <v>1.1026677248351633E-2</v>
      </c>
      <c r="E58" s="13">
        <f>IF($A58="AEO",'Growth Rates'!D51,'Growth Rates'!D51*'Rescale to Fit GDP Proj'!$D$52)</f>
        <v>1.3310769210910503E-2</v>
      </c>
      <c r="F58" s="13">
        <f>IF($A58="AEO",'Growth Rates'!E51,'Growth Rates'!E51*'Rescale to Fit GDP Proj'!$D$52)</f>
        <v>1.3104187427865207E-2</v>
      </c>
      <c r="G58" s="13">
        <f>IF($A58="AEO",'Growth Rates'!F51,'Growth Rates'!F51*'Rescale to Fit GDP Proj'!$D$52)</f>
        <v>1.1203885779711329E-2</v>
      </c>
      <c r="H58" s="13">
        <f>IF($A58="AEO",'Growth Rates'!G51,'Growth Rates'!G51*'Rescale to Fit GDP Proj'!$D$52)</f>
        <v>1.4635319337087296E-2</v>
      </c>
      <c r="I58" s="13">
        <f>IF($A58="AEO",'Growth Rates'!H51,'Growth Rates'!H51*'Rescale to Fit GDP Proj'!$D$52)</f>
        <v>1.3375931647951164E-2</v>
      </c>
      <c r="J58" s="13">
        <f>IF($A58="AEO",'Growth Rates'!I51,'Growth Rates'!I51*'Rescale to Fit GDP Proj'!$D$52)</f>
        <v>1.0475065872643107E-2</v>
      </c>
      <c r="K58" s="13">
        <f>IF($A58="AEO",'Growth Rates'!J51,'Growth Rates'!J51*'Rescale to Fit GDP Proj'!$D$52)</f>
        <v>1.022468352425733E-2</v>
      </c>
      <c r="L58" s="13">
        <f>IF($A58="AEO",'Growth Rates'!K51,'Growth Rates'!K51*'Rescale to Fit GDP Proj'!$D$52)</f>
        <v>9.6252602721436844E-3</v>
      </c>
      <c r="M58" s="13">
        <f>IF($A58="AEO",'Growth Rates'!L51,'Growth Rates'!L51*'Rescale to Fit GDP Proj'!$D$52)</f>
        <v>1.2156975776371573E-2</v>
      </c>
      <c r="N58" s="13">
        <f>IF($A58="AEO",'Growth Rates'!M51,'Growth Rates'!M51*'Rescale to Fit GDP Proj'!$D$52)</f>
        <v>1.2481577286470235E-2</v>
      </c>
      <c r="O58" s="13">
        <f>IF($A58="AEO",'Growth Rates'!N51,'Growth Rates'!N51*'Rescale to Fit GDP Proj'!$D$52)</f>
        <v>1.4717677805219882E-2</v>
      </c>
      <c r="P58" s="13">
        <f>IF($A58="AEO",'Growth Rates'!O51,'Growth Rates'!O51*'Rescale to Fit GDP Proj'!$D$52)</f>
        <v>1.1665757875194246E-2</v>
      </c>
      <c r="Q58" s="13">
        <f>IF($A58="AEO",'Growth Rates'!P51,'Growth Rates'!P51*'Rescale to Fit GDP Proj'!$D$52)</f>
        <v>9.8860052793060017E-3</v>
      </c>
      <c r="R58" s="13">
        <f>IF($A58="AEO",'Growth Rates'!Q51,'Growth Rates'!Q51*'Rescale to Fit GDP Proj'!$D$52)</f>
        <v>1.0694767198003576E-2</v>
      </c>
      <c r="S58" s="13">
        <f>IF($A58="AEO",'Growth Rates'!R51,'Growth Rates'!R51*'Rescale to Fit GDP Proj'!$D$52)</f>
        <v>9.6427706845046441E-3</v>
      </c>
      <c r="T58" s="13">
        <f>IF($A58="AEO",'Growth Rates'!S51,'Growth Rates'!S51*'Rescale to Fit GDP Proj'!$D$52)</f>
        <v>7.1325451349267075E-3</v>
      </c>
      <c r="U58" s="13">
        <f>IF($A58="AEO",'Growth Rates'!T51,'Growth Rates'!T51*'Rescale to Fit GDP Proj'!$D$52)</f>
        <v>8.3373827422757937E-3</v>
      </c>
      <c r="V58" s="13">
        <f>IF($A58="AEO",'Growth Rates'!U51,'Growth Rates'!U51*'Rescale to Fit GDP Proj'!$D$52)</f>
        <v>8.3361617111105523E-3</v>
      </c>
      <c r="W58" s="13">
        <f>IF($A58="AEO",'Growth Rates'!V51,'Growth Rates'!V51*'Rescale to Fit GDP Proj'!$D$52)</f>
        <v>9.1091714777024099E-3</v>
      </c>
      <c r="X58" s="13">
        <f>IF($A58="AEO",'Growth Rates'!W51,'Growth Rates'!W51*'Rescale to Fit GDP Proj'!$D$52)</f>
        <v>1.1345091667422645E-2</v>
      </c>
      <c r="Y58" s="13">
        <f>IF($A58="AEO",'Growth Rates'!X51,'Growth Rates'!X51*'Rescale to Fit GDP Proj'!$D$52)</f>
        <v>1.1583966711633611E-2</v>
      </c>
      <c r="Z58" s="13">
        <f>IF($A58="AEO",'Growth Rates'!Y51,'Growth Rates'!Y51*'Rescale to Fit GDP Proj'!$D$52)</f>
        <v>1.134369960316556E-2</v>
      </c>
      <c r="AA58" s="13">
        <f>IF($A58="AEO",'Growth Rates'!Z51,'Growth Rates'!Z51*'Rescale to Fit GDP Proj'!$D$52)</f>
        <v>1.1034837951507158E-2</v>
      </c>
      <c r="AB58" s="13">
        <f>IF($A58="AEO",'Growth Rates'!AA51,'Growth Rates'!AA51*'Rescale to Fit GDP Proj'!$D$52)</f>
        <v>1.135520562452725E-2</v>
      </c>
      <c r="AC58" s="13">
        <f>IF($A58="AEO",'Growth Rates'!AB51,'Growth Rates'!AB51*'Rescale to Fit GDP Proj'!$D$52)</f>
        <v>1.0924366998268421E-2</v>
      </c>
    </row>
    <row r="59" spans="1:29" x14ac:dyDescent="0.25">
      <c r="A59" t="s">
        <v>127</v>
      </c>
      <c r="B59" s="1" t="s">
        <v>36</v>
      </c>
      <c r="C59" s="13">
        <f>IF($A59="AEO",'Growth Rates'!B52,'Growth Rates'!B52*'Rescale to Fit GDP Proj'!$D$52)</f>
        <v>0</v>
      </c>
      <c r="D59" s="13">
        <f>IF($A59="AEO",'Growth Rates'!C52,'Growth Rates'!C52*'Rescale to Fit GDP Proj'!$D$52)</f>
        <v>8.3217494051750343E-2</v>
      </c>
      <c r="E59" s="13">
        <f>IF($A59="AEO",'Growth Rates'!D52,'Growth Rates'!D52*'Rescale to Fit GDP Proj'!$D$52)</f>
        <v>8.9615164498585784E-3</v>
      </c>
      <c r="F59" s="13">
        <f>IF($A59="AEO",'Growth Rates'!E52,'Growth Rates'!E52*'Rescale to Fit GDP Proj'!$D$52)</f>
        <v>6.947955864818842E-3</v>
      </c>
      <c r="G59" s="13">
        <f>IF($A59="AEO",'Growth Rates'!F52,'Growth Rates'!F52*'Rescale to Fit GDP Proj'!$D$52)</f>
        <v>1.2318960610435022E-2</v>
      </c>
      <c r="H59" s="13">
        <f>IF($A59="AEO",'Growth Rates'!G52,'Growth Rates'!G52*'Rescale to Fit GDP Proj'!$D$52)</f>
        <v>9.4529405959808549E-3</v>
      </c>
      <c r="I59" s="13">
        <f>IF($A59="AEO",'Growth Rates'!H52,'Growth Rates'!H52*'Rescale to Fit GDP Proj'!$D$52)</f>
        <v>8.1655603129958832E-3</v>
      </c>
      <c r="J59" s="13">
        <f>IF($A59="AEO",'Growth Rates'!I52,'Growth Rates'!I52*'Rescale to Fit GDP Proj'!$D$52)</f>
        <v>-3.9744242248842933E-3</v>
      </c>
      <c r="K59" s="13">
        <f>IF($A59="AEO",'Growth Rates'!J52,'Growth Rates'!J52*'Rescale to Fit GDP Proj'!$D$52)</f>
        <v>1.0236132296933927E-2</v>
      </c>
      <c r="L59" s="13">
        <f>IF($A59="AEO",'Growth Rates'!K52,'Growth Rates'!K52*'Rescale to Fit GDP Proj'!$D$52)</f>
        <v>2.6372426891379234E-4</v>
      </c>
      <c r="M59" s="13">
        <f>IF($A59="AEO",'Growth Rates'!L52,'Growth Rates'!L52*'Rescale to Fit GDP Proj'!$D$52)</f>
        <v>1.062656875674767E-3</v>
      </c>
      <c r="N59" s="13">
        <f>IF($A59="AEO",'Growth Rates'!M52,'Growth Rates'!M52*'Rescale to Fit GDP Proj'!$D$52)</f>
        <v>-5.1432969529670797E-3</v>
      </c>
      <c r="O59" s="13">
        <f>IF($A59="AEO",'Growth Rates'!N52,'Growth Rates'!N52*'Rescale to Fit GDP Proj'!$D$52)</f>
        <v>-7.0006465410182685E-3</v>
      </c>
      <c r="P59" s="13">
        <f>IF($A59="AEO",'Growth Rates'!O52,'Growth Rates'!O52*'Rescale to Fit GDP Proj'!$D$52)</f>
        <v>-1.0552158623382551E-2</v>
      </c>
      <c r="Q59" s="13">
        <f>IF($A59="AEO",'Growth Rates'!P52,'Growth Rates'!P52*'Rescale to Fit GDP Proj'!$D$52)</f>
        <v>-5.0679703146335724E-3</v>
      </c>
      <c r="R59" s="13">
        <f>IF($A59="AEO",'Growth Rates'!Q52,'Growth Rates'!Q52*'Rescale to Fit GDP Proj'!$D$52)</f>
        <v>-6.5453897382729744E-3</v>
      </c>
      <c r="S59" s="13">
        <f>IF($A59="AEO",'Growth Rates'!R52,'Growth Rates'!R52*'Rescale to Fit GDP Proj'!$D$52)</f>
        <v>2.4425700333596911E-3</v>
      </c>
      <c r="T59" s="13">
        <f>IF($A59="AEO",'Growth Rates'!S52,'Growth Rates'!S52*'Rescale to Fit GDP Proj'!$D$52)</f>
        <v>3.6424539829281264E-3</v>
      </c>
      <c r="U59" s="13">
        <f>IF($A59="AEO",'Growth Rates'!T52,'Growth Rates'!T52*'Rescale to Fit GDP Proj'!$D$52)</f>
        <v>4.5608602685222772E-3</v>
      </c>
      <c r="V59" s="13">
        <f>IF($A59="AEO",'Growth Rates'!U52,'Growth Rates'!U52*'Rescale to Fit GDP Proj'!$D$52)</f>
        <v>-1.7349257567413171E-4</v>
      </c>
      <c r="W59" s="13">
        <f>IF($A59="AEO",'Growth Rates'!V52,'Growth Rates'!V52*'Rescale to Fit GDP Proj'!$D$52)</f>
        <v>2.3114421862394882E-3</v>
      </c>
      <c r="X59" s="13">
        <f>IF($A59="AEO",'Growth Rates'!W52,'Growth Rates'!W52*'Rescale to Fit GDP Proj'!$D$52)</f>
        <v>2.9192140260942026E-3</v>
      </c>
      <c r="Y59" s="13">
        <f>IF($A59="AEO",'Growth Rates'!X52,'Growth Rates'!X52*'Rescale to Fit GDP Proj'!$D$52)</f>
        <v>7.5347241944612835E-3</v>
      </c>
      <c r="Z59" s="13">
        <f>IF($A59="AEO",'Growth Rates'!Y52,'Growth Rates'!Y52*'Rescale to Fit GDP Proj'!$D$52)</f>
        <v>9.4471865877715727E-4</v>
      </c>
      <c r="AA59" s="13">
        <f>IF($A59="AEO",'Growth Rates'!Z52,'Growth Rates'!Z52*'Rescale to Fit GDP Proj'!$D$52)</f>
        <v>-5.058260303962733E-4</v>
      </c>
      <c r="AB59" s="13">
        <f>IF($A59="AEO",'Growth Rates'!AA52,'Growth Rates'!AA52*'Rescale to Fit GDP Proj'!$D$52)</f>
        <v>2.527188569890048E-3</v>
      </c>
      <c r="AC59" s="13">
        <f>IF($A59="AEO",'Growth Rates'!AB52,'Growth Rates'!AB52*'Rescale to Fit GDP Proj'!$D$52)</f>
        <v>3.1119823794029076E-3</v>
      </c>
    </row>
    <row r="60" spans="1:29" x14ac:dyDescent="0.25">
      <c r="A60" t="s">
        <v>127</v>
      </c>
      <c r="B60" s="1" t="s">
        <v>37</v>
      </c>
      <c r="C60" s="13">
        <f>IF($A60="AEO",'Growth Rates'!B53,'Growth Rates'!B53*'Rescale to Fit GDP Proj'!$D$52)</f>
        <v>0</v>
      </c>
      <c r="D60" s="13">
        <f>IF($A60="AEO",'Growth Rates'!C53,'Growth Rates'!C53*'Rescale to Fit GDP Proj'!$D$52)</f>
        <v>8.3217494051750343E-2</v>
      </c>
      <c r="E60" s="13">
        <f>IF($A60="AEO",'Growth Rates'!D53,'Growth Rates'!D53*'Rescale to Fit GDP Proj'!$D$52)</f>
        <v>8.9615164498585784E-3</v>
      </c>
      <c r="F60" s="13">
        <f>IF($A60="AEO",'Growth Rates'!E53,'Growth Rates'!E53*'Rescale to Fit GDP Proj'!$D$52)</f>
        <v>6.947955864818842E-3</v>
      </c>
      <c r="G60" s="13">
        <f>IF($A60="AEO",'Growth Rates'!F53,'Growth Rates'!F53*'Rescale to Fit GDP Proj'!$D$52)</f>
        <v>1.2318960610435022E-2</v>
      </c>
      <c r="H60" s="13">
        <f>IF($A60="AEO",'Growth Rates'!G53,'Growth Rates'!G53*'Rescale to Fit GDP Proj'!$D$52)</f>
        <v>9.4529405959808549E-3</v>
      </c>
      <c r="I60" s="13">
        <f>IF($A60="AEO",'Growth Rates'!H53,'Growth Rates'!H53*'Rescale to Fit GDP Proj'!$D$52)</f>
        <v>8.1655603129958832E-3</v>
      </c>
      <c r="J60" s="13">
        <f>IF($A60="AEO",'Growth Rates'!I53,'Growth Rates'!I53*'Rescale to Fit GDP Proj'!$D$52)</f>
        <v>-3.9744242248842933E-3</v>
      </c>
      <c r="K60" s="13">
        <f>IF($A60="AEO",'Growth Rates'!J53,'Growth Rates'!J53*'Rescale to Fit GDP Proj'!$D$52)</f>
        <v>1.0236132296933927E-2</v>
      </c>
      <c r="L60" s="13">
        <f>IF($A60="AEO",'Growth Rates'!K53,'Growth Rates'!K53*'Rescale to Fit GDP Proj'!$D$52)</f>
        <v>2.6372426891379234E-4</v>
      </c>
      <c r="M60" s="13">
        <f>IF($A60="AEO",'Growth Rates'!L53,'Growth Rates'!L53*'Rescale to Fit GDP Proj'!$D$52)</f>
        <v>1.062656875674767E-3</v>
      </c>
      <c r="N60" s="13">
        <f>IF($A60="AEO",'Growth Rates'!M53,'Growth Rates'!M53*'Rescale to Fit GDP Proj'!$D$52)</f>
        <v>-5.1432969529670797E-3</v>
      </c>
      <c r="O60" s="13">
        <f>IF($A60="AEO",'Growth Rates'!N53,'Growth Rates'!N53*'Rescale to Fit GDP Proj'!$D$52)</f>
        <v>-7.0006465410182685E-3</v>
      </c>
      <c r="P60" s="13">
        <f>IF($A60="AEO",'Growth Rates'!O53,'Growth Rates'!O53*'Rescale to Fit GDP Proj'!$D$52)</f>
        <v>-1.0552158623382551E-2</v>
      </c>
      <c r="Q60" s="13">
        <f>IF($A60="AEO",'Growth Rates'!P53,'Growth Rates'!P53*'Rescale to Fit GDP Proj'!$D$52)</f>
        <v>-5.0679703146335724E-3</v>
      </c>
      <c r="R60" s="13">
        <f>IF($A60="AEO",'Growth Rates'!Q53,'Growth Rates'!Q53*'Rescale to Fit GDP Proj'!$D$52)</f>
        <v>-6.5453897382729744E-3</v>
      </c>
      <c r="S60" s="13">
        <f>IF($A60="AEO",'Growth Rates'!R53,'Growth Rates'!R53*'Rescale to Fit GDP Proj'!$D$52)</f>
        <v>2.4425700333596911E-3</v>
      </c>
      <c r="T60" s="13">
        <f>IF($A60="AEO",'Growth Rates'!S53,'Growth Rates'!S53*'Rescale to Fit GDP Proj'!$D$52)</f>
        <v>3.6424539829281264E-3</v>
      </c>
      <c r="U60" s="13">
        <f>IF($A60="AEO",'Growth Rates'!T53,'Growth Rates'!T53*'Rescale to Fit GDP Proj'!$D$52)</f>
        <v>4.5608602685222772E-3</v>
      </c>
      <c r="V60" s="13">
        <f>IF($A60="AEO",'Growth Rates'!U53,'Growth Rates'!U53*'Rescale to Fit GDP Proj'!$D$52)</f>
        <v>-1.7349257567413171E-4</v>
      </c>
      <c r="W60" s="13">
        <f>IF($A60="AEO",'Growth Rates'!V53,'Growth Rates'!V53*'Rescale to Fit GDP Proj'!$D$52)</f>
        <v>2.3114421862394882E-3</v>
      </c>
      <c r="X60" s="13">
        <f>IF($A60="AEO",'Growth Rates'!W53,'Growth Rates'!W53*'Rescale to Fit GDP Proj'!$D$52)</f>
        <v>2.9192140260942026E-3</v>
      </c>
      <c r="Y60" s="13">
        <f>IF($A60="AEO",'Growth Rates'!X53,'Growth Rates'!X53*'Rescale to Fit GDP Proj'!$D$52)</f>
        <v>7.5347241944612835E-3</v>
      </c>
      <c r="Z60" s="13">
        <f>IF($A60="AEO",'Growth Rates'!Y53,'Growth Rates'!Y53*'Rescale to Fit GDP Proj'!$D$52)</f>
        <v>9.4471865877715727E-4</v>
      </c>
      <c r="AA60" s="13">
        <f>IF($A60="AEO",'Growth Rates'!Z53,'Growth Rates'!Z53*'Rescale to Fit GDP Proj'!$D$52)</f>
        <v>-5.058260303962733E-4</v>
      </c>
      <c r="AB60" s="13">
        <f>IF($A60="AEO",'Growth Rates'!AA53,'Growth Rates'!AA53*'Rescale to Fit GDP Proj'!$D$52)</f>
        <v>2.527188569890048E-3</v>
      </c>
      <c r="AC60" s="13">
        <f>IF($A60="AEO",'Growth Rates'!AB53,'Growth Rates'!AB53*'Rescale to Fit GDP Proj'!$D$52)</f>
        <v>3.1119823794029076E-3</v>
      </c>
    </row>
    <row r="61" spans="1:29" x14ac:dyDescent="0.25">
      <c r="A61" t="s">
        <v>127</v>
      </c>
      <c r="B61" s="1" t="s">
        <v>3</v>
      </c>
      <c r="C61" s="13">
        <f>IF($A61="AEO",'Growth Rates'!B54,'Growth Rates'!B54*'Rescale to Fit GDP Proj'!$D$52)</f>
        <v>0</v>
      </c>
      <c r="D61" s="13">
        <f>IF($A61="AEO",'Growth Rates'!C54,'Growth Rates'!C54*'Rescale to Fit GDP Proj'!$D$52)</f>
        <v>8.3217494051750343E-2</v>
      </c>
      <c r="E61" s="13">
        <f>IF($A61="AEO",'Growth Rates'!D54,'Growth Rates'!D54*'Rescale to Fit GDP Proj'!$D$52)</f>
        <v>8.9615164498585784E-3</v>
      </c>
      <c r="F61" s="13">
        <f>IF($A61="AEO",'Growth Rates'!E54,'Growth Rates'!E54*'Rescale to Fit GDP Proj'!$D$52)</f>
        <v>6.947955864818842E-3</v>
      </c>
      <c r="G61" s="13">
        <f>IF($A61="AEO",'Growth Rates'!F54,'Growth Rates'!F54*'Rescale to Fit GDP Proj'!$D$52)</f>
        <v>1.2318960610435022E-2</v>
      </c>
      <c r="H61" s="13">
        <f>IF($A61="AEO",'Growth Rates'!G54,'Growth Rates'!G54*'Rescale to Fit GDP Proj'!$D$52)</f>
        <v>9.4529405959808549E-3</v>
      </c>
      <c r="I61" s="13">
        <f>IF($A61="AEO",'Growth Rates'!H54,'Growth Rates'!H54*'Rescale to Fit GDP Proj'!$D$52)</f>
        <v>8.1655603129958832E-3</v>
      </c>
      <c r="J61" s="13">
        <f>IF($A61="AEO",'Growth Rates'!I54,'Growth Rates'!I54*'Rescale to Fit GDP Proj'!$D$52)</f>
        <v>-3.9744242248842933E-3</v>
      </c>
      <c r="K61" s="13">
        <f>IF($A61="AEO",'Growth Rates'!J54,'Growth Rates'!J54*'Rescale to Fit GDP Proj'!$D$52)</f>
        <v>1.0236132296933927E-2</v>
      </c>
      <c r="L61" s="13">
        <f>IF($A61="AEO",'Growth Rates'!K54,'Growth Rates'!K54*'Rescale to Fit GDP Proj'!$D$52)</f>
        <v>2.6372426891379234E-4</v>
      </c>
      <c r="M61" s="13">
        <f>IF($A61="AEO",'Growth Rates'!L54,'Growth Rates'!L54*'Rescale to Fit GDP Proj'!$D$52)</f>
        <v>1.062656875674767E-3</v>
      </c>
      <c r="N61" s="13">
        <f>IF($A61="AEO",'Growth Rates'!M54,'Growth Rates'!M54*'Rescale to Fit GDP Proj'!$D$52)</f>
        <v>-5.1432969529670797E-3</v>
      </c>
      <c r="O61" s="13">
        <f>IF($A61="AEO",'Growth Rates'!N54,'Growth Rates'!N54*'Rescale to Fit GDP Proj'!$D$52)</f>
        <v>-7.0006465410182685E-3</v>
      </c>
      <c r="P61" s="13">
        <f>IF($A61="AEO",'Growth Rates'!O54,'Growth Rates'!O54*'Rescale to Fit GDP Proj'!$D$52)</f>
        <v>-1.0552158623382551E-2</v>
      </c>
      <c r="Q61" s="13">
        <f>IF($A61="AEO",'Growth Rates'!P54,'Growth Rates'!P54*'Rescale to Fit GDP Proj'!$D$52)</f>
        <v>-5.0679703146335724E-3</v>
      </c>
      <c r="R61" s="13">
        <f>IF($A61="AEO",'Growth Rates'!Q54,'Growth Rates'!Q54*'Rescale to Fit GDP Proj'!$D$52)</f>
        <v>-6.5453897382729744E-3</v>
      </c>
      <c r="S61" s="13">
        <f>IF($A61="AEO",'Growth Rates'!R54,'Growth Rates'!R54*'Rescale to Fit GDP Proj'!$D$52)</f>
        <v>2.4425700333596911E-3</v>
      </c>
      <c r="T61" s="13">
        <f>IF($A61="AEO",'Growth Rates'!S54,'Growth Rates'!S54*'Rescale to Fit GDP Proj'!$D$52)</f>
        <v>3.6424539829281264E-3</v>
      </c>
      <c r="U61" s="13">
        <f>IF($A61="AEO",'Growth Rates'!T54,'Growth Rates'!T54*'Rescale to Fit GDP Proj'!$D$52)</f>
        <v>4.5608602685222772E-3</v>
      </c>
      <c r="V61" s="13">
        <f>IF($A61="AEO",'Growth Rates'!U54,'Growth Rates'!U54*'Rescale to Fit GDP Proj'!$D$52)</f>
        <v>-1.7349257567413171E-4</v>
      </c>
      <c r="W61" s="13">
        <f>IF($A61="AEO",'Growth Rates'!V54,'Growth Rates'!V54*'Rescale to Fit GDP Proj'!$D$52)</f>
        <v>2.3114421862394882E-3</v>
      </c>
      <c r="X61" s="13">
        <f>IF($A61="AEO",'Growth Rates'!W54,'Growth Rates'!W54*'Rescale to Fit GDP Proj'!$D$52)</f>
        <v>2.9192140260942026E-3</v>
      </c>
      <c r="Y61" s="13">
        <f>IF($A61="AEO",'Growth Rates'!X54,'Growth Rates'!X54*'Rescale to Fit GDP Proj'!$D$52)</f>
        <v>7.5347241944612835E-3</v>
      </c>
      <c r="Z61" s="13">
        <f>IF($A61="AEO",'Growth Rates'!Y54,'Growth Rates'!Y54*'Rescale to Fit GDP Proj'!$D$52)</f>
        <v>9.4471865877715727E-4</v>
      </c>
      <c r="AA61" s="13">
        <f>IF($A61="AEO",'Growth Rates'!Z54,'Growth Rates'!Z54*'Rescale to Fit GDP Proj'!$D$52)</f>
        <v>-5.058260303962733E-4</v>
      </c>
      <c r="AB61" s="13">
        <f>IF($A61="AEO",'Growth Rates'!AA54,'Growth Rates'!AA54*'Rescale to Fit GDP Proj'!$D$52)</f>
        <v>2.527188569890048E-3</v>
      </c>
      <c r="AC61" s="13">
        <f>IF($A61="AEO",'Growth Rates'!AB54,'Growth Rates'!AB54*'Rescale to Fit GDP Proj'!$D$52)</f>
        <v>3.1119823794029076E-3</v>
      </c>
    </row>
    <row r="62" spans="1:29" x14ac:dyDescent="0.25">
      <c r="B62" s="1" t="s">
        <v>4</v>
      </c>
      <c r="C62" s="13">
        <f>IF($A62="AEO",'Growth Rates'!B55,'Growth Rates'!B55*'Rescale to Fit GDP Proj'!$D$52)</f>
        <v>0</v>
      </c>
      <c r="D62" s="13">
        <f>IF($A62="AEO",'Growth Rates'!C55,'Growth Rates'!C55*'Rescale to Fit GDP Proj'!$D$52)</f>
        <v>-4.3249999999999999E-3</v>
      </c>
      <c r="E62" s="13">
        <f>IF($A62="AEO",'Growth Rates'!D55,'Growth Rates'!D55*'Rescale to Fit GDP Proj'!$D$52)</f>
        <v>-4.3249999999999999E-3</v>
      </c>
      <c r="F62" s="13">
        <f>IF($A62="AEO",'Growth Rates'!E55,'Growth Rates'!E55*'Rescale to Fit GDP Proj'!$D$52)</f>
        <v>-4.3249999999999999E-3</v>
      </c>
      <c r="G62" s="13">
        <f>IF($A62="AEO",'Growth Rates'!F55,'Growth Rates'!F55*'Rescale to Fit GDP Proj'!$D$52)</f>
        <v>-4.3249999999999999E-3</v>
      </c>
      <c r="H62" s="13">
        <f>IF($A62="AEO",'Growth Rates'!G55,'Growth Rates'!G55*'Rescale to Fit GDP Proj'!$D$52)</f>
        <v>-4.3249999999999999E-3</v>
      </c>
      <c r="I62" s="13">
        <f>IF($A62="AEO",'Growth Rates'!H55,'Growth Rates'!H55*'Rescale to Fit GDP Proj'!$D$52)</f>
        <v>-4.3249999999999999E-3</v>
      </c>
      <c r="J62" s="13">
        <f>IF($A62="AEO",'Growth Rates'!I55,'Growth Rates'!I55*'Rescale to Fit GDP Proj'!$D$52)</f>
        <v>-4.3249999999999999E-3</v>
      </c>
      <c r="K62" s="13">
        <f>IF($A62="AEO",'Growth Rates'!J55,'Growth Rates'!J55*'Rescale to Fit GDP Proj'!$D$52)</f>
        <v>-4.3249999999999999E-3</v>
      </c>
      <c r="L62" s="13">
        <f>IF($A62="AEO",'Growth Rates'!K55,'Growth Rates'!K55*'Rescale to Fit GDP Proj'!$D$52)</f>
        <v>-4.3249999999999999E-3</v>
      </c>
      <c r="M62" s="13">
        <f>IF($A62="AEO",'Growth Rates'!L55,'Growth Rates'!L55*'Rescale to Fit GDP Proj'!$D$52)</f>
        <v>-4.3249999999999999E-3</v>
      </c>
      <c r="N62" s="13">
        <f>IF($A62="AEO",'Growth Rates'!M55,'Growth Rates'!M55*'Rescale to Fit GDP Proj'!$D$52)</f>
        <v>-4.3249999999999999E-3</v>
      </c>
      <c r="O62" s="13">
        <f>IF($A62="AEO",'Growth Rates'!N55,'Growth Rates'!N55*'Rescale to Fit GDP Proj'!$D$52)</f>
        <v>-4.3249999999999999E-3</v>
      </c>
      <c r="P62" s="13">
        <f>IF($A62="AEO",'Growth Rates'!O55,'Growth Rates'!O55*'Rescale to Fit GDP Proj'!$D$52)</f>
        <v>-4.3249999999999999E-3</v>
      </c>
      <c r="Q62" s="13">
        <f>IF($A62="AEO",'Growth Rates'!P55,'Growth Rates'!P55*'Rescale to Fit GDP Proj'!$D$52)</f>
        <v>-4.3249999999999999E-3</v>
      </c>
      <c r="R62" s="13">
        <f>IF($A62="AEO",'Growth Rates'!Q55,'Growth Rates'!Q55*'Rescale to Fit GDP Proj'!$D$52)</f>
        <v>-4.3249999999999999E-3</v>
      </c>
      <c r="S62" s="13">
        <f>IF($A62="AEO",'Growth Rates'!R55,'Growth Rates'!R55*'Rescale to Fit GDP Proj'!$D$52)</f>
        <v>-4.3249999999999999E-3</v>
      </c>
      <c r="T62" s="13">
        <f>IF($A62="AEO",'Growth Rates'!S55,'Growth Rates'!S55*'Rescale to Fit GDP Proj'!$D$52)</f>
        <v>-4.3249999999999999E-3</v>
      </c>
      <c r="U62" s="13">
        <f>IF($A62="AEO",'Growth Rates'!T55,'Growth Rates'!T55*'Rescale to Fit GDP Proj'!$D$52)</f>
        <v>-4.3249999999999999E-3</v>
      </c>
      <c r="V62" s="13">
        <f>IF($A62="AEO",'Growth Rates'!U55,'Growth Rates'!U55*'Rescale to Fit GDP Proj'!$D$52)</f>
        <v>-4.3249999999999999E-3</v>
      </c>
      <c r="W62" s="13">
        <f>IF($A62="AEO",'Growth Rates'!V55,'Growth Rates'!V55*'Rescale to Fit GDP Proj'!$D$52)</f>
        <v>-4.3249999999999999E-3</v>
      </c>
      <c r="X62" s="13">
        <f>IF($A62="AEO",'Growth Rates'!W55,'Growth Rates'!W55*'Rescale to Fit GDP Proj'!$D$52)</f>
        <v>-4.3249999999999999E-3</v>
      </c>
      <c r="Y62" s="13">
        <f>IF($A62="AEO",'Growth Rates'!X55,'Growth Rates'!X55*'Rescale to Fit GDP Proj'!$D$52)</f>
        <v>-4.3249999999999999E-3</v>
      </c>
      <c r="Z62" s="13">
        <f>IF($A62="AEO",'Growth Rates'!Y55,'Growth Rates'!Y55*'Rescale to Fit GDP Proj'!$D$52)</f>
        <v>-4.3249999999999999E-3</v>
      </c>
      <c r="AA62" s="13">
        <f>IF($A62="AEO",'Growth Rates'!Z55,'Growth Rates'!Z55*'Rescale to Fit GDP Proj'!$D$52)</f>
        <v>-4.3249999999999999E-3</v>
      </c>
      <c r="AB62" s="13">
        <f>IF($A62="AEO",'Growth Rates'!AA55,'Growth Rates'!AA55*'Rescale to Fit GDP Proj'!$D$52)</f>
        <v>-4.3249999999999999E-3</v>
      </c>
      <c r="AC62" s="13">
        <f>IF($A62="AEO",'Growth Rates'!AB55,'Growth Rates'!AB55*'Rescale to Fit GDP Proj'!$D$52)</f>
        <v>-4.3249999999999999E-3</v>
      </c>
    </row>
    <row r="63" spans="1:29" x14ac:dyDescent="0.25">
      <c r="A63" t="s">
        <v>127</v>
      </c>
      <c r="B63" s="1" t="s">
        <v>5</v>
      </c>
      <c r="C63" s="13">
        <f>IF($A63="AEO",'Growth Rates'!B56,'Growth Rates'!B56*'Rescale to Fit GDP Proj'!$D$52)</f>
        <v>0</v>
      </c>
      <c r="D63" s="13">
        <f>IF($A63="AEO",'Growth Rates'!C56,'Growth Rates'!C56*'Rescale to Fit GDP Proj'!$D$52)</f>
        <v>2.737812316119366E-3</v>
      </c>
      <c r="E63" s="13">
        <f>IF($A63="AEO",'Growth Rates'!D56,'Growth Rates'!D56*'Rescale to Fit GDP Proj'!$D$52)</f>
        <v>2.2822737992264108E-3</v>
      </c>
      <c r="F63" s="13">
        <f>IF($A63="AEO",'Growth Rates'!E56,'Growth Rates'!E56*'Rescale to Fit GDP Proj'!$D$52)</f>
        <v>7.8762627419798111E-3</v>
      </c>
      <c r="G63" s="13">
        <f>IF($A63="AEO",'Growth Rates'!F56,'Growth Rates'!F56*'Rescale to Fit GDP Proj'!$D$52)</f>
        <v>6.3904756095859603E-3</v>
      </c>
      <c r="H63" s="13">
        <f>IF($A63="AEO",'Growth Rates'!G56,'Growth Rates'!G56*'Rescale to Fit GDP Proj'!$D$52)</f>
        <v>7.8492626020254305E-3</v>
      </c>
      <c r="I63" s="13">
        <f>IF($A63="AEO",'Growth Rates'!H56,'Growth Rates'!H56*'Rescale to Fit GDP Proj'!$D$52)</f>
        <v>7.8736807060739312E-3</v>
      </c>
      <c r="J63" s="13">
        <f>IF($A63="AEO",'Growth Rates'!I56,'Growth Rates'!I56*'Rescale to Fit GDP Proj'!$D$52)</f>
        <v>7.1523628470740565E-3</v>
      </c>
      <c r="K63" s="13">
        <f>IF($A63="AEO",'Growth Rates'!J56,'Growth Rates'!J56*'Rescale to Fit GDP Proj'!$D$52)</f>
        <v>7.3963828986863423E-3</v>
      </c>
      <c r="L63" s="13">
        <f>IF($A63="AEO",'Growth Rates'!K56,'Growth Rates'!K56*'Rescale to Fit GDP Proj'!$D$52)</f>
        <v>7.1465055343641719E-3</v>
      </c>
      <c r="M63" s="13">
        <f>IF($A63="AEO",'Growth Rates'!L56,'Growth Rates'!L56*'Rescale to Fit GDP Proj'!$D$52)</f>
        <v>7.4564744746548842E-3</v>
      </c>
      <c r="N63" s="13">
        <f>IF($A63="AEO",'Growth Rates'!M56,'Growth Rates'!M56*'Rescale to Fit GDP Proj'!$D$52)</f>
        <v>6.8269085545763011E-3</v>
      </c>
      <c r="O63" s="13">
        <f>IF($A63="AEO",'Growth Rates'!N56,'Growth Rates'!N56*'Rescale to Fit GDP Proj'!$D$52)</f>
        <v>8.9600325249484958E-3</v>
      </c>
      <c r="P63" s="13">
        <f>IF($A63="AEO",'Growth Rates'!O56,'Growth Rates'!O56*'Rescale to Fit GDP Proj'!$D$52)</f>
        <v>8.1467598101280132E-3</v>
      </c>
      <c r="Q63" s="13">
        <f>IF($A63="AEO",'Growth Rates'!P56,'Growth Rates'!P56*'Rescale to Fit GDP Proj'!$D$52)</f>
        <v>7.7654391125854079E-3</v>
      </c>
      <c r="R63" s="13">
        <f>IF($A63="AEO",'Growth Rates'!Q56,'Growth Rates'!Q56*'Rescale to Fit GDP Proj'!$D$52)</f>
        <v>8.1595814472147764E-3</v>
      </c>
      <c r="S63" s="13">
        <f>IF($A63="AEO",'Growth Rates'!R56,'Growth Rates'!R56*'Rescale to Fit GDP Proj'!$D$52)</f>
        <v>8.0317446900215854E-3</v>
      </c>
      <c r="T63" s="13">
        <f>IF($A63="AEO",'Growth Rates'!S56,'Growth Rates'!S56*'Rescale to Fit GDP Proj'!$D$52)</f>
        <v>8.0005829814013725E-3</v>
      </c>
      <c r="U63" s="13">
        <f>IF($A63="AEO",'Growth Rates'!T56,'Growth Rates'!T56*'Rescale to Fit GDP Proj'!$D$52)</f>
        <v>8.0920903665129638E-3</v>
      </c>
      <c r="V63" s="13">
        <f>IF($A63="AEO",'Growth Rates'!U56,'Growth Rates'!U56*'Rescale to Fit GDP Proj'!$D$52)</f>
        <v>7.6689388003585495E-3</v>
      </c>
      <c r="W63" s="13">
        <f>IF($A63="AEO",'Growth Rates'!V56,'Growth Rates'!V56*'Rescale to Fit GDP Proj'!$D$52)</f>
        <v>7.6324147724414516E-3</v>
      </c>
      <c r="X63" s="13">
        <f>IF($A63="AEO",'Growth Rates'!W56,'Growth Rates'!W56*'Rescale to Fit GDP Proj'!$D$52)</f>
        <v>7.370503640987504E-3</v>
      </c>
      <c r="Y63" s="13">
        <f>IF($A63="AEO",'Growth Rates'!X56,'Growth Rates'!X56*'Rescale to Fit GDP Proj'!$D$52)</f>
        <v>7.5228492445052119E-3</v>
      </c>
      <c r="Z63" s="13">
        <f>IF($A63="AEO",'Growth Rates'!Y56,'Growth Rates'!Y56*'Rescale to Fit GDP Proj'!$D$52)</f>
        <v>7.577774433307303E-3</v>
      </c>
      <c r="AA63" s="13">
        <f>IF($A63="AEO",'Growth Rates'!Z56,'Growth Rates'!Z56*'Rescale to Fit GDP Proj'!$D$52)</f>
        <v>7.5648034914341643E-3</v>
      </c>
      <c r="AB63" s="13">
        <f>IF($A63="AEO",'Growth Rates'!AA56,'Growth Rates'!AA56*'Rescale to Fit GDP Proj'!$D$52)</f>
        <v>7.8670236644207154E-3</v>
      </c>
      <c r="AC63" s="13">
        <f>IF($A63="AEO",'Growth Rates'!AB56,'Growth Rates'!AB56*'Rescale to Fit GDP Proj'!$D$52)</f>
        <v>7.6297169679222527E-3</v>
      </c>
    </row>
    <row r="64" spans="1:29" x14ac:dyDescent="0.25">
      <c r="A64" t="s">
        <v>127</v>
      </c>
      <c r="B64" s="1" t="s">
        <v>6</v>
      </c>
      <c r="C64" s="13">
        <f>IF($A64="AEO",'Growth Rates'!B57,'Growth Rates'!B57*'Rescale to Fit GDP Proj'!$D$52)</f>
        <v>0</v>
      </c>
      <c r="D64" s="13">
        <f>IF($A64="AEO",'Growth Rates'!C57,'Growth Rates'!C57*'Rescale to Fit GDP Proj'!$D$52)</f>
        <v>6.7991175255429628E-3</v>
      </c>
      <c r="E64" s="13">
        <f>IF($A64="AEO",'Growth Rates'!D57,'Growth Rates'!D57*'Rescale to Fit GDP Proj'!$D$52)</f>
        <v>-9.608164823280637E-3</v>
      </c>
      <c r="F64" s="13">
        <f>IF($A64="AEO",'Growth Rates'!E57,'Growth Rates'!E57*'Rescale to Fit GDP Proj'!$D$52)</f>
        <v>3.8044467914650208E-4</v>
      </c>
      <c r="G64" s="13">
        <f>IF($A64="AEO",'Growth Rates'!F57,'Growth Rates'!F57*'Rescale to Fit GDP Proj'!$D$52)</f>
        <v>-1.6480136731432459E-2</v>
      </c>
      <c r="H64" s="13">
        <f>IF($A64="AEO",'Growth Rates'!G57,'Growth Rates'!G57*'Rescale to Fit GDP Proj'!$D$52)</f>
        <v>-1.0349343893834666E-2</v>
      </c>
      <c r="I64" s="13">
        <f>IF($A64="AEO",'Growth Rates'!H57,'Growth Rates'!H57*'Rescale to Fit GDP Proj'!$D$52)</f>
        <v>-7.2087433500075127E-3</v>
      </c>
      <c r="J64" s="13">
        <f>IF($A64="AEO",'Growth Rates'!I57,'Growth Rates'!I57*'Rescale to Fit GDP Proj'!$D$52)</f>
        <v>-8.5744686472120218E-3</v>
      </c>
      <c r="K64" s="13">
        <f>IF($A64="AEO",'Growth Rates'!J57,'Growth Rates'!J57*'Rescale to Fit GDP Proj'!$D$52)</f>
        <v>-1.1778284524453579E-2</v>
      </c>
      <c r="L64" s="13">
        <f>IF($A64="AEO",'Growth Rates'!K57,'Growth Rates'!K57*'Rescale to Fit GDP Proj'!$D$52)</f>
        <v>-1.099307406677044E-2</v>
      </c>
      <c r="M64" s="13">
        <f>IF($A64="AEO",'Growth Rates'!L57,'Growth Rates'!L57*'Rescale to Fit GDP Proj'!$D$52)</f>
        <v>-6.6131260739353452E-3</v>
      </c>
      <c r="N64" s="13">
        <f>IF($A64="AEO",'Growth Rates'!M57,'Growth Rates'!M57*'Rescale to Fit GDP Proj'!$D$52)</f>
        <v>-1.2256958921149343E-2</v>
      </c>
      <c r="O64" s="13">
        <f>IF($A64="AEO",'Growth Rates'!N57,'Growth Rates'!N57*'Rescale to Fit GDP Proj'!$D$52)</f>
        <v>-1.216438980571056E-2</v>
      </c>
      <c r="P64" s="13">
        <f>IF($A64="AEO",'Growth Rates'!O57,'Growth Rates'!O57*'Rescale to Fit GDP Proj'!$D$52)</f>
        <v>-4.9987624393068048E-3</v>
      </c>
      <c r="Q64" s="13">
        <f>IF($A64="AEO",'Growth Rates'!P57,'Growth Rates'!P57*'Rescale to Fit GDP Proj'!$D$52)</f>
        <v>-6.4418111262778636E-3</v>
      </c>
      <c r="R64" s="13">
        <f>IF($A64="AEO",'Growth Rates'!Q57,'Growth Rates'!Q57*'Rescale to Fit GDP Proj'!$D$52)</f>
        <v>-4.1994068183596103E-3</v>
      </c>
      <c r="S64" s="13">
        <f>IF($A64="AEO",'Growth Rates'!R57,'Growth Rates'!R57*'Rescale to Fit GDP Proj'!$D$52)</f>
        <v>-1.8508520479643953E-3</v>
      </c>
      <c r="T64" s="13">
        <f>IF($A64="AEO",'Growth Rates'!S57,'Growth Rates'!S57*'Rescale to Fit GDP Proj'!$D$52)</f>
        <v>-3.8491328259032784E-3</v>
      </c>
      <c r="U64" s="13">
        <f>IF($A64="AEO",'Growth Rates'!T57,'Growth Rates'!T57*'Rescale to Fit GDP Proj'!$D$52)</f>
        <v>-3.7485105470955503E-3</v>
      </c>
      <c r="V64" s="13">
        <f>IF($A64="AEO",'Growth Rates'!U57,'Growth Rates'!U57*'Rescale to Fit GDP Proj'!$D$52)</f>
        <v>-6.3046232315460034E-3</v>
      </c>
      <c r="W64" s="13">
        <f>IF($A64="AEO",'Growth Rates'!V57,'Growth Rates'!V57*'Rescale to Fit GDP Proj'!$D$52)</f>
        <v>-5.949403106353863E-3</v>
      </c>
      <c r="X64" s="13">
        <f>IF($A64="AEO",'Growth Rates'!W57,'Growth Rates'!W57*'Rescale to Fit GDP Proj'!$D$52)</f>
        <v>-6.6882034707447715E-3</v>
      </c>
      <c r="Y64" s="13">
        <f>IF($A64="AEO",'Growth Rates'!X57,'Growth Rates'!X57*'Rescale to Fit GDP Proj'!$D$52)</f>
        <v>-5.4873451273453541E-3</v>
      </c>
      <c r="Z64" s="13">
        <f>IF($A64="AEO",'Growth Rates'!Y57,'Growth Rates'!Y57*'Rescale to Fit GDP Proj'!$D$52)</f>
        <v>-3.6705635128313012E-3</v>
      </c>
      <c r="AA64" s="13">
        <f>IF($A64="AEO",'Growth Rates'!Z57,'Growth Rates'!Z57*'Rescale to Fit GDP Proj'!$D$52)</f>
        <v>-4.5731240520918547E-3</v>
      </c>
      <c r="AB64" s="13">
        <f>IF($A64="AEO",'Growth Rates'!AA57,'Growth Rates'!AA57*'Rescale to Fit GDP Proj'!$D$52)</f>
        <v>-4.0518314796840907E-3</v>
      </c>
      <c r="AC64" s="13">
        <f>IF($A64="AEO",'Growth Rates'!AB57,'Growth Rates'!AB57*'Rescale to Fit GDP Proj'!$D$52)</f>
        <v>-6.2040097055180762E-3</v>
      </c>
    </row>
    <row r="65" spans="1:29" x14ac:dyDescent="0.25">
      <c r="A65" t="s">
        <v>127</v>
      </c>
      <c r="B65" s="1" t="s">
        <v>7</v>
      </c>
      <c r="C65" s="13">
        <f>IF($A65="AEO",'Growth Rates'!B58,'Growth Rates'!B58*'Rescale to Fit GDP Proj'!$D$52)</f>
        <v>0</v>
      </c>
      <c r="D65" s="13">
        <f>IF($A65="AEO",'Growth Rates'!C58,'Growth Rates'!C58*'Rescale to Fit GDP Proj'!$D$52)</f>
        <v>6.4384568921435565E-3</v>
      </c>
      <c r="E65" s="13">
        <f>IF($A65="AEO",'Growth Rates'!D58,'Growth Rates'!D58*'Rescale to Fit GDP Proj'!$D$52)</f>
        <v>2.0193100392757662E-2</v>
      </c>
      <c r="F65" s="13">
        <f>IF($A65="AEO",'Growth Rates'!E58,'Growth Rates'!E58*'Rescale to Fit GDP Proj'!$D$52)</f>
        <v>1.1938521891323189E-2</v>
      </c>
      <c r="G65" s="13">
        <f>IF($A65="AEO",'Growth Rates'!F58,'Growth Rates'!F58*'Rescale to Fit GDP Proj'!$D$52)</f>
        <v>1.7027387376197283E-2</v>
      </c>
      <c r="H65" s="13">
        <f>IF($A65="AEO",'Growth Rates'!G58,'Growth Rates'!G58*'Rescale to Fit GDP Proj'!$D$52)</f>
        <v>3.1307260555632044E-2</v>
      </c>
      <c r="I65" s="13">
        <f>IF($A65="AEO",'Growth Rates'!H58,'Growth Rates'!H58*'Rescale to Fit GDP Proj'!$D$52)</f>
        <v>2.3501452302470621E-2</v>
      </c>
      <c r="J65" s="13">
        <f>IF($A65="AEO",'Growth Rates'!I58,'Growth Rates'!I58*'Rescale to Fit GDP Proj'!$D$52)</f>
        <v>1.5306902695256412E-2</v>
      </c>
      <c r="K65" s="13">
        <f>IF($A65="AEO",'Growth Rates'!J58,'Growth Rates'!J58*'Rescale to Fit GDP Proj'!$D$52)</f>
        <v>1.010331437873517E-2</v>
      </c>
      <c r="L65" s="13">
        <f>IF($A65="AEO",'Growth Rates'!K58,'Growth Rates'!K58*'Rescale to Fit GDP Proj'!$D$52)</f>
        <v>-1.6958607000514144E-3</v>
      </c>
      <c r="M65" s="13">
        <f>IF($A65="AEO",'Growth Rates'!L58,'Growth Rates'!L58*'Rescale to Fit GDP Proj'!$D$52)</f>
        <v>1.0601404314828143E-2</v>
      </c>
      <c r="N65" s="13">
        <f>IF($A65="AEO",'Growth Rates'!M58,'Growth Rates'!M58*'Rescale to Fit GDP Proj'!$D$52)</f>
        <v>1.3084591986736014E-2</v>
      </c>
      <c r="O65" s="13">
        <f>IF($A65="AEO",'Growth Rates'!N58,'Growth Rates'!N58*'Rescale to Fit GDP Proj'!$D$52)</f>
        <v>2.8429943267946386E-2</v>
      </c>
      <c r="P65" s="13">
        <f>IF($A65="AEO",'Growth Rates'!O58,'Growth Rates'!O58*'Rescale to Fit GDP Proj'!$D$52)</f>
        <v>1.8570971172708239E-2</v>
      </c>
      <c r="Q65" s="13">
        <f>IF($A65="AEO",'Growth Rates'!P58,'Growth Rates'!P58*'Rescale to Fit GDP Proj'!$D$52)</f>
        <v>6.389322830746948E-3</v>
      </c>
      <c r="R65" s="13">
        <f>IF($A65="AEO",'Growth Rates'!Q58,'Growth Rates'!Q58*'Rescale to Fit GDP Proj'!$D$52)</f>
        <v>7.4606918013440313E-3</v>
      </c>
      <c r="S65" s="13">
        <f>IF($A65="AEO",'Growth Rates'!R58,'Growth Rates'!R58*'Rescale to Fit GDP Proj'!$D$52)</f>
        <v>-1.3142308014949511E-3</v>
      </c>
      <c r="T65" s="13">
        <f>IF($A65="AEO",'Growth Rates'!S58,'Growth Rates'!S58*'Rescale to Fit GDP Proj'!$D$52)</f>
        <v>-1.9472990189610791E-2</v>
      </c>
      <c r="U65" s="13">
        <f>IF($A65="AEO",'Growth Rates'!T58,'Growth Rates'!T58*'Rescale to Fit GDP Proj'!$D$52)</f>
        <v>-1.3112858363500193E-2</v>
      </c>
      <c r="V65" s="13">
        <f>IF($A65="AEO",'Growth Rates'!U58,'Growth Rates'!U58*'Rescale to Fit GDP Proj'!$D$52)</f>
        <v>-2.4859306122946963E-2</v>
      </c>
      <c r="W65" s="13">
        <f>IF($A65="AEO",'Growth Rates'!V58,'Growth Rates'!V58*'Rescale to Fit GDP Proj'!$D$52)</f>
        <v>-1.7629454428262293E-2</v>
      </c>
      <c r="X65" s="13">
        <f>IF($A65="AEO",'Growth Rates'!W58,'Growth Rates'!W58*'Rescale to Fit GDP Proj'!$D$52)</f>
        <v>-1.0019632734450143E-3</v>
      </c>
      <c r="Y65" s="13">
        <f>IF($A65="AEO",'Growth Rates'!X58,'Growth Rates'!X58*'Rescale to Fit GDP Proj'!$D$52)</f>
        <v>3.4688365654584326E-3</v>
      </c>
      <c r="Z65" s="13">
        <f>IF($A65="AEO",'Growth Rates'!Y58,'Growth Rates'!Y58*'Rescale to Fit GDP Proj'!$D$52)</f>
        <v>1.0856257385704764E-2</v>
      </c>
      <c r="AA65" s="13">
        <f>IF($A65="AEO",'Growth Rates'!Z58,'Growth Rates'!Z58*'Rescale to Fit GDP Proj'!$D$52)</f>
        <v>9.9275937457564307E-3</v>
      </c>
      <c r="AB65" s="13">
        <f>IF($A65="AEO",'Growth Rates'!AA58,'Growth Rates'!AA58*'Rescale to Fit GDP Proj'!$D$52)</f>
        <v>1.2557915155794363E-2</v>
      </c>
      <c r="AC65" s="13">
        <f>IF($A65="AEO",'Growth Rates'!AB58,'Growth Rates'!AB58*'Rescale to Fit GDP Proj'!$D$52)</f>
        <v>7.6471131311750809E-3</v>
      </c>
    </row>
    <row r="66" spans="1:29" x14ac:dyDescent="0.25">
      <c r="A66" t="s">
        <v>127</v>
      </c>
      <c r="B66" s="1" t="s">
        <v>8</v>
      </c>
      <c r="C66" s="13">
        <f>IF($A66="AEO",'Growth Rates'!B59,'Growth Rates'!B59*'Rescale to Fit GDP Proj'!$D$52)</f>
        <v>0</v>
      </c>
      <c r="D66" s="13">
        <f>IF($A66="AEO",'Growth Rates'!C59,'Growth Rates'!C59*'Rescale to Fit GDP Proj'!$D$52)</f>
        <v>-8.0041876610354463E-3</v>
      </c>
      <c r="E66" s="13">
        <f>IF($A66="AEO",'Growth Rates'!D59,'Growth Rates'!D59*'Rescale to Fit GDP Proj'!$D$52)</f>
        <v>4.5518045503567214E-4</v>
      </c>
      <c r="F66" s="13">
        <f>IF($A66="AEO",'Growth Rates'!E59,'Growth Rates'!E59*'Rescale to Fit GDP Proj'!$D$52)</f>
        <v>-1.3481153098819337E-2</v>
      </c>
      <c r="G66" s="13">
        <f>IF($A66="AEO",'Growth Rates'!F59,'Growth Rates'!F59*'Rescale to Fit GDP Proj'!$D$52)</f>
        <v>-9.8461617229140975E-3</v>
      </c>
      <c r="H66" s="13">
        <f>IF($A66="AEO",'Growth Rates'!G59,'Growth Rates'!G59*'Rescale to Fit GDP Proj'!$D$52)</f>
        <v>-5.2224450069981963E-3</v>
      </c>
      <c r="I66" s="13">
        <f>IF($A66="AEO",'Growth Rates'!H59,'Growth Rates'!H59*'Rescale to Fit GDP Proj'!$D$52)</f>
        <v>-3.1771738280149996E-3</v>
      </c>
      <c r="J66" s="13">
        <f>IF($A66="AEO",'Growth Rates'!I59,'Growth Rates'!I59*'Rescale to Fit GDP Proj'!$D$52)</f>
        <v>7.2791008060546828E-4</v>
      </c>
      <c r="K66" s="13">
        <f>IF($A66="AEO",'Growth Rates'!J59,'Growth Rates'!J59*'Rescale to Fit GDP Proj'!$D$52)</f>
        <v>-8.1195659597266961E-4</v>
      </c>
      <c r="L66" s="13">
        <f>IF($A66="AEO",'Growth Rates'!K59,'Growth Rates'!K59*'Rescale to Fit GDP Proj'!$D$52)</f>
        <v>-3.0443087458897566E-3</v>
      </c>
      <c r="M66" s="13">
        <f>IF($A66="AEO",'Growth Rates'!L59,'Growth Rates'!L59*'Rescale to Fit GDP Proj'!$D$52)</f>
        <v>1.2046220705847824E-3</v>
      </c>
      <c r="N66" s="13">
        <f>IF($A66="AEO",'Growth Rates'!M59,'Growth Rates'!M59*'Rescale to Fit GDP Proj'!$D$52)</f>
        <v>1.2032712971220432E-3</v>
      </c>
      <c r="O66" s="13">
        <f>IF($A66="AEO",'Growth Rates'!N59,'Growth Rates'!N59*'Rescale to Fit GDP Proj'!$D$52)</f>
        <v>2.5651657729336445E-3</v>
      </c>
      <c r="P66" s="13">
        <f>IF($A66="AEO",'Growth Rates'!O59,'Growth Rates'!O59*'Rescale to Fit GDP Proj'!$D$52)</f>
        <v>1.7189282839967324E-3</v>
      </c>
      <c r="Q66" s="13">
        <f>IF($A66="AEO",'Growth Rates'!P59,'Growth Rates'!P59*'Rescale to Fit GDP Proj'!$D$52)</f>
        <v>2.5558369527057373E-3</v>
      </c>
      <c r="R66" s="13">
        <f>IF($A66="AEO",'Growth Rates'!Q59,'Growth Rates'!Q59*'Rescale to Fit GDP Proj'!$D$52)</f>
        <v>5.7237110936795748E-3</v>
      </c>
      <c r="S66" s="13">
        <f>IF($A66="AEO",'Growth Rates'!R59,'Growth Rates'!R59*'Rescale to Fit GDP Proj'!$D$52)</f>
        <v>6.008609389611461E-3</v>
      </c>
      <c r="T66" s="13">
        <f>IF($A66="AEO",'Growth Rates'!S59,'Growth Rates'!S59*'Rescale to Fit GDP Proj'!$D$52)</f>
        <v>3.9912342314785436E-3</v>
      </c>
      <c r="U66" s="13">
        <f>IF($A66="AEO",'Growth Rates'!T59,'Growth Rates'!T59*'Rescale to Fit GDP Proj'!$D$52)</f>
        <v>4.4924411826746504E-3</v>
      </c>
      <c r="V66" s="13">
        <f>IF($A66="AEO",'Growth Rates'!U59,'Growth Rates'!U59*'Rescale to Fit GDP Proj'!$D$52)</f>
        <v>3.5085920101969952E-3</v>
      </c>
      <c r="W66" s="13">
        <f>IF($A66="AEO",'Growth Rates'!V59,'Growth Rates'!V59*'Rescale to Fit GDP Proj'!$D$52)</f>
        <v>5.9965880088454415E-3</v>
      </c>
      <c r="X66" s="13">
        <f>IF($A66="AEO",'Growth Rates'!W59,'Growth Rates'!W59*'Rescale to Fit GDP Proj'!$D$52)</f>
        <v>3.9745089260550598E-3</v>
      </c>
      <c r="Y66" s="13">
        <f>IF($A66="AEO",'Growth Rates'!X59,'Growth Rates'!X59*'Rescale to Fit GDP Proj'!$D$52)</f>
        <v>5.5666358793437908E-3</v>
      </c>
      <c r="Z66" s="13">
        <f>IF($A66="AEO",'Growth Rates'!Y59,'Growth Rates'!Y59*'Rescale to Fit GDP Proj'!$D$52)</f>
        <v>5.0847220871004673E-3</v>
      </c>
      <c r="AA66" s="13">
        <f>IF($A66="AEO",'Growth Rates'!Z59,'Growth Rates'!Z59*'Rescale to Fit GDP Proj'!$D$52)</f>
        <v>4.5452023416703317E-3</v>
      </c>
      <c r="AB66" s="13">
        <f>IF($A66="AEO",'Growth Rates'!AA59,'Growth Rates'!AA59*'Rescale to Fit GDP Proj'!$D$52)</f>
        <v>3.6536979439662403E-3</v>
      </c>
      <c r="AC66" s="13">
        <f>IF($A66="AEO",'Growth Rates'!AB59,'Growth Rates'!AB59*'Rescale to Fit GDP Proj'!$D$52)</f>
        <v>3.8098042639567696E-3</v>
      </c>
    </row>
    <row r="67" spans="1:29" x14ac:dyDescent="0.25">
      <c r="A67" t="s">
        <v>127</v>
      </c>
      <c r="B67" s="1" t="s">
        <v>9</v>
      </c>
      <c r="C67" s="13">
        <f>IF($A67="AEO",'Growth Rates'!B60,'Growth Rates'!B60*'Rescale to Fit GDP Proj'!$D$52)</f>
        <v>0</v>
      </c>
      <c r="D67" s="13">
        <f>IF($A67="AEO",'Growth Rates'!C60,'Growth Rates'!C60*'Rescale to Fit GDP Proj'!$D$52)</f>
        <v>1.6536762550319106E-2</v>
      </c>
      <c r="E67" s="13">
        <f>IF($A67="AEO",'Growth Rates'!D60,'Growth Rates'!D60*'Rescale to Fit GDP Proj'!$D$52)</f>
        <v>-4.3670221355918987E-3</v>
      </c>
      <c r="F67" s="13">
        <f>IF($A67="AEO",'Growth Rates'!E60,'Growth Rates'!E60*'Rescale to Fit GDP Proj'!$D$52)</f>
        <v>-4.4615383413189906E-3</v>
      </c>
      <c r="G67" s="13">
        <f>IF($A67="AEO",'Growth Rates'!F60,'Growth Rates'!F60*'Rescale to Fit GDP Proj'!$D$52)</f>
        <v>-5.4368009022099503E-3</v>
      </c>
      <c r="H67" s="13">
        <f>IF($A67="AEO",'Growth Rates'!G60,'Growth Rates'!G60*'Rescale to Fit GDP Proj'!$D$52)</f>
        <v>-7.8044244069210948E-3</v>
      </c>
      <c r="I67" s="13">
        <f>IF($A67="AEO",'Growth Rates'!H60,'Growth Rates'!H60*'Rescale to Fit GDP Proj'!$D$52)</f>
        <v>-1.2341998710313872E-2</v>
      </c>
      <c r="J67" s="13">
        <f>IF($A67="AEO",'Growth Rates'!I60,'Growth Rates'!I60*'Rescale to Fit GDP Proj'!$D$52)</f>
        <v>-1.3882066062449253E-2</v>
      </c>
      <c r="K67" s="13">
        <f>IF($A67="AEO",'Growth Rates'!J60,'Growth Rates'!J60*'Rescale to Fit GDP Proj'!$D$52)</f>
        <v>-1.6647169651114638E-2</v>
      </c>
      <c r="L67" s="13">
        <f>IF($A67="AEO",'Growth Rates'!K60,'Growth Rates'!K60*'Rescale to Fit GDP Proj'!$D$52)</f>
        <v>-1.7231979642126725E-2</v>
      </c>
      <c r="M67" s="13">
        <f>IF($A67="AEO",'Growth Rates'!L60,'Growth Rates'!L60*'Rescale to Fit GDP Proj'!$D$52)</f>
        <v>-1.5101589345942567E-2</v>
      </c>
      <c r="N67" s="13">
        <f>IF($A67="AEO",'Growth Rates'!M60,'Growth Rates'!M60*'Rescale to Fit GDP Proj'!$D$52)</f>
        <v>-1.535993024326435E-2</v>
      </c>
      <c r="O67" s="13">
        <f>IF($A67="AEO",'Growth Rates'!N60,'Growth Rates'!N60*'Rescale to Fit GDP Proj'!$D$52)</f>
        <v>-1.6048159637915206E-2</v>
      </c>
      <c r="P67" s="13">
        <f>IF($A67="AEO",'Growth Rates'!O60,'Growth Rates'!O60*'Rescale to Fit GDP Proj'!$D$52)</f>
        <v>-1.5470010063622686E-2</v>
      </c>
      <c r="Q67" s="13">
        <f>IF($A67="AEO",'Growth Rates'!P60,'Growth Rates'!P60*'Rescale to Fit GDP Proj'!$D$52)</f>
        <v>-1.2963708144923147E-2</v>
      </c>
      <c r="R67" s="13">
        <f>IF($A67="AEO",'Growth Rates'!Q60,'Growth Rates'!Q60*'Rescale to Fit GDP Proj'!$D$52)</f>
        <v>-9.7908544358840683E-3</v>
      </c>
      <c r="S67" s="13">
        <f>IF($A67="AEO",'Growth Rates'!R60,'Growth Rates'!R60*'Rescale to Fit GDP Proj'!$D$52)</f>
        <v>-7.2604139297888963E-3</v>
      </c>
      <c r="T67" s="13">
        <f>IF($A67="AEO",'Growth Rates'!S60,'Growth Rates'!S60*'Rescale to Fit GDP Proj'!$D$52)</f>
        <v>-7.775455141018261E-3</v>
      </c>
      <c r="U67" s="13">
        <f>IF($A67="AEO",'Growth Rates'!T60,'Growth Rates'!T60*'Rescale to Fit GDP Proj'!$D$52)</f>
        <v>-7.5570121387028835E-3</v>
      </c>
      <c r="V67" s="13">
        <f>IF($A67="AEO",'Growth Rates'!U60,'Growth Rates'!U60*'Rescale to Fit GDP Proj'!$D$52)</f>
        <v>-6.8520208472455085E-3</v>
      </c>
      <c r="W67" s="13">
        <f>IF($A67="AEO",'Growth Rates'!V60,'Growth Rates'!V60*'Rescale to Fit GDP Proj'!$D$52)</f>
        <v>-4.7722299844543178E-3</v>
      </c>
      <c r="X67" s="13">
        <f>IF($A67="AEO",'Growth Rates'!W60,'Growth Rates'!W60*'Rescale to Fit GDP Proj'!$D$52)</f>
        <v>-6.5632154095492789E-3</v>
      </c>
      <c r="Y67" s="13">
        <f>IF($A67="AEO",'Growth Rates'!X60,'Growth Rates'!X60*'Rescale to Fit GDP Proj'!$D$52)</f>
        <v>-2.7592735616040411E-3</v>
      </c>
      <c r="Z67" s="13">
        <f>IF($A67="AEO",'Growth Rates'!Y60,'Growth Rates'!Y60*'Rescale to Fit GDP Proj'!$D$52)</f>
        <v>1.6055828405284476E-3</v>
      </c>
      <c r="AA67" s="13">
        <f>IF($A67="AEO",'Growth Rates'!Z60,'Growth Rates'!Z60*'Rescale to Fit GDP Proj'!$D$52)</f>
        <v>-2.7861202238173453E-3</v>
      </c>
      <c r="AB67" s="13">
        <f>IF($A67="AEO",'Growth Rates'!AA60,'Growth Rates'!AA60*'Rescale to Fit GDP Proj'!$D$52)</f>
        <v>1.3726638306608807E-3</v>
      </c>
      <c r="AC67" s="13">
        <f>IF($A67="AEO",'Growth Rates'!AB60,'Growth Rates'!AB60*'Rescale to Fit GDP Proj'!$D$52)</f>
        <v>1.5760443087168661E-3</v>
      </c>
    </row>
    <row r="68" spans="1:29" x14ac:dyDescent="0.25">
      <c r="A68" t="s">
        <v>127</v>
      </c>
      <c r="B68" s="1" t="s">
        <v>33</v>
      </c>
      <c r="C68" s="13">
        <f>IF($A68="AEO",'Growth Rates'!B61,'Growth Rates'!B61*'Rescale to Fit GDP Proj'!$D$52)</f>
        <v>0</v>
      </c>
      <c r="D68" s="13">
        <f>IF($A68="AEO",'Growth Rates'!C61,'Growth Rates'!C61*'Rescale to Fit GDP Proj'!$D$52)</f>
        <v>5.1665284598177005E-3</v>
      </c>
      <c r="E68" s="13">
        <f>IF($A68="AEO",'Growth Rates'!D61,'Growth Rates'!D61*'Rescale to Fit GDP Proj'!$D$52)</f>
        <v>-7.0146267292923309E-3</v>
      </c>
      <c r="F68" s="13">
        <f>IF($A68="AEO",'Growth Rates'!E61,'Growth Rates'!E61*'Rescale to Fit GDP Proj'!$D$52)</f>
        <v>-2.1804787431951495E-3</v>
      </c>
      <c r="G68" s="13">
        <f>IF($A68="AEO",'Growth Rates'!F61,'Growth Rates'!F61*'Rescale to Fit GDP Proj'!$D$52)</f>
        <v>-1.9658026589765127E-3</v>
      </c>
      <c r="H68" s="13">
        <f>IF($A68="AEO",'Growth Rates'!G61,'Growth Rates'!G61*'Rescale to Fit GDP Proj'!$D$52)</f>
        <v>3.4221808232174624E-3</v>
      </c>
      <c r="I68" s="13">
        <f>IF($A68="AEO",'Growth Rates'!H61,'Growth Rates'!H61*'Rescale to Fit GDP Proj'!$D$52)</f>
        <v>9.2662134560400431E-3</v>
      </c>
      <c r="J68" s="13">
        <f>IF($A68="AEO",'Growth Rates'!I61,'Growth Rates'!I61*'Rescale to Fit GDP Proj'!$D$52)</f>
        <v>1.1902172444405574E-2</v>
      </c>
      <c r="K68" s="13">
        <f>IF($A68="AEO",'Growth Rates'!J61,'Growth Rates'!J61*'Rescale to Fit GDP Proj'!$D$52)</f>
        <v>1.3256228602350352E-2</v>
      </c>
      <c r="L68" s="13">
        <f>IF($A68="AEO",'Growth Rates'!K61,'Growth Rates'!K61*'Rescale to Fit GDP Proj'!$D$52)</f>
        <v>1.1541124576031072E-2</v>
      </c>
      <c r="M68" s="13">
        <f>IF($A68="AEO",'Growth Rates'!L61,'Growth Rates'!L61*'Rescale to Fit GDP Proj'!$D$52)</f>
        <v>1.3792285866251492E-2</v>
      </c>
      <c r="N68" s="13">
        <f>IF($A68="AEO",'Growth Rates'!M61,'Growth Rates'!M61*'Rescale to Fit GDP Proj'!$D$52)</f>
        <v>1.2039078869105962E-2</v>
      </c>
      <c r="O68" s="13">
        <f>IF($A68="AEO",'Growth Rates'!N61,'Growth Rates'!N61*'Rescale to Fit GDP Proj'!$D$52)</f>
        <v>9.7873749511175993E-3</v>
      </c>
      <c r="P68" s="13">
        <f>IF($A68="AEO",'Growth Rates'!O61,'Growth Rates'!O61*'Rescale to Fit GDP Proj'!$D$52)</f>
        <v>1.2944920452565517E-2</v>
      </c>
      <c r="Q68" s="13">
        <f>IF($A68="AEO",'Growth Rates'!P61,'Growth Rates'!P61*'Rescale to Fit GDP Proj'!$D$52)</f>
        <v>1.295049711602529E-2</v>
      </c>
      <c r="R68" s="13">
        <f>IF($A68="AEO",'Growth Rates'!Q61,'Growth Rates'!Q61*'Rescale to Fit GDP Proj'!$D$52)</f>
        <v>1.3895143200039243E-2</v>
      </c>
      <c r="S68" s="13">
        <f>IF($A68="AEO",'Growth Rates'!R61,'Growth Rates'!R61*'Rescale to Fit GDP Proj'!$D$52)</f>
        <v>1.5380036570542184E-2</v>
      </c>
      <c r="T68" s="13">
        <f>IF($A68="AEO",'Growth Rates'!S61,'Growth Rates'!S61*'Rescale to Fit GDP Proj'!$D$52)</f>
        <v>1.4478317931588609E-2</v>
      </c>
      <c r="U68" s="13">
        <f>IF($A68="AEO",'Growth Rates'!T61,'Growth Rates'!T61*'Rescale to Fit GDP Proj'!$D$52)</f>
        <v>1.4981522745204411E-2</v>
      </c>
      <c r="V68" s="13">
        <f>IF($A68="AEO",'Growth Rates'!U61,'Growth Rates'!U61*'Rescale to Fit GDP Proj'!$D$52)</f>
        <v>1.2937758703953606E-2</v>
      </c>
      <c r="W68" s="13">
        <f>IF($A68="AEO",'Growth Rates'!V61,'Growth Rates'!V61*'Rescale to Fit GDP Proj'!$D$52)</f>
        <v>1.2295900700488579E-2</v>
      </c>
      <c r="X68" s="13">
        <f>IF($A68="AEO",'Growth Rates'!W61,'Growth Rates'!W61*'Rescale to Fit GDP Proj'!$D$52)</f>
        <v>9.8679939783047638E-3</v>
      </c>
      <c r="Y68" s="13">
        <f>IF($A68="AEO",'Growth Rates'!X61,'Growth Rates'!X61*'Rescale to Fit GDP Proj'!$D$52)</f>
        <v>1.039189485556552E-2</v>
      </c>
      <c r="Z68" s="13">
        <f>IF($A68="AEO",'Growth Rates'!Y61,'Growth Rates'!Y61*'Rescale to Fit GDP Proj'!$D$52)</f>
        <v>1.4044529973683991E-2</v>
      </c>
      <c r="AA68" s="13">
        <f>IF($A68="AEO",'Growth Rates'!Z61,'Growth Rates'!Z61*'Rescale to Fit GDP Proj'!$D$52)</f>
        <v>1.1747444852246295E-2</v>
      </c>
      <c r="AB68" s="13">
        <f>IF($A68="AEO",'Growth Rates'!AA61,'Growth Rates'!AA61*'Rescale to Fit GDP Proj'!$D$52)</f>
        <v>1.0863789522123265E-2</v>
      </c>
      <c r="AC68" s="13">
        <f>IF($A68="AEO",'Growth Rates'!AB61,'Growth Rates'!AB61*'Rescale to Fit GDP Proj'!$D$52)</f>
        <v>9.1205755023789602E-3</v>
      </c>
    </row>
    <row r="69" spans="1:29" x14ac:dyDescent="0.25">
      <c r="B69" s="1" t="s">
        <v>34</v>
      </c>
      <c r="C69" s="13">
        <f>IF($A69="AEO",'Growth Rates'!B62,'Growth Rates'!B62*'Rescale to Fit GDP Proj'!$D$52)</f>
        <v>0</v>
      </c>
      <c r="D69" s="13">
        <f>IF($A69="AEO",'Growth Rates'!C62,'Growth Rates'!C62*'Rescale to Fit GDP Proj'!$D$52)</f>
        <v>2.0759999999999994E-2</v>
      </c>
      <c r="E69" s="13">
        <f>IF($A69="AEO",'Growth Rates'!D62,'Growth Rates'!D62*'Rescale to Fit GDP Proj'!$D$52)</f>
        <v>2.0759999999999994E-2</v>
      </c>
      <c r="F69" s="13">
        <f>IF($A69="AEO",'Growth Rates'!E62,'Growth Rates'!E62*'Rescale to Fit GDP Proj'!$D$52)</f>
        <v>2.0759999999999994E-2</v>
      </c>
      <c r="G69" s="13">
        <f>IF($A69="AEO",'Growth Rates'!F62,'Growth Rates'!F62*'Rescale to Fit GDP Proj'!$D$52)</f>
        <v>2.0759999999999994E-2</v>
      </c>
      <c r="H69" s="13">
        <f>IF($A69="AEO",'Growth Rates'!G62,'Growth Rates'!G62*'Rescale to Fit GDP Proj'!$D$52)</f>
        <v>2.0759999999999994E-2</v>
      </c>
      <c r="I69" s="13">
        <f>IF($A69="AEO",'Growth Rates'!H62,'Growth Rates'!H62*'Rescale to Fit GDP Proj'!$D$52)</f>
        <v>2.0759999999999994E-2</v>
      </c>
      <c r="J69" s="13">
        <f>IF($A69="AEO",'Growth Rates'!I62,'Growth Rates'!I62*'Rescale to Fit GDP Proj'!$D$52)</f>
        <v>2.0759999999999994E-2</v>
      </c>
      <c r="K69" s="13">
        <f>IF($A69="AEO",'Growth Rates'!J62,'Growth Rates'!J62*'Rescale to Fit GDP Proj'!$D$52)</f>
        <v>2.0759999999999994E-2</v>
      </c>
      <c r="L69" s="13">
        <f>IF($A69="AEO",'Growth Rates'!K62,'Growth Rates'!K62*'Rescale to Fit GDP Proj'!$D$52)</f>
        <v>2.0759999999999994E-2</v>
      </c>
      <c r="M69" s="13">
        <f>IF($A69="AEO",'Growth Rates'!L62,'Growth Rates'!L62*'Rescale to Fit GDP Proj'!$D$52)</f>
        <v>2.0759999999999994E-2</v>
      </c>
      <c r="N69" s="13">
        <f>IF($A69="AEO",'Growth Rates'!M62,'Growth Rates'!M62*'Rescale to Fit GDP Proj'!$D$52)</f>
        <v>2.0759999999999994E-2</v>
      </c>
      <c r="O69" s="13">
        <f>IF($A69="AEO",'Growth Rates'!N62,'Growth Rates'!N62*'Rescale to Fit GDP Proj'!$D$52)</f>
        <v>2.0759999999999994E-2</v>
      </c>
      <c r="P69" s="13">
        <f>IF($A69="AEO",'Growth Rates'!O62,'Growth Rates'!O62*'Rescale to Fit GDP Proj'!$D$52)</f>
        <v>2.0759999999999994E-2</v>
      </c>
      <c r="Q69" s="13">
        <f>IF($A69="AEO",'Growth Rates'!P62,'Growth Rates'!P62*'Rescale to Fit GDP Proj'!$D$52)</f>
        <v>2.0759999999999994E-2</v>
      </c>
      <c r="R69" s="13">
        <f>IF($A69="AEO",'Growth Rates'!Q62,'Growth Rates'!Q62*'Rescale to Fit GDP Proj'!$D$52)</f>
        <v>2.0759999999999994E-2</v>
      </c>
      <c r="S69" s="13">
        <f>IF($A69="AEO",'Growth Rates'!R62,'Growth Rates'!R62*'Rescale to Fit GDP Proj'!$D$52)</f>
        <v>2.0759999999999994E-2</v>
      </c>
      <c r="T69" s="13">
        <f>IF($A69="AEO",'Growth Rates'!S62,'Growth Rates'!S62*'Rescale to Fit GDP Proj'!$D$52)</f>
        <v>2.0759999999999994E-2</v>
      </c>
      <c r="U69" s="13">
        <f>IF($A69="AEO",'Growth Rates'!T62,'Growth Rates'!T62*'Rescale to Fit GDP Proj'!$D$52)</f>
        <v>2.0759999999999994E-2</v>
      </c>
      <c r="V69" s="13">
        <f>IF($A69="AEO",'Growth Rates'!U62,'Growth Rates'!U62*'Rescale to Fit GDP Proj'!$D$52)</f>
        <v>2.0759999999999994E-2</v>
      </c>
      <c r="W69" s="13">
        <f>IF($A69="AEO",'Growth Rates'!V62,'Growth Rates'!V62*'Rescale to Fit GDP Proj'!$D$52)</f>
        <v>2.0759999999999994E-2</v>
      </c>
      <c r="X69" s="13">
        <f>IF($A69="AEO",'Growth Rates'!W62,'Growth Rates'!W62*'Rescale to Fit GDP Proj'!$D$52)</f>
        <v>2.0759999999999994E-2</v>
      </c>
      <c r="Y69" s="13">
        <f>IF($A69="AEO",'Growth Rates'!X62,'Growth Rates'!X62*'Rescale to Fit GDP Proj'!$D$52)</f>
        <v>2.0759999999999994E-2</v>
      </c>
      <c r="Z69" s="13">
        <f>IF($A69="AEO",'Growth Rates'!Y62,'Growth Rates'!Y62*'Rescale to Fit GDP Proj'!$D$52)</f>
        <v>2.0759999999999994E-2</v>
      </c>
      <c r="AA69" s="13">
        <f>IF($A69="AEO",'Growth Rates'!Z62,'Growth Rates'!Z62*'Rescale to Fit GDP Proj'!$D$52)</f>
        <v>2.0759999999999994E-2</v>
      </c>
      <c r="AB69" s="13">
        <f>IF($A69="AEO",'Growth Rates'!AA62,'Growth Rates'!AA62*'Rescale to Fit GDP Proj'!$D$52)</f>
        <v>2.0759999999999994E-2</v>
      </c>
      <c r="AC69" s="13">
        <f>IF($A69="AEO",'Growth Rates'!AB62,'Growth Rates'!AB62*'Rescale to Fit GDP Proj'!$D$52)</f>
        <v>2.0759999999999994E-2</v>
      </c>
    </row>
    <row r="70" spans="1:29" x14ac:dyDescent="0.25">
      <c r="A70" t="s">
        <v>127</v>
      </c>
      <c r="B70" s="1" t="s">
        <v>10</v>
      </c>
      <c r="C70" s="13">
        <f>IF($A70="AEO",'Growth Rates'!B63,'Growth Rates'!B63*'Rescale to Fit GDP Proj'!$D$52)</f>
        <v>0</v>
      </c>
      <c r="D70" s="13">
        <f>IF($A70="AEO",'Growth Rates'!C63,'Growth Rates'!C63*'Rescale to Fit GDP Proj'!$D$52)</f>
        <v>2.5276672821325334E-2</v>
      </c>
      <c r="E70" s="13">
        <f>IF($A70="AEO",'Growth Rates'!D63,'Growth Rates'!D63*'Rescale to Fit GDP Proj'!$D$52)</f>
        <v>3.2237903235623352E-2</v>
      </c>
      <c r="F70" s="13">
        <f>IF($A70="AEO",'Growth Rates'!E63,'Growth Rates'!E63*'Rescale to Fit GDP Proj'!$D$52)</f>
        <v>1.9065157136595724E-2</v>
      </c>
      <c r="G70" s="13">
        <f>IF($A70="AEO",'Growth Rates'!F63,'Growth Rates'!F63*'Rescale to Fit GDP Proj'!$D$52)</f>
        <v>8.743943838241031E-3</v>
      </c>
      <c r="H70" s="13">
        <f>IF($A70="AEO",'Growth Rates'!G63,'Growth Rates'!G63*'Rescale to Fit GDP Proj'!$D$52)</f>
        <v>1.2673275857844482E-2</v>
      </c>
      <c r="I70" s="13">
        <f>IF($A70="AEO",'Growth Rates'!H63,'Growth Rates'!H63*'Rescale to Fit GDP Proj'!$D$52)</f>
        <v>1.6089915221361727E-2</v>
      </c>
      <c r="J70" s="13">
        <f>IF($A70="AEO",'Growth Rates'!I63,'Growth Rates'!I63*'Rescale to Fit GDP Proj'!$D$52)</f>
        <v>1.5982841402497523E-2</v>
      </c>
      <c r="K70" s="13">
        <f>IF($A70="AEO",'Growth Rates'!J63,'Growth Rates'!J63*'Rescale to Fit GDP Proj'!$D$52)</f>
        <v>1.4939756591494166E-2</v>
      </c>
      <c r="L70" s="13">
        <f>IF($A70="AEO",'Growth Rates'!K63,'Growth Rates'!K63*'Rescale to Fit GDP Proj'!$D$52)</f>
        <v>1.2830755726271501E-2</v>
      </c>
      <c r="M70" s="13">
        <f>IF($A70="AEO",'Growth Rates'!L63,'Growth Rates'!L63*'Rescale to Fit GDP Proj'!$D$52)</f>
        <v>1.6364535289412785E-2</v>
      </c>
      <c r="N70" s="13">
        <f>IF($A70="AEO",'Growth Rates'!M63,'Growth Rates'!M63*'Rescale to Fit GDP Proj'!$D$52)</f>
        <v>1.2286501057714854E-2</v>
      </c>
      <c r="O70" s="13">
        <f>IF($A70="AEO",'Growth Rates'!N63,'Growth Rates'!N63*'Rescale to Fit GDP Proj'!$D$52)</f>
        <v>8.8574108135729586E-3</v>
      </c>
      <c r="P70" s="13">
        <f>IF($A70="AEO",'Growth Rates'!O63,'Growth Rates'!O63*'Rescale to Fit GDP Proj'!$D$52)</f>
        <v>1.1628070834384434E-2</v>
      </c>
      <c r="Q70" s="13">
        <f>IF($A70="AEO",'Growth Rates'!P63,'Growth Rates'!P63*'Rescale to Fit GDP Proj'!$D$52)</f>
        <v>9.7860372275935872E-3</v>
      </c>
      <c r="R70" s="13">
        <f>IF($A70="AEO",'Growth Rates'!Q63,'Growth Rates'!Q63*'Rescale to Fit GDP Proj'!$D$52)</f>
        <v>1.0200526850584537E-2</v>
      </c>
      <c r="S70" s="13">
        <f>IF($A70="AEO",'Growth Rates'!R63,'Growth Rates'!R63*'Rescale to Fit GDP Proj'!$D$52)</f>
        <v>1.1442643402212928E-2</v>
      </c>
      <c r="T70" s="13">
        <f>IF($A70="AEO",'Growth Rates'!S63,'Growth Rates'!S63*'Rescale to Fit GDP Proj'!$D$52)</f>
        <v>9.8054805769355428E-3</v>
      </c>
      <c r="U70" s="13">
        <f>IF($A70="AEO",'Growth Rates'!T63,'Growth Rates'!T63*'Rescale to Fit GDP Proj'!$D$52)</f>
        <v>1.0513830841450729E-2</v>
      </c>
      <c r="V70" s="13">
        <f>IF($A70="AEO",'Growth Rates'!U63,'Growth Rates'!U63*'Rescale to Fit GDP Proj'!$D$52)</f>
        <v>7.2484337617855681E-3</v>
      </c>
      <c r="W70" s="13">
        <f>IF($A70="AEO",'Growth Rates'!V63,'Growth Rates'!V63*'Rescale to Fit GDP Proj'!$D$52)</f>
        <v>7.5497788815160173E-3</v>
      </c>
      <c r="X70" s="13">
        <f>IF($A70="AEO",'Growth Rates'!W63,'Growth Rates'!W63*'Rescale to Fit GDP Proj'!$D$52)</f>
        <v>5.9624590784993761E-3</v>
      </c>
      <c r="Y70" s="13">
        <f>IF($A70="AEO",'Growth Rates'!X63,'Growth Rates'!X63*'Rescale to Fit GDP Proj'!$D$52)</f>
        <v>6.6212919310544615E-3</v>
      </c>
      <c r="Z70" s="13">
        <f>IF($A70="AEO",'Growth Rates'!Y63,'Growth Rates'!Y63*'Rescale to Fit GDP Proj'!$D$52)</f>
        <v>7.6848159738344126E-3</v>
      </c>
      <c r="AA70" s="13">
        <f>IF($A70="AEO",'Growth Rates'!Z63,'Growth Rates'!Z63*'Rescale to Fit GDP Proj'!$D$52)</f>
        <v>6.7880871828263053E-3</v>
      </c>
      <c r="AB70" s="13">
        <f>IF($A70="AEO",'Growth Rates'!AA63,'Growth Rates'!AA63*'Rescale to Fit GDP Proj'!$D$52)</f>
        <v>7.2496980406510213E-3</v>
      </c>
      <c r="AC70" s="13">
        <f>IF($A70="AEO",'Growth Rates'!AB63,'Growth Rates'!AB63*'Rescale to Fit GDP Proj'!$D$52)</f>
        <v>5.7409853063217558E-3</v>
      </c>
    </row>
    <row r="71" spans="1:29" x14ac:dyDescent="0.25">
      <c r="A71" t="s">
        <v>127</v>
      </c>
      <c r="B71" s="1" t="s">
        <v>38</v>
      </c>
      <c r="C71" s="13">
        <f>IF($A71="AEO",'Growth Rates'!B64,'Growth Rates'!B64*'Rescale to Fit GDP Proj'!$D$52)</f>
        <v>0</v>
      </c>
      <c r="D71" s="13">
        <f>IF($A71="AEO",'Growth Rates'!C64,'Growth Rates'!C64*'Rescale to Fit GDP Proj'!$D$52)</f>
        <v>-7.4908174144431433E-3</v>
      </c>
      <c r="E71" s="13">
        <f>IF($A71="AEO",'Growth Rates'!D64,'Growth Rates'!D64*'Rescale to Fit GDP Proj'!$D$52)</f>
        <v>-2.219889907326098E-3</v>
      </c>
      <c r="F71" s="13">
        <f>IF($A71="AEO",'Growth Rates'!E64,'Growth Rates'!E64*'Rescale to Fit GDP Proj'!$D$52)</f>
        <v>-5.7708467779691024E-4</v>
      </c>
      <c r="G71" s="13">
        <f>IF($A71="AEO",'Growth Rates'!F64,'Growth Rates'!F64*'Rescale to Fit GDP Proj'!$D$52)</f>
        <v>1.5666446419822092E-3</v>
      </c>
      <c r="H71" s="13">
        <f>IF($A71="AEO",'Growth Rates'!G64,'Growth Rates'!G64*'Rescale to Fit GDP Proj'!$D$52)</f>
        <v>2.1668563065671527E-3</v>
      </c>
      <c r="I71" s="13">
        <f>IF($A71="AEO",'Growth Rates'!H64,'Growth Rates'!H64*'Rescale to Fit GDP Proj'!$D$52)</f>
        <v>2.8976923153809821E-3</v>
      </c>
      <c r="J71" s="13">
        <f>IF($A71="AEO",'Growth Rates'!I64,'Growth Rates'!I64*'Rescale to Fit GDP Proj'!$D$52)</f>
        <v>4.9074456067386566E-3</v>
      </c>
      <c r="K71" s="13">
        <f>IF($A71="AEO",'Growth Rates'!J64,'Growth Rates'!J64*'Rescale to Fit GDP Proj'!$D$52)</f>
        <v>6.3263001583297156E-3</v>
      </c>
      <c r="L71" s="13">
        <f>IF($A71="AEO",'Growth Rates'!K64,'Growth Rates'!K64*'Rescale to Fit GDP Proj'!$D$52)</f>
        <v>6.1604455927479424E-3</v>
      </c>
      <c r="M71" s="13">
        <f>IF($A71="AEO",'Growth Rates'!L64,'Growth Rates'!L64*'Rescale to Fit GDP Proj'!$D$52)</f>
        <v>6.6765834151234363E-3</v>
      </c>
      <c r="N71" s="13">
        <f>IF($A71="AEO",'Growth Rates'!M64,'Growth Rates'!M64*'Rescale to Fit GDP Proj'!$D$52)</f>
        <v>7.5155464213653086E-3</v>
      </c>
      <c r="O71" s="13">
        <f>IF($A71="AEO",'Growth Rates'!N64,'Growth Rates'!N64*'Rescale to Fit GDP Proj'!$D$52)</f>
        <v>7.3118108154134782E-3</v>
      </c>
      <c r="P71" s="13">
        <f>IF($A71="AEO",'Growth Rates'!O64,'Growth Rates'!O64*'Rescale to Fit GDP Proj'!$D$52)</f>
        <v>8.1471680035677917E-3</v>
      </c>
      <c r="Q71" s="13">
        <f>IF($A71="AEO",'Growth Rates'!P64,'Growth Rates'!P64*'Rescale to Fit GDP Proj'!$D$52)</f>
        <v>8.8415853784856412E-3</v>
      </c>
      <c r="R71" s="13">
        <f>IF($A71="AEO",'Growth Rates'!Q64,'Growth Rates'!Q64*'Rescale to Fit GDP Proj'!$D$52)</f>
        <v>8.9948486241481409E-3</v>
      </c>
      <c r="S71" s="13">
        <f>IF($A71="AEO",'Growth Rates'!R64,'Growth Rates'!R64*'Rescale to Fit GDP Proj'!$D$52)</f>
        <v>9.5143391653547075E-3</v>
      </c>
      <c r="T71" s="13">
        <f>IF($A71="AEO",'Growth Rates'!S64,'Growth Rates'!S64*'Rescale to Fit GDP Proj'!$D$52)</f>
        <v>9.5589248341786774E-3</v>
      </c>
      <c r="U71" s="13">
        <f>IF($A71="AEO",'Growth Rates'!T64,'Growth Rates'!T64*'Rescale to Fit GDP Proj'!$D$52)</f>
        <v>9.3129246665070373E-3</v>
      </c>
      <c r="V71" s="13">
        <f>IF($A71="AEO",'Growth Rates'!U64,'Growth Rates'!U64*'Rescale to Fit GDP Proj'!$D$52)</f>
        <v>8.5874401774429874E-3</v>
      </c>
      <c r="W71" s="13">
        <f>IF($A71="AEO",'Growth Rates'!V64,'Growth Rates'!V64*'Rescale to Fit GDP Proj'!$D$52)</f>
        <v>7.6326425300024528E-3</v>
      </c>
      <c r="X71" s="13">
        <f>IF($A71="AEO",'Growth Rates'!W64,'Growth Rates'!W64*'Rescale to Fit GDP Proj'!$D$52)</f>
        <v>6.8916069335465749E-3</v>
      </c>
      <c r="Y71" s="13">
        <f>IF($A71="AEO",'Growth Rates'!X64,'Growth Rates'!X64*'Rescale to Fit GDP Proj'!$D$52)</f>
        <v>6.4393701847180315E-3</v>
      </c>
      <c r="Z71" s="13">
        <f>IF($A71="AEO",'Growth Rates'!Y64,'Growth Rates'!Y64*'Rescale to Fit GDP Proj'!$D$52)</f>
        <v>6.9259305262286321E-3</v>
      </c>
      <c r="AA71" s="13">
        <f>IF($A71="AEO",'Growth Rates'!Z64,'Growth Rates'!Z64*'Rescale to Fit GDP Proj'!$D$52)</f>
        <v>7.3185829013002893E-3</v>
      </c>
      <c r="AB71" s="13">
        <f>IF($A71="AEO",'Growth Rates'!AA64,'Growth Rates'!AA64*'Rescale to Fit GDP Proj'!$D$52)</f>
        <v>7.2991270567981771E-3</v>
      </c>
      <c r="AC71" s="13">
        <f>IF($A71="AEO",'Growth Rates'!AB64,'Growth Rates'!AB64*'Rescale to Fit GDP Proj'!$D$52)</f>
        <v>6.7480814592061258E-3</v>
      </c>
    </row>
    <row r="72" spans="1:29" x14ac:dyDescent="0.25">
      <c r="A72" t="s">
        <v>127</v>
      </c>
      <c r="B72" s="1" t="s">
        <v>39</v>
      </c>
      <c r="C72" s="13">
        <f>IF($A72="AEO",'Growth Rates'!B65,'Growth Rates'!B65*'Rescale to Fit GDP Proj'!$D$52)</f>
        <v>0</v>
      </c>
      <c r="D72" s="13">
        <f>IF($A72="AEO",'Growth Rates'!C65,'Growth Rates'!C65*'Rescale to Fit GDP Proj'!$D$52)</f>
        <v>2.8758968843308514E-3</v>
      </c>
      <c r="E72" s="13">
        <f>IF($A72="AEO",'Growth Rates'!D65,'Growth Rates'!D65*'Rescale to Fit GDP Proj'!$D$52)</f>
        <v>2.6611884172840447E-3</v>
      </c>
      <c r="F72" s="13">
        <f>IF($A72="AEO",'Growth Rates'!E65,'Growth Rates'!E65*'Rescale to Fit GDP Proj'!$D$52)</f>
        <v>7.759210897801753E-3</v>
      </c>
      <c r="G72" s="13">
        <f>IF($A72="AEO",'Growth Rates'!F65,'Growth Rates'!F65*'Rescale to Fit GDP Proj'!$D$52)</f>
        <v>6.8832414257101833E-3</v>
      </c>
      <c r="H72" s="13">
        <f>IF($A72="AEO",'Growth Rates'!G65,'Growth Rates'!G65*'Rescale to Fit GDP Proj'!$D$52)</f>
        <v>2.8769669108611659E-3</v>
      </c>
      <c r="I72" s="13">
        <f>IF($A72="AEO",'Growth Rates'!H65,'Growth Rates'!H65*'Rescale to Fit GDP Proj'!$D$52)</f>
        <v>9.6662743340838672E-3</v>
      </c>
      <c r="J72" s="13">
        <f>IF($A72="AEO",'Growth Rates'!I65,'Growth Rates'!I65*'Rescale to Fit GDP Proj'!$D$52)</f>
        <v>1.463371347473617E-2</v>
      </c>
      <c r="K72" s="13">
        <f>IF($A72="AEO",'Growth Rates'!J65,'Growth Rates'!J65*'Rescale to Fit GDP Proj'!$D$52)</f>
        <v>1.2442837403581899E-2</v>
      </c>
      <c r="L72" s="13">
        <f>IF($A72="AEO",'Growth Rates'!K65,'Growth Rates'!K65*'Rescale to Fit GDP Proj'!$D$52)</f>
        <v>8.048625888105591E-3</v>
      </c>
      <c r="M72" s="13">
        <f>IF($A72="AEO",'Growth Rates'!L65,'Growth Rates'!L65*'Rescale to Fit GDP Proj'!$D$52)</f>
        <v>6.2364583733723975E-3</v>
      </c>
      <c r="N72" s="13">
        <f>IF($A72="AEO",'Growth Rates'!M65,'Growth Rates'!M65*'Rescale to Fit GDP Proj'!$D$52)</f>
        <v>8.3328402484759232E-3</v>
      </c>
      <c r="O72" s="13">
        <f>IF($A72="AEO",'Growth Rates'!N65,'Growth Rates'!N65*'Rescale to Fit GDP Proj'!$D$52)</f>
        <v>8.7089386112522617E-3</v>
      </c>
      <c r="P72" s="13">
        <f>IF($A72="AEO",'Growth Rates'!O65,'Growth Rates'!O65*'Rescale to Fit GDP Proj'!$D$52)</f>
        <v>9.1485101006814167E-3</v>
      </c>
      <c r="Q72" s="13">
        <f>IF($A72="AEO",'Growth Rates'!P65,'Growth Rates'!P65*'Rescale to Fit GDP Proj'!$D$52)</f>
        <v>1.0274285952720752E-2</v>
      </c>
      <c r="R72" s="13">
        <f>IF($A72="AEO",'Growth Rates'!Q65,'Growth Rates'!Q65*'Rescale to Fit GDP Proj'!$D$52)</f>
        <v>9.1445911311367652E-3</v>
      </c>
      <c r="S72" s="13">
        <f>IF($A72="AEO",'Growth Rates'!R65,'Growth Rates'!R65*'Rescale to Fit GDP Proj'!$D$52)</f>
        <v>5.309111534979323E-3</v>
      </c>
      <c r="T72" s="13">
        <f>IF($A72="AEO",'Growth Rates'!S65,'Growth Rates'!S65*'Rescale to Fit GDP Proj'!$D$52)</f>
        <v>2.6442218615866566E-3</v>
      </c>
      <c r="U72" s="13">
        <f>IF($A72="AEO",'Growth Rates'!T65,'Growth Rates'!T65*'Rescale to Fit GDP Proj'!$D$52)</f>
        <v>7.3590650868227635E-4</v>
      </c>
      <c r="V72" s="13">
        <f>IF($A72="AEO",'Growth Rates'!U65,'Growth Rates'!U65*'Rescale to Fit GDP Proj'!$D$52)</f>
        <v>-3.5587572707516907E-3</v>
      </c>
      <c r="W72" s="13">
        <f>IF($A72="AEO",'Growth Rates'!V65,'Growth Rates'!V65*'Rescale to Fit GDP Proj'!$D$52)</f>
        <v>-6.5390491722112443E-3</v>
      </c>
      <c r="X72" s="13">
        <f>IF($A72="AEO",'Growth Rates'!W65,'Growth Rates'!W65*'Rescale to Fit GDP Proj'!$D$52)</f>
        <v>3.4545986048377495E-4</v>
      </c>
      <c r="Y72" s="13">
        <f>IF($A72="AEO",'Growth Rates'!X65,'Growth Rates'!X65*'Rescale to Fit GDP Proj'!$D$52)</f>
        <v>5.03403008082775E-3</v>
      </c>
      <c r="Z72" s="13">
        <f>IF($A72="AEO",'Growth Rates'!Y65,'Growth Rates'!Y65*'Rescale to Fit GDP Proj'!$D$52)</f>
        <v>6.012796646848337E-3</v>
      </c>
      <c r="AA72" s="13">
        <f>IF($A72="AEO",'Growth Rates'!Z65,'Growth Rates'!Z65*'Rescale to Fit GDP Proj'!$D$52)</f>
        <v>6.9933162333010689E-3</v>
      </c>
      <c r="AB72" s="13">
        <f>IF($A72="AEO",'Growth Rates'!AA65,'Growth Rates'!AA65*'Rescale to Fit GDP Proj'!$D$52)</f>
        <v>7.154478000018772E-3</v>
      </c>
      <c r="AC72" s="13">
        <f>IF($A72="AEO",'Growth Rates'!AB65,'Growth Rates'!AB65*'Rescale to Fit GDP Proj'!$D$52)</f>
        <v>7.7567565872567711E-3</v>
      </c>
    </row>
    <row r="73" spans="1:29" x14ac:dyDescent="0.25">
      <c r="A73" t="s">
        <v>127</v>
      </c>
      <c r="B73" s="1" t="s">
        <v>40</v>
      </c>
      <c r="C73" s="13">
        <f>IF($A73="AEO",'Growth Rates'!B66,'Growth Rates'!B66*'Rescale to Fit GDP Proj'!$D$52)</f>
        <v>0</v>
      </c>
      <c r="D73" s="13">
        <f>IF($A73="AEO",'Growth Rates'!C66,'Growth Rates'!C66*'Rescale to Fit GDP Proj'!$D$52)</f>
        <v>2.5613569332120188E-2</v>
      </c>
      <c r="E73" s="13">
        <f>IF($A73="AEO",'Growth Rates'!D66,'Growth Rates'!D66*'Rescale to Fit GDP Proj'!$D$52)</f>
        <v>3.7003969697100805E-2</v>
      </c>
      <c r="F73" s="13">
        <f>IF($A73="AEO",'Growth Rates'!E66,'Growth Rates'!E66*'Rescale to Fit GDP Proj'!$D$52)</f>
        <v>5.8777775804510672E-3</v>
      </c>
      <c r="G73" s="13">
        <f>IF($A73="AEO",'Growth Rates'!F66,'Growth Rates'!F66*'Rescale to Fit GDP Proj'!$D$52)</f>
        <v>-6.2913312730956805E-3</v>
      </c>
      <c r="H73" s="13">
        <f>IF($A73="AEO",'Growth Rates'!G66,'Growth Rates'!G66*'Rescale to Fit GDP Proj'!$D$52)</f>
        <v>-2.2220347768707573E-3</v>
      </c>
      <c r="I73" s="13">
        <f>IF($A73="AEO",'Growth Rates'!H66,'Growth Rates'!H66*'Rescale to Fit GDP Proj'!$D$52)</f>
        <v>8.5113627870292471E-3</v>
      </c>
      <c r="J73" s="13">
        <f>IF($A73="AEO",'Growth Rates'!I66,'Growth Rates'!I66*'Rescale to Fit GDP Proj'!$D$52)</f>
        <v>1.2993822769242994E-2</v>
      </c>
      <c r="K73" s="13">
        <f>IF($A73="AEO",'Growth Rates'!J66,'Growth Rates'!J66*'Rescale to Fit GDP Proj'!$D$52)</f>
        <v>1.2291591924551025E-2</v>
      </c>
      <c r="L73" s="13">
        <f>IF($A73="AEO",'Growth Rates'!K66,'Growth Rates'!K66*'Rescale to Fit GDP Proj'!$D$52)</f>
        <v>-3.0455196784383767E-3</v>
      </c>
      <c r="M73" s="13">
        <f>IF($A73="AEO",'Growth Rates'!L66,'Growth Rates'!L66*'Rescale to Fit GDP Proj'!$D$52)</f>
        <v>6.8541019069923177E-3</v>
      </c>
      <c r="N73" s="13">
        <f>IF($A73="AEO",'Growth Rates'!M66,'Growth Rates'!M66*'Rescale to Fit GDP Proj'!$D$52)</f>
        <v>6.12673531846257E-3</v>
      </c>
      <c r="O73" s="13">
        <f>IF($A73="AEO",'Growth Rates'!N66,'Growth Rates'!N66*'Rescale to Fit GDP Proj'!$D$52)</f>
        <v>5.0886919801239085E-3</v>
      </c>
      <c r="P73" s="13">
        <f>IF($A73="AEO",'Growth Rates'!O66,'Growth Rates'!O66*'Rescale to Fit GDP Proj'!$D$52)</f>
        <v>1.3148835915409862E-2</v>
      </c>
      <c r="Q73" s="13">
        <f>IF($A73="AEO",'Growth Rates'!P66,'Growth Rates'!P66*'Rescale to Fit GDP Proj'!$D$52)</f>
        <v>9.8784120150077984E-3</v>
      </c>
      <c r="R73" s="13">
        <f>IF($A73="AEO",'Growth Rates'!Q66,'Growth Rates'!Q66*'Rescale to Fit GDP Proj'!$D$52)</f>
        <v>9.596685533981391E-3</v>
      </c>
      <c r="S73" s="13">
        <f>IF($A73="AEO",'Growth Rates'!R66,'Growth Rates'!R66*'Rescale to Fit GDP Proj'!$D$52)</f>
        <v>1.7331364941662559E-2</v>
      </c>
      <c r="T73" s="13">
        <f>IF($A73="AEO",'Growth Rates'!S66,'Growth Rates'!S66*'Rescale to Fit GDP Proj'!$D$52)</f>
        <v>1.1040176898259622E-2</v>
      </c>
      <c r="U73" s="13">
        <f>IF($A73="AEO",'Growth Rates'!T66,'Growth Rates'!T66*'Rescale to Fit GDP Proj'!$D$52)</f>
        <v>7.4664772243642537E-3</v>
      </c>
      <c r="V73" s="13">
        <f>IF($A73="AEO",'Growth Rates'!U66,'Growth Rates'!U66*'Rescale to Fit GDP Proj'!$D$52)</f>
        <v>1.3458967406355701E-2</v>
      </c>
      <c r="W73" s="13">
        <f>IF($A73="AEO",'Growth Rates'!V66,'Growth Rates'!V66*'Rescale to Fit GDP Proj'!$D$52)</f>
        <v>1.0370298790696723E-2</v>
      </c>
      <c r="X73" s="13">
        <f>IF($A73="AEO",'Growth Rates'!W66,'Growth Rates'!W66*'Rescale to Fit GDP Proj'!$D$52)</f>
        <v>6.2878073296410743E-3</v>
      </c>
      <c r="Y73" s="13">
        <f>IF($A73="AEO",'Growth Rates'!X66,'Growth Rates'!X66*'Rescale to Fit GDP Proj'!$D$52)</f>
        <v>3.8367329299624805E-3</v>
      </c>
      <c r="Z73" s="13">
        <f>IF($A73="AEO",'Growth Rates'!Y66,'Growth Rates'!Y66*'Rescale to Fit GDP Proj'!$D$52)</f>
        <v>8.7479445594834896E-3</v>
      </c>
      <c r="AA73" s="13">
        <f>IF($A73="AEO",'Growth Rates'!Z66,'Growth Rates'!Z66*'Rescale to Fit GDP Proj'!$D$52)</f>
        <v>3.4651327862656187E-3</v>
      </c>
      <c r="AB73" s="13">
        <f>IF($A73="AEO",'Growth Rates'!AA66,'Growth Rates'!AA66*'Rescale to Fit GDP Proj'!$D$52)</f>
        <v>1.6339766481327236E-3</v>
      </c>
      <c r="AC73" s="13">
        <f>IF($A73="AEO",'Growth Rates'!AB66,'Growth Rates'!AB66*'Rescale to Fit GDP Proj'!$D$52)</f>
        <v>1.8384485031032781E-3</v>
      </c>
    </row>
    <row r="74" spans="1:29" x14ac:dyDescent="0.25">
      <c r="A74" t="s">
        <v>127</v>
      </c>
      <c r="B74" s="1" t="s">
        <v>41</v>
      </c>
      <c r="C74" s="13">
        <f>IF($A74="AEO",'Growth Rates'!B67,'Growth Rates'!B67*'Rescale to Fit GDP Proj'!$D$52)</f>
        <v>0</v>
      </c>
      <c r="D74" s="13">
        <f>IF($A74="AEO",'Growth Rates'!C67,'Growth Rates'!C67*'Rescale to Fit GDP Proj'!$D$52)</f>
        <v>4.8085548520599287E-4</v>
      </c>
      <c r="E74" s="13">
        <f>IF($A74="AEO",'Growth Rates'!D67,'Growth Rates'!D67*'Rescale to Fit GDP Proj'!$D$52)</f>
        <v>4.3021762100511956E-3</v>
      </c>
      <c r="F74" s="13">
        <f>IF($A74="AEO",'Growth Rates'!E67,'Growth Rates'!E67*'Rescale to Fit GDP Proj'!$D$52)</f>
        <v>1.2433998812807771E-2</v>
      </c>
      <c r="G74" s="13">
        <f>IF($A74="AEO",'Growth Rates'!F67,'Growth Rates'!F67*'Rescale to Fit GDP Proj'!$D$52)</f>
        <v>9.1902666563116828E-3</v>
      </c>
      <c r="H74" s="13">
        <f>IF($A74="AEO",'Growth Rates'!G67,'Growth Rates'!G67*'Rescale to Fit GDP Proj'!$D$52)</f>
        <v>9.0229544990572935E-3</v>
      </c>
      <c r="I74" s="13">
        <f>IF($A74="AEO",'Growth Rates'!H67,'Growth Rates'!H67*'Rescale to Fit GDP Proj'!$D$52)</f>
        <v>9.0244781811672885E-3</v>
      </c>
      <c r="J74" s="13">
        <f>IF($A74="AEO",'Growth Rates'!I67,'Growth Rates'!I67*'Rescale to Fit GDP Proj'!$D$52)</f>
        <v>8.9125289908655436E-3</v>
      </c>
      <c r="K74" s="13">
        <f>IF($A74="AEO",'Growth Rates'!J67,'Growth Rates'!J67*'Rescale to Fit GDP Proj'!$D$52)</f>
        <v>9.6918535142110889E-3</v>
      </c>
      <c r="L74" s="13">
        <f>IF($A74="AEO",'Growth Rates'!K67,'Growth Rates'!K67*'Rescale to Fit GDP Proj'!$D$52)</f>
        <v>9.7843163826577505E-3</v>
      </c>
      <c r="M74" s="13">
        <f>IF($A74="AEO",'Growth Rates'!L67,'Growth Rates'!L67*'Rescale to Fit GDP Proj'!$D$52)</f>
        <v>9.8974213328275433E-3</v>
      </c>
      <c r="N74" s="13">
        <f>IF($A74="AEO",'Growth Rates'!M67,'Growth Rates'!M67*'Rescale to Fit GDP Proj'!$D$52)</f>
        <v>1.0564132575033903E-2</v>
      </c>
      <c r="O74" s="13">
        <f>IF($A74="AEO",'Growth Rates'!N67,'Growth Rates'!N67*'Rescale to Fit GDP Proj'!$D$52)</f>
        <v>1.0462976947643258E-2</v>
      </c>
      <c r="P74" s="13">
        <f>IF($A74="AEO",'Growth Rates'!O67,'Growth Rates'!O67*'Rescale to Fit GDP Proj'!$D$52)</f>
        <v>1.0567106231769728E-2</v>
      </c>
      <c r="Q74" s="13">
        <f>IF($A74="AEO",'Growth Rates'!P67,'Growth Rates'!P67*'Rescale to Fit GDP Proj'!$D$52)</f>
        <v>1.0676754163921066E-2</v>
      </c>
      <c r="R74" s="13">
        <f>IF($A74="AEO",'Growth Rates'!Q67,'Growth Rates'!Q67*'Rescale to Fit GDP Proj'!$D$52)</f>
        <v>1.0495914051159759E-2</v>
      </c>
      <c r="S74" s="13">
        <f>IF($A74="AEO",'Growth Rates'!R67,'Growth Rates'!R67*'Rescale to Fit GDP Proj'!$D$52)</f>
        <v>1.035433019445004E-2</v>
      </c>
      <c r="T74" s="13">
        <f>IF($A74="AEO",'Growth Rates'!S67,'Growth Rates'!S67*'Rescale to Fit GDP Proj'!$D$52)</f>
        <v>1.0154100971729146E-2</v>
      </c>
      <c r="U74" s="13">
        <f>IF($A74="AEO",'Growth Rates'!T67,'Growth Rates'!T67*'Rescale to Fit GDP Proj'!$D$52)</f>
        <v>9.8068794369592233E-3</v>
      </c>
      <c r="V74" s="13">
        <f>IF($A74="AEO",'Growth Rates'!U67,'Growth Rates'!U67*'Rescale to Fit GDP Proj'!$D$52)</f>
        <v>9.423171616471061E-3</v>
      </c>
      <c r="W74" s="13">
        <f>IF($A74="AEO",'Growth Rates'!V67,'Growth Rates'!V67*'Rescale to Fit GDP Proj'!$D$52)</f>
        <v>8.9285600671937942E-3</v>
      </c>
      <c r="X74" s="13">
        <f>IF($A74="AEO",'Growth Rates'!W67,'Growth Rates'!W67*'Rescale to Fit GDP Proj'!$D$52)</f>
        <v>8.3201740005312656E-3</v>
      </c>
      <c r="Y74" s="13">
        <f>IF($A74="AEO",'Growth Rates'!X67,'Growth Rates'!X67*'Rescale to Fit GDP Proj'!$D$52)</f>
        <v>7.6648625575944746E-3</v>
      </c>
      <c r="Z74" s="13">
        <f>IF($A74="AEO",'Growth Rates'!Y67,'Growth Rates'!Y67*'Rescale to Fit GDP Proj'!$D$52)</f>
        <v>7.3077182243862625E-3</v>
      </c>
      <c r="AA74" s="13">
        <f>IF($A74="AEO",'Growth Rates'!Z67,'Growth Rates'!Z67*'Rescale to Fit GDP Proj'!$D$52)</f>
        <v>6.827314240560026E-3</v>
      </c>
      <c r="AB74" s="13">
        <f>IF($A74="AEO",'Growth Rates'!AA67,'Growth Rates'!AA67*'Rescale to Fit GDP Proj'!$D$52)</f>
        <v>6.3460174197382856E-3</v>
      </c>
      <c r="AC74" s="13">
        <f>IF($A74="AEO",'Growth Rates'!AB67,'Growth Rates'!AB67*'Rescale to Fit GDP Proj'!$D$52)</f>
        <v>5.8078259697992279E-3</v>
      </c>
    </row>
    <row r="75" spans="1:29" x14ac:dyDescent="0.25">
      <c r="A75" t="s">
        <v>127</v>
      </c>
      <c r="B75" s="1" t="s">
        <v>11</v>
      </c>
      <c r="C75" s="13">
        <f>IF($A75="AEO",'Growth Rates'!B68,'Growth Rates'!B68*'Rescale to Fit GDP Proj'!$D$52)</f>
        <v>0</v>
      </c>
      <c r="D75" s="13">
        <f>IF($A75="AEO",'Growth Rates'!C68,'Growth Rates'!C68*'Rescale to Fit GDP Proj'!$D$52)</f>
        <v>1.9738770957129118E-2</v>
      </c>
      <c r="E75" s="13">
        <f>IF($A75="AEO",'Growth Rates'!D68,'Growth Rates'!D68*'Rescale to Fit GDP Proj'!$D$52)</f>
        <v>3.9976348116889528E-2</v>
      </c>
      <c r="F75" s="13">
        <f>IF($A75="AEO",'Growth Rates'!E68,'Growth Rates'!E68*'Rescale to Fit GDP Proj'!$D$52)</f>
        <v>2.4204496405237384E-2</v>
      </c>
      <c r="G75" s="13">
        <f>IF($A75="AEO",'Growth Rates'!F68,'Growth Rates'!F68*'Rescale to Fit GDP Proj'!$D$52)</f>
        <v>2.0176796469153916E-3</v>
      </c>
      <c r="H75" s="13">
        <f>IF($A75="AEO",'Growth Rates'!G68,'Growth Rates'!G68*'Rescale to Fit GDP Proj'!$D$52)</f>
        <v>2.4605609924862304E-3</v>
      </c>
      <c r="I75" s="13">
        <f>IF($A75="AEO",'Growth Rates'!H68,'Growth Rates'!H68*'Rescale to Fit GDP Proj'!$D$52)</f>
        <v>7.6662526427296075E-3</v>
      </c>
      <c r="J75" s="13">
        <f>IF($A75="AEO",'Growth Rates'!I68,'Growth Rates'!I68*'Rescale to Fit GDP Proj'!$D$52)</f>
        <v>8.9250177708341399E-3</v>
      </c>
      <c r="K75" s="13">
        <f>IF($A75="AEO",'Growth Rates'!J68,'Growth Rates'!J68*'Rescale to Fit GDP Proj'!$D$52)</f>
        <v>1.0024152776809256E-2</v>
      </c>
      <c r="L75" s="13">
        <f>IF($A75="AEO",'Growth Rates'!K68,'Growth Rates'!K68*'Rescale to Fit GDP Proj'!$D$52)</f>
        <v>2.3351316034470769E-3</v>
      </c>
      <c r="M75" s="13">
        <f>IF($A75="AEO",'Growth Rates'!L68,'Growth Rates'!L68*'Rescale to Fit GDP Proj'!$D$52)</f>
        <v>1.0785332645749539E-2</v>
      </c>
      <c r="N75" s="13">
        <f>IF($A75="AEO",'Growth Rates'!M68,'Growth Rates'!M68*'Rescale to Fit GDP Proj'!$D$52)</f>
        <v>4.9207921098938841E-3</v>
      </c>
      <c r="O75" s="13">
        <f>IF($A75="AEO",'Growth Rates'!N68,'Growth Rates'!N68*'Rescale to Fit GDP Proj'!$D$52)</f>
        <v>7.282326248096503E-3</v>
      </c>
      <c r="P75" s="13">
        <f>IF($A75="AEO",'Growth Rates'!O68,'Growth Rates'!O68*'Rescale to Fit GDP Proj'!$D$52)</f>
        <v>1.1348554299052294E-2</v>
      </c>
      <c r="Q75" s="13">
        <f>IF($A75="AEO",'Growth Rates'!P68,'Growth Rates'!P68*'Rescale to Fit GDP Proj'!$D$52)</f>
        <v>8.2424794374706192E-3</v>
      </c>
      <c r="R75" s="13">
        <f>IF($A75="AEO",'Growth Rates'!Q68,'Growth Rates'!Q68*'Rescale to Fit GDP Proj'!$D$52)</f>
        <v>8.5111512463578662E-3</v>
      </c>
      <c r="S75" s="13">
        <f>IF($A75="AEO",'Growth Rates'!R68,'Growth Rates'!R68*'Rescale to Fit GDP Proj'!$D$52)</f>
        <v>1.0651693669743565E-2</v>
      </c>
      <c r="T75" s="13">
        <f>IF($A75="AEO",'Growth Rates'!S68,'Growth Rates'!S68*'Rescale to Fit GDP Proj'!$D$52)</f>
        <v>7.6020744531030103E-3</v>
      </c>
      <c r="U75" s="13">
        <f>IF($A75="AEO",'Growth Rates'!T68,'Growth Rates'!T68*'Rescale to Fit GDP Proj'!$D$52)</f>
        <v>7.6196045676035912E-3</v>
      </c>
      <c r="V75" s="13">
        <f>IF($A75="AEO",'Growth Rates'!U68,'Growth Rates'!U68*'Rescale to Fit GDP Proj'!$D$52)</f>
        <v>4.3991860149951018E-3</v>
      </c>
      <c r="W75" s="13">
        <f>IF($A75="AEO",'Growth Rates'!V68,'Growth Rates'!V68*'Rescale to Fit GDP Proj'!$D$52)</f>
        <v>7.3801300177969934E-3</v>
      </c>
      <c r="X75" s="13">
        <f>IF($A75="AEO",'Growth Rates'!W68,'Growth Rates'!W68*'Rescale to Fit GDP Proj'!$D$52)</f>
        <v>3.1595195107395001E-3</v>
      </c>
      <c r="Y75" s="13">
        <f>IF($A75="AEO",'Growth Rates'!X68,'Growth Rates'!X68*'Rescale to Fit GDP Proj'!$D$52)</f>
        <v>5.719923905263693E-3</v>
      </c>
      <c r="Z75" s="13">
        <f>IF($A75="AEO",'Growth Rates'!Y68,'Growth Rates'!Y68*'Rescale to Fit GDP Proj'!$D$52)</f>
        <v>4.8703193087717284E-3</v>
      </c>
      <c r="AA75" s="13">
        <f>IF($A75="AEO",'Growth Rates'!Z68,'Growth Rates'!Z68*'Rescale to Fit GDP Proj'!$D$52)</f>
        <v>3.747202395853032E-3</v>
      </c>
      <c r="AB75" s="13">
        <f>IF($A75="AEO",'Growth Rates'!AA68,'Growth Rates'!AA68*'Rescale to Fit GDP Proj'!$D$52)</f>
        <v>5.6341714250191409E-3</v>
      </c>
      <c r="AC75" s="13">
        <f>IF($A75="AEO",'Growth Rates'!AB68,'Growth Rates'!AB68*'Rescale to Fit GDP Proj'!$D$52)</f>
        <v>1.1027708646899088E-4</v>
      </c>
    </row>
    <row r="76" spans="1:29" x14ac:dyDescent="0.25">
      <c r="A76" t="s">
        <v>127</v>
      </c>
      <c r="B76" s="1" t="s">
        <v>12</v>
      </c>
      <c r="C76" s="13">
        <f>IF($A76="AEO",'Growth Rates'!B69,'Growth Rates'!B69*'Rescale to Fit GDP Proj'!$D$52)</f>
        <v>0</v>
      </c>
      <c r="D76" s="13">
        <f>IF($A76="AEO",'Growth Rates'!C69,'Growth Rates'!C69*'Rescale to Fit GDP Proj'!$D$52)</f>
        <v>4.0341986957305703E-2</v>
      </c>
      <c r="E76" s="13">
        <f>IF($A76="AEO",'Growth Rates'!D69,'Growth Rates'!D69*'Rescale to Fit GDP Proj'!$D$52)</f>
        <v>2.0697348961222845E-2</v>
      </c>
      <c r="F76" s="13">
        <f>IF($A76="AEO",'Growth Rates'!E69,'Growth Rates'!E69*'Rescale to Fit GDP Proj'!$D$52)</f>
        <v>3.9297895693808656E-2</v>
      </c>
      <c r="G76" s="13">
        <f>IF($A76="AEO",'Growth Rates'!F69,'Growth Rates'!F69*'Rescale to Fit GDP Proj'!$D$52)</f>
        <v>4.1176560553875856E-2</v>
      </c>
      <c r="H76" s="13">
        <f>IF($A76="AEO",'Growth Rates'!G69,'Growth Rates'!G69*'Rescale to Fit GDP Proj'!$D$52)</f>
        <v>3.1988452241194516E-2</v>
      </c>
      <c r="I76" s="13">
        <f>IF($A76="AEO",'Growth Rates'!H69,'Growth Rates'!H69*'Rescale to Fit GDP Proj'!$D$52)</f>
        <v>2.9724162757082864E-2</v>
      </c>
      <c r="J76" s="13">
        <f>IF($A76="AEO",'Growth Rates'!I69,'Growth Rates'!I69*'Rescale to Fit GDP Proj'!$D$52)</f>
        <v>2.7435824989091986E-2</v>
      </c>
      <c r="K76" s="13">
        <f>IF($A76="AEO",'Growth Rates'!J69,'Growth Rates'!J69*'Rescale to Fit GDP Proj'!$D$52)</f>
        <v>2.8405899876797865E-2</v>
      </c>
      <c r="L76" s="13">
        <f>IF($A76="AEO",'Growth Rates'!K69,'Growth Rates'!K69*'Rescale to Fit GDP Proj'!$D$52)</f>
        <v>2.1626480166288091E-2</v>
      </c>
      <c r="M76" s="13">
        <f>IF($A76="AEO",'Growth Rates'!L69,'Growth Rates'!L69*'Rescale to Fit GDP Proj'!$D$52)</f>
        <v>2.3304634210793419E-2</v>
      </c>
      <c r="N76" s="13">
        <f>IF($A76="AEO",'Growth Rates'!M69,'Growth Rates'!M69*'Rescale to Fit GDP Proj'!$D$52)</f>
        <v>2.5789017813354784E-2</v>
      </c>
      <c r="O76" s="13">
        <f>IF($A76="AEO",'Growth Rates'!N69,'Growth Rates'!N69*'Rescale to Fit GDP Proj'!$D$52)</f>
        <v>2.8434078790827457E-2</v>
      </c>
      <c r="P76" s="13">
        <f>IF($A76="AEO",'Growth Rates'!O69,'Growth Rates'!O69*'Rescale to Fit GDP Proj'!$D$52)</f>
        <v>2.8374852932959483E-2</v>
      </c>
      <c r="Q76" s="13">
        <f>IF($A76="AEO",'Growth Rates'!P69,'Growth Rates'!P69*'Rescale to Fit GDP Proj'!$D$52)</f>
        <v>2.8095849631758485E-2</v>
      </c>
      <c r="R76" s="13">
        <f>IF($A76="AEO",'Growth Rates'!Q69,'Growth Rates'!Q69*'Rescale to Fit GDP Proj'!$D$52)</f>
        <v>2.9590381457354115E-2</v>
      </c>
      <c r="S76" s="13">
        <f>IF($A76="AEO",'Growth Rates'!R69,'Growth Rates'!R69*'Rescale to Fit GDP Proj'!$D$52)</f>
        <v>3.0855158479365177E-2</v>
      </c>
      <c r="T76" s="13">
        <f>IF($A76="AEO",'Growth Rates'!S69,'Growth Rates'!S69*'Rescale to Fit GDP Proj'!$D$52)</f>
        <v>3.0793892500719337E-2</v>
      </c>
      <c r="U76" s="13">
        <f>IF($A76="AEO",'Growth Rates'!T69,'Growth Rates'!T69*'Rescale to Fit GDP Proj'!$D$52)</f>
        <v>3.0978558646699728E-2</v>
      </c>
      <c r="V76" s="13">
        <f>IF($A76="AEO",'Growth Rates'!U69,'Growth Rates'!U69*'Rescale to Fit GDP Proj'!$D$52)</f>
        <v>2.9622739332982113E-2</v>
      </c>
      <c r="W76" s="13">
        <f>IF($A76="AEO",'Growth Rates'!V69,'Growth Rates'!V69*'Rescale to Fit GDP Proj'!$D$52)</f>
        <v>3.0732642162926153E-2</v>
      </c>
      <c r="X76" s="13">
        <f>IF($A76="AEO",'Growth Rates'!W69,'Growth Rates'!W69*'Rescale to Fit GDP Proj'!$D$52)</f>
        <v>2.94655391359828E-2</v>
      </c>
      <c r="Y76" s="13">
        <f>IF($A76="AEO",'Growth Rates'!X69,'Growth Rates'!X69*'Rescale to Fit GDP Proj'!$D$52)</f>
        <v>3.1483280767382542E-2</v>
      </c>
      <c r="Z76" s="13">
        <f>IF($A76="AEO",'Growth Rates'!Y69,'Growth Rates'!Y69*'Rescale to Fit GDP Proj'!$D$52)</f>
        <v>3.1770176933170823E-2</v>
      </c>
      <c r="AA76" s="13">
        <f>IF($A76="AEO",'Growth Rates'!Z69,'Growth Rates'!Z69*'Rescale to Fit GDP Proj'!$D$52)</f>
        <v>3.1260480142397497E-2</v>
      </c>
      <c r="AB76" s="13">
        <f>IF($A76="AEO",'Growth Rates'!AA69,'Growth Rates'!AA69*'Rescale to Fit GDP Proj'!$D$52)</f>
        <v>3.0878435169586178E-2</v>
      </c>
      <c r="AC76" s="13">
        <f>IF($A76="AEO",'Growth Rates'!AB69,'Growth Rates'!AB69*'Rescale to Fit GDP Proj'!$D$52)</f>
        <v>3.0213935157767595E-2</v>
      </c>
    </row>
    <row r="77" spans="1:29" x14ac:dyDescent="0.25">
      <c r="A77" t="s">
        <v>127</v>
      </c>
      <c r="B77" s="1" t="s">
        <v>13</v>
      </c>
      <c r="C77" s="13">
        <f>IF($A77="AEO",'Growth Rates'!B70,'Growth Rates'!B70*'Rescale to Fit GDP Proj'!$D$52)</f>
        <v>0</v>
      </c>
      <c r="D77" s="13">
        <f>IF($A77="AEO",'Growth Rates'!C70,'Growth Rates'!C70*'Rescale to Fit GDP Proj'!$D$52)</f>
        <v>6.1082305929953812E-3</v>
      </c>
      <c r="E77" s="13">
        <f>IF($A77="AEO",'Growth Rates'!D70,'Growth Rates'!D70*'Rescale to Fit GDP Proj'!$D$52)</f>
        <v>-7.0710087808703598E-3</v>
      </c>
      <c r="F77" s="13">
        <f>IF($A77="AEO",'Growth Rates'!E70,'Growth Rates'!E70*'Rescale to Fit GDP Proj'!$D$52)</f>
        <v>1.3504401732057152E-2</v>
      </c>
      <c r="G77" s="13">
        <f>IF($A77="AEO",'Growth Rates'!F70,'Growth Rates'!F70*'Rescale to Fit GDP Proj'!$D$52)</f>
        <v>2.119209799457222E-2</v>
      </c>
      <c r="H77" s="13">
        <f>IF($A77="AEO",'Growth Rates'!G70,'Growth Rates'!G70*'Rescale to Fit GDP Proj'!$D$52)</f>
        <v>1.5173509382508778E-2</v>
      </c>
      <c r="I77" s="13">
        <f>IF($A77="AEO",'Growth Rates'!H70,'Growth Rates'!H70*'Rescale to Fit GDP Proj'!$D$52)</f>
        <v>1.3421638796532437E-2</v>
      </c>
      <c r="J77" s="13">
        <f>IF($A77="AEO",'Growth Rates'!I70,'Growth Rates'!I70*'Rescale to Fit GDP Proj'!$D$52)</f>
        <v>8.121124232167435E-3</v>
      </c>
      <c r="K77" s="13">
        <f>IF($A77="AEO",'Growth Rates'!J70,'Growth Rates'!J70*'Rescale to Fit GDP Proj'!$D$52)</f>
        <v>8.9584599702703625E-3</v>
      </c>
      <c r="L77" s="13">
        <f>IF($A77="AEO",'Growth Rates'!K70,'Growth Rates'!K70*'Rescale to Fit GDP Proj'!$D$52)</f>
        <v>-1.3943215593897776E-4</v>
      </c>
      <c r="M77" s="13">
        <f>IF($A77="AEO",'Growth Rates'!L70,'Growth Rates'!L70*'Rescale to Fit GDP Proj'!$D$52)</f>
        <v>1.7256908691964505E-3</v>
      </c>
      <c r="N77" s="13">
        <f>IF($A77="AEO",'Growth Rates'!M70,'Growth Rates'!M70*'Rescale to Fit GDP Proj'!$D$52)</f>
        <v>4.373309610043165E-3</v>
      </c>
      <c r="O77" s="13">
        <f>IF($A77="AEO",'Growth Rates'!N70,'Growth Rates'!N70*'Rescale to Fit GDP Proj'!$D$52)</f>
        <v>5.1070022034831438E-3</v>
      </c>
      <c r="P77" s="13">
        <f>IF($A77="AEO",'Growth Rates'!O70,'Growth Rates'!O70*'Rescale to Fit GDP Proj'!$D$52)</f>
        <v>6.1709520129535596E-3</v>
      </c>
      <c r="Q77" s="13">
        <f>IF($A77="AEO",'Growth Rates'!P70,'Growth Rates'!P70*'Rescale to Fit GDP Proj'!$D$52)</f>
        <v>4.8454592173849389E-3</v>
      </c>
      <c r="R77" s="13">
        <f>IF($A77="AEO",'Growth Rates'!Q70,'Growth Rates'!Q70*'Rescale to Fit GDP Proj'!$D$52)</f>
        <v>6.1289621751260646E-3</v>
      </c>
      <c r="S77" s="13">
        <f>IF($A77="AEO",'Growth Rates'!R70,'Growth Rates'!R70*'Rescale to Fit GDP Proj'!$D$52)</f>
        <v>7.510353227957762E-3</v>
      </c>
      <c r="T77" s="13">
        <f>IF($A77="AEO",'Growth Rates'!S70,'Growth Rates'!S70*'Rescale to Fit GDP Proj'!$D$52)</f>
        <v>6.3858309914392479E-3</v>
      </c>
      <c r="U77" s="13">
        <f>IF($A77="AEO",'Growth Rates'!T70,'Growth Rates'!T70*'Rescale to Fit GDP Proj'!$D$52)</f>
        <v>6.0842508718275349E-3</v>
      </c>
      <c r="V77" s="13">
        <f>IF($A77="AEO",'Growth Rates'!U70,'Growth Rates'!U70*'Rescale to Fit GDP Proj'!$D$52)</f>
        <v>4.8222277281931743E-3</v>
      </c>
      <c r="W77" s="13">
        <f>IF($A77="AEO",'Growth Rates'!V70,'Growth Rates'!V70*'Rescale to Fit GDP Proj'!$D$52)</f>
        <v>5.4477429505724248E-3</v>
      </c>
      <c r="X77" s="13">
        <f>IF($A77="AEO",'Growth Rates'!W70,'Growth Rates'!W70*'Rescale to Fit GDP Proj'!$D$52)</f>
        <v>3.8263747288985097E-3</v>
      </c>
      <c r="Y77" s="13">
        <f>IF($A77="AEO",'Growth Rates'!X70,'Growth Rates'!X70*'Rescale to Fit GDP Proj'!$D$52)</f>
        <v>5.2428393647984042E-3</v>
      </c>
      <c r="Z77" s="13">
        <f>IF($A77="AEO",'Growth Rates'!Y70,'Growth Rates'!Y70*'Rescale to Fit GDP Proj'!$D$52)</f>
        <v>6.2298576817025175E-3</v>
      </c>
      <c r="AA77" s="13">
        <f>IF($A77="AEO",'Growth Rates'!Z70,'Growth Rates'!Z70*'Rescale to Fit GDP Proj'!$D$52)</f>
        <v>4.0579412632520224E-3</v>
      </c>
      <c r="AB77" s="13">
        <f>IF($A77="AEO",'Growth Rates'!AA70,'Growth Rates'!AA70*'Rescale to Fit GDP Proj'!$D$52)</f>
        <v>4.1390966473187959E-3</v>
      </c>
      <c r="AC77" s="13">
        <f>IF($A77="AEO",'Growth Rates'!AB70,'Growth Rates'!AB70*'Rescale to Fit GDP Proj'!$D$52)</f>
        <v>2.8080629834392953E-3</v>
      </c>
    </row>
    <row r="78" spans="1:29" x14ac:dyDescent="0.25">
      <c r="A78" t="s">
        <v>127</v>
      </c>
      <c r="B78" s="1" t="s">
        <v>14</v>
      </c>
      <c r="C78" s="13">
        <f>IF($A78="AEO",'Growth Rates'!B71,'Growth Rates'!B71*'Rescale to Fit GDP Proj'!$D$52)</f>
        <v>0</v>
      </c>
      <c r="D78" s="13">
        <f>IF($A78="AEO",'Growth Rates'!C71,'Growth Rates'!C71*'Rescale to Fit GDP Proj'!$D$52)</f>
        <v>1.1611440015510028E-2</v>
      </c>
      <c r="E78" s="13">
        <f>IF($A78="AEO",'Growth Rates'!D71,'Growth Rates'!D71*'Rescale to Fit GDP Proj'!$D$52)</f>
        <v>2.0397328252548544E-2</v>
      </c>
      <c r="F78" s="13">
        <f>IF($A78="AEO",'Growth Rates'!E71,'Growth Rates'!E71*'Rescale to Fit GDP Proj'!$D$52)</f>
        <v>3.8195856689378506E-2</v>
      </c>
      <c r="G78" s="13">
        <f>IF($A78="AEO",'Growth Rates'!F71,'Growth Rates'!F71*'Rescale to Fit GDP Proj'!$D$52)</f>
        <v>2.1175999317324053E-2</v>
      </c>
      <c r="H78" s="13">
        <f>IF($A78="AEO",'Growth Rates'!G71,'Growth Rates'!G71*'Rescale to Fit GDP Proj'!$D$52)</f>
        <v>1.773293150372288E-2</v>
      </c>
      <c r="I78" s="13">
        <f>IF($A78="AEO",'Growth Rates'!H71,'Growth Rates'!H71*'Rescale to Fit GDP Proj'!$D$52)</f>
        <v>2.0287012576632988E-2</v>
      </c>
      <c r="J78" s="13">
        <f>IF($A78="AEO",'Growth Rates'!I71,'Growth Rates'!I71*'Rescale to Fit GDP Proj'!$D$52)</f>
        <v>1.5003022533577336E-2</v>
      </c>
      <c r="K78" s="13">
        <f>IF($A78="AEO",'Growth Rates'!J71,'Growth Rates'!J71*'Rescale to Fit GDP Proj'!$D$52)</f>
        <v>1.3286663322288493E-2</v>
      </c>
      <c r="L78" s="13">
        <f>IF($A78="AEO",'Growth Rates'!K71,'Growth Rates'!K71*'Rescale to Fit GDP Proj'!$D$52)</f>
        <v>3.724995981628355E-3</v>
      </c>
      <c r="M78" s="13">
        <f>IF($A78="AEO",'Growth Rates'!L71,'Growth Rates'!L71*'Rescale to Fit GDP Proj'!$D$52)</f>
        <v>9.553299701447894E-3</v>
      </c>
      <c r="N78" s="13">
        <f>IF($A78="AEO",'Growth Rates'!M71,'Growth Rates'!M71*'Rescale to Fit GDP Proj'!$D$52)</f>
        <v>7.4225795381832951E-3</v>
      </c>
      <c r="O78" s="13">
        <f>IF($A78="AEO",'Growth Rates'!N71,'Growth Rates'!N71*'Rescale to Fit GDP Proj'!$D$52)</f>
        <v>8.0605511549397216E-3</v>
      </c>
      <c r="P78" s="13">
        <f>IF($A78="AEO",'Growth Rates'!O71,'Growth Rates'!O71*'Rescale to Fit GDP Proj'!$D$52)</f>
        <v>8.0001019148630143E-3</v>
      </c>
      <c r="Q78" s="13">
        <f>IF($A78="AEO",'Growth Rates'!P71,'Growth Rates'!P71*'Rescale to Fit GDP Proj'!$D$52)</f>
        <v>3.2246305387631431E-3</v>
      </c>
      <c r="R78" s="13">
        <f>IF($A78="AEO",'Growth Rates'!Q71,'Growth Rates'!Q71*'Rescale to Fit GDP Proj'!$D$52)</f>
        <v>2.4449496076674694E-3</v>
      </c>
      <c r="S78" s="13">
        <f>IF($A78="AEO",'Growth Rates'!R71,'Growth Rates'!R71*'Rescale to Fit GDP Proj'!$D$52)</f>
        <v>3.9622788377232671E-3</v>
      </c>
      <c r="T78" s="13">
        <f>IF($A78="AEO",'Growth Rates'!S71,'Growth Rates'!S71*'Rescale to Fit GDP Proj'!$D$52)</f>
        <v>2.2944966452387778E-3</v>
      </c>
      <c r="U78" s="13">
        <f>IF($A78="AEO",'Growth Rates'!T71,'Growth Rates'!T71*'Rescale to Fit GDP Proj'!$D$52)</f>
        <v>2.3730486788303166E-3</v>
      </c>
      <c r="V78" s="13">
        <f>IF($A78="AEO",'Growth Rates'!U71,'Growth Rates'!U71*'Rescale to Fit GDP Proj'!$D$52)</f>
        <v>1.2327617136785359E-3</v>
      </c>
      <c r="W78" s="13">
        <f>IF($A78="AEO",'Growth Rates'!V71,'Growth Rates'!V71*'Rescale to Fit GDP Proj'!$D$52)</f>
        <v>2.0814873591373027E-3</v>
      </c>
      <c r="X78" s="13">
        <f>IF($A78="AEO",'Growth Rates'!W71,'Growth Rates'!W71*'Rescale to Fit GDP Proj'!$D$52)</f>
        <v>6.0770454209637878E-4</v>
      </c>
      <c r="Y78" s="13">
        <f>IF($A78="AEO",'Growth Rates'!X71,'Growth Rates'!X71*'Rescale to Fit GDP Proj'!$D$52)</f>
        <v>2.6266681139795458E-3</v>
      </c>
      <c r="Z78" s="13">
        <f>IF($A78="AEO",'Growth Rates'!Y71,'Growth Rates'!Y71*'Rescale to Fit GDP Proj'!$D$52)</f>
        <v>4.2276321584782907E-3</v>
      </c>
      <c r="AA78" s="13">
        <f>IF($A78="AEO",'Growth Rates'!Z71,'Growth Rates'!Z71*'Rescale to Fit GDP Proj'!$D$52)</f>
        <v>6.6506050789169157E-4</v>
      </c>
      <c r="AB78" s="13">
        <f>IF($A78="AEO",'Growth Rates'!AA71,'Growth Rates'!AA71*'Rescale to Fit GDP Proj'!$D$52)</f>
        <v>2.6259590211581037E-3</v>
      </c>
      <c r="AC78" s="13">
        <f>IF($A78="AEO",'Growth Rates'!AB71,'Growth Rates'!AB71*'Rescale to Fit GDP Proj'!$D$52)</f>
        <v>7.3801012825887703E-4</v>
      </c>
    </row>
    <row r="79" spans="1:29" x14ac:dyDescent="0.25">
      <c r="A79" t="s">
        <v>127</v>
      </c>
      <c r="B79" s="1" t="s">
        <v>15</v>
      </c>
      <c r="C79" s="13">
        <f>IF($A79="AEO",'Growth Rates'!B72,'Growth Rates'!B72*'Rescale to Fit GDP Proj'!$D$52)</f>
        <v>0</v>
      </c>
      <c r="D79" s="13">
        <f>IF($A79="AEO",'Growth Rates'!C72,'Growth Rates'!C72*'Rescale to Fit GDP Proj'!$D$52)</f>
        <v>6.313256631121518E-2</v>
      </c>
      <c r="E79" s="13">
        <f>IF($A79="AEO",'Growth Rates'!D72,'Growth Rates'!D72*'Rescale to Fit GDP Proj'!$D$52)</f>
        <v>6.7361308268330894E-2</v>
      </c>
      <c r="F79" s="13">
        <f>IF($A79="AEO",'Growth Rates'!E72,'Growth Rates'!E72*'Rescale to Fit GDP Proj'!$D$52)</f>
        <v>1.9112996366713958E-2</v>
      </c>
      <c r="G79" s="13">
        <f>IF($A79="AEO",'Growth Rates'!F72,'Growth Rates'!F72*'Rescale to Fit GDP Proj'!$D$52)</f>
        <v>2.0986226956889072E-2</v>
      </c>
      <c r="H79" s="13">
        <f>IF($A79="AEO",'Growth Rates'!G72,'Growth Rates'!G72*'Rescale to Fit GDP Proj'!$D$52)</f>
        <v>1.8688980260479108E-2</v>
      </c>
      <c r="I79" s="13">
        <f>IF($A79="AEO",'Growth Rates'!H72,'Growth Rates'!H72*'Rescale to Fit GDP Proj'!$D$52)</f>
        <v>1.1038825611799526E-2</v>
      </c>
      <c r="J79" s="13">
        <f>IF($A79="AEO",'Growth Rates'!I72,'Growth Rates'!I72*'Rescale to Fit GDP Proj'!$D$52)</f>
        <v>9.748801168807024E-4</v>
      </c>
      <c r="K79" s="13">
        <f>IF($A79="AEO",'Growth Rates'!J72,'Growth Rates'!J72*'Rescale to Fit GDP Proj'!$D$52)</f>
        <v>8.1502480371217628E-3</v>
      </c>
      <c r="L79" s="13">
        <f>IF($A79="AEO",'Growth Rates'!K72,'Growth Rates'!K72*'Rescale to Fit GDP Proj'!$D$52)</f>
        <v>9.9712855262177758E-3</v>
      </c>
      <c r="M79" s="13">
        <f>IF($A79="AEO",'Growth Rates'!L72,'Growth Rates'!L72*'Rescale to Fit GDP Proj'!$D$52)</f>
        <v>2.2265435292679797E-2</v>
      </c>
      <c r="N79" s="13">
        <f>IF($A79="AEO",'Growth Rates'!M72,'Growth Rates'!M72*'Rescale to Fit GDP Proj'!$D$52)</f>
        <v>1.415169624193425E-2</v>
      </c>
      <c r="O79" s="13">
        <f>IF($A79="AEO",'Growth Rates'!N72,'Growth Rates'!N72*'Rescale to Fit GDP Proj'!$D$52)</f>
        <v>8.8713525714669197E-3</v>
      </c>
      <c r="P79" s="13">
        <f>IF($A79="AEO",'Growth Rates'!O72,'Growth Rates'!O72*'Rescale to Fit GDP Proj'!$D$52)</f>
        <v>1.0377804517042103E-2</v>
      </c>
      <c r="Q79" s="13">
        <f>IF($A79="AEO",'Growth Rates'!P72,'Growth Rates'!P72*'Rescale to Fit GDP Proj'!$D$52)</f>
        <v>1.2468071083287119E-2</v>
      </c>
      <c r="R79" s="13">
        <f>IF($A79="AEO",'Growth Rates'!Q72,'Growth Rates'!Q72*'Rescale to Fit GDP Proj'!$D$52)</f>
        <v>1.3263515463534808E-2</v>
      </c>
      <c r="S79" s="13">
        <f>IF($A79="AEO",'Growth Rates'!R72,'Growth Rates'!R72*'Rescale to Fit GDP Proj'!$D$52)</f>
        <v>1.2234935486134028E-2</v>
      </c>
      <c r="T79" s="13">
        <f>IF($A79="AEO",'Growth Rates'!S72,'Growth Rates'!S72*'Rescale to Fit GDP Proj'!$D$52)</f>
        <v>9.9490877879636463E-3</v>
      </c>
      <c r="U79" s="13">
        <f>IF($A79="AEO",'Growth Rates'!T72,'Growth Rates'!T72*'Rescale to Fit GDP Proj'!$D$52)</f>
        <v>1.0605153209128106E-2</v>
      </c>
      <c r="V79" s="13">
        <f>IF($A79="AEO",'Growth Rates'!U72,'Growth Rates'!U72*'Rescale to Fit GDP Proj'!$D$52)</f>
        <v>8.4250367861470211E-3</v>
      </c>
      <c r="W79" s="13">
        <f>IF($A79="AEO",'Growth Rates'!V72,'Growth Rates'!V72*'Rescale to Fit GDP Proj'!$D$52)</f>
        <v>9.3299485142444936E-3</v>
      </c>
      <c r="X79" s="13">
        <f>IF($A79="AEO",'Growth Rates'!W72,'Growth Rates'!W72*'Rescale to Fit GDP Proj'!$D$52)</f>
        <v>1.0345116531082525E-2</v>
      </c>
      <c r="Y79" s="13">
        <f>IF($A79="AEO",'Growth Rates'!X72,'Growth Rates'!X72*'Rescale to Fit GDP Proj'!$D$52)</f>
        <v>9.9202079395913304E-3</v>
      </c>
      <c r="Z79" s="13">
        <f>IF($A79="AEO",'Growth Rates'!Y72,'Growth Rates'!Y72*'Rescale to Fit GDP Proj'!$D$52)</f>
        <v>9.5822478686575889E-3</v>
      </c>
      <c r="AA79" s="13">
        <f>IF($A79="AEO",'Growth Rates'!Z72,'Growth Rates'!Z72*'Rescale to Fit GDP Proj'!$D$52)</f>
        <v>9.3710449071168975E-3</v>
      </c>
      <c r="AB79" s="13">
        <f>IF($A79="AEO",'Growth Rates'!AA72,'Growth Rates'!AA72*'Rescale to Fit GDP Proj'!$D$52)</f>
        <v>8.1034708515457746E-3</v>
      </c>
      <c r="AC79" s="13">
        <f>IF($A79="AEO",'Growth Rates'!AB72,'Growth Rates'!AB72*'Rescale to Fit GDP Proj'!$D$52)</f>
        <v>5.0647343173939449E-3</v>
      </c>
    </row>
    <row r="80" spans="1:29" x14ac:dyDescent="0.25">
      <c r="A80" t="s">
        <v>127</v>
      </c>
      <c r="B80" s="1" t="s">
        <v>16</v>
      </c>
      <c r="C80" s="13">
        <f>IF($A80="AEO",'Growth Rates'!B73,'Growth Rates'!B73*'Rescale to Fit GDP Proj'!$D$52)</f>
        <v>0</v>
      </c>
      <c r="D80" s="13">
        <f>IF($A80="AEO",'Growth Rates'!C73,'Growth Rates'!C73*'Rescale to Fit GDP Proj'!$D$52)</f>
        <v>6.313256631121518E-2</v>
      </c>
      <c r="E80" s="13">
        <f>IF($A80="AEO",'Growth Rates'!D73,'Growth Rates'!D73*'Rescale to Fit GDP Proj'!$D$52)</f>
        <v>6.7361308268330894E-2</v>
      </c>
      <c r="F80" s="13">
        <f>IF($A80="AEO",'Growth Rates'!E73,'Growth Rates'!E73*'Rescale to Fit GDP Proj'!$D$52)</f>
        <v>1.9112996366713958E-2</v>
      </c>
      <c r="G80" s="13">
        <f>IF($A80="AEO",'Growth Rates'!F73,'Growth Rates'!F73*'Rescale to Fit GDP Proj'!$D$52)</f>
        <v>2.0986226956889072E-2</v>
      </c>
      <c r="H80" s="13">
        <f>IF($A80="AEO",'Growth Rates'!G73,'Growth Rates'!G73*'Rescale to Fit GDP Proj'!$D$52)</f>
        <v>1.8688980260479108E-2</v>
      </c>
      <c r="I80" s="13">
        <f>IF($A80="AEO",'Growth Rates'!H73,'Growth Rates'!H73*'Rescale to Fit GDP Proj'!$D$52)</f>
        <v>1.1038825611799526E-2</v>
      </c>
      <c r="J80" s="13">
        <f>IF($A80="AEO",'Growth Rates'!I73,'Growth Rates'!I73*'Rescale to Fit GDP Proj'!$D$52)</f>
        <v>9.748801168807024E-4</v>
      </c>
      <c r="K80" s="13">
        <f>IF($A80="AEO",'Growth Rates'!J73,'Growth Rates'!J73*'Rescale to Fit GDP Proj'!$D$52)</f>
        <v>8.1502480371217628E-3</v>
      </c>
      <c r="L80" s="13">
        <f>IF($A80="AEO",'Growth Rates'!K73,'Growth Rates'!K73*'Rescale to Fit GDP Proj'!$D$52)</f>
        <v>9.9712855262177758E-3</v>
      </c>
      <c r="M80" s="13">
        <f>IF($A80="AEO",'Growth Rates'!L73,'Growth Rates'!L73*'Rescale to Fit GDP Proj'!$D$52)</f>
        <v>2.2265435292679797E-2</v>
      </c>
      <c r="N80" s="13">
        <f>IF($A80="AEO",'Growth Rates'!M73,'Growth Rates'!M73*'Rescale to Fit GDP Proj'!$D$52)</f>
        <v>1.415169624193425E-2</v>
      </c>
      <c r="O80" s="13">
        <f>IF($A80="AEO",'Growth Rates'!N73,'Growth Rates'!N73*'Rescale to Fit GDP Proj'!$D$52)</f>
        <v>8.8713525714669197E-3</v>
      </c>
      <c r="P80" s="13">
        <f>IF($A80="AEO",'Growth Rates'!O73,'Growth Rates'!O73*'Rescale to Fit GDP Proj'!$D$52)</f>
        <v>1.0377804517042103E-2</v>
      </c>
      <c r="Q80" s="13">
        <f>IF($A80="AEO",'Growth Rates'!P73,'Growth Rates'!P73*'Rescale to Fit GDP Proj'!$D$52)</f>
        <v>1.2468071083287119E-2</v>
      </c>
      <c r="R80" s="13">
        <f>IF($A80="AEO",'Growth Rates'!Q73,'Growth Rates'!Q73*'Rescale to Fit GDP Proj'!$D$52)</f>
        <v>1.3263515463534808E-2</v>
      </c>
      <c r="S80" s="13">
        <f>IF($A80="AEO",'Growth Rates'!R73,'Growth Rates'!R73*'Rescale to Fit GDP Proj'!$D$52)</f>
        <v>1.2234935486134028E-2</v>
      </c>
      <c r="T80" s="13">
        <f>IF($A80="AEO",'Growth Rates'!S73,'Growth Rates'!S73*'Rescale to Fit GDP Proj'!$D$52)</f>
        <v>9.9490877879636463E-3</v>
      </c>
      <c r="U80" s="13">
        <f>IF($A80="AEO",'Growth Rates'!T73,'Growth Rates'!T73*'Rescale to Fit GDP Proj'!$D$52)</f>
        <v>1.0605153209128106E-2</v>
      </c>
      <c r="V80" s="13">
        <f>IF($A80="AEO",'Growth Rates'!U73,'Growth Rates'!U73*'Rescale to Fit GDP Proj'!$D$52)</f>
        <v>8.4250367861470211E-3</v>
      </c>
      <c r="W80" s="13">
        <f>IF($A80="AEO",'Growth Rates'!V73,'Growth Rates'!V73*'Rescale to Fit GDP Proj'!$D$52)</f>
        <v>9.3299485142444936E-3</v>
      </c>
      <c r="X80" s="13">
        <f>IF($A80="AEO",'Growth Rates'!W73,'Growth Rates'!W73*'Rescale to Fit GDP Proj'!$D$52)</f>
        <v>1.0345116531082525E-2</v>
      </c>
      <c r="Y80" s="13">
        <f>IF($A80="AEO",'Growth Rates'!X73,'Growth Rates'!X73*'Rescale to Fit GDP Proj'!$D$52)</f>
        <v>9.9202079395913304E-3</v>
      </c>
      <c r="Z80" s="13">
        <f>IF($A80="AEO",'Growth Rates'!Y73,'Growth Rates'!Y73*'Rescale to Fit GDP Proj'!$D$52)</f>
        <v>9.5822478686575889E-3</v>
      </c>
      <c r="AA80" s="13">
        <f>IF($A80="AEO",'Growth Rates'!Z73,'Growth Rates'!Z73*'Rescale to Fit GDP Proj'!$D$52)</f>
        <v>9.3710449071168975E-3</v>
      </c>
      <c r="AB80" s="13">
        <f>IF($A80="AEO",'Growth Rates'!AA73,'Growth Rates'!AA73*'Rescale to Fit GDP Proj'!$D$52)</f>
        <v>8.1034708515457746E-3</v>
      </c>
      <c r="AC80" s="13">
        <f>IF($A80="AEO",'Growth Rates'!AB73,'Growth Rates'!AB73*'Rescale to Fit GDP Proj'!$D$52)</f>
        <v>5.0647343173939449E-3</v>
      </c>
    </row>
    <row r="81" spans="1:29" x14ac:dyDescent="0.25">
      <c r="A81" t="s">
        <v>127</v>
      </c>
      <c r="B81" s="1" t="s">
        <v>17</v>
      </c>
      <c r="C81" s="13">
        <f>IF($A81="AEO",'Growth Rates'!B74,'Growth Rates'!B74*'Rescale to Fit GDP Proj'!$D$52)</f>
        <v>0</v>
      </c>
      <c r="D81" s="13">
        <f>IF($A81="AEO",'Growth Rates'!C74,'Growth Rates'!C74*'Rescale to Fit GDP Proj'!$D$52)</f>
        <v>1.4295325439433144E-2</v>
      </c>
      <c r="E81" s="13">
        <f>IF($A81="AEO",'Growth Rates'!D74,'Growth Rates'!D74*'Rescale to Fit GDP Proj'!$D$52)</f>
        <v>2.8041847095254903E-2</v>
      </c>
      <c r="F81" s="13">
        <f>IF($A81="AEO",'Growth Rates'!E74,'Growth Rates'!E74*'Rescale to Fit GDP Proj'!$D$52)</f>
        <v>3.0549041563909463E-2</v>
      </c>
      <c r="G81" s="13">
        <f>IF($A81="AEO",'Growth Rates'!F74,'Growth Rates'!F74*'Rescale to Fit GDP Proj'!$D$52)</f>
        <v>1.8393529391222872E-2</v>
      </c>
      <c r="H81" s="13">
        <f>IF($A81="AEO",'Growth Rates'!G74,'Growth Rates'!G74*'Rescale to Fit GDP Proj'!$D$52)</f>
        <v>1.197344001847277E-2</v>
      </c>
      <c r="I81" s="13">
        <f>IF($A81="AEO",'Growth Rates'!H74,'Growth Rates'!H74*'Rescale to Fit GDP Proj'!$D$52)</f>
        <v>1.9565986523111548E-2</v>
      </c>
      <c r="J81" s="13">
        <f>IF($A81="AEO",'Growth Rates'!I74,'Growth Rates'!I74*'Rescale to Fit GDP Proj'!$D$52)</f>
        <v>1.4280542284030447E-2</v>
      </c>
      <c r="K81" s="13">
        <f>IF($A81="AEO",'Growth Rates'!J74,'Growth Rates'!J74*'Rescale to Fit GDP Proj'!$D$52)</f>
        <v>1.7333488360591651E-2</v>
      </c>
      <c r="L81" s="13">
        <f>IF($A81="AEO",'Growth Rates'!K74,'Growth Rates'!K74*'Rescale to Fit GDP Proj'!$D$52)</f>
        <v>8.4820970984560446E-3</v>
      </c>
      <c r="M81" s="13">
        <f>IF($A81="AEO",'Growth Rates'!L74,'Growth Rates'!L74*'Rescale to Fit GDP Proj'!$D$52)</f>
        <v>1.1717605811173915E-2</v>
      </c>
      <c r="N81" s="13">
        <f>IF($A81="AEO",'Growth Rates'!M74,'Growth Rates'!M74*'Rescale to Fit GDP Proj'!$D$52)</f>
        <v>1.0365235251966629E-2</v>
      </c>
      <c r="O81" s="13">
        <f>IF($A81="AEO",'Growth Rates'!N74,'Growth Rates'!N74*'Rescale to Fit GDP Proj'!$D$52)</f>
        <v>1.1996295833470403E-2</v>
      </c>
      <c r="P81" s="13">
        <f>IF($A81="AEO",'Growth Rates'!O74,'Growth Rates'!O74*'Rescale to Fit GDP Proj'!$D$52)</f>
        <v>1.5490765519840091E-2</v>
      </c>
      <c r="Q81" s="13">
        <f>IF($A81="AEO",'Growth Rates'!P74,'Growth Rates'!P74*'Rescale to Fit GDP Proj'!$D$52)</f>
        <v>1.0281040015425335E-2</v>
      </c>
      <c r="R81" s="13">
        <f>IF($A81="AEO",'Growth Rates'!Q74,'Growth Rates'!Q74*'Rescale to Fit GDP Proj'!$D$52)</f>
        <v>9.9077480516216281E-3</v>
      </c>
      <c r="S81" s="13">
        <f>IF($A81="AEO",'Growth Rates'!R74,'Growth Rates'!R74*'Rescale to Fit GDP Proj'!$D$52)</f>
        <v>1.3218208360451291E-2</v>
      </c>
      <c r="T81" s="13">
        <f>IF($A81="AEO",'Growth Rates'!S74,'Growth Rates'!S74*'Rescale to Fit GDP Proj'!$D$52)</f>
        <v>1.1817336567396008E-2</v>
      </c>
      <c r="U81" s="13">
        <f>IF($A81="AEO",'Growth Rates'!T74,'Growth Rates'!T74*'Rescale to Fit GDP Proj'!$D$52)</f>
        <v>1.0956797733017991E-2</v>
      </c>
      <c r="V81" s="13">
        <f>IF($A81="AEO",'Growth Rates'!U74,'Growth Rates'!U74*'Rescale to Fit GDP Proj'!$D$52)</f>
        <v>1.0572750514420946E-2</v>
      </c>
      <c r="W81" s="13">
        <f>IF($A81="AEO",'Growth Rates'!V74,'Growth Rates'!V74*'Rescale to Fit GDP Proj'!$D$52)</f>
        <v>1.2380163650162151E-2</v>
      </c>
      <c r="X81" s="13">
        <f>IF($A81="AEO",'Growth Rates'!W74,'Growth Rates'!W74*'Rescale to Fit GDP Proj'!$D$52)</f>
        <v>8.3059528529680054E-3</v>
      </c>
      <c r="Y81" s="13">
        <f>IF($A81="AEO",'Growth Rates'!X74,'Growth Rates'!X74*'Rescale to Fit GDP Proj'!$D$52)</f>
        <v>1.083225976392474E-2</v>
      </c>
      <c r="Z81" s="13">
        <f>IF($A81="AEO",'Growth Rates'!Y74,'Growth Rates'!Y74*'Rescale to Fit GDP Proj'!$D$52)</f>
        <v>1.2316461147287218E-2</v>
      </c>
      <c r="AA81" s="13">
        <f>IF($A81="AEO",'Growth Rates'!Z74,'Growth Rates'!Z74*'Rescale to Fit GDP Proj'!$D$52)</f>
        <v>6.9222525730678816E-3</v>
      </c>
      <c r="AB81" s="13">
        <f>IF($A81="AEO",'Growth Rates'!AA74,'Growth Rates'!AA74*'Rescale to Fit GDP Proj'!$D$52)</f>
        <v>1.3984815748913042E-2</v>
      </c>
      <c r="AC81" s="13">
        <f>IF($A81="AEO",'Growth Rates'!AB74,'Growth Rates'!AB74*'Rescale to Fit GDP Proj'!$D$52)</f>
        <v>3.4445102297167634E-3</v>
      </c>
    </row>
    <row r="82" spans="1:29" x14ac:dyDescent="0.25">
      <c r="B82" s="1" t="s">
        <v>42</v>
      </c>
      <c r="C82" s="13">
        <f>IF($A82="AEO",'Growth Rates'!B75,'Growth Rates'!B75*'Rescale to Fit GDP Proj'!$D$52)</f>
        <v>0</v>
      </c>
      <c r="D82" s="13">
        <f>IF($A82="AEO",'Growth Rates'!C75,'Growth Rates'!C75*'Rescale to Fit GDP Proj'!$D$52)</f>
        <v>1.7299999999999999E-2</v>
      </c>
      <c r="E82" s="13">
        <f>IF($A82="AEO",'Growth Rates'!D75,'Growth Rates'!D75*'Rescale to Fit GDP Proj'!$D$52)</f>
        <v>1.7299999999999999E-2</v>
      </c>
      <c r="F82" s="13">
        <f>IF($A82="AEO",'Growth Rates'!E75,'Growth Rates'!E75*'Rescale to Fit GDP Proj'!$D$52)</f>
        <v>1.7299999999999999E-2</v>
      </c>
      <c r="G82" s="13">
        <f>IF($A82="AEO",'Growth Rates'!F75,'Growth Rates'!F75*'Rescale to Fit GDP Proj'!$D$52)</f>
        <v>1.7299999999999999E-2</v>
      </c>
      <c r="H82" s="13">
        <f>IF($A82="AEO",'Growth Rates'!G75,'Growth Rates'!G75*'Rescale to Fit GDP Proj'!$D$52)</f>
        <v>1.7299999999999999E-2</v>
      </c>
      <c r="I82" s="13">
        <f>IF($A82="AEO",'Growth Rates'!H75,'Growth Rates'!H75*'Rescale to Fit GDP Proj'!$D$52)</f>
        <v>1.7299999999999999E-2</v>
      </c>
      <c r="J82" s="13">
        <f>IF($A82="AEO",'Growth Rates'!I75,'Growth Rates'!I75*'Rescale to Fit GDP Proj'!$D$52)</f>
        <v>1.7299999999999999E-2</v>
      </c>
      <c r="K82" s="13">
        <f>IF($A82="AEO",'Growth Rates'!J75,'Growth Rates'!J75*'Rescale to Fit GDP Proj'!$D$52)</f>
        <v>1.7299999999999999E-2</v>
      </c>
      <c r="L82" s="13">
        <f>IF($A82="AEO",'Growth Rates'!K75,'Growth Rates'!K75*'Rescale to Fit GDP Proj'!$D$52)</f>
        <v>1.7299999999999999E-2</v>
      </c>
      <c r="M82" s="13">
        <f>IF($A82="AEO",'Growth Rates'!L75,'Growth Rates'!L75*'Rescale to Fit GDP Proj'!$D$52)</f>
        <v>1.7299999999999999E-2</v>
      </c>
      <c r="N82" s="13">
        <f>IF($A82="AEO",'Growth Rates'!M75,'Growth Rates'!M75*'Rescale to Fit GDP Proj'!$D$52)</f>
        <v>1.7299999999999999E-2</v>
      </c>
      <c r="O82" s="13">
        <f>IF($A82="AEO",'Growth Rates'!N75,'Growth Rates'!N75*'Rescale to Fit GDP Proj'!$D$52)</f>
        <v>1.7299999999999999E-2</v>
      </c>
      <c r="P82" s="13">
        <f>IF($A82="AEO",'Growth Rates'!O75,'Growth Rates'!O75*'Rescale to Fit GDP Proj'!$D$52)</f>
        <v>1.7299999999999999E-2</v>
      </c>
      <c r="Q82" s="13">
        <f>IF($A82="AEO",'Growth Rates'!P75,'Growth Rates'!P75*'Rescale to Fit GDP Proj'!$D$52)</f>
        <v>1.7299999999999999E-2</v>
      </c>
      <c r="R82" s="13">
        <f>IF($A82="AEO",'Growth Rates'!Q75,'Growth Rates'!Q75*'Rescale to Fit GDP Proj'!$D$52)</f>
        <v>1.7299999999999999E-2</v>
      </c>
      <c r="S82" s="13">
        <f>IF($A82="AEO",'Growth Rates'!R75,'Growth Rates'!R75*'Rescale to Fit GDP Proj'!$D$52)</f>
        <v>1.7299999999999999E-2</v>
      </c>
      <c r="T82" s="13">
        <f>IF($A82="AEO",'Growth Rates'!S75,'Growth Rates'!S75*'Rescale to Fit GDP Proj'!$D$52)</f>
        <v>1.7299999999999999E-2</v>
      </c>
      <c r="U82" s="13">
        <f>IF($A82="AEO",'Growth Rates'!T75,'Growth Rates'!T75*'Rescale to Fit GDP Proj'!$D$52)</f>
        <v>1.7299999999999999E-2</v>
      </c>
      <c r="V82" s="13">
        <f>IF($A82="AEO",'Growth Rates'!U75,'Growth Rates'!U75*'Rescale to Fit GDP Proj'!$D$52)</f>
        <v>1.7299999999999999E-2</v>
      </c>
      <c r="W82" s="13">
        <f>IF($A82="AEO",'Growth Rates'!V75,'Growth Rates'!V75*'Rescale to Fit GDP Proj'!$D$52)</f>
        <v>1.7299999999999999E-2</v>
      </c>
      <c r="X82" s="13">
        <f>IF($A82="AEO",'Growth Rates'!W75,'Growth Rates'!W75*'Rescale to Fit GDP Proj'!$D$52)</f>
        <v>1.7299999999999999E-2</v>
      </c>
      <c r="Y82" s="13">
        <f>IF($A82="AEO",'Growth Rates'!X75,'Growth Rates'!X75*'Rescale to Fit GDP Proj'!$D$52)</f>
        <v>1.7299999999999999E-2</v>
      </c>
      <c r="Z82" s="13">
        <f>IF($A82="AEO",'Growth Rates'!Y75,'Growth Rates'!Y75*'Rescale to Fit GDP Proj'!$D$52)</f>
        <v>1.7299999999999999E-2</v>
      </c>
      <c r="AA82" s="13">
        <f>IF($A82="AEO",'Growth Rates'!Z75,'Growth Rates'!Z75*'Rescale to Fit GDP Proj'!$D$52)</f>
        <v>1.7299999999999999E-2</v>
      </c>
      <c r="AB82" s="13">
        <f>IF($A82="AEO",'Growth Rates'!AA75,'Growth Rates'!AA75*'Rescale to Fit GDP Proj'!$D$52)</f>
        <v>1.7299999999999999E-2</v>
      </c>
      <c r="AC82" s="13">
        <f>IF($A82="AEO",'Growth Rates'!AB75,'Growth Rates'!AB75*'Rescale to Fit GDP Proj'!$D$52)</f>
        <v>1.7299999999999999E-2</v>
      </c>
    </row>
    <row r="83" spans="1:29" x14ac:dyDescent="0.25">
      <c r="B83" s="1" t="s">
        <v>43</v>
      </c>
      <c r="C83" s="13">
        <f>IF($A83="AEO",'Growth Rates'!B76,'Growth Rates'!B76*'Rescale to Fit GDP Proj'!$D$52)</f>
        <v>0</v>
      </c>
      <c r="D83" s="13">
        <f>IF($A83="AEO",'Growth Rates'!C76,'Growth Rates'!C76*'Rescale to Fit GDP Proj'!$D$52)</f>
        <v>6.0549999999999996E-3</v>
      </c>
      <c r="E83" s="13">
        <f>IF($A83="AEO",'Growth Rates'!D76,'Growth Rates'!D76*'Rescale to Fit GDP Proj'!$D$52)</f>
        <v>6.0549999999999996E-3</v>
      </c>
      <c r="F83" s="13">
        <f>IF($A83="AEO",'Growth Rates'!E76,'Growth Rates'!E76*'Rescale to Fit GDP Proj'!$D$52)</f>
        <v>6.0549999999999996E-3</v>
      </c>
      <c r="G83" s="13">
        <f>IF($A83="AEO",'Growth Rates'!F76,'Growth Rates'!F76*'Rescale to Fit GDP Proj'!$D$52)</f>
        <v>6.0549999999999996E-3</v>
      </c>
      <c r="H83" s="13">
        <f>IF($A83="AEO",'Growth Rates'!G76,'Growth Rates'!G76*'Rescale to Fit GDP Proj'!$D$52)</f>
        <v>6.0549999999999996E-3</v>
      </c>
      <c r="I83" s="13">
        <f>IF($A83="AEO",'Growth Rates'!H76,'Growth Rates'!H76*'Rescale to Fit GDP Proj'!$D$52)</f>
        <v>6.0549999999999996E-3</v>
      </c>
      <c r="J83" s="13">
        <f>IF($A83="AEO",'Growth Rates'!I76,'Growth Rates'!I76*'Rescale to Fit GDP Proj'!$D$52)</f>
        <v>6.0549999999999996E-3</v>
      </c>
      <c r="K83" s="13">
        <f>IF($A83="AEO",'Growth Rates'!J76,'Growth Rates'!J76*'Rescale to Fit GDP Proj'!$D$52)</f>
        <v>6.0549999999999996E-3</v>
      </c>
      <c r="L83" s="13">
        <f>IF($A83="AEO",'Growth Rates'!K76,'Growth Rates'!K76*'Rescale to Fit GDP Proj'!$D$52)</f>
        <v>6.0549999999999996E-3</v>
      </c>
      <c r="M83" s="13">
        <f>IF($A83="AEO",'Growth Rates'!L76,'Growth Rates'!L76*'Rescale to Fit GDP Proj'!$D$52)</f>
        <v>6.0549999999999996E-3</v>
      </c>
      <c r="N83" s="13">
        <f>IF($A83="AEO",'Growth Rates'!M76,'Growth Rates'!M76*'Rescale to Fit GDP Proj'!$D$52)</f>
        <v>6.0549999999999996E-3</v>
      </c>
      <c r="O83" s="13">
        <f>IF($A83="AEO",'Growth Rates'!N76,'Growth Rates'!N76*'Rescale to Fit GDP Proj'!$D$52)</f>
        <v>6.0549999999999996E-3</v>
      </c>
      <c r="P83" s="13">
        <f>IF($A83="AEO",'Growth Rates'!O76,'Growth Rates'!O76*'Rescale to Fit GDP Proj'!$D$52)</f>
        <v>6.0549999999999996E-3</v>
      </c>
      <c r="Q83" s="13">
        <f>IF($A83="AEO",'Growth Rates'!P76,'Growth Rates'!P76*'Rescale to Fit GDP Proj'!$D$52)</f>
        <v>6.0549999999999996E-3</v>
      </c>
      <c r="R83" s="13">
        <f>IF($A83="AEO",'Growth Rates'!Q76,'Growth Rates'!Q76*'Rescale to Fit GDP Proj'!$D$52)</f>
        <v>6.0549999999999996E-3</v>
      </c>
      <c r="S83" s="13">
        <f>IF($A83="AEO",'Growth Rates'!R76,'Growth Rates'!R76*'Rescale to Fit GDP Proj'!$D$52)</f>
        <v>6.0549999999999996E-3</v>
      </c>
      <c r="T83" s="13">
        <f>IF($A83="AEO",'Growth Rates'!S76,'Growth Rates'!S76*'Rescale to Fit GDP Proj'!$D$52)</f>
        <v>6.0549999999999996E-3</v>
      </c>
      <c r="U83" s="13">
        <f>IF($A83="AEO",'Growth Rates'!T76,'Growth Rates'!T76*'Rescale to Fit GDP Proj'!$D$52)</f>
        <v>6.0549999999999996E-3</v>
      </c>
      <c r="V83" s="13">
        <f>IF($A83="AEO",'Growth Rates'!U76,'Growth Rates'!U76*'Rescale to Fit GDP Proj'!$D$52)</f>
        <v>6.0549999999999996E-3</v>
      </c>
      <c r="W83" s="13">
        <f>IF($A83="AEO",'Growth Rates'!V76,'Growth Rates'!V76*'Rescale to Fit GDP Proj'!$D$52)</f>
        <v>6.0549999999999996E-3</v>
      </c>
      <c r="X83" s="13">
        <f>IF($A83="AEO",'Growth Rates'!W76,'Growth Rates'!W76*'Rescale to Fit GDP Proj'!$D$52)</f>
        <v>6.0549999999999996E-3</v>
      </c>
      <c r="Y83" s="13">
        <f>IF($A83="AEO",'Growth Rates'!X76,'Growth Rates'!X76*'Rescale to Fit GDP Proj'!$D$52)</f>
        <v>6.0549999999999996E-3</v>
      </c>
      <c r="Z83" s="13">
        <f>IF($A83="AEO",'Growth Rates'!Y76,'Growth Rates'!Y76*'Rescale to Fit GDP Proj'!$D$52)</f>
        <v>6.0549999999999996E-3</v>
      </c>
      <c r="AA83" s="13">
        <f>IF($A83="AEO",'Growth Rates'!Z76,'Growth Rates'!Z76*'Rescale to Fit GDP Proj'!$D$52)</f>
        <v>6.0549999999999996E-3</v>
      </c>
      <c r="AB83" s="13">
        <f>IF($A83="AEO",'Growth Rates'!AA76,'Growth Rates'!AA76*'Rescale to Fit GDP Proj'!$D$52)</f>
        <v>6.0549999999999996E-3</v>
      </c>
      <c r="AC83" s="13">
        <f>IF($A83="AEO",'Growth Rates'!AB76,'Growth Rates'!AB76*'Rescale to Fit GDP Proj'!$D$52)</f>
        <v>6.0549999999999996E-3</v>
      </c>
    </row>
    <row r="84" spans="1:29" x14ac:dyDescent="0.25">
      <c r="B84" s="1" t="s">
        <v>44</v>
      </c>
      <c r="C84" s="13">
        <f>IF($A84="AEO",'Growth Rates'!B77,'Growth Rates'!B77*'Rescale to Fit GDP Proj'!$D$52)</f>
        <v>0</v>
      </c>
      <c r="D84" s="13">
        <f>IF($A84="AEO",'Growth Rates'!C77,'Growth Rates'!C77*'Rescale to Fit GDP Proj'!$D$52)</f>
        <v>1.2886745543945912E-2</v>
      </c>
      <c r="E84" s="13">
        <f>IF($A84="AEO",'Growth Rates'!D77,'Growth Rates'!D77*'Rescale to Fit GDP Proj'!$D$52)</f>
        <v>1.2886745543945912E-2</v>
      </c>
      <c r="F84" s="13">
        <f>IF($A84="AEO",'Growth Rates'!E77,'Growth Rates'!E77*'Rescale to Fit GDP Proj'!$D$52)</f>
        <v>1.2886745543945912E-2</v>
      </c>
      <c r="G84" s="13">
        <f>IF($A84="AEO",'Growth Rates'!F77,'Growth Rates'!F77*'Rescale to Fit GDP Proj'!$D$52)</f>
        <v>1.2886745543945912E-2</v>
      </c>
      <c r="H84" s="13">
        <f>IF($A84="AEO",'Growth Rates'!G77,'Growth Rates'!G77*'Rescale to Fit GDP Proj'!$D$52)</f>
        <v>1.2886745543945912E-2</v>
      </c>
      <c r="I84" s="13">
        <f>IF($A84="AEO",'Growth Rates'!H77,'Growth Rates'!H77*'Rescale to Fit GDP Proj'!$D$52)</f>
        <v>1.2886745543945912E-2</v>
      </c>
      <c r="J84" s="13">
        <f>IF($A84="AEO",'Growth Rates'!I77,'Growth Rates'!I77*'Rescale to Fit GDP Proj'!$D$52)</f>
        <v>1.2886745543945912E-2</v>
      </c>
      <c r="K84" s="13">
        <f>IF($A84="AEO",'Growth Rates'!J77,'Growth Rates'!J77*'Rescale to Fit GDP Proj'!$D$52)</f>
        <v>1.2886745543945912E-2</v>
      </c>
      <c r="L84" s="13">
        <f>IF($A84="AEO",'Growth Rates'!K77,'Growth Rates'!K77*'Rescale to Fit GDP Proj'!$D$52)</f>
        <v>1.2886745543945912E-2</v>
      </c>
      <c r="M84" s="13">
        <f>IF($A84="AEO",'Growth Rates'!L77,'Growth Rates'!L77*'Rescale to Fit GDP Proj'!$D$52)</f>
        <v>1.2886745543945912E-2</v>
      </c>
      <c r="N84" s="13">
        <f>IF($A84="AEO",'Growth Rates'!M77,'Growth Rates'!M77*'Rescale to Fit GDP Proj'!$D$52)</f>
        <v>1.2886745543945912E-2</v>
      </c>
      <c r="O84" s="13">
        <f>IF($A84="AEO",'Growth Rates'!N77,'Growth Rates'!N77*'Rescale to Fit GDP Proj'!$D$52)</f>
        <v>1.2886745543945912E-2</v>
      </c>
      <c r="P84" s="13">
        <f>IF($A84="AEO",'Growth Rates'!O77,'Growth Rates'!O77*'Rescale to Fit GDP Proj'!$D$52)</f>
        <v>1.2886745543945912E-2</v>
      </c>
      <c r="Q84" s="13">
        <f>IF($A84="AEO",'Growth Rates'!P77,'Growth Rates'!P77*'Rescale to Fit GDP Proj'!$D$52)</f>
        <v>1.2886745543945912E-2</v>
      </c>
      <c r="R84" s="13">
        <f>IF($A84="AEO",'Growth Rates'!Q77,'Growth Rates'!Q77*'Rescale to Fit GDP Proj'!$D$52)</f>
        <v>1.2886745543945912E-2</v>
      </c>
      <c r="S84" s="13">
        <f>IF($A84="AEO",'Growth Rates'!R77,'Growth Rates'!R77*'Rescale to Fit GDP Proj'!$D$52)</f>
        <v>1.2886745543945912E-2</v>
      </c>
      <c r="T84" s="13">
        <f>IF($A84="AEO",'Growth Rates'!S77,'Growth Rates'!S77*'Rescale to Fit GDP Proj'!$D$52)</f>
        <v>1.2886745543945912E-2</v>
      </c>
      <c r="U84" s="13">
        <f>IF($A84="AEO",'Growth Rates'!T77,'Growth Rates'!T77*'Rescale to Fit GDP Proj'!$D$52)</f>
        <v>1.2886745543945912E-2</v>
      </c>
      <c r="V84" s="13">
        <f>IF($A84="AEO",'Growth Rates'!U77,'Growth Rates'!U77*'Rescale to Fit GDP Proj'!$D$52)</f>
        <v>1.2886745543945912E-2</v>
      </c>
      <c r="W84" s="13">
        <f>IF($A84="AEO",'Growth Rates'!V77,'Growth Rates'!V77*'Rescale to Fit GDP Proj'!$D$52)</f>
        <v>1.2886745543945912E-2</v>
      </c>
      <c r="X84" s="13">
        <f>IF($A84="AEO",'Growth Rates'!W77,'Growth Rates'!W77*'Rescale to Fit GDP Proj'!$D$52)</f>
        <v>1.2886745543945912E-2</v>
      </c>
      <c r="Y84" s="13">
        <f>IF($A84="AEO",'Growth Rates'!X77,'Growth Rates'!X77*'Rescale to Fit GDP Proj'!$D$52)</f>
        <v>1.2886745543945912E-2</v>
      </c>
      <c r="Z84" s="13">
        <f>IF($A84="AEO",'Growth Rates'!Y77,'Growth Rates'!Y77*'Rescale to Fit GDP Proj'!$D$52)</f>
        <v>1.2886745543945912E-2</v>
      </c>
      <c r="AA84" s="13">
        <f>IF($A84="AEO",'Growth Rates'!Z77,'Growth Rates'!Z77*'Rescale to Fit GDP Proj'!$D$52)</f>
        <v>1.2886745543945912E-2</v>
      </c>
      <c r="AB84" s="13">
        <f>IF($A84="AEO",'Growth Rates'!AA77,'Growth Rates'!AA77*'Rescale to Fit GDP Proj'!$D$52)</f>
        <v>1.2886745543945912E-2</v>
      </c>
      <c r="AC84" s="13">
        <f>IF($A84="AEO",'Growth Rates'!AB77,'Growth Rates'!AB77*'Rescale to Fit GDP Proj'!$D$52)</f>
        <v>1.2886745543945912E-2</v>
      </c>
    </row>
    <row r="85" spans="1:29" x14ac:dyDescent="0.25">
      <c r="A85" t="s">
        <v>127</v>
      </c>
      <c r="B85" s="1" t="s">
        <v>18</v>
      </c>
      <c r="C85" s="13">
        <f>IF($A85="AEO",'Growth Rates'!B78,'Growth Rates'!B78*'Rescale to Fit GDP Proj'!$D$52)</f>
        <v>0</v>
      </c>
      <c r="D85" s="13">
        <f>IF($A85="AEO",'Growth Rates'!C78,'Growth Rates'!C78*'Rescale to Fit GDP Proj'!$D$52)</f>
        <v>-5.3723557749999337E-3</v>
      </c>
      <c r="E85" s="13">
        <f>IF($A85="AEO",'Growth Rates'!D78,'Growth Rates'!D78*'Rescale to Fit GDP Proj'!$D$52)</f>
        <v>7.7939586797429079E-3</v>
      </c>
      <c r="F85" s="13">
        <f>IF($A85="AEO",'Growth Rates'!E78,'Growth Rates'!E78*'Rescale to Fit GDP Proj'!$D$52)</f>
        <v>1.5874766840579421E-2</v>
      </c>
      <c r="G85" s="13">
        <f>IF($A85="AEO",'Growth Rates'!F78,'Growth Rates'!F78*'Rescale to Fit GDP Proj'!$D$52)</f>
        <v>2.428529552917217E-2</v>
      </c>
      <c r="H85" s="13">
        <f>IF($A85="AEO",'Growth Rates'!G78,'Growth Rates'!G78*'Rescale to Fit GDP Proj'!$D$52)</f>
        <v>2.7439966871021806E-2</v>
      </c>
      <c r="I85" s="13">
        <f>IF($A85="AEO",'Growth Rates'!H78,'Growth Rates'!H78*'Rescale to Fit GDP Proj'!$D$52)</f>
        <v>1.8894013193581024E-2</v>
      </c>
      <c r="J85" s="13">
        <f>IF($A85="AEO",'Growth Rates'!I78,'Growth Rates'!I78*'Rescale to Fit GDP Proj'!$D$52)</f>
        <v>1.6188437790707638E-2</v>
      </c>
      <c r="K85" s="13">
        <f>IF($A85="AEO",'Growth Rates'!J78,'Growth Rates'!J78*'Rescale to Fit GDP Proj'!$D$52)</f>
        <v>1.1634881465986555E-2</v>
      </c>
      <c r="L85" s="13">
        <f>IF($A85="AEO",'Growth Rates'!K78,'Growth Rates'!K78*'Rescale to Fit GDP Proj'!$D$52)</f>
        <v>4.1913118084951342E-3</v>
      </c>
      <c r="M85" s="13">
        <f>IF($A85="AEO",'Growth Rates'!L78,'Growth Rates'!L78*'Rescale to Fit GDP Proj'!$D$52)</f>
        <v>2.1587293508677649E-4</v>
      </c>
      <c r="N85" s="13">
        <f>IF($A85="AEO",'Growth Rates'!M78,'Growth Rates'!M78*'Rescale to Fit GDP Proj'!$D$52)</f>
        <v>9.312544208229882E-3</v>
      </c>
      <c r="O85" s="13">
        <f>IF($A85="AEO",'Growth Rates'!N78,'Growth Rates'!N78*'Rescale to Fit GDP Proj'!$D$52)</f>
        <v>1.2806197600896555E-2</v>
      </c>
      <c r="P85" s="13">
        <f>IF($A85="AEO",'Growth Rates'!O78,'Growth Rates'!O78*'Rescale to Fit GDP Proj'!$D$52)</f>
        <v>7.9031572404631607E-3</v>
      </c>
      <c r="Q85" s="13">
        <f>IF($A85="AEO",'Growth Rates'!P78,'Growth Rates'!P78*'Rescale to Fit GDP Proj'!$D$52)</f>
        <v>8.4047733010234518E-3</v>
      </c>
      <c r="R85" s="13">
        <f>IF($A85="AEO",'Growth Rates'!Q78,'Growth Rates'!Q78*'Rescale to Fit GDP Proj'!$D$52)</f>
        <v>7.5556620495889461E-3</v>
      </c>
      <c r="S85" s="13">
        <f>IF($A85="AEO",'Growth Rates'!R78,'Growth Rates'!R78*'Rescale to Fit GDP Proj'!$D$52)</f>
        <v>5.7753994646626509E-3</v>
      </c>
      <c r="T85" s="13">
        <f>IF($A85="AEO",'Growth Rates'!S78,'Growth Rates'!S78*'Rescale to Fit GDP Proj'!$D$52)</f>
        <v>4.1078270475344587E-3</v>
      </c>
      <c r="U85" s="13">
        <f>IF($A85="AEO",'Growth Rates'!T78,'Growth Rates'!T78*'Rescale to Fit GDP Proj'!$D$52)</f>
        <v>6.7058691173239003E-3</v>
      </c>
      <c r="V85" s="13">
        <f>IF($A85="AEO",'Growth Rates'!U78,'Growth Rates'!U78*'Rescale to Fit GDP Proj'!$D$52)</f>
        <v>4.7976121446575122E-3</v>
      </c>
      <c r="W85" s="13">
        <f>IF($A85="AEO",'Growth Rates'!V78,'Growth Rates'!V78*'Rescale to Fit GDP Proj'!$D$52)</f>
        <v>4.516876224879644E-3</v>
      </c>
      <c r="X85" s="13">
        <f>IF($A85="AEO",'Growth Rates'!W78,'Growth Rates'!W78*'Rescale to Fit GDP Proj'!$D$52)</f>
        <v>9.8238604690443661E-3</v>
      </c>
      <c r="Y85" s="13">
        <f>IF($A85="AEO",'Growth Rates'!X78,'Growth Rates'!X78*'Rescale to Fit GDP Proj'!$D$52)</f>
        <v>1.0871822190961883E-2</v>
      </c>
      <c r="Z85" s="13">
        <f>IF($A85="AEO",'Growth Rates'!Y78,'Growth Rates'!Y78*'Rescale to Fit GDP Proj'!$D$52)</f>
        <v>1.2345625339585484E-2</v>
      </c>
      <c r="AA85" s="13">
        <f>IF($A85="AEO",'Growth Rates'!Z78,'Growth Rates'!Z78*'Rescale to Fit GDP Proj'!$D$52)</f>
        <v>1.2868226409996981E-2</v>
      </c>
      <c r="AB85" s="13">
        <f>IF($A85="AEO",'Growth Rates'!AA78,'Growth Rates'!AA78*'Rescale to Fit GDP Proj'!$D$52)</f>
        <v>1.351651302340765E-2</v>
      </c>
      <c r="AC85" s="13">
        <f>IF($A85="AEO",'Growth Rates'!AB78,'Growth Rates'!AB78*'Rescale to Fit GDP Proj'!$D$52)</f>
        <v>1.1672897823781447E-2</v>
      </c>
    </row>
    <row r="86" spans="1:29" x14ac:dyDescent="0.25">
      <c r="B86" s="1" t="s">
        <v>19</v>
      </c>
      <c r="C86" s="13">
        <f>IF($A86="AEO",'Growth Rates'!B79,'Growth Rates'!B79*'Rescale to Fit GDP Proj'!$D$52)</f>
        <v>0</v>
      </c>
      <c r="D86" s="13">
        <f>IF($A86="AEO",'Growth Rates'!C79,'Growth Rates'!C79*'Rescale to Fit GDP Proj'!$D$52)</f>
        <v>2.1861204039847901E-2</v>
      </c>
      <c r="E86" s="13">
        <f>IF($A86="AEO",'Growth Rates'!D79,'Growth Rates'!D79*'Rescale to Fit GDP Proj'!$D$52)</f>
        <v>2.1861204039847901E-2</v>
      </c>
      <c r="F86" s="13">
        <f>IF($A86="AEO",'Growth Rates'!E79,'Growth Rates'!E79*'Rescale to Fit GDP Proj'!$D$52)</f>
        <v>2.1861204039847901E-2</v>
      </c>
      <c r="G86" s="13">
        <f>IF($A86="AEO",'Growth Rates'!F79,'Growth Rates'!F79*'Rescale to Fit GDP Proj'!$D$52)</f>
        <v>2.1861204039847901E-2</v>
      </c>
      <c r="H86" s="13">
        <f>IF($A86="AEO",'Growth Rates'!G79,'Growth Rates'!G79*'Rescale to Fit GDP Proj'!$D$52)</f>
        <v>2.1861204039847901E-2</v>
      </c>
      <c r="I86" s="13">
        <f>IF($A86="AEO",'Growth Rates'!H79,'Growth Rates'!H79*'Rescale to Fit GDP Proj'!$D$52)</f>
        <v>2.1861204039847901E-2</v>
      </c>
      <c r="J86" s="13">
        <f>IF($A86="AEO",'Growth Rates'!I79,'Growth Rates'!I79*'Rescale to Fit GDP Proj'!$D$52)</f>
        <v>2.1861204039847901E-2</v>
      </c>
      <c r="K86" s="13">
        <f>IF($A86="AEO",'Growth Rates'!J79,'Growth Rates'!J79*'Rescale to Fit GDP Proj'!$D$52)</f>
        <v>2.1861204039847901E-2</v>
      </c>
      <c r="L86" s="13">
        <f>IF($A86="AEO",'Growth Rates'!K79,'Growth Rates'!K79*'Rescale to Fit GDP Proj'!$D$52)</f>
        <v>2.1861204039847901E-2</v>
      </c>
      <c r="M86" s="13">
        <f>IF($A86="AEO",'Growth Rates'!L79,'Growth Rates'!L79*'Rescale to Fit GDP Proj'!$D$52)</f>
        <v>2.1861204039847901E-2</v>
      </c>
      <c r="N86" s="13">
        <f>IF($A86="AEO",'Growth Rates'!M79,'Growth Rates'!M79*'Rescale to Fit GDP Proj'!$D$52)</f>
        <v>2.1861204039847901E-2</v>
      </c>
      <c r="O86" s="13">
        <f>IF($A86="AEO",'Growth Rates'!N79,'Growth Rates'!N79*'Rescale to Fit GDP Proj'!$D$52)</f>
        <v>2.1861204039847901E-2</v>
      </c>
      <c r="P86" s="13">
        <f>IF($A86="AEO",'Growth Rates'!O79,'Growth Rates'!O79*'Rescale to Fit GDP Proj'!$D$52)</f>
        <v>2.1861204039847901E-2</v>
      </c>
      <c r="Q86" s="13">
        <f>IF($A86="AEO",'Growth Rates'!P79,'Growth Rates'!P79*'Rescale to Fit GDP Proj'!$D$52)</f>
        <v>2.1861204039847901E-2</v>
      </c>
      <c r="R86" s="13">
        <f>IF($A86="AEO",'Growth Rates'!Q79,'Growth Rates'!Q79*'Rescale to Fit GDP Proj'!$D$52)</f>
        <v>2.1861204039847901E-2</v>
      </c>
      <c r="S86" s="13">
        <f>IF($A86="AEO",'Growth Rates'!R79,'Growth Rates'!R79*'Rescale to Fit GDP Proj'!$D$52)</f>
        <v>2.1861204039847901E-2</v>
      </c>
      <c r="T86" s="13">
        <f>IF($A86="AEO",'Growth Rates'!S79,'Growth Rates'!S79*'Rescale to Fit GDP Proj'!$D$52)</f>
        <v>2.1861204039847901E-2</v>
      </c>
      <c r="U86" s="13">
        <f>IF($A86="AEO",'Growth Rates'!T79,'Growth Rates'!T79*'Rescale to Fit GDP Proj'!$D$52)</f>
        <v>2.1861204039847901E-2</v>
      </c>
      <c r="V86" s="13">
        <f>IF($A86="AEO",'Growth Rates'!U79,'Growth Rates'!U79*'Rescale to Fit GDP Proj'!$D$52)</f>
        <v>2.1861204039847901E-2</v>
      </c>
      <c r="W86" s="13">
        <f>IF($A86="AEO",'Growth Rates'!V79,'Growth Rates'!V79*'Rescale to Fit GDP Proj'!$D$52)</f>
        <v>2.1861204039847901E-2</v>
      </c>
      <c r="X86" s="13">
        <f>IF($A86="AEO",'Growth Rates'!W79,'Growth Rates'!W79*'Rescale to Fit GDP Proj'!$D$52)</f>
        <v>2.1861204039847901E-2</v>
      </c>
      <c r="Y86" s="13">
        <f>IF($A86="AEO",'Growth Rates'!X79,'Growth Rates'!X79*'Rescale to Fit GDP Proj'!$D$52)</f>
        <v>2.1861204039847901E-2</v>
      </c>
      <c r="Z86" s="13">
        <f>IF($A86="AEO",'Growth Rates'!Y79,'Growth Rates'!Y79*'Rescale to Fit GDP Proj'!$D$52)</f>
        <v>2.1861204039847901E-2</v>
      </c>
      <c r="AA86" s="13">
        <f>IF($A86="AEO",'Growth Rates'!Z79,'Growth Rates'!Z79*'Rescale to Fit GDP Proj'!$D$52)</f>
        <v>2.1861204039847901E-2</v>
      </c>
      <c r="AB86" s="13">
        <f>IF($A86="AEO",'Growth Rates'!AA79,'Growth Rates'!AA79*'Rescale to Fit GDP Proj'!$D$52)</f>
        <v>2.1861204039847901E-2</v>
      </c>
      <c r="AC86" s="13">
        <f>IF($A86="AEO",'Growth Rates'!AB79,'Growth Rates'!AB79*'Rescale to Fit GDP Proj'!$D$52)</f>
        <v>2.1861204039847901E-2</v>
      </c>
    </row>
    <row r="87" spans="1:29" x14ac:dyDescent="0.25">
      <c r="B87" s="1" t="s">
        <v>20</v>
      </c>
      <c r="C87" s="13">
        <f>IF($A87="AEO",'Growth Rates'!B80,'Growth Rates'!B80*'Rescale to Fit GDP Proj'!$D$52)</f>
        <v>0</v>
      </c>
      <c r="D87" s="13">
        <f>IF($A87="AEO",'Growth Rates'!C80,'Growth Rates'!C80*'Rescale to Fit GDP Proj'!$D$52)</f>
        <v>1.9030000000000002E-2</v>
      </c>
      <c r="E87" s="13">
        <f>IF($A87="AEO",'Growth Rates'!D80,'Growth Rates'!D80*'Rescale to Fit GDP Proj'!$D$52)</f>
        <v>1.9030000000000002E-2</v>
      </c>
      <c r="F87" s="13">
        <f>IF($A87="AEO",'Growth Rates'!E80,'Growth Rates'!E80*'Rescale to Fit GDP Proj'!$D$52)</f>
        <v>1.9030000000000002E-2</v>
      </c>
      <c r="G87" s="13">
        <f>IF($A87="AEO",'Growth Rates'!F80,'Growth Rates'!F80*'Rescale to Fit GDP Proj'!$D$52)</f>
        <v>1.9030000000000002E-2</v>
      </c>
      <c r="H87" s="13">
        <f>IF($A87="AEO",'Growth Rates'!G80,'Growth Rates'!G80*'Rescale to Fit GDP Proj'!$D$52)</f>
        <v>1.9030000000000002E-2</v>
      </c>
      <c r="I87" s="13">
        <f>IF($A87="AEO",'Growth Rates'!H80,'Growth Rates'!H80*'Rescale to Fit GDP Proj'!$D$52)</f>
        <v>1.9030000000000002E-2</v>
      </c>
      <c r="J87" s="13">
        <f>IF($A87="AEO",'Growth Rates'!I80,'Growth Rates'!I80*'Rescale to Fit GDP Proj'!$D$52)</f>
        <v>1.9030000000000002E-2</v>
      </c>
      <c r="K87" s="13">
        <f>IF($A87="AEO",'Growth Rates'!J80,'Growth Rates'!J80*'Rescale to Fit GDP Proj'!$D$52)</f>
        <v>1.9030000000000002E-2</v>
      </c>
      <c r="L87" s="13">
        <f>IF($A87="AEO",'Growth Rates'!K80,'Growth Rates'!K80*'Rescale to Fit GDP Proj'!$D$52)</f>
        <v>1.9030000000000002E-2</v>
      </c>
      <c r="M87" s="13">
        <f>IF($A87="AEO",'Growth Rates'!L80,'Growth Rates'!L80*'Rescale to Fit GDP Proj'!$D$52)</f>
        <v>1.9030000000000002E-2</v>
      </c>
      <c r="N87" s="13">
        <f>IF($A87="AEO",'Growth Rates'!M80,'Growth Rates'!M80*'Rescale to Fit GDP Proj'!$D$52)</f>
        <v>1.9030000000000002E-2</v>
      </c>
      <c r="O87" s="13">
        <f>IF($A87="AEO",'Growth Rates'!N80,'Growth Rates'!N80*'Rescale to Fit GDP Proj'!$D$52)</f>
        <v>1.9030000000000002E-2</v>
      </c>
      <c r="P87" s="13">
        <f>IF($A87="AEO",'Growth Rates'!O80,'Growth Rates'!O80*'Rescale to Fit GDP Proj'!$D$52)</f>
        <v>1.9030000000000002E-2</v>
      </c>
      <c r="Q87" s="13">
        <f>IF($A87="AEO",'Growth Rates'!P80,'Growth Rates'!P80*'Rescale to Fit GDP Proj'!$D$52)</f>
        <v>1.9030000000000002E-2</v>
      </c>
      <c r="R87" s="13">
        <f>IF($A87="AEO",'Growth Rates'!Q80,'Growth Rates'!Q80*'Rescale to Fit GDP Proj'!$D$52)</f>
        <v>1.9030000000000002E-2</v>
      </c>
      <c r="S87" s="13">
        <f>IF($A87="AEO",'Growth Rates'!R80,'Growth Rates'!R80*'Rescale to Fit GDP Proj'!$D$52)</f>
        <v>1.9030000000000002E-2</v>
      </c>
      <c r="T87" s="13">
        <f>IF($A87="AEO",'Growth Rates'!S80,'Growth Rates'!S80*'Rescale to Fit GDP Proj'!$D$52)</f>
        <v>1.9030000000000002E-2</v>
      </c>
      <c r="U87" s="13">
        <f>IF($A87="AEO",'Growth Rates'!T80,'Growth Rates'!T80*'Rescale to Fit GDP Proj'!$D$52)</f>
        <v>1.9030000000000002E-2</v>
      </c>
      <c r="V87" s="13">
        <f>IF($A87="AEO",'Growth Rates'!U80,'Growth Rates'!U80*'Rescale to Fit GDP Proj'!$D$52)</f>
        <v>1.9030000000000002E-2</v>
      </c>
      <c r="W87" s="13">
        <f>IF($A87="AEO",'Growth Rates'!V80,'Growth Rates'!V80*'Rescale to Fit GDP Proj'!$D$52)</f>
        <v>1.9030000000000002E-2</v>
      </c>
      <c r="X87" s="13">
        <f>IF($A87="AEO",'Growth Rates'!W80,'Growth Rates'!W80*'Rescale to Fit GDP Proj'!$D$52)</f>
        <v>1.9030000000000002E-2</v>
      </c>
      <c r="Y87" s="13">
        <f>IF($A87="AEO",'Growth Rates'!X80,'Growth Rates'!X80*'Rescale to Fit GDP Proj'!$D$52)</f>
        <v>1.9030000000000002E-2</v>
      </c>
      <c r="Z87" s="13">
        <f>IF($A87="AEO",'Growth Rates'!Y80,'Growth Rates'!Y80*'Rescale to Fit GDP Proj'!$D$52)</f>
        <v>1.9030000000000002E-2</v>
      </c>
      <c r="AA87" s="13">
        <f>IF($A87="AEO",'Growth Rates'!Z80,'Growth Rates'!Z80*'Rescale to Fit GDP Proj'!$D$52)</f>
        <v>1.9030000000000002E-2</v>
      </c>
      <c r="AB87" s="13">
        <f>IF($A87="AEO",'Growth Rates'!AA80,'Growth Rates'!AA80*'Rescale to Fit GDP Proj'!$D$52)</f>
        <v>1.9030000000000002E-2</v>
      </c>
      <c r="AC87" s="13">
        <f>IF($A87="AEO",'Growth Rates'!AB80,'Growth Rates'!AB80*'Rescale to Fit GDP Proj'!$D$52)</f>
        <v>1.9030000000000002E-2</v>
      </c>
    </row>
    <row r="88" spans="1:29" x14ac:dyDescent="0.25">
      <c r="B88" s="1" t="s">
        <v>21</v>
      </c>
      <c r="C88" s="13">
        <f>IF($A88="AEO",'Growth Rates'!B81,'Growth Rates'!B81*'Rescale to Fit GDP Proj'!$D$52)</f>
        <v>0</v>
      </c>
      <c r="D88" s="13">
        <f>IF($A88="AEO",'Growth Rates'!C81,'Growth Rates'!C81*'Rescale to Fit GDP Proj'!$D$52)</f>
        <v>1.9894999999999999E-2</v>
      </c>
      <c r="E88" s="13">
        <f>IF($A88="AEO",'Growth Rates'!D81,'Growth Rates'!D81*'Rescale to Fit GDP Proj'!$D$52)</f>
        <v>1.9894999999999999E-2</v>
      </c>
      <c r="F88" s="13">
        <f>IF($A88="AEO",'Growth Rates'!E81,'Growth Rates'!E81*'Rescale to Fit GDP Proj'!$D$52)</f>
        <v>1.9894999999999999E-2</v>
      </c>
      <c r="G88" s="13">
        <f>IF($A88="AEO",'Growth Rates'!F81,'Growth Rates'!F81*'Rescale to Fit GDP Proj'!$D$52)</f>
        <v>1.9894999999999999E-2</v>
      </c>
      <c r="H88" s="13">
        <f>IF($A88="AEO",'Growth Rates'!G81,'Growth Rates'!G81*'Rescale to Fit GDP Proj'!$D$52)</f>
        <v>1.9894999999999999E-2</v>
      </c>
      <c r="I88" s="13">
        <f>IF($A88="AEO",'Growth Rates'!H81,'Growth Rates'!H81*'Rescale to Fit GDP Proj'!$D$52)</f>
        <v>1.9894999999999999E-2</v>
      </c>
      <c r="J88" s="13">
        <f>IF($A88="AEO",'Growth Rates'!I81,'Growth Rates'!I81*'Rescale to Fit GDP Proj'!$D$52)</f>
        <v>1.9894999999999999E-2</v>
      </c>
      <c r="K88" s="13">
        <f>IF($A88="AEO",'Growth Rates'!J81,'Growth Rates'!J81*'Rescale to Fit GDP Proj'!$D$52)</f>
        <v>1.9894999999999999E-2</v>
      </c>
      <c r="L88" s="13">
        <f>IF($A88="AEO",'Growth Rates'!K81,'Growth Rates'!K81*'Rescale to Fit GDP Proj'!$D$52)</f>
        <v>1.9894999999999999E-2</v>
      </c>
      <c r="M88" s="13">
        <f>IF($A88="AEO",'Growth Rates'!L81,'Growth Rates'!L81*'Rescale to Fit GDP Proj'!$D$52)</f>
        <v>1.9894999999999999E-2</v>
      </c>
      <c r="N88" s="13">
        <f>IF($A88="AEO",'Growth Rates'!M81,'Growth Rates'!M81*'Rescale to Fit GDP Proj'!$D$52)</f>
        <v>1.9894999999999999E-2</v>
      </c>
      <c r="O88" s="13">
        <f>IF($A88="AEO",'Growth Rates'!N81,'Growth Rates'!N81*'Rescale to Fit GDP Proj'!$D$52)</f>
        <v>1.9894999999999999E-2</v>
      </c>
      <c r="P88" s="13">
        <f>IF($A88="AEO",'Growth Rates'!O81,'Growth Rates'!O81*'Rescale to Fit GDP Proj'!$D$52)</f>
        <v>1.9894999999999999E-2</v>
      </c>
      <c r="Q88" s="13">
        <f>IF($A88="AEO",'Growth Rates'!P81,'Growth Rates'!P81*'Rescale to Fit GDP Proj'!$D$52)</f>
        <v>1.9894999999999999E-2</v>
      </c>
      <c r="R88" s="13">
        <f>IF($A88="AEO",'Growth Rates'!Q81,'Growth Rates'!Q81*'Rescale to Fit GDP Proj'!$D$52)</f>
        <v>1.9894999999999999E-2</v>
      </c>
      <c r="S88" s="13">
        <f>IF($A88="AEO",'Growth Rates'!R81,'Growth Rates'!R81*'Rescale to Fit GDP Proj'!$D$52)</f>
        <v>1.9894999999999999E-2</v>
      </c>
      <c r="T88" s="13">
        <f>IF($A88="AEO",'Growth Rates'!S81,'Growth Rates'!S81*'Rescale to Fit GDP Proj'!$D$52)</f>
        <v>1.9894999999999999E-2</v>
      </c>
      <c r="U88" s="13">
        <f>IF($A88="AEO",'Growth Rates'!T81,'Growth Rates'!T81*'Rescale to Fit GDP Proj'!$D$52)</f>
        <v>1.9894999999999999E-2</v>
      </c>
      <c r="V88" s="13">
        <f>IF($A88="AEO",'Growth Rates'!U81,'Growth Rates'!U81*'Rescale to Fit GDP Proj'!$D$52)</f>
        <v>1.9894999999999999E-2</v>
      </c>
      <c r="W88" s="13">
        <f>IF($A88="AEO",'Growth Rates'!V81,'Growth Rates'!V81*'Rescale to Fit GDP Proj'!$D$52)</f>
        <v>1.9894999999999999E-2</v>
      </c>
      <c r="X88" s="13">
        <f>IF($A88="AEO",'Growth Rates'!W81,'Growth Rates'!W81*'Rescale to Fit GDP Proj'!$D$52)</f>
        <v>1.9894999999999999E-2</v>
      </c>
      <c r="Y88" s="13">
        <f>IF($A88="AEO",'Growth Rates'!X81,'Growth Rates'!X81*'Rescale to Fit GDP Proj'!$D$52)</f>
        <v>1.9894999999999999E-2</v>
      </c>
      <c r="Z88" s="13">
        <f>IF($A88="AEO",'Growth Rates'!Y81,'Growth Rates'!Y81*'Rescale to Fit GDP Proj'!$D$52)</f>
        <v>1.9894999999999999E-2</v>
      </c>
      <c r="AA88" s="13">
        <f>IF($A88="AEO",'Growth Rates'!Z81,'Growth Rates'!Z81*'Rescale to Fit GDP Proj'!$D$52)</f>
        <v>1.9894999999999999E-2</v>
      </c>
      <c r="AB88" s="13">
        <f>IF($A88="AEO",'Growth Rates'!AA81,'Growth Rates'!AA81*'Rescale to Fit GDP Proj'!$D$52)</f>
        <v>1.9894999999999999E-2</v>
      </c>
      <c r="AC88" s="13">
        <f>IF($A88="AEO",'Growth Rates'!AB81,'Growth Rates'!AB81*'Rescale to Fit GDP Proj'!$D$52)</f>
        <v>1.9894999999999999E-2</v>
      </c>
    </row>
    <row r="89" spans="1:29" x14ac:dyDescent="0.25">
      <c r="B89" s="1" t="s">
        <v>22</v>
      </c>
      <c r="C89" s="13">
        <f>IF($A89="AEO",'Growth Rates'!B82,'Growth Rates'!B82*'Rescale to Fit GDP Proj'!$D$52)</f>
        <v>0</v>
      </c>
      <c r="D89" s="13">
        <f>IF($A89="AEO",'Growth Rates'!C82,'Growth Rates'!C82*'Rescale to Fit GDP Proj'!$D$52)</f>
        <v>3.1722215395316486E-2</v>
      </c>
      <c r="E89" s="13">
        <f>IF($A89="AEO",'Growth Rates'!D82,'Growth Rates'!D82*'Rescale to Fit GDP Proj'!$D$52)</f>
        <v>3.1722215395316486E-2</v>
      </c>
      <c r="F89" s="13">
        <f>IF($A89="AEO",'Growth Rates'!E82,'Growth Rates'!E82*'Rescale to Fit GDP Proj'!$D$52)</f>
        <v>3.1722215395316486E-2</v>
      </c>
      <c r="G89" s="13">
        <f>IF($A89="AEO",'Growth Rates'!F82,'Growth Rates'!F82*'Rescale to Fit GDP Proj'!$D$52)</f>
        <v>3.1722215395316486E-2</v>
      </c>
      <c r="H89" s="13">
        <f>IF($A89="AEO",'Growth Rates'!G82,'Growth Rates'!G82*'Rescale to Fit GDP Proj'!$D$52)</f>
        <v>3.1722215395316486E-2</v>
      </c>
      <c r="I89" s="13">
        <f>IF($A89="AEO",'Growth Rates'!H82,'Growth Rates'!H82*'Rescale to Fit GDP Proj'!$D$52)</f>
        <v>3.1722215395316486E-2</v>
      </c>
      <c r="J89" s="13">
        <f>IF($A89="AEO",'Growth Rates'!I82,'Growth Rates'!I82*'Rescale to Fit GDP Proj'!$D$52)</f>
        <v>3.1722215395316486E-2</v>
      </c>
      <c r="K89" s="13">
        <f>IF($A89="AEO",'Growth Rates'!J82,'Growth Rates'!J82*'Rescale to Fit GDP Proj'!$D$52)</f>
        <v>3.1722215395316486E-2</v>
      </c>
      <c r="L89" s="13">
        <f>IF($A89="AEO",'Growth Rates'!K82,'Growth Rates'!K82*'Rescale to Fit GDP Proj'!$D$52)</f>
        <v>3.1722215395316486E-2</v>
      </c>
      <c r="M89" s="13">
        <f>IF($A89="AEO",'Growth Rates'!L82,'Growth Rates'!L82*'Rescale to Fit GDP Proj'!$D$52)</f>
        <v>3.1722215395316486E-2</v>
      </c>
      <c r="N89" s="13">
        <f>IF($A89="AEO",'Growth Rates'!M82,'Growth Rates'!M82*'Rescale to Fit GDP Proj'!$D$52)</f>
        <v>3.1722215395316486E-2</v>
      </c>
      <c r="O89" s="13">
        <f>IF($A89="AEO",'Growth Rates'!N82,'Growth Rates'!N82*'Rescale to Fit GDP Proj'!$D$52)</f>
        <v>3.1722215395316486E-2</v>
      </c>
      <c r="P89" s="13">
        <f>IF($A89="AEO",'Growth Rates'!O82,'Growth Rates'!O82*'Rescale to Fit GDP Proj'!$D$52)</f>
        <v>3.1722215395316486E-2</v>
      </c>
      <c r="Q89" s="13">
        <f>IF($A89="AEO",'Growth Rates'!P82,'Growth Rates'!P82*'Rescale to Fit GDP Proj'!$D$52)</f>
        <v>3.1722215395316486E-2</v>
      </c>
      <c r="R89" s="13">
        <f>IF($A89="AEO",'Growth Rates'!Q82,'Growth Rates'!Q82*'Rescale to Fit GDP Proj'!$D$52)</f>
        <v>3.1722215395316486E-2</v>
      </c>
      <c r="S89" s="13">
        <f>IF($A89="AEO",'Growth Rates'!R82,'Growth Rates'!R82*'Rescale to Fit GDP Proj'!$D$52)</f>
        <v>3.1722215395316486E-2</v>
      </c>
      <c r="T89" s="13">
        <f>IF($A89="AEO",'Growth Rates'!S82,'Growth Rates'!S82*'Rescale to Fit GDP Proj'!$D$52)</f>
        <v>3.1722215395316486E-2</v>
      </c>
      <c r="U89" s="13">
        <f>IF($A89="AEO",'Growth Rates'!T82,'Growth Rates'!T82*'Rescale to Fit GDP Proj'!$D$52)</f>
        <v>3.1722215395316486E-2</v>
      </c>
      <c r="V89" s="13">
        <f>IF($A89="AEO",'Growth Rates'!U82,'Growth Rates'!U82*'Rescale to Fit GDP Proj'!$D$52)</f>
        <v>3.1722215395316486E-2</v>
      </c>
      <c r="W89" s="13">
        <f>IF($A89="AEO",'Growth Rates'!V82,'Growth Rates'!V82*'Rescale to Fit GDP Proj'!$D$52)</f>
        <v>3.1722215395316486E-2</v>
      </c>
      <c r="X89" s="13">
        <f>IF($A89="AEO",'Growth Rates'!W82,'Growth Rates'!W82*'Rescale to Fit GDP Proj'!$D$52)</f>
        <v>3.1722215395316486E-2</v>
      </c>
      <c r="Y89" s="13">
        <f>IF($A89="AEO",'Growth Rates'!X82,'Growth Rates'!X82*'Rescale to Fit GDP Proj'!$D$52)</f>
        <v>3.1722215395316486E-2</v>
      </c>
      <c r="Z89" s="13">
        <f>IF($A89="AEO",'Growth Rates'!Y82,'Growth Rates'!Y82*'Rescale to Fit GDP Proj'!$D$52)</f>
        <v>3.1722215395316486E-2</v>
      </c>
      <c r="AA89" s="13">
        <f>IF($A89="AEO",'Growth Rates'!Z82,'Growth Rates'!Z82*'Rescale to Fit GDP Proj'!$D$52)</f>
        <v>3.1722215395316486E-2</v>
      </c>
      <c r="AB89" s="13">
        <f>IF($A89="AEO",'Growth Rates'!AA82,'Growth Rates'!AA82*'Rescale to Fit GDP Proj'!$D$52)</f>
        <v>3.1722215395316486E-2</v>
      </c>
      <c r="AC89" s="13">
        <f>IF($A89="AEO",'Growth Rates'!AB82,'Growth Rates'!AB82*'Rescale to Fit GDP Proj'!$D$52)</f>
        <v>3.1722215395316486E-2</v>
      </c>
    </row>
    <row r="90" spans="1:29" x14ac:dyDescent="0.25">
      <c r="B90" s="1" t="s">
        <v>23</v>
      </c>
      <c r="C90" s="13">
        <f>IF($A90="AEO",'Growth Rates'!B83,'Growth Rates'!B83*'Rescale to Fit GDP Proj'!$D$52)</f>
        <v>0</v>
      </c>
      <c r="D90" s="13">
        <f>IF($A90="AEO",'Growth Rates'!C83,'Growth Rates'!C83*'Rescale to Fit GDP Proj'!$D$52)</f>
        <v>2.3355000000000004E-2</v>
      </c>
      <c r="E90" s="13">
        <f>IF($A90="AEO",'Growth Rates'!D83,'Growth Rates'!D83*'Rescale to Fit GDP Proj'!$D$52)</f>
        <v>2.3355000000000004E-2</v>
      </c>
      <c r="F90" s="13">
        <f>IF($A90="AEO",'Growth Rates'!E83,'Growth Rates'!E83*'Rescale to Fit GDP Proj'!$D$52)</f>
        <v>2.3355000000000004E-2</v>
      </c>
      <c r="G90" s="13">
        <f>IF($A90="AEO",'Growth Rates'!F83,'Growth Rates'!F83*'Rescale to Fit GDP Proj'!$D$52)</f>
        <v>2.3355000000000004E-2</v>
      </c>
      <c r="H90" s="13">
        <f>IF($A90="AEO",'Growth Rates'!G83,'Growth Rates'!G83*'Rescale to Fit GDP Proj'!$D$52)</f>
        <v>2.3355000000000004E-2</v>
      </c>
      <c r="I90" s="13">
        <f>IF($A90="AEO",'Growth Rates'!H83,'Growth Rates'!H83*'Rescale to Fit GDP Proj'!$D$52)</f>
        <v>2.3355000000000004E-2</v>
      </c>
      <c r="J90" s="13">
        <f>IF($A90="AEO",'Growth Rates'!I83,'Growth Rates'!I83*'Rescale to Fit GDP Proj'!$D$52)</f>
        <v>2.3355000000000004E-2</v>
      </c>
      <c r="K90" s="13">
        <f>IF($A90="AEO",'Growth Rates'!J83,'Growth Rates'!J83*'Rescale to Fit GDP Proj'!$D$52)</f>
        <v>2.3355000000000004E-2</v>
      </c>
      <c r="L90" s="13">
        <f>IF($A90="AEO",'Growth Rates'!K83,'Growth Rates'!K83*'Rescale to Fit GDP Proj'!$D$52)</f>
        <v>2.3355000000000004E-2</v>
      </c>
      <c r="M90" s="13">
        <f>IF($A90="AEO",'Growth Rates'!L83,'Growth Rates'!L83*'Rescale to Fit GDP Proj'!$D$52)</f>
        <v>2.3355000000000004E-2</v>
      </c>
      <c r="N90" s="13">
        <f>IF($A90="AEO",'Growth Rates'!M83,'Growth Rates'!M83*'Rescale to Fit GDP Proj'!$D$52)</f>
        <v>2.3355000000000004E-2</v>
      </c>
      <c r="O90" s="13">
        <f>IF($A90="AEO",'Growth Rates'!N83,'Growth Rates'!N83*'Rescale to Fit GDP Proj'!$D$52)</f>
        <v>2.3355000000000004E-2</v>
      </c>
      <c r="P90" s="13">
        <f>IF($A90="AEO",'Growth Rates'!O83,'Growth Rates'!O83*'Rescale to Fit GDP Proj'!$D$52)</f>
        <v>2.3355000000000004E-2</v>
      </c>
      <c r="Q90" s="13">
        <f>IF($A90="AEO",'Growth Rates'!P83,'Growth Rates'!P83*'Rescale to Fit GDP Proj'!$D$52)</f>
        <v>2.3355000000000004E-2</v>
      </c>
      <c r="R90" s="13">
        <f>IF($A90="AEO",'Growth Rates'!Q83,'Growth Rates'!Q83*'Rescale to Fit GDP Proj'!$D$52)</f>
        <v>2.3355000000000004E-2</v>
      </c>
      <c r="S90" s="13">
        <f>IF($A90="AEO",'Growth Rates'!R83,'Growth Rates'!R83*'Rescale to Fit GDP Proj'!$D$52)</f>
        <v>2.3355000000000004E-2</v>
      </c>
      <c r="T90" s="13">
        <f>IF($A90="AEO",'Growth Rates'!S83,'Growth Rates'!S83*'Rescale to Fit GDP Proj'!$D$52)</f>
        <v>2.3355000000000004E-2</v>
      </c>
      <c r="U90" s="13">
        <f>IF($A90="AEO",'Growth Rates'!T83,'Growth Rates'!T83*'Rescale to Fit GDP Proj'!$D$52)</f>
        <v>2.3355000000000004E-2</v>
      </c>
      <c r="V90" s="13">
        <f>IF($A90="AEO",'Growth Rates'!U83,'Growth Rates'!U83*'Rescale to Fit GDP Proj'!$D$52)</f>
        <v>2.3355000000000004E-2</v>
      </c>
      <c r="W90" s="13">
        <f>IF($A90="AEO",'Growth Rates'!V83,'Growth Rates'!V83*'Rescale to Fit GDP Proj'!$D$52)</f>
        <v>2.3355000000000004E-2</v>
      </c>
      <c r="X90" s="13">
        <f>IF($A90="AEO",'Growth Rates'!W83,'Growth Rates'!W83*'Rescale to Fit GDP Proj'!$D$52)</f>
        <v>2.3355000000000004E-2</v>
      </c>
      <c r="Y90" s="13">
        <f>IF($A90="AEO",'Growth Rates'!X83,'Growth Rates'!X83*'Rescale to Fit GDP Proj'!$D$52)</f>
        <v>2.3355000000000004E-2</v>
      </c>
      <c r="Z90" s="13">
        <f>IF($A90="AEO",'Growth Rates'!Y83,'Growth Rates'!Y83*'Rescale to Fit GDP Proj'!$D$52)</f>
        <v>2.3355000000000004E-2</v>
      </c>
      <c r="AA90" s="13">
        <f>IF($A90="AEO",'Growth Rates'!Z83,'Growth Rates'!Z83*'Rescale to Fit GDP Proj'!$D$52)</f>
        <v>2.3355000000000004E-2</v>
      </c>
      <c r="AB90" s="13">
        <f>IF($A90="AEO",'Growth Rates'!AA83,'Growth Rates'!AA83*'Rescale to Fit GDP Proj'!$D$52)</f>
        <v>2.3355000000000004E-2</v>
      </c>
      <c r="AC90" s="13">
        <f>IF($A90="AEO",'Growth Rates'!AB83,'Growth Rates'!AB83*'Rescale to Fit GDP Proj'!$D$52)</f>
        <v>2.3355000000000004E-2</v>
      </c>
    </row>
    <row r="91" spans="1:29" x14ac:dyDescent="0.25">
      <c r="B91" s="1" t="s">
        <v>24</v>
      </c>
      <c r="C91" s="13">
        <f>IF($A91="AEO",'Growth Rates'!B84,'Growth Rates'!B84*'Rescale to Fit GDP Proj'!$D$52)</f>
        <v>0</v>
      </c>
      <c r="D91" s="13">
        <f>IF($A91="AEO",'Growth Rates'!C84,'Growth Rates'!C84*'Rescale to Fit GDP Proj'!$D$52)</f>
        <v>3.2869999999999996E-2</v>
      </c>
      <c r="E91" s="13">
        <f>IF($A91="AEO",'Growth Rates'!D84,'Growth Rates'!D84*'Rescale to Fit GDP Proj'!$D$52)</f>
        <v>3.2869999999999996E-2</v>
      </c>
      <c r="F91" s="13">
        <f>IF($A91="AEO",'Growth Rates'!E84,'Growth Rates'!E84*'Rescale to Fit GDP Proj'!$D$52)</f>
        <v>3.2869999999999996E-2</v>
      </c>
      <c r="G91" s="13">
        <f>IF($A91="AEO",'Growth Rates'!F84,'Growth Rates'!F84*'Rescale to Fit GDP Proj'!$D$52)</f>
        <v>3.2869999999999996E-2</v>
      </c>
      <c r="H91" s="13">
        <f>IF($A91="AEO",'Growth Rates'!G84,'Growth Rates'!G84*'Rescale to Fit GDP Proj'!$D$52)</f>
        <v>3.2869999999999996E-2</v>
      </c>
      <c r="I91" s="13">
        <f>IF($A91="AEO",'Growth Rates'!H84,'Growth Rates'!H84*'Rescale to Fit GDP Proj'!$D$52)</f>
        <v>3.2869999999999996E-2</v>
      </c>
      <c r="J91" s="13">
        <f>IF($A91="AEO",'Growth Rates'!I84,'Growth Rates'!I84*'Rescale to Fit GDP Proj'!$D$52)</f>
        <v>3.2869999999999996E-2</v>
      </c>
      <c r="K91" s="13">
        <f>IF($A91="AEO",'Growth Rates'!J84,'Growth Rates'!J84*'Rescale to Fit GDP Proj'!$D$52)</f>
        <v>3.2869999999999996E-2</v>
      </c>
      <c r="L91" s="13">
        <f>IF($A91="AEO",'Growth Rates'!K84,'Growth Rates'!K84*'Rescale to Fit GDP Proj'!$D$52)</f>
        <v>3.2869999999999996E-2</v>
      </c>
      <c r="M91" s="13">
        <f>IF($A91="AEO",'Growth Rates'!L84,'Growth Rates'!L84*'Rescale to Fit GDP Proj'!$D$52)</f>
        <v>3.2869999999999996E-2</v>
      </c>
      <c r="N91" s="13">
        <f>IF($A91="AEO",'Growth Rates'!M84,'Growth Rates'!M84*'Rescale to Fit GDP Proj'!$D$52)</f>
        <v>3.2869999999999996E-2</v>
      </c>
      <c r="O91" s="13">
        <f>IF($A91="AEO",'Growth Rates'!N84,'Growth Rates'!N84*'Rescale to Fit GDP Proj'!$D$52)</f>
        <v>3.2869999999999996E-2</v>
      </c>
      <c r="P91" s="13">
        <f>IF($A91="AEO",'Growth Rates'!O84,'Growth Rates'!O84*'Rescale to Fit GDP Proj'!$D$52)</f>
        <v>3.2869999999999996E-2</v>
      </c>
      <c r="Q91" s="13">
        <f>IF($A91="AEO",'Growth Rates'!P84,'Growth Rates'!P84*'Rescale to Fit GDP Proj'!$D$52)</f>
        <v>3.2869999999999996E-2</v>
      </c>
      <c r="R91" s="13">
        <f>IF($A91="AEO",'Growth Rates'!Q84,'Growth Rates'!Q84*'Rescale to Fit GDP Proj'!$D$52)</f>
        <v>3.2869999999999996E-2</v>
      </c>
      <c r="S91" s="13">
        <f>IF($A91="AEO",'Growth Rates'!R84,'Growth Rates'!R84*'Rescale to Fit GDP Proj'!$D$52)</f>
        <v>3.2869999999999996E-2</v>
      </c>
      <c r="T91" s="13">
        <f>IF($A91="AEO",'Growth Rates'!S84,'Growth Rates'!S84*'Rescale to Fit GDP Proj'!$D$52)</f>
        <v>3.2869999999999996E-2</v>
      </c>
      <c r="U91" s="13">
        <f>IF($A91="AEO",'Growth Rates'!T84,'Growth Rates'!T84*'Rescale to Fit GDP Proj'!$D$52)</f>
        <v>3.2869999999999996E-2</v>
      </c>
      <c r="V91" s="13">
        <f>IF($A91="AEO",'Growth Rates'!U84,'Growth Rates'!U84*'Rescale to Fit GDP Proj'!$D$52)</f>
        <v>3.2869999999999996E-2</v>
      </c>
      <c r="W91" s="13">
        <f>IF($A91="AEO",'Growth Rates'!V84,'Growth Rates'!V84*'Rescale to Fit GDP Proj'!$D$52)</f>
        <v>3.2869999999999996E-2</v>
      </c>
      <c r="X91" s="13">
        <f>IF($A91="AEO",'Growth Rates'!W84,'Growth Rates'!W84*'Rescale to Fit GDP Proj'!$D$52)</f>
        <v>3.2869999999999996E-2</v>
      </c>
      <c r="Y91" s="13">
        <f>IF($A91="AEO",'Growth Rates'!X84,'Growth Rates'!X84*'Rescale to Fit GDP Proj'!$D$52)</f>
        <v>3.2869999999999996E-2</v>
      </c>
      <c r="Z91" s="13">
        <f>IF($A91="AEO",'Growth Rates'!Y84,'Growth Rates'!Y84*'Rescale to Fit GDP Proj'!$D$52)</f>
        <v>3.2869999999999996E-2</v>
      </c>
      <c r="AA91" s="13">
        <f>IF($A91="AEO",'Growth Rates'!Z84,'Growth Rates'!Z84*'Rescale to Fit GDP Proj'!$D$52)</f>
        <v>3.2869999999999996E-2</v>
      </c>
      <c r="AB91" s="13">
        <f>IF($A91="AEO",'Growth Rates'!AA84,'Growth Rates'!AA84*'Rescale to Fit GDP Proj'!$D$52)</f>
        <v>3.2869999999999996E-2</v>
      </c>
      <c r="AC91" s="13">
        <f>IF($A91="AEO",'Growth Rates'!AB84,'Growth Rates'!AB84*'Rescale to Fit GDP Proj'!$D$52)</f>
        <v>3.2869999999999996E-2</v>
      </c>
    </row>
    <row r="92" spans="1:29" x14ac:dyDescent="0.25">
      <c r="B92" s="1" t="s">
        <v>25</v>
      </c>
      <c r="C92" s="13">
        <f>IF($A92="AEO",'Growth Rates'!B85,'Growth Rates'!B85*'Rescale to Fit GDP Proj'!$D$52)</f>
        <v>0</v>
      </c>
      <c r="D92" s="13">
        <f>IF($A92="AEO",'Growth Rates'!C85,'Growth Rates'!C85*'Rescale to Fit GDP Proj'!$D$52)</f>
        <v>1.7299999999999999E-2</v>
      </c>
      <c r="E92" s="13">
        <f>IF($A92="AEO",'Growth Rates'!D85,'Growth Rates'!D85*'Rescale to Fit GDP Proj'!$D$52)</f>
        <v>1.7299999999999999E-2</v>
      </c>
      <c r="F92" s="13">
        <f>IF($A92="AEO",'Growth Rates'!E85,'Growth Rates'!E85*'Rescale to Fit GDP Proj'!$D$52)</f>
        <v>1.7299999999999999E-2</v>
      </c>
      <c r="G92" s="13">
        <f>IF($A92="AEO",'Growth Rates'!F85,'Growth Rates'!F85*'Rescale to Fit GDP Proj'!$D$52)</f>
        <v>1.7299999999999999E-2</v>
      </c>
      <c r="H92" s="13">
        <f>IF($A92="AEO",'Growth Rates'!G85,'Growth Rates'!G85*'Rescale to Fit GDP Proj'!$D$52)</f>
        <v>1.7299999999999999E-2</v>
      </c>
      <c r="I92" s="13">
        <f>IF($A92="AEO",'Growth Rates'!H85,'Growth Rates'!H85*'Rescale to Fit GDP Proj'!$D$52)</f>
        <v>1.7299999999999999E-2</v>
      </c>
      <c r="J92" s="13">
        <f>IF($A92="AEO",'Growth Rates'!I85,'Growth Rates'!I85*'Rescale to Fit GDP Proj'!$D$52)</f>
        <v>1.7299999999999999E-2</v>
      </c>
      <c r="K92" s="13">
        <f>IF($A92="AEO",'Growth Rates'!J85,'Growth Rates'!J85*'Rescale to Fit GDP Proj'!$D$52)</f>
        <v>1.7299999999999999E-2</v>
      </c>
      <c r="L92" s="13">
        <f>IF($A92="AEO",'Growth Rates'!K85,'Growth Rates'!K85*'Rescale to Fit GDP Proj'!$D$52)</f>
        <v>1.7299999999999999E-2</v>
      </c>
      <c r="M92" s="13">
        <f>IF($A92="AEO",'Growth Rates'!L85,'Growth Rates'!L85*'Rescale to Fit GDP Proj'!$D$52)</f>
        <v>1.7299999999999999E-2</v>
      </c>
      <c r="N92" s="13">
        <f>IF($A92="AEO",'Growth Rates'!M85,'Growth Rates'!M85*'Rescale to Fit GDP Proj'!$D$52)</f>
        <v>1.7299999999999999E-2</v>
      </c>
      <c r="O92" s="13">
        <f>IF($A92="AEO",'Growth Rates'!N85,'Growth Rates'!N85*'Rescale to Fit GDP Proj'!$D$52)</f>
        <v>1.7299999999999999E-2</v>
      </c>
      <c r="P92" s="13">
        <f>IF($A92="AEO",'Growth Rates'!O85,'Growth Rates'!O85*'Rescale to Fit GDP Proj'!$D$52)</f>
        <v>1.7299999999999999E-2</v>
      </c>
      <c r="Q92" s="13">
        <f>IF($A92="AEO",'Growth Rates'!P85,'Growth Rates'!P85*'Rescale to Fit GDP Proj'!$D$52)</f>
        <v>1.7299999999999999E-2</v>
      </c>
      <c r="R92" s="13">
        <f>IF($A92="AEO",'Growth Rates'!Q85,'Growth Rates'!Q85*'Rescale to Fit GDP Proj'!$D$52)</f>
        <v>1.7299999999999999E-2</v>
      </c>
      <c r="S92" s="13">
        <f>IF($A92="AEO",'Growth Rates'!R85,'Growth Rates'!R85*'Rescale to Fit GDP Proj'!$D$52)</f>
        <v>1.7299999999999999E-2</v>
      </c>
      <c r="T92" s="13">
        <f>IF($A92="AEO",'Growth Rates'!S85,'Growth Rates'!S85*'Rescale to Fit GDP Proj'!$D$52)</f>
        <v>1.7299999999999999E-2</v>
      </c>
      <c r="U92" s="13">
        <f>IF($A92="AEO",'Growth Rates'!T85,'Growth Rates'!T85*'Rescale to Fit GDP Proj'!$D$52)</f>
        <v>1.7299999999999999E-2</v>
      </c>
      <c r="V92" s="13">
        <f>IF($A92="AEO",'Growth Rates'!U85,'Growth Rates'!U85*'Rescale to Fit GDP Proj'!$D$52)</f>
        <v>1.7299999999999999E-2</v>
      </c>
      <c r="W92" s="13">
        <f>IF($A92="AEO",'Growth Rates'!V85,'Growth Rates'!V85*'Rescale to Fit GDP Proj'!$D$52)</f>
        <v>1.7299999999999999E-2</v>
      </c>
      <c r="X92" s="13">
        <f>IF($A92="AEO",'Growth Rates'!W85,'Growth Rates'!W85*'Rescale to Fit GDP Proj'!$D$52)</f>
        <v>1.7299999999999999E-2</v>
      </c>
      <c r="Y92" s="13">
        <f>IF($A92="AEO",'Growth Rates'!X85,'Growth Rates'!X85*'Rescale to Fit GDP Proj'!$D$52)</f>
        <v>1.7299999999999999E-2</v>
      </c>
      <c r="Z92" s="13">
        <f>IF($A92="AEO",'Growth Rates'!Y85,'Growth Rates'!Y85*'Rescale to Fit GDP Proj'!$D$52)</f>
        <v>1.7299999999999999E-2</v>
      </c>
      <c r="AA92" s="13">
        <f>IF($A92="AEO",'Growth Rates'!Z85,'Growth Rates'!Z85*'Rescale to Fit GDP Proj'!$D$52)</f>
        <v>1.7299999999999999E-2</v>
      </c>
      <c r="AB92" s="13">
        <f>IF($A92="AEO",'Growth Rates'!AA85,'Growth Rates'!AA85*'Rescale to Fit GDP Proj'!$D$52)</f>
        <v>1.7299999999999999E-2</v>
      </c>
      <c r="AC92" s="13">
        <f>IF($A92="AEO",'Growth Rates'!AB85,'Growth Rates'!AB85*'Rescale to Fit GDP Proj'!$D$52)</f>
        <v>1.7299999999999999E-2</v>
      </c>
    </row>
    <row r="93" spans="1:29" x14ac:dyDescent="0.25">
      <c r="B93" s="1" t="s">
        <v>26</v>
      </c>
      <c r="C93" s="13">
        <f>IF($A93="AEO",'Growth Rates'!B86,'Growth Rates'!B86*'Rescale to Fit GDP Proj'!$D$52)</f>
        <v>0</v>
      </c>
      <c r="D93" s="13">
        <f>IF($A93="AEO",'Growth Rates'!C86,'Growth Rates'!C86*'Rescale to Fit GDP Proj'!$D$52)</f>
        <v>1.6434999999999998E-2</v>
      </c>
      <c r="E93" s="13">
        <f>IF($A93="AEO",'Growth Rates'!D86,'Growth Rates'!D86*'Rescale to Fit GDP Proj'!$D$52)</f>
        <v>1.6434999999999998E-2</v>
      </c>
      <c r="F93" s="13">
        <f>IF($A93="AEO",'Growth Rates'!E86,'Growth Rates'!E86*'Rescale to Fit GDP Proj'!$D$52)</f>
        <v>1.6434999999999998E-2</v>
      </c>
      <c r="G93" s="13">
        <f>IF($A93="AEO",'Growth Rates'!F86,'Growth Rates'!F86*'Rescale to Fit GDP Proj'!$D$52)</f>
        <v>1.6434999999999998E-2</v>
      </c>
      <c r="H93" s="13">
        <f>IF($A93="AEO",'Growth Rates'!G86,'Growth Rates'!G86*'Rescale to Fit GDP Proj'!$D$52)</f>
        <v>1.6434999999999998E-2</v>
      </c>
      <c r="I93" s="13">
        <f>IF($A93="AEO",'Growth Rates'!H86,'Growth Rates'!H86*'Rescale to Fit GDP Proj'!$D$52)</f>
        <v>1.6434999999999998E-2</v>
      </c>
      <c r="J93" s="13">
        <f>IF($A93="AEO",'Growth Rates'!I86,'Growth Rates'!I86*'Rescale to Fit GDP Proj'!$D$52)</f>
        <v>1.6434999999999998E-2</v>
      </c>
      <c r="K93" s="13">
        <f>IF($A93="AEO",'Growth Rates'!J86,'Growth Rates'!J86*'Rescale to Fit GDP Proj'!$D$52)</f>
        <v>1.6434999999999998E-2</v>
      </c>
      <c r="L93" s="13">
        <f>IF($A93="AEO",'Growth Rates'!K86,'Growth Rates'!K86*'Rescale to Fit GDP Proj'!$D$52)</f>
        <v>1.6434999999999998E-2</v>
      </c>
      <c r="M93" s="13">
        <f>IF($A93="AEO",'Growth Rates'!L86,'Growth Rates'!L86*'Rescale to Fit GDP Proj'!$D$52)</f>
        <v>1.6434999999999998E-2</v>
      </c>
      <c r="N93" s="13">
        <f>IF($A93="AEO",'Growth Rates'!M86,'Growth Rates'!M86*'Rescale to Fit GDP Proj'!$D$52)</f>
        <v>1.6434999999999998E-2</v>
      </c>
      <c r="O93" s="13">
        <f>IF($A93="AEO",'Growth Rates'!N86,'Growth Rates'!N86*'Rescale to Fit GDP Proj'!$D$52)</f>
        <v>1.6434999999999998E-2</v>
      </c>
      <c r="P93" s="13">
        <f>IF($A93="AEO",'Growth Rates'!O86,'Growth Rates'!O86*'Rescale to Fit GDP Proj'!$D$52)</f>
        <v>1.6434999999999998E-2</v>
      </c>
      <c r="Q93" s="13">
        <f>IF($A93="AEO",'Growth Rates'!P86,'Growth Rates'!P86*'Rescale to Fit GDP Proj'!$D$52)</f>
        <v>1.6434999999999998E-2</v>
      </c>
      <c r="R93" s="13">
        <f>IF($A93="AEO",'Growth Rates'!Q86,'Growth Rates'!Q86*'Rescale to Fit GDP Proj'!$D$52)</f>
        <v>1.6434999999999998E-2</v>
      </c>
      <c r="S93" s="13">
        <f>IF($A93="AEO",'Growth Rates'!R86,'Growth Rates'!R86*'Rescale to Fit GDP Proj'!$D$52)</f>
        <v>1.6434999999999998E-2</v>
      </c>
      <c r="T93" s="13">
        <f>IF($A93="AEO",'Growth Rates'!S86,'Growth Rates'!S86*'Rescale to Fit GDP Proj'!$D$52)</f>
        <v>1.6434999999999998E-2</v>
      </c>
      <c r="U93" s="13">
        <f>IF($A93="AEO",'Growth Rates'!T86,'Growth Rates'!T86*'Rescale to Fit GDP Proj'!$D$52)</f>
        <v>1.6434999999999998E-2</v>
      </c>
      <c r="V93" s="13">
        <f>IF($A93="AEO",'Growth Rates'!U86,'Growth Rates'!U86*'Rescale to Fit GDP Proj'!$D$52)</f>
        <v>1.6434999999999998E-2</v>
      </c>
      <c r="W93" s="13">
        <f>IF($A93="AEO",'Growth Rates'!V86,'Growth Rates'!V86*'Rescale to Fit GDP Proj'!$D$52)</f>
        <v>1.6434999999999998E-2</v>
      </c>
      <c r="X93" s="13">
        <f>IF($A93="AEO",'Growth Rates'!W86,'Growth Rates'!W86*'Rescale to Fit GDP Proj'!$D$52)</f>
        <v>1.6434999999999998E-2</v>
      </c>
      <c r="Y93" s="13">
        <f>IF($A93="AEO",'Growth Rates'!X86,'Growth Rates'!X86*'Rescale to Fit GDP Proj'!$D$52)</f>
        <v>1.6434999999999998E-2</v>
      </c>
      <c r="Z93" s="13">
        <f>IF($A93="AEO",'Growth Rates'!Y86,'Growth Rates'!Y86*'Rescale to Fit GDP Proj'!$D$52)</f>
        <v>1.6434999999999998E-2</v>
      </c>
      <c r="AA93" s="13">
        <f>IF($A93="AEO",'Growth Rates'!Z86,'Growth Rates'!Z86*'Rescale to Fit GDP Proj'!$D$52)</f>
        <v>1.6434999999999998E-2</v>
      </c>
      <c r="AB93" s="13">
        <f>IF($A93="AEO",'Growth Rates'!AA86,'Growth Rates'!AA86*'Rescale to Fit GDP Proj'!$D$52)</f>
        <v>1.6434999999999998E-2</v>
      </c>
      <c r="AC93" s="13">
        <f>IF($A93="AEO",'Growth Rates'!AB86,'Growth Rates'!AB86*'Rescale to Fit GDP Proj'!$D$52)</f>
        <v>1.6434999999999998E-2</v>
      </c>
    </row>
    <row r="94" spans="1:29" x14ac:dyDescent="0.25">
      <c r="B94" s="1" t="s">
        <v>27</v>
      </c>
      <c r="C94" s="13">
        <f>IF($A94="AEO",'Growth Rates'!B87,'Growth Rates'!B87*'Rescale to Fit GDP Proj'!$D$52)</f>
        <v>0</v>
      </c>
      <c r="D94" s="13">
        <f>IF($A94="AEO",'Growth Rates'!C87,'Growth Rates'!C87*'Rescale to Fit GDP Proj'!$D$52)</f>
        <v>2.0154766927778765E-2</v>
      </c>
      <c r="E94" s="13">
        <f>IF($A94="AEO",'Growth Rates'!D87,'Growth Rates'!D87*'Rescale to Fit GDP Proj'!$D$52)</f>
        <v>2.0154766927778765E-2</v>
      </c>
      <c r="F94" s="13">
        <f>IF($A94="AEO",'Growth Rates'!E87,'Growth Rates'!E87*'Rescale to Fit GDP Proj'!$D$52)</f>
        <v>2.0154766927778765E-2</v>
      </c>
      <c r="G94" s="13">
        <f>IF($A94="AEO",'Growth Rates'!F87,'Growth Rates'!F87*'Rescale to Fit GDP Proj'!$D$52)</f>
        <v>2.0154766927778765E-2</v>
      </c>
      <c r="H94" s="13">
        <f>IF($A94="AEO",'Growth Rates'!G87,'Growth Rates'!G87*'Rescale to Fit GDP Proj'!$D$52)</f>
        <v>2.0154766927778765E-2</v>
      </c>
      <c r="I94" s="13">
        <f>IF($A94="AEO",'Growth Rates'!H87,'Growth Rates'!H87*'Rescale to Fit GDP Proj'!$D$52)</f>
        <v>2.0154766927778765E-2</v>
      </c>
      <c r="J94" s="13">
        <f>IF($A94="AEO",'Growth Rates'!I87,'Growth Rates'!I87*'Rescale to Fit GDP Proj'!$D$52)</f>
        <v>2.0154766927778765E-2</v>
      </c>
      <c r="K94" s="13">
        <f>IF($A94="AEO",'Growth Rates'!J87,'Growth Rates'!J87*'Rescale to Fit GDP Proj'!$D$52)</f>
        <v>2.0154766927778765E-2</v>
      </c>
      <c r="L94" s="13">
        <f>IF($A94="AEO",'Growth Rates'!K87,'Growth Rates'!K87*'Rescale to Fit GDP Proj'!$D$52)</f>
        <v>2.0154766927778765E-2</v>
      </c>
      <c r="M94" s="13">
        <f>IF($A94="AEO",'Growth Rates'!L87,'Growth Rates'!L87*'Rescale to Fit GDP Proj'!$D$52)</f>
        <v>2.0154766927778765E-2</v>
      </c>
      <c r="N94" s="13">
        <f>IF($A94="AEO",'Growth Rates'!M87,'Growth Rates'!M87*'Rescale to Fit GDP Proj'!$D$52)</f>
        <v>2.0154766927778765E-2</v>
      </c>
      <c r="O94" s="13">
        <f>IF($A94="AEO",'Growth Rates'!N87,'Growth Rates'!N87*'Rescale to Fit GDP Proj'!$D$52)</f>
        <v>2.0154766927778765E-2</v>
      </c>
      <c r="P94" s="13">
        <f>IF($A94="AEO",'Growth Rates'!O87,'Growth Rates'!O87*'Rescale to Fit GDP Proj'!$D$52)</f>
        <v>2.0154766927778765E-2</v>
      </c>
      <c r="Q94" s="13">
        <f>IF($A94="AEO",'Growth Rates'!P87,'Growth Rates'!P87*'Rescale to Fit GDP Proj'!$D$52)</f>
        <v>2.0154766927778765E-2</v>
      </c>
      <c r="R94" s="13">
        <f>IF($A94="AEO",'Growth Rates'!Q87,'Growth Rates'!Q87*'Rescale to Fit GDP Proj'!$D$52)</f>
        <v>2.0154766927778765E-2</v>
      </c>
      <c r="S94" s="13">
        <f>IF($A94="AEO",'Growth Rates'!R87,'Growth Rates'!R87*'Rescale to Fit GDP Proj'!$D$52)</f>
        <v>2.0154766927778765E-2</v>
      </c>
      <c r="T94" s="13">
        <f>IF($A94="AEO",'Growth Rates'!S87,'Growth Rates'!S87*'Rescale to Fit GDP Proj'!$D$52)</f>
        <v>2.0154766927778765E-2</v>
      </c>
      <c r="U94" s="13">
        <f>IF($A94="AEO",'Growth Rates'!T87,'Growth Rates'!T87*'Rescale to Fit GDP Proj'!$D$52)</f>
        <v>2.0154766927778765E-2</v>
      </c>
      <c r="V94" s="13">
        <f>IF($A94="AEO",'Growth Rates'!U87,'Growth Rates'!U87*'Rescale to Fit GDP Proj'!$D$52)</f>
        <v>2.0154766927778765E-2</v>
      </c>
      <c r="W94" s="13">
        <f>IF($A94="AEO",'Growth Rates'!V87,'Growth Rates'!V87*'Rescale to Fit GDP Proj'!$D$52)</f>
        <v>2.0154766927778765E-2</v>
      </c>
      <c r="X94" s="13">
        <f>IF($A94="AEO",'Growth Rates'!W87,'Growth Rates'!W87*'Rescale to Fit GDP Proj'!$D$52)</f>
        <v>2.0154766927778765E-2</v>
      </c>
      <c r="Y94" s="13">
        <f>IF($A94="AEO",'Growth Rates'!X87,'Growth Rates'!X87*'Rescale to Fit GDP Proj'!$D$52)</f>
        <v>2.0154766927778765E-2</v>
      </c>
      <c r="Z94" s="13">
        <f>IF($A94="AEO",'Growth Rates'!Y87,'Growth Rates'!Y87*'Rescale to Fit GDP Proj'!$D$52)</f>
        <v>2.0154766927778765E-2</v>
      </c>
      <c r="AA94" s="13">
        <f>IF($A94="AEO",'Growth Rates'!Z87,'Growth Rates'!Z87*'Rescale to Fit GDP Proj'!$D$52)</f>
        <v>2.0154766927778765E-2</v>
      </c>
      <c r="AB94" s="13">
        <f>IF($A94="AEO",'Growth Rates'!AA87,'Growth Rates'!AA87*'Rescale to Fit GDP Proj'!$D$52)</f>
        <v>2.0154766927778765E-2</v>
      </c>
      <c r="AC94" s="13">
        <f>IF($A94="AEO",'Growth Rates'!AB87,'Growth Rates'!AB87*'Rescale to Fit GDP Proj'!$D$52)</f>
        <v>2.0154766927778765E-2</v>
      </c>
    </row>
    <row r="95" spans="1:29" x14ac:dyDescent="0.25">
      <c r="B95" s="1" t="s">
        <v>28</v>
      </c>
      <c r="C95" s="13">
        <f>IF($A95="AEO",'Growth Rates'!B88,'Growth Rates'!B88*'Rescale to Fit GDP Proj'!$D$52)</f>
        <v>0</v>
      </c>
      <c r="D95" s="13">
        <f>IF($A95="AEO",'Growth Rates'!C88,'Growth Rates'!C88*'Rescale to Fit GDP Proj'!$D$52)</f>
        <v>4.3814097273657095E-3</v>
      </c>
      <c r="E95" s="13">
        <f>IF($A95="AEO",'Growth Rates'!D88,'Growth Rates'!D88*'Rescale to Fit GDP Proj'!$D$52)</f>
        <v>4.3814097273657095E-3</v>
      </c>
      <c r="F95" s="13">
        <f>IF($A95="AEO",'Growth Rates'!E88,'Growth Rates'!E88*'Rescale to Fit GDP Proj'!$D$52)</f>
        <v>4.3814097273657095E-3</v>
      </c>
      <c r="G95" s="13">
        <f>IF($A95="AEO",'Growth Rates'!F88,'Growth Rates'!F88*'Rescale to Fit GDP Proj'!$D$52)</f>
        <v>4.3814097273657095E-3</v>
      </c>
      <c r="H95" s="13">
        <f>IF($A95="AEO",'Growth Rates'!G88,'Growth Rates'!G88*'Rescale to Fit GDP Proj'!$D$52)</f>
        <v>4.3814097273657095E-3</v>
      </c>
      <c r="I95" s="13">
        <f>IF($A95="AEO",'Growth Rates'!H88,'Growth Rates'!H88*'Rescale to Fit GDP Proj'!$D$52)</f>
        <v>4.3814097273657095E-3</v>
      </c>
      <c r="J95" s="13">
        <f>IF($A95="AEO",'Growth Rates'!I88,'Growth Rates'!I88*'Rescale to Fit GDP Proj'!$D$52)</f>
        <v>4.3814097273657095E-3</v>
      </c>
      <c r="K95" s="13">
        <f>IF($A95="AEO",'Growth Rates'!J88,'Growth Rates'!J88*'Rescale to Fit GDP Proj'!$D$52)</f>
        <v>4.3814097273657095E-3</v>
      </c>
      <c r="L95" s="13">
        <f>IF($A95="AEO",'Growth Rates'!K88,'Growth Rates'!K88*'Rescale to Fit GDP Proj'!$D$52)</f>
        <v>4.3814097273657095E-3</v>
      </c>
      <c r="M95" s="13">
        <f>IF($A95="AEO",'Growth Rates'!L88,'Growth Rates'!L88*'Rescale to Fit GDP Proj'!$D$52)</f>
        <v>4.3814097273657095E-3</v>
      </c>
      <c r="N95" s="13">
        <f>IF($A95="AEO",'Growth Rates'!M88,'Growth Rates'!M88*'Rescale to Fit GDP Proj'!$D$52)</f>
        <v>4.3814097273657095E-3</v>
      </c>
      <c r="O95" s="13">
        <f>IF($A95="AEO",'Growth Rates'!N88,'Growth Rates'!N88*'Rescale to Fit GDP Proj'!$D$52)</f>
        <v>4.3814097273657095E-3</v>
      </c>
      <c r="P95" s="13">
        <f>IF($A95="AEO",'Growth Rates'!O88,'Growth Rates'!O88*'Rescale to Fit GDP Proj'!$D$52)</f>
        <v>4.3814097273657095E-3</v>
      </c>
      <c r="Q95" s="13">
        <f>IF($A95="AEO",'Growth Rates'!P88,'Growth Rates'!P88*'Rescale to Fit GDP Proj'!$D$52)</f>
        <v>4.3814097273657095E-3</v>
      </c>
      <c r="R95" s="13">
        <f>IF($A95="AEO",'Growth Rates'!Q88,'Growth Rates'!Q88*'Rescale to Fit GDP Proj'!$D$52)</f>
        <v>4.3814097273657095E-3</v>
      </c>
      <c r="S95" s="13">
        <f>IF($A95="AEO",'Growth Rates'!R88,'Growth Rates'!R88*'Rescale to Fit GDP Proj'!$D$52)</f>
        <v>4.3814097273657095E-3</v>
      </c>
      <c r="T95" s="13">
        <f>IF($A95="AEO",'Growth Rates'!S88,'Growth Rates'!S88*'Rescale to Fit GDP Proj'!$D$52)</f>
        <v>4.3814097273657095E-3</v>
      </c>
      <c r="U95" s="13">
        <f>IF($A95="AEO",'Growth Rates'!T88,'Growth Rates'!T88*'Rescale to Fit GDP Proj'!$D$52)</f>
        <v>4.3814097273657095E-3</v>
      </c>
      <c r="V95" s="13">
        <f>IF($A95="AEO",'Growth Rates'!U88,'Growth Rates'!U88*'Rescale to Fit GDP Proj'!$D$52)</f>
        <v>4.3814097273657095E-3</v>
      </c>
      <c r="W95" s="13">
        <f>IF($A95="AEO",'Growth Rates'!V88,'Growth Rates'!V88*'Rescale to Fit GDP Proj'!$D$52)</f>
        <v>4.3814097273657095E-3</v>
      </c>
      <c r="X95" s="13">
        <f>IF($A95="AEO",'Growth Rates'!W88,'Growth Rates'!W88*'Rescale to Fit GDP Proj'!$D$52)</f>
        <v>4.3814097273657095E-3</v>
      </c>
      <c r="Y95" s="13">
        <f>IF($A95="AEO",'Growth Rates'!X88,'Growth Rates'!X88*'Rescale to Fit GDP Proj'!$D$52)</f>
        <v>4.3814097273657095E-3</v>
      </c>
      <c r="Z95" s="13">
        <f>IF($A95="AEO",'Growth Rates'!Y88,'Growth Rates'!Y88*'Rescale to Fit GDP Proj'!$D$52)</f>
        <v>4.3814097273657095E-3</v>
      </c>
      <c r="AA95" s="13">
        <f>IF($A95="AEO",'Growth Rates'!Z88,'Growth Rates'!Z88*'Rescale to Fit GDP Proj'!$D$52)</f>
        <v>4.3814097273657095E-3</v>
      </c>
      <c r="AB95" s="13">
        <f>IF($A95="AEO",'Growth Rates'!AA88,'Growth Rates'!AA88*'Rescale to Fit GDP Proj'!$D$52)</f>
        <v>4.3814097273657095E-3</v>
      </c>
      <c r="AC95" s="13">
        <f>IF($A95="AEO",'Growth Rates'!AB88,'Growth Rates'!AB88*'Rescale to Fit GDP Proj'!$D$52)</f>
        <v>4.3814097273657095E-3</v>
      </c>
    </row>
    <row r="96" spans="1:29" x14ac:dyDescent="0.25">
      <c r="B96" s="1" t="s">
        <v>29</v>
      </c>
      <c r="C96" s="13">
        <f>IF($A96="AEO",'Growth Rates'!B89,'Growth Rates'!B89*'Rescale to Fit GDP Proj'!$D$52)</f>
        <v>0</v>
      </c>
      <c r="D96" s="13">
        <f>IF($A96="AEO",'Growth Rates'!C89,'Growth Rates'!C89*'Rescale to Fit GDP Proj'!$D$52)</f>
        <v>4.0878301488758957E-3</v>
      </c>
      <c r="E96" s="13">
        <f>IF($A96="AEO",'Growth Rates'!D89,'Growth Rates'!D89*'Rescale to Fit GDP Proj'!$D$52)</f>
        <v>4.0878301488758957E-3</v>
      </c>
      <c r="F96" s="13">
        <f>IF($A96="AEO",'Growth Rates'!E89,'Growth Rates'!E89*'Rescale to Fit GDP Proj'!$D$52)</f>
        <v>4.0878301488758957E-3</v>
      </c>
      <c r="G96" s="13">
        <f>IF($A96="AEO",'Growth Rates'!F89,'Growth Rates'!F89*'Rescale to Fit GDP Proj'!$D$52)</f>
        <v>4.0878301488758957E-3</v>
      </c>
      <c r="H96" s="13">
        <f>IF($A96="AEO",'Growth Rates'!G89,'Growth Rates'!G89*'Rescale to Fit GDP Proj'!$D$52)</f>
        <v>4.0878301488758957E-3</v>
      </c>
      <c r="I96" s="13">
        <f>IF($A96="AEO",'Growth Rates'!H89,'Growth Rates'!H89*'Rescale to Fit GDP Proj'!$D$52)</f>
        <v>4.0878301488758957E-3</v>
      </c>
      <c r="J96" s="13">
        <f>IF($A96="AEO",'Growth Rates'!I89,'Growth Rates'!I89*'Rescale to Fit GDP Proj'!$D$52)</f>
        <v>4.0878301488758957E-3</v>
      </c>
      <c r="K96" s="13">
        <f>IF($A96="AEO",'Growth Rates'!J89,'Growth Rates'!J89*'Rescale to Fit GDP Proj'!$D$52)</f>
        <v>4.0878301488758957E-3</v>
      </c>
      <c r="L96" s="13">
        <f>IF($A96="AEO",'Growth Rates'!K89,'Growth Rates'!K89*'Rescale to Fit GDP Proj'!$D$52)</f>
        <v>4.0878301488758957E-3</v>
      </c>
      <c r="M96" s="13">
        <f>IF($A96="AEO",'Growth Rates'!L89,'Growth Rates'!L89*'Rescale to Fit GDP Proj'!$D$52)</f>
        <v>4.0878301488758957E-3</v>
      </c>
      <c r="N96" s="13">
        <f>IF($A96="AEO",'Growth Rates'!M89,'Growth Rates'!M89*'Rescale to Fit GDP Proj'!$D$52)</f>
        <v>4.0878301488758957E-3</v>
      </c>
      <c r="O96" s="13">
        <f>IF($A96="AEO",'Growth Rates'!N89,'Growth Rates'!N89*'Rescale to Fit GDP Proj'!$D$52)</f>
        <v>4.0878301488758957E-3</v>
      </c>
      <c r="P96" s="13">
        <f>IF($A96="AEO",'Growth Rates'!O89,'Growth Rates'!O89*'Rescale to Fit GDP Proj'!$D$52)</f>
        <v>4.0878301488758957E-3</v>
      </c>
      <c r="Q96" s="13">
        <f>IF($A96="AEO",'Growth Rates'!P89,'Growth Rates'!P89*'Rescale to Fit GDP Proj'!$D$52)</f>
        <v>4.0878301488758957E-3</v>
      </c>
      <c r="R96" s="13">
        <f>IF($A96="AEO",'Growth Rates'!Q89,'Growth Rates'!Q89*'Rescale to Fit GDP Proj'!$D$52)</f>
        <v>4.0878301488758957E-3</v>
      </c>
      <c r="S96" s="13">
        <f>IF($A96="AEO",'Growth Rates'!R89,'Growth Rates'!R89*'Rescale to Fit GDP Proj'!$D$52)</f>
        <v>4.0878301488758957E-3</v>
      </c>
      <c r="T96" s="13">
        <f>IF($A96="AEO",'Growth Rates'!S89,'Growth Rates'!S89*'Rescale to Fit GDP Proj'!$D$52)</f>
        <v>4.0878301488758957E-3</v>
      </c>
      <c r="U96" s="13">
        <f>IF($A96="AEO",'Growth Rates'!T89,'Growth Rates'!T89*'Rescale to Fit GDP Proj'!$D$52)</f>
        <v>4.0878301488758957E-3</v>
      </c>
      <c r="V96" s="13">
        <f>IF($A96="AEO",'Growth Rates'!U89,'Growth Rates'!U89*'Rescale to Fit GDP Proj'!$D$52)</f>
        <v>4.0878301488758957E-3</v>
      </c>
      <c r="W96" s="13">
        <f>IF($A96="AEO",'Growth Rates'!V89,'Growth Rates'!V89*'Rescale to Fit GDP Proj'!$D$52)</f>
        <v>4.0878301488758957E-3</v>
      </c>
      <c r="X96" s="13">
        <f>IF($A96="AEO",'Growth Rates'!W89,'Growth Rates'!W89*'Rescale to Fit GDP Proj'!$D$52)</f>
        <v>4.0878301488758957E-3</v>
      </c>
      <c r="Y96" s="13">
        <f>IF($A96="AEO",'Growth Rates'!X89,'Growth Rates'!X89*'Rescale to Fit GDP Proj'!$D$52)</f>
        <v>4.0878301488758957E-3</v>
      </c>
      <c r="Z96" s="13">
        <f>IF($A96="AEO",'Growth Rates'!Y89,'Growth Rates'!Y89*'Rescale to Fit GDP Proj'!$D$52)</f>
        <v>4.0878301488758957E-3</v>
      </c>
      <c r="AA96" s="13">
        <f>IF($A96="AEO",'Growth Rates'!Z89,'Growth Rates'!Z89*'Rescale to Fit GDP Proj'!$D$52)</f>
        <v>4.0878301488758957E-3</v>
      </c>
      <c r="AB96" s="13">
        <f>IF($A96="AEO",'Growth Rates'!AA89,'Growth Rates'!AA89*'Rescale to Fit GDP Proj'!$D$52)</f>
        <v>4.0878301488758957E-3</v>
      </c>
      <c r="AC96" s="13">
        <f>IF($A96="AEO",'Growth Rates'!AB89,'Growth Rates'!AB89*'Rescale to Fit GDP Proj'!$D$52)</f>
        <v>4.0878301488758957E-3</v>
      </c>
    </row>
    <row r="97" spans="1:29" x14ac:dyDescent="0.25">
      <c r="B97" s="1" t="s">
        <v>30</v>
      </c>
      <c r="C97" s="13">
        <f>IF($A97="AEO",'Growth Rates'!B90,'Growth Rates'!B90*'Rescale to Fit GDP Proj'!$D$52)</f>
        <v>0</v>
      </c>
      <c r="D97" s="13">
        <f>IF($A97="AEO",'Growth Rates'!C90,'Growth Rates'!C90*'Rescale to Fit GDP Proj'!$D$52)</f>
        <v>2.396341820496499E-2</v>
      </c>
      <c r="E97" s="13">
        <f>IF($A97="AEO",'Growth Rates'!D90,'Growth Rates'!D90*'Rescale to Fit GDP Proj'!$D$52)</f>
        <v>2.396341820496499E-2</v>
      </c>
      <c r="F97" s="13">
        <f>IF($A97="AEO",'Growth Rates'!E90,'Growth Rates'!E90*'Rescale to Fit GDP Proj'!$D$52)</f>
        <v>2.396341820496499E-2</v>
      </c>
      <c r="G97" s="13">
        <f>IF($A97="AEO",'Growth Rates'!F90,'Growth Rates'!F90*'Rescale to Fit GDP Proj'!$D$52)</f>
        <v>2.396341820496499E-2</v>
      </c>
      <c r="H97" s="13">
        <f>IF($A97="AEO",'Growth Rates'!G90,'Growth Rates'!G90*'Rescale to Fit GDP Proj'!$D$52)</f>
        <v>2.396341820496499E-2</v>
      </c>
      <c r="I97" s="13">
        <f>IF($A97="AEO",'Growth Rates'!H90,'Growth Rates'!H90*'Rescale to Fit GDP Proj'!$D$52)</f>
        <v>2.396341820496499E-2</v>
      </c>
      <c r="J97" s="13">
        <f>IF($A97="AEO",'Growth Rates'!I90,'Growth Rates'!I90*'Rescale to Fit GDP Proj'!$D$52)</f>
        <v>2.396341820496499E-2</v>
      </c>
      <c r="K97" s="13">
        <f>IF($A97="AEO",'Growth Rates'!J90,'Growth Rates'!J90*'Rescale to Fit GDP Proj'!$D$52)</f>
        <v>2.396341820496499E-2</v>
      </c>
      <c r="L97" s="13">
        <f>IF($A97="AEO",'Growth Rates'!K90,'Growth Rates'!K90*'Rescale to Fit GDP Proj'!$D$52)</f>
        <v>2.396341820496499E-2</v>
      </c>
      <c r="M97" s="13">
        <f>IF($A97="AEO",'Growth Rates'!L90,'Growth Rates'!L90*'Rescale to Fit GDP Proj'!$D$52)</f>
        <v>2.396341820496499E-2</v>
      </c>
      <c r="N97" s="13">
        <f>IF($A97="AEO",'Growth Rates'!M90,'Growth Rates'!M90*'Rescale to Fit GDP Proj'!$D$52)</f>
        <v>2.396341820496499E-2</v>
      </c>
      <c r="O97" s="13">
        <f>IF($A97="AEO",'Growth Rates'!N90,'Growth Rates'!N90*'Rescale to Fit GDP Proj'!$D$52)</f>
        <v>2.396341820496499E-2</v>
      </c>
      <c r="P97" s="13">
        <f>IF($A97="AEO",'Growth Rates'!O90,'Growth Rates'!O90*'Rescale to Fit GDP Proj'!$D$52)</f>
        <v>2.396341820496499E-2</v>
      </c>
      <c r="Q97" s="13">
        <f>IF($A97="AEO",'Growth Rates'!P90,'Growth Rates'!P90*'Rescale to Fit GDP Proj'!$D$52)</f>
        <v>2.396341820496499E-2</v>
      </c>
      <c r="R97" s="13">
        <f>IF($A97="AEO",'Growth Rates'!Q90,'Growth Rates'!Q90*'Rescale to Fit GDP Proj'!$D$52)</f>
        <v>2.396341820496499E-2</v>
      </c>
      <c r="S97" s="13">
        <f>IF($A97="AEO",'Growth Rates'!R90,'Growth Rates'!R90*'Rescale to Fit GDP Proj'!$D$52)</f>
        <v>2.396341820496499E-2</v>
      </c>
      <c r="T97" s="13">
        <f>IF($A97="AEO",'Growth Rates'!S90,'Growth Rates'!S90*'Rescale to Fit GDP Proj'!$D$52)</f>
        <v>2.396341820496499E-2</v>
      </c>
      <c r="U97" s="13">
        <f>IF($A97="AEO",'Growth Rates'!T90,'Growth Rates'!T90*'Rescale to Fit GDP Proj'!$D$52)</f>
        <v>2.396341820496499E-2</v>
      </c>
      <c r="V97" s="13">
        <f>IF($A97="AEO",'Growth Rates'!U90,'Growth Rates'!U90*'Rescale to Fit GDP Proj'!$D$52)</f>
        <v>2.396341820496499E-2</v>
      </c>
      <c r="W97" s="13">
        <f>IF($A97="AEO",'Growth Rates'!V90,'Growth Rates'!V90*'Rescale to Fit GDP Proj'!$D$52)</f>
        <v>2.396341820496499E-2</v>
      </c>
      <c r="X97" s="13">
        <f>IF($A97="AEO",'Growth Rates'!W90,'Growth Rates'!W90*'Rescale to Fit GDP Proj'!$D$52)</f>
        <v>2.396341820496499E-2</v>
      </c>
      <c r="Y97" s="13">
        <f>IF($A97="AEO",'Growth Rates'!X90,'Growth Rates'!X90*'Rescale to Fit GDP Proj'!$D$52)</f>
        <v>2.396341820496499E-2</v>
      </c>
      <c r="Z97" s="13">
        <f>IF($A97="AEO",'Growth Rates'!Y90,'Growth Rates'!Y90*'Rescale to Fit GDP Proj'!$D$52)</f>
        <v>2.396341820496499E-2</v>
      </c>
      <c r="AA97" s="13">
        <f>IF($A97="AEO",'Growth Rates'!Z90,'Growth Rates'!Z90*'Rescale to Fit GDP Proj'!$D$52)</f>
        <v>2.396341820496499E-2</v>
      </c>
      <c r="AB97" s="13">
        <f>IF($A97="AEO",'Growth Rates'!AA90,'Growth Rates'!AA90*'Rescale to Fit GDP Proj'!$D$52)</f>
        <v>2.396341820496499E-2</v>
      </c>
      <c r="AC97" s="13">
        <f>IF($A97="AEO",'Growth Rates'!AB90,'Growth Rates'!AB90*'Rescale to Fit GDP Proj'!$D$52)</f>
        <v>2.396341820496499E-2</v>
      </c>
    </row>
    <row r="98" spans="1:29" x14ac:dyDescent="0.25">
      <c r="B98" s="1" t="s">
        <v>31</v>
      </c>
      <c r="C98" s="13">
        <f>IF($A98="AEO",'Growth Rates'!B91,'Growth Rates'!B91*'Rescale to Fit GDP Proj'!$D$52)</f>
        <v>0</v>
      </c>
      <c r="D98" s="13">
        <f>IF($A98="AEO",'Growth Rates'!C91,'Growth Rates'!C91*'Rescale to Fit GDP Proj'!$D$52)</f>
        <v>1.8576044026160473E-2</v>
      </c>
      <c r="E98" s="13">
        <f>IF($A98="AEO",'Growth Rates'!D91,'Growth Rates'!D91*'Rescale to Fit GDP Proj'!$D$52)</f>
        <v>1.8576044026160473E-2</v>
      </c>
      <c r="F98" s="13">
        <f>IF($A98="AEO",'Growth Rates'!E91,'Growth Rates'!E91*'Rescale to Fit GDP Proj'!$D$52)</f>
        <v>1.8576044026160473E-2</v>
      </c>
      <c r="G98" s="13">
        <f>IF($A98="AEO",'Growth Rates'!F91,'Growth Rates'!F91*'Rescale to Fit GDP Proj'!$D$52)</f>
        <v>1.8576044026160473E-2</v>
      </c>
      <c r="H98" s="13">
        <f>IF($A98="AEO",'Growth Rates'!G91,'Growth Rates'!G91*'Rescale to Fit GDP Proj'!$D$52)</f>
        <v>1.8576044026160473E-2</v>
      </c>
      <c r="I98" s="13">
        <f>IF($A98="AEO",'Growth Rates'!H91,'Growth Rates'!H91*'Rescale to Fit GDP Proj'!$D$52)</f>
        <v>1.8576044026160473E-2</v>
      </c>
      <c r="J98" s="13">
        <f>IF($A98="AEO",'Growth Rates'!I91,'Growth Rates'!I91*'Rescale to Fit GDP Proj'!$D$52)</f>
        <v>1.8576044026160473E-2</v>
      </c>
      <c r="K98" s="13">
        <f>IF($A98="AEO",'Growth Rates'!J91,'Growth Rates'!J91*'Rescale to Fit GDP Proj'!$D$52)</f>
        <v>1.8576044026160473E-2</v>
      </c>
      <c r="L98" s="13">
        <f>IF($A98="AEO",'Growth Rates'!K91,'Growth Rates'!K91*'Rescale to Fit GDP Proj'!$D$52)</f>
        <v>1.8576044026160473E-2</v>
      </c>
      <c r="M98" s="13">
        <f>IF($A98="AEO",'Growth Rates'!L91,'Growth Rates'!L91*'Rescale to Fit GDP Proj'!$D$52)</f>
        <v>1.8576044026160473E-2</v>
      </c>
      <c r="N98" s="13">
        <f>IF($A98="AEO",'Growth Rates'!M91,'Growth Rates'!M91*'Rescale to Fit GDP Proj'!$D$52)</f>
        <v>1.8576044026160473E-2</v>
      </c>
      <c r="O98" s="13">
        <f>IF($A98="AEO",'Growth Rates'!N91,'Growth Rates'!N91*'Rescale to Fit GDP Proj'!$D$52)</f>
        <v>1.8576044026160473E-2</v>
      </c>
      <c r="P98" s="13">
        <f>IF($A98="AEO",'Growth Rates'!O91,'Growth Rates'!O91*'Rescale to Fit GDP Proj'!$D$52)</f>
        <v>1.8576044026160473E-2</v>
      </c>
      <c r="Q98" s="13">
        <f>IF($A98="AEO",'Growth Rates'!P91,'Growth Rates'!P91*'Rescale to Fit GDP Proj'!$D$52)</f>
        <v>1.8576044026160473E-2</v>
      </c>
      <c r="R98" s="13">
        <f>IF($A98="AEO",'Growth Rates'!Q91,'Growth Rates'!Q91*'Rescale to Fit GDP Proj'!$D$52)</f>
        <v>1.8576044026160473E-2</v>
      </c>
      <c r="S98" s="13">
        <f>IF($A98="AEO",'Growth Rates'!R91,'Growth Rates'!R91*'Rescale to Fit GDP Proj'!$D$52)</f>
        <v>1.8576044026160473E-2</v>
      </c>
      <c r="T98" s="13">
        <f>IF($A98="AEO",'Growth Rates'!S91,'Growth Rates'!S91*'Rescale to Fit GDP Proj'!$D$52)</f>
        <v>1.8576044026160473E-2</v>
      </c>
      <c r="U98" s="13">
        <f>IF($A98="AEO",'Growth Rates'!T91,'Growth Rates'!T91*'Rescale to Fit GDP Proj'!$D$52)</f>
        <v>1.8576044026160473E-2</v>
      </c>
      <c r="V98" s="13">
        <f>IF($A98="AEO",'Growth Rates'!U91,'Growth Rates'!U91*'Rescale to Fit GDP Proj'!$D$52)</f>
        <v>1.8576044026160473E-2</v>
      </c>
      <c r="W98" s="13">
        <f>IF($A98="AEO",'Growth Rates'!V91,'Growth Rates'!V91*'Rescale to Fit GDP Proj'!$D$52)</f>
        <v>1.8576044026160473E-2</v>
      </c>
      <c r="X98" s="13">
        <f>IF($A98="AEO",'Growth Rates'!W91,'Growth Rates'!W91*'Rescale to Fit GDP Proj'!$D$52)</f>
        <v>1.8576044026160473E-2</v>
      </c>
      <c r="Y98" s="13">
        <f>IF($A98="AEO",'Growth Rates'!X91,'Growth Rates'!X91*'Rescale to Fit GDP Proj'!$D$52)</f>
        <v>1.8576044026160473E-2</v>
      </c>
      <c r="Z98" s="13">
        <f>IF($A98="AEO",'Growth Rates'!Y91,'Growth Rates'!Y91*'Rescale to Fit GDP Proj'!$D$52)</f>
        <v>1.8576044026160473E-2</v>
      </c>
      <c r="AA98" s="13">
        <f>IF($A98="AEO",'Growth Rates'!Z91,'Growth Rates'!Z91*'Rescale to Fit GDP Proj'!$D$52)</f>
        <v>1.8576044026160473E-2</v>
      </c>
      <c r="AB98" s="13">
        <f>IF($A98="AEO",'Growth Rates'!AA91,'Growth Rates'!AA91*'Rescale to Fit GDP Proj'!$D$52)</f>
        <v>1.8576044026160473E-2</v>
      </c>
      <c r="AC98" s="13">
        <f>IF($A98="AEO",'Growth Rates'!AB91,'Growth Rates'!AB91*'Rescale to Fit GDP Proj'!$D$52)</f>
        <v>1.8576044026160473E-2</v>
      </c>
    </row>
    <row r="99" spans="1:29" x14ac:dyDescent="0.25">
      <c r="B99" s="1" t="s">
        <v>32</v>
      </c>
      <c r="C99" s="13">
        <f>IF($A99="AEO",'Growth Rates'!B92,'Growth Rates'!B92*'Rescale to Fit GDP Proj'!$D$52)</f>
        <v>0</v>
      </c>
      <c r="D99" s="13">
        <f>IF($A99="AEO",'Growth Rates'!C92,'Growth Rates'!C92*'Rescale to Fit GDP Proj'!$D$52)</f>
        <v>1.5570000000000002E-2</v>
      </c>
      <c r="E99" s="13">
        <f>IF($A99="AEO",'Growth Rates'!D92,'Growth Rates'!D92*'Rescale to Fit GDP Proj'!$D$52)</f>
        <v>1.5570000000000002E-2</v>
      </c>
      <c r="F99" s="13">
        <f>IF($A99="AEO",'Growth Rates'!E92,'Growth Rates'!E92*'Rescale to Fit GDP Proj'!$D$52)</f>
        <v>1.5570000000000002E-2</v>
      </c>
      <c r="G99" s="13">
        <f>IF($A99="AEO",'Growth Rates'!F92,'Growth Rates'!F92*'Rescale to Fit GDP Proj'!$D$52)</f>
        <v>1.5570000000000002E-2</v>
      </c>
      <c r="H99" s="13">
        <f>IF($A99="AEO",'Growth Rates'!G92,'Growth Rates'!G92*'Rescale to Fit GDP Proj'!$D$52)</f>
        <v>1.5570000000000002E-2</v>
      </c>
      <c r="I99" s="13">
        <f>IF($A99="AEO",'Growth Rates'!H92,'Growth Rates'!H92*'Rescale to Fit GDP Proj'!$D$52)</f>
        <v>1.5570000000000002E-2</v>
      </c>
      <c r="J99" s="13">
        <f>IF($A99="AEO",'Growth Rates'!I92,'Growth Rates'!I92*'Rescale to Fit GDP Proj'!$D$52)</f>
        <v>1.5570000000000002E-2</v>
      </c>
      <c r="K99" s="13">
        <f>IF($A99="AEO",'Growth Rates'!J92,'Growth Rates'!J92*'Rescale to Fit GDP Proj'!$D$52)</f>
        <v>1.5570000000000002E-2</v>
      </c>
      <c r="L99" s="13">
        <f>IF($A99="AEO",'Growth Rates'!K92,'Growth Rates'!K92*'Rescale to Fit GDP Proj'!$D$52)</f>
        <v>1.5570000000000002E-2</v>
      </c>
      <c r="M99" s="13">
        <f>IF($A99="AEO",'Growth Rates'!L92,'Growth Rates'!L92*'Rescale to Fit GDP Proj'!$D$52)</f>
        <v>1.5570000000000002E-2</v>
      </c>
      <c r="N99" s="13">
        <f>IF($A99="AEO",'Growth Rates'!M92,'Growth Rates'!M92*'Rescale to Fit GDP Proj'!$D$52)</f>
        <v>1.5570000000000002E-2</v>
      </c>
      <c r="O99" s="13">
        <f>IF($A99="AEO",'Growth Rates'!N92,'Growth Rates'!N92*'Rescale to Fit GDP Proj'!$D$52)</f>
        <v>1.5570000000000002E-2</v>
      </c>
      <c r="P99" s="13">
        <f>IF($A99="AEO",'Growth Rates'!O92,'Growth Rates'!O92*'Rescale to Fit GDP Proj'!$D$52)</f>
        <v>1.5570000000000002E-2</v>
      </c>
      <c r="Q99" s="13">
        <f>IF($A99="AEO",'Growth Rates'!P92,'Growth Rates'!P92*'Rescale to Fit GDP Proj'!$D$52)</f>
        <v>1.5570000000000002E-2</v>
      </c>
      <c r="R99" s="13">
        <f>IF($A99="AEO",'Growth Rates'!Q92,'Growth Rates'!Q92*'Rescale to Fit GDP Proj'!$D$52)</f>
        <v>1.5570000000000002E-2</v>
      </c>
      <c r="S99" s="13">
        <f>IF($A99="AEO",'Growth Rates'!R92,'Growth Rates'!R92*'Rescale to Fit GDP Proj'!$D$52)</f>
        <v>1.5570000000000002E-2</v>
      </c>
      <c r="T99" s="13">
        <f>IF($A99="AEO",'Growth Rates'!S92,'Growth Rates'!S92*'Rescale to Fit GDP Proj'!$D$52)</f>
        <v>1.5570000000000002E-2</v>
      </c>
      <c r="U99" s="13">
        <f>IF($A99="AEO",'Growth Rates'!T92,'Growth Rates'!T92*'Rescale to Fit GDP Proj'!$D$52)</f>
        <v>1.5570000000000002E-2</v>
      </c>
      <c r="V99" s="13">
        <f>IF($A99="AEO",'Growth Rates'!U92,'Growth Rates'!U92*'Rescale to Fit GDP Proj'!$D$52)</f>
        <v>1.5570000000000002E-2</v>
      </c>
      <c r="W99" s="13">
        <f>IF($A99="AEO",'Growth Rates'!V92,'Growth Rates'!V92*'Rescale to Fit GDP Proj'!$D$52)</f>
        <v>1.5570000000000002E-2</v>
      </c>
      <c r="X99" s="13">
        <f>IF($A99="AEO",'Growth Rates'!W92,'Growth Rates'!W92*'Rescale to Fit GDP Proj'!$D$52)</f>
        <v>1.5570000000000002E-2</v>
      </c>
      <c r="Y99" s="13">
        <f>IF($A99="AEO",'Growth Rates'!X92,'Growth Rates'!X92*'Rescale to Fit GDP Proj'!$D$52)</f>
        <v>1.5570000000000002E-2</v>
      </c>
      <c r="Z99" s="13">
        <f>IF($A99="AEO",'Growth Rates'!Y92,'Growth Rates'!Y92*'Rescale to Fit GDP Proj'!$D$52)</f>
        <v>1.5570000000000002E-2</v>
      </c>
      <c r="AA99" s="13">
        <f>IF($A99="AEO",'Growth Rates'!Z92,'Growth Rates'!Z92*'Rescale to Fit GDP Proj'!$D$52)</f>
        <v>1.5570000000000002E-2</v>
      </c>
      <c r="AB99" s="13">
        <f>IF($A99="AEO",'Growth Rates'!AA92,'Growth Rates'!AA92*'Rescale to Fit GDP Proj'!$D$52)</f>
        <v>1.5570000000000002E-2</v>
      </c>
      <c r="AC99" s="13">
        <f>IF($A99="AEO",'Growth Rates'!AB92,'Growth Rates'!AB92*'Rescale to Fit GDP Proj'!$D$52)</f>
        <v>1.5570000000000002E-2</v>
      </c>
    </row>
    <row r="101" spans="1:29" s="7" customFormat="1" x14ac:dyDescent="0.25">
      <c r="A101" s="22" t="s">
        <v>138</v>
      </c>
    </row>
    <row r="102" spans="1:29" x14ac:dyDescent="0.25">
      <c r="C102">
        <v>2024</v>
      </c>
      <c r="D102">
        <v>2025</v>
      </c>
      <c r="E102">
        <v>2026</v>
      </c>
      <c r="F102">
        <v>2027</v>
      </c>
      <c r="G102">
        <v>2028</v>
      </c>
      <c r="H102">
        <v>2029</v>
      </c>
      <c r="I102">
        <v>2030</v>
      </c>
      <c r="J102">
        <v>2031</v>
      </c>
      <c r="K102">
        <v>2032</v>
      </c>
      <c r="L102">
        <v>2033</v>
      </c>
      <c r="M102">
        <v>2034</v>
      </c>
      <c r="N102">
        <v>2035</v>
      </c>
      <c r="O102">
        <v>2036</v>
      </c>
      <c r="P102">
        <v>2037</v>
      </c>
      <c r="Q102">
        <v>2038</v>
      </c>
      <c r="R102">
        <v>2039</v>
      </c>
      <c r="S102">
        <v>2040</v>
      </c>
      <c r="T102">
        <v>2041</v>
      </c>
      <c r="U102">
        <v>2042</v>
      </c>
      <c r="V102">
        <v>2043</v>
      </c>
      <c r="W102">
        <v>2044</v>
      </c>
      <c r="X102">
        <v>2045</v>
      </c>
      <c r="Y102">
        <v>2046</v>
      </c>
      <c r="Z102">
        <v>2047</v>
      </c>
      <c r="AA102">
        <v>2048</v>
      </c>
      <c r="AB102">
        <v>2049</v>
      </c>
      <c r="AC102">
        <v>2050</v>
      </c>
    </row>
    <row r="103" spans="1:29" x14ac:dyDescent="0.25">
      <c r="A103" t="s">
        <v>127</v>
      </c>
      <c r="B103" s="1" t="s">
        <v>2</v>
      </c>
      <c r="C103" s="13">
        <f>IF($A103="AEO",'Growth Rates'!B96,'Growth Rates'!B96*'Rescale to Fit GDP Proj'!$D$52)</f>
        <v>0</v>
      </c>
      <c r="D103" s="13">
        <f>(1+C103)*(1+D58)-1</f>
        <v>1.1026677248351602E-2</v>
      </c>
      <c r="E103" s="13">
        <f>(1+D103)*(1+E58)-1</f>
        <v>2.4484220015278169E-2</v>
      </c>
      <c r="F103" s="13">
        <f>(1+E103)*(1+F58)-1</f>
        <v>3.7909253251248609E-2</v>
      </c>
      <c r="G103" s="13">
        <f>(1+F103)*(1+G58)-1</f>
        <v>4.9537869974381143E-2</v>
      </c>
      <c r="H103" s="13">
        <f>(1+G103)*(1+H58)-1</f>
        <v>6.489819185782264E-2</v>
      </c>
      <c r="I103" s="13">
        <f>(1+H103)*(1+I58)-1</f>
        <v>7.9142197284139737E-2</v>
      </c>
      <c r="J103" s="13">
        <f>(1+I103)*(1+J58)-1</f>
        <v>9.0446282886639917E-2</v>
      </c>
      <c r="K103" s="13">
        <f>(1+J103)*(1+K58)-1</f>
        <v>0.10159575102935881</v>
      </c>
      <c r="L103" s="13">
        <f>(1+K103)*(1+L58)-1</f>
        <v>0.1121988968477039</v>
      </c>
      <c r="M103" s="13">
        <f>(1+L103)*(1+M58)-1</f>
        <v>0.12571987189518863</v>
      </c>
      <c r="N103" s="13">
        <f>(1+M103)*(1+N58)-1</f>
        <v>0.1397706314791638</v>
      </c>
      <c r="O103" s="13">
        <f>(1+N103)*(1+O58)-1</f>
        <v>0.1565454084051261</v>
      </c>
      <c r="P103" s="13">
        <f>(1+O103)*(1+P58)-1</f>
        <v>0.17003738711124794</v>
      </c>
      <c r="Q103" s="13">
        <f>(1+P103)*(1+Q58)-1</f>
        <v>0.18160438289721514</v>
      </c>
      <c r="R103" s="13">
        <f>(1+Q103)*(1+R58)-1</f>
        <v>0.19424136669244141</v>
      </c>
      <c r="S103" s="13">
        <f>(1+R103)*(1+S58)-1</f>
        <v>0.20575716233340602</v>
      </c>
      <c r="T103" s="13">
        <f>(1+S103)*(1+T58)-1</f>
        <v>0.21435727971551022</v>
      </c>
      <c r="U103" s="13">
        <f>(1+T103)*(1+U58)-1</f>
        <v>0.22448184114236724</v>
      </c>
      <c r="V103" s="13">
        <f>(1+U103)*(1+V58)-1</f>
        <v>0.23468931978244845</v>
      </c>
      <c r="W103" s="13">
        <f>(1+V103)*(1+W58)-1</f>
        <v>0.2459363165180346</v>
      </c>
      <c r="X103" s="13">
        <f>(1+W103)*(1+X58)-1</f>
        <v>0.26007157824070259</v>
      </c>
      <c r="Y103" s="13">
        <f>(1+X103)*(1+Y58)-1</f>
        <v>0.2746682054573184</v>
      </c>
      <c r="Z103" s="13">
        <f>(1+Y103)*(1+Z58)-1</f>
        <v>0.28912765867373236</v>
      </c>
      <c r="AA103" s="13">
        <f>(1+Z103)*(1+AA58)-1</f>
        <v>0.30335297348600276</v>
      </c>
      <c r="AB103" s="13">
        <f>(1+AA103)*(1+AB58)-1</f>
        <v>0.31815281450127531</v>
      </c>
      <c r="AC103" s="13">
        <f>(1+AB103)*(1+AC58)-1</f>
        <v>0.33255279960668771</v>
      </c>
    </row>
    <row r="104" spans="1:29" x14ac:dyDescent="0.25">
      <c r="A104" t="s">
        <v>127</v>
      </c>
      <c r="B104" s="1" t="s">
        <v>36</v>
      </c>
      <c r="C104" s="13">
        <f>IF($A104="AEO",'Growth Rates'!B97,'Growth Rates'!B97*'Rescale to Fit GDP Proj'!$D$52)</f>
        <v>0</v>
      </c>
      <c r="D104" s="13">
        <f>(1+C104)*(1+D59)-1</f>
        <v>8.3217494051750274E-2</v>
      </c>
      <c r="E104" s="13">
        <f>(1+D104)*(1+E59)-1</f>
        <v>9.2924765443469726E-2</v>
      </c>
      <c r="F104" s="13">
        <f>(1+E104)*(1+F59)-1</f>
        <v>0.10051835847733859</v>
      </c>
      <c r="G104" s="13">
        <f>(1+F104)*(1+G59)-1</f>
        <v>0.1140756007864816</v>
      </c>
      <c r="H104" s="13">
        <f>(1+G104)*(1+H59)-1</f>
        <v>0.1246068912601479</v>
      </c>
      <c r="I104" s="13">
        <f>(1+H104)*(1+I59)-1</f>
        <v>0.13378993665914352</v>
      </c>
      <c r="J104" s="13">
        <f>(1+I104)*(1+J59)-1</f>
        <v>0.12928377446895545</v>
      </c>
      <c r="K104" s="13">
        <f>(1+J104)*(1+K59)-1</f>
        <v>0.14084327258520069</v>
      </c>
      <c r="L104" s="13">
        <f>(1+K104)*(1+L59)-1</f>
        <v>0.14114414064320857</v>
      </c>
      <c r="M104" s="13">
        <f>(1+L104)*(1+M59)-1</f>
        <v>0.14235678531039908</v>
      </c>
      <c r="N104" s="13">
        <f>(1+M104)*(1+N59)-1</f>
        <v>0.13648130513731083</v>
      </c>
      <c r="O104" s="13">
        <f>(1+N104)*(1+O59)-1</f>
        <v>0.12852520121956945</v>
      </c>
      <c r="P104" s="13">
        <f>(1+O104)*(1+P59)-1</f>
        <v>0.11661682428581588</v>
      </c>
      <c r="Q104" s="13">
        <f>(1+P104)*(1+Q59)-1</f>
        <v>0.11095784336751491</v>
      </c>
      <c r="R104" s="13">
        <f>(1+Q104)*(1+R59)-1</f>
        <v>0.10368619129988321</v>
      </c>
      <c r="S104" s="13">
        <f>(1+R104)*(1+S59)-1</f>
        <v>0.10638202211698511</v>
      </c>
      <c r="T104" s="13">
        <f>(1+S104)*(1+T59)-1</f>
        <v>0.11041196772008521</v>
      </c>
      <c r="U104" s="13">
        <f>(1+T104)*(1+U59)-1</f>
        <v>0.11547640154535133</v>
      </c>
      <c r="V104" s="13">
        <f>(1+U104)*(1+V59)-1</f>
        <v>0.11528287467134346</v>
      </c>
      <c r="W104" s="13">
        <f>(1+V104)*(1+W59)-1</f>
        <v>0.11786078655744925</v>
      </c>
      <c r="X104" s="13">
        <f>(1+W104)*(1+X59)-1</f>
        <v>0.1211240614447886</v>
      </c>
      <c r="Y104" s="13">
        <f>(1+X104)*(1+Y59)-1</f>
        <v>0.12957142203554928</v>
      </c>
      <c r="Z104" s="13">
        <f>(1+Y104)*(1+Z59)-1</f>
        <v>0.1306385492343678</v>
      </c>
      <c r="AA104" s="13">
        <f>(1+Z104)*(1+AA59)-1</f>
        <v>0.13006664282519553</v>
      </c>
      <c r="AB104" s="13">
        <f>(1+AA104)*(1+AB59)-1</f>
        <v>0.13292253432815748</v>
      </c>
      <c r="AC104" s="13">
        <f>(1+AB104)*(1+AC59)-1</f>
        <v>0.13644816929221504</v>
      </c>
    </row>
    <row r="105" spans="1:29" x14ac:dyDescent="0.25">
      <c r="A105" t="s">
        <v>127</v>
      </c>
      <c r="B105" s="1" t="s">
        <v>37</v>
      </c>
      <c r="C105" s="13">
        <f>IF($A105="AEO",'Growth Rates'!B98,'Growth Rates'!B98*'Rescale to Fit GDP Proj'!$D$52)</f>
        <v>0</v>
      </c>
      <c r="D105" s="13">
        <f>(1+C105)*(1+D60)-1</f>
        <v>8.3217494051750274E-2</v>
      </c>
      <c r="E105" s="13">
        <f>(1+D105)*(1+E60)-1</f>
        <v>9.2924765443469726E-2</v>
      </c>
      <c r="F105" s="13">
        <f>(1+E105)*(1+F60)-1</f>
        <v>0.10051835847733859</v>
      </c>
      <c r="G105" s="13">
        <f>(1+F105)*(1+G60)-1</f>
        <v>0.1140756007864816</v>
      </c>
      <c r="H105" s="13">
        <f>(1+G105)*(1+H60)-1</f>
        <v>0.1246068912601479</v>
      </c>
      <c r="I105" s="13">
        <f>(1+H105)*(1+I60)-1</f>
        <v>0.13378993665914352</v>
      </c>
      <c r="J105" s="13">
        <f>(1+I105)*(1+J60)-1</f>
        <v>0.12928377446895545</v>
      </c>
      <c r="K105" s="13">
        <f>(1+J105)*(1+K60)-1</f>
        <v>0.14084327258520069</v>
      </c>
      <c r="L105" s="13">
        <f>(1+K105)*(1+L60)-1</f>
        <v>0.14114414064320857</v>
      </c>
      <c r="M105" s="13">
        <f>(1+L105)*(1+M60)-1</f>
        <v>0.14235678531039908</v>
      </c>
      <c r="N105" s="13">
        <f>(1+M105)*(1+N60)-1</f>
        <v>0.13648130513731083</v>
      </c>
      <c r="O105" s="13">
        <f>(1+N105)*(1+O60)-1</f>
        <v>0.12852520121956945</v>
      </c>
      <c r="P105" s="13">
        <f>(1+O105)*(1+P60)-1</f>
        <v>0.11661682428581588</v>
      </c>
      <c r="Q105" s="13">
        <f>(1+P105)*(1+Q60)-1</f>
        <v>0.11095784336751491</v>
      </c>
      <c r="R105" s="13">
        <f>(1+Q105)*(1+R60)-1</f>
        <v>0.10368619129988321</v>
      </c>
      <c r="S105" s="13">
        <f>(1+R105)*(1+S60)-1</f>
        <v>0.10638202211698511</v>
      </c>
      <c r="T105" s="13">
        <f>(1+S105)*(1+T60)-1</f>
        <v>0.11041196772008521</v>
      </c>
      <c r="U105" s="13">
        <f>(1+T105)*(1+U60)-1</f>
        <v>0.11547640154535133</v>
      </c>
      <c r="V105" s="13">
        <f>(1+U105)*(1+V60)-1</f>
        <v>0.11528287467134346</v>
      </c>
      <c r="W105" s="13">
        <f>(1+V105)*(1+W60)-1</f>
        <v>0.11786078655744925</v>
      </c>
      <c r="X105" s="13">
        <f>(1+W105)*(1+X60)-1</f>
        <v>0.1211240614447886</v>
      </c>
      <c r="Y105" s="13">
        <f>(1+X105)*(1+Y60)-1</f>
        <v>0.12957142203554928</v>
      </c>
      <c r="Z105" s="13">
        <f>(1+Y105)*(1+Z60)-1</f>
        <v>0.1306385492343678</v>
      </c>
      <c r="AA105" s="13">
        <f>(1+Z105)*(1+AA60)-1</f>
        <v>0.13006664282519553</v>
      </c>
      <c r="AB105" s="13">
        <f>(1+AA105)*(1+AB60)-1</f>
        <v>0.13292253432815748</v>
      </c>
      <c r="AC105" s="13">
        <f>(1+AB105)*(1+AC60)-1</f>
        <v>0.13644816929221504</v>
      </c>
    </row>
    <row r="106" spans="1:29" x14ac:dyDescent="0.25">
      <c r="A106" t="s">
        <v>127</v>
      </c>
      <c r="B106" s="1" t="s">
        <v>3</v>
      </c>
      <c r="C106" s="13">
        <f>IF($A106="AEO",'Growth Rates'!B99,'Growth Rates'!B99*'Rescale to Fit GDP Proj'!$D$52)</f>
        <v>0</v>
      </c>
      <c r="D106" s="13">
        <f>(1+C106)*(1+D61)-1</f>
        <v>8.3217494051750274E-2</v>
      </c>
      <c r="E106" s="13">
        <f>(1+D106)*(1+E61)-1</f>
        <v>9.2924765443469726E-2</v>
      </c>
      <c r="F106" s="13">
        <f>(1+E106)*(1+F61)-1</f>
        <v>0.10051835847733859</v>
      </c>
      <c r="G106" s="13">
        <f>(1+F106)*(1+G61)-1</f>
        <v>0.1140756007864816</v>
      </c>
      <c r="H106" s="13">
        <f>(1+G106)*(1+H61)-1</f>
        <v>0.1246068912601479</v>
      </c>
      <c r="I106" s="13">
        <f>(1+H106)*(1+I61)-1</f>
        <v>0.13378993665914352</v>
      </c>
      <c r="J106" s="13">
        <f>(1+I106)*(1+J61)-1</f>
        <v>0.12928377446895545</v>
      </c>
      <c r="K106" s="13">
        <f>(1+J106)*(1+K61)-1</f>
        <v>0.14084327258520069</v>
      </c>
      <c r="L106" s="13">
        <f>(1+K106)*(1+L61)-1</f>
        <v>0.14114414064320857</v>
      </c>
      <c r="M106" s="13">
        <f>(1+L106)*(1+M61)-1</f>
        <v>0.14235678531039908</v>
      </c>
      <c r="N106" s="13">
        <f>(1+M106)*(1+N61)-1</f>
        <v>0.13648130513731083</v>
      </c>
      <c r="O106" s="13">
        <f>(1+N106)*(1+O61)-1</f>
        <v>0.12852520121956945</v>
      </c>
      <c r="P106" s="13">
        <f>(1+O106)*(1+P61)-1</f>
        <v>0.11661682428581588</v>
      </c>
      <c r="Q106" s="13">
        <f>(1+P106)*(1+Q61)-1</f>
        <v>0.11095784336751491</v>
      </c>
      <c r="R106" s="13">
        <f>(1+Q106)*(1+R61)-1</f>
        <v>0.10368619129988321</v>
      </c>
      <c r="S106" s="13">
        <f>(1+R106)*(1+S61)-1</f>
        <v>0.10638202211698511</v>
      </c>
      <c r="T106" s="13">
        <f>(1+S106)*(1+T61)-1</f>
        <v>0.11041196772008521</v>
      </c>
      <c r="U106" s="13">
        <f>(1+T106)*(1+U61)-1</f>
        <v>0.11547640154535133</v>
      </c>
      <c r="V106" s="13">
        <f>(1+U106)*(1+V61)-1</f>
        <v>0.11528287467134346</v>
      </c>
      <c r="W106" s="13">
        <f>(1+V106)*(1+W61)-1</f>
        <v>0.11786078655744925</v>
      </c>
      <c r="X106" s="13">
        <f>(1+W106)*(1+X61)-1</f>
        <v>0.1211240614447886</v>
      </c>
      <c r="Y106" s="13">
        <f>(1+X106)*(1+Y61)-1</f>
        <v>0.12957142203554928</v>
      </c>
      <c r="Z106" s="13">
        <f>(1+Y106)*(1+Z61)-1</f>
        <v>0.1306385492343678</v>
      </c>
      <c r="AA106" s="13">
        <f>(1+Z106)*(1+AA61)-1</f>
        <v>0.13006664282519553</v>
      </c>
      <c r="AB106" s="13">
        <f>(1+AA106)*(1+AB61)-1</f>
        <v>0.13292253432815748</v>
      </c>
      <c r="AC106" s="13">
        <f>(1+AB106)*(1+AC61)-1</f>
        <v>0.13644816929221504</v>
      </c>
    </row>
    <row r="107" spans="1:29" x14ac:dyDescent="0.25">
      <c r="B107" s="1" t="s">
        <v>4</v>
      </c>
      <c r="C107" s="13">
        <f>IF($A107="AEO",'Growth Rates'!B100,'Growth Rates'!B100*'Rescale to Fit GDP Proj'!$D$52)</f>
        <v>0</v>
      </c>
      <c r="D107" s="13">
        <f>(1+C107)*(1+D62)-1</f>
        <v>-4.3250000000000233E-3</v>
      </c>
      <c r="E107" s="13">
        <f>(1+D107)*(1+E62)-1</f>
        <v>-8.6312943750000981E-3</v>
      </c>
      <c r="F107" s="13">
        <f>(1+E107)*(1+F62)-1</f>
        <v>-1.2918964026828239E-2</v>
      </c>
      <c r="G107" s="13">
        <f>(1+F107)*(1+G62)-1</f>
        <v>-1.7188089507412241E-2</v>
      </c>
      <c r="H107" s="13">
        <f>(1+G107)*(1+H62)-1</f>
        <v>-2.143875102029269E-2</v>
      </c>
      <c r="I107" s="13">
        <f>(1+H107)*(1+I62)-1</f>
        <v>-2.5671028422129982E-2</v>
      </c>
      <c r="J107" s="13">
        <f>(1+I107)*(1+J62)-1</f>
        <v>-2.9885001224204344E-2</v>
      </c>
      <c r="K107" s="13">
        <f>(1+J107)*(1+K62)-1</f>
        <v>-3.4080748593909638E-2</v>
      </c>
      <c r="L107" s="13">
        <f>(1+K107)*(1+L62)-1</f>
        <v>-3.825834935624095E-2</v>
      </c>
      <c r="M107" s="13">
        <f>(1+L107)*(1+M62)-1</f>
        <v>-4.2417881995275186E-2</v>
      </c>
      <c r="N107" s="13">
        <f>(1+M107)*(1+N62)-1</f>
        <v>-4.6559424655645665E-2</v>
      </c>
      <c r="O107" s="13">
        <f>(1+N107)*(1+O62)-1</f>
        <v>-5.0683055144010059E-2</v>
      </c>
      <c r="P107" s="13">
        <f>(1+O107)*(1+P62)-1</f>
        <v>-5.4788850930512223E-2</v>
      </c>
      <c r="Q107" s="13">
        <f>(1+P107)*(1+Q62)-1</f>
        <v>-5.887688915023781E-2</v>
      </c>
      <c r="R107" s="13">
        <f>(1+Q107)*(1+R62)-1</f>
        <v>-6.2947246604662999E-2</v>
      </c>
      <c r="S107" s="13">
        <f>(1+R107)*(1+S62)-1</f>
        <v>-6.6999999763097895E-2</v>
      </c>
      <c r="T107" s="13">
        <f>(1+S107)*(1+T62)-1</f>
        <v>-7.1035224764122495E-2</v>
      </c>
      <c r="U107" s="13">
        <f>(1+T107)*(1+U62)-1</f>
        <v>-7.5052997417017653E-2</v>
      </c>
      <c r="V107" s="13">
        <f>(1+U107)*(1+V62)-1</f>
        <v>-7.9053393203189048E-2</v>
      </c>
      <c r="W107" s="13">
        <f>(1+V107)*(1+W62)-1</f>
        <v>-8.303648727758528E-2</v>
      </c>
      <c r="X107" s="13">
        <f>(1+W107)*(1+X62)-1</f>
        <v>-8.7002354470109733E-2</v>
      </c>
      <c r="Y107" s="13">
        <f>(1+X107)*(1+Y62)-1</f>
        <v>-9.0951069287026565E-2</v>
      </c>
      <c r="Z107" s="13">
        <f>(1+Y107)*(1+Z62)-1</f>
        <v>-9.4882705912360144E-2</v>
      </c>
      <c r="AA107" s="13">
        <f>(1+Z107)*(1+AA62)-1</f>
        <v>-9.8797338209289154E-2</v>
      </c>
      <c r="AB107" s="13">
        <f>(1+AA107)*(1+AB62)-1</f>
        <v>-0.10269503972153404</v>
      </c>
      <c r="AC107" s="13">
        <f>(1+AB107)*(1+AC62)-1</f>
        <v>-0.10657588367473847</v>
      </c>
    </row>
    <row r="108" spans="1:29" x14ac:dyDescent="0.25">
      <c r="A108" t="s">
        <v>127</v>
      </c>
      <c r="B108" s="1" t="s">
        <v>5</v>
      </c>
      <c r="C108" s="13">
        <f>IF($A108="AEO",'Growth Rates'!B101,'Growth Rates'!B101*'Rescale to Fit GDP Proj'!$D$52)</f>
        <v>0</v>
      </c>
      <c r="D108" s="13">
        <f>(1+C108)*(1+D63)-1</f>
        <v>2.7378123161194701E-3</v>
      </c>
      <c r="E108" s="13">
        <f>(1+D108)*(1+E63)-1</f>
        <v>5.026334552662215E-3</v>
      </c>
      <c r="F108" s="13">
        <f>(1+E108)*(1+F63)-1</f>
        <v>1.294218602620778E-2</v>
      </c>
      <c r="G108" s="13">
        <f>(1+F108)*(1+G63)-1</f>
        <v>1.9415368359928964E-2</v>
      </c>
      <c r="H108" s="13">
        <f>(1+G108)*(1+H63)-1</f>
        <v>2.7417027286726459E-2</v>
      </c>
      <c r="I108" s="13">
        <f>(1+H108)*(1+I63)-1</f>
        <v>3.5506580911565777E-2</v>
      </c>
      <c r="J108" s="13">
        <f>(1+I108)*(1+J63)-1</f>
        <v>4.2912899708778207E-2</v>
      </c>
      <c r="K108" s="13">
        <f>(1+J108)*(1+K63)-1</f>
        <v>5.062668284500349E-2</v>
      </c>
      <c r="L108" s="13">
        <f>(1+K108)*(1+L63)-1</f>
        <v>5.8134992248506157E-2</v>
      </c>
      <c r="M108" s="13">
        <f>(1+L108)*(1+M63)-1</f>
        <v>6.602494880894616E-2</v>
      </c>
      <c r="N108" s="13">
        <f>(1+M108)*(1+N63)-1</f>
        <v>7.3302603651361542E-2</v>
      </c>
      <c r="O108" s="13">
        <f>(1+N108)*(1+O63)-1</f>
        <v>8.2919429889189766E-2</v>
      </c>
      <c r="P108" s="13">
        <f>(1+O108)*(1+P63)-1</f>
        <v>9.1741714378217543E-2</v>
      </c>
      <c r="Q108" s="13">
        <f>(1+P108)*(1+Q63)-1</f>
        <v>0.10021956818789124</v>
      </c>
      <c r="R108" s="13">
        <f>(1+Q108)*(1+R63)-1</f>
        <v>0.10919689936433996</v>
      </c>
      <c r="S108" s="13">
        <f>(1+R108)*(1+S63)-1</f>
        <v>0.11810568567099788</v>
      </c>
      <c r="T108" s="13">
        <f>(1+S108)*(1+T63)-1</f>
        <v>0.12705118299118534</v>
      </c>
      <c r="U108" s="13">
        <f>(1+T108)*(1+U63)-1</f>
        <v>0.13617138301163534</v>
      </c>
      <c r="V108" s="13">
        <f>(1+U108)*(1+V63)-1</f>
        <v>0.14488461181467027</v>
      </c>
      <c r="W108" s="13">
        <f>(1+V108)*(1+W63)-1</f>
        <v>0.1536228460386253</v>
      </c>
      <c r="X108" s="13">
        <f>(1+W108)*(1+X63)-1</f>
        <v>0.16212562742567926</v>
      </c>
      <c r="Y108" s="13">
        <f>(1+X108)*(1+Y63)-1</f>
        <v>0.1708681233239786</v>
      </c>
      <c r="Z108" s="13">
        <f>(1+Y108)*(1+Z63)-1</f>
        <v>0.17974069785367752</v>
      </c>
      <c r="AA108" s="13">
        <f>(1+Z108)*(1+AA63)-1</f>
        <v>0.18866520440378798</v>
      </c>
      <c r="AB108" s="13">
        <f>(1+AA108)*(1+AB63)-1</f>
        <v>0.19801646169590614</v>
      </c>
      <c r="AC108" s="13">
        <f>(1+AB108)*(1+AC63)-1</f>
        <v>0.20715698822155759</v>
      </c>
    </row>
    <row r="109" spans="1:29" x14ac:dyDescent="0.25">
      <c r="A109" t="s">
        <v>127</v>
      </c>
      <c r="B109" s="1" t="s">
        <v>6</v>
      </c>
      <c r="C109" s="13">
        <f>IF($A109="AEO",'Growth Rates'!B102,'Growth Rates'!B102*'Rescale to Fit GDP Proj'!$D$52)</f>
        <v>0</v>
      </c>
      <c r="D109" s="13">
        <f>(1+C109)*(1+D64)-1</f>
        <v>6.7991175255428526E-3</v>
      </c>
      <c r="E109" s="13">
        <f>(1+D109)*(1+E64)-1</f>
        <v>-2.8743743395760468E-3</v>
      </c>
      <c r="F109" s="13">
        <f>(1+E109)*(1+F64)-1</f>
        <v>-2.4950232008529305E-3</v>
      </c>
      <c r="G109" s="13">
        <f>(1+F109)*(1+G64)-1</f>
        <v>-1.89340416087872E-2</v>
      </c>
      <c r="H109" s="13">
        <f>(1+G109)*(1+H64)-1</f>
        <v>-2.9087430594712416E-2</v>
      </c>
      <c r="I109" s="13">
        <f>(1+H109)*(1+I64)-1</f>
        <v>-3.6086490122851478E-2</v>
      </c>
      <c r="J109" s="13">
        <f>(1+I109)*(1+J64)-1</f>
        <v>-4.4351536291917126E-2</v>
      </c>
      <c r="K109" s="13">
        <f>(1+J109)*(1+K64)-1</f>
        <v>-5.5607435802827898E-2</v>
      </c>
      <c r="L109" s="13">
        <f>(1+K109)*(1+L64)-1</f>
        <v>-6.5989213209154629E-2</v>
      </c>
      <c r="M109" s="13">
        <f>(1+L109)*(1+M64)-1</f>
        <v>-7.2165944296618045E-2</v>
      </c>
      <c r="N109" s="13">
        <f>(1+M109)*(1+N64)-1</f>
        <v>-8.3538368203017743E-2</v>
      </c>
      <c r="O109" s="13">
        <f>(1+N109)*(1+O64)-1</f>
        <v>-9.4686564734173806E-2</v>
      </c>
      <c r="P109" s="13">
        <f>(1+O109)*(1+P64)-1</f>
        <v>-9.9212011530180444E-2</v>
      </c>
      <c r="Q109" s="13">
        <f>(1+P109)*(1+Q64)-1</f>
        <v>-0.10501471761672276</v>
      </c>
      <c r="R109" s="13">
        <f>(1+Q109)*(1+R64)-1</f>
        <v>-0.10877312491389457</v>
      </c>
      <c r="S109" s="13">
        <f>(1+R109)*(1+S64)-1</f>
        <v>-0.11042265400084861</v>
      </c>
      <c r="T109" s="13">
        <f>(1+S109)*(1+T64)-1</f>
        <v>-0.11384675536451383</v>
      </c>
      <c r="U109" s="13">
        <f>(1+T109)*(1+U64)-1</f>
        <v>-0.11716851014837293</v>
      </c>
      <c r="V109" s="13">
        <f>(1+U109)*(1+V64)-1</f>
        <v>-0.12273443006883189</v>
      </c>
      <c r="W109" s="13">
        <f>(1+V109)*(1+W64)-1</f>
        <v>-0.1279536365756776</v>
      </c>
      <c r="X109" s="13">
        <f>(1+W109)*(1+X64)-1</f>
        <v>-0.13378606009018246</v>
      </c>
      <c r="Y109" s="13">
        <f>(1+X109)*(1+Y64)-1</f>
        <v>-0.13853927493258522</v>
      </c>
      <c r="Z109" s="13">
        <f>(1+Y109)*(1+Z64)-1</f>
        <v>-0.14170132123775492</v>
      </c>
      <c r="AA109" s="13">
        <f>(1+Z109)*(1+AA64)-1</f>
        <v>-0.14562642756948119</v>
      </c>
      <c r="AB109" s="13">
        <f>(1+AA109)*(1+AB64)-1</f>
        <v>-0.14908820530566536</v>
      </c>
      <c r="AC109" s="13">
        <f>(1+AB109)*(1+AC64)-1</f>
        <v>-0.15436727033848874</v>
      </c>
    </row>
    <row r="110" spans="1:29" x14ac:dyDescent="0.25">
      <c r="A110" t="s">
        <v>127</v>
      </c>
      <c r="B110" s="1" t="s">
        <v>7</v>
      </c>
      <c r="C110" s="13">
        <f>IF($A110="AEO",'Growth Rates'!B103,'Growth Rates'!B103*'Rescale to Fit GDP Proj'!$D$52)</f>
        <v>0</v>
      </c>
      <c r="D110" s="13">
        <f>(1+C110)*(1+D65)-1</f>
        <v>6.438456892143618E-3</v>
      </c>
      <c r="E110" s="13">
        <f>(1+D110)*(1+E65)-1</f>
        <v>2.6761569691298615E-2</v>
      </c>
      <c r="F110" s="13">
        <f>(1+E110)*(1+F65)-1</f>
        <v>3.9019585168227566E-2</v>
      </c>
      <c r="G110" s="13">
        <f>(1+F110)*(1+G65)-1</f>
        <v>5.6711374136342751E-2</v>
      </c>
      <c r="H110" s="13">
        <f>(1+G110)*(1+H65)-1</f>
        <v>8.9794112458529307E-2</v>
      </c>
      <c r="I110" s="13">
        <f>(1+H110)*(1+I65)-1</f>
        <v>0.11540585681198667</v>
      </c>
      <c r="J110" s="13">
        <f>(1+I110)*(1+J65)-1</f>
        <v>0.13247926572792679</v>
      </c>
      <c r="K110" s="13">
        <f>(1+J110)*(1+K65)-1</f>
        <v>0.14392105977697534</v>
      </c>
      <c r="L110" s="13">
        <f>(1+K110)*(1+L65)-1</f>
        <v>0.1419811290077384</v>
      </c>
      <c r="M110" s="13">
        <f>(1+L110)*(1+M65)-1</f>
        <v>0.15408773267625331</v>
      </c>
      <c r="N110" s="13">
        <f>(1+M110)*(1+N65)-1</f>
        <v>0.16918849977521933</v>
      </c>
      <c r="O110" s="13">
        <f>(1+N110)*(1+O65)-1</f>
        <v>0.20242846249336433</v>
      </c>
      <c r="P110" s="13">
        <f>(1+O110)*(1+P65)-1</f>
        <v>0.22475872680757236</v>
      </c>
      <c r="Q110" s="13">
        <f>(1+P110)*(1+Q65)-1</f>
        <v>0.23258410570292054</v>
      </c>
      <c r="R110" s="13">
        <f>(1+Q110)*(1+R65)-1</f>
        <v>0.24178003583480523</v>
      </c>
      <c r="S110" s="13">
        <f>(1+R110)*(1+S65)-1</f>
        <v>0.24014805026302954</v>
      </c>
      <c r="T110" s="13">
        <f>(1+S110)*(1+T65)-1</f>
        <v>0.21599865944659258</v>
      </c>
      <c r="U110" s="13">
        <f>(1+T110)*(1+U65)-1</f>
        <v>0.20005344125506341</v>
      </c>
      <c r="V110" s="13">
        <f>(1+U110)*(1+V65)-1</f>
        <v>0.17022094539500787</v>
      </c>
      <c r="W110" s="13">
        <f>(1+V110)*(1+W65)-1</f>
        <v>0.14959058856716867</v>
      </c>
      <c r="X110" s="13">
        <f>(1+W110)*(1+X65)-1</f>
        <v>0.1484387410179262</v>
      </c>
      <c r="Y110" s="13">
        <f>(1+X110)*(1+Y65)-1</f>
        <v>0.15242248731595831</v>
      </c>
      <c r="Z110" s="13">
        <f>(1+Y110)*(1+Z65)-1</f>
        <v>0.16493348245533435</v>
      </c>
      <c r="AA110" s="13">
        <f>(1+Z110)*(1+AA65)-1</f>
        <v>0.17649846880997999</v>
      </c>
      <c r="AB110" s="13">
        <f>(1+AA110)*(1+AB65)-1</f>
        <v>0.19127283676221785</v>
      </c>
      <c r="AC110" s="13">
        <f>(1+AB110)*(1+AC65)-1</f>
        <v>0.20038263491503439</v>
      </c>
    </row>
    <row r="111" spans="1:29" x14ac:dyDescent="0.25">
      <c r="A111" t="s">
        <v>127</v>
      </c>
      <c r="B111" s="1" t="s">
        <v>8</v>
      </c>
      <c r="C111" s="13">
        <f>IF($A111="AEO",'Growth Rates'!B104,'Growth Rates'!B104*'Rescale to Fit GDP Proj'!$D$52)</f>
        <v>0</v>
      </c>
      <c r="D111" s="13">
        <f>(1+C111)*(1+D66)-1</f>
        <v>-8.0041876610355001E-3</v>
      </c>
      <c r="E111" s="13">
        <f>(1+D111)*(1+E66)-1</f>
        <v>-7.5526505557815815E-3</v>
      </c>
      <c r="F111" s="13">
        <f>(1+E111)*(1+F66)-1</f>
        <v>-2.0931985216156579E-2</v>
      </c>
      <c r="G111" s="13">
        <f>(1+F111)*(1+G66)-1</f>
        <v>-3.0572047227450772E-2</v>
      </c>
      <c r="H111" s="13">
        <f>(1+G111)*(1+H66)-1</f>
        <v>-3.5634831399052214E-2</v>
      </c>
      <c r="I111" s="13">
        <f>(1+H111)*(1+I66)-1</f>
        <v>-3.8698787173380378E-2</v>
      </c>
      <c r="J111" s="13">
        <f>(1+I111)*(1+J66)-1</f>
        <v>-3.7999046330065567E-2</v>
      </c>
      <c r="K111" s="13">
        <f>(1+J111)*(1+K66)-1</f>
        <v>-3.8780149349729842E-2</v>
      </c>
      <c r="L111" s="13">
        <f>(1+K111)*(1+L66)-1</f>
        <v>-4.1706399347787304E-2</v>
      </c>
      <c r="M111" s="13">
        <f>(1+L111)*(1+M66)-1</f>
        <v>-4.0552017726341427E-2</v>
      </c>
      <c r="N111" s="13">
        <f>(1+M111)*(1+N66)-1</f>
        <v>-3.939754150818997E-2</v>
      </c>
      <c r="O111" s="13">
        <f>(1+N111)*(1+O66)-1</f>
        <v>-3.6933436960270738E-2</v>
      </c>
      <c r="P111" s="13">
        <f>(1+O111)*(1+P66)-1</f>
        <v>-3.5277994605690255E-2</v>
      </c>
      <c r="Q111" s="13">
        <f>(1+P111)*(1+Q66)-1</f>
        <v>-3.2812322455215148E-2</v>
      </c>
      <c r="R111" s="13">
        <f>(1+Q111)*(1+R66)-1</f>
        <v>-2.7276419615581804E-2</v>
      </c>
      <c r="S111" s="13">
        <f>(1+R111)*(1+S66)-1</f>
        <v>-2.1431703576987537E-2</v>
      </c>
      <c r="T111" s="13">
        <f>(1+S111)*(1+T66)-1</f>
        <v>-1.7526008294464379E-2</v>
      </c>
      <c r="U111" s="13">
        <f>(1+T111)*(1+U66)-1</f>
        <v>-1.3112301673219751E-2</v>
      </c>
      <c r="V111" s="13">
        <f>(1+U111)*(1+V66)-1</f>
        <v>-9.6497153799087743E-3</v>
      </c>
      <c r="W111" s="13">
        <f>(1+V111)*(1+W66)-1</f>
        <v>-3.7109927385992059E-3</v>
      </c>
      <c r="X111" s="13">
        <f>(1+W111)*(1+X66)-1</f>
        <v>2.4876681369168097E-4</v>
      </c>
      <c r="Y111" s="13">
        <f>(1+X111)*(1+Y66)-1</f>
        <v>5.8167874873060743E-3</v>
      </c>
      <c r="Z111" s="13">
        <f>(1+Y111)*(1+Z66)-1</f>
        <v>1.0931086322219175E-2</v>
      </c>
      <c r="AA111" s="13">
        <f>(1+Z111)*(1+AA66)-1</f>
        <v>1.5525972663038345E-2</v>
      </c>
      <c r="AB111" s="13">
        <f>(1+AA111)*(1+AB66)-1</f>
        <v>1.923639782140163E-2</v>
      </c>
      <c r="AC111" s="13">
        <f>(1+AB111)*(1+AC66)-1</f>
        <v>2.3119488995801518E-2</v>
      </c>
    </row>
    <row r="112" spans="1:29" x14ac:dyDescent="0.25">
      <c r="A112" t="s">
        <v>127</v>
      </c>
      <c r="B112" s="1" t="s">
        <v>9</v>
      </c>
      <c r="C112" s="13">
        <f>IF($A112="AEO",'Growth Rates'!B105,'Growth Rates'!B105*'Rescale to Fit GDP Proj'!$D$52)</f>
        <v>0</v>
      </c>
      <c r="D112" s="13">
        <f>(1+C112)*(1+D67)-1</f>
        <v>1.6536762550319217E-2</v>
      </c>
      <c r="E112" s="13">
        <f>(1+D112)*(1+E67)-1</f>
        <v>1.2097524006619009E-2</v>
      </c>
      <c r="F112" s="13">
        <f>(1+E112)*(1+F67)-1</f>
        <v>7.5820120981093808E-3</v>
      </c>
      <c r="G112" s="13">
        <f>(1+F112)*(1+G67)-1</f>
        <v>2.1039893056837844E-3</v>
      </c>
      <c r="H112" s="13">
        <f>(1+G112)*(1+H67)-1</f>
        <v>-5.7168555267265164E-3</v>
      </c>
      <c r="I112" s="13">
        <f>(1+H112)*(1+I67)-1</f>
        <v>-1.7988296813502447E-2</v>
      </c>
      <c r="J112" s="13">
        <f>(1+I112)*(1+J67)-1</f>
        <v>-3.1620648151235664E-2</v>
      </c>
      <c r="K112" s="13">
        <f>(1+J112)*(1+K67)-1</f>
        <v>-4.7741423508098513E-2</v>
      </c>
      <c r="L112" s="13">
        <f>(1+K112)*(1+L67)-1</f>
        <v>-6.415072391224752E-2</v>
      </c>
      <c r="M112" s="13">
        <f>(1+L112)*(1+M67)-1</f>
        <v>-7.8283535369422341E-2</v>
      </c>
      <c r="N112" s="13">
        <f>(1+M112)*(1+N67)-1</f>
        <v>-9.2441035970216245E-2</v>
      </c>
      <c r="O112" s="13">
        <f>(1+N112)*(1+O67)-1</f>
        <v>-0.10700568710578717</v>
      </c>
      <c r="P112" s="13">
        <f>(1+O112)*(1+P67)-1</f>
        <v>-0.12082031811301852</v>
      </c>
      <c r="Q112" s="13">
        <f>(1+P112)*(1+Q67)-1</f>
        <v>-0.13221774691594779</v>
      </c>
      <c r="R112" s="13">
        <f>(1+Q112)*(1+R67)-1</f>
        <v>-0.14071407663793734</v>
      </c>
      <c r="S112" s="13">
        <f>(1+R112)*(1+S67)-1</f>
        <v>-0.14695284812558684</v>
      </c>
      <c r="T112" s="13">
        <f>(1+S112)*(1+T67)-1</f>
        <v>-0.15358567798815981</v>
      </c>
      <c r="U112" s="13">
        <f>(1+T112)*(1+U67)-1</f>
        <v>-0.1599820412939752</v>
      </c>
      <c r="V112" s="13">
        <f>(1+U112)*(1+V67)-1</f>
        <v>-0.16573786185908945</v>
      </c>
      <c r="W112" s="13">
        <f>(1+V112)*(1+W67)-1</f>
        <v>-0.16971915264962056</v>
      </c>
      <c r="X112" s="13">
        <f>(1+W112)*(1+X67)-1</f>
        <v>-0.17516846470120417</v>
      </c>
      <c r="Y112" s="13">
        <f>(1+X112)*(1+Y67)-1</f>
        <v>-0.17744440054933142</v>
      </c>
      <c r="Z112" s="13">
        <f>(1+Y112)*(1+Z67)-1</f>
        <v>-0.17612371939347293</v>
      </c>
      <c r="AA112" s="13">
        <f>(1+Z112)*(1+AA67)-1</f>
        <v>-0.17841913776079421</v>
      </c>
      <c r="AB112" s="13">
        <f>(1+AA112)*(1+AB67)-1</f>
        <v>-0.17729138342723538</v>
      </c>
      <c r="AC112" s="13">
        <f>(1+AB112)*(1+AC67)-1</f>
        <v>-0.17599475819435351</v>
      </c>
    </row>
    <row r="113" spans="1:29" x14ac:dyDescent="0.25">
      <c r="A113" t="s">
        <v>127</v>
      </c>
      <c r="B113" s="1" t="s">
        <v>33</v>
      </c>
      <c r="C113" s="13">
        <f>IF($A113="AEO",'Growth Rates'!B106,'Growth Rates'!B106*'Rescale to Fit GDP Proj'!$D$52)</f>
        <v>0</v>
      </c>
      <c r="D113" s="13">
        <f>(1+C113)*(1+D68)-1</f>
        <v>5.1665284598176875E-3</v>
      </c>
      <c r="E113" s="13">
        <f>(1+D113)*(1+E68)-1</f>
        <v>-1.8843395381065164E-3</v>
      </c>
      <c r="F113" s="13">
        <f>(1+E113)*(1+F68)-1</f>
        <v>-4.0607095189938436E-3</v>
      </c>
      <c r="G113" s="13">
        <f>(1+F113)*(1+G68)-1</f>
        <v>-6.018529624400526E-3</v>
      </c>
      <c r="H113" s="13">
        <f>(1+G113)*(1+H68)-1</f>
        <v>-2.6169452978476171E-3</v>
      </c>
      <c r="I113" s="13">
        <f>(1+H113)*(1+I68)-1</f>
        <v>6.625018984459663E-3</v>
      </c>
      <c r="J113" s="13">
        <f>(1+I113)*(1+J68)-1</f>
        <v>1.8606043547265694E-2</v>
      </c>
      <c r="K113" s="13">
        <f>(1+J113)*(1+K68)-1</f>
        <v>3.2108918116263929E-2</v>
      </c>
      <c r="L113" s="13">
        <f>(1+K113)*(1+L68)-1</f>
        <v>4.4020615716276357E-2</v>
      </c>
      <c r="M113" s="13">
        <f>(1+L113)*(1+M68)-1</f>
        <v>5.8420046498495193E-2</v>
      </c>
      <c r="N113" s="13">
        <f>(1+M113)*(1+N68)-1</f>
        <v>7.1162448914933396E-2</v>
      </c>
      <c r="O113" s="13">
        <f>(1+N113)*(1+O68)-1</f>
        <v>8.1646317436021354E-2</v>
      </c>
      <c r="P113" s="13">
        <f>(1+O113)*(1+P68)-1</f>
        <v>9.5648142973041139E-2</v>
      </c>
      <c r="Q113" s="13">
        <f>(1+P113)*(1+Q68)-1</f>
        <v>0.1098373310887919</v>
      </c>
      <c r="R113" s="13">
        <f>(1+Q113)*(1+R68)-1</f>
        <v>0.12525867973301996</v>
      </c>
      <c r="S113" s="13">
        <f>(1+R113)*(1+S68)-1</f>
        <v>0.14256519937863366</v>
      </c>
      <c r="T113" s="13">
        <f>(1+S113)*(1+T68)-1</f>
        <v>0.15910762159280645</v>
      </c>
      <c r="U113" s="13">
        <f>(1+T113)*(1+U68)-1</f>
        <v>0.17647281878983878</v>
      </c>
      <c r="V113" s="13">
        <f>(1+U113)*(1+V68)-1</f>
        <v>0.19169374024110186</v>
      </c>
      <c r="W113" s="13">
        <f>(1+V113)*(1+W68)-1</f>
        <v>0.20634668813650037</v>
      </c>
      <c r="X113" s="13">
        <f>(1+W113)*(1+X68)-1</f>
        <v>0.21825090999077945</v>
      </c>
      <c r="Y113" s="13">
        <f>(1+X113)*(1+Y68)-1</f>
        <v>0.23091084535510054</v>
      </c>
      <c r="Z113" s="13">
        <f>(1+Y113)*(1+Z68)-1</f>
        <v>0.24819840961762285</v>
      </c>
      <c r="AA113" s="13">
        <f>(1+Z113)*(1+AA68)-1</f>
        <v>0.26286155159926738</v>
      </c>
      <c r="AB113" s="13">
        <f>(1+AA113)*(1+AB68)-1</f>
        <v>0.27658101369142396</v>
      </c>
      <c r="AC113" s="13">
        <f>(1+AB113)*(1+AC68)-1</f>
        <v>0.28822416721169986</v>
      </c>
    </row>
    <row r="114" spans="1:29" x14ac:dyDescent="0.25">
      <c r="B114" s="1" t="s">
        <v>34</v>
      </c>
      <c r="C114" s="13">
        <f>IF($A114="AEO",'Growth Rates'!B107,'Growth Rates'!B107*'Rescale to Fit GDP Proj'!$D$52)</f>
        <v>0</v>
      </c>
      <c r="D114" s="13">
        <f>(1+C114)*(1+D69)-1</f>
        <v>2.075999999999989E-2</v>
      </c>
      <c r="E114" s="13">
        <f>(1+D114)*(1+E69)-1</f>
        <v>4.1950977599999772E-2</v>
      </c>
      <c r="F114" s="13">
        <f>(1+E114)*(1+F69)-1</f>
        <v>6.3581879894975657E-2</v>
      </c>
      <c r="G114" s="13">
        <f>(1+F114)*(1+G69)-1</f>
        <v>8.5661839721595134E-2</v>
      </c>
      <c r="H114" s="13">
        <f>(1+G114)*(1+H69)-1</f>
        <v>0.10820017951421534</v>
      </c>
      <c r="I114" s="13">
        <f>(1+H114)*(1+I69)-1</f>
        <v>0.13120641524093024</v>
      </c>
      <c r="J114" s="13">
        <f>(1+I114)*(1+J69)-1</f>
        <v>0.15469026042133183</v>
      </c>
      <c r="K114" s="13">
        <f>(1+J114)*(1+K69)-1</f>
        <v>0.17866163022767845</v>
      </c>
      <c r="L114" s="13">
        <f>(1+K114)*(1+L69)-1</f>
        <v>0.20313064567120498</v>
      </c>
      <c r="M114" s="13">
        <f>(1+L114)*(1+M69)-1</f>
        <v>0.22810763787533905</v>
      </c>
      <c r="N114" s="13">
        <f>(1+M114)*(1+N69)-1</f>
        <v>0.25360315243763099</v>
      </c>
      <c r="O114" s="13">
        <f>(1+N114)*(1+O69)-1</f>
        <v>0.27962795388223616</v>
      </c>
      <c r="P114" s="13">
        <f>(1+O114)*(1+P69)-1</f>
        <v>0.30619303020483124</v>
      </c>
      <c r="Q114" s="13">
        <f>(1+P114)*(1+Q69)-1</f>
        <v>0.33330959751188338</v>
      </c>
      <c r="R114" s="13">
        <f>(1+Q114)*(1+R69)-1</f>
        <v>0.36098910475622992</v>
      </c>
      <c r="S114" s="13">
        <f>(1+R114)*(1+S69)-1</f>
        <v>0.38924323857096921</v>
      </c>
      <c r="T114" s="13">
        <f>(1+S114)*(1+T69)-1</f>
        <v>0.41808392820370233</v>
      </c>
      <c r="U114" s="13">
        <f>(1+T114)*(1+U69)-1</f>
        <v>0.44752335055321102</v>
      </c>
      <c r="V114" s="13">
        <f>(1+U114)*(1+V69)-1</f>
        <v>0.47757393531069559</v>
      </c>
      <c r="W114" s="13">
        <f>(1+V114)*(1+W69)-1</f>
        <v>0.50824837020774538</v>
      </c>
      <c r="X114" s="13">
        <f>(1+W114)*(1+X69)-1</f>
        <v>0.53955960637325795</v>
      </c>
      <c r="Y114" s="13">
        <f>(1+X114)*(1+Y69)-1</f>
        <v>0.57152086380156653</v>
      </c>
      <c r="Z114" s="13">
        <f>(1+Y114)*(1+Z69)-1</f>
        <v>0.60414563693408696</v>
      </c>
      <c r="AA114" s="13">
        <f>(1+Z114)*(1+AA69)-1</f>
        <v>0.6374477003568384</v>
      </c>
      <c r="AB114" s="13">
        <f>(1+AA114)*(1+AB69)-1</f>
        <v>0.67144111461624623</v>
      </c>
      <c r="AC114" s="13">
        <f>(1+AB114)*(1+AC69)-1</f>
        <v>0.70614023215567934</v>
      </c>
    </row>
    <row r="115" spans="1:29" x14ac:dyDescent="0.25">
      <c r="A115" t="s">
        <v>127</v>
      </c>
      <c r="B115" s="1" t="s">
        <v>10</v>
      </c>
      <c r="C115" s="13">
        <f>IF($A115="AEO",'Growth Rates'!B108,'Growth Rates'!B108*'Rescale to Fit GDP Proj'!$D$52)</f>
        <v>0</v>
      </c>
      <c r="D115" s="13">
        <f>(1+C115)*(1+D70)-1</f>
        <v>2.5276672821325397E-2</v>
      </c>
      <c r="E115" s="13">
        <f>(1+D115)*(1+E70)-1</f>
        <v>5.8329442989480951E-2</v>
      </c>
      <c r="F115" s="13">
        <f>(1+E115)*(1+F70)-1</f>
        <v>7.8506660122361183E-2</v>
      </c>
      <c r="G115" s="13">
        <f>(1+F115)*(1+G70)-1</f>
        <v>8.7937061787640047E-2</v>
      </c>
      <c r="H115" s="13">
        <f>(1+G115)*(1+H70)-1</f>
        <v>0.10172478828764753</v>
      </c>
      <c r="I115" s="13">
        <f>(1+H115)*(1+I70)-1</f>
        <v>0.11945144672846864</v>
      </c>
      <c r="J115" s="13">
        <f>(1+I115)*(1+J70)-1</f>
        <v>0.13734346165932632</v>
      </c>
      <c r="K115" s="13">
        <f>(1+J115)*(1+K70)-1</f>
        <v>0.15433509613744412</v>
      </c>
      <c r="L115" s="13">
        <f>(1+K115)*(1+L70)-1</f>
        <v>0.16914608778224571</v>
      </c>
      <c r="M115" s="13">
        <f>(1+L115)*(1+M70)-1</f>
        <v>0.18827862019423725</v>
      </c>
      <c r="N115" s="13">
        <f>(1+M115)*(1+N70)-1</f>
        <v>0.20287840671811375</v>
      </c>
      <c r="O115" s="13">
        <f>(1+N115)*(1+O70)-1</f>
        <v>0.21353279492519239</v>
      </c>
      <c r="P115" s="13">
        <f>(1+O115)*(1+P70)-1</f>
        <v>0.22764384022443096</v>
      </c>
      <c r="Q115" s="13">
        <f>(1+P115)*(1+Q70)-1</f>
        <v>0.23965760854709317</v>
      </c>
      <c r="R115" s="13">
        <f>(1+Q115)*(1+R70)-1</f>
        <v>0.25230276926860906</v>
      </c>
      <c r="S115" s="13">
        <f>(1+R115)*(1+S70)-1</f>
        <v>0.26663242328895365</v>
      </c>
      <c r="T115" s="13">
        <f>(1+S115)*(1+T70)-1</f>
        <v>0.27905236291363034</v>
      </c>
      <c r="U115" s="13">
        <f>(1+T115)*(1+U70)-1</f>
        <v>0.29250010309466212</v>
      </c>
      <c r="V115" s="13">
        <f>(1+U115)*(1+V70)-1</f>
        <v>0.30186870447904468</v>
      </c>
      <c r="W115" s="13">
        <f>(1+V115)*(1+W70)-1</f>
        <v>0.31169752533062711</v>
      </c>
      <c r="X115" s="13">
        <f>(1+W115)*(1+X70)-1</f>
        <v>0.31951846814877993</v>
      </c>
      <c r="Y115" s="13">
        <f>(1+X115)*(1+Y70)-1</f>
        <v>0.32825538513481067</v>
      </c>
      <c r="Z115" s="13">
        <f>(1+Y115)*(1+Z70)-1</f>
        <v>0.33846278333582602</v>
      </c>
      <c r="AA115" s="13">
        <f>(1+Z115)*(1+AA70)-1</f>
        <v>0.34754838540007804</v>
      </c>
      <c r="AB115" s="13">
        <f>(1+AA115)*(1+AB70)-1</f>
        <v>0.35731770428939558</v>
      </c>
      <c r="AC115" s="13">
        <f>(1+AB115)*(1+AC70)-1</f>
        <v>0.36511004528573143</v>
      </c>
    </row>
    <row r="116" spans="1:29" x14ac:dyDescent="0.25">
      <c r="A116" t="s">
        <v>127</v>
      </c>
      <c r="B116" s="1" t="s">
        <v>38</v>
      </c>
      <c r="C116" s="13">
        <f>IF($A116="AEO",'Growth Rates'!B109,'Growth Rates'!B109*'Rescale to Fit GDP Proj'!$D$52)</f>
        <v>0</v>
      </c>
      <c r="D116" s="13">
        <f>(1+C116)*(1+D71)-1</f>
        <v>-7.4908174144431294E-3</v>
      </c>
      <c r="E116" s="13">
        <f>(1+D116)*(1+E71)-1</f>
        <v>-9.6940785317932709E-3</v>
      </c>
      <c r="F116" s="13">
        <f>(1+E116)*(1+F71)-1</f>
        <v>-1.0265568905404199E-2</v>
      </c>
      <c r="G116" s="13">
        <f>(1+F116)*(1+G71)-1</f>
        <v>-8.7150067619445881E-3</v>
      </c>
      <c r="H116" s="13">
        <f>(1+G116)*(1+H71)-1</f>
        <v>-6.5670346227413301E-3</v>
      </c>
      <c r="I116" s="13">
        <f>(1+H116)*(1+I71)-1</f>
        <v>-3.6883715531215167E-3</v>
      </c>
      <c r="J116" s="13">
        <f>(1+I116)*(1+J71)-1</f>
        <v>1.2009735708427005E-3</v>
      </c>
      <c r="K116" s="13">
        <f>(1+J116)*(1+K71)-1</f>
        <v>7.5348714484637647E-3</v>
      </c>
      <c r="L116" s="13">
        <f>(1+K116)*(1+L71)-1</f>
        <v>1.3741735206818317E-2</v>
      </c>
      <c r="M116" s="13">
        <f>(1+L116)*(1+M71)-1</f>
        <v>2.0510066463318655E-2</v>
      </c>
      <c r="N116" s="13">
        <f>(1+M116)*(1+N71)-1</f>
        <v>2.817975724129429E-2</v>
      </c>
      <c r="O116" s="13">
        <f>(1+N116)*(1+O71)-1</f>
        <v>3.5697613110480475E-2</v>
      </c>
      <c r="P116" s="13">
        <f>(1+O116)*(1+P71)-1</f>
        <v>4.4135615565385811E-2</v>
      </c>
      <c r="Q116" s="13">
        <f>(1+P116)*(1+Q71)-1</f>
        <v>5.3367429757124718E-2</v>
      </c>
      <c r="R116" s="13">
        <f>(1+Q116)*(1+R71)-1</f>
        <v>6.2842310333398155E-2</v>
      </c>
      <c r="S116" s="13">
        <f>(1+R116)*(1+S71)-1</f>
        <v>7.2954552553199381E-2</v>
      </c>
      <c r="T116" s="13">
        <f>(1+S116)*(1+T71)-1</f>
        <v>8.3210844471545364E-2</v>
      </c>
      <c r="U116" s="13">
        <f>(1+T116)*(1+U71)-1</f>
        <v>9.3298705464052389E-2</v>
      </c>
      <c r="V116" s="13">
        <f>(1+U116)*(1+V71)-1</f>
        <v>0.10268734269330082</v>
      </c>
      <c r="W116" s="13">
        <f>(1+V116)*(1+W71)-1</f>
        <v>0.11110376100243702</v>
      </c>
      <c r="X116" s="13">
        <f>(1+W116)*(1+X71)-1</f>
        <v>0.11876105138565096</v>
      </c>
      <c r="Y116" s="13">
        <f>(1+X116)*(1+Y71)-1</f>
        <v>0.12596516794376766</v>
      </c>
      <c r="Z116" s="13">
        <f>(1+Y116)*(1+Z71)-1</f>
        <v>0.13376352447189954</v>
      </c>
      <c r="AA116" s="13">
        <f>(1+Z116)*(1+AA71)-1</f>
        <v>0.14206106681621744</v>
      </c>
      <c r="AB116" s="13">
        <f>(1+AA116)*(1+AB71)-1</f>
        <v>0.1503971156495314</v>
      </c>
      <c r="AC116" s="13">
        <f>(1+AB116)*(1+AC71)-1</f>
        <v>0.15816008909637014</v>
      </c>
    </row>
    <row r="117" spans="1:29" x14ac:dyDescent="0.25">
      <c r="A117" t="s">
        <v>127</v>
      </c>
      <c r="B117" s="1" t="s">
        <v>39</v>
      </c>
      <c r="C117" s="13">
        <f>IF($A117="AEO",'Growth Rates'!B110,'Growth Rates'!B110*'Rescale to Fit GDP Proj'!$D$52)</f>
        <v>0</v>
      </c>
      <c r="D117" s="13">
        <f>(1+C117)*(1+D72)-1</f>
        <v>2.8758968843307642E-3</v>
      </c>
      <c r="E117" s="13">
        <f>(1+D117)*(1+E72)-1</f>
        <v>5.5447386050926362E-3</v>
      </c>
      <c r="F117" s="13">
        <f>(1+E117)*(1+F72)-1</f>
        <v>1.334697229910442E-2</v>
      </c>
      <c r="G117" s="13">
        <f>(1+F117)*(1+G72)-1</f>
        <v>2.0322084157451625E-2</v>
      </c>
      <c r="H117" s="13">
        <f>(1+G117)*(1+H72)-1</f>
        <v>2.3257517031993524E-2</v>
      </c>
      <c r="I117" s="13">
        <f>(1+H117)*(1+I72)-1</f>
        <v>3.3148604906038326E-2</v>
      </c>
      <c r="J117" s="13">
        <f>(1+I117)*(1+J72)-1</f>
        <v>4.8267405567056665E-2</v>
      </c>
      <c r="K117" s="13">
        <f>(1+J117)*(1+K72)-1</f>
        <v>6.1310826450002187E-2</v>
      </c>
      <c r="L117" s="13">
        <f>(1+K117)*(1+L72)-1</f>
        <v>6.9852920243094418E-2</v>
      </c>
      <c r="M117" s="13">
        <f>(1+L117)*(1+M72)-1</f>
        <v>7.6525013445821521E-2</v>
      </c>
      <c r="N117" s="13">
        <f>(1+M117)*(1+N72)-1</f>
        <v>8.5495524406353995E-2</v>
      </c>
      <c r="O117" s="13">
        <f>(1+N117)*(1+O72)-1</f>
        <v>9.494903829119794E-2</v>
      </c>
      <c r="P117" s="13">
        <f>(1+O117)*(1+P72)-1</f>
        <v>0.10496619062773638</v>
      </c>
      <c r="Q117" s="13">
        <f>(1+P117)*(1+Q72)-1</f>
        <v>0.1163189292383342</v>
      </c>
      <c r="R117" s="13">
        <f>(1+Q117)*(1+R72)-1</f>
        <v>0.12652720941816709</v>
      </c>
      <c r="S117" s="13">
        <f>(1+R117)*(1+S72)-1</f>
        <v>0.13250806802015713</v>
      </c>
      <c r="T117" s="13">
        <f>(1+S117)*(1+T72)-1</f>
        <v>0.13550267061203947</v>
      </c>
      <c r="U117" s="13">
        <f>(1+T117)*(1+U72)-1</f>
        <v>0.13633829441796896</v>
      </c>
      <c r="V117" s="13">
        <f>(1+U117)*(1+V72)-1</f>
        <v>0.13229434225067549</v>
      </c>
      <c r="W117" s="13">
        <f>(1+V117)*(1+W72)-1</f>
        <v>0.12489021386928179</v>
      </c>
      <c r="X117" s="13">
        <f>(1+W117)*(1+X72)-1</f>
        <v>0.12527881828562459</v>
      </c>
      <c r="Y117" s="13">
        <f>(1+X117)*(1+Y72)-1</f>
        <v>0.13094350570619273</v>
      </c>
      <c r="Z117" s="13">
        <f>(1+Y117)*(1+Z72)-1</f>
        <v>0.13774363902507791</v>
      </c>
      <c r="AA117" s="13">
        <f>(1+Z117)*(1+AA72)-1</f>
        <v>0.14570024008520699</v>
      </c>
      <c r="AB117" s="13">
        <f>(1+AA117)*(1+AB72)-1</f>
        <v>0.15389712724751292</v>
      </c>
      <c r="AC117" s="13">
        <f>(1+AB117)*(1+AC72)-1</f>
        <v>0.1628476263903067</v>
      </c>
    </row>
    <row r="118" spans="1:29" x14ac:dyDescent="0.25">
      <c r="A118" t="s">
        <v>127</v>
      </c>
      <c r="B118" s="1" t="s">
        <v>40</v>
      </c>
      <c r="C118" s="13">
        <f>IF($A118="AEO",'Growth Rates'!B111,'Growth Rates'!B111*'Rescale to Fit GDP Proj'!$D$52)</f>
        <v>0</v>
      </c>
      <c r="D118" s="13">
        <f>(1+C118)*(1+D73)-1</f>
        <v>2.5613569332120223E-2</v>
      </c>
      <c r="E118" s="13">
        <f>(1+D118)*(1+E73)-1</f>
        <v>6.3565342772621269E-2</v>
      </c>
      <c r="F118" s="13">
        <f>(1+E118)*(1+F73)-1</f>
        <v>6.9816743299714989E-2</v>
      </c>
      <c r="G118" s="13">
        <f>(1+F118)*(1+G73)-1</f>
        <v>6.3086171766112198E-2</v>
      </c>
      <c r="H118" s="13">
        <f>(1+G118)*(1+H73)-1</f>
        <v>6.0723957321637378E-2</v>
      </c>
      <c r="I118" s="13">
        <f>(1+H118)*(1+I73)-1</f>
        <v>6.9752163739295048E-2</v>
      </c>
      <c r="J118" s="13">
        <f>(1+I118)*(1+J73)-1</f>
        <v>8.3652333761937703E-2</v>
      </c>
      <c r="K118" s="13">
        <f>(1+J118)*(1+K73)-1</f>
        <v>9.697214603662685E-2</v>
      </c>
      <c r="L118" s="13">
        <f>(1+K118)*(1+L73)-1</f>
        <v>9.3631295779173618E-2</v>
      </c>
      <c r="M118" s="13">
        <f>(1+L118)*(1+M73)-1</f>
        <v>0.10112715612912004</v>
      </c>
      <c r="N118" s="13">
        <f>(1+M118)*(1+N73)-1</f>
        <v>0.10787347076669462</v>
      </c>
      <c r="O118" s="13">
        <f>(1+N118)*(1+O73)-1</f>
        <v>0.11351109761237699</v>
      </c>
      <c r="P118" s="13">
        <f>(1+O118)*(1+P73)-1</f>
        <v>0.12815247232487015</v>
      </c>
      <c r="Q118" s="13">
        <f>(1+P118)*(1+Q73)-1</f>
        <v>0.13929682726224479</v>
      </c>
      <c r="R118" s="13">
        <f>(1+Q118)*(1+R73)-1</f>
        <v>0.1502303006433432</v>
      </c>
      <c r="S118" s="13">
        <f>(1+R118)*(1+S73)-1</f>
        <v>0.17016536175075125</v>
      </c>
      <c r="T118" s="13">
        <f>(1+S118)*(1+T73)-1</f>
        <v>0.18308419434469547</v>
      </c>
      <c r="U118" s="13">
        <f>(1+T118)*(1+U73)-1</f>
        <v>0.19191766553627554</v>
      </c>
      <c r="V118" s="13">
        <f>(1+U118)*(1+V73)-1</f>
        <v>0.20795964654778776</v>
      </c>
      <c r="W118" s="13">
        <f>(1+V118)*(1+W73)-1</f>
        <v>0.22048654900959264</v>
      </c>
      <c r="X118" s="13">
        <f>(1+W118)*(1+X73)-1</f>
        <v>0.22816073327818343</v>
      </c>
      <c r="Y118" s="13">
        <f>(1+X118)*(1+Y73)-1</f>
        <v>0.23287285800683866</v>
      </c>
      <c r="Z118" s="13">
        <f>(1+Y118)*(1+Z73)-1</f>
        <v>0.24365796141757445</v>
      </c>
      <c r="AA118" s="13">
        <f>(1+Z118)*(1+AA73)-1</f>
        <v>0.24796740139458273</v>
      </c>
      <c r="AB118" s="13">
        <f>(1+AA118)*(1+AB73)-1</f>
        <v>0.25000655098609248</v>
      </c>
      <c r="AC118" s="13">
        <f>(1+AB118)*(1+AC73)-1</f>
        <v>0.25230462365862216</v>
      </c>
    </row>
    <row r="119" spans="1:29" x14ac:dyDescent="0.25">
      <c r="A119" t="s">
        <v>127</v>
      </c>
      <c r="B119" s="1" t="s">
        <v>41</v>
      </c>
      <c r="C119" s="13">
        <f>IF($A119="AEO",'Growth Rates'!B112,'Growth Rates'!B112*'Rescale to Fit GDP Proj'!$D$52)</f>
        <v>0</v>
      </c>
      <c r="D119" s="13">
        <f>(1+C119)*(1+D74)-1</f>
        <v>4.8085548520604426E-4</v>
      </c>
      <c r="E119" s="13">
        <f>(1+D119)*(1+E74)-1</f>
        <v>4.7851004202861258E-3</v>
      </c>
      <c r="F119" s="13">
        <f>(1+E119)*(1+F74)-1</f>
        <v>1.7278597166038745E-2</v>
      </c>
      <c r="G119" s="13">
        <f>(1+F119)*(1+G74)-1</f>
        <v>2.6627658737753412E-2</v>
      </c>
      <c r="H119" s="13">
        <f>(1+G119)*(1+H74)-1</f>
        <v>3.5890873390017841E-2</v>
      </c>
      <c r="I119" s="13">
        <f>(1+H119)*(1+I74)-1</f>
        <v>4.5239247974996344E-2</v>
      </c>
      <c r="J119" s="13">
        <f>(1+I119)*(1+J74)-1</f>
        <v>5.4554973074964153E-2</v>
      </c>
      <c r="K119" s="13">
        <f>(1+J119)*(1+K74)-1</f>
        <v>6.4775565396689494E-2</v>
      </c>
      <c r="L119" s="13">
        <f>(1+K119)*(1+L74)-1</f>
        <v>7.5193666405053872E-2</v>
      </c>
      <c r="M119" s="13">
        <f>(1+L119)*(1+M74)-1</f>
        <v>8.5835311135852299E-2</v>
      </c>
      <c r="N119" s="13">
        <f>(1+M119)*(1+N74)-1</f>
        <v>9.7306219317344622E-2</v>
      </c>
      <c r="O119" s="13">
        <f>(1+N119)*(1+O74)-1</f>
        <v>0.10878730899456746</v>
      </c>
      <c r="P119" s="13">
        <f>(1+O119)*(1+P74)-1</f>
        <v>0.1205039822771512</v>
      </c>
      <c r="Q119" s="13">
        <f>(1+P119)*(1+Q74)-1</f>
        <v>0.13246732783561876</v>
      </c>
      <c r="R119" s="13">
        <f>(1+Q119)*(1+R74)-1</f>
        <v>0.14435360757432791</v>
      </c>
      <c r="S119" s="13">
        <f>(1+R119)*(1+S74)-1</f>
        <v>0.15620262268636265</v>
      </c>
      <c r="T119" s="13">
        <f>(1+S119)*(1+T74)-1</f>
        <v>0.16794282086089818</v>
      </c>
      <c r="U119" s="13">
        <f>(1+T119)*(1+U74)-1</f>
        <v>0.1793966952943431</v>
      </c>
      <c r="V119" s="13">
        <f>(1+U119)*(1+V74)-1</f>
        <v>0.19051035275800055</v>
      </c>
      <c r="W119" s="13">
        <f>(1+V119)*(1+W74)-1</f>
        <v>0.20113989595321646</v>
      </c>
      <c r="X119" s="13">
        <f>(1+W119)*(1+X74)-1</f>
        <v>0.21113358888652711</v>
      </c>
      <c r="Y119" s="13">
        <f>(1+X119)*(1+Y74)-1</f>
        <v>0.2204167613842285</v>
      </c>
      <c r="Z119" s="13">
        <f>(1+Y119)*(1+Z74)-1</f>
        <v>0.22933522319274258</v>
      </c>
      <c r="AA119" s="13">
        <f>(1+Z119)*(1+AA74)-1</f>
        <v>0.23772828106846822</v>
      </c>
      <c r="AB119" s="13">
        <f>(1+AA119)*(1+AB74)-1</f>
        <v>0.2455829263010314</v>
      </c>
      <c r="AC119" s="13">
        <f>(1+AB119)*(1+AC74)-1</f>
        <v>0.25281705516794095</v>
      </c>
    </row>
    <row r="120" spans="1:29" x14ac:dyDescent="0.25">
      <c r="A120" t="s">
        <v>127</v>
      </c>
      <c r="B120" s="1" t="s">
        <v>11</v>
      </c>
      <c r="C120" s="13">
        <f>IF($A120="AEO",'Growth Rates'!B113,'Growth Rates'!B113*'Rescale to Fit GDP Proj'!$D$52)</f>
        <v>0</v>
      </c>
      <c r="D120" s="13">
        <f>(1+C120)*(1+D75)-1</f>
        <v>1.9738770957129059E-2</v>
      </c>
      <c r="E120" s="13">
        <f>(1+D120)*(1+E75)-1</f>
        <v>6.0504203053200367E-2</v>
      </c>
      <c r="F120" s="13">
        <f>(1+E120)*(1+F75)-1</f>
        <v>8.617317322374074E-2</v>
      </c>
      <c r="G120" s="13">
        <f>(1+F120)*(1+G75)-1</f>
        <v>8.8364722728379697E-2</v>
      </c>
      <c r="H120" s="13">
        <f>(1+G120)*(1+H75)-1</f>
        <v>9.1042710510723213E-2</v>
      </c>
      <c r="I120" s="13">
        <f>(1+H120)*(1+I75)-1</f>
        <v>9.940691957350678E-2</v>
      </c>
      <c r="J120" s="13">
        <f>(1+I120)*(1+J75)-1</f>
        <v>0.10921914586807846</v>
      </c>
      <c r="K120" s="13">
        <f>(1+J120)*(1+K75)-1</f>
        <v>0.12033812804922195</v>
      </c>
      <c r="L120" s="13">
        <f>(1+K120)*(1+L75)-1</f>
        <v>0.12295426501857643</v>
      </c>
      <c r="M120" s="13">
        <f>(1+L120)*(1+M75)-1</f>
        <v>0.13506570031276488</v>
      </c>
      <c r="N120" s="13">
        <f>(1+M120)*(1+N75)-1</f>
        <v>0.14065112265507507</v>
      </c>
      <c r="O120" s="13">
        <f>(1+N120)*(1+O75)-1</f>
        <v>0.14895771626550691</v>
      </c>
      <c r="P120" s="13">
        <f>(1+O120)*(1+P75)-1</f>
        <v>0.16199672529586118</v>
      </c>
      <c r="Q120" s="13">
        <f>(1+P120)*(1+Q75)-1</f>
        <v>0.17157445941052063</v>
      </c>
      <c r="R120" s="13">
        <f>(1+Q120)*(1+R75)-1</f>
        <v>0.18154590683093352</v>
      </c>
      <c r="S120" s="13">
        <f>(1+R120)*(1+S75)-1</f>
        <v>0.19413137188723595</v>
      </c>
      <c r="T120" s="13">
        <f>(1+S120)*(1+T75)-1</f>
        <v>0.20320924748310865</v>
      </c>
      <c r="U120" s="13">
        <f>(1+T120)*(1+U75)-1</f>
        <v>0.21237722616101373</v>
      </c>
      <c r="V120" s="13">
        <f>(1+U120)*(1+V75)-1</f>
        <v>0.21771069909923968</v>
      </c>
      <c r="W120" s="13">
        <f>(1+V120)*(1+W75)-1</f>
        <v>0.22669756238265437</v>
      </c>
      <c r="X120" s="13">
        <f>(1+W120)*(1+X75)-1</f>
        <v>0.23057333726477891</v>
      </c>
      <c r="Y120" s="13">
        <f>(1+X120)*(1+Y75)-1</f>
        <v>0.23761212311377977</v>
      </c>
      <c r="Z120" s="13">
        <f>(1+Y120)*(1+Z75)-1</f>
        <v>0.24363968933375091</v>
      </c>
      <c r="AA120" s="13">
        <f>(1+Z120)*(1+AA75)-1</f>
        <v>0.2482998589572003</v>
      </c>
      <c r="AB120" s="13">
        <f>(1+AA120)*(1+AB75)-1</f>
        <v>0.25533299435239254</v>
      </c>
      <c r="AC120" s="13">
        <f>(1+AB120)*(1+AC75)-1</f>
        <v>0.25547142881755813</v>
      </c>
    </row>
    <row r="121" spans="1:29" x14ac:dyDescent="0.25">
      <c r="A121" t="s">
        <v>127</v>
      </c>
      <c r="B121" s="1" t="s">
        <v>12</v>
      </c>
      <c r="C121" s="13">
        <f>IF($A121="AEO",'Growth Rates'!B114,'Growth Rates'!B114*'Rescale to Fit GDP Proj'!$D$52)</f>
        <v>0</v>
      </c>
      <c r="D121" s="13">
        <f>(1+C121)*(1+D76)-1</f>
        <v>4.034198695730562E-2</v>
      </c>
      <c r="E121" s="13">
        <f>(1+D121)*(1+E76)-1</f>
        <v>6.1874308100372755E-2</v>
      </c>
      <c r="F121" s="13">
        <f>(1+E121)*(1+F76)-1</f>
        <v>0.10360373390003641</v>
      </c>
      <c r="G121" s="13">
        <f>(1+F121)*(1+G76)-1</f>
        <v>0.14904633987645477</v>
      </c>
      <c r="H121" s="13">
        <f>(1+G121)*(1+H76)-1</f>
        <v>0.18580255384251232</v>
      </c>
      <c r="I121" s="13">
        <f>(1+H121)*(1+I76)-1</f>
        <v>0.22104954195069149</v>
      </c>
      <c r="J121" s="13">
        <f>(1+I121)*(1+J76)-1</f>
        <v>0.25455004348666166</v>
      </c>
      <c r="K121" s="13">
        <f>(1+J121)*(1+K76)-1</f>
        <v>0.290186666412376</v>
      </c>
      <c r="L121" s="13">
        <f>(1+K121)*(1+L76)-1</f>
        <v>0.31808886276435255</v>
      </c>
      <c r="M121" s="13">
        <f>(1+L121)*(1+M76)-1</f>
        <v>0.34880644156839646</v>
      </c>
      <c r="N121" s="13">
        <f>(1+M121)*(1+N76)-1</f>
        <v>0.38359083491677159</v>
      </c>
      <c r="O121" s="13">
        <f>(1+N121)*(1+O76)-1</f>
        <v>0.42293196573106195</v>
      </c>
      <c r="P121" s="13">
        <f>(1+O121)*(1+P76)-1</f>
        <v>0.46330745099228787</v>
      </c>
      <c r="Q121" s="13">
        <f>(1+P121)*(1+Q76)-1</f>
        <v>0.50442031710039892</v>
      </c>
      <c r="R121" s="13">
        <f>(1+Q121)*(1+R76)-1</f>
        <v>0.54893668815559349</v>
      </c>
      <c r="S121" s="13">
        <f>(1+R121)*(1+S76)-1</f>
        <v>0.59672937514313751</v>
      </c>
      <c r="T121" s="13">
        <f>(1+S121)*(1+T76)-1</f>
        <v>0.64589888787403615</v>
      </c>
      <c r="U121" s="13">
        <f>(1+T121)*(1+U76)-1</f>
        <v>0.69688646309857982</v>
      </c>
      <c r="V121" s="13">
        <f>(1+U121)*(1+V76)-1</f>
        <v>0.74715288847261507</v>
      </c>
      <c r="W121" s="13">
        <f>(1+V121)*(1+W76)-1</f>
        <v>0.80084751299796686</v>
      </c>
      <c r="X121" s="13">
        <f>(1+W121)*(1+X76)-1</f>
        <v>0.8539104558701458</v>
      </c>
      <c r="Y121" s="13">
        <f>(1+X121)*(1+Y76)-1</f>
        <v>0.91227763926989192</v>
      </c>
      <c r="Z121" s="13">
        <f>(1+Y121)*(1+Z76)-1</f>
        <v>0.9730310382148426</v>
      </c>
      <c r="AA121" s="13">
        <f>(1+Z121)*(1+AA76)-1</f>
        <v>1.0347089358052917</v>
      </c>
      <c r="AB121" s="13">
        <f>(1+AA121)*(1+AB76)-1</f>
        <v>1.0975375637685327</v>
      </c>
      <c r="AC121" s="13">
        <f>(1+AB121)*(1+AC76)-1</f>
        <v>1.1609124277112168</v>
      </c>
    </row>
    <row r="122" spans="1:29" x14ac:dyDescent="0.25">
      <c r="A122" t="s">
        <v>127</v>
      </c>
      <c r="B122" s="1" t="s">
        <v>13</v>
      </c>
      <c r="C122" s="13">
        <f>IF($A122="AEO",'Growth Rates'!B115,'Growth Rates'!B115*'Rescale to Fit GDP Proj'!$D$52)</f>
        <v>0</v>
      </c>
      <c r="D122" s="13">
        <f>(1+C122)*(1+D77)-1</f>
        <v>6.1082305929953673E-3</v>
      </c>
      <c r="E122" s="13">
        <f>(1+D122)*(1+E77)-1</f>
        <v>-1.0059695400337354E-3</v>
      </c>
      <c r="F122" s="13">
        <f>(1+E122)*(1+F77)-1</f>
        <v>1.2484847175224578E-2</v>
      </c>
      <c r="G122" s="13">
        <f>(1+F122)*(1+G77)-1</f>
        <v>3.3941525274581386E-2</v>
      </c>
      <c r="H122" s="13">
        <f>(1+G122)*(1+H77)-1</f>
        <v>4.9630046709300712E-2</v>
      </c>
      <c r="I122" s="13">
        <f>(1+H122)*(1+I77)-1</f>
        <v>6.3717802066220353E-2</v>
      </c>
      <c r="J122" s="13">
        <f>(1+I122)*(1+J77)-1</f>
        <v>7.2356386484768276E-2</v>
      </c>
      <c r="K122" s="13">
        <f>(1+J122)*(1+K77)-1</f>
        <v>8.1963048246955772E-2</v>
      </c>
      <c r="L122" s="13">
        <f>(1+K122)*(1+L77)-1</f>
        <v>8.1812187806492354E-2</v>
      </c>
      <c r="M122" s="13">
        <f>(1+L122)*(1+M77)-1</f>
        <v>8.3679061221175521E-2</v>
      </c>
      <c r="N122" s="13">
        <f>(1+M122)*(1+N77)-1</f>
        <v>8.8418325273816656E-2</v>
      </c>
      <c r="O122" s="13">
        <f>(1+N122)*(1+O77)-1</f>
        <v>9.3976880059301493E-2</v>
      </c>
      <c r="P122" s="13">
        <f>(1+O122)*(1+P77)-1</f>
        <v>0.1007277588894282</v>
      </c>
      <c r="Q122" s="13">
        <f>(1+P122)*(1+Q77)-1</f>
        <v>0.10606129035457057</v>
      </c>
      <c r="R122" s="13">
        <f>(1+Q122)*(1+R77)-1</f>
        <v>0.11284029816652486</v>
      </c>
      <c r="S122" s="13">
        <f>(1+R122)*(1+S77)-1</f>
        <v>0.12119812189206125</v>
      </c>
      <c r="T122" s="13">
        <f>(1+S122)*(1+T77)-1</f>
        <v>0.12835790360638311</v>
      </c>
      <c r="U122" s="13">
        <f>(1+T122)*(1+U77)-1</f>
        <v>0.13522311616513361</v>
      </c>
      <c r="V122" s="13">
        <f>(1+U122)*(1+V77)-1</f>
        <v>0.14069742055359091</v>
      </c>
      <c r="W122" s="13">
        <f>(1+V122)*(1+W77)-1</f>
        <v>0.14691164688514791</v>
      </c>
      <c r="X122" s="13">
        <f>(1+W122)*(1+X77)-1</f>
        <v>0.15130016062706853</v>
      </c>
      <c r="Y122" s="13">
        <f>(1+X122)*(1+Y77)-1</f>
        <v>0.15733624242990274</v>
      </c>
      <c r="Z122" s="13">
        <f>(1+Y122)*(1+Z77)-1</f>
        <v>0.16454628251011738</v>
      </c>
      <c r="AA122" s="13">
        <f>(1+Z122)*(1+AA77)-1</f>
        <v>0.16927194292288195</v>
      </c>
      <c r="AB122" s="13">
        <f>(1+AA122)*(1+AB77)-1</f>
        <v>0.17411167250163784</v>
      </c>
      <c r="AC122" s="13">
        <f>(1+AB122)*(1+AC77)-1</f>
        <v>0.17740865202761369</v>
      </c>
    </row>
    <row r="123" spans="1:29" x14ac:dyDescent="0.25">
      <c r="A123" t="s">
        <v>127</v>
      </c>
      <c r="B123" s="1" t="s">
        <v>14</v>
      </c>
      <c r="C123" s="13">
        <f>IF($A123="AEO",'Growth Rates'!B116,'Growth Rates'!B116*'Rescale to Fit GDP Proj'!$D$52)</f>
        <v>0</v>
      </c>
      <c r="D123" s="13">
        <f>(1+C123)*(1+D78)-1</f>
        <v>1.1611440015510066E-2</v>
      </c>
      <c r="E123" s="13">
        <f>(1+D123)*(1+E78)-1</f>
        <v>3.2245610621539633E-2</v>
      </c>
      <c r="F123" s="13">
        <f>(1+E123)*(1+F78)-1</f>
        <v>7.1673116033079909E-2</v>
      </c>
      <c r="G123" s="13">
        <f>(1+F123)*(1+G78)-1</f>
        <v>9.4366865206590766E-2</v>
      </c>
      <c r="H123" s="13">
        <f>(1+G123)*(1+H78)-1</f>
        <v>0.11377319786724316</v>
      </c>
      <c r="I123" s="13">
        <f>(1+H123)*(1+I78)-1</f>
        <v>0.13636832873989269</v>
      </c>
      <c r="J123" s="13">
        <f>(1+I123)*(1+J78)-1</f>
        <v>0.15341728838242097</v>
      </c>
      <c r="K123" s="13">
        <f>(1+J123)*(1+K78)-1</f>
        <v>0.16874235556326522</v>
      </c>
      <c r="L123" s="13">
        <f>(1+K123)*(1+L78)-1</f>
        <v>0.17309591614129727</v>
      </c>
      <c r="M123" s="13">
        <f>(1+L123)*(1+M78)-1</f>
        <v>0.18430285300673965</v>
      </c>
      <c r="N123" s="13">
        <f>(1+M123)*(1+N78)-1</f>
        <v>0.19309343513047961</v>
      </c>
      <c r="O123" s="13">
        <f>(1+N123)*(1+O78)-1</f>
        <v>0.20271042579697141</v>
      </c>
      <c r="P123" s="13">
        <f>(1+O123)*(1+P78)-1</f>
        <v>0.21233223177741545</v>
      </c>
      <c r="Q123" s="13">
        <f>(1+P123)*(1+Q78)-1</f>
        <v>0.21624155531513178</v>
      </c>
      <c r="R123" s="13">
        <f>(1+Q123)*(1+R78)-1</f>
        <v>0.21921520462862842</v>
      </c>
      <c r="S123" s="13">
        <f>(1+R123)*(1+S78)-1</f>
        <v>0.22404607523255904</v>
      </c>
      <c r="T123" s="13">
        <f>(1+S123)*(1+T78)-1</f>
        <v>0.22685464484579776</v>
      </c>
      <c r="U123" s="13">
        <f>(1+T123)*(1+U78)-1</f>
        <v>0.22976603063986589</v>
      </c>
      <c r="V123" s="13">
        <f>(1+U123)*(1+V78)-1</f>
        <v>0.23128203911922096</v>
      </c>
      <c r="W123" s="13">
        <f>(1+V123)*(1+W78)-1</f>
        <v>0.23384493711918042</v>
      </c>
      <c r="X123" s="13">
        <f>(1+W123)*(1+X78)-1</f>
        <v>0.23459475029171051</v>
      </c>
      <c r="Y123" s="13">
        <f>(1+X123)*(1+Y78)-1</f>
        <v>0.23783762095598826</v>
      </c>
      <c r="Z123" s="13">
        <f>(1+Y123)*(1+Z78)-1</f>
        <v>0.24307074308931598</v>
      </c>
      <c r="AA123" s="13">
        <f>(1+Z123)*(1+AA78)-1</f>
        <v>0.24389746034906024</v>
      </c>
      <c r="AB123" s="13">
        <f>(1+AA123)*(1+AB78)-1</f>
        <v>0.24716388410645962</v>
      </c>
      <c r="AC123" s="13">
        <f>(1+AB123)*(1+AC78)-1</f>
        <v>0.24808430368452883</v>
      </c>
    </row>
    <row r="124" spans="1:29" x14ac:dyDescent="0.25">
      <c r="A124" t="s">
        <v>127</v>
      </c>
      <c r="B124" s="1" t="s">
        <v>15</v>
      </c>
      <c r="C124" s="13">
        <f>IF($A124="AEO",'Growth Rates'!B117,'Growth Rates'!B117*'Rescale to Fit GDP Proj'!$D$52)</f>
        <v>0</v>
      </c>
      <c r="D124" s="13">
        <f>(1+C124)*(1+D79)-1</f>
        <v>6.3132566311215221E-2</v>
      </c>
      <c r="E124" s="13">
        <f>(1+D124)*(1+E79)-1</f>
        <v>0.13474656684060671</v>
      </c>
      <c r="F124" s="13">
        <f>(1+E124)*(1+F79)-1</f>
        <v>0.15643497384977256</v>
      </c>
      <c r="G124" s="13">
        <f>(1+F124)*(1+G79)-1</f>
        <v>0.18070418067186789</v>
      </c>
      <c r="H124" s="13">
        <f>(1+G124)*(1+H79)-1</f>
        <v>0.20277033779790954</v>
      </c>
      <c r="I124" s="13">
        <f>(1+H124)*(1+I79)-1</f>
        <v>0.21604750980790577</v>
      </c>
      <c r="J124" s="13">
        <f>(1+I124)*(1+J79)-1</f>
        <v>0.21723301034639975</v>
      </c>
      <c r="K124" s="13">
        <f>(1+J124)*(1+K79)-1</f>
        <v>0.22715376129969544</v>
      </c>
      <c r="L124" s="13">
        <f>(1+K124)*(1+L79)-1</f>
        <v>0.23939006183818679</v>
      </c>
      <c r="M124" s="13">
        <f>(1+L124)*(1+M79)-1</f>
        <v>0.26698562106243551</v>
      </c>
      <c r="N124" s="13">
        <f>(1+M124)*(1+N79)-1</f>
        <v>0.28491561671460963</v>
      </c>
      <c r="O124" s="13">
        <f>(1+N124)*(1+O79)-1</f>
        <v>0.29631455617506886</v>
      </c>
      <c r="P124" s="13">
        <f>(1+O124)*(1+P79)-1</f>
        <v>0.30976745523165006</v>
      </c>
      <c r="Q124" s="13">
        <f>(1+P124)*(1+Q79)-1</f>
        <v>0.32609772896605449</v>
      </c>
      <c r="R124" s="13">
        <f>(1+Q124)*(1+R79)-1</f>
        <v>0.3436864467003542</v>
      </c>
      <c r="S124" s="13">
        <f>(1+R124)*(1+S79)-1</f>
        <v>0.36012636368932571</v>
      </c>
      <c r="T124" s="13">
        <f>(1+S124)*(1+T79)-1</f>
        <v>0.37365838028439446</v>
      </c>
      <c r="U124" s="13">
        <f>(1+T124)*(1+U79)-1</f>
        <v>0.3882262378643131</v>
      </c>
      <c r="V124" s="13">
        <f>(1+U124)*(1+V79)-1</f>
        <v>0.39992209498581421</v>
      </c>
      <c r="W124" s="13">
        <f>(1+V124)*(1+W79)-1</f>
        <v>0.41298329605598494</v>
      </c>
      <c r="X124" s="13">
        <f>(1+W124)*(1+X79)-1</f>
        <v>0.42760077291015741</v>
      </c>
      <c r="Y124" s="13">
        <f>(1+X124)*(1+Y79)-1</f>
        <v>0.44176286943214738</v>
      </c>
      <c r="Z124" s="13">
        <f>(1+Y124)*(1+Z79)-1</f>
        <v>0.45557819861487325</v>
      </c>
      <c r="AA124" s="13">
        <f>(1+Z124)*(1+AA79)-1</f>
        <v>0.46921848727991367</v>
      </c>
      <c r="AB124" s="13">
        <f>(1+AA124)*(1+AB79)-1</f>
        <v>0.48112425646613866</v>
      </c>
      <c r="AC124" s="13">
        <f>(1+AB124)*(1+AC79)-1</f>
        <v>0.4886257573161874</v>
      </c>
    </row>
    <row r="125" spans="1:29" x14ac:dyDescent="0.25">
      <c r="A125" t="s">
        <v>127</v>
      </c>
      <c r="B125" s="1" t="s">
        <v>16</v>
      </c>
      <c r="C125" s="13">
        <f>IF($A125="AEO",'Growth Rates'!B118,'Growth Rates'!B118*'Rescale to Fit GDP Proj'!$D$52)</f>
        <v>0</v>
      </c>
      <c r="D125" s="13">
        <f>(1+C125)*(1+D80)-1</f>
        <v>6.3132566311215221E-2</v>
      </c>
      <c r="E125" s="13">
        <f>(1+D125)*(1+E80)-1</f>
        <v>0.13474656684060671</v>
      </c>
      <c r="F125" s="13">
        <f>(1+E125)*(1+F80)-1</f>
        <v>0.15643497384977256</v>
      </c>
      <c r="G125" s="13">
        <f>(1+F125)*(1+G80)-1</f>
        <v>0.18070418067186789</v>
      </c>
      <c r="H125" s="13">
        <f>(1+G125)*(1+H80)-1</f>
        <v>0.20277033779790954</v>
      </c>
      <c r="I125" s="13">
        <f>(1+H125)*(1+I80)-1</f>
        <v>0.21604750980790577</v>
      </c>
      <c r="J125" s="13">
        <f>(1+I125)*(1+J80)-1</f>
        <v>0.21723301034639975</v>
      </c>
      <c r="K125" s="13">
        <f>(1+J125)*(1+K80)-1</f>
        <v>0.22715376129969544</v>
      </c>
      <c r="L125" s="13">
        <f>(1+K125)*(1+L80)-1</f>
        <v>0.23939006183818679</v>
      </c>
      <c r="M125" s="13">
        <f>(1+L125)*(1+M80)-1</f>
        <v>0.26698562106243551</v>
      </c>
      <c r="N125" s="13">
        <f>(1+M125)*(1+N80)-1</f>
        <v>0.28491561671460963</v>
      </c>
      <c r="O125" s="13">
        <f>(1+N125)*(1+O80)-1</f>
        <v>0.29631455617506886</v>
      </c>
      <c r="P125" s="13">
        <f>(1+O125)*(1+P80)-1</f>
        <v>0.30976745523165006</v>
      </c>
      <c r="Q125" s="13">
        <f>(1+P125)*(1+Q80)-1</f>
        <v>0.32609772896605449</v>
      </c>
      <c r="R125" s="13">
        <f>(1+Q125)*(1+R80)-1</f>
        <v>0.3436864467003542</v>
      </c>
      <c r="S125" s="13">
        <f>(1+R125)*(1+S80)-1</f>
        <v>0.36012636368932571</v>
      </c>
      <c r="T125" s="13">
        <f>(1+S125)*(1+T80)-1</f>
        <v>0.37365838028439446</v>
      </c>
      <c r="U125" s="13">
        <f>(1+T125)*(1+U80)-1</f>
        <v>0.3882262378643131</v>
      </c>
      <c r="V125" s="13">
        <f>(1+U125)*(1+V80)-1</f>
        <v>0.39992209498581421</v>
      </c>
      <c r="W125" s="13">
        <f>(1+V125)*(1+W80)-1</f>
        <v>0.41298329605598494</v>
      </c>
      <c r="X125" s="13">
        <f>(1+W125)*(1+X80)-1</f>
        <v>0.42760077291015741</v>
      </c>
      <c r="Y125" s="13">
        <f>(1+X125)*(1+Y80)-1</f>
        <v>0.44176286943214738</v>
      </c>
      <c r="Z125" s="13">
        <f>(1+Y125)*(1+Z80)-1</f>
        <v>0.45557819861487325</v>
      </c>
      <c r="AA125" s="13">
        <f>(1+Z125)*(1+AA80)-1</f>
        <v>0.46921848727991367</v>
      </c>
      <c r="AB125" s="13">
        <f>(1+AA125)*(1+AB80)-1</f>
        <v>0.48112425646613866</v>
      </c>
      <c r="AC125" s="13">
        <f>(1+AB125)*(1+AC80)-1</f>
        <v>0.4886257573161874</v>
      </c>
    </row>
    <row r="126" spans="1:29" x14ac:dyDescent="0.25">
      <c r="A126" t="s">
        <v>127</v>
      </c>
      <c r="B126" s="1" t="s">
        <v>17</v>
      </c>
      <c r="C126" s="13">
        <f>IF($A126="AEO",'Growth Rates'!B119,'Growth Rates'!B119*'Rescale to Fit GDP Proj'!$D$52)</f>
        <v>0</v>
      </c>
      <c r="D126" s="13">
        <f>(1+C126)*(1+D81)-1</f>
        <v>1.4295325439433126E-2</v>
      </c>
      <c r="E126" s="13">
        <f>(1+D126)*(1+E81)-1</f>
        <v>4.2738039864837374E-2</v>
      </c>
      <c r="F126" s="13">
        <f>(1+E126)*(1+F81)-1</f>
        <v>7.4592687584937645E-2</v>
      </c>
      <c r="G126" s="13">
        <f>(1+F126)*(1+G81)-1</f>
        <v>9.4358239767624363E-2</v>
      </c>
      <c r="H126" s="13">
        <f>(1+G126)*(1+H81)-1</f>
        <v>0.10746147251020344</v>
      </c>
      <c r="I126" s="13">
        <f>(1+H126)*(1+I81)-1</f>
        <v>0.12913004875620326</v>
      </c>
      <c r="J126" s="13">
        <f>(1+I126)*(1+J81)-1</f>
        <v>0.14525463816163553</v>
      </c>
      <c r="K126" s="13">
        <f>(1+J126)*(1+K81)-1</f>
        <v>0.16510589610212367</v>
      </c>
      <c r="L126" s="13">
        <f>(1+K126)*(1+L81)-1</f>
        <v>0.17498843744284542</v>
      </c>
      <c r="M126" s="13">
        <f>(1+L126)*(1+M81)-1</f>
        <v>0.18875648878548779</v>
      </c>
      <c r="N126" s="13">
        <f>(1+M126)*(1+N81)-1</f>
        <v>0.20107822944905118</v>
      </c>
      <c r="O126" s="13">
        <f>(1+N126)*(1+O81)-1</f>
        <v>0.21548671920866291</v>
      </c>
      <c r="P126" s="13">
        <f>(1+O126)*(1+P81)-1</f>
        <v>0.23431553896840418</v>
      </c>
      <c r="Q126" s="13">
        <f>(1+P126)*(1+Q81)-1</f>
        <v>0.24700558641619974</v>
      </c>
      <c r="R126" s="13">
        <f>(1+Q126)*(1+R81)-1</f>
        <v>0.25936060358537616</v>
      </c>
      <c r="S126" s="13">
        <f>(1+R126)*(1+S81)-1</f>
        <v>0.27600709444451144</v>
      </c>
      <c r="T126" s="13">
        <f>(1+S126)*(1+T81)-1</f>
        <v>0.2910860997419471</v>
      </c>
      <c r="U126" s="13">
        <f>(1+T126)*(1+U81)-1</f>
        <v>0.3052322689927307</v>
      </c>
      <c r="V126" s="13">
        <f>(1+U126)*(1+V81)-1</f>
        <v>0.3190321641361622</v>
      </c>
      <c r="W126" s="13">
        <f>(1+V126)*(1+W81)-1</f>
        <v>0.33536199818799539</v>
      </c>
      <c r="X126" s="13">
        <f>(1+W126)*(1+X81)-1</f>
        <v>0.34645345198659006</v>
      </c>
      <c r="Y126" s="13">
        <f>(1+X126)*(1+Y81)-1</f>
        <v>0.36103858553854207</v>
      </c>
      <c r="Z126" s="13">
        <f>(1+Y126)*(1+Z81)-1</f>
        <v>0.37780176439728641</v>
      </c>
      <c r="AA126" s="13">
        <f>(1+Z126)*(1+AA81)-1</f>
        <v>0.38733925620606291</v>
      </c>
      <c r="AB126" s="13">
        <f>(1+AA126)*(1+AB81)-1</f>
        <v>0.40674094008533879</v>
      </c>
      <c r="AC126" s="13">
        <f>(1+AB126)*(1+AC81)-1</f>
        <v>0.41158647364402401</v>
      </c>
    </row>
    <row r="127" spans="1:29" x14ac:dyDescent="0.25">
      <c r="B127" s="1" t="s">
        <v>42</v>
      </c>
      <c r="C127" s="13">
        <f>IF($A127="AEO",'Growth Rates'!B120,'Growth Rates'!B120*'Rescale to Fit GDP Proj'!$D$52)</f>
        <v>0</v>
      </c>
      <c r="D127" s="13">
        <f>(1+C127)*(1+D82)-1</f>
        <v>1.7300000000000093E-2</v>
      </c>
      <c r="E127" s="13">
        <f>(1+D127)*(1+E82)-1</f>
        <v>3.4899290000000249E-2</v>
      </c>
      <c r="F127" s="13">
        <f>(1+E127)*(1+F82)-1</f>
        <v>5.2803047717000284E-2</v>
      </c>
      <c r="G127" s="13">
        <f>(1+F127)*(1+G82)-1</f>
        <v>7.1016540442504494E-2</v>
      </c>
      <c r="H127" s="13">
        <f>(1+G127)*(1+H82)-1</f>
        <v>8.9545126592159852E-2</v>
      </c>
      <c r="I127" s="13">
        <f>(1+H127)*(1+I82)-1</f>
        <v>0.10839425728220431</v>
      </c>
      <c r="J127" s="13">
        <f>(1+I127)*(1+J82)-1</f>
        <v>0.12756947793318663</v>
      </c>
      <c r="K127" s="13">
        <f>(1+J127)*(1+K82)-1</f>
        <v>0.14707642990143088</v>
      </c>
      <c r="L127" s="13">
        <f>(1+K127)*(1+L82)-1</f>
        <v>0.16692085213872576</v>
      </c>
      <c r="M127" s="13">
        <f>(1+L127)*(1+M82)-1</f>
        <v>0.18710858288072574</v>
      </c>
      <c r="N127" s="13">
        <f>(1+M127)*(1+N82)-1</f>
        <v>0.20764556136456247</v>
      </c>
      <c r="O127" s="13">
        <f>(1+N127)*(1+O82)-1</f>
        <v>0.22853782957616953</v>
      </c>
      <c r="P127" s="13">
        <f>(1+O127)*(1+P82)-1</f>
        <v>0.24979153402783738</v>
      </c>
      <c r="Q127" s="13">
        <f>(1+P127)*(1+Q82)-1</f>
        <v>0.27141292756651914</v>
      </c>
      <c r="R127" s="13">
        <f>(1+Q127)*(1+R82)-1</f>
        <v>0.29340837121342012</v>
      </c>
      <c r="S127" s="13">
        <f>(1+R127)*(1+S82)-1</f>
        <v>0.31578433603541245</v>
      </c>
      <c r="T127" s="13">
        <f>(1+S127)*(1+T82)-1</f>
        <v>0.3385474050488253</v>
      </c>
      <c r="U127" s="13">
        <f>(1+T127)*(1+U82)-1</f>
        <v>0.3617042751561701</v>
      </c>
      <c r="V127" s="13">
        <f>(1+U127)*(1+V82)-1</f>
        <v>0.38526175911637206</v>
      </c>
      <c r="W127" s="13">
        <f>(1+V127)*(1+W82)-1</f>
        <v>0.40922678754908537</v>
      </c>
      <c r="X127" s="13">
        <f>(1+W127)*(1+X82)-1</f>
        <v>0.43360641097368458</v>
      </c>
      <c r="Y127" s="13">
        <f>(1+X127)*(1+Y82)-1</f>
        <v>0.45840780188352936</v>
      </c>
      <c r="Z127" s="13">
        <f>(1+Y127)*(1+Z82)-1</f>
        <v>0.48363825685611461</v>
      </c>
      <c r="AA127" s="13">
        <f>(1+Z127)*(1+AA82)-1</f>
        <v>0.50930519869972546</v>
      </c>
      <c r="AB127" s="13">
        <f>(1+AA127)*(1+AB82)-1</f>
        <v>0.5354161786372309</v>
      </c>
      <c r="AC127" s="13">
        <f>(1+AB127)*(1+AC82)-1</f>
        <v>0.56197887852765516</v>
      </c>
    </row>
    <row r="128" spans="1:29" x14ac:dyDescent="0.25">
      <c r="B128" s="1" t="s">
        <v>43</v>
      </c>
      <c r="C128" s="13">
        <f>IF($A128="AEO",'Growth Rates'!B121,'Growth Rates'!B121*'Rescale to Fit GDP Proj'!$D$52)</f>
        <v>0</v>
      </c>
      <c r="D128" s="13">
        <f>(1+C128)*(1+D83)-1</f>
        <v>6.0549999999999216E-3</v>
      </c>
      <c r="E128" s="13">
        <f>(1+D128)*(1+E83)-1</f>
        <v>1.2146663024999782E-2</v>
      </c>
      <c r="F128" s="13">
        <f>(1+E128)*(1+F83)-1</f>
        <v>1.8275211069616049E-2</v>
      </c>
      <c r="G128" s="13">
        <f>(1+F128)*(1+G83)-1</f>
        <v>2.4440867472642402E-2</v>
      </c>
      <c r="H128" s="13">
        <f>(1+G128)*(1+H83)-1</f>
        <v>3.0643856925189228E-2</v>
      </c>
      <c r="I128" s="13">
        <f>(1+H128)*(1+I83)-1</f>
        <v>3.6884405478871063E-2</v>
      </c>
      <c r="J128" s="13">
        <f>(1+I128)*(1+J83)-1</f>
        <v>4.3162740554045564E-2</v>
      </c>
      <c r="K128" s="13">
        <f>(1+J128)*(1+K83)-1</f>
        <v>4.9479090948100213E-2</v>
      </c>
      <c r="L128" s="13">
        <f>(1+K128)*(1+L83)-1</f>
        <v>5.5833686843790975E-2</v>
      </c>
      <c r="M128" s="13">
        <f>(1+L128)*(1+M83)-1</f>
        <v>6.222675981763004E-2</v>
      </c>
      <c r="N128" s="13">
        <f>(1+M128)*(1+N83)-1</f>
        <v>6.8658542848325732E-2</v>
      </c>
      <c r="O128" s="13">
        <f>(1+N128)*(1+O83)-1</f>
        <v>7.5129270325272168E-2</v>
      </c>
      <c r="P128" s="13">
        <f>(1+O128)*(1+P83)-1</f>
        <v>8.1639178057091533E-2</v>
      </c>
      <c r="Q128" s="13">
        <f>(1+P128)*(1+Q83)-1</f>
        <v>8.8188503280227204E-2</v>
      </c>
      <c r="R128" s="13">
        <f>(1+Q128)*(1+R83)-1</f>
        <v>9.477748466758884E-2</v>
      </c>
      <c r="S128" s="13">
        <f>(1+R128)*(1+S83)-1</f>
        <v>0.10140636233725098</v>
      </c>
      <c r="T128" s="13">
        <f>(1+S128)*(1+T83)-1</f>
        <v>0.10807537786120291</v>
      </c>
      <c r="U128" s="13">
        <f>(1+T128)*(1+U83)-1</f>
        <v>0.11478477427415235</v>
      </c>
      <c r="V128" s="13">
        <f>(1+U128)*(1+V83)-1</f>
        <v>0.12153479608238227</v>
      </c>
      <c r="W128" s="13">
        <f>(1+V128)*(1+W83)-1</f>
        <v>0.12832568927266097</v>
      </c>
      <c r="X128" s="13">
        <f>(1+W128)*(1+X83)-1</f>
        <v>0.13515770132120686</v>
      </c>
      <c r="Y128" s="13">
        <f>(1+X128)*(1+Y83)-1</f>
        <v>0.14203108120270658</v>
      </c>
      <c r="Z128" s="13">
        <f>(1+Y128)*(1+Z83)-1</f>
        <v>0.14894607939938886</v>
      </c>
      <c r="AA128" s="13">
        <f>(1+Z128)*(1+AA83)-1</f>
        <v>0.15590294791015213</v>
      </c>
      <c r="AB128" s="13">
        <f>(1+AA128)*(1+AB83)-1</f>
        <v>0.16290194025974802</v>
      </c>
      <c r="AC128" s="13">
        <f>(1+AB128)*(1+AC83)-1</f>
        <v>0.16994331150802067</v>
      </c>
    </row>
    <row r="129" spans="1:29" x14ac:dyDescent="0.25">
      <c r="B129" s="1" t="s">
        <v>44</v>
      </c>
      <c r="C129" s="13">
        <f>IF($A129="AEO",'Growth Rates'!B122,'Growth Rates'!B122*'Rescale to Fit GDP Proj'!$D$52)</f>
        <v>0</v>
      </c>
      <c r="D129" s="13">
        <f>(1+C129)*(1+D84)-1</f>
        <v>1.2886745543945866E-2</v>
      </c>
      <c r="E129" s="13">
        <f>(1+D129)*(1+E84)-1</f>
        <v>2.593955929860603E-2</v>
      </c>
      <c r="F129" s="13">
        <f>(1+E129)*(1+F84)-1</f>
        <v>3.916058134275513E-2</v>
      </c>
      <c r="G129" s="13">
        <f>(1+F129)*(1+G84)-1</f>
        <v>5.2551979333818055E-2</v>
      </c>
      <c r="H129" s="13">
        <f>(1+G129)*(1+H84)-1</f>
        <v>6.6115948863269436E-2</v>
      </c>
      <c r="I129" s="13">
        <f>(1+H129)*(1+I84)-1</f>
        <v>7.9854713816612799E-2</v>
      </c>
      <c r="J129" s="13">
        <f>(1+I129)*(1+J84)-1</f>
        <v>9.3770526737998017E-2</v>
      </c>
      <c r="K129" s="13">
        <f>(1+J129)*(1+K84)-1</f>
        <v>0.10786566919953833</v>
      </c>
      <c r="L129" s="13">
        <f>(1+K129)*(1+L84)-1</f>
        <v>0.122142452175386</v>
      </c>
      <c r="M129" s="13">
        <f>(1+L129)*(1+M84)-1</f>
        <v>0.13660321642062967</v>
      </c>
      <c r="N129" s="13">
        <f>(1+M129)*(1+N84)-1</f>
        <v>0.15125033285507272</v>
      </c>
      <c r="O129" s="13">
        <f>(1+N129)*(1+O84)-1</f>
        <v>0.16608620295195897</v>
      </c>
      <c r="P129" s="13">
        <f>(1+O129)*(1+P84)-1</f>
        <v>0.18111325913170684</v>
      </c>
      <c r="Q129" s="13">
        <f>(1+P129)*(1+Q84)-1</f>
        <v>0.19633396516071766</v>
      </c>
      <c r="R129" s="13">
        <f>(1+Q129)*(1+R84)-1</f>
        <v>0.21175081655532368</v>
      </c>
      <c r="S129" s="13">
        <f>(1+R129)*(1+S84)-1</f>
        <v>0.22736634099094077</v>
      </c>
      <c r="T129" s="13">
        <f>(1+S129)*(1+T84)-1</f>
        <v>0.24318309871649491</v>
      </c>
      <c r="U129" s="13">
        <f>(1+T129)*(1+U84)-1</f>
        <v>0.25920368297418861</v>
      </c>
      <c r="V129" s="13">
        <f>(1+U129)*(1+V84)-1</f>
        <v>0.27543072042467642</v>
      </c>
      <c r="W129" s="13">
        <f>(1+V129)*(1+W84)-1</f>
        <v>0.29186687157772084</v>
      </c>
      <c r="X129" s="13">
        <f>(1+W129)*(1+X84)-1</f>
        <v>0.30851483122839629</v>
      </c>
      <c r="Y129" s="13">
        <f>(1+X129)*(1+Y84)-1</f>
        <v>0.32537732889891591</v>
      </c>
      <c r="Z129" s="13">
        <f>(1+Y129)*(1+Z84)-1</f>
        <v>0.34245712928615091</v>
      </c>
      <c r="AA129" s="13">
        <f>(1+Z129)*(1+AA84)-1</f>
        <v>0.35975703271491755</v>
      </c>
      <c r="AB129" s="13">
        <f>(1+AA129)*(1+AB84)-1</f>
        <v>0.37727987559710563</v>
      </c>
      <c r="AC129" s="13">
        <f>(1+AB129)*(1+AC84)-1</f>
        <v>0.39502853089672296</v>
      </c>
    </row>
    <row r="130" spans="1:29" x14ac:dyDescent="0.25">
      <c r="A130" t="s">
        <v>127</v>
      </c>
      <c r="B130" s="1" t="s">
        <v>18</v>
      </c>
      <c r="C130" s="13">
        <f>IF($A130="AEO",'Growth Rates'!B123,'Growth Rates'!B123*'Rescale to Fit GDP Proj'!$D$52)</f>
        <v>0</v>
      </c>
      <c r="D130" s="13">
        <f>(1+C130)*(1+D85)-1</f>
        <v>-5.3723557749999484E-3</v>
      </c>
      <c r="E130" s="13">
        <f>(1+D130)*(1+E85)-1</f>
        <v>2.3797309858197835E-3</v>
      </c>
      <c r="F130" s="13">
        <f>(1+E130)*(1+F85)-1</f>
        <v>1.8292275500942479E-2</v>
      </c>
      <c r="G130" s="13">
        <f>(1+F130)*(1+G85)-1</f>
        <v>4.3021804346556003E-2</v>
      </c>
      <c r="H130" s="13">
        <f>(1+G130)*(1+H85)-1</f>
        <v>7.1642288103578977E-2</v>
      </c>
      <c r="I130" s="13">
        <f>(1+H130)*(1+I85)-1</f>
        <v>9.1889911633807442E-2</v>
      </c>
      <c r="J130" s="13">
        <f>(1+I130)*(1+J85)-1</f>
        <v>0.10956590354259244</v>
      </c>
      <c r="K130" s="13">
        <f>(1+J130)*(1+K85)-1</f>
        <v>0.12247557130901088</v>
      </c>
      <c r="L130" s="13">
        <f>(1+K130)*(1+L85)-1</f>
        <v>0.12718021642578559</v>
      </c>
      <c r="M130" s="13">
        <f>(1+L130)*(1+M85)-1</f>
        <v>0.12742354412747714</v>
      </c>
      <c r="N130" s="13">
        <f>(1+M130)*(1+N85)-1</f>
        <v>0.13792272572356334</v>
      </c>
      <c r="O130" s="13">
        <f>(1+N130)*(1+O85)-1</f>
        <v>0.15249518900373027</v>
      </c>
      <c r="P130" s="13">
        <f>(1+O130)*(1+P85)-1</f>
        <v>0.16160353970130403</v>
      </c>
      <c r="Q130" s="13">
        <f>(1+P130)*(1+Q85)-1</f>
        <v>0.17136655411815993</v>
      </c>
      <c r="R130" s="13">
        <f>(1+Q130)*(1+R85)-1</f>
        <v>0.18021700393726814</v>
      </c>
      <c r="S130" s="13">
        <f>(1+R130)*(1+S85)-1</f>
        <v>0.18703322858999316</v>
      </c>
      <c r="T130" s="13">
        <f>(1+S130)*(1+T85)-1</f>
        <v>0.1919093557927174</v>
      </c>
      <c r="U130" s="13">
        <f>(1+T130)*(1+U85)-1</f>
        <v>0.19990214393237715</v>
      </c>
      <c r="V130" s="13">
        <f>(1+U130)*(1+V85)-1</f>
        <v>0.20565880903050782</v>
      </c>
      <c r="W130" s="13">
        <f>(1+V130)*(1+W85)-1</f>
        <v>0.21110462064033442</v>
      </c>
      <c r="X130" s="13">
        <f>(1+W130)*(1+X85)-1</f>
        <v>0.22300234344691994</v>
      </c>
      <c r="Y130" s="13">
        <f>(1+X130)*(1+Y85)-1</f>
        <v>0.23629860746400455</v>
      </c>
      <c r="Z130" s="13">
        <f>(1+Y130)*(1+Z85)-1</f>
        <v>0.25156148687960633</v>
      </c>
      <c r="AA130" s="13">
        <f>(1+Z130)*(1+AA85)-1</f>
        <v>0.26766686345880575</v>
      </c>
      <c r="AB130" s="13">
        <f>(1+AA130)*(1+AB85)-1</f>
        <v>0.28480129912808905</v>
      </c>
      <c r="AC130" s="13">
        <f>(1+AB130)*(1+AC85)-1</f>
        <v>0.299798653416673</v>
      </c>
    </row>
    <row r="131" spans="1:29" x14ac:dyDescent="0.25">
      <c r="B131" s="1" t="s">
        <v>19</v>
      </c>
      <c r="C131" s="13">
        <f>IF($A131="AEO",'Growth Rates'!B124,'Growth Rates'!B124*'Rescale to Fit GDP Proj'!$D$52)</f>
        <v>0</v>
      </c>
      <c r="D131" s="13">
        <f>(1+C131)*(1+D86)-1</f>
        <v>2.1861204039847815E-2</v>
      </c>
      <c r="E131" s="13">
        <f>(1+D131)*(1+E86)-1</f>
        <v>4.4200320321767572E-2</v>
      </c>
      <c r="F131" s="13">
        <f>(1+E131)*(1+F86)-1</f>
        <v>6.7027796582796118E-2</v>
      </c>
      <c r="G131" s="13">
        <f>(1+F131)*(1+G86)-1</f>
        <v>9.0354308960081786E-2</v>
      </c>
      <c r="H131" s="13">
        <f>(1+G131)*(1+H86)-1</f>
        <v>0.11419076698398545</v>
      </c>
      <c r="I131" s="13">
        <f>(1+H131)*(1+I86)-1</f>
        <v>0.1385483186803369</v>
      </c>
      <c r="J131" s="13">
        <f>(1+I131)*(1+J86)-1</f>
        <v>0.16343835578423338</v>
      </c>
      <c r="K131" s="13">
        <f>(1+J131)*(1+K86)-1</f>
        <v>0.18887251906781755</v>
      </c>
      <c r="L131" s="13">
        <f>(1+K131)*(1+L86)-1</f>
        <v>0.21486270378452699</v>
      </c>
      <c r="M131" s="13">
        <f>(1+L131)*(1+M86)-1</f>
        <v>0.24142106523236162</v>
      </c>
      <c r="N131" s="13">
        <f>(1+M131)*(1+N86)-1</f>
        <v>0.26856002443877158</v>
      </c>
      <c r="O131" s="13">
        <f>(1+N131)*(1+O86)-1</f>
        <v>0.29629227396982194</v>
      </c>
      <c r="P131" s="13">
        <f>(1+O131)*(1+P86)-1</f>
        <v>0.32463078386635447</v>
      </c>
      <c r="Q131" s="13">
        <f>(1+P131)*(1+Q86)-1</f>
        <v>0.35358880770992029</v>
      </c>
      <c r="R131" s="13">
        <f>(1+Q131)*(1+R86)-1</f>
        <v>0.38317988882132115</v>
      </c>
      <c r="S131" s="13">
        <f>(1+R131)*(1+S86)-1</f>
        <v>0.41341786659465796</v>
      </c>
      <c r="T131" s="13">
        <f>(1+S131)*(1+T86)-1</f>
        <v>0.44431688296985028</v>
      </c>
      <c r="U131" s="13">
        <f>(1+T131)*(1+U86)-1</f>
        <v>0.47589138904665118</v>
      </c>
      <c r="V131" s="13">
        <f>(1+U131)*(1+V86)-1</f>
        <v>0.50815615184325447</v>
      </c>
      <c r="W131" s="13">
        <f>(1+V131)*(1+W86)-1</f>
        <v>0.5411262612026515</v>
      </c>
      <c r="X131" s="13">
        <f>(1+W131)*(1+X86)-1</f>
        <v>0.57481713684997038</v>
      </c>
      <c r="Y131" s="13">
        <f>(1+X131)*(1+Y86)-1</f>
        <v>0.60924453560409653</v>
      </c>
      <c r="Z131" s="13">
        <f>(1+Y131)*(1+Z86)-1</f>
        <v>0.64442455874694793</v>
      </c>
      <c r="AA131" s="13">
        <f>(1+Z131)*(1+AA86)-1</f>
        <v>0.68037365955385165</v>
      </c>
      <c r="AB131" s="13">
        <f>(1+AA131)*(1+AB86)-1</f>
        <v>0.71710865098854426</v>
      </c>
      <c r="AC131" s="13">
        <f>(1+AB131)*(1+AC86)-1</f>
        <v>0.75464671356639257</v>
      </c>
    </row>
    <row r="132" spans="1:29" x14ac:dyDescent="0.25">
      <c r="B132" s="1" t="s">
        <v>20</v>
      </c>
      <c r="C132" s="13">
        <f>IF($A132="AEO",'Growth Rates'!B125,'Growth Rates'!B125*'Rescale to Fit GDP Proj'!$D$52)</f>
        <v>0</v>
      </c>
      <c r="D132" s="13">
        <f>(1+C132)*(1+D87)-1</f>
        <v>1.9030000000000102E-2</v>
      </c>
      <c r="E132" s="13">
        <f>(1+D132)*(1+E87)-1</f>
        <v>3.842214090000029E-2</v>
      </c>
      <c r="F132" s="13">
        <f>(1+E132)*(1+F87)-1</f>
        <v>5.81833142413275E-2</v>
      </c>
      <c r="G132" s="13">
        <f>(1+F132)*(1+G87)-1</f>
        <v>7.8320542711340035E-2</v>
      </c>
      <c r="H132" s="13">
        <f>(1+G132)*(1+H87)-1</f>
        <v>9.8840982639136987E-2</v>
      </c>
      <c r="I132" s="13">
        <f>(1+H132)*(1+I87)-1</f>
        <v>0.11975192653875988</v>
      </c>
      <c r="J132" s="13">
        <f>(1+I132)*(1+J87)-1</f>
        <v>0.14106080570079249</v>
      </c>
      <c r="K132" s="13">
        <f>(1+J132)*(1+K87)-1</f>
        <v>0.16277519283327879</v>
      </c>
      <c r="L132" s="13">
        <f>(1+K132)*(1+L87)-1</f>
        <v>0.18490280475289622</v>
      </c>
      <c r="M132" s="13">
        <f>(1+L132)*(1+M87)-1</f>
        <v>0.207451505127344</v>
      </c>
      <c r="N132" s="13">
        <f>(1+M132)*(1+N87)-1</f>
        <v>0.2304293072699175</v>
      </c>
      <c r="O132" s="13">
        <f>(1+N132)*(1+O87)-1</f>
        <v>0.25384437698726425</v>
      </c>
      <c r="P132" s="13">
        <f>(1+O132)*(1+P87)-1</f>
        <v>0.27770503548133196</v>
      </c>
      <c r="Q132" s="13">
        <f>(1+P132)*(1+Q87)-1</f>
        <v>0.30201976230654193</v>
      </c>
      <c r="R132" s="13">
        <f>(1+Q132)*(1+R87)-1</f>
        <v>0.32679719838323562</v>
      </c>
      <c r="S132" s="13">
        <f>(1+R132)*(1+S87)-1</f>
        <v>0.35204614906846876</v>
      </c>
      <c r="T132" s="13">
        <f>(1+S132)*(1+T87)-1</f>
        <v>0.37777558728524196</v>
      </c>
      <c r="U132" s="13">
        <f>(1+T132)*(1+U87)-1</f>
        <v>0.40399465671128021</v>
      </c>
      <c r="V132" s="13">
        <f>(1+U132)*(1+V87)-1</f>
        <v>0.43071267502849597</v>
      </c>
      <c r="W132" s="13">
        <f>(1+V132)*(1+W87)-1</f>
        <v>0.45793913723428847</v>
      </c>
      <c r="X132" s="13">
        <f>(1+W132)*(1+X87)-1</f>
        <v>0.48568371901585716</v>
      </c>
      <c r="Y132" s="13">
        <f>(1+X132)*(1+Y87)-1</f>
        <v>0.51395628018872919</v>
      </c>
      <c r="Z132" s="13">
        <f>(1+Y132)*(1+Z87)-1</f>
        <v>0.54276686820072095</v>
      </c>
      <c r="AA132" s="13">
        <f>(1+Z132)*(1+AA87)-1</f>
        <v>0.5721257217025808</v>
      </c>
      <c r="AB132" s="13">
        <f>(1+AA132)*(1+AB87)-1</f>
        <v>0.6020432741865811</v>
      </c>
      <c r="AC132" s="13">
        <f>(1+AB132)*(1+AC87)-1</f>
        <v>0.63253015769435184</v>
      </c>
    </row>
    <row r="133" spans="1:29" x14ac:dyDescent="0.25">
      <c r="B133" s="1" t="s">
        <v>21</v>
      </c>
      <c r="C133" s="13">
        <f>IF($A133="AEO",'Growth Rates'!B126,'Growth Rates'!B126*'Rescale to Fit GDP Proj'!$D$52)</f>
        <v>0</v>
      </c>
      <c r="D133" s="13">
        <f>(1+C133)*(1+D88)-1</f>
        <v>1.9894999999999996E-2</v>
      </c>
      <c r="E133" s="13">
        <f>(1+D133)*(1+E88)-1</f>
        <v>4.0185811024999962E-2</v>
      </c>
      <c r="F133" s="13">
        <f>(1+E133)*(1+F88)-1</f>
        <v>6.0880307735342365E-2</v>
      </c>
      <c r="G133" s="13">
        <f>(1+F133)*(1+G88)-1</f>
        <v>8.1986521457737105E-2</v>
      </c>
      <c r="H133" s="13">
        <f>(1+G133)*(1+H88)-1</f>
        <v>0.10351264330213872</v>
      </c>
      <c r="I133" s="13">
        <f>(1+H133)*(1+I88)-1</f>
        <v>0.12546702734063486</v>
      </c>
      <c r="J133" s="13">
        <f>(1+I133)*(1+J88)-1</f>
        <v>0.14785819384957688</v>
      </c>
      <c r="K133" s="13">
        <f>(1+J133)*(1+K88)-1</f>
        <v>0.1706948326162141</v>
      </c>
      <c r="L133" s="13">
        <f>(1+K133)*(1+L88)-1</f>
        <v>0.19398580631111373</v>
      </c>
      <c r="M133" s="13">
        <f>(1+L133)*(1+M88)-1</f>
        <v>0.21774015392767332</v>
      </c>
      <c r="N133" s="13">
        <f>(1+M133)*(1+N88)-1</f>
        <v>0.24196709429006447</v>
      </c>
      <c r="O133" s="13">
        <f>(1+N133)*(1+O88)-1</f>
        <v>0.26667602963096537</v>
      </c>
      <c r="P133" s="13">
        <f>(1+O133)*(1+P88)-1</f>
        <v>0.29187654924047335</v>
      </c>
      <c r="Q133" s="13">
        <f>(1+P133)*(1+Q88)-1</f>
        <v>0.31757843318761259</v>
      </c>
      <c r="R133" s="13">
        <f>(1+Q133)*(1+R88)-1</f>
        <v>0.34379165611588003</v>
      </c>
      <c r="S133" s="13">
        <f>(1+R133)*(1+S88)-1</f>
        <v>0.37052639111430552</v>
      </c>
      <c r="T133" s="13">
        <f>(1+S133)*(1+T88)-1</f>
        <v>0.39779301366552455</v>
      </c>
      <c r="U133" s="13">
        <f>(1+T133)*(1+U88)-1</f>
        <v>0.4256021056724002</v>
      </c>
      <c r="V133" s="13">
        <f>(1+U133)*(1+V88)-1</f>
        <v>0.45396445956475251</v>
      </c>
      <c r="W133" s="13">
        <f>(1+V133)*(1+W88)-1</f>
        <v>0.48289108248779322</v>
      </c>
      <c r="X133" s="13">
        <f>(1+W133)*(1+X88)-1</f>
        <v>0.51239320057388782</v>
      </c>
      <c r="Y133" s="13">
        <f>(1+X133)*(1+Y88)-1</f>
        <v>0.54248226329930538</v>
      </c>
      <c r="Z133" s="13">
        <f>(1+Y133)*(1+Z88)-1</f>
        <v>0.57316994792764508</v>
      </c>
      <c r="AA133" s="13">
        <f>(1+Z133)*(1+AA88)-1</f>
        <v>0.60446816404166559</v>
      </c>
      <c r="AB133" s="13">
        <f>(1+AA133)*(1+AB88)-1</f>
        <v>0.63638905816527447</v>
      </c>
      <c r="AC133" s="13">
        <f>(1+AB133)*(1+AC88)-1</f>
        <v>0.66894501847747256</v>
      </c>
    </row>
    <row r="134" spans="1:29" x14ac:dyDescent="0.25">
      <c r="B134" s="1" t="s">
        <v>22</v>
      </c>
      <c r="C134" s="13">
        <f>IF($A134="AEO",'Growth Rates'!B127,'Growth Rates'!B127*'Rescale to Fit GDP Proj'!$D$52)</f>
        <v>0</v>
      </c>
      <c r="D134" s="13">
        <f>(1+C134)*(1+D89)-1</f>
        <v>3.17222153953165E-2</v>
      </c>
      <c r="E134" s="13">
        <f>(1+D134)*(1+E89)-1</f>
        <v>6.4450729740219925E-2</v>
      </c>
      <c r="F134" s="13">
        <f>(1+E134)*(1+F89)-1</f>
        <v>9.8217465066741116E-2</v>
      </c>
      <c r="G134" s="13">
        <f>(1+F134)*(1+G89)-1</f>
        <v>0.13305535604448671</v>
      </c>
      <c r="H134" s="13">
        <f>(1+G134)*(1+H89)-1</f>
        <v>0.16899838210374685</v>
      </c>
      <c r="I134" s="13">
        <f>(1+H134)*(1+I89)-1</f>
        <v>0.20608160057761848</v>
      </c>
      <c r="J134" s="13">
        <f>(1+I134)*(1+J89)-1</f>
        <v>0.24434118089546986</v>
      </c>
      <c r="K134" s="13">
        <f>(1+J134)*(1+K89)-1</f>
        <v>0.28381443986109844</v>
      </c>
      <c r="L134" s="13">
        <f>(1+K134)*(1+L89)-1</f>
        <v>0.32453987804998974</v>
      </c>
      <c r="M134" s="13">
        <f>(1+L134)*(1+M89)-1</f>
        <v>0.36655721736117775</v>
      </c>
      <c r="N134" s="13">
        <f>(1+M134)*(1+N89)-1</f>
        <v>0.40990743976033328</v>
      </c>
      <c r="O134" s="13">
        <f>(1+N134)*(1+O89)-1</f>
        <v>0.45463282725186982</v>
      </c>
      <c r="P134" s="13">
        <f>(1+O134)*(1+P89)-1</f>
        <v>0.50077700311905193</v>
      </c>
      <c r="Q134" s="13">
        <f>(1+P134)*(1+Q89)-1</f>
        <v>0.54838497447233214</v>
      </c>
      <c r="R134" s="13">
        <f>(1+Q134)*(1+R89)-1</f>
        <v>0.59750317614741499</v>
      </c>
      <c r="S134" s="13">
        <f>(1+R134)*(1+S89)-1</f>
        <v>0.64817951599586543</v>
      </c>
      <c r="T134" s="13">
        <f>(1+S134)*(1+T89)-1</f>
        <v>0.7004634216124348</v>
      </c>
      <c r="U134" s="13">
        <f>(1+T134)*(1+U89)-1</f>
        <v>0.75440588854468138</v>
      </c>
      <c r="V134" s="13">
        <f>(1+U134)*(1+V89)-1</f>
        <v>0.81005953003190734</v>
      </c>
      <c r="W134" s="13">
        <f>(1+V134)*(1+W89)-1</f>
        <v>0.86747862832192491</v>
      </c>
      <c r="X134" s="13">
        <f>(1+W134)*(1+X89)-1</f>
        <v>0.92671918761570327</v>
      </c>
      <c r="Y134" s="13">
        <f>(1+X134)*(1+Y89)-1</f>
        <v>0.98783898869153774</v>
      </c>
      <c r="Z134" s="13">
        <f>(1+Y134)*(1+Z89)-1</f>
        <v>1.0508976452620189</v>
      </c>
      <c r="AA134" s="13">
        <f>(1+Z134)*(1+AA89)-1</f>
        <v>1.115956662118768</v>
      </c>
      <c r="AB134" s="13">
        <f>(1+AA134)*(1+AB89)-1</f>
        <v>1.1830794951216546</v>
      </c>
      <c r="AC134" s="13">
        <f>(1+AB134)*(1+AC89)-1</f>
        <v>1.2523316130910023</v>
      </c>
    </row>
    <row r="135" spans="1:29" x14ac:dyDescent="0.25">
      <c r="B135" s="1" t="s">
        <v>23</v>
      </c>
      <c r="C135" s="13">
        <f>IF($A135="AEO",'Growth Rates'!B128,'Growth Rates'!B128*'Rescale to Fit GDP Proj'!$D$52)</f>
        <v>0</v>
      </c>
      <c r="D135" s="13">
        <f>(1+C135)*(1+D90)-1</f>
        <v>2.3355000000000015E-2</v>
      </c>
      <c r="E135" s="13">
        <f>(1+D135)*(1+E90)-1</f>
        <v>4.7255456025000031E-2</v>
      </c>
      <c r="F135" s="13">
        <f>(1+E135)*(1+F90)-1</f>
        <v>7.1714107200463895E-2</v>
      </c>
      <c r="G135" s="13">
        <f>(1+F135)*(1+G90)-1</f>
        <v>9.6743990174130712E-2</v>
      </c>
      <c r="H135" s="13">
        <f>(1+G135)*(1+H90)-1</f>
        <v>0.12235844606464763</v>
      </c>
      <c r="I135" s="13">
        <f>(1+H135)*(1+I90)-1</f>
        <v>0.14857112757248747</v>
      </c>
      <c r="J135" s="13">
        <f>(1+I135)*(1+J90)-1</f>
        <v>0.17539600625694285</v>
      </c>
      <c r="K135" s="13">
        <f>(1+J135)*(1+K90)-1</f>
        <v>0.20284737998307367</v>
      </c>
      <c r="L135" s="13">
        <f>(1+K135)*(1+L90)-1</f>
        <v>0.23093988054257841</v>
      </c>
      <c r="M135" s="13">
        <f>(1+L135)*(1+M90)-1</f>
        <v>0.25968848145265033</v>
      </c>
      <c r="N135" s="13">
        <f>(1+M135)*(1+N90)-1</f>
        <v>0.2891085059369769</v>
      </c>
      <c r="O135" s="13">
        <f>(1+N135)*(1+O90)-1</f>
        <v>0.319215635093135</v>
      </c>
      <c r="P135" s="13">
        <f>(1+O135)*(1+P90)-1</f>
        <v>0.35002591625073509</v>
      </c>
      <c r="Q135" s="13">
        <f>(1+P135)*(1+Q90)-1</f>
        <v>0.38155577152477105</v>
      </c>
      <c r="R135" s="13">
        <f>(1+Q135)*(1+R90)-1</f>
        <v>0.41382200656873214</v>
      </c>
      <c r="S135" s="13">
        <f>(1+R135)*(1+S90)-1</f>
        <v>0.44684181953214486</v>
      </c>
      <c r="T135" s="13">
        <f>(1+S135)*(1+T90)-1</f>
        <v>0.48063281022731807</v>
      </c>
      <c r="U135" s="13">
        <f>(1+T135)*(1+U90)-1</f>
        <v>0.51521298951017713</v>
      </c>
      <c r="V135" s="13">
        <f>(1+U135)*(1+V90)-1</f>
        <v>0.55060078888018738</v>
      </c>
      <c r="W135" s="13">
        <f>(1+V135)*(1+W90)-1</f>
        <v>0.5868150703044841</v>
      </c>
      <c r="X135" s="13">
        <f>(1+W135)*(1+X90)-1</f>
        <v>0.62387513627144542</v>
      </c>
      <c r="Y135" s="13">
        <f>(1+X135)*(1+Y90)-1</f>
        <v>0.66180074007906509</v>
      </c>
      <c r="Z135" s="13">
        <f>(1+Y135)*(1+Z90)-1</f>
        <v>0.70061209636361177</v>
      </c>
      <c r="AA135" s="13">
        <f>(1+Z135)*(1+AA90)-1</f>
        <v>0.74032989187418385</v>
      </c>
      <c r="AB135" s="13">
        <f>(1+AA135)*(1+AB90)-1</f>
        <v>0.7809752964989054</v>
      </c>
      <c r="AC135" s="13">
        <f>(1+AB135)*(1+AC90)-1</f>
        <v>0.82256997454863745</v>
      </c>
    </row>
    <row r="136" spans="1:29" x14ac:dyDescent="0.25">
      <c r="B136" s="1" t="s">
        <v>24</v>
      </c>
      <c r="C136" s="13">
        <f>IF($A136="AEO",'Growth Rates'!B129,'Growth Rates'!B129*'Rescale to Fit GDP Proj'!$D$52)</f>
        <v>0</v>
      </c>
      <c r="D136" s="13">
        <f>(1+C136)*(1+D91)-1</f>
        <v>3.2869999999999955E-2</v>
      </c>
      <c r="E136" s="13">
        <f>(1+D136)*(1+E91)-1</f>
        <v>6.6820436899999835E-2</v>
      </c>
      <c r="F136" s="13">
        <f>(1+E136)*(1+F91)-1</f>
        <v>0.10188682466090282</v>
      </c>
      <c r="G136" s="13">
        <f>(1+F136)*(1+G91)-1</f>
        <v>0.13810584458750674</v>
      </c>
      <c r="H136" s="13">
        <f>(1+G136)*(1+H91)-1</f>
        <v>0.17551538369909814</v>
      </c>
      <c r="I136" s="13">
        <f>(1+H136)*(1+I91)-1</f>
        <v>0.21415457436128738</v>
      </c>
      <c r="J136" s="13">
        <f>(1+I136)*(1+J91)-1</f>
        <v>0.25406383522054288</v>
      </c>
      <c r="K136" s="13">
        <f>(1+J136)*(1+K91)-1</f>
        <v>0.29528491348424213</v>
      </c>
      <c r="L136" s="13">
        <f>(1+K136)*(1+L91)-1</f>
        <v>0.33786092859046901</v>
      </c>
      <c r="M136" s="13">
        <f>(1+L136)*(1+M91)-1</f>
        <v>0.38183641731323759</v>
      </c>
      <c r="N136" s="13">
        <f>(1+M136)*(1+N91)-1</f>
        <v>0.42725738035032368</v>
      </c>
      <c r="O136" s="13">
        <f>(1+N136)*(1+O91)-1</f>
        <v>0.47417133044243864</v>
      </c>
      <c r="P136" s="13">
        <f>(1+O136)*(1+P91)-1</f>
        <v>0.52262734207408146</v>
      </c>
      <c r="Q136" s="13">
        <f>(1+P136)*(1+Q91)-1</f>
        <v>0.57267610280805648</v>
      </c>
      <c r="R136" s="13">
        <f>(1+Q136)*(1+R91)-1</f>
        <v>0.62436996630735719</v>
      </c>
      <c r="S136" s="13">
        <f>(1+R136)*(1+S91)-1</f>
        <v>0.67776300709987991</v>
      </c>
      <c r="T136" s="13">
        <f>(1+S136)*(1+T91)-1</f>
        <v>0.73291107714325299</v>
      </c>
      <c r="U136" s="13">
        <f>(1+T136)*(1+U91)-1</f>
        <v>0.78987186424895173</v>
      </c>
      <c r="V136" s="13">
        <f>(1+U136)*(1+V91)-1</f>
        <v>0.84870495242681465</v>
      </c>
      <c r="W136" s="13">
        <f>(1+V136)*(1+W91)-1</f>
        <v>0.909471884213084</v>
      </c>
      <c r="X136" s="13">
        <f>(1+W136)*(1+X91)-1</f>
        <v>0.97223622504716789</v>
      </c>
      <c r="Y136" s="13">
        <f>(1+X136)*(1+Y91)-1</f>
        <v>1.0370636297644684</v>
      </c>
      <c r="Z136" s="13">
        <f>(1+Y136)*(1+Z91)-1</f>
        <v>1.1040219112748262</v>
      </c>
      <c r="AA136" s="13">
        <f>(1+Z136)*(1+AA91)-1</f>
        <v>1.1731811114984296</v>
      </c>
      <c r="AB136" s="13">
        <f>(1+AA136)*(1+AB91)-1</f>
        <v>1.2446135746333828</v>
      </c>
      <c r="AC136" s="13">
        <f>(1+AB136)*(1+AC91)-1</f>
        <v>1.318394022831582</v>
      </c>
    </row>
    <row r="137" spans="1:29" x14ac:dyDescent="0.25">
      <c r="B137" s="1" t="s">
        <v>25</v>
      </c>
      <c r="C137" s="13">
        <f>IF($A137="AEO",'Growth Rates'!B130,'Growth Rates'!B130*'Rescale to Fit GDP Proj'!$D$52)</f>
        <v>0</v>
      </c>
      <c r="D137" s="13">
        <f>(1+C137)*(1+D92)-1</f>
        <v>1.7300000000000093E-2</v>
      </c>
      <c r="E137" s="13">
        <f>(1+D137)*(1+E92)-1</f>
        <v>3.4899290000000249E-2</v>
      </c>
      <c r="F137" s="13">
        <f>(1+E137)*(1+F92)-1</f>
        <v>5.2803047717000284E-2</v>
      </c>
      <c r="G137" s="13">
        <f>(1+F137)*(1+G92)-1</f>
        <v>7.1016540442504494E-2</v>
      </c>
      <c r="H137" s="13">
        <f>(1+G137)*(1+H92)-1</f>
        <v>8.9545126592159852E-2</v>
      </c>
      <c r="I137" s="13">
        <f>(1+H137)*(1+I92)-1</f>
        <v>0.10839425728220431</v>
      </c>
      <c r="J137" s="13">
        <f>(1+I137)*(1+J92)-1</f>
        <v>0.12756947793318663</v>
      </c>
      <c r="K137" s="13">
        <f>(1+J137)*(1+K92)-1</f>
        <v>0.14707642990143088</v>
      </c>
      <c r="L137" s="13">
        <f>(1+K137)*(1+L92)-1</f>
        <v>0.16692085213872576</v>
      </c>
      <c r="M137" s="13">
        <f>(1+L137)*(1+M92)-1</f>
        <v>0.18710858288072574</v>
      </c>
      <c r="N137" s="13">
        <f>(1+M137)*(1+N92)-1</f>
        <v>0.20764556136456247</v>
      </c>
      <c r="O137" s="13">
        <f>(1+N137)*(1+O92)-1</f>
        <v>0.22853782957616953</v>
      </c>
      <c r="P137" s="13">
        <f>(1+O137)*(1+P92)-1</f>
        <v>0.24979153402783738</v>
      </c>
      <c r="Q137" s="13">
        <f>(1+P137)*(1+Q92)-1</f>
        <v>0.27141292756651914</v>
      </c>
      <c r="R137" s="13">
        <f>(1+Q137)*(1+R92)-1</f>
        <v>0.29340837121342012</v>
      </c>
      <c r="S137" s="13">
        <f>(1+R137)*(1+S92)-1</f>
        <v>0.31578433603541245</v>
      </c>
      <c r="T137" s="13">
        <f>(1+S137)*(1+T92)-1</f>
        <v>0.3385474050488253</v>
      </c>
      <c r="U137" s="13">
        <f>(1+T137)*(1+U92)-1</f>
        <v>0.3617042751561701</v>
      </c>
      <c r="V137" s="13">
        <f>(1+U137)*(1+V92)-1</f>
        <v>0.38526175911637206</v>
      </c>
      <c r="W137" s="13">
        <f>(1+V137)*(1+W92)-1</f>
        <v>0.40922678754908537</v>
      </c>
      <c r="X137" s="13">
        <f>(1+W137)*(1+X92)-1</f>
        <v>0.43360641097368458</v>
      </c>
      <c r="Y137" s="13">
        <f>(1+X137)*(1+Y92)-1</f>
        <v>0.45840780188352936</v>
      </c>
      <c r="Z137" s="13">
        <f>(1+Y137)*(1+Z92)-1</f>
        <v>0.48363825685611461</v>
      </c>
      <c r="AA137" s="13">
        <f>(1+Z137)*(1+AA92)-1</f>
        <v>0.50930519869972546</v>
      </c>
      <c r="AB137" s="13">
        <f>(1+AA137)*(1+AB92)-1</f>
        <v>0.5354161786372309</v>
      </c>
      <c r="AC137" s="13">
        <f>(1+AB137)*(1+AC92)-1</f>
        <v>0.56197887852765516</v>
      </c>
    </row>
    <row r="138" spans="1:29" x14ac:dyDescent="0.25">
      <c r="B138" s="1" t="s">
        <v>26</v>
      </c>
      <c r="C138" s="13">
        <f>IF($A138="AEO",'Growth Rates'!B131,'Growth Rates'!B131*'Rescale to Fit GDP Proj'!$D$52)</f>
        <v>0</v>
      </c>
      <c r="D138" s="13">
        <f>(1+C138)*(1+D93)-1</f>
        <v>1.6434999999999977E-2</v>
      </c>
      <c r="E138" s="13">
        <f>(1+D138)*(1+E93)-1</f>
        <v>3.3140109224999881E-2</v>
      </c>
      <c r="F138" s="13">
        <f>(1+E138)*(1+F93)-1</f>
        <v>5.0119766920112774E-2</v>
      </c>
      <c r="G138" s="13">
        <f>(1+F138)*(1+G93)-1</f>
        <v>6.7378485289444789E-2</v>
      </c>
      <c r="H138" s="13">
        <f>(1+G138)*(1+H93)-1</f>
        <v>8.4920850695176853E-2</v>
      </c>
      <c r="I138" s="13">
        <f>(1+H138)*(1+I93)-1</f>
        <v>0.10275152487635197</v>
      </c>
      <c r="J138" s="13">
        <f>(1+I138)*(1+J93)-1</f>
        <v>0.12087524618769474</v>
      </c>
      <c r="K138" s="13">
        <f>(1+J138)*(1+K93)-1</f>
        <v>0.13929683085878941</v>
      </c>
      <c r="L138" s="13">
        <f>(1+K138)*(1+L93)-1</f>
        <v>0.15802117427395368</v>
      </c>
      <c r="M138" s="13">
        <f>(1+L138)*(1+M93)-1</f>
        <v>0.17705325227314606</v>
      </c>
      <c r="N138" s="13">
        <f>(1+M138)*(1+N93)-1</f>
        <v>0.19639812247425525</v>
      </c>
      <c r="O138" s="13">
        <f>(1+N138)*(1+O93)-1</f>
        <v>0.21606092561711954</v>
      </c>
      <c r="P138" s="13">
        <f>(1+O138)*(1+P93)-1</f>
        <v>0.23604688692963682</v>
      </c>
      <c r="Q138" s="13">
        <f>(1+P138)*(1+Q93)-1</f>
        <v>0.25636131751632529</v>
      </c>
      <c r="R138" s="13">
        <f>(1+Q138)*(1+R93)-1</f>
        <v>0.27700961576970617</v>
      </c>
      <c r="S138" s="13">
        <f>(1+R138)*(1+S93)-1</f>
        <v>0.29799726880488131</v>
      </c>
      <c r="T138" s="13">
        <f>(1+S138)*(1+T93)-1</f>
        <v>0.31932985391768942</v>
      </c>
      <c r="U138" s="13">
        <f>(1+T138)*(1+U93)-1</f>
        <v>0.34101304006682653</v>
      </c>
      <c r="V138" s="13">
        <f>(1+U138)*(1+V93)-1</f>
        <v>0.3630525893803247</v>
      </c>
      <c r="W138" s="13">
        <f>(1+V138)*(1+W93)-1</f>
        <v>0.38545435868679023</v>
      </c>
      <c r="X138" s="13">
        <f>(1+W138)*(1+X93)-1</f>
        <v>0.40822430107180763</v>
      </c>
      <c r="Y138" s="13">
        <f>(1+X138)*(1+Y93)-1</f>
        <v>0.43136846745992274</v>
      </c>
      <c r="Z138" s="13">
        <f>(1+Y138)*(1+Z93)-1</f>
        <v>0.45489300822262657</v>
      </c>
      <c r="AA138" s="13">
        <f>(1+Z138)*(1+AA93)-1</f>
        <v>0.47880417481276538</v>
      </c>
      <c r="AB138" s="13">
        <f>(1+AA138)*(1+AB93)-1</f>
        <v>0.50310832142581319</v>
      </c>
      <c r="AC138" s="13">
        <f>(1+AB138)*(1+AC93)-1</f>
        <v>0.52781190668844635</v>
      </c>
    </row>
    <row r="139" spans="1:29" x14ac:dyDescent="0.25">
      <c r="B139" s="1" t="s">
        <v>27</v>
      </c>
      <c r="C139" s="13">
        <f>IF($A139="AEO",'Growth Rates'!B132,'Growth Rates'!B132*'Rescale to Fit GDP Proj'!$D$52)</f>
        <v>0</v>
      </c>
      <c r="D139" s="13">
        <f>(1+C139)*(1+D94)-1</f>
        <v>2.0154766927778844E-2</v>
      </c>
      <c r="E139" s="13">
        <f>(1+D139)*(1+E94)-1</f>
        <v>4.0715748485470771E-2</v>
      </c>
      <c r="F139" s="13">
        <f>(1+E139)*(1+F94)-1</f>
        <v>6.1691131834264334E-2</v>
      </c>
      <c r="G139" s="13">
        <f>(1+F139)*(1+G94)-1</f>
        <v>8.3089269145673716E-2</v>
      </c>
      <c r="H139" s="13">
        <f>(1+G139)*(1+H94)-1</f>
        <v>0.10491868092728307</v>
      </c>
      <c r="I139" s="13">
        <f>(1+H139)*(1+I94)-1</f>
        <v>0.12718805941552125</v>
      </c>
      <c r="J139" s="13">
        <f>(1+I139)*(1+J94)-1</f>
        <v>0.1499062720368165</v>
      </c>
      <c r="K139" s="13">
        <f>(1+J139)*(1+K94)-1</f>
        <v>0.17308236493850959</v>
      </c>
      <c r="L139" s="13">
        <f>(1+K139)*(1+L94)-1</f>
        <v>0.19672556659093288</v>
      </c>
      <c r="M139" s="13">
        <f>(1+L139)*(1+M94)-1</f>
        <v>0.22084529146208731</v>
      </c>
      <c r="N139" s="13">
        <f>(1+M139)*(1+N94)-1</f>
        <v>0.245451143766382</v>
      </c>
      <c r="O139" s="13">
        <f>(1+N139)*(1+O94)-1</f>
        <v>0.27055292128892905</v>
      </c>
      <c r="P139" s="13">
        <f>(1+O139)*(1+P94)-1</f>
        <v>0.29616061928691595</v>
      </c>
      <c r="Q139" s="13">
        <f>(1+P139)*(1+Q94)-1</f>
        <v>0.32228443446960919</v>
      </c>
      <c r="R139" s="13">
        <f>(1+Q139)*(1+R94)-1</f>
        <v>0.34893476905857401</v>
      </c>
      <c r="S139" s="13">
        <f>(1+R139)*(1+S94)-1</f>
        <v>0.37612223492972685</v>
      </c>
      <c r="T139" s="13">
        <f>(1+S139)*(1+T94)-1</f>
        <v>0.40385765783886951</v>
      </c>
      <c r="U139" s="13">
        <f>(1+T139)*(1+U94)-1</f>
        <v>0.43215208173238939</v>
      </c>
      <c r="V139" s="13">
        <f>(1+U139)*(1+V94)-1</f>
        <v>0.46101677314483891</v>
      </c>
      <c r="W139" s="13">
        <f>(1+V139)*(1+W94)-1</f>
        <v>0.49046322568514866</v>
      </c>
      <c r="X139" s="13">
        <f>(1+W139)*(1+X94)-1</f>
        <v>0.5205031646132583</v>
      </c>
      <c r="Y139" s="13">
        <f>(1+X139)*(1+Y94)-1</f>
        <v>0.55114855150898867</v>
      </c>
      <c r="Z139" s="13">
        <f>(1+Y139)*(1+Z94)-1</f>
        <v>0.58241158903501411</v>
      </c>
      <c r="AA139" s="13">
        <f>(1+Z139)*(1+AA94)-1</f>
        <v>0.61430472579583095</v>
      </c>
      <c r="AB139" s="13">
        <f>(1+AA139)*(1+AB94)-1</f>
        <v>0.64684066129465778</v>
      </c>
      <c r="AC139" s="13">
        <f>(1+AB139)*(1+AC94)-1</f>
        <v>0.68003235099024084</v>
      </c>
    </row>
    <row r="140" spans="1:29" x14ac:dyDescent="0.25">
      <c r="B140" s="1" t="s">
        <v>28</v>
      </c>
      <c r="C140" s="13">
        <f>IF($A140="AEO",'Growth Rates'!B133,'Growth Rates'!B133*'Rescale to Fit GDP Proj'!$D$52)</f>
        <v>0</v>
      </c>
      <c r="D140" s="13">
        <f>(1+C140)*(1+D95)-1</f>
        <v>4.3814097273657815E-3</v>
      </c>
      <c r="E140" s="13">
        <f>(1+D140)*(1+E95)-1</f>
        <v>8.782016205930665E-3</v>
      </c>
      <c r="F140" s="13">
        <f>(1+E140)*(1+F95)-1</f>
        <v>1.3201903544526994E-2</v>
      </c>
      <c r="G140" s="13">
        <f>(1+F140)*(1+G95)-1</f>
        <v>1.7641156220502552E-2</v>
      </c>
      <c r="H140" s="13">
        <f>(1+G140)*(1+H95)-1</f>
        <v>2.2099859081334827E-2</v>
      </c>
      <c r="I140" s="13">
        <f>(1+H140)*(1+I95)-1</f>
        <v>2.6578097346253049E-2</v>
      </c>
      <c r="J140" s="13">
        <f>(1+I140)*(1+J95)-1</f>
        <v>3.1075956607866662E-2</v>
      </c>
      <c r="K140" s="13">
        <f>(1+J140)*(1+K95)-1</f>
        <v>3.559352283380135E-2</v>
      </c>
      <c r="L140" s="13">
        <f>(1+K140)*(1+L95)-1</f>
        <v>4.0130882368342391E-2</v>
      </c>
      <c r="M140" s="13">
        <f>(1+L140)*(1+M95)-1</f>
        <v>4.4688121934084668E-2</v>
      </c>
      <c r="N140" s="13">
        <f>(1+M140)*(1+N95)-1</f>
        <v>4.9265328633590233E-2</v>
      </c>
      <c r="O140" s="13">
        <f>(1+N140)*(1+O95)-1</f>
        <v>5.3862589951053197E-2</v>
      </c>
      <c r="P140" s="13">
        <f>(1+O140)*(1+P95)-1</f>
        <v>5.8479993753971726E-2</v>
      </c>
      <c r="Q140" s="13">
        <f>(1+P140)*(1+Q95)-1</f>
        <v>6.3117628294827366E-2</v>
      </c>
      <c r="R140" s="13">
        <f>(1+Q140)*(1+R95)-1</f>
        <v>6.7775582212772356E-2</v>
      </c>
      <c r="S140" s="13">
        <f>(1+R140)*(1+S95)-1</f>
        <v>7.2453944535323167E-2</v>
      </c>
      <c r="T140" s="13">
        <f>(1+S140)*(1+T95)-1</f>
        <v>7.7152804680062026E-2</v>
      </c>
      <c r="U140" s="13">
        <f>(1+T140)*(1+U95)-1</f>
        <v>8.1872252456346661E-2</v>
      </c>
      <c r="V140" s="13">
        <f>(1+U140)*(1+V95)-1</f>
        <v>8.6612378067026041E-2</v>
      </c>
      <c r="W140" s="13">
        <f>(1+V140)*(1+W95)-1</f>
        <v>9.1373272110164994E-2</v>
      </c>
      <c r="X140" s="13">
        <f>(1+W140)*(1+X95)-1</f>
        <v>9.6155025580775488E-2</v>
      </c>
      <c r="Y140" s="13">
        <f>(1+X140)*(1+Y95)-1</f>
        <v>0.10095772987255591</v>
      </c>
      <c r="Z140" s="13">
        <f>(1+Y140)*(1+Z95)-1</f>
        <v>0.10578147677963812</v>
      </c>
      <c r="AA140" s="13">
        <f>(1+Z140)*(1+AA95)-1</f>
        <v>0.11062635849834135</v>
      </c>
      <c r="AB140" s="13">
        <f>(1+AA140)*(1+AB95)-1</f>
        <v>0.11549246762893484</v>
      </c>
      <c r="AC140" s="13">
        <f>(1+AB140)*(1+AC95)-1</f>
        <v>0.12037989717740749</v>
      </c>
    </row>
    <row r="141" spans="1:29" x14ac:dyDescent="0.25">
      <c r="B141" s="1" t="s">
        <v>29</v>
      </c>
      <c r="C141" s="13">
        <f>IF($A141="AEO",'Growth Rates'!B134,'Growth Rates'!B134*'Rescale to Fit GDP Proj'!$D$52)</f>
        <v>0</v>
      </c>
      <c r="D141" s="13">
        <f>(1+C141)*(1+D96)-1</f>
        <v>4.0878301488758151E-3</v>
      </c>
      <c r="E141" s="13">
        <f>(1+D141)*(1+E96)-1</f>
        <v>8.1923706530777629E-3</v>
      </c>
      <c r="F141" s="13">
        <f>(1+E141)*(1+F96)-1</f>
        <v>1.2313689821700002E-2</v>
      </c>
      <c r="G141" s="13">
        <f>(1+F141)*(1+G96)-1</f>
        <v>1.6451856243072882E-2</v>
      </c>
      <c r="H141" s="13">
        <f>(1+G141)*(1+H96)-1</f>
        <v>2.0606938785904028E-2</v>
      </c>
      <c r="I141" s="13">
        <f>(1+H141)*(1+I96)-1</f>
        <v>2.477900660042498E-2</v>
      </c>
      <c r="J141" s="13">
        <f>(1+I141)*(1+J96)-1</f>
        <v>2.8968129119541164E-2</v>
      </c>
      <c r="K141" s="13">
        <f>(1+J141)*(1+K96)-1</f>
        <v>3.3174376059988298E-2</v>
      </c>
      <c r="L141" s="13">
        <f>(1+K141)*(1+L96)-1</f>
        <v>3.7397817423492352E-2</v>
      </c>
      <c r="M141" s="13">
        <f>(1+L141)*(1+M96)-1</f>
        <v>4.1638523497934177E-2</v>
      </c>
      <c r="N141" s="13">
        <f>(1+M141)*(1+N96)-1</f>
        <v>4.5896564858519451E-2</v>
      </c>
      <c r="O141" s="13">
        <f>(1+N141)*(1+O96)-1</f>
        <v>5.0172012368953744E-2</v>
      </c>
      <c r="P141" s="13">
        <f>(1+O141)*(1+P96)-1</f>
        <v>5.4464937182621131E-2</v>
      </c>
      <c r="Q141" s="13">
        <f>(1+P141)*(1+Q96)-1</f>
        <v>5.8775410743768797E-2</v>
      </c>
      <c r="R141" s="13">
        <f>(1+Q141)*(1+R96)-1</f>
        <v>6.3103504788695641E-2</v>
      </c>
      <c r="S141" s="13">
        <f>(1+R141)*(1+S96)-1</f>
        <v>6.7449291346946438E-2</v>
      </c>
      <c r="T141" s="13">
        <f>(1+S141)*(1+T96)-1</f>
        <v>7.1812842742510652E-2</v>
      </c>
      <c r="U141" s="13">
        <f>(1+T141)*(1+U96)-1</f>
        <v>7.6194231595025697E-2</v>
      </c>
      <c r="V141" s="13">
        <f>(1+U141)*(1+V96)-1</f>
        <v>8.0593530820986192E-2</v>
      </c>
      <c r="W141" s="13">
        <f>(1+V141)*(1+W96)-1</f>
        <v>8.5010813634956328E-2</v>
      </c>
      <c r="X141" s="13">
        <f>(1+W141)*(1+X96)-1</f>
        <v>8.9446153550789553E-2</v>
      </c>
      <c r="Y141" s="13">
        <f>(1+X141)*(1+Y96)-1</f>
        <v>9.3899624382851155E-2</v>
      </c>
      <c r="Z141" s="13">
        <f>(1+Y141)*(1+Z96)-1</f>
        <v>9.8371300247247273E-2</v>
      </c>
      <c r="AA141" s="13">
        <f>(1+Z141)*(1+AA96)-1</f>
        <v>0.10286125556305792</v>
      </c>
      <c r="AB141" s="13">
        <f>(1+AA141)*(1+AB96)-1</f>
        <v>0.10736956505357553</v>
      </c>
      <c r="AC141" s="13">
        <f>(1+AB141)*(1+AC96)-1</f>
        <v>0.11189630374754911</v>
      </c>
    </row>
    <row r="142" spans="1:29" x14ac:dyDescent="0.25">
      <c r="B142" s="1" t="s">
        <v>30</v>
      </c>
      <c r="C142" s="13">
        <f>IF($A142="AEO",'Growth Rates'!B135,'Growth Rates'!B135*'Rescale to Fit GDP Proj'!$D$52)</f>
        <v>0</v>
      </c>
      <c r="D142" s="13">
        <f>(1+C142)*(1+D97)-1</f>
        <v>2.3963418204965059E-2</v>
      </c>
      <c r="E142" s="13">
        <f>(1+D142)*(1+E97)-1</f>
        <v>4.8501081821996195E-2</v>
      </c>
      <c r="F142" s="13">
        <f>(1+E142)*(1+F97)-1</f>
        <v>7.3626751734054974E-2</v>
      </c>
      <c r="G142" s="13">
        <f>(1+F142)*(1+G97)-1</f>
        <v>9.9354518581896256E-2</v>
      </c>
      <c r="H142" s="13">
        <f>(1+G142)*(1+H97)-1</f>
        <v>0.12569881066619226</v>
      </c>
      <c r="I142" s="13">
        <f>(1+H142)*(1+I97)-1</f>
        <v>0.15267440203901805</v>
      </c>
      <c r="J142" s="13">
        <f>(1+I142)*(1+J97)-1</f>
        <v>0.18029642078923702</v>
      </c>
      <c r="K142" s="13">
        <f>(1+J142)*(1+K97)-1</f>
        <v>0.20858035752643289</v>
      </c>
      <c r="L142" s="13">
        <f>(1+K142)*(1+L97)-1</f>
        <v>0.23754207406814509</v>
      </c>
      <c r="M142" s="13">
        <f>(1+L142)*(1+M97)-1</f>
        <v>0.26719781233527984</v>
      </c>
      <c r="N142" s="13">
        <f>(1+M142)*(1+N97)-1</f>
        <v>0.2975642034606869</v>
      </c>
      <c r="O142" s="13">
        <f>(1+N142)*(1+O97)-1</f>
        <v>0.32865827711600781</v>
      </c>
      <c r="P142" s="13">
        <f>(1+O142)*(1+P97)-1</f>
        <v>0.36049747106202701</v>
      </c>
      <c r="Q142" s="13">
        <f>(1+P142)*(1+Q97)-1</f>
        <v>0.39309964092788374</v>
      </c>
      <c r="R142" s="13">
        <f>(1+Q142)*(1+R97)-1</f>
        <v>0.42648307022462517</v>
      </c>
      <c r="S142" s="13">
        <f>(1+R142)*(1+S97)-1</f>
        <v>0.4606664805987204</v>
      </c>
      <c r="T142" s="13">
        <f>(1+S142)*(1+T97)-1</f>
        <v>0.49566904233128195</v>
      </c>
      <c r="U142" s="13">
        <f>(1+T142)*(1+U97)-1</f>
        <v>0.53151038508888604</v>
      </c>
      <c r="V142" s="13">
        <f>(1+U142)*(1+V97)-1</f>
        <v>0.56821060893201802</v>
      </c>
      <c r="W142" s="13">
        <f>(1+V142)*(1+W97)-1</f>
        <v>0.60579029558731889</v>
      </c>
      <c r="X142" s="13">
        <f>(1+W142)*(1+X97)-1</f>
        <v>0.64427051998995233</v>
      </c>
      <c r="Y142" s="13">
        <f>(1+X142)*(1+Y97)-1</f>
        <v>0.68367286210256695</v>
      </c>
      <c r="Z142" s="13">
        <f>(1+Y142)*(1+Z97)-1</f>
        <v>0.72401941901748113</v>
      </c>
      <c r="AA142" s="13">
        <f>(1+Z142)*(1+AA97)-1</f>
        <v>0.76533281734887781</v>
      </c>
      <c r="AB142" s="13">
        <f>(1+AA142)*(1+AB97)-1</f>
        <v>0.80763622592195827</v>
      </c>
      <c r="AC142" s="13">
        <f>(1+AB142)*(1+AC97)-1</f>
        <v>0.85095336876617078</v>
      </c>
    </row>
    <row r="143" spans="1:29" x14ac:dyDescent="0.25">
      <c r="B143" s="1" t="s">
        <v>31</v>
      </c>
      <c r="C143" s="13">
        <f>IF($A143="AEO",'Growth Rates'!B136,'Growth Rates'!B136*'Rescale to Fit GDP Proj'!$D$52)</f>
        <v>0</v>
      </c>
      <c r="D143" s="13">
        <f>(1+C143)*(1+D98)-1</f>
        <v>1.8576044026160421E-2</v>
      </c>
      <c r="E143" s="13">
        <f>(1+D143)*(1+E98)-1</f>
        <v>3.7497157463982633E-2</v>
      </c>
      <c r="F143" s="13">
        <f>(1+E143)*(1+F98)-1</f>
        <v>5.6769750338049763E-2</v>
      </c>
      <c r="G143" s="13">
        <f>(1+F143)*(1+G98)-1</f>
        <v>7.6400351745844031E-2</v>
      </c>
      <c r="H143" s="13">
        <f>(1+G143)*(1+H98)-1</f>
        <v>9.6395612069649417E-2</v>
      </c>
      <c r="I143" s="13">
        <f>(1+H143)*(1+I98)-1</f>
        <v>0.11676230522954434</v>
      </c>
      <c r="J143" s="13">
        <f>(1+I143)*(1+J98)-1</f>
        <v>0.13750733097824486</v>
      </c>
      <c r="K143" s="13">
        <f>(1+J143)*(1+K98)-1</f>
        <v>0.15863771723857689</v>
      </c>
      <c r="L143" s="13">
        <f>(1+K143)*(1+L98)-1</f>
        <v>0.18016062248437081</v>
      </c>
      <c r="M143" s="13">
        <f>(1+L143)*(1+M98)-1</f>
        <v>0.20208333816558133</v>
      </c>
      <c r="N143" s="13">
        <f>(1+M143)*(1+N98)-1</f>
        <v>0.2244132911784591</v>
      </c>
      <c r="O143" s="13">
        <f>(1+N143)*(1+O98)-1</f>
        <v>0.2471580463816061</v>
      </c>
      <c r="P143" s="13">
        <f>(1+O143)*(1+P98)-1</f>
        <v>0.27032530915877095</v>
      </c>
      <c r="Q143" s="13">
        <f>(1+P143)*(1+Q98)-1</f>
        <v>0.29392292802925013</v>
      </c>
      <c r="R143" s="13">
        <f>(1+Q143)*(1+R98)-1</f>
        <v>0.31795889730677995</v>
      </c>
      <c r="S143" s="13">
        <f>(1+R143)*(1+S98)-1</f>
        <v>0.34244135980782064</v>
      </c>
      <c r="T143" s="13">
        <f>(1+S143)*(1+T98)-1</f>
        <v>0.36737860961014945</v>
      </c>
      <c r="U143" s="13">
        <f>(1+T143)*(1+U98)-1</f>
        <v>0.39277909486269769</v>
      </c>
      <c r="V143" s="13">
        <f>(1+U143)*(1+V98)-1</f>
        <v>0.41865142064758309</v>
      </c>
      <c r="W143" s="13">
        <f>(1+V143)*(1+W98)-1</f>
        <v>0.44500435189530752</v>
      </c>
      <c r="X143" s="13">
        <f>(1+W143)*(1+X98)-1</f>
        <v>0.47184681635410808</v>
      </c>
      <c r="Y143" s="13">
        <f>(1+X143)*(1+Y98)-1</f>
        <v>0.49918790761446608</v>
      </c>
      <c r="Z143" s="13">
        <f>(1+Y143)*(1+Z98)-1</f>
        <v>0.52703688818979977</v>
      </c>
      <c r="AA143" s="13">
        <f>(1+Z143)*(1+AA98)-1</f>
        <v>0.55540319265438454</v>
      </c>
      <c r="AB143" s="13">
        <f>(1+AA143)*(1+AB98)-1</f>
        <v>0.58429643083956284</v>
      </c>
      <c r="AC143" s="13">
        <f>(1+AB143)*(1+AC98)-1</f>
        <v>0.61372639108932736</v>
      </c>
    </row>
    <row r="144" spans="1:29" x14ac:dyDescent="0.25">
      <c r="B144" s="1" t="s">
        <v>32</v>
      </c>
      <c r="C144" s="13">
        <f>IF($A144="AEO",'Growth Rates'!B137,'Growth Rates'!B137*'Rescale to Fit GDP Proj'!$D$52)</f>
        <v>0</v>
      </c>
      <c r="D144" s="13">
        <f>(1+C144)*(1+D99)-1</f>
        <v>1.5570000000000084E-2</v>
      </c>
      <c r="E144" s="13">
        <f>(1+D144)*(1+E99)-1</f>
        <v>3.1382424900000094E-2</v>
      </c>
      <c r="F144" s="13">
        <f>(1+E144)*(1+F99)-1</f>
        <v>4.7441049255693146E-2</v>
      </c>
      <c r="G144" s="13">
        <f>(1+F144)*(1+G99)-1</f>
        <v>6.3749706392604466E-2</v>
      </c>
      <c r="H144" s="13">
        <f>(1+G144)*(1+H99)-1</f>
        <v>8.0312289321137431E-2</v>
      </c>
      <c r="I144" s="13">
        <f>(1+H144)*(1+I99)-1</f>
        <v>9.7132751665867545E-2</v>
      </c>
      <c r="J144" s="13">
        <f>(1+I144)*(1+J99)-1</f>
        <v>0.11421510860930528</v>
      </c>
      <c r="K144" s="13">
        <f>(1+J144)*(1+K99)-1</f>
        <v>0.13156343785035229</v>
      </c>
      <c r="L144" s="13">
        <f>(1+K144)*(1+L99)-1</f>
        <v>0.14918188057768234</v>
      </c>
      <c r="M144" s="13">
        <f>(1+L144)*(1+M99)-1</f>
        <v>0.16707464245827697</v>
      </c>
      <c r="N144" s="13">
        <f>(1+M144)*(1+N99)-1</f>
        <v>0.1852459946413525</v>
      </c>
      <c r="O144" s="13">
        <f>(1+N144)*(1+O99)-1</f>
        <v>0.20370027477791841</v>
      </c>
      <c r="P144" s="13">
        <f>(1+O144)*(1+P99)-1</f>
        <v>0.22244188805621068</v>
      </c>
      <c r="Q144" s="13">
        <f>(1+P144)*(1+Q99)-1</f>
        <v>0.24147530825324592</v>
      </c>
      <c r="R144" s="13">
        <f>(1+Q144)*(1+R99)-1</f>
        <v>0.26080507880274917</v>
      </c>
      <c r="S144" s="13">
        <f>(1+R144)*(1+S99)-1</f>
        <v>0.28043581387970806</v>
      </c>
      <c r="T144" s="13">
        <f>(1+S144)*(1+T99)-1</f>
        <v>0.30037219950181515</v>
      </c>
      <c r="U144" s="13">
        <f>(1+T144)*(1+U99)-1</f>
        <v>0.32061899464805843</v>
      </c>
      <c r="V144" s="13">
        <f>(1+U144)*(1+V99)-1</f>
        <v>0.34118103239472886</v>
      </c>
      <c r="W144" s="13">
        <f>(1+V144)*(1+W99)-1</f>
        <v>0.36206322106911482</v>
      </c>
      <c r="X144" s="13">
        <f>(1+W144)*(1+X99)-1</f>
        <v>0.38327054542116112</v>
      </c>
      <c r="Y144" s="13">
        <f>(1+X144)*(1+Y99)-1</f>
        <v>0.40480806781336875</v>
      </c>
      <c r="Z144" s="13">
        <f>(1+Y144)*(1+Z99)-1</f>
        <v>0.42668092942922309</v>
      </c>
      <c r="AA144" s="13">
        <f>(1+Z144)*(1+AA99)-1</f>
        <v>0.44889435150043622</v>
      </c>
      <c r="AB144" s="13">
        <f>(1+AA144)*(1+AB99)-1</f>
        <v>0.47145363655329819</v>
      </c>
      <c r="AC144" s="13">
        <f>(1+AB144)*(1+AC99)-1</f>
        <v>0.4943641696744332</v>
      </c>
    </row>
    <row r="145" spans="1:32" x14ac:dyDescent="0.25">
      <c r="B145" s="1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 spans="1:32" s="7" customFormat="1" x14ac:dyDescent="0.25">
      <c r="A146" s="22" t="s">
        <v>130</v>
      </c>
    </row>
    <row r="147" spans="1:32" x14ac:dyDescent="0.25">
      <c r="C147">
        <v>2024</v>
      </c>
      <c r="D147">
        <v>2025</v>
      </c>
      <c r="E147">
        <v>2026</v>
      </c>
      <c r="F147">
        <v>2027</v>
      </c>
      <c r="G147">
        <v>2028</v>
      </c>
      <c r="H147">
        <v>2029</v>
      </c>
      <c r="I147">
        <v>2030</v>
      </c>
      <c r="J147">
        <v>2031</v>
      </c>
      <c r="K147">
        <v>2032</v>
      </c>
      <c r="L147">
        <v>2033</v>
      </c>
      <c r="M147">
        <v>2034</v>
      </c>
      <c r="N147">
        <v>2035</v>
      </c>
      <c r="O147">
        <v>2036</v>
      </c>
      <c r="P147">
        <v>2037</v>
      </c>
      <c r="Q147">
        <v>2038</v>
      </c>
      <c r="R147">
        <v>2039</v>
      </c>
      <c r="S147">
        <v>2040</v>
      </c>
      <c r="T147">
        <v>2041</v>
      </c>
      <c r="U147">
        <v>2042</v>
      </c>
      <c r="V147">
        <v>2043</v>
      </c>
      <c r="W147">
        <v>2044</v>
      </c>
      <c r="X147">
        <v>2045</v>
      </c>
      <c r="Y147">
        <v>2046</v>
      </c>
      <c r="Z147">
        <v>2047</v>
      </c>
      <c r="AA147">
        <v>2048</v>
      </c>
      <c r="AB147">
        <v>2049</v>
      </c>
      <c r="AC147">
        <v>2050</v>
      </c>
    </row>
    <row r="148" spans="1:32" x14ac:dyDescent="0.25">
      <c r="A148" t="s">
        <v>127</v>
      </c>
      <c r="B148" s="1" t="s">
        <v>2</v>
      </c>
      <c r="C148" s="27">
        <f>$C5*(1+C58)</f>
        <v>197387499988.84241</v>
      </c>
      <c r="D148" s="27">
        <f>C148*(1+D58)</f>
        <v>199564028244.07837</v>
      </c>
      <c r="E148" s="27">
        <f>D148*(1+E58)</f>
        <v>202220378966.8349</v>
      </c>
      <c r="F148" s="27">
        <f>E148*(1+F58)</f>
        <v>204870312714.55023</v>
      </c>
      <c r="G148" s="27">
        <f>F148*(1+G58)</f>
        <v>207165656297.85782</v>
      </c>
      <c r="H148" s="27">
        <f>G148*(1+H58)</f>
        <v>210197591833.45425</v>
      </c>
      <c r="I148" s="27">
        <f>H148*(1+I58)</f>
        <v>213009180454.38248</v>
      </c>
      <c r="J148" s="27">
        <f>I148*(1+J58)</f>
        <v>215240465651.11987</v>
      </c>
      <c r="K148" s="27">
        <f>J148*(1+K58)</f>
        <v>217441231294.01639</v>
      </c>
      <c r="L148" s="27">
        <f>K148*(1+L58)</f>
        <v>219534159739.11667</v>
      </c>
      <c r="M148" s="27">
        <f>L148*(1+M58)</f>
        <v>222203031201.15118</v>
      </c>
      <c r="N148" s="27">
        <f>M148*(1+N58)</f>
        <v>224976475508.37628</v>
      </c>
      <c r="O148" s="27">
        <f>N148*(1+O58)</f>
        <v>228287606788.66251</v>
      </c>
      <c r="P148" s="27">
        <f>O148*(1+P58)</f>
        <v>230950754735.36658</v>
      </c>
      <c r="Q148" s="27">
        <f>P148*(1+Q58)</f>
        <v>233233935115.94009</v>
      </c>
      <c r="R148" s="27">
        <f>Q148*(1+R58)</f>
        <v>235728317754.67935</v>
      </c>
      <c r="S148" s="27">
        <f>R148*(1+S58)</f>
        <v>238001391866.63174</v>
      </c>
      <c r="T148" s="27">
        <f>S148*(1+T58)</f>
        <v>239698947536.29587</v>
      </c>
      <c r="U148" s="27">
        <f>T148*(1+U58)</f>
        <v>241697409404.82663</v>
      </c>
      <c r="V148" s="27">
        <f>U148*(1+V58)</f>
        <v>243712238094.78177</v>
      </c>
      <c r="W148" s="27">
        <f>V148*(1+W58)</f>
        <v>245932254662.80179</v>
      </c>
      <c r="X148" s="27">
        <f>W148*(1+X58)</f>
        <v>248722378635.92722</v>
      </c>
      <c r="Y148" s="27">
        <f>X148*(1+Y58)</f>
        <v>251603570390.4841</v>
      </c>
      <c r="Z148" s="27">
        <f>Y148*(1+Z58)</f>
        <v>254457685712.07767</v>
      </c>
      <c r="AA148" s="27">
        <f>Z148*(1+AA58)</f>
        <v>257265585039.42596</v>
      </c>
      <c r="AB148" s="27">
        <f>AA148*(1+AB58)</f>
        <v>260186888657.66293</v>
      </c>
      <c r="AC148" s="27">
        <f>AB148*(1+AC58)</f>
        <v>263029265717.49683</v>
      </c>
    </row>
    <row r="149" spans="1:32" x14ac:dyDescent="0.25">
      <c r="A149" t="s">
        <v>127</v>
      </c>
      <c r="B149" s="1" t="s">
        <v>36</v>
      </c>
      <c r="C149" s="27">
        <f t="shared" ref="C149:C189" si="0">$C6*(1+C59)</f>
        <v>19459681423.489273</v>
      </c>
      <c r="D149" s="27">
        <f>C149*(1+D59)</f>
        <v>21079067346.597446</v>
      </c>
      <c r="E149" s="27">
        <f>D149*(1+E59)</f>
        <v>21267967755.371658</v>
      </c>
      <c r="F149" s="27">
        <f>E149*(1+F59)</f>
        <v>21415736656.670372</v>
      </c>
      <c r="G149" s="27">
        <f>F149*(1+G59)</f>
        <v>21679556272.987343</v>
      </c>
      <c r="H149" s="27">
        <f>G149*(1+H59)</f>
        <v>21884491830.583118</v>
      </c>
      <c r="I149" s="27">
        <f>H149*(1+I59)</f>
        <v>22063190968.545013</v>
      </c>
      <c r="J149" s="27">
        <f>I149*(1+J59)</f>
        <v>21975502487.881382</v>
      </c>
      <c r="K149" s="27">
        <f>J149*(1+K59)</f>
        <v>22200446638.638939</v>
      </c>
      <c r="L149" s="27">
        <f>K149*(1+L59)</f>
        <v>22206301435.198277</v>
      </c>
      <c r="M149" s="27">
        <f>L149*(1+M59)</f>
        <v>22229899114.1017</v>
      </c>
      <c r="N149" s="27">
        <f>M149*(1+N59)</f>
        <v>22115564141.723373</v>
      </c>
      <c r="O149" s="27">
        <f>N149*(1+O59)</f>
        <v>21960740894.11195</v>
      </c>
      <c r="P149" s="27">
        <f>O149*(1+P59)</f>
        <v>21729007672.710278</v>
      </c>
      <c r="Q149" s="27">
        <f>P149*(1+Q59)</f>
        <v>21618885706.858536</v>
      </c>
      <c r="R149" s="27">
        <f>Q149*(1+R59)</f>
        <v>21477381674.199966</v>
      </c>
      <c r="S149" s="27">
        <f>R149*(1+S59)</f>
        <v>21529841683.072395</v>
      </c>
      <c r="T149" s="27">
        <f>S149*(1+T59)</f>
        <v>21608263140.662712</v>
      </c>
      <c r="U149" s="27">
        <f>T149*(1+U59)</f>
        <v>21706815409.492737</v>
      </c>
      <c r="V149" s="27">
        <f>U149*(1+V59)</f>
        <v>21703049438.177662</v>
      </c>
      <c r="W149" s="27">
        <f>V149*(1+W59)</f>
        <v>21753214782.219109</v>
      </c>
      <c r="X149" s="27">
        <f>W149*(1+X59)</f>
        <v>21816717071.924004</v>
      </c>
      <c r="Y149" s="27">
        <f>X149*(1+Y59)</f>
        <v>21981100017.889545</v>
      </c>
      <c r="Z149" s="27">
        <f>Y149*(1+Z59)</f>
        <v>22001865973.216892</v>
      </c>
      <c r="AA149" s="27">
        <f>Z149*(1+AA59)</f>
        <v>21990736856.69035</v>
      </c>
      <c r="AB149" s="27">
        <f>AA149*(1+AB59)</f>
        <v>22046311595.51804</v>
      </c>
      <c r="AC149" s="27">
        <f>AB149*(1+AC59)</f>
        <v>22114919328.734116</v>
      </c>
    </row>
    <row r="150" spans="1:32" x14ac:dyDescent="0.25">
      <c r="A150" t="s">
        <v>127</v>
      </c>
      <c r="B150" s="1" t="s">
        <v>37</v>
      </c>
      <c r="C150" s="27">
        <f t="shared" si="0"/>
        <v>184887838438.70837</v>
      </c>
      <c r="D150" s="27">
        <f>C150*(1+D60)</f>
        <v>200273741034.22256</v>
      </c>
      <c r="E150" s="27">
        <f>D150*(1+E60)</f>
        <v>202068497458.97549</v>
      </c>
      <c r="F150" s="27">
        <f>E150*(1+F60)</f>
        <v>203472460460.99072</v>
      </c>
      <c r="G150" s="27">
        <f>F150*(1+G60)</f>
        <v>205979029686.71796</v>
      </c>
      <c r="H150" s="27">
        <f>G150*(1+H60)</f>
        <v>207926137218.36429</v>
      </c>
      <c r="I150" s="27">
        <f>H150*(1+I60)</f>
        <v>209623970632.46912</v>
      </c>
      <c r="J150" s="27">
        <f>I150*(1+J60)</f>
        <v>208790836045.47101</v>
      </c>
      <c r="K150" s="27">
        <f>J150*(1+K60)</f>
        <v>210928046665.6199</v>
      </c>
      <c r="L150" s="27">
        <f>K150*(1+L60)</f>
        <v>210983673510.52023</v>
      </c>
      <c r="M150" s="27">
        <f>L150*(1+M60)</f>
        <v>211207876761.83133</v>
      </c>
      <c r="N150" s="27">
        <f>M150*(1+N60)</f>
        <v>210121571932.83954</v>
      </c>
      <c r="O150" s="27">
        <f>N150*(1+O60)</f>
        <v>208650585077.09457</v>
      </c>
      <c r="P150" s="27">
        <f>O150*(1+P60)</f>
        <v>206448871006.49951</v>
      </c>
      <c r="Q150" s="27">
        <f>P150*(1+Q60)</f>
        <v>205402594256.74896</v>
      </c>
      <c r="R150" s="27">
        <f>Q150*(1+R60)</f>
        <v>204058154224.08618</v>
      </c>
      <c r="S150" s="27">
        <f>R150*(1+S60)</f>
        <v>204556580556.65662</v>
      </c>
      <c r="T150" s="27">
        <f>S150*(1+T60)</f>
        <v>205301668488.23935</v>
      </c>
      <c r="U150" s="27">
        <f>T150*(1+U60)</f>
        <v>206238020711.1087</v>
      </c>
      <c r="V150" s="27">
        <f>U150*(1+V60)</f>
        <v>206202239945.6936</v>
      </c>
      <c r="W150" s="27">
        <f>V150*(1+W60)</f>
        <v>206678864502.00119</v>
      </c>
      <c r="X150" s="27">
        <f>W150*(1+X60)</f>
        <v>207282204342.15268</v>
      </c>
      <c r="Y150" s="27">
        <f>X150*(1+Y60)</f>
        <v>208844018582.29074</v>
      </c>
      <c r="Z150" s="27">
        <f>Y150*(1+Z60)</f>
        <v>209041317423.41943</v>
      </c>
      <c r="AA150" s="27">
        <f>Z150*(1+AA60)</f>
        <v>208935578883.63834</v>
      </c>
      <c r="AB150" s="27">
        <f>AA150*(1+AB60)</f>
        <v>209463598490.43643</v>
      </c>
      <c r="AC150" s="27">
        <f>AB150*(1+AC60)</f>
        <v>210115445518.06497</v>
      </c>
    </row>
    <row r="151" spans="1:32" x14ac:dyDescent="0.25">
      <c r="A151" t="s">
        <v>127</v>
      </c>
      <c r="B151" s="1" t="s">
        <v>3</v>
      </c>
      <c r="C151" s="27">
        <f t="shared" si="0"/>
        <v>39678399943.724739</v>
      </c>
      <c r="D151" s="27">
        <f>C151*(1+D61)</f>
        <v>42980336955.02462</v>
      </c>
      <c r="E151" s="27">
        <f>D151*(1+E61)</f>
        <v>43365505951.667542</v>
      </c>
      <c r="F151" s="27">
        <f>E151*(1+F61)</f>
        <v>43666807573.075272</v>
      </c>
      <c r="G151" s="27">
        <f>F151*(1+G61)</f>
        <v>44204737255.55143</v>
      </c>
      <c r="H151" s="27">
        <f>G151*(1+H61)</f>
        <v>44622602010.889099</v>
      </c>
      <c r="I151" s="27">
        <f>H151*(1+I61)</f>
        <v>44986970558.931831</v>
      </c>
      <c r="J151" s="27">
        <f>I151*(1+J61)</f>
        <v>44808173253.338257</v>
      </c>
      <c r="K151" s="27">
        <f>J151*(1+K61)</f>
        <v>45266835642.743362</v>
      </c>
      <c r="L151" s="27">
        <f>K151*(1+L61)</f>
        <v>45278773605.879288</v>
      </c>
      <c r="M151" s="27">
        <f>L151*(1+M61)</f>
        <v>45326889405.973701</v>
      </c>
      <c r="N151" s="27">
        <f>M151*(1+N61)</f>
        <v>45093759753.804482</v>
      </c>
      <c r="O151" s="27">
        <f>N151*(1+O61)</f>
        <v>44778074280.5625</v>
      </c>
      <c r="P151" s="27">
        <f>O151*(1+P61)</f>
        <v>44305568937.904396</v>
      </c>
      <c r="Q151" s="27">
        <f>P151*(1+Q61)</f>
        <v>44081029629.754143</v>
      </c>
      <c r="R151" s="27">
        <f>Q151*(1+R61)</f>
        <v>43792502110.763039</v>
      </c>
      <c r="S151" s="27">
        <f>R151*(1+S61)</f>
        <v>43899468364.10463</v>
      </c>
      <c r="T151" s="27">
        <f>S151*(1+T61)</f>
        <v>44059370157.495888</v>
      </c>
      <c r="U151" s="27">
        <f>T151*(1+U61)</f>
        <v>44260318788.303329</v>
      </c>
      <c r="V151" s="27">
        <f>U151*(1+V61)</f>
        <v>44252639951.596588</v>
      </c>
      <c r="W151" s="27">
        <f>V151*(1+W61)</f>
        <v>44354927370.433182</v>
      </c>
      <c r="X151" s="27">
        <f>W151*(1+X61)</f>
        <v>44484408896.539345</v>
      </c>
      <c r="Y151" s="27">
        <f>X151*(1+Y61)</f>
        <v>44819586648.528404</v>
      </c>
      <c r="Z151" s="27">
        <f>Y151*(1+Z61)</f>
        <v>44861928548.31395</v>
      </c>
      <c r="AA151" s="27">
        <f>Z151*(1+AA61)</f>
        <v>44839236217.080437</v>
      </c>
      <c r="AB151" s="27">
        <f>AA151*(1+AB61)</f>
        <v>44952553422.330841</v>
      </c>
      <c r="AC151" s="27">
        <f>AB151*(1+AC61)</f>
        <v>45092444976.490295</v>
      </c>
    </row>
    <row r="152" spans="1:32" x14ac:dyDescent="0.25">
      <c r="B152" s="1" t="s">
        <v>4</v>
      </c>
      <c r="C152" s="27">
        <f t="shared" si="0"/>
        <v>51848929863.654755</v>
      </c>
      <c r="D152" s="27">
        <f>C152*(1+D62)</f>
        <v>51624683241.994446</v>
      </c>
      <c r="E152" s="27">
        <f>D152*(1+E62)</f>
        <v>51401406486.972816</v>
      </c>
      <c r="F152" s="27">
        <f>E152*(1+F62)</f>
        <v>51179095403.916656</v>
      </c>
      <c r="G152" s="27">
        <f>F152*(1+G62)</f>
        <v>50957745816.294716</v>
      </c>
      <c r="H152" s="27">
        <f>G152*(1+H62)</f>
        <v>50737353565.639236</v>
      </c>
      <c r="I152" s="27">
        <f>H152*(1+I62)</f>
        <v>50517914511.467842</v>
      </c>
      <c r="J152" s="27">
        <f>I152*(1+J62)</f>
        <v>50299424531.205742</v>
      </c>
      <c r="K152" s="27">
        <f>J152*(1+K62)</f>
        <v>50081879520.108276</v>
      </c>
      <c r="L152" s="27">
        <f>K152*(1+L62)</f>
        <v>49865275391.183807</v>
      </c>
      <c r="M152" s="27">
        <f>L152*(1+M62)</f>
        <v>49649608075.116936</v>
      </c>
      <c r="N152" s="27">
        <f>M152*(1+N62)</f>
        <v>49434873520.192055</v>
      </c>
      <c r="O152" s="27">
        <f>N152*(1+O62)</f>
        <v>49221067692.217224</v>
      </c>
      <c r="P152" s="27">
        <f>O152*(1+P62)</f>
        <v>49008186574.448387</v>
      </c>
      <c r="Q152" s="27">
        <f>P152*(1+Q62)</f>
        <v>48796226167.513893</v>
      </c>
      <c r="R152" s="27">
        <f>Q152*(1+R62)</f>
        <v>48585182489.339394</v>
      </c>
      <c r="S152" s="27">
        <f>R152*(1+S62)</f>
        <v>48375051575.072998</v>
      </c>
      <c r="T152" s="27">
        <f>S152*(1+T62)</f>
        <v>48165829477.010803</v>
      </c>
      <c r="U152" s="27">
        <f>T152*(1+U62)</f>
        <v>47957512264.522728</v>
      </c>
      <c r="V152" s="27">
        <f>U152*(1+V62)</f>
        <v>47750096023.978668</v>
      </c>
      <c r="W152" s="27">
        <f>V152*(1+W62)</f>
        <v>47543576858.674957</v>
      </c>
      <c r="X152" s="27">
        <f>W152*(1+X62)</f>
        <v>47337950888.761185</v>
      </c>
      <c r="Y152" s="27">
        <f>X152*(1+Y62)</f>
        <v>47133214251.16729</v>
      </c>
      <c r="Z152" s="27">
        <f>Y152*(1+Z62)</f>
        <v>46929363099.530991</v>
      </c>
      <c r="AA152" s="27">
        <f>Z152*(1+AA62)</f>
        <v>46726393604.125519</v>
      </c>
      <c r="AB152" s="27">
        <f>AA152*(1+AB62)</f>
        <v>46524301951.787674</v>
      </c>
      <c r="AC152" s="27">
        <f>AB152*(1+AC62)</f>
        <v>46323084345.846191</v>
      </c>
    </row>
    <row r="153" spans="1:32" x14ac:dyDescent="0.25">
      <c r="A153" t="s">
        <v>127</v>
      </c>
      <c r="B153" s="1" t="s">
        <v>5</v>
      </c>
      <c r="C153" s="27">
        <f t="shared" si="0"/>
        <v>263618579370.01294</v>
      </c>
      <c r="D153" s="27">
        <f>C153*(1+D63)</f>
        <v>264340317563.37009</v>
      </c>
      <c r="E153" s="27">
        <f>D153*(1+E63)</f>
        <v>264943614544.22418</v>
      </c>
      <c r="F153" s="27">
        <f>E153*(1+F63)</f>
        <v>267030380064.1843</v>
      </c>
      <c r="G153" s="27">
        <f>F153*(1+G63)</f>
        <v>268736831195.00296</v>
      </c>
      <c r="H153" s="27">
        <f>G153*(1+H63)</f>
        <v>270846217153.88873</v>
      </c>
      <c r="I153" s="27">
        <f>H153*(1+I63)</f>
        <v>272978773788.20642</v>
      </c>
      <c r="J153" s="27">
        <f>I153*(1+J63)</f>
        <v>274931217027.88898</v>
      </c>
      <c r="K153" s="27">
        <f>J153*(1+K63)</f>
        <v>276964713579.82904</v>
      </c>
      <c r="L153" s="27">
        <f>K153*(1+L63)</f>
        <v>278944043438.25092</v>
      </c>
      <c r="M153" s="27">
        <f>L153*(1+M63)</f>
        <v>281023982578.00525</v>
      </c>
      <c r="N153" s="27">
        <f>M153*(1+N63)</f>
        <v>282942507608.70813</v>
      </c>
      <c r="O153" s="27">
        <f>N153*(1+O63)</f>
        <v>285477681679.57269</v>
      </c>
      <c r="P153" s="27">
        <f>O153*(1+P63)</f>
        <v>287803399783.36835</v>
      </c>
      <c r="Q153" s="27">
        <f>P153*(1+Q63)</f>
        <v>290038319560.78119</v>
      </c>
      <c r="R153" s="27">
        <f>Q153*(1+R63)</f>
        <v>292404910852.05072</v>
      </c>
      <c r="S153" s="27">
        <f>R153*(1+S63)</f>
        <v>294753432442.12292</v>
      </c>
      <c r="T153" s="27">
        <f>S153*(1+T63)</f>
        <v>297111631737.42902</v>
      </c>
      <c r="U153" s="27">
        <f>T153*(1+U63)</f>
        <v>299515885910.39038</v>
      </c>
      <c r="V153" s="27">
        <f>U153*(1+V63)</f>
        <v>301812854909.17236</v>
      </c>
      <c r="W153" s="27">
        <f>V153*(1+W63)</f>
        <v>304116415801.49384</v>
      </c>
      <c r="X153" s="27">
        <f>W153*(1+X63)</f>
        <v>306357906951.44281</v>
      </c>
      <c r="Y153" s="27">
        <f>X153*(1+Y63)</f>
        <v>308662591300.30066</v>
      </c>
      <c r="Z153" s="27">
        <f>Y153*(1+Z63)</f>
        <v>311001566793.17444</v>
      </c>
      <c r="AA153" s="27">
        <f>Z153*(1+AA63)</f>
        <v>313354232531.49292</v>
      </c>
      <c r="AB153" s="27">
        <f>AA153*(1+AB63)</f>
        <v>315819397694.16455</v>
      </c>
      <c r="AC153" s="27">
        <f>AB153*(1+AC63)</f>
        <v>318229010311.55072</v>
      </c>
    </row>
    <row r="154" spans="1:32" x14ac:dyDescent="0.25">
      <c r="A154" t="s">
        <v>127</v>
      </c>
      <c r="B154" s="1" t="s">
        <v>6</v>
      </c>
      <c r="C154" s="27">
        <f t="shared" si="0"/>
        <v>21056491576.051437</v>
      </c>
      <c r="D154" s="27">
        <f>C154*(1+D64)</f>
        <v>21199657136.952614</v>
      </c>
      <c r="E154" s="27">
        <f>D154*(1+E64)</f>
        <v>20995967336.983734</v>
      </c>
      <c r="F154" s="27">
        <f>E154*(1+F64)</f>
        <v>21003955141.040623</v>
      </c>
      <c r="G154" s="27">
        <f>F154*(1+G64)</f>
        <v>20657807088.415401</v>
      </c>
      <c r="H154" s="27">
        <f>G154*(1+H64)</f>
        <v>20444012338.764896</v>
      </c>
      <c r="I154" s="27">
        <f>H154*(1+I64)</f>
        <v>20296636700.770351</v>
      </c>
      <c r="J154" s="27">
        <f>I154*(1+J64)</f>
        <v>20122603825.735744</v>
      </c>
      <c r="K154" s="27">
        <f>J154*(1+K64)</f>
        <v>19885594072.503368</v>
      </c>
      <c r="L154" s="27">
        <f>K154*(1+L64)</f>
        <v>19666990264.002609</v>
      </c>
      <c r="M154" s="27">
        <f>L154*(1+M64)</f>
        <v>19536929977.891899</v>
      </c>
      <c r="N154" s="27">
        <f>M154*(1+N64)</f>
        <v>19297466629.707508</v>
      </c>
      <c r="O154" s="27">
        <f>N154*(1+O64)</f>
        <v>19062724723.361053</v>
      </c>
      <c r="P154" s="27">
        <f>O154*(1+P64)</f>
        <v>18967434691.023071</v>
      </c>
      <c r="Q154" s="27">
        <f>P154*(1+Q64)</f>
        <v>18845250059.193489</v>
      </c>
      <c r="R154" s="27">
        <f>Q154*(1+R64)</f>
        <v>18766111187.601219</v>
      </c>
      <c r="S154" s="27">
        <f>R154*(1+S64)</f>
        <v>18731377892.277321</v>
      </c>
      <c r="T154" s="27">
        <f>S154*(1+T64)</f>
        <v>18659278330.757759</v>
      </c>
      <c r="U154" s="27">
        <f>T154*(1+U64)</f>
        <v>18589333829.13372</v>
      </c>
      <c r="V154" s="27">
        <f>U154*(1+V64)</f>
        <v>18472135083.215599</v>
      </c>
      <c r="W154" s="27">
        <f>V154*(1+W64)</f>
        <v>18362236905.370529</v>
      </c>
      <c r="X154" s="27">
        <f>W154*(1+X64)</f>
        <v>18239426528.769394</v>
      </c>
      <c r="Y154" s="27">
        <f>X154*(1+Y64)</f>
        <v>18139340500.481178</v>
      </c>
      <c r="Z154" s="27">
        <f>Y154*(1+Z64)</f>
        <v>18072758899.093288</v>
      </c>
      <c r="AA154" s="27">
        <f>Z154*(1+AA64)</f>
        <v>17990109930.684189</v>
      </c>
      <c r="AB154" s="27">
        <f>AA154*(1+AB64)</f>
        <v>17917217036.944065</v>
      </c>
      <c r="AC154" s="27">
        <f>AB154*(1+AC64)</f>
        <v>17806058448.550991</v>
      </c>
    </row>
    <row r="155" spans="1:32" x14ac:dyDescent="0.25">
      <c r="A155" t="s">
        <v>127</v>
      </c>
      <c r="B155" s="1" t="s">
        <v>7</v>
      </c>
      <c r="C155" s="27">
        <f t="shared" si="0"/>
        <v>44040117995.849388</v>
      </c>
      <c r="D155" s="27">
        <f>C155*(1+D65)</f>
        <v>44323668397.090584</v>
      </c>
      <c r="E155" s="27">
        <f>D155*(1+E65)</f>
        <v>45218700682.808327</v>
      </c>
      <c r="F155" s="27">
        <f>E155*(1+F65)</f>
        <v>45758545130.807228</v>
      </c>
      <c r="G155" s="27">
        <f>F155*(1+G65)</f>
        <v>46537693604.520683</v>
      </c>
      <c r="H155" s="27">
        <f>G155*(1+H65)</f>
        <v>47994661303.855591</v>
      </c>
      <c r="I155" s="27">
        <f>H155*(1+I65)</f>
        <v>49122605547.261383</v>
      </c>
      <c r="J155" s="27">
        <f>I155*(1+J65)</f>
        <v>49874520490.510773</v>
      </c>
      <c r="K155" s="27">
        <f>J155*(1+K65)</f>
        <v>50378418450.515076</v>
      </c>
      <c r="L155" s="27">
        <f>K155*(1+L65)</f>
        <v>50292983670.534103</v>
      </c>
      <c r="M155" s="27">
        <f>L155*(1+M65)</f>
        <v>50826159924.624489</v>
      </c>
      <c r="N155" s="27">
        <f>M155*(1+N65)</f>
        <v>51491199489.490791</v>
      </c>
      <c r="O155" s="27">
        <f>N155*(1+O65)</f>
        <v>52955091369.775528</v>
      </c>
      <c r="P155" s="27">
        <f>O155*(1+P65)</f>
        <v>53938518845.051758</v>
      </c>
      <c r="Q155" s="27">
        <f>P155*(1+Q65)</f>
        <v>54283149454.965126</v>
      </c>
      <c r="R155" s="27">
        <f>Q155*(1+R65)</f>
        <v>54688139303.054916</v>
      </c>
      <c r="S155" s="27">
        <f>R155*(1+S65)</f>
        <v>54616266465.906395</v>
      </c>
      <c r="T155" s="27">
        <f>S155*(1+T65)</f>
        <v>53552724444.822632</v>
      </c>
      <c r="U155" s="27">
        <f>T155*(1+U65)</f>
        <v>52850495154.19812</v>
      </c>
      <c r="V155" s="27">
        <f>U155*(1+V65)</f>
        <v>51536668516.410583</v>
      </c>
      <c r="W155" s="27">
        <f>V155*(1+W65)</f>
        <v>50628105167.416069</v>
      </c>
      <c r="X155" s="27">
        <f>W155*(1+X65)</f>
        <v>50577377665.434204</v>
      </c>
      <c r="Y155" s="27">
        <f>X155*(1+Y65)</f>
        <v>50752822322.465065</v>
      </c>
      <c r="Z155" s="27">
        <f>Y155*(1+Z65)</f>
        <v>51303808024.648689</v>
      </c>
      <c r="AA155" s="27">
        <f>Z155*(1+AA65)</f>
        <v>51813131388.327675</v>
      </c>
      <c r="AB155" s="27">
        <f>AA155*(1+AB65)</f>
        <v>52463796296.258324</v>
      </c>
      <c r="AC155" s="27">
        <f>AB155*(1+AC65)</f>
        <v>52864992881.826736</v>
      </c>
    </row>
    <row r="156" spans="1:32" x14ac:dyDescent="0.25">
      <c r="A156" t="s">
        <v>127</v>
      </c>
      <c r="B156" s="1" t="s">
        <v>8</v>
      </c>
      <c r="C156" s="27">
        <f t="shared" si="0"/>
        <v>84707567036.140884</v>
      </c>
      <c r="D156" s="27">
        <f>C156*(1+D66)</f>
        <v>84029551773.273865</v>
      </c>
      <c r="E156" s="27">
        <f>D156*(1+E66)</f>
        <v>84067800382.886475</v>
      </c>
      <c r="F156" s="27">
        <f>E156*(1+F66)</f>
        <v>82934469495.24379</v>
      </c>
      <c r="G156" s="27">
        <f>F156*(1+G66)</f>
        <v>82117883296.189529</v>
      </c>
      <c r="H156" s="27">
        <f>G156*(1+H66)</f>
        <v>81689027166.584076</v>
      </c>
      <c r="I156" s="27">
        <f>H156*(1+I66)</f>
        <v>81429486927.434402</v>
      </c>
      <c r="J156" s="27">
        <f>I156*(1+J66)</f>
        <v>81488760271.827408</v>
      </c>
      <c r="K156" s="27">
        <f>J156*(1+K66)</f>
        <v>81422594935.427063</v>
      </c>
      <c r="L156" s="27">
        <f>K156*(1+L66)</f>
        <v>81174719417.552094</v>
      </c>
      <c r="M156" s="27">
        <f>L156*(1+M66)</f>
        <v>81272504276.136002</v>
      </c>
      <c r="N156" s="27">
        <f>M156*(1+N66)</f>
        <v>81370297147.776703</v>
      </c>
      <c r="O156" s="27">
        <f>N156*(1+O66)</f>
        <v>81579025448.953629</v>
      </c>
      <c r="P156" s="27">
        <f>O156*(1+P66)</f>
        <v>81719253943.178726</v>
      </c>
      <c r="Q156" s="27">
        <f>P156*(1+Q66)</f>
        <v>81928115032.154236</v>
      </c>
      <c r="R156" s="27">
        <f>Q156*(1+R66)</f>
        <v>82397047893.048035</v>
      </c>
      <c r="S156" s="27">
        <f>R156*(1+S66)</f>
        <v>82892139568.694473</v>
      </c>
      <c r="T156" s="27">
        <f>S156*(1+T66)</f>
        <v>83222981513.661545</v>
      </c>
      <c r="U156" s="27">
        <f>T156*(1+U66)</f>
        <v>83596855863.158478</v>
      </c>
      <c r="V156" s="27">
        <f>U156*(1+V66)</f>
        <v>83890163123.717545</v>
      </c>
      <c r="W156" s="27">
        <f>V156*(1+W66)</f>
        <v>84393217869.965317</v>
      </c>
      <c r="X156" s="27">
        <f>W156*(1+X66)</f>
        <v>84728639467.688004</v>
      </c>
      <c r="Y156" s="27">
        <f>X156*(1+Y66)</f>
        <v>85200292952.156815</v>
      </c>
      <c r="Z156" s="27">
        <f>Y156*(1+Z66)</f>
        <v>85633512763.558075</v>
      </c>
      <c r="AA156" s="27">
        <f>Z156*(1+AA66)</f>
        <v>86022734406.296448</v>
      </c>
      <c r="AB156" s="27">
        <f>AA156*(1+AB66)</f>
        <v>86337035494.131088</v>
      </c>
      <c r="AC156" s="27">
        <f>AB156*(1+AC66)</f>
        <v>86665962700.094009</v>
      </c>
    </row>
    <row r="157" spans="1:32" x14ac:dyDescent="0.25">
      <c r="A157" t="s">
        <v>127</v>
      </c>
      <c r="B157" s="1" t="s">
        <v>9</v>
      </c>
      <c r="C157" s="27">
        <f t="shared" si="0"/>
        <v>137807824916.40781</v>
      </c>
      <c r="D157" s="27">
        <f>C157*(1+D67)</f>
        <v>140086720194.6264</v>
      </c>
      <c r="E157" s="27">
        <f>D157*(1+E67)</f>
        <v>139474958386.634</v>
      </c>
      <c r="F157" s="27">
        <f>E157*(1+F67)</f>
        <v>138852685512.13815</v>
      </c>
      <c r="G157" s="27">
        <f>F157*(1+G67)</f>
        <v>138097771106.27148</v>
      </c>
      <c r="H157" s="27">
        <f>G157*(1+H67)</f>
        <v>137019997490.90829</v>
      </c>
      <c r="I157" s="27">
        <f>H157*(1+I67)</f>
        <v>135328896858.5883</v>
      </c>
      <c r="J157" s="27">
        <f>I157*(1+J67)</f>
        <v>133450252172.239</v>
      </c>
      <c r="K157" s="27">
        <f>J157*(1+K67)</f>
        <v>131228683184.3437</v>
      </c>
      <c r="L157" s="27">
        <f>K157*(1+L67)</f>
        <v>128967353187.24799</v>
      </c>
      <c r="M157" s="27">
        <f>L157*(1+M67)</f>
        <v>127019741180.38104</v>
      </c>
      <c r="N157" s="27">
        <f>M157*(1+N67)</f>
        <v>125068726816.3329</v>
      </c>
      <c r="O157" s="27">
        <f>N157*(1+O67)</f>
        <v>123061603922.67358</v>
      </c>
      <c r="P157" s="27">
        <f>O157*(1+P67)</f>
        <v>121157839671.54427</v>
      </c>
      <c r="Q157" s="27">
        <f>P157*(1+Q67)</f>
        <v>119587184798.57297</v>
      </c>
      <c r="R157" s="27">
        <f>Q157*(1+R67)</f>
        <v>118416324079.81296</v>
      </c>
      <c r="S157" s="27">
        <f>R157*(1+S67)</f>
        <v>117556572550.94948</v>
      </c>
      <c r="T157" s="27">
        <f>S157*(1+T67)</f>
        <v>116642516694.54771</v>
      </c>
      <c r="U157" s="27">
        <f>T157*(1+U67)</f>
        <v>115761047779.99817</v>
      </c>
      <c r="V157" s="27">
        <f>U157*(1+V67)</f>
        <v>114967850667.31064</v>
      </c>
      <c r="W157" s="27">
        <f>V157*(1+W67)</f>
        <v>114419197643.10783</v>
      </c>
      <c r="X157" s="27">
        <f>W157*(1+X67)</f>
        <v>113668239801.98833</v>
      </c>
      <c r="Y157" s="27">
        <f>X157*(1+Y67)</f>
        <v>113354598033.10864</v>
      </c>
      <c r="Z157" s="27">
        <f>Y157*(1+Z67)</f>
        <v>113536598230.60559</v>
      </c>
      <c r="AA157" s="27">
        <f>Z157*(1+AA67)</f>
        <v>113220271618.13188</v>
      </c>
      <c r="AB157" s="27">
        <f>AA157*(1+AB67)</f>
        <v>113375684989.87968</v>
      </c>
      <c r="AC157" s="27">
        <f>AB157*(1+AC67)</f>
        <v>113554370092.95486</v>
      </c>
    </row>
    <row r="158" spans="1:32" x14ac:dyDescent="0.25">
      <c r="A158" t="s">
        <v>127</v>
      </c>
      <c r="B158" s="1" t="s">
        <v>33</v>
      </c>
      <c r="C158" s="27">
        <f t="shared" si="0"/>
        <v>269740517492.50156</v>
      </c>
      <c r="D158" s="27">
        <f>C158*(1+D68)</f>
        <v>271134139552.89252</v>
      </c>
      <c r="E158" s="27">
        <f>D158*(1+E68)</f>
        <v>269232234770.36111</v>
      </c>
      <c r="F158" s="27">
        <f>E158*(1+F68)</f>
        <v>268645179605.46143</v>
      </c>
      <c r="G158" s="27">
        <f>F158*(1+G68)</f>
        <v>268117076197.07178</v>
      </c>
      <c r="H158" s="27">
        <f>G158*(1+H68)</f>
        <v>269034621313.61057</v>
      </c>
      <c r="I158" s="27">
        <f>H158*(1+I68)</f>
        <v>271527553541.76736</v>
      </c>
      <c r="J158" s="27">
        <f>I158*(1+J68)</f>
        <v>274759321307.42902</v>
      </c>
      <c r="K158" s="27">
        <f>J158*(1+K68)</f>
        <v>278401593681.30695</v>
      </c>
      <c r="L158" s="27">
        <f>K158*(1+L68)</f>
        <v>281614661156.1485</v>
      </c>
      <c r="M158" s="27">
        <f>L158*(1+M68)</f>
        <v>285498771066.94165</v>
      </c>
      <c r="N158" s="27">
        <f>M158*(1+N68)</f>
        <v>288935913288.84943</v>
      </c>
      <c r="O158" s="27">
        <f>N158*(1+O68)</f>
        <v>291763837409.05103</v>
      </c>
      <c r="P158" s="27">
        <f>O158*(1+P68)</f>
        <v>295540697075.24646</v>
      </c>
      <c r="Q158" s="27">
        <f>P158*(1+Q68)</f>
        <v>299368096020.38751</v>
      </c>
      <c r="R158" s="27">
        <f>Q158*(1+R68)</f>
        <v>303527858584.11389</v>
      </c>
      <c r="S158" s="27">
        <f>R158*(1+S68)</f>
        <v>308196128149.31592</v>
      </c>
      <c r="T158" s="27">
        <f>S158*(1+T68)</f>
        <v>312658289677.94635</v>
      </c>
      <c r="U158" s="27">
        <f>T158*(1+U68)</f>
        <v>317342386956.23322</v>
      </c>
      <c r="V158" s="27">
        <f>U158*(1+V68)</f>
        <v>321448086185.20966</v>
      </c>
      <c r="W158" s="27">
        <f>V158*(1+W68)</f>
        <v>325400579933.30511</v>
      </c>
      <c r="X158" s="27">
        <f>W158*(1+X68)</f>
        <v>328611630896.6239</v>
      </c>
      <c r="Y158" s="27">
        <f>X158*(1+Y68)</f>
        <v>332026528413.21753</v>
      </c>
      <c r="Z158" s="27">
        <f>Y158*(1+Z68)</f>
        <v>336689684943.5752</v>
      </c>
      <c r="AA158" s="27">
        <f>Z158*(1+AA68)</f>
        <v>340644928449.77002</v>
      </c>
      <c r="AB158" s="27">
        <f>AA158*(1+AB68)</f>
        <v>344345623254.22705</v>
      </c>
      <c r="AC158" s="27">
        <f>AB158*(1+AC68)</f>
        <v>347486253510.03094</v>
      </c>
    </row>
    <row r="159" spans="1:32" x14ac:dyDescent="0.25">
      <c r="B159" s="1" t="s">
        <v>34</v>
      </c>
      <c r="C159" s="27">
        <f t="shared" si="0"/>
        <v>135756320056.79083</v>
      </c>
      <c r="D159" s="27">
        <f>C159*(1+D69)</f>
        <v>138574621261.1698</v>
      </c>
      <c r="E159" s="27">
        <f>D159*(1+E69)</f>
        <v>141451430398.55167</v>
      </c>
      <c r="F159" s="27">
        <f>E159*(1+F69)</f>
        <v>144387962093.62558</v>
      </c>
      <c r="G159" s="27">
        <f>F159*(1+G69)</f>
        <v>147385456186.68924</v>
      </c>
      <c r="H159" s="27">
        <f>G159*(1+H69)</f>
        <v>150445178257.12488</v>
      </c>
      <c r="I159" s="27">
        <f>H159*(1+I69)</f>
        <v>153568420157.74277</v>
      </c>
      <c r="J159" s="27">
        <f>I159*(1+J69)</f>
        <v>156756500560.2175</v>
      </c>
      <c r="K159" s="27">
        <f>J159*(1+K69)</f>
        <v>160010765511.8476</v>
      </c>
      <c r="L159" s="27">
        <f>K159*(1+L69)</f>
        <v>163332589003.87354</v>
      </c>
      <c r="M159" s="27">
        <f>L159*(1+M69)</f>
        <v>166723373551.59393</v>
      </c>
      <c r="N159" s="27">
        <f>M159*(1+N69)</f>
        <v>170184550786.52499</v>
      </c>
      <c r="O159" s="27">
        <f>N159*(1+O69)</f>
        <v>173717582060.85324</v>
      </c>
      <c r="P159" s="27">
        <f>O159*(1+P69)</f>
        <v>177323959064.43652</v>
      </c>
      <c r="Q159" s="27">
        <f>P159*(1+Q69)</f>
        <v>181005204454.6142</v>
      </c>
      <c r="R159" s="27">
        <f>Q159*(1+R69)</f>
        <v>184762872499.09198</v>
      </c>
      <c r="S159" s="27">
        <f>R159*(1+S69)</f>
        <v>188598549732.1731</v>
      </c>
      <c r="T159" s="27">
        <f>S159*(1+T69)</f>
        <v>192513855624.61298</v>
      </c>
      <c r="U159" s="27">
        <f>T159*(1+U69)</f>
        <v>196510443267.37991</v>
      </c>
      <c r="V159" s="27">
        <f>U159*(1+V69)</f>
        <v>200590000069.61069</v>
      </c>
      <c r="W159" s="27">
        <f>V159*(1+W69)</f>
        <v>204754248471.05579</v>
      </c>
      <c r="X159" s="27">
        <f>W159*(1+X69)</f>
        <v>209004946669.31488</v>
      </c>
      <c r="Y159" s="27">
        <f>X159*(1+Y69)</f>
        <v>213343889362.16983</v>
      </c>
      <c r="Z159" s="27">
        <f>Y159*(1+Z69)</f>
        <v>217772908505.32846</v>
      </c>
      <c r="AA159" s="27">
        <f>Z159*(1+AA69)</f>
        <v>222293874085.89905</v>
      </c>
      <c r="AB159" s="27">
        <f>AA159*(1+AB69)</f>
        <v>226908694911.9223</v>
      </c>
      <c r="AC159" s="27">
        <f>AB159*(1+AC69)</f>
        <v>231619319418.29379</v>
      </c>
    </row>
    <row r="160" spans="1:32" x14ac:dyDescent="0.25">
      <c r="A160" t="s">
        <v>127</v>
      </c>
      <c r="B160" s="1" t="s">
        <v>10</v>
      </c>
      <c r="C160" s="27">
        <f t="shared" si="0"/>
        <v>74268249042.841782</v>
      </c>
      <c r="D160" s="27">
        <f>C160*(1+D70)</f>
        <v>76145503274.9104</v>
      </c>
      <c r="E160" s="27">
        <f>D160*(1+E70)</f>
        <v>78600274641.314789</v>
      </c>
      <c r="F160" s="27">
        <f>E160*(1+F70)</f>
        <v>80098801228.331024</v>
      </c>
      <c r="G160" s="27">
        <f>F160*(1+G70)</f>
        <v>80799180647.781982</v>
      </c>
      <c r="H160" s="27">
        <f>G160*(1+H70)</f>
        <v>81823170953.219131</v>
      </c>
      <c r="I160" s="27">
        <f>H160*(1+I70)</f>
        <v>83139698836.99942</v>
      </c>
      <c r="J160" s="27">
        <f>I160*(1+J70)</f>
        <v>84468507457.762604</v>
      </c>
      <c r="K160" s="27">
        <f>J160*(1+K70)</f>
        <v>85730446398.828384</v>
      </c>
      <c r="L160" s="27">
        <f>K160*(1+L70)</f>
        <v>86830432814.875961</v>
      </c>
      <c r="M160" s="27">
        <f>L160*(1+M70)</f>
        <v>88251372496.869995</v>
      </c>
      <c r="N160" s="27">
        <f>M160*(1+N70)</f>
        <v>89335673078.397583</v>
      </c>
      <c r="O160" s="27">
        <f>N160*(1+O70)</f>
        <v>90126955835.160004</v>
      </c>
      <c r="P160" s="27">
        <f>O160*(1+P70)</f>
        <v>91174958461.698669</v>
      </c>
      <c r="Q160" s="27">
        <f>P160*(1+Q70)</f>
        <v>92067199999.429153</v>
      </c>
      <c r="R160" s="27">
        <f>Q160*(1+R70)</f>
        <v>93006333945.081467</v>
      </c>
      <c r="S160" s="27">
        <f>R160*(1+S70)</f>
        <v>94070572258.56218</v>
      </c>
      <c r="T160" s="27">
        <f>S160*(1+T70)</f>
        <v>94992979427.704727</v>
      </c>
      <c r="U160" s="27">
        <f>T160*(1+U70)</f>
        <v>95991719544.53302</v>
      </c>
      <c r="V160" s="27">
        <f>U160*(1+V70)</f>
        <v>96687509165.331467</v>
      </c>
      <c r="W160" s="27">
        <f>V160*(1+W70)</f>
        <v>97417478480.134262</v>
      </c>
      <c r="X160" s="27">
        <f>W160*(1+X70)</f>
        <v>97998326209.102661</v>
      </c>
      <c r="Y160" s="27">
        <f>X160*(1+Y70)</f>
        <v>98647201735.687836</v>
      </c>
      <c r="Z160" s="27">
        <f>Y160*(1+Z70)</f>
        <v>99405287327.360306</v>
      </c>
      <c r="AA160" s="27">
        <f>Z160*(1+AA70)</f>
        <v>100080059084.17233</v>
      </c>
      <c r="AB160" s="27">
        <f>AA160*(1+AB70)</f>
        <v>100805609292.42311</v>
      </c>
      <c r="AC160" s="27">
        <f>AB160*(1+AC70)</f>
        <v>101384332814.16573</v>
      </c>
    </row>
    <row r="161" spans="1:29" x14ac:dyDescent="0.25">
      <c r="A161" t="s">
        <v>127</v>
      </c>
      <c r="B161" s="1" t="s">
        <v>38</v>
      </c>
      <c r="C161" s="27">
        <f t="shared" si="0"/>
        <v>10908275227.808475</v>
      </c>
      <c r="D161" s="27">
        <f>C161*(1+D71)</f>
        <v>10826563329.77047</v>
      </c>
      <c r="E161" s="27">
        <f>D161*(1+E71)</f>
        <v>10802529551.103685</v>
      </c>
      <c r="F161" s="27">
        <f>E161*(1+F71)</f>
        <v>10796295576.818295</v>
      </c>
      <c r="G161" s="27">
        <f>F161*(1+G71)</f>
        <v>10813209535.436974</v>
      </c>
      <c r="H161" s="27">
        <f>G161*(1+H71)</f>
        <v>10836640206.713066</v>
      </c>
      <c r="I161" s="27">
        <f>H161*(1+I71)</f>
        <v>10868041455.764606</v>
      </c>
      <c r="J161" s="27">
        <f>I161*(1+J71)</f>
        <v>10921375778.060551</v>
      </c>
      <c r="K161" s="27">
        <f>J161*(1+K71)</f>
        <v>10990467679.374474</v>
      </c>
      <c r="L161" s="27">
        <f>K161*(1+L71)</f>
        <v>11058173857.552114</v>
      </c>
      <c r="M161" s="27">
        <f>L161*(1+M71)</f>
        <v>11132004677.730999</v>
      </c>
      <c r="N161" s="27">
        <f>M161*(1+N71)</f>
        <v>11215667775.649342</v>
      </c>
      <c r="O161" s="27">
        <f>N161*(1+O71)</f>
        <v>11297674616.59342</v>
      </c>
      <c r="P161" s="27">
        <f>O161*(1+P71)</f>
        <v>11389718669.744452</v>
      </c>
      <c r="Q161" s="27">
        <f>P161*(1+Q71)</f>
        <v>11490421839.799929</v>
      </c>
      <c r="R161" s="27">
        <f>Q161*(1+R71)</f>
        <v>11593776444.876535</v>
      </c>
      <c r="S161" s="27">
        <f>R161*(1+S71)</f>
        <v>11704083566.180391</v>
      </c>
      <c r="T161" s="27">
        <f>S161*(1+T71)</f>
        <v>11815962021.242456</v>
      </c>
      <c r="U161" s="27">
        <f>T161*(1+U71)</f>
        <v>11926003185.408596</v>
      </c>
      <c r="V161" s="27">
        <f>U161*(1+V71)</f>
        <v>12028417024.319288</v>
      </c>
      <c r="W161" s="27">
        <f>V161*(1+W71)</f>
        <v>12120225631.667713</v>
      </c>
      <c r="X161" s="27">
        <f>W161*(1+X71)</f>
        <v>12203753462.667063</v>
      </c>
      <c r="Y161" s="27">
        <f>X161*(1+Y71)</f>
        <v>12282337948.856211</v>
      </c>
      <c r="Z161" s="27">
        <f>Y161*(1+Z71)</f>
        <v>12367404568.18965</v>
      </c>
      <c r="AA161" s="27">
        <f>Z161*(1+AA71)</f>
        <v>12457916443.795866</v>
      </c>
      <c r="AB161" s="27">
        <f>AA161*(1+AB71)</f>
        <v>12548848358.782106</v>
      </c>
      <c r="AC161" s="27">
        <f>AB161*(1+AC71)</f>
        <v>12633529009.726393</v>
      </c>
    </row>
    <row r="162" spans="1:29" x14ac:dyDescent="0.25">
      <c r="A162" t="s">
        <v>127</v>
      </c>
      <c r="B162" s="1" t="s">
        <v>39</v>
      </c>
      <c r="C162" s="27">
        <f t="shared" si="0"/>
        <v>45826925891.771736</v>
      </c>
      <c r="D162" s="27">
        <f>C162*(1+D72)</f>
        <v>45958719405.162338</v>
      </c>
      <c r="E162" s="27">
        <f>D162*(1+E72)</f>
        <v>46081024216.916565</v>
      </c>
      <c r="F162" s="27">
        <f>E162*(1+F72)</f>
        <v>46438576602.202332</v>
      </c>
      <c r="G162" s="27">
        <f>F162*(1+G72)</f>
        <v>46758224536.421631</v>
      </c>
      <c r="H162" s="27">
        <f>G162*(1+H72)</f>
        <v>46892746401.223534</v>
      </c>
      <c r="I162" s="27">
        <f>H162*(1+I72)</f>
        <v>47346024552.216385</v>
      </c>
      <c r="J162" s="27">
        <f>I162*(1+J72)</f>
        <v>48038872709.681335</v>
      </c>
      <c r="K162" s="27">
        <f>J162*(1+K72)</f>
        <v>48636612591.859268</v>
      </c>
      <c r="L162" s="27">
        <f>K162*(1+L72)</f>
        <v>49028070491.075867</v>
      </c>
      <c r="M162" s="27">
        <f>L162*(1+M72)</f>
        <v>49333832011.820236</v>
      </c>
      <c r="N162" s="27">
        <f>M162*(1+N72)</f>
        <v>49744922952.819878</v>
      </c>
      <c r="O162" s="27">
        <f>N162*(1+O72)</f>
        <v>50178148433.03746</v>
      </c>
      <c r="P162" s="27">
        <f>O162*(1+P72)</f>
        <v>50637203730.810593</v>
      </c>
      <c r="Q162" s="27">
        <f>P162*(1+Q72)</f>
        <v>51157464841.787117</v>
      </c>
      <c r="R162" s="27">
        <f>Q162*(1+R72)</f>
        <v>51625278941.070763</v>
      </c>
      <c r="S162" s="27">
        <f>R162*(1+S72)</f>
        <v>51899363304.993324</v>
      </c>
      <c r="T162" s="27">
        <f>S162*(1+T72)</f>
        <v>52036596736.046822</v>
      </c>
      <c r="U162" s="27">
        <f>T162*(1+U72)</f>
        <v>52074890806.274551</v>
      </c>
      <c r="V162" s="27">
        <f>U162*(1+V72)</f>
        <v>51889568909.994118</v>
      </c>
      <c r="W162" s="27">
        <f>V162*(1+W72)</f>
        <v>51550260467.366821</v>
      </c>
      <c r="X162" s="27">
        <f>W162*(1+X72)</f>
        <v>51568069013.155777</v>
      </c>
      <c r="Y162" s="27">
        <f>X162*(1+Y72)</f>
        <v>51827664223.778206</v>
      </c>
      <c r="Z162" s="27">
        <f>Y162*(1+Z72)</f>
        <v>52139293429.436928</v>
      </c>
      <c r="AA162" s="27">
        <f>Z162*(1+AA72)</f>
        <v>52503919996.569862</v>
      </c>
      <c r="AB162" s="27">
        <f>AA162*(1+AB72)</f>
        <v>52879558137.100067</v>
      </c>
      <c r="AC162" s="27">
        <f>AB162*(1+AC72)</f>
        <v>53289731998.011246</v>
      </c>
    </row>
    <row r="163" spans="1:29" x14ac:dyDescent="0.25">
      <c r="A163" t="s">
        <v>127</v>
      </c>
      <c r="B163" s="1" t="s">
        <v>40</v>
      </c>
      <c r="C163" s="27">
        <f t="shared" si="0"/>
        <v>42096267746.311668</v>
      </c>
      <c r="D163" s="27">
        <f>C163*(1+D73)</f>
        <v>43174503418.855316</v>
      </c>
      <c r="E163" s="27">
        <f>D163*(1+E73)</f>
        <v>44772131435.054008</v>
      </c>
      <c r="F163" s="27">
        <f>E163*(1+F73)</f>
        <v>45035292065.431976</v>
      </c>
      <c r="G163" s="27">
        <f>F163*(1+G73)</f>
        <v>44751960124.067726</v>
      </c>
      <c r="H163" s="27">
        <f>G163*(1+H73)</f>
        <v>44652519712.338913</v>
      </c>
      <c r="I163" s="27">
        <f>H163*(1+I73)</f>
        <v>45032573506.965607</v>
      </c>
      <c r="J163" s="27">
        <f>I163*(1+J73)</f>
        <v>45617718785.958023</v>
      </c>
      <c r="K163" s="27">
        <f>J163*(1+K73)</f>
        <v>46178433169.80394</v>
      </c>
      <c r="L163" s="27">
        <f>K163*(1+L73)</f>
        <v>46037795842.865852</v>
      </c>
      <c r="M163" s="27">
        <f>L163*(1+M73)</f>
        <v>46353343587.146164</v>
      </c>
      <c r="N163" s="27">
        <f>M163*(1+N73)</f>
        <v>46637338254.430367</v>
      </c>
      <c r="O163" s="27">
        <f>N163*(1+O73)</f>
        <v>46874661303.580009</v>
      </c>
      <c r="P163" s="27">
        <f>O163*(1+P73)</f>
        <v>47491008533.651199</v>
      </c>
      <c r="Q163" s="27">
        <f>P163*(1+Q73)</f>
        <v>47960144282.954857</v>
      </c>
      <c r="R163" s="27">
        <f>Q163*(1+R73)</f>
        <v>48420402705.802742</v>
      </c>
      <c r="S163" s="27">
        <f>R163*(1+S73)</f>
        <v>49259594375.719276</v>
      </c>
      <c r="T163" s="27">
        <f>S163*(1+T73)</f>
        <v>49803429011.563728</v>
      </c>
      <c r="U163" s="27">
        <f>T163*(1+U73)</f>
        <v>50175285179.973808</v>
      </c>
      <c r="V163" s="27">
        <f>U163*(1+V73)</f>
        <v>50850592707.815674</v>
      </c>
      <c r="W163" s="27">
        <f>V163*(1+W73)</f>
        <v>51377928547.879738</v>
      </c>
      <c r="X163" s="27">
        <f>W163*(1+X73)</f>
        <v>51700983063.584869</v>
      </c>
      <c r="Y163" s="27">
        <f>X163*(1+Y73)</f>
        <v>51899345927.816353</v>
      </c>
      <c r="Z163" s="27">
        <f>Y163*(1+Z73)</f>
        <v>52353358528.666351</v>
      </c>
      <c r="AA163" s="27">
        <f>Z163*(1+AA73)</f>
        <v>52534769867.775154</v>
      </c>
      <c r="AB163" s="27">
        <f>AA163*(1+AB73)</f>
        <v>52620610454.954132</v>
      </c>
      <c r="AC163" s="27">
        <f>AB163*(1+AC73)</f>
        <v>52717350737.477425</v>
      </c>
    </row>
    <row r="164" spans="1:29" x14ac:dyDescent="0.25">
      <c r="A164" t="s">
        <v>127</v>
      </c>
      <c r="B164" s="1" t="s">
        <v>41</v>
      </c>
      <c r="C164" s="27">
        <f t="shared" si="0"/>
        <v>19343937813.325214</v>
      </c>
      <c r="D164" s="27">
        <f>C164*(1+D74)</f>
        <v>19353239451.928238</v>
      </c>
      <c r="E164" s="27">
        <f>D164*(1+E74)</f>
        <v>19436500498.285748</v>
      </c>
      <c r="F164" s="27">
        <f>E164*(1+F74)</f>
        <v>19678173922.40657</v>
      </c>
      <c r="G164" s="27">
        <f>F164*(1+G74)</f>
        <v>19859021588.062767</v>
      </c>
      <c r="H164" s="27">
        <f>G164*(1+H74)</f>
        <v>20038208636.247654</v>
      </c>
      <c r="I164" s="27">
        <f>H164*(1+I74)</f>
        <v>20219043012.875149</v>
      </c>
      <c r="J164" s="27">
        <f>I164*(1+J74)</f>
        <v>20399245819.894958</v>
      </c>
      <c r="K164" s="27">
        <f>J164*(1+K74)</f>
        <v>20596952322.181763</v>
      </c>
      <c r="L164" s="27">
        <f>K164*(1+L74)</f>
        <v>20798479420.220505</v>
      </c>
      <c r="M164" s="27">
        <f>L164*(1+M74)</f>
        <v>21004330734.124569</v>
      </c>
      <c r="N164" s="27">
        <f>M164*(1+N74)</f>
        <v>21226223268.649719</v>
      </c>
      <c r="O164" s="27">
        <f>N164*(1+O74)</f>
        <v>21448312753.39513</v>
      </c>
      <c r="P164" s="27">
        <f>O164*(1+P74)</f>
        <v>21674959352.75248</v>
      </c>
      <c r="Q164" s="27">
        <f>P164*(1+Q74)</f>
        <v>21906377565.274799</v>
      </c>
      <c r="R164" s="27">
        <f>Q164*(1+R74)</f>
        <v>22136305021.372177</v>
      </c>
      <c r="S164" s="27">
        <f>R164*(1+S74)</f>
        <v>22365511632.848526</v>
      </c>
      <c r="T164" s="27">
        <f>S164*(1+T74)</f>
        <v>22592613296.252853</v>
      </c>
      <c r="U164" s="27">
        <f>T164*(1+U74)</f>
        <v>22814176331.015049</v>
      </c>
      <c r="V164" s="27">
        <f>U164*(1+V74)</f>
        <v>23029158229.870636</v>
      </c>
      <c r="W164" s="27">
        <f>V164*(1+W74)</f>
        <v>23234775452.422947</v>
      </c>
      <c r="X164" s="27">
        <f>W164*(1+X74)</f>
        <v>23428092827.050377</v>
      </c>
      <c r="Y164" s="27">
        <f>X164*(1+Y74)</f>
        <v>23607665938.556286</v>
      </c>
      <c r="Z164" s="27">
        <f>Y164*(1+Z74)</f>
        <v>23780184109.1707</v>
      </c>
      <c r="AA164" s="27">
        <f>Z164*(1+AA74)</f>
        <v>23942538898.782379</v>
      </c>
      <c r="AB164" s="27">
        <f>AA164*(1+AB74)</f>
        <v>24094478667.706814</v>
      </c>
      <c r="AC164" s="27">
        <f>AB164*(1+AC74)</f>
        <v>24234415206.641891</v>
      </c>
    </row>
    <row r="165" spans="1:29" x14ac:dyDescent="0.25">
      <c r="A165" t="s">
        <v>127</v>
      </c>
      <c r="B165" s="1" t="s">
        <v>11</v>
      </c>
      <c r="C165" s="27">
        <f t="shared" si="0"/>
        <v>139455616199.48419</v>
      </c>
      <c r="D165" s="27">
        <f>C165*(1+D75)</f>
        <v>142208298666.33112</v>
      </c>
      <c r="E165" s="27">
        <f>D165*(1+E75)</f>
        <v>147893267118.92697</v>
      </c>
      <c r="F165" s="27">
        <f>E165*(1+F75)</f>
        <v>151472949171.26587</v>
      </c>
      <c r="G165" s="27">
        <f>F165*(1+G75)</f>
        <v>151778573057.86697</v>
      </c>
      <c r="H165" s="27">
        <f>G165*(1+H75)</f>
        <v>152152033494.22836</v>
      </c>
      <c r="I165" s="27">
        <f>H165*(1+I75)</f>
        <v>153318469423.10016</v>
      </c>
      <c r="J165" s="27">
        <f>I165*(1+J75)</f>
        <v>154686839487.29843</v>
      </c>
      <c r="K165" s="27">
        <f>J165*(1+K75)</f>
        <v>156237443998.88089</v>
      </c>
      <c r="L165" s="27">
        <f>K165*(1+L75)</f>
        <v>156602278992.00446</v>
      </c>
      <c r="M165" s="27">
        <f>L165*(1+M75)</f>
        <v>158291286664.01569</v>
      </c>
      <c r="N165" s="27">
        <f>M165*(1+N75)</f>
        <v>159070205178.49695</v>
      </c>
      <c r="O165" s="27">
        <f>N165*(1+O75)</f>
        <v>160228606308.95844</v>
      </c>
      <c r="P165" s="27">
        <f>O165*(1+P75)</f>
        <v>162046969347.91714</v>
      </c>
      <c r="Q165" s="27">
        <f>P165*(1+Q75)</f>
        <v>163382638160.67178</v>
      </c>
      <c r="R165" s="27">
        <f>Q165*(1+R75)</f>
        <v>164773212505.08621</v>
      </c>
      <c r="S165" s="27">
        <f>R165*(1+S75)</f>
        <v>166528326289.66995</v>
      </c>
      <c r="T165" s="27">
        <f>S165*(1+T75)</f>
        <v>167794287024.67462</v>
      </c>
      <c r="U165" s="27">
        <f>T165*(1+U75)</f>
        <v>169072813140.50562</v>
      </c>
      <c r="V165" s="27">
        <f>U165*(1+V75)</f>
        <v>169816595895.5892</v>
      </c>
      <c r="W165" s="27">
        <f>V165*(1+W75)</f>
        <v>171069864452.47833</v>
      </c>
      <c r="X165" s="27">
        <f>W165*(1+X75)</f>
        <v>171610363026.9155</v>
      </c>
      <c r="Y165" s="27">
        <f>X165*(1+Y75)</f>
        <v>172591961244.78412</v>
      </c>
      <c r="Z165" s="27">
        <f>Y165*(1+Z75)</f>
        <v>173432539206.17337</v>
      </c>
      <c r="AA165" s="27">
        <f>Z165*(1+AA75)</f>
        <v>174082426032.60562</v>
      </c>
      <c r="AB165" s="27">
        <f>AA165*(1+AB75)</f>
        <v>175063236262.95654</v>
      </c>
      <c r="AC165" s="27">
        <f>AB165*(1+AC75)</f>
        <v>175082541726.59946</v>
      </c>
    </row>
    <row r="166" spans="1:29" x14ac:dyDescent="0.25">
      <c r="A166" t="s">
        <v>127</v>
      </c>
      <c r="B166" s="1" t="s">
        <v>12</v>
      </c>
      <c r="C166" s="27">
        <f t="shared" si="0"/>
        <v>219415976020.83588</v>
      </c>
      <c r="D166" s="27">
        <f>C166*(1+D76)</f>
        <v>228267652463.69293</v>
      </c>
      <c r="E166" s="27">
        <f>D166*(1+E76)</f>
        <v>232992187723.29312</v>
      </c>
      <c r="F166" s="27">
        <f>E166*(1+F76)</f>
        <v>242148290413.91537</v>
      </c>
      <c r="G166" s="27">
        <f>F166*(1+G76)</f>
        <v>252119124157.16147</v>
      </c>
      <c r="H166" s="27">
        <f>G166*(1+H76)</f>
        <v>260184024719.35464</v>
      </c>
      <c r="I166" s="27">
        <f>H166*(1+I76)</f>
        <v>267917777016.90558</v>
      </c>
      <c r="J166" s="27">
        <f>I166*(1+J76)</f>
        <v>275268322258.60797</v>
      </c>
      <c r="K166" s="27">
        <f>J166*(1+K76)</f>
        <v>283087566659.94006</v>
      </c>
      <c r="L166" s="27">
        <f>K166*(1+L76)</f>
        <v>289209754305.63397</v>
      </c>
      <c r="M166" s="27">
        <f>L166*(1+M76)</f>
        <v>295949681839.92023</v>
      </c>
      <c r="N166" s="27">
        <f>M166*(1+N76)</f>
        <v>303581933456.74664</v>
      </c>
      <c r="O166" s="27">
        <f>N166*(1+O76)</f>
        <v>312214006072.1275</v>
      </c>
      <c r="P166" s="27">
        <f>O166*(1+P76)</f>
        <v>321073032578.03424</v>
      </c>
      <c r="Q166" s="27">
        <f>P166*(1+Q76)</f>
        <v>330093852222.15936</v>
      </c>
      <c r="R166" s="27">
        <f>Q166*(1+R76)</f>
        <v>339861455226.14056</v>
      </c>
      <c r="S166" s="27">
        <f>R166*(1+S76)</f>
        <v>350347934288.17084</v>
      </c>
      <c r="T166" s="27">
        <f>S166*(1+T76)</f>
        <v>361136510914.48987</v>
      </c>
      <c r="U166" s="27">
        <f>T166*(1+U76)</f>
        <v>372323999497.31891</v>
      </c>
      <c r="V166" s="27">
        <f>U166*(1+V76)</f>
        <v>383353256281.84137</v>
      </c>
      <c r="W166" s="27">
        <f>V166*(1+W76)</f>
        <v>395134714729.14374</v>
      </c>
      <c r="X166" s="27">
        <f>W166*(1+X76)</f>
        <v>406777572129.98071</v>
      </c>
      <c r="Y166" s="27">
        <f>X166*(1+Y76)</f>
        <v>419584264643.22314</v>
      </c>
      <c r="Z166" s="27">
        <f>Y166*(1+Z76)</f>
        <v>432914530969.31274</v>
      </c>
      <c r="AA166" s="27">
        <f>Z166*(1+AA76)</f>
        <v>446447647068.03424</v>
      </c>
      <c r="AB166" s="27">
        <f>AA166*(1+AB76)</f>
        <v>460233251794.63879</v>
      </c>
      <c r="AC166" s="27">
        <f>AB166*(1+AC76)</f>
        <v>474138709421.81049</v>
      </c>
    </row>
    <row r="167" spans="1:29" x14ac:dyDescent="0.25">
      <c r="A167" t="s">
        <v>127</v>
      </c>
      <c r="B167" s="1" t="s">
        <v>13</v>
      </c>
      <c r="C167" s="27">
        <f t="shared" si="0"/>
        <v>58678438115.458298</v>
      </c>
      <c r="D167" s="27">
        <f>C167*(1+D77)</f>
        <v>59036859546.304329</v>
      </c>
      <c r="E167" s="27">
        <f>D167*(1+E77)</f>
        <v>58619409394.057396</v>
      </c>
      <c r="F167" s="27">
        <f>E167*(1+F77)</f>
        <v>59411029447.810669</v>
      </c>
      <c r="G167" s="27">
        <f>F167*(1+G77)</f>
        <v>60670073805.82708</v>
      </c>
      <c r="H167" s="27">
        <f>G167*(1+H77)</f>
        <v>61590651739.957291</v>
      </c>
      <c r="I167" s="27">
        <f>H167*(1+I77)</f>
        <v>62417299220.854019</v>
      </c>
      <c r="J167" s="27">
        <f>I167*(1+J77)</f>
        <v>62924197862.062943</v>
      </c>
      <c r="K167" s="27">
        <f>J167*(1+K77)</f>
        <v>63487901769.771606</v>
      </c>
      <c r="L167" s="27">
        <f>K167*(1+L77)</f>
        <v>63479049514.751808</v>
      </c>
      <c r="M167" s="27">
        <f>L167*(1+M77)</f>
        <v>63588594730.884689</v>
      </c>
      <c r="N167" s="27">
        <f>M167*(1+N77)</f>
        <v>63866687343.310402</v>
      </c>
      <c r="O167" s="27">
        <f>N167*(1+O77)</f>
        <v>64192854656.301857</v>
      </c>
      <c r="P167" s="27">
        <f>O167*(1+P77)</f>
        <v>64588985681.960403</v>
      </c>
      <c r="Q167" s="27">
        <f>P167*(1+Q77)</f>
        <v>64901948977.974609</v>
      </c>
      <c r="R167" s="27">
        <f>Q167*(1+R77)</f>
        <v>65299730568.352585</v>
      </c>
      <c r="S167" s="27">
        <f>R167*(1+S77)</f>
        <v>65790154610.611382</v>
      </c>
      <c r="T167" s="27">
        <f>S167*(1+T77)</f>
        <v>66210279418.855408</v>
      </c>
      <c r="U167" s="27">
        <f>T167*(1+U77)</f>
        <v>66613119369.133522</v>
      </c>
      <c r="V167" s="27">
        <f>U167*(1+V77)</f>
        <v>66934343000.416794</v>
      </c>
      <c r="W167" s="27">
        <f>V167*(1+W77)</f>
        <v>67298984095.648506</v>
      </c>
      <c r="X167" s="27">
        <f>W167*(1+X77)</f>
        <v>67556495227.672638</v>
      </c>
      <c r="Y167" s="27">
        <f>X167*(1+Y77)</f>
        <v>67910683080.200089</v>
      </c>
      <c r="Z167" s="27">
        <f>Y167*(1+Z77)</f>
        <v>68333756970.856941</v>
      </c>
      <c r="AA167" s="27">
        <f>Z167*(1+AA77)</f>
        <v>68611051342.942017</v>
      </c>
      <c r="AB167" s="27">
        <f>AA167*(1+AB77)</f>
        <v>68895039115.524597</v>
      </c>
      <c r="AC167" s="27">
        <f>AB167*(1+AC77)</f>
        <v>69088500724.607498</v>
      </c>
    </row>
    <row r="168" spans="1:29" x14ac:dyDescent="0.25">
      <c r="A168" t="s">
        <v>127</v>
      </c>
      <c r="B168" s="1" t="s">
        <v>14</v>
      </c>
      <c r="C168" s="27">
        <f t="shared" si="0"/>
        <v>152693049083.64651</v>
      </c>
      <c r="D168" s="27">
        <f>C168*(1+D78)</f>
        <v>154466035263.86661</v>
      </c>
      <c r="E168" s="27">
        <f>D168*(1+E78)</f>
        <v>157616729689.01343</v>
      </c>
      <c r="F168" s="27">
        <f>E168*(1+F78)</f>
        <v>163637035708.06351</v>
      </c>
      <c r="G168" s="27">
        <f>F168*(1+G78)</f>
        <v>167102213464.50638</v>
      </c>
      <c r="H168" s="27">
        <f>G168*(1+H78)</f>
        <v>170065425569.99295</v>
      </c>
      <c r="I168" s="27">
        <f>H168*(1+I78)</f>
        <v>173515544997.38184</v>
      </c>
      <c r="J168" s="27">
        <f>I168*(1+J78)</f>
        <v>176118802628.9035</v>
      </c>
      <c r="K168" s="27">
        <f>J168*(1+K78)</f>
        <v>178458833864.15833</v>
      </c>
      <c r="L168" s="27">
        <f>K168*(1+L78)</f>
        <v>179123592303.18839</v>
      </c>
      <c r="M168" s="27">
        <f>L168*(1+M78)</f>
        <v>180834813664.0607</v>
      </c>
      <c r="N168" s="27">
        <f>M168*(1+N78)</f>
        <v>182177074451.75473</v>
      </c>
      <c r="O168" s="27">
        <f>N168*(1+O78)</f>
        <v>183645522079.63034</v>
      </c>
      <c r="P168" s="27">
        <f>O168*(1+P78)</f>
        <v>185114704972.47562</v>
      </c>
      <c r="Q168" s="27">
        <f>P168*(1+Q78)</f>
        <v>185711631503.30399</v>
      </c>
      <c r="R168" s="27">
        <f>Q168*(1+R78)</f>
        <v>186165687083.88727</v>
      </c>
      <c r="S168" s="27">
        <f>R168*(1+S78)</f>
        <v>186903327446.12997</v>
      </c>
      <c r="T168" s="27">
        <f>S168*(1+T78)</f>
        <v>187332176503.93909</v>
      </c>
      <c r="U168" s="27">
        <f>T168*(1+U78)</f>
        <v>187776724877.89417</v>
      </c>
      <c r="V168" s="27">
        <f>U168*(1+V78)</f>
        <v>188008208835.04358</v>
      </c>
      <c r="W168" s="27">
        <f>V168*(1+W78)</f>
        <v>188399545545.14777</v>
      </c>
      <c r="X168" s="27">
        <f>W168*(1+X78)</f>
        <v>188514036804.70447</v>
      </c>
      <c r="Y168" s="27">
        <f>X168*(1+Y78)</f>
        <v>189009200614.21695</v>
      </c>
      <c r="Z168" s="27">
        <f>Y168*(1+Z78)</f>
        <v>189808261988.98187</v>
      </c>
      <c r="AA168" s="27">
        <f>Z168*(1+AA78)</f>
        <v>189934495968.10233</v>
      </c>
      <c r="AB168" s="27">
        <f>AA168*(1+AB78)</f>
        <v>190433256171.2189</v>
      </c>
      <c r="AC168" s="27">
        <f>AB168*(1+AC78)</f>
        <v>190573797843.03058</v>
      </c>
    </row>
    <row r="169" spans="1:29" x14ac:dyDescent="0.25">
      <c r="A169" t="s">
        <v>127</v>
      </c>
      <c r="B169" s="1" t="s">
        <v>15</v>
      </c>
      <c r="C169" s="27">
        <f t="shared" si="0"/>
        <v>136029517375.48972</v>
      </c>
      <c r="D169" s="27">
        <f>C169*(1+D79)</f>
        <v>144617409901.48044</v>
      </c>
      <c r="E169" s="27">
        <f>D169*(1+E79)</f>
        <v>154359027830.82162</v>
      </c>
      <c r="F169" s="27">
        <f>E169*(1+F79)</f>
        <v>157309291368.92163</v>
      </c>
      <c r="G169" s="27">
        <f>F169*(1+G79)</f>
        <v>160610619860.01721</v>
      </c>
      <c r="H169" s="27">
        <f>G169*(1+H79)</f>
        <v>163612268564.20438</v>
      </c>
      <c r="I169" s="27">
        <f>H169*(1+I79)</f>
        <v>165418355864.83554</v>
      </c>
      <c r="J169" s="27">
        <f>I169*(1+J79)</f>
        <v>165579618930.93527</v>
      </c>
      <c r="K169" s="27">
        <f>J169*(1+K79)</f>
        <v>166929133895.1145</v>
      </c>
      <c r="L169" s="27">
        <f>K169*(1+L79)</f>
        <v>168593631951.8269</v>
      </c>
      <c r="M169" s="27">
        <f>L169*(1+M79)</f>
        <v>172347442554.8082</v>
      </c>
      <c r="N169" s="27">
        <f>M169*(1+N79)</f>
        <v>174786451209.91806</v>
      </c>
      <c r="O169" s="27">
        <f>N169*(1+O79)</f>
        <v>176337043443.31674</v>
      </c>
      <c r="P169" s="27">
        <f>O169*(1+P79)</f>
        <v>178167034809.28467</v>
      </c>
      <c r="Q169" s="27">
        <f>P169*(1+Q79)</f>
        <v>180388434063.98532</v>
      </c>
      <c r="R169" s="27">
        <f>Q169*(1+R79)</f>
        <v>182781018848.6358</v>
      </c>
      <c r="S169" s="27">
        <f>R169*(1+S79)</f>
        <v>185017332822.33868</v>
      </c>
      <c r="T169" s="27">
        <f>S169*(1+T79)</f>
        <v>186858086508.883</v>
      </c>
      <c r="U169" s="27">
        <f>T169*(1+U79)</f>
        <v>188839745144.67419</v>
      </c>
      <c r="V169" s="27">
        <f>U169*(1+V79)</f>
        <v>190430726944.20468</v>
      </c>
      <c r="W169" s="27">
        <f>V169*(1+W79)</f>
        <v>192207435822.12424</v>
      </c>
      <c r="X169" s="27">
        <f>W169*(1+X79)</f>
        <v>194195844143.8447</v>
      </c>
      <c r="Y169" s="27">
        <f>X169*(1+Y79)</f>
        <v>196122307298.7561</v>
      </c>
      <c r="Z169" s="27">
        <f>Y169*(1+Z79)</f>
        <v>198001599859.86581</v>
      </c>
      <c r="AA169" s="27">
        <f>Z169*(1+AA79)</f>
        <v>199857081743.83362</v>
      </c>
      <c r="AB169" s="27">
        <f>AA169*(1+AB79)</f>
        <v>201476617780.21976</v>
      </c>
      <c r="AC169" s="27">
        <f>AB169*(1+AC79)</f>
        <v>202497043320.4437</v>
      </c>
    </row>
    <row r="170" spans="1:29" x14ac:dyDescent="0.25">
      <c r="A170" t="s">
        <v>127</v>
      </c>
      <c r="B170" s="1" t="s">
        <v>16</v>
      </c>
      <c r="C170" s="27">
        <f t="shared" si="0"/>
        <v>144428985460.12131</v>
      </c>
      <c r="D170" s="27">
        <f>C170*(1+D80)</f>
        <v>153547157961.94397</v>
      </c>
      <c r="E170" s="27">
        <f>D170*(1+E80)</f>
        <v>163890295403.14456</v>
      </c>
      <c r="F170" s="27">
        <f>E170*(1+F80)</f>
        <v>167022730023.72455</v>
      </c>
      <c r="G170" s="27">
        <f>F170*(1+G80)</f>
        <v>170527906942.96164</v>
      </c>
      <c r="H170" s="27">
        <f>G170*(1+H80)</f>
        <v>173714899629.67944</v>
      </c>
      <c r="I170" s="27">
        <f>H170*(1+I80)</f>
        <v>175632508112.86273</v>
      </c>
      <c r="J170" s="27">
        <f>I170*(1+J80)</f>
        <v>175803728752.89987</v>
      </c>
      <c r="K170" s="27">
        <f>J170*(1+K80)</f>
        <v>177236572748.08688</v>
      </c>
      <c r="L170" s="27">
        <f>K170*(1+L80)</f>
        <v>179003849220.64633</v>
      </c>
      <c r="M170" s="27">
        <f>L170*(1+M80)</f>
        <v>182989447842.60925</v>
      </c>
      <c r="N170" s="27">
        <f>M170*(1+N80)</f>
        <v>185579058923.95715</v>
      </c>
      <c r="O170" s="27">
        <f>N170*(1+O80)</f>
        <v>187225396185.55261</v>
      </c>
      <c r="P170" s="27">
        <f>O170*(1+P80)</f>
        <v>189168384747.79205</v>
      </c>
      <c r="Q170" s="27">
        <f>P170*(1+Q80)</f>
        <v>191526949615.53815</v>
      </c>
      <c r="R170" s="27">
        <f>Q170*(1+R80)</f>
        <v>194067270273.44748</v>
      </c>
      <c r="S170" s="27">
        <f>R170*(1+S80)</f>
        <v>196441670805.21323</v>
      </c>
      <c r="T170" s="27">
        <f>S170*(1+T80)</f>
        <v>198396086233.26852</v>
      </c>
      <c r="U170" s="27">
        <f>T170*(1+U80)</f>
        <v>200500107123.86371</v>
      </c>
      <c r="V170" s="27">
        <f>U170*(1+V80)</f>
        <v>202189327902.00867</v>
      </c>
      <c r="W170" s="27">
        <f>V170*(1+W80)</f>
        <v>204075743921.46408</v>
      </c>
      <c r="X170" s="27">
        <f>W170*(1+X80)</f>
        <v>206186931273.49899</v>
      </c>
      <c r="Y170" s="27">
        <f>X170*(1+Y80)</f>
        <v>208232348506.15833</v>
      </c>
      <c r="Z170" s="27">
        <f>Y170*(1+Z80)</f>
        <v>210227682483.81702</v>
      </c>
      <c r="AA170" s="27">
        <f>Z170*(1+AA80)</f>
        <v>212197735537.09198</v>
      </c>
      <c r="AB170" s="27">
        <f>AA170*(1+AB80)</f>
        <v>213917273701.78082</v>
      </c>
      <c r="AC170" s="27">
        <f>AB170*(1+AC80)</f>
        <v>215000707858.9816</v>
      </c>
    </row>
    <row r="171" spans="1:29" x14ac:dyDescent="0.25">
      <c r="A171" t="s">
        <v>127</v>
      </c>
      <c r="B171" s="1" t="s">
        <v>17</v>
      </c>
      <c r="C171" s="27">
        <f t="shared" si="0"/>
        <v>134672516116.35497</v>
      </c>
      <c r="D171" s="27">
        <f>C171*(1+D81)</f>
        <v>136597703561.98557</v>
      </c>
      <c r="E171" s="27">
        <f>D171*(1+E81)</f>
        <v>140428155478.83371</v>
      </c>
      <c r="F171" s="27">
        <f>E171*(1+F81)</f>
        <v>144718101037.29971</v>
      </c>
      <c r="G171" s="27">
        <f>F171*(1+G81)</f>
        <v>147379977682.17126</v>
      </c>
      <c r="H171" s="27">
        <f>G171*(1+H81)</f>
        <v>149144623004.87259</v>
      </c>
      <c r="I171" s="27">
        <f>H171*(1+I81)</f>
        <v>152062784688.58047</v>
      </c>
      <c r="J171" s="27">
        <f>I171*(1+J81)</f>
        <v>154234323715.15317</v>
      </c>
      <c r="K171" s="27">
        <f>J171*(1+K81)</f>
        <v>156907742570.07349</v>
      </c>
      <c r="L171" s="27">
        <f>K171*(1+L81)</f>
        <v>158238649278.0524</v>
      </c>
      <c r="M171" s="27">
        <f>L171*(1+M81)</f>
        <v>160092827394.38522</v>
      </c>
      <c r="N171" s="27">
        <f>M171*(1+N81)</f>
        <v>161752227212.4805</v>
      </c>
      <c r="O171" s="27">
        <f>N171*(1+O81)</f>
        <v>163692654781.84415</v>
      </c>
      <c r="P171" s="27">
        <f>O171*(1+P81)</f>
        <v>166228379314.38983</v>
      </c>
      <c r="Q171" s="27">
        <f>P171*(1+Q81)</f>
        <v>167937379933.82037</v>
      </c>
      <c r="R171" s="27">
        <f>Q171*(1+R81)</f>
        <v>169601261182.65411</v>
      </c>
      <c r="S171" s="27">
        <f>R171*(1+S81)</f>
        <v>171843085991.16174</v>
      </c>
      <c r="T171" s="27">
        <f>S171*(1+T81)</f>
        <v>173873813575.09927</v>
      </c>
      <c r="U171" s="27">
        <f>T171*(1+U81)</f>
        <v>175778913781.51013</v>
      </c>
      <c r="V171" s="27">
        <f>U171*(1+V81)</f>
        <v>177637380382.61792</v>
      </c>
      <c r="W171" s="27">
        <f>V171*(1+W81)</f>
        <v>179836560222.14084</v>
      </c>
      <c r="X171" s="27">
        <f>W171*(1+X81)</f>
        <v>181330274212.58591</v>
      </c>
      <c r="Y171" s="27">
        <f>X171*(1+Y81)</f>
        <v>183294490845.92035</v>
      </c>
      <c r="Z171" s="27">
        <f>Y171*(1+Z81)</f>
        <v>185552030320.93591</v>
      </c>
      <c r="AA171" s="27">
        <f>Z171*(1+AA81)</f>
        <v>186836468340.26297</v>
      </c>
      <c r="AB171" s="27">
        <f>AA171*(1+AB81)</f>
        <v>189449341925.17917</v>
      </c>
      <c r="AC171" s="27">
        <f>AB171*(1+AC81)</f>
        <v>190101902121.45355</v>
      </c>
    </row>
    <row r="172" spans="1:29" x14ac:dyDescent="0.25">
      <c r="B172" s="1" t="s">
        <v>42</v>
      </c>
      <c r="C172" s="27">
        <f t="shared" si="0"/>
        <v>259988988784.69992</v>
      </c>
      <c r="D172" s="27">
        <f>C172*(1+D82)</f>
        <v>264486798290.67526</v>
      </c>
      <c r="E172" s="27">
        <f>D172*(1+E82)</f>
        <v>269062419901.10397</v>
      </c>
      <c r="F172" s="27">
        <f>E172*(1+F82)</f>
        <v>273717199765.3931</v>
      </c>
      <c r="G172" s="27">
        <f>F172*(1+G82)</f>
        <v>278452507321.33441</v>
      </c>
      <c r="H172" s="27">
        <f>G172*(1+H82)</f>
        <v>283269735697.99353</v>
      </c>
      <c r="I172" s="27">
        <f>H172*(1+I82)</f>
        <v>288170302125.56885</v>
      </c>
      <c r="J172" s="27">
        <f>I172*(1+J82)</f>
        <v>293155648352.34119</v>
      </c>
      <c r="K172" s="27">
        <f>J172*(1+K82)</f>
        <v>298227241068.83673</v>
      </c>
      <c r="L172" s="27">
        <f>K172*(1+L82)</f>
        <v>303386572339.32764</v>
      </c>
      <c r="M172" s="27">
        <f>L172*(1+M82)</f>
        <v>308635160040.79803</v>
      </c>
      <c r="N172" s="27">
        <f>M172*(1+N82)</f>
        <v>313974548309.50385</v>
      </c>
      <c r="O172" s="27">
        <f>N172*(1+O82)</f>
        <v>319406307995.2583</v>
      </c>
      <c r="P172" s="27">
        <f>O172*(1+P82)</f>
        <v>324932037123.57629</v>
      </c>
      <c r="Q172" s="27">
        <f>P172*(1+Q82)</f>
        <v>330553361365.81421</v>
      </c>
      <c r="R172" s="27">
        <f>Q172*(1+R82)</f>
        <v>336271934517.44281</v>
      </c>
      <c r="S172" s="27">
        <f>R172*(1+S82)</f>
        <v>342089438984.5946</v>
      </c>
      <c r="T172" s="27">
        <f>S172*(1+T82)</f>
        <v>348007586279.02814</v>
      </c>
      <c r="U172" s="27">
        <f>T172*(1+U82)</f>
        <v>354028117521.65533</v>
      </c>
      <c r="V172" s="27">
        <f>U172*(1+V82)</f>
        <v>360152803954.78003</v>
      </c>
      <c r="W172" s="27">
        <f>V172*(1+W82)</f>
        <v>366383447463.19775</v>
      </c>
      <c r="X172" s="27">
        <f>W172*(1+X82)</f>
        <v>372721881104.3111</v>
      </c>
      <c r="Y172" s="27">
        <f>X172*(1+Y82)</f>
        <v>379169969647.41571</v>
      </c>
      <c r="Z172" s="27">
        <f>Y172*(1+Z82)</f>
        <v>385729610122.31604</v>
      </c>
      <c r="AA172" s="27">
        <f>Z172*(1+AA82)</f>
        <v>392402732377.43213</v>
      </c>
      <c r="AB172" s="27">
        <f>AA172*(1+AB82)</f>
        <v>399191299647.56177</v>
      </c>
      <c r="AC172" s="27">
        <f>AB172*(1+AC82)</f>
        <v>406097309131.4646</v>
      </c>
    </row>
    <row r="173" spans="1:29" x14ac:dyDescent="0.25">
      <c r="B173" s="1" t="s">
        <v>43</v>
      </c>
      <c r="C173" s="27">
        <f t="shared" si="0"/>
        <v>61106673849.506378</v>
      </c>
      <c r="D173" s="27">
        <f>C173*(1+D83)</f>
        <v>61476674759.665138</v>
      </c>
      <c r="E173" s="27">
        <f>D173*(1+E83)</f>
        <v>61848916025.334908</v>
      </c>
      <c r="F173" s="27">
        <f>E173*(1+F83)</f>
        <v>62223411211.868309</v>
      </c>
      <c r="G173" s="27">
        <f>F173*(1+G83)</f>
        <v>62600173966.756165</v>
      </c>
      <c r="H173" s="27">
        <f>G173*(1+H83)</f>
        <v>62979218020.12487</v>
      </c>
      <c r="I173" s="27">
        <f>H173*(1+I83)</f>
        <v>63360557185.236725</v>
      </c>
      <c r="J173" s="27">
        <f>I173*(1+J83)</f>
        <v>63744205358.993332</v>
      </c>
      <c r="K173" s="27">
        <f>J173*(1+K83)</f>
        <v>64130176522.442032</v>
      </c>
      <c r="L173" s="27">
        <f>K173*(1+L83)</f>
        <v>64518484741.285416</v>
      </c>
      <c r="M173" s="27">
        <f>L173*(1+M83)</f>
        <v>64909144166.39389</v>
      </c>
      <c r="N173" s="27">
        <f>M173*(1+N83)</f>
        <v>65302169034.321404</v>
      </c>
      <c r="O173" s="27">
        <f>N173*(1+O83)</f>
        <v>65697573667.824211</v>
      </c>
      <c r="P173" s="27">
        <f>O173*(1+P83)</f>
        <v>66095372476.382881</v>
      </c>
      <c r="Q173" s="27">
        <f>P173*(1+Q83)</f>
        <v>66495579956.727371</v>
      </c>
      <c r="R173" s="27">
        <f>Q173*(1+R83)</f>
        <v>66898210693.365349</v>
      </c>
      <c r="S173" s="27">
        <f>R173*(1+S83)</f>
        <v>67303279359.11367</v>
      </c>
      <c r="T173" s="27">
        <f>S173*(1+T83)</f>
        <v>67710800715.633095</v>
      </c>
      <c r="U173" s="27">
        <f>T173*(1+U83)</f>
        <v>68120789613.966248</v>
      </c>
      <c r="V173" s="27">
        <f>U173*(1+V83)</f>
        <v>68533260995.078812</v>
      </c>
      <c r="W173" s="27">
        <f>V173*(1+W83)</f>
        <v>68948229890.404007</v>
      </c>
      <c r="X173" s="27">
        <f>W173*(1+X83)</f>
        <v>69365711422.390396</v>
      </c>
      <c r="Y173" s="27">
        <f>X173*(1+Y83)</f>
        <v>69785720805.052963</v>
      </c>
      <c r="Z173" s="27">
        <f>Y173*(1+Z83)</f>
        <v>70208273344.527557</v>
      </c>
      <c r="AA173" s="27">
        <f>Z173*(1+AA83)</f>
        <v>70633384439.628662</v>
      </c>
      <c r="AB173" s="27">
        <f>AA173*(1+AB83)</f>
        <v>71061069582.410614</v>
      </c>
      <c r="AC173" s="27">
        <f>AB173*(1+AC83)</f>
        <v>71491344358.732101</v>
      </c>
    </row>
    <row r="174" spans="1:29" x14ac:dyDescent="0.25">
      <c r="B174" s="1" t="s">
        <v>44</v>
      </c>
      <c r="C174" s="27">
        <f t="shared" si="0"/>
        <v>76303988140.924393</v>
      </c>
      <c r="D174" s="27">
        <f>C174*(1+D84)</f>
        <v>77287298220.084747</v>
      </c>
      <c r="E174" s="27">
        <f>D174*(1+E84)</f>
        <v>78283279966.026047</v>
      </c>
      <c r="F174" s="27">
        <f>E174*(1+F84)</f>
        <v>79292096675.293701</v>
      </c>
      <c r="G174" s="27">
        <f>F174*(1+G84)</f>
        <v>80313913748.794174</v>
      </c>
      <c r="H174" s="27">
        <f>G174*(1+H84)</f>
        <v>81348898718.9133</v>
      </c>
      <c r="I174" s="27">
        <f>H174*(1+I84)</f>
        <v>82397221276.984161</v>
      </c>
      <c r="J174" s="27">
        <f>I174*(1+J84)</f>
        <v>83459053301.108856</v>
      </c>
      <c r="K174" s="27">
        <f>J174*(1+K84)</f>
        <v>84534568884.338867</v>
      </c>
      <c r="L174" s="27">
        <f>K174*(1+L84)</f>
        <v>85623944363.218506</v>
      </c>
      <c r="M174" s="27">
        <f>L174*(1+M84)</f>
        <v>86727358346.696274</v>
      </c>
      <c r="N174" s="27">
        <f>M174*(1+N84)</f>
        <v>87844991745.408752</v>
      </c>
      <c r="O174" s="27">
        <f>N174*(1+O84)</f>
        <v>88977027801.341858</v>
      </c>
      <c r="P174" s="27">
        <f>O174*(1+P84)</f>
        <v>90123652117.874344</v>
      </c>
      <c r="Q174" s="27">
        <f>P174*(1+Q84)</f>
        <v>91285052690.208481</v>
      </c>
      <c r="R174" s="27">
        <f>Q174*(1+R84)</f>
        <v>92461419936.192886</v>
      </c>
      <c r="S174" s="27">
        <f>R174*(1+S84)</f>
        <v>93652946727.542526</v>
      </c>
      <c r="T174" s="27">
        <f>S174*(1+T84)</f>
        <v>94859828421.46109</v>
      </c>
      <c r="U174" s="27">
        <f>T174*(1+U84)</f>
        <v>96082262892.670822</v>
      </c>
      <c r="V174" s="27">
        <f>U174*(1+V84)</f>
        <v>97320450565.855179</v>
      </c>
      <c r="W174" s="27">
        <f>V174*(1+W84)</f>
        <v>98574594448.519516</v>
      </c>
      <c r="X174" s="27">
        <f>W174*(1+X84)</f>
        <v>99844900164.275253</v>
      </c>
      <c r="Y174" s="27">
        <f>X174*(1+Y84)</f>
        <v>101131575986.55295</v>
      </c>
      <c r="Z174" s="27">
        <f>Y174*(1+Z84)</f>
        <v>102434832872.74988</v>
      </c>
      <c r="AA174" s="27">
        <f>Z174*(1+AA84)</f>
        <v>103754884498.81763</v>
      </c>
      <c r="AB174" s="27">
        <f>AA174*(1+AB84)</f>
        <v>105091947294.29538</v>
      </c>
      <c r="AC174" s="27">
        <f>AB174*(1+AC84)</f>
        <v>106446240477.79474</v>
      </c>
    </row>
    <row r="175" spans="1:29" x14ac:dyDescent="0.25">
      <c r="A175" t="s">
        <v>127</v>
      </c>
      <c r="B175" s="1" t="s">
        <v>18</v>
      </c>
      <c r="C175" s="27">
        <f t="shared" si="0"/>
        <v>955444618038.8855</v>
      </c>
      <c r="D175" s="27">
        <f>C175*(1+D85)</f>
        <v>950311629627.47168</v>
      </c>
      <c r="E175" s="27">
        <f>D175*(1+E85)</f>
        <v>957718319201.66724</v>
      </c>
      <c r="F175" s="27">
        <f>E175*(1+F85)</f>
        <v>972921874217.94531</v>
      </c>
      <c r="G175" s="27">
        <f>F175*(1+G85)</f>
        <v>996549569460.12415</v>
      </c>
      <c r="H175" s="27">
        <f>G175*(1+H85)</f>
        <v>1023894856631.441</v>
      </c>
      <c r="I175" s="27">
        <f>H175*(1+I85)</f>
        <v>1043240339561.4753</v>
      </c>
      <c r="J175" s="27">
        <f>I175*(1+J85)</f>
        <v>1060128770899.2229</v>
      </c>
      <c r="K175" s="27">
        <f>J175*(1+K85)</f>
        <v>1072463243487.3174</v>
      </c>
      <c r="L175" s="27">
        <f>K175*(1+L85)</f>
        <v>1076958271343.9227</v>
      </c>
      <c r="M175" s="27">
        <f>L175*(1+M85)</f>
        <v>1077190757486.9237</v>
      </c>
      <c r="N175" s="27">
        <f>M175*(1+N85)</f>
        <v>1087222144036.7173</v>
      </c>
      <c r="O175" s="27">
        <f>N175*(1+O85)</f>
        <v>1101145325649.322</v>
      </c>
      <c r="P175" s="27">
        <f>O175*(1+P85)</f>
        <v>1109847850302.5295</v>
      </c>
      <c r="Q175" s="27">
        <f>P175*(1+Q85)</f>
        <v>1119175869882.9507</v>
      </c>
      <c r="R175" s="27">
        <f>Q175*(1+R85)</f>
        <v>1127631984529.8411</v>
      </c>
      <c r="S175" s="27">
        <f>R175*(1+S85)</f>
        <v>1134144509689.6311</v>
      </c>
      <c r="T175" s="27">
        <f>S175*(1+T85)</f>
        <v>1138803379182.3469</v>
      </c>
      <c r="U175" s="27">
        <f>T175*(1+U85)</f>
        <v>1146440045593.5098</v>
      </c>
      <c r="V175" s="27">
        <f>U175*(1+V85)</f>
        <v>1151940220279.3708</v>
      </c>
      <c r="W175" s="27">
        <f>V175*(1+W85)</f>
        <v>1157143391672.8335</v>
      </c>
      <c r="X175" s="27">
        <f>W175*(1+X85)</f>
        <v>1168511006895.3042</v>
      </c>
      <c r="Y175" s="27">
        <f>X175*(1+Y85)</f>
        <v>1181214850790.4517</v>
      </c>
      <c r="Z175" s="27">
        <f>Y175*(1+Z85)</f>
        <v>1195797686783.865</v>
      </c>
      <c r="AA175" s="27">
        <f>Z175*(1+AA85)</f>
        <v>1211185482157.9504</v>
      </c>
      <c r="AB175" s="27">
        <f>AA175*(1+AB85)</f>
        <v>1227556486501.3005</v>
      </c>
      <c r="AC175" s="27">
        <f>AB175*(1+AC85)</f>
        <v>1241885627941.1504</v>
      </c>
    </row>
    <row r="176" spans="1:29" x14ac:dyDescent="0.25">
      <c r="B176" s="1" t="s">
        <v>19</v>
      </c>
      <c r="C176" s="27">
        <f t="shared" si="0"/>
        <v>2695697335690.458</v>
      </c>
      <c r="D176" s="27">
        <f>C176*(1+D86)</f>
        <v>2754628525175.6611</v>
      </c>
      <c r="E176" s="27">
        <f>D176*(1+E86)</f>
        <v>2814848021418.5112</v>
      </c>
      <c r="F176" s="27">
        <f>E176*(1+F86)</f>
        <v>2876383988355.9033</v>
      </c>
      <c r="G176" s="27">
        <f>F176*(1+G86)</f>
        <v>2939265205622.3027</v>
      </c>
      <c r="H176" s="27">
        <f>G176*(1+H86)</f>
        <v>3003521082009.6372</v>
      </c>
      <c r="I176" s="27">
        <f>H176*(1+I86)</f>
        <v>3069181669221.4346</v>
      </c>
      <c r="J176" s="27">
        <f>I176*(1+J86)</f>
        <v>3136277675927.645</v>
      </c>
      <c r="K176" s="27">
        <f>J176*(1+K86)</f>
        <v>3204840482126.7188</v>
      </c>
      <c r="L176" s="27">
        <f>K176*(1+L86)</f>
        <v>3274902153821.6553</v>
      </c>
      <c r="M176" s="27">
        <f>L176*(1+M86)</f>
        <v>3346495458016.8877</v>
      </c>
      <c r="N176" s="27">
        <f>M176*(1+N86)</f>
        <v>3419653878043.019</v>
      </c>
      <c r="O176" s="27">
        <f>N176*(1+O86)</f>
        <v>3494411629216.5742</v>
      </c>
      <c r="P176" s="27">
        <f>O176*(1+P86)</f>
        <v>3570803674842.0947</v>
      </c>
      <c r="Q176" s="27">
        <f>P176*(1+Q86)</f>
        <v>3648865742564.0562</v>
      </c>
      <c r="R176" s="27">
        <f>Q176*(1+R86)</f>
        <v>3728634341076.2598</v>
      </c>
      <c r="S176" s="27">
        <f>R176*(1+S86)</f>
        <v>3810146777196.5112</v>
      </c>
      <c r="T176" s="27">
        <f>S176*(1+T86)</f>
        <v>3893441173314.5728</v>
      </c>
      <c r="U176" s="27">
        <f>T176*(1+U86)</f>
        <v>3978556485221.5469</v>
      </c>
      <c r="V176" s="27">
        <f>U176*(1+V86)</f>
        <v>4065532520329.0347</v>
      </c>
      <c r="W176" s="27">
        <f>V176*(1+W86)</f>
        <v>4154409956286.5845</v>
      </c>
      <c r="X176" s="27">
        <f>W176*(1+X86)</f>
        <v>4245230360006.1406</v>
      </c>
      <c r="Y176" s="27">
        <f>X176*(1+Y86)</f>
        <v>4338036207102.3916</v>
      </c>
      <c r="Z176" s="27">
        <f>Y176*(1+Z86)</f>
        <v>4432870901758.1045</v>
      </c>
      <c r="AA176" s="27">
        <f>Z176*(1+AA86)</f>
        <v>4529778797023.7422</v>
      </c>
      <c r="AB176" s="27">
        <f>AA176*(1+AB86)</f>
        <v>4628805215560.8545</v>
      </c>
      <c r="AC176" s="27">
        <f>AB176*(1+AC86)</f>
        <v>4729996470838.9424</v>
      </c>
    </row>
    <row r="177" spans="2:29" x14ac:dyDescent="0.25">
      <c r="B177" s="1" t="s">
        <v>20</v>
      </c>
      <c r="C177" s="27">
        <f t="shared" si="0"/>
        <v>722622136536.50574</v>
      </c>
      <c r="D177" s="27">
        <f>C177*(1+D87)</f>
        <v>736373635794.79553</v>
      </c>
      <c r="E177" s="27">
        <f>D177*(1+E87)</f>
        <v>750386826083.97058</v>
      </c>
      <c r="F177" s="27">
        <f>E177*(1+F87)</f>
        <v>764666687384.34863</v>
      </c>
      <c r="G177" s="27">
        <f>F177*(1+G87)</f>
        <v>779218294445.27283</v>
      </c>
      <c r="H177" s="27">
        <f>G177*(1+H87)</f>
        <v>794046818588.56641</v>
      </c>
      <c r="I177" s="27">
        <f>H177*(1+I87)</f>
        <v>809157529546.30688</v>
      </c>
      <c r="J177" s="27">
        <f>I177*(1+J87)</f>
        <v>824555797333.57324</v>
      </c>
      <c r="K177" s="27">
        <f>J177*(1+K87)</f>
        <v>840247094156.83118</v>
      </c>
      <c r="L177" s="27">
        <f>K177*(1+L87)</f>
        <v>856236996358.63574</v>
      </c>
      <c r="M177" s="27">
        <f>L177*(1+M87)</f>
        <v>872531186399.3407</v>
      </c>
      <c r="N177" s="27">
        <f>M177*(1+N87)</f>
        <v>889135454876.52026</v>
      </c>
      <c r="O177" s="27">
        <f>N177*(1+O87)</f>
        <v>906055702582.82056</v>
      </c>
      <c r="P177" s="27">
        <f>O177*(1+P87)</f>
        <v>923297942602.97168</v>
      </c>
      <c r="Q177" s="27">
        <f>P177*(1+Q87)</f>
        <v>940868302450.7063</v>
      </c>
      <c r="R177" s="27">
        <f>Q177*(1+R87)</f>
        <v>958773026246.34338</v>
      </c>
      <c r="S177" s="27">
        <f>R177*(1+S87)</f>
        <v>977018476935.8114</v>
      </c>
      <c r="T177" s="27">
        <f>S177*(1+T87)</f>
        <v>995611138551.90002</v>
      </c>
      <c r="U177" s="27">
        <f>T177*(1+U87)</f>
        <v>1014557618518.5427</v>
      </c>
      <c r="V177" s="27">
        <f>U177*(1+V87)</f>
        <v>1033864649998.9507</v>
      </c>
      <c r="W177" s="27">
        <f>V177*(1+W87)</f>
        <v>1053539094288.4308</v>
      </c>
      <c r="X177" s="27">
        <f>W177*(1+X87)</f>
        <v>1073587943252.7397</v>
      </c>
      <c r="Y177" s="27">
        <f>X177*(1+Y87)</f>
        <v>1094018321812.8395</v>
      </c>
      <c r="Z177" s="27">
        <f>Y177*(1+Z87)</f>
        <v>1114837490476.938</v>
      </c>
      <c r="AA177" s="27">
        <f>Z177*(1+AA87)</f>
        <v>1136052847920.7141</v>
      </c>
      <c r="AB177" s="27">
        <f>AA177*(1+AB87)</f>
        <v>1157671933616.6455</v>
      </c>
      <c r="AC177" s="27">
        <f>AB177*(1+AC87)</f>
        <v>1179702430513.3704</v>
      </c>
    </row>
    <row r="178" spans="2:29" x14ac:dyDescent="0.25">
      <c r="B178" s="1" t="s">
        <v>21</v>
      </c>
      <c r="C178" s="27">
        <f t="shared" si="0"/>
        <v>702899927839.35669</v>
      </c>
      <c r="D178" s="27">
        <f>C178*(1+D88)</f>
        <v>716884121903.7207</v>
      </c>
      <c r="E178" s="27">
        <f>D178*(1+E88)</f>
        <v>731146531508.99524</v>
      </c>
      <c r="F178" s="27">
        <f>E178*(1+F88)</f>
        <v>745692691753.3667</v>
      </c>
      <c r="G178" s="27">
        <f>F178*(1+G88)</f>
        <v>760528247855.79993</v>
      </c>
      <c r="H178" s="27">
        <f>G178*(1+H88)</f>
        <v>775658957346.89111</v>
      </c>
      <c r="I178" s="27">
        <f>H178*(1+I88)</f>
        <v>791090692303.3075</v>
      </c>
      <c r="J178" s="27">
        <f>I178*(1+J88)</f>
        <v>806829441626.68176</v>
      </c>
      <c r="K178" s="27">
        <f>J178*(1+K88)</f>
        <v>822881313367.8446</v>
      </c>
      <c r="L178" s="27">
        <f>K178*(1+L88)</f>
        <v>839252537097.29785</v>
      </c>
      <c r="M178" s="27">
        <f>L178*(1+M88)</f>
        <v>855949466322.84863</v>
      </c>
      <c r="N178" s="27">
        <f>M178*(1+N88)</f>
        <v>872978580955.34167</v>
      </c>
      <c r="O178" s="27">
        <f>N178*(1+O88)</f>
        <v>890346489823.44824</v>
      </c>
      <c r="P178" s="27">
        <f>O178*(1+P88)</f>
        <v>908059933238.48572</v>
      </c>
      <c r="Q178" s="27">
        <f>P178*(1+Q88)</f>
        <v>926125785610.26538</v>
      </c>
      <c r="R178" s="27">
        <f>Q178*(1+R88)</f>
        <v>944551058114.98157</v>
      </c>
      <c r="S178" s="27">
        <f>R178*(1+S88)</f>
        <v>963342901416.17908</v>
      </c>
      <c r="T178" s="27">
        <f>S178*(1+T88)</f>
        <v>982508608439.854</v>
      </c>
      <c r="U178" s="27">
        <f>T178*(1+U88)</f>
        <v>1002055617204.7649</v>
      </c>
      <c r="V178" s="27">
        <f>U178*(1+V88)</f>
        <v>1021991513709.0537</v>
      </c>
      <c r="W178" s="27">
        <f>V178*(1+W88)</f>
        <v>1042324034874.2953</v>
      </c>
      <c r="X178" s="27">
        <f>W178*(1+X88)</f>
        <v>1063061071548.1194</v>
      </c>
      <c r="Y178" s="27">
        <f>X178*(1+Y88)</f>
        <v>1084210671566.5692</v>
      </c>
      <c r="Z178" s="27">
        <f>Y178*(1+Z88)</f>
        <v>1105781042877.386</v>
      </c>
      <c r="AA178" s="27">
        <f>Z178*(1+AA88)</f>
        <v>1127780556725.4316</v>
      </c>
      <c r="AB178" s="27">
        <f>AA178*(1+AB88)</f>
        <v>1150217750901.4841</v>
      </c>
      <c r="AC178" s="27">
        <f>AB178*(1+AC88)</f>
        <v>1173101333055.6692</v>
      </c>
    </row>
    <row r="179" spans="2:29" x14ac:dyDescent="0.25">
      <c r="B179" s="1" t="s">
        <v>22</v>
      </c>
      <c r="C179" s="27">
        <f t="shared" si="0"/>
        <v>502077832785.89508</v>
      </c>
      <c r="D179" s="27">
        <f>C179*(1+D89)</f>
        <v>518004853942.74292</v>
      </c>
      <c r="E179" s="27">
        <f>D179*(1+E89)</f>
        <v>534437115495.33405</v>
      </c>
      <c r="F179" s="27">
        <f>E179*(1+F89)</f>
        <v>551390644788.32861</v>
      </c>
      <c r="G179" s="27">
        <f>F179*(1+G89)</f>
        <v>568881977589.26648</v>
      </c>
      <c r="H179" s="27">
        <f>G179*(1+H89)</f>
        <v>586928174216.86682</v>
      </c>
      <c r="I179" s="27">
        <f>H179*(1+I89)</f>
        <v>605546836180.9541</v>
      </c>
      <c r="J179" s="27">
        <f>I179*(1+J89)</f>
        <v>624756123350.23877</v>
      </c>
      <c r="K179" s="27">
        <f>J179*(1+K89)</f>
        <v>644574771664.698</v>
      </c>
      <c r="L179" s="27">
        <f>K179*(1+L89)</f>
        <v>665022111409.83252</v>
      </c>
      <c r="M179" s="27">
        <f>L179*(1+M89)</f>
        <v>686118086070.62341</v>
      </c>
      <c r="N179" s="27">
        <f>M179*(1+N89)</f>
        <v>707883271783.578</v>
      </c>
      <c r="O179" s="27">
        <f>N179*(1+O89)</f>
        <v>730338897405.83801</v>
      </c>
      <c r="P179" s="27">
        <f>O179*(1+P89)</f>
        <v>753506865220.92395</v>
      </c>
      <c r="Q179" s="27">
        <f>P179*(1+Q89)</f>
        <v>777409772301.31177</v>
      </c>
      <c r="R179" s="27">
        <f>Q179*(1+R89)</f>
        <v>802070932548.67798</v>
      </c>
      <c r="S179" s="27">
        <f>R179*(1+S89)</f>
        <v>827514399433.30957</v>
      </c>
      <c r="T179" s="27">
        <f>S179*(1+T89)</f>
        <v>853764989454.85901</v>
      </c>
      <c r="U179" s="27">
        <f>T179*(1+U89)</f>
        <v>880848306347.32617</v>
      </c>
      <c r="V179" s="27">
        <f>U179*(1+V89)</f>
        <v>908790766051.87573</v>
      </c>
      <c r="W179" s="27">
        <f>V179*(1+W89)</f>
        <v>937619622481.84802</v>
      </c>
      <c r="X179" s="27">
        <f>W179*(1+X89)</f>
        <v>967362994105.09253</v>
      </c>
      <c r="Y179" s="27">
        <f>X179*(1+Y89)</f>
        <v>998049891369.55261</v>
      </c>
      <c r="Z179" s="27">
        <f>Y179*(1+Z89)</f>
        <v>1029710244998.8499</v>
      </c>
      <c r="AA179" s="27">
        <f>Z179*(1+AA89)</f>
        <v>1062374935185.4675</v>
      </c>
      <c r="AB179" s="27">
        <f>AA179*(1+AB89)</f>
        <v>1096075821710.0063</v>
      </c>
      <c r="AC179" s="27">
        <f>AB179*(1+AC89)</f>
        <v>1130845775015.8896</v>
      </c>
    </row>
    <row r="180" spans="2:29" x14ac:dyDescent="0.25">
      <c r="B180" s="1" t="s">
        <v>23</v>
      </c>
      <c r="C180" s="27">
        <f t="shared" si="0"/>
        <v>276414380151.12201</v>
      </c>
      <c r="D180" s="27">
        <f>C180*(1+D90)</f>
        <v>282870037999.55145</v>
      </c>
      <c r="E180" s="27">
        <f>D180*(1+E90)</f>
        <v>289476467737.03101</v>
      </c>
      <c r="F180" s="27">
        <f>E180*(1+F90)</f>
        <v>296237190641.02936</v>
      </c>
      <c r="G180" s="27">
        <f>F180*(1+G90)</f>
        <v>303155810228.45062</v>
      </c>
      <c r="H180" s="27">
        <f>G180*(1+H90)</f>
        <v>310236014176.33612</v>
      </c>
      <c r="I180" s="27">
        <f>H180*(1+I90)</f>
        <v>317481576287.42444</v>
      </c>
      <c r="J180" s="27">
        <f>I180*(1+J90)</f>
        <v>324896358501.61725</v>
      </c>
      <c r="K180" s="27">
        <f>J180*(1+K90)</f>
        <v>332484312954.42255</v>
      </c>
      <c r="L180" s="27">
        <f>K180*(1+L90)</f>
        <v>340249484083.47308</v>
      </c>
      <c r="M180" s="27">
        <f>L180*(1+M90)</f>
        <v>348196010784.24261</v>
      </c>
      <c r="N180" s="27">
        <f>M180*(1+N90)</f>
        <v>356328128616.10858</v>
      </c>
      <c r="O180" s="27">
        <f>N180*(1+O90)</f>
        <v>364650172059.93781</v>
      </c>
      <c r="P180" s="27">
        <f>O180*(1+P90)</f>
        <v>373166576828.39764</v>
      </c>
      <c r="Q180" s="27">
        <f>P180*(1+Q90)</f>
        <v>381881882230.22485</v>
      </c>
      <c r="R180" s="27">
        <f>Q180*(1+R90)</f>
        <v>390800733589.71173</v>
      </c>
      <c r="S180" s="27">
        <f>R180*(1+S90)</f>
        <v>399927884722.69946</v>
      </c>
      <c r="T180" s="27">
        <f>S180*(1+T90)</f>
        <v>409268200470.39813</v>
      </c>
      <c r="U180" s="27">
        <f>T180*(1+U90)</f>
        <v>418826659292.38428</v>
      </c>
      <c r="V180" s="27">
        <f>U180*(1+V90)</f>
        <v>428608355920.1579</v>
      </c>
      <c r="W180" s="27">
        <f>V180*(1+W90)</f>
        <v>438618504072.67322</v>
      </c>
      <c r="X180" s="27">
        <f>W180*(1+X90)</f>
        <v>448862439235.29053</v>
      </c>
      <c r="Y180" s="27">
        <f>X180*(1+Y90)</f>
        <v>459345621503.63074</v>
      </c>
      <c r="Z180" s="27">
        <f>Y180*(1+Z90)</f>
        <v>470073638493.84802</v>
      </c>
      <c r="AA180" s="27">
        <f>Z180*(1+AA90)</f>
        <v>481052208320.87183</v>
      </c>
      <c r="AB180" s="27">
        <f>AA180*(1+AB90)</f>
        <v>492287182646.20581</v>
      </c>
      <c r="AC180" s="27">
        <f>AB180*(1+AC90)</f>
        <v>503784549796.90796</v>
      </c>
    </row>
    <row r="181" spans="2:29" x14ac:dyDescent="0.25">
      <c r="B181" s="1" t="s">
        <v>24</v>
      </c>
      <c r="C181" s="27">
        <f t="shared" si="0"/>
        <v>769466956667.27222</v>
      </c>
      <c r="D181" s="27">
        <f>C181*(1+D91)</f>
        <v>794759335532.92542</v>
      </c>
      <c r="E181" s="27">
        <f>D181*(1+E91)</f>
        <v>820883074891.89258</v>
      </c>
      <c r="F181" s="27">
        <f>E181*(1+F91)</f>
        <v>847865501563.58899</v>
      </c>
      <c r="G181" s="27">
        <f>F181*(1+G91)</f>
        <v>875734840599.98413</v>
      </c>
      <c r="H181" s="27">
        <f>G181*(1+H91)</f>
        <v>904520244810.50562</v>
      </c>
      <c r="I181" s="27">
        <f>H181*(1+I91)</f>
        <v>934251825257.42688</v>
      </c>
      <c r="J181" s="27">
        <f>I181*(1+J91)</f>
        <v>964960682753.63843</v>
      </c>
      <c r="K181" s="27">
        <f>J181*(1+K91)</f>
        <v>996678940395.75049</v>
      </c>
      <c r="L181" s="27">
        <f>K181*(1+L91)</f>
        <v>1029439777166.5587</v>
      </c>
      <c r="M181" s="27">
        <f>L181*(1+M91)</f>
        <v>1063277462642.0234</v>
      </c>
      <c r="N181" s="27">
        <f>M181*(1+N91)</f>
        <v>1098227392839.0667</v>
      </c>
      <c r="O181" s="27">
        <f>N181*(1+O91)</f>
        <v>1134326127241.6868</v>
      </c>
      <c r="P181" s="27">
        <f>O181*(1+P91)</f>
        <v>1171611427044.1208</v>
      </c>
      <c r="Q181" s="27">
        <f>P181*(1+Q91)</f>
        <v>1210122294651.061</v>
      </c>
      <c r="R181" s="27">
        <f>Q181*(1+R91)</f>
        <v>1249899014476.2415</v>
      </c>
      <c r="S181" s="27">
        <f>R181*(1+S91)</f>
        <v>1290983195082.0754</v>
      </c>
      <c r="T181" s="27">
        <f>S181*(1+T91)</f>
        <v>1333417812704.4231</v>
      </c>
      <c r="U181" s="27">
        <f>T181*(1+U91)</f>
        <v>1377247256208.0173</v>
      </c>
      <c r="V181" s="27">
        <f>U181*(1+V91)</f>
        <v>1422517373519.5747</v>
      </c>
      <c r="W181" s="27">
        <f>V181*(1+W91)</f>
        <v>1469275519587.1631</v>
      </c>
      <c r="X181" s="27">
        <f>W181*(1+X91)</f>
        <v>1517570605915.9932</v>
      </c>
      <c r="Y181" s="27">
        <f>X181*(1+Y91)</f>
        <v>1567453151732.4519</v>
      </c>
      <c r="Z181" s="27">
        <f>Y181*(1+Z91)</f>
        <v>1618975336829.8975</v>
      </c>
      <c r="AA181" s="27">
        <f>Z181*(1+AA91)</f>
        <v>1672191056151.4961</v>
      </c>
      <c r="AB181" s="27">
        <f>AA181*(1+AB91)</f>
        <v>1727155976167.1958</v>
      </c>
      <c r="AC181" s="27">
        <f>AB181*(1+AC91)</f>
        <v>1783927593103.8115</v>
      </c>
    </row>
    <row r="182" spans="2:29" x14ac:dyDescent="0.25">
      <c r="B182" s="1" t="s">
        <v>25</v>
      </c>
      <c r="C182" s="27">
        <f t="shared" si="0"/>
        <v>1631554224311.3398</v>
      </c>
      <c r="D182" s="27">
        <f>C182*(1+D92)</f>
        <v>1659780112391.9263</v>
      </c>
      <c r="E182" s="27">
        <f>D182*(1+E92)</f>
        <v>1688494308336.3066</v>
      </c>
      <c r="F182" s="27">
        <f>E182*(1+F92)</f>
        <v>1717705259870.5249</v>
      </c>
      <c r="G182" s="27">
        <f>F182*(1+G92)</f>
        <v>1747421560866.2852</v>
      </c>
      <c r="H182" s="27">
        <f>G182*(1+H92)</f>
        <v>1777651953869.272</v>
      </c>
      <c r="I182" s="27">
        <f>H182*(1+I92)</f>
        <v>1808405332671.2104</v>
      </c>
      <c r="J182" s="27">
        <f>I182*(1+J92)</f>
        <v>1839690744926.4226</v>
      </c>
      <c r="K182" s="27">
        <f>J182*(1+K92)</f>
        <v>1871517394813.6499</v>
      </c>
      <c r="L182" s="27">
        <f>K182*(1+L92)</f>
        <v>1903894645743.9263</v>
      </c>
      <c r="M182" s="27">
        <f>L182*(1+M92)</f>
        <v>1936832023115.2964</v>
      </c>
      <c r="N182" s="27">
        <f>M182*(1+N92)</f>
        <v>1970339217115.1912</v>
      </c>
      <c r="O182" s="27">
        <f>N182*(1+O92)</f>
        <v>2004426085571.2842</v>
      </c>
      <c r="P182" s="27">
        <f>O182*(1+P92)</f>
        <v>2039102656851.6675</v>
      </c>
      <c r="Q182" s="27">
        <f>P182*(1+Q92)</f>
        <v>2074379132815.2014</v>
      </c>
      <c r="R182" s="27">
        <f>Q182*(1+R92)</f>
        <v>2110265891812.9045</v>
      </c>
      <c r="S182" s="27">
        <f>R182*(1+S92)</f>
        <v>2146773491741.2681</v>
      </c>
      <c r="T182" s="27">
        <f>S182*(1+T92)</f>
        <v>2183912673148.3921</v>
      </c>
      <c r="U182" s="27">
        <f>T182*(1+U92)</f>
        <v>2221694362393.8594</v>
      </c>
      <c r="V182" s="27">
        <f>U182*(1+V92)</f>
        <v>2260129674863.2734</v>
      </c>
      <c r="W182" s="27">
        <f>V182*(1+W92)</f>
        <v>2299229918238.4082</v>
      </c>
      <c r="X182" s="27">
        <f>W182*(1+X92)</f>
        <v>2339006595823.9331</v>
      </c>
      <c r="Y182" s="27">
        <f>X182*(1+Y92)</f>
        <v>2379471409931.6875</v>
      </c>
      <c r="Z182" s="27">
        <f>Y182*(1+Z92)</f>
        <v>2420636265323.5059</v>
      </c>
      <c r="AA182" s="27">
        <f>Z182*(1+AA92)</f>
        <v>2462513272713.6025</v>
      </c>
      <c r="AB182" s="27">
        <f>AA182*(1+AB92)</f>
        <v>2505114752331.5479</v>
      </c>
      <c r="AC182" s="27">
        <f>AB182*(1+AC92)</f>
        <v>2548453237546.8838</v>
      </c>
    </row>
    <row r="183" spans="2:29" x14ac:dyDescent="0.25">
      <c r="B183" s="1" t="s">
        <v>26</v>
      </c>
      <c r="C183" s="27">
        <f t="shared" si="0"/>
        <v>2966016422635.1572</v>
      </c>
      <c r="D183" s="27">
        <f>C183*(1+D93)</f>
        <v>3014762902541.166</v>
      </c>
      <c r="E183" s="27">
        <f>D183*(1+E93)</f>
        <v>3064310530844.4302</v>
      </c>
      <c r="F183" s="27">
        <f>E183*(1+F93)</f>
        <v>3114672474418.8584</v>
      </c>
      <c r="G183" s="27">
        <f>F183*(1+G93)</f>
        <v>3165862116535.9321</v>
      </c>
      <c r="H183" s="27">
        <f>G183*(1+H93)</f>
        <v>3217893060421.2002</v>
      </c>
      <c r="I183" s="27">
        <f>H183*(1+I93)</f>
        <v>3270779132869.2227</v>
      </c>
      <c r="J183" s="27">
        <f>I183*(1+J93)</f>
        <v>3324534387917.9282</v>
      </c>
      <c r="K183" s="27">
        <f>J183*(1+K93)</f>
        <v>3379173110583.3594</v>
      </c>
      <c r="L183" s="27">
        <f>K183*(1+L93)</f>
        <v>3434709820655.7969</v>
      </c>
      <c r="M183" s="27">
        <f>L183*(1+M93)</f>
        <v>3491159276558.2749</v>
      </c>
      <c r="N183" s="27">
        <f>M183*(1+N93)</f>
        <v>3548536479268.5103</v>
      </c>
      <c r="O183" s="27">
        <f>N183*(1+O93)</f>
        <v>3606856676305.2881</v>
      </c>
      <c r="P183" s="27">
        <f>O183*(1+P93)</f>
        <v>3666135365780.3652</v>
      </c>
      <c r="Q183" s="27">
        <f>P183*(1+Q93)</f>
        <v>3726388300516.9653</v>
      </c>
      <c r="R183" s="27">
        <f>Q183*(1+R93)</f>
        <v>3787631492235.9614</v>
      </c>
      <c r="S183" s="27">
        <f>R183*(1+S93)</f>
        <v>3849881215810.8594</v>
      </c>
      <c r="T183" s="27">
        <f>S183*(1+T93)</f>
        <v>3913154013592.7109</v>
      </c>
      <c r="U183" s="27">
        <f>T183*(1+U93)</f>
        <v>3977466699806.1069</v>
      </c>
      <c r="V183" s="27">
        <f>U183*(1+V93)</f>
        <v>4042836365017.4204</v>
      </c>
      <c r="W183" s="27">
        <f>V183*(1+W93)</f>
        <v>4109280380676.4814</v>
      </c>
      <c r="X183" s="27">
        <f>W183*(1+X93)</f>
        <v>4176816403732.8994</v>
      </c>
      <c r="Y183" s="27">
        <f>X183*(1+Y93)</f>
        <v>4245462381328.2495</v>
      </c>
      <c r="Z183" s="27">
        <f>Y183*(1+Z93)</f>
        <v>4315236555565.3794</v>
      </c>
      <c r="AA183" s="27">
        <f>Z183*(1+AA93)</f>
        <v>4386157468356.0962</v>
      </c>
      <c r="AB183" s="27">
        <f>AA183*(1+AB93)</f>
        <v>4458243966348.5283</v>
      </c>
      <c r="AC183" s="27">
        <f>AB183*(1+AC93)</f>
        <v>4531515205935.4658</v>
      </c>
    </row>
    <row r="184" spans="2:29" x14ac:dyDescent="0.25">
      <c r="B184" s="1" t="s">
        <v>27</v>
      </c>
      <c r="C184" s="27">
        <f t="shared" si="0"/>
        <v>2342317857718.9507</v>
      </c>
      <c r="D184" s="27">
        <f>C184*(1+D94)</f>
        <v>2389526728212.0503</v>
      </c>
      <c r="E184" s="27">
        <f>D184*(1+E94)</f>
        <v>2437687082486.8623</v>
      </c>
      <c r="F184" s="27">
        <f>E184*(1+F94)</f>
        <v>2486818097477.2422</v>
      </c>
      <c r="G184" s="27">
        <f>F184*(1+G94)</f>
        <v>2536939336623.6782</v>
      </c>
      <c r="H184" s="27">
        <f>G184*(1+H94)</f>
        <v>2588070757663.2422</v>
      </c>
      <c r="I184" s="27">
        <f>H184*(1+I94)</f>
        <v>2640232720576.5449</v>
      </c>
      <c r="J184" s="27">
        <f>I184*(1+J94)</f>
        <v>2693445995694.8608</v>
      </c>
      <c r="K184" s="27">
        <f>J184*(1+K94)</f>
        <v>2747731771970.6499</v>
      </c>
      <c r="L184" s="27">
        <f>K184*(1+L94)</f>
        <v>2803111665414.771</v>
      </c>
      <c r="M184" s="27">
        <f>L184*(1+M94)</f>
        <v>2859607727703.7437</v>
      </c>
      <c r="N184" s="27">
        <f>M184*(1+N94)</f>
        <v>2917242454960.4878</v>
      </c>
      <c r="O184" s="27">
        <f>N184*(1+O94)</f>
        <v>2976038796712.0376</v>
      </c>
      <c r="P184" s="27">
        <f>O184*(1+P94)</f>
        <v>3036020165027.7959</v>
      </c>
      <c r="Q184" s="27">
        <f>P184*(1+Q94)</f>
        <v>3097210443841.9678</v>
      </c>
      <c r="R184" s="27">
        <f>Q184*(1+R94)</f>
        <v>3159633998463.8853</v>
      </c>
      <c r="S184" s="27">
        <f>R184*(1+S94)</f>
        <v>3223315685280.0107</v>
      </c>
      <c r="T184" s="27">
        <f>S184*(1+T94)</f>
        <v>3288280861651.4829</v>
      </c>
      <c r="U184" s="27">
        <f>T184*(1+U94)</f>
        <v>3354555396011.1445</v>
      </c>
      <c r="V184" s="27">
        <f>U184*(1+V94)</f>
        <v>3422165678164.0718</v>
      </c>
      <c r="W184" s="27">
        <f>V184*(1+W94)</f>
        <v>3491138629795.7129</v>
      </c>
      <c r="X184" s="27">
        <f>W184*(1+X94)</f>
        <v>3561501715191.8105</v>
      </c>
      <c r="Y184" s="27">
        <f>X184*(1+Y94)</f>
        <v>3633282952174.3862</v>
      </c>
      <c r="Z184" s="27">
        <f>Y184*(1+Z94)</f>
        <v>3706510923258.1333</v>
      </c>
      <c r="AA184" s="27">
        <f>Z184*(1+AA94)</f>
        <v>3781214787031.6675</v>
      </c>
      <c r="AB184" s="27">
        <f>AA184*(1+AB94)</f>
        <v>3857424289768.1616</v>
      </c>
      <c r="AC184" s="27">
        <f>AB184*(1+AC94)</f>
        <v>3935169777269.9917</v>
      </c>
    </row>
    <row r="185" spans="2:29" x14ac:dyDescent="0.25">
      <c r="B185" s="1" t="s">
        <v>28</v>
      </c>
      <c r="C185" s="27">
        <f t="shared" si="0"/>
        <v>2412645470985.5938</v>
      </c>
      <c r="D185" s="27">
        <f>C185*(1+D95)</f>
        <v>2423216259320.855</v>
      </c>
      <c r="E185" s="27">
        <f>D185*(1+E95)</f>
        <v>2433833362610.9541</v>
      </c>
      <c r="F185" s="27">
        <f>E185*(1+F95)</f>
        <v>2444496983780.6851</v>
      </c>
      <c r="G185" s="27">
        <f>F185*(1+G95)</f>
        <v>2455207326643.938</v>
      </c>
      <c r="H185" s="27">
        <f>G185*(1+H95)</f>
        <v>2465964595907.5957</v>
      </c>
      <c r="I185" s="27">
        <f>H185*(1+I95)</f>
        <v>2476768997175.4448</v>
      </c>
      <c r="J185" s="27">
        <f>I185*(1+J95)</f>
        <v>2487620736952.1074</v>
      </c>
      <c r="K185" s="27">
        <f>J185*(1+K95)</f>
        <v>2498520022646.9863</v>
      </c>
      <c r="L185" s="27">
        <f>K185*(1+L95)</f>
        <v>2509467062578.23</v>
      </c>
      <c r="M185" s="27">
        <f>L185*(1+M95)</f>
        <v>2520462065976.7144</v>
      </c>
      <c r="N185" s="27">
        <f>M185*(1+N95)</f>
        <v>2531505242990.041</v>
      </c>
      <c r="O185" s="27">
        <f>N185*(1+O95)</f>
        <v>2542596804686.5552</v>
      </c>
      <c r="P185" s="27">
        <f>O185*(1+P95)</f>
        <v>2553736963059.3779</v>
      </c>
      <c r="Q185" s="27">
        <f>P185*(1+Q95)</f>
        <v>2564925931030.46</v>
      </c>
      <c r="R185" s="27">
        <f>Q185*(1+R95)</f>
        <v>2576163922454.6494</v>
      </c>
      <c r="S185" s="27">
        <f>R185*(1+S95)</f>
        <v>2587451152123.7808</v>
      </c>
      <c r="T185" s="27">
        <f>S185*(1+T95)</f>
        <v>2598787835770.7798</v>
      </c>
      <c r="U185" s="27">
        <f>T185*(1+U95)</f>
        <v>2610174190073.7856</v>
      </c>
      <c r="V185" s="27">
        <f>U185*(1+V95)</f>
        <v>2621610432660.2939</v>
      </c>
      <c r="W185" s="27">
        <f>V185*(1+W95)</f>
        <v>2633096782111.3154</v>
      </c>
      <c r="X185" s="27">
        <f>W185*(1+X95)</f>
        <v>2644633457965.5537</v>
      </c>
      <c r="Y185" s="27">
        <f>X185*(1+Y95)</f>
        <v>2656220680723.6011</v>
      </c>
      <c r="Z185" s="27">
        <f>Y185*(1+Z95)</f>
        <v>2667858671852.1538</v>
      </c>
      <c r="AA185" s="27">
        <f>Z185*(1+AA95)</f>
        <v>2679547653788.2441</v>
      </c>
      <c r="AB185" s="27">
        <f>AA185*(1+AB95)</f>
        <v>2691287849943.4922</v>
      </c>
      <c r="AC185" s="27">
        <f>AB185*(1+AC95)</f>
        <v>2703079484708.376</v>
      </c>
    </row>
    <row r="186" spans="2:29" x14ac:dyDescent="0.25">
      <c r="B186" s="1" t="s">
        <v>29</v>
      </c>
      <c r="C186" s="27">
        <f t="shared" si="0"/>
        <v>245034500062.16345</v>
      </c>
      <c r="D186" s="27">
        <f>C186*(1+D96)</f>
        <v>246036159479.03229</v>
      </c>
      <c r="E186" s="27">
        <f>D186*(1+E96)</f>
        <v>247041913509.46429</v>
      </c>
      <c r="F186" s="27">
        <f>E186*(1+F96)</f>
        <v>248051778891.54425</v>
      </c>
      <c r="G186" s="27">
        <f>F186*(1+G96)</f>
        <v>249065772431.77939</v>
      </c>
      <c r="H186" s="27">
        <f>G186*(1+H96)</f>
        <v>250083911005.37906</v>
      </c>
      <c r="I186" s="27">
        <f>H186*(1+I96)</f>
        <v>251106211556.53561</v>
      </c>
      <c r="J186" s="27">
        <f>I186*(1+J96)</f>
        <v>252132691098.70642</v>
      </c>
      <c r="K186" s="27">
        <f>J186*(1+K96)</f>
        <v>253163366714.89691</v>
      </c>
      <c r="L186" s="27">
        <f>K186*(1+L96)</f>
        <v>254198255557.94498</v>
      </c>
      <c r="M186" s="27">
        <f>L186*(1+M96)</f>
        <v>255237374850.8064</v>
      </c>
      <c r="N186" s="27">
        <f>M186*(1+N96)</f>
        <v>256280741886.84143</v>
      </c>
      <c r="O186" s="27">
        <f>N186*(1+O96)</f>
        <v>257328374030.10272</v>
      </c>
      <c r="P186" s="27">
        <f>O186*(1+P96)</f>
        <v>258380288715.62418</v>
      </c>
      <c r="Q186" s="27">
        <f>P186*(1+Q96)</f>
        <v>259436503449.71115</v>
      </c>
      <c r="R186" s="27">
        <f>Q186*(1+R96)</f>
        <v>260497035810.23181</v>
      </c>
      <c r="S186" s="27">
        <f>R186*(1+S96)</f>
        <v>261561903446.90967</v>
      </c>
      <c r="T186" s="27">
        <f>S186*(1+T96)</f>
        <v>262631124081.61728</v>
      </c>
      <c r="U186" s="27">
        <f>T186*(1+U96)</f>
        <v>263704715508.67126</v>
      </c>
      <c r="V186" s="27">
        <f>U186*(1+V96)</f>
        <v>264782695595.12833</v>
      </c>
      <c r="W186" s="27">
        <f>V186*(1+W96)</f>
        <v>265865082281.0827</v>
      </c>
      <c r="X186" s="27">
        <f>W186*(1+X96)</f>
        <v>266951893579.96466</v>
      </c>
      <c r="Y186" s="27">
        <f>X186*(1+Y96)</f>
        <v>268043147578.84033</v>
      </c>
      <c r="Z186" s="27">
        <f>Y186*(1+Z96)</f>
        <v>269138862438.71268</v>
      </c>
      <c r="AA186" s="27">
        <f>Z186*(1+AA96)</f>
        <v>270239056394.82379</v>
      </c>
      <c r="AB186" s="27">
        <f>AA186*(1+AB96)</f>
        <v>271343747756.95831</v>
      </c>
      <c r="AC186" s="27">
        <f>AB186*(1+AC96)</f>
        <v>272452954909.74817</v>
      </c>
    </row>
    <row r="187" spans="2:29" x14ac:dyDescent="0.25">
      <c r="B187" s="1" t="s">
        <v>30</v>
      </c>
      <c r="C187" s="27">
        <f t="shared" si="0"/>
        <v>1617081317209.0825</v>
      </c>
      <c r="D187" s="27">
        <f>C187*(1+D97)</f>
        <v>1655832113084.7996</v>
      </c>
      <c r="E187" s="27">
        <f>D187*(1+E97)</f>
        <v>1695511510487.8616</v>
      </c>
      <c r="F187" s="27">
        <f>E187*(1+F97)</f>
        <v>1736141761885.0142</v>
      </c>
      <c r="G187" s="27">
        <f>F187*(1+G97)</f>
        <v>1777745652988.1697</v>
      </c>
      <c r="H187" s="27">
        <f>G187*(1+H97)</f>
        <v>1820346515532.7839</v>
      </c>
      <c r="I187" s="27">
        <f>H187*(1+I97)</f>
        <v>1863968240362.447</v>
      </c>
      <c r="J187" s="27">
        <f>I187*(1+J97)</f>
        <v>1908635290827.0251</v>
      </c>
      <c r="K187" s="27">
        <f>J187*(1+K97)</f>
        <v>1954372716501.8682</v>
      </c>
      <c r="L187" s="27">
        <f>K187*(1+L97)</f>
        <v>2001206167235.7761</v>
      </c>
      <c r="M187" s="27">
        <f>L187*(1+M97)</f>
        <v>2049161907535.6023</v>
      </c>
      <c r="N187" s="27">
        <f>M187*(1+N97)</f>
        <v>2098266831295.5618</v>
      </c>
      <c r="O187" s="27">
        <f>N187*(1+O97)</f>
        <v>2148548476879.5042</v>
      </c>
      <c r="P187" s="27">
        <f>O187*(1+P97)</f>
        <v>2200035042564.6084</v>
      </c>
      <c r="Q187" s="27">
        <f>P187*(1+Q97)</f>
        <v>2252755402355.1621</v>
      </c>
      <c r="R187" s="27">
        <f>Q187*(1+R97)</f>
        <v>2306739122175.293</v>
      </c>
      <c r="S187" s="27">
        <f>R187*(1+S97)</f>
        <v>2362016476449.7334</v>
      </c>
      <c r="T187" s="27">
        <f>S187*(1+T97)</f>
        <v>2418618465081.9165</v>
      </c>
      <c r="U187" s="27">
        <f>T187*(1+U97)</f>
        <v>2476576830838.9253</v>
      </c>
      <c r="V187" s="27">
        <f>U187*(1+V97)</f>
        <v>2535924077153.0454</v>
      </c>
      <c r="W187" s="27">
        <f>V187*(1+W97)</f>
        <v>2596693486349.9038</v>
      </c>
      <c r="X187" s="27">
        <f>W187*(1+X97)</f>
        <v>2658919138313.415</v>
      </c>
      <c r="Y187" s="27">
        <f>X187*(1+Y97)</f>
        <v>2722635929598.0049</v>
      </c>
      <c r="Z187" s="27">
        <f>Y187*(1+Z97)</f>
        <v>2787879592998.8257</v>
      </c>
      <c r="AA187" s="27">
        <f>Z187*(1+AA97)</f>
        <v>2854686717590.9443</v>
      </c>
      <c r="AB187" s="27">
        <f>AA187*(1+AB97)</f>
        <v>2923094769248.7354</v>
      </c>
      <c r="AC187" s="27">
        <f>AB187*(1+AC97)</f>
        <v>2993142111656.9888</v>
      </c>
    </row>
    <row r="188" spans="2:29" x14ac:dyDescent="0.25">
      <c r="B188" s="1" t="s">
        <v>31</v>
      </c>
      <c r="C188" s="27">
        <f t="shared" si="0"/>
        <v>567715459947.34875</v>
      </c>
      <c r="D188" s="27">
        <f>C188*(1+D98)</f>
        <v>578261367325.6626</v>
      </c>
      <c r="E188" s="27">
        <f>D188*(1+E98)</f>
        <v>589003175943.73181</v>
      </c>
      <c r="F188" s="27">
        <f>E188*(1+F98)</f>
        <v>599944524871.61084</v>
      </c>
      <c r="G188" s="27">
        <f>F188*(1+G98)</f>
        <v>611089120778.87976</v>
      </c>
      <c r="H188" s="27">
        <f>G188*(1+H98)</f>
        <v>622440739190.37585</v>
      </c>
      <c r="I188" s="27">
        <f>H188*(1+I98)</f>
        <v>634003225765.25208</v>
      </c>
      <c r="J188" s="27">
        <f>I188*(1+J98)</f>
        <v>645780497599.79517</v>
      </c>
      <c r="K188" s="27">
        <f>J188*(1+K98)</f>
        <v>657776544554.4447</v>
      </c>
      <c r="L188" s="27">
        <f>K188*(1+L98)</f>
        <v>669995430605.46375</v>
      </c>
      <c r="M188" s="27">
        <f>L188*(1+M98)</f>
        <v>682441295221.71716</v>
      </c>
      <c r="N188" s="27">
        <f>M188*(1+N98)</f>
        <v>695118354767.02576</v>
      </c>
      <c r="O188" s="27">
        <f>N188*(1+O98)</f>
        <v>708030903928.57019</v>
      </c>
      <c r="P188" s="27">
        <f>O188*(1+P98)</f>
        <v>721183317171.82947</v>
      </c>
      <c r="Q188" s="27">
        <f>P188*(1+Q98)</f>
        <v>734580050222.54578</v>
      </c>
      <c r="R188" s="27">
        <f>Q188*(1+R98)</f>
        <v>748225641576.21887</v>
      </c>
      <c r="S188" s="27">
        <f>R188*(1+S98)</f>
        <v>762124714035.64087</v>
      </c>
      <c r="T188" s="27">
        <f>S188*(1+T98)</f>
        <v>776281976276.99182</v>
      </c>
      <c r="U188" s="27">
        <f>T188*(1+U98)</f>
        <v>790702224445.02808</v>
      </c>
      <c r="V188" s="27">
        <f>U188*(1+V98)</f>
        <v>805390343777.90186</v>
      </c>
      <c r="W188" s="27">
        <f>V188*(1+W98)</f>
        <v>820351310262.16467</v>
      </c>
      <c r="X188" s="27">
        <f>W188*(1+X98)</f>
        <v>835590192318.51306</v>
      </c>
      <c r="Y188" s="27">
        <f>X188*(1+Y98)</f>
        <v>851112152518.84961</v>
      </c>
      <c r="Z188" s="27">
        <f>Y188*(1+Z98)</f>
        <v>866922449335.23987</v>
      </c>
      <c r="AA188" s="27">
        <f>Z188*(1+AA98)</f>
        <v>883026438921.35815</v>
      </c>
      <c r="AB188" s="27">
        <f>AA188*(1+AB98)</f>
        <v>899429576927.0249</v>
      </c>
      <c r="AC188" s="27">
        <f>AB188*(1+AC98)</f>
        <v>916137420346.45215</v>
      </c>
    </row>
    <row r="189" spans="2:29" x14ac:dyDescent="0.25">
      <c r="B189" s="1" t="s">
        <v>32</v>
      </c>
      <c r="C189" s="27">
        <f t="shared" si="0"/>
        <v>11489044573.283243</v>
      </c>
      <c r="D189" s="27">
        <f>C189*(1+D99)</f>
        <v>11667928997.289265</v>
      </c>
      <c r="E189" s="27">
        <f>D189*(1+E99)</f>
        <v>11849598651.77706</v>
      </c>
      <c r="F189" s="27">
        <f>E189*(1+F99)</f>
        <v>12034096902.785229</v>
      </c>
      <c r="G189" s="27">
        <f>F189*(1+G99)</f>
        <v>12221467791.561596</v>
      </c>
      <c r="H189" s="27">
        <f>G189*(1+H99)</f>
        <v>12411756045.076212</v>
      </c>
      <c r="I189" s="27">
        <f>H189*(1+I99)</f>
        <v>12605007086.69805</v>
      </c>
      <c r="J189" s="27">
        <f>I189*(1+J99)</f>
        <v>12801267047.037939</v>
      </c>
      <c r="K189" s="27">
        <f>J189*(1+K99)</f>
        <v>13000582774.960321</v>
      </c>
      <c r="L189" s="27">
        <f>K189*(1+L99)</f>
        <v>13203001848.766455</v>
      </c>
      <c r="M189" s="27">
        <f>L189*(1+M99)</f>
        <v>13408572587.55175</v>
      </c>
      <c r="N189" s="27">
        <f>M189*(1+N99)</f>
        <v>13617344062.739931</v>
      </c>
      <c r="O189" s="27">
        <f>N189*(1+O99)</f>
        <v>13829366109.796793</v>
      </c>
      <c r="P189" s="27">
        <f>O189*(1+P99)</f>
        <v>14044689340.126329</v>
      </c>
      <c r="Q189" s="27">
        <f>P189*(1+Q99)</f>
        <v>14263365153.152098</v>
      </c>
      <c r="R189" s="27">
        <f>Q189*(1+R99)</f>
        <v>14485445748.586678</v>
      </c>
      <c r="S189" s="27">
        <f>R189*(1+S99)</f>
        <v>14710984138.892174</v>
      </c>
      <c r="T189" s="27">
        <f>S189*(1+T99)</f>
        <v>14940034161.934727</v>
      </c>
      <c r="U189" s="27">
        <f>T189*(1+U99)</f>
        <v>15172650493.836052</v>
      </c>
      <c r="V189" s="27">
        <f>U189*(1+V99)</f>
        <v>15408888662.02508</v>
      </c>
      <c r="W189" s="27">
        <f>V189*(1+W99)</f>
        <v>15648805058.492811</v>
      </c>
      <c r="X189" s="27">
        <f>W189*(1+X99)</f>
        <v>15892456953.253546</v>
      </c>
      <c r="Y189" s="27">
        <f>X189*(1+Y99)</f>
        <v>16139902508.015705</v>
      </c>
      <c r="Z189" s="27">
        <f>Y189*(1+Z99)</f>
        <v>16391200790.065512</v>
      </c>
      <c r="AA189" s="27">
        <f>Z189*(1+AA99)</f>
        <v>16646411786.366833</v>
      </c>
      <c r="AB189" s="27">
        <f>AA189*(1+AB99)</f>
        <v>16905596417.880566</v>
      </c>
      <c r="AC189" s="27">
        <f>AB189*(1+AC99)</f>
        <v>17168816554.106968</v>
      </c>
    </row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A45E-E6AB-4E85-BAE2-97B4AFD42811}">
  <sheetPr>
    <tabColor rgb="FF92D050"/>
  </sheetPr>
  <dimension ref="A1:AI92"/>
  <sheetViews>
    <sheetView zoomScale="85" zoomScaleNormal="85" workbookViewId="0">
      <selection activeCell="F17" sqref="A1:F17"/>
    </sheetView>
  </sheetViews>
  <sheetFormatPr defaultRowHeight="15" x14ac:dyDescent="0.25"/>
  <cols>
    <col min="1" max="1" width="15.5703125" customWidth="1"/>
    <col min="2" max="3" width="10.140625" customWidth="1"/>
    <col min="6" max="6" width="12.28515625" customWidth="1"/>
    <col min="8" max="8" width="10.140625" bestFit="1" customWidth="1"/>
  </cols>
  <sheetData>
    <row r="1" spans="1:35" x14ac:dyDescent="0.25">
      <c r="A1" s="14" t="s">
        <v>96</v>
      </c>
      <c r="B1" s="15"/>
      <c r="C1" s="15"/>
      <c r="F1" s="18"/>
      <c r="G1" s="26">
        <v>3</v>
      </c>
      <c r="H1" s="26">
        <v>4</v>
      </c>
      <c r="I1" s="26">
        <v>5</v>
      </c>
      <c r="J1" s="26">
        <v>6</v>
      </c>
      <c r="K1" s="26">
        <v>7</v>
      </c>
      <c r="L1" s="26">
        <v>8</v>
      </c>
      <c r="M1" s="26">
        <v>9</v>
      </c>
      <c r="N1" s="26">
        <v>10</v>
      </c>
      <c r="O1" s="26">
        <v>11</v>
      </c>
      <c r="P1" s="26">
        <v>12</v>
      </c>
      <c r="Q1" s="26">
        <v>13</v>
      </c>
      <c r="R1" s="26">
        <v>14</v>
      </c>
      <c r="S1" s="26">
        <v>15</v>
      </c>
      <c r="T1" s="26">
        <v>16</v>
      </c>
      <c r="U1" s="26">
        <v>17</v>
      </c>
      <c r="V1" s="26">
        <v>18</v>
      </c>
      <c r="W1" s="26">
        <v>19</v>
      </c>
      <c r="X1" s="26">
        <v>20</v>
      </c>
      <c r="Y1" s="26">
        <v>21</v>
      </c>
      <c r="Z1" s="26">
        <v>22</v>
      </c>
      <c r="AA1" s="26">
        <v>23</v>
      </c>
      <c r="AB1" s="26">
        <v>24</v>
      </c>
      <c r="AC1" s="26">
        <v>25</v>
      </c>
      <c r="AD1" s="26">
        <v>26</v>
      </c>
      <c r="AE1" s="26">
        <v>27</v>
      </c>
      <c r="AF1" s="26">
        <v>28</v>
      </c>
      <c r="AG1" s="26">
        <v>29</v>
      </c>
      <c r="AH1" s="26">
        <v>30</v>
      </c>
      <c r="AI1" s="26">
        <v>31</v>
      </c>
    </row>
    <row r="2" spans="1:35" x14ac:dyDescent="0.25">
      <c r="B2" s="1" t="s">
        <v>95</v>
      </c>
      <c r="J2" s="31"/>
      <c r="K2" s="30"/>
      <c r="L2" s="30"/>
      <c r="M2" s="30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</row>
    <row r="3" spans="1:35" x14ac:dyDescent="0.25">
      <c r="B3" s="12" t="s">
        <v>1128</v>
      </c>
      <c r="F3" s="1">
        <v>2025</v>
      </c>
      <c r="G3" s="12">
        <v>2026</v>
      </c>
      <c r="H3" s="1">
        <v>2027</v>
      </c>
      <c r="I3" s="12">
        <v>2028</v>
      </c>
      <c r="J3" s="1">
        <v>2029</v>
      </c>
      <c r="K3" s="12">
        <v>2030</v>
      </c>
      <c r="L3" s="1">
        <v>2031</v>
      </c>
      <c r="M3" s="12">
        <v>2032</v>
      </c>
      <c r="N3" s="1">
        <v>2033</v>
      </c>
      <c r="O3" s="12">
        <v>2034</v>
      </c>
      <c r="P3" s="1">
        <v>2035</v>
      </c>
      <c r="Q3" s="12">
        <v>2036</v>
      </c>
      <c r="R3" s="1">
        <v>2037</v>
      </c>
      <c r="S3" s="12">
        <v>2038</v>
      </c>
      <c r="T3" s="1">
        <v>2039</v>
      </c>
      <c r="U3" s="12">
        <v>2040</v>
      </c>
      <c r="V3" s="1">
        <v>2041</v>
      </c>
      <c r="W3" s="12">
        <v>2042</v>
      </c>
      <c r="X3" s="1">
        <v>2043</v>
      </c>
      <c r="Y3" s="12">
        <v>2044</v>
      </c>
      <c r="Z3" s="1">
        <v>2045</v>
      </c>
      <c r="AA3" s="12">
        <v>2046</v>
      </c>
      <c r="AB3" s="1">
        <v>2047</v>
      </c>
      <c r="AC3" s="12">
        <v>2048</v>
      </c>
      <c r="AD3" s="1">
        <v>2049</v>
      </c>
      <c r="AE3" s="12">
        <v>2050</v>
      </c>
    </row>
    <row r="4" spans="1:35" x14ac:dyDescent="0.25">
      <c r="A4" s="25" t="s">
        <v>2</v>
      </c>
      <c r="B4" s="13" cm="1">
        <f t="array" ref="B4">IFERROR(SUMPRODUCT(--('BLS Table 2.11'!L:L=$A4),'BLS Table 2.11'!J:J,'BLS Table 2.11'!K:K)/SUMIFS('BLS Table 2.11'!J:J,'BLS Table 2.11'!L:L,$A4)/100,SUMPRODUCT(--('BLS Table 2.11'!M:M=$A4),'BLS Table 2.11'!J:J,'BLS Table 2.11'!K:K)/SUMIFS('BLS Table 2.11'!J:J,'BLS Table 2.11'!M:M,$A4)/100)</f>
        <v>1.9E-2</v>
      </c>
      <c r="E4" s="1" t="s">
        <v>2</v>
      </c>
      <c r="F4" s="29">
        <f>IFERROR((SUMIFS('AEO25 Table 23'!I:I,'AEO25 Table 23'!$B:$B,"*"&amp;$A4&amp;"*")-SUMIFS('AEO25 Table 23'!H:H,'AEO25 Table 23'!$B:$B,"*"&amp;$A4&amp;"*"))/SUMIFS('AEO25 Table 23'!H:H,'AEO25 Table 23'!$B:$B,"*"&amp;$A4&amp;"*"),"")</f>
        <v>1.1026677248351633E-2</v>
      </c>
      <c r="G4" s="29">
        <f>IFERROR((SUMIFS('AEO25 Table 23'!J:J,'AEO25 Table 23'!$B:$B,"*"&amp;$A4&amp;"*")-SUMIFS('AEO25 Table 23'!I:I,'AEO25 Table 23'!$B:$B,"*"&amp;$A4&amp;"*"))/SUMIFS('AEO25 Table 23'!I:I,'AEO25 Table 23'!$B:$B,"*"&amp;$A4&amp;"*"),"")</f>
        <v>1.3310769210910503E-2</v>
      </c>
      <c r="H4" s="29">
        <f>IFERROR((SUMIFS('AEO25 Table 23'!K:K,'AEO25 Table 23'!$B:$B,"*"&amp;$A4&amp;"*")-SUMIFS('AEO25 Table 23'!J:J,'AEO25 Table 23'!$B:$B,"*"&amp;$A4&amp;"*"))/SUMIFS('AEO25 Table 23'!J:J,'AEO25 Table 23'!$B:$B,"*"&amp;$A4&amp;"*"),"")</f>
        <v>1.3104187427865207E-2</v>
      </c>
      <c r="I4" s="29">
        <f>IFERROR((SUMIFS('AEO25 Table 23'!L:L,'AEO25 Table 23'!$B:$B,"*"&amp;$A4&amp;"*")-SUMIFS('AEO25 Table 23'!K:K,'AEO25 Table 23'!$B:$B,"*"&amp;$A4&amp;"*"))/SUMIFS('AEO25 Table 23'!K:K,'AEO25 Table 23'!$B:$B,"*"&amp;$A4&amp;"*"),"")</f>
        <v>1.1203885779711329E-2</v>
      </c>
      <c r="J4" s="29">
        <f>IFERROR((SUMIFS('AEO25 Table 23'!M:M,'AEO25 Table 23'!$B:$B,"*"&amp;$A4&amp;"*")-SUMIFS('AEO25 Table 23'!L:L,'AEO25 Table 23'!$B:$B,"*"&amp;$A4&amp;"*"))/SUMIFS('AEO25 Table 23'!L:L,'AEO25 Table 23'!$B:$B,"*"&amp;$A4&amp;"*"),"")</f>
        <v>1.4635319337087296E-2</v>
      </c>
      <c r="K4" s="29">
        <f>IFERROR((SUMIFS('AEO25 Table 23'!N:N,'AEO25 Table 23'!$B:$B,"*"&amp;$A4&amp;"*")-SUMIFS('AEO25 Table 23'!M:M,'AEO25 Table 23'!$B:$B,"*"&amp;$A4&amp;"*"))/SUMIFS('AEO25 Table 23'!M:M,'AEO25 Table 23'!$B:$B,"*"&amp;$A4&amp;"*"),"")</f>
        <v>1.3375931647951164E-2</v>
      </c>
      <c r="L4" s="29">
        <f>IFERROR((SUMIFS('AEO25 Table 23'!O:O,'AEO25 Table 23'!$B:$B,"*"&amp;$A4&amp;"*")-SUMIFS('AEO25 Table 23'!N:N,'AEO25 Table 23'!$B:$B,"*"&amp;$A4&amp;"*"))/SUMIFS('AEO25 Table 23'!N:N,'AEO25 Table 23'!$B:$B,"*"&amp;$A4&amp;"*"),"")</f>
        <v>1.0475065872643107E-2</v>
      </c>
      <c r="M4" s="29">
        <f>IFERROR((SUMIFS('AEO25 Table 23'!P:P,'AEO25 Table 23'!$B:$B,"*"&amp;$A4&amp;"*")-SUMIFS('AEO25 Table 23'!O:O,'AEO25 Table 23'!$B:$B,"*"&amp;$A4&amp;"*"))/SUMIFS('AEO25 Table 23'!O:O,'AEO25 Table 23'!$B:$B,"*"&amp;$A4&amp;"*"),"")</f>
        <v>1.022468352425733E-2</v>
      </c>
      <c r="N4" s="29">
        <f>IFERROR((SUMIFS('AEO25 Table 23'!Q:Q,'AEO25 Table 23'!$B:$B,"*"&amp;$A4&amp;"*")-SUMIFS('AEO25 Table 23'!P:P,'AEO25 Table 23'!$B:$B,"*"&amp;$A4&amp;"*"))/SUMIFS('AEO25 Table 23'!P:P,'AEO25 Table 23'!$B:$B,"*"&amp;$A4&amp;"*"),"")</f>
        <v>9.6252602721436844E-3</v>
      </c>
      <c r="O4" s="29">
        <f>IFERROR((SUMIFS('AEO25 Table 23'!R:R,'AEO25 Table 23'!$B:$B,"*"&amp;$A4&amp;"*")-SUMIFS('AEO25 Table 23'!Q:Q,'AEO25 Table 23'!$B:$B,"*"&amp;$A4&amp;"*"))/SUMIFS('AEO25 Table 23'!Q:Q,'AEO25 Table 23'!$B:$B,"*"&amp;$A4&amp;"*"),"")</f>
        <v>1.2156975776371573E-2</v>
      </c>
      <c r="P4" s="29">
        <f>IFERROR((SUMIFS('AEO25 Table 23'!S:S,'AEO25 Table 23'!$B:$B,"*"&amp;$A4&amp;"*")-SUMIFS('AEO25 Table 23'!R:R,'AEO25 Table 23'!$B:$B,"*"&amp;$A4&amp;"*"))/SUMIFS('AEO25 Table 23'!R:R,'AEO25 Table 23'!$B:$B,"*"&amp;$A4&amp;"*"),"")</f>
        <v>1.2481577286470235E-2</v>
      </c>
      <c r="Q4" s="29">
        <f>IFERROR((SUMIFS('AEO25 Table 23'!T:T,'AEO25 Table 23'!$B:$B,"*"&amp;$A4&amp;"*")-SUMIFS('AEO25 Table 23'!S:S,'AEO25 Table 23'!$B:$B,"*"&amp;$A4&amp;"*"))/SUMIFS('AEO25 Table 23'!S:S,'AEO25 Table 23'!$B:$B,"*"&amp;$A4&amp;"*"),"")</f>
        <v>1.4717677805219882E-2</v>
      </c>
      <c r="R4" s="29">
        <f>IFERROR((SUMIFS('AEO25 Table 23'!U:U,'AEO25 Table 23'!$B:$B,"*"&amp;$A4&amp;"*")-SUMIFS('AEO25 Table 23'!T:T,'AEO25 Table 23'!$B:$B,"*"&amp;$A4&amp;"*"))/SUMIFS('AEO25 Table 23'!T:T,'AEO25 Table 23'!$B:$B,"*"&amp;$A4&amp;"*"),"")</f>
        <v>1.1665757875194246E-2</v>
      </c>
      <c r="S4" s="29">
        <f>IFERROR((SUMIFS('AEO25 Table 23'!V:V,'AEO25 Table 23'!$B:$B,"*"&amp;$A4&amp;"*")-SUMIFS('AEO25 Table 23'!U:U,'AEO25 Table 23'!$B:$B,"*"&amp;$A4&amp;"*"))/SUMIFS('AEO25 Table 23'!U:U,'AEO25 Table 23'!$B:$B,"*"&amp;$A4&amp;"*"),"")</f>
        <v>9.8860052793060017E-3</v>
      </c>
      <c r="T4" s="29">
        <f>IFERROR((SUMIFS('AEO25 Table 23'!W:W,'AEO25 Table 23'!$B:$B,"*"&amp;$A4&amp;"*")-SUMIFS('AEO25 Table 23'!V:V,'AEO25 Table 23'!$B:$B,"*"&amp;$A4&amp;"*"))/SUMIFS('AEO25 Table 23'!V:V,'AEO25 Table 23'!$B:$B,"*"&amp;$A4&amp;"*"),"")</f>
        <v>1.0694767198003576E-2</v>
      </c>
      <c r="U4" s="29">
        <f>IFERROR((SUMIFS('AEO25 Table 23'!X:X,'AEO25 Table 23'!$B:$B,"*"&amp;$A4&amp;"*")-SUMIFS('AEO25 Table 23'!W:W,'AEO25 Table 23'!$B:$B,"*"&amp;$A4&amp;"*"))/SUMIFS('AEO25 Table 23'!W:W,'AEO25 Table 23'!$B:$B,"*"&amp;$A4&amp;"*"),"")</f>
        <v>9.6427706845046441E-3</v>
      </c>
      <c r="V4" s="29">
        <f>IFERROR((SUMIFS('AEO25 Table 23'!Y:Y,'AEO25 Table 23'!$B:$B,"*"&amp;$A4&amp;"*")-SUMIFS('AEO25 Table 23'!X:X,'AEO25 Table 23'!$B:$B,"*"&amp;$A4&amp;"*"))/SUMIFS('AEO25 Table 23'!X:X,'AEO25 Table 23'!$B:$B,"*"&amp;$A4&amp;"*"),"")</f>
        <v>7.1325451349267075E-3</v>
      </c>
      <c r="W4" s="29">
        <f>IFERROR((SUMIFS('AEO25 Table 23'!Z:Z,'AEO25 Table 23'!$B:$B,"*"&amp;$A4&amp;"*")-SUMIFS('AEO25 Table 23'!Y:Y,'AEO25 Table 23'!$B:$B,"*"&amp;$A4&amp;"*"))/SUMIFS('AEO25 Table 23'!Y:Y,'AEO25 Table 23'!$B:$B,"*"&amp;$A4&amp;"*"),"")</f>
        <v>8.3373827422757937E-3</v>
      </c>
      <c r="X4" s="29">
        <f>IFERROR((SUMIFS('AEO25 Table 23'!AA:AA,'AEO25 Table 23'!$B:$B,"*"&amp;$A4&amp;"*")-SUMIFS('AEO25 Table 23'!Z:Z,'AEO25 Table 23'!$B:$B,"*"&amp;$A4&amp;"*"))/SUMIFS('AEO25 Table 23'!Z:Z,'AEO25 Table 23'!$B:$B,"*"&amp;$A4&amp;"*"),"")</f>
        <v>8.3361617111105523E-3</v>
      </c>
      <c r="Y4" s="29">
        <f>IFERROR((SUMIFS('AEO25 Table 23'!AB:AB,'AEO25 Table 23'!$B:$B,"*"&amp;$A4&amp;"*")-SUMIFS('AEO25 Table 23'!AA:AA,'AEO25 Table 23'!$B:$B,"*"&amp;$A4&amp;"*"))/SUMIFS('AEO25 Table 23'!AA:AA,'AEO25 Table 23'!$B:$B,"*"&amp;$A4&amp;"*"),"")</f>
        <v>9.1091714777024099E-3</v>
      </c>
      <c r="Z4" s="29">
        <f>IFERROR((SUMIFS('AEO25 Table 23'!AC:AC,'AEO25 Table 23'!$B:$B,"*"&amp;$A4&amp;"*")-SUMIFS('AEO25 Table 23'!AB:AB,'AEO25 Table 23'!$B:$B,"*"&amp;$A4&amp;"*"))/SUMIFS('AEO25 Table 23'!AB:AB,'AEO25 Table 23'!$B:$B,"*"&amp;$A4&amp;"*"),"")</f>
        <v>1.1345091667422645E-2</v>
      </c>
      <c r="AA4" s="29">
        <f>IFERROR((SUMIFS('AEO25 Table 23'!AD:AD,'AEO25 Table 23'!$B:$B,"*"&amp;$A4&amp;"*")-SUMIFS('AEO25 Table 23'!AC:AC,'AEO25 Table 23'!$B:$B,"*"&amp;$A4&amp;"*"))/SUMIFS('AEO25 Table 23'!AC:AC,'AEO25 Table 23'!$B:$B,"*"&amp;$A4&amp;"*"),"")</f>
        <v>1.1583966711633611E-2</v>
      </c>
      <c r="AB4" s="29">
        <f>IFERROR((SUMIFS('AEO25 Table 23'!AE:AE,'AEO25 Table 23'!$B:$B,"*"&amp;$A4&amp;"*")-SUMIFS('AEO25 Table 23'!AD:AD,'AEO25 Table 23'!$B:$B,"*"&amp;$A4&amp;"*"))/SUMIFS('AEO25 Table 23'!AD:AD,'AEO25 Table 23'!$B:$B,"*"&amp;$A4&amp;"*"),"")</f>
        <v>1.134369960316556E-2</v>
      </c>
      <c r="AC4" s="29">
        <f>IFERROR((SUMIFS('AEO25 Table 23'!AF:AF,'AEO25 Table 23'!$B:$B,"*"&amp;$A4&amp;"*")-SUMIFS('AEO25 Table 23'!AE:AE,'AEO25 Table 23'!$B:$B,"*"&amp;$A4&amp;"*"))/SUMIFS('AEO25 Table 23'!AE:AE,'AEO25 Table 23'!$B:$B,"*"&amp;$A4&amp;"*"),"")</f>
        <v>1.1034837951507158E-2</v>
      </c>
      <c r="AD4" s="29">
        <f>IFERROR((SUMIFS('AEO25 Table 23'!AG:AG,'AEO25 Table 23'!$B:$B,"*"&amp;$A4&amp;"*")-SUMIFS('AEO25 Table 23'!AF:AF,'AEO25 Table 23'!$B:$B,"*"&amp;$A4&amp;"*"))/SUMIFS('AEO25 Table 23'!AF:AF,'AEO25 Table 23'!$B:$B,"*"&amp;$A4&amp;"*"),"")</f>
        <v>1.135520562452725E-2</v>
      </c>
      <c r="AE4" s="29">
        <f>IFERROR((SUMIFS('AEO25 Table 23'!AH:AH,'AEO25 Table 23'!$B:$B,"*"&amp;$A4&amp;"*")-SUMIFS('AEO25 Table 23'!AG:AG,'AEO25 Table 23'!$B:$B,"*"&amp;$A4&amp;"*"))/SUMIFS('AEO25 Table 23'!AG:AG,'AEO25 Table 23'!$B:$B,"*"&amp;$A4&amp;"*"),"")</f>
        <v>1.0924366998268421E-2</v>
      </c>
    </row>
    <row r="5" spans="1:35" x14ac:dyDescent="0.25">
      <c r="A5" s="25" t="s">
        <v>36</v>
      </c>
      <c r="B5" s="13" cm="1">
        <f t="array" ref="B5">IFERROR(SUMPRODUCT(--('BLS Table 2.11'!L:L=$A5),'BLS Table 2.11'!J:J,'BLS Table 2.11'!K:K)/SUMIFS('BLS Table 2.11'!J:J,'BLS Table 2.11'!L:L,$A5)/100,SUMPRODUCT(--('BLS Table 2.11'!M:M=$A5),'BLS Table 2.11'!J:J,'BLS Table 2.11'!K:K)/SUMIFS('BLS Table 2.11'!J:J,'BLS Table 2.11'!M:M,$A5)/100)</f>
        <v>-1.9E-2</v>
      </c>
      <c r="E5" s="1" t="s">
        <v>36</v>
      </c>
      <c r="F5" s="29">
        <f>IFERROR((SUMIFS('AEO25 Table 23'!I:I,'AEO25 Table 23'!$B:$B,"*"&amp;$A5&amp;"*")-SUMIFS('AEO25 Table 23'!H:H,'AEO25 Table 23'!$B:$B,"*"&amp;$A5&amp;"*"))/SUMIFS('AEO25 Table 23'!H:H,'AEO25 Table 23'!$B:$B,"*"&amp;$A5&amp;"*"),"")</f>
        <v>8.3217494051750343E-2</v>
      </c>
      <c r="G5" s="29">
        <f>IFERROR((SUMIFS('AEO25 Table 23'!J:J,'AEO25 Table 23'!$B:$B,"*"&amp;$A5&amp;"*")-SUMIFS('AEO25 Table 23'!I:I,'AEO25 Table 23'!$B:$B,"*"&amp;$A5&amp;"*"))/SUMIFS('AEO25 Table 23'!I:I,'AEO25 Table 23'!$B:$B,"*"&amp;$A5&amp;"*"),"")</f>
        <v>8.9615164498585784E-3</v>
      </c>
      <c r="H5" s="29">
        <f>IFERROR((SUMIFS('AEO25 Table 23'!K:K,'AEO25 Table 23'!$B:$B,"*"&amp;$A5&amp;"*")-SUMIFS('AEO25 Table 23'!J:J,'AEO25 Table 23'!$B:$B,"*"&amp;$A5&amp;"*"))/SUMIFS('AEO25 Table 23'!J:J,'AEO25 Table 23'!$B:$B,"*"&amp;$A5&amp;"*"),"")</f>
        <v>6.947955864818842E-3</v>
      </c>
      <c r="I5" s="29">
        <f>IFERROR((SUMIFS('AEO25 Table 23'!L:L,'AEO25 Table 23'!$B:$B,"*"&amp;$A5&amp;"*")-SUMIFS('AEO25 Table 23'!K:K,'AEO25 Table 23'!$B:$B,"*"&amp;$A5&amp;"*"))/SUMIFS('AEO25 Table 23'!K:K,'AEO25 Table 23'!$B:$B,"*"&amp;$A5&amp;"*"),"")</f>
        <v>1.2318960610435022E-2</v>
      </c>
      <c r="J5" s="29">
        <f>IFERROR((SUMIFS('AEO25 Table 23'!M:M,'AEO25 Table 23'!$B:$B,"*"&amp;$A5&amp;"*")-SUMIFS('AEO25 Table 23'!L:L,'AEO25 Table 23'!$B:$B,"*"&amp;$A5&amp;"*"))/SUMIFS('AEO25 Table 23'!L:L,'AEO25 Table 23'!$B:$B,"*"&amp;$A5&amp;"*"),"")</f>
        <v>9.4529405959808549E-3</v>
      </c>
      <c r="K5" s="29">
        <f>IFERROR((SUMIFS('AEO25 Table 23'!N:N,'AEO25 Table 23'!$B:$B,"*"&amp;$A5&amp;"*")-SUMIFS('AEO25 Table 23'!M:M,'AEO25 Table 23'!$B:$B,"*"&amp;$A5&amp;"*"))/SUMIFS('AEO25 Table 23'!M:M,'AEO25 Table 23'!$B:$B,"*"&amp;$A5&amp;"*"),"")</f>
        <v>8.1655603129958832E-3</v>
      </c>
      <c r="L5" s="29">
        <f>IFERROR((SUMIFS('AEO25 Table 23'!O:O,'AEO25 Table 23'!$B:$B,"*"&amp;$A5&amp;"*")-SUMIFS('AEO25 Table 23'!N:N,'AEO25 Table 23'!$B:$B,"*"&amp;$A5&amp;"*"))/SUMIFS('AEO25 Table 23'!N:N,'AEO25 Table 23'!$B:$B,"*"&amp;$A5&amp;"*"),"")</f>
        <v>-3.9744242248842933E-3</v>
      </c>
      <c r="M5" s="29">
        <f>IFERROR((SUMIFS('AEO25 Table 23'!P:P,'AEO25 Table 23'!$B:$B,"*"&amp;$A5&amp;"*")-SUMIFS('AEO25 Table 23'!O:O,'AEO25 Table 23'!$B:$B,"*"&amp;$A5&amp;"*"))/SUMIFS('AEO25 Table 23'!O:O,'AEO25 Table 23'!$B:$B,"*"&amp;$A5&amp;"*"),"")</f>
        <v>1.0236132296933927E-2</v>
      </c>
      <c r="N5" s="29">
        <f>IFERROR((SUMIFS('AEO25 Table 23'!Q:Q,'AEO25 Table 23'!$B:$B,"*"&amp;$A5&amp;"*")-SUMIFS('AEO25 Table 23'!P:P,'AEO25 Table 23'!$B:$B,"*"&amp;$A5&amp;"*"))/SUMIFS('AEO25 Table 23'!P:P,'AEO25 Table 23'!$B:$B,"*"&amp;$A5&amp;"*"),"")</f>
        <v>2.6372426891379234E-4</v>
      </c>
      <c r="O5" s="29">
        <f>IFERROR((SUMIFS('AEO25 Table 23'!R:R,'AEO25 Table 23'!$B:$B,"*"&amp;$A5&amp;"*")-SUMIFS('AEO25 Table 23'!Q:Q,'AEO25 Table 23'!$B:$B,"*"&amp;$A5&amp;"*"))/SUMIFS('AEO25 Table 23'!Q:Q,'AEO25 Table 23'!$B:$B,"*"&amp;$A5&amp;"*"),"")</f>
        <v>1.062656875674767E-3</v>
      </c>
      <c r="P5" s="29">
        <f>IFERROR((SUMIFS('AEO25 Table 23'!S:S,'AEO25 Table 23'!$B:$B,"*"&amp;$A5&amp;"*")-SUMIFS('AEO25 Table 23'!R:R,'AEO25 Table 23'!$B:$B,"*"&amp;$A5&amp;"*"))/SUMIFS('AEO25 Table 23'!R:R,'AEO25 Table 23'!$B:$B,"*"&amp;$A5&amp;"*"),"")</f>
        <v>-5.1432969529670797E-3</v>
      </c>
      <c r="Q5" s="29">
        <f>IFERROR((SUMIFS('AEO25 Table 23'!T:T,'AEO25 Table 23'!$B:$B,"*"&amp;$A5&amp;"*")-SUMIFS('AEO25 Table 23'!S:S,'AEO25 Table 23'!$B:$B,"*"&amp;$A5&amp;"*"))/SUMIFS('AEO25 Table 23'!S:S,'AEO25 Table 23'!$B:$B,"*"&amp;$A5&amp;"*"),"")</f>
        <v>-7.0006465410182685E-3</v>
      </c>
      <c r="R5" s="29">
        <f>IFERROR((SUMIFS('AEO25 Table 23'!U:U,'AEO25 Table 23'!$B:$B,"*"&amp;$A5&amp;"*")-SUMIFS('AEO25 Table 23'!T:T,'AEO25 Table 23'!$B:$B,"*"&amp;$A5&amp;"*"))/SUMIFS('AEO25 Table 23'!T:T,'AEO25 Table 23'!$B:$B,"*"&amp;$A5&amp;"*"),"")</f>
        <v>-1.0552158623382551E-2</v>
      </c>
      <c r="S5" s="29">
        <f>IFERROR((SUMIFS('AEO25 Table 23'!V:V,'AEO25 Table 23'!$B:$B,"*"&amp;$A5&amp;"*")-SUMIFS('AEO25 Table 23'!U:U,'AEO25 Table 23'!$B:$B,"*"&amp;$A5&amp;"*"))/SUMIFS('AEO25 Table 23'!U:U,'AEO25 Table 23'!$B:$B,"*"&amp;$A5&amp;"*"),"")</f>
        <v>-5.0679703146335724E-3</v>
      </c>
      <c r="T5" s="29">
        <f>IFERROR((SUMIFS('AEO25 Table 23'!W:W,'AEO25 Table 23'!$B:$B,"*"&amp;$A5&amp;"*")-SUMIFS('AEO25 Table 23'!V:V,'AEO25 Table 23'!$B:$B,"*"&amp;$A5&amp;"*"))/SUMIFS('AEO25 Table 23'!V:V,'AEO25 Table 23'!$B:$B,"*"&amp;$A5&amp;"*"),"")</f>
        <v>-6.5453897382729744E-3</v>
      </c>
      <c r="U5" s="29">
        <f>IFERROR((SUMIFS('AEO25 Table 23'!X:X,'AEO25 Table 23'!$B:$B,"*"&amp;$A5&amp;"*")-SUMIFS('AEO25 Table 23'!W:W,'AEO25 Table 23'!$B:$B,"*"&amp;$A5&amp;"*"))/SUMIFS('AEO25 Table 23'!W:W,'AEO25 Table 23'!$B:$B,"*"&amp;$A5&amp;"*"),"")</f>
        <v>2.4425700333596911E-3</v>
      </c>
      <c r="V5" s="29">
        <f>IFERROR((SUMIFS('AEO25 Table 23'!Y:Y,'AEO25 Table 23'!$B:$B,"*"&amp;$A5&amp;"*")-SUMIFS('AEO25 Table 23'!X:X,'AEO25 Table 23'!$B:$B,"*"&amp;$A5&amp;"*"))/SUMIFS('AEO25 Table 23'!X:X,'AEO25 Table 23'!$B:$B,"*"&amp;$A5&amp;"*"),"")</f>
        <v>3.6424539829281264E-3</v>
      </c>
      <c r="W5" s="29">
        <f>IFERROR((SUMIFS('AEO25 Table 23'!Z:Z,'AEO25 Table 23'!$B:$B,"*"&amp;$A5&amp;"*")-SUMIFS('AEO25 Table 23'!Y:Y,'AEO25 Table 23'!$B:$B,"*"&amp;$A5&amp;"*"))/SUMIFS('AEO25 Table 23'!Y:Y,'AEO25 Table 23'!$B:$B,"*"&amp;$A5&amp;"*"),"")</f>
        <v>4.5608602685222772E-3</v>
      </c>
      <c r="X5" s="29">
        <f>IFERROR((SUMIFS('AEO25 Table 23'!AA:AA,'AEO25 Table 23'!$B:$B,"*"&amp;$A5&amp;"*")-SUMIFS('AEO25 Table 23'!Z:Z,'AEO25 Table 23'!$B:$B,"*"&amp;$A5&amp;"*"))/SUMIFS('AEO25 Table 23'!Z:Z,'AEO25 Table 23'!$B:$B,"*"&amp;$A5&amp;"*"),"")</f>
        <v>-1.7349257567413171E-4</v>
      </c>
      <c r="Y5" s="29">
        <f>IFERROR((SUMIFS('AEO25 Table 23'!AB:AB,'AEO25 Table 23'!$B:$B,"*"&amp;$A5&amp;"*")-SUMIFS('AEO25 Table 23'!AA:AA,'AEO25 Table 23'!$B:$B,"*"&amp;$A5&amp;"*"))/SUMIFS('AEO25 Table 23'!AA:AA,'AEO25 Table 23'!$B:$B,"*"&amp;$A5&amp;"*"),"")</f>
        <v>2.3114421862394882E-3</v>
      </c>
      <c r="Z5" s="29">
        <f>IFERROR((SUMIFS('AEO25 Table 23'!AC:AC,'AEO25 Table 23'!$B:$B,"*"&amp;$A5&amp;"*")-SUMIFS('AEO25 Table 23'!AB:AB,'AEO25 Table 23'!$B:$B,"*"&amp;$A5&amp;"*"))/SUMIFS('AEO25 Table 23'!AB:AB,'AEO25 Table 23'!$B:$B,"*"&amp;$A5&amp;"*"),"")</f>
        <v>2.9192140260942026E-3</v>
      </c>
      <c r="AA5" s="29">
        <f>IFERROR((SUMIFS('AEO25 Table 23'!AD:AD,'AEO25 Table 23'!$B:$B,"*"&amp;$A5&amp;"*")-SUMIFS('AEO25 Table 23'!AC:AC,'AEO25 Table 23'!$B:$B,"*"&amp;$A5&amp;"*"))/SUMIFS('AEO25 Table 23'!AC:AC,'AEO25 Table 23'!$B:$B,"*"&amp;$A5&amp;"*"),"")</f>
        <v>7.5347241944612835E-3</v>
      </c>
      <c r="AB5" s="29">
        <f>IFERROR((SUMIFS('AEO25 Table 23'!AE:AE,'AEO25 Table 23'!$B:$B,"*"&amp;$A5&amp;"*")-SUMIFS('AEO25 Table 23'!AD:AD,'AEO25 Table 23'!$B:$B,"*"&amp;$A5&amp;"*"))/SUMIFS('AEO25 Table 23'!AD:AD,'AEO25 Table 23'!$B:$B,"*"&amp;$A5&amp;"*"),"")</f>
        <v>9.4471865877715727E-4</v>
      </c>
      <c r="AC5" s="29">
        <f>IFERROR((SUMIFS('AEO25 Table 23'!AF:AF,'AEO25 Table 23'!$B:$B,"*"&amp;$A5&amp;"*")-SUMIFS('AEO25 Table 23'!AE:AE,'AEO25 Table 23'!$B:$B,"*"&amp;$A5&amp;"*"))/SUMIFS('AEO25 Table 23'!AE:AE,'AEO25 Table 23'!$B:$B,"*"&amp;$A5&amp;"*"),"")</f>
        <v>-5.058260303962733E-4</v>
      </c>
      <c r="AD5" s="29">
        <f>IFERROR((SUMIFS('AEO25 Table 23'!AG:AG,'AEO25 Table 23'!$B:$B,"*"&amp;$A5&amp;"*")-SUMIFS('AEO25 Table 23'!AF:AF,'AEO25 Table 23'!$B:$B,"*"&amp;$A5&amp;"*"))/SUMIFS('AEO25 Table 23'!AF:AF,'AEO25 Table 23'!$B:$B,"*"&amp;$A5&amp;"*"),"")</f>
        <v>2.527188569890048E-3</v>
      </c>
      <c r="AE5" s="29">
        <f>IFERROR((SUMIFS('AEO25 Table 23'!AH:AH,'AEO25 Table 23'!$B:$B,"*"&amp;$A5&amp;"*")-SUMIFS('AEO25 Table 23'!AG:AG,'AEO25 Table 23'!$B:$B,"*"&amp;$A5&amp;"*"))/SUMIFS('AEO25 Table 23'!AG:AG,'AEO25 Table 23'!$B:$B,"*"&amp;$A5&amp;"*"),"")</f>
        <v>3.1119823794029076E-3</v>
      </c>
    </row>
    <row r="6" spans="1:35" x14ac:dyDescent="0.25">
      <c r="A6" s="25" t="s">
        <v>37</v>
      </c>
      <c r="B6" s="13" cm="1">
        <f t="array" ref="B6">IFERROR(SUMPRODUCT(--('BLS Table 2.11'!L:L=$A6),'BLS Table 2.11'!J:J,'BLS Table 2.11'!K:K)/SUMIFS('BLS Table 2.11'!J:J,'BLS Table 2.11'!L:L,$A6)/100,SUMPRODUCT(--('BLS Table 2.11'!M:M=$A6),'BLS Table 2.11'!J:J,'BLS Table 2.11'!K:K)/SUMIFS('BLS Table 2.11'!J:J,'BLS Table 2.11'!M:M,$A6)/100)</f>
        <v>1.6E-2</v>
      </c>
      <c r="E6" s="1" t="s">
        <v>37</v>
      </c>
      <c r="F6" s="29">
        <f>IFERROR((SUMIFS('AEO25 Table 23'!I:I,'AEO25 Table 23'!$B:$B,"*"&amp;$A6&amp;"*")-SUMIFS('AEO25 Table 23'!H:H,'AEO25 Table 23'!$B:$B,"*"&amp;$A6&amp;"*"))/SUMIFS('AEO25 Table 23'!H:H,'AEO25 Table 23'!$B:$B,"*"&amp;$A6&amp;"*"),"")</f>
        <v>8.3217494051750343E-2</v>
      </c>
      <c r="G6" s="29">
        <f>IFERROR((SUMIFS('AEO25 Table 23'!J:J,'AEO25 Table 23'!$B:$B,"*"&amp;$A6&amp;"*")-SUMIFS('AEO25 Table 23'!I:I,'AEO25 Table 23'!$B:$B,"*"&amp;$A6&amp;"*"))/SUMIFS('AEO25 Table 23'!I:I,'AEO25 Table 23'!$B:$B,"*"&amp;$A6&amp;"*"),"")</f>
        <v>8.9615164498585784E-3</v>
      </c>
      <c r="H6" s="29">
        <f>IFERROR((SUMIFS('AEO25 Table 23'!K:K,'AEO25 Table 23'!$B:$B,"*"&amp;$A6&amp;"*")-SUMIFS('AEO25 Table 23'!J:J,'AEO25 Table 23'!$B:$B,"*"&amp;$A6&amp;"*"))/SUMIFS('AEO25 Table 23'!J:J,'AEO25 Table 23'!$B:$B,"*"&amp;$A6&amp;"*"),"")</f>
        <v>6.947955864818842E-3</v>
      </c>
      <c r="I6" s="29">
        <f>IFERROR((SUMIFS('AEO25 Table 23'!L:L,'AEO25 Table 23'!$B:$B,"*"&amp;$A6&amp;"*")-SUMIFS('AEO25 Table 23'!K:K,'AEO25 Table 23'!$B:$B,"*"&amp;$A6&amp;"*"))/SUMIFS('AEO25 Table 23'!K:K,'AEO25 Table 23'!$B:$B,"*"&amp;$A6&amp;"*"),"")</f>
        <v>1.2318960610435022E-2</v>
      </c>
      <c r="J6" s="29">
        <f>IFERROR((SUMIFS('AEO25 Table 23'!M:M,'AEO25 Table 23'!$B:$B,"*"&amp;$A6&amp;"*")-SUMIFS('AEO25 Table 23'!L:L,'AEO25 Table 23'!$B:$B,"*"&amp;$A6&amp;"*"))/SUMIFS('AEO25 Table 23'!L:L,'AEO25 Table 23'!$B:$B,"*"&amp;$A6&amp;"*"),"")</f>
        <v>9.4529405959808549E-3</v>
      </c>
      <c r="K6" s="29">
        <f>IFERROR((SUMIFS('AEO25 Table 23'!N:N,'AEO25 Table 23'!$B:$B,"*"&amp;$A6&amp;"*")-SUMIFS('AEO25 Table 23'!M:M,'AEO25 Table 23'!$B:$B,"*"&amp;$A6&amp;"*"))/SUMIFS('AEO25 Table 23'!M:M,'AEO25 Table 23'!$B:$B,"*"&amp;$A6&amp;"*"),"")</f>
        <v>8.1655603129958832E-3</v>
      </c>
      <c r="L6" s="29">
        <f>IFERROR((SUMIFS('AEO25 Table 23'!O:O,'AEO25 Table 23'!$B:$B,"*"&amp;$A6&amp;"*")-SUMIFS('AEO25 Table 23'!N:N,'AEO25 Table 23'!$B:$B,"*"&amp;$A6&amp;"*"))/SUMIFS('AEO25 Table 23'!N:N,'AEO25 Table 23'!$B:$B,"*"&amp;$A6&amp;"*"),"")</f>
        <v>-3.9744242248842933E-3</v>
      </c>
      <c r="M6" s="29">
        <f>IFERROR((SUMIFS('AEO25 Table 23'!P:P,'AEO25 Table 23'!$B:$B,"*"&amp;$A6&amp;"*")-SUMIFS('AEO25 Table 23'!O:O,'AEO25 Table 23'!$B:$B,"*"&amp;$A6&amp;"*"))/SUMIFS('AEO25 Table 23'!O:O,'AEO25 Table 23'!$B:$B,"*"&amp;$A6&amp;"*"),"")</f>
        <v>1.0236132296933927E-2</v>
      </c>
      <c r="N6" s="29">
        <f>IFERROR((SUMIFS('AEO25 Table 23'!Q:Q,'AEO25 Table 23'!$B:$B,"*"&amp;$A6&amp;"*")-SUMIFS('AEO25 Table 23'!P:P,'AEO25 Table 23'!$B:$B,"*"&amp;$A6&amp;"*"))/SUMIFS('AEO25 Table 23'!P:P,'AEO25 Table 23'!$B:$B,"*"&amp;$A6&amp;"*"),"")</f>
        <v>2.6372426891379234E-4</v>
      </c>
      <c r="O6" s="29">
        <f>IFERROR((SUMIFS('AEO25 Table 23'!R:R,'AEO25 Table 23'!$B:$B,"*"&amp;$A6&amp;"*")-SUMIFS('AEO25 Table 23'!Q:Q,'AEO25 Table 23'!$B:$B,"*"&amp;$A6&amp;"*"))/SUMIFS('AEO25 Table 23'!Q:Q,'AEO25 Table 23'!$B:$B,"*"&amp;$A6&amp;"*"),"")</f>
        <v>1.062656875674767E-3</v>
      </c>
      <c r="P6" s="29">
        <f>IFERROR((SUMIFS('AEO25 Table 23'!S:S,'AEO25 Table 23'!$B:$B,"*"&amp;$A6&amp;"*")-SUMIFS('AEO25 Table 23'!R:R,'AEO25 Table 23'!$B:$B,"*"&amp;$A6&amp;"*"))/SUMIFS('AEO25 Table 23'!R:R,'AEO25 Table 23'!$B:$B,"*"&amp;$A6&amp;"*"),"")</f>
        <v>-5.1432969529670797E-3</v>
      </c>
      <c r="Q6" s="29">
        <f>IFERROR((SUMIFS('AEO25 Table 23'!T:T,'AEO25 Table 23'!$B:$B,"*"&amp;$A6&amp;"*")-SUMIFS('AEO25 Table 23'!S:S,'AEO25 Table 23'!$B:$B,"*"&amp;$A6&amp;"*"))/SUMIFS('AEO25 Table 23'!S:S,'AEO25 Table 23'!$B:$B,"*"&amp;$A6&amp;"*"),"")</f>
        <v>-7.0006465410182685E-3</v>
      </c>
      <c r="R6" s="29">
        <f>IFERROR((SUMIFS('AEO25 Table 23'!U:U,'AEO25 Table 23'!$B:$B,"*"&amp;$A6&amp;"*")-SUMIFS('AEO25 Table 23'!T:T,'AEO25 Table 23'!$B:$B,"*"&amp;$A6&amp;"*"))/SUMIFS('AEO25 Table 23'!T:T,'AEO25 Table 23'!$B:$B,"*"&amp;$A6&amp;"*"),"")</f>
        <v>-1.0552158623382551E-2</v>
      </c>
      <c r="S6" s="29">
        <f>IFERROR((SUMIFS('AEO25 Table 23'!V:V,'AEO25 Table 23'!$B:$B,"*"&amp;$A6&amp;"*")-SUMIFS('AEO25 Table 23'!U:U,'AEO25 Table 23'!$B:$B,"*"&amp;$A6&amp;"*"))/SUMIFS('AEO25 Table 23'!U:U,'AEO25 Table 23'!$B:$B,"*"&amp;$A6&amp;"*"),"")</f>
        <v>-5.0679703146335724E-3</v>
      </c>
      <c r="T6" s="29">
        <f>IFERROR((SUMIFS('AEO25 Table 23'!W:W,'AEO25 Table 23'!$B:$B,"*"&amp;$A6&amp;"*")-SUMIFS('AEO25 Table 23'!V:V,'AEO25 Table 23'!$B:$B,"*"&amp;$A6&amp;"*"))/SUMIFS('AEO25 Table 23'!V:V,'AEO25 Table 23'!$B:$B,"*"&amp;$A6&amp;"*"),"")</f>
        <v>-6.5453897382729744E-3</v>
      </c>
      <c r="U6" s="29">
        <f>IFERROR((SUMIFS('AEO25 Table 23'!X:X,'AEO25 Table 23'!$B:$B,"*"&amp;$A6&amp;"*")-SUMIFS('AEO25 Table 23'!W:W,'AEO25 Table 23'!$B:$B,"*"&amp;$A6&amp;"*"))/SUMIFS('AEO25 Table 23'!W:W,'AEO25 Table 23'!$B:$B,"*"&amp;$A6&amp;"*"),"")</f>
        <v>2.4425700333596911E-3</v>
      </c>
      <c r="V6" s="29">
        <f>IFERROR((SUMIFS('AEO25 Table 23'!Y:Y,'AEO25 Table 23'!$B:$B,"*"&amp;$A6&amp;"*")-SUMIFS('AEO25 Table 23'!X:X,'AEO25 Table 23'!$B:$B,"*"&amp;$A6&amp;"*"))/SUMIFS('AEO25 Table 23'!X:X,'AEO25 Table 23'!$B:$B,"*"&amp;$A6&amp;"*"),"")</f>
        <v>3.6424539829281264E-3</v>
      </c>
      <c r="W6" s="29">
        <f>IFERROR((SUMIFS('AEO25 Table 23'!Z:Z,'AEO25 Table 23'!$B:$B,"*"&amp;$A6&amp;"*")-SUMIFS('AEO25 Table 23'!Y:Y,'AEO25 Table 23'!$B:$B,"*"&amp;$A6&amp;"*"))/SUMIFS('AEO25 Table 23'!Y:Y,'AEO25 Table 23'!$B:$B,"*"&amp;$A6&amp;"*"),"")</f>
        <v>4.5608602685222772E-3</v>
      </c>
      <c r="X6" s="29">
        <f>IFERROR((SUMIFS('AEO25 Table 23'!AA:AA,'AEO25 Table 23'!$B:$B,"*"&amp;$A6&amp;"*")-SUMIFS('AEO25 Table 23'!Z:Z,'AEO25 Table 23'!$B:$B,"*"&amp;$A6&amp;"*"))/SUMIFS('AEO25 Table 23'!Z:Z,'AEO25 Table 23'!$B:$B,"*"&amp;$A6&amp;"*"),"")</f>
        <v>-1.7349257567413171E-4</v>
      </c>
      <c r="Y6" s="29">
        <f>IFERROR((SUMIFS('AEO25 Table 23'!AB:AB,'AEO25 Table 23'!$B:$B,"*"&amp;$A6&amp;"*")-SUMIFS('AEO25 Table 23'!AA:AA,'AEO25 Table 23'!$B:$B,"*"&amp;$A6&amp;"*"))/SUMIFS('AEO25 Table 23'!AA:AA,'AEO25 Table 23'!$B:$B,"*"&amp;$A6&amp;"*"),"")</f>
        <v>2.3114421862394882E-3</v>
      </c>
      <c r="Z6" s="29">
        <f>IFERROR((SUMIFS('AEO25 Table 23'!AC:AC,'AEO25 Table 23'!$B:$B,"*"&amp;$A6&amp;"*")-SUMIFS('AEO25 Table 23'!AB:AB,'AEO25 Table 23'!$B:$B,"*"&amp;$A6&amp;"*"))/SUMIFS('AEO25 Table 23'!AB:AB,'AEO25 Table 23'!$B:$B,"*"&amp;$A6&amp;"*"),"")</f>
        <v>2.9192140260942026E-3</v>
      </c>
      <c r="AA6" s="29">
        <f>IFERROR((SUMIFS('AEO25 Table 23'!AD:AD,'AEO25 Table 23'!$B:$B,"*"&amp;$A6&amp;"*")-SUMIFS('AEO25 Table 23'!AC:AC,'AEO25 Table 23'!$B:$B,"*"&amp;$A6&amp;"*"))/SUMIFS('AEO25 Table 23'!AC:AC,'AEO25 Table 23'!$B:$B,"*"&amp;$A6&amp;"*"),"")</f>
        <v>7.5347241944612835E-3</v>
      </c>
      <c r="AB6" s="29">
        <f>IFERROR((SUMIFS('AEO25 Table 23'!AE:AE,'AEO25 Table 23'!$B:$B,"*"&amp;$A6&amp;"*")-SUMIFS('AEO25 Table 23'!AD:AD,'AEO25 Table 23'!$B:$B,"*"&amp;$A6&amp;"*"))/SUMIFS('AEO25 Table 23'!AD:AD,'AEO25 Table 23'!$B:$B,"*"&amp;$A6&amp;"*"),"")</f>
        <v>9.4471865877715727E-4</v>
      </c>
      <c r="AC6" s="29">
        <f>IFERROR((SUMIFS('AEO25 Table 23'!AF:AF,'AEO25 Table 23'!$B:$B,"*"&amp;$A6&amp;"*")-SUMIFS('AEO25 Table 23'!AE:AE,'AEO25 Table 23'!$B:$B,"*"&amp;$A6&amp;"*"))/SUMIFS('AEO25 Table 23'!AE:AE,'AEO25 Table 23'!$B:$B,"*"&amp;$A6&amp;"*"),"")</f>
        <v>-5.058260303962733E-4</v>
      </c>
      <c r="AD6" s="29">
        <f>IFERROR((SUMIFS('AEO25 Table 23'!AG:AG,'AEO25 Table 23'!$B:$B,"*"&amp;$A6&amp;"*")-SUMIFS('AEO25 Table 23'!AF:AF,'AEO25 Table 23'!$B:$B,"*"&amp;$A6&amp;"*"))/SUMIFS('AEO25 Table 23'!AF:AF,'AEO25 Table 23'!$B:$B,"*"&amp;$A6&amp;"*"),"")</f>
        <v>2.527188569890048E-3</v>
      </c>
      <c r="AE6" s="29">
        <f>IFERROR((SUMIFS('AEO25 Table 23'!AH:AH,'AEO25 Table 23'!$B:$B,"*"&amp;$A6&amp;"*")-SUMIFS('AEO25 Table 23'!AG:AG,'AEO25 Table 23'!$B:$B,"*"&amp;$A6&amp;"*"))/SUMIFS('AEO25 Table 23'!AG:AG,'AEO25 Table 23'!$B:$B,"*"&amp;$A6&amp;"*"),"")</f>
        <v>3.1119823794029076E-3</v>
      </c>
    </row>
    <row r="7" spans="1:35" x14ac:dyDescent="0.25">
      <c r="A7" s="25" t="s">
        <v>3</v>
      </c>
      <c r="B7" s="13" cm="1">
        <f t="array" ref="B7">IFERROR(SUMPRODUCT(--('BLS Table 2.11'!L:L=$A7),'BLS Table 2.11'!J:J,'BLS Table 2.11'!K:K)/SUMIFS('BLS Table 2.11'!J:J,'BLS Table 2.11'!L:L,$A7)/100,SUMPRODUCT(--('BLS Table 2.11'!M:M=$A7),'BLS Table 2.11'!J:J,'BLS Table 2.11'!K:K)/SUMIFS('BLS Table 2.11'!J:J,'BLS Table 2.11'!M:M,$A7)/100)</f>
        <v>1.8253333333333333E-2</v>
      </c>
      <c r="E7" s="1" t="s">
        <v>3</v>
      </c>
      <c r="F7" s="29">
        <f>IFERROR((SUMIFS('AEO25 Table 23'!I:I,'AEO25 Table 23'!$B:$B,"*"&amp;$A7&amp;"*")-SUMIFS('AEO25 Table 23'!H:H,'AEO25 Table 23'!$B:$B,"*"&amp;$A7&amp;"*"))/SUMIFS('AEO25 Table 23'!H:H,'AEO25 Table 23'!$B:$B,"*"&amp;$A7&amp;"*"),"")</f>
        <v>8.3217494051750343E-2</v>
      </c>
      <c r="G7" s="29">
        <f>IFERROR((SUMIFS('AEO25 Table 23'!J:J,'AEO25 Table 23'!$B:$B,"*"&amp;$A7&amp;"*")-SUMIFS('AEO25 Table 23'!I:I,'AEO25 Table 23'!$B:$B,"*"&amp;$A7&amp;"*"))/SUMIFS('AEO25 Table 23'!I:I,'AEO25 Table 23'!$B:$B,"*"&amp;$A7&amp;"*"),"")</f>
        <v>8.9615164498585784E-3</v>
      </c>
      <c r="H7" s="29">
        <f>IFERROR((SUMIFS('AEO25 Table 23'!K:K,'AEO25 Table 23'!$B:$B,"*"&amp;$A7&amp;"*")-SUMIFS('AEO25 Table 23'!J:J,'AEO25 Table 23'!$B:$B,"*"&amp;$A7&amp;"*"))/SUMIFS('AEO25 Table 23'!J:J,'AEO25 Table 23'!$B:$B,"*"&amp;$A7&amp;"*"),"")</f>
        <v>6.947955864818842E-3</v>
      </c>
      <c r="I7" s="29">
        <f>IFERROR((SUMIFS('AEO25 Table 23'!L:L,'AEO25 Table 23'!$B:$B,"*"&amp;$A7&amp;"*")-SUMIFS('AEO25 Table 23'!K:K,'AEO25 Table 23'!$B:$B,"*"&amp;$A7&amp;"*"))/SUMIFS('AEO25 Table 23'!K:K,'AEO25 Table 23'!$B:$B,"*"&amp;$A7&amp;"*"),"")</f>
        <v>1.2318960610435022E-2</v>
      </c>
      <c r="J7" s="29">
        <f>IFERROR((SUMIFS('AEO25 Table 23'!M:M,'AEO25 Table 23'!$B:$B,"*"&amp;$A7&amp;"*")-SUMIFS('AEO25 Table 23'!L:L,'AEO25 Table 23'!$B:$B,"*"&amp;$A7&amp;"*"))/SUMIFS('AEO25 Table 23'!L:L,'AEO25 Table 23'!$B:$B,"*"&amp;$A7&amp;"*"),"")</f>
        <v>9.4529405959808549E-3</v>
      </c>
      <c r="K7" s="29">
        <f>IFERROR((SUMIFS('AEO25 Table 23'!N:N,'AEO25 Table 23'!$B:$B,"*"&amp;$A7&amp;"*")-SUMIFS('AEO25 Table 23'!M:M,'AEO25 Table 23'!$B:$B,"*"&amp;$A7&amp;"*"))/SUMIFS('AEO25 Table 23'!M:M,'AEO25 Table 23'!$B:$B,"*"&amp;$A7&amp;"*"),"")</f>
        <v>8.1655603129958832E-3</v>
      </c>
      <c r="L7" s="29">
        <f>IFERROR((SUMIFS('AEO25 Table 23'!O:O,'AEO25 Table 23'!$B:$B,"*"&amp;$A7&amp;"*")-SUMIFS('AEO25 Table 23'!N:N,'AEO25 Table 23'!$B:$B,"*"&amp;$A7&amp;"*"))/SUMIFS('AEO25 Table 23'!N:N,'AEO25 Table 23'!$B:$B,"*"&amp;$A7&amp;"*"),"")</f>
        <v>-3.9744242248842933E-3</v>
      </c>
      <c r="M7" s="29">
        <f>IFERROR((SUMIFS('AEO25 Table 23'!P:P,'AEO25 Table 23'!$B:$B,"*"&amp;$A7&amp;"*")-SUMIFS('AEO25 Table 23'!O:O,'AEO25 Table 23'!$B:$B,"*"&amp;$A7&amp;"*"))/SUMIFS('AEO25 Table 23'!O:O,'AEO25 Table 23'!$B:$B,"*"&amp;$A7&amp;"*"),"")</f>
        <v>1.0236132296933927E-2</v>
      </c>
      <c r="N7" s="29">
        <f>IFERROR((SUMIFS('AEO25 Table 23'!Q:Q,'AEO25 Table 23'!$B:$B,"*"&amp;$A7&amp;"*")-SUMIFS('AEO25 Table 23'!P:P,'AEO25 Table 23'!$B:$B,"*"&amp;$A7&amp;"*"))/SUMIFS('AEO25 Table 23'!P:P,'AEO25 Table 23'!$B:$B,"*"&amp;$A7&amp;"*"),"")</f>
        <v>2.6372426891379234E-4</v>
      </c>
      <c r="O7" s="29">
        <f>IFERROR((SUMIFS('AEO25 Table 23'!R:R,'AEO25 Table 23'!$B:$B,"*"&amp;$A7&amp;"*")-SUMIFS('AEO25 Table 23'!Q:Q,'AEO25 Table 23'!$B:$B,"*"&amp;$A7&amp;"*"))/SUMIFS('AEO25 Table 23'!Q:Q,'AEO25 Table 23'!$B:$B,"*"&amp;$A7&amp;"*"),"")</f>
        <v>1.062656875674767E-3</v>
      </c>
      <c r="P7" s="29">
        <f>IFERROR((SUMIFS('AEO25 Table 23'!S:S,'AEO25 Table 23'!$B:$B,"*"&amp;$A7&amp;"*")-SUMIFS('AEO25 Table 23'!R:R,'AEO25 Table 23'!$B:$B,"*"&amp;$A7&amp;"*"))/SUMIFS('AEO25 Table 23'!R:R,'AEO25 Table 23'!$B:$B,"*"&amp;$A7&amp;"*"),"")</f>
        <v>-5.1432969529670797E-3</v>
      </c>
      <c r="Q7" s="29">
        <f>IFERROR((SUMIFS('AEO25 Table 23'!T:T,'AEO25 Table 23'!$B:$B,"*"&amp;$A7&amp;"*")-SUMIFS('AEO25 Table 23'!S:S,'AEO25 Table 23'!$B:$B,"*"&amp;$A7&amp;"*"))/SUMIFS('AEO25 Table 23'!S:S,'AEO25 Table 23'!$B:$B,"*"&amp;$A7&amp;"*"),"")</f>
        <v>-7.0006465410182685E-3</v>
      </c>
      <c r="R7" s="29">
        <f>IFERROR((SUMIFS('AEO25 Table 23'!U:U,'AEO25 Table 23'!$B:$B,"*"&amp;$A7&amp;"*")-SUMIFS('AEO25 Table 23'!T:T,'AEO25 Table 23'!$B:$B,"*"&amp;$A7&amp;"*"))/SUMIFS('AEO25 Table 23'!T:T,'AEO25 Table 23'!$B:$B,"*"&amp;$A7&amp;"*"),"")</f>
        <v>-1.0552158623382551E-2</v>
      </c>
      <c r="S7" s="29">
        <f>IFERROR((SUMIFS('AEO25 Table 23'!V:V,'AEO25 Table 23'!$B:$B,"*"&amp;$A7&amp;"*")-SUMIFS('AEO25 Table 23'!U:U,'AEO25 Table 23'!$B:$B,"*"&amp;$A7&amp;"*"))/SUMIFS('AEO25 Table 23'!U:U,'AEO25 Table 23'!$B:$B,"*"&amp;$A7&amp;"*"),"")</f>
        <v>-5.0679703146335724E-3</v>
      </c>
      <c r="T7" s="29">
        <f>IFERROR((SUMIFS('AEO25 Table 23'!W:W,'AEO25 Table 23'!$B:$B,"*"&amp;$A7&amp;"*")-SUMIFS('AEO25 Table 23'!V:V,'AEO25 Table 23'!$B:$B,"*"&amp;$A7&amp;"*"))/SUMIFS('AEO25 Table 23'!V:V,'AEO25 Table 23'!$B:$B,"*"&amp;$A7&amp;"*"),"")</f>
        <v>-6.5453897382729744E-3</v>
      </c>
      <c r="U7" s="29">
        <f>IFERROR((SUMIFS('AEO25 Table 23'!X:X,'AEO25 Table 23'!$B:$B,"*"&amp;$A7&amp;"*")-SUMIFS('AEO25 Table 23'!W:W,'AEO25 Table 23'!$B:$B,"*"&amp;$A7&amp;"*"))/SUMIFS('AEO25 Table 23'!W:W,'AEO25 Table 23'!$B:$B,"*"&amp;$A7&amp;"*"),"")</f>
        <v>2.4425700333596911E-3</v>
      </c>
      <c r="V7" s="29">
        <f>IFERROR((SUMIFS('AEO25 Table 23'!Y:Y,'AEO25 Table 23'!$B:$B,"*"&amp;$A7&amp;"*")-SUMIFS('AEO25 Table 23'!X:X,'AEO25 Table 23'!$B:$B,"*"&amp;$A7&amp;"*"))/SUMIFS('AEO25 Table 23'!X:X,'AEO25 Table 23'!$B:$B,"*"&amp;$A7&amp;"*"),"")</f>
        <v>3.6424539829281264E-3</v>
      </c>
      <c r="W7" s="29">
        <f>IFERROR((SUMIFS('AEO25 Table 23'!Z:Z,'AEO25 Table 23'!$B:$B,"*"&amp;$A7&amp;"*")-SUMIFS('AEO25 Table 23'!Y:Y,'AEO25 Table 23'!$B:$B,"*"&amp;$A7&amp;"*"))/SUMIFS('AEO25 Table 23'!Y:Y,'AEO25 Table 23'!$B:$B,"*"&amp;$A7&amp;"*"),"")</f>
        <v>4.5608602685222772E-3</v>
      </c>
      <c r="X7" s="29">
        <f>IFERROR((SUMIFS('AEO25 Table 23'!AA:AA,'AEO25 Table 23'!$B:$B,"*"&amp;$A7&amp;"*")-SUMIFS('AEO25 Table 23'!Z:Z,'AEO25 Table 23'!$B:$B,"*"&amp;$A7&amp;"*"))/SUMIFS('AEO25 Table 23'!Z:Z,'AEO25 Table 23'!$B:$B,"*"&amp;$A7&amp;"*"),"")</f>
        <v>-1.7349257567413171E-4</v>
      </c>
      <c r="Y7" s="29">
        <f>IFERROR((SUMIFS('AEO25 Table 23'!AB:AB,'AEO25 Table 23'!$B:$B,"*"&amp;$A7&amp;"*")-SUMIFS('AEO25 Table 23'!AA:AA,'AEO25 Table 23'!$B:$B,"*"&amp;$A7&amp;"*"))/SUMIFS('AEO25 Table 23'!AA:AA,'AEO25 Table 23'!$B:$B,"*"&amp;$A7&amp;"*"),"")</f>
        <v>2.3114421862394882E-3</v>
      </c>
      <c r="Z7" s="29">
        <f>IFERROR((SUMIFS('AEO25 Table 23'!AC:AC,'AEO25 Table 23'!$B:$B,"*"&amp;$A7&amp;"*")-SUMIFS('AEO25 Table 23'!AB:AB,'AEO25 Table 23'!$B:$B,"*"&amp;$A7&amp;"*"))/SUMIFS('AEO25 Table 23'!AB:AB,'AEO25 Table 23'!$B:$B,"*"&amp;$A7&amp;"*"),"")</f>
        <v>2.9192140260942026E-3</v>
      </c>
      <c r="AA7" s="29">
        <f>IFERROR((SUMIFS('AEO25 Table 23'!AD:AD,'AEO25 Table 23'!$B:$B,"*"&amp;$A7&amp;"*")-SUMIFS('AEO25 Table 23'!AC:AC,'AEO25 Table 23'!$B:$B,"*"&amp;$A7&amp;"*"))/SUMIFS('AEO25 Table 23'!AC:AC,'AEO25 Table 23'!$B:$B,"*"&amp;$A7&amp;"*"),"")</f>
        <v>7.5347241944612835E-3</v>
      </c>
      <c r="AB7" s="29">
        <f>IFERROR((SUMIFS('AEO25 Table 23'!AE:AE,'AEO25 Table 23'!$B:$B,"*"&amp;$A7&amp;"*")-SUMIFS('AEO25 Table 23'!AD:AD,'AEO25 Table 23'!$B:$B,"*"&amp;$A7&amp;"*"))/SUMIFS('AEO25 Table 23'!AD:AD,'AEO25 Table 23'!$B:$B,"*"&amp;$A7&amp;"*"),"")</f>
        <v>9.4471865877715727E-4</v>
      </c>
      <c r="AC7" s="29">
        <f>IFERROR((SUMIFS('AEO25 Table 23'!AF:AF,'AEO25 Table 23'!$B:$B,"*"&amp;$A7&amp;"*")-SUMIFS('AEO25 Table 23'!AE:AE,'AEO25 Table 23'!$B:$B,"*"&amp;$A7&amp;"*"))/SUMIFS('AEO25 Table 23'!AE:AE,'AEO25 Table 23'!$B:$B,"*"&amp;$A7&amp;"*"),"")</f>
        <v>-5.058260303962733E-4</v>
      </c>
      <c r="AD7" s="29">
        <f>IFERROR((SUMIFS('AEO25 Table 23'!AG:AG,'AEO25 Table 23'!$B:$B,"*"&amp;$A7&amp;"*")-SUMIFS('AEO25 Table 23'!AF:AF,'AEO25 Table 23'!$B:$B,"*"&amp;$A7&amp;"*"))/SUMIFS('AEO25 Table 23'!AF:AF,'AEO25 Table 23'!$B:$B,"*"&amp;$A7&amp;"*"),"")</f>
        <v>2.527188569890048E-3</v>
      </c>
      <c r="AE7" s="29">
        <f>IFERROR((SUMIFS('AEO25 Table 23'!AH:AH,'AEO25 Table 23'!$B:$B,"*"&amp;$A7&amp;"*")-SUMIFS('AEO25 Table 23'!AG:AG,'AEO25 Table 23'!$B:$B,"*"&amp;$A7&amp;"*"))/SUMIFS('AEO25 Table 23'!AG:AG,'AEO25 Table 23'!$B:$B,"*"&amp;$A7&amp;"*"),"")</f>
        <v>3.1119823794029076E-3</v>
      </c>
    </row>
    <row r="8" spans="1:35" x14ac:dyDescent="0.25">
      <c r="A8" s="1" t="s">
        <v>4</v>
      </c>
      <c r="B8" s="13" cm="1">
        <f t="array" ref="B8">IFERROR(SUMPRODUCT(--('BLS Table 2.11'!L:L=$A8),'BLS Table 2.11'!J:J,'BLS Table 2.11'!K:K)/SUMIFS('BLS Table 2.11'!J:J,'BLS Table 2.11'!L:L,$A8)/100,SUMPRODUCT(--('BLS Table 2.11'!M:M=$A8),'BLS Table 2.11'!J:J,'BLS Table 2.11'!K:K)/SUMIFS('BLS Table 2.11'!J:J,'BLS Table 2.11'!M:M,$A8)/100)</f>
        <v>-5.0000000000000001E-3</v>
      </c>
      <c r="E8" s="1" t="s">
        <v>4</v>
      </c>
      <c r="F8" s="29" t="str">
        <f>IFERROR((SUMIFS('AEO25 Table 23'!I:I,'AEO25 Table 23'!$B:$B,"*"&amp;$A8&amp;"*")-SUMIFS('AEO25 Table 23'!H:H,'AEO25 Table 23'!$B:$B,"*"&amp;$A8&amp;"*"))/SUMIFS('AEO25 Table 23'!H:H,'AEO25 Table 23'!$B:$B,"*"&amp;$A8&amp;"*"),"")</f>
        <v/>
      </c>
      <c r="G8" s="29" t="str">
        <f>IFERROR((SUMIFS('AEO25 Table 23'!J:J,'AEO25 Table 23'!$B:$B,"*"&amp;$A8&amp;"*")-SUMIFS('AEO25 Table 23'!I:I,'AEO25 Table 23'!$B:$B,"*"&amp;$A8&amp;"*"))/SUMIFS('AEO25 Table 23'!I:I,'AEO25 Table 23'!$B:$B,"*"&amp;$A8&amp;"*"),"")</f>
        <v/>
      </c>
      <c r="H8" s="29" t="str">
        <f>IFERROR((SUMIFS('AEO25 Table 23'!K:K,'AEO25 Table 23'!$B:$B,"*"&amp;$A8&amp;"*")-SUMIFS('AEO25 Table 23'!J:J,'AEO25 Table 23'!$B:$B,"*"&amp;$A8&amp;"*"))/SUMIFS('AEO25 Table 23'!J:J,'AEO25 Table 23'!$B:$B,"*"&amp;$A8&amp;"*"),"")</f>
        <v/>
      </c>
      <c r="I8" s="29" t="str">
        <f>IFERROR((SUMIFS('AEO25 Table 23'!L:L,'AEO25 Table 23'!$B:$B,"*"&amp;$A8&amp;"*")-SUMIFS('AEO25 Table 23'!K:K,'AEO25 Table 23'!$B:$B,"*"&amp;$A8&amp;"*"))/SUMIFS('AEO25 Table 23'!K:K,'AEO25 Table 23'!$B:$B,"*"&amp;$A8&amp;"*"),"")</f>
        <v/>
      </c>
      <c r="J8" s="29" t="str">
        <f>IFERROR((SUMIFS('AEO25 Table 23'!M:M,'AEO25 Table 23'!$B:$B,"*"&amp;$A8&amp;"*")-SUMIFS('AEO25 Table 23'!L:L,'AEO25 Table 23'!$B:$B,"*"&amp;$A8&amp;"*"))/SUMIFS('AEO25 Table 23'!L:L,'AEO25 Table 23'!$B:$B,"*"&amp;$A8&amp;"*"),"")</f>
        <v/>
      </c>
      <c r="K8" s="29" t="str">
        <f>IFERROR((SUMIFS('AEO25 Table 23'!N:N,'AEO25 Table 23'!$B:$B,"*"&amp;$A8&amp;"*")-SUMIFS('AEO25 Table 23'!M:M,'AEO25 Table 23'!$B:$B,"*"&amp;$A8&amp;"*"))/SUMIFS('AEO25 Table 23'!M:M,'AEO25 Table 23'!$B:$B,"*"&amp;$A8&amp;"*"),"")</f>
        <v/>
      </c>
      <c r="L8" s="29" t="str">
        <f>IFERROR((SUMIFS('AEO25 Table 23'!O:O,'AEO25 Table 23'!$B:$B,"*"&amp;$A8&amp;"*")-SUMIFS('AEO25 Table 23'!N:N,'AEO25 Table 23'!$B:$B,"*"&amp;$A8&amp;"*"))/SUMIFS('AEO25 Table 23'!N:N,'AEO25 Table 23'!$B:$B,"*"&amp;$A8&amp;"*"),"")</f>
        <v/>
      </c>
      <c r="M8" s="29" t="str">
        <f>IFERROR((SUMIFS('AEO25 Table 23'!P:P,'AEO25 Table 23'!$B:$B,"*"&amp;$A8&amp;"*")-SUMIFS('AEO25 Table 23'!O:O,'AEO25 Table 23'!$B:$B,"*"&amp;$A8&amp;"*"))/SUMIFS('AEO25 Table 23'!O:O,'AEO25 Table 23'!$B:$B,"*"&amp;$A8&amp;"*"),"")</f>
        <v/>
      </c>
      <c r="N8" s="29" t="str">
        <f>IFERROR((SUMIFS('AEO25 Table 23'!Q:Q,'AEO25 Table 23'!$B:$B,"*"&amp;$A8&amp;"*")-SUMIFS('AEO25 Table 23'!P:P,'AEO25 Table 23'!$B:$B,"*"&amp;$A8&amp;"*"))/SUMIFS('AEO25 Table 23'!P:P,'AEO25 Table 23'!$B:$B,"*"&amp;$A8&amp;"*"),"")</f>
        <v/>
      </c>
      <c r="O8" s="29" t="str">
        <f>IFERROR((SUMIFS('AEO25 Table 23'!R:R,'AEO25 Table 23'!$B:$B,"*"&amp;$A8&amp;"*")-SUMIFS('AEO25 Table 23'!Q:Q,'AEO25 Table 23'!$B:$B,"*"&amp;$A8&amp;"*"))/SUMIFS('AEO25 Table 23'!Q:Q,'AEO25 Table 23'!$B:$B,"*"&amp;$A8&amp;"*"),"")</f>
        <v/>
      </c>
      <c r="P8" s="29" t="str">
        <f>IFERROR((SUMIFS('AEO25 Table 23'!S:S,'AEO25 Table 23'!$B:$B,"*"&amp;$A8&amp;"*")-SUMIFS('AEO25 Table 23'!R:R,'AEO25 Table 23'!$B:$B,"*"&amp;$A8&amp;"*"))/SUMIFS('AEO25 Table 23'!R:R,'AEO25 Table 23'!$B:$B,"*"&amp;$A8&amp;"*"),"")</f>
        <v/>
      </c>
      <c r="Q8" s="29" t="str">
        <f>IFERROR((SUMIFS('AEO25 Table 23'!T:T,'AEO25 Table 23'!$B:$B,"*"&amp;$A8&amp;"*")-SUMIFS('AEO25 Table 23'!S:S,'AEO25 Table 23'!$B:$B,"*"&amp;$A8&amp;"*"))/SUMIFS('AEO25 Table 23'!S:S,'AEO25 Table 23'!$B:$B,"*"&amp;$A8&amp;"*"),"")</f>
        <v/>
      </c>
      <c r="R8" s="29" t="str">
        <f>IFERROR((SUMIFS('AEO25 Table 23'!U:U,'AEO25 Table 23'!$B:$B,"*"&amp;$A8&amp;"*")-SUMIFS('AEO25 Table 23'!T:T,'AEO25 Table 23'!$B:$B,"*"&amp;$A8&amp;"*"))/SUMIFS('AEO25 Table 23'!T:T,'AEO25 Table 23'!$B:$B,"*"&amp;$A8&amp;"*"),"")</f>
        <v/>
      </c>
      <c r="S8" s="29" t="str">
        <f>IFERROR((SUMIFS('AEO25 Table 23'!V:V,'AEO25 Table 23'!$B:$B,"*"&amp;$A8&amp;"*")-SUMIFS('AEO25 Table 23'!U:U,'AEO25 Table 23'!$B:$B,"*"&amp;$A8&amp;"*"))/SUMIFS('AEO25 Table 23'!U:U,'AEO25 Table 23'!$B:$B,"*"&amp;$A8&amp;"*"),"")</f>
        <v/>
      </c>
      <c r="T8" s="29" t="str">
        <f>IFERROR((SUMIFS('AEO25 Table 23'!W:W,'AEO25 Table 23'!$B:$B,"*"&amp;$A8&amp;"*")-SUMIFS('AEO25 Table 23'!V:V,'AEO25 Table 23'!$B:$B,"*"&amp;$A8&amp;"*"))/SUMIFS('AEO25 Table 23'!V:V,'AEO25 Table 23'!$B:$B,"*"&amp;$A8&amp;"*"),"")</f>
        <v/>
      </c>
      <c r="U8" s="29" t="str">
        <f>IFERROR((SUMIFS('AEO25 Table 23'!X:X,'AEO25 Table 23'!$B:$B,"*"&amp;$A8&amp;"*")-SUMIFS('AEO25 Table 23'!W:W,'AEO25 Table 23'!$B:$B,"*"&amp;$A8&amp;"*"))/SUMIFS('AEO25 Table 23'!W:W,'AEO25 Table 23'!$B:$B,"*"&amp;$A8&amp;"*"),"")</f>
        <v/>
      </c>
      <c r="V8" s="29" t="str">
        <f>IFERROR((SUMIFS('AEO25 Table 23'!Y:Y,'AEO25 Table 23'!$B:$B,"*"&amp;$A8&amp;"*")-SUMIFS('AEO25 Table 23'!X:X,'AEO25 Table 23'!$B:$B,"*"&amp;$A8&amp;"*"))/SUMIFS('AEO25 Table 23'!X:X,'AEO25 Table 23'!$B:$B,"*"&amp;$A8&amp;"*"),"")</f>
        <v/>
      </c>
      <c r="W8" s="29" t="str">
        <f>IFERROR((SUMIFS('AEO25 Table 23'!Z:Z,'AEO25 Table 23'!$B:$B,"*"&amp;$A8&amp;"*")-SUMIFS('AEO25 Table 23'!Y:Y,'AEO25 Table 23'!$B:$B,"*"&amp;$A8&amp;"*"))/SUMIFS('AEO25 Table 23'!Y:Y,'AEO25 Table 23'!$B:$B,"*"&amp;$A8&amp;"*"),"")</f>
        <v/>
      </c>
      <c r="X8" s="29" t="str">
        <f>IFERROR((SUMIFS('AEO25 Table 23'!AA:AA,'AEO25 Table 23'!$B:$B,"*"&amp;$A8&amp;"*")-SUMIFS('AEO25 Table 23'!Z:Z,'AEO25 Table 23'!$B:$B,"*"&amp;$A8&amp;"*"))/SUMIFS('AEO25 Table 23'!Z:Z,'AEO25 Table 23'!$B:$B,"*"&amp;$A8&amp;"*"),"")</f>
        <v/>
      </c>
      <c r="Y8" s="29" t="str">
        <f>IFERROR((SUMIFS('AEO25 Table 23'!AB:AB,'AEO25 Table 23'!$B:$B,"*"&amp;$A8&amp;"*")-SUMIFS('AEO25 Table 23'!AA:AA,'AEO25 Table 23'!$B:$B,"*"&amp;$A8&amp;"*"))/SUMIFS('AEO25 Table 23'!AA:AA,'AEO25 Table 23'!$B:$B,"*"&amp;$A8&amp;"*"),"")</f>
        <v/>
      </c>
      <c r="Z8" s="29" t="str">
        <f>IFERROR((SUMIFS('AEO25 Table 23'!AC:AC,'AEO25 Table 23'!$B:$B,"*"&amp;$A8&amp;"*")-SUMIFS('AEO25 Table 23'!AB:AB,'AEO25 Table 23'!$B:$B,"*"&amp;$A8&amp;"*"))/SUMIFS('AEO25 Table 23'!AB:AB,'AEO25 Table 23'!$B:$B,"*"&amp;$A8&amp;"*"),"")</f>
        <v/>
      </c>
      <c r="AA8" s="29" t="str">
        <f>IFERROR((SUMIFS('AEO25 Table 23'!AD:AD,'AEO25 Table 23'!$B:$B,"*"&amp;$A8&amp;"*")-SUMIFS('AEO25 Table 23'!AC:AC,'AEO25 Table 23'!$B:$B,"*"&amp;$A8&amp;"*"))/SUMIFS('AEO25 Table 23'!AC:AC,'AEO25 Table 23'!$B:$B,"*"&amp;$A8&amp;"*"),"")</f>
        <v/>
      </c>
      <c r="AB8" s="29" t="str">
        <f>IFERROR((SUMIFS('AEO25 Table 23'!AE:AE,'AEO25 Table 23'!$B:$B,"*"&amp;$A8&amp;"*")-SUMIFS('AEO25 Table 23'!AD:AD,'AEO25 Table 23'!$B:$B,"*"&amp;$A8&amp;"*"))/SUMIFS('AEO25 Table 23'!AD:AD,'AEO25 Table 23'!$B:$B,"*"&amp;$A8&amp;"*"),"")</f>
        <v/>
      </c>
      <c r="AC8" s="29" t="str">
        <f>IFERROR((SUMIFS('AEO25 Table 23'!AF:AF,'AEO25 Table 23'!$B:$B,"*"&amp;$A8&amp;"*")-SUMIFS('AEO25 Table 23'!AE:AE,'AEO25 Table 23'!$B:$B,"*"&amp;$A8&amp;"*"))/SUMIFS('AEO25 Table 23'!AE:AE,'AEO25 Table 23'!$B:$B,"*"&amp;$A8&amp;"*"),"")</f>
        <v/>
      </c>
      <c r="AD8" s="29" t="str">
        <f>IFERROR((SUMIFS('AEO25 Table 23'!AG:AG,'AEO25 Table 23'!$B:$B,"*"&amp;$A8&amp;"*")-SUMIFS('AEO25 Table 23'!AF:AF,'AEO25 Table 23'!$B:$B,"*"&amp;$A8&amp;"*"))/SUMIFS('AEO25 Table 23'!AF:AF,'AEO25 Table 23'!$B:$B,"*"&amp;$A8&amp;"*"),"")</f>
        <v/>
      </c>
      <c r="AE8" s="29" t="str">
        <f>IFERROR((SUMIFS('AEO25 Table 23'!AH:AH,'AEO25 Table 23'!$B:$B,"*"&amp;$A8&amp;"*")-SUMIFS('AEO25 Table 23'!AG:AG,'AEO25 Table 23'!$B:$B,"*"&amp;$A8&amp;"*"))/SUMIFS('AEO25 Table 23'!AG:AG,'AEO25 Table 23'!$B:$B,"*"&amp;$A8&amp;"*"),"")</f>
        <v/>
      </c>
    </row>
    <row r="9" spans="1:35" x14ac:dyDescent="0.25">
      <c r="A9" s="25" t="s">
        <v>5</v>
      </c>
      <c r="B9" s="13" cm="1">
        <f t="array" ref="B9">IFERROR(SUMPRODUCT(--('BLS Table 2.11'!L:L=$A9),'BLS Table 2.11'!J:J,'BLS Table 2.11'!K:K)/SUMIFS('BLS Table 2.11'!J:J,'BLS Table 2.11'!L:L,$A9)/100,SUMPRODUCT(--('BLS Table 2.11'!M:M=$A9),'BLS Table 2.11'!J:J,'BLS Table 2.11'!K:K)/SUMIFS('BLS Table 2.11'!J:J,'BLS Table 2.11'!M:M,$A9)/100)</f>
        <v>1.7541273690829067E-2</v>
      </c>
      <c r="E9" s="1" t="s">
        <v>5</v>
      </c>
      <c r="F9" s="29">
        <f>IFERROR((SUMIFS('AEO25 Table 23'!I:I,'AEO25 Table 23'!$B:$B,"*"&amp;$A9&amp;"*")-SUMIFS('AEO25 Table 23'!H:H,'AEO25 Table 23'!$B:$B,"*"&amp;$A9&amp;"*"))/SUMIFS('AEO25 Table 23'!H:H,'AEO25 Table 23'!$B:$B,"*"&amp;$A9&amp;"*"),"")</f>
        <v>2.737812316119366E-3</v>
      </c>
      <c r="G9" s="29">
        <f>IFERROR((SUMIFS('AEO25 Table 23'!J:J,'AEO25 Table 23'!$B:$B,"*"&amp;$A9&amp;"*")-SUMIFS('AEO25 Table 23'!I:I,'AEO25 Table 23'!$B:$B,"*"&amp;$A9&amp;"*"))/SUMIFS('AEO25 Table 23'!I:I,'AEO25 Table 23'!$B:$B,"*"&amp;$A9&amp;"*"),"")</f>
        <v>2.2822737992264108E-3</v>
      </c>
      <c r="H9" s="29">
        <f>IFERROR((SUMIFS('AEO25 Table 23'!K:K,'AEO25 Table 23'!$B:$B,"*"&amp;$A9&amp;"*")-SUMIFS('AEO25 Table 23'!J:J,'AEO25 Table 23'!$B:$B,"*"&amp;$A9&amp;"*"))/SUMIFS('AEO25 Table 23'!J:J,'AEO25 Table 23'!$B:$B,"*"&amp;$A9&amp;"*"),"")</f>
        <v>7.8762627419798111E-3</v>
      </c>
      <c r="I9" s="29">
        <f>IFERROR((SUMIFS('AEO25 Table 23'!L:L,'AEO25 Table 23'!$B:$B,"*"&amp;$A9&amp;"*")-SUMIFS('AEO25 Table 23'!K:K,'AEO25 Table 23'!$B:$B,"*"&amp;$A9&amp;"*"))/SUMIFS('AEO25 Table 23'!K:K,'AEO25 Table 23'!$B:$B,"*"&amp;$A9&amp;"*"),"")</f>
        <v>6.3904756095859603E-3</v>
      </c>
      <c r="J9" s="29">
        <f>IFERROR((SUMIFS('AEO25 Table 23'!M:M,'AEO25 Table 23'!$B:$B,"*"&amp;$A9&amp;"*")-SUMIFS('AEO25 Table 23'!L:L,'AEO25 Table 23'!$B:$B,"*"&amp;$A9&amp;"*"))/SUMIFS('AEO25 Table 23'!L:L,'AEO25 Table 23'!$B:$B,"*"&amp;$A9&amp;"*"),"")</f>
        <v>7.8492626020254305E-3</v>
      </c>
      <c r="K9" s="29">
        <f>IFERROR((SUMIFS('AEO25 Table 23'!N:N,'AEO25 Table 23'!$B:$B,"*"&amp;$A9&amp;"*")-SUMIFS('AEO25 Table 23'!M:M,'AEO25 Table 23'!$B:$B,"*"&amp;$A9&amp;"*"))/SUMIFS('AEO25 Table 23'!M:M,'AEO25 Table 23'!$B:$B,"*"&amp;$A9&amp;"*"),"")</f>
        <v>7.8736807060739312E-3</v>
      </c>
      <c r="L9" s="29">
        <f>IFERROR((SUMIFS('AEO25 Table 23'!O:O,'AEO25 Table 23'!$B:$B,"*"&amp;$A9&amp;"*")-SUMIFS('AEO25 Table 23'!N:N,'AEO25 Table 23'!$B:$B,"*"&amp;$A9&amp;"*"))/SUMIFS('AEO25 Table 23'!N:N,'AEO25 Table 23'!$B:$B,"*"&amp;$A9&amp;"*"),"")</f>
        <v>7.1523628470740565E-3</v>
      </c>
      <c r="M9" s="29">
        <f>IFERROR((SUMIFS('AEO25 Table 23'!P:P,'AEO25 Table 23'!$B:$B,"*"&amp;$A9&amp;"*")-SUMIFS('AEO25 Table 23'!O:O,'AEO25 Table 23'!$B:$B,"*"&amp;$A9&amp;"*"))/SUMIFS('AEO25 Table 23'!O:O,'AEO25 Table 23'!$B:$B,"*"&amp;$A9&amp;"*"),"")</f>
        <v>7.3963828986863423E-3</v>
      </c>
      <c r="N9" s="29">
        <f>IFERROR((SUMIFS('AEO25 Table 23'!Q:Q,'AEO25 Table 23'!$B:$B,"*"&amp;$A9&amp;"*")-SUMIFS('AEO25 Table 23'!P:P,'AEO25 Table 23'!$B:$B,"*"&amp;$A9&amp;"*"))/SUMIFS('AEO25 Table 23'!P:P,'AEO25 Table 23'!$B:$B,"*"&amp;$A9&amp;"*"),"")</f>
        <v>7.1465055343641719E-3</v>
      </c>
      <c r="O9" s="29">
        <f>IFERROR((SUMIFS('AEO25 Table 23'!R:R,'AEO25 Table 23'!$B:$B,"*"&amp;$A9&amp;"*")-SUMIFS('AEO25 Table 23'!Q:Q,'AEO25 Table 23'!$B:$B,"*"&amp;$A9&amp;"*"))/SUMIFS('AEO25 Table 23'!Q:Q,'AEO25 Table 23'!$B:$B,"*"&amp;$A9&amp;"*"),"")</f>
        <v>7.4564744746548842E-3</v>
      </c>
      <c r="P9" s="29">
        <f>IFERROR((SUMIFS('AEO25 Table 23'!S:S,'AEO25 Table 23'!$B:$B,"*"&amp;$A9&amp;"*")-SUMIFS('AEO25 Table 23'!R:R,'AEO25 Table 23'!$B:$B,"*"&amp;$A9&amp;"*"))/SUMIFS('AEO25 Table 23'!R:R,'AEO25 Table 23'!$B:$B,"*"&amp;$A9&amp;"*"),"")</f>
        <v>6.8269085545763011E-3</v>
      </c>
      <c r="Q9" s="29">
        <f>IFERROR((SUMIFS('AEO25 Table 23'!T:T,'AEO25 Table 23'!$B:$B,"*"&amp;$A9&amp;"*")-SUMIFS('AEO25 Table 23'!S:S,'AEO25 Table 23'!$B:$B,"*"&amp;$A9&amp;"*"))/SUMIFS('AEO25 Table 23'!S:S,'AEO25 Table 23'!$B:$B,"*"&amp;$A9&amp;"*"),"")</f>
        <v>8.9600325249484958E-3</v>
      </c>
      <c r="R9" s="29">
        <f>IFERROR((SUMIFS('AEO25 Table 23'!U:U,'AEO25 Table 23'!$B:$B,"*"&amp;$A9&amp;"*")-SUMIFS('AEO25 Table 23'!T:T,'AEO25 Table 23'!$B:$B,"*"&amp;$A9&amp;"*"))/SUMIFS('AEO25 Table 23'!T:T,'AEO25 Table 23'!$B:$B,"*"&amp;$A9&amp;"*"),"")</f>
        <v>8.1467598101280132E-3</v>
      </c>
      <c r="S9" s="29">
        <f>IFERROR((SUMIFS('AEO25 Table 23'!V:V,'AEO25 Table 23'!$B:$B,"*"&amp;$A9&amp;"*")-SUMIFS('AEO25 Table 23'!U:U,'AEO25 Table 23'!$B:$B,"*"&amp;$A9&amp;"*"))/SUMIFS('AEO25 Table 23'!U:U,'AEO25 Table 23'!$B:$B,"*"&amp;$A9&amp;"*"),"")</f>
        <v>7.7654391125854079E-3</v>
      </c>
      <c r="T9" s="29">
        <f>IFERROR((SUMIFS('AEO25 Table 23'!W:W,'AEO25 Table 23'!$B:$B,"*"&amp;$A9&amp;"*")-SUMIFS('AEO25 Table 23'!V:V,'AEO25 Table 23'!$B:$B,"*"&amp;$A9&amp;"*"))/SUMIFS('AEO25 Table 23'!V:V,'AEO25 Table 23'!$B:$B,"*"&amp;$A9&amp;"*"),"")</f>
        <v>8.1595814472147764E-3</v>
      </c>
      <c r="U9" s="29">
        <f>IFERROR((SUMIFS('AEO25 Table 23'!X:X,'AEO25 Table 23'!$B:$B,"*"&amp;$A9&amp;"*")-SUMIFS('AEO25 Table 23'!W:W,'AEO25 Table 23'!$B:$B,"*"&amp;$A9&amp;"*"))/SUMIFS('AEO25 Table 23'!W:W,'AEO25 Table 23'!$B:$B,"*"&amp;$A9&amp;"*"),"")</f>
        <v>8.0317446900215854E-3</v>
      </c>
      <c r="V9" s="29">
        <f>IFERROR((SUMIFS('AEO25 Table 23'!Y:Y,'AEO25 Table 23'!$B:$B,"*"&amp;$A9&amp;"*")-SUMIFS('AEO25 Table 23'!X:X,'AEO25 Table 23'!$B:$B,"*"&amp;$A9&amp;"*"))/SUMIFS('AEO25 Table 23'!X:X,'AEO25 Table 23'!$B:$B,"*"&amp;$A9&amp;"*"),"")</f>
        <v>8.0005829814013725E-3</v>
      </c>
      <c r="W9" s="29">
        <f>IFERROR((SUMIFS('AEO25 Table 23'!Z:Z,'AEO25 Table 23'!$B:$B,"*"&amp;$A9&amp;"*")-SUMIFS('AEO25 Table 23'!Y:Y,'AEO25 Table 23'!$B:$B,"*"&amp;$A9&amp;"*"))/SUMIFS('AEO25 Table 23'!Y:Y,'AEO25 Table 23'!$B:$B,"*"&amp;$A9&amp;"*"),"")</f>
        <v>8.0920903665129638E-3</v>
      </c>
      <c r="X9" s="29">
        <f>IFERROR((SUMIFS('AEO25 Table 23'!AA:AA,'AEO25 Table 23'!$B:$B,"*"&amp;$A9&amp;"*")-SUMIFS('AEO25 Table 23'!Z:Z,'AEO25 Table 23'!$B:$B,"*"&amp;$A9&amp;"*"))/SUMIFS('AEO25 Table 23'!Z:Z,'AEO25 Table 23'!$B:$B,"*"&amp;$A9&amp;"*"),"")</f>
        <v>7.6689388003585495E-3</v>
      </c>
      <c r="Y9" s="29">
        <f>IFERROR((SUMIFS('AEO25 Table 23'!AB:AB,'AEO25 Table 23'!$B:$B,"*"&amp;$A9&amp;"*")-SUMIFS('AEO25 Table 23'!AA:AA,'AEO25 Table 23'!$B:$B,"*"&amp;$A9&amp;"*"))/SUMIFS('AEO25 Table 23'!AA:AA,'AEO25 Table 23'!$B:$B,"*"&amp;$A9&amp;"*"),"")</f>
        <v>7.6324147724414516E-3</v>
      </c>
      <c r="Z9" s="29">
        <f>IFERROR((SUMIFS('AEO25 Table 23'!AC:AC,'AEO25 Table 23'!$B:$B,"*"&amp;$A9&amp;"*")-SUMIFS('AEO25 Table 23'!AB:AB,'AEO25 Table 23'!$B:$B,"*"&amp;$A9&amp;"*"))/SUMIFS('AEO25 Table 23'!AB:AB,'AEO25 Table 23'!$B:$B,"*"&amp;$A9&amp;"*"),"")</f>
        <v>7.370503640987504E-3</v>
      </c>
      <c r="AA9" s="29">
        <f>IFERROR((SUMIFS('AEO25 Table 23'!AD:AD,'AEO25 Table 23'!$B:$B,"*"&amp;$A9&amp;"*")-SUMIFS('AEO25 Table 23'!AC:AC,'AEO25 Table 23'!$B:$B,"*"&amp;$A9&amp;"*"))/SUMIFS('AEO25 Table 23'!AC:AC,'AEO25 Table 23'!$B:$B,"*"&amp;$A9&amp;"*"),"")</f>
        <v>7.5228492445052119E-3</v>
      </c>
      <c r="AB9" s="29">
        <f>IFERROR((SUMIFS('AEO25 Table 23'!AE:AE,'AEO25 Table 23'!$B:$B,"*"&amp;$A9&amp;"*")-SUMIFS('AEO25 Table 23'!AD:AD,'AEO25 Table 23'!$B:$B,"*"&amp;$A9&amp;"*"))/SUMIFS('AEO25 Table 23'!AD:AD,'AEO25 Table 23'!$B:$B,"*"&amp;$A9&amp;"*"),"")</f>
        <v>7.577774433307303E-3</v>
      </c>
      <c r="AC9" s="29">
        <f>IFERROR((SUMIFS('AEO25 Table 23'!AF:AF,'AEO25 Table 23'!$B:$B,"*"&amp;$A9&amp;"*")-SUMIFS('AEO25 Table 23'!AE:AE,'AEO25 Table 23'!$B:$B,"*"&amp;$A9&amp;"*"))/SUMIFS('AEO25 Table 23'!AE:AE,'AEO25 Table 23'!$B:$B,"*"&amp;$A9&amp;"*"),"")</f>
        <v>7.5648034914341643E-3</v>
      </c>
      <c r="AD9" s="29">
        <f>IFERROR((SUMIFS('AEO25 Table 23'!AG:AG,'AEO25 Table 23'!$B:$B,"*"&amp;$A9&amp;"*")-SUMIFS('AEO25 Table 23'!AF:AF,'AEO25 Table 23'!$B:$B,"*"&amp;$A9&amp;"*"))/SUMIFS('AEO25 Table 23'!AF:AF,'AEO25 Table 23'!$B:$B,"*"&amp;$A9&amp;"*"),"")</f>
        <v>7.8670236644207154E-3</v>
      </c>
      <c r="AE9" s="29">
        <f>IFERROR((SUMIFS('AEO25 Table 23'!AH:AH,'AEO25 Table 23'!$B:$B,"*"&amp;$A9&amp;"*")-SUMIFS('AEO25 Table 23'!AG:AG,'AEO25 Table 23'!$B:$B,"*"&amp;$A9&amp;"*"))/SUMIFS('AEO25 Table 23'!AG:AG,'AEO25 Table 23'!$B:$B,"*"&amp;$A9&amp;"*"),"")</f>
        <v>7.6297169679222527E-3</v>
      </c>
    </row>
    <row r="10" spans="1:35" x14ac:dyDescent="0.25">
      <c r="A10" s="25" t="s">
        <v>6</v>
      </c>
      <c r="B10" s="13" cm="1">
        <f t="array" ref="B10">IFERROR(SUMPRODUCT(--('BLS Table 2.11'!L:L=$A10),'BLS Table 2.11'!J:J,'BLS Table 2.11'!K:K)/SUMIFS('BLS Table 2.11'!J:J,'BLS Table 2.11'!L:L,$A10)/100,SUMPRODUCT(--('BLS Table 2.11'!M:M=$A10),'BLS Table 2.11'!J:J,'BLS Table 2.11'!K:K)/SUMIFS('BLS Table 2.11'!J:J,'BLS Table 2.11'!M:M,$A10)/100)</f>
        <v>3.1918429003021148E-3</v>
      </c>
      <c r="E10" s="1" t="s">
        <v>6</v>
      </c>
      <c r="F10" s="29">
        <f>IFERROR((SUMIFS('AEO25 Table 23'!I:I,'AEO25 Table 23'!$B:$B,"*"&amp;$A10&amp;"*")-SUMIFS('AEO25 Table 23'!H:H,'AEO25 Table 23'!$B:$B,"*"&amp;$A10&amp;"*"))/SUMIFS('AEO25 Table 23'!H:H,'AEO25 Table 23'!$B:$B,"*"&amp;$A10&amp;"*"),"")</f>
        <v>6.7991175255429628E-3</v>
      </c>
      <c r="G10" s="29">
        <f>IFERROR((SUMIFS('AEO25 Table 23'!J:J,'AEO25 Table 23'!$B:$B,"*"&amp;$A10&amp;"*")-SUMIFS('AEO25 Table 23'!I:I,'AEO25 Table 23'!$B:$B,"*"&amp;$A10&amp;"*"))/SUMIFS('AEO25 Table 23'!I:I,'AEO25 Table 23'!$B:$B,"*"&amp;$A10&amp;"*"),"")</f>
        <v>-9.608164823280637E-3</v>
      </c>
      <c r="H10" s="29">
        <f>IFERROR((SUMIFS('AEO25 Table 23'!K:K,'AEO25 Table 23'!$B:$B,"*"&amp;$A10&amp;"*")-SUMIFS('AEO25 Table 23'!J:J,'AEO25 Table 23'!$B:$B,"*"&amp;$A10&amp;"*"))/SUMIFS('AEO25 Table 23'!J:J,'AEO25 Table 23'!$B:$B,"*"&amp;$A10&amp;"*"),"")</f>
        <v>3.8044467914650208E-4</v>
      </c>
      <c r="I10" s="29">
        <f>IFERROR((SUMIFS('AEO25 Table 23'!L:L,'AEO25 Table 23'!$B:$B,"*"&amp;$A10&amp;"*")-SUMIFS('AEO25 Table 23'!K:K,'AEO25 Table 23'!$B:$B,"*"&amp;$A10&amp;"*"))/SUMIFS('AEO25 Table 23'!K:K,'AEO25 Table 23'!$B:$B,"*"&amp;$A10&amp;"*"),"")</f>
        <v>-1.6480136731432459E-2</v>
      </c>
      <c r="J10" s="29">
        <f>IFERROR((SUMIFS('AEO25 Table 23'!M:M,'AEO25 Table 23'!$B:$B,"*"&amp;$A10&amp;"*")-SUMIFS('AEO25 Table 23'!L:L,'AEO25 Table 23'!$B:$B,"*"&amp;$A10&amp;"*"))/SUMIFS('AEO25 Table 23'!L:L,'AEO25 Table 23'!$B:$B,"*"&amp;$A10&amp;"*"),"")</f>
        <v>-1.0349343893834666E-2</v>
      </c>
      <c r="K10" s="29">
        <f>IFERROR((SUMIFS('AEO25 Table 23'!N:N,'AEO25 Table 23'!$B:$B,"*"&amp;$A10&amp;"*")-SUMIFS('AEO25 Table 23'!M:M,'AEO25 Table 23'!$B:$B,"*"&amp;$A10&amp;"*"))/SUMIFS('AEO25 Table 23'!M:M,'AEO25 Table 23'!$B:$B,"*"&amp;$A10&amp;"*"),"")</f>
        <v>-7.2087433500075127E-3</v>
      </c>
      <c r="L10" s="29">
        <f>IFERROR((SUMIFS('AEO25 Table 23'!O:O,'AEO25 Table 23'!$B:$B,"*"&amp;$A10&amp;"*")-SUMIFS('AEO25 Table 23'!N:N,'AEO25 Table 23'!$B:$B,"*"&amp;$A10&amp;"*"))/SUMIFS('AEO25 Table 23'!N:N,'AEO25 Table 23'!$B:$B,"*"&amp;$A10&amp;"*"),"")</f>
        <v>-8.5744686472120218E-3</v>
      </c>
      <c r="M10" s="29">
        <f>IFERROR((SUMIFS('AEO25 Table 23'!P:P,'AEO25 Table 23'!$B:$B,"*"&amp;$A10&amp;"*")-SUMIFS('AEO25 Table 23'!O:O,'AEO25 Table 23'!$B:$B,"*"&amp;$A10&amp;"*"))/SUMIFS('AEO25 Table 23'!O:O,'AEO25 Table 23'!$B:$B,"*"&amp;$A10&amp;"*"),"")</f>
        <v>-1.1778284524453579E-2</v>
      </c>
      <c r="N10" s="29">
        <f>IFERROR((SUMIFS('AEO25 Table 23'!Q:Q,'AEO25 Table 23'!$B:$B,"*"&amp;$A10&amp;"*")-SUMIFS('AEO25 Table 23'!P:P,'AEO25 Table 23'!$B:$B,"*"&amp;$A10&amp;"*"))/SUMIFS('AEO25 Table 23'!P:P,'AEO25 Table 23'!$B:$B,"*"&amp;$A10&amp;"*"),"")</f>
        <v>-1.099307406677044E-2</v>
      </c>
      <c r="O10" s="29">
        <f>IFERROR((SUMIFS('AEO25 Table 23'!R:R,'AEO25 Table 23'!$B:$B,"*"&amp;$A10&amp;"*")-SUMIFS('AEO25 Table 23'!Q:Q,'AEO25 Table 23'!$B:$B,"*"&amp;$A10&amp;"*"))/SUMIFS('AEO25 Table 23'!Q:Q,'AEO25 Table 23'!$B:$B,"*"&amp;$A10&amp;"*"),"")</f>
        <v>-6.6131260739353452E-3</v>
      </c>
      <c r="P10" s="29">
        <f>IFERROR((SUMIFS('AEO25 Table 23'!S:S,'AEO25 Table 23'!$B:$B,"*"&amp;$A10&amp;"*")-SUMIFS('AEO25 Table 23'!R:R,'AEO25 Table 23'!$B:$B,"*"&amp;$A10&amp;"*"))/SUMIFS('AEO25 Table 23'!R:R,'AEO25 Table 23'!$B:$B,"*"&amp;$A10&amp;"*"),"")</f>
        <v>-1.2256958921149343E-2</v>
      </c>
      <c r="Q10" s="29">
        <f>IFERROR((SUMIFS('AEO25 Table 23'!T:T,'AEO25 Table 23'!$B:$B,"*"&amp;$A10&amp;"*")-SUMIFS('AEO25 Table 23'!S:S,'AEO25 Table 23'!$B:$B,"*"&amp;$A10&amp;"*"))/SUMIFS('AEO25 Table 23'!S:S,'AEO25 Table 23'!$B:$B,"*"&amp;$A10&amp;"*"),"")</f>
        <v>-1.216438980571056E-2</v>
      </c>
      <c r="R10" s="29">
        <f>IFERROR((SUMIFS('AEO25 Table 23'!U:U,'AEO25 Table 23'!$B:$B,"*"&amp;$A10&amp;"*")-SUMIFS('AEO25 Table 23'!T:T,'AEO25 Table 23'!$B:$B,"*"&amp;$A10&amp;"*"))/SUMIFS('AEO25 Table 23'!T:T,'AEO25 Table 23'!$B:$B,"*"&amp;$A10&amp;"*"),"")</f>
        <v>-4.9987624393068048E-3</v>
      </c>
      <c r="S10" s="29">
        <f>IFERROR((SUMIFS('AEO25 Table 23'!V:V,'AEO25 Table 23'!$B:$B,"*"&amp;$A10&amp;"*")-SUMIFS('AEO25 Table 23'!U:U,'AEO25 Table 23'!$B:$B,"*"&amp;$A10&amp;"*"))/SUMIFS('AEO25 Table 23'!U:U,'AEO25 Table 23'!$B:$B,"*"&amp;$A10&amp;"*"),"")</f>
        <v>-6.4418111262778636E-3</v>
      </c>
      <c r="T10" s="29">
        <f>IFERROR((SUMIFS('AEO25 Table 23'!W:W,'AEO25 Table 23'!$B:$B,"*"&amp;$A10&amp;"*")-SUMIFS('AEO25 Table 23'!V:V,'AEO25 Table 23'!$B:$B,"*"&amp;$A10&amp;"*"))/SUMIFS('AEO25 Table 23'!V:V,'AEO25 Table 23'!$B:$B,"*"&amp;$A10&amp;"*"),"")</f>
        <v>-4.1994068183596103E-3</v>
      </c>
      <c r="U10" s="29">
        <f>IFERROR((SUMIFS('AEO25 Table 23'!X:X,'AEO25 Table 23'!$B:$B,"*"&amp;$A10&amp;"*")-SUMIFS('AEO25 Table 23'!W:W,'AEO25 Table 23'!$B:$B,"*"&amp;$A10&amp;"*"))/SUMIFS('AEO25 Table 23'!W:W,'AEO25 Table 23'!$B:$B,"*"&amp;$A10&amp;"*"),"")</f>
        <v>-1.8508520479643953E-3</v>
      </c>
      <c r="V10" s="29">
        <f>IFERROR((SUMIFS('AEO25 Table 23'!Y:Y,'AEO25 Table 23'!$B:$B,"*"&amp;$A10&amp;"*")-SUMIFS('AEO25 Table 23'!X:X,'AEO25 Table 23'!$B:$B,"*"&amp;$A10&amp;"*"))/SUMIFS('AEO25 Table 23'!X:X,'AEO25 Table 23'!$B:$B,"*"&amp;$A10&amp;"*"),"")</f>
        <v>-3.8491328259032784E-3</v>
      </c>
      <c r="W10" s="29">
        <f>IFERROR((SUMIFS('AEO25 Table 23'!Z:Z,'AEO25 Table 23'!$B:$B,"*"&amp;$A10&amp;"*")-SUMIFS('AEO25 Table 23'!Y:Y,'AEO25 Table 23'!$B:$B,"*"&amp;$A10&amp;"*"))/SUMIFS('AEO25 Table 23'!Y:Y,'AEO25 Table 23'!$B:$B,"*"&amp;$A10&amp;"*"),"")</f>
        <v>-3.7485105470955503E-3</v>
      </c>
      <c r="X10" s="29">
        <f>IFERROR((SUMIFS('AEO25 Table 23'!AA:AA,'AEO25 Table 23'!$B:$B,"*"&amp;$A10&amp;"*")-SUMIFS('AEO25 Table 23'!Z:Z,'AEO25 Table 23'!$B:$B,"*"&amp;$A10&amp;"*"))/SUMIFS('AEO25 Table 23'!Z:Z,'AEO25 Table 23'!$B:$B,"*"&amp;$A10&amp;"*"),"")</f>
        <v>-6.3046232315460034E-3</v>
      </c>
      <c r="Y10" s="29">
        <f>IFERROR((SUMIFS('AEO25 Table 23'!AB:AB,'AEO25 Table 23'!$B:$B,"*"&amp;$A10&amp;"*")-SUMIFS('AEO25 Table 23'!AA:AA,'AEO25 Table 23'!$B:$B,"*"&amp;$A10&amp;"*"))/SUMIFS('AEO25 Table 23'!AA:AA,'AEO25 Table 23'!$B:$B,"*"&amp;$A10&amp;"*"),"")</f>
        <v>-5.949403106353863E-3</v>
      </c>
      <c r="Z10" s="29">
        <f>IFERROR((SUMIFS('AEO25 Table 23'!AC:AC,'AEO25 Table 23'!$B:$B,"*"&amp;$A10&amp;"*")-SUMIFS('AEO25 Table 23'!AB:AB,'AEO25 Table 23'!$B:$B,"*"&amp;$A10&amp;"*"))/SUMIFS('AEO25 Table 23'!AB:AB,'AEO25 Table 23'!$B:$B,"*"&amp;$A10&amp;"*"),"")</f>
        <v>-6.6882034707447715E-3</v>
      </c>
      <c r="AA10" s="29">
        <f>IFERROR((SUMIFS('AEO25 Table 23'!AD:AD,'AEO25 Table 23'!$B:$B,"*"&amp;$A10&amp;"*")-SUMIFS('AEO25 Table 23'!AC:AC,'AEO25 Table 23'!$B:$B,"*"&amp;$A10&amp;"*"))/SUMIFS('AEO25 Table 23'!AC:AC,'AEO25 Table 23'!$B:$B,"*"&amp;$A10&amp;"*"),"")</f>
        <v>-5.4873451273453541E-3</v>
      </c>
      <c r="AB10" s="29">
        <f>IFERROR((SUMIFS('AEO25 Table 23'!AE:AE,'AEO25 Table 23'!$B:$B,"*"&amp;$A10&amp;"*")-SUMIFS('AEO25 Table 23'!AD:AD,'AEO25 Table 23'!$B:$B,"*"&amp;$A10&amp;"*"))/SUMIFS('AEO25 Table 23'!AD:AD,'AEO25 Table 23'!$B:$B,"*"&amp;$A10&amp;"*"),"")</f>
        <v>-3.6705635128313012E-3</v>
      </c>
      <c r="AC10" s="29">
        <f>IFERROR((SUMIFS('AEO25 Table 23'!AF:AF,'AEO25 Table 23'!$B:$B,"*"&amp;$A10&amp;"*")-SUMIFS('AEO25 Table 23'!AE:AE,'AEO25 Table 23'!$B:$B,"*"&amp;$A10&amp;"*"))/SUMIFS('AEO25 Table 23'!AE:AE,'AEO25 Table 23'!$B:$B,"*"&amp;$A10&amp;"*"),"")</f>
        <v>-4.5731240520918547E-3</v>
      </c>
      <c r="AD10" s="29">
        <f>IFERROR((SUMIFS('AEO25 Table 23'!AG:AG,'AEO25 Table 23'!$B:$B,"*"&amp;$A10&amp;"*")-SUMIFS('AEO25 Table 23'!AF:AF,'AEO25 Table 23'!$B:$B,"*"&amp;$A10&amp;"*"))/SUMIFS('AEO25 Table 23'!AF:AF,'AEO25 Table 23'!$B:$B,"*"&amp;$A10&amp;"*"),"")</f>
        <v>-4.0518314796840907E-3</v>
      </c>
      <c r="AE10" s="29">
        <f>IFERROR((SUMIFS('AEO25 Table 23'!AH:AH,'AEO25 Table 23'!$B:$B,"*"&amp;$A10&amp;"*")-SUMIFS('AEO25 Table 23'!AG:AG,'AEO25 Table 23'!$B:$B,"*"&amp;$A10&amp;"*"))/SUMIFS('AEO25 Table 23'!AG:AG,'AEO25 Table 23'!$B:$B,"*"&amp;$A10&amp;"*"),"")</f>
        <v>-6.2040097055180762E-3</v>
      </c>
    </row>
    <row r="11" spans="1:35" x14ac:dyDescent="0.25">
      <c r="A11" s="25" t="s">
        <v>7</v>
      </c>
      <c r="B11" s="13" cm="1">
        <f t="array" ref="B11">IFERROR(SUMPRODUCT(--('BLS Table 2.11'!L:L=$A11),'BLS Table 2.11'!J:J,'BLS Table 2.11'!K:K)/SUMIFS('BLS Table 2.11'!J:J,'BLS Table 2.11'!L:L,$A11)/100,SUMPRODUCT(--('BLS Table 2.11'!M:M=$A11),'BLS Table 2.11'!J:J,'BLS Table 2.11'!K:K)/SUMIFS('BLS Table 2.11'!J:J,'BLS Table 2.11'!M:M,$A11)/100)</f>
        <v>1.7000000000000001E-2</v>
      </c>
      <c r="E11" s="1" t="s">
        <v>7</v>
      </c>
      <c r="F11" s="29">
        <f>IFERROR((SUMIFS('AEO25 Table 23'!I:I,'AEO25 Table 23'!$B:$B,"*"&amp;$A11&amp;"*")-SUMIFS('AEO25 Table 23'!H:H,'AEO25 Table 23'!$B:$B,"*"&amp;$A11&amp;"*"))/SUMIFS('AEO25 Table 23'!H:H,'AEO25 Table 23'!$B:$B,"*"&amp;$A11&amp;"*"),"")</f>
        <v>6.4384568921435565E-3</v>
      </c>
      <c r="G11" s="29">
        <f>IFERROR((SUMIFS('AEO25 Table 23'!J:J,'AEO25 Table 23'!$B:$B,"*"&amp;$A11&amp;"*")-SUMIFS('AEO25 Table 23'!I:I,'AEO25 Table 23'!$B:$B,"*"&amp;$A11&amp;"*"))/SUMIFS('AEO25 Table 23'!I:I,'AEO25 Table 23'!$B:$B,"*"&amp;$A11&amp;"*"),"")</f>
        <v>2.0193100392757662E-2</v>
      </c>
      <c r="H11" s="29">
        <f>IFERROR((SUMIFS('AEO25 Table 23'!K:K,'AEO25 Table 23'!$B:$B,"*"&amp;$A11&amp;"*")-SUMIFS('AEO25 Table 23'!J:J,'AEO25 Table 23'!$B:$B,"*"&amp;$A11&amp;"*"))/SUMIFS('AEO25 Table 23'!J:J,'AEO25 Table 23'!$B:$B,"*"&amp;$A11&amp;"*"),"")</f>
        <v>1.1938521891323189E-2</v>
      </c>
      <c r="I11" s="29">
        <f>IFERROR((SUMIFS('AEO25 Table 23'!L:L,'AEO25 Table 23'!$B:$B,"*"&amp;$A11&amp;"*")-SUMIFS('AEO25 Table 23'!K:K,'AEO25 Table 23'!$B:$B,"*"&amp;$A11&amp;"*"))/SUMIFS('AEO25 Table 23'!K:K,'AEO25 Table 23'!$B:$B,"*"&amp;$A11&amp;"*"),"")</f>
        <v>1.7027387376197283E-2</v>
      </c>
      <c r="J11" s="29">
        <f>IFERROR((SUMIFS('AEO25 Table 23'!M:M,'AEO25 Table 23'!$B:$B,"*"&amp;$A11&amp;"*")-SUMIFS('AEO25 Table 23'!L:L,'AEO25 Table 23'!$B:$B,"*"&amp;$A11&amp;"*"))/SUMIFS('AEO25 Table 23'!L:L,'AEO25 Table 23'!$B:$B,"*"&amp;$A11&amp;"*"),"")</f>
        <v>3.1307260555632044E-2</v>
      </c>
      <c r="K11" s="29">
        <f>IFERROR((SUMIFS('AEO25 Table 23'!N:N,'AEO25 Table 23'!$B:$B,"*"&amp;$A11&amp;"*")-SUMIFS('AEO25 Table 23'!M:M,'AEO25 Table 23'!$B:$B,"*"&amp;$A11&amp;"*"))/SUMIFS('AEO25 Table 23'!M:M,'AEO25 Table 23'!$B:$B,"*"&amp;$A11&amp;"*"),"")</f>
        <v>2.3501452302470621E-2</v>
      </c>
      <c r="L11" s="29">
        <f>IFERROR((SUMIFS('AEO25 Table 23'!O:O,'AEO25 Table 23'!$B:$B,"*"&amp;$A11&amp;"*")-SUMIFS('AEO25 Table 23'!N:N,'AEO25 Table 23'!$B:$B,"*"&amp;$A11&amp;"*"))/SUMIFS('AEO25 Table 23'!N:N,'AEO25 Table 23'!$B:$B,"*"&amp;$A11&amp;"*"),"")</f>
        <v>1.5306902695256412E-2</v>
      </c>
      <c r="M11" s="29">
        <f>IFERROR((SUMIFS('AEO25 Table 23'!P:P,'AEO25 Table 23'!$B:$B,"*"&amp;$A11&amp;"*")-SUMIFS('AEO25 Table 23'!O:O,'AEO25 Table 23'!$B:$B,"*"&amp;$A11&amp;"*"))/SUMIFS('AEO25 Table 23'!O:O,'AEO25 Table 23'!$B:$B,"*"&amp;$A11&amp;"*"),"")</f>
        <v>1.010331437873517E-2</v>
      </c>
      <c r="N11" s="29">
        <f>IFERROR((SUMIFS('AEO25 Table 23'!Q:Q,'AEO25 Table 23'!$B:$B,"*"&amp;$A11&amp;"*")-SUMIFS('AEO25 Table 23'!P:P,'AEO25 Table 23'!$B:$B,"*"&amp;$A11&amp;"*"))/SUMIFS('AEO25 Table 23'!P:P,'AEO25 Table 23'!$B:$B,"*"&amp;$A11&amp;"*"),"")</f>
        <v>-1.6958607000514144E-3</v>
      </c>
      <c r="O11" s="29">
        <f>IFERROR((SUMIFS('AEO25 Table 23'!R:R,'AEO25 Table 23'!$B:$B,"*"&amp;$A11&amp;"*")-SUMIFS('AEO25 Table 23'!Q:Q,'AEO25 Table 23'!$B:$B,"*"&amp;$A11&amp;"*"))/SUMIFS('AEO25 Table 23'!Q:Q,'AEO25 Table 23'!$B:$B,"*"&amp;$A11&amp;"*"),"")</f>
        <v>1.0601404314828143E-2</v>
      </c>
      <c r="P11" s="29">
        <f>IFERROR((SUMIFS('AEO25 Table 23'!S:S,'AEO25 Table 23'!$B:$B,"*"&amp;$A11&amp;"*")-SUMIFS('AEO25 Table 23'!R:R,'AEO25 Table 23'!$B:$B,"*"&amp;$A11&amp;"*"))/SUMIFS('AEO25 Table 23'!R:R,'AEO25 Table 23'!$B:$B,"*"&amp;$A11&amp;"*"),"")</f>
        <v>1.3084591986736014E-2</v>
      </c>
      <c r="Q11" s="29">
        <f>IFERROR((SUMIFS('AEO25 Table 23'!T:T,'AEO25 Table 23'!$B:$B,"*"&amp;$A11&amp;"*")-SUMIFS('AEO25 Table 23'!S:S,'AEO25 Table 23'!$B:$B,"*"&amp;$A11&amp;"*"))/SUMIFS('AEO25 Table 23'!S:S,'AEO25 Table 23'!$B:$B,"*"&amp;$A11&amp;"*"),"")</f>
        <v>2.8429943267946386E-2</v>
      </c>
      <c r="R11" s="29">
        <f>IFERROR((SUMIFS('AEO25 Table 23'!U:U,'AEO25 Table 23'!$B:$B,"*"&amp;$A11&amp;"*")-SUMIFS('AEO25 Table 23'!T:T,'AEO25 Table 23'!$B:$B,"*"&amp;$A11&amp;"*"))/SUMIFS('AEO25 Table 23'!T:T,'AEO25 Table 23'!$B:$B,"*"&amp;$A11&amp;"*"),"")</f>
        <v>1.8570971172708239E-2</v>
      </c>
      <c r="S11" s="29">
        <f>IFERROR((SUMIFS('AEO25 Table 23'!V:V,'AEO25 Table 23'!$B:$B,"*"&amp;$A11&amp;"*")-SUMIFS('AEO25 Table 23'!U:U,'AEO25 Table 23'!$B:$B,"*"&amp;$A11&amp;"*"))/SUMIFS('AEO25 Table 23'!U:U,'AEO25 Table 23'!$B:$B,"*"&amp;$A11&amp;"*"),"")</f>
        <v>6.389322830746948E-3</v>
      </c>
      <c r="T11" s="29">
        <f>IFERROR((SUMIFS('AEO25 Table 23'!W:W,'AEO25 Table 23'!$B:$B,"*"&amp;$A11&amp;"*")-SUMIFS('AEO25 Table 23'!V:V,'AEO25 Table 23'!$B:$B,"*"&amp;$A11&amp;"*"))/SUMIFS('AEO25 Table 23'!V:V,'AEO25 Table 23'!$B:$B,"*"&amp;$A11&amp;"*"),"")</f>
        <v>7.4606918013440313E-3</v>
      </c>
      <c r="U11" s="29">
        <f>IFERROR((SUMIFS('AEO25 Table 23'!X:X,'AEO25 Table 23'!$B:$B,"*"&amp;$A11&amp;"*")-SUMIFS('AEO25 Table 23'!W:W,'AEO25 Table 23'!$B:$B,"*"&amp;$A11&amp;"*"))/SUMIFS('AEO25 Table 23'!W:W,'AEO25 Table 23'!$B:$B,"*"&amp;$A11&amp;"*"),"")</f>
        <v>-1.3142308014949511E-3</v>
      </c>
      <c r="V11" s="29">
        <f>IFERROR((SUMIFS('AEO25 Table 23'!Y:Y,'AEO25 Table 23'!$B:$B,"*"&amp;$A11&amp;"*")-SUMIFS('AEO25 Table 23'!X:X,'AEO25 Table 23'!$B:$B,"*"&amp;$A11&amp;"*"))/SUMIFS('AEO25 Table 23'!X:X,'AEO25 Table 23'!$B:$B,"*"&amp;$A11&amp;"*"),"")</f>
        <v>-1.9472990189610791E-2</v>
      </c>
      <c r="W11" s="29">
        <f>IFERROR((SUMIFS('AEO25 Table 23'!Z:Z,'AEO25 Table 23'!$B:$B,"*"&amp;$A11&amp;"*")-SUMIFS('AEO25 Table 23'!Y:Y,'AEO25 Table 23'!$B:$B,"*"&amp;$A11&amp;"*"))/SUMIFS('AEO25 Table 23'!Y:Y,'AEO25 Table 23'!$B:$B,"*"&amp;$A11&amp;"*"),"")</f>
        <v>-1.3112858363500193E-2</v>
      </c>
      <c r="X11" s="29">
        <f>IFERROR((SUMIFS('AEO25 Table 23'!AA:AA,'AEO25 Table 23'!$B:$B,"*"&amp;$A11&amp;"*")-SUMIFS('AEO25 Table 23'!Z:Z,'AEO25 Table 23'!$B:$B,"*"&amp;$A11&amp;"*"))/SUMIFS('AEO25 Table 23'!Z:Z,'AEO25 Table 23'!$B:$B,"*"&amp;$A11&amp;"*"),"")</f>
        <v>-2.4859306122946963E-2</v>
      </c>
      <c r="Y11" s="29">
        <f>IFERROR((SUMIFS('AEO25 Table 23'!AB:AB,'AEO25 Table 23'!$B:$B,"*"&amp;$A11&amp;"*")-SUMIFS('AEO25 Table 23'!AA:AA,'AEO25 Table 23'!$B:$B,"*"&amp;$A11&amp;"*"))/SUMIFS('AEO25 Table 23'!AA:AA,'AEO25 Table 23'!$B:$B,"*"&amp;$A11&amp;"*"),"")</f>
        <v>-1.7629454428262293E-2</v>
      </c>
      <c r="Z11" s="29">
        <f>IFERROR((SUMIFS('AEO25 Table 23'!AC:AC,'AEO25 Table 23'!$B:$B,"*"&amp;$A11&amp;"*")-SUMIFS('AEO25 Table 23'!AB:AB,'AEO25 Table 23'!$B:$B,"*"&amp;$A11&amp;"*"))/SUMIFS('AEO25 Table 23'!AB:AB,'AEO25 Table 23'!$B:$B,"*"&amp;$A11&amp;"*"),"")</f>
        <v>-1.0019632734450143E-3</v>
      </c>
      <c r="AA11" s="29">
        <f>IFERROR((SUMIFS('AEO25 Table 23'!AD:AD,'AEO25 Table 23'!$B:$B,"*"&amp;$A11&amp;"*")-SUMIFS('AEO25 Table 23'!AC:AC,'AEO25 Table 23'!$B:$B,"*"&amp;$A11&amp;"*"))/SUMIFS('AEO25 Table 23'!AC:AC,'AEO25 Table 23'!$B:$B,"*"&amp;$A11&amp;"*"),"")</f>
        <v>3.4688365654584326E-3</v>
      </c>
      <c r="AB11" s="29">
        <f>IFERROR((SUMIFS('AEO25 Table 23'!AE:AE,'AEO25 Table 23'!$B:$B,"*"&amp;$A11&amp;"*")-SUMIFS('AEO25 Table 23'!AD:AD,'AEO25 Table 23'!$B:$B,"*"&amp;$A11&amp;"*"))/SUMIFS('AEO25 Table 23'!AD:AD,'AEO25 Table 23'!$B:$B,"*"&amp;$A11&amp;"*"),"")</f>
        <v>1.0856257385704764E-2</v>
      </c>
      <c r="AC11" s="29">
        <f>IFERROR((SUMIFS('AEO25 Table 23'!AF:AF,'AEO25 Table 23'!$B:$B,"*"&amp;$A11&amp;"*")-SUMIFS('AEO25 Table 23'!AE:AE,'AEO25 Table 23'!$B:$B,"*"&amp;$A11&amp;"*"))/SUMIFS('AEO25 Table 23'!AE:AE,'AEO25 Table 23'!$B:$B,"*"&amp;$A11&amp;"*"),"")</f>
        <v>9.9275937457564307E-3</v>
      </c>
      <c r="AD11" s="29">
        <f>IFERROR((SUMIFS('AEO25 Table 23'!AG:AG,'AEO25 Table 23'!$B:$B,"*"&amp;$A11&amp;"*")-SUMIFS('AEO25 Table 23'!AF:AF,'AEO25 Table 23'!$B:$B,"*"&amp;$A11&amp;"*"))/SUMIFS('AEO25 Table 23'!AF:AF,'AEO25 Table 23'!$B:$B,"*"&amp;$A11&amp;"*"),"")</f>
        <v>1.2557915155794363E-2</v>
      </c>
      <c r="AE11" s="29">
        <f>IFERROR((SUMIFS('AEO25 Table 23'!AH:AH,'AEO25 Table 23'!$B:$B,"*"&amp;$A11&amp;"*")-SUMIFS('AEO25 Table 23'!AG:AG,'AEO25 Table 23'!$B:$B,"*"&amp;$A11&amp;"*"))/SUMIFS('AEO25 Table 23'!AG:AG,'AEO25 Table 23'!$B:$B,"*"&amp;$A11&amp;"*"),"")</f>
        <v>7.6471131311750809E-3</v>
      </c>
    </row>
    <row r="12" spans="1:35" x14ac:dyDescent="0.25">
      <c r="A12" s="25" t="s">
        <v>8</v>
      </c>
      <c r="B12" s="13" cm="1">
        <f t="array" ref="B12">IFERROR(SUMPRODUCT(--('BLS Table 2.11'!L:L=$A12),'BLS Table 2.11'!J:J,'BLS Table 2.11'!K:K)/SUMIFS('BLS Table 2.11'!J:J,'BLS Table 2.11'!L:L,$A12)/100,SUMPRODUCT(--('BLS Table 2.11'!M:M=$A12),'BLS Table 2.11'!J:J,'BLS Table 2.11'!K:K)/SUMIFS('BLS Table 2.11'!J:J,'BLS Table 2.11'!M:M,$A12)/100)</f>
        <v>8.8682849184241949E-3</v>
      </c>
      <c r="E12" s="1" t="s">
        <v>8</v>
      </c>
      <c r="F12" s="29">
        <f>IFERROR((SUMIFS('AEO25 Table 23'!I:I,'AEO25 Table 23'!$B:$B,"*"&amp;$A12&amp;"*")-SUMIFS('AEO25 Table 23'!H:H,'AEO25 Table 23'!$B:$B,"*"&amp;$A12&amp;"*"))/SUMIFS('AEO25 Table 23'!H:H,'AEO25 Table 23'!$B:$B,"*"&amp;$A12&amp;"*"),"")</f>
        <v>-8.0041876610354463E-3</v>
      </c>
      <c r="G12" s="29">
        <f>IFERROR((SUMIFS('AEO25 Table 23'!J:J,'AEO25 Table 23'!$B:$B,"*"&amp;$A12&amp;"*")-SUMIFS('AEO25 Table 23'!I:I,'AEO25 Table 23'!$B:$B,"*"&amp;$A12&amp;"*"))/SUMIFS('AEO25 Table 23'!I:I,'AEO25 Table 23'!$B:$B,"*"&amp;$A12&amp;"*"),"")</f>
        <v>4.5518045503567214E-4</v>
      </c>
      <c r="H12" s="29">
        <f>IFERROR((SUMIFS('AEO25 Table 23'!K:K,'AEO25 Table 23'!$B:$B,"*"&amp;$A12&amp;"*")-SUMIFS('AEO25 Table 23'!J:J,'AEO25 Table 23'!$B:$B,"*"&amp;$A12&amp;"*"))/SUMIFS('AEO25 Table 23'!J:J,'AEO25 Table 23'!$B:$B,"*"&amp;$A12&amp;"*"),"")</f>
        <v>-1.3481153098819337E-2</v>
      </c>
      <c r="I12" s="29">
        <f>IFERROR((SUMIFS('AEO25 Table 23'!L:L,'AEO25 Table 23'!$B:$B,"*"&amp;$A12&amp;"*")-SUMIFS('AEO25 Table 23'!K:K,'AEO25 Table 23'!$B:$B,"*"&amp;$A12&amp;"*"))/SUMIFS('AEO25 Table 23'!K:K,'AEO25 Table 23'!$B:$B,"*"&amp;$A12&amp;"*"),"")</f>
        <v>-9.8461617229140975E-3</v>
      </c>
      <c r="J12" s="29">
        <f>IFERROR((SUMIFS('AEO25 Table 23'!M:M,'AEO25 Table 23'!$B:$B,"*"&amp;$A12&amp;"*")-SUMIFS('AEO25 Table 23'!L:L,'AEO25 Table 23'!$B:$B,"*"&amp;$A12&amp;"*"))/SUMIFS('AEO25 Table 23'!L:L,'AEO25 Table 23'!$B:$B,"*"&amp;$A12&amp;"*"),"")</f>
        <v>-5.2224450069981963E-3</v>
      </c>
      <c r="K12" s="29">
        <f>IFERROR((SUMIFS('AEO25 Table 23'!N:N,'AEO25 Table 23'!$B:$B,"*"&amp;$A12&amp;"*")-SUMIFS('AEO25 Table 23'!M:M,'AEO25 Table 23'!$B:$B,"*"&amp;$A12&amp;"*"))/SUMIFS('AEO25 Table 23'!M:M,'AEO25 Table 23'!$B:$B,"*"&amp;$A12&amp;"*"),"")</f>
        <v>-3.1771738280149996E-3</v>
      </c>
      <c r="L12" s="29">
        <f>IFERROR((SUMIFS('AEO25 Table 23'!O:O,'AEO25 Table 23'!$B:$B,"*"&amp;$A12&amp;"*")-SUMIFS('AEO25 Table 23'!N:N,'AEO25 Table 23'!$B:$B,"*"&amp;$A12&amp;"*"))/SUMIFS('AEO25 Table 23'!N:N,'AEO25 Table 23'!$B:$B,"*"&amp;$A12&amp;"*"),"")</f>
        <v>7.2791008060546828E-4</v>
      </c>
      <c r="M12" s="29">
        <f>IFERROR((SUMIFS('AEO25 Table 23'!P:P,'AEO25 Table 23'!$B:$B,"*"&amp;$A12&amp;"*")-SUMIFS('AEO25 Table 23'!O:O,'AEO25 Table 23'!$B:$B,"*"&amp;$A12&amp;"*"))/SUMIFS('AEO25 Table 23'!O:O,'AEO25 Table 23'!$B:$B,"*"&amp;$A12&amp;"*"),"")</f>
        <v>-8.1195659597266961E-4</v>
      </c>
      <c r="N12" s="29">
        <f>IFERROR((SUMIFS('AEO25 Table 23'!Q:Q,'AEO25 Table 23'!$B:$B,"*"&amp;$A12&amp;"*")-SUMIFS('AEO25 Table 23'!P:P,'AEO25 Table 23'!$B:$B,"*"&amp;$A12&amp;"*"))/SUMIFS('AEO25 Table 23'!P:P,'AEO25 Table 23'!$B:$B,"*"&amp;$A12&amp;"*"),"")</f>
        <v>-3.0443087458897566E-3</v>
      </c>
      <c r="O12" s="29">
        <f>IFERROR((SUMIFS('AEO25 Table 23'!R:R,'AEO25 Table 23'!$B:$B,"*"&amp;$A12&amp;"*")-SUMIFS('AEO25 Table 23'!Q:Q,'AEO25 Table 23'!$B:$B,"*"&amp;$A12&amp;"*"))/SUMIFS('AEO25 Table 23'!Q:Q,'AEO25 Table 23'!$B:$B,"*"&amp;$A12&amp;"*"),"")</f>
        <v>1.2046220705847824E-3</v>
      </c>
      <c r="P12" s="29">
        <f>IFERROR((SUMIFS('AEO25 Table 23'!S:S,'AEO25 Table 23'!$B:$B,"*"&amp;$A12&amp;"*")-SUMIFS('AEO25 Table 23'!R:R,'AEO25 Table 23'!$B:$B,"*"&amp;$A12&amp;"*"))/SUMIFS('AEO25 Table 23'!R:R,'AEO25 Table 23'!$B:$B,"*"&amp;$A12&amp;"*"),"")</f>
        <v>1.2032712971220432E-3</v>
      </c>
      <c r="Q12" s="29">
        <f>IFERROR((SUMIFS('AEO25 Table 23'!T:T,'AEO25 Table 23'!$B:$B,"*"&amp;$A12&amp;"*")-SUMIFS('AEO25 Table 23'!S:S,'AEO25 Table 23'!$B:$B,"*"&amp;$A12&amp;"*"))/SUMIFS('AEO25 Table 23'!S:S,'AEO25 Table 23'!$B:$B,"*"&amp;$A12&amp;"*"),"")</f>
        <v>2.5651657729336445E-3</v>
      </c>
      <c r="R12" s="29">
        <f>IFERROR((SUMIFS('AEO25 Table 23'!U:U,'AEO25 Table 23'!$B:$B,"*"&amp;$A12&amp;"*")-SUMIFS('AEO25 Table 23'!T:T,'AEO25 Table 23'!$B:$B,"*"&amp;$A12&amp;"*"))/SUMIFS('AEO25 Table 23'!T:T,'AEO25 Table 23'!$B:$B,"*"&amp;$A12&amp;"*"),"")</f>
        <v>1.7189282839967324E-3</v>
      </c>
      <c r="S12" s="29">
        <f>IFERROR((SUMIFS('AEO25 Table 23'!V:V,'AEO25 Table 23'!$B:$B,"*"&amp;$A12&amp;"*")-SUMIFS('AEO25 Table 23'!U:U,'AEO25 Table 23'!$B:$B,"*"&amp;$A12&amp;"*"))/SUMIFS('AEO25 Table 23'!U:U,'AEO25 Table 23'!$B:$B,"*"&amp;$A12&amp;"*"),"")</f>
        <v>2.5558369527057373E-3</v>
      </c>
      <c r="T12" s="29">
        <f>IFERROR((SUMIFS('AEO25 Table 23'!W:W,'AEO25 Table 23'!$B:$B,"*"&amp;$A12&amp;"*")-SUMIFS('AEO25 Table 23'!V:V,'AEO25 Table 23'!$B:$B,"*"&amp;$A12&amp;"*"))/SUMIFS('AEO25 Table 23'!V:V,'AEO25 Table 23'!$B:$B,"*"&amp;$A12&amp;"*"),"")</f>
        <v>5.7237110936795748E-3</v>
      </c>
      <c r="U12" s="29">
        <f>IFERROR((SUMIFS('AEO25 Table 23'!X:X,'AEO25 Table 23'!$B:$B,"*"&amp;$A12&amp;"*")-SUMIFS('AEO25 Table 23'!W:W,'AEO25 Table 23'!$B:$B,"*"&amp;$A12&amp;"*"))/SUMIFS('AEO25 Table 23'!W:W,'AEO25 Table 23'!$B:$B,"*"&amp;$A12&amp;"*"),"")</f>
        <v>6.008609389611461E-3</v>
      </c>
      <c r="V12" s="29">
        <f>IFERROR((SUMIFS('AEO25 Table 23'!Y:Y,'AEO25 Table 23'!$B:$B,"*"&amp;$A12&amp;"*")-SUMIFS('AEO25 Table 23'!X:X,'AEO25 Table 23'!$B:$B,"*"&amp;$A12&amp;"*"))/SUMIFS('AEO25 Table 23'!X:X,'AEO25 Table 23'!$B:$B,"*"&amp;$A12&amp;"*"),"")</f>
        <v>3.9912342314785436E-3</v>
      </c>
      <c r="W12" s="29">
        <f>IFERROR((SUMIFS('AEO25 Table 23'!Z:Z,'AEO25 Table 23'!$B:$B,"*"&amp;$A12&amp;"*")-SUMIFS('AEO25 Table 23'!Y:Y,'AEO25 Table 23'!$B:$B,"*"&amp;$A12&amp;"*"))/SUMIFS('AEO25 Table 23'!Y:Y,'AEO25 Table 23'!$B:$B,"*"&amp;$A12&amp;"*"),"")</f>
        <v>4.4924411826746504E-3</v>
      </c>
      <c r="X12" s="29">
        <f>IFERROR((SUMIFS('AEO25 Table 23'!AA:AA,'AEO25 Table 23'!$B:$B,"*"&amp;$A12&amp;"*")-SUMIFS('AEO25 Table 23'!Z:Z,'AEO25 Table 23'!$B:$B,"*"&amp;$A12&amp;"*"))/SUMIFS('AEO25 Table 23'!Z:Z,'AEO25 Table 23'!$B:$B,"*"&amp;$A12&amp;"*"),"")</f>
        <v>3.5085920101969952E-3</v>
      </c>
      <c r="Y12" s="29">
        <f>IFERROR((SUMIFS('AEO25 Table 23'!AB:AB,'AEO25 Table 23'!$B:$B,"*"&amp;$A12&amp;"*")-SUMIFS('AEO25 Table 23'!AA:AA,'AEO25 Table 23'!$B:$B,"*"&amp;$A12&amp;"*"))/SUMIFS('AEO25 Table 23'!AA:AA,'AEO25 Table 23'!$B:$B,"*"&amp;$A12&amp;"*"),"")</f>
        <v>5.9965880088454415E-3</v>
      </c>
      <c r="Z12" s="29">
        <f>IFERROR((SUMIFS('AEO25 Table 23'!AC:AC,'AEO25 Table 23'!$B:$B,"*"&amp;$A12&amp;"*")-SUMIFS('AEO25 Table 23'!AB:AB,'AEO25 Table 23'!$B:$B,"*"&amp;$A12&amp;"*"))/SUMIFS('AEO25 Table 23'!AB:AB,'AEO25 Table 23'!$B:$B,"*"&amp;$A12&amp;"*"),"")</f>
        <v>3.9745089260550598E-3</v>
      </c>
      <c r="AA12" s="29">
        <f>IFERROR((SUMIFS('AEO25 Table 23'!AD:AD,'AEO25 Table 23'!$B:$B,"*"&amp;$A12&amp;"*")-SUMIFS('AEO25 Table 23'!AC:AC,'AEO25 Table 23'!$B:$B,"*"&amp;$A12&amp;"*"))/SUMIFS('AEO25 Table 23'!AC:AC,'AEO25 Table 23'!$B:$B,"*"&amp;$A12&amp;"*"),"")</f>
        <v>5.5666358793437908E-3</v>
      </c>
      <c r="AB12" s="29">
        <f>IFERROR((SUMIFS('AEO25 Table 23'!AE:AE,'AEO25 Table 23'!$B:$B,"*"&amp;$A12&amp;"*")-SUMIFS('AEO25 Table 23'!AD:AD,'AEO25 Table 23'!$B:$B,"*"&amp;$A12&amp;"*"))/SUMIFS('AEO25 Table 23'!AD:AD,'AEO25 Table 23'!$B:$B,"*"&amp;$A12&amp;"*"),"")</f>
        <v>5.0847220871004673E-3</v>
      </c>
      <c r="AC12" s="29">
        <f>IFERROR((SUMIFS('AEO25 Table 23'!AF:AF,'AEO25 Table 23'!$B:$B,"*"&amp;$A12&amp;"*")-SUMIFS('AEO25 Table 23'!AE:AE,'AEO25 Table 23'!$B:$B,"*"&amp;$A12&amp;"*"))/SUMIFS('AEO25 Table 23'!AE:AE,'AEO25 Table 23'!$B:$B,"*"&amp;$A12&amp;"*"),"")</f>
        <v>4.5452023416703317E-3</v>
      </c>
      <c r="AD12" s="29">
        <f>IFERROR((SUMIFS('AEO25 Table 23'!AG:AG,'AEO25 Table 23'!$B:$B,"*"&amp;$A12&amp;"*")-SUMIFS('AEO25 Table 23'!AF:AF,'AEO25 Table 23'!$B:$B,"*"&amp;$A12&amp;"*"))/SUMIFS('AEO25 Table 23'!AF:AF,'AEO25 Table 23'!$B:$B,"*"&amp;$A12&amp;"*"),"")</f>
        <v>3.6536979439662403E-3</v>
      </c>
      <c r="AE12" s="29">
        <f>IFERROR((SUMIFS('AEO25 Table 23'!AH:AH,'AEO25 Table 23'!$B:$B,"*"&amp;$A12&amp;"*")-SUMIFS('AEO25 Table 23'!AG:AG,'AEO25 Table 23'!$B:$B,"*"&amp;$A12&amp;"*"))/SUMIFS('AEO25 Table 23'!AG:AG,'AEO25 Table 23'!$B:$B,"*"&amp;$A12&amp;"*"),"")</f>
        <v>3.8098042639567696E-3</v>
      </c>
    </row>
    <row r="13" spans="1:35" x14ac:dyDescent="0.25">
      <c r="A13" s="25" t="s">
        <v>9</v>
      </c>
      <c r="B13" s="13" cm="1">
        <f t="array" ref="B13">IFERROR(SUMPRODUCT(--('BLS Table 2.11'!L:L=$A13),'BLS Table 2.11'!J:J,'BLS Table 2.11'!K:K)/SUMIFS('BLS Table 2.11'!J:J,'BLS Table 2.11'!L:L,$A13)/100,SUMPRODUCT(--('BLS Table 2.11'!M:M=$A13),'BLS Table 2.11'!J:J,'BLS Table 2.11'!K:K)/SUMIFS('BLS Table 2.11'!J:J,'BLS Table 2.11'!M:M,$A13)/100)</f>
        <v>0.01</v>
      </c>
      <c r="E13" s="1" t="s">
        <v>9</v>
      </c>
      <c r="F13" s="29">
        <f>IFERROR((SUMIFS('AEO25 Table 23'!I:I,'AEO25 Table 23'!$B:$B,"*"&amp;$A13&amp;"*")-SUMIFS('AEO25 Table 23'!H:H,'AEO25 Table 23'!$B:$B,"*"&amp;$A13&amp;"*"))/SUMIFS('AEO25 Table 23'!H:H,'AEO25 Table 23'!$B:$B,"*"&amp;$A13&amp;"*"),"")</f>
        <v>1.6536762550319106E-2</v>
      </c>
      <c r="G13" s="29">
        <f>IFERROR((SUMIFS('AEO25 Table 23'!J:J,'AEO25 Table 23'!$B:$B,"*"&amp;$A13&amp;"*")-SUMIFS('AEO25 Table 23'!I:I,'AEO25 Table 23'!$B:$B,"*"&amp;$A13&amp;"*"))/SUMIFS('AEO25 Table 23'!I:I,'AEO25 Table 23'!$B:$B,"*"&amp;$A13&amp;"*"),"")</f>
        <v>-4.3670221355918987E-3</v>
      </c>
      <c r="H13" s="29">
        <f>IFERROR((SUMIFS('AEO25 Table 23'!K:K,'AEO25 Table 23'!$B:$B,"*"&amp;$A13&amp;"*")-SUMIFS('AEO25 Table 23'!J:J,'AEO25 Table 23'!$B:$B,"*"&amp;$A13&amp;"*"))/SUMIFS('AEO25 Table 23'!J:J,'AEO25 Table 23'!$B:$B,"*"&amp;$A13&amp;"*"),"")</f>
        <v>-4.4615383413189906E-3</v>
      </c>
      <c r="I13" s="29">
        <f>IFERROR((SUMIFS('AEO25 Table 23'!L:L,'AEO25 Table 23'!$B:$B,"*"&amp;$A13&amp;"*")-SUMIFS('AEO25 Table 23'!K:K,'AEO25 Table 23'!$B:$B,"*"&amp;$A13&amp;"*"))/SUMIFS('AEO25 Table 23'!K:K,'AEO25 Table 23'!$B:$B,"*"&amp;$A13&amp;"*"),"")</f>
        <v>-5.4368009022099503E-3</v>
      </c>
      <c r="J13" s="29">
        <f>IFERROR((SUMIFS('AEO25 Table 23'!M:M,'AEO25 Table 23'!$B:$B,"*"&amp;$A13&amp;"*")-SUMIFS('AEO25 Table 23'!L:L,'AEO25 Table 23'!$B:$B,"*"&amp;$A13&amp;"*"))/SUMIFS('AEO25 Table 23'!L:L,'AEO25 Table 23'!$B:$B,"*"&amp;$A13&amp;"*"),"")</f>
        <v>-7.8044244069210948E-3</v>
      </c>
      <c r="K13" s="29">
        <f>IFERROR((SUMIFS('AEO25 Table 23'!N:N,'AEO25 Table 23'!$B:$B,"*"&amp;$A13&amp;"*")-SUMIFS('AEO25 Table 23'!M:M,'AEO25 Table 23'!$B:$B,"*"&amp;$A13&amp;"*"))/SUMIFS('AEO25 Table 23'!M:M,'AEO25 Table 23'!$B:$B,"*"&amp;$A13&amp;"*"),"")</f>
        <v>-1.2341998710313872E-2</v>
      </c>
      <c r="L13" s="29">
        <f>IFERROR((SUMIFS('AEO25 Table 23'!O:O,'AEO25 Table 23'!$B:$B,"*"&amp;$A13&amp;"*")-SUMIFS('AEO25 Table 23'!N:N,'AEO25 Table 23'!$B:$B,"*"&amp;$A13&amp;"*"))/SUMIFS('AEO25 Table 23'!N:N,'AEO25 Table 23'!$B:$B,"*"&amp;$A13&amp;"*"),"")</f>
        <v>-1.3882066062449253E-2</v>
      </c>
      <c r="M13" s="29">
        <f>IFERROR((SUMIFS('AEO25 Table 23'!P:P,'AEO25 Table 23'!$B:$B,"*"&amp;$A13&amp;"*")-SUMIFS('AEO25 Table 23'!O:O,'AEO25 Table 23'!$B:$B,"*"&amp;$A13&amp;"*"))/SUMIFS('AEO25 Table 23'!O:O,'AEO25 Table 23'!$B:$B,"*"&amp;$A13&amp;"*"),"")</f>
        <v>-1.6647169651114638E-2</v>
      </c>
      <c r="N13" s="29">
        <f>IFERROR((SUMIFS('AEO25 Table 23'!Q:Q,'AEO25 Table 23'!$B:$B,"*"&amp;$A13&amp;"*")-SUMIFS('AEO25 Table 23'!P:P,'AEO25 Table 23'!$B:$B,"*"&amp;$A13&amp;"*"))/SUMIFS('AEO25 Table 23'!P:P,'AEO25 Table 23'!$B:$B,"*"&amp;$A13&amp;"*"),"")</f>
        <v>-1.7231979642126725E-2</v>
      </c>
      <c r="O13" s="29">
        <f>IFERROR((SUMIFS('AEO25 Table 23'!R:R,'AEO25 Table 23'!$B:$B,"*"&amp;$A13&amp;"*")-SUMIFS('AEO25 Table 23'!Q:Q,'AEO25 Table 23'!$B:$B,"*"&amp;$A13&amp;"*"))/SUMIFS('AEO25 Table 23'!Q:Q,'AEO25 Table 23'!$B:$B,"*"&amp;$A13&amp;"*"),"")</f>
        <v>-1.5101589345942567E-2</v>
      </c>
      <c r="P13" s="29">
        <f>IFERROR((SUMIFS('AEO25 Table 23'!S:S,'AEO25 Table 23'!$B:$B,"*"&amp;$A13&amp;"*")-SUMIFS('AEO25 Table 23'!R:R,'AEO25 Table 23'!$B:$B,"*"&amp;$A13&amp;"*"))/SUMIFS('AEO25 Table 23'!R:R,'AEO25 Table 23'!$B:$B,"*"&amp;$A13&amp;"*"),"")</f>
        <v>-1.535993024326435E-2</v>
      </c>
      <c r="Q13" s="29">
        <f>IFERROR((SUMIFS('AEO25 Table 23'!T:T,'AEO25 Table 23'!$B:$B,"*"&amp;$A13&amp;"*")-SUMIFS('AEO25 Table 23'!S:S,'AEO25 Table 23'!$B:$B,"*"&amp;$A13&amp;"*"))/SUMIFS('AEO25 Table 23'!S:S,'AEO25 Table 23'!$B:$B,"*"&amp;$A13&amp;"*"),"")</f>
        <v>-1.6048159637915206E-2</v>
      </c>
      <c r="R13" s="29">
        <f>IFERROR((SUMIFS('AEO25 Table 23'!U:U,'AEO25 Table 23'!$B:$B,"*"&amp;$A13&amp;"*")-SUMIFS('AEO25 Table 23'!T:T,'AEO25 Table 23'!$B:$B,"*"&amp;$A13&amp;"*"))/SUMIFS('AEO25 Table 23'!T:T,'AEO25 Table 23'!$B:$B,"*"&amp;$A13&amp;"*"),"")</f>
        <v>-1.5470010063622686E-2</v>
      </c>
      <c r="S13" s="29">
        <f>IFERROR((SUMIFS('AEO25 Table 23'!V:V,'AEO25 Table 23'!$B:$B,"*"&amp;$A13&amp;"*")-SUMIFS('AEO25 Table 23'!U:U,'AEO25 Table 23'!$B:$B,"*"&amp;$A13&amp;"*"))/SUMIFS('AEO25 Table 23'!U:U,'AEO25 Table 23'!$B:$B,"*"&amp;$A13&amp;"*"),"")</f>
        <v>-1.2963708144923147E-2</v>
      </c>
      <c r="T13" s="29">
        <f>IFERROR((SUMIFS('AEO25 Table 23'!W:W,'AEO25 Table 23'!$B:$B,"*"&amp;$A13&amp;"*")-SUMIFS('AEO25 Table 23'!V:V,'AEO25 Table 23'!$B:$B,"*"&amp;$A13&amp;"*"))/SUMIFS('AEO25 Table 23'!V:V,'AEO25 Table 23'!$B:$B,"*"&amp;$A13&amp;"*"),"")</f>
        <v>-9.7908544358840683E-3</v>
      </c>
      <c r="U13" s="29">
        <f>IFERROR((SUMIFS('AEO25 Table 23'!X:X,'AEO25 Table 23'!$B:$B,"*"&amp;$A13&amp;"*")-SUMIFS('AEO25 Table 23'!W:W,'AEO25 Table 23'!$B:$B,"*"&amp;$A13&amp;"*"))/SUMIFS('AEO25 Table 23'!W:W,'AEO25 Table 23'!$B:$B,"*"&amp;$A13&amp;"*"),"")</f>
        <v>-7.2604139297888963E-3</v>
      </c>
      <c r="V13" s="29">
        <f>IFERROR((SUMIFS('AEO25 Table 23'!Y:Y,'AEO25 Table 23'!$B:$B,"*"&amp;$A13&amp;"*")-SUMIFS('AEO25 Table 23'!X:X,'AEO25 Table 23'!$B:$B,"*"&amp;$A13&amp;"*"))/SUMIFS('AEO25 Table 23'!X:X,'AEO25 Table 23'!$B:$B,"*"&amp;$A13&amp;"*"),"")</f>
        <v>-7.775455141018261E-3</v>
      </c>
      <c r="W13" s="29">
        <f>IFERROR((SUMIFS('AEO25 Table 23'!Z:Z,'AEO25 Table 23'!$B:$B,"*"&amp;$A13&amp;"*")-SUMIFS('AEO25 Table 23'!Y:Y,'AEO25 Table 23'!$B:$B,"*"&amp;$A13&amp;"*"))/SUMIFS('AEO25 Table 23'!Y:Y,'AEO25 Table 23'!$B:$B,"*"&amp;$A13&amp;"*"),"")</f>
        <v>-7.5570121387028835E-3</v>
      </c>
      <c r="X13" s="29">
        <f>IFERROR((SUMIFS('AEO25 Table 23'!AA:AA,'AEO25 Table 23'!$B:$B,"*"&amp;$A13&amp;"*")-SUMIFS('AEO25 Table 23'!Z:Z,'AEO25 Table 23'!$B:$B,"*"&amp;$A13&amp;"*"))/SUMIFS('AEO25 Table 23'!Z:Z,'AEO25 Table 23'!$B:$B,"*"&amp;$A13&amp;"*"),"")</f>
        <v>-6.8520208472455085E-3</v>
      </c>
      <c r="Y13" s="29">
        <f>IFERROR((SUMIFS('AEO25 Table 23'!AB:AB,'AEO25 Table 23'!$B:$B,"*"&amp;$A13&amp;"*")-SUMIFS('AEO25 Table 23'!AA:AA,'AEO25 Table 23'!$B:$B,"*"&amp;$A13&amp;"*"))/SUMIFS('AEO25 Table 23'!AA:AA,'AEO25 Table 23'!$B:$B,"*"&amp;$A13&amp;"*"),"")</f>
        <v>-4.7722299844543178E-3</v>
      </c>
      <c r="Z13" s="29">
        <f>IFERROR((SUMIFS('AEO25 Table 23'!AC:AC,'AEO25 Table 23'!$B:$B,"*"&amp;$A13&amp;"*")-SUMIFS('AEO25 Table 23'!AB:AB,'AEO25 Table 23'!$B:$B,"*"&amp;$A13&amp;"*"))/SUMIFS('AEO25 Table 23'!AB:AB,'AEO25 Table 23'!$B:$B,"*"&amp;$A13&amp;"*"),"")</f>
        <v>-6.5632154095492789E-3</v>
      </c>
      <c r="AA13" s="29">
        <f>IFERROR((SUMIFS('AEO25 Table 23'!AD:AD,'AEO25 Table 23'!$B:$B,"*"&amp;$A13&amp;"*")-SUMIFS('AEO25 Table 23'!AC:AC,'AEO25 Table 23'!$B:$B,"*"&amp;$A13&amp;"*"))/SUMIFS('AEO25 Table 23'!AC:AC,'AEO25 Table 23'!$B:$B,"*"&amp;$A13&amp;"*"),"")</f>
        <v>-2.7592735616040411E-3</v>
      </c>
      <c r="AB13" s="29">
        <f>IFERROR((SUMIFS('AEO25 Table 23'!AE:AE,'AEO25 Table 23'!$B:$B,"*"&amp;$A13&amp;"*")-SUMIFS('AEO25 Table 23'!AD:AD,'AEO25 Table 23'!$B:$B,"*"&amp;$A13&amp;"*"))/SUMIFS('AEO25 Table 23'!AD:AD,'AEO25 Table 23'!$B:$B,"*"&amp;$A13&amp;"*"),"")</f>
        <v>1.6055828405284476E-3</v>
      </c>
      <c r="AC13" s="29">
        <f>IFERROR((SUMIFS('AEO25 Table 23'!AF:AF,'AEO25 Table 23'!$B:$B,"*"&amp;$A13&amp;"*")-SUMIFS('AEO25 Table 23'!AE:AE,'AEO25 Table 23'!$B:$B,"*"&amp;$A13&amp;"*"))/SUMIFS('AEO25 Table 23'!AE:AE,'AEO25 Table 23'!$B:$B,"*"&amp;$A13&amp;"*"),"")</f>
        <v>-2.7861202238173453E-3</v>
      </c>
      <c r="AD13" s="29">
        <f>IFERROR((SUMIFS('AEO25 Table 23'!AG:AG,'AEO25 Table 23'!$B:$B,"*"&amp;$A13&amp;"*")-SUMIFS('AEO25 Table 23'!AF:AF,'AEO25 Table 23'!$B:$B,"*"&amp;$A13&amp;"*"))/SUMIFS('AEO25 Table 23'!AF:AF,'AEO25 Table 23'!$B:$B,"*"&amp;$A13&amp;"*"),"")</f>
        <v>1.3726638306608807E-3</v>
      </c>
      <c r="AE13" s="29">
        <f>IFERROR((SUMIFS('AEO25 Table 23'!AH:AH,'AEO25 Table 23'!$B:$B,"*"&amp;$A13&amp;"*")-SUMIFS('AEO25 Table 23'!AG:AG,'AEO25 Table 23'!$B:$B,"*"&amp;$A13&amp;"*"))/SUMIFS('AEO25 Table 23'!AG:AG,'AEO25 Table 23'!$B:$B,"*"&amp;$A13&amp;"*"),"")</f>
        <v>1.5760443087168661E-3</v>
      </c>
    </row>
    <row r="14" spans="1:35" x14ac:dyDescent="0.25">
      <c r="A14" s="25" t="s">
        <v>33</v>
      </c>
      <c r="B14" s="13" cm="1">
        <f t="array" ref="B14">IFERROR(SUMPRODUCT(--('BLS Table 2.11'!L:L=$A14),'BLS Table 2.11'!J:J,'BLS Table 2.11'!K:K)/SUMIFS('BLS Table 2.11'!J:J,'BLS Table 2.11'!L:L,$A14)/100,SUMPRODUCT(--('BLS Table 2.11'!M:M=$A14),'BLS Table 2.11'!J:J,'BLS Table 2.11'!K:K)/SUMIFS('BLS Table 2.11'!J:J,'BLS Table 2.11'!M:M,$A14)/100)</f>
        <v>1.24430823117338E-2</v>
      </c>
      <c r="E14" s="1" t="s">
        <v>33</v>
      </c>
      <c r="F14" s="29">
        <f>IFERROR((SUMIFS('AEO25 Table 23'!I:I,'AEO25 Table 23'!$B:$B,"*"&amp;$A14&amp;"*")-SUMIFS('AEO25 Table 23'!H:H,'AEO25 Table 23'!$B:$B,"*"&amp;$A14&amp;"*"))/SUMIFS('AEO25 Table 23'!H:H,'AEO25 Table 23'!$B:$B,"*"&amp;$A14&amp;"*"),"")</f>
        <v>5.1665284598177005E-3</v>
      </c>
      <c r="G14" s="29">
        <f>IFERROR((SUMIFS('AEO25 Table 23'!J:J,'AEO25 Table 23'!$B:$B,"*"&amp;$A14&amp;"*")-SUMIFS('AEO25 Table 23'!I:I,'AEO25 Table 23'!$B:$B,"*"&amp;$A14&amp;"*"))/SUMIFS('AEO25 Table 23'!I:I,'AEO25 Table 23'!$B:$B,"*"&amp;$A14&amp;"*"),"")</f>
        <v>-7.0146267292923309E-3</v>
      </c>
      <c r="H14" s="29">
        <f>IFERROR((SUMIFS('AEO25 Table 23'!K:K,'AEO25 Table 23'!$B:$B,"*"&amp;$A14&amp;"*")-SUMIFS('AEO25 Table 23'!J:J,'AEO25 Table 23'!$B:$B,"*"&amp;$A14&amp;"*"))/SUMIFS('AEO25 Table 23'!J:J,'AEO25 Table 23'!$B:$B,"*"&amp;$A14&amp;"*"),"")</f>
        <v>-2.1804787431951495E-3</v>
      </c>
      <c r="I14" s="29">
        <f>IFERROR((SUMIFS('AEO25 Table 23'!L:L,'AEO25 Table 23'!$B:$B,"*"&amp;$A14&amp;"*")-SUMIFS('AEO25 Table 23'!K:K,'AEO25 Table 23'!$B:$B,"*"&amp;$A14&amp;"*"))/SUMIFS('AEO25 Table 23'!K:K,'AEO25 Table 23'!$B:$B,"*"&amp;$A14&amp;"*"),"")</f>
        <v>-1.9658026589765127E-3</v>
      </c>
      <c r="J14" s="29">
        <f>IFERROR((SUMIFS('AEO25 Table 23'!M:M,'AEO25 Table 23'!$B:$B,"*"&amp;$A14&amp;"*")-SUMIFS('AEO25 Table 23'!L:L,'AEO25 Table 23'!$B:$B,"*"&amp;$A14&amp;"*"))/SUMIFS('AEO25 Table 23'!L:L,'AEO25 Table 23'!$B:$B,"*"&amp;$A14&amp;"*"),"")</f>
        <v>3.4221808232174624E-3</v>
      </c>
      <c r="K14" s="29">
        <f>IFERROR((SUMIFS('AEO25 Table 23'!N:N,'AEO25 Table 23'!$B:$B,"*"&amp;$A14&amp;"*")-SUMIFS('AEO25 Table 23'!M:M,'AEO25 Table 23'!$B:$B,"*"&amp;$A14&amp;"*"))/SUMIFS('AEO25 Table 23'!M:M,'AEO25 Table 23'!$B:$B,"*"&amp;$A14&amp;"*"),"")</f>
        <v>9.2662134560400431E-3</v>
      </c>
      <c r="L14" s="29">
        <f>IFERROR((SUMIFS('AEO25 Table 23'!O:O,'AEO25 Table 23'!$B:$B,"*"&amp;$A14&amp;"*")-SUMIFS('AEO25 Table 23'!N:N,'AEO25 Table 23'!$B:$B,"*"&amp;$A14&amp;"*"))/SUMIFS('AEO25 Table 23'!N:N,'AEO25 Table 23'!$B:$B,"*"&amp;$A14&amp;"*"),"")</f>
        <v>1.1902172444405574E-2</v>
      </c>
      <c r="M14" s="29">
        <f>IFERROR((SUMIFS('AEO25 Table 23'!P:P,'AEO25 Table 23'!$B:$B,"*"&amp;$A14&amp;"*")-SUMIFS('AEO25 Table 23'!O:O,'AEO25 Table 23'!$B:$B,"*"&amp;$A14&amp;"*"))/SUMIFS('AEO25 Table 23'!O:O,'AEO25 Table 23'!$B:$B,"*"&amp;$A14&amp;"*"),"")</f>
        <v>1.3256228602350352E-2</v>
      </c>
      <c r="N14" s="29">
        <f>IFERROR((SUMIFS('AEO25 Table 23'!Q:Q,'AEO25 Table 23'!$B:$B,"*"&amp;$A14&amp;"*")-SUMIFS('AEO25 Table 23'!P:P,'AEO25 Table 23'!$B:$B,"*"&amp;$A14&amp;"*"))/SUMIFS('AEO25 Table 23'!P:P,'AEO25 Table 23'!$B:$B,"*"&amp;$A14&amp;"*"),"")</f>
        <v>1.1541124576031072E-2</v>
      </c>
      <c r="O14" s="29">
        <f>IFERROR((SUMIFS('AEO25 Table 23'!R:R,'AEO25 Table 23'!$B:$B,"*"&amp;$A14&amp;"*")-SUMIFS('AEO25 Table 23'!Q:Q,'AEO25 Table 23'!$B:$B,"*"&amp;$A14&amp;"*"))/SUMIFS('AEO25 Table 23'!Q:Q,'AEO25 Table 23'!$B:$B,"*"&amp;$A14&amp;"*"),"")</f>
        <v>1.3792285866251492E-2</v>
      </c>
      <c r="P14" s="29">
        <f>IFERROR((SUMIFS('AEO25 Table 23'!S:S,'AEO25 Table 23'!$B:$B,"*"&amp;$A14&amp;"*")-SUMIFS('AEO25 Table 23'!R:R,'AEO25 Table 23'!$B:$B,"*"&amp;$A14&amp;"*"))/SUMIFS('AEO25 Table 23'!R:R,'AEO25 Table 23'!$B:$B,"*"&amp;$A14&amp;"*"),"")</f>
        <v>1.2039078869105962E-2</v>
      </c>
      <c r="Q14" s="29">
        <f>IFERROR((SUMIFS('AEO25 Table 23'!T:T,'AEO25 Table 23'!$B:$B,"*"&amp;$A14&amp;"*")-SUMIFS('AEO25 Table 23'!S:S,'AEO25 Table 23'!$B:$B,"*"&amp;$A14&amp;"*"))/SUMIFS('AEO25 Table 23'!S:S,'AEO25 Table 23'!$B:$B,"*"&amp;$A14&amp;"*"),"")</f>
        <v>9.7873749511175993E-3</v>
      </c>
      <c r="R14" s="29">
        <f>IFERROR((SUMIFS('AEO25 Table 23'!U:U,'AEO25 Table 23'!$B:$B,"*"&amp;$A14&amp;"*")-SUMIFS('AEO25 Table 23'!T:T,'AEO25 Table 23'!$B:$B,"*"&amp;$A14&amp;"*"))/SUMIFS('AEO25 Table 23'!T:T,'AEO25 Table 23'!$B:$B,"*"&amp;$A14&amp;"*"),"")</f>
        <v>1.2944920452565517E-2</v>
      </c>
      <c r="S14" s="29">
        <f>IFERROR((SUMIFS('AEO25 Table 23'!V:V,'AEO25 Table 23'!$B:$B,"*"&amp;$A14&amp;"*")-SUMIFS('AEO25 Table 23'!U:U,'AEO25 Table 23'!$B:$B,"*"&amp;$A14&amp;"*"))/SUMIFS('AEO25 Table 23'!U:U,'AEO25 Table 23'!$B:$B,"*"&amp;$A14&amp;"*"),"")</f>
        <v>1.295049711602529E-2</v>
      </c>
      <c r="T14" s="29">
        <f>IFERROR((SUMIFS('AEO25 Table 23'!W:W,'AEO25 Table 23'!$B:$B,"*"&amp;$A14&amp;"*")-SUMIFS('AEO25 Table 23'!V:V,'AEO25 Table 23'!$B:$B,"*"&amp;$A14&amp;"*"))/SUMIFS('AEO25 Table 23'!V:V,'AEO25 Table 23'!$B:$B,"*"&amp;$A14&amp;"*"),"")</f>
        <v>1.3895143200039243E-2</v>
      </c>
      <c r="U14" s="29">
        <f>IFERROR((SUMIFS('AEO25 Table 23'!X:X,'AEO25 Table 23'!$B:$B,"*"&amp;$A14&amp;"*")-SUMIFS('AEO25 Table 23'!W:W,'AEO25 Table 23'!$B:$B,"*"&amp;$A14&amp;"*"))/SUMIFS('AEO25 Table 23'!W:W,'AEO25 Table 23'!$B:$B,"*"&amp;$A14&amp;"*"),"")</f>
        <v>1.5380036570542184E-2</v>
      </c>
      <c r="V14" s="29">
        <f>IFERROR((SUMIFS('AEO25 Table 23'!Y:Y,'AEO25 Table 23'!$B:$B,"*"&amp;$A14&amp;"*")-SUMIFS('AEO25 Table 23'!X:X,'AEO25 Table 23'!$B:$B,"*"&amp;$A14&amp;"*"))/SUMIFS('AEO25 Table 23'!X:X,'AEO25 Table 23'!$B:$B,"*"&amp;$A14&amp;"*"),"")</f>
        <v>1.4478317931588609E-2</v>
      </c>
      <c r="W14" s="29">
        <f>IFERROR((SUMIFS('AEO25 Table 23'!Z:Z,'AEO25 Table 23'!$B:$B,"*"&amp;$A14&amp;"*")-SUMIFS('AEO25 Table 23'!Y:Y,'AEO25 Table 23'!$B:$B,"*"&amp;$A14&amp;"*"))/SUMIFS('AEO25 Table 23'!Y:Y,'AEO25 Table 23'!$B:$B,"*"&amp;$A14&amp;"*"),"")</f>
        <v>1.4981522745204411E-2</v>
      </c>
      <c r="X14" s="29">
        <f>IFERROR((SUMIFS('AEO25 Table 23'!AA:AA,'AEO25 Table 23'!$B:$B,"*"&amp;$A14&amp;"*")-SUMIFS('AEO25 Table 23'!Z:Z,'AEO25 Table 23'!$B:$B,"*"&amp;$A14&amp;"*"))/SUMIFS('AEO25 Table 23'!Z:Z,'AEO25 Table 23'!$B:$B,"*"&amp;$A14&amp;"*"),"")</f>
        <v>1.2937758703953606E-2</v>
      </c>
      <c r="Y14" s="29">
        <f>IFERROR((SUMIFS('AEO25 Table 23'!AB:AB,'AEO25 Table 23'!$B:$B,"*"&amp;$A14&amp;"*")-SUMIFS('AEO25 Table 23'!AA:AA,'AEO25 Table 23'!$B:$B,"*"&amp;$A14&amp;"*"))/SUMIFS('AEO25 Table 23'!AA:AA,'AEO25 Table 23'!$B:$B,"*"&amp;$A14&amp;"*"),"")</f>
        <v>1.2295900700488579E-2</v>
      </c>
      <c r="Z14" s="29">
        <f>IFERROR((SUMIFS('AEO25 Table 23'!AC:AC,'AEO25 Table 23'!$B:$B,"*"&amp;$A14&amp;"*")-SUMIFS('AEO25 Table 23'!AB:AB,'AEO25 Table 23'!$B:$B,"*"&amp;$A14&amp;"*"))/SUMIFS('AEO25 Table 23'!AB:AB,'AEO25 Table 23'!$B:$B,"*"&amp;$A14&amp;"*"),"")</f>
        <v>9.8679939783047638E-3</v>
      </c>
      <c r="AA14" s="29">
        <f>IFERROR((SUMIFS('AEO25 Table 23'!AD:AD,'AEO25 Table 23'!$B:$B,"*"&amp;$A14&amp;"*")-SUMIFS('AEO25 Table 23'!AC:AC,'AEO25 Table 23'!$B:$B,"*"&amp;$A14&amp;"*"))/SUMIFS('AEO25 Table 23'!AC:AC,'AEO25 Table 23'!$B:$B,"*"&amp;$A14&amp;"*"),"")</f>
        <v>1.039189485556552E-2</v>
      </c>
      <c r="AB14" s="29">
        <f>IFERROR((SUMIFS('AEO25 Table 23'!AE:AE,'AEO25 Table 23'!$B:$B,"*"&amp;$A14&amp;"*")-SUMIFS('AEO25 Table 23'!AD:AD,'AEO25 Table 23'!$B:$B,"*"&amp;$A14&amp;"*"))/SUMIFS('AEO25 Table 23'!AD:AD,'AEO25 Table 23'!$B:$B,"*"&amp;$A14&amp;"*"),"")</f>
        <v>1.4044529973683991E-2</v>
      </c>
      <c r="AC14" s="29">
        <f>IFERROR((SUMIFS('AEO25 Table 23'!AF:AF,'AEO25 Table 23'!$B:$B,"*"&amp;$A14&amp;"*")-SUMIFS('AEO25 Table 23'!AE:AE,'AEO25 Table 23'!$B:$B,"*"&amp;$A14&amp;"*"))/SUMIFS('AEO25 Table 23'!AE:AE,'AEO25 Table 23'!$B:$B,"*"&amp;$A14&amp;"*"),"")</f>
        <v>1.1747444852246295E-2</v>
      </c>
      <c r="AD14" s="29">
        <f>IFERROR((SUMIFS('AEO25 Table 23'!AG:AG,'AEO25 Table 23'!$B:$B,"*"&amp;$A14&amp;"*")-SUMIFS('AEO25 Table 23'!AF:AF,'AEO25 Table 23'!$B:$B,"*"&amp;$A14&amp;"*"))/SUMIFS('AEO25 Table 23'!AF:AF,'AEO25 Table 23'!$B:$B,"*"&amp;$A14&amp;"*"),"")</f>
        <v>1.0863789522123265E-2</v>
      </c>
      <c r="AE14" s="29">
        <f>IFERROR((SUMIFS('AEO25 Table 23'!AH:AH,'AEO25 Table 23'!$B:$B,"*"&amp;$A14&amp;"*")-SUMIFS('AEO25 Table 23'!AG:AG,'AEO25 Table 23'!$B:$B,"*"&amp;$A14&amp;"*"))/SUMIFS('AEO25 Table 23'!AG:AG,'AEO25 Table 23'!$B:$B,"*"&amp;$A14&amp;"*"),"")</f>
        <v>9.1205755023789602E-3</v>
      </c>
    </row>
    <row r="15" spans="1:35" x14ac:dyDescent="0.25">
      <c r="A15" s="1" t="s">
        <v>34</v>
      </c>
      <c r="B15" s="13" cm="1">
        <f t="array" ref="B15">IFERROR(SUMPRODUCT(--('BLS Table 2.11'!L:L=$A15),'BLS Table 2.11'!J:J,'BLS Table 2.11'!K:K)/SUMIFS('BLS Table 2.11'!J:J,'BLS Table 2.11'!L:L,$A15)/100,SUMPRODUCT(--('BLS Table 2.11'!M:M=$A15),'BLS Table 2.11'!J:J,'BLS Table 2.11'!K:K)/SUMIFS('BLS Table 2.11'!J:J,'BLS Table 2.11'!M:M,$A15)/100)</f>
        <v>2.3999999999999994E-2</v>
      </c>
      <c r="E15" s="1" t="s">
        <v>34</v>
      </c>
      <c r="F15" s="29" t="str">
        <f>IFERROR((SUMIFS('AEO25 Table 23'!I:I,'AEO25 Table 23'!$B:$B,"*"&amp;$A15&amp;"*")-SUMIFS('AEO25 Table 23'!H:H,'AEO25 Table 23'!$B:$B,"*"&amp;$A15&amp;"*"))/SUMIFS('AEO25 Table 23'!H:H,'AEO25 Table 23'!$B:$B,"*"&amp;$A15&amp;"*"),"")</f>
        <v/>
      </c>
      <c r="G15" s="29" t="str">
        <f>IFERROR((SUMIFS('AEO25 Table 23'!J:J,'AEO25 Table 23'!$B:$B,"*"&amp;$A15&amp;"*")-SUMIFS('AEO25 Table 23'!I:I,'AEO25 Table 23'!$B:$B,"*"&amp;$A15&amp;"*"))/SUMIFS('AEO25 Table 23'!I:I,'AEO25 Table 23'!$B:$B,"*"&amp;$A15&amp;"*"),"")</f>
        <v/>
      </c>
      <c r="H15" s="29" t="str">
        <f>IFERROR((SUMIFS('AEO25 Table 23'!K:K,'AEO25 Table 23'!$B:$B,"*"&amp;$A15&amp;"*")-SUMIFS('AEO25 Table 23'!J:J,'AEO25 Table 23'!$B:$B,"*"&amp;$A15&amp;"*"))/SUMIFS('AEO25 Table 23'!J:J,'AEO25 Table 23'!$B:$B,"*"&amp;$A15&amp;"*"),"")</f>
        <v/>
      </c>
      <c r="I15" s="29" t="str">
        <f>IFERROR((SUMIFS('AEO25 Table 23'!L:L,'AEO25 Table 23'!$B:$B,"*"&amp;$A15&amp;"*")-SUMIFS('AEO25 Table 23'!K:K,'AEO25 Table 23'!$B:$B,"*"&amp;$A15&amp;"*"))/SUMIFS('AEO25 Table 23'!K:K,'AEO25 Table 23'!$B:$B,"*"&amp;$A15&amp;"*"),"")</f>
        <v/>
      </c>
      <c r="J15" s="29" t="str">
        <f>IFERROR((SUMIFS('AEO25 Table 23'!M:M,'AEO25 Table 23'!$B:$B,"*"&amp;$A15&amp;"*")-SUMIFS('AEO25 Table 23'!L:L,'AEO25 Table 23'!$B:$B,"*"&amp;$A15&amp;"*"))/SUMIFS('AEO25 Table 23'!L:L,'AEO25 Table 23'!$B:$B,"*"&amp;$A15&amp;"*"),"")</f>
        <v/>
      </c>
      <c r="K15" s="29" t="str">
        <f>IFERROR((SUMIFS('AEO25 Table 23'!N:N,'AEO25 Table 23'!$B:$B,"*"&amp;$A15&amp;"*")-SUMIFS('AEO25 Table 23'!M:M,'AEO25 Table 23'!$B:$B,"*"&amp;$A15&amp;"*"))/SUMIFS('AEO25 Table 23'!M:M,'AEO25 Table 23'!$B:$B,"*"&amp;$A15&amp;"*"),"")</f>
        <v/>
      </c>
      <c r="L15" s="29" t="str">
        <f>IFERROR((SUMIFS('AEO25 Table 23'!O:O,'AEO25 Table 23'!$B:$B,"*"&amp;$A15&amp;"*")-SUMIFS('AEO25 Table 23'!N:N,'AEO25 Table 23'!$B:$B,"*"&amp;$A15&amp;"*"))/SUMIFS('AEO25 Table 23'!N:N,'AEO25 Table 23'!$B:$B,"*"&amp;$A15&amp;"*"),"")</f>
        <v/>
      </c>
      <c r="M15" s="29" t="str">
        <f>IFERROR((SUMIFS('AEO25 Table 23'!P:P,'AEO25 Table 23'!$B:$B,"*"&amp;$A15&amp;"*")-SUMIFS('AEO25 Table 23'!O:O,'AEO25 Table 23'!$B:$B,"*"&amp;$A15&amp;"*"))/SUMIFS('AEO25 Table 23'!O:O,'AEO25 Table 23'!$B:$B,"*"&amp;$A15&amp;"*"),"")</f>
        <v/>
      </c>
      <c r="N15" s="29" t="str">
        <f>IFERROR((SUMIFS('AEO25 Table 23'!Q:Q,'AEO25 Table 23'!$B:$B,"*"&amp;$A15&amp;"*")-SUMIFS('AEO25 Table 23'!P:P,'AEO25 Table 23'!$B:$B,"*"&amp;$A15&amp;"*"))/SUMIFS('AEO25 Table 23'!P:P,'AEO25 Table 23'!$B:$B,"*"&amp;$A15&amp;"*"),"")</f>
        <v/>
      </c>
      <c r="O15" s="29" t="str">
        <f>IFERROR((SUMIFS('AEO25 Table 23'!R:R,'AEO25 Table 23'!$B:$B,"*"&amp;$A15&amp;"*")-SUMIFS('AEO25 Table 23'!Q:Q,'AEO25 Table 23'!$B:$B,"*"&amp;$A15&amp;"*"))/SUMIFS('AEO25 Table 23'!Q:Q,'AEO25 Table 23'!$B:$B,"*"&amp;$A15&amp;"*"),"")</f>
        <v/>
      </c>
      <c r="P15" s="29" t="str">
        <f>IFERROR((SUMIFS('AEO25 Table 23'!S:S,'AEO25 Table 23'!$B:$B,"*"&amp;$A15&amp;"*")-SUMIFS('AEO25 Table 23'!R:R,'AEO25 Table 23'!$B:$B,"*"&amp;$A15&amp;"*"))/SUMIFS('AEO25 Table 23'!R:R,'AEO25 Table 23'!$B:$B,"*"&amp;$A15&amp;"*"),"")</f>
        <v/>
      </c>
      <c r="Q15" s="29" t="str">
        <f>IFERROR((SUMIFS('AEO25 Table 23'!T:T,'AEO25 Table 23'!$B:$B,"*"&amp;$A15&amp;"*")-SUMIFS('AEO25 Table 23'!S:S,'AEO25 Table 23'!$B:$B,"*"&amp;$A15&amp;"*"))/SUMIFS('AEO25 Table 23'!S:S,'AEO25 Table 23'!$B:$B,"*"&amp;$A15&amp;"*"),"")</f>
        <v/>
      </c>
      <c r="R15" s="29" t="str">
        <f>IFERROR((SUMIFS('AEO25 Table 23'!U:U,'AEO25 Table 23'!$B:$B,"*"&amp;$A15&amp;"*")-SUMIFS('AEO25 Table 23'!T:T,'AEO25 Table 23'!$B:$B,"*"&amp;$A15&amp;"*"))/SUMIFS('AEO25 Table 23'!T:T,'AEO25 Table 23'!$B:$B,"*"&amp;$A15&amp;"*"),"")</f>
        <v/>
      </c>
      <c r="S15" s="29" t="str">
        <f>IFERROR((SUMIFS('AEO25 Table 23'!V:V,'AEO25 Table 23'!$B:$B,"*"&amp;$A15&amp;"*")-SUMIFS('AEO25 Table 23'!U:U,'AEO25 Table 23'!$B:$B,"*"&amp;$A15&amp;"*"))/SUMIFS('AEO25 Table 23'!U:U,'AEO25 Table 23'!$B:$B,"*"&amp;$A15&amp;"*"),"")</f>
        <v/>
      </c>
      <c r="T15" s="29" t="str">
        <f>IFERROR((SUMIFS('AEO25 Table 23'!W:W,'AEO25 Table 23'!$B:$B,"*"&amp;$A15&amp;"*")-SUMIFS('AEO25 Table 23'!V:V,'AEO25 Table 23'!$B:$B,"*"&amp;$A15&amp;"*"))/SUMIFS('AEO25 Table 23'!V:V,'AEO25 Table 23'!$B:$B,"*"&amp;$A15&amp;"*"),"")</f>
        <v/>
      </c>
      <c r="U15" s="29" t="str">
        <f>IFERROR((SUMIFS('AEO25 Table 23'!X:X,'AEO25 Table 23'!$B:$B,"*"&amp;$A15&amp;"*")-SUMIFS('AEO25 Table 23'!W:W,'AEO25 Table 23'!$B:$B,"*"&amp;$A15&amp;"*"))/SUMIFS('AEO25 Table 23'!W:W,'AEO25 Table 23'!$B:$B,"*"&amp;$A15&amp;"*"),"")</f>
        <v/>
      </c>
      <c r="V15" s="29" t="str">
        <f>IFERROR((SUMIFS('AEO25 Table 23'!Y:Y,'AEO25 Table 23'!$B:$B,"*"&amp;$A15&amp;"*")-SUMIFS('AEO25 Table 23'!X:X,'AEO25 Table 23'!$B:$B,"*"&amp;$A15&amp;"*"))/SUMIFS('AEO25 Table 23'!X:X,'AEO25 Table 23'!$B:$B,"*"&amp;$A15&amp;"*"),"")</f>
        <v/>
      </c>
      <c r="W15" s="29" t="str">
        <f>IFERROR((SUMIFS('AEO25 Table 23'!Z:Z,'AEO25 Table 23'!$B:$B,"*"&amp;$A15&amp;"*")-SUMIFS('AEO25 Table 23'!Y:Y,'AEO25 Table 23'!$B:$B,"*"&amp;$A15&amp;"*"))/SUMIFS('AEO25 Table 23'!Y:Y,'AEO25 Table 23'!$B:$B,"*"&amp;$A15&amp;"*"),"")</f>
        <v/>
      </c>
      <c r="X15" s="29" t="str">
        <f>IFERROR((SUMIFS('AEO25 Table 23'!AA:AA,'AEO25 Table 23'!$B:$B,"*"&amp;$A15&amp;"*")-SUMIFS('AEO25 Table 23'!Z:Z,'AEO25 Table 23'!$B:$B,"*"&amp;$A15&amp;"*"))/SUMIFS('AEO25 Table 23'!Z:Z,'AEO25 Table 23'!$B:$B,"*"&amp;$A15&amp;"*"),"")</f>
        <v/>
      </c>
      <c r="Y15" s="29" t="str">
        <f>IFERROR((SUMIFS('AEO25 Table 23'!AB:AB,'AEO25 Table 23'!$B:$B,"*"&amp;$A15&amp;"*")-SUMIFS('AEO25 Table 23'!AA:AA,'AEO25 Table 23'!$B:$B,"*"&amp;$A15&amp;"*"))/SUMIFS('AEO25 Table 23'!AA:AA,'AEO25 Table 23'!$B:$B,"*"&amp;$A15&amp;"*"),"")</f>
        <v/>
      </c>
      <c r="Z15" s="29" t="str">
        <f>IFERROR((SUMIFS('AEO25 Table 23'!AC:AC,'AEO25 Table 23'!$B:$B,"*"&amp;$A15&amp;"*")-SUMIFS('AEO25 Table 23'!AB:AB,'AEO25 Table 23'!$B:$B,"*"&amp;$A15&amp;"*"))/SUMIFS('AEO25 Table 23'!AB:AB,'AEO25 Table 23'!$B:$B,"*"&amp;$A15&amp;"*"),"")</f>
        <v/>
      </c>
      <c r="AA15" s="29" t="str">
        <f>IFERROR((SUMIFS('AEO25 Table 23'!AD:AD,'AEO25 Table 23'!$B:$B,"*"&amp;$A15&amp;"*")-SUMIFS('AEO25 Table 23'!AC:AC,'AEO25 Table 23'!$B:$B,"*"&amp;$A15&amp;"*"))/SUMIFS('AEO25 Table 23'!AC:AC,'AEO25 Table 23'!$B:$B,"*"&amp;$A15&amp;"*"),"")</f>
        <v/>
      </c>
      <c r="AB15" s="29" t="str">
        <f>IFERROR((SUMIFS('AEO25 Table 23'!AE:AE,'AEO25 Table 23'!$B:$B,"*"&amp;$A15&amp;"*")-SUMIFS('AEO25 Table 23'!AD:AD,'AEO25 Table 23'!$B:$B,"*"&amp;$A15&amp;"*"))/SUMIFS('AEO25 Table 23'!AD:AD,'AEO25 Table 23'!$B:$B,"*"&amp;$A15&amp;"*"),"")</f>
        <v/>
      </c>
      <c r="AC15" s="29" t="str">
        <f>IFERROR((SUMIFS('AEO25 Table 23'!AF:AF,'AEO25 Table 23'!$B:$B,"*"&amp;$A15&amp;"*")-SUMIFS('AEO25 Table 23'!AE:AE,'AEO25 Table 23'!$B:$B,"*"&amp;$A15&amp;"*"))/SUMIFS('AEO25 Table 23'!AE:AE,'AEO25 Table 23'!$B:$B,"*"&amp;$A15&amp;"*"),"")</f>
        <v/>
      </c>
      <c r="AD15" s="29" t="str">
        <f>IFERROR((SUMIFS('AEO25 Table 23'!AG:AG,'AEO25 Table 23'!$B:$B,"*"&amp;$A15&amp;"*")-SUMIFS('AEO25 Table 23'!AF:AF,'AEO25 Table 23'!$B:$B,"*"&amp;$A15&amp;"*"))/SUMIFS('AEO25 Table 23'!AF:AF,'AEO25 Table 23'!$B:$B,"*"&amp;$A15&amp;"*"),"")</f>
        <v/>
      </c>
      <c r="AE15" s="29" t="str">
        <f>IFERROR((SUMIFS('AEO25 Table 23'!AH:AH,'AEO25 Table 23'!$B:$B,"*"&amp;$A15&amp;"*")-SUMIFS('AEO25 Table 23'!AG:AG,'AEO25 Table 23'!$B:$B,"*"&amp;$A15&amp;"*"))/SUMIFS('AEO25 Table 23'!AG:AG,'AEO25 Table 23'!$B:$B,"*"&amp;$A15&amp;"*"),"")</f>
        <v/>
      </c>
    </row>
    <row r="16" spans="1:35" x14ac:dyDescent="0.25">
      <c r="A16" s="25" t="s">
        <v>10</v>
      </c>
      <c r="B16" s="13" cm="1">
        <f t="array" ref="B16">IFERROR(SUMPRODUCT(--('BLS Table 2.11'!L:L=$A16),'BLS Table 2.11'!J:J,'BLS Table 2.11'!K:K)/SUMIFS('BLS Table 2.11'!J:J,'BLS Table 2.11'!L:L,$A16)/100,SUMPRODUCT(--('BLS Table 2.11'!M:M=$A16),'BLS Table 2.11'!J:J,'BLS Table 2.11'!K:K)/SUMIFS('BLS Table 2.11'!J:J,'BLS Table 2.11'!M:M,$A16)/100)</f>
        <v>8.9999999999999993E-3</v>
      </c>
      <c r="E16" s="1" t="s">
        <v>10</v>
      </c>
      <c r="F16" s="29">
        <f>IFERROR((SUMIFS('AEO25 Table 23'!I:I,'AEO25 Table 23'!$B:$B,"*"&amp;$A16&amp;"*")-SUMIFS('AEO25 Table 23'!H:H,'AEO25 Table 23'!$B:$B,"*"&amp;$A16&amp;"*"))/SUMIFS('AEO25 Table 23'!H:H,'AEO25 Table 23'!$B:$B,"*"&amp;$A16&amp;"*"),"")</f>
        <v>2.5276672821325334E-2</v>
      </c>
      <c r="G16" s="29">
        <f>IFERROR((SUMIFS('AEO25 Table 23'!J:J,'AEO25 Table 23'!$B:$B,"*"&amp;$A16&amp;"*")-SUMIFS('AEO25 Table 23'!I:I,'AEO25 Table 23'!$B:$B,"*"&amp;$A16&amp;"*"))/SUMIFS('AEO25 Table 23'!I:I,'AEO25 Table 23'!$B:$B,"*"&amp;$A16&amp;"*"),"")</f>
        <v>3.2237903235623352E-2</v>
      </c>
      <c r="H16" s="29">
        <f>IFERROR((SUMIFS('AEO25 Table 23'!K:K,'AEO25 Table 23'!$B:$B,"*"&amp;$A16&amp;"*")-SUMIFS('AEO25 Table 23'!J:J,'AEO25 Table 23'!$B:$B,"*"&amp;$A16&amp;"*"))/SUMIFS('AEO25 Table 23'!J:J,'AEO25 Table 23'!$B:$B,"*"&amp;$A16&amp;"*"),"")</f>
        <v>1.9065157136595724E-2</v>
      </c>
      <c r="I16" s="29">
        <f>IFERROR((SUMIFS('AEO25 Table 23'!L:L,'AEO25 Table 23'!$B:$B,"*"&amp;$A16&amp;"*")-SUMIFS('AEO25 Table 23'!K:K,'AEO25 Table 23'!$B:$B,"*"&amp;$A16&amp;"*"))/SUMIFS('AEO25 Table 23'!K:K,'AEO25 Table 23'!$B:$B,"*"&amp;$A16&amp;"*"),"")</f>
        <v>8.743943838241031E-3</v>
      </c>
      <c r="J16" s="29">
        <f>IFERROR((SUMIFS('AEO25 Table 23'!M:M,'AEO25 Table 23'!$B:$B,"*"&amp;$A16&amp;"*")-SUMIFS('AEO25 Table 23'!L:L,'AEO25 Table 23'!$B:$B,"*"&amp;$A16&amp;"*"))/SUMIFS('AEO25 Table 23'!L:L,'AEO25 Table 23'!$B:$B,"*"&amp;$A16&amp;"*"),"")</f>
        <v>1.2673275857844482E-2</v>
      </c>
      <c r="K16" s="29">
        <f>IFERROR((SUMIFS('AEO25 Table 23'!N:N,'AEO25 Table 23'!$B:$B,"*"&amp;$A16&amp;"*")-SUMIFS('AEO25 Table 23'!M:M,'AEO25 Table 23'!$B:$B,"*"&amp;$A16&amp;"*"))/SUMIFS('AEO25 Table 23'!M:M,'AEO25 Table 23'!$B:$B,"*"&amp;$A16&amp;"*"),"")</f>
        <v>1.6089915221361727E-2</v>
      </c>
      <c r="L16" s="29">
        <f>IFERROR((SUMIFS('AEO25 Table 23'!O:O,'AEO25 Table 23'!$B:$B,"*"&amp;$A16&amp;"*")-SUMIFS('AEO25 Table 23'!N:N,'AEO25 Table 23'!$B:$B,"*"&amp;$A16&amp;"*"))/SUMIFS('AEO25 Table 23'!N:N,'AEO25 Table 23'!$B:$B,"*"&amp;$A16&amp;"*"),"")</f>
        <v>1.5982841402497523E-2</v>
      </c>
      <c r="M16" s="29">
        <f>IFERROR((SUMIFS('AEO25 Table 23'!P:P,'AEO25 Table 23'!$B:$B,"*"&amp;$A16&amp;"*")-SUMIFS('AEO25 Table 23'!O:O,'AEO25 Table 23'!$B:$B,"*"&amp;$A16&amp;"*"))/SUMIFS('AEO25 Table 23'!O:O,'AEO25 Table 23'!$B:$B,"*"&amp;$A16&amp;"*"),"")</f>
        <v>1.4939756591494166E-2</v>
      </c>
      <c r="N16" s="29">
        <f>IFERROR((SUMIFS('AEO25 Table 23'!Q:Q,'AEO25 Table 23'!$B:$B,"*"&amp;$A16&amp;"*")-SUMIFS('AEO25 Table 23'!P:P,'AEO25 Table 23'!$B:$B,"*"&amp;$A16&amp;"*"))/SUMIFS('AEO25 Table 23'!P:P,'AEO25 Table 23'!$B:$B,"*"&amp;$A16&amp;"*"),"")</f>
        <v>1.2830755726271501E-2</v>
      </c>
      <c r="O16" s="29">
        <f>IFERROR((SUMIFS('AEO25 Table 23'!R:R,'AEO25 Table 23'!$B:$B,"*"&amp;$A16&amp;"*")-SUMIFS('AEO25 Table 23'!Q:Q,'AEO25 Table 23'!$B:$B,"*"&amp;$A16&amp;"*"))/SUMIFS('AEO25 Table 23'!Q:Q,'AEO25 Table 23'!$B:$B,"*"&amp;$A16&amp;"*"),"")</f>
        <v>1.6364535289412785E-2</v>
      </c>
      <c r="P16" s="29">
        <f>IFERROR((SUMIFS('AEO25 Table 23'!S:S,'AEO25 Table 23'!$B:$B,"*"&amp;$A16&amp;"*")-SUMIFS('AEO25 Table 23'!R:R,'AEO25 Table 23'!$B:$B,"*"&amp;$A16&amp;"*"))/SUMIFS('AEO25 Table 23'!R:R,'AEO25 Table 23'!$B:$B,"*"&amp;$A16&amp;"*"),"")</f>
        <v>1.2286501057714854E-2</v>
      </c>
      <c r="Q16" s="29">
        <f>IFERROR((SUMIFS('AEO25 Table 23'!T:T,'AEO25 Table 23'!$B:$B,"*"&amp;$A16&amp;"*")-SUMIFS('AEO25 Table 23'!S:S,'AEO25 Table 23'!$B:$B,"*"&amp;$A16&amp;"*"))/SUMIFS('AEO25 Table 23'!S:S,'AEO25 Table 23'!$B:$B,"*"&amp;$A16&amp;"*"),"")</f>
        <v>8.8574108135729586E-3</v>
      </c>
      <c r="R16" s="29">
        <f>IFERROR((SUMIFS('AEO25 Table 23'!U:U,'AEO25 Table 23'!$B:$B,"*"&amp;$A16&amp;"*")-SUMIFS('AEO25 Table 23'!T:T,'AEO25 Table 23'!$B:$B,"*"&amp;$A16&amp;"*"))/SUMIFS('AEO25 Table 23'!T:T,'AEO25 Table 23'!$B:$B,"*"&amp;$A16&amp;"*"),"")</f>
        <v>1.1628070834384434E-2</v>
      </c>
      <c r="S16" s="29">
        <f>IFERROR((SUMIFS('AEO25 Table 23'!V:V,'AEO25 Table 23'!$B:$B,"*"&amp;$A16&amp;"*")-SUMIFS('AEO25 Table 23'!U:U,'AEO25 Table 23'!$B:$B,"*"&amp;$A16&amp;"*"))/SUMIFS('AEO25 Table 23'!U:U,'AEO25 Table 23'!$B:$B,"*"&amp;$A16&amp;"*"),"")</f>
        <v>9.7860372275935872E-3</v>
      </c>
      <c r="T16" s="29">
        <f>IFERROR((SUMIFS('AEO25 Table 23'!W:W,'AEO25 Table 23'!$B:$B,"*"&amp;$A16&amp;"*")-SUMIFS('AEO25 Table 23'!V:V,'AEO25 Table 23'!$B:$B,"*"&amp;$A16&amp;"*"))/SUMIFS('AEO25 Table 23'!V:V,'AEO25 Table 23'!$B:$B,"*"&amp;$A16&amp;"*"),"")</f>
        <v>1.0200526850584537E-2</v>
      </c>
      <c r="U16" s="29">
        <f>IFERROR((SUMIFS('AEO25 Table 23'!X:X,'AEO25 Table 23'!$B:$B,"*"&amp;$A16&amp;"*")-SUMIFS('AEO25 Table 23'!W:W,'AEO25 Table 23'!$B:$B,"*"&amp;$A16&amp;"*"))/SUMIFS('AEO25 Table 23'!W:W,'AEO25 Table 23'!$B:$B,"*"&amp;$A16&amp;"*"),"")</f>
        <v>1.1442643402212928E-2</v>
      </c>
      <c r="V16" s="29">
        <f>IFERROR((SUMIFS('AEO25 Table 23'!Y:Y,'AEO25 Table 23'!$B:$B,"*"&amp;$A16&amp;"*")-SUMIFS('AEO25 Table 23'!X:X,'AEO25 Table 23'!$B:$B,"*"&amp;$A16&amp;"*"))/SUMIFS('AEO25 Table 23'!X:X,'AEO25 Table 23'!$B:$B,"*"&amp;$A16&amp;"*"),"")</f>
        <v>9.8054805769355428E-3</v>
      </c>
      <c r="W16" s="29">
        <f>IFERROR((SUMIFS('AEO25 Table 23'!Z:Z,'AEO25 Table 23'!$B:$B,"*"&amp;$A16&amp;"*")-SUMIFS('AEO25 Table 23'!Y:Y,'AEO25 Table 23'!$B:$B,"*"&amp;$A16&amp;"*"))/SUMIFS('AEO25 Table 23'!Y:Y,'AEO25 Table 23'!$B:$B,"*"&amp;$A16&amp;"*"),"")</f>
        <v>1.0513830841450729E-2</v>
      </c>
      <c r="X16" s="29">
        <f>IFERROR((SUMIFS('AEO25 Table 23'!AA:AA,'AEO25 Table 23'!$B:$B,"*"&amp;$A16&amp;"*")-SUMIFS('AEO25 Table 23'!Z:Z,'AEO25 Table 23'!$B:$B,"*"&amp;$A16&amp;"*"))/SUMIFS('AEO25 Table 23'!Z:Z,'AEO25 Table 23'!$B:$B,"*"&amp;$A16&amp;"*"),"")</f>
        <v>7.2484337617855681E-3</v>
      </c>
      <c r="Y16" s="29">
        <f>IFERROR((SUMIFS('AEO25 Table 23'!AB:AB,'AEO25 Table 23'!$B:$B,"*"&amp;$A16&amp;"*")-SUMIFS('AEO25 Table 23'!AA:AA,'AEO25 Table 23'!$B:$B,"*"&amp;$A16&amp;"*"))/SUMIFS('AEO25 Table 23'!AA:AA,'AEO25 Table 23'!$B:$B,"*"&amp;$A16&amp;"*"),"")</f>
        <v>7.5497788815160173E-3</v>
      </c>
      <c r="Z16" s="29">
        <f>IFERROR((SUMIFS('AEO25 Table 23'!AC:AC,'AEO25 Table 23'!$B:$B,"*"&amp;$A16&amp;"*")-SUMIFS('AEO25 Table 23'!AB:AB,'AEO25 Table 23'!$B:$B,"*"&amp;$A16&amp;"*"))/SUMIFS('AEO25 Table 23'!AB:AB,'AEO25 Table 23'!$B:$B,"*"&amp;$A16&amp;"*"),"")</f>
        <v>5.9624590784993761E-3</v>
      </c>
      <c r="AA16" s="29">
        <f>IFERROR((SUMIFS('AEO25 Table 23'!AD:AD,'AEO25 Table 23'!$B:$B,"*"&amp;$A16&amp;"*")-SUMIFS('AEO25 Table 23'!AC:AC,'AEO25 Table 23'!$B:$B,"*"&amp;$A16&amp;"*"))/SUMIFS('AEO25 Table 23'!AC:AC,'AEO25 Table 23'!$B:$B,"*"&amp;$A16&amp;"*"),"")</f>
        <v>6.6212919310544615E-3</v>
      </c>
      <c r="AB16" s="29">
        <f>IFERROR((SUMIFS('AEO25 Table 23'!AE:AE,'AEO25 Table 23'!$B:$B,"*"&amp;$A16&amp;"*")-SUMIFS('AEO25 Table 23'!AD:AD,'AEO25 Table 23'!$B:$B,"*"&amp;$A16&amp;"*"))/SUMIFS('AEO25 Table 23'!AD:AD,'AEO25 Table 23'!$B:$B,"*"&amp;$A16&amp;"*"),"")</f>
        <v>7.6848159738344126E-3</v>
      </c>
      <c r="AC16" s="29">
        <f>IFERROR((SUMIFS('AEO25 Table 23'!AF:AF,'AEO25 Table 23'!$B:$B,"*"&amp;$A16&amp;"*")-SUMIFS('AEO25 Table 23'!AE:AE,'AEO25 Table 23'!$B:$B,"*"&amp;$A16&amp;"*"))/SUMIFS('AEO25 Table 23'!AE:AE,'AEO25 Table 23'!$B:$B,"*"&amp;$A16&amp;"*"),"")</f>
        <v>6.7880871828263053E-3</v>
      </c>
      <c r="AD16" s="29">
        <f>IFERROR((SUMIFS('AEO25 Table 23'!AG:AG,'AEO25 Table 23'!$B:$B,"*"&amp;$A16&amp;"*")-SUMIFS('AEO25 Table 23'!AF:AF,'AEO25 Table 23'!$B:$B,"*"&amp;$A16&amp;"*"))/SUMIFS('AEO25 Table 23'!AF:AF,'AEO25 Table 23'!$B:$B,"*"&amp;$A16&amp;"*"),"")</f>
        <v>7.2496980406510213E-3</v>
      </c>
      <c r="AE16" s="29">
        <f>IFERROR((SUMIFS('AEO25 Table 23'!AH:AH,'AEO25 Table 23'!$B:$B,"*"&amp;$A16&amp;"*")-SUMIFS('AEO25 Table 23'!AG:AG,'AEO25 Table 23'!$B:$B,"*"&amp;$A16&amp;"*"))/SUMIFS('AEO25 Table 23'!AG:AG,'AEO25 Table 23'!$B:$B,"*"&amp;$A16&amp;"*"),"")</f>
        <v>5.7409853063217558E-3</v>
      </c>
    </row>
    <row r="17" spans="1:31" x14ac:dyDescent="0.25">
      <c r="A17" s="25" t="s">
        <v>38</v>
      </c>
      <c r="B17" s="13" cm="1">
        <f t="array" ref="B17">IFERROR(SUMPRODUCT(--('BLS Table 2.11'!L:L=$A17),'BLS Table 2.11'!J:J,'BLS Table 2.11'!K:K)/SUMIFS('BLS Table 2.11'!J:J,'BLS Table 2.11'!L:L,$A17)/100,SUMPRODUCT(--('BLS Table 2.11'!M:M=$A17),'BLS Table 2.11'!J:J,'BLS Table 2.11'!K:K)/SUMIFS('BLS Table 2.11'!J:J,'BLS Table 2.11'!M:M,$A17)/100)</f>
        <v>1.4999999999999999E-2</v>
      </c>
      <c r="E17" s="1" t="s">
        <v>38</v>
      </c>
      <c r="F17" s="29">
        <f>IFERROR((SUMIFS('AEO25 Table 23'!I:I,'AEO25 Table 23'!$B:$B,"*"&amp;$A17&amp;"*")-SUMIFS('AEO25 Table 23'!H:H,'AEO25 Table 23'!$B:$B,"*"&amp;$A17&amp;"*"))/SUMIFS('AEO25 Table 23'!H:H,'AEO25 Table 23'!$B:$B,"*"&amp;$A17&amp;"*"),"")</f>
        <v>-7.4908174144431433E-3</v>
      </c>
      <c r="G17" s="29">
        <f>IFERROR((SUMIFS('AEO25 Table 23'!J:J,'AEO25 Table 23'!$B:$B,"*"&amp;$A17&amp;"*")-SUMIFS('AEO25 Table 23'!I:I,'AEO25 Table 23'!$B:$B,"*"&amp;$A17&amp;"*"))/SUMIFS('AEO25 Table 23'!I:I,'AEO25 Table 23'!$B:$B,"*"&amp;$A17&amp;"*"),"")</f>
        <v>-2.219889907326098E-3</v>
      </c>
      <c r="H17" s="29">
        <f>IFERROR((SUMIFS('AEO25 Table 23'!K:K,'AEO25 Table 23'!$B:$B,"*"&amp;$A17&amp;"*")-SUMIFS('AEO25 Table 23'!J:J,'AEO25 Table 23'!$B:$B,"*"&amp;$A17&amp;"*"))/SUMIFS('AEO25 Table 23'!J:J,'AEO25 Table 23'!$B:$B,"*"&amp;$A17&amp;"*"),"")</f>
        <v>-5.7708467779691024E-4</v>
      </c>
      <c r="I17" s="29">
        <f>IFERROR((SUMIFS('AEO25 Table 23'!L:L,'AEO25 Table 23'!$B:$B,"*"&amp;$A17&amp;"*")-SUMIFS('AEO25 Table 23'!K:K,'AEO25 Table 23'!$B:$B,"*"&amp;$A17&amp;"*"))/SUMIFS('AEO25 Table 23'!K:K,'AEO25 Table 23'!$B:$B,"*"&amp;$A17&amp;"*"),"")</f>
        <v>1.5666446419822092E-3</v>
      </c>
      <c r="J17" s="29">
        <f>IFERROR((SUMIFS('AEO25 Table 23'!M:M,'AEO25 Table 23'!$B:$B,"*"&amp;$A17&amp;"*")-SUMIFS('AEO25 Table 23'!L:L,'AEO25 Table 23'!$B:$B,"*"&amp;$A17&amp;"*"))/SUMIFS('AEO25 Table 23'!L:L,'AEO25 Table 23'!$B:$B,"*"&amp;$A17&amp;"*"),"")</f>
        <v>2.1668563065671527E-3</v>
      </c>
      <c r="K17" s="29">
        <f>IFERROR((SUMIFS('AEO25 Table 23'!N:N,'AEO25 Table 23'!$B:$B,"*"&amp;$A17&amp;"*")-SUMIFS('AEO25 Table 23'!M:M,'AEO25 Table 23'!$B:$B,"*"&amp;$A17&amp;"*"))/SUMIFS('AEO25 Table 23'!M:M,'AEO25 Table 23'!$B:$B,"*"&amp;$A17&amp;"*"),"")</f>
        <v>2.8976923153809821E-3</v>
      </c>
      <c r="L17" s="29">
        <f>IFERROR((SUMIFS('AEO25 Table 23'!O:O,'AEO25 Table 23'!$B:$B,"*"&amp;$A17&amp;"*")-SUMIFS('AEO25 Table 23'!N:N,'AEO25 Table 23'!$B:$B,"*"&amp;$A17&amp;"*"))/SUMIFS('AEO25 Table 23'!N:N,'AEO25 Table 23'!$B:$B,"*"&amp;$A17&amp;"*"),"")</f>
        <v>4.9074456067386566E-3</v>
      </c>
      <c r="M17" s="29">
        <f>IFERROR((SUMIFS('AEO25 Table 23'!P:P,'AEO25 Table 23'!$B:$B,"*"&amp;$A17&amp;"*")-SUMIFS('AEO25 Table 23'!O:O,'AEO25 Table 23'!$B:$B,"*"&amp;$A17&amp;"*"))/SUMIFS('AEO25 Table 23'!O:O,'AEO25 Table 23'!$B:$B,"*"&amp;$A17&amp;"*"),"")</f>
        <v>6.3263001583297156E-3</v>
      </c>
      <c r="N17" s="29">
        <f>IFERROR((SUMIFS('AEO25 Table 23'!Q:Q,'AEO25 Table 23'!$B:$B,"*"&amp;$A17&amp;"*")-SUMIFS('AEO25 Table 23'!P:P,'AEO25 Table 23'!$B:$B,"*"&amp;$A17&amp;"*"))/SUMIFS('AEO25 Table 23'!P:P,'AEO25 Table 23'!$B:$B,"*"&amp;$A17&amp;"*"),"")</f>
        <v>6.1604455927479424E-3</v>
      </c>
      <c r="O17" s="29">
        <f>IFERROR((SUMIFS('AEO25 Table 23'!R:R,'AEO25 Table 23'!$B:$B,"*"&amp;$A17&amp;"*")-SUMIFS('AEO25 Table 23'!Q:Q,'AEO25 Table 23'!$B:$B,"*"&amp;$A17&amp;"*"))/SUMIFS('AEO25 Table 23'!Q:Q,'AEO25 Table 23'!$B:$B,"*"&amp;$A17&amp;"*"),"")</f>
        <v>6.6765834151234363E-3</v>
      </c>
      <c r="P17" s="29">
        <f>IFERROR((SUMIFS('AEO25 Table 23'!S:S,'AEO25 Table 23'!$B:$B,"*"&amp;$A17&amp;"*")-SUMIFS('AEO25 Table 23'!R:R,'AEO25 Table 23'!$B:$B,"*"&amp;$A17&amp;"*"))/SUMIFS('AEO25 Table 23'!R:R,'AEO25 Table 23'!$B:$B,"*"&amp;$A17&amp;"*"),"")</f>
        <v>7.5155464213653086E-3</v>
      </c>
      <c r="Q17" s="29">
        <f>IFERROR((SUMIFS('AEO25 Table 23'!T:T,'AEO25 Table 23'!$B:$B,"*"&amp;$A17&amp;"*")-SUMIFS('AEO25 Table 23'!S:S,'AEO25 Table 23'!$B:$B,"*"&amp;$A17&amp;"*"))/SUMIFS('AEO25 Table 23'!S:S,'AEO25 Table 23'!$B:$B,"*"&amp;$A17&amp;"*"),"")</f>
        <v>7.3118108154134782E-3</v>
      </c>
      <c r="R17" s="29">
        <f>IFERROR((SUMIFS('AEO25 Table 23'!U:U,'AEO25 Table 23'!$B:$B,"*"&amp;$A17&amp;"*")-SUMIFS('AEO25 Table 23'!T:T,'AEO25 Table 23'!$B:$B,"*"&amp;$A17&amp;"*"))/SUMIFS('AEO25 Table 23'!T:T,'AEO25 Table 23'!$B:$B,"*"&amp;$A17&amp;"*"),"")</f>
        <v>8.1471680035677917E-3</v>
      </c>
      <c r="S17" s="29">
        <f>IFERROR((SUMIFS('AEO25 Table 23'!V:V,'AEO25 Table 23'!$B:$B,"*"&amp;$A17&amp;"*")-SUMIFS('AEO25 Table 23'!U:U,'AEO25 Table 23'!$B:$B,"*"&amp;$A17&amp;"*"))/SUMIFS('AEO25 Table 23'!U:U,'AEO25 Table 23'!$B:$B,"*"&amp;$A17&amp;"*"),"")</f>
        <v>8.8415853784856412E-3</v>
      </c>
      <c r="T17" s="29">
        <f>IFERROR((SUMIFS('AEO25 Table 23'!W:W,'AEO25 Table 23'!$B:$B,"*"&amp;$A17&amp;"*")-SUMIFS('AEO25 Table 23'!V:V,'AEO25 Table 23'!$B:$B,"*"&amp;$A17&amp;"*"))/SUMIFS('AEO25 Table 23'!V:V,'AEO25 Table 23'!$B:$B,"*"&amp;$A17&amp;"*"),"")</f>
        <v>8.9948486241481409E-3</v>
      </c>
      <c r="U17" s="29">
        <f>IFERROR((SUMIFS('AEO25 Table 23'!X:X,'AEO25 Table 23'!$B:$B,"*"&amp;$A17&amp;"*")-SUMIFS('AEO25 Table 23'!W:W,'AEO25 Table 23'!$B:$B,"*"&amp;$A17&amp;"*"))/SUMIFS('AEO25 Table 23'!W:W,'AEO25 Table 23'!$B:$B,"*"&amp;$A17&amp;"*"),"")</f>
        <v>9.5143391653547075E-3</v>
      </c>
      <c r="V17" s="29">
        <f>IFERROR((SUMIFS('AEO25 Table 23'!Y:Y,'AEO25 Table 23'!$B:$B,"*"&amp;$A17&amp;"*")-SUMIFS('AEO25 Table 23'!X:X,'AEO25 Table 23'!$B:$B,"*"&amp;$A17&amp;"*"))/SUMIFS('AEO25 Table 23'!X:X,'AEO25 Table 23'!$B:$B,"*"&amp;$A17&amp;"*"),"")</f>
        <v>9.5589248341786774E-3</v>
      </c>
      <c r="W17" s="29">
        <f>IFERROR((SUMIFS('AEO25 Table 23'!Z:Z,'AEO25 Table 23'!$B:$B,"*"&amp;$A17&amp;"*")-SUMIFS('AEO25 Table 23'!Y:Y,'AEO25 Table 23'!$B:$B,"*"&amp;$A17&amp;"*"))/SUMIFS('AEO25 Table 23'!Y:Y,'AEO25 Table 23'!$B:$B,"*"&amp;$A17&amp;"*"),"")</f>
        <v>9.3129246665070373E-3</v>
      </c>
      <c r="X17" s="29">
        <f>IFERROR((SUMIFS('AEO25 Table 23'!AA:AA,'AEO25 Table 23'!$B:$B,"*"&amp;$A17&amp;"*")-SUMIFS('AEO25 Table 23'!Z:Z,'AEO25 Table 23'!$B:$B,"*"&amp;$A17&amp;"*"))/SUMIFS('AEO25 Table 23'!Z:Z,'AEO25 Table 23'!$B:$B,"*"&amp;$A17&amp;"*"),"")</f>
        <v>8.5874401774429874E-3</v>
      </c>
      <c r="Y17" s="29">
        <f>IFERROR((SUMIFS('AEO25 Table 23'!AB:AB,'AEO25 Table 23'!$B:$B,"*"&amp;$A17&amp;"*")-SUMIFS('AEO25 Table 23'!AA:AA,'AEO25 Table 23'!$B:$B,"*"&amp;$A17&amp;"*"))/SUMIFS('AEO25 Table 23'!AA:AA,'AEO25 Table 23'!$B:$B,"*"&amp;$A17&amp;"*"),"")</f>
        <v>7.6326425300024528E-3</v>
      </c>
      <c r="Z17" s="29">
        <f>IFERROR((SUMIFS('AEO25 Table 23'!AC:AC,'AEO25 Table 23'!$B:$B,"*"&amp;$A17&amp;"*")-SUMIFS('AEO25 Table 23'!AB:AB,'AEO25 Table 23'!$B:$B,"*"&amp;$A17&amp;"*"))/SUMIFS('AEO25 Table 23'!AB:AB,'AEO25 Table 23'!$B:$B,"*"&amp;$A17&amp;"*"),"")</f>
        <v>6.8916069335465749E-3</v>
      </c>
      <c r="AA17" s="29">
        <f>IFERROR((SUMIFS('AEO25 Table 23'!AD:AD,'AEO25 Table 23'!$B:$B,"*"&amp;$A17&amp;"*")-SUMIFS('AEO25 Table 23'!AC:AC,'AEO25 Table 23'!$B:$B,"*"&amp;$A17&amp;"*"))/SUMIFS('AEO25 Table 23'!AC:AC,'AEO25 Table 23'!$B:$B,"*"&amp;$A17&amp;"*"),"")</f>
        <v>6.4393701847180315E-3</v>
      </c>
      <c r="AB17" s="29">
        <f>IFERROR((SUMIFS('AEO25 Table 23'!AE:AE,'AEO25 Table 23'!$B:$B,"*"&amp;$A17&amp;"*")-SUMIFS('AEO25 Table 23'!AD:AD,'AEO25 Table 23'!$B:$B,"*"&amp;$A17&amp;"*"))/SUMIFS('AEO25 Table 23'!AD:AD,'AEO25 Table 23'!$B:$B,"*"&amp;$A17&amp;"*"),"")</f>
        <v>6.9259305262286321E-3</v>
      </c>
      <c r="AC17" s="29">
        <f>IFERROR((SUMIFS('AEO25 Table 23'!AF:AF,'AEO25 Table 23'!$B:$B,"*"&amp;$A17&amp;"*")-SUMIFS('AEO25 Table 23'!AE:AE,'AEO25 Table 23'!$B:$B,"*"&amp;$A17&amp;"*"))/SUMIFS('AEO25 Table 23'!AE:AE,'AEO25 Table 23'!$B:$B,"*"&amp;$A17&amp;"*"),"")</f>
        <v>7.3185829013002893E-3</v>
      </c>
      <c r="AD17" s="29">
        <f>IFERROR((SUMIFS('AEO25 Table 23'!AG:AG,'AEO25 Table 23'!$B:$B,"*"&amp;$A17&amp;"*")-SUMIFS('AEO25 Table 23'!AF:AF,'AEO25 Table 23'!$B:$B,"*"&amp;$A17&amp;"*"))/SUMIFS('AEO25 Table 23'!AF:AF,'AEO25 Table 23'!$B:$B,"*"&amp;$A17&amp;"*"),"")</f>
        <v>7.2991270567981771E-3</v>
      </c>
      <c r="AE17" s="29">
        <f>IFERROR((SUMIFS('AEO25 Table 23'!AH:AH,'AEO25 Table 23'!$B:$B,"*"&amp;$A17&amp;"*")-SUMIFS('AEO25 Table 23'!AG:AG,'AEO25 Table 23'!$B:$B,"*"&amp;$A17&amp;"*"))/SUMIFS('AEO25 Table 23'!AG:AG,'AEO25 Table 23'!$B:$B,"*"&amp;$A17&amp;"*"),"")</f>
        <v>6.7480814592061258E-3</v>
      </c>
    </row>
    <row r="18" spans="1:31" x14ac:dyDescent="0.25">
      <c r="A18" s="25" t="s">
        <v>39</v>
      </c>
      <c r="B18" s="13" cm="1">
        <f t="array" ref="B18">IFERROR(SUMPRODUCT(--('BLS Table 2.11'!L:L=$A18),'BLS Table 2.11'!J:J,'BLS Table 2.11'!K:K)/SUMIFS('BLS Table 2.11'!J:J,'BLS Table 2.11'!L:L,$A18)/100,SUMPRODUCT(--('BLS Table 2.11'!M:M=$A18),'BLS Table 2.11'!J:J,'BLS Table 2.11'!K:K)/SUMIFS('BLS Table 2.11'!J:J,'BLS Table 2.11'!M:M,$A18)/100)</f>
        <v>1.4999999999999999E-2</v>
      </c>
      <c r="E18" s="1" t="s">
        <v>39</v>
      </c>
      <c r="F18" s="29">
        <f>IFERROR((SUMIFS('AEO25 Table 23'!I:I,'AEO25 Table 23'!$B:$B,"*"&amp;$A18&amp;"*")-SUMIFS('AEO25 Table 23'!H:H,'AEO25 Table 23'!$B:$B,"*"&amp;$A18&amp;"*"))/SUMIFS('AEO25 Table 23'!H:H,'AEO25 Table 23'!$B:$B,"*"&amp;$A18&amp;"*"),"")</f>
        <v>2.8758968843308514E-3</v>
      </c>
      <c r="G18" s="29">
        <f>IFERROR((SUMIFS('AEO25 Table 23'!J:J,'AEO25 Table 23'!$B:$B,"*"&amp;$A18&amp;"*")-SUMIFS('AEO25 Table 23'!I:I,'AEO25 Table 23'!$B:$B,"*"&amp;$A18&amp;"*"))/SUMIFS('AEO25 Table 23'!I:I,'AEO25 Table 23'!$B:$B,"*"&amp;$A18&amp;"*"),"")</f>
        <v>2.6611884172840447E-3</v>
      </c>
      <c r="H18" s="29">
        <f>IFERROR((SUMIFS('AEO25 Table 23'!K:K,'AEO25 Table 23'!$B:$B,"*"&amp;$A18&amp;"*")-SUMIFS('AEO25 Table 23'!J:J,'AEO25 Table 23'!$B:$B,"*"&amp;$A18&amp;"*"))/SUMIFS('AEO25 Table 23'!J:J,'AEO25 Table 23'!$B:$B,"*"&amp;$A18&amp;"*"),"")</f>
        <v>7.759210897801753E-3</v>
      </c>
      <c r="I18" s="29">
        <f>IFERROR((SUMIFS('AEO25 Table 23'!L:L,'AEO25 Table 23'!$B:$B,"*"&amp;$A18&amp;"*")-SUMIFS('AEO25 Table 23'!K:K,'AEO25 Table 23'!$B:$B,"*"&amp;$A18&amp;"*"))/SUMIFS('AEO25 Table 23'!K:K,'AEO25 Table 23'!$B:$B,"*"&amp;$A18&amp;"*"),"")</f>
        <v>6.8832414257101833E-3</v>
      </c>
      <c r="J18" s="29">
        <f>IFERROR((SUMIFS('AEO25 Table 23'!M:M,'AEO25 Table 23'!$B:$B,"*"&amp;$A18&amp;"*")-SUMIFS('AEO25 Table 23'!L:L,'AEO25 Table 23'!$B:$B,"*"&amp;$A18&amp;"*"))/SUMIFS('AEO25 Table 23'!L:L,'AEO25 Table 23'!$B:$B,"*"&amp;$A18&amp;"*"),"")</f>
        <v>2.8769669108611659E-3</v>
      </c>
      <c r="K18" s="29">
        <f>IFERROR((SUMIFS('AEO25 Table 23'!N:N,'AEO25 Table 23'!$B:$B,"*"&amp;$A18&amp;"*")-SUMIFS('AEO25 Table 23'!M:M,'AEO25 Table 23'!$B:$B,"*"&amp;$A18&amp;"*"))/SUMIFS('AEO25 Table 23'!M:M,'AEO25 Table 23'!$B:$B,"*"&amp;$A18&amp;"*"),"")</f>
        <v>9.6662743340838672E-3</v>
      </c>
      <c r="L18" s="29">
        <f>IFERROR((SUMIFS('AEO25 Table 23'!O:O,'AEO25 Table 23'!$B:$B,"*"&amp;$A18&amp;"*")-SUMIFS('AEO25 Table 23'!N:N,'AEO25 Table 23'!$B:$B,"*"&amp;$A18&amp;"*"))/SUMIFS('AEO25 Table 23'!N:N,'AEO25 Table 23'!$B:$B,"*"&amp;$A18&amp;"*"),"")</f>
        <v>1.463371347473617E-2</v>
      </c>
      <c r="M18" s="29">
        <f>IFERROR((SUMIFS('AEO25 Table 23'!P:P,'AEO25 Table 23'!$B:$B,"*"&amp;$A18&amp;"*")-SUMIFS('AEO25 Table 23'!O:O,'AEO25 Table 23'!$B:$B,"*"&amp;$A18&amp;"*"))/SUMIFS('AEO25 Table 23'!O:O,'AEO25 Table 23'!$B:$B,"*"&amp;$A18&amp;"*"),"")</f>
        <v>1.2442837403581899E-2</v>
      </c>
      <c r="N18" s="29">
        <f>IFERROR((SUMIFS('AEO25 Table 23'!Q:Q,'AEO25 Table 23'!$B:$B,"*"&amp;$A18&amp;"*")-SUMIFS('AEO25 Table 23'!P:P,'AEO25 Table 23'!$B:$B,"*"&amp;$A18&amp;"*"))/SUMIFS('AEO25 Table 23'!P:P,'AEO25 Table 23'!$B:$B,"*"&amp;$A18&amp;"*"),"")</f>
        <v>8.048625888105591E-3</v>
      </c>
      <c r="O18" s="29">
        <f>IFERROR((SUMIFS('AEO25 Table 23'!R:R,'AEO25 Table 23'!$B:$B,"*"&amp;$A18&amp;"*")-SUMIFS('AEO25 Table 23'!Q:Q,'AEO25 Table 23'!$B:$B,"*"&amp;$A18&amp;"*"))/SUMIFS('AEO25 Table 23'!Q:Q,'AEO25 Table 23'!$B:$B,"*"&amp;$A18&amp;"*"),"")</f>
        <v>6.2364583733723975E-3</v>
      </c>
      <c r="P18" s="29">
        <f>IFERROR((SUMIFS('AEO25 Table 23'!S:S,'AEO25 Table 23'!$B:$B,"*"&amp;$A18&amp;"*")-SUMIFS('AEO25 Table 23'!R:R,'AEO25 Table 23'!$B:$B,"*"&amp;$A18&amp;"*"))/SUMIFS('AEO25 Table 23'!R:R,'AEO25 Table 23'!$B:$B,"*"&amp;$A18&amp;"*"),"")</f>
        <v>8.3328402484759232E-3</v>
      </c>
      <c r="Q18" s="29">
        <f>IFERROR((SUMIFS('AEO25 Table 23'!T:T,'AEO25 Table 23'!$B:$B,"*"&amp;$A18&amp;"*")-SUMIFS('AEO25 Table 23'!S:S,'AEO25 Table 23'!$B:$B,"*"&amp;$A18&amp;"*"))/SUMIFS('AEO25 Table 23'!S:S,'AEO25 Table 23'!$B:$B,"*"&amp;$A18&amp;"*"),"")</f>
        <v>8.7089386112522617E-3</v>
      </c>
      <c r="R18" s="29">
        <f>IFERROR((SUMIFS('AEO25 Table 23'!U:U,'AEO25 Table 23'!$B:$B,"*"&amp;$A18&amp;"*")-SUMIFS('AEO25 Table 23'!T:T,'AEO25 Table 23'!$B:$B,"*"&amp;$A18&amp;"*"))/SUMIFS('AEO25 Table 23'!T:T,'AEO25 Table 23'!$B:$B,"*"&amp;$A18&amp;"*"),"")</f>
        <v>9.1485101006814167E-3</v>
      </c>
      <c r="S18" s="29">
        <f>IFERROR((SUMIFS('AEO25 Table 23'!V:V,'AEO25 Table 23'!$B:$B,"*"&amp;$A18&amp;"*")-SUMIFS('AEO25 Table 23'!U:U,'AEO25 Table 23'!$B:$B,"*"&amp;$A18&amp;"*"))/SUMIFS('AEO25 Table 23'!U:U,'AEO25 Table 23'!$B:$B,"*"&amp;$A18&amp;"*"),"")</f>
        <v>1.0274285952720752E-2</v>
      </c>
      <c r="T18" s="29">
        <f>IFERROR((SUMIFS('AEO25 Table 23'!W:W,'AEO25 Table 23'!$B:$B,"*"&amp;$A18&amp;"*")-SUMIFS('AEO25 Table 23'!V:V,'AEO25 Table 23'!$B:$B,"*"&amp;$A18&amp;"*"))/SUMIFS('AEO25 Table 23'!V:V,'AEO25 Table 23'!$B:$B,"*"&amp;$A18&amp;"*"),"")</f>
        <v>9.1445911311367652E-3</v>
      </c>
      <c r="U18" s="29">
        <f>IFERROR((SUMIFS('AEO25 Table 23'!X:X,'AEO25 Table 23'!$B:$B,"*"&amp;$A18&amp;"*")-SUMIFS('AEO25 Table 23'!W:W,'AEO25 Table 23'!$B:$B,"*"&amp;$A18&amp;"*"))/SUMIFS('AEO25 Table 23'!W:W,'AEO25 Table 23'!$B:$B,"*"&amp;$A18&amp;"*"),"")</f>
        <v>5.309111534979323E-3</v>
      </c>
      <c r="V18" s="29">
        <f>IFERROR((SUMIFS('AEO25 Table 23'!Y:Y,'AEO25 Table 23'!$B:$B,"*"&amp;$A18&amp;"*")-SUMIFS('AEO25 Table 23'!X:X,'AEO25 Table 23'!$B:$B,"*"&amp;$A18&amp;"*"))/SUMIFS('AEO25 Table 23'!X:X,'AEO25 Table 23'!$B:$B,"*"&amp;$A18&amp;"*"),"")</f>
        <v>2.6442218615866566E-3</v>
      </c>
      <c r="W18" s="29">
        <f>IFERROR((SUMIFS('AEO25 Table 23'!Z:Z,'AEO25 Table 23'!$B:$B,"*"&amp;$A18&amp;"*")-SUMIFS('AEO25 Table 23'!Y:Y,'AEO25 Table 23'!$B:$B,"*"&amp;$A18&amp;"*"))/SUMIFS('AEO25 Table 23'!Y:Y,'AEO25 Table 23'!$B:$B,"*"&amp;$A18&amp;"*"),"")</f>
        <v>7.3590650868227635E-4</v>
      </c>
      <c r="X18" s="29">
        <f>IFERROR((SUMIFS('AEO25 Table 23'!AA:AA,'AEO25 Table 23'!$B:$B,"*"&amp;$A18&amp;"*")-SUMIFS('AEO25 Table 23'!Z:Z,'AEO25 Table 23'!$B:$B,"*"&amp;$A18&amp;"*"))/SUMIFS('AEO25 Table 23'!Z:Z,'AEO25 Table 23'!$B:$B,"*"&amp;$A18&amp;"*"),"")</f>
        <v>-3.5587572707516907E-3</v>
      </c>
      <c r="Y18" s="29">
        <f>IFERROR((SUMIFS('AEO25 Table 23'!AB:AB,'AEO25 Table 23'!$B:$B,"*"&amp;$A18&amp;"*")-SUMIFS('AEO25 Table 23'!AA:AA,'AEO25 Table 23'!$B:$B,"*"&amp;$A18&amp;"*"))/SUMIFS('AEO25 Table 23'!AA:AA,'AEO25 Table 23'!$B:$B,"*"&amp;$A18&amp;"*"),"")</f>
        <v>-6.5390491722112443E-3</v>
      </c>
      <c r="Z18" s="29">
        <f>IFERROR((SUMIFS('AEO25 Table 23'!AC:AC,'AEO25 Table 23'!$B:$B,"*"&amp;$A18&amp;"*")-SUMIFS('AEO25 Table 23'!AB:AB,'AEO25 Table 23'!$B:$B,"*"&amp;$A18&amp;"*"))/SUMIFS('AEO25 Table 23'!AB:AB,'AEO25 Table 23'!$B:$B,"*"&amp;$A18&amp;"*"),"")</f>
        <v>3.4545986048377495E-4</v>
      </c>
      <c r="AA18" s="29">
        <f>IFERROR((SUMIFS('AEO25 Table 23'!AD:AD,'AEO25 Table 23'!$B:$B,"*"&amp;$A18&amp;"*")-SUMIFS('AEO25 Table 23'!AC:AC,'AEO25 Table 23'!$B:$B,"*"&amp;$A18&amp;"*"))/SUMIFS('AEO25 Table 23'!AC:AC,'AEO25 Table 23'!$B:$B,"*"&amp;$A18&amp;"*"),"")</f>
        <v>5.03403008082775E-3</v>
      </c>
      <c r="AB18" s="29">
        <f>IFERROR((SUMIFS('AEO25 Table 23'!AE:AE,'AEO25 Table 23'!$B:$B,"*"&amp;$A18&amp;"*")-SUMIFS('AEO25 Table 23'!AD:AD,'AEO25 Table 23'!$B:$B,"*"&amp;$A18&amp;"*"))/SUMIFS('AEO25 Table 23'!AD:AD,'AEO25 Table 23'!$B:$B,"*"&amp;$A18&amp;"*"),"")</f>
        <v>6.012796646848337E-3</v>
      </c>
      <c r="AC18" s="29">
        <f>IFERROR((SUMIFS('AEO25 Table 23'!AF:AF,'AEO25 Table 23'!$B:$B,"*"&amp;$A18&amp;"*")-SUMIFS('AEO25 Table 23'!AE:AE,'AEO25 Table 23'!$B:$B,"*"&amp;$A18&amp;"*"))/SUMIFS('AEO25 Table 23'!AE:AE,'AEO25 Table 23'!$B:$B,"*"&amp;$A18&amp;"*"),"")</f>
        <v>6.9933162333010689E-3</v>
      </c>
      <c r="AD18" s="29">
        <f>IFERROR((SUMIFS('AEO25 Table 23'!AG:AG,'AEO25 Table 23'!$B:$B,"*"&amp;$A18&amp;"*")-SUMIFS('AEO25 Table 23'!AF:AF,'AEO25 Table 23'!$B:$B,"*"&amp;$A18&amp;"*"))/SUMIFS('AEO25 Table 23'!AF:AF,'AEO25 Table 23'!$B:$B,"*"&amp;$A18&amp;"*"),"")</f>
        <v>7.154478000018772E-3</v>
      </c>
      <c r="AE18" s="29">
        <f>IFERROR((SUMIFS('AEO25 Table 23'!AH:AH,'AEO25 Table 23'!$B:$B,"*"&amp;$A18&amp;"*")-SUMIFS('AEO25 Table 23'!AG:AG,'AEO25 Table 23'!$B:$B,"*"&amp;$A18&amp;"*"))/SUMIFS('AEO25 Table 23'!AG:AG,'AEO25 Table 23'!$B:$B,"*"&amp;$A18&amp;"*"),"")</f>
        <v>7.7567565872567711E-3</v>
      </c>
    </row>
    <row r="19" spans="1:31" x14ac:dyDescent="0.25">
      <c r="A19" s="25" t="s">
        <v>40</v>
      </c>
      <c r="B19" s="13" cm="1">
        <f t="array" ref="B19">IFERROR(SUMPRODUCT(--('BLS Table 2.11'!L:L=$A19),'BLS Table 2.11'!J:J,'BLS Table 2.11'!K:K)/SUMIFS('BLS Table 2.11'!J:J,'BLS Table 2.11'!L:L,$A19)/100,SUMPRODUCT(--('BLS Table 2.11'!M:M=$A19),'BLS Table 2.11'!J:J,'BLS Table 2.11'!K:K)/SUMIFS('BLS Table 2.11'!J:J,'BLS Table 2.11'!M:M,$A19)/100)</f>
        <v>1.819909793814433E-2</v>
      </c>
      <c r="E19" s="1" t="s">
        <v>40</v>
      </c>
      <c r="F19" s="29">
        <f>IFERROR((SUMIFS('AEO25 Table 23'!I:I,'AEO25 Table 23'!$B:$B,"*"&amp;$A19&amp;"*")-SUMIFS('AEO25 Table 23'!H:H,'AEO25 Table 23'!$B:$B,"*"&amp;$A19&amp;"*"))/SUMIFS('AEO25 Table 23'!H:H,'AEO25 Table 23'!$B:$B,"*"&amp;$A19&amp;"*"),"")</f>
        <v>2.5613569332120188E-2</v>
      </c>
      <c r="G19" s="29">
        <f>IFERROR((SUMIFS('AEO25 Table 23'!J:J,'AEO25 Table 23'!$B:$B,"*"&amp;$A19&amp;"*")-SUMIFS('AEO25 Table 23'!I:I,'AEO25 Table 23'!$B:$B,"*"&amp;$A19&amp;"*"))/SUMIFS('AEO25 Table 23'!I:I,'AEO25 Table 23'!$B:$B,"*"&amp;$A19&amp;"*"),"")</f>
        <v>3.7003969697100805E-2</v>
      </c>
      <c r="H19" s="29">
        <f>IFERROR((SUMIFS('AEO25 Table 23'!K:K,'AEO25 Table 23'!$B:$B,"*"&amp;$A19&amp;"*")-SUMIFS('AEO25 Table 23'!J:J,'AEO25 Table 23'!$B:$B,"*"&amp;$A19&amp;"*"))/SUMIFS('AEO25 Table 23'!J:J,'AEO25 Table 23'!$B:$B,"*"&amp;$A19&amp;"*"),"")</f>
        <v>5.8777775804510672E-3</v>
      </c>
      <c r="I19" s="29">
        <f>IFERROR((SUMIFS('AEO25 Table 23'!L:L,'AEO25 Table 23'!$B:$B,"*"&amp;$A19&amp;"*")-SUMIFS('AEO25 Table 23'!K:K,'AEO25 Table 23'!$B:$B,"*"&amp;$A19&amp;"*"))/SUMIFS('AEO25 Table 23'!K:K,'AEO25 Table 23'!$B:$B,"*"&amp;$A19&amp;"*"),"")</f>
        <v>-6.2913312730956805E-3</v>
      </c>
      <c r="J19" s="29">
        <f>IFERROR((SUMIFS('AEO25 Table 23'!M:M,'AEO25 Table 23'!$B:$B,"*"&amp;$A19&amp;"*")-SUMIFS('AEO25 Table 23'!L:L,'AEO25 Table 23'!$B:$B,"*"&amp;$A19&amp;"*"))/SUMIFS('AEO25 Table 23'!L:L,'AEO25 Table 23'!$B:$B,"*"&amp;$A19&amp;"*"),"")</f>
        <v>-2.2220347768707573E-3</v>
      </c>
      <c r="K19" s="29">
        <f>IFERROR((SUMIFS('AEO25 Table 23'!N:N,'AEO25 Table 23'!$B:$B,"*"&amp;$A19&amp;"*")-SUMIFS('AEO25 Table 23'!M:M,'AEO25 Table 23'!$B:$B,"*"&amp;$A19&amp;"*"))/SUMIFS('AEO25 Table 23'!M:M,'AEO25 Table 23'!$B:$B,"*"&amp;$A19&amp;"*"),"")</f>
        <v>8.5113627870292471E-3</v>
      </c>
      <c r="L19" s="29">
        <f>IFERROR((SUMIFS('AEO25 Table 23'!O:O,'AEO25 Table 23'!$B:$B,"*"&amp;$A19&amp;"*")-SUMIFS('AEO25 Table 23'!N:N,'AEO25 Table 23'!$B:$B,"*"&amp;$A19&amp;"*"))/SUMIFS('AEO25 Table 23'!N:N,'AEO25 Table 23'!$B:$B,"*"&amp;$A19&amp;"*"),"")</f>
        <v>1.2993822769242994E-2</v>
      </c>
      <c r="M19" s="29">
        <f>IFERROR((SUMIFS('AEO25 Table 23'!P:P,'AEO25 Table 23'!$B:$B,"*"&amp;$A19&amp;"*")-SUMIFS('AEO25 Table 23'!O:O,'AEO25 Table 23'!$B:$B,"*"&amp;$A19&amp;"*"))/SUMIFS('AEO25 Table 23'!O:O,'AEO25 Table 23'!$B:$B,"*"&amp;$A19&amp;"*"),"")</f>
        <v>1.2291591924551025E-2</v>
      </c>
      <c r="N19" s="29">
        <f>IFERROR((SUMIFS('AEO25 Table 23'!Q:Q,'AEO25 Table 23'!$B:$B,"*"&amp;$A19&amp;"*")-SUMIFS('AEO25 Table 23'!P:P,'AEO25 Table 23'!$B:$B,"*"&amp;$A19&amp;"*"))/SUMIFS('AEO25 Table 23'!P:P,'AEO25 Table 23'!$B:$B,"*"&amp;$A19&amp;"*"),"")</f>
        <v>-3.0455196784383767E-3</v>
      </c>
      <c r="O19" s="29">
        <f>IFERROR((SUMIFS('AEO25 Table 23'!R:R,'AEO25 Table 23'!$B:$B,"*"&amp;$A19&amp;"*")-SUMIFS('AEO25 Table 23'!Q:Q,'AEO25 Table 23'!$B:$B,"*"&amp;$A19&amp;"*"))/SUMIFS('AEO25 Table 23'!Q:Q,'AEO25 Table 23'!$B:$B,"*"&amp;$A19&amp;"*"),"")</f>
        <v>6.8541019069923177E-3</v>
      </c>
      <c r="P19" s="29">
        <f>IFERROR((SUMIFS('AEO25 Table 23'!S:S,'AEO25 Table 23'!$B:$B,"*"&amp;$A19&amp;"*")-SUMIFS('AEO25 Table 23'!R:R,'AEO25 Table 23'!$B:$B,"*"&amp;$A19&amp;"*"))/SUMIFS('AEO25 Table 23'!R:R,'AEO25 Table 23'!$B:$B,"*"&amp;$A19&amp;"*"),"")</f>
        <v>6.12673531846257E-3</v>
      </c>
      <c r="Q19" s="29">
        <f>IFERROR((SUMIFS('AEO25 Table 23'!T:T,'AEO25 Table 23'!$B:$B,"*"&amp;$A19&amp;"*")-SUMIFS('AEO25 Table 23'!S:S,'AEO25 Table 23'!$B:$B,"*"&amp;$A19&amp;"*"))/SUMIFS('AEO25 Table 23'!S:S,'AEO25 Table 23'!$B:$B,"*"&amp;$A19&amp;"*"),"")</f>
        <v>5.0886919801239085E-3</v>
      </c>
      <c r="R19" s="29">
        <f>IFERROR((SUMIFS('AEO25 Table 23'!U:U,'AEO25 Table 23'!$B:$B,"*"&amp;$A19&amp;"*")-SUMIFS('AEO25 Table 23'!T:T,'AEO25 Table 23'!$B:$B,"*"&amp;$A19&amp;"*"))/SUMIFS('AEO25 Table 23'!T:T,'AEO25 Table 23'!$B:$B,"*"&amp;$A19&amp;"*"),"")</f>
        <v>1.3148835915409862E-2</v>
      </c>
      <c r="S19" s="29">
        <f>IFERROR((SUMIFS('AEO25 Table 23'!V:V,'AEO25 Table 23'!$B:$B,"*"&amp;$A19&amp;"*")-SUMIFS('AEO25 Table 23'!U:U,'AEO25 Table 23'!$B:$B,"*"&amp;$A19&amp;"*"))/SUMIFS('AEO25 Table 23'!U:U,'AEO25 Table 23'!$B:$B,"*"&amp;$A19&amp;"*"),"")</f>
        <v>9.8784120150077984E-3</v>
      </c>
      <c r="T19" s="29">
        <f>IFERROR((SUMIFS('AEO25 Table 23'!W:W,'AEO25 Table 23'!$B:$B,"*"&amp;$A19&amp;"*")-SUMIFS('AEO25 Table 23'!V:V,'AEO25 Table 23'!$B:$B,"*"&amp;$A19&amp;"*"))/SUMIFS('AEO25 Table 23'!V:V,'AEO25 Table 23'!$B:$B,"*"&amp;$A19&amp;"*"),"")</f>
        <v>9.596685533981391E-3</v>
      </c>
      <c r="U19" s="29">
        <f>IFERROR((SUMIFS('AEO25 Table 23'!X:X,'AEO25 Table 23'!$B:$B,"*"&amp;$A19&amp;"*")-SUMIFS('AEO25 Table 23'!W:W,'AEO25 Table 23'!$B:$B,"*"&amp;$A19&amp;"*"))/SUMIFS('AEO25 Table 23'!W:W,'AEO25 Table 23'!$B:$B,"*"&amp;$A19&amp;"*"),"")</f>
        <v>1.7331364941662559E-2</v>
      </c>
      <c r="V19" s="29">
        <f>IFERROR((SUMIFS('AEO25 Table 23'!Y:Y,'AEO25 Table 23'!$B:$B,"*"&amp;$A19&amp;"*")-SUMIFS('AEO25 Table 23'!X:X,'AEO25 Table 23'!$B:$B,"*"&amp;$A19&amp;"*"))/SUMIFS('AEO25 Table 23'!X:X,'AEO25 Table 23'!$B:$B,"*"&amp;$A19&amp;"*"),"")</f>
        <v>1.1040176898259622E-2</v>
      </c>
      <c r="W19" s="29">
        <f>IFERROR((SUMIFS('AEO25 Table 23'!Z:Z,'AEO25 Table 23'!$B:$B,"*"&amp;$A19&amp;"*")-SUMIFS('AEO25 Table 23'!Y:Y,'AEO25 Table 23'!$B:$B,"*"&amp;$A19&amp;"*"))/SUMIFS('AEO25 Table 23'!Y:Y,'AEO25 Table 23'!$B:$B,"*"&amp;$A19&amp;"*"),"")</f>
        <v>7.4664772243642537E-3</v>
      </c>
      <c r="X19" s="29">
        <f>IFERROR((SUMIFS('AEO25 Table 23'!AA:AA,'AEO25 Table 23'!$B:$B,"*"&amp;$A19&amp;"*")-SUMIFS('AEO25 Table 23'!Z:Z,'AEO25 Table 23'!$B:$B,"*"&amp;$A19&amp;"*"))/SUMIFS('AEO25 Table 23'!Z:Z,'AEO25 Table 23'!$B:$B,"*"&amp;$A19&amp;"*"),"")</f>
        <v>1.3458967406355701E-2</v>
      </c>
      <c r="Y19" s="29">
        <f>IFERROR((SUMIFS('AEO25 Table 23'!AB:AB,'AEO25 Table 23'!$B:$B,"*"&amp;$A19&amp;"*")-SUMIFS('AEO25 Table 23'!AA:AA,'AEO25 Table 23'!$B:$B,"*"&amp;$A19&amp;"*"))/SUMIFS('AEO25 Table 23'!AA:AA,'AEO25 Table 23'!$B:$B,"*"&amp;$A19&amp;"*"),"")</f>
        <v>1.0370298790696723E-2</v>
      </c>
      <c r="Z19" s="29">
        <f>IFERROR((SUMIFS('AEO25 Table 23'!AC:AC,'AEO25 Table 23'!$B:$B,"*"&amp;$A19&amp;"*")-SUMIFS('AEO25 Table 23'!AB:AB,'AEO25 Table 23'!$B:$B,"*"&amp;$A19&amp;"*"))/SUMIFS('AEO25 Table 23'!AB:AB,'AEO25 Table 23'!$B:$B,"*"&amp;$A19&amp;"*"),"")</f>
        <v>6.2878073296410743E-3</v>
      </c>
      <c r="AA19" s="29">
        <f>IFERROR((SUMIFS('AEO25 Table 23'!AD:AD,'AEO25 Table 23'!$B:$B,"*"&amp;$A19&amp;"*")-SUMIFS('AEO25 Table 23'!AC:AC,'AEO25 Table 23'!$B:$B,"*"&amp;$A19&amp;"*"))/SUMIFS('AEO25 Table 23'!AC:AC,'AEO25 Table 23'!$B:$B,"*"&amp;$A19&amp;"*"),"")</f>
        <v>3.8367329299624805E-3</v>
      </c>
      <c r="AB19" s="29">
        <f>IFERROR((SUMIFS('AEO25 Table 23'!AE:AE,'AEO25 Table 23'!$B:$B,"*"&amp;$A19&amp;"*")-SUMIFS('AEO25 Table 23'!AD:AD,'AEO25 Table 23'!$B:$B,"*"&amp;$A19&amp;"*"))/SUMIFS('AEO25 Table 23'!AD:AD,'AEO25 Table 23'!$B:$B,"*"&amp;$A19&amp;"*"),"")</f>
        <v>8.7479445594834896E-3</v>
      </c>
      <c r="AC19" s="29">
        <f>IFERROR((SUMIFS('AEO25 Table 23'!AF:AF,'AEO25 Table 23'!$B:$B,"*"&amp;$A19&amp;"*")-SUMIFS('AEO25 Table 23'!AE:AE,'AEO25 Table 23'!$B:$B,"*"&amp;$A19&amp;"*"))/SUMIFS('AEO25 Table 23'!AE:AE,'AEO25 Table 23'!$B:$B,"*"&amp;$A19&amp;"*"),"")</f>
        <v>3.4651327862656187E-3</v>
      </c>
      <c r="AD19" s="29">
        <f>IFERROR((SUMIFS('AEO25 Table 23'!AG:AG,'AEO25 Table 23'!$B:$B,"*"&amp;$A19&amp;"*")-SUMIFS('AEO25 Table 23'!AF:AF,'AEO25 Table 23'!$B:$B,"*"&amp;$A19&amp;"*"))/SUMIFS('AEO25 Table 23'!AF:AF,'AEO25 Table 23'!$B:$B,"*"&amp;$A19&amp;"*"),"")</f>
        <v>1.6339766481327236E-3</v>
      </c>
      <c r="AE19" s="29">
        <f>IFERROR((SUMIFS('AEO25 Table 23'!AH:AH,'AEO25 Table 23'!$B:$B,"*"&amp;$A19&amp;"*")-SUMIFS('AEO25 Table 23'!AG:AG,'AEO25 Table 23'!$B:$B,"*"&amp;$A19&amp;"*"))/SUMIFS('AEO25 Table 23'!AG:AG,'AEO25 Table 23'!$B:$B,"*"&amp;$A19&amp;"*"),"")</f>
        <v>1.8384485031032781E-3</v>
      </c>
    </row>
    <row r="20" spans="1:31" x14ac:dyDescent="0.25">
      <c r="A20" s="25" t="s">
        <v>41</v>
      </c>
      <c r="B20" s="13" cm="1">
        <f t="array" ref="B20">IFERROR(SUMPRODUCT(--('BLS Table 2.11'!L:L=$A20),'BLS Table 2.11'!J:J,'BLS Table 2.11'!K:K)/SUMIFS('BLS Table 2.11'!J:J,'BLS Table 2.11'!L:L,$A20)/100,SUMPRODUCT(--('BLS Table 2.11'!M:M=$A20),'BLS Table 2.11'!J:J,'BLS Table 2.11'!K:K)/SUMIFS('BLS Table 2.11'!J:J,'BLS Table 2.11'!M:M,$A20)/100)</f>
        <v>1.6710576923076918E-2</v>
      </c>
      <c r="E20" s="1" t="s">
        <v>41</v>
      </c>
      <c r="F20" s="29">
        <f>IFERROR((SUMIFS('AEO25 Table 23'!I:I,'AEO25 Table 23'!$B:$B,"*"&amp;$A20&amp;"*")-SUMIFS('AEO25 Table 23'!H:H,'AEO25 Table 23'!$B:$B,"*"&amp;$A20&amp;"*"))/SUMIFS('AEO25 Table 23'!H:H,'AEO25 Table 23'!$B:$B,"*"&amp;$A20&amp;"*"),"")</f>
        <v>4.8085548520599287E-4</v>
      </c>
      <c r="G20" s="29">
        <f>IFERROR((SUMIFS('AEO25 Table 23'!J:J,'AEO25 Table 23'!$B:$B,"*"&amp;$A20&amp;"*")-SUMIFS('AEO25 Table 23'!I:I,'AEO25 Table 23'!$B:$B,"*"&amp;$A20&amp;"*"))/SUMIFS('AEO25 Table 23'!I:I,'AEO25 Table 23'!$B:$B,"*"&amp;$A20&amp;"*"),"")</f>
        <v>4.3021762100511956E-3</v>
      </c>
      <c r="H20" s="29">
        <f>IFERROR((SUMIFS('AEO25 Table 23'!K:K,'AEO25 Table 23'!$B:$B,"*"&amp;$A20&amp;"*")-SUMIFS('AEO25 Table 23'!J:J,'AEO25 Table 23'!$B:$B,"*"&amp;$A20&amp;"*"))/SUMIFS('AEO25 Table 23'!J:J,'AEO25 Table 23'!$B:$B,"*"&amp;$A20&amp;"*"),"")</f>
        <v>1.2433998812807771E-2</v>
      </c>
      <c r="I20" s="29">
        <f>IFERROR((SUMIFS('AEO25 Table 23'!L:L,'AEO25 Table 23'!$B:$B,"*"&amp;$A20&amp;"*")-SUMIFS('AEO25 Table 23'!K:K,'AEO25 Table 23'!$B:$B,"*"&amp;$A20&amp;"*"))/SUMIFS('AEO25 Table 23'!K:K,'AEO25 Table 23'!$B:$B,"*"&amp;$A20&amp;"*"),"")</f>
        <v>9.1902666563116828E-3</v>
      </c>
      <c r="J20" s="29">
        <f>IFERROR((SUMIFS('AEO25 Table 23'!M:M,'AEO25 Table 23'!$B:$B,"*"&amp;$A20&amp;"*")-SUMIFS('AEO25 Table 23'!L:L,'AEO25 Table 23'!$B:$B,"*"&amp;$A20&amp;"*"))/SUMIFS('AEO25 Table 23'!L:L,'AEO25 Table 23'!$B:$B,"*"&amp;$A20&amp;"*"),"")</f>
        <v>9.0229544990572935E-3</v>
      </c>
      <c r="K20" s="29">
        <f>IFERROR((SUMIFS('AEO25 Table 23'!N:N,'AEO25 Table 23'!$B:$B,"*"&amp;$A20&amp;"*")-SUMIFS('AEO25 Table 23'!M:M,'AEO25 Table 23'!$B:$B,"*"&amp;$A20&amp;"*"))/SUMIFS('AEO25 Table 23'!M:M,'AEO25 Table 23'!$B:$B,"*"&amp;$A20&amp;"*"),"")</f>
        <v>9.0244781811672885E-3</v>
      </c>
      <c r="L20" s="29">
        <f>IFERROR((SUMIFS('AEO25 Table 23'!O:O,'AEO25 Table 23'!$B:$B,"*"&amp;$A20&amp;"*")-SUMIFS('AEO25 Table 23'!N:N,'AEO25 Table 23'!$B:$B,"*"&amp;$A20&amp;"*"))/SUMIFS('AEO25 Table 23'!N:N,'AEO25 Table 23'!$B:$B,"*"&amp;$A20&amp;"*"),"")</f>
        <v>8.9125289908655436E-3</v>
      </c>
      <c r="M20" s="29">
        <f>IFERROR((SUMIFS('AEO25 Table 23'!P:P,'AEO25 Table 23'!$B:$B,"*"&amp;$A20&amp;"*")-SUMIFS('AEO25 Table 23'!O:O,'AEO25 Table 23'!$B:$B,"*"&amp;$A20&amp;"*"))/SUMIFS('AEO25 Table 23'!O:O,'AEO25 Table 23'!$B:$B,"*"&amp;$A20&amp;"*"),"")</f>
        <v>9.6918535142110889E-3</v>
      </c>
      <c r="N20" s="29">
        <f>IFERROR((SUMIFS('AEO25 Table 23'!Q:Q,'AEO25 Table 23'!$B:$B,"*"&amp;$A20&amp;"*")-SUMIFS('AEO25 Table 23'!P:P,'AEO25 Table 23'!$B:$B,"*"&amp;$A20&amp;"*"))/SUMIFS('AEO25 Table 23'!P:P,'AEO25 Table 23'!$B:$B,"*"&amp;$A20&amp;"*"),"")</f>
        <v>9.7843163826577505E-3</v>
      </c>
      <c r="O20" s="29">
        <f>IFERROR((SUMIFS('AEO25 Table 23'!R:R,'AEO25 Table 23'!$B:$B,"*"&amp;$A20&amp;"*")-SUMIFS('AEO25 Table 23'!Q:Q,'AEO25 Table 23'!$B:$B,"*"&amp;$A20&amp;"*"))/SUMIFS('AEO25 Table 23'!Q:Q,'AEO25 Table 23'!$B:$B,"*"&amp;$A20&amp;"*"),"")</f>
        <v>9.8974213328275433E-3</v>
      </c>
      <c r="P20" s="29">
        <f>IFERROR((SUMIFS('AEO25 Table 23'!S:S,'AEO25 Table 23'!$B:$B,"*"&amp;$A20&amp;"*")-SUMIFS('AEO25 Table 23'!R:R,'AEO25 Table 23'!$B:$B,"*"&amp;$A20&amp;"*"))/SUMIFS('AEO25 Table 23'!R:R,'AEO25 Table 23'!$B:$B,"*"&amp;$A20&amp;"*"),"")</f>
        <v>1.0564132575033903E-2</v>
      </c>
      <c r="Q20" s="29">
        <f>IFERROR((SUMIFS('AEO25 Table 23'!T:T,'AEO25 Table 23'!$B:$B,"*"&amp;$A20&amp;"*")-SUMIFS('AEO25 Table 23'!S:S,'AEO25 Table 23'!$B:$B,"*"&amp;$A20&amp;"*"))/SUMIFS('AEO25 Table 23'!S:S,'AEO25 Table 23'!$B:$B,"*"&amp;$A20&amp;"*"),"")</f>
        <v>1.0462976947643258E-2</v>
      </c>
      <c r="R20" s="29">
        <f>IFERROR((SUMIFS('AEO25 Table 23'!U:U,'AEO25 Table 23'!$B:$B,"*"&amp;$A20&amp;"*")-SUMIFS('AEO25 Table 23'!T:T,'AEO25 Table 23'!$B:$B,"*"&amp;$A20&amp;"*"))/SUMIFS('AEO25 Table 23'!T:T,'AEO25 Table 23'!$B:$B,"*"&amp;$A20&amp;"*"),"")</f>
        <v>1.0567106231769728E-2</v>
      </c>
      <c r="S20" s="29">
        <f>IFERROR((SUMIFS('AEO25 Table 23'!V:V,'AEO25 Table 23'!$B:$B,"*"&amp;$A20&amp;"*")-SUMIFS('AEO25 Table 23'!U:U,'AEO25 Table 23'!$B:$B,"*"&amp;$A20&amp;"*"))/SUMIFS('AEO25 Table 23'!U:U,'AEO25 Table 23'!$B:$B,"*"&amp;$A20&amp;"*"),"")</f>
        <v>1.0676754163921066E-2</v>
      </c>
      <c r="T20" s="29">
        <f>IFERROR((SUMIFS('AEO25 Table 23'!W:W,'AEO25 Table 23'!$B:$B,"*"&amp;$A20&amp;"*")-SUMIFS('AEO25 Table 23'!V:V,'AEO25 Table 23'!$B:$B,"*"&amp;$A20&amp;"*"))/SUMIFS('AEO25 Table 23'!V:V,'AEO25 Table 23'!$B:$B,"*"&amp;$A20&amp;"*"),"")</f>
        <v>1.0495914051159759E-2</v>
      </c>
      <c r="U20" s="29">
        <f>IFERROR((SUMIFS('AEO25 Table 23'!X:X,'AEO25 Table 23'!$B:$B,"*"&amp;$A20&amp;"*")-SUMIFS('AEO25 Table 23'!W:W,'AEO25 Table 23'!$B:$B,"*"&amp;$A20&amp;"*"))/SUMIFS('AEO25 Table 23'!W:W,'AEO25 Table 23'!$B:$B,"*"&amp;$A20&amp;"*"),"")</f>
        <v>1.035433019445004E-2</v>
      </c>
      <c r="V20" s="29">
        <f>IFERROR((SUMIFS('AEO25 Table 23'!Y:Y,'AEO25 Table 23'!$B:$B,"*"&amp;$A20&amp;"*")-SUMIFS('AEO25 Table 23'!X:X,'AEO25 Table 23'!$B:$B,"*"&amp;$A20&amp;"*"))/SUMIFS('AEO25 Table 23'!X:X,'AEO25 Table 23'!$B:$B,"*"&amp;$A20&amp;"*"),"")</f>
        <v>1.0154100971729146E-2</v>
      </c>
      <c r="W20" s="29">
        <f>IFERROR((SUMIFS('AEO25 Table 23'!Z:Z,'AEO25 Table 23'!$B:$B,"*"&amp;$A20&amp;"*")-SUMIFS('AEO25 Table 23'!Y:Y,'AEO25 Table 23'!$B:$B,"*"&amp;$A20&amp;"*"))/SUMIFS('AEO25 Table 23'!Y:Y,'AEO25 Table 23'!$B:$B,"*"&amp;$A20&amp;"*"),"")</f>
        <v>9.8068794369592233E-3</v>
      </c>
      <c r="X20" s="29">
        <f>IFERROR((SUMIFS('AEO25 Table 23'!AA:AA,'AEO25 Table 23'!$B:$B,"*"&amp;$A20&amp;"*")-SUMIFS('AEO25 Table 23'!Z:Z,'AEO25 Table 23'!$B:$B,"*"&amp;$A20&amp;"*"))/SUMIFS('AEO25 Table 23'!Z:Z,'AEO25 Table 23'!$B:$B,"*"&amp;$A20&amp;"*"),"")</f>
        <v>9.423171616471061E-3</v>
      </c>
      <c r="Y20" s="29">
        <f>IFERROR((SUMIFS('AEO25 Table 23'!AB:AB,'AEO25 Table 23'!$B:$B,"*"&amp;$A20&amp;"*")-SUMIFS('AEO25 Table 23'!AA:AA,'AEO25 Table 23'!$B:$B,"*"&amp;$A20&amp;"*"))/SUMIFS('AEO25 Table 23'!AA:AA,'AEO25 Table 23'!$B:$B,"*"&amp;$A20&amp;"*"),"")</f>
        <v>8.9285600671937942E-3</v>
      </c>
      <c r="Z20" s="29">
        <f>IFERROR((SUMIFS('AEO25 Table 23'!AC:AC,'AEO25 Table 23'!$B:$B,"*"&amp;$A20&amp;"*")-SUMIFS('AEO25 Table 23'!AB:AB,'AEO25 Table 23'!$B:$B,"*"&amp;$A20&amp;"*"))/SUMIFS('AEO25 Table 23'!AB:AB,'AEO25 Table 23'!$B:$B,"*"&amp;$A20&amp;"*"),"")</f>
        <v>8.3201740005312656E-3</v>
      </c>
      <c r="AA20" s="29">
        <f>IFERROR((SUMIFS('AEO25 Table 23'!AD:AD,'AEO25 Table 23'!$B:$B,"*"&amp;$A20&amp;"*")-SUMIFS('AEO25 Table 23'!AC:AC,'AEO25 Table 23'!$B:$B,"*"&amp;$A20&amp;"*"))/SUMIFS('AEO25 Table 23'!AC:AC,'AEO25 Table 23'!$B:$B,"*"&amp;$A20&amp;"*"),"")</f>
        <v>7.6648625575944746E-3</v>
      </c>
      <c r="AB20" s="29">
        <f>IFERROR((SUMIFS('AEO25 Table 23'!AE:AE,'AEO25 Table 23'!$B:$B,"*"&amp;$A20&amp;"*")-SUMIFS('AEO25 Table 23'!AD:AD,'AEO25 Table 23'!$B:$B,"*"&amp;$A20&amp;"*"))/SUMIFS('AEO25 Table 23'!AD:AD,'AEO25 Table 23'!$B:$B,"*"&amp;$A20&amp;"*"),"")</f>
        <v>7.3077182243862625E-3</v>
      </c>
      <c r="AC20" s="29">
        <f>IFERROR((SUMIFS('AEO25 Table 23'!AF:AF,'AEO25 Table 23'!$B:$B,"*"&amp;$A20&amp;"*")-SUMIFS('AEO25 Table 23'!AE:AE,'AEO25 Table 23'!$B:$B,"*"&amp;$A20&amp;"*"))/SUMIFS('AEO25 Table 23'!AE:AE,'AEO25 Table 23'!$B:$B,"*"&amp;$A20&amp;"*"),"")</f>
        <v>6.827314240560026E-3</v>
      </c>
      <c r="AD20" s="29">
        <f>IFERROR((SUMIFS('AEO25 Table 23'!AG:AG,'AEO25 Table 23'!$B:$B,"*"&amp;$A20&amp;"*")-SUMIFS('AEO25 Table 23'!AF:AF,'AEO25 Table 23'!$B:$B,"*"&amp;$A20&amp;"*"))/SUMIFS('AEO25 Table 23'!AF:AF,'AEO25 Table 23'!$B:$B,"*"&amp;$A20&amp;"*"),"")</f>
        <v>6.3460174197382856E-3</v>
      </c>
      <c r="AE20" s="29">
        <f>IFERROR((SUMIFS('AEO25 Table 23'!AH:AH,'AEO25 Table 23'!$B:$B,"*"&amp;$A20&amp;"*")-SUMIFS('AEO25 Table 23'!AG:AG,'AEO25 Table 23'!$B:$B,"*"&amp;$A20&amp;"*"))/SUMIFS('AEO25 Table 23'!AG:AG,'AEO25 Table 23'!$B:$B,"*"&amp;$A20&amp;"*"),"")</f>
        <v>5.8078259697992279E-3</v>
      </c>
    </row>
    <row r="21" spans="1:31" x14ac:dyDescent="0.25">
      <c r="A21" s="25" t="s">
        <v>11</v>
      </c>
      <c r="B21" s="13" cm="1">
        <f t="array" ref="B21">IFERROR(SUMPRODUCT(--('BLS Table 2.11'!L:L=$A21),'BLS Table 2.11'!J:J,'BLS Table 2.11'!K:K)/SUMIFS('BLS Table 2.11'!J:J,'BLS Table 2.11'!L:L,$A21)/100,SUMPRODUCT(--('BLS Table 2.11'!M:M=$A21),'BLS Table 2.11'!J:J,'BLS Table 2.11'!K:K)/SUMIFS('BLS Table 2.11'!J:J,'BLS Table 2.11'!M:M,$A21)/100)</f>
        <v>8.0000000000000002E-3</v>
      </c>
      <c r="E21" s="1" t="s">
        <v>11</v>
      </c>
      <c r="F21" s="29">
        <f>IFERROR((SUMIFS('AEO25 Table 23'!I:I,'AEO25 Table 23'!$B:$B,"*"&amp;$A21&amp;"*")-SUMIFS('AEO25 Table 23'!H:H,'AEO25 Table 23'!$B:$B,"*"&amp;$A21&amp;"*"))/SUMIFS('AEO25 Table 23'!H:H,'AEO25 Table 23'!$B:$B,"*"&amp;$A21&amp;"*"),"")</f>
        <v>1.9738770957129118E-2</v>
      </c>
      <c r="G21" s="29">
        <f>IFERROR((SUMIFS('AEO25 Table 23'!J:J,'AEO25 Table 23'!$B:$B,"*"&amp;$A21&amp;"*")-SUMIFS('AEO25 Table 23'!I:I,'AEO25 Table 23'!$B:$B,"*"&amp;$A21&amp;"*"))/SUMIFS('AEO25 Table 23'!I:I,'AEO25 Table 23'!$B:$B,"*"&amp;$A21&amp;"*"),"")</f>
        <v>3.9976348116889528E-2</v>
      </c>
      <c r="H21" s="29">
        <f>IFERROR((SUMIFS('AEO25 Table 23'!K:K,'AEO25 Table 23'!$B:$B,"*"&amp;$A21&amp;"*")-SUMIFS('AEO25 Table 23'!J:J,'AEO25 Table 23'!$B:$B,"*"&amp;$A21&amp;"*"))/SUMIFS('AEO25 Table 23'!J:J,'AEO25 Table 23'!$B:$B,"*"&amp;$A21&amp;"*"),"")</f>
        <v>2.4204496405237384E-2</v>
      </c>
      <c r="I21" s="29">
        <f>IFERROR((SUMIFS('AEO25 Table 23'!L:L,'AEO25 Table 23'!$B:$B,"*"&amp;$A21&amp;"*")-SUMIFS('AEO25 Table 23'!K:K,'AEO25 Table 23'!$B:$B,"*"&amp;$A21&amp;"*"))/SUMIFS('AEO25 Table 23'!K:K,'AEO25 Table 23'!$B:$B,"*"&amp;$A21&amp;"*"),"")</f>
        <v>2.0176796469153916E-3</v>
      </c>
      <c r="J21" s="29">
        <f>IFERROR((SUMIFS('AEO25 Table 23'!M:M,'AEO25 Table 23'!$B:$B,"*"&amp;$A21&amp;"*")-SUMIFS('AEO25 Table 23'!L:L,'AEO25 Table 23'!$B:$B,"*"&amp;$A21&amp;"*"))/SUMIFS('AEO25 Table 23'!L:L,'AEO25 Table 23'!$B:$B,"*"&amp;$A21&amp;"*"),"")</f>
        <v>2.4605609924862304E-3</v>
      </c>
      <c r="K21" s="29">
        <f>IFERROR((SUMIFS('AEO25 Table 23'!N:N,'AEO25 Table 23'!$B:$B,"*"&amp;$A21&amp;"*")-SUMIFS('AEO25 Table 23'!M:M,'AEO25 Table 23'!$B:$B,"*"&amp;$A21&amp;"*"))/SUMIFS('AEO25 Table 23'!M:M,'AEO25 Table 23'!$B:$B,"*"&amp;$A21&amp;"*"),"")</f>
        <v>7.6662526427296075E-3</v>
      </c>
      <c r="L21" s="29">
        <f>IFERROR((SUMIFS('AEO25 Table 23'!O:O,'AEO25 Table 23'!$B:$B,"*"&amp;$A21&amp;"*")-SUMIFS('AEO25 Table 23'!N:N,'AEO25 Table 23'!$B:$B,"*"&amp;$A21&amp;"*"))/SUMIFS('AEO25 Table 23'!N:N,'AEO25 Table 23'!$B:$B,"*"&amp;$A21&amp;"*"),"")</f>
        <v>8.9250177708341399E-3</v>
      </c>
      <c r="M21" s="29">
        <f>IFERROR((SUMIFS('AEO25 Table 23'!P:P,'AEO25 Table 23'!$B:$B,"*"&amp;$A21&amp;"*")-SUMIFS('AEO25 Table 23'!O:O,'AEO25 Table 23'!$B:$B,"*"&amp;$A21&amp;"*"))/SUMIFS('AEO25 Table 23'!O:O,'AEO25 Table 23'!$B:$B,"*"&amp;$A21&amp;"*"),"")</f>
        <v>1.0024152776809256E-2</v>
      </c>
      <c r="N21" s="29">
        <f>IFERROR((SUMIFS('AEO25 Table 23'!Q:Q,'AEO25 Table 23'!$B:$B,"*"&amp;$A21&amp;"*")-SUMIFS('AEO25 Table 23'!P:P,'AEO25 Table 23'!$B:$B,"*"&amp;$A21&amp;"*"))/SUMIFS('AEO25 Table 23'!P:P,'AEO25 Table 23'!$B:$B,"*"&amp;$A21&amp;"*"),"")</f>
        <v>2.3351316034470769E-3</v>
      </c>
      <c r="O21" s="29">
        <f>IFERROR((SUMIFS('AEO25 Table 23'!R:R,'AEO25 Table 23'!$B:$B,"*"&amp;$A21&amp;"*")-SUMIFS('AEO25 Table 23'!Q:Q,'AEO25 Table 23'!$B:$B,"*"&amp;$A21&amp;"*"))/SUMIFS('AEO25 Table 23'!Q:Q,'AEO25 Table 23'!$B:$B,"*"&amp;$A21&amp;"*"),"")</f>
        <v>1.0785332645749539E-2</v>
      </c>
      <c r="P21" s="29">
        <f>IFERROR((SUMIFS('AEO25 Table 23'!S:S,'AEO25 Table 23'!$B:$B,"*"&amp;$A21&amp;"*")-SUMIFS('AEO25 Table 23'!R:R,'AEO25 Table 23'!$B:$B,"*"&amp;$A21&amp;"*"))/SUMIFS('AEO25 Table 23'!R:R,'AEO25 Table 23'!$B:$B,"*"&amp;$A21&amp;"*"),"")</f>
        <v>4.9207921098938841E-3</v>
      </c>
      <c r="Q21" s="29">
        <f>IFERROR((SUMIFS('AEO25 Table 23'!T:T,'AEO25 Table 23'!$B:$B,"*"&amp;$A21&amp;"*")-SUMIFS('AEO25 Table 23'!S:S,'AEO25 Table 23'!$B:$B,"*"&amp;$A21&amp;"*"))/SUMIFS('AEO25 Table 23'!S:S,'AEO25 Table 23'!$B:$B,"*"&amp;$A21&amp;"*"),"")</f>
        <v>7.282326248096503E-3</v>
      </c>
      <c r="R21" s="29">
        <f>IFERROR((SUMIFS('AEO25 Table 23'!U:U,'AEO25 Table 23'!$B:$B,"*"&amp;$A21&amp;"*")-SUMIFS('AEO25 Table 23'!T:T,'AEO25 Table 23'!$B:$B,"*"&amp;$A21&amp;"*"))/SUMIFS('AEO25 Table 23'!T:T,'AEO25 Table 23'!$B:$B,"*"&amp;$A21&amp;"*"),"")</f>
        <v>1.1348554299052294E-2</v>
      </c>
      <c r="S21" s="29">
        <f>IFERROR((SUMIFS('AEO25 Table 23'!V:V,'AEO25 Table 23'!$B:$B,"*"&amp;$A21&amp;"*")-SUMIFS('AEO25 Table 23'!U:U,'AEO25 Table 23'!$B:$B,"*"&amp;$A21&amp;"*"))/SUMIFS('AEO25 Table 23'!U:U,'AEO25 Table 23'!$B:$B,"*"&amp;$A21&amp;"*"),"")</f>
        <v>8.2424794374706192E-3</v>
      </c>
      <c r="T21" s="29">
        <f>IFERROR((SUMIFS('AEO25 Table 23'!W:W,'AEO25 Table 23'!$B:$B,"*"&amp;$A21&amp;"*")-SUMIFS('AEO25 Table 23'!V:V,'AEO25 Table 23'!$B:$B,"*"&amp;$A21&amp;"*"))/SUMIFS('AEO25 Table 23'!V:V,'AEO25 Table 23'!$B:$B,"*"&amp;$A21&amp;"*"),"")</f>
        <v>8.5111512463578662E-3</v>
      </c>
      <c r="U21" s="29">
        <f>IFERROR((SUMIFS('AEO25 Table 23'!X:X,'AEO25 Table 23'!$B:$B,"*"&amp;$A21&amp;"*")-SUMIFS('AEO25 Table 23'!W:W,'AEO25 Table 23'!$B:$B,"*"&amp;$A21&amp;"*"))/SUMIFS('AEO25 Table 23'!W:W,'AEO25 Table 23'!$B:$B,"*"&amp;$A21&amp;"*"),"")</f>
        <v>1.0651693669743565E-2</v>
      </c>
      <c r="V21" s="29">
        <f>IFERROR((SUMIFS('AEO25 Table 23'!Y:Y,'AEO25 Table 23'!$B:$B,"*"&amp;$A21&amp;"*")-SUMIFS('AEO25 Table 23'!X:X,'AEO25 Table 23'!$B:$B,"*"&amp;$A21&amp;"*"))/SUMIFS('AEO25 Table 23'!X:X,'AEO25 Table 23'!$B:$B,"*"&amp;$A21&amp;"*"),"")</f>
        <v>7.6020744531030103E-3</v>
      </c>
      <c r="W21" s="29">
        <f>IFERROR((SUMIFS('AEO25 Table 23'!Z:Z,'AEO25 Table 23'!$B:$B,"*"&amp;$A21&amp;"*")-SUMIFS('AEO25 Table 23'!Y:Y,'AEO25 Table 23'!$B:$B,"*"&amp;$A21&amp;"*"))/SUMIFS('AEO25 Table 23'!Y:Y,'AEO25 Table 23'!$B:$B,"*"&amp;$A21&amp;"*"),"")</f>
        <v>7.6196045676035912E-3</v>
      </c>
      <c r="X21" s="29">
        <f>IFERROR((SUMIFS('AEO25 Table 23'!AA:AA,'AEO25 Table 23'!$B:$B,"*"&amp;$A21&amp;"*")-SUMIFS('AEO25 Table 23'!Z:Z,'AEO25 Table 23'!$B:$B,"*"&amp;$A21&amp;"*"))/SUMIFS('AEO25 Table 23'!Z:Z,'AEO25 Table 23'!$B:$B,"*"&amp;$A21&amp;"*"),"")</f>
        <v>4.3991860149951018E-3</v>
      </c>
      <c r="Y21" s="29">
        <f>IFERROR((SUMIFS('AEO25 Table 23'!AB:AB,'AEO25 Table 23'!$B:$B,"*"&amp;$A21&amp;"*")-SUMIFS('AEO25 Table 23'!AA:AA,'AEO25 Table 23'!$B:$B,"*"&amp;$A21&amp;"*"))/SUMIFS('AEO25 Table 23'!AA:AA,'AEO25 Table 23'!$B:$B,"*"&amp;$A21&amp;"*"),"")</f>
        <v>7.3801300177969934E-3</v>
      </c>
      <c r="Z21" s="29">
        <f>IFERROR((SUMIFS('AEO25 Table 23'!AC:AC,'AEO25 Table 23'!$B:$B,"*"&amp;$A21&amp;"*")-SUMIFS('AEO25 Table 23'!AB:AB,'AEO25 Table 23'!$B:$B,"*"&amp;$A21&amp;"*"))/SUMIFS('AEO25 Table 23'!AB:AB,'AEO25 Table 23'!$B:$B,"*"&amp;$A21&amp;"*"),"")</f>
        <v>3.1595195107395001E-3</v>
      </c>
      <c r="AA21" s="29">
        <f>IFERROR((SUMIFS('AEO25 Table 23'!AD:AD,'AEO25 Table 23'!$B:$B,"*"&amp;$A21&amp;"*")-SUMIFS('AEO25 Table 23'!AC:AC,'AEO25 Table 23'!$B:$B,"*"&amp;$A21&amp;"*"))/SUMIFS('AEO25 Table 23'!AC:AC,'AEO25 Table 23'!$B:$B,"*"&amp;$A21&amp;"*"),"")</f>
        <v>5.719923905263693E-3</v>
      </c>
      <c r="AB21" s="29">
        <f>IFERROR((SUMIFS('AEO25 Table 23'!AE:AE,'AEO25 Table 23'!$B:$B,"*"&amp;$A21&amp;"*")-SUMIFS('AEO25 Table 23'!AD:AD,'AEO25 Table 23'!$B:$B,"*"&amp;$A21&amp;"*"))/SUMIFS('AEO25 Table 23'!AD:AD,'AEO25 Table 23'!$B:$B,"*"&amp;$A21&amp;"*"),"")</f>
        <v>4.8703193087717284E-3</v>
      </c>
      <c r="AC21" s="29">
        <f>IFERROR((SUMIFS('AEO25 Table 23'!AF:AF,'AEO25 Table 23'!$B:$B,"*"&amp;$A21&amp;"*")-SUMIFS('AEO25 Table 23'!AE:AE,'AEO25 Table 23'!$B:$B,"*"&amp;$A21&amp;"*"))/SUMIFS('AEO25 Table 23'!AE:AE,'AEO25 Table 23'!$B:$B,"*"&amp;$A21&amp;"*"),"")</f>
        <v>3.747202395853032E-3</v>
      </c>
      <c r="AD21" s="29">
        <f>IFERROR((SUMIFS('AEO25 Table 23'!AG:AG,'AEO25 Table 23'!$B:$B,"*"&amp;$A21&amp;"*")-SUMIFS('AEO25 Table 23'!AF:AF,'AEO25 Table 23'!$B:$B,"*"&amp;$A21&amp;"*"))/SUMIFS('AEO25 Table 23'!AF:AF,'AEO25 Table 23'!$B:$B,"*"&amp;$A21&amp;"*"),"")</f>
        <v>5.6341714250191409E-3</v>
      </c>
      <c r="AE21" s="29">
        <f>IFERROR((SUMIFS('AEO25 Table 23'!AH:AH,'AEO25 Table 23'!$B:$B,"*"&amp;$A21&amp;"*")-SUMIFS('AEO25 Table 23'!AG:AG,'AEO25 Table 23'!$B:$B,"*"&amp;$A21&amp;"*"))/SUMIFS('AEO25 Table 23'!AG:AG,'AEO25 Table 23'!$B:$B,"*"&amp;$A21&amp;"*"),"")</f>
        <v>1.1027708646899088E-4</v>
      </c>
    </row>
    <row r="22" spans="1:31" x14ac:dyDescent="0.25">
      <c r="A22" s="25" t="s">
        <v>12</v>
      </c>
      <c r="B22" s="13" cm="1">
        <f t="array" ref="B22">IFERROR(SUMPRODUCT(--('BLS Table 2.11'!L:L=$A22),'BLS Table 2.11'!J:J,'BLS Table 2.11'!K:K)/SUMIFS('BLS Table 2.11'!J:J,'BLS Table 2.11'!L:L,$A22)/100,SUMPRODUCT(--('BLS Table 2.11'!M:M=$A22),'BLS Table 2.11'!J:J,'BLS Table 2.11'!K:K)/SUMIFS('BLS Table 2.11'!J:J,'BLS Table 2.11'!M:M,$A22)/100)</f>
        <v>2.2000000000000002E-2</v>
      </c>
      <c r="E22" s="1" t="s">
        <v>12</v>
      </c>
      <c r="F22" s="29">
        <f>IFERROR((SUMIFS('AEO25 Table 23'!I:I,'AEO25 Table 23'!$B:$B,"*"&amp;$A22&amp;"*")-SUMIFS('AEO25 Table 23'!H:H,'AEO25 Table 23'!$B:$B,"*"&amp;$A22&amp;"*"))/SUMIFS('AEO25 Table 23'!H:H,'AEO25 Table 23'!$B:$B,"*"&amp;$A22&amp;"*"),"")</f>
        <v>4.0341986957305703E-2</v>
      </c>
      <c r="G22" s="29">
        <f>IFERROR((SUMIFS('AEO25 Table 23'!J:J,'AEO25 Table 23'!$B:$B,"*"&amp;$A22&amp;"*")-SUMIFS('AEO25 Table 23'!I:I,'AEO25 Table 23'!$B:$B,"*"&amp;$A22&amp;"*"))/SUMIFS('AEO25 Table 23'!I:I,'AEO25 Table 23'!$B:$B,"*"&amp;$A22&amp;"*"),"")</f>
        <v>2.0697348961222845E-2</v>
      </c>
      <c r="H22" s="29">
        <f>IFERROR((SUMIFS('AEO25 Table 23'!K:K,'AEO25 Table 23'!$B:$B,"*"&amp;$A22&amp;"*")-SUMIFS('AEO25 Table 23'!J:J,'AEO25 Table 23'!$B:$B,"*"&amp;$A22&amp;"*"))/SUMIFS('AEO25 Table 23'!J:J,'AEO25 Table 23'!$B:$B,"*"&amp;$A22&amp;"*"),"")</f>
        <v>3.9297895693808656E-2</v>
      </c>
      <c r="I22" s="29">
        <f>IFERROR((SUMIFS('AEO25 Table 23'!L:L,'AEO25 Table 23'!$B:$B,"*"&amp;$A22&amp;"*")-SUMIFS('AEO25 Table 23'!K:K,'AEO25 Table 23'!$B:$B,"*"&amp;$A22&amp;"*"))/SUMIFS('AEO25 Table 23'!K:K,'AEO25 Table 23'!$B:$B,"*"&amp;$A22&amp;"*"),"")</f>
        <v>4.1176560553875856E-2</v>
      </c>
      <c r="J22" s="29">
        <f>IFERROR((SUMIFS('AEO25 Table 23'!M:M,'AEO25 Table 23'!$B:$B,"*"&amp;$A22&amp;"*")-SUMIFS('AEO25 Table 23'!L:L,'AEO25 Table 23'!$B:$B,"*"&amp;$A22&amp;"*"))/SUMIFS('AEO25 Table 23'!L:L,'AEO25 Table 23'!$B:$B,"*"&amp;$A22&amp;"*"),"")</f>
        <v>3.1988452241194516E-2</v>
      </c>
      <c r="K22" s="29">
        <f>IFERROR((SUMIFS('AEO25 Table 23'!N:N,'AEO25 Table 23'!$B:$B,"*"&amp;$A22&amp;"*")-SUMIFS('AEO25 Table 23'!M:M,'AEO25 Table 23'!$B:$B,"*"&amp;$A22&amp;"*"))/SUMIFS('AEO25 Table 23'!M:M,'AEO25 Table 23'!$B:$B,"*"&amp;$A22&amp;"*"),"")</f>
        <v>2.9724162757082864E-2</v>
      </c>
      <c r="L22" s="29">
        <f>IFERROR((SUMIFS('AEO25 Table 23'!O:O,'AEO25 Table 23'!$B:$B,"*"&amp;$A22&amp;"*")-SUMIFS('AEO25 Table 23'!N:N,'AEO25 Table 23'!$B:$B,"*"&amp;$A22&amp;"*"))/SUMIFS('AEO25 Table 23'!N:N,'AEO25 Table 23'!$B:$B,"*"&amp;$A22&amp;"*"),"")</f>
        <v>2.7435824989091986E-2</v>
      </c>
      <c r="M22" s="29">
        <f>IFERROR((SUMIFS('AEO25 Table 23'!P:P,'AEO25 Table 23'!$B:$B,"*"&amp;$A22&amp;"*")-SUMIFS('AEO25 Table 23'!O:O,'AEO25 Table 23'!$B:$B,"*"&amp;$A22&amp;"*"))/SUMIFS('AEO25 Table 23'!O:O,'AEO25 Table 23'!$B:$B,"*"&amp;$A22&amp;"*"),"")</f>
        <v>2.8405899876797865E-2</v>
      </c>
      <c r="N22" s="29">
        <f>IFERROR((SUMIFS('AEO25 Table 23'!Q:Q,'AEO25 Table 23'!$B:$B,"*"&amp;$A22&amp;"*")-SUMIFS('AEO25 Table 23'!P:P,'AEO25 Table 23'!$B:$B,"*"&amp;$A22&amp;"*"))/SUMIFS('AEO25 Table 23'!P:P,'AEO25 Table 23'!$B:$B,"*"&amp;$A22&amp;"*"),"")</f>
        <v>2.1626480166288091E-2</v>
      </c>
      <c r="O22" s="29">
        <f>IFERROR((SUMIFS('AEO25 Table 23'!R:R,'AEO25 Table 23'!$B:$B,"*"&amp;$A22&amp;"*")-SUMIFS('AEO25 Table 23'!Q:Q,'AEO25 Table 23'!$B:$B,"*"&amp;$A22&amp;"*"))/SUMIFS('AEO25 Table 23'!Q:Q,'AEO25 Table 23'!$B:$B,"*"&amp;$A22&amp;"*"),"")</f>
        <v>2.3304634210793419E-2</v>
      </c>
      <c r="P22" s="29">
        <f>IFERROR((SUMIFS('AEO25 Table 23'!S:S,'AEO25 Table 23'!$B:$B,"*"&amp;$A22&amp;"*")-SUMIFS('AEO25 Table 23'!R:R,'AEO25 Table 23'!$B:$B,"*"&amp;$A22&amp;"*"))/SUMIFS('AEO25 Table 23'!R:R,'AEO25 Table 23'!$B:$B,"*"&amp;$A22&amp;"*"),"")</f>
        <v>2.5789017813354784E-2</v>
      </c>
      <c r="Q22" s="29">
        <f>IFERROR((SUMIFS('AEO25 Table 23'!T:T,'AEO25 Table 23'!$B:$B,"*"&amp;$A22&amp;"*")-SUMIFS('AEO25 Table 23'!S:S,'AEO25 Table 23'!$B:$B,"*"&amp;$A22&amp;"*"))/SUMIFS('AEO25 Table 23'!S:S,'AEO25 Table 23'!$B:$B,"*"&amp;$A22&amp;"*"),"")</f>
        <v>2.8434078790827457E-2</v>
      </c>
      <c r="R22" s="29">
        <f>IFERROR((SUMIFS('AEO25 Table 23'!U:U,'AEO25 Table 23'!$B:$B,"*"&amp;$A22&amp;"*")-SUMIFS('AEO25 Table 23'!T:T,'AEO25 Table 23'!$B:$B,"*"&amp;$A22&amp;"*"))/SUMIFS('AEO25 Table 23'!T:T,'AEO25 Table 23'!$B:$B,"*"&amp;$A22&amp;"*"),"")</f>
        <v>2.8374852932959483E-2</v>
      </c>
      <c r="S22" s="29">
        <f>IFERROR((SUMIFS('AEO25 Table 23'!V:V,'AEO25 Table 23'!$B:$B,"*"&amp;$A22&amp;"*")-SUMIFS('AEO25 Table 23'!U:U,'AEO25 Table 23'!$B:$B,"*"&amp;$A22&amp;"*"))/SUMIFS('AEO25 Table 23'!U:U,'AEO25 Table 23'!$B:$B,"*"&amp;$A22&amp;"*"),"")</f>
        <v>2.8095849631758485E-2</v>
      </c>
      <c r="T22" s="29">
        <f>IFERROR((SUMIFS('AEO25 Table 23'!W:W,'AEO25 Table 23'!$B:$B,"*"&amp;$A22&amp;"*")-SUMIFS('AEO25 Table 23'!V:V,'AEO25 Table 23'!$B:$B,"*"&amp;$A22&amp;"*"))/SUMIFS('AEO25 Table 23'!V:V,'AEO25 Table 23'!$B:$B,"*"&amp;$A22&amp;"*"),"")</f>
        <v>2.9590381457354115E-2</v>
      </c>
      <c r="U22" s="29">
        <f>IFERROR((SUMIFS('AEO25 Table 23'!X:X,'AEO25 Table 23'!$B:$B,"*"&amp;$A22&amp;"*")-SUMIFS('AEO25 Table 23'!W:W,'AEO25 Table 23'!$B:$B,"*"&amp;$A22&amp;"*"))/SUMIFS('AEO25 Table 23'!W:W,'AEO25 Table 23'!$B:$B,"*"&amp;$A22&amp;"*"),"")</f>
        <v>3.0855158479365177E-2</v>
      </c>
      <c r="V22" s="29">
        <f>IFERROR((SUMIFS('AEO25 Table 23'!Y:Y,'AEO25 Table 23'!$B:$B,"*"&amp;$A22&amp;"*")-SUMIFS('AEO25 Table 23'!X:X,'AEO25 Table 23'!$B:$B,"*"&amp;$A22&amp;"*"))/SUMIFS('AEO25 Table 23'!X:X,'AEO25 Table 23'!$B:$B,"*"&amp;$A22&amp;"*"),"")</f>
        <v>3.0793892500719337E-2</v>
      </c>
      <c r="W22" s="29">
        <f>IFERROR((SUMIFS('AEO25 Table 23'!Z:Z,'AEO25 Table 23'!$B:$B,"*"&amp;$A22&amp;"*")-SUMIFS('AEO25 Table 23'!Y:Y,'AEO25 Table 23'!$B:$B,"*"&amp;$A22&amp;"*"))/SUMIFS('AEO25 Table 23'!Y:Y,'AEO25 Table 23'!$B:$B,"*"&amp;$A22&amp;"*"),"")</f>
        <v>3.0978558646699728E-2</v>
      </c>
      <c r="X22" s="29">
        <f>IFERROR((SUMIFS('AEO25 Table 23'!AA:AA,'AEO25 Table 23'!$B:$B,"*"&amp;$A22&amp;"*")-SUMIFS('AEO25 Table 23'!Z:Z,'AEO25 Table 23'!$B:$B,"*"&amp;$A22&amp;"*"))/SUMIFS('AEO25 Table 23'!Z:Z,'AEO25 Table 23'!$B:$B,"*"&amp;$A22&amp;"*"),"")</f>
        <v>2.9622739332982113E-2</v>
      </c>
      <c r="Y22" s="29">
        <f>IFERROR((SUMIFS('AEO25 Table 23'!AB:AB,'AEO25 Table 23'!$B:$B,"*"&amp;$A22&amp;"*")-SUMIFS('AEO25 Table 23'!AA:AA,'AEO25 Table 23'!$B:$B,"*"&amp;$A22&amp;"*"))/SUMIFS('AEO25 Table 23'!AA:AA,'AEO25 Table 23'!$B:$B,"*"&amp;$A22&amp;"*"),"")</f>
        <v>3.0732642162926153E-2</v>
      </c>
      <c r="Z22" s="29">
        <f>IFERROR((SUMIFS('AEO25 Table 23'!AC:AC,'AEO25 Table 23'!$B:$B,"*"&amp;$A22&amp;"*")-SUMIFS('AEO25 Table 23'!AB:AB,'AEO25 Table 23'!$B:$B,"*"&amp;$A22&amp;"*"))/SUMIFS('AEO25 Table 23'!AB:AB,'AEO25 Table 23'!$B:$B,"*"&amp;$A22&amp;"*"),"")</f>
        <v>2.94655391359828E-2</v>
      </c>
      <c r="AA22" s="29">
        <f>IFERROR((SUMIFS('AEO25 Table 23'!AD:AD,'AEO25 Table 23'!$B:$B,"*"&amp;$A22&amp;"*")-SUMIFS('AEO25 Table 23'!AC:AC,'AEO25 Table 23'!$B:$B,"*"&amp;$A22&amp;"*"))/SUMIFS('AEO25 Table 23'!AC:AC,'AEO25 Table 23'!$B:$B,"*"&amp;$A22&amp;"*"),"")</f>
        <v>3.1483280767382542E-2</v>
      </c>
      <c r="AB22" s="29">
        <f>IFERROR((SUMIFS('AEO25 Table 23'!AE:AE,'AEO25 Table 23'!$B:$B,"*"&amp;$A22&amp;"*")-SUMIFS('AEO25 Table 23'!AD:AD,'AEO25 Table 23'!$B:$B,"*"&amp;$A22&amp;"*"))/SUMIFS('AEO25 Table 23'!AD:AD,'AEO25 Table 23'!$B:$B,"*"&amp;$A22&amp;"*"),"")</f>
        <v>3.1770176933170823E-2</v>
      </c>
      <c r="AC22" s="29">
        <f>IFERROR((SUMIFS('AEO25 Table 23'!AF:AF,'AEO25 Table 23'!$B:$B,"*"&amp;$A22&amp;"*")-SUMIFS('AEO25 Table 23'!AE:AE,'AEO25 Table 23'!$B:$B,"*"&amp;$A22&amp;"*"))/SUMIFS('AEO25 Table 23'!AE:AE,'AEO25 Table 23'!$B:$B,"*"&amp;$A22&amp;"*"),"")</f>
        <v>3.1260480142397497E-2</v>
      </c>
      <c r="AD22" s="29">
        <f>IFERROR((SUMIFS('AEO25 Table 23'!AG:AG,'AEO25 Table 23'!$B:$B,"*"&amp;$A22&amp;"*")-SUMIFS('AEO25 Table 23'!AF:AF,'AEO25 Table 23'!$B:$B,"*"&amp;$A22&amp;"*"))/SUMIFS('AEO25 Table 23'!AF:AF,'AEO25 Table 23'!$B:$B,"*"&amp;$A22&amp;"*"),"")</f>
        <v>3.0878435169586178E-2</v>
      </c>
      <c r="AE22" s="29">
        <f>IFERROR((SUMIFS('AEO25 Table 23'!AH:AH,'AEO25 Table 23'!$B:$B,"*"&amp;$A22&amp;"*")-SUMIFS('AEO25 Table 23'!AG:AG,'AEO25 Table 23'!$B:$B,"*"&amp;$A22&amp;"*"))/SUMIFS('AEO25 Table 23'!AG:AG,'AEO25 Table 23'!$B:$B,"*"&amp;$A22&amp;"*"),"")</f>
        <v>3.0213935157767595E-2</v>
      </c>
    </row>
    <row r="23" spans="1:31" x14ac:dyDescent="0.25">
      <c r="A23" s="25" t="s">
        <v>13</v>
      </c>
      <c r="B23" s="13" cm="1">
        <f t="array" ref="B23">IFERROR(SUMPRODUCT(--('BLS Table 2.11'!L:L=$A23),'BLS Table 2.11'!J:J,'BLS Table 2.11'!K:K)/SUMIFS('BLS Table 2.11'!J:J,'BLS Table 2.11'!L:L,$A23)/100,SUMPRODUCT(--('BLS Table 2.11'!M:M=$A23),'BLS Table 2.11'!J:J,'BLS Table 2.11'!K:K)/SUMIFS('BLS Table 2.11'!J:J,'BLS Table 2.11'!M:M,$A23)/100)</f>
        <v>1.7000000000000001E-2</v>
      </c>
      <c r="E23" s="1" t="s">
        <v>13</v>
      </c>
      <c r="F23" s="29">
        <f>IFERROR((SUMIFS('AEO25 Table 23'!I:I,'AEO25 Table 23'!$B:$B,"*"&amp;$A23&amp;"*")-SUMIFS('AEO25 Table 23'!H:H,'AEO25 Table 23'!$B:$B,"*"&amp;$A23&amp;"*"))/SUMIFS('AEO25 Table 23'!H:H,'AEO25 Table 23'!$B:$B,"*"&amp;$A23&amp;"*"),"")</f>
        <v>6.1082305929953812E-3</v>
      </c>
      <c r="G23" s="29">
        <f>IFERROR((SUMIFS('AEO25 Table 23'!J:J,'AEO25 Table 23'!$B:$B,"*"&amp;$A23&amp;"*")-SUMIFS('AEO25 Table 23'!I:I,'AEO25 Table 23'!$B:$B,"*"&amp;$A23&amp;"*"))/SUMIFS('AEO25 Table 23'!I:I,'AEO25 Table 23'!$B:$B,"*"&amp;$A23&amp;"*"),"")</f>
        <v>-7.0710087808703598E-3</v>
      </c>
      <c r="H23" s="29">
        <f>IFERROR((SUMIFS('AEO25 Table 23'!K:K,'AEO25 Table 23'!$B:$B,"*"&amp;$A23&amp;"*")-SUMIFS('AEO25 Table 23'!J:J,'AEO25 Table 23'!$B:$B,"*"&amp;$A23&amp;"*"))/SUMIFS('AEO25 Table 23'!J:J,'AEO25 Table 23'!$B:$B,"*"&amp;$A23&amp;"*"),"")</f>
        <v>1.3504401732057152E-2</v>
      </c>
      <c r="I23" s="29">
        <f>IFERROR((SUMIFS('AEO25 Table 23'!L:L,'AEO25 Table 23'!$B:$B,"*"&amp;$A23&amp;"*")-SUMIFS('AEO25 Table 23'!K:K,'AEO25 Table 23'!$B:$B,"*"&amp;$A23&amp;"*"))/SUMIFS('AEO25 Table 23'!K:K,'AEO25 Table 23'!$B:$B,"*"&amp;$A23&amp;"*"),"")</f>
        <v>2.119209799457222E-2</v>
      </c>
      <c r="J23" s="29">
        <f>IFERROR((SUMIFS('AEO25 Table 23'!M:M,'AEO25 Table 23'!$B:$B,"*"&amp;$A23&amp;"*")-SUMIFS('AEO25 Table 23'!L:L,'AEO25 Table 23'!$B:$B,"*"&amp;$A23&amp;"*"))/SUMIFS('AEO25 Table 23'!L:L,'AEO25 Table 23'!$B:$B,"*"&amp;$A23&amp;"*"),"")</f>
        <v>1.5173509382508778E-2</v>
      </c>
      <c r="K23" s="29">
        <f>IFERROR((SUMIFS('AEO25 Table 23'!N:N,'AEO25 Table 23'!$B:$B,"*"&amp;$A23&amp;"*")-SUMIFS('AEO25 Table 23'!M:M,'AEO25 Table 23'!$B:$B,"*"&amp;$A23&amp;"*"))/SUMIFS('AEO25 Table 23'!M:M,'AEO25 Table 23'!$B:$B,"*"&amp;$A23&amp;"*"),"")</f>
        <v>1.3421638796532437E-2</v>
      </c>
      <c r="L23" s="29">
        <f>IFERROR((SUMIFS('AEO25 Table 23'!O:O,'AEO25 Table 23'!$B:$B,"*"&amp;$A23&amp;"*")-SUMIFS('AEO25 Table 23'!N:N,'AEO25 Table 23'!$B:$B,"*"&amp;$A23&amp;"*"))/SUMIFS('AEO25 Table 23'!N:N,'AEO25 Table 23'!$B:$B,"*"&amp;$A23&amp;"*"),"")</f>
        <v>8.121124232167435E-3</v>
      </c>
      <c r="M23" s="29">
        <f>IFERROR((SUMIFS('AEO25 Table 23'!P:P,'AEO25 Table 23'!$B:$B,"*"&amp;$A23&amp;"*")-SUMIFS('AEO25 Table 23'!O:O,'AEO25 Table 23'!$B:$B,"*"&amp;$A23&amp;"*"))/SUMIFS('AEO25 Table 23'!O:O,'AEO25 Table 23'!$B:$B,"*"&amp;$A23&amp;"*"),"")</f>
        <v>8.9584599702703625E-3</v>
      </c>
      <c r="N23" s="29">
        <f>IFERROR((SUMIFS('AEO25 Table 23'!Q:Q,'AEO25 Table 23'!$B:$B,"*"&amp;$A23&amp;"*")-SUMIFS('AEO25 Table 23'!P:P,'AEO25 Table 23'!$B:$B,"*"&amp;$A23&amp;"*"))/SUMIFS('AEO25 Table 23'!P:P,'AEO25 Table 23'!$B:$B,"*"&amp;$A23&amp;"*"),"")</f>
        <v>-1.3943215593897776E-4</v>
      </c>
      <c r="O23" s="29">
        <f>IFERROR((SUMIFS('AEO25 Table 23'!R:R,'AEO25 Table 23'!$B:$B,"*"&amp;$A23&amp;"*")-SUMIFS('AEO25 Table 23'!Q:Q,'AEO25 Table 23'!$B:$B,"*"&amp;$A23&amp;"*"))/SUMIFS('AEO25 Table 23'!Q:Q,'AEO25 Table 23'!$B:$B,"*"&amp;$A23&amp;"*"),"")</f>
        <v>1.7256908691964505E-3</v>
      </c>
      <c r="P23" s="29">
        <f>IFERROR((SUMIFS('AEO25 Table 23'!S:S,'AEO25 Table 23'!$B:$B,"*"&amp;$A23&amp;"*")-SUMIFS('AEO25 Table 23'!R:R,'AEO25 Table 23'!$B:$B,"*"&amp;$A23&amp;"*"))/SUMIFS('AEO25 Table 23'!R:R,'AEO25 Table 23'!$B:$B,"*"&amp;$A23&amp;"*"),"")</f>
        <v>4.373309610043165E-3</v>
      </c>
      <c r="Q23" s="29">
        <f>IFERROR((SUMIFS('AEO25 Table 23'!T:T,'AEO25 Table 23'!$B:$B,"*"&amp;$A23&amp;"*")-SUMIFS('AEO25 Table 23'!S:S,'AEO25 Table 23'!$B:$B,"*"&amp;$A23&amp;"*"))/SUMIFS('AEO25 Table 23'!S:S,'AEO25 Table 23'!$B:$B,"*"&amp;$A23&amp;"*"),"")</f>
        <v>5.1070022034831438E-3</v>
      </c>
      <c r="R23" s="29">
        <f>IFERROR((SUMIFS('AEO25 Table 23'!U:U,'AEO25 Table 23'!$B:$B,"*"&amp;$A23&amp;"*")-SUMIFS('AEO25 Table 23'!T:T,'AEO25 Table 23'!$B:$B,"*"&amp;$A23&amp;"*"))/SUMIFS('AEO25 Table 23'!T:T,'AEO25 Table 23'!$B:$B,"*"&amp;$A23&amp;"*"),"")</f>
        <v>6.1709520129535596E-3</v>
      </c>
      <c r="S23" s="29">
        <f>IFERROR((SUMIFS('AEO25 Table 23'!V:V,'AEO25 Table 23'!$B:$B,"*"&amp;$A23&amp;"*")-SUMIFS('AEO25 Table 23'!U:U,'AEO25 Table 23'!$B:$B,"*"&amp;$A23&amp;"*"))/SUMIFS('AEO25 Table 23'!U:U,'AEO25 Table 23'!$B:$B,"*"&amp;$A23&amp;"*"),"")</f>
        <v>4.8454592173849389E-3</v>
      </c>
      <c r="T23" s="29">
        <f>IFERROR((SUMIFS('AEO25 Table 23'!W:W,'AEO25 Table 23'!$B:$B,"*"&amp;$A23&amp;"*")-SUMIFS('AEO25 Table 23'!V:V,'AEO25 Table 23'!$B:$B,"*"&amp;$A23&amp;"*"))/SUMIFS('AEO25 Table 23'!V:V,'AEO25 Table 23'!$B:$B,"*"&amp;$A23&amp;"*"),"")</f>
        <v>6.1289621751260646E-3</v>
      </c>
      <c r="U23" s="29">
        <f>IFERROR((SUMIFS('AEO25 Table 23'!X:X,'AEO25 Table 23'!$B:$B,"*"&amp;$A23&amp;"*")-SUMIFS('AEO25 Table 23'!W:W,'AEO25 Table 23'!$B:$B,"*"&amp;$A23&amp;"*"))/SUMIFS('AEO25 Table 23'!W:W,'AEO25 Table 23'!$B:$B,"*"&amp;$A23&amp;"*"),"")</f>
        <v>7.510353227957762E-3</v>
      </c>
      <c r="V23" s="29">
        <f>IFERROR((SUMIFS('AEO25 Table 23'!Y:Y,'AEO25 Table 23'!$B:$B,"*"&amp;$A23&amp;"*")-SUMIFS('AEO25 Table 23'!X:X,'AEO25 Table 23'!$B:$B,"*"&amp;$A23&amp;"*"))/SUMIFS('AEO25 Table 23'!X:X,'AEO25 Table 23'!$B:$B,"*"&amp;$A23&amp;"*"),"")</f>
        <v>6.3858309914392479E-3</v>
      </c>
      <c r="W23" s="29">
        <f>IFERROR((SUMIFS('AEO25 Table 23'!Z:Z,'AEO25 Table 23'!$B:$B,"*"&amp;$A23&amp;"*")-SUMIFS('AEO25 Table 23'!Y:Y,'AEO25 Table 23'!$B:$B,"*"&amp;$A23&amp;"*"))/SUMIFS('AEO25 Table 23'!Y:Y,'AEO25 Table 23'!$B:$B,"*"&amp;$A23&amp;"*"),"")</f>
        <v>6.0842508718275349E-3</v>
      </c>
      <c r="X23" s="29">
        <f>IFERROR((SUMIFS('AEO25 Table 23'!AA:AA,'AEO25 Table 23'!$B:$B,"*"&amp;$A23&amp;"*")-SUMIFS('AEO25 Table 23'!Z:Z,'AEO25 Table 23'!$B:$B,"*"&amp;$A23&amp;"*"))/SUMIFS('AEO25 Table 23'!Z:Z,'AEO25 Table 23'!$B:$B,"*"&amp;$A23&amp;"*"),"")</f>
        <v>4.8222277281931743E-3</v>
      </c>
      <c r="Y23" s="29">
        <f>IFERROR((SUMIFS('AEO25 Table 23'!AB:AB,'AEO25 Table 23'!$B:$B,"*"&amp;$A23&amp;"*")-SUMIFS('AEO25 Table 23'!AA:AA,'AEO25 Table 23'!$B:$B,"*"&amp;$A23&amp;"*"))/SUMIFS('AEO25 Table 23'!AA:AA,'AEO25 Table 23'!$B:$B,"*"&amp;$A23&amp;"*"),"")</f>
        <v>5.4477429505724248E-3</v>
      </c>
      <c r="Z23" s="29">
        <f>IFERROR((SUMIFS('AEO25 Table 23'!AC:AC,'AEO25 Table 23'!$B:$B,"*"&amp;$A23&amp;"*")-SUMIFS('AEO25 Table 23'!AB:AB,'AEO25 Table 23'!$B:$B,"*"&amp;$A23&amp;"*"))/SUMIFS('AEO25 Table 23'!AB:AB,'AEO25 Table 23'!$B:$B,"*"&amp;$A23&amp;"*"),"")</f>
        <v>3.8263747288985097E-3</v>
      </c>
      <c r="AA23" s="29">
        <f>IFERROR((SUMIFS('AEO25 Table 23'!AD:AD,'AEO25 Table 23'!$B:$B,"*"&amp;$A23&amp;"*")-SUMIFS('AEO25 Table 23'!AC:AC,'AEO25 Table 23'!$B:$B,"*"&amp;$A23&amp;"*"))/SUMIFS('AEO25 Table 23'!AC:AC,'AEO25 Table 23'!$B:$B,"*"&amp;$A23&amp;"*"),"")</f>
        <v>5.2428393647984042E-3</v>
      </c>
      <c r="AB23" s="29">
        <f>IFERROR((SUMIFS('AEO25 Table 23'!AE:AE,'AEO25 Table 23'!$B:$B,"*"&amp;$A23&amp;"*")-SUMIFS('AEO25 Table 23'!AD:AD,'AEO25 Table 23'!$B:$B,"*"&amp;$A23&amp;"*"))/SUMIFS('AEO25 Table 23'!AD:AD,'AEO25 Table 23'!$B:$B,"*"&amp;$A23&amp;"*"),"")</f>
        <v>6.2298576817025175E-3</v>
      </c>
      <c r="AC23" s="29">
        <f>IFERROR((SUMIFS('AEO25 Table 23'!AF:AF,'AEO25 Table 23'!$B:$B,"*"&amp;$A23&amp;"*")-SUMIFS('AEO25 Table 23'!AE:AE,'AEO25 Table 23'!$B:$B,"*"&amp;$A23&amp;"*"))/SUMIFS('AEO25 Table 23'!AE:AE,'AEO25 Table 23'!$B:$B,"*"&amp;$A23&amp;"*"),"")</f>
        <v>4.0579412632520224E-3</v>
      </c>
      <c r="AD23" s="29">
        <f>IFERROR((SUMIFS('AEO25 Table 23'!AG:AG,'AEO25 Table 23'!$B:$B,"*"&amp;$A23&amp;"*")-SUMIFS('AEO25 Table 23'!AF:AF,'AEO25 Table 23'!$B:$B,"*"&amp;$A23&amp;"*"))/SUMIFS('AEO25 Table 23'!AF:AF,'AEO25 Table 23'!$B:$B,"*"&amp;$A23&amp;"*"),"")</f>
        <v>4.1390966473187959E-3</v>
      </c>
      <c r="AE23" s="29">
        <f>IFERROR((SUMIFS('AEO25 Table 23'!AH:AH,'AEO25 Table 23'!$B:$B,"*"&amp;$A23&amp;"*")-SUMIFS('AEO25 Table 23'!AG:AG,'AEO25 Table 23'!$B:$B,"*"&amp;$A23&amp;"*"))/SUMIFS('AEO25 Table 23'!AG:AG,'AEO25 Table 23'!$B:$B,"*"&amp;$A23&amp;"*"),"")</f>
        <v>2.8080629834392953E-3</v>
      </c>
    </row>
    <row r="24" spans="1:31" x14ac:dyDescent="0.25">
      <c r="A24" s="25" t="s">
        <v>14</v>
      </c>
      <c r="B24" s="13" cm="1">
        <f t="array" ref="B24">IFERROR(SUMPRODUCT(--('BLS Table 2.11'!L:L=$A24),'BLS Table 2.11'!J:J,'BLS Table 2.11'!K:K)/SUMIFS('BLS Table 2.11'!J:J,'BLS Table 2.11'!L:L,$A24)/100,SUMPRODUCT(--('BLS Table 2.11'!M:M=$A24),'BLS Table 2.11'!J:J,'BLS Table 2.11'!K:K)/SUMIFS('BLS Table 2.11'!J:J,'BLS Table 2.11'!M:M,$A24)/100)</f>
        <v>1.1000000000000001E-2</v>
      </c>
      <c r="E24" s="1" t="s">
        <v>14</v>
      </c>
      <c r="F24" s="29">
        <f>IFERROR((SUMIFS('AEO25 Table 23'!I:I,'AEO25 Table 23'!$B:$B,"*"&amp;$A24&amp;"*")-SUMIFS('AEO25 Table 23'!H:H,'AEO25 Table 23'!$B:$B,"*"&amp;$A24&amp;"*"))/SUMIFS('AEO25 Table 23'!H:H,'AEO25 Table 23'!$B:$B,"*"&amp;$A24&amp;"*"),"")</f>
        <v>1.1611440015510028E-2</v>
      </c>
      <c r="G24" s="29">
        <f>IFERROR((SUMIFS('AEO25 Table 23'!J:J,'AEO25 Table 23'!$B:$B,"*"&amp;$A24&amp;"*")-SUMIFS('AEO25 Table 23'!I:I,'AEO25 Table 23'!$B:$B,"*"&amp;$A24&amp;"*"))/SUMIFS('AEO25 Table 23'!I:I,'AEO25 Table 23'!$B:$B,"*"&amp;$A24&amp;"*"),"")</f>
        <v>2.0397328252548544E-2</v>
      </c>
      <c r="H24" s="29">
        <f>IFERROR((SUMIFS('AEO25 Table 23'!K:K,'AEO25 Table 23'!$B:$B,"*"&amp;$A24&amp;"*")-SUMIFS('AEO25 Table 23'!J:J,'AEO25 Table 23'!$B:$B,"*"&amp;$A24&amp;"*"))/SUMIFS('AEO25 Table 23'!J:J,'AEO25 Table 23'!$B:$B,"*"&amp;$A24&amp;"*"),"")</f>
        <v>3.8195856689378506E-2</v>
      </c>
      <c r="I24" s="29">
        <f>IFERROR((SUMIFS('AEO25 Table 23'!L:L,'AEO25 Table 23'!$B:$B,"*"&amp;$A24&amp;"*")-SUMIFS('AEO25 Table 23'!K:K,'AEO25 Table 23'!$B:$B,"*"&amp;$A24&amp;"*"))/SUMIFS('AEO25 Table 23'!K:K,'AEO25 Table 23'!$B:$B,"*"&amp;$A24&amp;"*"),"")</f>
        <v>2.1175999317324053E-2</v>
      </c>
      <c r="J24" s="29">
        <f>IFERROR((SUMIFS('AEO25 Table 23'!M:M,'AEO25 Table 23'!$B:$B,"*"&amp;$A24&amp;"*")-SUMIFS('AEO25 Table 23'!L:L,'AEO25 Table 23'!$B:$B,"*"&amp;$A24&amp;"*"))/SUMIFS('AEO25 Table 23'!L:L,'AEO25 Table 23'!$B:$B,"*"&amp;$A24&amp;"*"),"")</f>
        <v>1.773293150372288E-2</v>
      </c>
      <c r="K24" s="29">
        <f>IFERROR((SUMIFS('AEO25 Table 23'!N:N,'AEO25 Table 23'!$B:$B,"*"&amp;$A24&amp;"*")-SUMIFS('AEO25 Table 23'!M:M,'AEO25 Table 23'!$B:$B,"*"&amp;$A24&amp;"*"))/SUMIFS('AEO25 Table 23'!M:M,'AEO25 Table 23'!$B:$B,"*"&amp;$A24&amp;"*"),"")</f>
        <v>2.0287012576632988E-2</v>
      </c>
      <c r="L24" s="29">
        <f>IFERROR((SUMIFS('AEO25 Table 23'!O:O,'AEO25 Table 23'!$B:$B,"*"&amp;$A24&amp;"*")-SUMIFS('AEO25 Table 23'!N:N,'AEO25 Table 23'!$B:$B,"*"&amp;$A24&amp;"*"))/SUMIFS('AEO25 Table 23'!N:N,'AEO25 Table 23'!$B:$B,"*"&amp;$A24&amp;"*"),"")</f>
        <v>1.5003022533577336E-2</v>
      </c>
      <c r="M24" s="29">
        <f>IFERROR((SUMIFS('AEO25 Table 23'!P:P,'AEO25 Table 23'!$B:$B,"*"&amp;$A24&amp;"*")-SUMIFS('AEO25 Table 23'!O:O,'AEO25 Table 23'!$B:$B,"*"&amp;$A24&amp;"*"))/SUMIFS('AEO25 Table 23'!O:O,'AEO25 Table 23'!$B:$B,"*"&amp;$A24&amp;"*"),"")</f>
        <v>1.3286663322288493E-2</v>
      </c>
      <c r="N24" s="29">
        <f>IFERROR((SUMIFS('AEO25 Table 23'!Q:Q,'AEO25 Table 23'!$B:$B,"*"&amp;$A24&amp;"*")-SUMIFS('AEO25 Table 23'!P:P,'AEO25 Table 23'!$B:$B,"*"&amp;$A24&amp;"*"))/SUMIFS('AEO25 Table 23'!P:P,'AEO25 Table 23'!$B:$B,"*"&amp;$A24&amp;"*"),"")</f>
        <v>3.724995981628355E-3</v>
      </c>
      <c r="O24" s="29">
        <f>IFERROR((SUMIFS('AEO25 Table 23'!R:R,'AEO25 Table 23'!$B:$B,"*"&amp;$A24&amp;"*")-SUMIFS('AEO25 Table 23'!Q:Q,'AEO25 Table 23'!$B:$B,"*"&amp;$A24&amp;"*"))/SUMIFS('AEO25 Table 23'!Q:Q,'AEO25 Table 23'!$B:$B,"*"&amp;$A24&amp;"*"),"")</f>
        <v>9.553299701447894E-3</v>
      </c>
      <c r="P24" s="29">
        <f>IFERROR((SUMIFS('AEO25 Table 23'!S:S,'AEO25 Table 23'!$B:$B,"*"&amp;$A24&amp;"*")-SUMIFS('AEO25 Table 23'!R:R,'AEO25 Table 23'!$B:$B,"*"&amp;$A24&amp;"*"))/SUMIFS('AEO25 Table 23'!R:R,'AEO25 Table 23'!$B:$B,"*"&amp;$A24&amp;"*"),"")</f>
        <v>7.4225795381832951E-3</v>
      </c>
      <c r="Q24" s="29">
        <f>IFERROR((SUMIFS('AEO25 Table 23'!T:T,'AEO25 Table 23'!$B:$B,"*"&amp;$A24&amp;"*")-SUMIFS('AEO25 Table 23'!S:S,'AEO25 Table 23'!$B:$B,"*"&amp;$A24&amp;"*"))/SUMIFS('AEO25 Table 23'!S:S,'AEO25 Table 23'!$B:$B,"*"&amp;$A24&amp;"*"),"")</f>
        <v>8.0605511549397216E-3</v>
      </c>
      <c r="R24" s="29">
        <f>IFERROR((SUMIFS('AEO25 Table 23'!U:U,'AEO25 Table 23'!$B:$B,"*"&amp;$A24&amp;"*")-SUMIFS('AEO25 Table 23'!T:T,'AEO25 Table 23'!$B:$B,"*"&amp;$A24&amp;"*"))/SUMIFS('AEO25 Table 23'!T:T,'AEO25 Table 23'!$B:$B,"*"&amp;$A24&amp;"*"),"")</f>
        <v>8.0001019148630143E-3</v>
      </c>
      <c r="S24" s="29">
        <f>IFERROR((SUMIFS('AEO25 Table 23'!V:V,'AEO25 Table 23'!$B:$B,"*"&amp;$A24&amp;"*")-SUMIFS('AEO25 Table 23'!U:U,'AEO25 Table 23'!$B:$B,"*"&amp;$A24&amp;"*"))/SUMIFS('AEO25 Table 23'!U:U,'AEO25 Table 23'!$B:$B,"*"&amp;$A24&amp;"*"),"")</f>
        <v>3.2246305387631431E-3</v>
      </c>
      <c r="T24" s="29">
        <f>IFERROR((SUMIFS('AEO25 Table 23'!W:W,'AEO25 Table 23'!$B:$B,"*"&amp;$A24&amp;"*")-SUMIFS('AEO25 Table 23'!V:V,'AEO25 Table 23'!$B:$B,"*"&amp;$A24&amp;"*"))/SUMIFS('AEO25 Table 23'!V:V,'AEO25 Table 23'!$B:$B,"*"&amp;$A24&amp;"*"),"")</f>
        <v>2.4449496076674694E-3</v>
      </c>
      <c r="U24" s="29">
        <f>IFERROR((SUMIFS('AEO25 Table 23'!X:X,'AEO25 Table 23'!$B:$B,"*"&amp;$A24&amp;"*")-SUMIFS('AEO25 Table 23'!W:W,'AEO25 Table 23'!$B:$B,"*"&amp;$A24&amp;"*"))/SUMIFS('AEO25 Table 23'!W:W,'AEO25 Table 23'!$B:$B,"*"&amp;$A24&amp;"*"),"")</f>
        <v>3.9622788377232671E-3</v>
      </c>
      <c r="V24" s="29">
        <f>IFERROR((SUMIFS('AEO25 Table 23'!Y:Y,'AEO25 Table 23'!$B:$B,"*"&amp;$A24&amp;"*")-SUMIFS('AEO25 Table 23'!X:X,'AEO25 Table 23'!$B:$B,"*"&amp;$A24&amp;"*"))/SUMIFS('AEO25 Table 23'!X:X,'AEO25 Table 23'!$B:$B,"*"&amp;$A24&amp;"*"),"")</f>
        <v>2.2944966452387778E-3</v>
      </c>
      <c r="W24" s="29">
        <f>IFERROR((SUMIFS('AEO25 Table 23'!Z:Z,'AEO25 Table 23'!$B:$B,"*"&amp;$A24&amp;"*")-SUMIFS('AEO25 Table 23'!Y:Y,'AEO25 Table 23'!$B:$B,"*"&amp;$A24&amp;"*"))/SUMIFS('AEO25 Table 23'!Y:Y,'AEO25 Table 23'!$B:$B,"*"&amp;$A24&amp;"*"),"")</f>
        <v>2.3730486788303166E-3</v>
      </c>
      <c r="X24" s="29">
        <f>IFERROR((SUMIFS('AEO25 Table 23'!AA:AA,'AEO25 Table 23'!$B:$B,"*"&amp;$A24&amp;"*")-SUMIFS('AEO25 Table 23'!Z:Z,'AEO25 Table 23'!$B:$B,"*"&amp;$A24&amp;"*"))/SUMIFS('AEO25 Table 23'!Z:Z,'AEO25 Table 23'!$B:$B,"*"&amp;$A24&amp;"*"),"")</f>
        <v>1.2327617136785359E-3</v>
      </c>
      <c r="Y24" s="29">
        <f>IFERROR((SUMIFS('AEO25 Table 23'!AB:AB,'AEO25 Table 23'!$B:$B,"*"&amp;$A24&amp;"*")-SUMIFS('AEO25 Table 23'!AA:AA,'AEO25 Table 23'!$B:$B,"*"&amp;$A24&amp;"*"))/SUMIFS('AEO25 Table 23'!AA:AA,'AEO25 Table 23'!$B:$B,"*"&amp;$A24&amp;"*"),"")</f>
        <v>2.0814873591373027E-3</v>
      </c>
      <c r="Z24" s="29">
        <f>IFERROR((SUMIFS('AEO25 Table 23'!AC:AC,'AEO25 Table 23'!$B:$B,"*"&amp;$A24&amp;"*")-SUMIFS('AEO25 Table 23'!AB:AB,'AEO25 Table 23'!$B:$B,"*"&amp;$A24&amp;"*"))/SUMIFS('AEO25 Table 23'!AB:AB,'AEO25 Table 23'!$B:$B,"*"&amp;$A24&amp;"*"),"")</f>
        <v>6.0770454209637878E-4</v>
      </c>
      <c r="AA24" s="29">
        <f>IFERROR((SUMIFS('AEO25 Table 23'!AD:AD,'AEO25 Table 23'!$B:$B,"*"&amp;$A24&amp;"*")-SUMIFS('AEO25 Table 23'!AC:AC,'AEO25 Table 23'!$B:$B,"*"&amp;$A24&amp;"*"))/SUMIFS('AEO25 Table 23'!AC:AC,'AEO25 Table 23'!$B:$B,"*"&amp;$A24&amp;"*"),"")</f>
        <v>2.6266681139795458E-3</v>
      </c>
      <c r="AB24" s="29">
        <f>IFERROR((SUMIFS('AEO25 Table 23'!AE:AE,'AEO25 Table 23'!$B:$B,"*"&amp;$A24&amp;"*")-SUMIFS('AEO25 Table 23'!AD:AD,'AEO25 Table 23'!$B:$B,"*"&amp;$A24&amp;"*"))/SUMIFS('AEO25 Table 23'!AD:AD,'AEO25 Table 23'!$B:$B,"*"&amp;$A24&amp;"*"),"")</f>
        <v>4.2276321584782907E-3</v>
      </c>
      <c r="AC24" s="29">
        <f>IFERROR((SUMIFS('AEO25 Table 23'!AF:AF,'AEO25 Table 23'!$B:$B,"*"&amp;$A24&amp;"*")-SUMIFS('AEO25 Table 23'!AE:AE,'AEO25 Table 23'!$B:$B,"*"&amp;$A24&amp;"*"))/SUMIFS('AEO25 Table 23'!AE:AE,'AEO25 Table 23'!$B:$B,"*"&amp;$A24&amp;"*"),"")</f>
        <v>6.6506050789169157E-4</v>
      </c>
      <c r="AD24" s="29">
        <f>IFERROR((SUMIFS('AEO25 Table 23'!AG:AG,'AEO25 Table 23'!$B:$B,"*"&amp;$A24&amp;"*")-SUMIFS('AEO25 Table 23'!AF:AF,'AEO25 Table 23'!$B:$B,"*"&amp;$A24&amp;"*"))/SUMIFS('AEO25 Table 23'!AF:AF,'AEO25 Table 23'!$B:$B,"*"&amp;$A24&amp;"*"),"")</f>
        <v>2.6259590211581037E-3</v>
      </c>
      <c r="AE24" s="29">
        <f>IFERROR((SUMIFS('AEO25 Table 23'!AH:AH,'AEO25 Table 23'!$B:$B,"*"&amp;$A24&amp;"*")-SUMIFS('AEO25 Table 23'!AG:AG,'AEO25 Table 23'!$B:$B,"*"&amp;$A24&amp;"*"))/SUMIFS('AEO25 Table 23'!AG:AG,'AEO25 Table 23'!$B:$B,"*"&amp;$A24&amp;"*"),"")</f>
        <v>7.3801012825887703E-4</v>
      </c>
    </row>
    <row r="25" spans="1:31" x14ac:dyDescent="0.25">
      <c r="A25" s="25" t="s">
        <v>15</v>
      </c>
      <c r="B25" s="13" cm="1">
        <f t="array" ref="B25">IFERROR(SUMPRODUCT(--('BLS Table 2.11'!L:L=$A25),'BLS Table 2.11'!J:J,'BLS Table 2.11'!K:K)/SUMIFS('BLS Table 2.11'!J:J,'BLS Table 2.11'!L:L,$A25)/100,SUMPRODUCT(--('BLS Table 2.11'!M:M=$A25),'BLS Table 2.11'!J:J,'BLS Table 2.11'!K:K)/SUMIFS('BLS Table 2.11'!J:J,'BLS Table 2.11'!M:M,$A25)/100)</f>
        <v>1.437509093554488E-4</v>
      </c>
      <c r="E25" s="1" t="s">
        <v>98</v>
      </c>
      <c r="F25" s="29">
        <f>IFERROR((SUMIFS('AEO25 Table 23'!I:I,'AEO25 Table 23'!$B:$B,"*"&amp;$A25&amp;"*")-SUMIFS('AEO25 Table 23'!H:H,'AEO25 Table 23'!$B:$B,"*"&amp;$A25&amp;"*"))/SUMIFS('AEO25 Table 23'!H:H,'AEO25 Table 23'!$B:$B,"*"&amp;$A25&amp;"*"),"")</f>
        <v>6.313256631121518E-2</v>
      </c>
      <c r="G25" s="29">
        <f>IFERROR((SUMIFS('AEO25 Table 23'!J:J,'AEO25 Table 23'!$B:$B,"*"&amp;$A25&amp;"*")-SUMIFS('AEO25 Table 23'!I:I,'AEO25 Table 23'!$B:$B,"*"&amp;$A25&amp;"*"))/SUMIFS('AEO25 Table 23'!I:I,'AEO25 Table 23'!$B:$B,"*"&amp;$A25&amp;"*"),"")</f>
        <v>6.7361308268330894E-2</v>
      </c>
      <c r="H25" s="29">
        <f>IFERROR((SUMIFS('AEO25 Table 23'!K:K,'AEO25 Table 23'!$B:$B,"*"&amp;$A25&amp;"*")-SUMIFS('AEO25 Table 23'!J:J,'AEO25 Table 23'!$B:$B,"*"&amp;$A25&amp;"*"))/SUMIFS('AEO25 Table 23'!J:J,'AEO25 Table 23'!$B:$B,"*"&amp;$A25&amp;"*"),"")</f>
        <v>1.9112996366713958E-2</v>
      </c>
      <c r="I25" s="29">
        <f>IFERROR((SUMIFS('AEO25 Table 23'!L:L,'AEO25 Table 23'!$B:$B,"*"&amp;$A25&amp;"*")-SUMIFS('AEO25 Table 23'!K:K,'AEO25 Table 23'!$B:$B,"*"&amp;$A25&amp;"*"))/SUMIFS('AEO25 Table 23'!K:K,'AEO25 Table 23'!$B:$B,"*"&amp;$A25&amp;"*"),"")</f>
        <v>2.0986226956889072E-2</v>
      </c>
      <c r="J25" s="29">
        <f>IFERROR((SUMIFS('AEO25 Table 23'!M:M,'AEO25 Table 23'!$B:$B,"*"&amp;$A25&amp;"*")-SUMIFS('AEO25 Table 23'!L:L,'AEO25 Table 23'!$B:$B,"*"&amp;$A25&amp;"*"))/SUMIFS('AEO25 Table 23'!L:L,'AEO25 Table 23'!$B:$B,"*"&amp;$A25&amp;"*"),"")</f>
        <v>1.8688980260479108E-2</v>
      </c>
      <c r="K25" s="29">
        <f>IFERROR((SUMIFS('AEO25 Table 23'!N:N,'AEO25 Table 23'!$B:$B,"*"&amp;$A25&amp;"*")-SUMIFS('AEO25 Table 23'!M:M,'AEO25 Table 23'!$B:$B,"*"&amp;$A25&amp;"*"))/SUMIFS('AEO25 Table 23'!M:M,'AEO25 Table 23'!$B:$B,"*"&amp;$A25&amp;"*"),"")</f>
        <v>1.1038825611799526E-2</v>
      </c>
      <c r="L25" s="29">
        <f>IFERROR((SUMIFS('AEO25 Table 23'!O:O,'AEO25 Table 23'!$B:$B,"*"&amp;$A25&amp;"*")-SUMIFS('AEO25 Table 23'!N:N,'AEO25 Table 23'!$B:$B,"*"&amp;$A25&amp;"*"))/SUMIFS('AEO25 Table 23'!N:N,'AEO25 Table 23'!$B:$B,"*"&amp;$A25&amp;"*"),"")</f>
        <v>9.748801168807024E-4</v>
      </c>
      <c r="M25" s="29">
        <f>IFERROR((SUMIFS('AEO25 Table 23'!P:P,'AEO25 Table 23'!$B:$B,"*"&amp;$A25&amp;"*")-SUMIFS('AEO25 Table 23'!O:O,'AEO25 Table 23'!$B:$B,"*"&amp;$A25&amp;"*"))/SUMIFS('AEO25 Table 23'!O:O,'AEO25 Table 23'!$B:$B,"*"&amp;$A25&amp;"*"),"")</f>
        <v>8.1502480371217628E-3</v>
      </c>
      <c r="N25" s="29">
        <f>IFERROR((SUMIFS('AEO25 Table 23'!Q:Q,'AEO25 Table 23'!$B:$B,"*"&amp;$A25&amp;"*")-SUMIFS('AEO25 Table 23'!P:P,'AEO25 Table 23'!$B:$B,"*"&amp;$A25&amp;"*"))/SUMIFS('AEO25 Table 23'!P:P,'AEO25 Table 23'!$B:$B,"*"&amp;$A25&amp;"*"),"")</f>
        <v>9.9712855262177758E-3</v>
      </c>
      <c r="O25" s="29">
        <f>IFERROR((SUMIFS('AEO25 Table 23'!R:R,'AEO25 Table 23'!$B:$B,"*"&amp;$A25&amp;"*")-SUMIFS('AEO25 Table 23'!Q:Q,'AEO25 Table 23'!$B:$B,"*"&amp;$A25&amp;"*"))/SUMIFS('AEO25 Table 23'!Q:Q,'AEO25 Table 23'!$B:$B,"*"&amp;$A25&amp;"*"),"")</f>
        <v>2.2265435292679797E-2</v>
      </c>
      <c r="P25" s="29">
        <f>IFERROR((SUMIFS('AEO25 Table 23'!S:S,'AEO25 Table 23'!$B:$B,"*"&amp;$A25&amp;"*")-SUMIFS('AEO25 Table 23'!R:R,'AEO25 Table 23'!$B:$B,"*"&amp;$A25&amp;"*"))/SUMIFS('AEO25 Table 23'!R:R,'AEO25 Table 23'!$B:$B,"*"&amp;$A25&amp;"*"),"")</f>
        <v>1.415169624193425E-2</v>
      </c>
      <c r="Q25" s="29">
        <f>IFERROR((SUMIFS('AEO25 Table 23'!T:T,'AEO25 Table 23'!$B:$B,"*"&amp;$A25&amp;"*")-SUMIFS('AEO25 Table 23'!S:S,'AEO25 Table 23'!$B:$B,"*"&amp;$A25&amp;"*"))/SUMIFS('AEO25 Table 23'!S:S,'AEO25 Table 23'!$B:$B,"*"&amp;$A25&amp;"*"),"")</f>
        <v>8.8713525714669197E-3</v>
      </c>
      <c r="R25" s="29">
        <f>IFERROR((SUMIFS('AEO25 Table 23'!U:U,'AEO25 Table 23'!$B:$B,"*"&amp;$A25&amp;"*")-SUMIFS('AEO25 Table 23'!T:T,'AEO25 Table 23'!$B:$B,"*"&amp;$A25&amp;"*"))/SUMIFS('AEO25 Table 23'!T:T,'AEO25 Table 23'!$B:$B,"*"&amp;$A25&amp;"*"),"")</f>
        <v>1.0377804517042103E-2</v>
      </c>
      <c r="S25" s="29">
        <f>IFERROR((SUMIFS('AEO25 Table 23'!V:V,'AEO25 Table 23'!$B:$B,"*"&amp;$A25&amp;"*")-SUMIFS('AEO25 Table 23'!U:U,'AEO25 Table 23'!$B:$B,"*"&amp;$A25&amp;"*"))/SUMIFS('AEO25 Table 23'!U:U,'AEO25 Table 23'!$B:$B,"*"&amp;$A25&amp;"*"),"")</f>
        <v>1.2468071083287119E-2</v>
      </c>
      <c r="T25" s="29">
        <f>IFERROR((SUMIFS('AEO25 Table 23'!W:W,'AEO25 Table 23'!$B:$B,"*"&amp;$A25&amp;"*")-SUMIFS('AEO25 Table 23'!V:V,'AEO25 Table 23'!$B:$B,"*"&amp;$A25&amp;"*"))/SUMIFS('AEO25 Table 23'!V:V,'AEO25 Table 23'!$B:$B,"*"&amp;$A25&amp;"*"),"")</f>
        <v>1.3263515463534808E-2</v>
      </c>
      <c r="U25" s="29">
        <f>IFERROR((SUMIFS('AEO25 Table 23'!X:X,'AEO25 Table 23'!$B:$B,"*"&amp;$A25&amp;"*")-SUMIFS('AEO25 Table 23'!W:W,'AEO25 Table 23'!$B:$B,"*"&amp;$A25&amp;"*"))/SUMIFS('AEO25 Table 23'!W:W,'AEO25 Table 23'!$B:$B,"*"&amp;$A25&amp;"*"),"")</f>
        <v>1.2234935486134028E-2</v>
      </c>
      <c r="V25" s="29">
        <f>IFERROR((SUMIFS('AEO25 Table 23'!Y:Y,'AEO25 Table 23'!$B:$B,"*"&amp;$A25&amp;"*")-SUMIFS('AEO25 Table 23'!X:X,'AEO25 Table 23'!$B:$B,"*"&amp;$A25&amp;"*"))/SUMIFS('AEO25 Table 23'!X:X,'AEO25 Table 23'!$B:$B,"*"&amp;$A25&amp;"*"),"")</f>
        <v>9.9490877879636463E-3</v>
      </c>
      <c r="W25" s="29">
        <f>IFERROR((SUMIFS('AEO25 Table 23'!Z:Z,'AEO25 Table 23'!$B:$B,"*"&amp;$A25&amp;"*")-SUMIFS('AEO25 Table 23'!Y:Y,'AEO25 Table 23'!$B:$B,"*"&amp;$A25&amp;"*"))/SUMIFS('AEO25 Table 23'!Y:Y,'AEO25 Table 23'!$B:$B,"*"&amp;$A25&amp;"*"),"")</f>
        <v>1.0605153209128106E-2</v>
      </c>
      <c r="X25" s="29">
        <f>IFERROR((SUMIFS('AEO25 Table 23'!AA:AA,'AEO25 Table 23'!$B:$B,"*"&amp;$A25&amp;"*")-SUMIFS('AEO25 Table 23'!Z:Z,'AEO25 Table 23'!$B:$B,"*"&amp;$A25&amp;"*"))/SUMIFS('AEO25 Table 23'!Z:Z,'AEO25 Table 23'!$B:$B,"*"&amp;$A25&amp;"*"),"")</f>
        <v>8.4250367861470211E-3</v>
      </c>
      <c r="Y25" s="29">
        <f>IFERROR((SUMIFS('AEO25 Table 23'!AB:AB,'AEO25 Table 23'!$B:$B,"*"&amp;$A25&amp;"*")-SUMIFS('AEO25 Table 23'!AA:AA,'AEO25 Table 23'!$B:$B,"*"&amp;$A25&amp;"*"))/SUMIFS('AEO25 Table 23'!AA:AA,'AEO25 Table 23'!$B:$B,"*"&amp;$A25&amp;"*"),"")</f>
        <v>9.3299485142444936E-3</v>
      </c>
      <c r="Z25" s="29">
        <f>IFERROR((SUMIFS('AEO25 Table 23'!AC:AC,'AEO25 Table 23'!$B:$B,"*"&amp;$A25&amp;"*")-SUMIFS('AEO25 Table 23'!AB:AB,'AEO25 Table 23'!$B:$B,"*"&amp;$A25&amp;"*"))/SUMIFS('AEO25 Table 23'!AB:AB,'AEO25 Table 23'!$B:$B,"*"&amp;$A25&amp;"*"),"")</f>
        <v>1.0345116531082525E-2</v>
      </c>
      <c r="AA25" s="29">
        <f>IFERROR((SUMIFS('AEO25 Table 23'!AD:AD,'AEO25 Table 23'!$B:$B,"*"&amp;$A25&amp;"*")-SUMIFS('AEO25 Table 23'!AC:AC,'AEO25 Table 23'!$B:$B,"*"&amp;$A25&amp;"*"))/SUMIFS('AEO25 Table 23'!AC:AC,'AEO25 Table 23'!$B:$B,"*"&amp;$A25&amp;"*"),"")</f>
        <v>9.9202079395913304E-3</v>
      </c>
      <c r="AB25" s="29">
        <f>IFERROR((SUMIFS('AEO25 Table 23'!AE:AE,'AEO25 Table 23'!$B:$B,"*"&amp;$A25&amp;"*")-SUMIFS('AEO25 Table 23'!AD:AD,'AEO25 Table 23'!$B:$B,"*"&amp;$A25&amp;"*"))/SUMIFS('AEO25 Table 23'!AD:AD,'AEO25 Table 23'!$B:$B,"*"&amp;$A25&amp;"*"),"")</f>
        <v>9.5822478686575889E-3</v>
      </c>
      <c r="AC25" s="29">
        <f>IFERROR((SUMIFS('AEO25 Table 23'!AF:AF,'AEO25 Table 23'!$B:$B,"*"&amp;$A25&amp;"*")-SUMIFS('AEO25 Table 23'!AE:AE,'AEO25 Table 23'!$B:$B,"*"&amp;$A25&amp;"*"))/SUMIFS('AEO25 Table 23'!AE:AE,'AEO25 Table 23'!$B:$B,"*"&amp;$A25&amp;"*"),"")</f>
        <v>9.3710449071168975E-3</v>
      </c>
      <c r="AD25" s="29">
        <f>IFERROR((SUMIFS('AEO25 Table 23'!AG:AG,'AEO25 Table 23'!$B:$B,"*"&amp;$A25&amp;"*")-SUMIFS('AEO25 Table 23'!AF:AF,'AEO25 Table 23'!$B:$B,"*"&amp;$A25&amp;"*"))/SUMIFS('AEO25 Table 23'!AF:AF,'AEO25 Table 23'!$B:$B,"*"&amp;$A25&amp;"*"),"")</f>
        <v>8.1034708515457746E-3</v>
      </c>
      <c r="AE25" s="29">
        <f>IFERROR((SUMIFS('AEO25 Table 23'!AH:AH,'AEO25 Table 23'!$B:$B,"*"&amp;$A25&amp;"*")-SUMIFS('AEO25 Table 23'!AG:AG,'AEO25 Table 23'!$B:$B,"*"&amp;$A25&amp;"*"))/SUMIFS('AEO25 Table 23'!AG:AG,'AEO25 Table 23'!$B:$B,"*"&amp;$A25&amp;"*"),"")</f>
        <v>5.0647343173939449E-3</v>
      </c>
    </row>
    <row r="26" spans="1:31" x14ac:dyDescent="0.25">
      <c r="A26" s="25" t="s">
        <v>16</v>
      </c>
      <c r="B26" s="13" cm="1">
        <f t="array" ref="B26">IFERROR(SUMPRODUCT(--('BLS Table 2.11'!L:L=$A26),'BLS Table 2.11'!J:J,'BLS Table 2.11'!K:K)/SUMIFS('BLS Table 2.11'!J:J,'BLS Table 2.11'!L:L,$A26)/100,SUMPRODUCT(--('BLS Table 2.11'!M:M=$A26),'BLS Table 2.11'!J:J,'BLS Table 2.11'!K:K)/SUMIFS('BLS Table 2.11'!J:J,'BLS Table 2.11'!M:M,$A26)/100)</f>
        <v>1.9349058796188704E-2</v>
      </c>
      <c r="E26" s="1" t="s">
        <v>98</v>
      </c>
      <c r="F26" s="29">
        <f>IFERROR((SUMIFS('AEO25 Table 23'!I:I,'AEO25 Table 23'!$B:$B,"*"&amp;$A26&amp;"*")-SUMIFS('AEO25 Table 23'!H:H,'AEO25 Table 23'!$B:$B,"*"&amp;$A26&amp;"*"))/SUMIFS('AEO25 Table 23'!H:H,'AEO25 Table 23'!$B:$B,"*"&amp;$A26&amp;"*"),"")</f>
        <v>6.313256631121518E-2</v>
      </c>
      <c r="G26" s="29">
        <f>IFERROR((SUMIFS('AEO25 Table 23'!J:J,'AEO25 Table 23'!$B:$B,"*"&amp;$A26&amp;"*")-SUMIFS('AEO25 Table 23'!I:I,'AEO25 Table 23'!$B:$B,"*"&amp;$A26&amp;"*"))/SUMIFS('AEO25 Table 23'!I:I,'AEO25 Table 23'!$B:$B,"*"&amp;$A26&amp;"*"),"")</f>
        <v>6.7361308268330894E-2</v>
      </c>
      <c r="H26" s="29">
        <f>IFERROR((SUMIFS('AEO25 Table 23'!K:K,'AEO25 Table 23'!$B:$B,"*"&amp;$A26&amp;"*")-SUMIFS('AEO25 Table 23'!J:J,'AEO25 Table 23'!$B:$B,"*"&amp;$A26&amp;"*"))/SUMIFS('AEO25 Table 23'!J:J,'AEO25 Table 23'!$B:$B,"*"&amp;$A26&amp;"*"),"")</f>
        <v>1.9112996366713958E-2</v>
      </c>
      <c r="I26" s="29">
        <f>IFERROR((SUMIFS('AEO25 Table 23'!L:L,'AEO25 Table 23'!$B:$B,"*"&amp;$A26&amp;"*")-SUMIFS('AEO25 Table 23'!K:K,'AEO25 Table 23'!$B:$B,"*"&amp;$A26&amp;"*"))/SUMIFS('AEO25 Table 23'!K:K,'AEO25 Table 23'!$B:$B,"*"&amp;$A26&amp;"*"),"")</f>
        <v>2.0986226956889072E-2</v>
      </c>
      <c r="J26" s="29">
        <f>IFERROR((SUMIFS('AEO25 Table 23'!M:M,'AEO25 Table 23'!$B:$B,"*"&amp;$A26&amp;"*")-SUMIFS('AEO25 Table 23'!L:L,'AEO25 Table 23'!$B:$B,"*"&amp;$A26&amp;"*"))/SUMIFS('AEO25 Table 23'!L:L,'AEO25 Table 23'!$B:$B,"*"&amp;$A26&amp;"*"),"")</f>
        <v>1.8688980260479108E-2</v>
      </c>
      <c r="K26" s="29">
        <f>IFERROR((SUMIFS('AEO25 Table 23'!N:N,'AEO25 Table 23'!$B:$B,"*"&amp;$A26&amp;"*")-SUMIFS('AEO25 Table 23'!M:M,'AEO25 Table 23'!$B:$B,"*"&amp;$A26&amp;"*"))/SUMIFS('AEO25 Table 23'!M:M,'AEO25 Table 23'!$B:$B,"*"&amp;$A26&amp;"*"),"")</f>
        <v>1.1038825611799526E-2</v>
      </c>
      <c r="L26" s="29">
        <f>IFERROR((SUMIFS('AEO25 Table 23'!O:O,'AEO25 Table 23'!$B:$B,"*"&amp;$A26&amp;"*")-SUMIFS('AEO25 Table 23'!N:N,'AEO25 Table 23'!$B:$B,"*"&amp;$A26&amp;"*"))/SUMIFS('AEO25 Table 23'!N:N,'AEO25 Table 23'!$B:$B,"*"&amp;$A26&amp;"*"),"")</f>
        <v>9.748801168807024E-4</v>
      </c>
      <c r="M26" s="29">
        <f>IFERROR((SUMIFS('AEO25 Table 23'!P:P,'AEO25 Table 23'!$B:$B,"*"&amp;$A26&amp;"*")-SUMIFS('AEO25 Table 23'!O:O,'AEO25 Table 23'!$B:$B,"*"&amp;$A26&amp;"*"))/SUMIFS('AEO25 Table 23'!O:O,'AEO25 Table 23'!$B:$B,"*"&amp;$A26&amp;"*"),"")</f>
        <v>8.1502480371217628E-3</v>
      </c>
      <c r="N26" s="29">
        <f>IFERROR((SUMIFS('AEO25 Table 23'!Q:Q,'AEO25 Table 23'!$B:$B,"*"&amp;$A26&amp;"*")-SUMIFS('AEO25 Table 23'!P:P,'AEO25 Table 23'!$B:$B,"*"&amp;$A26&amp;"*"))/SUMIFS('AEO25 Table 23'!P:P,'AEO25 Table 23'!$B:$B,"*"&amp;$A26&amp;"*"),"")</f>
        <v>9.9712855262177758E-3</v>
      </c>
      <c r="O26" s="29">
        <f>IFERROR((SUMIFS('AEO25 Table 23'!R:R,'AEO25 Table 23'!$B:$B,"*"&amp;$A26&amp;"*")-SUMIFS('AEO25 Table 23'!Q:Q,'AEO25 Table 23'!$B:$B,"*"&amp;$A26&amp;"*"))/SUMIFS('AEO25 Table 23'!Q:Q,'AEO25 Table 23'!$B:$B,"*"&amp;$A26&amp;"*"),"")</f>
        <v>2.2265435292679797E-2</v>
      </c>
      <c r="P26" s="29">
        <f>IFERROR((SUMIFS('AEO25 Table 23'!S:S,'AEO25 Table 23'!$B:$B,"*"&amp;$A26&amp;"*")-SUMIFS('AEO25 Table 23'!R:R,'AEO25 Table 23'!$B:$B,"*"&amp;$A26&amp;"*"))/SUMIFS('AEO25 Table 23'!R:R,'AEO25 Table 23'!$B:$B,"*"&amp;$A26&amp;"*"),"")</f>
        <v>1.415169624193425E-2</v>
      </c>
      <c r="Q26" s="29">
        <f>IFERROR((SUMIFS('AEO25 Table 23'!T:T,'AEO25 Table 23'!$B:$B,"*"&amp;$A26&amp;"*")-SUMIFS('AEO25 Table 23'!S:S,'AEO25 Table 23'!$B:$B,"*"&amp;$A26&amp;"*"))/SUMIFS('AEO25 Table 23'!S:S,'AEO25 Table 23'!$B:$B,"*"&amp;$A26&amp;"*"),"")</f>
        <v>8.8713525714669197E-3</v>
      </c>
      <c r="R26" s="29">
        <f>IFERROR((SUMIFS('AEO25 Table 23'!U:U,'AEO25 Table 23'!$B:$B,"*"&amp;$A26&amp;"*")-SUMIFS('AEO25 Table 23'!T:T,'AEO25 Table 23'!$B:$B,"*"&amp;$A26&amp;"*"))/SUMIFS('AEO25 Table 23'!T:T,'AEO25 Table 23'!$B:$B,"*"&amp;$A26&amp;"*"),"")</f>
        <v>1.0377804517042103E-2</v>
      </c>
      <c r="S26" s="29">
        <f>IFERROR((SUMIFS('AEO25 Table 23'!V:V,'AEO25 Table 23'!$B:$B,"*"&amp;$A26&amp;"*")-SUMIFS('AEO25 Table 23'!U:U,'AEO25 Table 23'!$B:$B,"*"&amp;$A26&amp;"*"))/SUMIFS('AEO25 Table 23'!U:U,'AEO25 Table 23'!$B:$B,"*"&amp;$A26&amp;"*"),"")</f>
        <v>1.2468071083287119E-2</v>
      </c>
      <c r="T26" s="29">
        <f>IFERROR((SUMIFS('AEO25 Table 23'!W:W,'AEO25 Table 23'!$B:$B,"*"&amp;$A26&amp;"*")-SUMIFS('AEO25 Table 23'!V:V,'AEO25 Table 23'!$B:$B,"*"&amp;$A26&amp;"*"))/SUMIFS('AEO25 Table 23'!V:V,'AEO25 Table 23'!$B:$B,"*"&amp;$A26&amp;"*"),"")</f>
        <v>1.3263515463534808E-2</v>
      </c>
      <c r="U26" s="29">
        <f>IFERROR((SUMIFS('AEO25 Table 23'!X:X,'AEO25 Table 23'!$B:$B,"*"&amp;$A26&amp;"*")-SUMIFS('AEO25 Table 23'!W:W,'AEO25 Table 23'!$B:$B,"*"&amp;$A26&amp;"*"))/SUMIFS('AEO25 Table 23'!W:W,'AEO25 Table 23'!$B:$B,"*"&amp;$A26&amp;"*"),"")</f>
        <v>1.2234935486134028E-2</v>
      </c>
      <c r="V26" s="29">
        <f>IFERROR((SUMIFS('AEO25 Table 23'!Y:Y,'AEO25 Table 23'!$B:$B,"*"&amp;$A26&amp;"*")-SUMIFS('AEO25 Table 23'!X:X,'AEO25 Table 23'!$B:$B,"*"&amp;$A26&amp;"*"))/SUMIFS('AEO25 Table 23'!X:X,'AEO25 Table 23'!$B:$B,"*"&amp;$A26&amp;"*"),"")</f>
        <v>9.9490877879636463E-3</v>
      </c>
      <c r="W26" s="29">
        <f>IFERROR((SUMIFS('AEO25 Table 23'!Z:Z,'AEO25 Table 23'!$B:$B,"*"&amp;$A26&amp;"*")-SUMIFS('AEO25 Table 23'!Y:Y,'AEO25 Table 23'!$B:$B,"*"&amp;$A26&amp;"*"))/SUMIFS('AEO25 Table 23'!Y:Y,'AEO25 Table 23'!$B:$B,"*"&amp;$A26&amp;"*"),"")</f>
        <v>1.0605153209128106E-2</v>
      </c>
      <c r="X26" s="29">
        <f>IFERROR((SUMIFS('AEO25 Table 23'!AA:AA,'AEO25 Table 23'!$B:$B,"*"&amp;$A26&amp;"*")-SUMIFS('AEO25 Table 23'!Z:Z,'AEO25 Table 23'!$B:$B,"*"&amp;$A26&amp;"*"))/SUMIFS('AEO25 Table 23'!Z:Z,'AEO25 Table 23'!$B:$B,"*"&amp;$A26&amp;"*"),"")</f>
        <v>8.4250367861470211E-3</v>
      </c>
      <c r="Y26" s="29">
        <f>IFERROR((SUMIFS('AEO25 Table 23'!AB:AB,'AEO25 Table 23'!$B:$B,"*"&amp;$A26&amp;"*")-SUMIFS('AEO25 Table 23'!AA:AA,'AEO25 Table 23'!$B:$B,"*"&amp;$A26&amp;"*"))/SUMIFS('AEO25 Table 23'!AA:AA,'AEO25 Table 23'!$B:$B,"*"&amp;$A26&amp;"*"),"")</f>
        <v>9.3299485142444936E-3</v>
      </c>
      <c r="Z26" s="29">
        <f>IFERROR((SUMIFS('AEO25 Table 23'!AC:AC,'AEO25 Table 23'!$B:$B,"*"&amp;$A26&amp;"*")-SUMIFS('AEO25 Table 23'!AB:AB,'AEO25 Table 23'!$B:$B,"*"&amp;$A26&amp;"*"))/SUMIFS('AEO25 Table 23'!AB:AB,'AEO25 Table 23'!$B:$B,"*"&amp;$A26&amp;"*"),"")</f>
        <v>1.0345116531082525E-2</v>
      </c>
      <c r="AA26" s="29">
        <f>IFERROR((SUMIFS('AEO25 Table 23'!AD:AD,'AEO25 Table 23'!$B:$B,"*"&amp;$A26&amp;"*")-SUMIFS('AEO25 Table 23'!AC:AC,'AEO25 Table 23'!$B:$B,"*"&amp;$A26&amp;"*"))/SUMIFS('AEO25 Table 23'!AC:AC,'AEO25 Table 23'!$B:$B,"*"&amp;$A26&amp;"*"),"")</f>
        <v>9.9202079395913304E-3</v>
      </c>
      <c r="AB26" s="29">
        <f>IFERROR((SUMIFS('AEO25 Table 23'!AE:AE,'AEO25 Table 23'!$B:$B,"*"&amp;$A26&amp;"*")-SUMIFS('AEO25 Table 23'!AD:AD,'AEO25 Table 23'!$B:$B,"*"&amp;$A26&amp;"*"))/SUMIFS('AEO25 Table 23'!AD:AD,'AEO25 Table 23'!$B:$B,"*"&amp;$A26&amp;"*"),"")</f>
        <v>9.5822478686575889E-3</v>
      </c>
      <c r="AC26" s="29">
        <f>IFERROR((SUMIFS('AEO25 Table 23'!AF:AF,'AEO25 Table 23'!$B:$B,"*"&amp;$A26&amp;"*")-SUMIFS('AEO25 Table 23'!AE:AE,'AEO25 Table 23'!$B:$B,"*"&amp;$A26&amp;"*"))/SUMIFS('AEO25 Table 23'!AE:AE,'AEO25 Table 23'!$B:$B,"*"&amp;$A26&amp;"*"),"")</f>
        <v>9.3710449071168975E-3</v>
      </c>
      <c r="AD26" s="29">
        <f>IFERROR((SUMIFS('AEO25 Table 23'!AG:AG,'AEO25 Table 23'!$B:$B,"*"&amp;$A26&amp;"*")-SUMIFS('AEO25 Table 23'!AF:AF,'AEO25 Table 23'!$B:$B,"*"&amp;$A26&amp;"*"))/SUMIFS('AEO25 Table 23'!AF:AF,'AEO25 Table 23'!$B:$B,"*"&amp;$A26&amp;"*"),"")</f>
        <v>8.1034708515457746E-3</v>
      </c>
      <c r="AE26" s="29">
        <f>IFERROR((SUMIFS('AEO25 Table 23'!AH:AH,'AEO25 Table 23'!$B:$B,"*"&amp;$A26&amp;"*")-SUMIFS('AEO25 Table 23'!AG:AG,'AEO25 Table 23'!$B:$B,"*"&amp;$A26&amp;"*"))/SUMIFS('AEO25 Table 23'!AG:AG,'AEO25 Table 23'!$B:$B,"*"&amp;$A26&amp;"*"),"")</f>
        <v>5.0647343173939449E-3</v>
      </c>
    </row>
    <row r="27" spans="1:31" x14ac:dyDescent="0.25">
      <c r="A27" s="25" t="s">
        <v>17</v>
      </c>
      <c r="B27" s="13" cm="1">
        <f t="array" ref="B27">IFERROR(SUMPRODUCT(--('BLS Table 2.11'!L:L=$A27),'BLS Table 2.11'!J:J,'BLS Table 2.11'!K:K)/SUMIFS('BLS Table 2.11'!J:J,'BLS Table 2.11'!L:L,$A27)/100,SUMPRODUCT(--('BLS Table 2.11'!M:M=$A27),'BLS Table 2.11'!J:J,'BLS Table 2.11'!K:K)/SUMIFS('BLS Table 2.11'!J:J,'BLS Table 2.11'!M:M,$A27)/100)</f>
        <v>1.5616425120772947E-2</v>
      </c>
      <c r="E27" s="1" t="s">
        <v>17</v>
      </c>
      <c r="F27" s="29">
        <f>IFERROR((SUMIFS('AEO25 Table 23'!I:I,'AEO25 Table 23'!$B:$B,"*"&amp;$A27&amp;"*")-SUMIFS('AEO25 Table 23'!H:H,'AEO25 Table 23'!$B:$B,"*"&amp;$A27&amp;"*"))/SUMIFS('AEO25 Table 23'!H:H,'AEO25 Table 23'!$B:$B,"*"&amp;$A27&amp;"*"),"")</f>
        <v>1.4295325439433144E-2</v>
      </c>
      <c r="G27" s="29">
        <f>IFERROR((SUMIFS('AEO25 Table 23'!J:J,'AEO25 Table 23'!$B:$B,"*"&amp;$A27&amp;"*")-SUMIFS('AEO25 Table 23'!I:I,'AEO25 Table 23'!$B:$B,"*"&amp;$A27&amp;"*"))/SUMIFS('AEO25 Table 23'!I:I,'AEO25 Table 23'!$B:$B,"*"&amp;$A27&amp;"*"),"")</f>
        <v>2.8041847095254903E-2</v>
      </c>
      <c r="H27" s="29">
        <f>IFERROR((SUMIFS('AEO25 Table 23'!K:K,'AEO25 Table 23'!$B:$B,"*"&amp;$A27&amp;"*")-SUMIFS('AEO25 Table 23'!J:J,'AEO25 Table 23'!$B:$B,"*"&amp;$A27&amp;"*"))/SUMIFS('AEO25 Table 23'!J:J,'AEO25 Table 23'!$B:$B,"*"&amp;$A27&amp;"*"),"")</f>
        <v>3.0549041563909463E-2</v>
      </c>
      <c r="I27" s="29">
        <f>IFERROR((SUMIFS('AEO25 Table 23'!L:L,'AEO25 Table 23'!$B:$B,"*"&amp;$A27&amp;"*")-SUMIFS('AEO25 Table 23'!K:K,'AEO25 Table 23'!$B:$B,"*"&amp;$A27&amp;"*"))/SUMIFS('AEO25 Table 23'!K:K,'AEO25 Table 23'!$B:$B,"*"&amp;$A27&amp;"*"),"")</f>
        <v>1.8393529391222872E-2</v>
      </c>
      <c r="J27" s="29">
        <f>IFERROR((SUMIFS('AEO25 Table 23'!M:M,'AEO25 Table 23'!$B:$B,"*"&amp;$A27&amp;"*")-SUMIFS('AEO25 Table 23'!L:L,'AEO25 Table 23'!$B:$B,"*"&amp;$A27&amp;"*"))/SUMIFS('AEO25 Table 23'!L:L,'AEO25 Table 23'!$B:$B,"*"&amp;$A27&amp;"*"),"")</f>
        <v>1.197344001847277E-2</v>
      </c>
      <c r="K27" s="29">
        <f>IFERROR((SUMIFS('AEO25 Table 23'!N:N,'AEO25 Table 23'!$B:$B,"*"&amp;$A27&amp;"*")-SUMIFS('AEO25 Table 23'!M:M,'AEO25 Table 23'!$B:$B,"*"&amp;$A27&amp;"*"))/SUMIFS('AEO25 Table 23'!M:M,'AEO25 Table 23'!$B:$B,"*"&amp;$A27&amp;"*"),"")</f>
        <v>1.9565986523111548E-2</v>
      </c>
      <c r="L27" s="29">
        <f>IFERROR((SUMIFS('AEO25 Table 23'!O:O,'AEO25 Table 23'!$B:$B,"*"&amp;$A27&amp;"*")-SUMIFS('AEO25 Table 23'!N:N,'AEO25 Table 23'!$B:$B,"*"&amp;$A27&amp;"*"))/SUMIFS('AEO25 Table 23'!N:N,'AEO25 Table 23'!$B:$B,"*"&amp;$A27&amp;"*"),"")</f>
        <v>1.4280542284030447E-2</v>
      </c>
      <c r="M27" s="29">
        <f>IFERROR((SUMIFS('AEO25 Table 23'!P:P,'AEO25 Table 23'!$B:$B,"*"&amp;$A27&amp;"*")-SUMIFS('AEO25 Table 23'!O:O,'AEO25 Table 23'!$B:$B,"*"&amp;$A27&amp;"*"))/SUMIFS('AEO25 Table 23'!O:O,'AEO25 Table 23'!$B:$B,"*"&amp;$A27&amp;"*"),"")</f>
        <v>1.7333488360591651E-2</v>
      </c>
      <c r="N27" s="29">
        <f>IFERROR((SUMIFS('AEO25 Table 23'!Q:Q,'AEO25 Table 23'!$B:$B,"*"&amp;$A27&amp;"*")-SUMIFS('AEO25 Table 23'!P:P,'AEO25 Table 23'!$B:$B,"*"&amp;$A27&amp;"*"))/SUMIFS('AEO25 Table 23'!P:P,'AEO25 Table 23'!$B:$B,"*"&amp;$A27&amp;"*"),"")</f>
        <v>8.4820970984560446E-3</v>
      </c>
      <c r="O27" s="29">
        <f>IFERROR((SUMIFS('AEO25 Table 23'!R:R,'AEO25 Table 23'!$B:$B,"*"&amp;$A27&amp;"*")-SUMIFS('AEO25 Table 23'!Q:Q,'AEO25 Table 23'!$B:$B,"*"&amp;$A27&amp;"*"))/SUMIFS('AEO25 Table 23'!Q:Q,'AEO25 Table 23'!$B:$B,"*"&amp;$A27&amp;"*"),"")</f>
        <v>1.1717605811173915E-2</v>
      </c>
      <c r="P27" s="29">
        <f>IFERROR((SUMIFS('AEO25 Table 23'!S:S,'AEO25 Table 23'!$B:$B,"*"&amp;$A27&amp;"*")-SUMIFS('AEO25 Table 23'!R:R,'AEO25 Table 23'!$B:$B,"*"&amp;$A27&amp;"*"))/SUMIFS('AEO25 Table 23'!R:R,'AEO25 Table 23'!$B:$B,"*"&amp;$A27&amp;"*"),"")</f>
        <v>1.0365235251966629E-2</v>
      </c>
      <c r="Q27" s="29">
        <f>IFERROR((SUMIFS('AEO25 Table 23'!T:T,'AEO25 Table 23'!$B:$B,"*"&amp;$A27&amp;"*")-SUMIFS('AEO25 Table 23'!S:S,'AEO25 Table 23'!$B:$B,"*"&amp;$A27&amp;"*"))/SUMIFS('AEO25 Table 23'!S:S,'AEO25 Table 23'!$B:$B,"*"&amp;$A27&amp;"*"),"")</f>
        <v>1.1996295833470403E-2</v>
      </c>
      <c r="R27" s="29">
        <f>IFERROR((SUMIFS('AEO25 Table 23'!U:U,'AEO25 Table 23'!$B:$B,"*"&amp;$A27&amp;"*")-SUMIFS('AEO25 Table 23'!T:T,'AEO25 Table 23'!$B:$B,"*"&amp;$A27&amp;"*"))/SUMIFS('AEO25 Table 23'!T:T,'AEO25 Table 23'!$B:$B,"*"&amp;$A27&amp;"*"),"")</f>
        <v>1.5490765519840091E-2</v>
      </c>
      <c r="S27" s="29">
        <f>IFERROR((SUMIFS('AEO25 Table 23'!V:V,'AEO25 Table 23'!$B:$B,"*"&amp;$A27&amp;"*")-SUMIFS('AEO25 Table 23'!U:U,'AEO25 Table 23'!$B:$B,"*"&amp;$A27&amp;"*"))/SUMIFS('AEO25 Table 23'!U:U,'AEO25 Table 23'!$B:$B,"*"&amp;$A27&amp;"*"),"")</f>
        <v>1.0281040015425335E-2</v>
      </c>
      <c r="T27" s="29">
        <f>IFERROR((SUMIFS('AEO25 Table 23'!W:W,'AEO25 Table 23'!$B:$B,"*"&amp;$A27&amp;"*")-SUMIFS('AEO25 Table 23'!V:V,'AEO25 Table 23'!$B:$B,"*"&amp;$A27&amp;"*"))/SUMIFS('AEO25 Table 23'!V:V,'AEO25 Table 23'!$B:$B,"*"&amp;$A27&amp;"*"),"")</f>
        <v>9.9077480516216281E-3</v>
      </c>
      <c r="U27" s="29">
        <f>IFERROR((SUMIFS('AEO25 Table 23'!X:X,'AEO25 Table 23'!$B:$B,"*"&amp;$A27&amp;"*")-SUMIFS('AEO25 Table 23'!W:W,'AEO25 Table 23'!$B:$B,"*"&amp;$A27&amp;"*"))/SUMIFS('AEO25 Table 23'!W:W,'AEO25 Table 23'!$B:$B,"*"&amp;$A27&amp;"*"),"")</f>
        <v>1.3218208360451291E-2</v>
      </c>
      <c r="V27" s="29">
        <f>IFERROR((SUMIFS('AEO25 Table 23'!Y:Y,'AEO25 Table 23'!$B:$B,"*"&amp;$A27&amp;"*")-SUMIFS('AEO25 Table 23'!X:X,'AEO25 Table 23'!$B:$B,"*"&amp;$A27&amp;"*"))/SUMIFS('AEO25 Table 23'!X:X,'AEO25 Table 23'!$B:$B,"*"&amp;$A27&amp;"*"),"")</f>
        <v>1.1817336567396008E-2</v>
      </c>
      <c r="W27" s="29">
        <f>IFERROR((SUMIFS('AEO25 Table 23'!Z:Z,'AEO25 Table 23'!$B:$B,"*"&amp;$A27&amp;"*")-SUMIFS('AEO25 Table 23'!Y:Y,'AEO25 Table 23'!$B:$B,"*"&amp;$A27&amp;"*"))/SUMIFS('AEO25 Table 23'!Y:Y,'AEO25 Table 23'!$B:$B,"*"&amp;$A27&amp;"*"),"")</f>
        <v>1.0956797733017991E-2</v>
      </c>
      <c r="X27" s="29">
        <f>IFERROR((SUMIFS('AEO25 Table 23'!AA:AA,'AEO25 Table 23'!$B:$B,"*"&amp;$A27&amp;"*")-SUMIFS('AEO25 Table 23'!Z:Z,'AEO25 Table 23'!$B:$B,"*"&amp;$A27&amp;"*"))/SUMIFS('AEO25 Table 23'!Z:Z,'AEO25 Table 23'!$B:$B,"*"&amp;$A27&amp;"*"),"")</f>
        <v>1.0572750514420946E-2</v>
      </c>
      <c r="Y27" s="29">
        <f>IFERROR((SUMIFS('AEO25 Table 23'!AB:AB,'AEO25 Table 23'!$B:$B,"*"&amp;$A27&amp;"*")-SUMIFS('AEO25 Table 23'!AA:AA,'AEO25 Table 23'!$B:$B,"*"&amp;$A27&amp;"*"))/SUMIFS('AEO25 Table 23'!AA:AA,'AEO25 Table 23'!$B:$B,"*"&amp;$A27&amp;"*"),"")</f>
        <v>1.2380163650162151E-2</v>
      </c>
      <c r="Z27" s="29">
        <f>IFERROR((SUMIFS('AEO25 Table 23'!AC:AC,'AEO25 Table 23'!$B:$B,"*"&amp;$A27&amp;"*")-SUMIFS('AEO25 Table 23'!AB:AB,'AEO25 Table 23'!$B:$B,"*"&amp;$A27&amp;"*"))/SUMIFS('AEO25 Table 23'!AB:AB,'AEO25 Table 23'!$B:$B,"*"&amp;$A27&amp;"*"),"")</f>
        <v>8.3059528529680054E-3</v>
      </c>
      <c r="AA27" s="29">
        <f>IFERROR((SUMIFS('AEO25 Table 23'!AD:AD,'AEO25 Table 23'!$B:$B,"*"&amp;$A27&amp;"*")-SUMIFS('AEO25 Table 23'!AC:AC,'AEO25 Table 23'!$B:$B,"*"&amp;$A27&amp;"*"))/SUMIFS('AEO25 Table 23'!AC:AC,'AEO25 Table 23'!$B:$B,"*"&amp;$A27&amp;"*"),"")</f>
        <v>1.083225976392474E-2</v>
      </c>
      <c r="AB27" s="29">
        <f>IFERROR((SUMIFS('AEO25 Table 23'!AE:AE,'AEO25 Table 23'!$B:$B,"*"&amp;$A27&amp;"*")-SUMIFS('AEO25 Table 23'!AD:AD,'AEO25 Table 23'!$B:$B,"*"&amp;$A27&amp;"*"))/SUMIFS('AEO25 Table 23'!AD:AD,'AEO25 Table 23'!$B:$B,"*"&amp;$A27&amp;"*"),"")</f>
        <v>1.2316461147287218E-2</v>
      </c>
      <c r="AC27" s="29">
        <f>IFERROR((SUMIFS('AEO25 Table 23'!AF:AF,'AEO25 Table 23'!$B:$B,"*"&amp;$A27&amp;"*")-SUMIFS('AEO25 Table 23'!AE:AE,'AEO25 Table 23'!$B:$B,"*"&amp;$A27&amp;"*"))/SUMIFS('AEO25 Table 23'!AE:AE,'AEO25 Table 23'!$B:$B,"*"&amp;$A27&amp;"*"),"")</f>
        <v>6.9222525730678816E-3</v>
      </c>
      <c r="AD27" s="29">
        <f>IFERROR((SUMIFS('AEO25 Table 23'!AG:AG,'AEO25 Table 23'!$B:$B,"*"&amp;$A27&amp;"*")-SUMIFS('AEO25 Table 23'!AF:AF,'AEO25 Table 23'!$B:$B,"*"&amp;$A27&amp;"*"))/SUMIFS('AEO25 Table 23'!AF:AF,'AEO25 Table 23'!$B:$B,"*"&amp;$A27&amp;"*"),"")</f>
        <v>1.3984815748913042E-2</v>
      </c>
      <c r="AE27" s="29">
        <f>IFERROR((SUMIFS('AEO25 Table 23'!AH:AH,'AEO25 Table 23'!$B:$B,"*"&amp;$A27&amp;"*")-SUMIFS('AEO25 Table 23'!AG:AG,'AEO25 Table 23'!$B:$B,"*"&amp;$A27&amp;"*"))/SUMIFS('AEO25 Table 23'!AG:AG,'AEO25 Table 23'!$B:$B,"*"&amp;$A27&amp;"*"),"")</f>
        <v>3.4445102297167634E-3</v>
      </c>
    </row>
    <row r="28" spans="1:31" x14ac:dyDescent="0.25">
      <c r="A28" s="1" t="s">
        <v>42</v>
      </c>
      <c r="B28" s="13" cm="1">
        <f t="array" ref="B28">IFERROR(SUMPRODUCT(--('BLS Table 2.11'!L:L=$A28),'BLS Table 2.11'!J:J,'BLS Table 2.11'!K:K)/SUMIFS('BLS Table 2.11'!J:J,'BLS Table 2.11'!L:L,$A28)/100,SUMPRODUCT(--('BLS Table 2.11'!M:M=$A28),'BLS Table 2.11'!J:J,'BLS Table 2.11'!K:K)/SUMIFS('BLS Table 2.11'!J:J,'BLS Table 2.11'!M:M,$A28)/100)</f>
        <v>0.02</v>
      </c>
      <c r="E28" s="1" t="s">
        <v>42</v>
      </c>
      <c r="F28" s="29" t="str">
        <f>IFERROR((SUMIFS('AEO25 Table 23'!I:I,'AEO25 Table 23'!$B:$B,"*"&amp;$A28&amp;"*")-SUMIFS('AEO25 Table 23'!H:H,'AEO25 Table 23'!$B:$B,"*"&amp;$A28&amp;"*"))/SUMIFS('AEO25 Table 23'!H:H,'AEO25 Table 23'!$B:$B,"*"&amp;$A28&amp;"*"),"")</f>
        <v/>
      </c>
      <c r="G28" s="29" t="str">
        <f>IFERROR((SUMIFS('AEO25 Table 23'!J:J,'AEO25 Table 23'!$B:$B,"*"&amp;$A28&amp;"*")-SUMIFS('AEO25 Table 23'!I:I,'AEO25 Table 23'!$B:$B,"*"&amp;$A28&amp;"*"))/SUMIFS('AEO25 Table 23'!I:I,'AEO25 Table 23'!$B:$B,"*"&amp;$A28&amp;"*"),"")</f>
        <v/>
      </c>
      <c r="H28" s="29" t="str">
        <f>IFERROR((SUMIFS('AEO25 Table 23'!K:K,'AEO25 Table 23'!$B:$B,"*"&amp;$A28&amp;"*")-SUMIFS('AEO25 Table 23'!J:J,'AEO25 Table 23'!$B:$B,"*"&amp;$A28&amp;"*"))/SUMIFS('AEO25 Table 23'!J:J,'AEO25 Table 23'!$B:$B,"*"&amp;$A28&amp;"*"),"")</f>
        <v/>
      </c>
      <c r="I28" s="29" t="str">
        <f>IFERROR((SUMIFS('AEO25 Table 23'!L:L,'AEO25 Table 23'!$B:$B,"*"&amp;$A28&amp;"*")-SUMIFS('AEO25 Table 23'!K:K,'AEO25 Table 23'!$B:$B,"*"&amp;$A28&amp;"*"))/SUMIFS('AEO25 Table 23'!K:K,'AEO25 Table 23'!$B:$B,"*"&amp;$A28&amp;"*"),"")</f>
        <v/>
      </c>
      <c r="J28" s="29" t="str">
        <f>IFERROR((SUMIFS('AEO25 Table 23'!M:M,'AEO25 Table 23'!$B:$B,"*"&amp;$A28&amp;"*")-SUMIFS('AEO25 Table 23'!L:L,'AEO25 Table 23'!$B:$B,"*"&amp;$A28&amp;"*"))/SUMIFS('AEO25 Table 23'!L:L,'AEO25 Table 23'!$B:$B,"*"&amp;$A28&amp;"*"),"")</f>
        <v/>
      </c>
      <c r="K28" s="29" t="str">
        <f>IFERROR((SUMIFS('AEO25 Table 23'!N:N,'AEO25 Table 23'!$B:$B,"*"&amp;$A28&amp;"*")-SUMIFS('AEO25 Table 23'!M:M,'AEO25 Table 23'!$B:$B,"*"&amp;$A28&amp;"*"))/SUMIFS('AEO25 Table 23'!M:M,'AEO25 Table 23'!$B:$B,"*"&amp;$A28&amp;"*"),"")</f>
        <v/>
      </c>
      <c r="L28" s="29" t="str">
        <f>IFERROR((SUMIFS('AEO25 Table 23'!O:O,'AEO25 Table 23'!$B:$B,"*"&amp;$A28&amp;"*")-SUMIFS('AEO25 Table 23'!N:N,'AEO25 Table 23'!$B:$B,"*"&amp;$A28&amp;"*"))/SUMIFS('AEO25 Table 23'!N:N,'AEO25 Table 23'!$B:$B,"*"&amp;$A28&amp;"*"),"")</f>
        <v/>
      </c>
      <c r="M28" s="29" t="str">
        <f>IFERROR((SUMIFS('AEO25 Table 23'!P:P,'AEO25 Table 23'!$B:$B,"*"&amp;$A28&amp;"*")-SUMIFS('AEO25 Table 23'!O:O,'AEO25 Table 23'!$B:$B,"*"&amp;$A28&amp;"*"))/SUMIFS('AEO25 Table 23'!O:O,'AEO25 Table 23'!$B:$B,"*"&amp;$A28&amp;"*"),"")</f>
        <v/>
      </c>
      <c r="N28" s="29" t="str">
        <f>IFERROR((SUMIFS('AEO25 Table 23'!Q:Q,'AEO25 Table 23'!$B:$B,"*"&amp;$A28&amp;"*")-SUMIFS('AEO25 Table 23'!P:P,'AEO25 Table 23'!$B:$B,"*"&amp;$A28&amp;"*"))/SUMIFS('AEO25 Table 23'!P:P,'AEO25 Table 23'!$B:$B,"*"&amp;$A28&amp;"*"),"")</f>
        <v/>
      </c>
      <c r="O28" s="29" t="str">
        <f>IFERROR((SUMIFS('AEO25 Table 23'!R:R,'AEO25 Table 23'!$B:$B,"*"&amp;$A28&amp;"*")-SUMIFS('AEO25 Table 23'!Q:Q,'AEO25 Table 23'!$B:$B,"*"&amp;$A28&amp;"*"))/SUMIFS('AEO25 Table 23'!Q:Q,'AEO25 Table 23'!$B:$B,"*"&amp;$A28&amp;"*"),"")</f>
        <v/>
      </c>
      <c r="P28" s="29" t="str">
        <f>IFERROR((SUMIFS('AEO25 Table 23'!S:S,'AEO25 Table 23'!$B:$B,"*"&amp;$A28&amp;"*")-SUMIFS('AEO25 Table 23'!R:R,'AEO25 Table 23'!$B:$B,"*"&amp;$A28&amp;"*"))/SUMIFS('AEO25 Table 23'!R:R,'AEO25 Table 23'!$B:$B,"*"&amp;$A28&amp;"*"),"")</f>
        <v/>
      </c>
      <c r="Q28" s="29" t="str">
        <f>IFERROR((SUMIFS('AEO25 Table 23'!T:T,'AEO25 Table 23'!$B:$B,"*"&amp;$A28&amp;"*")-SUMIFS('AEO25 Table 23'!S:S,'AEO25 Table 23'!$B:$B,"*"&amp;$A28&amp;"*"))/SUMIFS('AEO25 Table 23'!S:S,'AEO25 Table 23'!$B:$B,"*"&amp;$A28&amp;"*"),"")</f>
        <v/>
      </c>
      <c r="R28" s="29" t="str">
        <f>IFERROR((SUMIFS('AEO25 Table 23'!U:U,'AEO25 Table 23'!$B:$B,"*"&amp;$A28&amp;"*")-SUMIFS('AEO25 Table 23'!T:T,'AEO25 Table 23'!$B:$B,"*"&amp;$A28&amp;"*"))/SUMIFS('AEO25 Table 23'!T:T,'AEO25 Table 23'!$B:$B,"*"&amp;$A28&amp;"*"),"")</f>
        <v/>
      </c>
      <c r="S28" s="29" t="str">
        <f>IFERROR((SUMIFS('AEO25 Table 23'!V:V,'AEO25 Table 23'!$B:$B,"*"&amp;$A28&amp;"*")-SUMIFS('AEO25 Table 23'!U:U,'AEO25 Table 23'!$B:$B,"*"&amp;$A28&amp;"*"))/SUMIFS('AEO25 Table 23'!U:U,'AEO25 Table 23'!$B:$B,"*"&amp;$A28&amp;"*"),"")</f>
        <v/>
      </c>
      <c r="T28" s="29" t="str">
        <f>IFERROR((SUMIFS('AEO25 Table 23'!W:W,'AEO25 Table 23'!$B:$B,"*"&amp;$A28&amp;"*")-SUMIFS('AEO25 Table 23'!V:V,'AEO25 Table 23'!$B:$B,"*"&amp;$A28&amp;"*"))/SUMIFS('AEO25 Table 23'!V:V,'AEO25 Table 23'!$B:$B,"*"&amp;$A28&amp;"*"),"")</f>
        <v/>
      </c>
      <c r="U28" s="29" t="str">
        <f>IFERROR((SUMIFS('AEO25 Table 23'!X:X,'AEO25 Table 23'!$B:$B,"*"&amp;$A28&amp;"*")-SUMIFS('AEO25 Table 23'!W:W,'AEO25 Table 23'!$B:$B,"*"&amp;$A28&amp;"*"))/SUMIFS('AEO25 Table 23'!W:W,'AEO25 Table 23'!$B:$B,"*"&amp;$A28&amp;"*"),"")</f>
        <v/>
      </c>
      <c r="V28" s="29" t="str">
        <f>IFERROR((SUMIFS('AEO25 Table 23'!Y:Y,'AEO25 Table 23'!$B:$B,"*"&amp;$A28&amp;"*")-SUMIFS('AEO25 Table 23'!X:X,'AEO25 Table 23'!$B:$B,"*"&amp;$A28&amp;"*"))/SUMIFS('AEO25 Table 23'!X:X,'AEO25 Table 23'!$B:$B,"*"&amp;$A28&amp;"*"),"")</f>
        <v/>
      </c>
      <c r="W28" s="29" t="str">
        <f>IFERROR((SUMIFS('AEO25 Table 23'!Z:Z,'AEO25 Table 23'!$B:$B,"*"&amp;$A28&amp;"*")-SUMIFS('AEO25 Table 23'!Y:Y,'AEO25 Table 23'!$B:$B,"*"&amp;$A28&amp;"*"))/SUMIFS('AEO25 Table 23'!Y:Y,'AEO25 Table 23'!$B:$B,"*"&amp;$A28&amp;"*"),"")</f>
        <v/>
      </c>
      <c r="X28" s="29" t="str">
        <f>IFERROR((SUMIFS('AEO25 Table 23'!AA:AA,'AEO25 Table 23'!$B:$B,"*"&amp;$A28&amp;"*")-SUMIFS('AEO25 Table 23'!Z:Z,'AEO25 Table 23'!$B:$B,"*"&amp;$A28&amp;"*"))/SUMIFS('AEO25 Table 23'!Z:Z,'AEO25 Table 23'!$B:$B,"*"&amp;$A28&amp;"*"),"")</f>
        <v/>
      </c>
      <c r="Y28" s="29" t="str">
        <f>IFERROR((SUMIFS('AEO25 Table 23'!AB:AB,'AEO25 Table 23'!$B:$B,"*"&amp;$A28&amp;"*")-SUMIFS('AEO25 Table 23'!AA:AA,'AEO25 Table 23'!$B:$B,"*"&amp;$A28&amp;"*"))/SUMIFS('AEO25 Table 23'!AA:AA,'AEO25 Table 23'!$B:$B,"*"&amp;$A28&amp;"*"),"")</f>
        <v/>
      </c>
      <c r="Z28" s="29" t="str">
        <f>IFERROR((SUMIFS('AEO25 Table 23'!AC:AC,'AEO25 Table 23'!$B:$B,"*"&amp;$A28&amp;"*")-SUMIFS('AEO25 Table 23'!AB:AB,'AEO25 Table 23'!$B:$B,"*"&amp;$A28&amp;"*"))/SUMIFS('AEO25 Table 23'!AB:AB,'AEO25 Table 23'!$B:$B,"*"&amp;$A28&amp;"*"),"")</f>
        <v/>
      </c>
      <c r="AA28" s="29" t="str">
        <f>IFERROR((SUMIFS('AEO25 Table 23'!AD:AD,'AEO25 Table 23'!$B:$B,"*"&amp;$A28&amp;"*")-SUMIFS('AEO25 Table 23'!AC:AC,'AEO25 Table 23'!$B:$B,"*"&amp;$A28&amp;"*"))/SUMIFS('AEO25 Table 23'!AC:AC,'AEO25 Table 23'!$B:$B,"*"&amp;$A28&amp;"*"),"")</f>
        <v/>
      </c>
      <c r="AB28" s="29" t="str">
        <f>IFERROR((SUMIFS('AEO25 Table 23'!AE:AE,'AEO25 Table 23'!$B:$B,"*"&amp;$A28&amp;"*")-SUMIFS('AEO25 Table 23'!AD:AD,'AEO25 Table 23'!$B:$B,"*"&amp;$A28&amp;"*"))/SUMIFS('AEO25 Table 23'!AD:AD,'AEO25 Table 23'!$B:$B,"*"&amp;$A28&amp;"*"),"")</f>
        <v/>
      </c>
      <c r="AC28" s="29" t="str">
        <f>IFERROR((SUMIFS('AEO25 Table 23'!AF:AF,'AEO25 Table 23'!$B:$B,"*"&amp;$A28&amp;"*")-SUMIFS('AEO25 Table 23'!AE:AE,'AEO25 Table 23'!$B:$B,"*"&amp;$A28&amp;"*"))/SUMIFS('AEO25 Table 23'!AE:AE,'AEO25 Table 23'!$B:$B,"*"&amp;$A28&amp;"*"),"")</f>
        <v/>
      </c>
      <c r="AD28" s="29" t="str">
        <f>IFERROR((SUMIFS('AEO25 Table 23'!AG:AG,'AEO25 Table 23'!$B:$B,"*"&amp;$A28&amp;"*")-SUMIFS('AEO25 Table 23'!AF:AF,'AEO25 Table 23'!$B:$B,"*"&amp;$A28&amp;"*"))/SUMIFS('AEO25 Table 23'!AF:AF,'AEO25 Table 23'!$B:$B,"*"&amp;$A28&amp;"*"),"")</f>
        <v/>
      </c>
      <c r="AE28" s="29" t="str">
        <f>IFERROR((SUMIFS('AEO25 Table 23'!AH:AH,'AEO25 Table 23'!$B:$B,"*"&amp;$A28&amp;"*")-SUMIFS('AEO25 Table 23'!AG:AG,'AEO25 Table 23'!$B:$B,"*"&amp;$A28&amp;"*"))/SUMIFS('AEO25 Table 23'!AG:AG,'AEO25 Table 23'!$B:$B,"*"&amp;$A28&amp;"*"),"")</f>
        <v/>
      </c>
    </row>
    <row r="29" spans="1:31" x14ac:dyDescent="0.25">
      <c r="A29" s="25" t="s">
        <v>43</v>
      </c>
      <c r="B29" s="13" cm="1">
        <f t="array" ref="B29">IFERROR(SUMPRODUCT(--('BLS Table 2.11'!L:L=$A29),'BLS Table 2.11'!J:J,'BLS Table 2.11'!K:K)/SUMIFS('BLS Table 2.11'!J:J,'BLS Table 2.11'!L:L,$A29)/100,SUMPRODUCT(--('BLS Table 2.11'!M:M=$A29),'BLS Table 2.11'!J:J,'BLS Table 2.11'!K:K)/SUMIFS('BLS Table 2.11'!J:J,'BLS Table 2.11'!M:M,$A29)/100)</f>
        <v>6.9999999999999993E-3</v>
      </c>
      <c r="E29" s="1" t="s">
        <v>43</v>
      </c>
      <c r="F29" s="29" t="str">
        <f>IFERROR((SUMIFS('AEO25 Table 23'!I:I,'AEO25 Table 23'!$B:$B,"*"&amp;$A29&amp;"*")-SUMIFS('AEO25 Table 23'!H:H,'AEO25 Table 23'!$B:$B,"*"&amp;$A29&amp;"*"))/SUMIFS('AEO25 Table 23'!H:H,'AEO25 Table 23'!$B:$B,"*"&amp;$A29&amp;"*"),"")</f>
        <v/>
      </c>
      <c r="G29" s="29" t="str">
        <f>IFERROR((SUMIFS('AEO25 Table 23'!J:J,'AEO25 Table 23'!$B:$B,"*"&amp;$A29&amp;"*")-SUMIFS('AEO25 Table 23'!I:I,'AEO25 Table 23'!$B:$B,"*"&amp;$A29&amp;"*"))/SUMIFS('AEO25 Table 23'!I:I,'AEO25 Table 23'!$B:$B,"*"&amp;$A29&amp;"*"),"")</f>
        <v/>
      </c>
      <c r="H29" s="29" t="str">
        <f>IFERROR((SUMIFS('AEO25 Table 23'!K:K,'AEO25 Table 23'!$B:$B,"*"&amp;$A29&amp;"*")-SUMIFS('AEO25 Table 23'!J:J,'AEO25 Table 23'!$B:$B,"*"&amp;$A29&amp;"*"))/SUMIFS('AEO25 Table 23'!J:J,'AEO25 Table 23'!$B:$B,"*"&amp;$A29&amp;"*"),"")</f>
        <v/>
      </c>
      <c r="I29" s="29" t="str">
        <f>IFERROR((SUMIFS('AEO25 Table 23'!L:L,'AEO25 Table 23'!$B:$B,"*"&amp;$A29&amp;"*")-SUMIFS('AEO25 Table 23'!K:K,'AEO25 Table 23'!$B:$B,"*"&amp;$A29&amp;"*"))/SUMIFS('AEO25 Table 23'!K:K,'AEO25 Table 23'!$B:$B,"*"&amp;$A29&amp;"*"),"")</f>
        <v/>
      </c>
      <c r="J29" s="29" t="str">
        <f>IFERROR((SUMIFS('AEO25 Table 23'!M:M,'AEO25 Table 23'!$B:$B,"*"&amp;$A29&amp;"*")-SUMIFS('AEO25 Table 23'!L:L,'AEO25 Table 23'!$B:$B,"*"&amp;$A29&amp;"*"))/SUMIFS('AEO25 Table 23'!L:L,'AEO25 Table 23'!$B:$B,"*"&amp;$A29&amp;"*"),"")</f>
        <v/>
      </c>
      <c r="K29" s="29" t="str">
        <f>IFERROR((SUMIFS('AEO25 Table 23'!N:N,'AEO25 Table 23'!$B:$B,"*"&amp;$A29&amp;"*")-SUMIFS('AEO25 Table 23'!M:M,'AEO25 Table 23'!$B:$B,"*"&amp;$A29&amp;"*"))/SUMIFS('AEO25 Table 23'!M:M,'AEO25 Table 23'!$B:$B,"*"&amp;$A29&amp;"*"),"")</f>
        <v/>
      </c>
      <c r="L29" s="29" t="str">
        <f>IFERROR((SUMIFS('AEO25 Table 23'!O:O,'AEO25 Table 23'!$B:$B,"*"&amp;$A29&amp;"*")-SUMIFS('AEO25 Table 23'!N:N,'AEO25 Table 23'!$B:$B,"*"&amp;$A29&amp;"*"))/SUMIFS('AEO25 Table 23'!N:N,'AEO25 Table 23'!$B:$B,"*"&amp;$A29&amp;"*"),"")</f>
        <v/>
      </c>
      <c r="M29" s="29" t="str">
        <f>IFERROR((SUMIFS('AEO25 Table 23'!P:P,'AEO25 Table 23'!$B:$B,"*"&amp;$A29&amp;"*")-SUMIFS('AEO25 Table 23'!O:O,'AEO25 Table 23'!$B:$B,"*"&amp;$A29&amp;"*"))/SUMIFS('AEO25 Table 23'!O:O,'AEO25 Table 23'!$B:$B,"*"&amp;$A29&amp;"*"),"")</f>
        <v/>
      </c>
      <c r="N29" s="29" t="str">
        <f>IFERROR((SUMIFS('AEO25 Table 23'!Q:Q,'AEO25 Table 23'!$B:$B,"*"&amp;$A29&amp;"*")-SUMIFS('AEO25 Table 23'!P:P,'AEO25 Table 23'!$B:$B,"*"&amp;$A29&amp;"*"))/SUMIFS('AEO25 Table 23'!P:P,'AEO25 Table 23'!$B:$B,"*"&amp;$A29&amp;"*"),"")</f>
        <v/>
      </c>
      <c r="O29" s="29" t="str">
        <f>IFERROR((SUMIFS('AEO25 Table 23'!R:R,'AEO25 Table 23'!$B:$B,"*"&amp;$A29&amp;"*")-SUMIFS('AEO25 Table 23'!Q:Q,'AEO25 Table 23'!$B:$B,"*"&amp;$A29&amp;"*"))/SUMIFS('AEO25 Table 23'!Q:Q,'AEO25 Table 23'!$B:$B,"*"&amp;$A29&amp;"*"),"")</f>
        <v/>
      </c>
      <c r="P29" s="29" t="str">
        <f>IFERROR((SUMIFS('AEO25 Table 23'!S:S,'AEO25 Table 23'!$B:$B,"*"&amp;$A29&amp;"*")-SUMIFS('AEO25 Table 23'!R:R,'AEO25 Table 23'!$B:$B,"*"&amp;$A29&amp;"*"))/SUMIFS('AEO25 Table 23'!R:R,'AEO25 Table 23'!$B:$B,"*"&amp;$A29&amp;"*"),"")</f>
        <v/>
      </c>
      <c r="Q29" s="29" t="str">
        <f>IFERROR((SUMIFS('AEO25 Table 23'!T:T,'AEO25 Table 23'!$B:$B,"*"&amp;$A29&amp;"*")-SUMIFS('AEO25 Table 23'!S:S,'AEO25 Table 23'!$B:$B,"*"&amp;$A29&amp;"*"))/SUMIFS('AEO25 Table 23'!S:S,'AEO25 Table 23'!$B:$B,"*"&amp;$A29&amp;"*"),"")</f>
        <v/>
      </c>
      <c r="R29" s="29" t="str">
        <f>IFERROR((SUMIFS('AEO25 Table 23'!U:U,'AEO25 Table 23'!$B:$B,"*"&amp;$A29&amp;"*")-SUMIFS('AEO25 Table 23'!T:T,'AEO25 Table 23'!$B:$B,"*"&amp;$A29&amp;"*"))/SUMIFS('AEO25 Table 23'!T:T,'AEO25 Table 23'!$B:$B,"*"&amp;$A29&amp;"*"),"")</f>
        <v/>
      </c>
      <c r="S29" s="29" t="str">
        <f>IFERROR((SUMIFS('AEO25 Table 23'!V:V,'AEO25 Table 23'!$B:$B,"*"&amp;$A29&amp;"*")-SUMIFS('AEO25 Table 23'!U:U,'AEO25 Table 23'!$B:$B,"*"&amp;$A29&amp;"*"))/SUMIFS('AEO25 Table 23'!U:U,'AEO25 Table 23'!$B:$B,"*"&amp;$A29&amp;"*"),"")</f>
        <v/>
      </c>
      <c r="T29" s="29" t="str">
        <f>IFERROR((SUMIFS('AEO25 Table 23'!W:W,'AEO25 Table 23'!$B:$B,"*"&amp;$A29&amp;"*")-SUMIFS('AEO25 Table 23'!V:V,'AEO25 Table 23'!$B:$B,"*"&amp;$A29&amp;"*"))/SUMIFS('AEO25 Table 23'!V:V,'AEO25 Table 23'!$B:$B,"*"&amp;$A29&amp;"*"),"")</f>
        <v/>
      </c>
      <c r="U29" s="29" t="str">
        <f>IFERROR((SUMIFS('AEO25 Table 23'!X:X,'AEO25 Table 23'!$B:$B,"*"&amp;$A29&amp;"*")-SUMIFS('AEO25 Table 23'!W:W,'AEO25 Table 23'!$B:$B,"*"&amp;$A29&amp;"*"))/SUMIFS('AEO25 Table 23'!W:W,'AEO25 Table 23'!$B:$B,"*"&amp;$A29&amp;"*"),"")</f>
        <v/>
      </c>
      <c r="V29" s="29" t="str">
        <f>IFERROR((SUMIFS('AEO25 Table 23'!Y:Y,'AEO25 Table 23'!$B:$B,"*"&amp;$A29&amp;"*")-SUMIFS('AEO25 Table 23'!X:X,'AEO25 Table 23'!$B:$B,"*"&amp;$A29&amp;"*"))/SUMIFS('AEO25 Table 23'!X:X,'AEO25 Table 23'!$B:$B,"*"&amp;$A29&amp;"*"),"")</f>
        <v/>
      </c>
      <c r="W29" s="29" t="str">
        <f>IFERROR((SUMIFS('AEO25 Table 23'!Z:Z,'AEO25 Table 23'!$B:$B,"*"&amp;$A29&amp;"*")-SUMIFS('AEO25 Table 23'!Y:Y,'AEO25 Table 23'!$B:$B,"*"&amp;$A29&amp;"*"))/SUMIFS('AEO25 Table 23'!Y:Y,'AEO25 Table 23'!$B:$B,"*"&amp;$A29&amp;"*"),"")</f>
        <v/>
      </c>
      <c r="X29" s="29" t="str">
        <f>IFERROR((SUMIFS('AEO25 Table 23'!AA:AA,'AEO25 Table 23'!$B:$B,"*"&amp;$A29&amp;"*")-SUMIFS('AEO25 Table 23'!Z:Z,'AEO25 Table 23'!$B:$B,"*"&amp;$A29&amp;"*"))/SUMIFS('AEO25 Table 23'!Z:Z,'AEO25 Table 23'!$B:$B,"*"&amp;$A29&amp;"*"),"")</f>
        <v/>
      </c>
      <c r="Y29" s="29" t="str">
        <f>IFERROR((SUMIFS('AEO25 Table 23'!AB:AB,'AEO25 Table 23'!$B:$B,"*"&amp;$A29&amp;"*")-SUMIFS('AEO25 Table 23'!AA:AA,'AEO25 Table 23'!$B:$B,"*"&amp;$A29&amp;"*"))/SUMIFS('AEO25 Table 23'!AA:AA,'AEO25 Table 23'!$B:$B,"*"&amp;$A29&amp;"*"),"")</f>
        <v/>
      </c>
      <c r="Z29" s="29" t="str">
        <f>IFERROR((SUMIFS('AEO25 Table 23'!AC:AC,'AEO25 Table 23'!$B:$B,"*"&amp;$A29&amp;"*")-SUMIFS('AEO25 Table 23'!AB:AB,'AEO25 Table 23'!$B:$B,"*"&amp;$A29&amp;"*"))/SUMIFS('AEO25 Table 23'!AB:AB,'AEO25 Table 23'!$B:$B,"*"&amp;$A29&amp;"*"),"")</f>
        <v/>
      </c>
      <c r="AA29" s="29" t="str">
        <f>IFERROR((SUMIFS('AEO25 Table 23'!AD:AD,'AEO25 Table 23'!$B:$B,"*"&amp;$A29&amp;"*")-SUMIFS('AEO25 Table 23'!AC:AC,'AEO25 Table 23'!$B:$B,"*"&amp;$A29&amp;"*"))/SUMIFS('AEO25 Table 23'!AC:AC,'AEO25 Table 23'!$B:$B,"*"&amp;$A29&amp;"*"),"")</f>
        <v/>
      </c>
      <c r="AB29" s="29" t="str">
        <f>IFERROR((SUMIFS('AEO25 Table 23'!AE:AE,'AEO25 Table 23'!$B:$B,"*"&amp;$A29&amp;"*")-SUMIFS('AEO25 Table 23'!AD:AD,'AEO25 Table 23'!$B:$B,"*"&amp;$A29&amp;"*"))/SUMIFS('AEO25 Table 23'!AD:AD,'AEO25 Table 23'!$B:$B,"*"&amp;$A29&amp;"*"),"")</f>
        <v/>
      </c>
      <c r="AC29" s="29" t="str">
        <f>IFERROR((SUMIFS('AEO25 Table 23'!AF:AF,'AEO25 Table 23'!$B:$B,"*"&amp;$A29&amp;"*")-SUMIFS('AEO25 Table 23'!AE:AE,'AEO25 Table 23'!$B:$B,"*"&amp;$A29&amp;"*"))/SUMIFS('AEO25 Table 23'!AE:AE,'AEO25 Table 23'!$B:$B,"*"&amp;$A29&amp;"*"),"")</f>
        <v/>
      </c>
      <c r="AD29" s="29" t="str">
        <f>IFERROR((SUMIFS('AEO25 Table 23'!AG:AG,'AEO25 Table 23'!$B:$B,"*"&amp;$A29&amp;"*")-SUMIFS('AEO25 Table 23'!AF:AF,'AEO25 Table 23'!$B:$B,"*"&amp;$A29&amp;"*"))/SUMIFS('AEO25 Table 23'!AF:AF,'AEO25 Table 23'!$B:$B,"*"&amp;$A29&amp;"*"),"")</f>
        <v/>
      </c>
      <c r="AE29" s="29" t="str">
        <f>IFERROR((SUMIFS('AEO25 Table 23'!AH:AH,'AEO25 Table 23'!$B:$B,"*"&amp;$A29&amp;"*")-SUMIFS('AEO25 Table 23'!AG:AG,'AEO25 Table 23'!$B:$B,"*"&amp;$A29&amp;"*"))/SUMIFS('AEO25 Table 23'!AG:AG,'AEO25 Table 23'!$B:$B,"*"&amp;$A29&amp;"*"),"")</f>
        <v/>
      </c>
    </row>
    <row r="30" spans="1:31" x14ac:dyDescent="0.25">
      <c r="A30" s="25" t="s">
        <v>44</v>
      </c>
      <c r="B30" s="13" cm="1">
        <f t="array" ref="B30">IFERROR(SUMPRODUCT(--('BLS Table 2.11'!L:L=$A30),'BLS Table 2.11'!J:J,'BLS Table 2.11'!K:K)/SUMIFS('BLS Table 2.11'!J:J,'BLS Table 2.11'!L:L,$A30)/100,SUMPRODUCT(--('BLS Table 2.11'!M:M=$A30),'BLS Table 2.11'!J:J,'BLS Table 2.11'!K:K)/SUMIFS('BLS Table 2.11'!J:J,'BLS Table 2.11'!M:M,$A30)/100)</f>
        <v>1.4897971727105101E-2</v>
      </c>
      <c r="E30" s="1" t="s">
        <v>44</v>
      </c>
      <c r="F30" s="29" t="str">
        <f>IFERROR((SUMIFS('AEO25 Table 23'!I:I,'AEO25 Table 23'!$B:$B,"*"&amp;$A30&amp;"*")-SUMIFS('AEO25 Table 23'!H:H,'AEO25 Table 23'!$B:$B,"*"&amp;$A30&amp;"*"))/SUMIFS('AEO25 Table 23'!H:H,'AEO25 Table 23'!$B:$B,"*"&amp;$A30&amp;"*"),"")</f>
        <v/>
      </c>
      <c r="G30" s="29" t="str">
        <f>IFERROR((SUMIFS('AEO25 Table 23'!J:J,'AEO25 Table 23'!$B:$B,"*"&amp;$A30&amp;"*")-SUMIFS('AEO25 Table 23'!I:I,'AEO25 Table 23'!$B:$B,"*"&amp;$A30&amp;"*"))/SUMIFS('AEO25 Table 23'!I:I,'AEO25 Table 23'!$B:$B,"*"&amp;$A30&amp;"*"),"")</f>
        <v/>
      </c>
      <c r="H30" s="29" t="str">
        <f>IFERROR((SUMIFS('AEO25 Table 23'!K:K,'AEO25 Table 23'!$B:$B,"*"&amp;$A30&amp;"*")-SUMIFS('AEO25 Table 23'!J:J,'AEO25 Table 23'!$B:$B,"*"&amp;$A30&amp;"*"))/SUMIFS('AEO25 Table 23'!J:J,'AEO25 Table 23'!$B:$B,"*"&amp;$A30&amp;"*"),"")</f>
        <v/>
      </c>
      <c r="I30" s="29" t="str">
        <f>IFERROR((SUMIFS('AEO25 Table 23'!L:L,'AEO25 Table 23'!$B:$B,"*"&amp;$A30&amp;"*")-SUMIFS('AEO25 Table 23'!K:K,'AEO25 Table 23'!$B:$B,"*"&amp;$A30&amp;"*"))/SUMIFS('AEO25 Table 23'!K:K,'AEO25 Table 23'!$B:$B,"*"&amp;$A30&amp;"*"),"")</f>
        <v/>
      </c>
      <c r="J30" s="29" t="str">
        <f>IFERROR((SUMIFS('AEO25 Table 23'!M:M,'AEO25 Table 23'!$B:$B,"*"&amp;$A30&amp;"*")-SUMIFS('AEO25 Table 23'!L:L,'AEO25 Table 23'!$B:$B,"*"&amp;$A30&amp;"*"))/SUMIFS('AEO25 Table 23'!L:L,'AEO25 Table 23'!$B:$B,"*"&amp;$A30&amp;"*"),"")</f>
        <v/>
      </c>
      <c r="K30" s="29" t="str">
        <f>IFERROR((SUMIFS('AEO25 Table 23'!N:N,'AEO25 Table 23'!$B:$B,"*"&amp;$A30&amp;"*")-SUMIFS('AEO25 Table 23'!M:M,'AEO25 Table 23'!$B:$B,"*"&amp;$A30&amp;"*"))/SUMIFS('AEO25 Table 23'!M:M,'AEO25 Table 23'!$B:$B,"*"&amp;$A30&amp;"*"),"")</f>
        <v/>
      </c>
      <c r="L30" s="29" t="str">
        <f>IFERROR((SUMIFS('AEO25 Table 23'!O:O,'AEO25 Table 23'!$B:$B,"*"&amp;$A30&amp;"*")-SUMIFS('AEO25 Table 23'!N:N,'AEO25 Table 23'!$B:$B,"*"&amp;$A30&amp;"*"))/SUMIFS('AEO25 Table 23'!N:N,'AEO25 Table 23'!$B:$B,"*"&amp;$A30&amp;"*"),"")</f>
        <v/>
      </c>
      <c r="M30" s="29" t="str">
        <f>IFERROR((SUMIFS('AEO25 Table 23'!P:P,'AEO25 Table 23'!$B:$B,"*"&amp;$A30&amp;"*")-SUMIFS('AEO25 Table 23'!O:O,'AEO25 Table 23'!$B:$B,"*"&amp;$A30&amp;"*"))/SUMIFS('AEO25 Table 23'!O:O,'AEO25 Table 23'!$B:$B,"*"&amp;$A30&amp;"*"),"")</f>
        <v/>
      </c>
      <c r="N30" s="29" t="str">
        <f>IFERROR((SUMIFS('AEO25 Table 23'!Q:Q,'AEO25 Table 23'!$B:$B,"*"&amp;$A30&amp;"*")-SUMIFS('AEO25 Table 23'!P:P,'AEO25 Table 23'!$B:$B,"*"&amp;$A30&amp;"*"))/SUMIFS('AEO25 Table 23'!P:P,'AEO25 Table 23'!$B:$B,"*"&amp;$A30&amp;"*"),"")</f>
        <v/>
      </c>
      <c r="O30" s="29" t="str">
        <f>IFERROR((SUMIFS('AEO25 Table 23'!R:R,'AEO25 Table 23'!$B:$B,"*"&amp;$A30&amp;"*")-SUMIFS('AEO25 Table 23'!Q:Q,'AEO25 Table 23'!$B:$B,"*"&amp;$A30&amp;"*"))/SUMIFS('AEO25 Table 23'!Q:Q,'AEO25 Table 23'!$B:$B,"*"&amp;$A30&amp;"*"),"")</f>
        <v/>
      </c>
      <c r="P30" s="29" t="str">
        <f>IFERROR((SUMIFS('AEO25 Table 23'!S:S,'AEO25 Table 23'!$B:$B,"*"&amp;$A30&amp;"*")-SUMIFS('AEO25 Table 23'!R:R,'AEO25 Table 23'!$B:$B,"*"&amp;$A30&amp;"*"))/SUMIFS('AEO25 Table 23'!R:R,'AEO25 Table 23'!$B:$B,"*"&amp;$A30&amp;"*"),"")</f>
        <v/>
      </c>
      <c r="Q30" s="29" t="str">
        <f>IFERROR((SUMIFS('AEO25 Table 23'!T:T,'AEO25 Table 23'!$B:$B,"*"&amp;$A30&amp;"*")-SUMIFS('AEO25 Table 23'!S:S,'AEO25 Table 23'!$B:$B,"*"&amp;$A30&amp;"*"))/SUMIFS('AEO25 Table 23'!S:S,'AEO25 Table 23'!$B:$B,"*"&amp;$A30&amp;"*"),"")</f>
        <v/>
      </c>
      <c r="R30" s="29" t="str">
        <f>IFERROR((SUMIFS('AEO25 Table 23'!U:U,'AEO25 Table 23'!$B:$B,"*"&amp;$A30&amp;"*")-SUMIFS('AEO25 Table 23'!T:T,'AEO25 Table 23'!$B:$B,"*"&amp;$A30&amp;"*"))/SUMIFS('AEO25 Table 23'!T:T,'AEO25 Table 23'!$B:$B,"*"&amp;$A30&amp;"*"),"")</f>
        <v/>
      </c>
      <c r="S30" s="29" t="str">
        <f>IFERROR((SUMIFS('AEO25 Table 23'!V:V,'AEO25 Table 23'!$B:$B,"*"&amp;$A30&amp;"*")-SUMIFS('AEO25 Table 23'!U:U,'AEO25 Table 23'!$B:$B,"*"&amp;$A30&amp;"*"))/SUMIFS('AEO25 Table 23'!U:U,'AEO25 Table 23'!$B:$B,"*"&amp;$A30&amp;"*"),"")</f>
        <v/>
      </c>
      <c r="T30" s="29" t="str">
        <f>IFERROR((SUMIFS('AEO25 Table 23'!W:W,'AEO25 Table 23'!$B:$B,"*"&amp;$A30&amp;"*")-SUMIFS('AEO25 Table 23'!V:V,'AEO25 Table 23'!$B:$B,"*"&amp;$A30&amp;"*"))/SUMIFS('AEO25 Table 23'!V:V,'AEO25 Table 23'!$B:$B,"*"&amp;$A30&amp;"*"),"")</f>
        <v/>
      </c>
      <c r="U30" s="29" t="str">
        <f>IFERROR((SUMIFS('AEO25 Table 23'!X:X,'AEO25 Table 23'!$B:$B,"*"&amp;$A30&amp;"*")-SUMIFS('AEO25 Table 23'!W:W,'AEO25 Table 23'!$B:$B,"*"&amp;$A30&amp;"*"))/SUMIFS('AEO25 Table 23'!W:W,'AEO25 Table 23'!$B:$B,"*"&amp;$A30&amp;"*"),"")</f>
        <v/>
      </c>
      <c r="V30" s="29" t="str">
        <f>IFERROR((SUMIFS('AEO25 Table 23'!Y:Y,'AEO25 Table 23'!$B:$B,"*"&amp;$A30&amp;"*")-SUMIFS('AEO25 Table 23'!X:X,'AEO25 Table 23'!$B:$B,"*"&amp;$A30&amp;"*"))/SUMIFS('AEO25 Table 23'!X:X,'AEO25 Table 23'!$B:$B,"*"&amp;$A30&amp;"*"),"")</f>
        <v/>
      </c>
      <c r="W30" s="29" t="str">
        <f>IFERROR((SUMIFS('AEO25 Table 23'!Z:Z,'AEO25 Table 23'!$B:$B,"*"&amp;$A30&amp;"*")-SUMIFS('AEO25 Table 23'!Y:Y,'AEO25 Table 23'!$B:$B,"*"&amp;$A30&amp;"*"))/SUMIFS('AEO25 Table 23'!Y:Y,'AEO25 Table 23'!$B:$B,"*"&amp;$A30&amp;"*"),"")</f>
        <v/>
      </c>
      <c r="X30" s="29" t="str">
        <f>IFERROR((SUMIFS('AEO25 Table 23'!AA:AA,'AEO25 Table 23'!$B:$B,"*"&amp;$A30&amp;"*")-SUMIFS('AEO25 Table 23'!Z:Z,'AEO25 Table 23'!$B:$B,"*"&amp;$A30&amp;"*"))/SUMIFS('AEO25 Table 23'!Z:Z,'AEO25 Table 23'!$B:$B,"*"&amp;$A30&amp;"*"),"")</f>
        <v/>
      </c>
      <c r="Y30" s="29" t="str">
        <f>IFERROR((SUMIFS('AEO25 Table 23'!AB:AB,'AEO25 Table 23'!$B:$B,"*"&amp;$A30&amp;"*")-SUMIFS('AEO25 Table 23'!AA:AA,'AEO25 Table 23'!$B:$B,"*"&amp;$A30&amp;"*"))/SUMIFS('AEO25 Table 23'!AA:AA,'AEO25 Table 23'!$B:$B,"*"&amp;$A30&amp;"*"),"")</f>
        <v/>
      </c>
      <c r="Z30" s="29" t="str">
        <f>IFERROR((SUMIFS('AEO25 Table 23'!AC:AC,'AEO25 Table 23'!$B:$B,"*"&amp;$A30&amp;"*")-SUMIFS('AEO25 Table 23'!AB:AB,'AEO25 Table 23'!$B:$B,"*"&amp;$A30&amp;"*"))/SUMIFS('AEO25 Table 23'!AB:AB,'AEO25 Table 23'!$B:$B,"*"&amp;$A30&amp;"*"),"")</f>
        <v/>
      </c>
      <c r="AA30" s="29" t="str">
        <f>IFERROR((SUMIFS('AEO25 Table 23'!AD:AD,'AEO25 Table 23'!$B:$B,"*"&amp;$A30&amp;"*")-SUMIFS('AEO25 Table 23'!AC:AC,'AEO25 Table 23'!$B:$B,"*"&amp;$A30&amp;"*"))/SUMIFS('AEO25 Table 23'!AC:AC,'AEO25 Table 23'!$B:$B,"*"&amp;$A30&amp;"*"),"")</f>
        <v/>
      </c>
      <c r="AB30" s="29" t="str">
        <f>IFERROR((SUMIFS('AEO25 Table 23'!AE:AE,'AEO25 Table 23'!$B:$B,"*"&amp;$A30&amp;"*")-SUMIFS('AEO25 Table 23'!AD:AD,'AEO25 Table 23'!$B:$B,"*"&amp;$A30&amp;"*"))/SUMIFS('AEO25 Table 23'!AD:AD,'AEO25 Table 23'!$B:$B,"*"&amp;$A30&amp;"*"),"")</f>
        <v/>
      </c>
      <c r="AC30" s="29" t="str">
        <f>IFERROR((SUMIFS('AEO25 Table 23'!AF:AF,'AEO25 Table 23'!$B:$B,"*"&amp;$A30&amp;"*")-SUMIFS('AEO25 Table 23'!AE:AE,'AEO25 Table 23'!$B:$B,"*"&amp;$A30&amp;"*"))/SUMIFS('AEO25 Table 23'!AE:AE,'AEO25 Table 23'!$B:$B,"*"&amp;$A30&amp;"*"),"")</f>
        <v/>
      </c>
      <c r="AD30" s="29" t="str">
        <f>IFERROR((SUMIFS('AEO25 Table 23'!AG:AG,'AEO25 Table 23'!$B:$B,"*"&amp;$A30&amp;"*")-SUMIFS('AEO25 Table 23'!AF:AF,'AEO25 Table 23'!$B:$B,"*"&amp;$A30&amp;"*"))/SUMIFS('AEO25 Table 23'!AF:AF,'AEO25 Table 23'!$B:$B,"*"&amp;$A30&amp;"*"),"")</f>
        <v/>
      </c>
      <c r="AE30" s="29" t="str">
        <f>IFERROR((SUMIFS('AEO25 Table 23'!AH:AH,'AEO25 Table 23'!$B:$B,"*"&amp;$A30&amp;"*")-SUMIFS('AEO25 Table 23'!AG:AG,'AEO25 Table 23'!$B:$B,"*"&amp;$A30&amp;"*"))/SUMIFS('AEO25 Table 23'!AG:AG,'AEO25 Table 23'!$B:$B,"*"&amp;$A30&amp;"*"),"")</f>
        <v/>
      </c>
    </row>
    <row r="31" spans="1:31" x14ac:dyDescent="0.25">
      <c r="A31" s="25" t="s">
        <v>18</v>
      </c>
      <c r="B31" s="13" cm="1">
        <f t="array" ref="B31">IFERROR(SUMPRODUCT(--('BLS Table 2.11'!L:L=$A31),'BLS Table 2.11'!J:J,'BLS Table 2.11'!K:K)/SUMIFS('BLS Table 2.11'!J:J,'BLS Table 2.11'!L:L,$A31)/100,SUMPRODUCT(--('BLS Table 2.11'!M:M=$A31),'BLS Table 2.11'!J:J,'BLS Table 2.11'!K:K)/SUMIFS('BLS Table 2.11'!J:J,'BLS Table 2.11'!M:M,$A31)/100)</f>
        <v>9.0000000000000011E-3</v>
      </c>
      <c r="E31" s="1" t="s">
        <v>18</v>
      </c>
      <c r="F31" s="29">
        <f>IFERROR((SUMIFS('AEO25 Table 23'!I:I,'AEO25 Table 23'!$B:$B,"*"&amp;$A31&amp;"*")-SUMIFS('AEO25 Table 23'!H:H,'AEO25 Table 23'!$B:$B,"*"&amp;$A31&amp;"*"))/SUMIFS('AEO25 Table 23'!H:H,'AEO25 Table 23'!$B:$B,"*"&amp;$A31&amp;"*"),"")</f>
        <v>-5.3723557749999337E-3</v>
      </c>
      <c r="G31" s="29">
        <f>IFERROR((SUMIFS('AEO25 Table 23'!J:J,'AEO25 Table 23'!$B:$B,"*"&amp;$A31&amp;"*")-SUMIFS('AEO25 Table 23'!I:I,'AEO25 Table 23'!$B:$B,"*"&amp;$A31&amp;"*"))/SUMIFS('AEO25 Table 23'!I:I,'AEO25 Table 23'!$B:$B,"*"&amp;$A31&amp;"*"),"")</f>
        <v>7.7939586797429079E-3</v>
      </c>
      <c r="H31" s="29">
        <f>IFERROR((SUMIFS('AEO25 Table 23'!K:K,'AEO25 Table 23'!$B:$B,"*"&amp;$A31&amp;"*")-SUMIFS('AEO25 Table 23'!J:J,'AEO25 Table 23'!$B:$B,"*"&amp;$A31&amp;"*"))/SUMIFS('AEO25 Table 23'!J:J,'AEO25 Table 23'!$B:$B,"*"&amp;$A31&amp;"*"),"")</f>
        <v>1.5874766840579421E-2</v>
      </c>
      <c r="I31" s="29">
        <f>IFERROR((SUMIFS('AEO25 Table 23'!L:L,'AEO25 Table 23'!$B:$B,"*"&amp;$A31&amp;"*")-SUMIFS('AEO25 Table 23'!K:K,'AEO25 Table 23'!$B:$B,"*"&amp;$A31&amp;"*"))/SUMIFS('AEO25 Table 23'!K:K,'AEO25 Table 23'!$B:$B,"*"&amp;$A31&amp;"*"),"")</f>
        <v>2.428529552917217E-2</v>
      </c>
      <c r="J31" s="29">
        <f>IFERROR((SUMIFS('AEO25 Table 23'!M:M,'AEO25 Table 23'!$B:$B,"*"&amp;$A31&amp;"*")-SUMIFS('AEO25 Table 23'!L:L,'AEO25 Table 23'!$B:$B,"*"&amp;$A31&amp;"*"))/SUMIFS('AEO25 Table 23'!L:L,'AEO25 Table 23'!$B:$B,"*"&amp;$A31&amp;"*"),"")</f>
        <v>2.7439966871021806E-2</v>
      </c>
      <c r="K31" s="29">
        <f>IFERROR((SUMIFS('AEO25 Table 23'!N:N,'AEO25 Table 23'!$B:$B,"*"&amp;$A31&amp;"*")-SUMIFS('AEO25 Table 23'!M:M,'AEO25 Table 23'!$B:$B,"*"&amp;$A31&amp;"*"))/SUMIFS('AEO25 Table 23'!M:M,'AEO25 Table 23'!$B:$B,"*"&amp;$A31&amp;"*"),"")</f>
        <v>1.8894013193581024E-2</v>
      </c>
      <c r="L31" s="29">
        <f>IFERROR((SUMIFS('AEO25 Table 23'!O:O,'AEO25 Table 23'!$B:$B,"*"&amp;$A31&amp;"*")-SUMIFS('AEO25 Table 23'!N:N,'AEO25 Table 23'!$B:$B,"*"&amp;$A31&amp;"*"))/SUMIFS('AEO25 Table 23'!N:N,'AEO25 Table 23'!$B:$B,"*"&amp;$A31&amp;"*"),"")</f>
        <v>1.6188437790707638E-2</v>
      </c>
      <c r="M31" s="29">
        <f>IFERROR((SUMIFS('AEO25 Table 23'!P:P,'AEO25 Table 23'!$B:$B,"*"&amp;$A31&amp;"*")-SUMIFS('AEO25 Table 23'!O:O,'AEO25 Table 23'!$B:$B,"*"&amp;$A31&amp;"*"))/SUMIFS('AEO25 Table 23'!O:O,'AEO25 Table 23'!$B:$B,"*"&amp;$A31&amp;"*"),"")</f>
        <v>1.1634881465986555E-2</v>
      </c>
      <c r="N31" s="29">
        <f>IFERROR((SUMIFS('AEO25 Table 23'!Q:Q,'AEO25 Table 23'!$B:$B,"*"&amp;$A31&amp;"*")-SUMIFS('AEO25 Table 23'!P:P,'AEO25 Table 23'!$B:$B,"*"&amp;$A31&amp;"*"))/SUMIFS('AEO25 Table 23'!P:P,'AEO25 Table 23'!$B:$B,"*"&amp;$A31&amp;"*"),"")</f>
        <v>4.1913118084951342E-3</v>
      </c>
      <c r="O31" s="29">
        <f>IFERROR((SUMIFS('AEO25 Table 23'!R:R,'AEO25 Table 23'!$B:$B,"*"&amp;$A31&amp;"*")-SUMIFS('AEO25 Table 23'!Q:Q,'AEO25 Table 23'!$B:$B,"*"&amp;$A31&amp;"*"))/SUMIFS('AEO25 Table 23'!Q:Q,'AEO25 Table 23'!$B:$B,"*"&amp;$A31&amp;"*"),"")</f>
        <v>2.1587293508677649E-4</v>
      </c>
      <c r="P31" s="29">
        <f>IFERROR((SUMIFS('AEO25 Table 23'!S:S,'AEO25 Table 23'!$B:$B,"*"&amp;$A31&amp;"*")-SUMIFS('AEO25 Table 23'!R:R,'AEO25 Table 23'!$B:$B,"*"&amp;$A31&amp;"*"))/SUMIFS('AEO25 Table 23'!R:R,'AEO25 Table 23'!$B:$B,"*"&amp;$A31&amp;"*"),"")</f>
        <v>9.312544208229882E-3</v>
      </c>
      <c r="Q31" s="29">
        <f>IFERROR((SUMIFS('AEO25 Table 23'!T:T,'AEO25 Table 23'!$B:$B,"*"&amp;$A31&amp;"*")-SUMIFS('AEO25 Table 23'!S:S,'AEO25 Table 23'!$B:$B,"*"&amp;$A31&amp;"*"))/SUMIFS('AEO25 Table 23'!S:S,'AEO25 Table 23'!$B:$B,"*"&amp;$A31&amp;"*"),"")</f>
        <v>1.2806197600896555E-2</v>
      </c>
      <c r="R31" s="29">
        <f>IFERROR((SUMIFS('AEO25 Table 23'!U:U,'AEO25 Table 23'!$B:$B,"*"&amp;$A31&amp;"*")-SUMIFS('AEO25 Table 23'!T:T,'AEO25 Table 23'!$B:$B,"*"&amp;$A31&amp;"*"))/SUMIFS('AEO25 Table 23'!T:T,'AEO25 Table 23'!$B:$B,"*"&amp;$A31&amp;"*"),"")</f>
        <v>7.9031572404631607E-3</v>
      </c>
      <c r="S31" s="29">
        <f>IFERROR((SUMIFS('AEO25 Table 23'!V:V,'AEO25 Table 23'!$B:$B,"*"&amp;$A31&amp;"*")-SUMIFS('AEO25 Table 23'!U:U,'AEO25 Table 23'!$B:$B,"*"&amp;$A31&amp;"*"))/SUMIFS('AEO25 Table 23'!U:U,'AEO25 Table 23'!$B:$B,"*"&amp;$A31&amp;"*"),"")</f>
        <v>8.4047733010234518E-3</v>
      </c>
      <c r="T31" s="29">
        <f>IFERROR((SUMIFS('AEO25 Table 23'!W:W,'AEO25 Table 23'!$B:$B,"*"&amp;$A31&amp;"*")-SUMIFS('AEO25 Table 23'!V:V,'AEO25 Table 23'!$B:$B,"*"&amp;$A31&amp;"*"))/SUMIFS('AEO25 Table 23'!V:V,'AEO25 Table 23'!$B:$B,"*"&amp;$A31&amp;"*"),"")</f>
        <v>7.5556620495889461E-3</v>
      </c>
      <c r="U31" s="29">
        <f>IFERROR((SUMIFS('AEO25 Table 23'!X:X,'AEO25 Table 23'!$B:$B,"*"&amp;$A31&amp;"*")-SUMIFS('AEO25 Table 23'!W:W,'AEO25 Table 23'!$B:$B,"*"&amp;$A31&amp;"*"))/SUMIFS('AEO25 Table 23'!W:W,'AEO25 Table 23'!$B:$B,"*"&amp;$A31&amp;"*"),"")</f>
        <v>5.7753994646626509E-3</v>
      </c>
      <c r="V31" s="29">
        <f>IFERROR((SUMIFS('AEO25 Table 23'!Y:Y,'AEO25 Table 23'!$B:$B,"*"&amp;$A31&amp;"*")-SUMIFS('AEO25 Table 23'!X:X,'AEO25 Table 23'!$B:$B,"*"&amp;$A31&amp;"*"))/SUMIFS('AEO25 Table 23'!X:X,'AEO25 Table 23'!$B:$B,"*"&amp;$A31&amp;"*"),"")</f>
        <v>4.1078270475344587E-3</v>
      </c>
      <c r="W31" s="29">
        <f>IFERROR((SUMIFS('AEO25 Table 23'!Z:Z,'AEO25 Table 23'!$B:$B,"*"&amp;$A31&amp;"*")-SUMIFS('AEO25 Table 23'!Y:Y,'AEO25 Table 23'!$B:$B,"*"&amp;$A31&amp;"*"))/SUMIFS('AEO25 Table 23'!Y:Y,'AEO25 Table 23'!$B:$B,"*"&amp;$A31&amp;"*"),"")</f>
        <v>6.7058691173239003E-3</v>
      </c>
      <c r="X31" s="29">
        <f>IFERROR((SUMIFS('AEO25 Table 23'!AA:AA,'AEO25 Table 23'!$B:$B,"*"&amp;$A31&amp;"*")-SUMIFS('AEO25 Table 23'!Z:Z,'AEO25 Table 23'!$B:$B,"*"&amp;$A31&amp;"*"))/SUMIFS('AEO25 Table 23'!Z:Z,'AEO25 Table 23'!$B:$B,"*"&amp;$A31&amp;"*"),"")</f>
        <v>4.7976121446575122E-3</v>
      </c>
      <c r="Y31" s="29">
        <f>IFERROR((SUMIFS('AEO25 Table 23'!AB:AB,'AEO25 Table 23'!$B:$B,"*"&amp;$A31&amp;"*")-SUMIFS('AEO25 Table 23'!AA:AA,'AEO25 Table 23'!$B:$B,"*"&amp;$A31&amp;"*"))/SUMIFS('AEO25 Table 23'!AA:AA,'AEO25 Table 23'!$B:$B,"*"&amp;$A31&amp;"*"),"")</f>
        <v>4.516876224879644E-3</v>
      </c>
      <c r="Z31" s="29">
        <f>IFERROR((SUMIFS('AEO25 Table 23'!AC:AC,'AEO25 Table 23'!$B:$B,"*"&amp;$A31&amp;"*")-SUMIFS('AEO25 Table 23'!AB:AB,'AEO25 Table 23'!$B:$B,"*"&amp;$A31&amp;"*"))/SUMIFS('AEO25 Table 23'!AB:AB,'AEO25 Table 23'!$B:$B,"*"&amp;$A31&amp;"*"),"")</f>
        <v>9.8238604690443661E-3</v>
      </c>
      <c r="AA31" s="29">
        <f>IFERROR((SUMIFS('AEO25 Table 23'!AD:AD,'AEO25 Table 23'!$B:$B,"*"&amp;$A31&amp;"*")-SUMIFS('AEO25 Table 23'!AC:AC,'AEO25 Table 23'!$B:$B,"*"&amp;$A31&amp;"*"))/SUMIFS('AEO25 Table 23'!AC:AC,'AEO25 Table 23'!$B:$B,"*"&amp;$A31&amp;"*"),"")</f>
        <v>1.0871822190961883E-2</v>
      </c>
      <c r="AB31" s="29">
        <f>IFERROR((SUMIFS('AEO25 Table 23'!AE:AE,'AEO25 Table 23'!$B:$B,"*"&amp;$A31&amp;"*")-SUMIFS('AEO25 Table 23'!AD:AD,'AEO25 Table 23'!$B:$B,"*"&amp;$A31&amp;"*"))/SUMIFS('AEO25 Table 23'!AD:AD,'AEO25 Table 23'!$B:$B,"*"&amp;$A31&amp;"*"),"")</f>
        <v>1.2345625339585484E-2</v>
      </c>
      <c r="AC31" s="29">
        <f>IFERROR((SUMIFS('AEO25 Table 23'!AF:AF,'AEO25 Table 23'!$B:$B,"*"&amp;$A31&amp;"*")-SUMIFS('AEO25 Table 23'!AE:AE,'AEO25 Table 23'!$B:$B,"*"&amp;$A31&amp;"*"))/SUMIFS('AEO25 Table 23'!AE:AE,'AEO25 Table 23'!$B:$B,"*"&amp;$A31&amp;"*"),"")</f>
        <v>1.2868226409996981E-2</v>
      </c>
      <c r="AD31" s="29">
        <f>IFERROR((SUMIFS('AEO25 Table 23'!AG:AG,'AEO25 Table 23'!$B:$B,"*"&amp;$A31&amp;"*")-SUMIFS('AEO25 Table 23'!AF:AF,'AEO25 Table 23'!$B:$B,"*"&amp;$A31&amp;"*"))/SUMIFS('AEO25 Table 23'!AF:AF,'AEO25 Table 23'!$B:$B,"*"&amp;$A31&amp;"*"),"")</f>
        <v>1.351651302340765E-2</v>
      </c>
      <c r="AE31" s="29">
        <f>IFERROR((SUMIFS('AEO25 Table 23'!AH:AH,'AEO25 Table 23'!$B:$B,"*"&amp;$A31&amp;"*")-SUMIFS('AEO25 Table 23'!AG:AG,'AEO25 Table 23'!$B:$B,"*"&amp;$A31&amp;"*"))/SUMIFS('AEO25 Table 23'!AG:AG,'AEO25 Table 23'!$B:$B,"*"&amp;$A31&amp;"*"),"")</f>
        <v>1.1672897823781447E-2</v>
      </c>
    </row>
    <row r="32" spans="1:31" x14ac:dyDescent="0.25">
      <c r="A32" s="1" t="s">
        <v>19</v>
      </c>
      <c r="B32" s="13" cm="1">
        <f t="array" ref="B32">IFERROR(SUMPRODUCT(--('BLS Table 2.11'!L:L=$A32),'BLS Table 2.11'!J:J,'BLS Table 2.11'!K:K)/SUMIFS('BLS Table 2.11'!J:J,'BLS Table 2.11'!L:L,$A32)/100,SUMPRODUCT(--('BLS Table 2.11'!M:M=$A32),'BLS Table 2.11'!J:J,'BLS Table 2.11'!K:K)/SUMIFS('BLS Table 2.11'!J:J,'BLS Table 2.11'!M:M,$A32)/100)</f>
        <v>2.5273068254159422E-2</v>
      </c>
      <c r="E32" s="1" t="s">
        <v>19</v>
      </c>
      <c r="F32" s="29" t="str">
        <f>IFERROR((SUMIFS('AEO25 Table 23'!I:I,'AEO25 Table 23'!$B:$B,"*"&amp;$A32&amp;"*")-SUMIFS('AEO25 Table 23'!H:H,'AEO25 Table 23'!$B:$B,"*"&amp;$A32&amp;"*"))/SUMIFS('AEO25 Table 23'!H:H,'AEO25 Table 23'!$B:$B,"*"&amp;$A32&amp;"*"),"")</f>
        <v/>
      </c>
      <c r="G32" s="29" t="str">
        <f>IFERROR((SUMIFS('AEO25 Table 23'!J:J,'AEO25 Table 23'!$B:$B,"*"&amp;$A32&amp;"*")-SUMIFS('AEO25 Table 23'!I:I,'AEO25 Table 23'!$B:$B,"*"&amp;$A32&amp;"*"))/SUMIFS('AEO25 Table 23'!I:I,'AEO25 Table 23'!$B:$B,"*"&amp;$A32&amp;"*"),"")</f>
        <v/>
      </c>
      <c r="H32" s="29" t="str">
        <f>IFERROR((SUMIFS('AEO25 Table 23'!K:K,'AEO25 Table 23'!$B:$B,"*"&amp;$A32&amp;"*")-SUMIFS('AEO25 Table 23'!J:J,'AEO25 Table 23'!$B:$B,"*"&amp;$A32&amp;"*"))/SUMIFS('AEO25 Table 23'!J:J,'AEO25 Table 23'!$B:$B,"*"&amp;$A32&amp;"*"),"")</f>
        <v/>
      </c>
      <c r="I32" s="29" t="str">
        <f>IFERROR((SUMIFS('AEO25 Table 23'!L:L,'AEO25 Table 23'!$B:$B,"*"&amp;$A32&amp;"*")-SUMIFS('AEO25 Table 23'!K:K,'AEO25 Table 23'!$B:$B,"*"&amp;$A32&amp;"*"))/SUMIFS('AEO25 Table 23'!K:K,'AEO25 Table 23'!$B:$B,"*"&amp;$A32&amp;"*"),"")</f>
        <v/>
      </c>
      <c r="J32" s="29" t="str">
        <f>IFERROR((SUMIFS('AEO25 Table 23'!M:M,'AEO25 Table 23'!$B:$B,"*"&amp;$A32&amp;"*")-SUMIFS('AEO25 Table 23'!L:L,'AEO25 Table 23'!$B:$B,"*"&amp;$A32&amp;"*"))/SUMIFS('AEO25 Table 23'!L:L,'AEO25 Table 23'!$B:$B,"*"&amp;$A32&amp;"*"),"")</f>
        <v/>
      </c>
      <c r="K32" s="29" t="str">
        <f>IFERROR((SUMIFS('AEO25 Table 23'!N:N,'AEO25 Table 23'!$B:$B,"*"&amp;$A32&amp;"*")-SUMIFS('AEO25 Table 23'!M:M,'AEO25 Table 23'!$B:$B,"*"&amp;$A32&amp;"*"))/SUMIFS('AEO25 Table 23'!M:M,'AEO25 Table 23'!$B:$B,"*"&amp;$A32&amp;"*"),"")</f>
        <v/>
      </c>
      <c r="L32" s="29" t="str">
        <f>IFERROR((SUMIFS('AEO25 Table 23'!O:O,'AEO25 Table 23'!$B:$B,"*"&amp;$A32&amp;"*")-SUMIFS('AEO25 Table 23'!N:N,'AEO25 Table 23'!$B:$B,"*"&amp;$A32&amp;"*"))/SUMIFS('AEO25 Table 23'!N:N,'AEO25 Table 23'!$B:$B,"*"&amp;$A32&amp;"*"),"")</f>
        <v/>
      </c>
      <c r="M32" s="29" t="str">
        <f>IFERROR((SUMIFS('AEO25 Table 23'!P:P,'AEO25 Table 23'!$B:$B,"*"&amp;$A32&amp;"*")-SUMIFS('AEO25 Table 23'!O:O,'AEO25 Table 23'!$B:$B,"*"&amp;$A32&amp;"*"))/SUMIFS('AEO25 Table 23'!O:O,'AEO25 Table 23'!$B:$B,"*"&amp;$A32&amp;"*"),"")</f>
        <v/>
      </c>
      <c r="N32" s="29" t="str">
        <f>IFERROR((SUMIFS('AEO25 Table 23'!Q:Q,'AEO25 Table 23'!$B:$B,"*"&amp;$A32&amp;"*")-SUMIFS('AEO25 Table 23'!P:P,'AEO25 Table 23'!$B:$B,"*"&amp;$A32&amp;"*"))/SUMIFS('AEO25 Table 23'!P:P,'AEO25 Table 23'!$B:$B,"*"&amp;$A32&amp;"*"),"")</f>
        <v/>
      </c>
      <c r="O32" s="29" t="str">
        <f>IFERROR((SUMIFS('AEO25 Table 23'!R:R,'AEO25 Table 23'!$B:$B,"*"&amp;$A32&amp;"*")-SUMIFS('AEO25 Table 23'!Q:Q,'AEO25 Table 23'!$B:$B,"*"&amp;$A32&amp;"*"))/SUMIFS('AEO25 Table 23'!Q:Q,'AEO25 Table 23'!$B:$B,"*"&amp;$A32&amp;"*"),"")</f>
        <v/>
      </c>
      <c r="P32" s="29" t="str">
        <f>IFERROR((SUMIFS('AEO25 Table 23'!S:S,'AEO25 Table 23'!$B:$B,"*"&amp;$A32&amp;"*")-SUMIFS('AEO25 Table 23'!R:R,'AEO25 Table 23'!$B:$B,"*"&amp;$A32&amp;"*"))/SUMIFS('AEO25 Table 23'!R:R,'AEO25 Table 23'!$B:$B,"*"&amp;$A32&amp;"*"),"")</f>
        <v/>
      </c>
      <c r="Q32" s="29" t="str">
        <f>IFERROR((SUMIFS('AEO25 Table 23'!T:T,'AEO25 Table 23'!$B:$B,"*"&amp;$A32&amp;"*")-SUMIFS('AEO25 Table 23'!S:S,'AEO25 Table 23'!$B:$B,"*"&amp;$A32&amp;"*"))/SUMIFS('AEO25 Table 23'!S:S,'AEO25 Table 23'!$B:$B,"*"&amp;$A32&amp;"*"),"")</f>
        <v/>
      </c>
      <c r="R32" s="29" t="str">
        <f>IFERROR((SUMIFS('AEO25 Table 23'!U:U,'AEO25 Table 23'!$B:$B,"*"&amp;$A32&amp;"*")-SUMIFS('AEO25 Table 23'!T:T,'AEO25 Table 23'!$B:$B,"*"&amp;$A32&amp;"*"))/SUMIFS('AEO25 Table 23'!T:T,'AEO25 Table 23'!$B:$B,"*"&amp;$A32&amp;"*"),"")</f>
        <v/>
      </c>
      <c r="S32" s="29" t="str">
        <f>IFERROR((SUMIFS('AEO25 Table 23'!V:V,'AEO25 Table 23'!$B:$B,"*"&amp;$A32&amp;"*")-SUMIFS('AEO25 Table 23'!U:U,'AEO25 Table 23'!$B:$B,"*"&amp;$A32&amp;"*"))/SUMIFS('AEO25 Table 23'!U:U,'AEO25 Table 23'!$B:$B,"*"&amp;$A32&amp;"*"),"")</f>
        <v/>
      </c>
      <c r="T32" s="29" t="str">
        <f>IFERROR((SUMIFS('AEO25 Table 23'!W:W,'AEO25 Table 23'!$B:$B,"*"&amp;$A32&amp;"*")-SUMIFS('AEO25 Table 23'!V:V,'AEO25 Table 23'!$B:$B,"*"&amp;$A32&amp;"*"))/SUMIFS('AEO25 Table 23'!V:V,'AEO25 Table 23'!$B:$B,"*"&amp;$A32&amp;"*"),"")</f>
        <v/>
      </c>
      <c r="U32" s="29" t="str">
        <f>IFERROR((SUMIFS('AEO25 Table 23'!X:X,'AEO25 Table 23'!$B:$B,"*"&amp;$A32&amp;"*")-SUMIFS('AEO25 Table 23'!W:W,'AEO25 Table 23'!$B:$B,"*"&amp;$A32&amp;"*"))/SUMIFS('AEO25 Table 23'!W:W,'AEO25 Table 23'!$B:$B,"*"&amp;$A32&amp;"*"),"")</f>
        <v/>
      </c>
      <c r="V32" s="29" t="str">
        <f>IFERROR((SUMIFS('AEO25 Table 23'!Y:Y,'AEO25 Table 23'!$B:$B,"*"&amp;$A32&amp;"*")-SUMIFS('AEO25 Table 23'!X:X,'AEO25 Table 23'!$B:$B,"*"&amp;$A32&amp;"*"))/SUMIFS('AEO25 Table 23'!X:X,'AEO25 Table 23'!$B:$B,"*"&amp;$A32&amp;"*"),"")</f>
        <v/>
      </c>
      <c r="W32" s="29" t="str">
        <f>IFERROR((SUMIFS('AEO25 Table 23'!Z:Z,'AEO25 Table 23'!$B:$B,"*"&amp;$A32&amp;"*")-SUMIFS('AEO25 Table 23'!Y:Y,'AEO25 Table 23'!$B:$B,"*"&amp;$A32&amp;"*"))/SUMIFS('AEO25 Table 23'!Y:Y,'AEO25 Table 23'!$B:$B,"*"&amp;$A32&amp;"*"),"")</f>
        <v/>
      </c>
      <c r="X32" s="29" t="str">
        <f>IFERROR((SUMIFS('AEO25 Table 23'!AA:AA,'AEO25 Table 23'!$B:$B,"*"&amp;$A32&amp;"*")-SUMIFS('AEO25 Table 23'!Z:Z,'AEO25 Table 23'!$B:$B,"*"&amp;$A32&amp;"*"))/SUMIFS('AEO25 Table 23'!Z:Z,'AEO25 Table 23'!$B:$B,"*"&amp;$A32&amp;"*"),"")</f>
        <v/>
      </c>
      <c r="Y32" s="29" t="str">
        <f>IFERROR((SUMIFS('AEO25 Table 23'!AB:AB,'AEO25 Table 23'!$B:$B,"*"&amp;$A32&amp;"*")-SUMIFS('AEO25 Table 23'!AA:AA,'AEO25 Table 23'!$B:$B,"*"&amp;$A32&amp;"*"))/SUMIFS('AEO25 Table 23'!AA:AA,'AEO25 Table 23'!$B:$B,"*"&amp;$A32&amp;"*"),"")</f>
        <v/>
      </c>
      <c r="Z32" s="29" t="str">
        <f>IFERROR((SUMIFS('AEO25 Table 23'!AC:AC,'AEO25 Table 23'!$B:$B,"*"&amp;$A32&amp;"*")-SUMIFS('AEO25 Table 23'!AB:AB,'AEO25 Table 23'!$B:$B,"*"&amp;$A32&amp;"*"))/SUMIFS('AEO25 Table 23'!AB:AB,'AEO25 Table 23'!$B:$B,"*"&amp;$A32&amp;"*"),"")</f>
        <v/>
      </c>
      <c r="AA32" s="29" t="str">
        <f>IFERROR((SUMIFS('AEO25 Table 23'!AD:AD,'AEO25 Table 23'!$B:$B,"*"&amp;$A32&amp;"*")-SUMIFS('AEO25 Table 23'!AC:AC,'AEO25 Table 23'!$B:$B,"*"&amp;$A32&amp;"*"))/SUMIFS('AEO25 Table 23'!AC:AC,'AEO25 Table 23'!$B:$B,"*"&amp;$A32&amp;"*"),"")</f>
        <v/>
      </c>
      <c r="AB32" s="29" t="str">
        <f>IFERROR((SUMIFS('AEO25 Table 23'!AE:AE,'AEO25 Table 23'!$B:$B,"*"&amp;$A32&amp;"*")-SUMIFS('AEO25 Table 23'!AD:AD,'AEO25 Table 23'!$B:$B,"*"&amp;$A32&amp;"*"))/SUMIFS('AEO25 Table 23'!AD:AD,'AEO25 Table 23'!$B:$B,"*"&amp;$A32&amp;"*"),"")</f>
        <v/>
      </c>
      <c r="AC32" s="29" t="str">
        <f>IFERROR((SUMIFS('AEO25 Table 23'!AF:AF,'AEO25 Table 23'!$B:$B,"*"&amp;$A32&amp;"*")-SUMIFS('AEO25 Table 23'!AE:AE,'AEO25 Table 23'!$B:$B,"*"&amp;$A32&amp;"*"))/SUMIFS('AEO25 Table 23'!AE:AE,'AEO25 Table 23'!$B:$B,"*"&amp;$A32&amp;"*"),"")</f>
        <v/>
      </c>
      <c r="AD32" s="29" t="str">
        <f>IFERROR((SUMIFS('AEO25 Table 23'!AG:AG,'AEO25 Table 23'!$B:$B,"*"&amp;$A32&amp;"*")-SUMIFS('AEO25 Table 23'!AF:AF,'AEO25 Table 23'!$B:$B,"*"&amp;$A32&amp;"*"))/SUMIFS('AEO25 Table 23'!AF:AF,'AEO25 Table 23'!$B:$B,"*"&amp;$A32&amp;"*"),"")</f>
        <v/>
      </c>
      <c r="AE32" s="29" t="str">
        <f>IFERROR((SUMIFS('AEO25 Table 23'!AH:AH,'AEO25 Table 23'!$B:$B,"*"&amp;$A32&amp;"*")-SUMIFS('AEO25 Table 23'!AG:AG,'AEO25 Table 23'!$B:$B,"*"&amp;$A32&amp;"*"))/SUMIFS('AEO25 Table 23'!AG:AG,'AEO25 Table 23'!$B:$B,"*"&amp;$A32&amp;"*"),"")</f>
        <v/>
      </c>
    </row>
    <row r="33" spans="1:31" x14ac:dyDescent="0.25">
      <c r="A33" s="1" t="s">
        <v>20</v>
      </c>
      <c r="B33" s="13" cm="1">
        <f t="array" ref="B33">IFERROR(SUMPRODUCT(--('BLS Table 2.11'!L:L=$A33),'BLS Table 2.11'!J:J,'BLS Table 2.11'!K:K)/SUMIFS('BLS Table 2.11'!J:J,'BLS Table 2.11'!L:L,$A33)/100,SUMPRODUCT(--('BLS Table 2.11'!M:M=$A33),'BLS Table 2.11'!J:J,'BLS Table 2.11'!K:K)/SUMIFS('BLS Table 2.11'!J:J,'BLS Table 2.11'!M:M,$A33)/100)</f>
        <v>2.2000000000000002E-2</v>
      </c>
      <c r="E33" s="1" t="s">
        <v>20</v>
      </c>
      <c r="F33" s="29" t="str">
        <f>IFERROR((SUMIFS('AEO25 Table 23'!I:I,'AEO25 Table 23'!$B:$B,"*"&amp;$A33&amp;"*")-SUMIFS('AEO25 Table 23'!H:H,'AEO25 Table 23'!$B:$B,"*"&amp;$A33&amp;"*"))/SUMIFS('AEO25 Table 23'!H:H,'AEO25 Table 23'!$B:$B,"*"&amp;$A33&amp;"*"),"")</f>
        <v/>
      </c>
      <c r="G33" s="29" t="str">
        <f>IFERROR((SUMIFS('AEO25 Table 23'!J:J,'AEO25 Table 23'!$B:$B,"*"&amp;$A33&amp;"*")-SUMIFS('AEO25 Table 23'!I:I,'AEO25 Table 23'!$B:$B,"*"&amp;$A33&amp;"*"))/SUMIFS('AEO25 Table 23'!I:I,'AEO25 Table 23'!$B:$B,"*"&amp;$A33&amp;"*"),"")</f>
        <v/>
      </c>
      <c r="H33" s="29" t="str">
        <f>IFERROR((SUMIFS('AEO25 Table 23'!K:K,'AEO25 Table 23'!$B:$B,"*"&amp;$A33&amp;"*")-SUMIFS('AEO25 Table 23'!J:J,'AEO25 Table 23'!$B:$B,"*"&amp;$A33&amp;"*"))/SUMIFS('AEO25 Table 23'!J:J,'AEO25 Table 23'!$B:$B,"*"&amp;$A33&amp;"*"),"")</f>
        <v/>
      </c>
      <c r="I33" s="29" t="str">
        <f>IFERROR((SUMIFS('AEO25 Table 23'!L:L,'AEO25 Table 23'!$B:$B,"*"&amp;$A33&amp;"*")-SUMIFS('AEO25 Table 23'!K:K,'AEO25 Table 23'!$B:$B,"*"&amp;$A33&amp;"*"))/SUMIFS('AEO25 Table 23'!K:K,'AEO25 Table 23'!$B:$B,"*"&amp;$A33&amp;"*"),"")</f>
        <v/>
      </c>
      <c r="J33" s="29" t="str">
        <f>IFERROR((SUMIFS('AEO25 Table 23'!M:M,'AEO25 Table 23'!$B:$B,"*"&amp;$A33&amp;"*")-SUMIFS('AEO25 Table 23'!L:L,'AEO25 Table 23'!$B:$B,"*"&amp;$A33&amp;"*"))/SUMIFS('AEO25 Table 23'!L:L,'AEO25 Table 23'!$B:$B,"*"&amp;$A33&amp;"*"),"")</f>
        <v/>
      </c>
      <c r="K33" s="29" t="str">
        <f>IFERROR((SUMIFS('AEO25 Table 23'!N:N,'AEO25 Table 23'!$B:$B,"*"&amp;$A33&amp;"*")-SUMIFS('AEO25 Table 23'!M:M,'AEO25 Table 23'!$B:$B,"*"&amp;$A33&amp;"*"))/SUMIFS('AEO25 Table 23'!M:M,'AEO25 Table 23'!$B:$B,"*"&amp;$A33&amp;"*"),"")</f>
        <v/>
      </c>
      <c r="L33" s="29" t="str">
        <f>IFERROR((SUMIFS('AEO25 Table 23'!O:O,'AEO25 Table 23'!$B:$B,"*"&amp;$A33&amp;"*")-SUMIFS('AEO25 Table 23'!N:N,'AEO25 Table 23'!$B:$B,"*"&amp;$A33&amp;"*"))/SUMIFS('AEO25 Table 23'!N:N,'AEO25 Table 23'!$B:$B,"*"&amp;$A33&amp;"*"),"")</f>
        <v/>
      </c>
      <c r="M33" s="29" t="str">
        <f>IFERROR((SUMIFS('AEO25 Table 23'!P:P,'AEO25 Table 23'!$B:$B,"*"&amp;$A33&amp;"*")-SUMIFS('AEO25 Table 23'!O:O,'AEO25 Table 23'!$B:$B,"*"&amp;$A33&amp;"*"))/SUMIFS('AEO25 Table 23'!O:O,'AEO25 Table 23'!$B:$B,"*"&amp;$A33&amp;"*"),"")</f>
        <v/>
      </c>
      <c r="N33" s="29" t="str">
        <f>IFERROR((SUMIFS('AEO25 Table 23'!Q:Q,'AEO25 Table 23'!$B:$B,"*"&amp;$A33&amp;"*")-SUMIFS('AEO25 Table 23'!P:P,'AEO25 Table 23'!$B:$B,"*"&amp;$A33&amp;"*"))/SUMIFS('AEO25 Table 23'!P:P,'AEO25 Table 23'!$B:$B,"*"&amp;$A33&amp;"*"),"")</f>
        <v/>
      </c>
      <c r="O33" s="29" t="str">
        <f>IFERROR((SUMIFS('AEO25 Table 23'!R:R,'AEO25 Table 23'!$B:$B,"*"&amp;$A33&amp;"*")-SUMIFS('AEO25 Table 23'!Q:Q,'AEO25 Table 23'!$B:$B,"*"&amp;$A33&amp;"*"))/SUMIFS('AEO25 Table 23'!Q:Q,'AEO25 Table 23'!$B:$B,"*"&amp;$A33&amp;"*"),"")</f>
        <v/>
      </c>
      <c r="P33" s="29" t="str">
        <f>IFERROR((SUMIFS('AEO25 Table 23'!S:S,'AEO25 Table 23'!$B:$B,"*"&amp;$A33&amp;"*")-SUMIFS('AEO25 Table 23'!R:R,'AEO25 Table 23'!$B:$B,"*"&amp;$A33&amp;"*"))/SUMIFS('AEO25 Table 23'!R:R,'AEO25 Table 23'!$B:$B,"*"&amp;$A33&amp;"*"),"")</f>
        <v/>
      </c>
      <c r="Q33" s="29" t="str">
        <f>IFERROR((SUMIFS('AEO25 Table 23'!T:T,'AEO25 Table 23'!$B:$B,"*"&amp;$A33&amp;"*")-SUMIFS('AEO25 Table 23'!S:S,'AEO25 Table 23'!$B:$B,"*"&amp;$A33&amp;"*"))/SUMIFS('AEO25 Table 23'!S:S,'AEO25 Table 23'!$B:$B,"*"&amp;$A33&amp;"*"),"")</f>
        <v/>
      </c>
      <c r="R33" s="29" t="str">
        <f>IFERROR((SUMIFS('AEO25 Table 23'!U:U,'AEO25 Table 23'!$B:$B,"*"&amp;$A33&amp;"*")-SUMIFS('AEO25 Table 23'!T:T,'AEO25 Table 23'!$B:$B,"*"&amp;$A33&amp;"*"))/SUMIFS('AEO25 Table 23'!T:T,'AEO25 Table 23'!$B:$B,"*"&amp;$A33&amp;"*"),"")</f>
        <v/>
      </c>
      <c r="S33" s="29" t="str">
        <f>IFERROR((SUMIFS('AEO25 Table 23'!V:V,'AEO25 Table 23'!$B:$B,"*"&amp;$A33&amp;"*")-SUMIFS('AEO25 Table 23'!U:U,'AEO25 Table 23'!$B:$B,"*"&amp;$A33&amp;"*"))/SUMIFS('AEO25 Table 23'!U:U,'AEO25 Table 23'!$B:$B,"*"&amp;$A33&amp;"*"),"")</f>
        <v/>
      </c>
      <c r="T33" s="29" t="str">
        <f>IFERROR((SUMIFS('AEO25 Table 23'!W:W,'AEO25 Table 23'!$B:$B,"*"&amp;$A33&amp;"*")-SUMIFS('AEO25 Table 23'!V:V,'AEO25 Table 23'!$B:$B,"*"&amp;$A33&amp;"*"))/SUMIFS('AEO25 Table 23'!V:V,'AEO25 Table 23'!$B:$B,"*"&amp;$A33&amp;"*"),"")</f>
        <v/>
      </c>
      <c r="U33" s="29" t="str">
        <f>IFERROR((SUMIFS('AEO25 Table 23'!X:X,'AEO25 Table 23'!$B:$B,"*"&amp;$A33&amp;"*")-SUMIFS('AEO25 Table 23'!W:W,'AEO25 Table 23'!$B:$B,"*"&amp;$A33&amp;"*"))/SUMIFS('AEO25 Table 23'!W:W,'AEO25 Table 23'!$B:$B,"*"&amp;$A33&amp;"*"),"")</f>
        <v/>
      </c>
      <c r="V33" s="29" t="str">
        <f>IFERROR((SUMIFS('AEO25 Table 23'!Y:Y,'AEO25 Table 23'!$B:$B,"*"&amp;$A33&amp;"*")-SUMIFS('AEO25 Table 23'!X:X,'AEO25 Table 23'!$B:$B,"*"&amp;$A33&amp;"*"))/SUMIFS('AEO25 Table 23'!X:X,'AEO25 Table 23'!$B:$B,"*"&amp;$A33&amp;"*"),"")</f>
        <v/>
      </c>
      <c r="W33" s="29" t="str">
        <f>IFERROR((SUMIFS('AEO25 Table 23'!Z:Z,'AEO25 Table 23'!$B:$B,"*"&amp;$A33&amp;"*")-SUMIFS('AEO25 Table 23'!Y:Y,'AEO25 Table 23'!$B:$B,"*"&amp;$A33&amp;"*"))/SUMIFS('AEO25 Table 23'!Y:Y,'AEO25 Table 23'!$B:$B,"*"&amp;$A33&amp;"*"),"")</f>
        <v/>
      </c>
      <c r="X33" s="29" t="str">
        <f>IFERROR((SUMIFS('AEO25 Table 23'!AA:AA,'AEO25 Table 23'!$B:$B,"*"&amp;$A33&amp;"*")-SUMIFS('AEO25 Table 23'!Z:Z,'AEO25 Table 23'!$B:$B,"*"&amp;$A33&amp;"*"))/SUMIFS('AEO25 Table 23'!Z:Z,'AEO25 Table 23'!$B:$B,"*"&amp;$A33&amp;"*"),"")</f>
        <v/>
      </c>
      <c r="Y33" s="29" t="str">
        <f>IFERROR((SUMIFS('AEO25 Table 23'!AB:AB,'AEO25 Table 23'!$B:$B,"*"&amp;$A33&amp;"*")-SUMIFS('AEO25 Table 23'!AA:AA,'AEO25 Table 23'!$B:$B,"*"&amp;$A33&amp;"*"))/SUMIFS('AEO25 Table 23'!AA:AA,'AEO25 Table 23'!$B:$B,"*"&amp;$A33&amp;"*"),"")</f>
        <v/>
      </c>
      <c r="Z33" s="29" t="str">
        <f>IFERROR((SUMIFS('AEO25 Table 23'!AC:AC,'AEO25 Table 23'!$B:$B,"*"&amp;$A33&amp;"*")-SUMIFS('AEO25 Table 23'!AB:AB,'AEO25 Table 23'!$B:$B,"*"&amp;$A33&amp;"*"))/SUMIFS('AEO25 Table 23'!AB:AB,'AEO25 Table 23'!$B:$B,"*"&amp;$A33&amp;"*"),"")</f>
        <v/>
      </c>
      <c r="AA33" s="29" t="str">
        <f>IFERROR((SUMIFS('AEO25 Table 23'!AD:AD,'AEO25 Table 23'!$B:$B,"*"&amp;$A33&amp;"*")-SUMIFS('AEO25 Table 23'!AC:AC,'AEO25 Table 23'!$B:$B,"*"&amp;$A33&amp;"*"))/SUMIFS('AEO25 Table 23'!AC:AC,'AEO25 Table 23'!$B:$B,"*"&amp;$A33&amp;"*"),"")</f>
        <v/>
      </c>
      <c r="AB33" s="29" t="str">
        <f>IFERROR((SUMIFS('AEO25 Table 23'!AE:AE,'AEO25 Table 23'!$B:$B,"*"&amp;$A33&amp;"*")-SUMIFS('AEO25 Table 23'!AD:AD,'AEO25 Table 23'!$B:$B,"*"&amp;$A33&amp;"*"))/SUMIFS('AEO25 Table 23'!AD:AD,'AEO25 Table 23'!$B:$B,"*"&amp;$A33&amp;"*"),"")</f>
        <v/>
      </c>
      <c r="AC33" s="29" t="str">
        <f>IFERROR((SUMIFS('AEO25 Table 23'!AF:AF,'AEO25 Table 23'!$B:$B,"*"&amp;$A33&amp;"*")-SUMIFS('AEO25 Table 23'!AE:AE,'AEO25 Table 23'!$B:$B,"*"&amp;$A33&amp;"*"))/SUMIFS('AEO25 Table 23'!AE:AE,'AEO25 Table 23'!$B:$B,"*"&amp;$A33&amp;"*"),"")</f>
        <v/>
      </c>
      <c r="AD33" s="29" t="str">
        <f>IFERROR((SUMIFS('AEO25 Table 23'!AG:AG,'AEO25 Table 23'!$B:$B,"*"&amp;$A33&amp;"*")-SUMIFS('AEO25 Table 23'!AF:AF,'AEO25 Table 23'!$B:$B,"*"&amp;$A33&amp;"*"))/SUMIFS('AEO25 Table 23'!AF:AF,'AEO25 Table 23'!$B:$B,"*"&amp;$A33&amp;"*"),"")</f>
        <v/>
      </c>
      <c r="AE33" s="29" t="str">
        <f>IFERROR((SUMIFS('AEO25 Table 23'!AH:AH,'AEO25 Table 23'!$B:$B,"*"&amp;$A33&amp;"*")-SUMIFS('AEO25 Table 23'!AG:AG,'AEO25 Table 23'!$B:$B,"*"&amp;$A33&amp;"*"))/SUMIFS('AEO25 Table 23'!AG:AG,'AEO25 Table 23'!$B:$B,"*"&amp;$A33&amp;"*"),"")</f>
        <v/>
      </c>
    </row>
    <row r="34" spans="1:31" x14ac:dyDescent="0.25">
      <c r="A34" s="1" t="s">
        <v>21</v>
      </c>
      <c r="B34" s="13" cm="1">
        <f t="array" ref="B34">IFERROR(SUMPRODUCT(--('BLS Table 2.11'!L:L=$A34),'BLS Table 2.11'!J:J,'BLS Table 2.11'!K:K)/SUMIFS('BLS Table 2.11'!J:J,'BLS Table 2.11'!L:L,$A34)/100,SUMPRODUCT(--('BLS Table 2.11'!M:M=$A34),'BLS Table 2.11'!J:J,'BLS Table 2.11'!K:K)/SUMIFS('BLS Table 2.11'!J:J,'BLS Table 2.11'!M:M,$A34)/100)</f>
        <v>2.3E-2</v>
      </c>
      <c r="E34" s="1" t="s">
        <v>21</v>
      </c>
      <c r="F34" s="29" t="str">
        <f>IFERROR((SUMIFS('AEO25 Table 23'!I:I,'AEO25 Table 23'!$B:$B,"*"&amp;$A34&amp;"*")-SUMIFS('AEO25 Table 23'!H:H,'AEO25 Table 23'!$B:$B,"*"&amp;$A34&amp;"*"))/SUMIFS('AEO25 Table 23'!H:H,'AEO25 Table 23'!$B:$B,"*"&amp;$A34&amp;"*"),"")</f>
        <v/>
      </c>
      <c r="G34" s="29" t="str">
        <f>IFERROR((SUMIFS('AEO25 Table 23'!J:J,'AEO25 Table 23'!$B:$B,"*"&amp;$A34&amp;"*")-SUMIFS('AEO25 Table 23'!I:I,'AEO25 Table 23'!$B:$B,"*"&amp;$A34&amp;"*"))/SUMIFS('AEO25 Table 23'!I:I,'AEO25 Table 23'!$B:$B,"*"&amp;$A34&amp;"*"),"")</f>
        <v/>
      </c>
      <c r="H34" s="29" t="str">
        <f>IFERROR((SUMIFS('AEO25 Table 23'!K:K,'AEO25 Table 23'!$B:$B,"*"&amp;$A34&amp;"*")-SUMIFS('AEO25 Table 23'!J:J,'AEO25 Table 23'!$B:$B,"*"&amp;$A34&amp;"*"))/SUMIFS('AEO25 Table 23'!J:J,'AEO25 Table 23'!$B:$B,"*"&amp;$A34&amp;"*"),"")</f>
        <v/>
      </c>
      <c r="I34" s="29" t="str">
        <f>IFERROR((SUMIFS('AEO25 Table 23'!L:L,'AEO25 Table 23'!$B:$B,"*"&amp;$A34&amp;"*")-SUMIFS('AEO25 Table 23'!K:K,'AEO25 Table 23'!$B:$B,"*"&amp;$A34&amp;"*"))/SUMIFS('AEO25 Table 23'!K:K,'AEO25 Table 23'!$B:$B,"*"&amp;$A34&amp;"*"),"")</f>
        <v/>
      </c>
      <c r="J34" s="29" t="str">
        <f>IFERROR((SUMIFS('AEO25 Table 23'!M:M,'AEO25 Table 23'!$B:$B,"*"&amp;$A34&amp;"*")-SUMIFS('AEO25 Table 23'!L:L,'AEO25 Table 23'!$B:$B,"*"&amp;$A34&amp;"*"))/SUMIFS('AEO25 Table 23'!L:L,'AEO25 Table 23'!$B:$B,"*"&amp;$A34&amp;"*"),"")</f>
        <v/>
      </c>
      <c r="K34" s="29" t="str">
        <f>IFERROR((SUMIFS('AEO25 Table 23'!N:N,'AEO25 Table 23'!$B:$B,"*"&amp;$A34&amp;"*")-SUMIFS('AEO25 Table 23'!M:M,'AEO25 Table 23'!$B:$B,"*"&amp;$A34&amp;"*"))/SUMIFS('AEO25 Table 23'!M:M,'AEO25 Table 23'!$B:$B,"*"&amp;$A34&amp;"*"),"")</f>
        <v/>
      </c>
      <c r="L34" s="29" t="str">
        <f>IFERROR((SUMIFS('AEO25 Table 23'!O:O,'AEO25 Table 23'!$B:$B,"*"&amp;$A34&amp;"*")-SUMIFS('AEO25 Table 23'!N:N,'AEO25 Table 23'!$B:$B,"*"&amp;$A34&amp;"*"))/SUMIFS('AEO25 Table 23'!N:N,'AEO25 Table 23'!$B:$B,"*"&amp;$A34&amp;"*"),"")</f>
        <v/>
      </c>
      <c r="M34" s="29" t="str">
        <f>IFERROR((SUMIFS('AEO25 Table 23'!P:P,'AEO25 Table 23'!$B:$B,"*"&amp;$A34&amp;"*")-SUMIFS('AEO25 Table 23'!O:O,'AEO25 Table 23'!$B:$B,"*"&amp;$A34&amp;"*"))/SUMIFS('AEO25 Table 23'!O:O,'AEO25 Table 23'!$B:$B,"*"&amp;$A34&amp;"*"),"")</f>
        <v/>
      </c>
      <c r="N34" s="29" t="str">
        <f>IFERROR((SUMIFS('AEO25 Table 23'!Q:Q,'AEO25 Table 23'!$B:$B,"*"&amp;$A34&amp;"*")-SUMIFS('AEO25 Table 23'!P:P,'AEO25 Table 23'!$B:$B,"*"&amp;$A34&amp;"*"))/SUMIFS('AEO25 Table 23'!P:P,'AEO25 Table 23'!$B:$B,"*"&amp;$A34&amp;"*"),"")</f>
        <v/>
      </c>
      <c r="O34" s="29" t="str">
        <f>IFERROR((SUMIFS('AEO25 Table 23'!R:R,'AEO25 Table 23'!$B:$B,"*"&amp;$A34&amp;"*")-SUMIFS('AEO25 Table 23'!Q:Q,'AEO25 Table 23'!$B:$B,"*"&amp;$A34&amp;"*"))/SUMIFS('AEO25 Table 23'!Q:Q,'AEO25 Table 23'!$B:$B,"*"&amp;$A34&amp;"*"),"")</f>
        <v/>
      </c>
      <c r="P34" s="29" t="str">
        <f>IFERROR((SUMIFS('AEO25 Table 23'!S:S,'AEO25 Table 23'!$B:$B,"*"&amp;$A34&amp;"*")-SUMIFS('AEO25 Table 23'!R:R,'AEO25 Table 23'!$B:$B,"*"&amp;$A34&amp;"*"))/SUMIFS('AEO25 Table 23'!R:R,'AEO25 Table 23'!$B:$B,"*"&amp;$A34&amp;"*"),"")</f>
        <v/>
      </c>
      <c r="Q34" s="29" t="str">
        <f>IFERROR((SUMIFS('AEO25 Table 23'!T:T,'AEO25 Table 23'!$B:$B,"*"&amp;$A34&amp;"*")-SUMIFS('AEO25 Table 23'!S:S,'AEO25 Table 23'!$B:$B,"*"&amp;$A34&amp;"*"))/SUMIFS('AEO25 Table 23'!S:S,'AEO25 Table 23'!$B:$B,"*"&amp;$A34&amp;"*"),"")</f>
        <v/>
      </c>
      <c r="R34" s="29" t="str">
        <f>IFERROR((SUMIFS('AEO25 Table 23'!U:U,'AEO25 Table 23'!$B:$B,"*"&amp;$A34&amp;"*")-SUMIFS('AEO25 Table 23'!T:T,'AEO25 Table 23'!$B:$B,"*"&amp;$A34&amp;"*"))/SUMIFS('AEO25 Table 23'!T:T,'AEO25 Table 23'!$B:$B,"*"&amp;$A34&amp;"*"),"")</f>
        <v/>
      </c>
      <c r="S34" s="29" t="str">
        <f>IFERROR((SUMIFS('AEO25 Table 23'!V:V,'AEO25 Table 23'!$B:$B,"*"&amp;$A34&amp;"*")-SUMIFS('AEO25 Table 23'!U:U,'AEO25 Table 23'!$B:$B,"*"&amp;$A34&amp;"*"))/SUMIFS('AEO25 Table 23'!U:U,'AEO25 Table 23'!$B:$B,"*"&amp;$A34&amp;"*"),"")</f>
        <v/>
      </c>
      <c r="T34" s="29" t="str">
        <f>IFERROR((SUMIFS('AEO25 Table 23'!W:W,'AEO25 Table 23'!$B:$B,"*"&amp;$A34&amp;"*")-SUMIFS('AEO25 Table 23'!V:V,'AEO25 Table 23'!$B:$B,"*"&amp;$A34&amp;"*"))/SUMIFS('AEO25 Table 23'!V:V,'AEO25 Table 23'!$B:$B,"*"&amp;$A34&amp;"*"),"")</f>
        <v/>
      </c>
      <c r="U34" s="29" t="str">
        <f>IFERROR((SUMIFS('AEO25 Table 23'!X:X,'AEO25 Table 23'!$B:$B,"*"&amp;$A34&amp;"*")-SUMIFS('AEO25 Table 23'!W:W,'AEO25 Table 23'!$B:$B,"*"&amp;$A34&amp;"*"))/SUMIFS('AEO25 Table 23'!W:W,'AEO25 Table 23'!$B:$B,"*"&amp;$A34&amp;"*"),"")</f>
        <v/>
      </c>
      <c r="V34" s="29" t="str">
        <f>IFERROR((SUMIFS('AEO25 Table 23'!Y:Y,'AEO25 Table 23'!$B:$B,"*"&amp;$A34&amp;"*")-SUMIFS('AEO25 Table 23'!X:X,'AEO25 Table 23'!$B:$B,"*"&amp;$A34&amp;"*"))/SUMIFS('AEO25 Table 23'!X:X,'AEO25 Table 23'!$B:$B,"*"&amp;$A34&amp;"*"),"")</f>
        <v/>
      </c>
      <c r="W34" s="29" t="str">
        <f>IFERROR((SUMIFS('AEO25 Table 23'!Z:Z,'AEO25 Table 23'!$B:$B,"*"&amp;$A34&amp;"*")-SUMIFS('AEO25 Table 23'!Y:Y,'AEO25 Table 23'!$B:$B,"*"&amp;$A34&amp;"*"))/SUMIFS('AEO25 Table 23'!Y:Y,'AEO25 Table 23'!$B:$B,"*"&amp;$A34&amp;"*"),"")</f>
        <v/>
      </c>
      <c r="X34" s="29" t="str">
        <f>IFERROR((SUMIFS('AEO25 Table 23'!AA:AA,'AEO25 Table 23'!$B:$B,"*"&amp;$A34&amp;"*")-SUMIFS('AEO25 Table 23'!Z:Z,'AEO25 Table 23'!$B:$B,"*"&amp;$A34&amp;"*"))/SUMIFS('AEO25 Table 23'!Z:Z,'AEO25 Table 23'!$B:$B,"*"&amp;$A34&amp;"*"),"")</f>
        <v/>
      </c>
      <c r="Y34" s="29" t="str">
        <f>IFERROR((SUMIFS('AEO25 Table 23'!AB:AB,'AEO25 Table 23'!$B:$B,"*"&amp;$A34&amp;"*")-SUMIFS('AEO25 Table 23'!AA:AA,'AEO25 Table 23'!$B:$B,"*"&amp;$A34&amp;"*"))/SUMIFS('AEO25 Table 23'!AA:AA,'AEO25 Table 23'!$B:$B,"*"&amp;$A34&amp;"*"),"")</f>
        <v/>
      </c>
      <c r="Z34" s="29" t="str">
        <f>IFERROR((SUMIFS('AEO25 Table 23'!AC:AC,'AEO25 Table 23'!$B:$B,"*"&amp;$A34&amp;"*")-SUMIFS('AEO25 Table 23'!AB:AB,'AEO25 Table 23'!$B:$B,"*"&amp;$A34&amp;"*"))/SUMIFS('AEO25 Table 23'!AB:AB,'AEO25 Table 23'!$B:$B,"*"&amp;$A34&amp;"*"),"")</f>
        <v/>
      </c>
      <c r="AA34" s="29" t="str">
        <f>IFERROR((SUMIFS('AEO25 Table 23'!AD:AD,'AEO25 Table 23'!$B:$B,"*"&amp;$A34&amp;"*")-SUMIFS('AEO25 Table 23'!AC:AC,'AEO25 Table 23'!$B:$B,"*"&amp;$A34&amp;"*"))/SUMIFS('AEO25 Table 23'!AC:AC,'AEO25 Table 23'!$B:$B,"*"&amp;$A34&amp;"*"),"")</f>
        <v/>
      </c>
      <c r="AB34" s="29" t="str">
        <f>IFERROR((SUMIFS('AEO25 Table 23'!AE:AE,'AEO25 Table 23'!$B:$B,"*"&amp;$A34&amp;"*")-SUMIFS('AEO25 Table 23'!AD:AD,'AEO25 Table 23'!$B:$B,"*"&amp;$A34&amp;"*"))/SUMIFS('AEO25 Table 23'!AD:AD,'AEO25 Table 23'!$B:$B,"*"&amp;$A34&amp;"*"),"")</f>
        <v/>
      </c>
      <c r="AC34" s="29" t="str">
        <f>IFERROR((SUMIFS('AEO25 Table 23'!AF:AF,'AEO25 Table 23'!$B:$B,"*"&amp;$A34&amp;"*")-SUMIFS('AEO25 Table 23'!AE:AE,'AEO25 Table 23'!$B:$B,"*"&amp;$A34&amp;"*"))/SUMIFS('AEO25 Table 23'!AE:AE,'AEO25 Table 23'!$B:$B,"*"&amp;$A34&amp;"*"),"")</f>
        <v/>
      </c>
      <c r="AD34" s="29" t="str">
        <f>IFERROR((SUMIFS('AEO25 Table 23'!AG:AG,'AEO25 Table 23'!$B:$B,"*"&amp;$A34&amp;"*")-SUMIFS('AEO25 Table 23'!AF:AF,'AEO25 Table 23'!$B:$B,"*"&amp;$A34&amp;"*"))/SUMIFS('AEO25 Table 23'!AF:AF,'AEO25 Table 23'!$B:$B,"*"&amp;$A34&amp;"*"),"")</f>
        <v/>
      </c>
      <c r="AE34" s="29" t="str">
        <f>IFERROR((SUMIFS('AEO25 Table 23'!AH:AH,'AEO25 Table 23'!$B:$B,"*"&amp;$A34&amp;"*")-SUMIFS('AEO25 Table 23'!AG:AG,'AEO25 Table 23'!$B:$B,"*"&amp;$A34&amp;"*"))/SUMIFS('AEO25 Table 23'!AG:AG,'AEO25 Table 23'!$B:$B,"*"&amp;$A34&amp;"*"),"")</f>
        <v/>
      </c>
    </row>
    <row r="35" spans="1:31" x14ac:dyDescent="0.25">
      <c r="A35" s="1" t="s">
        <v>22</v>
      </c>
      <c r="B35" s="13" cm="1">
        <f t="array" ref="B35">IFERROR(SUMPRODUCT(--('BLS Table 2.11'!L:L=$A35),'BLS Table 2.11'!J:J,'BLS Table 2.11'!K:K)/SUMIFS('BLS Table 2.11'!J:J,'BLS Table 2.11'!L:L,$A35)/100,SUMPRODUCT(--('BLS Table 2.11'!M:M=$A35),'BLS Table 2.11'!J:J,'BLS Table 2.11'!K:K)/SUMIFS('BLS Table 2.11'!J:J,'BLS Table 2.11'!M:M,$A35)/100)</f>
        <v>3.6673081381868769E-2</v>
      </c>
      <c r="E35" s="1" t="s">
        <v>22</v>
      </c>
      <c r="F35" s="29" t="str">
        <f>IFERROR((SUMIFS('AEO25 Table 23'!I:I,'AEO25 Table 23'!$B:$B,"*"&amp;$A35&amp;"*")-SUMIFS('AEO25 Table 23'!H:H,'AEO25 Table 23'!$B:$B,"*"&amp;$A35&amp;"*"))/SUMIFS('AEO25 Table 23'!H:H,'AEO25 Table 23'!$B:$B,"*"&amp;$A35&amp;"*"),"")</f>
        <v/>
      </c>
      <c r="G35" s="29" t="str">
        <f>IFERROR((SUMIFS('AEO25 Table 23'!J:J,'AEO25 Table 23'!$B:$B,"*"&amp;$A35&amp;"*")-SUMIFS('AEO25 Table 23'!I:I,'AEO25 Table 23'!$B:$B,"*"&amp;$A35&amp;"*"))/SUMIFS('AEO25 Table 23'!I:I,'AEO25 Table 23'!$B:$B,"*"&amp;$A35&amp;"*"),"")</f>
        <v/>
      </c>
      <c r="H35" s="29" t="str">
        <f>IFERROR((SUMIFS('AEO25 Table 23'!K:K,'AEO25 Table 23'!$B:$B,"*"&amp;$A35&amp;"*")-SUMIFS('AEO25 Table 23'!J:J,'AEO25 Table 23'!$B:$B,"*"&amp;$A35&amp;"*"))/SUMIFS('AEO25 Table 23'!J:J,'AEO25 Table 23'!$B:$B,"*"&amp;$A35&amp;"*"),"")</f>
        <v/>
      </c>
      <c r="I35" s="29" t="str">
        <f>IFERROR((SUMIFS('AEO25 Table 23'!L:L,'AEO25 Table 23'!$B:$B,"*"&amp;$A35&amp;"*")-SUMIFS('AEO25 Table 23'!K:K,'AEO25 Table 23'!$B:$B,"*"&amp;$A35&amp;"*"))/SUMIFS('AEO25 Table 23'!K:K,'AEO25 Table 23'!$B:$B,"*"&amp;$A35&amp;"*"),"")</f>
        <v/>
      </c>
      <c r="J35" s="29" t="str">
        <f>IFERROR((SUMIFS('AEO25 Table 23'!M:M,'AEO25 Table 23'!$B:$B,"*"&amp;$A35&amp;"*")-SUMIFS('AEO25 Table 23'!L:L,'AEO25 Table 23'!$B:$B,"*"&amp;$A35&amp;"*"))/SUMIFS('AEO25 Table 23'!L:L,'AEO25 Table 23'!$B:$B,"*"&amp;$A35&amp;"*"),"")</f>
        <v/>
      </c>
      <c r="K35" s="29" t="str">
        <f>IFERROR((SUMIFS('AEO25 Table 23'!N:N,'AEO25 Table 23'!$B:$B,"*"&amp;$A35&amp;"*")-SUMIFS('AEO25 Table 23'!M:M,'AEO25 Table 23'!$B:$B,"*"&amp;$A35&amp;"*"))/SUMIFS('AEO25 Table 23'!M:M,'AEO25 Table 23'!$B:$B,"*"&amp;$A35&amp;"*"),"")</f>
        <v/>
      </c>
      <c r="L35" s="29" t="str">
        <f>IFERROR((SUMIFS('AEO25 Table 23'!O:O,'AEO25 Table 23'!$B:$B,"*"&amp;$A35&amp;"*")-SUMIFS('AEO25 Table 23'!N:N,'AEO25 Table 23'!$B:$B,"*"&amp;$A35&amp;"*"))/SUMIFS('AEO25 Table 23'!N:N,'AEO25 Table 23'!$B:$B,"*"&amp;$A35&amp;"*"),"")</f>
        <v/>
      </c>
      <c r="M35" s="29" t="str">
        <f>IFERROR((SUMIFS('AEO25 Table 23'!P:P,'AEO25 Table 23'!$B:$B,"*"&amp;$A35&amp;"*")-SUMIFS('AEO25 Table 23'!O:O,'AEO25 Table 23'!$B:$B,"*"&amp;$A35&amp;"*"))/SUMIFS('AEO25 Table 23'!O:O,'AEO25 Table 23'!$B:$B,"*"&amp;$A35&amp;"*"),"")</f>
        <v/>
      </c>
      <c r="N35" s="29" t="str">
        <f>IFERROR((SUMIFS('AEO25 Table 23'!Q:Q,'AEO25 Table 23'!$B:$B,"*"&amp;$A35&amp;"*")-SUMIFS('AEO25 Table 23'!P:P,'AEO25 Table 23'!$B:$B,"*"&amp;$A35&amp;"*"))/SUMIFS('AEO25 Table 23'!P:P,'AEO25 Table 23'!$B:$B,"*"&amp;$A35&amp;"*"),"")</f>
        <v/>
      </c>
      <c r="O35" s="29" t="str">
        <f>IFERROR((SUMIFS('AEO25 Table 23'!R:R,'AEO25 Table 23'!$B:$B,"*"&amp;$A35&amp;"*")-SUMIFS('AEO25 Table 23'!Q:Q,'AEO25 Table 23'!$B:$B,"*"&amp;$A35&amp;"*"))/SUMIFS('AEO25 Table 23'!Q:Q,'AEO25 Table 23'!$B:$B,"*"&amp;$A35&amp;"*"),"")</f>
        <v/>
      </c>
      <c r="P35" s="29" t="str">
        <f>IFERROR((SUMIFS('AEO25 Table 23'!S:S,'AEO25 Table 23'!$B:$B,"*"&amp;$A35&amp;"*")-SUMIFS('AEO25 Table 23'!R:R,'AEO25 Table 23'!$B:$B,"*"&amp;$A35&amp;"*"))/SUMIFS('AEO25 Table 23'!R:R,'AEO25 Table 23'!$B:$B,"*"&amp;$A35&amp;"*"),"")</f>
        <v/>
      </c>
      <c r="Q35" s="29" t="str">
        <f>IFERROR((SUMIFS('AEO25 Table 23'!T:T,'AEO25 Table 23'!$B:$B,"*"&amp;$A35&amp;"*")-SUMIFS('AEO25 Table 23'!S:S,'AEO25 Table 23'!$B:$B,"*"&amp;$A35&amp;"*"))/SUMIFS('AEO25 Table 23'!S:S,'AEO25 Table 23'!$B:$B,"*"&amp;$A35&amp;"*"),"")</f>
        <v/>
      </c>
      <c r="R35" s="29" t="str">
        <f>IFERROR((SUMIFS('AEO25 Table 23'!U:U,'AEO25 Table 23'!$B:$B,"*"&amp;$A35&amp;"*")-SUMIFS('AEO25 Table 23'!T:T,'AEO25 Table 23'!$B:$B,"*"&amp;$A35&amp;"*"))/SUMIFS('AEO25 Table 23'!T:T,'AEO25 Table 23'!$B:$B,"*"&amp;$A35&amp;"*"),"")</f>
        <v/>
      </c>
      <c r="S35" s="29" t="str">
        <f>IFERROR((SUMIFS('AEO25 Table 23'!V:V,'AEO25 Table 23'!$B:$B,"*"&amp;$A35&amp;"*")-SUMIFS('AEO25 Table 23'!U:U,'AEO25 Table 23'!$B:$B,"*"&amp;$A35&amp;"*"))/SUMIFS('AEO25 Table 23'!U:U,'AEO25 Table 23'!$B:$B,"*"&amp;$A35&amp;"*"),"")</f>
        <v/>
      </c>
      <c r="T35" s="29" t="str">
        <f>IFERROR((SUMIFS('AEO25 Table 23'!W:W,'AEO25 Table 23'!$B:$B,"*"&amp;$A35&amp;"*")-SUMIFS('AEO25 Table 23'!V:V,'AEO25 Table 23'!$B:$B,"*"&amp;$A35&amp;"*"))/SUMIFS('AEO25 Table 23'!V:V,'AEO25 Table 23'!$B:$B,"*"&amp;$A35&amp;"*"),"")</f>
        <v/>
      </c>
      <c r="U35" s="29" t="str">
        <f>IFERROR((SUMIFS('AEO25 Table 23'!X:X,'AEO25 Table 23'!$B:$B,"*"&amp;$A35&amp;"*")-SUMIFS('AEO25 Table 23'!W:W,'AEO25 Table 23'!$B:$B,"*"&amp;$A35&amp;"*"))/SUMIFS('AEO25 Table 23'!W:W,'AEO25 Table 23'!$B:$B,"*"&amp;$A35&amp;"*"),"")</f>
        <v/>
      </c>
      <c r="V35" s="29" t="str">
        <f>IFERROR((SUMIFS('AEO25 Table 23'!Y:Y,'AEO25 Table 23'!$B:$B,"*"&amp;$A35&amp;"*")-SUMIFS('AEO25 Table 23'!X:X,'AEO25 Table 23'!$B:$B,"*"&amp;$A35&amp;"*"))/SUMIFS('AEO25 Table 23'!X:X,'AEO25 Table 23'!$B:$B,"*"&amp;$A35&amp;"*"),"")</f>
        <v/>
      </c>
      <c r="W35" s="29" t="str">
        <f>IFERROR((SUMIFS('AEO25 Table 23'!Z:Z,'AEO25 Table 23'!$B:$B,"*"&amp;$A35&amp;"*")-SUMIFS('AEO25 Table 23'!Y:Y,'AEO25 Table 23'!$B:$B,"*"&amp;$A35&amp;"*"))/SUMIFS('AEO25 Table 23'!Y:Y,'AEO25 Table 23'!$B:$B,"*"&amp;$A35&amp;"*"),"")</f>
        <v/>
      </c>
      <c r="X35" s="29" t="str">
        <f>IFERROR((SUMIFS('AEO25 Table 23'!AA:AA,'AEO25 Table 23'!$B:$B,"*"&amp;$A35&amp;"*")-SUMIFS('AEO25 Table 23'!Z:Z,'AEO25 Table 23'!$B:$B,"*"&amp;$A35&amp;"*"))/SUMIFS('AEO25 Table 23'!Z:Z,'AEO25 Table 23'!$B:$B,"*"&amp;$A35&amp;"*"),"")</f>
        <v/>
      </c>
      <c r="Y35" s="29" t="str">
        <f>IFERROR((SUMIFS('AEO25 Table 23'!AB:AB,'AEO25 Table 23'!$B:$B,"*"&amp;$A35&amp;"*")-SUMIFS('AEO25 Table 23'!AA:AA,'AEO25 Table 23'!$B:$B,"*"&amp;$A35&amp;"*"))/SUMIFS('AEO25 Table 23'!AA:AA,'AEO25 Table 23'!$B:$B,"*"&amp;$A35&amp;"*"),"")</f>
        <v/>
      </c>
      <c r="Z35" s="29" t="str">
        <f>IFERROR((SUMIFS('AEO25 Table 23'!AC:AC,'AEO25 Table 23'!$B:$B,"*"&amp;$A35&amp;"*")-SUMIFS('AEO25 Table 23'!AB:AB,'AEO25 Table 23'!$B:$B,"*"&amp;$A35&amp;"*"))/SUMIFS('AEO25 Table 23'!AB:AB,'AEO25 Table 23'!$B:$B,"*"&amp;$A35&amp;"*"),"")</f>
        <v/>
      </c>
      <c r="AA35" s="29" t="str">
        <f>IFERROR((SUMIFS('AEO25 Table 23'!AD:AD,'AEO25 Table 23'!$B:$B,"*"&amp;$A35&amp;"*")-SUMIFS('AEO25 Table 23'!AC:AC,'AEO25 Table 23'!$B:$B,"*"&amp;$A35&amp;"*"))/SUMIFS('AEO25 Table 23'!AC:AC,'AEO25 Table 23'!$B:$B,"*"&amp;$A35&amp;"*"),"")</f>
        <v/>
      </c>
      <c r="AB35" s="29" t="str">
        <f>IFERROR((SUMIFS('AEO25 Table 23'!AE:AE,'AEO25 Table 23'!$B:$B,"*"&amp;$A35&amp;"*")-SUMIFS('AEO25 Table 23'!AD:AD,'AEO25 Table 23'!$B:$B,"*"&amp;$A35&amp;"*"))/SUMIFS('AEO25 Table 23'!AD:AD,'AEO25 Table 23'!$B:$B,"*"&amp;$A35&amp;"*"),"")</f>
        <v/>
      </c>
      <c r="AC35" s="29" t="str">
        <f>IFERROR((SUMIFS('AEO25 Table 23'!AF:AF,'AEO25 Table 23'!$B:$B,"*"&amp;$A35&amp;"*")-SUMIFS('AEO25 Table 23'!AE:AE,'AEO25 Table 23'!$B:$B,"*"&amp;$A35&amp;"*"))/SUMIFS('AEO25 Table 23'!AE:AE,'AEO25 Table 23'!$B:$B,"*"&amp;$A35&amp;"*"),"")</f>
        <v/>
      </c>
      <c r="AD35" s="29" t="str">
        <f>IFERROR((SUMIFS('AEO25 Table 23'!AG:AG,'AEO25 Table 23'!$B:$B,"*"&amp;$A35&amp;"*")-SUMIFS('AEO25 Table 23'!AF:AF,'AEO25 Table 23'!$B:$B,"*"&amp;$A35&amp;"*"))/SUMIFS('AEO25 Table 23'!AF:AF,'AEO25 Table 23'!$B:$B,"*"&amp;$A35&amp;"*"),"")</f>
        <v/>
      </c>
      <c r="AE35" s="29" t="str">
        <f>IFERROR((SUMIFS('AEO25 Table 23'!AH:AH,'AEO25 Table 23'!$B:$B,"*"&amp;$A35&amp;"*")-SUMIFS('AEO25 Table 23'!AG:AG,'AEO25 Table 23'!$B:$B,"*"&amp;$A35&amp;"*"))/SUMIFS('AEO25 Table 23'!AG:AG,'AEO25 Table 23'!$B:$B,"*"&amp;$A35&amp;"*"),"")</f>
        <v/>
      </c>
    </row>
    <row r="36" spans="1:31" x14ac:dyDescent="0.25">
      <c r="A36" s="1" t="s">
        <v>23</v>
      </c>
      <c r="B36" s="13" cm="1">
        <f t="array" ref="B36">IFERROR(SUMPRODUCT(--('BLS Table 2.11'!L:L=$A36),'BLS Table 2.11'!J:J,'BLS Table 2.11'!K:K)/SUMIFS('BLS Table 2.11'!J:J,'BLS Table 2.11'!L:L,$A36)/100,SUMPRODUCT(--('BLS Table 2.11'!M:M=$A36),'BLS Table 2.11'!J:J,'BLS Table 2.11'!K:K)/SUMIFS('BLS Table 2.11'!J:J,'BLS Table 2.11'!M:M,$A36)/100)</f>
        <v>2.7000000000000003E-2</v>
      </c>
      <c r="E36" s="1" t="s">
        <v>23</v>
      </c>
      <c r="F36" s="29" t="str">
        <f>IFERROR((SUMIFS('AEO25 Table 23'!I:I,'AEO25 Table 23'!$B:$B,"*"&amp;$A36&amp;"*")-SUMIFS('AEO25 Table 23'!H:H,'AEO25 Table 23'!$B:$B,"*"&amp;$A36&amp;"*"))/SUMIFS('AEO25 Table 23'!H:H,'AEO25 Table 23'!$B:$B,"*"&amp;$A36&amp;"*"),"")</f>
        <v/>
      </c>
      <c r="G36" s="29" t="str">
        <f>IFERROR((SUMIFS('AEO25 Table 23'!J:J,'AEO25 Table 23'!$B:$B,"*"&amp;$A36&amp;"*")-SUMIFS('AEO25 Table 23'!I:I,'AEO25 Table 23'!$B:$B,"*"&amp;$A36&amp;"*"))/SUMIFS('AEO25 Table 23'!I:I,'AEO25 Table 23'!$B:$B,"*"&amp;$A36&amp;"*"),"")</f>
        <v/>
      </c>
      <c r="H36" s="29" t="str">
        <f>IFERROR((SUMIFS('AEO25 Table 23'!K:K,'AEO25 Table 23'!$B:$B,"*"&amp;$A36&amp;"*")-SUMIFS('AEO25 Table 23'!J:J,'AEO25 Table 23'!$B:$B,"*"&amp;$A36&amp;"*"))/SUMIFS('AEO25 Table 23'!J:J,'AEO25 Table 23'!$B:$B,"*"&amp;$A36&amp;"*"),"")</f>
        <v/>
      </c>
      <c r="I36" s="29" t="str">
        <f>IFERROR((SUMIFS('AEO25 Table 23'!L:L,'AEO25 Table 23'!$B:$B,"*"&amp;$A36&amp;"*")-SUMIFS('AEO25 Table 23'!K:K,'AEO25 Table 23'!$B:$B,"*"&amp;$A36&amp;"*"))/SUMIFS('AEO25 Table 23'!K:K,'AEO25 Table 23'!$B:$B,"*"&amp;$A36&amp;"*"),"")</f>
        <v/>
      </c>
      <c r="J36" s="29" t="str">
        <f>IFERROR((SUMIFS('AEO25 Table 23'!M:M,'AEO25 Table 23'!$B:$B,"*"&amp;$A36&amp;"*")-SUMIFS('AEO25 Table 23'!L:L,'AEO25 Table 23'!$B:$B,"*"&amp;$A36&amp;"*"))/SUMIFS('AEO25 Table 23'!L:L,'AEO25 Table 23'!$B:$B,"*"&amp;$A36&amp;"*"),"")</f>
        <v/>
      </c>
      <c r="K36" s="29" t="str">
        <f>IFERROR((SUMIFS('AEO25 Table 23'!N:N,'AEO25 Table 23'!$B:$B,"*"&amp;$A36&amp;"*")-SUMIFS('AEO25 Table 23'!M:M,'AEO25 Table 23'!$B:$B,"*"&amp;$A36&amp;"*"))/SUMIFS('AEO25 Table 23'!M:M,'AEO25 Table 23'!$B:$B,"*"&amp;$A36&amp;"*"),"")</f>
        <v/>
      </c>
      <c r="L36" s="29" t="str">
        <f>IFERROR((SUMIFS('AEO25 Table 23'!O:O,'AEO25 Table 23'!$B:$B,"*"&amp;$A36&amp;"*")-SUMIFS('AEO25 Table 23'!N:N,'AEO25 Table 23'!$B:$B,"*"&amp;$A36&amp;"*"))/SUMIFS('AEO25 Table 23'!N:N,'AEO25 Table 23'!$B:$B,"*"&amp;$A36&amp;"*"),"")</f>
        <v/>
      </c>
      <c r="M36" s="29" t="str">
        <f>IFERROR((SUMIFS('AEO25 Table 23'!P:P,'AEO25 Table 23'!$B:$B,"*"&amp;$A36&amp;"*")-SUMIFS('AEO25 Table 23'!O:O,'AEO25 Table 23'!$B:$B,"*"&amp;$A36&amp;"*"))/SUMIFS('AEO25 Table 23'!O:O,'AEO25 Table 23'!$B:$B,"*"&amp;$A36&amp;"*"),"")</f>
        <v/>
      </c>
      <c r="N36" s="29" t="str">
        <f>IFERROR((SUMIFS('AEO25 Table 23'!Q:Q,'AEO25 Table 23'!$B:$B,"*"&amp;$A36&amp;"*")-SUMIFS('AEO25 Table 23'!P:P,'AEO25 Table 23'!$B:$B,"*"&amp;$A36&amp;"*"))/SUMIFS('AEO25 Table 23'!P:P,'AEO25 Table 23'!$B:$B,"*"&amp;$A36&amp;"*"),"")</f>
        <v/>
      </c>
      <c r="O36" s="29" t="str">
        <f>IFERROR((SUMIFS('AEO25 Table 23'!R:R,'AEO25 Table 23'!$B:$B,"*"&amp;$A36&amp;"*")-SUMIFS('AEO25 Table 23'!Q:Q,'AEO25 Table 23'!$B:$B,"*"&amp;$A36&amp;"*"))/SUMIFS('AEO25 Table 23'!Q:Q,'AEO25 Table 23'!$B:$B,"*"&amp;$A36&amp;"*"),"")</f>
        <v/>
      </c>
      <c r="P36" s="29" t="str">
        <f>IFERROR((SUMIFS('AEO25 Table 23'!S:S,'AEO25 Table 23'!$B:$B,"*"&amp;$A36&amp;"*")-SUMIFS('AEO25 Table 23'!R:R,'AEO25 Table 23'!$B:$B,"*"&amp;$A36&amp;"*"))/SUMIFS('AEO25 Table 23'!R:R,'AEO25 Table 23'!$B:$B,"*"&amp;$A36&amp;"*"),"")</f>
        <v/>
      </c>
      <c r="Q36" s="29" t="str">
        <f>IFERROR((SUMIFS('AEO25 Table 23'!T:T,'AEO25 Table 23'!$B:$B,"*"&amp;$A36&amp;"*")-SUMIFS('AEO25 Table 23'!S:S,'AEO25 Table 23'!$B:$B,"*"&amp;$A36&amp;"*"))/SUMIFS('AEO25 Table 23'!S:S,'AEO25 Table 23'!$B:$B,"*"&amp;$A36&amp;"*"),"")</f>
        <v/>
      </c>
      <c r="R36" s="29" t="str">
        <f>IFERROR((SUMIFS('AEO25 Table 23'!U:U,'AEO25 Table 23'!$B:$B,"*"&amp;$A36&amp;"*")-SUMIFS('AEO25 Table 23'!T:T,'AEO25 Table 23'!$B:$B,"*"&amp;$A36&amp;"*"))/SUMIFS('AEO25 Table 23'!T:T,'AEO25 Table 23'!$B:$B,"*"&amp;$A36&amp;"*"),"")</f>
        <v/>
      </c>
      <c r="S36" s="29" t="str">
        <f>IFERROR((SUMIFS('AEO25 Table 23'!V:V,'AEO25 Table 23'!$B:$B,"*"&amp;$A36&amp;"*")-SUMIFS('AEO25 Table 23'!U:U,'AEO25 Table 23'!$B:$B,"*"&amp;$A36&amp;"*"))/SUMIFS('AEO25 Table 23'!U:U,'AEO25 Table 23'!$B:$B,"*"&amp;$A36&amp;"*"),"")</f>
        <v/>
      </c>
      <c r="T36" s="29" t="str">
        <f>IFERROR((SUMIFS('AEO25 Table 23'!W:W,'AEO25 Table 23'!$B:$B,"*"&amp;$A36&amp;"*")-SUMIFS('AEO25 Table 23'!V:V,'AEO25 Table 23'!$B:$B,"*"&amp;$A36&amp;"*"))/SUMIFS('AEO25 Table 23'!V:V,'AEO25 Table 23'!$B:$B,"*"&amp;$A36&amp;"*"),"")</f>
        <v/>
      </c>
      <c r="U36" s="29" t="str">
        <f>IFERROR((SUMIFS('AEO25 Table 23'!X:X,'AEO25 Table 23'!$B:$B,"*"&amp;$A36&amp;"*")-SUMIFS('AEO25 Table 23'!W:W,'AEO25 Table 23'!$B:$B,"*"&amp;$A36&amp;"*"))/SUMIFS('AEO25 Table 23'!W:W,'AEO25 Table 23'!$B:$B,"*"&amp;$A36&amp;"*"),"")</f>
        <v/>
      </c>
      <c r="V36" s="29" t="str">
        <f>IFERROR((SUMIFS('AEO25 Table 23'!Y:Y,'AEO25 Table 23'!$B:$B,"*"&amp;$A36&amp;"*")-SUMIFS('AEO25 Table 23'!X:X,'AEO25 Table 23'!$B:$B,"*"&amp;$A36&amp;"*"))/SUMIFS('AEO25 Table 23'!X:X,'AEO25 Table 23'!$B:$B,"*"&amp;$A36&amp;"*"),"")</f>
        <v/>
      </c>
      <c r="W36" s="29" t="str">
        <f>IFERROR((SUMIFS('AEO25 Table 23'!Z:Z,'AEO25 Table 23'!$B:$B,"*"&amp;$A36&amp;"*")-SUMIFS('AEO25 Table 23'!Y:Y,'AEO25 Table 23'!$B:$B,"*"&amp;$A36&amp;"*"))/SUMIFS('AEO25 Table 23'!Y:Y,'AEO25 Table 23'!$B:$B,"*"&amp;$A36&amp;"*"),"")</f>
        <v/>
      </c>
      <c r="X36" s="29" t="str">
        <f>IFERROR((SUMIFS('AEO25 Table 23'!AA:AA,'AEO25 Table 23'!$B:$B,"*"&amp;$A36&amp;"*")-SUMIFS('AEO25 Table 23'!Z:Z,'AEO25 Table 23'!$B:$B,"*"&amp;$A36&amp;"*"))/SUMIFS('AEO25 Table 23'!Z:Z,'AEO25 Table 23'!$B:$B,"*"&amp;$A36&amp;"*"),"")</f>
        <v/>
      </c>
      <c r="Y36" s="29" t="str">
        <f>IFERROR((SUMIFS('AEO25 Table 23'!AB:AB,'AEO25 Table 23'!$B:$B,"*"&amp;$A36&amp;"*")-SUMIFS('AEO25 Table 23'!AA:AA,'AEO25 Table 23'!$B:$B,"*"&amp;$A36&amp;"*"))/SUMIFS('AEO25 Table 23'!AA:AA,'AEO25 Table 23'!$B:$B,"*"&amp;$A36&amp;"*"),"")</f>
        <v/>
      </c>
      <c r="Z36" s="29" t="str">
        <f>IFERROR((SUMIFS('AEO25 Table 23'!AC:AC,'AEO25 Table 23'!$B:$B,"*"&amp;$A36&amp;"*")-SUMIFS('AEO25 Table 23'!AB:AB,'AEO25 Table 23'!$B:$B,"*"&amp;$A36&amp;"*"))/SUMIFS('AEO25 Table 23'!AB:AB,'AEO25 Table 23'!$B:$B,"*"&amp;$A36&amp;"*"),"")</f>
        <v/>
      </c>
      <c r="AA36" s="29" t="str">
        <f>IFERROR((SUMIFS('AEO25 Table 23'!AD:AD,'AEO25 Table 23'!$B:$B,"*"&amp;$A36&amp;"*")-SUMIFS('AEO25 Table 23'!AC:AC,'AEO25 Table 23'!$B:$B,"*"&amp;$A36&amp;"*"))/SUMIFS('AEO25 Table 23'!AC:AC,'AEO25 Table 23'!$B:$B,"*"&amp;$A36&amp;"*"),"")</f>
        <v/>
      </c>
      <c r="AB36" s="29" t="str">
        <f>IFERROR((SUMIFS('AEO25 Table 23'!AE:AE,'AEO25 Table 23'!$B:$B,"*"&amp;$A36&amp;"*")-SUMIFS('AEO25 Table 23'!AD:AD,'AEO25 Table 23'!$B:$B,"*"&amp;$A36&amp;"*"))/SUMIFS('AEO25 Table 23'!AD:AD,'AEO25 Table 23'!$B:$B,"*"&amp;$A36&amp;"*"),"")</f>
        <v/>
      </c>
      <c r="AC36" s="29" t="str">
        <f>IFERROR((SUMIFS('AEO25 Table 23'!AF:AF,'AEO25 Table 23'!$B:$B,"*"&amp;$A36&amp;"*")-SUMIFS('AEO25 Table 23'!AE:AE,'AEO25 Table 23'!$B:$B,"*"&amp;$A36&amp;"*"))/SUMIFS('AEO25 Table 23'!AE:AE,'AEO25 Table 23'!$B:$B,"*"&amp;$A36&amp;"*"),"")</f>
        <v/>
      </c>
      <c r="AD36" s="29" t="str">
        <f>IFERROR((SUMIFS('AEO25 Table 23'!AG:AG,'AEO25 Table 23'!$B:$B,"*"&amp;$A36&amp;"*")-SUMIFS('AEO25 Table 23'!AF:AF,'AEO25 Table 23'!$B:$B,"*"&amp;$A36&amp;"*"))/SUMIFS('AEO25 Table 23'!AF:AF,'AEO25 Table 23'!$B:$B,"*"&amp;$A36&amp;"*"),"")</f>
        <v/>
      </c>
      <c r="AE36" s="29" t="str">
        <f>IFERROR((SUMIFS('AEO25 Table 23'!AH:AH,'AEO25 Table 23'!$B:$B,"*"&amp;$A36&amp;"*")-SUMIFS('AEO25 Table 23'!AG:AG,'AEO25 Table 23'!$B:$B,"*"&amp;$A36&amp;"*"))/SUMIFS('AEO25 Table 23'!AG:AG,'AEO25 Table 23'!$B:$B,"*"&amp;$A36&amp;"*"),"")</f>
        <v/>
      </c>
    </row>
    <row r="37" spans="1:31" x14ac:dyDescent="0.25">
      <c r="A37" s="1" t="s">
        <v>24</v>
      </c>
      <c r="B37" s="13" cm="1">
        <f t="array" ref="B37">IFERROR(SUMPRODUCT(--('BLS Table 2.11'!L:L=$A37),'BLS Table 2.11'!J:J,'BLS Table 2.11'!K:K)/SUMIFS('BLS Table 2.11'!J:J,'BLS Table 2.11'!L:L,$A37)/100,SUMPRODUCT(--('BLS Table 2.11'!M:M=$A37),'BLS Table 2.11'!J:J,'BLS Table 2.11'!K:K)/SUMIFS('BLS Table 2.11'!J:J,'BLS Table 2.11'!M:M,$A37)/100)</f>
        <v>3.7999999999999999E-2</v>
      </c>
      <c r="E37" s="1" t="s">
        <v>24</v>
      </c>
      <c r="F37" s="29" t="str">
        <f>IFERROR((SUMIFS('AEO25 Table 23'!I:I,'AEO25 Table 23'!$B:$B,"*"&amp;$A37&amp;"*")-SUMIFS('AEO25 Table 23'!H:H,'AEO25 Table 23'!$B:$B,"*"&amp;$A37&amp;"*"))/SUMIFS('AEO25 Table 23'!H:H,'AEO25 Table 23'!$B:$B,"*"&amp;$A37&amp;"*"),"")</f>
        <v/>
      </c>
      <c r="G37" s="29" t="str">
        <f>IFERROR((SUMIFS('AEO25 Table 23'!J:J,'AEO25 Table 23'!$B:$B,"*"&amp;$A37&amp;"*")-SUMIFS('AEO25 Table 23'!I:I,'AEO25 Table 23'!$B:$B,"*"&amp;$A37&amp;"*"))/SUMIFS('AEO25 Table 23'!I:I,'AEO25 Table 23'!$B:$B,"*"&amp;$A37&amp;"*"),"")</f>
        <v/>
      </c>
      <c r="H37" s="29" t="str">
        <f>IFERROR((SUMIFS('AEO25 Table 23'!K:K,'AEO25 Table 23'!$B:$B,"*"&amp;$A37&amp;"*")-SUMIFS('AEO25 Table 23'!J:J,'AEO25 Table 23'!$B:$B,"*"&amp;$A37&amp;"*"))/SUMIFS('AEO25 Table 23'!J:J,'AEO25 Table 23'!$B:$B,"*"&amp;$A37&amp;"*"),"")</f>
        <v/>
      </c>
      <c r="I37" s="29" t="str">
        <f>IFERROR((SUMIFS('AEO25 Table 23'!L:L,'AEO25 Table 23'!$B:$B,"*"&amp;$A37&amp;"*")-SUMIFS('AEO25 Table 23'!K:K,'AEO25 Table 23'!$B:$B,"*"&amp;$A37&amp;"*"))/SUMIFS('AEO25 Table 23'!K:K,'AEO25 Table 23'!$B:$B,"*"&amp;$A37&amp;"*"),"")</f>
        <v/>
      </c>
      <c r="J37" s="29" t="str">
        <f>IFERROR((SUMIFS('AEO25 Table 23'!M:M,'AEO25 Table 23'!$B:$B,"*"&amp;$A37&amp;"*")-SUMIFS('AEO25 Table 23'!L:L,'AEO25 Table 23'!$B:$B,"*"&amp;$A37&amp;"*"))/SUMIFS('AEO25 Table 23'!L:L,'AEO25 Table 23'!$B:$B,"*"&amp;$A37&amp;"*"),"")</f>
        <v/>
      </c>
      <c r="K37" s="29" t="str">
        <f>IFERROR((SUMIFS('AEO25 Table 23'!N:N,'AEO25 Table 23'!$B:$B,"*"&amp;$A37&amp;"*")-SUMIFS('AEO25 Table 23'!M:M,'AEO25 Table 23'!$B:$B,"*"&amp;$A37&amp;"*"))/SUMIFS('AEO25 Table 23'!M:M,'AEO25 Table 23'!$B:$B,"*"&amp;$A37&amp;"*"),"")</f>
        <v/>
      </c>
      <c r="L37" s="29" t="str">
        <f>IFERROR((SUMIFS('AEO25 Table 23'!O:O,'AEO25 Table 23'!$B:$B,"*"&amp;$A37&amp;"*")-SUMIFS('AEO25 Table 23'!N:N,'AEO25 Table 23'!$B:$B,"*"&amp;$A37&amp;"*"))/SUMIFS('AEO25 Table 23'!N:N,'AEO25 Table 23'!$B:$B,"*"&amp;$A37&amp;"*"),"")</f>
        <v/>
      </c>
      <c r="M37" s="29" t="str">
        <f>IFERROR((SUMIFS('AEO25 Table 23'!P:P,'AEO25 Table 23'!$B:$B,"*"&amp;$A37&amp;"*")-SUMIFS('AEO25 Table 23'!O:O,'AEO25 Table 23'!$B:$B,"*"&amp;$A37&amp;"*"))/SUMIFS('AEO25 Table 23'!O:O,'AEO25 Table 23'!$B:$B,"*"&amp;$A37&amp;"*"),"")</f>
        <v/>
      </c>
      <c r="N37" s="29" t="str">
        <f>IFERROR((SUMIFS('AEO25 Table 23'!Q:Q,'AEO25 Table 23'!$B:$B,"*"&amp;$A37&amp;"*")-SUMIFS('AEO25 Table 23'!P:P,'AEO25 Table 23'!$B:$B,"*"&amp;$A37&amp;"*"))/SUMIFS('AEO25 Table 23'!P:P,'AEO25 Table 23'!$B:$B,"*"&amp;$A37&amp;"*"),"")</f>
        <v/>
      </c>
      <c r="O37" s="29" t="str">
        <f>IFERROR((SUMIFS('AEO25 Table 23'!R:R,'AEO25 Table 23'!$B:$B,"*"&amp;$A37&amp;"*")-SUMIFS('AEO25 Table 23'!Q:Q,'AEO25 Table 23'!$B:$B,"*"&amp;$A37&amp;"*"))/SUMIFS('AEO25 Table 23'!Q:Q,'AEO25 Table 23'!$B:$B,"*"&amp;$A37&amp;"*"),"")</f>
        <v/>
      </c>
      <c r="P37" s="29" t="str">
        <f>IFERROR((SUMIFS('AEO25 Table 23'!S:S,'AEO25 Table 23'!$B:$B,"*"&amp;$A37&amp;"*")-SUMIFS('AEO25 Table 23'!R:R,'AEO25 Table 23'!$B:$B,"*"&amp;$A37&amp;"*"))/SUMIFS('AEO25 Table 23'!R:R,'AEO25 Table 23'!$B:$B,"*"&amp;$A37&amp;"*"),"")</f>
        <v/>
      </c>
      <c r="Q37" s="29" t="str">
        <f>IFERROR((SUMIFS('AEO25 Table 23'!T:T,'AEO25 Table 23'!$B:$B,"*"&amp;$A37&amp;"*")-SUMIFS('AEO25 Table 23'!S:S,'AEO25 Table 23'!$B:$B,"*"&amp;$A37&amp;"*"))/SUMIFS('AEO25 Table 23'!S:S,'AEO25 Table 23'!$B:$B,"*"&amp;$A37&amp;"*"),"")</f>
        <v/>
      </c>
      <c r="R37" s="29" t="str">
        <f>IFERROR((SUMIFS('AEO25 Table 23'!U:U,'AEO25 Table 23'!$B:$B,"*"&amp;$A37&amp;"*")-SUMIFS('AEO25 Table 23'!T:T,'AEO25 Table 23'!$B:$B,"*"&amp;$A37&amp;"*"))/SUMIFS('AEO25 Table 23'!T:T,'AEO25 Table 23'!$B:$B,"*"&amp;$A37&amp;"*"),"")</f>
        <v/>
      </c>
      <c r="S37" s="29" t="str">
        <f>IFERROR((SUMIFS('AEO25 Table 23'!V:V,'AEO25 Table 23'!$B:$B,"*"&amp;$A37&amp;"*")-SUMIFS('AEO25 Table 23'!U:U,'AEO25 Table 23'!$B:$B,"*"&amp;$A37&amp;"*"))/SUMIFS('AEO25 Table 23'!U:U,'AEO25 Table 23'!$B:$B,"*"&amp;$A37&amp;"*"),"")</f>
        <v/>
      </c>
      <c r="T37" s="29" t="str">
        <f>IFERROR((SUMIFS('AEO25 Table 23'!W:W,'AEO25 Table 23'!$B:$B,"*"&amp;$A37&amp;"*")-SUMIFS('AEO25 Table 23'!V:V,'AEO25 Table 23'!$B:$B,"*"&amp;$A37&amp;"*"))/SUMIFS('AEO25 Table 23'!V:V,'AEO25 Table 23'!$B:$B,"*"&amp;$A37&amp;"*"),"")</f>
        <v/>
      </c>
      <c r="U37" s="29" t="str">
        <f>IFERROR((SUMIFS('AEO25 Table 23'!X:X,'AEO25 Table 23'!$B:$B,"*"&amp;$A37&amp;"*")-SUMIFS('AEO25 Table 23'!W:W,'AEO25 Table 23'!$B:$B,"*"&amp;$A37&amp;"*"))/SUMIFS('AEO25 Table 23'!W:W,'AEO25 Table 23'!$B:$B,"*"&amp;$A37&amp;"*"),"")</f>
        <v/>
      </c>
      <c r="V37" s="29" t="str">
        <f>IFERROR((SUMIFS('AEO25 Table 23'!Y:Y,'AEO25 Table 23'!$B:$B,"*"&amp;$A37&amp;"*")-SUMIFS('AEO25 Table 23'!X:X,'AEO25 Table 23'!$B:$B,"*"&amp;$A37&amp;"*"))/SUMIFS('AEO25 Table 23'!X:X,'AEO25 Table 23'!$B:$B,"*"&amp;$A37&amp;"*"),"")</f>
        <v/>
      </c>
      <c r="W37" s="29" t="str">
        <f>IFERROR((SUMIFS('AEO25 Table 23'!Z:Z,'AEO25 Table 23'!$B:$B,"*"&amp;$A37&amp;"*")-SUMIFS('AEO25 Table 23'!Y:Y,'AEO25 Table 23'!$B:$B,"*"&amp;$A37&amp;"*"))/SUMIFS('AEO25 Table 23'!Y:Y,'AEO25 Table 23'!$B:$B,"*"&amp;$A37&amp;"*"),"")</f>
        <v/>
      </c>
      <c r="X37" s="29" t="str">
        <f>IFERROR((SUMIFS('AEO25 Table 23'!AA:AA,'AEO25 Table 23'!$B:$B,"*"&amp;$A37&amp;"*")-SUMIFS('AEO25 Table 23'!Z:Z,'AEO25 Table 23'!$B:$B,"*"&amp;$A37&amp;"*"))/SUMIFS('AEO25 Table 23'!Z:Z,'AEO25 Table 23'!$B:$B,"*"&amp;$A37&amp;"*"),"")</f>
        <v/>
      </c>
      <c r="Y37" s="29" t="str">
        <f>IFERROR((SUMIFS('AEO25 Table 23'!AB:AB,'AEO25 Table 23'!$B:$B,"*"&amp;$A37&amp;"*")-SUMIFS('AEO25 Table 23'!AA:AA,'AEO25 Table 23'!$B:$B,"*"&amp;$A37&amp;"*"))/SUMIFS('AEO25 Table 23'!AA:AA,'AEO25 Table 23'!$B:$B,"*"&amp;$A37&amp;"*"),"")</f>
        <v/>
      </c>
      <c r="Z37" s="29" t="str">
        <f>IFERROR((SUMIFS('AEO25 Table 23'!AC:AC,'AEO25 Table 23'!$B:$B,"*"&amp;$A37&amp;"*")-SUMIFS('AEO25 Table 23'!AB:AB,'AEO25 Table 23'!$B:$B,"*"&amp;$A37&amp;"*"))/SUMIFS('AEO25 Table 23'!AB:AB,'AEO25 Table 23'!$B:$B,"*"&amp;$A37&amp;"*"),"")</f>
        <v/>
      </c>
      <c r="AA37" s="29" t="str">
        <f>IFERROR((SUMIFS('AEO25 Table 23'!AD:AD,'AEO25 Table 23'!$B:$B,"*"&amp;$A37&amp;"*")-SUMIFS('AEO25 Table 23'!AC:AC,'AEO25 Table 23'!$B:$B,"*"&amp;$A37&amp;"*"))/SUMIFS('AEO25 Table 23'!AC:AC,'AEO25 Table 23'!$B:$B,"*"&amp;$A37&amp;"*"),"")</f>
        <v/>
      </c>
      <c r="AB37" s="29" t="str">
        <f>IFERROR((SUMIFS('AEO25 Table 23'!AE:AE,'AEO25 Table 23'!$B:$B,"*"&amp;$A37&amp;"*")-SUMIFS('AEO25 Table 23'!AD:AD,'AEO25 Table 23'!$B:$B,"*"&amp;$A37&amp;"*"))/SUMIFS('AEO25 Table 23'!AD:AD,'AEO25 Table 23'!$B:$B,"*"&amp;$A37&amp;"*"),"")</f>
        <v/>
      </c>
      <c r="AC37" s="29" t="str">
        <f>IFERROR((SUMIFS('AEO25 Table 23'!AF:AF,'AEO25 Table 23'!$B:$B,"*"&amp;$A37&amp;"*")-SUMIFS('AEO25 Table 23'!AE:AE,'AEO25 Table 23'!$B:$B,"*"&amp;$A37&amp;"*"))/SUMIFS('AEO25 Table 23'!AE:AE,'AEO25 Table 23'!$B:$B,"*"&amp;$A37&amp;"*"),"")</f>
        <v/>
      </c>
      <c r="AD37" s="29" t="str">
        <f>IFERROR((SUMIFS('AEO25 Table 23'!AG:AG,'AEO25 Table 23'!$B:$B,"*"&amp;$A37&amp;"*")-SUMIFS('AEO25 Table 23'!AF:AF,'AEO25 Table 23'!$B:$B,"*"&amp;$A37&amp;"*"))/SUMIFS('AEO25 Table 23'!AF:AF,'AEO25 Table 23'!$B:$B,"*"&amp;$A37&amp;"*"),"")</f>
        <v/>
      </c>
      <c r="AE37" s="29" t="str">
        <f>IFERROR((SUMIFS('AEO25 Table 23'!AH:AH,'AEO25 Table 23'!$B:$B,"*"&amp;$A37&amp;"*")-SUMIFS('AEO25 Table 23'!AG:AG,'AEO25 Table 23'!$B:$B,"*"&amp;$A37&amp;"*"))/SUMIFS('AEO25 Table 23'!AG:AG,'AEO25 Table 23'!$B:$B,"*"&amp;$A37&amp;"*"),"")</f>
        <v/>
      </c>
    </row>
    <row r="38" spans="1:31" x14ac:dyDescent="0.25">
      <c r="A38" s="1" t="s">
        <v>25</v>
      </c>
      <c r="B38" s="13" cm="1">
        <f t="array" ref="B38">IFERROR(SUMPRODUCT(--('BLS Table 2.11'!L:L=$A38),'BLS Table 2.11'!J:J,'BLS Table 2.11'!K:K)/SUMIFS('BLS Table 2.11'!J:J,'BLS Table 2.11'!L:L,$A38)/100,SUMPRODUCT(--('BLS Table 2.11'!M:M=$A38),'BLS Table 2.11'!J:J,'BLS Table 2.11'!K:K)/SUMIFS('BLS Table 2.11'!J:J,'BLS Table 2.11'!M:M,$A38)/100)</f>
        <v>0.02</v>
      </c>
      <c r="E38" s="1" t="s">
        <v>25</v>
      </c>
      <c r="F38" s="29" t="str">
        <f>IFERROR((SUMIFS('AEO25 Table 23'!I:I,'AEO25 Table 23'!$B:$B,"*"&amp;$A38&amp;"*")-SUMIFS('AEO25 Table 23'!H:H,'AEO25 Table 23'!$B:$B,"*"&amp;$A38&amp;"*"))/SUMIFS('AEO25 Table 23'!H:H,'AEO25 Table 23'!$B:$B,"*"&amp;$A38&amp;"*"),"")</f>
        <v/>
      </c>
      <c r="G38" s="29" t="str">
        <f>IFERROR((SUMIFS('AEO25 Table 23'!J:J,'AEO25 Table 23'!$B:$B,"*"&amp;$A38&amp;"*")-SUMIFS('AEO25 Table 23'!I:I,'AEO25 Table 23'!$B:$B,"*"&amp;$A38&amp;"*"))/SUMIFS('AEO25 Table 23'!I:I,'AEO25 Table 23'!$B:$B,"*"&amp;$A38&amp;"*"),"")</f>
        <v/>
      </c>
      <c r="H38" s="29" t="str">
        <f>IFERROR((SUMIFS('AEO25 Table 23'!K:K,'AEO25 Table 23'!$B:$B,"*"&amp;$A38&amp;"*")-SUMIFS('AEO25 Table 23'!J:J,'AEO25 Table 23'!$B:$B,"*"&amp;$A38&amp;"*"))/SUMIFS('AEO25 Table 23'!J:J,'AEO25 Table 23'!$B:$B,"*"&amp;$A38&amp;"*"),"")</f>
        <v/>
      </c>
      <c r="I38" s="29" t="str">
        <f>IFERROR((SUMIFS('AEO25 Table 23'!L:L,'AEO25 Table 23'!$B:$B,"*"&amp;$A38&amp;"*")-SUMIFS('AEO25 Table 23'!K:K,'AEO25 Table 23'!$B:$B,"*"&amp;$A38&amp;"*"))/SUMIFS('AEO25 Table 23'!K:K,'AEO25 Table 23'!$B:$B,"*"&amp;$A38&amp;"*"),"")</f>
        <v/>
      </c>
      <c r="J38" s="29" t="str">
        <f>IFERROR((SUMIFS('AEO25 Table 23'!M:M,'AEO25 Table 23'!$B:$B,"*"&amp;$A38&amp;"*")-SUMIFS('AEO25 Table 23'!L:L,'AEO25 Table 23'!$B:$B,"*"&amp;$A38&amp;"*"))/SUMIFS('AEO25 Table 23'!L:L,'AEO25 Table 23'!$B:$B,"*"&amp;$A38&amp;"*"),"")</f>
        <v/>
      </c>
      <c r="K38" s="29" t="str">
        <f>IFERROR((SUMIFS('AEO25 Table 23'!N:N,'AEO25 Table 23'!$B:$B,"*"&amp;$A38&amp;"*")-SUMIFS('AEO25 Table 23'!M:M,'AEO25 Table 23'!$B:$B,"*"&amp;$A38&amp;"*"))/SUMIFS('AEO25 Table 23'!M:M,'AEO25 Table 23'!$B:$B,"*"&amp;$A38&amp;"*"),"")</f>
        <v/>
      </c>
      <c r="L38" s="29" t="str">
        <f>IFERROR((SUMIFS('AEO25 Table 23'!O:O,'AEO25 Table 23'!$B:$B,"*"&amp;$A38&amp;"*")-SUMIFS('AEO25 Table 23'!N:N,'AEO25 Table 23'!$B:$B,"*"&amp;$A38&amp;"*"))/SUMIFS('AEO25 Table 23'!N:N,'AEO25 Table 23'!$B:$B,"*"&amp;$A38&amp;"*"),"")</f>
        <v/>
      </c>
      <c r="M38" s="29" t="str">
        <f>IFERROR((SUMIFS('AEO25 Table 23'!P:P,'AEO25 Table 23'!$B:$B,"*"&amp;$A38&amp;"*")-SUMIFS('AEO25 Table 23'!O:O,'AEO25 Table 23'!$B:$B,"*"&amp;$A38&amp;"*"))/SUMIFS('AEO25 Table 23'!O:O,'AEO25 Table 23'!$B:$B,"*"&amp;$A38&amp;"*"),"")</f>
        <v/>
      </c>
      <c r="N38" s="29" t="str">
        <f>IFERROR((SUMIFS('AEO25 Table 23'!Q:Q,'AEO25 Table 23'!$B:$B,"*"&amp;$A38&amp;"*")-SUMIFS('AEO25 Table 23'!P:P,'AEO25 Table 23'!$B:$B,"*"&amp;$A38&amp;"*"))/SUMIFS('AEO25 Table 23'!P:P,'AEO25 Table 23'!$B:$B,"*"&amp;$A38&amp;"*"),"")</f>
        <v/>
      </c>
      <c r="O38" s="29" t="str">
        <f>IFERROR((SUMIFS('AEO25 Table 23'!R:R,'AEO25 Table 23'!$B:$B,"*"&amp;$A38&amp;"*")-SUMIFS('AEO25 Table 23'!Q:Q,'AEO25 Table 23'!$B:$B,"*"&amp;$A38&amp;"*"))/SUMIFS('AEO25 Table 23'!Q:Q,'AEO25 Table 23'!$B:$B,"*"&amp;$A38&amp;"*"),"")</f>
        <v/>
      </c>
      <c r="P38" s="29" t="str">
        <f>IFERROR((SUMIFS('AEO25 Table 23'!S:S,'AEO25 Table 23'!$B:$B,"*"&amp;$A38&amp;"*")-SUMIFS('AEO25 Table 23'!R:R,'AEO25 Table 23'!$B:$B,"*"&amp;$A38&amp;"*"))/SUMIFS('AEO25 Table 23'!R:R,'AEO25 Table 23'!$B:$B,"*"&amp;$A38&amp;"*"),"")</f>
        <v/>
      </c>
      <c r="Q38" s="29" t="str">
        <f>IFERROR((SUMIFS('AEO25 Table 23'!T:T,'AEO25 Table 23'!$B:$B,"*"&amp;$A38&amp;"*")-SUMIFS('AEO25 Table 23'!S:S,'AEO25 Table 23'!$B:$B,"*"&amp;$A38&amp;"*"))/SUMIFS('AEO25 Table 23'!S:S,'AEO25 Table 23'!$B:$B,"*"&amp;$A38&amp;"*"),"")</f>
        <v/>
      </c>
      <c r="R38" s="29" t="str">
        <f>IFERROR((SUMIFS('AEO25 Table 23'!U:U,'AEO25 Table 23'!$B:$B,"*"&amp;$A38&amp;"*")-SUMIFS('AEO25 Table 23'!T:T,'AEO25 Table 23'!$B:$B,"*"&amp;$A38&amp;"*"))/SUMIFS('AEO25 Table 23'!T:T,'AEO25 Table 23'!$B:$B,"*"&amp;$A38&amp;"*"),"")</f>
        <v/>
      </c>
      <c r="S38" s="29" t="str">
        <f>IFERROR((SUMIFS('AEO25 Table 23'!V:V,'AEO25 Table 23'!$B:$B,"*"&amp;$A38&amp;"*")-SUMIFS('AEO25 Table 23'!U:U,'AEO25 Table 23'!$B:$B,"*"&amp;$A38&amp;"*"))/SUMIFS('AEO25 Table 23'!U:U,'AEO25 Table 23'!$B:$B,"*"&amp;$A38&amp;"*"),"")</f>
        <v/>
      </c>
      <c r="T38" s="29" t="str">
        <f>IFERROR((SUMIFS('AEO25 Table 23'!W:W,'AEO25 Table 23'!$B:$B,"*"&amp;$A38&amp;"*")-SUMIFS('AEO25 Table 23'!V:V,'AEO25 Table 23'!$B:$B,"*"&amp;$A38&amp;"*"))/SUMIFS('AEO25 Table 23'!V:V,'AEO25 Table 23'!$B:$B,"*"&amp;$A38&amp;"*"),"")</f>
        <v/>
      </c>
      <c r="U38" s="29" t="str">
        <f>IFERROR((SUMIFS('AEO25 Table 23'!X:X,'AEO25 Table 23'!$B:$B,"*"&amp;$A38&amp;"*")-SUMIFS('AEO25 Table 23'!W:W,'AEO25 Table 23'!$B:$B,"*"&amp;$A38&amp;"*"))/SUMIFS('AEO25 Table 23'!W:W,'AEO25 Table 23'!$B:$B,"*"&amp;$A38&amp;"*"),"")</f>
        <v/>
      </c>
      <c r="V38" s="29" t="str">
        <f>IFERROR((SUMIFS('AEO25 Table 23'!Y:Y,'AEO25 Table 23'!$B:$B,"*"&amp;$A38&amp;"*")-SUMIFS('AEO25 Table 23'!X:X,'AEO25 Table 23'!$B:$B,"*"&amp;$A38&amp;"*"))/SUMIFS('AEO25 Table 23'!X:X,'AEO25 Table 23'!$B:$B,"*"&amp;$A38&amp;"*"),"")</f>
        <v/>
      </c>
      <c r="W38" s="29" t="str">
        <f>IFERROR((SUMIFS('AEO25 Table 23'!Z:Z,'AEO25 Table 23'!$B:$B,"*"&amp;$A38&amp;"*")-SUMIFS('AEO25 Table 23'!Y:Y,'AEO25 Table 23'!$B:$B,"*"&amp;$A38&amp;"*"))/SUMIFS('AEO25 Table 23'!Y:Y,'AEO25 Table 23'!$B:$B,"*"&amp;$A38&amp;"*"),"")</f>
        <v/>
      </c>
      <c r="X38" s="29" t="str">
        <f>IFERROR((SUMIFS('AEO25 Table 23'!AA:AA,'AEO25 Table 23'!$B:$B,"*"&amp;$A38&amp;"*")-SUMIFS('AEO25 Table 23'!Z:Z,'AEO25 Table 23'!$B:$B,"*"&amp;$A38&amp;"*"))/SUMIFS('AEO25 Table 23'!Z:Z,'AEO25 Table 23'!$B:$B,"*"&amp;$A38&amp;"*"),"")</f>
        <v/>
      </c>
      <c r="Y38" s="29" t="str">
        <f>IFERROR((SUMIFS('AEO25 Table 23'!AB:AB,'AEO25 Table 23'!$B:$B,"*"&amp;$A38&amp;"*")-SUMIFS('AEO25 Table 23'!AA:AA,'AEO25 Table 23'!$B:$B,"*"&amp;$A38&amp;"*"))/SUMIFS('AEO25 Table 23'!AA:AA,'AEO25 Table 23'!$B:$B,"*"&amp;$A38&amp;"*"),"")</f>
        <v/>
      </c>
      <c r="Z38" s="29" t="str">
        <f>IFERROR((SUMIFS('AEO25 Table 23'!AC:AC,'AEO25 Table 23'!$B:$B,"*"&amp;$A38&amp;"*")-SUMIFS('AEO25 Table 23'!AB:AB,'AEO25 Table 23'!$B:$B,"*"&amp;$A38&amp;"*"))/SUMIFS('AEO25 Table 23'!AB:AB,'AEO25 Table 23'!$B:$B,"*"&amp;$A38&amp;"*"),"")</f>
        <v/>
      </c>
      <c r="AA38" s="29" t="str">
        <f>IFERROR((SUMIFS('AEO25 Table 23'!AD:AD,'AEO25 Table 23'!$B:$B,"*"&amp;$A38&amp;"*")-SUMIFS('AEO25 Table 23'!AC:AC,'AEO25 Table 23'!$B:$B,"*"&amp;$A38&amp;"*"))/SUMIFS('AEO25 Table 23'!AC:AC,'AEO25 Table 23'!$B:$B,"*"&amp;$A38&amp;"*"),"")</f>
        <v/>
      </c>
      <c r="AB38" s="29" t="str">
        <f>IFERROR((SUMIFS('AEO25 Table 23'!AE:AE,'AEO25 Table 23'!$B:$B,"*"&amp;$A38&amp;"*")-SUMIFS('AEO25 Table 23'!AD:AD,'AEO25 Table 23'!$B:$B,"*"&amp;$A38&amp;"*"))/SUMIFS('AEO25 Table 23'!AD:AD,'AEO25 Table 23'!$B:$B,"*"&amp;$A38&amp;"*"),"")</f>
        <v/>
      </c>
      <c r="AC38" s="29" t="str">
        <f>IFERROR((SUMIFS('AEO25 Table 23'!AF:AF,'AEO25 Table 23'!$B:$B,"*"&amp;$A38&amp;"*")-SUMIFS('AEO25 Table 23'!AE:AE,'AEO25 Table 23'!$B:$B,"*"&amp;$A38&amp;"*"))/SUMIFS('AEO25 Table 23'!AE:AE,'AEO25 Table 23'!$B:$B,"*"&amp;$A38&amp;"*"),"")</f>
        <v/>
      </c>
      <c r="AD38" s="29" t="str">
        <f>IFERROR((SUMIFS('AEO25 Table 23'!AG:AG,'AEO25 Table 23'!$B:$B,"*"&amp;$A38&amp;"*")-SUMIFS('AEO25 Table 23'!AF:AF,'AEO25 Table 23'!$B:$B,"*"&amp;$A38&amp;"*"))/SUMIFS('AEO25 Table 23'!AF:AF,'AEO25 Table 23'!$B:$B,"*"&amp;$A38&amp;"*"),"")</f>
        <v/>
      </c>
      <c r="AE38" s="29" t="str">
        <f>IFERROR((SUMIFS('AEO25 Table 23'!AH:AH,'AEO25 Table 23'!$B:$B,"*"&amp;$A38&amp;"*")-SUMIFS('AEO25 Table 23'!AG:AG,'AEO25 Table 23'!$B:$B,"*"&amp;$A38&amp;"*"))/SUMIFS('AEO25 Table 23'!AG:AG,'AEO25 Table 23'!$B:$B,"*"&amp;$A38&amp;"*"),"")</f>
        <v/>
      </c>
    </row>
    <row r="39" spans="1:31" x14ac:dyDescent="0.25">
      <c r="A39" s="1" t="s">
        <v>26</v>
      </c>
      <c r="B39" s="13" cm="1">
        <f t="array" ref="B39">IFERROR(SUMPRODUCT(--('BLS Table 2.11'!L:L=$A39),'BLS Table 2.11'!J:J,'BLS Table 2.11'!K:K)/SUMIFS('BLS Table 2.11'!J:J,'BLS Table 2.11'!L:L,$A39)/100,SUMPRODUCT(--('BLS Table 2.11'!M:M=$A39),'BLS Table 2.11'!J:J,'BLS Table 2.11'!K:K)/SUMIFS('BLS Table 2.11'!J:J,'BLS Table 2.11'!M:M,$A39)/100)</f>
        <v>1.9E-2</v>
      </c>
      <c r="E39" s="1" t="s">
        <v>26</v>
      </c>
      <c r="F39" s="29" t="str">
        <f>IFERROR((SUMIFS('AEO25 Table 23'!I:I,'AEO25 Table 23'!$B:$B,"*"&amp;$A39&amp;"*")-SUMIFS('AEO25 Table 23'!H:H,'AEO25 Table 23'!$B:$B,"*"&amp;$A39&amp;"*"))/SUMIFS('AEO25 Table 23'!H:H,'AEO25 Table 23'!$B:$B,"*"&amp;$A39&amp;"*"),"")</f>
        <v/>
      </c>
      <c r="G39" s="29" t="str">
        <f>IFERROR((SUMIFS('AEO25 Table 23'!J:J,'AEO25 Table 23'!$B:$B,"*"&amp;$A39&amp;"*")-SUMIFS('AEO25 Table 23'!I:I,'AEO25 Table 23'!$B:$B,"*"&amp;$A39&amp;"*"))/SUMIFS('AEO25 Table 23'!I:I,'AEO25 Table 23'!$B:$B,"*"&amp;$A39&amp;"*"),"")</f>
        <v/>
      </c>
      <c r="H39" s="29" t="str">
        <f>IFERROR((SUMIFS('AEO25 Table 23'!K:K,'AEO25 Table 23'!$B:$B,"*"&amp;$A39&amp;"*")-SUMIFS('AEO25 Table 23'!J:J,'AEO25 Table 23'!$B:$B,"*"&amp;$A39&amp;"*"))/SUMIFS('AEO25 Table 23'!J:J,'AEO25 Table 23'!$B:$B,"*"&amp;$A39&amp;"*"),"")</f>
        <v/>
      </c>
      <c r="I39" s="29" t="str">
        <f>IFERROR((SUMIFS('AEO25 Table 23'!L:L,'AEO25 Table 23'!$B:$B,"*"&amp;$A39&amp;"*")-SUMIFS('AEO25 Table 23'!K:K,'AEO25 Table 23'!$B:$B,"*"&amp;$A39&amp;"*"))/SUMIFS('AEO25 Table 23'!K:K,'AEO25 Table 23'!$B:$B,"*"&amp;$A39&amp;"*"),"")</f>
        <v/>
      </c>
      <c r="J39" s="29" t="str">
        <f>IFERROR((SUMIFS('AEO25 Table 23'!M:M,'AEO25 Table 23'!$B:$B,"*"&amp;$A39&amp;"*")-SUMIFS('AEO25 Table 23'!L:L,'AEO25 Table 23'!$B:$B,"*"&amp;$A39&amp;"*"))/SUMIFS('AEO25 Table 23'!L:L,'AEO25 Table 23'!$B:$B,"*"&amp;$A39&amp;"*"),"")</f>
        <v/>
      </c>
      <c r="K39" s="29" t="str">
        <f>IFERROR((SUMIFS('AEO25 Table 23'!N:N,'AEO25 Table 23'!$B:$B,"*"&amp;$A39&amp;"*")-SUMIFS('AEO25 Table 23'!M:M,'AEO25 Table 23'!$B:$B,"*"&amp;$A39&amp;"*"))/SUMIFS('AEO25 Table 23'!M:M,'AEO25 Table 23'!$B:$B,"*"&amp;$A39&amp;"*"),"")</f>
        <v/>
      </c>
      <c r="L39" s="29" t="str">
        <f>IFERROR((SUMIFS('AEO25 Table 23'!O:O,'AEO25 Table 23'!$B:$B,"*"&amp;$A39&amp;"*")-SUMIFS('AEO25 Table 23'!N:N,'AEO25 Table 23'!$B:$B,"*"&amp;$A39&amp;"*"))/SUMIFS('AEO25 Table 23'!N:N,'AEO25 Table 23'!$B:$B,"*"&amp;$A39&amp;"*"),"")</f>
        <v/>
      </c>
      <c r="M39" s="29" t="str">
        <f>IFERROR((SUMIFS('AEO25 Table 23'!P:P,'AEO25 Table 23'!$B:$B,"*"&amp;$A39&amp;"*")-SUMIFS('AEO25 Table 23'!O:O,'AEO25 Table 23'!$B:$B,"*"&amp;$A39&amp;"*"))/SUMIFS('AEO25 Table 23'!O:O,'AEO25 Table 23'!$B:$B,"*"&amp;$A39&amp;"*"),"")</f>
        <v/>
      </c>
      <c r="N39" s="29" t="str">
        <f>IFERROR((SUMIFS('AEO25 Table 23'!Q:Q,'AEO25 Table 23'!$B:$B,"*"&amp;$A39&amp;"*")-SUMIFS('AEO25 Table 23'!P:P,'AEO25 Table 23'!$B:$B,"*"&amp;$A39&amp;"*"))/SUMIFS('AEO25 Table 23'!P:P,'AEO25 Table 23'!$B:$B,"*"&amp;$A39&amp;"*"),"")</f>
        <v/>
      </c>
      <c r="O39" s="29" t="str">
        <f>IFERROR((SUMIFS('AEO25 Table 23'!R:R,'AEO25 Table 23'!$B:$B,"*"&amp;$A39&amp;"*")-SUMIFS('AEO25 Table 23'!Q:Q,'AEO25 Table 23'!$B:$B,"*"&amp;$A39&amp;"*"))/SUMIFS('AEO25 Table 23'!Q:Q,'AEO25 Table 23'!$B:$B,"*"&amp;$A39&amp;"*"),"")</f>
        <v/>
      </c>
      <c r="P39" s="29" t="str">
        <f>IFERROR((SUMIFS('AEO25 Table 23'!S:S,'AEO25 Table 23'!$B:$B,"*"&amp;$A39&amp;"*")-SUMIFS('AEO25 Table 23'!R:R,'AEO25 Table 23'!$B:$B,"*"&amp;$A39&amp;"*"))/SUMIFS('AEO25 Table 23'!R:R,'AEO25 Table 23'!$B:$B,"*"&amp;$A39&amp;"*"),"")</f>
        <v/>
      </c>
      <c r="Q39" s="29" t="str">
        <f>IFERROR((SUMIFS('AEO25 Table 23'!T:T,'AEO25 Table 23'!$B:$B,"*"&amp;$A39&amp;"*")-SUMIFS('AEO25 Table 23'!S:S,'AEO25 Table 23'!$B:$B,"*"&amp;$A39&amp;"*"))/SUMIFS('AEO25 Table 23'!S:S,'AEO25 Table 23'!$B:$B,"*"&amp;$A39&amp;"*"),"")</f>
        <v/>
      </c>
      <c r="R39" s="29" t="str">
        <f>IFERROR((SUMIFS('AEO25 Table 23'!U:U,'AEO25 Table 23'!$B:$B,"*"&amp;$A39&amp;"*")-SUMIFS('AEO25 Table 23'!T:T,'AEO25 Table 23'!$B:$B,"*"&amp;$A39&amp;"*"))/SUMIFS('AEO25 Table 23'!T:T,'AEO25 Table 23'!$B:$B,"*"&amp;$A39&amp;"*"),"")</f>
        <v/>
      </c>
      <c r="S39" s="29" t="str">
        <f>IFERROR((SUMIFS('AEO25 Table 23'!V:V,'AEO25 Table 23'!$B:$B,"*"&amp;$A39&amp;"*")-SUMIFS('AEO25 Table 23'!U:U,'AEO25 Table 23'!$B:$B,"*"&amp;$A39&amp;"*"))/SUMIFS('AEO25 Table 23'!U:U,'AEO25 Table 23'!$B:$B,"*"&amp;$A39&amp;"*"),"")</f>
        <v/>
      </c>
      <c r="T39" s="29" t="str">
        <f>IFERROR((SUMIFS('AEO25 Table 23'!W:W,'AEO25 Table 23'!$B:$B,"*"&amp;$A39&amp;"*")-SUMIFS('AEO25 Table 23'!V:V,'AEO25 Table 23'!$B:$B,"*"&amp;$A39&amp;"*"))/SUMIFS('AEO25 Table 23'!V:V,'AEO25 Table 23'!$B:$B,"*"&amp;$A39&amp;"*"),"")</f>
        <v/>
      </c>
      <c r="U39" s="29" t="str">
        <f>IFERROR((SUMIFS('AEO25 Table 23'!X:X,'AEO25 Table 23'!$B:$B,"*"&amp;$A39&amp;"*")-SUMIFS('AEO25 Table 23'!W:W,'AEO25 Table 23'!$B:$B,"*"&amp;$A39&amp;"*"))/SUMIFS('AEO25 Table 23'!W:W,'AEO25 Table 23'!$B:$B,"*"&amp;$A39&amp;"*"),"")</f>
        <v/>
      </c>
      <c r="V39" s="29" t="str">
        <f>IFERROR((SUMIFS('AEO25 Table 23'!Y:Y,'AEO25 Table 23'!$B:$B,"*"&amp;$A39&amp;"*")-SUMIFS('AEO25 Table 23'!X:X,'AEO25 Table 23'!$B:$B,"*"&amp;$A39&amp;"*"))/SUMIFS('AEO25 Table 23'!X:X,'AEO25 Table 23'!$B:$B,"*"&amp;$A39&amp;"*"),"")</f>
        <v/>
      </c>
      <c r="W39" s="29" t="str">
        <f>IFERROR((SUMIFS('AEO25 Table 23'!Z:Z,'AEO25 Table 23'!$B:$B,"*"&amp;$A39&amp;"*")-SUMIFS('AEO25 Table 23'!Y:Y,'AEO25 Table 23'!$B:$B,"*"&amp;$A39&amp;"*"))/SUMIFS('AEO25 Table 23'!Y:Y,'AEO25 Table 23'!$B:$B,"*"&amp;$A39&amp;"*"),"")</f>
        <v/>
      </c>
      <c r="X39" s="29" t="str">
        <f>IFERROR((SUMIFS('AEO25 Table 23'!AA:AA,'AEO25 Table 23'!$B:$B,"*"&amp;$A39&amp;"*")-SUMIFS('AEO25 Table 23'!Z:Z,'AEO25 Table 23'!$B:$B,"*"&amp;$A39&amp;"*"))/SUMIFS('AEO25 Table 23'!Z:Z,'AEO25 Table 23'!$B:$B,"*"&amp;$A39&amp;"*"),"")</f>
        <v/>
      </c>
      <c r="Y39" s="29" t="str">
        <f>IFERROR((SUMIFS('AEO25 Table 23'!AB:AB,'AEO25 Table 23'!$B:$B,"*"&amp;$A39&amp;"*")-SUMIFS('AEO25 Table 23'!AA:AA,'AEO25 Table 23'!$B:$B,"*"&amp;$A39&amp;"*"))/SUMIFS('AEO25 Table 23'!AA:AA,'AEO25 Table 23'!$B:$B,"*"&amp;$A39&amp;"*"),"")</f>
        <v/>
      </c>
      <c r="Z39" s="29" t="str">
        <f>IFERROR((SUMIFS('AEO25 Table 23'!AC:AC,'AEO25 Table 23'!$B:$B,"*"&amp;$A39&amp;"*")-SUMIFS('AEO25 Table 23'!AB:AB,'AEO25 Table 23'!$B:$B,"*"&amp;$A39&amp;"*"))/SUMIFS('AEO25 Table 23'!AB:AB,'AEO25 Table 23'!$B:$B,"*"&amp;$A39&amp;"*"),"")</f>
        <v/>
      </c>
      <c r="AA39" s="29" t="str">
        <f>IFERROR((SUMIFS('AEO25 Table 23'!AD:AD,'AEO25 Table 23'!$B:$B,"*"&amp;$A39&amp;"*")-SUMIFS('AEO25 Table 23'!AC:AC,'AEO25 Table 23'!$B:$B,"*"&amp;$A39&amp;"*"))/SUMIFS('AEO25 Table 23'!AC:AC,'AEO25 Table 23'!$B:$B,"*"&amp;$A39&amp;"*"),"")</f>
        <v/>
      </c>
      <c r="AB39" s="29" t="str">
        <f>IFERROR((SUMIFS('AEO25 Table 23'!AE:AE,'AEO25 Table 23'!$B:$B,"*"&amp;$A39&amp;"*")-SUMIFS('AEO25 Table 23'!AD:AD,'AEO25 Table 23'!$B:$B,"*"&amp;$A39&amp;"*"))/SUMIFS('AEO25 Table 23'!AD:AD,'AEO25 Table 23'!$B:$B,"*"&amp;$A39&amp;"*"),"")</f>
        <v/>
      </c>
      <c r="AC39" s="29" t="str">
        <f>IFERROR((SUMIFS('AEO25 Table 23'!AF:AF,'AEO25 Table 23'!$B:$B,"*"&amp;$A39&amp;"*")-SUMIFS('AEO25 Table 23'!AE:AE,'AEO25 Table 23'!$B:$B,"*"&amp;$A39&amp;"*"))/SUMIFS('AEO25 Table 23'!AE:AE,'AEO25 Table 23'!$B:$B,"*"&amp;$A39&amp;"*"),"")</f>
        <v/>
      </c>
      <c r="AD39" s="29" t="str">
        <f>IFERROR((SUMIFS('AEO25 Table 23'!AG:AG,'AEO25 Table 23'!$B:$B,"*"&amp;$A39&amp;"*")-SUMIFS('AEO25 Table 23'!AF:AF,'AEO25 Table 23'!$B:$B,"*"&amp;$A39&amp;"*"))/SUMIFS('AEO25 Table 23'!AF:AF,'AEO25 Table 23'!$B:$B,"*"&amp;$A39&amp;"*"),"")</f>
        <v/>
      </c>
      <c r="AE39" s="29" t="str">
        <f>IFERROR((SUMIFS('AEO25 Table 23'!AH:AH,'AEO25 Table 23'!$B:$B,"*"&amp;$A39&amp;"*")-SUMIFS('AEO25 Table 23'!AG:AG,'AEO25 Table 23'!$B:$B,"*"&amp;$A39&amp;"*"))/SUMIFS('AEO25 Table 23'!AG:AG,'AEO25 Table 23'!$B:$B,"*"&amp;$A39&amp;"*"),"")</f>
        <v/>
      </c>
    </row>
    <row r="40" spans="1:31" x14ac:dyDescent="0.25">
      <c r="A40" s="1" t="s">
        <v>27</v>
      </c>
      <c r="B40" s="13" cm="1">
        <f t="array" ref="B40">IFERROR(SUMPRODUCT(--('BLS Table 2.11'!L:L=$A40),'BLS Table 2.11'!J:J,'BLS Table 2.11'!K:K)/SUMIFS('BLS Table 2.11'!J:J,'BLS Table 2.11'!L:L,$A40)/100,SUMPRODUCT(--('BLS Table 2.11'!M:M=$A40),'BLS Table 2.11'!J:J,'BLS Table 2.11'!K:K)/SUMIFS('BLS Table 2.11'!J:J,'BLS Table 2.11'!M:M,$A40)/100)</f>
        <v>2.3300308587027474E-2</v>
      </c>
      <c r="E40" s="1" t="s">
        <v>27</v>
      </c>
      <c r="F40" s="29" t="str">
        <f>IFERROR((SUMIFS('AEO25 Table 23'!I:I,'AEO25 Table 23'!$B:$B,"*"&amp;$A40&amp;"*")-SUMIFS('AEO25 Table 23'!H:H,'AEO25 Table 23'!$B:$B,"*"&amp;$A40&amp;"*"))/SUMIFS('AEO25 Table 23'!H:H,'AEO25 Table 23'!$B:$B,"*"&amp;$A40&amp;"*"),"")</f>
        <v/>
      </c>
      <c r="G40" s="29" t="str">
        <f>IFERROR((SUMIFS('AEO25 Table 23'!J:J,'AEO25 Table 23'!$B:$B,"*"&amp;$A40&amp;"*")-SUMIFS('AEO25 Table 23'!I:I,'AEO25 Table 23'!$B:$B,"*"&amp;$A40&amp;"*"))/SUMIFS('AEO25 Table 23'!I:I,'AEO25 Table 23'!$B:$B,"*"&amp;$A40&amp;"*"),"")</f>
        <v/>
      </c>
      <c r="H40" s="29" t="str">
        <f>IFERROR((SUMIFS('AEO25 Table 23'!K:K,'AEO25 Table 23'!$B:$B,"*"&amp;$A40&amp;"*")-SUMIFS('AEO25 Table 23'!J:J,'AEO25 Table 23'!$B:$B,"*"&amp;$A40&amp;"*"))/SUMIFS('AEO25 Table 23'!J:J,'AEO25 Table 23'!$B:$B,"*"&amp;$A40&amp;"*"),"")</f>
        <v/>
      </c>
      <c r="I40" s="29" t="str">
        <f>IFERROR((SUMIFS('AEO25 Table 23'!L:L,'AEO25 Table 23'!$B:$B,"*"&amp;$A40&amp;"*")-SUMIFS('AEO25 Table 23'!K:K,'AEO25 Table 23'!$B:$B,"*"&amp;$A40&amp;"*"))/SUMIFS('AEO25 Table 23'!K:K,'AEO25 Table 23'!$B:$B,"*"&amp;$A40&amp;"*"),"")</f>
        <v/>
      </c>
      <c r="J40" s="29" t="str">
        <f>IFERROR((SUMIFS('AEO25 Table 23'!M:M,'AEO25 Table 23'!$B:$B,"*"&amp;$A40&amp;"*")-SUMIFS('AEO25 Table 23'!L:L,'AEO25 Table 23'!$B:$B,"*"&amp;$A40&amp;"*"))/SUMIFS('AEO25 Table 23'!L:L,'AEO25 Table 23'!$B:$B,"*"&amp;$A40&amp;"*"),"")</f>
        <v/>
      </c>
      <c r="K40" s="29" t="str">
        <f>IFERROR((SUMIFS('AEO25 Table 23'!N:N,'AEO25 Table 23'!$B:$B,"*"&amp;$A40&amp;"*")-SUMIFS('AEO25 Table 23'!M:M,'AEO25 Table 23'!$B:$B,"*"&amp;$A40&amp;"*"))/SUMIFS('AEO25 Table 23'!M:M,'AEO25 Table 23'!$B:$B,"*"&amp;$A40&amp;"*"),"")</f>
        <v/>
      </c>
      <c r="L40" s="29" t="str">
        <f>IFERROR((SUMIFS('AEO25 Table 23'!O:O,'AEO25 Table 23'!$B:$B,"*"&amp;$A40&amp;"*")-SUMIFS('AEO25 Table 23'!N:N,'AEO25 Table 23'!$B:$B,"*"&amp;$A40&amp;"*"))/SUMIFS('AEO25 Table 23'!N:N,'AEO25 Table 23'!$B:$B,"*"&amp;$A40&amp;"*"),"")</f>
        <v/>
      </c>
      <c r="M40" s="29" t="str">
        <f>IFERROR((SUMIFS('AEO25 Table 23'!P:P,'AEO25 Table 23'!$B:$B,"*"&amp;$A40&amp;"*")-SUMIFS('AEO25 Table 23'!O:O,'AEO25 Table 23'!$B:$B,"*"&amp;$A40&amp;"*"))/SUMIFS('AEO25 Table 23'!O:O,'AEO25 Table 23'!$B:$B,"*"&amp;$A40&amp;"*"),"")</f>
        <v/>
      </c>
      <c r="N40" s="29" t="str">
        <f>IFERROR((SUMIFS('AEO25 Table 23'!Q:Q,'AEO25 Table 23'!$B:$B,"*"&amp;$A40&amp;"*")-SUMIFS('AEO25 Table 23'!P:P,'AEO25 Table 23'!$B:$B,"*"&amp;$A40&amp;"*"))/SUMIFS('AEO25 Table 23'!P:P,'AEO25 Table 23'!$B:$B,"*"&amp;$A40&amp;"*"),"")</f>
        <v/>
      </c>
      <c r="O40" s="29" t="str">
        <f>IFERROR((SUMIFS('AEO25 Table 23'!R:R,'AEO25 Table 23'!$B:$B,"*"&amp;$A40&amp;"*")-SUMIFS('AEO25 Table 23'!Q:Q,'AEO25 Table 23'!$B:$B,"*"&amp;$A40&amp;"*"))/SUMIFS('AEO25 Table 23'!Q:Q,'AEO25 Table 23'!$B:$B,"*"&amp;$A40&amp;"*"),"")</f>
        <v/>
      </c>
      <c r="P40" s="29" t="str">
        <f>IFERROR((SUMIFS('AEO25 Table 23'!S:S,'AEO25 Table 23'!$B:$B,"*"&amp;$A40&amp;"*")-SUMIFS('AEO25 Table 23'!R:R,'AEO25 Table 23'!$B:$B,"*"&amp;$A40&amp;"*"))/SUMIFS('AEO25 Table 23'!R:R,'AEO25 Table 23'!$B:$B,"*"&amp;$A40&amp;"*"),"")</f>
        <v/>
      </c>
      <c r="Q40" s="29" t="str">
        <f>IFERROR((SUMIFS('AEO25 Table 23'!T:T,'AEO25 Table 23'!$B:$B,"*"&amp;$A40&amp;"*")-SUMIFS('AEO25 Table 23'!S:S,'AEO25 Table 23'!$B:$B,"*"&amp;$A40&amp;"*"))/SUMIFS('AEO25 Table 23'!S:S,'AEO25 Table 23'!$B:$B,"*"&amp;$A40&amp;"*"),"")</f>
        <v/>
      </c>
      <c r="R40" s="29" t="str">
        <f>IFERROR((SUMIFS('AEO25 Table 23'!U:U,'AEO25 Table 23'!$B:$B,"*"&amp;$A40&amp;"*")-SUMIFS('AEO25 Table 23'!T:T,'AEO25 Table 23'!$B:$B,"*"&amp;$A40&amp;"*"))/SUMIFS('AEO25 Table 23'!T:T,'AEO25 Table 23'!$B:$B,"*"&amp;$A40&amp;"*"),"")</f>
        <v/>
      </c>
      <c r="S40" s="29" t="str">
        <f>IFERROR((SUMIFS('AEO25 Table 23'!V:V,'AEO25 Table 23'!$B:$B,"*"&amp;$A40&amp;"*")-SUMIFS('AEO25 Table 23'!U:U,'AEO25 Table 23'!$B:$B,"*"&amp;$A40&amp;"*"))/SUMIFS('AEO25 Table 23'!U:U,'AEO25 Table 23'!$B:$B,"*"&amp;$A40&amp;"*"),"")</f>
        <v/>
      </c>
      <c r="T40" s="29" t="str">
        <f>IFERROR((SUMIFS('AEO25 Table 23'!W:W,'AEO25 Table 23'!$B:$B,"*"&amp;$A40&amp;"*")-SUMIFS('AEO25 Table 23'!V:V,'AEO25 Table 23'!$B:$B,"*"&amp;$A40&amp;"*"))/SUMIFS('AEO25 Table 23'!V:V,'AEO25 Table 23'!$B:$B,"*"&amp;$A40&amp;"*"),"")</f>
        <v/>
      </c>
      <c r="U40" s="29" t="str">
        <f>IFERROR((SUMIFS('AEO25 Table 23'!X:X,'AEO25 Table 23'!$B:$B,"*"&amp;$A40&amp;"*")-SUMIFS('AEO25 Table 23'!W:W,'AEO25 Table 23'!$B:$B,"*"&amp;$A40&amp;"*"))/SUMIFS('AEO25 Table 23'!W:W,'AEO25 Table 23'!$B:$B,"*"&amp;$A40&amp;"*"),"")</f>
        <v/>
      </c>
      <c r="V40" s="29" t="str">
        <f>IFERROR((SUMIFS('AEO25 Table 23'!Y:Y,'AEO25 Table 23'!$B:$B,"*"&amp;$A40&amp;"*")-SUMIFS('AEO25 Table 23'!X:X,'AEO25 Table 23'!$B:$B,"*"&amp;$A40&amp;"*"))/SUMIFS('AEO25 Table 23'!X:X,'AEO25 Table 23'!$B:$B,"*"&amp;$A40&amp;"*"),"")</f>
        <v/>
      </c>
      <c r="W40" s="29" t="str">
        <f>IFERROR((SUMIFS('AEO25 Table 23'!Z:Z,'AEO25 Table 23'!$B:$B,"*"&amp;$A40&amp;"*")-SUMIFS('AEO25 Table 23'!Y:Y,'AEO25 Table 23'!$B:$B,"*"&amp;$A40&amp;"*"))/SUMIFS('AEO25 Table 23'!Y:Y,'AEO25 Table 23'!$B:$B,"*"&amp;$A40&amp;"*"),"")</f>
        <v/>
      </c>
      <c r="X40" s="29" t="str">
        <f>IFERROR((SUMIFS('AEO25 Table 23'!AA:AA,'AEO25 Table 23'!$B:$B,"*"&amp;$A40&amp;"*")-SUMIFS('AEO25 Table 23'!Z:Z,'AEO25 Table 23'!$B:$B,"*"&amp;$A40&amp;"*"))/SUMIFS('AEO25 Table 23'!Z:Z,'AEO25 Table 23'!$B:$B,"*"&amp;$A40&amp;"*"),"")</f>
        <v/>
      </c>
      <c r="Y40" s="29" t="str">
        <f>IFERROR((SUMIFS('AEO25 Table 23'!AB:AB,'AEO25 Table 23'!$B:$B,"*"&amp;$A40&amp;"*")-SUMIFS('AEO25 Table 23'!AA:AA,'AEO25 Table 23'!$B:$B,"*"&amp;$A40&amp;"*"))/SUMIFS('AEO25 Table 23'!AA:AA,'AEO25 Table 23'!$B:$B,"*"&amp;$A40&amp;"*"),"")</f>
        <v/>
      </c>
      <c r="Z40" s="29" t="str">
        <f>IFERROR((SUMIFS('AEO25 Table 23'!AC:AC,'AEO25 Table 23'!$B:$B,"*"&amp;$A40&amp;"*")-SUMIFS('AEO25 Table 23'!AB:AB,'AEO25 Table 23'!$B:$B,"*"&amp;$A40&amp;"*"))/SUMIFS('AEO25 Table 23'!AB:AB,'AEO25 Table 23'!$B:$B,"*"&amp;$A40&amp;"*"),"")</f>
        <v/>
      </c>
      <c r="AA40" s="29" t="str">
        <f>IFERROR((SUMIFS('AEO25 Table 23'!AD:AD,'AEO25 Table 23'!$B:$B,"*"&amp;$A40&amp;"*")-SUMIFS('AEO25 Table 23'!AC:AC,'AEO25 Table 23'!$B:$B,"*"&amp;$A40&amp;"*"))/SUMIFS('AEO25 Table 23'!AC:AC,'AEO25 Table 23'!$B:$B,"*"&amp;$A40&amp;"*"),"")</f>
        <v/>
      </c>
      <c r="AB40" s="29" t="str">
        <f>IFERROR((SUMIFS('AEO25 Table 23'!AE:AE,'AEO25 Table 23'!$B:$B,"*"&amp;$A40&amp;"*")-SUMIFS('AEO25 Table 23'!AD:AD,'AEO25 Table 23'!$B:$B,"*"&amp;$A40&amp;"*"))/SUMIFS('AEO25 Table 23'!AD:AD,'AEO25 Table 23'!$B:$B,"*"&amp;$A40&amp;"*"),"")</f>
        <v/>
      </c>
      <c r="AC40" s="29" t="str">
        <f>IFERROR((SUMIFS('AEO25 Table 23'!AF:AF,'AEO25 Table 23'!$B:$B,"*"&amp;$A40&amp;"*")-SUMIFS('AEO25 Table 23'!AE:AE,'AEO25 Table 23'!$B:$B,"*"&amp;$A40&amp;"*"))/SUMIFS('AEO25 Table 23'!AE:AE,'AEO25 Table 23'!$B:$B,"*"&amp;$A40&amp;"*"),"")</f>
        <v/>
      </c>
      <c r="AD40" s="29" t="str">
        <f>IFERROR((SUMIFS('AEO25 Table 23'!AG:AG,'AEO25 Table 23'!$B:$B,"*"&amp;$A40&amp;"*")-SUMIFS('AEO25 Table 23'!AF:AF,'AEO25 Table 23'!$B:$B,"*"&amp;$A40&amp;"*"))/SUMIFS('AEO25 Table 23'!AF:AF,'AEO25 Table 23'!$B:$B,"*"&amp;$A40&amp;"*"),"")</f>
        <v/>
      </c>
      <c r="AE40" s="29" t="str">
        <f>IFERROR((SUMIFS('AEO25 Table 23'!AH:AH,'AEO25 Table 23'!$B:$B,"*"&amp;$A40&amp;"*")-SUMIFS('AEO25 Table 23'!AG:AG,'AEO25 Table 23'!$B:$B,"*"&amp;$A40&amp;"*"))/SUMIFS('AEO25 Table 23'!AG:AG,'AEO25 Table 23'!$B:$B,"*"&amp;$A40&amp;"*"),"")</f>
        <v/>
      </c>
    </row>
    <row r="41" spans="1:31" x14ac:dyDescent="0.25">
      <c r="A41" s="1" t="s">
        <v>28</v>
      </c>
      <c r="B41" s="13" cm="1">
        <f t="array" ref="B41">IFERROR(SUMPRODUCT(--('BLS Table 2.11'!L:L=$A41),'BLS Table 2.11'!J:J,'BLS Table 2.11'!K:K)/SUMIFS('BLS Table 2.11'!J:J,'BLS Table 2.11'!L:L,$A41)/100,SUMPRODUCT(--('BLS Table 2.11'!M:M=$A41),'BLS Table 2.11'!J:J,'BLS Table 2.11'!K:K)/SUMIFS('BLS Table 2.11'!J:J,'BLS Table 2.11'!M:M,$A41)/100)</f>
        <v>5.0652135576482191E-3</v>
      </c>
      <c r="E41" s="1" t="s">
        <v>28</v>
      </c>
      <c r="F41" s="29" t="str">
        <f>IFERROR((SUMIFS('AEO25 Table 23'!I:I,'AEO25 Table 23'!$B:$B,"*"&amp;$A41&amp;"*")-SUMIFS('AEO25 Table 23'!H:H,'AEO25 Table 23'!$B:$B,"*"&amp;$A41&amp;"*"))/SUMIFS('AEO25 Table 23'!H:H,'AEO25 Table 23'!$B:$B,"*"&amp;$A41&amp;"*"),"")</f>
        <v/>
      </c>
      <c r="G41" s="29" t="str">
        <f>IFERROR((SUMIFS('AEO25 Table 23'!J:J,'AEO25 Table 23'!$B:$B,"*"&amp;$A41&amp;"*")-SUMIFS('AEO25 Table 23'!I:I,'AEO25 Table 23'!$B:$B,"*"&amp;$A41&amp;"*"))/SUMIFS('AEO25 Table 23'!I:I,'AEO25 Table 23'!$B:$B,"*"&amp;$A41&amp;"*"),"")</f>
        <v/>
      </c>
      <c r="H41" s="29" t="str">
        <f>IFERROR((SUMIFS('AEO25 Table 23'!K:K,'AEO25 Table 23'!$B:$B,"*"&amp;$A41&amp;"*")-SUMIFS('AEO25 Table 23'!J:J,'AEO25 Table 23'!$B:$B,"*"&amp;$A41&amp;"*"))/SUMIFS('AEO25 Table 23'!J:J,'AEO25 Table 23'!$B:$B,"*"&amp;$A41&amp;"*"),"")</f>
        <v/>
      </c>
      <c r="I41" s="29" t="str">
        <f>IFERROR((SUMIFS('AEO25 Table 23'!L:L,'AEO25 Table 23'!$B:$B,"*"&amp;$A41&amp;"*")-SUMIFS('AEO25 Table 23'!K:K,'AEO25 Table 23'!$B:$B,"*"&amp;$A41&amp;"*"))/SUMIFS('AEO25 Table 23'!K:K,'AEO25 Table 23'!$B:$B,"*"&amp;$A41&amp;"*"),"")</f>
        <v/>
      </c>
      <c r="J41" s="29" t="str">
        <f>IFERROR((SUMIFS('AEO25 Table 23'!M:M,'AEO25 Table 23'!$B:$B,"*"&amp;$A41&amp;"*")-SUMIFS('AEO25 Table 23'!L:L,'AEO25 Table 23'!$B:$B,"*"&amp;$A41&amp;"*"))/SUMIFS('AEO25 Table 23'!L:L,'AEO25 Table 23'!$B:$B,"*"&amp;$A41&amp;"*"),"")</f>
        <v/>
      </c>
      <c r="K41" s="29" t="str">
        <f>IFERROR((SUMIFS('AEO25 Table 23'!N:N,'AEO25 Table 23'!$B:$B,"*"&amp;$A41&amp;"*")-SUMIFS('AEO25 Table 23'!M:M,'AEO25 Table 23'!$B:$B,"*"&amp;$A41&amp;"*"))/SUMIFS('AEO25 Table 23'!M:M,'AEO25 Table 23'!$B:$B,"*"&amp;$A41&amp;"*"),"")</f>
        <v/>
      </c>
      <c r="L41" s="29" t="str">
        <f>IFERROR((SUMIFS('AEO25 Table 23'!O:O,'AEO25 Table 23'!$B:$B,"*"&amp;$A41&amp;"*")-SUMIFS('AEO25 Table 23'!N:N,'AEO25 Table 23'!$B:$B,"*"&amp;$A41&amp;"*"))/SUMIFS('AEO25 Table 23'!N:N,'AEO25 Table 23'!$B:$B,"*"&amp;$A41&amp;"*"),"")</f>
        <v/>
      </c>
      <c r="M41" s="29" t="str">
        <f>IFERROR((SUMIFS('AEO25 Table 23'!P:P,'AEO25 Table 23'!$B:$B,"*"&amp;$A41&amp;"*")-SUMIFS('AEO25 Table 23'!O:O,'AEO25 Table 23'!$B:$B,"*"&amp;$A41&amp;"*"))/SUMIFS('AEO25 Table 23'!O:O,'AEO25 Table 23'!$B:$B,"*"&amp;$A41&amp;"*"),"")</f>
        <v/>
      </c>
      <c r="N41" s="29" t="str">
        <f>IFERROR((SUMIFS('AEO25 Table 23'!Q:Q,'AEO25 Table 23'!$B:$B,"*"&amp;$A41&amp;"*")-SUMIFS('AEO25 Table 23'!P:P,'AEO25 Table 23'!$B:$B,"*"&amp;$A41&amp;"*"))/SUMIFS('AEO25 Table 23'!P:P,'AEO25 Table 23'!$B:$B,"*"&amp;$A41&amp;"*"),"")</f>
        <v/>
      </c>
      <c r="O41" s="29" t="str">
        <f>IFERROR((SUMIFS('AEO25 Table 23'!R:R,'AEO25 Table 23'!$B:$B,"*"&amp;$A41&amp;"*")-SUMIFS('AEO25 Table 23'!Q:Q,'AEO25 Table 23'!$B:$B,"*"&amp;$A41&amp;"*"))/SUMIFS('AEO25 Table 23'!Q:Q,'AEO25 Table 23'!$B:$B,"*"&amp;$A41&amp;"*"),"")</f>
        <v/>
      </c>
      <c r="P41" s="29" t="str">
        <f>IFERROR((SUMIFS('AEO25 Table 23'!S:S,'AEO25 Table 23'!$B:$B,"*"&amp;$A41&amp;"*")-SUMIFS('AEO25 Table 23'!R:R,'AEO25 Table 23'!$B:$B,"*"&amp;$A41&amp;"*"))/SUMIFS('AEO25 Table 23'!R:R,'AEO25 Table 23'!$B:$B,"*"&amp;$A41&amp;"*"),"")</f>
        <v/>
      </c>
      <c r="Q41" s="29" t="str">
        <f>IFERROR((SUMIFS('AEO25 Table 23'!T:T,'AEO25 Table 23'!$B:$B,"*"&amp;$A41&amp;"*")-SUMIFS('AEO25 Table 23'!S:S,'AEO25 Table 23'!$B:$B,"*"&amp;$A41&amp;"*"))/SUMIFS('AEO25 Table 23'!S:S,'AEO25 Table 23'!$B:$B,"*"&amp;$A41&amp;"*"),"")</f>
        <v/>
      </c>
      <c r="R41" s="29" t="str">
        <f>IFERROR((SUMIFS('AEO25 Table 23'!U:U,'AEO25 Table 23'!$B:$B,"*"&amp;$A41&amp;"*")-SUMIFS('AEO25 Table 23'!T:T,'AEO25 Table 23'!$B:$B,"*"&amp;$A41&amp;"*"))/SUMIFS('AEO25 Table 23'!T:T,'AEO25 Table 23'!$B:$B,"*"&amp;$A41&amp;"*"),"")</f>
        <v/>
      </c>
      <c r="S41" s="29" t="str">
        <f>IFERROR((SUMIFS('AEO25 Table 23'!V:V,'AEO25 Table 23'!$B:$B,"*"&amp;$A41&amp;"*")-SUMIFS('AEO25 Table 23'!U:U,'AEO25 Table 23'!$B:$B,"*"&amp;$A41&amp;"*"))/SUMIFS('AEO25 Table 23'!U:U,'AEO25 Table 23'!$B:$B,"*"&amp;$A41&amp;"*"),"")</f>
        <v/>
      </c>
      <c r="T41" s="29" t="str">
        <f>IFERROR((SUMIFS('AEO25 Table 23'!W:W,'AEO25 Table 23'!$B:$B,"*"&amp;$A41&amp;"*")-SUMIFS('AEO25 Table 23'!V:V,'AEO25 Table 23'!$B:$B,"*"&amp;$A41&amp;"*"))/SUMIFS('AEO25 Table 23'!V:V,'AEO25 Table 23'!$B:$B,"*"&amp;$A41&amp;"*"),"")</f>
        <v/>
      </c>
      <c r="U41" s="29" t="str">
        <f>IFERROR((SUMIFS('AEO25 Table 23'!X:X,'AEO25 Table 23'!$B:$B,"*"&amp;$A41&amp;"*")-SUMIFS('AEO25 Table 23'!W:W,'AEO25 Table 23'!$B:$B,"*"&amp;$A41&amp;"*"))/SUMIFS('AEO25 Table 23'!W:W,'AEO25 Table 23'!$B:$B,"*"&amp;$A41&amp;"*"),"")</f>
        <v/>
      </c>
      <c r="V41" s="29" t="str">
        <f>IFERROR((SUMIFS('AEO25 Table 23'!Y:Y,'AEO25 Table 23'!$B:$B,"*"&amp;$A41&amp;"*")-SUMIFS('AEO25 Table 23'!X:X,'AEO25 Table 23'!$B:$B,"*"&amp;$A41&amp;"*"))/SUMIFS('AEO25 Table 23'!X:X,'AEO25 Table 23'!$B:$B,"*"&amp;$A41&amp;"*"),"")</f>
        <v/>
      </c>
      <c r="W41" s="29" t="str">
        <f>IFERROR((SUMIFS('AEO25 Table 23'!Z:Z,'AEO25 Table 23'!$B:$B,"*"&amp;$A41&amp;"*")-SUMIFS('AEO25 Table 23'!Y:Y,'AEO25 Table 23'!$B:$B,"*"&amp;$A41&amp;"*"))/SUMIFS('AEO25 Table 23'!Y:Y,'AEO25 Table 23'!$B:$B,"*"&amp;$A41&amp;"*"),"")</f>
        <v/>
      </c>
      <c r="X41" s="29" t="str">
        <f>IFERROR((SUMIFS('AEO25 Table 23'!AA:AA,'AEO25 Table 23'!$B:$B,"*"&amp;$A41&amp;"*")-SUMIFS('AEO25 Table 23'!Z:Z,'AEO25 Table 23'!$B:$B,"*"&amp;$A41&amp;"*"))/SUMIFS('AEO25 Table 23'!Z:Z,'AEO25 Table 23'!$B:$B,"*"&amp;$A41&amp;"*"),"")</f>
        <v/>
      </c>
      <c r="Y41" s="29" t="str">
        <f>IFERROR((SUMIFS('AEO25 Table 23'!AB:AB,'AEO25 Table 23'!$B:$B,"*"&amp;$A41&amp;"*")-SUMIFS('AEO25 Table 23'!AA:AA,'AEO25 Table 23'!$B:$B,"*"&amp;$A41&amp;"*"))/SUMIFS('AEO25 Table 23'!AA:AA,'AEO25 Table 23'!$B:$B,"*"&amp;$A41&amp;"*"),"")</f>
        <v/>
      </c>
      <c r="Z41" s="29" t="str">
        <f>IFERROR((SUMIFS('AEO25 Table 23'!AC:AC,'AEO25 Table 23'!$B:$B,"*"&amp;$A41&amp;"*")-SUMIFS('AEO25 Table 23'!AB:AB,'AEO25 Table 23'!$B:$B,"*"&amp;$A41&amp;"*"))/SUMIFS('AEO25 Table 23'!AB:AB,'AEO25 Table 23'!$B:$B,"*"&amp;$A41&amp;"*"),"")</f>
        <v/>
      </c>
      <c r="AA41" s="29" t="str">
        <f>IFERROR((SUMIFS('AEO25 Table 23'!AD:AD,'AEO25 Table 23'!$B:$B,"*"&amp;$A41&amp;"*")-SUMIFS('AEO25 Table 23'!AC:AC,'AEO25 Table 23'!$B:$B,"*"&amp;$A41&amp;"*"))/SUMIFS('AEO25 Table 23'!AC:AC,'AEO25 Table 23'!$B:$B,"*"&amp;$A41&amp;"*"),"")</f>
        <v/>
      </c>
      <c r="AB41" s="29" t="str">
        <f>IFERROR((SUMIFS('AEO25 Table 23'!AE:AE,'AEO25 Table 23'!$B:$B,"*"&amp;$A41&amp;"*")-SUMIFS('AEO25 Table 23'!AD:AD,'AEO25 Table 23'!$B:$B,"*"&amp;$A41&amp;"*"))/SUMIFS('AEO25 Table 23'!AD:AD,'AEO25 Table 23'!$B:$B,"*"&amp;$A41&amp;"*"),"")</f>
        <v/>
      </c>
      <c r="AC41" s="29" t="str">
        <f>IFERROR((SUMIFS('AEO25 Table 23'!AF:AF,'AEO25 Table 23'!$B:$B,"*"&amp;$A41&amp;"*")-SUMIFS('AEO25 Table 23'!AE:AE,'AEO25 Table 23'!$B:$B,"*"&amp;$A41&amp;"*"))/SUMIFS('AEO25 Table 23'!AE:AE,'AEO25 Table 23'!$B:$B,"*"&amp;$A41&amp;"*"),"")</f>
        <v/>
      </c>
      <c r="AD41" s="29" t="str">
        <f>IFERROR((SUMIFS('AEO25 Table 23'!AG:AG,'AEO25 Table 23'!$B:$B,"*"&amp;$A41&amp;"*")-SUMIFS('AEO25 Table 23'!AF:AF,'AEO25 Table 23'!$B:$B,"*"&amp;$A41&amp;"*"))/SUMIFS('AEO25 Table 23'!AF:AF,'AEO25 Table 23'!$B:$B,"*"&amp;$A41&amp;"*"),"")</f>
        <v/>
      </c>
      <c r="AE41" s="29" t="str">
        <f>IFERROR((SUMIFS('AEO25 Table 23'!AH:AH,'AEO25 Table 23'!$B:$B,"*"&amp;$A41&amp;"*")-SUMIFS('AEO25 Table 23'!AG:AG,'AEO25 Table 23'!$B:$B,"*"&amp;$A41&amp;"*"))/SUMIFS('AEO25 Table 23'!AG:AG,'AEO25 Table 23'!$B:$B,"*"&amp;$A41&amp;"*"),"")</f>
        <v/>
      </c>
    </row>
    <row r="42" spans="1:31" x14ac:dyDescent="0.25">
      <c r="A42" s="1" t="s">
        <v>29</v>
      </c>
      <c r="B42" s="13" cm="1">
        <f t="array" ref="B42">IFERROR(SUMPRODUCT(--('BLS Table 2.11'!L:L=$A42),'BLS Table 2.11'!J:J,'BLS Table 2.11'!K:K)/SUMIFS('BLS Table 2.11'!J:J,'BLS Table 2.11'!L:L,$A42)/100,SUMPRODUCT(--('BLS Table 2.11'!M:M=$A42),'BLS Table 2.11'!J:J,'BLS Table 2.11'!K:K)/SUMIFS('BLS Table 2.11'!J:J,'BLS Table 2.11'!M:M,$A42)/100)</f>
        <v>4.7258152010125967E-3</v>
      </c>
      <c r="E42" s="1" t="s">
        <v>29</v>
      </c>
      <c r="F42" s="29" t="str">
        <f>IFERROR((SUMIFS('AEO25 Table 23'!I:I,'AEO25 Table 23'!$B:$B,"*"&amp;$A42&amp;"*")-SUMIFS('AEO25 Table 23'!H:H,'AEO25 Table 23'!$B:$B,"*"&amp;$A42&amp;"*"))/SUMIFS('AEO25 Table 23'!H:H,'AEO25 Table 23'!$B:$B,"*"&amp;$A42&amp;"*"),"")</f>
        <v/>
      </c>
      <c r="G42" s="29" t="str">
        <f>IFERROR((SUMIFS('AEO25 Table 23'!J:J,'AEO25 Table 23'!$B:$B,"*"&amp;$A42&amp;"*")-SUMIFS('AEO25 Table 23'!I:I,'AEO25 Table 23'!$B:$B,"*"&amp;$A42&amp;"*"))/SUMIFS('AEO25 Table 23'!I:I,'AEO25 Table 23'!$B:$B,"*"&amp;$A42&amp;"*"),"")</f>
        <v/>
      </c>
      <c r="H42" s="29" t="str">
        <f>IFERROR((SUMIFS('AEO25 Table 23'!K:K,'AEO25 Table 23'!$B:$B,"*"&amp;$A42&amp;"*")-SUMIFS('AEO25 Table 23'!J:J,'AEO25 Table 23'!$B:$B,"*"&amp;$A42&amp;"*"))/SUMIFS('AEO25 Table 23'!J:J,'AEO25 Table 23'!$B:$B,"*"&amp;$A42&amp;"*"),"")</f>
        <v/>
      </c>
      <c r="I42" s="29" t="str">
        <f>IFERROR((SUMIFS('AEO25 Table 23'!L:L,'AEO25 Table 23'!$B:$B,"*"&amp;$A42&amp;"*")-SUMIFS('AEO25 Table 23'!K:K,'AEO25 Table 23'!$B:$B,"*"&amp;$A42&amp;"*"))/SUMIFS('AEO25 Table 23'!K:K,'AEO25 Table 23'!$B:$B,"*"&amp;$A42&amp;"*"),"")</f>
        <v/>
      </c>
      <c r="J42" s="29" t="str">
        <f>IFERROR((SUMIFS('AEO25 Table 23'!M:M,'AEO25 Table 23'!$B:$B,"*"&amp;$A42&amp;"*")-SUMIFS('AEO25 Table 23'!L:L,'AEO25 Table 23'!$B:$B,"*"&amp;$A42&amp;"*"))/SUMIFS('AEO25 Table 23'!L:L,'AEO25 Table 23'!$B:$B,"*"&amp;$A42&amp;"*"),"")</f>
        <v/>
      </c>
      <c r="K42" s="29" t="str">
        <f>IFERROR((SUMIFS('AEO25 Table 23'!N:N,'AEO25 Table 23'!$B:$B,"*"&amp;$A42&amp;"*")-SUMIFS('AEO25 Table 23'!M:M,'AEO25 Table 23'!$B:$B,"*"&amp;$A42&amp;"*"))/SUMIFS('AEO25 Table 23'!M:M,'AEO25 Table 23'!$B:$B,"*"&amp;$A42&amp;"*"),"")</f>
        <v/>
      </c>
      <c r="L42" s="29" t="str">
        <f>IFERROR((SUMIFS('AEO25 Table 23'!O:O,'AEO25 Table 23'!$B:$B,"*"&amp;$A42&amp;"*")-SUMIFS('AEO25 Table 23'!N:N,'AEO25 Table 23'!$B:$B,"*"&amp;$A42&amp;"*"))/SUMIFS('AEO25 Table 23'!N:N,'AEO25 Table 23'!$B:$B,"*"&amp;$A42&amp;"*"),"")</f>
        <v/>
      </c>
      <c r="M42" s="29" t="str">
        <f>IFERROR((SUMIFS('AEO25 Table 23'!P:P,'AEO25 Table 23'!$B:$B,"*"&amp;$A42&amp;"*")-SUMIFS('AEO25 Table 23'!O:O,'AEO25 Table 23'!$B:$B,"*"&amp;$A42&amp;"*"))/SUMIFS('AEO25 Table 23'!O:O,'AEO25 Table 23'!$B:$B,"*"&amp;$A42&amp;"*"),"")</f>
        <v/>
      </c>
      <c r="N42" s="29" t="str">
        <f>IFERROR((SUMIFS('AEO25 Table 23'!Q:Q,'AEO25 Table 23'!$B:$B,"*"&amp;$A42&amp;"*")-SUMIFS('AEO25 Table 23'!P:P,'AEO25 Table 23'!$B:$B,"*"&amp;$A42&amp;"*"))/SUMIFS('AEO25 Table 23'!P:P,'AEO25 Table 23'!$B:$B,"*"&amp;$A42&amp;"*"),"")</f>
        <v/>
      </c>
      <c r="O42" s="29" t="str">
        <f>IFERROR((SUMIFS('AEO25 Table 23'!R:R,'AEO25 Table 23'!$B:$B,"*"&amp;$A42&amp;"*")-SUMIFS('AEO25 Table 23'!Q:Q,'AEO25 Table 23'!$B:$B,"*"&amp;$A42&amp;"*"))/SUMIFS('AEO25 Table 23'!Q:Q,'AEO25 Table 23'!$B:$B,"*"&amp;$A42&amp;"*"),"")</f>
        <v/>
      </c>
      <c r="P42" s="29" t="str">
        <f>IFERROR((SUMIFS('AEO25 Table 23'!S:S,'AEO25 Table 23'!$B:$B,"*"&amp;$A42&amp;"*")-SUMIFS('AEO25 Table 23'!R:R,'AEO25 Table 23'!$B:$B,"*"&amp;$A42&amp;"*"))/SUMIFS('AEO25 Table 23'!R:R,'AEO25 Table 23'!$B:$B,"*"&amp;$A42&amp;"*"),"")</f>
        <v/>
      </c>
      <c r="Q42" s="29" t="str">
        <f>IFERROR((SUMIFS('AEO25 Table 23'!T:T,'AEO25 Table 23'!$B:$B,"*"&amp;$A42&amp;"*")-SUMIFS('AEO25 Table 23'!S:S,'AEO25 Table 23'!$B:$B,"*"&amp;$A42&amp;"*"))/SUMIFS('AEO25 Table 23'!S:S,'AEO25 Table 23'!$B:$B,"*"&amp;$A42&amp;"*"),"")</f>
        <v/>
      </c>
      <c r="R42" s="29" t="str">
        <f>IFERROR((SUMIFS('AEO25 Table 23'!U:U,'AEO25 Table 23'!$B:$B,"*"&amp;$A42&amp;"*")-SUMIFS('AEO25 Table 23'!T:T,'AEO25 Table 23'!$B:$B,"*"&amp;$A42&amp;"*"))/SUMIFS('AEO25 Table 23'!T:T,'AEO25 Table 23'!$B:$B,"*"&amp;$A42&amp;"*"),"")</f>
        <v/>
      </c>
      <c r="S42" s="29" t="str">
        <f>IFERROR((SUMIFS('AEO25 Table 23'!V:V,'AEO25 Table 23'!$B:$B,"*"&amp;$A42&amp;"*")-SUMIFS('AEO25 Table 23'!U:U,'AEO25 Table 23'!$B:$B,"*"&amp;$A42&amp;"*"))/SUMIFS('AEO25 Table 23'!U:U,'AEO25 Table 23'!$B:$B,"*"&amp;$A42&amp;"*"),"")</f>
        <v/>
      </c>
      <c r="T42" s="29" t="str">
        <f>IFERROR((SUMIFS('AEO25 Table 23'!W:W,'AEO25 Table 23'!$B:$B,"*"&amp;$A42&amp;"*")-SUMIFS('AEO25 Table 23'!V:V,'AEO25 Table 23'!$B:$B,"*"&amp;$A42&amp;"*"))/SUMIFS('AEO25 Table 23'!V:V,'AEO25 Table 23'!$B:$B,"*"&amp;$A42&amp;"*"),"")</f>
        <v/>
      </c>
      <c r="U42" s="29" t="str">
        <f>IFERROR((SUMIFS('AEO25 Table 23'!X:X,'AEO25 Table 23'!$B:$B,"*"&amp;$A42&amp;"*")-SUMIFS('AEO25 Table 23'!W:W,'AEO25 Table 23'!$B:$B,"*"&amp;$A42&amp;"*"))/SUMIFS('AEO25 Table 23'!W:W,'AEO25 Table 23'!$B:$B,"*"&amp;$A42&amp;"*"),"")</f>
        <v/>
      </c>
      <c r="V42" s="29" t="str">
        <f>IFERROR((SUMIFS('AEO25 Table 23'!Y:Y,'AEO25 Table 23'!$B:$B,"*"&amp;$A42&amp;"*")-SUMIFS('AEO25 Table 23'!X:X,'AEO25 Table 23'!$B:$B,"*"&amp;$A42&amp;"*"))/SUMIFS('AEO25 Table 23'!X:X,'AEO25 Table 23'!$B:$B,"*"&amp;$A42&amp;"*"),"")</f>
        <v/>
      </c>
      <c r="W42" s="29" t="str">
        <f>IFERROR((SUMIFS('AEO25 Table 23'!Z:Z,'AEO25 Table 23'!$B:$B,"*"&amp;$A42&amp;"*")-SUMIFS('AEO25 Table 23'!Y:Y,'AEO25 Table 23'!$B:$B,"*"&amp;$A42&amp;"*"))/SUMIFS('AEO25 Table 23'!Y:Y,'AEO25 Table 23'!$B:$B,"*"&amp;$A42&amp;"*"),"")</f>
        <v/>
      </c>
      <c r="X42" s="29" t="str">
        <f>IFERROR((SUMIFS('AEO25 Table 23'!AA:AA,'AEO25 Table 23'!$B:$B,"*"&amp;$A42&amp;"*")-SUMIFS('AEO25 Table 23'!Z:Z,'AEO25 Table 23'!$B:$B,"*"&amp;$A42&amp;"*"))/SUMIFS('AEO25 Table 23'!Z:Z,'AEO25 Table 23'!$B:$B,"*"&amp;$A42&amp;"*"),"")</f>
        <v/>
      </c>
      <c r="Y42" s="29" t="str">
        <f>IFERROR((SUMIFS('AEO25 Table 23'!AB:AB,'AEO25 Table 23'!$B:$B,"*"&amp;$A42&amp;"*")-SUMIFS('AEO25 Table 23'!AA:AA,'AEO25 Table 23'!$B:$B,"*"&amp;$A42&amp;"*"))/SUMIFS('AEO25 Table 23'!AA:AA,'AEO25 Table 23'!$B:$B,"*"&amp;$A42&amp;"*"),"")</f>
        <v/>
      </c>
      <c r="Z42" s="29" t="str">
        <f>IFERROR((SUMIFS('AEO25 Table 23'!AC:AC,'AEO25 Table 23'!$B:$B,"*"&amp;$A42&amp;"*")-SUMIFS('AEO25 Table 23'!AB:AB,'AEO25 Table 23'!$B:$B,"*"&amp;$A42&amp;"*"))/SUMIFS('AEO25 Table 23'!AB:AB,'AEO25 Table 23'!$B:$B,"*"&amp;$A42&amp;"*"),"")</f>
        <v/>
      </c>
      <c r="AA42" s="29" t="str">
        <f>IFERROR((SUMIFS('AEO25 Table 23'!AD:AD,'AEO25 Table 23'!$B:$B,"*"&amp;$A42&amp;"*")-SUMIFS('AEO25 Table 23'!AC:AC,'AEO25 Table 23'!$B:$B,"*"&amp;$A42&amp;"*"))/SUMIFS('AEO25 Table 23'!AC:AC,'AEO25 Table 23'!$B:$B,"*"&amp;$A42&amp;"*"),"")</f>
        <v/>
      </c>
      <c r="AB42" s="29" t="str">
        <f>IFERROR((SUMIFS('AEO25 Table 23'!AE:AE,'AEO25 Table 23'!$B:$B,"*"&amp;$A42&amp;"*")-SUMIFS('AEO25 Table 23'!AD:AD,'AEO25 Table 23'!$B:$B,"*"&amp;$A42&amp;"*"))/SUMIFS('AEO25 Table 23'!AD:AD,'AEO25 Table 23'!$B:$B,"*"&amp;$A42&amp;"*"),"")</f>
        <v/>
      </c>
      <c r="AC42" s="29" t="str">
        <f>IFERROR((SUMIFS('AEO25 Table 23'!AF:AF,'AEO25 Table 23'!$B:$B,"*"&amp;$A42&amp;"*")-SUMIFS('AEO25 Table 23'!AE:AE,'AEO25 Table 23'!$B:$B,"*"&amp;$A42&amp;"*"))/SUMIFS('AEO25 Table 23'!AE:AE,'AEO25 Table 23'!$B:$B,"*"&amp;$A42&amp;"*"),"")</f>
        <v/>
      </c>
      <c r="AD42" s="29" t="str">
        <f>IFERROR((SUMIFS('AEO25 Table 23'!AG:AG,'AEO25 Table 23'!$B:$B,"*"&amp;$A42&amp;"*")-SUMIFS('AEO25 Table 23'!AF:AF,'AEO25 Table 23'!$B:$B,"*"&amp;$A42&amp;"*"))/SUMIFS('AEO25 Table 23'!AF:AF,'AEO25 Table 23'!$B:$B,"*"&amp;$A42&amp;"*"),"")</f>
        <v/>
      </c>
      <c r="AE42" s="29" t="str">
        <f>IFERROR((SUMIFS('AEO25 Table 23'!AH:AH,'AEO25 Table 23'!$B:$B,"*"&amp;$A42&amp;"*")-SUMIFS('AEO25 Table 23'!AG:AG,'AEO25 Table 23'!$B:$B,"*"&amp;$A42&amp;"*"))/SUMIFS('AEO25 Table 23'!AG:AG,'AEO25 Table 23'!$B:$B,"*"&amp;$A42&amp;"*"),"")</f>
        <v/>
      </c>
    </row>
    <row r="43" spans="1:31" x14ac:dyDescent="0.25">
      <c r="A43" s="1" t="s">
        <v>30</v>
      </c>
      <c r="B43" s="13" cm="1">
        <f t="array" ref="B43">IFERROR(SUMPRODUCT(--('BLS Table 2.11'!L:L=$A43),'BLS Table 2.11'!J:J,'BLS Table 2.11'!K:K)/SUMIFS('BLS Table 2.11'!J:J,'BLS Table 2.11'!L:L,$A43)/100,SUMPRODUCT(--('BLS Table 2.11'!M:M=$A43),'BLS Table 2.11'!J:J,'BLS Table 2.11'!K:K)/SUMIFS('BLS Table 2.11'!J:J,'BLS Table 2.11'!M:M,$A43)/100)</f>
        <v>2.7703373647358368E-2</v>
      </c>
      <c r="E43" s="1" t="s">
        <v>30</v>
      </c>
      <c r="F43" s="29" t="str">
        <f>IFERROR((SUMIFS('AEO25 Table 23'!I:I,'AEO25 Table 23'!$B:$B,"*"&amp;$A43&amp;"*")-SUMIFS('AEO25 Table 23'!H:H,'AEO25 Table 23'!$B:$B,"*"&amp;$A43&amp;"*"))/SUMIFS('AEO25 Table 23'!H:H,'AEO25 Table 23'!$B:$B,"*"&amp;$A43&amp;"*"),"")</f>
        <v/>
      </c>
      <c r="G43" s="29" t="str">
        <f>IFERROR((SUMIFS('AEO25 Table 23'!J:J,'AEO25 Table 23'!$B:$B,"*"&amp;$A43&amp;"*")-SUMIFS('AEO25 Table 23'!I:I,'AEO25 Table 23'!$B:$B,"*"&amp;$A43&amp;"*"))/SUMIFS('AEO25 Table 23'!I:I,'AEO25 Table 23'!$B:$B,"*"&amp;$A43&amp;"*"),"")</f>
        <v/>
      </c>
      <c r="H43" s="29" t="str">
        <f>IFERROR((SUMIFS('AEO25 Table 23'!K:K,'AEO25 Table 23'!$B:$B,"*"&amp;$A43&amp;"*")-SUMIFS('AEO25 Table 23'!J:J,'AEO25 Table 23'!$B:$B,"*"&amp;$A43&amp;"*"))/SUMIFS('AEO25 Table 23'!J:J,'AEO25 Table 23'!$B:$B,"*"&amp;$A43&amp;"*"),"")</f>
        <v/>
      </c>
      <c r="I43" s="29" t="str">
        <f>IFERROR((SUMIFS('AEO25 Table 23'!L:L,'AEO25 Table 23'!$B:$B,"*"&amp;$A43&amp;"*")-SUMIFS('AEO25 Table 23'!K:K,'AEO25 Table 23'!$B:$B,"*"&amp;$A43&amp;"*"))/SUMIFS('AEO25 Table 23'!K:K,'AEO25 Table 23'!$B:$B,"*"&amp;$A43&amp;"*"),"")</f>
        <v/>
      </c>
      <c r="J43" s="29" t="str">
        <f>IFERROR((SUMIFS('AEO25 Table 23'!M:M,'AEO25 Table 23'!$B:$B,"*"&amp;$A43&amp;"*")-SUMIFS('AEO25 Table 23'!L:L,'AEO25 Table 23'!$B:$B,"*"&amp;$A43&amp;"*"))/SUMIFS('AEO25 Table 23'!L:L,'AEO25 Table 23'!$B:$B,"*"&amp;$A43&amp;"*"),"")</f>
        <v/>
      </c>
      <c r="K43" s="29" t="str">
        <f>IFERROR((SUMIFS('AEO25 Table 23'!N:N,'AEO25 Table 23'!$B:$B,"*"&amp;$A43&amp;"*")-SUMIFS('AEO25 Table 23'!M:M,'AEO25 Table 23'!$B:$B,"*"&amp;$A43&amp;"*"))/SUMIFS('AEO25 Table 23'!M:M,'AEO25 Table 23'!$B:$B,"*"&amp;$A43&amp;"*"),"")</f>
        <v/>
      </c>
      <c r="L43" s="29" t="str">
        <f>IFERROR((SUMIFS('AEO25 Table 23'!O:O,'AEO25 Table 23'!$B:$B,"*"&amp;$A43&amp;"*")-SUMIFS('AEO25 Table 23'!N:N,'AEO25 Table 23'!$B:$B,"*"&amp;$A43&amp;"*"))/SUMIFS('AEO25 Table 23'!N:N,'AEO25 Table 23'!$B:$B,"*"&amp;$A43&amp;"*"),"")</f>
        <v/>
      </c>
      <c r="M43" s="29" t="str">
        <f>IFERROR((SUMIFS('AEO25 Table 23'!P:P,'AEO25 Table 23'!$B:$B,"*"&amp;$A43&amp;"*")-SUMIFS('AEO25 Table 23'!O:O,'AEO25 Table 23'!$B:$B,"*"&amp;$A43&amp;"*"))/SUMIFS('AEO25 Table 23'!O:O,'AEO25 Table 23'!$B:$B,"*"&amp;$A43&amp;"*"),"")</f>
        <v/>
      </c>
      <c r="N43" s="29" t="str">
        <f>IFERROR((SUMIFS('AEO25 Table 23'!Q:Q,'AEO25 Table 23'!$B:$B,"*"&amp;$A43&amp;"*")-SUMIFS('AEO25 Table 23'!P:P,'AEO25 Table 23'!$B:$B,"*"&amp;$A43&amp;"*"))/SUMIFS('AEO25 Table 23'!P:P,'AEO25 Table 23'!$B:$B,"*"&amp;$A43&amp;"*"),"")</f>
        <v/>
      </c>
      <c r="O43" s="29" t="str">
        <f>IFERROR((SUMIFS('AEO25 Table 23'!R:R,'AEO25 Table 23'!$B:$B,"*"&amp;$A43&amp;"*")-SUMIFS('AEO25 Table 23'!Q:Q,'AEO25 Table 23'!$B:$B,"*"&amp;$A43&amp;"*"))/SUMIFS('AEO25 Table 23'!Q:Q,'AEO25 Table 23'!$B:$B,"*"&amp;$A43&amp;"*"),"")</f>
        <v/>
      </c>
      <c r="P43" s="29" t="str">
        <f>IFERROR((SUMIFS('AEO25 Table 23'!S:S,'AEO25 Table 23'!$B:$B,"*"&amp;$A43&amp;"*")-SUMIFS('AEO25 Table 23'!R:R,'AEO25 Table 23'!$B:$B,"*"&amp;$A43&amp;"*"))/SUMIFS('AEO25 Table 23'!R:R,'AEO25 Table 23'!$B:$B,"*"&amp;$A43&amp;"*"),"")</f>
        <v/>
      </c>
      <c r="Q43" s="29" t="str">
        <f>IFERROR((SUMIFS('AEO25 Table 23'!T:T,'AEO25 Table 23'!$B:$B,"*"&amp;$A43&amp;"*")-SUMIFS('AEO25 Table 23'!S:S,'AEO25 Table 23'!$B:$B,"*"&amp;$A43&amp;"*"))/SUMIFS('AEO25 Table 23'!S:S,'AEO25 Table 23'!$B:$B,"*"&amp;$A43&amp;"*"),"")</f>
        <v/>
      </c>
      <c r="R43" s="29" t="str">
        <f>IFERROR((SUMIFS('AEO25 Table 23'!U:U,'AEO25 Table 23'!$B:$B,"*"&amp;$A43&amp;"*")-SUMIFS('AEO25 Table 23'!T:T,'AEO25 Table 23'!$B:$B,"*"&amp;$A43&amp;"*"))/SUMIFS('AEO25 Table 23'!T:T,'AEO25 Table 23'!$B:$B,"*"&amp;$A43&amp;"*"),"")</f>
        <v/>
      </c>
      <c r="S43" s="29" t="str">
        <f>IFERROR((SUMIFS('AEO25 Table 23'!V:V,'AEO25 Table 23'!$B:$B,"*"&amp;$A43&amp;"*")-SUMIFS('AEO25 Table 23'!U:U,'AEO25 Table 23'!$B:$B,"*"&amp;$A43&amp;"*"))/SUMIFS('AEO25 Table 23'!U:U,'AEO25 Table 23'!$B:$B,"*"&amp;$A43&amp;"*"),"")</f>
        <v/>
      </c>
      <c r="T43" s="29" t="str">
        <f>IFERROR((SUMIFS('AEO25 Table 23'!W:W,'AEO25 Table 23'!$B:$B,"*"&amp;$A43&amp;"*")-SUMIFS('AEO25 Table 23'!V:V,'AEO25 Table 23'!$B:$B,"*"&amp;$A43&amp;"*"))/SUMIFS('AEO25 Table 23'!V:V,'AEO25 Table 23'!$B:$B,"*"&amp;$A43&amp;"*"),"")</f>
        <v/>
      </c>
      <c r="U43" s="29" t="str">
        <f>IFERROR((SUMIFS('AEO25 Table 23'!X:X,'AEO25 Table 23'!$B:$B,"*"&amp;$A43&amp;"*")-SUMIFS('AEO25 Table 23'!W:W,'AEO25 Table 23'!$B:$B,"*"&amp;$A43&amp;"*"))/SUMIFS('AEO25 Table 23'!W:W,'AEO25 Table 23'!$B:$B,"*"&amp;$A43&amp;"*"),"")</f>
        <v/>
      </c>
      <c r="V43" s="29" t="str">
        <f>IFERROR((SUMIFS('AEO25 Table 23'!Y:Y,'AEO25 Table 23'!$B:$B,"*"&amp;$A43&amp;"*")-SUMIFS('AEO25 Table 23'!X:X,'AEO25 Table 23'!$B:$B,"*"&amp;$A43&amp;"*"))/SUMIFS('AEO25 Table 23'!X:X,'AEO25 Table 23'!$B:$B,"*"&amp;$A43&amp;"*"),"")</f>
        <v/>
      </c>
      <c r="W43" s="29" t="str">
        <f>IFERROR((SUMIFS('AEO25 Table 23'!Z:Z,'AEO25 Table 23'!$B:$B,"*"&amp;$A43&amp;"*")-SUMIFS('AEO25 Table 23'!Y:Y,'AEO25 Table 23'!$B:$B,"*"&amp;$A43&amp;"*"))/SUMIFS('AEO25 Table 23'!Y:Y,'AEO25 Table 23'!$B:$B,"*"&amp;$A43&amp;"*"),"")</f>
        <v/>
      </c>
      <c r="X43" s="29" t="str">
        <f>IFERROR((SUMIFS('AEO25 Table 23'!AA:AA,'AEO25 Table 23'!$B:$B,"*"&amp;$A43&amp;"*")-SUMIFS('AEO25 Table 23'!Z:Z,'AEO25 Table 23'!$B:$B,"*"&amp;$A43&amp;"*"))/SUMIFS('AEO25 Table 23'!Z:Z,'AEO25 Table 23'!$B:$B,"*"&amp;$A43&amp;"*"),"")</f>
        <v/>
      </c>
      <c r="Y43" s="29" t="str">
        <f>IFERROR((SUMIFS('AEO25 Table 23'!AB:AB,'AEO25 Table 23'!$B:$B,"*"&amp;$A43&amp;"*")-SUMIFS('AEO25 Table 23'!AA:AA,'AEO25 Table 23'!$B:$B,"*"&amp;$A43&amp;"*"))/SUMIFS('AEO25 Table 23'!AA:AA,'AEO25 Table 23'!$B:$B,"*"&amp;$A43&amp;"*"),"")</f>
        <v/>
      </c>
      <c r="Z43" s="29" t="str">
        <f>IFERROR((SUMIFS('AEO25 Table 23'!AC:AC,'AEO25 Table 23'!$B:$B,"*"&amp;$A43&amp;"*")-SUMIFS('AEO25 Table 23'!AB:AB,'AEO25 Table 23'!$B:$B,"*"&amp;$A43&amp;"*"))/SUMIFS('AEO25 Table 23'!AB:AB,'AEO25 Table 23'!$B:$B,"*"&amp;$A43&amp;"*"),"")</f>
        <v/>
      </c>
      <c r="AA43" s="29" t="str">
        <f>IFERROR((SUMIFS('AEO25 Table 23'!AD:AD,'AEO25 Table 23'!$B:$B,"*"&amp;$A43&amp;"*")-SUMIFS('AEO25 Table 23'!AC:AC,'AEO25 Table 23'!$B:$B,"*"&amp;$A43&amp;"*"))/SUMIFS('AEO25 Table 23'!AC:AC,'AEO25 Table 23'!$B:$B,"*"&amp;$A43&amp;"*"),"")</f>
        <v/>
      </c>
      <c r="AB43" s="29" t="str">
        <f>IFERROR((SUMIFS('AEO25 Table 23'!AE:AE,'AEO25 Table 23'!$B:$B,"*"&amp;$A43&amp;"*")-SUMIFS('AEO25 Table 23'!AD:AD,'AEO25 Table 23'!$B:$B,"*"&amp;$A43&amp;"*"))/SUMIFS('AEO25 Table 23'!AD:AD,'AEO25 Table 23'!$B:$B,"*"&amp;$A43&amp;"*"),"")</f>
        <v/>
      </c>
      <c r="AC43" s="29" t="str">
        <f>IFERROR((SUMIFS('AEO25 Table 23'!AF:AF,'AEO25 Table 23'!$B:$B,"*"&amp;$A43&amp;"*")-SUMIFS('AEO25 Table 23'!AE:AE,'AEO25 Table 23'!$B:$B,"*"&amp;$A43&amp;"*"))/SUMIFS('AEO25 Table 23'!AE:AE,'AEO25 Table 23'!$B:$B,"*"&amp;$A43&amp;"*"),"")</f>
        <v/>
      </c>
      <c r="AD43" s="29" t="str">
        <f>IFERROR((SUMIFS('AEO25 Table 23'!AG:AG,'AEO25 Table 23'!$B:$B,"*"&amp;$A43&amp;"*")-SUMIFS('AEO25 Table 23'!AF:AF,'AEO25 Table 23'!$B:$B,"*"&amp;$A43&amp;"*"))/SUMIFS('AEO25 Table 23'!AF:AF,'AEO25 Table 23'!$B:$B,"*"&amp;$A43&amp;"*"),"")</f>
        <v/>
      </c>
      <c r="AE43" s="29" t="str">
        <f>IFERROR((SUMIFS('AEO25 Table 23'!AH:AH,'AEO25 Table 23'!$B:$B,"*"&amp;$A43&amp;"*")-SUMIFS('AEO25 Table 23'!AG:AG,'AEO25 Table 23'!$B:$B,"*"&amp;$A43&amp;"*"))/SUMIFS('AEO25 Table 23'!AG:AG,'AEO25 Table 23'!$B:$B,"*"&amp;$A43&amp;"*"),"")</f>
        <v/>
      </c>
    </row>
    <row r="44" spans="1:31" x14ac:dyDescent="0.25">
      <c r="A44" s="1" t="s">
        <v>31</v>
      </c>
      <c r="B44" s="13" cm="1">
        <f t="array" ref="B44">IFERROR(SUMPRODUCT(--('BLS Table 2.11'!L:L=$A44),'BLS Table 2.11'!J:J,'BLS Table 2.11'!K:K)/SUMIFS('BLS Table 2.11'!J:J,'BLS Table 2.11'!L:L,$A44)/100,SUMPRODUCT(--('BLS Table 2.11'!M:M=$A44),'BLS Table 2.11'!J:J,'BLS Table 2.11'!K:K)/SUMIFS('BLS Table 2.11'!J:J,'BLS Table 2.11'!M:M,$A44)/100)</f>
        <v>2.1475195405965864E-2</v>
      </c>
      <c r="E44" s="1" t="s">
        <v>31</v>
      </c>
      <c r="F44" s="29" t="str">
        <f>IFERROR((SUMIFS('AEO25 Table 23'!I:I,'AEO25 Table 23'!$B:$B,"*"&amp;$A44&amp;"*")-SUMIFS('AEO25 Table 23'!H:H,'AEO25 Table 23'!$B:$B,"*"&amp;$A44&amp;"*"))/SUMIFS('AEO25 Table 23'!H:H,'AEO25 Table 23'!$B:$B,"*"&amp;$A44&amp;"*"),"")</f>
        <v/>
      </c>
      <c r="G44" s="29" t="str">
        <f>IFERROR((SUMIFS('AEO25 Table 23'!J:J,'AEO25 Table 23'!$B:$B,"*"&amp;$A44&amp;"*")-SUMIFS('AEO25 Table 23'!I:I,'AEO25 Table 23'!$B:$B,"*"&amp;$A44&amp;"*"))/SUMIFS('AEO25 Table 23'!I:I,'AEO25 Table 23'!$B:$B,"*"&amp;$A44&amp;"*"),"")</f>
        <v/>
      </c>
      <c r="H44" s="29" t="str">
        <f>IFERROR((SUMIFS('AEO25 Table 23'!K:K,'AEO25 Table 23'!$B:$B,"*"&amp;$A44&amp;"*")-SUMIFS('AEO25 Table 23'!J:J,'AEO25 Table 23'!$B:$B,"*"&amp;$A44&amp;"*"))/SUMIFS('AEO25 Table 23'!J:J,'AEO25 Table 23'!$B:$B,"*"&amp;$A44&amp;"*"),"")</f>
        <v/>
      </c>
      <c r="I44" s="29" t="str">
        <f>IFERROR((SUMIFS('AEO25 Table 23'!L:L,'AEO25 Table 23'!$B:$B,"*"&amp;$A44&amp;"*")-SUMIFS('AEO25 Table 23'!K:K,'AEO25 Table 23'!$B:$B,"*"&amp;$A44&amp;"*"))/SUMIFS('AEO25 Table 23'!K:K,'AEO25 Table 23'!$B:$B,"*"&amp;$A44&amp;"*"),"")</f>
        <v/>
      </c>
      <c r="J44" s="29" t="str">
        <f>IFERROR((SUMIFS('AEO25 Table 23'!M:M,'AEO25 Table 23'!$B:$B,"*"&amp;$A44&amp;"*")-SUMIFS('AEO25 Table 23'!L:L,'AEO25 Table 23'!$B:$B,"*"&amp;$A44&amp;"*"))/SUMIFS('AEO25 Table 23'!L:L,'AEO25 Table 23'!$B:$B,"*"&amp;$A44&amp;"*"),"")</f>
        <v/>
      </c>
      <c r="K44" s="29" t="str">
        <f>IFERROR((SUMIFS('AEO25 Table 23'!N:N,'AEO25 Table 23'!$B:$B,"*"&amp;$A44&amp;"*")-SUMIFS('AEO25 Table 23'!M:M,'AEO25 Table 23'!$B:$B,"*"&amp;$A44&amp;"*"))/SUMIFS('AEO25 Table 23'!M:M,'AEO25 Table 23'!$B:$B,"*"&amp;$A44&amp;"*"),"")</f>
        <v/>
      </c>
      <c r="L44" s="29" t="str">
        <f>IFERROR((SUMIFS('AEO25 Table 23'!O:O,'AEO25 Table 23'!$B:$B,"*"&amp;$A44&amp;"*")-SUMIFS('AEO25 Table 23'!N:N,'AEO25 Table 23'!$B:$B,"*"&amp;$A44&amp;"*"))/SUMIFS('AEO25 Table 23'!N:N,'AEO25 Table 23'!$B:$B,"*"&amp;$A44&amp;"*"),"")</f>
        <v/>
      </c>
      <c r="M44" s="29" t="str">
        <f>IFERROR((SUMIFS('AEO25 Table 23'!P:P,'AEO25 Table 23'!$B:$B,"*"&amp;$A44&amp;"*")-SUMIFS('AEO25 Table 23'!O:O,'AEO25 Table 23'!$B:$B,"*"&amp;$A44&amp;"*"))/SUMIFS('AEO25 Table 23'!O:O,'AEO25 Table 23'!$B:$B,"*"&amp;$A44&amp;"*"),"")</f>
        <v/>
      </c>
      <c r="N44" s="29" t="str">
        <f>IFERROR((SUMIFS('AEO25 Table 23'!Q:Q,'AEO25 Table 23'!$B:$B,"*"&amp;$A44&amp;"*")-SUMIFS('AEO25 Table 23'!P:P,'AEO25 Table 23'!$B:$B,"*"&amp;$A44&amp;"*"))/SUMIFS('AEO25 Table 23'!P:P,'AEO25 Table 23'!$B:$B,"*"&amp;$A44&amp;"*"),"")</f>
        <v/>
      </c>
      <c r="O44" s="29" t="str">
        <f>IFERROR((SUMIFS('AEO25 Table 23'!R:R,'AEO25 Table 23'!$B:$B,"*"&amp;$A44&amp;"*")-SUMIFS('AEO25 Table 23'!Q:Q,'AEO25 Table 23'!$B:$B,"*"&amp;$A44&amp;"*"))/SUMIFS('AEO25 Table 23'!Q:Q,'AEO25 Table 23'!$B:$B,"*"&amp;$A44&amp;"*"),"")</f>
        <v/>
      </c>
      <c r="P44" s="29" t="str">
        <f>IFERROR((SUMIFS('AEO25 Table 23'!S:S,'AEO25 Table 23'!$B:$B,"*"&amp;$A44&amp;"*")-SUMIFS('AEO25 Table 23'!R:R,'AEO25 Table 23'!$B:$B,"*"&amp;$A44&amp;"*"))/SUMIFS('AEO25 Table 23'!R:R,'AEO25 Table 23'!$B:$B,"*"&amp;$A44&amp;"*"),"")</f>
        <v/>
      </c>
      <c r="Q44" s="29" t="str">
        <f>IFERROR((SUMIFS('AEO25 Table 23'!T:T,'AEO25 Table 23'!$B:$B,"*"&amp;$A44&amp;"*")-SUMIFS('AEO25 Table 23'!S:S,'AEO25 Table 23'!$B:$B,"*"&amp;$A44&amp;"*"))/SUMIFS('AEO25 Table 23'!S:S,'AEO25 Table 23'!$B:$B,"*"&amp;$A44&amp;"*"),"")</f>
        <v/>
      </c>
      <c r="R44" s="29" t="str">
        <f>IFERROR((SUMIFS('AEO25 Table 23'!U:U,'AEO25 Table 23'!$B:$B,"*"&amp;$A44&amp;"*")-SUMIFS('AEO25 Table 23'!T:T,'AEO25 Table 23'!$B:$B,"*"&amp;$A44&amp;"*"))/SUMIFS('AEO25 Table 23'!T:T,'AEO25 Table 23'!$B:$B,"*"&amp;$A44&amp;"*"),"")</f>
        <v/>
      </c>
      <c r="S44" s="29" t="str">
        <f>IFERROR((SUMIFS('AEO25 Table 23'!V:V,'AEO25 Table 23'!$B:$B,"*"&amp;$A44&amp;"*")-SUMIFS('AEO25 Table 23'!U:U,'AEO25 Table 23'!$B:$B,"*"&amp;$A44&amp;"*"))/SUMIFS('AEO25 Table 23'!U:U,'AEO25 Table 23'!$B:$B,"*"&amp;$A44&amp;"*"),"")</f>
        <v/>
      </c>
      <c r="T44" s="29" t="str">
        <f>IFERROR((SUMIFS('AEO25 Table 23'!W:W,'AEO25 Table 23'!$B:$B,"*"&amp;$A44&amp;"*")-SUMIFS('AEO25 Table 23'!V:V,'AEO25 Table 23'!$B:$B,"*"&amp;$A44&amp;"*"))/SUMIFS('AEO25 Table 23'!V:V,'AEO25 Table 23'!$B:$B,"*"&amp;$A44&amp;"*"),"")</f>
        <v/>
      </c>
      <c r="U44" s="29" t="str">
        <f>IFERROR((SUMIFS('AEO25 Table 23'!X:X,'AEO25 Table 23'!$B:$B,"*"&amp;$A44&amp;"*")-SUMIFS('AEO25 Table 23'!W:W,'AEO25 Table 23'!$B:$B,"*"&amp;$A44&amp;"*"))/SUMIFS('AEO25 Table 23'!W:W,'AEO25 Table 23'!$B:$B,"*"&amp;$A44&amp;"*"),"")</f>
        <v/>
      </c>
      <c r="V44" s="29" t="str">
        <f>IFERROR((SUMIFS('AEO25 Table 23'!Y:Y,'AEO25 Table 23'!$B:$B,"*"&amp;$A44&amp;"*")-SUMIFS('AEO25 Table 23'!X:X,'AEO25 Table 23'!$B:$B,"*"&amp;$A44&amp;"*"))/SUMIFS('AEO25 Table 23'!X:X,'AEO25 Table 23'!$B:$B,"*"&amp;$A44&amp;"*"),"")</f>
        <v/>
      </c>
      <c r="W44" s="29" t="str">
        <f>IFERROR((SUMIFS('AEO25 Table 23'!Z:Z,'AEO25 Table 23'!$B:$B,"*"&amp;$A44&amp;"*")-SUMIFS('AEO25 Table 23'!Y:Y,'AEO25 Table 23'!$B:$B,"*"&amp;$A44&amp;"*"))/SUMIFS('AEO25 Table 23'!Y:Y,'AEO25 Table 23'!$B:$B,"*"&amp;$A44&amp;"*"),"")</f>
        <v/>
      </c>
      <c r="X44" s="29" t="str">
        <f>IFERROR((SUMIFS('AEO25 Table 23'!AA:AA,'AEO25 Table 23'!$B:$B,"*"&amp;$A44&amp;"*")-SUMIFS('AEO25 Table 23'!Z:Z,'AEO25 Table 23'!$B:$B,"*"&amp;$A44&amp;"*"))/SUMIFS('AEO25 Table 23'!Z:Z,'AEO25 Table 23'!$B:$B,"*"&amp;$A44&amp;"*"),"")</f>
        <v/>
      </c>
      <c r="Y44" s="29" t="str">
        <f>IFERROR((SUMIFS('AEO25 Table 23'!AB:AB,'AEO25 Table 23'!$B:$B,"*"&amp;$A44&amp;"*")-SUMIFS('AEO25 Table 23'!AA:AA,'AEO25 Table 23'!$B:$B,"*"&amp;$A44&amp;"*"))/SUMIFS('AEO25 Table 23'!AA:AA,'AEO25 Table 23'!$B:$B,"*"&amp;$A44&amp;"*"),"")</f>
        <v/>
      </c>
      <c r="Z44" s="29" t="str">
        <f>IFERROR((SUMIFS('AEO25 Table 23'!AC:AC,'AEO25 Table 23'!$B:$B,"*"&amp;$A44&amp;"*")-SUMIFS('AEO25 Table 23'!AB:AB,'AEO25 Table 23'!$B:$B,"*"&amp;$A44&amp;"*"))/SUMIFS('AEO25 Table 23'!AB:AB,'AEO25 Table 23'!$B:$B,"*"&amp;$A44&amp;"*"),"")</f>
        <v/>
      </c>
      <c r="AA44" s="29" t="str">
        <f>IFERROR((SUMIFS('AEO25 Table 23'!AD:AD,'AEO25 Table 23'!$B:$B,"*"&amp;$A44&amp;"*")-SUMIFS('AEO25 Table 23'!AC:AC,'AEO25 Table 23'!$B:$B,"*"&amp;$A44&amp;"*"))/SUMIFS('AEO25 Table 23'!AC:AC,'AEO25 Table 23'!$B:$B,"*"&amp;$A44&amp;"*"),"")</f>
        <v/>
      </c>
      <c r="AB44" s="29" t="str">
        <f>IFERROR((SUMIFS('AEO25 Table 23'!AE:AE,'AEO25 Table 23'!$B:$B,"*"&amp;$A44&amp;"*")-SUMIFS('AEO25 Table 23'!AD:AD,'AEO25 Table 23'!$B:$B,"*"&amp;$A44&amp;"*"))/SUMIFS('AEO25 Table 23'!AD:AD,'AEO25 Table 23'!$B:$B,"*"&amp;$A44&amp;"*"),"")</f>
        <v/>
      </c>
      <c r="AC44" s="29" t="str">
        <f>IFERROR((SUMIFS('AEO25 Table 23'!AF:AF,'AEO25 Table 23'!$B:$B,"*"&amp;$A44&amp;"*")-SUMIFS('AEO25 Table 23'!AE:AE,'AEO25 Table 23'!$B:$B,"*"&amp;$A44&amp;"*"))/SUMIFS('AEO25 Table 23'!AE:AE,'AEO25 Table 23'!$B:$B,"*"&amp;$A44&amp;"*"),"")</f>
        <v/>
      </c>
      <c r="AD44" s="29" t="str">
        <f>IFERROR((SUMIFS('AEO25 Table 23'!AG:AG,'AEO25 Table 23'!$B:$B,"*"&amp;$A44&amp;"*")-SUMIFS('AEO25 Table 23'!AF:AF,'AEO25 Table 23'!$B:$B,"*"&amp;$A44&amp;"*"))/SUMIFS('AEO25 Table 23'!AF:AF,'AEO25 Table 23'!$B:$B,"*"&amp;$A44&amp;"*"),"")</f>
        <v/>
      </c>
      <c r="AE44" s="29" t="str">
        <f>IFERROR((SUMIFS('AEO25 Table 23'!AH:AH,'AEO25 Table 23'!$B:$B,"*"&amp;$A44&amp;"*")-SUMIFS('AEO25 Table 23'!AG:AG,'AEO25 Table 23'!$B:$B,"*"&amp;$A44&amp;"*"))/SUMIFS('AEO25 Table 23'!AG:AG,'AEO25 Table 23'!$B:$B,"*"&amp;$A44&amp;"*"),"")</f>
        <v/>
      </c>
    </row>
    <row r="45" spans="1:31" x14ac:dyDescent="0.25">
      <c r="A45" s="1" t="s">
        <v>32</v>
      </c>
      <c r="B45" s="13" cm="1">
        <f t="array" ref="B45">IFERROR(SUMPRODUCT(--('BLS Table 2.11'!L:L=$A45),'BLS Table 2.11'!J:J,'BLS Table 2.11'!K:K)/SUMIFS('BLS Table 2.11'!J:J,'BLS Table 2.11'!L:L,$A45)/100,SUMPRODUCT(--('BLS Table 2.11'!M:M=$A45),'BLS Table 2.11'!J:J,'BLS Table 2.11'!K:K)/SUMIFS('BLS Table 2.11'!J:J,'BLS Table 2.11'!M:M,$A45)/100)</f>
        <v>1.8000000000000002E-2</v>
      </c>
      <c r="E45" s="1" t="s">
        <v>32</v>
      </c>
      <c r="F45" s="29" t="str">
        <f>IFERROR((SUMIFS('AEO25 Table 23'!I:I,'AEO25 Table 23'!$B:$B,"*"&amp;$A45&amp;"*")-SUMIFS('AEO25 Table 23'!H:H,'AEO25 Table 23'!$B:$B,"*"&amp;$A45&amp;"*"))/SUMIFS('AEO25 Table 23'!H:H,'AEO25 Table 23'!$B:$B,"*"&amp;$A45&amp;"*"),"")</f>
        <v/>
      </c>
      <c r="G45" s="29" t="str">
        <f>IFERROR((SUMIFS('AEO25 Table 23'!J:J,'AEO25 Table 23'!$B:$B,"*"&amp;$A45&amp;"*")-SUMIFS('AEO25 Table 23'!I:I,'AEO25 Table 23'!$B:$B,"*"&amp;$A45&amp;"*"))/SUMIFS('AEO25 Table 23'!I:I,'AEO25 Table 23'!$B:$B,"*"&amp;$A45&amp;"*"),"")</f>
        <v/>
      </c>
      <c r="H45" s="29" t="str">
        <f>IFERROR((SUMIFS('AEO25 Table 23'!K:K,'AEO25 Table 23'!$B:$B,"*"&amp;$A45&amp;"*")-SUMIFS('AEO25 Table 23'!J:J,'AEO25 Table 23'!$B:$B,"*"&amp;$A45&amp;"*"))/SUMIFS('AEO25 Table 23'!J:J,'AEO25 Table 23'!$B:$B,"*"&amp;$A45&amp;"*"),"")</f>
        <v/>
      </c>
      <c r="I45" s="29" t="str">
        <f>IFERROR((SUMIFS('AEO25 Table 23'!L:L,'AEO25 Table 23'!$B:$B,"*"&amp;$A45&amp;"*")-SUMIFS('AEO25 Table 23'!K:K,'AEO25 Table 23'!$B:$B,"*"&amp;$A45&amp;"*"))/SUMIFS('AEO25 Table 23'!K:K,'AEO25 Table 23'!$B:$B,"*"&amp;$A45&amp;"*"),"")</f>
        <v/>
      </c>
      <c r="J45" s="29" t="str">
        <f>IFERROR((SUMIFS('AEO25 Table 23'!M:M,'AEO25 Table 23'!$B:$B,"*"&amp;$A45&amp;"*")-SUMIFS('AEO25 Table 23'!L:L,'AEO25 Table 23'!$B:$B,"*"&amp;$A45&amp;"*"))/SUMIFS('AEO25 Table 23'!L:L,'AEO25 Table 23'!$B:$B,"*"&amp;$A45&amp;"*"),"")</f>
        <v/>
      </c>
      <c r="K45" s="29" t="str">
        <f>IFERROR((SUMIFS('AEO25 Table 23'!N:N,'AEO25 Table 23'!$B:$B,"*"&amp;$A45&amp;"*")-SUMIFS('AEO25 Table 23'!M:M,'AEO25 Table 23'!$B:$B,"*"&amp;$A45&amp;"*"))/SUMIFS('AEO25 Table 23'!M:M,'AEO25 Table 23'!$B:$B,"*"&amp;$A45&amp;"*"),"")</f>
        <v/>
      </c>
      <c r="L45" s="29" t="str">
        <f>IFERROR((SUMIFS('AEO25 Table 23'!O:O,'AEO25 Table 23'!$B:$B,"*"&amp;$A45&amp;"*")-SUMIFS('AEO25 Table 23'!N:N,'AEO25 Table 23'!$B:$B,"*"&amp;$A45&amp;"*"))/SUMIFS('AEO25 Table 23'!N:N,'AEO25 Table 23'!$B:$B,"*"&amp;$A45&amp;"*"),"")</f>
        <v/>
      </c>
      <c r="M45" s="29" t="str">
        <f>IFERROR((SUMIFS('AEO25 Table 23'!P:P,'AEO25 Table 23'!$B:$B,"*"&amp;$A45&amp;"*")-SUMIFS('AEO25 Table 23'!O:O,'AEO25 Table 23'!$B:$B,"*"&amp;$A45&amp;"*"))/SUMIFS('AEO25 Table 23'!O:O,'AEO25 Table 23'!$B:$B,"*"&amp;$A45&amp;"*"),"")</f>
        <v/>
      </c>
      <c r="N45" s="29" t="str">
        <f>IFERROR((SUMIFS('AEO25 Table 23'!Q:Q,'AEO25 Table 23'!$B:$B,"*"&amp;$A45&amp;"*")-SUMIFS('AEO25 Table 23'!P:P,'AEO25 Table 23'!$B:$B,"*"&amp;$A45&amp;"*"))/SUMIFS('AEO25 Table 23'!P:P,'AEO25 Table 23'!$B:$B,"*"&amp;$A45&amp;"*"),"")</f>
        <v/>
      </c>
      <c r="O45" s="29" t="str">
        <f>IFERROR((SUMIFS('AEO25 Table 23'!R:R,'AEO25 Table 23'!$B:$B,"*"&amp;$A45&amp;"*")-SUMIFS('AEO25 Table 23'!Q:Q,'AEO25 Table 23'!$B:$B,"*"&amp;$A45&amp;"*"))/SUMIFS('AEO25 Table 23'!Q:Q,'AEO25 Table 23'!$B:$B,"*"&amp;$A45&amp;"*"),"")</f>
        <v/>
      </c>
      <c r="P45" s="29" t="str">
        <f>IFERROR((SUMIFS('AEO25 Table 23'!S:S,'AEO25 Table 23'!$B:$B,"*"&amp;$A45&amp;"*")-SUMIFS('AEO25 Table 23'!R:R,'AEO25 Table 23'!$B:$B,"*"&amp;$A45&amp;"*"))/SUMIFS('AEO25 Table 23'!R:R,'AEO25 Table 23'!$B:$B,"*"&amp;$A45&amp;"*"),"")</f>
        <v/>
      </c>
      <c r="Q45" s="29" t="str">
        <f>IFERROR((SUMIFS('AEO25 Table 23'!T:T,'AEO25 Table 23'!$B:$B,"*"&amp;$A45&amp;"*")-SUMIFS('AEO25 Table 23'!S:S,'AEO25 Table 23'!$B:$B,"*"&amp;$A45&amp;"*"))/SUMIFS('AEO25 Table 23'!S:S,'AEO25 Table 23'!$B:$B,"*"&amp;$A45&amp;"*"),"")</f>
        <v/>
      </c>
      <c r="R45" s="29" t="str">
        <f>IFERROR((SUMIFS('AEO25 Table 23'!U:U,'AEO25 Table 23'!$B:$B,"*"&amp;$A45&amp;"*")-SUMIFS('AEO25 Table 23'!T:T,'AEO25 Table 23'!$B:$B,"*"&amp;$A45&amp;"*"))/SUMIFS('AEO25 Table 23'!T:T,'AEO25 Table 23'!$B:$B,"*"&amp;$A45&amp;"*"),"")</f>
        <v/>
      </c>
      <c r="S45" s="29" t="str">
        <f>IFERROR((SUMIFS('AEO25 Table 23'!V:V,'AEO25 Table 23'!$B:$B,"*"&amp;$A45&amp;"*")-SUMIFS('AEO25 Table 23'!U:U,'AEO25 Table 23'!$B:$B,"*"&amp;$A45&amp;"*"))/SUMIFS('AEO25 Table 23'!U:U,'AEO25 Table 23'!$B:$B,"*"&amp;$A45&amp;"*"),"")</f>
        <v/>
      </c>
      <c r="T45" s="29" t="str">
        <f>IFERROR((SUMIFS('AEO25 Table 23'!W:W,'AEO25 Table 23'!$B:$B,"*"&amp;$A45&amp;"*")-SUMIFS('AEO25 Table 23'!V:V,'AEO25 Table 23'!$B:$B,"*"&amp;$A45&amp;"*"))/SUMIFS('AEO25 Table 23'!V:V,'AEO25 Table 23'!$B:$B,"*"&amp;$A45&amp;"*"),"")</f>
        <v/>
      </c>
      <c r="U45" s="29" t="str">
        <f>IFERROR((SUMIFS('AEO25 Table 23'!X:X,'AEO25 Table 23'!$B:$B,"*"&amp;$A45&amp;"*")-SUMIFS('AEO25 Table 23'!W:W,'AEO25 Table 23'!$B:$B,"*"&amp;$A45&amp;"*"))/SUMIFS('AEO25 Table 23'!W:W,'AEO25 Table 23'!$B:$B,"*"&amp;$A45&amp;"*"),"")</f>
        <v/>
      </c>
      <c r="V45" s="29" t="str">
        <f>IFERROR((SUMIFS('AEO25 Table 23'!Y:Y,'AEO25 Table 23'!$B:$B,"*"&amp;$A45&amp;"*")-SUMIFS('AEO25 Table 23'!X:X,'AEO25 Table 23'!$B:$B,"*"&amp;$A45&amp;"*"))/SUMIFS('AEO25 Table 23'!X:X,'AEO25 Table 23'!$B:$B,"*"&amp;$A45&amp;"*"),"")</f>
        <v/>
      </c>
      <c r="W45" s="29" t="str">
        <f>IFERROR((SUMIFS('AEO25 Table 23'!Z:Z,'AEO25 Table 23'!$B:$B,"*"&amp;$A45&amp;"*")-SUMIFS('AEO25 Table 23'!Y:Y,'AEO25 Table 23'!$B:$B,"*"&amp;$A45&amp;"*"))/SUMIFS('AEO25 Table 23'!Y:Y,'AEO25 Table 23'!$B:$B,"*"&amp;$A45&amp;"*"),"")</f>
        <v/>
      </c>
      <c r="X45" s="29" t="str">
        <f>IFERROR((SUMIFS('AEO25 Table 23'!AA:AA,'AEO25 Table 23'!$B:$B,"*"&amp;$A45&amp;"*")-SUMIFS('AEO25 Table 23'!Z:Z,'AEO25 Table 23'!$B:$B,"*"&amp;$A45&amp;"*"))/SUMIFS('AEO25 Table 23'!Z:Z,'AEO25 Table 23'!$B:$B,"*"&amp;$A45&amp;"*"),"")</f>
        <v/>
      </c>
      <c r="Y45" s="29" t="str">
        <f>IFERROR((SUMIFS('AEO25 Table 23'!AB:AB,'AEO25 Table 23'!$B:$B,"*"&amp;$A45&amp;"*")-SUMIFS('AEO25 Table 23'!AA:AA,'AEO25 Table 23'!$B:$B,"*"&amp;$A45&amp;"*"))/SUMIFS('AEO25 Table 23'!AA:AA,'AEO25 Table 23'!$B:$B,"*"&amp;$A45&amp;"*"),"")</f>
        <v/>
      </c>
      <c r="Z45" s="29" t="str">
        <f>IFERROR((SUMIFS('AEO25 Table 23'!AC:AC,'AEO25 Table 23'!$B:$B,"*"&amp;$A45&amp;"*")-SUMIFS('AEO25 Table 23'!AB:AB,'AEO25 Table 23'!$B:$B,"*"&amp;$A45&amp;"*"))/SUMIFS('AEO25 Table 23'!AB:AB,'AEO25 Table 23'!$B:$B,"*"&amp;$A45&amp;"*"),"")</f>
        <v/>
      </c>
      <c r="AA45" s="29" t="str">
        <f>IFERROR((SUMIFS('AEO25 Table 23'!AD:AD,'AEO25 Table 23'!$B:$B,"*"&amp;$A45&amp;"*")-SUMIFS('AEO25 Table 23'!AC:AC,'AEO25 Table 23'!$B:$B,"*"&amp;$A45&amp;"*"))/SUMIFS('AEO25 Table 23'!AC:AC,'AEO25 Table 23'!$B:$B,"*"&amp;$A45&amp;"*"),"")</f>
        <v/>
      </c>
      <c r="AB45" s="29" t="str">
        <f>IFERROR((SUMIFS('AEO25 Table 23'!AE:AE,'AEO25 Table 23'!$B:$B,"*"&amp;$A45&amp;"*")-SUMIFS('AEO25 Table 23'!AD:AD,'AEO25 Table 23'!$B:$B,"*"&amp;$A45&amp;"*"))/SUMIFS('AEO25 Table 23'!AD:AD,'AEO25 Table 23'!$B:$B,"*"&amp;$A45&amp;"*"),"")</f>
        <v/>
      </c>
      <c r="AC45" s="29" t="str">
        <f>IFERROR((SUMIFS('AEO25 Table 23'!AF:AF,'AEO25 Table 23'!$B:$B,"*"&amp;$A45&amp;"*")-SUMIFS('AEO25 Table 23'!AE:AE,'AEO25 Table 23'!$B:$B,"*"&amp;$A45&amp;"*"))/SUMIFS('AEO25 Table 23'!AE:AE,'AEO25 Table 23'!$B:$B,"*"&amp;$A45&amp;"*"),"")</f>
        <v/>
      </c>
      <c r="AD45" s="29" t="str">
        <f>IFERROR((SUMIFS('AEO25 Table 23'!AG:AG,'AEO25 Table 23'!$B:$B,"*"&amp;$A45&amp;"*")-SUMIFS('AEO25 Table 23'!AF:AF,'AEO25 Table 23'!$B:$B,"*"&amp;$A45&amp;"*"))/SUMIFS('AEO25 Table 23'!AF:AF,'AEO25 Table 23'!$B:$B,"*"&amp;$A45&amp;"*"),"")</f>
        <v/>
      </c>
      <c r="AE45" s="29" t="str">
        <f>IFERROR((SUMIFS('AEO25 Table 23'!AH:AH,'AEO25 Table 23'!$B:$B,"*"&amp;$A45&amp;"*")-SUMIFS('AEO25 Table 23'!AG:AG,'AEO25 Table 23'!$B:$B,"*"&amp;$A45&amp;"*"))/SUMIFS('AEO25 Table 23'!AG:AG,'AEO25 Table 23'!$B:$B,"*"&amp;$A45&amp;"*"),"")</f>
        <v/>
      </c>
    </row>
    <row r="48" spans="1:31" x14ac:dyDescent="0.25">
      <c r="A48" s="1" t="s">
        <v>99</v>
      </c>
    </row>
    <row r="49" spans="1:28" x14ac:dyDescent="0.25">
      <c r="A49" s="1"/>
    </row>
    <row r="50" spans="1:28" x14ac:dyDescent="0.25">
      <c r="B50" s="18">
        <v>2024</v>
      </c>
      <c r="C50" s="18">
        <v>2025</v>
      </c>
      <c r="D50" s="20">
        <v>2026</v>
      </c>
      <c r="E50" s="20">
        <v>2027</v>
      </c>
      <c r="F50" s="20">
        <v>2028</v>
      </c>
      <c r="G50" s="20">
        <v>2029</v>
      </c>
      <c r="H50" s="20">
        <v>2030</v>
      </c>
      <c r="I50" s="20">
        <v>2031</v>
      </c>
      <c r="J50" s="20">
        <v>2032</v>
      </c>
      <c r="K50" s="20">
        <v>2033</v>
      </c>
      <c r="L50" s="20">
        <v>2034</v>
      </c>
      <c r="M50" s="20">
        <v>2035</v>
      </c>
      <c r="N50" s="20">
        <v>2036</v>
      </c>
      <c r="O50" s="20">
        <v>2037</v>
      </c>
      <c r="P50" s="20">
        <v>2038</v>
      </c>
      <c r="Q50" s="20">
        <v>2039</v>
      </c>
      <c r="R50" s="20">
        <v>2040</v>
      </c>
      <c r="S50" s="20">
        <v>2041</v>
      </c>
      <c r="T50" s="20">
        <v>2042</v>
      </c>
      <c r="U50" s="20">
        <v>2043</v>
      </c>
      <c r="V50" s="20">
        <v>2044</v>
      </c>
      <c r="W50" s="20">
        <v>2045</v>
      </c>
      <c r="X50" s="20">
        <v>2046</v>
      </c>
      <c r="Y50" s="20">
        <v>2047</v>
      </c>
      <c r="Z50" s="20">
        <v>2048</v>
      </c>
      <c r="AA50" s="20">
        <v>2049</v>
      </c>
      <c r="AB50" s="20">
        <v>2050</v>
      </c>
    </row>
    <row r="51" spans="1:28" x14ac:dyDescent="0.25">
      <c r="A51" s="1" t="s">
        <v>2</v>
      </c>
      <c r="B51" s="19">
        <v>0</v>
      </c>
      <c r="C51" s="19">
        <f>IF(F4="",$B4,F4)</f>
        <v>1.1026677248351633E-2</v>
      </c>
      <c r="D51" s="19">
        <f>IF(G4="",$B4,G4)</f>
        <v>1.3310769210910503E-2</v>
      </c>
      <c r="E51" s="19">
        <f>IF(H4="",$B4,H4)</f>
        <v>1.3104187427865207E-2</v>
      </c>
      <c r="F51" s="19">
        <f>IF(I4="",$B4,I4)</f>
        <v>1.1203885779711329E-2</v>
      </c>
      <c r="G51" s="19">
        <f>IF(J4="",$B4,J4)</f>
        <v>1.4635319337087296E-2</v>
      </c>
      <c r="H51" s="19">
        <f>IF(K4="",$B4,K4)</f>
        <v>1.3375931647951164E-2</v>
      </c>
      <c r="I51" s="19">
        <f>IF(L4="",$B4,L4)</f>
        <v>1.0475065872643107E-2</v>
      </c>
      <c r="J51" s="19">
        <f>IF(M4="",$B4,M4)</f>
        <v>1.022468352425733E-2</v>
      </c>
      <c r="K51" s="19">
        <f>IF(N4="",$B4,N4)</f>
        <v>9.6252602721436844E-3</v>
      </c>
      <c r="L51" s="19">
        <f>IF(O4="",$B4,O4)</f>
        <v>1.2156975776371573E-2</v>
      </c>
      <c r="M51" s="19">
        <f>IF(P4="",$B4,P4)</f>
        <v>1.2481577286470235E-2</v>
      </c>
      <c r="N51" s="19">
        <f>IF(Q4="",$B4,Q4)</f>
        <v>1.4717677805219882E-2</v>
      </c>
      <c r="O51" s="19">
        <f>IF(R4="",$B4,R4)</f>
        <v>1.1665757875194246E-2</v>
      </c>
      <c r="P51" s="19">
        <f>IF(S4="",$B4,S4)</f>
        <v>9.8860052793060017E-3</v>
      </c>
      <c r="Q51" s="19">
        <f>IF(T4="",$B4,T4)</f>
        <v>1.0694767198003576E-2</v>
      </c>
      <c r="R51" s="19">
        <f>IF(U4="",$B4,U4)</f>
        <v>9.6427706845046441E-3</v>
      </c>
      <c r="S51" s="19">
        <f>IF(V4="",$B4,V4)</f>
        <v>7.1325451349267075E-3</v>
      </c>
      <c r="T51" s="19">
        <f>IF(W4="",$B4,W4)</f>
        <v>8.3373827422757937E-3</v>
      </c>
      <c r="U51" s="19">
        <f>IF(X4="",$B4,X4)</f>
        <v>8.3361617111105523E-3</v>
      </c>
      <c r="V51" s="19">
        <f>IF(Y4="",$B4,Y4)</f>
        <v>9.1091714777024099E-3</v>
      </c>
      <c r="W51" s="19">
        <f>IF(Z4="",$B4,Z4)</f>
        <v>1.1345091667422645E-2</v>
      </c>
      <c r="X51" s="19">
        <f>IF(AA4="",$B4,AA4)</f>
        <v>1.1583966711633611E-2</v>
      </c>
      <c r="Y51" s="19">
        <f>IF(AB4="",$B4,AB4)</f>
        <v>1.134369960316556E-2</v>
      </c>
      <c r="Z51" s="19">
        <f>IF(AC4="",$B4,AC4)</f>
        <v>1.1034837951507158E-2</v>
      </c>
      <c r="AA51" s="19">
        <f>IF(AD4="",$B4,AD4)</f>
        <v>1.135520562452725E-2</v>
      </c>
      <c r="AB51" s="19">
        <f>IF(AE4="",$B4,AE4)</f>
        <v>1.0924366998268421E-2</v>
      </c>
    </row>
    <row r="52" spans="1:28" x14ac:dyDescent="0.25">
      <c r="A52" s="1" t="s">
        <v>36</v>
      </c>
      <c r="B52" s="19">
        <v>0</v>
      </c>
      <c r="C52" s="19">
        <f>IF(F5="",$B5,F5)</f>
        <v>8.3217494051750343E-2</v>
      </c>
      <c r="D52" s="19">
        <f>IF(G5="",$B5,G5)</f>
        <v>8.9615164498585784E-3</v>
      </c>
      <c r="E52" s="19">
        <f>IF(H5="",$B5,H5)</f>
        <v>6.947955864818842E-3</v>
      </c>
      <c r="F52" s="19">
        <f>IF(I5="",$B5,I5)</f>
        <v>1.2318960610435022E-2</v>
      </c>
      <c r="G52" s="19">
        <f>IF(J5="",$B5,J5)</f>
        <v>9.4529405959808549E-3</v>
      </c>
      <c r="H52" s="19">
        <f>IF(K5="",$B5,K5)</f>
        <v>8.1655603129958832E-3</v>
      </c>
      <c r="I52" s="19">
        <f>IF(L5="",$B5,L5)</f>
        <v>-3.9744242248842933E-3</v>
      </c>
      <c r="J52" s="19">
        <f>IF(M5="",$B5,M5)</f>
        <v>1.0236132296933927E-2</v>
      </c>
      <c r="K52" s="19">
        <f>IF(N5="",$B5,N5)</f>
        <v>2.6372426891379234E-4</v>
      </c>
      <c r="L52" s="19">
        <f>IF(O5="",$B5,O5)</f>
        <v>1.062656875674767E-3</v>
      </c>
      <c r="M52" s="19">
        <f>IF(P5="",$B5,P5)</f>
        <v>-5.1432969529670797E-3</v>
      </c>
      <c r="N52" s="19">
        <f>IF(Q5="",$B5,Q5)</f>
        <v>-7.0006465410182685E-3</v>
      </c>
      <c r="O52" s="19">
        <f>IF(R5="",$B5,R5)</f>
        <v>-1.0552158623382551E-2</v>
      </c>
      <c r="P52" s="19">
        <f>IF(S5="",$B5,S5)</f>
        <v>-5.0679703146335724E-3</v>
      </c>
      <c r="Q52" s="19">
        <f>IF(T5="",$B5,T5)</f>
        <v>-6.5453897382729744E-3</v>
      </c>
      <c r="R52" s="19">
        <f>IF(U5="",$B5,U5)</f>
        <v>2.4425700333596911E-3</v>
      </c>
      <c r="S52" s="19">
        <f>IF(V5="",$B5,V5)</f>
        <v>3.6424539829281264E-3</v>
      </c>
      <c r="T52" s="19">
        <f>IF(W5="",$B5,W5)</f>
        <v>4.5608602685222772E-3</v>
      </c>
      <c r="U52" s="19">
        <f>IF(X5="",$B5,X5)</f>
        <v>-1.7349257567413171E-4</v>
      </c>
      <c r="V52" s="19">
        <f>IF(Y5="",$B5,Y5)</f>
        <v>2.3114421862394882E-3</v>
      </c>
      <c r="W52" s="19">
        <f>IF(Z5="",$B5,Z5)</f>
        <v>2.9192140260942026E-3</v>
      </c>
      <c r="X52" s="19">
        <f>IF(AA5="",$B5,AA5)</f>
        <v>7.5347241944612835E-3</v>
      </c>
      <c r="Y52" s="19">
        <f>IF(AB5="",$B5,AB5)</f>
        <v>9.4471865877715727E-4</v>
      </c>
      <c r="Z52" s="19">
        <f>IF(AC5="",$B5,AC5)</f>
        <v>-5.058260303962733E-4</v>
      </c>
      <c r="AA52" s="19">
        <f>IF(AD5="",$B5,AD5)</f>
        <v>2.527188569890048E-3</v>
      </c>
      <c r="AB52" s="19">
        <f>IF(AE5="",$B5,AE5)</f>
        <v>3.1119823794029076E-3</v>
      </c>
    </row>
    <row r="53" spans="1:28" x14ac:dyDescent="0.25">
      <c r="A53" s="1" t="s">
        <v>37</v>
      </c>
      <c r="B53" s="19">
        <v>0</v>
      </c>
      <c r="C53" s="19">
        <f>IF(F6="",$B6,F6)</f>
        <v>8.3217494051750343E-2</v>
      </c>
      <c r="D53" s="19">
        <f>IF(G6="",$B6,G6)</f>
        <v>8.9615164498585784E-3</v>
      </c>
      <c r="E53" s="19">
        <f>IF(H6="",$B6,H6)</f>
        <v>6.947955864818842E-3</v>
      </c>
      <c r="F53" s="19">
        <f>IF(I6="",$B6,I6)</f>
        <v>1.2318960610435022E-2</v>
      </c>
      <c r="G53" s="19">
        <f>IF(J6="",$B6,J6)</f>
        <v>9.4529405959808549E-3</v>
      </c>
      <c r="H53" s="19">
        <f>IF(K6="",$B6,K6)</f>
        <v>8.1655603129958832E-3</v>
      </c>
      <c r="I53" s="19">
        <f>IF(L6="",$B6,L6)</f>
        <v>-3.9744242248842933E-3</v>
      </c>
      <c r="J53" s="19">
        <f>IF(M6="",$B6,M6)</f>
        <v>1.0236132296933927E-2</v>
      </c>
      <c r="K53" s="19">
        <f>IF(N6="",$B6,N6)</f>
        <v>2.6372426891379234E-4</v>
      </c>
      <c r="L53" s="19">
        <f>IF(O6="",$B6,O6)</f>
        <v>1.062656875674767E-3</v>
      </c>
      <c r="M53" s="19">
        <f>IF(P6="",$B6,P6)</f>
        <v>-5.1432969529670797E-3</v>
      </c>
      <c r="N53" s="19">
        <f>IF(Q6="",$B6,Q6)</f>
        <v>-7.0006465410182685E-3</v>
      </c>
      <c r="O53" s="19">
        <f>IF(R6="",$B6,R6)</f>
        <v>-1.0552158623382551E-2</v>
      </c>
      <c r="P53" s="19">
        <f>IF(S6="",$B6,S6)</f>
        <v>-5.0679703146335724E-3</v>
      </c>
      <c r="Q53" s="19">
        <f>IF(T6="",$B6,T6)</f>
        <v>-6.5453897382729744E-3</v>
      </c>
      <c r="R53" s="19">
        <f>IF(U6="",$B6,U6)</f>
        <v>2.4425700333596911E-3</v>
      </c>
      <c r="S53" s="19">
        <f>IF(V6="",$B6,V6)</f>
        <v>3.6424539829281264E-3</v>
      </c>
      <c r="T53" s="19">
        <f>IF(W6="",$B6,W6)</f>
        <v>4.5608602685222772E-3</v>
      </c>
      <c r="U53" s="19">
        <f>IF(X6="",$B6,X6)</f>
        <v>-1.7349257567413171E-4</v>
      </c>
      <c r="V53" s="19">
        <f>IF(Y6="",$B6,Y6)</f>
        <v>2.3114421862394882E-3</v>
      </c>
      <c r="W53" s="19">
        <f>IF(Z6="",$B6,Z6)</f>
        <v>2.9192140260942026E-3</v>
      </c>
      <c r="X53" s="19">
        <f>IF(AA6="",$B6,AA6)</f>
        <v>7.5347241944612835E-3</v>
      </c>
      <c r="Y53" s="19">
        <f>IF(AB6="",$B6,AB6)</f>
        <v>9.4471865877715727E-4</v>
      </c>
      <c r="Z53" s="19">
        <f>IF(AC6="",$B6,AC6)</f>
        <v>-5.058260303962733E-4</v>
      </c>
      <c r="AA53" s="19">
        <f>IF(AD6="",$B6,AD6)</f>
        <v>2.527188569890048E-3</v>
      </c>
      <c r="AB53" s="19">
        <f>IF(AE6="",$B6,AE6)</f>
        <v>3.1119823794029076E-3</v>
      </c>
    </row>
    <row r="54" spans="1:28" x14ac:dyDescent="0.25">
      <c r="A54" s="1" t="s">
        <v>3</v>
      </c>
      <c r="B54" s="19">
        <v>0</v>
      </c>
      <c r="C54" s="19">
        <f>IF(F7="",$B7,F7)</f>
        <v>8.3217494051750343E-2</v>
      </c>
      <c r="D54" s="19">
        <f>IF(G7="",$B7,G7)</f>
        <v>8.9615164498585784E-3</v>
      </c>
      <c r="E54" s="19">
        <f>IF(H7="",$B7,H7)</f>
        <v>6.947955864818842E-3</v>
      </c>
      <c r="F54" s="19">
        <f>IF(I7="",$B7,I7)</f>
        <v>1.2318960610435022E-2</v>
      </c>
      <c r="G54" s="19">
        <f>IF(J7="",$B7,J7)</f>
        <v>9.4529405959808549E-3</v>
      </c>
      <c r="H54" s="19">
        <f>IF(K7="",$B7,K7)</f>
        <v>8.1655603129958832E-3</v>
      </c>
      <c r="I54" s="19">
        <f>IF(L7="",$B7,L7)</f>
        <v>-3.9744242248842933E-3</v>
      </c>
      <c r="J54" s="19">
        <f>IF(M7="",$B7,M7)</f>
        <v>1.0236132296933927E-2</v>
      </c>
      <c r="K54" s="19">
        <f>IF(N7="",$B7,N7)</f>
        <v>2.6372426891379234E-4</v>
      </c>
      <c r="L54" s="19">
        <f>IF(O7="",$B7,O7)</f>
        <v>1.062656875674767E-3</v>
      </c>
      <c r="M54" s="19">
        <f>IF(P7="",$B7,P7)</f>
        <v>-5.1432969529670797E-3</v>
      </c>
      <c r="N54" s="19">
        <f>IF(Q7="",$B7,Q7)</f>
        <v>-7.0006465410182685E-3</v>
      </c>
      <c r="O54" s="19">
        <f>IF(R7="",$B7,R7)</f>
        <v>-1.0552158623382551E-2</v>
      </c>
      <c r="P54" s="19">
        <f>IF(S7="",$B7,S7)</f>
        <v>-5.0679703146335724E-3</v>
      </c>
      <c r="Q54" s="19">
        <f>IF(T7="",$B7,T7)</f>
        <v>-6.5453897382729744E-3</v>
      </c>
      <c r="R54" s="19">
        <f>IF(U7="",$B7,U7)</f>
        <v>2.4425700333596911E-3</v>
      </c>
      <c r="S54" s="19">
        <f>IF(V7="",$B7,V7)</f>
        <v>3.6424539829281264E-3</v>
      </c>
      <c r="T54" s="19">
        <f>IF(W7="",$B7,W7)</f>
        <v>4.5608602685222772E-3</v>
      </c>
      <c r="U54" s="19">
        <f>IF(X7="",$B7,X7)</f>
        <v>-1.7349257567413171E-4</v>
      </c>
      <c r="V54" s="19">
        <f>IF(Y7="",$B7,Y7)</f>
        <v>2.3114421862394882E-3</v>
      </c>
      <c r="W54" s="19">
        <f>IF(Z7="",$B7,Z7)</f>
        <v>2.9192140260942026E-3</v>
      </c>
      <c r="X54" s="19">
        <f>IF(AA7="",$B7,AA7)</f>
        <v>7.5347241944612835E-3</v>
      </c>
      <c r="Y54" s="19">
        <f>IF(AB7="",$B7,AB7)</f>
        <v>9.4471865877715727E-4</v>
      </c>
      <c r="Z54" s="19">
        <f>IF(AC7="",$B7,AC7)</f>
        <v>-5.058260303962733E-4</v>
      </c>
      <c r="AA54" s="19">
        <f>IF(AD7="",$B7,AD7)</f>
        <v>2.527188569890048E-3</v>
      </c>
      <c r="AB54" s="19">
        <f>IF(AE7="",$B7,AE7)</f>
        <v>3.1119823794029076E-3</v>
      </c>
    </row>
    <row r="55" spans="1:28" x14ac:dyDescent="0.25">
      <c r="A55" s="1" t="s">
        <v>4</v>
      </c>
      <c r="B55" s="19">
        <v>0</v>
      </c>
      <c r="C55" s="19">
        <f>IF(F8="",$B8,F8)</f>
        <v>-5.0000000000000001E-3</v>
      </c>
      <c r="D55" s="19">
        <f>IF(G8="",$B8,G8)</f>
        <v>-5.0000000000000001E-3</v>
      </c>
      <c r="E55" s="19">
        <f>IF(H8="",$B8,H8)</f>
        <v>-5.0000000000000001E-3</v>
      </c>
      <c r="F55" s="19">
        <f>IF(I8="",$B8,I8)</f>
        <v>-5.0000000000000001E-3</v>
      </c>
      <c r="G55" s="19">
        <f>IF(J8="",$B8,J8)</f>
        <v>-5.0000000000000001E-3</v>
      </c>
      <c r="H55" s="19">
        <f>IF(K8="",$B8,K8)</f>
        <v>-5.0000000000000001E-3</v>
      </c>
      <c r="I55" s="19">
        <f>IF(L8="",$B8,L8)</f>
        <v>-5.0000000000000001E-3</v>
      </c>
      <c r="J55" s="19">
        <f>IF(M8="",$B8,M8)</f>
        <v>-5.0000000000000001E-3</v>
      </c>
      <c r="K55" s="19">
        <f>IF(N8="",$B8,N8)</f>
        <v>-5.0000000000000001E-3</v>
      </c>
      <c r="L55" s="19">
        <f>IF(O8="",$B8,O8)</f>
        <v>-5.0000000000000001E-3</v>
      </c>
      <c r="M55" s="19">
        <f>IF(P8="",$B8,P8)</f>
        <v>-5.0000000000000001E-3</v>
      </c>
      <c r="N55" s="19">
        <f>IF(Q8="",$B8,Q8)</f>
        <v>-5.0000000000000001E-3</v>
      </c>
      <c r="O55" s="19">
        <f>IF(R8="",$B8,R8)</f>
        <v>-5.0000000000000001E-3</v>
      </c>
      <c r="P55" s="19">
        <f>IF(S8="",$B8,S8)</f>
        <v>-5.0000000000000001E-3</v>
      </c>
      <c r="Q55" s="19">
        <f>IF(T8="",$B8,T8)</f>
        <v>-5.0000000000000001E-3</v>
      </c>
      <c r="R55" s="19">
        <f>IF(U8="",$B8,U8)</f>
        <v>-5.0000000000000001E-3</v>
      </c>
      <c r="S55" s="19">
        <f>IF(V8="",$B8,V8)</f>
        <v>-5.0000000000000001E-3</v>
      </c>
      <c r="T55" s="19">
        <f>IF(W8="",$B8,W8)</f>
        <v>-5.0000000000000001E-3</v>
      </c>
      <c r="U55" s="19">
        <f>IF(X8="",$B8,X8)</f>
        <v>-5.0000000000000001E-3</v>
      </c>
      <c r="V55" s="19">
        <f>IF(Y8="",$B8,Y8)</f>
        <v>-5.0000000000000001E-3</v>
      </c>
      <c r="W55" s="19">
        <f>IF(Z8="",$B8,Z8)</f>
        <v>-5.0000000000000001E-3</v>
      </c>
      <c r="X55" s="19">
        <f>IF(AA8="",$B8,AA8)</f>
        <v>-5.0000000000000001E-3</v>
      </c>
      <c r="Y55" s="19">
        <f>IF(AB8="",$B8,AB8)</f>
        <v>-5.0000000000000001E-3</v>
      </c>
      <c r="Z55" s="19">
        <f>IF(AC8="",$B8,AC8)</f>
        <v>-5.0000000000000001E-3</v>
      </c>
      <c r="AA55" s="19">
        <f>IF(AD8="",$B8,AD8)</f>
        <v>-5.0000000000000001E-3</v>
      </c>
      <c r="AB55" s="19">
        <f>IF(AE8="",$B8,AE8)</f>
        <v>-5.0000000000000001E-3</v>
      </c>
    </row>
    <row r="56" spans="1:28" x14ac:dyDescent="0.25">
      <c r="A56" s="1" t="s">
        <v>5</v>
      </c>
      <c r="B56" s="19">
        <v>0</v>
      </c>
      <c r="C56" s="19">
        <f>IF(F9="",$B9,F9)</f>
        <v>2.737812316119366E-3</v>
      </c>
      <c r="D56" s="19">
        <f>IF(G9="",$B9,G9)</f>
        <v>2.2822737992264108E-3</v>
      </c>
      <c r="E56" s="19">
        <f>IF(H9="",$B9,H9)</f>
        <v>7.8762627419798111E-3</v>
      </c>
      <c r="F56" s="19">
        <f>IF(I9="",$B9,I9)</f>
        <v>6.3904756095859603E-3</v>
      </c>
      <c r="G56" s="19">
        <f>IF(J9="",$B9,J9)</f>
        <v>7.8492626020254305E-3</v>
      </c>
      <c r="H56" s="19">
        <f>IF(K9="",$B9,K9)</f>
        <v>7.8736807060739312E-3</v>
      </c>
      <c r="I56" s="19">
        <f>IF(L9="",$B9,L9)</f>
        <v>7.1523628470740565E-3</v>
      </c>
      <c r="J56" s="19">
        <f>IF(M9="",$B9,M9)</f>
        <v>7.3963828986863423E-3</v>
      </c>
      <c r="K56" s="19">
        <f>IF(N9="",$B9,N9)</f>
        <v>7.1465055343641719E-3</v>
      </c>
      <c r="L56" s="19">
        <f>IF(O9="",$B9,O9)</f>
        <v>7.4564744746548842E-3</v>
      </c>
      <c r="M56" s="19">
        <f>IF(P9="",$B9,P9)</f>
        <v>6.8269085545763011E-3</v>
      </c>
      <c r="N56" s="19">
        <f>IF(Q9="",$B9,Q9)</f>
        <v>8.9600325249484958E-3</v>
      </c>
      <c r="O56" s="19">
        <f>IF(R9="",$B9,R9)</f>
        <v>8.1467598101280132E-3</v>
      </c>
      <c r="P56" s="19">
        <f>IF(S9="",$B9,S9)</f>
        <v>7.7654391125854079E-3</v>
      </c>
      <c r="Q56" s="19">
        <f>IF(T9="",$B9,T9)</f>
        <v>8.1595814472147764E-3</v>
      </c>
      <c r="R56" s="19">
        <f>IF(U9="",$B9,U9)</f>
        <v>8.0317446900215854E-3</v>
      </c>
      <c r="S56" s="19">
        <f>IF(V9="",$B9,V9)</f>
        <v>8.0005829814013725E-3</v>
      </c>
      <c r="T56" s="19">
        <f>IF(W9="",$B9,W9)</f>
        <v>8.0920903665129638E-3</v>
      </c>
      <c r="U56" s="19">
        <f>IF(X9="",$B9,X9)</f>
        <v>7.6689388003585495E-3</v>
      </c>
      <c r="V56" s="19">
        <f>IF(Y9="",$B9,Y9)</f>
        <v>7.6324147724414516E-3</v>
      </c>
      <c r="W56" s="19">
        <f>IF(Z9="",$B9,Z9)</f>
        <v>7.370503640987504E-3</v>
      </c>
      <c r="X56" s="19">
        <f>IF(AA9="",$B9,AA9)</f>
        <v>7.5228492445052119E-3</v>
      </c>
      <c r="Y56" s="19">
        <f>IF(AB9="",$B9,AB9)</f>
        <v>7.577774433307303E-3</v>
      </c>
      <c r="Z56" s="19">
        <f>IF(AC9="",$B9,AC9)</f>
        <v>7.5648034914341643E-3</v>
      </c>
      <c r="AA56" s="19">
        <f>IF(AD9="",$B9,AD9)</f>
        <v>7.8670236644207154E-3</v>
      </c>
      <c r="AB56" s="19">
        <f>IF(AE9="",$B9,AE9)</f>
        <v>7.6297169679222527E-3</v>
      </c>
    </row>
    <row r="57" spans="1:28" x14ac:dyDescent="0.25">
      <c r="A57" s="1" t="s">
        <v>6</v>
      </c>
      <c r="B57" s="19">
        <v>0</v>
      </c>
      <c r="C57" s="19">
        <f>IF(F10="",$B10,F10)</f>
        <v>6.7991175255429628E-3</v>
      </c>
      <c r="D57" s="19">
        <f>IF(G10="",$B10,G10)</f>
        <v>-9.608164823280637E-3</v>
      </c>
      <c r="E57" s="19">
        <f>IF(H10="",$B10,H10)</f>
        <v>3.8044467914650208E-4</v>
      </c>
      <c r="F57" s="19">
        <f>IF(I10="",$B10,I10)</f>
        <v>-1.6480136731432459E-2</v>
      </c>
      <c r="G57" s="19">
        <f>IF(J10="",$B10,J10)</f>
        <v>-1.0349343893834666E-2</v>
      </c>
      <c r="H57" s="19">
        <f>IF(K10="",$B10,K10)</f>
        <v>-7.2087433500075127E-3</v>
      </c>
      <c r="I57" s="19">
        <f>IF(L10="",$B10,L10)</f>
        <v>-8.5744686472120218E-3</v>
      </c>
      <c r="J57" s="19">
        <f>IF(M10="",$B10,M10)</f>
        <v>-1.1778284524453579E-2</v>
      </c>
      <c r="K57" s="19">
        <f>IF(N10="",$B10,N10)</f>
        <v>-1.099307406677044E-2</v>
      </c>
      <c r="L57" s="19">
        <f>IF(O10="",$B10,O10)</f>
        <v>-6.6131260739353452E-3</v>
      </c>
      <c r="M57" s="19">
        <f>IF(P10="",$B10,P10)</f>
        <v>-1.2256958921149343E-2</v>
      </c>
      <c r="N57" s="19">
        <f>IF(Q10="",$B10,Q10)</f>
        <v>-1.216438980571056E-2</v>
      </c>
      <c r="O57" s="19">
        <f>IF(R10="",$B10,R10)</f>
        <v>-4.9987624393068048E-3</v>
      </c>
      <c r="P57" s="19">
        <f>IF(S10="",$B10,S10)</f>
        <v>-6.4418111262778636E-3</v>
      </c>
      <c r="Q57" s="19">
        <f>IF(T10="",$B10,T10)</f>
        <v>-4.1994068183596103E-3</v>
      </c>
      <c r="R57" s="19">
        <f>IF(U10="",$B10,U10)</f>
        <v>-1.8508520479643953E-3</v>
      </c>
      <c r="S57" s="19">
        <f>IF(V10="",$B10,V10)</f>
        <v>-3.8491328259032784E-3</v>
      </c>
      <c r="T57" s="19">
        <f>IF(W10="",$B10,W10)</f>
        <v>-3.7485105470955503E-3</v>
      </c>
      <c r="U57" s="19">
        <f>IF(X10="",$B10,X10)</f>
        <v>-6.3046232315460034E-3</v>
      </c>
      <c r="V57" s="19">
        <f>IF(Y10="",$B10,Y10)</f>
        <v>-5.949403106353863E-3</v>
      </c>
      <c r="W57" s="19">
        <f>IF(Z10="",$B10,Z10)</f>
        <v>-6.6882034707447715E-3</v>
      </c>
      <c r="X57" s="19">
        <f>IF(AA10="",$B10,AA10)</f>
        <v>-5.4873451273453541E-3</v>
      </c>
      <c r="Y57" s="19">
        <f>IF(AB10="",$B10,AB10)</f>
        <v>-3.6705635128313012E-3</v>
      </c>
      <c r="Z57" s="19">
        <f>IF(AC10="",$B10,AC10)</f>
        <v>-4.5731240520918547E-3</v>
      </c>
      <c r="AA57" s="19">
        <f>IF(AD10="",$B10,AD10)</f>
        <v>-4.0518314796840907E-3</v>
      </c>
      <c r="AB57" s="19">
        <f>IF(AE10="",$B10,AE10)</f>
        <v>-6.2040097055180762E-3</v>
      </c>
    </row>
    <row r="58" spans="1:28" x14ac:dyDescent="0.25">
      <c r="A58" s="1" t="s">
        <v>7</v>
      </c>
      <c r="B58" s="19">
        <v>0</v>
      </c>
      <c r="C58" s="19">
        <f>IF(F11="",$B11,F11)</f>
        <v>6.4384568921435565E-3</v>
      </c>
      <c r="D58" s="19">
        <f>IF(G11="",$B11,G11)</f>
        <v>2.0193100392757662E-2</v>
      </c>
      <c r="E58" s="19">
        <f>IF(H11="",$B11,H11)</f>
        <v>1.1938521891323189E-2</v>
      </c>
      <c r="F58" s="19">
        <f>IF(I11="",$B11,I11)</f>
        <v>1.7027387376197283E-2</v>
      </c>
      <c r="G58" s="19">
        <f>IF(J11="",$B11,J11)</f>
        <v>3.1307260555632044E-2</v>
      </c>
      <c r="H58" s="19">
        <f>IF(K11="",$B11,K11)</f>
        <v>2.3501452302470621E-2</v>
      </c>
      <c r="I58" s="19">
        <f>IF(L11="",$B11,L11)</f>
        <v>1.5306902695256412E-2</v>
      </c>
      <c r="J58" s="19">
        <f>IF(M11="",$B11,M11)</f>
        <v>1.010331437873517E-2</v>
      </c>
      <c r="K58" s="19">
        <f>IF(N11="",$B11,N11)</f>
        <v>-1.6958607000514144E-3</v>
      </c>
      <c r="L58" s="19">
        <f>IF(O11="",$B11,O11)</f>
        <v>1.0601404314828143E-2</v>
      </c>
      <c r="M58" s="19">
        <f>IF(P11="",$B11,P11)</f>
        <v>1.3084591986736014E-2</v>
      </c>
      <c r="N58" s="19">
        <f>IF(Q11="",$B11,Q11)</f>
        <v>2.8429943267946386E-2</v>
      </c>
      <c r="O58" s="19">
        <f>IF(R11="",$B11,R11)</f>
        <v>1.8570971172708239E-2</v>
      </c>
      <c r="P58" s="19">
        <f>IF(S11="",$B11,S11)</f>
        <v>6.389322830746948E-3</v>
      </c>
      <c r="Q58" s="19">
        <f>IF(T11="",$B11,T11)</f>
        <v>7.4606918013440313E-3</v>
      </c>
      <c r="R58" s="19">
        <f>IF(U11="",$B11,U11)</f>
        <v>-1.3142308014949511E-3</v>
      </c>
      <c r="S58" s="19">
        <f>IF(V11="",$B11,V11)</f>
        <v>-1.9472990189610791E-2</v>
      </c>
      <c r="T58" s="19">
        <f>IF(W11="",$B11,W11)</f>
        <v>-1.3112858363500193E-2</v>
      </c>
      <c r="U58" s="19">
        <f>IF(X11="",$B11,X11)</f>
        <v>-2.4859306122946963E-2</v>
      </c>
      <c r="V58" s="19">
        <f>IF(Y11="",$B11,Y11)</f>
        <v>-1.7629454428262293E-2</v>
      </c>
      <c r="W58" s="19">
        <f>IF(Z11="",$B11,Z11)</f>
        <v>-1.0019632734450143E-3</v>
      </c>
      <c r="X58" s="19">
        <f>IF(AA11="",$B11,AA11)</f>
        <v>3.4688365654584326E-3</v>
      </c>
      <c r="Y58" s="19">
        <f>IF(AB11="",$B11,AB11)</f>
        <v>1.0856257385704764E-2</v>
      </c>
      <c r="Z58" s="19">
        <f>IF(AC11="",$B11,AC11)</f>
        <v>9.9275937457564307E-3</v>
      </c>
      <c r="AA58" s="19">
        <f>IF(AD11="",$B11,AD11)</f>
        <v>1.2557915155794363E-2</v>
      </c>
      <c r="AB58" s="19">
        <f>IF(AE11="",$B11,AE11)</f>
        <v>7.6471131311750809E-3</v>
      </c>
    </row>
    <row r="59" spans="1:28" x14ac:dyDescent="0.25">
      <c r="A59" s="1" t="s">
        <v>8</v>
      </c>
      <c r="B59" s="19">
        <v>0</v>
      </c>
      <c r="C59" s="19">
        <f>IF(F12="",$B12,F12)</f>
        <v>-8.0041876610354463E-3</v>
      </c>
      <c r="D59" s="19">
        <f>IF(G12="",$B12,G12)</f>
        <v>4.5518045503567214E-4</v>
      </c>
      <c r="E59" s="19">
        <f>IF(H12="",$B12,H12)</f>
        <v>-1.3481153098819337E-2</v>
      </c>
      <c r="F59" s="19">
        <f>IF(I12="",$B12,I12)</f>
        <v>-9.8461617229140975E-3</v>
      </c>
      <c r="G59" s="19">
        <f>IF(J12="",$B12,J12)</f>
        <v>-5.2224450069981963E-3</v>
      </c>
      <c r="H59" s="19">
        <f>IF(K12="",$B12,K12)</f>
        <v>-3.1771738280149996E-3</v>
      </c>
      <c r="I59" s="19">
        <f>IF(L12="",$B12,L12)</f>
        <v>7.2791008060546828E-4</v>
      </c>
      <c r="J59" s="19">
        <f>IF(M12="",$B12,M12)</f>
        <v>-8.1195659597266961E-4</v>
      </c>
      <c r="K59" s="19">
        <f>IF(N12="",$B12,N12)</f>
        <v>-3.0443087458897566E-3</v>
      </c>
      <c r="L59" s="19">
        <f>IF(O12="",$B12,O12)</f>
        <v>1.2046220705847824E-3</v>
      </c>
      <c r="M59" s="19">
        <f>IF(P12="",$B12,P12)</f>
        <v>1.2032712971220432E-3</v>
      </c>
      <c r="N59" s="19">
        <f>IF(Q12="",$B12,Q12)</f>
        <v>2.5651657729336445E-3</v>
      </c>
      <c r="O59" s="19">
        <f>IF(R12="",$B12,R12)</f>
        <v>1.7189282839967324E-3</v>
      </c>
      <c r="P59" s="19">
        <f>IF(S12="",$B12,S12)</f>
        <v>2.5558369527057373E-3</v>
      </c>
      <c r="Q59" s="19">
        <f>IF(T12="",$B12,T12)</f>
        <v>5.7237110936795748E-3</v>
      </c>
      <c r="R59" s="19">
        <f>IF(U12="",$B12,U12)</f>
        <v>6.008609389611461E-3</v>
      </c>
      <c r="S59" s="19">
        <f>IF(V12="",$B12,V12)</f>
        <v>3.9912342314785436E-3</v>
      </c>
      <c r="T59" s="19">
        <f>IF(W12="",$B12,W12)</f>
        <v>4.4924411826746504E-3</v>
      </c>
      <c r="U59" s="19">
        <f>IF(X12="",$B12,X12)</f>
        <v>3.5085920101969952E-3</v>
      </c>
      <c r="V59" s="19">
        <f>IF(Y12="",$B12,Y12)</f>
        <v>5.9965880088454415E-3</v>
      </c>
      <c r="W59" s="19">
        <f>IF(Z12="",$B12,Z12)</f>
        <v>3.9745089260550598E-3</v>
      </c>
      <c r="X59" s="19">
        <f>IF(AA12="",$B12,AA12)</f>
        <v>5.5666358793437908E-3</v>
      </c>
      <c r="Y59" s="19">
        <f>IF(AB12="",$B12,AB12)</f>
        <v>5.0847220871004673E-3</v>
      </c>
      <c r="Z59" s="19">
        <f>IF(AC12="",$B12,AC12)</f>
        <v>4.5452023416703317E-3</v>
      </c>
      <c r="AA59" s="19">
        <f>IF(AD12="",$B12,AD12)</f>
        <v>3.6536979439662403E-3</v>
      </c>
      <c r="AB59" s="19">
        <f>IF(AE12="",$B12,AE12)</f>
        <v>3.8098042639567696E-3</v>
      </c>
    </row>
    <row r="60" spans="1:28" x14ac:dyDescent="0.25">
      <c r="A60" s="1" t="s">
        <v>9</v>
      </c>
      <c r="B60" s="19">
        <v>0</v>
      </c>
      <c r="C60" s="19">
        <f>IF(F13="",$B13,F13)</f>
        <v>1.6536762550319106E-2</v>
      </c>
      <c r="D60" s="19">
        <f>IF(G13="",$B13,G13)</f>
        <v>-4.3670221355918987E-3</v>
      </c>
      <c r="E60" s="19">
        <f>IF(H13="",$B13,H13)</f>
        <v>-4.4615383413189906E-3</v>
      </c>
      <c r="F60" s="19">
        <f>IF(I13="",$B13,I13)</f>
        <v>-5.4368009022099503E-3</v>
      </c>
      <c r="G60" s="19">
        <f>IF(J13="",$B13,J13)</f>
        <v>-7.8044244069210948E-3</v>
      </c>
      <c r="H60" s="19">
        <f>IF(K13="",$B13,K13)</f>
        <v>-1.2341998710313872E-2</v>
      </c>
      <c r="I60" s="19">
        <f>IF(L13="",$B13,L13)</f>
        <v>-1.3882066062449253E-2</v>
      </c>
      <c r="J60" s="19">
        <f>IF(M13="",$B13,M13)</f>
        <v>-1.6647169651114638E-2</v>
      </c>
      <c r="K60" s="19">
        <f>IF(N13="",$B13,N13)</f>
        <v>-1.7231979642126725E-2</v>
      </c>
      <c r="L60" s="19">
        <f>IF(O13="",$B13,O13)</f>
        <v>-1.5101589345942567E-2</v>
      </c>
      <c r="M60" s="19">
        <f>IF(P13="",$B13,P13)</f>
        <v>-1.535993024326435E-2</v>
      </c>
      <c r="N60" s="19">
        <f>IF(Q13="",$B13,Q13)</f>
        <v>-1.6048159637915206E-2</v>
      </c>
      <c r="O60" s="19">
        <f>IF(R13="",$B13,R13)</f>
        <v>-1.5470010063622686E-2</v>
      </c>
      <c r="P60" s="19">
        <f>IF(S13="",$B13,S13)</f>
        <v>-1.2963708144923147E-2</v>
      </c>
      <c r="Q60" s="19">
        <f>IF(T13="",$B13,T13)</f>
        <v>-9.7908544358840683E-3</v>
      </c>
      <c r="R60" s="19">
        <f>IF(U13="",$B13,U13)</f>
        <v>-7.2604139297888963E-3</v>
      </c>
      <c r="S60" s="19">
        <f>IF(V13="",$B13,V13)</f>
        <v>-7.775455141018261E-3</v>
      </c>
      <c r="T60" s="19">
        <f>IF(W13="",$B13,W13)</f>
        <v>-7.5570121387028835E-3</v>
      </c>
      <c r="U60" s="19">
        <f>IF(X13="",$B13,X13)</f>
        <v>-6.8520208472455085E-3</v>
      </c>
      <c r="V60" s="19">
        <f>IF(Y13="",$B13,Y13)</f>
        <v>-4.7722299844543178E-3</v>
      </c>
      <c r="W60" s="19">
        <f>IF(Z13="",$B13,Z13)</f>
        <v>-6.5632154095492789E-3</v>
      </c>
      <c r="X60" s="19">
        <f>IF(AA13="",$B13,AA13)</f>
        <v>-2.7592735616040411E-3</v>
      </c>
      <c r="Y60" s="19">
        <f>IF(AB13="",$B13,AB13)</f>
        <v>1.6055828405284476E-3</v>
      </c>
      <c r="Z60" s="19">
        <f>IF(AC13="",$B13,AC13)</f>
        <v>-2.7861202238173453E-3</v>
      </c>
      <c r="AA60" s="19">
        <f>IF(AD13="",$B13,AD13)</f>
        <v>1.3726638306608807E-3</v>
      </c>
      <c r="AB60" s="19">
        <f>IF(AE13="",$B13,AE13)</f>
        <v>1.5760443087168661E-3</v>
      </c>
    </row>
    <row r="61" spans="1:28" x14ac:dyDescent="0.25">
      <c r="A61" s="1" t="s">
        <v>33</v>
      </c>
      <c r="B61" s="19">
        <v>0</v>
      </c>
      <c r="C61" s="19">
        <f>IF(F14="",$B14,F14)</f>
        <v>5.1665284598177005E-3</v>
      </c>
      <c r="D61" s="19">
        <f>IF(G14="",$B14,G14)</f>
        <v>-7.0146267292923309E-3</v>
      </c>
      <c r="E61" s="19">
        <f>IF(H14="",$B14,H14)</f>
        <v>-2.1804787431951495E-3</v>
      </c>
      <c r="F61" s="19">
        <f>IF(I14="",$B14,I14)</f>
        <v>-1.9658026589765127E-3</v>
      </c>
      <c r="G61" s="19">
        <f>IF(J14="",$B14,J14)</f>
        <v>3.4221808232174624E-3</v>
      </c>
      <c r="H61" s="19">
        <f>IF(K14="",$B14,K14)</f>
        <v>9.2662134560400431E-3</v>
      </c>
      <c r="I61" s="19">
        <f>IF(L14="",$B14,L14)</f>
        <v>1.1902172444405574E-2</v>
      </c>
      <c r="J61" s="19">
        <f>IF(M14="",$B14,M14)</f>
        <v>1.3256228602350352E-2</v>
      </c>
      <c r="K61" s="19">
        <f>IF(N14="",$B14,N14)</f>
        <v>1.1541124576031072E-2</v>
      </c>
      <c r="L61" s="19">
        <f>IF(O14="",$B14,O14)</f>
        <v>1.3792285866251492E-2</v>
      </c>
      <c r="M61" s="19">
        <f>IF(P14="",$B14,P14)</f>
        <v>1.2039078869105962E-2</v>
      </c>
      <c r="N61" s="19">
        <f>IF(Q14="",$B14,Q14)</f>
        <v>9.7873749511175993E-3</v>
      </c>
      <c r="O61" s="19">
        <f>IF(R14="",$B14,R14)</f>
        <v>1.2944920452565517E-2</v>
      </c>
      <c r="P61" s="19">
        <f>IF(S14="",$B14,S14)</f>
        <v>1.295049711602529E-2</v>
      </c>
      <c r="Q61" s="19">
        <f>IF(T14="",$B14,T14)</f>
        <v>1.3895143200039243E-2</v>
      </c>
      <c r="R61" s="19">
        <f>IF(U14="",$B14,U14)</f>
        <v>1.5380036570542184E-2</v>
      </c>
      <c r="S61" s="19">
        <f>IF(V14="",$B14,V14)</f>
        <v>1.4478317931588609E-2</v>
      </c>
      <c r="T61" s="19">
        <f>IF(W14="",$B14,W14)</f>
        <v>1.4981522745204411E-2</v>
      </c>
      <c r="U61" s="19">
        <f>IF(X14="",$B14,X14)</f>
        <v>1.2937758703953606E-2</v>
      </c>
      <c r="V61" s="19">
        <f>IF(Y14="",$B14,Y14)</f>
        <v>1.2295900700488579E-2</v>
      </c>
      <c r="W61" s="19">
        <f>IF(Z14="",$B14,Z14)</f>
        <v>9.8679939783047638E-3</v>
      </c>
      <c r="X61" s="19">
        <f>IF(AA14="",$B14,AA14)</f>
        <v>1.039189485556552E-2</v>
      </c>
      <c r="Y61" s="19">
        <f>IF(AB14="",$B14,AB14)</f>
        <v>1.4044529973683991E-2</v>
      </c>
      <c r="Z61" s="19">
        <f>IF(AC14="",$B14,AC14)</f>
        <v>1.1747444852246295E-2</v>
      </c>
      <c r="AA61" s="19">
        <f>IF(AD14="",$B14,AD14)</f>
        <v>1.0863789522123265E-2</v>
      </c>
      <c r="AB61" s="19">
        <f>IF(AE14="",$B14,AE14)</f>
        <v>9.1205755023789602E-3</v>
      </c>
    </row>
    <row r="62" spans="1:28" x14ac:dyDescent="0.25">
      <c r="A62" s="1" t="s">
        <v>34</v>
      </c>
      <c r="B62" s="19">
        <v>0</v>
      </c>
      <c r="C62" s="19">
        <f>IF(F15="",$B15,F15)</f>
        <v>2.3999999999999994E-2</v>
      </c>
      <c r="D62" s="19">
        <f>IF(G15="",$B15,G15)</f>
        <v>2.3999999999999994E-2</v>
      </c>
      <c r="E62" s="19">
        <f>IF(H15="",$B15,H15)</f>
        <v>2.3999999999999994E-2</v>
      </c>
      <c r="F62" s="19">
        <f>IF(I15="",$B15,I15)</f>
        <v>2.3999999999999994E-2</v>
      </c>
      <c r="G62" s="19">
        <f>IF(J15="",$B15,J15)</f>
        <v>2.3999999999999994E-2</v>
      </c>
      <c r="H62" s="19">
        <f>IF(K15="",$B15,K15)</f>
        <v>2.3999999999999994E-2</v>
      </c>
      <c r="I62" s="19">
        <f>IF(L15="",$B15,L15)</f>
        <v>2.3999999999999994E-2</v>
      </c>
      <c r="J62" s="19">
        <f>IF(M15="",$B15,M15)</f>
        <v>2.3999999999999994E-2</v>
      </c>
      <c r="K62" s="19">
        <f>IF(N15="",$B15,N15)</f>
        <v>2.3999999999999994E-2</v>
      </c>
      <c r="L62" s="19">
        <f>IF(O15="",$B15,O15)</f>
        <v>2.3999999999999994E-2</v>
      </c>
      <c r="M62" s="19">
        <f>IF(P15="",$B15,P15)</f>
        <v>2.3999999999999994E-2</v>
      </c>
      <c r="N62" s="19">
        <f>IF(Q15="",$B15,Q15)</f>
        <v>2.3999999999999994E-2</v>
      </c>
      <c r="O62" s="19">
        <f>IF(R15="",$B15,R15)</f>
        <v>2.3999999999999994E-2</v>
      </c>
      <c r="P62" s="19">
        <f>IF(S15="",$B15,S15)</f>
        <v>2.3999999999999994E-2</v>
      </c>
      <c r="Q62" s="19">
        <f>IF(T15="",$B15,T15)</f>
        <v>2.3999999999999994E-2</v>
      </c>
      <c r="R62" s="19">
        <f>IF(U15="",$B15,U15)</f>
        <v>2.3999999999999994E-2</v>
      </c>
      <c r="S62" s="19">
        <f>IF(V15="",$B15,V15)</f>
        <v>2.3999999999999994E-2</v>
      </c>
      <c r="T62" s="19">
        <f>IF(W15="",$B15,W15)</f>
        <v>2.3999999999999994E-2</v>
      </c>
      <c r="U62" s="19">
        <f>IF(X15="",$B15,X15)</f>
        <v>2.3999999999999994E-2</v>
      </c>
      <c r="V62" s="19">
        <f>IF(Y15="",$B15,Y15)</f>
        <v>2.3999999999999994E-2</v>
      </c>
      <c r="W62" s="19">
        <f>IF(Z15="",$B15,Z15)</f>
        <v>2.3999999999999994E-2</v>
      </c>
      <c r="X62" s="19">
        <f>IF(AA15="",$B15,AA15)</f>
        <v>2.3999999999999994E-2</v>
      </c>
      <c r="Y62" s="19">
        <f>IF(AB15="",$B15,AB15)</f>
        <v>2.3999999999999994E-2</v>
      </c>
      <c r="Z62" s="19">
        <f>IF(AC15="",$B15,AC15)</f>
        <v>2.3999999999999994E-2</v>
      </c>
      <c r="AA62" s="19">
        <f>IF(AD15="",$B15,AD15)</f>
        <v>2.3999999999999994E-2</v>
      </c>
      <c r="AB62" s="19">
        <f>IF(AE15="",$B15,AE15)</f>
        <v>2.3999999999999994E-2</v>
      </c>
    </row>
    <row r="63" spans="1:28" x14ac:dyDescent="0.25">
      <c r="A63" s="1" t="s">
        <v>10</v>
      </c>
      <c r="B63" s="19">
        <v>0</v>
      </c>
      <c r="C63" s="19">
        <f>IF(F16="",$B16,F16)</f>
        <v>2.5276672821325334E-2</v>
      </c>
      <c r="D63" s="19">
        <f>IF(G16="",$B16,G16)</f>
        <v>3.2237903235623352E-2</v>
      </c>
      <c r="E63" s="19">
        <f>IF(H16="",$B16,H16)</f>
        <v>1.9065157136595724E-2</v>
      </c>
      <c r="F63" s="19">
        <f>IF(I16="",$B16,I16)</f>
        <v>8.743943838241031E-3</v>
      </c>
      <c r="G63" s="19">
        <f>IF(J16="",$B16,J16)</f>
        <v>1.2673275857844482E-2</v>
      </c>
      <c r="H63" s="19">
        <f>IF(K16="",$B16,K16)</f>
        <v>1.6089915221361727E-2</v>
      </c>
      <c r="I63" s="19">
        <f>IF(L16="",$B16,L16)</f>
        <v>1.5982841402497523E-2</v>
      </c>
      <c r="J63" s="19">
        <f>IF(M16="",$B16,M16)</f>
        <v>1.4939756591494166E-2</v>
      </c>
      <c r="K63" s="19">
        <f>IF(N16="",$B16,N16)</f>
        <v>1.2830755726271501E-2</v>
      </c>
      <c r="L63" s="19">
        <f>IF(O16="",$B16,O16)</f>
        <v>1.6364535289412785E-2</v>
      </c>
      <c r="M63" s="19">
        <f>IF(P16="",$B16,P16)</f>
        <v>1.2286501057714854E-2</v>
      </c>
      <c r="N63" s="19">
        <f>IF(Q16="",$B16,Q16)</f>
        <v>8.8574108135729586E-3</v>
      </c>
      <c r="O63" s="19">
        <f>IF(R16="",$B16,R16)</f>
        <v>1.1628070834384434E-2</v>
      </c>
      <c r="P63" s="19">
        <f>IF(S16="",$B16,S16)</f>
        <v>9.7860372275935872E-3</v>
      </c>
      <c r="Q63" s="19">
        <f>IF(T16="",$B16,T16)</f>
        <v>1.0200526850584537E-2</v>
      </c>
      <c r="R63" s="19">
        <f>IF(U16="",$B16,U16)</f>
        <v>1.1442643402212928E-2</v>
      </c>
      <c r="S63" s="19">
        <f>IF(V16="",$B16,V16)</f>
        <v>9.8054805769355428E-3</v>
      </c>
      <c r="T63" s="19">
        <f>IF(W16="",$B16,W16)</f>
        <v>1.0513830841450729E-2</v>
      </c>
      <c r="U63" s="19">
        <f>IF(X16="",$B16,X16)</f>
        <v>7.2484337617855681E-3</v>
      </c>
      <c r="V63" s="19">
        <f>IF(Y16="",$B16,Y16)</f>
        <v>7.5497788815160173E-3</v>
      </c>
      <c r="W63" s="19">
        <f>IF(Z16="",$B16,Z16)</f>
        <v>5.9624590784993761E-3</v>
      </c>
      <c r="X63" s="19">
        <f>IF(AA16="",$B16,AA16)</f>
        <v>6.6212919310544615E-3</v>
      </c>
      <c r="Y63" s="19">
        <f>IF(AB16="",$B16,AB16)</f>
        <v>7.6848159738344126E-3</v>
      </c>
      <c r="Z63" s="19">
        <f>IF(AC16="",$B16,AC16)</f>
        <v>6.7880871828263053E-3</v>
      </c>
      <c r="AA63" s="19">
        <f>IF(AD16="",$B16,AD16)</f>
        <v>7.2496980406510213E-3</v>
      </c>
      <c r="AB63" s="19">
        <f>IF(AE16="",$B16,AE16)</f>
        <v>5.7409853063217558E-3</v>
      </c>
    </row>
    <row r="64" spans="1:28" x14ac:dyDescent="0.25">
      <c r="A64" s="1" t="s">
        <v>38</v>
      </c>
      <c r="B64" s="19">
        <v>0</v>
      </c>
      <c r="C64" s="19">
        <f>IF(F17="",$B17,F17)</f>
        <v>-7.4908174144431433E-3</v>
      </c>
      <c r="D64" s="19">
        <f>IF(G17="",$B17,G17)</f>
        <v>-2.219889907326098E-3</v>
      </c>
      <c r="E64" s="19">
        <f>IF(H17="",$B17,H17)</f>
        <v>-5.7708467779691024E-4</v>
      </c>
      <c r="F64" s="19">
        <f>IF(I17="",$B17,I17)</f>
        <v>1.5666446419822092E-3</v>
      </c>
      <c r="G64" s="19">
        <f>IF(J17="",$B17,J17)</f>
        <v>2.1668563065671527E-3</v>
      </c>
      <c r="H64" s="19">
        <f>IF(K17="",$B17,K17)</f>
        <v>2.8976923153809821E-3</v>
      </c>
      <c r="I64" s="19">
        <f>IF(L17="",$B17,L17)</f>
        <v>4.9074456067386566E-3</v>
      </c>
      <c r="J64" s="19">
        <f>IF(M17="",$B17,M17)</f>
        <v>6.3263001583297156E-3</v>
      </c>
      <c r="K64" s="19">
        <f>IF(N17="",$B17,N17)</f>
        <v>6.1604455927479424E-3</v>
      </c>
      <c r="L64" s="19">
        <f>IF(O17="",$B17,O17)</f>
        <v>6.6765834151234363E-3</v>
      </c>
      <c r="M64" s="19">
        <f>IF(P17="",$B17,P17)</f>
        <v>7.5155464213653086E-3</v>
      </c>
      <c r="N64" s="19">
        <f>IF(Q17="",$B17,Q17)</f>
        <v>7.3118108154134782E-3</v>
      </c>
      <c r="O64" s="19">
        <f>IF(R17="",$B17,R17)</f>
        <v>8.1471680035677917E-3</v>
      </c>
      <c r="P64" s="19">
        <f>IF(S17="",$B17,S17)</f>
        <v>8.8415853784856412E-3</v>
      </c>
      <c r="Q64" s="19">
        <f>IF(T17="",$B17,T17)</f>
        <v>8.9948486241481409E-3</v>
      </c>
      <c r="R64" s="19">
        <f>IF(U17="",$B17,U17)</f>
        <v>9.5143391653547075E-3</v>
      </c>
      <c r="S64" s="19">
        <f>IF(V17="",$B17,V17)</f>
        <v>9.5589248341786774E-3</v>
      </c>
      <c r="T64" s="19">
        <f>IF(W17="",$B17,W17)</f>
        <v>9.3129246665070373E-3</v>
      </c>
      <c r="U64" s="19">
        <f>IF(X17="",$B17,X17)</f>
        <v>8.5874401774429874E-3</v>
      </c>
      <c r="V64" s="19">
        <f>IF(Y17="",$B17,Y17)</f>
        <v>7.6326425300024528E-3</v>
      </c>
      <c r="W64" s="19">
        <f>IF(Z17="",$B17,Z17)</f>
        <v>6.8916069335465749E-3</v>
      </c>
      <c r="X64" s="19">
        <f>IF(AA17="",$B17,AA17)</f>
        <v>6.4393701847180315E-3</v>
      </c>
      <c r="Y64" s="19">
        <f>IF(AB17="",$B17,AB17)</f>
        <v>6.9259305262286321E-3</v>
      </c>
      <c r="Z64" s="19">
        <f>IF(AC17="",$B17,AC17)</f>
        <v>7.3185829013002893E-3</v>
      </c>
      <c r="AA64" s="19">
        <f>IF(AD17="",$B17,AD17)</f>
        <v>7.2991270567981771E-3</v>
      </c>
      <c r="AB64" s="19">
        <f>IF(AE17="",$B17,AE17)</f>
        <v>6.7480814592061258E-3</v>
      </c>
    </row>
    <row r="65" spans="1:28" x14ac:dyDescent="0.25">
      <c r="A65" s="1" t="s">
        <v>39</v>
      </c>
      <c r="B65" s="19">
        <v>0</v>
      </c>
      <c r="C65" s="19">
        <f>IF(F18="",$B18,F18)</f>
        <v>2.8758968843308514E-3</v>
      </c>
      <c r="D65" s="19">
        <f>IF(G18="",$B18,G18)</f>
        <v>2.6611884172840447E-3</v>
      </c>
      <c r="E65" s="19">
        <f>IF(H18="",$B18,H18)</f>
        <v>7.759210897801753E-3</v>
      </c>
      <c r="F65" s="19">
        <f>IF(I18="",$B18,I18)</f>
        <v>6.8832414257101833E-3</v>
      </c>
      <c r="G65" s="19">
        <f>IF(J18="",$B18,J18)</f>
        <v>2.8769669108611659E-3</v>
      </c>
      <c r="H65" s="19">
        <f>IF(K18="",$B18,K18)</f>
        <v>9.6662743340838672E-3</v>
      </c>
      <c r="I65" s="19">
        <f>IF(L18="",$B18,L18)</f>
        <v>1.463371347473617E-2</v>
      </c>
      <c r="J65" s="19">
        <f>IF(M18="",$B18,M18)</f>
        <v>1.2442837403581899E-2</v>
      </c>
      <c r="K65" s="19">
        <f>IF(N18="",$B18,N18)</f>
        <v>8.048625888105591E-3</v>
      </c>
      <c r="L65" s="19">
        <f>IF(O18="",$B18,O18)</f>
        <v>6.2364583733723975E-3</v>
      </c>
      <c r="M65" s="19">
        <f>IF(P18="",$B18,P18)</f>
        <v>8.3328402484759232E-3</v>
      </c>
      <c r="N65" s="19">
        <f>IF(Q18="",$B18,Q18)</f>
        <v>8.7089386112522617E-3</v>
      </c>
      <c r="O65" s="19">
        <f>IF(R18="",$B18,R18)</f>
        <v>9.1485101006814167E-3</v>
      </c>
      <c r="P65" s="19">
        <f>IF(S18="",$B18,S18)</f>
        <v>1.0274285952720752E-2</v>
      </c>
      <c r="Q65" s="19">
        <f>IF(T18="",$B18,T18)</f>
        <v>9.1445911311367652E-3</v>
      </c>
      <c r="R65" s="19">
        <f>IF(U18="",$B18,U18)</f>
        <v>5.309111534979323E-3</v>
      </c>
      <c r="S65" s="19">
        <f>IF(V18="",$B18,V18)</f>
        <v>2.6442218615866566E-3</v>
      </c>
      <c r="T65" s="19">
        <f>IF(W18="",$B18,W18)</f>
        <v>7.3590650868227635E-4</v>
      </c>
      <c r="U65" s="19">
        <f>IF(X18="",$B18,X18)</f>
        <v>-3.5587572707516907E-3</v>
      </c>
      <c r="V65" s="19">
        <f>IF(Y18="",$B18,Y18)</f>
        <v>-6.5390491722112443E-3</v>
      </c>
      <c r="W65" s="19">
        <f>IF(Z18="",$B18,Z18)</f>
        <v>3.4545986048377495E-4</v>
      </c>
      <c r="X65" s="19">
        <f>IF(AA18="",$B18,AA18)</f>
        <v>5.03403008082775E-3</v>
      </c>
      <c r="Y65" s="19">
        <f>IF(AB18="",$B18,AB18)</f>
        <v>6.012796646848337E-3</v>
      </c>
      <c r="Z65" s="19">
        <f>IF(AC18="",$B18,AC18)</f>
        <v>6.9933162333010689E-3</v>
      </c>
      <c r="AA65" s="19">
        <f>IF(AD18="",$B18,AD18)</f>
        <v>7.154478000018772E-3</v>
      </c>
      <c r="AB65" s="19">
        <f>IF(AE18="",$B18,AE18)</f>
        <v>7.7567565872567711E-3</v>
      </c>
    </row>
    <row r="66" spans="1:28" x14ac:dyDescent="0.25">
      <c r="A66" s="1" t="s">
        <v>40</v>
      </c>
      <c r="B66" s="19">
        <v>0</v>
      </c>
      <c r="C66" s="19">
        <f>IF(F19="",$B19,F19)</f>
        <v>2.5613569332120188E-2</v>
      </c>
      <c r="D66" s="19">
        <f>IF(G19="",$B19,G19)</f>
        <v>3.7003969697100805E-2</v>
      </c>
      <c r="E66" s="19">
        <f>IF(H19="",$B19,H19)</f>
        <v>5.8777775804510672E-3</v>
      </c>
      <c r="F66" s="19">
        <f>IF(I19="",$B19,I19)</f>
        <v>-6.2913312730956805E-3</v>
      </c>
      <c r="G66" s="19">
        <f>IF(J19="",$B19,J19)</f>
        <v>-2.2220347768707573E-3</v>
      </c>
      <c r="H66" s="19">
        <f>IF(K19="",$B19,K19)</f>
        <v>8.5113627870292471E-3</v>
      </c>
      <c r="I66" s="19">
        <f>IF(L19="",$B19,L19)</f>
        <v>1.2993822769242994E-2</v>
      </c>
      <c r="J66" s="19">
        <f>IF(M19="",$B19,M19)</f>
        <v>1.2291591924551025E-2</v>
      </c>
      <c r="K66" s="19">
        <f>IF(N19="",$B19,N19)</f>
        <v>-3.0455196784383767E-3</v>
      </c>
      <c r="L66" s="19">
        <f>IF(O19="",$B19,O19)</f>
        <v>6.8541019069923177E-3</v>
      </c>
      <c r="M66" s="19">
        <f>IF(P19="",$B19,P19)</f>
        <v>6.12673531846257E-3</v>
      </c>
      <c r="N66" s="19">
        <f>IF(Q19="",$B19,Q19)</f>
        <v>5.0886919801239085E-3</v>
      </c>
      <c r="O66" s="19">
        <f>IF(R19="",$B19,R19)</f>
        <v>1.3148835915409862E-2</v>
      </c>
      <c r="P66" s="19">
        <f>IF(S19="",$B19,S19)</f>
        <v>9.8784120150077984E-3</v>
      </c>
      <c r="Q66" s="19">
        <f>IF(T19="",$B19,T19)</f>
        <v>9.596685533981391E-3</v>
      </c>
      <c r="R66" s="19">
        <f>IF(U19="",$B19,U19)</f>
        <v>1.7331364941662559E-2</v>
      </c>
      <c r="S66" s="19">
        <f>IF(V19="",$B19,V19)</f>
        <v>1.1040176898259622E-2</v>
      </c>
      <c r="T66" s="19">
        <f>IF(W19="",$B19,W19)</f>
        <v>7.4664772243642537E-3</v>
      </c>
      <c r="U66" s="19">
        <f>IF(X19="",$B19,X19)</f>
        <v>1.3458967406355701E-2</v>
      </c>
      <c r="V66" s="19">
        <f>IF(Y19="",$B19,Y19)</f>
        <v>1.0370298790696723E-2</v>
      </c>
      <c r="W66" s="19">
        <f>IF(Z19="",$B19,Z19)</f>
        <v>6.2878073296410743E-3</v>
      </c>
      <c r="X66" s="19">
        <f>IF(AA19="",$B19,AA19)</f>
        <v>3.8367329299624805E-3</v>
      </c>
      <c r="Y66" s="19">
        <f>IF(AB19="",$B19,AB19)</f>
        <v>8.7479445594834896E-3</v>
      </c>
      <c r="Z66" s="19">
        <f>IF(AC19="",$B19,AC19)</f>
        <v>3.4651327862656187E-3</v>
      </c>
      <c r="AA66" s="19">
        <f>IF(AD19="",$B19,AD19)</f>
        <v>1.6339766481327236E-3</v>
      </c>
      <c r="AB66" s="19">
        <f>IF(AE19="",$B19,AE19)</f>
        <v>1.8384485031032781E-3</v>
      </c>
    </row>
    <row r="67" spans="1:28" x14ac:dyDescent="0.25">
      <c r="A67" s="1" t="s">
        <v>41</v>
      </c>
      <c r="B67" s="19">
        <v>0</v>
      </c>
      <c r="C67" s="19">
        <f>IF(F20="",$B20,F20)</f>
        <v>4.8085548520599287E-4</v>
      </c>
      <c r="D67" s="19">
        <f>IF(G20="",$B20,G20)</f>
        <v>4.3021762100511956E-3</v>
      </c>
      <c r="E67" s="19">
        <f>IF(H20="",$B20,H20)</f>
        <v>1.2433998812807771E-2</v>
      </c>
      <c r="F67" s="19">
        <f>IF(I20="",$B20,I20)</f>
        <v>9.1902666563116828E-3</v>
      </c>
      <c r="G67" s="19">
        <f>IF(J20="",$B20,J20)</f>
        <v>9.0229544990572935E-3</v>
      </c>
      <c r="H67" s="19">
        <f>IF(K20="",$B20,K20)</f>
        <v>9.0244781811672885E-3</v>
      </c>
      <c r="I67" s="19">
        <f>IF(L20="",$B20,L20)</f>
        <v>8.9125289908655436E-3</v>
      </c>
      <c r="J67" s="19">
        <f>IF(M20="",$B20,M20)</f>
        <v>9.6918535142110889E-3</v>
      </c>
      <c r="K67" s="19">
        <f>IF(N20="",$B20,N20)</f>
        <v>9.7843163826577505E-3</v>
      </c>
      <c r="L67" s="19">
        <f>IF(O20="",$B20,O20)</f>
        <v>9.8974213328275433E-3</v>
      </c>
      <c r="M67" s="19">
        <f>IF(P20="",$B20,P20)</f>
        <v>1.0564132575033903E-2</v>
      </c>
      <c r="N67" s="19">
        <f>IF(Q20="",$B20,Q20)</f>
        <v>1.0462976947643258E-2</v>
      </c>
      <c r="O67" s="19">
        <f>IF(R20="",$B20,R20)</f>
        <v>1.0567106231769728E-2</v>
      </c>
      <c r="P67" s="19">
        <f>IF(S20="",$B20,S20)</f>
        <v>1.0676754163921066E-2</v>
      </c>
      <c r="Q67" s="19">
        <f>IF(T20="",$B20,T20)</f>
        <v>1.0495914051159759E-2</v>
      </c>
      <c r="R67" s="19">
        <f>IF(U20="",$B20,U20)</f>
        <v>1.035433019445004E-2</v>
      </c>
      <c r="S67" s="19">
        <f>IF(V20="",$B20,V20)</f>
        <v>1.0154100971729146E-2</v>
      </c>
      <c r="T67" s="19">
        <f>IF(W20="",$B20,W20)</f>
        <v>9.8068794369592233E-3</v>
      </c>
      <c r="U67" s="19">
        <f>IF(X20="",$B20,X20)</f>
        <v>9.423171616471061E-3</v>
      </c>
      <c r="V67" s="19">
        <f>IF(Y20="",$B20,Y20)</f>
        <v>8.9285600671937942E-3</v>
      </c>
      <c r="W67" s="19">
        <f>IF(Z20="",$B20,Z20)</f>
        <v>8.3201740005312656E-3</v>
      </c>
      <c r="X67" s="19">
        <f>IF(AA20="",$B20,AA20)</f>
        <v>7.6648625575944746E-3</v>
      </c>
      <c r="Y67" s="19">
        <f>IF(AB20="",$B20,AB20)</f>
        <v>7.3077182243862625E-3</v>
      </c>
      <c r="Z67" s="19">
        <f>IF(AC20="",$B20,AC20)</f>
        <v>6.827314240560026E-3</v>
      </c>
      <c r="AA67" s="19">
        <f>IF(AD20="",$B20,AD20)</f>
        <v>6.3460174197382856E-3</v>
      </c>
      <c r="AB67" s="19">
        <f>IF(AE20="",$B20,AE20)</f>
        <v>5.8078259697992279E-3</v>
      </c>
    </row>
    <row r="68" spans="1:28" x14ac:dyDescent="0.25">
      <c r="A68" s="1" t="s">
        <v>11</v>
      </c>
      <c r="B68" s="19">
        <v>0</v>
      </c>
      <c r="C68" s="19">
        <f>IF(F21="",$B21,F21)</f>
        <v>1.9738770957129118E-2</v>
      </c>
      <c r="D68" s="19">
        <f>IF(G21="",$B21,G21)</f>
        <v>3.9976348116889528E-2</v>
      </c>
      <c r="E68" s="19">
        <f>IF(H21="",$B21,H21)</f>
        <v>2.4204496405237384E-2</v>
      </c>
      <c r="F68" s="19">
        <f>IF(I21="",$B21,I21)</f>
        <v>2.0176796469153916E-3</v>
      </c>
      <c r="G68" s="19">
        <f>IF(J21="",$B21,J21)</f>
        <v>2.4605609924862304E-3</v>
      </c>
      <c r="H68" s="19">
        <f>IF(K21="",$B21,K21)</f>
        <v>7.6662526427296075E-3</v>
      </c>
      <c r="I68" s="19">
        <f>IF(L21="",$B21,L21)</f>
        <v>8.9250177708341399E-3</v>
      </c>
      <c r="J68" s="19">
        <f>IF(M21="",$B21,M21)</f>
        <v>1.0024152776809256E-2</v>
      </c>
      <c r="K68" s="19">
        <f>IF(N21="",$B21,N21)</f>
        <v>2.3351316034470769E-3</v>
      </c>
      <c r="L68" s="19">
        <f>IF(O21="",$B21,O21)</f>
        <v>1.0785332645749539E-2</v>
      </c>
      <c r="M68" s="19">
        <f>IF(P21="",$B21,P21)</f>
        <v>4.9207921098938841E-3</v>
      </c>
      <c r="N68" s="19">
        <f>IF(Q21="",$B21,Q21)</f>
        <v>7.282326248096503E-3</v>
      </c>
      <c r="O68" s="19">
        <f>IF(R21="",$B21,R21)</f>
        <v>1.1348554299052294E-2</v>
      </c>
      <c r="P68" s="19">
        <f>IF(S21="",$B21,S21)</f>
        <v>8.2424794374706192E-3</v>
      </c>
      <c r="Q68" s="19">
        <f>IF(T21="",$B21,T21)</f>
        <v>8.5111512463578662E-3</v>
      </c>
      <c r="R68" s="19">
        <f>IF(U21="",$B21,U21)</f>
        <v>1.0651693669743565E-2</v>
      </c>
      <c r="S68" s="19">
        <f>IF(V21="",$B21,V21)</f>
        <v>7.6020744531030103E-3</v>
      </c>
      <c r="T68" s="19">
        <f>IF(W21="",$B21,W21)</f>
        <v>7.6196045676035912E-3</v>
      </c>
      <c r="U68" s="19">
        <f>IF(X21="",$B21,X21)</f>
        <v>4.3991860149951018E-3</v>
      </c>
      <c r="V68" s="19">
        <f>IF(Y21="",$B21,Y21)</f>
        <v>7.3801300177969934E-3</v>
      </c>
      <c r="W68" s="19">
        <f>IF(Z21="",$B21,Z21)</f>
        <v>3.1595195107395001E-3</v>
      </c>
      <c r="X68" s="19">
        <f>IF(AA21="",$B21,AA21)</f>
        <v>5.719923905263693E-3</v>
      </c>
      <c r="Y68" s="19">
        <f>IF(AB21="",$B21,AB21)</f>
        <v>4.8703193087717284E-3</v>
      </c>
      <c r="Z68" s="19">
        <f>IF(AC21="",$B21,AC21)</f>
        <v>3.747202395853032E-3</v>
      </c>
      <c r="AA68" s="19">
        <f>IF(AD21="",$B21,AD21)</f>
        <v>5.6341714250191409E-3</v>
      </c>
      <c r="AB68" s="19">
        <f>IF(AE21="",$B21,AE21)</f>
        <v>1.1027708646899088E-4</v>
      </c>
    </row>
    <row r="69" spans="1:28" x14ac:dyDescent="0.25">
      <c r="A69" s="1" t="s">
        <v>12</v>
      </c>
      <c r="B69" s="19">
        <v>0</v>
      </c>
      <c r="C69" s="19">
        <f>IF(F22="",$B22,F22)</f>
        <v>4.0341986957305703E-2</v>
      </c>
      <c r="D69" s="19">
        <f>IF(G22="",$B22,G22)</f>
        <v>2.0697348961222845E-2</v>
      </c>
      <c r="E69" s="19">
        <f>IF(H22="",$B22,H22)</f>
        <v>3.9297895693808656E-2</v>
      </c>
      <c r="F69" s="19">
        <f>IF(I22="",$B22,I22)</f>
        <v>4.1176560553875856E-2</v>
      </c>
      <c r="G69" s="19">
        <f>IF(J22="",$B22,J22)</f>
        <v>3.1988452241194516E-2</v>
      </c>
      <c r="H69" s="19">
        <f>IF(K22="",$B22,K22)</f>
        <v>2.9724162757082864E-2</v>
      </c>
      <c r="I69" s="19">
        <f>IF(L22="",$B22,L22)</f>
        <v>2.7435824989091986E-2</v>
      </c>
      <c r="J69" s="19">
        <f>IF(M22="",$B22,M22)</f>
        <v>2.8405899876797865E-2</v>
      </c>
      <c r="K69" s="19">
        <f>IF(N22="",$B22,N22)</f>
        <v>2.1626480166288091E-2</v>
      </c>
      <c r="L69" s="19">
        <f>IF(O22="",$B22,O22)</f>
        <v>2.3304634210793419E-2</v>
      </c>
      <c r="M69" s="19">
        <f>IF(P22="",$B22,P22)</f>
        <v>2.5789017813354784E-2</v>
      </c>
      <c r="N69" s="19">
        <f>IF(Q22="",$B22,Q22)</f>
        <v>2.8434078790827457E-2</v>
      </c>
      <c r="O69" s="19">
        <f>IF(R22="",$B22,R22)</f>
        <v>2.8374852932959483E-2</v>
      </c>
      <c r="P69" s="19">
        <f>IF(S22="",$B22,S22)</f>
        <v>2.8095849631758485E-2</v>
      </c>
      <c r="Q69" s="19">
        <f>IF(T22="",$B22,T22)</f>
        <v>2.9590381457354115E-2</v>
      </c>
      <c r="R69" s="19">
        <f>IF(U22="",$B22,U22)</f>
        <v>3.0855158479365177E-2</v>
      </c>
      <c r="S69" s="19">
        <f>IF(V22="",$B22,V22)</f>
        <v>3.0793892500719337E-2</v>
      </c>
      <c r="T69" s="19">
        <f>IF(W22="",$B22,W22)</f>
        <v>3.0978558646699728E-2</v>
      </c>
      <c r="U69" s="19">
        <f>IF(X22="",$B22,X22)</f>
        <v>2.9622739332982113E-2</v>
      </c>
      <c r="V69" s="19">
        <f>IF(Y22="",$B22,Y22)</f>
        <v>3.0732642162926153E-2</v>
      </c>
      <c r="W69" s="19">
        <f>IF(Z22="",$B22,Z22)</f>
        <v>2.94655391359828E-2</v>
      </c>
      <c r="X69" s="19">
        <f>IF(AA22="",$B22,AA22)</f>
        <v>3.1483280767382542E-2</v>
      </c>
      <c r="Y69" s="19">
        <f>IF(AB22="",$B22,AB22)</f>
        <v>3.1770176933170823E-2</v>
      </c>
      <c r="Z69" s="19">
        <f>IF(AC22="",$B22,AC22)</f>
        <v>3.1260480142397497E-2</v>
      </c>
      <c r="AA69" s="19">
        <f>IF(AD22="",$B22,AD22)</f>
        <v>3.0878435169586178E-2</v>
      </c>
      <c r="AB69" s="19">
        <f>IF(AE22="",$B22,AE22)</f>
        <v>3.0213935157767595E-2</v>
      </c>
    </row>
    <row r="70" spans="1:28" x14ac:dyDescent="0.25">
      <c r="A70" s="1" t="s">
        <v>13</v>
      </c>
      <c r="B70" s="19">
        <v>0</v>
      </c>
      <c r="C70" s="19">
        <f>IF(F23="",$B23,F23)</f>
        <v>6.1082305929953812E-3</v>
      </c>
      <c r="D70" s="19">
        <f>IF(G23="",$B23,G23)</f>
        <v>-7.0710087808703598E-3</v>
      </c>
      <c r="E70" s="19">
        <f>IF(H23="",$B23,H23)</f>
        <v>1.3504401732057152E-2</v>
      </c>
      <c r="F70" s="19">
        <f>IF(I23="",$B23,I23)</f>
        <v>2.119209799457222E-2</v>
      </c>
      <c r="G70" s="19">
        <f>IF(J23="",$B23,J23)</f>
        <v>1.5173509382508778E-2</v>
      </c>
      <c r="H70" s="19">
        <f>IF(K23="",$B23,K23)</f>
        <v>1.3421638796532437E-2</v>
      </c>
      <c r="I70" s="19">
        <f>IF(L23="",$B23,L23)</f>
        <v>8.121124232167435E-3</v>
      </c>
      <c r="J70" s="19">
        <f>IF(M23="",$B23,M23)</f>
        <v>8.9584599702703625E-3</v>
      </c>
      <c r="K70" s="19">
        <f>IF(N23="",$B23,N23)</f>
        <v>-1.3943215593897776E-4</v>
      </c>
      <c r="L70" s="19">
        <f>IF(O23="",$B23,O23)</f>
        <v>1.7256908691964505E-3</v>
      </c>
      <c r="M70" s="19">
        <f>IF(P23="",$B23,P23)</f>
        <v>4.373309610043165E-3</v>
      </c>
      <c r="N70" s="19">
        <f>IF(Q23="",$B23,Q23)</f>
        <v>5.1070022034831438E-3</v>
      </c>
      <c r="O70" s="19">
        <f>IF(R23="",$B23,R23)</f>
        <v>6.1709520129535596E-3</v>
      </c>
      <c r="P70" s="19">
        <f>IF(S23="",$B23,S23)</f>
        <v>4.8454592173849389E-3</v>
      </c>
      <c r="Q70" s="19">
        <f>IF(T23="",$B23,T23)</f>
        <v>6.1289621751260646E-3</v>
      </c>
      <c r="R70" s="19">
        <f>IF(U23="",$B23,U23)</f>
        <v>7.510353227957762E-3</v>
      </c>
      <c r="S70" s="19">
        <f>IF(V23="",$B23,V23)</f>
        <v>6.3858309914392479E-3</v>
      </c>
      <c r="T70" s="19">
        <f>IF(W23="",$B23,W23)</f>
        <v>6.0842508718275349E-3</v>
      </c>
      <c r="U70" s="19">
        <f>IF(X23="",$B23,X23)</f>
        <v>4.8222277281931743E-3</v>
      </c>
      <c r="V70" s="19">
        <f>IF(Y23="",$B23,Y23)</f>
        <v>5.4477429505724248E-3</v>
      </c>
      <c r="W70" s="19">
        <f>IF(Z23="",$B23,Z23)</f>
        <v>3.8263747288985097E-3</v>
      </c>
      <c r="X70" s="19">
        <f>IF(AA23="",$B23,AA23)</f>
        <v>5.2428393647984042E-3</v>
      </c>
      <c r="Y70" s="19">
        <f>IF(AB23="",$B23,AB23)</f>
        <v>6.2298576817025175E-3</v>
      </c>
      <c r="Z70" s="19">
        <f>IF(AC23="",$B23,AC23)</f>
        <v>4.0579412632520224E-3</v>
      </c>
      <c r="AA70" s="19">
        <f>IF(AD23="",$B23,AD23)</f>
        <v>4.1390966473187959E-3</v>
      </c>
      <c r="AB70" s="19">
        <f>IF(AE23="",$B23,AE23)</f>
        <v>2.8080629834392953E-3</v>
      </c>
    </row>
    <row r="71" spans="1:28" x14ac:dyDescent="0.25">
      <c r="A71" s="1" t="s">
        <v>14</v>
      </c>
      <c r="B71" s="19">
        <v>0</v>
      </c>
      <c r="C71" s="19">
        <f>IF(F24="",$B24,F24)</f>
        <v>1.1611440015510028E-2</v>
      </c>
      <c r="D71" s="19">
        <f>IF(G24="",$B24,G24)</f>
        <v>2.0397328252548544E-2</v>
      </c>
      <c r="E71" s="19">
        <f>IF(H24="",$B24,H24)</f>
        <v>3.8195856689378506E-2</v>
      </c>
      <c r="F71" s="19">
        <f>IF(I24="",$B24,I24)</f>
        <v>2.1175999317324053E-2</v>
      </c>
      <c r="G71" s="19">
        <f>IF(J24="",$B24,J24)</f>
        <v>1.773293150372288E-2</v>
      </c>
      <c r="H71" s="19">
        <f>IF(K24="",$B24,K24)</f>
        <v>2.0287012576632988E-2</v>
      </c>
      <c r="I71" s="19">
        <f>IF(L24="",$B24,L24)</f>
        <v>1.5003022533577336E-2</v>
      </c>
      <c r="J71" s="19">
        <f>IF(M24="",$B24,M24)</f>
        <v>1.3286663322288493E-2</v>
      </c>
      <c r="K71" s="19">
        <f>IF(N24="",$B24,N24)</f>
        <v>3.724995981628355E-3</v>
      </c>
      <c r="L71" s="19">
        <f>IF(O24="",$B24,O24)</f>
        <v>9.553299701447894E-3</v>
      </c>
      <c r="M71" s="19">
        <f>IF(P24="",$B24,P24)</f>
        <v>7.4225795381832951E-3</v>
      </c>
      <c r="N71" s="19">
        <f>IF(Q24="",$B24,Q24)</f>
        <v>8.0605511549397216E-3</v>
      </c>
      <c r="O71" s="19">
        <f>IF(R24="",$B24,R24)</f>
        <v>8.0001019148630143E-3</v>
      </c>
      <c r="P71" s="19">
        <f>IF(S24="",$B24,S24)</f>
        <v>3.2246305387631431E-3</v>
      </c>
      <c r="Q71" s="19">
        <f>IF(T24="",$B24,T24)</f>
        <v>2.4449496076674694E-3</v>
      </c>
      <c r="R71" s="19">
        <f>IF(U24="",$B24,U24)</f>
        <v>3.9622788377232671E-3</v>
      </c>
      <c r="S71" s="19">
        <f>IF(V24="",$B24,V24)</f>
        <v>2.2944966452387778E-3</v>
      </c>
      <c r="T71" s="19">
        <f>IF(W24="",$B24,W24)</f>
        <v>2.3730486788303166E-3</v>
      </c>
      <c r="U71" s="19">
        <f>IF(X24="",$B24,X24)</f>
        <v>1.2327617136785359E-3</v>
      </c>
      <c r="V71" s="19">
        <f>IF(Y24="",$B24,Y24)</f>
        <v>2.0814873591373027E-3</v>
      </c>
      <c r="W71" s="19">
        <f>IF(Z24="",$B24,Z24)</f>
        <v>6.0770454209637878E-4</v>
      </c>
      <c r="X71" s="19">
        <f>IF(AA24="",$B24,AA24)</f>
        <v>2.6266681139795458E-3</v>
      </c>
      <c r="Y71" s="19">
        <f>IF(AB24="",$B24,AB24)</f>
        <v>4.2276321584782907E-3</v>
      </c>
      <c r="Z71" s="19">
        <f>IF(AC24="",$B24,AC24)</f>
        <v>6.6506050789169157E-4</v>
      </c>
      <c r="AA71" s="19">
        <f>IF(AD24="",$B24,AD24)</f>
        <v>2.6259590211581037E-3</v>
      </c>
      <c r="AB71" s="19">
        <f>IF(AE24="",$B24,AE24)</f>
        <v>7.3801012825887703E-4</v>
      </c>
    </row>
    <row r="72" spans="1:28" x14ac:dyDescent="0.25">
      <c r="A72" s="1" t="s">
        <v>15</v>
      </c>
      <c r="B72" s="19">
        <v>0</v>
      </c>
      <c r="C72" s="19">
        <f>IF(F25="",$B25,F25)</f>
        <v>6.313256631121518E-2</v>
      </c>
      <c r="D72" s="19">
        <f>IF(G25="",$B25,G25)</f>
        <v>6.7361308268330894E-2</v>
      </c>
      <c r="E72" s="19">
        <f>IF(H25="",$B25,H25)</f>
        <v>1.9112996366713958E-2</v>
      </c>
      <c r="F72" s="19">
        <f>IF(I25="",$B25,I25)</f>
        <v>2.0986226956889072E-2</v>
      </c>
      <c r="G72" s="19">
        <f>IF(J25="",$B25,J25)</f>
        <v>1.8688980260479108E-2</v>
      </c>
      <c r="H72" s="19">
        <f>IF(K25="",$B25,K25)</f>
        <v>1.1038825611799526E-2</v>
      </c>
      <c r="I72" s="19">
        <f>IF(L25="",$B25,L25)</f>
        <v>9.748801168807024E-4</v>
      </c>
      <c r="J72" s="19">
        <f>IF(M25="",$B25,M25)</f>
        <v>8.1502480371217628E-3</v>
      </c>
      <c r="K72" s="19">
        <f>IF(N25="",$B25,N25)</f>
        <v>9.9712855262177758E-3</v>
      </c>
      <c r="L72" s="19">
        <f>IF(O25="",$B25,O25)</f>
        <v>2.2265435292679797E-2</v>
      </c>
      <c r="M72" s="19">
        <f>IF(P25="",$B25,P25)</f>
        <v>1.415169624193425E-2</v>
      </c>
      <c r="N72" s="19">
        <f>IF(Q25="",$B25,Q25)</f>
        <v>8.8713525714669197E-3</v>
      </c>
      <c r="O72" s="19">
        <f>IF(R25="",$B25,R25)</f>
        <v>1.0377804517042103E-2</v>
      </c>
      <c r="P72" s="19">
        <f>IF(S25="",$B25,S25)</f>
        <v>1.2468071083287119E-2</v>
      </c>
      <c r="Q72" s="19">
        <f>IF(T25="",$B25,T25)</f>
        <v>1.3263515463534808E-2</v>
      </c>
      <c r="R72" s="19">
        <f>IF(U25="",$B25,U25)</f>
        <v>1.2234935486134028E-2</v>
      </c>
      <c r="S72" s="19">
        <f>IF(V25="",$B25,V25)</f>
        <v>9.9490877879636463E-3</v>
      </c>
      <c r="T72" s="19">
        <f>IF(W25="",$B25,W25)</f>
        <v>1.0605153209128106E-2</v>
      </c>
      <c r="U72" s="19">
        <f>IF(X25="",$B25,X25)</f>
        <v>8.4250367861470211E-3</v>
      </c>
      <c r="V72" s="19">
        <f>IF(Y25="",$B25,Y25)</f>
        <v>9.3299485142444936E-3</v>
      </c>
      <c r="W72" s="19">
        <f>IF(Z25="",$B25,Z25)</f>
        <v>1.0345116531082525E-2</v>
      </c>
      <c r="X72" s="19">
        <f>IF(AA25="",$B25,AA25)</f>
        <v>9.9202079395913304E-3</v>
      </c>
      <c r="Y72" s="19">
        <f>IF(AB25="",$B25,AB25)</f>
        <v>9.5822478686575889E-3</v>
      </c>
      <c r="Z72" s="19">
        <f>IF(AC25="",$B25,AC25)</f>
        <v>9.3710449071168975E-3</v>
      </c>
      <c r="AA72" s="19">
        <f>IF(AD25="",$B25,AD25)</f>
        <v>8.1034708515457746E-3</v>
      </c>
      <c r="AB72" s="19">
        <f>IF(AE25="",$B25,AE25)</f>
        <v>5.0647343173939449E-3</v>
      </c>
    </row>
    <row r="73" spans="1:28" x14ac:dyDescent="0.25">
      <c r="A73" s="1" t="s">
        <v>16</v>
      </c>
      <c r="B73" s="19">
        <v>0</v>
      </c>
      <c r="C73" s="19">
        <f>IF(F26="",$B26,F26)</f>
        <v>6.313256631121518E-2</v>
      </c>
      <c r="D73" s="19">
        <f>IF(G26="",$B26,G26)</f>
        <v>6.7361308268330894E-2</v>
      </c>
      <c r="E73" s="19">
        <f>IF(H26="",$B26,H26)</f>
        <v>1.9112996366713958E-2</v>
      </c>
      <c r="F73" s="19">
        <f>IF(I26="",$B26,I26)</f>
        <v>2.0986226956889072E-2</v>
      </c>
      <c r="G73" s="19">
        <f>IF(J26="",$B26,J26)</f>
        <v>1.8688980260479108E-2</v>
      </c>
      <c r="H73" s="19">
        <f>IF(K26="",$B26,K26)</f>
        <v>1.1038825611799526E-2</v>
      </c>
      <c r="I73" s="19">
        <f>IF(L26="",$B26,L26)</f>
        <v>9.748801168807024E-4</v>
      </c>
      <c r="J73" s="19">
        <f>IF(M26="",$B26,M26)</f>
        <v>8.1502480371217628E-3</v>
      </c>
      <c r="K73" s="19">
        <f>IF(N26="",$B26,N26)</f>
        <v>9.9712855262177758E-3</v>
      </c>
      <c r="L73" s="19">
        <f>IF(O26="",$B26,O26)</f>
        <v>2.2265435292679797E-2</v>
      </c>
      <c r="M73" s="19">
        <f>IF(P26="",$B26,P26)</f>
        <v>1.415169624193425E-2</v>
      </c>
      <c r="N73" s="19">
        <f>IF(Q26="",$B26,Q26)</f>
        <v>8.8713525714669197E-3</v>
      </c>
      <c r="O73" s="19">
        <f>IF(R26="",$B26,R26)</f>
        <v>1.0377804517042103E-2</v>
      </c>
      <c r="P73" s="19">
        <f>IF(S26="",$B26,S26)</f>
        <v>1.2468071083287119E-2</v>
      </c>
      <c r="Q73" s="19">
        <f>IF(T26="",$B26,T26)</f>
        <v>1.3263515463534808E-2</v>
      </c>
      <c r="R73" s="19">
        <f>IF(U26="",$B26,U26)</f>
        <v>1.2234935486134028E-2</v>
      </c>
      <c r="S73" s="19">
        <f>IF(V26="",$B26,V26)</f>
        <v>9.9490877879636463E-3</v>
      </c>
      <c r="T73" s="19">
        <f>IF(W26="",$B26,W26)</f>
        <v>1.0605153209128106E-2</v>
      </c>
      <c r="U73" s="19">
        <f>IF(X26="",$B26,X26)</f>
        <v>8.4250367861470211E-3</v>
      </c>
      <c r="V73" s="19">
        <f>IF(Y26="",$B26,Y26)</f>
        <v>9.3299485142444936E-3</v>
      </c>
      <c r="W73" s="19">
        <f>IF(Z26="",$B26,Z26)</f>
        <v>1.0345116531082525E-2</v>
      </c>
      <c r="X73" s="19">
        <f>IF(AA26="",$B26,AA26)</f>
        <v>9.9202079395913304E-3</v>
      </c>
      <c r="Y73" s="19">
        <f>IF(AB26="",$B26,AB26)</f>
        <v>9.5822478686575889E-3</v>
      </c>
      <c r="Z73" s="19">
        <f>IF(AC26="",$B26,AC26)</f>
        <v>9.3710449071168975E-3</v>
      </c>
      <c r="AA73" s="19">
        <f>IF(AD26="",$B26,AD26)</f>
        <v>8.1034708515457746E-3</v>
      </c>
      <c r="AB73" s="19">
        <f>IF(AE26="",$B26,AE26)</f>
        <v>5.0647343173939449E-3</v>
      </c>
    </row>
    <row r="74" spans="1:28" x14ac:dyDescent="0.25">
      <c r="A74" s="1" t="s">
        <v>17</v>
      </c>
      <c r="B74" s="19">
        <v>0</v>
      </c>
      <c r="C74" s="19">
        <f>IF(F27="",$B27,F27)</f>
        <v>1.4295325439433144E-2</v>
      </c>
      <c r="D74" s="19">
        <f>IF(G27="",$B27,G27)</f>
        <v>2.8041847095254903E-2</v>
      </c>
      <c r="E74" s="19">
        <f>IF(H27="",$B27,H27)</f>
        <v>3.0549041563909463E-2</v>
      </c>
      <c r="F74" s="19">
        <f>IF(I27="",$B27,I27)</f>
        <v>1.8393529391222872E-2</v>
      </c>
      <c r="G74" s="19">
        <f>IF(J27="",$B27,J27)</f>
        <v>1.197344001847277E-2</v>
      </c>
      <c r="H74" s="19">
        <f>IF(K27="",$B27,K27)</f>
        <v>1.9565986523111548E-2</v>
      </c>
      <c r="I74" s="19">
        <f>IF(L27="",$B27,L27)</f>
        <v>1.4280542284030447E-2</v>
      </c>
      <c r="J74" s="19">
        <f>IF(M27="",$B27,M27)</f>
        <v>1.7333488360591651E-2</v>
      </c>
      <c r="K74" s="19">
        <f>IF(N27="",$B27,N27)</f>
        <v>8.4820970984560446E-3</v>
      </c>
      <c r="L74" s="19">
        <f>IF(O27="",$B27,O27)</f>
        <v>1.1717605811173915E-2</v>
      </c>
      <c r="M74" s="19">
        <f>IF(P27="",$B27,P27)</f>
        <v>1.0365235251966629E-2</v>
      </c>
      <c r="N74" s="19">
        <f>IF(Q27="",$B27,Q27)</f>
        <v>1.1996295833470403E-2</v>
      </c>
      <c r="O74" s="19">
        <f>IF(R27="",$B27,R27)</f>
        <v>1.5490765519840091E-2</v>
      </c>
      <c r="P74" s="19">
        <f>IF(S27="",$B27,S27)</f>
        <v>1.0281040015425335E-2</v>
      </c>
      <c r="Q74" s="19">
        <f>IF(T27="",$B27,T27)</f>
        <v>9.9077480516216281E-3</v>
      </c>
      <c r="R74" s="19">
        <f>IF(U27="",$B27,U27)</f>
        <v>1.3218208360451291E-2</v>
      </c>
      <c r="S74" s="19">
        <f>IF(V27="",$B27,V27)</f>
        <v>1.1817336567396008E-2</v>
      </c>
      <c r="T74" s="19">
        <f>IF(W27="",$B27,W27)</f>
        <v>1.0956797733017991E-2</v>
      </c>
      <c r="U74" s="19">
        <f>IF(X27="",$B27,X27)</f>
        <v>1.0572750514420946E-2</v>
      </c>
      <c r="V74" s="19">
        <f>IF(Y27="",$B27,Y27)</f>
        <v>1.2380163650162151E-2</v>
      </c>
      <c r="W74" s="19">
        <f>IF(Z27="",$B27,Z27)</f>
        <v>8.3059528529680054E-3</v>
      </c>
      <c r="X74" s="19">
        <f>IF(AA27="",$B27,AA27)</f>
        <v>1.083225976392474E-2</v>
      </c>
      <c r="Y74" s="19">
        <f>IF(AB27="",$B27,AB27)</f>
        <v>1.2316461147287218E-2</v>
      </c>
      <c r="Z74" s="19">
        <f>IF(AC27="",$B27,AC27)</f>
        <v>6.9222525730678816E-3</v>
      </c>
      <c r="AA74" s="19">
        <f>IF(AD27="",$B27,AD27)</f>
        <v>1.3984815748913042E-2</v>
      </c>
      <c r="AB74" s="19">
        <f>IF(AE27="",$B27,AE27)</f>
        <v>3.4445102297167634E-3</v>
      </c>
    </row>
    <row r="75" spans="1:28" x14ac:dyDescent="0.25">
      <c r="A75" s="1" t="s">
        <v>42</v>
      </c>
      <c r="B75" s="19">
        <v>0</v>
      </c>
      <c r="C75" s="19">
        <f>IF(F28="",$B28,F28)</f>
        <v>0.02</v>
      </c>
      <c r="D75" s="19">
        <f>IF(G28="",$B28,G28)</f>
        <v>0.02</v>
      </c>
      <c r="E75" s="19">
        <f>IF(H28="",$B28,H28)</f>
        <v>0.02</v>
      </c>
      <c r="F75" s="19">
        <f>IF(I28="",$B28,I28)</f>
        <v>0.02</v>
      </c>
      <c r="G75" s="19">
        <f>IF(J28="",$B28,J28)</f>
        <v>0.02</v>
      </c>
      <c r="H75" s="19">
        <f>IF(K28="",$B28,K28)</f>
        <v>0.02</v>
      </c>
      <c r="I75" s="19">
        <f>IF(L28="",$B28,L28)</f>
        <v>0.02</v>
      </c>
      <c r="J75" s="19">
        <f>IF(M28="",$B28,M28)</f>
        <v>0.02</v>
      </c>
      <c r="K75" s="19">
        <f>IF(N28="",$B28,N28)</f>
        <v>0.02</v>
      </c>
      <c r="L75" s="19">
        <f>IF(O28="",$B28,O28)</f>
        <v>0.02</v>
      </c>
      <c r="M75" s="19">
        <f>IF(P28="",$B28,P28)</f>
        <v>0.02</v>
      </c>
      <c r="N75" s="19">
        <f>IF(Q28="",$B28,Q28)</f>
        <v>0.02</v>
      </c>
      <c r="O75" s="19">
        <f>IF(R28="",$B28,R28)</f>
        <v>0.02</v>
      </c>
      <c r="P75" s="19">
        <f>IF(S28="",$B28,S28)</f>
        <v>0.02</v>
      </c>
      <c r="Q75" s="19">
        <f>IF(T28="",$B28,T28)</f>
        <v>0.02</v>
      </c>
      <c r="R75" s="19">
        <f>IF(U28="",$B28,U28)</f>
        <v>0.02</v>
      </c>
      <c r="S75" s="19">
        <f>IF(V28="",$B28,V28)</f>
        <v>0.02</v>
      </c>
      <c r="T75" s="19">
        <f>IF(W28="",$B28,W28)</f>
        <v>0.02</v>
      </c>
      <c r="U75" s="19">
        <f>IF(X28="",$B28,X28)</f>
        <v>0.02</v>
      </c>
      <c r="V75" s="19">
        <f>IF(Y28="",$B28,Y28)</f>
        <v>0.02</v>
      </c>
      <c r="W75" s="19">
        <f>IF(Z28="",$B28,Z28)</f>
        <v>0.02</v>
      </c>
      <c r="X75" s="19">
        <f>IF(AA28="",$B28,AA28)</f>
        <v>0.02</v>
      </c>
      <c r="Y75" s="19">
        <f>IF(AB28="",$B28,AB28)</f>
        <v>0.02</v>
      </c>
      <c r="Z75" s="19">
        <f>IF(AC28="",$B28,AC28)</f>
        <v>0.02</v>
      </c>
      <c r="AA75" s="19">
        <f>IF(AD28="",$B28,AD28)</f>
        <v>0.02</v>
      </c>
      <c r="AB75" s="19">
        <f>IF(AE28="",$B28,AE28)</f>
        <v>0.02</v>
      </c>
    </row>
    <row r="76" spans="1:28" x14ac:dyDescent="0.25">
      <c r="A76" s="1" t="s">
        <v>43</v>
      </c>
      <c r="B76" s="19">
        <v>0</v>
      </c>
      <c r="C76" s="19">
        <f>IF(F29="",$B29,F29)</f>
        <v>6.9999999999999993E-3</v>
      </c>
      <c r="D76" s="19">
        <f>IF(G29="",$B29,G29)</f>
        <v>6.9999999999999993E-3</v>
      </c>
      <c r="E76" s="19">
        <f>IF(H29="",$B29,H29)</f>
        <v>6.9999999999999993E-3</v>
      </c>
      <c r="F76" s="19">
        <f>IF(I29="",$B29,I29)</f>
        <v>6.9999999999999993E-3</v>
      </c>
      <c r="G76" s="19">
        <f>IF(J29="",$B29,J29)</f>
        <v>6.9999999999999993E-3</v>
      </c>
      <c r="H76" s="19">
        <f>IF(K29="",$B29,K29)</f>
        <v>6.9999999999999993E-3</v>
      </c>
      <c r="I76" s="19">
        <f>IF(L29="",$B29,L29)</f>
        <v>6.9999999999999993E-3</v>
      </c>
      <c r="J76" s="19">
        <f>IF(M29="",$B29,M29)</f>
        <v>6.9999999999999993E-3</v>
      </c>
      <c r="K76" s="19">
        <f>IF(N29="",$B29,N29)</f>
        <v>6.9999999999999993E-3</v>
      </c>
      <c r="L76" s="19">
        <f>IF(O29="",$B29,O29)</f>
        <v>6.9999999999999993E-3</v>
      </c>
      <c r="M76" s="19">
        <f>IF(P29="",$B29,P29)</f>
        <v>6.9999999999999993E-3</v>
      </c>
      <c r="N76" s="19">
        <f>IF(Q29="",$B29,Q29)</f>
        <v>6.9999999999999993E-3</v>
      </c>
      <c r="O76" s="19">
        <f>IF(R29="",$B29,R29)</f>
        <v>6.9999999999999993E-3</v>
      </c>
      <c r="P76" s="19">
        <f>IF(S29="",$B29,S29)</f>
        <v>6.9999999999999993E-3</v>
      </c>
      <c r="Q76" s="19">
        <f>IF(T29="",$B29,T29)</f>
        <v>6.9999999999999993E-3</v>
      </c>
      <c r="R76" s="19">
        <f>IF(U29="",$B29,U29)</f>
        <v>6.9999999999999993E-3</v>
      </c>
      <c r="S76" s="19">
        <f>IF(V29="",$B29,V29)</f>
        <v>6.9999999999999993E-3</v>
      </c>
      <c r="T76" s="19">
        <f>IF(W29="",$B29,W29)</f>
        <v>6.9999999999999993E-3</v>
      </c>
      <c r="U76" s="19">
        <f>IF(X29="",$B29,X29)</f>
        <v>6.9999999999999993E-3</v>
      </c>
      <c r="V76" s="19">
        <f>IF(Y29="",$B29,Y29)</f>
        <v>6.9999999999999993E-3</v>
      </c>
      <c r="W76" s="19">
        <f>IF(Z29="",$B29,Z29)</f>
        <v>6.9999999999999993E-3</v>
      </c>
      <c r="X76" s="19">
        <f>IF(AA29="",$B29,AA29)</f>
        <v>6.9999999999999993E-3</v>
      </c>
      <c r="Y76" s="19">
        <f>IF(AB29="",$B29,AB29)</f>
        <v>6.9999999999999993E-3</v>
      </c>
      <c r="Z76" s="19">
        <f>IF(AC29="",$B29,AC29)</f>
        <v>6.9999999999999993E-3</v>
      </c>
      <c r="AA76" s="19">
        <f>IF(AD29="",$B29,AD29)</f>
        <v>6.9999999999999993E-3</v>
      </c>
      <c r="AB76" s="19">
        <f>IF(AE29="",$B29,AE29)</f>
        <v>6.9999999999999993E-3</v>
      </c>
    </row>
    <row r="77" spans="1:28" x14ac:dyDescent="0.25">
      <c r="A77" s="1" t="s">
        <v>44</v>
      </c>
      <c r="B77" s="19">
        <v>0</v>
      </c>
      <c r="C77" s="19">
        <f>IF(F30="",$B30,F30)</f>
        <v>1.4897971727105101E-2</v>
      </c>
      <c r="D77" s="19">
        <f>IF(G30="",$B30,G30)</f>
        <v>1.4897971727105101E-2</v>
      </c>
      <c r="E77" s="19">
        <f>IF(H30="",$B30,H30)</f>
        <v>1.4897971727105101E-2</v>
      </c>
      <c r="F77" s="19">
        <f>IF(I30="",$B30,I30)</f>
        <v>1.4897971727105101E-2</v>
      </c>
      <c r="G77" s="19">
        <f>IF(J30="",$B30,J30)</f>
        <v>1.4897971727105101E-2</v>
      </c>
      <c r="H77" s="19">
        <f>IF(K30="",$B30,K30)</f>
        <v>1.4897971727105101E-2</v>
      </c>
      <c r="I77" s="19">
        <f>IF(L30="",$B30,L30)</f>
        <v>1.4897971727105101E-2</v>
      </c>
      <c r="J77" s="19">
        <f>IF(M30="",$B30,M30)</f>
        <v>1.4897971727105101E-2</v>
      </c>
      <c r="K77" s="19">
        <f>IF(N30="",$B30,N30)</f>
        <v>1.4897971727105101E-2</v>
      </c>
      <c r="L77" s="19">
        <f>IF(O30="",$B30,O30)</f>
        <v>1.4897971727105101E-2</v>
      </c>
      <c r="M77" s="19">
        <f>IF(P30="",$B30,P30)</f>
        <v>1.4897971727105101E-2</v>
      </c>
      <c r="N77" s="19">
        <f>IF(Q30="",$B30,Q30)</f>
        <v>1.4897971727105101E-2</v>
      </c>
      <c r="O77" s="19">
        <f>IF(R30="",$B30,R30)</f>
        <v>1.4897971727105101E-2</v>
      </c>
      <c r="P77" s="19">
        <f>IF(S30="",$B30,S30)</f>
        <v>1.4897971727105101E-2</v>
      </c>
      <c r="Q77" s="19">
        <f>IF(T30="",$B30,T30)</f>
        <v>1.4897971727105101E-2</v>
      </c>
      <c r="R77" s="19">
        <f>IF(U30="",$B30,U30)</f>
        <v>1.4897971727105101E-2</v>
      </c>
      <c r="S77" s="19">
        <f>IF(V30="",$B30,V30)</f>
        <v>1.4897971727105101E-2</v>
      </c>
      <c r="T77" s="19">
        <f>IF(W30="",$B30,W30)</f>
        <v>1.4897971727105101E-2</v>
      </c>
      <c r="U77" s="19">
        <f>IF(X30="",$B30,X30)</f>
        <v>1.4897971727105101E-2</v>
      </c>
      <c r="V77" s="19">
        <f>IF(Y30="",$B30,Y30)</f>
        <v>1.4897971727105101E-2</v>
      </c>
      <c r="W77" s="19">
        <f>IF(Z30="",$B30,Z30)</f>
        <v>1.4897971727105101E-2</v>
      </c>
      <c r="X77" s="19">
        <f>IF(AA30="",$B30,AA30)</f>
        <v>1.4897971727105101E-2</v>
      </c>
      <c r="Y77" s="19">
        <f>IF(AB30="",$B30,AB30)</f>
        <v>1.4897971727105101E-2</v>
      </c>
      <c r="Z77" s="19">
        <f>IF(AC30="",$B30,AC30)</f>
        <v>1.4897971727105101E-2</v>
      </c>
      <c r="AA77" s="19">
        <f>IF(AD30="",$B30,AD30)</f>
        <v>1.4897971727105101E-2</v>
      </c>
      <c r="AB77" s="19">
        <f>IF(AE30="",$B30,AE30)</f>
        <v>1.4897971727105101E-2</v>
      </c>
    </row>
    <row r="78" spans="1:28" x14ac:dyDescent="0.25">
      <c r="A78" s="1" t="s">
        <v>18</v>
      </c>
      <c r="B78" s="19">
        <v>0</v>
      </c>
      <c r="C78" s="19">
        <f>IF(F31="",$B31,F31)</f>
        <v>-5.3723557749999337E-3</v>
      </c>
      <c r="D78" s="19">
        <f>IF(G31="",$B31,G31)</f>
        <v>7.7939586797429079E-3</v>
      </c>
      <c r="E78" s="19">
        <f>IF(H31="",$B31,H31)</f>
        <v>1.5874766840579421E-2</v>
      </c>
      <c r="F78" s="19">
        <f>IF(I31="",$B31,I31)</f>
        <v>2.428529552917217E-2</v>
      </c>
      <c r="G78" s="19">
        <f>IF(J31="",$B31,J31)</f>
        <v>2.7439966871021806E-2</v>
      </c>
      <c r="H78" s="19">
        <f>IF(K31="",$B31,K31)</f>
        <v>1.8894013193581024E-2</v>
      </c>
      <c r="I78" s="19">
        <f>IF(L31="",$B31,L31)</f>
        <v>1.6188437790707638E-2</v>
      </c>
      <c r="J78" s="19">
        <f>IF(M31="",$B31,M31)</f>
        <v>1.1634881465986555E-2</v>
      </c>
      <c r="K78" s="19">
        <f>IF(N31="",$B31,N31)</f>
        <v>4.1913118084951342E-3</v>
      </c>
      <c r="L78" s="19">
        <f>IF(O31="",$B31,O31)</f>
        <v>2.1587293508677649E-4</v>
      </c>
      <c r="M78" s="19">
        <f>IF(P31="",$B31,P31)</f>
        <v>9.312544208229882E-3</v>
      </c>
      <c r="N78" s="19">
        <f>IF(Q31="",$B31,Q31)</f>
        <v>1.2806197600896555E-2</v>
      </c>
      <c r="O78" s="19">
        <f>IF(R31="",$B31,R31)</f>
        <v>7.9031572404631607E-3</v>
      </c>
      <c r="P78" s="19">
        <f>IF(S31="",$B31,S31)</f>
        <v>8.4047733010234518E-3</v>
      </c>
      <c r="Q78" s="19">
        <f>IF(T31="",$B31,T31)</f>
        <v>7.5556620495889461E-3</v>
      </c>
      <c r="R78" s="19">
        <f>IF(U31="",$B31,U31)</f>
        <v>5.7753994646626509E-3</v>
      </c>
      <c r="S78" s="19">
        <f>IF(V31="",$B31,V31)</f>
        <v>4.1078270475344587E-3</v>
      </c>
      <c r="T78" s="19">
        <f>IF(W31="",$B31,W31)</f>
        <v>6.7058691173239003E-3</v>
      </c>
      <c r="U78" s="19">
        <f>IF(X31="",$B31,X31)</f>
        <v>4.7976121446575122E-3</v>
      </c>
      <c r="V78" s="19">
        <f>IF(Y31="",$B31,Y31)</f>
        <v>4.516876224879644E-3</v>
      </c>
      <c r="W78" s="19">
        <f>IF(Z31="",$B31,Z31)</f>
        <v>9.8238604690443661E-3</v>
      </c>
      <c r="X78" s="19">
        <f>IF(AA31="",$B31,AA31)</f>
        <v>1.0871822190961883E-2</v>
      </c>
      <c r="Y78" s="19">
        <f>IF(AB31="",$B31,AB31)</f>
        <v>1.2345625339585484E-2</v>
      </c>
      <c r="Z78" s="19">
        <f>IF(AC31="",$B31,AC31)</f>
        <v>1.2868226409996981E-2</v>
      </c>
      <c r="AA78" s="19">
        <f>IF(AD31="",$B31,AD31)</f>
        <v>1.351651302340765E-2</v>
      </c>
      <c r="AB78" s="19">
        <f>IF(AE31="",$B31,AE31)</f>
        <v>1.1672897823781447E-2</v>
      </c>
    </row>
    <row r="79" spans="1:28" x14ac:dyDescent="0.25">
      <c r="A79" s="1" t="s">
        <v>19</v>
      </c>
      <c r="B79" s="19">
        <v>0</v>
      </c>
      <c r="C79" s="19">
        <f>IF(F32="",$B32,F32)</f>
        <v>2.5273068254159422E-2</v>
      </c>
      <c r="D79" s="19">
        <f>IF(F32="",$B32,F32)</f>
        <v>2.5273068254159422E-2</v>
      </c>
      <c r="E79" s="19">
        <f>IF(G32="",$B32,G32)</f>
        <v>2.5273068254159422E-2</v>
      </c>
      <c r="F79" s="19">
        <f>IF(H32="",$B32,H32)</f>
        <v>2.5273068254159422E-2</v>
      </c>
      <c r="G79" s="19">
        <f>IF(I32="",$B32,I32)</f>
        <v>2.5273068254159422E-2</v>
      </c>
      <c r="H79" s="19">
        <f>IF(J32="",$B32,J32)</f>
        <v>2.5273068254159422E-2</v>
      </c>
      <c r="I79" s="19">
        <f>IF(K32="",$B32,K32)</f>
        <v>2.5273068254159422E-2</v>
      </c>
      <c r="J79" s="19">
        <f>IF(L32="",$B32,L32)</f>
        <v>2.5273068254159422E-2</v>
      </c>
      <c r="K79" s="19">
        <f>IF(M32="",$B32,M32)</f>
        <v>2.5273068254159422E-2</v>
      </c>
      <c r="L79" s="19">
        <f>IF(N32="",$B32,N32)</f>
        <v>2.5273068254159422E-2</v>
      </c>
      <c r="M79" s="19">
        <f>IF(O32="",$B32,O32)</f>
        <v>2.5273068254159422E-2</v>
      </c>
      <c r="N79" s="19">
        <f>IF(P32="",$B32,P32)</f>
        <v>2.5273068254159422E-2</v>
      </c>
      <c r="O79" s="19">
        <f>IF(Q32="",$B32,Q32)</f>
        <v>2.5273068254159422E-2</v>
      </c>
      <c r="P79" s="19">
        <f>IF(R32="",$B32,R32)</f>
        <v>2.5273068254159422E-2</v>
      </c>
      <c r="Q79" s="19">
        <f>IF(S32="",$B32,S32)</f>
        <v>2.5273068254159422E-2</v>
      </c>
      <c r="R79" s="19">
        <f>IF(T32="",$B32,T32)</f>
        <v>2.5273068254159422E-2</v>
      </c>
      <c r="S79" s="19">
        <f>IF(U32="",$B32,U32)</f>
        <v>2.5273068254159422E-2</v>
      </c>
      <c r="T79" s="19">
        <f>IF(V32="",$B32,V32)</f>
        <v>2.5273068254159422E-2</v>
      </c>
      <c r="U79" s="19">
        <f>IF(W32="",$B32,W32)</f>
        <v>2.5273068254159422E-2</v>
      </c>
      <c r="V79" s="19">
        <f>IF(X32="",$B32,X32)</f>
        <v>2.5273068254159422E-2</v>
      </c>
      <c r="W79" s="19">
        <f>IF(Y32="",$B32,Y32)</f>
        <v>2.5273068254159422E-2</v>
      </c>
      <c r="X79" s="19">
        <f>IF(Z32="",$B32,Z32)</f>
        <v>2.5273068254159422E-2</v>
      </c>
      <c r="Y79" s="19">
        <f>IF(AA32="",$B32,AA32)</f>
        <v>2.5273068254159422E-2</v>
      </c>
      <c r="Z79" s="19">
        <f>IF(AB32="",$B32,AB32)</f>
        <v>2.5273068254159422E-2</v>
      </c>
      <c r="AA79" s="19">
        <f>IF(AC32="",$B32,AC32)</f>
        <v>2.5273068254159422E-2</v>
      </c>
      <c r="AB79" s="19">
        <f>IF(AD32="",$B32,AD32)</f>
        <v>2.5273068254159422E-2</v>
      </c>
    </row>
    <row r="80" spans="1:28" x14ac:dyDescent="0.25">
      <c r="A80" s="1" t="s">
        <v>20</v>
      </c>
      <c r="B80" s="19">
        <v>0</v>
      </c>
      <c r="C80" s="19">
        <f>IF(F33="",$B33,F33)</f>
        <v>2.2000000000000002E-2</v>
      </c>
      <c r="D80" s="19">
        <f>IF(F33="",$B33,F33)</f>
        <v>2.2000000000000002E-2</v>
      </c>
      <c r="E80" s="19">
        <f>IF(G33="",$B33,G33)</f>
        <v>2.2000000000000002E-2</v>
      </c>
      <c r="F80" s="19">
        <f>IF(H33="",$B33,H33)</f>
        <v>2.2000000000000002E-2</v>
      </c>
      <c r="G80" s="19">
        <f>IF(I33="",$B33,I33)</f>
        <v>2.2000000000000002E-2</v>
      </c>
      <c r="H80" s="19">
        <f>IF(J33="",$B33,J33)</f>
        <v>2.2000000000000002E-2</v>
      </c>
      <c r="I80" s="19">
        <f>IF(K33="",$B33,K33)</f>
        <v>2.2000000000000002E-2</v>
      </c>
      <c r="J80" s="19">
        <f>IF(L33="",$B33,L33)</f>
        <v>2.2000000000000002E-2</v>
      </c>
      <c r="K80" s="19">
        <f>IF(M33="",$B33,M33)</f>
        <v>2.2000000000000002E-2</v>
      </c>
      <c r="L80" s="19">
        <f>IF(N33="",$B33,N33)</f>
        <v>2.2000000000000002E-2</v>
      </c>
      <c r="M80" s="19">
        <f>IF(O33="",$B33,O33)</f>
        <v>2.2000000000000002E-2</v>
      </c>
      <c r="N80" s="19">
        <f>IF(P33="",$B33,P33)</f>
        <v>2.2000000000000002E-2</v>
      </c>
      <c r="O80" s="19">
        <f>IF(Q33="",$B33,Q33)</f>
        <v>2.2000000000000002E-2</v>
      </c>
      <c r="P80" s="19">
        <f>IF(R33="",$B33,R33)</f>
        <v>2.2000000000000002E-2</v>
      </c>
      <c r="Q80" s="19">
        <f>IF(S33="",$B33,S33)</f>
        <v>2.2000000000000002E-2</v>
      </c>
      <c r="R80" s="19">
        <f>IF(T33="",$B33,T33)</f>
        <v>2.2000000000000002E-2</v>
      </c>
      <c r="S80" s="19">
        <f>IF(U33="",$B33,U33)</f>
        <v>2.2000000000000002E-2</v>
      </c>
      <c r="T80" s="19">
        <f>IF(V33="",$B33,V33)</f>
        <v>2.2000000000000002E-2</v>
      </c>
      <c r="U80" s="19">
        <f>IF(W33="",$B33,W33)</f>
        <v>2.2000000000000002E-2</v>
      </c>
      <c r="V80" s="19">
        <f>IF(X33="",$B33,X33)</f>
        <v>2.2000000000000002E-2</v>
      </c>
      <c r="W80" s="19">
        <f>IF(Y33="",$B33,Y33)</f>
        <v>2.2000000000000002E-2</v>
      </c>
      <c r="X80" s="19">
        <f>IF(Z33="",$B33,Z33)</f>
        <v>2.2000000000000002E-2</v>
      </c>
      <c r="Y80" s="19">
        <f>IF(AA33="",$B33,AA33)</f>
        <v>2.2000000000000002E-2</v>
      </c>
      <c r="Z80" s="19">
        <f>IF(AB33="",$B33,AB33)</f>
        <v>2.2000000000000002E-2</v>
      </c>
      <c r="AA80" s="19">
        <f>IF(AC33="",$B33,AC33)</f>
        <v>2.2000000000000002E-2</v>
      </c>
      <c r="AB80" s="19">
        <f>IF(AD33="",$B33,AD33)</f>
        <v>2.2000000000000002E-2</v>
      </c>
    </row>
    <row r="81" spans="1:28" x14ac:dyDescent="0.25">
      <c r="A81" s="1" t="s">
        <v>21</v>
      </c>
      <c r="B81" s="19">
        <v>0</v>
      </c>
      <c r="C81" s="19">
        <f>IF(F34="",$B34,F34)</f>
        <v>2.3E-2</v>
      </c>
      <c r="D81" s="19">
        <f>IF(F34="",$B34,F34)</f>
        <v>2.3E-2</v>
      </c>
      <c r="E81" s="19">
        <f>IF(G34="",$B34,G34)</f>
        <v>2.3E-2</v>
      </c>
      <c r="F81" s="19">
        <f>IF(H34="",$B34,H34)</f>
        <v>2.3E-2</v>
      </c>
      <c r="G81" s="19">
        <f>IF(I34="",$B34,I34)</f>
        <v>2.3E-2</v>
      </c>
      <c r="H81" s="19">
        <f>IF(J34="",$B34,J34)</f>
        <v>2.3E-2</v>
      </c>
      <c r="I81" s="19">
        <f>IF(K34="",$B34,K34)</f>
        <v>2.3E-2</v>
      </c>
      <c r="J81" s="19">
        <f>IF(L34="",$B34,L34)</f>
        <v>2.3E-2</v>
      </c>
      <c r="K81" s="19">
        <f>IF(M34="",$B34,M34)</f>
        <v>2.3E-2</v>
      </c>
      <c r="L81" s="19">
        <f>IF(N34="",$B34,N34)</f>
        <v>2.3E-2</v>
      </c>
      <c r="M81" s="19">
        <f>IF(O34="",$B34,O34)</f>
        <v>2.3E-2</v>
      </c>
      <c r="N81" s="19">
        <f>IF(P34="",$B34,P34)</f>
        <v>2.3E-2</v>
      </c>
      <c r="O81" s="19">
        <f>IF(Q34="",$B34,Q34)</f>
        <v>2.3E-2</v>
      </c>
      <c r="P81" s="19">
        <f>IF(R34="",$B34,R34)</f>
        <v>2.3E-2</v>
      </c>
      <c r="Q81" s="19">
        <f>IF(S34="",$B34,S34)</f>
        <v>2.3E-2</v>
      </c>
      <c r="R81" s="19">
        <f>IF(T34="",$B34,T34)</f>
        <v>2.3E-2</v>
      </c>
      <c r="S81" s="19">
        <f>IF(U34="",$B34,U34)</f>
        <v>2.3E-2</v>
      </c>
      <c r="T81" s="19">
        <f>IF(V34="",$B34,V34)</f>
        <v>2.3E-2</v>
      </c>
      <c r="U81" s="19">
        <f>IF(W34="",$B34,W34)</f>
        <v>2.3E-2</v>
      </c>
      <c r="V81" s="19">
        <f>IF(X34="",$B34,X34)</f>
        <v>2.3E-2</v>
      </c>
      <c r="W81" s="19">
        <f>IF(Y34="",$B34,Y34)</f>
        <v>2.3E-2</v>
      </c>
      <c r="X81" s="19">
        <f>IF(Z34="",$B34,Z34)</f>
        <v>2.3E-2</v>
      </c>
      <c r="Y81" s="19">
        <f>IF(AA34="",$B34,AA34)</f>
        <v>2.3E-2</v>
      </c>
      <c r="Z81" s="19">
        <f>IF(AB34="",$B34,AB34)</f>
        <v>2.3E-2</v>
      </c>
      <c r="AA81" s="19">
        <f>IF(AC34="",$B34,AC34)</f>
        <v>2.3E-2</v>
      </c>
      <c r="AB81" s="19">
        <f>IF(AD34="",$B34,AD34)</f>
        <v>2.3E-2</v>
      </c>
    </row>
    <row r="82" spans="1:28" x14ac:dyDescent="0.25">
      <c r="A82" s="1" t="s">
        <v>22</v>
      </c>
      <c r="B82" s="19">
        <v>0</v>
      </c>
      <c r="C82" s="19">
        <f>IF(F35="",$B35,F35)</f>
        <v>3.6673081381868769E-2</v>
      </c>
      <c r="D82" s="19">
        <f>IF(F35="",$B35,F35)</f>
        <v>3.6673081381868769E-2</v>
      </c>
      <c r="E82" s="19">
        <f>IF(G35="",$B35,G35)</f>
        <v>3.6673081381868769E-2</v>
      </c>
      <c r="F82" s="19">
        <f>IF(H35="",$B35,H35)</f>
        <v>3.6673081381868769E-2</v>
      </c>
      <c r="G82" s="19">
        <f>IF(I35="",$B35,I35)</f>
        <v>3.6673081381868769E-2</v>
      </c>
      <c r="H82" s="19">
        <f>IF(J35="",$B35,J35)</f>
        <v>3.6673081381868769E-2</v>
      </c>
      <c r="I82" s="19">
        <f>IF(K35="",$B35,K35)</f>
        <v>3.6673081381868769E-2</v>
      </c>
      <c r="J82" s="19">
        <f>IF(L35="",$B35,L35)</f>
        <v>3.6673081381868769E-2</v>
      </c>
      <c r="K82" s="19">
        <f>IF(M35="",$B35,M35)</f>
        <v>3.6673081381868769E-2</v>
      </c>
      <c r="L82" s="19">
        <f>IF(N35="",$B35,N35)</f>
        <v>3.6673081381868769E-2</v>
      </c>
      <c r="M82" s="19">
        <f>IF(O35="",$B35,O35)</f>
        <v>3.6673081381868769E-2</v>
      </c>
      <c r="N82" s="19">
        <f>IF(P35="",$B35,P35)</f>
        <v>3.6673081381868769E-2</v>
      </c>
      <c r="O82" s="19">
        <f>IF(Q35="",$B35,Q35)</f>
        <v>3.6673081381868769E-2</v>
      </c>
      <c r="P82" s="19">
        <f>IF(R35="",$B35,R35)</f>
        <v>3.6673081381868769E-2</v>
      </c>
      <c r="Q82" s="19">
        <f>IF(S35="",$B35,S35)</f>
        <v>3.6673081381868769E-2</v>
      </c>
      <c r="R82" s="19">
        <f>IF(T35="",$B35,T35)</f>
        <v>3.6673081381868769E-2</v>
      </c>
      <c r="S82" s="19">
        <f>IF(U35="",$B35,U35)</f>
        <v>3.6673081381868769E-2</v>
      </c>
      <c r="T82" s="19">
        <f>IF(V35="",$B35,V35)</f>
        <v>3.6673081381868769E-2</v>
      </c>
      <c r="U82" s="19">
        <f>IF(W35="",$B35,W35)</f>
        <v>3.6673081381868769E-2</v>
      </c>
      <c r="V82" s="19">
        <f>IF(X35="",$B35,X35)</f>
        <v>3.6673081381868769E-2</v>
      </c>
      <c r="W82" s="19">
        <f>IF(Y35="",$B35,Y35)</f>
        <v>3.6673081381868769E-2</v>
      </c>
      <c r="X82" s="19">
        <f>IF(Z35="",$B35,Z35)</f>
        <v>3.6673081381868769E-2</v>
      </c>
      <c r="Y82" s="19">
        <f>IF(AA35="",$B35,AA35)</f>
        <v>3.6673081381868769E-2</v>
      </c>
      <c r="Z82" s="19">
        <f>IF(AB35="",$B35,AB35)</f>
        <v>3.6673081381868769E-2</v>
      </c>
      <c r="AA82" s="19">
        <f>IF(AC35="",$B35,AC35)</f>
        <v>3.6673081381868769E-2</v>
      </c>
      <c r="AB82" s="19">
        <f>IF(AD35="",$B35,AD35)</f>
        <v>3.6673081381868769E-2</v>
      </c>
    </row>
    <row r="83" spans="1:28" x14ac:dyDescent="0.25">
      <c r="A83" s="1" t="s">
        <v>23</v>
      </c>
      <c r="B83" s="19">
        <v>0</v>
      </c>
      <c r="C83" s="19">
        <f>IF(F36="",$B36,F36)</f>
        <v>2.7000000000000003E-2</v>
      </c>
      <c r="D83" s="19">
        <f>IF(F36="",$B36,F36)</f>
        <v>2.7000000000000003E-2</v>
      </c>
      <c r="E83" s="19">
        <f>IF(G36="",$B36,G36)</f>
        <v>2.7000000000000003E-2</v>
      </c>
      <c r="F83" s="19">
        <f>IF(H36="",$B36,H36)</f>
        <v>2.7000000000000003E-2</v>
      </c>
      <c r="G83" s="19">
        <f>IF(I36="",$B36,I36)</f>
        <v>2.7000000000000003E-2</v>
      </c>
      <c r="H83" s="19">
        <f>IF(J36="",$B36,J36)</f>
        <v>2.7000000000000003E-2</v>
      </c>
      <c r="I83" s="19">
        <f>IF(K36="",$B36,K36)</f>
        <v>2.7000000000000003E-2</v>
      </c>
      <c r="J83" s="19">
        <f>IF(L36="",$B36,L36)</f>
        <v>2.7000000000000003E-2</v>
      </c>
      <c r="K83" s="19">
        <f>IF(M36="",$B36,M36)</f>
        <v>2.7000000000000003E-2</v>
      </c>
      <c r="L83" s="19">
        <f>IF(N36="",$B36,N36)</f>
        <v>2.7000000000000003E-2</v>
      </c>
      <c r="M83" s="19">
        <f>IF(O36="",$B36,O36)</f>
        <v>2.7000000000000003E-2</v>
      </c>
      <c r="N83" s="19">
        <f>IF(P36="",$B36,P36)</f>
        <v>2.7000000000000003E-2</v>
      </c>
      <c r="O83" s="19">
        <f>IF(Q36="",$B36,Q36)</f>
        <v>2.7000000000000003E-2</v>
      </c>
      <c r="P83" s="19">
        <f>IF(R36="",$B36,R36)</f>
        <v>2.7000000000000003E-2</v>
      </c>
      <c r="Q83" s="19">
        <f>IF(S36="",$B36,S36)</f>
        <v>2.7000000000000003E-2</v>
      </c>
      <c r="R83" s="19">
        <f>IF(T36="",$B36,T36)</f>
        <v>2.7000000000000003E-2</v>
      </c>
      <c r="S83" s="19">
        <f>IF(U36="",$B36,U36)</f>
        <v>2.7000000000000003E-2</v>
      </c>
      <c r="T83" s="19">
        <f>IF(V36="",$B36,V36)</f>
        <v>2.7000000000000003E-2</v>
      </c>
      <c r="U83" s="19">
        <f>IF(W36="",$B36,W36)</f>
        <v>2.7000000000000003E-2</v>
      </c>
      <c r="V83" s="19">
        <f>IF(X36="",$B36,X36)</f>
        <v>2.7000000000000003E-2</v>
      </c>
      <c r="W83" s="19">
        <f>IF(Y36="",$B36,Y36)</f>
        <v>2.7000000000000003E-2</v>
      </c>
      <c r="X83" s="19">
        <f>IF(Z36="",$B36,Z36)</f>
        <v>2.7000000000000003E-2</v>
      </c>
      <c r="Y83" s="19">
        <f>IF(AA36="",$B36,AA36)</f>
        <v>2.7000000000000003E-2</v>
      </c>
      <c r="Z83" s="19">
        <f>IF(AB36="",$B36,AB36)</f>
        <v>2.7000000000000003E-2</v>
      </c>
      <c r="AA83" s="19">
        <f>IF(AC36="",$B36,AC36)</f>
        <v>2.7000000000000003E-2</v>
      </c>
      <c r="AB83" s="19">
        <f>IF(AD36="",$B36,AD36)</f>
        <v>2.7000000000000003E-2</v>
      </c>
    </row>
    <row r="84" spans="1:28" x14ac:dyDescent="0.25">
      <c r="A84" s="1" t="s">
        <v>24</v>
      </c>
      <c r="B84" s="19">
        <v>0</v>
      </c>
      <c r="C84" s="19">
        <f>IF(F37="",$B37,F37)</f>
        <v>3.7999999999999999E-2</v>
      </c>
      <c r="D84" s="19">
        <f>IF(F37="",$B37,F37)</f>
        <v>3.7999999999999999E-2</v>
      </c>
      <c r="E84" s="19">
        <f>IF(G37="",$B37,G37)</f>
        <v>3.7999999999999999E-2</v>
      </c>
      <c r="F84" s="19">
        <f>IF(H37="",$B37,H37)</f>
        <v>3.7999999999999999E-2</v>
      </c>
      <c r="G84" s="19">
        <f>IF(I37="",$B37,I37)</f>
        <v>3.7999999999999999E-2</v>
      </c>
      <c r="H84" s="19">
        <f>IF(J37="",$B37,J37)</f>
        <v>3.7999999999999999E-2</v>
      </c>
      <c r="I84" s="19">
        <f>IF(K37="",$B37,K37)</f>
        <v>3.7999999999999999E-2</v>
      </c>
      <c r="J84" s="19">
        <f>IF(L37="",$B37,L37)</f>
        <v>3.7999999999999999E-2</v>
      </c>
      <c r="K84" s="19">
        <f>IF(M37="",$B37,M37)</f>
        <v>3.7999999999999999E-2</v>
      </c>
      <c r="L84" s="19">
        <f>IF(N37="",$B37,N37)</f>
        <v>3.7999999999999999E-2</v>
      </c>
      <c r="M84" s="19">
        <f>IF(O37="",$B37,O37)</f>
        <v>3.7999999999999999E-2</v>
      </c>
      <c r="N84" s="19">
        <f>IF(P37="",$B37,P37)</f>
        <v>3.7999999999999999E-2</v>
      </c>
      <c r="O84" s="19">
        <f>IF(Q37="",$B37,Q37)</f>
        <v>3.7999999999999999E-2</v>
      </c>
      <c r="P84" s="19">
        <f>IF(R37="",$B37,R37)</f>
        <v>3.7999999999999999E-2</v>
      </c>
      <c r="Q84" s="19">
        <f>IF(S37="",$B37,S37)</f>
        <v>3.7999999999999999E-2</v>
      </c>
      <c r="R84" s="19">
        <f>IF(T37="",$B37,T37)</f>
        <v>3.7999999999999999E-2</v>
      </c>
      <c r="S84" s="19">
        <f>IF(U37="",$B37,U37)</f>
        <v>3.7999999999999999E-2</v>
      </c>
      <c r="T84" s="19">
        <f>IF(V37="",$B37,V37)</f>
        <v>3.7999999999999999E-2</v>
      </c>
      <c r="U84" s="19">
        <f>IF(W37="",$B37,W37)</f>
        <v>3.7999999999999999E-2</v>
      </c>
      <c r="V84" s="19">
        <f>IF(X37="",$B37,X37)</f>
        <v>3.7999999999999999E-2</v>
      </c>
      <c r="W84" s="19">
        <f>IF(Y37="",$B37,Y37)</f>
        <v>3.7999999999999999E-2</v>
      </c>
      <c r="X84" s="19">
        <f>IF(Z37="",$B37,Z37)</f>
        <v>3.7999999999999999E-2</v>
      </c>
      <c r="Y84" s="19">
        <f>IF(AA37="",$B37,AA37)</f>
        <v>3.7999999999999999E-2</v>
      </c>
      <c r="Z84" s="19">
        <f>IF(AB37="",$B37,AB37)</f>
        <v>3.7999999999999999E-2</v>
      </c>
      <c r="AA84" s="19">
        <f>IF(AC37="",$B37,AC37)</f>
        <v>3.7999999999999999E-2</v>
      </c>
      <c r="AB84" s="19">
        <f>IF(AD37="",$B37,AD37)</f>
        <v>3.7999999999999999E-2</v>
      </c>
    </row>
    <row r="85" spans="1:28" x14ac:dyDescent="0.25">
      <c r="A85" s="1" t="s">
        <v>25</v>
      </c>
      <c r="B85" s="19">
        <v>0</v>
      </c>
      <c r="C85" s="19">
        <f>IF(F38="",$B38,F38)</f>
        <v>0.02</v>
      </c>
      <c r="D85" s="19">
        <f>IF(F38="",$B38,F38)</f>
        <v>0.02</v>
      </c>
      <c r="E85" s="19">
        <f>IF(G38="",$B38,G38)</f>
        <v>0.02</v>
      </c>
      <c r="F85" s="19">
        <f>IF(H38="",$B38,H38)</f>
        <v>0.02</v>
      </c>
      <c r="G85" s="19">
        <f>IF(I38="",$B38,I38)</f>
        <v>0.02</v>
      </c>
      <c r="H85" s="19">
        <f>IF(J38="",$B38,J38)</f>
        <v>0.02</v>
      </c>
      <c r="I85" s="19">
        <f>IF(K38="",$B38,K38)</f>
        <v>0.02</v>
      </c>
      <c r="J85" s="19">
        <f>IF(L38="",$B38,L38)</f>
        <v>0.02</v>
      </c>
      <c r="K85" s="19">
        <f>IF(M38="",$B38,M38)</f>
        <v>0.02</v>
      </c>
      <c r="L85" s="19">
        <f>IF(N38="",$B38,N38)</f>
        <v>0.02</v>
      </c>
      <c r="M85" s="19">
        <f>IF(O38="",$B38,O38)</f>
        <v>0.02</v>
      </c>
      <c r="N85" s="19">
        <f>IF(P38="",$B38,P38)</f>
        <v>0.02</v>
      </c>
      <c r="O85" s="19">
        <f>IF(Q38="",$B38,Q38)</f>
        <v>0.02</v>
      </c>
      <c r="P85" s="19">
        <f>IF(R38="",$B38,R38)</f>
        <v>0.02</v>
      </c>
      <c r="Q85" s="19">
        <f>IF(S38="",$B38,S38)</f>
        <v>0.02</v>
      </c>
      <c r="R85" s="19">
        <f>IF(T38="",$B38,T38)</f>
        <v>0.02</v>
      </c>
      <c r="S85" s="19">
        <f>IF(U38="",$B38,U38)</f>
        <v>0.02</v>
      </c>
      <c r="T85" s="19">
        <f>IF(V38="",$B38,V38)</f>
        <v>0.02</v>
      </c>
      <c r="U85" s="19">
        <f>IF(W38="",$B38,W38)</f>
        <v>0.02</v>
      </c>
      <c r="V85" s="19">
        <f>IF(X38="",$B38,X38)</f>
        <v>0.02</v>
      </c>
      <c r="W85" s="19">
        <f>IF(Y38="",$B38,Y38)</f>
        <v>0.02</v>
      </c>
      <c r="X85" s="19">
        <f>IF(Z38="",$B38,Z38)</f>
        <v>0.02</v>
      </c>
      <c r="Y85" s="19">
        <f>IF(AA38="",$B38,AA38)</f>
        <v>0.02</v>
      </c>
      <c r="Z85" s="19">
        <f>IF(AB38="",$B38,AB38)</f>
        <v>0.02</v>
      </c>
      <c r="AA85" s="19">
        <f>IF(AC38="",$B38,AC38)</f>
        <v>0.02</v>
      </c>
      <c r="AB85" s="19">
        <f>IF(AD38="",$B38,AD38)</f>
        <v>0.02</v>
      </c>
    </row>
    <row r="86" spans="1:28" x14ac:dyDescent="0.25">
      <c r="A86" s="1" t="s">
        <v>26</v>
      </c>
      <c r="B86" s="19">
        <v>0</v>
      </c>
      <c r="C86" s="19">
        <f>IF(F39="",$B39,F39)</f>
        <v>1.9E-2</v>
      </c>
      <c r="D86" s="19">
        <f>IF(F39="",$B39,F39)</f>
        <v>1.9E-2</v>
      </c>
      <c r="E86" s="19">
        <f>IF(G39="",$B39,G39)</f>
        <v>1.9E-2</v>
      </c>
      <c r="F86" s="19">
        <f>IF(H39="",$B39,H39)</f>
        <v>1.9E-2</v>
      </c>
      <c r="G86" s="19">
        <f>IF(I39="",$B39,I39)</f>
        <v>1.9E-2</v>
      </c>
      <c r="H86" s="19">
        <f>IF(J39="",$B39,J39)</f>
        <v>1.9E-2</v>
      </c>
      <c r="I86" s="19">
        <f>IF(K39="",$B39,K39)</f>
        <v>1.9E-2</v>
      </c>
      <c r="J86" s="19">
        <f>IF(L39="",$B39,L39)</f>
        <v>1.9E-2</v>
      </c>
      <c r="K86" s="19">
        <f>IF(M39="",$B39,M39)</f>
        <v>1.9E-2</v>
      </c>
      <c r="L86" s="19">
        <f>IF(N39="",$B39,N39)</f>
        <v>1.9E-2</v>
      </c>
      <c r="M86" s="19">
        <f>IF(O39="",$B39,O39)</f>
        <v>1.9E-2</v>
      </c>
      <c r="N86" s="19">
        <f>IF(P39="",$B39,P39)</f>
        <v>1.9E-2</v>
      </c>
      <c r="O86" s="19">
        <f>IF(Q39="",$B39,Q39)</f>
        <v>1.9E-2</v>
      </c>
      <c r="P86" s="19">
        <f>IF(R39="",$B39,R39)</f>
        <v>1.9E-2</v>
      </c>
      <c r="Q86" s="19">
        <f>IF(S39="",$B39,S39)</f>
        <v>1.9E-2</v>
      </c>
      <c r="R86" s="19">
        <f>IF(T39="",$B39,T39)</f>
        <v>1.9E-2</v>
      </c>
      <c r="S86" s="19">
        <f>IF(U39="",$B39,U39)</f>
        <v>1.9E-2</v>
      </c>
      <c r="T86" s="19">
        <f>IF(V39="",$B39,V39)</f>
        <v>1.9E-2</v>
      </c>
      <c r="U86" s="19">
        <f>IF(W39="",$B39,W39)</f>
        <v>1.9E-2</v>
      </c>
      <c r="V86" s="19">
        <f>IF(X39="",$B39,X39)</f>
        <v>1.9E-2</v>
      </c>
      <c r="W86" s="19">
        <f>IF(Y39="",$B39,Y39)</f>
        <v>1.9E-2</v>
      </c>
      <c r="X86" s="19">
        <f>IF(Z39="",$B39,Z39)</f>
        <v>1.9E-2</v>
      </c>
      <c r="Y86" s="19">
        <f>IF(AA39="",$B39,AA39)</f>
        <v>1.9E-2</v>
      </c>
      <c r="Z86" s="19">
        <f>IF(AB39="",$B39,AB39)</f>
        <v>1.9E-2</v>
      </c>
      <c r="AA86" s="19">
        <f>IF(AC39="",$B39,AC39)</f>
        <v>1.9E-2</v>
      </c>
      <c r="AB86" s="19">
        <f>IF(AD39="",$B39,AD39)</f>
        <v>1.9E-2</v>
      </c>
    </row>
    <row r="87" spans="1:28" x14ac:dyDescent="0.25">
      <c r="A87" s="1" t="s">
        <v>27</v>
      </c>
      <c r="B87" s="19">
        <v>0</v>
      </c>
      <c r="C87" s="19">
        <f>IF(F40="",$B40,F40)</f>
        <v>2.3300308587027474E-2</v>
      </c>
      <c r="D87" s="19">
        <f>IF(F40="",$B40,F40)</f>
        <v>2.3300308587027474E-2</v>
      </c>
      <c r="E87" s="19">
        <f>IF(G40="",$B40,G40)</f>
        <v>2.3300308587027474E-2</v>
      </c>
      <c r="F87" s="19">
        <f>IF(H40="",$B40,H40)</f>
        <v>2.3300308587027474E-2</v>
      </c>
      <c r="G87" s="19">
        <f>IF(I40="",$B40,I40)</f>
        <v>2.3300308587027474E-2</v>
      </c>
      <c r="H87" s="19">
        <f>IF(J40="",$B40,J40)</f>
        <v>2.3300308587027474E-2</v>
      </c>
      <c r="I87" s="19">
        <f>IF(K40="",$B40,K40)</f>
        <v>2.3300308587027474E-2</v>
      </c>
      <c r="J87" s="19">
        <f>IF(L40="",$B40,L40)</f>
        <v>2.3300308587027474E-2</v>
      </c>
      <c r="K87" s="19">
        <f>IF(M40="",$B40,M40)</f>
        <v>2.3300308587027474E-2</v>
      </c>
      <c r="L87" s="19">
        <f>IF(N40="",$B40,N40)</f>
        <v>2.3300308587027474E-2</v>
      </c>
      <c r="M87" s="19">
        <f>IF(O40="",$B40,O40)</f>
        <v>2.3300308587027474E-2</v>
      </c>
      <c r="N87" s="19">
        <f>IF(P40="",$B40,P40)</f>
        <v>2.3300308587027474E-2</v>
      </c>
      <c r="O87" s="19">
        <f>IF(Q40="",$B40,Q40)</f>
        <v>2.3300308587027474E-2</v>
      </c>
      <c r="P87" s="19">
        <f>IF(R40="",$B40,R40)</f>
        <v>2.3300308587027474E-2</v>
      </c>
      <c r="Q87" s="19">
        <f>IF(S40="",$B40,S40)</f>
        <v>2.3300308587027474E-2</v>
      </c>
      <c r="R87" s="19">
        <f>IF(T40="",$B40,T40)</f>
        <v>2.3300308587027474E-2</v>
      </c>
      <c r="S87" s="19">
        <f>IF(U40="",$B40,U40)</f>
        <v>2.3300308587027474E-2</v>
      </c>
      <c r="T87" s="19">
        <f>IF(V40="",$B40,V40)</f>
        <v>2.3300308587027474E-2</v>
      </c>
      <c r="U87" s="19">
        <f>IF(W40="",$B40,W40)</f>
        <v>2.3300308587027474E-2</v>
      </c>
      <c r="V87" s="19">
        <f>IF(X40="",$B40,X40)</f>
        <v>2.3300308587027474E-2</v>
      </c>
      <c r="W87" s="19">
        <f>IF(Y40="",$B40,Y40)</f>
        <v>2.3300308587027474E-2</v>
      </c>
      <c r="X87" s="19">
        <f>IF(Z40="",$B40,Z40)</f>
        <v>2.3300308587027474E-2</v>
      </c>
      <c r="Y87" s="19">
        <f>IF(AA40="",$B40,AA40)</f>
        <v>2.3300308587027474E-2</v>
      </c>
      <c r="Z87" s="19">
        <f>IF(AB40="",$B40,AB40)</f>
        <v>2.3300308587027474E-2</v>
      </c>
      <c r="AA87" s="19">
        <f>IF(AC40="",$B40,AC40)</f>
        <v>2.3300308587027474E-2</v>
      </c>
      <c r="AB87" s="19">
        <f>IF(AD40="",$B40,AD40)</f>
        <v>2.3300308587027474E-2</v>
      </c>
    </row>
    <row r="88" spans="1:28" x14ac:dyDescent="0.25">
      <c r="A88" s="1" t="s">
        <v>28</v>
      </c>
      <c r="B88" s="19">
        <v>0</v>
      </c>
      <c r="C88" s="19">
        <f>IF(F41="",$B41,F41)</f>
        <v>5.0652135576482191E-3</v>
      </c>
      <c r="D88" s="19">
        <f>IF(F41="",$B41,F41)</f>
        <v>5.0652135576482191E-3</v>
      </c>
      <c r="E88" s="19">
        <f>IF(G41="",$B41,G41)</f>
        <v>5.0652135576482191E-3</v>
      </c>
      <c r="F88" s="19">
        <f>IF(H41="",$B41,H41)</f>
        <v>5.0652135576482191E-3</v>
      </c>
      <c r="G88" s="19">
        <f>IF(I41="",$B41,I41)</f>
        <v>5.0652135576482191E-3</v>
      </c>
      <c r="H88" s="19">
        <f>IF(J41="",$B41,J41)</f>
        <v>5.0652135576482191E-3</v>
      </c>
      <c r="I88" s="19">
        <f>IF(K41="",$B41,K41)</f>
        <v>5.0652135576482191E-3</v>
      </c>
      <c r="J88" s="19">
        <f>IF(L41="",$B41,L41)</f>
        <v>5.0652135576482191E-3</v>
      </c>
      <c r="K88" s="19">
        <f>IF(M41="",$B41,M41)</f>
        <v>5.0652135576482191E-3</v>
      </c>
      <c r="L88" s="19">
        <f>IF(N41="",$B41,N41)</f>
        <v>5.0652135576482191E-3</v>
      </c>
      <c r="M88" s="19">
        <f>IF(O41="",$B41,O41)</f>
        <v>5.0652135576482191E-3</v>
      </c>
      <c r="N88" s="19">
        <f>IF(P41="",$B41,P41)</f>
        <v>5.0652135576482191E-3</v>
      </c>
      <c r="O88" s="19">
        <f>IF(Q41="",$B41,Q41)</f>
        <v>5.0652135576482191E-3</v>
      </c>
      <c r="P88" s="19">
        <f>IF(R41="",$B41,R41)</f>
        <v>5.0652135576482191E-3</v>
      </c>
      <c r="Q88" s="19">
        <f>IF(S41="",$B41,S41)</f>
        <v>5.0652135576482191E-3</v>
      </c>
      <c r="R88" s="19">
        <f>IF(T41="",$B41,T41)</f>
        <v>5.0652135576482191E-3</v>
      </c>
      <c r="S88" s="19">
        <f>IF(U41="",$B41,U41)</f>
        <v>5.0652135576482191E-3</v>
      </c>
      <c r="T88" s="19">
        <f>IF(V41="",$B41,V41)</f>
        <v>5.0652135576482191E-3</v>
      </c>
      <c r="U88" s="19">
        <f>IF(W41="",$B41,W41)</f>
        <v>5.0652135576482191E-3</v>
      </c>
      <c r="V88" s="19">
        <f>IF(X41="",$B41,X41)</f>
        <v>5.0652135576482191E-3</v>
      </c>
      <c r="W88" s="19">
        <f>IF(Y41="",$B41,Y41)</f>
        <v>5.0652135576482191E-3</v>
      </c>
      <c r="X88" s="19">
        <f>IF(Z41="",$B41,Z41)</f>
        <v>5.0652135576482191E-3</v>
      </c>
      <c r="Y88" s="19">
        <f>IF(AA41="",$B41,AA41)</f>
        <v>5.0652135576482191E-3</v>
      </c>
      <c r="Z88" s="19">
        <f>IF(AB41="",$B41,AB41)</f>
        <v>5.0652135576482191E-3</v>
      </c>
      <c r="AA88" s="19">
        <f>IF(AC41="",$B41,AC41)</f>
        <v>5.0652135576482191E-3</v>
      </c>
      <c r="AB88" s="19">
        <f>IF(AD41="",$B41,AD41)</f>
        <v>5.0652135576482191E-3</v>
      </c>
    </row>
    <row r="89" spans="1:28" x14ac:dyDescent="0.25">
      <c r="A89" s="1" t="s">
        <v>29</v>
      </c>
      <c r="B89" s="19">
        <v>0</v>
      </c>
      <c r="C89" s="19">
        <f>IF(F42="",$B42,F42)</f>
        <v>4.7258152010125967E-3</v>
      </c>
      <c r="D89" s="19">
        <f>IF(F42="",$B42,F42)</f>
        <v>4.7258152010125967E-3</v>
      </c>
      <c r="E89" s="19">
        <f>IF(G42="",$B42,G42)</f>
        <v>4.7258152010125967E-3</v>
      </c>
      <c r="F89" s="19">
        <f>IF(H42="",$B42,H42)</f>
        <v>4.7258152010125967E-3</v>
      </c>
      <c r="G89" s="19">
        <f>IF(I42="",$B42,I42)</f>
        <v>4.7258152010125967E-3</v>
      </c>
      <c r="H89" s="19">
        <f>IF(J42="",$B42,J42)</f>
        <v>4.7258152010125967E-3</v>
      </c>
      <c r="I89" s="19">
        <f>IF(K42="",$B42,K42)</f>
        <v>4.7258152010125967E-3</v>
      </c>
      <c r="J89" s="19">
        <f>IF(L42="",$B42,L42)</f>
        <v>4.7258152010125967E-3</v>
      </c>
      <c r="K89" s="19">
        <f>IF(M42="",$B42,M42)</f>
        <v>4.7258152010125967E-3</v>
      </c>
      <c r="L89" s="19">
        <f>IF(N42="",$B42,N42)</f>
        <v>4.7258152010125967E-3</v>
      </c>
      <c r="M89" s="19">
        <f>IF(O42="",$B42,O42)</f>
        <v>4.7258152010125967E-3</v>
      </c>
      <c r="N89" s="19">
        <f>IF(P42="",$B42,P42)</f>
        <v>4.7258152010125967E-3</v>
      </c>
      <c r="O89" s="19">
        <f>IF(Q42="",$B42,Q42)</f>
        <v>4.7258152010125967E-3</v>
      </c>
      <c r="P89" s="19">
        <f>IF(R42="",$B42,R42)</f>
        <v>4.7258152010125967E-3</v>
      </c>
      <c r="Q89" s="19">
        <f>IF(S42="",$B42,S42)</f>
        <v>4.7258152010125967E-3</v>
      </c>
      <c r="R89" s="19">
        <f>IF(T42="",$B42,T42)</f>
        <v>4.7258152010125967E-3</v>
      </c>
      <c r="S89" s="19">
        <f>IF(U42="",$B42,U42)</f>
        <v>4.7258152010125967E-3</v>
      </c>
      <c r="T89" s="19">
        <f>IF(V42="",$B42,V42)</f>
        <v>4.7258152010125967E-3</v>
      </c>
      <c r="U89" s="19">
        <f>IF(W42="",$B42,W42)</f>
        <v>4.7258152010125967E-3</v>
      </c>
      <c r="V89" s="19">
        <f>IF(X42="",$B42,X42)</f>
        <v>4.7258152010125967E-3</v>
      </c>
      <c r="W89" s="19">
        <f>IF(Y42="",$B42,Y42)</f>
        <v>4.7258152010125967E-3</v>
      </c>
      <c r="X89" s="19">
        <f>IF(Z42="",$B42,Z42)</f>
        <v>4.7258152010125967E-3</v>
      </c>
      <c r="Y89" s="19">
        <f>IF(AA42="",$B42,AA42)</f>
        <v>4.7258152010125967E-3</v>
      </c>
      <c r="Z89" s="19">
        <f>IF(AB42="",$B42,AB42)</f>
        <v>4.7258152010125967E-3</v>
      </c>
      <c r="AA89" s="19">
        <f>IF(AC42="",$B42,AC42)</f>
        <v>4.7258152010125967E-3</v>
      </c>
      <c r="AB89" s="19">
        <f>IF(AD42="",$B42,AD42)</f>
        <v>4.7258152010125967E-3</v>
      </c>
    </row>
    <row r="90" spans="1:28" x14ac:dyDescent="0.25">
      <c r="A90" s="1" t="s">
        <v>30</v>
      </c>
      <c r="B90" s="19">
        <v>0</v>
      </c>
      <c r="C90" s="19">
        <f>IF(F43="",$B43,F43)</f>
        <v>2.7703373647358368E-2</v>
      </c>
      <c r="D90" s="19">
        <f>IF(F43="",$B43,F43)</f>
        <v>2.7703373647358368E-2</v>
      </c>
      <c r="E90" s="19">
        <f>IF(G43="",$B43,G43)</f>
        <v>2.7703373647358368E-2</v>
      </c>
      <c r="F90" s="19">
        <f>IF(H43="",$B43,H43)</f>
        <v>2.7703373647358368E-2</v>
      </c>
      <c r="G90" s="19">
        <f>IF(I43="",$B43,I43)</f>
        <v>2.7703373647358368E-2</v>
      </c>
      <c r="H90" s="19">
        <f>IF(J43="",$B43,J43)</f>
        <v>2.7703373647358368E-2</v>
      </c>
      <c r="I90" s="19">
        <f>IF(K43="",$B43,K43)</f>
        <v>2.7703373647358368E-2</v>
      </c>
      <c r="J90" s="19">
        <f>IF(L43="",$B43,L43)</f>
        <v>2.7703373647358368E-2</v>
      </c>
      <c r="K90" s="19">
        <f>IF(M43="",$B43,M43)</f>
        <v>2.7703373647358368E-2</v>
      </c>
      <c r="L90" s="19">
        <f>IF(N43="",$B43,N43)</f>
        <v>2.7703373647358368E-2</v>
      </c>
      <c r="M90" s="19">
        <f>IF(O43="",$B43,O43)</f>
        <v>2.7703373647358368E-2</v>
      </c>
      <c r="N90" s="19">
        <f>IF(P43="",$B43,P43)</f>
        <v>2.7703373647358368E-2</v>
      </c>
      <c r="O90" s="19">
        <f>IF(Q43="",$B43,Q43)</f>
        <v>2.7703373647358368E-2</v>
      </c>
      <c r="P90" s="19">
        <f>IF(R43="",$B43,R43)</f>
        <v>2.7703373647358368E-2</v>
      </c>
      <c r="Q90" s="19">
        <f>IF(S43="",$B43,S43)</f>
        <v>2.7703373647358368E-2</v>
      </c>
      <c r="R90" s="19">
        <f>IF(T43="",$B43,T43)</f>
        <v>2.7703373647358368E-2</v>
      </c>
      <c r="S90" s="19">
        <f>IF(U43="",$B43,U43)</f>
        <v>2.7703373647358368E-2</v>
      </c>
      <c r="T90" s="19">
        <f>IF(V43="",$B43,V43)</f>
        <v>2.7703373647358368E-2</v>
      </c>
      <c r="U90" s="19">
        <f>IF(W43="",$B43,W43)</f>
        <v>2.7703373647358368E-2</v>
      </c>
      <c r="V90" s="19">
        <f>IF(X43="",$B43,X43)</f>
        <v>2.7703373647358368E-2</v>
      </c>
      <c r="W90" s="19">
        <f>IF(Y43="",$B43,Y43)</f>
        <v>2.7703373647358368E-2</v>
      </c>
      <c r="X90" s="19">
        <f>IF(Z43="",$B43,Z43)</f>
        <v>2.7703373647358368E-2</v>
      </c>
      <c r="Y90" s="19">
        <f>IF(AA43="",$B43,AA43)</f>
        <v>2.7703373647358368E-2</v>
      </c>
      <c r="Z90" s="19">
        <f>IF(AB43="",$B43,AB43)</f>
        <v>2.7703373647358368E-2</v>
      </c>
      <c r="AA90" s="19">
        <f>IF(AC43="",$B43,AC43)</f>
        <v>2.7703373647358368E-2</v>
      </c>
      <c r="AB90" s="19">
        <f>IF(AD43="",$B43,AD43)</f>
        <v>2.7703373647358368E-2</v>
      </c>
    </row>
    <row r="91" spans="1:28" x14ac:dyDescent="0.25">
      <c r="A91" s="1" t="s">
        <v>31</v>
      </c>
      <c r="B91" s="19">
        <v>0</v>
      </c>
      <c r="C91" s="19">
        <f>IF(F44="",$B44,F44)</f>
        <v>2.1475195405965864E-2</v>
      </c>
      <c r="D91" s="19">
        <f>IF(F44="",$B44,F44)</f>
        <v>2.1475195405965864E-2</v>
      </c>
      <c r="E91" s="19">
        <f>IF(G44="",$B44,G44)</f>
        <v>2.1475195405965864E-2</v>
      </c>
      <c r="F91" s="19">
        <f>IF(H44="",$B44,H44)</f>
        <v>2.1475195405965864E-2</v>
      </c>
      <c r="G91" s="19">
        <f>IF(I44="",$B44,I44)</f>
        <v>2.1475195405965864E-2</v>
      </c>
      <c r="H91" s="19">
        <f>IF(J44="",$B44,J44)</f>
        <v>2.1475195405965864E-2</v>
      </c>
      <c r="I91" s="19">
        <f>IF(K44="",$B44,K44)</f>
        <v>2.1475195405965864E-2</v>
      </c>
      <c r="J91" s="19">
        <f>IF(L44="",$B44,L44)</f>
        <v>2.1475195405965864E-2</v>
      </c>
      <c r="K91" s="19">
        <f>IF(M44="",$B44,M44)</f>
        <v>2.1475195405965864E-2</v>
      </c>
      <c r="L91" s="19">
        <f>IF(N44="",$B44,N44)</f>
        <v>2.1475195405965864E-2</v>
      </c>
      <c r="M91" s="19">
        <f>IF(O44="",$B44,O44)</f>
        <v>2.1475195405965864E-2</v>
      </c>
      <c r="N91" s="19">
        <f>IF(P44="",$B44,P44)</f>
        <v>2.1475195405965864E-2</v>
      </c>
      <c r="O91" s="19">
        <f>IF(Q44="",$B44,Q44)</f>
        <v>2.1475195405965864E-2</v>
      </c>
      <c r="P91" s="19">
        <f>IF(R44="",$B44,R44)</f>
        <v>2.1475195405965864E-2</v>
      </c>
      <c r="Q91" s="19">
        <f>IF(S44="",$B44,S44)</f>
        <v>2.1475195405965864E-2</v>
      </c>
      <c r="R91" s="19">
        <f>IF(T44="",$B44,T44)</f>
        <v>2.1475195405965864E-2</v>
      </c>
      <c r="S91" s="19">
        <f>IF(U44="",$B44,U44)</f>
        <v>2.1475195405965864E-2</v>
      </c>
      <c r="T91" s="19">
        <f>IF(V44="",$B44,V44)</f>
        <v>2.1475195405965864E-2</v>
      </c>
      <c r="U91" s="19">
        <f>IF(W44="",$B44,W44)</f>
        <v>2.1475195405965864E-2</v>
      </c>
      <c r="V91" s="19">
        <f>IF(X44="",$B44,X44)</f>
        <v>2.1475195405965864E-2</v>
      </c>
      <c r="W91" s="19">
        <f>IF(Y44="",$B44,Y44)</f>
        <v>2.1475195405965864E-2</v>
      </c>
      <c r="X91" s="19">
        <f>IF(Z44="",$B44,Z44)</f>
        <v>2.1475195405965864E-2</v>
      </c>
      <c r="Y91" s="19">
        <f>IF(AA44="",$B44,AA44)</f>
        <v>2.1475195405965864E-2</v>
      </c>
      <c r="Z91" s="19">
        <f>IF(AB44="",$B44,AB44)</f>
        <v>2.1475195405965864E-2</v>
      </c>
      <c r="AA91" s="19">
        <f>IF(AC44="",$B44,AC44)</f>
        <v>2.1475195405965864E-2</v>
      </c>
      <c r="AB91" s="19">
        <f>IF(AD44="",$B44,AD44)</f>
        <v>2.1475195405965864E-2</v>
      </c>
    </row>
    <row r="92" spans="1:28" x14ac:dyDescent="0.25">
      <c r="A92" s="1" t="s">
        <v>32</v>
      </c>
      <c r="B92" s="19">
        <v>0</v>
      </c>
      <c r="C92" s="19">
        <f>IF(F45="",$B45,F45)</f>
        <v>1.8000000000000002E-2</v>
      </c>
      <c r="D92" s="19">
        <f>IF(F45="",$B45,F45)</f>
        <v>1.8000000000000002E-2</v>
      </c>
      <c r="E92" s="19">
        <f>IF(G45="",$B45,G45)</f>
        <v>1.8000000000000002E-2</v>
      </c>
      <c r="F92" s="19">
        <f>IF(H45="",$B45,H45)</f>
        <v>1.8000000000000002E-2</v>
      </c>
      <c r="G92" s="19">
        <f>IF(I45="",$B45,I45)</f>
        <v>1.8000000000000002E-2</v>
      </c>
      <c r="H92" s="19">
        <f>IF(J45="",$B45,J45)</f>
        <v>1.8000000000000002E-2</v>
      </c>
      <c r="I92" s="19">
        <f>IF(K45="",$B45,K45)</f>
        <v>1.8000000000000002E-2</v>
      </c>
      <c r="J92" s="19">
        <f>IF(L45="",$B45,L45)</f>
        <v>1.8000000000000002E-2</v>
      </c>
      <c r="K92" s="19">
        <f>IF(M45="",$B45,M45)</f>
        <v>1.8000000000000002E-2</v>
      </c>
      <c r="L92" s="19">
        <f>IF(N45="",$B45,N45)</f>
        <v>1.8000000000000002E-2</v>
      </c>
      <c r="M92" s="19">
        <f>IF(O45="",$B45,O45)</f>
        <v>1.8000000000000002E-2</v>
      </c>
      <c r="N92" s="19">
        <f>IF(P45="",$B45,P45)</f>
        <v>1.8000000000000002E-2</v>
      </c>
      <c r="O92" s="19">
        <f>IF(Q45="",$B45,Q45)</f>
        <v>1.8000000000000002E-2</v>
      </c>
      <c r="P92" s="19">
        <f>IF(R45="",$B45,R45)</f>
        <v>1.8000000000000002E-2</v>
      </c>
      <c r="Q92" s="19">
        <f>IF(S45="",$B45,S45)</f>
        <v>1.8000000000000002E-2</v>
      </c>
      <c r="R92" s="19">
        <f>IF(T45="",$B45,T45)</f>
        <v>1.8000000000000002E-2</v>
      </c>
      <c r="S92" s="19">
        <f>IF(U45="",$B45,U45)</f>
        <v>1.8000000000000002E-2</v>
      </c>
      <c r="T92" s="19">
        <f>IF(V45="",$B45,V45)</f>
        <v>1.8000000000000002E-2</v>
      </c>
      <c r="U92" s="19">
        <f>IF(W45="",$B45,W45)</f>
        <v>1.8000000000000002E-2</v>
      </c>
      <c r="V92" s="19">
        <f>IF(X45="",$B45,X45)</f>
        <v>1.8000000000000002E-2</v>
      </c>
      <c r="W92" s="19">
        <f>IF(Y45="",$B45,Y45)</f>
        <v>1.8000000000000002E-2</v>
      </c>
      <c r="X92" s="19">
        <f>IF(Z45="",$B45,Z45)</f>
        <v>1.8000000000000002E-2</v>
      </c>
      <c r="Y92" s="19">
        <f>IF(AA45="",$B45,AA45)</f>
        <v>1.8000000000000002E-2</v>
      </c>
      <c r="Z92" s="19">
        <f>IF(AB45="",$B45,AB45)</f>
        <v>1.8000000000000002E-2</v>
      </c>
      <c r="AA92" s="19">
        <f>IF(AC45="",$B45,AC45)</f>
        <v>1.8000000000000002E-2</v>
      </c>
      <c r="AB92" s="19">
        <f>IF(AD45="",$B45,AD45)</f>
        <v>1.8000000000000002E-2</v>
      </c>
    </row>
  </sheetData>
  <phoneticPr fontId="12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43"/>
  <sheetViews>
    <sheetView workbookViewId="0">
      <selection activeCell="I11" sqref="I11"/>
    </sheetView>
  </sheetViews>
  <sheetFormatPr defaultRowHeight="15" x14ac:dyDescent="0.25"/>
  <cols>
    <col min="1" max="1" width="20.140625" customWidth="1"/>
    <col min="2" max="17" width="10.140625" customWidth="1"/>
    <col min="18" max="18" width="12.85546875" customWidth="1"/>
    <col min="19" max="29" width="10.140625" customWidth="1"/>
  </cols>
  <sheetData>
    <row r="1" spans="1:28" s="3" customFormat="1" x14ac:dyDescent="0.25">
      <c r="A1" s="4" t="s">
        <v>101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</row>
    <row r="2" spans="1:28" x14ac:dyDescent="0.25">
      <c r="A2" s="2" t="s">
        <v>2</v>
      </c>
      <c r="B2">
        <f>'Rescale to Fit GDP Proj'!C103</f>
        <v>0</v>
      </c>
      <c r="C2">
        <f>'Rescale to Fit GDP Proj'!D103</f>
        <v>1.1026677248351602E-2</v>
      </c>
      <c r="D2">
        <f>'Rescale to Fit GDP Proj'!E103</f>
        <v>2.4484220015278169E-2</v>
      </c>
      <c r="E2">
        <f>'Rescale to Fit GDP Proj'!F103</f>
        <v>3.7909253251248609E-2</v>
      </c>
      <c r="F2">
        <f>'Rescale to Fit GDP Proj'!G103</f>
        <v>4.9537869974381143E-2</v>
      </c>
      <c r="G2">
        <f>'Rescale to Fit GDP Proj'!H103</f>
        <v>6.489819185782264E-2</v>
      </c>
      <c r="H2">
        <f>'Rescale to Fit GDP Proj'!I103</f>
        <v>7.9142197284139737E-2</v>
      </c>
      <c r="I2">
        <f>'Rescale to Fit GDP Proj'!J103</f>
        <v>9.0446282886639917E-2</v>
      </c>
      <c r="J2">
        <f>'Rescale to Fit GDP Proj'!K103</f>
        <v>0.10159575102935881</v>
      </c>
      <c r="K2">
        <f>'Rescale to Fit GDP Proj'!L103</f>
        <v>0.1121988968477039</v>
      </c>
      <c r="L2">
        <f>'Rescale to Fit GDP Proj'!M103</f>
        <v>0.12571987189518863</v>
      </c>
      <c r="M2">
        <f>'Rescale to Fit GDP Proj'!N103</f>
        <v>0.1397706314791638</v>
      </c>
      <c r="N2">
        <f>'Rescale to Fit GDP Proj'!O103</f>
        <v>0.1565454084051261</v>
      </c>
      <c r="O2">
        <f>'Rescale to Fit GDP Proj'!P103</f>
        <v>0.17003738711124794</v>
      </c>
      <c r="P2">
        <f>'Rescale to Fit GDP Proj'!Q103</f>
        <v>0.18160438289721514</v>
      </c>
      <c r="Q2">
        <f>'Rescale to Fit GDP Proj'!R103</f>
        <v>0.19424136669244141</v>
      </c>
      <c r="R2">
        <f>'Rescale to Fit GDP Proj'!S103</f>
        <v>0.20575716233340602</v>
      </c>
      <c r="S2">
        <f>'Rescale to Fit GDP Proj'!T103</f>
        <v>0.21435727971551022</v>
      </c>
      <c r="T2">
        <f>'Rescale to Fit GDP Proj'!U103</f>
        <v>0.22448184114236724</v>
      </c>
      <c r="U2">
        <f>'Rescale to Fit GDP Proj'!V103</f>
        <v>0.23468931978244845</v>
      </c>
      <c r="V2">
        <f>'Rescale to Fit GDP Proj'!W103</f>
        <v>0.2459363165180346</v>
      </c>
      <c r="W2">
        <f>'Rescale to Fit GDP Proj'!X103</f>
        <v>0.26007157824070259</v>
      </c>
      <c r="X2">
        <f>'Rescale to Fit GDP Proj'!Y103</f>
        <v>0.2746682054573184</v>
      </c>
      <c r="Y2">
        <f>'Rescale to Fit GDP Proj'!Z103</f>
        <v>0.28912765867373236</v>
      </c>
      <c r="Z2">
        <f>'Rescale to Fit GDP Proj'!AA103</f>
        <v>0.30335297348600276</v>
      </c>
      <c r="AA2">
        <f>'Rescale to Fit GDP Proj'!AB103</f>
        <v>0.31815281450127531</v>
      </c>
      <c r="AB2">
        <f>'Rescale to Fit GDP Proj'!AC103</f>
        <v>0.33255279960668771</v>
      </c>
    </row>
    <row r="3" spans="1:28" x14ac:dyDescent="0.25">
      <c r="A3" s="2" t="s">
        <v>36</v>
      </c>
      <c r="B3">
        <f>'Rescale to Fit GDP Proj'!C104</f>
        <v>0</v>
      </c>
      <c r="C3">
        <f>'Rescale to Fit GDP Proj'!D104</f>
        <v>8.3217494051750274E-2</v>
      </c>
      <c r="D3">
        <f>'Rescale to Fit GDP Proj'!E104</f>
        <v>9.2924765443469726E-2</v>
      </c>
      <c r="E3">
        <f>'Rescale to Fit GDP Proj'!F104</f>
        <v>0.10051835847733859</v>
      </c>
      <c r="F3">
        <f>'Rescale to Fit GDP Proj'!G104</f>
        <v>0.1140756007864816</v>
      </c>
      <c r="G3">
        <f>'Rescale to Fit GDP Proj'!H104</f>
        <v>0.1246068912601479</v>
      </c>
      <c r="H3">
        <f>'Rescale to Fit GDP Proj'!I104</f>
        <v>0.13378993665914352</v>
      </c>
      <c r="I3">
        <f>'Rescale to Fit GDP Proj'!J104</f>
        <v>0.12928377446895545</v>
      </c>
      <c r="J3">
        <f>'Rescale to Fit GDP Proj'!K104</f>
        <v>0.14084327258520069</v>
      </c>
      <c r="K3">
        <f>'Rescale to Fit GDP Proj'!L104</f>
        <v>0.14114414064320857</v>
      </c>
      <c r="L3">
        <f>'Rescale to Fit GDP Proj'!M104</f>
        <v>0.14235678531039908</v>
      </c>
      <c r="M3">
        <f>'Rescale to Fit GDP Proj'!N104</f>
        <v>0.13648130513731083</v>
      </c>
      <c r="N3">
        <f>'Rescale to Fit GDP Proj'!O104</f>
        <v>0.12852520121956945</v>
      </c>
      <c r="O3">
        <f>'Rescale to Fit GDP Proj'!P104</f>
        <v>0.11661682428581588</v>
      </c>
      <c r="P3">
        <f>'Rescale to Fit GDP Proj'!Q104</f>
        <v>0.11095784336751491</v>
      </c>
      <c r="Q3">
        <f>'Rescale to Fit GDP Proj'!R104</f>
        <v>0.10368619129988321</v>
      </c>
      <c r="R3">
        <f>'Rescale to Fit GDP Proj'!S104</f>
        <v>0.10638202211698511</v>
      </c>
      <c r="S3">
        <f>'Rescale to Fit GDP Proj'!T104</f>
        <v>0.11041196772008521</v>
      </c>
      <c r="T3">
        <f>'Rescale to Fit GDP Proj'!U104</f>
        <v>0.11547640154535133</v>
      </c>
      <c r="U3">
        <f>'Rescale to Fit GDP Proj'!V104</f>
        <v>0.11528287467134346</v>
      </c>
      <c r="V3">
        <f>'Rescale to Fit GDP Proj'!W104</f>
        <v>0.11786078655744925</v>
      </c>
      <c r="W3">
        <f>'Rescale to Fit GDP Proj'!X104</f>
        <v>0.1211240614447886</v>
      </c>
      <c r="X3">
        <f>'Rescale to Fit GDP Proj'!Y104</f>
        <v>0.12957142203554928</v>
      </c>
      <c r="Y3">
        <f>'Rescale to Fit GDP Proj'!Z104</f>
        <v>0.1306385492343678</v>
      </c>
      <c r="Z3">
        <f>'Rescale to Fit GDP Proj'!AA104</f>
        <v>0.13006664282519553</v>
      </c>
      <c r="AA3">
        <f>'Rescale to Fit GDP Proj'!AB104</f>
        <v>0.13292253432815748</v>
      </c>
      <c r="AB3">
        <f>'Rescale to Fit GDP Proj'!AC104</f>
        <v>0.13644816929221504</v>
      </c>
    </row>
    <row r="4" spans="1:28" x14ac:dyDescent="0.25">
      <c r="A4" s="2" t="s">
        <v>37</v>
      </c>
      <c r="B4">
        <f>'Rescale to Fit GDP Proj'!C105</f>
        <v>0</v>
      </c>
      <c r="C4">
        <f>'Rescale to Fit GDP Proj'!D105</f>
        <v>8.3217494051750274E-2</v>
      </c>
      <c r="D4">
        <f>'Rescale to Fit GDP Proj'!E105</f>
        <v>9.2924765443469726E-2</v>
      </c>
      <c r="E4">
        <f>'Rescale to Fit GDP Proj'!F105</f>
        <v>0.10051835847733859</v>
      </c>
      <c r="F4">
        <f>'Rescale to Fit GDP Proj'!G105</f>
        <v>0.1140756007864816</v>
      </c>
      <c r="G4">
        <f>'Rescale to Fit GDP Proj'!H105</f>
        <v>0.1246068912601479</v>
      </c>
      <c r="H4">
        <f>'Rescale to Fit GDP Proj'!I105</f>
        <v>0.13378993665914352</v>
      </c>
      <c r="I4">
        <f>'Rescale to Fit GDP Proj'!J105</f>
        <v>0.12928377446895545</v>
      </c>
      <c r="J4">
        <f>'Rescale to Fit GDP Proj'!K105</f>
        <v>0.14084327258520069</v>
      </c>
      <c r="K4">
        <f>'Rescale to Fit GDP Proj'!L105</f>
        <v>0.14114414064320857</v>
      </c>
      <c r="L4">
        <f>'Rescale to Fit GDP Proj'!M105</f>
        <v>0.14235678531039908</v>
      </c>
      <c r="M4">
        <f>'Rescale to Fit GDP Proj'!N105</f>
        <v>0.13648130513731083</v>
      </c>
      <c r="N4">
        <f>'Rescale to Fit GDP Proj'!O105</f>
        <v>0.12852520121956945</v>
      </c>
      <c r="O4">
        <f>'Rescale to Fit GDP Proj'!P105</f>
        <v>0.11661682428581588</v>
      </c>
      <c r="P4">
        <f>'Rescale to Fit GDP Proj'!Q105</f>
        <v>0.11095784336751491</v>
      </c>
      <c r="Q4">
        <f>'Rescale to Fit GDP Proj'!R105</f>
        <v>0.10368619129988321</v>
      </c>
      <c r="R4">
        <f>'Rescale to Fit GDP Proj'!S105</f>
        <v>0.10638202211698511</v>
      </c>
      <c r="S4">
        <f>'Rescale to Fit GDP Proj'!T105</f>
        <v>0.11041196772008521</v>
      </c>
      <c r="T4">
        <f>'Rescale to Fit GDP Proj'!U105</f>
        <v>0.11547640154535133</v>
      </c>
      <c r="U4">
        <f>'Rescale to Fit GDP Proj'!V105</f>
        <v>0.11528287467134346</v>
      </c>
      <c r="V4">
        <f>'Rescale to Fit GDP Proj'!W105</f>
        <v>0.11786078655744925</v>
      </c>
      <c r="W4">
        <f>'Rescale to Fit GDP Proj'!X105</f>
        <v>0.1211240614447886</v>
      </c>
      <c r="X4">
        <f>'Rescale to Fit GDP Proj'!Y105</f>
        <v>0.12957142203554928</v>
      </c>
      <c r="Y4">
        <f>'Rescale to Fit GDP Proj'!Z105</f>
        <v>0.1306385492343678</v>
      </c>
      <c r="Z4">
        <f>'Rescale to Fit GDP Proj'!AA105</f>
        <v>0.13006664282519553</v>
      </c>
      <c r="AA4">
        <f>'Rescale to Fit GDP Proj'!AB105</f>
        <v>0.13292253432815748</v>
      </c>
      <c r="AB4">
        <f>'Rescale to Fit GDP Proj'!AC105</f>
        <v>0.13644816929221504</v>
      </c>
    </row>
    <row r="5" spans="1:28" x14ac:dyDescent="0.25">
      <c r="A5" s="2" t="s">
        <v>3</v>
      </c>
      <c r="B5">
        <f>'Rescale to Fit GDP Proj'!C106</f>
        <v>0</v>
      </c>
      <c r="C5">
        <f>'Rescale to Fit GDP Proj'!D106</f>
        <v>8.3217494051750274E-2</v>
      </c>
      <c r="D5">
        <f>'Rescale to Fit GDP Proj'!E106</f>
        <v>9.2924765443469726E-2</v>
      </c>
      <c r="E5">
        <f>'Rescale to Fit GDP Proj'!F106</f>
        <v>0.10051835847733859</v>
      </c>
      <c r="F5">
        <f>'Rescale to Fit GDP Proj'!G106</f>
        <v>0.1140756007864816</v>
      </c>
      <c r="G5">
        <f>'Rescale to Fit GDP Proj'!H106</f>
        <v>0.1246068912601479</v>
      </c>
      <c r="H5">
        <f>'Rescale to Fit GDP Proj'!I106</f>
        <v>0.13378993665914352</v>
      </c>
      <c r="I5">
        <f>'Rescale to Fit GDP Proj'!J106</f>
        <v>0.12928377446895545</v>
      </c>
      <c r="J5">
        <f>'Rescale to Fit GDP Proj'!K106</f>
        <v>0.14084327258520069</v>
      </c>
      <c r="K5">
        <f>'Rescale to Fit GDP Proj'!L106</f>
        <v>0.14114414064320857</v>
      </c>
      <c r="L5">
        <f>'Rescale to Fit GDP Proj'!M106</f>
        <v>0.14235678531039908</v>
      </c>
      <c r="M5">
        <f>'Rescale to Fit GDP Proj'!N106</f>
        <v>0.13648130513731083</v>
      </c>
      <c r="N5">
        <f>'Rescale to Fit GDP Proj'!O106</f>
        <v>0.12852520121956945</v>
      </c>
      <c r="O5">
        <f>'Rescale to Fit GDP Proj'!P106</f>
        <v>0.11661682428581588</v>
      </c>
      <c r="P5">
        <f>'Rescale to Fit GDP Proj'!Q106</f>
        <v>0.11095784336751491</v>
      </c>
      <c r="Q5">
        <f>'Rescale to Fit GDP Proj'!R106</f>
        <v>0.10368619129988321</v>
      </c>
      <c r="R5">
        <f>'Rescale to Fit GDP Proj'!S106</f>
        <v>0.10638202211698511</v>
      </c>
      <c r="S5">
        <f>'Rescale to Fit GDP Proj'!T106</f>
        <v>0.11041196772008521</v>
      </c>
      <c r="T5">
        <f>'Rescale to Fit GDP Proj'!U106</f>
        <v>0.11547640154535133</v>
      </c>
      <c r="U5">
        <f>'Rescale to Fit GDP Proj'!V106</f>
        <v>0.11528287467134346</v>
      </c>
      <c r="V5">
        <f>'Rescale to Fit GDP Proj'!W106</f>
        <v>0.11786078655744925</v>
      </c>
      <c r="W5">
        <f>'Rescale to Fit GDP Proj'!X106</f>
        <v>0.1211240614447886</v>
      </c>
      <c r="X5">
        <f>'Rescale to Fit GDP Proj'!Y106</f>
        <v>0.12957142203554928</v>
      </c>
      <c r="Y5">
        <f>'Rescale to Fit GDP Proj'!Z106</f>
        <v>0.1306385492343678</v>
      </c>
      <c r="Z5">
        <f>'Rescale to Fit GDP Proj'!AA106</f>
        <v>0.13006664282519553</v>
      </c>
      <c r="AA5">
        <f>'Rescale to Fit GDP Proj'!AB106</f>
        <v>0.13292253432815748</v>
      </c>
      <c r="AB5">
        <f>'Rescale to Fit GDP Proj'!AC106</f>
        <v>0.13644816929221504</v>
      </c>
    </row>
    <row r="6" spans="1:28" x14ac:dyDescent="0.25">
      <c r="A6" s="2" t="s">
        <v>4</v>
      </c>
      <c r="B6">
        <f>'Rescale to Fit GDP Proj'!C107</f>
        <v>0</v>
      </c>
      <c r="C6">
        <f>'Rescale to Fit GDP Proj'!D107</f>
        <v>-4.3250000000000233E-3</v>
      </c>
      <c r="D6">
        <f>'Rescale to Fit GDP Proj'!E107</f>
        <v>-8.6312943750000981E-3</v>
      </c>
      <c r="E6">
        <f>'Rescale to Fit GDP Proj'!F107</f>
        <v>-1.2918964026828239E-2</v>
      </c>
      <c r="F6">
        <f>'Rescale to Fit GDP Proj'!G107</f>
        <v>-1.7188089507412241E-2</v>
      </c>
      <c r="G6">
        <f>'Rescale to Fit GDP Proj'!H107</f>
        <v>-2.143875102029269E-2</v>
      </c>
      <c r="H6">
        <f>'Rescale to Fit GDP Proj'!I107</f>
        <v>-2.5671028422129982E-2</v>
      </c>
      <c r="I6">
        <f>'Rescale to Fit GDP Proj'!J107</f>
        <v>-2.9885001224204344E-2</v>
      </c>
      <c r="J6">
        <f>'Rescale to Fit GDP Proj'!K107</f>
        <v>-3.4080748593909638E-2</v>
      </c>
      <c r="K6">
        <f>'Rescale to Fit GDP Proj'!L107</f>
        <v>-3.825834935624095E-2</v>
      </c>
      <c r="L6">
        <f>'Rescale to Fit GDP Proj'!M107</f>
        <v>-4.2417881995275186E-2</v>
      </c>
      <c r="M6">
        <f>'Rescale to Fit GDP Proj'!N107</f>
        <v>-4.6559424655645665E-2</v>
      </c>
      <c r="N6">
        <f>'Rescale to Fit GDP Proj'!O107</f>
        <v>-5.0683055144010059E-2</v>
      </c>
      <c r="O6">
        <f>'Rescale to Fit GDP Proj'!P107</f>
        <v>-5.4788850930512223E-2</v>
      </c>
      <c r="P6">
        <f>'Rescale to Fit GDP Proj'!Q107</f>
        <v>-5.887688915023781E-2</v>
      </c>
      <c r="Q6">
        <f>'Rescale to Fit GDP Proj'!R107</f>
        <v>-6.2947246604662999E-2</v>
      </c>
      <c r="R6">
        <f>'Rescale to Fit GDP Proj'!S107</f>
        <v>-6.6999999763097895E-2</v>
      </c>
      <c r="S6">
        <f>'Rescale to Fit GDP Proj'!T107</f>
        <v>-7.1035224764122495E-2</v>
      </c>
      <c r="T6">
        <f>'Rescale to Fit GDP Proj'!U107</f>
        <v>-7.5052997417017653E-2</v>
      </c>
      <c r="U6">
        <f>'Rescale to Fit GDP Proj'!V107</f>
        <v>-7.9053393203189048E-2</v>
      </c>
      <c r="V6">
        <f>'Rescale to Fit GDP Proj'!W107</f>
        <v>-8.303648727758528E-2</v>
      </c>
      <c r="W6">
        <f>'Rescale to Fit GDP Proj'!X107</f>
        <v>-8.7002354470109733E-2</v>
      </c>
      <c r="X6">
        <f>'Rescale to Fit GDP Proj'!Y107</f>
        <v>-9.0951069287026565E-2</v>
      </c>
      <c r="Y6">
        <f>'Rescale to Fit GDP Proj'!Z107</f>
        <v>-9.4882705912360144E-2</v>
      </c>
      <c r="Z6">
        <f>'Rescale to Fit GDP Proj'!AA107</f>
        <v>-9.8797338209289154E-2</v>
      </c>
      <c r="AA6">
        <f>'Rescale to Fit GDP Proj'!AB107</f>
        <v>-0.10269503972153404</v>
      </c>
      <c r="AB6">
        <f>'Rescale to Fit GDP Proj'!AC107</f>
        <v>-0.10657588367473847</v>
      </c>
    </row>
    <row r="7" spans="1:28" x14ac:dyDescent="0.25">
      <c r="A7" s="2" t="s">
        <v>5</v>
      </c>
      <c r="B7">
        <f>'Rescale to Fit GDP Proj'!C108</f>
        <v>0</v>
      </c>
      <c r="C7">
        <f>'Rescale to Fit GDP Proj'!D108</f>
        <v>2.7378123161194701E-3</v>
      </c>
      <c r="D7">
        <f>'Rescale to Fit GDP Proj'!E108</f>
        <v>5.026334552662215E-3</v>
      </c>
      <c r="E7">
        <f>'Rescale to Fit GDP Proj'!F108</f>
        <v>1.294218602620778E-2</v>
      </c>
      <c r="F7">
        <f>'Rescale to Fit GDP Proj'!G108</f>
        <v>1.9415368359928964E-2</v>
      </c>
      <c r="G7">
        <f>'Rescale to Fit GDP Proj'!H108</f>
        <v>2.7417027286726459E-2</v>
      </c>
      <c r="H7">
        <f>'Rescale to Fit GDP Proj'!I108</f>
        <v>3.5506580911565777E-2</v>
      </c>
      <c r="I7">
        <f>'Rescale to Fit GDP Proj'!J108</f>
        <v>4.2912899708778207E-2</v>
      </c>
      <c r="J7">
        <f>'Rescale to Fit GDP Proj'!K108</f>
        <v>5.062668284500349E-2</v>
      </c>
      <c r="K7">
        <f>'Rescale to Fit GDP Proj'!L108</f>
        <v>5.8134992248506157E-2</v>
      </c>
      <c r="L7">
        <f>'Rescale to Fit GDP Proj'!M108</f>
        <v>6.602494880894616E-2</v>
      </c>
      <c r="M7">
        <f>'Rescale to Fit GDP Proj'!N108</f>
        <v>7.3302603651361542E-2</v>
      </c>
      <c r="N7">
        <f>'Rescale to Fit GDP Proj'!O108</f>
        <v>8.2919429889189766E-2</v>
      </c>
      <c r="O7">
        <f>'Rescale to Fit GDP Proj'!P108</f>
        <v>9.1741714378217543E-2</v>
      </c>
      <c r="P7">
        <f>'Rescale to Fit GDP Proj'!Q108</f>
        <v>0.10021956818789124</v>
      </c>
      <c r="Q7">
        <f>'Rescale to Fit GDP Proj'!R108</f>
        <v>0.10919689936433996</v>
      </c>
      <c r="R7">
        <f>'Rescale to Fit GDP Proj'!S108</f>
        <v>0.11810568567099788</v>
      </c>
      <c r="S7">
        <f>'Rescale to Fit GDP Proj'!T108</f>
        <v>0.12705118299118534</v>
      </c>
      <c r="T7">
        <f>'Rescale to Fit GDP Proj'!U108</f>
        <v>0.13617138301163534</v>
      </c>
      <c r="U7">
        <f>'Rescale to Fit GDP Proj'!V108</f>
        <v>0.14488461181467027</v>
      </c>
      <c r="V7">
        <f>'Rescale to Fit GDP Proj'!W108</f>
        <v>0.1536228460386253</v>
      </c>
      <c r="W7">
        <f>'Rescale to Fit GDP Proj'!X108</f>
        <v>0.16212562742567926</v>
      </c>
      <c r="X7">
        <f>'Rescale to Fit GDP Proj'!Y108</f>
        <v>0.1708681233239786</v>
      </c>
      <c r="Y7">
        <f>'Rescale to Fit GDP Proj'!Z108</f>
        <v>0.17974069785367752</v>
      </c>
      <c r="Z7">
        <f>'Rescale to Fit GDP Proj'!AA108</f>
        <v>0.18866520440378798</v>
      </c>
      <c r="AA7">
        <f>'Rescale to Fit GDP Proj'!AB108</f>
        <v>0.19801646169590614</v>
      </c>
      <c r="AB7">
        <f>'Rescale to Fit GDP Proj'!AC108</f>
        <v>0.20715698822155759</v>
      </c>
    </row>
    <row r="8" spans="1:28" x14ac:dyDescent="0.25">
      <c r="A8" s="2" t="s">
        <v>6</v>
      </c>
      <c r="B8">
        <f>'Rescale to Fit GDP Proj'!C109</f>
        <v>0</v>
      </c>
      <c r="C8">
        <f>'Rescale to Fit GDP Proj'!D109</f>
        <v>6.7991175255428526E-3</v>
      </c>
      <c r="D8">
        <f>'Rescale to Fit GDP Proj'!E109</f>
        <v>-2.8743743395760468E-3</v>
      </c>
      <c r="E8">
        <f>'Rescale to Fit GDP Proj'!F109</f>
        <v>-2.4950232008529305E-3</v>
      </c>
      <c r="F8">
        <f>'Rescale to Fit GDP Proj'!G109</f>
        <v>-1.89340416087872E-2</v>
      </c>
      <c r="G8">
        <f>'Rescale to Fit GDP Proj'!H109</f>
        <v>-2.9087430594712416E-2</v>
      </c>
      <c r="H8">
        <f>'Rescale to Fit GDP Proj'!I109</f>
        <v>-3.6086490122851478E-2</v>
      </c>
      <c r="I8">
        <f>'Rescale to Fit GDP Proj'!J109</f>
        <v>-4.4351536291917126E-2</v>
      </c>
      <c r="J8">
        <f>'Rescale to Fit GDP Proj'!K109</f>
        <v>-5.5607435802827898E-2</v>
      </c>
      <c r="K8">
        <f>'Rescale to Fit GDP Proj'!L109</f>
        <v>-6.5989213209154629E-2</v>
      </c>
      <c r="L8">
        <f>'Rescale to Fit GDP Proj'!M109</f>
        <v>-7.2165944296618045E-2</v>
      </c>
      <c r="M8">
        <f>'Rescale to Fit GDP Proj'!N109</f>
        <v>-8.3538368203017743E-2</v>
      </c>
      <c r="N8">
        <f>'Rescale to Fit GDP Proj'!O109</f>
        <v>-9.4686564734173806E-2</v>
      </c>
      <c r="O8">
        <f>'Rescale to Fit GDP Proj'!P109</f>
        <v>-9.9212011530180444E-2</v>
      </c>
      <c r="P8">
        <f>'Rescale to Fit GDP Proj'!Q109</f>
        <v>-0.10501471761672276</v>
      </c>
      <c r="Q8">
        <f>'Rescale to Fit GDP Proj'!R109</f>
        <v>-0.10877312491389457</v>
      </c>
      <c r="R8">
        <f>'Rescale to Fit GDP Proj'!S109</f>
        <v>-0.11042265400084861</v>
      </c>
      <c r="S8">
        <f>'Rescale to Fit GDP Proj'!T109</f>
        <v>-0.11384675536451383</v>
      </c>
      <c r="T8">
        <f>'Rescale to Fit GDP Proj'!U109</f>
        <v>-0.11716851014837293</v>
      </c>
      <c r="U8">
        <f>'Rescale to Fit GDP Proj'!V109</f>
        <v>-0.12273443006883189</v>
      </c>
      <c r="V8">
        <f>'Rescale to Fit GDP Proj'!W109</f>
        <v>-0.1279536365756776</v>
      </c>
      <c r="W8">
        <f>'Rescale to Fit GDP Proj'!X109</f>
        <v>-0.13378606009018246</v>
      </c>
      <c r="X8">
        <f>'Rescale to Fit GDP Proj'!Y109</f>
        <v>-0.13853927493258522</v>
      </c>
      <c r="Y8">
        <f>'Rescale to Fit GDP Proj'!Z109</f>
        <v>-0.14170132123775492</v>
      </c>
      <c r="Z8">
        <f>'Rescale to Fit GDP Proj'!AA109</f>
        <v>-0.14562642756948119</v>
      </c>
      <c r="AA8">
        <f>'Rescale to Fit GDP Proj'!AB109</f>
        <v>-0.14908820530566536</v>
      </c>
      <c r="AB8">
        <f>'Rescale to Fit GDP Proj'!AC109</f>
        <v>-0.15436727033848874</v>
      </c>
    </row>
    <row r="9" spans="1:28" x14ac:dyDescent="0.25">
      <c r="A9" s="2" t="s">
        <v>7</v>
      </c>
      <c r="B9">
        <f>'Rescale to Fit GDP Proj'!C110</f>
        <v>0</v>
      </c>
      <c r="C9">
        <f>'Rescale to Fit GDP Proj'!D110</f>
        <v>6.438456892143618E-3</v>
      </c>
      <c r="D9">
        <f>'Rescale to Fit GDP Proj'!E110</f>
        <v>2.6761569691298615E-2</v>
      </c>
      <c r="E9">
        <f>'Rescale to Fit GDP Proj'!F110</f>
        <v>3.9019585168227566E-2</v>
      </c>
      <c r="F9">
        <f>'Rescale to Fit GDP Proj'!G110</f>
        <v>5.6711374136342751E-2</v>
      </c>
      <c r="G9">
        <f>'Rescale to Fit GDP Proj'!H110</f>
        <v>8.9794112458529307E-2</v>
      </c>
      <c r="H9">
        <f>'Rescale to Fit GDP Proj'!I110</f>
        <v>0.11540585681198667</v>
      </c>
      <c r="I9">
        <f>'Rescale to Fit GDP Proj'!J110</f>
        <v>0.13247926572792679</v>
      </c>
      <c r="J9">
        <f>'Rescale to Fit GDP Proj'!K110</f>
        <v>0.14392105977697534</v>
      </c>
      <c r="K9">
        <f>'Rescale to Fit GDP Proj'!L110</f>
        <v>0.1419811290077384</v>
      </c>
      <c r="L9">
        <f>'Rescale to Fit GDP Proj'!M110</f>
        <v>0.15408773267625331</v>
      </c>
      <c r="M9">
        <f>'Rescale to Fit GDP Proj'!N110</f>
        <v>0.16918849977521933</v>
      </c>
      <c r="N9">
        <f>'Rescale to Fit GDP Proj'!O110</f>
        <v>0.20242846249336433</v>
      </c>
      <c r="O9">
        <f>'Rescale to Fit GDP Proj'!P110</f>
        <v>0.22475872680757236</v>
      </c>
      <c r="P9">
        <f>'Rescale to Fit GDP Proj'!Q110</f>
        <v>0.23258410570292054</v>
      </c>
      <c r="Q9">
        <f>'Rescale to Fit GDP Proj'!R110</f>
        <v>0.24178003583480523</v>
      </c>
      <c r="R9">
        <f>'Rescale to Fit GDP Proj'!S110</f>
        <v>0.24014805026302954</v>
      </c>
      <c r="S9">
        <f>'Rescale to Fit GDP Proj'!T110</f>
        <v>0.21599865944659258</v>
      </c>
      <c r="T9">
        <f>'Rescale to Fit GDP Proj'!U110</f>
        <v>0.20005344125506341</v>
      </c>
      <c r="U9">
        <f>'Rescale to Fit GDP Proj'!V110</f>
        <v>0.17022094539500787</v>
      </c>
      <c r="V9">
        <f>'Rescale to Fit GDP Proj'!W110</f>
        <v>0.14959058856716867</v>
      </c>
      <c r="W9">
        <f>'Rescale to Fit GDP Proj'!X110</f>
        <v>0.1484387410179262</v>
      </c>
      <c r="X9">
        <f>'Rescale to Fit GDP Proj'!Y110</f>
        <v>0.15242248731595831</v>
      </c>
      <c r="Y9">
        <f>'Rescale to Fit GDP Proj'!Z110</f>
        <v>0.16493348245533435</v>
      </c>
      <c r="Z9">
        <f>'Rescale to Fit GDP Proj'!AA110</f>
        <v>0.17649846880997999</v>
      </c>
      <c r="AA9">
        <f>'Rescale to Fit GDP Proj'!AB110</f>
        <v>0.19127283676221785</v>
      </c>
      <c r="AB9">
        <f>'Rescale to Fit GDP Proj'!AC110</f>
        <v>0.20038263491503439</v>
      </c>
    </row>
    <row r="10" spans="1:28" x14ac:dyDescent="0.25">
      <c r="A10" s="2" t="s">
        <v>8</v>
      </c>
      <c r="B10">
        <f>'Rescale to Fit GDP Proj'!C111</f>
        <v>0</v>
      </c>
      <c r="C10">
        <f>'Rescale to Fit GDP Proj'!D111</f>
        <v>-8.0041876610355001E-3</v>
      </c>
      <c r="D10">
        <f>'Rescale to Fit GDP Proj'!E111</f>
        <v>-7.5526505557815815E-3</v>
      </c>
      <c r="E10">
        <f>'Rescale to Fit GDP Proj'!F111</f>
        <v>-2.0931985216156579E-2</v>
      </c>
      <c r="F10">
        <f>'Rescale to Fit GDP Proj'!G111</f>
        <v>-3.0572047227450772E-2</v>
      </c>
      <c r="G10">
        <f>'Rescale to Fit GDP Proj'!H111</f>
        <v>-3.5634831399052214E-2</v>
      </c>
      <c r="H10">
        <f>'Rescale to Fit GDP Proj'!I111</f>
        <v>-3.8698787173380378E-2</v>
      </c>
      <c r="I10">
        <f>'Rescale to Fit GDP Proj'!J111</f>
        <v>-3.7999046330065567E-2</v>
      </c>
      <c r="J10">
        <f>'Rescale to Fit GDP Proj'!K111</f>
        <v>-3.8780149349729842E-2</v>
      </c>
      <c r="K10">
        <f>'Rescale to Fit GDP Proj'!L111</f>
        <v>-4.1706399347787304E-2</v>
      </c>
      <c r="L10">
        <f>'Rescale to Fit GDP Proj'!M111</f>
        <v>-4.0552017726341427E-2</v>
      </c>
      <c r="M10">
        <f>'Rescale to Fit GDP Proj'!N111</f>
        <v>-3.939754150818997E-2</v>
      </c>
      <c r="N10">
        <f>'Rescale to Fit GDP Proj'!O111</f>
        <v>-3.6933436960270738E-2</v>
      </c>
      <c r="O10">
        <f>'Rescale to Fit GDP Proj'!P111</f>
        <v>-3.5277994605690255E-2</v>
      </c>
      <c r="P10">
        <f>'Rescale to Fit GDP Proj'!Q111</f>
        <v>-3.2812322455215148E-2</v>
      </c>
      <c r="Q10">
        <f>'Rescale to Fit GDP Proj'!R111</f>
        <v>-2.7276419615581804E-2</v>
      </c>
      <c r="R10">
        <f>'Rescale to Fit GDP Proj'!S111</f>
        <v>-2.1431703576987537E-2</v>
      </c>
      <c r="S10">
        <f>'Rescale to Fit GDP Proj'!T111</f>
        <v>-1.7526008294464379E-2</v>
      </c>
      <c r="T10">
        <f>'Rescale to Fit GDP Proj'!U111</f>
        <v>-1.3112301673219751E-2</v>
      </c>
      <c r="U10">
        <f>'Rescale to Fit GDP Proj'!V111</f>
        <v>-9.6497153799087743E-3</v>
      </c>
      <c r="V10">
        <f>'Rescale to Fit GDP Proj'!W111</f>
        <v>-3.7109927385992059E-3</v>
      </c>
      <c r="W10">
        <f>'Rescale to Fit GDP Proj'!X111</f>
        <v>2.4876681369168097E-4</v>
      </c>
      <c r="X10">
        <f>'Rescale to Fit GDP Proj'!Y111</f>
        <v>5.8167874873060743E-3</v>
      </c>
      <c r="Y10">
        <f>'Rescale to Fit GDP Proj'!Z111</f>
        <v>1.0931086322219175E-2</v>
      </c>
      <c r="Z10">
        <f>'Rescale to Fit GDP Proj'!AA111</f>
        <v>1.5525972663038345E-2</v>
      </c>
      <c r="AA10">
        <f>'Rescale to Fit GDP Proj'!AB111</f>
        <v>1.923639782140163E-2</v>
      </c>
      <c r="AB10">
        <f>'Rescale to Fit GDP Proj'!AC111</f>
        <v>2.3119488995801518E-2</v>
      </c>
    </row>
    <row r="11" spans="1:28" x14ac:dyDescent="0.25">
      <c r="A11" s="2" t="s">
        <v>9</v>
      </c>
      <c r="B11">
        <f>'Rescale to Fit GDP Proj'!C112</f>
        <v>0</v>
      </c>
      <c r="C11">
        <f>'Rescale to Fit GDP Proj'!D112</f>
        <v>1.6536762550319217E-2</v>
      </c>
      <c r="D11">
        <f>'Rescale to Fit GDP Proj'!E112</f>
        <v>1.2097524006619009E-2</v>
      </c>
      <c r="E11">
        <f>'Rescale to Fit GDP Proj'!F112</f>
        <v>7.5820120981093808E-3</v>
      </c>
      <c r="F11">
        <f>'Rescale to Fit GDP Proj'!G112</f>
        <v>2.1039893056837844E-3</v>
      </c>
      <c r="G11">
        <f>'Rescale to Fit GDP Proj'!H112</f>
        <v>-5.7168555267265164E-3</v>
      </c>
      <c r="H11">
        <f>'Rescale to Fit GDP Proj'!I112</f>
        <v>-1.7988296813502447E-2</v>
      </c>
      <c r="I11">
        <f>'Rescale to Fit GDP Proj'!J112</f>
        <v>-3.1620648151235664E-2</v>
      </c>
      <c r="J11">
        <f>'Rescale to Fit GDP Proj'!K112</f>
        <v>-4.7741423508098513E-2</v>
      </c>
      <c r="K11">
        <f>'Rescale to Fit GDP Proj'!L112</f>
        <v>-6.415072391224752E-2</v>
      </c>
      <c r="L11">
        <f>'Rescale to Fit GDP Proj'!M112</f>
        <v>-7.8283535369422341E-2</v>
      </c>
      <c r="M11">
        <f>'Rescale to Fit GDP Proj'!N112</f>
        <v>-9.2441035970216245E-2</v>
      </c>
      <c r="N11">
        <f>'Rescale to Fit GDP Proj'!O112</f>
        <v>-0.10700568710578717</v>
      </c>
      <c r="O11">
        <f>'Rescale to Fit GDP Proj'!P112</f>
        <v>-0.12082031811301852</v>
      </c>
      <c r="P11">
        <f>'Rescale to Fit GDP Proj'!Q112</f>
        <v>-0.13221774691594779</v>
      </c>
      <c r="Q11">
        <f>'Rescale to Fit GDP Proj'!R112</f>
        <v>-0.14071407663793734</v>
      </c>
      <c r="R11">
        <f>'Rescale to Fit GDP Proj'!S112</f>
        <v>-0.14695284812558684</v>
      </c>
      <c r="S11">
        <f>'Rescale to Fit GDP Proj'!T112</f>
        <v>-0.15358567798815981</v>
      </c>
      <c r="T11">
        <f>'Rescale to Fit GDP Proj'!U112</f>
        <v>-0.1599820412939752</v>
      </c>
      <c r="U11">
        <f>'Rescale to Fit GDP Proj'!V112</f>
        <v>-0.16573786185908945</v>
      </c>
      <c r="V11">
        <f>'Rescale to Fit GDP Proj'!W112</f>
        <v>-0.16971915264962056</v>
      </c>
      <c r="W11">
        <f>'Rescale to Fit GDP Proj'!X112</f>
        <v>-0.17516846470120417</v>
      </c>
      <c r="X11">
        <f>'Rescale to Fit GDP Proj'!Y112</f>
        <v>-0.17744440054933142</v>
      </c>
      <c r="Y11">
        <f>'Rescale to Fit GDP Proj'!Z112</f>
        <v>-0.17612371939347293</v>
      </c>
      <c r="Z11">
        <f>'Rescale to Fit GDP Proj'!AA112</f>
        <v>-0.17841913776079421</v>
      </c>
      <c r="AA11">
        <f>'Rescale to Fit GDP Proj'!AB112</f>
        <v>-0.17729138342723538</v>
      </c>
      <c r="AB11">
        <f>'Rescale to Fit GDP Proj'!AC112</f>
        <v>-0.17599475819435351</v>
      </c>
    </row>
    <row r="12" spans="1:28" x14ac:dyDescent="0.25">
      <c r="A12" s="2" t="s">
        <v>33</v>
      </c>
      <c r="B12">
        <f>'Rescale to Fit GDP Proj'!C113</f>
        <v>0</v>
      </c>
      <c r="C12">
        <f>'Rescale to Fit GDP Proj'!D113</f>
        <v>5.1665284598176875E-3</v>
      </c>
      <c r="D12">
        <f>'Rescale to Fit GDP Proj'!E113</f>
        <v>-1.8843395381065164E-3</v>
      </c>
      <c r="E12">
        <f>'Rescale to Fit GDP Proj'!F113</f>
        <v>-4.0607095189938436E-3</v>
      </c>
      <c r="F12">
        <f>'Rescale to Fit GDP Proj'!G113</f>
        <v>-6.018529624400526E-3</v>
      </c>
      <c r="G12">
        <f>'Rescale to Fit GDP Proj'!H113</f>
        <v>-2.6169452978476171E-3</v>
      </c>
      <c r="H12">
        <f>'Rescale to Fit GDP Proj'!I113</f>
        <v>6.625018984459663E-3</v>
      </c>
      <c r="I12">
        <f>'Rescale to Fit GDP Proj'!J113</f>
        <v>1.8606043547265694E-2</v>
      </c>
      <c r="J12">
        <f>'Rescale to Fit GDP Proj'!K113</f>
        <v>3.2108918116263929E-2</v>
      </c>
      <c r="K12">
        <f>'Rescale to Fit GDP Proj'!L113</f>
        <v>4.4020615716276357E-2</v>
      </c>
      <c r="L12">
        <f>'Rescale to Fit GDP Proj'!M113</f>
        <v>5.8420046498495193E-2</v>
      </c>
      <c r="M12">
        <f>'Rescale to Fit GDP Proj'!N113</f>
        <v>7.1162448914933396E-2</v>
      </c>
      <c r="N12">
        <f>'Rescale to Fit GDP Proj'!O113</f>
        <v>8.1646317436021354E-2</v>
      </c>
      <c r="O12">
        <f>'Rescale to Fit GDP Proj'!P113</f>
        <v>9.5648142973041139E-2</v>
      </c>
      <c r="P12">
        <f>'Rescale to Fit GDP Proj'!Q113</f>
        <v>0.1098373310887919</v>
      </c>
      <c r="Q12">
        <f>'Rescale to Fit GDP Proj'!R113</f>
        <v>0.12525867973301996</v>
      </c>
      <c r="R12">
        <f>'Rescale to Fit GDP Proj'!S113</f>
        <v>0.14256519937863366</v>
      </c>
      <c r="S12">
        <f>'Rescale to Fit GDP Proj'!T113</f>
        <v>0.15910762159280645</v>
      </c>
      <c r="T12">
        <f>'Rescale to Fit GDP Proj'!U113</f>
        <v>0.17647281878983878</v>
      </c>
      <c r="U12">
        <f>'Rescale to Fit GDP Proj'!V113</f>
        <v>0.19169374024110186</v>
      </c>
      <c r="V12">
        <f>'Rescale to Fit GDP Proj'!W113</f>
        <v>0.20634668813650037</v>
      </c>
      <c r="W12">
        <f>'Rescale to Fit GDP Proj'!X113</f>
        <v>0.21825090999077945</v>
      </c>
      <c r="X12">
        <f>'Rescale to Fit GDP Proj'!Y113</f>
        <v>0.23091084535510054</v>
      </c>
      <c r="Y12">
        <f>'Rescale to Fit GDP Proj'!Z113</f>
        <v>0.24819840961762285</v>
      </c>
      <c r="Z12">
        <f>'Rescale to Fit GDP Proj'!AA113</f>
        <v>0.26286155159926738</v>
      </c>
      <c r="AA12">
        <f>'Rescale to Fit GDP Proj'!AB113</f>
        <v>0.27658101369142396</v>
      </c>
      <c r="AB12">
        <f>'Rescale to Fit GDP Proj'!AC113</f>
        <v>0.28822416721169986</v>
      </c>
    </row>
    <row r="13" spans="1:28" x14ac:dyDescent="0.25">
      <c r="A13" s="2" t="s">
        <v>34</v>
      </c>
      <c r="B13">
        <f>'Rescale to Fit GDP Proj'!C114</f>
        <v>0</v>
      </c>
      <c r="C13">
        <f>'Rescale to Fit GDP Proj'!D114</f>
        <v>2.075999999999989E-2</v>
      </c>
      <c r="D13">
        <f>'Rescale to Fit GDP Proj'!E114</f>
        <v>4.1950977599999772E-2</v>
      </c>
      <c r="E13">
        <f>'Rescale to Fit GDP Proj'!F114</f>
        <v>6.3581879894975657E-2</v>
      </c>
      <c r="F13">
        <f>'Rescale to Fit GDP Proj'!G114</f>
        <v>8.5661839721595134E-2</v>
      </c>
      <c r="G13">
        <f>'Rescale to Fit GDP Proj'!H114</f>
        <v>0.10820017951421534</v>
      </c>
      <c r="H13">
        <f>'Rescale to Fit GDP Proj'!I114</f>
        <v>0.13120641524093024</v>
      </c>
      <c r="I13">
        <f>'Rescale to Fit GDP Proj'!J114</f>
        <v>0.15469026042133183</v>
      </c>
      <c r="J13">
        <f>'Rescale to Fit GDP Proj'!K114</f>
        <v>0.17866163022767845</v>
      </c>
      <c r="K13">
        <f>'Rescale to Fit GDP Proj'!L114</f>
        <v>0.20313064567120498</v>
      </c>
      <c r="L13">
        <f>'Rescale to Fit GDP Proj'!M114</f>
        <v>0.22810763787533905</v>
      </c>
      <c r="M13">
        <f>'Rescale to Fit GDP Proj'!N114</f>
        <v>0.25360315243763099</v>
      </c>
      <c r="N13">
        <f>'Rescale to Fit GDP Proj'!O114</f>
        <v>0.27962795388223616</v>
      </c>
      <c r="O13">
        <f>'Rescale to Fit GDP Proj'!P114</f>
        <v>0.30619303020483124</v>
      </c>
      <c r="P13">
        <f>'Rescale to Fit GDP Proj'!Q114</f>
        <v>0.33330959751188338</v>
      </c>
      <c r="Q13">
        <f>'Rescale to Fit GDP Proj'!R114</f>
        <v>0.36098910475622992</v>
      </c>
      <c r="R13">
        <f>'Rescale to Fit GDP Proj'!S114</f>
        <v>0.38924323857096921</v>
      </c>
      <c r="S13">
        <f>'Rescale to Fit GDP Proj'!T114</f>
        <v>0.41808392820370233</v>
      </c>
      <c r="T13">
        <f>'Rescale to Fit GDP Proj'!U114</f>
        <v>0.44752335055321102</v>
      </c>
      <c r="U13">
        <f>'Rescale to Fit GDP Proj'!V114</f>
        <v>0.47757393531069559</v>
      </c>
      <c r="V13">
        <f>'Rescale to Fit GDP Proj'!W114</f>
        <v>0.50824837020774538</v>
      </c>
      <c r="W13">
        <f>'Rescale to Fit GDP Proj'!X114</f>
        <v>0.53955960637325795</v>
      </c>
      <c r="X13">
        <f>'Rescale to Fit GDP Proj'!Y114</f>
        <v>0.57152086380156653</v>
      </c>
      <c r="Y13">
        <f>'Rescale to Fit GDP Proj'!Z114</f>
        <v>0.60414563693408696</v>
      </c>
      <c r="Z13">
        <f>'Rescale to Fit GDP Proj'!AA114</f>
        <v>0.6374477003568384</v>
      </c>
      <c r="AA13">
        <f>'Rescale to Fit GDP Proj'!AB114</f>
        <v>0.67144111461624623</v>
      </c>
      <c r="AB13">
        <f>'Rescale to Fit GDP Proj'!AC114</f>
        <v>0.70614023215567934</v>
      </c>
    </row>
    <row r="14" spans="1:28" x14ac:dyDescent="0.25">
      <c r="A14" s="2" t="s">
        <v>10</v>
      </c>
      <c r="B14">
        <f>'Rescale to Fit GDP Proj'!C115</f>
        <v>0</v>
      </c>
      <c r="C14">
        <f>'Rescale to Fit GDP Proj'!D115</f>
        <v>2.5276672821325397E-2</v>
      </c>
      <c r="D14">
        <f>'Rescale to Fit GDP Proj'!E115</f>
        <v>5.8329442989480951E-2</v>
      </c>
      <c r="E14">
        <f>'Rescale to Fit GDP Proj'!F115</f>
        <v>7.8506660122361183E-2</v>
      </c>
      <c r="F14">
        <f>'Rescale to Fit GDP Proj'!G115</f>
        <v>8.7937061787640047E-2</v>
      </c>
      <c r="G14">
        <f>'Rescale to Fit GDP Proj'!H115</f>
        <v>0.10172478828764753</v>
      </c>
      <c r="H14">
        <f>'Rescale to Fit GDP Proj'!I115</f>
        <v>0.11945144672846864</v>
      </c>
      <c r="I14">
        <f>'Rescale to Fit GDP Proj'!J115</f>
        <v>0.13734346165932632</v>
      </c>
      <c r="J14">
        <f>'Rescale to Fit GDP Proj'!K115</f>
        <v>0.15433509613744412</v>
      </c>
      <c r="K14">
        <f>'Rescale to Fit GDP Proj'!L115</f>
        <v>0.16914608778224571</v>
      </c>
      <c r="L14">
        <f>'Rescale to Fit GDP Proj'!M115</f>
        <v>0.18827862019423725</v>
      </c>
      <c r="M14">
        <f>'Rescale to Fit GDP Proj'!N115</f>
        <v>0.20287840671811375</v>
      </c>
      <c r="N14">
        <f>'Rescale to Fit GDP Proj'!O115</f>
        <v>0.21353279492519239</v>
      </c>
      <c r="O14">
        <f>'Rescale to Fit GDP Proj'!P115</f>
        <v>0.22764384022443096</v>
      </c>
      <c r="P14">
        <f>'Rescale to Fit GDP Proj'!Q115</f>
        <v>0.23965760854709317</v>
      </c>
      <c r="Q14">
        <f>'Rescale to Fit GDP Proj'!R115</f>
        <v>0.25230276926860906</v>
      </c>
      <c r="R14">
        <f>'Rescale to Fit GDP Proj'!S115</f>
        <v>0.26663242328895365</v>
      </c>
      <c r="S14">
        <f>'Rescale to Fit GDP Proj'!T115</f>
        <v>0.27905236291363034</v>
      </c>
      <c r="T14">
        <f>'Rescale to Fit GDP Proj'!U115</f>
        <v>0.29250010309466212</v>
      </c>
      <c r="U14">
        <f>'Rescale to Fit GDP Proj'!V115</f>
        <v>0.30186870447904468</v>
      </c>
      <c r="V14">
        <f>'Rescale to Fit GDP Proj'!W115</f>
        <v>0.31169752533062711</v>
      </c>
      <c r="W14">
        <f>'Rescale to Fit GDP Proj'!X115</f>
        <v>0.31951846814877993</v>
      </c>
      <c r="X14">
        <f>'Rescale to Fit GDP Proj'!Y115</f>
        <v>0.32825538513481067</v>
      </c>
      <c r="Y14">
        <f>'Rescale to Fit GDP Proj'!Z115</f>
        <v>0.33846278333582602</v>
      </c>
      <c r="Z14">
        <f>'Rescale to Fit GDP Proj'!AA115</f>
        <v>0.34754838540007804</v>
      </c>
      <c r="AA14">
        <f>'Rescale to Fit GDP Proj'!AB115</f>
        <v>0.35731770428939558</v>
      </c>
      <c r="AB14">
        <f>'Rescale to Fit GDP Proj'!AC115</f>
        <v>0.36511004528573143</v>
      </c>
    </row>
    <row r="15" spans="1:28" x14ac:dyDescent="0.25">
      <c r="A15" s="2" t="s">
        <v>38</v>
      </c>
      <c r="B15">
        <f>'Rescale to Fit GDP Proj'!C116</f>
        <v>0</v>
      </c>
      <c r="C15">
        <f>'Rescale to Fit GDP Proj'!D116</f>
        <v>-7.4908174144431294E-3</v>
      </c>
      <c r="D15">
        <f>'Rescale to Fit GDP Proj'!E116</f>
        <v>-9.6940785317932709E-3</v>
      </c>
      <c r="E15">
        <f>'Rescale to Fit GDP Proj'!F116</f>
        <v>-1.0265568905404199E-2</v>
      </c>
      <c r="F15">
        <f>'Rescale to Fit GDP Proj'!G116</f>
        <v>-8.7150067619445881E-3</v>
      </c>
      <c r="G15">
        <f>'Rescale to Fit GDP Proj'!H116</f>
        <v>-6.5670346227413301E-3</v>
      </c>
      <c r="H15">
        <f>'Rescale to Fit GDP Proj'!I116</f>
        <v>-3.6883715531215167E-3</v>
      </c>
      <c r="I15">
        <f>'Rescale to Fit GDP Proj'!J116</f>
        <v>1.2009735708427005E-3</v>
      </c>
      <c r="J15">
        <f>'Rescale to Fit GDP Proj'!K116</f>
        <v>7.5348714484637647E-3</v>
      </c>
      <c r="K15">
        <f>'Rescale to Fit GDP Proj'!L116</f>
        <v>1.3741735206818317E-2</v>
      </c>
      <c r="L15">
        <f>'Rescale to Fit GDP Proj'!M116</f>
        <v>2.0510066463318655E-2</v>
      </c>
      <c r="M15">
        <f>'Rescale to Fit GDP Proj'!N116</f>
        <v>2.817975724129429E-2</v>
      </c>
      <c r="N15">
        <f>'Rescale to Fit GDP Proj'!O116</f>
        <v>3.5697613110480475E-2</v>
      </c>
      <c r="O15">
        <f>'Rescale to Fit GDP Proj'!P116</f>
        <v>4.4135615565385811E-2</v>
      </c>
      <c r="P15">
        <f>'Rescale to Fit GDP Proj'!Q116</f>
        <v>5.3367429757124718E-2</v>
      </c>
      <c r="Q15">
        <f>'Rescale to Fit GDP Proj'!R116</f>
        <v>6.2842310333398155E-2</v>
      </c>
      <c r="R15">
        <f>'Rescale to Fit GDP Proj'!S116</f>
        <v>7.2954552553199381E-2</v>
      </c>
      <c r="S15">
        <f>'Rescale to Fit GDP Proj'!T116</f>
        <v>8.3210844471545364E-2</v>
      </c>
      <c r="T15">
        <f>'Rescale to Fit GDP Proj'!U116</f>
        <v>9.3298705464052389E-2</v>
      </c>
      <c r="U15">
        <f>'Rescale to Fit GDP Proj'!V116</f>
        <v>0.10268734269330082</v>
      </c>
      <c r="V15">
        <f>'Rescale to Fit GDP Proj'!W116</f>
        <v>0.11110376100243702</v>
      </c>
      <c r="W15">
        <f>'Rescale to Fit GDP Proj'!X116</f>
        <v>0.11876105138565096</v>
      </c>
      <c r="X15">
        <f>'Rescale to Fit GDP Proj'!Y116</f>
        <v>0.12596516794376766</v>
      </c>
      <c r="Y15">
        <f>'Rescale to Fit GDP Proj'!Z116</f>
        <v>0.13376352447189954</v>
      </c>
      <c r="Z15">
        <f>'Rescale to Fit GDP Proj'!AA116</f>
        <v>0.14206106681621744</v>
      </c>
      <c r="AA15">
        <f>'Rescale to Fit GDP Proj'!AB116</f>
        <v>0.1503971156495314</v>
      </c>
      <c r="AB15">
        <f>'Rescale to Fit GDP Proj'!AC116</f>
        <v>0.15816008909637014</v>
      </c>
    </row>
    <row r="16" spans="1:28" x14ac:dyDescent="0.25">
      <c r="A16" s="2" t="s">
        <v>39</v>
      </c>
      <c r="B16">
        <f>'Rescale to Fit GDP Proj'!C117</f>
        <v>0</v>
      </c>
      <c r="C16">
        <f>'Rescale to Fit GDP Proj'!D117</f>
        <v>2.8758968843307642E-3</v>
      </c>
      <c r="D16">
        <f>'Rescale to Fit GDP Proj'!E117</f>
        <v>5.5447386050926362E-3</v>
      </c>
      <c r="E16">
        <f>'Rescale to Fit GDP Proj'!F117</f>
        <v>1.334697229910442E-2</v>
      </c>
      <c r="F16">
        <f>'Rescale to Fit GDP Proj'!G117</f>
        <v>2.0322084157451625E-2</v>
      </c>
      <c r="G16">
        <f>'Rescale to Fit GDP Proj'!H117</f>
        <v>2.3257517031993524E-2</v>
      </c>
      <c r="H16">
        <f>'Rescale to Fit GDP Proj'!I117</f>
        <v>3.3148604906038326E-2</v>
      </c>
      <c r="I16">
        <f>'Rescale to Fit GDP Proj'!J117</f>
        <v>4.8267405567056665E-2</v>
      </c>
      <c r="J16">
        <f>'Rescale to Fit GDP Proj'!K117</f>
        <v>6.1310826450002187E-2</v>
      </c>
      <c r="K16">
        <f>'Rescale to Fit GDP Proj'!L117</f>
        <v>6.9852920243094418E-2</v>
      </c>
      <c r="L16">
        <f>'Rescale to Fit GDP Proj'!M117</f>
        <v>7.6525013445821521E-2</v>
      </c>
      <c r="M16">
        <f>'Rescale to Fit GDP Proj'!N117</f>
        <v>8.5495524406353995E-2</v>
      </c>
      <c r="N16">
        <f>'Rescale to Fit GDP Proj'!O117</f>
        <v>9.494903829119794E-2</v>
      </c>
      <c r="O16">
        <f>'Rescale to Fit GDP Proj'!P117</f>
        <v>0.10496619062773638</v>
      </c>
      <c r="P16">
        <f>'Rescale to Fit GDP Proj'!Q117</f>
        <v>0.1163189292383342</v>
      </c>
      <c r="Q16">
        <f>'Rescale to Fit GDP Proj'!R117</f>
        <v>0.12652720941816709</v>
      </c>
      <c r="R16">
        <f>'Rescale to Fit GDP Proj'!S117</f>
        <v>0.13250806802015713</v>
      </c>
      <c r="S16">
        <f>'Rescale to Fit GDP Proj'!T117</f>
        <v>0.13550267061203947</v>
      </c>
      <c r="T16">
        <f>'Rescale to Fit GDP Proj'!U117</f>
        <v>0.13633829441796896</v>
      </c>
      <c r="U16">
        <f>'Rescale to Fit GDP Proj'!V117</f>
        <v>0.13229434225067549</v>
      </c>
      <c r="V16">
        <f>'Rescale to Fit GDP Proj'!W117</f>
        <v>0.12489021386928179</v>
      </c>
      <c r="W16">
        <f>'Rescale to Fit GDP Proj'!X117</f>
        <v>0.12527881828562459</v>
      </c>
      <c r="X16">
        <f>'Rescale to Fit GDP Proj'!Y117</f>
        <v>0.13094350570619273</v>
      </c>
      <c r="Y16">
        <f>'Rescale to Fit GDP Proj'!Z117</f>
        <v>0.13774363902507791</v>
      </c>
      <c r="Z16">
        <f>'Rescale to Fit GDP Proj'!AA117</f>
        <v>0.14570024008520699</v>
      </c>
      <c r="AA16">
        <f>'Rescale to Fit GDP Proj'!AB117</f>
        <v>0.15389712724751292</v>
      </c>
      <c r="AB16">
        <f>'Rescale to Fit GDP Proj'!AC117</f>
        <v>0.1628476263903067</v>
      </c>
    </row>
    <row r="17" spans="1:28" x14ac:dyDescent="0.25">
      <c r="A17" s="2" t="s">
        <v>40</v>
      </c>
      <c r="B17">
        <f>'Rescale to Fit GDP Proj'!C118</f>
        <v>0</v>
      </c>
      <c r="C17">
        <f>'Rescale to Fit GDP Proj'!D118</f>
        <v>2.5613569332120223E-2</v>
      </c>
      <c r="D17">
        <f>'Rescale to Fit GDP Proj'!E118</f>
        <v>6.3565342772621269E-2</v>
      </c>
      <c r="E17">
        <f>'Rescale to Fit GDP Proj'!F118</f>
        <v>6.9816743299714989E-2</v>
      </c>
      <c r="F17">
        <f>'Rescale to Fit GDP Proj'!G118</f>
        <v>6.3086171766112198E-2</v>
      </c>
      <c r="G17">
        <f>'Rescale to Fit GDP Proj'!H118</f>
        <v>6.0723957321637378E-2</v>
      </c>
      <c r="H17">
        <f>'Rescale to Fit GDP Proj'!I118</f>
        <v>6.9752163739295048E-2</v>
      </c>
      <c r="I17">
        <f>'Rescale to Fit GDP Proj'!J118</f>
        <v>8.3652333761937703E-2</v>
      </c>
      <c r="J17">
        <f>'Rescale to Fit GDP Proj'!K118</f>
        <v>9.697214603662685E-2</v>
      </c>
      <c r="K17">
        <f>'Rescale to Fit GDP Proj'!L118</f>
        <v>9.3631295779173618E-2</v>
      </c>
      <c r="L17">
        <f>'Rescale to Fit GDP Proj'!M118</f>
        <v>0.10112715612912004</v>
      </c>
      <c r="M17">
        <f>'Rescale to Fit GDP Proj'!N118</f>
        <v>0.10787347076669462</v>
      </c>
      <c r="N17">
        <f>'Rescale to Fit GDP Proj'!O118</f>
        <v>0.11351109761237699</v>
      </c>
      <c r="O17">
        <f>'Rescale to Fit GDP Proj'!P118</f>
        <v>0.12815247232487015</v>
      </c>
      <c r="P17">
        <f>'Rescale to Fit GDP Proj'!Q118</f>
        <v>0.13929682726224479</v>
      </c>
      <c r="Q17">
        <f>'Rescale to Fit GDP Proj'!R118</f>
        <v>0.1502303006433432</v>
      </c>
      <c r="R17">
        <f>'Rescale to Fit GDP Proj'!S118</f>
        <v>0.17016536175075125</v>
      </c>
      <c r="S17">
        <f>'Rescale to Fit GDP Proj'!T118</f>
        <v>0.18308419434469547</v>
      </c>
      <c r="T17">
        <f>'Rescale to Fit GDP Proj'!U118</f>
        <v>0.19191766553627554</v>
      </c>
      <c r="U17">
        <f>'Rescale to Fit GDP Proj'!V118</f>
        <v>0.20795964654778776</v>
      </c>
      <c r="V17">
        <f>'Rescale to Fit GDP Proj'!W118</f>
        <v>0.22048654900959264</v>
      </c>
      <c r="W17">
        <f>'Rescale to Fit GDP Proj'!X118</f>
        <v>0.22816073327818343</v>
      </c>
      <c r="X17">
        <f>'Rescale to Fit GDP Proj'!Y118</f>
        <v>0.23287285800683866</v>
      </c>
      <c r="Y17">
        <f>'Rescale to Fit GDP Proj'!Z118</f>
        <v>0.24365796141757445</v>
      </c>
      <c r="Z17">
        <f>'Rescale to Fit GDP Proj'!AA118</f>
        <v>0.24796740139458273</v>
      </c>
      <c r="AA17">
        <f>'Rescale to Fit GDP Proj'!AB118</f>
        <v>0.25000655098609248</v>
      </c>
      <c r="AB17">
        <f>'Rescale to Fit GDP Proj'!AC118</f>
        <v>0.25230462365862216</v>
      </c>
    </row>
    <row r="18" spans="1:28" x14ac:dyDescent="0.25">
      <c r="A18" s="2" t="s">
        <v>41</v>
      </c>
      <c r="B18">
        <f>'Rescale to Fit GDP Proj'!C119</f>
        <v>0</v>
      </c>
      <c r="C18">
        <f>'Rescale to Fit GDP Proj'!D119</f>
        <v>4.8085548520604426E-4</v>
      </c>
      <c r="D18">
        <f>'Rescale to Fit GDP Proj'!E119</f>
        <v>4.7851004202861258E-3</v>
      </c>
      <c r="E18">
        <f>'Rescale to Fit GDP Proj'!F119</f>
        <v>1.7278597166038745E-2</v>
      </c>
      <c r="F18">
        <f>'Rescale to Fit GDP Proj'!G119</f>
        <v>2.6627658737753412E-2</v>
      </c>
      <c r="G18">
        <f>'Rescale to Fit GDP Proj'!H119</f>
        <v>3.5890873390017841E-2</v>
      </c>
      <c r="H18">
        <f>'Rescale to Fit GDP Proj'!I119</f>
        <v>4.5239247974996344E-2</v>
      </c>
      <c r="I18">
        <f>'Rescale to Fit GDP Proj'!J119</f>
        <v>5.4554973074964153E-2</v>
      </c>
      <c r="J18">
        <f>'Rescale to Fit GDP Proj'!K119</f>
        <v>6.4775565396689494E-2</v>
      </c>
      <c r="K18">
        <f>'Rescale to Fit GDP Proj'!L119</f>
        <v>7.5193666405053872E-2</v>
      </c>
      <c r="L18">
        <f>'Rescale to Fit GDP Proj'!M119</f>
        <v>8.5835311135852299E-2</v>
      </c>
      <c r="M18">
        <f>'Rescale to Fit GDP Proj'!N119</f>
        <v>9.7306219317344622E-2</v>
      </c>
      <c r="N18">
        <f>'Rescale to Fit GDP Proj'!O119</f>
        <v>0.10878730899456746</v>
      </c>
      <c r="O18">
        <f>'Rescale to Fit GDP Proj'!P119</f>
        <v>0.1205039822771512</v>
      </c>
      <c r="P18">
        <f>'Rescale to Fit GDP Proj'!Q119</f>
        <v>0.13246732783561876</v>
      </c>
      <c r="Q18">
        <f>'Rescale to Fit GDP Proj'!R119</f>
        <v>0.14435360757432791</v>
      </c>
      <c r="R18">
        <f>'Rescale to Fit GDP Proj'!S119</f>
        <v>0.15620262268636265</v>
      </c>
      <c r="S18">
        <f>'Rescale to Fit GDP Proj'!T119</f>
        <v>0.16794282086089818</v>
      </c>
      <c r="T18">
        <f>'Rescale to Fit GDP Proj'!U119</f>
        <v>0.1793966952943431</v>
      </c>
      <c r="U18">
        <f>'Rescale to Fit GDP Proj'!V119</f>
        <v>0.19051035275800055</v>
      </c>
      <c r="V18">
        <f>'Rescale to Fit GDP Proj'!W119</f>
        <v>0.20113989595321646</v>
      </c>
      <c r="W18">
        <f>'Rescale to Fit GDP Proj'!X119</f>
        <v>0.21113358888652711</v>
      </c>
      <c r="X18">
        <f>'Rescale to Fit GDP Proj'!Y119</f>
        <v>0.2204167613842285</v>
      </c>
      <c r="Y18">
        <f>'Rescale to Fit GDP Proj'!Z119</f>
        <v>0.22933522319274258</v>
      </c>
      <c r="Z18">
        <f>'Rescale to Fit GDP Proj'!AA119</f>
        <v>0.23772828106846822</v>
      </c>
      <c r="AA18">
        <f>'Rescale to Fit GDP Proj'!AB119</f>
        <v>0.2455829263010314</v>
      </c>
      <c r="AB18">
        <f>'Rescale to Fit GDP Proj'!AC119</f>
        <v>0.25281705516794095</v>
      </c>
    </row>
    <row r="19" spans="1:28" x14ac:dyDescent="0.25">
      <c r="A19" s="2" t="s">
        <v>11</v>
      </c>
      <c r="B19">
        <f>'Rescale to Fit GDP Proj'!C120</f>
        <v>0</v>
      </c>
      <c r="C19">
        <f>'Rescale to Fit GDP Proj'!D120</f>
        <v>1.9738770957129059E-2</v>
      </c>
      <c r="D19">
        <f>'Rescale to Fit GDP Proj'!E120</f>
        <v>6.0504203053200367E-2</v>
      </c>
      <c r="E19">
        <f>'Rescale to Fit GDP Proj'!F120</f>
        <v>8.617317322374074E-2</v>
      </c>
      <c r="F19">
        <f>'Rescale to Fit GDP Proj'!G120</f>
        <v>8.8364722728379697E-2</v>
      </c>
      <c r="G19">
        <f>'Rescale to Fit GDP Proj'!H120</f>
        <v>9.1042710510723213E-2</v>
      </c>
      <c r="H19">
        <f>'Rescale to Fit GDP Proj'!I120</f>
        <v>9.940691957350678E-2</v>
      </c>
      <c r="I19">
        <f>'Rescale to Fit GDP Proj'!J120</f>
        <v>0.10921914586807846</v>
      </c>
      <c r="J19">
        <f>'Rescale to Fit GDP Proj'!K120</f>
        <v>0.12033812804922195</v>
      </c>
      <c r="K19">
        <f>'Rescale to Fit GDP Proj'!L120</f>
        <v>0.12295426501857643</v>
      </c>
      <c r="L19">
        <f>'Rescale to Fit GDP Proj'!M120</f>
        <v>0.13506570031276488</v>
      </c>
      <c r="M19">
        <f>'Rescale to Fit GDP Proj'!N120</f>
        <v>0.14065112265507507</v>
      </c>
      <c r="N19">
        <f>'Rescale to Fit GDP Proj'!O120</f>
        <v>0.14895771626550691</v>
      </c>
      <c r="O19">
        <f>'Rescale to Fit GDP Proj'!P120</f>
        <v>0.16199672529586118</v>
      </c>
      <c r="P19">
        <f>'Rescale to Fit GDP Proj'!Q120</f>
        <v>0.17157445941052063</v>
      </c>
      <c r="Q19">
        <f>'Rescale to Fit GDP Proj'!R120</f>
        <v>0.18154590683093352</v>
      </c>
      <c r="R19">
        <f>'Rescale to Fit GDP Proj'!S120</f>
        <v>0.19413137188723595</v>
      </c>
      <c r="S19">
        <f>'Rescale to Fit GDP Proj'!T120</f>
        <v>0.20320924748310865</v>
      </c>
      <c r="T19">
        <f>'Rescale to Fit GDP Proj'!U120</f>
        <v>0.21237722616101373</v>
      </c>
      <c r="U19">
        <f>'Rescale to Fit GDP Proj'!V120</f>
        <v>0.21771069909923968</v>
      </c>
      <c r="V19">
        <f>'Rescale to Fit GDP Proj'!W120</f>
        <v>0.22669756238265437</v>
      </c>
      <c r="W19">
        <f>'Rescale to Fit GDP Proj'!X120</f>
        <v>0.23057333726477891</v>
      </c>
      <c r="X19">
        <f>'Rescale to Fit GDP Proj'!Y120</f>
        <v>0.23761212311377977</v>
      </c>
      <c r="Y19">
        <f>'Rescale to Fit GDP Proj'!Z120</f>
        <v>0.24363968933375091</v>
      </c>
      <c r="Z19">
        <f>'Rescale to Fit GDP Proj'!AA120</f>
        <v>0.2482998589572003</v>
      </c>
      <c r="AA19">
        <f>'Rescale to Fit GDP Proj'!AB120</f>
        <v>0.25533299435239254</v>
      </c>
      <c r="AB19">
        <f>'Rescale to Fit GDP Proj'!AC120</f>
        <v>0.25547142881755813</v>
      </c>
    </row>
    <row r="20" spans="1:28" x14ac:dyDescent="0.25">
      <c r="A20" s="2" t="s">
        <v>12</v>
      </c>
      <c r="B20">
        <f>'Rescale to Fit GDP Proj'!C121</f>
        <v>0</v>
      </c>
      <c r="C20">
        <f>'Rescale to Fit GDP Proj'!D121</f>
        <v>4.034198695730562E-2</v>
      </c>
      <c r="D20">
        <f>'Rescale to Fit GDP Proj'!E121</f>
        <v>6.1874308100372755E-2</v>
      </c>
      <c r="E20">
        <f>'Rescale to Fit GDP Proj'!F121</f>
        <v>0.10360373390003641</v>
      </c>
      <c r="F20">
        <f>'Rescale to Fit GDP Proj'!G121</f>
        <v>0.14904633987645477</v>
      </c>
      <c r="G20">
        <f>'Rescale to Fit GDP Proj'!H121</f>
        <v>0.18580255384251232</v>
      </c>
      <c r="H20">
        <f>'Rescale to Fit GDP Proj'!I121</f>
        <v>0.22104954195069149</v>
      </c>
      <c r="I20">
        <f>'Rescale to Fit GDP Proj'!J121</f>
        <v>0.25455004348666166</v>
      </c>
      <c r="J20">
        <f>'Rescale to Fit GDP Proj'!K121</f>
        <v>0.290186666412376</v>
      </c>
      <c r="K20">
        <f>'Rescale to Fit GDP Proj'!L121</f>
        <v>0.31808886276435255</v>
      </c>
      <c r="L20">
        <f>'Rescale to Fit GDP Proj'!M121</f>
        <v>0.34880644156839646</v>
      </c>
      <c r="M20">
        <f>'Rescale to Fit GDP Proj'!N121</f>
        <v>0.38359083491677159</v>
      </c>
      <c r="N20">
        <f>'Rescale to Fit GDP Proj'!O121</f>
        <v>0.42293196573106195</v>
      </c>
      <c r="O20">
        <f>'Rescale to Fit GDP Proj'!P121</f>
        <v>0.46330745099228787</v>
      </c>
      <c r="P20">
        <f>'Rescale to Fit GDP Proj'!Q121</f>
        <v>0.50442031710039892</v>
      </c>
      <c r="Q20">
        <f>'Rescale to Fit GDP Proj'!R121</f>
        <v>0.54893668815559349</v>
      </c>
      <c r="R20">
        <f>'Rescale to Fit GDP Proj'!S121</f>
        <v>0.59672937514313751</v>
      </c>
      <c r="S20">
        <f>'Rescale to Fit GDP Proj'!T121</f>
        <v>0.64589888787403615</v>
      </c>
      <c r="T20">
        <f>'Rescale to Fit GDP Proj'!U121</f>
        <v>0.69688646309857982</v>
      </c>
      <c r="U20">
        <f>'Rescale to Fit GDP Proj'!V121</f>
        <v>0.74715288847261507</v>
      </c>
      <c r="V20">
        <f>'Rescale to Fit GDP Proj'!W121</f>
        <v>0.80084751299796686</v>
      </c>
      <c r="W20">
        <f>'Rescale to Fit GDP Proj'!X121</f>
        <v>0.8539104558701458</v>
      </c>
      <c r="X20">
        <f>'Rescale to Fit GDP Proj'!Y121</f>
        <v>0.91227763926989192</v>
      </c>
      <c r="Y20">
        <f>'Rescale to Fit GDP Proj'!Z121</f>
        <v>0.9730310382148426</v>
      </c>
      <c r="Z20">
        <f>'Rescale to Fit GDP Proj'!AA121</f>
        <v>1.0347089358052917</v>
      </c>
      <c r="AA20">
        <f>'Rescale to Fit GDP Proj'!AB121</f>
        <v>1.0975375637685327</v>
      </c>
      <c r="AB20">
        <f>'Rescale to Fit GDP Proj'!AC121</f>
        <v>1.1609124277112168</v>
      </c>
    </row>
    <row r="21" spans="1:28" x14ac:dyDescent="0.25">
      <c r="A21" s="2" t="s">
        <v>13</v>
      </c>
      <c r="B21">
        <f>'Rescale to Fit GDP Proj'!C122</f>
        <v>0</v>
      </c>
      <c r="C21">
        <f>'Rescale to Fit GDP Proj'!D122</f>
        <v>6.1082305929953673E-3</v>
      </c>
      <c r="D21">
        <f>'Rescale to Fit GDP Proj'!E122</f>
        <v>-1.0059695400337354E-3</v>
      </c>
      <c r="E21">
        <f>'Rescale to Fit GDP Proj'!F122</f>
        <v>1.2484847175224578E-2</v>
      </c>
      <c r="F21">
        <f>'Rescale to Fit GDP Proj'!G122</f>
        <v>3.3941525274581386E-2</v>
      </c>
      <c r="G21">
        <f>'Rescale to Fit GDP Proj'!H122</f>
        <v>4.9630046709300712E-2</v>
      </c>
      <c r="H21">
        <f>'Rescale to Fit GDP Proj'!I122</f>
        <v>6.3717802066220353E-2</v>
      </c>
      <c r="I21">
        <f>'Rescale to Fit GDP Proj'!J122</f>
        <v>7.2356386484768276E-2</v>
      </c>
      <c r="J21">
        <f>'Rescale to Fit GDP Proj'!K122</f>
        <v>8.1963048246955772E-2</v>
      </c>
      <c r="K21">
        <f>'Rescale to Fit GDP Proj'!L122</f>
        <v>8.1812187806492354E-2</v>
      </c>
      <c r="L21">
        <f>'Rescale to Fit GDP Proj'!M122</f>
        <v>8.3679061221175521E-2</v>
      </c>
      <c r="M21">
        <f>'Rescale to Fit GDP Proj'!N122</f>
        <v>8.8418325273816656E-2</v>
      </c>
      <c r="N21">
        <f>'Rescale to Fit GDP Proj'!O122</f>
        <v>9.3976880059301493E-2</v>
      </c>
      <c r="O21">
        <f>'Rescale to Fit GDP Proj'!P122</f>
        <v>0.1007277588894282</v>
      </c>
      <c r="P21">
        <f>'Rescale to Fit GDP Proj'!Q122</f>
        <v>0.10606129035457057</v>
      </c>
      <c r="Q21">
        <f>'Rescale to Fit GDP Proj'!R122</f>
        <v>0.11284029816652486</v>
      </c>
      <c r="R21">
        <f>'Rescale to Fit GDP Proj'!S122</f>
        <v>0.12119812189206125</v>
      </c>
      <c r="S21">
        <f>'Rescale to Fit GDP Proj'!T122</f>
        <v>0.12835790360638311</v>
      </c>
      <c r="T21">
        <f>'Rescale to Fit GDP Proj'!U122</f>
        <v>0.13522311616513361</v>
      </c>
      <c r="U21">
        <f>'Rescale to Fit GDP Proj'!V122</f>
        <v>0.14069742055359091</v>
      </c>
      <c r="V21">
        <f>'Rescale to Fit GDP Proj'!W122</f>
        <v>0.14691164688514791</v>
      </c>
      <c r="W21">
        <f>'Rescale to Fit GDP Proj'!X122</f>
        <v>0.15130016062706853</v>
      </c>
      <c r="X21">
        <f>'Rescale to Fit GDP Proj'!Y122</f>
        <v>0.15733624242990274</v>
      </c>
      <c r="Y21">
        <f>'Rescale to Fit GDP Proj'!Z122</f>
        <v>0.16454628251011738</v>
      </c>
      <c r="Z21">
        <f>'Rescale to Fit GDP Proj'!AA122</f>
        <v>0.16927194292288195</v>
      </c>
      <c r="AA21">
        <f>'Rescale to Fit GDP Proj'!AB122</f>
        <v>0.17411167250163784</v>
      </c>
      <c r="AB21">
        <f>'Rescale to Fit GDP Proj'!AC122</f>
        <v>0.17740865202761369</v>
      </c>
    </row>
    <row r="22" spans="1:28" x14ac:dyDescent="0.25">
      <c r="A22" s="2" t="s">
        <v>14</v>
      </c>
      <c r="B22">
        <f>'Rescale to Fit GDP Proj'!C123</f>
        <v>0</v>
      </c>
      <c r="C22">
        <f>'Rescale to Fit GDP Proj'!D123</f>
        <v>1.1611440015510066E-2</v>
      </c>
      <c r="D22">
        <f>'Rescale to Fit GDP Proj'!E123</f>
        <v>3.2245610621539633E-2</v>
      </c>
      <c r="E22">
        <f>'Rescale to Fit GDP Proj'!F123</f>
        <v>7.1673116033079909E-2</v>
      </c>
      <c r="F22">
        <f>'Rescale to Fit GDP Proj'!G123</f>
        <v>9.4366865206590766E-2</v>
      </c>
      <c r="G22">
        <f>'Rescale to Fit GDP Proj'!H123</f>
        <v>0.11377319786724316</v>
      </c>
      <c r="H22">
        <f>'Rescale to Fit GDP Proj'!I123</f>
        <v>0.13636832873989269</v>
      </c>
      <c r="I22">
        <f>'Rescale to Fit GDP Proj'!J123</f>
        <v>0.15341728838242097</v>
      </c>
      <c r="J22">
        <f>'Rescale to Fit GDP Proj'!K123</f>
        <v>0.16874235556326522</v>
      </c>
      <c r="K22">
        <f>'Rescale to Fit GDP Proj'!L123</f>
        <v>0.17309591614129727</v>
      </c>
      <c r="L22">
        <f>'Rescale to Fit GDP Proj'!M123</f>
        <v>0.18430285300673965</v>
      </c>
      <c r="M22">
        <f>'Rescale to Fit GDP Proj'!N123</f>
        <v>0.19309343513047961</v>
      </c>
      <c r="N22">
        <f>'Rescale to Fit GDP Proj'!O123</f>
        <v>0.20271042579697141</v>
      </c>
      <c r="O22">
        <f>'Rescale to Fit GDP Proj'!P123</f>
        <v>0.21233223177741545</v>
      </c>
      <c r="P22">
        <f>'Rescale to Fit GDP Proj'!Q123</f>
        <v>0.21624155531513178</v>
      </c>
      <c r="Q22">
        <f>'Rescale to Fit GDP Proj'!R123</f>
        <v>0.21921520462862842</v>
      </c>
      <c r="R22">
        <f>'Rescale to Fit GDP Proj'!S123</f>
        <v>0.22404607523255904</v>
      </c>
      <c r="S22">
        <f>'Rescale to Fit GDP Proj'!T123</f>
        <v>0.22685464484579776</v>
      </c>
      <c r="T22">
        <f>'Rescale to Fit GDP Proj'!U123</f>
        <v>0.22976603063986589</v>
      </c>
      <c r="U22">
        <f>'Rescale to Fit GDP Proj'!V123</f>
        <v>0.23128203911922096</v>
      </c>
      <c r="V22">
        <f>'Rescale to Fit GDP Proj'!W123</f>
        <v>0.23384493711918042</v>
      </c>
      <c r="W22">
        <f>'Rescale to Fit GDP Proj'!X123</f>
        <v>0.23459475029171051</v>
      </c>
      <c r="X22">
        <f>'Rescale to Fit GDP Proj'!Y123</f>
        <v>0.23783762095598826</v>
      </c>
      <c r="Y22">
        <f>'Rescale to Fit GDP Proj'!Z123</f>
        <v>0.24307074308931598</v>
      </c>
      <c r="Z22">
        <f>'Rescale to Fit GDP Proj'!AA123</f>
        <v>0.24389746034906024</v>
      </c>
      <c r="AA22">
        <f>'Rescale to Fit GDP Proj'!AB123</f>
        <v>0.24716388410645962</v>
      </c>
      <c r="AB22">
        <f>'Rescale to Fit GDP Proj'!AC123</f>
        <v>0.24808430368452883</v>
      </c>
    </row>
    <row r="23" spans="1:28" x14ac:dyDescent="0.25">
      <c r="A23" s="2" t="s">
        <v>15</v>
      </c>
      <c r="B23">
        <f>'Rescale to Fit GDP Proj'!C124</f>
        <v>0</v>
      </c>
      <c r="C23">
        <f>'Rescale to Fit GDP Proj'!D124</f>
        <v>6.3132566311215221E-2</v>
      </c>
      <c r="D23">
        <f>'Rescale to Fit GDP Proj'!E124</f>
        <v>0.13474656684060671</v>
      </c>
      <c r="E23">
        <f>'Rescale to Fit GDP Proj'!F124</f>
        <v>0.15643497384977256</v>
      </c>
      <c r="F23">
        <f>'Rescale to Fit GDP Proj'!G124</f>
        <v>0.18070418067186789</v>
      </c>
      <c r="G23">
        <f>'Rescale to Fit GDP Proj'!H124</f>
        <v>0.20277033779790954</v>
      </c>
      <c r="H23">
        <f>'Rescale to Fit GDP Proj'!I124</f>
        <v>0.21604750980790577</v>
      </c>
      <c r="I23">
        <f>'Rescale to Fit GDP Proj'!J124</f>
        <v>0.21723301034639975</v>
      </c>
      <c r="J23">
        <f>'Rescale to Fit GDP Proj'!K124</f>
        <v>0.22715376129969544</v>
      </c>
      <c r="K23">
        <f>'Rescale to Fit GDP Proj'!L124</f>
        <v>0.23939006183818679</v>
      </c>
      <c r="L23">
        <f>'Rescale to Fit GDP Proj'!M124</f>
        <v>0.26698562106243551</v>
      </c>
      <c r="M23">
        <f>'Rescale to Fit GDP Proj'!N124</f>
        <v>0.28491561671460963</v>
      </c>
      <c r="N23">
        <f>'Rescale to Fit GDP Proj'!O124</f>
        <v>0.29631455617506886</v>
      </c>
      <c r="O23">
        <f>'Rescale to Fit GDP Proj'!P124</f>
        <v>0.30976745523165006</v>
      </c>
      <c r="P23">
        <f>'Rescale to Fit GDP Proj'!Q124</f>
        <v>0.32609772896605449</v>
      </c>
      <c r="Q23">
        <f>'Rescale to Fit GDP Proj'!R124</f>
        <v>0.3436864467003542</v>
      </c>
      <c r="R23">
        <f>'Rescale to Fit GDP Proj'!S124</f>
        <v>0.36012636368932571</v>
      </c>
      <c r="S23">
        <f>'Rescale to Fit GDP Proj'!T124</f>
        <v>0.37365838028439446</v>
      </c>
      <c r="T23">
        <f>'Rescale to Fit GDP Proj'!U124</f>
        <v>0.3882262378643131</v>
      </c>
      <c r="U23">
        <f>'Rescale to Fit GDP Proj'!V124</f>
        <v>0.39992209498581421</v>
      </c>
      <c r="V23">
        <f>'Rescale to Fit GDP Proj'!W124</f>
        <v>0.41298329605598494</v>
      </c>
      <c r="W23">
        <f>'Rescale to Fit GDP Proj'!X124</f>
        <v>0.42760077291015741</v>
      </c>
      <c r="X23">
        <f>'Rescale to Fit GDP Proj'!Y124</f>
        <v>0.44176286943214738</v>
      </c>
      <c r="Y23">
        <f>'Rescale to Fit GDP Proj'!Z124</f>
        <v>0.45557819861487325</v>
      </c>
      <c r="Z23">
        <f>'Rescale to Fit GDP Proj'!AA124</f>
        <v>0.46921848727991367</v>
      </c>
      <c r="AA23">
        <f>'Rescale to Fit GDP Proj'!AB124</f>
        <v>0.48112425646613866</v>
      </c>
      <c r="AB23">
        <f>'Rescale to Fit GDP Proj'!AC124</f>
        <v>0.4886257573161874</v>
      </c>
    </row>
    <row r="24" spans="1:28" x14ac:dyDescent="0.25">
      <c r="A24" s="2" t="s">
        <v>16</v>
      </c>
      <c r="B24">
        <f>'Rescale to Fit GDP Proj'!C125</f>
        <v>0</v>
      </c>
      <c r="C24">
        <f>'Rescale to Fit GDP Proj'!D125</f>
        <v>6.3132566311215221E-2</v>
      </c>
      <c r="D24">
        <f>'Rescale to Fit GDP Proj'!E125</f>
        <v>0.13474656684060671</v>
      </c>
      <c r="E24">
        <f>'Rescale to Fit GDP Proj'!F125</f>
        <v>0.15643497384977256</v>
      </c>
      <c r="F24">
        <f>'Rescale to Fit GDP Proj'!G125</f>
        <v>0.18070418067186789</v>
      </c>
      <c r="G24">
        <f>'Rescale to Fit GDP Proj'!H125</f>
        <v>0.20277033779790954</v>
      </c>
      <c r="H24">
        <f>'Rescale to Fit GDP Proj'!I125</f>
        <v>0.21604750980790577</v>
      </c>
      <c r="I24">
        <f>'Rescale to Fit GDP Proj'!J125</f>
        <v>0.21723301034639975</v>
      </c>
      <c r="J24">
        <f>'Rescale to Fit GDP Proj'!K125</f>
        <v>0.22715376129969544</v>
      </c>
      <c r="K24">
        <f>'Rescale to Fit GDP Proj'!L125</f>
        <v>0.23939006183818679</v>
      </c>
      <c r="L24">
        <f>'Rescale to Fit GDP Proj'!M125</f>
        <v>0.26698562106243551</v>
      </c>
      <c r="M24">
        <f>'Rescale to Fit GDP Proj'!N125</f>
        <v>0.28491561671460963</v>
      </c>
      <c r="N24">
        <f>'Rescale to Fit GDP Proj'!O125</f>
        <v>0.29631455617506886</v>
      </c>
      <c r="O24">
        <f>'Rescale to Fit GDP Proj'!P125</f>
        <v>0.30976745523165006</v>
      </c>
      <c r="P24">
        <f>'Rescale to Fit GDP Proj'!Q125</f>
        <v>0.32609772896605449</v>
      </c>
      <c r="Q24">
        <f>'Rescale to Fit GDP Proj'!R125</f>
        <v>0.3436864467003542</v>
      </c>
      <c r="R24">
        <f>'Rescale to Fit GDP Proj'!S125</f>
        <v>0.36012636368932571</v>
      </c>
      <c r="S24">
        <f>'Rescale to Fit GDP Proj'!T125</f>
        <v>0.37365838028439446</v>
      </c>
      <c r="T24">
        <f>'Rescale to Fit GDP Proj'!U125</f>
        <v>0.3882262378643131</v>
      </c>
      <c r="U24">
        <f>'Rescale to Fit GDP Proj'!V125</f>
        <v>0.39992209498581421</v>
      </c>
      <c r="V24">
        <f>'Rescale to Fit GDP Proj'!W125</f>
        <v>0.41298329605598494</v>
      </c>
      <c r="W24">
        <f>'Rescale to Fit GDP Proj'!X125</f>
        <v>0.42760077291015741</v>
      </c>
      <c r="X24">
        <f>'Rescale to Fit GDP Proj'!Y125</f>
        <v>0.44176286943214738</v>
      </c>
      <c r="Y24">
        <f>'Rescale to Fit GDP Proj'!Z125</f>
        <v>0.45557819861487325</v>
      </c>
      <c r="Z24">
        <f>'Rescale to Fit GDP Proj'!AA125</f>
        <v>0.46921848727991367</v>
      </c>
      <c r="AA24">
        <f>'Rescale to Fit GDP Proj'!AB125</f>
        <v>0.48112425646613866</v>
      </c>
      <c r="AB24">
        <f>'Rescale to Fit GDP Proj'!AC125</f>
        <v>0.4886257573161874</v>
      </c>
    </row>
    <row r="25" spans="1:28" x14ac:dyDescent="0.25">
      <c r="A25" s="2" t="s">
        <v>17</v>
      </c>
      <c r="B25">
        <f>'Rescale to Fit GDP Proj'!C126</f>
        <v>0</v>
      </c>
      <c r="C25">
        <f>'Rescale to Fit GDP Proj'!D126</f>
        <v>1.4295325439433126E-2</v>
      </c>
      <c r="D25">
        <f>'Rescale to Fit GDP Proj'!E126</f>
        <v>4.2738039864837374E-2</v>
      </c>
      <c r="E25">
        <f>'Rescale to Fit GDP Proj'!F126</f>
        <v>7.4592687584937645E-2</v>
      </c>
      <c r="F25">
        <f>'Rescale to Fit GDP Proj'!G126</f>
        <v>9.4358239767624363E-2</v>
      </c>
      <c r="G25">
        <f>'Rescale to Fit GDP Proj'!H126</f>
        <v>0.10746147251020344</v>
      </c>
      <c r="H25">
        <f>'Rescale to Fit GDP Proj'!I126</f>
        <v>0.12913004875620326</v>
      </c>
      <c r="I25">
        <f>'Rescale to Fit GDP Proj'!J126</f>
        <v>0.14525463816163553</v>
      </c>
      <c r="J25">
        <f>'Rescale to Fit GDP Proj'!K126</f>
        <v>0.16510589610212367</v>
      </c>
      <c r="K25">
        <f>'Rescale to Fit GDP Proj'!L126</f>
        <v>0.17498843744284542</v>
      </c>
      <c r="L25">
        <f>'Rescale to Fit GDP Proj'!M126</f>
        <v>0.18875648878548779</v>
      </c>
      <c r="M25">
        <f>'Rescale to Fit GDP Proj'!N126</f>
        <v>0.20107822944905118</v>
      </c>
      <c r="N25">
        <f>'Rescale to Fit GDP Proj'!O126</f>
        <v>0.21548671920866291</v>
      </c>
      <c r="O25">
        <f>'Rescale to Fit GDP Proj'!P126</f>
        <v>0.23431553896840418</v>
      </c>
      <c r="P25">
        <f>'Rescale to Fit GDP Proj'!Q126</f>
        <v>0.24700558641619974</v>
      </c>
      <c r="Q25">
        <f>'Rescale to Fit GDP Proj'!R126</f>
        <v>0.25936060358537616</v>
      </c>
      <c r="R25">
        <f>'Rescale to Fit GDP Proj'!S126</f>
        <v>0.27600709444451144</v>
      </c>
      <c r="S25">
        <f>'Rescale to Fit GDP Proj'!T126</f>
        <v>0.2910860997419471</v>
      </c>
      <c r="T25">
        <f>'Rescale to Fit GDP Proj'!U126</f>
        <v>0.3052322689927307</v>
      </c>
      <c r="U25">
        <f>'Rescale to Fit GDP Proj'!V126</f>
        <v>0.3190321641361622</v>
      </c>
      <c r="V25">
        <f>'Rescale to Fit GDP Proj'!W126</f>
        <v>0.33536199818799539</v>
      </c>
      <c r="W25">
        <f>'Rescale to Fit GDP Proj'!X126</f>
        <v>0.34645345198659006</v>
      </c>
      <c r="X25">
        <f>'Rescale to Fit GDP Proj'!Y126</f>
        <v>0.36103858553854207</v>
      </c>
      <c r="Y25">
        <f>'Rescale to Fit GDP Proj'!Z126</f>
        <v>0.37780176439728641</v>
      </c>
      <c r="Z25">
        <f>'Rescale to Fit GDP Proj'!AA126</f>
        <v>0.38733925620606291</v>
      </c>
      <c r="AA25">
        <f>'Rescale to Fit GDP Proj'!AB126</f>
        <v>0.40674094008533879</v>
      </c>
      <c r="AB25">
        <f>'Rescale to Fit GDP Proj'!AC126</f>
        <v>0.41158647364402401</v>
      </c>
    </row>
    <row r="26" spans="1:28" x14ac:dyDescent="0.25">
      <c r="A26" s="2" t="s">
        <v>42</v>
      </c>
      <c r="B26">
        <f>'Rescale to Fit GDP Proj'!C127</f>
        <v>0</v>
      </c>
      <c r="C26">
        <f>'Rescale to Fit GDP Proj'!D127</f>
        <v>1.7300000000000093E-2</v>
      </c>
      <c r="D26">
        <f>'Rescale to Fit GDP Proj'!E127</f>
        <v>3.4899290000000249E-2</v>
      </c>
      <c r="E26">
        <f>'Rescale to Fit GDP Proj'!F127</f>
        <v>5.2803047717000284E-2</v>
      </c>
      <c r="F26">
        <f>'Rescale to Fit GDP Proj'!G127</f>
        <v>7.1016540442504494E-2</v>
      </c>
      <c r="G26">
        <f>'Rescale to Fit GDP Proj'!H127</f>
        <v>8.9545126592159852E-2</v>
      </c>
      <c r="H26">
        <f>'Rescale to Fit GDP Proj'!I127</f>
        <v>0.10839425728220431</v>
      </c>
      <c r="I26">
        <f>'Rescale to Fit GDP Proj'!J127</f>
        <v>0.12756947793318663</v>
      </c>
      <c r="J26">
        <f>'Rescale to Fit GDP Proj'!K127</f>
        <v>0.14707642990143088</v>
      </c>
      <c r="K26">
        <f>'Rescale to Fit GDP Proj'!L127</f>
        <v>0.16692085213872576</v>
      </c>
      <c r="L26">
        <f>'Rescale to Fit GDP Proj'!M127</f>
        <v>0.18710858288072574</v>
      </c>
      <c r="M26">
        <f>'Rescale to Fit GDP Proj'!N127</f>
        <v>0.20764556136456247</v>
      </c>
      <c r="N26">
        <f>'Rescale to Fit GDP Proj'!O127</f>
        <v>0.22853782957616953</v>
      </c>
      <c r="O26">
        <f>'Rescale to Fit GDP Proj'!P127</f>
        <v>0.24979153402783738</v>
      </c>
      <c r="P26">
        <f>'Rescale to Fit GDP Proj'!Q127</f>
        <v>0.27141292756651914</v>
      </c>
      <c r="Q26">
        <f>'Rescale to Fit GDP Proj'!R127</f>
        <v>0.29340837121342012</v>
      </c>
      <c r="R26">
        <f>'Rescale to Fit GDP Proj'!S127</f>
        <v>0.31578433603541245</v>
      </c>
      <c r="S26">
        <f>'Rescale to Fit GDP Proj'!T127</f>
        <v>0.3385474050488253</v>
      </c>
      <c r="T26">
        <f>'Rescale to Fit GDP Proj'!U127</f>
        <v>0.3617042751561701</v>
      </c>
      <c r="U26">
        <f>'Rescale to Fit GDP Proj'!V127</f>
        <v>0.38526175911637206</v>
      </c>
      <c r="V26">
        <f>'Rescale to Fit GDP Proj'!W127</f>
        <v>0.40922678754908537</v>
      </c>
      <c r="W26">
        <f>'Rescale to Fit GDP Proj'!X127</f>
        <v>0.43360641097368458</v>
      </c>
      <c r="X26">
        <f>'Rescale to Fit GDP Proj'!Y127</f>
        <v>0.45840780188352936</v>
      </c>
      <c r="Y26">
        <f>'Rescale to Fit GDP Proj'!Z127</f>
        <v>0.48363825685611461</v>
      </c>
      <c r="Z26">
        <f>'Rescale to Fit GDP Proj'!AA127</f>
        <v>0.50930519869972546</v>
      </c>
      <c r="AA26">
        <f>'Rescale to Fit GDP Proj'!AB127</f>
        <v>0.5354161786372309</v>
      </c>
      <c r="AB26">
        <f>'Rescale to Fit GDP Proj'!AC127</f>
        <v>0.56197887852765516</v>
      </c>
    </row>
    <row r="27" spans="1:28" x14ac:dyDescent="0.25">
      <c r="A27" s="2" t="s">
        <v>43</v>
      </c>
      <c r="B27">
        <f>'Rescale to Fit GDP Proj'!C128</f>
        <v>0</v>
      </c>
      <c r="C27">
        <f>'Rescale to Fit GDP Proj'!D128</f>
        <v>6.0549999999999216E-3</v>
      </c>
      <c r="D27">
        <f>'Rescale to Fit GDP Proj'!E128</f>
        <v>1.2146663024999782E-2</v>
      </c>
      <c r="E27">
        <f>'Rescale to Fit GDP Proj'!F128</f>
        <v>1.8275211069616049E-2</v>
      </c>
      <c r="F27">
        <f>'Rescale to Fit GDP Proj'!G128</f>
        <v>2.4440867472642402E-2</v>
      </c>
      <c r="G27">
        <f>'Rescale to Fit GDP Proj'!H128</f>
        <v>3.0643856925189228E-2</v>
      </c>
      <c r="H27">
        <f>'Rescale to Fit GDP Proj'!I128</f>
        <v>3.6884405478871063E-2</v>
      </c>
      <c r="I27">
        <f>'Rescale to Fit GDP Proj'!J128</f>
        <v>4.3162740554045564E-2</v>
      </c>
      <c r="J27">
        <f>'Rescale to Fit GDP Proj'!K128</f>
        <v>4.9479090948100213E-2</v>
      </c>
      <c r="K27">
        <f>'Rescale to Fit GDP Proj'!L128</f>
        <v>5.5833686843790975E-2</v>
      </c>
      <c r="L27">
        <f>'Rescale to Fit GDP Proj'!M128</f>
        <v>6.222675981763004E-2</v>
      </c>
      <c r="M27">
        <f>'Rescale to Fit GDP Proj'!N128</f>
        <v>6.8658542848325732E-2</v>
      </c>
      <c r="N27">
        <f>'Rescale to Fit GDP Proj'!O128</f>
        <v>7.5129270325272168E-2</v>
      </c>
      <c r="O27">
        <f>'Rescale to Fit GDP Proj'!P128</f>
        <v>8.1639178057091533E-2</v>
      </c>
      <c r="P27">
        <f>'Rescale to Fit GDP Proj'!Q128</f>
        <v>8.8188503280227204E-2</v>
      </c>
      <c r="Q27">
        <f>'Rescale to Fit GDP Proj'!R128</f>
        <v>9.477748466758884E-2</v>
      </c>
      <c r="R27">
        <f>'Rescale to Fit GDP Proj'!S128</f>
        <v>0.10140636233725098</v>
      </c>
      <c r="S27">
        <f>'Rescale to Fit GDP Proj'!T128</f>
        <v>0.10807537786120291</v>
      </c>
      <c r="T27">
        <f>'Rescale to Fit GDP Proj'!U128</f>
        <v>0.11478477427415235</v>
      </c>
      <c r="U27">
        <f>'Rescale to Fit GDP Proj'!V128</f>
        <v>0.12153479608238227</v>
      </c>
      <c r="V27">
        <f>'Rescale to Fit GDP Proj'!W128</f>
        <v>0.12832568927266097</v>
      </c>
      <c r="W27">
        <f>'Rescale to Fit GDP Proj'!X128</f>
        <v>0.13515770132120686</v>
      </c>
      <c r="X27">
        <f>'Rescale to Fit GDP Proj'!Y128</f>
        <v>0.14203108120270658</v>
      </c>
      <c r="Y27">
        <f>'Rescale to Fit GDP Proj'!Z128</f>
        <v>0.14894607939938886</v>
      </c>
      <c r="Z27">
        <f>'Rescale to Fit GDP Proj'!AA128</f>
        <v>0.15590294791015213</v>
      </c>
      <c r="AA27">
        <f>'Rescale to Fit GDP Proj'!AB128</f>
        <v>0.16290194025974802</v>
      </c>
      <c r="AB27">
        <f>'Rescale to Fit GDP Proj'!AC128</f>
        <v>0.16994331150802067</v>
      </c>
    </row>
    <row r="28" spans="1:28" x14ac:dyDescent="0.25">
      <c r="A28" s="2" t="s">
        <v>44</v>
      </c>
      <c r="B28">
        <f>'Rescale to Fit GDP Proj'!C129</f>
        <v>0</v>
      </c>
      <c r="C28">
        <f>'Rescale to Fit GDP Proj'!D129</f>
        <v>1.2886745543945866E-2</v>
      </c>
      <c r="D28">
        <f>'Rescale to Fit GDP Proj'!E129</f>
        <v>2.593955929860603E-2</v>
      </c>
      <c r="E28">
        <f>'Rescale to Fit GDP Proj'!F129</f>
        <v>3.916058134275513E-2</v>
      </c>
      <c r="F28">
        <f>'Rescale to Fit GDP Proj'!G129</f>
        <v>5.2551979333818055E-2</v>
      </c>
      <c r="G28">
        <f>'Rescale to Fit GDP Proj'!H129</f>
        <v>6.6115948863269436E-2</v>
      </c>
      <c r="H28">
        <f>'Rescale to Fit GDP Proj'!I129</f>
        <v>7.9854713816612799E-2</v>
      </c>
      <c r="I28">
        <f>'Rescale to Fit GDP Proj'!J129</f>
        <v>9.3770526737998017E-2</v>
      </c>
      <c r="J28">
        <f>'Rescale to Fit GDP Proj'!K129</f>
        <v>0.10786566919953833</v>
      </c>
      <c r="K28">
        <f>'Rescale to Fit GDP Proj'!L129</f>
        <v>0.122142452175386</v>
      </c>
      <c r="L28">
        <f>'Rescale to Fit GDP Proj'!M129</f>
        <v>0.13660321642062967</v>
      </c>
      <c r="M28">
        <f>'Rescale to Fit GDP Proj'!N129</f>
        <v>0.15125033285507272</v>
      </c>
      <c r="N28">
        <f>'Rescale to Fit GDP Proj'!O129</f>
        <v>0.16608620295195897</v>
      </c>
      <c r="O28">
        <f>'Rescale to Fit GDP Proj'!P129</f>
        <v>0.18111325913170684</v>
      </c>
      <c r="P28">
        <f>'Rescale to Fit GDP Proj'!Q129</f>
        <v>0.19633396516071766</v>
      </c>
      <c r="Q28">
        <f>'Rescale to Fit GDP Proj'!R129</f>
        <v>0.21175081655532368</v>
      </c>
      <c r="R28">
        <f>'Rescale to Fit GDP Proj'!S129</f>
        <v>0.22736634099094077</v>
      </c>
      <c r="S28">
        <f>'Rescale to Fit GDP Proj'!T129</f>
        <v>0.24318309871649491</v>
      </c>
      <c r="T28">
        <f>'Rescale to Fit GDP Proj'!U129</f>
        <v>0.25920368297418861</v>
      </c>
      <c r="U28">
        <f>'Rescale to Fit GDP Proj'!V129</f>
        <v>0.27543072042467642</v>
      </c>
      <c r="V28">
        <f>'Rescale to Fit GDP Proj'!W129</f>
        <v>0.29186687157772084</v>
      </c>
      <c r="W28">
        <f>'Rescale to Fit GDP Proj'!X129</f>
        <v>0.30851483122839629</v>
      </c>
      <c r="X28">
        <f>'Rescale to Fit GDP Proj'!Y129</f>
        <v>0.32537732889891591</v>
      </c>
      <c r="Y28">
        <f>'Rescale to Fit GDP Proj'!Z129</f>
        <v>0.34245712928615091</v>
      </c>
      <c r="Z28">
        <f>'Rescale to Fit GDP Proj'!AA129</f>
        <v>0.35975703271491755</v>
      </c>
      <c r="AA28">
        <f>'Rescale to Fit GDP Proj'!AB129</f>
        <v>0.37727987559710563</v>
      </c>
      <c r="AB28">
        <f>'Rescale to Fit GDP Proj'!AC129</f>
        <v>0.39502853089672296</v>
      </c>
    </row>
    <row r="29" spans="1:28" x14ac:dyDescent="0.25">
      <c r="A29" s="2" t="s">
        <v>18</v>
      </c>
      <c r="B29">
        <f>'Rescale to Fit GDP Proj'!C130</f>
        <v>0</v>
      </c>
      <c r="C29">
        <f>'Rescale to Fit GDP Proj'!D130</f>
        <v>-5.3723557749999484E-3</v>
      </c>
      <c r="D29">
        <f>'Rescale to Fit GDP Proj'!E130</f>
        <v>2.3797309858197835E-3</v>
      </c>
      <c r="E29">
        <f>'Rescale to Fit GDP Proj'!F130</f>
        <v>1.8292275500942479E-2</v>
      </c>
      <c r="F29">
        <f>'Rescale to Fit GDP Proj'!G130</f>
        <v>4.3021804346556003E-2</v>
      </c>
      <c r="G29">
        <f>'Rescale to Fit GDP Proj'!H130</f>
        <v>7.1642288103578977E-2</v>
      </c>
      <c r="H29">
        <f>'Rescale to Fit GDP Proj'!I130</f>
        <v>9.1889911633807442E-2</v>
      </c>
      <c r="I29">
        <f>'Rescale to Fit GDP Proj'!J130</f>
        <v>0.10956590354259244</v>
      </c>
      <c r="J29">
        <f>'Rescale to Fit GDP Proj'!K130</f>
        <v>0.12247557130901088</v>
      </c>
      <c r="K29">
        <f>'Rescale to Fit GDP Proj'!L130</f>
        <v>0.12718021642578559</v>
      </c>
      <c r="L29">
        <f>'Rescale to Fit GDP Proj'!M130</f>
        <v>0.12742354412747714</v>
      </c>
      <c r="M29">
        <f>'Rescale to Fit GDP Proj'!N130</f>
        <v>0.13792272572356334</v>
      </c>
      <c r="N29">
        <f>'Rescale to Fit GDP Proj'!O130</f>
        <v>0.15249518900373027</v>
      </c>
      <c r="O29">
        <f>'Rescale to Fit GDP Proj'!P130</f>
        <v>0.16160353970130403</v>
      </c>
      <c r="P29">
        <f>'Rescale to Fit GDP Proj'!Q130</f>
        <v>0.17136655411815993</v>
      </c>
      <c r="Q29">
        <f>'Rescale to Fit GDP Proj'!R130</f>
        <v>0.18021700393726814</v>
      </c>
      <c r="R29">
        <f>'Rescale to Fit GDP Proj'!S130</f>
        <v>0.18703322858999316</v>
      </c>
      <c r="S29">
        <f>'Rescale to Fit GDP Proj'!T130</f>
        <v>0.1919093557927174</v>
      </c>
      <c r="T29">
        <f>'Rescale to Fit GDP Proj'!U130</f>
        <v>0.19990214393237715</v>
      </c>
      <c r="U29">
        <f>'Rescale to Fit GDP Proj'!V130</f>
        <v>0.20565880903050782</v>
      </c>
      <c r="V29">
        <f>'Rescale to Fit GDP Proj'!W130</f>
        <v>0.21110462064033442</v>
      </c>
      <c r="W29">
        <f>'Rescale to Fit GDP Proj'!X130</f>
        <v>0.22300234344691994</v>
      </c>
      <c r="X29">
        <f>'Rescale to Fit GDP Proj'!Y130</f>
        <v>0.23629860746400455</v>
      </c>
      <c r="Y29">
        <f>'Rescale to Fit GDP Proj'!Z130</f>
        <v>0.25156148687960633</v>
      </c>
      <c r="Z29">
        <f>'Rescale to Fit GDP Proj'!AA130</f>
        <v>0.26766686345880575</v>
      </c>
      <c r="AA29">
        <f>'Rescale to Fit GDP Proj'!AB130</f>
        <v>0.28480129912808905</v>
      </c>
      <c r="AB29">
        <f>'Rescale to Fit GDP Proj'!AC130</f>
        <v>0.299798653416673</v>
      </c>
    </row>
    <row r="30" spans="1:28" x14ac:dyDescent="0.25">
      <c r="A30" s="2" t="s">
        <v>19</v>
      </c>
      <c r="B30">
        <f>'Rescale to Fit GDP Proj'!C131</f>
        <v>0</v>
      </c>
      <c r="C30">
        <f>'Rescale to Fit GDP Proj'!D131</f>
        <v>2.1861204039847815E-2</v>
      </c>
      <c r="D30">
        <f>'Rescale to Fit GDP Proj'!E131</f>
        <v>4.4200320321767572E-2</v>
      </c>
      <c r="E30">
        <f>'Rescale to Fit GDP Proj'!F131</f>
        <v>6.7027796582796118E-2</v>
      </c>
      <c r="F30">
        <f>'Rescale to Fit GDP Proj'!G131</f>
        <v>9.0354308960081786E-2</v>
      </c>
      <c r="G30">
        <f>'Rescale to Fit GDP Proj'!H131</f>
        <v>0.11419076698398545</v>
      </c>
      <c r="H30">
        <f>'Rescale to Fit GDP Proj'!I131</f>
        <v>0.1385483186803369</v>
      </c>
      <c r="I30">
        <f>'Rescale to Fit GDP Proj'!J131</f>
        <v>0.16343835578423338</v>
      </c>
      <c r="J30">
        <f>'Rescale to Fit GDP Proj'!K131</f>
        <v>0.18887251906781755</v>
      </c>
      <c r="K30">
        <f>'Rescale to Fit GDP Proj'!L131</f>
        <v>0.21486270378452699</v>
      </c>
      <c r="L30">
        <f>'Rescale to Fit GDP Proj'!M131</f>
        <v>0.24142106523236162</v>
      </c>
      <c r="M30">
        <f>'Rescale to Fit GDP Proj'!N131</f>
        <v>0.26856002443877158</v>
      </c>
      <c r="N30">
        <f>'Rescale to Fit GDP Proj'!O131</f>
        <v>0.29629227396982194</v>
      </c>
      <c r="O30">
        <f>'Rescale to Fit GDP Proj'!P131</f>
        <v>0.32463078386635447</v>
      </c>
      <c r="P30">
        <f>'Rescale to Fit GDP Proj'!Q131</f>
        <v>0.35358880770992029</v>
      </c>
      <c r="Q30">
        <f>'Rescale to Fit GDP Proj'!R131</f>
        <v>0.38317988882132115</v>
      </c>
      <c r="R30">
        <f>'Rescale to Fit GDP Proj'!S131</f>
        <v>0.41341786659465796</v>
      </c>
      <c r="S30">
        <f>'Rescale to Fit GDP Proj'!T131</f>
        <v>0.44431688296985028</v>
      </c>
      <c r="T30">
        <f>'Rescale to Fit GDP Proj'!U131</f>
        <v>0.47589138904665118</v>
      </c>
      <c r="U30">
        <f>'Rescale to Fit GDP Proj'!V131</f>
        <v>0.50815615184325447</v>
      </c>
      <c r="V30">
        <f>'Rescale to Fit GDP Proj'!W131</f>
        <v>0.5411262612026515</v>
      </c>
      <c r="W30">
        <f>'Rescale to Fit GDP Proj'!X131</f>
        <v>0.57481713684997038</v>
      </c>
      <c r="X30">
        <f>'Rescale to Fit GDP Proj'!Y131</f>
        <v>0.60924453560409653</v>
      </c>
      <c r="Y30">
        <f>'Rescale to Fit GDP Proj'!Z131</f>
        <v>0.64442455874694793</v>
      </c>
      <c r="Z30">
        <f>'Rescale to Fit GDP Proj'!AA131</f>
        <v>0.68037365955385165</v>
      </c>
      <c r="AA30">
        <f>'Rescale to Fit GDP Proj'!AB131</f>
        <v>0.71710865098854426</v>
      </c>
      <c r="AB30">
        <f>'Rescale to Fit GDP Proj'!AC131</f>
        <v>0.75464671356639257</v>
      </c>
    </row>
    <row r="31" spans="1:28" x14ac:dyDescent="0.25">
      <c r="A31" s="2" t="s">
        <v>20</v>
      </c>
      <c r="B31">
        <f>'Rescale to Fit GDP Proj'!C132</f>
        <v>0</v>
      </c>
      <c r="C31">
        <f>'Rescale to Fit GDP Proj'!D132</f>
        <v>1.9030000000000102E-2</v>
      </c>
      <c r="D31">
        <f>'Rescale to Fit GDP Proj'!E132</f>
        <v>3.842214090000029E-2</v>
      </c>
      <c r="E31">
        <f>'Rescale to Fit GDP Proj'!F132</f>
        <v>5.81833142413275E-2</v>
      </c>
      <c r="F31">
        <f>'Rescale to Fit GDP Proj'!G132</f>
        <v>7.8320542711340035E-2</v>
      </c>
      <c r="G31">
        <f>'Rescale to Fit GDP Proj'!H132</f>
        <v>9.8840982639136987E-2</v>
      </c>
      <c r="H31">
        <f>'Rescale to Fit GDP Proj'!I132</f>
        <v>0.11975192653875988</v>
      </c>
      <c r="I31">
        <f>'Rescale to Fit GDP Proj'!J132</f>
        <v>0.14106080570079249</v>
      </c>
      <c r="J31">
        <f>'Rescale to Fit GDP Proj'!K132</f>
        <v>0.16277519283327879</v>
      </c>
      <c r="K31">
        <f>'Rescale to Fit GDP Proj'!L132</f>
        <v>0.18490280475289622</v>
      </c>
      <c r="L31">
        <f>'Rescale to Fit GDP Proj'!M132</f>
        <v>0.207451505127344</v>
      </c>
      <c r="M31">
        <f>'Rescale to Fit GDP Proj'!N132</f>
        <v>0.2304293072699175</v>
      </c>
      <c r="N31">
        <f>'Rescale to Fit GDP Proj'!O132</f>
        <v>0.25384437698726425</v>
      </c>
      <c r="O31">
        <f>'Rescale to Fit GDP Proj'!P132</f>
        <v>0.27770503548133196</v>
      </c>
      <c r="P31">
        <f>'Rescale to Fit GDP Proj'!Q132</f>
        <v>0.30201976230654193</v>
      </c>
      <c r="Q31">
        <f>'Rescale to Fit GDP Proj'!R132</f>
        <v>0.32679719838323562</v>
      </c>
      <c r="R31">
        <f>'Rescale to Fit GDP Proj'!S132</f>
        <v>0.35204614906846876</v>
      </c>
      <c r="S31">
        <f>'Rescale to Fit GDP Proj'!T132</f>
        <v>0.37777558728524196</v>
      </c>
      <c r="T31">
        <f>'Rescale to Fit GDP Proj'!U132</f>
        <v>0.40399465671128021</v>
      </c>
      <c r="U31">
        <f>'Rescale to Fit GDP Proj'!V132</f>
        <v>0.43071267502849597</v>
      </c>
      <c r="V31">
        <f>'Rescale to Fit GDP Proj'!W132</f>
        <v>0.45793913723428847</v>
      </c>
      <c r="W31">
        <f>'Rescale to Fit GDP Proj'!X132</f>
        <v>0.48568371901585716</v>
      </c>
      <c r="X31">
        <f>'Rescale to Fit GDP Proj'!Y132</f>
        <v>0.51395628018872919</v>
      </c>
      <c r="Y31">
        <f>'Rescale to Fit GDP Proj'!Z132</f>
        <v>0.54276686820072095</v>
      </c>
      <c r="Z31">
        <f>'Rescale to Fit GDP Proj'!AA132</f>
        <v>0.5721257217025808</v>
      </c>
      <c r="AA31">
        <f>'Rescale to Fit GDP Proj'!AB132</f>
        <v>0.6020432741865811</v>
      </c>
      <c r="AB31">
        <f>'Rescale to Fit GDP Proj'!AC132</f>
        <v>0.63253015769435184</v>
      </c>
    </row>
    <row r="32" spans="1:28" x14ac:dyDescent="0.25">
      <c r="A32" s="2" t="s">
        <v>21</v>
      </c>
      <c r="B32">
        <f>'Rescale to Fit GDP Proj'!C133</f>
        <v>0</v>
      </c>
      <c r="C32">
        <f>'Rescale to Fit GDP Proj'!D133</f>
        <v>1.9894999999999996E-2</v>
      </c>
      <c r="D32">
        <f>'Rescale to Fit GDP Proj'!E133</f>
        <v>4.0185811024999962E-2</v>
      </c>
      <c r="E32">
        <f>'Rescale to Fit GDP Proj'!F133</f>
        <v>6.0880307735342365E-2</v>
      </c>
      <c r="F32">
        <f>'Rescale to Fit GDP Proj'!G133</f>
        <v>8.1986521457737105E-2</v>
      </c>
      <c r="G32">
        <f>'Rescale to Fit GDP Proj'!H133</f>
        <v>0.10351264330213872</v>
      </c>
      <c r="H32">
        <f>'Rescale to Fit GDP Proj'!I133</f>
        <v>0.12546702734063486</v>
      </c>
      <c r="I32">
        <f>'Rescale to Fit GDP Proj'!J133</f>
        <v>0.14785819384957688</v>
      </c>
      <c r="J32">
        <f>'Rescale to Fit GDP Proj'!K133</f>
        <v>0.1706948326162141</v>
      </c>
      <c r="K32">
        <f>'Rescale to Fit GDP Proj'!L133</f>
        <v>0.19398580631111373</v>
      </c>
      <c r="L32">
        <f>'Rescale to Fit GDP Proj'!M133</f>
        <v>0.21774015392767332</v>
      </c>
      <c r="M32">
        <f>'Rescale to Fit GDP Proj'!N133</f>
        <v>0.24196709429006447</v>
      </c>
      <c r="N32">
        <f>'Rescale to Fit GDP Proj'!O133</f>
        <v>0.26667602963096537</v>
      </c>
      <c r="O32">
        <f>'Rescale to Fit GDP Proj'!P133</f>
        <v>0.29187654924047335</v>
      </c>
      <c r="P32">
        <f>'Rescale to Fit GDP Proj'!Q133</f>
        <v>0.31757843318761259</v>
      </c>
      <c r="Q32">
        <f>'Rescale to Fit GDP Proj'!R133</f>
        <v>0.34379165611588003</v>
      </c>
      <c r="R32">
        <f>'Rescale to Fit GDP Proj'!S133</f>
        <v>0.37052639111430552</v>
      </c>
      <c r="S32">
        <f>'Rescale to Fit GDP Proj'!T133</f>
        <v>0.39779301366552455</v>
      </c>
      <c r="T32">
        <f>'Rescale to Fit GDP Proj'!U133</f>
        <v>0.4256021056724002</v>
      </c>
      <c r="U32">
        <f>'Rescale to Fit GDP Proj'!V133</f>
        <v>0.45396445956475251</v>
      </c>
      <c r="V32">
        <f>'Rescale to Fit GDP Proj'!W133</f>
        <v>0.48289108248779322</v>
      </c>
      <c r="W32">
        <f>'Rescale to Fit GDP Proj'!X133</f>
        <v>0.51239320057388782</v>
      </c>
      <c r="X32">
        <f>'Rescale to Fit GDP Proj'!Y133</f>
        <v>0.54248226329930538</v>
      </c>
      <c r="Y32">
        <f>'Rescale to Fit GDP Proj'!Z133</f>
        <v>0.57316994792764508</v>
      </c>
      <c r="Z32">
        <f>'Rescale to Fit GDP Proj'!AA133</f>
        <v>0.60446816404166559</v>
      </c>
      <c r="AA32">
        <f>'Rescale to Fit GDP Proj'!AB133</f>
        <v>0.63638905816527447</v>
      </c>
      <c r="AB32">
        <f>'Rescale to Fit GDP Proj'!AC133</f>
        <v>0.66894501847747256</v>
      </c>
    </row>
    <row r="33" spans="1:28" x14ac:dyDescent="0.25">
      <c r="A33" s="2" t="s">
        <v>22</v>
      </c>
      <c r="B33">
        <f>'Rescale to Fit GDP Proj'!C134</f>
        <v>0</v>
      </c>
      <c r="C33">
        <f>'Rescale to Fit GDP Proj'!D134</f>
        <v>3.17222153953165E-2</v>
      </c>
      <c r="D33">
        <f>'Rescale to Fit GDP Proj'!E134</f>
        <v>6.4450729740219925E-2</v>
      </c>
      <c r="E33">
        <f>'Rescale to Fit GDP Proj'!F134</f>
        <v>9.8217465066741116E-2</v>
      </c>
      <c r="F33">
        <f>'Rescale to Fit GDP Proj'!G134</f>
        <v>0.13305535604448671</v>
      </c>
      <c r="G33">
        <f>'Rescale to Fit GDP Proj'!H134</f>
        <v>0.16899838210374685</v>
      </c>
      <c r="H33">
        <f>'Rescale to Fit GDP Proj'!I134</f>
        <v>0.20608160057761848</v>
      </c>
      <c r="I33">
        <f>'Rescale to Fit GDP Proj'!J134</f>
        <v>0.24434118089546986</v>
      </c>
      <c r="J33">
        <f>'Rescale to Fit GDP Proj'!K134</f>
        <v>0.28381443986109844</v>
      </c>
      <c r="K33">
        <f>'Rescale to Fit GDP Proj'!L134</f>
        <v>0.32453987804998974</v>
      </c>
      <c r="L33">
        <f>'Rescale to Fit GDP Proj'!M134</f>
        <v>0.36655721736117775</v>
      </c>
      <c r="M33">
        <f>'Rescale to Fit GDP Proj'!N134</f>
        <v>0.40990743976033328</v>
      </c>
      <c r="N33">
        <f>'Rescale to Fit GDP Proj'!O134</f>
        <v>0.45463282725186982</v>
      </c>
      <c r="O33">
        <f>'Rescale to Fit GDP Proj'!P134</f>
        <v>0.50077700311905193</v>
      </c>
      <c r="P33">
        <f>'Rescale to Fit GDP Proj'!Q134</f>
        <v>0.54838497447233214</v>
      </c>
      <c r="Q33">
        <f>'Rescale to Fit GDP Proj'!R134</f>
        <v>0.59750317614741499</v>
      </c>
      <c r="R33">
        <f>'Rescale to Fit GDP Proj'!S134</f>
        <v>0.64817951599586543</v>
      </c>
      <c r="S33">
        <f>'Rescale to Fit GDP Proj'!T134</f>
        <v>0.7004634216124348</v>
      </c>
      <c r="T33">
        <f>'Rescale to Fit GDP Proj'!U134</f>
        <v>0.75440588854468138</v>
      </c>
      <c r="U33">
        <f>'Rescale to Fit GDP Proj'!V134</f>
        <v>0.81005953003190734</v>
      </c>
      <c r="V33">
        <f>'Rescale to Fit GDP Proj'!W134</f>
        <v>0.86747862832192491</v>
      </c>
      <c r="W33">
        <f>'Rescale to Fit GDP Proj'!X134</f>
        <v>0.92671918761570327</v>
      </c>
      <c r="X33">
        <f>'Rescale to Fit GDP Proj'!Y134</f>
        <v>0.98783898869153774</v>
      </c>
      <c r="Y33">
        <f>'Rescale to Fit GDP Proj'!Z134</f>
        <v>1.0508976452620189</v>
      </c>
      <c r="Z33">
        <f>'Rescale to Fit GDP Proj'!AA134</f>
        <v>1.115956662118768</v>
      </c>
      <c r="AA33">
        <f>'Rescale to Fit GDP Proj'!AB134</f>
        <v>1.1830794951216546</v>
      </c>
      <c r="AB33">
        <f>'Rescale to Fit GDP Proj'!AC134</f>
        <v>1.2523316130910023</v>
      </c>
    </row>
    <row r="34" spans="1:28" x14ac:dyDescent="0.25">
      <c r="A34" s="2" t="s">
        <v>23</v>
      </c>
      <c r="B34">
        <f>'Rescale to Fit GDP Proj'!C135</f>
        <v>0</v>
      </c>
      <c r="C34">
        <f>'Rescale to Fit GDP Proj'!D135</f>
        <v>2.3355000000000015E-2</v>
      </c>
      <c r="D34">
        <f>'Rescale to Fit GDP Proj'!E135</f>
        <v>4.7255456025000031E-2</v>
      </c>
      <c r="E34">
        <f>'Rescale to Fit GDP Proj'!F135</f>
        <v>7.1714107200463895E-2</v>
      </c>
      <c r="F34">
        <f>'Rescale to Fit GDP Proj'!G135</f>
        <v>9.6743990174130712E-2</v>
      </c>
      <c r="G34">
        <f>'Rescale to Fit GDP Proj'!H135</f>
        <v>0.12235844606464763</v>
      </c>
      <c r="H34">
        <f>'Rescale to Fit GDP Proj'!I135</f>
        <v>0.14857112757248747</v>
      </c>
      <c r="I34">
        <f>'Rescale to Fit GDP Proj'!J135</f>
        <v>0.17539600625694285</v>
      </c>
      <c r="J34">
        <f>'Rescale to Fit GDP Proj'!K135</f>
        <v>0.20284737998307367</v>
      </c>
      <c r="K34">
        <f>'Rescale to Fit GDP Proj'!L135</f>
        <v>0.23093988054257841</v>
      </c>
      <c r="L34">
        <f>'Rescale to Fit GDP Proj'!M135</f>
        <v>0.25968848145265033</v>
      </c>
      <c r="M34">
        <f>'Rescale to Fit GDP Proj'!N135</f>
        <v>0.2891085059369769</v>
      </c>
      <c r="N34">
        <f>'Rescale to Fit GDP Proj'!O135</f>
        <v>0.319215635093135</v>
      </c>
      <c r="O34">
        <f>'Rescale to Fit GDP Proj'!P135</f>
        <v>0.35002591625073509</v>
      </c>
      <c r="P34">
        <f>'Rescale to Fit GDP Proj'!Q135</f>
        <v>0.38155577152477105</v>
      </c>
      <c r="Q34">
        <f>'Rescale to Fit GDP Proj'!R135</f>
        <v>0.41382200656873214</v>
      </c>
      <c r="R34">
        <f>'Rescale to Fit GDP Proj'!S135</f>
        <v>0.44684181953214486</v>
      </c>
      <c r="S34">
        <f>'Rescale to Fit GDP Proj'!T135</f>
        <v>0.48063281022731807</v>
      </c>
      <c r="T34">
        <f>'Rescale to Fit GDP Proj'!U135</f>
        <v>0.51521298951017713</v>
      </c>
      <c r="U34">
        <f>'Rescale to Fit GDP Proj'!V135</f>
        <v>0.55060078888018738</v>
      </c>
      <c r="V34">
        <f>'Rescale to Fit GDP Proj'!W135</f>
        <v>0.5868150703044841</v>
      </c>
      <c r="W34">
        <f>'Rescale to Fit GDP Proj'!X135</f>
        <v>0.62387513627144542</v>
      </c>
      <c r="X34">
        <f>'Rescale to Fit GDP Proj'!Y135</f>
        <v>0.66180074007906509</v>
      </c>
      <c r="Y34">
        <f>'Rescale to Fit GDP Proj'!Z135</f>
        <v>0.70061209636361177</v>
      </c>
      <c r="Z34">
        <f>'Rescale to Fit GDP Proj'!AA135</f>
        <v>0.74032989187418385</v>
      </c>
      <c r="AA34">
        <f>'Rescale to Fit GDP Proj'!AB135</f>
        <v>0.7809752964989054</v>
      </c>
      <c r="AB34">
        <f>'Rescale to Fit GDP Proj'!AC135</f>
        <v>0.82256997454863745</v>
      </c>
    </row>
    <row r="35" spans="1:28" x14ac:dyDescent="0.25">
      <c r="A35" s="2" t="s">
        <v>24</v>
      </c>
      <c r="B35">
        <f>'Rescale to Fit GDP Proj'!C136</f>
        <v>0</v>
      </c>
      <c r="C35">
        <f>'Rescale to Fit GDP Proj'!D136</f>
        <v>3.2869999999999955E-2</v>
      </c>
      <c r="D35">
        <f>'Rescale to Fit GDP Proj'!E136</f>
        <v>6.6820436899999835E-2</v>
      </c>
      <c r="E35">
        <f>'Rescale to Fit GDP Proj'!F136</f>
        <v>0.10188682466090282</v>
      </c>
      <c r="F35">
        <f>'Rescale to Fit GDP Proj'!G136</f>
        <v>0.13810584458750674</v>
      </c>
      <c r="G35">
        <f>'Rescale to Fit GDP Proj'!H136</f>
        <v>0.17551538369909814</v>
      </c>
      <c r="H35">
        <f>'Rescale to Fit GDP Proj'!I136</f>
        <v>0.21415457436128738</v>
      </c>
      <c r="I35">
        <f>'Rescale to Fit GDP Proj'!J136</f>
        <v>0.25406383522054288</v>
      </c>
      <c r="J35">
        <f>'Rescale to Fit GDP Proj'!K136</f>
        <v>0.29528491348424213</v>
      </c>
      <c r="K35">
        <f>'Rescale to Fit GDP Proj'!L136</f>
        <v>0.33786092859046901</v>
      </c>
      <c r="L35">
        <f>'Rescale to Fit GDP Proj'!M136</f>
        <v>0.38183641731323759</v>
      </c>
      <c r="M35">
        <f>'Rescale to Fit GDP Proj'!N136</f>
        <v>0.42725738035032368</v>
      </c>
      <c r="N35">
        <f>'Rescale to Fit GDP Proj'!O136</f>
        <v>0.47417133044243864</v>
      </c>
      <c r="O35">
        <f>'Rescale to Fit GDP Proj'!P136</f>
        <v>0.52262734207408146</v>
      </c>
      <c r="P35">
        <f>'Rescale to Fit GDP Proj'!Q136</f>
        <v>0.57267610280805648</v>
      </c>
      <c r="Q35">
        <f>'Rescale to Fit GDP Proj'!R136</f>
        <v>0.62436996630735719</v>
      </c>
      <c r="R35">
        <f>'Rescale to Fit GDP Proj'!S136</f>
        <v>0.67776300709987991</v>
      </c>
      <c r="S35">
        <f>'Rescale to Fit GDP Proj'!T136</f>
        <v>0.73291107714325299</v>
      </c>
      <c r="T35">
        <f>'Rescale to Fit GDP Proj'!U136</f>
        <v>0.78987186424895173</v>
      </c>
      <c r="U35">
        <f>'Rescale to Fit GDP Proj'!V136</f>
        <v>0.84870495242681465</v>
      </c>
      <c r="V35">
        <f>'Rescale to Fit GDP Proj'!W136</f>
        <v>0.909471884213084</v>
      </c>
      <c r="W35">
        <f>'Rescale to Fit GDP Proj'!X136</f>
        <v>0.97223622504716789</v>
      </c>
      <c r="X35">
        <f>'Rescale to Fit GDP Proj'!Y136</f>
        <v>1.0370636297644684</v>
      </c>
      <c r="Y35">
        <f>'Rescale to Fit GDP Proj'!Z136</f>
        <v>1.1040219112748262</v>
      </c>
      <c r="Z35">
        <f>'Rescale to Fit GDP Proj'!AA136</f>
        <v>1.1731811114984296</v>
      </c>
      <c r="AA35">
        <f>'Rescale to Fit GDP Proj'!AB136</f>
        <v>1.2446135746333828</v>
      </c>
      <c r="AB35">
        <f>'Rescale to Fit GDP Proj'!AC136</f>
        <v>1.318394022831582</v>
      </c>
    </row>
    <row r="36" spans="1:28" x14ac:dyDescent="0.25">
      <c r="A36" s="2" t="s">
        <v>25</v>
      </c>
      <c r="B36">
        <f>'Rescale to Fit GDP Proj'!C137</f>
        <v>0</v>
      </c>
      <c r="C36">
        <f>'Rescale to Fit GDP Proj'!D137</f>
        <v>1.7300000000000093E-2</v>
      </c>
      <c r="D36">
        <f>'Rescale to Fit GDP Proj'!E137</f>
        <v>3.4899290000000249E-2</v>
      </c>
      <c r="E36">
        <f>'Rescale to Fit GDP Proj'!F137</f>
        <v>5.2803047717000284E-2</v>
      </c>
      <c r="F36">
        <f>'Rescale to Fit GDP Proj'!G137</f>
        <v>7.1016540442504494E-2</v>
      </c>
      <c r="G36">
        <f>'Rescale to Fit GDP Proj'!H137</f>
        <v>8.9545126592159852E-2</v>
      </c>
      <c r="H36">
        <f>'Rescale to Fit GDP Proj'!I137</f>
        <v>0.10839425728220431</v>
      </c>
      <c r="I36">
        <f>'Rescale to Fit GDP Proj'!J137</f>
        <v>0.12756947793318663</v>
      </c>
      <c r="J36">
        <f>'Rescale to Fit GDP Proj'!K137</f>
        <v>0.14707642990143088</v>
      </c>
      <c r="K36">
        <f>'Rescale to Fit GDP Proj'!L137</f>
        <v>0.16692085213872576</v>
      </c>
      <c r="L36">
        <f>'Rescale to Fit GDP Proj'!M137</f>
        <v>0.18710858288072574</v>
      </c>
      <c r="M36">
        <f>'Rescale to Fit GDP Proj'!N137</f>
        <v>0.20764556136456247</v>
      </c>
      <c r="N36">
        <f>'Rescale to Fit GDP Proj'!O137</f>
        <v>0.22853782957616953</v>
      </c>
      <c r="O36">
        <f>'Rescale to Fit GDP Proj'!P137</f>
        <v>0.24979153402783738</v>
      </c>
      <c r="P36">
        <f>'Rescale to Fit GDP Proj'!Q137</f>
        <v>0.27141292756651914</v>
      </c>
      <c r="Q36">
        <f>'Rescale to Fit GDP Proj'!R137</f>
        <v>0.29340837121342012</v>
      </c>
      <c r="R36">
        <f>'Rescale to Fit GDP Proj'!S137</f>
        <v>0.31578433603541245</v>
      </c>
      <c r="S36">
        <f>'Rescale to Fit GDP Proj'!T137</f>
        <v>0.3385474050488253</v>
      </c>
      <c r="T36">
        <f>'Rescale to Fit GDP Proj'!U137</f>
        <v>0.3617042751561701</v>
      </c>
      <c r="U36">
        <f>'Rescale to Fit GDP Proj'!V137</f>
        <v>0.38526175911637206</v>
      </c>
      <c r="V36">
        <f>'Rescale to Fit GDP Proj'!W137</f>
        <v>0.40922678754908537</v>
      </c>
      <c r="W36">
        <f>'Rescale to Fit GDP Proj'!X137</f>
        <v>0.43360641097368458</v>
      </c>
      <c r="X36">
        <f>'Rescale to Fit GDP Proj'!Y137</f>
        <v>0.45840780188352936</v>
      </c>
      <c r="Y36">
        <f>'Rescale to Fit GDP Proj'!Z137</f>
        <v>0.48363825685611461</v>
      </c>
      <c r="Z36">
        <f>'Rescale to Fit GDP Proj'!AA137</f>
        <v>0.50930519869972546</v>
      </c>
      <c r="AA36">
        <f>'Rescale to Fit GDP Proj'!AB137</f>
        <v>0.5354161786372309</v>
      </c>
      <c r="AB36">
        <f>'Rescale to Fit GDP Proj'!AC137</f>
        <v>0.56197887852765516</v>
      </c>
    </row>
    <row r="37" spans="1:28" x14ac:dyDescent="0.25">
      <c r="A37" s="2" t="s">
        <v>26</v>
      </c>
      <c r="B37">
        <f>'Rescale to Fit GDP Proj'!C138</f>
        <v>0</v>
      </c>
      <c r="C37">
        <f>'Rescale to Fit GDP Proj'!D138</f>
        <v>1.6434999999999977E-2</v>
      </c>
      <c r="D37">
        <f>'Rescale to Fit GDP Proj'!E138</f>
        <v>3.3140109224999881E-2</v>
      </c>
      <c r="E37">
        <f>'Rescale to Fit GDP Proj'!F138</f>
        <v>5.0119766920112774E-2</v>
      </c>
      <c r="F37">
        <f>'Rescale to Fit GDP Proj'!G138</f>
        <v>6.7378485289444789E-2</v>
      </c>
      <c r="G37">
        <f>'Rescale to Fit GDP Proj'!H138</f>
        <v>8.4920850695176853E-2</v>
      </c>
      <c r="H37">
        <f>'Rescale to Fit GDP Proj'!I138</f>
        <v>0.10275152487635197</v>
      </c>
      <c r="I37">
        <f>'Rescale to Fit GDP Proj'!J138</f>
        <v>0.12087524618769474</v>
      </c>
      <c r="J37">
        <f>'Rescale to Fit GDP Proj'!K138</f>
        <v>0.13929683085878941</v>
      </c>
      <c r="K37">
        <f>'Rescale to Fit GDP Proj'!L138</f>
        <v>0.15802117427395368</v>
      </c>
      <c r="L37">
        <f>'Rescale to Fit GDP Proj'!M138</f>
        <v>0.17705325227314606</v>
      </c>
      <c r="M37">
        <f>'Rescale to Fit GDP Proj'!N138</f>
        <v>0.19639812247425525</v>
      </c>
      <c r="N37">
        <f>'Rescale to Fit GDP Proj'!O138</f>
        <v>0.21606092561711954</v>
      </c>
      <c r="O37">
        <f>'Rescale to Fit GDP Proj'!P138</f>
        <v>0.23604688692963682</v>
      </c>
      <c r="P37">
        <f>'Rescale to Fit GDP Proj'!Q138</f>
        <v>0.25636131751632529</v>
      </c>
      <c r="Q37">
        <f>'Rescale to Fit GDP Proj'!R138</f>
        <v>0.27700961576970617</v>
      </c>
      <c r="R37">
        <f>'Rescale to Fit GDP Proj'!S138</f>
        <v>0.29799726880488131</v>
      </c>
      <c r="S37">
        <f>'Rescale to Fit GDP Proj'!T138</f>
        <v>0.31932985391768942</v>
      </c>
      <c r="T37">
        <f>'Rescale to Fit GDP Proj'!U138</f>
        <v>0.34101304006682653</v>
      </c>
      <c r="U37">
        <f>'Rescale to Fit GDP Proj'!V138</f>
        <v>0.3630525893803247</v>
      </c>
      <c r="V37">
        <f>'Rescale to Fit GDP Proj'!W138</f>
        <v>0.38545435868679023</v>
      </c>
      <c r="W37">
        <f>'Rescale to Fit GDP Proj'!X138</f>
        <v>0.40822430107180763</v>
      </c>
      <c r="X37">
        <f>'Rescale to Fit GDP Proj'!Y138</f>
        <v>0.43136846745992274</v>
      </c>
      <c r="Y37">
        <f>'Rescale to Fit GDP Proj'!Z138</f>
        <v>0.45489300822262657</v>
      </c>
      <c r="Z37">
        <f>'Rescale to Fit GDP Proj'!AA138</f>
        <v>0.47880417481276538</v>
      </c>
      <c r="AA37">
        <f>'Rescale to Fit GDP Proj'!AB138</f>
        <v>0.50310832142581319</v>
      </c>
      <c r="AB37">
        <f>'Rescale to Fit GDP Proj'!AC138</f>
        <v>0.52781190668844635</v>
      </c>
    </row>
    <row r="38" spans="1:28" x14ac:dyDescent="0.25">
      <c r="A38" s="2" t="s">
        <v>27</v>
      </c>
      <c r="B38">
        <f>'Rescale to Fit GDP Proj'!C139</f>
        <v>0</v>
      </c>
      <c r="C38">
        <f>'Rescale to Fit GDP Proj'!D139</f>
        <v>2.0154766927778844E-2</v>
      </c>
      <c r="D38">
        <f>'Rescale to Fit GDP Proj'!E139</f>
        <v>4.0715748485470771E-2</v>
      </c>
      <c r="E38">
        <f>'Rescale to Fit GDP Proj'!F139</f>
        <v>6.1691131834264334E-2</v>
      </c>
      <c r="F38">
        <f>'Rescale to Fit GDP Proj'!G139</f>
        <v>8.3089269145673716E-2</v>
      </c>
      <c r="G38">
        <f>'Rescale to Fit GDP Proj'!H139</f>
        <v>0.10491868092728307</v>
      </c>
      <c r="H38">
        <f>'Rescale to Fit GDP Proj'!I139</f>
        <v>0.12718805941552125</v>
      </c>
      <c r="I38">
        <f>'Rescale to Fit GDP Proj'!J139</f>
        <v>0.1499062720368165</v>
      </c>
      <c r="J38">
        <f>'Rescale to Fit GDP Proj'!K139</f>
        <v>0.17308236493850959</v>
      </c>
      <c r="K38">
        <f>'Rescale to Fit GDP Proj'!L139</f>
        <v>0.19672556659093288</v>
      </c>
      <c r="L38">
        <f>'Rescale to Fit GDP Proj'!M139</f>
        <v>0.22084529146208731</v>
      </c>
      <c r="M38">
        <f>'Rescale to Fit GDP Proj'!N139</f>
        <v>0.245451143766382</v>
      </c>
      <c r="N38">
        <f>'Rescale to Fit GDP Proj'!O139</f>
        <v>0.27055292128892905</v>
      </c>
      <c r="O38">
        <f>'Rescale to Fit GDP Proj'!P139</f>
        <v>0.29616061928691595</v>
      </c>
      <c r="P38">
        <f>'Rescale to Fit GDP Proj'!Q139</f>
        <v>0.32228443446960919</v>
      </c>
      <c r="Q38">
        <f>'Rescale to Fit GDP Proj'!R139</f>
        <v>0.34893476905857401</v>
      </c>
      <c r="R38">
        <f>'Rescale to Fit GDP Proj'!S139</f>
        <v>0.37612223492972685</v>
      </c>
      <c r="S38">
        <f>'Rescale to Fit GDP Proj'!T139</f>
        <v>0.40385765783886951</v>
      </c>
      <c r="T38">
        <f>'Rescale to Fit GDP Proj'!U139</f>
        <v>0.43215208173238939</v>
      </c>
      <c r="U38">
        <f>'Rescale to Fit GDP Proj'!V139</f>
        <v>0.46101677314483891</v>
      </c>
      <c r="V38">
        <f>'Rescale to Fit GDP Proj'!W139</f>
        <v>0.49046322568514866</v>
      </c>
      <c r="W38">
        <f>'Rescale to Fit GDP Proj'!X139</f>
        <v>0.5205031646132583</v>
      </c>
      <c r="X38">
        <f>'Rescale to Fit GDP Proj'!Y139</f>
        <v>0.55114855150898867</v>
      </c>
      <c r="Y38">
        <f>'Rescale to Fit GDP Proj'!Z139</f>
        <v>0.58241158903501411</v>
      </c>
      <c r="Z38">
        <f>'Rescale to Fit GDP Proj'!AA139</f>
        <v>0.61430472579583095</v>
      </c>
      <c r="AA38">
        <f>'Rescale to Fit GDP Proj'!AB139</f>
        <v>0.64684066129465778</v>
      </c>
      <c r="AB38">
        <f>'Rescale to Fit GDP Proj'!AC139</f>
        <v>0.68003235099024084</v>
      </c>
    </row>
    <row r="39" spans="1:28" x14ac:dyDescent="0.25">
      <c r="A39" s="2" t="s">
        <v>28</v>
      </c>
      <c r="B39">
        <f>'Rescale to Fit GDP Proj'!C140</f>
        <v>0</v>
      </c>
      <c r="C39">
        <f>'Rescale to Fit GDP Proj'!D140</f>
        <v>4.3814097273657815E-3</v>
      </c>
      <c r="D39">
        <f>'Rescale to Fit GDP Proj'!E140</f>
        <v>8.782016205930665E-3</v>
      </c>
      <c r="E39">
        <f>'Rescale to Fit GDP Proj'!F140</f>
        <v>1.3201903544526994E-2</v>
      </c>
      <c r="F39">
        <f>'Rescale to Fit GDP Proj'!G140</f>
        <v>1.7641156220502552E-2</v>
      </c>
      <c r="G39">
        <f>'Rescale to Fit GDP Proj'!H140</f>
        <v>2.2099859081334827E-2</v>
      </c>
      <c r="H39">
        <f>'Rescale to Fit GDP Proj'!I140</f>
        <v>2.6578097346253049E-2</v>
      </c>
      <c r="I39">
        <f>'Rescale to Fit GDP Proj'!J140</f>
        <v>3.1075956607866662E-2</v>
      </c>
      <c r="J39">
        <f>'Rescale to Fit GDP Proj'!K140</f>
        <v>3.559352283380135E-2</v>
      </c>
      <c r="K39">
        <f>'Rescale to Fit GDP Proj'!L140</f>
        <v>4.0130882368342391E-2</v>
      </c>
      <c r="L39">
        <f>'Rescale to Fit GDP Proj'!M140</f>
        <v>4.4688121934084668E-2</v>
      </c>
      <c r="M39">
        <f>'Rescale to Fit GDP Proj'!N140</f>
        <v>4.9265328633590233E-2</v>
      </c>
      <c r="N39">
        <f>'Rescale to Fit GDP Proj'!O140</f>
        <v>5.3862589951053197E-2</v>
      </c>
      <c r="O39">
        <f>'Rescale to Fit GDP Proj'!P140</f>
        <v>5.8479993753971726E-2</v>
      </c>
      <c r="P39">
        <f>'Rescale to Fit GDP Proj'!Q140</f>
        <v>6.3117628294827366E-2</v>
      </c>
      <c r="Q39">
        <f>'Rescale to Fit GDP Proj'!R140</f>
        <v>6.7775582212772356E-2</v>
      </c>
      <c r="R39">
        <f>'Rescale to Fit GDP Proj'!S140</f>
        <v>7.2453944535323167E-2</v>
      </c>
      <c r="S39">
        <f>'Rescale to Fit GDP Proj'!T140</f>
        <v>7.7152804680062026E-2</v>
      </c>
      <c r="T39">
        <f>'Rescale to Fit GDP Proj'!U140</f>
        <v>8.1872252456346661E-2</v>
      </c>
      <c r="U39">
        <f>'Rescale to Fit GDP Proj'!V140</f>
        <v>8.6612378067026041E-2</v>
      </c>
      <c r="V39">
        <f>'Rescale to Fit GDP Proj'!W140</f>
        <v>9.1373272110164994E-2</v>
      </c>
      <c r="W39">
        <f>'Rescale to Fit GDP Proj'!X140</f>
        <v>9.6155025580775488E-2</v>
      </c>
      <c r="X39">
        <f>'Rescale to Fit GDP Proj'!Y140</f>
        <v>0.10095772987255591</v>
      </c>
      <c r="Y39">
        <f>'Rescale to Fit GDP Proj'!Z140</f>
        <v>0.10578147677963812</v>
      </c>
      <c r="Z39">
        <f>'Rescale to Fit GDP Proj'!AA140</f>
        <v>0.11062635849834135</v>
      </c>
      <c r="AA39">
        <f>'Rescale to Fit GDP Proj'!AB140</f>
        <v>0.11549246762893484</v>
      </c>
      <c r="AB39">
        <f>'Rescale to Fit GDP Proj'!AC140</f>
        <v>0.12037989717740749</v>
      </c>
    </row>
    <row r="40" spans="1:28" x14ac:dyDescent="0.25">
      <c r="A40" s="2" t="s">
        <v>29</v>
      </c>
      <c r="B40">
        <f>'Rescale to Fit GDP Proj'!C141</f>
        <v>0</v>
      </c>
      <c r="C40">
        <f>'Rescale to Fit GDP Proj'!D141</f>
        <v>4.0878301488758151E-3</v>
      </c>
      <c r="D40">
        <f>'Rescale to Fit GDP Proj'!E141</f>
        <v>8.1923706530777629E-3</v>
      </c>
      <c r="E40">
        <f>'Rescale to Fit GDP Proj'!F141</f>
        <v>1.2313689821700002E-2</v>
      </c>
      <c r="F40">
        <f>'Rescale to Fit GDP Proj'!G141</f>
        <v>1.6451856243072882E-2</v>
      </c>
      <c r="G40">
        <f>'Rescale to Fit GDP Proj'!H141</f>
        <v>2.0606938785904028E-2</v>
      </c>
      <c r="H40">
        <f>'Rescale to Fit GDP Proj'!I141</f>
        <v>2.477900660042498E-2</v>
      </c>
      <c r="I40">
        <f>'Rescale to Fit GDP Proj'!J141</f>
        <v>2.8968129119541164E-2</v>
      </c>
      <c r="J40">
        <f>'Rescale to Fit GDP Proj'!K141</f>
        <v>3.3174376059988298E-2</v>
      </c>
      <c r="K40">
        <f>'Rescale to Fit GDP Proj'!L141</f>
        <v>3.7397817423492352E-2</v>
      </c>
      <c r="L40">
        <f>'Rescale to Fit GDP Proj'!M141</f>
        <v>4.1638523497934177E-2</v>
      </c>
      <c r="M40">
        <f>'Rescale to Fit GDP Proj'!N141</f>
        <v>4.5896564858519451E-2</v>
      </c>
      <c r="N40">
        <f>'Rescale to Fit GDP Proj'!O141</f>
        <v>5.0172012368953744E-2</v>
      </c>
      <c r="O40">
        <f>'Rescale to Fit GDP Proj'!P141</f>
        <v>5.4464937182621131E-2</v>
      </c>
      <c r="P40">
        <f>'Rescale to Fit GDP Proj'!Q141</f>
        <v>5.8775410743768797E-2</v>
      </c>
      <c r="Q40">
        <f>'Rescale to Fit GDP Proj'!R141</f>
        <v>6.3103504788695641E-2</v>
      </c>
      <c r="R40">
        <f>'Rescale to Fit GDP Proj'!S141</f>
        <v>6.7449291346946438E-2</v>
      </c>
      <c r="S40">
        <f>'Rescale to Fit GDP Proj'!T141</f>
        <v>7.1812842742510652E-2</v>
      </c>
      <c r="T40">
        <f>'Rescale to Fit GDP Proj'!U141</f>
        <v>7.6194231595025697E-2</v>
      </c>
      <c r="U40">
        <f>'Rescale to Fit GDP Proj'!V141</f>
        <v>8.0593530820986192E-2</v>
      </c>
      <c r="V40">
        <f>'Rescale to Fit GDP Proj'!W141</f>
        <v>8.5010813634956328E-2</v>
      </c>
      <c r="W40">
        <f>'Rescale to Fit GDP Proj'!X141</f>
        <v>8.9446153550789553E-2</v>
      </c>
      <c r="X40">
        <f>'Rescale to Fit GDP Proj'!Y141</f>
        <v>9.3899624382851155E-2</v>
      </c>
      <c r="Y40">
        <f>'Rescale to Fit GDP Proj'!Z141</f>
        <v>9.8371300247247273E-2</v>
      </c>
      <c r="Z40">
        <f>'Rescale to Fit GDP Proj'!AA141</f>
        <v>0.10286125556305792</v>
      </c>
      <c r="AA40">
        <f>'Rescale to Fit GDP Proj'!AB141</f>
        <v>0.10736956505357553</v>
      </c>
      <c r="AB40">
        <f>'Rescale to Fit GDP Proj'!AC141</f>
        <v>0.11189630374754911</v>
      </c>
    </row>
    <row r="41" spans="1:28" x14ac:dyDescent="0.25">
      <c r="A41" s="2" t="s">
        <v>30</v>
      </c>
      <c r="B41">
        <f>'Rescale to Fit GDP Proj'!C142</f>
        <v>0</v>
      </c>
      <c r="C41">
        <f>'Rescale to Fit GDP Proj'!D142</f>
        <v>2.3963418204965059E-2</v>
      </c>
      <c r="D41">
        <f>'Rescale to Fit GDP Proj'!E142</f>
        <v>4.8501081821996195E-2</v>
      </c>
      <c r="E41">
        <f>'Rescale to Fit GDP Proj'!F142</f>
        <v>7.3626751734054974E-2</v>
      </c>
      <c r="F41">
        <f>'Rescale to Fit GDP Proj'!G142</f>
        <v>9.9354518581896256E-2</v>
      </c>
      <c r="G41">
        <f>'Rescale to Fit GDP Proj'!H142</f>
        <v>0.12569881066619226</v>
      </c>
      <c r="H41">
        <f>'Rescale to Fit GDP Proj'!I142</f>
        <v>0.15267440203901805</v>
      </c>
      <c r="I41">
        <f>'Rescale to Fit GDP Proj'!J142</f>
        <v>0.18029642078923702</v>
      </c>
      <c r="J41">
        <f>'Rescale to Fit GDP Proj'!K142</f>
        <v>0.20858035752643289</v>
      </c>
      <c r="K41">
        <f>'Rescale to Fit GDP Proj'!L142</f>
        <v>0.23754207406814509</v>
      </c>
      <c r="L41">
        <f>'Rescale to Fit GDP Proj'!M142</f>
        <v>0.26719781233527984</v>
      </c>
      <c r="M41">
        <f>'Rescale to Fit GDP Proj'!N142</f>
        <v>0.2975642034606869</v>
      </c>
      <c r="N41">
        <f>'Rescale to Fit GDP Proj'!O142</f>
        <v>0.32865827711600781</v>
      </c>
      <c r="O41">
        <f>'Rescale to Fit GDP Proj'!P142</f>
        <v>0.36049747106202701</v>
      </c>
      <c r="P41">
        <f>'Rescale to Fit GDP Proj'!Q142</f>
        <v>0.39309964092788374</v>
      </c>
      <c r="Q41">
        <f>'Rescale to Fit GDP Proj'!R142</f>
        <v>0.42648307022462517</v>
      </c>
      <c r="R41">
        <f>'Rescale to Fit GDP Proj'!S142</f>
        <v>0.4606664805987204</v>
      </c>
      <c r="S41">
        <f>'Rescale to Fit GDP Proj'!T142</f>
        <v>0.49566904233128195</v>
      </c>
      <c r="T41">
        <f>'Rescale to Fit GDP Proj'!U142</f>
        <v>0.53151038508888604</v>
      </c>
      <c r="U41">
        <f>'Rescale to Fit GDP Proj'!V142</f>
        <v>0.56821060893201802</v>
      </c>
      <c r="V41">
        <f>'Rescale to Fit GDP Proj'!W142</f>
        <v>0.60579029558731889</v>
      </c>
      <c r="W41">
        <f>'Rescale to Fit GDP Proj'!X142</f>
        <v>0.64427051998995233</v>
      </c>
      <c r="X41">
        <f>'Rescale to Fit GDP Proj'!Y142</f>
        <v>0.68367286210256695</v>
      </c>
      <c r="Y41">
        <f>'Rescale to Fit GDP Proj'!Z142</f>
        <v>0.72401941901748113</v>
      </c>
      <c r="Z41">
        <f>'Rescale to Fit GDP Proj'!AA142</f>
        <v>0.76533281734887781</v>
      </c>
      <c r="AA41">
        <f>'Rescale to Fit GDP Proj'!AB142</f>
        <v>0.80763622592195827</v>
      </c>
      <c r="AB41">
        <f>'Rescale to Fit GDP Proj'!AC142</f>
        <v>0.85095336876617078</v>
      </c>
    </row>
    <row r="42" spans="1:28" x14ac:dyDescent="0.25">
      <c r="A42" s="2" t="s">
        <v>31</v>
      </c>
      <c r="B42">
        <f>'Rescale to Fit GDP Proj'!C143</f>
        <v>0</v>
      </c>
      <c r="C42">
        <f>'Rescale to Fit GDP Proj'!D143</f>
        <v>1.8576044026160421E-2</v>
      </c>
      <c r="D42">
        <f>'Rescale to Fit GDP Proj'!E143</f>
        <v>3.7497157463982633E-2</v>
      </c>
      <c r="E42">
        <f>'Rescale to Fit GDP Proj'!F143</f>
        <v>5.6769750338049763E-2</v>
      </c>
      <c r="F42">
        <f>'Rescale to Fit GDP Proj'!G143</f>
        <v>7.6400351745844031E-2</v>
      </c>
      <c r="G42">
        <f>'Rescale to Fit GDP Proj'!H143</f>
        <v>9.6395612069649417E-2</v>
      </c>
      <c r="H42">
        <f>'Rescale to Fit GDP Proj'!I143</f>
        <v>0.11676230522954434</v>
      </c>
      <c r="I42">
        <f>'Rescale to Fit GDP Proj'!J143</f>
        <v>0.13750733097824486</v>
      </c>
      <c r="J42">
        <f>'Rescale to Fit GDP Proj'!K143</f>
        <v>0.15863771723857689</v>
      </c>
      <c r="K42">
        <f>'Rescale to Fit GDP Proj'!L143</f>
        <v>0.18016062248437081</v>
      </c>
      <c r="L42">
        <f>'Rescale to Fit GDP Proj'!M143</f>
        <v>0.20208333816558133</v>
      </c>
      <c r="M42">
        <f>'Rescale to Fit GDP Proj'!N143</f>
        <v>0.2244132911784591</v>
      </c>
      <c r="N42">
        <f>'Rescale to Fit GDP Proj'!O143</f>
        <v>0.2471580463816061</v>
      </c>
      <c r="O42">
        <f>'Rescale to Fit GDP Proj'!P143</f>
        <v>0.27032530915877095</v>
      </c>
      <c r="P42">
        <f>'Rescale to Fit GDP Proj'!Q143</f>
        <v>0.29392292802925013</v>
      </c>
      <c r="Q42">
        <f>'Rescale to Fit GDP Proj'!R143</f>
        <v>0.31795889730677995</v>
      </c>
      <c r="R42">
        <f>'Rescale to Fit GDP Proj'!S143</f>
        <v>0.34244135980782064</v>
      </c>
      <c r="S42">
        <f>'Rescale to Fit GDP Proj'!T143</f>
        <v>0.36737860961014945</v>
      </c>
      <c r="T42">
        <f>'Rescale to Fit GDP Proj'!U143</f>
        <v>0.39277909486269769</v>
      </c>
      <c r="U42">
        <f>'Rescale to Fit GDP Proj'!V143</f>
        <v>0.41865142064758309</v>
      </c>
      <c r="V42">
        <f>'Rescale to Fit GDP Proj'!W143</f>
        <v>0.44500435189530752</v>
      </c>
      <c r="W42">
        <f>'Rescale to Fit GDP Proj'!X143</f>
        <v>0.47184681635410808</v>
      </c>
      <c r="X42">
        <f>'Rescale to Fit GDP Proj'!Y143</f>
        <v>0.49918790761446608</v>
      </c>
      <c r="Y42">
        <f>'Rescale to Fit GDP Proj'!Z143</f>
        <v>0.52703688818979977</v>
      </c>
      <c r="Z42">
        <f>'Rescale to Fit GDP Proj'!AA143</f>
        <v>0.55540319265438454</v>
      </c>
      <c r="AA42">
        <f>'Rescale to Fit GDP Proj'!AB143</f>
        <v>0.58429643083956284</v>
      </c>
      <c r="AB42">
        <f>'Rescale to Fit GDP Proj'!AC143</f>
        <v>0.61372639108932736</v>
      </c>
    </row>
    <row r="43" spans="1:28" x14ac:dyDescent="0.25">
      <c r="A43" s="2" t="s">
        <v>32</v>
      </c>
      <c r="B43">
        <f>'Rescale to Fit GDP Proj'!C144</f>
        <v>0</v>
      </c>
      <c r="C43">
        <f>'Rescale to Fit GDP Proj'!D144</f>
        <v>1.5570000000000084E-2</v>
      </c>
      <c r="D43">
        <f>'Rescale to Fit GDP Proj'!E144</f>
        <v>3.1382424900000094E-2</v>
      </c>
      <c r="E43">
        <f>'Rescale to Fit GDP Proj'!F144</f>
        <v>4.7441049255693146E-2</v>
      </c>
      <c r="F43">
        <f>'Rescale to Fit GDP Proj'!G144</f>
        <v>6.3749706392604466E-2</v>
      </c>
      <c r="G43">
        <f>'Rescale to Fit GDP Proj'!H144</f>
        <v>8.0312289321137431E-2</v>
      </c>
      <c r="H43">
        <f>'Rescale to Fit GDP Proj'!I144</f>
        <v>9.7132751665867545E-2</v>
      </c>
      <c r="I43">
        <f>'Rescale to Fit GDP Proj'!J144</f>
        <v>0.11421510860930528</v>
      </c>
      <c r="J43">
        <f>'Rescale to Fit GDP Proj'!K144</f>
        <v>0.13156343785035229</v>
      </c>
      <c r="K43">
        <f>'Rescale to Fit GDP Proj'!L144</f>
        <v>0.14918188057768234</v>
      </c>
      <c r="L43">
        <f>'Rescale to Fit GDP Proj'!M144</f>
        <v>0.16707464245827697</v>
      </c>
      <c r="M43">
        <f>'Rescale to Fit GDP Proj'!N144</f>
        <v>0.1852459946413525</v>
      </c>
      <c r="N43">
        <f>'Rescale to Fit GDP Proj'!O144</f>
        <v>0.20370027477791841</v>
      </c>
      <c r="O43">
        <f>'Rescale to Fit GDP Proj'!P144</f>
        <v>0.22244188805621068</v>
      </c>
      <c r="P43">
        <f>'Rescale to Fit GDP Proj'!Q144</f>
        <v>0.24147530825324592</v>
      </c>
      <c r="Q43">
        <f>'Rescale to Fit GDP Proj'!R144</f>
        <v>0.26080507880274917</v>
      </c>
      <c r="R43">
        <f>'Rescale to Fit GDP Proj'!S144</f>
        <v>0.28043581387970806</v>
      </c>
      <c r="S43">
        <f>'Rescale to Fit GDP Proj'!T144</f>
        <v>0.30037219950181515</v>
      </c>
      <c r="T43">
        <f>'Rescale to Fit GDP Proj'!U144</f>
        <v>0.32061899464805843</v>
      </c>
      <c r="U43">
        <f>'Rescale to Fit GDP Proj'!V144</f>
        <v>0.34118103239472886</v>
      </c>
      <c r="V43">
        <f>'Rescale to Fit GDP Proj'!W144</f>
        <v>0.36206322106911482</v>
      </c>
      <c r="W43">
        <f>'Rescale to Fit GDP Proj'!X144</f>
        <v>0.38327054542116112</v>
      </c>
      <c r="X43">
        <f>'Rescale to Fit GDP Proj'!Y144</f>
        <v>0.40480806781336875</v>
      </c>
      <c r="Y43">
        <f>'Rescale to Fit GDP Proj'!Z144</f>
        <v>0.42668092942922309</v>
      </c>
      <c r="Z43">
        <f>'Rescale to Fit GDP Proj'!AA144</f>
        <v>0.44889435150043622</v>
      </c>
      <c r="AA43">
        <f>'Rescale to Fit GDP Proj'!AB144</f>
        <v>0.47145363655329819</v>
      </c>
      <c r="AB43">
        <f>'Rescale to Fit GDP Proj'!AC144</f>
        <v>0.4943641696744332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239F-D5A5-4DFE-8D32-17DAC6DAE46A}">
  <sheetPr>
    <tabColor theme="8" tint="-0.249977111117893"/>
  </sheetPr>
  <dimension ref="A1:AF43"/>
  <sheetViews>
    <sheetView workbookViewId="0">
      <selection activeCell="P2" sqref="A1:P2"/>
    </sheetView>
  </sheetViews>
  <sheetFormatPr defaultRowHeight="15" x14ac:dyDescent="0.25"/>
  <cols>
    <col min="1" max="1" width="20.140625" customWidth="1"/>
    <col min="2" max="21" width="10.140625" customWidth="1"/>
    <col min="22" max="22" width="12.85546875" customWidth="1"/>
    <col min="23" max="33" width="10.140625" customWidth="1"/>
  </cols>
  <sheetData>
    <row r="1" spans="1:32" s="3" customFormat="1" x14ac:dyDescent="0.25">
      <c r="A1" s="4" t="s">
        <v>101</v>
      </c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  <c r="H1" s="3">
        <v>2026</v>
      </c>
      <c r="I1" s="3">
        <v>2027</v>
      </c>
      <c r="J1" s="3">
        <v>2028</v>
      </c>
      <c r="K1" s="3">
        <v>2029</v>
      </c>
      <c r="L1" s="3">
        <v>2030</v>
      </c>
      <c r="M1" s="3">
        <v>2031</v>
      </c>
      <c r="N1" s="3">
        <v>2032</v>
      </c>
      <c r="O1" s="3">
        <v>2033</v>
      </c>
      <c r="P1" s="3">
        <v>2034</v>
      </c>
      <c r="Q1" s="3">
        <v>2035</v>
      </c>
      <c r="R1" s="3">
        <v>2036</v>
      </c>
      <c r="S1" s="3">
        <v>2037</v>
      </c>
      <c r="T1" s="3">
        <v>2038</v>
      </c>
      <c r="U1" s="3">
        <v>2039</v>
      </c>
      <c r="V1" s="3">
        <v>2040</v>
      </c>
      <c r="W1" s="3">
        <v>2041</v>
      </c>
      <c r="X1" s="3">
        <v>2042</v>
      </c>
      <c r="Y1" s="3">
        <v>2043</v>
      </c>
      <c r="Z1" s="3">
        <v>2044</v>
      </c>
      <c r="AA1" s="3">
        <v>2045</v>
      </c>
      <c r="AB1" s="3">
        <v>2046</v>
      </c>
      <c r="AC1" s="3">
        <v>2047</v>
      </c>
      <c r="AD1" s="3">
        <v>2048</v>
      </c>
      <c r="AE1" s="3">
        <v>2049</v>
      </c>
      <c r="AF1" s="3">
        <v>2050</v>
      </c>
    </row>
    <row r="2" spans="1:32" x14ac:dyDescent="0.25">
      <c r="A2" s="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s="2" t="s">
        <v>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s="2" t="s">
        <v>37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s="2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s="2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s="2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s="2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s="2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s="2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s="2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s="2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s="2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s="2" t="s">
        <v>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s="2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s="2" t="s">
        <v>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s="2" t="s">
        <v>40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s="2" t="s">
        <v>41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s="2" t="s">
        <v>11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s="2" t="s">
        <v>12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s="2" t="s">
        <v>13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s="2" t="s">
        <v>14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s="2" t="s">
        <v>15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s="2" t="s">
        <v>16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s="2" t="s">
        <v>17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s="2" t="s">
        <v>42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s="2" t="s">
        <v>43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s="2" t="s">
        <v>44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s="2" t="s">
        <v>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s="2" t="s">
        <v>19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s="2" t="s">
        <v>20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s="2" t="s">
        <v>21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s="2" t="s">
        <v>22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s="2" t="s">
        <v>23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s="2" t="s">
        <v>24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s="2" t="s">
        <v>25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s="2" t="s">
        <v>26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s="2" t="s">
        <v>27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s="2" t="s">
        <v>28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s="2" t="s">
        <v>29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s="2" t="s">
        <v>30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s="2" t="s">
        <v>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s="2" t="s">
        <v>32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source data&gt;</vt:lpstr>
      <vt:lpstr>BLS Table 2.11</vt:lpstr>
      <vt:lpstr>AEO25 Table 23</vt:lpstr>
      <vt:lpstr>Data from BVAbIC</vt:lpstr>
      <vt:lpstr>GDP Forecast</vt:lpstr>
      <vt:lpstr>calcs&gt;</vt:lpstr>
      <vt:lpstr>Rescale to Fit GDP Proj</vt:lpstr>
      <vt:lpstr>Growth Rates</vt:lpstr>
      <vt:lpstr>BPCiObIC</vt:lpstr>
      <vt:lpstr>BPCiDCSbIC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2019-12-02T22:49:06Z</dcterms:created>
  <dcterms:modified xsi:type="dcterms:W3CDTF">2026-01-22T23:35:55Z</dcterms:modified>
</cp:coreProperties>
</file>