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O'Brien\Models\EPS\US\eps-us\InputData\io-model\BEaCP\"/>
    </mc:Choice>
  </mc:AlternateContent>
  <xr:revisionPtr revIDLastSave="0" documentId="13_ncr:1_{6687C188-81C9-4F89-A6FC-DE269241EE96}" xr6:coauthVersionLast="47" xr6:coauthVersionMax="47" xr10:uidLastSave="{00000000-0000-0000-0000-000000000000}"/>
  <bookViews>
    <workbookView xWindow="-28920" yWindow="-120" windowWidth="29040" windowHeight="17520" tabRatio="753" activeTab="8" xr2:uid="{9CFCDA60-17E9-4D3E-A3D3-81B3C018F06B}"/>
  </bookViews>
  <sheets>
    <sheet name="About" sheetId="1" r:id="rId1"/>
    <sheet name="Census Pop Proj" sheetId="15" r:id="rId2"/>
    <sheet name="Emp Pop Ratio" sheetId="3" r:id="rId3"/>
    <sheet name="Avg Emp-Pop Ratio" sheetId="4" r:id="rId4"/>
    <sheet name="BLS Comp per Hr Worked" sheetId="12" r:id="rId5"/>
    <sheet name="BECbIC" sheetId="16" r:id="rId6"/>
    <sheet name="EE Comp Projection" sheetId="13" r:id="rId7"/>
    <sheet name="population" sheetId="6" r:id="rId8"/>
    <sheet name="BEaCP-employedpop" sheetId="8" r:id="rId9"/>
    <sheet name="BEaCP-employeecomp" sheetId="14" r:id="rId10"/>
  </sheets>
  <definedNames>
    <definedName name="_xlnm.Print_Titles" localSheetId="1">'Census Pop Proj'!$2:$2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5" i="13" l="1"/>
  <c r="R14" i="13"/>
  <c r="S14" i="13"/>
  <c r="T14" i="13"/>
  <c r="U14" i="13"/>
  <c r="V14" i="13"/>
  <c r="R13" i="13"/>
  <c r="S13" i="13"/>
  <c r="T13" i="13"/>
  <c r="U13" i="13"/>
  <c r="V13" i="13"/>
  <c r="Q11" i="13"/>
  <c r="Q13" i="13" s="1"/>
  <c r="P11" i="13"/>
  <c r="P13" i="13" s="1"/>
  <c r="O11" i="13"/>
  <c r="O13" i="13" s="1"/>
  <c r="N11" i="13"/>
  <c r="N13" i="13" s="1"/>
  <c r="M11" i="13"/>
  <c r="M13" i="13" s="1"/>
  <c r="L11" i="13"/>
  <c r="L13" i="13" s="1"/>
  <c r="K11" i="13"/>
  <c r="K13" i="13" s="1"/>
  <c r="J11" i="13"/>
  <c r="J13" i="13" s="1"/>
  <c r="I11" i="13"/>
  <c r="I13" i="13" s="1"/>
  <c r="H11" i="13"/>
  <c r="H13" i="13" s="1"/>
  <c r="G11" i="13"/>
  <c r="G13" i="13" s="1"/>
  <c r="F11" i="13"/>
  <c r="F13" i="13" s="1"/>
  <c r="E11" i="13"/>
  <c r="E13" i="13" s="1"/>
  <c r="D11" i="13"/>
  <c r="D13" i="13" s="1"/>
  <c r="C11" i="13"/>
  <c r="C13" i="13" s="1"/>
  <c r="B11" i="13"/>
  <c r="B13" i="13" s="1"/>
  <c r="V11" i="13"/>
  <c r="U11" i="13"/>
  <c r="T11" i="13"/>
  <c r="S11" i="13"/>
  <c r="R11" i="13"/>
  <c r="B20" i="13"/>
  <c r="B22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5" i="4"/>
  <c r="B2" i="6" a="1"/>
  <c r="B2" i="6" s="1"/>
  <c r="O14" i="13" l="1"/>
  <c r="P14" i="13"/>
  <c r="H14" i="13"/>
  <c r="K14" i="13"/>
  <c r="C14" i="13"/>
  <c r="D14" i="13"/>
  <c r="G14" i="13"/>
  <c r="L14" i="13"/>
  <c r="Q14" i="13"/>
  <c r="M14" i="13"/>
  <c r="I14" i="13"/>
  <c r="E14" i="13"/>
  <c r="N14" i="13"/>
  <c r="J14" i="13"/>
  <c r="F14" i="13"/>
  <c r="C21" i="13" l="1"/>
  <c r="B2" i="14"/>
  <c r="D21" i="13" l="1"/>
  <c r="C22" i="13"/>
  <c r="C2" i="14" s="1"/>
  <c r="E21" i="13" l="1"/>
  <c r="D22" i="13"/>
  <c r="D2" i="14" s="1"/>
  <c r="E22" i="13" l="1"/>
  <c r="E2" i="14" s="1"/>
  <c r="F21" i="13"/>
  <c r="AB2" i="8"/>
  <c r="X2" i="8"/>
  <c r="P2" i="8"/>
  <c r="H2" i="8"/>
  <c r="AA2" i="8"/>
  <c r="S2" i="8"/>
  <c r="K2" i="8"/>
  <c r="C2" i="8"/>
  <c r="Z2" i="8"/>
  <c r="V2" i="8"/>
  <c r="R2" i="8"/>
  <c r="J2" i="8"/>
  <c r="F2" i="8"/>
  <c r="B2" i="8"/>
  <c r="T2" i="8"/>
  <c r="L2" i="8"/>
  <c r="D2" i="8"/>
  <c r="W2" i="8"/>
  <c r="O2" i="8"/>
  <c r="G2" i="8"/>
  <c r="N2" i="8"/>
  <c r="Y2" i="8"/>
  <c r="U2" i="8"/>
  <c r="Q2" i="8"/>
  <c r="M2" i="8"/>
  <c r="I2" i="8"/>
  <c r="E2" i="8"/>
  <c r="G21" i="13" l="1"/>
  <c r="F22" i="13"/>
  <c r="F2" i="14" s="1"/>
  <c r="G22" i="13"/>
  <c r="G2" i="14" s="1"/>
  <c r="H21" i="13"/>
  <c r="H22" i="13" s="1"/>
  <c r="H2" i="14" s="1"/>
  <c r="I21" i="13"/>
  <c r="I22" i="13" s="1"/>
  <c r="I2" i="14" l="1"/>
  <c r="J21" i="13"/>
  <c r="J22" i="13" s="1"/>
  <c r="J2" i="14" l="1"/>
  <c r="K21" i="13"/>
  <c r="K22" i="13" s="1"/>
  <c r="K2" i="14" l="1"/>
  <c r="L21" i="13"/>
  <c r="L22" i="13" s="1"/>
  <c r="L2" i="14" l="1"/>
  <c r="M21" i="13"/>
  <c r="M22" i="13" s="1"/>
  <c r="M2" i="14" l="1"/>
  <c r="N21" i="13"/>
  <c r="N22" i="13" s="1"/>
  <c r="N2" i="14" l="1"/>
  <c r="O21" i="13"/>
  <c r="O22" i="13" s="1"/>
  <c r="O2" i="14" l="1"/>
  <c r="P21" i="13"/>
  <c r="P22" i="13" s="1"/>
  <c r="P2" i="14" l="1"/>
  <c r="Q21" i="13"/>
  <c r="Q22" i="13" s="1"/>
  <c r="Q2" i="14" l="1"/>
  <c r="R21" i="13"/>
  <c r="R22" i="13" s="1"/>
  <c r="R2" i="14" l="1"/>
  <c r="S21" i="13"/>
  <c r="S22" i="13" s="1"/>
  <c r="S2" i="14" l="1"/>
  <c r="T21" i="13"/>
  <c r="T22" i="13" s="1"/>
  <c r="T2" i="14" l="1"/>
  <c r="U21" i="13"/>
  <c r="U22" i="13" s="1"/>
  <c r="U2" i="14" l="1"/>
  <c r="V21" i="13"/>
  <c r="V22" i="13" s="1"/>
  <c r="V2" i="14" l="1"/>
  <c r="W21" i="13"/>
  <c r="W22" i="13" s="1"/>
  <c r="W2" i="14" l="1"/>
  <c r="X21" i="13"/>
  <c r="X22" i="13" s="1"/>
  <c r="X2" i="14" l="1"/>
  <c r="Y21" i="13"/>
  <c r="Y22" i="13" s="1"/>
  <c r="Y2" i="14" l="1"/>
  <c r="Z21" i="13"/>
  <c r="Z22" i="13" s="1"/>
  <c r="Z2" i="14" l="1"/>
  <c r="AA21" i="13"/>
  <c r="AA22" i="13" s="1"/>
  <c r="AA2" i="14" l="1"/>
  <c r="AB21" i="13"/>
  <c r="AB22" i="13" s="1"/>
  <c r="AB2" i="1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4" authorId="0" shapeId="0" xr:uid="{00000000-0006-0000-0000-000001000000}">
      <text>
        <r>
          <rPr>
            <sz val="11"/>
            <color indexed="8"/>
            <rFont val="Calibri"/>
            <family val="2"/>
            <scheme val="minor"/>
          </rPr>
          <t xml:space="preserve">*  See https://www.bls.govhttp://www.bls.gov/ncs/ect/mapnote.htm#C for the definition of civilian workers.
</t>
        </r>
      </text>
    </comment>
    <comment ref="D16" authorId="0" shapeId="0" xr:uid="{00000000-0006-0000-0000-000002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7" authorId="0" shapeId="0" xr:uid="{00000000-0006-0000-0000-000003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8" authorId="0" shapeId="0" xr:uid="{00000000-0006-0000-0000-000004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19" authorId="0" shapeId="0" xr:uid="{00000000-0006-0000-0000-000005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0" authorId="0" shapeId="0" xr:uid="{00000000-0006-0000-0000-000006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1" authorId="0" shapeId="0" xr:uid="{00000000-0006-0000-0000-000007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2" authorId="0" shapeId="0" xr:uid="{00000000-0006-0000-0000-000008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3" authorId="0" shapeId="0" xr:uid="{00000000-0006-0000-0000-000009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4" authorId="0" shapeId="0" xr:uid="{00000000-0006-0000-0000-00000A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5" authorId="0" shapeId="0" xr:uid="{00000000-0006-0000-0000-00000B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6" authorId="0" shapeId="0" xr:uid="{00000000-0006-0000-0000-00000C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7" authorId="0" shapeId="0" xr:uid="{00000000-0006-0000-0000-00000D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8" authorId="0" shapeId="0" xr:uid="{00000000-0006-0000-0000-00000E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29" authorId="0" shapeId="0" xr:uid="{00000000-0006-0000-0000-00000F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0" authorId="0" shapeId="0" xr:uid="{00000000-0006-0000-0000-000010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1" authorId="0" shapeId="0" xr:uid="{00000000-0006-0000-0000-000011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2" authorId="0" shapeId="0" xr:uid="{00000000-0006-0000-0000-000012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3" authorId="0" shapeId="0" xr:uid="{00000000-0006-0000-0000-000013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4" authorId="0" shapeId="0" xr:uid="{00000000-0006-0000-0000-000014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5" authorId="0" shapeId="0" xr:uid="{00000000-0006-0000-0000-000015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6" authorId="0" shapeId="0" xr:uid="{00000000-0006-0000-0000-000016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7" authorId="0" shapeId="0" xr:uid="{00000000-0006-0000-0000-000017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8" authorId="0" shapeId="0" xr:uid="{00000000-0006-0000-0000-000018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39" authorId="0" shapeId="0" xr:uid="{00000000-0006-0000-0000-000019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0" authorId="0" shapeId="0" xr:uid="{00000000-0006-0000-0000-00001A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1" authorId="0" shapeId="0" xr:uid="{00000000-0006-0000-0000-00001B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2" authorId="0" shapeId="0" xr:uid="{00000000-0006-0000-0000-00001C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3" authorId="0" shapeId="0" xr:uid="{00000000-0006-0000-0000-00001D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4" authorId="0" shapeId="0" xr:uid="{00000000-0006-0000-0000-00001E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5" authorId="0" shapeId="0" xr:uid="{00000000-0006-0000-0000-00001F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6" authorId="0" shapeId="0" xr:uid="{00000000-0006-0000-0000-000020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7" authorId="0" shapeId="0" xr:uid="{00000000-0006-0000-0000-000021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8" authorId="0" shapeId="0" xr:uid="{00000000-0006-0000-0000-000022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49" authorId="0" shapeId="0" xr:uid="{00000000-0006-0000-0000-000023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0" authorId="0" shapeId="0" xr:uid="{00000000-0006-0000-0000-000024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1" authorId="0" shapeId="0" xr:uid="{00000000-0006-0000-0000-000025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2" authorId="0" shapeId="0" xr:uid="{00000000-0006-0000-0000-000026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3" authorId="0" shapeId="0" xr:uid="{00000000-0006-0000-0000-000027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4" authorId="0" shapeId="0" xr:uid="{00000000-0006-0000-0000-000028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5" authorId="0" shapeId="0" xr:uid="{00000000-0006-0000-0000-000029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6" authorId="0" shapeId="0" xr:uid="{00000000-0006-0000-0000-00002A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7" authorId="0" shapeId="0" xr:uid="{00000000-0006-0000-0000-00002B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8" authorId="0" shapeId="0" xr:uid="{00000000-0006-0000-0000-00002C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59" authorId="0" shapeId="0" xr:uid="{00000000-0006-0000-0000-00002D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0" authorId="0" shapeId="0" xr:uid="{00000000-0006-0000-0000-00002E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1" authorId="0" shapeId="0" xr:uid="{00000000-0006-0000-0000-00002F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2" authorId="0" shapeId="0" xr:uid="{00000000-0006-0000-0000-000030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3" authorId="0" shapeId="0" xr:uid="{00000000-0006-0000-0000-000031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4" authorId="0" shapeId="0" xr:uid="{00000000-0006-0000-0000-000032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5" authorId="0" shapeId="0" xr:uid="{00000000-0006-0000-0000-000033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6" authorId="0" shapeId="0" xr:uid="{00000000-0006-0000-0000-000034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7" authorId="0" shapeId="0" xr:uid="{00000000-0006-0000-0000-000035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8" authorId="0" shapeId="0" xr:uid="{00000000-0006-0000-0000-000036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69" authorId="0" shapeId="0" xr:uid="{00000000-0006-0000-0000-000037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0" authorId="0" shapeId="0" xr:uid="{00000000-0006-0000-0000-000038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1" authorId="0" shapeId="0" xr:uid="{00000000-0006-0000-0000-000039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2" authorId="0" shapeId="0" xr:uid="{00000000-0006-0000-0000-00003A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  <comment ref="D73" authorId="0" shapeId="0" xr:uid="{00000000-0006-0000-0000-00003B000000}">
      <text>
        <r>
          <rPr>
            <sz val="11"/>
            <color indexed="8"/>
            <rFont val="Calibri"/>
            <family val="2"/>
            <scheme val="minor"/>
          </rPr>
          <t xml:space="preserve">*  The relative standard error for this estimate is not currently available.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<sst xmlns="http://schemas.openxmlformats.org/spreadsheetml/2006/main" count="308" uniqueCount="161">
  <si>
    <t>Sources:</t>
  </si>
  <si>
    <t>Population Projection</t>
  </si>
  <si>
    <t>Employment-to-Population Ratio</t>
  </si>
  <si>
    <t>St. Louis Federal Reserve Bank</t>
  </si>
  <si>
    <t>Employment-Population Ratio</t>
  </si>
  <si>
    <t>https://fred.stlouisfed.org/series/EMRATIO</t>
  </si>
  <si>
    <t>U.S. Census Bureau</t>
  </si>
  <si>
    <t>Table 1</t>
  </si>
  <si>
    <t>FRED Graph Observations</t>
  </si>
  <si>
    <t>Federal Reserve Economic Data</t>
  </si>
  <si>
    <t>Link: https://fred.stlouisfed.org</t>
  </si>
  <si>
    <t>Help: https://fred.stlouisfed.org/help-faq</t>
  </si>
  <si>
    <t>Economic Research Division</t>
  </si>
  <si>
    <t>Federal Reserve Bank of St. Louis</t>
  </si>
  <si>
    <t>EMRATIO</t>
  </si>
  <si>
    <t>Employment-Population Ratio, Percent, Monthly, Seasonally Adjusted</t>
  </si>
  <si>
    <t>Frequency: Monthly</t>
  </si>
  <si>
    <t>observation_date</t>
  </si>
  <si>
    <t>Average Employment-to-Population Ratio</t>
  </si>
  <si>
    <t>from date</t>
  </si>
  <si>
    <t>to date</t>
  </si>
  <si>
    <t>is:</t>
  </si>
  <si>
    <t>Population</t>
  </si>
  <si>
    <t>Unit: people</t>
  </si>
  <si>
    <t>Employed Population</t>
  </si>
  <si>
    <t>Notes</t>
  </si>
  <si>
    <t/>
  </si>
  <si>
    <t>Qtr1</t>
  </si>
  <si>
    <t>Qtr4</t>
  </si>
  <si>
    <t>Qtr3</t>
  </si>
  <si>
    <t>Qtr2</t>
  </si>
  <si>
    <t>Estimate Value</t>
  </si>
  <si>
    <t>Period</t>
  </si>
  <si>
    <t>Year</t>
  </si>
  <si>
    <t>Years:</t>
  </si>
  <si>
    <t>United States (National)</t>
  </si>
  <si>
    <t>Area:</t>
  </si>
  <si>
    <t>All workers</t>
  </si>
  <si>
    <t>Subcategory:</t>
  </si>
  <si>
    <t>Industry:</t>
  </si>
  <si>
    <t>Occupation:</t>
  </si>
  <si>
    <t>Total compensation</t>
  </si>
  <si>
    <t>Component:</t>
  </si>
  <si>
    <t>Civilian workers</t>
  </si>
  <si>
    <t>Ownership:</t>
  </si>
  <si>
    <t>Series Title:</t>
  </si>
  <si>
    <t>Series Id:</t>
  </si>
  <si>
    <t>Original Data Value</t>
  </si>
  <si>
    <t>Relative Standard Error</t>
  </si>
  <si>
    <t>Cost of compensation (Cost per hour worked)</t>
  </si>
  <si>
    <t>Data Type:</t>
  </si>
  <si>
    <t>All Civilian Total compensation for All occupations; Cost per hour worked</t>
  </si>
  <si>
    <t>CMU1010000000000D</t>
  </si>
  <si>
    <t>Employer Costs for Employee Compensation</t>
  </si>
  <si>
    <t>To calculate future total employee compensation, we begin by establishing a trend of</t>
  </si>
  <si>
    <t>cost change per hour worked.  We then will scale the historical total EE compensation</t>
  </si>
  <si>
    <t>These figures refer to total employee compensation, not just wages and salaries.</t>
  </si>
  <si>
    <t>E.g. this includes employer-paid benefits, employer contribution to retirement plans, etc.</t>
  </si>
  <si>
    <t>Average Employee Compensation per Hour Worked</t>
  </si>
  <si>
    <t>nominal $/hr</t>
  </si>
  <si>
    <t>2012 $/hr</t>
  </si>
  <si>
    <t>2012 $ / nominal $ (from CPI)</t>
  </si>
  <si>
    <t>Projected Compensation (2012 $)</t>
  </si>
  <si>
    <t>Total EE Compensation</t>
  </si>
  <si>
    <t>Unit: 2012 $</t>
  </si>
  <si>
    <t>Projected Future Employee Compensation (2012 USD)</t>
  </si>
  <si>
    <t>Perc Change in Number of EEs (vs. 2015)</t>
  </si>
  <si>
    <t>Perc Change in Compensation / EE (vs. 2015)</t>
  </si>
  <si>
    <t>Annual Perc Change</t>
  </si>
  <si>
    <t>Avg Annual Perc Cng / Yr</t>
  </si>
  <si>
    <t>Total Employee Compensation (from IO tables, historical year)</t>
  </si>
  <si>
    <t>Annual Change in Compensation per EE Hour Worked</t>
  </si>
  <si>
    <t>U.S. Bureau of Labor Statistics</t>
  </si>
  <si>
    <t>https://www.bls.gov/data/</t>
  </si>
  <si>
    <t>Use data finder to create table for all civilian workers nationally</t>
  </si>
  <si>
    <t>Population projections are available directly from the U.S. Census department.</t>
  </si>
  <si>
    <t>To project future numbers of employees, we sample the share of the population that is</t>
  </si>
  <si>
    <t>employed over a wide historical rage, and use that average going forward.  The share of</t>
  </si>
  <si>
    <t>the population that is employed has remained relatively stable over time despite tremendous</t>
  </si>
  <si>
    <t>increases in productivity (output per employee), so we believe this is likely to continue to</t>
  </si>
  <si>
    <t>happen in the future, and we do not need to adjust for productivity increases.  (That is,</t>
  </si>
  <si>
    <t>any displaced workers are integrated elsewhere in the economy.)</t>
  </si>
  <si>
    <t>Number of Employees</t>
  </si>
  <si>
    <t>Total Compensation</t>
  </si>
  <si>
    <t>We project this forward by adjusting for (1) change in number of employees, from above,</t>
  </si>
  <si>
    <t>and (2) change in inflation-adjusted compensation per hour worked.</t>
  </si>
  <si>
    <t>BEaCP BAU Employment and Compensation Projections</t>
  </si>
  <si>
    <t>Release Date: November 2023</t>
  </si>
  <si>
    <t>Source: U.S. Census Bureau, Population Division</t>
  </si>
  <si>
    <t xml:space="preserve">Projected Population and Components of Change for the United States, Main Series: 2022-2100. </t>
  </si>
  <si>
    <t xml:space="preserve">Suggested Citation: </t>
  </si>
  <si>
    <t>2022 is the base population estimate for the projections. Data on population change and components of change refer to events occurring between July 1 of the preceding year and June 30 of the indicated year.</t>
  </si>
  <si>
    <t>For population projections methodology statements, see https://www.census.gov/programs-surveys/popproj/technical-documentation/methodology.html.</t>
  </si>
  <si>
    <t>Notes: 2023 National Population Projections data products are associated with Data Management System projects P-6000042, P-7501659, and P-7527355. The U.S. Census Bureau reviewed these data products for unauthorized disclosure of confidential information and approved the disclosure avoidance practices applied to this release (CBDRB‑FY24‑0008).</t>
  </si>
  <si>
    <r>
      <t>1</t>
    </r>
    <r>
      <rPr>
        <sz val="10"/>
        <rFont val="Arial"/>
        <family val="2"/>
      </rPr>
      <t xml:space="preserve"> Net international migration includes the international migration of both native and foreign-born populations. Specifically, it includes: (a) the net international migration of the foreign born, (b) the net international migration of the native born, including migration to and from Puerto Rico.</t>
    </r>
  </si>
  <si>
    <t>Deaths</t>
  </si>
  <si>
    <t>Births</t>
  </si>
  <si>
    <r>
      <t>Net international
migration</t>
    </r>
    <r>
      <rPr>
        <b/>
        <vertAlign val="superscript"/>
        <sz val="10"/>
        <color indexed="8"/>
        <rFont val="Arial"/>
        <family val="2"/>
      </rPr>
      <t>1</t>
    </r>
  </si>
  <si>
    <r>
      <t xml:space="preserve">Natural change (births </t>
    </r>
    <r>
      <rPr>
        <b/>
        <sz val="10"/>
        <color theme="1"/>
        <rFont val="Calibri"/>
        <family val="2"/>
      </rPr>
      <t>–</t>
    </r>
    <r>
      <rPr>
        <b/>
        <sz val="10"/>
        <color theme="1"/>
        <rFont val="Arial"/>
        <family val="2"/>
      </rPr>
      <t xml:space="preserve"> deaths)</t>
    </r>
  </si>
  <si>
    <t>Vital events</t>
  </si>
  <si>
    <t>Percent change since prior year</t>
  </si>
  <si>
    <t>Numeric change since prior year</t>
  </si>
  <si>
    <t>(Resident population as of July 1. Numbers in thousands)</t>
  </si>
  <si>
    <t>Main series. Table 1</t>
  </si>
  <si>
    <t>Projections for the United States: 2022-2100</t>
  </si>
  <si>
    <t>Projected Population and Components of Change</t>
  </si>
  <si>
    <t>Unit: $</t>
  </si>
  <si>
    <t>ISIC 01T03</t>
  </si>
  <si>
    <t>ISIC 05</t>
  </si>
  <si>
    <t>ISIC 06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</si>
  <si>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</si>
  <si>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</si>
  <si>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</si>
  <si>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</si>
  <si>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</si>
  <si>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</si>
  <si>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</si>
  <si>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20</t>
  </si>
  <si>
    <t>ISIC 21</t>
  </si>
  <si>
    <t>ISIC 22</t>
  </si>
  <si>
    <t>ISIC 231</t>
  </si>
  <si>
    <t>ISIC 239</t>
  </si>
  <si>
    <t>ISIC 241</t>
  </si>
  <si>
    <t>ISIC 242</t>
  </si>
  <si>
    <t>ISIC 25</t>
  </si>
  <si>
    <t>ISIC 26</t>
  </si>
  <si>
    <t>ISIC 27</t>
  </si>
  <si>
    <t>ISIC 28</t>
  </si>
  <si>
    <t>ISIC 29</t>
  </si>
  <si>
    <t>ISIC 30</t>
  </si>
  <si>
    <t>ISIC 31T33</t>
  </si>
  <si>
    <t>ISIC 351</t>
  </si>
  <si>
    <t>ISIC 352T353</t>
  </si>
  <si>
    <t>ISIC 36T39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</si>
  <si>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</si>
  <si>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</si>
  <si>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</si>
  <si>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</si>
  <si>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</si>
  <si>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</si>
  <si>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</si>
  <si>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</si>
  <si>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</si>
  <si>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</si>
  <si>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</si>
  <si>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</si>
  <si>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</si>
  <si>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</si>
  <si>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</si>
  <si>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Employee Compensation</t>
  </si>
  <si>
    <t xml:space="preserve">figure from the BEA (io-model/BECbIC) by the number of employees, adjusting for the </t>
  </si>
  <si>
    <t>change in cost per hour worked.</t>
  </si>
  <si>
    <t>We start with the total compensation number from the Bureau of Economic Analysis in</t>
  </si>
  <si>
    <t>the input-output segment of the model (io-model/BECbIC), to ensure our assumptions are aligned.</t>
  </si>
  <si>
    <t>BEA</t>
  </si>
  <si>
    <t>Components of Value Added by Industry</t>
  </si>
  <si>
    <t>https://www.bea.gov/itable/gdp-by-industry</t>
  </si>
  <si>
    <t>Interactive Data Tables &gt; Value Added &gt; Components</t>
  </si>
  <si>
    <t>https://www.census.gov/data/tables/2023/demo/popproj/2023-summary-tables.html</t>
  </si>
  <si>
    <t>2023 National Population Projections Datasets</t>
  </si>
  <si>
    <t>2004 to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</si>
</sst>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yyyy\-mm\-dd"/>
    <numFmt numFmtId="165" formatCode="0.0"/>
    <numFmt numFmtId="166" formatCode="0.0%"/>
    <numFmt numFmtId="168" formatCode="#0.0"/>
    <numFmt numFmtId="169" formatCode="#0.00"/>
    <numFmt numFmtId="174" formatCode="0.000E+00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b/>
      <sz val="12"/>
      <color indexed="8"/>
      <name val="Arial"/>
      <family val="2"/>
    </font>
    <font>
      <i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vertAlign val="superscript"/>
      <sz val="10"/>
      <name val="Arial"/>
      <family val="2"/>
    </font>
    <font>
      <b/>
      <vertAlign val="superscript"/>
      <sz val="10"/>
      <color indexed="8"/>
      <name val="Arial"/>
      <family val="2"/>
    </font>
    <font>
      <b/>
      <sz val="10"/>
      <color theme="1"/>
      <name val="Calibri"/>
      <family val="2"/>
    </font>
    <font>
      <sz val="10"/>
      <color theme="0"/>
      <name val="arial"/>
      <family val="2"/>
    </font>
    <font>
      <sz val="11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sz val="10"/>
      <color indexed="9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indexed="9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thick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64"/>
      </bottom>
      <diagonal/>
    </border>
    <border>
      <left/>
      <right style="thin">
        <color indexed="0"/>
      </right>
      <top/>
      <bottom style="thin">
        <color indexed="64"/>
      </bottom>
      <diagonal/>
    </border>
    <border>
      <left style="thin">
        <color indexed="0"/>
      </left>
      <right/>
      <top/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/>
      <diagonal/>
    </border>
    <border>
      <left/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  <border>
      <left/>
      <right style="thin">
        <color indexed="0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/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 style="thin">
        <color indexed="64"/>
      </top>
      <bottom/>
      <diagonal/>
    </border>
    <border>
      <left/>
      <right style="thin">
        <color indexed="0"/>
      </right>
      <top style="thin">
        <color indexed="64"/>
      </top>
      <bottom/>
      <diagonal/>
    </border>
    <border>
      <left style="thin">
        <color indexed="0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  <xf numFmtId="0" fontId="5" fillId="0" borderId="0"/>
  </cellStyleXfs>
  <cellXfs count="98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applyAlignment="1">
      <alignment horizontal="left"/>
    </xf>
    <xf numFmtId="0" fontId="3" fillId="0" borderId="0" xfId="2"/>
    <xf numFmtId="164" fontId="0" fillId="0" borderId="0" xfId="0" applyNumberFormat="1"/>
    <xf numFmtId="165" fontId="0" fillId="0" borderId="0" xfId="0" applyNumberFormat="1"/>
    <xf numFmtId="14" fontId="0" fillId="3" borderId="0" xfId="0" applyNumberFormat="1" applyFill="1"/>
    <xf numFmtId="166" fontId="0" fillId="4" borderId="0" xfId="1" applyNumberFormat="1" applyFont="1" applyFill="1"/>
    <xf numFmtId="0" fontId="0" fillId="2" borderId="0" xfId="0" applyFill="1"/>
    <xf numFmtId="11" fontId="0" fillId="0" borderId="0" xfId="0" applyNumberFormat="1"/>
    <xf numFmtId="0" fontId="0" fillId="0" borderId="0" xfId="0" applyAlignment="1">
      <alignment wrapText="1"/>
    </xf>
    <xf numFmtId="0" fontId="5" fillId="0" borderId="0" xfId="4"/>
    <xf numFmtId="168" fontId="6" fillId="0" borderId="0" xfId="4" applyNumberFormat="1" applyFont="1" applyAlignment="1">
      <alignment horizontal="right"/>
    </xf>
    <xf numFmtId="0" fontId="7" fillId="0" borderId="0" xfId="4" applyFont="1" applyAlignment="1">
      <alignment horizontal="left"/>
    </xf>
    <xf numFmtId="0" fontId="7" fillId="0" borderId="1" xfId="4" applyFont="1" applyBorder="1" applyAlignment="1">
      <alignment horizontal="right" wrapText="1"/>
    </xf>
    <xf numFmtId="0" fontId="7" fillId="0" borderId="1" xfId="4" applyFont="1" applyBorder="1" applyAlignment="1">
      <alignment horizontal="left" wrapText="1"/>
    </xf>
    <xf numFmtId="0" fontId="7" fillId="0" borderId="0" xfId="4" applyFont="1" applyAlignment="1">
      <alignment horizontal="left" vertical="top" wrapText="1"/>
    </xf>
    <xf numFmtId="169" fontId="6" fillId="0" borderId="0" xfId="4" applyNumberFormat="1" applyFont="1" applyAlignment="1">
      <alignment horizontal="right"/>
    </xf>
    <xf numFmtId="166" fontId="0" fillId="0" borderId="0" xfId="1" applyNumberFormat="1" applyFont="1"/>
    <xf numFmtId="10" fontId="0" fillId="0" borderId="0" xfId="1" applyNumberFormat="1" applyFont="1"/>
    <xf numFmtId="0" fontId="9" fillId="0" borderId="0" xfId="0" applyFont="1"/>
    <xf numFmtId="10" fontId="2" fillId="0" borderId="0" xfId="1" applyNumberFormat="1" applyFont="1" applyFill="1"/>
    <xf numFmtId="11" fontId="0" fillId="4" borderId="0" xfId="0" applyNumberFormat="1" applyFill="1"/>
    <xf numFmtId="0" fontId="6" fillId="0" borderId="0" xfId="4" applyFont="1" applyAlignment="1">
      <alignment horizontal="left" vertical="top" wrapText="1"/>
    </xf>
    <xf numFmtId="0" fontId="5" fillId="0" borderId="0" xfId="4"/>
    <xf numFmtId="0" fontId="6" fillId="0" borderId="0" xfId="4" applyFont="1" applyAlignment="1">
      <alignment horizontal="left"/>
    </xf>
    <xf numFmtId="0" fontId="8" fillId="0" borderId="0" xfId="4" applyFont="1" applyAlignment="1">
      <alignment horizontal="left"/>
    </xf>
    <xf numFmtId="0" fontId="10" fillId="0" borderId="0" xfId="0" applyFont="1" applyProtection="1">
      <protection locked="0"/>
    </xf>
    <xf numFmtId="0" fontId="10" fillId="5" borderId="2" xfId="0" applyFont="1" applyFill="1" applyBorder="1" applyProtection="1">
      <protection locked="0"/>
    </xf>
    <xf numFmtId="0" fontId="10" fillId="5" borderId="3" xfId="0" applyFont="1" applyFill="1" applyBorder="1" applyProtection="1">
      <protection locked="0"/>
    </xf>
    <xf numFmtId="0" fontId="10" fillId="5" borderId="4" xfId="0" applyFont="1" applyFill="1" applyBorder="1" applyAlignment="1" applyProtection="1">
      <alignment vertical="center"/>
      <protection locked="0"/>
    </xf>
    <xf numFmtId="0" fontId="10" fillId="5" borderId="5" xfId="0" applyFont="1" applyFill="1" applyBorder="1" applyAlignment="1" applyProtection="1">
      <alignment vertical="center"/>
      <protection locked="0"/>
    </xf>
    <xf numFmtId="0" fontId="10" fillId="5" borderId="0" xfId="0" applyFont="1" applyFill="1" applyAlignment="1" applyProtection="1">
      <alignment vertical="center"/>
      <protection locked="0"/>
    </xf>
    <xf numFmtId="0" fontId="10" fillId="5" borderId="6" xfId="0" applyFont="1" applyFill="1" applyBorder="1" applyAlignment="1" applyProtection="1">
      <alignment vertical="center"/>
      <protection locked="0"/>
    </xf>
    <xf numFmtId="0" fontId="11" fillId="0" borderId="0" xfId="0" applyFont="1" applyProtection="1">
      <protection locked="0"/>
    </xf>
    <xf numFmtId="0" fontId="11" fillId="5" borderId="7" xfId="0" applyFont="1" applyFill="1" applyBorder="1" applyAlignment="1" applyProtection="1">
      <alignment vertical="center"/>
      <protection locked="0"/>
    </xf>
    <xf numFmtId="0" fontId="11" fillId="5" borderId="8" xfId="0" applyFont="1" applyFill="1" applyBorder="1" applyAlignment="1" applyProtection="1">
      <alignment vertical="center"/>
      <protection locked="0"/>
    </xf>
    <xf numFmtId="0" fontId="10" fillId="5" borderId="9" xfId="0" applyFont="1" applyFill="1" applyBorder="1" applyAlignment="1" applyProtection="1">
      <alignment vertical="center"/>
      <protection locked="0"/>
    </xf>
    <xf numFmtId="3" fontId="10" fillId="5" borderId="13" xfId="0" applyNumberFormat="1" applyFont="1" applyFill="1" applyBorder="1" applyAlignment="1" applyProtection="1">
      <alignment horizontal="right"/>
      <protection locked="0"/>
    </xf>
    <xf numFmtId="3" fontId="10" fillId="5" borderId="14" xfId="0" applyNumberFormat="1" applyFont="1" applyFill="1" applyBorder="1" applyAlignment="1" applyProtection="1">
      <alignment horizontal="right"/>
      <protection locked="0"/>
    </xf>
    <xf numFmtId="3" fontId="10" fillId="5" borderId="3" xfId="0" applyNumberFormat="1" applyFont="1" applyFill="1" applyBorder="1" applyAlignment="1" applyProtection="1">
      <alignment horizontal="right"/>
      <protection locked="0"/>
    </xf>
    <xf numFmtId="2" fontId="10" fillId="5" borderId="2" xfId="0" applyNumberFormat="1" applyFont="1" applyFill="1" applyBorder="1" applyAlignment="1" applyProtection="1">
      <alignment horizontal="right"/>
      <protection locked="0"/>
    </xf>
    <xf numFmtId="3" fontId="10" fillId="5" borderId="15" xfId="0" applyNumberFormat="1" applyFont="1" applyFill="1" applyBorder="1" applyAlignment="1" applyProtection="1">
      <alignment horizontal="right"/>
      <protection locked="0"/>
    </xf>
    <xf numFmtId="0" fontId="10" fillId="5" borderId="13" xfId="0" applyFont="1" applyFill="1" applyBorder="1" applyAlignment="1" applyProtection="1">
      <alignment horizontal="center"/>
      <protection locked="0"/>
    </xf>
    <xf numFmtId="3" fontId="10" fillId="0" borderId="16" xfId="0" applyNumberFormat="1" applyFont="1" applyBorder="1" applyAlignment="1" applyProtection="1">
      <alignment horizontal="right"/>
      <protection locked="0"/>
    </xf>
    <xf numFmtId="3" fontId="10" fillId="0" borderId="17" xfId="0" applyNumberFormat="1" applyFont="1" applyBorder="1" applyAlignment="1" applyProtection="1">
      <alignment horizontal="right"/>
      <protection locked="0"/>
    </xf>
    <xf numFmtId="3" fontId="10" fillId="0" borderId="0" xfId="0" applyNumberFormat="1" applyFont="1" applyAlignment="1" applyProtection="1">
      <alignment horizontal="right"/>
      <protection locked="0"/>
    </xf>
    <xf numFmtId="2" fontId="10" fillId="0" borderId="5" xfId="0" applyNumberFormat="1" applyFont="1" applyBorder="1" applyAlignment="1" applyProtection="1">
      <alignment horizontal="right"/>
      <protection locked="0"/>
    </xf>
    <xf numFmtId="3" fontId="10" fillId="0" borderId="18" xfId="0" applyNumberFormat="1" applyFont="1" applyBorder="1" applyAlignment="1" applyProtection="1">
      <alignment horizontal="right"/>
      <protection locked="0"/>
    </xf>
    <xf numFmtId="0" fontId="10" fillId="0" borderId="16" xfId="0" applyFont="1" applyBorder="1" applyAlignment="1" applyProtection="1">
      <alignment horizontal="center"/>
      <protection locked="0"/>
    </xf>
    <xf numFmtId="3" fontId="10" fillId="5" borderId="16" xfId="0" applyNumberFormat="1" applyFont="1" applyFill="1" applyBorder="1" applyAlignment="1" applyProtection="1">
      <alignment horizontal="right"/>
      <protection locked="0"/>
    </xf>
    <xf numFmtId="3" fontId="10" fillId="5" borderId="17" xfId="0" applyNumberFormat="1" applyFont="1" applyFill="1" applyBorder="1" applyAlignment="1" applyProtection="1">
      <alignment horizontal="right"/>
      <protection locked="0"/>
    </xf>
    <xf numFmtId="3" fontId="10" fillId="5" borderId="0" xfId="0" applyNumberFormat="1" applyFont="1" applyFill="1" applyAlignment="1" applyProtection="1">
      <alignment horizontal="right"/>
      <protection locked="0"/>
    </xf>
    <xf numFmtId="2" fontId="10" fillId="5" borderId="5" xfId="0" applyNumberFormat="1" applyFont="1" applyFill="1" applyBorder="1" applyAlignment="1" applyProtection="1">
      <alignment horizontal="right"/>
      <protection locked="0"/>
    </xf>
    <xf numFmtId="3" fontId="10" fillId="5" borderId="18" xfId="0" applyNumberFormat="1" applyFont="1" applyFill="1" applyBorder="1" applyAlignment="1" applyProtection="1">
      <alignment horizontal="right"/>
      <protection locked="0"/>
    </xf>
    <xf numFmtId="0" fontId="10" fillId="5" borderId="16" xfId="0" applyFont="1" applyFill="1" applyBorder="1" applyAlignment="1" applyProtection="1">
      <alignment horizontal="center"/>
      <protection locked="0"/>
    </xf>
    <xf numFmtId="0" fontId="11" fillId="0" borderId="0" xfId="0" applyFont="1" applyAlignment="1" applyProtection="1">
      <alignment horizontal="center" vertical="center"/>
      <protection locked="0"/>
    </xf>
    <xf numFmtId="0" fontId="11" fillId="0" borderId="19" xfId="0" applyFont="1" applyBorder="1" applyAlignment="1" applyProtection="1">
      <alignment horizontal="center" vertical="center" wrapText="1"/>
      <protection locked="0"/>
    </xf>
    <xf numFmtId="0" fontId="11" fillId="0" borderId="20" xfId="0" applyFont="1" applyBorder="1" applyAlignment="1" applyProtection="1">
      <alignment horizontal="center" vertical="center" wrapText="1"/>
      <protection locked="0"/>
    </xf>
    <xf numFmtId="0" fontId="16" fillId="6" borderId="0" xfId="0" applyFont="1" applyFill="1" applyAlignment="1" applyProtection="1">
      <alignment horizontal="left" vertical="center"/>
      <protection locked="0"/>
    </xf>
    <xf numFmtId="14" fontId="0" fillId="0" borderId="0" xfId="0" applyNumberFormat="1"/>
    <xf numFmtId="0" fontId="11" fillId="0" borderId="8" xfId="0" applyFont="1" applyBorder="1" applyAlignment="1" applyProtection="1">
      <alignment vertical="center" wrapText="1"/>
      <protection locked="0"/>
    </xf>
    <xf numFmtId="0" fontId="11" fillId="0" borderId="3" xfId="0" applyFont="1" applyBorder="1" applyAlignment="1" applyProtection="1">
      <alignment vertical="center"/>
      <protection locked="0"/>
    </xf>
    <xf numFmtId="0" fontId="11" fillId="0" borderId="23" xfId="0" applyFont="1" applyBorder="1" applyAlignment="1" applyProtection="1">
      <alignment vertical="center" wrapText="1"/>
      <protection locked="0"/>
    </xf>
    <xf numFmtId="0" fontId="11" fillId="0" borderId="15" xfId="0" applyFont="1" applyBorder="1" applyAlignment="1" applyProtection="1">
      <alignment vertical="center"/>
      <protection locked="0"/>
    </xf>
    <xf numFmtId="0" fontId="11" fillId="0" borderId="20" xfId="0" applyFont="1" applyBorder="1" applyAlignment="1" applyProtection="1">
      <alignment vertical="center"/>
      <protection locked="0"/>
    </xf>
    <xf numFmtId="0" fontId="11" fillId="0" borderId="19" xfId="0" applyFont="1" applyBorder="1" applyAlignment="1" applyProtection="1">
      <alignment vertical="center"/>
      <protection locked="0"/>
    </xf>
    <xf numFmtId="0" fontId="4" fillId="0" borderId="12" xfId="0" applyFont="1" applyBorder="1" applyAlignment="1" applyProtection="1">
      <alignment vertical="center" wrapText="1"/>
      <protection locked="0"/>
    </xf>
    <xf numFmtId="0" fontId="4" fillId="0" borderId="11" xfId="0" applyFont="1" applyBorder="1" applyAlignment="1" applyProtection="1">
      <alignment vertical="center" wrapText="1"/>
      <protection locked="0"/>
    </xf>
    <xf numFmtId="0" fontId="4" fillId="0" borderId="10" xfId="0" applyFont="1" applyBorder="1" applyAlignment="1" applyProtection="1">
      <alignment vertical="center" wrapText="1"/>
      <protection locked="0"/>
    </xf>
    <xf numFmtId="0" fontId="10" fillId="5" borderId="6" xfId="0" applyFont="1" applyFill="1" applyBorder="1" applyAlignment="1" applyProtection="1">
      <alignment vertical="center" wrapText="1"/>
      <protection locked="0"/>
    </xf>
    <xf numFmtId="0" fontId="10" fillId="5" borderId="0" xfId="0" applyFont="1" applyFill="1" applyAlignment="1" applyProtection="1">
      <alignment vertical="center" wrapText="1"/>
      <protection locked="0"/>
    </xf>
    <xf numFmtId="0" fontId="10" fillId="5" borderId="5" xfId="0" applyFont="1" applyFill="1" applyBorder="1" applyAlignment="1" applyProtection="1">
      <alignment vertical="center" wrapText="1"/>
      <protection locked="0"/>
    </xf>
    <xf numFmtId="0" fontId="11" fillId="0" borderId="21" xfId="0" applyFont="1" applyBorder="1" applyAlignment="1" applyProtection="1">
      <alignment vertical="center" wrapText="1"/>
      <protection locked="0"/>
    </xf>
    <xf numFmtId="0" fontId="11" fillId="0" borderId="13" xfId="0" applyFont="1" applyBorder="1" applyAlignment="1" applyProtection="1">
      <alignment vertical="center"/>
      <protection locked="0"/>
    </xf>
    <xf numFmtId="0" fontId="15" fillId="6" borderId="3" xfId="0" applyFont="1" applyFill="1" applyBorder="1" applyAlignment="1" applyProtection="1">
      <alignment vertical="center"/>
      <protection locked="0"/>
    </xf>
    <xf numFmtId="0" fontId="15" fillId="6" borderId="13" xfId="0" applyFont="1" applyFill="1" applyBorder="1" applyAlignment="1" applyProtection="1">
      <alignment vertical="center"/>
      <protection locked="0"/>
    </xf>
    <xf numFmtId="0" fontId="15" fillId="6" borderId="15" xfId="0" applyFont="1" applyFill="1" applyBorder="1" applyAlignment="1" applyProtection="1">
      <alignment vertical="center"/>
      <protection locked="0"/>
    </xf>
    <xf numFmtId="0" fontId="18" fillId="6" borderId="0" xfId="0" applyFont="1" applyFill="1" applyAlignment="1" applyProtection="1">
      <alignment vertical="center"/>
      <protection locked="0"/>
    </xf>
    <xf numFmtId="0" fontId="17" fillId="6" borderId="0" xfId="0" applyFont="1" applyFill="1" applyAlignment="1" applyProtection="1">
      <alignment vertical="center"/>
      <protection locked="0"/>
    </xf>
    <xf numFmtId="0" fontId="12" fillId="0" borderId="12" xfId="0" applyFont="1" applyBorder="1" applyAlignment="1" applyProtection="1">
      <alignment vertical="center" wrapText="1"/>
      <protection locked="0"/>
    </xf>
    <xf numFmtId="0" fontId="12" fillId="0" borderId="11" xfId="0" applyFont="1" applyBorder="1" applyAlignment="1" applyProtection="1">
      <alignment vertical="center" wrapText="1"/>
      <protection locked="0"/>
    </xf>
    <xf numFmtId="0" fontId="12" fillId="0" borderId="10" xfId="0" applyFont="1" applyBorder="1" applyAlignment="1" applyProtection="1">
      <alignment vertical="center" wrapText="1"/>
      <protection locked="0"/>
    </xf>
    <xf numFmtId="0" fontId="11" fillId="0" borderId="22" xfId="0" applyFont="1" applyBorder="1" applyAlignment="1" applyProtection="1">
      <alignment vertical="center" wrapText="1"/>
      <protection locked="0"/>
    </xf>
    <xf numFmtId="0" fontId="11" fillId="0" borderId="14" xfId="0" applyFont="1" applyBorder="1" applyAlignment="1" applyProtection="1">
      <alignment vertical="center"/>
      <protection locked="0"/>
    </xf>
    <xf numFmtId="0" fontId="19" fillId="7" borderId="0" xfId="0" applyFont="1" applyFill="1" applyAlignment="1" applyProtection="1">
      <alignment vertical="center"/>
      <protection locked="0"/>
    </xf>
    <xf numFmtId="0" fontId="9" fillId="0" borderId="0" xfId="0" applyFont="1" applyAlignment="1">
      <alignment horizontal="left"/>
    </xf>
    <xf numFmtId="0" fontId="0" fillId="0" borderId="0" xfId="0" applyAlignment="1">
      <alignment horizontal="right"/>
    </xf>
    <xf numFmtId="0" fontId="0" fillId="0" borderId="24" xfId="0" applyBorder="1" applyAlignment="1">
      <alignment horizontal="right"/>
    </xf>
    <xf numFmtId="0" fontId="0" fillId="0" borderId="25" xfId="0" applyBorder="1" applyAlignment="1">
      <alignment horizontal="right"/>
    </xf>
    <xf numFmtId="0" fontId="0" fillId="0" borderId="26" xfId="0" applyBorder="1" applyAlignment="1">
      <alignment horizontal="right"/>
    </xf>
    <xf numFmtId="11" fontId="0" fillId="3" borderId="27" xfId="0" applyNumberFormat="1" applyFill="1" applyBorder="1"/>
    <xf numFmtId="11" fontId="0" fillId="0" borderId="28" xfId="0" applyNumberFormat="1" applyBorder="1"/>
    <xf numFmtId="11" fontId="0" fillId="3" borderId="0" xfId="0" applyNumberFormat="1" applyFill="1"/>
    <xf numFmtId="11" fontId="0" fillId="3" borderId="28" xfId="0" applyNumberFormat="1" applyFill="1" applyBorder="1"/>
    <xf numFmtId="0" fontId="0" fillId="3" borderId="0" xfId="0" applyFill="1"/>
    <xf numFmtId="174" fontId="0" fillId="0" borderId="0" xfId="0" applyNumberFormat="1"/>
  </cellXfs>
  <cellStyles count="5">
    <cellStyle name="Hyperlink" xfId="2" builtinId="8"/>
    <cellStyle name="Normal" xfId="0" builtinId="0"/>
    <cellStyle name="Normal 2" xfId="3" xr:uid="{60584C86-1C12-49F9-A2AE-BB99BAC4A6EC}"/>
    <cellStyle name="Normal 3" xfId="4" xr:uid="{B4C9DD1A-39F2-4630-9872-DFCC541C84AB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Employment-Pop Ratio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'Emp Pop Ratio'!$A$12:$A$947</c:f>
              <c:numCache>
                <c:formatCode>yyyy\-mm\-dd</c:formatCode>
                <c:ptCount val="936"/>
                <c:pt idx="0">
                  <c:v>17533</c:v>
                </c:pt>
                <c:pt idx="1">
                  <c:v>17564</c:v>
                </c:pt>
                <c:pt idx="2">
                  <c:v>17593</c:v>
                </c:pt>
                <c:pt idx="3">
                  <c:v>17624</c:v>
                </c:pt>
                <c:pt idx="4">
                  <c:v>17654</c:v>
                </c:pt>
                <c:pt idx="5">
                  <c:v>17685</c:v>
                </c:pt>
                <c:pt idx="6">
                  <c:v>17715</c:v>
                </c:pt>
                <c:pt idx="7">
                  <c:v>17746</c:v>
                </c:pt>
                <c:pt idx="8">
                  <c:v>17777</c:v>
                </c:pt>
                <c:pt idx="9">
                  <c:v>17807</c:v>
                </c:pt>
                <c:pt idx="10">
                  <c:v>17838</c:v>
                </c:pt>
                <c:pt idx="11">
                  <c:v>17868</c:v>
                </c:pt>
                <c:pt idx="12">
                  <c:v>17899</c:v>
                </c:pt>
                <c:pt idx="13">
                  <c:v>17930</c:v>
                </c:pt>
                <c:pt idx="14">
                  <c:v>17958</c:v>
                </c:pt>
                <c:pt idx="15">
                  <c:v>17989</c:v>
                </c:pt>
                <c:pt idx="16">
                  <c:v>18019</c:v>
                </c:pt>
                <c:pt idx="17">
                  <c:v>18050</c:v>
                </c:pt>
                <c:pt idx="18">
                  <c:v>18080</c:v>
                </c:pt>
                <c:pt idx="19">
                  <c:v>18111</c:v>
                </c:pt>
                <c:pt idx="20">
                  <c:v>18142</c:v>
                </c:pt>
                <c:pt idx="21">
                  <c:v>18172</c:v>
                </c:pt>
                <c:pt idx="22">
                  <c:v>18203</c:v>
                </c:pt>
                <c:pt idx="23">
                  <c:v>18233</c:v>
                </c:pt>
                <c:pt idx="24">
                  <c:v>18264</c:v>
                </c:pt>
                <c:pt idx="25">
                  <c:v>18295</c:v>
                </c:pt>
                <c:pt idx="26">
                  <c:v>18323</c:v>
                </c:pt>
                <c:pt idx="27">
                  <c:v>18354</c:v>
                </c:pt>
                <c:pt idx="28">
                  <c:v>18384</c:v>
                </c:pt>
                <c:pt idx="29">
                  <c:v>18415</c:v>
                </c:pt>
                <c:pt idx="30">
                  <c:v>18445</c:v>
                </c:pt>
                <c:pt idx="31">
                  <c:v>18476</c:v>
                </c:pt>
                <c:pt idx="32">
                  <c:v>18507</c:v>
                </c:pt>
                <c:pt idx="33">
                  <c:v>18537</c:v>
                </c:pt>
                <c:pt idx="34">
                  <c:v>18568</c:v>
                </c:pt>
                <c:pt idx="35">
                  <c:v>18598</c:v>
                </c:pt>
                <c:pt idx="36">
                  <c:v>18629</c:v>
                </c:pt>
                <c:pt idx="37">
                  <c:v>18660</c:v>
                </c:pt>
                <c:pt idx="38">
                  <c:v>18688</c:v>
                </c:pt>
                <c:pt idx="39">
                  <c:v>18719</c:v>
                </c:pt>
                <c:pt idx="40">
                  <c:v>18749</c:v>
                </c:pt>
                <c:pt idx="41">
                  <c:v>18780</c:v>
                </c:pt>
                <c:pt idx="42">
                  <c:v>18810</c:v>
                </c:pt>
                <c:pt idx="43">
                  <c:v>18841</c:v>
                </c:pt>
                <c:pt idx="44">
                  <c:v>18872</c:v>
                </c:pt>
                <c:pt idx="45">
                  <c:v>18902</c:v>
                </c:pt>
                <c:pt idx="46">
                  <c:v>18933</c:v>
                </c:pt>
                <c:pt idx="47">
                  <c:v>18963</c:v>
                </c:pt>
                <c:pt idx="48">
                  <c:v>18994</c:v>
                </c:pt>
                <c:pt idx="49">
                  <c:v>19025</c:v>
                </c:pt>
                <c:pt idx="50">
                  <c:v>19054</c:v>
                </c:pt>
                <c:pt idx="51">
                  <c:v>19085</c:v>
                </c:pt>
                <c:pt idx="52">
                  <c:v>19115</c:v>
                </c:pt>
                <c:pt idx="53">
                  <c:v>19146</c:v>
                </c:pt>
                <c:pt idx="54">
                  <c:v>19176</c:v>
                </c:pt>
                <c:pt idx="55">
                  <c:v>19207</c:v>
                </c:pt>
                <c:pt idx="56">
                  <c:v>19238</c:v>
                </c:pt>
                <c:pt idx="57">
                  <c:v>19268</c:v>
                </c:pt>
                <c:pt idx="58">
                  <c:v>19299</c:v>
                </c:pt>
                <c:pt idx="59">
                  <c:v>19329</c:v>
                </c:pt>
                <c:pt idx="60">
                  <c:v>19360</c:v>
                </c:pt>
                <c:pt idx="61">
                  <c:v>19391</c:v>
                </c:pt>
                <c:pt idx="62">
                  <c:v>19419</c:v>
                </c:pt>
                <c:pt idx="63">
                  <c:v>19450</c:v>
                </c:pt>
                <c:pt idx="64">
                  <c:v>19480</c:v>
                </c:pt>
                <c:pt idx="65">
                  <c:v>19511</c:v>
                </c:pt>
                <c:pt idx="66">
                  <c:v>19541</c:v>
                </c:pt>
                <c:pt idx="67">
                  <c:v>19572</c:v>
                </c:pt>
                <c:pt idx="68">
                  <c:v>19603</c:v>
                </c:pt>
                <c:pt idx="69">
                  <c:v>19633</c:v>
                </c:pt>
                <c:pt idx="70">
                  <c:v>19664</c:v>
                </c:pt>
                <c:pt idx="71">
                  <c:v>19694</c:v>
                </c:pt>
                <c:pt idx="72">
                  <c:v>19725</c:v>
                </c:pt>
                <c:pt idx="73">
                  <c:v>19756</c:v>
                </c:pt>
                <c:pt idx="74">
                  <c:v>19784</c:v>
                </c:pt>
                <c:pt idx="75">
                  <c:v>19815</c:v>
                </c:pt>
                <c:pt idx="76">
                  <c:v>19845</c:v>
                </c:pt>
                <c:pt idx="77">
                  <c:v>19876</c:v>
                </c:pt>
                <c:pt idx="78">
                  <c:v>19906</c:v>
                </c:pt>
                <c:pt idx="79">
                  <c:v>19937</c:v>
                </c:pt>
                <c:pt idx="80">
                  <c:v>19968</c:v>
                </c:pt>
                <c:pt idx="81">
                  <c:v>19998</c:v>
                </c:pt>
                <c:pt idx="82">
                  <c:v>20029</c:v>
                </c:pt>
                <c:pt idx="83">
                  <c:v>20059</c:v>
                </c:pt>
                <c:pt idx="84">
                  <c:v>20090</c:v>
                </c:pt>
                <c:pt idx="85">
                  <c:v>20121</c:v>
                </c:pt>
                <c:pt idx="86">
                  <c:v>20149</c:v>
                </c:pt>
                <c:pt idx="87">
                  <c:v>20180</c:v>
                </c:pt>
                <c:pt idx="88">
                  <c:v>20210</c:v>
                </c:pt>
                <c:pt idx="89">
                  <c:v>20241</c:v>
                </c:pt>
                <c:pt idx="90">
                  <c:v>20271</c:v>
                </c:pt>
                <c:pt idx="91">
                  <c:v>20302</c:v>
                </c:pt>
                <c:pt idx="92">
                  <c:v>20333</c:v>
                </c:pt>
                <c:pt idx="93">
                  <c:v>20363</c:v>
                </c:pt>
                <c:pt idx="94">
                  <c:v>20394</c:v>
                </c:pt>
                <c:pt idx="95">
                  <c:v>20424</c:v>
                </c:pt>
                <c:pt idx="96">
                  <c:v>20455</c:v>
                </c:pt>
                <c:pt idx="97">
                  <c:v>20486</c:v>
                </c:pt>
                <c:pt idx="98">
                  <c:v>20515</c:v>
                </c:pt>
                <c:pt idx="99">
                  <c:v>20546</c:v>
                </c:pt>
                <c:pt idx="100">
                  <c:v>20576</c:v>
                </c:pt>
                <c:pt idx="101">
                  <c:v>20607</c:v>
                </c:pt>
                <c:pt idx="102">
                  <c:v>20637</c:v>
                </c:pt>
                <c:pt idx="103">
                  <c:v>20668</c:v>
                </c:pt>
                <c:pt idx="104">
                  <c:v>20699</c:v>
                </c:pt>
                <c:pt idx="105">
                  <c:v>20729</c:v>
                </c:pt>
                <c:pt idx="106">
                  <c:v>20760</c:v>
                </c:pt>
                <c:pt idx="107">
                  <c:v>20790</c:v>
                </c:pt>
                <c:pt idx="108">
                  <c:v>20821</c:v>
                </c:pt>
                <c:pt idx="109">
                  <c:v>20852</c:v>
                </c:pt>
                <c:pt idx="110">
                  <c:v>20880</c:v>
                </c:pt>
                <c:pt idx="111">
                  <c:v>20911</c:v>
                </c:pt>
                <c:pt idx="112">
                  <c:v>20941</c:v>
                </c:pt>
                <c:pt idx="113">
                  <c:v>20972</c:v>
                </c:pt>
                <c:pt idx="114">
                  <c:v>21002</c:v>
                </c:pt>
                <c:pt idx="115">
                  <c:v>21033</c:v>
                </c:pt>
                <c:pt idx="116">
                  <c:v>21064</c:v>
                </c:pt>
                <c:pt idx="117">
                  <c:v>21094</c:v>
                </c:pt>
                <c:pt idx="118">
                  <c:v>21125</c:v>
                </c:pt>
                <c:pt idx="119">
                  <c:v>21155</c:v>
                </c:pt>
                <c:pt idx="120">
                  <c:v>21186</c:v>
                </c:pt>
                <c:pt idx="121">
                  <c:v>21217</c:v>
                </c:pt>
                <c:pt idx="122">
                  <c:v>21245</c:v>
                </c:pt>
                <c:pt idx="123">
                  <c:v>21276</c:v>
                </c:pt>
                <c:pt idx="124">
                  <c:v>21306</c:v>
                </c:pt>
                <c:pt idx="125">
                  <c:v>21337</c:v>
                </c:pt>
                <c:pt idx="126">
                  <c:v>21367</c:v>
                </c:pt>
                <c:pt idx="127">
                  <c:v>21398</c:v>
                </c:pt>
                <c:pt idx="128">
                  <c:v>21429</c:v>
                </c:pt>
                <c:pt idx="129">
                  <c:v>21459</c:v>
                </c:pt>
                <c:pt idx="130">
                  <c:v>21490</c:v>
                </c:pt>
                <c:pt idx="131">
                  <c:v>21520</c:v>
                </c:pt>
                <c:pt idx="132">
                  <c:v>21551</c:v>
                </c:pt>
                <c:pt idx="133">
                  <c:v>21582</c:v>
                </c:pt>
                <c:pt idx="134">
                  <c:v>21610</c:v>
                </c:pt>
                <c:pt idx="135">
                  <c:v>21641</c:v>
                </c:pt>
                <c:pt idx="136">
                  <c:v>21671</c:v>
                </c:pt>
                <c:pt idx="137">
                  <c:v>21702</c:v>
                </c:pt>
                <c:pt idx="138">
                  <c:v>21732</c:v>
                </c:pt>
                <c:pt idx="139">
                  <c:v>21763</c:v>
                </c:pt>
                <c:pt idx="140">
                  <c:v>21794</c:v>
                </c:pt>
                <c:pt idx="141">
                  <c:v>21824</c:v>
                </c:pt>
                <c:pt idx="142">
                  <c:v>21855</c:v>
                </c:pt>
                <c:pt idx="143">
                  <c:v>21885</c:v>
                </c:pt>
                <c:pt idx="144">
                  <c:v>21916</c:v>
                </c:pt>
                <c:pt idx="145">
                  <c:v>21947</c:v>
                </c:pt>
                <c:pt idx="146">
                  <c:v>21976</c:v>
                </c:pt>
                <c:pt idx="147">
                  <c:v>22007</c:v>
                </c:pt>
                <c:pt idx="148">
                  <c:v>22037</c:v>
                </c:pt>
                <c:pt idx="149">
                  <c:v>22068</c:v>
                </c:pt>
                <c:pt idx="150">
                  <c:v>22098</c:v>
                </c:pt>
                <c:pt idx="151">
                  <c:v>22129</c:v>
                </c:pt>
                <c:pt idx="152">
                  <c:v>22160</c:v>
                </c:pt>
                <c:pt idx="153">
                  <c:v>22190</c:v>
                </c:pt>
                <c:pt idx="154">
                  <c:v>22221</c:v>
                </c:pt>
                <c:pt idx="155">
                  <c:v>22251</c:v>
                </c:pt>
                <c:pt idx="156">
                  <c:v>22282</c:v>
                </c:pt>
                <c:pt idx="157">
                  <c:v>22313</c:v>
                </c:pt>
                <c:pt idx="158">
                  <c:v>22341</c:v>
                </c:pt>
                <c:pt idx="159">
                  <c:v>22372</c:v>
                </c:pt>
                <c:pt idx="160">
                  <c:v>22402</c:v>
                </c:pt>
                <c:pt idx="161">
                  <c:v>22433</c:v>
                </c:pt>
                <c:pt idx="162">
                  <c:v>22463</c:v>
                </c:pt>
                <c:pt idx="163">
                  <c:v>22494</c:v>
                </c:pt>
                <c:pt idx="164">
                  <c:v>22525</c:v>
                </c:pt>
                <c:pt idx="165">
                  <c:v>22555</c:v>
                </c:pt>
                <c:pt idx="166">
                  <c:v>22586</c:v>
                </c:pt>
                <c:pt idx="167">
                  <c:v>22616</c:v>
                </c:pt>
                <c:pt idx="168">
                  <c:v>22647</c:v>
                </c:pt>
                <c:pt idx="169">
                  <c:v>22678</c:v>
                </c:pt>
                <c:pt idx="170">
                  <c:v>22706</c:v>
                </c:pt>
                <c:pt idx="171">
                  <c:v>22737</c:v>
                </c:pt>
                <c:pt idx="172">
                  <c:v>22767</c:v>
                </c:pt>
                <c:pt idx="173">
                  <c:v>22798</c:v>
                </c:pt>
                <c:pt idx="174">
                  <c:v>22828</c:v>
                </c:pt>
                <c:pt idx="175">
                  <c:v>22859</c:v>
                </c:pt>
                <c:pt idx="176">
                  <c:v>22890</c:v>
                </c:pt>
                <c:pt idx="177">
                  <c:v>22920</c:v>
                </c:pt>
                <c:pt idx="178">
                  <c:v>22951</c:v>
                </c:pt>
                <c:pt idx="179">
                  <c:v>22981</c:v>
                </c:pt>
                <c:pt idx="180">
                  <c:v>23012</c:v>
                </c:pt>
                <c:pt idx="181">
                  <c:v>23043</c:v>
                </c:pt>
                <c:pt idx="182">
                  <c:v>23071</c:v>
                </c:pt>
                <c:pt idx="183">
                  <c:v>23102</c:v>
                </c:pt>
                <c:pt idx="184">
                  <c:v>23132</c:v>
                </c:pt>
                <c:pt idx="185">
                  <c:v>23163</c:v>
                </c:pt>
                <c:pt idx="186">
                  <c:v>23193</c:v>
                </c:pt>
                <c:pt idx="187">
                  <c:v>23224</c:v>
                </c:pt>
                <c:pt idx="188">
                  <c:v>23255</c:v>
                </c:pt>
                <c:pt idx="189">
                  <c:v>23285</c:v>
                </c:pt>
                <c:pt idx="190">
                  <c:v>23316</c:v>
                </c:pt>
                <c:pt idx="191">
                  <c:v>23346</c:v>
                </c:pt>
                <c:pt idx="192">
                  <c:v>23377</c:v>
                </c:pt>
                <c:pt idx="193">
                  <c:v>23408</c:v>
                </c:pt>
                <c:pt idx="194">
                  <c:v>23437</c:v>
                </c:pt>
                <c:pt idx="195">
                  <c:v>23468</c:v>
                </c:pt>
                <c:pt idx="196">
                  <c:v>23498</c:v>
                </c:pt>
                <c:pt idx="197">
                  <c:v>23529</c:v>
                </c:pt>
                <c:pt idx="198">
                  <c:v>23559</c:v>
                </c:pt>
                <c:pt idx="199">
                  <c:v>23590</c:v>
                </c:pt>
                <c:pt idx="200">
                  <c:v>23621</c:v>
                </c:pt>
                <c:pt idx="201">
                  <c:v>23651</c:v>
                </c:pt>
                <c:pt idx="202">
                  <c:v>23682</c:v>
                </c:pt>
                <c:pt idx="203">
                  <c:v>23712</c:v>
                </c:pt>
                <c:pt idx="204">
                  <c:v>23743</c:v>
                </c:pt>
                <c:pt idx="205">
                  <c:v>23774</c:v>
                </c:pt>
                <c:pt idx="206">
                  <c:v>23802</c:v>
                </c:pt>
                <c:pt idx="207">
                  <c:v>23833</c:v>
                </c:pt>
                <c:pt idx="208">
                  <c:v>23863</c:v>
                </c:pt>
                <c:pt idx="209">
                  <c:v>23894</c:v>
                </c:pt>
                <c:pt idx="210">
                  <c:v>23924</c:v>
                </c:pt>
                <c:pt idx="211">
                  <c:v>23955</c:v>
                </c:pt>
                <c:pt idx="212">
                  <c:v>23986</c:v>
                </c:pt>
                <c:pt idx="213">
                  <c:v>24016</c:v>
                </c:pt>
                <c:pt idx="214">
                  <c:v>24047</c:v>
                </c:pt>
                <c:pt idx="215">
                  <c:v>24077</c:v>
                </c:pt>
                <c:pt idx="216">
                  <c:v>24108</c:v>
                </c:pt>
                <c:pt idx="217">
                  <c:v>24139</c:v>
                </c:pt>
                <c:pt idx="218">
                  <c:v>24167</c:v>
                </c:pt>
                <c:pt idx="219">
                  <c:v>24198</c:v>
                </c:pt>
                <c:pt idx="220">
                  <c:v>24228</c:v>
                </c:pt>
                <c:pt idx="221">
                  <c:v>24259</c:v>
                </c:pt>
                <c:pt idx="222">
                  <c:v>24289</c:v>
                </c:pt>
                <c:pt idx="223">
                  <c:v>24320</c:v>
                </c:pt>
                <c:pt idx="224">
                  <c:v>24351</c:v>
                </c:pt>
                <c:pt idx="225">
                  <c:v>24381</c:v>
                </c:pt>
                <c:pt idx="226">
                  <c:v>24412</c:v>
                </c:pt>
                <c:pt idx="227">
                  <c:v>24442</c:v>
                </c:pt>
                <c:pt idx="228">
                  <c:v>24473</c:v>
                </c:pt>
                <c:pt idx="229">
                  <c:v>24504</c:v>
                </c:pt>
                <c:pt idx="230">
                  <c:v>24532</c:v>
                </c:pt>
                <c:pt idx="231">
                  <c:v>24563</c:v>
                </c:pt>
                <c:pt idx="232">
                  <c:v>24593</c:v>
                </c:pt>
                <c:pt idx="233">
                  <c:v>24624</c:v>
                </c:pt>
                <c:pt idx="234">
                  <c:v>24654</c:v>
                </c:pt>
                <c:pt idx="235">
                  <c:v>24685</c:v>
                </c:pt>
                <c:pt idx="236">
                  <c:v>24716</c:v>
                </c:pt>
                <c:pt idx="237">
                  <c:v>24746</c:v>
                </c:pt>
                <c:pt idx="238">
                  <c:v>24777</c:v>
                </c:pt>
                <c:pt idx="239">
                  <c:v>24807</c:v>
                </c:pt>
                <c:pt idx="240">
                  <c:v>24838</c:v>
                </c:pt>
                <c:pt idx="241">
                  <c:v>24869</c:v>
                </c:pt>
                <c:pt idx="242">
                  <c:v>24898</c:v>
                </c:pt>
                <c:pt idx="243">
                  <c:v>24929</c:v>
                </c:pt>
                <c:pt idx="244">
                  <c:v>24959</c:v>
                </c:pt>
                <c:pt idx="245">
                  <c:v>24990</c:v>
                </c:pt>
                <c:pt idx="246">
                  <c:v>25020</c:v>
                </c:pt>
                <c:pt idx="247">
                  <c:v>25051</c:v>
                </c:pt>
                <c:pt idx="248">
                  <c:v>25082</c:v>
                </c:pt>
                <c:pt idx="249">
                  <c:v>25112</c:v>
                </c:pt>
                <c:pt idx="250">
                  <c:v>25143</c:v>
                </c:pt>
                <c:pt idx="251">
                  <c:v>25173</c:v>
                </c:pt>
                <c:pt idx="252">
                  <c:v>25204</c:v>
                </c:pt>
                <c:pt idx="253">
                  <c:v>25235</c:v>
                </c:pt>
                <c:pt idx="254">
                  <c:v>25263</c:v>
                </c:pt>
                <c:pt idx="255">
                  <c:v>25294</c:v>
                </c:pt>
                <c:pt idx="256">
                  <c:v>25324</c:v>
                </c:pt>
                <c:pt idx="257">
                  <c:v>25355</c:v>
                </c:pt>
                <c:pt idx="258">
                  <c:v>25385</c:v>
                </c:pt>
                <c:pt idx="259">
                  <c:v>25416</c:v>
                </c:pt>
                <c:pt idx="260">
                  <c:v>25447</c:v>
                </c:pt>
                <c:pt idx="261">
                  <c:v>25477</c:v>
                </c:pt>
                <c:pt idx="262">
                  <c:v>25508</c:v>
                </c:pt>
                <c:pt idx="263">
                  <c:v>25538</c:v>
                </c:pt>
                <c:pt idx="264">
                  <c:v>25569</c:v>
                </c:pt>
                <c:pt idx="265">
                  <c:v>25600</c:v>
                </c:pt>
                <c:pt idx="266">
                  <c:v>25628</c:v>
                </c:pt>
                <c:pt idx="267">
                  <c:v>25659</c:v>
                </c:pt>
                <c:pt idx="268">
                  <c:v>25689</c:v>
                </c:pt>
                <c:pt idx="269">
                  <c:v>25720</c:v>
                </c:pt>
                <c:pt idx="270">
                  <c:v>25750</c:v>
                </c:pt>
                <c:pt idx="271">
                  <c:v>25781</c:v>
                </c:pt>
                <c:pt idx="272">
                  <c:v>25812</c:v>
                </c:pt>
                <c:pt idx="273">
                  <c:v>25842</c:v>
                </c:pt>
                <c:pt idx="274">
                  <c:v>25873</c:v>
                </c:pt>
                <c:pt idx="275">
                  <c:v>25903</c:v>
                </c:pt>
                <c:pt idx="276">
                  <c:v>25934</c:v>
                </c:pt>
                <c:pt idx="277">
                  <c:v>25965</c:v>
                </c:pt>
                <c:pt idx="278">
                  <c:v>25993</c:v>
                </c:pt>
                <c:pt idx="279">
                  <c:v>26024</c:v>
                </c:pt>
                <c:pt idx="280">
                  <c:v>26054</c:v>
                </c:pt>
                <c:pt idx="281">
                  <c:v>26085</c:v>
                </c:pt>
                <c:pt idx="282">
                  <c:v>26115</c:v>
                </c:pt>
                <c:pt idx="283">
                  <c:v>26146</c:v>
                </c:pt>
                <c:pt idx="284">
                  <c:v>26177</c:v>
                </c:pt>
                <c:pt idx="285">
                  <c:v>26207</c:v>
                </c:pt>
                <c:pt idx="286">
                  <c:v>26238</c:v>
                </c:pt>
                <c:pt idx="287">
                  <c:v>26268</c:v>
                </c:pt>
                <c:pt idx="288">
                  <c:v>26299</c:v>
                </c:pt>
                <c:pt idx="289">
                  <c:v>26330</c:v>
                </c:pt>
                <c:pt idx="290">
                  <c:v>26359</c:v>
                </c:pt>
                <c:pt idx="291">
                  <c:v>26390</c:v>
                </c:pt>
                <c:pt idx="292">
                  <c:v>26420</c:v>
                </c:pt>
                <c:pt idx="293">
                  <c:v>26451</c:v>
                </c:pt>
                <c:pt idx="294">
                  <c:v>26481</c:v>
                </c:pt>
                <c:pt idx="295">
                  <c:v>26512</c:v>
                </c:pt>
                <c:pt idx="296">
                  <c:v>26543</c:v>
                </c:pt>
                <c:pt idx="297">
                  <c:v>26573</c:v>
                </c:pt>
                <c:pt idx="298">
                  <c:v>26604</c:v>
                </c:pt>
                <c:pt idx="299">
                  <c:v>26634</c:v>
                </c:pt>
                <c:pt idx="300">
                  <c:v>26665</c:v>
                </c:pt>
                <c:pt idx="301">
                  <c:v>26696</c:v>
                </c:pt>
                <c:pt idx="302">
                  <c:v>26724</c:v>
                </c:pt>
                <c:pt idx="303">
                  <c:v>26755</c:v>
                </c:pt>
                <c:pt idx="304">
                  <c:v>26785</c:v>
                </c:pt>
                <c:pt idx="305">
                  <c:v>26816</c:v>
                </c:pt>
                <c:pt idx="306">
                  <c:v>26846</c:v>
                </c:pt>
                <c:pt idx="307">
                  <c:v>26877</c:v>
                </c:pt>
                <c:pt idx="308">
                  <c:v>26908</c:v>
                </c:pt>
                <c:pt idx="309">
                  <c:v>26938</c:v>
                </c:pt>
                <c:pt idx="310">
                  <c:v>26969</c:v>
                </c:pt>
                <c:pt idx="311">
                  <c:v>26999</c:v>
                </c:pt>
                <c:pt idx="312">
                  <c:v>27030</c:v>
                </c:pt>
                <c:pt idx="313">
                  <c:v>27061</c:v>
                </c:pt>
                <c:pt idx="314">
                  <c:v>27089</c:v>
                </c:pt>
                <c:pt idx="315">
                  <c:v>27120</c:v>
                </c:pt>
                <c:pt idx="316">
                  <c:v>27150</c:v>
                </c:pt>
                <c:pt idx="317">
                  <c:v>27181</c:v>
                </c:pt>
                <c:pt idx="318">
                  <c:v>27211</c:v>
                </c:pt>
                <c:pt idx="319">
                  <c:v>27242</c:v>
                </c:pt>
                <c:pt idx="320">
                  <c:v>27273</c:v>
                </c:pt>
                <c:pt idx="321">
                  <c:v>27303</c:v>
                </c:pt>
                <c:pt idx="322">
                  <c:v>27334</c:v>
                </c:pt>
                <c:pt idx="323">
                  <c:v>27364</c:v>
                </c:pt>
                <c:pt idx="324">
                  <c:v>27395</c:v>
                </c:pt>
                <c:pt idx="325">
                  <c:v>27426</c:v>
                </c:pt>
                <c:pt idx="326">
                  <c:v>27454</c:v>
                </c:pt>
                <c:pt idx="327">
                  <c:v>27485</c:v>
                </c:pt>
                <c:pt idx="328">
                  <c:v>27515</c:v>
                </c:pt>
                <c:pt idx="329">
                  <c:v>27546</c:v>
                </c:pt>
                <c:pt idx="330">
                  <c:v>27576</c:v>
                </c:pt>
                <c:pt idx="331">
                  <c:v>27607</c:v>
                </c:pt>
                <c:pt idx="332">
                  <c:v>27638</c:v>
                </c:pt>
                <c:pt idx="333">
                  <c:v>27668</c:v>
                </c:pt>
                <c:pt idx="334">
                  <c:v>27699</c:v>
                </c:pt>
                <c:pt idx="335">
                  <c:v>27729</c:v>
                </c:pt>
                <c:pt idx="336">
                  <c:v>27760</c:v>
                </c:pt>
                <c:pt idx="337">
                  <c:v>27791</c:v>
                </c:pt>
                <c:pt idx="338">
                  <c:v>27820</c:v>
                </c:pt>
                <c:pt idx="339">
                  <c:v>27851</c:v>
                </c:pt>
                <c:pt idx="340">
                  <c:v>27881</c:v>
                </c:pt>
                <c:pt idx="341">
                  <c:v>27912</c:v>
                </c:pt>
                <c:pt idx="342">
                  <c:v>27942</c:v>
                </c:pt>
                <c:pt idx="343">
                  <c:v>27973</c:v>
                </c:pt>
                <c:pt idx="344">
                  <c:v>28004</c:v>
                </c:pt>
                <c:pt idx="345">
                  <c:v>28034</c:v>
                </c:pt>
                <c:pt idx="346">
                  <c:v>28065</c:v>
                </c:pt>
                <c:pt idx="347">
                  <c:v>28095</c:v>
                </c:pt>
                <c:pt idx="348">
                  <c:v>28126</c:v>
                </c:pt>
                <c:pt idx="349">
                  <c:v>28157</c:v>
                </c:pt>
                <c:pt idx="350">
                  <c:v>28185</c:v>
                </c:pt>
                <c:pt idx="351">
                  <c:v>28216</c:v>
                </c:pt>
                <c:pt idx="352">
                  <c:v>28246</c:v>
                </c:pt>
                <c:pt idx="353">
                  <c:v>28277</c:v>
                </c:pt>
                <c:pt idx="354">
                  <c:v>28307</c:v>
                </c:pt>
                <c:pt idx="355">
                  <c:v>28338</c:v>
                </c:pt>
                <c:pt idx="356">
                  <c:v>28369</c:v>
                </c:pt>
                <c:pt idx="357">
                  <c:v>28399</c:v>
                </c:pt>
                <c:pt idx="358">
                  <c:v>28430</c:v>
                </c:pt>
                <c:pt idx="359">
                  <c:v>28460</c:v>
                </c:pt>
                <c:pt idx="360">
                  <c:v>28491</c:v>
                </c:pt>
                <c:pt idx="361">
                  <c:v>28522</c:v>
                </c:pt>
                <c:pt idx="362">
                  <c:v>28550</c:v>
                </c:pt>
                <c:pt idx="363">
                  <c:v>28581</c:v>
                </c:pt>
                <c:pt idx="364">
                  <c:v>28611</c:v>
                </c:pt>
                <c:pt idx="365">
                  <c:v>28642</c:v>
                </c:pt>
                <c:pt idx="366">
                  <c:v>28672</c:v>
                </c:pt>
                <c:pt idx="367">
                  <c:v>28703</c:v>
                </c:pt>
                <c:pt idx="368">
                  <c:v>28734</c:v>
                </c:pt>
                <c:pt idx="369">
                  <c:v>28764</c:v>
                </c:pt>
                <c:pt idx="370">
                  <c:v>28795</c:v>
                </c:pt>
                <c:pt idx="371">
                  <c:v>28825</c:v>
                </c:pt>
                <c:pt idx="372">
                  <c:v>28856</c:v>
                </c:pt>
                <c:pt idx="373">
                  <c:v>28887</c:v>
                </c:pt>
                <c:pt idx="374">
                  <c:v>28915</c:v>
                </c:pt>
                <c:pt idx="375">
                  <c:v>28946</c:v>
                </c:pt>
                <c:pt idx="376">
                  <c:v>28976</c:v>
                </c:pt>
                <c:pt idx="377">
                  <c:v>29007</c:v>
                </c:pt>
                <c:pt idx="378">
                  <c:v>29037</c:v>
                </c:pt>
                <c:pt idx="379">
                  <c:v>29068</c:v>
                </c:pt>
                <c:pt idx="380">
                  <c:v>29099</c:v>
                </c:pt>
                <c:pt idx="381">
                  <c:v>29129</c:v>
                </c:pt>
                <c:pt idx="382">
                  <c:v>29160</c:v>
                </c:pt>
                <c:pt idx="383">
                  <c:v>29190</c:v>
                </c:pt>
                <c:pt idx="384">
                  <c:v>29221</c:v>
                </c:pt>
                <c:pt idx="385">
                  <c:v>29252</c:v>
                </c:pt>
                <c:pt idx="386">
                  <c:v>29281</c:v>
                </c:pt>
                <c:pt idx="387">
                  <c:v>29312</c:v>
                </c:pt>
                <c:pt idx="388">
                  <c:v>29342</c:v>
                </c:pt>
                <c:pt idx="389">
                  <c:v>29373</c:v>
                </c:pt>
                <c:pt idx="390">
                  <c:v>29403</c:v>
                </c:pt>
                <c:pt idx="391">
                  <c:v>29434</c:v>
                </c:pt>
                <c:pt idx="392">
                  <c:v>29465</c:v>
                </c:pt>
                <c:pt idx="393">
                  <c:v>29495</c:v>
                </c:pt>
                <c:pt idx="394">
                  <c:v>29526</c:v>
                </c:pt>
                <c:pt idx="395">
                  <c:v>29556</c:v>
                </c:pt>
                <c:pt idx="396">
                  <c:v>29587</c:v>
                </c:pt>
                <c:pt idx="397">
                  <c:v>29618</c:v>
                </c:pt>
                <c:pt idx="398">
                  <c:v>29646</c:v>
                </c:pt>
                <c:pt idx="399">
                  <c:v>29677</c:v>
                </c:pt>
                <c:pt idx="400">
                  <c:v>29707</c:v>
                </c:pt>
                <c:pt idx="401">
                  <c:v>29738</c:v>
                </c:pt>
                <c:pt idx="402">
                  <c:v>29768</c:v>
                </c:pt>
                <c:pt idx="403">
                  <c:v>29799</c:v>
                </c:pt>
                <c:pt idx="404">
                  <c:v>29830</c:v>
                </c:pt>
                <c:pt idx="405">
                  <c:v>29860</c:v>
                </c:pt>
                <c:pt idx="406">
                  <c:v>29891</c:v>
                </c:pt>
                <c:pt idx="407">
                  <c:v>29921</c:v>
                </c:pt>
                <c:pt idx="408">
                  <c:v>29952</c:v>
                </c:pt>
                <c:pt idx="409">
                  <c:v>29983</c:v>
                </c:pt>
                <c:pt idx="410">
                  <c:v>30011</c:v>
                </c:pt>
                <c:pt idx="411">
                  <c:v>30042</c:v>
                </c:pt>
                <c:pt idx="412">
                  <c:v>30072</c:v>
                </c:pt>
                <c:pt idx="413">
                  <c:v>30103</c:v>
                </c:pt>
                <c:pt idx="414">
                  <c:v>30133</c:v>
                </c:pt>
                <c:pt idx="415">
                  <c:v>30164</c:v>
                </c:pt>
                <c:pt idx="416">
                  <c:v>30195</c:v>
                </c:pt>
                <c:pt idx="417">
                  <c:v>30225</c:v>
                </c:pt>
                <c:pt idx="418">
                  <c:v>30256</c:v>
                </c:pt>
                <c:pt idx="419">
                  <c:v>30286</c:v>
                </c:pt>
                <c:pt idx="420">
                  <c:v>30317</c:v>
                </c:pt>
                <c:pt idx="421">
                  <c:v>30348</c:v>
                </c:pt>
                <c:pt idx="422">
                  <c:v>30376</c:v>
                </c:pt>
                <c:pt idx="423">
                  <c:v>30407</c:v>
                </c:pt>
                <c:pt idx="424">
                  <c:v>30437</c:v>
                </c:pt>
                <c:pt idx="425">
                  <c:v>30468</c:v>
                </c:pt>
                <c:pt idx="426">
                  <c:v>30498</c:v>
                </c:pt>
                <c:pt idx="427">
                  <c:v>30529</c:v>
                </c:pt>
                <c:pt idx="428">
                  <c:v>30560</c:v>
                </c:pt>
                <c:pt idx="429">
                  <c:v>30590</c:v>
                </c:pt>
                <c:pt idx="430">
                  <c:v>30621</c:v>
                </c:pt>
                <c:pt idx="431">
                  <c:v>30651</c:v>
                </c:pt>
                <c:pt idx="432">
                  <c:v>30682</c:v>
                </c:pt>
                <c:pt idx="433">
                  <c:v>30713</c:v>
                </c:pt>
                <c:pt idx="434">
                  <c:v>30742</c:v>
                </c:pt>
                <c:pt idx="435">
                  <c:v>30773</c:v>
                </c:pt>
                <c:pt idx="436">
                  <c:v>30803</c:v>
                </c:pt>
                <c:pt idx="437">
                  <c:v>30834</c:v>
                </c:pt>
                <c:pt idx="438">
                  <c:v>30864</c:v>
                </c:pt>
                <c:pt idx="439">
                  <c:v>30895</c:v>
                </c:pt>
                <c:pt idx="440">
                  <c:v>30926</c:v>
                </c:pt>
                <c:pt idx="441">
                  <c:v>30956</c:v>
                </c:pt>
                <c:pt idx="442">
                  <c:v>30987</c:v>
                </c:pt>
                <c:pt idx="443">
                  <c:v>31017</c:v>
                </c:pt>
                <c:pt idx="444">
                  <c:v>31048</c:v>
                </c:pt>
                <c:pt idx="445">
                  <c:v>31079</c:v>
                </c:pt>
                <c:pt idx="446">
                  <c:v>31107</c:v>
                </c:pt>
                <c:pt idx="447">
                  <c:v>31138</c:v>
                </c:pt>
                <c:pt idx="448">
                  <c:v>31168</c:v>
                </c:pt>
                <c:pt idx="449">
                  <c:v>31199</c:v>
                </c:pt>
                <c:pt idx="450">
                  <c:v>31229</c:v>
                </c:pt>
                <c:pt idx="451">
                  <c:v>31260</c:v>
                </c:pt>
                <c:pt idx="452">
                  <c:v>31291</c:v>
                </c:pt>
                <c:pt idx="453">
                  <c:v>31321</c:v>
                </c:pt>
                <c:pt idx="454">
                  <c:v>31352</c:v>
                </c:pt>
                <c:pt idx="455">
                  <c:v>31382</c:v>
                </c:pt>
                <c:pt idx="456">
                  <c:v>31413</c:v>
                </c:pt>
                <c:pt idx="457">
                  <c:v>31444</c:v>
                </c:pt>
                <c:pt idx="458">
                  <c:v>31472</c:v>
                </c:pt>
                <c:pt idx="459">
                  <c:v>31503</c:v>
                </c:pt>
                <c:pt idx="460">
                  <c:v>31533</c:v>
                </c:pt>
                <c:pt idx="461">
                  <c:v>31564</c:v>
                </c:pt>
                <c:pt idx="462">
                  <c:v>31594</c:v>
                </c:pt>
                <c:pt idx="463">
                  <c:v>31625</c:v>
                </c:pt>
                <c:pt idx="464">
                  <c:v>31656</c:v>
                </c:pt>
                <c:pt idx="465">
                  <c:v>31686</c:v>
                </c:pt>
                <c:pt idx="466">
                  <c:v>31717</c:v>
                </c:pt>
                <c:pt idx="467">
                  <c:v>31747</c:v>
                </c:pt>
                <c:pt idx="468">
                  <c:v>31778</c:v>
                </c:pt>
                <c:pt idx="469">
                  <c:v>31809</c:v>
                </c:pt>
                <c:pt idx="470">
                  <c:v>31837</c:v>
                </c:pt>
                <c:pt idx="471">
                  <c:v>31868</c:v>
                </c:pt>
                <c:pt idx="472">
                  <c:v>31898</c:v>
                </c:pt>
                <c:pt idx="473">
                  <c:v>31929</c:v>
                </c:pt>
                <c:pt idx="474">
                  <c:v>31959</c:v>
                </c:pt>
                <c:pt idx="475">
                  <c:v>31990</c:v>
                </c:pt>
                <c:pt idx="476">
                  <c:v>32021</c:v>
                </c:pt>
                <c:pt idx="477">
                  <c:v>32051</c:v>
                </c:pt>
                <c:pt idx="478">
                  <c:v>32082</c:v>
                </c:pt>
                <c:pt idx="479">
                  <c:v>32112</c:v>
                </c:pt>
                <c:pt idx="480">
                  <c:v>32143</c:v>
                </c:pt>
                <c:pt idx="481">
                  <c:v>32174</c:v>
                </c:pt>
                <c:pt idx="482">
                  <c:v>32203</c:v>
                </c:pt>
                <c:pt idx="483">
                  <c:v>32234</c:v>
                </c:pt>
                <c:pt idx="484">
                  <c:v>32264</c:v>
                </c:pt>
                <c:pt idx="485">
                  <c:v>32295</c:v>
                </c:pt>
                <c:pt idx="486">
                  <c:v>32325</c:v>
                </c:pt>
                <c:pt idx="487">
                  <c:v>32356</c:v>
                </c:pt>
                <c:pt idx="488">
                  <c:v>32387</c:v>
                </c:pt>
                <c:pt idx="489">
                  <c:v>32417</c:v>
                </c:pt>
                <c:pt idx="490">
                  <c:v>32448</c:v>
                </c:pt>
                <c:pt idx="491">
                  <c:v>32478</c:v>
                </c:pt>
                <c:pt idx="492">
                  <c:v>32509</c:v>
                </c:pt>
                <c:pt idx="493">
                  <c:v>32540</c:v>
                </c:pt>
                <c:pt idx="494">
                  <c:v>32568</c:v>
                </c:pt>
                <c:pt idx="495">
                  <c:v>32599</c:v>
                </c:pt>
                <c:pt idx="496">
                  <c:v>32629</c:v>
                </c:pt>
                <c:pt idx="497">
                  <c:v>32660</c:v>
                </c:pt>
                <c:pt idx="498">
                  <c:v>32690</c:v>
                </c:pt>
                <c:pt idx="499">
                  <c:v>32721</c:v>
                </c:pt>
                <c:pt idx="500">
                  <c:v>32752</c:v>
                </c:pt>
                <c:pt idx="501">
                  <c:v>32782</c:v>
                </c:pt>
                <c:pt idx="502">
                  <c:v>32813</c:v>
                </c:pt>
                <c:pt idx="503">
                  <c:v>32843</c:v>
                </c:pt>
                <c:pt idx="504">
                  <c:v>32874</c:v>
                </c:pt>
                <c:pt idx="505">
                  <c:v>32905</c:v>
                </c:pt>
                <c:pt idx="506">
                  <c:v>32933</c:v>
                </c:pt>
                <c:pt idx="507">
                  <c:v>32964</c:v>
                </c:pt>
                <c:pt idx="508">
                  <c:v>32994</c:v>
                </c:pt>
                <c:pt idx="509">
                  <c:v>33025</c:v>
                </c:pt>
                <c:pt idx="510">
                  <c:v>33055</c:v>
                </c:pt>
                <c:pt idx="511">
                  <c:v>33086</c:v>
                </c:pt>
                <c:pt idx="512">
                  <c:v>33117</c:v>
                </c:pt>
                <c:pt idx="513">
                  <c:v>33147</c:v>
                </c:pt>
                <c:pt idx="514">
                  <c:v>33178</c:v>
                </c:pt>
                <c:pt idx="515">
                  <c:v>33208</c:v>
                </c:pt>
                <c:pt idx="516">
                  <c:v>33239</c:v>
                </c:pt>
                <c:pt idx="517">
                  <c:v>33270</c:v>
                </c:pt>
                <c:pt idx="518">
                  <c:v>33298</c:v>
                </c:pt>
                <c:pt idx="519">
                  <c:v>33329</c:v>
                </c:pt>
                <c:pt idx="520">
                  <c:v>33359</c:v>
                </c:pt>
                <c:pt idx="521">
                  <c:v>33390</c:v>
                </c:pt>
                <c:pt idx="522">
                  <c:v>33420</c:v>
                </c:pt>
                <c:pt idx="523">
                  <c:v>33451</c:v>
                </c:pt>
                <c:pt idx="524">
                  <c:v>33482</c:v>
                </c:pt>
                <c:pt idx="525">
                  <c:v>33512</c:v>
                </c:pt>
                <c:pt idx="526">
                  <c:v>33543</c:v>
                </c:pt>
                <c:pt idx="527">
                  <c:v>33573</c:v>
                </c:pt>
                <c:pt idx="528">
                  <c:v>33604</c:v>
                </c:pt>
                <c:pt idx="529">
                  <c:v>33635</c:v>
                </c:pt>
                <c:pt idx="530">
                  <c:v>33664</c:v>
                </c:pt>
                <c:pt idx="531">
                  <c:v>33695</c:v>
                </c:pt>
                <c:pt idx="532">
                  <c:v>33725</c:v>
                </c:pt>
                <c:pt idx="533">
                  <c:v>33756</c:v>
                </c:pt>
                <c:pt idx="534">
                  <c:v>33786</c:v>
                </c:pt>
                <c:pt idx="535">
                  <c:v>33817</c:v>
                </c:pt>
                <c:pt idx="536">
                  <c:v>33848</c:v>
                </c:pt>
                <c:pt idx="537">
                  <c:v>33878</c:v>
                </c:pt>
                <c:pt idx="538">
                  <c:v>33909</c:v>
                </c:pt>
                <c:pt idx="539">
                  <c:v>33939</c:v>
                </c:pt>
                <c:pt idx="540">
                  <c:v>33970</c:v>
                </c:pt>
                <c:pt idx="541">
                  <c:v>34001</c:v>
                </c:pt>
                <c:pt idx="542">
                  <c:v>34029</c:v>
                </c:pt>
                <c:pt idx="543">
                  <c:v>34060</c:v>
                </c:pt>
                <c:pt idx="544">
                  <c:v>34090</c:v>
                </c:pt>
                <c:pt idx="545">
                  <c:v>34121</c:v>
                </c:pt>
                <c:pt idx="546">
                  <c:v>34151</c:v>
                </c:pt>
                <c:pt idx="547">
                  <c:v>34182</c:v>
                </c:pt>
                <c:pt idx="548">
                  <c:v>34213</c:v>
                </c:pt>
                <c:pt idx="549">
                  <c:v>34243</c:v>
                </c:pt>
                <c:pt idx="550">
                  <c:v>34274</c:v>
                </c:pt>
                <c:pt idx="551">
                  <c:v>34304</c:v>
                </c:pt>
                <c:pt idx="552">
                  <c:v>34335</c:v>
                </c:pt>
                <c:pt idx="553">
                  <c:v>34366</c:v>
                </c:pt>
                <c:pt idx="554">
                  <c:v>34394</c:v>
                </c:pt>
                <c:pt idx="555">
                  <c:v>34425</c:v>
                </c:pt>
                <c:pt idx="556">
                  <c:v>34455</c:v>
                </c:pt>
                <c:pt idx="557">
                  <c:v>34486</c:v>
                </c:pt>
                <c:pt idx="558">
                  <c:v>34516</c:v>
                </c:pt>
                <c:pt idx="559">
                  <c:v>34547</c:v>
                </c:pt>
                <c:pt idx="560">
                  <c:v>34578</c:v>
                </c:pt>
                <c:pt idx="561">
                  <c:v>34608</c:v>
                </c:pt>
                <c:pt idx="562">
                  <c:v>34639</c:v>
                </c:pt>
                <c:pt idx="563">
                  <c:v>34669</c:v>
                </c:pt>
                <c:pt idx="564">
                  <c:v>34700</c:v>
                </c:pt>
                <c:pt idx="565">
                  <c:v>34731</c:v>
                </c:pt>
                <c:pt idx="566">
                  <c:v>34759</c:v>
                </c:pt>
                <c:pt idx="567">
                  <c:v>34790</c:v>
                </c:pt>
                <c:pt idx="568">
                  <c:v>34820</c:v>
                </c:pt>
                <c:pt idx="569">
                  <c:v>34851</c:v>
                </c:pt>
                <c:pt idx="570">
                  <c:v>34881</c:v>
                </c:pt>
                <c:pt idx="571">
                  <c:v>34912</c:v>
                </c:pt>
                <c:pt idx="572">
                  <c:v>34943</c:v>
                </c:pt>
                <c:pt idx="573">
                  <c:v>34973</c:v>
                </c:pt>
                <c:pt idx="574">
                  <c:v>35004</c:v>
                </c:pt>
                <c:pt idx="575">
                  <c:v>35034</c:v>
                </c:pt>
                <c:pt idx="576">
                  <c:v>35065</c:v>
                </c:pt>
                <c:pt idx="577">
                  <c:v>35096</c:v>
                </c:pt>
                <c:pt idx="578">
                  <c:v>35125</c:v>
                </c:pt>
                <c:pt idx="579">
                  <c:v>35156</c:v>
                </c:pt>
                <c:pt idx="580">
                  <c:v>35186</c:v>
                </c:pt>
                <c:pt idx="581">
                  <c:v>35217</c:v>
                </c:pt>
                <c:pt idx="582">
                  <c:v>35247</c:v>
                </c:pt>
                <c:pt idx="583">
                  <c:v>35278</c:v>
                </c:pt>
                <c:pt idx="584">
                  <c:v>35309</c:v>
                </c:pt>
                <c:pt idx="585">
                  <c:v>35339</c:v>
                </c:pt>
                <c:pt idx="586">
                  <c:v>35370</c:v>
                </c:pt>
                <c:pt idx="587">
                  <c:v>35400</c:v>
                </c:pt>
                <c:pt idx="588">
                  <c:v>35431</c:v>
                </c:pt>
                <c:pt idx="589">
                  <c:v>35462</c:v>
                </c:pt>
                <c:pt idx="590">
                  <c:v>35490</c:v>
                </c:pt>
                <c:pt idx="591">
                  <c:v>35521</c:v>
                </c:pt>
                <c:pt idx="592">
                  <c:v>35551</c:v>
                </c:pt>
                <c:pt idx="593">
                  <c:v>35582</c:v>
                </c:pt>
                <c:pt idx="594">
                  <c:v>35612</c:v>
                </c:pt>
                <c:pt idx="595">
                  <c:v>35643</c:v>
                </c:pt>
                <c:pt idx="596">
                  <c:v>35674</c:v>
                </c:pt>
                <c:pt idx="597">
                  <c:v>35704</c:v>
                </c:pt>
                <c:pt idx="598">
                  <c:v>35735</c:v>
                </c:pt>
                <c:pt idx="599">
                  <c:v>35765</c:v>
                </c:pt>
                <c:pt idx="600">
                  <c:v>35796</c:v>
                </c:pt>
                <c:pt idx="601">
                  <c:v>35827</c:v>
                </c:pt>
                <c:pt idx="602">
                  <c:v>35855</c:v>
                </c:pt>
                <c:pt idx="603">
                  <c:v>35886</c:v>
                </c:pt>
                <c:pt idx="604">
                  <c:v>35916</c:v>
                </c:pt>
                <c:pt idx="605">
                  <c:v>35947</c:v>
                </c:pt>
                <c:pt idx="606">
                  <c:v>35977</c:v>
                </c:pt>
                <c:pt idx="607">
                  <c:v>36008</c:v>
                </c:pt>
                <c:pt idx="608">
                  <c:v>36039</c:v>
                </c:pt>
                <c:pt idx="609">
                  <c:v>36069</c:v>
                </c:pt>
                <c:pt idx="610">
                  <c:v>36100</c:v>
                </c:pt>
                <c:pt idx="611">
                  <c:v>36130</c:v>
                </c:pt>
                <c:pt idx="612">
                  <c:v>36161</c:v>
                </c:pt>
                <c:pt idx="613">
                  <c:v>36192</c:v>
                </c:pt>
                <c:pt idx="614">
                  <c:v>36220</c:v>
                </c:pt>
                <c:pt idx="615">
                  <c:v>36251</c:v>
                </c:pt>
                <c:pt idx="616">
                  <c:v>36281</c:v>
                </c:pt>
                <c:pt idx="617">
                  <c:v>36312</c:v>
                </c:pt>
                <c:pt idx="618">
                  <c:v>36342</c:v>
                </c:pt>
                <c:pt idx="619">
                  <c:v>36373</c:v>
                </c:pt>
                <c:pt idx="620">
                  <c:v>36404</c:v>
                </c:pt>
                <c:pt idx="621">
                  <c:v>36434</c:v>
                </c:pt>
                <c:pt idx="622">
                  <c:v>36465</c:v>
                </c:pt>
                <c:pt idx="623">
                  <c:v>36495</c:v>
                </c:pt>
                <c:pt idx="624">
                  <c:v>36526</c:v>
                </c:pt>
                <c:pt idx="625">
                  <c:v>36557</c:v>
                </c:pt>
                <c:pt idx="626">
                  <c:v>36586</c:v>
                </c:pt>
                <c:pt idx="627">
                  <c:v>36617</c:v>
                </c:pt>
                <c:pt idx="628">
                  <c:v>36647</c:v>
                </c:pt>
                <c:pt idx="629">
                  <c:v>36678</c:v>
                </c:pt>
                <c:pt idx="630">
                  <c:v>36708</c:v>
                </c:pt>
                <c:pt idx="631">
                  <c:v>36739</c:v>
                </c:pt>
                <c:pt idx="632">
                  <c:v>36770</c:v>
                </c:pt>
                <c:pt idx="633">
                  <c:v>36800</c:v>
                </c:pt>
                <c:pt idx="634">
                  <c:v>36831</c:v>
                </c:pt>
                <c:pt idx="635">
                  <c:v>36861</c:v>
                </c:pt>
                <c:pt idx="636">
                  <c:v>36892</c:v>
                </c:pt>
                <c:pt idx="637">
                  <c:v>36923</c:v>
                </c:pt>
                <c:pt idx="638">
                  <c:v>36951</c:v>
                </c:pt>
                <c:pt idx="639">
                  <c:v>36982</c:v>
                </c:pt>
                <c:pt idx="640">
                  <c:v>37012</c:v>
                </c:pt>
                <c:pt idx="641">
                  <c:v>37043</c:v>
                </c:pt>
                <c:pt idx="642">
                  <c:v>37073</c:v>
                </c:pt>
                <c:pt idx="643">
                  <c:v>37104</c:v>
                </c:pt>
                <c:pt idx="644">
                  <c:v>37135</c:v>
                </c:pt>
                <c:pt idx="645">
                  <c:v>37165</c:v>
                </c:pt>
                <c:pt idx="646">
                  <c:v>37196</c:v>
                </c:pt>
                <c:pt idx="647">
                  <c:v>37226</c:v>
                </c:pt>
                <c:pt idx="648">
                  <c:v>37257</c:v>
                </c:pt>
                <c:pt idx="649">
                  <c:v>37288</c:v>
                </c:pt>
                <c:pt idx="650">
                  <c:v>37316</c:v>
                </c:pt>
                <c:pt idx="651">
                  <c:v>37347</c:v>
                </c:pt>
                <c:pt idx="652">
                  <c:v>37377</c:v>
                </c:pt>
                <c:pt idx="653">
                  <c:v>37408</c:v>
                </c:pt>
                <c:pt idx="654">
                  <c:v>37438</c:v>
                </c:pt>
                <c:pt idx="655">
                  <c:v>37469</c:v>
                </c:pt>
                <c:pt idx="656">
                  <c:v>37500</c:v>
                </c:pt>
                <c:pt idx="657">
                  <c:v>37530</c:v>
                </c:pt>
                <c:pt idx="658">
                  <c:v>37561</c:v>
                </c:pt>
                <c:pt idx="659">
                  <c:v>37591</c:v>
                </c:pt>
                <c:pt idx="660">
                  <c:v>37622</c:v>
                </c:pt>
                <c:pt idx="661">
                  <c:v>37653</c:v>
                </c:pt>
                <c:pt idx="662">
                  <c:v>37681</c:v>
                </c:pt>
                <c:pt idx="663">
                  <c:v>37712</c:v>
                </c:pt>
                <c:pt idx="664">
                  <c:v>37742</c:v>
                </c:pt>
                <c:pt idx="665">
                  <c:v>37773</c:v>
                </c:pt>
                <c:pt idx="666">
                  <c:v>37803</c:v>
                </c:pt>
                <c:pt idx="667">
                  <c:v>37834</c:v>
                </c:pt>
                <c:pt idx="668">
                  <c:v>37865</c:v>
                </c:pt>
                <c:pt idx="669">
                  <c:v>37895</c:v>
                </c:pt>
                <c:pt idx="670">
                  <c:v>37926</c:v>
                </c:pt>
                <c:pt idx="671">
                  <c:v>37956</c:v>
                </c:pt>
                <c:pt idx="672">
                  <c:v>37987</c:v>
                </c:pt>
                <c:pt idx="673">
                  <c:v>38018</c:v>
                </c:pt>
                <c:pt idx="674">
                  <c:v>38047</c:v>
                </c:pt>
                <c:pt idx="675">
                  <c:v>38078</c:v>
                </c:pt>
                <c:pt idx="676">
                  <c:v>38108</c:v>
                </c:pt>
                <c:pt idx="677">
                  <c:v>38139</c:v>
                </c:pt>
                <c:pt idx="678">
                  <c:v>38169</c:v>
                </c:pt>
                <c:pt idx="679">
                  <c:v>38200</c:v>
                </c:pt>
                <c:pt idx="680">
                  <c:v>38231</c:v>
                </c:pt>
                <c:pt idx="681">
                  <c:v>38261</c:v>
                </c:pt>
                <c:pt idx="682">
                  <c:v>38292</c:v>
                </c:pt>
                <c:pt idx="683">
                  <c:v>38322</c:v>
                </c:pt>
                <c:pt idx="684">
                  <c:v>38353</c:v>
                </c:pt>
                <c:pt idx="685">
                  <c:v>38384</c:v>
                </c:pt>
                <c:pt idx="686">
                  <c:v>38412</c:v>
                </c:pt>
                <c:pt idx="687">
                  <c:v>38443</c:v>
                </c:pt>
                <c:pt idx="688">
                  <c:v>38473</c:v>
                </c:pt>
                <c:pt idx="689">
                  <c:v>38504</c:v>
                </c:pt>
                <c:pt idx="690">
                  <c:v>38534</c:v>
                </c:pt>
                <c:pt idx="691">
                  <c:v>38565</c:v>
                </c:pt>
                <c:pt idx="692">
                  <c:v>38596</c:v>
                </c:pt>
                <c:pt idx="693">
                  <c:v>38626</c:v>
                </c:pt>
                <c:pt idx="694">
                  <c:v>38657</c:v>
                </c:pt>
                <c:pt idx="695">
                  <c:v>38687</c:v>
                </c:pt>
                <c:pt idx="696">
                  <c:v>38718</c:v>
                </c:pt>
                <c:pt idx="697">
                  <c:v>38749</c:v>
                </c:pt>
                <c:pt idx="698">
                  <c:v>38777</c:v>
                </c:pt>
                <c:pt idx="699">
                  <c:v>38808</c:v>
                </c:pt>
                <c:pt idx="700">
                  <c:v>38838</c:v>
                </c:pt>
                <c:pt idx="701">
                  <c:v>38869</c:v>
                </c:pt>
                <c:pt idx="702">
                  <c:v>38899</c:v>
                </c:pt>
                <c:pt idx="703">
                  <c:v>38930</c:v>
                </c:pt>
                <c:pt idx="704">
                  <c:v>38961</c:v>
                </c:pt>
                <c:pt idx="705">
                  <c:v>38991</c:v>
                </c:pt>
                <c:pt idx="706">
                  <c:v>39022</c:v>
                </c:pt>
                <c:pt idx="707">
                  <c:v>39052</c:v>
                </c:pt>
                <c:pt idx="708">
                  <c:v>39083</c:v>
                </c:pt>
                <c:pt idx="709">
                  <c:v>39114</c:v>
                </c:pt>
                <c:pt idx="710">
                  <c:v>39142</c:v>
                </c:pt>
                <c:pt idx="711">
                  <c:v>39173</c:v>
                </c:pt>
                <c:pt idx="712">
                  <c:v>39203</c:v>
                </c:pt>
                <c:pt idx="713">
                  <c:v>39234</c:v>
                </c:pt>
                <c:pt idx="714">
                  <c:v>39264</c:v>
                </c:pt>
                <c:pt idx="715">
                  <c:v>39295</c:v>
                </c:pt>
                <c:pt idx="716">
                  <c:v>39326</c:v>
                </c:pt>
                <c:pt idx="717">
                  <c:v>39356</c:v>
                </c:pt>
                <c:pt idx="718">
                  <c:v>39387</c:v>
                </c:pt>
                <c:pt idx="719">
                  <c:v>39417</c:v>
                </c:pt>
                <c:pt idx="720">
                  <c:v>39448</c:v>
                </c:pt>
                <c:pt idx="721">
                  <c:v>39479</c:v>
                </c:pt>
                <c:pt idx="722">
                  <c:v>39508</c:v>
                </c:pt>
                <c:pt idx="723">
                  <c:v>39539</c:v>
                </c:pt>
                <c:pt idx="724">
                  <c:v>39569</c:v>
                </c:pt>
                <c:pt idx="725">
                  <c:v>39600</c:v>
                </c:pt>
                <c:pt idx="726">
                  <c:v>39630</c:v>
                </c:pt>
                <c:pt idx="727">
                  <c:v>39661</c:v>
                </c:pt>
                <c:pt idx="728">
                  <c:v>39692</c:v>
                </c:pt>
                <c:pt idx="729">
                  <c:v>39722</c:v>
                </c:pt>
                <c:pt idx="730">
                  <c:v>39753</c:v>
                </c:pt>
                <c:pt idx="731">
                  <c:v>39783</c:v>
                </c:pt>
                <c:pt idx="732">
                  <c:v>39814</c:v>
                </c:pt>
                <c:pt idx="733">
                  <c:v>39845</c:v>
                </c:pt>
                <c:pt idx="734">
                  <c:v>39873</c:v>
                </c:pt>
                <c:pt idx="735">
                  <c:v>39904</c:v>
                </c:pt>
                <c:pt idx="736">
                  <c:v>39934</c:v>
                </c:pt>
                <c:pt idx="737">
                  <c:v>39965</c:v>
                </c:pt>
                <c:pt idx="738">
                  <c:v>39995</c:v>
                </c:pt>
                <c:pt idx="739">
                  <c:v>40026</c:v>
                </c:pt>
                <c:pt idx="740">
                  <c:v>40057</c:v>
                </c:pt>
                <c:pt idx="741">
                  <c:v>40087</c:v>
                </c:pt>
                <c:pt idx="742">
                  <c:v>40118</c:v>
                </c:pt>
                <c:pt idx="743">
                  <c:v>40148</c:v>
                </c:pt>
                <c:pt idx="744">
                  <c:v>40179</c:v>
                </c:pt>
                <c:pt idx="745">
                  <c:v>40210</c:v>
                </c:pt>
                <c:pt idx="746">
                  <c:v>40238</c:v>
                </c:pt>
                <c:pt idx="747">
                  <c:v>40269</c:v>
                </c:pt>
                <c:pt idx="748">
                  <c:v>40299</c:v>
                </c:pt>
                <c:pt idx="749">
                  <c:v>40330</c:v>
                </c:pt>
                <c:pt idx="750">
                  <c:v>40360</c:v>
                </c:pt>
                <c:pt idx="751">
                  <c:v>40391</c:v>
                </c:pt>
                <c:pt idx="752">
                  <c:v>40422</c:v>
                </c:pt>
                <c:pt idx="753">
                  <c:v>40452</c:v>
                </c:pt>
                <c:pt idx="754">
                  <c:v>40483</c:v>
                </c:pt>
                <c:pt idx="755">
                  <c:v>40513</c:v>
                </c:pt>
                <c:pt idx="756">
                  <c:v>40544</c:v>
                </c:pt>
                <c:pt idx="757">
                  <c:v>40575</c:v>
                </c:pt>
                <c:pt idx="758">
                  <c:v>40603</c:v>
                </c:pt>
                <c:pt idx="759">
                  <c:v>40634</c:v>
                </c:pt>
                <c:pt idx="760">
                  <c:v>40664</c:v>
                </c:pt>
                <c:pt idx="761">
                  <c:v>40695</c:v>
                </c:pt>
                <c:pt idx="762">
                  <c:v>40725</c:v>
                </c:pt>
                <c:pt idx="763">
                  <c:v>40756</c:v>
                </c:pt>
                <c:pt idx="764">
                  <c:v>40787</c:v>
                </c:pt>
                <c:pt idx="765">
                  <c:v>40817</c:v>
                </c:pt>
                <c:pt idx="766">
                  <c:v>40848</c:v>
                </c:pt>
                <c:pt idx="767">
                  <c:v>40878</c:v>
                </c:pt>
                <c:pt idx="768">
                  <c:v>40909</c:v>
                </c:pt>
                <c:pt idx="769">
                  <c:v>40940</c:v>
                </c:pt>
                <c:pt idx="770">
                  <c:v>40969</c:v>
                </c:pt>
                <c:pt idx="771">
                  <c:v>41000</c:v>
                </c:pt>
                <c:pt idx="772">
                  <c:v>41030</c:v>
                </c:pt>
                <c:pt idx="773">
                  <c:v>41061</c:v>
                </c:pt>
                <c:pt idx="774">
                  <c:v>41091</c:v>
                </c:pt>
                <c:pt idx="775">
                  <c:v>41122</c:v>
                </c:pt>
                <c:pt idx="776">
                  <c:v>41153</c:v>
                </c:pt>
                <c:pt idx="777">
                  <c:v>41183</c:v>
                </c:pt>
                <c:pt idx="778">
                  <c:v>41214</c:v>
                </c:pt>
                <c:pt idx="779">
                  <c:v>41244</c:v>
                </c:pt>
                <c:pt idx="780">
                  <c:v>41275</c:v>
                </c:pt>
                <c:pt idx="781">
                  <c:v>41306</c:v>
                </c:pt>
                <c:pt idx="782">
                  <c:v>41334</c:v>
                </c:pt>
                <c:pt idx="783">
                  <c:v>41365</c:v>
                </c:pt>
                <c:pt idx="784">
                  <c:v>41395</c:v>
                </c:pt>
                <c:pt idx="785">
                  <c:v>41426</c:v>
                </c:pt>
                <c:pt idx="786">
                  <c:v>41456</c:v>
                </c:pt>
                <c:pt idx="787">
                  <c:v>41487</c:v>
                </c:pt>
                <c:pt idx="788">
                  <c:v>41518</c:v>
                </c:pt>
                <c:pt idx="789">
                  <c:v>41548</c:v>
                </c:pt>
                <c:pt idx="790">
                  <c:v>41579</c:v>
                </c:pt>
                <c:pt idx="791">
                  <c:v>41609</c:v>
                </c:pt>
                <c:pt idx="792">
                  <c:v>41640</c:v>
                </c:pt>
                <c:pt idx="793">
                  <c:v>41671</c:v>
                </c:pt>
                <c:pt idx="794">
                  <c:v>41699</c:v>
                </c:pt>
                <c:pt idx="795">
                  <c:v>41730</c:v>
                </c:pt>
                <c:pt idx="796">
                  <c:v>41760</c:v>
                </c:pt>
                <c:pt idx="797">
                  <c:v>41791</c:v>
                </c:pt>
                <c:pt idx="798">
                  <c:v>41821</c:v>
                </c:pt>
                <c:pt idx="799">
                  <c:v>41852</c:v>
                </c:pt>
                <c:pt idx="800">
                  <c:v>41883</c:v>
                </c:pt>
                <c:pt idx="801">
                  <c:v>41913</c:v>
                </c:pt>
                <c:pt idx="802">
                  <c:v>41944</c:v>
                </c:pt>
                <c:pt idx="803">
                  <c:v>41974</c:v>
                </c:pt>
                <c:pt idx="804">
                  <c:v>42005</c:v>
                </c:pt>
                <c:pt idx="805">
                  <c:v>42036</c:v>
                </c:pt>
                <c:pt idx="806">
                  <c:v>42064</c:v>
                </c:pt>
                <c:pt idx="807">
                  <c:v>42095</c:v>
                </c:pt>
                <c:pt idx="808">
                  <c:v>42125</c:v>
                </c:pt>
                <c:pt idx="809">
                  <c:v>42156</c:v>
                </c:pt>
                <c:pt idx="810">
                  <c:v>42186</c:v>
                </c:pt>
                <c:pt idx="811">
                  <c:v>42217</c:v>
                </c:pt>
                <c:pt idx="812">
                  <c:v>42248</c:v>
                </c:pt>
                <c:pt idx="813">
                  <c:v>42278</c:v>
                </c:pt>
                <c:pt idx="814">
                  <c:v>42309</c:v>
                </c:pt>
                <c:pt idx="815">
                  <c:v>42339</c:v>
                </c:pt>
                <c:pt idx="816">
                  <c:v>42370</c:v>
                </c:pt>
                <c:pt idx="817">
                  <c:v>42401</c:v>
                </c:pt>
                <c:pt idx="818">
                  <c:v>42430</c:v>
                </c:pt>
                <c:pt idx="819">
                  <c:v>42461</c:v>
                </c:pt>
                <c:pt idx="820">
                  <c:v>42491</c:v>
                </c:pt>
                <c:pt idx="821">
                  <c:v>42522</c:v>
                </c:pt>
                <c:pt idx="822">
                  <c:v>42552</c:v>
                </c:pt>
                <c:pt idx="823">
                  <c:v>42583</c:v>
                </c:pt>
                <c:pt idx="824">
                  <c:v>42614</c:v>
                </c:pt>
                <c:pt idx="825">
                  <c:v>42644</c:v>
                </c:pt>
                <c:pt idx="826">
                  <c:v>42675</c:v>
                </c:pt>
                <c:pt idx="827">
                  <c:v>42705</c:v>
                </c:pt>
                <c:pt idx="828">
                  <c:v>42736</c:v>
                </c:pt>
                <c:pt idx="829">
                  <c:v>42767</c:v>
                </c:pt>
                <c:pt idx="830">
                  <c:v>42795</c:v>
                </c:pt>
                <c:pt idx="831">
                  <c:v>42826</c:v>
                </c:pt>
                <c:pt idx="832">
                  <c:v>42856</c:v>
                </c:pt>
                <c:pt idx="833">
                  <c:v>42887</c:v>
                </c:pt>
                <c:pt idx="834">
                  <c:v>42917</c:v>
                </c:pt>
                <c:pt idx="835">
                  <c:v>42948</c:v>
                </c:pt>
                <c:pt idx="836">
                  <c:v>42979</c:v>
                </c:pt>
                <c:pt idx="837">
                  <c:v>43009</c:v>
                </c:pt>
                <c:pt idx="838">
                  <c:v>43040</c:v>
                </c:pt>
                <c:pt idx="839">
                  <c:v>43070</c:v>
                </c:pt>
                <c:pt idx="840">
                  <c:v>43101</c:v>
                </c:pt>
                <c:pt idx="841">
                  <c:v>43132</c:v>
                </c:pt>
                <c:pt idx="842">
                  <c:v>43160</c:v>
                </c:pt>
                <c:pt idx="843">
                  <c:v>43191</c:v>
                </c:pt>
                <c:pt idx="844">
                  <c:v>43221</c:v>
                </c:pt>
                <c:pt idx="845">
                  <c:v>43252</c:v>
                </c:pt>
                <c:pt idx="846">
                  <c:v>43282</c:v>
                </c:pt>
                <c:pt idx="847">
                  <c:v>43313</c:v>
                </c:pt>
                <c:pt idx="848">
                  <c:v>43344</c:v>
                </c:pt>
                <c:pt idx="849">
                  <c:v>43374</c:v>
                </c:pt>
                <c:pt idx="850">
                  <c:v>43405</c:v>
                </c:pt>
                <c:pt idx="851">
                  <c:v>43435</c:v>
                </c:pt>
                <c:pt idx="852">
                  <c:v>43466</c:v>
                </c:pt>
                <c:pt idx="853">
                  <c:v>43497</c:v>
                </c:pt>
                <c:pt idx="854">
                  <c:v>43525</c:v>
                </c:pt>
                <c:pt idx="855">
                  <c:v>43556</c:v>
                </c:pt>
                <c:pt idx="856">
                  <c:v>43586</c:v>
                </c:pt>
                <c:pt idx="857">
                  <c:v>43617</c:v>
                </c:pt>
                <c:pt idx="858">
                  <c:v>43647</c:v>
                </c:pt>
                <c:pt idx="859">
                  <c:v>43678</c:v>
                </c:pt>
                <c:pt idx="860">
                  <c:v>43709</c:v>
                </c:pt>
                <c:pt idx="861">
                  <c:v>43739</c:v>
                </c:pt>
                <c:pt idx="862">
                  <c:v>43770</c:v>
                </c:pt>
                <c:pt idx="863">
                  <c:v>43800</c:v>
                </c:pt>
                <c:pt idx="864">
                  <c:v>43831</c:v>
                </c:pt>
                <c:pt idx="865">
                  <c:v>43862</c:v>
                </c:pt>
                <c:pt idx="866">
                  <c:v>43891</c:v>
                </c:pt>
                <c:pt idx="867">
                  <c:v>43922</c:v>
                </c:pt>
                <c:pt idx="868">
                  <c:v>43952</c:v>
                </c:pt>
                <c:pt idx="869">
                  <c:v>43983</c:v>
                </c:pt>
                <c:pt idx="870" formatCode="m/d/yyyy">
                  <c:v>44013</c:v>
                </c:pt>
                <c:pt idx="871" formatCode="m/d/yyyy">
                  <c:v>44044</c:v>
                </c:pt>
                <c:pt idx="872" formatCode="m/d/yyyy">
                  <c:v>44075</c:v>
                </c:pt>
                <c:pt idx="873" formatCode="m/d/yyyy">
                  <c:v>44105</c:v>
                </c:pt>
                <c:pt idx="874" formatCode="m/d/yyyy">
                  <c:v>44136</c:v>
                </c:pt>
                <c:pt idx="875" formatCode="m/d/yyyy">
                  <c:v>44166</c:v>
                </c:pt>
                <c:pt idx="876" formatCode="m/d/yyyy">
                  <c:v>44197</c:v>
                </c:pt>
                <c:pt idx="877" formatCode="m/d/yyyy">
                  <c:v>44228</c:v>
                </c:pt>
                <c:pt idx="878" formatCode="m/d/yyyy">
                  <c:v>44256</c:v>
                </c:pt>
                <c:pt idx="879" formatCode="m/d/yyyy">
                  <c:v>44287</c:v>
                </c:pt>
                <c:pt idx="880" formatCode="m/d/yyyy">
                  <c:v>44317</c:v>
                </c:pt>
                <c:pt idx="881" formatCode="m/d/yyyy">
                  <c:v>44348</c:v>
                </c:pt>
                <c:pt idx="882" formatCode="m/d/yyyy">
                  <c:v>44378</c:v>
                </c:pt>
                <c:pt idx="883" formatCode="m/d/yyyy">
                  <c:v>44409</c:v>
                </c:pt>
                <c:pt idx="884" formatCode="m/d/yyyy">
                  <c:v>44440</c:v>
                </c:pt>
                <c:pt idx="885" formatCode="m/d/yyyy">
                  <c:v>44470</c:v>
                </c:pt>
                <c:pt idx="886" formatCode="m/d/yyyy">
                  <c:v>44501</c:v>
                </c:pt>
                <c:pt idx="887" formatCode="m/d/yyyy">
                  <c:v>44531</c:v>
                </c:pt>
                <c:pt idx="888" formatCode="m/d/yyyy">
                  <c:v>44562</c:v>
                </c:pt>
                <c:pt idx="889" formatCode="m/d/yyyy">
                  <c:v>44593</c:v>
                </c:pt>
                <c:pt idx="890" formatCode="m/d/yyyy">
                  <c:v>44621</c:v>
                </c:pt>
                <c:pt idx="891" formatCode="m/d/yyyy">
                  <c:v>44652</c:v>
                </c:pt>
                <c:pt idx="892" formatCode="m/d/yyyy">
                  <c:v>44682</c:v>
                </c:pt>
                <c:pt idx="893" formatCode="m/d/yyyy">
                  <c:v>44713</c:v>
                </c:pt>
                <c:pt idx="894" formatCode="m/d/yyyy">
                  <c:v>44743</c:v>
                </c:pt>
                <c:pt idx="895" formatCode="m/d/yyyy">
                  <c:v>44774</c:v>
                </c:pt>
                <c:pt idx="896" formatCode="m/d/yyyy">
                  <c:v>44805</c:v>
                </c:pt>
                <c:pt idx="897" formatCode="m/d/yyyy">
                  <c:v>44835</c:v>
                </c:pt>
                <c:pt idx="898" formatCode="m/d/yyyy">
                  <c:v>44866</c:v>
                </c:pt>
                <c:pt idx="899" formatCode="m/d/yyyy">
                  <c:v>44896</c:v>
                </c:pt>
                <c:pt idx="900" formatCode="m/d/yyyy">
                  <c:v>44927</c:v>
                </c:pt>
                <c:pt idx="901" formatCode="m/d/yyyy">
                  <c:v>44958</c:v>
                </c:pt>
                <c:pt idx="902" formatCode="m/d/yyyy">
                  <c:v>44986</c:v>
                </c:pt>
                <c:pt idx="903" formatCode="m/d/yyyy">
                  <c:v>45017</c:v>
                </c:pt>
                <c:pt idx="904" formatCode="m/d/yyyy">
                  <c:v>45047</c:v>
                </c:pt>
                <c:pt idx="905" formatCode="m/d/yyyy">
                  <c:v>45078</c:v>
                </c:pt>
                <c:pt idx="906" formatCode="m/d/yyyy">
                  <c:v>45108</c:v>
                </c:pt>
                <c:pt idx="907" formatCode="m/d/yyyy">
                  <c:v>45139</c:v>
                </c:pt>
                <c:pt idx="908" formatCode="m/d/yyyy">
                  <c:v>45170</c:v>
                </c:pt>
                <c:pt idx="909" formatCode="m/d/yyyy">
                  <c:v>45200</c:v>
                </c:pt>
                <c:pt idx="910" formatCode="m/d/yyyy">
                  <c:v>45231</c:v>
                </c:pt>
                <c:pt idx="911" formatCode="m/d/yyyy">
                  <c:v>45261</c:v>
                </c:pt>
                <c:pt idx="912" formatCode="m/d/yyyy">
                  <c:v>45292</c:v>
                </c:pt>
                <c:pt idx="913" formatCode="m/d/yyyy">
                  <c:v>45323</c:v>
                </c:pt>
                <c:pt idx="914" formatCode="m/d/yyyy">
                  <c:v>45352</c:v>
                </c:pt>
                <c:pt idx="915" formatCode="m/d/yyyy">
                  <c:v>45383</c:v>
                </c:pt>
                <c:pt idx="916" formatCode="m/d/yyyy">
                  <c:v>45413</c:v>
                </c:pt>
                <c:pt idx="917" formatCode="m/d/yyyy">
                  <c:v>45444</c:v>
                </c:pt>
                <c:pt idx="918" formatCode="m/d/yyyy">
                  <c:v>45474</c:v>
                </c:pt>
                <c:pt idx="919" formatCode="m/d/yyyy">
                  <c:v>45505</c:v>
                </c:pt>
                <c:pt idx="920" formatCode="m/d/yyyy">
                  <c:v>45536</c:v>
                </c:pt>
                <c:pt idx="921" formatCode="m/d/yyyy">
                  <c:v>45566</c:v>
                </c:pt>
                <c:pt idx="922" formatCode="m/d/yyyy">
                  <c:v>45597</c:v>
                </c:pt>
                <c:pt idx="923" formatCode="m/d/yyyy">
                  <c:v>45627</c:v>
                </c:pt>
                <c:pt idx="924" formatCode="m/d/yyyy">
                  <c:v>45658</c:v>
                </c:pt>
                <c:pt idx="925" formatCode="m/d/yyyy">
                  <c:v>45689</c:v>
                </c:pt>
                <c:pt idx="926" formatCode="m/d/yyyy">
                  <c:v>45717</c:v>
                </c:pt>
                <c:pt idx="927" formatCode="m/d/yyyy">
                  <c:v>45748</c:v>
                </c:pt>
                <c:pt idx="928" formatCode="m/d/yyyy">
                  <c:v>45778</c:v>
                </c:pt>
                <c:pt idx="929" formatCode="m/d/yyyy">
                  <c:v>45809</c:v>
                </c:pt>
                <c:pt idx="930" formatCode="m/d/yyyy">
                  <c:v>45839</c:v>
                </c:pt>
                <c:pt idx="931" formatCode="m/d/yyyy">
                  <c:v>45870</c:v>
                </c:pt>
                <c:pt idx="932" formatCode="m/d/yyyy">
                  <c:v>45901</c:v>
                </c:pt>
                <c:pt idx="933" formatCode="m/d/yyyy">
                  <c:v>45931</c:v>
                </c:pt>
                <c:pt idx="934" formatCode="m/d/yyyy">
                  <c:v>45962</c:v>
                </c:pt>
                <c:pt idx="935" formatCode="m/d/yyyy">
                  <c:v>45992</c:v>
                </c:pt>
              </c:numCache>
            </c:numRef>
          </c:xVal>
          <c:yVal>
            <c:numRef>
              <c:f>'Emp Pop Ratio'!$B$12:$B$947</c:f>
              <c:numCache>
                <c:formatCode>0.0</c:formatCode>
                <c:ptCount val="936"/>
                <c:pt idx="0">
                  <c:v>56.6</c:v>
                </c:pt>
                <c:pt idx="1">
                  <c:v>56.7</c:v>
                </c:pt>
                <c:pt idx="2">
                  <c:v>56.1</c:v>
                </c:pt>
                <c:pt idx="3">
                  <c:v>56.7</c:v>
                </c:pt>
                <c:pt idx="4">
                  <c:v>56.2</c:v>
                </c:pt>
                <c:pt idx="5">
                  <c:v>57</c:v>
                </c:pt>
                <c:pt idx="6">
                  <c:v>57.1</c:v>
                </c:pt>
                <c:pt idx="7">
                  <c:v>56.6</c:v>
                </c:pt>
                <c:pt idx="8">
                  <c:v>56.6</c:v>
                </c:pt>
                <c:pt idx="9">
                  <c:v>56.5</c:v>
                </c:pt>
                <c:pt idx="10">
                  <c:v>56.5</c:v>
                </c:pt>
                <c:pt idx="11">
                  <c:v>56.8</c:v>
                </c:pt>
                <c:pt idx="12">
                  <c:v>56.2</c:v>
                </c:pt>
                <c:pt idx="13">
                  <c:v>56.2</c:v>
                </c:pt>
                <c:pt idx="14">
                  <c:v>56</c:v>
                </c:pt>
                <c:pt idx="15">
                  <c:v>55.7</c:v>
                </c:pt>
                <c:pt idx="16">
                  <c:v>55.4</c:v>
                </c:pt>
                <c:pt idx="17">
                  <c:v>55</c:v>
                </c:pt>
                <c:pt idx="18">
                  <c:v>55</c:v>
                </c:pt>
                <c:pt idx="19">
                  <c:v>55.1</c:v>
                </c:pt>
                <c:pt idx="20">
                  <c:v>55.3</c:v>
                </c:pt>
                <c:pt idx="21">
                  <c:v>54.9</c:v>
                </c:pt>
                <c:pt idx="22">
                  <c:v>55.6</c:v>
                </c:pt>
                <c:pt idx="23">
                  <c:v>55.3</c:v>
                </c:pt>
                <c:pt idx="24">
                  <c:v>55.1</c:v>
                </c:pt>
                <c:pt idx="25">
                  <c:v>55.1</c:v>
                </c:pt>
                <c:pt idx="26">
                  <c:v>55.1</c:v>
                </c:pt>
                <c:pt idx="27">
                  <c:v>55.8</c:v>
                </c:pt>
                <c:pt idx="28">
                  <c:v>55.8</c:v>
                </c:pt>
                <c:pt idx="29">
                  <c:v>56.2</c:v>
                </c:pt>
                <c:pt idx="30">
                  <c:v>56.1</c:v>
                </c:pt>
                <c:pt idx="31">
                  <c:v>56.8</c:v>
                </c:pt>
                <c:pt idx="32">
                  <c:v>56.6</c:v>
                </c:pt>
                <c:pt idx="33">
                  <c:v>56.9</c:v>
                </c:pt>
                <c:pt idx="34">
                  <c:v>56.9</c:v>
                </c:pt>
                <c:pt idx="35">
                  <c:v>56.7</c:v>
                </c:pt>
                <c:pt idx="36">
                  <c:v>56.9</c:v>
                </c:pt>
                <c:pt idx="37">
                  <c:v>57</c:v>
                </c:pt>
                <c:pt idx="38">
                  <c:v>57.7</c:v>
                </c:pt>
                <c:pt idx="39">
                  <c:v>57.3</c:v>
                </c:pt>
                <c:pt idx="40">
                  <c:v>57.6</c:v>
                </c:pt>
                <c:pt idx="41">
                  <c:v>57.1</c:v>
                </c:pt>
                <c:pt idx="42">
                  <c:v>57.6</c:v>
                </c:pt>
                <c:pt idx="43">
                  <c:v>57.4</c:v>
                </c:pt>
                <c:pt idx="44">
                  <c:v>57.1</c:v>
                </c:pt>
                <c:pt idx="45">
                  <c:v>57.3</c:v>
                </c:pt>
                <c:pt idx="46">
                  <c:v>57.1</c:v>
                </c:pt>
                <c:pt idx="47">
                  <c:v>57.7</c:v>
                </c:pt>
                <c:pt idx="48">
                  <c:v>57.7</c:v>
                </c:pt>
                <c:pt idx="49">
                  <c:v>57.7</c:v>
                </c:pt>
                <c:pt idx="50">
                  <c:v>57.1</c:v>
                </c:pt>
                <c:pt idx="51">
                  <c:v>57.1</c:v>
                </c:pt>
                <c:pt idx="52">
                  <c:v>57.3</c:v>
                </c:pt>
                <c:pt idx="53">
                  <c:v>57.3</c:v>
                </c:pt>
                <c:pt idx="54">
                  <c:v>57</c:v>
                </c:pt>
                <c:pt idx="55">
                  <c:v>56.8</c:v>
                </c:pt>
                <c:pt idx="56">
                  <c:v>57.4</c:v>
                </c:pt>
                <c:pt idx="57">
                  <c:v>56.9</c:v>
                </c:pt>
                <c:pt idx="58">
                  <c:v>57.5</c:v>
                </c:pt>
                <c:pt idx="59">
                  <c:v>57.6</c:v>
                </c:pt>
                <c:pt idx="60">
                  <c:v>57.8</c:v>
                </c:pt>
                <c:pt idx="61">
                  <c:v>58</c:v>
                </c:pt>
                <c:pt idx="62">
                  <c:v>58.1</c:v>
                </c:pt>
                <c:pt idx="63">
                  <c:v>57.5</c:v>
                </c:pt>
                <c:pt idx="64">
                  <c:v>57.1</c:v>
                </c:pt>
                <c:pt idx="65">
                  <c:v>57.4</c:v>
                </c:pt>
                <c:pt idx="66">
                  <c:v>57.4</c:v>
                </c:pt>
                <c:pt idx="67">
                  <c:v>57.1</c:v>
                </c:pt>
                <c:pt idx="68">
                  <c:v>56.8</c:v>
                </c:pt>
                <c:pt idx="69">
                  <c:v>56.7</c:v>
                </c:pt>
                <c:pt idx="70">
                  <c:v>56.5</c:v>
                </c:pt>
                <c:pt idx="71">
                  <c:v>55.7</c:v>
                </c:pt>
                <c:pt idx="72">
                  <c:v>55.7</c:v>
                </c:pt>
                <c:pt idx="73">
                  <c:v>56.2</c:v>
                </c:pt>
                <c:pt idx="74">
                  <c:v>55.7</c:v>
                </c:pt>
                <c:pt idx="75">
                  <c:v>55.7</c:v>
                </c:pt>
                <c:pt idx="76">
                  <c:v>55.4</c:v>
                </c:pt>
                <c:pt idx="77">
                  <c:v>55.2</c:v>
                </c:pt>
                <c:pt idx="78">
                  <c:v>55</c:v>
                </c:pt>
                <c:pt idx="79">
                  <c:v>55.2</c:v>
                </c:pt>
                <c:pt idx="80">
                  <c:v>55.5</c:v>
                </c:pt>
                <c:pt idx="81">
                  <c:v>55.5</c:v>
                </c:pt>
                <c:pt idx="82">
                  <c:v>55.5</c:v>
                </c:pt>
                <c:pt idx="83">
                  <c:v>55.2</c:v>
                </c:pt>
                <c:pt idx="84">
                  <c:v>55.7</c:v>
                </c:pt>
                <c:pt idx="85">
                  <c:v>55.7</c:v>
                </c:pt>
                <c:pt idx="86">
                  <c:v>55.8</c:v>
                </c:pt>
                <c:pt idx="87">
                  <c:v>56.2</c:v>
                </c:pt>
                <c:pt idx="88">
                  <c:v>56.3</c:v>
                </c:pt>
                <c:pt idx="89">
                  <c:v>56.3</c:v>
                </c:pt>
                <c:pt idx="90">
                  <c:v>56.9</c:v>
                </c:pt>
                <c:pt idx="91">
                  <c:v>57.1</c:v>
                </c:pt>
                <c:pt idx="92">
                  <c:v>57.2</c:v>
                </c:pt>
                <c:pt idx="93">
                  <c:v>57.2</c:v>
                </c:pt>
                <c:pt idx="94">
                  <c:v>57.4</c:v>
                </c:pt>
                <c:pt idx="95">
                  <c:v>57.7</c:v>
                </c:pt>
                <c:pt idx="96">
                  <c:v>57.8</c:v>
                </c:pt>
                <c:pt idx="97">
                  <c:v>57.5</c:v>
                </c:pt>
                <c:pt idx="98">
                  <c:v>57.3</c:v>
                </c:pt>
                <c:pt idx="99">
                  <c:v>57.5</c:v>
                </c:pt>
                <c:pt idx="100">
                  <c:v>57.6</c:v>
                </c:pt>
                <c:pt idx="101">
                  <c:v>57.5</c:v>
                </c:pt>
                <c:pt idx="102">
                  <c:v>57.5</c:v>
                </c:pt>
                <c:pt idx="103">
                  <c:v>57.6</c:v>
                </c:pt>
                <c:pt idx="104">
                  <c:v>57.6</c:v>
                </c:pt>
                <c:pt idx="105">
                  <c:v>57.5</c:v>
                </c:pt>
                <c:pt idx="106">
                  <c:v>57.3</c:v>
                </c:pt>
                <c:pt idx="107">
                  <c:v>57.3</c:v>
                </c:pt>
                <c:pt idx="108">
                  <c:v>57</c:v>
                </c:pt>
                <c:pt idx="109">
                  <c:v>57.5</c:v>
                </c:pt>
                <c:pt idx="110">
                  <c:v>57.6</c:v>
                </c:pt>
                <c:pt idx="111">
                  <c:v>57.2</c:v>
                </c:pt>
                <c:pt idx="112">
                  <c:v>57.1</c:v>
                </c:pt>
                <c:pt idx="113">
                  <c:v>57.2</c:v>
                </c:pt>
                <c:pt idx="114">
                  <c:v>57.5</c:v>
                </c:pt>
                <c:pt idx="115">
                  <c:v>56.9</c:v>
                </c:pt>
                <c:pt idx="116">
                  <c:v>57</c:v>
                </c:pt>
                <c:pt idx="117">
                  <c:v>56.8</c:v>
                </c:pt>
                <c:pt idx="118">
                  <c:v>56.4</c:v>
                </c:pt>
                <c:pt idx="119">
                  <c:v>56.6</c:v>
                </c:pt>
                <c:pt idx="120">
                  <c:v>55.9</c:v>
                </c:pt>
                <c:pt idx="121">
                  <c:v>55.5</c:v>
                </c:pt>
                <c:pt idx="122">
                  <c:v>55.3</c:v>
                </c:pt>
                <c:pt idx="123">
                  <c:v>55.2</c:v>
                </c:pt>
                <c:pt idx="124">
                  <c:v>55.4</c:v>
                </c:pt>
                <c:pt idx="125">
                  <c:v>55.2</c:v>
                </c:pt>
                <c:pt idx="126">
                  <c:v>55.2</c:v>
                </c:pt>
                <c:pt idx="127">
                  <c:v>55.4</c:v>
                </c:pt>
                <c:pt idx="128">
                  <c:v>55.4</c:v>
                </c:pt>
                <c:pt idx="129">
                  <c:v>55.6</c:v>
                </c:pt>
                <c:pt idx="130">
                  <c:v>55.5</c:v>
                </c:pt>
                <c:pt idx="131">
                  <c:v>55.5</c:v>
                </c:pt>
                <c:pt idx="132">
                  <c:v>55.7</c:v>
                </c:pt>
                <c:pt idx="133">
                  <c:v>55.5</c:v>
                </c:pt>
                <c:pt idx="134">
                  <c:v>56</c:v>
                </c:pt>
                <c:pt idx="135">
                  <c:v>56.3</c:v>
                </c:pt>
                <c:pt idx="136">
                  <c:v>56.2</c:v>
                </c:pt>
                <c:pt idx="137">
                  <c:v>56.3</c:v>
                </c:pt>
                <c:pt idx="138">
                  <c:v>56.3</c:v>
                </c:pt>
                <c:pt idx="139">
                  <c:v>56.1</c:v>
                </c:pt>
                <c:pt idx="140">
                  <c:v>56</c:v>
                </c:pt>
                <c:pt idx="141">
                  <c:v>56.1</c:v>
                </c:pt>
                <c:pt idx="142">
                  <c:v>55.7</c:v>
                </c:pt>
                <c:pt idx="143">
                  <c:v>56.3</c:v>
                </c:pt>
                <c:pt idx="144">
                  <c:v>56</c:v>
                </c:pt>
                <c:pt idx="145">
                  <c:v>56.2</c:v>
                </c:pt>
                <c:pt idx="146">
                  <c:v>55.4</c:v>
                </c:pt>
                <c:pt idx="147">
                  <c:v>56.4</c:v>
                </c:pt>
                <c:pt idx="148">
                  <c:v>56.4</c:v>
                </c:pt>
                <c:pt idx="149">
                  <c:v>56.5</c:v>
                </c:pt>
                <c:pt idx="150">
                  <c:v>56.2</c:v>
                </c:pt>
                <c:pt idx="151">
                  <c:v>56.1</c:v>
                </c:pt>
                <c:pt idx="152">
                  <c:v>56.4</c:v>
                </c:pt>
                <c:pt idx="153">
                  <c:v>55.8</c:v>
                </c:pt>
                <c:pt idx="154">
                  <c:v>56.1</c:v>
                </c:pt>
                <c:pt idx="155">
                  <c:v>55.7</c:v>
                </c:pt>
                <c:pt idx="156">
                  <c:v>55.7</c:v>
                </c:pt>
                <c:pt idx="157">
                  <c:v>55.5</c:v>
                </c:pt>
                <c:pt idx="158">
                  <c:v>55.6</c:v>
                </c:pt>
                <c:pt idx="159">
                  <c:v>55.2</c:v>
                </c:pt>
                <c:pt idx="160">
                  <c:v>55.2</c:v>
                </c:pt>
                <c:pt idx="161">
                  <c:v>55.6</c:v>
                </c:pt>
                <c:pt idx="162">
                  <c:v>55.2</c:v>
                </c:pt>
                <c:pt idx="163">
                  <c:v>55.3</c:v>
                </c:pt>
                <c:pt idx="164">
                  <c:v>55</c:v>
                </c:pt>
                <c:pt idx="165">
                  <c:v>55.3</c:v>
                </c:pt>
                <c:pt idx="166">
                  <c:v>55.5</c:v>
                </c:pt>
                <c:pt idx="167">
                  <c:v>55.3</c:v>
                </c:pt>
                <c:pt idx="168">
                  <c:v>55.4</c:v>
                </c:pt>
                <c:pt idx="169">
                  <c:v>55.7</c:v>
                </c:pt>
                <c:pt idx="170">
                  <c:v>55.7</c:v>
                </c:pt>
                <c:pt idx="171">
                  <c:v>55.4</c:v>
                </c:pt>
                <c:pt idx="172">
                  <c:v>55.7</c:v>
                </c:pt>
                <c:pt idx="173">
                  <c:v>55.6</c:v>
                </c:pt>
                <c:pt idx="174">
                  <c:v>55.3</c:v>
                </c:pt>
                <c:pt idx="175">
                  <c:v>55.7</c:v>
                </c:pt>
                <c:pt idx="176">
                  <c:v>55.7</c:v>
                </c:pt>
                <c:pt idx="177">
                  <c:v>55.5</c:v>
                </c:pt>
                <c:pt idx="178">
                  <c:v>55.2</c:v>
                </c:pt>
                <c:pt idx="179">
                  <c:v>55.2</c:v>
                </c:pt>
                <c:pt idx="180">
                  <c:v>55.2</c:v>
                </c:pt>
                <c:pt idx="181">
                  <c:v>55.1</c:v>
                </c:pt>
                <c:pt idx="182">
                  <c:v>55.3</c:v>
                </c:pt>
                <c:pt idx="183">
                  <c:v>55.5</c:v>
                </c:pt>
                <c:pt idx="184">
                  <c:v>55.3</c:v>
                </c:pt>
                <c:pt idx="185">
                  <c:v>55.3</c:v>
                </c:pt>
                <c:pt idx="186">
                  <c:v>55.4</c:v>
                </c:pt>
                <c:pt idx="187">
                  <c:v>55.4</c:v>
                </c:pt>
                <c:pt idx="188">
                  <c:v>55.5</c:v>
                </c:pt>
                <c:pt idx="189">
                  <c:v>55.5</c:v>
                </c:pt>
                <c:pt idx="190">
                  <c:v>55.4</c:v>
                </c:pt>
                <c:pt idx="191">
                  <c:v>55.3</c:v>
                </c:pt>
                <c:pt idx="192">
                  <c:v>55.3</c:v>
                </c:pt>
                <c:pt idx="193">
                  <c:v>55.6</c:v>
                </c:pt>
                <c:pt idx="194">
                  <c:v>55.5</c:v>
                </c:pt>
                <c:pt idx="195">
                  <c:v>55.9</c:v>
                </c:pt>
                <c:pt idx="196">
                  <c:v>56.1</c:v>
                </c:pt>
                <c:pt idx="197">
                  <c:v>55.6</c:v>
                </c:pt>
                <c:pt idx="198">
                  <c:v>55.7</c:v>
                </c:pt>
                <c:pt idx="199">
                  <c:v>55.7</c:v>
                </c:pt>
                <c:pt idx="200">
                  <c:v>55.7</c:v>
                </c:pt>
                <c:pt idx="201">
                  <c:v>55.6</c:v>
                </c:pt>
                <c:pt idx="202">
                  <c:v>55.7</c:v>
                </c:pt>
                <c:pt idx="203">
                  <c:v>55.6</c:v>
                </c:pt>
                <c:pt idx="204">
                  <c:v>55.7</c:v>
                </c:pt>
                <c:pt idx="205">
                  <c:v>55.7</c:v>
                </c:pt>
                <c:pt idx="206">
                  <c:v>55.9</c:v>
                </c:pt>
                <c:pt idx="207">
                  <c:v>56</c:v>
                </c:pt>
                <c:pt idx="208">
                  <c:v>56.2</c:v>
                </c:pt>
                <c:pt idx="209">
                  <c:v>56.1</c:v>
                </c:pt>
                <c:pt idx="210">
                  <c:v>56.5</c:v>
                </c:pt>
                <c:pt idx="211">
                  <c:v>56.3</c:v>
                </c:pt>
                <c:pt idx="212">
                  <c:v>56.2</c:v>
                </c:pt>
                <c:pt idx="213">
                  <c:v>56.4</c:v>
                </c:pt>
                <c:pt idx="214">
                  <c:v>56.4</c:v>
                </c:pt>
                <c:pt idx="215">
                  <c:v>56.6</c:v>
                </c:pt>
                <c:pt idx="216">
                  <c:v>56.7</c:v>
                </c:pt>
                <c:pt idx="217">
                  <c:v>56.6</c:v>
                </c:pt>
                <c:pt idx="218">
                  <c:v>56.6</c:v>
                </c:pt>
                <c:pt idx="219">
                  <c:v>56.8</c:v>
                </c:pt>
                <c:pt idx="220">
                  <c:v>56.7</c:v>
                </c:pt>
                <c:pt idx="221">
                  <c:v>56.9</c:v>
                </c:pt>
                <c:pt idx="222">
                  <c:v>56.9</c:v>
                </c:pt>
                <c:pt idx="223">
                  <c:v>57</c:v>
                </c:pt>
                <c:pt idx="224">
                  <c:v>57.1</c:v>
                </c:pt>
                <c:pt idx="225">
                  <c:v>57.1</c:v>
                </c:pt>
                <c:pt idx="226">
                  <c:v>57.4</c:v>
                </c:pt>
                <c:pt idx="227">
                  <c:v>57.3</c:v>
                </c:pt>
                <c:pt idx="228">
                  <c:v>57.1</c:v>
                </c:pt>
                <c:pt idx="229">
                  <c:v>57</c:v>
                </c:pt>
                <c:pt idx="230">
                  <c:v>56.8</c:v>
                </c:pt>
                <c:pt idx="231">
                  <c:v>57.1</c:v>
                </c:pt>
                <c:pt idx="232">
                  <c:v>57</c:v>
                </c:pt>
                <c:pt idx="233">
                  <c:v>57.3</c:v>
                </c:pt>
                <c:pt idx="234">
                  <c:v>57.4</c:v>
                </c:pt>
                <c:pt idx="235">
                  <c:v>57.4</c:v>
                </c:pt>
                <c:pt idx="236">
                  <c:v>57.4</c:v>
                </c:pt>
                <c:pt idx="237">
                  <c:v>57.5</c:v>
                </c:pt>
                <c:pt idx="238">
                  <c:v>57.5</c:v>
                </c:pt>
                <c:pt idx="239">
                  <c:v>57.6</c:v>
                </c:pt>
                <c:pt idx="240">
                  <c:v>57</c:v>
                </c:pt>
                <c:pt idx="241">
                  <c:v>57.3</c:v>
                </c:pt>
                <c:pt idx="242">
                  <c:v>57.4</c:v>
                </c:pt>
                <c:pt idx="243">
                  <c:v>57.4</c:v>
                </c:pt>
                <c:pt idx="244">
                  <c:v>57.8</c:v>
                </c:pt>
                <c:pt idx="245">
                  <c:v>57.8</c:v>
                </c:pt>
                <c:pt idx="246">
                  <c:v>57.6</c:v>
                </c:pt>
                <c:pt idx="247">
                  <c:v>57.5</c:v>
                </c:pt>
                <c:pt idx="248">
                  <c:v>57.5</c:v>
                </c:pt>
                <c:pt idx="249">
                  <c:v>57.5</c:v>
                </c:pt>
                <c:pt idx="250">
                  <c:v>57.6</c:v>
                </c:pt>
                <c:pt idx="251">
                  <c:v>57.7</c:v>
                </c:pt>
                <c:pt idx="252">
                  <c:v>57.6</c:v>
                </c:pt>
                <c:pt idx="253">
                  <c:v>57.9</c:v>
                </c:pt>
                <c:pt idx="254">
                  <c:v>57.9</c:v>
                </c:pt>
                <c:pt idx="255">
                  <c:v>57.9</c:v>
                </c:pt>
                <c:pt idx="256">
                  <c:v>57.8</c:v>
                </c:pt>
                <c:pt idx="257">
                  <c:v>58</c:v>
                </c:pt>
                <c:pt idx="258">
                  <c:v>58</c:v>
                </c:pt>
                <c:pt idx="259">
                  <c:v>58.1</c:v>
                </c:pt>
                <c:pt idx="260">
                  <c:v>58.1</c:v>
                </c:pt>
                <c:pt idx="261">
                  <c:v>58.1</c:v>
                </c:pt>
                <c:pt idx="262">
                  <c:v>58.1</c:v>
                </c:pt>
                <c:pt idx="263">
                  <c:v>58.1</c:v>
                </c:pt>
                <c:pt idx="264">
                  <c:v>58</c:v>
                </c:pt>
                <c:pt idx="265">
                  <c:v>57.9</c:v>
                </c:pt>
                <c:pt idx="266">
                  <c:v>57.9</c:v>
                </c:pt>
                <c:pt idx="267">
                  <c:v>57.9</c:v>
                </c:pt>
                <c:pt idx="268">
                  <c:v>57.5</c:v>
                </c:pt>
                <c:pt idx="269">
                  <c:v>57.3</c:v>
                </c:pt>
                <c:pt idx="270">
                  <c:v>57.4</c:v>
                </c:pt>
                <c:pt idx="271">
                  <c:v>57.2</c:v>
                </c:pt>
                <c:pt idx="272">
                  <c:v>57</c:v>
                </c:pt>
                <c:pt idx="273">
                  <c:v>57</c:v>
                </c:pt>
                <c:pt idx="274">
                  <c:v>56.9</c:v>
                </c:pt>
                <c:pt idx="275">
                  <c:v>56.7</c:v>
                </c:pt>
                <c:pt idx="276">
                  <c:v>56.8</c:v>
                </c:pt>
                <c:pt idx="277">
                  <c:v>56.6</c:v>
                </c:pt>
                <c:pt idx="278">
                  <c:v>56.4</c:v>
                </c:pt>
                <c:pt idx="279">
                  <c:v>56.6</c:v>
                </c:pt>
                <c:pt idx="280">
                  <c:v>56.6</c:v>
                </c:pt>
                <c:pt idx="281">
                  <c:v>56.2</c:v>
                </c:pt>
                <c:pt idx="282">
                  <c:v>56.5</c:v>
                </c:pt>
                <c:pt idx="283">
                  <c:v>56.6</c:v>
                </c:pt>
                <c:pt idx="284">
                  <c:v>56.6</c:v>
                </c:pt>
                <c:pt idx="285">
                  <c:v>56.6</c:v>
                </c:pt>
                <c:pt idx="286">
                  <c:v>56.8</c:v>
                </c:pt>
                <c:pt idx="287">
                  <c:v>56.8</c:v>
                </c:pt>
                <c:pt idx="288">
                  <c:v>56.7</c:v>
                </c:pt>
                <c:pt idx="289">
                  <c:v>56.7</c:v>
                </c:pt>
                <c:pt idx="290">
                  <c:v>56.9</c:v>
                </c:pt>
                <c:pt idx="291">
                  <c:v>56.9</c:v>
                </c:pt>
                <c:pt idx="292">
                  <c:v>57</c:v>
                </c:pt>
                <c:pt idx="293">
                  <c:v>57</c:v>
                </c:pt>
                <c:pt idx="294">
                  <c:v>57</c:v>
                </c:pt>
                <c:pt idx="295">
                  <c:v>57.1</c:v>
                </c:pt>
                <c:pt idx="296">
                  <c:v>57</c:v>
                </c:pt>
                <c:pt idx="297">
                  <c:v>57</c:v>
                </c:pt>
                <c:pt idx="298">
                  <c:v>57.2</c:v>
                </c:pt>
                <c:pt idx="299">
                  <c:v>57.3</c:v>
                </c:pt>
                <c:pt idx="300">
                  <c:v>57.1</c:v>
                </c:pt>
                <c:pt idx="301">
                  <c:v>57.5</c:v>
                </c:pt>
                <c:pt idx="302">
                  <c:v>57.8</c:v>
                </c:pt>
                <c:pt idx="303">
                  <c:v>57.7</c:v>
                </c:pt>
                <c:pt idx="304">
                  <c:v>57.7</c:v>
                </c:pt>
                <c:pt idx="305">
                  <c:v>58</c:v>
                </c:pt>
                <c:pt idx="306">
                  <c:v>57.9</c:v>
                </c:pt>
                <c:pt idx="307">
                  <c:v>57.8</c:v>
                </c:pt>
                <c:pt idx="308">
                  <c:v>57.9</c:v>
                </c:pt>
                <c:pt idx="309">
                  <c:v>58.1</c:v>
                </c:pt>
                <c:pt idx="310">
                  <c:v>58.2</c:v>
                </c:pt>
                <c:pt idx="311">
                  <c:v>58.2</c:v>
                </c:pt>
                <c:pt idx="312">
                  <c:v>58.2</c:v>
                </c:pt>
                <c:pt idx="313">
                  <c:v>58.2</c:v>
                </c:pt>
                <c:pt idx="314">
                  <c:v>58.2</c:v>
                </c:pt>
                <c:pt idx="315">
                  <c:v>58</c:v>
                </c:pt>
                <c:pt idx="316">
                  <c:v>58</c:v>
                </c:pt>
                <c:pt idx="317">
                  <c:v>58</c:v>
                </c:pt>
                <c:pt idx="318">
                  <c:v>58</c:v>
                </c:pt>
                <c:pt idx="319">
                  <c:v>57.8</c:v>
                </c:pt>
                <c:pt idx="320">
                  <c:v>57.7</c:v>
                </c:pt>
                <c:pt idx="321">
                  <c:v>57.6</c:v>
                </c:pt>
                <c:pt idx="322">
                  <c:v>57.3</c:v>
                </c:pt>
                <c:pt idx="323">
                  <c:v>56.9</c:v>
                </c:pt>
                <c:pt idx="324">
                  <c:v>56.4</c:v>
                </c:pt>
                <c:pt idx="325">
                  <c:v>56.1</c:v>
                </c:pt>
                <c:pt idx="326">
                  <c:v>56</c:v>
                </c:pt>
                <c:pt idx="327">
                  <c:v>55.9</c:v>
                </c:pt>
                <c:pt idx="328">
                  <c:v>56</c:v>
                </c:pt>
                <c:pt idx="329">
                  <c:v>55.8</c:v>
                </c:pt>
                <c:pt idx="330">
                  <c:v>56</c:v>
                </c:pt>
                <c:pt idx="331">
                  <c:v>56.1</c:v>
                </c:pt>
                <c:pt idx="332">
                  <c:v>56.1</c:v>
                </c:pt>
                <c:pt idx="333">
                  <c:v>56.1</c:v>
                </c:pt>
                <c:pt idx="334">
                  <c:v>56</c:v>
                </c:pt>
                <c:pt idx="335">
                  <c:v>56.1</c:v>
                </c:pt>
                <c:pt idx="336">
                  <c:v>56.4</c:v>
                </c:pt>
                <c:pt idx="337">
                  <c:v>56.5</c:v>
                </c:pt>
                <c:pt idx="338">
                  <c:v>56.7</c:v>
                </c:pt>
                <c:pt idx="339">
                  <c:v>56.8</c:v>
                </c:pt>
                <c:pt idx="340">
                  <c:v>57</c:v>
                </c:pt>
                <c:pt idx="341">
                  <c:v>56.8</c:v>
                </c:pt>
                <c:pt idx="342">
                  <c:v>57</c:v>
                </c:pt>
                <c:pt idx="343">
                  <c:v>57</c:v>
                </c:pt>
                <c:pt idx="344">
                  <c:v>56.9</c:v>
                </c:pt>
                <c:pt idx="345">
                  <c:v>56.9</c:v>
                </c:pt>
                <c:pt idx="346">
                  <c:v>57</c:v>
                </c:pt>
                <c:pt idx="347">
                  <c:v>57</c:v>
                </c:pt>
                <c:pt idx="348">
                  <c:v>57</c:v>
                </c:pt>
                <c:pt idx="349">
                  <c:v>57.2</c:v>
                </c:pt>
                <c:pt idx="350">
                  <c:v>57.4</c:v>
                </c:pt>
                <c:pt idx="351">
                  <c:v>57.6</c:v>
                </c:pt>
                <c:pt idx="352">
                  <c:v>57.8</c:v>
                </c:pt>
                <c:pt idx="353">
                  <c:v>57.9</c:v>
                </c:pt>
                <c:pt idx="354">
                  <c:v>57.8</c:v>
                </c:pt>
                <c:pt idx="355">
                  <c:v>58</c:v>
                </c:pt>
                <c:pt idx="356">
                  <c:v>58.1</c:v>
                </c:pt>
                <c:pt idx="357">
                  <c:v>58.2</c:v>
                </c:pt>
                <c:pt idx="358">
                  <c:v>58.6</c:v>
                </c:pt>
                <c:pt idx="359">
                  <c:v>58.7</c:v>
                </c:pt>
                <c:pt idx="360">
                  <c:v>58.8</c:v>
                </c:pt>
                <c:pt idx="361">
                  <c:v>58.8</c:v>
                </c:pt>
                <c:pt idx="362">
                  <c:v>58.8</c:v>
                </c:pt>
                <c:pt idx="363">
                  <c:v>59.2</c:v>
                </c:pt>
                <c:pt idx="364">
                  <c:v>59.3</c:v>
                </c:pt>
                <c:pt idx="365">
                  <c:v>59.5</c:v>
                </c:pt>
                <c:pt idx="366">
                  <c:v>59.3</c:v>
                </c:pt>
                <c:pt idx="367">
                  <c:v>59.4</c:v>
                </c:pt>
                <c:pt idx="368">
                  <c:v>59.5</c:v>
                </c:pt>
                <c:pt idx="369">
                  <c:v>59.7</c:v>
                </c:pt>
                <c:pt idx="370">
                  <c:v>59.8</c:v>
                </c:pt>
                <c:pt idx="371">
                  <c:v>59.8</c:v>
                </c:pt>
                <c:pt idx="372">
                  <c:v>59.9</c:v>
                </c:pt>
                <c:pt idx="373">
                  <c:v>60.1</c:v>
                </c:pt>
                <c:pt idx="374">
                  <c:v>60</c:v>
                </c:pt>
                <c:pt idx="375">
                  <c:v>59.8</c:v>
                </c:pt>
                <c:pt idx="376">
                  <c:v>59.8</c:v>
                </c:pt>
                <c:pt idx="377">
                  <c:v>59.9</c:v>
                </c:pt>
                <c:pt idx="378">
                  <c:v>60</c:v>
                </c:pt>
                <c:pt idx="379">
                  <c:v>59.8</c:v>
                </c:pt>
                <c:pt idx="380">
                  <c:v>60</c:v>
                </c:pt>
                <c:pt idx="381">
                  <c:v>59.9</c:v>
                </c:pt>
                <c:pt idx="382">
                  <c:v>60</c:v>
                </c:pt>
                <c:pt idx="383">
                  <c:v>60.1</c:v>
                </c:pt>
                <c:pt idx="384">
                  <c:v>60</c:v>
                </c:pt>
                <c:pt idx="385">
                  <c:v>60</c:v>
                </c:pt>
                <c:pt idx="386">
                  <c:v>59.7</c:v>
                </c:pt>
                <c:pt idx="387">
                  <c:v>59.4</c:v>
                </c:pt>
                <c:pt idx="388">
                  <c:v>59.1</c:v>
                </c:pt>
                <c:pt idx="389">
                  <c:v>58.9</c:v>
                </c:pt>
                <c:pt idx="390">
                  <c:v>58.8</c:v>
                </c:pt>
                <c:pt idx="391">
                  <c:v>58.8</c:v>
                </c:pt>
                <c:pt idx="392">
                  <c:v>58.9</c:v>
                </c:pt>
                <c:pt idx="393">
                  <c:v>58.9</c:v>
                </c:pt>
                <c:pt idx="394">
                  <c:v>59</c:v>
                </c:pt>
                <c:pt idx="395">
                  <c:v>59</c:v>
                </c:pt>
                <c:pt idx="396">
                  <c:v>59.1</c:v>
                </c:pt>
                <c:pt idx="397">
                  <c:v>59.2</c:v>
                </c:pt>
                <c:pt idx="398">
                  <c:v>59.4</c:v>
                </c:pt>
                <c:pt idx="399">
                  <c:v>59.6</c:v>
                </c:pt>
                <c:pt idx="400">
                  <c:v>59.5</c:v>
                </c:pt>
                <c:pt idx="401">
                  <c:v>59</c:v>
                </c:pt>
                <c:pt idx="402">
                  <c:v>59.1</c:v>
                </c:pt>
                <c:pt idx="403">
                  <c:v>59.1</c:v>
                </c:pt>
                <c:pt idx="404">
                  <c:v>58.7</c:v>
                </c:pt>
                <c:pt idx="405">
                  <c:v>58.8</c:v>
                </c:pt>
                <c:pt idx="406">
                  <c:v>58.6</c:v>
                </c:pt>
                <c:pt idx="407">
                  <c:v>58.2</c:v>
                </c:pt>
                <c:pt idx="408">
                  <c:v>58.2</c:v>
                </c:pt>
                <c:pt idx="409">
                  <c:v>58.2</c:v>
                </c:pt>
                <c:pt idx="410">
                  <c:v>58.1</c:v>
                </c:pt>
                <c:pt idx="411">
                  <c:v>57.9</c:v>
                </c:pt>
                <c:pt idx="412">
                  <c:v>58.2</c:v>
                </c:pt>
                <c:pt idx="413">
                  <c:v>57.8</c:v>
                </c:pt>
                <c:pt idx="414">
                  <c:v>57.7</c:v>
                </c:pt>
                <c:pt idx="415">
                  <c:v>57.8</c:v>
                </c:pt>
                <c:pt idx="416">
                  <c:v>57.6</c:v>
                </c:pt>
                <c:pt idx="417">
                  <c:v>57.4</c:v>
                </c:pt>
                <c:pt idx="418">
                  <c:v>57.3</c:v>
                </c:pt>
                <c:pt idx="419">
                  <c:v>57.2</c:v>
                </c:pt>
                <c:pt idx="420">
                  <c:v>57.2</c:v>
                </c:pt>
                <c:pt idx="421">
                  <c:v>57.1</c:v>
                </c:pt>
                <c:pt idx="422">
                  <c:v>57.1</c:v>
                </c:pt>
                <c:pt idx="423">
                  <c:v>57.3</c:v>
                </c:pt>
                <c:pt idx="424">
                  <c:v>57.3</c:v>
                </c:pt>
                <c:pt idx="425">
                  <c:v>57.8</c:v>
                </c:pt>
                <c:pt idx="426">
                  <c:v>58.1</c:v>
                </c:pt>
                <c:pt idx="427">
                  <c:v>58.2</c:v>
                </c:pt>
                <c:pt idx="428">
                  <c:v>58.4</c:v>
                </c:pt>
                <c:pt idx="429">
                  <c:v>58.4</c:v>
                </c:pt>
                <c:pt idx="430">
                  <c:v>58.7</c:v>
                </c:pt>
                <c:pt idx="431">
                  <c:v>58.8</c:v>
                </c:pt>
                <c:pt idx="432">
                  <c:v>58.8</c:v>
                </c:pt>
                <c:pt idx="433">
                  <c:v>59.1</c:v>
                </c:pt>
                <c:pt idx="434">
                  <c:v>59.1</c:v>
                </c:pt>
                <c:pt idx="435">
                  <c:v>59.3</c:v>
                </c:pt>
                <c:pt idx="436">
                  <c:v>59.7</c:v>
                </c:pt>
                <c:pt idx="437">
                  <c:v>59.9</c:v>
                </c:pt>
                <c:pt idx="438">
                  <c:v>59.8</c:v>
                </c:pt>
                <c:pt idx="439">
                  <c:v>59.6</c:v>
                </c:pt>
                <c:pt idx="440">
                  <c:v>59.7</c:v>
                </c:pt>
                <c:pt idx="441">
                  <c:v>59.7</c:v>
                </c:pt>
                <c:pt idx="442">
                  <c:v>59.8</c:v>
                </c:pt>
                <c:pt idx="443">
                  <c:v>59.9</c:v>
                </c:pt>
                <c:pt idx="444">
                  <c:v>59.9</c:v>
                </c:pt>
                <c:pt idx="445">
                  <c:v>60</c:v>
                </c:pt>
                <c:pt idx="446">
                  <c:v>60.2</c:v>
                </c:pt>
                <c:pt idx="447">
                  <c:v>60.1</c:v>
                </c:pt>
                <c:pt idx="448">
                  <c:v>60.1</c:v>
                </c:pt>
                <c:pt idx="449">
                  <c:v>59.8</c:v>
                </c:pt>
                <c:pt idx="450">
                  <c:v>59.9</c:v>
                </c:pt>
                <c:pt idx="451">
                  <c:v>60</c:v>
                </c:pt>
                <c:pt idx="452">
                  <c:v>60.3</c:v>
                </c:pt>
                <c:pt idx="453">
                  <c:v>60.3</c:v>
                </c:pt>
                <c:pt idx="454">
                  <c:v>60.4</c:v>
                </c:pt>
                <c:pt idx="455">
                  <c:v>60.4</c:v>
                </c:pt>
                <c:pt idx="456">
                  <c:v>60.6</c:v>
                </c:pt>
                <c:pt idx="457">
                  <c:v>60.3</c:v>
                </c:pt>
                <c:pt idx="458">
                  <c:v>60.5</c:v>
                </c:pt>
                <c:pt idx="459">
                  <c:v>60.5</c:v>
                </c:pt>
                <c:pt idx="460">
                  <c:v>60.5</c:v>
                </c:pt>
                <c:pt idx="461">
                  <c:v>60.7</c:v>
                </c:pt>
                <c:pt idx="462">
                  <c:v>60.8</c:v>
                </c:pt>
                <c:pt idx="463">
                  <c:v>60.8</c:v>
                </c:pt>
                <c:pt idx="464">
                  <c:v>60.8</c:v>
                </c:pt>
                <c:pt idx="465">
                  <c:v>60.9</c:v>
                </c:pt>
                <c:pt idx="466">
                  <c:v>60.9</c:v>
                </c:pt>
                <c:pt idx="467">
                  <c:v>61</c:v>
                </c:pt>
                <c:pt idx="468">
                  <c:v>61</c:v>
                </c:pt>
                <c:pt idx="469">
                  <c:v>61.1</c:v>
                </c:pt>
                <c:pt idx="470">
                  <c:v>61.2</c:v>
                </c:pt>
                <c:pt idx="471">
                  <c:v>61.3</c:v>
                </c:pt>
                <c:pt idx="472">
                  <c:v>61.6</c:v>
                </c:pt>
                <c:pt idx="473">
                  <c:v>61.4</c:v>
                </c:pt>
                <c:pt idx="474">
                  <c:v>61.6</c:v>
                </c:pt>
                <c:pt idx="475">
                  <c:v>61.8</c:v>
                </c:pt>
                <c:pt idx="476">
                  <c:v>61.6</c:v>
                </c:pt>
                <c:pt idx="477">
                  <c:v>61.8</c:v>
                </c:pt>
                <c:pt idx="478">
                  <c:v>61.9</c:v>
                </c:pt>
                <c:pt idx="479">
                  <c:v>62</c:v>
                </c:pt>
                <c:pt idx="480">
                  <c:v>62</c:v>
                </c:pt>
                <c:pt idx="481">
                  <c:v>62.1</c:v>
                </c:pt>
                <c:pt idx="482">
                  <c:v>61.9</c:v>
                </c:pt>
                <c:pt idx="483">
                  <c:v>62.2</c:v>
                </c:pt>
                <c:pt idx="484">
                  <c:v>62</c:v>
                </c:pt>
                <c:pt idx="485">
                  <c:v>62.3</c:v>
                </c:pt>
                <c:pt idx="486">
                  <c:v>62.3</c:v>
                </c:pt>
                <c:pt idx="487">
                  <c:v>62.4</c:v>
                </c:pt>
                <c:pt idx="488">
                  <c:v>62.4</c:v>
                </c:pt>
                <c:pt idx="489">
                  <c:v>62.5</c:v>
                </c:pt>
                <c:pt idx="490">
                  <c:v>62.7</c:v>
                </c:pt>
                <c:pt idx="491">
                  <c:v>62.6</c:v>
                </c:pt>
                <c:pt idx="492">
                  <c:v>62.9</c:v>
                </c:pt>
                <c:pt idx="493">
                  <c:v>62.9</c:v>
                </c:pt>
                <c:pt idx="494">
                  <c:v>62.9</c:v>
                </c:pt>
                <c:pt idx="495">
                  <c:v>62.9</c:v>
                </c:pt>
                <c:pt idx="496">
                  <c:v>62.9</c:v>
                </c:pt>
                <c:pt idx="497">
                  <c:v>63</c:v>
                </c:pt>
                <c:pt idx="498">
                  <c:v>63</c:v>
                </c:pt>
                <c:pt idx="499">
                  <c:v>63.1</c:v>
                </c:pt>
                <c:pt idx="500">
                  <c:v>62.8</c:v>
                </c:pt>
                <c:pt idx="501">
                  <c:v>62.9</c:v>
                </c:pt>
                <c:pt idx="502">
                  <c:v>63</c:v>
                </c:pt>
                <c:pt idx="503">
                  <c:v>63</c:v>
                </c:pt>
                <c:pt idx="504">
                  <c:v>63.2</c:v>
                </c:pt>
                <c:pt idx="505">
                  <c:v>63.2</c:v>
                </c:pt>
                <c:pt idx="506">
                  <c:v>63.2</c:v>
                </c:pt>
                <c:pt idx="507">
                  <c:v>63</c:v>
                </c:pt>
                <c:pt idx="508">
                  <c:v>63.1</c:v>
                </c:pt>
                <c:pt idx="509">
                  <c:v>62.9</c:v>
                </c:pt>
                <c:pt idx="510">
                  <c:v>62.8</c:v>
                </c:pt>
                <c:pt idx="511">
                  <c:v>62.7</c:v>
                </c:pt>
                <c:pt idx="512">
                  <c:v>62.5</c:v>
                </c:pt>
                <c:pt idx="513">
                  <c:v>62.5</c:v>
                </c:pt>
                <c:pt idx="514">
                  <c:v>62.3</c:v>
                </c:pt>
                <c:pt idx="515">
                  <c:v>62.2</c:v>
                </c:pt>
                <c:pt idx="516">
                  <c:v>62</c:v>
                </c:pt>
                <c:pt idx="517">
                  <c:v>61.9</c:v>
                </c:pt>
                <c:pt idx="518">
                  <c:v>61.8</c:v>
                </c:pt>
                <c:pt idx="519">
                  <c:v>62</c:v>
                </c:pt>
                <c:pt idx="520">
                  <c:v>61.6</c:v>
                </c:pt>
                <c:pt idx="521">
                  <c:v>61.7</c:v>
                </c:pt>
                <c:pt idx="522">
                  <c:v>61.6</c:v>
                </c:pt>
                <c:pt idx="523">
                  <c:v>61.5</c:v>
                </c:pt>
                <c:pt idx="524">
                  <c:v>61.6</c:v>
                </c:pt>
                <c:pt idx="525">
                  <c:v>61.5</c:v>
                </c:pt>
                <c:pt idx="526">
                  <c:v>61.4</c:v>
                </c:pt>
                <c:pt idx="527">
                  <c:v>61.2</c:v>
                </c:pt>
                <c:pt idx="528">
                  <c:v>61.5</c:v>
                </c:pt>
                <c:pt idx="529">
                  <c:v>61.3</c:v>
                </c:pt>
                <c:pt idx="530">
                  <c:v>61.5</c:v>
                </c:pt>
                <c:pt idx="531">
                  <c:v>61.6</c:v>
                </c:pt>
                <c:pt idx="532">
                  <c:v>61.5</c:v>
                </c:pt>
                <c:pt idx="533">
                  <c:v>61.5</c:v>
                </c:pt>
                <c:pt idx="534">
                  <c:v>61.6</c:v>
                </c:pt>
                <c:pt idx="535">
                  <c:v>61.6</c:v>
                </c:pt>
                <c:pt idx="536">
                  <c:v>61.4</c:v>
                </c:pt>
                <c:pt idx="537">
                  <c:v>61.3</c:v>
                </c:pt>
                <c:pt idx="538">
                  <c:v>61.4</c:v>
                </c:pt>
                <c:pt idx="539">
                  <c:v>61.4</c:v>
                </c:pt>
                <c:pt idx="540">
                  <c:v>61.4</c:v>
                </c:pt>
                <c:pt idx="541">
                  <c:v>61.4</c:v>
                </c:pt>
                <c:pt idx="542">
                  <c:v>61.5</c:v>
                </c:pt>
                <c:pt idx="543">
                  <c:v>61.5</c:v>
                </c:pt>
                <c:pt idx="544">
                  <c:v>61.7</c:v>
                </c:pt>
                <c:pt idx="545">
                  <c:v>61.8</c:v>
                </c:pt>
                <c:pt idx="546">
                  <c:v>61.8</c:v>
                </c:pt>
                <c:pt idx="547">
                  <c:v>62</c:v>
                </c:pt>
                <c:pt idx="548">
                  <c:v>61.7</c:v>
                </c:pt>
                <c:pt idx="549">
                  <c:v>61.8</c:v>
                </c:pt>
                <c:pt idx="550">
                  <c:v>61.9</c:v>
                </c:pt>
                <c:pt idx="551">
                  <c:v>62</c:v>
                </c:pt>
                <c:pt idx="552">
                  <c:v>62.2</c:v>
                </c:pt>
                <c:pt idx="553">
                  <c:v>62.3</c:v>
                </c:pt>
                <c:pt idx="554">
                  <c:v>62.1</c:v>
                </c:pt>
                <c:pt idx="555">
                  <c:v>62.3</c:v>
                </c:pt>
                <c:pt idx="556">
                  <c:v>62.5</c:v>
                </c:pt>
                <c:pt idx="557">
                  <c:v>62.3</c:v>
                </c:pt>
                <c:pt idx="558">
                  <c:v>62.3</c:v>
                </c:pt>
                <c:pt idx="559">
                  <c:v>62.6</c:v>
                </c:pt>
                <c:pt idx="560">
                  <c:v>62.7</c:v>
                </c:pt>
                <c:pt idx="561">
                  <c:v>62.9</c:v>
                </c:pt>
                <c:pt idx="562">
                  <c:v>63</c:v>
                </c:pt>
                <c:pt idx="563">
                  <c:v>63.1</c:v>
                </c:pt>
                <c:pt idx="564">
                  <c:v>63</c:v>
                </c:pt>
                <c:pt idx="565">
                  <c:v>63.1</c:v>
                </c:pt>
                <c:pt idx="566">
                  <c:v>63.1</c:v>
                </c:pt>
                <c:pt idx="567">
                  <c:v>63.1</c:v>
                </c:pt>
                <c:pt idx="568">
                  <c:v>62.7</c:v>
                </c:pt>
                <c:pt idx="569">
                  <c:v>62.7</c:v>
                </c:pt>
                <c:pt idx="570">
                  <c:v>62.8</c:v>
                </c:pt>
                <c:pt idx="571">
                  <c:v>62.8</c:v>
                </c:pt>
                <c:pt idx="572">
                  <c:v>62.9</c:v>
                </c:pt>
                <c:pt idx="573">
                  <c:v>62.9</c:v>
                </c:pt>
                <c:pt idx="574">
                  <c:v>62.8</c:v>
                </c:pt>
                <c:pt idx="575">
                  <c:v>62.7</c:v>
                </c:pt>
                <c:pt idx="576">
                  <c:v>62.7</c:v>
                </c:pt>
                <c:pt idx="577">
                  <c:v>62.9</c:v>
                </c:pt>
                <c:pt idx="578">
                  <c:v>63</c:v>
                </c:pt>
                <c:pt idx="579">
                  <c:v>63</c:v>
                </c:pt>
                <c:pt idx="580">
                  <c:v>63</c:v>
                </c:pt>
                <c:pt idx="581">
                  <c:v>63.2</c:v>
                </c:pt>
                <c:pt idx="582">
                  <c:v>63.3</c:v>
                </c:pt>
                <c:pt idx="583">
                  <c:v>63.3</c:v>
                </c:pt>
                <c:pt idx="584">
                  <c:v>63.4</c:v>
                </c:pt>
                <c:pt idx="585">
                  <c:v>63.5</c:v>
                </c:pt>
                <c:pt idx="586">
                  <c:v>63.4</c:v>
                </c:pt>
                <c:pt idx="587">
                  <c:v>63.4</c:v>
                </c:pt>
                <c:pt idx="588">
                  <c:v>63.4</c:v>
                </c:pt>
                <c:pt idx="589">
                  <c:v>63.4</c:v>
                </c:pt>
                <c:pt idx="590">
                  <c:v>63.6</c:v>
                </c:pt>
                <c:pt idx="591">
                  <c:v>63.7</c:v>
                </c:pt>
                <c:pt idx="592">
                  <c:v>63.8</c:v>
                </c:pt>
                <c:pt idx="593">
                  <c:v>63.7</c:v>
                </c:pt>
                <c:pt idx="594">
                  <c:v>63.9</c:v>
                </c:pt>
                <c:pt idx="595">
                  <c:v>63.9</c:v>
                </c:pt>
                <c:pt idx="596">
                  <c:v>63.9</c:v>
                </c:pt>
                <c:pt idx="597">
                  <c:v>63.9</c:v>
                </c:pt>
                <c:pt idx="598">
                  <c:v>64.099999999999994</c:v>
                </c:pt>
                <c:pt idx="599">
                  <c:v>64</c:v>
                </c:pt>
                <c:pt idx="600">
                  <c:v>64</c:v>
                </c:pt>
                <c:pt idx="601">
                  <c:v>64</c:v>
                </c:pt>
                <c:pt idx="602">
                  <c:v>64</c:v>
                </c:pt>
                <c:pt idx="603">
                  <c:v>64.099999999999994</c:v>
                </c:pt>
                <c:pt idx="604">
                  <c:v>64.099999999999994</c:v>
                </c:pt>
                <c:pt idx="605">
                  <c:v>64</c:v>
                </c:pt>
                <c:pt idx="606">
                  <c:v>64</c:v>
                </c:pt>
                <c:pt idx="607">
                  <c:v>63.9</c:v>
                </c:pt>
                <c:pt idx="608">
                  <c:v>64.2</c:v>
                </c:pt>
                <c:pt idx="609">
                  <c:v>64.099999999999994</c:v>
                </c:pt>
                <c:pt idx="610">
                  <c:v>64.2</c:v>
                </c:pt>
                <c:pt idx="611">
                  <c:v>64.3</c:v>
                </c:pt>
                <c:pt idx="612">
                  <c:v>64.400000000000006</c:v>
                </c:pt>
                <c:pt idx="613">
                  <c:v>64.2</c:v>
                </c:pt>
                <c:pt idx="614">
                  <c:v>64.2</c:v>
                </c:pt>
                <c:pt idx="615">
                  <c:v>64.2</c:v>
                </c:pt>
                <c:pt idx="616">
                  <c:v>64.3</c:v>
                </c:pt>
                <c:pt idx="617">
                  <c:v>64.2</c:v>
                </c:pt>
                <c:pt idx="618">
                  <c:v>64.2</c:v>
                </c:pt>
                <c:pt idx="619">
                  <c:v>64.2</c:v>
                </c:pt>
                <c:pt idx="620">
                  <c:v>64.2</c:v>
                </c:pt>
                <c:pt idx="621">
                  <c:v>64.3</c:v>
                </c:pt>
                <c:pt idx="622">
                  <c:v>64.400000000000006</c:v>
                </c:pt>
                <c:pt idx="623">
                  <c:v>64.400000000000006</c:v>
                </c:pt>
                <c:pt idx="624">
                  <c:v>64.599999999999994</c:v>
                </c:pt>
                <c:pt idx="625">
                  <c:v>64.599999999999994</c:v>
                </c:pt>
                <c:pt idx="626">
                  <c:v>64.599999999999994</c:v>
                </c:pt>
                <c:pt idx="627">
                  <c:v>64.7</c:v>
                </c:pt>
                <c:pt idx="628">
                  <c:v>64.400000000000006</c:v>
                </c:pt>
                <c:pt idx="629">
                  <c:v>64.5</c:v>
                </c:pt>
                <c:pt idx="630">
                  <c:v>64.2</c:v>
                </c:pt>
                <c:pt idx="631">
                  <c:v>64.2</c:v>
                </c:pt>
                <c:pt idx="632">
                  <c:v>64.2</c:v>
                </c:pt>
                <c:pt idx="633">
                  <c:v>64.2</c:v>
                </c:pt>
                <c:pt idx="634">
                  <c:v>64.3</c:v>
                </c:pt>
                <c:pt idx="635">
                  <c:v>64.400000000000006</c:v>
                </c:pt>
                <c:pt idx="636">
                  <c:v>64.400000000000006</c:v>
                </c:pt>
                <c:pt idx="637">
                  <c:v>64.3</c:v>
                </c:pt>
                <c:pt idx="638">
                  <c:v>64.3</c:v>
                </c:pt>
                <c:pt idx="639">
                  <c:v>64</c:v>
                </c:pt>
                <c:pt idx="640">
                  <c:v>63.8</c:v>
                </c:pt>
                <c:pt idx="641">
                  <c:v>63.7</c:v>
                </c:pt>
                <c:pt idx="642">
                  <c:v>63.7</c:v>
                </c:pt>
                <c:pt idx="643">
                  <c:v>63.2</c:v>
                </c:pt>
                <c:pt idx="644">
                  <c:v>63.5</c:v>
                </c:pt>
                <c:pt idx="645">
                  <c:v>63.2</c:v>
                </c:pt>
                <c:pt idx="646">
                  <c:v>63</c:v>
                </c:pt>
                <c:pt idx="647">
                  <c:v>62.9</c:v>
                </c:pt>
                <c:pt idx="648">
                  <c:v>62.7</c:v>
                </c:pt>
                <c:pt idx="649">
                  <c:v>63</c:v>
                </c:pt>
                <c:pt idx="650">
                  <c:v>62.8</c:v>
                </c:pt>
                <c:pt idx="651">
                  <c:v>62.7</c:v>
                </c:pt>
                <c:pt idx="652">
                  <c:v>62.9</c:v>
                </c:pt>
                <c:pt idx="653">
                  <c:v>62.7</c:v>
                </c:pt>
                <c:pt idx="654">
                  <c:v>62.7</c:v>
                </c:pt>
                <c:pt idx="655">
                  <c:v>62.7</c:v>
                </c:pt>
                <c:pt idx="656">
                  <c:v>63</c:v>
                </c:pt>
                <c:pt idx="657">
                  <c:v>62.7</c:v>
                </c:pt>
                <c:pt idx="658">
                  <c:v>62.5</c:v>
                </c:pt>
                <c:pt idx="659">
                  <c:v>62.4</c:v>
                </c:pt>
                <c:pt idx="660">
                  <c:v>62.5</c:v>
                </c:pt>
                <c:pt idx="661">
                  <c:v>62.5</c:v>
                </c:pt>
                <c:pt idx="662">
                  <c:v>62.4</c:v>
                </c:pt>
                <c:pt idx="663">
                  <c:v>62.4</c:v>
                </c:pt>
                <c:pt idx="664">
                  <c:v>62.3</c:v>
                </c:pt>
                <c:pt idx="665">
                  <c:v>62.3</c:v>
                </c:pt>
                <c:pt idx="666">
                  <c:v>62.1</c:v>
                </c:pt>
                <c:pt idx="667">
                  <c:v>62.1</c:v>
                </c:pt>
                <c:pt idx="668">
                  <c:v>62</c:v>
                </c:pt>
                <c:pt idx="669">
                  <c:v>62.1</c:v>
                </c:pt>
                <c:pt idx="670">
                  <c:v>62.3</c:v>
                </c:pt>
                <c:pt idx="671">
                  <c:v>62.2</c:v>
                </c:pt>
                <c:pt idx="672">
                  <c:v>62.3</c:v>
                </c:pt>
                <c:pt idx="673">
                  <c:v>62.3</c:v>
                </c:pt>
                <c:pt idx="674">
                  <c:v>62.2</c:v>
                </c:pt>
                <c:pt idx="675">
                  <c:v>62.3</c:v>
                </c:pt>
                <c:pt idx="676">
                  <c:v>62.3</c:v>
                </c:pt>
                <c:pt idx="677">
                  <c:v>62.4</c:v>
                </c:pt>
                <c:pt idx="678">
                  <c:v>62.5</c:v>
                </c:pt>
                <c:pt idx="679">
                  <c:v>62.4</c:v>
                </c:pt>
                <c:pt idx="680">
                  <c:v>62.3</c:v>
                </c:pt>
                <c:pt idx="681">
                  <c:v>62.3</c:v>
                </c:pt>
                <c:pt idx="682">
                  <c:v>62.5</c:v>
                </c:pt>
                <c:pt idx="683">
                  <c:v>62.4</c:v>
                </c:pt>
                <c:pt idx="684">
                  <c:v>62.4</c:v>
                </c:pt>
                <c:pt idx="685">
                  <c:v>62.4</c:v>
                </c:pt>
                <c:pt idx="686">
                  <c:v>62.4</c:v>
                </c:pt>
                <c:pt idx="687">
                  <c:v>62.7</c:v>
                </c:pt>
                <c:pt idx="688">
                  <c:v>62.8</c:v>
                </c:pt>
                <c:pt idx="689">
                  <c:v>62.7</c:v>
                </c:pt>
                <c:pt idx="690">
                  <c:v>62.8</c:v>
                </c:pt>
                <c:pt idx="691">
                  <c:v>62.9</c:v>
                </c:pt>
                <c:pt idx="692">
                  <c:v>62.8</c:v>
                </c:pt>
                <c:pt idx="693">
                  <c:v>62.8</c:v>
                </c:pt>
                <c:pt idx="694">
                  <c:v>62.7</c:v>
                </c:pt>
                <c:pt idx="695">
                  <c:v>62.8</c:v>
                </c:pt>
                <c:pt idx="696">
                  <c:v>62.9</c:v>
                </c:pt>
                <c:pt idx="697">
                  <c:v>63</c:v>
                </c:pt>
                <c:pt idx="698">
                  <c:v>63.1</c:v>
                </c:pt>
                <c:pt idx="699">
                  <c:v>63</c:v>
                </c:pt>
                <c:pt idx="700">
                  <c:v>63.1</c:v>
                </c:pt>
                <c:pt idx="701">
                  <c:v>63.1</c:v>
                </c:pt>
                <c:pt idx="702">
                  <c:v>63</c:v>
                </c:pt>
                <c:pt idx="703">
                  <c:v>63.1</c:v>
                </c:pt>
                <c:pt idx="704">
                  <c:v>63.1</c:v>
                </c:pt>
                <c:pt idx="705">
                  <c:v>63.3</c:v>
                </c:pt>
                <c:pt idx="706">
                  <c:v>63.3</c:v>
                </c:pt>
                <c:pt idx="707">
                  <c:v>63.4</c:v>
                </c:pt>
                <c:pt idx="708">
                  <c:v>63.3</c:v>
                </c:pt>
                <c:pt idx="709">
                  <c:v>63.3</c:v>
                </c:pt>
                <c:pt idx="710">
                  <c:v>63.3</c:v>
                </c:pt>
                <c:pt idx="711">
                  <c:v>63</c:v>
                </c:pt>
                <c:pt idx="712">
                  <c:v>63</c:v>
                </c:pt>
                <c:pt idx="713">
                  <c:v>63</c:v>
                </c:pt>
                <c:pt idx="714">
                  <c:v>62.9</c:v>
                </c:pt>
                <c:pt idx="715">
                  <c:v>62.7</c:v>
                </c:pt>
                <c:pt idx="716">
                  <c:v>62.9</c:v>
                </c:pt>
                <c:pt idx="717">
                  <c:v>62.7</c:v>
                </c:pt>
                <c:pt idx="718">
                  <c:v>62.9</c:v>
                </c:pt>
                <c:pt idx="719">
                  <c:v>62.7</c:v>
                </c:pt>
                <c:pt idx="720">
                  <c:v>62.9</c:v>
                </c:pt>
                <c:pt idx="721">
                  <c:v>62.8</c:v>
                </c:pt>
                <c:pt idx="722">
                  <c:v>62.7</c:v>
                </c:pt>
                <c:pt idx="723">
                  <c:v>62.7</c:v>
                </c:pt>
                <c:pt idx="724">
                  <c:v>62.5</c:v>
                </c:pt>
                <c:pt idx="725">
                  <c:v>62.4</c:v>
                </c:pt>
                <c:pt idx="726">
                  <c:v>62.2</c:v>
                </c:pt>
                <c:pt idx="727">
                  <c:v>62</c:v>
                </c:pt>
                <c:pt idx="728">
                  <c:v>61.9</c:v>
                </c:pt>
                <c:pt idx="729">
                  <c:v>61.7</c:v>
                </c:pt>
                <c:pt idx="730">
                  <c:v>61.4</c:v>
                </c:pt>
                <c:pt idx="731">
                  <c:v>61</c:v>
                </c:pt>
                <c:pt idx="732">
                  <c:v>60.6</c:v>
                </c:pt>
                <c:pt idx="733">
                  <c:v>60.3</c:v>
                </c:pt>
                <c:pt idx="734">
                  <c:v>59.9</c:v>
                </c:pt>
                <c:pt idx="735">
                  <c:v>59.8</c:v>
                </c:pt>
                <c:pt idx="736">
                  <c:v>59.6</c:v>
                </c:pt>
                <c:pt idx="737">
                  <c:v>59.4</c:v>
                </c:pt>
                <c:pt idx="738">
                  <c:v>59.3</c:v>
                </c:pt>
                <c:pt idx="739">
                  <c:v>59.1</c:v>
                </c:pt>
                <c:pt idx="740">
                  <c:v>58.7</c:v>
                </c:pt>
                <c:pt idx="741">
                  <c:v>58.5</c:v>
                </c:pt>
                <c:pt idx="742">
                  <c:v>58.6</c:v>
                </c:pt>
                <c:pt idx="743">
                  <c:v>58.3</c:v>
                </c:pt>
                <c:pt idx="744">
                  <c:v>58.5</c:v>
                </c:pt>
                <c:pt idx="745">
                  <c:v>58.5</c:v>
                </c:pt>
                <c:pt idx="746">
                  <c:v>58.5</c:v>
                </c:pt>
                <c:pt idx="747">
                  <c:v>58.7</c:v>
                </c:pt>
                <c:pt idx="748">
                  <c:v>58.6</c:v>
                </c:pt>
                <c:pt idx="749">
                  <c:v>58.5</c:v>
                </c:pt>
                <c:pt idx="750">
                  <c:v>58.5</c:v>
                </c:pt>
                <c:pt idx="751">
                  <c:v>58.6</c:v>
                </c:pt>
                <c:pt idx="752">
                  <c:v>58.5</c:v>
                </c:pt>
                <c:pt idx="753">
                  <c:v>58.3</c:v>
                </c:pt>
                <c:pt idx="754">
                  <c:v>58.2</c:v>
                </c:pt>
                <c:pt idx="755">
                  <c:v>58.3</c:v>
                </c:pt>
                <c:pt idx="756">
                  <c:v>58.3</c:v>
                </c:pt>
                <c:pt idx="757">
                  <c:v>58.4</c:v>
                </c:pt>
                <c:pt idx="758">
                  <c:v>58.4</c:v>
                </c:pt>
                <c:pt idx="759">
                  <c:v>58.4</c:v>
                </c:pt>
                <c:pt idx="760">
                  <c:v>58.3</c:v>
                </c:pt>
                <c:pt idx="761">
                  <c:v>58.2</c:v>
                </c:pt>
                <c:pt idx="762">
                  <c:v>58.2</c:v>
                </c:pt>
                <c:pt idx="763">
                  <c:v>58.3</c:v>
                </c:pt>
                <c:pt idx="764">
                  <c:v>58.4</c:v>
                </c:pt>
                <c:pt idx="765">
                  <c:v>58.4</c:v>
                </c:pt>
                <c:pt idx="766">
                  <c:v>58.6</c:v>
                </c:pt>
                <c:pt idx="767">
                  <c:v>58.6</c:v>
                </c:pt>
                <c:pt idx="768">
                  <c:v>58.4</c:v>
                </c:pt>
                <c:pt idx="769">
                  <c:v>58.5</c:v>
                </c:pt>
                <c:pt idx="770">
                  <c:v>58.5</c:v>
                </c:pt>
                <c:pt idx="771">
                  <c:v>58.4</c:v>
                </c:pt>
                <c:pt idx="772">
                  <c:v>58.5</c:v>
                </c:pt>
                <c:pt idx="773">
                  <c:v>58.6</c:v>
                </c:pt>
                <c:pt idx="774">
                  <c:v>58.5</c:v>
                </c:pt>
                <c:pt idx="775">
                  <c:v>58.4</c:v>
                </c:pt>
                <c:pt idx="776">
                  <c:v>58.7</c:v>
                </c:pt>
                <c:pt idx="777">
                  <c:v>58.8</c:v>
                </c:pt>
                <c:pt idx="778">
                  <c:v>58.7</c:v>
                </c:pt>
                <c:pt idx="779">
                  <c:v>58.7</c:v>
                </c:pt>
                <c:pt idx="780">
                  <c:v>58.6</c:v>
                </c:pt>
                <c:pt idx="781">
                  <c:v>58.6</c:v>
                </c:pt>
                <c:pt idx="782">
                  <c:v>58.5</c:v>
                </c:pt>
                <c:pt idx="783">
                  <c:v>58.6</c:v>
                </c:pt>
                <c:pt idx="784">
                  <c:v>58.6</c:v>
                </c:pt>
                <c:pt idx="785">
                  <c:v>58.6</c:v>
                </c:pt>
                <c:pt idx="786">
                  <c:v>58.7</c:v>
                </c:pt>
                <c:pt idx="787">
                  <c:v>58.7</c:v>
                </c:pt>
                <c:pt idx="788">
                  <c:v>58.7</c:v>
                </c:pt>
                <c:pt idx="789">
                  <c:v>58.3</c:v>
                </c:pt>
                <c:pt idx="790">
                  <c:v>58.6</c:v>
                </c:pt>
                <c:pt idx="791">
                  <c:v>58.7</c:v>
                </c:pt>
                <c:pt idx="792">
                  <c:v>58.8</c:v>
                </c:pt>
                <c:pt idx="793">
                  <c:v>58.7</c:v>
                </c:pt>
                <c:pt idx="794">
                  <c:v>58.9</c:v>
                </c:pt>
                <c:pt idx="795">
                  <c:v>58.9</c:v>
                </c:pt>
                <c:pt idx="796">
                  <c:v>58.9</c:v>
                </c:pt>
                <c:pt idx="797">
                  <c:v>59</c:v>
                </c:pt>
                <c:pt idx="798">
                  <c:v>59</c:v>
                </c:pt>
                <c:pt idx="799">
                  <c:v>59</c:v>
                </c:pt>
                <c:pt idx="800">
                  <c:v>59.1</c:v>
                </c:pt>
                <c:pt idx="801">
                  <c:v>59.3</c:v>
                </c:pt>
                <c:pt idx="802">
                  <c:v>59.2</c:v>
                </c:pt>
                <c:pt idx="803">
                  <c:v>59.3</c:v>
                </c:pt>
                <c:pt idx="804">
                  <c:v>59.3</c:v>
                </c:pt>
                <c:pt idx="805">
                  <c:v>59.2</c:v>
                </c:pt>
                <c:pt idx="806">
                  <c:v>59.2</c:v>
                </c:pt>
                <c:pt idx="807">
                  <c:v>59.3</c:v>
                </c:pt>
                <c:pt idx="808">
                  <c:v>59.4</c:v>
                </c:pt>
                <c:pt idx="809">
                  <c:v>59.4</c:v>
                </c:pt>
                <c:pt idx="810">
                  <c:v>59.3</c:v>
                </c:pt>
                <c:pt idx="811">
                  <c:v>59.4</c:v>
                </c:pt>
                <c:pt idx="812">
                  <c:v>59.2</c:v>
                </c:pt>
                <c:pt idx="813">
                  <c:v>59.3</c:v>
                </c:pt>
                <c:pt idx="814">
                  <c:v>59.4</c:v>
                </c:pt>
                <c:pt idx="815">
                  <c:v>59.6</c:v>
                </c:pt>
                <c:pt idx="816">
                  <c:v>59.7</c:v>
                </c:pt>
                <c:pt idx="817">
                  <c:v>59.8</c:v>
                </c:pt>
                <c:pt idx="818">
                  <c:v>59.8</c:v>
                </c:pt>
                <c:pt idx="819">
                  <c:v>59.7</c:v>
                </c:pt>
                <c:pt idx="820">
                  <c:v>59.7</c:v>
                </c:pt>
                <c:pt idx="821">
                  <c:v>59.7</c:v>
                </c:pt>
                <c:pt idx="822">
                  <c:v>59.8</c:v>
                </c:pt>
                <c:pt idx="823">
                  <c:v>59.8</c:v>
                </c:pt>
                <c:pt idx="824">
                  <c:v>59.7</c:v>
                </c:pt>
                <c:pt idx="825">
                  <c:v>59.7</c:v>
                </c:pt>
                <c:pt idx="826">
                  <c:v>59.7</c:v>
                </c:pt>
                <c:pt idx="827">
                  <c:v>59.7</c:v>
                </c:pt>
                <c:pt idx="828">
                  <c:v>59.9</c:v>
                </c:pt>
                <c:pt idx="829">
                  <c:v>60</c:v>
                </c:pt>
                <c:pt idx="830">
                  <c:v>60.2</c:v>
                </c:pt>
                <c:pt idx="831">
                  <c:v>60.2</c:v>
                </c:pt>
                <c:pt idx="832">
                  <c:v>60.1</c:v>
                </c:pt>
                <c:pt idx="833">
                  <c:v>60.1</c:v>
                </c:pt>
                <c:pt idx="834">
                  <c:v>60.2</c:v>
                </c:pt>
                <c:pt idx="835">
                  <c:v>60.1</c:v>
                </c:pt>
                <c:pt idx="836">
                  <c:v>60.4</c:v>
                </c:pt>
                <c:pt idx="837">
                  <c:v>60.1</c:v>
                </c:pt>
                <c:pt idx="838">
                  <c:v>60.1</c:v>
                </c:pt>
                <c:pt idx="839">
                  <c:v>60.1</c:v>
                </c:pt>
                <c:pt idx="840">
                  <c:v>60.1</c:v>
                </c:pt>
                <c:pt idx="841">
                  <c:v>60.4</c:v>
                </c:pt>
                <c:pt idx="842">
                  <c:v>60.4</c:v>
                </c:pt>
                <c:pt idx="843">
                  <c:v>60.4</c:v>
                </c:pt>
                <c:pt idx="844">
                  <c:v>60.5</c:v>
                </c:pt>
                <c:pt idx="845">
                  <c:v>60.5</c:v>
                </c:pt>
                <c:pt idx="846">
                  <c:v>60.6</c:v>
                </c:pt>
                <c:pt idx="847">
                  <c:v>60.3</c:v>
                </c:pt>
                <c:pt idx="848">
                  <c:v>60.4</c:v>
                </c:pt>
                <c:pt idx="849">
                  <c:v>60.5</c:v>
                </c:pt>
                <c:pt idx="850">
                  <c:v>60.6</c:v>
                </c:pt>
                <c:pt idx="851">
                  <c:v>60.6</c:v>
                </c:pt>
                <c:pt idx="852">
                  <c:v>60.6</c:v>
                </c:pt>
                <c:pt idx="853">
                  <c:v>60.7</c:v>
                </c:pt>
                <c:pt idx="854">
                  <c:v>60.6</c:v>
                </c:pt>
                <c:pt idx="855">
                  <c:v>60.5</c:v>
                </c:pt>
                <c:pt idx="856">
                  <c:v>60.6</c:v>
                </c:pt>
                <c:pt idx="857">
                  <c:v>60.7</c:v>
                </c:pt>
                <c:pt idx="858">
                  <c:v>60.8</c:v>
                </c:pt>
                <c:pt idx="859">
                  <c:v>60.8</c:v>
                </c:pt>
                <c:pt idx="860">
                  <c:v>61</c:v>
                </c:pt>
                <c:pt idx="861">
                  <c:v>61</c:v>
                </c:pt>
                <c:pt idx="862">
                  <c:v>61</c:v>
                </c:pt>
                <c:pt idx="863">
                  <c:v>61.1</c:v>
                </c:pt>
                <c:pt idx="864">
                  <c:v>61.1</c:v>
                </c:pt>
                <c:pt idx="865">
                  <c:v>61.1</c:v>
                </c:pt>
                <c:pt idx="866">
                  <c:v>59.8</c:v>
                </c:pt>
                <c:pt idx="867">
                  <c:v>51.2</c:v>
                </c:pt>
                <c:pt idx="868">
                  <c:v>52.7</c:v>
                </c:pt>
                <c:pt idx="869">
                  <c:v>54.7</c:v>
                </c:pt>
                <c:pt idx="870" formatCode="General">
                  <c:v>55.2</c:v>
                </c:pt>
                <c:pt idx="871" formatCode="General">
                  <c:v>56.5</c:v>
                </c:pt>
                <c:pt idx="872" formatCode="General">
                  <c:v>56.6</c:v>
                </c:pt>
                <c:pt idx="873" formatCode="General">
                  <c:v>57.5</c:v>
                </c:pt>
                <c:pt idx="874" formatCode="General">
                  <c:v>57.4</c:v>
                </c:pt>
                <c:pt idx="875" formatCode="General">
                  <c:v>57.4</c:v>
                </c:pt>
                <c:pt idx="876" formatCode="General">
                  <c:v>57.4</c:v>
                </c:pt>
                <c:pt idx="877" formatCode="General">
                  <c:v>57.6</c:v>
                </c:pt>
                <c:pt idx="878" formatCode="General">
                  <c:v>57.7</c:v>
                </c:pt>
                <c:pt idx="879" formatCode="General">
                  <c:v>57.8</c:v>
                </c:pt>
                <c:pt idx="880" formatCode="General">
                  <c:v>58</c:v>
                </c:pt>
                <c:pt idx="881" formatCode="General">
                  <c:v>58.1</c:v>
                </c:pt>
                <c:pt idx="882" formatCode="General">
                  <c:v>58.4</c:v>
                </c:pt>
                <c:pt idx="883" formatCode="General">
                  <c:v>58.6</c:v>
                </c:pt>
                <c:pt idx="884" formatCode="General">
                  <c:v>58.8</c:v>
                </c:pt>
                <c:pt idx="885" formatCode="General">
                  <c:v>59</c:v>
                </c:pt>
                <c:pt idx="886" formatCode="General">
                  <c:v>59.3</c:v>
                </c:pt>
                <c:pt idx="887" formatCode="General">
                  <c:v>59.5</c:v>
                </c:pt>
                <c:pt idx="888" formatCode="General">
                  <c:v>59.7</c:v>
                </c:pt>
                <c:pt idx="889" formatCode="General">
                  <c:v>59.9</c:v>
                </c:pt>
                <c:pt idx="890" formatCode="General">
                  <c:v>60.1</c:v>
                </c:pt>
                <c:pt idx="891" formatCode="General">
                  <c:v>59.9</c:v>
                </c:pt>
                <c:pt idx="892" formatCode="General">
                  <c:v>60.1</c:v>
                </c:pt>
                <c:pt idx="893" formatCode="General">
                  <c:v>59.9</c:v>
                </c:pt>
                <c:pt idx="894" formatCode="General">
                  <c:v>60</c:v>
                </c:pt>
                <c:pt idx="895" formatCode="General">
                  <c:v>60.1</c:v>
                </c:pt>
                <c:pt idx="896" formatCode="General">
                  <c:v>60.1</c:v>
                </c:pt>
                <c:pt idx="897" formatCode="General">
                  <c:v>60</c:v>
                </c:pt>
                <c:pt idx="898" formatCode="General">
                  <c:v>59.9</c:v>
                </c:pt>
                <c:pt idx="899" formatCode="General">
                  <c:v>60.1</c:v>
                </c:pt>
                <c:pt idx="900" formatCode="General">
                  <c:v>60.2</c:v>
                </c:pt>
                <c:pt idx="901" formatCode="General">
                  <c:v>60.3</c:v>
                </c:pt>
                <c:pt idx="902" formatCode="General">
                  <c:v>60.4</c:v>
                </c:pt>
                <c:pt idx="903" formatCode="General">
                  <c:v>60.4</c:v>
                </c:pt>
                <c:pt idx="904" formatCode="General">
                  <c:v>60.3</c:v>
                </c:pt>
                <c:pt idx="905" formatCode="General">
                  <c:v>60.3</c:v>
                </c:pt>
                <c:pt idx="906" formatCode="General">
                  <c:v>60.4</c:v>
                </c:pt>
                <c:pt idx="907" formatCode="General">
                  <c:v>60.4</c:v>
                </c:pt>
                <c:pt idx="908" formatCode="General">
                  <c:v>60.4</c:v>
                </c:pt>
                <c:pt idx="909" formatCode="General">
                  <c:v>60.2</c:v>
                </c:pt>
                <c:pt idx="910" formatCode="General">
                  <c:v>60.4</c:v>
                </c:pt>
                <c:pt idx="911" formatCode="General">
                  <c:v>60.1</c:v>
                </c:pt>
                <c:pt idx="912" formatCode="General">
                  <c:v>60.2</c:v>
                </c:pt>
                <c:pt idx="913" formatCode="General">
                  <c:v>60.2</c:v>
                </c:pt>
                <c:pt idx="914" formatCode="General">
                  <c:v>60.3</c:v>
                </c:pt>
                <c:pt idx="915" formatCode="General">
                  <c:v>60.2</c:v>
                </c:pt>
                <c:pt idx="916" formatCode="General">
                  <c:v>60.1</c:v>
                </c:pt>
                <c:pt idx="917" formatCode="General">
                  <c:v>60</c:v>
                </c:pt>
                <c:pt idx="918" formatCode="General">
                  <c:v>60</c:v>
                </c:pt>
                <c:pt idx="919" formatCode="General">
                  <c:v>60</c:v>
                </c:pt>
                <c:pt idx="920" formatCode="General">
                  <c:v>60.1</c:v>
                </c:pt>
                <c:pt idx="921" formatCode="General">
                  <c:v>60</c:v>
                </c:pt>
                <c:pt idx="922" formatCode="General">
                  <c:v>59.8</c:v>
                </c:pt>
                <c:pt idx="923" formatCode="General">
                  <c:v>59.9</c:v>
                </c:pt>
                <c:pt idx="924" formatCode="General">
                  <c:v>60.1</c:v>
                </c:pt>
                <c:pt idx="925" formatCode="General">
                  <c:v>59.9</c:v>
                </c:pt>
                <c:pt idx="926" formatCode="General">
                  <c:v>59.9</c:v>
                </c:pt>
                <c:pt idx="927" formatCode="General">
                  <c:v>60</c:v>
                </c:pt>
                <c:pt idx="928" formatCode="General">
                  <c:v>59.7</c:v>
                </c:pt>
                <c:pt idx="929" formatCode="General">
                  <c:v>59.7</c:v>
                </c:pt>
                <c:pt idx="930" formatCode="General">
                  <c:v>59.6</c:v>
                </c:pt>
                <c:pt idx="931" formatCode="General">
                  <c:v>59.6</c:v>
                </c:pt>
                <c:pt idx="932" formatCode="General">
                  <c:v>59.7</c:v>
                </c:pt>
                <c:pt idx="934" formatCode="General">
                  <c:v>59.6</c:v>
                </c:pt>
                <c:pt idx="935" formatCode="General">
                  <c:v>59.7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BAC-4329-B505-4CE60E1010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12390991"/>
        <c:axId val="617317519"/>
      </c:scatterChart>
      <c:valAx>
        <c:axId val="712390991"/>
        <c:scaling>
          <c:orientation val="minMax"/>
          <c:max val="47000"/>
          <c:min val="15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7317519"/>
        <c:crosses val="autoZero"/>
        <c:crossBetween val="midCat"/>
      </c:valAx>
      <c:valAx>
        <c:axId val="617317519"/>
        <c:scaling>
          <c:orientation val="minMax"/>
          <c:max val="66"/>
          <c:min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239099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9524</xdr:colOff>
      <xdr:row>1</xdr:row>
      <xdr:rowOff>180974</xdr:rowOff>
    </xdr:from>
    <xdr:to>
      <xdr:col>18</xdr:col>
      <xdr:colOff>161925</xdr:colOff>
      <xdr:row>26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A6C8F6-37B2-4B2E-A783-27BD5B1571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www.bls.gov/data/" TargetMode="External"/><Relationship Id="rId1" Type="http://schemas.openxmlformats.org/officeDocument/2006/relationships/hyperlink" Target="https://fred.stlouisfed.org/series/EMRATIO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524350-AB87-478F-BE2E-F548EFE9AD6A}">
  <dimension ref="A1:B47"/>
  <sheetViews>
    <sheetView topLeftCell="A16" workbookViewId="0">
      <selection activeCell="B26" sqref="B26"/>
    </sheetView>
  </sheetViews>
  <sheetFormatPr defaultRowHeight="15" x14ac:dyDescent="0.25"/>
  <cols>
    <col min="2" max="2" width="73.28515625" customWidth="1"/>
  </cols>
  <sheetData>
    <row r="1" spans="1:2" x14ac:dyDescent="0.25">
      <c r="A1" s="1" t="s">
        <v>86</v>
      </c>
    </row>
    <row r="3" spans="1:2" x14ac:dyDescent="0.25">
      <c r="A3" t="s">
        <v>0</v>
      </c>
      <c r="B3" s="2" t="s">
        <v>1</v>
      </c>
    </row>
    <row r="4" spans="1:2" x14ac:dyDescent="0.25">
      <c r="B4" t="s">
        <v>6</v>
      </c>
    </row>
    <row r="5" spans="1:2" x14ac:dyDescent="0.25">
      <c r="B5" s="3">
        <v>2023</v>
      </c>
    </row>
    <row r="6" spans="1:2" x14ac:dyDescent="0.25">
      <c r="B6" t="s">
        <v>159</v>
      </c>
    </row>
    <row r="7" spans="1:2" x14ac:dyDescent="0.25">
      <c r="B7" s="4" t="s">
        <v>158</v>
      </c>
    </row>
    <row r="8" spans="1:2" x14ac:dyDescent="0.25">
      <c r="B8" t="s">
        <v>7</v>
      </c>
    </row>
    <row r="10" spans="1:2" x14ac:dyDescent="0.25">
      <c r="B10" s="2" t="s">
        <v>2</v>
      </c>
    </row>
    <row r="11" spans="1:2" x14ac:dyDescent="0.25">
      <c r="B11" t="s">
        <v>3</v>
      </c>
    </row>
    <row r="12" spans="1:2" x14ac:dyDescent="0.25">
      <c r="B12" s="3">
        <v>2025</v>
      </c>
    </row>
    <row r="13" spans="1:2" x14ac:dyDescent="0.25">
      <c r="B13" t="s">
        <v>4</v>
      </c>
    </row>
    <row r="14" spans="1:2" x14ac:dyDescent="0.25">
      <c r="B14" s="4" t="s">
        <v>5</v>
      </c>
    </row>
    <row r="16" spans="1:2" x14ac:dyDescent="0.25">
      <c r="B16" s="2" t="s">
        <v>70</v>
      </c>
    </row>
    <row r="17" spans="1:2" x14ac:dyDescent="0.25">
      <c r="B17" t="s">
        <v>154</v>
      </c>
    </row>
    <row r="18" spans="1:2" x14ac:dyDescent="0.25">
      <c r="B18" s="3">
        <v>2024</v>
      </c>
    </row>
    <row r="19" spans="1:2" x14ac:dyDescent="0.25">
      <c r="B19" t="s">
        <v>155</v>
      </c>
    </row>
    <row r="20" spans="1:2" x14ac:dyDescent="0.25">
      <c r="B20" s="4" t="s">
        <v>156</v>
      </c>
    </row>
    <row r="21" spans="1:2" x14ac:dyDescent="0.25">
      <c r="B21" t="s">
        <v>157</v>
      </c>
    </row>
    <row r="23" spans="1:2" x14ac:dyDescent="0.25">
      <c r="B23" s="2" t="s">
        <v>71</v>
      </c>
    </row>
    <row r="24" spans="1:2" x14ac:dyDescent="0.25">
      <c r="B24" t="s">
        <v>72</v>
      </c>
    </row>
    <row r="25" spans="1:2" x14ac:dyDescent="0.25">
      <c r="B25" s="3">
        <v>2025</v>
      </c>
    </row>
    <row r="26" spans="1:2" x14ac:dyDescent="0.25">
      <c r="B26" t="s">
        <v>53</v>
      </c>
    </row>
    <row r="27" spans="1:2" x14ac:dyDescent="0.25">
      <c r="B27" s="4" t="s">
        <v>73</v>
      </c>
    </row>
    <row r="28" spans="1:2" x14ac:dyDescent="0.25">
      <c r="B28" t="s">
        <v>74</v>
      </c>
    </row>
    <row r="30" spans="1:2" x14ac:dyDescent="0.25">
      <c r="A30" s="1" t="s">
        <v>25</v>
      </c>
    </row>
    <row r="32" spans="1:2" x14ac:dyDescent="0.25">
      <c r="A32" s="1" t="s">
        <v>22</v>
      </c>
    </row>
    <row r="33" spans="1:1" x14ac:dyDescent="0.25">
      <c r="A33" t="s">
        <v>75</v>
      </c>
    </row>
    <row r="35" spans="1:1" x14ac:dyDescent="0.25">
      <c r="A35" s="1" t="s">
        <v>82</v>
      </c>
    </row>
    <row r="36" spans="1:1" x14ac:dyDescent="0.25">
      <c r="A36" t="s">
        <v>76</v>
      </c>
    </row>
    <row r="37" spans="1:1" x14ac:dyDescent="0.25">
      <c r="A37" t="s">
        <v>77</v>
      </c>
    </row>
    <row r="38" spans="1:1" x14ac:dyDescent="0.25">
      <c r="A38" t="s">
        <v>78</v>
      </c>
    </row>
    <row r="39" spans="1:1" x14ac:dyDescent="0.25">
      <c r="A39" t="s">
        <v>79</v>
      </c>
    </row>
    <row r="40" spans="1:1" x14ac:dyDescent="0.25">
      <c r="A40" t="s">
        <v>80</v>
      </c>
    </row>
    <row r="41" spans="1:1" x14ac:dyDescent="0.25">
      <c r="A41" t="s">
        <v>81</v>
      </c>
    </row>
    <row r="43" spans="1:1" x14ac:dyDescent="0.25">
      <c r="A43" s="1" t="s">
        <v>83</v>
      </c>
    </row>
    <row r="44" spans="1:1" x14ac:dyDescent="0.25">
      <c r="A44" t="s">
        <v>152</v>
      </c>
    </row>
    <row r="45" spans="1:1" x14ac:dyDescent="0.25">
      <c r="A45" t="s">
        <v>153</v>
      </c>
    </row>
    <row r="46" spans="1:1" x14ac:dyDescent="0.25">
      <c r="A46" t="s">
        <v>84</v>
      </c>
    </row>
    <row r="47" spans="1:1" x14ac:dyDescent="0.25">
      <c r="A47" t="s">
        <v>85</v>
      </c>
    </row>
  </sheetData>
  <hyperlinks>
    <hyperlink ref="B14" r:id="rId1" xr:uid="{37F9A9D4-39B6-4065-965B-F1026FBB05D0}"/>
    <hyperlink ref="B27" r:id="rId2" xr:uid="{AB7977D8-F69E-43BD-A1C7-F22849E3802C}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AE75-385B-40C8-818A-5D5FE8B82575}">
  <sheetPr>
    <pageSetUpPr fitToPage="1"/>
  </sheetPr>
  <dimension ref="A1:H94"/>
  <sheetViews>
    <sheetView workbookViewId="0">
      <pane ySplit="7" topLeftCell="A8" activePane="bottomLeft" state="frozen"/>
      <selection pane="bottomLeft" sqref="A1:H1"/>
    </sheetView>
  </sheetViews>
  <sheetFormatPr defaultColWidth="9.140625" defaultRowHeight="12.75" x14ac:dyDescent="0.2"/>
  <cols>
    <col min="1" max="2" width="14.5703125" style="28" customWidth="1"/>
    <col min="3" max="4" width="16.5703125" style="28" customWidth="1"/>
    <col min="5" max="6" width="14.5703125" style="28" customWidth="1"/>
    <col min="7" max="8" width="16.5703125" style="28" customWidth="1"/>
    <col min="9" max="10" width="9.140625" style="28" customWidth="1"/>
    <col min="11" max="16384" width="9.140625" style="28"/>
  </cols>
  <sheetData>
    <row r="1" spans="1:8" ht="14.25" customHeight="1" x14ac:dyDescent="0.2">
      <c r="A1" s="86"/>
      <c r="B1" s="86"/>
      <c r="C1" s="86"/>
      <c r="D1" s="86"/>
      <c r="E1" s="86"/>
      <c r="F1" s="86"/>
      <c r="G1" s="86"/>
      <c r="H1" s="86"/>
    </row>
    <row r="2" spans="1:8" ht="18" customHeight="1" x14ac:dyDescent="0.2">
      <c r="A2" s="79" t="s">
        <v>105</v>
      </c>
      <c r="B2" s="80"/>
      <c r="C2" s="80"/>
      <c r="D2" s="80"/>
      <c r="E2" s="80"/>
      <c r="F2" s="80"/>
      <c r="G2" s="80"/>
      <c r="H2" s="80"/>
    </row>
    <row r="3" spans="1:8" ht="18" customHeight="1" x14ac:dyDescent="0.2">
      <c r="A3" s="60" t="s">
        <v>104</v>
      </c>
      <c r="B3" s="60"/>
      <c r="C3" s="60"/>
      <c r="D3" s="60"/>
      <c r="E3" s="60"/>
      <c r="F3" s="60"/>
      <c r="G3" s="60"/>
      <c r="H3" s="60"/>
    </row>
    <row r="4" spans="1:8" ht="18" customHeight="1" x14ac:dyDescent="0.2">
      <c r="A4" s="60" t="s">
        <v>103</v>
      </c>
      <c r="B4" s="60"/>
      <c r="C4" s="60"/>
      <c r="D4" s="60"/>
      <c r="E4" s="60"/>
      <c r="F4" s="60"/>
      <c r="G4" s="60"/>
      <c r="H4" s="60"/>
    </row>
    <row r="5" spans="1:8" ht="18" customHeight="1" x14ac:dyDescent="0.2">
      <c r="A5" s="76" t="s">
        <v>102</v>
      </c>
      <c r="B5" s="77"/>
      <c r="C5" s="77"/>
      <c r="D5" s="77"/>
      <c r="E5" s="77"/>
      <c r="F5" s="77"/>
      <c r="G5" s="78"/>
      <c r="H5" s="78"/>
    </row>
    <row r="6" spans="1:8" ht="19.7" customHeight="1" x14ac:dyDescent="0.2">
      <c r="A6" s="74" t="s">
        <v>33</v>
      </c>
      <c r="B6" s="64" t="s">
        <v>22</v>
      </c>
      <c r="C6" s="62" t="s">
        <v>101</v>
      </c>
      <c r="D6" s="62" t="s">
        <v>100</v>
      </c>
      <c r="E6" s="66" t="s">
        <v>99</v>
      </c>
      <c r="F6" s="67"/>
      <c r="G6" s="84" t="s">
        <v>98</v>
      </c>
      <c r="H6" s="74" t="s">
        <v>97</v>
      </c>
    </row>
    <row r="7" spans="1:8" s="57" customFormat="1" ht="19.7" customHeight="1" x14ac:dyDescent="0.25">
      <c r="A7" s="75"/>
      <c r="B7" s="65"/>
      <c r="C7" s="63"/>
      <c r="D7" s="63"/>
      <c r="E7" s="59" t="s">
        <v>96</v>
      </c>
      <c r="F7" s="58" t="s">
        <v>95</v>
      </c>
      <c r="G7" s="85"/>
      <c r="H7" s="75"/>
    </row>
    <row r="8" spans="1:8" ht="15" customHeight="1" x14ac:dyDescent="0.2">
      <c r="A8" s="50">
        <v>2022</v>
      </c>
      <c r="B8" s="49">
        <v>333288</v>
      </c>
      <c r="C8" s="47"/>
      <c r="D8" s="48"/>
      <c r="E8" s="47"/>
      <c r="F8" s="46"/>
      <c r="G8" s="46"/>
      <c r="H8" s="45"/>
    </row>
    <row r="9" spans="1:8" ht="15" customHeight="1" x14ac:dyDescent="0.2">
      <c r="A9" s="50">
        <v>2023</v>
      </c>
      <c r="B9" s="49">
        <v>334906</v>
      </c>
      <c r="C9" s="47">
        <v>1619</v>
      </c>
      <c r="D9" s="48">
        <v>0.49</v>
      </c>
      <c r="E9" s="47">
        <v>3627</v>
      </c>
      <c r="F9" s="46">
        <v>2862</v>
      </c>
      <c r="G9" s="46">
        <v>766</v>
      </c>
      <c r="H9" s="45">
        <v>853</v>
      </c>
    </row>
    <row r="10" spans="1:8" ht="15" customHeight="1" x14ac:dyDescent="0.2">
      <c r="A10" s="50">
        <v>2024</v>
      </c>
      <c r="B10" s="49">
        <v>336482</v>
      </c>
      <c r="C10" s="47">
        <v>1576</v>
      </c>
      <c r="D10" s="48">
        <v>0.47</v>
      </c>
      <c r="E10" s="47">
        <v>3632</v>
      </c>
      <c r="F10" s="46">
        <v>2912</v>
      </c>
      <c r="G10" s="46">
        <v>721</v>
      </c>
      <c r="H10" s="45">
        <v>855</v>
      </c>
    </row>
    <row r="11" spans="1:8" ht="15" customHeight="1" x14ac:dyDescent="0.2">
      <c r="A11" s="56">
        <v>2025</v>
      </c>
      <c r="B11" s="55">
        <v>338016</v>
      </c>
      <c r="C11" s="53">
        <v>1534</v>
      </c>
      <c r="D11" s="54">
        <v>0.46</v>
      </c>
      <c r="E11" s="53">
        <v>3637</v>
      </c>
      <c r="F11" s="52">
        <v>2960</v>
      </c>
      <c r="G11" s="52">
        <v>676</v>
      </c>
      <c r="H11" s="51">
        <v>858</v>
      </c>
    </row>
    <row r="12" spans="1:8" ht="15" customHeight="1" x14ac:dyDescent="0.2">
      <c r="A12" s="50">
        <v>2026</v>
      </c>
      <c r="B12" s="49">
        <v>339513</v>
      </c>
      <c r="C12" s="47">
        <v>1497</v>
      </c>
      <c r="D12" s="48">
        <v>0.44</v>
      </c>
      <c r="E12" s="47">
        <v>3641</v>
      </c>
      <c r="F12" s="46">
        <v>3009</v>
      </c>
      <c r="G12" s="46">
        <v>632</v>
      </c>
      <c r="H12" s="45">
        <v>865</v>
      </c>
    </row>
    <row r="13" spans="1:8" ht="15" customHeight="1" x14ac:dyDescent="0.2">
      <c r="A13" s="50">
        <v>2027</v>
      </c>
      <c r="B13" s="49">
        <v>340970</v>
      </c>
      <c r="C13" s="47">
        <v>1457</v>
      </c>
      <c r="D13" s="48">
        <v>0.43</v>
      </c>
      <c r="E13" s="47">
        <v>3645</v>
      </c>
      <c r="F13" s="46">
        <v>3058</v>
      </c>
      <c r="G13" s="46">
        <v>587</v>
      </c>
      <c r="H13" s="45">
        <v>871</v>
      </c>
    </row>
    <row r="14" spans="1:8" ht="15" customHeight="1" x14ac:dyDescent="0.2">
      <c r="A14" s="50">
        <v>2028</v>
      </c>
      <c r="B14" s="49">
        <v>342385</v>
      </c>
      <c r="C14" s="47">
        <v>1414</v>
      </c>
      <c r="D14" s="48">
        <v>0.41</v>
      </c>
      <c r="E14" s="47">
        <v>3648</v>
      </c>
      <c r="F14" s="46">
        <v>3108</v>
      </c>
      <c r="G14" s="46">
        <v>540</v>
      </c>
      <c r="H14" s="45">
        <v>874</v>
      </c>
    </row>
    <row r="15" spans="1:8" ht="15" customHeight="1" x14ac:dyDescent="0.2">
      <c r="A15" s="50">
        <v>2029</v>
      </c>
      <c r="B15" s="49">
        <v>343754</v>
      </c>
      <c r="C15" s="47">
        <v>1369</v>
      </c>
      <c r="D15" s="48">
        <v>0.4</v>
      </c>
      <c r="E15" s="47">
        <v>3651</v>
      </c>
      <c r="F15" s="46">
        <v>3160</v>
      </c>
      <c r="G15" s="46">
        <v>491</v>
      </c>
      <c r="H15" s="45">
        <v>878</v>
      </c>
    </row>
    <row r="16" spans="1:8" ht="15" customHeight="1" x14ac:dyDescent="0.2">
      <c r="A16" s="56">
        <v>2030</v>
      </c>
      <c r="B16" s="55">
        <v>345074</v>
      </c>
      <c r="C16" s="53">
        <v>1320</v>
      </c>
      <c r="D16" s="54">
        <v>0.38</v>
      </c>
      <c r="E16" s="53">
        <v>3653</v>
      </c>
      <c r="F16" s="52">
        <v>3212</v>
      </c>
      <c r="G16" s="52">
        <v>441</v>
      </c>
      <c r="H16" s="51">
        <v>879</v>
      </c>
    </row>
    <row r="17" spans="1:8" ht="15" customHeight="1" x14ac:dyDescent="0.2">
      <c r="A17" s="50">
        <v>2031</v>
      </c>
      <c r="B17" s="49">
        <v>346339</v>
      </c>
      <c r="C17" s="47">
        <v>1266</v>
      </c>
      <c r="D17" s="48">
        <v>0.37</v>
      </c>
      <c r="E17" s="47">
        <v>3654</v>
      </c>
      <c r="F17" s="46">
        <v>3265</v>
      </c>
      <c r="G17" s="46">
        <v>389</v>
      </c>
      <c r="H17" s="45">
        <v>877</v>
      </c>
    </row>
    <row r="18" spans="1:8" ht="15" customHeight="1" x14ac:dyDescent="0.2">
      <c r="A18" s="50">
        <v>2032</v>
      </c>
      <c r="B18" s="49">
        <v>347545</v>
      </c>
      <c r="C18" s="47">
        <v>1206</v>
      </c>
      <c r="D18" s="48">
        <v>0.35</v>
      </c>
      <c r="E18" s="47">
        <v>3654</v>
      </c>
      <c r="F18" s="46">
        <v>3319</v>
      </c>
      <c r="G18" s="46">
        <v>336</v>
      </c>
      <c r="H18" s="45">
        <v>870</v>
      </c>
    </row>
    <row r="19" spans="1:8" ht="15" customHeight="1" x14ac:dyDescent="0.2">
      <c r="A19" s="50">
        <v>2033</v>
      </c>
      <c r="B19" s="49">
        <v>348702</v>
      </c>
      <c r="C19" s="47">
        <v>1157</v>
      </c>
      <c r="D19" s="48">
        <v>0.33</v>
      </c>
      <c r="E19" s="47">
        <v>3653</v>
      </c>
      <c r="F19" s="46">
        <v>3373</v>
      </c>
      <c r="G19" s="46">
        <v>280</v>
      </c>
      <c r="H19" s="45">
        <v>876</v>
      </c>
    </row>
    <row r="20" spans="1:8" ht="15" customHeight="1" x14ac:dyDescent="0.2">
      <c r="A20" s="50">
        <v>2034</v>
      </c>
      <c r="B20" s="49">
        <v>349808</v>
      </c>
      <c r="C20" s="47">
        <v>1106</v>
      </c>
      <c r="D20" s="48">
        <v>0.32</v>
      </c>
      <c r="E20" s="47">
        <v>3650</v>
      </c>
      <c r="F20" s="46">
        <v>3426</v>
      </c>
      <c r="G20" s="46">
        <v>224</v>
      </c>
      <c r="H20" s="45">
        <v>882</v>
      </c>
    </row>
    <row r="21" spans="1:8" ht="15" customHeight="1" x14ac:dyDescent="0.2">
      <c r="A21" s="56">
        <v>2035</v>
      </c>
      <c r="B21" s="55">
        <v>350861</v>
      </c>
      <c r="C21" s="53">
        <v>1053</v>
      </c>
      <c r="D21" s="54">
        <v>0.3</v>
      </c>
      <c r="E21" s="53">
        <v>3645</v>
      </c>
      <c r="F21" s="52">
        <v>3480</v>
      </c>
      <c r="G21" s="52">
        <v>166</v>
      </c>
      <c r="H21" s="51">
        <v>888</v>
      </c>
    </row>
    <row r="22" spans="1:8" ht="15" customHeight="1" x14ac:dyDescent="0.2">
      <c r="A22" s="50">
        <v>2036</v>
      </c>
      <c r="B22" s="49">
        <v>351861</v>
      </c>
      <c r="C22" s="47">
        <v>1000</v>
      </c>
      <c r="D22" s="48">
        <v>0.28999999999999998</v>
      </c>
      <c r="E22" s="47">
        <v>3639</v>
      </c>
      <c r="F22" s="46">
        <v>3532</v>
      </c>
      <c r="G22" s="46">
        <v>107</v>
      </c>
      <c r="H22" s="45">
        <v>893</v>
      </c>
    </row>
    <row r="23" spans="1:8" ht="15" customHeight="1" x14ac:dyDescent="0.2">
      <c r="A23" s="50">
        <v>2037</v>
      </c>
      <c r="B23" s="49">
        <v>352806</v>
      </c>
      <c r="C23" s="47">
        <v>945</v>
      </c>
      <c r="D23" s="48">
        <v>0.27</v>
      </c>
      <c r="E23" s="47">
        <v>3630</v>
      </c>
      <c r="F23" s="46">
        <v>3583</v>
      </c>
      <c r="G23" s="46">
        <v>47</v>
      </c>
      <c r="H23" s="45">
        <v>898</v>
      </c>
    </row>
    <row r="24" spans="1:8" ht="15" customHeight="1" x14ac:dyDescent="0.2">
      <c r="A24" s="50">
        <v>2038</v>
      </c>
      <c r="B24" s="49">
        <v>353696</v>
      </c>
      <c r="C24" s="47">
        <v>890</v>
      </c>
      <c r="D24" s="48">
        <v>0.25</v>
      </c>
      <c r="E24" s="47">
        <v>3619</v>
      </c>
      <c r="F24" s="46">
        <v>3633</v>
      </c>
      <c r="G24" s="46">
        <v>-13</v>
      </c>
      <c r="H24" s="45">
        <v>903</v>
      </c>
    </row>
    <row r="25" spans="1:8" ht="15" customHeight="1" x14ac:dyDescent="0.2">
      <c r="A25" s="50">
        <v>2039</v>
      </c>
      <c r="B25" s="49">
        <v>354530</v>
      </c>
      <c r="C25" s="47">
        <v>834</v>
      </c>
      <c r="D25" s="48">
        <v>0.24</v>
      </c>
      <c r="E25" s="47">
        <v>3607</v>
      </c>
      <c r="F25" s="46">
        <v>3680</v>
      </c>
      <c r="G25" s="46">
        <v>-73</v>
      </c>
      <c r="H25" s="45">
        <v>908</v>
      </c>
    </row>
    <row r="26" spans="1:8" ht="15" customHeight="1" x14ac:dyDescent="0.2">
      <c r="A26" s="56">
        <v>2040</v>
      </c>
      <c r="B26" s="55">
        <v>355309</v>
      </c>
      <c r="C26" s="53">
        <v>779</v>
      </c>
      <c r="D26" s="54">
        <v>0.22</v>
      </c>
      <c r="E26" s="53">
        <v>3592</v>
      </c>
      <c r="F26" s="52">
        <v>3725</v>
      </c>
      <c r="G26" s="52">
        <v>-133</v>
      </c>
      <c r="H26" s="51">
        <v>912</v>
      </c>
    </row>
    <row r="27" spans="1:8" ht="15" customHeight="1" x14ac:dyDescent="0.2">
      <c r="A27" s="50">
        <v>2041</v>
      </c>
      <c r="B27" s="49">
        <v>356034</v>
      </c>
      <c r="C27" s="47">
        <v>724</v>
      </c>
      <c r="D27" s="48">
        <v>0.2</v>
      </c>
      <c r="E27" s="47">
        <v>3576</v>
      </c>
      <c r="F27" s="46">
        <v>3767</v>
      </c>
      <c r="G27" s="46">
        <v>-191</v>
      </c>
      <c r="H27" s="45">
        <v>916</v>
      </c>
    </row>
    <row r="28" spans="1:8" ht="15" customHeight="1" x14ac:dyDescent="0.2">
      <c r="A28" s="50">
        <v>2042</v>
      </c>
      <c r="B28" s="49">
        <v>356705</v>
      </c>
      <c r="C28" s="47">
        <v>672</v>
      </c>
      <c r="D28" s="48">
        <v>0.19</v>
      </c>
      <c r="E28" s="47">
        <v>3559</v>
      </c>
      <c r="F28" s="46">
        <v>3806</v>
      </c>
      <c r="G28" s="46">
        <v>-247</v>
      </c>
      <c r="H28" s="45">
        <v>919</v>
      </c>
    </row>
    <row r="29" spans="1:8" ht="15" customHeight="1" x14ac:dyDescent="0.2">
      <c r="A29" s="50">
        <v>2043</v>
      </c>
      <c r="B29" s="49">
        <v>357327</v>
      </c>
      <c r="C29" s="47">
        <v>622</v>
      </c>
      <c r="D29" s="48">
        <v>0.17</v>
      </c>
      <c r="E29" s="47">
        <v>3541</v>
      </c>
      <c r="F29" s="46">
        <v>3841</v>
      </c>
      <c r="G29" s="46">
        <v>-300</v>
      </c>
      <c r="H29" s="45">
        <v>922</v>
      </c>
    </row>
    <row r="30" spans="1:8" ht="15" customHeight="1" x14ac:dyDescent="0.2">
      <c r="A30" s="50">
        <v>2044</v>
      </c>
      <c r="B30" s="49">
        <v>357903</v>
      </c>
      <c r="C30" s="47">
        <v>576</v>
      </c>
      <c r="D30" s="48">
        <v>0.16</v>
      </c>
      <c r="E30" s="47">
        <v>3524</v>
      </c>
      <c r="F30" s="46">
        <v>3873</v>
      </c>
      <c r="G30" s="46">
        <v>-349</v>
      </c>
      <c r="H30" s="45">
        <v>925</v>
      </c>
    </row>
    <row r="31" spans="1:8" ht="15" customHeight="1" x14ac:dyDescent="0.2">
      <c r="A31" s="56">
        <v>2045</v>
      </c>
      <c r="B31" s="55">
        <v>358438</v>
      </c>
      <c r="C31" s="53">
        <v>535</v>
      </c>
      <c r="D31" s="54">
        <v>0.15</v>
      </c>
      <c r="E31" s="53">
        <v>3506</v>
      </c>
      <c r="F31" s="52">
        <v>3900</v>
      </c>
      <c r="G31" s="52">
        <v>-394</v>
      </c>
      <c r="H31" s="51">
        <v>928</v>
      </c>
    </row>
    <row r="32" spans="1:8" ht="15" customHeight="1" x14ac:dyDescent="0.2">
      <c r="A32" s="50">
        <v>2046</v>
      </c>
      <c r="B32" s="49">
        <v>358936</v>
      </c>
      <c r="C32" s="47">
        <v>498</v>
      </c>
      <c r="D32" s="48">
        <v>0.14000000000000001</v>
      </c>
      <c r="E32" s="47">
        <v>3490</v>
      </c>
      <c r="F32" s="46">
        <v>3923</v>
      </c>
      <c r="G32" s="46">
        <v>-433</v>
      </c>
      <c r="H32" s="45">
        <v>931</v>
      </c>
    </row>
    <row r="33" spans="1:8" ht="15" customHeight="1" x14ac:dyDescent="0.2">
      <c r="A33" s="50">
        <v>2047</v>
      </c>
      <c r="B33" s="49">
        <v>359400</v>
      </c>
      <c r="C33" s="47">
        <v>464</v>
      </c>
      <c r="D33" s="48">
        <v>0.13</v>
      </c>
      <c r="E33" s="47">
        <v>3474</v>
      </c>
      <c r="F33" s="46">
        <v>3943</v>
      </c>
      <c r="G33" s="46">
        <v>-469</v>
      </c>
      <c r="H33" s="45">
        <v>933</v>
      </c>
    </row>
    <row r="34" spans="1:8" ht="15" customHeight="1" x14ac:dyDescent="0.2">
      <c r="A34" s="50">
        <v>2048</v>
      </c>
      <c r="B34" s="49">
        <v>359836</v>
      </c>
      <c r="C34" s="47">
        <v>435</v>
      </c>
      <c r="D34" s="48">
        <v>0.12</v>
      </c>
      <c r="E34" s="47">
        <v>3459</v>
      </c>
      <c r="F34" s="46">
        <v>3959</v>
      </c>
      <c r="G34" s="46">
        <v>-500</v>
      </c>
      <c r="H34" s="45">
        <v>936</v>
      </c>
    </row>
    <row r="35" spans="1:8" ht="15" customHeight="1" x14ac:dyDescent="0.2">
      <c r="A35" s="50">
        <v>2049</v>
      </c>
      <c r="B35" s="49">
        <v>360247</v>
      </c>
      <c r="C35" s="47">
        <v>411</v>
      </c>
      <c r="D35" s="48">
        <v>0.11</v>
      </c>
      <c r="E35" s="47">
        <v>3444</v>
      </c>
      <c r="F35" s="46">
        <v>3971</v>
      </c>
      <c r="G35" s="46">
        <v>-527</v>
      </c>
      <c r="H35" s="45">
        <v>938</v>
      </c>
    </row>
    <row r="36" spans="1:8" ht="15" customHeight="1" x14ac:dyDescent="0.2">
      <c r="A36" s="56">
        <v>2050</v>
      </c>
      <c r="B36" s="55">
        <v>360639</v>
      </c>
      <c r="C36" s="53">
        <v>392</v>
      </c>
      <c r="D36" s="54">
        <v>0.11</v>
      </c>
      <c r="E36" s="53">
        <v>3431</v>
      </c>
      <c r="F36" s="52">
        <v>3979</v>
      </c>
      <c r="G36" s="52">
        <v>-549</v>
      </c>
      <c r="H36" s="51">
        <v>940</v>
      </c>
    </row>
    <row r="37" spans="1:8" ht="15" customHeight="1" x14ac:dyDescent="0.2">
      <c r="A37" s="50">
        <v>2051</v>
      </c>
      <c r="B37" s="49">
        <v>361015</v>
      </c>
      <c r="C37" s="47">
        <v>377</v>
      </c>
      <c r="D37" s="48">
        <v>0.1</v>
      </c>
      <c r="E37" s="47">
        <v>3418</v>
      </c>
      <c r="F37" s="46">
        <v>3984</v>
      </c>
      <c r="G37" s="46">
        <v>-566</v>
      </c>
      <c r="H37" s="45">
        <v>942</v>
      </c>
    </row>
    <row r="38" spans="1:8" ht="15" customHeight="1" x14ac:dyDescent="0.2">
      <c r="A38" s="50">
        <v>2052</v>
      </c>
      <c r="B38" s="49">
        <v>361381</v>
      </c>
      <c r="C38" s="47">
        <v>366</v>
      </c>
      <c r="D38" s="48">
        <v>0.1</v>
      </c>
      <c r="E38" s="47">
        <v>3407</v>
      </c>
      <c r="F38" s="46">
        <v>3986</v>
      </c>
      <c r="G38" s="46">
        <v>-579</v>
      </c>
      <c r="H38" s="45">
        <v>944</v>
      </c>
    </row>
    <row r="39" spans="1:8" ht="15" customHeight="1" x14ac:dyDescent="0.2">
      <c r="A39" s="50">
        <v>2053</v>
      </c>
      <c r="B39" s="49">
        <v>361739</v>
      </c>
      <c r="C39" s="47">
        <v>359</v>
      </c>
      <c r="D39" s="48">
        <v>0.1</v>
      </c>
      <c r="E39" s="47">
        <v>3398</v>
      </c>
      <c r="F39" s="46">
        <v>3985</v>
      </c>
      <c r="G39" s="46">
        <v>-587</v>
      </c>
      <c r="H39" s="45">
        <v>946</v>
      </c>
    </row>
    <row r="40" spans="1:8" ht="15" customHeight="1" x14ac:dyDescent="0.2">
      <c r="A40" s="50">
        <v>2054</v>
      </c>
      <c r="B40" s="49">
        <v>362095</v>
      </c>
      <c r="C40" s="47">
        <v>355</v>
      </c>
      <c r="D40" s="48">
        <v>0.1</v>
      </c>
      <c r="E40" s="47">
        <v>3390</v>
      </c>
      <c r="F40" s="46">
        <v>3983</v>
      </c>
      <c r="G40" s="46">
        <v>-592</v>
      </c>
      <c r="H40" s="45">
        <v>948</v>
      </c>
    </row>
    <row r="41" spans="1:8" ht="15" customHeight="1" x14ac:dyDescent="0.2">
      <c r="A41" s="56">
        <v>2055</v>
      </c>
      <c r="B41" s="55">
        <v>362450</v>
      </c>
      <c r="C41" s="53">
        <v>355</v>
      </c>
      <c r="D41" s="54">
        <v>0.1</v>
      </c>
      <c r="E41" s="53">
        <v>3385</v>
      </c>
      <c r="F41" s="52">
        <v>3979</v>
      </c>
      <c r="G41" s="52">
        <v>-594</v>
      </c>
      <c r="H41" s="51">
        <v>949</v>
      </c>
    </row>
    <row r="42" spans="1:8" ht="15" customHeight="1" x14ac:dyDescent="0.2">
      <c r="A42" s="50">
        <v>2056</v>
      </c>
      <c r="B42" s="49">
        <v>362807</v>
      </c>
      <c r="C42" s="47">
        <v>357</v>
      </c>
      <c r="D42" s="48">
        <v>0.1</v>
      </c>
      <c r="E42" s="47">
        <v>3380</v>
      </c>
      <c r="F42" s="46">
        <v>3973</v>
      </c>
      <c r="G42" s="46">
        <v>-593</v>
      </c>
      <c r="H42" s="45">
        <v>951</v>
      </c>
    </row>
    <row r="43" spans="1:8" ht="15" customHeight="1" x14ac:dyDescent="0.2">
      <c r="A43" s="50">
        <v>2057</v>
      </c>
      <c r="B43" s="49">
        <v>363169</v>
      </c>
      <c r="C43" s="47">
        <v>362</v>
      </c>
      <c r="D43" s="48">
        <v>0.1</v>
      </c>
      <c r="E43" s="47">
        <v>3377</v>
      </c>
      <c r="F43" s="46">
        <v>3967</v>
      </c>
      <c r="G43" s="46">
        <v>-590</v>
      </c>
      <c r="H43" s="45">
        <v>952</v>
      </c>
    </row>
    <row r="44" spans="1:8" ht="15" customHeight="1" x14ac:dyDescent="0.2">
      <c r="A44" s="50">
        <v>2058</v>
      </c>
      <c r="B44" s="49">
        <v>363536</v>
      </c>
      <c r="C44" s="47">
        <v>367</v>
      </c>
      <c r="D44" s="48">
        <v>0.1</v>
      </c>
      <c r="E44" s="47">
        <v>3375</v>
      </c>
      <c r="F44" s="46">
        <v>3961</v>
      </c>
      <c r="G44" s="46">
        <v>-586</v>
      </c>
      <c r="H44" s="45">
        <v>953</v>
      </c>
    </row>
    <row r="45" spans="1:8" ht="15" customHeight="1" x14ac:dyDescent="0.2">
      <c r="A45" s="50">
        <v>2059</v>
      </c>
      <c r="B45" s="49">
        <v>363909</v>
      </c>
      <c r="C45" s="47">
        <v>373</v>
      </c>
      <c r="D45" s="48">
        <v>0.1</v>
      </c>
      <c r="E45" s="47">
        <v>3373</v>
      </c>
      <c r="F45" s="46">
        <v>3955</v>
      </c>
      <c r="G45" s="46">
        <v>-582</v>
      </c>
      <c r="H45" s="45">
        <v>955</v>
      </c>
    </row>
    <row r="46" spans="1:8" ht="15" customHeight="1" x14ac:dyDescent="0.2">
      <c r="A46" s="56">
        <v>2060</v>
      </c>
      <c r="B46" s="55">
        <v>364287</v>
      </c>
      <c r="C46" s="53">
        <v>378</v>
      </c>
      <c r="D46" s="54">
        <v>0.1</v>
      </c>
      <c r="E46" s="53">
        <v>3372</v>
      </c>
      <c r="F46" s="52">
        <v>3950</v>
      </c>
      <c r="G46" s="52">
        <v>-578</v>
      </c>
      <c r="H46" s="51">
        <v>956</v>
      </c>
    </row>
    <row r="47" spans="1:8" ht="15" customHeight="1" x14ac:dyDescent="0.2">
      <c r="A47" s="50">
        <v>2061</v>
      </c>
      <c r="B47" s="49">
        <v>364670</v>
      </c>
      <c r="C47" s="47">
        <v>383</v>
      </c>
      <c r="D47" s="48">
        <v>0.11</v>
      </c>
      <c r="E47" s="47">
        <v>3370</v>
      </c>
      <c r="F47" s="46">
        <v>3945</v>
      </c>
      <c r="G47" s="46">
        <v>-575</v>
      </c>
      <c r="H47" s="45">
        <v>958</v>
      </c>
    </row>
    <row r="48" spans="1:8" ht="15" customHeight="1" x14ac:dyDescent="0.2">
      <c r="A48" s="50">
        <v>2062</v>
      </c>
      <c r="B48" s="49">
        <v>365057</v>
      </c>
      <c r="C48" s="47">
        <v>386</v>
      </c>
      <c r="D48" s="48">
        <v>0.11</v>
      </c>
      <c r="E48" s="47">
        <v>3369</v>
      </c>
      <c r="F48" s="46">
        <v>3943</v>
      </c>
      <c r="G48" s="46">
        <v>-574</v>
      </c>
      <c r="H48" s="45">
        <v>960</v>
      </c>
    </row>
    <row r="49" spans="1:8" ht="15" customHeight="1" x14ac:dyDescent="0.2">
      <c r="A49" s="50">
        <v>2063</v>
      </c>
      <c r="B49" s="49">
        <v>365443</v>
      </c>
      <c r="C49" s="47">
        <v>387</v>
      </c>
      <c r="D49" s="48">
        <v>0.11</v>
      </c>
      <c r="E49" s="47">
        <v>3367</v>
      </c>
      <c r="F49" s="46">
        <v>3942</v>
      </c>
      <c r="G49" s="46">
        <v>-575</v>
      </c>
      <c r="H49" s="45">
        <v>962</v>
      </c>
    </row>
    <row r="50" spans="1:8" ht="15" customHeight="1" x14ac:dyDescent="0.2">
      <c r="A50" s="50">
        <v>2064</v>
      </c>
      <c r="B50" s="49">
        <v>365828</v>
      </c>
      <c r="C50" s="47">
        <v>385</v>
      </c>
      <c r="D50" s="48">
        <v>0.11</v>
      </c>
      <c r="E50" s="47">
        <v>3364</v>
      </c>
      <c r="F50" s="46">
        <v>3943</v>
      </c>
      <c r="G50" s="46">
        <v>-579</v>
      </c>
      <c r="H50" s="45">
        <v>963</v>
      </c>
    </row>
    <row r="51" spans="1:8" ht="15" customHeight="1" x14ac:dyDescent="0.2">
      <c r="A51" s="56">
        <v>2065</v>
      </c>
      <c r="B51" s="55">
        <v>366207</v>
      </c>
      <c r="C51" s="53">
        <v>379</v>
      </c>
      <c r="D51" s="54">
        <v>0.1</v>
      </c>
      <c r="E51" s="53">
        <v>3361</v>
      </c>
      <c r="F51" s="52">
        <v>3946</v>
      </c>
      <c r="G51" s="52">
        <v>-585</v>
      </c>
      <c r="H51" s="51">
        <v>965</v>
      </c>
    </row>
    <row r="52" spans="1:8" ht="15" customHeight="1" x14ac:dyDescent="0.2">
      <c r="A52" s="50">
        <v>2066</v>
      </c>
      <c r="B52" s="49">
        <v>366579</v>
      </c>
      <c r="C52" s="47">
        <v>371</v>
      </c>
      <c r="D52" s="48">
        <v>0.1</v>
      </c>
      <c r="E52" s="47">
        <v>3357</v>
      </c>
      <c r="F52" s="46">
        <v>3951</v>
      </c>
      <c r="G52" s="46">
        <v>-595</v>
      </c>
      <c r="H52" s="45">
        <v>966</v>
      </c>
    </row>
    <row r="53" spans="1:8" ht="15" customHeight="1" x14ac:dyDescent="0.2">
      <c r="A53" s="50">
        <v>2067</v>
      </c>
      <c r="B53" s="49">
        <v>366938</v>
      </c>
      <c r="C53" s="47">
        <v>360</v>
      </c>
      <c r="D53" s="48">
        <v>0.1</v>
      </c>
      <c r="E53" s="47">
        <v>3351</v>
      </c>
      <c r="F53" s="46">
        <v>3959</v>
      </c>
      <c r="G53" s="46">
        <v>-608</v>
      </c>
      <c r="H53" s="45">
        <v>967</v>
      </c>
    </row>
    <row r="54" spans="1:8" ht="15" customHeight="1" x14ac:dyDescent="0.2">
      <c r="A54" s="50">
        <v>2068</v>
      </c>
      <c r="B54" s="49">
        <v>367283</v>
      </c>
      <c r="C54" s="47">
        <v>345</v>
      </c>
      <c r="D54" s="48">
        <v>0.09</v>
      </c>
      <c r="E54" s="47">
        <v>3345</v>
      </c>
      <c r="F54" s="46">
        <v>3969</v>
      </c>
      <c r="G54" s="46">
        <v>-624</v>
      </c>
      <c r="H54" s="45">
        <v>969</v>
      </c>
    </row>
    <row r="55" spans="1:8" ht="15" customHeight="1" x14ac:dyDescent="0.2">
      <c r="A55" s="50">
        <v>2069</v>
      </c>
      <c r="B55" s="49">
        <v>367609</v>
      </c>
      <c r="C55" s="47">
        <v>326</v>
      </c>
      <c r="D55" s="48">
        <v>0.09</v>
      </c>
      <c r="E55" s="47">
        <v>3339</v>
      </c>
      <c r="F55" s="46">
        <v>3982</v>
      </c>
      <c r="G55" s="46">
        <v>-644</v>
      </c>
      <c r="H55" s="45">
        <v>970</v>
      </c>
    </row>
    <row r="56" spans="1:8" ht="15" customHeight="1" x14ac:dyDescent="0.2">
      <c r="A56" s="56">
        <v>2070</v>
      </c>
      <c r="B56" s="55">
        <v>367913</v>
      </c>
      <c r="C56" s="53">
        <v>303</v>
      </c>
      <c r="D56" s="54">
        <v>0.08</v>
      </c>
      <c r="E56" s="53">
        <v>3331</v>
      </c>
      <c r="F56" s="52">
        <v>3999</v>
      </c>
      <c r="G56" s="52">
        <v>-667</v>
      </c>
      <c r="H56" s="51">
        <v>971</v>
      </c>
    </row>
    <row r="57" spans="1:8" ht="15" customHeight="1" x14ac:dyDescent="0.2">
      <c r="A57" s="50">
        <v>2071</v>
      </c>
      <c r="B57" s="49">
        <v>368190</v>
      </c>
      <c r="C57" s="47">
        <v>278</v>
      </c>
      <c r="D57" s="48">
        <v>0.08</v>
      </c>
      <c r="E57" s="47">
        <v>3323</v>
      </c>
      <c r="F57" s="46">
        <v>4017</v>
      </c>
      <c r="G57" s="46">
        <v>-694</v>
      </c>
      <c r="H57" s="45">
        <v>972</v>
      </c>
    </row>
    <row r="58" spans="1:8" ht="15" customHeight="1" x14ac:dyDescent="0.2">
      <c r="A58" s="50">
        <v>2072</v>
      </c>
      <c r="B58" s="49">
        <v>368441</v>
      </c>
      <c r="C58" s="47">
        <v>250</v>
      </c>
      <c r="D58" s="48">
        <v>7.0000000000000007E-2</v>
      </c>
      <c r="E58" s="47">
        <v>3314</v>
      </c>
      <c r="F58" s="46">
        <v>4037</v>
      </c>
      <c r="G58" s="46">
        <v>-722</v>
      </c>
      <c r="H58" s="45">
        <v>973</v>
      </c>
    </row>
    <row r="59" spans="1:8" ht="15" customHeight="1" x14ac:dyDescent="0.2">
      <c r="A59" s="50">
        <v>2073</v>
      </c>
      <c r="B59" s="49">
        <v>368663</v>
      </c>
      <c r="C59" s="47">
        <v>222</v>
      </c>
      <c r="D59" s="48">
        <v>0.06</v>
      </c>
      <c r="E59" s="47">
        <v>3305</v>
      </c>
      <c r="F59" s="46">
        <v>4056</v>
      </c>
      <c r="G59" s="46">
        <v>-751</v>
      </c>
      <c r="H59" s="45">
        <v>974</v>
      </c>
    </row>
    <row r="60" spans="1:8" ht="15" customHeight="1" x14ac:dyDescent="0.2">
      <c r="A60" s="50">
        <v>2074</v>
      </c>
      <c r="B60" s="49">
        <v>368856</v>
      </c>
      <c r="C60" s="47">
        <v>193</v>
      </c>
      <c r="D60" s="48">
        <v>0.05</v>
      </c>
      <c r="E60" s="47">
        <v>3295</v>
      </c>
      <c r="F60" s="46">
        <v>4077</v>
      </c>
      <c r="G60" s="46">
        <v>-781</v>
      </c>
      <c r="H60" s="45">
        <v>974</v>
      </c>
    </row>
    <row r="61" spans="1:8" ht="15" customHeight="1" x14ac:dyDescent="0.2">
      <c r="A61" s="56">
        <v>2075</v>
      </c>
      <c r="B61" s="55">
        <v>369018</v>
      </c>
      <c r="C61" s="53">
        <v>163</v>
      </c>
      <c r="D61" s="54">
        <v>0.04</v>
      </c>
      <c r="E61" s="53">
        <v>3286</v>
      </c>
      <c r="F61" s="52">
        <v>4098</v>
      </c>
      <c r="G61" s="52">
        <v>-812</v>
      </c>
      <c r="H61" s="51">
        <v>975</v>
      </c>
    </row>
    <row r="62" spans="1:8" ht="15" customHeight="1" x14ac:dyDescent="0.2">
      <c r="A62" s="50">
        <v>2076</v>
      </c>
      <c r="B62" s="49">
        <v>369150</v>
      </c>
      <c r="C62" s="47">
        <v>132</v>
      </c>
      <c r="D62" s="48">
        <v>0.04</v>
      </c>
      <c r="E62" s="47">
        <v>3276</v>
      </c>
      <c r="F62" s="46">
        <v>4119</v>
      </c>
      <c r="G62" s="46">
        <v>-844</v>
      </c>
      <c r="H62" s="45">
        <v>975</v>
      </c>
    </row>
    <row r="63" spans="1:8" ht="15" customHeight="1" x14ac:dyDescent="0.2">
      <c r="A63" s="50">
        <v>2077</v>
      </c>
      <c r="B63" s="49">
        <v>369250</v>
      </c>
      <c r="C63" s="47">
        <v>100</v>
      </c>
      <c r="D63" s="48">
        <v>0.03</v>
      </c>
      <c r="E63" s="47">
        <v>3266</v>
      </c>
      <c r="F63" s="46">
        <v>4142</v>
      </c>
      <c r="G63" s="46">
        <v>-875</v>
      </c>
      <c r="H63" s="45">
        <v>976</v>
      </c>
    </row>
    <row r="64" spans="1:8" ht="15" customHeight="1" x14ac:dyDescent="0.2">
      <c r="A64" s="50">
        <v>2078</v>
      </c>
      <c r="B64" s="49">
        <v>369319</v>
      </c>
      <c r="C64" s="47">
        <v>69</v>
      </c>
      <c r="D64" s="48">
        <v>0.02</v>
      </c>
      <c r="E64" s="47">
        <v>3257</v>
      </c>
      <c r="F64" s="46">
        <v>4164</v>
      </c>
      <c r="G64" s="46">
        <v>-907</v>
      </c>
      <c r="H64" s="45">
        <v>976</v>
      </c>
    </row>
    <row r="65" spans="1:8" ht="15" customHeight="1" x14ac:dyDescent="0.2">
      <c r="A65" s="50">
        <v>2079</v>
      </c>
      <c r="B65" s="49">
        <v>369356</v>
      </c>
      <c r="C65" s="47">
        <v>37</v>
      </c>
      <c r="D65" s="48">
        <v>0.01</v>
      </c>
      <c r="E65" s="47">
        <v>3247</v>
      </c>
      <c r="F65" s="46">
        <v>4186</v>
      </c>
      <c r="G65" s="46">
        <v>-939</v>
      </c>
      <c r="H65" s="45">
        <v>976</v>
      </c>
    </row>
    <row r="66" spans="1:8" ht="15" customHeight="1" x14ac:dyDescent="0.2">
      <c r="A66" s="56">
        <v>2080</v>
      </c>
      <c r="B66" s="55">
        <v>369363</v>
      </c>
      <c r="C66" s="53">
        <v>7</v>
      </c>
      <c r="D66" s="54">
        <v>0</v>
      </c>
      <c r="E66" s="53">
        <v>3239</v>
      </c>
      <c r="F66" s="52">
        <v>4208</v>
      </c>
      <c r="G66" s="52">
        <v>-969</v>
      </c>
      <c r="H66" s="51">
        <v>976</v>
      </c>
    </row>
    <row r="67" spans="1:8" ht="15" customHeight="1" x14ac:dyDescent="0.2">
      <c r="A67" s="50">
        <v>2081</v>
      </c>
      <c r="B67" s="49">
        <v>369340</v>
      </c>
      <c r="C67" s="47">
        <v>-23</v>
      </c>
      <c r="D67" s="48">
        <v>-0.01</v>
      </c>
      <c r="E67" s="47">
        <v>3230</v>
      </c>
      <c r="F67" s="46">
        <v>4229</v>
      </c>
      <c r="G67" s="46">
        <v>-998</v>
      </c>
      <c r="H67" s="45">
        <v>975</v>
      </c>
    </row>
    <row r="68" spans="1:8" ht="15" customHeight="1" x14ac:dyDescent="0.2">
      <c r="A68" s="50">
        <v>2082</v>
      </c>
      <c r="B68" s="49">
        <v>369289</v>
      </c>
      <c r="C68" s="47">
        <v>-51</v>
      </c>
      <c r="D68" s="48">
        <v>-0.01</v>
      </c>
      <c r="E68" s="47">
        <v>3222</v>
      </c>
      <c r="F68" s="46">
        <v>4248</v>
      </c>
      <c r="G68" s="46">
        <v>-1025</v>
      </c>
      <c r="H68" s="45">
        <v>975</v>
      </c>
    </row>
    <row r="69" spans="1:8" ht="15" customHeight="1" x14ac:dyDescent="0.2">
      <c r="A69" s="50">
        <v>2083</v>
      </c>
      <c r="B69" s="49">
        <v>369213</v>
      </c>
      <c r="C69" s="47">
        <v>-76</v>
      </c>
      <c r="D69" s="48">
        <v>-0.02</v>
      </c>
      <c r="E69" s="47">
        <v>3215</v>
      </c>
      <c r="F69" s="46">
        <v>4265</v>
      </c>
      <c r="G69" s="46">
        <v>-1050</v>
      </c>
      <c r="H69" s="45">
        <v>974</v>
      </c>
    </row>
    <row r="70" spans="1:8" ht="15" customHeight="1" x14ac:dyDescent="0.2">
      <c r="A70" s="50">
        <v>2084</v>
      </c>
      <c r="B70" s="49">
        <v>369114</v>
      </c>
      <c r="C70" s="47">
        <v>-99</v>
      </c>
      <c r="D70" s="48">
        <v>-0.03</v>
      </c>
      <c r="E70" s="47">
        <v>3208</v>
      </c>
      <c r="F70" s="46">
        <v>4281</v>
      </c>
      <c r="G70" s="46">
        <v>-1073</v>
      </c>
      <c r="H70" s="45">
        <v>973</v>
      </c>
    </row>
    <row r="71" spans="1:8" ht="15" customHeight="1" x14ac:dyDescent="0.2">
      <c r="A71" s="56">
        <v>2085</v>
      </c>
      <c r="B71" s="55">
        <v>368993</v>
      </c>
      <c r="C71" s="53">
        <v>-121</v>
      </c>
      <c r="D71" s="54">
        <v>-0.03</v>
      </c>
      <c r="E71" s="53">
        <v>3202</v>
      </c>
      <c r="F71" s="52">
        <v>4295</v>
      </c>
      <c r="G71" s="52">
        <v>-1093</v>
      </c>
      <c r="H71" s="51">
        <v>972</v>
      </c>
    </row>
    <row r="72" spans="1:8" ht="15" customHeight="1" x14ac:dyDescent="0.2">
      <c r="A72" s="50">
        <v>2086</v>
      </c>
      <c r="B72" s="49">
        <v>368852</v>
      </c>
      <c r="C72" s="47">
        <v>-141</v>
      </c>
      <c r="D72" s="48">
        <v>-0.04</v>
      </c>
      <c r="E72" s="47">
        <v>3196</v>
      </c>
      <c r="F72" s="46">
        <v>4308</v>
      </c>
      <c r="G72" s="46">
        <v>-1112</v>
      </c>
      <c r="H72" s="45">
        <v>971</v>
      </c>
    </row>
    <row r="73" spans="1:8" ht="15" customHeight="1" x14ac:dyDescent="0.2">
      <c r="A73" s="50">
        <v>2087</v>
      </c>
      <c r="B73" s="49">
        <v>368693</v>
      </c>
      <c r="C73" s="47">
        <v>-159</v>
      </c>
      <c r="D73" s="48">
        <v>-0.04</v>
      </c>
      <c r="E73" s="47">
        <v>3190</v>
      </c>
      <c r="F73" s="46">
        <v>4319</v>
      </c>
      <c r="G73" s="46">
        <v>-1129</v>
      </c>
      <c r="H73" s="45">
        <v>970</v>
      </c>
    </row>
    <row r="74" spans="1:8" ht="15" customHeight="1" x14ac:dyDescent="0.2">
      <c r="A74" s="50">
        <v>2088</v>
      </c>
      <c r="B74" s="49">
        <v>368518</v>
      </c>
      <c r="C74" s="47">
        <v>-176</v>
      </c>
      <c r="D74" s="48">
        <v>-0.05</v>
      </c>
      <c r="E74" s="47">
        <v>3185</v>
      </c>
      <c r="F74" s="46">
        <v>4330</v>
      </c>
      <c r="G74" s="46">
        <v>-1144</v>
      </c>
      <c r="H74" s="45">
        <v>968</v>
      </c>
    </row>
    <row r="75" spans="1:8" ht="15" customHeight="1" x14ac:dyDescent="0.2">
      <c r="A75" s="50">
        <v>2089</v>
      </c>
      <c r="B75" s="49">
        <v>368326</v>
      </c>
      <c r="C75" s="47">
        <v>-191</v>
      </c>
      <c r="D75" s="48">
        <v>-0.05</v>
      </c>
      <c r="E75" s="47">
        <v>3181</v>
      </c>
      <c r="F75" s="46">
        <v>4339</v>
      </c>
      <c r="G75" s="46">
        <v>-1158</v>
      </c>
      <c r="H75" s="45">
        <v>967</v>
      </c>
    </row>
    <row r="76" spans="1:8" ht="15" customHeight="1" x14ac:dyDescent="0.2">
      <c r="A76" s="56">
        <v>2090</v>
      </c>
      <c r="B76" s="55">
        <v>368120</v>
      </c>
      <c r="C76" s="53">
        <v>-206</v>
      </c>
      <c r="D76" s="54">
        <v>-0.06</v>
      </c>
      <c r="E76" s="53">
        <v>3176</v>
      </c>
      <c r="F76" s="52">
        <v>4348</v>
      </c>
      <c r="G76" s="52">
        <v>-1171</v>
      </c>
      <c r="H76" s="51">
        <v>965</v>
      </c>
    </row>
    <row r="77" spans="1:8" ht="15" customHeight="1" x14ac:dyDescent="0.2">
      <c r="A77" s="50">
        <v>2091</v>
      </c>
      <c r="B77" s="49">
        <v>367901</v>
      </c>
      <c r="C77" s="47">
        <v>-219</v>
      </c>
      <c r="D77" s="48">
        <v>-0.06</v>
      </c>
      <c r="E77" s="47">
        <v>3172</v>
      </c>
      <c r="F77" s="46">
        <v>4355</v>
      </c>
      <c r="G77" s="46">
        <v>-1183</v>
      </c>
      <c r="H77" s="45">
        <v>964</v>
      </c>
    </row>
    <row r="78" spans="1:8" ht="15" customHeight="1" x14ac:dyDescent="0.2">
      <c r="A78" s="50">
        <v>2092</v>
      </c>
      <c r="B78" s="49">
        <v>367670</v>
      </c>
      <c r="C78" s="47">
        <v>-231</v>
      </c>
      <c r="D78" s="48">
        <v>-0.06</v>
      </c>
      <c r="E78" s="47">
        <v>3167</v>
      </c>
      <c r="F78" s="46">
        <v>4360</v>
      </c>
      <c r="G78" s="46">
        <v>-1193</v>
      </c>
      <c r="H78" s="45">
        <v>962</v>
      </c>
    </row>
    <row r="79" spans="1:8" ht="15" customHeight="1" x14ac:dyDescent="0.2">
      <c r="A79" s="50">
        <v>2093</v>
      </c>
      <c r="B79" s="49">
        <v>367429</v>
      </c>
      <c r="C79" s="47">
        <v>-241</v>
      </c>
      <c r="D79" s="48">
        <v>-7.0000000000000007E-2</v>
      </c>
      <c r="E79" s="47">
        <v>3163</v>
      </c>
      <c r="F79" s="46">
        <v>4364</v>
      </c>
      <c r="G79" s="46">
        <v>-1201</v>
      </c>
      <c r="H79" s="45">
        <v>960</v>
      </c>
    </row>
    <row r="80" spans="1:8" ht="15" customHeight="1" x14ac:dyDescent="0.2">
      <c r="A80" s="50">
        <v>2094</v>
      </c>
      <c r="B80" s="49">
        <v>367179</v>
      </c>
      <c r="C80" s="47">
        <v>-249</v>
      </c>
      <c r="D80" s="48">
        <v>-7.0000000000000007E-2</v>
      </c>
      <c r="E80" s="47">
        <v>3158</v>
      </c>
      <c r="F80" s="46">
        <v>4366</v>
      </c>
      <c r="G80" s="46">
        <v>-1207</v>
      </c>
      <c r="H80" s="45">
        <v>958</v>
      </c>
    </row>
    <row r="81" spans="1:8" ht="15" customHeight="1" x14ac:dyDescent="0.2">
      <c r="A81" s="56">
        <v>2095</v>
      </c>
      <c r="B81" s="55">
        <v>366923</v>
      </c>
      <c r="C81" s="53">
        <v>-256</v>
      </c>
      <c r="D81" s="54">
        <v>-7.0000000000000007E-2</v>
      </c>
      <c r="E81" s="53">
        <v>3154</v>
      </c>
      <c r="F81" s="52">
        <v>4366</v>
      </c>
      <c r="G81" s="52">
        <v>-1212</v>
      </c>
      <c r="H81" s="51">
        <v>956</v>
      </c>
    </row>
    <row r="82" spans="1:8" ht="15" customHeight="1" x14ac:dyDescent="0.2">
      <c r="A82" s="50">
        <v>2096</v>
      </c>
      <c r="B82" s="49">
        <v>366661</v>
      </c>
      <c r="C82" s="47">
        <v>-262</v>
      </c>
      <c r="D82" s="48">
        <v>-7.0000000000000007E-2</v>
      </c>
      <c r="E82" s="47">
        <v>3149</v>
      </c>
      <c r="F82" s="46">
        <v>4365</v>
      </c>
      <c r="G82" s="46">
        <v>-1216</v>
      </c>
      <c r="H82" s="45">
        <v>954</v>
      </c>
    </row>
    <row r="83" spans="1:8" ht="15" customHeight="1" x14ac:dyDescent="0.2">
      <c r="A83" s="50">
        <v>2097</v>
      </c>
      <c r="B83" s="49">
        <v>366393</v>
      </c>
      <c r="C83" s="47">
        <v>-268</v>
      </c>
      <c r="D83" s="48">
        <v>-7.0000000000000007E-2</v>
      </c>
      <c r="E83" s="47">
        <v>3143</v>
      </c>
      <c r="F83" s="46">
        <v>4363</v>
      </c>
      <c r="G83" s="46">
        <v>-1219</v>
      </c>
      <c r="H83" s="45">
        <v>951</v>
      </c>
    </row>
    <row r="84" spans="1:8" ht="15" customHeight="1" x14ac:dyDescent="0.2">
      <c r="A84" s="50">
        <v>2098</v>
      </c>
      <c r="B84" s="49">
        <v>366120</v>
      </c>
      <c r="C84" s="47">
        <v>-273</v>
      </c>
      <c r="D84" s="48">
        <v>-7.0000000000000007E-2</v>
      </c>
      <c r="E84" s="47">
        <v>3138</v>
      </c>
      <c r="F84" s="46">
        <v>4360</v>
      </c>
      <c r="G84" s="46">
        <v>-1222</v>
      </c>
      <c r="H84" s="45">
        <v>949</v>
      </c>
    </row>
    <row r="85" spans="1:8" ht="15" customHeight="1" x14ac:dyDescent="0.2">
      <c r="A85" s="50">
        <v>2099</v>
      </c>
      <c r="B85" s="49">
        <v>365841</v>
      </c>
      <c r="C85" s="47">
        <v>-278</v>
      </c>
      <c r="D85" s="48">
        <v>-0.08</v>
      </c>
      <c r="E85" s="47">
        <v>3132</v>
      </c>
      <c r="F85" s="46">
        <v>4356</v>
      </c>
      <c r="G85" s="46">
        <v>-1225</v>
      </c>
      <c r="H85" s="45">
        <v>946</v>
      </c>
    </row>
    <row r="86" spans="1:8" ht="15" customHeight="1" x14ac:dyDescent="0.2">
      <c r="A86" s="44">
        <v>2100</v>
      </c>
      <c r="B86" s="43">
        <v>365558</v>
      </c>
      <c r="C86" s="41">
        <v>-283</v>
      </c>
      <c r="D86" s="42">
        <v>-0.08</v>
      </c>
      <c r="E86" s="41">
        <v>3125</v>
      </c>
      <c r="F86" s="40">
        <v>4352</v>
      </c>
      <c r="G86" s="40">
        <v>-1227</v>
      </c>
      <c r="H86" s="39">
        <v>944</v>
      </c>
    </row>
    <row r="87" spans="1:8" ht="30" customHeight="1" x14ac:dyDescent="0.2">
      <c r="A87" s="81" t="s">
        <v>94</v>
      </c>
      <c r="B87" s="82"/>
      <c r="C87" s="82"/>
      <c r="D87" s="82"/>
      <c r="E87" s="82"/>
      <c r="F87" s="82"/>
      <c r="G87" s="82"/>
      <c r="H87" s="83"/>
    </row>
    <row r="88" spans="1:8" ht="45" customHeight="1" x14ac:dyDescent="0.2">
      <c r="A88" s="68" t="s">
        <v>93</v>
      </c>
      <c r="B88" s="69"/>
      <c r="C88" s="69"/>
      <c r="D88" s="69"/>
      <c r="E88" s="69"/>
      <c r="F88" s="69"/>
      <c r="G88" s="69"/>
      <c r="H88" s="70"/>
    </row>
    <row r="89" spans="1:8" ht="24" customHeight="1" x14ac:dyDescent="0.2">
      <c r="A89" s="68" t="s">
        <v>92</v>
      </c>
      <c r="B89" s="69"/>
      <c r="C89" s="69"/>
      <c r="D89" s="69"/>
      <c r="E89" s="69"/>
      <c r="F89" s="69"/>
      <c r="G89" s="69"/>
      <c r="H89" s="70"/>
    </row>
    <row r="90" spans="1:8" s="35" customFormat="1" ht="30" customHeight="1" x14ac:dyDescent="0.2">
      <c r="A90" s="68" t="s">
        <v>91</v>
      </c>
      <c r="B90" s="69"/>
      <c r="C90" s="69"/>
      <c r="D90" s="69"/>
      <c r="E90" s="69"/>
      <c r="F90" s="69"/>
      <c r="G90" s="69"/>
      <c r="H90" s="70"/>
    </row>
    <row r="91" spans="1:8" s="35" customFormat="1" ht="15" customHeight="1" x14ac:dyDescent="0.2">
      <c r="A91" s="38" t="s">
        <v>90</v>
      </c>
      <c r="B91" s="37"/>
      <c r="C91" s="37"/>
      <c r="D91" s="37"/>
      <c r="E91" s="37"/>
      <c r="F91" s="37"/>
      <c r="G91" s="37"/>
      <c r="H91" s="36"/>
    </row>
    <row r="92" spans="1:8" s="35" customFormat="1" ht="15" customHeight="1" x14ac:dyDescent="0.2">
      <c r="A92" s="71" t="s">
        <v>89</v>
      </c>
      <c r="B92" s="72"/>
      <c r="C92" s="72"/>
      <c r="D92" s="72"/>
      <c r="E92" s="72"/>
      <c r="F92" s="72"/>
      <c r="G92" s="72"/>
      <c r="H92" s="73"/>
    </row>
    <row r="93" spans="1:8" ht="15" customHeight="1" x14ac:dyDescent="0.2">
      <c r="A93" s="34" t="s">
        <v>88</v>
      </c>
      <c r="B93" s="33"/>
      <c r="C93" s="33"/>
      <c r="D93" s="33"/>
      <c r="E93" s="33"/>
      <c r="F93" s="33"/>
      <c r="G93" s="33"/>
      <c r="H93" s="32"/>
    </row>
    <row r="94" spans="1:8" ht="15" customHeight="1" x14ac:dyDescent="0.2">
      <c r="A94" s="31" t="s">
        <v>87</v>
      </c>
      <c r="B94" s="30"/>
      <c r="C94" s="30"/>
      <c r="D94" s="30"/>
      <c r="E94" s="30"/>
      <c r="F94" s="30"/>
      <c r="G94" s="30"/>
      <c r="H94" s="29"/>
    </row>
  </sheetData>
  <pageMargins left="0.25" right="0.25" top="0.25" bottom="0.25" header="0.2" footer="0.2"/>
  <pageSetup scale="73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C2AED-73AE-45CB-BD7F-6154AA286092}">
  <dimension ref="A1:B947"/>
  <sheetViews>
    <sheetView topLeftCell="A864" workbookViewId="0">
      <selection activeCell="B878" sqref="A876:B878"/>
    </sheetView>
  </sheetViews>
  <sheetFormatPr defaultRowHeight="15" x14ac:dyDescent="0.25"/>
  <cols>
    <col min="1" max="2" width="20.7109375" customWidth="1"/>
  </cols>
  <sheetData>
    <row r="1" spans="1:2" x14ac:dyDescent="0.25">
      <c r="A1" t="s">
        <v>8</v>
      </c>
    </row>
    <row r="2" spans="1:2" x14ac:dyDescent="0.25">
      <c r="A2" t="s">
        <v>9</v>
      </c>
    </row>
    <row r="3" spans="1:2" x14ac:dyDescent="0.25">
      <c r="A3" t="s">
        <v>10</v>
      </c>
    </row>
    <row r="4" spans="1:2" x14ac:dyDescent="0.25">
      <c r="A4" t="s">
        <v>11</v>
      </c>
    </row>
    <row r="5" spans="1:2" x14ac:dyDescent="0.25">
      <c r="A5" t="s">
        <v>12</v>
      </c>
    </row>
    <row r="6" spans="1:2" x14ac:dyDescent="0.25">
      <c r="A6" t="s">
        <v>13</v>
      </c>
    </row>
    <row r="8" spans="1:2" x14ac:dyDescent="0.25">
      <c r="A8" t="s">
        <v>14</v>
      </c>
      <c r="B8" t="s">
        <v>15</v>
      </c>
    </row>
    <row r="10" spans="1:2" x14ac:dyDescent="0.25">
      <c r="A10" t="s">
        <v>16</v>
      </c>
    </row>
    <row r="11" spans="1:2" x14ac:dyDescent="0.25">
      <c r="A11" t="s">
        <v>17</v>
      </c>
      <c r="B11" t="s">
        <v>14</v>
      </c>
    </row>
    <row r="12" spans="1:2" x14ac:dyDescent="0.25">
      <c r="A12" s="5">
        <v>17533</v>
      </c>
      <c r="B12" s="6">
        <v>56.6</v>
      </c>
    </row>
    <row r="13" spans="1:2" x14ac:dyDescent="0.25">
      <c r="A13" s="5">
        <v>17564</v>
      </c>
      <c r="B13" s="6">
        <v>56.7</v>
      </c>
    </row>
    <row r="14" spans="1:2" x14ac:dyDescent="0.25">
      <c r="A14" s="5">
        <v>17593</v>
      </c>
      <c r="B14" s="6">
        <v>56.1</v>
      </c>
    </row>
    <row r="15" spans="1:2" x14ac:dyDescent="0.25">
      <c r="A15" s="5">
        <v>17624</v>
      </c>
      <c r="B15" s="6">
        <v>56.7</v>
      </c>
    </row>
    <row r="16" spans="1:2" x14ac:dyDescent="0.25">
      <c r="A16" s="5">
        <v>17654</v>
      </c>
      <c r="B16" s="6">
        <v>56.2</v>
      </c>
    </row>
    <row r="17" spans="1:2" x14ac:dyDescent="0.25">
      <c r="A17" s="5">
        <v>17685</v>
      </c>
      <c r="B17" s="6">
        <v>57</v>
      </c>
    </row>
    <row r="18" spans="1:2" x14ac:dyDescent="0.25">
      <c r="A18" s="5">
        <v>17715</v>
      </c>
      <c r="B18" s="6">
        <v>57.1</v>
      </c>
    </row>
    <row r="19" spans="1:2" x14ac:dyDescent="0.25">
      <c r="A19" s="5">
        <v>17746</v>
      </c>
      <c r="B19" s="6">
        <v>56.6</v>
      </c>
    </row>
    <row r="20" spans="1:2" x14ac:dyDescent="0.25">
      <c r="A20" s="5">
        <v>17777</v>
      </c>
      <c r="B20" s="6">
        <v>56.6</v>
      </c>
    </row>
    <row r="21" spans="1:2" x14ac:dyDescent="0.25">
      <c r="A21" s="5">
        <v>17807</v>
      </c>
      <c r="B21" s="6">
        <v>56.5</v>
      </c>
    </row>
    <row r="22" spans="1:2" x14ac:dyDescent="0.25">
      <c r="A22" s="5">
        <v>17838</v>
      </c>
      <c r="B22" s="6">
        <v>56.5</v>
      </c>
    </row>
    <row r="23" spans="1:2" x14ac:dyDescent="0.25">
      <c r="A23" s="5">
        <v>17868</v>
      </c>
      <c r="B23" s="6">
        <v>56.8</v>
      </c>
    </row>
    <row r="24" spans="1:2" x14ac:dyDescent="0.25">
      <c r="A24" s="5">
        <v>17899</v>
      </c>
      <c r="B24" s="6">
        <v>56.2</v>
      </c>
    </row>
    <row r="25" spans="1:2" x14ac:dyDescent="0.25">
      <c r="A25" s="5">
        <v>17930</v>
      </c>
      <c r="B25" s="6">
        <v>56.2</v>
      </c>
    </row>
    <row r="26" spans="1:2" x14ac:dyDescent="0.25">
      <c r="A26" s="5">
        <v>17958</v>
      </c>
      <c r="B26" s="6">
        <v>56</v>
      </c>
    </row>
    <row r="27" spans="1:2" x14ac:dyDescent="0.25">
      <c r="A27" s="5">
        <v>17989</v>
      </c>
      <c r="B27" s="6">
        <v>55.7</v>
      </c>
    </row>
    <row r="28" spans="1:2" x14ac:dyDescent="0.25">
      <c r="A28" s="5">
        <v>18019</v>
      </c>
      <c r="B28" s="6">
        <v>55.4</v>
      </c>
    </row>
    <row r="29" spans="1:2" x14ac:dyDescent="0.25">
      <c r="A29" s="5">
        <v>18050</v>
      </c>
      <c r="B29" s="6">
        <v>55</v>
      </c>
    </row>
    <row r="30" spans="1:2" x14ac:dyDescent="0.25">
      <c r="A30" s="5">
        <v>18080</v>
      </c>
      <c r="B30" s="6">
        <v>55</v>
      </c>
    </row>
    <row r="31" spans="1:2" x14ac:dyDescent="0.25">
      <c r="A31" s="5">
        <v>18111</v>
      </c>
      <c r="B31" s="6">
        <v>55.1</v>
      </c>
    </row>
    <row r="32" spans="1:2" x14ac:dyDescent="0.25">
      <c r="A32" s="5">
        <v>18142</v>
      </c>
      <c r="B32" s="6">
        <v>55.3</v>
      </c>
    </row>
    <row r="33" spans="1:2" x14ac:dyDescent="0.25">
      <c r="A33" s="5">
        <v>18172</v>
      </c>
      <c r="B33" s="6">
        <v>54.9</v>
      </c>
    </row>
    <row r="34" spans="1:2" x14ac:dyDescent="0.25">
      <c r="A34" s="5">
        <v>18203</v>
      </c>
      <c r="B34" s="6">
        <v>55.6</v>
      </c>
    </row>
    <row r="35" spans="1:2" x14ac:dyDescent="0.25">
      <c r="A35" s="5">
        <v>18233</v>
      </c>
      <c r="B35" s="6">
        <v>55.3</v>
      </c>
    </row>
    <row r="36" spans="1:2" x14ac:dyDescent="0.25">
      <c r="A36" s="5">
        <v>18264</v>
      </c>
      <c r="B36" s="6">
        <v>55.1</v>
      </c>
    </row>
    <row r="37" spans="1:2" x14ac:dyDescent="0.25">
      <c r="A37" s="5">
        <v>18295</v>
      </c>
      <c r="B37" s="6">
        <v>55.1</v>
      </c>
    </row>
    <row r="38" spans="1:2" x14ac:dyDescent="0.25">
      <c r="A38" s="5">
        <v>18323</v>
      </c>
      <c r="B38" s="6">
        <v>55.1</v>
      </c>
    </row>
    <row r="39" spans="1:2" x14ac:dyDescent="0.25">
      <c r="A39" s="5">
        <v>18354</v>
      </c>
      <c r="B39" s="6">
        <v>55.8</v>
      </c>
    </row>
    <row r="40" spans="1:2" x14ac:dyDescent="0.25">
      <c r="A40" s="5">
        <v>18384</v>
      </c>
      <c r="B40" s="6">
        <v>55.8</v>
      </c>
    </row>
    <row r="41" spans="1:2" x14ac:dyDescent="0.25">
      <c r="A41" s="5">
        <v>18415</v>
      </c>
      <c r="B41" s="6">
        <v>56.2</v>
      </c>
    </row>
    <row r="42" spans="1:2" x14ac:dyDescent="0.25">
      <c r="A42" s="5">
        <v>18445</v>
      </c>
      <c r="B42" s="6">
        <v>56.1</v>
      </c>
    </row>
    <row r="43" spans="1:2" x14ac:dyDescent="0.25">
      <c r="A43" s="5">
        <v>18476</v>
      </c>
      <c r="B43" s="6">
        <v>56.8</v>
      </c>
    </row>
    <row r="44" spans="1:2" x14ac:dyDescent="0.25">
      <c r="A44" s="5">
        <v>18507</v>
      </c>
      <c r="B44" s="6">
        <v>56.6</v>
      </c>
    </row>
    <row r="45" spans="1:2" x14ac:dyDescent="0.25">
      <c r="A45" s="5">
        <v>18537</v>
      </c>
      <c r="B45" s="6">
        <v>56.9</v>
      </c>
    </row>
    <row r="46" spans="1:2" x14ac:dyDescent="0.25">
      <c r="A46" s="5">
        <v>18568</v>
      </c>
      <c r="B46" s="6">
        <v>56.9</v>
      </c>
    </row>
    <row r="47" spans="1:2" x14ac:dyDescent="0.25">
      <c r="A47" s="5">
        <v>18598</v>
      </c>
      <c r="B47" s="6">
        <v>56.7</v>
      </c>
    </row>
    <row r="48" spans="1:2" x14ac:dyDescent="0.25">
      <c r="A48" s="5">
        <v>18629</v>
      </c>
      <c r="B48" s="6">
        <v>56.9</v>
      </c>
    </row>
    <row r="49" spans="1:2" x14ac:dyDescent="0.25">
      <c r="A49" s="5">
        <v>18660</v>
      </c>
      <c r="B49" s="6">
        <v>57</v>
      </c>
    </row>
    <row r="50" spans="1:2" x14ac:dyDescent="0.25">
      <c r="A50" s="5">
        <v>18688</v>
      </c>
      <c r="B50" s="6">
        <v>57.7</v>
      </c>
    </row>
    <row r="51" spans="1:2" x14ac:dyDescent="0.25">
      <c r="A51" s="5">
        <v>18719</v>
      </c>
      <c r="B51" s="6">
        <v>57.3</v>
      </c>
    </row>
    <row r="52" spans="1:2" x14ac:dyDescent="0.25">
      <c r="A52" s="5">
        <v>18749</v>
      </c>
      <c r="B52" s="6">
        <v>57.6</v>
      </c>
    </row>
    <row r="53" spans="1:2" x14ac:dyDescent="0.25">
      <c r="A53" s="5">
        <v>18780</v>
      </c>
      <c r="B53" s="6">
        <v>57.1</v>
      </c>
    </row>
    <row r="54" spans="1:2" x14ac:dyDescent="0.25">
      <c r="A54" s="5">
        <v>18810</v>
      </c>
      <c r="B54" s="6">
        <v>57.6</v>
      </c>
    </row>
    <row r="55" spans="1:2" x14ac:dyDescent="0.25">
      <c r="A55" s="5">
        <v>18841</v>
      </c>
      <c r="B55" s="6">
        <v>57.4</v>
      </c>
    </row>
    <row r="56" spans="1:2" x14ac:dyDescent="0.25">
      <c r="A56" s="5">
        <v>18872</v>
      </c>
      <c r="B56" s="6">
        <v>57.1</v>
      </c>
    </row>
    <row r="57" spans="1:2" x14ac:dyDescent="0.25">
      <c r="A57" s="5">
        <v>18902</v>
      </c>
      <c r="B57" s="6">
        <v>57.3</v>
      </c>
    </row>
    <row r="58" spans="1:2" x14ac:dyDescent="0.25">
      <c r="A58" s="5">
        <v>18933</v>
      </c>
      <c r="B58" s="6">
        <v>57.1</v>
      </c>
    </row>
    <row r="59" spans="1:2" x14ac:dyDescent="0.25">
      <c r="A59" s="5">
        <v>18963</v>
      </c>
      <c r="B59" s="6">
        <v>57.7</v>
      </c>
    </row>
    <row r="60" spans="1:2" x14ac:dyDescent="0.25">
      <c r="A60" s="5">
        <v>18994</v>
      </c>
      <c r="B60" s="6">
        <v>57.7</v>
      </c>
    </row>
    <row r="61" spans="1:2" x14ac:dyDescent="0.25">
      <c r="A61" s="5">
        <v>19025</v>
      </c>
      <c r="B61" s="6">
        <v>57.7</v>
      </c>
    </row>
    <row r="62" spans="1:2" x14ac:dyDescent="0.25">
      <c r="A62" s="5">
        <v>19054</v>
      </c>
      <c r="B62" s="6">
        <v>57.1</v>
      </c>
    </row>
    <row r="63" spans="1:2" x14ac:dyDescent="0.25">
      <c r="A63" s="5">
        <v>19085</v>
      </c>
      <c r="B63" s="6">
        <v>57.1</v>
      </c>
    </row>
    <row r="64" spans="1:2" x14ac:dyDescent="0.25">
      <c r="A64" s="5">
        <v>19115</v>
      </c>
      <c r="B64" s="6">
        <v>57.3</v>
      </c>
    </row>
    <row r="65" spans="1:2" x14ac:dyDescent="0.25">
      <c r="A65" s="5">
        <v>19146</v>
      </c>
      <c r="B65" s="6">
        <v>57.3</v>
      </c>
    </row>
    <row r="66" spans="1:2" x14ac:dyDescent="0.25">
      <c r="A66" s="5">
        <v>19176</v>
      </c>
      <c r="B66" s="6">
        <v>57</v>
      </c>
    </row>
    <row r="67" spans="1:2" x14ac:dyDescent="0.25">
      <c r="A67" s="5">
        <v>19207</v>
      </c>
      <c r="B67" s="6">
        <v>56.8</v>
      </c>
    </row>
    <row r="68" spans="1:2" x14ac:dyDescent="0.25">
      <c r="A68" s="5">
        <v>19238</v>
      </c>
      <c r="B68" s="6">
        <v>57.4</v>
      </c>
    </row>
    <row r="69" spans="1:2" x14ac:dyDescent="0.25">
      <c r="A69" s="5">
        <v>19268</v>
      </c>
      <c r="B69" s="6">
        <v>56.9</v>
      </c>
    </row>
    <row r="70" spans="1:2" x14ac:dyDescent="0.25">
      <c r="A70" s="5">
        <v>19299</v>
      </c>
      <c r="B70" s="6">
        <v>57.5</v>
      </c>
    </row>
    <row r="71" spans="1:2" x14ac:dyDescent="0.25">
      <c r="A71" s="5">
        <v>19329</v>
      </c>
      <c r="B71" s="6">
        <v>57.6</v>
      </c>
    </row>
    <row r="72" spans="1:2" x14ac:dyDescent="0.25">
      <c r="A72" s="5">
        <v>19360</v>
      </c>
      <c r="B72" s="6">
        <v>57.8</v>
      </c>
    </row>
    <row r="73" spans="1:2" x14ac:dyDescent="0.25">
      <c r="A73" s="5">
        <v>19391</v>
      </c>
      <c r="B73" s="6">
        <v>58</v>
      </c>
    </row>
    <row r="74" spans="1:2" x14ac:dyDescent="0.25">
      <c r="A74" s="5">
        <v>19419</v>
      </c>
      <c r="B74" s="6">
        <v>58.1</v>
      </c>
    </row>
    <row r="75" spans="1:2" x14ac:dyDescent="0.25">
      <c r="A75" s="5">
        <v>19450</v>
      </c>
      <c r="B75" s="6">
        <v>57.5</v>
      </c>
    </row>
    <row r="76" spans="1:2" x14ac:dyDescent="0.25">
      <c r="A76" s="5">
        <v>19480</v>
      </c>
      <c r="B76" s="6">
        <v>57.1</v>
      </c>
    </row>
    <row r="77" spans="1:2" x14ac:dyDescent="0.25">
      <c r="A77" s="5">
        <v>19511</v>
      </c>
      <c r="B77" s="6">
        <v>57.4</v>
      </c>
    </row>
    <row r="78" spans="1:2" x14ac:dyDescent="0.25">
      <c r="A78" s="5">
        <v>19541</v>
      </c>
      <c r="B78" s="6">
        <v>57.4</v>
      </c>
    </row>
    <row r="79" spans="1:2" x14ac:dyDescent="0.25">
      <c r="A79" s="5">
        <v>19572</v>
      </c>
      <c r="B79" s="6">
        <v>57.1</v>
      </c>
    </row>
    <row r="80" spans="1:2" x14ac:dyDescent="0.25">
      <c r="A80" s="5">
        <v>19603</v>
      </c>
      <c r="B80" s="6">
        <v>56.8</v>
      </c>
    </row>
    <row r="81" spans="1:2" x14ac:dyDescent="0.25">
      <c r="A81" s="5">
        <v>19633</v>
      </c>
      <c r="B81" s="6">
        <v>56.7</v>
      </c>
    </row>
    <row r="82" spans="1:2" x14ac:dyDescent="0.25">
      <c r="A82" s="5">
        <v>19664</v>
      </c>
      <c r="B82" s="6">
        <v>56.5</v>
      </c>
    </row>
    <row r="83" spans="1:2" x14ac:dyDescent="0.25">
      <c r="A83" s="5">
        <v>19694</v>
      </c>
      <c r="B83" s="6">
        <v>55.7</v>
      </c>
    </row>
    <row r="84" spans="1:2" x14ac:dyDescent="0.25">
      <c r="A84" s="5">
        <v>19725</v>
      </c>
      <c r="B84" s="6">
        <v>55.7</v>
      </c>
    </row>
    <row r="85" spans="1:2" x14ac:dyDescent="0.25">
      <c r="A85" s="5">
        <v>19756</v>
      </c>
      <c r="B85" s="6">
        <v>56.2</v>
      </c>
    </row>
    <row r="86" spans="1:2" x14ac:dyDescent="0.25">
      <c r="A86" s="5">
        <v>19784</v>
      </c>
      <c r="B86" s="6">
        <v>55.7</v>
      </c>
    </row>
    <row r="87" spans="1:2" x14ac:dyDescent="0.25">
      <c r="A87" s="5">
        <v>19815</v>
      </c>
      <c r="B87" s="6">
        <v>55.7</v>
      </c>
    </row>
    <row r="88" spans="1:2" x14ac:dyDescent="0.25">
      <c r="A88" s="5">
        <v>19845</v>
      </c>
      <c r="B88" s="6">
        <v>55.4</v>
      </c>
    </row>
    <row r="89" spans="1:2" x14ac:dyDescent="0.25">
      <c r="A89" s="5">
        <v>19876</v>
      </c>
      <c r="B89" s="6">
        <v>55.2</v>
      </c>
    </row>
    <row r="90" spans="1:2" x14ac:dyDescent="0.25">
      <c r="A90" s="5">
        <v>19906</v>
      </c>
      <c r="B90" s="6">
        <v>55</v>
      </c>
    </row>
    <row r="91" spans="1:2" x14ac:dyDescent="0.25">
      <c r="A91" s="5">
        <v>19937</v>
      </c>
      <c r="B91" s="6">
        <v>55.2</v>
      </c>
    </row>
    <row r="92" spans="1:2" x14ac:dyDescent="0.25">
      <c r="A92" s="5">
        <v>19968</v>
      </c>
      <c r="B92" s="6">
        <v>55.5</v>
      </c>
    </row>
    <row r="93" spans="1:2" x14ac:dyDescent="0.25">
      <c r="A93" s="5">
        <v>19998</v>
      </c>
      <c r="B93" s="6">
        <v>55.5</v>
      </c>
    </row>
    <row r="94" spans="1:2" x14ac:dyDescent="0.25">
      <c r="A94" s="5">
        <v>20029</v>
      </c>
      <c r="B94" s="6">
        <v>55.5</v>
      </c>
    </row>
    <row r="95" spans="1:2" x14ac:dyDescent="0.25">
      <c r="A95" s="5">
        <v>20059</v>
      </c>
      <c r="B95" s="6">
        <v>55.2</v>
      </c>
    </row>
    <row r="96" spans="1:2" x14ac:dyDescent="0.25">
      <c r="A96" s="5">
        <v>20090</v>
      </c>
      <c r="B96" s="6">
        <v>55.7</v>
      </c>
    </row>
    <row r="97" spans="1:2" x14ac:dyDescent="0.25">
      <c r="A97" s="5">
        <v>20121</v>
      </c>
      <c r="B97" s="6">
        <v>55.7</v>
      </c>
    </row>
    <row r="98" spans="1:2" x14ac:dyDescent="0.25">
      <c r="A98" s="5">
        <v>20149</v>
      </c>
      <c r="B98" s="6">
        <v>55.8</v>
      </c>
    </row>
    <row r="99" spans="1:2" x14ac:dyDescent="0.25">
      <c r="A99" s="5">
        <v>20180</v>
      </c>
      <c r="B99" s="6">
        <v>56.2</v>
      </c>
    </row>
    <row r="100" spans="1:2" x14ac:dyDescent="0.25">
      <c r="A100" s="5">
        <v>20210</v>
      </c>
      <c r="B100" s="6">
        <v>56.3</v>
      </c>
    </row>
    <row r="101" spans="1:2" x14ac:dyDescent="0.25">
      <c r="A101" s="5">
        <v>20241</v>
      </c>
      <c r="B101" s="6">
        <v>56.3</v>
      </c>
    </row>
    <row r="102" spans="1:2" x14ac:dyDescent="0.25">
      <c r="A102" s="5">
        <v>20271</v>
      </c>
      <c r="B102" s="6">
        <v>56.9</v>
      </c>
    </row>
    <row r="103" spans="1:2" x14ac:dyDescent="0.25">
      <c r="A103" s="5">
        <v>20302</v>
      </c>
      <c r="B103" s="6">
        <v>57.1</v>
      </c>
    </row>
    <row r="104" spans="1:2" x14ac:dyDescent="0.25">
      <c r="A104" s="5">
        <v>20333</v>
      </c>
      <c r="B104" s="6">
        <v>57.2</v>
      </c>
    </row>
    <row r="105" spans="1:2" x14ac:dyDescent="0.25">
      <c r="A105" s="5">
        <v>20363</v>
      </c>
      <c r="B105" s="6">
        <v>57.2</v>
      </c>
    </row>
    <row r="106" spans="1:2" x14ac:dyDescent="0.25">
      <c r="A106" s="5">
        <v>20394</v>
      </c>
      <c r="B106" s="6">
        <v>57.4</v>
      </c>
    </row>
    <row r="107" spans="1:2" x14ac:dyDescent="0.25">
      <c r="A107" s="5">
        <v>20424</v>
      </c>
      <c r="B107" s="6">
        <v>57.7</v>
      </c>
    </row>
    <row r="108" spans="1:2" x14ac:dyDescent="0.25">
      <c r="A108" s="5">
        <v>20455</v>
      </c>
      <c r="B108" s="6">
        <v>57.8</v>
      </c>
    </row>
    <row r="109" spans="1:2" x14ac:dyDescent="0.25">
      <c r="A109" s="5">
        <v>20486</v>
      </c>
      <c r="B109" s="6">
        <v>57.5</v>
      </c>
    </row>
    <row r="110" spans="1:2" x14ac:dyDescent="0.25">
      <c r="A110" s="5">
        <v>20515</v>
      </c>
      <c r="B110" s="6">
        <v>57.3</v>
      </c>
    </row>
    <row r="111" spans="1:2" x14ac:dyDescent="0.25">
      <c r="A111" s="5">
        <v>20546</v>
      </c>
      <c r="B111" s="6">
        <v>57.5</v>
      </c>
    </row>
    <row r="112" spans="1:2" x14ac:dyDescent="0.25">
      <c r="A112" s="5">
        <v>20576</v>
      </c>
      <c r="B112" s="6">
        <v>57.6</v>
      </c>
    </row>
    <row r="113" spans="1:2" x14ac:dyDescent="0.25">
      <c r="A113" s="5">
        <v>20607</v>
      </c>
      <c r="B113" s="6">
        <v>57.5</v>
      </c>
    </row>
    <row r="114" spans="1:2" x14ac:dyDescent="0.25">
      <c r="A114" s="5">
        <v>20637</v>
      </c>
      <c r="B114" s="6">
        <v>57.5</v>
      </c>
    </row>
    <row r="115" spans="1:2" x14ac:dyDescent="0.25">
      <c r="A115" s="5">
        <v>20668</v>
      </c>
      <c r="B115" s="6">
        <v>57.6</v>
      </c>
    </row>
    <row r="116" spans="1:2" x14ac:dyDescent="0.25">
      <c r="A116" s="5">
        <v>20699</v>
      </c>
      <c r="B116" s="6">
        <v>57.6</v>
      </c>
    </row>
    <row r="117" spans="1:2" x14ac:dyDescent="0.25">
      <c r="A117" s="5">
        <v>20729</v>
      </c>
      <c r="B117" s="6">
        <v>57.5</v>
      </c>
    </row>
    <row r="118" spans="1:2" x14ac:dyDescent="0.25">
      <c r="A118" s="5">
        <v>20760</v>
      </c>
      <c r="B118" s="6">
        <v>57.3</v>
      </c>
    </row>
    <row r="119" spans="1:2" x14ac:dyDescent="0.25">
      <c r="A119" s="5">
        <v>20790</v>
      </c>
      <c r="B119" s="6">
        <v>57.3</v>
      </c>
    </row>
    <row r="120" spans="1:2" x14ac:dyDescent="0.25">
      <c r="A120" s="5">
        <v>20821</v>
      </c>
      <c r="B120" s="6">
        <v>57</v>
      </c>
    </row>
    <row r="121" spans="1:2" x14ac:dyDescent="0.25">
      <c r="A121" s="5">
        <v>20852</v>
      </c>
      <c r="B121" s="6">
        <v>57.5</v>
      </c>
    </row>
    <row r="122" spans="1:2" x14ac:dyDescent="0.25">
      <c r="A122" s="5">
        <v>20880</v>
      </c>
      <c r="B122" s="6">
        <v>57.6</v>
      </c>
    </row>
    <row r="123" spans="1:2" x14ac:dyDescent="0.25">
      <c r="A123" s="5">
        <v>20911</v>
      </c>
      <c r="B123" s="6">
        <v>57.2</v>
      </c>
    </row>
    <row r="124" spans="1:2" x14ac:dyDescent="0.25">
      <c r="A124" s="5">
        <v>20941</v>
      </c>
      <c r="B124" s="6">
        <v>57.1</v>
      </c>
    </row>
    <row r="125" spans="1:2" x14ac:dyDescent="0.25">
      <c r="A125" s="5">
        <v>20972</v>
      </c>
      <c r="B125" s="6">
        <v>57.2</v>
      </c>
    </row>
    <row r="126" spans="1:2" x14ac:dyDescent="0.25">
      <c r="A126" s="5">
        <v>21002</v>
      </c>
      <c r="B126" s="6">
        <v>57.5</v>
      </c>
    </row>
    <row r="127" spans="1:2" x14ac:dyDescent="0.25">
      <c r="A127" s="5">
        <v>21033</v>
      </c>
      <c r="B127" s="6">
        <v>56.9</v>
      </c>
    </row>
    <row r="128" spans="1:2" x14ac:dyDescent="0.25">
      <c r="A128" s="5">
        <v>21064</v>
      </c>
      <c r="B128" s="6">
        <v>57</v>
      </c>
    </row>
    <row r="129" spans="1:2" x14ac:dyDescent="0.25">
      <c r="A129" s="5">
        <v>21094</v>
      </c>
      <c r="B129" s="6">
        <v>56.8</v>
      </c>
    </row>
    <row r="130" spans="1:2" x14ac:dyDescent="0.25">
      <c r="A130" s="5">
        <v>21125</v>
      </c>
      <c r="B130" s="6">
        <v>56.4</v>
      </c>
    </row>
    <row r="131" spans="1:2" x14ac:dyDescent="0.25">
      <c r="A131" s="5">
        <v>21155</v>
      </c>
      <c r="B131" s="6">
        <v>56.6</v>
      </c>
    </row>
    <row r="132" spans="1:2" x14ac:dyDescent="0.25">
      <c r="A132" s="5">
        <v>21186</v>
      </c>
      <c r="B132" s="6">
        <v>55.9</v>
      </c>
    </row>
    <row r="133" spans="1:2" x14ac:dyDescent="0.25">
      <c r="A133" s="5">
        <v>21217</v>
      </c>
      <c r="B133" s="6">
        <v>55.5</v>
      </c>
    </row>
    <row r="134" spans="1:2" x14ac:dyDescent="0.25">
      <c r="A134" s="5">
        <v>21245</v>
      </c>
      <c r="B134" s="6">
        <v>55.3</v>
      </c>
    </row>
    <row r="135" spans="1:2" x14ac:dyDescent="0.25">
      <c r="A135" s="5">
        <v>21276</v>
      </c>
      <c r="B135" s="6">
        <v>55.2</v>
      </c>
    </row>
    <row r="136" spans="1:2" x14ac:dyDescent="0.25">
      <c r="A136" s="5">
        <v>21306</v>
      </c>
      <c r="B136" s="6">
        <v>55.4</v>
      </c>
    </row>
    <row r="137" spans="1:2" x14ac:dyDescent="0.25">
      <c r="A137" s="5">
        <v>21337</v>
      </c>
      <c r="B137" s="6">
        <v>55.2</v>
      </c>
    </row>
    <row r="138" spans="1:2" x14ac:dyDescent="0.25">
      <c r="A138" s="5">
        <v>21367</v>
      </c>
      <c r="B138" s="6">
        <v>55.2</v>
      </c>
    </row>
    <row r="139" spans="1:2" x14ac:dyDescent="0.25">
      <c r="A139" s="5">
        <v>21398</v>
      </c>
      <c r="B139" s="6">
        <v>55.4</v>
      </c>
    </row>
    <row r="140" spans="1:2" x14ac:dyDescent="0.25">
      <c r="A140" s="5">
        <v>21429</v>
      </c>
      <c r="B140" s="6">
        <v>55.4</v>
      </c>
    </row>
    <row r="141" spans="1:2" x14ac:dyDescent="0.25">
      <c r="A141" s="5">
        <v>21459</v>
      </c>
      <c r="B141" s="6">
        <v>55.6</v>
      </c>
    </row>
    <row r="142" spans="1:2" x14ac:dyDescent="0.25">
      <c r="A142" s="5">
        <v>21490</v>
      </c>
      <c r="B142" s="6">
        <v>55.5</v>
      </c>
    </row>
    <row r="143" spans="1:2" x14ac:dyDescent="0.25">
      <c r="A143" s="5">
        <v>21520</v>
      </c>
      <c r="B143" s="6">
        <v>55.5</v>
      </c>
    </row>
    <row r="144" spans="1:2" x14ac:dyDescent="0.25">
      <c r="A144" s="5">
        <v>21551</v>
      </c>
      <c r="B144" s="6">
        <v>55.7</v>
      </c>
    </row>
    <row r="145" spans="1:2" x14ac:dyDescent="0.25">
      <c r="A145" s="5">
        <v>21582</v>
      </c>
      <c r="B145" s="6">
        <v>55.5</v>
      </c>
    </row>
    <row r="146" spans="1:2" x14ac:dyDescent="0.25">
      <c r="A146" s="5">
        <v>21610</v>
      </c>
      <c r="B146" s="6">
        <v>56</v>
      </c>
    </row>
    <row r="147" spans="1:2" x14ac:dyDescent="0.25">
      <c r="A147" s="5">
        <v>21641</v>
      </c>
      <c r="B147" s="6">
        <v>56.3</v>
      </c>
    </row>
    <row r="148" spans="1:2" x14ac:dyDescent="0.25">
      <c r="A148" s="5">
        <v>21671</v>
      </c>
      <c r="B148" s="6">
        <v>56.2</v>
      </c>
    </row>
    <row r="149" spans="1:2" x14ac:dyDescent="0.25">
      <c r="A149" s="5">
        <v>21702</v>
      </c>
      <c r="B149" s="6">
        <v>56.3</v>
      </c>
    </row>
    <row r="150" spans="1:2" x14ac:dyDescent="0.25">
      <c r="A150" s="5">
        <v>21732</v>
      </c>
      <c r="B150" s="6">
        <v>56.3</v>
      </c>
    </row>
    <row r="151" spans="1:2" x14ac:dyDescent="0.25">
      <c r="A151" s="5">
        <v>21763</v>
      </c>
      <c r="B151" s="6">
        <v>56.1</v>
      </c>
    </row>
    <row r="152" spans="1:2" x14ac:dyDescent="0.25">
      <c r="A152" s="5">
        <v>21794</v>
      </c>
      <c r="B152" s="6">
        <v>56</v>
      </c>
    </row>
    <row r="153" spans="1:2" x14ac:dyDescent="0.25">
      <c r="A153" s="5">
        <v>21824</v>
      </c>
      <c r="B153" s="6">
        <v>56.1</v>
      </c>
    </row>
    <row r="154" spans="1:2" x14ac:dyDescent="0.25">
      <c r="A154" s="5">
        <v>21855</v>
      </c>
      <c r="B154" s="6">
        <v>55.7</v>
      </c>
    </row>
    <row r="155" spans="1:2" x14ac:dyDescent="0.25">
      <c r="A155" s="5">
        <v>21885</v>
      </c>
      <c r="B155" s="6">
        <v>56.3</v>
      </c>
    </row>
    <row r="156" spans="1:2" x14ac:dyDescent="0.25">
      <c r="A156" s="5">
        <v>21916</v>
      </c>
      <c r="B156" s="6">
        <v>56</v>
      </c>
    </row>
    <row r="157" spans="1:2" x14ac:dyDescent="0.25">
      <c r="A157" s="5">
        <v>21947</v>
      </c>
      <c r="B157" s="6">
        <v>56.2</v>
      </c>
    </row>
    <row r="158" spans="1:2" x14ac:dyDescent="0.25">
      <c r="A158" s="5">
        <v>21976</v>
      </c>
      <c r="B158" s="6">
        <v>55.4</v>
      </c>
    </row>
    <row r="159" spans="1:2" x14ac:dyDescent="0.25">
      <c r="A159" s="5">
        <v>22007</v>
      </c>
      <c r="B159" s="6">
        <v>56.4</v>
      </c>
    </row>
    <row r="160" spans="1:2" x14ac:dyDescent="0.25">
      <c r="A160" s="5">
        <v>22037</v>
      </c>
      <c r="B160" s="6">
        <v>56.4</v>
      </c>
    </row>
    <row r="161" spans="1:2" x14ac:dyDescent="0.25">
      <c r="A161" s="5">
        <v>22068</v>
      </c>
      <c r="B161" s="6">
        <v>56.5</v>
      </c>
    </row>
    <row r="162" spans="1:2" x14ac:dyDescent="0.25">
      <c r="A162" s="5">
        <v>22098</v>
      </c>
      <c r="B162" s="6">
        <v>56.2</v>
      </c>
    </row>
    <row r="163" spans="1:2" x14ac:dyDescent="0.25">
      <c r="A163" s="5">
        <v>22129</v>
      </c>
      <c r="B163" s="6">
        <v>56.1</v>
      </c>
    </row>
    <row r="164" spans="1:2" x14ac:dyDescent="0.25">
      <c r="A164" s="5">
        <v>22160</v>
      </c>
      <c r="B164" s="6">
        <v>56.4</v>
      </c>
    </row>
    <row r="165" spans="1:2" x14ac:dyDescent="0.25">
      <c r="A165" s="5">
        <v>22190</v>
      </c>
      <c r="B165" s="6">
        <v>55.8</v>
      </c>
    </row>
    <row r="166" spans="1:2" x14ac:dyDescent="0.25">
      <c r="A166" s="5">
        <v>22221</v>
      </c>
      <c r="B166" s="6">
        <v>56.1</v>
      </c>
    </row>
    <row r="167" spans="1:2" x14ac:dyDescent="0.25">
      <c r="A167" s="5">
        <v>22251</v>
      </c>
      <c r="B167" s="6">
        <v>55.7</v>
      </c>
    </row>
    <row r="168" spans="1:2" x14ac:dyDescent="0.25">
      <c r="A168" s="5">
        <v>22282</v>
      </c>
      <c r="B168" s="6">
        <v>55.7</v>
      </c>
    </row>
    <row r="169" spans="1:2" x14ac:dyDescent="0.25">
      <c r="A169" s="5">
        <v>22313</v>
      </c>
      <c r="B169" s="6">
        <v>55.5</v>
      </c>
    </row>
    <row r="170" spans="1:2" x14ac:dyDescent="0.25">
      <c r="A170" s="5">
        <v>22341</v>
      </c>
      <c r="B170" s="6">
        <v>55.6</v>
      </c>
    </row>
    <row r="171" spans="1:2" x14ac:dyDescent="0.25">
      <c r="A171" s="5">
        <v>22372</v>
      </c>
      <c r="B171" s="6">
        <v>55.2</v>
      </c>
    </row>
    <row r="172" spans="1:2" x14ac:dyDescent="0.25">
      <c r="A172" s="5">
        <v>22402</v>
      </c>
      <c r="B172" s="6">
        <v>55.2</v>
      </c>
    </row>
    <row r="173" spans="1:2" x14ac:dyDescent="0.25">
      <c r="A173" s="5">
        <v>22433</v>
      </c>
      <c r="B173" s="6">
        <v>55.6</v>
      </c>
    </row>
    <row r="174" spans="1:2" x14ac:dyDescent="0.25">
      <c r="A174" s="5">
        <v>22463</v>
      </c>
      <c r="B174" s="6">
        <v>55.2</v>
      </c>
    </row>
    <row r="175" spans="1:2" x14ac:dyDescent="0.25">
      <c r="A175" s="5">
        <v>22494</v>
      </c>
      <c r="B175" s="6">
        <v>55.3</v>
      </c>
    </row>
    <row r="176" spans="1:2" x14ac:dyDescent="0.25">
      <c r="A176" s="5">
        <v>22525</v>
      </c>
      <c r="B176" s="6">
        <v>55</v>
      </c>
    </row>
    <row r="177" spans="1:2" x14ac:dyDescent="0.25">
      <c r="A177" s="5">
        <v>22555</v>
      </c>
      <c r="B177" s="6">
        <v>55.3</v>
      </c>
    </row>
    <row r="178" spans="1:2" x14ac:dyDescent="0.25">
      <c r="A178" s="5">
        <v>22586</v>
      </c>
      <c r="B178" s="6">
        <v>55.5</v>
      </c>
    </row>
    <row r="179" spans="1:2" x14ac:dyDescent="0.25">
      <c r="A179" s="5">
        <v>22616</v>
      </c>
      <c r="B179" s="6">
        <v>55.3</v>
      </c>
    </row>
    <row r="180" spans="1:2" x14ac:dyDescent="0.25">
      <c r="A180" s="5">
        <v>22647</v>
      </c>
      <c r="B180" s="6">
        <v>55.4</v>
      </c>
    </row>
    <row r="181" spans="1:2" x14ac:dyDescent="0.25">
      <c r="A181" s="5">
        <v>22678</v>
      </c>
      <c r="B181" s="6">
        <v>55.7</v>
      </c>
    </row>
    <row r="182" spans="1:2" x14ac:dyDescent="0.25">
      <c r="A182" s="5">
        <v>22706</v>
      </c>
      <c r="B182" s="6">
        <v>55.7</v>
      </c>
    </row>
    <row r="183" spans="1:2" x14ac:dyDescent="0.25">
      <c r="A183" s="5">
        <v>22737</v>
      </c>
      <c r="B183" s="6">
        <v>55.4</v>
      </c>
    </row>
    <row r="184" spans="1:2" x14ac:dyDescent="0.25">
      <c r="A184" s="5">
        <v>22767</v>
      </c>
      <c r="B184" s="6">
        <v>55.7</v>
      </c>
    </row>
    <row r="185" spans="1:2" x14ac:dyDescent="0.25">
      <c r="A185" s="5">
        <v>22798</v>
      </c>
      <c r="B185" s="6">
        <v>55.6</v>
      </c>
    </row>
    <row r="186" spans="1:2" x14ac:dyDescent="0.25">
      <c r="A186" s="5">
        <v>22828</v>
      </c>
      <c r="B186" s="6">
        <v>55.3</v>
      </c>
    </row>
    <row r="187" spans="1:2" x14ac:dyDescent="0.25">
      <c r="A187" s="5">
        <v>22859</v>
      </c>
      <c r="B187" s="6">
        <v>55.7</v>
      </c>
    </row>
    <row r="188" spans="1:2" x14ac:dyDescent="0.25">
      <c r="A188" s="5">
        <v>22890</v>
      </c>
      <c r="B188" s="6">
        <v>55.7</v>
      </c>
    </row>
    <row r="189" spans="1:2" x14ac:dyDescent="0.25">
      <c r="A189" s="5">
        <v>22920</v>
      </c>
      <c r="B189" s="6">
        <v>55.5</v>
      </c>
    </row>
    <row r="190" spans="1:2" x14ac:dyDescent="0.25">
      <c r="A190" s="5">
        <v>22951</v>
      </c>
      <c r="B190" s="6">
        <v>55.2</v>
      </c>
    </row>
    <row r="191" spans="1:2" x14ac:dyDescent="0.25">
      <c r="A191" s="5">
        <v>22981</v>
      </c>
      <c r="B191" s="6">
        <v>55.2</v>
      </c>
    </row>
    <row r="192" spans="1:2" x14ac:dyDescent="0.25">
      <c r="A192" s="5">
        <v>23012</v>
      </c>
      <c r="B192" s="6">
        <v>55.2</v>
      </c>
    </row>
    <row r="193" spans="1:2" x14ac:dyDescent="0.25">
      <c r="A193" s="5">
        <v>23043</v>
      </c>
      <c r="B193" s="6">
        <v>55.1</v>
      </c>
    </row>
    <row r="194" spans="1:2" x14ac:dyDescent="0.25">
      <c r="A194" s="5">
        <v>23071</v>
      </c>
      <c r="B194" s="6">
        <v>55.3</v>
      </c>
    </row>
    <row r="195" spans="1:2" x14ac:dyDescent="0.25">
      <c r="A195" s="5">
        <v>23102</v>
      </c>
      <c r="B195" s="6">
        <v>55.5</v>
      </c>
    </row>
    <row r="196" spans="1:2" x14ac:dyDescent="0.25">
      <c r="A196" s="5">
        <v>23132</v>
      </c>
      <c r="B196" s="6">
        <v>55.3</v>
      </c>
    </row>
    <row r="197" spans="1:2" x14ac:dyDescent="0.25">
      <c r="A197" s="5">
        <v>23163</v>
      </c>
      <c r="B197" s="6">
        <v>55.3</v>
      </c>
    </row>
    <row r="198" spans="1:2" x14ac:dyDescent="0.25">
      <c r="A198" s="5">
        <v>23193</v>
      </c>
      <c r="B198" s="6">
        <v>55.4</v>
      </c>
    </row>
    <row r="199" spans="1:2" x14ac:dyDescent="0.25">
      <c r="A199" s="5">
        <v>23224</v>
      </c>
      <c r="B199" s="6">
        <v>55.4</v>
      </c>
    </row>
    <row r="200" spans="1:2" x14ac:dyDescent="0.25">
      <c r="A200" s="5">
        <v>23255</v>
      </c>
      <c r="B200" s="6">
        <v>55.5</v>
      </c>
    </row>
    <row r="201" spans="1:2" x14ac:dyDescent="0.25">
      <c r="A201" s="5">
        <v>23285</v>
      </c>
      <c r="B201" s="6">
        <v>55.5</v>
      </c>
    </row>
    <row r="202" spans="1:2" x14ac:dyDescent="0.25">
      <c r="A202" s="5">
        <v>23316</v>
      </c>
      <c r="B202" s="6">
        <v>55.4</v>
      </c>
    </row>
    <row r="203" spans="1:2" x14ac:dyDescent="0.25">
      <c r="A203" s="5">
        <v>23346</v>
      </c>
      <c r="B203" s="6">
        <v>55.3</v>
      </c>
    </row>
    <row r="204" spans="1:2" x14ac:dyDescent="0.25">
      <c r="A204" s="5">
        <v>23377</v>
      </c>
      <c r="B204" s="6">
        <v>55.3</v>
      </c>
    </row>
    <row r="205" spans="1:2" x14ac:dyDescent="0.25">
      <c r="A205" s="5">
        <v>23408</v>
      </c>
      <c r="B205" s="6">
        <v>55.6</v>
      </c>
    </row>
    <row r="206" spans="1:2" x14ac:dyDescent="0.25">
      <c r="A206" s="5">
        <v>23437</v>
      </c>
      <c r="B206" s="6">
        <v>55.5</v>
      </c>
    </row>
    <row r="207" spans="1:2" x14ac:dyDescent="0.25">
      <c r="A207" s="5">
        <v>23468</v>
      </c>
      <c r="B207" s="6">
        <v>55.9</v>
      </c>
    </row>
    <row r="208" spans="1:2" x14ac:dyDescent="0.25">
      <c r="A208" s="5">
        <v>23498</v>
      </c>
      <c r="B208" s="6">
        <v>56.1</v>
      </c>
    </row>
    <row r="209" spans="1:2" x14ac:dyDescent="0.25">
      <c r="A209" s="5">
        <v>23529</v>
      </c>
      <c r="B209" s="6">
        <v>55.6</v>
      </c>
    </row>
    <row r="210" spans="1:2" x14ac:dyDescent="0.25">
      <c r="A210" s="5">
        <v>23559</v>
      </c>
      <c r="B210" s="6">
        <v>55.7</v>
      </c>
    </row>
    <row r="211" spans="1:2" x14ac:dyDescent="0.25">
      <c r="A211" s="5">
        <v>23590</v>
      </c>
      <c r="B211" s="6">
        <v>55.7</v>
      </c>
    </row>
    <row r="212" spans="1:2" x14ac:dyDescent="0.25">
      <c r="A212" s="5">
        <v>23621</v>
      </c>
      <c r="B212" s="6">
        <v>55.7</v>
      </c>
    </row>
    <row r="213" spans="1:2" x14ac:dyDescent="0.25">
      <c r="A213" s="5">
        <v>23651</v>
      </c>
      <c r="B213" s="6">
        <v>55.6</v>
      </c>
    </row>
    <row r="214" spans="1:2" x14ac:dyDescent="0.25">
      <c r="A214" s="5">
        <v>23682</v>
      </c>
      <c r="B214" s="6">
        <v>55.7</v>
      </c>
    </row>
    <row r="215" spans="1:2" x14ac:dyDescent="0.25">
      <c r="A215" s="5">
        <v>23712</v>
      </c>
      <c r="B215" s="6">
        <v>55.6</v>
      </c>
    </row>
    <row r="216" spans="1:2" x14ac:dyDescent="0.25">
      <c r="A216" s="5">
        <v>23743</v>
      </c>
      <c r="B216" s="6">
        <v>55.7</v>
      </c>
    </row>
    <row r="217" spans="1:2" x14ac:dyDescent="0.25">
      <c r="A217" s="5">
        <v>23774</v>
      </c>
      <c r="B217" s="6">
        <v>55.7</v>
      </c>
    </row>
    <row r="218" spans="1:2" x14ac:dyDescent="0.25">
      <c r="A218" s="5">
        <v>23802</v>
      </c>
      <c r="B218" s="6">
        <v>55.9</v>
      </c>
    </row>
    <row r="219" spans="1:2" x14ac:dyDescent="0.25">
      <c r="A219" s="5">
        <v>23833</v>
      </c>
      <c r="B219" s="6">
        <v>56</v>
      </c>
    </row>
    <row r="220" spans="1:2" x14ac:dyDescent="0.25">
      <c r="A220" s="5">
        <v>23863</v>
      </c>
      <c r="B220" s="6">
        <v>56.2</v>
      </c>
    </row>
    <row r="221" spans="1:2" x14ac:dyDescent="0.25">
      <c r="A221" s="5">
        <v>23894</v>
      </c>
      <c r="B221" s="6">
        <v>56.1</v>
      </c>
    </row>
    <row r="222" spans="1:2" x14ac:dyDescent="0.25">
      <c r="A222" s="5">
        <v>23924</v>
      </c>
      <c r="B222" s="6">
        <v>56.5</v>
      </c>
    </row>
    <row r="223" spans="1:2" x14ac:dyDescent="0.25">
      <c r="A223" s="5">
        <v>23955</v>
      </c>
      <c r="B223" s="6">
        <v>56.3</v>
      </c>
    </row>
    <row r="224" spans="1:2" x14ac:dyDescent="0.25">
      <c r="A224" s="5">
        <v>23986</v>
      </c>
      <c r="B224" s="6">
        <v>56.2</v>
      </c>
    </row>
    <row r="225" spans="1:2" x14ac:dyDescent="0.25">
      <c r="A225" s="5">
        <v>24016</v>
      </c>
      <c r="B225" s="6">
        <v>56.4</v>
      </c>
    </row>
    <row r="226" spans="1:2" x14ac:dyDescent="0.25">
      <c r="A226" s="5">
        <v>24047</v>
      </c>
      <c r="B226" s="6">
        <v>56.4</v>
      </c>
    </row>
    <row r="227" spans="1:2" x14ac:dyDescent="0.25">
      <c r="A227" s="5">
        <v>24077</v>
      </c>
      <c r="B227" s="6">
        <v>56.6</v>
      </c>
    </row>
    <row r="228" spans="1:2" x14ac:dyDescent="0.25">
      <c r="A228" s="5">
        <v>24108</v>
      </c>
      <c r="B228" s="6">
        <v>56.7</v>
      </c>
    </row>
    <row r="229" spans="1:2" x14ac:dyDescent="0.25">
      <c r="A229" s="5">
        <v>24139</v>
      </c>
      <c r="B229" s="6">
        <v>56.6</v>
      </c>
    </row>
    <row r="230" spans="1:2" x14ac:dyDescent="0.25">
      <c r="A230" s="5">
        <v>24167</v>
      </c>
      <c r="B230" s="6">
        <v>56.6</v>
      </c>
    </row>
    <row r="231" spans="1:2" x14ac:dyDescent="0.25">
      <c r="A231" s="5">
        <v>24198</v>
      </c>
      <c r="B231" s="6">
        <v>56.8</v>
      </c>
    </row>
    <row r="232" spans="1:2" x14ac:dyDescent="0.25">
      <c r="A232" s="5">
        <v>24228</v>
      </c>
      <c r="B232" s="6">
        <v>56.7</v>
      </c>
    </row>
    <row r="233" spans="1:2" x14ac:dyDescent="0.25">
      <c r="A233" s="5">
        <v>24259</v>
      </c>
      <c r="B233" s="6">
        <v>56.9</v>
      </c>
    </row>
    <row r="234" spans="1:2" x14ac:dyDescent="0.25">
      <c r="A234" s="5">
        <v>24289</v>
      </c>
      <c r="B234" s="6">
        <v>56.9</v>
      </c>
    </row>
    <row r="235" spans="1:2" x14ac:dyDescent="0.25">
      <c r="A235" s="5">
        <v>24320</v>
      </c>
      <c r="B235" s="6">
        <v>57</v>
      </c>
    </row>
    <row r="236" spans="1:2" x14ac:dyDescent="0.25">
      <c r="A236" s="5">
        <v>24351</v>
      </c>
      <c r="B236" s="6">
        <v>57.1</v>
      </c>
    </row>
    <row r="237" spans="1:2" x14ac:dyDescent="0.25">
      <c r="A237" s="5">
        <v>24381</v>
      </c>
      <c r="B237" s="6">
        <v>57.1</v>
      </c>
    </row>
    <row r="238" spans="1:2" x14ac:dyDescent="0.25">
      <c r="A238" s="5">
        <v>24412</v>
      </c>
      <c r="B238" s="6">
        <v>57.4</v>
      </c>
    </row>
    <row r="239" spans="1:2" x14ac:dyDescent="0.25">
      <c r="A239" s="5">
        <v>24442</v>
      </c>
      <c r="B239" s="6">
        <v>57.3</v>
      </c>
    </row>
    <row r="240" spans="1:2" x14ac:dyDescent="0.25">
      <c r="A240" s="5">
        <v>24473</v>
      </c>
      <c r="B240" s="6">
        <v>57.1</v>
      </c>
    </row>
    <row r="241" spans="1:2" x14ac:dyDescent="0.25">
      <c r="A241" s="5">
        <v>24504</v>
      </c>
      <c r="B241" s="6">
        <v>57</v>
      </c>
    </row>
    <row r="242" spans="1:2" x14ac:dyDescent="0.25">
      <c r="A242" s="5">
        <v>24532</v>
      </c>
      <c r="B242" s="6">
        <v>56.8</v>
      </c>
    </row>
    <row r="243" spans="1:2" x14ac:dyDescent="0.25">
      <c r="A243" s="5">
        <v>24563</v>
      </c>
      <c r="B243" s="6">
        <v>57.1</v>
      </c>
    </row>
    <row r="244" spans="1:2" x14ac:dyDescent="0.25">
      <c r="A244" s="5">
        <v>24593</v>
      </c>
      <c r="B244" s="6">
        <v>57</v>
      </c>
    </row>
    <row r="245" spans="1:2" x14ac:dyDescent="0.25">
      <c r="A245" s="5">
        <v>24624</v>
      </c>
      <c r="B245" s="6">
        <v>57.3</v>
      </c>
    </row>
    <row r="246" spans="1:2" x14ac:dyDescent="0.25">
      <c r="A246" s="5">
        <v>24654</v>
      </c>
      <c r="B246" s="6">
        <v>57.4</v>
      </c>
    </row>
    <row r="247" spans="1:2" x14ac:dyDescent="0.25">
      <c r="A247" s="5">
        <v>24685</v>
      </c>
      <c r="B247" s="6">
        <v>57.4</v>
      </c>
    </row>
    <row r="248" spans="1:2" x14ac:dyDescent="0.25">
      <c r="A248" s="5">
        <v>24716</v>
      </c>
      <c r="B248" s="6">
        <v>57.4</v>
      </c>
    </row>
    <row r="249" spans="1:2" x14ac:dyDescent="0.25">
      <c r="A249" s="5">
        <v>24746</v>
      </c>
      <c r="B249" s="6">
        <v>57.5</v>
      </c>
    </row>
    <row r="250" spans="1:2" x14ac:dyDescent="0.25">
      <c r="A250" s="5">
        <v>24777</v>
      </c>
      <c r="B250" s="6">
        <v>57.5</v>
      </c>
    </row>
    <row r="251" spans="1:2" x14ac:dyDescent="0.25">
      <c r="A251" s="5">
        <v>24807</v>
      </c>
      <c r="B251" s="6">
        <v>57.6</v>
      </c>
    </row>
    <row r="252" spans="1:2" x14ac:dyDescent="0.25">
      <c r="A252" s="5">
        <v>24838</v>
      </c>
      <c r="B252" s="6">
        <v>57</v>
      </c>
    </row>
    <row r="253" spans="1:2" x14ac:dyDescent="0.25">
      <c r="A253" s="5">
        <v>24869</v>
      </c>
      <c r="B253" s="6">
        <v>57.3</v>
      </c>
    </row>
    <row r="254" spans="1:2" x14ac:dyDescent="0.25">
      <c r="A254" s="5">
        <v>24898</v>
      </c>
      <c r="B254" s="6">
        <v>57.4</v>
      </c>
    </row>
    <row r="255" spans="1:2" x14ac:dyDescent="0.25">
      <c r="A255" s="5">
        <v>24929</v>
      </c>
      <c r="B255" s="6">
        <v>57.4</v>
      </c>
    </row>
    <row r="256" spans="1:2" x14ac:dyDescent="0.25">
      <c r="A256" s="5">
        <v>24959</v>
      </c>
      <c r="B256" s="6">
        <v>57.8</v>
      </c>
    </row>
    <row r="257" spans="1:2" x14ac:dyDescent="0.25">
      <c r="A257" s="5">
        <v>24990</v>
      </c>
      <c r="B257" s="6">
        <v>57.8</v>
      </c>
    </row>
    <row r="258" spans="1:2" x14ac:dyDescent="0.25">
      <c r="A258" s="5">
        <v>25020</v>
      </c>
      <c r="B258" s="6">
        <v>57.6</v>
      </c>
    </row>
    <row r="259" spans="1:2" x14ac:dyDescent="0.25">
      <c r="A259" s="5">
        <v>25051</v>
      </c>
      <c r="B259" s="6">
        <v>57.5</v>
      </c>
    </row>
    <row r="260" spans="1:2" x14ac:dyDescent="0.25">
      <c r="A260" s="5">
        <v>25082</v>
      </c>
      <c r="B260" s="6">
        <v>57.5</v>
      </c>
    </row>
    <row r="261" spans="1:2" x14ac:dyDescent="0.25">
      <c r="A261" s="5">
        <v>25112</v>
      </c>
      <c r="B261" s="6">
        <v>57.5</v>
      </c>
    </row>
    <row r="262" spans="1:2" x14ac:dyDescent="0.25">
      <c r="A262" s="5">
        <v>25143</v>
      </c>
      <c r="B262" s="6">
        <v>57.6</v>
      </c>
    </row>
    <row r="263" spans="1:2" x14ac:dyDescent="0.25">
      <c r="A263" s="5">
        <v>25173</v>
      </c>
      <c r="B263" s="6">
        <v>57.7</v>
      </c>
    </row>
    <row r="264" spans="1:2" x14ac:dyDescent="0.25">
      <c r="A264" s="5">
        <v>25204</v>
      </c>
      <c r="B264" s="6">
        <v>57.6</v>
      </c>
    </row>
    <row r="265" spans="1:2" x14ac:dyDescent="0.25">
      <c r="A265" s="5">
        <v>25235</v>
      </c>
      <c r="B265" s="6">
        <v>57.9</v>
      </c>
    </row>
    <row r="266" spans="1:2" x14ac:dyDescent="0.25">
      <c r="A266" s="5">
        <v>25263</v>
      </c>
      <c r="B266" s="6">
        <v>57.9</v>
      </c>
    </row>
    <row r="267" spans="1:2" x14ac:dyDescent="0.25">
      <c r="A267" s="5">
        <v>25294</v>
      </c>
      <c r="B267" s="6">
        <v>57.9</v>
      </c>
    </row>
    <row r="268" spans="1:2" x14ac:dyDescent="0.25">
      <c r="A268" s="5">
        <v>25324</v>
      </c>
      <c r="B268" s="6">
        <v>57.8</v>
      </c>
    </row>
    <row r="269" spans="1:2" x14ac:dyDescent="0.25">
      <c r="A269" s="5">
        <v>25355</v>
      </c>
      <c r="B269" s="6">
        <v>58</v>
      </c>
    </row>
    <row r="270" spans="1:2" x14ac:dyDescent="0.25">
      <c r="A270" s="5">
        <v>25385</v>
      </c>
      <c r="B270" s="6">
        <v>58</v>
      </c>
    </row>
    <row r="271" spans="1:2" x14ac:dyDescent="0.25">
      <c r="A271" s="5">
        <v>25416</v>
      </c>
      <c r="B271" s="6">
        <v>58.1</v>
      </c>
    </row>
    <row r="272" spans="1:2" x14ac:dyDescent="0.25">
      <c r="A272" s="5">
        <v>25447</v>
      </c>
      <c r="B272" s="6">
        <v>58.1</v>
      </c>
    </row>
    <row r="273" spans="1:2" x14ac:dyDescent="0.25">
      <c r="A273" s="5">
        <v>25477</v>
      </c>
      <c r="B273" s="6">
        <v>58.1</v>
      </c>
    </row>
    <row r="274" spans="1:2" x14ac:dyDescent="0.25">
      <c r="A274" s="5">
        <v>25508</v>
      </c>
      <c r="B274" s="6">
        <v>58.1</v>
      </c>
    </row>
    <row r="275" spans="1:2" x14ac:dyDescent="0.25">
      <c r="A275" s="5">
        <v>25538</v>
      </c>
      <c r="B275" s="6">
        <v>58.1</v>
      </c>
    </row>
    <row r="276" spans="1:2" x14ac:dyDescent="0.25">
      <c r="A276" s="5">
        <v>25569</v>
      </c>
      <c r="B276" s="6">
        <v>58</v>
      </c>
    </row>
    <row r="277" spans="1:2" x14ac:dyDescent="0.25">
      <c r="A277" s="5">
        <v>25600</v>
      </c>
      <c r="B277" s="6">
        <v>57.9</v>
      </c>
    </row>
    <row r="278" spans="1:2" x14ac:dyDescent="0.25">
      <c r="A278" s="5">
        <v>25628</v>
      </c>
      <c r="B278" s="6">
        <v>57.9</v>
      </c>
    </row>
    <row r="279" spans="1:2" x14ac:dyDescent="0.25">
      <c r="A279" s="5">
        <v>25659</v>
      </c>
      <c r="B279" s="6">
        <v>57.9</v>
      </c>
    </row>
    <row r="280" spans="1:2" x14ac:dyDescent="0.25">
      <c r="A280" s="5">
        <v>25689</v>
      </c>
      <c r="B280" s="6">
        <v>57.5</v>
      </c>
    </row>
    <row r="281" spans="1:2" x14ac:dyDescent="0.25">
      <c r="A281" s="5">
        <v>25720</v>
      </c>
      <c r="B281" s="6">
        <v>57.3</v>
      </c>
    </row>
    <row r="282" spans="1:2" x14ac:dyDescent="0.25">
      <c r="A282" s="5">
        <v>25750</v>
      </c>
      <c r="B282" s="6">
        <v>57.4</v>
      </c>
    </row>
    <row r="283" spans="1:2" x14ac:dyDescent="0.25">
      <c r="A283" s="5">
        <v>25781</v>
      </c>
      <c r="B283" s="6">
        <v>57.2</v>
      </c>
    </row>
    <row r="284" spans="1:2" x14ac:dyDescent="0.25">
      <c r="A284" s="5">
        <v>25812</v>
      </c>
      <c r="B284" s="6">
        <v>57</v>
      </c>
    </row>
    <row r="285" spans="1:2" x14ac:dyDescent="0.25">
      <c r="A285" s="5">
        <v>25842</v>
      </c>
      <c r="B285" s="6">
        <v>57</v>
      </c>
    </row>
    <row r="286" spans="1:2" x14ac:dyDescent="0.25">
      <c r="A286" s="5">
        <v>25873</v>
      </c>
      <c r="B286" s="6">
        <v>56.9</v>
      </c>
    </row>
    <row r="287" spans="1:2" x14ac:dyDescent="0.25">
      <c r="A287" s="5">
        <v>25903</v>
      </c>
      <c r="B287" s="6">
        <v>56.7</v>
      </c>
    </row>
    <row r="288" spans="1:2" x14ac:dyDescent="0.25">
      <c r="A288" s="5">
        <v>25934</v>
      </c>
      <c r="B288" s="6">
        <v>56.8</v>
      </c>
    </row>
    <row r="289" spans="1:2" x14ac:dyDescent="0.25">
      <c r="A289" s="5">
        <v>25965</v>
      </c>
      <c r="B289" s="6">
        <v>56.6</v>
      </c>
    </row>
    <row r="290" spans="1:2" x14ac:dyDescent="0.25">
      <c r="A290" s="5">
        <v>25993</v>
      </c>
      <c r="B290" s="6">
        <v>56.4</v>
      </c>
    </row>
    <row r="291" spans="1:2" x14ac:dyDescent="0.25">
      <c r="A291" s="5">
        <v>26024</v>
      </c>
      <c r="B291" s="6">
        <v>56.6</v>
      </c>
    </row>
    <row r="292" spans="1:2" x14ac:dyDescent="0.25">
      <c r="A292" s="5">
        <v>26054</v>
      </c>
      <c r="B292" s="6">
        <v>56.6</v>
      </c>
    </row>
    <row r="293" spans="1:2" x14ac:dyDescent="0.25">
      <c r="A293" s="5">
        <v>26085</v>
      </c>
      <c r="B293" s="6">
        <v>56.2</v>
      </c>
    </row>
    <row r="294" spans="1:2" x14ac:dyDescent="0.25">
      <c r="A294" s="5">
        <v>26115</v>
      </c>
      <c r="B294" s="6">
        <v>56.5</v>
      </c>
    </row>
    <row r="295" spans="1:2" x14ac:dyDescent="0.25">
      <c r="A295" s="5">
        <v>26146</v>
      </c>
      <c r="B295" s="6">
        <v>56.6</v>
      </c>
    </row>
    <row r="296" spans="1:2" x14ac:dyDescent="0.25">
      <c r="A296" s="5">
        <v>26177</v>
      </c>
      <c r="B296" s="6">
        <v>56.6</v>
      </c>
    </row>
    <row r="297" spans="1:2" x14ac:dyDescent="0.25">
      <c r="A297" s="5">
        <v>26207</v>
      </c>
      <c r="B297" s="6">
        <v>56.6</v>
      </c>
    </row>
    <row r="298" spans="1:2" x14ac:dyDescent="0.25">
      <c r="A298" s="5">
        <v>26238</v>
      </c>
      <c r="B298" s="6">
        <v>56.8</v>
      </c>
    </row>
    <row r="299" spans="1:2" x14ac:dyDescent="0.25">
      <c r="A299" s="5">
        <v>26268</v>
      </c>
      <c r="B299" s="6">
        <v>56.8</v>
      </c>
    </row>
    <row r="300" spans="1:2" x14ac:dyDescent="0.25">
      <c r="A300" s="5">
        <v>26299</v>
      </c>
      <c r="B300" s="6">
        <v>56.7</v>
      </c>
    </row>
    <row r="301" spans="1:2" x14ac:dyDescent="0.25">
      <c r="A301" s="5">
        <v>26330</v>
      </c>
      <c r="B301" s="6">
        <v>56.7</v>
      </c>
    </row>
    <row r="302" spans="1:2" x14ac:dyDescent="0.25">
      <c r="A302" s="5">
        <v>26359</v>
      </c>
      <c r="B302" s="6">
        <v>56.9</v>
      </c>
    </row>
    <row r="303" spans="1:2" x14ac:dyDescent="0.25">
      <c r="A303" s="5">
        <v>26390</v>
      </c>
      <c r="B303" s="6">
        <v>56.9</v>
      </c>
    </row>
    <row r="304" spans="1:2" x14ac:dyDescent="0.25">
      <c r="A304" s="5">
        <v>26420</v>
      </c>
      <c r="B304" s="6">
        <v>57</v>
      </c>
    </row>
    <row r="305" spans="1:2" x14ac:dyDescent="0.25">
      <c r="A305" s="5">
        <v>26451</v>
      </c>
      <c r="B305" s="6">
        <v>57</v>
      </c>
    </row>
    <row r="306" spans="1:2" x14ac:dyDescent="0.25">
      <c r="A306" s="5">
        <v>26481</v>
      </c>
      <c r="B306" s="6">
        <v>57</v>
      </c>
    </row>
    <row r="307" spans="1:2" x14ac:dyDescent="0.25">
      <c r="A307" s="5">
        <v>26512</v>
      </c>
      <c r="B307" s="6">
        <v>57.1</v>
      </c>
    </row>
    <row r="308" spans="1:2" x14ac:dyDescent="0.25">
      <c r="A308" s="5">
        <v>26543</v>
      </c>
      <c r="B308" s="6">
        <v>57</v>
      </c>
    </row>
    <row r="309" spans="1:2" x14ac:dyDescent="0.25">
      <c r="A309" s="5">
        <v>26573</v>
      </c>
      <c r="B309" s="6">
        <v>57</v>
      </c>
    </row>
    <row r="310" spans="1:2" x14ac:dyDescent="0.25">
      <c r="A310" s="5">
        <v>26604</v>
      </c>
      <c r="B310" s="6">
        <v>57.2</v>
      </c>
    </row>
    <row r="311" spans="1:2" x14ac:dyDescent="0.25">
      <c r="A311" s="5">
        <v>26634</v>
      </c>
      <c r="B311" s="6">
        <v>57.3</v>
      </c>
    </row>
    <row r="312" spans="1:2" x14ac:dyDescent="0.25">
      <c r="A312" s="5">
        <v>26665</v>
      </c>
      <c r="B312" s="6">
        <v>57.1</v>
      </c>
    </row>
    <row r="313" spans="1:2" x14ac:dyDescent="0.25">
      <c r="A313" s="5">
        <v>26696</v>
      </c>
      <c r="B313" s="6">
        <v>57.5</v>
      </c>
    </row>
    <row r="314" spans="1:2" x14ac:dyDescent="0.25">
      <c r="A314" s="5">
        <v>26724</v>
      </c>
      <c r="B314" s="6">
        <v>57.8</v>
      </c>
    </row>
    <row r="315" spans="1:2" x14ac:dyDescent="0.25">
      <c r="A315" s="5">
        <v>26755</v>
      </c>
      <c r="B315" s="6">
        <v>57.7</v>
      </c>
    </row>
    <row r="316" spans="1:2" x14ac:dyDescent="0.25">
      <c r="A316" s="5">
        <v>26785</v>
      </c>
      <c r="B316" s="6">
        <v>57.7</v>
      </c>
    </row>
    <row r="317" spans="1:2" x14ac:dyDescent="0.25">
      <c r="A317" s="5">
        <v>26816</v>
      </c>
      <c r="B317" s="6">
        <v>58</v>
      </c>
    </row>
    <row r="318" spans="1:2" x14ac:dyDescent="0.25">
      <c r="A318" s="5">
        <v>26846</v>
      </c>
      <c r="B318" s="6">
        <v>57.9</v>
      </c>
    </row>
    <row r="319" spans="1:2" x14ac:dyDescent="0.25">
      <c r="A319" s="5">
        <v>26877</v>
      </c>
      <c r="B319" s="6">
        <v>57.8</v>
      </c>
    </row>
    <row r="320" spans="1:2" x14ac:dyDescent="0.25">
      <c r="A320" s="5">
        <v>26908</v>
      </c>
      <c r="B320" s="6">
        <v>57.9</v>
      </c>
    </row>
    <row r="321" spans="1:2" x14ac:dyDescent="0.25">
      <c r="A321" s="5">
        <v>26938</v>
      </c>
      <c r="B321" s="6">
        <v>58.1</v>
      </c>
    </row>
    <row r="322" spans="1:2" x14ac:dyDescent="0.25">
      <c r="A322" s="5">
        <v>26969</v>
      </c>
      <c r="B322" s="6">
        <v>58.2</v>
      </c>
    </row>
    <row r="323" spans="1:2" x14ac:dyDescent="0.25">
      <c r="A323" s="5">
        <v>26999</v>
      </c>
      <c r="B323" s="6">
        <v>58.2</v>
      </c>
    </row>
    <row r="324" spans="1:2" x14ac:dyDescent="0.25">
      <c r="A324" s="5">
        <v>27030</v>
      </c>
      <c r="B324" s="6">
        <v>58.2</v>
      </c>
    </row>
    <row r="325" spans="1:2" x14ac:dyDescent="0.25">
      <c r="A325" s="5">
        <v>27061</v>
      </c>
      <c r="B325" s="6">
        <v>58.2</v>
      </c>
    </row>
    <row r="326" spans="1:2" x14ac:dyDescent="0.25">
      <c r="A326" s="5">
        <v>27089</v>
      </c>
      <c r="B326" s="6">
        <v>58.2</v>
      </c>
    </row>
    <row r="327" spans="1:2" x14ac:dyDescent="0.25">
      <c r="A327" s="5">
        <v>27120</v>
      </c>
      <c r="B327" s="6">
        <v>58</v>
      </c>
    </row>
    <row r="328" spans="1:2" x14ac:dyDescent="0.25">
      <c r="A328" s="5">
        <v>27150</v>
      </c>
      <c r="B328" s="6">
        <v>58</v>
      </c>
    </row>
    <row r="329" spans="1:2" x14ac:dyDescent="0.25">
      <c r="A329" s="5">
        <v>27181</v>
      </c>
      <c r="B329" s="6">
        <v>58</v>
      </c>
    </row>
    <row r="330" spans="1:2" x14ac:dyDescent="0.25">
      <c r="A330" s="5">
        <v>27211</v>
      </c>
      <c r="B330" s="6">
        <v>58</v>
      </c>
    </row>
    <row r="331" spans="1:2" x14ac:dyDescent="0.25">
      <c r="A331" s="5">
        <v>27242</v>
      </c>
      <c r="B331" s="6">
        <v>57.8</v>
      </c>
    </row>
    <row r="332" spans="1:2" x14ac:dyDescent="0.25">
      <c r="A332" s="5">
        <v>27273</v>
      </c>
      <c r="B332" s="6">
        <v>57.7</v>
      </c>
    </row>
    <row r="333" spans="1:2" x14ac:dyDescent="0.25">
      <c r="A333" s="5">
        <v>27303</v>
      </c>
      <c r="B333" s="6">
        <v>57.6</v>
      </c>
    </row>
    <row r="334" spans="1:2" x14ac:dyDescent="0.25">
      <c r="A334" s="5">
        <v>27334</v>
      </c>
      <c r="B334" s="6">
        <v>57.3</v>
      </c>
    </row>
    <row r="335" spans="1:2" x14ac:dyDescent="0.25">
      <c r="A335" s="5">
        <v>27364</v>
      </c>
      <c r="B335" s="6">
        <v>56.9</v>
      </c>
    </row>
    <row r="336" spans="1:2" x14ac:dyDescent="0.25">
      <c r="A336" s="5">
        <v>27395</v>
      </c>
      <c r="B336" s="6">
        <v>56.4</v>
      </c>
    </row>
    <row r="337" spans="1:2" x14ac:dyDescent="0.25">
      <c r="A337" s="5">
        <v>27426</v>
      </c>
      <c r="B337" s="6">
        <v>56.1</v>
      </c>
    </row>
    <row r="338" spans="1:2" x14ac:dyDescent="0.25">
      <c r="A338" s="5">
        <v>27454</v>
      </c>
      <c r="B338" s="6">
        <v>56</v>
      </c>
    </row>
    <row r="339" spans="1:2" x14ac:dyDescent="0.25">
      <c r="A339" s="5">
        <v>27485</v>
      </c>
      <c r="B339" s="6">
        <v>55.9</v>
      </c>
    </row>
    <row r="340" spans="1:2" x14ac:dyDescent="0.25">
      <c r="A340" s="5">
        <v>27515</v>
      </c>
      <c r="B340" s="6">
        <v>56</v>
      </c>
    </row>
    <row r="341" spans="1:2" x14ac:dyDescent="0.25">
      <c r="A341" s="5">
        <v>27546</v>
      </c>
      <c r="B341" s="6">
        <v>55.8</v>
      </c>
    </row>
    <row r="342" spans="1:2" x14ac:dyDescent="0.25">
      <c r="A342" s="5">
        <v>27576</v>
      </c>
      <c r="B342" s="6">
        <v>56</v>
      </c>
    </row>
    <row r="343" spans="1:2" x14ac:dyDescent="0.25">
      <c r="A343" s="5">
        <v>27607</v>
      </c>
      <c r="B343" s="6">
        <v>56.1</v>
      </c>
    </row>
    <row r="344" spans="1:2" x14ac:dyDescent="0.25">
      <c r="A344" s="5">
        <v>27638</v>
      </c>
      <c r="B344" s="6">
        <v>56.1</v>
      </c>
    </row>
    <row r="345" spans="1:2" x14ac:dyDescent="0.25">
      <c r="A345" s="5">
        <v>27668</v>
      </c>
      <c r="B345" s="6">
        <v>56.1</v>
      </c>
    </row>
    <row r="346" spans="1:2" x14ac:dyDescent="0.25">
      <c r="A346" s="5">
        <v>27699</v>
      </c>
      <c r="B346" s="6">
        <v>56</v>
      </c>
    </row>
    <row r="347" spans="1:2" x14ac:dyDescent="0.25">
      <c r="A347" s="5">
        <v>27729</v>
      </c>
      <c r="B347" s="6">
        <v>56.1</v>
      </c>
    </row>
    <row r="348" spans="1:2" x14ac:dyDescent="0.25">
      <c r="A348" s="5">
        <v>27760</v>
      </c>
      <c r="B348" s="6">
        <v>56.4</v>
      </c>
    </row>
    <row r="349" spans="1:2" x14ac:dyDescent="0.25">
      <c r="A349" s="5">
        <v>27791</v>
      </c>
      <c r="B349" s="6">
        <v>56.5</v>
      </c>
    </row>
    <row r="350" spans="1:2" x14ac:dyDescent="0.25">
      <c r="A350" s="5">
        <v>27820</v>
      </c>
      <c r="B350" s="6">
        <v>56.7</v>
      </c>
    </row>
    <row r="351" spans="1:2" x14ac:dyDescent="0.25">
      <c r="A351" s="5">
        <v>27851</v>
      </c>
      <c r="B351" s="6">
        <v>56.8</v>
      </c>
    </row>
    <row r="352" spans="1:2" x14ac:dyDescent="0.25">
      <c r="A352" s="5">
        <v>27881</v>
      </c>
      <c r="B352" s="6">
        <v>57</v>
      </c>
    </row>
    <row r="353" spans="1:2" x14ac:dyDescent="0.25">
      <c r="A353" s="5">
        <v>27912</v>
      </c>
      <c r="B353" s="6">
        <v>56.8</v>
      </c>
    </row>
    <row r="354" spans="1:2" x14ac:dyDescent="0.25">
      <c r="A354" s="5">
        <v>27942</v>
      </c>
      <c r="B354" s="6">
        <v>57</v>
      </c>
    </row>
    <row r="355" spans="1:2" x14ac:dyDescent="0.25">
      <c r="A355" s="5">
        <v>27973</v>
      </c>
      <c r="B355" s="6">
        <v>57</v>
      </c>
    </row>
    <row r="356" spans="1:2" x14ac:dyDescent="0.25">
      <c r="A356" s="5">
        <v>28004</v>
      </c>
      <c r="B356" s="6">
        <v>56.9</v>
      </c>
    </row>
    <row r="357" spans="1:2" x14ac:dyDescent="0.25">
      <c r="A357" s="5">
        <v>28034</v>
      </c>
      <c r="B357" s="6">
        <v>56.9</v>
      </c>
    </row>
    <row r="358" spans="1:2" x14ac:dyDescent="0.25">
      <c r="A358" s="5">
        <v>28065</v>
      </c>
      <c r="B358" s="6">
        <v>57</v>
      </c>
    </row>
    <row r="359" spans="1:2" x14ac:dyDescent="0.25">
      <c r="A359" s="5">
        <v>28095</v>
      </c>
      <c r="B359" s="6">
        <v>57</v>
      </c>
    </row>
    <row r="360" spans="1:2" x14ac:dyDescent="0.25">
      <c r="A360" s="5">
        <v>28126</v>
      </c>
      <c r="B360" s="6">
        <v>57</v>
      </c>
    </row>
    <row r="361" spans="1:2" x14ac:dyDescent="0.25">
      <c r="A361" s="5">
        <v>28157</v>
      </c>
      <c r="B361" s="6">
        <v>57.2</v>
      </c>
    </row>
    <row r="362" spans="1:2" x14ac:dyDescent="0.25">
      <c r="A362" s="5">
        <v>28185</v>
      </c>
      <c r="B362" s="6">
        <v>57.4</v>
      </c>
    </row>
    <row r="363" spans="1:2" x14ac:dyDescent="0.25">
      <c r="A363" s="5">
        <v>28216</v>
      </c>
      <c r="B363" s="6">
        <v>57.6</v>
      </c>
    </row>
    <row r="364" spans="1:2" x14ac:dyDescent="0.25">
      <c r="A364" s="5">
        <v>28246</v>
      </c>
      <c r="B364" s="6">
        <v>57.8</v>
      </c>
    </row>
    <row r="365" spans="1:2" x14ac:dyDescent="0.25">
      <c r="A365" s="5">
        <v>28277</v>
      </c>
      <c r="B365" s="6">
        <v>57.9</v>
      </c>
    </row>
    <row r="366" spans="1:2" x14ac:dyDescent="0.25">
      <c r="A366" s="5">
        <v>28307</v>
      </c>
      <c r="B366" s="6">
        <v>57.8</v>
      </c>
    </row>
    <row r="367" spans="1:2" x14ac:dyDescent="0.25">
      <c r="A367" s="5">
        <v>28338</v>
      </c>
      <c r="B367" s="6">
        <v>58</v>
      </c>
    </row>
    <row r="368" spans="1:2" x14ac:dyDescent="0.25">
      <c r="A368" s="5">
        <v>28369</v>
      </c>
      <c r="B368" s="6">
        <v>58.1</v>
      </c>
    </row>
    <row r="369" spans="1:2" x14ac:dyDescent="0.25">
      <c r="A369" s="5">
        <v>28399</v>
      </c>
      <c r="B369" s="6">
        <v>58.2</v>
      </c>
    </row>
    <row r="370" spans="1:2" x14ac:dyDescent="0.25">
      <c r="A370" s="5">
        <v>28430</v>
      </c>
      <c r="B370" s="6">
        <v>58.6</v>
      </c>
    </row>
    <row r="371" spans="1:2" x14ac:dyDescent="0.25">
      <c r="A371" s="5">
        <v>28460</v>
      </c>
      <c r="B371" s="6">
        <v>58.7</v>
      </c>
    </row>
    <row r="372" spans="1:2" x14ac:dyDescent="0.25">
      <c r="A372" s="5">
        <v>28491</v>
      </c>
      <c r="B372" s="6">
        <v>58.8</v>
      </c>
    </row>
    <row r="373" spans="1:2" x14ac:dyDescent="0.25">
      <c r="A373" s="5">
        <v>28522</v>
      </c>
      <c r="B373" s="6">
        <v>58.8</v>
      </c>
    </row>
    <row r="374" spans="1:2" x14ac:dyDescent="0.25">
      <c r="A374" s="5">
        <v>28550</v>
      </c>
      <c r="B374" s="6">
        <v>58.8</v>
      </c>
    </row>
    <row r="375" spans="1:2" x14ac:dyDescent="0.25">
      <c r="A375" s="5">
        <v>28581</v>
      </c>
      <c r="B375" s="6">
        <v>59.2</v>
      </c>
    </row>
    <row r="376" spans="1:2" x14ac:dyDescent="0.25">
      <c r="A376" s="5">
        <v>28611</v>
      </c>
      <c r="B376" s="6">
        <v>59.3</v>
      </c>
    </row>
    <row r="377" spans="1:2" x14ac:dyDescent="0.25">
      <c r="A377" s="5">
        <v>28642</v>
      </c>
      <c r="B377" s="6">
        <v>59.5</v>
      </c>
    </row>
    <row r="378" spans="1:2" x14ac:dyDescent="0.25">
      <c r="A378" s="5">
        <v>28672</v>
      </c>
      <c r="B378" s="6">
        <v>59.3</v>
      </c>
    </row>
    <row r="379" spans="1:2" x14ac:dyDescent="0.25">
      <c r="A379" s="5">
        <v>28703</v>
      </c>
      <c r="B379" s="6">
        <v>59.4</v>
      </c>
    </row>
    <row r="380" spans="1:2" x14ac:dyDescent="0.25">
      <c r="A380" s="5">
        <v>28734</v>
      </c>
      <c r="B380" s="6">
        <v>59.5</v>
      </c>
    </row>
    <row r="381" spans="1:2" x14ac:dyDescent="0.25">
      <c r="A381" s="5">
        <v>28764</v>
      </c>
      <c r="B381" s="6">
        <v>59.7</v>
      </c>
    </row>
    <row r="382" spans="1:2" x14ac:dyDescent="0.25">
      <c r="A382" s="5">
        <v>28795</v>
      </c>
      <c r="B382" s="6">
        <v>59.8</v>
      </c>
    </row>
    <row r="383" spans="1:2" x14ac:dyDescent="0.25">
      <c r="A383" s="5">
        <v>28825</v>
      </c>
      <c r="B383" s="6">
        <v>59.8</v>
      </c>
    </row>
    <row r="384" spans="1:2" x14ac:dyDescent="0.25">
      <c r="A384" s="5">
        <v>28856</v>
      </c>
      <c r="B384" s="6">
        <v>59.9</v>
      </c>
    </row>
    <row r="385" spans="1:2" x14ac:dyDescent="0.25">
      <c r="A385" s="5">
        <v>28887</v>
      </c>
      <c r="B385" s="6">
        <v>60.1</v>
      </c>
    </row>
    <row r="386" spans="1:2" x14ac:dyDescent="0.25">
      <c r="A386" s="5">
        <v>28915</v>
      </c>
      <c r="B386" s="6">
        <v>60</v>
      </c>
    </row>
    <row r="387" spans="1:2" x14ac:dyDescent="0.25">
      <c r="A387" s="5">
        <v>28946</v>
      </c>
      <c r="B387" s="6">
        <v>59.8</v>
      </c>
    </row>
    <row r="388" spans="1:2" x14ac:dyDescent="0.25">
      <c r="A388" s="5">
        <v>28976</v>
      </c>
      <c r="B388" s="6">
        <v>59.8</v>
      </c>
    </row>
    <row r="389" spans="1:2" x14ac:dyDescent="0.25">
      <c r="A389" s="5">
        <v>29007</v>
      </c>
      <c r="B389" s="6">
        <v>59.9</v>
      </c>
    </row>
    <row r="390" spans="1:2" x14ac:dyDescent="0.25">
      <c r="A390" s="5">
        <v>29037</v>
      </c>
      <c r="B390" s="6">
        <v>60</v>
      </c>
    </row>
    <row r="391" spans="1:2" x14ac:dyDescent="0.25">
      <c r="A391" s="5">
        <v>29068</v>
      </c>
      <c r="B391" s="6">
        <v>59.8</v>
      </c>
    </row>
    <row r="392" spans="1:2" x14ac:dyDescent="0.25">
      <c r="A392" s="5">
        <v>29099</v>
      </c>
      <c r="B392" s="6">
        <v>60</v>
      </c>
    </row>
    <row r="393" spans="1:2" x14ac:dyDescent="0.25">
      <c r="A393" s="5">
        <v>29129</v>
      </c>
      <c r="B393" s="6">
        <v>59.9</v>
      </c>
    </row>
    <row r="394" spans="1:2" x14ac:dyDescent="0.25">
      <c r="A394" s="5">
        <v>29160</v>
      </c>
      <c r="B394" s="6">
        <v>60</v>
      </c>
    </row>
    <row r="395" spans="1:2" x14ac:dyDescent="0.25">
      <c r="A395" s="5">
        <v>29190</v>
      </c>
      <c r="B395" s="6">
        <v>60.1</v>
      </c>
    </row>
    <row r="396" spans="1:2" x14ac:dyDescent="0.25">
      <c r="A396" s="5">
        <v>29221</v>
      </c>
      <c r="B396" s="6">
        <v>60</v>
      </c>
    </row>
    <row r="397" spans="1:2" x14ac:dyDescent="0.25">
      <c r="A397" s="5">
        <v>29252</v>
      </c>
      <c r="B397" s="6">
        <v>60</v>
      </c>
    </row>
    <row r="398" spans="1:2" x14ac:dyDescent="0.25">
      <c r="A398" s="5">
        <v>29281</v>
      </c>
      <c r="B398" s="6">
        <v>59.7</v>
      </c>
    </row>
    <row r="399" spans="1:2" x14ac:dyDescent="0.25">
      <c r="A399" s="5">
        <v>29312</v>
      </c>
      <c r="B399" s="6">
        <v>59.4</v>
      </c>
    </row>
    <row r="400" spans="1:2" x14ac:dyDescent="0.25">
      <c r="A400" s="5">
        <v>29342</v>
      </c>
      <c r="B400" s="6">
        <v>59.1</v>
      </c>
    </row>
    <row r="401" spans="1:2" x14ac:dyDescent="0.25">
      <c r="A401" s="5">
        <v>29373</v>
      </c>
      <c r="B401" s="6">
        <v>58.9</v>
      </c>
    </row>
    <row r="402" spans="1:2" x14ac:dyDescent="0.25">
      <c r="A402" s="5">
        <v>29403</v>
      </c>
      <c r="B402" s="6">
        <v>58.8</v>
      </c>
    </row>
    <row r="403" spans="1:2" x14ac:dyDescent="0.25">
      <c r="A403" s="5">
        <v>29434</v>
      </c>
      <c r="B403" s="6">
        <v>58.8</v>
      </c>
    </row>
    <row r="404" spans="1:2" x14ac:dyDescent="0.25">
      <c r="A404" s="5">
        <v>29465</v>
      </c>
      <c r="B404" s="6">
        <v>58.9</v>
      </c>
    </row>
    <row r="405" spans="1:2" x14ac:dyDescent="0.25">
      <c r="A405" s="5">
        <v>29495</v>
      </c>
      <c r="B405" s="6">
        <v>58.9</v>
      </c>
    </row>
    <row r="406" spans="1:2" x14ac:dyDescent="0.25">
      <c r="A406" s="5">
        <v>29526</v>
      </c>
      <c r="B406" s="6">
        <v>59</v>
      </c>
    </row>
    <row r="407" spans="1:2" x14ac:dyDescent="0.25">
      <c r="A407" s="5">
        <v>29556</v>
      </c>
      <c r="B407" s="6">
        <v>59</v>
      </c>
    </row>
    <row r="408" spans="1:2" x14ac:dyDescent="0.25">
      <c r="A408" s="5">
        <v>29587</v>
      </c>
      <c r="B408" s="6">
        <v>59.1</v>
      </c>
    </row>
    <row r="409" spans="1:2" x14ac:dyDescent="0.25">
      <c r="A409" s="5">
        <v>29618</v>
      </c>
      <c r="B409" s="6">
        <v>59.2</v>
      </c>
    </row>
    <row r="410" spans="1:2" x14ac:dyDescent="0.25">
      <c r="A410" s="5">
        <v>29646</v>
      </c>
      <c r="B410" s="6">
        <v>59.4</v>
      </c>
    </row>
    <row r="411" spans="1:2" x14ac:dyDescent="0.25">
      <c r="A411" s="5">
        <v>29677</v>
      </c>
      <c r="B411" s="6">
        <v>59.6</v>
      </c>
    </row>
    <row r="412" spans="1:2" x14ac:dyDescent="0.25">
      <c r="A412" s="5">
        <v>29707</v>
      </c>
      <c r="B412" s="6">
        <v>59.5</v>
      </c>
    </row>
    <row r="413" spans="1:2" x14ac:dyDescent="0.25">
      <c r="A413" s="5">
        <v>29738</v>
      </c>
      <c r="B413" s="6">
        <v>59</v>
      </c>
    </row>
    <row r="414" spans="1:2" x14ac:dyDescent="0.25">
      <c r="A414" s="5">
        <v>29768</v>
      </c>
      <c r="B414" s="6">
        <v>59.1</v>
      </c>
    </row>
    <row r="415" spans="1:2" x14ac:dyDescent="0.25">
      <c r="A415" s="5">
        <v>29799</v>
      </c>
      <c r="B415" s="6">
        <v>59.1</v>
      </c>
    </row>
    <row r="416" spans="1:2" x14ac:dyDescent="0.25">
      <c r="A416" s="5">
        <v>29830</v>
      </c>
      <c r="B416" s="6">
        <v>58.7</v>
      </c>
    </row>
    <row r="417" spans="1:2" x14ac:dyDescent="0.25">
      <c r="A417" s="5">
        <v>29860</v>
      </c>
      <c r="B417" s="6">
        <v>58.8</v>
      </c>
    </row>
    <row r="418" spans="1:2" x14ac:dyDescent="0.25">
      <c r="A418" s="5">
        <v>29891</v>
      </c>
      <c r="B418" s="6">
        <v>58.6</v>
      </c>
    </row>
    <row r="419" spans="1:2" x14ac:dyDescent="0.25">
      <c r="A419" s="5">
        <v>29921</v>
      </c>
      <c r="B419" s="6">
        <v>58.2</v>
      </c>
    </row>
    <row r="420" spans="1:2" x14ac:dyDescent="0.25">
      <c r="A420" s="5">
        <v>29952</v>
      </c>
      <c r="B420" s="6">
        <v>58.2</v>
      </c>
    </row>
    <row r="421" spans="1:2" x14ac:dyDescent="0.25">
      <c r="A421" s="5">
        <v>29983</v>
      </c>
      <c r="B421" s="6">
        <v>58.2</v>
      </c>
    </row>
    <row r="422" spans="1:2" x14ac:dyDescent="0.25">
      <c r="A422" s="5">
        <v>30011</v>
      </c>
      <c r="B422" s="6">
        <v>58.1</v>
      </c>
    </row>
    <row r="423" spans="1:2" x14ac:dyDescent="0.25">
      <c r="A423" s="5">
        <v>30042</v>
      </c>
      <c r="B423" s="6">
        <v>57.9</v>
      </c>
    </row>
    <row r="424" spans="1:2" x14ac:dyDescent="0.25">
      <c r="A424" s="5">
        <v>30072</v>
      </c>
      <c r="B424" s="6">
        <v>58.2</v>
      </c>
    </row>
    <row r="425" spans="1:2" x14ac:dyDescent="0.25">
      <c r="A425" s="5">
        <v>30103</v>
      </c>
      <c r="B425" s="6">
        <v>57.8</v>
      </c>
    </row>
    <row r="426" spans="1:2" x14ac:dyDescent="0.25">
      <c r="A426" s="5">
        <v>30133</v>
      </c>
      <c r="B426" s="6">
        <v>57.7</v>
      </c>
    </row>
    <row r="427" spans="1:2" x14ac:dyDescent="0.25">
      <c r="A427" s="5">
        <v>30164</v>
      </c>
      <c r="B427" s="6">
        <v>57.8</v>
      </c>
    </row>
    <row r="428" spans="1:2" x14ac:dyDescent="0.25">
      <c r="A428" s="5">
        <v>30195</v>
      </c>
      <c r="B428" s="6">
        <v>57.6</v>
      </c>
    </row>
    <row r="429" spans="1:2" x14ac:dyDescent="0.25">
      <c r="A429" s="5">
        <v>30225</v>
      </c>
      <c r="B429" s="6">
        <v>57.4</v>
      </c>
    </row>
    <row r="430" spans="1:2" x14ac:dyDescent="0.25">
      <c r="A430" s="5">
        <v>30256</v>
      </c>
      <c r="B430" s="6">
        <v>57.3</v>
      </c>
    </row>
    <row r="431" spans="1:2" x14ac:dyDescent="0.25">
      <c r="A431" s="5">
        <v>30286</v>
      </c>
      <c r="B431" s="6">
        <v>57.2</v>
      </c>
    </row>
    <row r="432" spans="1:2" x14ac:dyDescent="0.25">
      <c r="A432" s="5">
        <v>30317</v>
      </c>
      <c r="B432" s="6">
        <v>57.2</v>
      </c>
    </row>
    <row r="433" spans="1:2" x14ac:dyDescent="0.25">
      <c r="A433" s="5">
        <v>30348</v>
      </c>
      <c r="B433" s="6">
        <v>57.1</v>
      </c>
    </row>
    <row r="434" spans="1:2" x14ac:dyDescent="0.25">
      <c r="A434" s="5">
        <v>30376</v>
      </c>
      <c r="B434" s="6">
        <v>57.1</v>
      </c>
    </row>
    <row r="435" spans="1:2" x14ac:dyDescent="0.25">
      <c r="A435" s="5">
        <v>30407</v>
      </c>
      <c r="B435" s="6">
        <v>57.3</v>
      </c>
    </row>
    <row r="436" spans="1:2" x14ac:dyDescent="0.25">
      <c r="A436" s="5">
        <v>30437</v>
      </c>
      <c r="B436" s="6">
        <v>57.3</v>
      </c>
    </row>
    <row r="437" spans="1:2" x14ac:dyDescent="0.25">
      <c r="A437" s="5">
        <v>30468</v>
      </c>
      <c r="B437" s="6">
        <v>57.8</v>
      </c>
    </row>
    <row r="438" spans="1:2" x14ac:dyDescent="0.25">
      <c r="A438" s="5">
        <v>30498</v>
      </c>
      <c r="B438" s="6">
        <v>58.1</v>
      </c>
    </row>
    <row r="439" spans="1:2" x14ac:dyDescent="0.25">
      <c r="A439" s="5">
        <v>30529</v>
      </c>
      <c r="B439" s="6">
        <v>58.2</v>
      </c>
    </row>
    <row r="440" spans="1:2" x14ac:dyDescent="0.25">
      <c r="A440" s="5">
        <v>30560</v>
      </c>
      <c r="B440" s="6">
        <v>58.4</v>
      </c>
    </row>
    <row r="441" spans="1:2" x14ac:dyDescent="0.25">
      <c r="A441" s="5">
        <v>30590</v>
      </c>
      <c r="B441" s="6">
        <v>58.4</v>
      </c>
    </row>
    <row r="442" spans="1:2" x14ac:dyDescent="0.25">
      <c r="A442" s="5">
        <v>30621</v>
      </c>
      <c r="B442" s="6">
        <v>58.7</v>
      </c>
    </row>
    <row r="443" spans="1:2" x14ac:dyDescent="0.25">
      <c r="A443" s="5">
        <v>30651</v>
      </c>
      <c r="B443" s="6">
        <v>58.8</v>
      </c>
    </row>
    <row r="444" spans="1:2" x14ac:dyDescent="0.25">
      <c r="A444" s="5">
        <v>30682</v>
      </c>
      <c r="B444" s="6">
        <v>58.8</v>
      </c>
    </row>
    <row r="445" spans="1:2" x14ac:dyDescent="0.25">
      <c r="A445" s="5">
        <v>30713</v>
      </c>
      <c r="B445" s="6">
        <v>59.1</v>
      </c>
    </row>
    <row r="446" spans="1:2" x14ac:dyDescent="0.25">
      <c r="A446" s="5">
        <v>30742</v>
      </c>
      <c r="B446" s="6">
        <v>59.1</v>
      </c>
    </row>
    <row r="447" spans="1:2" x14ac:dyDescent="0.25">
      <c r="A447" s="5">
        <v>30773</v>
      </c>
      <c r="B447" s="6">
        <v>59.3</v>
      </c>
    </row>
    <row r="448" spans="1:2" x14ac:dyDescent="0.25">
      <c r="A448" s="5">
        <v>30803</v>
      </c>
      <c r="B448" s="6">
        <v>59.7</v>
      </c>
    </row>
    <row r="449" spans="1:2" x14ac:dyDescent="0.25">
      <c r="A449" s="5">
        <v>30834</v>
      </c>
      <c r="B449" s="6">
        <v>59.9</v>
      </c>
    </row>
    <row r="450" spans="1:2" x14ac:dyDescent="0.25">
      <c r="A450" s="5">
        <v>30864</v>
      </c>
      <c r="B450" s="6">
        <v>59.8</v>
      </c>
    </row>
    <row r="451" spans="1:2" x14ac:dyDescent="0.25">
      <c r="A451" s="5">
        <v>30895</v>
      </c>
      <c r="B451" s="6">
        <v>59.6</v>
      </c>
    </row>
    <row r="452" spans="1:2" x14ac:dyDescent="0.25">
      <c r="A452" s="5">
        <v>30926</v>
      </c>
      <c r="B452" s="6">
        <v>59.7</v>
      </c>
    </row>
    <row r="453" spans="1:2" x14ac:dyDescent="0.25">
      <c r="A453" s="5">
        <v>30956</v>
      </c>
      <c r="B453" s="6">
        <v>59.7</v>
      </c>
    </row>
    <row r="454" spans="1:2" x14ac:dyDescent="0.25">
      <c r="A454" s="5">
        <v>30987</v>
      </c>
      <c r="B454" s="6">
        <v>59.8</v>
      </c>
    </row>
    <row r="455" spans="1:2" x14ac:dyDescent="0.25">
      <c r="A455" s="5">
        <v>31017</v>
      </c>
      <c r="B455" s="6">
        <v>59.9</v>
      </c>
    </row>
    <row r="456" spans="1:2" x14ac:dyDescent="0.25">
      <c r="A456" s="5">
        <v>31048</v>
      </c>
      <c r="B456" s="6">
        <v>59.9</v>
      </c>
    </row>
    <row r="457" spans="1:2" x14ac:dyDescent="0.25">
      <c r="A457" s="5">
        <v>31079</v>
      </c>
      <c r="B457" s="6">
        <v>60</v>
      </c>
    </row>
    <row r="458" spans="1:2" x14ac:dyDescent="0.25">
      <c r="A458" s="5">
        <v>31107</v>
      </c>
      <c r="B458" s="6">
        <v>60.2</v>
      </c>
    </row>
    <row r="459" spans="1:2" x14ac:dyDescent="0.25">
      <c r="A459" s="5">
        <v>31138</v>
      </c>
      <c r="B459" s="6">
        <v>60.1</v>
      </c>
    </row>
    <row r="460" spans="1:2" x14ac:dyDescent="0.25">
      <c r="A460" s="5">
        <v>31168</v>
      </c>
      <c r="B460" s="6">
        <v>60.1</v>
      </c>
    </row>
    <row r="461" spans="1:2" x14ac:dyDescent="0.25">
      <c r="A461" s="5">
        <v>31199</v>
      </c>
      <c r="B461" s="6">
        <v>59.8</v>
      </c>
    </row>
    <row r="462" spans="1:2" x14ac:dyDescent="0.25">
      <c r="A462" s="5">
        <v>31229</v>
      </c>
      <c r="B462" s="6">
        <v>59.9</v>
      </c>
    </row>
    <row r="463" spans="1:2" x14ac:dyDescent="0.25">
      <c r="A463" s="5">
        <v>31260</v>
      </c>
      <c r="B463" s="6">
        <v>60</v>
      </c>
    </row>
    <row r="464" spans="1:2" x14ac:dyDescent="0.25">
      <c r="A464" s="5">
        <v>31291</v>
      </c>
      <c r="B464" s="6">
        <v>60.3</v>
      </c>
    </row>
    <row r="465" spans="1:2" x14ac:dyDescent="0.25">
      <c r="A465" s="5">
        <v>31321</v>
      </c>
      <c r="B465" s="6">
        <v>60.3</v>
      </c>
    </row>
    <row r="466" spans="1:2" x14ac:dyDescent="0.25">
      <c r="A466" s="5">
        <v>31352</v>
      </c>
      <c r="B466" s="6">
        <v>60.4</v>
      </c>
    </row>
    <row r="467" spans="1:2" x14ac:dyDescent="0.25">
      <c r="A467" s="5">
        <v>31382</v>
      </c>
      <c r="B467" s="6">
        <v>60.4</v>
      </c>
    </row>
    <row r="468" spans="1:2" x14ac:dyDescent="0.25">
      <c r="A468" s="5">
        <v>31413</v>
      </c>
      <c r="B468" s="6">
        <v>60.6</v>
      </c>
    </row>
    <row r="469" spans="1:2" x14ac:dyDescent="0.25">
      <c r="A469" s="5">
        <v>31444</v>
      </c>
      <c r="B469" s="6">
        <v>60.3</v>
      </c>
    </row>
    <row r="470" spans="1:2" x14ac:dyDescent="0.25">
      <c r="A470" s="5">
        <v>31472</v>
      </c>
      <c r="B470" s="6">
        <v>60.5</v>
      </c>
    </row>
    <row r="471" spans="1:2" x14ac:dyDescent="0.25">
      <c r="A471" s="5">
        <v>31503</v>
      </c>
      <c r="B471" s="6">
        <v>60.5</v>
      </c>
    </row>
    <row r="472" spans="1:2" x14ac:dyDescent="0.25">
      <c r="A472" s="5">
        <v>31533</v>
      </c>
      <c r="B472" s="6">
        <v>60.5</v>
      </c>
    </row>
    <row r="473" spans="1:2" x14ac:dyDescent="0.25">
      <c r="A473" s="5">
        <v>31564</v>
      </c>
      <c r="B473" s="6">
        <v>60.7</v>
      </c>
    </row>
    <row r="474" spans="1:2" x14ac:dyDescent="0.25">
      <c r="A474" s="5">
        <v>31594</v>
      </c>
      <c r="B474" s="6">
        <v>60.8</v>
      </c>
    </row>
    <row r="475" spans="1:2" x14ac:dyDescent="0.25">
      <c r="A475" s="5">
        <v>31625</v>
      </c>
      <c r="B475" s="6">
        <v>60.8</v>
      </c>
    </row>
    <row r="476" spans="1:2" x14ac:dyDescent="0.25">
      <c r="A476" s="5">
        <v>31656</v>
      </c>
      <c r="B476" s="6">
        <v>60.8</v>
      </c>
    </row>
    <row r="477" spans="1:2" x14ac:dyDescent="0.25">
      <c r="A477" s="5">
        <v>31686</v>
      </c>
      <c r="B477" s="6">
        <v>60.9</v>
      </c>
    </row>
    <row r="478" spans="1:2" x14ac:dyDescent="0.25">
      <c r="A478" s="5">
        <v>31717</v>
      </c>
      <c r="B478" s="6">
        <v>60.9</v>
      </c>
    </row>
    <row r="479" spans="1:2" x14ac:dyDescent="0.25">
      <c r="A479" s="5">
        <v>31747</v>
      </c>
      <c r="B479" s="6">
        <v>61</v>
      </c>
    </row>
    <row r="480" spans="1:2" x14ac:dyDescent="0.25">
      <c r="A480" s="5">
        <v>31778</v>
      </c>
      <c r="B480" s="6">
        <v>61</v>
      </c>
    </row>
    <row r="481" spans="1:2" x14ac:dyDescent="0.25">
      <c r="A481" s="5">
        <v>31809</v>
      </c>
      <c r="B481" s="6">
        <v>61.1</v>
      </c>
    </row>
    <row r="482" spans="1:2" x14ac:dyDescent="0.25">
      <c r="A482" s="5">
        <v>31837</v>
      </c>
      <c r="B482" s="6">
        <v>61.2</v>
      </c>
    </row>
    <row r="483" spans="1:2" x14ac:dyDescent="0.25">
      <c r="A483" s="5">
        <v>31868</v>
      </c>
      <c r="B483" s="6">
        <v>61.3</v>
      </c>
    </row>
    <row r="484" spans="1:2" x14ac:dyDescent="0.25">
      <c r="A484" s="5">
        <v>31898</v>
      </c>
      <c r="B484" s="6">
        <v>61.6</v>
      </c>
    </row>
    <row r="485" spans="1:2" x14ac:dyDescent="0.25">
      <c r="A485" s="5">
        <v>31929</v>
      </c>
      <c r="B485" s="6">
        <v>61.4</v>
      </c>
    </row>
    <row r="486" spans="1:2" x14ac:dyDescent="0.25">
      <c r="A486" s="5">
        <v>31959</v>
      </c>
      <c r="B486" s="6">
        <v>61.6</v>
      </c>
    </row>
    <row r="487" spans="1:2" x14ac:dyDescent="0.25">
      <c r="A487" s="5">
        <v>31990</v>
      </c>
      <c r="B487" s="6">
        <v>61.8</v>
      </c>
    </row>
    <row r="488" spans="1:2" x14ac:dyDescent="0.25">
      <c r="A488" s="5">
        <v>32021</v>
      </c>
      <c r="B488" s="6">
        <v>61.6</v>
      </c>
    </row>
    <row r="489" spans="1:2" x14ac:dyDescent="0.25">
      <c r="A489" s="5">
        <v>32051</v>
      </c>
      <c r="B489" s="6">
        <v>61.8</v>
      </c>
    </row>
    <row r="490" spans="1:2" x14ac:dyDescent="0.25">
      <c r="A490" s="5">
        <v>32082</v>
      </c>
      <c r="B490" s="6">
        <v>61.9</v>
      </c>
    </row>
    <row r="491" spans="1:2" x14ac:dyDescent="0.25">
      <c r="A491" s="5">
        <v>32112</v>
      </c>
      <c r="B491" s="6">
        <v>62</v>
      </c>
    </row>
    <row r="492" spans="1:2" x14ac:dyDescent="0.25">
      <c r="A492" s="5">
        <v>32143</v>
      </c>
      <c r="B492" s="6">
        <v>62</v>
      </c>
    </row>
    <row r="493" spans="1:2" x14ac:dyDescent="0.25">
      <c r="A493" s="5">
        <v>32174</v>
      </c>
      <c r="B493" s="6">
        <v>62.1</v>
      </c>
    </row>
    <row r="494" spans="1:2" x14ac:dyDescent="0.25">
      <c r="A494" s="5">
        <v>32203</v>
      </c>
      <c r="B494" s="6">
        <v>61.9</v>
      </c>
    </row>
    <row r="495" spans="1:2" x14ac:dyDescent="0.25">
      <c r="A495" s="5">
        <v>32234</v>
      </c>
      <c r="B495" s="6">
        <v>62.2</v>
      </c>
    </row>
    <row r="496" spans="1:2" x14ac:dyDescent="0.25">
      <c r="A496" s="5">
        <v>32264</v>
      </c>
      <c r="B496" s="6">
        <v>62</v>
      </c>
    </row>
    <row r="497" spans="1:2" x14ac:dyDescent="0.25">
      <c r="A497" s="5">
        <v>32295</v>
      </c>
      <c r="B497" s="6">
        <v>62.3</v>
      </c>
    </row>
    <row r="498" spans="1:2" x14ac:dyDescent="0.25">
      <c r="A498" s="5">
        <v>32325</v>
      </c>
      <c r="B498" s="6">
        <v>62.3</v>
      </c>
    </row>
    <row r="499" spans="1:2" x14ac:dyDescent="0.25">
      <c r="A499" s="5">
        <v>32356</v>
      </c>
      <c r="B499" s="6">
        <v>62.4</v>
      </c>
    </row>
    <row r="500" spans="1:2" x14ac:dyDescent="0.25">
      <c r="A500" s="5">
        <v>32387</v>
      </c>
      <c r="B500" s="6">
        <v>62.4</v>
      </c>
    </row>
    <row r="501" spans="1:2" x14ac:dyDescent="0.25">
      <c r="A501" s="5">
        <v>32417</v>
      </c>
      <c r="B501" s="6">
        <v>62.5</v>
      </c>
    </row>
    <row r="502" spans="1:2" x14ac:dyDescent="0.25">
      <c r="A502" s="5">
        <v>32448</v>
      </c>
      <c r="B502" s="6">
        <v>62.7</v>
      </c>
    </row>
    <row r="503" spans="1:2" x14ac:dyDescent="0.25">
      <c r="A503" s="5">
        <v>32478</v>
      </c>
      <c r="B503" s="6">
        <v>62.6</v>
      </c>
    </row>
    <row r="504" spans="1:2" x14ac:dyDescent="0.25">
      <c r="A504" s="5">
        <v>32509</v>
      </c>
      <c r="B504" s="6">
        <v>62.9</v>
      </c>
    </row>
    <row r="505" spans="1:2" x14ac:dyDescent="0.25">
      <c r="A505" s="5">
        <v>32540</v>
      </c>
      <c r="B505" s="6">
        <v>62.9</v>
      </c>
    </row>
    <row r="506" spans="1:2" x14ac:dyDescent="0.25">
      <c r="A506" s="5">
        <v>32568</v>
      </c>
      <c r="B506" s="6">
        <v>62.9</v>
      </c>
    </row>
    <row r="507" spans="1:2" x14ac:dyDescent="0.25">
      <c r="A507" s="5">
        <v>32599</v>
      </c>
      <c r="B507" s="6">
        <v>62.9</v>
      </c>
    </row>
    <row r="508" spans="1:2" x14ac:dyDescent="0.25">
      <c r="A508" s="5">
        <v>32629</v>
      </c>
      <c r="B508" s="6">
        <v>62.9</v>
      </c>
    </row>
    <row r="509" spans="1:2" x14ac:dyDescent="0.25">
      <c r="A509" s="5">
        <v>32660</v>
      </c>
      <c r="B509" s="6">
        <v>63</v>
      </c>
    </row>
    <row r="510" spans="1:2" x14ac:dyDescent="0.25">
      <c r="A510" s="5">
        <v>32690</v>
      </c>
      <c r="B510" s="6">
        <v>63</v>
      </c>
    </row>
    <row r="511" spans="1:2" x14ac:dyDescent="0.25">
      <c r="A511" s="5">
        <v>32721</v>
      </c>
      <c r="B511" s="6">
        <v>63.1</v>
      </c>
    </row>
    <row r="512" spans="1:2" x14ac:dyDescent="0.25">
      <c r="A512" s="5">
        <v>32752</v>
      </c>
      <c r="B512" s="6">
        <v>62.8</v>
      </c>
    </row>
    <row r="513" spans="1:2" x14ac:dyDescent="0.25">
      <c r="A513" s="5">
        <v>32782</v>
      </c>
      <c r="B513" s="6">
        <v>62.9</v>
      </c>
    </row>
    <row r="514" spans="1:2" x14ac:dyDescent="0.25">
      <c r="A514" s="5">
        <v>32813</v>
      </c>
      <c r="B514" s="6">
        <v>63</v>
      </c>
    </row>
    <row r="515" spans="1:2" x14ac:dyDescent="0.25">
      <c r="A515" s="5">
        <v>32843</v>
      </c>
      <c r="B515" s="6">
        <v>63</v>
      </c>
    </row>
    <row r="516" spans="1:2" x14ac:dyDescent="0.25">
      <c r="A516" s="5">
        <v>32874</v>
      </c>
      <c r="B516" s="6">
        <v>63.2</v>
      </c>
    </row>
    <row r="517" spans="1:2" x14ac:dyDescent="0.25">
      <c r="A517" s="5">
        <v>32905</v>
      </c>
      <c r="B517" s="6">
        <v>63.2</v>
      </c>
    </row>
    <row r="518" spans="1:2" x14ac:dyDescent="0.25">
      <c r="A518" s="5">
        <v>32933</v>
      </c>
      <c r="B518" s="6">
        <v>63.2</v>
      </c>
    </row>
    <row r="519" spans="1:2" x14ac:dyDescent="0.25">
      <c r="A519" s="5">
        <v>32964</v>
      </c>
      <c r="B519" s="6">
        <v>63</v>
      </c>
    </row>
    <row r="520" spans="1:2" x14ac:dyDescent="0.25">
      <c r="A520" s="5">
        <v>32994</v>
      </c>
      <c r="B520" s="6">
        <v>63.1</v>
      </c>
    </row>
    <row r="521" spans="1:2" x14ac:dyDescent="0.25">
      <c r="A521" s="5">
        <v>33025</v>
      </c>
      <c r="B521" s="6">
        <v>62.9</v>
      </c>
    </row>
    <row r="522" spans="1:2" x14ac:dyDescent="0.25">
      <c r="A522" s="5">
        <v>33055</v>
      </c>
      <c r="B522" s="6">
        <v>62.8</v>
      </c>
    </row>
    <row r="523" spans="1:2" x14ac:dyDescent="0.25">
      <c r="A523" s="5">
        <v>33086</v>
      </c>
      <c r="B523" s="6">
        <v>62.7</v>
      </c>
    </row>
    <row r="524" spans="1:2" x14ac:dyDescent="0.25">
      <c r="A524" s="5">
        <v>33117</v>
      </c>
      <c r="B524" s="6">
        <v>62.5</v>
      </c>
    </row>
    <row r="525" spans="1:2" x14ac:dyDescent="0.25">
      <c r="A525" s="5">
        <v>33147</v>
      </c>
      <c r="B525" s="6">
        <v>62.5</v>
      </c>
    </row>
    <row r="526" spans="1:2" x14ac:dyDescent="0.25">
      <c r="A526" s="5">
        <v>33178</v>
      </c>
      <c r="B526" s="6">
        <v>62.3</v>
      </c>
    </row>
    <row r="527" spans="1:2" x14ac:dyDescent="0.25">
      <c r="A527" s="5">
        <v>33208</v>
      </c>
      <c r="B527" s="6">
        <v>62.2</v>
      </c>
    </row>
    <row r="528" spans="1:2" x14ac:dyDescent="0.25">
      <c r="A528" s="5">
        <v>33239</v>
      </c>
      <c r="B528" s="6">
        <v>62</v>
      </c>
    </row>
    <row r="529" spans="1:2" x14ac:dyDescent="0.25">
      <c r="A529" s="5">
        <v>33270</v>
      </c>
      <c r="B529" s="6">
        <v>61.9</v>
      </c>
    </row>
    <row r="530" spans="1:2" x14ac:dyDescent="0.25">
      <c r="A530" s="5">
        <v>33298</v>
      </c>
      <c r="B530" s="6">
        <v>61.8</v>
      </c>
    </row>
    <row r="531" spans="1:2" x14ac:dyDescent="0.25">
      <c r="A531" s="5">
        <v>33329</v>
      </c>
      <c r="B531" s="6">
        <v>62</v>
      </c>
    </row>
    <row r="532" spans="1:2" x14ac:dyDescent="0.25">
      <c r="A532" s="5">
        <v>33359</v>
      </c>
      <c r="B532" s="6">
        <v>61.6</v>
      </c>
    </row>
    <row r="533" spans="1:2" x14ac:dyDescent="0.25">
      <c r="A533" s="5">
        <v>33390</v>
      </c>
      <c r="B533" s="6">
        <v>61.7</v>
      </c>
    </row>
    <row r="534" spans="1:2" x14ac:dyDescent="0.25">
      <c r="A534" s="5">
        <v>33420</v>
      </c>
      <c r="B534" s="6">
        <v>61.6</v>
      </c>
    </row>
    <row r="535" spans="1:2" x14ac:dyDescent="0.25">
      <c r="A535" s="5">
        <v>33451</v>
      </c>
      <c r="B535" s="6">
        <v>61.5</v>
      </c>
    </row>
    <row r="536" spans="1:2" x14ac:dyDescent="0.25">
      <c r="A536" s="5">
        <v>33482</v>
      </c>
      <c r="B536" s="6">
        <v>61.6</v>
      </c>
    </row>
    <row r="537" spans="1:2" x14ac:dyDescent="0.25">
      <c r="A537" s="5">
        <v>33512</v>
      </c>
      <c r="B537" s="6">
        <v>61.5</v>
      </c>
    </row>
    <row r="538" spans="1:2" x14ac:dyDescent="0.25">
      <c r="A538" s="5">
        <v>33543</v>
      </c>
      <c r="B538" s="6">
        <v>61.4</v>
      </c>
    </row>
    <row r="539" spans="1:2" x14ac:dyDescent="0.25">
      <c r="A539" s="5">
        <v>33573</v>
      </c>
      <c r="B539" s="6">
        <v>61.2</v>
      </c>
    </row>
    <row r="540" spans="1:2" x14ac:dyDescent="0.25">
      <c r="A540" s="5">
        <v>33604</v>
      </c>
      <c r="B540" s="6">
        <v>61.5</v>
      </c>
    </row>
    <row r="541" spans="1:2" x14ac:dyDescent="0.25">
      <c r="A541" s="5">
        <v>33635</v>
      </c>
      <c r="B541" s="6">
        <v>61.3</v>
      </c>
    </row>
    <row r="542" spans="1:2" x14ac:dyDescent="0.25">
      <c r="A542" s="5">
        <v>33664</v>
      </c>
      <c r="B542" s="6">
        <v>61.5</v>
      </c>
    </row>
    <row r="543" spans="1:2" x14ac:dyDescent="0.25">
      <c r="A543" s="5">
        <v>33695</v>
      </c>
      <c r="B543" s="6">
        <v>61.6</v>
      </c>
    </row>
    <row r="544" spans="1:2" x14ac:dyDescent="0.25">
      <c r="A544" s="5">
        <v>33725</v>
      </c>
      <c r="B544" s="6">
        <v>61.5</v>
      </c>
    </row>
    <row r="545" spans="1:2" x14ac:dyDescent="0.25">
      <c r="A545" s="5">
        <v>33756</v>
      </c>
      <c r="B545" s="6">
        <v>61.5</v>
      </c>
    </row>
    <row r="546" spans="1:2" x14ac:dyDescent="0.25">
      <c r="A546" s="5">
        <v>33786</v>
      </c>
      <c r="B546" s="6">
        <v>61.6</v>
      </c>
    </row>
    <row r="547" spans="1:2" x14ac:dyDescent="0.25">
      <c r="A547" s="5">
        <v>33817</v>
      </c>
      <c r="B547" s="6">
        <v>61.6</v>
      </c>
    </row>
    <row r="548" spans="1:2" x14ac:dyDescent="0.25">
      <c r="A548" s="5">
        <v>33848</v>
      </c>
      <c r="B548" s="6">
        <v>61.4</v>
      </c>
    </row>
    <row r="549" spans="1:2" x14ac:dyDescent="0.25">
      <c r="A549" s="5">
        <v>33878</v>
      </c>
      <c r="B549" s="6">
        <v>61.3</v>
      </c>
    </row>
    <row r="550" spans="1:2" x14ac:dyDescent="0.25">
      <c r="A550" s="5">
        <v>33909</v>
      </c>
      <c r="B550" s="6">
        <v>61.4</v>
      </c>
    </row>
    <row r="551" spans="1:2" x14ac:dyDescent="0.25">
      <c r="A551" s="5">
        <v>33939</v>
      </c>
      <c r="B551" s="6">
        <v>61.4</v>
      </c>
    </row>
    <row r="552" spans="1:2" x14ac:dyDescent="0.25">
      <c r="A552" s="5">
        <v>33970</v>
      </c>
      <c r="B552" s="6">
        <v>61.4</v>
      </c>
    </row>
    <row r="553" spans="1:2" x14ac:dyDescent="0.25">
      <c r="A553" s="5">
        <v>34001</v>
      </c>
      <c r="B553" s="6">
        <v>61.4</v>
      </c>
    </row>
    <row r="554" spans="1:2" x14ac:dyDescent="0.25">
      <c r="A554" s="5">
        <v>34029</v>
      </c>
      <c r="B554" s="6">
        <v>61.5</v>
      </c>
    </row>
    <row r="555" spans="1:2" x14ac:dyDescent="0.25">
      <c r="A555" s="5">
        <v>34060</v>
      </c>
      <c r="B555" s="6">
        <v>61.5</v>
      </c>
    </row>
    <row r="556" spans="1:2" x14ac:dyDescent="0.25">
      <c r="A556" s="5">
        <v>34090</v>
      </c>
      <c r="B556" s="6">
        <v>61.7</v>
      </c>
    </row>
    <row r="557" spans="1:2" x14ac:dyDescent="0.25">
      <c r="A557" s="5">
        <v>34121</v>
      </c>
      <c r="B557" s="6">
        <v>61.8</v>
      </c>
    </row>
    <row r="558" spans="1:2" x14ac:dyDescent="0.25">
      <c r="A558" s="5">
        <v>34151</v>
      </c>
      <c r="B558" s="6">
        <v>61.8</v>
      </c>
    </row>
    <row r="559" spans="1:2" x14ac:dyDescent="0.25">
      <c r="A559" s="5">
        <v>34182</v>
      </c>
      <c r="B559" s="6">
        <v>62</v>
      </c>
    </row>
    <row r="560" spans="1:2" x14ac:dyDescent="0.25">
      <c r="A560" s="5">
        <v>34213</v>
      </c>
      <c r="B560" s="6">
        <v>61.7</v>
      </c>
    </row>
    <row r="561" spans="1:2" x14ac:dyDescent="0.25">
      <c r="A561" s="5">
        <v>34243</v>
      </c>
      <c r="B561" s="6">
        <v>61.8</v>
      </c>
    </row>
    <row r="562" spans="1:2" x14ac:dyDescent="0.25">
      <c r="A562" s="5">
        <v>34274</v>
      </c>
      <c r="B562" s="6">
        <v>61.9</v>
      </c>
    </row>
    <row r="563" spans="1:2" x14ac:dyDescent="0.25">
      <c r="A563" s="5">
        <v>34304</v>
      </c>
      <c r="B563" s="6">
        <v>62</v>
      </c>
    </row>
    <row r="564" spans="1:2" x14ac:dyDescent="0.25">
      <c r="A564" s="5">
        <v>34335</v>
      </c>
      <c r="B564" s="6">
        <v>62.2</v>
      </c>
    </row>
    <row r="565" spans="1:2" x14ac:dyDescent="0.25">
      <c r="A565" s="5">
        <v>34366</v>
      </c>
      <c r="B565" s="6">
        <v>62.3</v>
      </c>
    </row>
    <row r="566" spans="1:2" x14ac:dyDescent="0.25">
      <c r="A566" s="5">
        <v>34394</v>
      </c>
      <c r="B566" s="6">
        <v>62.1</v>
      </c>
    </row>
    <row r="567" spans="1:2" x14ac:dyDescent="0.25">
      <c r="A567" s="5">
        <v>34425</v>
      </c>
      <c r="B567" s="6">
        <v>62.3</v>
      </c>
    </row>
    <row r="568" spans="1:2" x14ac:dyDescent="0.25">
      <c r="A568" s="5">
        <v>34455</v>
      </c>
      <c r="B568" s="6">
        <v>62.5</v>
      </c>
    </row>
    <row r="569" spans="1:2" x14ac:dyDescent="0.25">
      <c r="A569" s="5">
        <v>34486</v>
      </c>
      <c r="B569" s="6">
        <v>62.3</v>
      </c>
    </row>
    <row r="570" spans="1:2" x14ac:dyDescent="0.25">
      <c r="A570" s="5">
        <v>34516</v>
      </c>
      <c r="B570" s="6">
        <v>62.3</v>
      </c>
    </row>
    <row r="571" spans="1:2" x14ac:dyDescent="0.25">
      <c r="A571" s="5">
        <v>34547</v>
      </c>
      <c r="B571" s="6">
        <v>62.6</v>
      </c>
    </row>
    <row r="572" spans="1:2" x14ac:dyDescent="0.25">
      <c r="A572" s="5">
        <v>34578</v>
      </c>
      <c r="B572" s="6">
        <v>62.7</v>
      </c>
    </row>
    <row r="573" spans="1:2" x14ac:dyDescent="0.25">
      <c r="A573" s="5">
        <v>34608</v>
      </c>
      <c r="B573" s="6">
        <v>62.9</v>
      </c>
    </row>
    <row r="574" spans="1:2" x14ac:dyDescent="0.25">
      <c r="A574" s="5">
        <v>34639</v>
      </c>
      <c r="B574" s="6">
        <v>63</v>
      </c>
    </row>
    <row r="575" spans="1:2" x14ac:dyDescent="0.25">
      <c r="A575" s="5">
        <v>34669</v>
      </c>
      <c r="B575" s="6">
        <v>63.1</v>
      </c>
    </row>
    <row r="576" spans="1:2" x14ac:dyDescent="0.25">
      <c r="A576" s="5">
        <v>34700</v>
      </c>
      <c r="B576" s="6">
        <v>63</v>
      </c>
    </row>
    <row r="577" spans="1:2" x14ac:dyDescent="0.25">
      <c r="A577" s="5">
        <v>34731</v>
      </c>
      <c r="B577" s="6">
        <v>63.1</v>
      </c>
    </row>
    <row r="578" spans="1:2" x14ac:dyDescent="0.25">
      <c r="A578" s="5">
        <v>34759</v>
      </c>
      <c r="B578" s="6">
        <v>63.1</v>
      </c>
    </row>
    <row r="579" spans="1:2" x14ac:dyDescent="0.25">
      <c r="A579" s="5">
        <v>34790</v>
      </c>
      <c r="B579" s="6">
        <v>63.1</v>
      </c>
    </row>
    <row r="580" spans="1:2" x14ac:dyDescent="0.25">
      <c r="A580" s="5">
        <v>34820</v>
      </c>
      <c r="B580" s="6">
        <v>62.7</v>
      </c>
    </row>
    <row r="581" spans="1:2" x14ac:dyDescent="0.25">
      <c r="A581" s="5">
        <v>34851</v>
      </c>
      <c r="B581" s="6">
        <v>62.7</v>
      </c>
    </row>
    <row r="582" spans="1:2" x14ac:dyDescent="0.25">
      <c r="A582" s="5">
        <v>34881</v>
      </c>
      <c r="B582" s="6">
        <v>62.8</v>
      </c>
    </row>
    <row r="583" spans="1:2" x14ac:dyDescent="0.25">
      <c r="A583" s="5">
        <v>34912</v>
      </c>
      <c r="B583" s="6">
        <v>62.8</v>
      </c>
    </row>
    <row r="584" spans="1:2" x14ac:dyDescent="0.25">
      <c r="A584" s="5">
        <v>34943</v>
      </c>
      <c r="B584" s="6">
        <v>62.9</v>
      </c>
    </row>
    <row r="585" spans="1:2" x14ac:dyDescent="0.25">
      <c r="A585" s="5">
        <v>34973</v>
      </c>
      <c r="B585" s="6">
        <v>62.9</v>
      </c>
    </row>
    <row r="586" spans="1:2" x14ac:dyDescent="0.25">
      <c r="A586" s="5">
        <v>35004</v>
      </c>
      <c r="B586" s="6">
        <v>62.8</v>
      </c>
    </row>
    <row r="587" spans="1:2" x14ac:dyDescent="0.25">
      <c r="A587" s="5">
        <v>35034</v>
      </c>
      <c r="B587" s="6">
        <v>62.7</v>
      </c>
    </row>
    <row r="588" spans="1:2" x14ac:dyDescent="0.25">
      <c r="A588" s="5">
        <v>35065</v>
      </c>
      <c r="B588" s="6">
        <v>62.7</v>
      </c>
    </row>
    <row r="589" spans="1:2" x14ac:dyDescent="0.25">
      <c r="A589" s="5">
        <v>35096</v>
      </c>
      <c r="B589" s="6">
        <v>62.9</v>
      </c>
    </row>
    <row r="590" spans="1:2" x14ac:dyDescent="0.25">
      <c r="A590" s="5">
        <v>35125</v>
      </c>
      <c r="B590" s="6">
        <v>63</v>
      </c>
    </row>
    <row r="591" spans="1:2" x14ac:dyDescent="0.25">
      <c r="A591" s="5">
        <v>35156</v>
      </c>
      <c r="B591" s="6">
        <v>63</v>
      </c>
    </row>
    <row r="592" spans="1:2" x14ac:dyDescent="0.25">
      <c r="A592" s="5">
        <v>35186</v>
      </c>
      <c r="B592" s="6">
        <v>63</v>
      </c>
    </row>
    <row r="593" spans="1:2" x14ac:dyDescent="0.25">
      <c r="A593" s="5">
        <v>35217</v>
      </c>
      <c r="B593" s="6">
        <v>63.2</v>
      </c>
    </row>
    <row r="594" spans="1:2" x14ac:dyDescent="0.25">
      <c r="A594" s="5">
        <v>35247</v>
      </c>
      <c r="B594" s="6">
        <v>63.3</v>
      </c>
    </row>
    <row r="595" spans="1:2" x14ac:dyDescent="0.25">
      <c r="A595" s="5">
        <v>35278</v>
      </c>
      <c r="B595" s="6">
        <v>63.3</v>
      </c>
    </row>
    <row r="596" spans="1:2" x14ac:dyDescent="0.25">
      <c r="A596" s="5">
        <v>35309</v>
      </c>
      <c r="B596" s="6">
        <v>63.4</v>
      </c>
    </row>
    <row r="597" spans="1:2" x14ac:dyDescent="0.25">
      <c r="A597" s="5">
        <v>35339</v>
      </c>
      <c r="B597" s="6">
        <v>63.5</v>
      </c>
    </row>
    <row r="598" spans="1:2" x14ac:dyDescent="0.25">
      <c r="A598" s="5">
        <v>35370</v>
      </c>
      <c r="B598" s="6">
        <v>63.4</v>
      </c>
    </row>
    <row r="599" spans="1:2" x14ac:dyDescent="0.25">
      <c r="A599" s="5">
        <v>35400</v>
      </c>
      <c r="B599" s="6">
        <v>63.4</v>
      </c>
    </row>
    <row r="600" spans="1:2" x14ac:dyDescent="0.25">
      <c r="A600" s="5">
        <v>35431</v>
      </c>
      <c r="B600" s="6">
        <v>63.4</v>
      </c>
    </row>
    <row r="601" spans="1:2" x14ac:dyDescent="0.25">
      <c r="A601" s="5">
        <v>35462</v>
      </c>
      <c r="B601" s="6">
        <v>63.4</v>
      </c>
    </row>
    <row r="602" spans="1:2" x14ac:dyDescent="0.25">
      <c r="A602" s="5">
        <v>35490</v>
      </c>
      <c r="B602" s="6">
        <v>63.6</v>
      </c>
    </row>
    <row r="603" spans="1:2" x14ac:dyDescent="0.25">
      <c r="A603" s="5">
        <v>35521</v>
      </c>
      <c r="B603" s="6">
        <v>63.7</v>
      </c>
    </row>
    <row r="604" spans="1:2" x14ac:dyDescent="0.25">
      <c r="A604" s="5">
        <v>35551</v>
      </c>
      <c r="B604" s="6">
        <v>63.8</v>
      </c>
    </row>
    <row r="605" spans="1:2" x14ac:dyDescent="0.25">
      <c r="A605" s="5">
        <v>35582</v>
      </c>
      <c r="B605" s="6">
        <v>63.7</v>
      </c>
    </row>
    <row r="606" spans="1:2" x14ac:dyDescent="0.25">
      <c r="A606" s="5">
        <v>35612</v>
      </c>
      <c r="B606" s="6">
        <v>63.9</v>
      </c>
    </row>
    <row r="607" spans="1:2" x14ac:dyDescent="0.25">
      <c r="A607" s="5">
        <v>35643</v>
      </c>
      <c r="B607" s="6">
        <v>63.9</v>
      </c>
    </row>
    <row r="608" spans="1:2" x14ac:dyDescent="0.25">
      <c r="A608" s="5">
        <v>35674</v>
      </c>
      <c r="B608" s="6">
        <v>63.9</v>
      </c>
    </row>
    <row r="609" spans="1:2" x14ac:dyDescent="0.25">
      <c r="A609" s="5">
        <v>35704</v>
      </c>
      <c r="B609" s="6">
        <v>63.9</v>
      </c>
    </row>
    <row r="610" spans="1:2" x14ac:dyDescent="0.25">
      <c r="A610" s="5">
        <v>35735</v>
      </c>
      <c r="B610" s="6">
        <v>64.099999999999994</v>
      </c>
    </row>
    <row r="611" spans="1:2" x14ac:dyDescent="0.25">
      <c r="A611" s="5">
        <v>35765</v>
      </c>
      <c r="B611" s="6">
        <v>64</v>
      </c>
    </row>
    <row r="612" spans="1:2" x14ac:dyDescent="0.25">
      <c r="A612" s="5">
        <v>35796</v>
      </c>
      <c r="B612" s="6">
        <v>64</v>
      </c>
    </row>
    <row r="613" spans="1:2" x14ac:dyDescent="0.25">
      <c r="A613" s="5">
        <v>35827</v>
      </c>
      <c r="B613" s="6">
        <v>64</v>
      </c>
    </row>
    <row r="614" spans="1:2" x14ac:dyDescent="0.25">
      <c r="A614" s="5">
        <v>35855</v>
      </c>
      <c r="B614" s="6">
        <v>64</v>
      </c>
    </row>
    <row r="615" spans="1:2" x14ac:dyDescent="0.25">
      <c r="A615" s="5">
        <v>35886</v>
      </c>
      <c r="B615" s="6">
        <v>64.099999999999994</v>
      </c>
    </row>
    <row r="616" spans="1:2" x14ac:dyDescent="0.25">
      <c r="A616" s="5">
        <v>35916</v>
      </c>
      <c r="B616" s="6">
        <v>64.099999999999994</v>
      </c>
    </row>
    <row r="617" spans="1:2" x14ac:dyDescent="0.25">
      <c r="A617" s="5">
        <v>35947</v>
      </c>
      <c r="B617" s="6">
        <v>64</v>
      </c>
    </row>
    <row r="618" spans="1:2" x14ac:dyDescent="0.25">
      <c r="A618" s="5">
        <v>35977</v>
      </c>
      <c r="B618" s="6">
        <v>64</v>
      </c>
    </row>
    <row r="619" spans="1:2" x14ac:dyDescent="0.25">
      <c r="A619" s="5">
        <v>36008</v>
      </c>
      <c r="B619" s="6">
        <v>63.9</v>
      </c>
    </row>
    <row r="620" spans="1:2" x14ac:dyDescent="0.25">
      <c r="A620" s="5">
        <v>36039</v>
      </c>
      <c r="B620" s="6">
        <v>64.2</v>
      </c>
    </row>
    <row r="621" spans="1:2" x14ac:dyDescent="0.25">
      <c r="A621" s="5">
        <v>36069</v>
      </c>
      <c r="B621" s="6">
        <v>64.099999999999994</v>
      </c>
    </row>
    <row r="622" spans="1:2" x14ac:dyDescent="0.25">
      <c r="A622" s="5">
        <v>36100</v>
      </c>
      <c r="B622" s="6">
        <v>64.2</v>
      </c>
    </row>
    <row r="623" spans="1:2" x14ac:dyDescent="0.25">
      <c r="A623" s="5">
        <v>36130</v>
      </c>
      <c r="B623" s="6">
        <v>64.3</v>
      </c>
    </row>
    <row r="624" spans="1:2" x14ac:dyDescent="0.25">
      <c r="A624" s="5">
        <v>36161</v>
      </c>
      <c r="B624" s="6">
        <v>64.400000000000006</v>
      </c>
    </row>
    <row r="625" spans="1:2" x14ac:dyDescent="0.25">
      <c r="A625" s="5">
        <v>36192</v>
      </c>
      <c r="B625" s="6">
        <v>64.2</v>
      </c>
    </row>
    <row r="626" spans="1:2" x14ac:dyDescent="0.25">
      <c r="A626" s="5">
        <v>36220</v>
      </c>
      <c r="B626" s="6">
        <v>64.2</v>
      </c>
    </row>
    <row r="627" spans="1:2" x14ac:dyDescent="0.25">
      <c r="A627" s="5">
        <v>36251</v>
      </c>
      <c r="B627" s="6">
        <v>64.2</v>
      </c>
    </row>
    <row r="628" spans="1:2" x14ac:dyDescent="0.25">
      <c r="A628" s="5">
        <v>36281</v>
      </c>
      <c r="B628" s="6">
        <v>64.3</v>
      </c>
    </row>
    <row r="629" spans="1:2" x14ac:dyDescent="0.25">
      <c r="A629" s="5">
        <v>36312</v>
      </c>
      <c r="B629" s="6">
        <v>64.2</v>
      </c>
    </row>
    <row r="630" spans="1:2" x14ac:dyDescent="0.25">
      <c r="A630" s="5">
        <v>36342</v>
      </c>
      <c r="B630" s="6">
        <v>64.2</v>
      </c>
    </row>
    <row r="631" spans="1:2" x14ac:dyDescent="0.25">
      <c r="A631" s="5">
        <v>36373</v>
      </c>
      <c r="B631" s="6">
        <v>64.2</v>
      </c>
    </row>
    <row r="632" spans="1:2" x14ac:dyDescent="0.25">
      <c r="A632" s="5">
        <v>36404</v>
      </c>
      <c r="B632" s="6">
        <v>64.2</v>
      </c>
    </row>
    <row r="633" spans="1:2" x14ac:dyDescent="0.25">
      <c r="A633" s="5">
        <v>36434</v>
      </c>
      <c r="B633" s="6">
        <v>64.3</v>
      </c>
    </row>
    <row r="634" spans="1:2" x14ac:dyDescent="0.25">
      <c r="A634" s="5">
        <v>36465</v>
      </c>
      <c r="B634" s="6">
        <v>64.400000000000006</v>
      </c>
    </row>
    <row r="635" spans="1:2" x14ac:dyDescent="0.25">
      <c r="A635" s="5">
        <v>36495</v>
      </c>
      <c r="B635" s="6">
        <v>64.400000000000006</v>
      </c>
    </row>
    <row r="636" spans="1:2" x14ac:dyDescent="0.25">
      <c r="A636" s="5">
        <v>36526</v>
      </c>
      <c r="B636" s="6">
        <v>64.599999999999994</v>
      </c>
    </row>
    <row r="637" spans="1:2" x14ac:dyDescent="0.25">
      <c r="A637" s="5">
        <v>36557</v>
      </c>
      <c r="B637" s="6">
        <v>64.599999999999994</v>
      </c>
    </row>
    <row r="638" spans="1:2" x14ac:dyDescent="0.25">
      <c r="A638" s="5">
        <v>36586</v>
      </c>
      <c r="B638" s="6">
        <v>64.599999999999994</v>
      </c>
    </row>
    <row r="639" spans="1:2" x14ac:dyDescent="0.25">
      <c r="A639" s="5">
        <v>36617</v>
      </c>
      <c r="B639" s="6">
        <v>64.7</v>
      </c>
    </row>
    <row r="640" spans="1:2" x14ac:dyDescent="0.25">
      <c r="A640" s="5">
        <v>36647</v>
      </c>
      <c r="B640" s="6">
        <v>64.400000000000006</v>
      </c>
    </row>
    <row r="641" spans="1:2" x14ac:dyDescent="0.25">
      <c r="A641" s="5">
        <v>36678</v>
      </c>
      <c r="B641" s="6">
        <v>64.5</v>
      </c>
    </row>
    <row r="642" spans="1:2" x14ac:dyDescent="0.25">
      <c r="A642" s="5">
        <v>36708</v>
      </c>
      <c r="B642" s="6">
        <v>64.2</v>
      </c>
    </row>
    <row r="643" spans="1:2" x14ac:dyDescent="0.25">
      <c r="A643" s="5">
        <v>36739</v>
      </c>
      <c r="B643" s="6">
        <v>64.2</v>
      </c>
    </row>
    <row r="644" spans="1:2" x14ac:dyDescent="0.25">
      <c r="A644" s="5">
        <v>36770</v>
      </c>
      <c r="B644" s="6">
        <v>64.2</v>
      </c>
    </row>
    <row r="645" spans="1:2" x14ac:dyDescent="0.25">
      <c r="A645" s="5">
        <v>36800</v>
      </c>
      <c r="B645" s="6">
        <v>64.2</v>
      </c>
    </row>
    <row r="646" spans="1:2" x14ac:dyDescent="0.25">
      <c r="A646" s="5">
        <v>36831</v>
      </c>
      <c r="B646" s="6">
        <v>64.3</v>
      </c>
    </row>
    <row r="647" spans="1:2" x14ac:dyDescent="0.25">
      <c r="A647" s="5">
        <v>36861</v>
      </c>
      <c r="B647" s="6">
        <v>64.400000000000006</v>
      </c>
    </row>
    <row r="648" spans="1:2" x14ac:dyDescent="0.25">
      <c r="A648" s="5">
        <v>36892</v>
      </c>
      <c r="B648" s="6">
        <v>64.400000000000006</v>
      </c>
    </row>
    <row r="649" spans="1:2" x14ac:dyDescent="0.25">
      <c r="A649" s="5">
        <v>36923</v>
      </c>
      <c r="B649" s="6">
        <v>64.3</v>
      </c>
    </row>
    <row r="650" spans="1:2" x14ac:dyDescent="0.25">
      <c r="A650" s="5">
        <v>36951</v>
      </c>
      <c r="B650" s="6">
        <v>64.3</v>
      </c>
    </row>
    <row r="651" spans="1:2" x14ac:dyDescent="0.25">
      <c r="A651" s="5">
        <v>36982</v>
      </c>
      <c r="B651" s="6">
        <v>64</v>
      </c>
    </row>
    <row r="652" spans="1:2" x14ac:dyDescent="0.25">
      <c r="A652" s="5">
        <v>37012</v>
      </c>
      <c r="B652" s="6">
        <v>63.8</v>
      </c>
    </row>
    <row r="653" spans="1:2" x14ac:dyDescent="0.25">
      <c r="A653" s="5">
        <v>37043</v>
      </c>
      <c r="B653" s="6">
        <v>63.7</v>
      </c>
    </row>
    <row r="654" spans="1:2" x14ac:dyDescent="0.25">
      <c r="A654" s="5">
        <v>37073</v>
      </c>
      <c r="B654" s="6">
        <v>63.7</v>
      </c>
    </row>
    <row r="655" spans="1:2" x14ac:dyDescent="0.25">
      <c r="A655" s="5">
        <v>37104</v>
      </c>
      <c r="B655" s="6">
        <v>63.2</v>
      </c>
    </row>
    <row r="656" spans="1:2" x14ac:dyDescent="0.25">
      <c r="A656" s="5">
        <v>37135</v>
      </c>
      <c r="B656" s="6">
        <v>63.5</v>
      </c>
    </row>
    <row r="657" spans="1:2" x14ac:dyDescent="0.25">
      <c r="A657" s="5">
        <v>37165</v>
      </c>
      <c r="B657" s="6">
        <v>63.2</v>
      </c>
    </row>
    <row r="658" spans="1:2" x14ac:dyDescent="0.25">
      <c r="A658" s="5">
        <v>37196</v>
      </c>
      <c r="B658" s="6">
        <v>63</v>
      </c>
    </row>
    <row r="659" spans="1:2" x14ac:dyDescent="0.25">
      <c r="A659" s="5">
        <v>37226</v>
      </c>
      <c r="B659" s="6">
        <v>62.9</v>
      </c>
    </row>
    <row r="660" spans="1:2" x14ac:dyDescent="0.25">
      <c r="A660" s="5">
        <v>37257</v>
      </c>
      <c r="B660" s="6">
        <v>62.7</v>
      </c>
    </row>
    <row r="661" spans="1:2" x14ac:dyDescent="0.25">
      <c r="A661" s="5">
        <v>37288</v>
      </c>
      <c r="B661" s="6">
        <v>63</v>
      </c>
    </row>
    <row r="662" spans="1:2" x14ac:dyDescent="0.25">
      <c r="A662" s="5">
        <v>37316</v>
      </c>
      <c r="B662" s="6">
        <v>62.8</v>
      </c>
    </row>
    <row r="663" spans="1:2" x14ac:dyDescent="0.25">
      <c r="A663" s="5">
        <v>37347</v>
      </c>
      <c r="B663" s="6">
        <v>62.7</v>
      </c>
    </row>
    <row r="664" spans="1:2" x14ac:dyDescent="0.25">
      <c r="A664" s="5">
        <v>37377</v>
      </c>
      <c r="B664" s="6">
        <v>62.9</v>
      </c>
    </row>
    <row r="665" spans="1:2" x14ac:dyDescent="0.25">
      <c r="A665" s="5">
        <v>37408</v>
      </c>
      <c r="B665" s="6">
        <v>62.7</v>
      </c>
    </row>
    <row r="666" spans="1:2" x14ac:dyDescent="0.25">
      <c r="A666" s="5">
        <v>37438</v>
      </c>
      <c r="B666" s="6">
        <v>62.7</v>
      </c>
    </row>
    <row r="667" spans="1:2" x14ac:dyDescent="0.25">
      <c r="A667" s="5">
        <v>37469</v>
      </c>
      <c r="B667" s="6">
        <v>62.7</v>
      </c>
    </row>
    <row r="668" spans="1:2" x14ac:dyDescent="0.25">
      <c r="A668" s="5">
        <v>37500</v>
      </c>
      <c r="B668" s="6">
        <v>63</v>
      </c>
    </row>
    <row r="669" spans="1:2" x14ac:dyDescent="0.25">
      <c r="A669" s="5">
        <v>37530</v>
      </c>
      <c r="B669" s="6">
        <v>62.7</v>
      </c>
    </row>
    <row r="670" spans="1:2" x14ac:dyDescent="0.25">
      <c r="A670" s="5">
        <v>37561</v>
      </c>
      <c r="B670" s="6">
        <v>62.5</v>
      </c>
    </row>
    <row r="671" spans="1:2" x14ac:dyDescent="0.25">
      <c r="A671" s="5">
        <v>37591</v>
      </c>
      <c r="B671" s="6">
        <v>62.4</v>
      </c>
    </row>
    <row r="672" spans="1:2" x14ac:dyDescent="0.25">
      <c r="A672" s="5">
        <v>37622</v>
      </c>
      <c r="B672" s="6">
        <v>62.5</v>
      </c>
    </row>
    <row r="673" spans="1:2" x14ac:dyDescent="0.25">
      <c r="A673" s="5">
        <v>37653</v>
      </c>
      <c r="B673" s="6">
        <v>62.5</v>
      </c>
    </row>
    <row r="674" spans="1:2" x14ac:dyDescent="0.25">
      <c r="A674" s="5">
        <v>37681</v>
      </c>
      <c r="B674" s="6">
        <v>62.4</v>
      </c>
    </row>
    <row r="675" spans="1:2" x14ac:dyDescent="0.25">
      <c r="A675" s="5">
        <v>37712</v>
      </c>
      <c r="B675" s="6">
        <v>62.4</v>
      </c>
    </row>
    <row r="676" spans="1:2" x14ac:dyDescent="0.25">
      <c r="A676" s="5">
        <v>37742</v>
      </c>
      <c r="B676" s="6">
        <v>62.3</v>
      </c>
    </row>
    <row r="677" spans="1:2" x14ac:dyDescent="0.25">
      <c r="A677" s="5">
        <v>37773</v>
      </c>
      <c r="B677" s="6">
        <v>62.3</v>
      </c>
    </row>
    <row r="678" spans="1:2" x14ac:dyDescent="0.25">
      <c r="A678" s="5">
        <v>37803</v>
      </c>
      <c r="B678" s="6">
        <v>62.1</v>
      </c>
    </row>
    <row r="679" spans="1:2" x14ac:dyDescent="0.25">
      <c r="A679" s="5">
        <v>37834</v>
      </c>
      <c r="B679" s="6">
        <v>62.1</v>
      </c>
    </row>
    <row r="680" spans="1:2" x14ac:dyDescent="0.25">
      <c r="A680" s="5">
        <v>37865</v>
      </c>
      <c r="B680" s="6">
        <v>62</v>
      </c>
    </row>
    <row r="681" spans="1:2" x14ac:dyDescent="0.25">
      <c r="A681" s="5">
        <v>37895</v>
      </c>
      <c r="B681" s="6">
        <v>62.1</v>
      </c>
    </row>
    <row r="682" spans="1:2" x14ac:dyDescent="0.25">
      <c r="A682" s="5">
        <v>37926</v>
      </c>
      <c r="B682" s="6">
        <v>62.3</v>
      </c>
    </row>
    <row r="683" spans="1:2" x14ac:dyDescent="0.25">
      <c r="A683" s="5">
        <v>37956</v>
      </c>
      <c r="B683" s="6">
        <v>62.2</v>
      </c>
    </row>
    <row r="684" spans="1:2" x14ac:dyDescent="0.25">
      <c r="A684" s="5">
        <v>37987</v>
      </c>
      <c r="B684" s="6">
        <v>62.3</v>
      </c>
    </row>
    <row r="685" spans="1:2" x14ac:dyDescent="0.25">
      <c r="A685" s="5">
        <v>38018</v>
      </c>
      <c r="B685" s="6">
        <v>62.3</v>
      </c>
    </row>
    <row r="686" spans="1:2" x14ac:dyDescent="0.25">
      <c r="A686" s="5">
        <v>38047</v>
      </c>
      <c r="B686" s="6">
        <v>62.2</v>
      </c>
    </row>
    <row r="687" spans="1:2" x14ac:dyDescent="0.25">
      <c r="A687" s="5">
        <v>38078</v>
      </c>
      <c r="B687" s="6">
        <v>62.3</v>
      </c>
    </row>
    <row r="688" spans="1:2" x14ac:dyDescent="0.25">
      <c r="A688" s="5">
        <v>38108</v>
      </c>
      <c r="B688" s="6">
        <v>62.3</v>
      </c>
    </row>
    <row r="689" spans="1:2" x14ac:dyDescent="0.25">
      <c r="A689" s="5">
        <v>38139</v>
      </c>
      <c r="B689" s="6">
        <v>62.4</v>
      </c>
    </row>
    <row r="690" spans="1:2" x14ac:dyDescent="0.25">
      <c r="A690" s="5">
        <v>38169</v>
      </c>
      <c r="B690" s="6">
        <v>62.5</v>
      </c>
    </row>
    <row r="691" spans="1:2" x14ac:dyDescent="0.25">
      <c r="A691" s="5">
        <v>38200</v>
      </c>
      <c r="B691" s="6">
        <v>62.4</v>
      </c>
    </row>
    <row r="692" spans="1:2" x14ac:dyDescent="0.25">
      <c r="A692" s="5">
        <v>38231</v>
      </c>
      <c r="B692" s="6">
        <v>62.3</v>
      </c>
    </row>
    <row r="693" spans="1:2" x14ac:dyDescent="0.25">
      <c r="A693" s="5">
        <v>38261</v>
      </c>
      <c r="B693" s="6">
        <v>62.3</v>
      </c>
    </row>
    <row r="694" spans="1:2" x14ac:dyDescent="0.25">
      <c r="A694" s="5">
        <v>38292</v>
      </c>
      <c r="B694" s="6">
        <v>62.5</v>
      </c>
    </row>
    <row r="695" spans="1:2" x14ac:dyDescent="0.25">
      <c r="A695" s="5">
        <v>38322</v>
      </c>
      <c r="B695" s="6">
        <v>62.4</v>
      </c>
    </row>
    <row r="696" spans="1:2" x14ac:dyDescent="0.25">
      <c r="A696" s="5">
        <v>38353</v>
      </c>
      <c r="B696" s="6">
        <v>62.4</v>
      </c>
    </row>
    <row r="697" spans="1:2" x14ac:dyDescent="0.25">
      <c r="A697" s="5">
        <v>38384</v>
      </c>
      <c r="B697" s="6">
        <v>62.4</v>
      </c>
    </row>
    <row r="698" spans="1:2" x14ac:dyDescent="0.25">
      <c r="A698" s="5">
        <v>38412</v>
      </c>
      <c r="B698" s="6">
        <v>62.4</v>
      </c>
    </row>
    <row r="699" spans="1:2" x14ac:dyDescent="0.25">
      <c r="A699" s="5">
        <v>38443</v>
      </c>
      <c r="B699" s="6">
        <v>62.7</v>
      </c>
    </row>
    <row r="700" spans="1:2" x14ac:dyDescent="0.25">
      <c r="A700" s="5">
        <v>38473</v>
      </c>
      <c r="B700" s="6">
        <v>62.8</v>
      </c>
    </row>
    <row r="701" spans="1:2" x14ac:dyDescent="0.25">
      <c r="A701" s="5">
        <v>38504</v>
      </c>
      <c r="B701" s="6">
        <v>62.7</v>
      </c>
    </row>
    <row r="702" spans="1:2" x14ac:dyDescent="0.25">
      <c r="A702" s="5">
        <v>38534</v>
      </c>
      <c r="B702" s="6">
        <v>62.8</v>
      </c>
    </row>
    <row r="703" spans="1:2" x14ac:dyDescent="0.25">
      <c r="A703" s="5">
        <v>38565</v>
      </c>
      <c r="B703" s="6">
        <v>62.9</v>
      </c>
    </row>
    <row r="704" spans="1:2" x14ac:dyDescent="0.25">
      <c r="A704" s="5">
        <v>38596</v>
      </c>
      <c r="B704" s="6">
        <v>62.8</v>
      </c>
    </row>
    <row r="705" spans="1:2" x14ac:dyDescent="0.25">
      <c r="A705" s="5">
        <v>38626</v>
      </c>
      <c r="B705" s="6">
        <v>62.8</v>
      </c>
    </row>
    <row r="706" spans="1:2" x14ac:dyDescent="0.25">
      <c r="A706" s="5">
        <v>38657</v>
      </c>
      <c r="B706" s="6">
        <v>62.7</v>
      </c>
    </row>
    <row r="707" spans="1:2" x14ac:dyDescent="0.25">
      <c r="A707" s="5">
        <v>38687</v>
      </c>
      <c r="B707" s="6">
        <v>62.8</v>
      </c>
    </row>
    <row r="708" spans="1:2" x14ac:dyDescent="0.25">
      <c r="A708" s="5">
        <v>38718</v>
      </c>
      <c r="B708" s="6">
        <v>62.9</v>
      </c>
    </row>
    <row r="709" spans="1:2" x14ac:dyDescent="0.25">
      <c r="A709" s="5">
        <v>38749</v>
      </c>
      <c r="B709" s="6">
        <v>63</v>
      </c>
    </row>
    <row r="710" spans="1:2" x14ac:dyDescent="0.25">
      <c r="A710" s="5">
        <v>38777</v>
      </c>
      <c r="B710" s="6">
        <v>63.1</v>
      </c>
    </row>
    <row r="711" spans="1:2" x14ac:dyDescent="0.25">
      <c r="A711" s="5">
        <v>38808</v>
      </c>
      <c r="B711" s="6">
        <v>63</v>
      </c>
    </row>
    <row r="712" spans="1:2" x14ac:dyDescent="0.25">
      <c r="A712" s="5">
        <v>38838</v>
      </c>
      <c r="B712" s="6">
        <v>63.1</v>
      </c>
    </row>
    <row r="713" spans="1:2" x14ac:dyDescent="0.25">
      <c r="A713" s="5">
        <v>38869</v>
      </c>
      <c r="B713" s="6">
        <v>63.1</v>
      </c>
    </row>
    <row r="714" spans="1:2" x14ac:dyDescent="0.25">
      <c r="A714" s="5">
        <v>38899</v>
      </c>
      <c r="B714" s="6">
        <v>63</v>
      </c>
    </row>
    <row r="715" spans="1:2" x14ac:dyDescent="0.25">
      <c r="A715" s="5">
        <v>38930</v>
      </c>
      <c r="B715" s="6">
        <v>63.1</v>
      </c>
    </row>
    <row r="716" spans="1:2" x14ac:dyDescent="0.25">
      <c r="A716" s="5">
        <v>38961</v>
      </c>
      <c r="B716" s="6">
        <v>63.1</v>
      </c>
    </row>
    <row r="717" spans="1:2" x14ac:dyDescent="0.25">
      <c r="A717" s="5">
        <v>38991</v>
      </c>
      <c r="B717" s="6">
        <v>63.3</v>
      </c>
    </row>
    <row r="718" spans="1:2" x14ac:dyDescent="0.25">
      <c r="A718" s="5">
        <v>39022</v>
      </c>
      <c r="B718" s="6">
        <v>63.3</v>
      </c>
    </row>
    <row r="719" spans="1:2" x14ac:dyDescent="0.25">
      <c r="A719" s="5">
        <v>39052</v>
      </c>
      <c r="B719" s="6">
        <v>63.4</v>
      </c>
    </row>
    <row r="720" spans="1:2" x14ac:dyDescent="0.25">
      <c r="A720" s="5">
        <v>39083</v>
      </c>
      <c r="B720" s="6">
        <v>63.3</v>
      </c>
    </row>
    <row r="721" spans="1:2" x14ac:dyDescent="0.25">
      <c r="A721" s="5">
        <v>39114</v>
      </c>
      <c r="B721" s="6">
        <v>63.3</v>
      </c>
    </row>
    <row r="722" spans="1:2" x14ac:dyDescent="0.25">
      <c r="A722" s="5">
        <v>39142</v>
      </c>
      <c r="B722" s="6">
        <v>63.3</v>
      </c>
    </row>
    <row r="723" spans="1:2" x14ac:dyDescent="0.25">
      <c r="A723" s="5">
        <v>39173</v>
      </c>
      <c r="B723" s="6">
        <v>63</v>
      </c>
    </row>
    <row r="724" spans="1:2" x14ac:dyDescent="0.25">
      <c r="A724" s="5">
        <v>39203</v>
      </c>
      <c r="B724" s="6">
        <v>63</v>
      </c>
    </row>
    <row r="725" spans="1:2" x14ac:dyDescent="0.25">
      <c r="A725" s="5">
        <v>39234</v>
      </c>
      <c r="B725" s="6">
        <v>63</v>
      </c>
    </row>
    <row r="726" spans="1:2" x14ac:dyDescent="0.25">
      <c r="A726" s="5">
        <v>39264</v>
      </c>
      <c r="B726" s="6">
        <v>62.9</v>
      </c>
    </row>
    <row r="727" spans="1:2" x14ac:dyDescent="0.25">
      <c r="A727" s="5">
        <v>39295</v>
      </c>
      <c r="B727" s="6">
        <v>62.7</v>
      </c>
    </row>
    <row r="728" spans="1:2" x14ac:dyDescent="0.25">
      <c r="A728" s="5">
        <v>39326</v>
      </c>
      <c r="B728" s="6">
        <v>62.9</v>
      </c>
    </row>
    <row r="729" spans="1:2" x14ac:dyDescent="0.25">
      <c r="A729" s="5">
        <v>39356</v>
      </c>
      <c r="B729" s="6">
        <v>62.7</v>
      </c>
    </row>
    <row r="730" spans="1:2" x14ac:dyDescent="0.25">
      <c r="A730" s="5">
        <v>39387</v>
      </c>
      <c r="B730" s="6">
        <v>62.9</v>
      </c>
    </row>
    <row r="731" spans="1:2" x14ac:dyDescent="0.25">
      <c r="A731" s="5">
        <v>39417</v>
      </c>
      <c r="B731" s="6">
        <v>62.7</v>
      </c>
    </row>
    <row r="732" spans="1:2" x14ac:dyDescent="0.25">
      <c r="A732" s="5">
        <v>39448</v>
      </c>
      <c r="B732" s="6">
        <v>62.9</v>
      </c>
    </row>
    <row r="733" spans="1:2" x14ac:dyDescent="0.25">
      <c r="A733" s="5">
        <v>39479</v>
      </c>
      <c r="B733" s="6">
        <v>62.8</v>
      </c>
    </row>
    <row r="734" spans="1:2" x14ac:dyDescent="0.25">
      <c r="A734" s="5">
        <v>39508</v>
      </c>
      <c r="B734" s="6">
        <v>62.7</v>
      </c>
    </row>
    <row r="735" spans="1:2" x14ac:dyDescent="0.25">
      <c r="A735" s="5">
        <v>39539</v>
      </c>
      <c r="B735" s="6">
        <v>62.7</v>
      </c>
    </row>
    <row r="736" spans="1:2" x14ac:dyDescent="0.25">
      <c r="A736" s="5">
        <v>39569</v>
      </c>
      <c r="B736" s="6">
        <v>62.5</v>
      </c>
    </row>
    <row r="737" spans="1:2" x14ac:dyDescent="0.25">
      <c r="A737" s="5">
        <v>39600</v>
      </c>
      <c r="B737" s="6">
        <v>62.4</v>
      </c>
    </row>
    <row r="738" spans="1:2" x14ac:dyDescent="0.25">
      <c r="A738" s="5">
        <v>39630</v>
      </c>
      <c r="B738" s="6">
        <v>62.2</v>
      </c>
    </row>
    <row r="739" spans="1:2" x14ac:dyDescent="0.25">
      <c r="A739" s="5">
        <v>39661</v>
      </c>
      <c r="B739" s="6">
        <v>62</v>
      </c>
    </row>
    <row r="740" spans="1:2" x14ac:dyDescent="0.25">
      <c r="A740" s="5">
        <v>39692</v>
      </c>
      <c r="B740" s="6">
        <v>61.9</v>
      </c>
    </row>
    <row r="741" spans="1:2" x14ac:dyDescent="0.25">
      <c r="A741" s="5">
        <v>39722</v>
      </c>
      <c r="B741" s="6">
        <v>61.7</v>
      </c>
    </row>
    <row r="742" spans="1:2" x14ac:dyDescent="0.25">
      <c r="A742" s="5">
        <v>39753</v>
      </c>
      <c r="B742" s="6">
        <v>61.4</v>
      </c>
    </row>
    <row r="743" spans="1:2" x14ac:dyDescent="0.25">
      <c r="A743" s="5">
        <v>39783</v>
      </c>
      <c r="B743" s="6">
        <v>61</v>
      </c>
    </row>
    <row r="744" spans="1:2" x14ac:dyDescent="0.25">
      <c r="A744" s="5">
        <v>39814</v>
      </c>
      <c r="B744" s="6">
        <v>60.6</v>
      </c>
    </row>
    <row r="745" spans="1:2" x14ac:dyDescent="0.25">
      <c r="A745" s="5">
        <v>39845</v>
      </c>
      <c r="B745" s="6">
        <v>60.3</v>
      </c>
    </row>
    <row r="746" spans="1:2" x14ac:dyDescent="0.25">
      <c r="A746" s="5">
        <v>39873</v>
      </c>
      <c r="B746" s="6">
        <v>59.9</v>
      </c>
    </row>
    <row r="747" spans="1:2" x14ac:dyDescent="0.25">
      <c r="A747" s="5">
        <v>39904</v>
      </c>
      <c r="B747" s="6">
        <v>59.8</v>
      </c>
    </row>
    <row r="748" spans="1:2" x14ac:dyDescent="0.25">
      <c r="A748" s="5">
        <v>39934</v>
      </c>
      <c r="B748" s="6">
        <v>59.6</v>
      </c>
    </row>
    <row r="749" spans="1:2" x14ac:dyDescent="0.25">
      <c r="A749" s="5">
        <v>39965</v>
      </c>
      <c r="B749" s="6">
        <v>59.4</v>
      </c>
    </row>
    <row r="750" spans="1:2" x14ac:dyDescent="0.25">
      <c r="A750" s="5">
        <v>39995</v>
      </c>
      <c r="B750" s="6">
        <v>59.3</v>
      </c>
    </row>
    <row r="751" spans="1:2" x14ac:dyDescent="0.25">
      <c r="A751" s="5">
        <v>40026</v>
      </c>
      <c r="B751" s="6">
        <v>59.1</v>
      </c>
    </row>
    <row r="752" spans="1:2" x14ac:dyDescent="0.25">
      <c r="A752" s="5">
        <v>40057</v>
      </c>
      <c r="B752" s="6">
        <v>58.7</v>
      </c>
    </row>
    <row r="753" spans="1:2" x14ac:dyDescent="0.25">
      <c r="A753" s="5">
        <v>40087</v>
      </c>
      <c r="B753" s="6">
        <v>58.5</v>
      </c>
    </row>
    <row r="754" spans="1:2" x14ac:dyDescent="0.25">
      <c r="A754" s="5">
        <v>40118</v>
      </c>
      <c r="B754" s="6">
        <v>58.6</v>
      </c>
    </row>
    <row r="755" spans="1:2" x14ac:dyDescent="0.25">
      <c r="A755" s="5">
        <v>40148</v>
      </c>
      <c r="B755" s="6">
        <v>58.3</v>
      </c>
    </row>
    <row r="756" spans="1:2" x14ac:dyDescent="0.25">
      <c r="A756" s="5">
        <v>40179</v>
      </c>
      <c r="B756" s="6">
        <v>58.5</v>
      </c>
    </row>
    <row r="757" spans="1:2" x14ac:dyDescent="0.25">
      <c r="A757" s="5">
        <v>40210</v>
      </c>
      <c r="B757" s="6">
        <v>58.5</v>
      </c>
    </row>
    <row r="758" spans="1:2" x14ac:dyDescent="0.25">
      <c r="A758" s="5">
        <v>40238</v>
      </c>
      <c r="B758" s="6">
        <v>58.5</v>
      </c>
    </row>
    <row r="759" spans="1:2" x14ac:dyDescent="0.25">
      <c r="A759" s="5">
        <v>40269</v>
      </c>
      <c r="B759" s="6">
        <v>58.7</v>
      </c>
    </row>
    <row r="760" spans="1:2" x14ac:dyDescent="0.25">
      <c r="A760" s="5">
        <v>40299</v>
      </c>
      <c r="B760" s="6">
        <v>58.6</v>
      </c>
    </row>
    <row r="761" spans="1:2" x14ac:dyDescent="0.25">
      <c r="A761" s="5">
        <v>40330</v>
      </c>
      <c r="B761" s="6">
        <v>58.5</v>
      </c>
    </row>
    <row r="762" spans="1:2" x14ac:dyDescent="0.25">
      <c r="A762" s="5">
        <v>40360</v>
      </c>
      <c r="B762" s="6">
        <v>58.5</v>
      </c>
    </row>
    <row r="763" spans="1:2" x14ac:dyDescent="0.25">
      <c r="A763" s="5">
        <v>40391</v>
      </c>
      <c r="B763" s="6">
        <v>58.6</v>
      </c>
    </row>
    <row r="764" spans="1:2" x14ac:dyDescent="0.25">
      <c r="A764" s="5">
        <v>40422</v>
      </c>
      <c r="B764" s="6">
        <v>58.5</v>
      </c>
    </row>
    <row r="765" spans="1:2" x14ac:dyDescent="0.25">
      <c r="A765" s="5">
        <v>40452</v>
      </c>
      <c r="B765" s="6">
        <v>58.3</v>
      </c>
    </row>
    <row r="766" spans="1:2" x14ac:dyDescent="0.25">
      <c r="A766" s="5">
        <v>40483</v>
      </c>
      <c r="B766" s="6">
        <v>58.2</v>
      </c>
    </row>
    <row r="767" spans="1:2" x14ac:dyDescent="0.25">
      <c r="A767" s="5">
        <v>40513</v>
      </c>
      <c r="B767" s="6">
        <v>58.3</v>
      </c>
    </row>
    <row r="768" spans="1:2" x14ac:dyDescent="0.25">
      <c r="A768" s="5">
        <v>40544</v>
      </c>
      <c r="B768" s="6">
        <v>58.3</v>
      </c>
    </row>
    <row r="769" spans="1:2" x14ac:dyDescent="0.25">
      <c r="A769" s="5">
        <v>40575</v>
      </c>
      <c r="B769" s="6">
        <v>58.4</v>
      </c>
    </row>
    <row r="770" spans="1:2" x14ac:dyDescent="0.25">
      <c r="A770" s="5">
        <v>40603</v>
      </c>
      <c r="B770" s="6">
        <v>58.4</v>
      </c>
    </row>
    <row r="771" spans="1:2" x14ac:dyDescent="0.25">
      <c r="A771" s="5">
        <v>40634</v>
      </c>
      <c r="B771" s="6">
        <v>58.4</v>
      </c>
    </row>
    <row r="772" spans="1:2" x14ac:dyDescent="0.25">
      <c r="A772" s="5">
        <v>40664</v>
      </c>
      <c r="B772" s="6">
        <v>58.3</v>
      </c>
    </row>
    <row r="773" spans="1:2" x14ac:dyDescent="0.25">
      <c r="A773" s="5">
        <v>40695</v>
      </c>
      <c r="B773" s="6">
        <v>58.2</v>
      </c>
    </row>
    <row r="774" spans="1:2" x14ac:dyDescent="0.25">
      <c r="A774" s="5">
        <v>40725</v>
      </c>
      <c r="B774" s="6">
        <v>58.2</v>
      </c>
    </row>
    <row r="775" spans="1:2" x14ac:dyDescent="0.25">
      <c r="A775" s="5">
        <v>40756</v>
      </c>
      <c r="B775" s="6">
        <v>58.3</v>
      </c>
    </row>
    <row r="776" spans="1:2" x14ac:dyDescent="0.25">
      <c r="A776" s="5">
        <v>40787</v>
      </c>
      <c r="B776" s="6">
        <v>58.4</v>
      </c>
    </row>
    <row r="777" spans="1:2" x14ac:dyDescent="0.25">
      <c r="A777" s="5">
        <v>40817</v>
      </c>
      <c r="B777" s="6">
        <v>58.4</v>
      </c>
    </row>
    <row r="778" spans="1:2" x14ac:dyDescent="0.25">
      <c r="A778" s="5">
        <v>40848</v>
      </c>
      <c r="B778" s="6">
        <v>58.6</v>
      </c>
    </row>
    <row r="779" spans="1:2" x14ac:dyDescent="0.25">
      <c r="A779" s="5">
        <v>40878</v>
      </c>
      <c r="B779" s="6">
        <v>58.6</v>
      </c>
    </row>
    <row r="780" spans="1:2" x14ac:dyDescent="0.25">
      <c r="A780" s="5">
        <v>40909</v>
      </c>
      <c r="B780" s="6">
        <v>58.4</v>
      </c>
    </row>
    <row r="781" spans="1:2" x14ac:dyDescent="0.25">
      <c r="A781" s="5">
        <v>40940</v>
      </c>
      <c r="B781" s="6">
        <v>58.5</v>
      </c>
    </row>
    <row r="782" spans="1:2" x14ac:dyDescent="0.25">
      <c r="A782" s="5">
        <v>40969</v>
      </c>
      <c r="B782" s="6">
        <v>58.5</v>
      </c>
    </row>
    <row r="783" spans="1:2" x14ac:dyDescent="0.25">
      <c r="A783" s="5">
        <v>41000</v>
      </c>
      <c r="B783" s="6">
        <v>58.4</v>
      </c>
    </row>
    <row r="784" spans="1:2" x14ac:dyDescent="0.25">
      <c r="A784" s="5">
        <v>41030</v>
      </c>
      <c r="B784" s="6">
        <v>58.5</v>
      </c>
    </row>
    <row r="785" spans="1:2" x14ac:dyDescent="0.25">
      <c r="A785" s="5">
        <v>41061</v>
      </c>
      <c r="B785" s="6">
        <v>58.6</v>
      </c>
    </row>
    <row r="786" spans="1:2" x14ac:dyDescent="0.25">
      <c r="A786" s="5">
        <v>41091</v>
      </c>
      <c r="B786" s="6">
        <v>58.5</v>
      </c>
    </row>
    <row r="787" spans="1:2" x14ac:dyDescent="0.25">
      <c r="A787" s="5">
        <v>41122</v>
      </c>
      <c r="B787" s="6">
        <v>58.4</v>
      </c>
    </row>
    <row r="788" spans="1:2" x14ac:dyDescent="0.25">
      <c r="A788" s="5">
        <v>41153</v>
      </c>
      <c r="B788" s="6">
        <v>58.7</v>
      </c>
    </row>
    <row r="789" spans="1:2" x14ac:dyDescent="0.25">
      <c r="A789" s="5">
        <v>41183</v>
      </c>
      <c r="B789" s="6">
        <v>58.8</v>
      </c>
    </row>
    <row r="790" spans="1:2" x14ac:dyDescent="0.25">
      <c r="A790" s="5">
        <v>41214</v>
      </c>
      <c r="B790" s="6">
        <v>58.7</v>
      </c>
    </row>
    <row r="791" spans="1:2" x14ac:dyDescent="0.25">
      <c r="A791" s="5">
        <v>41244</v>
      </c>
      <c r="B791" s="6">
        <v>58.7</v>
      </c>
    </row>
    <row r="792" spans="1:2" x14ac:dyDescent="0.25">
      <c r="A792" s="5">
        <v>41275</v>
      </c>
      <c r="B792" s="6">
        <v>58.6</v>
      </c>
    </row>
    <row r="793" spans="1:2" x14ac:dyDescent="0.25">
      <c r="A793" s="5">
        <v>41306</v>
      </c>
      <c r="B793" s="6">
        <v>58.6</v>
      </c>
    </row>
    <row r="794" spans="1:2" x14ac:dyDescent="0.25">
      <c r="A794" s="5">
        <v>41334</v>
      </c>
      <c r="B794" s="6">
        <v>58.5</v>
      </c>
    </row>
    <row r="795" spans="1:2" x14ac:dyDescent="0.25">
      <c r="A795" s="5">
        <v>41365</v>
      </c>
      <c r="B795" s="6">
        <v>58.6</v>
      </c>
    </row>
    <row r="796" spans="1:2" x14ac:dyDescent="0.25">
      <c r="A796" s="5">
        <v>41395</v>
      </c>
      <c r="B796" s="6">
        <v>58.6</v>
      </c>
    </row>
    <row r="797" spans="1:2" x14ac:dyDescent="0.25">
      <c r="A797" s="5">
        <v>41426</v>
      </c>
      <c r="B797" s="6">
        <v>58.6</v>
      </c>
    </row>
    <row r="798" spans="1:2" x14ac:dyDescent="0.25">
      <c r="A798" s="5">
        <v>41456</v>
      </c>
      <c r="B798" s="6">
        <v>58.7</v>
      </c>
    </row>
    <row r="799" spans="1:2" x14ac:dyDescent="0.25">
      <c r="A799" s="5">
        <v>41487</v>
      </c>
      <c r="B799" s="6">
        <v>58.7</v>
      </c>
    </row>
    <row r="800" spans="1:2" x14ac:dyDescent="0.25">
      <c r="A800" s="5">
        <v>41518</v>
      </c>
      <c r="B800" s="6">
        <v>58.7</v>
      </c>
    </row>
    <row r="801" spans="1:2" x14ac:dyDescent="0.25">
      <c r="A801" s="5">
        <v>41548</v>
      </c>
      <c r="B801" s="6">
        <v>58.3</v>
      </c>
    </row>
    <row r="802" spans="1:2" x14ac:dyDescent="0.25">
      <c r="A802" s="5">
        <v>41579</v>
      </c>
      <c r="B802" s="6">
        <v>58.6</v>
      </c>
    </row>
    <row r="803" spans="1:2" x14ac:dyDescent="0.25">
      <c r="A803" s="5">
        <v>41609</v>
      </c>
      <c r="B803" s="6">
        <v>58.7</v>
      </c>
    </row>
    <row r="804" spans="1:2" x14ac:dyDescent="0.25">
      <c r="A804" s="5">
        <v>41640</v>
      </c>
      <c r="B804" s="6">
        <v>58.8</v>
      </c>
    </row>
    <row r="805" spans="1:2" x14ac:dyDescent="0.25">
      <c r="A805" s="5">
        <v>41671</v>
      </c>
      <c r="B805" s="6">
        <v>58.7</v>
      </c>
    </row>
    <row r="806" spans="1:2" x14ac:dyDescent="0.25">
      <c r="A806" s="5">
        <v>41699</v>
      </c>
      <c r="B806" s="6">
        <v>58.9</v>
      </c>
    </row>
    <row r="807" spans="1:2" x14ac:dyDescent="0.25">
      <c r="A807" s="5">
        <v>41730</v>
      </c>
      <c r="B807" s="6">
        <v>58.9</v>
      </c>
    </row>
    <row r="808" spans="1:2" x14ac:dyDescent="0.25">
      <c r="A808" s="5">
        <v>41760</v>
      </c>
      <c r="B808" s="6">
        <v>58.9</v>
      </c>
    </row>
    <row r="809" spans="1:2" x14ac:dyDescent="0.25">
      <c r="A809" s="5">
        <v>41791</v>
      </c>
      <c r="B809" s="6">
        <v>59</v>
      </c>
    </row>
    <row r="810" spans="1:2" x14ac:dyDescent="0.25">
      <c r="A810" s="5">
        <v>41821</v>
      </c>
      <c r="B810" s="6">
        <v>59</v>
      </c>
    </row>
    <row r="811" spans="1:2" x14ac:dyDescent="0.25">
      <c r="A811" s="5">
        <v>41852</v>
      </c>
      <c r="B811" s="6">
        <v>59</v>
      </c>
    </row>
    <row r="812" spans="1:2" x14ac:dyDescent="0.25">
      <c r="A812" s="5">
        <v>41883</v>
      </c>
      <c r="B812" s="6">
        <v>59.1</v>
      </c>
    </row>
    <row r="813" spans="1:2" x14ac:dyDescent="0.25">
      <c r="A813" s="5">
        <v>41913</v>
      </c>
      <c r="B813" s="6">
        <v>59.3</v>
      </c>
    </row>
    <row r="814" spans="1:2" x14ac:dyDescent="0.25">
      <c r="A814" s="5">
        <v>41944</v>
      </c>
      <c r="B814" s="6">
        <v>59.2</v>
      </c>
    </row>
    <row r="815" spans="1:2" x14ac:dyDescent="0.25">
      <c r="A815" s="5">
        <v>41974</v>
      </c>
      <c r="B815" s="6">
        <v>59.3</v>
      </c>
    </row>
    <row r="816" spans="1:2" x14ac:dyDescent="0.25">
      <c r="A816" s="5">
        <v>42005</v>
      </c>
      <c r="B816" s="6">
        <v>59.3</v>
      </c>
    </row>
    <row r="817" spans="1:2" x14ac:dyDescent="0.25">
      <c r="A817" s="5">
        <v>42036</v>
      </c>
      <c r="B817" s="6">
        <v>59.2</v>
      </c>
    </row>
    <row r="818" spans="1:2" x14ac:dyDescent="0.25">
      <c r="A818" s="5">
        <v>42064</v>
      </c>
      <c r="B818" s="6">
        <v>59.2</v>
      </c>
    </row>
    <row r="819" spans="1:2" x14ac:dyDescent="0.25">
      <c r="A819" s="5">
        <v>42095</v>
      </c>
      <c r="B819" s="6">
        <v>59.3</v>
      </c>
    </row>
    <row r="820" spans="1:2" x14ac:dyDescent="0.25">
      <c r="A820" s="5">
        <v>42125</v>
      </c>
      <c r="B820" s="6">
        <v>59.4</v>
      </c>
    </row>
    <row r="821" spans="1:2" x14ac:dyDescent="0.25">
      <c r="A821" s="5">
        <v>42156</v>
      </c>
      <c r="B821" s="6">
        <v>59.4</v>
      </c>
    </row>
    <row r="822" spans="1:2" x14ac:dyDescent="0.25">
      <c r="A822" s="5">
        <v>42186</v>
      </c>
      <c r="B822" s="6">
        <v>59.3</v>
      </c>
    </row>
    <row r="823" spans="1:2" x14ac:dyDescent="0.25">
      <c r="A823" s="5">
        <v>42217</v>
      </c>
      <c r="B823" s="6">
        <v>59.4</v>
      </c>
    </row>
    <row r="824" spans="1:2" x14ac:dyDescent="0.25">
      <c r="A824" s="5">
        <v>42248</v>
      </c>
      <c r="B824" s="6">
        <v>59.2</v>
      </c>
    </row>
    <row r="825" spans="1:2" x14ac:dyDescent="0.25">
      <c r="A825" s="5">
        <v>42278</v>
      </c>
      <c r="B825" s="6">
        <v>59.3</v>
      </c>
    </row>
    <row r="826" spans="1:2" x14ac:dyDescent="0.25">
      <c r="A826" s="5">
        <v>42309</v>
      </c>
      <c r="B826" s="6">
        <v>59.4</v>
      </c>
    </row>
    <row r="827" spans="1:2" x14ac:dyDescent="0.25">
      <c r="A827" s="5">
        <v>42339</v>
      </c>
      <c r="B827" s="6">
        <v>59.6</v>
      </c>
    </row>
    <row r="828" spans="1:2" x14ac:dyDescent="0.25">
      <c r="A828" s="5">
        <v>42370</v>
      </c>
      <c r="B828" s="6">
        <v>59.7</v>
      </c>
    </row>
    <row r="829" spans="1:2" x14ac:dyDescent="0.25">
      <c r="A829" s="5">
        <v>42401</v>
      </c>
      <c r="B829" s="6">
        <v>59.8</v>
      </c>
    </row>
    <row r="830" spans="1:2" x14ac:dyDescent="0.25">
      <c r="A830" s="5">
        <v>42430</v>
      </c>
      <c r="B830" s="6">
        <v>59.8</v>
      </c>
    </row>
    <row r="831" spans="1:2" x14ac:dyDescent="0.25">
      <c r="A831" s="5">
        <v>42461</v>
      </c>
      <c r="B831" s="6">
        <v>59.7</v>
      </c>
    </row>
    <row r="832" spans="1:2" x14ac:dyDescent="0.25">
      <c r="A832" s="5">
        <v>42491</v>
      </c>
      <c r="B832" s="6">
        <v>59.7</v>
      </c>
    </row>
    <row r="833" spans="1:2" x14ac:dyDescent="0.25">
      <c r="A833" s="5">
        <v>42522</v>
      </c>
      <c r="B833" s="6">
        <v>59.7</v>
      </c>
    </row>
    <row r="834" spans="1:2" x14ac:dyDescent="0.25">
      <c r="A834" s="5">
        <v>42552</v>
      </c>
      <c r="B834" s="6">
        <v>59.8</v>
      </c>
    </row>
    <row r="835" spans="1:2" x14ac:dyDescent="0.25">
      <c r="A835" s="5">
        <v>42583</v>
      </c>
      <c r="B835" s="6">
        <v>59.8</v>
      </c>
    </row>
    <row r="836" spans="1:2" x14ac:dyDescent="0.25">
      <c r="A836" s="5">
        <v>42614</v>
      </c>
      <c r="B836" s="6">
        <v>59.7</v>
      </c>
    </row>
    <row r="837" spans="1:2" x14ac:dyDescent="0.25">
      <c r="A837" s="5">
        <v>42644</v>
      </c>
      <c r="B837" s="6">
        <v>59.7</v>
      </c>
    </row>
    <row r="838" spans="1:2" x14ac:dyDescent="0.25">
      <c r="A838" s="5">
        <v>42675</v>
      </c>
      <c r="B838" s="6">
        <v>59.7</v>
      </c>
    </row>
    <row r="839" spans="1:2" x14ac:dyDescent="0.25">
      <c r="A839" s="5">
        <v>42705</v>
      </c>
      <c r="B839" s="6">
        <v>59.7</v>
      </c>
    </row>
    <row r="840" spans="1:2" x14ac:dyDescent="0.25">
      <c r="A840" s="5">
        <v>42736</v>
      </c>
      <c r="B840" s="6">
        <v>59.9</v>
      </c>
    </row>
    <row r="841" spans="1:2" x14ac:dyDescent="0.25">
      <c r="A841" s="5">
        <v>42767</v>
      </c>
      <c r="B841" s="6">
        <v>60</v>
      </c>
    </row>
    <row r="842" spans="1:2" x14ac:dyDescent="0.25">
      <c r="A842" s="5">
        <v>42795</v>
      </c>
      <c r="B842" s="6">
        <v>60.2</v>
      </c>
    </row>
    <row r="843" spans="1:2" x14ac:dyDescent="0.25">
      <c r="A843" s="5">
        <v>42826</v>
      </c>
      <c r="B843" s="6">
        <v>60.2</v>
      </c>
    </row>
    <row r="844" spans="1:2" x14ac:dyDescent="0.25">
      <c r="A844" s="5">
        <v>42856</v>
      </c>
      <c r="B844" s="6">
        <v>60.1</v>
      </c>
    </row>
    <row r="845" spans="1:2" x14ac:dyDescent="0.25">
      <c r="A845" s="5">
        <v>42887</v>
      </c>
      <c r="B845" s="6">
        <v>60.1</v>
      </c>
    </row>
    <row r="846" spans="1:2" x14ac:dyDescent="0.25">
      <c r="A846" s="5">
        <v>42917</v>
      </c>
      <c r="B846" s="6">
        <v>60.2</v>
      </c>
    </row>
    <row r="847" spans="1:2" x14ac:dyDescent="0.25">
      <c r="A847" s="5">
        <v>42948</v>
      </c>
      <c r="B847" s="6">
        <v>60.1</v>
      </c>
    </row>
    <row r="848" spans="1:2" x14ac:dyDescent="0.25">
      <c r="A848" s="5">
        <v>42979</v>
      </c>
      <c r="B848" s="6">
        <v>60.4</v>
      </c>
    </row>
    <row r="849" spans="1:2" x14ac:dyDescent="0.25">
      <c r="A849" s="5">
        <v>43009</v>
      </c>
      <c r="B849" s="6">
        <v>60.1</v>
      </c>
    </row>
    <row r="850" spans="1:2" x14ac:dyDescent="0.25">
      <c r="A850" s="5">
        <v>43040</v>
      </c>
      <c r="B850" s="6">
        <v>60.1</v>
      </c>
    </row>
    <row r="851" spans="1:2" x14ac:dyDescent="0.25">
      <c r="A851" s="5">
        <v>43070</v>
      </c>
      <c r="B851" s="6">
        <v>60.1</v>
      </c>
    </row>
    <row r="852" spans="1:2" x14ac:dyDescent="0.25">
      <c r="A852" s="5">
        <v>43101</v>
      </c>
      <c r="B852" s="6">
        <v>60.1</v>
      </c>
    </row>
    <row r="853" spans="1:2" x14ac:dyDescent="0.25">
      <c r="A853" s="5">
        <v>43132</v>
      </c>
      <c r="B853" s="6">
        <v>60.4</v>
      </c>
    </row>
    <row r="854" spans="1:2" x14ac:dyDescent="0.25">
      <c r="A854" s="5">
        <v>43160</v>
      </c>
      <c r="B854" s="6">
        <v>60.4</v>
      </c>
    </row>
    <row r="855" spans="1:2" x14ac:dyDescent="0.25">
      <c r="A855" s="5">
        <v>43191</v>
      </c>
      <c r="B855" s="6">
        <v>60.4</v>
      </c>
    </row>
    <row r="856" spans="1:2" x14ac:dyDescent="0.25">
      <c r="A856" s="5">
        <v>43221</v>
      </c>
      <c r="B856" s="6">
        <v>60.5</v>
      </c>
    </row>
    <row r="857" spans="1:2" x14ac:dyDescent="0.25">
      <c r="A857" s="5">
        <v>43252</v>
      </c>
      <c r="B857" s="6">
        <v>60.5</v>
      </c>
    </row>
    <row r="858" spans="1:2" x14ac:dyDescent="0.25">
      <c r="A858" s="5">
        <v>43282</v>
      </c>
      <c r="B858" s="6">
        <v>60.6</v>
      </c>
    </row>
    <row r="859" spans="1:2" x14ac:dyDescent="0.25">
      <c r="A859" s="5">
        <v>43313</v>
      </c>
      <c r="B859" s="6">
        <v>60.3</v>
      </c>
    </row>
    <row r="860" spans="1:2" x14ac:dyDescent="0.25">
      <c r="A860" s="5">
        <v>43344</v>
      </c>
      <c r="B860" s="6">
        <v>60.4</v>
      </c>
    </row>
    <row r="861" spans="1:2" x14ac:dyDescent="0.25">
      <c r="A861" s="5">
        <v>43374</v>
      </c>
      <c r="B861" s="6">
        <v>60.5</v>
      </c>
    </row>
    <row r="862" spans="1:2" x14ac:dyDescent="0.25">
      <c r="A862" s="5">
        <v>43405</v>
      </c>
      <c r="B862" s="6">
        <v>60.6</v>
      </c>
    </row>
    <row r="863" spans="1:2" x14ac:dyDescent="0.25">
      <c r="A863" s="5">
        <v>43435</v>
      </c>
      <c r="B863" s="6">
        <v>60.6</v>
      </c>
    </row>
    <row r="864" spans="1:2" x14ac:dyDescent="0.25">
      <c r="A864" s="5">
        <v>43466</v>
      </c>
      <c r="B864" s="6">
        <v>60.6</v>
      </c>
    </row>
    <row r="865" spans="1:2" x14ac:dyDescent="0.25">
      <c r="A865" s="5">
        <v>43497</v>
      </c>
      <c r="B865" s="6">
        <v>60.7</v>
      </c>
    </row>
    <row r="866" spans="1:2" x14ac:dyDescent="0.25">
      <c r="A866" s="5">
        <v>43525</v>
      </c>
      <c r="B866" s="6">
        <v>60.6</v>
      </c>
    </row>
    <row r="867" spans="1:2" x14ac:dyDescent="0.25">
      <c r="A867" s="5">
        <v>43556</v>
      </c>
      <c r="B867" s="6">
        <v>60.5</v>
      </c>
    </row>
    <row r="868" spans="1:2" x14ac:dyDescent="0.25">
      <c r="A868" s="5">
        <v>43586</v>
      </c>
      <c r="B868" s="6">
        <v>60.6</v>
      </c>
    </row>
    <row r="869" spans="1:2" x14ac:dyDescent="0.25">
      <c r="A869" s="5">
        <v>43617</v>
      </c>
      <c r="B869" s="6">
        <v>60.7</v>
      </c>
    </row>
    <row r="870" spans="1:2" x14ac:dyDescent="0.25">
      <c r="A870" s="5">
        <v>43647</v>
      </c>
      <c r="B870" s="6">
        <v>60.8</v>
      </c>
    </row>
    <row r="871" spans="1:2" x14ac:dyDescent="0.25">
      <c r="A871" s="5">
        <v>43678</v>
      </c>
      <c r="B871" s="6">
        <v>60.8</v>
      </c>
    </row>
    <row r="872" spans="1:2" x14ac:dyDescent="0.25">
      <c r="A872" s="5">
        <v>43709</v>
      </c>
      <c r="B872" s="6">
        <v>61</v>
      </c>
    </row>
    <row r="873" spans="1:2" x14ac:dyDescent="0.25">
      <c r="A873" s="5">
        <v>43739</v>
      </c>
      <c r="B873" s="6">
        <v>61</v>
      </c>
    </row>
    <row r="874" spans="1:2" x14ac:dyDescent="0.25">
      <c r="A874" s="5">
        <v>43770</v>
      </c>
      <c r="B874" s="6">
        <v>61</v>
      </c>
    </row>
    <row r="875" spans="1:2" x14ac:dyDescent="0.25">
      <c r="A875" s="5">
        <v>43800</v>
      </c>
      <c r="B875" s="6">
        <v>61.1</v>
      </c>
    </row>
    <row r="876" spans="1:2" x14ac:dyDescent="0.25">
      <c r="A876" s="5">
        <v>43831</v>
      </c>
      <c r="B876" s="6">
        <v>61.1</v>
      </c>
    </row>
    <row r="877" spans="1:2" x14ac:dyDescent="0.25">
      <c r="A877" s="5">
        <v>43862</v>
      </c>
      <c r="B877" s="6">
        <v>61.1</v>
      </c>
    </row>
    <row r="878" spans="1:2" x14ac:dyDescent="0.25">
      <c r="A878" s="5">
        <v>43891</v>
      </c>
      <c r="B878" s="6">
        <v>59.8</v>
      </c>
    </row>
    <row r="879" spans="1:2" x14ac:dyDescent="0.25">
      <c r="A879" s="5">
        <v>43922</v>
      </c>
      <c r="B879" s="6">
        <v>51.2</v>
      </c>
    </row>
    <row r="880" spans="1:2" x14ac:dyDescent="0.25">
      <c r="A880" s="5">
        <v>43952</v>
      </c>
      <c r="B880" s="6">
        <v>52.7</v>
      </c>
    </row>
    <row r="881" spans="1:2" x14ac:dyDescent="0.25">
      <c r="A881" s="5">
        <v>43983</v>
      </c>
      <c r="B881" s="6">
        <v>54.7</v>
      </c>
    </row>
    <row r="882" spans="1:2" x14ac:dyDescent="0.25">
      <c r="A882" s="61">
        <v>44013</v>
      </c>
      <c r="B882">
        <v>55.2</v>
      </c>
    </row>
    <row r="883" spans="1:2" x14ac:dyDescent="0.25">
      <c r="A883" s="61">
        <v>44044</v>
      </c>
      <c r="B883">
        <v>56.5</v>
      </c>
    </row>
    <row r="884" spans="1:2" x14ac:dyDescent="0.25">
      <c r="A884" s="61">
        <v>44075</v>
      </c>
      <c r="B884">
        <v>56.6</v>
      </c>
    </row>
    <row r="885" spans="1:2" x14ac:dyDescent="0.25">
      <c r="A885" s="61">
        <v>44105</v>
      </c>
      <c r="B885">
        <v>57.5</v>
      </c>
    </row>
    <row r="886" spans="1:2" x14ac:dyDescent="0.25">
      <c r="A886" s="61">
        <v>44136</v>
      </c>
      <c r="B886">
        <v>57.4</v>
      </c>
    </row>
    <row r="887" spans="1:2" x14ac:dyDescent="0.25">
      <c r="A887" s="61">
        <v>44166</v>
      </c>
      <c r="B887">
        <v>57.4</v>
      </c>
    </row>
    <row r="888" spans="1:2" x14ac:dyDescent="0.25">
      <c r="A888" s="61">
        <v>44197</v>
      </c>
      <c r="B888">
        <v>57.4</v>
      </c>
    </row>
    <row r="889" spans="1:2" x14ac:dyDescent="0.25">
      <c r="A889" s="61">
        <v>44228</v>
      </c>
      <c r="B889">
        <v>57.6</v>
      </c>
    </row>
    <row r="890" spans="1:2" x14ac:dyDescent="0.25">
      <c r="A890" s="61">
        <v>44256</v>
      </c>
      <c r="B890">
        <v>57.7</v>
      </c>
    </row>
    <row r="891" spans="1:2" x14ac:dyDescent="0.25">
      <c r="A891" s="61">
        <v>44287</v>
      </c>
      <c r="B891">
        <v>57.8</v>
      </c>
    </row>
    <row r="892" spans="1:2" x14ac:dyDescent="0.25">
      <c r="A892" s="61">
        <v>44317</v>
      </c>
      <c r="B892">
        <v>58</v>
      </c>
    </row>
    <row r="893" spans="1:2" x14ac:dyDescent="0.25">
      <c r="A893" s="61">
        <v>44348</v>
      </c>
      <c r="B893">
        <v>58.1</v>
      </c>
    </row>
    <row r="894" spans="1:2" x14ac:dyDescent="0.25">
      <c r="A894" s="61">
        <v>44378</v>
      </c>
      <c r="B894">
        <v>58.4</v>
      </c>
    </row>
    <row r="895" spans="1:2" x14ac:dyDescent="0.25">
      <c r="A895" s="61">
        <v>44409</v>
      </c>
      <c r="B895">
        <v>58.6</v>
      </c>
    </row>
    <row r="896" spans="1:2" x14ac:dyDescent="0.25">
      <c r="A896" s="61">
        <v>44440</v>
      </c>
      <c r="B896">
        <v>58.8</v>
      </c>
    </row>
    <row r="897" spans="1:2" x14ac:dyDescent="0.25">
      <c r="A897" s="61">
        <v>44470</v>
      </c>
      <c r="B897">
        <v>59</v>
      </c>
    </row>
    <row r="898" spans="1:2" x14ac:dyDescent="0.25">
      <c r="A898" s="61">
        <v>44501</v>
      </c>
      <c r="B898">
        <v>59.3</v>
      </c>
    </row>
    <row r="899" spans="1:2" x14ac:dyDescent="0.25">
      <c r="A899" s="61">
        <v>44531</v>
      </c>
      <c r="B899">
        <v>59.5</v>
      </c>
    </row>
    <row r="900" spans="1:2" x14ac:dyDescent="0.25">
      <c r="A900" s="61">
        <v>44562</v>
      </c>
      <c r="B900">
        <v>59.7</v>
      </c>
    </row>
    <row r="901" spans="1:2" x14ac:dyDescent="0.25">
      <c r="A901" s="61">
        <v>44593</v>
      </c>
      <c r="B901">
        <v>59.9</v>
      </c>
    </row>
    <row r="902" spans="1:2" x14ac:dyDescent="0.25">
      <c r="A902" s="61">
        <v>44621</v>
      </c>
      <c r="B902">
        <v>60.1</v>
      </c>
    </row>
    <row r="903" spans="1:2" x14ac:dyDescent="0.25">
      <c r="A903" s="61">
        <v>44652</v>
      </c>
      <c r="B903">
        <v>59.9</v>
      </c>
    </row>
    <row r="904" spans="1:2" x14ac:dyDescent="0.25">
      <c r="A904" s="61">
        <v>44682</v>
      </c>
      <c r="B904">
        <v>60.1</v>
      </c>
    </row>
    <row r="905" spans="1:2" x14ac:dyDescent="0.25">
      <c r="A905" s="61">
        <v>44713</v>
      </c>
      <c r="B905">
        <v>59.9</v>
      </c>
    </row>
    <row r="906" spans="1:2" x14ac:dyDescent="0.25">
      <c r="A906" s="61">
        <v>44743</v>
      </c>
      <c r="B906">
        <v>60</v>
      </c>
    </row>
    <row r="907" spans="1:2" x14ac:dyDescent="0.25">
      <c r="A907" s="61">
        <v>44774</v>
      </c>
      <c r="B907">
        <v>60.1</v>
      </c>
    </row>
    <row r="908" spans="1:2" x14ac:dyDescent="0.25">
      <c r="A908" s="61">
        <v>44805</v>
      </c>
      <c r="B908">
        <v>60.1</v>
      </c>
    </row>
    <row r="909" spans="1:2" x14ac:dyDescent="0.25">
      <c r="A909" s="61">
        <v>44835</v>
      </c>
      <c r="B909">
        <v>60</v>
      </c>
    </row>
    <row r="910" spans="1:2" x14ac:dyDescent="0.25">
      <c r="A910" s="61">
        <v>44866</v>
      </c>
      <c r="B910">
        <v>59.9</v>
      </c>
    </row>
    <row r="911" spans="1:2" x14ac:dyDescent="0.25">
      <c r="A911" s="61">
        <v>44896</v>
      </c>
      <c r="B911">
        <v>60.1</v>
      </c>
    </row>
    <row r="912" spans="1:2" x14ac:dyDescent="0.25">
      <c r="A912" s="61">
        <v>44927</v>
      </c>
      <c r="B912">
        <v>60.2</v>
      </c>
    </row>
    <row r="913" spans="1:2" x14ac:dyDescent="0.25">
      <c r="A913" s="61">
        <v>44958</v>
      </c>
      <c r="B913">
        <v>60.3</v>
      </c>
    </row>
    <row r="914" spans="1:2" x14ac:dyDescent="0.25">
      <c r="A914" s="61">
        <v>44986</v>
      </c>
      <c r="B914">
        <v>60.4</v>
      </c>
    </row>
    <row r="915" spans="1:2" x14ac:dyDescent="0.25">
      <c r="A915" s="61">
        <v>45017</v>
      </c>
      <c r="B915">
        <v>60.4</v>
      </c>
    </row>
    <row r="916" spans="1:2" x14ac:dyDescent="0.25">
      <c r="A916" s="61">
        <v>45047</v>
      </c>
      <c r="B916">
        <v>60.3</v>
      </c>
    </row>
    <row r="917" spans="1:2" x14ac:dyDescent="0.25">
      <c r="A917" s="61">
        <v>45078</v>
      </c>
      <c r="B917">
        <v>60.3</v>
      </c>
    </row>
    <row r="918" spans="1:2" x14ac:dyDescent="0.25">
      <c r="A918" s="61">
        <v>45108</v>
      </c>
      <c r="B918">
        <v>60.4</v>
      </c>
    </row>
    <row r="919" spans="1:2" x14ac:dyDescent="0.25">
      <c r="A919" s="61">
        <v>45139</v>
      </c>
      <c r="B919">
        <v>60.4</v>
      </c>
    </row>
    <row r="920" spans="1:2" x14ac:dyDescent="0.25">
      <c r="A920" s="61">
        <v>45170</v>
      </c>
      <c r="B920">
        <v>60.4</v>
      </c>
    </row>
    <row r="921" spans="1:2" x14ac:dyDescent="0.25">
      <c r="A921" s="61">
        <v>45200</v>
      </c>
      <c r="B921">
        <v>60.2</v>
      </c>
    </row>
    <row r="922" spans="1:2" x14ac:dyDescent="0.25">
      <c r="A922" s="61">
        <v>45231</v>
      </c>
      <c r="B922">
        <v>60.4</v>
      </c>
    </row>
    <row r="923" spans="1:2" x14ac:dyDescent="0.25">
      <c r="A923" s="61">
        <v>45261</v>
      </c>
      <c r="B923">
        <v>60.1</v>
      </c>
    </row>
    <row r="924" spans="1:2" x14ac:dyDescent="0.25">
      <c r="A924" s="61">
        <v>45292</v>
      </c>
      <c r="B924">
        <v>60.2</v>
      </c>
    </row>
    <row r="925" spans="1:2" x14ac:dyDescent="0.25">
      <c r="A925" s="61">
        <v>45323</v>
      </c>
      <c r="B925">
        <v>60.2</v>
      </c>
    </row>
    <row r="926" spans="1:2" x14ac:dyDescent="0.25">
      <c r="A926" s="61">
        <v>45352</v>
      </c>
      <c r="B926">
        <v>60.3</v>
      </c>
    </row>
    <row r="927" spans="1:2" x14ac:dyDescent="0.25">
      <c r="A927" s="61">
        <v>45383</v>
      </c>
      <c r="B927">
        <v>60.2</v>
      </c>
    </row>
    <row r="928" spans="1:2" x14ac:dyDescent="0.25">
      <c r="A928" s="61">
        <v>45413</v>
      </c>
      <c r="B928">
        <v>60.1</v>
      </c>
    </row>
    <row r="929" spans="1:2" x14ac:dyDescent="0.25">
      <c r="A929" s="61">
        <v>45444</v>
      </c>
      <c r="B929">
        <v>60</v>
      </c>
    </row>
    <row r="930" spans="1:2" x14ac:dyDescent="0.25">
      <c r="A930" s="61">
        <v>45474</v>
      </c>
      <c r="B930">
        <v>60</v>
      </c>
    </row>
    <row r="931" spans="1:2" x14ac:dyDescent="0.25">
      <c r="A931" s="61">
        <v>45505</v>
      </c>
      <c r="B931">
        <v>60</v>
      </c>
    </row>
    <row r="932" spans="1:2" x14ac:dyDescent="0.25">
      <c r="A932" s="61">
        <v>45536</v>
      </c>
      <c r="B932">
        <v>60.1</v>
      </c>
    </row>
    <row r="933" spans="1:2" x14ac:dyDescent="0.25">
      <c r="A933" s="61">
        <v>45566</v>
      </c>
      <c r="B933">
        <v>60</v>
      </c>
    </row>
    <row r="934" spans="1:2" x14ac:dyDescent="0.25">
      <c r="A934" s="61">
        <v>45597</v>
      </c>
      <c r="B934">
        <v>59.8</v>
      </c>
    </row>
    <row r="935" spans="1:2" x14ac:dyDescent="0.25">
      <c r="A935" s="61">
        <v>45627</v>
      </c>
      <c r="B935">
        <v>59.9</v>
      </c>
    </row>
    <row r="936" spans="1:2" x14ac:dyDescent="0.25">
      <c r="A936" s="61">
        <v>45658</v>
      </c>
      <c r="B936">
        <v>60.1</v>
      </c>
    </row>
    <row r="937" spans="1:2" x14ac:dyDescent="0.25">
      <c r="A937" s="61">
        <v>45689</v>
      </c>
      <c r="B937">
        <v>59.9</v>
      </c>
    </row>
    <row r="938" spans="1:2" x14ac:dyDescent="0.25">
      <c r="A938" s="61">
        <v>45717</v>
      </c>
      <c r="B938">
        <v>59.9</v>
      </c>
    </row>
    <row r="939" spans="1:2" x14ac:dyDescent="0.25">
      <c r="A939" s="61">
        <v>45748</v>
      </c>
      <c r="B939">
        <v>60</v>
      </c>
    </row>
    <row r="940" spans="1:2" x14ac:dyDescent="0.25">
      <c r="A940" s="61">
        <v>45778</v>
      </c>
      <c r="B940">
        <v>59.7</v>
      </c>
    </row>
    <row r="941" spans="1:2" x14ac:dyDescent="0.25">
      <c r="A941" s="61">
        <v>45809</v>
      </c>
      <c r="B941">
        <v>59.7</v>
      </c>
    </row>
    <row r="942" spans="1:2" x14ac:dyDescent="0.25">
      <c r="A942" s="61">
        <v>45839</v>
      </c>
      <c r="B942">
        <v>59.6</v>
      </c>
    </row>
    <row r="943" spans="1:2" x14ac:dyDescent="0.25">
      <c r="A943" s="61">
        <v>45870</v>
      </c>
      <c r="B943">
        <v>59.6</v>
      </c>
    </row>
    <row r="944" spans="1:2" x14ac:dyDescent="0.25">
      <c r="A944" s="61">
        <v>45901</v>
      </c>
      <c r="B944">
        <v>59.7</v>
      </c>
    </row>
    <row r="945" spans="1:2" x14ac:dyDescent="0.25">
      <c r="A945" s="61">
        <v>45931</v>
      </c>
    </row>
    <row r="946" spans="1:2" x14ac:dyDescent="0.25">
      <c r="A946" s="61">
        <v>45962</v>
      </c>
      <c r="B946">
        <v>59.6</v>
      </c>
    </row>
    <row r="947" spans="1:2" x14ac:dyDescent="0.25">
      <c r="A947" s="61">
        <v>45992</v>
      </c>
      <c r="B947">
        <v>59.7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0F043-555E-495A-9D00-07B3497D7EAD}">
  <sheetPr>
    <tabColor rgb="FF92D050"/>
  </sheetPr>
  <dimension ref="A1:B5"/>
  <sheetViews>
    <sheetView workbookViewId="0">
      <selection activeCell="B4" sqref="B4"/>
    </sheetView>
  </sheetViews>
  <sheetFormatPr defaultRowHeight="15" x14ac:dyDescent="0.25"/>
  <cols>
    <col min="1" max="1" width="10.42578125" customWidth="1"/>
    <col min="2" max="2" width="11.42578125" customWidth="1"/>
  </cols>
  <sheetData>
    <row r="1" spans="1:2" x14ac:dyDescent="0.25">
      <c r="A1" t="s">
        <v>18</v>
      </c>
    </row>
    <row r="2" spans="1:2" x14ac:dyDescent="0.25">
      <c r="A2" t="s">
        <v>19</v>
      </c>
      <c r="B2" s="7">
        <v>40179</v>
      </c>
    </row>
    <row r="3" spans="1:2" x14ac:dyDescent="0.25">
      <c r="A3" t="s">
        <v>20</v>
      </c>
      <c r="B3" s="7">
        <v>43891</v>
      </c>
    </row>
    <row r="5" spans="1:2" x14ac:dyDescent="0.25">
      <c r="A5" t="s">
        <v>21</v>
      </c>
      <c r="B5" s="8">
        <f>AVERAGEIFS('Emp Pop Ratio'!B:B,'Emp Pop Ratio'!A:A,"&gt;="&amp;'Avg Emp-Pop Ratio'!B2,'Emp Pop Ratio'!A:A,"&lt;="&amp;'Avg Emp-Pop Ratio'!B3)/100</f>
        <v>0.5937560975609758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82B1D3-4198-45EA-9452-113DD1DEBC15}">
  <dimension ref="A1:F101"/>
  <sheetViews>
    <sheetView workbookViewId="0">
      <pane ySplit="15" topLeftCell="A16" activePane="bottomLeft" state="frozen"/>
      <selection pane="bottomLeft" activeCell="B14" sqref="B14"/>
    </sheetView>
  </sheetViews>
  <sheetFormatPr defaultRowHeight="15" x14ac:dyDescent="0.25"/>
  <cols>
    <col min="1" max="1" width="25" style="12" customWidth="1"/>
    <col min="2" max="2" width="9" style="12" customWidth="1"/>
    <col min="3" max="3" width="17" style="12" customWidth="1"/>
    <col min="4" max="4" width="26" style="12" customWidth="1"/>
    <col min="5" max="16384" width="9.140625" style="12"/>
  </cols>
  <sheetData>
    <row r="1" spans="1:6" ht="15.75" x14ac:dyDescent="0.25">
      <c r="A1" s="27" t="s">
        <v>53</v>
      </c>
      <c r="B1" s="25"/>
      <c r="C1" s="25"/>
      <c r="D1" s="25"/>
      <c r="E1" s="25"/>
      <c r="F1" s="25"/>
    </row>
    <row r="2" spans="1:6" ht="15.75" x14ac:dyDescent="0.25">
      <c r="A2" s="27" t="s">
        <v>47</v>
      </c>
      <c r="B2" s="25"/>
      <c r="C2" s="25"/>
      <c r="D2" s="25"/>
      <c r="E2" s="25"/>
      <c r="F2" s="25"/>
    </row>
    <row r="3" spans="1:6" x14ac:dyDescent="0.25">
      <c r="A3" s="25"/>
      <c r="B3" s="25"/>
      <c r="C3" s="25"/>
      <c r="D3" s="25"/>
      <c r="E3" s="25"/>
      <c r="F3" s="25"/>
    </row>
    <row r="4" spans="1:6" x14ac:dyDescent="0.25">
      <c r="A4" s="17" t="s">
        <v>46</v>
      </c>
      <c r="B4" s="24" t="s">
        <v>52</v>
      </c>
      <c r="C4" s="25"/>
      <c r="D4" s="25"/>
      <c r="E4" s="25"/>
      <c r="F4" s="25"/>
    </row>
    <row r="5" spans="1:6" x14ac:dyDescent="0.25">
      <c r="A5" s="17" t="s">
        <v>45</v>
      </c>
      <c r="B5" s="24" t="s">
        <v>51</v>
      </c>
      <c r="C5" s="25"/>
      <c r="D5" s="25"/>
      <c r="E5" s="25"/>
      <c r="F5" s="25"/>
    </row>
    <row r="6" spans="1:6" x14ac:dyDescent="0.25">
      <c r="A6" s="17" t="s">
        <v>44</v>
      </c>
      <c r="B6" s="24" t="s">
        <v>43</v>
      </c>
      <c r="C6" s="25"/>
      <c r="D6" s="25"/>
      <c r="E6" s="25"/>
      <c r="F6" s="25"/>
    </row>
    <row r="7" spans="1:6" x14ac:dyDescent="0.25">
      <c r="A7" s="17" t="s">
        <v>42</v>
      </c>
      <c r="B7" s="24" t="s">
        <v>41</v>
      </c>
      <c r="C7" s="25"/>
      <c r="D7" s="25"/>
      <c r="E7" s="25"/>
      <c r="F7" s="25"/>
    </row>
    <row r="8" spans="1:6" x14ac:dyDescent="0.25">
      <c r="A8" s="17" t="s">
        <v>40</v>
      </c>
      <c r="B8" s="24" t="s">
        <v>37</v>
      </c>
      <c r="C8" s="25"/>
      <c r="D8" s="25"/>
      <c r="E8" s="25"/>
      <c r="F8" s="25"/>
    </row>
    <row r="9" spans="1:6" x14ac:dyDescent="0.25">
      <c r="A9" s="17" t="s">
        <v>39</v>
      </c>
      <c r="B9" s="24" t="s">
        <v>37</v>
      </c>
      <c r="C9" s="25"/>
      <c r="D9" s="25"/>
      <c r="E9" s="25"/>
      <c r="F9" s="25"/>
    </row>
    <row r="10" spans="1:6" x14ac:dyDescent="0.25">
      <c r="A10" s="17" t="s">
        <v>38</v>
      </c>
      <c r="B10" s="24" t="s">
        <v>37</v>
      </c>
      <c r="C10" s="25"/>
      <c r="D10" s="25"/>
      <c r="E10" s="25"/>
      <c r="F10" s="25"/>
    </row>
    <row r="11" spans="1:6" x14ac:dyDescent="0.25">
      <c r="A11" s="17" t="s">
        <v>36</v>
      </c>
      <c r="B11" s="24" t="s">
        <v>35</v>
      </c>
      <c r="C11" s="25"/>
      <c r="D11" s="25"/>
      <c r="E11" s="25"/>
      <c r="F11" s="25"/>
    </row>
    <row r="12" spans="1:6" x14ac:dyDescent="0.25">
      <c r="A12" s="17" t="s">
        <v>50</v>
      </c>
      <c r="B12" s="24" t="s">
        <v>49</v>
      </c>
      <c r="C12" s="25"/>
      <c r="D12" s="25"/>
      <c r="E12" s="25"/>
      <c r="F12" s="25"/>
    </row>
    <row r="13" spans="1:6" x14ac:dyDescent="0.25">
      <c r="A13" s="17" t="s">
        <v>34</v>
      </c>
      <c r="B13" s="26" t="s">
        <v>160</v>
      </c>
      <c r="C13" s="25"/>
      <c r="D13" s="25"/>
      <c r="E13" s="25"/>
      <c r="F13" s="25"/>
    </row>
    <row r="15" spans="1:6" ht="15.75" thickBot="1" x14ac:dyDescent="0.3">
      <c r="A15" s="16" t="s">
        <v>33</v>
      </c>
      <c r="B15" s="16" t="s">
        <v>32</v>
      </c>
      <c r="C15" s="15" t="s">
        <v>31</v>
      </c>
      <c r="D15" s="15" t="s">
        <v>48</v>
      </c>
    </row>
    <row r="16" spans="1:6" ht="15.75" thickTop="1" x14ac:dyDescent="0.25">
      <c r="A16" s="14">
        <v>2004</v>
      </c>
      <c r="B16" s="14" t="s">
        <v>27</v>
      </c>
      <c r="C16" s="18">
        <v>24.95</v>
      </c>
      <c r="D16" s="12" t="s">
        <v>26</v>
      </c>
    </row>
    <row r="17" spans="1:4" x14ac:dyDescent="0.25">
      <c r="A17" s="14">
        <v>2004</v>
      </c>
      <c r="B17" s="14" t="s">
        <v>30</v>
      </c>
      <c r="C17" s="18">
        <v>24.96</v>
      </c>
      <c r="D17" s="12" t="s">
        <v>26</v>
      </c>
    </row>
    <row r="18" spans="1:4" x14ac:dyDescent="0.25">
      <c r="A18" s="14">
        <v>2004</v>
      </c>
      <c r="B18" s="14" t="s">
        <v>29</v>
      </c>
      <c r="C18" s="18">
        <v>25.36</v>
      </c>
      <c r="D18" s="12" t="s">
        <v>26</v>
      </c>
    </row>
    <row r="19" spans="1:4" x14ac:dyDescent="0.25">
      <c r="A19" s="14">
        <v>2004</v>
      </c>
      <c r="B19" s="14" t="s">
        <v>28</v>
      </c>
      <c r="C19" s="18">
        <v>25.57</v>
      </c>
      <c r="D19" s="12" t="s">
        <v>26</v>
      </c>
    </row>
    <row r="20" spans="1:4" x14ac:dyDescent="0.25">
      <c r="A20" s="14">
        <v>2005</v>
      </c>
      <c r="B20" s="14" t="s">
        <v>27</v>
      </c>
      <c r="C20" s="18">
        <v>25.87</v>
      </c>
      <c r="D20" s="12" t="s">
        <v>26</v>
      </c>
    </row>
    <row r="21" spans="1:4" x14ac:dyDescent="0.25">
      <c r="A21" s="14">
        <v>2005</v>
      </c>
      <c r="B21" s="14" t="s">
        <v>30</v>
      </c>
      <c r="C21" s="18">
        <v>25.86</v>
      </c>
      <c r="D21" s="12" t="s">
        <v>26</v>
      </c>
    </row>
    <row r="22" spans="1:4" x14ac:dyDescent="0.25">
      <c r="A22" s="14">
        <v>2005</v>
      </c>
      <c r="B22" s="14" t="s">
        <v>29</v>
      </c>
      <c r="C22" s="18">
        <v>26.05</v>
      </c>
      <c r="D22" s="12" t="s">
        <v>26</v>
      </c>
    </row>
    <row r="23" spans="1:4" x14ac:dyDescent="0.25">
      <c r="A23" s="14">
        <v>2005</v>
      </c>
      <c r="B23" s="14" t="s">
        <v>28</v>
      </c>
      <c r="C23" s="18">
        <v>26.46</v>
      </c>
      <c r="D23" s="12" t="s">
        <v>26</v>
      </c>
    </row>
    <row r="24" spans="1:4" x14ac:dyDescent="0.25">
      <c r="A24" s="14">
        <v>2006</v>
      </c>
      <c r="B24" s="14" t="s">
        <v>27</v>
      </c>
      <c r="C24" s="18">
        <v>26.86</v>
      </c>
      <c r="D24" s="12" t="s">
        <v>26</v>
      </c>
    </row>
    <row r="25" spans="1:4" x14ac:dyDescent="0.25">
      <c r="A25" s="14">
        <v>2006</v>
      </c>
      <c r="B25" s="14" t="s">
        <v>30</v>
      </c>
      <c r="C25" s="18">
        <v>26.86</v>
      </c>
      <c r="D25" s="12" t="s">
        <v>26</v>
      </c>
    </row>
    <row r="26" spans="1:4" x14ac:dyDescent="0.25">
      <c r="A26" s="14">
        <v>2006</v>
      </c>
      <c r="B26" s="14" t="s">
        <v>29</v>
      </c>
      <c r="C26" s="18">
        <v>27.31</v>
      </c>
      <c r="D26" s="12" t="s">
        <v>26</v>
      </c>
    </row>
    <row r="27" spans="1:4" x14ac:dyDescent="0.25">
      <c r="A27" s="14">
        <v>2006</v>
      </c>
      <c r="B27" s="14" t="s">
        <v>28</v>
      </c>
      <c r="C27" s="18">
        <v>27.54</v>
      </c>
      <c r="D27" s="12" t="s">
        <v>26</v>
      </c>
    </row>
    <row r="28" spans="1:4" x14ac:dyDescent="0.25">
      <c r="A28" s="14">
        <v>2007</v>
      </c>
      <c r="B28" s="14" t="s">
        <v>27</v>
      </c>
      <c r="C28" s="18">
        <v>27.82</v>
      </c>
      <c r="D28" s="12" t="s">
        <v>26</v>
      </c>
    </row>
    <row r="29" spans="1:4" x14ac:dyDescent="0.25">
      <c r="A29" s="14">
        <v>2007</v>
      </c>
      <c r="B29" s="14" t="s">
        <v>30</v>
      </c>
      <c r="C29" s="18">
        <v>27.75</v>
      </c>
      <c r="D29" s="12" t="s">
        <v>26</v>
      </c>
    </row>
    <row r="30" spans="1:4" x14ac:dyDescent="0.25">
      <c r="A30" s="14">
        <v>2007</v>
      </c>
      <c r="B30" s="14" t="s">
        <v>29</v>
      </c>
      <c r="C30" s="18">
        <v>28.03</v>
      </c>
      <c r="D30" s="12" t="s">
        <v>26</v>
      </c>
    </row>
    <row r="31" spans="1:4" x14ac:dyDescent="0.25">
      <c r="A31" s="14">
        <v>2007</v>
      </c>
      <c r="B31" s="14" t="s">
        <v>28</v>
      </c>
      <c r="C31" s="18">
        <v>28.11</v>
      </c>
      <c r="D31" s="12" t="s">
        <v>26</v>
      </c>
    </row>
    <row r="32" spans="1:4" x14ac:dyDescent="0.25">
      <c r="A32" s="14">
        <v>2008</v>
      </c>
      <c r="B32" s="14" t="s">
        <v>27</v>
      </c>
      <c r="C32" s="18">
        <v>28.46</v>
      </c>
      <c r="D32" s="12" t="s">
        <v>26</v>
      </c>
    </row>
    <row r="33" spans="1:4" x14ac:dyDescent="0.25">
      <c r="A33" s="14">
        <v>2008</v>
      </c>
      <c r="B33" s="14" t="s">
        <v>30</v>
      </c>
      <c r="C33" s="18">
        <v>28.48</v>
      </c>
      <c r="D33" s="12" t="s">
        <v>26</v>
      </c>
    </row>
    <row r="34" spans="1:4" x14ac:dyDescent="0.25">
      <c r="A34" s="14">
        <v>2008</v>
      </c>
      <c r="B34" s="14" t="s">
        <v>29</v>
      </c>
      <c r="C34" s="18">
        <v>28.87</v>
      </c>
      <c r="D34" s="12" t="s">
        <v>26</v>
      </c>
    </row>
    <row r="35" spans="1:4" x14ac:dyDescent="0.25">
      <c r="A35" s="14">
        <v>2008</v>
      </c>
      <c r="B35" s="14" t="s">
        <v>28</v>
      </c>
      <c r="C35" s="18">
        <v>29.18</v>
      </c>
      <c r="D35" s="12" t="s">
        <v>26</v>
      </c>
    </row>
    <row r="36" spans="1:4" x14ac:dyDescent="0.25">
      <c r="A36" s="14">
        <v>2009</v>
      </c>
      <c r="B36" s="14" t="s">
        <v>27</v>
      </c>
      <c r="C36" s="18">
        <v>29.39</v>
      </c>
      <c r="D36" s="12" t="s">
        <v>26</v>
      </c>
    </row>
    <row r="37" spans="1:4" x14ac:dyDescent="0.25">
      <c r="A37" s="14">
        <v>2009</v>
      </c>
      <c r="B37" s="14" t="s">
        <v>30</v>
      </c>
      <c r="C37" s="18">
        <v>29.31</v>
      </c>
      <c r="D37" s="12" t="s">
        <v>26</v>
      </c>
    </row>
    <row r="38" spans="1:4" x14ac:dyDescent="0.25">
      <c r="A38" s="14">
        <v>2009</v>
      </c>
      <c r="B38" s="14" t="s">
        <v>29</v>
      </c>
      <c r="C38" s="18">
        <v>29.4</v>
      </c>
      <c r="D38" s="12" t="s">
        <v>26</v>
      </c>
    </row>
    <row r="39" spans="1:4" x14ac:dyDescent="0.25">
      <c r="A39" s="14">
        <v>2009</v>
      </c>
      <c r="B39" s="14" t="s">
        <v>28</v>
      </c>
      <c r="C39" s="18">
        <v>29.37</v>
      </c>
      <c r="D39" s="12" t="s">
        <v>26</v>
      </c>
    </row>
    <row r="40" spans="1:4" x14ac:dyDescent="0.25">
      <c r="A40" s="14">
        <v>2010</v>
      </c>
      <c r="B40" s="14" t="s">
        <v>27</v>
      </c>
      <c r="C40" s="18">
        <v>29.71</v>
      </c>
      <c r="D40" s="12" t="s">
        <v>26</v>
      </c>
    </row>
    <row r="41" spans="1:4" x14ac:dyDescent="0.25">
      <c r="A41" s="14">
        <v>2010</v>
      </c>
      <c r="B41" s="14" t="s">
        <v>30</v>
      </c>
      <c r="C41" s="18">
        <v>29.52</v>
      </c>
      <c r="D41" s="12" t="s">
        <v>26</v>
      </c>
    </row>
    <row r="42" spans="1:4" x14ac:dyDescent="0.25">
      <c r="A42" s="14">
        <v>2010</v>
      </c>
      <c r="B42" s="14" t="s">
        <v>29</v>
      </c>
      <c r="C42" s="18">
        <v>29.75</v>
      </c>
      <c r="D42" s="12" t="s">
        <v>26</v>
      </c>
    </row>
    <row r="43" spans="1:4" x14ac:dyDescent="0.25">
      <c r="A43" s="14">
        <v>2010</v>
      </c>
      <c r="B43" s="14" t="s">
        <v>28</v>
      </c>
      <c r="C43" s="18">
        <v>29.72</v>
      </c>
      <c r="D43" s="12" t="s">
        <v>26</v>
      </c>
    </row>
    <row r="44" spans="1:4" x14ac:dyDescent="0.25">
      <c r="A44" s="14">
        <v>2011</v>
      </c>
      <c r="B44" s="14" t="s">
        <v>27</v>
      </c>
      <c r="C44" s="18">
        <v>30.07</v>
      </c>
      <c r="D44" s="12" t="s">
        <v>26</v>
      </c>
    </row>
    <row r="45" spans="1:4" x14ac:dyDescent="0.25">
      <c r="A45" s="14">
        <v>2011</v>
      </c>
      <c r="B45" s="14" t="s">
        <v>30</v>
      </c>
      <c r="C45" s="18">
        <v>29.98</v>
      </c>
      <c r="D45" s="12" t="s">
        <v>26</v>
      </c>
    </row>
    <row r="46" spans="1:4" x14ac:dyDescent="0.25">
      <c r="A46" s="14">
        <v>2011</v>
      </c>
      <c r="B46" s="14" t="s">
        <v>29</v>
      </c>
      <c r="C46" s="18">
        <v>30.11</v>
      </c>
      <c r="D46" s="12" t="s">
        <v>26</v>
      </c>
    </row>
    <row r="47" spans="1:4" x14ac:dyDescent="0.25">
      <c r="A47" s="14">
        <v>2011</v>
      </c>
      <c r="B47" s="14" t="s">
        <v>28</v>
      </c>
      <c r="C47" s="18">
        <v>30.45</v>
      </c>
      <c r="D47" s="12" t="s">
        <v>26</v>
      </c>
    </row>
    <row r="48" spans="1:4" x14ac:dyDescent="0.25">
      <c r="A48" s="14">
        <v>2012</v>
      </c>
      <c r="B48" s="14" t="s">
        <v>27</v>
      </c>
      <c r="C48" s="18">
        <v>30.69</v>
      </c>
      <c r="D48" s="12" t="s">
        <v>26</v>
      </c>
    </row>
    <row r="49" spans="1:4" x14ac:dyDescent="0.25">
      <c r="A49" s="14">
        <v>2012</v>
      </c>
      <c r="B49" s="14" t="s">
        <v>30</v>
      </c>
      <c r="C49" s="18">
        <v>30.61</v>
      </c>
      <c r="D49" s="12" t="s">
        <v>26</v>
      </c>
    </row>
    <row r="50" spans="1:4" x14ac:dyDescent="0.25">
      <c r="A50" s="14">
        <v>2012</v>
      </c>
      <c r="B50" s="14" t="s">
        <v>29</v>
      </c>
      <c r="C50" s="18">
        <v>30.78</v>
      </c>
      <c r="D50" s="12" t="s">
        <v>26</v>
      </c>
    </row>
    <row r="51" spans="1:4" x14ac:dyDescent="0.25">
      <c r="A51" s="14">
        <v>2012</v>
      </c>
      <c r="B51" s="14" t="s">
        <v>28</v>
      </c>
      <c r="C51" s="18">
        <v>30.82</v>
      </c>
      <c r="D51" s="12" t="s">
        <v>26</v>
      </c>
    </row>
    <row r="52" spans="1:4" x14ac:dyDescent="0.25">
      <c r="A52" s="14">
        <v>2013</v>
      </c>
      <c r="B52" s="14" t="s">
        <v>27</v>
      </c>
      <c r="C52" s="18">
        <v>31.09</v>
      </c>
      <c r="D52" s="12" t="s">
        <v>26</v>
      </c>
    </row>
    <row r="53" spans="1:4" x14ac:dyDescent="0.25">
      <c r="A53" s="14">
        <v>2013</v>
      </c>
      <c r="B53" s="14" t="s">
        <v>30</v>
      </c>
      <c r="C53" s="18">
        <v>31</v>
      </c>
      <c r="D53" s="12" t="s">
        <v>26</v>
      </c>
    </row>
    <row r="54" spans="1:4" x14ac:dyDescent="0.25">
      <c r="A54" s="14">
        <v>2013</v>
      </c>
      <c r="B54" s="14" t="s">
        <v>29</v>
      </c>
      <c r="C54" s="18">
        <v>31.16</v>
      </c>
      <c r="D54" s="12" t="s">
        <v>26</v>
      </c>
    </row>
    <row r="55" spans="1:4" x14ac:dyDescent="0.25">
      <c r="A55" s="14">
        <v>2013</v>
      </c>
      <c r="B55" s="14" t="s">
        <v>28</v>
      </c>
      <c r="C55" s="18">
        <v>31.57</v>
      </c>
      <c r="D55" s="12" t="s">
        <v>26</v>
      </c>
    </row>
    <row r="56" spans="1:4" x14ac:dyDescent="0.25">
      <c r="A56" s="14">
        <v>2014</v>
      </c>
      <c r="B56" s="14" t="s">
        <v>27</v>
      </c>
      <c r="C56" s="18">
        <v>31.93</v>
      </c>
      <c r="D56" s="12" t="s">
        <v>26</v>
      </c>
    </row>
    <row r="57" spans="1:4" x14ac:dyDescent="0.25">
      <c r="A57" s="14">
        <v>2014</v>
      </c>
      <c r="B57" s="14" t="s">
        <v>30</v>
      </c>
      <c r="C57" s="18">
        <v>31.96</v>
      </c>
      <c r="D57" s="12" t="s">
        <v>26</v>
      </c>
    </row>
    <row r="58" spans="1:4" x14ac:dyDescent="0.25">
      <c r="A58" s="14">
        <v>2014</v>
      </c>
      <c r="B58" s="14" t="s">
        <v>29</v>
      </c>
      <c r="C58" s="18">
        <v>32.200000000000003</v>
      </c>
      <c r="D58" s="12" t="s">
        <v>26</v>
      </c>
    </row>
    <row r="59" spans="1:4" x14ac:dyDescent="0.25">
      <c r="A59" s="14">
        <v>2014</v>
      </c>
      <c r="B59" s="14" t="s">
        <v>28</v>
      </c>
      <c r="C59" s="18">
        <v>33.130000000000003</v>
      </c>
      <c r="D59" s="12" t="s">
        <v>26</v>
      </c>
    </row>
    <row r="60" spans="1:4" x14ac:dyDescent="0.25">
      <c r="A60" s="14">
        <v>2015</v>
      </c>
      <c r="B60" s="14" t="s">
        <v>27</v>
      </c>
      <c r="C60" s="18">
        <v>33.49</v>
      </c>
      <c r="D60" s="12" t="s">
        <v>26</v>
      </c>
    </row>
    <row r="61" spans="1:4" x14ac:dyDescent="0.25">
      <c r="A61" s="14">
        <v>2015</v>
      </c>
      <c r="B61" s="14" t="s">
        <v>30</v>
      </c>
      <c r="C61" s="18">
        <v>33.19</v>
      </c>
      <c r="D61" s="12" t="s">
        <v>26</v>
      </c>
    </row>
    <row r="62" spans="1:4" x14ac:dyDescent="0.25">
      <c r="A62" s="14">
        <v>2015</v>
      </c>
      <c r="B62" s="14" t="s">
        <v>29</v>
      </c>
      <c r="C62" s="18">
        <v>33.369999999999997</v>
      </c>
      <c r="D62" s="12" t="s">
        <v>26</v>
      </c>
    </row>
    <row r="63" spans="1:4" x14ac:dyDescent="0.25">
      <c r="A63" s="14">
        <v>2015</v>
      </c>
      <c r="B63" s="14" t="s">
        <v>28</v>
      </c>
      <c r="C63" s="18">
        <v>33.58</v>
      </c>
      <c r="D63" s="12" t="s">
        <v>26</v>
      </c>
    </row>
    <row r="64" spans="1:4" x14ac:dyDescent="0.25">
      <c r="A64" s="14">
        <v>2016</v>
      </c>
      <c r="B64" s="14" t="s">
        <v>27</v>
      </c>
      <c r="C64" s="18">
        <v>33.94</v>
      </c>
      <c r="D64" s="12" t="s">
        <v>26</v>
      </c>
    </row>
    <row r="65" spans="1:4" x14ac:dyDescent="0.25">
      <c r="A65" s="14">
        <v>2016</v>
      </c>
      <c r="B65" s="14" t="s">
        <v>30</v>
      </c>
      <c r="C65" s="18">
        <v>34.049999999999997</v>
      </c>
      <c r="D65" s="12" t="s">
        <v>26</v>
      </c>
    </row>
    <row r="66" spans="1:4" x14ac:dyDescent="0.25">
      <c r="A66" s="14">
        <v>2016</v>
      </c>
      <c r="B66" s="14" t="s">
        <v>29</v>
      </c>
      <c r="C66" s="18">
        <v>34.15</v>
      </c>
      <c r="D66" s="12" t="s">
        <v>26</v>
      </c>
    </row>
    <row r="67" spans="1:4" x14ac:dyDescent="0.25">
      <c r="A67" s="14">
        <v>2016</v>
      </c>
      <c r="B67" s="14" t="s">
        <v>28</v>
      </c>
      <c r="C67" s="18">
        <v>34.9</v>
      </c>
      <c r="D67" s="12" t="s">
        <v>26</v>
      </c>
    </row>
    <row r="68" spans="1:4" x14ac:dyDescent="0.25">
      <c r="A68" s="14">
        <v>2017</v>
      </c>
      <c r="B68" s="14" t="s">
        <v>27</v>
      </c>
      <c r="C68" s="18">
        <v>35.28</v>
      </c>
      <c r="D68" s="12" t="s">
        <v>26</v>
      </c>
    </row>
    <row r="69" spans="1:4" x14ac:dyDescent="0.25">
      <c r="A69" s="14">
        <v>2017</v>
      </c>
      <c r="B69" s="14" t="s">
        <v>30</v>
      </c>
      <c r="C69" s="18">
        <v>35.28</v>
      </c>
      <c r="D69" s="12" t="s">
        <v>26</v>
      </c>
    </row>
    <row r="70" spans="1:4" x14ac:dyDescent="0.25">
      <c r="A70" s="14">
        <v>2017</v>
      </c>
      <c r="B70" s="14" t="s">
        <v>29</v>
      </c>
      <c r="C70" s="18">
        <v>35.64</v>
      </c>
      <c r="D70" s="12" t="s">
        <v>26</v>
      </c>
    </row>
    <row r="71" spans="1:4" x14ac:dyDescent="0.25">
      <c r="A71" s="14">
        <v>2017</v>
      </c>
      <c r="B71" s="14" t="s">
        <v>28</v>
      </c>
      <c r="C71" s="18">
        <v>35.869999999999997</v>
      </c>
      <c r="D71" s="12" t="s">
        <v>26</v>
      </c>
    </row>
    <row r="72" spans="1:4" x14ac:dyDescent="0.25">
      <c r="A72" s="14">
        <v>2018</v>
      </c>
      <c r="B72" s="14" t="s">
        <v>27</v>
      </c>
      <c r="C72" s="18">
        <v>36.32</v>
      </c>
      <c r="D72" s="12" t="s">
        <v>26</v>
      </c>
    </row>
    <row r="73" spans="1:4" x14ac:dyDescent="0.25">
      <c r="A73" s="14">
        <v>2018</v>
      </c>
      <c r="B73" s="14" t="s">
        <v>30</v>
      </c>
      <c r="C73" s="18">
        <v>36.22</v>
      </c>
      <c r="D73" s="12" t="s">
        <v>26</v>
      </c>
    </row>
    <row r="74" spans="1:4" x14ac:dyDescent="0.25">
      <c r="A74" s="14">
        <v>2018</v>
      </c>
      <c r="B74" s="14" t="s">
        <v>29</v>
      </c>
      <c r="C74" s="18">
        <v>36.630000000000003</v>
      </c>
      <c r="D74" s="13">
        <v>1.4</v>
      </c>
    </row>
    <row r="75" spans="1:4" x14ac:dyDescent="0.25">
      <c r="A75" s="14">
        <v>2018</v>
      </c>
      <c r="B75" s="14" t="s">
        <v>28</v>
      </c>
      <c r="C75" s="18">
        <v>36.32</v>
      </c>
      <c r="D75" s="13">
        <v>1.3</v>
      </c>
    </row>
    <row r="76" spans="1:4" x14ac:dyDescent="0.25">
      <c r="A76" s="14">
        <v>2019</v>
      </c>
      <c r="B76" s="14" t="s">
        <v>27</v>
      </c>
      <c r="C76" s="18">
        <v>36.770000000000003</v>
      </c>
      <c r="D76" s="13">
        <v>1.3</v>
      </c>
    </row>
    <row r="77" spans="1:4" x14ac:dyDescent="0.25">
      <c r="A77" s="14">
        <v>2019</v>
      </c>
      <c r="B77" s="14" t="s">
        <v>30</v>
      </c>
      <c r="C77" s="18">
        <v>36.61</v>
      </c>
      <c r="D77" s="13">
        <v>1.3</v>
      </c>
    </row>
    <row r="78" spans="1:4" x14ac:dyDescent="0.25">
      <c r="A78" s="14">
        <v>2019</v>
      </c>
      <c r="B78" s="14" t="s">
        <v>29</v>
      </c>
      <c r="C78" s="18">
        <v>37.03</v>
      </c>
      <c r="D78" s="13">
        <v>1.3</v>
      </c>
    </row>
    <row r="79" spans="1:4" x14ac:dyDescent="0.25">
      <c r="A79" s="14">
        <v>2019</v>
      </c>
      <c r="B79" s="14" t="s">
        <v>28</v>
      </c>
      <c r="C79" s="18">
        <v>37.1</v>
      </c>
      <c r="D79" s="13">
        <v>1.2</v>
      </c>
    </row>
    <row r="80" spans="1:4" x14ac:dyDescent="0.25">
      <c r="A80" s="14">
        <v>2020</v>
      </c>
      <c r="B80" s="14" t="s">
        <v>27</v>
      </c>
      <c r="C80" s="18">
        <v>37.729999999999997</v>
      </c>
      <c r="D80" s="13">
        <v>1.2</v>
      </c>
    </row>
    <row r="81" spans="1:3" x14ac:dyDescent="0.25">
      <c r="A81" s="14">
        <v>2020</v>
      </c>
      <c r="B81" s="14" t="s">
        <v>30</v>
      </c>
      <c r="C81" s="12">
        <v>38.200000000000003</v>
      </c>
    </row>
    <row r="82" spans="1:3" x14ac:dyDescent="0.25">
      <c r="A82" s="14">
        <v>2020</v>
      </c>
      <c r="B82" s="14" t="s">
        <v>29</v>
      </c>
      <c r="C82" s="12">
        <v>38.26</v>
      </c>
    </row>
    <row r="83" spans="1:3" x14ac:dyDescent="0.25">
      <c r="A83" s="14">
        <v>2020</v>
      </c>
      <c r="B83" s="14" t="s">
        <v>28</v>
      </c>
      <c r="C83" s="12">
        <v>38.6</v>
      </c>
    </row>
    <row r="84" spans="1:3" x14ac:dyDescent="0.25">
      <c r="A84" s="14">
        <v>2021</v>
      </c>
      <c r="B84" s="14" t="s">
        <v>27</v>
      </c>
      <c r="C84" s="12">
        <v>39.01</v>
      </c>
    </row>
    <row r="85" spans="1:3" x14ac:dyDescent="0.25">
      <c r="A85" s="14">
        <v>2021</v>
      </c>
      <c r="B85" s="14" t="s">
        <v>30</v>
      </c>
      <c r="C85" s="12">
        <v>38.909999999999997</v>
      </c>
    </row>
    <row r="86" spans="1:3" x14ac:dyDescent="0.25">
      <c r="A86" s="14">
        <v>2021</v>
      </c>
      <c r="B86" s="14" t="s">
        <v>29</v>
      </c>
      <c r="C86" s="12">
        <v>39.549999999999997</v>
      </c>
    </row>
    <row r="87" spans="1:3" x14ac:dyDescent="0.25">
      <c r="A87" s="14">
        <v>2021</v>
      </c>
      <c r="B87" s="14" t="s">
        <v>28</v>
      </c>
      <c r="C87" s="12">
        <v>40.35</v>
      </c>
    </row>
    <row r="88" spans="1:3" x14ac:dyDescent="0.25">
      <c r="A88" s="14">
        <v>2022</v>
      </c>
      <c r="B88" s="14" t="s">
        <v>27</v>
      </c>
      <c r="C88" s="12">
        <v>40.9</v>
      </c>
    </row>
    <row r="89" spans="1:3" x14ac:dyDescent="0.25">
      <c r="A89" s="14">
        <v>2022</v>
      </c>
      <c r="B89" s="14" t="s">
        <v>30</v>
      </c>
      <c r="C89" s="12">
        <v>41.03</v>
      </c>
    </row>
    <row r="90" spans="1:3" x14ac:dyDescent="0.25">
      <c r="A90" s="14">
        <v>2022</v>
      </c>
      <c r="B90" s="14" t="s">
        <v>29</v>
      </c>
      <c r="C90" s="12">
        <v>41.86</v>
      </c>
    </row>
    <row r="91" spans="1:3" x14ac:dyDescent="0.25">
      <c r="A91" s="14">
        <v>2022</v>
      </c>
      <c r="B91" s="14" t="s">
        <v>28</v>
      </c>
      <c r="C91" s="12">
        <v>42.48</v>
      </c>
    </row>
    <row r="92" spans="1:3" x14ac:dyDescent="0.25">
      <c r="A92" s="14">
        <v>2023</v>
      </c>
      <c r="B92" s="14" t="s">
        <v>27</v>
      </c>
      <c r="C92" s="12">
        <v>43.07</v>
      </c>
    </row>
    <row r="93" spans="1:3" x14ac:dyDescent="0.25">
      <c r="A93" s="14">
        <v>2023</v>
      </c>
      <c r="B93" s="14" t="s">
        <v>30</v>
      </c>
      <c r="C93" s="12">
        <v>43.26</v>
      </c>
    </row>
    <row r="94" spans="1:3" x14ac:dyDescent="0.25">
      <c r="A94" s="14">
        <v>2023</v>
      </c>
      <c r="B94" s="14" t="s">
        <v>29</v>
      </c>
      <c r="C94" s="12">
        <v>43.93</v>
      </c>
    </row>
    <row r="95" spans="1:3" x14ac:dyDescent="0.25">
      <c r="A95" s="14">
        <v>2023</v>
      </c>
      <c r="B95" s="14" t="s">
        <v>28</v>
      </c>
      <c r="C95" s="12">
        <v>45.42</v>
      </c>
    </row>
    <row r="96" spans="1:3" x14ac:dyDescent="0.25">
      <c r="A96" s="14">
        <v>2024</v>
      </c>
      <c r="B96" s="14" t="s">
        <v>27</v>
      </c>
      <c r="C96" s="12">
        <v>46.14</v>
      </c>
    </row>
    <row r="97" spans="1:3" x14ac:dyDescent="0.25">
      <c r="A97" s="14">
        <v>2024</v>
      </c>
      <c r="B97" s="14" t="s">
        <v>30</v>
      </c>
      <c r="C97" s="12">
        <v>46.21</v>
      </c>
    </row>
    <row r="98" spans="1:3" x14ac:dyDescent="0.25">
      <c r="A98" s="14">
        <v>2024</v>
      </c>
      <c r="B98" s="14" t="s">
        <v>29</v>
      </c>
      <c r="C98" s="12">
        <v>46.84</v>
      </c>
    </row>
    <row r="99" spans="1:3" x14ac:dyDescent="0.25">
      <c r="A99" s="14">
        <v>2024</v>
      </c>
      <c r="B99" s="14" t="s">
        <v>28</v>
      </c>
      <c r="C99" s="12">
        <v>47.2</v>
      </c>
    </row>
    <row r="100" spans="1:3" x14ac:dyDescent="0.25">
      <c r="A100" s="14">
        <v>2025</v>
      </c>
      <c r="B100" s="14" t="s">
        <v>27</v>
      </c>
      <c r="C100" s="12">
        <v>47.92</v>
      </c>
    </row>
    <row r="101" spans="1:3" x14ac:dyDescent="0.25">
      <c r="A101" s="14">
        <v>2025</v>
      </c>
      <c r="B101" s="14" t="s">
        <v>30</v>
      </c>
      <c r="C101" s="12">
        <v>48.05</v>
      </c>
    </row>
  </sheetData>
  <mergeCells count="13">
    <mergeCell ref="A1:F1"/>
    <mergeCell ref="A2:F2"/>
    <mergeCell ref="A3:F3"/>
    <mergeCell ref="B4:F4"/>
    <mergeCell ref="B5:F5"/>
    <mergeCell ref="B11:F11"/>
    <mergeCell ref="B12:F12"/>
    <mergeCell ref="B13:F13"/>
    <mergeCell ref="B6:F6"/>
    <mergeCell ref="B7:F7"/>
    <mergeCell ref="B8:F8"/>
    <mergeCell ref="B9:F9"/>
    <mergeCell ref="B10:F10"/>
  </mergeCells>
  <phoneticPr fontId="20" type="noConversion"/>
  <pageMargins left="0.7" right="0.7" top="0.75" bottom="0.75" header="0.3" footer="0.3"/>
  <pageSetup orientation="landscape"/>
  <headerFooter>
    <oddHeader>&amp;CBureau of Labor Statistics</oddHeader>
    <oddFooter>&amp;LSource: Bureau of Labor Statistics&amp;RGenerated on: July 11, 2020 (07:38:59 PM)</oddFooter>
  </headerFooter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0FE7E-7D46-4367-A9C9-AF9B131AED4D}">
  <sheetPr>
    <tabColor theme="8" tint="-0.249977111117893"/>
  </sheetPr>
  <dimension ref="A1:CX2"/>
  <sheetViews>
    <sheetView workbookViewId="0">
      <selection sqref="A1:AQ2"/>
    </sheetView>
  </sheetViews>
  <sheetFormatPr defaultRowHeight="15" x14ac:dyDescent="0.25"/>
  <cols>
    <col min="1" max="1" width="24.85546875" customWidth="1"/>
    <col min="2" max="26" width="10.140625" customWidth="1"/>
    <col min="27" max="27" width="13.5703125" customWidth="1"/>
    <col min="28" max="43" width="10.140625" customWidth="1"/>
  </cols>
  <sheetData>
    <row r="1" spans="1:102" s="88" customFormat="1" x14ac:dyDescent="0.25">
      <c r="A1" s="87" t="s">
        <v>106</v>
      </c>
      <c r="B1" s="88" t="s">
        <v>107</v>
      </c>
      <c r="C1" s="89" t="s">
        <v>108</v>
      </c>
      <c r="D1" s="90" t="s">
        <v>109</v>
      </c>
      <c r="E1" s="88" t="s">
        <v>110</v>
      </c>
      <c r="F1" s="88" t="s">
        <v>111</v>
      </c>
      <c r="G1" s="88" t="s">
        <v>112</v>
      </c>
      <c r="H1" s="88" t="s">
        <v>113</v>
      </c>
      <c r="I1" s="88" t="s">
        <v>114</v>
      </c>
      <c r="J1" s="88" t="s">
        <v>115</v>
      </c>
      <c r="K1" s="88" t="s">
        <v>116</v>
      </c>
      <c r="L1" s="89" t="s">
        <v>117</v>
      </c>
      <c r="M1" s="90" t="s">
        <v>118</v>
      </c>
      <c r="N1" s="88" t="s">
        <v>119</v>
      </c>
      <c r="O1" s="89" t="s">
        <v>120</v>
      </c>
      <c r="P1" s="90" t="s">
        <v>121</v>
      </c>
      <c r="Q1" s="89" t="s">
        <v>122</v>
      </c>
      <c r="R1" s="90" t="s">
        <v>123</v>
      </c>
      <c r="S1" s="88" t="s">
        <v>124</v>
      </c>
      <c r="T1" s="88" t="s">
        <v>125</v>
      </c>
      <c r="U1" s="88" t="s">
        <v>126</v>
      </c>
      <c r="V1" s="88" t="s">
        <v>127</v>
      </c>
      <c r="W1" s="88" t="s">
        <v>128</v>
      </c>
      <c r="X1" s="88" t="s">
        <v>129</v>
      </c>
      <c r="Y1" s="88" t="s">
        <v>130</v>
      </c>
      <c r="Z1" s="89" t="s">
        <v>131</v>
      </c>
      <c r="AA1" s="91" t="s">
        <v>132</v>
      </c>
      <c r="AB1" s="90" t="s">
        <v>133</v>
      </c>
      <c r="AC1" s="88" t="s">
        <v>134</v>
      </c>
      <c r="AD1" s="88" t="s">
        <v>135</v>
      </c>
      <c r="AE1" s="88" t="s">
        <v>136</v>
      </c>
      <c r="AF1" s="88" t="s">
        <v>137</v>
      </c>
      <c r="AG1" s="88" t="s">
        <v>138</v>
      </c>
      <c r="AH1" s="88" t="s">
        <v>139</v>
      </c>
      <c r="AI1" s="88" t="s">
        <v>140</v>
      </c>
      <c r="AJ1" s="88" t="s">
        <v>141</v>
      </c>
      <c r="AK1" s="88" t="s">
        <v>142</v>
      </c>
      <c r="AL1" s="88" t="s">
        <v>143</v>
      </c>
      <c r="AM1" s="88" t="s">
        <v>144</v>
      </c>
      <c r="AN1" s="88" t="s">
        <v>145</v>
      </c>
      <c r="AO1" s="88" t="s">
        <v>146</v>
      </c>
      <c r="AP1" s="88" t="s">
        <v>147</v>
      </c>
      <c r="AQ1" s="88" t="s">
        <v>148</v>
      </c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  <c r="BS1"/>
      <c r="BT1"/>
      <c r="BU1"/>
      <c r="BV1"/>
      <c r="BW1"/>
      <c r="BX1"/>
      <c r="BY1"/>
      <c r="BZ1"/>
      <c r="CA1"/>
      <c r="CB1"/>
      <c r="CC1"/>
      <c r="CD1"/>
      <c r="CE1"/>
      <c r="CF1"/>
      <c r="CG1"/>
      <c r="CH1"/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</row>
    <row r="2" spans="1:102" ht="15.75" thickBot="1" x14ac:dyDescent="0.3">
      <c r="A2" t="s">
        <v>149</v>
      </c>
      <c r="B2">
        <v>58613297590.926033</v>
      </c>
      <c r="C2" s="92">
        <v>5697807437.1825056</v>
      </c>
      <c r="D2" s="93">
        <v>23292494974.321697</v>
      </c>
      <c r="E2" s="94">
        <v>11617861432.302874</v>
      </c>
      <c r="F2">
        <v>27069181565.180798</v>
      </c>
      <c r="G2">
        <v>117367123055.00032</v>
      </c>
      <c r="H2">
        <v>14917180117.887459</v>
      </c>
      <c r="I2">
        <v>23638691245.150448</v>
      </c>
      <c r="J2">
        <v>46374198138.921028</v>
      </c>
      <c r="K2" s="10">
        <v>15975432940.767355</v>
      </c>
      <c r="L2" s="92">
        <v>66689597764.376991</v>
      </c>
      <c r="M2" s="92">
        <v>33563865238.788544</v>
      </c>
      <c r="N2">
        <v>45626179980.809013</v>
      </c>
      <c r="O2" s="92">
        <v>5480030624.9202452</v>
      </c>
      <c r="P2" s="95">
        <v>23022242479.970264</v>
      </c>
      <c r="Q2" s="92">
        <v>20406374931.714012</v>
      </c>
      <c r="R2" s="95">
        <v>10435199450.057831</v>
      </c>
      <c r="S2" s="96">
        <v>93757708450.089081</v>
      </c>
      <c r="T2">
        <v>137143493536.59195</v>
      </c>
      <c r="U2">
        <v>34612307922.815269</v>
      </c>
      <c r="V2">
        <v>87838703709.72522</v>
      </c>
      <c r="W2">
        <v>70697962765.669174</v>
      </c>
      <c r="X2">
        <v>77821701251.876846</v>
      </c>
      <c r="Y2" s="96">
        <v>87591009309.779861</v>
      </c>
      <c r="Z2" s="92">
        <v>59184564338.153259</v>
      </c>
      <c r="AA2" s="92">
        <v>13910480927.834927</v>
      </c>
      <c r="AB2" s="92">
        <v>38827354620.523598</v>
      </c>
      <c r="AC2">
        <v>585026318908.2179</v>
      </c>
      <c r="AD2" s="96">
        <v>1220954590384.6421</v>
      </c>
      <c r="AE2">
        <v>422491195292.15234</v>
      </c>
      <c r="AF2">
        <v>414930502950.37433</v>
      </c>
      <c r="AG2" s="96">
        <v>189445158176.48669</v>
      </c>
      <c r="AH2" s="96">
        <v>71586830028.391342</v>
      </c>
      <c r="AI2">
        <v>498940554032.81586</v>
      </c>
      <c r="AJ2">
        <v>816358619422.42139</v>
      </c>
      <c r="AK2">
        <v>163642512533.11398</v>
      </c>
      <c r="AL2">
        <v>1633572848655.834</v>
      </c>
      <c r="AM2">
        <v>1892338824906.1965</v>
      </c>
      <c r="AN2">
        <v>196154953434.77136</v>
      </c>
      <c r="AO2">
        <v>1296543825801.9883</v>
      </c>
      <c r="AP2">
        <v>353526834460.74396</v>
      </c>
      <c r="AQ2" s="97">
        <v>8006921046.9608421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C27DF-B76C-4128-BEDA-C952593F02B8}">
  <sheetPr>
    <tabColor rgb="FF92D050"/>
  </sheetPr>
  <dimension ref="A1:AB22"/>
  <sheetViews>
    <sheetView workbookViewId="0">
      <selection activeCell="F35" sqref="F35:G35"/>
    </sheetView>
  </sheetViews>
  <sheetFormatPr defaultRowHeight="15" x14ac:dyDescent="0.25"/>
  <cols>
    <col min="1" max="1" width="41.28515625" customWidth="1"/>
    <col min="4" max="4" width="9.140625" customWidth="1"/>
  </cols>
  <sheetData>
    <row r="1" spans="1:22" x14ac:dyDescent="0.25">
      <c r="A1" t="s">
        <v>54</v>
      </c>
    </row>
    <row r="2" spans="1:22" x14ac:dyDescent="0.25">
      <c r="A2" t="s">
        <v>55</v>
      </c>
    </row>
    <row r="3" spans="1:22" x14ac:dyDescent="0.25">
      <c r="A3" t="s">
        <v>150</v>
      </c>
    </row>
    <row r="4" spans="1:22" x14ac:dyDescent="0.25">
      <c r="A4" t="s">
        <v>151</v>
      </c>
    </row>
    <row r="6" spans="1:22" x14ac:dyDescent="0.25">
      <c r="A6" t="s">
        <v>56</v>
      </c>
    </row>
    <row r="7" spans="1:22" x14ac:dyDescent="0.25">
      <c r="A7" t="s">
        <v>57</v>
      </c>
    </row>
    <row r="9" spans="1:22" x14ac:dyDescent="0.25">
      <c r="A9" s="2" t="s">
        <v>58</v>
      </c>
      <c r="B9" s="9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</row>
    <row r="10" spans="1:22" x14ac:dyDescent="0.25">
      <c r="B10">
        <v>2004</v>
      </c>
      <c r="C10">
        <v>2005</v>
      </c>
      <c r="D10">
        <v>2006</v>
      </c>
      <c r="E10">
        <v>2007</v>
      </c>
      <c r="F10">
        <v>2008</v>
      </c>
      <c r="G10">
        <v>2009</v>
      </c>
      <c r="H10">
        <v>2010</v>
      </c>
      <c r="I10">
        <v>2011</v>
      </c>
      <c r="J10">
        <v>2012</v>
      </c>
      <c r="K10">
        <v>2013</v>
      </c>
      <c r="L10">
        <v>2014</v>
      </c>
      <c r="M10">
        <v>2015</v>
      </c>
      <c r="N10">
        <v>2016</v>
      </c>
      <c r="O10">
        <v>2017</v>
      </c>
      <c r="P10">
        <v>2018</v>
      </c>
      <c r="Q10">
        <v>2019</v>
      </c>
      <c r="R10">
        <v>2020</v>
      </c>
      <c r="S10">
        <v>2021</v>
      </c>
      <c r="T10">
        <v>2022</v>
      </c>
      <c r="U10">
        <v>2023</v>
      </c>
      <c r="V10">
        <v>2024</v>
      </c>
    </row>
    <row r="11" spans="1:22" x14ac:dyDescent="0.25">
      <c r="A11" t="s">
        <v>59</v>
      </c>
      <c r="B11">
        <f>AVERAGEIFS('BLS Comp per Hr Worked'!$C:$C,'BLS Comp per Hr Worked'!$A:$A,B10)</f>
        <v>25.21</v>
      </c>
      <c r="C11">
        <f>AVERAGEIFS('BLS Comp per Hr Worked'!$C:$C,'BLS Comp per Hr Worked'!$A:$A,C10)</f>
        <v>26.060000000000002</v>
      </c>
      <c r="D11">
        <f>AVERAGEIFS('BLS Comp per Hr Worked'!$C:$C,'BLS Comp per Hr Worked'!$A:$A,D10)</f>
        <v>27.142499999999998</v>
      </c>
      <c r="E11">
        <f>AVERAGEIFS('BLS Comp per Hr Worked'!$C:$C,'BLS Comp per Hr Worked'!$A:$A,E10)</f>
        <v>27.927499999999998</v>
      </c>
      <c r="F11">
        <f>AVERAGEIFS('BLS Comp per Hr Worked'!$C:$C,'BLS Comp per Hr Worked'!$A:$A,F10)</f>
        <v>28.747500000000002</v>
      </c>
      <c r="G11">
        <f>AVERAGEIFS('BLS Comp per Hr Worked'!$C:$C,'BLS Comp per Hr Worked'!$A:$A,G10)</f>
        <v>29.3675</v>
      </c>
      <c r="H11">
        <f>AVERAGEIFS('BLS Comp per Hr Worked'!$C:$C,'BLS Comp per Hr Worked'!$A:$A,H10)</f>
        <v>29.675000000000001</v>
      </c>
      <c r="I11">
        <f>AVERAGEIFS('BLS Comp per Hr Worked'!$C:$C,'BLS Comp per Hr Worked'!$A:$A,I10)</f>
        <v>30.1525</v>
      </c>
      <c r="J11">
        <f>AVERAGEIFS('BLS Comp per Hr Worked'!$C:$C,'BLS Comp per Hr Worked'!$A:$A,J10)</f>
        <v>30.725000000000001</v>
      </c>
      <c r="K11">
        <f>AVERAGEIFS('BLS Comp per Hr Worked'!$C:$C,'BLS Comp per Hr Worked'!$A:$A,K10)</f>
        <v>31.204999999999998</v>
      </c>
      <c r="L11">
        <f>AVERAGEIFS('BLS Comp per Hr Worked'!$C:$C,'BLS Comp per Hr Worked'!$A:$A,L10)</f>
        <v>32.305</v>
      </c>
      <c r="M11">
        <f>AVERAGEIFS('BLS Comp per Hr Worked'!$C:$C,'BLS Comp per Hr Worked'!$A:$A,M10)</f>
        <v>33.407499999999999</v>
      </c>
      <c r="N11">
        <f>AVERAGEIFS('BLS Comp per Hr Worked'!$C:$C,'BLS Comp per Hr Worked'!$A:$A,N10)</f>
        <v>34.26</v>
      </c>
      <c r="O11">
        <f>AVERAGEIFS('BLS Comp per Hr Worked'!$C:$C,'BLS Comp per Hr Worked'!$A:$A,O10)</f>
        <v>35.517499999999998</v>
      </c>
      <c r="P11">
        <f>AVERAGEIFS('BLS Comp per Hr Worked'!$C:$C,'BLS Comp per Hr Worked'!$A:$A,P10)</f>
        <v>36.372499999999995</v>
      </c>
      <c r="Q11">
        <f>AVERAGEIFS('BLS Comp per Hr Worked'!$C:$C,'BLS Comp per Hr Worked'!$A:$A,Q10)</f>
        <v>36.877499999999998</v>
      </c>
      <c r="R11">
        <f>AVERAGEIFS('BLS Comp per Hr Worked'!$C:$C,'BLS Comp per Hr Worked'!$A:$A,R10)</f>
        <v>38.197499999999998</v>
      </c>
      <c r="S11">
        <f>AVERAGEIFS('BLS Comp per Hr Worked'!$C:$C,'BLS Comp per Hr Worked'!$A:$A,S10)</f>
        <v>39.454999999999998</v>
      </c>
      <c r="T11">
        <f>AVERAGEIFS('BLS Comp per Hr Worked'!$C:$C,'BLS Comp per Hr Worked'!$A:$A,T10)</f>
        <v>41.567500000000003</v>
      </c>
      <c r="U11">
        <f>AVERAGEIFS('BLS Comp per Hr Worked'!$C:$C,'BLS Comp per Hr Worked'!$A:$A,U10)</f>
        <v>43.92</v>
      </c>
      <c r="V11">
        <f>AVERAGEIFS('BLS Comp per Hr Worked'!$C:$C,'BLS Comp per Hr Worked'!$A:$A,V10)</f>
        <v>46.597499999999997</v>
      </c>
    </row>
    <row r="12" spans="1:22" x14ac:dyDescent="0.25">
      <c r="A12" s="11" t="s">
        <v>61</v>
      </c>
      <c r="B12">
        <v>1.2154261514028586</v>
      </c>
      <c r="C12">
        <v>1.1755965181771633</v>
      </c>
      <c r="D12">
        <v>1.1388591269841271</v>
      </c>
      <c r="E12">
        <v>1.107320272786025</v>
      </c>
      <c r="F12">
        <v>1.0663762232760343</v>
      </c>
      <c r="G12">
        <v>1.0701836979169095</v>
      </c>
      <c r="H12">
        <v>1.0529130131709286</v>
      </c>
      <c r="I12">
        <v>1.0206944993976144</v>
      </c>
      <c r="J12">
        <v>1</v>
      </c>
      <c r="K12">
        <v>0.98556385942470071</v>
      </c>
      <c r="L12">
        <v>0.96983137334414704</v>
      </c>
      <c r="M12">
        <v>0.9686815713640794</v>
      </c>
      <c r="N12">
        <v>0.95661376543184151</v>
      </c>
      <c r="O12">
        <v>0.93665959530026111</v>
      </c>
      <c r="P12">
        <v>0.9143273584567535</v>
      </c>
      <c r="Q12">
        <v>0.89805481563188172</v>
      </c>
      <c r="R12">
        <v>0.88711067149387013</v>
      </c>
      <c r="S12">
        <v>0.84730412960844359</v>
      </c>
      <c r="T12">
        <v>0.78452102304761584</v>
      </c>
      <c r="U12">
        <v>0.75350342301658668</v>
      </c>
      <c r="V12">
        <v>0.73191600598044548</v>
      </c>
    </row>
    <row r="13" spans="1:22" x14ac:dyDescent="0.25">
      <c r="A13" t="s">
        <v>60</v>
      </c>
      <c r="B13">
        <f>B11*B12</f>
        <v>30.640893276866066</v>
      </c>
      <c r="C13">
        <f t="shared" ref="C13:V13" si="0">C11*C12</f>
        <v>30.636045263696879</v>
      </c>
      <c r="D13">
        <f t="shared" si="0"/>
        <v>30.911483854166665</v>
      </c>
      <c r="E13">
        <f t="shared" si="0"/>
        <v>30.924686918231711</v>
      </c>
      <c r="F13">
        <f t="shared" si="0"/>
        <v>30.655650478627798</v>
      </c>
      <c r="G13">
        <f t="shared" si="0"/>
        <v>31.428619748574839</v>
      </c>
      <c r="H13">
        <f t="shared" si="0"/>
        <v>31.245193665847307</v>
      </c>
      <c r="I13">
        <f t="shared" si="0"/>
        <v>30.776490893086567</v>
      </c>
      <c r="J13">
        <f t="shared" si="0"/>
        <v>30.725000000000001</v>
      </c>
      <c r="K13">
        <f t="shared" si="0"/>
        <v>30.754520233347783</v>
      </c>
      <c r="L13">
        <f t="shared" si="0"/>
        <v>31.330402515882671</v>
      </c>
      <c r="M13">
        <f t="shared" si="0"/>
        <v>32.361229595345485</v>
      </c>
      <c r="N13">
        <f t="shared" si="0"/>
        <v>32.773587603694885</v>
      </c>
      <c r="O13">
        <f t="shared" si="0"/>
        <v>33.267807176077021</v>
      </c>
      <c r="P13">
        <f t="shared" si="0"/>
        <v>33.256371845468266</v>
      </c>
      <c r="Q13">
        <f t="shared" si="0"/>
        <v>33.118016463464713</v>
      </c>
      <c r="R13">
        <f t="shared" si="0"/>
        <v>33.885409874387101</v>
      </c>
      <c r="S13">
        <f t="shared" si="0"/>
        <v>33.430384433701143</v>
      </c>
      <c r="T13">
        <f t="shared" si="0"/>
        <v>32.610577625531775</v>
      </c>
      <c r="U13">
        <f t="shared" si="0"/>
        <v>33.093870338888486</v>
      </c>
      <c r="V13">
        <f t="shared" si="0"/>
        <v>34.105456088673805</v>
      </c>
    </row>
    <row r="14" spans="1:22" x14ac:dyDescent="0.25">
      <c r="A14" t="s">
        <v>68</v>
      </c>
      <c r="C14" s="20">
        <f>(C13-B13)/B13</f>
        <v>-1.5822036013707672E-4</v>
      </c>
      <c r="D14" s="20">
        <f t="shared" ref="D14:Q14" si="1">(D13-C13)/C13</f>
        <v>8.9906705679200592E-3</v>
      </c>
      <c r="E14" s="20">
        <f t="shared" si="1"/>
        <v>4.2712488754453241E-4</v>
      </c>
      <c r="F14" s="20">
        <f t="shared" si="1"/>
        <v>-8.6997304229877673E-3</v>
      </c>
      <c r="G14" s="20">
        <f t="shared" si="1"/>
        <v>2.5214577341489835E-2</v>
      </c>
      <c r="H14" s="20">
        <f t="shared" si="1"/>
        <v>-5.8362754774125862E-3</v>
      </c>
      <c r="I14" s="20">
        <f t="shared" si="1"/>
        <v>-1.5000795891147153E-2</v>
      </c>
      <c r="J14" s="20">
        <f t="shared" si="1"/>
        <v>-1.673059260246347E-3</v>
      </c>
      <c r="K14" s="20">
        <f t="shared" si="1"/>
        <v>9.6078871758443465E-4</v>
      </c>
      <c r="L14" s="20">
        <f t="shared" si="1"/>
        <v>1.8725126523367011E-2</v>
      </c>
      <c r="M14" s="20">
        <f t="shared" si="1"/>
        <v>3.2901814106609223E-2</v>
      </c>
      <c r="N14" s="20">
        <f t="shared" si="1"/>
        <v>1.2742346737304134E-2</v>
      </c>
      <c r="O14" s="20">
        <f t="shared" si="1"/>
        <v>1.5079812999368353E-2</v>
      </c>
      <c r="P14" s="20">
        <f t="shared" si="1"/>
        <v>-3.4373562850810029E-4</v>
      </c>
      <c r="Q14" s="20">
        <f t="shared" si="1"/>
        <v>-4.1602668699534115E-3</v>
      </c>
      <c r="R14" s="20">
        <f t="shared" ref="R14" si="2">(R13-Q13)/Q13</f>
        <v>2.317147863517021E-2</v>
      </c>
      <c r="S14" s="20">
        <f t="shared" ref="S14" si="3">(S13-R13)/R13</f>
        <v>-1.3428358764811552E-2</v>
      </c>
      <c r="T14" s="20">
        <f t="shared" ref="T14" si="4">(T13-S13)/S13</f>
        <v>-2.4522805287961965E-2</v>
      </c>
      <c r="U14" s="20">
        <f t="shared" ref="U14" si="5">(U13-T13)/T13</f>
        <v>1.4820121216691576E-2</v>
      </c>
      <c r="V14" s="20">
        <f t="shared" ref="V14" si="6">(V13-U13)/U13</f>
        <v>3.0567163629592387E-2</v>
      </c>
    </row>
    <row r="15" spans="1:22" x14ac:dyDescent="0.25">
      <c r="A15" s="1" t="s">
        <v>69</v>
      </c>
      <c r="B15" s="22">
        <f>AVERAGE(C14:V14)</f>
        <v>5.4888888699737891E-3</v>
      </c>
    </row>
    <row r="18" spans="1:28" x14ac:dyDescent="0.25">
      <c r="A18" s="1" t="s">
        <v>65</v>
      </c>
    </row>
    <row r="19" spans="1:28" x14ac:dyDescent="0.25">
      <c r="B19">
        <v>2024</v>
      </c>
      <c r="C19">
        <v>2025</v>
      </c>
      <c r="D19">
        <v>2026</v>
      </c>
      <c r="E19">
        <v>2027</v>
      </c>
      <c r="F19">
        <v>2028</v>
      </c>
      <c r="G19">
        <v>2029</v>
      </c>
      <c r="H19">
        <v>2030</v>
      </c>
      <c r="I19">
        <v>2031</v>
      </c>
      <c r="J19">
        <v>2032</v>
      </c>
      <c r="K19">
        <v>2033</v>
      </c>
      <c r="L19">
        <v>2034</v>
      </c>
      <c r="M19">
        <v>2035</v>
      </c>
      <c r="N19">
        <v>2036</v>
      </c>
      <c r="O19">
        <v>2037</v>
      </c>
      <c r="P19">
        <v>2038</v>
      </c>
      <c r="Q19">
        <v>2039</v>
      </c>
      <c r="R19">
        <v>2040</v>
      </c>
      <c r="S19">
        <v>2041</v>
      </c>
      <c r="T19">
        <v>2042</v>
      </c>
      <c r="U19">
        <v>2043</v>
      </c>
      <c r="V19">
        <v>2044</v>
      </c>
      <c r="W19">
        <v>2045</v>
      </c>
      <c r="X19">
        <v>2046</v>
      </c>
      <c r="Y19">
        <v>2047</v>
      </c>
      <c r="Z19">
        <v>2048</v>
      </c>
      <c r="AA19">
        <v>2049</v>
      </c>
      <c r="AB19">
        <v>2050</v>
      </c>
    </row>
    <row r="20" spans="1:28" x14ac:dyDescent="0.25">
      <c r="A20" t="s">
        <v>66</v>
      </c>
      <c r="B20" s="19">
        <f>VLOOKUP(B$19,'Census Pop Proj'!$A:$B,2,FALSE)/'Census Pop Proj'!$B$10-1</f>
        <v>0</v>
      </c>
      <c r="C20" s="19">
        <f>VLOOKUP(C$19,'Census Pop Proj'!$A:$B,2,FALSE)/'Census Pop Proj'!$B$10-1</f>
        <v>4.5589362878251105E-3</v>
      </c>
      <c r="D20" s="19">
        <f>VLOOKUP(D$19,'Census Pop Proj'!$A:$B,2,FALSE)/'Census Pop Proj'!$B$10-1</f>
        <v>9.0079112701422215E-3</v>
      </c>
      <c r="E20" s="19">
        <f>VLOOKUP(E$19,'Census Pop Proj'!$A:$B,2,FALSE)/'Census Pop Proj'!$B$10-1</f>
        <v>1.3338009165423381E-2</v>
      </c>
      <c r="F20" s="19">
        <f>VLOOKUP(F$19,'Census Pop Proj'!$A:$B,2,FALSE)/'Census Pop Proj'!$B$10-1</f>
        <v>1.7543286119316992E-2</v>
      </c>
      <c r="G20" s="19">
        <f>VLOOKUP(G$19,'Census Pop Proj'!$A:$B,2,FALSE)/'Census Pop Proj'!$B$10-1</f>
        <v>2.1611854423119192E-2</v>
      </c>
      <c r="H20" s="19">
        <f>VLOOKUP(H$19,'Census Pop Proj'!$A:$B,2,FALSE)/'Census Pop Proj'!$B$10-1</f>
        <v>2.5534798295302474E-2</v>
      </c>
      <c r="I20" s="19">
        <f>VLOOKUP(I$19,'Census Pop Proj'!$A:$B,2,FALSE)/'Census Pop Proj'!$B$10-1</f>
        <v>2.9294286172811601E-2</v>
      </c>
      <c r="J20" s="19">
        <f>VLOOKUP(J$19,'Census Pop Proj'!$A:$B,2,FALSE)/'Census Pop Proj'!$B$10-1</f>
        <v>3.2878430346942711E-2</v>
      </c>
      <c r="K20" s="19">
        <f>VLOOKUP(K$19,'Census Pop Proj'!$A:$B,2,FALSE)/'Census Pop Proj'!$B$10-1</f>
        <v>3.6316950089454902E-2</v>
      </c>
      <c r="L20" s="19">
        <f>VLOOKUP(L$19,'Census Pop Proj'!$A:$B,2,FALSE)/'Census Pop Proj'!$B$10-1</f>
        <v>3.9603901545996578E-2</v>
      </c>
      <c r="M20" s="19">
        <f>VLOOKUP(M$19,'Census Pop Proj'!$A:$B,2,FALSE)/'Census Pop Proj'!$B$10-1</f>
        <v>4.2733340862215474E-2</v>
      </c>
      <c r="N20" s="19">
        <f>VLOOKUP(N$19,'Census Pop Proj'!$A:$B,2,FALSE)/'Census Pop Proj'!$B$10-1</f>
        <v>4.5705268038112035E-2</v>
      </c>
      <c r="O20" s="19">
        <f>VLOOKUP(O$19,'Census Pop Proj'!$A:$B,2,FALSE)/'Census Pop Proj'!$B$10-1</f>
        <v>4.8513739219334218E-2</v>
      </c>
      <c r="P20" s="19">
        <f>VLOOKUP(P$19,'Census Pop Proj'!$A:$B,2,FALSE)/'Census Pop Proj'!$B$10-1</f>
        <v>5.1158754405882023E-2</v>
      </c>
      <c r="Q20" s="19">
        <f>VLOOKUP(Q$19,'Census Pop Proj'!$A:$B,2,FALSE)/'Census Pop Proj'!$B$10-1</f>
        <v>5.3637341670579763E-2</v>
      </c>
      <c r="R20" s="19">
        <f>VLOOKUP(R$19,'Census Pop Proj'!$A:$B,2,FALSE)/'Census Pop Proj'!$B$10-1</f>
        <v>5.5952472940603126E-2</v>
      </c>
      <c r="S20" s="19">
        <f>VLOOKUP(S$19,'Census Pop Proj'!$A:$B,2,FALSE)/'Census Pop Proj'!$B$10-1</f>
        <v>5.8107120143128022E-2</v>
      </c>
      <c r="T20" s="19">
        <f>VLOOKUP(T$19,'Census Pop Proj'!$A:$B,2,FALSE)/'Census Pop Proj'!$B$10-1</f>
        <v>6.0101283278154449E-2</v>
      </c>
      <c r="U20" s="19">
        <f>VLOOKUP(U$19,'Census Pop Proj'!$A:$B,2,FALSE)/'Census Pop Proj'!$B$10-1</f>
        <v>6.1949821981562181E-2</v>
      </c>
      <c r="V20" s="19">
        <f>VLOOKUP(V$19,'Census Pop Proj'!$A:$B,2,FALSE)/'Census Pop Proj'!$B$10-1</f>
        <v>6.3661652034878502E-2</v>
      </c>
      <c r="W20" s="19">
        <f>VLOOKUP(W$19,'Census Pop Proj'!$A:$B,2,FALSE)/'Census Pop Proj'!$B$10-1</f>
        <v>6.5251633073983184E-2</v>
      </c>
      <c r="X20" s="19">
        <f>VLOOKUP(X$19,'Census Pop Proj'!$A:$B,2,FALSE)/'Census Pop Proj'!$B$10-1</f>
        <v>6.6731652807579644E-2</v>
      </c>
      <c r="Y20" s="19">
        <f>VLOOKUP(Y$19,'Census Pop Proj'!$A:$B,2,FALSE)/'Census Pop Proj'!$B$10-1</f>
        <v>6.8110627017195613E-2</v>
      </c>
      <c r="Z20" s="19">
        <f>VLOOKUP(Z$19,'Census Pop Proj'!$A:$B,2,FALSE)/'Census Pop Proj'!$B$10-1</f>
        <v>6.9406387265886327E-2</v>
      </c>
      <c r="AA20" s="19">
        <f>VLOOKUP(AA$19,'Census Pop Proj'!$A:$B,2,FALSE)/'Census Pop Proj'!$B$10-1</f>
        <v>7.062784933517996E-2</v>
      </c>
      <c r="AB20" s="19">
        <f>VLOOKUP(AB$19,'Census Pop Proj'!$A:$B,2,FALSE)/'Census Pop Proj'!$B$10-1</f>
        <v>7.1792844788131305E-2</v>
      </c>
    </row>
    <row r="21" spans="1:28" x14ac:dyDescent="0.25">
      <c r="A21" t="s">
        <v>67</v>
      </c>
      <c r="B21" s="20">
        <v>0</v>
      </c>
      <c r="C21" s="20">
        <f t="shared" ref="C21:AB21" si="7">B21*(1+$B$15)+$B$15</f>
        <v>5.4888888699737891E-3</v>
      </c>
      <c r="D21" s="20">
        <f t="shared" si="7"/>
        <v>1.1007905640974501E-2</v>
      </c>
      <c r="E21" s="20">
        <f t="shared" si="7"/>
        <v>1.6557215681702757E-2</v>
      </c>
      <c r="F21" s="20">
        <f t="shared" si="7"/>
        <v>2.2136985268549597E-2</v>
      </c>
      <c r="G21" s="20">
        <f t="shared" si="7"/>
        <v>2.7747381590578702E-2</v>
      </c>
      <c r="H21" s="20">
        <f t="shared" si="7"/>
        <v>3.3388572754535932E-2</v>
      </c>
      <c r="I21" s="20">
        <f t="shared" si="7"/>
        <v>3.9060727789886403E-2</v>
      </c>
      <c r="J21" s="20">
        <f t="shared" si="7"/>
        <v>4.4764016653879177E-2</v>
      </c>
      <c r="K21" s="20">
        <f t="shared" si="7"/>
        <v>5.049861023663977E-2</v>
      </c>
      <c r="L21" s="20">
        <f t="shared" si="7"/>
        <v>5.6264680366290599E-2</v>
      </c>
      <c r="M21" s="20">
        <f t="shared" si="7"/>
        <v>6.2062399814099556E-2</v>
      </c>
      <c r="N21" s="20">
        <f t="shared" si="7"/>
        <v>6.7891942299656824E-2</v>
      </c>
      <c r="O21" s="20">
        <f t="shared" si="7"/>
        <v>7.3753482496080103E-2</v>
      </c>
      <c r="P21" s="20">
        <f t="shared" si="7"/>
        <v>7.9647196035248433E-2</v>
      </c>
      <c r="Q21" s="20">
        <f t="shared" si="7"/>
        <v>8.5573259513064714E-2</v>
      </c>
      <c r="R21" s="20">
        <f t="shared" si="7"/>
        <v>9.1531850494747144E-2</v>
      </c>
      <c r="S21" s="20">
        <f t="shared" si="7"/>
        <v>9.752314752014965E-2</v>
      </c>
      <c r="T21" s="20">
        <f t="shared" si="7"/>
        <v>0.1035473301091116</v>
      </c>
      <c r="U21" s="20">
        <f t="shared" si="7"/>
        <v>0.1096045787668368</v>
      </c>
      <c r="V21" s="20">
        <f t="shared" si="7"/>
        <v>0.11569507498930204</v>
      </c>
      <c r="W21" s="20">
        <f t="shared" si="7"/>
        <v>0.12181900126869538</v>
      </c>
      <c r="X21" s="20">
        <f t="shared" si="7"/>
        <v>0.12797654109888423</v>
      </c>
      <c r="Y21" s="20">
        <f t="shared" si="7"/>
        <v>0.13416787898091342</v>
      </c>
      <c r="Z21" s="20">
        <f t="shared" si="7"/>
        <v>0.14039320042853354</v>
      </c>
      <c r="AA21" s="20">
        <f t="shared" si="7"/>
        <v>0.14665269197375949</v>
      </c>
      <c r="AB21" s="20">
        <f t="shared" si="7"/>
        <v>0.15294654117245973</v>
      </c>
    </row>
    <row r="22" spans="1:28" x14ac:dyDescent="0.25">
      <c r="A22" t="s">
        <v>62</v>
      </c>
      <c r="B22" s="23">
        <f>SUM(BECbIC!B2:AQ2)</f>
        <v>11014692535836.447</v>
      </c>
      <c r="C22" s="23">
        <f>$B22*(1+C20)*(1+C21)</f>
        <v>11125641866703.178</v>
      </c>
      <c r="D22" s="23">
        <f t="shared" ref="D22:AB22" si="8">$B22*(1+D20)*(1+D21)</f>
        <v>11236252802462.072</v>
      </c>
      <c r="E22" s="23">
        <f t="shared" si="8"/>
        <v>11346411733760.861</v>
      </c>
      <c r="F22" s="23">
        <f t="shared" si="8"/>
        <v>11456036140969.191</v>
      </c>
      <c r="G22" s="23">
        <f t="shared" si="8"/>
        <v>11564974551126.064</v>
      </c>
      <c r="H22" s="23">
        <f t="shared" si="8"/>
        <v>11673106152724.824</v>
      </c>
      <c r="I22" s="23">
        <f t="shared" si="8"/>
        <v>11780205627460.635</v>
      </c>
      <c r="J22" s="23">
        <f t="shared" si="8"/>
        <v>11886111317962.457</v>
      </c>
      <c r="K22" s="23">
        <f t="shared" si="8"/>
        <v>11991139696194.818</v>
      </c>
      <c r="L22" s="23">
        <f t="shared" si="8"/>
        <v>12095199538316.385</v>
      </c>
      <c r="M22" s="23">
        <f t="shared" si="8"/>
        <v>12198197835566.346</v>
      </c>
      <c r="N22" s="23">
        <f t="shared" si="8"/>
        <v>12300109685484.521</v>
      </c>
      <c r="O22" s="23">
        <f t="shared" si="8"/>
        <v>12400839590356.217</v>
      </c>
      <c r="P22" s="23">
        <f t="shared" si="8"/>
        <v>12500360893516.139</v>
      </c>
      <c r="Q22" s="23">
        <f t="shared" si="8"/>
        <v>12598611086941.082</v>
      </c>
      <c r="R22" s="23">
        <f t="shared" si="8"/>
        <v>12695598026444.391</v>
      </c>
      <c r="S22" s="23">
        <f t="shared" si="8"/>
        <v>12791330024668.094</v>
      </c>
      <c r="T22" s="23">
        <f t="shared" si="8"/>
        <v>12885779734289.713</v>
      </c>
      <c r="U22" s="23">
        <f t="shared" si="8"/>
        <v>12979101100907.746</v>
      </c>
      <c r="V22" s="23">
        <f t="shared" si="8"/>
        <v>13071378689425.154</v>
      </c>
      <c r="W22" s="23">
        <f t="shared" si="8"/>
        <v>13162772621432.547</v>
      </c>
      <c r="X22" s="23">
        <f t="shared" si="8"/>
        <v>13253409848634.744</v>
      </c>
      <c r="Y22" s="23">
        <f t="shared" si="8"/>
        <v>13343383192194.979</v>
      </c>
      <c r="Z22" s="23">
        <f t="shared" si="8"/>
        <v>13432899688443.514</v>
      </c>
      <c r="AA22" s="23">
        <f t="shared" si="8"/>
        <v>13522058480763.242</v>
      </c>
      <c r="AB22" s="23">
        <f t="shared" si="8"/>
        <v>13611074243998.25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2B7A6-B7E4-4B42-ADE9-1C2AC0869798}">
  <dimension ref="A1:CB2"/>
  <sheetViews>
    <sheetView workbookViewId="0">
      <selection activeCell="Q40" sqref="Q40"/>
    </sheetView>
  </sheetViews>
  <sheetFormatPr defaultRowHeight="15" x14ac:dyDescent="0.25"/>
  <cols>
    <col min="1" max="1" width="22.140625" customWidth="1"/>
    <col min="2" max="2" width="12" bestFit="1" customWidth="1"/>
    <col min="3" max="30" width="10" bestFit="1" customWidth="1"/>
  </cols>
  <sheetData>
    <row r="1" spans="1:80" x14ac:dyDescent="0.25">
      <c r="A1" s="21" t="s">
        <v>23</v>
      </c>
      <c r="B1">
        <v>2022</v>
      </c>
      <c r="C1">
        <v>2023</v>
      </c>
      <c r="D1">
        <v>2024</v>
      </c>
      <c r="E1">
        <v>2025</v>
      </c>
      <c r="F1">
        <v>2026</v>
      </c>
      <c r="G1">
        <v>2027</v>
      </c>
      <c r="H1">
        <v>2028</v>
      </c>
      <c r="I1">
        <v>2029</v>
      </c>
      <c r="J1">
        <v>2030</v>
      </c>
      <c r="K1">
        <v>2031</v>
      </c>
      <c r="L1">
        <v>2032</v>
      </c>
      <c r="M1">
        <v>2033</v>
      </c>
      <c r="N1">
        <v>2034</v>
      </c>
      <c r="O1">
        <v>2035</v>
      </c>
      <c r="P1">
        <v>2036</v>
      </c>
      <c r="Q1">
        <v>2037</v>
      </c>
      <c r="R1">
        <v>2038</v>
      </c>
      <c r="S1">
        <v>2039</v>
      </c>
      <c r="T1">
        <v>2040</v>
      </c>
      <c r="U1">
        <v>2041</v>
      </c>
      <c r="V1">
        <v>2042</v>
      </c>
      <c r="W1">
        <v>2043</v>
      </c>
      <c r="X1">
        <v>2044</v>
      </c>
      <c r="Y1">
        <v>2045</v>
      </c>
      <c r="Z1">
        <v>2046</v>
      </c>
      <c r="AA1">
        <v>2047</v>
      </c>
      <c r="AB1">
        <v>2048</v>
      </c>
      <c r="AC1">
        <v>2049</v>
      </c>
      <c r="AD1">
        <v>2050</v>
      </c>
      <c r="AE1">
        <v>2051</v>
      </c>
      <c r="AF1">
        <v>2052</v>
      </c>
      <c r="AG1">
        <v>2053</v>
      </c>
      <c r="AH1">
        <v>2054</v>
      </c>
      <c r="AI1">
        <v>2055</v>
      </c>
      <c r="AJ1">
        <v>2056</v>
      </c>
      <c r="AK1">
        <v>2057</v>
      </c>
      <c r="AL1">
        <v>2058</v>
      </c>
      <c r="AM1">
        <v>2059</v>
      </c>
      <c r="AN1">
        <v>2060</v>
      </c>
      <c r="AO1">
        <v>2061</v>
      </c>
      <c r="AP1">
        <v>2062</v>
      </c>
      <c r="AQ1">
        <v>2063</v>
      </c>
      <c r="AR1">
        <v>2064</v>
      </c>
      <c r="AS1">
        <v>2065</v>
      </c>
      <c r="AT1">
        <v>2066</v>
      </c>
      <c r="AU1">
        <v>2067</v>
      </c>
      <c r="AV1">
        <v>2068</v>
      </c>
      <c r="AW1">
        <v>2069</v>
      </c>
      <c r="AX1">
        <v>2070</v>
      </c>
      <c r="AY1">
        <v>2071</v>
      </c>
      <c r="AZ1">
        <v>2072</v>
      </c>
      <c r="BA1">
        <v>2073</v>
      </c>
      <c r="BB1">
        <v>2074</v>
      </c>
      <c r="BC1">
        <v>2075</v>
      </c>
      <c r="BD1">
        <v>2076</v>
      </c>
      <c r="BE1">
        <v>2077</v>
      </c>
      <c r="BF1">
        <v>2078</v>
      </c>
      <c r="BG1">
        <v>2079</v>
      </c>
      <c r="BH1">
        <v>2080</v>
      </c>
      <c r="BI1">
        <v>2081</v>
      </c>
      <c r="BJ1">
        <v>2082</v>
      </c>
      <c r="BK1">
        <v>2083</v>
      </c>
      <c r="BL1">
        <v>2084</v>
      </c>
      <c r="BM1">
        <v>2085</v>
      </c>
      <c r="BN1">
        <v>2086</v>
      </c>
      <c r="BO1">
        <v>2087</v>
      </c>
      <c r="BP1">
        <v>2088</v>
      </c>
      <c r="BQ1">
        <v>2089</v>
      </c>
      <c r="BR1">
        <v>2090</v>
      </c>
      <c r="BS1">
        <v>2091</v>
      </c>
      <c r="BT1">
        <v>2092</v>
      </c>
      <c r="BU1">
        <v>2093</v>
      </c>
      <c r="BV1">
        <v>2094</v>
      </c>
      <c r="BW1">
        <v>2095</v>
      </c>
      <c r="BX1">
        <v>2096</v>
      </c>
      <c r="BY1">
        <v>2097</v>
      </c>
      <c r="BZ1">
        <v>2098</v>
      </c>
      <c r="CA1">
        <v>2099</v>
      </c>
      <c r="CB1">
        <v>2100</v>
      </c>
    </row>
    <row r="2" spans="1:80" x14ac:dyDescent="0.25">
      <c r="A2" t="s">
        <v>22</v>
      </c>
      <c r="B2" cm="1">
        <f t="array" ref="B2:CB2">TRANSPOSE('Census Pop Proj'!B8:B86)*10^3</f>
        <v>333288000</v>
      </c>
      <c r="C2">
        <v>334906000</v>
      </c>
      <c r="D2">
        <v>336482000</v>
      </c>
      <c r="E2">
        <v>338016000</v>
      </c>
      <c r="F2">
        <v>339513000</v>
      </c>
      <c r="G2">
        <v>340970000</v>
      </c>
      <c r="H2">
        <v>342385000</v>
      </c>
      <c r="I2">
        <v>343754000</v>
      </c>
      <c r="J2">
        <v>345074000</v>
      </c>
      <c r="K2">
        <v>346339000</v>
      </c>
      <c r="L2">
        <v>347545000</v>
      </c>
      <c r="M2">
        <v>348702000</v>
      </c>
      <c r="N2">
        <v>349808000</v>
      </c>
      <c r="O2">
        <v>350861000</v>
      </c>
      <c r="P2">
        <v>351861000</v>
      </c>
      <c r="Q2">
        <v>352806000</v>
      </c>
      <c r="R2">
        <v>353696000</v>
      </c>
      <c r="S2">
        <v>354530000</v>
      </c>
      <c r="T2">
        <v>355309000</v>
      </c>
      <c r="U2">
        <v>356034000</v>
      </c>
      <c r="V2">
        <v>356705000</v>
      </c>
      <c r="W2">
        <v>357327000</v>
      </c>
      <c r="X2">
        <v>357903000</v>
      </c>
      <c r="Y2">
        <v>358438000</v>
      </c>
      <c r="Z2">
        <v>358936000</v>
      </c>
      <c r="AA2">
        <v>359400000</v>
      </c>
      <c r="AB2">
        <v>359836000</v>
      </c>
      <c r="AC2">
        <v>360247000</v>
      </c>
      <c r="AD2">
        <v>360639000</v>
      </c>
      <c r="AE2">
        <v>361015000</v>
      </c>
      <c r="AF2">
        <v>361381000</v>
      </c>
      <c r="AG2">
        <v>361739000</v>
      </c>
      <c r="AH2">
        <v>362095000</v>
      </c>
      <c r="AI2">
        <v>362450000</v>
      </c>
      <c r="AJ2">
        <v>362807000</v>
      </c>
      <c r="AK2">
        <v>363169000</v>
      </c>
      <c r="AL2">
        <v>363536000</v>
      </c>
      <c r="AM2">
        <v>363909000</v>
      </c>
      <c r="AN2">
        <v>364287000</v>
      </c>
      <c r="AO2">
        <v>364670000</v>
      </c>
      <c r="AP2">
        <v>365057000</v>
      </c>
      <c r="AQ2">
        <v>365443000</v>
      </c>
      <c r="AR2">
        <v>365828000</v>
      </c>
      <c r="AS2">
        <v>366207000</v>
      </c>
      <c r="AT2">
        <v>366579000</v>
      </c>
      <c r="AU2">
        <v>366938000</v>
      </c>
      <c r="AV2">
        <v>367283000</v>
      </c>
      <c r="AW2">
        <v>367609000</v>
      </c>
      <c r="AX2">
        <v>367913000</v>
      </c>
      <c r="AY2">
        <v>368190000</v>
      </c>
      <c r="AZ2">
        <v>368441000</v>
      </c>
      <c r="BA2">
        <v>368663000</v>
      </c>
      <c r="BB2">
        <v>368856000</v>
      </c>
      <c r="BC2">
        <v>369018000</v>
      </c>
      <c r="BD2">
        <v>369150000</v>
      </c>
      <c r="BE2">
        <v>369250000</v>
      </c>
      <c r="BF2">
        <v>369319000</v>
      </c>
      <c r="BG2">
        <v>369356000</v>
      </c>
      <c r="BH2">
        <v>369363000</v>
      </c>
      <c r="BI2">
        <v>369340000</v>
      </c>
      <c r="BJ2">
        <v>369289000</v>
      </c>
      <c r="BK2">
        <v>369213000</v>
      </c>
      <c r="BL2">
        <v>369114000</v>
      </c>
      <c r="BM2">
        <v>368993000</v>
      </c>
      <c r="BN2">
        <v>368852000</v>
      </c>
      <c r="BO2">
        <v>368693000</v>
      </c>
      <c r="BP2">
        <v>368518000</v>
      </c>
      <c r="BQ2">
        <v>368326000</v>
      </c>
      <c r="BR2">
        <v>368120000</v>
      </c>
      <c r="BS2">
        <v>367901000</v>
      </c>
      <c r="BT2">
        <v>367670000</v>
      </c>
      <c r="BU2">
        <v>367429000</v>
      </c>
      <c r="BV2">
        <v>367179000</v>
      </c>
      <c r="BW2">
        <v>366923000</v>
      </c>
      <c r="BX2">
        <v>366661000</v>
      </c>
      <c r="BY2">
        <v>366393000</v>
      </c>
      <c r="BZ2">
        <v>366120000</v>
      </c>
      <c r="CA2">
        <v>365841000</v>
      </c>
      <c r="CB2">
        <v>365558000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93FD9-0E1F-491A-A9F5-EE1CCFCBCFA0}">
  <sheetPr>
    <tabColor theme="4" tint="-0.249977111117893"/>
  </sheetPr>
  <dimension ref="A1:AB2"/>
  <sheetViews>
    <sheetView tabSelected="1" workbookViewId="0">
      <selection activeCell="B2" sqref="B2"/>
    </sheetView>
  </sheetViews>
  <sheetFormatPr defaultRowHeight="15" x14ac:dyDescent="0.25"/>
  <cols>
    <col min="1" max="1" width="22.140625" customWidth="1"/>
    <col min="2" max="28" width="10" bestFit="1" customWidth="1"/>
  </cols>
  <sheetData>
    <row r="1" spans="1:28" x14ac:dyDescent="0.25">
      <c r="A1" s="21" t="s">
        <v>23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8" x14ac:dyDescent="0.25">
      <c r="A2" t="s">
        <v>24</v>
      </c>
      <c r="B2">
        <f>population!D2*'Avg Emp-Pop Ratio'!$B$5</f>
        <v>199788239.21951225</v>
      </c>
      <c r="C2">
        <f>population!E2*'Avg Emp-Pop Ratio'!$B$5</f>
        <v>200699061.07317081</v>
      </c>
      <c r="D2">
        <f>population!F2*'Avg Emp-Pop Ratio'!$B$5</f>
        <v>201587913.95121959</v>
      </c>
      <c r="E2">
        <f>population!G2*'Avg Emp-Pop Ratio'!$B$5</f>
        <v>202453016.58536592</v>
      </c>
      <c r="F2">
        <f>population!H2*'Avg Emp-Pop Ratio'!$B$5</f>
        <v>203293181.4634147</v>
      </c>
      <c r="G2">
        <f>population!I2*'Avg Emp-Pop Ratio'!$B$5</f>
        <v>204106033.56097567</v>
      </c>
      <c r="H2">
        <f>population!J2*'Avg Emp-Pop Ratio'!$B$5</f>
        <v>204889791.60975617</v>
      </c>
      <c r="I2">
        <f>population!K2*'Avg Emp-Pop Ratio'!$B$5</f>
        <v>205640893.07317081</v>
      </c>
      <c r="J2">
        <f>population!L2*'Avg Emp-Pop Ratio'!$B$5</f>
        <v>206356962.92682934</v>
      </c>
      <c r="K2">
        <f>population!M2*'Avg Emp-Pop Ratio'!$B$5</f>
        <v>207043938.73170739</v>
      </c>
      <c r="L2">
        <f>population!N2*'Avg Emp-Pop Ratio'!$B$5</f>
        <v>207700632.97560984</v>
      </c>
      <c r="M2">
        <f>population!O2*'Avg Emp-Pop Ratio'!$B$5</f>
        <v>208325858.14634153</v>
      </c>
      <c r="N2">
        <f>population!P2*'Avg Emp-Pop Ratio'!$B$5</f>
        <v>208919614.2439025</v>
      </c>
      <c r="O2">
        <f>population!Q2*'Avg Emp-Pop Ratio'!$B$5</f>
        <v>209480713.75609761</v>
      </c>
      <c r="P2">
        <f>population!R2*'Avg Emp-Pop Ratio'!$B$5</f>
        <v>210009156.68292689</v>
      </c>
      <c r="Q2">
        <f>population!S2*'Avg Emp-Pop Ratio'!$B$5</f>
        <v>210504349.26829275</v>
      </c>
      <c r="R2">
        <f>population!T2*'Avg Emp-Pop Ratio'!$B$5</f>
        <v>210966885.26829275</v>
      </c>
      <c r="S2">
        <f>population!U2*'Avg Emp-Pop Ratio'!$B$5</f>
        <v>211397358.43902445</v>
      </c>
      <c r="T2">
        <f>population!V2*'Avg Emp-Pop Ratio'!$B$5</f>
        <v>211795768.78048787</v>
      </c>
      <c r="U2">
        <f>population!W2*'Avg Emp-Pop Ratio'!$B$5</f>
        <v>212165085.07317081</v>
      </c>
      <c r="V2">
        <f>population!X2*'Avg Emp-Pop Ratio'!$B$5</f>
        <v>212507088.58536592</v>
      </c>
      <c r="W2">
        <f>population!Y2*'Avg Emp-Pop Ratio'!$B$5</f>
        <v>212824748.09756103</v>
      </c>
      <c r="X2">
        <f>population!Z2*'Avg Emp-Pop Ratio'!$B$5</f>
        <v>213120438.63414642</v>
      </c>
      <c r="Y2">
        <f>population!AA2*'Avg Emp-Pop Ratio'!$B$5</f>
        <v>213395941.4634147</v>
      </c>
      <c r="Z2">
        <f>population!AB2*'Avg Emp-Pop Ratio'!$B$5</f>
        <v>213654819.12195128</v>
      </c>
      <c r="AA2">
        <f>population!AC2*'Avg Emp-Pop Ratio'!$B$5</f>
        <v>213898852.87804884</v>
      </c>
      <c r="AB2">
        <f>population!AD2*'Avg Emp-Pop Ratio'!$B$5</f>
        <v>214131605.26829275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E7CEA-1BC2-4D8B-AD93-998F1C33A4B5}">
  <sheetPr>
    <tabColor theme="4" tint="-0.249977111117893"/>
  </sheetPr>
  <dimension ref="A1:AC2"/>
  <sheetViews>
    <sheetView workbookViewId="0">
      <selection activeCell="A40" sqref="A40"/>
    </sheetView>
  </sheetViews>
  <sheetFormatPr defaultRowHeight="15" x14ac:dyDescent="0.25"/>
  <cols>
    <col min="1" max="1" width="22.140625" customWidth="1"/>
    <col min="2" max="28" width="10" bestFit="1" customWidth="1"/>
  </cols>
  <sheetData>
    <row r="1" spans="1:29" x14ac:dyDescent="0.25">
      <c r="A1" s="21" t="s">
        <v>64</v>
      </c>
      <c r="B1">
        <v>2024</v>
      </c>
      <c r="C1">
        <v>2025</v>
      </c>
      <c r="D1">
        <v>2026</v>
      </c>
      <c r="E1">
        <v>2027</v>
      </c>
      <c r="F1">
        <v>2028</v>
      </c>
      <c r="G1">
        <v>2029</v>
      </c>
      <c r="H1">
        <v>2030</v>
      </c>
      <c r="I1">
        <v>2031</v>
      </c>
      <c r="J1">
        <v>2032</v>
      </c>
      <c r="K1">
        <v>2033</v>
      </c>
      <c r="L1">
        <v>2034</v>
      </c>
      <c r="M1">
        <v>2035</v>
      </c>
      <c r="N1">
        <v>2036</v>
      </c>
      <c r="O1">
        <v>2037</v>
      </c>
      <c r="P1">
        <v>2038</v>
      </c>
      <c r="Q1">
        <v>2039</v>
      </c>
      <c r="R1">
        <v>2040</v>
      </c>
      <c r="S1">
        <v>2041</v>
      </c>
      <c r="T1">
        <v>2042</v>
      </c>
      <c r="U1">
        <v>2043</v>
      </c>
      <c r="V1">
        <v>2044</v>
      </c>
      <c r="W1">
        <v>2045</v>
      </c>
      <c r="X1">
        <v>2046</v>
      </c>
      <c r="Y1">
        <v>2047</v>
      </c>
      <c r="Z1">
        <v>2048</v>
      </c>
      <c r="AA1">
        <v>2049</v>
      </c>
      <c r="AB1">
        <v>2050</v>
      </c>
    </row>
    <row r="2" spans="1:29" x14ac:dyDescent="0.25">
      <c r="A2" t="s">
        <v>63</v>
      </c>
      <c r="B2" s="10">
        <f>'EE Comp Projection'!B22</f>
        <v>11014692535836.447</v>
      </c>
      <c r="C2" s="10">
        <f>'EE Comp Projection'!C22</f>
        <v>11125641866703.178</v>
      </c>
      <c r="D2" s="10">
        <f>'EE Comp Projection'!D22</f>
        <v>11236252802462.072</v>
      </c>
      <c r="E2" s="10">
        <f>'EE Comp Projection'!E22</f>
        <v>11346411733760.861</v>
      </c>
      <c r="F2" s="10">
        <f>'EE Comp Projection'!F22</f>
        <v>11456036140969.191</v>
      </c>
      <c r="G2" s="10">
        <f>'EE Comp Projection'!G22</f>
        <v>11564974551126.064</v>
      </c>
      <c r="H2" s="10">
        <f>'EE Comp Projection'!H22</f>
        <v>11673106152724.824</v>
      </c>
      <c r="I2" s="10">
        <f>'EE Comp Projection'!I22</f>
        <v>11780205627460.635</v>
      </c>
      <c r="J2" s="10">
        <f>'EE Comp Projection'!J22</f>
        <v>11886111317962.457</v>
      </c>
      <c r="K2" s="10">
        <f>'EE Comp Projection'!K22</f>
        <v>11991139696194.818</v>
      </c>
      <c r="L2" s="10">
        <f>'EE Comp Projection'!L22</f>
        <v>12095199538316.385</v>
      </c>
      <c r="M2" s="10">
        <f>'EE Comp Projection'!M22</f>
        <v>12198197835566.346</v>
      </c>
      <c r="N2" s="10">
        <f>'EE Comp Projection'!N22</f>
        <v>12300109685484.521</v>
      </c>
      <c r="O2" s="10">
        <f>'EE Comp Projection'!O22</f>
        <v>12400839590356.217</v>
      </c>
      <c r="P2" s="10">
        <f>'EE Comp Projection'!P22</f>
        <v>12500360893516.139</v>
      </c>
      <c r="Q2" s="10">
        <f>'EE Comp Projection'!Q22</f>
        <v>12598611086941.082</v>
      </c>
      <c r="R2" s="10">
        <f>'EE Comp Projection'!R22</f>
        <v>12695598026444.391</v>
      </c>
      <c r="S2" s="10">
        <f>'EE Comp Projection'!S22</f>
        <v>12791330024668.094</v>
      </c>
      <c r="T2" s="10">
        <f>'EE Comp Projection'!T22</f>
        <v>12885779734289.713</v>
      </c>
      <c r="U2" s="10">
        <f>'EE Comp Projection'!U22</f>
        <v>12979101100907.746</v>
      </c>
      <c r="V2" s="10">
        <f>'EE Comp Projection'!V22</f>
        <v>13071378689425.154</v>
      </c>
      <c r="W2" s="10">
        <f>'EE Comp Projection'!W22</f>
        <v>13162772621432.547</v>
      </c>
      <c r="X2" s="10">
        <f>'EE Comp Projection'!X22</f>
        <v>13253409848634.744</v>
      </c>
      <c r="Y2" s="10">
        <f>'EE Comp Projection'!Y22</f>
        <v>13343383192194.979</v>
      </c>
      <c r="Z2" s="10">
        <f>'EE Comp Projection'!Z22</f>
        <v>13432899688443.514</v>
      </c>
      <c r="AA2" s="10">
        <f>'EE Comp Projection'!AA22</f>
        <v>13522058480763.242</v>
      </c>
      <c r="AB2" s="10">
        <f>'EE Comp Projection'!AB22</f>
        <v>13611074243998.25</v>
      </c>
      <c r="AC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1</vt:i4>
      </vt:variant>
    </vt:vector>
  </HeadingPairs>
  <TitlesOfParts>
    <vt:vector size="11" baseType="lpstr">
      <vt:lpstr>About</vt:lpstr>
      <vt:lpstr>Census Pop Proj</vt:lpstr>
      <vt:lpstr>Emp Pop Ratio</vt:lpstr>
      <vt:lpstr>Avg Emp-Pop Ratio</vt:lpstr>
      <vt:lpstr>BLS Comp per Hr Worked</vt:lpstr>
      <vt:lpstr>BECbIC</vt:lpstr>
      <vt:lpstr>EE Comp Projection</vt:lpstr>
      <vt:lpstr>population</vt:lpstr>
      <vt:lpstr>BEaCP-employedpop</vt:lpstr>
      <vt:lpstr>BEaCP-employeecomp</vt:lpstr>
      <vt:lpstr>'Census Pop Proj'!Print_Titles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Dan O'Brien</cp:lastModifiedBy>
  <dcterms:created xsi:type="dcterms:W3CDTF">2020-07-11T20:54:19Z</dcterms:created>
  <dcterms:modified xsi:type="dcterms:W3CDTF">2026-01-23T14:43:31Z</dcterms:modified>
</cp:coreProperties>
</file>