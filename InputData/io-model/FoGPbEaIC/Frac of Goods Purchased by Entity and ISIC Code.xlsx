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BEA Use 2017" sheetId="2" state="visible" r:id="rId2"/>
    <sheet xmlns:r="http://schemas.openxmlformats.org/officeDocument/2006/relationships" name="Key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Checks" sheetId="5" state="visible" r:id="rId5"/>
    <sheet xmlns:r="http://schemas.openxmlformats.org/officeDocument/2006/relationships" name="FoGPbEaIC-isi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i val="1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ea.gov/industry/input-output-accounts-data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FoGPbEaIC Fraction of Goods Purchased by Entity and ISIC Code</t>
        </is>
      </c>
    </row>
    <row r="3">
      <c r="A3" s="1" t="inlineStr">
        <is>
          <t>Sources:</t>
        </is>
      </c>
      <c r="B3" s="2" t="inlineStr">
        <is>
          <t>Intermediate purchases by industry (2017 benchmark)</t>
        </is>
      </c>
    </row>
    <row r="4">
      <c r="B4" s="3" t="inlineStr">
        <is>
          <t>BEA</t>
        </is>
      </c>
    </row>
    <row r="5">
      <c r="B5" s="3" t="inlineStr">
        <is>
          <t>Use table (SUT, detail): purchases of each Industry Category's mapped ISIC counterpart, by supplying commodity, crosswalked to the 52 codes and normalized to row sums of 1</t>
        </is>
      </c>
    </row>
    <row r="6">
      <c r="B6" s="3" t="n">
        <v>2023</v>
      </c>
    </row>
    <row r="7">
      <c r="B7" s="4" t="inlineStr">
        <is>
          <t>https://www.bea.gov/industry/input-output-accounts-data</t>
        </is>
      </c>
    </row>
    <row r="8">
      <c r="B8" s="3" t="inlineStr">
        <is>
          <t>Buyer scope = the category's mapped ISIC counterpart (e.g. nonroad vehicles -&gt; ISIC 302T309). FoGPbEaIC-entity.csv is Cash-Flow-Entity-dimensioned and unchanged by the ISIC expansion.</t>
        </is>
      </c>
    </row>
    <row r="11">
      <c r="A11" s="1" t="inlineStr">
        <is>
          <t>Notes:</t>
        </is>
      </c>
    </row>
    <row r="12">
      <c r="A12" s="1" t="inlineStr">
        <is>
          <t>Export</t>
        </is>
      </c>
      <c r="B12" s="3" t="inlineStr">
        <is>
          <t>FoGPbEaIC-isic.csv = output tab (25 categories x 52 codes).</t>
        </is>
      </c>
    </row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The Use Table (Supply-Use Framework), 2017</t>
        </is>
      </c>
    </row>
    <row r="2">
      <c r="A2" t="inlineStr">
        <is>
          <t>[Millions of dollars]</t>
        </is>
      </c>
    </row>
    <row r="3">
      <c r="A3" t="inlineStr">
        <is>
          <t>Bureau of Economic Analysis</t>
        </is>
      </c>
    </row>
    <row r="5">
      <c r="A5" t="inlineStr">
        <is>
          <t>Commodities/Industries</t>
        </is>
      </c>
      <c r="C5" t="inlineStr">
        <is>
          <t>Oilseed farming</t>
        </is>
      </c>
      <c r="D5" t="inlineStr">
        <is>
          <t>Grain farming</t>
        </is>
      </c>
      <c r="E5" t="inlineStr">
        <is>
          <t>Vegetable and melon farming</t>
        </is>
      </c>
      <c r="F5" t="inlineStr">
        <is>
          <t>Fruit and tree nut farming</t>
        </is>
      </c>
      <c r="G5" t="inlineStr">
        <is>
          <t>Greenhouse, nursery, and floriculture production</t>
        </is>
      </c>
      <c r="H5" t="inlineStr">
        <is>
          <t>Other crop farming</t>
        </is>
      </c>
      <c r="I5" t="inlineStr">
        <is>
          <t>Dairy cattle and milk production</t>
        </is>
      </c>
      <c r="J5" t="inlineStr">
        <is>
          <t>Beef cattle ranching and farming, including feedlots and dual-purpose ranching and farming</t>
        </is>
      </c>
      <c r="K5" t="inlineStr">
        <is>
          <t>Poultry and egg production</t>
        </is>
      </c>
      <c r="L5" t="inlineStr">
        <is>
          <t>Animal production, except cattle and poultry and eggs</t>
        </is>
      </c>
      <c r="M5" t="inlineStr">
        <is>
          <t>Forestry and logging</t>
        </is>
      </c>
      <c r="N5" t="inlineStr">
        <is>
          <t>Fishing, hunting and trapping</t>
        </is>
      </c>
      <c r="O5" t="inlineStr">
        <is>
          <t>Support activities for agriculture and forestry</t>
        </is>
      </c>
      <c r="P5" t="inlineStr">
        <is>
          <t>Oil and gas extraction</t>
        </is>
      </c>
      <c r="Q5" t="inlineStr">
        <is>
          <t>Coal mining</t>
        </is>
      </c>
      <c r="R5" t="inlineStr">
        <is>
          <t>Copper, nickel, lead, and zinc mining</t>
        </is>
      </c>
      <c r="S5" t="inlineStr">
        <is>
          <t>Iron, gold, silver, and other metal ore mining</t>
        </is>
      </c>
      <c r="T5" t="inlineStr">
        <is>
          <t>Stone mining and quarrying</t>
        </is>
      </c>
      <c r="U5" t="inlineStr">
        <is>
          <t>Other nonmetallic mineral mining and quarrying</t>
        </is>
      </c>
      <c r="V5" t="inlineStr">
        <is>
          <t>Drilling oil and gas wells</t>
        </is>
      </c>
      <c r="W5" t="inlineStr">
        <is>
          <t>Other support activities for mining</t>
        </is>
      </c>
      <c r="X5" t="inlineStr">
        <is>
          <t>Electric power generation, transmission, and distribution</t>
        </is>
      </c>
      <c r="Y5" t="inlineStr">
        <is>
          <t>Natural gas distribution</t>
        </is>
      </c>
      <c r="Z5" t="inlineStr">
        <is>
          <t>Water, sewage and other systems</t>
        </is>
      </c>
      <c r="AA5" t="inlineStr">
        <is>
          <t>Health care structures</t>
        </is>
      </c>
      <c r="AB5" t="inlineStr">
        <is>
          <t>Educational and vocational structures</t>
        </is>
      </c>
      <c r="AC5" t="inlineStr">
        <is>
          <t>Nonresidential maintenance and repair</t>
        </is>
      </c>
      <c r="AD5" t="inlineStr">
        <is>
          <t>Residential maintenance and repair</t>
        </is>
      </c>
      <c r="AE5" t="inlineStr">
        <is>
          <t>Office and commercial structures</t>
        </is>
      </c>
      <c r="AF5" t="inlineStr">
        <is>
          <t>Multifamily residential structures</t>
        </is>
      </c>
      <c r="AG5" t="inlineStr">
        <is>
          <t>Other residential structures</t>
        </is>
      </c>
      <c r="AH5" t="inlineStr">
        <is>
          <t>Manufacturing structures</t>
        </is>
      </c>
      <c r="AI5" t="inlineStr">
        <is>
          <t>Other nonresidential structures</t>
        </is>
      </c>
      <c r="AJ5" t="inlineStr">
        <is>
          <t>Power and communication structures</t>
        </is>
      </c>
      <c r="AK5" t="inlineStr">
        <is>
          <t>Single-family residential structures</t>
        </is>
      </c>
      <c r="AL5" t="inlineStr">
        <is>
          <t>Transportation structures and highways and streets</t>
        </is>
      </c>
      <c r="AM5" t="inlineStr">
        <is>
          <t>Sawmills and wood preservation</t>
        </is>
      </c>
      <c r="AN5" t="inlineStr">
        <is>
          <t>Veneer, plywood, and engineered wood product manufacturing</t>
        </is>
      </c>
      <c r="AO5" t="inlineStr">
        <is>
          <t>Millwork</t>
        </is>
      </c>
      <c r="AP5" t="inlineStr">
        <is>
          <t>All other wood product manufacturing</t>
        </is>
      </c>
      <c r="AQ5" t="inlineStr">
        <is>
          <t>Clay product and refractory manufacturing</t>
        </is>
      </c>
      <c r="AR5" t="inlineStr">
        <is>
          <t>Glass and glass product manufacturing</t>
        </is>
      </c>
      <c r="AS5" t="inlineStr">
        <is>
          <t>Cement manufacturing</t>
        </is>
      </c>
      <c r="AT5" t="inlineStr">
        <is>
          <t>Ready-mix concrete manufacturing</t>
        </is>
      </c>
      <c r="AU5" t="inlineStr">
        <is>
          <t>Concrete pipe, brick, and block manufacturing</t>
        </is>
      </c>
      <c r="AV5" t="inlineStr">
        <is>
          <t>Other concrete product manufacturing</t>
        </is>
      </c>
      <c r="AW5" t="inlineStr">
        <is>
          <t>Lime and gypsum product manufacturing</t>
        </is>
      </c>
      <c r="AX5" t="inlineStr">
        <is>
          <t>Abrasive product manufacturing</t>
        </is>
      </c>
      <c r="AY5" t="inlineStr">
        <is>
          <t>Cut stone and stone product manufacturing</t>
        </is>
      </c>
      <c r="AZ5" t="inlineStr">
        <is>
          <t>Ground or treated mineral and earth manufacturing</t>
        </is>
      </c>
      <c r="BA5" t="inlineStr">
        <is>
          <t>Mineral wool manufacturing</t>
        </is>
      </c>
      <c r="BB5" t="inlineStr">
        <is>
          <t>Miscellaneous nonmetallic mineral products</t>
        </is>
      </c>
      <c r="BC5" t="inlineStr">
        <is>
          <t>Iron and steel mills and ferroalloy manufacturing</t>
        </is>
      </c>
      <c r="BD5" t="inlineStr">
        <is>
          <t>Steel product manufacturing from purchased steel</t>
        </is>
      </c>
      <c r="BE5" t="inlineStr">
        <is>
          <t>Secondary smelting and alloying of aluminum</t>
        </is>
      </c>
      <c r="BF5" t="inlineStr">
        <is>
          <t>Alumina refining and primary aluminum production</t>
        </is>
      </c>
      <c r="BG5" t="inlineStr">
        <is>
          <t>Aluminum product manufacturing from purchased aluminum</t>
        </is>
      </c>
      <c r="BH5" t="inlineStr">
        <is>
          <t>Nonferrous metal (except aluminum) smelting and refining</t>
        </is>
      </c>
      <c r="BI5" t="inlineStr">
        <is>
          <t>Copper rolling, drawing, extruding and alloying</t>
        </is>
      </c>
      <c r="BJ5" t="inlineStr">
        <is>
          <t>Nonferrous metal (except copper and aluminum) rolling, drawing, extruding and alloying</t>
        </is>
      </c>
      <c r="BK5" t="inlineStr">
        <is>
          <t>Ferrous metal foundries</t>
        </is>
      </c>
      <c r="BL5" t="inlineStr">
        <is>
          <t>Nonferrous metal foundries</t>
        </is>
      </c>
      <c r="BM5" t="inlineStr">
        <is>
          <t>Custom roll forming</t>
        </is>
      </c>
      <c r="BN5" t="inlineStr">
        <is>
          <t>All other forging, stamping, and sintering</t>
        </is>
      </c>
      <c r="BO5" t="inlineStr">
        <is>
          <t>Metal crown, closure, and other metal stamping (except automotive)</t>
        </is>
      </c>
      <c r="BP5" t="inlineStr">
        <is>
          <t>Cutlery and handtool manufacturing</t>
        </is>
      </c>
      <c r="BQ5" t="inlineStr">
        <is>
          <t>Plate work and fabricated structural product manufacturing</t>
        </is>
      </c>
      <c r="BR5" t="inlineStr">
        <is>
          <t>Ornamental and architectural metal products manufacturing</t>
        </is>
      </c>
      <c r="BS5" t="inlineStr">
        <is>
          <t>Power boiler and heat exchanger manufacturing</t>
        </is>
      </c>
      <c r="BT5" t="inlineStr">
        <is>
          <t>Metal tank (heavy gauge) manufacturing</t>
        </is>
      </c>
      <c r="BU5" t="inlineStr">
        <is>
          <t>Metal can, box, and other metal container (light gauge) manufacturing</t>
        </is>
      </c>
      <c r="BV5" t="inlineStr">
        <is>
          <t>Hardware manufacturing</t>
        </is>
      </c>
      <c r="BW5" t="inlineStr">
        <is>
          <t>Spring and wire product manufacturing</t>
        </is>
      </c>
      <c r="BX5" t="inlineStr">
        <is>
          <t>Machine shops</t>
        </is>
      </c>
      <c r="BY5" t="inlineStr">
        <is>
          <t>Turned product and screw, nut, and bolt manufacturing</t>
        </is>
      </c>
      <c r="BZ5" t="inlineStr">
        <is>
          <t>Coating, engraving, heat treating and allied activities</t>
        </is>
      </c>
      <c r="CA5" t="inlineStr">
        <is>
          <t>Plumbing fixture fitting and trim manufacturing</t>
        </is>
      </c>
      <c r="CB5" t="inlineStr">
        <is>
          <t>Valve and fittings other than plumbing</t>
        </is>
      </c>
      <c r="CC5" t="inlineStr">
        <is>
          <t>Ball and roller bearing manufacturing</t>
        </is>
      </c>
      <c r="CD5" t="inlineStr">
        <is>
          <t>Fabricated pipe and pipe fitting manufacturing</t>
        </is>
      </c>
      <c r="CE5" t="inlineStr">
        <is>
          <t>Ammunition, arms, ordnance, and accessories manufacturing</t>
        </is>
      </c>
      <c r="CF5" t="inlineStr">
        <is>
          <t>Other fabricated metal manufacturing</t>
        </is>
      </c>
      <c r="CG5" t="inlineStr">
        <is>
          <t>Farm machinery and equipment manufacturing</t>
        </is>
      </c>
      <c r="CH5" t="inlineStr">
        <is>
          <t>Lawn and garden equipment manufacturing</t>
        </is>
      </c>
      <c r="CI5" t="inlineStr">
        <is>
          <t>Construction machinery manufacturing</t>
        </is>
      </c>
      <c r="CJ5" t="inlineStr">
        <is>
          <t>Mining and oil and gas field machinery manufacturing</t>
        </is>
      </c>
      <c r="CK5" t="inlineStr">
        <is>
          <t>Semiconductor machinery manufacturing</t>
        </is>
      </c>
      <c r="CL5" t="inlineStr">
        <is>
          <t>Other industrial machinery manufacturing</t>
        </is>
      </c>
      <c r="CM5" t="inlineStr">
        <is>
          <t>Optical instrument and lens manufacturing</t>
        </is>
      </c>
      <c r="CN5" t="inlineStr">
        <is>
          <t>Photographic and photocopying equipment manufacturing</t>
        </is>
      </c>
      <c r="CO5" t="inlineStr">
        <is>
          <t>Other commercial and service industry machinery manufacturing</t>
        </is>
      </c>
      <c r="CP5" t="inlineStr">
        <is>
          <t>Heating equipment (except warm air furnaces) manufacturing</t>
        </is>
      </c>
      <c r="CQ5" t="inlineStr">
        <is>
          <t>Air conditioning, refrigeration, and warm air heating equipment manufacturing</t>
        </is>
      </c>
      <c r="CR5" t="inlineStr">
        <is>
          <t>Industrial and commercial fan and blower and air purification equipment manufacturing</t>
        </is>
      </c>
      <c r="CS5" t="inlineStr">
        <is>
          <t>Industrial mold manufacturing</t>
        </is>
      </c>
      <c r="CT5" t="inlineStr">
        <is>
          <t>Special tool, die, jig, and fixture manufacturing</t>
        </is>
      </c>
      <c r="CU5" t="inlineStr">
        <is>
          <t>Machine tool manufacturing</t>
        </is>
      </c>
      <c r="CV5" t="inlineStr">
        <is>
          <t>Cutting and machine tool accessory, rolling mill, and other metalworking machinery manufacturing</t>
        </is>
      </c>
      <c r="CW5" t="inlineStr">
        <is>
          <t>Turbine and turbine generator set units manufacturing</t>
        </is>
      </c>
      <c r="CX5" t="inlineStr">
        <is>
          <t>Speed changer, industrial high-speed drive, and gear manufacturing</t>
        </is>
      </c>
      <c r="CY5" t="inlineStr">
        <is>
          <t>Mechanical power transmission equipment manufacturing</t>
        </is>
      </c>
      <c r="CZ5" t="inlineStr">
        <is>
          <t>Other engine equipment manufacturing</t>
        </is>
      </c>
      <c r="DA5" t="inlineStr">
        <is>
          <t>Air and gas compressor manufacturing</t>
        </is>
      </c>
      <c r="DB5" t="inlineStr">
        <is>
          <t>Measuring, dispensing, and other pumping equipment manufacturing</t>
        </is>
      </c>
      <c r="DC5" t="inlineStr">
        <is>
          <t>Material handling equipment manufacturing</t>
        </is>
      </c>
      <c r="DD5" t="inlineStr">
        <is>
          <t>Power-driven handtool manufacturing</t>
        </is>
      </c>
      <c r="DE5" t="inlineStr">
        <is>
          <t>Packaging machinery manufacturing</t>
        </is>
      </c>
      <c r="DF5" t="inlineStr">
        <is>
          <t>Industrial process furnace and oven manufacturing</t>
        </is>
      </c>
      <c r="DG5" t="inlineStr">
        <is>
          <t>Other general purpose machinery manufacturing</t>
        </is>
      </c>
      <c r="DH5" t="inlineStr">
        <is>
          <t>Fluid power process machinery</t>
        </is>
      </c>
      <c r="DI5" t="inlineStr">
        <is>
          <t>Electronic computer manufacturing</t>
        </is>
      </c>
      <c r="DJ5" t="inlineStr">
        <is>
          <t>Computer storage device manufacturing</t>
        </is>
      </c>
      <c r="DK5" t="inlineStr">
        <is>
          <t>Computer terminals and other computer peripheral equipment manufacturing</t>
        </is>
      </c>
      <c r="DL5" t="inlineStr">
        <is>
          <t>Telephone apparatus manufacturing</t>
        </is>
      </c>
      <c r="DM5" t="inlineStr">
        <is>
          <t>Broadcast and wireless communications equipment</t>
        </is>
      </c>
      <c r="DN5" t="inlineStr">
        <is>
          <t>Other communications equipment manufacturing</t>
        </is>
      </c>
      <c r="DO5" t="inlineStr">
        <is>
          <t>Semiconductor and related device manufacturing</t>
        </is>
      </c>
      <c r="DP5" t="inlineStr">
        <is>
          <t>Printed circuit assembly (electronic assembly) manufacturing</t>
        </is>
      </c>
      <c r="DQ5" t="inlineStr">
        <is>
          <t>Other electronic component manufacturing</t>
        </is>
      </c>
      <c r="DR5" t="inlineStr">
        <is>
          <t>Electromedical and electrotherapeutic apparatus manufacturing</t>
        </is>
      </c>
      <c r="DS5" t="inlineStr">
        <is>
          <t>Search, detection, and navigation instruments manufacturing</t>
        </is>
      </c>
      <c r="DT5" t="inlineStr">
        <is>
          <t>Automatic environmental control manufacturing</t>
        </is>
      </c>
      <c r="DU5" t="inlineStr">
        <is>
          <t>Industrial process variable instruments manufacturing</t>
        </is>
      </c>
      <c r="DV5" t="inlineStr">
        <is>
          <t>Totalizing fluid meter and counting device manufacturing</t>
        </is>
      </c>
      <c r="DW5" t="inlineStr">
        <is>
          <t>Electricity and signal testing instruments manufacturing</t>
        </is>
      </c>
      <c r="DX5" t="inlineStr">
        <is>
          <t>Analytical laboratory instrument manufacturing</t>
        </is>
      </c>
      <c r="DY5" t="inlineStr">
        <is>
          <t>Irradiation apparatus manufacturing</t>
        </is>
      </c>
      <c r="DZ5" t="inlineStr">
        <is>
          <t>Watch, clock, and other measuring and controlling device manufacturing</t>
        </is>
      </c>
      <c r="EA5" t="inlineStr">
        <is>
          <t>Audio and video equipment manufacturing</t>
        </is>
      </c>
      <c r="EB5" t="inlineStr">
        <is>
          <t>Manufacturing and reproducing magnetic and optical media</t>
        </is>
      </c>
      <c r="EC5" t="inlineStr">
        <is>
          <t>Electric lamp bulb and part manufacturing</t>
        </is>
      </c>
      <c r="ED5" t="inlineStr">
        <is>
          <t>Lighting fixture manufacturing</t>
        </is>
      </c>
      <c r="EE5" t="inlineStr">
        <is>
          <t>Small electrical appliance manufacturing</t>
        </is>
      </c>
      <c r="EF5" t="inlineStr">
        <is>
          <t>Major household appliance manufacturing</t>
        </is>
      </c>
      <c r="EG5" t="inlineStr">
        <is>
          <t>Power, distribution, and specialty transformer manufacturing</t>
        </is>
      </c>
      <c r="EH5" t="inlineStr">
        <is>
          <t>Motor and generator manufacturing</t>
        </is>
      </c>
      <c r="EI5" t="inlineStr">
        <is>
          <t>Switchgear and switchboard apparatus manufacturing</t>
        </is>
      </c>
      <c r="EJ5" t="inlineStr">
        <is>
          <t>Relay and industrial control manufacturing</t>
        </is>
      </c>
      <c r="EK5" t="inlineStr">
        <is>
          <t>Storage battery manufacturing</t>
        </is>
      </c>
      <c r="EL5" t="inlineStr">
        <is>
          <t>Primary battery manufacturing</t>
        </is>
      </c>
      <c r="EM5" t="inlineStr">
        <is>
          <t>Communication and energy wire and cable manufacturing</t>
        </is>
      </c>
      <c r="EN5" t="inlineStr">
        <is>
          <t>Wiring device manufacturing</t>
        </is>
      </c>
      <c r="EO5" t="inlineStr">
        <is>
          <t>Carbon and graphite product manufacturing</t>
        </is>
      </c>
      <c r="EP5" t="inlineStr">
        <is>
          <t>All other miscellaneous electrical equipment and component manufacturing</t>
        </is>
      </c>
      <c r="EQ5" t="inlineStr">
        <is>
          <t>Automobile manufacturing</t>
        </is>
      </c>
      <c r="ER5" t="inlineStr">
        <is>
          <t>Light truck and utility vehicle manufacturing</t>
        </is>
      </c>
      <c r="ES5" t="inlineStr">
        <is>
          <t>Heavy duty truck manufacturing</t>
        </is>
      </c>
      <c r="ET5" t="inlineStr">
        <is>
          <t>Motor vehicle body manufacturing</t>
        </is>
      </c>
      <c r="EU5" t="inlineStr">
        <is>
          <t>Truck trailer manufacturing</t>
        </is>
      </c>
      <c r="EV5" t="inlineStr">
        <is>
          <t>Motor home manufacturing</t>
        </is>
      </c>
      <c r="EW5" t="inlineStr">
        <is>
          <t>Travel trailer and camper manufacturing</t>
        </is>
      </c>
      <c r="EX5" t="inlineStr">
        <is>
          <t>Motor vehicle gasoline engine and engine parts manufacturing</t>
        </is>
      </c>
      <c r="EY5" t="inlineStr">
        <is>
          <t>Motor vehicle electrical and electronic equipment manufacturing</t>
        </is>
      </c>
      <c r="EZ5" t="inlineStr">
        <is>
          <t>Motor vehicle transmission and power train parts manufacturing</t>
        </is>
      </c>
      <c r="FA5" t="inlineStr">
        <is>
          <t>Motor vehicle seating and interior trim manufacturing</t>
        </is>
      </c>
      <c r="FB5" t="inlineStr">
        <is>
          <t>Motor vehicle metal stamping</t>
        </is>
      </c>
      <c r="FC5" t="inlineStr">
        <is>
          <t>Other motor vehicle parts manufacturing</t>
        </is>
      </c>
      <c r="FD5" t="inlineStr">
        <is>
          <t>Motor vehicle steering, suspension component (except spring), and brake systems manufacturing</t>
        </is>
      </c>
      <c r="FE5" t="inlineStr">
        <is>
          <t>Aircraft manufacturing</t>
        </is>
      </c>
      <c r="FF5" t="inlineStr">
        <is>
          <t>Aircraft engine and engine parts manufacturing</t>
        </is>
      </c>
      <c r="FG5" t="inlineStr">
        <is>
          <t>Other aircraft parts and auxiliary equipment manufacturing</t>
        </is>
      </c>
      <c r="FH5" t="inlineStr">
        <is>
          <t>Guided missile and space vehicle manufacturing</t>
        </is>
      </c>
      <c r="FI5" t="inlineStr">
        <is>
          <t>Propulsion units and parts for space vehicles and guided missiles</t>
        </is>
      </c>
      <c r="FJ5" t="inlineStr">
        <is>
          <t>Railroad rolling stock manufacturing</t>
        </is>
      </c>
      <c r="FK5" t="inlineStr">
        <is>
          <t>Ship building and repairing</t>
        </is>
      </c>
      <c r="FL5" t="inlineStr">
        <is>
          <t>Boat building</t>
        </is>
      </c>
      <c r="FM5" t="inlineStr">
        <is>
          <t>Motorcycle, bicycle, and parts manufacturing</t>
        </is>
      </c>
      <c r="FN5" t="inlineStr">
        <is>
          <t>Military armored vehicle, tank, and tank component manufacturing</t>
        </is>
      </c>
      <c r="FO5" t="inlineStr">
        <is>
          <t>All other transportation equipment manufacturing</t>
        </is>
      </c>
      <c r="FP5" t="inlineStr">
        <is>
          <t>Wood kitchen cabinet and countertop manufacturing</t>
        </is>
      </c>
      <c r="FQ5" t="inlineStr">
        <is>
          <t>Upholstered household furniture manufacturing</t>
        </is>
      </c>
      <c r="FR5" t="inlineStr">
        <is>
          <t>Nonupholstered wood household furniture manufacturing</t>
        </is>
      </c>
      <c r="FS5" t="inlineStr">
        <is>
          <t>Institutional furniture manufacturing</t>
        </is>
      </c>
      <c r="FT5" t="inlineStr">
        <is>
          <t>Other household nonupholstered furniture</t>
        </is>
      </c>
      <c r="FU5" t="inlineStr">
        <is>
          <t>Showcase, partition, shelving, and locker manufacturing</t>
        </is>
      </c>
      <c r="FV5" t="inlineStr">
        <is>
          <t>Office furniture and custom architectural woodwork and millwork manufacturing</t>
        </is>
      </c>
      <c r="FW5" t="inlineStr">
        <is>
          <t>Other furniture related product manufacturing</t>
        </is>
      </c>
      <c r="FX5" t="inlineStr">
        <is>
          <t>Surgical and medical instrument manufacturing</t>
        </is>
      </c>
      <c r="FY5" t="inlineStr">
        <is>
          <t>Surgical appliance and supplies manufacturing</t>
        </is>
      </c>
      <c r="FZ5" t="inlineStr">
        <is>
          <t>Dental equipment and supplies manufacturing</t>
        </is>
      </c>
      <c r="GA5" t="inlineStr">
        <is>
          <t>Ophthalmic goods manufacturing</t>
        </is>
      </c>
      <c r="GB5" t="inlineStr">
        <is>
          <t>Dental laboratories</t>
        </is>
      </c>
      <c r="GC5" t="inlineStr">
        <is>
          <t>Jewelry and silverware manufacturing</t>
        </is>
      </c>
      <c r="GD5" t="inlineStr">
        <is>
          <t>Sporting and athletic goods manufacturing</t>
        </is>
      </c>
      <c r="GE5" t="inlineStr">
        <is>
          <t>Doll, toy, and game manufacturing</t>
        </is>
      </c>
      <c r="GF5" t="inlineStr">
        <is>
          <t>Office supplies (except paper) manufacturing</t>
        </is>
      </c>
      <c r="GG5" t="inlineStr">
        <is>
          <t>Sign manufacturing</t>
        </is>
      </c>
      <c r="GH5" t="inlineStr">
        <is>
          <t>All other miscellaneous manufacturing</t>
        </is>
      </c>
      <c r="GI5" t="inlineStr">
        <is>
          <t>Dog and cat food manufacturing</t>
        </is>
      </c>
      <c r="GJ5" t="inlineStr">
        <is>
          <t>Other animal food manufacturing</t>
        </is>
      </c>
      <c r="GK5" t="inlineStr">
        <is>
          <t>Flour milling and malt manufacturing</t>
        </is>
      </c>
      <c r="GL5" t="inlineStr">
        <is>
          <t>Wet corn milling</t>
        </is>
      </c>
      <c r="GM5" t="inlineStr">
        <is>
          <t>Fats and oils refining and blending</t>
        </is>
      </c>
      <c r="GN5" t="inlineStr">
        <is>
          <t>Soybean and other oilseed processing</t>
        </is>
      </c>
      <c r="GO5" t="inlineStr">
        <is>
          <t>Breakfast cereal manufacturing</t>
        </is>
      </c>
      <c r="GP5" t="inlineStr">
        <is>
          <t>Sugar and confectionery product manufacturing</t>
        </is>
      </c>
      <c r="GQ5" t="inlineStr">
        <is>
          <t>Frozen food manufacturing</t>
        </is>
      </c>
      <c r="GR5" t="inlineStr">
        <is>
          <t>Fruit and vegetable canning, pickling, and drying</t>
        </is>
      </c>
      <c r="GS5" t="inlineStr">
        <is>
          <t>Cheese manufacturing</t>
        </is>
      </c>
      <c r="GT5" t="inlineStr">
        <is>
          <t>Dry, condensed, and evaporated dairy product manufacturing</t>
        </is>
      </c>
      <c r="GU5" t="inlineStr">
        <is>
          <t>Fluid milk and butter manufacturing</t>
        </is>
      </c>
      <c r="GV5" t="inlineStr">
        <is>
          <t>Ice cream and frozen dessert manufacturing</t>
        </is>
      </c>
      <c r="GW5" t="inlineStr">
        <is>
          <t>Poultry processing</t>
        </is>
      </c>
      <c r="GX5" t="inlineStr">
        <is>
          <t>Animal (except poultry) slaughtering, rendering, and processing</t>
        </is>
      </c>
      <c r="GY5" t="inlineStr">
        <is>
          <t>Seafood product preparation and packaging</t>
        </is>
      </c>
      <c r="GZ5" t="inlineStr">
        <is>
          <t>Bread and bakery product manufacturing</t>
        </is>
      </c>
      <c r="HA5" t="inlineStr">
        <is>
          <t>Cookie, cracker, pasta, and tortilla manufacturing</t>
        </is>
      </c>
      <c r="HB5" t="inlineStr">
        <is>
          <t>Snack food manufacturing</t>
        </is>
      </c>
      <c r="HC5" t="inlineStr">
        <is>
          <t>Coffee and tea manufacturing</t>
        </is>
      </c>
      <c r="HD5" t="inlineStr">
        <is>
          <t>Flavoring syrup and concentrate manufacturing</t>
        </is>
      </c>
      <c r="HE5" t="inlineStr">
        <is>
          <t>Seasoning and dressing manufacturing</t>
        </is>
      </c>
      <c r="HF5" t="inlineStr">
        <is>
          <t>All other food manufacturing</t>
        </is>
      </c>
      <c r="HG5" t="inlineStr">
        <is>
          <t>Soft drink and ice manufacturing</t>
        </is>
      </c>
      <c r="HH5" t="inlineStr">
        <is>
          <t>Breweries</t>
        </is>
      </c>
      <c r="HI5" t="inlineStr">
        <is>
          <t>Wineries</t>
        </is>
      </c>
      <c r="HJ5" t="inlineStr">
        <is>
          <t>Distilleries</t>
        </is>
      </c>
      <c r="HK5" t="inlineStr">
        <is>
          <t>Tobacco manufacturing</t>
        </is>
      </c>
      <c r="HL5" t="inlineStr">
        <is>
          <t>Fiber, yarn, and thread mills</t>
        </is>
      </c>
      <c r="HM5" t="inlineStr">
        <is>
          <t>Fabric mills</t>
        </is>
      </c>
      <c r="HN5" t="inlineStr">
        <is>
          <t>Textile and fabric finishing and fabric coating mills</t>
        </is>
      </c>
      <c r="HO5" t="inlineStr">
        <is>
          <t>Carpet and rug mills</t>
        </is>
      </c>
      <c r="HP5" t="inlineStr">
        <is>
          <t>Curtain and linen mills</t>
        </is>
      </c>
      <c r="HQ5" t="inlineStr">
        <is>
          <t>Other textile product mills</t>
        </is>
      </c>
      <c r="HR5" t="inlineStr">
        <is>
          <t>Apparel manufacturing</t>
        </is>
      </c>
      <c r="HS5" t="inlineStr">
        <is>
          <t>Leather and allied product manufacturing</t>
        </is>
      </c>
      <c r="HT5" t="inlineStr">
        <is>
          <t>Pulp mills</t>
        </is>
      </c>
      <c r="HU5" t="inlineStr">
        <is>
          <t>Paper mills</t>
        </is>
      </c>
      <c r="HV5" t="inlineStr">
        <is>
          <t>Paperboard mills</t>
        </is>
      </c>
      <c r="HW5" t="inlineStr">
        <is>
          <t>Paperboard container manufacturing</t>
        </is>
      </c>
      <c r="HX5" t="inlineStr">
        <is>
          <t>Paper bag and coated and treated paper manufacturing</t>
        </is>
      </c>
      <c r="HY5" t="inlineStr">
        <is>
          <t>Stationery product manufacturing</t>
        </is>
      </c>
      <c r="HZ5" t="inlineStr">
        <is>
          <t>Sanitary paper product manufacturing</t>
        </is>
      </c>
      <c r="IA5" t="inlineStr">
        <is>
          <t>All other converted paper product manufacturing</t>
        </is>
      </c>
      <c r="IB5" t="inlineStr">
        <is>
          <t>Printing</t>
        </is>
      </c>
      <c r="IC5" t="inlineStr">
        <is>
          <t>Support activities for printing</t>
        </is>
      </c>
      <c r="ID5" t="inlineStr">
        <is>
          <t>Petroleum refineries</t>
        </is>
      </c>
      <c r="IE5" t="inlineStr">
        <is>
          <t>Asphalt paving mixture and block manufacturing</t>
        </is>
      </c>
      <c r="IF5" t="inlineStr">
        <is>
          <t>Asphalt shingle and coating materials manufacturing</t>
        </is>
      </c>
      <c r="IG5" t="inlineStr">
        <is>
          <t>Other petroleum and coal products manufacturing</t>
        </is>
      </c>
      <c r="IH5" t="inlineStr">
        <is>
          <t>Petrochemical manufacturing</t>
        </is>
      </c>
      <c r="II5" t="inlineStr">
        <is>
          <t>Industrial gas manufacturing</t>
        </is>
      </c>
      <c r="IJ5" t="inlineStr">
        <is>
          <t>Synthetic dye and pigment manufacturing</t>
        </is>
      </c>
      <c r="IK5" t="inlineStr">
        <is>
          <t>Other basic inorganic chemical manufacturing</t>
        </is>
      </c>
      <c r="IL5" t="inlineStr">
        <is>
          <t>Other basic organic chemical manufacturing</t>
        </is>
      </c>
      <c r="IM5" t="inlineStr">
        <is>
          <t>Plastics material and resin manufacturing</t>
        </is>
      </c>
      <c r="IN5" t="inlineStr">
        <is>
          <t>Synthetic rubber and artificial and synthetic fibers and filaments manufacturing</t>
        </is>
      </c>
      <c r="IO5" t="inlineStr">
        <is>
          <t>Medicinal and botanical manufacturing</t>
        </is>
      </c>
      <c r="IP5" t="inlineStr">
        <is>
          <t>Pharmaceutical preparation manufacturing</t>
        </is>
      </c>
      <c r="IQ5" t="inlineStr">
        <is>
          <t>In-vitro diagnostic substance manufacturing</t>
        </is>
      </c>
      <c r="IR5" t="inlineStr">
        <is>
          <t>Biological product (except diagnostic) manufacturing</t>
        </is>
      </c>
      <c r="IS5" t="inlineStr">
        <is>
          <t>Fertilizer manufacturing</t>
        </is>
      </c>
      <c r="IT5" t="inlineStr">
        <is>
          <t>Pesticide and other agricultural chemical manufacturing</t>
        </is>
      </c>
      <c r="IU5" t="inlineStr">
        <is>
          <t>Paint and coating manufacturing</t>
        </is>
      </c>
      <c r="IV5" t="inlineStr">
        <is>
          <t>Adhesive manufacturing</t>
        </is>
      </c>
      <c r="IW5" t="inlineStr">
        <is>
          <t>Soap and cleaning compound manufacturing</t>
        </is>
      </c>
      <c r="IX5" t="inlineStr">
        <is>
          <t>Toilet preparation manufacturing</t>
        </is>
      </c>
      <c r="IY5" t="inlineStr">
        <is>
          <t>Printing ink manufacturing</t>
        </is>
      </c>
      <c r="IZ5" t="inlineStr">
        <is>
          <t>All other chemical product and preparation manufacturing</t>
        </is>
      </c>
      <c r="JA5" t="inlineStr">
        <is>
          <t>Plastics packaging materials and unlaminated film and sheet manufacturing</t>
        </is>
      </c>
      <c r="JB5" t="inlineStr">
        <is>
          <t>Plastics pipe, pipe fitting, and unlaminated profile shape manufacturing</t>
        </is>
      </c>
      <c r="JC5" t="inlineStr">
        <is>
          <t>Laminated plastics plate, sheet (except packaging), and shape manufacturing</t>
        </is>
      </c>
      <c r="JD5" t="inlineStr">
        <is>
          <t>Polystyrene foam product manufacturing</t>
        </is>
      </c>
      <c r="JE5" t="inlineStr">
        <is>
          <t>Urethane and other foam product (except polystyrene) manufacturing</t>
        </is>
      </c>
      <c r="JF5" t="inlineStr">
        <is>
          <t>Plastics bottle manufacturing</t>
        </is>
      </c>
      <c r="JG5" t="inlineStr">
        <is>
          <t>Other plastics product manufacturing</t>
        </is>
      </c>
      <c r="JH5" t="inlineStr">
        <is>
          <t>Tire manufacturing</t>
        </is>
      </c>
      <c r="JI5" t="inlineStr">
        <is>
          <t>Rubber and plastics hoses and belting manufacturing</t>
        </is>
      </c>
      <c r="JJ5" t="inlineStr">
        <is>
          <t>Other rubber product manufacturing</t>
        </is>
      </c>
      <c r="JK5" t="inlineStr">
        <is>
          <t>Motor vehicle and motor vehicle parts and supplies</t>
        </is>
      </c>
      <c r="JL5" t="inlineStr">
        <is>
          <t>Professional and commercial equipment and supplies</t>
        </is>
      </c>
      <c r="JM5" t="inlineStr">
        <is>
          <t xml:space="preserve">Household appliances and electrical and electronic goods </t>
        </is>
      </c>
      <c r="JN5" t="inlineStr">
        <is>
          <t>Machinery, equipment, and supplies</t>
        </is>
      </c>
      <c r="JO5" t="inlineStr">
        <is>
          <t>Other durable goods merchant wholesalers</t>
        </is>
      </c>
      <c r="JP5" t="inlineStr">
        <is>
          <t>Drugs and druggists’ sundries</t>
        </is>
      </c>
      <c r="JQ5" t="inlineStr">
        <is>
          <t xml:space="preserve">Grocery and related product wholesalers </t>
        </is>
      </c>
      <c r="JR5" t="inlineStr">
        <is>
          <t>Petroleum and petroleum products</t>
        </is>
      </c>
      <c r="JS5" t="inlineStr">
        <is>
          <t>Other nondurable goods merchant wholesalers</t>
        </is>
      </c>
      <c r="JT5" t="inlineStr">
        <is>
          <t>Wholesale electronic markets and agents and brokers</t>
        </is>
      </c>
      <c r="JU5" t="inlineStr">
        <is>
          <t>Customs duties</t>
        </is>
      </c>
      <c r="JV5" t="inlineStr">
        <is>
          <t>Motor vehicle and parts dealers</t>
        </is>
      </c>
      <c r="JW5" t="inlineStr">
        <is>
          <t>Food and beverage stores</t>
        </is>
      </c>
      <c r="JX5" t="inlineStr">
        <is>
          <t>General merchandise stores</t>
        </is>
      </c>
      <c r="JY5" t="inlineStr">
        <is>
          <t>Building material and garden equipment and supplies dealers</t>
        </is>
      </c>
      <c r="JZ5" t="inlineStr">
        <is>
          <t>Health and personal care stores</t>
        </is>
      </c>
      <c r="KA5" t="inlineStr">
        <is>
          <t>Gasoline stations</t>
        </is>
      </c>
      <c r="KB5" t="inlineStr">
        <is>
          <t>Clothing and clothing accessories stores</t>
        </is>
      </c>
      <c r="KC5" t="inlineStr">
        <is>
          <t>Nonstore retailers</t>
        </is>
      </c>
      <c r="KD5" t="inlineStr">
        <is>
          <t>All other retail</t>
        </is>
      </c>
      <c r="KE5" t="inlineStr">
        <is>
          <t>Air transportation</t>
        </is>
      </c>
      <c r="KF5" t="inlineStr">
        <is>
          <t>Rail transportation</t>
        </is>
      </c>
      <c r="KG5" t="inlineStr">
        <is>
          <t>Water transportation</t>
        </is>
      </c>
      <c r="KH5" t="inlineStr">
        <is>
          <t>Truck transportation</t>
        </is>
      </c>
      <c r="KI5" t="inlineStr">
        <is>
          <t>Transit and ground passenger transportation</t>
        </is>
      </c>
      <c r="KJ5" t="inlineStr">
        <is>
          <t>Pipeline transportation</t>
        </is>
      </c>
      <c r="KK5" t="inlineStr">
        <is>
          <t>Scenic and sightseeing transportation and support activities for transportation</t>
        </is>
      </c>
      <c r="KL5" t="inlineStr">
        <is>
          <t>Couriers and messengers</t>
        </is>
      </c>
      <c r="KM5" t="inlineStr">
        <is>
          <t>Warehousing and storage</t>
        </is>
      </c>
      <c r="KN5" t="inlineStr">
        <is>
          <t>Newspaper publishers</t>
        </is>
      </c>
      <c r="KO5" t="inlineStr">
        <is>
          <t>Periodical Publishers</t>
        </is>
      </c>
      <c r="KP5" t="inlineStr">
        <is>
          <t>Book publishers</t>
        </is>
      </c>
      <c r="KQ5" t="inlineStr">
        <is>
          <t>Directory, mailing list, and other publishers</t>
        </is>
      </c>
      <c r="KR5" t="inlineStr">
        <is>
          <t>Software publishers</t>
        </is>
      </c>
      <c r="KS5" t="inlineStr">
        <is>
          <t>Motion picture and video industries</t>
        </is>
      </c>
      <c r="KT5" t="inlineStr">
        <is>
          <t>Sound recording industries</t>
        </is>
      </c>
      <c r="KU5" t="inlineStr">
        <is>
          <t>Radio and television broadcasting</t>
        </is>
      </c>
      <c r="KV5" t="inlineStr">
        <is>
          <t>Cable and other subscription programming</t>
        </is>
      </c>
      <c r="KW5" t="inlineStr">
        <is>
          <t>Wired telecommunications carriers</t>
        </is>
      </c>
      <c r="KX5" t="inlineStr">
        <is>
          <t>Wireless telecommunications carriers (except satellite)</t>
        </is>
      </c>
      <c r="KY5" t="inlineStr">
        <is>
          <t>Satellite, telecommunications resellers, and all other telecommunications</t>
        </is>
      </c>
      <c r="KZ5" t="inlineStr">
        <is>
          <t>Data processing, hosting, and related services</t>
        </is>
      </c>
      <c r="LA5" t="inlineStr">
        <is>
          <t>Internet publishing and broadcasting and Web search portals</t>
        </is>
      </c>
      <c r="LB5" t="inlineStr">
        <is>
          <t>News syndicates, libraries, archives and all other information services</t>
        </is>
      </c>
      <c r="LC5" t="inlineStr">
        <is>
          <t>Nondepository credit intermediation and related activities</t>
        </is>
      </c>
      <c r="LD5" t="inlineStr">
        <is>
          <t>Monetary authorities and depository credit intermediation</t>
        </is>
      </c>
      <c r="LE5" t="inlineStr">
        <is>
          <t>Other financial investment activities</t>
        </is>
      </c>
      <c r="LF5" t="inlineStr">
        <is>
          <t>Securities and commodity contracts intermediation and brokerage</t>
        </is>
      </c>
      <c r="LG5" t="inlineStr">
        <is>
          <t>Direct life insurance carriers</t>
        </is>
      </c>
      <c r="LH5" t="inlineStr">
        <is>
          <t>Insurance carriers, except direct life</t>
        </is>
      </c>
      <c r="LI5" t="inlineStr">
        <is>
          <t>Insurance agencies, brokerages, and related activities</t>
        </is>
      </c>
      <c r="LJ5" t="inlineStr">
        <is>
          <t>Funds, trusts, and other financial vehicles</t>
        </is>
      </c>
      <c r="LK5" t="inlineStr">
        <is>
          <t>Owner-occupied housing</t>
        </is>
      </c>
      <c r="LL5" t="inlineStr">
        <is>
          <t>Tenant-occupied housing</t>
        </is>
      </c>
      <c r="LM5" t="inlineStr">
        <is>
          <t>Other real estate</t>
        </is>
      </c>
      <c r="LN5" t="inlineStr">
        <is>
          <t>Automotive equipment rental and leasing</t>
        </is>
      </c>
      <c r="LO5" t="inlineStr">
        <is>
          <t>Commercial and industrial machinery and equipment rental and leasing</t>
        </is>
      </c>
      <c r="LP5" t="inlineStr">
        <is>
          <t>General and consumer goods rental</t>
        </is>
      </c>
      <c r="LQ5" t="inlineStr">
        <is>
          <t>Lessors of nonfinancial intangible assets</t>
        </is>
      </c>
      <c r="LR5" t="inlineStr">
        <is>
          <t>Legal services</t>
        </is>
      </c>
      <c r="LS5" t="inlineStr">
        <is>
          <t>Custom computer programming services</t>
        </is>
      </c>
      <c r="LT5" t="inlineStr">
        <is>
          <t>Computer systems design services</t>
        </is>
      </c>
      <c r="LU5" t="inlineStr">
        <is>
          <t>Other computer related services, including facilities management</t>
        </is>
      </c>
      <c r="LV5" t="inlineStr">
        <is>
          <t>Accounting, tax preparation, bookkeeping, and payroll services</t>
        </is>
      </c>
      <c r="LW5" t="inlineStr">
        <is>
          <t>Architectural, engineering, and related services</t>
        </is>
      </c>
      <c r="LX5" t="inlineStr">
        <is>
          <t>Management consulting services</t>
        </is>
      </c>
      <c r="LY5" t="inlineStr">
        <is>
          <t>Environmental and other technical consulting services</t>
        </is>
      </c>
      <c r="LZ5" t="inlineStr">
        <is>
          <t>Scientific research and development services</t>
        </is>
      </c>
      <c r="MA5" t="inlineStr">
        <is>
          <t>Advertising, public relations, and related services</t>
        </is>
      </c>
      <c r="MB5" t="inlineStr">
        <is>
          <t>Specialized design services</t>
        </is>
      </c>
      <c r="MC5" t="inlineStr">
        <is>
          <t>Photographic services</t>
        </is>
      </c>
      <c r="MD5" t="inlineStr">
        <is>
          <t>Veterinary services</t>
        </is>
      </c>
      <c r="ME5" t="inlineStr">
        <is>
          <t xml:space="preserve">All other miscellaneous professional, scientific, and technical services </t>
        </is>
      </c>
      <c r="MF5" t="inlineStr">
        <is>
          <t>Management of companies and enterprises</t>
        </is>
      </c>
      <c r="MG5" t="inlineStr">
        <is>
          <t>Employment services</t>
        </is>
      </c>
      <c r="MH5" t="inlineStr">
        <is>
          <t>Services to buildings and dwellings</t>
        </is>
      </c>
      <c r="MI5" t="inlineStr">
        <is>
          <t>Office administrative services</t>
        </is>
      </c>
      <c r="MJ5" t="inlineStr">
        <is>
          <t>Facilities support services</t>
        </is>
      </c>
      <c r="MK5" t="inlineStr">
        <is>
          <t>Business support services</t>
        </is>
      </c>
      <c r="ML5" t="inlineStr">
        <is>
          <t>Travel arrangement and reservation services</t>
        </is>
      </c>
      <c r="MM5" t="inlineStr">
        <is>
          <t>Investigation and security services</t>
        </is>
      </c>
      <c r="MN5" t="inlineStr">
        <is>
          <t>Other support services</t>
        </is>
      </c>
      <c r="MO5" t="inlineStr">
        <is>
          <t>Waste management and remediation services</t>
        </is>
      </c>
      <c r="MP5" t="inlineStr">
        <is>
          <t>Elementary and secondary schools</t>
        </is>
      </c>
      <c r="MQ5" t="inlineStr">
        <is>
          <t>Junior colleges, colleges, universities, and professional schools</t>
        </is>
      </c>
      <c r="MR5" t="inlineStr">
        <is>
          <t>Other educational services</t>
        </is>
      </c>
      <c r="MS5" t="inlineStr">
        <is>
          <t>Offices of physicians</t>
        </is>
      </c>
      <c r="MT5" t="inlineStr">
        <is>
          <t>Offices of dentists</t>
        </is>
      </c>
      <c r="MU5" t="inlineStr">
        <is>
          <t>Offices of other health practitioners</t>
        </is>
      </c>
      <c r="MV5" t="inlineStr">
        <is>
          <t>Outpatient care centers</t>
        </is>
      </c>
      <c r="MW5" t="inlineStr">
        <is>
          <t>Medical and diagnostic laboratories</t>
        </is>
      </c>
      <c r="MX5" t="inlineStr">
        <is>
          <t>Home health care services</t>
        </is>
      </c>
      <c r="MY5" t="inlineStr">
        <is>
          <t>Other ambulatory health care services</t>
        </is>
      </c>
      <c r="MZ5" t="inlineStr">
        <is>
          <t>Hospitals</t>
        </is>
      </c>
      <c r="NA5" t="inlineStr">
        <is>
          <t>Nursing and community care facilities</t>
        </is>
      </c>
      <c r="NB5" t="inlineStr">
        <is>
          <t>Residential mental health, substance abuse, and other residential care facilities</t>
        </is>
      </c>
      <c r="NC5" t="inlineStr">
        <is>
          <t>Individual and family services</t>
        </is>
      </c>
      <c r="ND5" t="inlineStr">
        <is>
          <t>Child day care services</t>
        </is>
      </c>
      <c r="NE5" t="inlineStr">
        <is>
          <t>Community food, housing, and other relief services, including rehabilitation services</t>
        </is>
      </c>
      <c r="NF5" t="inlineStr">
        <is>
          <t>Performing arts companies</t>
        </is>
      </c>
      <c r="NG5" t="inlineStr">
        <is>
          <t>Spectator sports</t>
        </is>
      </c>
      <c r="NH5" t="inlineStr">
        <is>
          <t>Independent artists, writers, and performers</t>
        </is>
      </c>
      <c r="NI5" t="inlineStr">
        <is>
          <t>Promoters of performing arts and sports and agents for public figures</t>
        </is>
      </c>
      <c r="NJ5" t="inlineStr">
        <is>
          <t>Museums, historical sites, zoos, and parks</t>
        </is>
      </c>
      <c r="NK5" t="inlineStr">
        <is>
          <t>Amusement parks and arcades</t>
        </is>
      </c>
      <c r="NL5" t="inlineStr">
        <is>
          <t>Gambling industries (except casino hotels)</t>
        </is>
      </c>
      <c r="NM5" t="inlineStr">
        <is>
          <t>Other amusement and recreation industries</t>
        </is>
      </c>
      <c r="NN5" t="inlineStr">
        <is>
          <t>Accommodation</t>
        </is>
      </c>
      <c r="NO5" t="inlineStr">
        <is>
          <t>Full-service restaurants</t>
        </is>
      </c>
      <c r="NP5" t="inlineStr">
        <is>
          <t>Limited-service restaurants</t>
        </is>
      </c>
      <c r="NQ5" t="inlineStr">
        <is>
          <t>All other food and drinking places</t>
        </is>
      </c>
      <c r="NR5" t="inlineStr">
        <is>
          <t>Automotive repair and maintenance (including car washes)</t>
        </is>
      </c>
      <c r="NS5" t="inlineStr">
        <is>
          <t>Electronic and precision equipment repair and maintenance</t>
        </is>
      </c>
      <c r="NT5" t="inlineStr">
        <is>
          <t>Commercial and industrial machinery and equipment repair and maintenance</t>
        </is>
      </c>
      <c r="NU5" t="inlineStr">
        <is>
          <t>Personal and household goods repair and maintenance</t>
        </is>
      </c>
      <c r="NV5" t="inlineStr">
        <is>
          <t>Personal care services</t>
        </is>
      </c>
      <c r="NW5" t="inlineStr">
        <is>
          <t>Death care services</t>
        </is>
      </c>
      <c r="NX5" t="inlineStr">
        <is>
          <t>Dry-cleaning and laundry services</t>
        </is>
      </c>
      <c r="NY5" t="inlineStr">
        <is>
          <t>Other personal services</t>
        </is>
      </c>
      <c r="NZ5" t="inlineStr">
        <is>
          <t>Religious organizations</t>
        </is>
      </c>
      <c r="OA5" t="inlineStr">
        <is>
          <t>Grantmaking, giving, and social advocacy organizations</t>
        </is>
      </c>
      <c r="OB5" t="inlineStr">
        <is>
          <t>Civic, social, professional, and similar organizations</t>
        </is>
      </c>
      <c r="OC5" t="inlineStr">
        <is>
          <t>Private households</t>
        </is>
      </c>
      <c r="OD5" t="inlineStr">
        <is>
          <t>Federal general government (defense)</t>
        </is>
      </c>
      <c r="OE5" t="inlineStr">
        <is>
          <t>Federal general government (nondefense)</t>
        </is>
      </c>
      <c r="OF5" t="inlineStr">
        <is>
          <t>Postal service</t>
        </is>
      </c>
      <c r="OG5" t="inlineStr">
        <is>
          <t>Federal electric utilities</t>
        </is>
      </c>
      <c r="OH5" t="inlineStr">
        <is>
          <t>Other federal government enterprises</t>
        </is>
      </c>
      <c r="OI5" t="inlineStr">
        <is>
          <t>State and local government (educational services)</t>
        </is>
      </c>
      <c r="OJ5" t="inlineStr">
        <is>
          <t>State and local government (hospitals and health services)</t>
        </is>
      </c>
      <c r="OK5" t="inlineStr">
        <is>
          <t>State and local government (other services)</t>
        </is>
      </c>
      <c r="OL5" t="inlineStr">
        <is>
          <t>State and local government passenger transit</t>
        </is>
      </c>
      <c r="OM5" t="inlineStr">
        <is>
          <t>State and local government electric utilities</t>
        </is>
      </c>
      <c r="ON5" t="inlineStr">
        <is>
          <t>Other state and local government enterprises</t>
        </is>
      </c>
      <c r="OO5" t="inlineStr">
        <is>
          <t>Total Intermediate</t>
        </is>
      </c>
      <c r="OP5" t="inlineStr">
        <is>
          <t>Personal consumption expenditures</t>
        </is>
      </c>
      <c r="OQ5" t="inlineStr">
        <is>
          <t>Nonresidential private fixed investment in equipment</t>
        </is>
      </c>
      <c r="OR5" t="inlineStr">
        <is>
          <t>Nonresidential private fixed investment in intellectual property products</t>
        </is>
      </c>
      <c r="OS5" t="inlineStr">
        <is>
          <t>Residential private fixed investment</t>
        </is>
      </c>
      <c r="OT5" t="inlineStr">
        <is>
          <t>Nonresidential private fixed investment in structures</t>
        </is>
      </c>
      <c r="OU5" t="inlineStr">
        <is>
          <t>Change in private inventories</t>
        </is>
      </c>
      <c r="OV5" t="inlineStr">
        <is>
          <t>Exports of goods and services</t>
        </is>
      </c>
      <c r="OW5" t="inlineStr">
        <is>
          <t>Federal Government defense: Consumption expenditures</t>
        </is>
      </c>
      <c r="OX5" t="inlineStr">
        <is>
          <t>Federal national defense: Gross investment in equipment</t>
        </is>
      </c>
      <c r="OY5" t="inlineStr">
        <is>
          <t>Federal national defense: Gross investment in intellectual property products</t>
        </is>
      </c>
      <c r="OZ5" t="inlineStr">
        <is>
          <t>Federal national defense: Gross investment in structures</t>
        </is>
      </c>
      <c r="PA5" t="inlineStr">
        <is>
          <t>Federal Government nondefense: Consumption expenditures</t>
        </is>
      </c>
      <c r="PB5" t="inlineStr">
        <is>
          <t>Federal nondefense: Gross investment in equipment</t>
        </is>
      </c>
      <c r="PC5" t="inlineStr">
        <is>
          <t>Federal nondefense: Gross investment in intellectual property products</t>
        </is>
      </c>
      <c r="PD5" t="inlineStr">
        <is>
          <t>Federal nondefense: Gross investment in structures</t>
        </is>
      </c>
      <c r="PE5" t="inlineStr">
        <is>
          <t>State and local government consumption expenditures</t>
        </is>
      </c>
      <c r="PF5" t="inlineStr">
        <is>
          <t>State and local: Gross investment in equipment</t>
        </is>
      </c>
      <c r="PG5" t="inlineStr">
        <is>
          <t>State and local: Gross investment in intellectual property products</t>
        </is>
      </c>
      <c r="PH5" t="inlineStr">
        <is>
          <t>State and local: Gross investment in structures</t>
        </is>
      </c>
      <c r="PI5" t="inlineStr">
        <is>
          <t>Total use of products</t>
        </is>
      </c>
    </row>
    <row r="6">
      <c r="A6" t="inlineStr">
        <is>
          <t>Code</t>
        </is>
      </c>
      <c r="B6" t="inlineStr">
        <is>
          <t>Commodity Description</t>
        </is>
      </c>
      <c r="C6" t="inlineStr">
        <is>
          <t>1111A0</t>
        </is>
      </c>
      <c r="D6" t="inlineStr">
        <is>
          <t>1111B0</t>
        </is>
      </c>
      <c r="E6" t="n">
        <v>111200</v>
      </c>
      <c r="F6" t="n">
        <v>111300</v>
      </c>
      <c r="G6" t="n">
        <v>111400</v>
      </c>
      <c r="H6" t="n">
        <v>111900</v>
      </c>
      <c r="I6" t="n">
        <v>112120</v>
      </c>
      <c r="J6" t="inlineStr">
        <is>
          <t>1121A0</t>
        </is>
      </c>
      <c r="K6" t="n">
        <v>112300</v>
      </c>
      <c r="L6" t="inlineStr">
        <is>
          <t>112A00</t>
        </is>
      </c>
      <c r="M6" t="n">
        <v>113000</v>
      </c>
      <c r="N6" t="n">
        <v>114000</v>
      </c>
      <c r="O6" t="n">
        <v>115000</v>
      </c>
      <c r="P6" t="n">
        <v>211000</v>
      </c>
      <c r="Q6" t="n">
        <v>212100</v>
      </c>
      <c r="R6" t="n">
        <v>212230</v>
      </c>
      <c r="S6" t="inlineStr">
        <is>
          <t>2122A0</t>
        </is>
      </c>
      <c r="T6" t="n">
        <v>212310</v>
      </c>
      <c r="U6" t="inlineStr">
        <is>
          <t>2123A0</t>
        </is>
      </c>
      <c r="V6" t="n">
        <v>213111</v>
      </c>
      <c r="W6" t="inlineStr">
        <is>
          <t>21311A</t>
        </is>
      </c>
      <c r="X6" t="n">
        <v>221100</v>
      </c>
      <c r="Y6" t="n">
        <v>221200</v>
      </c>
      <c r="Z6" t="n">
        <v>221300</v>
      </c>
      <c r="AA6" t="n">
        <v>233210</v>
      </c>
      <c r="AB6" t="n">
        <v>233262</v>
      </c>
      <c r="AC6" t="n">
        <v>230301</v>
      </c>
      <c r="AD6" t="n">
        <v>230302</v>
      </c>
      <c r="AE6" t="inlineStr">
        <is>
          <t>2332A0</t>
        </is>
      </c>
      <c r="AF6" t="n">
        <v>233412</v>
      </c>
      <c r="AG6" t="inlineStr">
        <is>
          <t>2334A0</t>
        </is>
      </c>
      <c r="AH6" t="n">
        <v>233230</v>
      </c>
      <c r="AI6" t="inlineStr">
        <is>
          <t>2332D0</t>
        </is>
      </c>
      <c r="AJ6" t="n">
        <v>233240</v>
      </c>
      <c r="AK6" t="n">
        <v>233411</v>
      </c>
      <c r="AL6" t="inlineStr">
        <is>
          <t>2332C0</t>
        </is>
      </c>
      <c r="AM6" t="n">
        <v>321100</v>
      </c>
      <c r="AN6" t="n">
        <v>321200</v>
      </c>
      <c r="AO6" t="n">
        <v>321910</v>
      </c>
      <c r="AP6" t="inlineStr">
        <is>
          <t>3219A0</t>
        </is>
      </c>
      <c r="AQ6" t="n">
        <v>327100</v>
      </c>
      <c r="AR6" t="n">
        <v>327200</v>
      </c>
      <c r="AS6" t="n">
        <v>327310</v>
      </c>
      <c r="AT6" t="n">
        <v>327320</v>
      </c>
      <c r="AU6" t="n">
        <v>327330</v>
      </c>
      <c r="AV6" t="n">
        <v>327390</v>
      </c>
      <c r="AW6" t="n">
        <v>327400</v>
      </c>
      <c r="AX6" t="n">
        <v>327910</v>
      </c>
      <c r="AY6" t="n">
        <v>327991</v>
      </c>
      <c r="AZ6" t="n">
        <v>327992</v>
      </c>
      <c r="BA6" t="n">
        <v>327993</v>
      </c>
      <c r="BB6" t="n">
        <v>327999</v>
      </c>
      <c r="BC6" t="n">
        <v>331110</v>
      </c>
      <c r="BD6" t="n">
        <v>331200</v>
      </c>
      <c r="BE6" t="n">
        <v>331314</v>
      </c>
      <c r="BF6" t="n">
        <v>331313</v>
      </c>
      <c r="BG6" t="inlineStr">
        <is>
          <t>33131B</t>
        </is>
      </c>
      <c r="BH6" t="n">
        <v>331410</v>
      </c>
      <c r="BI6" t="n">
        <v>331420</v>
      </c>
      <c r="BJ6" t="n">
        <v>331490</v>
      </c>
      <c r="BK6" t="n">
        <v>331510</v>
      </c>
      <c r="BL6" t="n">
        <v>331520</v>
      </c>
      <c r="BM6" t="n">
        <v>332114</v>
      </c>
      <c r="BN6" t="inlineStr">
        <is>
          <t>33211A</t>
        </is>
      </c>
      <c r="BO6" t="n">
        <v>332119</v>
      </c>
      <c r="BP6" t="n">
        <v>332200</v>
      </c>
      <c r="BQ6" t="n">
        <v>332310</v>
      </c>
      <c r="BR6" t="n">
        <v>332320</v>
      </c>
      <c r="BS6" t="n">
        <v>332410</v>
      </c>
      <c r="BT6" t="n">
        <v>332420</v>
      </c>
      <c r="BU6" t="n">
        <v>332430</v>
      </c>
      <c r="BV6" t="n">
        <v>332500</v>
      </c>
      <c r="BW6" t="n">
        <v>332600</v>
      </c>
      <c r="BX6" t="n">
        <v>332710</v>
      </c>
      <c r="BY6" t="n">
        <v>332720</v>
      </c>
      <c r="BZ6" t="n">
        <v>332800</v>
      </c>
      <c r="CA6" t="n">
        <v>332913</v>
      </c>
      <c r="CB6" t="inlineStr">
        <is>
          <t>33291A</t>
        </is>
      </c>
      <c r="CC6" t="n">
        <v>332991</v>
      </c>
      <c r="CD6" t="n">
        <v>332996</v>
      </c>
      <c r="CE6" t="inlineStr">
        <is>
          <t>33299A</t>
        </is>
      </c>
      <c r="CF6" t="n">
        <v>332999</v>
      </c>
      <c r="CG6" t="n">
        <v>333111</v>
      </c>
      <c r="CH6" t="n">
        <v>333112</v>
      </c>
      <c r="CI6" t="n">
        <v>333120</v>
      </c>
      <c r="CJ6" t="n">
        <v>333130</v>
      </c>
      <c r="CK6" t="n">
        <v>333242</v>
      </c>
      <c r="CL6" t="inlineStr">
        <is>
          <t>33329A</t>
        </is>
      </c>
      <c r="CM6" t="n">
        <v>333314</v>
      </c>
      <c r="CN6" t="n">
        <v>333316</v>
      </c>
      <c r="CO6" t="n">
        <v>333318</v>
      </c>
      <c r="CP6" t="n">
        <v>333414</v>
      </c>
      <c r="CQ6" t="n">
        <v>333415</v>
      </c>
      <c r="CR6" t="n">
        <v>333413</v>
      </c>
      <c r="CS6" t="n">
        <v>333511</v>
      </c>
      <c r="CT6" t="n">
        <v>333514</v>
      </c>
      <c r="CU6" t="n">
        <v>333517</v>
      </c>
      <c r="CV6" t="inlineStr">
        <is>
          <t>33351B</t>
        </is>
      </c>
      <c r="CW6" t="n">
        <v>333611</v>
      </c>
      <c r="CX6" t="n">
        <v>333612</v>
      </c>
      <c r="CY6" t="n">
        <v>333613</v>
      </c>
      <c r="CZ6" t="n">
        <v>333618</v>
      </c>
      <c r="DA6" t="n">
        <v>333912</v>
      </c>
      <c r="DB6" t="n">
        <v>333914</v>
      </c>
      <c r="DC6" t="n">
        <v>333920</v>
      </c>
      <c r="DD6" t="n">
        <v>333991</v>
      </c>
      <c r="DE6" t="n">
        <v>333993</v>
      </c>
      <c r="DF6" t="n">
        <v>333994</v>
      </c>
      <c r="DG6" t="inlineStr">
        <is>
          <t>33399A</t>
        </is>
      </c>
      <c r="DH6" t="inlineStr">
        <is>
          <t>33399B</t>
        </is>
      </c>
      <c r="DI6" t="n">
        <v>334111</v>
      </c>
      <c r="DJ6" t="n">
        <v>334112</v>
      </c>
      <c r="DK6" t="n">
        <v>334118</v>
      </c>
      <c r="DL6" t="n">
        <v>334210</v>
      </c>
      <c r="DM6" t="n">
        <v>334220</v>
      </c>
      <c r="DN6" t="n">
        <v>334290</v>
      </c>
      <c r="DO6" t="n">
        <v>334413</v>
      </c>
      <c r="DP6" t="n">
        <v>334418</v>
      </c>
      <c r="DQ6" t="inlineStr">
        <is>
          <t>33441A</t>
        </is>
      </c>
      <c r="DR6" t="n">
        <v>334510</v>
      </c>
      <c r="DS6" t="n">
        <v>334511</v>
      </c>
      <c r="DT6" t="n">
        <v>334512</v>
      </c>
      <c r="DU6" t="n">
        <v>334513</v>
      </c>
      <c r="DV6" t="n">
        <v>334514</v>
      </c>
      <c r="DW6" t="n">
        <v>334515</v>
      </c>
      <c r="DX6" t="n">
        <v>334516</v>
      </c>
      <c r="DY6" t="n">
        <v>334517</v>
      </c>
      <c r="DZ6" t="inlineStr">
        <is>
          <t>33451A</t>
        </is>
      </c>
      <c r="EA6" t="n">
        <v>334300</v>
      </c>
      <c r="EB6" t="n">
        <v>334610</v>
      </c>
      <c r="EC6" t="n">
        <v>335110</v>
      </c>
      <c r="ED6" t="n">
        <v>335120</v>
      </c>
      <c r="EE6" t="n">
        <v>335210</v>
      </c>
      <c r="EF6" t="n">
        <v>335220</v>
      </c>
      <c r="EG6" t="n">
        <v>335311</v>
      </c>
      <c r="EH6" t="n">
        <v>335312</v>
      </c>
      <c r="EI6" t="n">
        <v>335313</v>
      </c>
      <c r="EJ6" t="n">
        <v>335314</v>
      </c>
      <c r="EK6" t="n">
        <v>335911</v>
      </c>
      <c r="EL6" t="n">
        <v>335912</v>
      </c>
      <c r="EM6" t="n">
        <v>335920</v>
      </c>
      <c r="EN6" t="n">
        <v>335930</v>
      </c>
      <c r="EO6" t="n">
        <v>335991</v>
      </c>
      <c r="EP6" t="n">
        <v>335999</v>
      </c>
      <c r="EQ6" t="n">
        <v>336111</v>
      </c>
      <c r="ER6" t="n">
        <v>336112</v>
      </c>
      <c r="ES6" t="n">
        <v>336120</v>
      </c>
      <c r="ET6" t="n">
        <v>336211</v>
      </c>
      <c r="EU6" t="n">
        <v>336212</v>
      </c>
      <c r="EV6" t="n">
        <v>336213</v>
      </c>
      <c r="EW6" t="n">
        <v>336214</v>
      </c>
      <c r="EX6" t="n">
        <v>336310</v>
      </c>
      <c r="EY6" t="n">
        <v>336320</v>
      </c>
      <c r="EZ6" t="n">
        <v>336350</v>
      </c>
      <c r="FA6" t="n">
        <v>336360</v>
      </c>
      <c r="FB6" t="n">
        <v>336370</v>
      </c>
      <c r="FC6" t="n">
        <v>336390</v>
      </c>
      <c r="FD6" t="inlineStr">
        <is>
          <t>3363A0</t>
        </is>
      </c>
      <c r="FE6" t="n">
        <v>336411</v>
      </c>
      <c r="FF6" t="n">
        <v>336412</v>
      </c>
      <c r="FG6" t="n">
        <v>336413</v>
      </c>
      <c r="FH6" t="n">
        <v>336414</v>
      </c>
      <c r="FI6" t="inlineStr">
        <is>
          <t>33641A</t>
        </is>
      </c>
      <c r="FJ6" t="n">
        <v>336500</v>
      </c>
      <c r="FK6" t="n">
        <v>336611</v>
      </c>
      <c r="FL6" t="n">
        <v>336612</v>
      </c>
      <c r="FM6" t="n">
        <v>336991</v>
      </c>
      <c r="FN6" t="n">
        <v>336992</v>
      </c>
      <c r="FO6" t="n">
        <v>336999</v>
      </c>
      <c r="FP6" t="n">
        <v>337110</v>
      </c>
      <c r="FQ6" t="n">
        <v>337121</v>
      </c>
      <c r="FR6" t="n">
        <v>337122</v>
      </c>
      <c r="FS6" t="n">
        <v>337127</v>
      </c>
      <c r="FT6" t="inlineStr">
        <is>
          <t>33712N</t>
        </is>
      </c>
      <c r="FU6" t="n">
        <v>337215</v>
      </c>
      <c r="FV6" t="inlineStr">
        <is>
          <t>33721A</t>
        </is>
      </c>
      <c r="FW6" t="n">
        <v>337900</v>
      </c>
      <c r="FX6" t="n">
        <v>339112</v>
      </c>
      <c r="FY6" t="n">
        <v>339113</v>
      </c>
      <c r="FZ6" t="n">
        <v>339114</v>
      </c>
      <c r="GA6" t="n">
        <v>339115</v>
      </c>
      <c r="GB6" t="n">
        <v>339116</v>
      </c>
      <c r="GC6" t="n">
        <v>339910</v>
      </c>
      <c r="GD6" t="n">
        <v>339920</v>
      </c>
      <c r="GE6" t="n">
        <v>339930</v>
      </c>
      <c r="GF6" t="n">
        <v>339940</v>
      </c>
      <c r="GG6" t="n">
        <v>339950</v>
      </c>
      <c r="GH6" t="n">
        <v>339990</v>
      </c>
      <c r="GI6" t="n">
        <v>311111</v>
      </c>
      <c r="GJ6" t="n">
        <v>311119</v>
      </c>
      <c r="GK6" t="n">
        <v>311210</v>
      </c>
      <c r="GL6" t="n">
        <v>311221</v>
      </c>
      <c r="GM6" t="n">
        <v>311225</v>
      </c>
      <c r="GN6" t="n">
        <v>311224</v>
      </c>
      <c r="GO6" t="n">
        <v>311230</v>
      </c>
      <c r="GP6" t="n">
        <v>311300</v>
      </c>
      <c r="GQ6" t="n">
        <v>311410</v>
      </c>
      <c r="GR6" t="n">
        <v>311420</v>
      </c>
      <c r="GS6" t="n">
        <v>311513</v>
      </c>
      <c r="GT6" t="n">
        <v>311514</v>
      </c>
      <c r="GU6" t="inlineStr">
        <is>
          <t>31151A</t>
        </is>
      </c>
      <c r="GV6" t="n">
        <v>311520</v>
      </c>
      <c r="GW6" t="n">
        <v>311615</v>
      </c>
      <c r="GX6" t="inlineStr">
        <is>
          <t>31161A</t>
        </is>
      </c>
      <c r="GY6" t="n">
        <v>311700</v>
      </c>
      <c r="GZ6" t="n">
        <v>311810</v>
      </c>
      <c r="HA6" t="inlineStr">
        <is>
          <t>3118A0</t>
        </is>
      </c>
      <c r="HB6" t="n">
        <v>311910</v>
      </c>
      <c r="HC6" t="n">
        <v>311920</v>
      </c>
      <c r="HD6" t="n">
        <v>311930</v>
      </c>
      <c r="HE6" t="n">
        <v>311940</v>
      </c>
      <c r="HF6" t="n">
        <v>311990</v>
      </c>
      <c r="HG6" t="n">
        <v>312110</v>
      </c>
      <c r="HH6" t="n">
        <v>312120</v>
      </c>
      <c r="HI6" t="n">
        <v>312130</v>
      </c>
      <c r="HJ6" t="n">
        <v>312140</v>
      </c>
      <c r="HK6" t="n">
        <v>312200</v>
      </c>
      <c r="HL6" t="n">
        <v>313100</v>
      </c>
      <c r="HM6" t="n">
        <v>313200</v>
      </c>
      <c r="HN6" t="n">
        <v>313300</v>
      </c>
      <c r="HO6" t="n">
        <v>314110</v>
      </c>
      <c r="HP6" t="n">
        <v>314120</v>
      </c>
      <c r="HQ6" t="n">
        <v>314900</v>
      </c>
      <c r="HR6" t="n">
        <v>315000</v>
      </c>
      <c r="HS6" t="n">
        <v>316000</v>
      </c>
      <c r="HT6" t="n">
        <v>322110</v>
      </c>
      <c r="HU6" t="n">
        <v>322120</v>
      </c>
      <c r="HV6" t="n">
        <v>322130</v>
      </c>
      <c r="HW6" t="n">
        <v>322210</v>
      </c>
      <c r="HX6" t="n">
        <v>322220</v>
      </c>
      <c r="HY6" t="n">
        <v>322230</v>
      </c>
      <c r="HZ6" t="n">
        <v>322291</v>
      </c>
      <c r="IA6" t="n">
        <v>322299</v>
      </c>
      <c r="IB6" t="n">
        <v>323110</v>
      </c>
      <c r="IC6" t="n">
        <v>323120</v>
      </c>
      <c r="ID6" t="n">
        <v>324110</v>
      </c>
      <c r="IE6" t="n">
        <v>324121</v>
      </c>
      <c r="IF6" t="n">
        <v>324122</v>
      </c>
      <c r="IG6" t="n">
        <v>324190</v>
      </c>
      <c r="IH6" t="n">
        <v>325110</v>
      </c>
      <c r="II6" t="n">
        <v>325120</v>
      </c>
      <c r="IJ6" t="n">
        <v>325130</v>
      </c>
      <c r="IK6" t="n">
        <v>325180</v>
      </c>
      <c r="IL6" t="n">
        <v>325190</v>
      </c>
      <c r="IM6" t="n">
        <v>325211</v>
      </c>
      <c r="IN6" t="inlineStr">
        <is>
          <t>3252A0</t>
        </is>
      </c>
      <c r="IO6" t="n">
        <v>325411</v>
      </c>
      <c r="IP6" t="n">
        <v>325412</v>
      </c>
      <c r="IQ6" t="n">
        <v>325413</v>
      </c>
      <c r="IR6" t="n">
        <v>325414</v>
      </c>
      <c r="IS6" t="n">
        <v>325310</v>
      </c>
      <c r="IT6" t="n">
        <v>325320</v>
      </c>
      <c r="IU6" t="n">
        <v>325510</v>
      </c>
      <c r="IV6" t="n">
        <v>325520</v>
      </c>
      <c r="IW6" t="n">
        <v>325610</v>
      </c>
      <c r="IX6" t="n">
        <v>325620</v>
      </c>
      <c r="IY6" t="n">
        <v>325910</v>
      </c>
      <c r="IZ6" t="inlineStr">
        <is>
          <t>3259A0</t>
        </is>
      </c>
      <c r="JA6" t="n">
        <v>326110</v>
      </c>
      <c r="JB6" t="n">
        <v>326120</v>
      </c>
      <c r="JC6" t="n">
        <v>326130</v>
      </c>
      <c r="JD6" t="n">
        <v>326140</v>
      </c>
      <c r="JE6" t="n">
        <v>326150</v>
      </c>
      <c r="JF6" t="n">
        <v>326160</v>
      </c>
      <c r="JG6" t="n">
        <v>326190</v>
      </c>
      <c r="JH6" t="n">
        <v>326210</v>
      </c>
      <c r="JI6" t="n">
        <v>326220</v>
      </c>
      <c r="JJ6" t="n">
        <v>326290</v>
      </c>
      <c r="JK6" t="n">
        <v>423100</v>
      </c>
      <c r="JL6" t="n">
        <v>423400</v>
      </c>
      <c r="JM6" t="n">
        <v>423600</v>
      </c>
      <c r="JN6" t="n">
        <v>423800</v>
      </c>
      <c r="JO6" t="inlineStr">
        <is>
          <t>423A00</t>
        </is>
      </c>
      <c r="JP6" t="n">
        <v>424200</v>
      </c>
      <c r="JQ6" t="n">
        <v>424400</v>
      </c>
      <c r="JR6" t="n">
        <v>424700</v>
      </c>
      <c r="JS6" t="inlineStr">
        <is>
          <t>424A00</t>
        </is>
      </c>
      <c r="JT6" t="n">
        <v>425000</v>
      </c>
      <c r="JU6" t="inlineStr">
        <is>
          <t>4200ID</t>
        </is>
      </c>
      <c r="JV6" t="n">
        <v>441000</v>
      </c>
      <c r="JW6" t="n">
        <v>445000</v>
      </c>
      <c r="JX6" t="n">
        <v>452000</v>
      </c>
      <c r="JY6" t="n">
        <v>444000</v>
      </c>
      <c r="JZ6" t="n">
        <v>446000</v>
      </c>
      <c r="KA6" t="n">
        <v>447000</v>
      </c>
      <c r="KB6" t="n">
        <v>448000</v>
      </c>
      <c r="KC6" t="n">
        <v>454000</v>
      </c>
      <c r="KD6" t="inlineStr">
        <is>
          <t>4B0000</t>
        </is>
      </c>
      <c r="KE6" t="n">
        <v>481000</v>
      </c>
      <c r="KF6" t="n">
        <v>482000</v>
      </c>
      <c r="KG6" t="n">
        <v>483000</v>
      </c>
      <c r="KH6" t="n">
        <v>484000</v>
      </c>
      <c r="KI6" t="n">
        <v>485000</v>
      </c>
      <c r="KJ6" t="n">
        <v>486000</v>
      </c>
      <c r="KK6" t="inlineStr">
        <is>
          <t>48A000</t>
        </is>
      </c>
      <c r="KL6" t="n">
        <v>492000</v>
      </c>
      <c r="KM6" t="n">
        <v>493000</v>
      </c>
      <c r="KN6" t="n">
        <v>511110</v>
      </c>
      <c r="KO6" t="n">
        <v>511120</v>
      </c>
      <c r="KP6" t="n">
        <v>511130</v>
      </c>
      <c r="KQ6" t="inlineStr">
        <is>
          <t>5111A0</t>
        </is>
      </c>
      <c r="KR6" t="n">
        <v>511200</v>
      </c>
      <c r="KS6" t="n">
        <v>512100</v>
      </c>
      <c r="KT6" t="n">
        <v>512200</v>
      </c>
      <c r="KU6" t="n">
        <v>515100</v>
      </c>
      <c r="KV6" t="n">
        <v>515200</v>
      </c>
      <c r="KW6" t="n">
        <v>517110</v>
      </c>
      <c r="KX6" t="n">
        <v>517210</v>
      </c>
      <c r="KY6" t="inlineStr">
        <is>
          <t>517A00</t>
        </is>
      </c>
      <c r="KZ6" t="n">
        <v>518200</v>
      </c>
      <c r="LA6" t="n">
        <v>519130</v>
      </c>
      <c r="LB6" t="inlineStr">
        <is>
          <t>5191A0</t>
        </is>
      </c>
      <c r="LC6" t="inlineStr">
        <is>
          <t>522A00</t>
        </is>
      </c>
      <c r="LD6" t="inlineStr">
        <is>
          <t>52A000</t>
        </is>
      </c>
      <c r="LE6" t="n">
        <v>523900</v>
      </c>
      <c r="LF6" t="inlineStr">
        <is>
          <t>523A00</t>
        </is>
      </c>
      <c r="LG6" t="n">
        <v>524113</v>
      </c>
      <c r="LH6" t="inlineStr">
        <is>
          <t>5241XX</t>
        </is>
      </c>
      <c r="LI6" t="n">
        <v>524200</v>
      </c>
      <c r="LJ6" t="n">
        <v>525000</v>
      </c>
      <c r="LK6" t="inlineStr">
        <is>
          <t>531HSO</t>
        </is>
      </c>
      <c r="LL6" t="inlineStr">
        <is>
          <t>531HST</t>
        </is>
      </c>
      <c r="LM6" t="inlineStr">
        <is>
          <t>531ORE</t>
        </is>
      </c>
      <c r="LN6" t="n">
        <v>532100</v>
      </c>
      <c r="LO6" t="n">
        <v>532400</v>
      </c>
      <c r="LP6" t="inlineStr">
        <is>
          <t>532A00</t>
        </is>
      </c>
      <c r="LQ6" t="n">
        <v>533000</v>
      </c>
      <c r="LR6" t="n">
        <v>541100</v>
      </c>
      <c r="LS6" t="n">
        <v>541511</v>
      </c>
      <c r="LT6" t="n">
        <v>541512</v>
      </c>
      <c r="LU6" t="inlineStr">
        <is>
          <t>54151A</t>
        </is>
      </c>
      <c r="LV6" t="n">
        <v>541200</v>
      </c>
      <c r="LW6" t="n">
        <v>541300</v>
      </c>
      <c r="LX6" t="n">
        <v>541610</v>
      </c>
      <c r="LY6" t="inlineStr">
        <is>
          <t>5416A0</t>
        </is>
      </c>
      <c r="LZ6" t="n">
        <v>541700</v>
      </c>
      <c r="MA6" t="n">
        <v>541800</v>
      </c>
      <c r="MB6" t="n">
        <v>541400</v>
      </c>
      <c r="MC6" t="n">
        <v>541920</v>
      </c>
      <c r="MD6" t="n">
        <v>541940</v>
      </c>
      <c r="ME6" t="inlineStr">
        <is>
          <t>5419A0</t>
        </is>
      </c>
      <c r="MF6" t="n">
        <v>550000</v>
      </c>
      <c r="MG6" t="n">
        <v>561300</v>
      </c>
      <c r="MH6" t="n">
        <v>561700</v>
      </c>
      <c r="MI6" t="n">
        <v>561100</v>
      </c>
      <c r="MJ6" t="n">
        <v>561200</v>
      </c>
      <c r="MK6" t="n">
        <v>561400</v>
      </c>
      <c r="ML6" t="n">
        <v>561500</v>
      </c>
      <c r="MM6" t="n">
        <v>561600</v>
      </c>
      <c r="MN6" t="n">
        <v>561900</v>
      </c>
      <c r="MO6" t="n">
        <v>562000</v>
      </c>
      <c r="MP6" t="n">
        <v>611100</v>
      </c>
      <c r="MQ6" t="inlineStr">
        <is>
          <t>611A00</t>
        </is>
      </c>
      <c r="MR6" t="inlineStr">
        <is>
          <t>611B00</t>
        </is>
      </c>
      <c r="MS6" t="n">
        <v>621100</v>
      </c>
      <c r="MT6" t="n">
        <v>621200</v>
      </c>
      <c r="MU6" t="n">
        <v>621300</v>
      </c>
      <c r="MV6" t="n">
        <v>621400</v>
      </c>
      <c r="MW6" t="n">
        <v>621500</v>
      </c>
      <c r="MX6" t="n">
        <v>621600</v>
      </c>
      <c r="MY6" t="n">
        <v>621900</v>
      </c>
      <c r="MZ6" t="n">
        <v>622000</v>
      </c>
      <c r="NA6" t="inlineStr">
        <is>
          <t>623A00</t>
        </is>
      </c>
      <c r="NB6" t="inlineStr">
        <is>
          <t>623B00</t>
        </is>
      </c>
      <c r="NC6" t="n">
        <v>624100</v>
      </c>
      <c r="ND6" t="n">
        <v>624400</v>
      </c>
      <c r="NE6" t="inlineStr">
        <is>
          <t>624A00</t>
        </is>
      </c>
      <c r="NF6" t="n">
        <v>711100</v>
      </c>
      <c r="NG6" t="n">
        <v>711200</v>
      </c>
      <c r="NH6" t="n">
        <v>711500</v>
      </c>
      <c r="NI6" t="inlineStr">
        <is>
          <t>711A00</t>
        </is>
      </c>
      <c r="NJ6" t="n">
        <v>712000</v>
      </c>
      <c r="NK6" t="n">
        <v>713100</v>
      </c>
      <c r="NL6" t="n">
        <v>713200</v>
      </c>
      <c r="NM6" t="n">
        <v>713900</v>
      </c>
      <c r="NN6" t="n">
        <v>721000</v>
      </c>
      <c r="NO6" t="n">
        <v>722110</v>
      </c>
      <c r="NP6" t="n">
        <v>722211</v>
      </c>
      <c r="NQ6" t="inlineStr">
        <is>
          <t>722A00</t>
        </is>
      </c>
      <c r="NR6" t="n">
        <v>811100</v>
      </c>
      <c r="NS6" t="n">
        <v>811200</v>
      </c>
      <c r="NT6" t="n">
        <v>811300</v>
      </c>
      <c r="NU6" t="n">
        <v>811400</v>
      </c>
      <c r="NV6" t="n">
        <v>812100</v>
      </c>
      <c r="NW6" t="n">
        <v>812200</v>
      </c>
      <c r="NX6" t="n">
        <v>812300</v>
      </c>
      <c r="NY6" t="n">
        <v>812900</v>
      </c>
      <c r="NZ6" t="n">
        <v>813100</v>
      </c>
      <c r="OA6" t="inlineStr">
        <is>
          <t>813A00</t>
        </is>
      </c>
      <c r="OB6" t="inlineStr">
        <is>
          <t>813B00</t>
        </is>
      </c>
      <c r="OC6" t="n">
        <v>814000</v>
      </c>
      <c r="OD6" t="inlineStr">
        <is>
          <t>S00500</t>
        </is>
      </c>
      <c r="OE6" t="inlineStr">
        <is>
          <t>S00600</t>
        </is>
      </c>
      <c r="OF6" t="n">
        <v>491000</v>
      </c>
      <c r="OG6" t="inlineStr">
        <is>
          <t>S00101</t>
        </is>
      </c>
      <c r="OH6" t="inlineStr">
        <is>
          <t>S00102</t>
        </is>
      </c>
      <c r="OI6" t="inlineStr">
        <is>
          <t>GSLGE</t>
        </is>
      </c>
      <c r="OJ6" t="inlineStr">
        <is>
          <t>GSLGH</t>
        </is>
      </c>
      <c r="OK6" t="inlineStr">
        <is>
          <t>GSLGO</t>
        </is>
      </c>
      <c r="OL6" t="inlineStr">
        <is>
          <t>S00201</t>
        </is>
      </c>
      <c r="OM6" t="inlineStr">
        <is>
          <t>S00202</t>
        </is>
      </c>
      <c r="ON6" t="inlineStr">
        <is>
          <t>S00203</t>
        </is>
      </c>
      <c r="OO6" t="inlineStr">
        <is>
          <t>T001</t>
        </is>
      </c>
      <c r="OP6" t="inlineStr">
        <is>
          <t>F01000</t>
        </is>
      </c>
      <c r="OQ6" t="inlineStr">
        <is>
          <t>F02E00</t>
        </is>
      </c>
      <c r="OR6" t="inlineStr">
        <is>
          <t>F02N00</t>
        </is>
      </c>
      <c r="OS6" t="inlineStr">
        <is>
          <t>F02R00</t>
        </is>
      </c>
      <c r="OT6" t="inlineStr">
        <is>
          <t>F02S00</t>
        </is>
      </c>
      <c r="OU6" t="inlineStr">
        <is>
          <t>F03000</t>
        </is>
      </c>
      <c r="OV6" t="inlineStr">
        <is>
          <t>F04000</t>
        </is>
      </c>
      <c r="OW6" t="inlineStr">
        <is>
          <t>F06C00</t>
        </is>
      </c>
      <c r="OX6" t="inlineStr">
        <is>
          <t>F06E00</t>
        </is>
      </c>
      <c r="OY6" t="inlineStr">
        <is>
          <t>F06N00</t>
        </is>
      </c>
      <c r="OZ6" t="inlineStr">
        <is>
          <t>F06S00</t>
        </is>
      </c>
      <c r="PA6" t="inlineStr">
        <is>
          <t>F07C00</t>
        </is>
      </c>
      <c r="PB6" t="inlineStr">
        <is>
          <t>F07E00</t>
        </is>
      </c>
      <c r="PC6" t="inlineStr">
        <is>
          <t>F07N00</t>
        </is>
      </c>
      <c r="PD6" t="inlineStr">
        <is>
          <t>F07S00</t>
        </is>
      </c>
      <c r="PE6" t="inlineStr">
        <is>
          <t>F10C00</t>
        </is>
      </c>
      <c r="PF6" t="inlineStr">
        <is>
          <t>F10E00</t>
        </is>
      </c>
      <c r="PG6" t="inlineStr">
        <is>
          <t>F10N00</t>
        </is>
      </c>
      <c r="PH6" t="inlineStr">
        <is>
          <t>F10S00</t>
        </is>
      </c>
      <c r="PI6" t="inlineStr">
        <is>
          <t>T019</t>
        </is>
      </c>
      <c r="PM6" s="5" t="inlineStr">
        <is>
          <t>EPS ISIC (commodity)</t>
        </is>
      </c>
    </row>
    <row r="7">
      <c r="A7" t="inlineStr">
        <is>
          <t>1111A0</t>
        </is>
      </c>
      <c r="B7" t="inlineStr">
        <is>
          <t>Oilseed farming</t>
        </is>
      </c>
      <c r="C7" t="n">
        <v>12160</v>
      </c>
      <c r="D7" t="n">
        <v>665</v>
      </c>
      <c r="E7" t="n">
        <v>59</v>
      </c>
      <c r="H7" t="n">
        <v>4</v>
      </c>
      <c r="GL7" t="n">
        <v>1207</v>
      </c>
      <c r="GM7" t="n">
        <v>913</v>
      </c>
      <c r="GN7" t="n">
        <v>24360</v>
      </c>
      <c r="HB7" t="n">
        <v>328</v>
      </c>
      <c r="HD7" t="n">
        <v>13</v>
      </c>
      <c r="HE7" t="n">
        <v>12</v>
      </c>
      <c r="HF7" t="n">
        <v>13</v>
      </c>
      <c r="IH7" t="n">
        <v>4</v>
      </c>
      <c r="II7" t="n">
        <v>0</v>
      </c>
      <c r="IJ7" t="n">
        <v>0</v>
      </c>
      <c r="IL7" t="n">
        <v>1421</v>
      </c>
      <c r="IO7" t="n">
        <v>28</v>
      </c>
      <c r="IP7" t="n">
        <v>0</v>
      </c>
      <c r="IQ7" t="n">
        <v>0</v>
      </c>
      <c r="IR7" t="n">
        <v>3</v>
      </c>
      <c r="OE7" t="n">
        <v>-240</v>
      </c>
      <c r="OO7" t="n">
        <v>40949</v>
      </c>
      <c r="OU7" t="n">
        <v>-1032</v>
      </c>
      <c r="OV7" t="n">
        <v>21287</v>
      </c>
      <c r="PI7" t="n">
        <v>61204</v>
      </c>
      <c r="PM7">
        <f>IFERROR(VLOOKUP($A7&amp;"",Key!$A:$C,3,FALSE),"")</f>
        <v/>
      </c>
    </row>
    <row r="8">
      <c r="A8" t="inlineStr">
        <is>
          <t>1111B0</t>
        </is>
      </c>
      <c r="B8" t="inlineStr">
        <is>
          <t>Grain farming</t>
        </is>
      </c>
      <c r="D8" t="n">
        <v>11802</v>
      </c>
      <c r="H8" t="n">
        <v>692</v>
      </c>
      <c r="I8" t="n">
        <v>2579</v>
      </c>
      <c r="J8" t="n">
        <v>6513</v>
      </c>
      <c r="K8" t="n">
        <v>2436</v>
      </c>
      <c r="L8" t="n">
        <v>267</v>
      </c>
      <c r="GI8" t="n">
        <v>1888</v>
      </c>
      <c r="GJ8" t="n">
        <v>10292</v>
      </c>
      <c r="GK8" t="n">
        <v>10083</v>
      </c>
      <c r="GL8" t="n">
        <v>4774</v>
      </c>
      <c r="GM8" t="n">
        <v>142</v>
      </c>
      <c r="GN8" t="n">
        <v>10</v>
      </c>
      <c r="GO8" t="n">
        <v>383</v>
      </c>
      <c r="GQ8" t="n">
        <v>4174</v>
      </c>
      <c r="GR8" t="n">
        <v>213</v>
      </c>
      <c r="GT8" t="n">
        <v>3</v>
      </c>
      <c r="GV8" t="n">
        <v>6</v>
      </c>
      <c r="GZ8" t="n">
        <v>1948</v>
      </c>
      <c r="HA8" t="n">
        <v>746</v>
      </c>
      <c r="HB8" t="n">
        <v>1392</v>
      </c>
      <c r="HF8" t="n">
        <v>1306</v>
      </c>
      <c r="HH8" t="n">
        <v>921</v>
      </c>
      <c r="HJ8" t="n">
        <v>241</v>
      </c>
      <c r="II8" t="n">
        <v>38</v>
      </c>
      <c r="IL8" t="n">
        <v>11805</v>
      </c>
      <c r="JQ8" t="n">
        <v>0</v>
      </c>
      <c r="JR8" t="n">
        <v>0</v>
      </c>
      <c r="JS8" t="n">
        <v>0</v>
      </c>
      <c r="JW8" t="n">
        <v>643</v>
      </c>
      <c r="JX8" t="n">
        <v>154</v>
      </c>
      <c r="KC8" t="n">
        <v>0</v>
      </c>
      <c r="LZ8" t="n">
        <v>204</v>
      </c>
      <c r="MF8" t="n">
        <v>5</v>
      </c>
      <c r="MP8" t="n">
        <v>2</v>
      </c>
      <c r="MQ8" t="n">
        <v>25</v>
      </c>
      <c r="NN8" t="n">
        <v>11</v>
      </c>
      <c r="NO8" t="n">
        <v>0</v>
      </c>
      <c r="NP8" t="n">
        <v>1</v>
      </c>
      <c r="OE8" t="n">
        <v>-32</v>
      </c>
      <c r="OI8" t="n">
        <v>144</v>
      </c>
      <c r="OJ8" t="n">
        <v>0</v>
      </c>
      <c r="OK8" t="n">
        <v>138</v>
      </c>
      <c r="OO8" t="n">
        <v>75948</v>
      </c>
      <c r="OP8" t="n">
        <v>4939</v>
      </c>
      <c r="OU8" t="n">
        <v>-1547</v>
      </c>
      <c r="OV8" t="n">
        <v>16940</v>
      </c>
      <c r="PI8" t="n">
        <v>96281</v>
      </c>
      <c r="PM8">
        <f>IFERROR(VLOOKUP($A8&amp;"",Key!$A:$C,3,FALSE),"")</f>
        <v/>
      </c>
    </row>
    <row r="9">
      <c r="A9" t="n">
        <v>111200</v>
      </c>
      <c r="B9" t="inlineStr">
        <is>
          <t>Vegetable and melon farming</t>
        </is>
      </c>
      <c r="E9" t="n">
        <v>962</v>
      </c>
      <c r="F9" t="n">
        <v>3</v>
      </c>
      <c r="GQ9" t="n">
        <v>1860</v>
      </c>
      <c r="GR9" t="n">
        <v>188</v>
      </c>
      <c r="GT9" t="n">
        <v>5</v>
      </c>
      <c r="HA9" t="n">
        <v>12</v>
      </c>
      <c r="HB9" t="n">
        <v>1028</v>
      </c>
      <c r="HD9" t="n">
        <v>37</v>
      </c>
      <c r="HE9" t="n">
        <v>144</v>
      </c>
      <c r="HF9" t="n">
        <v>2922</v>
      </c>
      <c r="JW9" t="n">
        <v>12</v>
      </c>
      <c r="KA9" t="n">
        <v>20</v>
      </c>
      <c r="KK9" t="n">
        <v>12</v>
      </c>
      <c r="MP9" t="n">
        <v>10</v>
      </c>
      <c r="MQ9" t="n">
        <v>27</v>
      </c>
      <c r="NM9" t="n">
        <v>1</v>
      </c>
      <c r="NN9" t="n">
        <v>4</v>
      </c>
      <c r="NO9" t="n">
        <v>135</v>
      </c>
      <c r="NP9" t="n">
        <v>165</v>
      </c>
      <c r="NQ9" t="n">
        <v>25</v>
      </c>
      <c r="NZ9" t="n">
        <v>2</v>
      </c>
      <c r="OB9" t="n">
        <v>2</v>
      </c>
      <c r="OI9" t="n">
        <v>96</v>
      </c>
      <c r="OJ9" t="n">
        <v>49</v>
      </c>
      <c r="OK9" t="n">
        <v>36</v>
      </c>
      <c r="OO9" t="n">
        <v>7756</v>
      </c>
      <c r="OP9" t="n">
        <v>39518</v>
      </c>
      <c r="OU9" t="n">
        <v>-585</v>
      </c>
      <c r="OV9" t="n">
        <v>3649</v>
      </c>
      <c r="PI9" t="n">
        <v>50338</v>
      </c>
      <c r="PM9">
        <f>IFERROR(VLOOKUP($A9&amp;"",Key!$A:$C,3,FALSE),"")</f>
        <v/>
      </c>
    </row>
    <row r="10">
      <c r="A10" t="n">
        <v>111300</v>
      </c>
      <c r="B10" t="inlineStr">
        <is>
          <t>Fruit and tree nut farming</t>
        </is>
      </c>
      <c r="F10" t="n">
        <v>1037</v>
      </c>
      <c r="GO10" t="n">
        <v>102</v>
      </c>
      <c r="GP10" t="n">
        <v>1438</v>
      </c>
      <c r="GQ10" t="n">
        <v>1733</v>
      </c>
      <c r="GR10" t="n">
        <v>3163</v>
      </c>
      <c r="GT10" t="n">
        <v>22</v>
      </c>
      <c r="GV10" t="n">
        <v>35</v>
      </c>
      <c r="GZ10" t="n">
        <v>192</v>
      </c>
      <c r="HA10" t="n">
        <v>177</v>
      </c>
      <c r="HB10" t="n">
        <v>2715</v>
      </c>
      <c r="HC10" t="n">
        <v>4156</v>
      </c>
      <c r="HD10" t="n">
        <v>43</v>
      </c>
      <c r="HE10" t="n">
        <v>1130</v>
      </c>
      <c r="HF10" t="n">
        <v>4696</v>
      </c>
      <c r="HI10" t="n">
        <v>5595</v>
      </c>
      <c r="HJ10" t="n">
        <v>4</v>
      </c>
      <c r="KK10" t="n">
        <v>32</v>
      </c>
      <c r="LZ10" t="n">
        <v>2</v>
      </c>
      <c r="MP10" t="n">
        <v>14</v>
      </c>
      <c r="MQ10" t="n">
        <v>116</v>
      </c>
      <c r="NM10" t="n">
        <v>5</v>
      </c>
      <c r="NN10" t="n">
        <v>16</v>
      </c>
      <c r="NO10" t="n">
        <v>122</v>
      </c>
      <c r="NP10" t="n">
        <v>132</v>
      </c>
      <c r="NQ10" t="n">
        <v>154</v>
      </c>
      <c r="NZ10" t="n">
        <v>8</v>
      </c>
      <c r="OI10" t="n">
        <v>185</v>
      </c>
      <c r="OJ10" t="n">
        <v>165</v>
      </c>
      <c r="OK10" t="n">
        <v>142</v>
      </c>
      <c r="OO10" t="n">
        <v>27330</v>
      </c>
      <c r="OP10" t="n">
        <v>48125</v>
      </c>
      <c r="OU10" t="n">
        <v>-676</v>
      </c>
      <c r="OV10" t="n">
        <v>7907</v>
      </c>
      <c r="PI10" t="n">
        <v>82686</v>
      </c>
      <c r="PM10">
        <f>IFERROR(VLOOKUP($A10&amp;"",Key!$A:$C,3,FALSE),"")</f>
        <v/>
      </c>
    </row>
    <row r="11">
      <c r="A11" t="n">
        <v>111400</v>
      </c>
      <c r="B11" t="inlineStr">
        <is>
          <t>Greenhouse, nursery, and floriculture production</t>
        </is>
      </c>
      <c r="G11" t="n">
        <v>3604</v>
      </c>
      <c r="O11" t="n">
        <v>134</v>
      </c>
      <c r="AD11" t="n">
        <v>36</v>
      </c>
      <c r="AG11" t="n">
        <v>163</v>
      </c>
      <c r="AK11" t="n">
        <v>72</v>
      </c>
      <c r="GH11" t="n">
        <v>222</v>
      </c>
      <c r="GR11" t="n">
        <v>1</v>
      </c>
      <c r="HB11" t="n">
        <v>159</v>
      </c>
      <c r="HF11" t="n">
        <v>311</v>
      </c>
      <c r="IL11" t="n">
        <v>2688</v>
      </c>
      <c r="JL11" t="n">
        <v>1</v>
      </c>
      <c r="JQ11" t="n">
        <v>2</v>
      </c>
      <c r="JR11" t="n">
        <v>2</v>
      </c>
      <c r="JS11" t="n">
        <v>49</v>
      </c>
      <c r="JT11" t="n">
        <v>1</v>
      </c>
      <c r="JV11" t="n">
        <v>744</v>
      </c>
      <c r="JW11" t="n">
        <v>312</v>
      </c>
      <c r="KA11" t="n">
        <v>346</v>
      </c>
      <c r="KD11" t="n">
        <v>23</v>
      </c>
      <c r="LD11" t="n">
        <v>1</v>
      </c>
      <c r="LK11" t="n">
        <v>0</v>
      </c>
      <c r="LL11" t="n">
        <v>0</v>
      </c>
      <c r="LM11" t="n">
        <v>7</v>
      </c>
      <c r="LR11" t="n">
        <v>2</v>
      </c>
      <c r="LU11" t="n">
        <v>1</v>
      </c>
      <c r="LV11" t="n">
        <v>13</v>
      </c>
      <c r="LW11" t="n">
        <v>18</v>
      </c>
      <c r="LX11" t="n">
        <v>10</v>
      </c>
      <c r="MA11" t="n">
        <v>29</v>
      </c>
      <c r="MH11" t="n">
        <v>1473</v>
      </c>
      <c r="MI11" t="n">
        <v>1</v>
      </c>
      <c r="MK11" t="n">
        <v>1</v>
      </c>
      <c r="MN11" t="n">
        <v>1</v>
      </c>
      <c r="MP11" t="n">
        <v>0</v>
      </c>
      <c r="MQ11" t="n">
        <v>1</v>
      </c>
      <c r="NK11" t="n">
        <v>9</v>
      </c>
      <c r="NL11" t="n">
        <v>14</v>
      </c>
      <c r="NM11" t="n">
        <v>6</v>
      </c>
      <c r="NN11" t="n">
        <v>0</v>
      </c>
      <c r="NZ11" t="n">
        <v>9</v>
      </c>
      <c r="OB11" t="n">
        <v>4</v>
      </c>
      <c r="OI11" t="n">
        <v>5</v>
      </c>
      <c r="OK11" t="n">
        <v>1406</v>
      </c>
      <c r="OO11" t="n">
        <v>11879</v>
      </c>
      <c r="OP11" t="n">
        <v>31499</v>
      </c>
      <c r="OU11" t="n">
        <v>119</v>
      </c>
      <c r="OV11" t="n">
        <v>995</v>
      </c>
      <c r="PI11" t="n">
        <v>44491</v>
      </c>
      <c r="PM11">
        <f>IFERROR(VLOOKUP($A11&amp;"",Key!$A:$C,3,FALSE),"")</f>
        <v/>
      </c>
    </row>
    <row r="12">
      <c r="A12" t="n">
        <v>111900</v>
      </c>
      <c r="B12" t="inlineStr">
        <is>
          <t>Other crop farming</t>
        </is>
      </c>
      <c r="C12" t="n">
        <v>197</v>
      </c>
      <c r="D12" t="n">
        <v>797</v>
      </c>
      <c r="G12" t="n">
        <v>0</v>
      </c>
      <c r="H12" t="n">
        <v>1190</v>
      </c>
      <c r="I12" t="n">
        <v>535</v>
      </c>
      <c r="J12" t="n">
        <v>612</v>
      </c>
      <c r="L12" t="n">
        <v>29</v>
      </c>
      <c r="Q12" t="n">
        <v>5</v>
      </c>
      <c r="R12" t="n">
        <v>1</v>
      </c>
      <c r="S12" t="n">
        <v>8</v>
      </c>
      <c r="T12" t="n">
        <v>3</v>
      </c>
      <c r="U12" t="n">
        <v>8</v>
      </c>
      <c r="V12" t="n">
        <v>6</v>
      </c>
      <c r="W12" t="n">
        <v>14</v>
      </c>
      <c r="AA12" t="n">
        <v>17</v>
      </c>
      <c r="AB12" t="n">
        <v>16</v>
      </c>
      <c r="AC12" t="n">
        <v>118</v>
      </c>
      <c r="AD12" t="n">
        <v>515</v>
      </c>
      <c r="AE12" t="n">
        <v>58</v>
      </c>
      <c r="AF12" t="n">
        <v>16</v>
      </c>
      <c r="AG12" t="n">
        <v>416</v>
      </c>
      <c r="AH12" t="n">
        <v>14</v>
      </c>
      <c r="AI12" t="n">
        <v>46</v>
      </c>
      <c r="AJ12" t="n">
        <v>30</v>
      </c>
      <c r="AK12" t="n">
        <v>167</v>
      </c>
      <c r="AL12" t="n">
        <v>32</v>
      </c>
      <c r="GM12" t="n">
        <v>73</v>
      </c>
      <c r="GN12" t="n">
        <v>273</v>
      </c>
      <c r="GO12" t="n">
        <v>1</v>
      </c>
      <c r="GP12" t="n">
        <v>2750</v>
      </c>
      <c r="GV12" t="n">
        <v>3</v>
      </c>
      <c r="HA12" t="n">
        <v>8</v>
      </c>
      <c r="HB12" t="n">
        <v>3125</v>
      </c>
      <c r="HC12" t="n">
        <v>1149</v>
      </c>
      <c r="HD12" t="n">
        <v>65</v>
      </c>
      <c r="HE12" t="n">
        <v>1578</v>
      </c>
      <c r="HF12" t="n">
        <v>14</v>
      </c>
      <c r="HH12" t="n">
        <v>633</v>
      </c>
      <c r="HK12" t="n">
        <v>2156</v>
      </c>
      <c r="HL12" t="n">
        <v>1928</v>
      </c>
      <c r="HM12" t="n">
        <v>300</v>
      </c>
      <c r="II12" t="n">
        <v>52</v>
      </c>
      <c r="IJ12" t="n">
        <v>0</v>
      </c>
      <c r="IL12" t="n">
        <v>4699</v>
      </c>
      <c r="IO12" t="n">
        <v>30</v>
      </c>
      <c r="JX12" t="n">
        <v>17</v>
      </c>
      <c r="KD12" t="n">
        <v>0</v>
      </c>
      <c r="LZ12" t="n">
        <v>47</v>
      </c>
      <c r="MF12" t="n">
        <v>1</v>
      </c>
      <c r="MH12" t="n">
        <v>77</v>
      </c>
      <c r="MP12" t="n">
        <v>1</v>
      </c>
      <c r="MQ12" t="n">
        <v>1</v>
      </c>
      <c r="NK12" t="n">
        <v>3</v>
      </c>
      <c r="NM12" t="n">
        <v>19</v>
      </c>
      <c r="OE12" t="n">
        <v>252</v>
      </c>
      <c r="OI12" t="n">
        <v>21</v>
      </c>
      <c r="OK12" t="n">
        <v>320</v>
      </c>
      <c r="OO12" t="n">
        <v>24449</v>
      </c>
      <c r="OP12" t="n">
        <v>7475</v>
      </c>
      <c r="OU12" t="n">
        <v>-754</v>
      </c>
      <c r="OV12" t="n">
        <v>7368</v>
      </c>
      <c r="PI12" t="n">
        <v>38538</v>
      </c>
      <c r="PM12">
        <f>IFERROR(VLOOKUP($A12&amp;"",Key!$A:$C,3,FALSE),"")</f>
        <v/>
      </c>
    </row>
    <row r="13">
      <c r="A13" t="n">
        <v>112120</v>
      </c>
      <c r="B13" t="inlineStr">
        <is>
          <t>Dairy cattle and milk production</t>
        </is>
      </c>
      <c r="L13" t="n">
        <v>10</v>
      </c>
      <c r="GS13" t="n">
        <v>19471</v>
      </c>
      <c r="GT13" t="n">
        <v>5497</v>
      </c>
      <c r="GU13" t="n">
        <v>19215</v>
      </c>
      <c r="GV13" t="n">
        <v>591</v>
      </c>
      <c r="HF13" t="n">
        <v>813</v>
      </c>
      <c r="LZ13" t="n">
        <v>10</v>
      </c>
      <c r="MP13" t="n">
        <v>3</v>
      </c>
      <c r="MQ13" t="n">
        <v>3</v>
      </c>
      <c r="OI13" t="n">
        <v>18</v>
      </c>
      <c r="OO13" t="n">
        <v>45632</v>
      </c>
      <c r="OP13" t="n">
        <v>165</v>
      </c>
      <c r="OU13" t="n">
        <v>122</v>
      </c>
      <c r="OV13" t="n">
        <v>70</v>
      </c>
      <c r="PI13" t="n">
        <v>45989</v>
      </c>
      <c r="PM13">
        <f>IFERROR(VLOOKUP($A13&amp;"",Key!$A:$C,3,FALSE),"")</f>
        <v/>
      </c>
    </row>
    <row r="14">
      <c r="A14" t="inlineStr">
        <is>
          <t>1121A0</t>
        </is>
      </c>
      <c r="B14" t="inlineStr">
        <is>
          <t>Beef cattle ranching and farming, including feedlots and dual-purpose ranching and farming</t>
        </is>
      </c>
      <c r="C14" t="n">
        <v>37</v>
      </c>
      <c r="D14" t="n">
        <v>245</v>
      </c>
      <c r="E14" t="n">
        <v>20</v>
      </c>
      <c r="F14" t="n">
        <v>84</v>
      </c>
      <c r="G14" t="n">
        <v>22</v>
      </c>
      <c r="H14" t="n">
        <v>29</v>
      </c>
      <c r="I14" t="n">
        <v>3088</v>
      </c>
      <c r="J14" t="n">
        <v>36030</v>
      </c>
      <c r="L14" t="n">
        <v>724</v>
      </c>
      <c r="O14" t="n">
        <v>42</v>
      </c>
      <c r="GX14" t="n">
        <v>58747</v>
      </c>
      <c r="JQ14" t="n">
        <v>576</v>
      </c>
      <c r="LZ14" t="n">
        <v>303</v>
      </c>
      <c r="MF14" t="n">
        <v>10</v>
      </c>
      <c r="OO14" t="n">
        <v>99956</v>
      </c>
      <c r="OP14" t="n">
        <v>97</v>
      </c>
      <c r="OU14" t="n">
        <v>1214</v>
      </c>
      <c r="OV14" t="n">
        <v>192</v>
      </c>
      <c r="PI14" t="n">
        <v>101458</v>
      </c>
      <c r="PM14">
        <f>IFERROR(VLOOKUP($A14&amp;"",Key!$A:$C,3,FALSE),"")</f>
        <v/>
      </c>
    </row>
    <row r="15">
      <c r="A15" t="n">
        <v>112300</v>
      </c>
      <c r="B15" t="inlineStr">
        <is>
          <t>Poultry and egg production</t>
        </is>
      </c>
      <c r="C15" t="n">
        <v>12</v>
      </c>
      <c r="H15" t="n">
        <v>5</v>
      </c>
      <c r="K15" t="n">
        <v>10227</v>
      </c>
      <c r="GI15" t="n">
        <v>1</v>
      </c>
      <c r="GP15" t="n">
        <v>52</v>
      </c>
      <c r="GQ15" t="n">
        <v>146</v>
      </c>
      <c r="GR15" t="n">
        <v>31</v>
      </c>
      <c r="GV15" t="n">
        <v>188</v>
      </c>
      <c r="GW15" t="n">
        <v>30467</v>
      </c>
      <c r="GZ15" t="n">
        <v>347</v>
      </c>
      <c r="HA15" t="n">
        <v>393</v>
      </c>
      <c r="HE15" t="n">
        <v>455</v>
      </c>
      <c r="HF15" t="n">
        <v>370</v>
      </c>
      <c r="JQ15" t="n">
        <v>1</v>
      </c>
      <c r="JW15" t="n">
        <v>114</v>
      </c>
      <c r="JX15" t="n">
        <v>27</v>
      </c>
      <c r="LZ15" t="n">
        <v>7</v>
      </c>
      <c r="MP15" t="n">
        <v>1</v>
      </c>
      <c r="MQ15" t="n">
        <v>48</v>
      </c>
      <c r="NN15" t="n">
        <v>19</v>
      </c>
      <c r="NO15" t="n">
        <v>34</v>
      </c>
      <c r="NP15" t="n">
        <v>71</v>
      </c>
      <c r="OB15" t="n">
        <v>1</v>
      </c>
      <c r="OI15" t="n">
        <v>22</v>
      </c>
      <c r="OJ15" t="n">
        <v>131</v>
      </c>
      <c r="OK15" t="n">
        <v>244</v>
      </c>
      <c r="OO15" t="n">
        <v>43415</v>
      </c>
      <c r="OP15" t="n">
        <v>8774</v>
      </c>
      <c r="OU15" t="n">
        <v>357</v>
      </c>
      <c r="OV15" t="n">
        <v>778</v>
      </c>
      <c r="PI15" t="n">
        <v>53324</v>
      </c>
      <c r="PM15">
        <f>IFERROR(VLOOKUP($A15&amp;"",Key!$A:$C,3,FALSE),"")</f>
        <v/>
      </c>
    </row>
    <row r="16">
      <c r="A16" t="inlineStr">
        <is>
          <t>112A00</t>
        </is>
      </c>
      <c r="B16" t="inlineStr">
        <is>
          <t>Animal production, except cattle and poultry and eggs</t>
        </is>
      </c>
      <c r="C16" t="n">
        <v>20</v>
      </c>
      <c r="D16" t="n">
        <v>163</v>
      </c>
      <c r="E16" t="n">
        <v>10</v>
      </c>
      <c r="F16" t="n">
        <v>44</v>
      </c>
      <c r="G16" t="n">
        <v>10</v>
      </c>
      <c r="H16" t="n">
        <v>59</v>
      </c>
      <c r="I16" t="n">
        <v>334</v>
      </c>
      <c r="J16" t="n">
        <v>542</v>
      </c>
      <c r="L16" t="n">
        <v>2961</v>
      </c>
      <c r="M16" t="n">
        <v>0</v>
      </c>
      <c r="O16" t="n">
        <v>438</v>
      </c>
      <c r="GH16" t="n">
        <v>14</v>
      </c>
      <c r="GW16" t="n">
        <v>184</v>
      </c>
      <c r="GX16" t="n">
        <v>24168</v>
      </c>
      <c r="GY16" t="n">
        <v>407</v>
      </c>
      <c r="GZ16" t="n">
        <v>2</v>
      </c>
      <c r="HA16" t="n">
        <v>2</v>
      </c>
      <c r="HB16" t="n">
        <v>60</v>
      </c>
      <c r="HD16" t="n">
        <v>21</v>
      </c>
      <c r="HE16" t="n">
        <v>153</v>
      </c>
      <c r="HF16" t="n">
        <v>1114</v>
      </c>
      <c r="HG16" t="n">
        <v>3</v>
      </c>
      <c r="HL16" t="n">
        <v>102</v>
      </c>
      <c r="HM16" t="n">
        <v>173</v>
      </c>
      <c r="HQ16" t="n">
        <v>80</v>
      </c>
      <c r="JQ16" t="n">
        <v>230</v>
      </c>
      <c r="JX16" t="n">
        <v>3</v>
      </c>
      <c r="KK16" t="n">
        <v>17</v>
      </c>
      <c r="LZ16" t="n">
        <v>659</v>
      </c>
      <c r="MF16" t="n">
        <v>19</v>
      </c>
      <c r="MM16" t="n">
        <v>12</v>
      </c>
      <c r="MQ16" t="n">
        <v>3</v>
      </c>
      <c r="NK16" t="n">
        <v>72</v>
      </c>
      <c r="NL16" t="n">
        <v>57</v>
      </c>
      <c r="NM16" t="n">
        <v>301</v>
      </c>
      <c r="NN16" t="n">
        <v>4</v>
      </c>
      <c r="NO16" t="n">
        <v>1020</v>
      </c>
      <c r="NP16" t="n">
        <v>1907</v>
      </c>
      <c r="NQ16" t="n">
        <v>356</v>
      </c>
      <c r="OD16" t="n">
        <v>14</v>
      </c>
      <c r="OK16" t="n">
        <v>106</v>
      </c>
      <c r="OO16" t="n">
        <v>35842</v>
      </c>
      <c r="OP16" t="n">
        <v>12574</v>
      </c>
      <c r="OU16" t="n">
        <v>474</v>
      </c>
      <c r="OV16" t="n">
        <v>1522</v>
      </c>
      <c r="PI16" t="n">
        <v>50413</v>
      </c>
      <c r="PM16">
        <f>IFERROR(VLOOKUP($A16&amp;"",Key!$A:$C,3,FALSE),"")</f>
        <v/>
      </c>
    </row>
    <row r="17">
      <c r="A17" t="n">
        <v>113000</v>
      </c>
      <c r="B17" t="inlineStr">
        <is>
          <t>Forestry and logging</t>
        </is>
      </c>
      <c r="M17" t="n">
        <v>4822</v>
      </c>
      <c r="O17" t="n">
        <v>4</v>
      </c>
      <c r="Q17" t="n">
        <v>101</v>
      </c>
      <c r="AM17" t="n">
        <v>10990</v>
      </c>
      <c r="AN17" t="n">
        <v>2288</v>
      </c>
      <c r="AO17" t="n">
        <v>1342</v>
      </c>
      <c r="AP17" t="n">
        <v>606</v>
      </c>
      <c r="BB17" t="n">
        <v>1</v>
      </c>
      <c r="FT17" t="n">
        <v>122</v>
      </c>
      <c r="GD17" t="n">
        <v>109</v>
      </c>
      <c r="GH17" t="n">
        <v>187</v>
      </c>
      <c r="GP17" t="n">
        <v>57</v>
      </c>
      <c r="HB17" t="n">
        <v>17</v>
      </c>
      <c r="HD17" t="n">
        <v>682</v>
      </c>
      <c r="HE17" t="n">
        <v>54</v>
      </c>
      <c r="HF17" t="n">
        <v>37</v>
      </c>
      <c r="HG17" t="n">
        <v>140</v>
      </c>
      <c r="HR17" t="n">
        <v>58</v>
      </c>
      <c r="HS17" t="n">
        <v>6</v>
      </c>
      <c r="HT17" t="n">
        <v>677</v>
      </c>
      <c r="HU17" t="n">
        <v>772</v>
      </c>
      <c r="HV17" t="n">
        <v>2393</v>
      </c>
      <c r="IC17" t="n">
        <v>30</v>
      </c>
      <c r="IH17" t="n">
        <v>1</v>
      </c>
      <c r="IL17" t="n">
        <v>276</v>
      </c>
      <c r="IN17" t="n">
        <v>9</v>
      </c>
      <c r="IT17" t="n">
        <v>35</v>
      </c>
      <c r="IU17" t="n">
        <v>82</v>
      </c>
      <c r="IV17" t="n">
        <v>25</v>
      </c>
      <c r="IZ17" t="n">
        <v>7</v>
      </c>
      <c r="JH17" t="n">
        <v>1719</v>
      </c>
      <c r="JI17" t="n">
        <v>61</v>
      </c>
      <c r="JJ17" t="n">
        <v>615</v>
      </c>
      <c r="KB17" t="n">
        <v>0</v>
      </c>
      <c r="LZ17" t="n">
        <v>27</v>
      </c>
      <c r="MH17" t="n">
        <v>2</v>
      </c>
      <c r="MQ17" t="n">
        <v>4</v>
      </c>
      <c r="OI17" t="n">
        <v>42</v>
      </c>
      <c r="OK17" t="n">
        <v>125</v>
      </c>
      <c r="OO17" t="n">
        <v>28528</v>
      </c>
      <c r="OU17" t="n">
        <v>596</v>
      </c>
      <c r="OV17" t="n">
        <v>2551</v>
      </c>
      <c r="PI17" t="n">
        <v>31674</v>
      </c>
      <c r="PM17">
        <f>IFERROR(VLOOKUP($A17&amp;"",Key!$A:$C,3,FALSE),"")</f>
        <v/>
      </c>
    </row>
    <row r="18">
      <c r="A18" t="n">
        <v>114000</v>
      </c>
      <c r="B18" t="inlineStr">
        <is>
          <t>Fishing, hunting and trapping</t>
        </is>
      </c>
      <c r="GI18" t="n">
        <v>16</v>
      </c>
      <c r="GJ18" t="n">
        <v>419</v>
      </c>
      <c r="GQ18" t="n">
        <v>97</v>
      </c>
      <c r="GR18" t="n">
        <v>420</v>
      </c>
      <c r="GW18" t="n">
        <v>192</v>
      </c>
      <c r="GX18" t="n">
        <v>1143</v>
      </c>
      <c r="GY18" t="n">
        <v>6285</v>
      </c>
      <c r="IS18" t="n">
        <v>17</v>
      </c>
      <c r="JW18" t="n">
        <v>818</v>
      </c>
      <c r="KK18" t="n">
        <v>1</v>
      </c>
      <c r="LZ18" t="n">
        <v>24</v>
      </c>
      <c r="MF18" t="n">
        <v>0</v>
      </c>
      <c r="MP18" t="n">
        <v>53</v>
      </c>
      <c r="MQ18" t="n">
        <v>16</v>
      </c>
      <c r="NK18" t="n">
        <v>29</v>
      </c>
      <c r="NL18" t="n">
        <v>26</v>
      </c>
      <c r="NM18" t="n">
        <v>186</v>
      </c>
      <c r="NN18" t="n">
        <v>443</v>
      </c>
      <c r="NO18" t="n">
        <v>2635</v>
      </c>
      <c r="NP18" t="n">
        <v>2559</v>
      </c>
      <c r="NQ18" t="n">
        <v>239</v>
      </c>
      <c r="NZ18" t="n">
        <v>34</v>
      </c>
      <c r="OB18" t="n">
        <v>96</v>
      </c>
      <c r="OH18" t="n">
        <v>18</v>
      </c>
      <c r="OI18" t="n">
        <v>59</v>
      </c>
      <c r="OJ18" t="n">
        <v>303</v>
      </c>
      <c r="OK18" t="n">
        <v>174</v>
      </c>
      <c r="OO18" t="n">
        <v>16304</v>
      </c>
      <c r="OP18" t="n">
        <v>8695</v>
      </c>
      <c r="OU18" t="n">
        <v>59</v>
      </c>
      <c r="OV18" t="n">
        <v>5391</v>
      </c>
      <c r="PI18" t="n">
        <v>30450</v>
      </c>
      <c r="PM18">
        <f>IFERROR(VLOOKUP($A18&amp;"",Key!$A:$C,3,FALSE),"")</f>
        <v/>
      </c>
    </row>
    <row r="19">
      <c r="A19" t="n">
        <v>115000</v>
      </c>
      <c r="B19" t="inlineStr">
        <is>
          <t>Support activities for agriculture and forestry</t>
        </is>
      </c>
      <c r="C19" t="n">
        <v>1326</v>
      </c>
      <c r="D19" t="n">
        <v>8007</v>
      </c>
      <c r="E19" t="n">
        <v>2320</v>
      </c>
      <c r="F19" t="n">
        <v>3658</v>
      </c>
      <c r="G19" t="n">
        <v>1218</v>
      </c>
      <c r="H19" t="n">
        <v>3169</v>
      </c>
      <c r="I19" t="n">
        <v>1087</v>
      </c>
      <c r="J19" t="n">
        <v>913</v>
      </c>
      <c r="K19" t="n">
        <v>720</v>
      </c>
      <c r="L19" t="n">
        <v>497</v>
      </c>
      <c r="M19" t="n">
        <v>2963</v>
      </c>
      <c r="N19" t="n">
        <v>9</v>
      </c>
      <c r="LZ19" t="n">
        <v>245</v>
      </c>
      <c r="MF19" t="n">
        <v>21</v>
      </c>
      <c r="OE19" t="n">
        <v>51</v>
      </c>
      <c r="OK19" t="n">
        <v>3444</v>
      </c>
      <c r="OO19" t="n">
        <v>29649</v>
      </c>
      <c r="OP19" t="n">
        <v>124</v>
      </c>
      <c r="OV19" t="n">
        <v>86</v>
      </c>
      <c r="PI19" t="n">
        <v>29859</v>
      </c>
      <c r="PM19">
        <f>IFERROR(VLOOKUP($A19&amp;"",Key!$A:$C,3,FALSE),"")</f>
        <v/>
      </c>
    </row>
    <row r="20">
      <c r="A20" t="n">
        <v>211000</v>
      </c>
      <c r="B20" t="inlineStr">
        <is>
          <t>Oil and gas extraction</t>
        </is>
      </c>
      <c r="P20" t="n">
        <v>21742</v>
      </c>
      <c r="S20" t="n">
        <v>0</v>
      </c>
      <c r="T20" t="n">
        <v>0</v>
      </c>
      <c r="U20" t="n">
        <v>0</v>
      </c>
      <c r="V20" t="n">
        <v>0</v>
      </c>
      <c r="W20" t="n">
        <v>4</v>
      </c>
      <c r="X20" t="n">
        <v>7017</v>
      </c>
      <c r="Y20" t="n">
        <v>5089</v>
      </c>
      <c r="Z20" t="n">
        <v>308</v>
      </c>
      <c r="AM20" t="n">
        <v>1</v>
      </c>
      <c r="AN20" t="n">
        <v>0</v>
      </c>
      <c r="AO20" t="n">
        <v>2</v>
      </c>
      <c r="AS20" t="n">
        <v>0</v>
      </c>
      <c r="BC20" t="n">
        <v>0</v>
      </c>
      <c r="BF20" t="n">
        <v>2</v>
      </c>
      <c r="BN20" t="n">
        <v>0</v>
      </c>
      <c r="BZ20" t="n">
        <v>0</v>
      </c>
      <c r="EQ20" t="n">
        <v>0</v>
      </c>
      <c r="GL20" t="n">
        <v>0</v>
      </c>
      <c r="GX20" t="n">
        <v>0</v>
      </c>
      <c r="GY20" t="n">
        <v>0</v>
      </c>
      <c r="HH20" t="n">
        <v>0</v>
      </c>
      <c r="HT20" t="n">
        <v>0</v>
      </c>
      <c r="HU20" t="n">
        <v>0</v>
      </c>
      <c r="HV20" t="n">
        <v>0</v>
      </c>
      <c r="IB20" t="n">
        <v>0</v>
      </c>
      <c r="ID20" t="n">
        <v>322173</v>
      </c>
      <c r="IG20" t="n">
        <v>1460</v>
      </c>
      <c r="IH20" t="n">
        <v>4463</v>
      </c>
      <c r="II20" t="n">
        <v>91</v>
      </c>
      <c r="IJ20" t="n">
        <v>5</v>
      </c>
      <c r="IK20" t="n">
        <v>231</v>
      </c>
      <c r="IL20" t="n">
        <v>699</v>
      </c>
      <c r="IM20" t="n">
        <v>10</v>
      </c>
      <c r="IN20" t="n">
        <v>5</v>
      </c>
      <c r="IO20" t="n">
        <v>0</v>
      </c>
      <c r="IP20" t="n">
        <v>3</v>
      </c>
      <c r="IQ20" t="n">
        <v>0</v>
      </c>
      <c r="IR20" t="n">
        <v>2</v>
      </c>
      <c r="IS20" t="n">
        <v>1</v>
      </c>
      <c r="IT20" t="n">
        <v>0</v>
      </c>
      <c r="IU20" t="n">
        <v>0</v>
      </c>
      <c r="IV20" t="n">
        <v>1</v>
      </c>
      <c r="IW20" t="n">
        <v>2</v>
      </c>
      <c r="IX20" t="n">
        <v>0</v>
      </c>
      <c r="IZ20" t="n">
        <v>52</v>
      </c>
      <c r="JA20" t="n">
        <v>0</v>
      </c>
      <c r="JD20" t="n">
        <v>0</v>
      </c>
      <c r="JG20" t="n">
        <v>0</v>
      </c>
      <c r="JH20" t="n">
        <v>0</v>
      </c>
      <c r="JJ20" t="n">
        <v>0</v>
      </c>
      <c r="JK20" t="n">
        <v>0</v>
      </c>
      <c r="JL20" t="n">
        <v>0</v>
      </c>
      <c r="JM20" t="n">
        <v>1</v>
      </c>
      <c r="JN20" t="n">
        <v>0</v>
      </c>
      <c r="JO20" t="n">
        <v>0</v>
      </c>
      <c r="JQ20" t="n">
        <v>0</v>
      </c>
      <c r="JR20" t="n">
        <v>0</v>
      </c>
      <c r="JS20" t="n">
        <v>1</v>
      </c>
      <c r="JT20" t="n">
        <v>0</v>
      </c>
      <c r="JV20" t="n">
        <v>4</v>
      </c>
      <c r="JW20" t="n">
        <v>0</v>
      </c>
      <c r="JX20" t="n">
        <v>1</v>
      </c>
      <c r="JY20" t="n">
        <v>4</v>
      </c>
      <c r="JZ20" t="n">
        <v>0</v>
      </c>
      <c r="KB20" t="n">
        <v>0</v>
      </c>
      <c r="KC20" t="n">
        <v>0</v>
      </c>
      <c r="KD20" t="n">
        <v>0</v>
      </c>
      <c r="KJ20" t="n">
        <v>7</v>
      </c>
      <c r="KM20" t="n">
        <v>80</v>
      </c>
      <c r="KN20" t="n">
        <v>0</v>
      </c>
      <c r="KO20" t="n">
        <v>0</v>
      </c>
      <c r="KP20" t="n">
        <v>2</v>
      </c>
      <c r="KQ20" t="n">
        <v>0</v>
      </c>
      <c r="KR20" t="n">
        <v>2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2</v>
      </c>
      <c r="KZ20" t="n">
        <v>1</v>
      </c>
      <c r="LA20" t="n">
        <v>6</v>
      </c>
      <c r="LB20" t="n">
        <v>0</v>
      </c>
      <c r="LM20" t="n">
        <v>35</v>
      </c>
      <c r="LS20" t="n">
        <v>0</v>
      </c>
      <c r="LV20" t="n">
        <v>2</v>
      </c>
      <c r="LW20" t="n">
        <v>1</v>
      </c>
      <c r="LX20" t="n">
        <v>0</v>
      </c>
      <c r="LZ20" t="n">
        <v>1</v>
      </c>
      <c r="MA20" t="n">
        <v>0</v>
      </c>
      <c r="MD20" t="n">
        <v>0</v>
      </c>
      <c r="MF20" t="n">
        <v>3</v>
      </c>
      <c r="MG20" t="n">
        <v>0</v>
      </c>
      <c r="MI20" t="n">
        <v>0</v>
      </c>
      <c r="MN20" t="n">
        <v>0</v>
      </c>
      <c r="MO20" t="n">
        <v>2</v>
      </c>
      <c r="MQ20" t="n">
        <v>7</v>
      </c>
      <c r="MR20" t="n">
        <v>189</v>
      </c>
      <c r="MS20" t="n">
        <v>1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I20" t="n">
        <v>0</v>
      </c>
      <c r="NJ20" t="n">
        <v>0</v>
      </c>
      <c r="NK20" t="n">
        <v>0</v>
      </c>
      <c r="NL20" t="n">
        <v>1</v>
      </c>
      <c r="NM20" t="n">
        <v>22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1</v>
      </c>
      <c r="NY20" t="n">
        <v>0</v>
      </c>
      <c r="OA20" t="n">
        <v>0</v>
      </c>
      <c r="OB20" t="n">
        <v>1</v>
      </c>
      <c r="OE20" t="n">
        <v>0</v>
      </c>
      <c r="OF20" t="n">
        <v>0</v>
      </c>
      <c r="OG20" t="n">
        <v>1910</v>
      </c>
      <c r="OH20" t="n">
        <v>0</v>
      </c>
      <c r="OM20" t="n">
        <v>20045</v>
      </c>
      <c r="ON20" t="n">
        <v>3340</v>
      </c>
      <c r="OO20" t="n">
        <v>389039</v>
      </c>
      <c r="OU20" t="n">
        <v>-7577</v>
      </c>
      <c r="OV20" t="n">
        <v>41909</v>
      </c>
      <c r="PI20" t="n">
        <v>423371</v>
      </c>
      <c r="PM20">
        <f>IFERROR(VLOOKUP($A20&amp;"",Key!$A:$C,3,FALSE),"")</f>
        <v/>
      </c>
    </row>
    <row r="21">
      <c r="A21" t="n">
        <v>212100</v>
      </c>
      <c r="B21" t="inlineStr">
        <is>
          <t>Coal mining</t>
        </is>
      </c>
      <c r="K21" t="n">
        <v>596</v>
      </c>
      <c r="M21" t="n">
        <v>0</v>
      </c>
      <c r="P21" t="n">
        <v>110</v>
      </c>
      <c r="Q21" t="n">
        <v>3167</v>
      </c>
      <c r="R21" t="n">
        <v>80</v>
      </c>
      <c r="S21" t="n">
        <v>42</v>
      </c>
      <c r="T21" t="n">
        <v>17</v>
      </c>
      <c r="U21" t="n">
        <v>66</v>
      </c>
      <c r="V21" t="n">
        <v>6</v>
      </c>
      <c r="W21" t="n">
        <v>17</v>
      </c>
      <c r="X21" t="n">
        <v>3973</v>
      </c>
      <c r="Z21" t="n">
        <v>0</v>
      </c>
      <c r="AM21" t="n">
        <v>6</v>
      </c>
      <c r="AN21" t="n">
        <v>5</v>
      </c>
      <c r="AO21" t="n">
        <v>3</v>
      </c>
      <c r="AP21" t="n">
        <v>4</v>
      </c>
      <c r="AQ21" t="n">
        <v>141</v>
      </c>
      <c r="AR21" t="n">
        <v>412</v>
      </c>
      <c r="AS21" t="n">
        <v>447</v>
      </c>
      <c r="AT21" t="n">
        <v>179</v>
      </c>
      <c r="AU21" t="n">
        <v>30</v>
      </c>
      <c r="AV21" t="n">
        <v>36</v>
      </c>
      <c r="AW21" t="n">
        <v>373</v>
      </c>
      <c r="AX21" t="n">
        <v>11</v>
      </c>
      <c r="AY21" t="n">
        <v>11</v>
      </c>
      <c r="AZ21" t="n">
        <v>65</v>
      </c>
      <c r="BA21" t="n">
        <v>72</v>
      </c>
      <c r="BB21" t="n">
        <v>34</v>
      </c>
      <c r="BC21" t="n">
        <v>2119</v>
      </c>
      <c r="BD21" t="n">
        <v>61</v>
      </c>
      <c r="BE21" t="n">
        <v>42</v>
      </c>
      <c r="BF21" t="n">
        <v>58</v>
      </c>
      <c r="BG21" t="n">
        <v>120</v>
      </c>
      <c r="BH21" t="n">
        <v>39</v>
      </c>
      <c r="BI21" t="n">
        <v>27</v>
      </c>
      <c r="BJ21" t="n">
        <v>43</v>
      </c>
      <c r="BK21" t="n">
        <v>60</v>
      </c>
      <c r="BL21" t="n">
        <v>68</v>
      </c>
      <c r="BN21" t="n">
        <v>2</v>
      </c>
      <c r="BQ21" t="n">
        <v>2</v>
      </c>
      <c r="BR21" t="n">
        <v>3</v>
      </c>
      <c r="BX21" t="n">
        <v>2</v>
      </c>
      <c r="BY21" t="n">
        <v>2</v>
      </c>
      <c r="BZ21" t="n">
        <v>4</v>
      </c>
      <c r="CB21" t="n">
        <v>1</v>
      </c>
      <c r="CD21" t="n">
        <v>1</v>
      </c>
      <c r="EC21" t="n">
        <v>0</v>
      </c>
      <c r="ED21" t="n">
        <v>2</v>
      </c>
      <c r="EF21" t="n">
        <v>0</v>
      </c>
      <c r="EG21" t="n">
        <v>0</v>
      </c>
      <c r="EI21" t="n">
        <v>1</v>
      </c>
      <c r="EK21" t="n">
        <v>3</v>
      </c>
      <c r="EN21" t="n">
        <v>2</v>
      </c>
      <c r="EO21" t="n">
        <v>1</v>
      </c>
      <c r="EP21" t="n">
        <v>1</v>
      </c>
      <c r="EQ21" t="n">
        <v>0</v>
      </c>
      <c r="ER21" t="n">
        <v>10</v>
      </c>
      <c r="ET21" t="n">
        <v>2</v>
      </c>
      <c r="EW21" t="n">
        <v>1</v>
      </c>
      <c r="EX21" t="n">
        <v>7</v>
      </c>
      <c r="EY21" t="n">
        <v>3</v>
      </c>
      <c r="EZ21" t="n">
        <v>5</v>
      </c>
      <c r="FB21" t="n">
        <v>6</v>
      </c>
      <c r="FC21" t="n">
        <v>7</v>
      </c>
      <c r="FD21" t="n">
        <v>4</v>
      </c>
      <c r="FE21" t="n">
        <v>6</v>
      </c>
      <c r="FF21" t="n">
        <v>14</v>
      </c>
      <c r="FI21" t="n">
        <v>6</v>
      </c>
      <c r="FJ21" t="n">
        <v>2</v>
      </c>
      <c r="FK21" t="n">
        <v>4</v>
      </c>
      <c r="FP21" t="n">
        <v>4</v>
      </c>
      <c r="FR21" t="n">
        <v>1</v>
      </c>
      <c r="FT21" t="n">
        <v>2</v>
      </c>
      <c r="FU21" t="n">
        <v>2</v>
      </c>
      <c r="FV21" t="n">
        <v>2</v>
      </c>
      <c r="GI21" t="n">
        <v>42</v>
      </c>
      <c r="GJ21" t="n">
        <v>45</v>
      </c>
      <c r="GK21" t="n">
        <v>25</v>
      </c>
      <c r="GL21" t="n">
        <v>81</v>
      </c>
      <c r="GM21" t="n">
        <v>8</v>
      </c>
      <c r="GN21" t="n">
        <v>50</v>
      </c>
      <c r="GO21" t="n">
        <v>79</v>
      </c>
      <c r="GP21" t="n">
        <v>211</v>
      </c>
      <c r="GQ21" t="n">
        <v>77</v>
      </c>
      <c r="GR21" t="n">
        <v>120</v>
      </c>
      <c r="GS21" t="n">
        <v>69</v>
      </c>
      <c r="GT21" t="n">
        <v>74</v>
      </c>
      <c r="GU21" t="n">
        <v>77</v>
      </c>
      <c r="GV21" t="n">
        <v>13</v>
      </c>
      <c r="GW21" t="n">
        <v>56</v>
      </c>
      <c r="GX21" t="n">
        <v>167</v>
      </c>
      <c r="GY21" t="n">
        <v>65</v>
      </c>
      <c r="GZ21" t="n">
        <v>128</v>
      </c>
      <c r="HA21" t="n">
        <v>58</v>
      </c>
      <c r="HB21" t="n">
        <v>86</v>
      </c>
      <c r="HC21" t="n">
        <v>12</v>
      </c>
      <c r="HD21" t="n">
        <v>12</v>
      </c>
      <c r="HE21" t="n">
        <v>21</v>
      </c>
      <c r="HF21" t="n">
        <v>45</v>
      </c>
      <c r="HG21" t="n">
        <v>66</v>
      </c>
      <c r="HH21" t="n">
        <v>65</v>
      </c>
      <c r="HI21" t="n">
        <v>16</v>
      </c>
      <c r="HJ21" t="n">
        <v>24</v>
      </c>
      <c r="HK21" t="n">
        <v>60</v>
      </c>
      <c r="HL21" t="n">
        <v>8</v>
      </c>
      <c r="HM21" t="n">
        <v>32</v>
      </c>
      <c r="HN21" t="n">
        <v>30</v>
      </c>
      <c r="HO21" t="n">
        <v>4</v>
      </c>
      <c r="HQ21" t="n">
        <v>2</v>
      </c>
      <c r="HT21" t="n">
        <v>142</v>
      </c>
      <c r="HU21" t="n">
        <v>871</v>
      </c>
      <c r="HV21" t="n">
        <v>746</v>
      </c>
      <c r="HW21" t="n">
        <v>188</v>
      </c>
      <c r="HX21" t="n">
        <v>86</v>
      </c>
      <c r="HY21" t="n">
        <v>3</v>
      </c>
      <c r="HZ21" t="n">
        <v>27</v>
      </c>
      <c r="IA21" t="n">
        <v>22</v>
      </c>
      <c r="ID21" t="n">
        <v>1663</v>
      </c>
      <c r="IE21" t="n">
        <v>108</v>
      </c>
      <c r="IF21" t="n">
        <v>20</v>
      </c>
      <c r="IG21" t="n">
        <v>318</v>
      </c>
      <c r="IH21" t="n">
        <v>109</v>
      </c>
      <c r="II21" t="n">
        <v>30</v>
      </c>
      <c r="IJ21" t="n">
        <v>4</v>
      </c>
      <c r="IK21" t="n">
        <v>32</v>
      </c>
      <c r="IL21" t="n">
        <v>327</v>
      </c>
      <c r="IM21" t="n">
        <v>103</v>
      </c>
      <c r="IN21" t="n">
        <v>10</v>
      </c>
      <c r="IO21" t="n">
        <v>3</v>
      </c>
      <c r="IP21" t="n">
        <v>10</v>
      </c>
      <c r="IR21" t="n">
        <v>5</v>
      </c>
      <c r="IS21" t="n">
        <v>17</v>
      </c>
      <c r="IT21" t="n">
        <v>2</v>
      </c>
      <c r="IU21" t="n">
        <v>2</v>
      </c>
      <c r="IV21" t="n">
        <v>3</v>
      </c>
      <c r="IW21" t="n">
        <v>9</v>
      </c>
      <c r="IX21" t="n">
        <v>2</v>
      </c>
      <c r="IZ21" t="n">
        <v>10</v>
      </c>
      <c r="JA21" t="n">
        <v>39</v>
      </c>
      <c r="JB21" t="n">
        <v>15</v>
      </c>
      <c r="JC21" t="n">
        <v>7</v>
      </c>
      <c r="JD21" t="n">
        <v>19</v>
      </c>
      <c r="JE21" t="n">
        <v>10</v>
      </c>
      <c r="JF21" t="n">
        <v>9</v>
      </c>
      <c r="JG21" t="n">
        <v>89</v>
      </c>
      <c r="JH21" t="n">
        <v>40</v>
      </c>
      <c r="JI21" t="n">
        <v>7</v>
      </c>
      <c r="JJ21" t="n">
        <v>21</v>
      </c>
      <c r="JL21" t="n">
        <v>4</v>
      </c>
      <c r="JO21" t="n">
        <v>4</v>
      </c>
      <c r="JQ21" t="n">
        <v>4</v>
      </c>
      <c r="JS21" t="n">
        <v>7</v>
      </c>
      <c r="KM21" t="n">
        <v>4</v>
      </c>
      <c r="KV21" t="n">
        <v>2</v>
      </c>
      <c r="LW21" t="n">
        <v>23</v>
      </c>
      <c r="LZ21" t="n">
        <v>114</v>
      </c>
      <c r="MF21" t="n">
        <v>50</v>
      </c>
      <c r="MG21" t="n">
        <v>0</v>
      </c>
      <c r="MJ21" t="n">
        <v>10</v>
      </c>
      <c r="MO21" t="n">
        <v>20</v>
      </c>
      <c r="MP21" t="n">
        <v>17</v>
      </c>
      <c r="MQ21" t="n">
        <v>4</v>
      </c>
      <c r="MZ21" t="n">
        <v>34</v>
      </c>
      <c r="NA21" t="n">
        <v>15</v>
      </c>
      <c r="NB21" t="n">
        <v>2</v>
      </c>
      <c r="NC21" t="n">
        <v>2</v>
      </c>
      <c r="ND21" t="n">
        <v>4</v>
      </c>
      <c r="NE21" t="n">
        <v>1</v>
      </c>
      <c r="NJ21" t="n">
        <v>2</v>
      </c>
      <c r="NL21" t="n">
        <v>4</v>
      </c>
      <c r="NM21" t="n">
        <v>8</v>
      </c>
      <c r="NN21" t="n">
        <v>23</v>
      </c>
      <c r="NO21" t="n">
        <v>563</v>
      </c>
      <c r="NP21" t="n">
        <v>542</v>
      </c>
      <c r="NQ21" t="n">
        <v>145</v>
      </c>
      <c r="NR21" t="n">
        <v>9</v>
      </c>
      <c r="NT21" t="n">
        <v>4</v>
      </c>
      <c r="NW21" t="n">
        <v>0</v>
      </c>
      <c r="NX21" t="n">
        <v>8</v>
      </c>
      <c r="OB21" t="n">
        <v>13</v>
      </c>
      <c r="OE21" t="n">
        <v>4456</v>
      </c>
      <c r="OI21" t="n">
        <v>416</v>
      </c>
      <c r="OJ21" t="n">
        <v>537</v>
      </c>
      <c r="OK21" t="n">
        <v>210</v>
      </c>
      <c r="OM21" t="n">
        <v>6995</v>
      </c>
      <c r="OO21" t="n">
        <v>33971</v>
      </c>
      <c r="OP21" t="n">
        <v>221</v>
      </c>
      <c r="OU21" t="n">
        <v>-1172</v>
      </c>
      <c r="OV21" t="n">
        <v>9597</v>
      </c>
      <c r="PI21" t="n">
        <v>42616</v>
      </c>
      <c r="PM21">
        <f>IFERROR(VLOOKUP($A21&amp;"",Key!$A:$C,3,FALSE),"")</f>
        <v/>
      </c>
    </row>
    <row r="22">
      <c r="A22" t="n">
        <v>212230</v>
      </c>
      <c r="B22" t="inlineStr">
        <is>
          <t>Copper, nickel, lead, and zinc mining</t>
        </is>
      </c>
      <c r="R22" t="n">
        <v>408</v>
      </c>
      <c r="S22" t="n">
        <v>4</v>
      </c>
      <c r="AQ22" t="n">
        <v>3</v>
      </c>
      <c r="AZ22" t="n">
        <v>41</v>
      </c>
      <c r="BC22" t="n">
        <v>389</v>
      </c>
      <c r="BD22" t="n">
        <v>22</v>
      </c>
      <c r="BE22" t="n">
        <v>117</v>
      </c>
      <c r="BH22" t="n">
        <v>261</v>
      </c>
      <c r="BI22" t="n">
        <v>66</v>
      </c>
      <c r="BJ22" t="n">
        <v>485</v>
      </c>
      <c r="BW22" t="n">
        <v>72</v>
      </c>
      <c r="BZ22" t="n">
        <v>418</v>
      </c>
      <c r="CF22" t="n">
        <v>46</v>
      </c>
      <c r="CG22" t="n">
        <v>52</v>
      </c>
      <c r="CJ22" t="n">
        <v>35</v>
      </c>
      <c r="CU22" t="n">
        <v>15</v>
      </c>
      <c r="DL22" t="n">
        <v>2</v>
      </c>
      <c r="EA22" t="n">
        <v>2</v>
      </c>
      <c r="EH22" t="n">
        <v>7</v>
      </c>
      <c r="EJ22" t="n">
        <v>22</v>
      </c>
      <c r="FF22" t="n">
        <v>3</v>
      </c>
      <c r="FY22" t="n">
        <v>26</v>
      </c>
      <c r="II22" t="n">
        <v>285</v>
      </c>
      <c r="IJ22" t="n">
        <v>744</v>
      </c>
      <c r="IK22" t="n">
        <v>171</v>
      </c>
      <c r="IL22" t="n">
        <v>11</v>
      </c>
      <c r="IU22" t="n">
        <v>65</v>
      </c>
      <c r="KN22" t="n">
        <v>9</v>
      </c>
      <c r="KP22" t="n">
        <v>19</v>
      </c>
      <c r="KQ22" t="n">
        <v>12</v>
      </c>
      <c r="KR22" t="n">
        <v>0</v>
      </c>
      <c r="KS22" t="n">
        <v>12</v>
      </c>
      <c r="KT22" t="n">
        <v>10</v>
      </c>
      <c r="KU22" t="n">
        <v>88</v>
      </c>
      <c r="KV22" t="n">
        <v>42</v>
      </c>
      <c r="KW22" t="n">
        <v>181</v>
      </c>
      <c r="KY22" t="n">
        <v>43</v>
      </c>
      <c r="KZ22" t="n">
        <v>36</v>
      </c>
      <c r="LA22" t="n">
        <v>417</v>
      </c>
      <c r="LB22" t="n">
        <v>0</v>
      </c>
      <c r="LW22" t="n">
        <v>292</v>
      </c>
      <c r="LZ22" t="n">
        <v>174</v>
      </c>
      <c r="MF22" t="n">
        <v>2</v>
      </c>
      <c r="MH22" t="n">
        <v>611</v>
      </c>
      <c r="MM22" t="n">
        <v>404</v>
      </c>
      <c r="MO22" t="n">
        <v>70</v>
      </c>
      <c r="MR22" t="n">
        <v>471</v>
      </c>
      <c r="MZ22" t="n">
        <v>6</v>
      </c>
      <c r="NA22" t="n">
        <v>7</v>
      </c>
      <c r="NB22" t="n">
        <v>24</v>
      </c>
      <c r="NF22" t="n">
        <v>299</v>
      </c>
      <c r="NG22" t="n">
        <v>5</v>
      </c>
      <c r="NH22" t="n">
        <v>2</v>
      </c>
      <c r="NI22" t="n">
        <v>19</v>
      </c>
      <c r="NK22" t="n">
        <v>2</v>
      </c>
      <c r="NM22" t="n">
        <v>1022</v>
      </c>
      <c r="NN22" t="n">
        <v>175</v>
      </c>
      <c r="NO22" t="n">
        <v>15</v>
      </c>
      <c r="NP22" t="n">
        <v>12</v>
      </c>
      <c r="NQ22" t="n">
        <v>2</v>
      </c>
      <c r="NR22" t="n">
        <v>10</v>
      </c>
      <c r="NS22" t="n">
        <v>123</v>
      </c>
      <c r="NT22" t="n">
        <v>58</v>
      </c>
      <c r="NV22" t="n">
        <v>1027</v>
      </c>
      <c r="NW22" t="n">
        <v>0</v>
      </c>
      <c r="NY22" t="n">
        <v>22</v>
      </c>
      <c r="OA22" t="n">
        <v>17</v>
      </c>
      <c r="OB22" t="n">
        <v>209</v>
      </c>
      <c r="OO22" t="n">
        <v>9722</v>
      </c>
      <c r="OU22" t="n">
        <v>108</v>
      </c>
      <c r="OV22" t="n">
        <v>4060</v>
      </c>
      <c r="PI22" t="n">
        <v>13889</v>
      </c>
      <c r="PM22">
        <f>IFERROR(VLOOKUP($A22&amp;"",Key!$A:$C,3,FALSE),"")</f>
        <v/>
      </c>
    </row>
    <row r="23">
      <c r="A23" t="inlineStr">
        <is>
          <t>2122A0</t>
        </is>
      </c>
      <c r="B23" t="inlineStr">
        <is>
          <t>Iron, gold, silver, and other metal ore mining</t>
        </is>
      </c>
      <c r="R23" t="n">
        <v>2401</v>
      </c>
      <c r="S23" t="n">
        <v>2004</v>
      </c>
      <c r="AQ23" t="n">
        <v>3</v>
      </c>
      <c r="AR23" t="n">
        <v>2</v>
      </c>
      <c r="AS23" t="n">
        <v>2</v>
      </c>
      <c r="AX23" t="n">
        <v>57</v>
      </c>
      <c r="AZ23" t="n">
        <v>26</v>
      </c>
      <c r="BC23" t="n">
        <v>3816</v>
      </c>
      <c r="BD23" t="n">
        <v>137</v>
      </c>
      <c r="BE23" t="n">
        <v>22</v>
      </c>
      <c r="BF23" t="n">
        <v>152</v>
      </c>
      <c r="BH23" t="n">
        <v>550</v>
      </c>
      <c r="BI23" t="n">
        <v>5</v>
      </c>
      <c r="BJ23" t="n">
        <v>1859</v>
      </c>
      <c r="BW23" t="n">
        <v>13</v>
      </c>
      <c r="CF23" t="n">
        <v>4</v>
      </c>
      <c r="CU23" t="n">
        <v>19</v>
      </c>
      <c r="DK23" t="n">
        <v>0</v>
      </c>
      <c r="DL23" t="n">
        <v>1</v>
      </c>
      <c r="EJ23" t="n">
        <v>34</v>
      </c>
      <c r="EP23" t="n">
        <v>2</v>
      </c>
      <c r="EX23" t="n">
        <v>12</v>
      </c>
      <c r="EZ23" t="n">
        <v>7</v>
      </c>
      <c r="FC23" t="n">
        <v>10</v>
      </c>
      <c r="FD23" t="n">
        <v>17</v>
      </c>
      <c r="FZ23" t="n">
        <v>2</v>
      </c>
      <c r="GB23" t="n">
        <v>1</v>
      </c>
      <c r="GC23" t="n">
        <v>24</v>
      </c>
      <c r="ID23" t="n">
        <v>29</v>
      </c>
      <c r="IH23" t="n">
        <v>13</v>
      </c>
      <c r="II23" t="n">
        <v>87</v>
      </c>
      <c r="IJ23" t="n">
        <v>868</v>
      </c>
      <c r="IK23" t="n">
        <v>928</v>
      </c>
      <c r="IL23" t="n">
        <v>44</v>
      </c>
      <c r="IS23" t="n">
        <v>54</v>
      </c>
      <c r="IU23" t="n">
        <v>79</v>
      </c>
      <c r="IZ23" t="n">
        <v>28</v>
      </c>
      <c r="JO23" t="n">
        <v>10</v>
      </c>
      <c r="KB23" t="n">
        <v>2</v>
      </c>
      <c r="LW23" t="n">
        <v>95</v>
      </c>
      <c r="LZ23" t="n">
        <v>181</v>
      </c>
      <c r="MF23" t="n">
        <v>1</v>
      </c>
      <c r="OE23" t="n">
        <v>2</v>
      </c>
      <c r="OO23" t="n">
        <v>13604</v>
      </c>
      <c r="OQ23" t="n">
        <v>121</v>
      </c>
      <c r="OU23" t="n">
        <v>-205</v>
      </c>
      <c r="OV23" t="n">
        <v>6797</v>
      </c>
      <c r="PI23" t="n">
        <v>20317</v>
      </c>
      <c r="PM23">
        <f>IFERROR(VLOOKUP($A23&amp;"",Key!$A:$C,3,FALSE),"")</f>
        <v/>
      </c>
    </row>
    <row r="24">
      <c r="A24" t="n">
        <v>212310</v>
      </c>
      <c r="B24" t="inlineStr">
        <is>
          <t>Stone mining and quarrying</t>
        </is>
      </c>
      <c r="C24" t="n">
        <v>30</v>
      </c>
      <c r="D24" t="n">
        <v>261</v>
      </c>
      <c r="E24" t="n">
        <v>47</v>
      </c>
      <c r="F24" t="n">
        <v>22</v>
      </c>
      <c r="G24" t="n">
        <v>15</v>
      </c>
      <c r="H24" t="n">
        <v>68</v>
      </c>
      <c r="I24" t="n">
        <v>39</v>
      </c>
      <c r="J24" t="n">
        <v>36</v>
      </c>
      <c r="K24" t="n">
        <v>6</v>
      </c>
      <c r="L24" t="n">
        <v>34</v>
      </c>
      <c r="Q24" t="n">
        <v>270</v>
      </c>
      <c r="R24" t="n">
        <v>0</v>
      </c>
      <c r="S24" t="n">
        <v>0</v>
      </c>
      <c r="T24" t="n">
        <v>585</v>
      </c>
      <c r="U24" t="n">
        <v>162</v>
      </c>
      <c r="W24" t="n">
        <v>46</v>
      </c>
      <c r="X24" t="n">
        <v>55</v>
      </c>
      <c r="Z24" t="n">
        <v>10</v>
      </c>
      <c r="AA24" t="n">
        <v>21</v>
      </c>
      <c r="AB24" t="n">
        <v>34</v>
      </c>
      <c r="AC24" t="n">
        <v>3324</v>
      </c>
      <c r="AD24" t="n">
        <v>587</v>
      </c>
      <c r="AE24" t="n">
        <v>1513</v>
      </c>
      <c r="AF24" t="n">
        <v>523</v>
      </c>
      <c r="AG24" t="n">
        <v>2233</v>
      </c>
      <c r="AH24" t="n">
        <v>547</v>
      </c>
      <c r="AI24" t="n">
        <v>392</v>
      </c>
      <c r="AJ24" t="n">
        <v>372</v>
      </c>
      <c r="AK24" t="n">
        <v>2069</v>
      </c>
      <c r="AL24" t="n">
        <v>2588</v>
      </c>
      <c r="AS24" t="n">
        <v>464</v>
      </c>
      <c r="AT24" t="n">
        <v>939</v>
      </c>
      <c r="AU24" t="n">
        <v>143</v>
      </c>
      <c r="AV24" t="n">
        <v>77</v>
      </c>
      <c r="AW24" t="n">
        <v>428</v>
      </c>
      <c r="AY24" t="n">
        <v>628</v>
      </c>
      <c r="AZ24" t="n">
        <v>278</v>
      </c>
      <c r="FS24" t="n">
        <v>12</v>
      </c>
      <c r="FZ24" t="n">
        <v>4</v>
      </c>
      <c r="GB24" t="n">
        <v>4</v>
      </c>
      <c r="IE24" t="n">
        <v>11</v>
      </c>
      <c r="IF24" t="n">
        <v>26</v>
      </c>
      <c r="IZ24" t="n">
        <v>797</v>
      </c>
      <c r="JK24" t="n">
        <v>0</v>
      </c>
      <c r="JL24" t="n">
        <v>0</v>
      </c>
      <c r="JM24" t="n">
        <v>0</v>
      </c>
      <c r="JN24" t="n">
        <v>0</v>
      </c>
      <c r="JR24" t="n">
        <v>0</v>
      </c>
      <c r="JT24" t="n">
        <v>0</v>
      </c>
      <c r="KC24" t="n">
        <v>0</v>
      </c>
      <c r="KD24" t="n">
        <v>0</v>
      </c>
      <c r="KF24" t="n">
        <v>128</v>
      </c>
      <c r="KG24" t="n">
        <v>0</v>
      </c>
      <c r="KH24" t="n">
        <v>7</v>
      </c>
      <c r="KI24" t="n">
        <v>1</v>
      </c>
      <c r="KK24" t="n">
        <v>3</v>
      </c>
      <c r="KO24" t="n">
        <v>0</v>
      </c>
      <c r="KP24" t="n">
        <v>0</v>
      </c>
      <c r="KQ24" t="n">
        <v>0</v>
      </c>
      <c r="KR24" t="n">
        <v>0</v>
      </c>
      <c r="KV24" t="n">
        <v>2</v>
      </c>
      <c r="KW24" t="n">
        <v>4</v>
      </c>
      <c r="KX24" t="n">
        <v>0</v>
      </c>
      <c r="KY24" t="n">
        <v>1</v>
      </c>
      <c r="KZ24" t="n">
        <v>3</v>
      </c>
      <c r="LK24" t="n">
        <v>4</v>
      </c>
      <c r="LL24" t="n">
        <v>0</v>
      </c>
      <c r="LW24" t="n">
        <v>134</v>
      </c>
      <c r="LZ24" t="n">
        <v>53</v>
      </c>
      <c r="MF24" t="n">
        <v>1</v>
      </c>
      <c r="OK24" t="n">
        <v>174</v>
      </c>
      <c r="ON24" t="n">
        <v>125</v>
      </c>
      <c r="OO24" t="n">
        <v>20342</v>
      </c>
      <c r="OU24" t="n">
        <v>-11</v>
      </c>
      <c r="OV24" t="n">
        <v>140</v>
      </c>
      <c r="PI24" t="n">
        <v>20470</v>
      </c>
      <c r="PM24">
        <f>IFERROR(VLOOKUP($A24&amp;"",Key!$A:$C,3,FALSE),"")</f>
        <v/>
      </c>
    </row>
    <row r="25">
      <c r="A25" t="inlineStr">
        <is>
          <t>2123A0</t>
        </is>
      </c>
      <c r="B25" t="inlineStr">
        <is>
          <t>Other nonmetallic mineral mining and quarrying</t>
        </is>
      </c>
      <c r="C25" t="n">
        <v>1</v>
      </c>
      <c r="D25" t="n">
        <v>482</v>
      </c>
      <c r="E25" t="n">
        <v>2</v>
      </c>
      <c r="F25" t="n">
        <v>5</v>
      </c>
      <c r="H25" t="n">
        <v>192</v>
      </c>
      <c r="I25" t="n">
        <v>3</v>
      </c>
      <c r="L25" t="n">
        <v>2</v>
      </c>
      <c r="Q25" t="n">
        <v>10</v>
      </c>
      <c r="R25" t="n">
        <v>1</v>
      </c>
      <c r="S25" t="n">
        <v>1</v>
      </c>
      <c r="T25" t="n">
        <v>34</v>
      </c>
      <c r="U25" t="n">
        <v>515</v>
      </c>
      <c r="V25" t="n">
        <v>23</v>
      </c>
      <c r="W25" t="n">
        <v>38</v>
      </c>
      <c r="X25" t="n">
        <v>982</v>
      </c>
      <c r="Y25" t="n">
        <v>29</v>
      </c>
      <c r="Z25" t="n">
        <v>260</v>
      </c>
      <c r="AA25" t="n">
        <v>66</v>
      </c>
      <c r="AB25" t="n">
        <v>173</v>
      </c>
      <c r="AC25" t="n">
        <v>127</v>
      </c>
      <c r="AD25" t="n">
        <v>171</v>
      </c>
      <c r="AE25" t="n">
        <v>595</v>
      </c>
      <c r="AF25" t="n">
        <v>209</v>
      </c>
      <c r="AG25" t="n">
        <v>670</v>
      </c>
      <c r="AH25" t="n">
        <v>215</v>
      </c>
      <c r="AI25" t="n">
        <v>152</v>
      </c>
      <c r="AJ25" t="n">
        <v>122</v>
      </c>
      <c r="AK25" t="n">
        <v>2250</v>
      </c>
      <c r="AL25" t="n">
        <v>406</v>
      </c>
      <c r="AQ25" t="n">
        <v>860</v>
      </c>
      <c r="AR25" t="n">
        <v>214</v>
      </c>
      <c r="AS25" t="n">
        <v>106</v>
      </c>
      <c r="AT25" t="n">
        <v>5023</v>
      </c>
      <c r="AU25" t="n">
        <v>542</v>
      </c>
      <c r="AV25" t="n">
        <v>252</v>
      </c>
      <c r="AW25" t="n">
        <v>463</v>
      </c>
      <c r="AX25" t="n">
        <v>83</v>
      </c>
      <c r="AY25" t="n">
        <v>176</v>
      </c>
      <c r="AZ25" t="n">
        <v>289</v>
      </c>
      <c r="BA25" t="n">
        <v>243</v>
      </c>
      <c r="BB25" t="n">
        <v>428</v>
      </c>
      <c r="BC25" t="n">
        <v>343</v>
      </c>
      <c r="BK25" t="n">
        <v>550</v>
      </c>
      <c r="BL25" t="n">
        <v>19</v>
      </c>
      <c r="BP25" t="n">
        <v>2</v>
      </c>
      <c r="CF25" t="n">
        <v>8</v>
      </c>
      <c r="CP25" t="n">
        <v>1</v>
      </c>
      <c r="CS25" t="n">
        <v>0</v>
      </c>
      <c r="CT25" t="n">
        <v>0</v>
      </c>
      <c r="CU25" t="n">
        <v>1</v>
      </c>
      <c r="CV25" t="n">
        <v>8</v>
      </c>
      <c r="DL25" t="n">
        <v>3</v>
      </c>
      <c r="DQ25" t="n">
        <v>0</v>
      </c>
      <c r="EE25" t="n">
        <v>21</v>
      </c>
      <c r="EF25" t="n">
        <v>4</v>
      </c>
      <c r="FE25" t="n">
        <v>152</v>
      </c>
      <c r="FF25" t="n">
        <v>1</v>
      </c>
      <c r="FG25" t="n">
        <v>61</v>
      </c>
      <c r="FH25" t="n">
        <v>1</v>
      </c>
      <c r="FI25" t="n">
        <v>4</v>
      </c>
      <c r="FZ25" t="n">
        <v>17</v>
      </c>
      <c r="GB25" t="n">
        <v>17</v>
      </c>
      <c r="GF25" t="n">
        <v>1</v>
      </c>
      <c r="GI25" t="n">
        <v>10</v>
      </c>
      <c r="GJ25" t="n">
        <v>278</v>
      </c>
      <c r="HU25" t="n">
        <v>337</v>
      </c>
      <c r="HV25" t="n">
        <v>132</v>
      </c>
      <c r="ID25" t="n">
        <v>106</v>
      </c>
      <c r="IE25" t="n">
        <v>2065</v>
      </c>
      <c r="IF25" t="n">
        <v>818</v>
      </c>
      <c r="II25" t="n">
        <v>14</v>
      </c>
      <c r="IJ25" t="n">
        <v>28</v>
      </c>
      <c r="IK25" t="n">
        <v>614</v>
      </c>
      <c r="IL25" t="n">
        <v>8</v>
      </c>
      <c r="IS25" t="n">
        <v>1043</v>
      </c>
      <c r="IU25" t="n">
        <v>569</v>
      </c>
      <c r="IV25" t="n">
        <v>379</v>
      </c>
      <c r="IX25" t="n">
        <v>42</v>
      </c>
      <c r="KD25" t="n">
        <v>0</v>
      </c>
      <c r="KW25" t="n">
        <v>3</v>
      </c>
      <c r="KX25" t="n">
        <v>18</v>
      </c>
      <c r="LK25" t="n">
        <v>1</v>
      </c>
      <c r="LL25" t="n">
        <v>6</v>
      </c>
      <c r="LW25" t="n">
        <v>126</v>
      </c>
      <c r="LZ25" t="n">
        <v>316</v>
      </c>
      <c r="MF25" t="n">
        <v>15</v>
      </c>
      <c r="ND25" t="n">
        <v>175</v>
      </c>
      <c r="OE25" t="n">
        <v>199</v>
      </c>
      <c r="OK25" t="n">
        <v>1318</v>
      </c>
      <c r="ON25" t="n">
        <v>85</v>
      </c>
      <c r="OO25" t="n">
        <v>26331</v>
      </c>
      <c r="OP25" t="n">
        <v>113</v>
      </c>
      <c r="OU25" t="n">
        <v>-454</v>
      </c>
      <c r="OV25" t="n">
        <v>2030</v>
      </c>
      <c r="PI25" t="n">
        <v>28021</v>
      </c>
      <c r="PM25">
        <f>IFERROR(VLOOKUP($A25&amp;"",Key!$A:$C,3,FALSE),"")</f>
        <v/>
      </c>
    </row>
    <row r="26">
      <c r="A26" t="n">
        <v>213111</v>
      </c>
      <c r="B26" t="inlineStr">
        <is>
          <t>Drilling oil and gas wells</t>
        </is>
      </c>
      <c r="P26" t="n">
        <v>39</v>
      </c>
      <c r="OO26" t="n">
        <v>39</v>
      </c>
      <c r="OT26" t="n">
        <v>28550</v>
      </c>
      <c r="OU26" t="n">
        <v>-10</v>
      </c>
      <c r="PI26" t="n">
        <v>28579</v>
      </c>
      <c r="PM26">
        <f>IFERROR(VLOOKUP($A26&amp;"",Key!$A:$C,3,FALSE),"")</f>
        <v/>
      </c>
    </row>
    <row r="27">
      <c r="A27" t="inlineStr">
        <is>
          <t>21311A</t>
        </is>
      </c>
      <c r="B27" t="inlineStr">
        <is>
          <t>Other support activities for mining</t>
        </is>
      </c>
      <c r="P27" t="n">
        <v>12471</v>
      </c>
      <c r="Q27" t="n">
        <v>186</v>
      </c>
      <c r="R27" t="n">
        <v>151</v>
      </c>
      <c r="S27" t="n">
        <v>139</v>
      </c>
      <c r="T27" t="n">
        <v>361</v>
      </c>
      <c r="U27" t="n">
        <v>203</v>
      </c>
      <c r="V27" t="n">
        <v>1112</v>
      </c>
      <c r="W27" t="n">
        <v>1808</v>
      </c>
      <c r="LZ27" t="n">
        <v>22</v>
      </c>
      <c r="MF27" t="n">
        <v>2</v>
      </c>
      <c r="OO27" t="n">
        <v>16455</v>
      </c>
      <c r="OQ27" t="n">
        <v>2288</v>
      </c>
      <c r="OT27" t="n">
        <v>69029</v>
      </c>
      <c r="OU27" t="n">
        <v>-77</v>
      </c>
      <c r="OV27" t="n">
        <v>3045</v>
      </c>
      <c r="PI27" t="n">
        <v>90739</v>
      </c>
      <c r="PM27">
        <f>IFERROR(VLOOKUP($A27&amp;"",Key!$A:$C,3,FALSE),"")</f>
        <v/>
      </c>
    </row>
    <row r="28">
      <c r="A28" t="n">
        <v>221100</v>
      </c>
      <c r="B28" t="inlineStr">
        <is>
          <t>Electric power generation, transmission, and distribution</t>
        </is>
      </c>
      <c r="C28" t="n">
        <v>153</v>
      </c>
      <c r="D28" t="n">
        <v>204</v>
      </c>
      <c r="E28" t="n">
        <v>318</v>
      </c>
      <c r="F28" t="n">
        <v>331</v>
      </c>
      <c r="G28" t="n">
        <v>75</v>
      </c>
      <c r="H28" t="n">
        <v>392</v>
      </c>
      <c r="I28" t="n">
        <v>1021</v>
      </c>
      <c r="J28" t="n">
        <v>187</v>
      </c>
      <c r="K28" t="n">
        <v>236</v>
      </c>
      <c r="L28" t="n">
        <v>153</v>
      </c>
      <c r="M28" t="n">
        <v>8</v>
      </c>
      <c r="N28" t="n">
        <v>9</v>
      </c>
      <c r="O28" t="n">
        <v>67</v>
      </c>
      <c r="P28" t="n">
        <v>2613</v>
      </c>
      <c r="Q28" t="n">
        <v>880</v>
      </c>
      <c r="R28" t="n">
        <v>325</v>
      </c>
      <c r="S28" t="n">
        <v>1183</v>
      </c>
      <c r="T28" t="n">
        <v>510</v>
      </c>
      <c r="U28" t="n">
        <v>665</v>
      </c>
      <c r="V28" t="n">
        <v>156</v>
      </c>
      <c r="W28" t="n">
        <v>504</v>
      </c>
      <c r="X28" t="n">
        <v>9500</v>
      </c>
      <c r="Y28" t="n">
        <v>102</v>
      </c>
      <c r="Z28" t="n">
        <v>268</v>
      </c>
      <c r="AA28" t="n">
        <v>169</v>
      </c>
      <c r="AB28" t="n">
        <v>494</v>
      </c>
      <c r="AC28" t="n">
        <v>1058</v>
      </c>
      <c r="AD28" t="n">
        <v>405</v>
      </c>
      <c r="AE28" t="n">
        <v>826</v>
      </c>
      <c r="AF28" t="n">
        <v>464</v>
      </c>
      <c r="AG28" t="n">
        <v>1465</v>
      </c>
      <c r="AH28" t="n">
        <v>252</v>
      </c>
      <c r="AI28" t="n">
        <v>480</v>
      </c>
      <c r="AJ28" t="n">
        <v>364</v>
      </c>
      <c r="AK28" t="n">
        <v>1579</v>
      </c>
      <c r="AL28" t="n">
        <v>678</v>
      </c>
      <c r="AM28" t="n">
        <v>621</v>
      </c>
      <c r="AN28" t="n">
        <v>529</v>
      </c>
      <c r="AO28" t="n">
        <v>266</v>
      </c>
      <c r="AP28" t="n">
        <v>249</v>
      </c>
      <c r="AQ28" t="n">
        <v>227</v>
      </c>
      <c r="AR28" t="n">
        <v>1128</v>
      </c>
      <c r="AS28" t="n">
        <v>703</v>
      </c>
      <c r="AT28" t="n">
        <v>193</v>
      </c>
      <c r="AU28" t="n">
        <v>72</v>
      </c>
      <c r="AV28" t="n">
        <v>89</v>
      </c>
      <c r="AW28" t="n">
        <v>238</v>
      </c>
      <c r="AX28" t="n">
        <v>62</v>
      </c>
      <c r="AY28" t="n">
        <v>45</v>
      </c>
      <c r="AZ28" t="n">
        <v>200</v>
      </c>
      <c r="BA28" t="n">
        <v>252</v>
      </c>
      <c r="BB28" t="n">
        <v>93</v>
      </c>
      <c r="BC28" t="n">
        <v>2149</v>
      </c>
      <c r="BD28" t="n">
        <v>321</v>
      </c>
      <c r="BE28" t="n">
        <v>50</v>
      </c>
      <c r="BF28" t="n">
        <v>430</v>
      </c>
      <c r="BG28" t="n">
        <v>407</v>
      </c>
      <c r="BH28" t="n">
        <v>282</v>
      </c>
      <c r="BI28" t="n">
        <v>169</v>
      </c>
      <c r="BJ28" t="n">
        <v>172</v>
      </c>
      <c r="BK28" t="n">
        <v>465</v>
      </c>
      <c r="BL28" t="n">
        <v>310</v>
      </c>
      <c r="BM28" t="n">
        <v>109</v>
      </c>
      <c r="BN28" t="n">
        <v>331</v>
      </c>
      <c r="BO28" t="n">
        <v>144</v>
      </c>
      <c r="BP28" t="n">
        <v>109</v>
      </c>
      <c r="BQ28" t="n">
        <v>341</v>
      </c>
      <c r="BR28" t="n">
        <v>307</v>
      </c>
      <c r="BS28" t="n">
        <v>54</v>
      </c>
      <c r="BT28" t="n">
        <v>65</v>
      </c>
      <c r="BU28" t="n">
        <v>201</v>
      </c>
      <c r="BV28" t="n">
        <v>71</v>
      </c>
      <c r="BW28" t="n">
        <v>98</v>
      </c>
      <c r="BX28" t="n">
        <v>481</v>
      </c>
      <c r="BY28" t="n">
        <v>476</v>
      </c>
      <c r="BZ28" t="n">
        <v>607</v>
      </c>
      <c r="CA28" t="n">
        <v>38</v>
      </c>
      <c r="CB28" t="n">
        <v>227</v>
      </c>
      <c r="CC28" t="n">
        <v>97</v>
      </c>
      <c r="CD28" t="n">
        <v>53</v>
      </c>
      <c r="CE28" t="n">
        <v>114</v>
      </c>
      <c r="CF28" t="n">
        <v>148</v>
      </c>
      <c r="CG28" t="n">
        <v>126</v>
      </c>
      <c r="CH28" t="n">
        <v>18</v>
      </c>
      <c r="CI28" t="n">
        <v>149</v>
      </c>
      <c r="CJ28" t="n">
        <v>147</v>
      </c>
      <c r="CK28" t="n">
        <v>20</v>
      </c>
      <c r="CL28" t="n">
        <v>243</v>
      </c>
      <c r="CM28" t="n">
        <v>36</v>
      </c>
      <c r="CN28" t="n">
        <v>4</v>
      </c>
      <c r="CO28" t="n">
        <v>121</v>
      </c>
      <c r="CP28" t="n">
        <v>39</v>
      </c>
      <c r="CQ28" t="n">
        <v>150</v>
      </c>
      <c r="CR28" t="n">
        <v>40</v>
      </c>
      <c r="CS28" t="n">
        <v>107</v>
      </c>
      <c r="CT28" t="n">
        <v>104</v>
      </c>
      <c r="CU28" t="n">
        <v>48</v>
      </c>
      <c r="CV28" t="n">
        <v>118</v>
      </c>
      <c r="CW28" t="n">
        <v>73</v>
      </c>
      <c r="CX28" t="n">
        <v>30</v>
      </c>
      <c r="CY28" t="n">
        <v>60</v>
      </c>
      <c r="CZ28" t="n">
        <v>171</v>
      </c>
      <c r="DA28" t="n">
        <v>42</v>
      </c>
      <c r="DB28" t="n">
        <v>120</v>
      </c>
      <c r="DC28" t="n">
        <v>132</v>
      </c>
      <c r="DD28" t="n">
        <v>22</v>
      </c>
      <c r="DE28" t="n">
        <v>30</v>
      </c>
      <c r="DF28" t="n">
        <v>18</v>
      </c>
      <c r="DG28" t="n">
        <v>157</v>
      </c>
      <c r="DH28" t="n">
        <v>98</v>
      </c>
      <c r="DI28" t="n">
        <v>4</v>
      </c>
      <c r="DJ28" t="n">
        <v>4</v>
      </c>
      <c r="DK28" t="n">
        <v>11</v>
      </c>
      <c r="DL28" t="n">
        <v>7</v>
      </c>
      <c r="DM28" t="n">
        <v>68</v>
      </c>
      <c r="DN28" t="n">
        <v>3</v>
      </c>
      <c r="DO28" t="n">
        <v>1180</v>
      </c>
      <c r="DP28" t="n">
        <v>38</v>
      </c>
      <c r="DQ28" t="n">
        <v>114</v>
      </c>
      <c r="DR28" t="n">
        <v>89</v>
      </c>
      <c r="DS28" t="n">
        <v>153</v>
      </c>
      <c r="DT28" t="n">
        <v>0</v>
      </c>
      <c r="DU28" t="n">
        <v>9</v>
      </c>
      <c r="DV28" t="n">
        <v>10</v>
      </c>
      <c r="DW28" t="n">
        <v>21</v>
      </c>
      <c r="DX28" t="n">
        <v>39</v>
      </c>
      <c r="DY28" t="n">
        <v>25</v>
      </c>
      <c r="DZ28" t="n">
        <v>20</v>
      </c>
      <c r="EA28" t="n">
        <v>0</v>
      </c>
      <c r="EB28" t="n">
        <v>3</v>
      </c>
      <c r="EC28" t="n">
        <v>1</v>
      </c>
      <c r="ED28" t="n">
        <v>53</v>
      </c>
      <c r="EE28" t="n">
        <v>7</v>
      </c>
      <c r="EF28" t="n">
        <v>72</v>
      </c>
      <c r="EG28" t="n">
        <v>21</v>
      </c>
      <c r="EH28" t="n">
        <v>44</v>
      </c>
      <c r="EI28" t="n">
        <v>53</v>
      </c>
      <c r="EJ28" t="n">
        <v>31</v>
      </c>
      <c r="EK28" t="n">
        <v>88</v>
      </c>
      <c r="EL28" t="n">
        <v>1</v>
      </c>
      <c r="EM28" t="n">
        <v>59</v>
      </c>
      <c r="EN28" t="n">
        <v>92</v>
      </c>
      <c r="EO28" t="n">
        <v>55</v>
      </c>
      <c r="EP28" t="n">
        <v>74</v>
      </c>
      <c r="EQ28" t="n">
        <v>51</v>
      </c>
      <c r="ER28" t="n">
        <v>241</v>
      </c>
      <c r="ES28" t="n">
        <v>32</v>
      </c>
      <c r="ET28" t="n">
        <v>63</v>
      </c>
      <c r="EU28" t="n">
        <v>46</v>
      </c>
      <c r="EV28" t="n">
        <v>1</v>
      </c>
      <c r="EW28" t="n">
        <v>63</v>
      </c>
      <c r="EX28" t="n">
        <v>407</v>
      </c>
      <c r="EY28" t="n">
        <v>172</v>
      </c>
      <c r="EZ28" t="n">
        <v>305</v>
      </c>
      <c r="FA28" t="n">
        <v>367</v>
      </c>
      <c r="FB28" t="n">
        <v>326</v>
      </c>
      <c r="FC28" t="n">
        <v>402</v>
      </c>
      <c r="FD28" t="n">
        <v>239</v>
      </c>
      <c r="FE28" t="n">
        <v>490</v>
      </c>
      <c r="FF28" t="n">
        <v>561</v>
      </c>
      <c r="FG28" t="n">
        <v>188</v>
      </c>
      <c r="FH28" t="n">
        <v>171</v>
      </c>
      <c r="FI28" t="n">
        <v>247</v>
      </c>
      <c r="FJ28" t="n">
        <v>90</v>
      </c>
      <c r="FK28" t="n">
        <v>185</v>
      </c>
      <c r="FL28" t="n">
        <v>60</v>
      </c>
      <c r="FM28" t="n">
        <v>39</v>
      </c>
      <c r="FN28" t="n">
        <v>23</v>
      </c>
      <c r="FO28" t="n">
        <v>28</v>
      </c>
      <c r="FP28" t="n">
        <v>142</v>
      </c>
      <c r="FQ28" t="n">
        <v>65</v>
      </c>
      <c r="FR28" t="n">
        <v>35</v>
      </c>
      <c r="FS28" t="n">
        <v>44</v>
      </c>
      <c r="FT28" t="n">
        <v>27</v>
      </c>
      <c r="FU28" t="n">
        <v>77</v>
      </c>
      <c r="FV28" t="n">
        <v>142</v>
      </c>
      <c r="FW28" t="n">
        <v>40</v>
      </c>
      <c r="FX28" t="n">
        <v>191</v>
      </c>
      <c r="FY28" t="n">
        <v>124</v>
      </c>
      <c r="FZ28" t="n">
        <v>30</v>
      </c>
      <c r="GA28" t="n">
        <v>33</v>
      </c>
      <c r="GB28" t="n">
        <v>34</v>
      </c>
      <c r="GC28" t="n">
        <v>30</v>
      </c>
      <c r="GD28" t="n">
        <v>106</v>
      </c>
      <c r="GE28" t="n">
        <v>5</v>
      </c>
      <c r="GF28" t="n">
        <v>25</v>
      </c>
      <c r="GG28" t="n">
        <v>82</v>
      </c>
      <c r="GH28" t="n">
        <v>193</v>
      </c>
      <c r="GI28" t="n">
        <v>139</v>
      </c>
      <c r="GJ28" t="n">
        <v>223</v>
      </c>
      <c r="GK28" t="n">
        <v>229</v>
      </c>
      <c r="GL28" t="n">
        <v>285</v>
      </c>
      <c r="GM28" t="n">
        <v>22</v>
      </c>
      <c r="GN28" t="n">
        <v>91</v>
      </c>
      <c r="GO28" t="n">
        <v>93</v>
      </c>
      <c r="GP28" t="n">
        <v>432</v>
      </c>
      <c r="GQ28" t="n">
        <v>353</v>
      </c>
      <c r="GR28" t="n">
        <v>272</v>
      </c>
      <c r="GS28" t="n">
        <v>271</v>
      </c>
      <c r="GT28" t="n">
        <v>186</v>
      </c>
      <c r="GU28" t="n">
        <v>328</v>
      </c>
      <c r="GV28" t="n">
        <v>106</v>
      </c>
      <c r="GW28" t="n">
        <v>403</v>
      </c>
      <c r="GX28" t="n">
        <v>755</v>
      </c>
      <c r="GY28" t="n">
        <v>102</v>
      </c>
      <c r="GZ28" t="n">
        <v>485</v>
      </c>
      <c r="HA28" t="n">
        <v>285</v>
      </c>
      <c r="HB28" t="n">
        <v>244</v>
      </c>
      <c r="HC28" t="n">
        <v>56</v>
      </c>
      <c r="HD28" t="n">
        <v>52</v>
      </c>
      <c r="HE28" t="n">
        <v>112</v>
      </c>
      <c r="HF28" t="n">
        <v>207</v>
      </c>
      <c r="HG28" t="n">
        <v>420</v>
      </c>
      <c r="HH28" t="n">
        <v>230</v>
      </c>
      <c r="HI28" t="n">
        <v>95</v>
      </c>
      <c r="HJ28" t="n">
        <v>49</v>
      </c>
      <c r="HK28" t="n">
        <v>211</v>
      </c>
      <c r="HL28" t="n">
        <v>175</v>
      </c>
      <c r="HM28" t="n">
        <v>293</v>
      </c>
      <c r="HN28" t="n">
        <v>109</v>
      </c>
      <c r="HO28" t="n">
        <v>89</v>
      </c>
      <c r="HP28" t="n">
        <v>20</v>
      </c>
      <c r="HQ28" t="n">
        <v>90</v>
      </c>
      <c r="HR28" t="n">
        <v>4</v>
      </c>
      <c r="HS28" t="n">
        <v>13</v>
      </c>
      <c r="HT28" t="n">
        <v>230</v>
      </c>
      <c r="HU28" t="n">
        <v>1245</v>
      </c>
      <c r="HV28" t="n">
        <v>2280</v>
      </c>
      <c r="HW28" t="n">
        <v>870</v>
      </c>
      <c r="HX28" t="n">
        <v>250</v>
      </c>
      <c r="HY28" t="n">
        <v>79</v>
      </c>
      <c r="HZ28" t="n">
        <v>134</v>
      </c>
      <c r="IA28" t="n">
        <v>106</v>
      </c>
      <c r="IB28" t="n">
        <v>1279</v>
      </c>
      <c r="IC28" t="n">
        <v>42</v>
      </c>
      <c r="ID28" t="n">
        <v>3932</v>
      </c>
      <c r="IE28" t="n">
        <v>305</v>
      </c>
      <c r="IF28" t="n">
        <v>98</v>
      </c>
      <c r="IG28" t="n">
        <v>124</v>
      </c>
      <c r="IH28" t="n">
        <v>503</v>
      </c>
      <c r="II28" t="n">
        <v>1469</v>
      </c>
      <c r="IJ28" t="n">
        <v>132</v>
      </c>
      <c r="IK28" t="n">
        <v>1598</v>
      </c>
      <c r="IL28" t="n">
        <v>2282</v>
      </c>
      <c r="IM28" t="n">
        <v>1919</v>
      </c>
      <c r="IN28" t="n">
        <v>262</v>
      </c>
      <c r="IO28" t="n">
        <v>153</v>
      </c>
      <c r="IP28" t="n">
        <v>532</v>
      </c>
      <c r="IQ28" t="n">
        <v>37</v>
      </c>
      <c r="IR28" t="n">
        <v>264</v>
      </c>
      <c r="IS28" t="n">
        <v>432</v>
      </c>
      <c r="IT28" t="n">
        <v>69</v>
      </c>
      <c r="IU28" t="n">
        <v>126</v>
      </c>
      <c r="IV28" t="n">
        <v>110</v>
      </c>
      <c r="IW28" t="n">
        <v>296</v>
      </c>
      <c r="IX28" t="n">
        <v>137</v>
      </c>
      <c r="IY28" t="n">
        <v>28</v>
      </c>
      <c r="IZ28" t="n">
        <v>478</v>
      </c>
      <c r="JA28" t="n">
        <v>787</v>
      </c>
      <c r="JB28" t="n">
        <v>370</v>
      </c>
      <c r="JC28" t="n">
        <v>61</v>
      </c>
      <c r="JD28" t="n">
        <v>168</v>
      </c>
      <c r="JE28" t="n">
        <v>93</v>
      </c>
      <c r="JF28" t="n">
        <v>440</v>
      </c>
      <c r="JG28" t="n">
        <v>1959</v>
      </c>
      <c r="JH28" t="n">
        <v>278</v>
      </c>
      <c r="JI28" t="n">
        <v>68</v>
      </c>
      <c r="JJ28" t="n">
        <v>274</v>
      </c>
      <c r="JK28" t="n">
        <v>943</v>
      </c>
      <c r="JL28" t="n">
        <v>959</v>
      </c>
      <c r="JM28" t="n">
        <v>1055</v>
      </c>
      <c r="JN28" t="n">
        <v>1292</v>
      </c>
      <c r="JO28" t="n">
        <v>2566</v>
      </c>
      <c r="JP28" t="n">
        <v>1142</v>
      </c>
      <c r="JQ28" t="n">
        <v>2089</v>
      </c>
      <c r="JR28" t="n">
        <v>322</v>
      </c>
      <c r="JS28" t="n">
        <v>3089</v>
      </c>
      <c r="JT28" t="n">
        <v>445</v>
      </c>
      <c r="JV28" t="n">
        <v>4475</v>
      </c>
      <c r="JW28" t="n">
        <v>9322</v>
      </c>
      <c r="JX28" t="n">
        <v>8193</v>
      </c>
      <c r="JY28" t="n">
        <v>2037</v>
      </c>
      <c r="JZ28" t="n">
        <v>2024</v>
      </c>
      <c r="KA28" t="n">
        <v>4693</v>
      </c>
      <c r="KB28" t="n">
        <v>1872</v>
      </c>
      <c r="KC28" t="n">
        <v>2485</v>
      </c>
      <c r="KD28" t="n">
        <v>2977</v>
      </c>
      <c r="KE28" t="n">
        <v>240</v>
      </c>
      <c r="KF28" t="n">
        <v>26</v>
      </c>
      <c r="KG28" t="n">
        <v>103</v>
      </c>
      <c r="KH28" t="n">
        <v>3635</v>
      </c>
      <c r="KI28" t="n">
        <v>251</v>
      </c>
      <c r="KJ28" t="n">
        <v>528</v>
      </c>
      <c r="KK28" t="n">
        <v>830</v>
      </c>
      <c r="KL28" t="n">
        <v>233</v>
      </c>
      <c r="KM28" t="n">
        <v>2174</v>
      </c>
      <c r="KN28" t="n">
        <v>109</v>
      </c>
      <c r="KO28" t="n">
        <v>59</v>
      </c>
      <c r="KP28" t="n">
        <v>148</v>
      </c>
      <c r="KQ28" t="n">
        <v>50</v>
      </c>
      <c r="KR28" t="n">
        <v>626</v>
      </c>
      <c r="KS28" t="n">
        <v>489</v>
      </c>
      <c r="KT28" t="n">
        <v>4</v>
      </c>
      <c r="KU28" t="n">
        <v>294</v>
      </c>
      <c r="KV28" t="n">
        <v>99</v>
      </c>
      <c r="KW28" t="n">
        <v>2603</v>
      </c>
      <c r="KX28" t="n">
        <v>1017</v>
      </c>
      <c r="KY28" t="n">
        <v>165</v>
      </c>
      <c r="KZ28" t="n">
        <v>1440</v>
      </c>
      <c r="LA28" t="n">
        <v>744</v>
      </c>
      <c r="LB28" t="n">
        <v>22</v>
      </c>
      <c r="LC28" t="n">
        <v>708</v>
      </c>
      <c r="LD28" t="n">
        <v>3411</v>
      </c>
      <c r="LE28" t="n">
        <v>692</v>
      </c>
      <c r="LF28" t="n">
        <v>242</v>
      </c>
      <c r="LG28" t="n">
        <v>67</v>
      </c>
      <c r="LH28" t="n">
        <v>329</v>
      </c>
      <c r="LI28" t="n">
        <v>308</v>
      </c>
      <c r="LJ28" t="n">
        <v>7</v>
      </c>
      <c r="LL28" t="n">
        <v>602</v>
      </c>
      <c r="LM28" t="n">
        <v>36155</v>
      </c>
      <c r="LN28" t="n">
        <v>216</v>
      </c>
      <c r="LO28" t="n">
        <v>347</v>
      </c>
      <c r="LP28" t="n">
        <v>264</v>
      </c>
      <c r="LQ28" t="n">
        <v>113</v>
      </c>
      <c r="LR28" t="n">
        <v>687</v>
      </c>
      <c r="LS28" t="n">
        <v>249</v>
      </c>
      <c r="LT28" t="n">
        <v>210</v>
      </c>
      <c r="LU28" t="n">
        <v>45</v>
      </c>
      <c r="LV28" t="n">
        <v>381</v>
      </c>
      <c r="LW28" t="n">
        <v>799</v>
      </c>
      <c r="LX28" t="n">
        <v>1124</v>
      </c>
      <c r="LY28" t="n">
        <v>110</v>
      </c>
      <c r="LZ28" t="n">
        <v>1923</v>
      </c>
      <c r="MA28" t="n">
        <v>440</v>
      </c>
      <c r="MB28" t="n">
        <v>119</v>
      </c>
      <c r="MC28" t="n">
        <v>100</v>
      </c>
      <c r="MD28" t="n">
        <v>111</v>
      </c>
      <c r="ME28" t="n">
        <v>398</v>
      </c>
      <c r="MF28" t="n">
        <v>5064</v>
      </c>
      <c r="MG28" t="n">
        <v>291</v>
      </c>
      <c r="MH28" t="n">
        <v>735</v>
      </c>
      <c r="MI28" t="n">
        <v>366</v>
      </c>
      <c r="MJ28" t="n">
        <v>214</v>
      </c>
      <c r="MK28" t="n">
        <v>441</v>
      </c>
      <c r="ML28" t="n">
        <v>168</v>
      </c>
      <c r="MM28" t="n">
        <v>151</v>
      </c>
      <c r="MN28" t="n">
        <v>348</v>
      </c>
      <c r="MO28" t="n">
        <v>679</v>
      </c>
      <c r="MP28" t="n">
        <v>240</v>
      </c>
      <c r="MQ28" t="n">
        <v>2483</v>
      </c>
      <c r="MR28" t="n">
        <v>96</v>
      </c>
      <c r="MS28" t="n">
        <v>1585</v>
      </c>
      <c r="MT28" t="n">
        <v>383</v>
      </c>
      <c r="MU28" t="n">
        <v>390</v>
      </c>
      <c r="MV28" t="n">
        <v>1498</v>
      </c>
      <c r="MW28" t="n">
        <v>121</v>
      </c>
      <c r="MX28" t="n">
        <v>162</v>
      </c>
      <c r="MY28" t="n">
        <v>159</v>
      </c>
      <c r="MZ28" t="n">
        <v>8314</v>
      </c>
      <c r="NA28" t="n">
        <v>3165</v>
      </c>
      <c r="NB28" t="n">
        <v>480</v>
      </c>
      <c r="NC28" t="n">
        <v>424</v>
      </c>
      <c r="ND28" t="n">
        <v>607</v>
      </c>
      <c r="NE28" t="n">
        <v>266</v>
      </c>
      <c r="NF28" t="n">
        <v>79</v>
      </c>
      <c r="NG28" t="n">
        <v>211</v>
      </c>
      <c r="NH28" t="n">
        <v>58</v>
      </c>
      <c r="NI28" t="n">
        <v>324</v>
      </c>
      <c r="NJ28" t="n">
        <v>289</v>
      </c>
      <c r="NK28" t="n">
        <v>373</v>
      </c>
      <c r="NL28" t="n">
        <v>427</v>
      </c>
      <c r="NM28" t="n">
        <v>2379</v>
      </c>
      <c r="NN28" t="n">
        <v>5840</v>
      </c>
      <c r="NO28" t="n">
        <v>6833</v>
      </c>
      <c r="NP28" t="n">
        <v>10455</v>
      </c>
      <c r="NQ28" t="n">
        <v>879</v>
      </c>
      <c r="NR28" t="n">
        <v>1421</v>
      </c>
      <c r="NS28" t="n">
        <v>99</v>
      </c>
      <c r="NT28" t="n">
        <v>225</v>
      </c>
      <c r="NU28" t="n">
        <v>187</v>
      </c>
      <c r="NV28" t="n">
        <v>1028</v>
      </c>
      <c r="NW28" t="n">
        <v>42</v>
      </c>
      <c r="NX28" t="n">
        <v>606</v>
      </c>
      <c r="NY28" t="n">
        <v>541</v>
      </c>
      <c r="NZ28" t="n">
        <v>54</v>
      </c>
      <c r="OA28" t="n">
        <v>86</v>
      </c>
      <c r="OB28" t="n">
        <v>1111</v>
      </c>
      <c r="OD28" t="n">
        <v>1580</v>
      </c>
      <c r="OE28" t="n">
        <v>302</v>
      </c>
      <c r="OF28" t="n">
        <v>65</v>
      </c>
      <c r="OG28" t="n">
        <v>1723</v>
      </c>
      <c r="OH28" t="n">
        <v>138</v>
      </c>
      <c r="OI28" t="n">
        <v>2981</v>
      </c>
      <c r="OJ28" t="n">
        <v>622</v>
      </c>
      <c r="OK28" t="n">
        <v>1897</v>
      </c>
      <c r="OL28" t="n">
        <v>103</v>
      </c>
      <c r="OM28" t="n">
        <v>258</v>
      </c>
      <c r="ON28" t="n">
        <v>903</v>
      </c>
      <c r="OO28" t="n">
        <v>277787</v>
      </c>
      <c r="OP28" t="n">
        <v>177661</v>
      </c>
      <c r="OV28" t="n">
        <v>2744</v>
      </c>
      <c r="PI28" t="n">
        <v>458193</v>
      </c>
      <c r="PM28">
        <f>IFERROR(VLOOKUP($A28&amp;"",Key!$A:$C,3,FALSE),"")</f>
        <v/>
      </c>
    </row>
    <row r="29">
      <c r="A29" t="n">
        <v>221200</v>
      </c>
      <c r="B29" t="inlineStr">
        <is>
          <t>Natural gas distribution</t>
        </is>
      </c>
      <c r="C29" t="n">
        <v>23</v>
      </c>
      <c r="D29" t="n">
        <v>326</v>
      </c>
      <c r="E29" t="n">
        <v>23</v>
      </c>
      <c r="F29" t="n">
        <v>59</v>
      </c>
      <c r="G29" t="n">
        <v>175</v>
      </c>
      <c r="H29" t="n">
        <v>123</v>
      </c>
      <c r="I29" t="n">
        <v>71</v>
      </c>
      <c r="J29" t="n">
        <v>141</v>
      </c>
      <c r="K29" t="n">
        <v>182</v>
      </c>
      <c r="L29" t="n">
        <v>37</v>
      </c>
      <c r="M29" t="n">
        <v>2</v>
      </c>
      <c r="N29" t="n">
        <v>3</v>
      </c>
      <c r="O29" t="n">
        <v>5</v>
      </c>
      <c r="P29" t="n">
        <v>226</v>
      </c>
      <c r="Q29" t="n">
        <v>11</v>
      </c>
      <c r="R29" t="n">
        <v>15</v>
      </c>
      <c r="S29" t="n">
        <v>19</v>
      </c>
      <c r="T29" t="n">
        <v>11</v>
      </c>
      <c r="U29" t="n">
        <v>68</v>
      </c>
      <c r="V29" t="n">
        <v>4</v>
      </c>
      <c r="W29" t="n">
        <v>31</v>
      </c>
      <c r="X29" t="n">
        <v>47</v>
      </c>
      <c r="Y29" t="n">
        <v>1</v>
      </c>
      <c r="Z29" t="n">
        <v>41</v>
      </c>
      <c r="AA29" t="n">
        <v>4</v>
      </c>
      <c r="AB29" t="n">
        <v>0</v>
      </c>
      <c r="AC29" t="n">
        <v>42</v>
      </c>
      <c r="AD29" t="n">
        <v>6</v>
      </c>
      <c r="AE29" t="n">
        <v>21</v>
      </c>
      <c r="AF29" t="n">
        <v>7</v>
      </c>
      <c r="AG29" t="n">
        <v>35</v>
      </c>
      <c r="AH29" t="n">
        <v>7</v>
      </c>
      <c r="AI29" t="n">
        <v>14</v>
      </c>
      <c r="AJ29" t="n">
        <v>9</v>
      </c>
      <c r="AK29" t="n">
        <v>23</v>
      </c>
      <c r="AL29" t="n">
        <v>37</v>
      </c>
      <c r="AM29" t="n">
        <v>51</v>
      </c>
      <c r="AN29" t="n">
        <v>47</v>
      </c>
      <c r="AO29" t="n">
        <v>19</v>
      </c>
      <c r="AP29" t="n">
        <v>28</v>
      </c>
      <c r="AQ29" t="n">
        <v>37</v>
      </c>
      <c r="AR29" t="n">
        <v>109</v>
      </c>
      <c r="AS29" t="n">
        <v>118</v>
      </c>
      <c r="AT29" t="n">
        <v>47</v>
      </c>
      <c r="AU29" t="n">
        <v>8</v>
      </c>
      <c r="AV29" t="n">
        <v>9</v>
      </c>
      <c r="AW29" t="n">
        <v>99</v>
      </c>
      <c r="AX29" t="n">
        <v>3</v>
      </c>
      <c r="AY29" t="n">
        <v>4</v>
      </c>
      <c r="AZ29" t="n">
        <v>17</v>
      </c>
      <c r="BA29" t="n">
        <v>19</v>
      </c>
      <c r="BB29" t="n">
        <v>9</v>
      </c>
      <c r="BC29" t="n">
        <v>146</v>
      </c>
      <c r="BD29" t="n">
        <v>16</v>
      </c>
      <c r="BE29" t="n">
        <v>11</v>
      </c>
      <c r="BF29" t="n">
        <v>16</v>
      </c>
      <c r="BG29" t="n">
        <v>32</v>
      </c>
      <c r="BH29" t="n">
        <v>11</v>
      </c>
      <c r="BI29" t="n">
        <v>7</v>
      </c>
      <c r="BJ29" t="n">
        <v>11</v>
      </c>
      <c r="BK29" t="n">
        <v>16</v>
      </c>
      <c r="BL29" t="n">
        <v>18</v>
      </c>
      <c r="BM29" t="n">
        <v>31</v>
      </c>
      <c r="BN29" t="n">
        <v>57</v>
      </c>
      <c r="BO29" t="n">
        <v>18</v>
      </c>
      <c r="BP29" t="n">
        <v>20</v>
      </c>
      <c r="BQ29" t="n">
        <v>46</v>
      </c>
      <c r="BR29" t="n">
        <v>44</v>
      </c>
      <c r="BS29" t="n">
        <v>6</v>
      </c>
      <c r="BT29" t="n">
        <v>12</v>
      </c>
      <c r="BU29" t="n">
        <v>16</v>
      </c>
      <c r="BV29" t="n">
        <v>9</v>
      </c>
      <c r="BW29" t="n">
        <v>15</v>
      </c>
      <c r="BX29" t="n">
        <v>57</v>
      </c>
      <c r="BY29" t="n">
        <v>38</v>
      </c>
      <c r="BZ29" t="n">
        <v>133</v>
      </c>
      <c r="CA29" t="n">
        <v>6</v>
      </c>
      <c r="CB29" t="n">
        <v>18</v>
      </c>
      <c r="CC29" t="n">
        <v>10</v>
      </c>
      <c r="CD29" t="n">
        <v>7</v>
      </c>
      <c r="CE29" t="n">
        <v>16</v>
      </c>
      <c r="CF29" t="n">
        <v>23</v>
      </c>
      <c r="CG29" t="n">
        <v>17</v>
      </c>
      <c r="CH29" t="n">
        <v>1</v>
      </c>
      <c r="CI29" t="n">
        <v>19</v>
      </c>
      <c r="CJ29" t="n">
        <v>17</v>
      </c>
      <c r="CK29" t="n">
        <v>1</v>
      </c>
      <c r="CL29" t="n">
        <v>23</v>
      </c>
      <c r="CM29" t="n">
        <v>3</v>
      </c>
      <c r="CN29" t="n">
        <v>0</v>
      </c>
      <c r="CO29" t="n">
        <v>12</v>
      </c>
      <c r="CP29" t="n">
        <v>6</v>
      </c>
      <c r="CQ29" t="n">
        <v>17</v>
      </c>
      <c r="CR29" t="n">
        <v>5</v>
      </c>
      <c r="CS29" t="n">
        <v>9</v>
      </c>
      <c r="CT29" t="n">
        <v>5</v>
      </c>
      <c r="CU29" t="n">
        <v>4</v>
      </c>
      <c r="CV29" t="n">
        <v>9</v>
      </c>
      <c r="CW29" t="n">
        <v>7</v>
      </c>
      <c r="CX29" t="n">
        <v>3</v>
      </c>
      <c r="CY29" t="n">
        <v>5</v>
      </c>
      <c r="CZ29" t="n">
        <v>16</v>
      </c>
      <c r="DA29" t="n">
        <v>4</v>
      </c>
      <c r="DB29" t="n">
        <v>11</v>
      </c>
      <c r="DC29" t="n">
        <v>18</v>
      </c>
      <c r="DD29" t="n">
        <v>2</v>
      </c>
      <c r="DE29" t="n">
        <v>5</v>
      </c>
      <c r="DF29" t="n">
        <v>2</v>
      </c>
      <c r="DG29" t="n">
        <v>16</v>
      </c>
      <c r="DH29" t="n">
        <v>7</v>
      </c>
      <c r="DI29" t="n">
        <v>0</v>
      </c>
      <c r="DJ29" t="n">
        <v>1</v>
      </c>
      <c r="DK29" t="n">
        <v>0</v>
      </c>
      <c r="DL29" t="n">
        <v>0</v>
      </c>
      <c r="DM29" t="n">
        <v>1</v>
      </c>
      <c r="DN29" t="n">
        <v>0</v>
      </c>
      <c r="DO29" t="n">
        <v>45</v>
      </c>
      <c r="DP29" t="n">
        <v>3</v>
      </c>
      <c r="DQ29" t="n">
        <v>2</v>
      </c>
      <c r="DR29" t="n">
        <v>6</v>
      </c>
      <c r="DS29" t="n">
        <v>34</v>
      </c>
      <c r="DT29" t="n">
        <v>0</v>
      </c>
      <c r="DU29" t="n">
        <v>1</v>
      </c>
      <c r="DV29" t="n">
        <v>0</v>
      </c>
      <c r="DW29" t="n">
        <v>0</v>
      </c>
      <c r="DX29" t="n">
        <v>6</v>
      </c>
      <c r="DY29" t="n">
        <v>0</v>
      </c>
      <c r="DZ29" t="n">
        <v>0</v>
      </c>
      <c r="EA29" t="n">
        <v>0</v>
      </c>
      <c r="EB29" t="n">
        <v>0</v>
      </c>
      <c r="EC29" t="n">
        <v>1</v>
      </c>
      <c r="ED29" t="n">
        <v>9</v>
      </c>
      <c r="EE29" t="n">
        <v>0</v>
      </c>
      <c r="EF29" t="n">
        <v>6</v>
      </c>
      <c r="EG29" t="n">
        <v>2</v>
      </c>
      <c r="EH29" t="n">
        <v>6</v>
      </c>
      <c r="EI29" t="n">
        <v>7</v>
      </c>
      <c r="EJ29" t="n">
        <v>1</v>
      </c>
      <c r="EK29" t="n">
        <v>28</v>
      </c>
      <c r="EL29" t="n">
        <v>1</v>
      </c>
      <c r="EM29" t="n">
        <v>3</v>
      </c>
      <c r="EN29" t="n">
        <v>7</v>
      </c>
      <c r="EO29" t="n">
        <v>9</v>
      </c>
      <c r="EP29" t="n">
        <v>4</v>
      </c>
      <c r="EQ29" t="n">
        <v>2</v>
      </c>
      <c r="ER29" t="n">
        <v>48</v>
      </c>
      <c r="ES29" t="n">
        <v>5</v>
      </c>
      <c r="ET29" t="n">
        <v>14</v>
      </c>
      <c r="EU29" t="n">
        <v>6</v>
      </c>
      <c r="EV29" t="n">
        <v>0</v>
      </c>
      <c r="EW29" t="n">
        <v>7</v>
      </c>
      <c r="EX29" t="n">
        <v>32</v>
      </c>
      <c r="EY29" t="n">
        <v>11</v>
      </c>
      <c r="EZ29" t="n">
        <v>25</v>
      </c>
      <c r="FA29" t="n">
        <v>32</v>
      </c>
      <c r="FB29" t="n">
        <v>31</v>
      </c>
      <c r="FC29" t="n">
        <v>35</v>
      </c>
      <c r="FD29" t="n">
        <v>18</v>
      </c>
      <c r="FE29" t="n">
        <v>25</v>
      </c>
      <c r="FF29" t="n">
        <v>59</v>
      </c>
      <c r="FG29" t="n">
        <v>30</v>
      </c>
      <c r="FH29" t="n">
        <v>18</v>
      </c>
      <c r="FI29" t="n">
        <v>28</v>
      </c>
      <c r="FJ29" t="n">
        <v>16</v>
      </c>
      <c r="FK29" t="n">
        <v>16</v>
      </c>
      <c r="FL29" t="n">
        <v>10</v>
      </c>
      <c r="FM29" t="n">
        <v>9</v>
      </c>
      <c r="FN29" t="n">
        <v>5</v>
      </c>
      <c r="FO29" t="n">
        <v>3</v>
      </c>
      <c r="FP29" t="n">
        <v>19</v>
      </c>
      <c r="FQ29" t="n">
        <v>6</v>
      </c>
      <c r="FR29" t="n">
        <v>3</v>
      </c>
      <c r="FS29" t="n">
        <v>6</v>
      </c>
      <c r="FT29" t="n">
        <v>4</v>
      </c>
      <c r="FU29" t="n">
        <v>11</v>
      </c>
      <c r="FV29" t="n">
        <v>22</v>
      </c>
      <c r="FW29" t="n">
        <v>4</v>
      </c>
      <c r="FX29" t="n">
        <v>11</v>
      </c>
      <c r="FY29" t="n">
        <v>5</v>
      </c>
      <c r="FZ29" t="n">
        <v>2</v>
      </c>
      <c r="GA29" t="n">
        <v>0</v>
      </c>
      <c r="GB29" t="n">
        <v>4</v>
      </c>
      <c r="GC29" t="n">
        <v>2</v>
      </c>
      <c r="GD29" t="n">
        <v>12</v>
      </c>
      <c r="GE29" t="n">
        <v>1</v>
      </c>
      <c r="GF29" t="n">
        <v>2</v>
      </c>
      <c r="GG29" t="n">
        <v>13</v>
      </c>
      <c r="GH29" t="n">
        <v>21</v>
      </c>
      <c r="GI29" t="n">
        <v>25</v>
      </c>
      <c r="GJ29" t="n">
        <v>28</v>
      </c>
      <c r="GK29" t="n">
        <v>14</v>
      </c>
      <c r="GL29" t="n">
        <v>49</v>
      </c>
      <c r="GM29" t="n">
        <v>5</v>
      </c>
      <c r="GN29" t="n">
        <v>30</v>
      </c>
      <c r="GO29" t="n">
        <v>47</v>
      </c>
      <c r="GP29" t="n">
        <v>127</v>
      </c>
      <c r="GQ29" t="n">
        <v>46</v>
      </c>
      <c r="GR29" t="n">
        <v>71</v>
      </c>
      <c r="GS29" t="n">
        <v>41</v>
      </c>
      <c r="GT29" t="n">
        <v>43</v>
      </c>
      <c r="GU29" t="n">
        <v>45</v>
      </c>
      <c r="GV29" t="n">
        <v>8</v>
      </c>
      <c r="GW29" t="n">
        <v>34</v>
      </c>
      <c r="GX29" t="n">
        <v>99</v>
      </c>
      <c r="GY29" t="n">
        <v>38</v>
      </c>
      <c r="GZ29" t="n">
        <v>76</v>
      </c>
      <c r="HA29" t="n">
        <v>34</v>
      </c>
      <c r="HB29" t="n">
        <v>51</v>
      </c>
      <c r="HC29" t="n">
        <v>8</v>
      </c>
      <c r="HD29" t="n">
        <v>7</v>
      </c>
      <c r="HE29" t="n">
        <v>13</v>
      </c>
      <c r="HF29" t="n">
        <v>26</v>
      </c>
      <c r="HG29" t="n">
        <v>34</v>
      </c>
      <c r="HH29" t="n">
        <v>33</v>
      </c>
      <c r="HI29" t="n">
        <v>8</v>
      </c>
      <c r="HJ29" t="n">
        <v>12</v>
      </c>
      <c r="HK29" t="n">
        <v>30</v>
      </c>
      <c r="HL29" t="n">
        <v>5</v>
      </c>
      <c r="HM29" t="n">
        <v>21</v>
      </c>
      <c r="HN29" t="n">
        <v>20</v>
      </c>
      <c r="HO29" t="n">
        <v>7</v>
      </c>
      <c r="HP29" t="n">
        <v>3</v>
      </c>
      <c r="HQ29" t="n">
        <v>6</v>
      </c>
      <c r="HR29" t="n">
        <v>1</v>
      </c>
      <c r="HS29" t="n">
        <v>1</v>
      </c>
      <c r="HT29" t="n">
        <v>58</v>
      </c>
      <c r="HU29" t="n">
        <v>358</v>
      </c>
      <c r="HV29" t="n">
        <v>307</v>
      </c>
      <c r="HW29" t="n">
        <v>76</v>
      </c>
      <c r="HX29" t="n">
        <v>35</v>
      </c>
      <c r="HY29" t="n">
        <v>2</v>
      </c>
      <c r="HZ29" t="n">
        <v>11</v>
      </c>
      <c r="IA29" t="n">
        <v>9</v>
      </c>
      <c r="IB29" t="n">
        <v>67</v>
      </c>
      <c r="IC29" t="n">
        <v>2</v>
      </c>
      <c r="ID29" t="n">
        <v>1136</v>
      </c>
      <c r="IE29" t="n">
        <v>74</v>
      </c>
      <c r="IF29" t="n">
        <v>13</v>
      </c>
      <c r="IG29" t="n">
        <v>31</v>
      </c>
      <c r="IH29" t="n">
        <v>627</v>
      </c>
      <c r="II29" t="n">
        <v>70</v>
      </c>
      <c r="IJ29" t="n">
        <v>14</v>
      </c>
      <c r="IK29" t="n">
        <v>290</v>
      </c>
      <c r="IL29" t="n">
        <v>570</v>
      </c>
      <c r="IM29" t="n">
        <v>241</v>
      </c>
      <c r="IN29" t="n">
        <v>24</v>
      </c>
      <c r="IO29" t="n">
        <v>6</v>
      </c>
      <c r="IP29" t="n">
        <v>24</v>
      </c>
      <c r="IQ29" t="n">
        <v>1</v>
      </c>
      <c r="IR29" t="n">
        <v>11</v>
      </c>
      <c r="IS29" t="n">
        <v>696</v>
      </c>
      <c r="IT29" t="n">
        <v>5</v>
      </c>
      <c r="IU29" t="n">
        <v>6</v>
      </c>
      <c r="IV29" t="n">
        <v>5</v>
      </c>
      <c r="IW29" t="n">
        <v>20</v>
      </c>
      <c r="IX29" t="n">
        <v>3</v>
      </c>
      <c r="IY29" t="n">
        <v>0</v>
      </c>
      <c r="IZ29" t="n">
        <v>23</v>
      </c>
      <c r="JA29" t="n">
        <v>44</v>
      </c>
      <c r="JB29" t="n">
        <v>17</v>
      </c>
      <c r="JC29" t="n">
        <v>8</v>
      </c>
      <c r="JD29" t="n">
        <v>21</v>
      </c>
      <c r="JE29" t="n">
        <v>11</v>
      </c>
      <c r="JF29" t="n">
        <v>9</v>
      </c>
      <c r="JG29" t="n">
        <v>98</v>
      </c>
      <c r="JH29" t="n">
        <v>44</v>
      </c>
      <c r="JI29" t="n">
        <v>8</v>
      </c>
      <c r="JJ29" t="n">
        <v>23</v>
      </c>
      <c r="JK29" t="n">
        <v>10</v>
      </c>
      <c r="JL29" t="n">
        <v>8</v>
      </c>
      <c r="JM29" t="n">
        <v>40</v>
      </c>
      <c r="JN29" t="n">
        <v>3</v>
      </c>
      <c r="JO29" t="n">
        <v>35</v>
      </c>
      <c r="JP29" t="n">
        <v>1</v>
      </c>
      <c r="JQ29" t="n">
        <v>23</v>
      </c>
      <c r="JR29" t="n">
        <v>14</v>
      </c>
      <c r="JS29" t="n">
        <v>51</v>
      </c>
      <c r="JT29" t="n">
        <v>3</v>
      </c>
      <c r="JV29" t="n">
        <v>206</v>
      </c>
      <c r="JW29" t="n">
        <v>25</v>
      </c>
      <c r="JX29" t="n">
        <v>29</v>
      </c>
      <c r="JY29" t="n">
        <v>56</v>
      </c>
      <c r="JZ29" t="n">
        <v>7</v>
      </c>
      <c r="KA29" t="n">
        <v>4</v>
      </c>
      <c r="KB29" t="n">
        <v>7</v>
      </c>
      <c r="KC29" t="n">
        <v>10</v>
      </c>
      <c r="KD29" t="n">
        <v>31</v>
      </c>
      <c r="KE29" t="n">
        <v>42</v>
      </c>
      <c r="KF29" t="n">
        <v>30</v>
      </c>
      <c r="KG29" t="n">
        <v>166</v>
      </c>
      <c r="KH29" t="n">
        <v>631</v>
      </c>
      <c r="KI29" t="n">
        <v>16</v>
      </c>
      <c r="KJ29" t="n">
        <v>163</v>
      </c>
      <c r="KK29" t="n">
        <v>442</v>
      </c>
      <c r="KL29" t="n">
        <v>62</v>
      </c>
      <c r="KM29" t="n">
        <v>527</v>
      </c>
      <c r="KN29" t="n">
        <v>6</v>
      </c>
      <c r="KO29" t="n">
        <v>0</v>
      </c>
      <c r="KP29" t="n">
        <v>3</v>
      </c>
      <c r="KQ29" t="n">
        <v>1</v>
      </c>
      <c r="KR29" t="n">
        <v>1</v>
      </c>
      <c r="KS29" t="n">
        <v>6</v>
      </c>
      <c r="KT29" t="n">
        <v>0</v>
      </c>
      <c r="KU29" t="n">
        <v>3</v>
      </c>
      <c r="KV29" t="n">
        <v>3</v>
      </c>
      <c r="KW29" t="n">
        <v>9</v>
      </c>
      <c r="KX29" t="n">
        <v>3</v>
      </c>
      <c r="KY29" t="n">
        <v>13</v>
      </c>
      <c r="KZ29" t="n">
        <v>5</v>
      </c>
      <c r="LA29" t="n">
        <v>6</v>
      </c>
      <c r="LB29" t="n">
        <v>0</v>
      </c>
      <c r="LC29" t="n">
        <v>31</v>
      </c>
      <c r="LD29" t="n">
        <v>329</v>
      </c>
      <c r="LE29" t="n">
        <v>30</v>
      </c>
      <c r="LF29" t="n">
        <v>4</v>
      </c>
      <c r="LG29" t="n">
        <v>5</v>
      </c>
      <c r="LH29" t="n">
        <v>25</v>
      </c>
      <c r="LI29" t="n">
        <v>42</v>
      </c>
      <c r="LJ29" t="n">
        <v>1272</v>
      </c>
      <c r="LK29" t="n">
        <v>0</v>
      </c>
      <c r="LL29" t="n">
        <v>0</v>
      </c>
      <c r="LM29" t="n">
        <v>4820</v>
      </c>
      <c r="LN29" t="n">
        <v>326</v>
      </c>
      <c r="LO29" t="n">
        <v>51</v>
      </c>
      <c r="LP29" t="n">
        <v>25</v>
      </c>
      <c r="LQ29" t="n">
        <v>15</v>
      </c>
      <c r="LR29" t="n">
        <v>6</v>
      </c>
      <c r="LS29" t="n">
        <v>2</v>
      </c>
      <c r="LU29" t="n">
        <v>0</v>
      </c>
      <c r="LV29" t="n">
        <v>20</v>
      </c>
      <c r="LW29" t="n">
        <v>14</v>
      </c>
      <c r="LX29" t="n">
        <v>1</v>
      </c>
      <c r="LY29" t="n">
        <v>1</v>
      </c>
      <c r="LZ29" t="n">
        <v>10</v>
      </c>
      <c r="MA29" t="n">
        <v>3</v>
      </c>
      <c r="MB29" t="n">
        <v>2</v>
      </c>
      <c r="MC29" t="n">
        <v>1</v>
      </c>
      <c r="MD29" t="n">
        <v>1</v>
      </c>
      <c r="ME29" t="n">
        <v>8</v>
      </c>
      <c r="MF29" t="n">
        <v>79</v>
      </c>
      <c r="MG29" t="n">
        <v>9</v>
      </c>
      <c r="MH29" t="n">
        <v>119</v>
      </c>
      <c r="MI29" t="n">
        <v>35</v>
      </c>
      <c r="MJ29" t="n">
        <v>44</v>
      </c>
      <c r="MK29" t="n">
        <v>9</v>
      </c>
      <c r="ML29" t="n">
        <v>8</v>
      </c>
      <c r="MM29" t="n">
        <v>20</v>
      </c>
      <c r="MN29" t="n">
        <v>17</v>
      </c>
      <c r="MO29" t="n">
        <v>202</v>
      </c>
      <c r="MP29" t="n">
        <v>481</v>
      </c>
      <c r="MQ29" t="n">
        <v>656</v>
      </c>
      <c r="MR29" t="n">
        <v>76</v>
      </c>
      <c r="MS29" t="n">
        <v>14</v>
      </c>
      <c r="MT29" t="n">
        <v>1</v>
      </c>
      <c r="MU29" t="n">
        <v>3</v>
      </c>
      <c r="MV29" t="n">
        <v>14</v>
      </c>
      <c r="MW29" t="n">
        <v>0</v>
      </c>
      <c r="MX29" t="n">
        <v>1</v>
      </c>
      <c r="MY29" t="n">
        <v>13</v>
      </c>
      <c r="MZ29" t="n">
        <v>118</v>
      </c>
      <c r="NA29" t="n">
        <v>64</v>
      </c>
      <c r="NB29" t="n">
        <v>11</v>
      </c>
      <c r="NC29" t="n">
        <v>9</v>
      </c>
      <c r="ND29" t="n">
        <v>24</v>
      </c>
      <c r="NE29" t="n">
        <v>4</v>
      </c>
      <c r="NF29" t="n">
        <v>3</v>
      </c>
      <c r="NG29" t="n">
        <v>2</v>
      </c>
      <c r="NH29" t="n">
        <v>1</v>
      </c>
      <c r="NI29" t="n">
        <v>6</v>
      </c>
      <c r="NJ29" t="n">
        <v>8</v>
      </c>
      <c r="NK29" t="n">
        <v>7</v>
      </c>
      <c r="NL29" t="n">
        <v>8</v>
      </c>
      <c r="NM29" t="n">
        <v>32</v>
      </c>
      <c r="NN29" t="n">
        <v>137</v>
      </c>
      <c r="NO29" t="n">
        <v>203</v>
      </c>
      <c r="NP29" t="n">
        <v>178</v>
      </c>
      <c r="NQ29" t="n">
        <v>12</v>
      </c>
      <c r="NR29" t="n">
        <v>50</v>
      </c>
      <c r="NS29" t="n">
        <v>2</v>
      </c>
      <c r="NT29" t="n">
        <v>16</v>
      </c>
      <c r="NU29" t="n">
        <v>5</v>
      </c>
      <c r="NV29" t="n">
        <v>17</v>
      </c>
      <c r="NW29" t="n">
        <v>2</v>
      </c>
      <c r="NX29" t="n">
        <v>39</v>
      </c>
      <c r="NY29" t="n">
        <v>13</v>
      </c>
      <c r="NZ29" t="n">
        <v>64</v>
      </c>
      <c r="OA29" t="n">
        <v>1</v>
      </c>
      <c r="OB29" t="n">
        <v>49</v>
      </c>
      <c r="OD29" t="n">
        <v>653</v>
      </c>
      <c r="OE29" t="n">
        <v>308</v>
      </c>
      <c r="OF29" t="n">
        <v>326</v>
      </c>
      <c r="OG29" t="n">
        <v>76</v>
      </c>
      <c r="OH29" t="n">
        <v>136</v>
      </c>
      <c r="OI29" t="n">
        <v>3143</v>
      </c>
      <c r="OJ29" t="n">
        <v>1057</v>
      </c>
      <c r="OK29" t="n">
        <v>2211</v>
      </c>
      <c r="OL29" t="n">
        <v>42</v>
      </c>
      <c r="OM29" t="n">
        <v>3</v>
      </c>
      <c r="ON29" t="n">
        <v>264</v>
      </c>
      <c r="OO29" t="n">
        <v>31503</v>
      </c>
      <c r="OP29" t="n">
        <v>48152</v>
      </c>
      <c r="OV29" t="n">
        <v>559</v>
      </c>
      <c r="PI29" t="n">
        <v>80214</v>
      </c>
      <c r="PM29">
        <f>IFERROR(VLOOKUP($A29&amp;"",Key!$A:$C,3,FALSE),"")</f>
        <v/>
      </c>
    </row>
    <row r="30">
      <c r="A30" t="n">
        <v>221300</v>
      </c>
      <c r="B30" t="inlineStr">
        <is>
          <t>Water, sewage and other systems</t>
        </is>
      </c>
      <c r="C30" t="n">
        <v>570</v>
      </c>
      <c r="D30" t="n">
        <v>1847</v>
      </c>
      <c r="E30" t="n">
        <v>633</v>
      </c>
      <c r="F30" t="n">
        <v>709</v>
      </c>
      <c r="G30" t="n">
        <v>90</v>
      </c>
      <c r="H30" t="n">
        <v>919</v>
      </c>
      <c r="I30" t="n">
        <v>66</v>
      </c>
      <c r="J30" t="n">
        <v>85</v>
      </c>
      <c r="K30" t="n">
        <v>77</v>
      </c>
      <c r="L30" t="n">
        <v>28</v>
      </c>
      <c r="M30" t="n">
        <v>0</v>
      </c>
      <c r="N30" t="n">
        <v>2</v>
      </c>
      <c r="O30" t="n">
        <v>7</v>
      </c>
      <c r="P30" t="n">
        <v>1221</v>
      </c>
      <c r="Q30" t="n">
        <v>7</v>
      </c>
      <c r="R30" t="n">
        <v>0</v>
      </c>
      <c r="S30" t="n">
        <v>6</v>
      </c>
      <c r="T30" t="n">
        <v>20</v>
      </c>
      <c r="U30" t="n">
        <v>20</v>
      </c>
      <c r="V30" t="n">
        <v>16</v>
      </c>
      <c r="W30" t="n">
        <v>16</v>
      </c>
      <c r="X30" t="n">
        <v>1186</v>
      </c>
      <c r="Y30" t="n">
        <v>63</v>
      </c>
      <c r="Z30" t="n">
        <v>130</v>
      </c>
      <c r="AA30" t="n">
        <v>8</v>
      </c>
      <c r="AB30" t="n">
        <v>8</v>
      </c>
      <c r="AC30" t="n">
        <v>111</v>
      </c>
      <c r="AD30" t="n">
        <v>51</v>
      </c>
      <c r="AE30" t="n">
        <v>59</v>
      </c>
      <c r="AF30" t="n">
        <v>29</v>
      </c>
      <c r="AG30" t="n">
        <v>245</v>
      </c>
      <c r="AH30" t="n">
        <v>40</v>
      </c>
      <c r="AI30" t="n">
        <v>34</v>
      </c>
      <c r="AJ30" t="n">
        <v>46</v>
      </c>
      <c r="AK30" t="n">
        <v>171</v>
      </c>
      <c r="AL30" t="n">
        <v>87</v>
      </c>
      <c r="AM30" t="n">
        <v>12</v>
      </c>
      <c r="AN30" t="n">
        <v>15</v>
      </c>
      <c r="AO30" t="n">
        <v>11</v>
      </c>
      <c r="AP30" t="n">
        <v>12</v>
      </c>
      <c r="AQ30" t="n">
        <v>13</v>
      </c>
      <c r="AR30" t="n">
        <v>49</v>
      </c>
      <c r="AS30" t="n">
        <v>2</v>
      </c>
      <c r="AT30" t="n">
        <v>23</v>
      </c>
      <c r="AU30" t="n">
        <v>3</v>
      </c>
      <c r="AV30" t="n">
        <v>9</v>
      </c>
      <c r="AW30" t="n">
        <v>5</v>
      </c>
      <c r="AX30" t="n">
        <v>2</v>
      </c>
      <c r="AY30" t="n">
        <v>5</v>
      </c>
      <c r="AZ30" t="n">
        <v>3</v>
      </c>
      <c r="BA30" t="n">
        <v>13</v>
      </c>
      <c r="BB30" t="n">
        <v>6</v>
      </c>
      <c r="BC30" t="n">
        <v>69</v>
      </c>
      <c r="BD30" t="n">
        <v>13</v>
      </c>
      <c r="BE30" t="n">
        <v>4</v>
      </c>
      <c r="BF30" t="n">
        <v>1</v>
      </c>
      <c r="BG30" t="n">
        <v>12</v>
      </c>
      <c r="BH30" t="n">
        <v>4</v>
      </c>
      <c r="BI30" t="n">
        <v>6</v>
      </c>
      <c r="BJ30" t="n">
        <v>9</v>
      </c>
      <c r="BK30" t="n">
        <v>16</v>
      </c>
      <c r="BL30" t="n">
        <v>13</v>
      </c>
      <c r="BM30" t="n">
        <v>8</v>
      </c>
      <c r="BN30" t="n">
        <v>9</v>
      </c>
      <c r="BO30" t="n">
        <v>7</v>
      </c>
      <c r="BP30" t="n">
        <v>7</v>
      </c>
      <c r="BQ30" t="n">
        <v>16</v>
      </c>
      <c r="BR30" t="n">
        <v>17</v>
      </c>
      <c r="BS30" t="n">
        <v>6</v>
      </c>
      <c r="BT30" t="n">
        <v>4</v>
      </c>
      <c r="BU30" t="n">
        <v>4</v>
      </c>
      <c r="BV30" t="n">
        <v>6</v>
      </c>
      <c r="BW30" t="n">
        <v>6</v>
      </c>
      <c r="BX30" t="n">
        <v>20</v>
      </c>
      <c r="BY30" t="n">
        <v>20</v>
      </c>
      <c r="BZ30" t="n">
        <v>46</v>
      </c>
      <c r="CA30" t="n">
        <v>5</v>
      </c>
      <c r="CB30" t="n">
        <v>11</v>
      </c>
      <c r="CC30" t="n">
        <v>5</v>
      </c>
      <c r="CD30" t="n">
        <v>2</v>
      </c>
      <c r="CE30" t="n">
        <v>9</v>
      </c>
      <c r="CF30" t="n">
        <v>8</v>
      </c>
      <c r="CG30" t="n">
        <v>5</v>
      </c>
      <c r="CH30" t="n">
        <v>2</v>
      </c>
      <c r="CI30" t="n">
        <v>6</v>
      </c>
      <c r="CJ30" t="n">
        <v>5</v>
      </c>
      <c r="CK30" t="n">
        <v>4</v>
      </c>
      <c r="CL30" t="n">
        <v>13</v>
      </c>
      <c r="CM30" t="n">
        <v>2</v>
      </c>
      <c r="CN30" t="n">
        <v>0</v>
      </c>
      <c r="CO30" t="n">
        <v>5</v>
      </c>
      <c r="CP30" t="n">
        <v>3</v>
      </c>
      <c r="CQ30" t="n">
        <v>6</v>
      </c>
      <c r="CR30" t="n">
        <v>2</v>
      </c>
      <c r="CS30" t="n">
        <v>3</v>
      </c>
      <c r="CT30" t="n">
        <v>4</v>
      </c>
      <c r="CU30" t="n">
        <v>2</v>
      </c>
      <c r="CV30" t="n">
        <v>4</v>
      </c>
      <c r="CW30" t="n">
        <v>3</v>
      </c>
      <c r="CX30" t="n">
        <v>1</v>
      </c>
      <c r="CY30" t="n">
        <v>2</v>
      </c>
      <c r="CZ30" t="n">
        <v>6</v>
      </c>
      <c r="DA30" t="n">
        <v>1</v>
      </c>
      <c r="DB30" t="n">
        <v>5</v>
      </c>
      <c r="DC30" t="n">
        <v>4</v>
      </c>
      <c r="DD30" t="n">
        <v>1</v>
      </c>
      <c r="DE30" t="n">
        <v>2</v>
      </c>
      <c r="DF30" t="n">
        <v>1</v>
      </c>
      <c r="DG30" t="n">
        <v>9</v>
      </c>
      <c r="DH30" t="n">
        <v>3</v>
      </c>
      <c r="DI30" t="n">
        <v>0</v>
      </c>
      <c r="DJ30" t="n">
        <v>0</v>
      </c>
      <c r="DK30" t="n">
        <v>0</v>
      </c>
      <c r="DL30" t="n">
        <v>0</v>
      </c>
      <c r="DM30" t="n">
        <v>2</v>
      </c>
      <c r="DN30" t="n">
        <v>0</v>
      </c>
      <c r="DO30" t="n">
        <v>29</v>
      </c>
      <c r="DP30" t="n">
        <v>1</v>
      </c>
      <c r="DQ30" t="n">
        <v>2</v>
      </c>
      <c r="DR30" t="n">
        <v>5</v>
      </c>
      <c r="DS30" t="n">
        <v>33</v>
      </c>
      <c r="DT30" t="n">
        <v>0</v>
      </c>
      <c r="DU30" t="n">
        <v>0</v>
      </c>
      <c r="DV30" t="n">
        <v>0</v>
      </c>
      <c r="DW30" t="n">
        <v>4</v>
      </c>
      <c r="DX30" t="n">
        <v>3</v>
      </c>
      <c r="DY30" t="n">
        <v>0</v>
      </c>
      <c r="DZ30" t="n">
        <v>2</v>
      </c>
      <c r="EA30" t="n">
        <v>0</v>
      </c>
      <c r="EB30" t="n">
        <v>0</v>
      </c>
      <c r="EC30" t="n">
        <v>0</v>
      </c>
      <c r="ED30" t="n">
        <v>6</v>
      </c>
      <c r="EE30" t="n">
        <v>0</v>
      </c>
      <c r="EF30" t="n">
        <v>3</v>
      </c>
      <c r="EG30" t="n">
        <v>0</v>
      </c>
      <c r="EH30" t="n">
        <v>2</v>
      </c>
      <c r="EI30" t="n">
        <v>3</v>
      </c>
      <c r="EJ30" t="n">
        <v>1</v>
      </c>
      <c r="EK30" t="n">
        <v>4</v>
      </c>
      <c r="EL30" t="n">
        <v>0</v>
      </c>
      <c r="EM30" t="n">
        <v>1</v>
      </c>
      <c r="EN30" t="n">
        <v>3</v>
      </c>
      <c r="EO30" t="n">
        <v>4</v>
      </c>
      <c r="EP30" t="n">
        <v>4</v>
      </c>
      <c r="EQ30" t="n">
        <v>3</v>
      </c>
      <c r="ER30" t="n">
        <v>29</v>
      </c>
      <c r="ES30" t="n">
        <v>2</v>
      </c>
      <c r="ET30" t="n">
        <v>6</v>
      </c>
      <c r="EU30" t="n">
        <v>3</v>
      </c>
      <c r="EV30" t="n">
        <v>4</v>
      </c>
      <c r="EW30" t="n">
        <v>201</v>
      </c>
      <c r="EX30" t="n">
        <v>15</v>
      </c>
      <c r="EY30" t="n">
        <v>6</v>
      </c>
      <c r="EZ30" t="n">
        <v>10</v>
      </c>
      <c r="FA30" t="n">
        <v>20</v>
      </c>
      <c r="FB30" t="n">
        <v>10</v>
      </c>
      <c r="FC30" t="n">
        <v>17</v>
      </c>
      <c r="FD30" t="n">
        <v>10</v>
      </c>
      <c r="FE30" t="n">
        <v>13</v>
      </c>
      <c r="FF30" t="n">
        <v>47</v>
      </c>
      <c r="FG30" t="n">
        <v>13</v>
      </c>
      <c r="FH30" t="n">
        <v>20</v>
      </c>
      <c r="FI30" t="n">
        <v>49</v>
      </c>
      <c r="FJ30" t="n">
        <v>5</v>
      </c>
      <c r="FK30" t="n">
        <v>15</v>
      </c>
      <c r="FL30" t="n">
        <v>5</v>
      </c>
      <c r="FM30" t="n">
        <v>3</v>
      </c>
      <c r="FN30" t="n">
        <v>3</v>
      </c>
      <c r="FO30" t="n">
        <v>0</v>
      </c>
      <c r="FP30" t="n">
        <v>10</v>
      </c>
      <c r="FQ30" t="n">
        <v>5</v>
      </c>
      <c r="FR30" t="n">
        <v>1</v>
      </c>
      <c r="FS30" t="n">
        <v>3</v>
      </c>
      <c r="FT30" t="n">
        <v>2</v>
      </c>
      <c r="FU30" t="n">
        <v>3</v>
      </c>
      <c r="FV30" t="n">
        <v>11</v>
      </c>
      <c r="FW30" t="n">
        <v>5</v>
      </c>
      <c r="FX30" t="n">
        <v>11</v>
      </c>
      <c r="FY30" t="n">
        <v>12</v>
      </c>
      <c r="FZ30" t="n">
        <v>2</v>
      </c>
      <c r="GA30" t="n">
        <v>3</v>
      </c>
      <c r="GB30" t="n">
        <v>3</v>
      </c>
      <c r="GC30" t="n">
        <v>1</v>
      </c>
      <c r="GD30" t="n">
        <v>4</v>
      </c>
      <c r="GE30" t="n">
        <v>1</v>
      </c>
      <c r="GF30" t="n">
        <v>2</v>
      </c>
      <c r="GG30" t="n">
        <v>8</v>
      </c>
      <c r="GH30" t="n">
        <v>11</v>
      </c>
      <c r="GI30" t="n">
        <v>12</v>
      </c>
      <c r="GJ30" t="n">
        <v>9</v>
      </c>
      <c r="GK30" t="n">
        <v>8</v>
      </c>
      <c r="GL30" t="n">
        <v>17</v>
      </c>
      <c r="GM30" t="n">
        <v>2</v>
      </c>
      <c r="GN30" t="n">
        <v>5</v>
      </c>
      <c r="GO30" t="n">
        <v>6</v>
      </c>
      <c r="GP30" t="n">
        <v>33</v>
      </c>
      <c r="GQ30" t="n">
        <v>29</v>
      </c>
      <c r="GR30" t="n">
        <v>41</v>
      </c>
      <c r="GS30" t="n">
        <v>28</v>
      </c>
      <c r="GT30" t="n">
        <v>24</v>
      </c>
      <c r="GU30" t="n">
        <v>53</v>
      </c>
      <c r="GV30" t="n">
        <v>13</v>
      </c>
      <c r="GW30" t="n">
        <v>69</v>
      </c>
      <c r="GX30" t="n">
        <v>79</v>
      </c>
      <c r="GY30" t="n">
        <v>10</v>
      </c>
      <c r="GZ30" t="n">
        <v>36</v>
      </c>
      <c r="HA30" t="n">
        <v>20</v>
      </c>
      <c r="HB30" t="n">
        <v>28</v>
      </c>
      <c r="HC30" t="n">
        <v>4</v>
      </c>
      <c r="HD30" t="n">
        <v>10</v>
      </c>
      <c r="HE30" t="n">
        <v>18</v>
      </c>
      <c r="HF30" t="n">
        <v>27</v>
      </c>
      <c r="HG30" t="n">
        <v>54</v>
      </c>
      <c r="HH30" t="n">
        <v>32</v>
      </c>
      <c r="HI30" t="n">
        <v>8</v>
      </c>
      <c r="HJ30" t="n">
        <v>10</v>
      </c>
      <c r="HK30" t="n">
        <v>16</v>
      </c>
      <c r="HL30" t="n">
        <v>4</v>
      </c>
      <c r="HM30" t="n">
        <v>13</v>
      </c>
      <c r="HN30" t="n">
        <v>10</v>
      </c>
      <c r="HO30" t="n">
        <v>9</v>
      </c>
      <c r="HP30" t="n">
        <v>2</v>
      </c>
      <c r="HQ30" t="n">
        <v>6</v>
      </c>
      <c r="HR30" t="n">
        <v>0</v>
      </c>
      <c r="HS30" t="n">
        <v>1</v>
      </c>
      <c r="HT30" t="n">
        <v>9</v>
      </c>
      <c r="HU30" t="n">
        <v>36</v>
      </c>
      <c r="HV30" t="n">
        <v>54</v>
      </c>
      <c r="HW30" t="n">
        <v>37</v>
      </c>
      <c r="HX30" t="n">
        <v>16</v>
      </c>
      <c r="HY30" t="n">
        <v>2</v>
      </c>
      <c r="HZ30" t="n">
        <v>6</v>
      </c>
      <c r="IA30" t="n">
        <v>7</v>
      </c>
      <c r="IB30" t="n">
        <v>46</v>
      </c>
      <c r="IC30" t="n">
        <v>3</v>
      </c>
      <c r="ID30" t="n">
        <v>236</v>
      </c>
      <c r="IE30" t="n">
        <v>8</v>
      </c>
      <c r="IF30" t="n">
        <v>13</v>
      </c>
      <c r="IG30" t="n">
        <v>26</v>
      </c>
      <c r="IH30" t="n">
        <v>30</v>
      </c>
      <c r="II30" t="n">
        <v>21</v>
      </c>
      <c r="IJ30" t="n">
        <v>9</v>
      </c>
      <c r="IK30" t="n">
        <v>90</v>
      </c>
      <c r="IL30" t="n">
        <v>634</v>
      </c>
      <c r="IM30" t="n">
        <v>103</v>
      </c>
      <c r="IN30" t="n">
        <v>18</v>
      </c>
      <c r="IO30" t="n">
        <v>11</v>
      </c>
      <c r="IP30" t="n">
        <v>45</v>
      </c>
      <c r="IQ30" t="n">
        <v>5</v>
      </c>
      <c r="IR30" t="n">
        <v>25</v>
      </c>
      <c r="IS30" t="n">
        <v>11</v>
      </c>
      <c r="IT30" t="n">
        <v>13</v>
      </c>
      <c r="IU30" t="n">
        <v>19</v>
      </c>
      <c r="IV30" t="n">
        <v>13</v>
      </c>
      <c r="IW30" t="n">
        <v>24</v>
      </c>
      <c r="IX30" t="n">
        <v>13</v>
      </c>
      <c r="IY30" t="n">
        <v>2</v>
      </c>
      <c r="IZ30" t="n">
        <v>63</v>
      </c>
      <c r="JA30" t="n">
        <v>24</v>
      </c>
      <c r="JB30" t="n">
        <v>16</v>
      </c>
      <c r="JC30" t="n">
        <v>7</v>
      </c>
      <c r="JD30" t="n">
        <v>7</v>
      </c>
      <c r="JE30" t="n">
        <v>7</v>
      </c>
      <c r="JF30" t="n">
        <v>6</v>
      </c>
      <c r="JG30" t="n">
        <v>65</v>
      </c>
      <c r="JH30" t="n">
        <v>14</v>
      </c>
      <c r="JI30" t="n">
        <v>6</v>
      </c>
      <c r="JJ30" t="n">
        <v>12</v>
      </c>
      <c r="JK30" t="n">
        <v>10</v>
      </c>
      <c r="JL30" t="n">
        <v>56</v>
      </c>
      <c r="JM30" t="n">
        <v>393</v>
      </c>
      <c r="JN30" t="n">
        <v>71</v>
      </c>
      <c r="JO30" t="n">
        <v>221</v>
      </c>
      <c r="JP30" t="n">
        <v>33</v>
      </c>
      <c r="JQ30" t="n">
        <v>180</v>
      </c>
      <c r="JR30" t="n">
        <v>19</v>
      </c>
      <c r="JS30" t="n">
        <v>170</v>
      </c>
      <c r="JT30" t="n">
        <v>28</v>
      </c>
      <c r="JV30" t="n">
        <v>433</v>
      </c>
      <c r="JW30" t="n">
        <v>255</v>
      </c>
      <c r="JX30" t="n">
        <v>140</v>
      </c>
      <c r="JY30" t="n">
        <v>87</v>
      </c>
      <c r="JZ30" t="n">
        <v>95</v>
      </c>
      <c r="KA30" t="n">
        <v>211</v>
      </c>
      <c r="KB30" t="n">
        <v>84</v>
      </c>
      <c r="KC30" t="n">
        <v>74</v>
      </c>
      <c r="KD30" t="n">
        <v>157</v>
      </c>
      <c r="KE30" t="n">
        <v>2</v>
      </c>
      <c r="KF30" t="n">
        <v>14</v>
      </c>
      <c r="KG30" t="n">
        <v>5</v>
      </c>
      <c r="KH30" t="n">
        <v>95</v>
      </c>
      <c r="KI30" t="n">
        <v>36</v>
      </c>
      <c r="KJ30" t="n">
        <v>7</v>
      </c>
      <c r="KK30" t="n">
        <v>25</v>
      </c>
      <c r="KL30" t="n">
        <v>42</v>
      </c>
      <c r="KM30" t="n">
        <v>49</v>
      </c>
      <c r="KN30" t="n">
        <v>5</v>
      </c>
      <c r="KO30" t="n">
        <v>4</v>
      </c>
      <c r="KP30" t="n">
        <v>15</v>
      </c>
      <c r="KQ30" t="n">
        <v>1</v>
      </c>
      <c r="KR30" t="n">
        <v>21</v>
      </c>
      <c r="KS30" t="n">
        <v>40</v>
      </c>
      <c r="KT30" t="n">
        <v>1</v>
      </c>
      <c r="KU30" t="n">
        <v>23</v>
      </c>
      <c r="KV30" t="n">
        <v>25</v>
      </c>
      <c r="KW30" t="n">
        <v>62</v>
      </c>
      <c r="KX30" t="n">
        <v>17</v>
      </c>
      <c r="KY30" t="n">
        <v>35</v>
      </c>
      <c r="KZ30" t="n">
        <v>31</v>
      </c>
      <c r="LA30" t="n">
        <v>29</v>
      </c>
      <c r="LB30" t="n">
        <v>0</v>
      </c>
      <c r="LC30" t="n">
        <v>50</v>
      </c>
      <c r="LD30" t="n">
        <v>131</v>
      </c>
      <c r="LE30" t="n">
        <v>62</v>
      </c>
      <c r="LF30" t="n">
        <v>16</v>
      </c>
      <c r="LG30" t="n">
        <v>13</v>
      </c>
      <c r="LH30" t="n">
        <v>44</v>
      </c>
      <c r="LI30" t="n">
        <v>21</v>
      </c>
      <c r="LJ30" t="n">
        <v>1562</v>
      </c>
      <c r="LK30" t="n">
        <v>1</v>
      </c>
      <c r="LL30" t="n">
        <v>0</v>
      </c>
      <c r="LM30" t="n">
        <v>1271</v>
      </c>
      <c r="LN30" t="n">
        <v>33</v>
      </c>
      <c r="LO30" t="n">
        <v>43</v>
      </c>
      <c r="LP30" t="n">
        <v>35</v>
      </c>
      <c r="LQ30" t="n">
        <v>64</v>
      </c>
      <c r="LR30" t="n">
        <v>80</v>
      </c>
      <c r="LS30" t="n">
        <v>12</v>
      </c>
      <c r="LT30" t="n">
        <v>22</v>
      </c>
      <c r="LU30" t="n">
        <v>6</v>
      </c>
      <c r="LV30" t="n">
        <v>40</v>
      </c>
      <c r="LW30" t="n">
        <v>84</v>
      </c>
      <c r="LX30" t="n">
        <v>66</v>
      </c>
      <c r="LY30" t="n">
        <v>22</v>
      </c>
      <c r="LZ30" t="n">
        <v>61</v>
      </c>
      <c r="MA30" t="n">
        <v>9</v>
      </c>
      <c r="MB30" t="n">
        <v>20</v>
      </c>
      <c r="MC30" t="n">
        <v>10</v>
      </c>
      <c r="MD30" t="n">
        <v>4</v>
      </c>
      <c r="ME30" t="n">
        <v>24</v>
      </c>
      <c r="MF30" t="n">
        <v>109</v>
      </c>
      <c r="MG30" t="n">
        <v>16</v>
      </c>
      <c r="MH30" t="n">
        <v>167</v>
      </c>
      <c r="MI30" t="n">
        <v>28</v>
      </c>
      <c r="MJ30" t="n">
        <v>148</v>
      </c>
      <c r="MK30" t="n">
        <v>48</v>
      </c>
      <c r="ML30" t="n">
        <v>22</v>
      </c>
      <c r="MM30" t="n">
        <v>17</v>
      </c>
      <c r="MN30" t="n">
        <v>30</v>
      </c>
      <c r="MO30" t="n">
        <v>614</v>
      </c>
      <c r="MP30" t="n">
        <v>139</v>
      </c>
      <c r="MQ30" t="n">
        <v>2629</v>
      </c>
      <c r="MR30" t="n">
        <v>12</v>
      </c>
      <c r="MS30" t="n">
        <v>154</v>
      </c>
      <c r="MT30" t="n">
        <v>32</v>
      </c>
      <c r="MU30" t="n">
        <v>2</v>
      </c>
      <c r="MV30" t="n">
        <v>67</v>
      </c>
      <c r="MW30" t="n">
        <v>12</v>
      </c>
      <c r="MX30" t="n">
        <v>14</v>
      </c>
      <c r="MY30" t="n">
        <v>11</v>
      </c>
      <c r="MZ30" t="n">
        <v>638</v>
      </c>
      <c r="NA30" t="n">
        <v>303</v>
      </c>
      <c r="NB30" t="n">
        <v>53</v>
      </c>
      <c r="NC30" t="n">
        <v>2</v>
      </c>
      <c r="ND30" t="n">
        <v>18</v>
      </c>
      <c r="NE30" t="n">
        <v>23</v>
      </c>
      <c r="NF30" t="n">
        <v>7</v>
      </c>
      <c r="NG30" t="n">
        <v>13</v>
      </c>
      <c r="NH30" t="n">
        <v>4</v>
      </c>
      <c r="NI30" t="n">
        <v>41</v>
      </c>
      <c r="NJ30" t="n">
        <v>20</v>
      </c>
      <c r="NK30" t="n">
        <v>24</v>
      </c>
      <c r="NL30" t="n">
        <v>45</v>
      </c>
      <c r="NM30" t="n">
        <v>139</v>
      </c>
      <c r="NN30" t="n">
        <v>608</v>
      </c>
      <c r="NO30" t="n">
        <v>598</v>
      </c>
      <c r="NP30" t="n">
        <v>492</v>
      </c>
      <c r="NQ30" t="n">
        <v>52</v>
      </c>
      <c r="NR30" t="n">
        <v>162</v>
      </c>
      <c r="NS30" t="n">
        <v>7</v>
      </c>
      <c r="NT30" t="n">
        <v>19</v>
      </c>
      <c r="NU30" t="n">
        <v>20</v>
      </c>
      <c r="NV30" t="n">
        <v>121</v>
      </c>
      <c r="NW30" t="n">
        <v>5</v>
      </c>
      <c r="NX30" t="n">
        <v>129</v>
      </c>
      <c r="NY30" t="n">
        <v>22</v>
      </c>
      <c r="NZ30" t="n">
        <v>93</v>
      </c>
      <c r="OA30" t="n">
        <v>6</v>
      </c>
      <c r="OB30" t="n">
        <v>271</v>
      </c>
      <c r="OD30" t="n">
        <v>1278</v>
      </c>
      <c r="OE30" t="n">
        <v>591</v>
      </c>
      <c r="OF30" t="n">
        <v>141</v>
      </c>
      <c r="OG30" t="n">
        <v>75</v>
      </c>
      <c r="OH30" t="n">
        <v>112</v>
      </c>
      <c r="OI30" t="n">
        <v>1960</v>
      </c>
      <c r="OJ30" t="n">
        <v>1824</v>
      </c>
      <c r="OK30" t="n">
        <v>5566</v>
      </c>
      <c r="OL30" t="n">
        <v>23</v>
      </c>
      <c r="OM30" t="n">
        <v>835</v>
      </c>
      <c r="ON30" t="n">
        <v>415</v>
      </c>
      <c r="OO30" t="n">
        <v>40658</v>
      </c>
      <c r="OP30" t="n">
        <v>39603</v>
      </c>
      <c r="OV30" t="n">
        <v>705</v>
      </c>
      <c r="PI30" t="n">
        <v>80967</v>
      </c>
      <c r="PM30">
        <f>IFERROR(VLOOKUP($A30&amp;"",Key!$A:$C,3,FALSE),"")</f>
        <v/>
      </c>
    </row>
    <row r="31">
      <c r="A31" t="n">
        <v>233210</v>
      </c>
      <c r="B31" t="inlineStr">
        <is>
          <t>Health care structures</t>
        </is>
      </c>
      <c r="OT31" t="n">
        <v>37725</v>
      </c>
      <c r="OZ31" t="n">
        <v>1146</v>
      </c>
      <c r="PD31" t="n">
        <v>2098</v>
      </c>
      <c r="PH31" t="n">
        <v>6153</v>
      </c>
      <c r="PI31" t="n">
        <v>47123</v>
      </c>
      <c r="PM31">
        <f>IFERROR(VLOOKUP($A31&amp;"",Key!$A:$C,3,FALSE),"")</f>
        <v/>
      </c>
    </row>
    <row r="32">
      <c r="A32" t="n">
        <v>233262</v>
      </c>
      <c r="B32" t="inlineStr">
        <is>
          <t>Educational and vocational structures</t>
        </is>
      </c>
      <c r="OT32" t="n">
        <v>20501</v>
      </c>
      <c r="OZ32" t="n">
        <v>1256</v>
      </c>
      <c r="PD32" t="n">
        <v>211</v>
      </c>
      <c r="PH32" t="n">
        <v>79213</v>
      </c>
      <c r="PI32" t="n">
        <v>101181</v>
      </c>
      <c r="PM32">
        <f>IFERROR(VLOOKUP($A32&amp;"",Key!$A:$C,3,FALSE),"")</f>
        <v/>
      </c>
    </row>
    <row r="33">
      <c r="A33" t="n">
        <v>230301</v>
      </c>
      <c r="B33" t="inlineStr">
        <is>
          <t>Nonresidential maintenance and repair</t>
        </is>
      </c>
      <c r="C33" t="n">
        <v>198</v>
      </c>
      <c r="D33" t="n">
        <v>354</v>
      </c>
      <c r="E33" t="n">
        <v>184</v>
      </c>
      <c r="F33" t="n">
        <v>159</v>
      </c>
      <c r="G33" t="n">
        <v>155</v>
      </c>
      <c r="H33" t="n">
        <v>250</v>
      </c>
      <c r="I33" t="n">
        <v>93</v>
      </c>
      <c r="K33" t="n">
        <v>39</v>
      </c>
      <c r="L33" t="n">
        <v>112</v>
      </c>
      <c r="M33" t="n">
        <v>0</v>
      </c>
      <c r="N33" t="n">
        <v>14</v>
      </c>
      <c r="O33" t="n">
        <v>19</v>
      </c>
      <c r="P33" t="n">
        <v>180</v>
      </c>
      <c r="Q33" t="n">
        <v>967</v>
      </c>
      <c r="R33" t="n">
        <v>480</v>
      </c>
      <c r="S33" t="n">
        <v>180</v>
      </c>
      <c r="T33" t="n">
        <v>481</v>
      </c>
      <c r="U33" t="n">
        <v>580</v>
      </c>
      <c r="V33" t="n">
        <v>236</v>
      </c>
      <c r="W33" t="n">
        <v>1868</v>
      </c>
      <c r="X33" t="n">
        <v>6988</v>
      </c>
      <c r="Y33" t="n">
        <v>388</v>
      </c>
      <c r="Z33" t="n">
        <v>23</v>
      </c>
      <c r="AA33" t="n">
        <v>2</v>
      </c>
      <c r="AB33" t="n">
        <v>2</v>
      </c>
      <c r="AC33" t="n">
        <v>50</v>
      </c>
      <c r="AD33" t="n">
        <v>7</v>
      </c>
      <c r="AE33" t="n">
        <v>26</v>
      </c>
      <c r="AF33" t="n">
        <v>10</v>
      </c>
      <c r="AG33" t="n">
        <v>39</v>
      </c>
      <c r="AH33" t="n">
        <v>13</v>
      </c>
      <c r="AI33" t="n">
        <v>19</v>
      </c>
      <c r="AJ33" t="n">
        <v>19</v>
      </c>
      <c r="AK33" t="n">
        <v>32</v>
      </c>
      <c r="AL33" t="n">
        <v>29</v>
      </c>
      <c r="AM33" t="n">
        <v>132</v>
      </c>
      <c r="AN33" t="n">
        <v>72</v>
      </c>
      <c r="AO33" t="n">
        <v>54</v>
      </c>
      <c r="AP33" t="n">
        <v>50</v>
      </c>
      <c r="AQ33" t="n">
        <v>60</v>
      </c>
      <c r="AR33" t="n">
        <v>186</v>
      </c>
      <c r="AS33" t="n">
        <v>87</v>
      </c>
      <c r="AT33" t="n">
        <v>197</v>
      </c>
      <c r="AU33" t="n">
        <v>46</v>
      </c>
      <c r="AV33" t="n">
        <v>62</v>
      </c>
      <c r="AW33" t="n">
        <v>43</v>
      </c>
      <c r="AX33" t="n">
        <v>13</v>
      </c>
      <c r="AY33" t="n">
        <v>22</v>
      </c>
      <c r="AZ33" t="n">
        <v>28</v>
      </c>
      <c r="BA33" t="n">
        <v>39</v>
      </c>
      <c r="BB33" t="n">
        <v>33</v>
      </c>
      <c r="BC33" t="n">
        <v>369</v>
      </c>
      <c r="BD33" t="n">
        <v>93</v>
      </c>
      <c r="BE33" t="n">
        <v>30</v>
      </c>
      <c r="BF33" t="n">
        <v>11</v>
      </c>
      <c r="BG33" t="n">
        <v>85</v>
      </c>
      <c r="BH33" t="n">
        <v>30</v>
      </c>
      <c r="BI33" t="n">
        <v>34</v>
      </c>
      <c r="BJ33" t="n">
        <v>44</v>
      </c>
      <c r="BK33" t="n">
        <v>104</v>
      </c>
      <c r="BL33" t="n">
        <v>82</v>
      </c>
      <c r="BM33" t="n">
        <v>43</v>
      </c>
      <c r="BN33" t="n">
        <v>84</v>
      </c>
      <c r="BO33" t="n">
        <v>45</v>
      </c>
      <c r="BP33" t="n">
        <v>42</v>
      </c>
      <c r="BQ33" t="n">
        <v>134</v>
      </c>
      <c r="BR33" t="n">
        <v>102</v>
      </c>
      <c r="BS33" t="n">
        <v>16</v>
      </c>
      <c r="BT33" t="n">
        <v>18</v>
      </c>
      <c r="BU33" t="n">
        <v>29</v>
      </c>
      <c r="BV33" t="n">
        <v>23</v>
      </c>
      <c r="BW33" t="n">
        <v>41</v>
      </c>
      <c r="BX33" t="n">
        <v>164</v>
      </c>
      <c r="BY33" t="n">
        <v>166</v>
      </c>
      <c r="BZ33" t="n">
        <v>138</v>
      </c>
      <c r="CA33" t="n">
        <v>14</v>
      </c>
      <c r="CB33" t="n">
        <v>72</v>
      </c>
      <c r="CC33" t="n">
        <v>32</v>
      </c>
      <c r="CD33" t="n">
        <v>18</v>
      </c>
      <c r="CE33" t="n">
        <v>31</v>
      </c>
      <c r="CF33" t="n">
        <v>44</v>
      </c>
      <c r="CG33" t="n">
        <v>51</v>
      </c>
      <c r="CH33" t="n">
        <v>7</v>
      </c>
      <c r="CI33" t="n">
        <v>79</v>
      </c>
      <c r="CJ33" t="n">
        <v>59</v>
      </c>
      <c r="CK33" t="n">
        <v>7</v>
      </c>
      <c r="CL33" t="n">
        <v>72</v>
      </c>
      <c r="CM33" t="n">
        <v>15</v>
      </c>
      <c r="CN33" t="n">
        <v>4</v>
      </c>
      <c r="CO33" t="n">
        <v>51</v>
      </c>
      <c r="CP33" t="n">
        <v>8</v>
      </c>
      <c r="CQ33" t="n">
        <v>54</v>
      </c>
      <c r="CR33" t="n">
        <v>14</v>
      </c>
      <c r="CS33" t="n">
        <v>33</v>
      </c>
      <c r="CT33" t="n">
        <v>28</v>
      </c>
      <c r="CU33" t="n">
        <v>19</v>
      </c>
      <c r="CV33" t="n">
        <v>38</v>
      </c>
      <c r="CW33" t="n">
        <v>33</v>
      </c>
      <c r="CX33" t="n">
        <v>12</v>
      </c>
      <c r="CY33" t="n">
        <v>27</v>
      </c>
      <c r="CZ33" t="n">
        <v>59</v>
      </c>
      <c r="DA33" t="n">
        <v>11</v>
      </c>
      <c r="DB33" t="n">
        <v>54</v>
      </c>
      <c r="DC33" t="n">
        <v>52</v>
      </c>
      <c r="DD33" t="n">
        <v>11</v>
      </c>
      <c r="DE33" t="n">
        <v>11</v>
      </c>
      <c r="DF33" t="n">
        <v>5</v>
      </c>
      <c r="DG33" t="n">
        <v>51</v>
      </c>
      <c r="DH33" t="n">
        <v>35</v>
      </c>
      <c r="DI33" t="n">
        <v>0</v>
      </c>
      <c r="DJ33" t="n">
        <v>0</v>
      </c>
      <c r="DK33" t="n">
        <v>3</v>
      </c>
      <c r="DL33" t="n">
        <v>0</v>
      </c>
      <c r="DM33" t="n">
        <v>16</v>
      </c>
      <c r="DN33" t="n">
        <v>1</v>
      </c>
      <c r="DO33" t="n">
        <v>232</v>
      </c>
      <c r="DP33" t="n">
        <v>18</v>
      </c>
      <c r="DQ33" t="n">
        <v>52</v>
      </c>
      <c r="DR33" t="n">
        <v>42</v>
      </c>
      <c r="DS33" t="n">
        <v>53</v>
      </c>
      <c r="DT33" t="n">
        <v>0</v>
      </c>
      <c r="DU33" t="n">
        <v>6</v>
      </c>
      <c r="DV33" t="n">
        <v>69</v>
      </c>
      <c r="DW33" t="n">
        <v>6</v>
      </c>
      <c r="DX33" t="n">
        <v>15</v>
      </c>
      <c r="DY33" t="n">
        <v>4</v>
      </c>
      <c r="DZ33" t="n">
        <v>10</v>
      </c>
      <c r="EA33" t="n">
        <v>0</v>
      </c>
      <c r="EB33" t="n">
        <v>0</v>
      </c>
      <c r="EC33" t="n">
        <v>1</v>
      </c>
      <c r="ED33" t="n">
        <v>14</v>
      </c>
      <c r="EE33" t="n">
        <v>0</v>
      </c>
      <c r="EF33" t="n">
        <v>22</v>
      </c>
      <c r="EG33" t="n">
        <v>8</v>
      </c>
      <c r="EH33" t="n">
        <v>9</v>
      </c>
      <c r="EI33" t="n">
        <v>15</v>
      </c>
      <c r="EJ33" t="n">
        <v>9</v>
      </c>
      <c r="EK33" t="n">
        <v>17</v>
      </c>
      <c r="EL33" t="n">
        <v>0</v>
      </c>
      <c r="EM33" t="n">
        <v>10</v>
      </c>
      <c r="EN33" t="n">
        <v>21</v>
      </c>
      <c r="EO33" t="n">
        <v>6</v>
      </c>
      <c r="EP33" t="n">
        <v>10</v>
      </c>
      <c r="EQ33" t="n">
        <v>13</v>
      </c>
      <c r="ER33" t="n">
        <v>125</v>
      </c>
      <c r="ES33" t="n">
        <v>9</v>
      </c>
      <c r="ET33" t="n">
        <v>18</v>
      </c>
      <c r="EU33" t="n">
        <v>13</v>
      </c>
      <c r="EV33" t="n">
        <v>0</v>
      </c>
      <c r="EW33" t="n">
        <v>15</v>
      </c>
      <c r="EX33" t="n">
        <v>97</v>
      </c>
      <c r="EY33" t="n">
        <v>31</v>
      </c>
      <c r="EZ33" t="n">
        <v>78</v>
      </c>
      <c r="FA33" t="n">
        <v>82</v>
      </c>
      <c r="FB33" t="n">
        <v>108</v>
      </c>
      <c r="FC33" t="n">
        <v>98</v>
      </c>
      <c r="FD33" t="n">
        <v>72</v>
      </c>
      <c r="FE33" t="n">
        <v>59</v>
      </c>
      <c r="FF33" t="n">
        <v>198</v>
      </c>
      <c r="FG33" t="n">
        <v>43</v>
      </c>
      <c r="FH33" t="n">
        <v>24</v>
      </c>
      <c r="FI33" t="n">
        <v>37</v>
      </c>
      <c r="FJ33" t="n">
        <v>26</v>
      </c>
      <c r="FK33" t="n">
        <v>88</v>
      </c>
      <c r="FL33" t="n">
        <v>11</v>
      </c>
      <c r="FM33" t="n">
        <v>14</v>
      </c>
      <c r="FN33" t="n">
        <v>7</v>
      </c>
      <c r="FO33" t="n">
        <v>6</v>
      </c>
      <c r="FP33" t="n">
        <v>27</v>
      </c>
      <c r="FQ33" t="n">
        <v>17</v>
      </c>
      <c r="FR33" t="n">
        <v>5</v>
      </c>
      <c r="FS33" t="n">
        <v>9</v>
      </c>
      <c r="FT33" t="n">
        <v>9</v>
      </c>
      <c r="FU33" t="n">
        <v>14</v>
      </c>
      <c r="FV33" t="n">
        <v>33</v>
      </c>
      <c r="FW33" t="n">
        <v>12</v>
      </c>
      <c r="FX33" t="n">
        <v>74</v>
      </c>
      <c r="FY33" t="n">
        <v>54</v>
      </c>
      <c r="FZ33" t="n">
        <v>14</v>
      </c>
      <c r="GA33" t="n">
        <v>12</v>
      </c>
      <c r="GB33" t="n">
        <v>14</v>
      </c>
      <c r="GC33" t="n">
        <v>14</v>
      </c>
      <c r="GD33" t="n">
        <v>18</v>
      </c>
      <c r="GE33" t="n">
        <v>1</v>
      </c>
      <c r="GF33" t="n">
        <v>7</v>
      </c>
      <c r="GG33" t="n">
        <v>30</v>
      </c>
      <c r="GH33" t="n">
        <v>56</v>
      </c>
      <c r="GI33" t="n">
        <v>45</v>
      </c>
      <c r="GJ33" t="n">
        <v>46</v>
      </c>
      <c r="GK33" t="n">
        <v>29</v>
      </c>
      <c r="GL33" t="n">
        <v>21</v>
      </c>
      <c r="GM33" t="n">
        <v>4</v>
      </c>
      <c r="GN33" t="n">
        <v>12</v>
      </c>
      <c r="GO33" t="n">
        <v>12</v>
      </c>
      <c r="GP33" t="n">
        <v>93</v>
      </c>
      <c r="GQ33" t="n">
        <v>61</v>
      </c>
      <c r="GR33" t="n">
        <v>68</v>
      </c>
      <c r="GS33" t="n">
        <v>52</v>
      </c>
      <c r="GT33" t="n">
        <v>47</v>
      </c>
      <c r="GU33" t="n">
        <v>101</v>
      </c>
      <c r="GV33" t="n">
        <v>30</v>
      </c>
      <c r="GW33" t="n">
        <v>102</v>
      </c>
      <c r="GX33" t="n">
        <v>241</v>
      </c>
      <c r="GY33" t="n">
        <v>33</v>
      </c>
      <c r="GZ33" t="n">
        <v>120</v>
      </c>
      <c r="HA33" t="n">
        <v>53</v>
      </c>
      <c r="HB33" t="n">
        <v>81</v>
      </c>
      <c r="HC33" t="n">
        <v>15</v>
      </c>
      <c r="HD33" t="n">
        <v>15</v>
      </c>
      <c r="HE33" t="n">
        <v>39</v>
      </c>
      <c r="HF33" t="n">
        <v>62</v>
      </c>
      <c r="HG33" t="n">
        <v>87</v>
      </c>
      <c r="HH33" t="n">
        <v>32</v>
      </c>
      <c r="HI33" t="n">
        <v>25</v>
      </c>
      <c r="HJ33" t="n">
        <v>15</v>
      </c>
      <c r="HK33" t="n">
        <v>68</v>
      </c>
      <c r="HL33" t="n">
        <v>10</v>
      </c>
      <c r="HM33" t="n">
        <v>32</v>
      </c>
      <c r="HN33" t="n">
        <v>18</v>
      </c>
      <c r="HO33" t="n">
        <v>10</v>
      </c>
      <c r="HP33" t="n">
        <v>5</v>
      </c>
      <c r="HQ33" t="n">
        <v>12</v>
      </c>
      <c r="HR33" t="n">
        <v>1</v>
      </c>
      <c r="HS33" t="n">
        <v>3</v>
      </c>
      <c r="HT33" t="n">
        <v>74</v>
      </c>
      <c r="HU33" t="n">
        <v>145</v>
      </c>
      <c r="HV33" t="n">
        <v>275</v>
      </c>
      <c r="HW33" t="n">
        <v>299</v>
      </c>
      <c r="HX33" t="n">
        <v>56</v>
      </c>
      <c r="HY33" t="n">
        <v>13</v>
      </c>
      <c r="HZ33" t="n">
        <v>26</v>
      </c>
      <c r="IA33" t="n">
        <v>15</v>
      </c>
      <c r="IB33" t="n">
        <v>284</v>
      </c>
      <c r="IC33" t="n">
        <v>11</v>
      </c>
      <c r="ID33" t="n">
        <v>9096</v>
      </c>
      <c r="IE33" t="n">
        <v>68</v>
      </c>
      <c r="IF33" t="n">
        <v>34</v>
      </c>
      <c r="IG33" t="n">
        <v>81</v>
      </c>
      <c r="IH33" t="n">
        <v>241</v>
      </c>
      <c r="II33" t="n">
        <v>70</v>
      </c>
      <c r="IJ33" t="n">
        <v>28</v>
      </c>
      <c r="IK33" t="n">
        <v>189</v>
      </c>
      <c r="IL33" t="n">
        <v>456</v>
      </c>
      <c r="IM33" t="n">
        <v>331</v>
      </c>
      <c r="IN33" t="n">
        <v>38</v>
      </c>
      <c r="IO33" t="n">
        <v>27</v>
      </c>
      <c r="IP33" t="n">
        <v>141</v>
      </c>
      <c r="IQ33" t="n">
        <v>12</v>
      </c>
      <c r="IR33" t="n">
        <v>77</v>
      </c>
      <c r="IS33" t="n">
        <v>79</v>
      </c>
      <c r="IT33" t="n">
        <v>24</v>
      </c>
      <c r="IU33" t="n">
        <v>28</v>
      </c>
      <c r="IV33" t="n">
        <v>21</v>
      </c>
      <c r="IW33" t="n">
        <v>69</v>
      </c>
      <c r="IX33" t="n">
        <v>37</v>
      </c>
      <c r="IY33" t="n">
        <v>6</v>
      </c>
      <c r="IZ33" t="n">
        <v>114</v>
      </c>
      <c r="JA33" t="n">
        <v>112</v>
      </c>
      <c r="JB33" t="n">
        <v>63</v>
      </c>
      <c r="JC33" t="n">
        <v>11</v>
      </c>
      <c r="JD33" t="n">
        <v>26</v>
      </c>
      <c r="JE33" t="n">
        <v>21</v>
      </c>
      <c r="JF33" t="n">
        <v>45</v>
      </c>
      <c r="JG33" t="n">
        <v>290</v>
      </c>
      <c r="JH33" t="n">
        <v>65</v>
      </c>
      <c r="JI33" t="n">
        <v>12</v>
      </c>
      <c r="JJ33" t="n">
        <v>40</v>
      </c>
      <c r="JK33" t="n">
        <v>518</v>
      </c>
      <c r="JL33" t="n">
        <v>171</v>
      </c>
      <c r="JM33" t="n">
        <v>306</v>
      </c>
      <c r="JN33" t="n">
        <v>446</v>
      </c>
      <c r="JO33" t="n">
        <v>525</v>
      </c>
      <c r="JP33" t="n">
        <v>137</v>
      </c>
      <c r="JQ33" t="n">
        <v>284</v>
      </c>
      <c r="JR33" t="n">
        <v>200</v>
      </c>
      <c r="JS33" t="n">
        <v>693</v>
      </c>
      <c r="JT33" t="n">
        <v>83</v>
      </c>
      <c r="JV33" t="n">
        <v>1383</v>
      </c>
      <c r="JW33" t="n">
        <v>911</v>
      </c>
      <c r="JX33" t="n">
        <v>1876</v>
      </c>
      <c r="JY33" t="n">
        <v>506</v>
      </c>
      <c r="JZ33" t="n">
        <v>293</v>
      </c>
      <c r="KA33" t="n">
        <v>1348</v>
      </c>
      <c r="KB33" t="n">
        <v>410</v>
      </c>
      <c r="KC33" t="n">
        <v>288</v>
      </c>
      <c r="KD33" t="n">
        <v>526</v>
      </c>
      <c r="KE33" t="n">
        <v>227</v>
      </c>
      <c r="KF33" t="n">
        <v>2394</v>
      </c>
      <c r="KG33" t="n">
        <v>68</v>
      </c>
      <c r="KH33" t="n">
        <v>561</v>
      </c>
      <c r="KI33" t="n">
        <v>313</v>
      </c>
      <c r="KJ33" t="n">
        <v>470</v>
      </c>
      <c r="KK33" t="n">
        <v>965</v>
      </c>
      <c r="KL33" t="n">
        <v>344</v>
      </c>
      <c r="KM33" t="n">
        <v>813</v>
      </c>
      <c r="KN33" t="n">
        <v>19</v>
      </c>
      <c r="KO33" t="n">
        <v>16</v>
      </c>
      <c r="KP33" t="n">
        <v>29</v>
      </c>
      <c r="KQ33" t="n">
        <v>3</v>
      </c>
      <c r="KR33" t="n">
        <v>67</v>
      </c>
      <c r="KS33" t="n">
        <v>106</v>
      </c>
      <c r="KT33" t="n">
        <v>2</v>
      </c>
      <c r="KU33" t="n">
        <v>30</v>
      </c>
      <c r="KV33" t="n">
        <v>21</v>
      </c>
      <c r="KW33" t="n">
        <v>513</v>
      </c>
      <c r="KX33" t="n">
        <v>1611</v>
      </c>
      <c r="KY33" t="n">
        <v>162</v>
      </c>
      <c r="KZ33" t="n">
        <v>184</v>
      </c>
      <c r="LA33" t="n">
        <v>368</v>
      </c>
      <c r="LB33" t="n">
        <v>1</v>
      </c>
      <c r="LC33" t="n">
        <v>850</v>
      </c>
      <c r="LD33" t="n">
        <v>5080</v>
      </c>
      <c r="LE33" t="n">
        <v>929</v>
      </c>
      <c r="LF33" t="n">
        <v>360</v>
      </c>
      <c r="LG33" t="n">
        <v>205</v>
      </c>
      <c r="LH33" t="n">
        <v>74</v>
      </c>
      <c r="LI33" t="n">
        <v>385</v>
      </c>
      <c r="LJ33" t="n">
        <v>103</v>
      </c>
      <c r="LK33" t="n">
        <v>0</v>
      </c>
      <c r="LL33" t="n">
        <v>0</v>
      </c>
      <c r="LM33" t="n">
        <v>43151</v>
      </c>
      <c r="LN33" t="n">
        <v>95</v>
      </c>
      <c r="LO33" t="n">
        <v>426</v>
      </c>
      <c r="LP33" t="n">
        <v>116</v>
      </c>
      <c r="LR33" t="n">
        <v>177</v>
      </c>
      <c r="LS33" t="n">
        <v>19</v>
      </c>
      <c r="LT33" t="n">
        <v>35</v>
      </c>
      <c r="LU33" t="n">
        <v>5</v>
      </c>
      <c r="LV33" t="n">
        <v>123</v>
      </c>
      <c r="LW33" t="n">
        <v>687</v>
      </c>
      <c r="LX33" t="n">
        <v>37</v>
      </c>
      <c r="LY33" t="n">
        <v>9</v>
      </c>
      <c r="LZ33" t="n">
        <v>357</v>
      </c>
      <c r="MA33" t="n">
        <v>39</v>
      </c>
      <c r="MB33" t="n">
        <v>59</v>
      </c>
      <c r="MC33" t="n">
        <v>24</v>
      </c>
      <c r="MD33" t="n">
        <v>76</v>
      </c>
      <c r="ME33" t="n">
        <v>139</v>
      </c>
      <c r="MF33" t="n">
        <v>737</v>
      </c>
      <c r="MG33" t="n">
        <v>69</v>
      </c>
      <c r="MH33" t="n">
        <v>183</v>
      </c>
      <c r="MI33" t="n">
        <v>29</v>
      </c>
      <c r="MJ33" t="n">
        <v>305</v>
      </c>
      <c r="MK33" t="n">
        <v>36</v>
      </c>
      <c r="ML33" t="n">
        <v>80</v>
      </c>
      <c r="MM33" t="n">
        <v>46</v>
      </c>
      <c r="MN33" t="n">
        <v>51</v>
      </c>
      <c r="MO33" t="n">
        <v>130</v>
      </c>
      <c r="MP33" t="n">
        <v>24</v>
      </c>
      <c r="MQ33" t="n">
        <v>1696</v>
      </c>
      <c r="MR33" t="n">
        <v>270</v>
      </c>
      <c r="MS33" t="n">
        <v>257</v>
      </c>
      <c r="MT33" t="n">
        <v>52</v>
      </c>
      <c r="MU33" t="n">
        <v>49</v>
      </c>
      <c r="MV33" t="n">
        <v>295</v>
      </c>
      <c r="MW33" t="n">
        <v>25</v>
      </c>
      <c r="MX33" t="n">
        <v>17</v>
      </c>
      <c r="MY33" t="n">
        <v>22</v>
      </c>
      <c r="MZ33" t="n">
        <v>1110</v>
      </c>
      <c r="NA33" t="n">
        <v>423</v>
      </c>
      <c r="NB33" t="n">
        <v>158</v>
      </c>
      <c r="NC33" t="n">
        <v>130</v>
      </c>
      <c r="ND33" t="n">
        <v>281</v>
      </c>
      <c r="NE33" t="n">
        <v>68</v>
      </c>
      <c r="NF33" t="n">
        <v>9</v>
      </c>
      <c r="NG33" t="n">
        <v>31</v>
      </c>
      <c r="NH33" t="n">
        <v>5</v>
      </c>
      <c r="NI33" t="n">
        <v>75</v>
      </c>
      <c r="NJ33" t="n">
        <v>92</v>
      </c>
      <c r="NK33" t="n">
        <v>70</v>
      </c>
      <c r="NL33" t="n">
        <v>100</v>
      </c>
      <c r="NM33" t="n">
        <v>313</v>
      </c>
      <c r="NN33" t="n">
        <v>2809</v>
      </c>
      <c r="NO33" t="n">
        <v>668</v>
      </c>
      <c r="NP33" t="n">
        <v>887</v>
      </c>
      <c r="NQ33" t="n">
        <v>119</v>
      </c>
      <c r="NR33" t="n">
        <v>343</v>
      </c>
      <c r="NS33" t="n">
        <v>37</v>
      </c>
      <c r="NT33" t="n">
        <v>101</v>
      </c>
      <c r="NU33" t="n">
        <v>35</v>
      </c>
      <c r="NV33" t="n">
        <v>324</v>
      </c>
      <c r="NW33" t="n">
        <v>35</v>
      </c>
      <c r="NX33" t="n">
        <v>98</v>
      </c>
      <c r="NY33" t="n">
        <v>100</v>
      </c>
      <c r="NZ33" t="n">
        <v>1124</v>
      </c>
      <c r="OA33" t="n">
        <v>80</v>
      </c>
      <c r="OB33" t="n">
        <v>1043</v>
      </c>
      <c r="OD33" t="n">
        <v>6137</v>
      </c>
      <c r="OE33" t="n">
        <v>362</v>
      </c>
      <c r="OF33" t="n">
        <v>10</v>
      </c>
      <c r="OG33" t="n">
        <v>530</v>
      </c>
      <c r="OI33" t="n">
        <v>9603</v>
      </c>
      <c r="OJ33" t="n">
        <v>4506</v>
      </c>
      <c r="OK33" t="n">
        <v>17479</v>
      </c>
      <c r="OL33" t="n">
        <v>2</v>
      </c>
      <c r="OM33" t="n">
        <v>92</v>
      </c>
      <c r="ON33" t="n">
        <v>41262</v>
      </c>
      <c r="OO33" t="n">
        <v>204348</v>
      </c>
      <c r="OV33" t="n">
        <v>81</v>
      </c>
      <c r="PI33" t="n">
        <v>204428</v>
      </c>
      <c r="PM33">
        <f>IFERROR(VLOOKUP($A33&amp;"",Key!$A:$C,3,FALSE),"")</f>
        <v/>
      </c>
    </row>
    <row r="34">
      <c r="A34" t="n">
        <v>230302</v>
      </c>
      <c r="B34" t="inlineStr">
        <is>
          <t>Residential maintenance and repair</t>
        </is>
      </c>
      <c r="LK34" t="n">
        <v>71972</v>
      </c>
      <c r="LL34" t="n">
        <v>3791</v>
      </c>
      <c r="OD34" t="n">
        <v>1597</v>
      </c>
      <c r="OE34" t="n">
        <v>124</v>
      </c>
      <c r="ON34" t="n">
        <v>6966</v>
      </c>
      <c r="OO34" t="n">
        <v>84450</v>
      </c>
      <c r="OV34" t="n">
        <v>18</v>
      </c>
      <c r="PI34" t="n">
        <v>84468</v>
      </c>
      <c r="PM34">
        <f>IFERROR(VLOOKUP($A34&amp;"",Key!$A:$C,3,FALSE),"")</f>
        <v/>
      </c>
    </row>
    <row r="35">
      <c r="A35" t="inlineStr">
        <is>
          <t>2332A0</t>
        </is>
      </c>
      <c r="B35" t="inlineStr">
        <is>
          <t>Office and commercial structures</t>
        </is>
      </c>
      <c r="OT35" t="n">
        <v>143467</v>
      </c>
      <c r="OZ35" t="n">
        <v>1421</v>
      </c>
      <c r="PD35" t="n">
        <v>2352</v>
      </c>
      <c r="PH35" t="n">
        <v>22145</v>
      </c>
      <c r="PI35" t="n">
        <v>169386</v>
      </c>
      <c r="PM35">
        <f>IFERROR(VLOOKUP($A35&amp;"",Key!$A:$C,3,FALSE),"")</f>
        <v/>
      </c>
    </row>
    <row r="36">
      <c r="A36" t="n">
        <v>233412</v>
      </c>
      <c r="B36" t="inlineStr">
        <is>
          <t>Multifamily residential structures</t>
        </is>
      </c>
      <c r="OS36" t="n">
        <v>74011</v>
      </c>
      <c r="OZ36" t="n">
        <v>610</v>
      </c>
      <c r="PH36" t="n">
        <v>5151</v>
      </c>
      <c r="PI36" t="n">
        <v>79772</v>
      </c>
      <c r="PM36">
        <f>IFERROR(VLOOKUP($A36&amp;"",Key!$A:$C,3,FALSE),"")</f>
        <v/>
      </c>
    </row>
    <row r="37">
      <c r="A37" t="inlineStr">
        <is>
          <t>2334A0</t>
        </is>
      </c>
      <c r="B37" t="inlineStr">
        <is>
          <t>Other residential structures</t>
        </is>
      </c>
      <c r="OD37" t="n">
        <v>2104</v>
      </c>
      <c r="OE37" t="n">
        <v>165</v>
      </c>
      <c r="ON37" t="n">
        <v>3526</v>
      </c>
      <c r="OO37" t="n">
        <v>5795</v>
      </c>
      <c r="OS37" t="n">
        <v>242834</v>
      </c>
      <c r="OZ37" t="n">
        <v>65</v>
      </c>
      <c r="PH37" t="n">
        <v>3601</v>
      </c>
      <c r="PI37" t="n">
        <v>252295</v>
      </c>
      <c r="PM37">
        <f>IFERROR(VLOOKUP($A37&amp;"",Key!$A:$C,3,FALSE),"")</f>
        <v/>
      </c>
    </row>
    <row r="38">
      <c r="A38" t="n">
        <v>233230</v>
      </c>
      <c r="B38" t="inlineStr">
        <is>
          <t>Manufacturing structures</t>
        </is>
      </c>
      <c r="OT38" t="n">
        <v>69970</v>
      </c>
      <c r="OZ38" t="n">
        <v>401</v>
      </c>
      <c r="PD38" t="n">
        <v>296</v>
      </c>
      <c r="PH38" t="n">
        <v>1</v>
      </c>
      <c r="PI38" t="n">
        <v>70668</v>
      </c>
      <c r="PM38">
        <f>IFERROR(VLOOKUP($A38&amp;"",Key!$A:$C,3,FALSE),"")</f>
        <v/>
      </c>
    </row>
    <row r="39">
      <c r="A39" t="inlineStr">
        <is>
          <t>2332D0</t>
        </is>
      </c>
      <c r="B39" t="inlineStr">
        <is>
          <t>Other nonresidential structures</t>
        </is>
      </c>
      <c r="OT39" t="n">
        <v>66380</v>
      </c>
      <c r="OZ39" t="n">
        <v>2103</v>
      </c>
      <c r="PD39" t="n">
        <v>4990</v>
      </c>
      <c r="PH39" t="n">
        <v>49737</v>
      </c>
      <c r="PI39" t="n">
        <v>123210</v>
      </c>
      <c r="PM39">
        <f>IFERROR(VLOOKUP($A39&amp;"",Key!$A:$C,3,FALSE),"")</f>
        <v/>
      </c>
    </row>
    <row r="40">
      <c r="A40" t="n">
        <v>233240</v>
      </c>
      <c r="B40" t="inlineStr">
        <is>
          <t>Power and communication structures</t>
        </is>
      </c>
      <c r="OT40" t="n">
        <v>113346</v>
      </c>
      <c r="OZ40" t="n">
        <v>62</v>
      </c>
      <c r="PD40" t="n">
        <v>714</v>
      </c>
      <c r="PH40" t="n">
        <v>9507</v>
      </c>
      <c r="PI40" t="n">
        <v>123629</v>
      </c>
      <c r="PM40">
        <f>IFERROR(VLOOKUP($A40&amp;"",Key!$A:$C,3,FALSE),"")</f>
        <v/>
      </c>
    </row>
    <row r="41">
      <c r="A41" t="n">
        <v>233411</v>
      </c>
      <c r="B41" t="inlineStr">
        <is>
          <t>Single-family residential structures</t>
        </is>
      </c>
      <c r="OS41" t="n">
        <v>270163</v>
      </c>
      <c r="OZ41" t="n">
        <v>26</v>
      </c>
      <c r="PH41" t="n">
        <v>281</v>
      </c>
      <c r="PI41" t="n">
        <v>270471</v>
      </c>
      <c r="PM41">
        <f>IFERROR(VLOOKUP($A41&amp;"",Key!$A:$C,3,FALSE),"")</f>
        <v/>
      </c>
    </row>
    <row r="42">
      <c r="A42" t="inlineStr">
        <is>
          <t>2332C0</t>
        </is>
      </c>
      <c r="B42" t="inlineStr">
        <is>
          <t>Transportation structures and highways and streets</t>
        </is>
      </c>
      <c r="OT42" t="n">
        <v>14795</v>
      </c>
      <c r="OZ42" t="n">
        <v>871</v>
      </c>
      <c r="PD42" t="n">
        <v>2183</v>
      </c>
      <c r="PH42" t="n">
        <v>125205</v>
      </c>
      <c r="PI42" t="n">
        <v>143054</v>
      </c>
      <c r="PM42">
        <f>IFERROR(VLOOKUP($A42&amp;"",Key!$A:$C,3,FALSE),"")</f>
        <v/>
      </c>
    </row>
    <row r="43">
      <c r="A43" t="n">
        <v>321100</v>
      </c>
      <c r="B43" t="inlineStr">
        <is>
          <t>Sawmills and wood preservation</t>
        </is>
      </c>
      <c r="I43" t="n">
        <v>4</v>
      </c>
      <c r="L43" t="n">
        <v>1</v>
      </c>
      <c r="N43" t="n">
        <v>1</v>
      </c>
      <c r="Q43" t="n">
        <v>9</v>
      </c>
      <c r="R43" t="n">
        <v>0</v>
      </c>
      <c r="S43" t="n">
        <v>3</v>
      </c>
      <c r="V43" t="n">
        <v>3</v>
      </c>
      <c r="W43" t="n">
        <v>5</v>
      </c>
      <c r="Z43" t="n">
        <v>0</v>
      </c>
      <c r="AA43" t="n">
        <v>608</v>
      </c>
      <c r="AB43" t="n">
        <v>2719</v>
      </c>
      <c r="AC43" t="n">
        <v>2740</v>
      </c>
      <c r="AD43" t="n">
        <v>479</v>
      </c>
      <c r="AE43" t="n">
        <v>1576</v>
      </c>
      <c r="AF43" t="n">
        <v>471</v>
      </c>
      <c r="AG43" t="n">
        <v>1772</v>
      </c>
      <c r="AH43" t="n">
        <v>200</v>
      </c>
      <c r="AI43" t="n">
        <v>1176</v>
      </c>
      <c r="AJ43" t="n">
        <v>418</v>
      </c>
      <c r="AK43" t="n">
        <v>2352</v>
      </c>
      <c r="AL43" t="n">
        <v>1037</v>
      </c>
      <c r="AM43" t="n">
        <v>6418</v>
      </c>
      <c r="AN43" t="n">
        <v>3072</v>
      </c>
      <c r="AO43" t="n">
        <v>5415</v>
      </c>
      <c r="AP43" t="n">
        <v>5263</v>
      </c>
      <c r="AQ43" t="n">
        <v>3</v>
      </c>
      <c r="AU43" t="n">
        <v>2</v>
      </c>
      <c r="AV43" t="n">
        <v>14</v>
      </c>
      <c r="AW43" t="n">
        <v>0</v>
      </c>
      <c r="BA43" t="n">
        <v>1</v>
      </c>
      <c r="BB43" t="n">
        <v>1</v>
      </c>
      <c r="BK43" t="n">
        <v>5</v>
      </c>
      <c r="CE43" t="n">
        <v>16</v>
      </c>
      <c r="CF43" t="n">
        <v>4</v>
      </c>
      <c r="CZ43" t="n">
        <v>90</v>
      </c>
      <c r="ET43" t="n">
        <v>208</v>
      </c>
      <c r="EU43" t="n">
        <v>48</v>
      </c>
      <c r="EV43" t="n">
        <v>0</v>
      </c>
      <c r="EW43" t="n">
        <v>94</v>
      </c>
      <c r="FA43" t="n">
        <v>2</v>
      </c>
      <c r="FC43" t="n">
        <v>93</v>
      </c>
      <c r="FD43" t="n">
        <v>116</v>
      </c>
      <c r="FK43" t="n">
        <v>57</v>
      </c>
      <c r="FL43" t="n">
        <v>38</v>
      </c>
      <c r="FN43" t="n">
        <v>4</v>
      </c>
      <c r="FP43" t="n">
        <v>1146</v>
      </c>
      <c r="FQ43" t="n">
        <v>421</v>
      </c>
      <c r="FR43" t="n">
        <v>323</v>
      </c>
      <c r="FS43" t="n">
        <v>180</v>
      </c>
      <c r="FT43" t="n">
        <v>26</v>
      </c>
      <c r="FU43" t="n">
        <v>182</v>
      </c>
      <c r="FV43" t="n">
        <v>1033</v>
      </c>
      <c r="GD43" t="n">
        <v>163</v>
      </c>
      <c r="GE43" t="n">
        <v>19</v>
      </c>
      <c r="GF43" t="n">
        <v>65</v>
      </c>
      <c r="GG43" t="n">
        <v>87</v>
      </c>
      <c r="GH43" t="n">
        <v>206</v>
      </c>
      <c r="HK43" t="n">
        <v>7</v>
      </c>
      <c r="HT43" t="n">
        <v>873</v>
      </c>
      <c r="HU43" t="n">
        <v>1714</v>
      </c>
      <c r="HV43" t="n">
        <v>2391</v>
      </c>
      <c r="II43" t="n">
        <v>28</v>
      </c>
      <c r="IL43" t="n">
        <v>171</v>
      </c>
      <c r="JG43" t="n">
        <v>169</v>
      </c>
      <c r="JK43" t="n">
        <v>8</v>
      </c>
      <c r="JL43" t="n">
        <v>3</v>
      </c>
      <c r="JM43" t="n">
        <v>1</v>
      </c>
      <c r="JN43" t="n">
        <v>1</v>
      </c>
      <c r="JO43" t="n">
        <v>35</v>
      </c>
      <c r="JR43" t="n">
        <v>0</v>
      </c>
      <c r="JT43" t="n">
        <v>0</v>
      </c>
      <c r="JY43" t="n">
        <v>1</v>
      </c>
      <c r="KB43" t="n">
        <v>1</v>
      </c>
      <c r="KC43" t="n">
        <v>0</v>
      </c>
      <c r="KD43" t="n">
        <v>2</v>
      </c>
      <c r="KF43" t="n">
        <v>2377</v>
      </c>
      <c r="KS43" t="n">
        <v>18</v>
      </c>
      <c r="KW43" t="n">
        <v>18</v>
      </c>
      <c r="KX43" t="n">
        <v>114</v>
      </c>
      <c r="KZ43" t="n">
        <v>27</v>
      </c>
      <c r="LK43" t="n">
        <v>5</v>
      </c>
      <c r="LL43" t="n">
        <v>4</v>
      </c>
      <c r="LO43" t="n">
        <v>127</v>
      </c>
      <c r="LW43" t="n">
        <v>194</v>
      </c>
      <c r="LZ43" t="n">
        <v>66</v>
      </c>
      <c r="MF43" t="n">
        <v>3</v>
      </c>
      <c r="MH43" t="n">
        <v>3</v>
      </c>
      <c r="MK43" t="n">
        <v>8</v>
      </c>
      <c r="MN43" t="n">
        <v>10</v>
      </c>
      <c r="MO43" t="n">
        <v>5</v>
      </c>
      <c r="MQ43" t="n">
        <v>2</v>
      </c>
      <c r="MR43" t="n">
        <v>0</v>
      </c>
      <c r="MS43" t="n">
        <v>245</v>
      </c>
      <c r="MT43" t="n">
        <v>1</v>
      </c>
      <c r="MV43" t="n">
        <v>9</v>
      </c>
      <c r="MY43" t="n">
        <v>3</v>
      </c>
      <c r="MZ43" t="n">
        <v>54</v>
      </c>
      <c r="NC43" t="n">
        <v>5</v>
      </c>
      <c r="ND43" t="n">
        <v>32</v>
      </c>
      <c r="NE43" t="n">
        <v>123</v>
      </c>
      <c r="NF43" t="n">
        <v>5</v>
      </c>
      <c r="NK43" t="n">
        <v>2</v>
      </c>
      <c r="NL43" t="n">
        <v>12</v>
      </c>
      <c r="NM43" t="n">
        <v>59</v>
      </c>
      <c r="NN43" t="n">
        <v>12</v>
      </c>
      <c r="NO43" t="n">
        <v>28</v>
      </c>
      <c r="NP43" t="n">
        <v>5</v>
      </c>
      <c r="NQ43" t="n">
        <v>2</v>
      </c>
      <c r="NU43" t="n">
        <v>30</v>
      </c>
      <c r="NZ43" t="n">
        <v>25</v>
      </c>
      <c r="OB43" t="n">
        <v>42</v>
      </c>
      <c r="OD43" t="n">
        <v>2</v>
      </c>
      <c r="OE43" t="n">
        <v>20</v>
      </c>
      <c r="OI43" t="n">
        <v>49</v>
      </c>
      <c r="OK43" t="n">
        <v>77</v>
      </c>
      <c r="OM43" t="n">
        <v>1</v>
      </c>
      <c r="ON43" t="n">
        <v>146</v>
      </c>
      <c r="OO43" t="n">
        <v>49764</v>
      </c>
      <c r="OU43" t="n">
        <v>-51</v>
      </c>
      <c r="OV43" t="n">
        <v>4467</v>
      </c>
      <c r="PI43" t="n">
        <v>54181</v>
      </c>
      <c r="PM43">
        <f>IFERROR(VLOOKUP($A43&amp;"",Key!$A:$C,3,FALSE),"")</f>
        <v/>
      </c>
    </row>
    <row r="44">
      <c r="A44" t="n">
        <v>321200</v>
      </c>
      <c r="B44" t="inlineStr">
        <is>
          <t>Veneer, plywood, and engineered wood product manufacturing</t>
        </is>
      </c>
      <c r="Z44" t="n">
        <v>0</v>
      </c>
      <c r="AA44" t="n">
        <v>815</v>
      </c>
      <c r="AB44" t="n">
        <v>2532</v>
      </c>
      <c r="AC44" t="n">
        <v>2227</v>
      </c>
      <c r="AD44" t="n">
        <v>1154</v>
      </c>
      <c r="AE44" t="n">
        <v>2593</v>
      </c>
      <c r="AF44" t="n">
        <v>1278</v>
      </c>
      <c r="AG44" t="n">
        <v>4693</v>
      </c>
      <c r="AH44" t="n">
        <v>720</v>
      </c>
      <c r="AI44" t="n">
        <v>1174</v>
      </c>
      <c r="AJ44" t="n">
        <v>668</v>
      </c>
      <c r="AK44" t="n">
        <v>4990</v>
      </c>
      <c r="AL44" t="n">
        <v>1876</v>
      </c>
      <c r="AN44" t="n">
        <v>3509</v>
      </c>
      <c r="AO44" t="n">
        <v>1197</v>
      </c>
      <c r="AP44" t="n">
        <v>792</v>
      </c>
      <c r="AQ44" t="n">
        <v>8</v>
      </c>
      <c r="CQ44" t="n">
        <v>3</v>
      </c>
      <c r="CR44" t="n">
        <v>0</v>
      </c>
      <c r="CZ44" t="n">
        <v>236</v>
      </c>
      <c r="DC44" t="n">
        <v>32</v>
      </c>
      <c r="EV44" t="n">
        <v>0</v>
      </c>
      <c r="EW44" t="n">
        <v>120</v>
      </c>
      <c r="FA44" t="n">
        <v>807</v>
      </c>
      <c r="FC44" t="n">
        <v>540</v>
      </c>
      <c r="FG44" t="n">
        <v>1</v>
      </c>
      <c r="FL44" t="n">
        <v>73</v>
      </c>
      <c r="FP44" t="n">
        <v>1419</v>
      </c>
      <c r="FQ44" t="n">
        <v>368</v>
      </c>
      <c r="FR44" t="n">
        <v>143</v>
      </c>
      <c r="FS44" t="n">
        <v>210</v>
      </c>
      <c r="FT44" t="n">
        <v>110</v>
      </c>
      <c r="FU44" t="n">
        <v>177</v>
      </c>
      <c r="FV44" t="n">
        <v>1247</v>
      </c>
      <c r="FY44" t="n">
        <v>361</v>
      </c>
      <c r="GF44" t="n">
        <v>7</v>
      </c>
      <c r="GG44" t="n">
        <v>160</v>
      </c>
      <c r="GH44" t="n">
        <v>92</v>
      </c>
      <c r="JB44" t="n">
        <v>14</v>
      </c>
      <c r="JF44" t="n">
        <v>3</v>
      </c>
      <c r="JG44" t="n">
        <v>655</v>
      </c>
      <c r="JK44" t="n">
        <v>0</v>
      </c>
      <c r="JL44" t="n">
        <v>4</v>
      </c>
      <c r="JM44" t="n">
        <v>1</v>
      </c>
      <c r="JN44" t="n">
        <v>1</v>
      </c>
      <c r="JO44" t="n">
        <v>5</v>
      </c>
      <c r="JR44" t="n">
        <v>0</v>
      </c>
      <c r="JT44" t="n">
        <v>0</v>
      </c>
      <c r="KB44" t="n">
        <v>11</v>
      </c>
      <c r="KC44" t="n">
        <v>0</v>
      </c>
      <c r="KD44" t="n">
        <v>4</v>
      </c>
      <c r="KO44" t="n">
        <v>0</v>
      </c>
      <c r="KP44" t="n">
        <v>0</v>
      </c>
      <c r="KQ44" t="n">
        <v>0</v>
      </c>
      <c r="KR44" t="n">
        <v>0</v>
      </c>
      <c r="KS44" t="n">
        <v>1</v>
      </c>
      <c r="KW44" t="n">
        <v>34</v>
      </c>
      <c r="KX44" t="n">
        <v>221</v>
      </c>
      <c r="KZ44" t="n">
        <v>396</v>
      </c>
      <c r="LK44" t="n">
        <v>6</v>
      </c>
      <c r="LL44" t="n">
        <v>4</v>
      </c>
      <c r="LO44" t="n">
        <v>177</v>
      </c>
      <c r="LZ44" t="n">
        <v>20</v>
      </c>
      <c r="MB44" t="n">
        <v>56</v>
      </c>
      <c r="MJ44" t="n">
        <v>205</v>
      </c>
      <c r="MQ44" t="n">
        <v>7</v>
      </c>
      <c r="MS44" t="n">
        <v>3</v>
      </c>
      <c r="MT44" t="n">
        <v>0</v>
      </c>
      <c r="MV44" t="n">
        <v>2</v>
      </c>
      <c r="MY44" t="n">
        <v>4</v>
      </c>
      <c r="MZ44" t="n">
        <v>160</v>
      </c>
      <c r="NC44" t="n">
        <v>50</v>
      </c>
      <c r="ND44" t="n">
        <v>78</v>
      </c>
      <c r="NE44" t="n">
        <v>227</v>
      </c>
      <c r="NF44" t="n">
        <v>1</v>
      </c>
      <c r="NM44" t="n">
        <v>76</v>
      </c>
      <c r="NN44" t="n">
        <v>1</v>
      </c>
      <c r="NO44" t="n">
        <v>276</v>
      </c>
      <c r="NP44" t="n">
        <v>16</v>
      </c>
      <c r="NQ44" t="n">
        <v>3</v>
      </c>
      <c r="NU44" t="n">
        <v>19</v>
      </c>
      <c r="NZ44" t="n">
        <v>21</v>
      </c>
      <c r="OB44" t="n">
        <v>91</v>
      </c>
      <c r="OE44" t="n">
        <v>3</v>
      </c>
      <c r="OI44" t="n">
        <v>980</v>
      </c>
      <c r="OJ44" t="n">
        <v>3</v>
      </c>
      <c r="OK44" t="n">
        <v>9</v>
      </c>
      <c r="ON44" t="n">
        <v>79</v>
      </c>
      <c r="OO44" t="n">
        <v>40258</v>
      </c>
      <c r="OU44" t="n">
        <v>66</v>
      </c>
      <c r="OV44" t="n">
        <v>1274</v>
      </c>
      <c r="PI44" t="n">
        <v>41599</v>
      </c>
      <c r="PM44">
        <f>IFERROR(VLOOKUP($A44&amp;"",Key!$A:$C,3,FALSE),"")</f>
        <v/>
      </c>
    </row>
    <row r="45">
      <c r="A45" t="n">
        <v>321910</v>
      </c>
      <c r="B45" t="inlineStr">
        <is>
          <t>Millwork</t>
        </is>
      </c>
      <c r="C45" t="n">
        <v>2</v>
      </c>
      <c r="H45" t="n">
        <v>28</v>
      </c>
      <c r="N45" t="n">
        <v>133</v>
      </c>
      <c r="R45" t="n">
        <v>0</v>
      </c>
      <c r="V45" t="n">
        <v>3</v>
      </c>
      <c r="W45" t="n">
        <v>5</v>
      </c>
      <c r="AA45" t="n">
        <v>447</v>
      </c>
      <c r="AB45" t="n">
        <v>568</v>
      </c>
      <c r="AC45" t="n">
        <v>2326</v>
      </c>
      <c r="AD45" t="n">
        <v>1272</v>
      </c>
      <c r="AE45" t="n">
        <v>2555</v>
      </c>
      <c r="AF45" t="n">
        <v>1905</v>
      </c>
      <c r="AG45" t="n">
        <v>4760</v>
      </c>
      <c r="AH45" t="n">
        <v>32</v>
      </c>
      <c r="AI45" t="n">
        <v>965</v>
      </c>
      <c r="AJ45" t="n">
        <v>187</v>
      </c>
      <c r="AK45" t="n">
        <v>2818</v>
      </c>
      <c r="AL45" t="n">
        <v>488</v>
      </c>
      <c r="AM45" t="n">
        <v>1</v>
      </c>
      <c r="AN45" t="n">
        <v>38</v>
      </c>
      <c r="AO45" t="n">
        <v>1840</v>
      </c>
      <c r="AP45" t="n">
        <v>179</v>
      </c>
      <c r="AQ45" t="n">
        <v>2</v>
      </c>
      <c r="AU45" t="n">
        <v>1</v>
      </c>
      <c r="AV45" t="n">
        <v>1</v>
      </c>
      <c r="AW45" t="n">
        <v>0</v>
      </c>
      <c r="AY45" t="n">
        <v>1</v>
      </c>
      <c r="BA45" t="n">
        <v>1</v>
      </c>
      <c r="BB45" t="n">
        <v>1</v>
      </c>
      <c r="BC45" t="n">
        <v>2</v>
      </c>
      <c r="BE45" t="n">
        <v>2</v>
      </c>
      <c r="BI45" t="n">
        <v>0</v>
      </c>
      <c r="BJ45" t="n">
        <v>1</v>
      </c>
      <c r="BK45" t="n">
        <v>1</v>
      </c>
      <c r="BP45" t="n">
        <v>0</v>
      </c>
      <c r="BW45" t="n">
        <v>2</v>
      </c>
      <c r="CB45" t="n">
        <v>1</v>
      </c>
      <c r="CL45" t="n">
        <v>56</v>
      </c>
      <c r="CZ45" t="n">
        <v>181</v>
      </c>
      <c r="DG45" t="n">
        <v>1</v>
      </c>
      <c r="DS45" t="n">
        <v>0</v>
      </c>
      <c r="EU45" t="n">
        <v>94</v>
      </c>
      <c r="EV45" t="n">
        <v>3</v>
      </c>
      <c r="EW45" t="n">
        <v>114</v>
      </c>
      <c r="FA45" t="n">
        <v>505</v>
      </c>
      <c r="FC45" t="n">
        <v>461</v>
      </c>
      <c r="FD45" t="n">
        <v>58</v>
      </c>
      <c r="FJ45" t="n">
        <v>23</v>
      </c>
      <c r="FK45" t="n">
        <v>91</v>
      </c>
      <c r="FP45" t="n">
        <v>381</v>
      </c>
      <c r="FQ45" t="n">
        <v>2</v>
      </c>
      <c r="FR45" t="n">
        <v>1</v>
      </c>
      <c r="FS45" t="n">
        <v>2</v>
      </c>
      <c r="FV45" t="n">
        <v>7</v>
      </c>
      <c r="FW45" t="n">
        <v>260</v>
      </c>
      <c r="GF45" t="n">
        <v>6</v>
      </c>
      <c r="GH45" t="n">
        <v>2</v>
      </c>
      <c r="GZ45" t="n">
        <v>0</v>
      </c>
      <c r="IB45" t="n">
        <v>0</v>
      </c>
      <c r="JG45" t="n">
        <v>325</v>
      </c>
      <c r="JK45" t="n">
        <v>3</v>
      </c>
      <c r="JL45" t="n">
        <v>3</v>
      </c>
      <c r="JM45" t="n">
        <v>1</v>
      </c>
      <c r="JN45" t="n">
        <v>1</v>
      </c>
      <c r="JO45" t="n">
        <v>517</v>
      </c>
      <c r="JR45" t="n">
        <v>0</v>
      </c>
      <c r="JT45" t="n">
        <v>0</v>
      </c>
      <c r="JV45" t="n">
        <v>0</v>
      </c>
      <c r="JX45" t="n">
        <v>23</v>
      </c>
      <c r="JY45" t="n">
        <v>12</v>
      </c>
      <c r="KB45" t="n">
        <v>7</v>
      </c>
      <c r="KC45" t="n">
        <v>43</v>
      </c>
      <c r="KD45" t="n">
        <v>15</v>
      </c>
      <c r="KF45" t="n">
        <v>306</v>
      </c>
      <c r="KN45" t="n">
        <v>15</v>
      </c>
      <c r="KO45" t="n">
        <v>0</v>
      </c>
      <c r="KP45" t="n">
        <v>13</v>
      </c>
      <c r="KQ45" t="n">
        <v>20</v>
      </c>
      <c r="KR45" t="n">
        <v>0</v>
      </c>
      <c r="KS45" t="n">
        <v>30</v>
      </c>
      <c r="KT45" t="n">
        <v>11</v>
      </c>
      <c r="KU45" t="n">
        <v>130</v>
      </c>
      <c r="KV45" t="n">
        <v>21</v>
      </c>
      <c r="KW45" t="n">
        <v>84</v>
      </c>
      <c r="KX45" t="n">
        <v>161</v>
      </c>
      <c r="KY45" t="n">
        <v>16</v>
      </c>
      <c r="KZ45" t="n">
        <v>349</v>
      </c>
      <c r="LA45" t="n">
        <v>95</v>
      </c>
      <c r="LB45" t="n">
        <v>0</v>
      </c>
      <c r="LK45" t="n">
        <v>12</v>
      </c>
      <c r="LL45" t="n">
        <v>6</v>
      </c>
      <c r="LM45" t="n">
        <v>7362</v>
      </c>
      <c r="LN45" t="n">
        <v>2</v>
      </c>
      <c r="LO45" t="n">
        <v>57</v>
      </c>
      <c r="LR45" t="n">
        <v>0</v>
      </c>
      <c r="LW45" t="n">
        <v>144</v>
      </c>
      <c r="LZ45" t="n">
        <v>138</v>
      </c>
      <c r="MB45" t="n">
        <v>246</v>
      </c>
      <c r="MD45" t="n">
        <v>0</v>
      </c>
      <c r="MF45" t="n">
        <v>3</v>
      </c>
      <c r="MG45" t="n">
        <v>0</v>
      </c>
      <c r="MK45" t="n">
        <v>312</v>
      </c>
      <c r="MN45" t="n">
        <v>439</v>
      </c>
      <c r="MP45" t="n">
        <v>3</v>
      </c>
      <c r="MQ45" t="n">
        <v>13</v>
      </c>
      <c r="MR45" t="n">
        <v>1</v>
      </c>
      <c r="MS45" t="n">
        <v>2</v>
      </c>
      <c r="MT45" t="n">
        <v>0</v>
      </c>
      <c r="MU45" t="n">
        <v>0</v>
      </c>
      <c r="MV45" t="n">
        <v>2</v>
      </c>
      <c r="MW45" t="n">
        <v>0</v>
      </c>
      <c r="MY45" t="n">
        <v>6</v>
      </c>
      <c r="MZ45" t="n">
        <v>91</v>
      </c>
      <c r="NC45" t="n">
        <v>31</v>
      </c>
      <c r="ND45" t="n">
        <v>51</v>
      </c>
      <c r="NE45" t="n">
        <v>49</v>
      </c>
      <c r="NF45" t="n">
        <v>1</v>
      </c>
      <c r="NK45" t="n">
        <v>0</v>
      </c>
      <c r="NL45" t="n">
        <v>1</v>
      </c>
      <c r="NM45" t="n">
        <v>48</v>
      </c>
      <c r="NN45" t="n">
        <v>46</v>
      </c>
      <c r="NO45" t="n">
        <v>238</v>
      </c>
      <c r="NP45" t="n">
        <v>35</v>
      </c>
      <c r="NQ45" t="n">
        <v>12</v>
      </c>
      <c r="NR45" t="n">
        <v>0</v>
      </c>
      <c r="NS45" t="n">
        <v>0</v>
      </c>
      <c r="NY45" t="n">
        <v>0</v>
      </c>
      <c r="NZ45" t="n">
        <v>10</v>
      </c>
      <c r="OA45" t="n">
        <v>1</v>
      </c>
      <c r="OB45" t="n">
        <v>113</v>
      </c>
      <c r="OD45" t="n">
        <v>3</v>
      </c>
      <c r="OE45" t="n">
        <v>2</v>
      </c>
      <c r="OI45" t="n">
        <v>37</v>
      </c>
      <c r="OJ45" t="n">
        <v>1</v>
      </c>
      <c r="OK45" t="n">
        <v>38</v>
      </c>
      <c r="ON45" t="n">
        <v>67</v>
      </c>
      <c r="OO45" t="n">
        <v>34643</v>
      </c>
      <c r="OU45" t="n">
        <v>164</v>
      </c>
      <c r="OV45" t="n">
        <v>347</v>
      </c>
      <c r="PI45" t="n">
        <v>35155</v>
      </c>
      <c r="PM45">
        <f>IFERROR(VLOOKUP($A45&amp;"",Key!$A:$C,3,FALSE),"")</f>
        <v/>
      </c>
    </row>
    <row r="46">
      <c r="A46" t="inlineStr">
        <is>
          <t>3219A0</t>
        </is>
      </c>
      <c r="B46" t="inlineStr">
        <is>
          <t>All other wood product manufacturing</t>
        </is>
      </c>
      <c r="C46" t="n">
        <v>6</v>
      </c>
      <c r="D46" t="n">
        <v>7</v>
      </c>
      <c r="E46" t="n">
        <v>248</v>
      </c>
      <c r="F46" t="n">
        <v>205</v>
      </c>
      <c r="G46" t="n">
        <v>1</v>
      </c>
      <c r="H46" t="n">
        <v>21</v>
      </c>
      <c r="I46" t="n">
        <v>10</v>
      </c>
      <c r="J46" t="n">
        <v>5</v>
      </c>
      <c r="K46" t="n">
        <v>2</v>
      </c>
      <c r="M46" t="n">
        <v>0</v>
      </c>
      <c r="O46" t="n">
        <v>0</v>
      </c>
      <c r="R46" t="n">
        <v>4</v>
      </c>
      <c r="S46" t="n">
        <v>204</v>
      </c>
      <c r="T46" t="n">
        <v>85</v>
      </c>
      <c r="U46" t="n">
        <v>45</v>
      </c>
      <c r="V46" t="n">
        <v>119</v>
      </c>
      <c r="W46" t="n">
        <v>268</v>
      </c>
      <c r="X46" t="n">
        <v>5</v>
      </c>
      <c r="AA46" t="n">
        <v>26</v>
      </c>
      <c r="AB46" t="n">
        <v>75</v>
      </c>
      <c r="AC46" t="n">
        <v>702</v>
      </c>
      <c r="AD46" t="n">
        <v>217</v>
      </c>
      <c r="AE46" t="n">
        <v>195</v>
      </c>
      <c r="AF46" t="n">
        <v>72</v>
      </c>
      <c r="AG46" t="n">
        <v>672</v>
      </c>
      <c r="AH46" t="n">
        <v>50</v>
      </c>
      <c r="AI46" t="n">
        <v>374</v>
      </c>
      <c r="AJ46" t="n">
        <v>35</v>
      </c>
      <c r="AK46" t="n">
        <v>265</v>
      </c>
      <c r="AL46" t="n">
        <v>128</v>
      </c>
      <c r="AM46" t="n">
        <v>11</v>
      </c>
      <c r="AN46" t="n">
        <v>148</v>
      </c>
      <c r="AO46" t="n">
        <v>1457</v>
      </c>
      <c r="AP46" t="n">
        <v>771</v>
      </c>
      <c r="AQ46" t="n">
        <v>12</v>
      </c>
      <c r="AR46" t="n">
        <v>87</v>
      </c>
      <c r="AS46" t="n">
        <v>16</v>
      </c>
      <c r="AU46" t="n">
        <v>3</v>
      </c>
      <c r="AV46" t="n">
        <v>21</v>
      </c>
      <c r="AW46" t="n">
        <v>6</v>
      </c>
      <c r="BA46" t="n">
        <v>30</v>
      </c>
      <c r="BB46" t="n">
        <v>9</v>
      </c>
      <c r="BC46" t="n">
        <v>7</v>
      </c>
      <c r="BE46" t="n">
        <v>6</v>
      </c>
      <c r="BI46" t="n">
        <v>87</v>
      </c>
      <c r="BJ46" t="n">
        <v>176</v>
      </c>
      <c r="BK46" t="n">
        <v>4</v>
      </c>
      <c r="BL46" t="n">
        <v>101</v>
      </c>
      <c r="BP46" t="n">
        <v>125</v>
      </c>
      <c r="BW46" t="n">
        <v>4</v>
      </c>
      <c r="BZ46" t="n">
        <v>37</v>
      </c>
      <c r="CL46" t="n">
        <v>13</v>
      </c>
      <c r="CO46" t="n">
        <v>6</v>
      </c>
      <c r="CQ46" t="n">
        <v>108</v>
      </c>
      <c r="CR46" t="n">
        <v>27</v>
      </c>
      <c r="CU46" t="n">
        <v>25</v>
      </c>
      <c r="CV46" t="n">
        <v>6</v>
      </c>
      <c r="CZ46" t="n">
        <v>215</v>
      </c>
      <c r="DL46" t="n">
        <v>0</v>
      </c>
      <c r="DM46" t="n">
        <v>14</v>
      </c>
      <c r="DN46" t="n">
        <v>25</v>
      </c>
      <c r="DO46" t="n">
        <v>11</v>
      </c>
      <c r="DP46" t="n">
        <v>36</v>
      </c>
      <c r="DQ46" t="n">
        <v>52</v>
      </c>
      <c r="DS46" t="n">
        <v>31</v>
      </c>
      <c r="EA46" t="n">
        <v>196</v>
      </c>
      <c r="EM46" t="n">
        <v>528</v>
      </c>
      <c r="FA46" t="n">
        <v>1</v>
      </c>
      <c r="FB46" t="n">
        <v>364</v>
      </c>
      <c r="FC46" t="n">
        <v>6</v>
      </c>
      <c r="FD46" t="n">
        <v>174</v>
      </c>
      <c r="FE46" t="n">
        <v>1</v>
      </c>
      <c r="FG46" t="n">
        <v>0</v>
      </c>
      <c r="FP46" t="n">
        <v>214</v>
      </c>
      <c r="FT46" t="n">
        <v>9</v>
      </c>
      <c r="FU46" t="n">
        <v>20</v>
      </c>
      <c r="FW46" t="n">
        <v>56</v>
      </c>
      <c r="FX46" t="n">
        <v>20</v>
      </c>
      <c r="GD46" t="n">
        <v>37</v>
      </c>
      <c r="GF46" t="n">
        <v>6</v>
      </c>
      <c r="GH46" t="n">
        <v>110</v>
      </c>
      <c r="GI46" t="n">
        <v>10</v>
      </c>
      <c r="GV46" t="n">
        <v>55</v>
      </c>
      <c r="HI46" t="n">
        <v>53</v>
      </c>
      <c r="HJ46" t="n">
        <v>196</v>
      </c>
      <c r="HP46" t="n">
        <v>57</v>
      </c>
      <c r="HS46" t="n">
        <v>0</v>
      </c>
      <c r="HT46" t="n">
        <v>35</v>
      </c>
      <c r="HU46" t="n">
        <v>403</v>
      </c>
      <c r="HV46" t="n">
        <v>294</v>
      </c>
      <c r="HW46" t="n">
        <v>10</v>
      </c>
      <c r="HY46" t="n">
        <v>29</v>
      </c>
      <c r="IB46" t="n">
        <v>2</v>
      </c>
      <c r="IL46" t="n">
        <v>3</v>
      </c>
      <c r="IN46" t="n">
        <v>2</v>
      </c>
      <c r="IO46" t="n">
        <v>0</v>
      </c>
      <c r="IP46" t="n">
        <v>0</v>
      </c>
      <c r="IQ46" t="n">
        <v>0</v>
      </c>
      <c r="IR46" t="n">
        <v>2</v>
      </c>
      <c r="IS46" t="n">
        <v>2</v>
      </c>
      <c r="IT46" t="n">
        <v>1</v>
      </c>
      <c r="IU46" t="n">
        <v>8</v>
      </c>
      <c r="IV46" t="n">
        <v>10</v>
      </c>
      <c r="IW46" t="n">
        <v>6</v>
      </c>
      <c r="IY46" t="n">
        <v>3</v>
      </c>
      <c r="IZ46" t="n">
        <v>20</v>
      </c>
      <c r="JB46" t="n">
        <v>2</v>
      </c>
      <c r="JC46" t="n">
        <v>1</v>
      </c>
      <c r="JG46" t="n">
        <v>194</v>
      </c>
      <c r="JI46" t="n">
        <v>1</v>
      </c>
      <c r="JJ46" t="n">
        <v>7</v>
      </c>
      <c r="JK46" t="n">
        <v>773</v>
      </c>
      <c r="JL46" t="n">
        <v>235</v>
      </c>
      <c r="JM46" t="n">
        <v>450</v>
      </c>
      <c r="JN46" t="n">
        <v>435</v>
      </c>
      <c r="JO46" t="n">
        <v>1164</v>
      </c>
      <c r="JP46" t="n">
        <v>297</v>
      </c>
      <c r="JQ46" t="n">
        <v>977</v>
      </c>
      <c r="JR46" t="n">
        <v>292</v>
      </c>
      <c r="JS46" t="n">
        <v>1281</v>
      </c>
      <c r="JT46" t="n">
        <v>146</v>
      </c>
      <c r="JV46" t="n">
        <v>169</v>
      </c>
      <c r="JW46" t="n">
        <v>617</v>
      </c>
      <c r="JX46" t="n">
        <v>140</v>
      </c>
      <c r="JY46" t="n">
        <v>56</v>
      </c>
      <c r="JZ46" t="n">
        <v>190</v>
      </c>
      <c r="KA46" t="n">
        <v>51</v>
      </c>
      <c r="KB46" t="n">
        <v>127</v>
      </c>
      <c r="KC46" t="n">
        <v>331</v>
      </c>
      <c r="KD46" t="n">
        <v>133</v>
      </c>
      <c r="KH46" t="n">
        <v>175</v>
      </c>
      <c r="KJ46" t="n">
        <v>3</v>
      </c>
      <c r="KK46" t="n">
        <v>22</v>
      </c>
      <c r="KL46" t="n">
        <v>66</v>
      </c>
      <c r="KM46" t="n">
        <v>109</v>
      </c>
      <c r="KN46" t="n">
        <v>0</v>
      </c>
      <c r="KO46" t="n">
        <v>3</v>
      </c>
      <c r="KP46" t="n">
        <v>0</v>
      </c>
      <c r="KQ46" t="n">
        <v>2</v>
      </c>
      <c r="KR46" t="n">
        <v>8</v>
      </c>
      <c r="KS46" t="n">
        <v>2</v>
      </c>
      <c r="KU46" t="n">
        <v>0</v>
      </c>
      <c r="KW46" t="n">
        <v>9</v>
      </c>
      <c r="KX46" t="n">
        <v>58</v>
      </c>
      <c r="KZ46" t="n">
        <v>21</v>
      </c>
      <c r="LB46" t="n">
        <v>1</v>
      </c>
      <c r="LC46" t="n">
        <v>66</v>
      </c>
      <c r="LD46" t="n">
        <v>79</v>
      </c>
      <c r="LE46" t="n">
        <v>3</v>
      </c>
      <c r="LF46" t="n">
        <v>1</v>
      </c>
      <c r="LK46" t="n">
        <v>1</v>
      </c>
      <c r="LL46" t="n">
        <v>0</v>
      </c>
      <c r="LM46" t="n">
        <v>123</v>
      </c>
      <c r="LN46" t="n">
        <v>3</v>
      </c>
      <c r="LO46" t="n">
        <v>53</v>
      </c>
      <c r="LR46" t="n">
        <v>10</v>
      </c>
      <c r="LS46" t="n">
        <v>1</v>
      </c>
      <c r="LT46" t="n">
        <v>22</v>
      </c>
      <c r="LU46" t="n">
        <v>2</v>
      </c>
      <c r="LV46" t="n">
        <v>2</v>
      </c>
      <c r="LW46" t="n">
        <v>25</v>
      </c>
      <c r="LX46" t="n">
        <v>11</v>
      </c>
      <c r="LY46" t="n">
        <v>2</v>
      </c>
      <c r="LZ46" t="n">
        <v>33</v>
      </c>
      <c r="MA46" t="n">
        <v>13</v>
      </c>
      <c r="MB46" t="n">
        <v>2</v>
      </c>
      <c r="MC46" t="n">
        <v>7</v>
      </c>
      <c r="MD46" t="n">
        <v>3</v>
      </c>
      <c r="ME46" t="n">
        <v>6</v>
      </c>
      <c r="MF46" t="n">
        <v>0</v>
      </c>
      <c r="MG46" t="n">
        <v>6</v>
      </c>
      <c r="MH46" t="n">
        <v>50</v>
      </c>
      <c r="MI46" t="n">
        <v>2</v>
      </c>
      <c r="MJ46" t="n">
        <v>116</v>
      </c>
      <c r="MK46" t="n">
        <v>40</v>
      </c>
      <c r="ML46" t="n">
        <v>1</v>
      </c>
      <c r="MM46" t="n">
        <v>5</v>
      </c>
      <c r="MN46" t="n">
        <v>15</v>
      </c>
      <c r="MO46" t="n">
        <v>20</v>
      </c>
      <c r="MQ46" t="n">
        <v>10</v>
      </c>
      <c r="MR46" t="n">
        <v>1</v>
      </c>
      <c r="MS46" t="n">
        <v>17</v>
      </c>
      <c r="MT46" t="n">
        <v>30</v>
      </c>
      <c r="MU46" t="n">
        <v>5</v>
      </c>
      <c r="MV46" t="n">
        <v>55</v>
      </c>
      <c r="MW46" t="n">
        <v>0</v>
      </c>
      <c r="MX46" t="n">
        <v>1</v>
      </c>
      <c r="MY46" t="n">
        <v>22</v>
      </c>
      <c r="MZ46" t="n">
        <v>52</v>
      </c>
      <c r="NA46" t="n">
        <v>3</v>
      </c>
      <c r="NB46" t="n">
        <v>1</v>
      </c>
      <c r="NC46" t="n">
        <v>1</v>
      </c>
      <c r="ND46" t="n">
        <v>13</v>
      </c>
      <c r="NE46" t="n">
        <v>69</v>
      </c>
      <c r="NJ46" t="n">
        <v>0</v>
      </c>
      <c r="NL46" t="n">
        <v>0</v>
      </c>
      <c r="NM46" t="n">
        <v>7</v>
      </c>
      <c r="NN46" t="n">
        <v>664</v>
      </c>
      <c r="NO46" t="n">
        <v>61</v>
      </c>
      <c r="NP46" t="n">
        <v>69</v>
      </c>
      <c r="NR46" t="n">
        <v>8</v>
      </c>
      <c r="NS46" t="n">
        <v>5</v>
      </c>
      <c r="NT46" t="n">
        <v>5</v>
      </c>
      <c r="NV46" t="n">
        <v>17</v>
      </c>
      <c r="NW46" t="n">
        <v>0</v>
      </c>
      <c r="NX46" t="n">
        <v>0</v>
      </c>
      <c r="NY46" t="n">
        <v>3</v>
      </c>
      <c r="NZ46" t="n">
        <v>42</v>
      </c>
      <c r="OA46" t="n">
        <v>12</v>
      </c>
      <c r="OB46" t="n">
        <v>35</v>
      </c>
      <c r="OD46" t="n">
        <v>15</v>
      </c>
      <c r="OE46" t="n">
        <v>44</v>
      </c>
      <c r="OG46" t="n">
        <v>1</v>
      </c>
      <c r="OH46" t="n">
        <v>4</v>
      </c>
      <c r="OI46" t="n">
        <v>1005</v>
      </c>
      <c r="OJ46" t="n">
        <v>22</v>
      </c>
      <c r="OK46" t="n">
        <v>387</v>
      </c>
      <c r="OO46" t="n">
        <v>22631</v>
      </c>
      <c r="OP46" t="n">
        <v>6760</v>
      </c>
      <c r="OS46" t="n">
        <v>9663</v>
      </c>
      <c r="OT46" t="n">
        <v>619</v>
      </c>
      <c r="OU46" t="n">
        <v>115</v>
      </c>
      <c r="OV46" t="n">
        <v>918</v>
      </c>
      <c r="PB46" t="n">
        <v>20</v>
      </c>
      <c r="PI46" t="n">
        <v>40727</v>
      </c>
      <c r="PM46">
        <f>IFERROR(VLOOKUP($A46&amp;"",Key!$A:$C,3,FALSE),"")</f>
        <v/>
      </c>
    </row>
    <row r="47">
      <c r="A47" t="n">
        <v>327100</v>
      </c>
      <c r="B47" t="inlineStr">
        <is>
          <t>Clay product and refractory manufacturing</t>
        </is>
      </c>
      <c r="Z47" t="n">
        <v>0</v>
      </c>
      <c r="AA47" t="n">
        <v>1185</v>
      </c>
      <c r="AB47" t="n">
        <v>1213</v>
      </c>
      <c r="AC47" t="n">
        <v>524</v>
      </c>
      <c r="AD47" t="n">
        <v>263</v>
      </c>
      <c r="AE47" t="n">
        <v>1411</v>
      </c>
      <c r="AF47" t="n">
        <v>370</v>
      </c>
      <c r="AG47" t="n">
        <v>1906</v>
      </c>
      <c r="AH47" t="n">
        <v>523</v>
      </c>
      <c r="AI47" t="n">
        <v>558</v>
      </c>
      <c r="AJ47" t="n">
        <v>469</v>
      </c>
      <c r="AK47" t="n">
        <v>1210</v>
      </c>
      <c r="AL47" t="n">
        <v>789</v>
      </c>
      <c r="AP47" t="n">
        <v>7</v>
      </c>
      <c r="AQ47" t="n">
        <v>733</v>
      </c>
      <c r="AR47" t="n">
        <v>115</v>
      </c>
      <c r="AS47" t="n">
        <v>66</v>
      </c>
      <c r="AT47" t="n">
        <v>53</v>
      </c>
      <c r="AU47" t="n">
        <v>10</v>
      </c>
      <c r="AV47" t="n">
        <v>19</v>
      </c>
      <c r="AW47" t="n">
        <v>15</v>
      </c>
      <c r="AY47" t="n">
        <v>82</v>
      </c>
      <c r="BB47" t="n">
        <v>1</v>
      </c>
      <c r="BC47" t="n">
        <v>463</v>
      </c>
      <c r="BD47" t="n">
        <v>82</v>
      </c>
      <c r="BH47" t="n">
        <v>164</v>
      </c>
      <c r="BI47" t="n">
        <v>8</v>
      </c>
      <c r="BK47" t="n">
        <v>29</v>
      </c>
      <c r="BQ47" t="n">
        <v>13</v>
      </c>
      <c r="BS47" t="n">
        <v>31</v>
      </c>
      <c r="BT47" t="n">
        <v>17</v>
      </c>
      <c r="BX47" t="n">
        <v>8</v>
      </c>
      <c r="BZ47" t="n">
        <v>24</v>
      </c>
      <c r="CF47" t="n">
        <v>4</v>
      </c>
      <c r="CQ47" t="n">
        <v>1</v>
      </c>
      <c r="CZ47" t="n">
        <v>58</v>
      </c>
      <c r="DK47" t="n">
        <v>10</v>
      </c>
      <c r="DO47" t="n">
        <v>15</v>
      </c>
      <c r="EG47" t="n">
        <v>20</v>
      </c>
      <c r="EH47" t="n">
        <v>3</v>
      </c>
      <c r="EI47" t="n">
        <v>52</v>
      </c>
      <c r="EJ47" t="n">
        <v>1</v>
      </c>
      <c r="EQ47" t="n">
        <v>0</v>
      </c>
      <c r="ER47" t="n">
        <v>9</v>
      </c>
      <c r="EX47" t="n">
        <v>10</v>
      </c>
      <c r="EY47" t="n">
        <v>10</v>
      </c>
      <c r="EZ47" t="n">
        <v>10</v>
      </c>
      <c r="FC47" t="n">
        <v>177</v>
      </c>
      <c r="FD47" t="n">
        <v>39</v>
      </c>
      <c r="FZ47" t="n">
        <v>8</v>
      </c>
      <c r="GB47" t="n">
        <v>7</v>
      </c>
      <c r="GG47" t="n">
        <v>5</v>
      </c>
      <c r="IE47" t="n">
        <v>3</v>
      </c>
      <c r="II47" t="n">
        <v>3</v>
      </c>
      <c r="IM47" t="n">
        <v>11</v>
      </c>
      <c r="JG47" t="n">
        <v>129</v>
      </c>
      <c r="JV47" t="n">
        <v>67</v>
      </c>
      <c r="JW47" t="n">
        <v>21</v>
      </c>
      <c r="JX47" t="n">
        <v>17</v>
      </c>
      <c r="JY47" t="n">
        <v>11</v>
      </c>
      <c r="KB47" t="n">
        <v>7</v>
      </c>
      <c r="KC47" t="n">
        <v>67</v>
      </c>
      <c r="KD47" t="n">
        <v>39</v>
      </c>
      <c r="KK47" t="n">
        <v>1</v>
      </c>
      <c r="KV47" t="n">
        <v>484</v>
      </c>
      <c r="KW47" t="n">
        <v>1222</v>
      </c>
      <c r="KX47" t="n">
        <v>75</v>
      </c>
      <c r="KZ47" t="n">
        <v>36</v>
      </c>
      <c r="LK47" t="n">
        <v>2</v>
      </c>
      <c r="LW47" t="n">
        <v>132</v>
      </c>
      <c r="LZ47" t="n">
        <v>58</v>
      </c>
      <c r="MF47" t="n">
        <v>1</v>
      </c>
      <c r="MG47" t="n">
        <v>0</v>
      </c>
      <c r="MP47" t="n">
        <v>8</v>
      </c>
      <c r="MQ47" t="n">
        <v>2</v>
      </c>
      <c r="MR47" t="n">
        <v>0</v>
      </c>
      <c r="MU47" t="n">
        <v>18</v>
      </c>
      <c r="MW47" t="n">
        <v>0</v>
      </c>
      <c r="MZ47" t="n">
        <v>1114</v>
      </c>
      <c r="NA47" t="n">
        <v>55</v>
      </c>
      <c r="NB47" t="n">
        <v>7</v>
      </c>
      <c r="NC47" t="n">
        <v>5</v>
      </c>
      <c r="ND47" t="n">
        <v>16</v>
      </c>
      <c r="NE47" t="n">
        <v>5</v>
      </c>
      <c r="NM47" t="n">
        <v>28</v>
      </c>
      <c r="NN47" t="n">
        <v>2</v>
      </c>
      <c r="NO47" t="n">
        <v>193</v>
      </c>
      <c r="NP47" t="n">
        <v>73</v>
      </c>
      <c r="NQ47" t="n">
        <v>22</v>
      </c>
      <c r="NR47" t="n">
        <v>0</v>
      </c>
      <c r="NT47" t="n">
        <v>2</v>
      </c>
      <c r="NZ47" t="n">
        <v>1</v>
      </c>
      <c r="OB47" t="n">
        <v>16</v>
      </c>
      <c r="OD47" t="n">
        <v>60</v>
      </c>
      <c r="OE47" t="n">
        <v>73</v>
      </c>
      <c r="OI47" t="n">
        <v>81</v>
      </c>
      <c r="OJ47" t="n">
        <v>25</v>
      </c>
      <c r="OK47" t="n">
        <v>1</v>
      </c>
      <c r="OM47" t="n">
        <v>2</v>
      </c>
      <c r="ON47" t="n">
        <v>74</v>
      </c>
      <c r="OO47" t="n">
        <v>17071</v>
      </c>
      <c r="OP47" t="n">
        <v>4685</v>
      </c>
      <c r="OU47" t="n">
        <v>135</v>
      </c>
      <c r="OV47" t="n">
        <v>1990</v>
      </c>
      <c r="PI47" t="n">
        <v>23880</v>
      </c>
      <c r="PM47">
        <f>IFERROR(VLOOKUP($A47&amp;"",Key!$A:$C,3,FALSE),"")</f>
        <v/>
      </c>
    </row>
    <row r="48">
      <c r="A48" t="n">
        <v>327200</v>
      </c>
      <c r="B48" t="inlineStr">
        <is>
          <t>Glass and glass product manufacturing</t>
        </is>
      </c>
      <c r="O48" t="n">
        <v>0</v>
      </c>
      <c r="AA48" t="n">
        <v>128</v>
      </c>
      <c r="AB48" t="n">
        <v>1313</v>
      </c>
      <c r="AC48" t="n">
        <v>102</v>
      </c>
      <c r="AD48" t="n">
        <v>39</v>
      </c>
      <c r="AE48" t="n">
        <v>2443</v>
      </c>
      <c r="AF48" t="n">
        <v>159</v>
      </c>
      <c r="AG48" t="n">
        <v>270</v>
      </c>
      <c r="AH48" t="n">
        <v>35</v>
      </c>
      <c r="AI48" t="n">
        <v>235</v>
      </c>
      <c r="AK48" t="n">
        <v>157</v>
      </c>
      <c r="AL48" t="n">
        <v>70</v>
      </c>
      <c r="AO48" t="n">
        <v>251</v>
      </c>
      <c r="AP48" t="n">
        <v>14</v>
      </c>
      <c r="AQ48" t="n">
        <v>12</v>
      </c>
      <c r="AR48" t="n">
        <v>3058</v>
      </c>
      <c r="AS48" t="n">
        <v>28</v>
      </c>
      <c r="AT48" t="n">
        <v>206</v>
      </c>
      <c r="AU48" t="n">
        <v>30</v>
      </c>
      <c r="AV48" t="n">
        <v>43</v>
      </c>
      <c r="AW48" t="n">
        <v>11</v>
      </c>
      <c r="BA48" t="n">
        <v>597</v>
      </c>
      <c r="BB48" t="n">
        <v>4</v>
      </c>
      <c r="BD48" t="n">
        <v>17</v>
      </c>
      <c r="BK48" t="n">
        <v>5</v>
      </c>
      <c r="BR48" t="n">
        <v>430</v>
      </c>
      <c r="BV48" t="n">
        <v>5</v>
      </c>
      <c r="BX48" t="n">
        <v>32</v>
      </c>
      <c r="CF48" t="n">
        <v>15</v>
      </c>
      <c r="CM48" t="n">
        <v>151</v>
      </c>
      <c r="CO48" t="n">
        <v>5</v>
      </c>
      <c r="DO48" t="n">
        <v>102</v>
      </c>
      <c r="DP48" t="n">
        <v>4</v>
      </c>
      <c r="DQ48" t="n">
        <v>32</v>
      </c>
      <c r="DS48" t="n">
        <v>6</v>
      </c>
      <c r="DU48" t="n">
        <v>26</v>
      </c>
      <c r="DV48" t="n">
        <v>4</v>
      </c>
      <c r="DW48" t="n">
        <v>19</v>
      </c>
      <c r="DX48" t="n">
        <v>57</v>
      </c>
      <c r="DZ48" t="n">
        <v>52</v>
      </c>
      <c r="EC48" t="n">
        <v>58</v>
      </c>
      <c r="ED48" t="n">
        <v>11</v>
      </c>
      <c r="EM48" t="n">
        <v>1155</v>
      </c>
      <c r="EQ48" t="n">
        <v>2058</v>
      </c>
      <c r="ER48" t="n">
        <v>1546</v>
      </c>
      <c r="ES48" t="n">
        <v>255</v>
      </c>
      <c r="ET48" t="n">
        <v>230</v>
      </c>
      <c r="EU48" t="n">
        <v>2</v>
      </c>
      <c r="EV48" t="n">
        <v>15</v>
      </c>
      <c r="EW48" t="n">
        <v>73</v>
      </c>
      <c r="EX48" t="n">
        <v>46</v>
      </c>
      <c r="EY48" t="n">
        <v>44</v>
      </c>
      <c r="EZ48" t="n">
        <v>34</v>
      </c>
      <c r="FC48" t="n">
        <v>519</v>
      </c>
      <c r="FD48" t="n">
        <v>168</v>
      </c>
      <c r="FK48" t="n">
        <v>274</v>
      </c>
      <c r="FL48" t="n">
        <v>111</v>
      </c>
      <c r="FQ48" t="n">
        <v>13</v>
      </c>
      <c r="FR48" t="n">
        <v>63</v>
      </c>
      <c r="FS48" t="n">
        <v>2</v>
      </c>
      <c r="FT48" t="n">
        <v>25</v>
      </c>
      <c r="FU48" t="n">
        <v>44</v>
      </c>
      <c r="FV48" t="n">
        <v>88</v>
      </c>
      <c r="FX48" t="n">
        <v>4</v>
      </c>
      <c r="FY48" t="n">
        <v>73</v>
      </c>
      <c r="FZ48" t="n">
        <v>10</v>
      </c>
      <c r="GA48" t="n">
        <v>6</v>
      </c>
      <c r="GB48" t="n">
        <v>9</v>
      </c>
      <c r="GM48" t="n">
        <v>2</v>
      </c>
      <c r="GP48" t="n">
        <v>6</v>
      </c>
      <c r="GR48" t="n">
        <v>163</v>
      </c>
      <c r="GS48" t="n">
        <v>74</v>
      </c>
      <c r="GT48" t="n">
        <v>142</v>
      </c>
      <c r="GU48" t="n">
        <v>31</v>
      </c>
      <c r="HA48" t="n">
        <v>9</v>
      </c>
      <c r="HB48" t="n">
        <v>146</v>
      </c>
      <c r="HC48" t="n">
        <v>49</v>
      </c>
      <c r="HD48" t="n">
        <v>0</v>
      </c>
      <c r="HE48" t="n">
        <v>87</v>
      </c>
      <c r="HF48" t="n">
        <v>23</v>
      </c>
      <c r="HG48" t="n">
        <v>115</v>
      </c>
      <c r="HH48" t="n">
        <v>2195</v>
      </c>
      <c r="HI48" t="n">
        <v>895</v>
      </c>
      <c r="HJ48" t="n">
        <v>639</v>
      </c>
      <c r="HM48" t="n">
        <v>44</v>
      </c>
      <c r="IE48" t="n">
        <v>4</v>
      </c>
      <c r="IF48" t="n">
        <v>821</v>
      </c>
      <c r="II48" t="n">
        <v>2</v>
      </c>
      <c r="IK48" t="n">
        <v>6</v>
      </c>
      <c r="IL48" t="n">
        <v>21</v>
      </c>
      <c r="IM48" t="n">
        <v>87</v>
      </c>
      <c r="IO48" t="n">
        <v>23</v>
      </c>
      <c r="IP48" t="n">
        <v>22</v>
      </c>
      <c r="IQ48" t="n">
        <v>41</v>
      </c>
      <c r="IR48" t="n">
        <v>228</v>
      </c>
      <c r="IT48" t="n">
        <v>1</v>
      </c>
      <c r="IV48" t="n">
        <v>2</v>
      </c>
      <c r="IX48" t="n">
        <v>150</v>
      </c>
      <c r="IZ48" t="n">
        <v>343</v>
      </c>
      <c r="JA48" t="n">
        <v>1</v>
      </c>
      <c r="JB48" t="n">
        <v>67</v>
      </c>
      <c r="JC48" t="n">
        <v>40</v>
      </c>
      <c r="JD48" t="n">
        <v>19</v>
      </c>
      <c r="JE48" t="n">
        <v>52</v>
      </c>
      <c r="JG48" t="n">
        <v>729</v>
      </c>
      <c r="JL48" t="n">
        <v>0</v>
      </c>
      <c r="JN48" t="n">
        <v>2</v>
      </c>
      <c r="JO48" t="n">
        <v>1</v>
      </c>
      <c r="JP48" t="n">
        <v>1</v>
      </c>
      <c r="JQ48" t="n">
        <v>21</v>
      </c>
      <c r="JS48" t="n">
        <v>38</v>
      </c>
      <c r="JV48" t="n">
        <v>53</v>
      </c>
      <c r="JW48" t="n">
        <v>47</v>
      </c>
      <c r="JZ48" t="n">
        <v>0</v>
      </c>
      <c r="KC48" t="n">
        <v>45</v>
      </c>
      <c r="KH48" t="n">
        <v>31</v>
      </c>
      <c r="KI48" t="n">
        <v>0</v>
      </c>
      <c r="KK48" t="n">
        <v>10</v>
      </c>
      <c r="KL48" t="n">
        <v>22</v>
      </c>
      <c r="KM48" t="n">
        <v>12</v>
      </c>
      <c r="KO48" t="n">
        <v>0</v>
      </c>
      <c r="KP48" t="n">
        <v>0</v>
      </c>
      <c r="KQ48" t="n">
        <v>2</v>
      </c>
      <c r="KR48" t="n">
        <v>3</v>
      </c>
      <c r="KS48" t="n">
        <v>2</v>
      </c>
      <c r="KW48" t="n">
        <v>56</v>
      </c>
      <c r="KX48" t="n">
        <v>324</v>
      </c>
      <c r="KZ48" t="n">
        <v>3</v>
      </c>
      <c r="LC48" t="n">
        <v>40</v>
      </c>
      <c r="LD48" t="n">
        <v>43</v>
      </c>
      <c r="LE48" t="n">
        <v>27</v>
      </c>
      <c r="LF48" t="n">
        <v>18</v>
      </c>
      <c r="LI48" t="n">
        <v>23</v>
      </c>
      <c r="LN48" t="n">
        <v>39</v>
      </c>
      <c r="LO48" t="n">
        <v>5</v>
      </c>
      <c r="LP48" t="n">
        <v>5</v>
      </c>
      <c r="LQ48" t="n">
        <v>56</v>
      </c>
      <c r="LR48" t="n">
        <v>1</v>
      </c>
      <c r="LU48" t="n">
        <v>2</v>
      </c>
      <c r="LW48" t="n">
        <v>51</v>
      </c>
      <c r="LX48" t="n">
        <v>17</v>
      </c>
      <c r="LY48" t="n">
        <v>574</v>
      </c>
      <c r="LZ48" t="n">
        <v>884</v>
      </c>
      <c r="MA48" t="n">
        <v>27</v>
      </c>
      <c r="MB48" t="n">
        <v>270</v>
      </c>
      <c r="ME48" t="n">
        <v>4</v>
      </c>
      <c r="MF48" t="n">
        <v>59</v>
      </c>
      <c r="MG48" t="n">
        <v>0</v>
      </c>
      <c r="MH48" t="n">
        <v>73</v>
      </c>
      <c r="MI48" t="n">
        <v>97</v>
      </c>
      <c r="MJ48" t="n">
        <v>33</v>
      </c>
      <c r="MK48" t="n">
        <v>34</v>
      </c>
      <c r="MN48" t="n">
        <v>19</v>
      </c>
      <c r="MO48" t="n">
        <v>10</v>
      </c>
      <c r="MP48" t="n">
        <v>22</v>
      </c>
      <c r="MQ48" t="n">
        <v>17</v>
      </c>
      <c r="MR48" t="n">
        <v>70</v>
      </c>
      <c r="MS48" t="n">
        <v>971</v>
      </c>
      <c r="MT48" t="n">
        <v>519</v>
      </c>
      <c r="MU48" t="n">
        <v>167</v>
      </c>
      <c r="MV48" t="n">
        <v>32</v>
      </c>
      <c r="MW48" t="n">
        <v>46</v>
      </c>
      <c r="MX48" t="n">
        <v>1247</v>
      </c>
      <c r="MY48" t="n">
        <v>20</v>
      </c>
      <c r="MZ48" t="n">
        <v>1468</v>
      </c>
      <c r="NA48" t="n">
        <v>148</v>
      </c>
      <c r="NB48" t="n">
        <v>20</v>
      </c>
      <c r="NC48" t="n">
        <v>3</v>
      </c>
      <c r="ND48" t="n">
        <v>4</v>
      </c>
      <c r="NE48" t="n">
        <v>1</v>
      </c>
      <c r="NH48" t="n">
        <v>5</v>
      </c>
      <c r="NM48" t="n">
        <v>9</v>
      </c>
      <c r="NN48" t="n">
        <v>161</v>
      </c>
      <c r="NO48" t="n">
        <v>88</v>
      </c>
      <c r="NP48" t="n">
        <v>718</v>
      </c>
      <c r="NQ48" t="n">
        <v>232</v>
      </c>
      <c r="NR48" t="n">
        <v>422</v>
      </c>
      <c r="NS48" t="n">
        <v>2</v>
      </c>
      <c r="NT48" t="n">
        <v>3</v>
      </c>
      <c r="NU48" t="n">
        <v>2</v>
      </c>
      <c r="NV48" t="n">
        <v>6</v>
      </c>
      <c r="NW48" t="n">
        <v>0</v>
      </c>
      <c r="NX48" t="n">
        <v>0</v>
      </c>
      <c r="NZ48" t="n">
        <v>10</v>
      </c>
      <c r="OB48" t="n">
        <v>21</v>
      </c>
      <c r="OD48" t="n">
        <v>6</v>
      </c>
      <c r="OE48" t="n">
        <v>623</v>
      </c>
      <c r="OI48" t="n">
        <v>61</v>
      </c>
      <c r="OJ48" t="n">
        <v>89</v>
      </c>
      <c r="OK48" t="n">
        <v>174</v>
      </c>
      <c r="ON48" t="n">
        <v>1</v>
      </c>
      <c r="OO48" t="n">
        <v>34848</v>
      </c>
      <c r="OP48" t="n">
        <v>10837</v>
      </c>
      <c r="OU48" t="n">
        <v>333</v>
      </c>
      <c r="OV48" t="n">
        <v>5131</v>
      </c>
      <c r="PI48" t="n">
        <v>51149</v>
      </c>
      <c r="PM48">
        <f>IFERROR(VLOOKUP($A48&amp;"",Key!$A:$C,3,FALSE),"")</f>
        <v/>
      </c>
    </row>
    <row r="49">
      <c r="A49" t="n">
        <v>327310</v>
      </c>
      <c r="B49" t="inlineStr">
        <is>
          <t>Cement manufacturing</t>
        </is>
      </c>
      <c r="N49" t="n">
        <v>1</v>
      </c>
      <c r="P49" t="n">
        <v>658</v>
      </c>
      <c r="Q49" t="n">
        <v>1</v>
      </c>
      <c r="R49" t="n">
        <v>1</v>
      </c>
      <c r="V49" t="n">
        <v>101</v>
      </c>
      <c r="W49" t="n">
        <v>399</v>
      </c>
      <c r="Z49" t="n">
        <v>0</v>
      </c>
      <c r="AA49" t="n">
        <v>35</v>
      </c>
      <c r="AB49" t="n">
        <v>106</v>
      </c>
      <c r="AC49" t="n">
        <v>314</v>
      </c>
      <c r="AD49" t="n">
        <v>96</v>
      </c>
      <c r="AE49" t="n">
        <v>173</v>
      </c>
      <c r="AF49" t="n">
        <v>47</v>
      </c>
      <c r="AG49" t="n">
        <v>239</v>
      </c>
      <c r="AH49" t="n">
        <v>24</v>
      </c>
      <c r="AI49" t="n">
        <v>108</v>
      </c>
      <c r="AJ49" t="n">
        <v>126</v>
      </c>
      <c r="AK49" t="n">
        <v>298</v>
      </c>
      <c r="AL49" t="n">
        <v>135</v>
      </c>
      <c r="AS49" t="n">
        <v>111</v>
      </c>
      <c r="AT49" t="n">
        <v>6908</v>
      </c>
      <c r="AU49" t="n">
        <v>581</v>
      </c>
      <c r="AV49" t="n">
        <v>657</v>
      </c>
      <c r="AW49" t="n">
        <v>27</v>
      </c>
      <c r="AZ49" t="n">
        <v>13</v>
      </c>
      <c r="BA49" t="n">
        <v>3</v>
      </c>
      <c r="BB49" t="n">
        <v>783</v>
      </c>
      <c r="CZ49" t="n">
        <v>39</v>
      </c>
      <c r="DK49" t="n">
        <v>1</v>
      </c>
      <c r="DO49" t="n">
        <v>4</v>
      </c>
      <c r="FC49" t="n">
        <v>40</v>
      </c>
      <c r="JG49" t="n">
        <v>53</v>
      </c>
      <c r="JK49" t="n">
        <v>0</v>
      </c>
      <c r="JL49" t="n">
        <v>0</v>
      </c>
      <c r="JM49" t="n">
        <v>0</v>
      </c>
      <c r="JN49" t="n">
        <v>0</v>
      </c>
      <c r="JR49" t="n">
        <v>0</v>
      </c>
      <c r="JT49" t="n">
        <v>0</v>
      </c>
      <c r="JY49" t="n">
        <v>1</v>
      </c>
      <c r="KB49" t="n">
        <v>1</v>
      </c>
      <c r="KC49" t="n">
        <v>1</v>
      </c>
      <c r="KD49" t="n">
        <v>2</v>
      </c>
      <c r="KF49" t="n">
        <v>16</v>
      </c>
      <c r="KW49" t="n">
        <v>3</v>
      </c>
      <c r="KX49" t="n">
        <v>19</v>
      </c>
      <c r="KZ49" t="n">
        <v>23</v>
      </c>
      <c r="LK49" t="n">
        <v>0</v>
      </c>
      <c r="LO49" t="n">
        <v>22</v>
      </c>
      <c r="LW49" t="n">
        <v>92</v>
      </c>
      <c r="LZ49" t="n">
        <v>10</v>
      </c>
      <c r="MQ49" t="n">
        <v>1</v>
      </c>
      <c r="MS49" t="n">
        <v>7</v>
      </c>
      <c r="MY49" t="n">
        <v>1</v>
      </c>
      <c r="MZ49" t="n">
        <v>6</v>
      </c>
      <c r="NC49" t="n">
        <v>3</v>
      </c>
      <c r="ND49" t="n">
        <v>4</v>
      </c>
      <c r="NE49" t="n">
        <v>4</v>
      </c>
      <c r="NM49" t="n">
        <v>5</v>
      </c>
      <c r="NO49" t="n">
        <v>23</v>
      </c>
      <c r="NP49" t="n">
        <v>10</v>
      </c>
      <c r="NQ49" t="n">
        <v>4</v>
      </c>
      <c r="OB49" t="n">
        <v>3</v>
      </c>
      <c r="OL49" t="n">
        <v>7</v>
      </c>
      <c r="ON49" t="n">
        <v>15</v>
      </c>
      <c r="OO49" t="n">
        <v>12368</v>
      </c>
      <c r="OU49" t="n">
        <v>45</v>
      </c>
      <c r="OV49" t="n">
        <v>163</v>
      </c>
      <c r="PI49" t="n">
        <v>12575</v>
      </c>
      <c r="PM49">
        <f>IFERROR(VLOOKUP($A49&amp;"",Key!$A:$C,3,FALSE),"")</f>
        <v/>
      </c>
    </row>
    <row r="50">
      <c r="A50" t="n">
        <v>327320</v>
      </c>
      <c r="B50" t="inlineStr">
        <is>
          <t>Ready-mix concrete manufacturing</t>
        </is>
      </c>
      <c r="M50" t="n">
        <v>44</v>
      </c>
      <c r="O50" t="n">
        <v>28</v>
      </c>
      <c r="Q50" t="n">
        <v>29</v>
      </c>
      <c r="X50" t="n">
        <v>2</v>
      </c>
      <c r="Z50" t="n">
        <v>0</v>
      </c>
      <c r="AA50" t="n">
        <v>66</v>
      </c>
      <c r="AB50" t="n">
        <v>19</v>
      </c>
      <c r="AC50" t="n">
        <v>3530</v>
      </c>
      <c r="AD50" t="n">
        <v>2339</v>
      </c>
      <c r="AE50" t="n">
        <v>2206</v>
      </c>
      <c r="AF50" t="n">
        <v>5590</v>
      </c>
      <c r="AG50" t="n">
        <v>13567</v>
      </c>
      <c r="AH50" t="n">
        <v>2128</v>
      </c>
      <c r="AI50" t="n">
        <v>2086</v>
      </c>
      <c r="AJ50" t="n">
        <v>983</v>
      </c>
      <c r="AK50" t="n">
        <v>7337</v>
      </c>
      <c r="AL50" t="n">
        <v>4707</v>
      </c>
      <c r="AT50" t="n">
        <v>339</v>
      </c>
      <c r="AU50" t="n">
        <v>84</v>
      </c>
      <c r="AV50" t="n">
        <v>480</v>
      </c>
      <c r="CZ50" t="n">
        <v>9</v>
      </c>
      <c r="FA50" t="n">
        <v>10</v>
      </c>
      <c r="FC50" t="n">
        <v>23</v>
      </c>
      <c r="GG50" t="n">
        <v>12</v>
      </c>
      <c r="JG50" t="n">
        <v>10</v>
      </c>
      <c r="JK50" t="n">
        <v>0</v>
      </c>
      <c r="JL50" t="n">
        <v>5</v>
      </c>
      <c r="JM50" t="n">
        <v>1</v>
      </c>
      <c r="JN50" t="n">
        <v>1</v>
      </c>
      <c r="JO50" t="n">
        <v>32</v>
      </c>
      <c r="JR50" t="n">
        <v>0</v>
      </c>
      <c r="JT50" t="n">
        <v>0</v>
      </c>
      <c r="JY50" t="n">
        <v>60</v>
      </c>
      <c r="KB50" t="n">
        <v>10</v>
      </c>
      <c r="KC50" t="n">
        <v>158</v>
      </c>
      <c r="KD50" t="n">
        <v>66</v>
      </c>
      <c r="KF50" t="n">
        <v>0</v>
      </c>
      <c r="KO50" t="n">
        <v>0</v>
      </c>
      <c r="KP50" t="n">
        <v>0</v>
      </c>
      <c r="KQ50" t="n">
        <v>0</v>
      </c>
      <c r="KR50" t="n">
        <v>0</v>
      </c>
      <c r="KW50" t="n">
        <v>40</v>
      </c>
      <c r="KX50" t="n">
        <v>254</v>
      </c>
      <c r="KY50" t="n">
        <v>9</v>
      </c>
      <c r="KZ50" t="n">
        <v>416</v>
      </c>
      <c r="LK50" t="n">
        <v>151</v>
      </c>
      <c r="LL50" t="n">
        <v>24</v>
      </c>
      <c r="LM50" t="n">
        <v>110</v>
      </c>
      <c r="LO50" t="n">
        <v>250</v>
      </c>
      <c r="LR50" t="n">
        <v>0</v>
      </c>
      <c r="LW50" t="n">
        <v>736</v>
      </c>
      <c r="LZ50" t="n">
        <v>240</v>
      </c>
      <c r="MF50" t="n">
        <v>5</v>
      </c>
      <c r="MP50" t="n">
        <v>0</v>
      </c>
      <c r="MQ50" t="n">
        <v>10</v>
      </c>
      <c r="MR50" t="n">
        <v>0</v>
      </c>
      <c r="MS50" t="n">
        <v>111</v>
      </c>
      <c r="MY50" t="n">
        <v>2</v>
      </c>
      <c r="MZ50" t="n">
        <v>34</v>
      </c>
      <c r="NA50" t="n">
        <v>0</v>
      </c>
      <c r="NB50" t="n">
        <v>0</v>
      </c>
      <c r="NC50" t="n">
        <v>45</v>
      </c>
      <c r="ND50" t="n">
        <v>115</v>
      </c>
      <c r="NE50" t="n">
        <v>51</v>
      </c>
      <c r="NF50" t="n">
        <v>3</v>
      </c>
      <c r="NM50" t="n">
        <v>63</v>
      </c>
      <c r="NO50" t="n">
        <v>132</v>
      </c>
      <c r="NP50" t="n">
        <v>32</v>
      </c>
      <c r="NQ50" t="n">
        <v>10</v>
      </c>
      <c r="NR50" t="n">
        <v>1</v>
      </c>
      <c r="NS50" t="n">
        <v>0</v>
      </c>
      <c r="NT50" t="n">
        <v>5</v>
      </c>
      <c r="NU50" t="n">
        <v>1</v>
      </c>
      <c r="NZ50" t="n">
        <v>22</v>
      </c>
      <c r="OB50" t="n">
        <v>35</v>
      </c>
      <c r="OD50" t="n">
        <v>0</v>
      </c>
      <c r="OE50" t="n">
        <v>17</v>
      </c>
      <c r="OI50" t="n">
        <v>36</v>
      </c>
      <c r="OK50" t="n">
        <v>446</v>
      </c>
      <c r="OL50" t="n">
        <v>107</v>
      </c>
      <c r="ON50" t="n">
        <v>1481</v>
      </c>
      <c r="OO50" t="n">
        <v>50962</v>
      </c>
      <c r="OU50" t="n">
        <v>143</v>
      </c>
      <c r="OV50" t="n">
        <v>92</v>
      </c>
      <c r="PI50" t="n">
        <v>51196</v>
      </c>
      <c r="PM50">
        <f>IFERROR(VLOOKUP($A50&amp;"",Key!$A:$C,3,FALSE),"")</f>
        <v/>
      </c>
    </row>
    <row r="51">
      <c r="A51" t="n">
        <v>327330</v>
      </c>
      <c r="B51" t="inlineStr">
        <is>
          <t>Concrete pipe, brick, and block manufacturing</t>
        </is>
      </c>
      <c r="C51" t="n">
        <v>1</v>
      </c>
      <c r="H51" t="n">
        <v>33</v>
      </c>
      <c r="Q51" t="n">
        <v>11</v>
      </c>
      <c r="Z51" t="n">
        <v>0</v>
      </c>
      <c r="AA51" t="n">
        <v>25</v>
      </c>
      <c r="AB51" t="n">
        <v>59</v>
      </c>
      <c r="AC51" t="n">
        <v>713</v>
      </c>
      <c r="AD51" t="n">
        <v>363</v>
      </c>
      <c r="AE51" t="n">
        <v>954</v>
      </c>
      <c r="AF51" t="n">
        <v>403</v>
      </c>
      <c r="AG51" t="n">
        <v>1704</v>
      </c>
      <c r="AH51" t="n">
        <v>78</v>
      </c>
      <c r="AI51" t="n">
        <v>650</v>
      </c>
      <c r="AJ51" t="n">
        <v>56</v>
      </c>
      <c r="AK51" t="n">
        <v>2002</v>
      </c>
      <c r="AL51" t="n">
        <v>453</v>
      </c>
      <c r="AU51" t="n">
        <v>13</v>
      </c>
      <c r="DK51" t="n">
        <v>4</v>
      </c>
      <c r="DO51" t="n">
        <v>23</v>
      </c>
      <c r="FC51" t="n">
        <v>147</v>
      </c>
      <c r="JG51" t="n">
        <v>281</v>
      </c>
      <c r="JK51" t="n">
        <v>0</v>
      </c>
      <c r="JL51" t="n">
        <v>1</v>
      </c>
      <c r="JM51" t="n">
        <v>0</v>
      </c>
      <c r="JN51" t="n">
        <v>0</v>
      </c>
      <c r="JR51" t="n">
        <v>0</v>
      </c>
      <c r="JT51" t="n">
        <v>0</v>
      </c>
      <c r="JV51" t="n">
        <v>29</v>
      </c>
      <c r="JY51" t="n">
        <v>2</v>
      </c>
      <c r="KB51" t="n">
        <v>13</v>
      </c>
      <c r="KC51" t="n">
        <v>76</v>
      </c>
      <c r="KD51" t="n">
        <v>41</v>
      </c>
      <c r="KF51" t="n">
        <v>1</v>
      </c>
      <c r="KW51" t="n">
        <v>21</v>
      </c>
      <c r="KX51" t="n">
        <v>137</v>
      </c>
      <c r="KY51" t="n">
        <v>3</v>
      </c>
      <c r="KZ51" t="n">
        <v>57</v>
      </c>
      <c r="LK51" t="n">
        <v>1</v>
      </c>
      <c r="LL51" t="n">
        <v>4</v>
      </c>
      <c r="LW51" t="n">
        <v>585</v>
      </c>
      <c r="LZ51" t="n">
        <v>62</v>
      </c>
      <c r="MF51" t="n">
        <v>1</v>
      </c>
      <c r="MO51" t="n">
        <v>0</v>
      </c>
      <c r="MP51" t="n">
        <v>1</v>
      </c>
      <c r="MQ51" t="n">
        <v>6</v>
      </c>
      <c r="MR51" t="n">
        <v>0</v>
      </c>
      <c r="MS51" t="n">
        <v>20</v>
      </c>
      <c r="MU51" t="n">
        <v>40</v>
      </c>
      <c r="MZ51" t="n">
        <v>17</v>
      </c>
      <c r="NA51" t="n">
        <v>0</v>
      </c>
      <c r="NC51" t="n">
        <v>7</v>
      </c>
      <c r="ND51" t="n">
        <v>16</v>
      </c>
      <c r="NE51" t="n">
        <v>9</v>
      </c>
      <c r="NF51" t="n">
        <v>2</v>
      </c>
      <c r="NM51" t="n">
        <v>21</v>
      </c>
      <c r="NN51" t="n">
        <v>2</v>
      </c>
      <c r="NO51" t="n">
        <v>74</v>
      </c>
      <c r="NP51" t="n">
        <v>136</v>
      </c>
      <c r="NQ51" t="n">
        <v>39</v>
      </c>
      <c r="OB51" t="n">
        <v>31</v>
      </c>
      <c r="OI51" t="n">
        <v>6</v>
      </c>
      <c r="OK51" t="n">
        <v>52</v>
      </c>
      <c r="OL51" t="n">
        <v>9</v>
      </c>
      <c r="ON51" t="n">
        <v>379</v>
      </c>
      <c r="OO51" t="n">
        <v>9872</v>
      </c>
      <c r="OU51" t="n">
        <v>22</v>
      </c>
      <c r="OV51" t="n">
        <v>46</v>
      </c>
      <c r="PI51" t="n">
        <v>9940</v>
      </c>
      <c r="PM51">
        <f>IFERROR(VLOOKUP($A51&amp;"",Key!$A:$C,3,FALSE),"")</f>
        <v/>
      </c>
    </row>
    <row r="52">
      <c r="A52" t="n">
        <v>327390</v>
      </c>
      <c r="B52" t="inlineStr">
        <is>
          <t>Other concrete product manufacturing</t>
        </is>
      </c>
      <c r="Q52" t="n">
        <v>0</v>
      </c>
      <c r="X52" t="n">
        <v>77</v>
      </c>
      <c r="Z52" t="n">
        <v>1</v>
      </c>
      <c r="AA52" t="n">
        <v>52</v>
      </c>
      <c r="AB52" t="n">
        <v>61</v>
      </c>
      <c r="AC52" t="n">
        <v>894</v>
      </c>
      <c r="AD52" t="n">
        <v>268</v>
      </c>
      <c r="AE52" t="n">
        <v>3140</v>
      </c>
      <c r="AF52" t="n">
        <v>1803</v>
      </c>
      <c r="AG52" t="n">
        <v>644</v>
      </c>
      <c r="AH52" t="n">
        <v>664</v>
      </c>
      <c r="AI52" t="n">
        <v>1463</v>
      </c>
      <c r="AJ52" t="n">
        <v>233</v>
      </c>
      <c r="AK52" t="n">
        <v>970</v>
      </c>
      <c r="AL52" t="n">
        <v>1968</v>
      </c>
      <c r="AQ52" t="n">
        <v>2</v>
      </c>
      <c r="AS52" t="n">
        <v>5</v>
      </c>
      <c r="AT52" t="n">
        <v>42</v>
      </c>
      <c r="AU52" t="n">
        <v>15</v>
      </c>
      <c r="AV52" t="n">
        <v>154</v>
      </c>
      <c r="BB52" t="n">
        <v>80</v>
      </c>
      <c r="BD52" t="n">
        <v>3</v>
      </c>
      <c r="BK52" t="n">
        <v>1</v>
      </c>
      <c r="CZ52" t="n">
        <v>198</v>
      </c>
      <c r="DK52" t="n">
        <v>12</v>
      </c>
      <c r="DO52" t="n">
        <v>29</v>
      </c>
      <c r="ER52" t="n">
        <v>7</v>
      </c>
      <c r="EX52" t="n">
        <v>10</v>
      </c>
      <c r="EY52" t="n">
        <v>11</v>
      </c>
      <c r="EZ52" t="n">
        <v>7</v>
      </c>
      <c r="FA52" t="n">
        <v>45</v>
      </c>
      <c r="FC52" t="n">
        <v>157</v>
      </c>
      <c r="FD52" t="n">
        <v>35</v>
      </c>
      <c r="FZ52" t="n">
        <v>2</v>
      </c>
      <c r="GB52" t="n">
        <v>1</v>
      </c>
      <c r="GD52" t="n">
        <v>0</v>
      </c>
      <c r="JG52" t="n">
        <v>659</v>
      </c>
      <c r="JK52" t="n">
        <v>0</v>
      </c>
      <c r="JL52" t="n">
        <v>1</v>
      </c>
      <c r="JM52" t="n">
        <v>0</v>
      </c>
      <c r="JN52" t="n">
        <v>39</v>
      </c>
      <c r="JO52" t="n">
        <v>6</v>
      </c>
      <c r="JQ52" t="n">
        <v>2</v>
      </c>
      <c r="JR52" t="n">
        <v>2</v>
      </c>
      <c r="JS52" t="n">
        <v>1</v>
      </c>
      <c r="JT52" t="n">
        <v>0</v>
      </c>
      <c r="JV52" t="n">
        <v>120</v>
      </c>
      <c r="JW52" t="n">
        <v>1</v>
      </c>
      <c r="JX52" t="n">
        <v>439</v>
      </c>
      <c r="JY52" t="n">
        <v>11</v>
      </c>
      <c r="JZ52" t="n">
        <v>0</v>
      </c>
      <c r="KA52" t="n">
        <v>1</v>
      </c>
      <c r="KB52" t="n">
        <v>25</v>
      </c>
      <c r="KC52" t="n">
        <v>72</v>
      </c>
      <c r="KD52" t="n">
        <v>67</v>
      </c>
      <c r="KJ52" t="n">
        <v>0</v>
      </c>
      <c r="KN52" t="n">
        <v>0</v>
      </c>
      <c r="KU52" t="n">
        <v>1</v>
      </c>
      <c r="KW52" t="n">
        <v>73</v>
      </c>
      <c r="KX52" t="n">
        <v>467</v>
      </c>
      <c r="KZ52" t="n">
        <v>239</v>
      </c>
      <c r="LB52" t="n">
        <v>0</v>
      </c>
      <c r="LM52" t="n">
        <v>9</v>
      </c>
      <c r="LO52" t="n">
        <v>114</v>
      </c>
      <c r="LR52" t="n">
        <v>0</v>
      </c>
      <c r="LT52" t="n">
        <v>0</v>
      </c>
      <c r="LV52" t="n">
        <v>0</v>
      </c>
      <c r="LW52" t="n">
        <v>396</v>
      </c>
      <c r="LX52" t="n">
        <v>0</v>
      </c>
      <c r="LZ52" t="n">
        <v>128</v>
      </c>
      <c r="MF52" t="n">
        <v>6</v>
      </c>
      <c r="MH52" t="n">
        <v>129</v>
      </c>
      <c r="MK52" t="n">
        <v>1</v>
      </c>
      <c r="MO52" t="n">
        <v>208</v>
      </c>
      <c r="MR52" t="n">
        <v>0</v>
      </c>
      <c r="MS52" t="n">
        <v>5</v>
      </c>
      <c r="MT52" t="n">
        <v>2</v>
      </c>
      <c r="MU52" t="n">
        <v>54</v>
      </c>
      <c r="MV52" t="n">
        <v>1</v>
      </c>
      <c r="MX52" t="n">
        <v>0</v>
      </c>
      <c r="MY52" t="n">
        <v>4</v>
      </c>
      <c r="MZ52" t="n">
        <v>92</v>
      </c>
      <c r="NA52" t="n">
        <v>0</v>
      </c>
      <c r="NB52" t="n">
        <v>0</v>
      </c>
      <c r="NC52" t="n">
        <v>28</v>
      </c>
      <c r="ND52" t="n">
        <v>38</v>
      </c>
      <c r="NE52" t="n">
        <v>35</v>
      </c>
      <c r="NF52" t="n">
        <v>1</v>
      </c>
      <c r="NG52" t="n">
        <v>0</v>
      </c>
      <c r="NJ52" t="n">
        <v>0</v>
      </c>
      <c r="NK52" t="n">
        <v>0</v>
      </c>
      <c r="NL52" t="n">
        <v>1</v>
      </c>
      <c r="NM52" t="n">
        <v>37</v>
      </c>
      <c r="NN52" t="n">
        <v>5</v>
      </c>
      <c r="NO52" t="n">
        <v>142</v>
      </c>
      <c r="NP52" t="n">
        <v>218</v>
      </c>
      <c r="NQ52" t="n">
        <v>63</v>
      </c>
      <c r="NR52" t="n">
        <v>0</v>
      </c>
      <c r="NS52" t="n">
        <v>0</v>
      </c>
      <c r="NV52" t="n">
        <v>2</v>
      </c>
      <c r="NW52" t="n">
        <v>684</v>
      </c>
      <c r="OA52" t="n">
        <v>0</v>
      </c>
      <c r="OB52" t="n">
        <v>68</v>
      </c>
      <c r="OE52" t="n">
        <v>0</v>
      </c>
      <c r="OI52" t="n">
        <v>0</v>
      </c>
      <c r="OK52" t="n">
        <v>204</v>
      </c>
      <c r="OM52" t="n">
        <v>35</v>
      </c>
      <c r="ON52" t="n">
        <v>681</v>
      </c>
      <c r="OO52" t="n">
        <v>18674</v>
      </c>
      <c r="OP52" t="n">
        <v>143</v>
      </c>
      <c r="OU52" t="n">
        <v>42</v>
      </c>
      <c r="OV52" t="n">
        <v>277</v>
      </c>
      <c r="PI52" t="n">
        <v>19136</v>
      </c>
      <c r="PM52">
        <f>IFERROR(VLOOKUP($A52&amp;"",Key!$A:$C,3,FALSE),"")</f>
        <v/>
      </c>
    </row>
    <row r="53">
      <c r="A53" t="n">
        <v>327400</v>
      </c>
      <c r="B53" t="inlineStr">
        <is>
          <t>Lime and gypsum product manufacturing</t>
        </is>
      </c>
      <c r="C53" t="n">
        <v>1</v>
      </c>
      <c r="N53" t="n">
        <v>5</v>
      </c>
      <c r="R53" t="n">
        <v>32</v>
      </c>
      <c r="S53" t="n">
        <v>176</v>
      </c>
      <c r="AA53" t="n">
        <v>13</v>
      </c>
      <c r="AB53" t="n">
        <v>10</v>
      </c>
      <c r="AC53" t="n">
        <v>769</v>
      </c>
      <c r="AD53" t="n">
        <v>436</v>
      </c>
      <c r="AE53" t="n">
        <v>416</v>
      </c>
      <c r="AF53" t="n">
        <v>177</v>
      </c>
      <c r="AG53" t="n">
        <v>1393</v>
      </c>
      <c r="AH53" t="n">
        <v>39</v>
      </c>
      <c r="AI53" t="n">
        <v>375</v>
      </c>
      <c r="AJ53" t="n">
        <v>99</v>
      </c>
      <c r="AK53" t="n">
        <v>1200</v>
      </c>
      <c r="AL53" t="n">
        <v>148</v>
      </c>
      <c r="AN53" t="n">
        <v>19</v>
      </c>
      <c r="AP53" t="n">
        <v>93</v>
      </c>
      <c r="AQ53" t="n">
        <v>13</v>
      </c>
      <c r="AR53" t="n">
        <v>72</v>
      </c>
      <c r="AS53" t="n">
        <v>81</v>
      </c>
      <c r="AW53" t="n">
        <v>11</v>
      </c>
      <c r="AX53" t="n">
        <v>2</v>
      </c>
      <c r="AZ53" t="n">
        <v>30</v>
      </c>
      <c r="BB53" t="n">
        <v>32</v>
      </c>
      <c r="BC53" t="n">
        <v>643</v>
      </c>
      <c r="BD53" t="n">
        <v>9</v>
      </c>
      <c r="CZ53" t="n">
        <v>124</v>
      </c>
      <c r="DK53" t="n">
        <v>2</v>
      </c>
      <c r="DO53" t="n">
        <v>2</v>
      </c>
      <c r="FA53" t="n">
        <v>29</v>
      </c>
      <c r="FC53" t="n">
        <v>129</v>
      </c>
      <c r="FY53" t="n">
        <v>208</v>
      </c>
      <c r="FZ53" t="n">
        <v>21</v>
      </c>
      <c r="GB53" t="n">
        <v>10</v>
      </c>
      <c r="HT53" t="n">
        <v>113</v>
      </c>
      <c r="HU53" t="n">
        <v>136</v>
      </c>
      <c r="HV53" t="n">
        <v>437</v>
      </c>
      <c r="JG53" t="n">
        <v>136</v>
      </c>
      <c r="JK53" t="n">
        <v>2</v>
      </c>
      <c r="JL53" t="n">
        <v>1</v>
      </c>
      <c r="JM53" t="n">
        <v>0</v>
      </c>
      <c r="JN53" t="n">
        <v>0</v>
      </c>
      <c r="JR53" t="n">
        <v>0</v>
      </c>
      <c r="JT53" t="n">
        <v>0</v>
      </c>
      <c r="JY53" t="n">
        <v>7</v>
      </c>
      <c r="KB53" t="n">
        <v>6</v>
      </c>
      <c r="KC53" t="n">
        <v>4</v>
      </c>
      <c r="KD53" t="n">
        <v>15</v>
      </c>
      <c r="KW53" t="n">
        <v>51</v>
      </c>
      <c r="KX53" t="n">
        <v>329</v>
      </c>
      <c r="KY53" t="n">
        <v>9</v>
      </c>
      <c r="KZ53" t="n">
        <v>3</v>
      </c>
      <c r="LA53" t="n">
        <v>3</v>
      </c>
      <c r="LK53" t="n">
        <v>2</v>
      </c>
      <c r="LO53" t="n">
        <v>117</v>
      </c>
      <c r="LT53" t="n">
        <v>274</v>
      </c>
      <c r="LW53" t="n">
        <v>316</v>
      </c>
      <c r="LY53" t="n">
        <v>52</v>
      </c>
      <c r="LZ53" t="n">
        <v>65</v>
      </c>
      <c r="MF53" t="n">
        <v>3</v>
      </c>
      <c r="MH53" t="n">
        <v>11</v>
      </c>
      <c r="MJ53" t="n">
        <v>791</v>
      </c>
      <c r="MO53" t="n">
        <v>20</v>
      </c>
      <c r="MQ53" t="n">
        <v>2</v>
      </c>
      <c r="MY53" t="n">
        <v>2</v>
      </c>
      <c r="MZ53" t="n">
        <v>88</v>
      </c>
      <c r="NC53" t="n">
        <v>20</v>
      </c>
      <c r="ND53" t="n">
        <v>43</v>
      </c>
      <c r="NE53" t="n">
        <v>27</v>
      </c>
      <c r="NM53" t="n">
        <v>28</v>
      </c>
      <c r="NO53" t="n">
        <v>85</v>
      </c>
      <c r="NP53" t="n">
        <v>240</v>
      </c>
      <c r="NQ53" t="n">
        <v>60</v>
      </c>
      <c r="OB53" t="n">
        <v>101</v>
      </c>
      <c r="OD53" t="n">
        <v>0</v>
      </c>
      <c r="OE53" t="n">
        <v>42</v>
      </c>
      <c r="OI53" t="n">
        <v>1</v>
      </c>
      <c r="OJ53" t="n">
        <v>30</v>
      </c>
      <c r="ON53" t="n">
        <v>371</v>
      </c>
      <c r="OO53" t="n">
        <v>10865</v>
      </c>
      <c r="OP53" t="n">
        <v>71</v>
      </c>
      <c r="OU53" t="n">
        <v>55</v>
      </c>
      <c r="OV53" t="n">
        <v>283</v>
      </c>
      <c r="PI53" t="n">
        <v>11274</v>
      </c>
      <c r="PM53">
        <f>IFERROR(VLOOKUP($A53&amp;"",Key!$A:$C,3,FALSE),"")</f>
        <v/>
      </c>
    </row>
    <row r="54">
      <c r="A54" t="n">
        <v>327910</v>
      </c>
      <c r="B54" t="inlineStr">
        <is>
          <t>Abrasive product manufacturing</t>
        </is>
      </c>
      <c r="P54" t="n">
        <v>32</v>
      </c>
      <c r="AA54" t="n">
        <v>11</v>
      </c>
      <c r="AB54" t="n">
        <v>258</v>
      </c>
      <c r="AC54" t="n">
        <v>110</v>
      </c>
      <c r="AD54" t="n">
        <v>25</v>
      </c>
      <c r="AE54" t="n">
        <v>74</v>
      </c>
      <c r="AF54" t="n">
        <v>29</v>
      </c>
      <c r="AG54" t="n">
        <v>77</v>
      </c>
      <c r="AH54" t="n">
        <v>17</v>
      </c>
      <c r="AI54" t="n">
        <v>244</v>
      </c>
      <c r="AJ54" t="n">
        <v>35</v>
      </c>
      <c r="AK54" t="n">
        <v>152</v>
      </c>
      <c r="AL54" t="n">
        <v>200</v>
      </c>
      <c r="AM54" t="n">
        <v>96</v>
      </c>
      <c r="AN54" t="n">
        <v>22</v>
      </c>
      <c r="AO54" t="n">
        <v>22</v>
      </c>
      <c r="AP54" t="n">
        <v>38</v>
      </c>
      <c r="AQ54" t="n">
        <v>12</v>
      </c>
      <c r="AR54" t="n">
        <v>4</v>
      </c>
      <c r="AS54" t="n">
        <v>15</v>
      </c>
      <c r="AT54" t="n">
        <v>74</v>
      </c>
      <c r="AU54" t="n">
        <v>16</v>
      </c>
      <c r="AV54" t="n">
        <v>34</v>
      </c>
      <c r="AW54" t="n">
        <v>23</v>
      </c>
      <c r="AX54" t="n">
        <v>318</v>
      </c>
      <c r="AY54" t="n">
        <v>71</v>
      </c>
      <c r="BA54" t="n">
        <v>42</v>
      </c>
      <c r="BC54" t="n">
        <v>27</v>
      </c>
      <c r="BD54" t="n">
        <v>5</v>
      </c>
      <c r="BE54" t="n">
        <v>6</v>
      </c>
      <c r="BF54" t="n">
        <v>0</v>
      </c>
      <c r="BG54" t="n">
        <v>8</v>
      </c>
      <c r="BI54" t="n">
        <v>4</v>
      </c>
      <c r="BJ54" t="n">
        <v>5</v>
      </c>
      <c r="BK54" t="n">
        <v>161</v>
      </c>
      <c r="BL54" t="n">
        <v>17</v>
      </c>
      <c r="BN54" t="n">
        <v>4</v>
      </c>
      <c r="BO54" t="n">
        <v>20</v>
      </c>
      <c r="BP54" t="n">
        <v>35</v>
      </c>
      <c r="BQ54" t="n">
        <v>319</v>
      </c>
      <c r="BR54" t="n">
        <v>47</v>
      </c>
      <c r="BS54" t="n">
        <v>17</v>
      </c>
      <c r="BT54" t="n">
        <v>10</v>
      </c>
      <c r="BU54" t="n">
        <v>6</v>
      </c>
      <c r="BV54" t="n">
        <v>104</v>
      </c>
      <c r="BW54" t="n">
        <v>3</v>
      </c>
      <c r="BX54" t="n">
        <v>147</v>
      </c>
      <c r="BY54" t="n">
        <v>138</v>
      </c>
      <c r="BZ54" t="n">
        <v>146</v>
      </c>
      <c r="CA54" t="n">
        <v>15</v>
      </c>
      <c r="CB54" t="n">
        <v>50</v>
      </c>
      <c r="CC54" t="n">
        <v>21</v>
      </c>
      <c r="CD54" t="n">
        <v>4</v>
      </c>
      <c r="CE54" t="n">
        <v>56</v>
      </c>
      <c r="CF54" t="n">
        <v>55</v>
      </c>
      <c r="CG54" t="n">
        <v>14</v>
      </c>
      <c r="CH54" t="n">
        <v>7</v>
      </c>
      <c r="CI54" t="n">
        <v>29</v>
      </c>
      <c r="CJ54" t="n">
        <v>84</v>
      </c>
      <c r="CK54" t="n">
        <v>20</v>
      </c>
      <c r="CL54" t="n">
        <v>191</v>
      </c>
      <c r="CO54" t="n">
        <v>26</v>
      </c>
      <c r="CP54" t="n">
        <v>6</v>
      </c>
      <c r="CQ54" t="n">
        <v>38</v>
      </c>
      <c r="CR54" t="n">
        <v>7</v>
      </c>
      <c r="CS54" t="n">
        <v>49</v>
      </c>
      <c r="CT54" t="n">
        <v>39</v>
      </c>
      <c r="CU54" t="n">
        <v>78</v>
      </c>
      <c r="CV54" t="n">
        <v>84</v>
      </c>
      <c r="CW54" t="n">
        <v>162</v>
      </c>
      <c r="CX54" t="n">
        <v>3</v>
      </c>
      <c r="CY54" t="n">
        <v>3</v>
      </c>
      <c r="CZ54" t="n">
        <v>28</v>
      </c>
      <c r="DA54" t="n">
        <v>26</v>
      </c>
      <c r="DB54" t="n">
        <v>85</v>
      </c>
      <c r="DC54" t="n">
        <v>59</v>
      </c>
      <c r="DD54" t="n">
        <v>11</v>
      </c>
      <c r="DE54" t="n">
        <v>7</v>
      </c>
      <c r="DF54" t="n">
        <v>1</v>
      </c>
      <c r="DG54" t="n">
        <v>51</v>
      </c>
      <c r="DH54" t="n">
        <v>211</v>
      </c>
      <c r="DK54" t="n">
        <v>0</v>
      </c>
      <c r="DM54" t="n">
        <v>14</v>
      </c>
      <c r="DO54" t="n">
        <v>10</v>
      </c>
      <c r="DP54" t="n">
        <v>6</v>
      </c>
      <c r="DQ54" t="n">
        <v>7</v>
      </c>
      <c r="DS54" t="n">
        <v>23</v>
      </c>
      <c r="DT54" t="n">
        <v>0</v>
      </c>
      <c r="DU54" t="n">
        <v>5</v>
      </c>
      <c r="DV54" t="n">
        <v>1</v>
      </c>
      <c r="DW54" t="n">
        <v>9</v>
      </c>
      <c r="DX54" t="n">
        <v>7</v>
      </c>
      <c r="DZ54" t="n">
        <v>10</v>
      </c>
      <c r="EC54" t="n">
        <v>0</v>
      </c>
      <c r="EE54" t="n">
        <v>6</v>
      </c>
      <c r="EF54" t="n">
        <v>3</v>
      </c>
      <c r="EG54" t="n">
        <v>2</v>
      </c>
      <c r="EH54" t="n">
        <v>4</v>
      </c>
      <c r="EI54" t="n">
        <v>5</v>
      </c>
      <c r="EJ54" t="n">
        <v>12</v>
      </c>
      <c r="EM54" t="n">
        <v>0</v>
      </c>
      <c r="EN54" t="n">
        <v>72</v>
      </c>
      <c r="EP54" t="n">
        <v>4</v>
      </c>
      <c r="ER54" t="n">
        <v>8</v>
      </c>
      <c r="ES54" t="n">
        <v>15</v>
      </c>
      <c r="ET54" t="n">
        <v>62</v>
      </c>
      <c r="EU54" t="n">
        <v>3</v>
      </c>
      <c r="EV54" t="n">
        <v>1</v>
      </c>
      <c r="EW54" t="n">
        <v>3</v>
      </c>
      <c r="EX54" t="n">
        <v>17</v>
      </c>
      <c r="EY54" t="n">
        <v>13</v>
      </c>
      <c r="EZ54" t="n">
        <v>8</v>
      </c>
      <c r="FA54" t="n">
        <v>24</v>
      </c>
      <c r="FB54" t="n">
        <v>45</v>
      </c>
      <c r="FC54" t="n">
        <v>187</v>
      </c>
      <c r="FD54" t="n">
        <v>48</v>
      </c>
      <c r="FE54" t="n">
        <v>124</v>
      </c>
      <c r="FF54" t="n">
        <v>0</v>
      </c>
      <c r="FG54" t="n">
        <v>17</v>
      </c>
      <c r="FI54" t="n">
        <v>1</v>
      </c>
      <c r="FJ54" t="n">
        <v>7</v>
      </c>
      <c r="FK54" t="n">
        <v>15</v>
      </c>
      <c r="FL54" t="n">
        <v>7</v>
      </c>
      <c r="FN54" t="n">
        <v>0</v>
      </c>
      <c r="FO54" t="n">
        <v>2</v>
      </c>
      <c r="FP54" t="n">
        <v>11</v>
      </c>
      <c r="FQ54" t="n">
        <v>37</v>
      </c>
      <c r="FR54" t="n">
        <v>10</v>
      </c>
      <c r="FS54" t="n">
        <v>17</v>
      </c>
      <c r="FT54" t="n">
        <v>37</v>
      </c>
      <c r="FU54" t="n">
        <v>23</v>
      </c>
      <c r="FV54" t="n">
        <v>64</v>
      </c>
      <c r="FW54" t="n">
        <v>14</v>
      </c>
      <c r="FX54" t="n">
        <v>114</v>
      </c>
      <c r="FY54" t="n">
        <v>48</v>
      </c>
      <c r="FZ54" t="n">
        <v>6</v>
      </c>
      <c r="GA54" t="n">
        <v>4</v>
      </c>
      <c r="GB54" t="n">
        <v>6</v>
      </c>
      <c r="GC54" t="n">
        <v>4</v>
      </c>
      <c r="GD54" t="n">
        <v>31</v>
      </c>
      <c r="GE54" t="n">
        <v>2</v>
      </c>
      <c r="GF54" t="n">
        <v>6</v>
      </c>
      <c r="GG54" t="n">
        <v>197</v>
      </c>
      <c r="GH54" t="n">
        <v>75</v>
      </c>
      <c r="GO54" t="n">
        <v>3</v>
      </c>
      <c r="GP54" t="n">
        <v>0</v>
      </c>
      <c r="GQ54" t="n">
        <v>0</v>
      </c>
      <c r="GW54" t="n">
        <v>1</v>
      </c>
      <c r="HA54" t="n">
        <v>0</v>
      </c>
      <c r="HH54" t="n">
        <v>0</v>
      </c>
      <c r="HU54" t="n">
        <v>11</v>
      </c>
      <c r="HV54" t="n">
        <v>10</v>
      </c>
      <c r="IB54" t="n">
        <v>1</v>
      </c>
      <c r="IL54" t="n">
        <v>2</v>
      </c>
      <c r="IM54" t="n">
        <v>1</v>
      </c>
      <c r="IN54" t="n">
        <v>1</v>
      </c>
      <c r="IW54" t="n">
        <v>0</v>
      </c>
      <c r="IX54" t="n">
        <v>0</v>
      </c>
      <c r="IZ54" t="n">
        <v>8</v>
      </c>
      <c r="JA54" t="n">
        <v>9</v>
      </c>
      <c r="JB54" t="n">
        <v>6</v>
      </c>
      <c r="JD54" t="n">
        <v>4</v>
      </c>
      <c r="JE54" t="n">
        <v>1</v>
      </c>
      <c r="JF54" t="n">
        <v>2</v>
      </c>
      <c r="JG54" t="n">
        <v>46</v>
      </c>
      <c r="JJ54" t="n">
        <v>7</v>
      </c>
      <c r="JL54" t="n">
        <v>3</v>
      </c>
      <c r="JN54" t="n">
        <v>4</v>
      </c>
      <c r="JO54" t="n">
        <v>6</v>
      </c>
      <c r="JV54" t="n">
        <v>6</v>
      </c>
      <c r="JZ54" t="n">
        <v>2</v>
      </c>
      <c r="KD54" t="n">
        <v>2</v>
      </c>
      <c r="KM54" t="n">
        <v>81</v>
      </c>
      <c r="KW54" t="n">
        <v>3</v>
      </c>
      <c r="KX54" t="n">
        <v>19</v>
      </c>
      <c r="KZ54" t="n">
        <v>9</v>
      </c>
      <c r="LN54" t="n">
        <v>34</v>
      </c>
      <c r="LO54" t="n">
        <v>62</v>
      </c>
      <c r="LZ54" t="n">
        <v>20</v>
      </c>
      <c r="MA54" t="n">
        <v>10</v>
      </c>
      <c r="ME54" t="n">
        <v>1</v>
      </c>
      <c r="MH54" t="n">
        <v>0</v>
      </c>
      <c r="MK54" t="n">
        <v>9</v>
      </c>
      <c r="MM54" t="n">
        <v>18</v>
      </c>
      <c r="MN54" t="n">
        <v>6</v>
      </c>
      <c r="MQ54" t="n">
        <v>0</v>
      </c>
      <c r="MZ54" t="n">
        <v>0</v>
      </c>
      <c r="NC54" t="n">
        <v>1</v>
      </c>
      <c r="NE54" t="n">
        <v>1</v>
      </c>
      <c r="NM54" t="n">
        <v>4</v>
      </c>
      <c r="NR54" t="n">
        <v>3</v>
      </c>
      <c r="NT54" t="n">
        <v>186</v>
      </c>
      <c r="NU54" t="n">
        <v>100</v>
      </c>
      <c r="OD54" t="n">
        <v>3</v>
      </c>
      <c r="OE54" t="n">
        <v>83</v>
      </c>
      <c r="OI54" t="n">
        <v>15</v>
      </c>
      <c r="OJ54" t="n">
        <v>552</v>
      </c>
      <c r="OK54" t="n">
        <v>6</v>
      </c>
      <c r="ON54" t="n">
        <v>4</v>
      </c>
      <c r="OO54" t="n">
        <v>7686</v>
      </c>
      <c r="OP54" t="n">
        <v>382</v>
      </c>
      <c r="OU54" t="n">
        <v>45</v>
      </c>
      <c r="OV54" t="n">
        <v>1214</v>
      </c>
      <c r="PI54" t="n">
        <v>9326</v>
      </c>
      <c r="PM54">
        <f>IFERROR(VLOOKUP($A54&amp;"",Key!$A:$C,3,FALSE),"")</f>
        <v/>
      </c>
    </row>
    <row r="55">
      <c r="A55" t="n">
        <v>327991</v>
      </c>
      <c r="B55" t="inlineStr">
        <is>
          <t>Cut stone and stone product manufacturing</t>
        </is>
      </c>
      <c r="AA55" t="n">
        <v>349</v>
      </c>
      <c r="AB55" t="n">
        <v>2985</v>
      </c>
      <c r="AC55" t="n">
        <v>44</v>
      </c>
      <c r="AD55" t="n">
        <v>20</v>
      </c>
      <c r="AE55" t="n">
        <v>584</v>
      </c>
      <c r="AF55" t="n">
        <v>187</v>
      </c>
      <c r="AG55" t="n">
        <v>386</v>
      </c>
      <c r="AI55" t="n">
        <v>33</v>
      </c>
      <c r="AJ55" t="n">
        <v>44</v>
      </c>
      <c r="AK55" t="n">
        <v>725</v>
      </c>
      <c r="AL55" t="n">
        <v>1</v>
      </c>
      <c r="AQ55" t="n">
        <v>17</v>
      </c>
      <c r="AY55" t="n">
        <v>295</v>
      </c>
      <c r="FZ55" t="n">
        <v>15</v>
      </c>
      <c r="GB55" t="n">
        <v>14</v>
      </c>
      <c r="KW55" t="n">
        <v>38</v>
      </c>
      <c r="KX55" t="n">
        <v>244</v>
      </c>
      <c r="KY55" t="n">
        <v>7</v>
      </c>
      <c r="LZ55" t="n">
        <v>60</v>
      </c>
      <c r="MF55" t="n">
        <v>2</v>
      </c>
      <c r="MQ55" t="n">
        <v>2</v>
      </c>
      <c r="NF55" t="n">
        <v>2</v>
      </c>
      <c r="NP55" t="n">
        <v>117</v>
      </c>
      <c r="NQ55" t="n">
        <v>40</v>
      </c>
      <c r="OD55" t="n">
        <v>72</v>
      </c>
      <c r="OI55" t="n">
        <v>123</v>
      </c>
      <c r="OK55" t="n">
        <v>3</v>
      </c>
      <c r="ON55" t="n">
        <v>29</v>
      </c>
      <c r="OO55" t="n">
        <v>6440</v>
      </c>
      <c r="OP55" t="n">
        <v>5100</v>
      </c>
      <c r="OU55" t="n">
        <v>22</v>
      </c>
      <c r="OV55" t="n">
        <v>96</v>
      </c>
      <c r="PI55" t="n">
        <v>11659</v>
      </c>
      <c r="PM55">
        <f>IFERROR(VLOOKUP($A55&amp;"",Key!$A:$C,3,FALSE),"")</f>
        <v/>
      </c>
    </row>
    <row r="56">
      <c r="A56" t="n">
        <v>327992</v>
      </c>
      <c r="B56" t="inlineStr">
        <is>
          <t>Ground or treated mineral and earth manufacturing</t>
        </is>
      </c>
      <c r="Q56" t="n">
        <v>321</v>
      </c>
      <c r="R56" t="n">
        <v>23</v>
      </c>
      <c r="V56" t="n">
        <v>310</v>
      </c>
      <c r="W56" t="n">
        <v>517</v>
      </c>
      <c r="AC56" t="n">
        <v>2</v>
      </c>
      <c r="AD56" t="n">
        <v>78</v>
      </c>
      <c r="AG56" t="n">
        <v>163</v>
      </c>
      <c r="AJ56" t="n">
        <v>1</v>
      </c>
      <c r="AK56" t="n">
        <v>31</v>
      </c>
      <c r="AQ56" t="n">
        <v>128</v>
      </c>
      <c r="AR56" t="n">
        <v>149</v>
      </c>
      <c r="AS56" t="n">
        <v>123</v>
      </c>
      <c r="AT56" t="n">
        <v>49</v>
      </c>
      <c r="AU56" t="n">
        <v>12</v>
      </c>
      <c r="AV56" t="n">
        <v>22</v>
      </c>
      <c r="AW56" t="n">
        <v>248</v>
      </c>
      <c r="AX56" t="n">
        <v>23</v>
      </c>
      <c r="AY56" t="n">
        <v>109</v>
      </c>
      <c r="AZ56" t="n">
        <v>437</v>
      </c>
      <c r="BC56" t="n">
        <v>769</v>
      </c>
      <c r="BD56" t="n">
        <v>159</v>
      </c>
      <c r="BK56" t="n">
        <v>2</v>
      </c>
      <c r="EO56" t="n">
        <v>278</v>
      </c>
      <c r="ER56" t="n">
        <v>2</v>
      </c>
      <c r="EX56" t="n">
        <v>8</v>
      </c>
      <c r="EY56" t="n">
        <v>8</v>
      </c>
      <c r="EZ56" t="n">
        <v>2</v>
      </c>
      <c r="FC56" t="n">
        <v>94</v>
      </c>
      <c r="FD56" t="n">
        <v>49</v>
      </c>
      <c r="FS56" t="n">
        <v>5</v>
      </c>
      <c r="FZ56" t="n">
        <v>9</v>
      </c>
      <c r="GB56" t="n">
        <v>9</v>
      </c>
      <c r="GF56" t="n">
        <v>4</v>
      </c>
      <c r="GH56" t="n">
        <v>245</v>
      </c>
      <c r="IF56" t="n">
        <v>133</v>
      </c>
      <c r="IG56" t="n">
        <v>11</v>
      </c>
      <c r="IM56" t="n">
        <v>2</v>
      </c>
      <c r="IS56" t="n">
        <v>202</v>
      </c>
      <c r="IU56" t="n">
        <v>1004</v>
      </c>
      <c r="IZ56" t="n">
        <v>112</v>
      </c>
      <c r="LK56" t="n">
        <v>0</v>
      </c>
      <c r="OE56" t="n">
        <v>2</v>
      </c>
      <c r="OO56" t="n">
        <v>5851</v>
      </c>
      <c r="OP56" t="n">
        <v>80</v>
      </c>
      <c r="OU56" t="n">
        <v>-116</v>
      </c>
      <c r="OV56" t="n">
        <v>352</v>
      </c>
      <c r="PI56" t="n">
        <v>6167</v>
      </c>
      <c r="PM56">
        <f>IFERROR(VLOOKUP($A56&amp;"",Key!$A:$C,3,FALSE),"")</f>
        <v/>
      </c>
    </row>
    <row r="57">
      <c r="A57" t="n">
        <v>327993</v>
      </c>
      <c r="B57" t="inlineStr">
        <is>
          <t>Mineral wool manufacturing</t>
        </is>
      </c>
      <c r="AA57" t="n">
        <v>63</v>
      </c>
      <c r="AB57" t="n">
        <v>241</v>
      </c>
      <c r="AC57" t="n">
        <v>8</v>
      </c>
      <c r="AD57" t="n">
        <v>272</v>
      </c>
      <c r="AE57" t="n">
        <v>251</v>
      </c>
      <c r="AF57" t="n">
        <v>212</v>
      </c>
      <c r="AG57" t="n">
        <v>2846</v>
      </c>
      <c r="AH57" t="n">
        <v>220</v>
      </c>
      <c r="AI57" t="n">
        <v>187</v>
      </c>
      <c r="AJ57" t="n">
        <v>29</v>
      </c>
      <c r="AK57" t="n">
        <v>1565</v>
      </c>
      <c r="AL57" t="n">
        <v>92</v>
      </c>
      <c r="AN57" t="n">
        <v>3</v>
      </c>
      <c r="AO57" t="n">
        <v>217</v>
      </c>
      <c r="AP57" t="n">
        <v>75</v>
      </c>
      <c r="AQ57" t="n">
        <v>10</v>
      </c>
      <c r="AR57" t="n">
        <v>181</v>
      </c>
      <c r="AS57" t="n">
        <v>39</v>
      </c>
      <c r="AT57" t="n">
        <v>182</v>
      </c>
      <c r="AU57" t="n">
        <v>41</v>
      </c>
      <c r="AV57" t="n">
        <v>84</v>
      </c>
      <c r="AW57" t="n">
        <v>6</v>
      </c>
      <c r="BA57" t="n">
        <v>7</v>
      </c>
      <c r="BC57" t="n">
        <v>1</v>
      </c>
      <c r="BD57" t="n">
        <v>12</v>
      </c>
      <c r="BK57" t="n">
        <v>5</v>
      </c>
      <c r="CQ57" t="n">
        <v>105</v>
      </c>
      <c r="EE57" t="n">
        <v>37</v>
      </c>
      <c r="EF57" t="n">
        <v>139</v>
      </c>
      <c r="EM57" t="n">
        <v>17</v>
      </c>
      <c r="EQ57" t="n">
        <v>2</v>
      </c>
      <c r="ER57" t="n">
        <v>32</v>
      </c>
      <c r="EX57" t="n">
        <v>36</v>
      </c>
      <c r="EY57" t="n">
        <v>35</v>
      </c>
      <c r="EZ57" t="n">
        <v>31</v>
      </c>
      <c r="FC57" t="n">
        <v>523</v>
      </c>
      <c r="FD57" t="n">
        <v>134</v>
      </c>
      <c r="FZ57" t="n">
        <v>1</v>
      </c>
      <c r="GB57" t="n">
        <v>1</v>
      </c>
      <c r="IE57" t="n">
        <v>6</v>
      </c>
      <c r="KD57" t="n">
        <v>0</v>
      </c>
      <c r="LK57" t="n">
        <v>2</v>
      </c>
      <c r="LL57" t="n">
        <v>1</v>
      </c>
      <c r="LW57" t="n">
        <v>29</v>
      </c>
      <c r="LZ57" t="n">
        <v>27</v>
      </c>
      <c r="MF57" t="n">
        <v>1</v>
      </c>
      <c r="MH57" t="n">
        <v>38</v>
      </c>
      <c r="MO57" t="n">
        <v>63</v>
      </c>
      <c r="OM57" t="n">
        <v>21</v>
      </c>
      <c r="ON57" t="n">
        <v>67</v>
      </c>
      <c r="OO57" t="n">
        <v>8189</v>
      </c>
      <c r="OU57" t="n">
        <v>20</v>
      </c>
      <c r="OV57" t="n">
        <v>970</v>
      </c>
      <c r="PI57" t="n">
        <v>9178</v>
      </c>
      <c r="PM57">
        <f>IFERROR(VLOOKUP($A57&amp;"",Key!$A:$C,3,FALSE),"")</f>
        <v/>
      </c>
    </row>
    <row r="58">
      <c r="A58" t="n">
        <v>327999</v>
      </c>
      <c r="B58" t="inlineStr">
        <is>
          <t>Miscellaneous nonmetallic mineral products</t>
        </is>
      </c>
      <c r="AA58" t="n">
        <v>0</v>
      </c>
      <c r="AB58" t="n">
        <v>15</v>
      </c>
      <c r="AC58" t="n">
        <v>21</v>
      </c>
      <c r="AD58" t="n">
        <v>8</v>
      </c>
      <c r="AE58" t="n">
        <v>124</v>
      </c>
      <c r="AF58" t="n">
        <v>554</v>
      </c>
      <c r="AG58" t="n">
        <v>194</v>
      </c>
      <c r="AH58" t="n">
        <v>54</v>
      </c>
      <c r="AI58" t="n">
        <v>226</v>
      </c>
      <c r="AJ58" t="n">
        <v>35</v>
      </c>
      <c r="AK58" t="n">
        <v>1219</v>
      </c>
      <c r="AL58" t="n">
        <v>713</v>
      </c>
      <c r="AQ58" t="n">
        <v>12</v>
      </c>
      <c r="AS58" t="n">
        <v>25</v>
      </c>
      <c r="AT58" t="n">
        <v>121</v>
      </c>
      <c r="AU58" t="n">
        <v>10</v>
      </c>
      <c r="AV58" t="n">
        <v>28</v>
      </c>
      <c r="AW58" t="n">
        <v>15</v>
      </c>
      <c r="AX58" t="n">
        <v>8</v>
      </c>
      <c r="AY58" t="n">
        <v>35</v>
      </c>
      <c r="BB58" t="n">
        <v>156</v>
      </c>
      <c r="BD58" t="n">
        <v>7</v>
      </c>
      <c r="BK58" t="n">
        <v>2</v>
      </c>
      <c r="CG58" t="n">
        <v>312</v>
      </c>
      <c r="CJ58" t="n">
        <v>531</v>
      </c>
      <c r="CT58" t="n">
        <v>21</v>
      </c>
      <c r="CV58" t="n">
        <v>69</v>
      </c>
      <c r="EO58" t="n">
        <v>208</v>
      </c>
      <c r="EQ58" t="n">
        <v>0</v>
      </c>
      <c r="ER58" t="n">
        <v>18</v>
      </c>
      <c r="ES58" t="n">
        <v>1</v>
      </c>
      <c r="EX58" t="n">
        <v>21</v>
      </c>
      <c r="EY58" t="n">
        <v>21</v>
      </c>
      <c r="EZ58" t="n">
        <v>17</v>
      </c>
      <c r="FC58" t="n">
        <v>279</v>
      </c>
      <c r="FD58" t="n">
        <v>80</v>
      </c>
      <c r="FZ58" t="n">
        <v>4</v>
      </c>
      <c r="GB58" t="n">
        <v>4</v>
      </c>
      <c r="IE58" t="n">
        <v>56</v>
      </c>
      <c r="IF58" t="n">
        <v>1184</v>
      </c>
      <c r="JN58" t="n">
        <v>0</v>
      </c>
      <c r="KH58" t="n">
        <v>192</v>
      </c>
      <c r="LA58" t="n">
        <v>0</v>
      </c>
      <c r="LB58" t="n">
        <v>0</v>
      </c>
      <c r="LM58" t="n">
        <v>11</v>
      </c>
      <c r="LY58" t="n">
        <v>4</v>
      </c>
      <c r="LZ58" t="n">
        <v>22</v>
      </c>
      <c r="MQ58" t="n">
        <v>0</v>
      </c>
      <c r="MZ58" t="n">
        <v>66</v>
      </c>
      <c r="OD58" t="n">
        <v>11</v>
      </c>
      <c r="ON58" t="n">
        <v>84</v>
      </c>
      <c r="OO58" t="n">
        <v>6801</v>
      </c>
      <c r="OU58" t="n">
        <v>13</v>
      </c>
      <c r="OV58" t="n">
        <v>618</v>
      </c>
      <c r="PI58" t="n">
        <v>7431</v>
      </c>
      <c r="PM58">
        <f>IFERROR(VLOOKUP($A58&amp;"",Key!$A:$C,3,FALSE),"")</f>
        <v/>
      </c>
    </row>
    <row r="59">
      <c r="A59" t="n">
        <v>331110</v>
      </c>
      <c r="B59" t="inlineStr">
        <is>
          <t>Iron and steel mills and ferroalloy manufacturing</t>
        </is>
      </c>
      <c r="P59" t="n">
        <v>1735</v>
      </c>
      <c r="Q59" t="n">
        <v>28</v>
      </c>
      <c r="R59" t="n">
        <v>23</v>
      </c>
      <c r="S59" t="n">
        <v>140</v>
      </c>
      <c r="T59" t="n">
        <v>84</v>
      </c>
      <c r="U59" t="n">
        <v>239</v>
      </c>
      <c r="V59" t="n">
        <v>238</v>
      </c>
      <c r="W59" t="n">
        <v>284</v>
      </c>
      <c r="AA59" t="n">
        <v>5</v>
      </c>
      <c r="AB59" t="n">
        <v>2</v>
      </c>
      <c r="AC59" t="n">
        <v>550</v>
      </c>
      <c r="AE59" t="n">
        <v>12</v>
      </c>
      <c r="AF59" t="n">
        <v>235</v>
      </c>
      <c r="AG59" t="n">
        <v>147</v>
      </c>
      <c r="AI59" t="n">
        <v>192</v>
      </c>
      <c r="AJ59" t="n">
        <v>46</v>
      </c>
      <c r="AK59" t="n">
        <v>227</v>
      </c>
      <c r="AL59" t="n">
        <v>40</v>
      </c>
      <c r="AO59" t="n">
        <v>5</v>
      </c>
      <c r="AP59" t="n">
        <v>113</v>
      </c>
      <c r="AU59" t="n">
        <v>30</v>
      </c>
      <c r="AV59" t="n">
        <v>102</v>
      </c>
      <c r="AX59" t="n">
        <v>47</v>
      </c>
      <c r="AZ59" t="n">
        <v>214</v>
      </c>
      <c r="BA59" t="n">
        <v>26</v>
      </c>
      <c r="BB59" t="n">
        <v>3</v>
      </c>
      <c r="BC59" t="n">
        <v>8615</v>
      </c>
      <c r="BD59" t="n">
        <v>8992</v>
      </c>
      <c r="BG59" t="n">
        <v>58</v>
      </c>
      <c r="BJ59" t="n">
        <v>71</v>
      </c>
      <c r="BK59" t="n">
        <v>984</v>
      </c>
      <c r="BM59" t="n">
        <v>2287</v>
      </c>
      <c r="BN59" t="n">
        <v>2084</v>
      </c>
      <c r="BO59" t="n">
        <v>2778</v>
      </c>
      <c r="BP59" t="n">
        <v>1268</v>
      </c>
      <c r="BQ59" t="n">
        <v>13942</v>
      </c>
      <c r="BR59" t="n">
        <v>8728</v>
      </c>
      <c r="BS59" t="n">
        <v>794</v>
      </c>
      <c r="BT59" t="n">
        <v>1708</v>
      </c>
      <c r="BU59" t="n">
        <v>972</v>
      </c>
      <c r="BV59" t="n">
        <v>949</v>
      </c>
      <c r="BW59" t="n">
        <v>689</v>
      </c>
      <c r="BX59" t="n">
        <v>2326</v>
      </c>
      <c r="BY59" t="n">
        <v>2839</v>
      </c>
      <c r="BZ59" t="n">
        <v>1078</v>
      </c>
      <c r="CA59" t="n">
        <v>11</v>
      </c>
      <c r="CB59" t="n">
        <v>949</v>
      </c>
      <c r="CC59" t="n">
        <v>302</v>
      </c>
      <c r="CD59" t="n">
        <v>1218</v>
      </c>
      <c r="CE59" t="n">
        <v>153</v>
      </c>
      <c r="CF59" t="n">
        <v>2077</v>
      </c>
      <c r="CG59" t="n">
        <v>3076</v>
      </c>
      <c r="CH59" t="n">
        <v>339</v>
      </c>
      <c r="CI59" t="n">
        <v>3609</v>
      </c>
      <c r="CJ59" t="n">
        <v>1784</v>
      </c>
      <c r="CK59" t="n">
        <v>37</v>
      </c>
      <c r="CL59" t="n">
        <v>1104</v>
      </c>
      <c r="CM59" t="n">
        <v>39</v>
      </c>
      <c r="CN59" t="n">
        <v>2</v>
      </c>
      <c r="CO59" t="n">
        <v>681</v>
      </c>
      <c r="CP59" t="n">
        <v>576</v>
      </c>
      <c r="CQ59" t="n">
        <v>1717</v>
      </c>
      <c r="CR59" t="n">
        <v>476</v>
      </c>
      <c r="CS59" t="n">
        <v>292</v>
      </c>
      <c r="CT59" t="n">
        <v>262</v>
      </c>
      <c r="CU59" t="n">
        <v>497</v>
      </c>
      <c r="CV59" t="n">
        <v>383</v>
      </c>
      <c r="CW59" t="n">
        <v>369</v>
      </c>
      <c r="CX59" t="n">
        <v>55</v>
      </c>
      <c r="CY59" t="n">
        <v>344</v>
      </c>
      <c r="CZ59" t="n">
        <v>619</v>
      </c>
      <c r="DA59" t="n">
        <v>138</v>
      </c>
      <c r="DB59" t="n">
        <v>519</v>
      </c>
      <c r="DC59" t="n">
        <v>4902</v>
      </c>
      <c r="DD59" t="n">
        <v>188</v>
      </c>
      <c r="DE59" t="n">
        <v>28</v>
      </c>
      <c r="DF59" t="n">
        <v>133</v>
      </c>
      <c r="DG59" t="n">
        <v>2070</v>
      </c>
      <c r="DH59" t="n">
        <v>533</v>
      </c>
      <c r="DJ59" t="n">
        <v>1</v>
      </c>
      <c r="DK59" t="n">
        <v>2</v>
      </c>
      <c r="DL59" t="n">
        <v>71</v>
      </c>
      <c r="DM59" t="n">
        <v>42</v>
      </c>
      <c r="DN59" t="n">
        <v>9</v>
      </c>
      <c r="DO59" t="n">
        <v>64</v>
      </c>
      <c r="DP59" t="n">
        <v>60</v>
      </c>
      <c r="DQ59" t="n">
        <v>183</v>
      </c>
      <c r="DR59" t="n">
        <v>60</v>
      </c>
      <c r="DS59" t="n">
        <v>13</v>
      </c>
      <c r="DT59" t="n">
        <v>8</v>
      </c>
      <c r="DU59" t="n">
        <v>30</v>
      </c>
      <c r="DV59" t="n">
        <v>17</v>
      </c>
      <c r="DW59" t="n">
        <v>6</v>
      </c>
      <c r="DX59" t="n">
        <v>103</v>
      </c>
      <c r="DY59" t="n">
        <v>41</v>
      </c>
      <c r="DZ59" t="n">
        <v>9</v>
      </c>
      <c r="EA59" t="n">
        <v>15</v>
      </c>
      <c r="EB59" t="n">
        <v>0</v>
      </c>
      <c r="ED59" t="n">
        <v>102</v>
      </c>
      <c r="EE59" t="n">
        <v>37</v>
      </c>
      <c r="EF59" t="n">
        <v>1233</v>
      </c>
      <c r="EG59" t="n">
        <v>370</v>
      </c>
      <c r="EH59" t="n">
        <v>129</v>
      </c>
      <c r="EI59" t="n">
        <v>742</v>
      </c>
      <c r="EJ59" t="n">
        <v>222</v>
      </c>
      <c r="EK59" t="n">
        <v>340</v>
      </c>
      <c r="EL59" t="n">
        <v>23</v>
      </c>
      <c r="EM59" t="n">
        <v>17</v>
      </c>
      <c r="EN59" t="n">
        <v>554</v>
      </c>
      <c r="EP59" t="n">
        <v>32</v>
      </c>
      <c r="EQ59" t="n">
        <v>12</v>
      </c>
      <c r="ER59" t="n">
        <v>2177</v>
      </c>
      <c r="ES59" t="n">
        <v>97</v>
      </c>
      <c r="ET59" t="n">
        <v>901</v>
      </c>
      <c r="EU59" t="n">
        <v>674</v>
      </c>
      <c r="EV59" t="n">
        <v>5</v>
      </c>
      <c r="EW59" t="n">
        <v>344</v>
      </c>
      <c r="EX59" t="n">
        <v>476</v>
      </c>
      <c r="EY59" t="n">
        <v>246</v>
      </c>
      <c r="EZ59" t="n">
        <v>525</v>
      </c>
      <c r="FA59" t="n">
        <v>59</v>
      </c>
      <c r="FB59" t="n">
        <v>13254</v>
      </c>
      <c r="FC59" t="n">
        <v>1828</v>
      </c>
      <c r="FD59" t="n">
        <v>1476</v>
      </c>
      <c r="FE59" t="n">
        <v>4190</v>
      </c>
      <c r="FF59" t="n">
        <v>20</v>
      </c>
      <c r="FG59" t="n">
        <v>204</v>
      </c>
      <c r="FH59" t="n">
        <v>19</v>
      </c>
      <c r="FI59" t="n">
        <v>14</v>
      </c>
      <c r="FJ59" t="n">
        <v>1002</v>
      </c>
      <c r="FK59" t="n">
        <v>377</v>
      </c>
      <c r="FL59" t="n">
        <v>56</v>
      </c>
      <c r="FM59" t="n">
        <v>261</v>
      </c>
      <c r="FN59" t="n">
        <v>749</v>
      </c>
      <c r="FO59" t="n">
        <v>452</v>
      </c>
      <c r="FQ59" t="n">
        <v>204</v>
      </c>
      <c r="FR59" t="n">
        <v>0</v>
      </c>
      <c r="FS59" t="n">
        <v>191</v>
      </c>
      <c r="FT59" t="n">
        <v>203</v>
      </c>
      <c r="FU59" t="n">
        <v>632</v>
      </c>
      <c r="FV59" t="n">
        <v>648</v>
      </c>
      <c r="FW59" t="n">
        <v>23</v>
      </c>
      <c r="FX59" t="n">
        <v>263</v>
      </c>
      <c r="FY59" t="n">
        <v>150</v>
      </c>
      <c r="FZ59" t="n">
        <v>11</v>
      </c>
      <c r="GB59" t="n">
        <v>17</v>
      </c>
      <c r="GC59" t="n">
        <v>6</v>
      </c>
      <c r="GD59" t="n">
        <v>166</v>
      </c>
      <c r="GE59" t="n">
        <v>5</v>
      </c>
      <c r="GF59" t="n">
        <v>9</v>
      </c>
      <c r="GG59" t="n">
        <v>553</v>
      </c>
      <c r="GH59" t="n">
        <v>1062</v>
      </c>
      <c r="HQ59" t="n">
        <v>17</v>
      </c>
      <c r="HW59" t="n">
        <v>61</v>
      </c>
      <c r="IB59" t="n">
        <v>1</v>
      </c>
      <c r="IC59" t="n">
        <v>15</v>
      </c>
      <c r="IJ59" t="n">
        <v>11</v>
      </c>
      <c r="IK59" t="n">
        <v>41</v>
      </c>
      <c r="IL59" t="n">
        <v>1</v>
      </c>
      <c r="IZ59" t="n">
        <v>1</v>
      </c>
      <c r="JG59" t="n">
        <v>73</v>
      </c>
      <c r="JJ59" t="n">
        <v>862</v>
      </c>
      <c r="JL59" t="n">
        <v>0</v>
      </c>
      <c r="JN59" t="n">
        <v>0</v>
      </c>
      <c r="JO59" t="n">
        <v>251</v>
      </c>
      <c r="JP59" t="n">
        <v>23</v>
      </c>
      <c r="JQ59" t="n">
        <v>1</v>
      </c>
      <c r="JS59" t="n">
        <v>4</v>
      </c>
      <c r="JV59" t="n">
        <v>6</v>
      </c>
      <c r="JX59" t="n">
        <v>0</v>
      </c>
      <c r="KB59" t="n">
        <v>1</v>
      </c>
      <c r="KC59" t="n">
        <v>0</v>
      </c>
      <c r="KD59" t="n">
        <v>0</v>
      </c>
      <c r="KF59" t="n">
        <v>229</v>
      </c>
      <c r="KK59" t="n">
        <v>152</v>
      </c>
      <c r="KN59" t="n">
        <v>2</v>
      </c>
      <c r="KP59" t="n">
        <v>5</v>
      </c>
      <c r="KQ59" t="n">
        <v>3</v>
      </c>
      <c r="KS59" t="n">
        <v>1</v>
      </c>
      <c r="KT59" t="n">
        <v>2</v>
      </c>
      <c r="KU59" t="n">
        <v>23</v>
      </c>
      <c r="KV59" t="n">
        <v>10</v>
      </c>
      <c r="KW59" t="n">
        <v>49</v>
      </c>
      <c r="KX59" t="n">
        <v>12</v>
      </c>
      <c r="KY59" t="n">
        <v>11</v>
      </c>
      <c r="KZ59" t="n">
        <v>13</v>
      </c>
      <c r="LA59" t="n">
        <v>113</v>
      </c>
      <c r="LB59" t="n">
        <v>0</v>
      </c>
      <c r="LM59" t="n">
        <v>2775</v>
      </c>
      <c r="LO59" t="n">
        <v>62</v>
      </c>
      <c r="LV59" t="n">
        <v>4</v>
      </c>
      <c r="LW59" t="n">
        <v>468</v>
      </c>
      <c r="LZ59" t="n">
        <v>175</v>
      </c>
      <c r="MF59" t="n">
        <v>31</v>
      </c>
      <c r="MH59" t="n">
        <v>260</v>
      </c>
      <c r="MM59" t="n">
        <v>215</v>
      </c>
      <c r="MO59" t="n">
        <v>303</v>
      </c>
      <c r="MR59" t="n">
        <v>159</v>
      </c>
      <c r="MS59" t="n">
        <v>4</v>
      </c>
      <c r="MT59" t="n">
        <v>7</v>
      </c>
      <c r="MU59" t="n">
        <v>26</v>
      </c>
      <c r="MV59" t="n">
        <v>62</v>
      </c>
      <c r="MW59" t="n">
        <v>2</v>
      </c>
      <c r="MX59" t="n">
        <v>9</v>
      </c>
      <c r="MY59" t="n">
        <v>33</v>
      </c>
      <c r="MZ59" t="n">
        <v>3</v>
      </c>
      <c r="NA59" t="n">
        <v>8</v>
      </c>
      <c r="NB59" t="n">
        <v>7</v>
      </c>
      <c r="NC59" t="n">
        <v>8</v>
      </c>
      <c r="ND59" t="n">
        <v>20</v>
      </c>
      <c r="NE59" t="n">
        <v>214</v>
      </c>
      <c r="NG59" t="n">
        <v>1</v>
      </c>
      <c r="NI59" t="n">
        <v>21</v>
      </c>
      <c r="NK59" t="n">
        <v>0</v>
      </c>
      <c r="NL59" t="n">
        <v>23</v>
      </c>
      <c r="NM59" t="n">
        <v>255</v>
      </c>
      <c r="NN59" t="n">
        <v>31</v>
      </c>
      <c r="NO59" t="n">
        <v>2</v>
      </c>
      <c r="NP59" t="n">
        <v>10</v>
      </c>
      <c r="NQ59" t="n">
        <v>3</v>
      </c>
      <c r="NR59" t="n">
        <v>12</v>
      </c>
      <c r="NS59" t="n">
        <v>31</v>
      </c>
      <c r="NT59" t="n">
        <v>111</v>
      </c>
      <c r="NU59" t="n">
        <v>63</v>
      </c>
      <c r="NV59" t="n">
        <v>105</v>
      </c>
      <c r="NW59" t="n">
        <v>0</v>
      </c>
      <c r="NX59" t="n">
        <v>0</v>
      </c>
      <c r="NY59" t="n">
        <v>7</v>
      </c>
      <c r="OA59" t="n">
        <v>4</v>
      </c>
      <c r="OB59" t="n">
        <v>26</v>
      </c>
      <c r="OI59" t="n">
        <v>9</v>
      </c>
      <c r="ON59" t="n">
        <v>175</v>
      </c>
      <c r="OO59" t="n">
        <v>141254</v>
      </c>
      <c r="OU59" t="n">
        <v>1200</v>
      </c>
      <c r="OV59" t="n">
        <v>13196</v>
      </c>
      <c r="PI59" t="n">
        <v>155649</v>
      </c>
      <c r="PM59">
        <f>IFERROR(VLOOKUP($A59&amp;"",Key!$A:$C,3,FALSE),"")</f>
        <v/>
      </c>
    </row>
    <row r="60">
      <c r="A60" t="n">
        <v>331200</v>
      </c>
      <c r="B60" t="inlineStr">
        <is>
          <t>Steel product manufacturing from purchased steel</t>
        </is>
      </c>
      <c r="C60" t="n">
        <v>3</v>
      </c>
      <c r="D60" t="n">
        <v>30</v>
      </c>
      <c r="E60" t="n">
        <v>3</v>
      </c>
      <c r="F60" t="n">
        <v>2</v>
      </c>
      <c r="G60" t="n">
        <v>3</v>
      </c>
      <c r="H60" t="n">
        <v>17</v>
      </c>
      <c r="I60" t="n">
        <v>16</v>
      </c>
      <c r="J60" t="n">
        <v>7</v>
      </c>
      <c r="K60" t="n">
        <v>1</v>
      </c>
      <c r="L60" t="n">
        <v>1</v>
      </c>
      <c r="P60" t="n">
        <v>1273</v>
      </c>
      <c r="Q60" t="n">
        <v>5</v>
      </c>
      <c r="R60" t="n">
        <v>1</v>
      </c>
      <c r="S60" t="n">
        <v>14</v>
      </c>
      <c r="T60" t="n">
        <v>9</v>
      </c>
      <c r="U60" t="n">
        <v>24</v>
      </c>
      <c r="V60" t="n">
        <v>18</v>
      </c>
      <c r="W60" t="n">
        <v>17</v>
      </c>
      <c r="AA60" t="n">
        <v>162</v>
      </c>
      <c r="AB60" t="n">
        <v>725</v>
      </c>
      <c r="AC60" t="n">
        <v>435</v>
      </c>
      <c r="AD60" t="n">
        <v>140</v>
      </c>
      <c r="AE60" t="n">
        <v>274</v>
      </c>
      <c r="AF60" t="n">
        <v>48</v>
      </c>
      <c r="AG60" t="n">
        <v>322</v>
      </c>
      <c r="AH60" t="n">
        <v>13</v>
      </c>
      <c r="AI60" t="n">
        <v>110</v>
      </c>
      <c r="AJ60" t="n">
        <v>85</v>
      </c>
      <c r="AK60" t="n">
        <v>272</v>
      </c>
      <c r="AL60" t="n">
        <v>68</v>
      </c>
      <c r="AN60" t="n">
        <v>4</v>
      </c>
      <c r="AU60" t="n">
        <v>192</v>
      </c>
      <c r="AV60" t="n">
        <v>854</v>
      </c>
      <c r="BC60" t="n">
        <v>744</v>
      </c>
      <c r="BD60" t="n">
        <v>270</v>
      </c>
      <c r="BJ60" t="n">
        <v>3</v>
      </c>
      <c r="BO60" t="n">
        <v>38</v>
      </c>
      <c r="BP60" t="n">
        <v>70</v>
      </c>
      <c r="BQ60" t="n">
        <v>1019</v>
      </c>
      <c r="BR60" t="n">
        <v>49</v>
      </c>
      <c r="BS60" t="n">
        <v>12</v>
      </c>
      <c r="BT60" t="n">
        <v>8</v>
      </c>
      <c r="BV60" t="n">
        <v>51</v>
      </c>
      <c r="BW60" t="n">
        <v>1723</v>
      </c>
      <c r="BX60" t="n">
        <v>301</v>
      </c>
      <c r="BY60" t="n">
        <v>1836</v>
      </c>
      <c r="CB60" t="n">
        <v>8</v>
      </c>
      <c r="CE60" t="n">
        <v>18</v>
      </c>
      <c r="CF60" t="n">
        <v>168</v>
      </c>
      <c r="CK60" t="n">
        <v>11</v>
      </c>
      <c r="CL60" t="n">
        <v>391</v>
      </c>
      <c r="CQ60" t="n">
        <v>100</v>
      </c>
      <c r="CR60" t="n">
        <v>1</v>
      </c>
      <c r="DG60" t="n">
        <v>162</v>
      </c>
      <c r="DP60" t="n">
        <v>6</v>
      </c>
      <c r="DQ60" t="n">
        <v>5</v>
      </c>
      <c r="ED60" t="n">
        <v>305</v>
      </c>
      <c r="EE60" t="n">
        <v>3</v>
      </c>
      <c r="EG60" t="n">
        <v>1</v>
      </c>
      <c r="EH60" t="n">
        <v>93</v>
      </c>
      <c r="EM60" t="n">
        <v>89</v>
      </c>
      <c r="EX60" t="n">
        <v>16</v>
      </c>
      <c r="EY60" t="n">
        <v>4</v>
      </c>
      <c r="EZ60" t="n">
        <v>1</v>
      </c>
      <c r="FB60" t="n">
        <v>114</v>
      </c>
      <c r="FC60" t="n">
        <v>16</v>
      </c>
      <c r="FD60" t="n">
        <v>1</v>
      </c>
      <c r="FR60" t="n">
        <v>4</v>
      </c>
      <c r="FS60" t="n">
        <v>7</v>
      </c>
      <c r="FY60" t="n">
        <v>2</v>
      </c>
      <c r="GG60" t="n">
        <v>4</v>
      </c>
      <c r="GH60" t="n">
        <v>30</v>
      </c>
      <c r="HQ60" t="n">
        <v>70</v>
      </c>
      <c r="JG60" t="n">
        <v>3</v>
      </c>
      <c r="JH60" t="n">
        <v>385</v>
      </c>
      <c r="JI60" t="n">
        <v>117</v>
      </c>
      <c r="JJ60" t="n">
        <v>119</v>
      </c>
      <c r="JK60" t="n">
        <v>4</v>
      </c>
      <c r="JL60" t="n">
        <v>3</v>
      </c>
      <c r="JM60" t="n">
        <v>1</v>
      </c>
      <c r="JO60" t="n">
        <v>33</v>
      </c>
      <c r="JS60" t="n">
        <v>12</v>
      </c>
      <c r="JT60" t="n">
        <v>2</v>
      </c>
      <c r="JV60" t="n">
        <v>1</v>
      </c>
      <c r="JZ60" t="n">
        <v>1</v>
      </c>
      <c r="KB60" t="n">
        <v>1</v>
      </c>
      <c r="KQ60" t="n">
        <v>1</v>
      </c>
      <c r="KW60" t="n">
        <v>1</v>
      </c>
      <c r="KX60" t="n">
        <v>10</v>
      </c>
      <c r="KZ60" t="n">
        <v>17</v>
      </c>
      <c r="LK60" t="n">
        <v>0</v>
      </c>
      <c r="LO60" t="n">
        <v>10</v>
      </c>
      <c r="LX60" t="n">
        <v>3</v>
      </c>
      <c r="LZ60" t="n">
        <v>0</v>
      </c>
      <c r="MA60" t="n">
        <v>7</v>
      </c>
      <c r="MN60" t="n">
        <v>3</v>
      </c>
      <c r="MQ60" t="n">
        <v>1</v>
      </c>
      <c r="MS60" t="n">
        <v>1</v>
      </c>
      <c r="MT60" t="n">
        <v>1</v>
      </c>
      <c r="MV60" t="n">
        <v>49</v>
      </c>
      <c r="MZ60" t="n">
        <v>8</v>
      </c>
      <c r="NC60" t="n">
        <v>2</v>
      </c>
      <c r="ND60" t="n">
        <v>1</v>
      </c>
      <c r="NE60" t="n">
        <v>3</v>
      </c>
      <c r="NF60" t="n">
        <v>0</v>
      </c>
      <c r="NM60" t="n">
        <v>2</v>
      </c>
      <c r="NN60" t="n">
        <v>1</v>
      </c>
      <c r="NO60" t="n">
        <v>3</v>
      </c>
      <c r="NT60" t="n">
        <v>0</v>
      </c>
      <c r="OA60" t="n">
        <v>1</v>
      </c>
      <c r="OB60" t="n">
        <v>5</v>
      </c>
      <c r="OE60" t="n">
        <v>32</v>
      </c>
      <c r="OI60" t="n">
        <v>10</v>
      </c>
      <c r="OJ60" t="n">
        <v>14</v>
      </c>
      <c r="OK60" t="n">
        <v>35</v>
      </c>
      <c r="ON60" t="n">
        <v>1</v>
      </c>
      <c r="OO60" t="n">
        <v>13806</v>
      </c>
      <c r="OP60" t="n">
        <v>1300</v>
      </c>
      <c r="OU60" t="n">
        <v>-53</v>
      </c>
      <c r="OV60" t="n">
        <v>819</v>
      </c>
      <c r="PI60" t="n">
        <v>15872</v>
      </c>
      <c r="PM60">
        <f>IFERROR(VLOOKUP($A60&amp;"",Key!$A:$C,3,FALSE),"")</f>
        <v/>
      </c>
    </row>
    <row r="61">
      <c r="A61" t="n">
        <v>331313</v>
      </c>
      <c r="B61" t="inlineStr">
        <is>
          <t>Alumina refining and primary aluminum production</t>
        </is>
      </c>
      <c r="AC61" t="n">
        <v>14</v>
      </c>
      <c r="AP61" t="n">
        <v>34</v>
      </c>
      <c r="BC61" t="n">
        <v>400</v>
      </c>
      <c r="BD61" t="n">
        <v>66</v>
      </c>
      <c r="BE61" t="n">
        <v>805</v>
      </c>
      <c r="BF61" t="n">
        <v>803</v>
      </c>
      <c r="BG61" t="n">
        <v>9560</v>
      </c>
      <c r="BI61" t="n">
        <v>10</v>
      </c>
      <c r="BJ61" t="n">
        <v>1</v>
      </c>
      <c r="BK61" t="n">
        <v>14</v>
      </c>
      <c r="BL61" t="n">
        <v>1339</v>
      </c>
      <c r="BM61" t="n">
        <v>73</v>
      </c>
      <c r="BN61" t="n">
        <v>419</v>
      </c>
      <c r="BO61" t="n">
        <v>32</v>
      </c>
      <c r="BP61" t="n">
        <v>57</v>
      </c>
      <c r="BR61" t="n">
        <v>74</v>
      </c>
      <c r="BS61" t="n">
        <v>140</v>
      </c>
      <c r="BT61" t="n">
        <v>8</v>
      </c>
      <c r="BU61" t="n">
        <v>1082</v>
      </c>
      <c r="BV61" t="n">
        <v>86</v>
      </c>
      <c r="BW61" t="n">
        <v>27</v>
      </c>
      <c r="BX61" t="n">
        <v>277</v>
      </c>
      <c r="BZ61" t="n">
        <v>25</v>
      </c>
      <c r="CB61" t="n">
        <v>20</v>
      </c>
      <c r="CD61" t="n">
        <v>8</v>
      </c>
      <c r="CE61" t="n">
        <v>79</v>
      </c>
      <c r="CF61" t="n">
        <v>6</v>
      </c>
      <c r="CK61" t="n">
        <v>6</v>
      </c>
      <c r="CL61" t="n">
        <v>56</v>
      </c>
      <c r="CM61" t="n">
        <v>53</v>
      </c>
      <c r="CO61" t="n">
        <v>1</v>
      </c>
      <c r="CP61" t="n">
        <v>11</v>
      </c>
      <c r="CQ61" t="n">
        <v>32</v>
      </c>
      <c r="CR61" t="n">
        <v>52</v>
      </c>
      <c r="CS61" t="n">
        <v>35</v>
      </c>
      <c r="CT61" t="n">
        <v>20</v>
      </c>
      <c r="CV61" t="n">
        <v>7</v>
      </c>
      <c r="DA61" t="n">
        <v>39</v>
      </c>
      <c r="DB61" t="n">
        <v>121</v>
      </c>
      <c r="DC61" t="n">
        <v>70</v>
      </c>
      <c r="DE61" t="n">
        <v>18</v>
      </c>
      <c r="DF61" t="n">
        <v>12</v>
      </c>
      <c r="DG61" t="n">
        <v>234</v>
      </c>
      <c r="DH61" t="n">
        <v>3</v>
      </c>
      <c r="DJ61" t="n">
        <v>0</v>
      </c>
      <c r="DK61" t="n">
        <v>0</v>
      </c>
      <c r="DL61" t="n">
        <v>9</v>
      </c>
      <c r="DM61" t="n">
        <v>28</v>
      </c>
      <c r="DN61" t="n">
        <v>6</v>
      </c>
      <c r="DO61" t="n">
        <v>1</v>
      </c>
      <c r="DP61" t="n">
        <v>2</v>
      </c>
      <c r="DQ61" t="n">
        <v>41</v>
      </c>
      <c r="DS61" t="n">
        <v>21</v>
      </c>
      <c r="DT61" t="n">
        <v>1</v>
      </c>
      <c r="DU61" t="n">
        <v>15</v>
      </c>
      <c r="DV61" t="n">
        <v>6</v>
      </c>
      <c r="DW61" t="n">
        <v>3</v>
      </c>
      <c r="DX61" t="n">
        <v>43</v>
      </c>
      <c r="DZ61" t="n">
        <v>2</v>
      </c>
      <c r="EB61" t="n">
        <v>0</v>
      </c>
      <c r="ED61" t="n">
        <v>28</v>
      </c>
      <c r="EE61" t="n">
        <v>1</v>
      </c>
      <c r="EF61" t="n">
        <v>88</v>
      </c>
      <c r="EG61" t="n">
        <v>1</v>
      </c>
      <c r="EH61" t="n">
        <v>24</v>
      </c>
      <c r="EN61" t="n">
        <v>24</v>
      </c>
      <c r="EP61" t="n">
        <v>94</v>
      </c>
      <c r="EQ61" t="n">
        <v>3</v>
      </c>
      <c r="ER61" t="n">
        <v>544</v>
      </c>
      <c r="ES61" t="n">
        <v>20</v>
      </c>
      <c r="ET61" t="n">
        <v>5</v>
      </c>
      <c r="EU61" t="n">
        <v>10</v>
      </c>
      <c r="EV61" t="n">
        <v>19</v>
      </c>
      <c r="EW61" t="n">
        <v>333</v>
      </c>
      <c r="EX61" t="n">
        <v>54</v>
      </c>
      <c r="EY61" t="n">
        <v>63</v>
      </c>
      <c r="EZ61" t="n">
        <v>363</v>
      </c>
      <c r="FA61" t="n">
        <v>5</v>
      </c>
      <c r="FB61" t="n">
        <v>22</v>
      </c>
      <c r="FC61" t="n">
        <v>84</v>
      </c>
      <c r="FD61" t="n">
        <v>90</v>
      </c>
      <c r="FE61" t="n">
        <v>9</v>
      </c>
      <c r="FF61" t="n">
        <v>0</v>
      </c>
      <c r="FG61" t="n">
        <v>39</v>
      </c>
      <c r="FH61" t="n">
        <v>34</v>
      </c>
      <c r="FI61" t="n">
        <v>3</v>
      </c>
      <c r="FK61" t="n">
        <v>13</v>
      </c>
      <c r="FL61" t="n">
        <v>12</v>
      </c>
      <c r="FM61" t="n">
        <v>55</v>
      </c>
      <c r="FN61" t="n">
        <v>1250</v>
      </c>
      <c r="FO61" t="n">
        <v>45</v>
      </c>
      <c r="FQ61" t="n">
        <v>46</v>
      </c>
      <c r="FR61" t="n">
        <v>0</v>
      </c>
      <c r="FS61" t="n">
        <v>90</v>
      </c>
      <c r="FT61" t="n">
        <v>137</v>
      </c>
      <c r="FU61" t="n">
        <v>117</v>
      </c>
      <c r="FV61" t="n">
        <v>118</v>
      </c>
      <c r="FW61" t="n">
        <v>70</v>
      </c>
      <c r="FY61" t="n">
        <v>4</v>
      </c>
      <c r="FZ61" t="n">
        <v>1</v>
      </c>
      <c r="GB61" t="n">
        <v>1</v>
      </c>
      <c r="GC61" t="n">
        <v>1</v>
      </c>
      <c r="GD61" t="n">
        <v>18</v>
      </c>
      <c r="GH61" t="n">
        <v>55</v>
      </c>
      <c r="GI61" t="n">
        <v>1</v>
      </c>
      <c r="GJ61" t="n">
        <v>1</v>
      </c>
      <c r="GO61" t="n">
        <v>1</v>
      </c>
      <c r="GP61" t="n">
        <v>2</v>
      </c>
      <c r="GR61" t="n">
        <v>1</v>
      </c>
      <c r="GS61" t="n">
        <v>1</v>
      </c>
      <c r="GT61" t="n">
        <v>1</v>
      </c>
      <c r="GU61" t="n">
        <v>1</v>
      </c>
      <c r="GV61" t="n">
        <v>1</v>
      </c>
      <c r="GW61" t="n">
        <v>0</v>
      </c>
      <c r="GX61" t="n">
        <v>1</v>
      </c>
      <c r="GY61" t="n">
        <v>1</v>
      </c>
      <c r="HA61" t="n">
        <v>1</v>
      </c>
      <c r="HB61" t="n">
        <v>1</v>
      </c>
      <c r="HC61" t="n">
        <v>1</v>
      </c>
      <c r="HD61" t="n">
        <v>1</v>
      </c>
      <c r="HE61" t="n">
        <v>1</v>
      </c>
      <c r="HF61" t="n">
        <v>1</v>
      </c>
      <c r="HG61" t="n">
        <v>1</v>
      </c>
      <c r="IE61" t="n">
        <v>3</v>
      </c>
      <c r="KN61" t="n">
        <v>3</v>
      </c>
      <c r="KP61" t="n">
        <v>6</v>
      </c>
      <c r="KQ61" t="n">
        <v>3</v>
      </c>
      <c r="KS61" t="n">
        <v>1</v>
      </c>
      <c r="KT61" t="n">
        <v>3</v>
      </c>
      <c r="KU61" t="n">
        <v>25</v>
      </c>
      <c r="KV61" t="n">
        <v>12</v>
      </c>
      <c r="KW61" t="n">
        <v>51</v>
      </c>
      <c r="KY61" t="n">
        <v>12</v>
      </c>
      <c r="KZ61" t="n">
        <v>11</v>
      </c>
      <c r="LA61" t="n">
        <v>118</v>
      </c>
      <c r="LB61" t="n">
        <v>0</v>
      </c>
      <c r="LW61" t="n">
        <v>87</v>
      </c>
      <c r="LZ61" t="n">
        <v>23</v>
      </c>
      <c r="MF61" t="n">
        <v>9</v>
      </c>
      <c r="MH61" t="n">
        <v>41</v>
      </c>
      <c r="MM61" t="n">
        <v>1</v>
      </c>
      <c r="MO61" t="n">
        <v>67</v>
      </c>
      <c r="NT61" t="n">
        <v>13</v>
      </c>
      <c r="OD61" t="n">
        <v>115</v>
      </c>
      <c r="OE61" t="n">
        <v>51</v>
      </c>
      <c r="OM61" t="n">
        <v>9</v>
      </c>
      <c r="ON61" t="n">
        <v>41</v>
      </c>
      <c r="OO61" t="n">
        <v>21122</v>
      </c>
      <c r="OU61" t="n">
        <v>157</v>
      </c>
      <c r="OV61" t="n">
        <v>742</v>
      </c>
      <c r="PI61" t="n">
        <v>22021</v>
      </c>
      <c r="PM61">
        <f>IFERROR(VLOOKUP($A61&amp;"",Key!$A:$C,3,FALSE),"")</f>
        <v/>
      </c>
    </row>
    <row r="62">
      <c r="A62" t="inlineStr">
        <is>
          <t>33131B</t>
        </is>
      </c>
      <c r="B62" t="inlineStr">
        <is>
          <t>Aluminum product manufacturing from purchased aluminum</t>
        </is>
      </c>
      <c r="AA62" t="n">
        <v>7</v>
      </c>
      <c r="AB62" t="n">
        <v>20</v>
      </c>
      <c r="AC62" t="n">
        <v>40</v>
      </c>
      <c r="AD62" t="n">
        <v>6</v>
      </c>
      <c r="AE62" t="n">
        <v>13</v>
      </c>
      <c r="AF62" t="n">
        <v>3</v>
      </c>
      <c r="AG62" t="n">
        <v>36</v>
      </c>
      <c r="AI62" t="n">
        <v>6</v>
      </c>
      <c r="AJ62" t="n">
        <v>26</v>
      </c>
      <c r="AK62" t="n">
        <v>23</v>
      </c>
      <c r="AL62" t="n">
        <v>6</v>
      </c>
      <c r="AO62" t="n">
        <v>20</v>
      </c>
      <c r="AP62" t="n">
        <v>31</v>
      </c>
      <c r="AV62" t="n">
        <v>42</v>
      </c>
      <c r="BA62" t="n">
        <v>20</v>
      </c>
      <c r="BE62" t="n">
        <v>235</v>
      </c>
      <c r="BF62" t="n">
        <v>41</v>
      </c>
      <c r="BG62" t="n">
        <v>3944</v>
      </c>
      <c r="BI62" t="n">
        <v>10</v>
      </c>
      <c r="BJ62" t="n">
        <v>2</v>
      </c>
      <c r="BM62" t="n">
        <v>394</v>
      </c>
      <c r="BN62" t="n">
        <v>16</v>
      </c>
      <c r="BO62" t="n">
        <v>245</v>
      </c>
      <c r="BP62" t="n">
        <v>90</v>
      </c>
      <c r="BQ62" t="n">
        <v>476</v>
      </c>
      <c r="BR62" t="n">
        <v>2416</v>
      </c>
      <c r="BS62" t="n">
        <v>342</v>
      </c>
      <c r="BT62" t="n">
        <v>165</v>
      </c>
      <c r="BU62" t="n">
        <v>4005</v>
      </c>
      <c r="BV62" t="n">
        <v>201</v>
      </c>
      <c r="BW62" t="n">
        <v>60</v>
      </c>
      <c r="BX62" t="n">
        <v>575</v>
      </c>
      <c r="BY62" t="n">
        <v>620</v>
      </c>
      <c r="CA62" t="n">
        <v>11</v>
      </c>
      <c r="CB62" t="n">
        <v>2</v>
      </c>
      <c r="CD62" t="n">
        <v>42</v>
      </c>
      <c r="CE62" t="n">
        <v>3</v>
      </c>
      <c r="CF62" t="n">
        <v>1248</v>
      </c>
      <c r="CG62" t="n">
        <v>2</v>
      </c>
      <c r="CK62" t="n">
        <v>89</v>
      </c>
      <c r="CL62" t="n">
        <v>225</v>
      </c>
      <c r="CM62" t="n">
        <v>26</v>
      </c>
      <c r="CO62" t="n">
        <v>104</v>
      </c>
      <c r="CP62" t="n">
        <v>7</v>
      </c>
      <c r="CQ62" t="n">
        <v>998</v>
      </c>
      <c r="CR62" t="n">
        <v>48</v>
      </c>
      <c r="CS62" t="n">
        <v>147</v>
      </c>
      <c r="CT62" t="n">
        <v>310</v>
      </c>
      <c r="CV62" t="n">
        <v>71</v>
      </c>
      <c r="CW62" t="n">
        <v>111</v>
      </c>
      <c r="CX62" t="n">
        <v>9</v>
      </c>
      <c r="CY62" t="n">
        <v>19</v>
      </c>
      <c r="CZ62" t="n">
        <v>6</v>
      </c>
      <c r="DA62" t="n">
        <v>15</v>
      </c>
      <c r="DB62" t="n">
        <v>151</v>
      </c>
      <c r="DC62" t="n">
        <v>31</v>
      </c>
      <c r="DE62" t="n">
        <v>6</v>
      </c>
      <c r="DF62" t="n">
        <v>54</v>
      </c>
      <c r="DG62" t="n">
        <v>51</v>
      </c>
      <c r="DH62" t="n">
        <v>103</v>
      </c>
      <c r="DJ62" t="n">
        <v>0</v>
      </c>
      <c r="DK62" t="n">
        <v>1</v>
      </c>
      <c r="DL62" t="n">
        <v>0</v>
      </c>
      <c r="DM62" t="n">
        <v>31</v>
      </c>
      <c r="DN62" t="n">
        <v>3</v>
      </c>
      <c r="DO62" t="n">
        <v>17</v>
      </c>
      <c r="DP62" t="n">
        <v>130</v>
      </c>
      <c r="DQ62" t="n">
        <v>52</v>
      </c>
      <c r="DS62" t="n">
        <v>12</v>
      </c>
      <c r="DT62" t="n">
        <v>1</v>
      </c>
      <c r="DU62" t="n">
        <v>5</v>
      </c>
      <c r="DV62" t="n">
        <v>5</v>
      </c>
      <c r="DW62" t="n">
        <v>2</v>
      </c>
      <c r="DX62" t="n">
        <v>44</v>
      </c>
      <c r="DZ62" t="n">
        <v>2</v>
      </c>
      <c r="EB62" t="n">
        <v>0</v>
      </c>
      <c r="ED62" t="n">
        <v>734</v>
      </c>
      <c r="EE62" t="n">
        <v>0</v>
      </c>
      <c r="EF62" t="n">
        <v>61</v>
      </c>
      <c r="EG62" t="n">
        <v>13</v>
      </c>
      <c r="EH62" t="n">
        <v>7</v>
      </c>
      <c r="EI62" t="n">
        <v>119</v>
      </c>
      <c r="EJ62" t="n">
        <v>38</v>
      </c>
      <c r="EM62" t="n">
        <v>575</v>
      </c>
      <c r="EN62" t="n">
        <v>5</v>
      </c>
      <c r="EQ62" t="n">
        <v>7</v>
      </c>
      <c r="ER62" t="n">
        <v>1241</v>
      </c>
      <c r="ES62" t="n">
        <v>53</v>
      </c>
      <c r="ET62" t="n">
        <v>467</v>
      </c>
      <c r="EU62" t="n">
        <v>1027</v>
      </c>
      <c r="EV62" t="n">
        <v>6</v>
      </c>
      <c r="EW62" t="n">
        <v>50</v>
      </c>
      <c r="EX62" t="n">
        <v>22</v>
      </c>
      <c r="EY62" t="n">
        <v>41</v>
      </c>
      <c r="EZ62" t="n">
        <v>43</v>
      </c>
      <c r="FA62" t="n">
        <v>19</v>
      </c>
      <c r="FB62" t="n">
        <v>893</v>
      </c>
      <c r="FC62" t="n">
        <v>71</v>
      </c>
      <c r="FD62" t="n">
        <v>13</v>
      </c>
      <c r="FE62" t="n">
        <v>164</v>
      </c>
      <c r="FF62" t="n">
        <v>2</v>
      </c>
      <c r="FG62" t="n">
        <v>513</v>
      </c>
      <c r="FI62" t="n">
        <v>8</v>
      </c>
      <c r="FK62" t="n">
        <v>489</v>
      </c>
      <c r="FL62" t="n">
        <v>428</v>
      </c>
      <c r="FM62" t="n">
        <v>394</v>
      </c>
      <c r="FN62" t="n">
        <v>81</v>
      </c>
      <c r="FO62" t="n">
        <v>28</v>
      </c>
      <c r="FP62" t="n">
        <v>86</v>
      </c>
      <c r="FQ62" t="n">
        <v>262</v>
      </c>
      <c r="FR62" t="n">
        <v>1</v>
      </c>
      <c r="FS62" t="n">
        <v>92</v>
      </c>
      <c r="FT62" t="n">
        <v>204</v>
      </c>
      <c r="FU62" t="n">
        <v>139</v>
      </c>
      <c r="FV62" t="n">
        <v>209</v>
      </c>
      <c r="FW62" t="n">
        <v>118</v>
      </c>
      <c r="FY62" t="n">
        <v>8</v>
      </c>
      <c r="FZ62" t="n">
        <v>1</v>
      </c>
      <c r="GB62" t="n">
        <v>1</v>
      </c>
      <c r="GC62" t="n">
        <v>1</v>
      </c>
      <c r="GD62" t="n">
        <v>158</v>
      </c>
      <c r="GF62" t="n">
        <v>2</v>
      </c>
      <c r="GH62" t="n">
        <v>70</v>
      </c>
      <c r="GI62" t="n">
        <v>2</v>
      </c>
      <c r="GJ62" t="n">
        <v>3</v>
      </c>
      <c r="GO62" t="n">
        <v>3</v>
      </c>
      <c r="GP62" t="n">
        <v>5</v>
      </c>
      <c r="GR62" t="n">
        <v>2</v>
      </c>
      <c r="GS62" t="n">
        <v>3</v>
      </c>
      <c r="GT62" t="n">
        <v>3</v>
      </c>
      <c r="GU62" t="n">
        <v>2</v>
      </c>
      <c r="GV62" t="n">
        <v>2</v>
      </c>
      <c r="GW62" t="n">
        <v>1</v>
      </c>
      <c r="GX62" t="n">
        <v>2</v>
      </c>
      <c r="GY62" t="n">
        <v>2</v>
      </c>
      <c r="HA62" t="n">
        <v>3</v>
      </c>
      <c r="HB62" t="n">
        <v>3</v>
      </c>
      <c r="HC62" t="n">
        <v>2</v>
      </c>
      <c r="HD62" t="n">
        <v>2</v>
      </c>
      <c r="HE62" t="n">
        <v>2</v>
      </c>
      <c r="HF62" t="n">
        <v>2</v>
      </c>
      <c r="HG62" t="n">
        <v>2031</v>
      </c>
      <c r="HW62" t="n">
        <v>109</v>
      </c>
      <c r="HX62" t="n">
        <v>872</v>
      </c>
      <c r="JA62" t="n">
        <v>193</v>
      </c>
      <c r="JG62" t="n">
        <v>125</v>
      </c>
      <c r="JO62" t="n">
        <v>7</v>
      </c>
      <c r="KZ62" t="n">
        <v>6</v>
      </c>
      <c r="NO62" t="n">
        <v>1</v>
      </c>
      <c r="NP62" t="n">
        <v>25</v>
      </c>
      <c r="NQ62" t="n">
        <v>12</v>
      </c>
      <c r="OD62" t="n">
        <v>23</v>
      </c>
      <c r="OE62" t="n">
        <v>6</v>
      </c>
      <c r="OK62" t="n">
        <v>5</v>
      </c>
      <c r="OO62" t="n">
        <v>30752</v>
      </c>
      <c r="OU62" t="n">
        <v>211</v>
      </c>
      <c r="OV62" t="n">
        <v>4820</v>
      </c>
      <c r="PI62" t="n">
        <v>35783</v>
      </c>
      <c r="PM62">
        <f>IFERROR(VLOOKUP($A62&amp;"",Key!$A:$C,3,FALSE),"")</f>
        <v/>
      </c>
    </row>
    <row r="63">
      <c r="A63" t="n">
        <v>331410</v>
      </c>
      <c r="B63" t="inlineStr">
        <is>
          <t>Nonferrous metal (except aluminum) smelting and refining</t>
        </is>
      </c>
      <c r="AC63" t="n">
        <v>5</v>
      </c>
      <c r="AP63" t="n">
        <v>27</v>
      </c>
      <c r="AX63" t="n">
        <v>3</v>
      </c>
      <c r="BA63" t="n">
        <v>12</v>
      </c>
      <c r="BC63" t="n">
        <v>3509</v>
      </c>
      <c r="BD63" t="n">
        <v>679</v>
      </c>
      <c r="BF63" t="n">
        <v>63</v>
      </c>
      <c r="BG63" t="n">
        <v>1135</v>
      </c>
      <c r="BH63" t="n">
        <v>4273</v>
      </c>
      <c r="BI63" t="n">
        <v>8081</v>
      </c>
      <c r="BJ63" t="n">
        <v>3800</v>
      </c>
      <c r="BK63" t="n">
        <v>730</v>
      </c>
      <c r="BL63" t="n">
        <v>326</v>
      </c>
      <c r="BN63" t="n">
        <v>5</v>
      </c>
      <c r="BQ63" t="n">
        <v>7</v>
      </c>
      <c r="BS63" t="n">
        <v>12</v>
      </c>
      <c r="BT63" t="n">
        <v>1</v>
      </c>
      <c r="BW63" t="n">
        <v>2</v>
      </c>
      <c r="BX63" t="n">
        <v>17</v>
      </c>
      <c r="BZ63" t="n">
        <v>44</v>
      </c>
      <c r="CA63" t="n">
        <v>34</v>
      </c>
      <c r="CB63" t="n">
        <v>40</v>
      </c>
      <c r="CD63" t="n">
        <v>19</v>
      </c>
      <c r="CF63" t="n">
        <v>28</v>
      </c>
      <c r="CK63" t="n">
        <v>176</v>
      </c>
      <c r="CL63" t="n">
        <v>10</v>
      </c>
      <c r="CM63" t="n">
        <v>7</v>
      </c>
      <c r="CO63" t="n">
        <v>1</v>
      </c>
      <c r="CQ63" t="n">
        <v>156</v>
      </c>
      <c r="CR63" t="n">
        <v>55</v>
      </c>
      <c r="DG63" t="n">
        <v>2</v>
      </c>
      <c r="DJ63" t="n">
        <v>0</v>
      </c>
      <c r="DK63" t="n">
        <v>1</v>
      </c>
      <c r="DO63" t="n">
        <v>1347</v>
      </c>
      <c r="DP63" t="n">
        <v>229</v>
      </c>
      <c r="DQ63" t="n">
        <v>714</v>
      </c>
      <c r="DT63" t="n">
        <v>4</v>
      </c>
      <c r="DU63" t="n">
        <v>2</v>
      </c>
      <c r="DV63" t="n">
        <v>3</v>
      </c>
      <c r="DW63" t="n">
        <v>1</v>
      </c>
      <c r="DX63" t="n">
        <v>19</v>
      </c>
      <c r="DZ63" t="n">
        <v>6</v>
      </c>
      <c r="EH63" t="n">
        <v>1</v>
      </c>
      <c r="EI63" t="n">
        <v>863</v>
      </c>
      <c r="EJ63" t="n">
        <v>96</v>
      </c>
      <c r="EK63" t="n">
        <v>2214</v>
      </c>
      <c r="EL63" t="n">
        <v>14</v>
      </c>
      <c r="EM63" t="n">
        <v>149</v>
      </c>
      <c r="EN63" t="n">
        <v>82</v>
      </c>
      <c r="EQ63" t="n">
        <v>6</v>
      </c>
      <c r="ER63" t="n">
        <v>905</v>
      </c>
      <c r="ES63" t="n">
        <v>35</v>
      </c>
      <c r="EX63" t="n">
        <v>0</v>
      </c>
      <c r="EZ63" t="n">
        <v>733</v>
      </c>
      <c r="FA63" t="n">
        <v>39</v>
      </c>
      <c r="FC63" t="n">
        <v>84</v>
      </c>
      <c r="FD63" t="n">
        <v>1</v>
      </c>
      <c r="FE63" t="n">
        <v>32</v>
      </c>
      <c r="FF63" t="n">
        <v>1</v>
      </c>
      <c r="FG63" t="n">
        <v>16</v>
      </c>
      <c r="FI63" t="n">
        <v>7</v>
      </c>
      <c r="FJ63" t="n">
        <v>82</v>
      </c>
      <c r="FM63" t="n">
        <v>90</v>
      </c>
      <c r="FZ63" t="n">
        <v>326</v>
      </c>
      <c r="GB63" t="n">
        <v>432</v>
      </c>
      <c r="GC63" t="n">
        <v>641</v>
      </c>
      <c r="GH63" t="n">
        <v>19</v>
      </c>
      <c r="HK63" t="n">
        <v>2</v>
      </c>
      <c r="IE63" t="n">
        <v>13</v>
      </c>
      <c r="JO63" t="n">
        <v>19</v>
      </c>
      <c r="JT63" t="n">
        <v>22</v>
      </c>
      <c r="KB63" t="n">
        <v>303</v>
      </c>
      <c r="LW63" t="n">
        <v>450</v>
      </c>
      <c r="LZ63" t="n">
        <v>98</v>
      </c>
      <c r="MF63" t="n">
        <v>1</v>
      </c>
      <c r="MM63" t="n">
        <v>7</v>
      </c>
      <c r="NT63" t="n">
        <v>28</v>
      </c>
      <c r="NU63" t="n">
        <v>307</v>
      </c>
      <c r="OD63" t="n">
        <v>9</v>
      </c>
      <c r="OE63" t="n">
        <v>166</v>
      </c>
      <c r="OI63" t="n">
        <v>12</v>
      </c>
      <c r="ON63" t="n">
        <v>208</v>
      </c>
      <c r="OO63" t="n">
        <v>34095</v>
      </c>
      <c r="OU63" t="n">
        <v>282</v>
      </c>
      <c r="OV63" t="n">
        <v>4683</v>
      </c>
      <c r="PI63" t="n">
        <v>39059</v>
      </c>
      <c r="PM63">
        <f>IFERROR(VLOOKUP($A63&amp;"",Key!$A:$C,3,FALSE),"")</f>
        <v/>
      </c>
    </row>
    <row r="64">
      <c r="A64" t="n">
        <v>331420</v>
      </c>
      <c r="B64" t="inlineStr">
        <is>
          <t>Copper rolling, drawing, extruding and alloying</t>
        </is>
      </c>
      <c r="X64" t="n">
        <v>1</v>
      </c>
      <c r="Z64" t="n">
        <v>0</v>
      </c>
      <c r="AA64" t="n">
        <v>22</v>
      </c>
      <c r="AB64" t="n">
        <v>3</v>
      </c>
      <c r="AC64" t="n">
        <v>161</v>
      </c>
      <c r="AD64" t="n">
        <v>58</v>
      </c>
      <c r="AE64" t="n">
        <v>2</v>
      </c>
      <c r="AF64" t="n">
        <v>37</v>
      </c>
      <c r="AG64" t="n">
        <v>173</v>
      </c>
      <c r="AH64" t="n">
        <v>2</v>
      </c>
      <c r="AI64" t="n">
        <v>67</v>
      </c>
      <c r="AJ64" t="n">
        <v>352</v>
      </c>
      <c r="AK64" t="n">
        <v>198</v>
      </c>
      <c r="AL64" t="n">
        <v>53</v>
      </c>
      <c r="BG64" t="n">
        <v>123</v>
      </c>
      <c r="BI64" t="n">
        <v>6456</v>
      </c>
      <c r="BJ64" t="n">
        <v>10</v>
      </c>
      <c r="BL64" t="n">
        <v>292</v>
      </c>
      <c r="BN64" t="n">
        <v>6</v>
      </c>
      <c r="BO64" t="n">
        <v>101</v>
      </c>
      <c r="BP64" t="n">
        <v>18</v>
      </c>
      <c r="BQ64" t="n">
        <v>474</v>
      </c>
      <c r="BR64" t="n">
        <v>145</v>
      </c>
      <c r="BS64" t="n">
        <v>136</v>
      </c>
      <c r="BT64" t="n">
        <v>123</v>
      </c>
      <c r="BV64" t="n">
        <v>37</v>
      </c>
      <c r="BW64" t="n">
        <v>62</v>
      </c>
      <c r="BX64" t="n">
        <v>185</v>
      </c>
      <c r="BY64" t="n">
        <v>450</v>
      </c>
      <c r="CA64" t="n">
        <v>672</v>
      </c>
      <c r="CB64" t="n">
        <v>225</v>
      </c>
      <c r="CD64" t="n">
        <v>200</v>
      </c>
      <c r="CE64" t="n">
        <v>492</v>
      </c>
      <c r="CF64" t="n">
        <v>90</v>
      </c>
      <c r="CG64" t="n">
        <v>76</v>
      </c>
      <c r="CH64" t="n">
        <v>27</v>
      </c>
      <c r="CK64" t="n">
        <v>2</v>
      </c>
      <c r="CM64" t="n">
        <v>65</v>
      </c>
      <c r="CO64" t="n">
        <v>10</v>
      </c>
      <c r="CP64" t="n">
        <v>61</v>
      </c>
      <c r="CQ64" t="n">
        <v>1079</v>
      </c>
      <c r="CR64" t="n">
        <v>261</v>
      </c>
      <c r="CX64" t="n">
        <v>54</v>
      </c>
      <c r="CY64" t="n">
        <v>82</v>
      </c>
      <c r="CZ64" t="n">
        <v>89</v>
      </c>
      <c r="DC64" t="n">
        <v>34</v>
      </c>
      <c r="DD64" t="n">
        <v>83</v>
      </c>
      <c r="DG64" t="n">
        <v>74</v>
      </c>
      <c r="DI64" t="n">
        <v>4</v>
      </c>
      <c r="DJ64" t="n">
        <v>1</v>
      </c>
      <c r="DK64" t="n">
        <v>9</v>
      </c>
      <c r="DL64" t="n">
        <v>0</v>
      </c>
      <c r="DM64" t="n">
        <v>123</v>
      </c>
      <c r="DN64" t="n">
        <v>12</v>
      </c>
      <c r="DO64" t="n">
        <v>2</v>
      </c>
      <c r="DP64" t="n">
        <v>47</v>
      </c>
      <c r="DQ64" t="n">
        <v>155</v>
      </c>
      <c r="DR64" t="n">
        <v>601</v>
      </c>
      <c r="DS64" t="n">
        <v>75</v>
      </c>
      <c r="DT64" t="n">
        <v>13</v>
      </c>
      <c r="DU64" t="n">
        <v>24</v>
      </c>
      <c r="DV64" t="n">
        <v>41</v>
      </c>
      <c r="DW64" t="n">
        <v>20</v>
      </c>
      <c r="DX64" t="n">
        <v>115</v>
      </c>
      <c r="DY64" t="n">
        <v>116</v>
      </c>
      <c r="DZ64" t="n">
        <v>11</v>
      </c>
      <c r="EA64" t="n">
        <v>2</v>
      </c>
      <c r="ED64" t="n">
        <v>91</v>
      </c>
      <c r="EE64" t="n">
        <v>13</v>
      </c>
      <c r="EF64" t="n">
        <v>90</v>
      </c>
      <c r="EG64" t="n">
        <v>627</v>
      </c>
      <c r="EH64" t="n">
        <v>244</v>
      </c>
      <c r="EM64" t="n">
        <v>2843</v>
      </c>
      <c r="EN64" t="n">
        <v>105</v>
      </c>
      <c r="EP64" t="n">
        <v>275</v>
      </c>
      <c r="EX64" t="n">
        <v>62</v>
      </c>
      <c r="EY64" t="n">
        <v>1442</v>
      </c>
      <c r="EZ64" t="n">
        <v>538</v>
      </c>
      <c r="FB64" t="n">
        <v>292</v>
      </c>
      <c r="FC64" t="n">
        <v>108</v>
      </c>
      <c r="FD64" t="n">
        <v>934</v>
      </c>
      <c r="FE64" t="n">
        <v>142</v>
      </c>
      <c r="FF64" t="n">
        <v>0</v>
      </c>
      <c r="FG64" t="n">
        <v>5</v>
      </c>
      <c r="FN64" t="n">
        <v>17</v>
      </c>
      <c r="FZ64" t="n">
        <v>1</v>
      </c>
      <c r="GB64" t="n">
        <v>1</v>
      </c>
      <c r="GC64" t="n">
        <v>1</v>
      </c>
      <c r="GG64" t="n">
        <v>25</v>
      </c>
      <c r="GH64" t="n">
        <v>42</v>
      </c>
      <c r="JG64" t="n">
        <v>125</v>
      </c>
      <c r="JK64" t="n">
        <v>9</v>
      </c>
      <c r="JO64" t="n">
        <v>26</v>
      </c>
      <c r="JT64" t="n">
        <v>1</v>
      </c>
      <c r="KB64" t="n">
        <v>1</v>
      </c>
      <c r="KC64" t="n">
        <v>1</v>
      </c>
      <c r="KD64" t="n">
        <v>3</v>
      </c>
      <c r="KF64" t="n">
        <v>1</v>
      </c>
      <c r="KZ64" t="n">
        <v>49</v>
      </c>
      <c r="LK64" t="n">
        <v>0</v>
      </c>
      <c r="LZ64" t="n">
        <v>13</v>
      </c>
      <c r="MZ64" t="n">
        <v>8</v>
      </c>
      <c r="NC64" t="n">
        <v>4</v>
      </c>
      <c r="ND64" t="n">
        <v>3</v>
      </c>
      <c r="NE64" t="n">
        <v>9</v>
      </c>
      <c r="NL64" t="n">
        <v>3</v>
      </c>
      <c r="NM64" t="n">
        <v>7</v>
      </c>
      <c r="NN64" t="n">
        <v>1</v>
      </c>
      <c r="NO64" t="n">
        <v>30</v>
      </c>
      <c r="NP64" t="n">
        <v>6</v>
      </c>
      <c r="NQ64" t="n">
        <v>2</v>
      </c>
      <c r="NS64" t="n">
        <v>2</v>
      </c>
      <c r="OB64" t="n">
        <v>14</v>
      </c>
      <c r="OD64" t="n">
        <v>3</v>
      </c>
      <c r="OE64" t="n">
        <v>215</v>
      </c>
      <c r="ON64" t="n">
        <v>19</v>
      </c>
      <c r="OO64" t="n">
        <v>23246</v>
      </c>
      <c r="OU64" t="n">
        <v>59</v>
      </c>
      <c r="OV64" t="n">
        <v>2834</v>
      </c>
      <c r="PI64" t="n">
        <v>26138</v>
      </c>
      <c r="PM64">
        <f>IFERROR(VLOOKUP($A64&amp;"",Key!$A:$C,3,FALSE),"")</f>
        <v/>
      </c>
    </row>
    <row r="65">
      <c r="A65" t="n">
        <v>331490</v>
      </c>
      <c r="B65" t="inlineStr">
        <is>
          <t>Nonferrous metal (except copper and aluminum) rolling, drawing, extruding and alloying</t>
        </is>
      </c>
      <c r="X65" t="n">
        <v>4</v>
      </c>
      <c r="AA65" t="n">
        <v>0</v>
      </c>
      <c r="AB65" t="n">
        <v>0</v>
      </c>
      <c r="AC65" t="n">
        <v>19</v>
      </c>
      <c r="AD65" t="n">
        <v>0</v>
      </c>
      <c r="AE65" t="n">
        <v>3</v>
      </c>
      <c r="AF65" t="n">
        <v>0</v>
      </c>
      <c r="AG65" t="n">
        <v>1</v>
      </c>
      <c r="AH65" t="n">
        <v>0</v>
      </c>
      <c r="AI65" t="n">
        <v>0</v>
      </c>
      <c r="AJ65" t="n">
        <v>2</v>
      </c>
      <c r="AK65" t="n">
        <v>0</v>
      </c>
      <c r="AL65" t="n">
        <v>2</v>
      </c>
      <c r="AU65" t="n">
        <v>1</v>
      </c>
      <c r="AV65" t="n">
        <v>16</v>
      </c>
      <c r="BC65" t="n">
        <v>328</v>
      </c>
      <c r="BD65" t="n">
        <v>274</v>
      </c>
      <c r="BG65" t="n">
        <v>34</v>
      </c>
      <c r="BH65" t="n">
        <v>120</v>
      </c>
      <c r="BI65" t="n">
        <v>94</v>
      </c>
      <c r="BJ65" t="n">
        <v>703</v>
      </c>
      <c r="BK65" t="n">
        <v>53</v>
      </c>
      <c r="BL65" t="n">
        <v>222</v>
      </c>
      <c r="BM65" t="n">
        <v>25</v>
      </c>
      <c r="BN65" t="n">
        <v>1189</v>
      </c>
      <c r="BO65" t="n">
        <v>70</v>
      </c>
      <c r="BP65" t="n">
        <v>38</v>
      </c>
      <c r="BQ65" t="n">
        <v>10</v>
      </c>
      <c r="BR65" t="n">
        <v>211</v>
      </c>
      <c r="BS65" t="n">
        <v>10</v>
      </c>
      <c r="BT65" t="n">
        <v>5</v>
      </c>
      <c r="BU65" t="n">
        <v>36</v>
      </c>
      <c r="BV65" t="n">
        <v>283</v>
      </c>
      <c r="BW65" t="n">
        <v>28</v>
      </c>
      <c r="BX65" t="n">
        <v>58</v>
      </c>
      <c r="BY65" t="n">
        <v>219</v>
      </c>
      <c r="BZ65" t="n">
        <v>261</v>
      </c>
      <c r="CA65" t="n">
        <v>6</v>
      </c>
      <c r="CB65" t="n">
        <v>10</v>
      </c>
      <c r="CC65" t="n">
        <v>2</v>
      </c>
      <c r="CD65" t="n">
        <v>17</v>
      </c>
      <c r="CE65" t="n">
        <v>96</v>
      </c>
      <c r="CF65" t="n">
        <v>57</v>
      </c>
      <c r="CG65" t="n">
        <v>44</v>
      </c>
      <c r="CH65" t="n">
        <v>24</v>
      </c>
      <c r="CI65" t="n">
        <v>4</v>
      </c>
      <c r="CJ65" t="n">
        <v>182</v>
      </c>
      <c r="CK65" t="n">
        <v>16</v>
      </c>
      <c r="CL65" t="n">
        <v>15</v>
      </c>
      <c r="CN65" t="n">
        <v>0</v>
      </c>
      <c r="CO65" t="n">
        <v>18</v>
      </c>
      <c r="CP65" t="n">
        <v>4</v>
      </c>
      <c r="CQ65" t="n">
        <v>54</v>
      </c>
      <c r="CR65" t="n">
        <v>13</v>
      </c>
      <c r="CS65" t="n">
        <v>8</v>
      </c>
      <c r="CT65" t="n">
        <v>87</v>
      </c>
      <c r="CU65" t="n">
        <v>4</v>
      </c>
      <c r="CV65" t="n">
        <v>132</v>
      </c>
      <c r="CW65" t="n">
        <v>47</v>
      </c>
      <c r="CY65" t="n">
        <v>1</v>
      </c>
      <c r="CZ65" t="n">
        <v>194</v>
      </c>
      <c r="DA65" t="n">
        <v>0</v>
      </c>
      <c r="DB65" t="n">
        <v>7</v>
      </c>
      <c r="DC65" t="n">
        <v>78</v>
      </c>
      <c r="DE65" t="n">
        <v>0</v>
      </c>
      <c r="DF65" t="n">
        <v>5</v>
      </c>
      <c r="DG65" t="n">
        <v>15</v>
      </c>
      <c r="DH65" t="n">
        <v>24</v>
      </c>
      <c r="DK65" t="n">
        <v>7</v>
      </c>
      <c r="DL65" t="n">
        <v>47</v>
      </c>
      <c r="DM65" t="n">
        <v>63</v>
      </c>
      <c r="DN65" t="n">
        <v>3</v>
      </c>
      <c r="DO65" t="n">
        <v>78</v>
      </c>
      <c r="DP65" t="n">
        <v>62</v>
      </c>
      <c r="DQ65" t="n">
        <v>208</v>
      </c>
      <c r="DR65" t="n">
        <v>95</v>
      </c>
      <c r="DS65" t="n">
        <v>101</v>
      </c>
      <c r="DT65" t="n">
        <v>31</v>
      </c>
      <c r="DU65" t="n">
        <v>19</v>
      </c>
      <c r="DV65" t="n">
        <v>45</v>
      </c>
      <c r="DW65" t="n">
        <v>5</v>
      </c>
      <c r="DX65" t="n">
        <v>24</v>
      </c>
      <c r="DY65" t="n">
        <v>4</v>
      </c>
      <c r="DZ65" t="n">
        <v>14</v>
      </c>
      <c r="EA65" t="n">
        <v>5</v>
      </c>
      <c r="EC65" t="n">
        <v>23</v>
      </c>
      <c r="ED65" t="n">
        <v>40</v>
      </c>
      <c r="EE65" t="n">
        <v>4</v>
      </c>
      <c r="EF65" t="n">
        <v>66</v>
      </c>
      <c r="EG65" t="n">
        <v>26</v>
      </c>
      <c r="EH65" t="n">
        <v>29</v>
      </c>
      <c r="EI65" t="n">
        <v>77</v>
      </c>
      <c r="EJ65" t="n">
        <v>63</v>
      </c>
      <c r="EK65" t="n">
        <v>76</v>
      </c>
      <c r="EL65" t="n">
        <v>103</v>
      </c>
      <c r="EM65" t="n">
        <v>1</v>
      </c>
      <c r="EN65" t="n">
        <v>49</v>
      </c>
      <c r="EO65" t="n">
        <v>1</v>
      </c>
      <c r="EP65" t="n">
        <v>446</v>
      </c>
      <c r="EQ65" t="n">
        <v>0</v>
      </c>
      <c r="ER65" t="n">
        <v>135</v>
      </c>
      <c r="ES65" t="n">
        <v>5</v>
      </c>
      <c r="ET65" t="n">
        <v>2</v>
      </c>
      <c r="EU65" t="n">
        <v>14</v>
      </c>
      <c r="EV65" t="n">
        <v>0</v>
      </c>
      <c r="EW65" t="n">
        <v>6</v>
      </c>
      <c r="EX65" t="n">
        <v>21</v>
      </c>
      <c r="EY65" t="n">
        <v>127</v>
      </c>
      <c r="EZ65" t="n">
        <v>225</v>
      </c>
      <c r="FA65" t="n">
        <v>27</v>
      </c>
      <c r="FB65" t="n">
        <v>31</v>
      </c>
      <c r="FC65" t="n">
        <v>20</v>
      </c>
      <c r="FD65" t="n">
        <v>115</v>
      </c>
      <c r="FE65" t="n">
        <v>22</v>
      </c>
      <c r="FF65" t="n">
        <v>1</v>
      </c>
      <c r="FG65" t="n">
        <v>2</v>
      </c>
      <c r="FH65" t="n">
        <v>20</v>
      </c>
      <c r="FJ65" t="n">
        <v>2</v>
      </c>
      <c r="FK65" t="n">
        <v>215</v>
      </c>
      <c r="FL65" t="n">
        <v>6</v>
      </c>
      <c r="FM65" t="n">
        <v>12</v>
      </c>
      <c r="FN65" t="n">
        <v>4</v>
      </c>
      <c r="FO65" t="n">
        <v>0</v>
      </c>
      <c r="FX65" t="n">
        <v>28</v>
      </c>
      <c r="FY65" t="n">
        <v>74</v>
      </c>
      <c r="FZ65" t="n">
        <v>16</v>
      </c>
      <c r="GB65" t="n">
        <v>15</v>
      </c>
      <c r="GC65" t="n">
        <v>17</v>
      </c>
      <c r="GD65" t="n">
        <v>10</v>
      </c>
      <c r="GG65" t="n">
        <v>42</v>
      </c>
      <c r="GH65" t="n">
        <v>292</v>
      </c>
      <c r="GI65" t="n">
        <v>7</v>
      </c>
      <c r="GJ65" t="n">
        <v>9</v>
      </c>
      <c r="GO65" t="n">
        <v>9</v>
      </c>
      <c r="GP65" t="n">
        <v>16</v>
      </c>
      <c r="GR65" t="n">
        <v>6</v>
      </c>
      <c r="GS65" t="n">
        <v>8</v>
      </c>
      <c r="GT65" t="n">
        <v>9</v>
      </c>
      <c r="GU65" t="n">
        <v>7</v>
      </c>
      <c r="GV65" t="n">
        <v>7</v>
      </c>
      <c r="GW65" t="n">
        <v>4</v>
      </c>
      <c r="GX65" t="n">
        <v>8</v>
      </c>
      <c r="GY65" t="n">
        <v>6</v>
      </c>
      <c r="HA65" t="n">
        <v>8</v>
      </c>
      <c r="HB65" t="n">
        <v>8</v>
      </c>
      <c r="HC65" t="n">
        <v>8</v>
      </c>
      <c r="HD65" t="n">
        <v>6</v>
      </c>
      <c r="HE65" t="n">
        <v>7</v>
      </c>
      <c r="HF65" t="n">
        <v>5</v>
      </c>
      <c r="HG65" t="n">
        <v>10</v>
      </c>
      <c r="JG65" t="n">
        <v>0</v>
      </c>
      <c r="JJ65" t="n">
        <v>4</v>
      </c>
      <c r="JO65" t="n">
        <v>80</v>
      </c>
      <c r="KB65" t="n">
        <v>0</v>
      </c>
      <c r="KW65" t="n">
        <v>206</v>
      </c>
      <c r="KX65" t="n">
        <v>39</v>
      </c>
      <c r="KY65" t="n">
        <v>24</v>
      </c>
      <c r="KZ65" t="n">
        <v>2</v>
      </c>
      <c r="LK65" t="n">
        <v>0</v>
      </c>
      <c r="LZ65" t="n">
        <v>80</v>
      </c>
      <c r="MF65" t="n">
        <v>3</v>
      </c>
      <c r="MM65" t="n">
        <v>10</v>
      </c>
      <c r="NC65" t="n">
        <v>0</v>
      </c>
      <c r="ND65" t="n">
        <v>0</v>
      </c>
      <c r="NE65" t="n">
        <v>0</v>
      </c>
      <c r="NK65" t="n">
        <v>17</v>
      </c>
      <c r="NL65" t="n">
        <v>5</v>
      </c>
      <c r="NM65" t="n">
        <v>42</v>
      </c>
      <c r="NO65" t="n">
        <v>0</v>
      </c>
      <c r="NP65" t="n">
        <v>13</v>
      </c>
      <c r="NQ65" t="n">
        <v>6</v>
      </c>
      <c r="NT65" t="n">
        <v>34</v>
      </c>
      <c r="NU65" t="n">
        <v>19</v>
      </c>
      <c r="OB65" t="n">
        <v>0</v>
      </c>
      <c r="OE65" t="n">
        <v>66</v>
      </c>
      <c r="ON65" t="n">
        <v>137</v>
      </c>
      <c r="OO65" t="n">
        <v>9738</v>
      </c>
      <c r="OP65" t="n">
        <v>90</v>
      </c>
      <c r="OU65" t="n">
        <v>87</v>
      </c>
      <c r="OV65" t="n">
        <v>4917</v>
      </c>
      <c r="PI65" t="n">
        <v>14832</v>
      </c>
      <c r="PM65">
        <f>IFERROR(VLOOKUP($A65&amp;"",Key!$A:$C,3,FALSE),"")</f>
        <v/>
      </c>
    </row>
    <row r="66">
      <c r="A66" t="n">
        <v>331510</v>
      </c>
      <c r="B66" t="inlineStr">
        <is>
          <t>Ferrous metal foundries</t>
        </is>
      </c>
      <c r="S66" t="n">
        <v>11</v>
      </c>
      <c r="AA66" t="n">
        <v>1</v>
      </c>
      <c r="AC66" t="n">
        <v>130</v>
      </c>
      <c r="AD66" t="n">
        <v>7</v>
      </c>
      <c r="AE66" t="n">
        <v>1</v>
      </c>
      <c r="AG66" t="n">
        <v>32</v>
      </c>
      <c r="AI66" t="n">
        <v>8</v>
      </c>
      <c r="AJ66" t="n">
        <v>6</v>
      </c>
      <c r="AK66" t="n">
        <v>4</v>
      </c>
      <c r="AL66" t="n">
        <v>1</v>
      </c>
      <c r="AO66" t="n">
        <v>1</v>
      </c>
      <c r="AP66" t="n">
        <v>1</v>
      </c>
      <c r="BC66" t="n">
        <v>180</v>
      </c>
      <c r="BD66" t="n">
        <v>13</v>
      </c>
      <c r="BK66" t="n">
        <v>42</v>
      </c>
      <c r="BL66" t="n">
        <v>109</v>
      </c>
      <c r="BM66" t="n">
        <v>16</v>
      </c>
      <c r="BN66" t="n">
        <v>33</v>
      </c>
      <c r="BO66" t="n">
        <v>4</v>
      </c>
      <c r="BP66" t="n">
        <v>45</v>
      </c>
      <c r="BQ66" t="n">
        <v>38</v>
      </c>
      <c r="BR66" t="n">
        <v>245</v>
      </c>
      <c r="BS66" t="n">
        <v>45</v>
      </c>
      <c r="BT66" t="n">
        <v>85</v>
      </c>
      <c r="BV66" t="n">
        <v>64</v>
      </c>
      <c r="BW66" t="n">
        <v>11</v>
      </c>
      <c r="BX66" t="n">
        <v>86</v>
      </c>
      <c r="BY66" t="n">
        <v>622</v>
      </c>
      <c r="BZ66" t="n">
        <v>29</v>
      </c>
      <c r="CA66" t="n">
        <v>381</v>
      </c>
      <c r="CB66" t="n">
        <v>1136</v>
      </c>
      <c r="CC66" t="n">
        <v>55</v>
      </c>
      <c r="CD66" t="n">
        <v>32</v>
      </c>
      <c r="CE66" t="n">
        <v>99</v>
      </c>
      <c r="CF66" t="n">
        <v>89</v>
      </c>
      <c r="CG66" t="n">
        <v>115</v>
      </c>
      <c r="CH66" t="n">
        <v>38</v>
      </c>
      <c r="CI66" t="n">
        <v>269</v>
      </c>
      <c r="CJ66" t="n">
        <v>391</v>
      </c>
      <c r="CK66" t="n">
        <v>19</v>
      </c>
      <c r="CL66" t="n">
        <v>470</v>
      </c>
      <c r="CM66" t="n">
        <v>14</v>
      </c>
      <c r="CN66" t="n">
        <v>2</v>
      </c>
      <c r="CO66" t="n">
        <v>103</v>
      </c>
      <c r="CP66" t="n">
        <v>100</v>
      </c>
      <c r="CQ66" t="n">
        <v>899</v>
      </c>
      <c r="CR66" t="n">
        <v>12</v>
      </c>
      <c r="CS66" t="n">
        <v>153</v>
      </c>
      <c r="CT66" t="n">
        <v>122</v>
      </c>
      <c r="CU66" t="n">
        <v>108</v>
      </c>
      <c r="CV66" t="n">
        <v>147</v>
      </c>
      <c r="CW66" t="n">
        <v>155</v>
      </c>
      <c r="CX66" t="n">
        <v>31</v>
      </c>
      <c r="CY66" t="n">
        <v>193</v>
      </c>
      <c r="CZ66" t="n">
        <v>1230</v>
      </c>
      <c r="DA66" t="n">
        <v>681</v>
      </c>
      <c r="DB66" t="n">
        <v>476</v>
      </c>
      <c r="DC66" t="n">
        <v>298</v>
      </c>
      <c r="DD66" t="n">
        <v>98</v>
      </c>
      <c r="DE66" t="n">
        <v>21</v>
      </c>
      <c r="DF66" t="n">
        <v>19</v>
      </c>
      <c r="DG66" t="n">
        <v>244</v>
      </c>
      <c r="DH66" t="n">
        <v>452</v>
      </c>
      <c r="DL66" t="n">
        <v>25</v>
      </c>
      <c r="DM66" t="n">
        <v>2</v>
      </c>
      <c r="DN66" t="n">
        <v>10</v>
      </c>
      <c r="DO66" t="n">
        <v>33</v>
      </c>
      <c r="DP66" t="n">
        <v>0</v>
      </c>
      <c r="DQ66" t="n">
        <v>48</v>
      </c>
      <c r="DR66" t="n">
        <v>45</v>
      </c>
      <c r="DS66" t="n">
        <v>30</v>
      </c>
      <c r="DT66" t="n">
        <v>10</v>
      </c>
      <c r="DU66" t="n">
        <v>14</v>
      </c>
      <c r="DV66" t="n">
        <v>17</v>
      </c>
      <c r="DW66" t="n">
        <v>5</v>
      </c>
      <c r="DX66" t="n">
        <v>9</v>
      </c>
      <c r="DY66" t="n">
        <v>7</v>
      </c>
      <c r="DZ66" t="n">
        <v>10</v>
      </c>
      <c r="EA66" t="n">
        <v>10</v>
      </c>
      <c r="ED66" t="n">
        <v>32</v>
      </c>
      <c r="EE66" t="n">
        <v>10</v>
      </c>
      <c r="EF66" t="n">
        <v>47</v>
      </c>
      <c r="EG66" t="n">
        <v>6</v>
      </c>
      <c r="EH66" t="n">
        <v>12</v>
      </c>
      <c r="EI66" t="n">
        <v>54</v>
      </c>
      <c r="EJ66" t="n">
        <v>14</v>
      </c>
      <c r="EL66" t="n">
        <v>0</v>
      </c>
      <c r="EN66" t="n">
        <v>29</v>
      </c>
      <c r="EO66" t="n">
        <v>1</v>
      </c>
      <c r="EP66" t="n">
        <v>4</v>
      </c>
      <c r="EQ66" t="n">
        <v>6</v>
      </c>
      <c r="ER66" t="n">
        <v>50</v>
      </c>
      <c r="ET66" t="n">
        <v>30</v>
      </c>
      <c r="EU66" t="n">
        <v>5</v>
      </c>
      <c r="EV66" t="n">
        <v>0</v>
      </c>
      <c r="EW66" t="n">
        <v>4</v>
      </c>
      <c r="EX66" t="n">
        <v>544</v>
      </c>
      <c r="EY66" t="n">
        <v>279</v>
      </c>
      <c r="EZ66" t="n">
        <v>1752</v>
      </c>
      <c r="FA66" t="n">
        <v>8</v>
      </c>
      <c r="FB66" t="n">
        <v>281</v>
      </c>
      <c r="FC66" t="n">
        <v>604</v>
      </c>
      <c r="FD66" t="n">
        <v>1735</v>
      </c>
      <c r="FF66" t="n">
        <v>13</v>
      </c>
      <c r="FG66" t="n">
        <v>559</v>
      </c>
      <c r="FH66" t="n">
        <v>0</v>
      </c>
      <c r="FI66" t="n">
        <v>9</v>
      </c>
      <c r="FJ66" t="n">
        <v>191</v>
      </c>
      <c r="FK66" t="n">
        <v>6</v>
      </c>
      <c r="FL66" t="n">
        <v>14</v>
      </c>
      <c r="FM66" t="n">
        <v>15</v>
      </c>
      <c r="FN66" t="n">
        <v>59</v>
      </c>
      <c r="FO66" t="n">
        <v>39</v>
      </c>
      <c r="FQ66" t="n">
        <v>1</v>
      </c>
      <c r="FS66" t="n">
        <v>8</v>
      </c>
      <c r="FT66" t="n">
        <v>2</v>
      </c>
      <c r="FU66" t="n">
        <v>7</v>
      </c>
      <c r="FV66" t="n">
        <v>24</v>
      </c>
      <c r="FX66" t="n">
        <v>132</v>
      </c>
      <c r="FY66" t="n">
        <v>208</v>
      </c>
      <c r="FZ66" t="n">
        <v>6</v>
      </c>
      <c r="GB66" t="n">
        <v>6</v>
      </c>
      <c r="GC66" t="n">
        <v>4</v>
      </c>
      <c r="GD66" t="n">
        <v>66</v>
      </c>
      <c r="GG66" t="n">
        <v>1</v>
      </c>
      <c r="GH66" t="n">
        <v>8</v>
      </c>
      <c r="JN66" t="n">
        <v>0</v>
      </c>
      <c r="JO66" t="n">
        <v>26</v>
      </c>
      <c r="KF66" t="n">
        <v>492</v>
      </c>
      <c r="KK66" t="n">
        <v>115</v>
      </c>
      <c r="MO66" t="n">
        <v>5</v>
      </c>
      <c r="NT66" t="n">
        <v>3</v>
      </c>
      <c r="OO66" t="n">
        <v>18325</v>
      </c>
      <c r="OU66" t="n">
        <v>62</v>
      </c>
      <c r="OV66" t="n">
        <v>1202</v>
      </c>
      <c r="PI66" t="n">
        <v>19589</v>
      </c>
      <c r="PM66">
        <f>IFERROR(VLOOKUP($A66&amp;"",Key!$A:$C,3,FALSE),"")</f>
        <v/>
      </c>
    </row>
    <row r="67">
      <c r="A67" t="n">
        <v>331520</v>
      </c>
      <c r="B67" t="inlineStr">
        <is>
          <t>Nonferrous metal foundries</t>
        </is>
      </c>
      <c r="AC67" t="n">
        <v>1</v>
      </c>
      <c r="AP67" t="n">
        <v>1</v>
      </c>
      <c r="BL67" t="n">
        <v>55</v>
      </c>
      <c r="BM67" t="n">
        <v>21</v>
      </c>
      <c r="BN67" t="n">
        <v>3</v>
      </c>
      <c r="BO67" t="n">
        <v>52</v>
      </c>
      <c r="BP67" t="n">
        <v>78</v>
      </c>
      <c r="BQ67" t="n">
        <v>13</v>
      </c>
      <c r="BR67" t="n">
        <v>128</v>
      </c>
      <c r="BS67" t="n">
        <v>35</v>
      </c>
      <c r="BT67" t="n">
        <v>19</v>
      </c>
      <c r="BV67" t="n">
        <v>31</v>
      </c>
      <c r="BW67" t="n">
        <v>12</v>
      </c>
      <c r="BX67" t="n">
        <v>862</v>
      </c>
      <c r="BY67" t="n">
        <v>223</v>
      </c>
      <c r="BZ67" t="n">
        <v>41</v>
      </c>
      <c r="CA67" t="n">
        <v>183</v>
      </c>
      <c r="CB67" t="n">
        <v>324</v>
      </c>
      <c r="CC67" t="n">
        <v>15</v>
      </c>
      <c r="CD67" t="n">
        <v>5</v>
      </c>
      <c r="CE67" t="n">
        <v>76</v>
      </c>
      <c r="CF67" t="n">
        <v>26</v>
      </c>
      <c r="CG67" t="n">
        <v>12</v>
      </c>
      <c r="CH67" t="n">
        <v>12</v>
      </c>
      <c r="CI67" t="n">
        <v>40</v>
      </c>
      <c r="CJ67" t="n">
        <v>34</v>
      </c>
      <c r="CK67" t="n">
        <v>13</v>
      </c>
      <c r="CL67" t="n">
        <v>394</v>
      </c>
      <c r="CM67" t="n">
        <v>19</v>
      </c>
      <c r="CN67" t="n">
        <v>0</v>
      </c>
      <c r="CO67" t="n">
        <v>187</v>
      </c>
      <c r="CP67" t="n">
        <v>13</v>
      </c>
      <c r="CQ67" t="n">
        <v>98</v>
      </c>
      <c r="CR67" t="n">
        <v>18</v>
      </c>
      <c r="CS67" t="n">
        <v>187</v>
      </c>
      <c r="CT67" t="n">
        <v>87</v>
      </c>
      <c r="CU67" t="n">
        <v>153</v>
      </c>
      <c r="CV67" t="n">
        <v>124</v>
      </c>
      <c r="CW67" t="n">
        <v>10</v>
      </c>
      <c r="CX67" t="n">
        <v>14</v>
      </c>
      <c r="CY67" t="n">
        <v>27</v>
      </c>
      <c r="CZ67" t="n">
        <v>1024</v>
      </c>
      <c r="DA67" t="n">
        <v>40</v>
      </c>
      <c r="DB67" t="n">
        <v>77</v>
      </c>
      <c r="DC67" t="n">
        <v>77</v>
      </c>
      <c r="DD67" t="n">
        <v>79</v>
      </c>
      <c r="DE67" t="n">
        <v>4</v>
      </c>
      <c r="DF67" t="n">
        <v>15</v>
      </c>
      <c r="DG67" t="n">
        <v>413</v>
      </c>
      <c r="DH67" t="n">
        <v>41</v>
      </c>
      <c r="DK67" t="n">
        <v>0</v>
      </c>
      <c r="DL67" t="n">
        <v>9</v>
      </c>
      <c r="DM67" t="n">
        <v>4</v>
      </c>
      <c r="DN67" t="n">
        <v>3</v>
      </c>
      <c r="DO67" t="n">
        <v>12</v>
      </c>
      <c r="DP67" t="n">
        <v>1</v>
      </c>
      <c r="DQ67" t="n">
        <v>7</v>
      </c>
      <c r="DR67" t="n">
        <v>12</v>
      </c>
      <c r="DS67" t="n">
        <v>8</v>
      </c>
      <c r="DT67" t="n">
        <v>0</v>
      </c>
      <c r="DU67" t="n">
        <v>6</v>
      </c>
      <c r="DV67" t="n">
        <v>18</v>
      </c>
      <c r="DW67" t="n">
        <v>1</v>
      </c>
      <c r="DX67" t="n">
        <v>8</v>
      </c>
      <c r="DY67" t="n">
        <v>5</v>
      </c>
      <c r="DZ67" t="n">
        <v>1</v>
      </c>
      <c r="EA67" t="n">
        <v>2</v>
      </c>
      <c r="ED67" t="n">
        <v>172</v>
      </c>
      <c r="EE67" t="n">
        <v>42</v>
      </c>
      <c r="EF67" t="n">
        <v>83</v>
      </c>
      <c r="EG67" t="n">
        <v>1</v>
      </c>
      <c r="EH67" t="n">
        <v>16</v>
      </c>
      <c r="EI67" t="n">
        <v>74</v>
      </c>
      <c r="EJ67" t="n">
        <v>16</v>
      </c>
      <c r="EK67" t="n">
        <v>2</v>
      </c>
      <c r="EL67" t="n">
        <v>0</v>
      </c>
      <c r="EN67" t="n">
        <v>663</v>
      </c>
      <c r="EO67" t="n">
        <v>2</v>
      </c>
      <c r="EP67" t="n">
        <v>3</v>
      </c>
      <c r="EQ67" t="n">
        <v>10</v>
      </c>
      <c r="ER67" t="n">
        <v>70</v>
      </c>
      <c r="ES67" t="n">
        <v>0</v>
      </c>
      <c r="ET67" t="n">
        <v>12</v>
      </c>
      <c r="EU67" t="n">
        <v>5</v>
      </c>
      <c r="EV67" t="n">
        <v>0</v>
      </c>
      <c r="EW67" t="n">
        <v>4</v>
      </c>
      <c r="EX67" t="n">
        <v>2682</v>
      </c>
      <c r="EY67" t="n">
        <v>448</v>
      </c>
      <c r="EZ67" t="n">
        <v>923</v>
      </c>
      <c r="FA67" t="n">
        <v>1</v>
      </c>
      <c r="FB67" t="n">
        <v>26</v>
      </c>
      <c r="FC67" t="n">
        <v>1051</v>
      </c>
      <c r="FD67" t="n">
        <v>1544</v>
      </c>
      <c r="FE67" t="n">
        <v>14</v>
      </c>
      <c r="FF67" t="n">
        <v>2</v>
      </c>
      <c r="FG67" t="n">
        <v>22</v>
      </c>
      <c r="FH67" t="n">
        <v>0</v>
      </c>
      <c r="FI67" t="n">
        <v>23</v>
      </c>
      <c r="FJ67" t="n">
        <v>10</v>
      </c>
      <c r="FK67" t="n">
        <v>35</v>
      </c>
      <c r="FL67" t="n">
        <v>6</v>
      </c>
      <c r="FM67" t="n">
        <v>22</v>
      </c>
      <c r="FN67" t="n">
        <v>0</v>
      </c>
      <c r="FO67" t="n">
        <v>50</v>
      </c>
      <c r="FQ67" t="n">
        <v>1</v>
      </c>
      <c r="FR67" t="n">
        <v>1</v>
      </c>
      <c r="FS67" t="n">
        <v>11</v>
      </c>
      <c r="FT67" t="n">
        <v>1</v>
      </c>
      <c r="FU67" t="n">
        <v>10</v>
      </c>
      <c r="FV67" t="n">
        <v>26</v>
      </c>
      <c r="FX67" t="n">
        <v>37</v>
      </c>
      <c r="FY67" t="n">
        <v>26</v>
      </c>
      <c r="FZ67" t="n">
        <v>1</v>
      </c>
      <c r="GB67" t="n">
        <v>1</v>
      </c>
      <c r="GC67" t="n">
        <v>1</v>
      </c>
      <c r="GD67" t="n">
        <v>99</v>
      </c>
      <c r="GG67" t="n">
        <v>0</v>
      </c>
      <c r="GH67" t="n">
        <v>6</v>
      </c>
      <c r="GI67" t="n">
        <v>1</v>
      </c>
      <c r="GJ67" t="n">
        <v>1</v>
      </c>
      <c r="GO67" t="n">
        <v>1</v>
      </c>
      <c r="GP67" t="n">
        <v>2</v>
      </c>
      <c r="GR67" t="n">
        <v>1</v>
      </c>
      <c r="GS67" t="n">
        <v>1</v>
      </c>
      <c r="GT67" t="n">
        <v>1</v>
      </c>
      <c r="GU67" t="n">
        <v>1</v>
      </c>
      <c r="GV67" t="n">
        <v>1</v>
      </c>
      <c r="GW67" t="n">
        <v>0</v>
      </c>
      <c r="GX67" t="n">
        <v>1</v>
      </c>
      <c r="GY67" t="n">
        <v>1</v>
      </c>
      <c r="HA67" t="n">
        <v>1</v>
      </c>
      <c r="HB67" t="n">
        <v>1</v>
      </c>
      <c r="HC67" t="n">
        <v>1</v>
      </c>
      <c r="HD67" t="n">
        <v>1</v>
      </c>
      <c r="HE67" t="n">
        <v>1</v>
      </c>
      <c r="HF67" t="n">
        <v>1</v>
      </c>
      <c r="HG67" t="n">
        <v>1</v>
      </c>
      <c r="IZ67" t="n">
        <v>9</v>
      </c>
      <c r="JK67" t="n">
        <v>1</v>
      </c>
      <c r="KD67" t="n">
        <v>0</v>
      </c>
      <c r="KK67" t="n">
        <v>1</v>
      </c>
      <c r="LT67" t="n">
        <v>0</v>
      </c>
      <c r="LU67" t="n">
        <v>0</v>
      </c>
      <c r="LZ67" t="n">
        <v>4</v>
      </c>
      <c r="MF67" t="n">
        <v>0</v>
      </c>
      <c r="MM67" t="n">
        <v>2</v>
      </c>
      <c r="MZ67" t="n">
        <v>1</v>
      </c>
      <c r="NM67" t="n">
        <v>5</v>
      </c>
      <c r="NT67" t="n">
        <v>22</v>
      </c>
      <c r="NU67" t="n">
        <v>9</v>
      </c>
      <c r="OE67" t="n">
        <v>24</v>
      </c>
      <c r="OK67" t="n">
        <v>3</v>
      </c>
      <c r="ON67" t="n">
        <v>12</v>
      </c>
      <c r="OO67" t="n">
        <v>13878</v>
      </c>
      <c r="OP67" t="n">
        <v>25</v>
      </c>
      <c r="OU67" t="n">
        <v>21</v>
      </c>
      <c r="OV67" t="n">
        <v>85</v>
      </c>
      <c r="PI67" t="n">
        <v>14008</v>
      </c>
      <c r="PM67">
        <f>IFERROR(VLOOKUP($A67&amp;"",Key!$A:$C,3,FALSE),"")</f>
        <v/>
      </c>
    </row>
    <row r="68">
      <c r="A68" t="n">
        <v>332114</v>
      </c>
      <c r="B68" t="inlineStr">
        <is>
          <t>Custom roll forming</t>
        </is>
      </c>
      <c r="AA68" t="n">
        <v>2</v>
      </c>
      <c r="AB68" t="n">
        <v>0</v>
      </c>
      <c r="AC68" t="n">
        <v>79</v>
      </c>
      <c r="AD68" t="n">
        <v>2</v>
      </c>
      <c r="AE68" t="n">
        <v>70</v>
      </c>
      <c r="AF68" t="n">
        <v>9</v>
      </c>
      <c r="AG68" t="n">
        <v>8</v>
      </c>
      <c r="AH68" t="n">
        <v>4</v>
      </c>
      <c r="AI68" t="n">
        <v>17</v>
      </c>
      <c r="AJ68" t="n">
        <v>17</v>
      </c>
      <c r="AK68" t="n">
        <v>8</v>
      </c>
      <c r="AL68" t="n">
        <v>3</v>
      </c>
      <c r="AP68" t="n">
        <v>2</v>
      </c>
      <c r="AU68" t="n">
        <v>9</v>
      </c>
      <c r="AV68" t="n">
        <v>58</v>
      </c>
      <c r="BI68" t="n">
        <v>2</v>
      </c>
      <c r="BL68" t="n">
        <v>118</v>
      </c>
      <c r="BM68" t="n">
        <v>179</v>
      </c>
      <c r="BN68" t="n">
        <v>31</v>
      </c>
      <c r="BO68" t="n">
        <v>17</v>
      </c>
      <c r="BP68" t="n">
        <v>8</v>
      </c>
      <c r="BQ68" t="n">
        <v>144</v>
      </c>
      <c r="BR68" t="n">
        <v>115</v>
      </c>
      <c r="BS68" t="n">
        <v>51</v>
      </c>
      <c r="BT68" t="n">
        <v>23</v>
      </c>
      <c r="BU68" t="n">
        <v>95</v>
      </c>
      <c r="BV68" t="n">
        <v>3</v>
      </c>
      <c r="BW68" t="n">
        <v>39</v>
      </c>
      <c r="BX68" t="n">
        <v>43</v>
      </c>
      <c r="BY68" t="n">
        <v>70</v>
      </c>
      <c r="BZ68" t="n">
        <v>284</v>
      </c>
      <c r="CA68" t="n">
        <v>3</v>
      </c>
      <c r="CB68" t="n">
        <v>57</v>
      </c>
      <c r="CC68" t="n">
        <v>18</v>
      </c>
      <c r="CD68" t="n">
        <v>8</v>
      </c>
      <c r="CE68" t="n">
        <v>43</v>
      </c>
      <c r="CF68" t="n">
        <v>11</v>
      </c>
      <c r="CG68" t="n">
        <v>6</v>
      </c>
      <c r="CH68" t="n">
        <v>2</v>
      </c>
      <c r="CI68" t="n">
        <v>7</v>
      </c>
      <c r="CJ68" t="n">
        <v>192</v>
      </c>
      <c r="CK68" t="n">
        <v>13</v>
      </c>
      <c r="CL68" t="n">
        <v>54</v>
      </c>
      <c r="CN68" t="n">
        <v>1</v>
      </c>
      <c r="CO68" t="n">
        <v>117</v>
      </c>
      <c r="CP68" t="n">
        <v>3</v>
      </c>
      <c r="CQ68" t="n">
        <v>16</v>
      </c>
      <c r="CR68" t="n">
        <v>2</v>
      </c>
      <c r="CS68" t="n">
        <v>13</v>
      </c>
      <c r="CT68" t="n">
        <v>9</v>
      </c>
      <c r="CU68" t="n">
        <v>18</v>
      </c>
      <c r="CV68" t="n">
        <v>7</v>
      </c>
      <c r="CW68" t="n">
        <v>139</v>
      </c>
      <c r="CX68" t="n">
        <v>1</v>
      </c>
      <c r="CY68" t="n">
        <v>8</v>
      </c>
      <c r="CZ68" t="n">
        <v>41</v>
      </c>
      <c r="DA68" t="n">
        <v>3</v>
      </c>
      <c r="DB68" t="n">
        <v>3</v>
      </c>
      <c r="DC68" t="n">
        <v>41</v>
      </c>
      <c r="DD68" t="n">
        <v>9</v>
      </c>
      <c r="DE68" t="n">
        <v>24</v>
      </c>
      <c r="DF68" t="n">
        <v>18</v>
      </c>
      <c r="DG68" t="n">
        <v>38</v>
      </c>
      <c r="DH68" t="n">
        <v>7</v>
      </c>
      <c r="DJ68" t="n">
        <v>0</v>
      </c>
      <c r="DK68" t="n">
        <v>1</v>
      </c>
      <c r="DM68" t="n">
        <v>4</v>
      </c>
      <c r="DN68" t="n">
        <v>0</v>
      </c>
      <c r="DO68" t="n">
        <v>0</v>
      </c>
      <c r="DP68" t="n">
        <v>1</v>
      </c>
      <c r="DQ68" t="n">
        <v>16</v>
      </c>
      <c r="DR68" t="n">
        <v>421</v>
      </c>
      <c r="DS68" t="n">
        <v>10</v>
      </c>
      <c r="DY68" t="n">
        <v>34</v>
      </c>
      <c r="DZ68" t="n">
        <v>4</v>
      </c>
      <c r="EA68" t="n">
        <v>1</v>
      </c>
      <c r="ED68" t="n">
        <v>7</v>
      </c>
      <c r="EE68" t="n">
        <v>1</v>
      </c>
      <c r="EF68" t="n">
        <v>58</v>
      </c>
      <c r="EG68" t="n">
        <v>4</v>
      </c>
      <c r="EH68" t="n">
        <v>4</v>
      </c>
      <c r="EI68" t="n">
        <v>105</v>
      </c>
      <c r="EJ68" t="n">
        <v>30</v>
      </c>
      <c r="EK68" t="n">
        <v>6</v>
      </c>
      <c r="EL68" t="n">
        <v>11</v>
      </c>
      <c r="EM68" t="n">
        <v>20</v>
      </c>
      <c r="EN68" t="n">
        <v>19</v>
      </c>
      <c r="EO68" t="n">
        <v>8</v>
      </c>
      <c r="EP68" t="n">
        <v>7</v>
      </c>
      <c r="EQ68" t="n">
        <v>5</v>
      </c>
      <c r="ER68" t="n">
        <v>22</v>
      </c>
      <c r="ES68" t="n">
        <v>7</v>
      </c>
      <c r="ET68" t="n">
        <v>17</v>
      </c>
      <c r="EU68" t="n">
        <v>11</v>
      </c>
      <c r="EV68" t="n">
        <v>1</v>
      </c>
      <c r="EW68" t="n">
        <v>20</v>
      </c>
      <c r="EX68" t="n">
        <v>63</v>
      </c>
      <c r="EY68" t="n">
        <v>17</v>
      </c>
      <c r="EZ68" t="n">
        <v>2345</v>
      </c>
      <c r="FA68" t="n">
        <v>28</v>
      </c>
      <c r="FB68" t="n">
        <v>86</v>
      </c>
      <c r="FC68" t="n">
        <v>35</v>
      </c>
      <c r="FD68" t="n">
        <v>267</v>
      </c>
      <c r="FE68" t="n">
        <v>15</v>
      </c>
      <c r="FF68" t="n">
        <v>0</v>
      </c>
      <c r="FG68" t="n">
        <v>23</v>
      </c>
      <c r="FI68" t="n">
        <v>4</v>
      </c>
      <c r="FJ68" t="n">
        <v>45</v>
      </c>
      <c r="FK68" t="n">
        <v>8</v>
      </c>
      <c r="FL68" t="n">
        <v>4</v>
      </c>
      <c r="FM68" t="n">
        <v>3</v>
      </c>
      <c r="FN68" t="n">
        <v>40</v>
      </c>
      <c r="FO68" t="n">
        <v>7</v>
      </c>
      <c r="FQ68" t="n">
        <v>10</v>
      </c>
      <c r="FR68" t="n">
        <v>0</v>
      </c>
      <c r="FS68" t="n">
        <v>7</v>
      </c>
      <c r="FT68" t="n">
        <v>2</v>
      </c>
      <c r="FU68" t="n">
        <v>16</v>
      </c>
      <c r="FV68" t="n">
        <v>27</v>
      </c>
      <c r="FW68" t="n">
        <v>1</v>
      </c>
      <c r="FX68" t="n">
        <v>216</v>
      </c>
      <c r="FY68" t="n">
        <v>307</v>
      </c>
      <c r="FZ68" t="n">
        <v>1</v>
      </c>
      <c r="GB68" t="n">
        <v>2</v>
      </c>
      <c r="GC68" t="n">
        <v>1</v>
      </c>
      <c r="GD68" t="n">
        <v>11</v>
      </c>
      <c r="GE68" t="n">
        <v>0</v>
      </c>
      <c r="GF68" t="n">
        <v>1</v>
      </c>
      <c r="GG68" t="n">
        <v>354</v>
      </c>
      <c r="GH68" t="n">
        <v>22</v>
      </c>
      <c r="GI68" t="n">
        <v>1</v>
      </c>
      <c r="GJ68" t="n">
        <v>1</v>
      </c>
      <c r="GO68" t="n">
        <v>1</v>
      </c>
      <c r="GP68" t="n">
        <v>2</v>
      </c>
      <c r="GR68" t="n">
        <v>1</v>
      </c>
      <c r="GS68" t="n">
        <v>1</v>
      </c>
      <c r="GT68" t="n">
        <v>1</v>
      </c>
      <c r="GU68" t="n">
        <v>1</v>
      </c>
      <c r="GV68" t="n">
        <v>1</v>
      </c>
      <c r="GW68" t="n">
        <v>0</v>
      </c>
      <c r="GX68" t="n">
        <v>1</v>
      </c>
      <c r="GY68" t="n">
        <v>1</v>
      </c>
      <c r="HA68" t="n">
        <v>1</v>
      </c>
      <c r="HB68" t="n">
        <v>1</v>
      </c>
      <c r="HC68" t="n">
        <v>1</v>
      </c>
      <c r="HD68" t="n">
        <v>1</v>
      </c>
      <c r="HE68" t="n">
        <v>1</v>
      </c>
      <c r="HF68" t="n">
        <v>1</v>
      </c>
      <c r="HG68" t="n">
        <v>1</v>
      </c>
      <c r="IZ68" t="n">
        <v>1</v>
      </c>
      <c r="JH68" t="n">
        <v>9</v>
      </c>
      <c r="JJ68" t="n">
        <v>70</v>
      </c>
      <c r="JL68" t="n">
        <v>0</v>
      </c>
      <c r="KB68" t="n">
        <v>2</v>
      </c>
      <c r="KD68" t="n">
        <v>1</v>
      </c>
      <c r="KZ68" t="n">
        <v>78</v>
      </c>
      <c r="LO68" t="n">
        <v>47</v>
      </c>
      <c r="MY68" t="n">
        <v>1</v>
      </c>
      <c r="NC68" t="n">
        <v>8</v>
      </c>
      <c r="ND68" t="n">
        <v>8</v>
      </c>
      <c r="NE68" t="n">
        <v>13</v>
      </c>
      <c r="NM68" t="n">
        <v>15</v>
      </c>
      <c r="OO68" t="n">
        <v>7540</v>
      </c>
      <c r="OU68" t="n">
        <v>9</v>
      </c>
      <c r="OV68" t="n">
        <v>24</v>
      </c>
      <c r="PI68" t="n">
        <v>7573</v>
      </c>
      <c r="PM68">
        <f>IFERROR(VLOOKUP($A68&amp;"",Key!$A:$C,3,FALSE),"")</f>
        <v/>
      </c>
    </row>
    <row r="69">
      <c r="A69" t="inlineStr">
        <is>
          <t>33211A</t>
        </is>
      </c>
      <c r="B69" t="inlineStr">
        <is>
          <t>All other forging, stamping, and sintering</t>
        </is>
      </c>
      <c r="O69" t="n">
        <v>3</v>
      </c>
      <c r="S69" t="n">
        <v>27</v>
      </c>
      <c r="AA69" t="n">
        <v>0</v>
      </c>
      <c r="AB69" t="n">
        <v>0</v>
      </c>
      <c r="AC69" t="n">
        <v>43</v>
      </c>
      <c r="AD69" t="n">
        <v>15</v>
      </c>
      <c r="AE69" t="n">
        <v>25</v>
      </c>
      <c r="AF69" t="n">
        <v>9</v>
      </c>
      <c r="AG69" t="n">
        <v>135</v>
      </c>
      <c r="AI69" t="n">
        <v>51</v>
      </c>
      <c r="AK69" t="n">
        <v>46</v>
      </c>
      <c r="AL69" t="n">
        <v>4</v>
      </c>
      <c r="AP69" t="n">
        <v>3</v>
      </c>
      <c r="AW69" t="n">
        <v>4</v>
      </c>
      <c r="BA69" t="n">
        <v>6</v>
      </c>
      <c r="BB69" t="n">
        <v>3</v>
      </c>
      <c r="BL69" t="n">
        <v>43</v>
      </c>
      <c r="BM69" t="n">
        <v>240</v>
      </c>
      <c r="BN69" t="n">
        <v>1626</v>
      </c>
      <c r="BO69" t="n">
        <v>34</v>
      </c>
      <c r="BP69" t="n">
        <v>104</v>
      </c>
      <c r="BQ69" t="n">
        <v>32</v>
      </c>
      <c r="BR69" t="n">
        <v>25</v>
      </c>
      <c r="BS69" t="n">
        <v>55</v>
      </c>
      <c r="BT69" t="n">
        <v>72</v>
      </c>
      <c r="BU69" t="n">
        <v>3</v>
      </c>
      <c r="BV69" t="n">
        <v>116</v>
      </c>
      <c r="BW69" t="n">
        <v>15</v>
      </c>
      <c r="BX69" t="n">
        <v>330</v>
      </c>
      <c r="BY69" t="n">
        <v>553</v>
      </c>
      <c r="BZ69" t="n">
        <v>72</v>
      </c>
      <c r="CA69" t="n">
        <v>356</v>
      </c>
      <c r="CB69" t="n">
        <v>318</v>
      </c>
      <c r="CC69" t="n">
        <v>104</v>
      </c>
      <c r="CD69" t="n">
        <v>148</v>
      </c>
      <c r="CE69" t="n">
        <v>301</v>
      </c>
      <c r="CF69" t="n">
        <v>39</v>
      </c>
      <c r="CG69" t="n">
        <v>147</v>
      </c>
      <c r="CH69" t="n">
        <v>16</v>
      </c>
      <c r="CI69" t="n">
        <v>1</v>
      </c>
      <c r="CJ69" t="n">
        <v>945</v>
      </c>
      <c r="CK69" t="n">
        <v>6</v>
      </c>
      <c r="CL69" t="n">
        <v>234</v>
      </c>
      <c r="CM69" t="n">
        <v>4</v>
      </c>
      <c r="CN69" t="n">
        <v>1</v>
      </c>
      <c r="CO69" t="n">
        <v>52</v>
      </c>
      <c r="CP69" t="n">
        <v>11</v>
      </c>
      <c r="CQ69" t="n">
        <v>57</v>
      </c>
      <c r="CR69" t="n">
        <v>15</v>
      </c>
      <c r="CS69" t="n">
        <v>54</v>
      </c>
      <c r="CT69" t="n">
        <v>24</v>
      </c>
      <c r="CU69" t="n">
        <v>27</v>
      </c>
      <c r="CV69" t="n">
        <v>22</v>
      </c>
      <c r="CW69" t="n">
        <v>181</v>
      </c>
      <c r="CX69" t="n">
        <v>33</v>
      </c>
      <c r="CY69" t="n">
        <v>93</v>
      </c>
      <c r="CZ69" t="n">
        <v>1111</v>
      </c>
      <c r="DA69" t="n">
        <v>98</v>
      </c>
      <c r="DB69" t="n">
        <v>283</v>
      </c>
      <c r="DC69" t="n">
        <v>174</v>
      </c>
      <c r="DD69" t="n">
        <v>24</v>
      </c>
      <c r="DE69" t="n">
        <v>34</v>
      </c>
      <c r="DF69" t="n">
        <v>13</v>
      </c>
      <c r="DG69" t="n">
        <v>71</v>
      </c>
      <c r="DH69" t="n">
        <v>95</v>
      </c>
      <c r="DI69" t="n">
        <v>6</v>
      </c>
      <c r="DK69" t="n">
        <v>15</v>
      </c>
      <c r="DL69" t="n">
        <v>12</v>
      </c>
      <c r="DM69" t="n">
        <v>90</v>
      </c>
      <c r="DN69" t="n">
        <v>25</v>
      </c>
      <c r="DO69" t="n">
        <v>9</v>
      </c>
      <c r="DP69" t="n">
        <v>0</v>
      </c>
      <c r="DQ69" t="n">
        <v>17</v>
      </c>
      <c r="DR69" t="n">
        <v>83</v>
      </c>
      <c r="DS69" t="n">
        <v>28</v>
      </c>
      <c r="DT69" t="n">
        <v>5</v>
      </c>
      <c r="DU69" t="n">
        <v>34</v>
      </c>
      <c r="DV69" t="n">
        <v>30</v>
      </c>
      <c r="DW69" t="n">
        <v>2</v>
      </c>
      <c r="DX69" t="n">
        <v>7</v>
      </c>
      <c r="DY69" t="n">
        <v>239</v>
      </c>
      <c r="DZ69" t="n">
        <v>20</v>
      </c>
      <c r="EA69" t="n">
        <v>2</v>
      </c>
      <c r="ED69" t="n">
        <v>152</v>
      </c>
      <c r="EE69" t="n">
        <v>3</v>
      </c>
      <c r="EF69" t="n">
        <v>52</v>
      </c>
      <c r="EG69" t="n">
        <v>12</v>
      </c>
      <c r="EH69" t="n">
        <v>18</v>
      </c>
      <c r="EI69" t="n">
        <v>168</v>
      </c>
      <c r="EJ69" t="n">
        <v>22</v>
      </c>
      <c r="EK69" t="n">
        <v>38</v>
      </c>
      <c r="EL69" t="n">
        <v>5</v>
      </c>
      <c r="EN69" t="n">
        <v>95</v>
      </c>
      <c r="EP69" t="n">
        <v>10</v>
      </c>
      <c r="EQ69" t="n">
        <v>2</v>
      </c>
      <c r="ER69" t="n">
        <v>10</v>
      </c>
      <c r="ES69" t="n">
        <v>4</v>
      </c>
      <c r="ET69" t="n">
        <v>5</v>
      </c>
      <c r="EU69" t="n">
        <v>3</v>
      </c>
      <c r="EV69" t="n">
        <v>0</v>
      </c>
      <c r="EW69" t="n">
        <v>5</v>
      </c>
      <c r="EX69" t="n">
        <v>784</v>
      </c>
      <c r="EY69" t="n">
        <v>93</v>
      </c>
      <c r="EZ69" t="n">
        <v>59</v>
      </c>
      <c r="FA69" t="n">
        <v>162</v>
      </c>
      <c r="FB69" t="n">
        <v>37</v>
      </c>
      <c r="FC69" t="n">
        <v>171</v>
      </c>
      <c r="FD69" t="n">
        <v>122</v>
      </c>
      <c r="FE69" t="n">
        <v>136</v>
      </c>
      <c r="FF69" t="n">
        <v>795</v>
      </c>
      <c r="FG69" t="n">
        <v>153</v>
      </c>
      <c r="FH69" t="n">
        <v>156</v>
      </c>
      <c r="FI69" t="n">
        <v>47</v>
      </c>
      <c r="FJ69" t="n">
        <v>116</v>
      </c>
      <c r="FK69" t="n">
        <v>217</v>
      </c>
      <c r="FL69" t="n">
        <v>49</v>
      </c>
      <c r="FM69" t="n">
        <v>1</v>
      </c>
      <c r="FN69" t="n">
        <v>14</v>
      </c>
      <c r="FO69" t="n">
        <v>31</v>
      </c>
      <c r="FQ69" t="n">
        <v>17</v>
      </c>
      <c r="FS69" t="n">
        <v>13</v>
      </c>
      <c r="FT69" t="n">
        <v>3</v>
      </c>
      <c r="FU69" t="n">
        <v>27</v>
      </c>
      <c r="FV69" t="n">
        <v>44</v>
      </c>
      <c r="FW69" t="n">
        <v>2</v>
      </c>
      <c r="FX69" t="n">
        <v>11</v>
      </c>
      <c r="FY69" t="n">
        <v>62</v>
      </c>
      <c r="FZ69" t="n">
        <v>0</v>
      </c>
      <c r="GB69" t="n">
        <v>1</v>
      </c>
      <c r="GC69" t="n">
        <v>1</v>
      </c>
      <c r="GD69" t="n">
        <v>1</v>
      </c>
      <c r="GE69" t="n">
        <v>1</v>
      </c>
      <c r="GF69" t="n">
        <v>3</v>
      </c>
      <c r="GG69" t="n">
        <v>3</v>
      </c>
      <c r="GH69" t="n">
        <v>27</v>
      </c>
      <c r="JH69" t="n">
        <v>4</v>
      </c>
      <c r="JJ69" t="n">
        <v>30</v>
      </c>
      <c r="JN69" t="n">
        <v>0</v>
      </c>
      <c r="KM69" t="n">
        <v>6</v>
      </c>
      <c r="KW69" t="n">
        <v>19</v>
      </c>
      <c r="KX69" t="n">
        <v>120</v>
      </c>
      <c r="KY69" t="n">
        <v>4</v>
      </c>
      <c r="KZ69" t="n">
        <v>2</v>
      </c>
      <c r="LW69" t="n">
        <v>273</v>
      </c>
      <c r="LY69" t="n">
        <v>6</v>
      </c>
      <c r="LZ69" t="n">
        <v>45</v>
      </c>
      <c r="MF69" t="n">
        <v>4</v>
      </c>
      <c r="MK69" t="n">
        <v>3</v>
      </c>
      <c r="MM69" t="n">
        <v>1</v>
      </c>
      <c r="MN69" t="n">
        <v>3</v>
      </c>
      <c r="MO69" t="n">
        <v>129</v>
      </c>
      <c r="MZ69" t="n">
        <v>4</v>
      </c>
      <c r="NP69" t="n">
        <v>156</v>
      </c>
      <c r="NQ69" t="n">
        <v>31</v>
      </c>
      <c r="NT69" t="n">
        <v>74</v>
      </c>
      <c r="NU69" t="n">
        <v>2</v>
      </c>
      <c r="OB69" t="n">
        <v>3</v>
      </c>
      <c r="OE69" t="n">
        <v>23</v>
      </c>
      <c r="OM69" t="n">
        <v>29</v>
      </c>
      <c r="ON69" t="n">
        <v>104</v>
      </c>
      <c r="OO69" t="n">
        <v>14449</v>
      </c>
      <c r="OU69" t="n">
        <v>136</v>
      </c>
      <c r="OV69" t="n">
        <v>24</v>
      </c>
      <c r="PI69" t="n">
        <v>14609</v>
      </c>
      <c r="PM69">
        <f>IFERROR(VLOOKUP($A69&amp;"",Key!$A:$C,3,FALSE),"")</f>
        <v/>
      </c>
    </row>
    <row r="70">
      <c r="A70" t="n">
        <v>332119</v>
      </c>
      <c r="B70" t="inlineStr">
        <is>
          <t>Metal crown, closure, and other metal stamping (except automotive)</t>
        </is>
      </c>
      <c r="I70" t="n">
        <v>4</v>
      </c>
      <c r="AE70" t="n">
        <v>8</v>
      </c>
      <c r="AK70" t="n">
        <v>0</v>
      </c>
      <c r="AP70" t="n">
        <v>31</v>
      </c>
      <c r="AQ70" t="n">
        <v>26</v>
      </c>
      <c r="BK70" t="n">
        <v>0</v>
      </c>
      <c r="BM70" t="n">
        <v>11</v>
      </c>
      <c r="BN70" t="n">
        <v>9</v>
      </c>
      <c r="BO70" t="n">
        <v>357</v>
      </c>
      <c r="BP70" t="n">
        <v>25</v>
      </c>
      <c r="BQ70" t="n">
        <v>127</v>
      </c>
      <c r="BR70" t="n">
        <v>21</v>
      </c>
      <c r="BS70" t="n">
        <v>29</v>
      </c>
      <c r="BT70" t="n">
        <v>9</v>
      </c>
      <c r="BU70" t="n">
        <v>6</v>
      </c>
      <c r="BV70" t="n">
        <v>35</v>
      </c>
      <c r="BW70" t="n">
        <v>25</v>
      </c>
      <c r="BX70" t="n">
        <v>57</v>
      </c>
      <c r="BY70" t="n">
        <v>18</v>
      </c>
      <c r="BZ70" t="n">
        <v>46</v>
      </c>
      <c r="CA70" t="n">
        <v>135</v>
      </c>
      <c r="CB70" t="n">
        <v>26</v>
      </c>
      <c r="CC70" t="n">
        <v>7</v>
      </c>
      <c r="CD70" t="n">
        <v>4</v>
      </c>
      <c r="CE70" t="n">
        <v>54</v>
      </c>
      <c r="CF70" t="n">
        <v>82</v>
      </c>
      <c r="CG70" t="n">
        <v>482</v>
      </c>
      <c r="CH70" t="n">
        <v>172</v>
      </c>
      <c r="CI70" t="n">
        <v>21</v>
      </c>
      <c r="CJ70" t="n">
        <v>127</v>
      </c>
      <c r="CK70" t="n">
        <v>25</v>
      </c>
      <c r="CL70" t="n">
        <v>166</v>
      </c>
      <c r="CM70" t="n">
        <v>15</v>
      </c>
      <c r="CN70" t="n">
        <v>4</v>
      </c>
      <c r="CO70" t="n">
        <v>34</v>
      </c>
      <c r="CP70" t="n">
        <v>10</v>
      </c>
      <c r="CQ70" t="n">
        <v>325</v>
      </c>
      <c r="CR70" t="n">
        <v>5</v>
      </c>
      <c r="CS70" t="n">
        <v>9</v>
      </c>
      <c r="CT70" t="n">
        <v>8</v>
      </c>
      <c r="CU70" t="n">
        <v>6</v>
      </c>
      <c r="CV70" t="n">
        <v>8</v>
      </c>
      <c r="CW70" t="n">
        <v>27</v>
      </c>
      <c r="CX70" t="n">
        <v>2</v>
      </c>
      <c r="CY70" t="n">
        <v>9</v>
      </c>
      <c r="CZ70" t="n">
        <v>38</v>
      </c>
      <c r="DA70" t="n">
        <v>6</v>
      </c>
      <c r="DB70" t="n">
        <v>6</v>
      </c>
      <c r="DC70" t="n">
        <v>62</v>
      </c>
      <c r="DD70" t="n">
        <v>9</v>
      </c>
      <c r="DE70" t="n">
        <v>21</v>
      </c>
      <c r="DF70" t="n">
        <v>10</v>
      </c>
      <c r="DG70" t="n">
        <v>23</v>
      </c>
      <c r="DH70" t="n">
        <v>9</v>
      </c>
      <c r="DI70" t="n">
        <v>1</v>
      </c>
      <c r="DJ70" t="n">
        <v>1</v>
      </c>
      <c r="DK70" t="n">
        <v>15</v>
      </c>
      <c r="DL70" t="n">
        <v>3</v>
      </c>
      <c r="DM70" t="n">
        <v>32</v>
      </c>
      <c r="DN70" t="n">
        <v>8</v>
      </c>
      <c r="DO70" t="n">
        <v>24</v>
      </c>
      <c r="DP70" t="n">
        <v>13</v>
      </c>
      <c r="DQ70" t="n">
        <v>102</v>
      </c>
      <c r="DR70" t="n">
        <v>75</v>
      </c>
      <c r="DS70" t="n">
        <v>83</v>
      </c>
      <c r="DT70" t="n">
        <v>42</v>
      </c>
      <c r="DU70" t="n">
        <v>31</v>
      </c>
      <c r="DV70" t="n">
        <v>13</v>
      </c>
      <c r="DW70" t="n">
        <v>37</v>
      </c>
      <c r="DX70" t="n">
        <v>12</v>
      </c>
      <c r="DY70" t="n">
        <v>137</v>
      </c>
      <c r="DZ70" t="n">
        <v>12</v>
      </c>
      <c r="EA70" t="n">
        <v>6</v>
      </c>
      <c r="ED70" t="n">
        <v>23</v>
      </c>
      <c r="EE70" t="n">
        <v>45</v>
      </c>
      <c r="EF70" t="n">
        <v>1173</v>
      </c>
      <c r="EG70" t="n">
        <v>17</v>
      </c>
      <c r="EH70" t="n">
        <v>120</v>
      </c>
      <c r="EI70" t="n">
        <v>164</v>
      </c>
      <c r="EJ70" t="n">
        <v>56</v>
      </c>
      <c r="EK70" t="n">
        <v>91</v>
      </c>
      <c r="EL70" t="n">
        <v>59</v>
      </c>
      <c r="EN70" t="n">
        <v>343</v>
      </c>
      <c r="EP70" t="n">
        <v>305</v>
      </c>
      <c r="EQ70" t="n">
        <v>3</v>
      </c>
      <c r="ER70" t="n">
        <v>13</v>
      </c>
      <c r="ES70" t="n">
        <v>5</v>
      </c>
      <c r="ET70" t="n">
        <v>6</v>
      </c>
      <c r="EU70" t="n">
        <v>3</v>
      </c>
      <c r="EV70" t="n">
        <v>2</v>
      </c>
      <c r="EW70" t="n">
        <v>39</v>
      </c>
      <c r="EX70" t="n">
        <v>38</v>
      </c>
      <c r="EY70" t="n">
        <v>19</v>
      </c>
      <c r="EZ70" t="n">
        <v>22</v>
      </c>
      <c r="FA70" t="n">
        <v>909</v>
      </c>
      <c r="FB70" t="n">
        <v>105</v>
      </c>
      <c r="FC70" t="n">
        <v>213</v>
      </c>
      <c r="FD70" t="n">
        <v>73</v>
      </c>
      <c r="FE70" t="n">
        <v>15</v>
      </c>
      <c r="FF70" t="n">
        <v>20</v>
      </c>
      <c r="FG70" t="n">
        <v>27</v>
      </c>
      <c r="FH70" t="n">
        <v>4</v>
      </c>
      <c r="FI70" t="n">
        <v>3</v>
      </c>
      <c r="FJ70" t="n">
        <v>5</v>
      </c>
      <c r="FK70" t="n">
        <v>5</v>
      </c>
      <c r="FL70" t="n">
        <v>4</v>
      </c>
      <c r="FM70" t="n">
        <v>7</v>
      </c>
      <c r="FN70" t="n">
        <v>22</v>
      </c>
      <c r="FO70" t="n">
        <v>8</v>
      </c>
      <c r="FP70" t="n">
        <v>2</v>
      </c>
      <c r="FQ70" t="n">
        <v>78</v>
      </c>
      <c r="FR70" t="n">
        <v>2</v>
      </c>
      <c r="FS70" t="n">
        <v>11</v>
      </c>
      <c r="FT70" t="n">
        <v>43</v>
      </c>
      <c r="FU70" t="n">
        <v>118</v>
      </c>
      <c r="FV70" t="n">
        <v>440</v>
      </c>
      <c r="FW70" t="n">
        <v>4</v>
      </c>
      <c r="FX70" t="n">
        <v>24</v>
      </c>
      <c r="FY70" t="n">
        <v>20</v>
      </c>
      <c r="FZ70" t="n">
        <v>5</v>
      </c>
      <c r="GB70" t="n">
        <v>5</v>
      </c>
      <c r="GC70" t="n">
        <v>4</v>
      </c>
      <c r="GD70" t="n">
        <v>7</v>
      </c>
      <c r="GE70" t="n">
        <v>4</v>
      </c>
      <c r="GF70" t="n">
        <v>8</v>
      </c>
      <c r="GG70" t="n">
        <v>7</v>
      </c>
      <c r="GH70" t="n">
        <v>33</v>
      </c>
      <c r="GN70" t="n">
        <v>3</v>
      </c>
      <c r="GQ70" t="n">
        <v>1</v>
      </c>
      <c r="GR70" t="n">
        <v>1</v>
      </c>
      <c r="GS70" t="n">
        <v>2</v>
      </c>
      <c r="GW70" t="n">
        <v>1</v>
      </c>
      <c r="HB70" t="n">
        <v>4</v>
      </c>
      <c r="HE70" t="n">
        <v>3</v>
      </c>
      <c r="HR70" t="n">
        <v>1</v>
      </c>
      <c r="HU70" t="n">
        <v>724</v>
      </c>
      <c r="HW70" t="n">
        <v>75</v>
      </c>
      <c r="IM70" t="n">
        <v>182</v>
      </c>
      <c r="IO70" t="n">
        <v>2</v>
      </c>
      <c r="IP70" t="n">
        <v>11</v>
      </c>
      <c r="IQ70" t="n">
        <v>17</v>
      </c>
      <c r="IU70" t="n">
        <v>105</v>
      </c>
      <c r="IX70" t="n">
        <v>268</v>
      </c>
      <c r="IZ70" t="n">
        <v>8</v>
      </c>
      <c r="JG70" t="n">
        <v>10</v>
      </c>
      <c r="JH70" t="n">
        <v>11</v>
      </c>
      <c r="JJ70" t="n">
        <v>411</v>
      </c>
      <c r="JN70" t="n">
        <v>250</v>
      </c>
      <c r="JO70" t="n">
        <v>61</v>
      </c>
      <c r="JT70" t="n">
        <v>12</v>
      </c>
      <c r="KB70" t="n">
        <v>9</v>
      </c>
      <c r="KD70" t="n">
        <v>3</v>
      </c>
      <c r="KR70" t="n">
        <v>0</v>
      </c>
      <c r="KV70" t="n">
        <v>370</v>
      </c>
      <c r="KW70" t="n">
        <v>278</v>
      </c>
      <c r="KX70" t="n">
        <v>120</v>
      </c>
      <c r="KY70" t="n">
        <v>4</v>
      </c>
      <c r="KZ70" t="n">
        <v>234</v>
      </c>
      <c r="LO70" t="n">
        <v>193</v>
      </c>
      <c r="LZ70" t="n">
        <v>63</v>
      </c>
      <c r="MF70" t="n">
        <v>2</v>
      </c>
      <c r="MM70" t="n">
        <v>2</v>
      </c>
      <c r="MZ70" t="n">
        <v>755</v>
      </c>
      <c r="NB70" t="n">
        <v>2</v>
      </c>
      <c r="NC70" t="n">
        <v>36</v>
      </c>
      <c r="ND70" t="n">
        <v>28</v>
      </c>
      <c r="NE70" t="n">
        <v>48</v>
      </c>
      <c r="NM70" t="n">
        <v>54</v>
      </c>
      <c r="NO70" t="n">
        <v>16</v>
      </c>
      <c r="NS70" t="n">
        <v>58</v>
      </c>
      <c r="NT70" t="n">
        <v>49</v>
      </c>
      <c r="NU70" t="n">
        <v>57</v>
      </c>
      <c r="OD70" t="n">
        <v>244</v>
      </c>
      <c r="OE70" t="n">
        <v>37</v>
      </c>
      <c r="OH70" t="n">
        <v>1</v>
      </c>
      <c r="OI70" t="n">
        <v>16</v>
      </c>
      <c r="OJ70" t="n">
        <v>554</v>
      </c>
      <c r="OK70" t="n">
        <v>74</v>
      </c>
      <c r="OM70" t="n">
        <v>16</v>
      </c>
      <c r="ON70" t="n">
        <v>190</v>
      </c>
      <c r="OO70" t="n">
        <v>13899</v>
      </c>
      <c r="OP70" t="n">
        <v>279</v>
      </c>
      <c r="OU70" t="n">
        <v>138</v>
      </c>
      <c r="OV70" t="n">
        <v>529</v>
      </c>
      <c r="PI70" t="n">
        <v>14844</v>
      </c>
      <c r="PM70">
        <f>IFERROR(VLOOKUP($A70&amp;"",Key!$A:$C,3,FALSE),"")</f>
        <v/>
      </c>
    </row>
    <row r="71">
      <c r="A71" t="n">
        <v>332200</v>
      </c>
      <c r="B71" t="inlineStr">
        <is>
          <t>Cutlery and handtool manufacturing</t>
        </is>
      </c>
      <c r="C71" t="n">
        <v>36</v>
      </c>
      <c r="D71" t="n">
        <v>106</v>
      </c>
      <c r="E71" t="n">
        <v>36</v>
      </c>
      <c r="F71" t="n">
        <v>28</v>
      </c>
      <c r="G71" t="n">
        <v>40</v>
      </c>
      <c r="H71" t="n">
        <v>41</v>
      </c>
      <c r="I71" t="n">
        <v>204</v>
      </c>
      <c r="J71" t="n">
        <v>155</v>
      </c>
      <c r="K71" t="n">
        <v>20</v>
      </c>
      <c r="L71" t="n">
        <v>20</v>
      </c>
      <c r="N71" t="n">
        <v>3</v>
      </c>
      <c r="O71" t="n">
        <v>0</v>
      </c>
      <c r="P71" t="n">
        <v>532</v>
      </c>
      <c r="Q71" t="n">
        <v>28</v>
      </c>
      <c r="S71" t="n">
        <v>22</v>
      </c>
      <c r="V71" t="n">
        <v>71</v>
      </c>
      <c r="W71" t="n">
        <v>471</v>
      </c>
      <c r="X71" t="n">
        <v>2</v>
      </c>
      <c r="AA71" t="n">
        <v>93</v>
      </c>
      <c r="AB71" t="n">
        <v>217</v>
      </c>
      <c r="AC71" t="n">
        <v>48</v>
      </c>
      <c r="AD71" t="n">
        <v>109</v>
      </c>
      <c r="AE71" t="n">
        <v>144</v>
      </c>
      <c r="AF71" t="n">
        <v>61</v>
      </c>
      <c r="AG71" t="n">
        <v>733</v>
      </c>
      <c r="AH71" t="n">
        <v>49</v>
      </c>
      <c r="AI71" t="n">
        <v>79</v>
      </c>
      <c r="AJ71" t="n">
        <v>63</v>
      </c>
      <c r="AK71" t="n">
        <v>635</v>
      </c>
      <c r="AL71" t="n">
        <v>73</v>
      </c>
      <c r="AM71" t="n">
        <v>58</v>
      </c>
      <c r="AN71" t="n">
        <v>2</v>
      </c>
      <c r="AO71" t="n">
        <v>4</v>
      </c>
      <c r="AP71" t="n">
        <v>7</v>
      </c>
      <c r="AR71" t="n">
        <v>1</v>
      </c>
      <c r="AT71" t="n">
        <v>5</v>
      </c>
      <c r="AU71" t="n">
        <v>0</v>
      </c>
      <c r="AV71" t="n">
        <v>3</v>
      </c>
      <c r="AY71" t="n">
        <v>96</v>
      </c>
      <c r="AZ71" t="n">
        <v>1</v>
      </c>
      <c r="BA71" t="n">
        <v>1</v>
      </c>
      <c r="BC71" t="n">
        <v>25</v>
      </c>
      <c r="BD71" t="n">
        <v>1</v>
      </c>
      <c r="BE71" t="n">
        <v>2</v>
      </c>
      <c r="BF71" t="n">
        <v>0</v>
      </c>
      <c r="BG71" t="n">
        <v>2</v>
      </c>
      <c r="BI71" t="n">
        <v>2</v>
      </c>
      <c r="BJ71" t="n">
        <v>2</v>
      </c>
      <c r="BK71" t="n">
        <v>7</v>
      </c>
      <c r="BL71" t="n">
        <v>7</v>
      </c>
      <c r="BM71" t="n">
        <v>14</v>
      </c>
      <c r="BN71" t="n">
        <v>14</v>
      </c>
      <c r="BO71" t="n">
        <v>28</v>
      </c>
      <c r="BP71" t="n">
        <v>26</v>
      </c>
      <c r="BQ71" t="n">
        <v>64</v>
      </c>
      <c r="BR71" t="n">
        <v>25</v>
      </c>
      <c r="BS71" t="n">
        <v>40</v>
      </c>
      <c r="BT71" t="n">
        <v>13</v>
      </c>
      <c r="BU71" t="n">
        <v>17</v>
      </c>
      <c r="BV71" t="n">
        <v>50</v>
      </c>
      <c r="BW71" t="n">
        <v>31</v>
      </c>
      <c r="BX71" t="n">
        <v>86</v>
      </c>
      <c r="BY71" t="n">
        <v>24</v>
      </c>
      <c r="BZ71" t="n">
        <v>65</v>
      </c>
      <c r="CA71" t="n">
        <v>13</v>
      </c>
      <c r="CB71" t="n">
        <v>94</v>
      </c>
      <c r="CC71" t="n">
        <v>5</v>
      </c>
      <c r="CD71" t="n">
        <v>17</v>
      </c>
      <c r="CE71" t="n">
        <v>81</v>
      </c>
      <c r="CF71" t="n">
        <v>18</v>
      </c>
      <c r="CG71" t="n">
        <v>7</v>
      </c>
      <c r="CH71" t="n">
        <v>5</v>
      </c>
      <c r="CI71" t="n">
        <v>6</v>
      </c>
      <c r="CJ71" t="n">
        <v>97</v>
      </c>
      <c r="CK71" t="n">
        <v>26</v>
      </c>
      <c r="CL71" t="n">
        <v>59</v>
      </c>
      <c r="CM71" t="n">
        <v>9</v>
      </c>
      <c r="CN71" t="n">
        <v>3</v>
      </c>
      <c r="CO71" t="n">
        <v>42</v>
      </c>
      <c r="CP71" t="n">
        <v>11</v>
      </c>
      <c r="CQ71" t="n">
        <v>26</v>
      </c>
      <c r="CR71" t="n">
        <v>4</v>
      </c>
      <c r="CS71" t="n">
        <v>13</v>
      </c>
      <c r="CT71" t="n">
        <v>11</v>
      </c>
      <c r="CU71" t="n">
        <v>9</v>
      </c>
      <c r="CV71" t="n">
        <v>9</v>
      </c>
      <c r="CW71" t="n">
        <v>33</v>
      </c>
      <c r="CX71" t="n">
        <v>2</v>
      </c>
      <c r="CY71" t="n">
        <v>14</v>
      </c>
      <c r="CZ71" t="n">
        <v>21</v>
      </c>
      <c r="DA71" t="n">
        <v>8</v>
      </c>
      <c r="DB71" t="n">
        <v>8</v>
      </c>
      <c r="DC71" t="n">
        <v>25</v>
      </c>
      <c r="DD71" t="n">
        <v>13</v>
      </c>
      <c r="DE71" t="n">
        <v>58</v>
      </c>
      <c r="DF71" t="n">
        <v>12</v>
      </c>
      <c r="DG71" t="n">
        <v>25</v>
      </c>
      <c r="DH71" t="n">
        <v>11</v>
      </c>
      <c r="DJ71" t="n">
        <v>0</v>
      </c>
      <c r="DK71" t="n">
        <v>0</v>
      </c>
      <c r="DM71" t="n">
        <v>5</v>
      </c>
      <c r="DN71" t="n">
        <v>1</v>
      </c>
      <c r="DO71" t="n">
        <v>2</v>
      </c>
      <c r="DP71" t="n">
        <v>1</v>
      </c>
      <c r="DQ71" t="n">
        <v>2</v>
      </c>
      <c r="DR71" t="n">
        <v>25</v>
      </c>
      <c r="DS71" t="n">
        <v>9</v>
      </c>
      <c r="DT71" t="n">
        <v>0</v>
      </c>
      <c r="DU71" t="n">
        <v>20</v>
      </c>
      <c r="DV71" t="n">
        <v>5</v>
      </c>
      <c r="DW71" t="n">
        <v>5</v>
      </c>
      <c r="DX71" t="n">
        <v>22</v>
      </c>
      <c r="DY71" t="n">
        <v>47</v>
      </c>
      <c r="DZ71" t="n">
        <v>59</v>
      </c>
      <c r="EA71" t="n">
        <v>0</v>
      </c>
      <c r="EC71" t="n">
        <v>0</v>
      </c>
      <c r="ED71" t="n">
        <v>1</v>
      </c>
      <c r="EE71" t="n">
        <v>3</v>
      </c>
      <c r="EF71" t="n">
        <v>15</v>
      </c>
      <c r="EG71" t="n">
        <v>6</v>
      </c>
      <c r="EH71" t="n">
        <v>7</v>
      </c>
      <c r="EI71" t="n">
        <v>46</v>
      </c>
      <c r="EJ71" t="n">
        <v>22</v>
      </c>
      <c r="EK71" t="n">
        <v>10</v>
      </c>
      <c r="EL71" t="n">
        <v>3</v>
      </c>
      <c r="EM71" t="n">
        <v>1</v>
      </c>
      <c r="EN71" t="n">
        <v>27</v>
      </c>
      <c r="EO71" t="n">
        <v>0</v>
      </c>
      <c r="EP71" t="n">
        <v>2</v>
      </c>
      <c r="EQ71" t="n">
        <v>9</v>
      </c>
      <c r="ER71" t="n">
        <v>32</v>
      </c>
      <c r="ES71" t="n">
        <v>13</v>
      </c>
      <c r="ET71" t="n">
        <v>17</v>
      </c>
      <c r="EU71" t="n">
        <v>11</v>
      </c>
      <c r="EV71" t="n">
        <v>0</v>
      </c>
      <c r="EW71" t="n">
        <v>10</v>
      </c>
      <c r="EX71" t="n">
        <v>34</v>
      </c>
      <c r="EY71" t="n">
        <v>16</v>
      </c>
      <c r="EZ71" t="n">
        <v>18</v>
      </c>
      <c r="FA71" t="n">
        <v>47</v>
      </c>
      <c r="FB71" t="n">
        <v>131</v>
      </c>
      <c r="FC71" t="n">
        <v>32</v>
      </c>
      <c r="FD71" t="n">
        <v>43</v>
      </c>
      <c r="FE71" t="n">
        <v>20</v>
      </c>
      <c r="FF71" t="n">
        <v>20</v>
      </c>
      <c r="FG71" t="n">
        <v>34</v>
      </c>
      <c r="FI71" t="n">
        <v>3</v>
      </c>
      <c r="FJ71" t="n">
        <v>295</v>
      </c>
      <c r="FK71" t="n">
        <v>10</v>
      </c>
      <c r="FL71" t="n">
        <v>7</v>
      </c>
      <c r="FM71" t="n">
        <v>9</v>
      </c>
      <c r="FN71" t="n">
        <v>41</v>
      </c>
      <c r="FO71" t="n">
        <v>12</v>
      </c>
      <c r="FP71" t="n">
        <v>1</v>
      </c>
      <c r="FQ71" t="n">
        <v>10</v>
      </c>
      <c r="FS71" t="n">
        <v>8</v>
      </c>
      <c r="FT71" t="n">
        <v>14</v>
      </c>
      <c r="FU71" t="n">
        <v>32</v>
      </c>
      <c r="FV71" t="n">
        <v>60</v>
      </c>
      <c r="FW71" t="n">
        <v>6</v>
      </c>
      <c r="FX71" t="n">
        <v>39</v>
      </c>
      <c r="FY71" t="n">
        <v>35</v>
      </c>
      <c r="FZ71" t="n">
        <v>7</v>
      </c>
      <c r="GA71" t="n">
        <v>1</v>
      </c>
      <c r="GB71" t="n">
        <v>5</v>
      </c>
      <c r="GC71" t="n">
        <v>5</v>
      </c>
      <c r="GD71" t="n">
        <v>9</v>
      </c>
      <c r="GE71" t="n">
        <v>4</v>
      </c>
      <c r="GF71" t="n">
        <v>4</v>
      </c>
      <c r="GG71" t="n">
        <v>15</v>
      </c>
      <c r="GH71" t="n">
        <v>32</v>
      </c>
      <c r="GP71" t="n">
        <v>2</v>
      </c>
      <c r="GR71" t="n">
        <v>1</v>
      </c>
      <c r="GW71" t="n">
        <v>22</v>
      </c>
      <c r="GX71" t="n">
        <v>40</v>
      </c>
      <c r="GZ71" t="n">
        <v>6</v>
      </c>
      <c r="HA71" t="n">
        <v>2</v>
      </c>
      <c r="HB71" t="n">
        <v>2</v>
      </c>
      <c r="HE71" t="n">
        <v>1</v>
      </c>
      <c r="HG71" t="n">
        <v>8</v>
      </c>
      <c r="HH71" t="n">
        <v>0</v>
      </c>
      <c r="HI71" t="n">
        <v>0</v>
      </c>
      <c r="HP71" t="n">
        <v>0</v>
      </c>
      <c r="HQ71" t="n">
        <v>1</v>
      </c>
      <c r="HT71" t="n">
        <v>1</v>
      </c>
      <c r="HU71" t="n">
        <v>44</v>
      </c>
      <c r="HV71" t="n">
        <v>20</v>
      </c>
      <c r="HW71" t="n">
        <v>9</v>
      </c>
      <c r="HX71" t="n">
        <v>3</v>
      </c>
      <c r="HY71" t="n">
        <v>1</v>
      </c>
      <c r="HZ71" t="n">
        <v>1</v>
      </c>
      <c r="IA71" t="n">
        <v>1</v>
      </c>
      <c r="IB71" t="n">
        <v>2</v>
      </c>
      <c r="IK71" t="n">
        <v>1</v>
      </c>
      <c r="IL71" t="n">
        <v>1</v>
      </c>
      <c r="IM71" t="n">
        <v>4</v>
      </c>
      <c r="IN71" t="n">
        <v>1</v>
      </c>
      <c r="IW71" t="n">
        <v>2</v>
      </c>
      <c r="IX71" t="n">
        <v>1</v>
      </c>
      <c r="IZ71" t="n">
        <v>9</v>
      </c>
      <c r="JA71" t="n">
        <v>13</v>
      </c>
      <c r="JB71" t="n">
        <v>7</v>
      </c>
      <c r="JC71" t="n">
        <v>2</v>
      </c>
      <c r="JD71" t="n">
        <v>5</v>
      </c>
      <c r="JE71" t="n">
        <v>2</v>
      </c>
      <c r="JF71" t="n">
        <v>4</v>
      </c>
      <c r="JG71" t="n">
        <v>171</v>
      </c>
      <c r="JH71" t="n">
        <v>14</v>
      </c>
      <c r="JI71" t="n">
        <v>2</v>
      </c>
      <c r="JJ71" t="n">
        <v>112</v>
      </c>
      <c r="JL71" t="n">
        <v>225</v>
      </c>
      <c r="JN71" t="n">
        <v>7</v>
      </c>
      <c r="JO71" t="n">
        <v>32</v>
      </c>
      <c r="JQ71" t="n">
        <v>108</v>
      </c>
      <c r="JS71" t="n">
        <v>19</v>
      </c>
      <c r="JT71" t="n">
        <v>17</v>
      </c>
      <c r="JV71" t="n">
        <v>13</v>
      </c>
      <c r="JW71" t="n">
        <v>65</v>
      </c>
      <c r="JX71" t="n">
        <v>90</v>
      </c>
      <c r="JY71" t="n">
        <v>2</v>
      </c>
      <c r="JZ71" t="n">
        <v>26</v>
      </c>
      <c r="KA71" t="n">
        <v>15</v>
      </c>
      <c r="KD71" t="n">
        <v>0</v>
      </c>
      <c r="KE71" t="n">
        <v>5</v>
      </c>
      <c r="KF71" t="n">
        <v>17</v>
      </c>
      <c r="KH71" t="n">
        <v>35</v>
      </c>
      <c r="KI71" t="n">
        <v>28</v>
      </c>
      <c r="KJ71" t="n">
        <v>61</v>
      </c>
      <c r="KK71" t="n">
        <v>2</v>
      </c>
      <c r="KM71" t="n">
        <v>20</v>
      </c>
      <c r="KO71" t="n">
        <v>61</v>
      </c>
      <c r="KQ71" t="n">
        <v>18</v>
      </c>
      <c r="KW71" t="n">
        <v>2</v>
      </c>
      <c r="KX71" t="n">
        <v>11</v>
      </c>
      <c r="LA71" t="n">
        <v>104</v>
      </c>
      <c r="LC71" t="n">
        <v>13</v>
      </c>
      <c r="LD71" t="n">
        <v>25</v>
      </c>
      <c r="LE71" t="n">
        <v>9</v>
      </c>
      <c r="LF71" t="n">
        <v>1</v>
      </c>
      <c r="LK71" t="n">
        <v>1</v>
      </c>
      <c r="LL71" t="n">
        <v>0</v>
      </c>
      <c r="LM71" t="n">
        <v>1389</v>
      </c>
      <c r="LN71" t="n">
        <v>154</v>
      </c>
      <c r="LO71" t="n">
        <v>137</v>
      </c>
      <c r="LW71" t="n">
        <v>6</v>
      </c>
      <c r="LX71" t="n">
        <v>17</v>
      </c>
      <c r="LY71" t="n">
        <v>5</v>
      </c>
      <c r="LZ71" t="n">
        <v>91</v>
      </c>
      <c r="MA71" t="n">
        <v>14</v>
      </c>
      <c r="ME71" t="n">
        <v>3</v>
      </c>
      <c r="MF71" t="n">
        <v>17</v>
      </c>
      <c r="MH71" t="n">
        <v>182</v>
      </c>
      <c r="MI71" t="n">
        <v>4</v>
      </c>
      <c r="MK71" t="n">
        <v>22</v>
      </c>
      <c r="MM71" t="n">
        <v>17</v>
      </c>
      <c r="MN71" t="n">
        <v>19</v>
      </c>
      <c r="MO71" t="n">
        <v>2</v>
      </c>
      <c r="MP71" t="n">
        <v>11</v>
      </c>
      <c r="MQ71" t="n">
        <v>39</v>
      </c>
      <c r="MR71" t="n">
        <v>26</v>
      </c>
      <c r="MZ71" t="n">
        <v>16</v>
      </c>
      <c r="NA71" t="n">
        <v>8</v>
      </c>
      <c r="NC71" t="n">
        <v>2</v>
      </c>
      <c r="ND71" t="n">
        <v>8</v>
      </c>
      <c r="NE71" t="n">
        <v>381</v>
      </c>
      <c r="NK71" t="n">
        <v>4</v>
      </c>
      <c r="NL71" t="n">
        <v>9</v>
      </c>
      <c r="NM71" t="n">
        <v>129</v>
      </c>
      <c r="NN71" t="n">
        <v>69</v>
      </c>
      <c r="NO71" t="n">
        <v>223</v>
      </c>
      <c r="NP71" t="n">
        <v>401</v>
      </c>
      <c r="NQ71" t="n">
        <v>81</v>
      </c>
      <c r="NR71" t="n">
        <v>55</v>
      </c>
      <c r="NS71" t="n">
        <v>4</v>
      </c>
      <c r="NT71" t="n">
        <v>177</v>
      </c>
      <c r="NU71" t="n">
        <v>156</v>
      </c>
      <c r="NV71" t="n">
        <v>270</v>
      </c>
      <c r="NY71" t="n">
        <v>4</v>
      </c>
      <c r="NZ71" t="n">
        <v>30</v>
      </c>
      <c r="OA71" t="n">
        <v>2</v>
      </c>
      <c r="OB71" t="n">
        <v>87</v>
      </c>
      <c r="OD71" t="n">
        <v>1404</v>
      </c>
      <c r="OE71" t="n">
        <v>237</v>
      </c>
      <c r="OH71" t="n">
        <v>5</v>
      </c>
      <c r="OI71" t="n">
        <v>502</v>
      </c>
      <c r="OJ71" t="n">
        <v>107</v>
      </c>
      <c r="OK71" t="n">
        <v>1368</v>
      </c>
      <c r="ON71" t="n">
        <v>1</v>
      </c>
      <c r="OO71" t="n">
        <v>16576</v>
      </c>
      <c r="OP71" t="n">
        <v>16127</v>
      </c>
      <c r="OQ71" t="n">
        <v>197</v>
      </c>
      <c r="OU71" t="n">
        <v>242</v>
      </c>
      <c r="OV71" t="n">
        <v>2264</v>
      </c>
      <c r="OX71" t="n">
        <v>1</v>
      </c>
      <c r="PB71" t="n">
        <v>2</v>
      </c>
      <c r="PF71" t="n">
        <v>41</v>
      </c>
      <c r="PI71" t="n">
        <v>35449</v>
      </c>
      <c r="PM71">
        <f>IFERROR(VLOOKUP($A71&amp;"",Key!$A:$C,3,FALSE),"")</f>
        <v/>
      </c>
    </row>
    <row r="72">
      <c r="A72" t="n">
        <v>332310</v>
      </c>
      <c r="B72" t="inlineStr">
        <is>
          <t>Plate work and fabricated structural product manufacturing</t>
        </is>
      </c>
      <c r="C72" t="n">
        <v>19</v>
      </c>
      <c r="D72" t="n">
        <v>33</v>
      </c>
      <c r="E72" t="n">
        <v>11</v>
      </c>
      <c r="F72" t="n">
        <v>10</v>
      </c>
      <c r="G72" t="n">
        <v>12</v>
      </c>
      <c r="H72" t="n">
        <v>14</v>
      </c>
      <c r="I72" t="n">
        <v>67</v>
      </c>
      <c r="J72" t="n">
        <v>36</v>
      </c>
      <c r="K72" t="n">
        <v>7</v>
      </c>
      <c r="L72" t="n">
        <v>6</v>
      </c>
      <c r="M72" t="n">
        <v>42</v>
      </c>
      <c r="O72" t="n">
        <v>26</v>
      </c>
      <c r="P72" t="n">
        <v>1024</v>
      </c>
      <c r="R72" t="n">
        <v>12</v>
      </c>
      <c r="S72" t="n">
        <v>4</v>
      </c>
      <c r="V72" t="n">
        <v>143</v>
      </c>
      <c r="W72" t="n">
        <v>52</v>
      </c>
      <c r="X72" t="n">
        <v>10</v>
      </c>
      <c r="Z72" t="n">
        <v>0</v>
      </c>
      <c r="AA72" t="n">
        <v>1328</v>
      </c>
      <c r="AB72" t="n">
        <v>406</v>
      </c>
      <c r="AC72" t="n">
        <v>1850</v>
      </c>
      <c r="AD72" t="n">
        <v>449</v>
      </c>
      <c r="AE72" t="n">
        <v>5049</v>
      </c>
      <c r="AF72" t="n">
        <v>851</v>
      </c>
      <c r="AG72" t="n">
        <v>3566</v>
      </c>
      <c r="AH72" t="n">
        <v>206</v>
      </c>
      <c r="AI72" t="n">
        <v>3367</v>
      </c>
      <c r="AJ72" t="n">
        <v>4583</v>
      </c>
      <c r="AK72" t="n">
        <v>1504</v>
      </c>
      <c r="AL72" t="n">
        <v>8074</v>
      </c>
      <c r="AN72" t="n">
        <v>68</v>
      </c>
      <c r="AP72" t="n">
        <v>35</v>
      </c>
      <c r="AU72" t="n">
        <v>4</v>
      </c>
      <c r="AV72" t="n">
        <v>139</v>
      </c>
      <c r="BD72" t="n">
        <v>29</v>
      </c>
      <c r="BM72" t="n">
        <v>20</v>
      </c>
      <c r="BN72" t="n">
        <v>23</v>
      </c>
      <c r="BO72" t="n">
        <v>107</v>
      </c>
      <c r="BP72" t="n">
        <v>9</v>
      </c>
      <c r="BQ72" t="n">
        <v>1536</v>
      </c>
      <c r="BR72" t="n">
        <v>22</v>
      </c>
      <c r="BS72" t="n">
        <v>52</v>
      </c>
      <c r="BT72" t="n">
        <v>16</v>
      </c>
      <c r="BU72" t="n">
        <v>8</v>
      </c>
      <c r="BV72" t="n">
        <v>38</v>
      </c>
      <c r="BW72" t="n">
        <v>25</v>
      </c>
      <c r="BX72" t="n">
        <v>672</v>
      </c>
      <c r="BY72" t="n">
        <v>16</v>
      </c>
      <c r="BZ72" t="n">
        <v>45</v>
      </c>
      <c r="CA72" t="n">
        <v>8</v>
      </c>
      <c r="CB72" t="n">
        <v>73</v>
      </c>
      <c r="CC72" t="n">
        <v>3</v>
      </c>
      <c r="CD72" t="n">
        <v>9</v>
      </c>
      <c r="CE72" t="n">
        <v>47</v>
      </c>
      <c r="CF72" t="n">
        <v>9</v>
      </c>
      <c r="CG72" t="n">
        <v>2</v>
      </c>
      <c r="CH72" t="n">
        <v>2</v>
      </c>
      <c r="CI72" t="n">
        <v>108</v>
      </c>
      <c r="CJ72" t="n">
        <v>41</v>
      </c>
      <c r="CK72" t="n">
        <v>11</v>
      </c>
      <c r="CL72" t="n">
        <v>352</v>
      </c>
      <c r="CN72" t="n">
        <v>2</v>
      </c>
      <c r="CO72" t="n">
        <v>29</v>
      </c>
      <c r="CP72" t="n">
        <v>3</v>
      </c>
      <c r="CQ72" t="n">
        <v>203</v>
      </c>
      <c r="CR72" t="n">
        <v>49</v>
      </c>
      <c r="CS72" t="n">
        <v>8</v>
      </c>
      <c r="CT72" t="n">
        <v>6</v>
      </c>
      <c r="CU72" t="n">
        <v>5</v>
      </c>
      <c r="CV72" t="n">
        <v>5</v>
      </c>
      <c r="CW72" t="n">
        <v>141</v>
      </c>
      <c r="CX72" t="n">
        <v>2</v>
      </c>
      <c r="CY72" t="n">
        <v>6</v>
      </c>
      <c r="CZ72" t="n">
        <v>203</v>
      </c>
      <c r="DA72" t="n">
        <v>98</v>
      </c>
      <c r="DB72" t="n">
        <v>92</v>
      </c>
      <c r="DC72" t="n">
        <v>355</v>
      </c>
      <c r="DD72" t="n">
        <v>7</v>
      </c>
      <c r="DE72" t="n">
        <v>22</v>
      </c>
      <c r="DF72" t="n">
        <v>8</v>
      </c>
      <c r="DG72" t="n">
        <v>33</v>
      </c>
      <c r="DH72" t="n">
        <v>6</v>
      </c>
      <c r="DI72" t="n">
        <v>1</v>
      </c>
      <c r="DJ72" t="n">
        <v>1</v>
      </c>
      <c r="DK72" t="n">
        <v>3</v>
      </c>
      <c r="DM72" t="n">
        <v>9</v>
      </c>
      <c r="DN72" t="n">
        <v>1</v>
      </c>
      <c r="DO72" t="n">
        <v>102</v>
      </c>
      <c r="DP72" t="n">
        <v>7</v>
      </c>
      <c r="DQ72" t="n">
        <v>32</v>
      </c>
      <c r="DR72" t="n">
        <v>18</v>
      </c>
      <c r="DS72" t="n">
        <v>5</v>
      </c>
      <c r="DY72" t="n">
        <v>16</v>
      </c>
      <c r="DZ72" t="n">
        <v>6</v>
      </c>
      <c r="EA72" t="n">
        <v>5</v>
      </c>
      <c r="ED72" t="n">
        <v>31</v>
      </c>
      <c r="EE72" t="n">
        <v>2</v>
      </c>
      <c r="EF72" t="n">
        <v>21</v>
      </c>
      <c r="EG72" t="n">
        <v>15</v>
      </c>
      <c r="EH72" t="n">
        <v>15</v>
      </c>
      <c r="EI72" t="n">
        <v>130</v>
      </c>
      <c r="EJ72" t="n">
        <v>43</v>
      </c>
      <c r="EK72" t="n">
        <v>53</v>
      </c>
      <c r="EL72" t="n">
        <v>15</v>
      </c>
      <c r="EN72" t="n">
        <v>59</v>
      </c>
      <c r="EP72" t="n">
        <v>23</v>
      </c>
      <c r="EQ72" t="n">
        <v>4</v>
      </c>
      <c r="ER72" t="n">
        <v>18</v>
      </c>
      <c r="ES72" t="n">
        <v>8</v>
      </c>
      <c r="ET72" t="n">
        <v>16</v>
      </c>
      <c r="EU72" t="n">
        <v>7</v>
      </c>
      <c r="EV72" t="n">
        <v>0</v>
      </c>
      <c r="EW72" t="n">
        <v>3</v>
      </c>
      <c r="EX72" t="n">
        <v>753</v>
      </c>
      <c r="EY72" t="n">
        <v>18</v>
      </c>
      <c r="EZ72" t="n">
        <v>207</v>
      </c>
      <c r="FA72" t="n">
        <v>8</v>
      </c>
      <c r="FB72" t="n">
        <v>92</v>
      </c>
      <c r="FC72" t="n">
        <v>41</v>
      </c>
      <c r="FD72" t="n">
        <v>46</v>
      </c>
      <c r="FE72" t="n">
        <v>1967</v>
      </c>
      <c r="FF72" t="n">
        <v>1</v>
      </c>
      <c r="FG72" t="n">
        <v>611</v>
      </c>
      <c r="FH72" t="n">
        <v>210</v>
      </c>
      <c r="FI72" t="n">
        <v>3</v>
      </c>
      <c r="FJ72" t="n">
        <v>364</v>
      </c>
      <c r="FK72" t="n">
        <v>219</v>
      </c>
      <c r="FL72" t="n">
        <v>238</v>
      </c>
      <c r="FM72" t="n">
        <v>3</v>
      </c>
      <c r="FN72" t="n">
        <v>38</v>
      </c>
      <c r="FO72" t="n">
        <v>7</v>
      </c>
      <c r="FQ72" t="n">
        <v>11</v>
      </c>
      <c r="FS72" t="n">
        <v>8</v>
      </c>
      <c r="FT72" t="n">
        <v>2</v>
      </c>
      <c r="FU72" t="n">
        <v>18</v>
      </c>
      <c r="FV72" t="n">
        <v>28</v>
      </c>
      <c r="FW72" t="n">
        <v>2</v>
      </c>
      <c r="FZ72" t="n">
        <v>8</v>
      </c>
      <c r="GB72" t="n">
        <v>9</v>
      </c>
      <c r="GC72" t="n">
        <v>6</v>
      </c>
      <c r="GD72" t="n">
        <v>16</v>
      </c>
      <c r="GE72" t="n">
        <v>2</v>
      </c>
      <c r="GF72" t="n">
        <v>3</v>
      </c>
      <c r="GG72" t="n">
        <v>6</v>
      </c>
      <c r="GH72" t="n">
        <v>16</v>
      </c>
      <c r="IZ72" t="n">
        <v>1</v>
      </c>
      <c r="JG72" t="n">
        <v>186</v>
      </c>
      <c r="JH72" t="n">
        <v>9</v>
      </c>
      <c r="JJ72" t="n">
        <v>69</v>
      </c>
      <c r="JK72" t="n">
        <v>2</v>
      </c>
      <c r="JL72" t="n">
        <v>5</v>
      </c>
      <c r="JM72" t="n">
        <v>39</v>
      </c>
      <c r="JN72" t="n">
        <v>872</v>
      </c>
      <c r="JO72" t="n">
        <v>101</v>
      </c>
      <c r="JP72" t="n">
        <v>5</v>
      </c>
      <c r="JQ72" t="n">
        <v>1</v>
      </c>
      <c r="JR72" t="n">
        <v>18</v>
      </c>
      <c r="JS72" t="n">
        <v>9</v>
      </c>
      <c r="JT72" t="n">
        <v>31</v>
      </c>
      <c r="JV72" t="n">
        <v>1</v>
      </c>
      <c r="JX72" t="n">
        <v>41</v>
      </c>
      <c r="JY72" t="n">
        <v>6</v>
      </c>
      <c r="KB72" t="n">
        <v>10</v>
      </c>
      <c r="KC72" t="n">
        <v>0</v>
      </c>
      <c r="KD72" t="n">
        <v>10</v>
      </c>
      <c r="KF72" t="n">
        <v>6</v>
      </c>
      <c r="KG72" t="n">
        <v>2133</v>
      </c>
      <c r="KJ72" t="n">
        <v>1751</v>
      </c>
      <c r="KK72" t="n">
        <v>1</v>
      </c>
      <c r="KL72" t="n">
        <v>1</v>
      </c>
      <c r="KM72" t="n">
        <v>7</v>
      </c>
      <c r="KO72" t="n">
        <v>0</v>
      </c>
      <c r="KP72" t="n">
        <v>0</v>
      </c>
      <c r="KQ72" t="n">
        <v>0</v>
      </c>
      <c r="KR72" t="n">
        <v>0</v>
      </c>
      <c r="KU72" t="n">
        <v>0</v>
      </c>
      <c r="KV72" t="n">
        <v>1</v>
      </c>
      <c r="KW72" t="n">
        <v>17</v>
      </c>
      <c r="KX72" t="n">
        <v>100</v>
      </c>
      <c r="KY72" t="n">
        <v>1</v>
      </c>
      <c r="KZ72" t="n">
        <v>56</v>
      </c>
      <c r="LK72" t="n">
        <v>1</v>
      </c>
      <c r="LL72" t="n">
        <v>0</v>
      </c>
      <c r="LN72" t="n">
        <v>268</v>
      </c>
      <c r="LO72" t="n">
        <v>138</v>
      </c>
      <c r="LR72" t="n">
        <v>0</v>
      </c>
      <c r="LT72" t="n">
        <v>691</v>
      </c>
      <c r="LV72" t="n">
        <v>0</v>
      </c>
      <c r="LW72" t="n">
        <v>847</v>
      </c>
      <c r="LX72" t="n">
        <v>0</v>
      </c>
      <c r="LY72" t="n">
        <v>1</v>
      </c>
      <c r="LZ72" t="n">
        <v>395</v>
      </c>
      <c r="ME72" t="n">
        <v>1</v>
      </c>
      <c r="MF72" t="n">
        <v>13</v>
      </c>
      <c r="MG72" t="n">
        <v>0</v>
      </c>
      <c r="MH72" t="n">
        <v>6</v>
      </c>
      <c r="MI72" t="n">
        <v>3</v>
      </c>
      <c r="MJ72" t="n">
        <v>188</v>
      </c>
      <c r="MK72" t="n">
        <v>0</v>
      </c>
      <c r="MO72" t="n">
        <v>407</v>
      </c>
      <c r="MQ72" t="n">
        <v>28</v>
      </c>
      <c r="MS72" t="n">
        <v>3</v>
      </c>
      <c r="MT72" t="n">
        <v>0</v>
      </c>
      <c r="MV72" t="n">
        <v>2</v>
      </c>
      <c r="MY72" t="n">
        <v>4</v>
      </c>
      <c r="MZ72" t="n">
        <v>142</v>
      </c>
      <c r="NA72" t="n">
        <v>4</v>
      </c>
      <c r="NB72" t="n">
        <v>0</v>
      </c>
      <c r="NC72" t="n">
        <v>46</v>
      </c>
      <c r="ND72" t="n">
        <v>29</v>
      </c>
      <c r="NE72" t="n">
        <v>51</v>
      </c>
      <c r="NF72" t="n">
        <v>9</v>
      </c>
      <c r="NG72" t="n">
        <v>2</v>
      </c>
      <c r="NH72" t="n">
        <v>2</v>
      </c>
      <c r="NI72" t="n">
        <v>6</v>
      </c>
      <c r="NJ72" t="n">
        <v>3</v>
      </c>
      <c r="NK72" t="n">
        <v>9</v>
      </c>
      <c r="NL72" t="n">
        <v>3</v>
      </c>
      <c r="NM72" t="n">
        <v>59</v>
      </c>
      <c r="NN72" t="n">
        <v>5</v>
      </c>
      <c r="NO72" t="n">
        <v>213</v>
      </c>
      <c r="NP72" t="n">
        <v>4</v>
      </c>
      <c r="NQ72" t="n">
        <v>1</v>
      </c>
      <c r="NR72" t="n">
        <v>0</v>
      </c>
      <c r="NS72" t="n">
        <v>0</v>
      </c>
      <c r="NT72" t="n">
        <v>2</v>
      </c>
      <c r="NU72" t="n">
        <v>0</v>
      </c>
      <c r="OB72" t="n">
        <v>168</v>
      </c>
      <c r="OD72" t="n">
        <v>126</v>
      </c>
      <c r="OE72" t="n">
        <v>33</v>
      </c>
      <c r="OI72" t="n">
        <v>56</v>
      </c>
      <c r="OK72" t="n">
        <v>275</v>
      </c>
      <c r="OM72" t="n">
        <v>4</v>
      </c>
      <c r="ON72" t="n">
        <v>2184</v>
      </c>
      <c r="OO72" t="n">
        <v>55120</v>
      </c>
      <c r="OP72" t="n">
        <v>290</v>
      </c>
      <c r="OQ72" t="n">
        <v>167</v>
      </c>
      <c r="OU72" t="n">
        <v>97</v>
      </c>
      <c r="OV72" t="n">
        <v>1200</v>
      </c>
      <c r="PB72" t="n">
        <v>12</v>
      </c>
      <c r="PI72" t="n">
        <v>56885</v>
      </c>
      <c r="PM72">
        <f>IFERROR(VLOOKUP($A72&amp;"",Key!$A:$C,3,FALSE),"")</f>
        <v/>
      </c>
    </row>
    <row r="73">
      <c r="A73" t="n">
        <v>332320</v>
      </c>
      <c r="B73" t="inlineStr">
        <is>
          <t>Ornamental and architectural metal products manufacturing</t>
        </is>
      </c>
      <c r="N73" t="n">
        <v>2</v>
      </c>
      <c r="R73" t="n">
        <v>14</v>
      </c>
      <c r="V73" t="n">
        <v>67</v>
      </c>
      <c r="W73" t="n">
        <v>125</v>
      </c>
      <c r="Z73" t="n">
        <v>0</v>
      </c>
      <c r="AA73" t="n">
        <v>619</v>
      </c>
      <c r="AB73" t="n">
        <v>1128</v>
      </c>
      <c r="AC73" t="n">
        <v>5800</v>
      </c>
      <c r="AD73" t="n">
        <v>1247</v>
      </c>
      <c r="AE73" t="n">
        <v>7422</v>
      </c>
      <c r="AF73" t="n">
        <v>1868</v>
      </c>
      <c r="AG73" t="n">
        <v>6375</v>
      </c>
      <c r="AH73" t="n">
        <v>1462</v>
      </c>
      <c r="AI73" t="n">
        <v>2024</v>
      </c>
      <c r="AJ73" t="n">
        <v>728</v>
      </c>
      <c r="AK73" t="n">
        <v>6669</v>
      </c>
      <c r="AL73" t="n">
        <v>1117</v>
      </c>
      <c r="AN73" t="n">
        <v>12</v>
      </c>
      <c r="AO73" t="n">
        <v>114</v>
      </c>
      <c r="AP73" t="n">
        <v>168</v>
      </c>
      <c r="AR73" t="n">
        <v>2</v>
      </c>
      <c r="AU73" t="n">
        <v>5</v>
      </c>
      <c r="AV73" t="n">
        <v>40</v>
      </c>
      <c r="BB73" t="n">
        <v>3</v>
      </c>
      <c r="BC73" t="n">
        <v>5</v>
      </c>
      <c r="BE73" t="n">
        <v>4</v>
      </c>
      <c r="BI73" t="n">
        <v>1</v>
      </c>
      <c r="BJ73" t="n">
        <v>3</v>
      </c>
      <c r="BM73" t="n">
        <v>48</v>
      </c>
      <c r="BN73" t="n">
        <v>1</v>
      </c>
      <c r="BO73" t="n">
        <v>24</v>
      </c>
      <c r="BQ73" t="n">
        <v>126</v>
      </c>
      <c r="BR73" t="n">
        <v>437</v>
      </c>
      <c r="BS73" t="n">
        <v>12</v>
      </c>
      <c r="BT73" t="n">
        <v>4</v>
      </c>
      <c r="BU73" t="n">
        <v>7</v>
      </c>
      <c r="BW73" t="n">
        <v>44</v>
      </c>
      <c r="BX73" t="n">
        <v>118</v>
      </c>
      <c r="BY73" t="n">
        <v>6</v>
      </c>
      <c r="CB73" t="n">
        <v>43</v>
      </c>
      <c r="CD73" t="n">
        <v>1</v>
      </c>
      <c r="CF73" t="n">
        <v>25</v>
      </c>
      <c r="CG73" t="n">
        <v>29</v>
      </c>
      <c r="CH73" t="n">
        <v>1</v>
      </c>
      <c r="CI73" t="n">
        <v>11</v>
      </c>
      <c r="CK73" t="n">
        <v>12</v>
      </c>
      <c r="CL73" t="n">
        <v>172</v>
      </c>
      <c r="CM73" t="n">
        <v>24</v>
      </c>
      <c r="CO73" t="n">
        <v>1072</v>
      </c>
      <c r="CP73" t="n">
        <v>2</v>
      </c>
      <c r="CQ73" t="n">
        <v>8</v>
      </c>
      <c r="CR73" t="n">
        <v>57</v>
      </c>
      <c r="CT73" t="n">
        <v>3</v>
      </c>
      <c r="CU73" t="n">
        <v>1</v>
      </c>
      <c r="CV73" t="n">
        <v>0</v>
      </c>
      <c r="CX73" t="n">
        <v>0</v>
      </c>
      <c r="CY73" t="n">
        <v>1</v>
      </c>
      <c r="CZ73" t="n">
        <v>489</v>
      </c>
      <c r="DA73" t="n">
        <v>2</v>
      </c>
      <c r="DC73" t="n">
        <v>44</v>
      </c>
      <c r="DF73" t="n">
        <v>1</v>
      </c>
      <c r="DG73" t="n">
        <v>120</v>
      </c>
      <c r="DI73" t="n">
        <v>35</v>
      </c>
      <c r="DJ73" t="n">
        <v>215</v>
      </c>
      <c r="DK73" t="n">
        <v>29</v>
      </c>
      <c r="DL73" t="n">
        <v>8</v>
      </c>
      <c r="DM73" t="n">
        <v>156</v>
      </c>
      <c r="DN73" t="n">
        <v>24</v>
      </c>
      <c r="DO73" t="n">
        <v>111</v>
      </c>
      <c r="DP73" t="n">
        <v>54</v>
      </c>
      <c r="DQ73" t="n">
        <v>167</v>
      </c>
      <c r="DR73" t="n">
        <v>14</v>
      </c>
      <c r="DS73" t="n">
        <v>221</v>
      </c>
      <c r="DT73" t="n">
        <v>122</v>
      </c>
      <c r="DU73" t="n">
        <v>43</v>
      </c>
      <c r="DV73" t="n">
        <v>15</v>
      </c>
      <c r="DW73" t="n">
        <v>48</v>
      </c>
      <c r="DX73" t="n">
        <v>96</v>
      </c>
      <c r="DZ73" t="n">
        <v>24</v>
      </c>
      <c r="ED73" t="n">
        <v>7</v>
      </c>
      <c r="EE73" t="n">
        <v>2</v>
      </c>
      <c r="EF73" t="n">
        <v>18</v>
      </c>
      <c r="EH73" t="n">
        <v>13</v>
      </c>
      <c r="EI73" t="n">
        <v>598</v>
      </c>
      <c r="EJ73" t="n">
        <v>445</v>
      </c>
      <c r="EN73" t="n">
        <v>26</v>
      </c>
      <c r="EP73" t="n">
        <v>247</v>
      </c>
      <c r="EQ73" t="n">
        <v>10</v>
      </c>
      <c r="ER73" t="n">
        <v>5</v>
      </c>
      <c r="ES73" t="n">
        <v>3</v>
      </c>
      <c r="ET73" t="n">
        <v>81</v>
      </c>
      <c r="EU73" t="n">
        <v>2</v>
      </c>
      <c r="EV73" t="n">
        <v>12</v>
      </c>
      <c r="EW73" t="n">
        <v>247</v>
      </c>
      <c r="EX73" t="n">
        <v>48</v>
      </c>
      <c r="EY73" t="n">
        <v>2</v>
      </c>
      <c r="EZ73" t="n">
        <v>17</v>
      </c>
      <c r="FA73" t="n">
        <v>132</v>
      </c>
      <c r="FB73" t="n">
        <v>168</v>
      </c>
      <c r="FC73" t="n">
        <v>386</v>
      </c>
      <c r="FD73" t="n">
        <v>19</v>
      </c>
      <c r="FE73" t="n">
        <v>1</v>
      </c>
      <c r="FF73" t="n">
        <v>3</v>
      </c>
      <c r="FJ73" t="n">
        <v>1</v>
      </c>
      <c r="FK73" t="n">
        <v>1</v>
      </c>
      <c r="FN73" t="n">
        <v>87</v>
      </c>
      <c r="FO73" t="n">
        <v>1</v>
      </c>
      <c r="FS73" t="n">
        <v>41</v>
      </c>
      <c r="FT73" t="n">
        <v>0</v>
      </c>
      <c r="FU73" t="n">
        <v>72</v>
      </c>
      <c r="FV73" t="n">
        <v>24</v>
      </c>
      <c r="FX73" t="n">
        <v>229</v>
      </c>
      <c r="FY73" t="n">
        <v>267</v>
      </c>
      <c r="GD73" t="n">
        <v>1</v>
      </c>
      <c r="II73" t="n">
        <v>7</v>
      </c>
      <c r="IL73" t="n">
        <v>73</v>
      </c>
      <c r="JG73" t="n">
        <v>1467</v>
      </c>
      <c r="JK73" t="n">
        <v>11</v>
      </c>
      <c r="JL73" t="n">
        <v>5</v>
      </c>
      <c r="JM73" t="n">
        <v>1</v>
      </c>
      <c r="JN73" t="n">
        <v>18</v>
      </c>
      <c r="JO73" t="n">
        <v>94</v>
      </c>
      <c r="JR73" t="n">
        <v>0</v>
      </c>
      <c r="JT73" t="n">
        <v>1</v>
      </c>
      <c r="JV73" t="n">
        <v>1</v>
      </c>
      <c r="KB73" t="n">
        <v>19</v>
      </c>
      <c r="KC73" t="n">
        <v>0</v>
      </c>
      <c r="KD73" t="n">
        <v>5</v>
      </c>
      <c r="KF73" t="n">
        <v>2</v>
      </c>
      <c r="KN73" t="n">
        <v>0</v>
      </c>
      <c r="KO73" t="n">
        <v>3</v>
      </c>
      <c r="KP73" t="n">
        <v>0</v>
      </c>
      <c r="KQ73" t="n">
        <v>0</v>
      </c>
      <c r="KR73" t="n">
        <v>0</v>
      </c>
      <c r="KV73" t="n">
        <v>0</v>
      </c>
      <c r="KW73" t="n">
        <v>182</v>
      </c>
      <c r="KX73" t="n">
        <v>1260</v>
      </c>
      <c r="KY73" t="n">
        <v>18</v>
      </c>
      <c r="KZ73" t="n">
        <v>535</v>
      </c>
      <c r="LA73" t="n">
        <v>6</v>
      </c>
      <c r="LK73" t="n">
        <v>12</v>
      </c>
      <c r="LL73" t="n">
        <v>0</v>
      </c>
      <c r="LO73" t="n">
        <v>143</v>
      </c>
      <c r="LT73" t="n">
        <v>1456</v>
      </c>
      <c r="LW73" t="n">
        <v>972</v>
      </c>
      <c r="LX73" t="n">
        <v>1</v>
      </c>
      <c r="LZ73" t="n">
        <v>315</v>
      </c>
      <c r="MF73" t="n">
        <v>17</v>
      </c>
      <c r="MH73" t="n">
        <v>17</v>
      </c>
      <c r="MI73" t="n">
        <v>0</v>
      </c>
      <c r="MO73" t="n">
        <v>1977</v>
      </c>
      <c r="MQ73" t="n">
        <v>34</v>
      </c>
      <c r="MU73" t="n">
        <v>1</v>
      </c>
      <c r="MY73" t="n">
        <v>4</v>
      </c>
      <c r="MZ73" t="n">
        <v>273</v>
      </c>
      <c r="NC73" t="n">
        <v>86</v>
      </c>
      <c r="ND73" t="n">
        <v>178</v>
      </c>
      <c r="NE73" t="n">
        <v>89</v>
      </c>
      <c r="NF73" t="n">
        <v>7</v>
      </c>
      <c r="NH73" t="n">
        <v>1</v>
      </c>
      <c r="NI73" t="n">
        <v>2</v>
      </c>
      <c r="NJ73" t="n">
        <v>1</v>
      </c>
      <c r="NK73" t="n">
        <v>4</v>
      </c>
      <c r="NM73" t="n">
        <v>125</v>
      </c>
      <c r="NN73" t="n">
        <v>21</v>
      </c>
      <c r="NO73" t="n">
        <v>558</v>
      </c>
      <c r="NP73" t="n">
        <v>562</v>
      </c>
      <c r="NQ73" t="n">
        <v>59</v>
      </c>
      <c r="NS73" t="n">
        <v>44</v>
      </c>
      <c r="OB73" t="n">
        <v>272</v>
      </c>
      <c r="OD73" t="n">
        <v>21</v>
      </c>
      <c r="OE73" t="n">
        <v>117</v>
      </c>
      <c r="OI73" t="n">
        <v>0</v>
      </c>
      <c r="OJ73" t="n">
        <v>0</v>
      </c>
      <c r="OK73" t="n">
        <v>51</v>
      </c>
      <c r="OL73" t="n">
        <v>4</v>
      </c>
      <c r="OM73" t="n">
        <v>37</v>
      </c>
      <c r="ON73" t="n">
        <v>1178</v>
      </c>
      <c r="OO73" t="n">
        <v>56922</v>
      </c>
      <c r="OQ73" t="n">
        <v>637</v>
      </c>
      <c r="OU73" t="n">
        <v>304</v>
      </c>
      <c r="OV73" t="n">
        <v>1083</v>
      </c>
      <c r="PI73" t="n">
        <v>58946</v>
      </c>
      <c r="PM73">
        <f>IFERROR(VLOOKUP($A73&amp;"",Key!$A:$C,3,FALSE),"")</f>
        <v/>
      </c>
    </row>
    <row r="74">
      <c r="A74" t="n">
        <v>332410</v>
      </c>
      <c r="B74" t="inlineStr">
        <is>
          <t>Power boiler and heat exchanger manufacturing</t>
        </is>
      </c>
      <c r="X74" t="n">
        <v>0</v>
      </c>
      <c r="AA74" t="n">
        <v>84</v>
      </c>
      <c r="AB74" t="n">
        <v>935</v>
      </c>
      <c r="AC74" t="n">
        <v>97</v>
      </c>
      <c r="AD74" t="n">
        <v>25</v>
      </c>
      <c r="AE74" t="n">
        <v>562</v>
      </c>
      <c r="AF74" t="n">
        <v>69</v>
      </c>
      <c r="AG74" t="n">
        <v>259</v>
      </c>
      <c r="AH74" t="n">
        <v>473</v>
      </c>
      <c r="AI74" t="n">
        <v>69</v>
      </c>
      <c r="AJ74" t="n">
        <v>38</v>
      </c>
      <c r="AK74" t="n">
        <v>79</v>
      </c>
      <c r="AL74" t="n">
        <v>47</v>
      </c>
      <c r="BS74" t="n">
        <v>64</v>
      </c>
      <c r="BT74" t="n">
        <v>20</v>
      </c>
      <c r="BW74" t="n">
        <v>4</v>
      </c>
      <c r="BX74" t="n">
        <v>60</v>
      </c>
      <c r="CB74" t="n">
        <v>4</v>
      </c>
      <c r="CF74" t="n">
        <v>2</v>
      </c>
      <c r="CK74" t="n">
        <v>14</v>
      </c>
      <c r="CL74" t="n">
        <v>500</v>
      </c>
      <c r="CP74" t="n">
        <v>15</v>
      </c>
      <c r="CQ74" t="n">
        <v>6</v>
      </c>
      <c r="CW74" t="n">
        <v>47</v>
      </c>
      <c r="CZ74" t="n">
        <v>59</v>
      </c>
      <c r="DG74" t="n">
        <v>13</v>
      </c>
      <c r="FK74" t="n">
        <v>2</v>
      </c>
      <c r="GM74" t="n">
        <v>5</v>
      </c>
      <c r="GN74" t="n">
        <v>3</v>
      </c>
      <c r="HU74" t="n">
        <v>3</v>
      </c>
      <c r="IG74" t="n">
        <v>19</v>
      </c>
      <c r="IJ74" t="n">
        <v>12</v>
      </c>
      <c r="IK74" t="n">
        <v>7</v>
      </c>
      <c r="IL74" t="n">
        <v>103</v>
      </c>
      <c r="IP74" t="n">
        <v>2</v>
      </c>
      <c r="IR74" t="n">
        <v>17</v>
      </c>
      <c r="IT74" t="n">
        <v>5</v>
      </c>
      <c r="IU74" t="n">
        <v>233</v>
      </c>
      <c r="IV74" t="n">
        <v>67</v>
      </c>
      <c r="IW74" t="n">
        <v>275</v>
      </c>
      <c r="IX74" t="n">
        <v>120</v>
      </c>
      <c r="IY74" t="n">
        <v>32</v>
      </c>
      <c r="IZ74" t="n">
        <v>47</v>
      </c>
      <c r="KW74" t="n">
        <v>5</v>
      </c>
      <c r="KX74" t="n">
        <v>34</v>
      </c>
      <c r="LL74" t="n">
        <v>0</v>
      </c>
      <c r="LT74" t="n">
        <v>12</v>
      </c>
      <c r="LW74" t="n">
        <v>14</v>
      </c>
      <c r="LZ74" t="n">
        <v>36</v>
      </c>
      <c r="MF74" t="n">
        <v>2</v>
      </c>
      <c r="MO74" t="n">
        <v>374</v>
      </c>
      <c r="MQ74" t="n">
        <v>1</v>
      </c>
      <c r="NP74" t="n">
        <v>31</v>
      </c>
      <c r="NQ74" t="n">
        <v>9</v>
      </c>
      <c r="OE74" t="n">
        <v>18</v>
      </c>
      <c r="ON74" t="n">
        <v>161</v>
      </c>
      <c r="OO74" t="n">
        <v>5194</v>
      </c>
      <c r="OQ74" t="n">
        <v>6290</v>
      </c>
      <c r="OU74" t="n">
        <v>135</v>
      </c>
      <c r="OV74" t="n">
        <v>1482</v>
      </c>
      <c r="PB74" t="n">
        <v>130</v>
      </c>
      <c r="PI74" t="n">
        <v>13231</v>
      </c>
      <c r="PM74">
        <f>IFERROR(VLOOKUP($A74&amp;"",Key!$A:$C,3,FALSE),"")</f>
        <v/>
      </c>
    </row>
    <row r="75">
      <c r="A75" t="n">
        <v>332420</v>
      </c>
      <c r="B75" t="inlineStr">
        <is>
          <t>Metal tank (heavy gauge) manufacturing</t>
        </is>
      </c>
      <c r="Z75" t="n">
        <v>0</v>
      </c>
      <c r="AA75" t="n">
        <v>36</v>
      </c>
      <c r="AB75" t="n">
        <v>83</v>
      </c>
      <c r="AC75" t="n">
        <v>248</v>
      </c>
      <c r="AD75" t="n">
        <v>97</v>
      </c>
      <c r="AE75" t="n">
        <v>153</v>
      </c>
      <c r="AF75" t="n">
        <v>51</v>
      </c>
      <c r="AG75" t="n">
        <v>488</v>
      </c>
      <c r="AH75" t="n">
        <v>25</v>
      </c>
      <c r="AI75" t="n">
        <v>674</v>
      </c>
      <c r="AJ75" t="n">
        <v>6</v>
      </c>
      <c r="AK75" t="n">
        <v>312</v>
      </c>
      <c r="AL75" t="n">
        <v>20</v>
      </c>
      <c r="BS75" t="n">
        <v>39</v>
      </c>
      <c r="BT75" t="n">
        <v>455</v>
      </c>
      <c r="BW75" t="n">
        <v>12</v>
      </c>
      <c r="BX75" t="n">
        <v>23</v>
      </c>
      <c r="CB75" t="n">
        <v>13</v>
      </c>
      <c r="CF75" t="n">
        <v>0</v>
      </c>
      <c r="CK75" t="n">
        <v>13</v>
      </c>
      <c r="CL75" t="n">
        <v>441</v>
      </c>
      <c r="CW75" t="n">
        <v>41</v>
      </c>
      <c r="CZ75" t="n">
        <v>48</v>
      </c>
      <c r="DG75" t="n">
        <v>15</v>
      </c>
      <c r="EX75" t="n">
        <v>34</v>
      </c>
      <c r="FK75" t="n">
        <v>4</v>
      </c>
      <c r="GM75" t="n">
        <v>4</v>
      </c>
      <c r="ID75" t="n">
        <v>6</v>
      </c>
      <c r="IG75" t="n">
        <v>95</v>
      </c>
      <c r="IJ75" t="n">
        <v>1</v>
      </c>
      <c r="IK75" t="n">
        <v>18</v>
      </c>
      <c r="IL75" t="n">
        <v>87</v>
      </c>
      <c r="IP75" t="n">
        <v>2</v>
      </c>
      <c r="IQ75" t="n">
        <v>3</v>
      </c>
      <c r="IT75" t="n">
        <v>38</v>
      </c>
      <c r="IU75" t="n">
        <v>160</v>
      </c>
      <c r="IV75" t="n">
        <v>36</v>
      </c>
      <c r="IW75" t="n">
        <v>70</v>
      </c>
      <c r="IX75" t="n">
        <v>26</v>
      </c>
      <c r="IY75" t="n">
        <v>20</v>
      </c>
      <c r="IZ75" t="n">
        <v>103</v>
      </c>
      <c r="LK75" t="n">
        <v>0</v>
      </c>
      <c r="LL75" t="n">
        <v>0</v>
      </c>
      <c r="LZ75" t="n">
        <v>0</v>
      </c>
      <c r="MO75" t="n">
        <v>1</v>
      </c>
      <c r="MQ75" t="n">
        <v>0</v>
      </c>
      <c r="NN75" t="n">
        <v>1</v>
      </c>
      <c r="OE75" t="n">
        <v>827</v>
      </c>
      <c r="OK75" t="n">
        <v>107</v>
      </c>
      <c r="OL75" t="n">
        <v>0</v>
      </c>
      <c r="ON75" t="n">
        <v>1</v>
      </c>
      <c r="OO75" t="n">
        <v>4935</v>
      </c>
      <c r="OQ75" t="n">
        <v>3854</v>
      </c>
      <c r="OU75" t="n">
        <v>12</v>
      </c>
      <c r="OV75" t="n">
        <v>1271</v>
      </c>
      <c r="PF75" t="n">
        <v>4</v>
      </c>
      <c r="PI75" t="n">
        <v>10076</v>
      </c>
      <c r="PM75">
        <f>IFERROR(VLOOKUP($A75&amp;"",Key!$A:$C,3,FALSE),"")</f>
        <v/>
      </c>
    </row>
    <row r="76">
      <c r="A76" t="n">
        <v>332430</v>
      </c>
      <c r="B76" t="inlineStr">
        <is>
          <t>Metal can, box, and other metal container (light gauge) manufacturing</t>
        </is>
      </c>
      <c r="AA76" t="n">
        <v>1</v>
      </c>
      <c r="AC76" t="n">
        <v>1</v>
      </c>
      <c r="AF76" t="n">
        <v>17</v>
      </c>
      <c r="AG76" t="n">
        <v>3</v>
      </c>
      <c r="AK76" t="n">
        <v>4</v>
      </c>
      <c r="AP76" t="n">
        <v>4</v>
      </c>
      <c r="BM76" t="n">
        <v>11</v>
      </c>
      <c r="BN76" t="n">
        <v>14</v>
      </c>
      <c r="BO76" t="n">
        <v>21</v>
      </c>
      <c r="BP76" t="n">
        <v>12</v>
      </c>
      <c r="BQ76" t="n">
        <v>75</v>
      </c>
      <c r="BR76" t="n">
        <v>7</v>
      </c>
      <c r="BS76" t="n">
        <v>54</v>
      </c>
      <c r="BT76" t="n">
        <v>16</v>
      </c>
      <c r="BU76" t="n">
        <v>3786</v>
      </c>
      <c r="BV76" t="n">
        <v>41</v>
      </c>
      <c r="BW76" t="n">
        <v>16</v>
      </c>
      <c r="BX76" t="n">
        <v>36</v>
      </c>
      <c r="BY76" t="n">
        <v>20</v>
      </c>
      <c r="BZ76" t="n">
        <v>50</v>
      </c>
      <c r="CA76" t="n">
        <v>10</v>
      </c>
      <c r="CB76" t="n">
        <v>67</v>
      </c>
      <c r="CC76" t="n">
        <v>4</v>
      </c>
      <c r="CD76" t="n">
        <v>13</v>
      </c>
      <c r="CE76" t="n">
        <v>59</v>
      </c>
      <c r="CF76" t="n">
        <v>14</v>
      </c>
      <c r="CG76" t="n">
        <v>5</v>
      </c>
      <c r="CH76" t="n">
        <v>3</v>
      </c>
      <c r="CI76" t="n">
        <v>85</v>
      </c>
      <c r="CJ76" t="n">
        <v>43</v>
      </c>
      <c r="CK76" t="n">
        <v>16</v>
      </c>
      <c r="CL76" t="n">
        <v>79</v>
      </c>
      <c r="CN76" t="n">
        <v>1</v>
      </c>
      <c r="CO76" t="n">
        <v>34</v>
      </c>
      <c r="CP76" t="n">
        <v>4</v>
      </c>
      <c r="CQ76" t="n">
        <v>22</v>
      </c>
      <c r="CR76" t="n">
        <v>49</v>
      </c>
      <c r="CS76" t="n">
        <v>10</v>
      </c>
      <c r="CT76" t="n">
        <v>9</v>
      </c>
      <c r="CU76" t="n">
        <v>8</v>
      </c>
      <c r="CV76" t="n">
        <v>8</v>
      </c>
      <c r="CW76" t="n">
        <v>154</v>
      </c>
      <c r="CX76" t="n">
        <v>2</v>
      </c>
      <c r="CY76" t="n">
        <v>10</v>
      </c>
      <c r="CZ76" t="n">
        <v>152</v>
      </c>
      <c r="DA76" t="n">
        <v>91</v>
      </c>
      <c r="DB76" t="n">
        <v>90</v>
      </c>
      <c r="DC76" t="n">
        <v>173</v>
      </c>
      <c r="DD76" t="n">
        <v>10</v>
      </c>
      <c r="DE76" t="n">
        <v>25</v>
      </c>
      <c r="DF76" t="n">
        <v>9</v>
      </c>
      <c r="DG76" t="n">
        <v>16</v>
      </c>
      <c r="DH76" t="n">
        <v>11</v>
      </c>
      <c r="DJ76" t="n">
        <v>0</v>
      </c>
      <c r="DK76" t="n">
        <v>1</v>
      </c>
      <c r="DL76" t="n">
        <v>0</v>
      </c>
      <c r="DM76" t="n">
        <v>11</v>
      </c>
      <c r="DN76" t="n">
        <v>8</v>
      </c>
      <c r="DO76" t="n">
        <v>1</v>
      </c>
      <c r="DP76" t="n">
        <v>2</v>
      </c>
      <c r="DQ76" t="n">
        <v>23</v>
      </c>
      <c r="DR76" t="n">
        <v>22</v>
      </c>
      <c r="DS76" t="n">
        <v>37</v>
      </c>
      <c r="DT76" t="n">
        <v>0</v>
      </c>
      <c r="DV76" t="n">
        <v>0</v>
      </c>
      <c r="DX76" t="n">
        <v>0</v>
      </c>
      <c r="DY76" t="n">
        <v>33</v>
      </c>
      <c r="DZ76" t="n">
        <v>1</v>
      </c>
      <c r="EA76" t="n">
        <v>0</v>
      </c>
      <c r="ED76" t="n">
        <v>9</v>
      </c>
      <c r="EE76" t="n">
        <v>2</v>
      </c>
      <c r="EF76" t="n">
        <v>23</v>
      </c>
      <c r="EG76" t="n">
        <v>4</v>
      </c>
      <c r="EH76" t="n">
        <v>5</v>
      </c>
      <c r="EI76" t="n">
        <v>27</v>
      </c>
      <c r="EJ76" t="n">
        <v>15</v>
      </c>
      <c r="EK76" t="n">
        <v>6</v>
      </c>
      <c r="EL76" t="n">
        <v>1</v>
      </c>
      <c r="EN76" t="n">
        <v>27</v>
      </c>
      <c r="EP76" t="n">
        <v>8</v>
      </c>
      <c r="EQ76" t="n">
        <v>6</v>
      </c>
      <c r="ER76" t="n">
        <v>26</v>
      </c>
      <c r="ES76" t="n">
        <v>11</v>
      </c>
      <c r="ET76" t="n">
        <v>16</v>
      </c>
      <c r="EU76" t="n">
        <v>7</v>
      </c>
      <c r="EV76" t="n">
        <v>0</v>
      </c>
      <c r="EW76" t="n">
        <v>6</v>
      </c>
      <c r="EX76" t="n">
        <v>5</v>
      </c>
      <c r="EY76" t="n">
        <v>22</v>
      </c>
      <c r="EZ76" t="n">
        <v>24</v>
      </c>
      <c r="FA76" t="n">
        <v>34</v>
      </c>
      <c r="FB76" t="n">
        <v>101</v>
      </c>
      <c r="FC76" t="n">
        <v>41</v>
      </c>
      <c r="FD76" t="n">
        <v>51</v>
      </c>
      <c r="FE76" t="n">
        <v>16</v>
      </c>
      <c r="FF76" t="n">
        <v>11</v>
      </c>
      <c r="FG76" t="n">
        <v>25</v>
      </c>
      <c r="FH76" t="n">
        <v>1</v>
      </c>
      <c r="FI76" t="n">
        <v>4</v>
      </c>
      <c r="FJ76" t="n">
        <v>5</v>
      </c>
      <c r="FK76" t="n">
        <v>5</v>
      </c>
      <c r="FL76" t="n">
        <v>5</v>
      </c>
      <c r="FM76" t="n">
        <v>8</v>
      </c>
      <c r="FN76" t="n">
        <v>51</v>
      </c>
      <c r="FO76" t="n">
        <v>10</v>
      </c>
      <c r="FQ76" t="n">
        <v>14</v>
      </c>
      <c r="FR76" t="n">
        <v>0</v>
      </c>
      <c r="FS76" t="n">
        <v>11</v>
      </c>
      <c r="FT76" t="n">
        <v>5</v>
      </c>
      <c r="FU76" t="n">
        <v>19</v>
      </c>
      <c r="FV76" t="n">
        <v>37</v>
      </c>
      <c r="FW76" t="n">
        <v>3</v>
      </c>
      <c r="FY76" t="n">
        <v>4</v>
      </c>
      <c r="FZ76" t="n">
        <v>5</v>
      </c>
      <c r="GB76" t="n">
        <v>4</v>
      </c>
      <c r="GC76" t="n">
        <v>3</v>
      </c>
      <c r="GD76" t="n">
        <v>5</v>
      </c>
      <c r="GE76" t="n">
        <v>2</v>
      </c>
      <c r="GF76" t="n">
        <v>3</v>
      </c>
      <c r="GG76" t="n">
        <v>8</v>
      </c>
      <c r="GH76" t="n">
        <v>26</v>
      </c>
      <c r="GI76" t="n">
        <v>1361</v>
      </c>
      <c r="GJ76" t="n">
        <v>8</v>
      </c>
      <c r="GM76" t="n">
        <v>9</v>
      </c>
      <c r="GN76" t="n">
        <v>3</v>
      </c>
      <c r="GP76" t="n">
        <v>40</v>
      </c>
      <c r="GQ76" t="n">
        <v>28</v>
      </c>
      <c r="GR76" t="n">
        <v>2630</v>
      </c>
      <c r="GS76" t="n">
        <v>89</v>
      </c>
      <c r="GT76" t="n">
        <v>137</v>
      </c>
      <c r="GU76" t="n">
        <v>254</v>
      </c>
      <c r="GV76" t="n">
        <v>1</v>
      </c>
      <c r="GW76" t="n">
        <v>28</v>
      </c>
      <c r="GX76" t="n">
        <v>6</v>
      </c>
      <c r="GY76" t="n">
        <v>112</v>
      </c>
      <c r="HA76" t="n">
        <v>12</v>
      </c>
      <c r="HB76" t="n">
        <v>251</v>
      </c>
      <c r="HC76" t="n">
        <v>59</v>
      </c>
      <c r="HD76" t="n">
        <v>51</v>
      </c>
      <c r="HE76" t="n">
        <v>63</v>
      </c>
      <c r="HF76" t="n">
        <v>85</v>
      </c>
      <c r="HG76" t="n">
        <v>117</v>
      </c>
      <c r="HH76" t="n">
        <v>3576</v>
      </c>
      <c r="HK76" t="n">
        <v>1977</v>
      </c>
      <c r="ID76" t="n">
        <v>34</v>
      </c>
      <c r="IE76" t="n">
        <v>2</v>
      </c>
      <c r="IF76" t="n">
        <v>1</v>
      </c>
      <c r="IG76" t="n">
        <v>209</v>
      </c>
      <c r="IH76" t="n">
        <v>0</v>
      </c>
      <c r="II76" t="n">
        <v>10</v>
      </c>
      <c r="IJ76" t="n">
        <v>4</v>
      </c>
      <c r="IK76" t="n">
        <v>33</v>
      </c>
      <c r="IL76" t="n">
        <v>195</v>
      </c>
      <c r="IO76" t="n">
        <v>3</v>
      </c>
      <c r="IP76" t="n">
        <v>5</v>
      </c>
      <c r="IQ76" t="n">
        <v>19</v>
      </c>
      <c r="IR76" t="n">
        <v>10</v>
      </c>
      <c r="IT76" t="n">
        <v>86</v>
      </c>
      <c r="IU76" t="n">
        <v>352</v>
      </c>
      <c r="IV76" t="n">
        <v>77</v>
      </c>
      <c r="IW76" t="n">
        <v>156</v>
      </c>
      <c r="IX76" t="n">
        <v>10</v>
      </c>
      <c r="IY76" t="n">
        <v>41</v>
      </c>
      <c r="IZ76" t="n">
        <v>230</v>
      </c>
      <c r="JG76" t="n">
        <v>38</v>
      </c>
      <c r="JH76" t="n">
        <v>12</v>
      </c>
      <c r="JJ76" t="n">
        <v>99</v>
      </c>
      <c r="JK76" t="n">
        <v>2</v>
      </c>
      <c r="JN76" t="n">
        <v>12</v>
      </c>
      <c r="JS76" t="n">
        <v>49</v>
      </c>
      <c r="JV76" t="n">
        <v>10</v>
      </c>
      <c r="JW76" t="n">
        <v>0</v>
      </c>
      <c r="JY76" t="n">
        <v>3</v>
      </c>
      <c r="KB76" t="n">
        <v>2</v>
      </c>
      <c r="KK76" t="n">
        <v>1</v>
      </c>
      <c r="KL76" t="n">
        <v>12</v>
      </c>
      <c r="KM76" t="n">
        <v>6</v>
      </c>
      <c r="KZ76" t="n">
        <v>7</v>
      </c>
      <c r="LX76" t="n">
        <v>2</v>
      </c>
      <c r="MA76" t="n">
        <v>1</v>
      </c>
      <c r="MN76" t="n">
        <v>1</v>
      </c>
      <c r="MO76" t="n">
        <v>4</v>
      </c>
      <c r="MY76" t="n">
        <v>1</v>
      </c>
      <c r="OD76" t="n">
        <v>43</v>
      </c>
      <c r="OO76" t="n">
        <v>19064</v>
      </c>
      <c r="OP76" t="n">
        <v>513</v>
      </c>
      <c r="OQ76" t="n">
        <v>215</v>
      </c>
      <c r="OU76" t="n">
        <v>214</v>
      </c>
      <c r="OV76" t="n">
        <v>1073</v>
      </c>
      <c r="OX76" t="n">
        <v>0</v>
      </c>
      <c r="PB76" t="n">
        <v>4</v>
      </c>
      <c r="PF76" t="n">
        <v>34</v>
      </c>
      <c r="PI76" t="n">
        <v>21117</v>
      </c>
      <c r="PM76">
        <f>IFERROR(VLOOKUP($A76&amp;"",Key!$A:$C,3,FALSE),"")</f>
        <v/>
      </c>
    </row>
    <row r="77">
      <c r="A77" t="n">
        <v>332500</v>
      </c>
      <c r="B77" t="inlineStr">
        <is>
          <t>Hardware manufacturing</t>
        </is>
      </c>
      <c r="J77" t="n">
        <v>5</v>
      </c>
      <c r="M77" t="n">
        <v>0</v>
      </c>
      <c r="N77" t="n">
        <v>93</v>
      </c>
      <c r="O77" t="n">
        <v>5</v>
      </c>
      <c r="P77" t="n">
        <v>51</v>
      </c>
      <c r="Q77" t="n">
        <v>24</v>
      </c>
      <c r="T77" t="n">
        <v>16</v>
      </c>
      <c r="Z77" t="n">
        <v>0</v>
      </c>
      <c r="AA77" t="n">
        <v>194</v>
      </c>
      <c r="AB77" t="n">
        <v>165</v>
      </c>
      <c r="AC77" t="n">
        <v>1494</v>
      </c>
      <c r="AD77" t="n">
        <v>587</v>
      </c>
      <c r="AE77" t="n">
        <v>107</v>
      </c>
      <c r="AF77" t="n">
        <v>898</v>
      </c>
      <c r="AG77" t="n">
        <v>1518</v>
      </c>
      <c r="AH77" t="n">
        <v>47</v>
      </c>
      <c r="AI77" t="n">
        <v>478</v>
      </c>
      <c r="AJ77" t="n">
        <v>250</v>
      </c>
      <c r="AK77" t="n">
        <v>1997</v>
      </c>
      <c r="AL77" t="n">
        <v>100</v>
      </c>
      <c r="AN77" t="n">
        <v>127</v>
      </c>
      <c r="AO77" t="n">
        <v>192</v>
      </c>
      <c r="AP77" t="n">
        <v>223</v>
      </c>
      <c r="AS77" t="n">
        <v>1</v>
      </c>
      <c r="AT77" t="n">
        <v>9</v>
      </c>
      <c r="BO77" t="n">
        <v>1</v>
      </c>
      <c r="BQ77" t="n">
        <v>4</v>
      </c>
      <c r="BR77" t="n">
        <v>659</v>
      </c>
      <c r="BS77" t="n">
        <v>2</v>
      </c>
      <c r="BU77" t="n">
        <v>1</v>
      </c>
      <c r="BV77" t="n">
        <v>745</v>
      </c>
      <c r="BW77" t="n">
        <v>11</v>
      </c>
      <c r="BX77" t="n">
        <v>75</v>
      </c>
      <c r="BY77" t="n">
        <v>538</v>
      </c>
      <c r="BZ77" t="n">
        <v>1</v>
      </c>
      <c r="CA77" t="n">
        <v>1</v>
      </c>
      <c r="CB77" t="n">
        <v>13</v>
      </c>
      <c r="CD77" t="n">
        <v>1</v>
      </c>
      <c r="CE77" t="n">
        <v>2</v>
      </c>
      <c r="CF77" t="n">
        <v>6</v>
      </c>
      <c r="CG77" t="n">
        <v>1</v>
      </c>
      <c r="CH77" t="n">
        <v>1</v>
      </c>
      <c r="CI77" t="n">
        <v>29</v>
      </c>
      <c r="CJ77" t="n">
        <v>2</v>
      </c>
      <c r="CK77" t="n">
        <v>7</v>
      </c>
      <c r="CL77" t="n">
        <v>2</v>
      </c>
      <c r="CN77" t="n">
        <v>0</v>
      </c>
      <c r="CO77" t="n">
        <v>2</v>
      </c>
      <c r="CP77" t="n">
        <v>1</v>
      </c>
      <c r="CQ77" t="n">
        <v>146</v>
      </c>
      <c r="CT77" t="n">
        <v>1</v>
      </c>
      <c r="CW77" t="n">
        <v>0</v>
      </c>
      <c r="CZ77" t="n">
        <v>53</v>
      </c>
      <c r="DA77" t="n">
        <v>1</v>
      </c>
      <c r="DC77" t="n">
        <v>0</v>
      </c>
      <c r="DD77" t="n">
        <v>1</v>
      </c>
      <c r="DE77" t="n">
        <v>1</v>
      </c>
      <c r="DG77" t="n">
        <v>12</v>
      </c>
      <c r="DH77" t="n">
        <v>0</v>
      </c>
      <c r="DK77" t="n">
        <v>14</v>
      </c>
      <c r="DO77" t="n">
        <v>16</v>
      </c>
      <c r="DR77" t="n">
        <v>17</v>
      </c>
      <c r="DY77" t="n">
        <v>2</v>
      </c>
      <c r="EF77" t="n">
        <v>2</v>
      </c>
      <c r="EH77" t="n">
        <v>1</v>
      </c>
      <c r="EQ77" t="n">
        <v>146</v>
      </c>
      <c r="ER77" t="n">
        <v>498</v>
      </c>
      <c r="ES77" t="n">
        <v>74</v>
      </c>
      <c r="ET77" t="n">
        <v>259</v>
      </c>
      <c r="EU77" t="n">
        <v>218</v>
      </c>
      <c r="EV77" t="n">
        <v>0</v>
      </c>
      <c r="EW77" t="n">
        <v>1</v>
      </c>
      <c r="EX77" t="n">
        <v>2</v>
      </c>
      <c r="EY77" t="n">
        <v>6</v>
      </c>
      <c r="EZ77" t="n">
        <v>1</v>
      </c>
      <c r="FA77" t="n">
        <v>6</v>
      </c>
      <c r="FB77" t="n">
        <v>1</v>
      </c>
      <c r="FC77" t="n">
        <v>112</v>
      </c>
      <c r="FD77" t="n">
        <v>4</v>
      </c>
      <c r="FE77" t="n">
        <v>363</v>
      </c>
      <c r="FF77" t="n">
        <v>131</v>
      </c>
      <c r="FG77" t="n">
        <v>409</v>
      </c>
      <c r="FJ77" t="n">
        <v>0</v>
      </c>
      <c r="FK77" t="n">
        <v>4</v>
      </c>
      <c r="FL77" t="n">
        <v>370</v>
      </c>
      <c r="FM77" t="n">
        <v>1</v>
      </c>
      <c r="FN77" t="n">
        <v>2</v>
      </c>
      <c r="FO77" t="n">
        <v>1</v>
      </c>
      <c r="FP77" t="n">
        <v>275</v>
      </c>
      <c r="FQ77" t="n">
        <v>369</v>
      </c>
      <c r="FR77" t="n">
        <v>72</v>
      </c>
      <c r="FS77" t="n">
        <v>35</v>
      </c>
      <c r="FT77" t="n">
        <v>47</v>
      </c>
      <c r="FU77" t="n">
        <v>57</v>
      </c>
      <c r="FV77" t="n">
        <v>459</v>
      </c>
      <c r="FX77" t="n">
        <v>2</v>
      </c>
      <c r="FY77" t="n">
        <v>2</v>
      </c>
      <c r="GD77" t="n">
        <v>1</v>
      </c>
      <c r="GG77" t="n">
        <v>154</v>
      </c>
      <c r="GH77" t="n">
        <v>35</v>
      </c>
      <c r="GS77" t="n">
        <v>10</v>
      </c>
      <c r="GU77" t="n">
        <v>7</v>
      </c>
      <c r="GZ77" t="n">
        <v>11</v>
      </c>
      <c r="HG77" t="n">
        <v>39</v>
      </c>
      <c r="HH77" t="n">
        <v>4</v>
      </c>
      <c r="HS77" t="n">
        <v>5</v>
      </c>
      <c r="IX77" t="n">
        <v>136</v>
      </c>
      <c r="JG77" t="n">
        <v>247</v>
      </c>
      <c r="JI77" t="n">
        <v>469</v>
      </c>
      <c r="JK77" t="n">
        <v>0</v>
      </c>
      <c r="JL77" t="n">
        <v>2</v>
      </c>
      <c r="JM77" t="n">
        <v>2</v>
      </c>
      <c r="JN77" t="n">
        <v>16</v>
      </c>
      <c r="JO77" t="n">
        <v>16</v>
      </c>
      <c r="JQ77" t="n">
        <v>101</v>
      </c>
      <c r="JR77" t="n">
        <v>8</v>
      </c>
      <c r="JS77" t="n">
        <v>40</v>
      </c>
      <c r="JT77" t="n">
        <v>3</v>
      </c>
      <c r="JV77" t="n">
        <v>31</v>
      </c>
      <c r="JW77" t="n">
        <v>96</v>
      </c>
      <c r="JX77" t="n">
        <v>20</v>
      </c>
      <c r="JY77" t="n">
        <v>84</v>
      </c>
      <c r="JZ77" t="n">
        <v>30</v>
      </c>
      <c r="KA77" t="n">
        <v>95</v>
      </c>
      <c r="KB77" t="n">
        <v>11</v>
      </c>
      <c r="KC77" t="n">
        <v>169</v>
      </c>
      <c r="KD77" t="n">
        <v>1209</v>
      </c>
      <c r="KF77" t="n">
        <v>87</v>
      </c>
      <c r="KH77" t="n">
        <v>119</v>
      </c>
      <c r="KK77" t="n">
        <v>3</v>
      </c>
      <c r="KL77" t="n">
        <v>8</v>
      </c>
      <c r="KM77" t="n">
        <v>19</v>
      </c>
      <c r="KN77" t="n">
        <v>1</v>
      </c>
      <c r="KQ77" t="n">
        <v>17</v>
      </c>
      <c r="KW77" t="n">
        <v>263</v>
      </c>
      <c r="KX77" t="n">
        <v>323</v>
      </c>
      <c r="KY77" t="n">
        <v>11</v>
      </c>
      <c r="KZ77" t="n">
        <v>7</v>
      </c>
      <c r="LK77" t="n">
        <v>4</v>
      </c>
      <c r="LN77" t="n">
        <v>14</v>
      </c>
      <c r="LO77" t="n">
        <v>93</v>
      </c>
      <c r="LT77" t="n">
        <v>101</v>
      </c>
      <c r="LW77" t="n">
        <v>274</v>
      </c>
      <c r="LX77" t="n">
        <v>6</v>
      </c>
      <c r="LZ77" t="n">
        <v>143</v>
      </c>
      <c r="MA77" t="n">
        <v>9</v>
      </c>
      <c r="MB77" t="n">
        <v>158</v>
      </c>
      <c r="MD77" t="n">
        <v>6</v>
      </c>
      <c r="MF77" t="n">
        <v>4</v>
      </c>
      <c r="MG77" t="n">
        <v>23</v>
      </c>
      <c r="MH77" t="n">
        <v>339</v>
      </c>
      <c r="MI77" t="n">
        <v>7</v>
      </c>
      <c r="MJ77" t="n">
        <v>2</v>
      </c>
      <c r="MK77" t="n">
        <v>44</v>
      </c>
      <c r="MM77" t="n">
        <v>26</v>
      </c>
      <c r="MN77" t="n">
        <v>28</v>
      </c>
      <c r="MO77" t="n">
        <v>144</v>
      </c>
      <c r="MQ77" t="n">
        <v>1</v>
      </c>
      <c r="MW77" t="n">
        <v>2</v>
      </c>
      <c r="MX77" t="n">
        <v>9</v>
      </c>
      <c r="MY77" t="n">
        <v>12</v>
      </c>
      <c r="MZ77" t="n">
        <v>143</v>
      </c>
      <c r="NC77" t="n">
        <v>343</v>
      </c>
      <c r="ND77" t="n">
        <v>31</v>
      </c>
      <c r="NE77" t="n">
        <v>1086</v>
      </c>
      <c r="NL77" t="n">
        <v>2</v>
      </c>
      <c r="NM77" t="n">
        <v>38</v>
      </c>
      <c r="NN77" t="n">
        <v>9</v>
      </c>
      <c r="NO77" t="n">
        <v>245</v>
      </c>
      <c r="NP77" t="n">
        <v>180</v>
      </c>
      <c r="NQ77" t="n">
        <v>42</v>
      </c>
      <c r="NR77" t="n">
        <v>210</v>
      </c>
      <c r="NS77" t="n">
        <v>0</v>
      </c>
      <c r="NT77" t="n">
        <v>34</v>
      </c>
      <c r="NU77" t="n">
        <v>14</v>
      </c>
      <c r="NX77" t="n">
        <v>8</v>
      </c>
      <c r="OA77" t="n">
        <v>88</v>
      </c>
      <c r="OB77" t="n">
        <v>91</v>
      </c>
      <c r="OD77" t="n">
        <v>377</v>
      </c>
      <c r="OE77" t="n">
        <v>8</v>
      </c>
      <c r="OJ77" t="n">
        <v>8</v>
      </c>
      <c r="OK77" t="n">
        <v>0</v>
      </c>
      <c r="OL77" t="n">
        <v>50</v>
      </c>
      <c r="OM77" t="n">
        <v>35</v>
      </c>
      <c r="ON77" t="n">
        <v>58</v>
      </c>
      <c r="OO77" t="n">
        <v>23334</v>
      </c>
      <c r="OP77" t="n">
        <v>3572</v>
      </c>
      <c r="OQ77" t="n">
        <v>792</v>
      </c>
      <c r="OU77" t="n">
        <v>226</v>
      </c>
      <c r="OV77" t="n">
        <v>2602</v>
      </c>
      <c r="PI77" t="n">
        <v>30526</v>
      </c>
      <c r="PM77">
        <f>IFERROR(VLOOKUP($A77&amp;"",Key!$A:$C,3,FALSE),"")</f>
        <v/>
      </c>
    </row>
    <row r="78">
      <c r="A78" t="n">
        <v>332600</v>
      </c>
      <c r="B78" t="inlineStr">
        <is>
          <t>Spring and wire product manufacturing</t>
        </is>
      </c>
      <c r="J78" t="n">
        <v>1041</v>
      </c>
      <c r="N78" t="n">
        <v>19</v>
      </c>
      <c r="R78" t="n">
        <v>2</v>
      </c>
      <c r="V78" t="n">
        <v>8</v>
      </c>
      <c r="W78" t="n">
        <v>13</v>
      </c>
      <c r="AA78" t="n">
        <v>2</v>
      </c>
      <c r="AB78" t="n">
        <v>13</v>
      </c>
      <c r="AC78" t="n">
        <v>53</v>
      </c>
      <c r="AD78" t="n">
        <v>32</v>
      </c>
      <c r="AE78" t="n">
        <v>27</v>
      </c>
      <c r="AF78" t="n">
        <v>1</v>
      </c>
      <c r="AG78" t="n">
        <v>23</v>
      </c>
      <c r="AH78" t="n">
        <v>5</v>
      </c>
      <c r="AI78" t="n">
        <v>3</v>
      </c>
      <c r="AJ78" t="n">
        <v>12</v>
      </c>
      <c r="AK78" t="n">
        <v>19</v>
      </c>
      <c r="AL78" t="n">
        <v>25</v>
      </c>
      <c r="AP78" t="n">
        <v>1</v>
      </c>
      <c r="BD78" t="n">
        <v>153</v>
      </c>
      <c r="BL78" t="n">
        <v>2</v>
      </c>
      <c r="BM78" t="n">
        <v>1</v>
      </c>
      <c r="BN78" t="n">
        <v>1</v>
      </c>
      <c r="BO78" t="n">
        <v>4</v>
      </c>
      <c r="BP78" t="n">
        <v>7</v>
      </c>
      <c r="BQ78" t="n">
        <v>2</v>
      </c>
      <c r="BR78" t="n">
        <v>5</v>
      </c>
      <c r="BS78" t="n">
        <v>2</v>
      </c>
      <c r="BT78" t="n">
        <v>1</v>
      </c>
      <c r="BU78" t="n">
        <v>0</v>
      </c>
      <c r="BV78" t="n">
        <v>17</v>
      </c>
      <c r="BW78" t="n">
        <v>497</v>
      </c>
      <c r="BX78" t="n">
        <v>47</v>
      </c>
      <c r="BY78" t="n">
        <v>147</v>
      </c>
      <c r="BZ78" t="n">
        <v>2</v>
      </c>
      <c r="CA78" t="n">
        <v>1</v>
      </c>
      <c r="CB78" t="n">
        <v>27</v>
      </c>
      <c r="CC78" t="n">
        <v>0</v>
      </c>
      <c r="CD78" t="n">
        <v>1</v>
      </c>
      <c r="CE78" t="n">
        <v>4</v>
      </c>
      <c r="CF78" t="n">
        <v>4</v>
      </c>
      <c r="CG78" t="n">
        <v>1</v>
      </c>
      <c r="CH78" t="n">
        <v>1</v>
      </c>
      <c r="CI78" t="n">
        <v>1</v>
      </c>
      <c r="CJ78" t="n">
        <v>3</v>
      </c>
      <c r="CK78" t="n">
        <v>26</v>
      </c>
      <c r="CL78" t="n">
        <v>11</v>
      </c>
      <c r="CM78" t="n">
        <v>1</v>
      </c>
      <c r="CN78" t="n">
        <v>1</v>
      </c>
      <c r="CO78" t="n">
        <v>2</v>
      </c>
      <c r="CP78" t="n">
        <v>1</v>
      </c>
      <c r="CQ78" t="n">
        <v>9</v>
      </c>
      <c r="CR78" t="n">
        <v>0</v>
      </c>
      <c r="CS78" t="n">
        <v>1</v>
      </c>
      <c r="CT78" t="n">
        <v>1</v>
      </c>
      <c r="CU78" t="n">
        <v>1</v>
      </c>
      <c r="CV78" t="n">
        <v>1</v>
      </c>
      <c r="CW78" t="n">
        <v>1</v>
      </c>
      <c r="CX78" t="n">
        <v>0</v>
      </c>
      <c r="CY78" t="n">
        <v>1</v>
      </c>
      <c r="CZ78" t="n">
        <v>1</v>
      </c>
      <c r="DA78" t="n">
        <v>1</v>
      </c>
      <c r="DB78" t="n">
        <v>1</v>
      </c>
      <c r="DD78" t="n">
        <v>1</v>
      </c>
      <c r="DE78" t="n">
        <v>1</v>
      </c>
      <c r="DF78" t="n">
        <v>1</v>
      </c>
      <c r="DG78" t="n">
        <v>40</v>
      </c>
      <c r="DH78" t="n">
        <v>1</v>
      </c>
      <c r="DM78" t="n">
        <v>0</v>
      </c>
      <c r="DQ78" t="n">
        <v>0</v>
      </c>
      <c r="DR78" t="n">
        <v>87</v>
      </c>
      <c r="DS78" t="n">
        <v>1</v>
      </c>
      <c r="DU78" t="n">
        <v>0</v>
      </c>
      <c r="DX78" t="n">
        <v>0</v>
      </c>
      <c r="DY78" t="n">
        <v>1</v>
      </c>
      <c r="DZ78" t="n">
        <v>1</v>
      </c>
      <c r="ED78" t="n">
        <v>3</v>
      </c>
      <c r="EE78" t="n">
        <v>1</v>
      </c>
      <c r="EF78" t="n">
        <v>2</v>
      </c>
      <c r="EG78" t="n">
        <v>0</v>
      </c>
      <c r="EH78" t="n">
        <v>3</v>
      </c>
      <c r="EI78" t="n">
        <v>5</v>
      </c>
      <c r="EJ78" t="n">
        <v>1</v>
      </c>
      <c r="EK78" t="n">
        <v>1</v>
      </c>
      <c r="EL78" t="n">
        <v>1</v>
      </c>
      <c r="EN78" t="n">
        <v>2</v>
      </c>
      <c r="EP78" t="n">
        <v>0</v>
      </c>
      <c r="EQ78" t="n">
        <v>32</v>
      </c>
      <c r="ER78" t="n">
        <v>573</v>
      </c>
      <c r="ES78" t="n">
        <v>48</v>
      </c>
      <c r="ET78" t="n">
        <v>331</v>
      </c>
      <c r="EV78" t="n">
        <v>0</v>
      </c>
      <c r="EW78" t="n">
        <v>3</v>
      </c>
      <c r="EX78" t="n">
        <v>3</v>
      </c>
      <c r="EY78" t="n">
        <v>1</v>
      </c>
      <c r="EZ78" t="n">
        <v>1</v>
      </c>
      <c r="FA78" t="n">
        <v>3</v>
      </c>
      <c r="FB78" t="n">
        <v>12</v>
      </c>
      <c r="FC78" t="n">
        <v>3</v>
      </c>
      <c r="FD78" t="n">
        <v>3</v>
      </c>
      <c r="FE78" t="n">
        <v>372</v>
      </c>
      <c r="FF78" t="n">
        <v>566</v>
      </c>
      <c r="FG78" t="n">
        <v>374</v>
      </c>
      <c r="FJ78" t="n">
        <v>468</v>
      </c>
      <c r="FK78" t="n">
        <v>1</v>
      </c>
      <c r="FM78" t="n">
        <v>1</v>
      </c>
      <c r="FN78" t="n">
        <v>3</v>
      </c>
      <c r="FO78" t="n">
        <v>1</v>
      </c>
      <c r="FQ78" t="n">
        <v>201</v>
      </c>
      <c r="FR78" t="n">
        <v>4</v>
      </c>
      <c r="FS78" t="n">
        <v>8</v>
      </c>
      <c r="FT78" t="n">
        <v>2</v>
      </c>
      <c r="FU78" t="n">
        <v>1</v>
      </c>
      <c r="FV78" t="n">
        <v>1</v>
      </c>
      <c r="FW78" t="n">
        <v>503</v>
      </c>
      <c r="FX78" t="n">
        <v>2</v>
      </c>
      <c r="FY78" t="n">
        <v>2</v>
      </c>
      <c r="FZ78" t="n">
        <v>0</v>
      </c>
      <c r="GB78" t="n">
        <v>0</v>
      </c>
      <c r="GC78" t="n">
        <v>1</v>
      </c>
      <c r="GD78" t="n">
        <v>1</v>
      </c>
      <c r="GE78" t="n">
        <v>1</v>
      </c>
      <c r="GF78" t="n">
        <v>0</v>
      </c>
      <c r="GG78" t="n">
        <v>1</v>
      </c>
      <c r="GH78" t="n">
        <v>8</v>
      </c>
      <c r="HU78" t="n">
        <v>21</v>
      </c>
      <c r="HX78" t="n">
        <v>105</v>
      </c>
      <c r="IK78" t="n">
        <v>44</v>
      </c>
      <c r="JJ78" t="n">
        <v>3</v>
      </c>
      <c r="JK78" t="n">
        <v>1</v>
      </c>
      <c r="JL78" t="n">
        <v>0</v>
      </c>
      <c r="JM78" t="n">
        <v>1</v>
      </c>
      <c r="JN78" t="n">
        <v>1</v>
      </c>
      <c r="JO78" t="n">
        <v>1</v>
      </c>
      <c r="JP78" t="n">
        <v>0</v>
      </c>
      <c r="JQ78" t="n">
        <v>11</v>
      </c>
      <c r="JS78" t="n">
        <v>2</v>
      </c>
      <c r="JT78" t="n">
        <v>0</v>
      </c>
      <c r="JV78" t="n">
        <v>66</v>
      </c>
      <c r="JW78" t="n">
        <v>3</v>
      </c>
      <c r="JX78" t="n">
        <v>4</v>
      </c>
      <c r="JY78" t="n">
        <v>0</v>
      </c>
      <c r="JZ78" t="n">
        <v>0</v>
      </c>
      <c r="KA78" t="n">
        <v>5</v>
      </c>
      <c r="KB78" t="n">
        <v>0</v>
      </c>
      <c r="KC78" t="n">
        <v>0</v>
      </c>
      <c r="KD78" t="n">
        <v>0</v>
      </c>
      <c r="KE78" t="n">
        <v>0</v>
      </c>
      <c r="KH78" t="n">
        <v>55</v>
      </c>
      <c r="KI78" t="n">
        <v>34</v>
      </c>
      <c r="KJ78" t="n">
        <v>0</v>
      </c>
      <c r="KL78" t="n">
        <v>1</v>
      </c>
      <c r="KM78" t="n">
        <v>16</v>
      </c>
      <c r="KW78" t="n">
        <v>1</v>
      </c>
      <c r="KX78" t="n">
        <v>7</v>
      </c>
      <c r="KZ78" t="n">
        <v>31</v>
      </c>
      <c r="LK78" t="n">
        <v>1</v>
      </c>
      <c r="LL78" t="n">
        <v>0</v>
      </c>
      <c r="LN78" t="n">
        <v>7</v>
      </c>
      <c r="LT78" t="n">
        <v>20</v>
      </c>
      <c r="LW78" t="n">
        <v>31</v>
      </c>
      <c r="LZ78" t="n">
        <v>67</v>
      </c>
      <c r="MF78" t="n">
        <v>18</v>
      </c>
      <c r="MH78" t="n">
        <v>55</v>
      </c>
      <c r="MK78" t="n">
        <v>6</v>
      </c>
      <c r="MN78" t="n">
        <v>7</v>
      </c>
      <c r="MO78" t="n">
        <v>91</v>
      </c>
      <c r="MZ78" t="n">
        <v>21</v>
      </c>
      <c r="NA78" t="n">
        <v>0</v>
      </c>
      <c r="NC78" t="n">
        <v>2</v>
      </c>
      <c r="ND78" t="n">
        <v>2</v>
      </c>
      <c r="NE78" t="n">
        <v>7</v>
      </c>
      <c r="NH78" t="n">
        <v>8</v>
      </c>
      <c r="NM78" t="n">
        <v>6</v>
      </c>
      <c r="NO78" t="n">
        <v>6</v>
      </c>
      <c r="NP78" t="n">
        <v>10</v>
      </c>
      <c r="NR78" t="n">
        <v>207</v>
      </c>
      <c r="NS78" t="n">
        <v>0</v>
      </c>
      <c r="NT78" t="n">
        <v>2</v>
      </c>
      <c r="NU78" t="n">
        <v>5</v>
      </c>
      <c r="OE78" t="n">
        <v>0</v>
      </c>
      <c r="OI78" t="n">
        <v>8</v>
      </c>
      <c r="OJ78" t="n">
        <v>1</v>
      </c>
      <c r="OK78" t="n">
        <v>1</v>
      </c>
      <c r="OL78" t="n">
        <v>1</v>
      </c>
      <c r="OM78" t="n">
        <v>29</v>
      </c>
      <c r="ON78" t="n">
        <v>146</v>
      </c>
      <c r="OO78" t="n">
        <v>7153</v>
      </c>
      <c r="OP78" t="n">
        <v>239</v>
      </c>
      <c r="OU78" t="n">
        <v>80</v>
      </c>
      <c r="OV78" t="n">
        <v>930</v>
      </c>
      <c r="PI78" t="n">
        <v>8402</v>
      </c>
      <c r="PM78">
        <f>IFERROR(VLOOKUP($A78&amp;"",Key!$A:$C,3,FALSE),"")</f>
        <v/>
      </c>
    </row>
    <row r="79">
      <c r="A79" t="n">
        <v>332710</v>
      </c>
      <c r="B79" t="inlineStr">
        <is>
          <t>Machine shops</t>
        </is>
      </c>
      <c r="C79" t="n">
        <v>2</v>
      </c>
      <c r="D79" t="n">
        <v>11</v>
      </c>
      <c r="E79" t="n">
        <v>2</v>
      </c>
      <c r="F79" t="n">
        <v>2</v>
      </c>
      <c r="G79" t="n">
        <v>2</v>
      </c>
      <c r="H79" t="n">
        <v>4</v>
      </c>
      <c r="I79" t="n">
        <v>12</v>
      </c>
      <c r="J79" t="n">
        <v>2</v>
      </c>
      <c r="K79" t="n">
        <v>0</v>
      </c>
      <c r="L79" t="n">
        <v>1</v>
      </c>
      <c r="N79" t="n">
        <v>5</v>
      </c>
      <c r="O79" t="n">
        <v>1</v>
      </c>
      <c r="P79" t="n">
        <v>22</v>
      </c>
      <c r="Q79" t="n">
        <v>12</v>
      </c>
      <c r="R79" t="n">
        <v>5</v>
      </c>
      <c r="S79" t="n">
        <v>37</v>
      </c>
      <c r="T79" t="n">
        <v>7</v>
      </c>
      <c r="U79" t="n">
        <v>24</v>
      </c>
      <c r="V79" t="n">
        <v>11</v>
      </c>
      <c r="W79" t="n">
        <v>29</v>
      </c>
      <c r="X79" t="n">
        <v>36</v>
      </c>
      <c r="Z79" t="n">
        <v>0</v>
      </c>
      <c r="AA79" t="n">
        <v>5</v>
      </c>
      <c r="AB79" t="n">
        <v>1</v>
      </c>
      <c r="AC79" t="n">
        <v>326</v>
      </c>
      <c r="AD79" t="n">
        <v>150</v>
      </c>
      <c r="AE79" t="n">
        <v>275</v>
      </c>
      <c r="AF79" t="n">
        <v>52</v>
      </c>
      <c r="AG79" t="n">
        <v>1013</v>
      </c>
      <c r="AH79" t="n">
        <v>44</v>
      </c>
      <c r="AI79" t="n">
        <v>135</v>
      </c>
      <c r="AJ79" t="n">
        <v>96</v>
      </c>
      <c r="AK79" t="n">
        <v>297</v>
      </c>
      <c r="AL79" t="n">
        <v>109</v>
      </c>
      <c r="AM79" t="n">
        <v>297</v>
      </c>
      <c r="AN79" t="n">
        <v>253</v>
      </c>
      <c r="AO79" t="n">
        <v>25</v>
      </c>
      <c r="AP79" t="n">
        <v>71</v>
      </c>
      <c r="AQ79" t="n">
        <v>15</v>
      </c>
      <c r="AR79" t="n">
        <v>41</v>
      </c>
      <c r="AS79" t="n">
        <v>24</v>
      </c>
      <c r="AT79" t="n">
        <v>132</v>
      </c>
      <c r="AU79" t="n">
        <v>18</v>
      </c>
      <c r="AV79" t="n">
        <v>39</v>
      </c>
      <c r="AW79" t="n">
        <v>15</v>
      </c>
      <c r="AX79" t="n">
        <v>8</v>
      </c>
      <c r="AY79" t="n">
        <v>15</v>
      </c>
      <c r="AZ79" t="n">
        <v>47</v>
      </c>
      <c r="BA79" t="n">
        <v>24</v>
      </c>
      <c r="BB79" t="n">
        <v>5</v>
      </c>
      <c r="BC79" t="n">
        <v>255</v>
      </c>
      <c r="BD79" t="n">
        <v>98</v>
      </c>
      <c r="BE79" t="n">
        <v>64</v>
      </c>
      <c r="BF79" t="n">
        <v>5</v>
      </c>
      <c r="BG79" t="n">
        <v>522</v>
      </c>
      <c r="BH79" t="n">
        <v>68</v>
      </c>
      <c r="BI79" t="n">
        <v>87</v>
      </c>
      <c r="BJ79" t="n">
        <v>90</v>
      </c>
      <c r="BK79" t="n">
        <v>281</v>
      </c>
      <c r="BL79" t="n">
        <v>208</v>
      </c>
      <c r="BM79" t="n">
        <v>40</v>
      </c>
      <c r="BN79" t="n">
        <v>80</v>
      </c>
      <c r="BO79" t="n">
        <v>114</v>
      </c>
      <c r="BP79" t="n">
        <v>74</v>
      </c>
      <c r="BQ79" t="n">
        <v>379</v>
      </c>
      <c r="BR79" t="n">
        <v>1078</v>
      </c>
      <c r="BS79" t="n">
        <v>156</v>
      </c>
      <c r="BT79" t="n">
        <v>43</v>
      </c>
      <c r="BU79" t="n">
        <v>41</v>
      </c>
      <c r="BV79" t="n">
        <v>264</v>
      </c>
      <c r="BW79" t="n">
        <v>90</v>
      </c>
      <c r="BX79" t="n">
        <v>539</v>
      </c>
      <c r="BY79" t="n">
        <v>213</v>
      </c>
      <c r="BZ79" t="n">
        <v>356</v>
      </c>
      <c r="CA79" t="n">
        <v>59</v>
      </c>
      <c r="CB79" t="n">
        <v>393</v>
      </c>
      <c r="CC79" t="n">
        <v>48</v>
      </c>
      <c r="CD79" t="n">
        <v>50</v>
      </c>
      <c r="CE79" t="n">
        <v>285</v>
      </c>
      <c r="CF79" t="n">
        <v>91</v>
      </c>
      <c r="CG79" t="n">
        <v>18</v>
      </c>
      <c r="CH79" t="n">
        <v>11</v>
      </c>
      <c r="CI79" t="n">
        <v>90</v>
      </c>
      <c r="CJ79" t="n">
        <v>316</v>
      </c>
      <c r="CK79" t="n">
        <v>70</v>
      </c>
      <c r="CL79" t="n">
        <v>995</v>
      </c>
      <c r="CM79" t="n">
        <v>28</v>
      </c>
      <c r="CN79" t="n">
        <v>0</v>
      </c>
      <c r="CO79" t="n">
        <v>231</v>
      </c>
      <c r="CP79" t="n">
        <v>22</v>
      </c>
      <c r="CQ79" t="n">
        <v>188</v>
      </c>
      <c r="CR79" t="n">
        <v>21</v>
      </c>
      <c r="CS79" t="n">
        <v>106</v>
      </c>
      <c r="CT79" t="n">
        <v>88</v>
      </c>
      <c r="CU79" t="n">
        <v>66</v>
      </c>
      <c r="CV79" t="n">
        <v>49</v>
      </c>
      <c r="CW79" t="n">
        <v>58</v>
      </c>
      <c r="CX79" t="n">
        <v>10</v>
      </c>
      <c r="CY79" t="n">
        <v>61</v>
      </c>
      <c r="CZ79" t="n">
        <v>61</v>
      </c>
      <c r="DA79" t="n">
        <v>26</v>
      </c>
      <c r="DB79" t="n">
        <v>43</v>
      </c>
      <c r="DC79" t="n">
        <v>488</v>
      </c>
      <c r="DD79" t="n">
        <v>63</v>
      </c>
      <c r="DE79" t="n">
        <v>193</v>
      </c>
      <c r="DF79" t="n">
        <v>52</v>
      </c>
      <c r="DG79" t="n">
        <v>76</v>
      </c>
      <c r="DH79" t="n">
        <v>123</v>
      </c>
      <c r="DI79" t="n">
        <v>11</v>
      </c>
      <c r="DJ79" t="n">
        <v>5</v>
      </c>
      <c r="DK79" t="n">
        <v>8</v>
      </c>
      <c r="DL79" t="n">
        <v>5</v>
      </c>
      <c r="DM79" t="n">
        <v>193</v>
      </c>
      <c r="DN79" t="n">
        <v>27</v>
      </c>
      <c r="DO79" t="n">
        <v>38</v>
      </c>
      <c r="DP79" t="n">
        <v>40</v>
      </c>
      <c r="DQ79" t="n">
        <v>115</v>
      </c>
      <c r="DR79" t="n">
        <v>107</v>
      </c>
      <c r="DS79" t="n">
        <v>35</v>
      </c>
      <c r="DT79" t="n">
        <v>2</v>
      </c>
      <c r="DU79" t="n">
        <v>95</v>
      </c>
      <c r="DV79" t="n">
        <v>44</v>
      </c>
      <c r="DW79" t="n">
        <v>79</v>
      </c>
      <c r="DX79" t="n">
        <v>116</v>
      </c>
      <c r="DY79" t="n">
        <v>187</v>
      </c>
      <c r="DZ79" t="n">
        <v>19</v>
      </c>
      <c r="EA79" t="n">
        <v>3</v>
      </c>
      <c r="EB79" t="n">
        <v>1</v>
      </c>
      <c r="EC79" t="n">
        <v>5</v>
      </c>
      <c r="ED79" t="n">
        <v>56</v>
      </c>
      <c r="EE79" t="n">
        <v>31</v>
      </c>
      <c r="EF79" t="n">
        <v>113</v>
      </c>
      <c r="EG79" t="n">
        <v>33</v>
      </c>
      <c r="EH79" t="n">
        <v>36</v>
      </c>
      <c r="EI79" t="n">
        <v>151</v>
      </c>
      <c r="EJ79" t="n">
        <v>123</v>
      </c>
      <c r="EK79" t="n">
        <v>44</v>
      </c>
      <c r="EL79" t="n">
        <v>3</v>
      </c>
      <c r="EM79" t="n">
        <v>40</v>
      </c>
      <c r="EN79" t="n">
        <v>339</v>
      </c>
      <c r="EO79" t="n">
        <v>20</v>
      </c>
      <c r="EP79" t="n">
        <v>75</v>
      </c>
      <c r="EQ79" t="n">
        <v>32</v>
      </c>
      <c r="ER79" t="n">
        <v>135</v>
      </c>
      <c r="ES79" t="n">
        <v>51</v>
      </c>
      <c r="ET79" t="n">
        <v>147</v>
      </c>
      <c r="EU79" t="n">
        <v>51</v>
      </c>
      <c r="EV79" t="n">
        <v>1</v>
      </c>
      <c r="EW79" t="n">
        <v>20</v>
      </c>
      <c r="EX79" t="n">
        <v>773</v>
      </c>
      <c r="EY79" t="n">
        <v>137</v>
      </c>
      <c r="EZ79" t="n">
        <v>250</v>
      </c>
      <c r="FA79" t="n">
        <v>288</v>
      </c>
      <c r="FB79" t="n">
        <v>580</v>
      </c>
      <c r="FC79" t="n">
        <v>799</v>
      </c>
      <c r="FD79" t="n">
        <v>349</v>
      </c>
      <c r="FE79" t="n">
        <v>159</v>
      </c>
      <c r="FF79" t="n">
        <v>4</v>
      </c>
      <c r="FG79" t="n">
        <v>169</v>
      </c>
      <c r="FH79" t="n">
        <v>66</v>
      </c>
      <c r="FI79" t="n">
        <v>57</v>
      </c>
      <c r="FJ79" t="n">
        <v>105</v>
      </c>
      <c r="FK79" t="n">
        <v>21</v>
      </c>
      <c r="FL79" t="n">
        <v>76</v>
      </c>
      <c r="FM79" t="n">
        <v>18</v>
      </c>
      <c r="FN79" t="n">
        <v>229</v>
      </c>
      <c r="FO79" t="n">
        <v>39</v>
      </c>
      <c r="FP79" t="n">
        <v>107</v>
      </c>
      <c r="FQ79" t="n">
        <v>147</v>
      </c>
      <c r="FR79" t="n">
        <v>6</v>
      </c>
      <c r="FS79" t="n">
        <v>91</v>
      </c>
      <c r="FT79" t="n">
        <v>10</v>
      </c>
      <c r="FU79" t="n">
        <v>119</v>
      </c>
      <c r="FV79" t="n">
        <v>183</v>
      </c>
      <c r="FW79" t="n">
        <v>44</v>
      </c>
      <c r="FX79" t="n">
        <v>296</v>
      </c>
      <c r="FY79" t="n">
        <v>188</v>
      </c>
      <c r="FZ79" t="n">
        <v>8</v>
      </c>
      <c r="GA79" t="n">
        <v>19</v>
      </c>
      <c r="GB79" t="n">
        <v>10</v>
      </c>
      <c r="GC79" t="n">
        <v>4</v>
      </c>
      <c r="GD79" t="n">
        <v>20</v>
      </c>
      <c r="GE79" t="n">
        <v>1</v>
      </c>
      <c r="GF79" t="n">
        <v>20</v>
      </c>
      <c r="GG79" t="n">
        <v>42</v>
      </c>
      <c r="GH79" t="n">
        <v>330</v>
      </c>
      <c r="GI79" t="n">
        <v>2</v>
      </c>
      <c r="GJ79" t="n">
        <v>3</v>
      </c>
      <c r="GO79" t="n">
        <v>3</v>
      </c>
      <c r="GP79" t="n">
        <v>80</v>
      </c>
      <c r="GQ79" t="n">
        <v>5</v>
      </c>
      <c r="GR79" t="n">
        <v>31</v>
      </c>
      <c r="GS79" t="n">
        <v>5</v>
      </c>
      <c r="GU79" t="n">
        <v>6</v>
      </c>
      <c r="GW79" t="n">
        <v>6</v>
      </c>
      <c r="GX79" t="n">
        <v>6</v>
      </c>
      <c r="GY79" t="n">
        <v>0</v>
      </c>
      <c r="GZ79" t="n">
        <v>102</v>
      </c>
      <c r="HB79" t="n">
        <v>113</v>
      </c>
      <c r="HD79" t="n">
        <v>14</v>
      </c>
      <c r="HE79" t="n">
        <v>33</v>
      </c>
      <c r="HF79" t="n">
        <v>9</v>
      </c>
      <c r="HG79" t="n">
        <v>328</v>
      </c>
      <c r="HH79" t="n">
        <v>15</v>
      </c>
      <c r="HI79" t="n">
        <v>16</v>
      </c>
      <c r="HJ79" t="n">
        <v>53</v>
      </c>
      <c r="HK79" t="n">
        <v>215</v>
      </c>
      <c r="HL79" t="n">
        <v>8</v>
      </c>
      <c r="HM79" t="n">
        <v>11</v>
      </c>
      <c r="HN79" t="n">
        <v>29</v>
      </c>
      <c r="HO79" t="n">
        <v>28</v>
      </c>
      <c r="HP79" t="n">
        <v>20</v>
      </c>
      <c r="HQ79" t="n">
        <v>44</v>
      </c>
      <c r="HR79" t="n">
        <v>3</v>
      </c>
      <c r="HS79" t="n">
        <v>6</v>
      </c>
      <c r="HT79" t="n">
        <v>62</v>
      </c>
      <c r="HU79" t="n">
        <v>435</v>
      </c>
      <c r="HV79" t="n">
        <v>498</v>
      </c>
      <c r="HW79" t="n">
        <v>562</v>
      </c>
      <c r="HX79" t="n">
        <v>361</v>
      </c>
      <c r="HY79" t="n">
        <v>63</v>
      </c>
      <c r="HZ79" t="n">
        <v>144</v>
      </c>
      <c r="IA79" t="n">
        <v>56</v>
      </c>
      <c r="IB79" t="n">
        <v>349</v>
      </c>
      <c r="IC79" t="n">
        <v>41</v>
      </c>
      <c r="ID79" t="n">
        <v>137</v>
      </c>
      <c r="IE79" t="n">
        <v>1</v>
      </c>
      <c r="IF79" t="n">
        <v>30</v>
      </c>
      <c r="IG79" t="n">
        <v>22</v>
      </c>
      <c r="IH79" t="n">
        <v>13</v>
      </c>
      <c r="II79" t="n">
        <v>18</v>
      </c>
      <c r="IJ79" t="n">
        <v>47</v>
      </c>
      <c r="IK79" t="n">
        <v>59</v>
      </c>
      <c r="IL79" t="n">
        <v>164</v>
      </c>
      <c r="IM79" t="n">
        <v>220</v>
      </c>
      <c r="IN79" t="n">
        <v>106</v>
      </c>
      <c r="IO79" t="n">
        <v>2</v>
      </c>
      <c r="IP79" t="n">
        <v>1</v>
      </c>
      <c r="IQ79" t="n">
        <v>1</v>
      </c>
      <c r="IR79" t="n">
        <v>5</v>
      </c>
      <c r="IS79" t="n">
        <v>22</v>
      </c>
      <c r="IT79" t="n">
        <v>17</v>
      </c>
      <c r="IU79" t="n">
        <v>121</v>
      </c>
      <c r="IV79" t="n">
        <v>158</v>
      </c>
      <c r="IW79" t="n">
        <v>673</v>
      </c>
      <c r="IX79" t="n">
        <v>148</v>
      </c>
      <c r="IY79" t="n">
        <v>38</v>
      </c>
      <c r="IZ79" t="n">
        <v>272</v>
      </c>
      <c r="JA79" t="n">
        <v>250</v>
      </c>
      <c r="JB79" t="n">
        <v>78</v>
      </c>
      <c r="JC79" t="n">
        <v>24</v>
      </c>
      <c r="JD79" t="n">
        <v>65</v>
      </c>
      <c r="JE79" t="n">
        <v>29</v>
      </c>
      <c r="JF79" t="n">
        <v>58</v>
      </c>
      <c r="JG79" t="n">
        <v>836</v>
      </c>
      <c r="JH79" t="n">
        <v>85</v>
      </c>
      <c r="JI79" t="n">
        <v>25</v>
      </c>
      <c r="JJ79" t="n">
        <v>485</v>
      </c>
      <c r="JK79" t="n">
        <v>0</v>
      </c>
      <c r="JL79" t="n">
        <v>84</v>
      </c>
      <c r="JM79" t="n">
        <v>32</v>
      </c>
      <c r="JN79" t="n">
        <v>23</v>
      </c>
      <c r="JO79" t="n">
        <v>79</v>
      </c>
      <c r="JP79" t="n">
        <v>2</v>
      </c>
      <c r="JQ79" t="n">
        <v>34</v>
      </c>
      <c r="JR79" t="n">
        <v>8</v>
      </c>
      <c r="JS79" t="n">
        <v>34</v>
      </c>
      <c r="JT79" t="n">
        <v>4</v>
      </c>
      <c r="JV79" t="n">
        <v>94</v>
      </c>
      <c r="JW79" t="n">
        <v>6</v>
      </c>
      <c r="JX79" t="n">
        <v>17</v>
      </c>
      <c r="JZ79" t="n">
        <v>34</v>
      </c>
      <c r="KA79" t="n">
        <v>3</v>
      </c>
      <c r="KB79" t="n">
        <v>5</v>
      </c>
      <c r="KC79" t="n">
        <v>6</v>
      </c>
      <c r="KD79" t="n">
        <v>4</v>
      </c>
      <c r="KE79" t="n">
        <v>192</v>
      </c>
      <c r="KF79" t="n">
        <v>275</v>
      </c>
      <c r="KG79" t="n">
        <v>32</v>
      </c>
      <c r="KH79" t="n">
        <v>489</v>
      </c>
      <c r="KI79" t="n">
        <v>152</v>
      </c>
      <c r="KJ79" t="n">
        <v>7</v>
      </c>
      <c r="KK79" t="n">
        <v>126</v>
      </c>
      <c r="KL79" t="n">
        <v>27</v>
      </c>
      <c r="KM79" t="n">
        <v>60</v>
      </c>
      <c r="KN79" t="n">
        <v>50</v>
      </c>
      <c r="KO79" t="n">
        <v>41</v>
      </c>
      <c r="KP79" t="n">
        <v>37</v>
      </c>
      <c r="KQ79" t="n">
        <v>31</v>
      </c>
      <c r="KR79" t="n">
        <v>41</v>
      </c>
      <c r="KS79" t="n">
        <v>3</v>
      </c>
      <c r="KT79" t="n">
        <v>4</v>
      </c>
      <c r="KW79" t="n">
        <v>394</v>
      </c>
      <c r="KX79" t="n">
        <v>250</v>
      </c>
      <c r="KY79" t="n">
        <v>49</v>
      </c>
      <c r="KZ79" t="n">
        <v>17</v>
      </c>
      <c r="LA79" t="n">
        <v>6</v>
      </c>
      <c r="LC79" t="n">
        <v>15</v>
      </c>
      <c r="LD79" t="n">
        <v>8</v>
      </c>
      <c r="LE79" t="n">
        <v>5</v>
      </c>
      <c r="LF79" t="n">
        <v>1</v>
      </c>
      <c r="LK79" t="n">
        <v>1</v>
      </c>
      <c r="LL79" t="n">
        <v>0</v>
      </c>
      <c r="LM79" t="n">
        <v>23</v>
      </c>
      <c r="LN79" t="n">
        <v>7</v>
      </c>
      <c r="LO79" t="n">
        <v>144</v>
      </c>
      <c r="LS79" t="n">
        <v>5</v>
      </c>
      <c r="LT79" t="n">
        <v>102</v>
      </c>
      <c r="LU79" t="n">
        <v>6</v>
      </c>
      <c r="LW79" t="n">
        <v>144</v>
      </c>
      <c r="LX79" t="n">
        <v>61</v>
      </c>
      <c r="LY79" t="n">
        <v>15</v>
      </c>
      <c r="LZ79" t="n">
        <v>377</v>
      </c>
      <c r="MA79" t="n">
        <v>22</v>
      </c>
      <c r="MB79" t="n">
        <v>18</v>
      </c>
      <c r="MD79" t="n">
        <v>5</v>
      </c>
      <c r="ME79" t="n">
        <v>12</v>
      </c>
      <c r="MF79" t="n">
        <v>392</v>
      </c>
      <c r="MG79" t="n">
        <v>20</v>
      </c>
      <c r="MH79" t="n">
        <v>234</v>
      </c>
      <c r="MI79" t="n">
        <v>25</v>
      </c>
      <c r="MJ79" t="n">
        <v>5</v>
      </c>
      <c r="MK79" t="n">
        <v>126</v>
      </c>
      <c r="ML79" t="n">
        <v>2</v>
      </c>
      <c r="MM79" t="n">
        <v>24</v>
      </c>
      <c r="MN79" t="n">
        <v>48</v>
      </c>
      <c r="MO79" t="n">
        <v>10</v>
      </c>
      <c r="MP79" t="n">
        <v>11</v>
      </c>
      <c r="MQ79" t="n">
        <v>3</v>
      </c>
      <c r="MR79" t="n">
        <v>247</v>
      </c>
      <c r="MS79" t="n">
        <v>6</v>
      </c>
      <c r="MV79" t="n">
        <v>60</v>
      </c>
      <c r="MW79" t="n">
        <v>5</v>
      </c>
      <c r="MX79" t="n">
        <v>10</v>
      </c>
      <c r="MY79" t="n">
        <v>5</v>
      </c>
      <c r="MZ79" t="n">
        <v>6</v>
      </c>
      <c r="NA79" t="n">
        <v>6</v>
      </c>
      <c r="NB79" t="n">
        <v>2</v>
      </c>
      <c r="NK79" t="n">
        <v>1</v>
      </c>
      <c r="NL79" t="n">
        <v>3</v>
      </c>
      <c r="NM79" t="n">
        <v>19</v>
      </c>
      <c r="NN79" t="n">
        <v>2</v>
      </c>
      <c r="NR79" t="n">
        <v>154</v>
      </c>
      <c r="NS79" t="n">
        <v>14</v>
      </c>
      <c r="NT79" t="n">
        <v>177</v>
      </c>
      <c r="NU79" t="n">
        <v>235</v>
      </c>
      <c r="NX79" t="n">
        <v>7</v>
      </c>
      <c r="NY79" t="n">
        <v>22</v>
      </c>
      <c r="OB79" t="n">
        <v>8</v>
      </c>
      <c r="OF79" t="n">
        <v>21</v>
      </c>
      <c r="OG79" t="n">
        <v>3</v>
      </c>
      <c r="OI79" t="n">
        <v>5</v>
      </c>
      <c r="OK79" t="n">
        <v>697</v>
      </c>
      <c r="OL79" t="n">
        <v>29</v>
      </c>
      <c r="OM79" t="n">
        <v>3</v>
      </c>
      <c r="ON79" t="n">
        <v>531</v>
      </c>
      <c r="OO79" t="n">
        <v>36652</v>
      </c>
      <c r="OU79" t="n">
        <v>-50</v>
      </c>
      <c r="OV79" t="n">
        <v>353</v>
      </c>
      <c r="PB79" t="n">
        <v>1135</v>
      </c>
      <c r="PI79" t="n">
        <v>38090</v>
      </c>
      <c r="PM79">
        <f>IFERROR(VLOOKUP($A79&amp;"",Key!$A:$C,3,FALSE),"")</f>
        <v/>
      </c>
    </row>
    <row r="80">
      <c r="A80" t="n">
        <v>332720</v>
      </c>
      <c r="B80" t="inlineStr">
        <is>
          <t>Turned product and screw, nut, and bolt manufacturing</t>
        </is>
      </c>
      <c r="P80" t="n">
        <v>75</v>
      </c>
      <c r="Q80" t="n">
        <v>443</v>
      </c>
      <c r="R80" t="n">
        <v>12</v>
      </c>
      <c r="S80" t="n">
        <v>103</v>
      </c>
      <c r="T80" t="n">
        <v>10</v>
      </c>
      <c r="U80" t="n">
        <v>60</v>
      </c>
      <c r="V80" t="n">
        <v>40</v>
      </c>
      <c r="W80" t="n">
        <v>99</v>
      </c>
      <c r="X80" t="n">
        <v>19</v>
      </c>
      <c r="Z80" t="n">
        <v>1</v>
      </c>
      <c r="AA80" t="n">
        <v>12</v>
      </c>
      <c r="AB80" t="n">
        <v>15</v>
      </c>
      <c r="AC80" t="n">
        <v>159</v>
      </c>
      <c r="AD80" t="n">
        <v>74</v>
      </c>
      <c r="AE80" t="n">
        <v>89</v>
      </c>
      <c r="AF80" t="n">
        <v>25</v>
      </c>
      <c r="AG80" t="n">
        <v>257</v>
      </c>
      <c r="AH80" t="n">
        <v>16</v>
      </c>
      <c r="AI80" t="n">
        <v>71</v>
      </c>
      <c r="AJ80" t="n">
        <v>2595</v>
      </c>
      <c r="AK80" t="n">
        <v>146</v>
      </c>
      <c r="AL80" t="n">
        <v>41</v>
      </c>
      <c r="AM80" t="n">
        <v>132</v>
      </c>
      <c r="AN80" t="n">
        <v>88</v>
      </c>
      <c r="AO80" t="n">
        <v>105</v>
      </c>
      <c r="AP80" t="n">
        <v>125</v>
      </c>
      <c r="AQ80" t="n">
        <v>6</v>
      </c>
      <c r="AR80" t="n">
        <v>15</v>
      </c>
      <c r="AS80" t="n">
        <v>10</v>
      </c>
      <c r="AT80" t="n">
        <v>55</v>
      </c>
      <c r="AU80" t="n">
        <v>8</v>
      </c>
      <c r="AV80" t="n">
        <v>17</v>
      </c>
      <c r="AW80" t="n">
        <v>6</v>
      </c>
      <c r="AX80" t="n">
        <v>3</v>
      </c>
      <c r="AY80" t="n">
        <v>6</v>
      </c>
      <c r="AZ80" t="n">
        <v>19</v>
      </c>
      <c r="BA80" t="n">
        <v>11</v>
      </c>
      <c r="BB80" t="n">
        <v>2</v>
      </c>
      <c r="BC80" t="n">
        <v>145</v>
      </c>
      <c r="BD80" t="n">
        <v>26</v>
      </c>
      <c r="BE80" t="n">
        <v>13</v>
      </c>
      <c r="BF80" t="n">
        <v>1</v>
      </c>
      <c r="BG80" t="n">
        <v>28</v>
      </c>
      <c r="BH80" t="n">
        <v>15</v>
      </c>
      <c r="BI80" t="n">
        <v>20</v>
      </c>
      <c r="BJ80" t="n">
        <v>8</v>
      </c>
      <c r="BK80" t="n">
        <v>40</v>
      </c>
      <c r="BL80" t="n">
        <v>38</v>
      </c>
      <c r="BM80" t="n">
        <v>355</v>
      </c>
      <c r="BN80" t="n">
        <v>40</v>
      </c>
      <c r="BO80" t="n">
        <v>159</v>
      </c>
      <c r="BP80" t="n">
        <v>132</v>
      </c>
      <c r="BQ80" t="n">
        <v>564</v>
      </c>
      <c r="BR80" t="n">
        <v>944</v>
      </c>
      <c r="BS80" t="n">
        <v>127</v>
      </c>
      <c r="BT80" t="n">
        <v>30</v>
      </c>
      <c r="BU80" t="n">
        <v>33</v>
      </c>
      <c r="BV80" t="n">
        <v>242</v>
      </c>
      <c r="BW80" t="n">
        <v>112</v>
      </c>
      <c r="BX80" t="n">
        <v>567</v>
      </c>
      <c r="BY80" t="n">
        <v>1487</v>
      </c>
      <c r="BZ80" t="n">
        <v>216</v>
      </c>
      <c r="CA80" t="n">
        <v>35</v>
      </c>
      <c r="CB80" t="n">
        <v>630</v>
      </c>
      <c r="CC80" t="n">
        <v>100</v>
      </c>
      <c r="CD80" t="n">
        <v>11</v>
      </c>
      <c r="CE80" t="n">
        <v>107</v>
      </c>
      <c r="CF80" t="n">
        <v>453</v>
      </c>
      <c r="CG80" t="n">
        <v>130</v>
      </c>
      <c r="CH80" t="n">
        <v>94</v>
      </c>
      <c r="CI80" t="n">
        <v>108</v>
      </c>
      <c r="CJ80" t="n">
        <v>31</v>
      </c>
      <c r="CK80" t="n">
        <v>229</v>
      </c>
      <c r="CL80" t="n">
        <v>581</v>
      </c>
      <c r="CM80" t="n">
        <v>24</v>
      </c>
      <c r="CN80" t="n">
        <v>1</v>
      </c>
      <c r="CO80" t="n">
        <v>303</v>
      </c>
      <c r="CP80" t="n">
        <v>27</v>
      </c>
      <c r="CQ80" t="n">
        <v>408</v>
      </c>
      <c r="CR80" t="n">
        <v>19</v>
      </c>
      <c r="CS80" t="n">
        <v>66</v>
      </c>
      <c r="CT80" t="n">
        <v>52</v>
      </c>
      <c r="CU80" t="n">
        <v>61</v>
      </c>
      <c r="CV80" t="n">
        <v>36</v>
      </c>
      <c r="CW80" t="n">
        <v>43</v>
      </c>
      <c r="CX80" t="n">
        <v>21</v>
      </c>
      <c r="CY80" t="n">
        <v>62</v>
      </c>
      <c r="CZ80" t="n">
        <v>204</v>
      </c>
      <c r="DA80" t="n">
        <v>130</v>
      </c>
      <c r="DB80" t="n">
        <v>162</v>
      </c>
      <c r="DC80" t="n">
        <v>157</v>
      </c>
      <c r="DD80" t="n">
        <v>64</v>
      </c>
      <c r="DE80" t="n">
        <v>97</v>
      </c>
      <c r="DF80" t="n">
        <v>36</v>
      </c>
      <c r="DG80" t="n">
        <v>543</v>
      </c>
      <c r="DH80" t="n">
        <v>254</v>
      </c>
      <c r="DI80" t="n">
        <v>1</v>
      </c>
      <c r="DJ80" t="n">
        <v>2</v>
      </c>
      <c r="DK80" t="n">
        <v>6</v>
      </c>
      <c r="DL80" t="n">
        <v>17</v>
      </c>
      <c r="DM80" t="n">
        <v>275</v>
      </c>
      <c r="DN80" t="n">
        <v>218</v>
      </c>
      <c r="DO80" t="n">
        <v>5</v>
      </c>
      <c r="DP80" t="n">
        <v>59</v>
      </c>
      <c r="DQ80" t="n">
        <v>282</v>
      </c>
      <c r="DR80" t="n">
        <v>521</v>
      </c>
      <c r="DS80" t="n">
        <v>112</v>
      </c>
      <c r="DT80" t="n">
        <v>5</v>
      </c>
      <c r="DU80" t="n">
        <v>173</v>
      </c>
      <c r="DV80" t="n">
        <v>123</v>
      </c>
      <c r="DW80" t="n">
        <v>75</v>
      </c>
      <c r="DX80" t="n">
        <v>149</v>
      </c>
      <c r="DY80" t="n">
        <v>550</v>
      </c>
      <c r="DZ80" t="n">
        <v>49</v>
      </c>
      <c r="EA80" t="n">
        <v>8</v>
      </c>
      <c r="EB80" t="n">
        <v>1</v>
      </c>
      <c r="EC80" t="n">
        <v>1</v>
      </c>
      <c r="ED80" t="n">
        <v>250</v>
      </c>
      <c r="EE80" t="n">
        <v>56</v>
      </c>
      <c r="EF80" t="n">
        <v>634</v>
      </c>
      <c r="EG80" t="n">
        <v>237</v>
      </c>
      <c r="EH80" t="n">
        <v>228</v>
      </c>
      <c r="EI80" t="n">
        <v>180</v>
      </c>
      <c r="EJ80" t="n">
        <v>109</v>
      </c>
      <c r="EK80" t="n">
        <v>164</v>
      </c>
      <c r="EL80" t="n">
        <v>2</v>
      </c>
      <c r="EM80" t="n">
        <v>7</v>
      </c>
      <c r="EN80" t="n">
        <v>270</v>
      </c>
      <c r="EO80" t="n">
        <v>6</v>
      </c>
      <c r="EP80" t="n">
        <v>37</v>
      </c>
      <c r="EQ80" t="n">
        <v>185</v>
      </c>
      <c r="ER80" t="n">
        <v>515</v>
      </c>
      <c r="ES80" t="n">
        <v>463</v>
      </c>
      <c r="ET80" t="n">
        <v>670</v>
      </c>
      <c r="EU80" t="n">
        <v>316</v>
      </c>
      <c r="EV80" t="n">
        <v>2</v>
      </c>
      <c r="EW80" t="n">
        <v>80</v>
      </c>
      <c r="EX80" t="n">
        <v>570</v>
      </c>
      <c r="EY80" t="n">
        <v>49</v>
      </c>
      <c r="EZ80" t="n">
        <v>375</v>
      </c>
      <c r="FA80" t="n">
        <v>138</v>
      </c>
      <c r="FB80" t="n">
        <v>1394</v>
      </c>
      <c r="FC80" t="n">
        <v>2736</v>
      </c>
      <c r="FD80" t="n">
        <v>586</v>
      </c>
      <c r="FE80" t="n">
        <v>499</v>
      </c>
      <c r="FF80" t="n">
        <v>16</v>
      </c>
      <c r="FG80" t="n">
        <v>617</v>
      </c>
      <c r="FH80" t="n">
        <v>7</v>
      </c>
      <c r="FI80" t="n">
        <v>41</v>
      </c>
      <c r="FJ80" t="n">
        <v>596</v>
      </c>
      <c r="FK80" t="n">
        <v>47</v>
      </c>
      <c r="FL80" t="n">
        <v>312</v>
      </c>
      <c r="FM80" t="n">
        <v>15</v>
      </c>
      <c r="FN80" t="n">
        <v>39</v>
      </c>
      <c r="FO80" t="n">
        <v>32</v>
      </c>
      <c r="FP80" t="n">
        <v>46</v>
      </c>
      <c r="FQ80" t="n">
        <v>51</v>
      </c>
      <c r="FR80" t="n">
        <v>2</v>
      </c>
      <c r="FS80" t="n">
        <v>36</v>
      </c>
      <c r="FT80" t="n">
        <v>8</v>
      </c>
      <c r="FU80" t="n">
        <v>80</v>
      </c>
      <c r="FV80" t="n">
        <v>131</v>
      </c>
      <c r="FW80" t="n">
        <v>21</v>
      </c>
      <c r="FX80" t="n">
        <v>275</v>
      </c>
      <c r="FY80" t="n">
        <v>193</v>
      </c>
      <c r="FZ80" t="n">
        <v>11</v>
      </c>
      <c r="GA80" t="n">
        <v>3</v>
      </c>
      <c r="GB80" t="n">
        <v>8</v>
      </c>
      <c r="GC80" t="n">
        <v>3</v>
      </c>
      <c r="GD80" t="n">
        <v>183</v>
      </c>
      <c r="GE80" t="n">
        <v>1</v>
      </c>
      <c r="GF80" t="n">
        <v>7</v>
      </c>
      <c r="GG80" t="n">
        <v>29</v>
      </c>
      <c r="GH80" t="n">
        <v>80</v>
      </c>
      <c r="HG80" t="n">
        <v>602</v>
      </c>
      <c r="HH80" t="n">
        <v>39</v>
      </c>
      <c r="HI80" t="n">
        <v>7</v>
      </c>
      <c r="HJ80" t="n">
        <v>24</v>
      </c>
      <c r="HL80" t="n">
        <v>4</v>
      </c>
      <c r="HM80" t="n">
        <v>7</v>
      </c>
      <c r="HN80" t="n">
        <v>15</v>
      </c>
      <c r="HO80" t="n">
        <v>12</v>
      </c>
      <c r="HP80" t="n">
        <v>9</v>
      </c>
      <c r="HQ80" t="n">
        <v>19</v>
      </c>
      <c r="HR80" t="n">
        <v>1</v>
      </c>
      <c r="HS80" t="n">
        <v>3</v>
      </c>
      <c r="HT80" t="n">
        <v>20</v>
      </c>
      <c r="HU80" t="n">
        <v>122</v>
      </c>
      <c r="HV80" t="n">
        <v>144</v>
      </c>
      <c r="HW80" t="n">
        <v>170</v>
      </c>
      <c r="HX80" t="n">
        <v>101</v>
      </c>
      <c r="HY80" t="n">
        <v>17</v>
      </c>
      <c r="HZ80" t="n">
        <v>50</v>
      </c>
      <c r="IA80" t="n">
        <v>16</v>
      </c>
      <c r="IB80" t="n">
        <v>141</v>
      </c>
      <c r="IC80" t="n">
        <v>14</v>
      </c>
      <c r="ID80" t="n">
        <v>138</v>
      </c>
      <c r="IE80" t="n">
        <v>1</v>
      </c>
      <c r="IF80" t="n">
        <v>34</v>
      </c>
      <c r="IG80" t="n">
        <v>9</v>
      </c>
      <c r="IH80" t="n">
        <v>10</v>
      </c>
      <c r="II80" t="n">
        <v>7</v>
      </c>
      <c r="IJ80" t="n">
        <v>21</v>
      </c>
      <c r="IK80" t="n">
        <v>26</v>
      </c>
      <c r="IL80" t="n">
        <v>70</v>
      </c>
      <c r="IM80" t="n">
        <v>70</v>
      </c>
      <c r="IN80" t="n">
        <v>22</v>
      </c>
      <c r="IP80" t="n">
        <v>0</v>
      </c>
      <c r="IS80" t="n">
        <v>10</v>
      </c>
      <c r="IT80" t="n">
        <v>7</v>
      </c>
      <c r="IU80" t="n">
        <v>52</v>
      </c>
      <c r="IV80" t="n">
        <v>69</v>
      </c>
      <c r="IW80" t="n">
        <v>282</v>
      </c>
      <c r="IX80" t="n">
        <v>65</v>
      </c>
      <c r="IY80" t="n">
        <v>17</v>
      </c>
      <c r="IZ80" t="n">
        <v>106</v>
      </c>
      <c r="JA80" t="n">
        <v>107</v>
      </c>
      <c r="JB80" t="n">
        <v>35</v>
      </c>
      <c r="JC80" t="n">
        <v>10</v>
      </c>
      <c r="JD80" t="n">
        <v>28</v>
      </c>
      <c r="JE80" t="n">
        <v>12</v>
      </c>
      <c r="JF80" t="n">
        <v>17</v>
      </c>
      <c r="JG80" t="n">
        <v>293</v>
      </c>
      <c r="JH80" t="n">
        <v>55</v>
      </c>
      <c r="JI80" t="n">
        <v>11</v>
      </c>
      <c r="JJ80" t="n">
        <v>367</v>
      </c>
      <c r="JK80" t="n">
        <v>11</v>
      </c>
      <c r="JO80" t="n">
        <v>2</v>
      </c>
      <c r="JP80" t="n">
        <v>17</v>
      </c>
      <c r="JS80" t="n">
        <v>4</v>
      </c>
      <c r="JV80" t="n">
        <v>10</v>
      </c>
      <c r="JW80" t="n">
        <v>41</v>
      </c>
      <c r="JZ80" t="n">
        <v>3</v>
      </c>
      <c r="KB80" t="n">
        <v>3</v>
      </c>
      <c r="KC80" t="n">
        <v>2</v>
      </c>
      <c r="KD80" t="n">
        <v>4</v>
      </c>
      <c r="KE80" t="n">
        <v>1</v>
      </c>
      <c r="KF80" t="n">
        <v>2</v>
      </c>
      <c r="KG80" t="n">
        <v>14</v>
      </c>
      <c r="KH80" t="n">
        <v>215</v>
      </c>
      <c r="KI80" t="n">
        <v>2</v>
      </c>
      <c r="KJ80" t="n">
        <v>3</v>
      </c>
      <c r="KK80" t="n">
        <v>167</v>
      </c>
      <c r="KL80" t="n">
        <v>334</v>
      </c>
      <c r="KM80" t="n">
        <v>304</v>
      </c>
      <c r="KN80" t="n">
        <v>21</v>
      </c>
      <c r="KO80" t="n">
        <v>19</v>
      </c>
      <c r="KP80" t="n">
        <v>15</v>
      </c>
      <c r="KQ80" t="n">
        <v>19</v>
      </c>
      <c r="KR80" t="n">
        <v>80</v>
      </c>
      <c r="KS80" t="n">
        <v>12</v>
      </c>
      <c r="KT80" t="n">
        <v>1</v>
      </c>
      <c r="KV80" t="n">
        <v>2</v>
      </c>
      <c r="KW80" t="n">
        <v>113</v>
      </c>
      <c r="KX80" t="n">
        <v>50</v>
      </c>
      <c r="KY80" t="n">
        <v>9</v>
      </c>
      <c r="KZ80" t="n">
        <v>39</v>
      </c>
      <c r="LA80" t="n">
        <v>146</v>
      </c>
      <c r="LK80" t="n">
        <v>0</v>
      </c>
      <c r="LN80" t="n">
        <v>5</v>
      </c>
      <c r="LO80" t="n">
        <v>56</v>
      </c>
      <c r="LP80" t="n">
        <v>14</v>
      </c>
      <c r="LT80" t="n">
        <v>6</v>
      </c>
      <c r="LW80" t="n">
        <v>2</v>
      </c>
      <c r="LX80" t="n">
        <v>47</v>
      </c>
      <c r="LY80" t="n">
        <v>6</v>
      </c>
      <c r="LZ80" t="n">
        <v>8</v>
      </c>
      <c r="MA80" t="n">
        <v>33</v>
      </c>
      <c r="MB80" t="n">
        <v>3</v>
      </c>
      <c r="MC80" t="n">
        <v>6</v>
      </c>
      <c r="ME80" t="n">
        <v>18</v>
      </c>
      <c r="MG80" t="n">
        <v>20</v>
      </c>
      <c r="MH80" t="n">
        <v>49</v>
      </c>
      <c r="MI80" t="n">
        <v>2</v>
      </c>
      <c r="MK80" t="n">
        <v>23</v>
      </c>
      <c r="MM80" t="n">
        <v>16</v>
      </c>
      <c r="MN80" t="n">
        <v>51</v>
      </c>
      <c r="MO80" t="n">
        <v>34</v>
      </c>
      <c r="MQ80" t="n">
        <v>2</v>
      </c>
      <c r="MS80" t="n">
        <v>21</v>
      </c>
      <c r="MT80" t="n">
        <v>19</v>
      </c>
      <c r="MU80" t="n">
        <v>2</v>
      </c>
      <c r="MV80" t="n">
        <v>12</v>
      </c>
      <c r="MW80" t="n">
        <v>2</v>
      </c>
      <c r="MX80" t="n">
        <v>9</v>
      </c>
      <c r="MY80" t="n">
        <v>1</v>
      </c>
      <c r="MZ80" t="n">
        <v>3</v>
      </c>
      <c r="NA80" t="n">
        <v>2</v>
      </c>
      <c r="NE80" t="n">
        <v>111</v>
      </c>
      <c r="NJ80" t="n">
        <v>1</v>
      </c>
      <c r="NM80" t="n">
        <v>4</v>
      </c>
      <c r="NN80" t="n">
        <v>11</v>
      </c>
      <c r="NO80" t="n">
        <v>7</v>
      </c>
      <c r="NP80" t="n">
        <v>35</v>
      </c>
      <c r="NQ80" t="n">
        <v>2</v>
      </c>
      <c r="NR80" t="n">
        <v>138</v>
      </c>
      <c r="NS80" t="n">
        <v>20</v>
      </c>
      <c r="NT80" t="n">
        <v>484</v>
      </c>
      <c r="NU80" t="n">
        <v>158</v>
      </c>
      <c r="NV80" t="n">
        <v>33</v>
      </c>
      <c r="NW80" t="n">
        <v>0</v>
      </c>
      <c r="NX80" t="n">
        <v>1</v>
      </c>
      <c r="NY80" t="n">
        <v>2</v>
      </c>
      <c r="OB80" t="n">
        <v>4</v>
      </c>
      <c r="OD80" t="n">
        <v>29</v>
      </c>
      <c r="OE80" t="n">
        <v>24</v>
      </c>
      <c r="OF80" t="n">
        <v>6</v>
      </c>
      <c r="OI80" t="n">
        <v>38</v>
      </c>
      <c r="OJ80" t="n">
        <v>38</v>
      </c>
      <c r="OK80" t="n">
        <v>54</v>
      </c>
      <c r="OO80" t="n">
        <v>38698</v>
      </c>
      <c r="OP80" t="n">
        <v>2157</v>
      </c>
      <c r="OU80" t="n">
        <v>98</v>
      </c>
      <c r="OV80" t="n">
        <v>4012</v>
      </c>
      <c r="PI80" t="n">
        <v>44965</v>
      </c>
      <c r="PM80">
        <f>IFERROR(VLOOKUP($A80&amp;"",Key!$A:$C,3,FALSE),"")</f>
        <v/>
      </c>
    </row>
    <row r="81">
      <c r="A81" t="n">
        <v>332800</v>
      </c>
      <c r="B81" t="inlineStr">
        <is>
          <t>Coating, engraving, heat treating and allied activities</t>
        </is>
      </c>
      <c r="P81" t="n">
        <v>58</v>
      </c>
      <c r="Q81" t="n">
        <v>29</v>
      </c>
      <c r="R81" t="n">
        <v>7</v>
      </c>
      <c r="S81" t="n">
        <v>99</v>
      </c>
      <c r="T81" t="n">
        <v>18</v>
      </c>
      <c r="U81" t="n">
        <v>65</v>
      </c>
      <c r="V81" t="n">
        <v>31</v>
      </c>
      <c r="W81" t="n">
        <v>77</v>
      </c>
      <c r="X81" t="n">
        <v>35</v>
      </c>
      <c r="AA81" t="n">
        <v>5</v>
      </c>
      <c r="AB81" t="n">
        <v>2</v>
      </c>
      <c r="AC81" t="n">
        <v>385</v>
      </c>
      <c r="AD81" t="n">
        <v>172</v>
      </c>
      <c r="AE81" t="n">
        <v>223</v>
      </c>
      <c r="AF81" t="n">
        <v>57</v>
      </c>
      <c r="AG81" t="n">
        <v>1209</v>
      </c>
      <c r="AH81" t="n">
        <v>48</v>
      </c>
      <c r="AI81" t="n">
        <v>178</v>
      </c>
      <c r="AJ81" t="n">
        <v>68</v>
      </c>
      <c r="AK81" t="n">
        <v>339</v>
      </c>
      <c r="AL81" t="n">
        <v>122</v>
      </c>
      <c r="AM81" t="n">
        <v>248</v>
      </c>
      <c r="AN81" t="n">
        <v>190</v>
      </c>
      <c r="AO81" t="n">
        <v>113</v>
      </c>
      <c r="AP81" t="n">
        <v>66</v>
      </c>
      <c r="AQ81" t="n">
        <v>13</v>
      </c>
      <c r="AR81" t="n">
        <v>38</v>
      </c>
      <c r="AS81" t="n">
        <v>25</v>
      </c>
      <c r="AT81" t="n">
        <v>149</v>
      </c>
      <c r="AU81" t="n">
        <v>20</v>
      </c>
      <c r="AV81" t="n">
        <v>44</v>
      </c>
      <c r="AW81" t="n">
        <v>17</v>
      </c>
      <c r="AX81" t="n">
        <v>9</v>
      </c>
      <c r="AY81" t="n">
        <v>17</v>
      </c>
      <c r="AZ81" t="n">
        <v>52</v>
      </c>
      <c r="BA81" t="n">
        <v>27</v>
      </c>
      <c r="BB81" t="n">
        <v>5</v>
      </c>
      <c r="BC81" t="n">
        <v>387</v>
      </c>
      <c r="BD81" t="n">
        <v>68</v>
      </c>
      <c r="BE81" t="n">
        <v>34</v>
      </c>
      <c r="BF81" t="n">
        <v>4</v>
      </c>
      <c r="BG81" t="n">
        <v>151</v>
      </c>
      <c r="BH81" t="n">
        <v>63</v>
      </c>
      <c r="BI81" t="n">
        <v>50</v>
      </c>
      <c r="BJ81" t="n">
        <v>27</v>
      </c>
      <c r="BK81" t="n">
        <v>130</v>
      </c>
      <c r="BL81" t="n">
        <v>137</v>
      </c>
      <c r="BM81" t="n">
        <v>25</v>
      </c>
      <c r="BN81" t="n">
        <v>39</v>
      </c>
      <c r="BO81" t="n">
        <v>62</v>
      </c>
      <c r="BP81" t="n">
        <v>32</v>
      </c>
      <c r="BQ81" t="n">
        <v>232</v>
      </c>
      <c r="BR81" t="n">
        <v>15</v>
      </c>
      <c r="BS81" t="n">
        <v>91</v>
      </c>
      <c r="BT81" t="n">
        <v>24</v>
      </c>
      <c r="BU81" t="n">
        <v>25</v>
      </c>
      <c r="BV81" t="n">
        <v>133</v>
      </c>
      <c r="BW81" t="n">
        <v>45</v>
      </c>
      <c r="BX81" t="n">
        <v>193</v>
      </c>
      <c r="BY81" t="n">
        <v>64</v>
      </c>
      <c r="BZ81" t="n">
        <v>890</v>
      </c>
      <c r="CA81" t="n">
        <v>27</v>
      </c>
      <c r="CB81" t="n">
        <v>205</v>
      </c>
      <c r="CC81" t="n">
        <v>7</v>
      </c>
      <c r="CD81" t="n">
        <v>28</v>
      </c>
      <c r="CE81" t="n">
        <v>153</v>
      </c>
      <c r="CF81" t="n">
        <v>40</v>
      </c>
      <c r="CG81" t="n">
        <v>9</v>
      </c>
      <c r="CH81" t="n">
        <v>6</v>
      </c>
      <c r="CI81" t="n">
        <v>13</v>
      </c>
      <c r="CJ81" t="n">
        <v>253</v>
      </c>
      <c r="CK81" t="n">
        <v>22</v>
      </c>
      <c r="CL81" t="n">
        <v>138</v>
      </c>
      <c r="CM81" t="n">
        <v>16</v>
      </c>
      <c r="CN81" t="n">
        <v>2</v>
      </c>
      <c r="CO81" t="n">
        <v>97</v>
      </c>
      <c r="CP81" t="n">
        <v>12</v>
      </c>
      <c r="CQ81" t="n">
        <v>65</v>
      </c>
      <c r="CR81" t="n">
        <v>4</v>
      </c>
      <c r="CS81" t="n">
        <v>30</v>
      </c>
      <c r="CT81" t="n">
        <v>23</v>
      </c>
      <c r="CU81" t="n">
        <v>18</v>
      </c>
      <c r="CV81" t="n">
        <v>13</v>
      </c>
      <c r="CW81" t="n">
        <v>100</v>
      </c>
      <c r="CX81" t="n">
        <v>2</v>
      </c>
      <c r="CY81" t="n">
        <v>22</v>
      </c>
      <c r="CZ81" t="n">
        <v>31</v>
      </c>
      <c r="DA81" t="n">
        <v>9</v>
      </c>
      <c r="DB81" t="n">
        <v>7</v>
      </c>
      <c r="DC81" t="n">
        <v>248</v>
      </c>
      <c r="DD81" t="n">
        <v>23</v>
      </c>
      <c r="DE81" t="n">
        <v>73</v>
      </c>
      <c r="DF81" t="n">
        <v>26</v>
      </c>
      <c r="DG81" t="n">
        <v>25</v>
      </c>
      <c r="DH81" t="n">
        <v>23</v>
      </c>
      <c r="DI81" t="n">
        <v>6</v>
      </c>
      <c r="DJ81" t="n">
        <v>3</v>
      </c>
      <c r="DK81" t="n">
        <v>5</v>
      </c>
      <c r="DL81" t="n">
        <v>4</v>
      </c>
      <c r="DM81" t="n">
        <v>67</v>
      </c>
      <c r="DN81" t="n">
        <v>14</v>
      </c>
      <c r="DO81" t="n">
        <v>12</v>
      </c>
      <c r="DP81" t="n">
        <v>19</v>
      </c>
      <c r="DQ81" t="n">
        <v>64</v>
      </c>
      <c r="DR81" t="n">
        <v>79</v>
      </c>
      <c r="DS81" t="n">
        <v>83</v>
      </c>
      <c r="DT81" t="n">
        <v>1</v>
      </c>
      <c r="DU81" t="n">
        <v>52</v>
      </c>
      <c r="DV81" t="n">
        <v>20</v>
      </c>
      <c r="DW81" t="n">
        <v>33</v>
      </c>
      <c r="DX81" t="n">
        <v>69</v>
      </c>
      <c r="DY81" t="n">
        <v>116</v>
      </c>
      <c r="DZ81" t="n">
        <v>10</v>
      </c>
      <c r="EA81" t="n">
        <v>2</v>
      </c>
      <c r="EB81" t="n">
        <v>1</v>
      </c>
      <c r="EC81" t="n">
        <v>2</v>
      </c>
      <c r="ED81" t="n">
        <v>33</v>
      </c>
      <c r="EE81" t="n">
        <v>14</v>
      </c>
      <c r="EF81" t="n">
        <v>79</v>
      </c>
      <c r="EG81" t="n">
        <v>47</v>
      </c>
      <c r="EH81" t="n">
        <v>19</v>
      </c>
      <c r="EI81" t="n">
        <v>90</v>
      </c>
      <c r="EJ81" t="n">
        <v>60</v>
      </c>
      <c r="EK81" t="n">
        <v>26</v>
      </c>
      <c r="EL81" t="n">
        <v>39</v>
      </c>
      <c r="EM81" t="n">
        <v>19</v>
      </c>
      <c r="EN81" t="n">
        <v>124</v>
      </c>
      <c r="EO81" t="n">
        <v>14</v>
      </c>
      <c r="EP81" t="n">
        <v>30</v>
      </c>
      <c r="EQ81" t="n">
        <v>25</v>
      </c>
      <c r="ER81" t="n">
        <v>99</v>
      </c>
      <c r="ES81" t="n">
        <v>35</v>
      </c>
      <c r="ET81" t="n">
        <v>201</v>
      </c>
      <c r="EU81" t="n">
        <v>31</v>
      </c>
      <c r="EV81" t="n">
        <v>0</v>
      </c>
      <c r="EW81" t="n">
        <v>13</v>
      </c>
      <c r="EX81" t="n">
        <v>119</v>
      </c>
      <c r="EY81" t="n">
        <v>75</v>
      </c>
      <c r="EZ81" t="n">
        <v>158</v>
      </c>
      <c r="FA81" t="n">
        <v>97</v>
      </c>
      <c r="FB81" t="n">
        <v>535</v>
      </c>
      <c r="FC81" t="n">
        <v>124</v>
      </c>
      <c r="FD81" t="n">
        <v>164</v>
      </c>
      <c r="FE81" t="n">
        <v>95</v>
      </c>
      <c r="FF81" t="n">
        <v>2</v>
      </c>
      <c r="FG81" t="n">
        <v>109</v>
      </c>
      <c r="FH81" t="n">
        <v>284</v>
      </c>
      <c r="FI81" t="n">
        <v>29</v>
      </c>
      <c r="FJ81" t="n">
        <v>21</v>
      </c>
      <c r="FK81" t="n">
        <v>10</v>
      </c>
      <c r="FL81" t="n">
        <v>36</v>
      </c>
      <c r="FM81" t="n">
        <v>11</v>
      </c>
      <c r="FN81" t="n">
        <v>138</v>
      </c>
      <c r="FO81" t="n">
        <v>24</v>
      </c>
      <c r="FP81" t="n">
        <v>119</v>
      </c>
      <c r="FQ81" t="n">
        <v>86</v>
      </c>
      <c r="FR81" t="n">
        <v>6</v>
      </c>
      <c r="FS81" t="n">
        <v>52</v>
      </c>
      <c r="FT81" t="n">
        <v>7</v>
      </c>
      <c r="FU81" t="n">
        <v>70</v>
      </c>
      <c r="FV81" t="n">
        <v>114</v>
      </c>
      <c r="FW81" t="n">
        <v>46</v>
      </c>
      <c r="FX81" t="n">
        <v>139</v>
      </c>
      <c r="FY81" t="n">
        <v>100</v>
      </c>
      <c r="FZ81" t="n">
        <v>4</v>
      </c>
      <c r="GA81" t="n">
        <v>8</v>
      </c>
      <c r="GB81" t="n">
        <v>7</v>
      </c>
      <c r="GC81" t="n">
        <v>2</v>
      </c>
      <c r="GD81" t="n">
        <v>18</v>
      </c>
      <c r="GE81" t="n">
        <v>1</v>
      </c>
      <c r="GF81" t="n">
        <v>9</v>
      </c>
      <c r="GG81" t="n">
        <v>22</v>
      </c>
      <c r="GH81" t="n">
        <v>76</v>
      </c>
      <c r="HG81" t="n">
        <v>1494</v>
      </c>
      <c r="HH81" t="n">
        <v>97</v>
      </c>
      <c r="HI81" t="n">
        <v>17</v>
      </c>
      <c r="HK81" t="n">
        <v>237</v>
      </c>
      <c r="HL81" t="n">
        <v>9</v>
      </c>
      <c r="HM81" t="n">
        <v>20</v>
      </c>
      <c r="HN81" t="n">
        <v>32</v>
      </c>
      <c r="HO81" t="n">
        <v>31</v>
      </c>
      <c r="HP81" t="n">
        <v>22</v>
      </c>
      <c r="HQ81" t="n">
        <v>49</v>
      </c>
      <c r="HR81" t="n">
        <v>3</v>
      </c>
      <c r="HS81" t="n">
        <v>4</v>
      </c>
      <c r="HT81" t="n">
        <v>54</v>
      </c>
      <c r="HU81" t="n">
        <v>328</v>
      </c>
      <c r="HV81" t="n">
        <v>376</v>
      </c>
      <c r="HW81" t="n">
        <v>444</v>
      </c>
      <c r="HX81" t="n">
        <v>252</v>
      </c>
      <c r="HY81" t="n">
        <v>45</v>
      </c>
      <c r="HZ81" t="n">
        <v>133</v>
      </c>
      <c r="IA81" t="n">
        <v>38</v>
      </c>
      <c r="IB81" t="n">
        <v>319</v>
      </c>
      <c r="IC81" t="n">
        <v>35</v>
      </c>
      <c r="ID81" t="n">
        <v>385</v>
      </c>
      <c r="IE81" t="n">
        <v>4</v>
      </c>
      <c r="IF81" t="n">
        <v>89</v>
      </c>
      <c r="IG81" t="n">
        <v>24</v>
      </c>
      <c r="IH81" t="n">
        <v>15</v>
      </c>
      <c r="II81" t="n">
        <v>20</v>
      </c>
      <c r="IJ81" t="n">
        <v>53</v>
      </c>
      <c r="IK81" t="n">
        <v>69</v>
      </c>
      <c r="IL81" t="n">
        <v>184</v>
      </c>
      <c r="IM81" t="n">
        <v>189</v>
      </c>
      <c r="IN81" t="n">
        <v>65</v>
      </c>
      <c r="IO81" t="n">
        <v>2</v>
      </c>
      <c r="IP81" t="n">
        <v>1</v>
      </c>
      <c r="IQ81" t="n">
        <v>1</v>
      </c>
      <c r="IS81" t="n">
        <v>20</v>
      </c>
      <c r="IT81" t="n">
        <v>19</v>
      </c>
      <c r="IU81" t="n">
        <v>136</v>
      </c>
      <c r="IV81" t="n">
        <v>177</v>
      </c>
      <c r="IW81" t="n">
        <v>753</v>
      </c>
      <c r="IX81" t="n">
        <v>166</v>
      </c>
      <c r="IY81" t="n">
        <v>34</v>
      </c>
      <c r="IZ81" t="n">
        <v>279</v>
      </c>
      <c r="JA81" t="n">
        <v>279</v>
      </c>
      <c r="JB81" t="n">
        <v>87</v>
      </c>
      <c r="JC81" t="n">
        <v>26</v>
      </c>
      <c r="JD81" t="n">
        <v>72</v>
      </c>
      <c r="JE81" t="n">
        <v>32</v>
      </c>
      <c r="JF81" t="n">
        <v>47</v>
      </c>
      <c r="JG81" t="n">
        <v>473</v>
      </c>
      <c r="JH81" t="n">
        <v>61</v>
      </c>
      <c r="JI81" t="n">
        <v>29</v>
      </c>
      <c r="JJ81" t="n">
        <v>272</v>
      </c>
      <c r="JK81" t="n">
        <v>3</v>
      </c>
      <c r="JL81" t="n">
        <v>0</v>
      </c>
      <c r="JM81" t="n">
        <v>1</v>
      </c>
      <c r="JN81" t="n">
        <v>0</v>
      </c>
      <c r="JO81" t="n">
        <v>10</v>
      </c>
      <c r="JR81" t="n">
        <v>3</v>
      </c>
      <c r="JS81" t="n">
        <v>1</v>
      </c>
      <c r="JT81" t="n">
        <v>0</v>
      </c>
      <c r="JV81" t="n">
        <v>125</v>
      </c>
      <c r="JY81" t="n">
        <v>4</v>
      </c>
      <c r="JZ81" t="n">
        <v>1</v>
      </c>
      <c r="KA81" t="n">
        <v>19</v>
      </c>
      <c r="KB81" t="n">
        <v>2</v>
      </c>
      <c r="KC81" t="n">
        <v>30</v>
      </c>
      <c r="KD81" t="n">
        <v>0</v>
      </c>
      <c r="KE81" t="n">
        <v>22</v>
      </c>
      <c r="KF81" t="n">
        <v>2</v>
      </c>
      <c r="KG81" t="n">
        <v>373</v>
      </c>
      <c r="KH81" t="n">
        <v>711</v>
      </c>
      <c r="KI81" t="n">
        <v>17</v>
      </c>
      <c r="KJ81" t="n">
        <v>8</v>
      </c>
      <c r="KK81" t="n">
        <v>39</v>
      </c>
      <c r="KM81" t="n">
        <v>70</v>
      </c>
      <c r="KN81" t="n">
        <v>52</v>
      </c>
      <c r="KO81" t="n">
        <v>46</v>
      </c>
      <c r="KP81" t="n">
        <v>36</v>
      </c>
      <c r="KQ81" t="n">
        <v>29</v>
      </c>
      <c r="KR81" t="n">
        <v>509</v>
      </c>
      <c r="KT81" t="n">
        <v>7</v>
      </c>
      <c r="KU81" t="n">
        <v>60</v>
      </c>
      <c r="KV81" t="n">
        <v>7</v>
      </c>
      <c r="KW81" t="n">
        <v>875</v>
      </c>
      <c r="KX81" t="n">
        <v>416</v>
      </c>
      <c r="KY81" t="n">
        <v>58</v>
      </c>
      <c r="LA81" t="n">
        <v>68</v>
      </c>
      <c r="LK81" t="n">
        <v>1</v>
      </c>
      <c r="LL81" t="n">
        <v>0</v>
      </c>
      <c r="LO81" t="n">
        <v>18</v>
      </c>
      <c r="LT81" t="n">
        <v>35</v>
      </c>
      <c r="LW81" t="n">
        <v>41</v>
      </c>
      <c r="LX81" t="n">
        <v>1</v>
      </c>
      <c r="LY81" t="n">
        <v>2</v>
      </c>
      <c r="LZ81" t="n">
        <v>34</v>
      </c>
      <c r="MJ81" t="n">
        <v>3</v>
      </c>
      <c r="MK81" t="n">
        <v>12</v>
      </c>
      <c r="MM81" t="n">
        <v>225</v>
      </c>
      <c r="MN81" t="n">
        <v>8</v>
      </c>
      <c r="MQ81" t="n">
        <v>0</v>
      </c>
      <c r="MR81" t="n">
        <v>3</v>
      </c>
      <c r="MZ81" t="n">
        <v>2</v>
      </c>
      <c r="NA81" t="n">
        <v>1</v>
      </c>
      <c r="NR81" t="n">
        <v>174</v>
      </c>
      <c r="NS81" t="n">
        <v>21</v>
      </c>
      <c r="NT81" t="n">
        <v>251</v>
      </c>
      <c r="NU81" t="n">
        <v>171</v>
      </c>
      <c r="OE81" t="n">
        <v>15</v>
      </c>
      <c r="OF81" t="n">
        <v>126</v>
      </c>
      <c r="ON81" t="n">
        <v>87</v>
      </c>
      <c r="OO81" t="n">
        <v>26467</v>
      </c>
      <c r="OU81" t="n">
        <v>199</v>
      </c>
      <c r="OV81" t="n">
        <v>179</v>
      </c>
      <c r="PI81" t="n">
        <v>26845</v>
      </c>
      <c r="PM81">
        <f>IFERROR(VLOOKUP($A81&amp;"",Key!$A:$C,3,FALSE),"")</f>
        <v/>
      </c>
    </row>
    <row r="82">
      <c r="A82" t="n">
        <v>332913</v>
      </c>
      <c r="B82" t="inlineStr">
        <is>
          <t>Plumbing fixture fitting and trim manufacturing</t>
        </is>
      </c>
      <c r="AA82" t="n">
        <v>159</v>
      </c>
      <c r="AB82" t="n">
        <v>363</v>
      </c>
      <c r="AC82" t="n">
        <v>1521</v>
      </c>
      <c r="AD82" t="n">
        <v>608</v>
      </c>
      <c r="AE82" t="n">
        <v>922</v>
      </c>
      <c r="AF82" t="n">
        <v>739</v>
      </c>
      <c r="AG82" t="n">
        <v>1651</v>
      </c>
      <c r="AH82" t="n">
        <v>120</v>
      </c>
      <c r="AI82" t="n">
        <v>480</v>
      </c>
      <c r="AJ82" t="n">
        <v>80</v>
      </c>
      <c r="AK82" t="n">
        <v>1952</v>
      </c>
      <c r="AL82" t="n">
        <v>258</v>
      </c>
      <c r="AP82" t="n">
        <v>28</v>
      </c>
      <c r="BW82" t="n">
        <v>4</v>
      </c>
      <c r="CA82" t="n">
        <v>9</v>
      </c>
      <c r="CB82" t="n">
        <v>4</v>
      </c>
      <c r="CK82" t="n">
        <v>5</v>
      </c>
      <c r="CZ82" t="n">
        <v>41</v>
      </c>
      <c r="DG82" t="n">
        <v>4</v>
      </c>
      <c r="DK82" t="n">
        <v>7</v>
      </c>
      <c r="DO82" t="n">
        <v>17</v>
      </c>
      <c r="EV82" t="n">
        <v>0</v>
      </c>
      <c r="EW82" t="n">
        <v>28</v>
      </c>
      <c r="FC82" t="n">
        <v>41</v>
      </c>
      <c r="JG82" t="n">
        <v>314</v>
      </c>
      <c r="JK82" t="n">
        <v>0</v>
      </c>
      <c r="JL82" t="n">
        <v>3</v>
      </c>
      <c r="JM82" t="n">
        <v>0</v>
      </c>
      <c r="JN82" t="n">
        <v>0</v>
      </c>
      <c r="JR82" t="n">
        <v>0</v>
      </c>
      <c r="JT82" t="n">
        <v>0</v>
      </c>
      <c r="JY82" t="n">
        <v>2</v>
      </c>
      <c r="KB82" t="n">
        <v>5</v>
      </c>
      <c r="KC82" t="n">
        <v>1</v>
      </c>
      <c r="KD82" t="n">
        <v>4</v>
      </c>
      <c r="KF82" t="n">
        <v>1</v>
      </c>
      <c r="KW82" t="n">
        <v>29</v>
      </c>
      <c r="KX82" t="n">
        <v>187</v>
      </c>
      <c r="KY82" t="n">
        <v>3</v>
      </c>
      <c r="KZ82" t="n">
        <v>154</v>
      </c>
      <c r="LK82" t="n">
        <v>5</v>
      </c>
      <c r="LO82" t="n">
        <v>44</v>
      </c>
      <c r="LZ82" t="n">
        <v>72</v>
      </c>
      <c r="MH82" t="n">
        <v>17</v>
      </c>
      <c r="MO82" t="n">
        <v>32</v>
      </c>
      <c r="MP82" t="n">
        <v>49</v>
      </c>
      <c r="MQ82" t="n">
        <v>7</v>
      </c>
      <c r="MS82" t="n">
        <v>58</v>
      </c>
      <c r="MZ82" t="n">
        <v>64</v>
      </c>
      <c r="NC82" t="n">
        <v>23</v>
      </c>
      <c r="ND82" t="n">
        <v>24</v>
      </c>
      <c r="NE82" t="n">
        <v>26</v>
      </c>
      <c r="NF82" t="n">
        <v>2</v>
      </c>
      <c r="NM82" t="n">
        <v>32</v>
      </c>
      <c r="NN82" t="n">
        <v>10</v>
      </c>
      <c r="NO82" t="n">
        <v>194</v>
      </c>
      <c r="NP82" t="n">
        <v>48</v>
      </c>
      <c r="NQ82" t="n">
        <v>16</v>
      </c>
      <c r="OB82" t="n">
        <v>113</v>
      </c>
      <c r="OM82" t="n">
        <v>6</v>
      </c>
      <c r="OO82" t="n">
        <v>10588</v>
      </c>
      <c r="OU82" t="n">
        <v>87</v>
      </c>
      <c r="OV82" t="n">
        <v>312</v>
      </c>
      <c r="PI82" t="n">
        <v>10987</v>
      </c>
      <c r="PM82">
        <f>IFERROR(VLOOKUP($A82&amp;"",Key!$A:$C,3,FALSE),"")</f>
        <v/>
      </c>
    </row>
    <row r="83">
      <c r="A83" t="inlineStr">
        <is>
          <t>33291A</t>
        </is>
      </c>
      <c r="B83" t="inlineStr">
        <is>
          <t>Valve and fittings other than plumbing</t>
        </is>
      </c>
      <c r="P83" t="n">
        <v>4107</v>
      </c>
      <c r="R83" t="n">
        <v>7</v>
      </c>
      <c r="V83" t="n">
        <v>32</v>
      </c>
      <c r="W83" t="n">
        <v>53</v>
      </c>
      <c r="Y83" t="n">
        <v>747</v>
      </c>
      <c r="AA83" t="n">
        <v>484</v>
      </c>
      <c r="AB83" t="n">
        <v>1435</v>
      </c>
      <c r="AC83" t="n">
        <v>376</v>
      </c>
      <c r="AD83" t="n">
        <v>44</v>
      </c>
      <c r="AE83" t="n">
        <v>650</v>
      </c>
      <c r="AF83" t="n">
        <v>166</v>
      </c>
      <c r="AG83" t="n">
        <v>490</v>
      </c>
      <c r="AH83" t="n">
        <v>381</v>
      </c>
      <c r="AI83" t="n">
        <v>1753</v>
      </c>
      <c r="AJ83" t="n">
        <v>61</v>
      </c>
      <c r="AK83" t="n">
        <v>1072</v>
      </c>
      <c r="AL83" t="n">
        <v>900</v>
      </c>
      <c r="AP83" t="n">
        <v>35</v>
      </c>
      <c r="AV83" t="n">
        <v>0</v>
      </c>
      <c r="BC83" t="n">
        <v>89</v>
      </c>
      <c r="BD83" t="n">
        <v>2</v>
      </c>
      <c r="BF83" t="n">
        <v>1</v>
      </c>
      <c r="BK83" t="n">
        <v>13</v>
      </c>
      <c r="BM83" t="n">
        <v>18</v>
      </c>
      <c r="BN83" t="n">
        <v>25</v>
      </c>
      <c r="BO83" t="n">
        <v>34</v>
      </c>
      <c r="BP83" t="n">
        <v>30</v>
      </c>
      <c r="BQ83" t="n">
        <v>258</v>
      </c>
      <c r="BR83" t="n">
        <v>120</v>
      </c>
      <c r="BS83" t="n">
        <v>111</v>
      </c>
      <c r="BT83" t="n">
        <v>103</v>
      </c>
      <c r="BU83" t="n">
        <v>5</v>
      </c>
      <c r="BV83" t="n">
        <v>37</v>
      </c>
      <c r="BW83" t="n">
        <v>40</v>
      </c>
      <c r="BX83" t="n">
        <v>206</v>
      </c>
      <c r="BY83" t="n">
        <v>19</v>
      </c>
      <c r="BZ83" t="n">
        <v>31</v>
      </c>
      <c r="CA83" t="n">
        <v>15</v>
      </c>
      <c r="CB83" t="n">
        <v>2260</v>
      </c>
      <c r="CC83" t="n">
        <v>11</v>
      </c>
      <c r="CD83" t="n">
        <v>104</v>
      </c>
      <c r="CE83" t="n">
        <v>89</v>
      </c>
      <c r="CF83" t="n">
        <v>15</v>
      </c>
      <c r="CG83" t="n">
        <v>131</v>
      </c>
      <c r="CH83" t="n">
        <v>24</v>
      </c>
      <c r="CI83" t="n">
        <v>1106</v>
      </c>
      <c r="CJ83" t="n">
        <v>283</v>
      </c>
      <c r="CK83" t="n">
        <v>214</v>
      </c>
      <c r="CL83" t="n">
        <v>497</v>
      </c>
      <c r="CM83" t="n">
        <v>23</v>
      </c>
      <c r="CN83" t="n">
        <v>6</v>
      </c>
      <c r="CO83" t="n">
        <v>559</v>
      </c>
      <c r="CP83" t="n">
        <v>9</v>
      </c>
      <c r="CQ83" t="n">
        <v>267</v>
      </c>
      <c r="CR83" t="n">
        <v>130</v>
      </c>
      <c r="CS83" t="n">
        <v>21</v>
      </c>
      <c r="CT83" t="n">
        <v>20</v>
      </c>
      <c r="CU83" t="n">
        <v>54</v>
      </c>
      <c r="CV83" t="n">
        <v>46</v>
      </c>
      <c r="CW83" t="n">
        <v>416</v>
      </c>
      <c r="CX83" t="n">
        <v>0</v>
      </c>
      <c r="CY83" t="n">
        <v>14</v>
      </c>
      <c r="CZ83" t="n">
        <v>151</v>
      </c>
      <c r="DA83" t="n">
        <v>443</v>
      </c>
      <c r="DB83" t="n">
        <v>107</v>
      </c>
      <c r="DC83" t="n">
        <v>324</v>
      </c>
      <c r="DD83" t="n">
        <v>16</v>
      </c>
      <c r="DE83" t="n">
        <v>15</v>
      </c>
      <c r="DF83" t="n">
        <v>17</v>
      </c>
      <c r="DG83" t="n">
        <v>536</v>
      </c>
      <c r="DH83" t="n">
        <v>50</v>
      </c>
      <c r="DJ83" t="n">
        <v>0</v>
      </c>
      <c r="DK83" t="n">
        <v>1</v>
      </c>
      <c r="DL83" t="n">
        <v>10</v>
      </c>
      <c r="DM83" t="n">
        <v>73</v>
      </c>
      <c r="DN83" t="n">
        <v>2</v>
      </c>
      <c r="DO83" t="n">
        <v>0</v>
      </c>
      <c r="DP83" t="n">
        <v>1</v>
      </c>
      <c r="DQ83" t="n">
        <v>9</v>
      </c>
      <c r="DR83" t="n">
        <v>13</v>
      </c>
      <c r="DS83" t="n">
        <v>2</v>
      </c>
      <c r="DT83" t="n">
        <v>0</v>
      </c>
      <c r="DU83" t="n">
        <v>29</v>
      </c>
      <c r="DV83" t="n">
        <v>8</v>
      </c>
      <c r="DW83" t="n">
        <v>6</v>
      </c>
      <c r="DX83" t="n">
        <v>31</v>
      </c>
      <c r="DY83" t="n">
        <v>13</v>
      </c>
      <c r="DZ83" t="n">
        <v>73</v>
      </c>
      <c r="ED83" t="n">
        <v>11</v>
      </c>
      <c r="EE83" t="n">
        <v>1</v>
      </c>
      <c r="EF83" t="n">
        <v>25</v>
      </c>
      <c r="EG83" t="n">
        <v>28</v>
      </c>
      <c r="EH83" t="n">
        <v>3</v>
      </c>
      <c r="EK83" t="n">
        <v>91</v>
      </c>
      <c r="EL83" t="n">
        <v>23</v>
      </c>
      <c r="EP83" t="n">
        <v>17</v>
      </c>
      <c r="EQ83" t="n">
        <v>232</v>
      </c>
      <c r="ER83" t="n">
        <v>638</v>
      </c>
      <c r="ES83" t="n">
        <v>117</v>
      </c>
      <c r="ET83" t="n">
        <v>61</v>
      </c>
      <c r="EU83" t="n">
        <v>27</v>
      </c>
      <c r="EV83" t="n">
        <v>0</v>
      </c>
      <c r="EW83" t="n">
        <v>2</v>
      </c>
      <c r="EX83" t="n">
        <v>312</v>
      </c>
      <c r="EY83" t="n">
        <v>101</v>
      </c>
      <c r="EZ83" t="n">
        <v>36</v>
      </c>
      <c r="FB83" t="n">
        <v>167</v>
      </c>
      <c r="FC83" t="n">
        <v>189</v>
      </c>
      <c r="FD83" t="n">
        <v>373</v>
      </c>
      <c r="FE83" t="n">
        <v>2049</v>
      </c>
      <c r="FF83" t="n">
        <v>27</v>
      </c>
      <c r="FG83" t="n">
        <v>552</v>
      </c>
      <c r="FH83" t="n">
        <v>149</v>
      </c>
      <c r="FI83" t="n">
        <v>36</v>
      </c>
      <c r="FJ83" t="n">
        <v>37</v>
      </c>
      <c r="FK83" t="n">
        <v>201</v>
      </c>
      <c r="FL83" t="n">
        <v>3</v>
      </c>
      <c r="FM83" t="n">
        <v>13</v>
      </c>
      <c r="FN83" t="n">
        <v>486</v>
      </c>
      <c r="FO83" t="n">
        <v>15</v>
      </c>
      <c r="FQ83" t="n">
        <v>7</v>
      </c>
      <c r="FS83" t="n">
        <v>5</v>
      </c>
      <c r="FT83" t="n">
        <v>1</v>
      </c>
      <c r="FU83" t="n">
        <v>11</v>
      </c>
      <c r="FV83" t="n">
        <v>19</v>
      </c>
      <c r="FW83" t="n">
        <v>2</v>
      </c>
      <c r="FX83" t="n">
        <v>59</v>
      </c>
      <c r="FY83" t="n">
        <v>58</v>
      </c>
      <c r="FZ83" t="n">
        <v>11</v>
      </c>
      <c r="GC83" t="n">
        <v>0</v>
      </c>
      <c r="GD83" t="n">
        <v>11</v>
      </c>
      <c r="GE83" t="n">
        <v>2</v>
      </c>
      <c r="GF83" t="n">
        <v>3</v>
      </c>
      <c r="GH83" t="n">
        <v>15</v>
      </c>
      <c r="GP83" t="n">
        <v>14</v>
      </c>
      <c r="GS83" t="n">
        <v>12</v>
      </c>
      <c r="GT83" t="n">
        <v>31</v>
      </c>
      <c r="GU83" t="n">
        <v>12</v>
      </c>
      <c r="GV83" t="n">
        <v>3</v>
      </c>
      <c r="HB83" t="n">
        <v>12</v>
      </c>
      <c r="HD83" t="n">
        <v>14</v>
      </c>
      <c r="HG83" t="n">
        <v>269</v>
      </c>
      <c r="HH83" t="n">
        <v>32</v>
      </c>
      <c r="HI83" t="n">
        <v>4</v>
      </c>
      <c r="HK83" t="n">
        <v>3</v>
      </c>
      <c r="HT83" t="n">
        <v>72</v>
      </c>
      <c r="HU83" t="n">
        <v>241</v>
      </c>
      <c r="HV83" t="n">
        <v>270</v>
      </c>
      <c r="IE83" t="n">
        <v>14</v>
      </c>
      <c r="IH83" t="n">
        <v>14</v>
      </c>
      <c r="II83" t="n">
        <v>19</v>
      </c>
      <c r="IJ83" t="n">
        <v>29</v>
      </c>
      <c r="IK83" t="n">
        <v>76</v>
      </c>
      <c r="IL83" t="n">
        <v>239</v>
      </c>
      <c r="IM83" t="n">
        <v>42</v>
      </c>
      <c r="IN83" t="n">
        <v>6</v>
      </c>
      <c r="IS83" t="n">
        <v>2</v>
      </c>
      <c r="IT83" t="n">
        <v>13</v>
      </c>
      <c r="IU83" t="n">
        <v>43</v>
      </c>
      <c r="IX83" t="n">
        <v>531</v>
      </c>
      <c r="IZ83" t="n">
        <v>206</v>
      </c>
      <c r="JE83" t="n">
        <v>23</v>
      </c>
      <c r="JG83" t="n">
        <v>215</v>
      </c>
      <c r="JH83" t="n">
        <v>15</v>
      </c>
      <c r="JJ83" t="n">
        <v>117</v>
      </c>
      <c r="JK83" t="n">
        <v>0</v>
      </c>
      <c r="JL83" t="n">
        <v>0</v>
      </c>
      <c r="JM83" t="n">
        <v>1</v>
      </c>
      <c r="JN83" t="n">
        <v>0</v>
      </c>
      <c r="JO83" t="n">
        <v>2</v>
      </c>
      <c r="JR83" t="n">
        <v>0</v>
      </c>
      <c r="JS83" t="n">
        <v>27</v>
      </c>
      <c r="JT83" t="n">
        <v>0</v>
      </c>
      <c r="JV83" t="n">
        <v>42</v>
      </c>
      <c r="JW83" t="n">
        <v>11</v>
      </c>
      <c r="KB83" t="n">
        <v>3</v>
      </c>
      <c r="KD83" t="n">
        <v>1</v>
      </c>
      <c r="KE83" t="n">
        <v>1</v>
      </c>
      <c r="KH83" t="n">
        <v>326</v>
      </c>
      <c r="KI83" t="n">
        <v>8</v>
      </c>
      <c r="KL83" t="n">
        <v>7</v>
      </c>
      <c r="KM83" t="n">
        <v>75</v>
      </c>
      <c r="KO83" t="n">
        <v>13</v>
      </c>
      <c r="KV83" t="n">
        <v>3444</v>
      </c>
      <c r="KW83" t="n">
        <v>869</v>
      </c>
      <c r="KX83" t="n">
        <v>159</v>
      </c>
      <c r="KY83" t="n">
        <v>2</v>
      </c>
      <c r="KZ83" t="n">
        <v>33</v>
      </c>
      <c r="LA83" t="n">
        <v>29</v>
      </c>
      <c r="LK83" t="n">
        <v>0</v>
      </c>
      <c r="LO83" t="n">
        <v>44</v>
      </c>
      <c r="LT83" t="n">
        <v>259</v>
      </c>
      <c r="LW83" t="n">
        <v>260</v>
      </c>
      <c r="LZ83" t="n">
        <v>157</v>
      </c>
      <c r="MD83" t="n">
        <v>0</v>
      </c>
      <c r="MF83" t="n">
        <v>9</v>
      </c>
      <c r="MH83" t="n">
        <v>109</v>
      </c>
      <c r="MO83" t="n">
        <v>198</v>
      </c>
      <c r="MQ83" t="n">
        <v>2</v>
      </c>
      <c r="MZ83" t="n">
        <v>4</v>
      </c>
      <c r="NC83" t="n">
        <v>5</v>
      </c>
      <c r="ND83" t="n">
        <v>29</v>
      </c>
      <c r="NE83" t="n">
        <v>16</v>
      </c>
      <c r="NM83" t="n">
        <v>7</v>
      </c>
      <c r="NN83" t="n">
        <v>14</v>
      </c>
      <c r="NO83" t="n">
        <v>23</v>
      </c>
      <c r="NP83" t="n">
        <v>14</v>
      </c>
      <c r="NR83" t="n">
        <v>130</v>
      </c>
      <c r="NS83" t="n">
        <v>0</v>
      </c>
      <c r="NT83" t="n">
        <v>656</v>
      </c>
      <c r="NU83" t="n">
        <v>142</v>
      </c>
      <c r="NZ83" t="n">
        <v>0</v>
      </c>
      <c r="OA83" t="n">
        <v>0</v>
      </c>
      <c r="OB83" t="n">
        <v>18</v>
      </c>
      <c r="OD83" t="n">
        <v>782</v>
      </c>
      <c r="OE83" t="n">
        <v>1</v>
      </c>
      <c r="OJ83" t="n">
        <v>4</v>
      </c>
      <c r="OK83" t="n">
        <v>21</v>
      </c>
      <c r="OM83" t="n">
        <v>57</v>
      </c>
      <c r="ON83" t="n">
        <v>1002</v>
      </c>
      <c r="OO83" t="n">
        <v>40015</v>
      </c>
      <c r="OQ83" t="n">
        <v>3671</v>
      </c>
      <c r="OU83" t="n">
        <v>250</v>
      </c>
      <c r="OV83" t="n">
        <v>11108</v>
      </c>
      <c r="OX83" t="n">
        <v>347</v>
      </c>
      <c r="PB83" t="n">
        <v>1</v>
      </c>
      <c r="PF83" t="n">
        <v>17</v>
      </c>
      <c r="PI83" t="n">
        <v>55410</v>
      </c>
      <c r="PM83">
        <f>IFERROR(VLOOKUP($A83&amp;"",Key!$A:$C,3,FALSE),"")</f>
        <v/>
      </c>
    </row>
    <row r="84">
      <c r="A84" t="n">
        <v>332991</v>
      </c>
      <c r="B84" t="inlineStr">
        <is>
          <t>Ball and roller bearing manufacturing</t>
        </is>
      </c>
      <c r="P84" t="n">
        <v>161</v>
      </c>
      <c r="AP84" t="n">
        <v>3</v>
      </c>
      <c r="BD84" t="n">
        <v>88</v>
      </c>
      <c r="BM84" t="n">
        <v>8</v>
      </c>
      <c r="BN84" t="n">
        <v>14</v>
      </c>
      <c r="BO84" t="n">
        <v>23</v>
      </c>
      <c r="BP84" t="n">
        <v>11</v>
      </c>
      <c r="BQ84" t="n">
        <v>89</v>
      </c>
      <c r="BR84" t="n">
        <v>6</v>
      </c>
      <c r="BS84" t="n">
        <v>35</v>
      </c>
      <c r="BT84" t="n">
        <v>8</v>
      </c>
      <c r="BU84" t="n">
        <v>10</v>
      </c>
      <c r="BV84" t="n">
        <v>45</v>
      </c>
      <c r="BW84" t="n">
        <v>13</v>
      </c>
      <c r="BX84" t="n">
        <v>42</v>
      </c>
      <c r="BY84" t="n">
        <v>16</v>
      </c>
      <c r="BZ84" t="n">
        <v>57</v>
      </c>
      <c r="CA84" t="n">
        <v>9</v>
      </c>
      <c r="CB84" t="n">
        <v>71</v>
      </c>
      <c r="CC84" t="n">
        <v>1326</v>
      </c>
      <c r="CD84" t="n">
        <v>11</v>
      </c>
      <c r="CE84" t="n">
        <v>55</v>
      </c>
      <c r="CF84" t="n">
        <v>12</v>
      </c>
      <c r="CG84" t="n">
        <v>221</v>
      </c>
      <c r="CH84" t="n">
        <v>93</v>
      </c>
      <c r="CI84" t="n">
        <v>59</v>
      </c>
      <c r="CJ84" t="n">
        <v>39</v>
      </c>
      <c r="CK84" t="n">
        <v>26</v>
      </c>
      <c r="CL84" t="n">
        <v>168</v>
      </c>
      <c r="CM84" t="n">
        <v>8</v>
      </c>
      <c r="CN84" t="n">
        <v>3</v>
      </c>
      <c r="CO84" t="n">
        <v>35</v>
      </c>
      <c r="CP84" t="n">
        <v>5</v>
      </c>
      <c r="CQ84" t="n">
        <v>136</v>
      </c>
      <c r="CR84" t="n">
        <v>13</v>
      </c>
      <c r="CS84" t="n">
        <v>10</v>
      </c>
      <c r="CT84" t="n">
        <v>7</v>
      </c>
      <c r="CU84" t="n">
        <v>49</v>
      </c>
      <c r="CV84" t="n">
        <v>26</v>
      </c>
      <c r="CW84" t="n">
        <v>166</v>
      </c>
      <c r="CX84" t="n">
        <v>26</v>
      </c>
      <c r="CY84" t="n">
        <v>166</v>
      </c>
      <c r="CZ84" t="n">
        <v>24</v>
      </c>
      <c r="DA84" t="n">
        <v>80</v>
      </c>
      <c r="DB84" t="n">
        <v>71</v>
      </c>
      <c r="DC84" t="n">
        <v>115</v>
      </c>
      <c r="DD84" t="n">
        <v>63</v>
      </c>
      <c r="DE84" t="n">
        <v>126</v>
      </c>
      <c r="DF84" t="n">
        <v>10</v>
      </c>
      <c r="DG84" t="n">
        <v>17</v>
      </c>
      <c r="DH84" t="n">
        <v>230</v>
      </c>
      <c r="DJ84" t="n">
        <v>1</v>
      </c>
      <c r="DK84" t="n">
        <v>1</v>
      </c>
      <c r="DM84" t="n">
        <v>8</v>
      </c>
      <c r="DN84" t="n">
        <v>2</v>
      </c>
      <c r="DO84" t="n">
        <v>0</v>
      </c>
      <c r="DP84" t="n">
        <v>1</v>
      </c>
      <c r="DQ84" t="n">
        <v>34</v>
      </c>
      <c r="DR84" t="n">
        <v>27</v>
      </c>
      <c r="DS84" t="n">
        <v>7</v>
      </c>
      <c r="DT84" t="n">
        <v>0</v>
      </c>
      <c r="DU84" t="n">
        <v>18</v>
      </c>
      <c r="DV84" t="n">
        <v>5</v>
      </c>
      <c r="DW84" t="n">
        <v>6</v>
      </c>
      <c r="DX84" t="n">
        <v>20</v>
      </c>
      <c r="DY84" t="n">
        <v>24</v>
      </c>
      <c r="DZ84" t="n">
        <v>37</v>
      </c>
      <c r="EA84" t="n">
        <v>5</v>
      </c>
      <c r="ED84" t="n">
        <v>19</v>
      </c>
      <c r="EF84" t="n">
        <v>29</v>
      </c>
      <c r="EG84" t="n">
        <v>15</v>
      </c>
      <c r="EH84" t="n">
        <v>94</v>
      </c>
      <c r="EI84" t="n">
        <v>116</v>
      </c>
      <c r="EJ84" t="n">
        <v>43</v>
      </c>
      <c r="EK84" t="n">
        <v>14</v>
      </c>
      <c r="EL84" t="n">
        <v>12</v>
      </c>
      <c r="EN84" t="n">
        <v>63</v>
      </c>
      <c r="EP84" t="n">
        <v>22</v>
      </c>
      <c r="EQ84" t="n">
        <v>20</v>
      </c>
      <c r="ER84" t="n">
        <v>42</v>
      </c>
      <c r="ES84" t="n">
        <v>25</v>
      </c>
      <c r="ET84" t="n">
        <v>18</v>
      </c>
      <c r="EU84" t="n">
        <v>10</v>
      </c>
      <c r="EV84" t="n">
        <v>0</v>
      </c>
      <c r="EW84" t="n">
        <v>4</v>
      </c>
      <c r="EX84" t="n">
        <v>162</v>
      </c>
      <c r="EY84" t="n">
        <v>99</v>
      </c>
      <c r="EZ84" t="n">
        <v>100</v>
      </c>
      <c r="FA84" t="n">
        <v>37</v>
      </c>
      <c r="FB84" t="n">
        <v>113</v>
      </c>
      <c r="FC84" t="n">
        <v>417</v>
      </c>
      <c r="FD84" t="n">
        <v>268</v>
      </c>
      <c r="FE84" t="n">
        <v>177</v>
      </c>
      <c r="FF84" t="n">
        <v>11</v>
      </c>
      <c r="FG84" t="n">
        <v>112</v>
      </c>
      <c r="FI84" t="n">
        <v>5</v>
      </c>
      <c r="FJ84" t="n">
        <v>23</v>
      </c>
      <c r="FK84" t="n">
        <v>4</v>
      </c>
      <c r="FL84" t="n">
        <v>5</v>
      </c>
      <c r="FM84" t="n">
        <v>5</v>
      </c>
      <c r="FN84" t="n">
        <v>16</v>
      </c>
      <c r="FO84" t="n">
        <v>8</v>
      </c>
      <c r="FQ84" t="n">
        <v>11</v>
      </c>
      <c r="FS84" t="n">
        <v>10</v>
      </c>
      <c r="FT84" t="n">
        <v>3</v>
      </c>
      <c r="FU84" t="n">
        <v>22</v>
      </c>
      <c r="FV84" t="n">
        <v>35</v>
      </c>
      <c r="FW84" t="n">
        <v>4</v>
      </c>
      <c r="FX84" t="n">
        <v>37</v>
      </c>
      <c r="FY84" t="n">
        <v>31</v>
      </c>
      <c r="FZ84" t="n">
        <v>2</v>
      </c>
      <c r="GB84" t="n">
        <v>5</v>
      </c>
      <c r="GC84" t="n">
        <v>3</v>
      </c>
      <c r="GD84" t="n">
        <v>4</v>
      </c>
      <c r="GE84" t="n">
        <v>3</v>
      </c>
      <c r="GF84" t="n">
        <v>5</v>
      </c>
      <c r="GG84" t="n">
        <v>8</v>
      </c>
      <c r="GH84" t="n">
        <v>26</v>
      </c>
      <c r="IZ84" t="n">
        <v>1</v>
      </c>
      <c r="JH84" t="n">
        <v>15</v>
      </c>
      <c r="JJ84" t="n">
        <v>110</v>
      </c>
      <c r="JV84" t="n">
        <v>4</v>
      </c>
      <c r="KB84" t="n">
        <v>1</v>
      </c>
      <c r="KI84" t="n">
        <v>83</v>
      </c>
      <c r="KJ84" t="n">
        <v>2</v>
      </c>
      <c r="KV84" t="n">
        <v>16</v>
      </c>
      <c r="KW84" t="n">
        <v>264</v>
      </c>
      <c r="KX84" t="n">
        <v>1225</v>
      </c>
      <c r="KY84" t="n">
        <v>46</v>
      </c>
      <c r="LZ84" t="n">
        <v>38</v>
      </c>
      <c r="MF84" t="n">
        <v>2</v>
      </c>
      <c r="MM84" t="n">
        <v>7</v>
      </c>
      <c r="MO84" t="n">
        <v>146</v>
      </c>
      <c r="NR84" t="n">
        <v>12</v>
      </c>
      <c r="NS84" t="n">
        <v>40</v>
      </c>
      <c r="NT84" t="n">
        <v>231</v>
      </c>
      <c r="NU84" t="n">
        <v>29</v>
      </c>
      <c r="OD84" t="n">
        <v>657</v>
      </c>
      <c r="OE84" t="n">
        <v>1</v>
      </c>
      <c r="OH84" t="n">
        <v>2</v>
      </c>
      <c r="ON84" t="n">
        <v>42</v>
      </c>
      <c r="OO84" t="n">
        <v>9590</v>
      </c>
      <c r="OU84" t="n">
        <v>104</v>
      </c>
      <c r="OV84" t="n">
        <v>2030</v>
      </c>
      <c r="PI84" t="n">
        <v>11724</v>
      </c>
      <c r="PM84">
        <f>IFERROR(VLOOKUP($A84&amp;"",Key!$A:$C,3,FALSE),"")</f>
        <v/>
      </c>
    </row>
    <row r="85">
      <c r="A85" t="n">
        <v>332996</v>
      </c>
      <c r="B85" t="inlineStr">
        <is>
          <t>Fabricated pipe and pipe fitting manufacturing</t>
        </is>
      </c>
      <c r="Z85" t="n">
        <v>0</v>
      </c>
      <c r="AA85" t="n">
        <v>6</v>
      </c>
      <c r="AB85" t="n">
        <v>6</v>
      </c>
      <c r="AC85" t="n">
        <v>540</v>
      </c>
      <c r="AD85" t="n">
        <v>262</v>
      </c>
      <c r="AE85" t="n">
        <v>364</v>
      </c>
      <c r="AF85" t="n">
        <v>117</v>
      </c>
      <c r="AG85" t="n">
        <v>638</v>
      </c>
      <c r="AH85" t="n">
        <v>553</v>
      </c>
      <c r="AI85" t="n">
        <v>172</v>
      </c>
      <c r="AJ85" t="n">
        <v>108</v>
      </c>
      <c r="AK85" t="n">
        <v>811</v>
      </c>
      <c r="AL85" t="n">
        <v>296</v>
      </c>
      <c r="BQ85" t="n">
        <v>141</v>
      </c>
      <c r="BS85" t="n">
        <v>88</v>
      </c>
      <c r="BT85" t="n">
        <v>239</v>
      </c>
      <c r="BW85" t="n">
        <v>1</v>
      </c>
      <c r="CB85" t="n">
        <v>1071</v>
      </c>
      <c r="CD85" t="n">
        <v>447</v>
      </c>
      <c r="CF85" t="n">
        <v>9</v>
      </c>
      <c r="CK85" t="n">
        <v>1</v>
      </c>
      <c r="CO85" t="n">
        <v>69</v>
      </c>
      <c r="CP85" t="n">
        <v>19</v>
      </c>
      <c r="CQ85" t="n">
        <v>36</v>
      </c>
      <c r="DG85" t="n">
        <v>1</v>
      </c>
      <c r="ED85" t="n">
        <v>189</v>
      </c>
      <c r="EY85" t="n">
        <v>5</v>
      </c>
      <c r="FG85" t="n">
        <v>139</v>
      </c>
      <c r="JK85" t="n">
        <v>1</v>
      </c>
      <c r="JL85" t="n">
        <v>1</v>
      </c>
      <c r="JM85" t="n">
        <v>0</v>
      </c>
      <c r="JN85" t="n">
        <v>0</v>
      </c>
      <c r="JR85" t="n">
        <v>0</v>
      </c>
      <c r="JT85" t="n">
        <v>0</v>
      </c>
      <c r="KB85" t="n">
        <v>3</v>
      </c>
      <c r="KD85" t="n">
        <v>2</v>
      </c>
      <c r="KM85" t="n">
        <v>15</v>
      </c>
      <c r="KV85" t="n">
        <v>1</v>
      </c>
      <c r="KW85" t="n">
        <v>13</v>
      </c>
      <c r="KX85" t="n">
        <v>54</v>
      </c>
      <c r="KY85" t="n">
        <v>2</v>
      </c>
      <c r="KZ85" t="n">
        <v>1</v>
      </c>
      <c r="LK85" t="n">
        <v>2</v>
      </c>
      <c r="LO85" t="n">
        <v>79</v>
      </c>
      <c r="LT85" t="n">
        <v>105</v>
      </c>
      <c r="LW85" t="n">
        <v>120</v>
      </c>
      <c r="LZ85" t="n">
        <v>8</v>
      </c>
      <c r="MP85" t="n">
        <v>0</v>
      </c>
      <c r="MQ85" t="n">
        <v>0</v>
      </c>
      <c r="MR85" t="n">
        <v>0</v>
      </c>
      <c r="MS85" t="n">
        <v>31</v>
      </c>
      <c r="MY85" t="n">
        <v>1</v>
      </c>
      <c r="NC85" t="n">
        <v>14</v>
      </c>
      <c r="ND85" t="n">
        <v>10</v>
      </c>
      <c r="NE85" t="n">
        <v>18</v>
      </c>
      <c r="NF85" t="n">
        <v>1</v>
      </c>
      <c r="NM85" t="n">
        <v>18</v>
      </c>
      <c r="NN85" t="n">
        <v>1</v>
      </c>
      <c r="OE85" t="n">
        <v>0</v>
      </c>
      <c r="OI85" t="n">
        <v>1</v>
      </c>
      <c r="ON85" t="n">
        <v>20</v>
      </c>
      <c r="OO85" t="n">
        <v>6851</v>
      </c>
      <c r="OQ85" t="n">
        <v>766</v>
      </c>
      <c r="OU85" t="n">
        <v>-53</v>
      </c>
      <c r="OV85" t="n">
        <v>97</v>
      </c>
      <c r="OX85" t="n">
        <v>2</v>
      </c>
      <c r="PB85" t="n">
        <v>0</v>
      </c>
      <c r="PF85" t="n">
        <v>2</v>
      </c>
      <c r="PI85" t="n">
        <v>7665</v>
      </c>
      <c r="PM85">
        <f>IFERROR(VLOOKUP($A85&amp;"",Key!$A:$C,3,FALSE),"")</f>
        <v/>
      </c>
    </row>
    <row r="86">
      <c r="A86" t="inlineStr">
        <is>
          <t>33299A</t>
        </is>
      </c>
      <c r="B86" t="inlineStr">
        <is>
          <t>Ammunition, arms, ordnance, and accessories manufacturing</t>
        </is>
      </c>
      <c r="BW86" t="n">
        <v>0</v>
      </c>
      <c r="CB86" t="n">
        <v>0</v>
      </c>
      <c r="CE86" t="n">
        <v>1254</v>
      </c>
      <c r="DG86" t="n">
        <v>0</v>
      </c>
      <c r="KK86" t="n">
        <v>1</v>
      </c>
      <c r="ML86" t="n">
        <v>10</v>
      </c>
      <c r="MM86" t="n">
        <v>380</v>
      </c>
      <c r="NM86" t="n">
        <v>15</v>
      </c>
      <c r="NU86" t="n">
        <v>1035</v>
      </c>
      <c r="OD86" t="n">
        <v>3646</v>
      </c>
      <c r="OE86" t="n">
        <v>82</v>
      </c>
      <c r="OJ86" t="n">
        <v>8</v>
      </c>
      <c r="OK86" t="n">
        <v>992</v>
      </c>
      <c r="OO86" t="n">
        <v>7423</v>
      </c>
      <c r="OP86" t="n">
        <v>16439</v>
      </c>
      <c r="OU86" t="n">
        <v>-132</v>
      </c>
      <c r="OV86" t="n">
        <v>4164</v>
      </c>
      <c r="OX86" t="n">
        <v>393</v>
      </c>
      <c r="PI86" t="n">
        <v>28288</v>
      </c>
      <c r="PM86">
        <f>IFERROR(VLOOKUP($A86&amp;"",Key!$A:$C,3,FALSE),"")</f>
        <v/>
      </c>
    </row>
    <row r="87">
      <c r="A87" t="n">
        <v>332999</v>
      </c>
      <c r="B87" t="inlineStr">
        <is>
          <t>Other fabricated metal manufacturing</t>
        </is>
      </c>
      <c r="C87" t="n">
        <v>3</v>
      </c>
      <c r="D87" t="n">
        <v>12</v>
      </c>
      <c r="E87" t="n">
        <v>3</v>
      </c>
      <c r="F87" t="n">
        <v>2</v>
      </c>
      <c r="G87" t="n">
        <v>2</v>
      </c>
      <c r="H87" t="n">
        <v>3</v>
      </c>
      <c r="I87" t="n">
        <v>17</v>
      </c>
      <c r="J87" t="n">
        <v>1</v>
      </c>
      <c r="K87" t="n">
        <v>1</v>
      </c>
      <c r="L87" t="n">
        <v>1</v>
      </c>
      <c r="M87" t="n">
        <v>0</v>
      </c>
      <c r="N87" t="n">
        <v>5</v>
      </c>
      <c r="O87" t="n">
        <v>2</v>
      </c>
      <c r="P87" t="n">
        <v>76</v>
      </c>
      <c r="Q87" t="n">
        <v>6</v>
      </c>
      <c r="R87" t="n">
        <v>1</v>
      </c>
      <c r="S87" t="n">
        <v>14</v>
      </c>
      <c r="T87" t="n">
        <v>1</v>
      </c>
      <c r="U87" t="n">
        <v>1</v>
      </c>
      <c r="V87" t="n">
        <v>3</v>
      </c>
      <c r="W87" t="n">
        <v>32</v>
      </c>
      <c r="Y87" t="n">
        <v>244</v>
      </c>
      <c r="AA87" t="n">
        <v>111</v>
      </c>
      <c r="AB87" t="n">
        <v>799</v>
      </c>
      <c r="AC87" t="n">
        <v>305</v>
      </c>
      <c r="AD87" t="n">
        <v>111</v>
      </c>
      <c r="AE87" t="n">
        <v>435</v>
      </c>
      <c r="AF87" t="n">
        <v>35</v>
      </c>
      <c r="AG87" t="n">
        <v>224</v>
      </c>
      <c r="AH87" t="n">
        <v>1886</v>
      </c>
      <c r="AI87" t="n">
        <v>231</v>
      </c>
      <c r="AJ87" t="n">
        <v>55</v>
      </c>
      <c r="AK87" t="n">
        <v>248</v>
      </c>
      <c r="AL87" t="n">
        <v>210</v>
      </c>
      <c r="AM87" t="n">
        <v>51</v>
      </c>
      <c r="AN87" t="n">
        <v>59</v>
      </c>
      <c r="AO87" t="n">
        <v>18</v>
      </c>
      <c r="AP87" t="n">
        <v>26</v>
      </c>
      <c r="AQ87" t="n">
        <v>35</v>
      </c>
      <c r="AR87" t="n">
        <v>9</v>
      </c>
      <c r="AS87" t="n">
        <v>7</v>
      </c>
      <c r="AT87" t="n">
        <v>34</v>
      </c>
      <c r="AU87" t="n">
        <v>42</v>
      </c>
      <c r="AV87" t="n">
        <v>307</v>
      </c>
      <c r="AW87" t="n">
        <v>3</v>
      </c>
      <c r="AX87" t="n">
        <v>1</v>
      </c>
      <c r="AY87" t="n">
        <v>4</v>
      </c>
      <c r="AZ87" t="n">
        <v>11</v>
      </c>
      <c r="BA87" t="n">
        <v>26</v>
      </c>
      <c r="BB87" t="n">
        <v>26</v>
      </c>
      <c r="BC87" t="n">
        <v>4</v>
      </c>
      <c r="BD87" t="n">
        <v>51</v>
      </c>
      <c r="BE87" t="n">
        <v>7</v>
      </c>
      <c r="BF87" t="n">
        <v>1</v>
      </c>
      <c r="BG87" t="n">
        <v>15</v>
      </c>
      <c r="BH87" t="n">
        <v>35</v>
      </c>
      <c r="BI87" t="n">
        <v>9</v>
      </c>
      <c r="BJ87" t="n">
        <v>7</v>
      </c>
      <c r="BK87" t="n">
        <v>117</v>
      </c>
      <c r="BL87" t="n">
        <v>525</v>
      </c>
      <c r="BM87" t="n">
        <v>8</v>
      </c>
      <c r="BN87" t="n">
        <v>10</v>
      </c>
      <c r="BO87" t="n">
        <v>17</v>
      </c>
      <c r="BP87" t="n">
        <v>32</v>
      </c>
      <c r="BQ87" t="n">
        <v>75</v>
      </c>
      <c r="BR87" t="n">
        <v>15</v>
      </c>
      <c r="BS87" t="n">
        <v>27</v>
      </c>
      <c r="BT87" t="n">
        <v>8</v>
      </c>
      <c r="BU87" t="n">
        <v>8</v>
      </c>
      <c r="BV87" t="n">
        <v>30</v>
      </c>
      <c r="BW87" t="n">
        <v>28</v>
      </c>
      <c r="BX87" t="n">
        <v>51</v>
      </c>
      <c r="BY87" t="n">
        <v>36</v>
      </c>
      <c r="BZ87" t="n">
        <v>47</v>
      </c>
      <c r="CA87" t="n">
        <v>12</v>
      </c>
      <c r="CB87" t="n">
        <v>64</v>
      </c>
      <c r="CC87" t="n">
        <v>5</v>
      </c>
      <c r="CD87" t="n">
        <v>9</v>
      </c>
      <c r="CE87" t="n">
        <v>44</v>
      </c>
      <c r="CF87" t="n">
        <v>677</v>
      </c>
      <c r="CG87" t="n">
        <v>28</v>
      </c>
      <c r="CH87" t="n">
        <v>35</v>
      </c>
      <c r="CI87" t="n">
        <v>7</v>
      </c>
      <c r="CJ87" t="n">
        <v>58</v>
      </c>
      <c r="CK87" t="n">
        <v>23</v>
      </c>
      <c r="CL87" t="n">
        <v>208</v>
      </c>
      <c r="CM87" t="n">
        <v>5</v>
      </c>
      <c r="CN87" t="n">
        <v>3</v>
      </c>
      <c r="CO87" t="n">
        <v>32</v>
      </c>
      <c r="CP87" t="n">
        <v>11</v>
      </c>
      <c r="CQ87" t="n">
        <v>23</v>
      </c>
      <c r="CR87" t="n">
        <v>6</v>
      </c>
      <c r="CS87" t="n">
        <v>6</v>
      </c>
      <c r="CT87" t="n">
        <v>9</v>
      </c>
      <c r="CU87" t="n">
        <v>6</v>
      </c>
      <c r="CV87" t="n">
        <v>7</v>
      </c>
      <c r="CW87" t="n">
        <v>36</v>
      </c>
      <c r="CX87" t="n">
        <v>1</v>
      </c>
      <c r="CY87" t="n">
        <v>15</v>
      </c>
      <c r="CZ87" t="n">
        <v>57</v>
      </c>
      <c r="DA87" t="n">
        <v>13</v>
      </c>
      <c r="DB87" t="n">
        <v>7</v>
      </c>
      <c r="DC87" t="n">
        <v>157</v>
      </c>
      <c r="DD87" t="n">
        <v>15</v>
      </c>
      <c r="DE87" t="n">
        <v>21</v>
      </c>
      <c r="DF87" t="n">
        <v>5</v>
      </c>
      <c r="DG87" t="n">
        <v>73</v>
      </c>
      <c r="DH87" t="n">
        <v>8</v>
      </c>
      <c r="DJ87" t="n">
        <v>0</v>
      </c>
      <c r="DK87" t="n">
        <v>4</v>
      </c>
      <c r="DL87" t="n">
        <v>7</v>
      </c>
      <c r="DM87" t="n">
        <v>22</v>
      </c>
      <c r="DN87" t="n">
        <v>4</v>
      </c>
      <c r="DO87" t="n">
        <v>6</v>
      </c>
      <c r="DP87" t="n">
        <v>0</v>
      </c>
      <c r="DQ87" t="n">
        <v>52</v>
      </c>
      <c r="DR87" t="n">
        <v>30</v>
      </c>
      <c r="DS87" t="n">
        <v>92</v>
      </c>
      <c r="DT87" t="n">
        <v>0</v>
      </c>
      <c r="DU87" t="n">
        <v>14</v>
      </c>
      <c r="DV87" t="n">
        <v>9</v>
      </c>
      <c r="DW87" t="n">
        <v>21</v>
      </c>
      <c r="DX87" t="n">
        <v>24</v>
      </c>
      <c r="DY87" t="n">
        <v>12</v>
      </c>
      <c r="DZ87" t="n">
        <v>5</v>
      </c>
      <c r="EA87" t="n">
        <v>6</v>
      </c>
      <c r="EB87" t="n">
        <v>0</v>
      </c>
      <c r="EC87" t="n">
        <v>1</v>
      </c>
      <c r="ED87" t="n">
        <v>33</v>
      </c>
      <c r="EE87" t="n">
        <v>6</v>
      </c>
      <c r="EF87" t="n">
        <v>23</v>
      </c>
      <c r="EG87" t="n">
        <v>10</v>
      </c>
      <c r="EH87" t="n">
        <v>7</v>
      </c>
      <c r="EI87" t="n">
        <v>131</v>
      </c>
      <c r="EJ87" t="n">
        <v>54</v>
      </c>
      <c r="EK87" t="n">
        <v>27</v>
      </c>
      <c r="EL87" t="n">
        <v>7</v>
      </c>
      <c r="EM87" t="n">
        <v>4</v>
      </c>
      <c r="EN87" t="n">
        <v>42</v>
      </c>
      <c r="EO87" t="n">
        <v>4</v>
      </c>
      <c r="EP87" t="n">
        <v>16</v>
      </c>
      <c r="EQ87" t="n">
        <v>5</v>
      </c>
      <c r="ER87" t="n">
        <v>21</v>
      </c>
      <c r="ES87" t="n">
        <v>9</v>
      </c>
      <c r="ET87" t="n">
        <v>18</v>
      </c>
      <c r="EU87" t="n">
        <v>3</v>
      </c>
      <c r="EV87" t="n">
        <v>0</v>
      </c>
      <c r="EW87" t="n">
        <v>5</v>
      </c>
      <c r="EX87" t="n">
        <v>33</v>
      </c>
      <c r="EY87" t="n">
        <v>19</v>
      </c>
      <c r="EZ87" t="n">
        <v>20</v>
      </c>
      <c r="FA87" t="n">
        <v>90</v>
      </c>
      <c r="FB87" t="n">
        <v>89</v>
      </c>
      <c r="FC87" t="n">
        <v>40</v>
      </c>
      <c r="FD87" t="n">
        <v>43</v>
      </c>
      <c r="FE87" t="n">
        <v>16</v>
      </c>
      <c r="FF87" t="n">
        <v>20</v>
      </c>
      <c r="FG87" t="n">
        <v>25</v>
      </c>
      <c r="FH87" t="n">
        <v>7</v>
      </c>
      <c r="FI87" t="n">
        <v>3</v>
      </c>
      <c r="FJ87" t="n">
        <v>3</v>
      </c>
      <c r="FK87" t="n">
        <v>5</v>
      </c>
      <c r="FL87" t="n">
        <v>45</v>
      </c>
      <c r="FM87" t="n">
        <v>17</v>
      </c>
      <c r="FN87" t="n">
        <v>36</v>
      </c>
      <c r="FO87" t="n">
        <v>80</v>
      </c>
      <c r="FP87" t="n">
        <v>26</v>
      </c>
      <c r="FQ87" t="n">
        <v>9</v>
      </c>
      <c r="FS87" t="n">
        <v>8</v>
      </c>
      <c r="FT87" t="n">
        <v>15</v>
      </c>
      <c r="FU87" t="n">
        <v>20</v>
      </c>
      <c r="FV87" t="n">
        <v>37</v>
      </c>
      <c r="FW87" t="n">
        <v>16</v>
      </c>
      <c r="FX87" t="n">
        <v>70</v>
      </c>
      <c r="FY87" t="n">
        <v>35</v>
      </c>
      <c r="FZ87" t="n">
        <v>6</v>
      </c>
      <c r="GB87" t="n">
        <v>5</v>
      </c>
      <c r="GC87" t="n">
        <v>8</v>
      </c>
      <c r="GD87" t="n">
        <v>11</v>
      </c>
      <c r="GE87" t="n">
        <v>4</v>
      </c>
      <c r="GF87" t="n">
        <v>3</v>
      </c>
      <c r="GG87" t="n">
        <v>8</v>
      </c>
      <c r="GH87" t="n">
        <v>481</v>
      </c>
      <c r="GI87" t="n">
        <v>9</v>
      </c>
      <c r="GJ87" t="n">
        <v>39</v>
      </c>
      <c r="GK87" t="n">
        <v>6</v>
      </c>
      <c r="GL87" t="n">
        <v>17</v>
      </c>
      <c r="GM87" t="n">
        <v>2</v>
      </c>
      <c r="GN87" t="n">
        <v>32</v>
      </c>
      <c r="GO87" t="n">
        <v>1</v>
      </c>
      <c r="GP87" t="n">
        <v>158</v>
      </c>
      <c r="GQ87" t="n">
        <v>3</v>
      </c>
      <c r="GR87" t="n">
        <v>41</v>
      </c>
      <c r="GS87" t="n">
        <v>75</v>
      </c>
      <c r="GT87" t="n">
        <v>124</v>
      </c>
      <c r="GU87" t="n">
        <v>9</v>
      </c>
      <c r="GV87" t="n">
        <v>30</v>
      </c>
      <c r="GW87" t="n">
        <v>33</v>
      </c>
      <c r="GX87" t="n">
        <v>99</v>
      </c>
      <c r="GY87" t="n">
        <v>3</v>
      </c>
      <c r="GZ87" t="n">
        <v>55</v>
      </c>
      <c r="HA87" t="n">
        <v>79</v>
      </c>
      <c r="HB87" t="n">
        <v>123</v>
      </c>
      <c r="HC87" t="n">
        <v>196</v>
      </c>
      <c r="HD87" t="n">
        <v>40</v>
      </c>
      <c r="HE87" t="n">
        <v>117</v>
      </c>
      <c r="HF87" t="n">
        <v>61</v>
      </c>
      <c r="HG87" t="n">
        <v>29</v>
      </c>
      <c r="HI87" t="n">
        <v>5</v>
      </c>
      <c r="HJ87" t="n">
        <v>13</v>
      </c>
      <c r="HK87" t="n">
        <v>72</v>
      </c>
      <c r="HL87" t="n">
        <v>2</v>
      </c>
      <c r="HM87" t="n">
        <v>5</v>
      </c>
      <c r="HN87" t="n">
        <v>10</v>
      </c>
      <c r="HO87" t="n">
        <v>7</v>
      </c>
      <c r="HP87" t="n">
        <v>5</v>
      </c>
      <c r="HQ87" t="n">
        <v>15</v>
      </c>
      <c r="HR87" t="n">
        <v>1</v>
      </c>
      <c r="HS87" t="n">
        <v>2</v>
      </c>
      <c r="HT87" t="n">
        <v>11</v>
      </c>
      <c r="HU87" t="n">
        <v>14</v>
      </c>
      <c r="HV87" t="n">
        <v>54</v>
      </c>
      <c r="HW87" t="n">
        <v>93</v>
      </c>
      <c r="HX87" t="n">
        <v>17</v>
      </c>
      <c r="HY87" t="n">
        <v>8</v>
      </c>
      <c r="HZ87" t="n">
        <v>220</v>
      </c>
      <c r="IA87" t="n">
        <v>7</v>
      </c>
      <c r="IB87" t="n">
        <v>37</v>
      </c>
      <c r="IC87" t="n">
        <v>10</v>
      </c>
      <c r="IE87" t="n">
        <v>2</v>
      </c>
      <c r="IF87" t="n">
        <v>26</v>
      </c>
      <c r="IG87" t="n">
        <v>7</v>
      </c>
      <c r="II87" t="n">
        <v>4</v>
      </c>
      <c r="IJ87" t="n">
        <v>13</v>
      </c>
      <c r="IK87" t="n">
        <v>93</v>
      </c>
      <c r="IL87" t="n">
        <v>10</v>
      </c>
      <c r="IM87" t="n">
        <v>55</v>
      </c>
      <c r="IN87" t="n">
        <v>13</v>
      </c>
      <c r="IO87" t="n">
        <v>9</v>
      </c>
      <c r="IQ87" t="n">
        <v>4</v>
      </c>
      <c r="IR87" t="n">
        <v>24</v>
      </c>
      <c r="IS87" t="n">
        <v>7</v>
      </c>
      <c r="IT87" t="n">
        <v>4</v>
      </c>
      <c r="IU87" t="n">
        <v>40</v>
      </c>
      <c r="IV87" t="n">
        <v>39</v>
      </c>
      <c r="IW87" t="n">
        <v>68</v>
      </c>
      <c r="IX87" t="n">
        <v>1</v>
      </c>
      <c r="IY87" t="n">
        <v>13</v>
      </c>
      <c r="IZ87" t="n">
        <v>82</v>
      </c>
      <c r="JA87" t="n">
        <v>43</v>
      </c>
      <c r="JB87" t="n">
        <v>13</v>
      </c>
      <c r="JC87" t="n">
        <v>4</v>
      </c>
      <c r="JD87" t="n">
        <v>1</v>
      </c>
      <c r="JE87" t="n">
        <v>5</v>
      </c>
      <c r="JF87" t="n">
        <v>7</v>
      </c>
      <c r="JG87" t="n">
        <v>87</v>
      </c>
      <c r="JH87" t="n">
        <v>35</v>
      </c>
      <c r="JI87" t="n">
        <v>4</v>
      </c>
      <c r="JJ87" t="n">
        <v>145</v>
      </c>
      <c r="JK87" t="n">
        <v>18</v>
      </c>
      <c r="JL87" t="n">
        <v>17</v>
      </c>
      <c r="JM87" t="n">
        <v>23</v>
      </c>
      <c r="JN87" t="n">
        <v>29</v>
      </c>
      <c r="JO87" t="n">
        <v>69</v>
      </c>
      <c r="JP87" t="n">
        <v>56</v>
      </c>
      <c r="JQ87" t="n">
        <v>27</v>
      </c>
      <c r="JR87" t="n">
        <v>53</v>
      </c>
      <c r="JS87" t="n">
        <v>60</v>
      </c>
      <c r="JT87" t="n">
        <v>3</v>
      </c>
      <c r="JV87" t="n">
        <v>52</v>
      </c>
      <c r="JW87" t="n">
        <v>35</v>
      </c>
      <c r="JX87" t="n">
        <v>14</v>
      </c>
      <c r="JY87" t="n">
        <v>11</v>
      </c>
      <c r="JZ87" t="n">
        <v>16</v>
      </c>
      <c r="KA87" t="n">
        <v>32</v>
      </c>
      <c r="KB87" t="n">
        <v>20</v>
      </c>
      <c r="KC87" t="n">
        <v>34</v>
      </c>
      <c r="KD87" t="n">
        <v>39</v>
      </c>
      <c r="KF87" t="n">
        <v>73</v>
      </c>
      <c r="KG87" t="n">
        <v>8</v>
      </c>
      <c r="KH87" t="n">
        <v>9</v>
      </c>
      <c r="KI87" t="n">
        <v>70</v>
      </c>
      <c r="KJ87" t="n">
        <v>8</v>
      </c>
      <c r="KK87" t="n">
        <v>8</v>
      </c>
      <c r="KL87" t="n">
        <v>2</v>
      </c>
      <c r="KM87" t="n">
        <v>301</v>
      </c>
      <c r="KN87" t="n">
        <v>0</v>
      </c>
      <c r="KO87" t="n">
        <v>1</v>
      </c>
      <c r="KQ87" t="n">
        <v>2</v>
      </c>
      <c r="KR87" t="n">
        <v>23</v>
      </c>
      <c r="KS87" t="n">
        <v>0</v>
      </c>
      <c r="KW87" t="n">
        <v>827</v>
      </c>
      <c r="KX87" t="n">
        <v>137</v>
      </c>
      <c r="KY87" t="n">
        <v>2</v>
      </c>
      <c r="KZ87" t="n">
        <v>25</v>
      </c>
      <c r="LA87" t="n">
        <v>24</v>
      </c>
      <c r="LB87" t="n">
        <v>2</v>
      </c>
      <c r="LC87" t="n">
        <v>203</v>
      </c>
      <c r="LD87" t="n">
        <v>145</v>
      </c>
      <c r="LE87" t="n">
        <v>133</v>
      </c>
      <c r="LF87" t="n">
        <v>29</v>
      </c>
      <c r="LJ87" t="n">
        <v>40</v>
      </c>
      <c r="LK87" t="n">
        <v>1</v>
      </c>
      <c r="LL87" t="n">
        <v>1</v>
      </c>
      <c r="LM87" t="n">
        <v>1469</v>
      </c>
      <c r="LN87" t="n">
        <v>2</v>
      </c>
      <c r="LO87" t="n">
        <v>26</v>
      </c>
      <c r="LR87" t="n">
        <v>32</v>
      </c>
      <c r="LS87" t="n">
        <v>6</v>
      </c>
      <c r="LT87" t="n">
        <v>176</v>
      </c>
      <c r="LU87" t="n">
        <v>6</v>
      </c>
      <c r="LV87" t="n">
        <v>18</v>
      </c>
      <c r="LW87" t="n">
        <v>260</v>
      </c>
      <c r="LX87" t="n">
        <v>7</v>
      </c>
      <c r="LY87" t="n">
        <v>2</v>
      </c>
      <c r="LZ87" t="n">
        <v>68</v>
      </c>
      <c r="MA87" t="n">
        <v>14</v>
      </c>
      <c r="MB87" t="n">
        <v>7</v>
      </c>
      <c r="MC87" t="n">
        <v>14</v>
      </c>
      <c r="MD87" t="n">
        <v>18</v>
      </c>
      <c r="ME87" t="n">
        <v>14</v>
      </c>
      <c r="MF87" t="n">
        <v>119</v>
      </c>
      <c r="MG87" t="n">
        <v>8</v>
      </c>
      <c r="MH87" t="n">
        <v>146</v>
      </c>
      <c r="MI87" t="n">
        <v>4</v>
      </c>
      <c r="MJ87" t="n">
        <v>5</v>
      </c>
      <c r="MK87" t="n">
        <v>156</v>
      </c>
      <c r="ML87" t="n">
        <v>3</v>
      </c>
      <c r="MM87" t="n">
        <v>8</v>
      </c>
      <c r="MN87" t="n">
        <v>9</v>
      </c>
      <c r="MO87" t="n">
        <v>294</v>
      </c>
      <c r="MP87" t="n">
        <v>1</v>
      </c>
      <c r="MR87" t="n">
        <v>25</v>
      </c>
      <c r="MS87" t="n">
        <v>37</v>
      </c>
      <c r="MT87" t="n">
        <v>46</v>
      </c>
      <c r="MU87" t="n">
        <v>10</v>
      </c>
      <c r="MV87" t="n">
        <v>10</v>
      </c>
      <c r="MX87" t="n">
        <v>3</v>
      </c>
      <c r="MY87" t="n">
        <v>24</v>
      </c>
      <c r="MZ87" t="n">
        <v>69</v>
      </c>
      <c r="NA87" t="n">
        <v>5</v>
      </c>
      <c r="NB87" t="n">
        <v>2</v>
      </c>
      <c r="NC87" t="n">
        <v>7</v>
      </c>
      <c r="ND87" t="n">
        <v>20</v>
      </c>
      <c r="NE87" t="n">
        <v>44</v>
      </c>
      <c r="NF87" t="n">
        <v>4</v>
      </c>
      <c r="NG87" t="n">
        <v>0</v>
      </c>
      <c r="NJ87" t="n">
        <v>1</v>
      </c>
      <c r="NM87" t="n">
        <v>62</v>
      </c>
      <c r="NN87" t="n">
        <v>1486</v>
      </c>
      <c r="NO87" t="n">
        <v>215</v>
      </c>
      <c r="NP87" t="n">
        <v>26</v>
      </c>
      <c r="NQ87" t="n">
        <v>6</v>
      </c>
      <c r="NR87" t="n">
        <v>5</v>
      </c>
      <c r="NS87" t="n">
        <v>4</v>
      </c>
      <c r="NT87" t="n">
        <v>6</v>
      </c>
      <c r="NV87" t="n">
        <v>33</v>
      </c>
      <c r="NX87" t="n">
        <v>0</v>
      </c>
      <c r="NY87" t="n">
        <v>4</v>
      </c>
      <c r="NZ87" t="n">
        <v>48</v>
      </c>
      <c r="OA87" t="n">
        <v>4</v>
      </c>
      <c r="OB87" t="n">
        <v>43</v>
      </c>
      <c r="OD87" t="n">
        <v>6</v>
      </c>
      <c r="OF87" t="n">
        <v>60</v>
      </c>
      <c r="OI87" t="n">
        <v>11</v>
      </c>
      <c r="OK87" t="n">
        <v>68</v>
      </c>
      <c r="OM87" t="n">
        <v>5</v>
      </c>
      <c r="ON87" t="n">
        <v>50</v>
      </c>
      <c r="OO87" t="n">
        <v>21539</v>
      </c>
      <c r="OP87" t="n">
        <v>4643</v>
      </c>
      <c r="OQ87" t="n">
        <v>627</v>
      </c>
      <c r="OU87" t="n">
        <v>-63</v>
      </c>
      <c r="OV87" t="n">
        <v>6048</v>
      </c>
      <c r="OX87" t="n">
        <v>2</v>
      </c>
      <c r="PB87" t="n">
        <v>187</v>
      </c>
      <c r="PF87" t="n">
        <v>246</v>
      </c>
      <c r="PI87" t="n">
        <v>33228</v>
      </c>
      <c r="PM87">
        <f>IFERROR(VLOOKUP($A87&amp;"",Key!$A:$C,3,FALSE),"")</f>
        <v/>
      </c>
    </row>
    <row r="88">
      <c r="A88" t="n">
        <v>333111</v>
      </c>
      <c r="B88" t="inlineStr">
        <is>
          <t>Farm machinery and equipment manufacturing</t>
        </is>
      </c>
      <c r="C88" t="n">
        <v>201</v>
      </c>
      <c r="D88" t="n">
        <v>705</v>
      </c>
      <c r="E88" t="n">
        <v>92</v>
      </c>
      <c r="F88" t="n">
        <v>99</v>
      </c>
      <c r="G88" t="n">
        <v>112</v>
      </c>
      <c r="H88" t="n">
        <v>283</v>
      </c>
      <c r="I88" t="n">
        <v>568</v>
      </c>
      <c r="J88" t="n">
        <v>33</v>
      </c>
      <c r="K88" t="n">
        <v>22</v>
      </c>
      <c r="L88" t="n">
        <v>145</v>
      </c>
      <c r="M88" t="n">
        <v>0</v>
      </c>
      <c r="N88" t="n">
        <v>9</v>
      </c>
      <c r="AC88" t="n">
        <v>0</v>
      </c>
      <c r="CG88" t="n">
        <v>1540</v>
      </c>
      <c r="CH88" t="n">
        <v>231</v>
      </c>
      <c r="JN88" t="n">
        <v>0</v>
      </c>
      <c r="JO88" t="n">
        <v>16</v>
      </c>
      <c r="LZ88" t="n">
        <v>69</v>
      </c>
      <c r="MF88" t="n">
        <v>6</v>
      </c>
      <c r="MM88" t="n">
        <v>1</v>
      </c>
      <c r="MO88" t="n">
        <v>264</v>
      </c>
      <c r="NG88" t="n">
        <v>21</v>
      </c>
      <c r="NT88" t="n">
        <v>10</v>
      </c>
      <c r="OI88" t="n">
        <v>526</v>
      </c>
      <c r="OK88" t="n">
        <v>346</v>
      </c>
      <c r="ON88" t="n">
        <v>801</v>
      </c>
      <c r="OO88" t="n">
        <v>6102</v>
      </c>
      <c r="OQ88" t="n">
        <v>33769</v>
      </c>
      <c r="OU88" t="n">
        <v>106</v>
      </c>
      <c r="OV88" t="n">
        <v>8405</v>
      </c>
      <c r="OX88" t="n">
        <v>0</v>
      </c>
      <c r="PB88" t="n">
        <v>77</v>
      </c>
      <c r="PF88" t="n">
        <v>123</v>
      </c>
      <c r="PI88" t="n">
        <v>48582</v>
      </c>
      <c r="PM88">
        <f>IFERROR(VLOOKUP($A88&amp;"",Key!$A:$C,3,FALSE),"")</f>
        <v/>
      </c>
    </row>
    <row r="89">
      <c r="A89" t="n">
        <v>333112</v>
      </c>
      <c r="B89" t="inlineStr">
        <is>
          <t>Lawn and garden equipment manufacturing</t>
        </is>
      </c>
      <c r="H89" t="n">
        <v>0</v>
      </c>
      <c r="N89" t="n">
        <v>14</v>
      </c>
      <c r="O89" t="n">
        <v>16</v>
      </c>
      <c r="CH89" t="n">
        <v>0</v>
      </c>
      <c r="JN89" t="n">
        <v>0</v>
      </c>
      <c r="JV89" t="n">
        <v>10</v>
      </c>
      <c r="JY89" t="n">
        <v>9</v>
      </c>
      <c r="KD89" t="n">
        <v>12</v>
      </c>
      <c r="KE89" t="n">
        <v>12</v>
      </c>
      <c r="KW89" t="n">
        <v>0</v>
      </c>
      <c r="KX89" t="n">
        <v>0</v>
      </c>
      <c r="LK89" t="n">
        <v>111</v>
      </c>
      <c r="LL89" t="n">
        <v>10</v>
      </c>
      <c r="LO89" t="n">
        <v>534</v>
      </c>
      <c r="LP89" t="n">
        <v>24</v>
      </c>
      <c r="LZ89" t="n">
        <v>27</v>
      </c>
      <c r="MF89" t="n">
        <v>1</v>
      </c>
      <c r="MH89" t="n">
        <v>120</v>
      </c>
      <c r="MM89" t="n">
        <v>16</v>
      </c>
      <c r="NU89" t="n">
        <v>359</v>
      </c>
      <c r="OK89" t="n">
        <v>58</v>
      </c>
      <c r="ON89" t="n">
        <v>0</v>
      </c>
      <c r="OO89" t="n">
        <v>1336</v>
      </c>
      <c r="OP89" t="n">
        <v>4158</v>
      </c>
      <c r="OQ89" t="n">
        <v>19601</v>
      </c>
      <c r="OU89" t="n">
        <v>150</v>
      </c>
      <c r="OV89" t="n">
        <v>89</v>
      </c>
      <c r="OX89" t="n">
        <v>0</v>
      </c>
      <c r="PB89" t="n">
        <v>0</v>
      </c>
      <c r="PF89" t="n">
        <v>21</v>
      </c>
      <c r="PI89" t="n">
        <v>25355</v>
      </c>
      <c r="PM89">
        <f>IFERROR(VLOOKUP($A89&amp;"",Key!$A:$C,3,FALSE),"")</f>
        <v/>
      </c>
    </row>
    <row r="90">
      <c r="A90" t="n">
        <v>333120</v>
      </c>
      <c r="B90" t="inlineStr">
        <is>
          <t>Construction machinery manufacturing</t>
        </is>
      </c>
      <c r="P90" t="n">
        <v>455</v>
      </c>
      <c r="Q90" t="n">
        <v>572</v>
      </c>
      <c r="R90" t="n">
        <v>87</v>
      </c>
      <c r="S90" t="n">
        <v>442</v>
      </c>
      <c r="T90" t="n">
        <v>346</v>
      </c>
      <c r="U90" t="n">
        <v>475</v>
      </c>
      <c r="V90" t="n">
        <v>560</v>
      </c>
      <c r="W90" t="n">
        <v>1048</v>
      </c>
      <c r="Z90" t="n">
        <v>0</v>
      </c>
      <c r="AA90" t="n">
        <v>10</v>
      </c>
      <c r="AC90" t="n">
        <v>117</v>
      </c>
      <c r="AD90" t="n">
        <v>139</v>
      </c>
      <c r="AE90" t="n">
        <v>13</v>
      </c>
      <c r="AG90" t="n">
        <v>1695</v>
      </c>
      <c r="AI90" t="n">
        <v>80</v>
      </c>
      <c r="AJ90" t="n">
        <v>77</v>
      </c>
      <c r="AK90" t="n">
        <v>423</v>
      </c>
      <c r="AL90" t="n">
        <v>19</v>
      </c>
      <c r="CG90" t="n">
        <v>4</v>
      </c>
      <c r="CI90" t="n">
        <v>242</v>
      </c>
      <c r="CJ90" t="n">
        <v>1</v>
      </c>
      <c r="FK90" t="n">
        <v>287</v>
      </c>
      <c r="JN90" t="n">
        <v>0</v>
      </c>
      <c r="JT90" t="n">
        <v>0</v>
      </c>
      <c r="KD90" t="n">
        <v>0</v>
      </c>
      <c r="KX90" t="n">
        <v>9</v>
      </c>
      <c r="LW90" t="n">
        <v>242</v>
      </c>
      <c r="LZ90" t="n">
        <v>50</v>
      </c>
      <c r="MF90" t="n">
        <v>1</v>
      </c>
      <c r="MO90" t="n">
        <v>868</v>
      </c>
      <c r="OM90" t="n">
        <v>4</v>
      </c>
      <c r="OO90" t="n">
        <v>8268</v>
      </c>
      <c r="OQ90" t="n">
        <v>31748</v>
      </c>
      <c r="OU90" t="n">
        <v>885</v>
      </c>
      <c r="OV90" t="n">
        <v>10444</v>
      </c>
      <c r="OX90" t="n">
        <v>480</v>
      </c>
      <c r="PB90" t="n">
        <v>2</v>
      </c>
      <c r="PF90" t="n">
        <v>12704</v>
      </c>
      <c r="PI90" t="n">
        <v>64532</v>
      </c>
      <c r="PM90">
        <f>IFERROR(VLOOKUP($A90&amp;"",Key!$A:$C,3,FALSE),"")</f>
        <v/>
      </c>
    </row>
    <row r="91">
      <c r="A91" t="n">
        <v>333130</v>
      </c>
      <c r="B91" t="inlineStr">
        <is>
          <t>Mining and oil and gas field machinery manufacturing</t>
        </is>
      </c>
      <c r="P91" t="n">
        <v>2135</v>
      </c>
      <c r="Q91" t="n">
        <v>1017</v>
      </c>
      <c r="R91" t="n">
        <v>242</v>
      </c>
      <c r="S91" t="n">
        <v>69</v>
      </c>
      <c r="T91" t="n">
        <v>82</v>
      </c>
      <c r="U91" t="n">
        <v>70</v>
      </c>
      <c r="V91" t="n">
        <v>285</v>
      </c>
      <c r="W91" t="n">
        <v>1917</v>
      </c>
      <c r="Z91" t="n">
        <v>0</v>
      </c>
      <c r="AC91" t="n">
        <v>19</v>
      </c>
      <c r="AJ91" t="n">
        <v>3</v>
      </c>
      <c r="CG91" t="n">
        <v>20</v>
      </c>
      <c r="CJ91" t="n">
        <v>92</v>
      </c>
      <c r="LW91" t="n">
        <v>55</v>
      </c>
      <c r="LZ91" t="n">
        <v>6</v>
      </c>
      <c r="MO91" t="n">
        <v>322</v>
      </c>
      <c r="OD91" t="n">
        <v>29</v>
      </c>
      <c r="OO91" t="n">
        <v>6364</v>
      </c>
      <c r="OQ91" t="n">
        <v>22308</v>
      </c>
      <c r="OU91" t="n">
        <v>-55</v>
      </c>
      <c r="OV91" t="n">
        <v>3829</v>
      </c>
      <c r="PI91" t="n">
        <v>32445</v>
      </c>
      <c r="PM91">
        <f>IFERROR(VLOOKUP($A91&amp;"",Key!$A:$C,3,FALSE),"")</f>
        <v/>
      </c>
    </row>
    <row r="92">
      <c r="A92" t="n">
        <v>333242</v>
      </c>
      <c r="B92" t="inlineStr">
        <is>
          <t>Semiconductor machinery manufacturing</t>
        </is>
      </c>
      <c r="CK92" t="n">
        <v>317</v>
      </c>
      <c r="DO92" t="n">
        <v>21</v>
      </c>
      <c r="DQ92" t="n">
        <v>1</v>
      </c>
      <c r="KM92" t="n">
        <v>4</v>
      </c>
      <c r="KN92" t="n">
        <v>11</v>
      </c>
      <c r="KP92" t="n">
        <v>20</v>
      </c>
      <c r="KQ92" t="n">
        <v>8</v>
      </c>
      <c r="KR92" t="n">
        <v>37</v>
      </c>
      <c r="KS92" t="n">
        <v>31</v>
      </c>
      <c r="KT92" t="n">
        <v>7</v>
      </c>
      <c r="KU92" t="n">
        <v>98</v>
      </c>
      <c r="KV92" t="n">
        <v>41</v>
      </c>
      <c r="KW92" t="n">
        <v>26</v>
      </c>
      <c r="KY92" t="n">
        <v>6</v>
      </c>
      <c r="KZ92" t="n">
        <v>34</v>
      </c>
      <c r="LA92" t="n">
        <v>372</v>
      </c>
      <c r="LB92" t="n">
        <v>34</v>
      </c>
      <c r="LT92" t="n">
        <v>257</v>
      </c>
      <c r="LW92" t="n">
        <v>43</v>
      </c>
      <c r="LZ92" t="n">
        <v>119</v>
      </c>
      <c r="MF92" t="n">
        <v>3</v>
      </c>
      <c r="OK92" t="n">
        <v>4</v>
      </c>
      <c r="OO92" t="n">
        <v>1492</v>
      </c>
      <c r="OQ92" t="n">
        <v>6564</v>
      </c>
      <c r="OU92" t="n">
        <v>365</v>
      </c>
      <c r="OV92" t="n">
        <v>13639</v>
      </c>
      <c r="PI92" t="n">
        <v>22060</v>
      </c>
      <c r="PM92">
        <f>IFERROR(VLOOKUP($A92&amp;"",Key!$A:$C,3,FALSE),"")</f>
        <v/>
      </c>
    </row>
    <row r="93">
      <c r="A93" t="inlineStr">
        <is>
          <t>33329A</t>
        </is>
      </c>
      <c r="B93" t="inlineStr">
        <is>
          <t>Other industrial machinery manufacturing</t>
        </is>
      </c>
      <c r="H93" t="n">
        <v>12</v>
      </c>
      <c r="AC93" t="n">
        <v>7</v>
      </c>
      <c r="AD93" t="n">
        <v>8</v>
      </c>
      <c r="BF93" t="n">
        <v>0</v>
      </c>
      <c r="BK93" t="n">
        <v>48</v>
      </c>
      <c r="BL93" t="n">
        <v>126</v>
      </c>
      <c r="CL93" t="n">
        <v>894</v>
      </c>
      <c r="DP93" t="n">
        <v>160</v>
      </c>
      <c r="FR93" t="n">
        <v>6</v>
      </c>
      <c r="FS93" t="n">
        <v>4</v>
      </c>
      <c r="FY93" t="n">
        <v>0</v>
      </c>
      <c r="GU93" t="n">
        <v>138</v>
      </c>
      <c r="HM93" t="n">
        <v>1</v>
      </c>
      <c r="HU93" t="n">
        <v>228</v>
      </c>
      <c r="HV93" t="n">
        <v>355</v>
      </c>
      <c r="IB93" t="n">
        <v>773</v>
      </c>
      <c r="IC93" t="n">
        <v>14</v>
      </c>
      <c r="IH93" t="n">
        <v>136</v>
      </c>
      <c r="II93" t="n">
        <v>52</v>
      </c>
      <c r="IJ93" t="n">
        <v>149</v>
      </c>
      <c r="IK93" t="n">
        <v>586</v>
      </c>
      <c r="IL93" t="n">
        <v>286</v>
      </c>
      <c r="IM93" t="n">
        <v>189</v>
      </c>
      <c r="IU93" t="n">
        <v>394</v>
      </c>
      <c r="IZ93" t="n">
        <v>128</v>
      </c>
      <c r="JA93" t="n">
        <v>64</v>
      </c>
      <c r="JB93" t="n">
        <v>146</v>
      </c>
      <c r="JC93" t="n">
        <v>10</v>
      </c>
      <c r="JE93" t="n">
        <v>5</v>
      </c>
      <c r="JF93" t="n">
        <v>36</v>
      </c>
      <c r="JG93" t="n">
        <v>431</v>
      </c>
      <c r="JN93" t="n">
        <v>362</v>
      </c>
      <c r="JT93" t="n">
        <v>2</v>
      </c>
      <c r="JV93" t="n">
        <v>0</v>
      </c>
      <c r="JW93" t="n">
        <v>0</v>
      </c>
      <c r="JX93" t="n">
        <v>6</v>
      </c>
      <c r="KA93" t="n">
        <v>0</v>
      </c>
      <c r="KB93" t="n">
        <v>278</v>
      </c>
      <c r="KM93" t="n">
        <v>2</v>
      </c>
      <c r="KO93" t="n">
        <v>0</v>
      </c>
      <c r="KR93" t="n">
        <v>1</v>
      </c>
      <c r="KW93" t="n">
        <v>0</v>
      </c>
      <c r="KZ93" t="n">
        <v>0</v>
      </c>
      <c r="LO93" t="n">
        <v>14</v>
      </c>
      <c r="LS93" t="n">
        <v>0</v>
      </c>
      <c r="LT93" t="n">
        <v>0</v>
      </c>
      <c r="LU93" t="n">
        <v>0</v>
      </c>
      <c r="LX93" t="n">
        <v>0</v>
      </c>
      <c r="LZ93" t="n">
        <v>39</v>
      </c>
      <c r="MB93" t="n">
        <v>183</v>
      </c>
      <c r="MF93" t="n">
        <v>3</v>
      </c>
      <c r="MI93" t="n">
        <v>0</v>
      </c>
      <c r="MJ93" t="n">
        <v>0</v>
      </c>
      <c r="MK93" t="n">
        <v>0</v>
      </c>
      <c r="MN93" t="n">
        <v>0</v>
      </c>
      <c r="MS93" t="n">
        <v>1</v>
      </c>
      <c r="MU93" t="n">
        <v>0</v>
      </c>
      <c r="NN93" t="n">
        <v>1</v>
      </c>
      <c r="NO93" t="n">
        <v>36</v>
      </c>
      <c r="NP93" t="n">
        <v>106</v>
      </c>
      <c r="NQ93" t="n">
        <v>22</v>
      </c>
      <c r="NV93" t="n">
        <v>8</v>
      </c>
      <c r="NX93" t="n">
        <v>2</v>
      </c>
      <c r="NY93" t="n">
        <v>4</v>
      </c>
      <c r="OB93" t="n">
        <v>47</v>
      </c>
      <c r="OE93" t="n">
        <v>0</v>
      </c>
      <c r="OI93" t="n">
        <v>130</v>
      </c>
      <c r="ON93" t="n">
        <v>62</v>
      </c>
      <c r="OO93" t="n">
        <v>6697</v>
      </c>
      <c r="OP93" t="n">
        <v>1033</v>
      </c>
      <c r="OQ93" t="n">
        <v>30737</v>
      </c>
      <c r="OU93" t="n">
        <v>253</v>
      </c>
      <c r="OV93" t="n">
        <v>11580</v>
      </c>
      <c r="OX93" t="n">
        <v>24</v>
      </c>
      <c r="PB93" t="n">
        <v>50</v>
      </c>
      <c r="PF93" t="n">
        <v>330</v>
      </c>
      <c r="PI93" t="n">
        <v>50703</v>
      </c>
      <c r="PM93">
        <f>IFERROR(VLOOKUP($A93&amp;"",Key!$A:$C,3,FALSE),"")</f>
        <v/>
      </c>
    </row>
    <row r="94">
      <c r="A94" t="n">
        <v>333314</v>
      </c>
      <c r="B94" t="inlineStr">
        <is>
          <t>Optical instrument and lens manufacturing</t>
        </is>
      </c>
      <c r="AC94" t="n">
        <v>34</v>
      </c>
      <c r="AD94" t="n">
        <v>31</v>
      </c>
      <c r="CM94" t="n">
        <v>662</v>
      </c>
      <c r="CN94" t="n">
        <v>125</v>
      </c>
      <c r="CU94" t="n">
        <v>0</v>
      </c>
      <c r="CV94" t="n">
        <v>1</v>
      </c>
      <c r="DO94" t="n">
        <v>0</v>
      </c>
      <c r="DP94" t="n">
        <v>1</v>
      </c>
      <c r="DQ94" t="n">
        <v>11</v>
      </c>
      <c r="DT94" t="n">
        <v>0</v>
      </c>
      <c r="DU94" t="n">
        <v>5</v>
      </c>
      <c r="DV94" t="n">
        <v>2</v>
      </c>
      <c r="DW94" t="n">
        <v>3</v>
      </c>
      <c r="DX94" t="n">
        <v>21</v>
      </c>
      <c r="DZ94" t="n">
        <v>6</v>
      </c>
      <c r="EP94" t="n">
        <v>391</v>
      </c>
      <c r="FY94" t="n">
        <v>467</v>
      </c>
      <c r="GA94" t="n">
        <v>76</v>
      </c>
      <c r="IZ94" t="n">
        <v>52</v>
      </c>
      <c r="LL94" t="n">
        <v>0</v>
      </c>
      <c r="LZ94" t="n">
        <v>0</v>
      </c>
      <c r="MF94" t="n">
        <v>0</v>
      </c>
      <c r="MU94" t="n">
        <v>34</v>
      </c>
      <c r="MW94" t="n">
        <v>265</v>
      </c>
      <c r="OO94" t="n">
        <v>2189</v>
      </c>
      <c r="OP94" t="n">
        <v>45</v>
      </c>
      <c r="OQ94" t="n">
        <v>5797</v>
      </c>
      <c r="OU94" t="n">
        <v>71</v>
      </c>
      <c r="OV94" t="n">
        <v>4279</v>
      </c>
      <c r="OX94" t="n">
        <v>558</v>
      </c>
      <c r="PF94" t="n">
        <v>63</v>
      </c>
      <c r="PI94" t="n">
        <v>13002</v>
      </c>
      <c r="PM94">
        <f>IFERROR(VLOOKUP($A94&amp;"",Key!$A:$C,3,FALSE),"")</f>
        <v/>
      </c>
    </row>
    <row r="95">
      <c r="A95" t="n">
        <v>333316</v>
      </c>
      <c r="B95" t="inlineStr">
        <is>
          <t>Photographic and photocopying equipment manufacturing</t>
        </is>
      </c>
      <c r="CN95" t="n">
        <v>11</v>
      </c>
      <c r="IB95" t="n">
        <v>1</v>
      </c>
      <c r="IC95" t="n">
        <v>24</v>
      </c>
      <c r="KW95" t="n">
        <v>3</v>
      </c>
      <c r="KX95" t="n">
        <v>24</v>
      </c>
      <c r="LP95" t="n">
        <v>0</v>
      </c>
      <c r="MK95" t="n">
        <v>66</v>
      </c>
      <c r="MM95" t="n">
        <v>17</v>
      </c>
      <c r="MP95" t="n">
        <v>2</v>
      </c>
      <c r="NS95" t="n">
        <v>62</v>
      </c>
      <c r="NY95" t="n">
        <v>275</v>
      </c>
      <c r="OK95" t="n">
        <v>1</v>
      </c>
      <c r="OO95" t="n">
        <v>485</v>
      </c>
      <c r="OP95" t="n">
        <v>1279</v>
      </c>
      <c r="OQ95" t="n">
        <v>1641</v>
      </c>
      <c r="OU95" t="n">
        <v>-34</v>
      </c>
      <c r="OV95" t="n">
        <v>464</v>
      </c>
      <c r="OX95" t="n">
        <v>4</v>
      </c>
      <c r="PB95" t="n">
        <v>1</v>
      </c>
      <c r="PF95" t="n">
        <v>247</v>
      </c>
      <c r="PI95" t="n">
        <v>4088</v>
      </c>
      <c r="PM95">
        <f>IFERROR(VLOOKUP($A95&amp;"",Key!$A:$C,3,FALSE),"")</f>
        <v/>
      </c>
    </row>
    <row r="96">
      <c r="A96" t="n">
        <v>333318</v>
      </c>
      <c r="B96" t="inlineStr">
        <is>
          <t>Other commercial and service industry machinery manufacturing</t>
        </is>
      </c>
      <c r="P96" t="n">
        <v>76</v>
      </c>
      <c r="Q96" t="n">
        <v>0</v>
      </c>
      <c r="R96" t="n">
        <v>0</v>
      </c>
      <c r="S96" t="n">
        <v>1</v>
      </c>
      <c r="T96" t="n">
        <v>0</v>
      </c>
      <c r="U96" t="n">
        <v>1</v>
      </c>
      <c r="V96" t="n">
        <v>0</v>
      </c>
      <c r="W96" t="n">
        <v>1</v>
      </c>
      <c r="X96" t="n">
        <v>2</v>
      </c>
      <c r="Y96" t="n">
        <v>0</v>
      </c>
      <c r="Z96" t="n">
        <v>0</v>
      </c>
      <c r="AA96" t="n">
        <v>2</v>
      </c>
      <c r="AB96" t="n">
        <v>1</v>
      </c>
      <c r="AC96" t="n">
        <v>5</v>
      </c>
      <c r="AD96" t="n">
        <v>2</v>
      </c>
      <c r="AE96" t="n">
        <v>140</v>
      </c>
      <c r="AF96" t="n">
        <v>2</v>
      </c>
      <c r="AG96" t="n">
        <v>5</v>
      </c>
      <c r="AH96" t="n">
        <v>31</v>
      </c>
      <c r="AI96" t="n">
        <v>3176</v>
      </c>
      <c r="AJ96" t="n">
        <v>3</v>
      </c>
      <c r="AK96" t="n">
        <v>1033</v>
      </c>
      <c r="AL96" t="n">
        <v>2</v>
      </c>
      <c r="AM96" t="n">
        <v>0</v>
      </c>
      <c r="AN96" t="n">
        <v>1</v>
      </c>
      <c r="AO96" t="n">
        <v>0</v>
      </c>
      <c r="AP96" t="n">
        <v>1</v>
      </c>
      <c r="AQ96" t="n">
        <v>0</v>
      </c>
      <c r="AR96" t="n">
        <v>1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1</v>
      </c>
      <c r="BD96" t="n">
        <v>1</v>
      </c>
      <c r="BE96" t="n">
        <v>1</v>
      </c>
      <c r="BF96" t="n">
        <v>0</v>
      </c>
      <c r="BG96" t="n">
        <v>1</v>
      </c>
      <c r="BH96" t="n">
        <v>0</v>
      </c>
      <c r="BI96" t="n">
        <v>0</v>
      </c>
      <c r="BJ96" t="n">
        <v>1</v>
      </c>
      <c r="BK96" t="n">
        <v>2</v>
      </c>
      <c r="BL96" t="n">
        <v>4</v>
      </c>
      <c r="BM96" t="n">
        <v>0</v>
      </c>
      <c r="BN96" t="n">
        <v>1</v>
      </c>
      <c r="BO96" t="n">
        <v>1</v>
      </c>
      <c r="BP96" t="n">
        <v>2</v>
      </c>
      <c r="BQ96" t="n">
        <v>2</v>
      </c>
      <c r="BR96" t="n">
        <v>297</v>
      </c>
      <c r="BS96" t="n">
        <v>1</v>
      </c>
      <c r="BT96" t="n">
        <v>1</v>
      </c>
      <c r="BU96" t="n">
        <v>1</v>
      </c>
      <c r="BV96" t="n">
        <v>3</v>
      </c>
      <c r="BW96" t="n">
        <v>1</v>
      </c>
      <c r="BX96" t="n">
        <v>14</v>
      </c>
      <c r="BY96" t="n">
        <v>12</v>
      </c>
      <c r="BZ96" t="n">
        <v>10</v>
      </c>
      <c r="CA96" t="n">
        <v>1</v>
      </c>
      <c r="CB96" t="n">
        <v>7</v>
      </c>
      <c r="CC96" t="n">
        <v>3</v>
      </c>
      <c r="CD96" t="n">
        <v>1</v>
      </c>
      <c r="CE96" t="n">
        <v>2</v>
      </c>
      <c r="CF96" t="n">
        <v>2</v>
      </c>
      <c r="CG96" t="n">
        <v>1</v>
      </c>
      <c r="CH96" t="n">
        <v>1</v>
      </c>
      <c r="CI96" t="n">
        <v>3</v>
      </c>
      <c r="CJ96" t="n">
        <v>3</v>
      </c>
      <c r="CK96" t="n">
        <v>3</v>
      </c>
      <c r="CL96" t="n">
        <v>33</v>
      </c>
      <c r="CM96" t="n">
        <v>0</v>
      </c>
      <c r="CN96" t="n">
        <v>0</v>
      </c>
      <c r="CO96" t="n">
        <v>43</v>
      </c>
      <c r="CP96" t="n">
        <v>0</v>
      </c>
      <c r="CQ96" t="n">
        <v>4</v>
      </c>
      <c r="CR96" t="n">
        <v>2</v>
      </c>
      <c r="CS96" t="n">
        <v>4</v>
      </c>
      <c r="CT96" t="n">
        <v>11</v>
      </c>
      <c r="CU96" t="n">
        <v>7</v>
      </c>
      <c r="CV96" t="n">
        <v>3</v>
      </c>
      <c r="CW96" t="n">
        <v>8</v>
      </c>
      <c r="CX96" t="n">
        <v>1</v>
      </c>
      <c r="CY96" t="n">
        <v>2</v>
      </c>
      <c r="CZ96" t="n">
        <v>1</v>
      </c>
      <c r="DA96" t="n">
        <v>4</v>
      </c>
      <c r="DB96" t="n">
        <v>14</v>
      </c>
      <c r="DC96" t="n">
        <v>11</v>
      </c>
      <c r="DD96" t="n">
        <v>1</v>
      </c>
      <c r="DE96" t="n">
        <v>2</v>
      </c>
      <c r="DF96" t="n">
        <v>0</v>
      </c>
      <c r="DG96" t="n">
        <v>8</v>
      </c>
      <c r="DH96" t="n">
        <v>31</v>
      </c>
      <c r="DI96" t="n">
        <v>0</v>
      </c>
      <c r="DJ96" t="n">
        <v>0</v>
      </c>
      <c r="DK96" t="n">
        <v>0</v>
      </c>
      <c r="DL96" t="n">
        <v>0</v>
      </c>
      <c r="DM96" t="n">
        <v>3</v>
      </c>
      <c r="DN96" t="n">
        <v>0</v>
      </c>
      <c r="DO96" t="n">
        <v>0</v>
      </c>
      <c r="DP96" t="n">
        <v>0</v>
      </c>
      <c r="DQ96" t="n">
        <v>1</v>
      </c>
      <c r="DR96" t="n">
        <v>0</v>
      </c>
      <c r="DS96" t="n">
        <v>2</v>
      </c>
      <c r="DT96" t="n">
        <v>0</v>
      </c>
      <c r="DU96" t="n">
        <v>1</v>
      </c>
      <c r="DV96" t="n">
        <v>2</v>
      </c>
      <c r="DW96" t="n">
        <v>2</v>
      </c>
      <c r="DX96" t="n">
        <v>1</v>
      </c>
      <c r="DY96" t="n">
        <v>0</v>
      </c>
      <c r="DZ96" t="n">
        <v>4</v>
      </c>
      <c r="EA96" t="n">
        <v>0</v>
      </c>
      <c r="EB96" t="n">
        <v>0</v>
      </c>
      <c r="EC96" t="n">
        <v>0</v>
      </c>
      <c r="ED96" t="n">
        <v>0</v>
      </c>
      <c r="EE96" t="n">
        <v>1</v>
      </c>
      <c r="EF96" t="n">
        <v>0</v>
      </c>
      <c r="EG96" t="n">
        <v>0</v>
      </c>
      <c r="EH96" t="n">
        <v>0</v>
      </c>
      <c r="EI96" t="n">
        <v>0</v>
      </c>
      <c r="EJ96" t="n">
        <v>1</v>
      </c>
      <c r="EK96" t="n">
        <v>0</v>
      </c>
      <c r="EL96" t="n">
        <v>0</v>
      </c>
      <c r="EM96" t="n">
        <v>0</v>
      </c>
      <c r="EN96" t="n">
        <v>7</v>
      </c>
      <c r="EO96" t="n">
        <v>0</v>
      </c>
      <c r="EP96" t="n">
        <v>1</v>
      </c>
      <c r="EQ96" t="n">
        <v>0</v>
      </c>
      <c r="ER96" t="n">
        <v>0</v>
      </c>
      <c r="ES96" t="n">
        <v>0</v>
      </c>
      <c r="ET96" t="n">
        <v>3</v>
      </c>
      <c r="EU96" t="n">
        <v>0</v>
      </c>
      <c r="EV96" t="n">
        <v>0</v>
      </c>
      <c r="EW96" t="n">
        <v>0</v>
      </c>
      <c r="EX96" t="n">
        <v>16</v>
      </c>
      <c r="EY96" t="n">
        <v>0</v>
      </c>
      <c r="EZ96" t="n">
        <v>26</v>
      </c>
      <c r="FA96" t="n">
        <v>0</v>
      </c>
      <c r="FB96" t="n">
        <v>2</v>
      </c>
      <c r="FC96" t="n">
        <v>38</v>
      </c>
      <c r="FD96" t="n">
        <v>1</v>
      </c>
      <c r="FE96" t="n">
        <v>6</v>
      </c>
      <c r="FF96" t="n">
        <v>0</v>
      </c>
      <c r="FG96" t="n">
        <v>0</v>
      </c>
      <c r="FH96" t="n">
        <v>0</v>
      </c>
      <c r="FI96" t="n">
        <v>1</v>
      </c>
      <c r="FJ96" t="n">
        <v>1</v>
      </c>
      <c r="FK96" t="n">
        <v>2</v>
      </c>
      <c r="FL96" t="n">
        <v>1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0</v>
      </c>
      <c r="FV96" t="n">
        <v>1</v>
      </c>
      <c r="FW96" t="n">
        <v>1</v>
      </c>
      <c r="FX96" t="n">
        <v>6</v>
      </c>
      <c r="FY96" t="n">
        <v>4</v>
      </c>
      <c r="FZ96" t="n">
        <v>0</v>
      </c>
      <c r="GA96" t="n">
        <v>1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8</v>
      </c>
      <c r="GH96" t="n">
        <v>6</v>
      </c>
      <c r="GI96" t="n">
        <v>0</v>
      </c>
      <c r="GJ96" t="n">
        <v>0</v>
      </c>
      <c r="GK96" t="n">
        <v>0</v>
      </c>
      <c r="GL96" t="n">
        <v>0</v>
      </c>
      <c r="GM96" t="n">
        <v>0</v>
      </c>
      <c r="GN96" t="n">
        <v>0</v>
      </c>
      <c r="GO96" t="n">
        <v>0</v>
      </c>
      <c r="GP96" t="n">
        <v>1</v>
      </c>
      <c r="GQ96" t="n">
        <v>0</v>
      </c>
      <c r="GR96" t="n">
        <v>1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1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2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1</v>
      </c>
      <c r="HN96" t="n">
        <v>0</v>
      </c>
      <c r="HO96" t="n">
        <v>0</v>
      </c>
      <c r="HP96" t="n">
        <v>0</v>
      </c>
      <c r="HQ96" t="n">
        <v>1</v>
      </c>
      <c r="HR96" t="n">
        <v>1</v>
      </c>
      <c r="HS96" t="n">
        <v>0</v>
      </c>
      <c r="HT96" t="n">
        <v>0</v>
      </c>
      <c r="HU96" t="n">
        <v>0</v>
      </c>
      <c r="HV96" t="n">
        <v>0</v>
      </c>
      <c r="HW96" t="n">
        <v>1</v>
      </c>
      <c r="HX96" t="n">
        <v>0</v>
      </c>
      <c r="HY96" t="n">
        <v>0</v>
      </c>
      <c r="HZ96" t="n">
        <v>0</v>
      </c>
      <c r="IA96" t="n">
        <v>0</v>
      </c>
      <c r="IB96" t="n">
        <v>1</v>
      </c>
      <c r="IC96" t="n">
        <v>0</v>
      </c>
      <c r="ID96" t="n">
        <v>0</v>
      </c>
      <c r="IE96" t="n">
        <v>0</v>
      </c>
      <c r="IF96" t="n">
        <v>0</v>
      </c>
      <c r="IG96" t="n">
        <v>1</v>
      </c>
      <c r="IH96" t="n">
        <v>1</v>
      </c>
      <c r="II96" t="n">
        <v>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1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1</v>
      </c>
      <c r="JA96" t="n">
        <v>1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Q96" t="n">
        <v>3</v>
      </c>
      <c r="JV96" t="n">
        <v>10</v>
      </c>
      <c r="JW96" t="n">
        <v>8</v>
      </c>
      <c r="JX96" t="n">
        <v>17</v>
      </c>
      <c r="JY96" t="n">
        <v>5</v>
      </c>
      <c r="JZ96" t="n">
        <v>0</v>
      </c>
      <c r="KA96" t="n">
        <v>11</v>
      </c>
      <c r="KD96" t="n">
        <v>0</v>
      </c>
      <c r="KG96" t="n">
        <v>21</v>
      </c>
      <c r="KH96" t="n">
        <v>23</v>
      </c>
      <c r="KK96" t="n">
        <v>3726</v>
      </c>
      <c r="KL96" t="n">
        <v>0</v>
      </c>
      <c r="KM96" t="n">
        <v>75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1</v>
      </c>
      <c r="KT96" t="n">
        <v>0</v>
      </c>
      <c r="KU96" t="n">
        <v>2</v>
      </c>
      <c r="KV96" t="n">
        <v>1</v>
      </c>
      <c r="KW96" t="n">
        <v>38</v>
      </c>
      <c r="KX96" t="n">
        <v>228</v>
      </c>
      <c r="KY96" t="n">
        <v>9</v>
      </c>
      <c r="KZ96" t="n">
        <v>1</v>
      </c>
      <c r="LA96" t="n">
        <v>1</v>
      </c>
      <c r="LB96" t="n">
        <v>0</v>
      </c>
      <c r="LH96" t="n">
        <v>627</v>
      </c>
      <c r="LM96" t="n">
        <v>70</v>
      </c>
      <c r="LP96" t="n">
        <v>0</v>
      </c>
      <c r="LV96" t="n">
        <v>81</v>
      </c>
      <c r="LZ96" t="n">
        <v>8</v>
      </c>
      <c r="MA96" t="n">
        <v>2</v>
      </c>
      <c r="ME96" t="n">
        <v>2</v>
      </c>
      <c r="MF96" t="n">
        <v>196</v>
      </c>
      <c r="MG96" t="n">
        <v>0</v>
      </c>
      <c r="MH96" t="n">
        <v>59</v>
      </c>
      <c r="ML96" t="n">
        <v>459</v>
      </c>
      <c r="MP96" t="n">
        <v>1056</v>
      </c>
      <c r="MR96" t="n">
        <v>114</v>
      </c>
      <c r="MS96" t="n">
        <v>3</v>
      </c>
      <c r="MZ96" t="n">
        <v>7</v>
      </c>
      <c r="NC96" t="n">
        <v>1</v>
      </c>
      <c r="NN96" t="n">
        <v>0</v>
      </c>
      <c r="NO96" t="n">
        <v>0</v>
      </c>
      <c r="NP96" t="n">
        <v>0</v>
      </c>
      <c r="NQ96" t="n">
        <v>0</v>
      </c>
      <c r="NR96" t="n">
        <v>20</v>
      </c>
      <c r="NT96" t="n">
        <v>623</v>
      </c>
      <c r="NX96" t="n">
        <v>100</v>
      </c>
      <c r="NY96" t="n">
        <v>203</v>
      </c>
      <c r="OD96" t="n">
        <v>0</v>
      </c>
      <c r="OE96" t="n">
        <v>5</v>
      </c>
      <c r="OF96" t="n">
        <v>64</v>
      </c>
      <c r="OG96" t="n">
        <v>2</v>
      </c>
      <c r="OH96" t="n">
        <v>1</v>
      </c>
      <c r="OI96" t="n">
        <v>756</v>
      </c>
      <c r="OJ96" t="n">
        <v>144</v>
      </c>
      <c r="OK96" t="n">
        <v>64</v>
      </c>
      <c r="OL96" t="n">
        <v>16</v>
      </c>
      <c r="OM96" t="n">
        <v>4</v>
      </c>
      <c r="ON96" t="n">
        <v>1</v>
      </c>
      <c r="OO96" t="n">
        <v>14115</v>
      </c>
      <c r="OP96" t="n">
        <v>346</v>
      </c>
      <c r="OQ96" t="n">
        <v>19273</v>
      </c>
      <c r="OU96" t="n">
        <v>562</v>
      </c>
      <c r="OV96" t="n">
        <v>2197</v>
      </c>
      <c r="OX96" t="n">
        <v>377</v>
      </c>
      <c r="PB96" t="n">
        <v>21</v>
      </c>
      <c r="PF96" t="n">
        <v>871</v>
      </c>
      <c r="PI96" t="n">
        <v>37762</v>
      </c>
      <c r="PM96">
        <f>IFERROR(VLOOKUP($A96&amp;"",Key!$A:$C,3,FALSE),"")</f>
        <v/>
      </c>
    </row>
    <row r="97">
      <c r="A97" t="n">
        <v>333414</v>
      </c>
      <c r="B97" t="inlineStr">
        <is>
          <t>Heating equipment (except warm air furnaces) manufacturing</t>
        </is>
      </c>
      <c r="D97" t="n">
        <v>0</v>
      </c>
      <c r="I97" t="n">
        <v>0</v>
      </c>
      <c r="AA97" t="n">
        <v>143</v>
      </c>
      <c r="AB97" t="n">
        <v>507</v>
      </c>
      <c r="AC97" t="n">
        <v>565</v>
      </c>
      <c r="AD97" t="n">
        <v>272</v>
      </c>
      <c r="AE97" t="n">
        <v>594</v>
      </c>
      <c r="AF97" t="n">
        <v>189</v>
      </c>
      <c r="AG97" t="n">
        <v>900</v>
      </c>
      <c r="AH97" t="n">
        <v>238</v>
      </c>
      <c r="AI97" t="n">
        <v>339</v>
      </c>
      <c r="AJ97" t="n">
        <v>29</v>
      </c>
      <c r="AK97" t="n">
        <v>684</v>
      </c>
      <c r="AL97" t="n">
        <v>206</v>
      </c>
      <c r="AO97" t="n">
        <v>9</v>
      </c>
      <c r="AP97" t="n">
        <v>17</v>
      </c>
      <c r="CP97" t="n">
        <v>253</v>
      </c>
      <c r="CQ97" t="n">
        <v>438</v>
      </c>
      <c r="EV97" t="n">
        <v>1</v>
      </c>
      <c r="EW97" t="n">
        <v>26</v>
      </c>
      <c r="FC97" t="n">
        <v>1</v>
      </c>
      <c r="IE97" t="n">
        <v>6</v>
      </c>
      <c r="IM97" t="n">
        <v>32</v>
      </c>
      <c r="JG97" t="n">
        <v>0</v>
      </c>
      <c r="KB97" t="n">
        <v>0</v>
      </c>
      <c r="KW97" t="n">
        <v>16</v>
      </c>
      <c r="KX97" t="n">
        <v>112</v>
      </c>
      <c r="KZ97" t="n">
        <v>9</v>
      </c>
      <c r="LC97" t="n">
        <v>0</v>
      </c>
      <c r="LD97" t="n">
        <v>0</v>
      </c>
      <c r="LE97" t="n">
        <v>0</v>
      </c>
      <c r="LF97" t="n">
        <v>0</v>
      </c>
      <c r="LK97" t="n">
        <v>0</v>
      </c>
      <c r="LL97" t="n">
        <v>0</v>
      </c>
      <c r="LM97" t="n">
        <v>1</v>
      </c>
      <c r="LW97" t="n">
        <v>152</v>
      </c>
      <c r="LZ97" t="n">
        <v>33</v>
      </c>
      <c r="MF97" t="n">
        <v>3</v>
      </c>
      <c r="MH97" t="n">
        <v>9</v>
      </c>
      <c r="MO97" t="n">
        <v>199</v>
      </c>
      <c r="MP97" t="n">
        <v>124</v>
      </c>
      <c r="MQ97" t="n">
        <v>212</v>
      </c>
      <c r="MS97" t="n">
        <v>25</v>
      </c>
      <c r="MZ97" t="n">
        <v>22</v>
      </c>
      <c r="NC97" t="n">
        <v>1</v>
      </c>
      <c r="ND97" t="n">
        <v>0</v>
      </c>
      <c r="NE97" t="n">
        <v>3</v>
      </c>
      <c r="NF97" t="n">
        <v>0</v>
      </c>
      <c r="NM97" t="n">
        <v>2</v>
      </c>
      <c r="NN97" t="n">
        <v>2</v>
      </c>
      <c r="NO97" t="n">
        <v>0</v>
      </c>
      <c r="NP97" t="n">
        <v>14</v>
      </c>
      <c r="NQ97" t="n">
        <v>5</v>
      </c>
      <c r="NZ97" t="n">
        <v>0</v>
      </c>
      <c r="OD97" t="n">
        <v>1</v>
      </c>
      <c r="OE97" t="n">
        <v>1</v>
      </c>
      <c r="OK97" t="n">
        <v>129</v>
      </c>
      <c r="ON97" t="n">
        <v>11</v>
      </c>
      <c r="OO97" t="n">
        <v>6539</v>
      </c>
      <c r="OP97" t="n">
        <v>2528</v>
      </c>
      <c r="OQ97" t="n">
        <v>103</v>
      </c>
      <c r="OU97" t="n">
        <v>64</v>
      </c>
      <c r="OV97" t="n">
        <v>444</v>
      </c>
      <c r="PF97" t="n">
        <v>0</v>
      </c>
      <c r="PI97" t="n">
        <v>9678</v>
      </c>
      <c r="PM97">
        <f>IFERROR(VLOOKUP($A97&amp;"",Key!$A:$C,3,FALSE),"")</f>
        <v/>
      </c>
    </row>
    <row r="98">
      <c r="A98" t="n">
        <v>333415</v>
      </c>
      <c r="B98" t="inlineStr">
        <is>
          <t>Air conditioning, refrigeration, and warm air heating equipment manufacturing</t>
        </is>
      </c>
      <c r="P98" t="n">
        <v>11</v>
      </c>
      <c r="Z98" t="n">
        <v>0</v>
      </c>
      <c r="AA98" t="n">
        <v>326</v>
      </c>
      <c r="AB98" t="n">
        <v>2151</v>
      </c>
      <c r="AC98" t="n">
        <v>2857</v>
      </c>
      <c r="AD98" t="n">
        <v>1375</v>
      </c>
      <c r="AE98" t="n">
        <v>2852</v>
      </c>
      <c r="AF98" t="n">
        <v>774</v>
      </c>
      <c r="AG98" t="n">
        <v>3452</v>
      </c>
      <c r="AH98" t="n">
        <v>403</v>
      </c>
      <c r="AI98" t="n">
        <v>986</v>
      </c>
      <c r="AJ98" t="n">
        <v>284</v>
      </c>
      <c r="AK98" t="n">
        <v>2480</v>
      </c>
      <c r="AL98" t="n">
        <v>509</v>
      </c>
      <c r="AM98" t="n">
        <v>1</v>
      </c>
      <c r="AO98" t="n">
        <v>60</v>
      </c>
      <c r="AP98" t="n">
        <v>159</v>
      </c>
      <c r="AR98" t="n">
        <v>5</v>
      </c>
      <c r="AT98" t="n">
        <v>3</v>
      </c>
      <c r="BC98" t="n">
        <v>10</v>
      </c>
      <c r="BF98" t="n">
        <v>0</v>
      </c>
      <c r="BG98" t="n">
        <v>0</v>
      </c>
      <c r="BH98" t="n">
        <v>9</v>
      </c>
      <c r="BJ98" t="n">
        <v>0</v>
      </c>
      <c r="BK98" t="n">
        <v>0</v>
      </c>
      <c r="BL98" t="n">
        <v>1</v>
      </c>
      <c r="BM98" t="n">
        <v>5</v>
      </c>
      <c r="BO98" t="n">
        <v>6</v>
      </c>
      <c r="BP98" t="n">
        <v>1</v>
      </c>
      <c r="BQ98" t="n">
        <v>21</v>
      </c>
      <c r="BR98" t="n">
        <v>48</v>
      </c>
      <c r="BS98" t="n">
        <v>2</v>
      </c>
      <c r="BT98" t="n">
        <v>6</v>
      </c>
      <c r="BV98" t="n">
        <v>0</v>
      </c>
      <c r="BW98" t="n">
        <v>0</v>
      </c>
      <c r="BX98" t="n">
        <v>2</v>
      </c>
      <c r="BY98" t="n">
        <v>3</v>
      </c>
      <c r="BZ98" t="n">
        <v>2</v>
      </c>
      <c r="CB98" t="n">
        <v>2</v>
      </c>
      <c r="CD98" t="n">
        <v>1</v>
      </c>
      <c r="CF98" t="n">
        <v>6</v>
      </c>
      <c r="CG98" t="n">
        <v>5</v>
      </c>
      <c r="CH98" t="n">
        <v>4</v>
      </c>
      <c r="CI98" t="n">
        <v>3</v>
      </c>
      <c r="CL98" t="n">
        <v>4</v>
      </c>
      <c r="CN98" t="n">
        <v>0</v>
      </c>
      <c r="CO98" t="n">
        <v>121</v>
      </c>
      <c r="CP98" t="n">
        <v>1</v>
      </c>
      <c r="CQ98" t="n">
        <v>4551</v>
      </c>
      <c r="CR98" t="n">
        <v>3</v>
      </c>
      <c r="CT98" t="n">
        <v>1</v>
      </c>
      <c r="CU98" t="n">
        <v>1</v>
      </c>
      <c r="CW98" t="n">
        <v>2</v>
      </c>
      <c r="CX98" t="n">
        <v>0</v>
      </c>
      <c r="CY98" t="n">
        <v>0</v>
      </c>
      <c r="CZ98" t="n">
        <v>46</v>
      </c>
      <c r="DA98" t="n">
        <v>0</v>
      </c>
      <c r="DB98" t="n">
        <v>0</v>
      </c>
      <c r="DC98" t="n">
        <v>7</v>
      </c>
      <c r="DG98" t="n">
        <v>2</v>
      </c>
      <c r="DL98" t="n">
        <v>0</v>
      </c>
      <c r="DM98" t="n">
        <v>1</v>
      </c>
      <c r="DO98" t="n">
        <v>0</v>
      </c>
      <c r="DP98" t="n">
        <v>2</v>
      </c>
      <c r="DQ98" t="n">
        <v>3</v>
      </c>
      <c r="DR98" t="n">
        <v>2</v>
      </c>
      <c r="DS98" t="n">
        <v>1</v>
      </c>
      <c r="DU98" t="n">
        <v>0</v>
      </c>
      <c r="DX98" t="n">
        <v>0</v>
      </c>
      <c r="DZ98" t="n">
        <v>0</v>
      </c>
      <c r="EA98" t="n">
        <v>1</v>
      </c>
      <c r="ED98" t="n">
        <v>26</v>
      </c>
      <c r="EF98" t="n">
        <v>181</v>
      </c>
      <c r="EH98" t="n">
        <v>5</v>
      </c>
      <c r="EI98" t="n">
        <v>1</v>
      </c>
      <c r="EL98" t="n">
        <v>0</v>
      </c>
      <c r="EN98" t="n">
        <v>8</v>
      </c>
      <c r="EQ98" t="n">
        <v>288</v>
      </c>
      <c r="ER98" t="n">
        <v>2028</v>
      </c>
      <c r="ES98" t="n">
        <v>216</v>
      </c>
      <c r="ET98" t="n">
        <v>2</v>
      </c>
      <c r="EU98" t="n">
        <v>102</v>
      </c>
      <c r="EV98" t="n">
        <v>0</v>
      </c>
      <c r="EW98" t="n">
        <v>5</v>
      </c>
      <c r="EX98" t="n">
        <v>6</v>
      </c>
      <c r="EZ98" t="n">
        <v>15</v>
      </c>
      <c r="FA98" t="n">
        <v>36</v>
      </c>
      <c r="FB98" t="n">
        <v>51</v>
      </c>
      <c r="FC98" t="n">
        <v>245</v>
      </c>
      <c r="FD98" t="n">
        <v>3</v>
      </c>
      <c r="FE98" t="n">
        <v>1</v>
      </c>
      <c r="FF98" t="n">
        <v>1</v>
      </c>
      <c r="FG98" t="n">
        <v>2</v>
      </c>
      <c r="FJ98" t="n">
        <v>2</v>
      </c>
      <c r="FK98" t="n">
        <v>0</v>
      </c>
      <c r="FO98" t="n">
        <v>0</v>
      </c>
      <c r="FP98" t="n">
        <v>0</v>
      </c>
      <c r="FR98" t="n">
        <v>0</v>
      </c>
      <c r="FS98" t="n">
        <v>1</v>
      </c>
      <c r="FU98" t="n">
        <v>5</v>
      </c>
      <c r="FV98" t="n">
        <v>14</v>
      </c>
      <c r="FX98" t="n">
        <v>41</v>
      </c>
      <c r="FY98" t="n">
        <v>21</v>
      </c>
      <c r="GD98" t="n">
        <v>4</v>
      </c>
      <c r="GE98" t="n">
        <v>4</v>
      </c>
      <c r="GG98" t="n">
        <v>56</v>
      </c>
      <c r="GH98" t="n">
        <v>21</v>
      </c>
      <c r="GI98" t="n">
        <v>18</v>
      </c>
      <c r="GJ98" t="n">
        <v>1</v>
      </c>
      <c r="GL98" t="n">
        <v>0</v>
      </c>
      <c r="GM98" t="n">
        <v>1</v>
      </c>
      <c r="GO98" t="n">
        <v>38</v>
      </c>
      <c r="GP98" t="n">
        <v>68</v>
      </c>
      <c r="GQ98" t="n">
        <v>30</v>
      </c>
      <c r="GR98" t="n">
        <v>608</v>
      </c>
      <c r="GS98" t="n">
        <v>36</v>
      </c>
      <c r="GT98" t="n">
        <v>88</v>
      </c>
      <c r="GU98" t="n">
        <v>43</v>
      </c>
      <c r="GV98" t="n">
        <v>69</v>
      </c>
      <c r="GW98" t="n">
        <v>1</v>
      </c>
      <c r="GX98" t="n">
        <v>1</v>
      </c>
      <c r="GY98" t="n">
        <v>2</v>
      </c>
      <c r="GZ98" t="n">
        <v>68</v>
      </c>
      <c r="HA98" t="n">
        <v>117</v>
      </c>
      <c r="HB98" t="n">
        <v>171</v>
      </c>
      <c r="HF98" t="n">
        <v>3</v>
      </c>
      <c r="HG98" t="n">
        <v>574</v>
      </c>
      <c r="HH98" t="n">
        <v>28</v>
      </c>
      <c r="HI98" t="n">
        <v>0</v>
      </c>
      <c r="HK98" t="n">
        <v>1</v>
      </c>
      <c r="HQ98" t="n">
        <v>0</v>
      </c>
      <c r="HU98" t="n">
        <v>1</v>
      </c>
      <c r="HV98" t="n">
        <v>1</v>
      </c>
      <c r="HW98" t="n">
        <v>3</v>
      </c>
      <c r="HZ98" t="n">
        <v>0</v>
      </c>
      <c r="IB98" t="n">
        <v>3</v>
      </c>
      <c r="ID98" t="n">
        <v>2</v>
      </c>
      <c r="IE98" t="n">
        <v>4</v>
      </c>
      <c r="IH98" t="n">
        <v>0</v>
      </c>
      <c r="IK98" t="n">
        <v>2</v>
      </c>
      <c r="IL98" t="n">
        <v>6</v>
      </c>
      <c r="IM98" t="n">
        <v>11</v>
      </c>
      <c r="IO98" t="n">
        <v>1</v>
      </c>
      <c r="IS98" t="n">
        <v>0</v>
      </c>
      <c r="IT98" t="n">
        <v>0</v>
      </c>
      <c r="IV98" t="n">
        <v>47</v>
      </c>
      <c r="IW98" t="n">
        <v>234</v>
      </c>
      <c r="IX98" t="n">
        <v>35</v>
      </c>
      <c r="IZ98" t="n">
        <v>397</v>
      </c>
      <c r="JA98" t="n">
        <v>32</v>
      </c>
      <c r="JD98" t="n">
        <v>13</v>
      </c>
      <c r="JE98" t="n">
        <v>227</v>
      </c>
      <c r="JF98" t="n">
        <v>16</v>
      </c>
      <c r="JG98" t="n">
        <v>126</v>
      </c>
      <c r="JJ98" t="n">
        <v>0</v>
      </c>
      <c r="JK98" t="n">
        <v>7</v>
      </c>
      <c r="JL98" t="n">
        <v>92</v>
      </c>
      <c r="JM98" t="n">
        <v>119</v>
      </c>
      <c r="JN98" t="n">
        <v>170</v>
      </c>
      <c r="JO98" t="n">
        <v>188</v>
      </c>
      <c r="JP98" t="n">
        <v>9</v>
      </c>
      <c r="JQ98" t="n">
        <v>170</v>
      </c>
      <c r="JR98" t="n">
        <v>34</v>
      </c>
      <c r="JS98" t="n">
        <v>165</v>
      </c>
      <c r="JT98" t="n">
        <v>11</v>
      </c>
      <c r="JV98" t="n">
        <v>101</v>
      </c>
      <c r="JW98" t="n">
        <v>81</v>
      </c>
      <c r="JX98" t="n">
        <v>120</v>
      </c>
      <c r="JY98" t="n">
        <v>41</v>
      </c>
      <c r="JZ98" t="n">
        <v>24</v>
      </c>
      <c r="KA98" t="n">
        <v>93</v>
      </c>
      <c r="KB98" t="n">
        <v>26</v>
      </c>
      <c r="KC98" t="n">
        <v>79</v>
      </c>
      <c r="KD98" t="n">
        <v>48</v>
      </c>
      <c r="KH98" t="n">
        <v>2</v>
      </c>
      <c r="KJ98" t="n">
        <v>58</v>
      </c>
      <c r="KK98" t="n">
        <v>6</v>
      </c>
      <c r="KL98" t="n">
        <v>0</v>
      </c>
      <c r="KN98" t="n">
        <v>2</v>
      </c>
      <c r="KO98" t="n">
        <v>1</v>
      </c>
      <c r="KP98" t="n">
        <v>3</v>
      </c>
      <c r="KQ98" t="n">
        <v>0</v>
      </c>
      <c r="KR98" t="n">
        <v>5</v>
      </c>
      <c r="KS98" t="n">
        <v>11</v>
      </c>
      <c r="KT98" t="n">
        <v>0</v>
      </c>
      <c r="KU98" t="n">
        <v>0</v>
      </c>
      <c r="KV98" t="n">
        <v>784</v>
      </c>
      <c r="KW98" t="n">
        <v>44</v>
      </c>
      <c r="KX98" t="n">
        <v>72</v>
      </c>
      <c r="KZ98" t="n">
        <v>198</v>
      </c>
      <c r="LD98" t="n">
        <v>6</v>
      </c>
      <c r="LE98" t="n">
        <v>45</v>
      </c>
      <c r="LK98" t="n">
        <v>6</v>
      </c>
      <c r="LL98" t="n">
        <v>0</v>
      </c>
      <c r="LM98" t="n">
        <v>63</v>
      </c>
      <c r="LO98" t="n">
        <v>148</v>
      </c>
      <c r="LR98" t="n">
        <v>29</v>
      </c>
      <c r="LS98" t="n">
        <v>3</v>
      </c>
      <c r="LT98" t="n">
        <v>551</v>
      </c>
      <c r="LU98" t="n">
        <v>8</v>
      </c>
      <c r="LV98" t="n">
        <v>37</v>
      </c>
      <c r="LW98" t="n">
        <v>34</v>
      </c>
      <c r="LX98" t="n">
        <v>139</v>
      </c>
      <c r="LY98" t="n">
        <v>10</v>
      </c>
      <c r="LZ98" t="n">
        <v>37</v>
      </c>
      <c r="MA98" t="n">
        <v>43</v>
      </c>
      <c r="MB98" t="n">
        <v>9</v>
      </c>
      <c r="MD98" t="n">
        <v>4</v>
      </c>
      <c r="ME98" t="n">
        <v>9</v>
      </c>
      <c r="MF98" t="n">
        <v>21</v>
      </c>
      <c r="MG98" t="n">
        <v>65</v>
      </c>
      <c r="MH98" t="n">
        <v>2293</v>
      </c>
      <c r="MI98" t="n">
        <v>4</v>
      </c>
      <c r="MJ98" t="n">
        <v>4</v>
      </c>
      <c r="MK98" t="n">
        <v>7</v>
      </c>
      <c r="ML98" t="n">
        <v>9</v>
      </c>
      <c r="MM98" t="n">
        <v>3</v>
      </c>
      <c r="MN98" t="n">
        <v>7</v>
      </c>
      <c r="MO98" t="n">
        <v>587</v>
      </c>
      <c r="MP98" t="n">
        <v>4</v>
      </c>
      <c r="MQ98" t="n">
        <v>126</v>
      </c>
      <c r="MR98" t="n">
        <v>7</v>
      </c>
      <c r="MS98" t="n">
        <v>154</v>
      </c>
      <c r="MT98" t="n">
        <v>13</v>
      </c>
      <c r="MU98" t="n">
        <v>10</v>
      </c>
      <c r="MV98" t="n">
        <v>97</v>
      </c>
      <c r="MW98" t="n">
        <v>2</v>
      </c>
      <c r="MX98" t="n">
        <v>8</v>
      </c>
      <c r="MY98" t="n">
        <v>38</v>
      </c>
      <c r="MZ98" t="n">
        <v>590</v>
      </c>
      <c r="NA98" t="n">
        <v>87</v>
      </c>
      <c r="NB98" t="n">
        <v>91</v>
      </c>
      <c r="NC98" t="n">
        <v>58</v>
      </c>
      <c r="ND98" t="n">
        <v>40</v>
      </c>
      <c r="NE98" t="n">
        <v>55</v>
      </c>
      <c r="NF98" t="n">
        <v>3</v>
      </c>
      <c r="NG98" t="n">
        <v>5</v>
      </c>
      <c r="NI98" t="n">
        <v>2</v>
      </c>
      <c r="NJ98" t="n">
        <v>3</v>
      </c>
      <c r="NK98" t="n">
        <v>5</v>
      </c>
      <c r="NL98" t="n">
        <v>25</v>
      </c>
      <c r="NM98" t="n">
        <v>52</v>
      </c>
      <c r="NN98" t="n">
        <v>97</v>
      </c>
      <c r="NO98" t="n">
        <v>222</v>
      </c>
      <c r="NP98" t="n">
        <v>236</v>
      </c>
      <c r="NQ98" t="n">
        <v>18</v>
      </c>
      <c r="NR98" t="n">
        <v>18</v>
      </c>
      <c r="NS98" t="n">
        <v>2</v>
      </c>
      <c r="NT98" t="n">
        <v>592</v>
      </c>
      <c r="NV98" t="n">
        <v>16</v>
      </c>
      <c r="NW98" t="n">
        <v>0</v>
      </c>
      <c r="NX98" t="n">
        <v>5</v>
      </c>
      <c r="NY98" t="n">
        <v>5</v>
      </c>
      <c r="NZ98" t="n">
        <v>4</v>
      </c>
      <c r="OA98" t="n">
        <v>1</v>
      </c>
      <c r="OB98" t="n">
        <v>300</v>
      </c>
      <c r="OD98" t="n">
        <v>100</v>
      </c>
      <c r="OE98" t="n">
        <v>161</v>
      </c>
      <c r="OI98" t="n">
        <v>508</v>
      </c>
      <c r="OJ98" t="n">
        <v>803</v>
      </c>
      <c r="OK98" t="n">
        <v>567</v>
      </c>
      <c r="OL98" t="n">
        <v>4</v>
      </c>
      <c r="ON98" t="n">
        <v>115</v>
      </c>
      <c r="OO98" t="n">
        <v>42294</v>
      </c>
      <c r="OP98" t="n">
        <v>5636</v>
      </c>
      <c r="OQ98" t="n">
        <v>14415</v>
      </c>
      <c r="OU98" t="n">
        <v>770</v>
      </c>
      <c r="OV98" t="n">
        <v>5626</v>
      </c>
      <c r="OX98" t="n">
        <v>165</v>
      </c>
      <c r="PF98" t="n">
        <v>350</v>
      </c>
      <c r="PI98" t="n">
        <v>69255</v>
      </c>
      <c r="PM98">
        <f>IFERROR(VLOOKUP($A98&amp;"",Key!$A:$C,3,FALSE),"")</f>
        <v/>
      </c>
    </row>
    <row r="99">
      <c r="A99" t="n">
        <v>333413</v>
      </c>
      <c r="B99" t="inlineStr">
        <is>
          <t>Industrial and commercial fan and blower and air purification equipment manufacturing</t>
        </is>
      </c>
      <c r="X99" t="n">
        <v>1</v>
      </c>
      <c r="Z99" t="n">
        <v>0</v>
      </c>
      <c r="AA99" t="n">
        <v>179</v>
      </c>
      <c r="AB99" t="n">
        <v>236</v>
      </c>
      <c r="AE99" t="n">
        <v>320</v>
      </c>
      <c r="AF99" t="n">
        <v>97</v>
      </c>
      <c r="AG99" t="n">
        <v>572</v>
      </c>
      <c r="AH99" t="n">
        <v>243</v>
      </c>
      <c r="AI99" t="n">
        <v>149</v>
      </c>
      <c r="AJ99" t="n">
        <v>33</v>
      </c>
      <c r="AK99" t="n">
        <v>93</v>
      </c>
      <c r="AL99" t="n">
        <v>218</v>
      </c>
      <c r="BK99" t="n">
        <v>12</v>
      </c>
      <c r="CO99" t="n">
        <v>75</v>
      </c>
      <c r="CQ99" t="n">
        <v>238</v>
      </c>
      <c r="CR99" t="n">
        <v>82</v>
      </c>
      <c r="FC99" t="n">
        <v>64</v>
      </c>
      <c r="HR99" t="n">
        <v>1</v>
      </c>
      <c r="II99" t="n">
        <v>15</v>
      </c>
      <c r="IL99" t="n">
        <v>143</v>
      </c>
      <c r="IM99" t="n">
        <v>80</v>
      </c>
      <c r="IZ99" t="n">
        <v>165</v>
      </c>
      <c r="JG99" t="n">
        <v>355</v>
      </c>
      <c r="JN99" t="n">
        <v>0</v>
      </c>
      <c r="JO99" t="n">
        <v>16</v>
      </c>
      <c r="JT99" t="n">
        <v>2</v>
      </c>
      <c r="KF99" t="n">
        <v>1</v>
      </c>
      <c r="KK99" t="n">
        <v>7</v>
      </c>
      <c r="KM99" t="n">
        <v>43</v>
      </c>
      <c r="KZ99" t="n">
        <v>9</v>
      </c>
      <c r="LN99" t="n">
        <v>0</v>
      </c>
      <c r="LT99" t="n">
        <v>1510</v>
      </c>
      <c r="LW99" t="n">
        <v>163</v>
      </c>
      <c r="LZ99" t="n">
        <v>34</v>
      </c>
      <c r="MF99" t="n">
        <v>3</v>
      </c>
      <c r="MH99" t="n">
        <v>109</v>
      </c>
      <c r="MO99" t="n">
        <v>472</v>
      </c>
      <c r="MP99" t="n">
        <v>4</v>
      </c>
      <c r="MQ99" t="n">
        <v>0</v>
      </c>
      <c r="NT99" t="n">
        <v>70</v>
      </c>
      <c r="OD99" t="n">
        <v>1</v>
      </c>
      <c r="OH99" t="n">
        <v>56</v>
      </c>
      <c r="OI99" t="n">
        <v>71</v>
      </c>
      <c r="OK99" t="n">
        <v>59</v>
      </c>
      <c r="OM99" t="n">
        <v>85</v>
      </c>
      <c r="ON99" t="n">
        <v>109</v>
      </c>
      <c r="OO99" t="n">
        <v>6194</v>
      </c>
      <c r="OQ99" t="n">
        <v>3506</v>
      </c>
      <c r="OU99" t="n">
        <v>69</v>
      </c>
      <c r="OV99" t="n">
        <v>1396</v>
      </c>
      <c r="PF99" t="n">
        <v>0</v>
      </c>
      <c r="PI99" t="n">
        <v>11165</v>
      </c>
      <c r="PM99">
        <f>IFERROR(VLOOKUP($A99&amp;"",Key!$A:$C,3,FALSE),"")</f>
        <v/>
      </c>
    </row>
    <row r="100">
      <c r="A100" t="n">
        <v>333511</v>
      </c>
      <c r="B100" t="inlineStr">
        <is>
          <t>Industrial mold manufacturing</t>
        </is>
      </c>
      <c r="AR100" t="n">
        <v>4</v>
      </c>
      <c r="BC100" t="n">
        <v>43</v>
      </c>
      <c r="BD100" t="n">
        <v>1</v>
      </c>
      <c r="BK100" t="n">
        <v>11</v>
      </c>
      <c r="BL100" t="n">
        <v>100</v>
      </c>
      <c r="BQ100" t="n">
        <v>92</v>
      </c>
      <c r="BX100" t="n">
        <v>217</v>
      </c>
      <c r="BY100" t="n">
        <v>1244</v>
      </c>
      <c r="CF100" t="n">
        <v>94</v>
      </c>
      <c r="CS100" t="n">
        <v>115</v>
      </c>
      <c r="CT100" t="n">
        <v>117</v>
      </c>
      <c r="ES100" t="n">
        <v>6</v>
      </c>
      <c r="JG100" t="n">
        <v>4</v>
      </c>
      <c r="KM100" t="n">
        <v>51</v>
      </c>
      <c r="LW100" t="n">
        <v>380</v>
      </c>
      <c r="LZ100" t="n">
        <v>65</v>
      </c>
      <c r="MF100" t="n">
        <v>6</v>
      </c>
      <c r="ON100" t="n">
        <v>175</v>
      </c>
      <c r="OO100" t="n">
        <v>2724</v>
      </c>
      <c r="OQ100" t="n">
        <v>7157</v>
      </c>
      <c r="OU100" t="n">
        <v>0</v>
      </c>
      <c r="OV100" t="n">
        <v>890</v>
      </c>
      <c r="PI100" t="n">
        <v>10771</v>
      </c>
      <c r="PM100">
        <f>IFERROR(VLOOKUP($A100&amp;"",Key!$A:$C,3,FALSE),"")</f>
        <v/>
      </c>
    </row>
    <row r="101">
      <c r="A101" t="n">
        <v>333514</v>
      </c>
      <c r="B101" t="inlineStr">
        <is>
          <t>Special tool, die, jig, and fixture manufacturing</t>
        </is>
      </c>
      <c r="AR101" t="n">
        <v>25</v>
      </c>
      <c r="BC101" t="n">
        <v>276</v>
      </c>
      <c r="BD101" t="n">
        <v>16</v>
      </c>
      <c r="BK101" t="n">
        <v>87</v>
      </c>
      <c r="BL101" t="n">
        <v>533</v>
      </c>
      <c r="BN101" t="n">
        <v>104</v>
      </c>
      <c r="BO101" t="n">
        <v>39</v>
      </c>
      <c r="BX101" t="n">
        <v>10</v>
      </c>
      <c r="BY101" t="n">
        <v>230</v>
      </c>
      <c r="CC101" t="n">
        <v>93</v>
      </c>
      <c r="CK101" t="n">
        <v>32</v>
      </c>
      <c r="CL101" t="n">
        <v>161</v>
      </c>
      <c r="CO101" t="n">
        <v>2</v>
      </c>
      <c r="CQ101" t="n">
        <v>33</v>
      </c>
      <c r="CS101" t="n">
        <v>162</v>
      </c>
      <c r="CT101" t="n">
        <v>529</v>
      </c>
      <c r="CX101" t="n">
        <v>2</v>
      </c>
      <c r="CY101" t="n">
        <v>15</v>
      </c>
      <c r="DO101" t="n">
        <v>12</v>
      </c>
      <c r="EQ101" t="n">
        <v>10</v>
      </c>
      <c r="ER101" t="n">
        <v>35</v>
      </c>
      <c r="ES101" t="n">
        <v>19</v>
      </c>
      <c r="EX101" t="n">
        <v>35</v>
      </c>
      <c r="EZ101" t="n">
        <v>67</v>
      </c>
      <c r="FB101" t="n">
        <v>71</v>
      </c>
      <c r="FC101" t="n">
        <v>131</v>
      </c>
      <c r="JG101" t="n">
        <v>2</v>
      </c>
      <c r="OD101" t="n">
        <v>2</v>
      </c>
      <c r="OE101" t="n">
        <v>0</v>
      </c>
      <c r="OI101" t="n">
        <v>9</v>
      </c>
      <c r="OO101" t="n">
        <v>2742</v>
      </c>
      <c r="OQ101" t="n">
        <v>10775</v>
      </c>
      <c r="OU101" t="n">
        <v>110</v>
      </c>
      <c r="OV101" t="n">
        <v>593</v>
      </c>
      <c r="PI101" t="n">
        <v>14219</v>
      </c>
      <c r="PM101">
        <f>IFERROR(VLOOKUP($A101&amp;"",Key!$A:$C,3,FALSE),"")</f>
        <v/>
      </c>
    </row>
    <row r="102">
      <c r="A102" t="n">
        <v>333517</v>
      </c>
      <c r="B102" t="inlineStr">
        <is>
          <t>Machine tool manufacturing</t>
        </is>
      </c>
      <c r="BL102" t="n">
        <v>125</v>
      </c>
      <c r="BQ102" t="n">
        <v>922</v>
      </c>
      <c r="BS102" t="n">
        <v>23</v>
      </c>
      <c r="BT102" t="n">
        <v>14</v>
      </c>
      <c r="BX102" t="n">
        <v>106</v>
      </c>
      <c r="CF102" t="n">
        <v>51</v>
      </c>
      <c r="CG102" t="n">
        <v>32</v>
      </c>
      <c r="CQ102" t="n">
        <v>1</v>
      </c>
      <c r="CU102" t="n">
        <v>177</v>
      </c>
      <c r="CV102" t="n">
        <v>97</v>
      </c>
      <c r="DG102" t="n">
        <v>258</v>
      </c>
      <c r="FB102" t="n">
        <v>256</v>
      </c>
      <c r="GD102" t="n">
        <v>211</v>
      </c>
      <c r="KM102" t="n">
        <v>12</v>
      </c>
      <c r="MR102" t="n">
        <v>18</v>
      </c>
      <c r="OI102" t="n">
        <v>65</v>
      </c>
      <c r="OK102" t="n">
        <v>7</v>
      </c>
      <c r="OO102" t="n">
        <v>2376</v>
      </c>
      <c r="OP102" t="n">
        <v>486</v>
      </c>
      <c r="OQ102" t="n">
        <v>11600</v>
      </c>
      <c r="OU102" t="n">
        <v>73</v>
      </c>
      <c r="OV102" t="n">
        <v>2290</v>
      </c>
      <c r="OX102" t="n">
        <v>3</v>
      </c>
      <c r="PB102" t="n">
        <v>81</v>
      </c>
      <c r="PF102" t="n">
        <v>645</v>
      </c>
      <c r="PI102" t="n">
        <v>17553</v>
      </c>
      <c r="PM102">
        <f>IFERROR(VLOOKUP($A102&amp;"",Key!$A:$C,3,FALSE),"")</f>
        <v/>
      </c>
    </row>
    <row r="103">
      <c r="A103" t="inlineStr">
        <is>
          <t>33351B</t>
        </is>
      </c>
      <c r="B103" t="inlineStr">
        <is>
          <t>Cutting and machine tool accessory, rolling mill, and other metalworking machinery manufacturing</t>
        </is>
      </c>
      <c r="P103" t="n">
        <v>1074</v>
      </c>
      <c r="Q103" t="n">
        <v>40</v>
      </c>
      <c r="R103" t="n">
        <v>6</v>
      </c>
      <c r="S103" t="n">
        <v>24</v>
      </c>
      <c r="T103" t="n">
        <v>15</v>
      </c>
      <c r="U103" t="n">
        <v>14</v>
      </c>
      <c r="V103" t="n">
        <v>411</v>
      </c>
      <c r="W103" t="n">
        <v>1051</v>
      </c>
      <c r="AM103" t="n">
        <v>5</v>
      </c>
      <c r="AN103" t="n">
        <v>2</v>
      </c>
      <c r="AO103" t="n">
        <v>3</v>
      </c>
      <c r="AP103" t="n">
        <v>3</v>
      </c>
      <c r="AQ103" t="n">
        <v>1</v>
      </c>
      <c r="AR103" t="n">
        <v>3</v>
      </c>
      <c r="AS103" t="n">
        <v>0</v>
      </c>
      <c r="AT103" t="n">
        <v>2</v>
      </c>
      <c r="AU103" t="n">
        <v>1</v>
      </c>
      <c r="AV103" t="n">
        <v>1</v>
      </c>
      <c r="AX103" t="n">
        <v>0</v>
      </c>
      <c r="AY103" t="n">
        <v>5</v>
      </c>
      <c r="AZ103" t="n">
        <v>1</v>
      </c>
      <c r="BA103" t="n">
        <v>2</v>
      </c>
      <c r="BC103" t="n">
        <v>1</v>
      </c>
      <c r="BD103" t="n">
        <v>35</v>
      </c>
      <c r="BE103" t="n">
        <v>3</v>
      </c>
      <c r="BF103" t="n">
        <v>0</v>
      </c>
      <c r="BG103" t="n">
        <v>25</v>
      </c>
      <c r="BI103" t="n">
        <v>7</v>
      </c>
      <c r="BJ103" t="n">
        <v>7</v>
      </c>
      <c r="BK103" t="n">
        <v>12</v>
      </c>
      <c r="BL103" t="n">
        <v>14</v>
      </c>
      <c r="BN103" t="n">
        <v>9</v>
      </c>
      <c r="BO103" t="n">
        <v>5</v>
      </c>
      <c r="BP103" t="n">
        <v>3</v>
      </c>
      <c r="BQ103" t="n">
        <v>64</v>
      </c>
      <c r="BR103" t="n">
        <v>16</v>
      </c>
      <c r="BS103" t="n">
        <v>126</v>
      </c>
      <c r="BT103" t="n">
        <v>66</v>
      </c>
      <c r="BU103" t="n">
        <v>3</v>
      </c>
      <c r="BV103" t="n">
        <v>22</v>
      </c>
      <c r="BW103" t="n">
        <v>2</v>
      </c>
      <c r="BX103" t="n">
        <v>590</v>
      </c>
      <c r="BY103" t="n">
        <v>429</v>
      </c>
      <c r="BZ103" t="n">
        <v>55</v>
      </c>
      <c r="CA103" t="n">
        <v>4</v>
      </c>
      <c r="CB103" t="n">
        <v>38</v>
      </c>
      <c r="CC103" t="n">
        <v>8</v>
      </c>
      <c r="CD103" t="n">
        <v>3</v>
      </c>
      <c r="CE103" t="n">
        <v>58</v>
      </c>
      <c r="CF103" t="n">
        <v>8</v>
      </c>
      <c r="CG103" t="n">
        <v>16</v>
      </c>
      <c r="CI103" t="n">
        <v>15</v>
      </c>
      <c r="CJ103" t="n">
        <v>16</v>
      </c>
      <c r="CK103" t="n">
        <v>11</v>
      </c>
      <c r="CL103" t="n">
        <v>103</v>
      </c>
      <c r="CM103" t="n">
        <v>1</v>
      </c>
      <c r="CO103" t="n">
        <v>16</v>
      </c>
      <c r="CP103" t="n">
        <v>2</v>
      </c>
      <c r="CQ103" t="n">
        <v>17</v>
      </c>
      <c r="CR103" t="n">
        <v>7</v>
      </c>
      <c r="CS103" t="n">
        <v>322</v>
      </c>
      <c r="CT103" t="n">
        <v>444</v>
      </c>
      <c r="CU103" t="n">
        <v>408</v>
      </c>
      <c r="CV103" t="n">
        <v>773</v>
      </c>
      <c r="CW103" t="n">
        <v>15</v>
      </c>
      <c r="CZ103" t="n">
        <v>14</v>
      </c>
      <c r="DA103" t="n">
        <v>2</v>
      </c>
      <c r="DB103" t="n">
        <v>10</v>
      </c>
      <c r="DC103" t="n">
        <v>43</v>
      </c>
      <c r="DD103" t="n">
        <v>7</v>
      </c>
      <c r="DE103" t="n">
        <v>5</v>
      </c>
      <c r="DF103" t="n">
        <v>2</v>
      </c>
      <c r="DG103" t="n">
        <v>36</v>
      </c>
      <c r="DH103" t="n">
        <v>73</v>
      </c>
      <c r="DI103" t="n">
        <v>1</v>
      </c>
      <c r="DJ103" t="n">
        <v>0</v>
      </c>
      <c r="DK103" t="n">
        <v>0</v>
      </c>
      <c r="DL103" t="n">
        <v>0</v>
      </c>
      <c r="DM103" t="n">
        <v>9</v>
      </c>
      <c r="DN103" t="n">
        <v>2</v>
      </c>
      <c r="DO103" t="n">
        <v>3</v>
      </c>
      <c r="DP103" t="n">
        <v>4</v>
      </c>
      <c r="DQ103" t="n">
        <v>5</v>
      </c>
      <c r="DR103" t="n">
        <v>3</v>
      </c>
      <c r="DS103" t="n">
        <v>11</v>
      </c>
      <c r="DT103" t="n">
        <v>0</v>
      </c>
      <c r="DU103" t="n">
        <v>3</v>
      </c>
      <c r="DV103" t="n">
        <v>3</v>
      </c>
      <c r="DW103" t="n">
        <v>7</v>
      </c>
      <c r="DX103" t="n">
        <v>3</v>
      </c>
      <c r="DY103" t="n">
        <v>2</v>
      </c>
      <c r="DZ103" t="n">
        <v>17</v>
      </c>
      <c r="EA103" t="n">
        <v>0</v>
      </c>
      <c r="EC103" t="n">
        <v>0</v>
      </c>
      <c r="ED103" t="n">
        <v>2</v>
      </c>
      <c r="EE103" t="n">
        <v>3</v>
      </c>
      <c r="EF103" t="n">
        <v>1</v>
      </c>
      <c r="EG103" t="n">
        <v>2</v>
      </c>
      <c r="EH103" t="n">
        <v>2</v>
      </c>
      <c r="EI103" t="n">
        <v>3</v>
      </c>
      <c r="EJ103" t="n">
        <v>8</v>
      </c>
      <c r="EK103" t="n">
        <v>1</v>
      </c>
      <c r="EL103" t="n">
        <v>0</v>
      </c>
      <c r="EM103" t="n">
        <v>4</v>
      </c>
      <c r="EN103" t="n">
        <v>48</v>
      </c>
      <c r="EO103" t="n">
        <v>1</v>
      </c>
      <c r="EP103" t="n">
        <v>4</v>
      </c>
      <c r="EQ103" t="n">
        <v>2</v>
      </c>
      <c r="ER103" t="n">
        <v>60</v>
      </c>
      <c r="ES103" t="n">
        <v>3</v>
      </c>
      <c r="ET103" t="n">
        <v>24</v>
      </c>
      <c r="EU103" t="n">
        <v>3</v>
      </c>
      <c r="EV103" t="n">
        <v>0</v>
      </c>
      <c r="EW103" t="n">
        <v>3</v>
      </c>
      <c r="EX103" t="n">
        <v>15</v>
      </c>
      <c r="EY103" t="n">
        <v>25</v>
      </c>
      <c r="EZ103" t="n">
        <v>25</v>
      </c>
      <c r="FA103" t="n">
        <v>1</v>
      </c>
      <c r="FB103" t="n">
        <v>26</v>
      </c>
      <c r="FC103" t="n">
        <v>47</v>
      </c>
      <c r="FD103" t="n">
        <v>9</v>
      </c>
      <c r="FE103" t="n">
        <v>37</v>
      </c>
      <c r="FF103" t="n">
        <v>1</v>
      </c>
      <c r="FG103" t="n">
        <v>5</v>
      </c>
      <c r="FJ103" t="n">
        <v>2</v>
      </c>
      <c r="FK103" t="n">
        <v>9</v>
      </c>
      <c r="FL103" t="n">
        <v>5</v>
      </c>
      <c r="FO103" t="n">
        <v>1</v>
      </c>
      <c r="FP103" t="n">
        <v>1</v>
      </c>
      <c r="FQ103" t="n">
        <v>3</v>
      </c>
      <c r="FR103" t="n">
        <v>1</v>
      </c>
      <c r="FS103" t="n">
        <v>1</v>
      </c>
      <c r="FU103" t="n">
        <v>2</v>
      </c>
      <c r="FV103" t="n">
        <v>3</v>
      </c>
      <c r="FW103" t="n">
        <v>1</v>
      </c>
      <c r="FX103" t="n">
        <v>26</v>
      </c>
      <c r="FY103" t="n">
        <v>16</v>
      </c>
      <c r="FZ103" t="n">
        <v>9</v>
      </c>
      <c r="GA103" t="n">
        <v>1</v>
      </c>
      <c r="GC103" t="n">
        <v>1</v>
      </c>
      <c r="GD103" t="n">
        <v>29</v>
      </c>
      <c r="GE103" t="n">
        <v>1</v>
      </c>
      <c r="GF103" t="n">
        <v>2</v>
      </c>
      <c r="GG103" t="n">
        <v>44</v>
      </c>
      <c r="GH103" t="n">
        <v>30</v>
      </c>
      <c r="GP103" t="n">
        <v>1</v>
      </c>
      <c r="GQ103" t="n">
        <v>0</v>
      </c>
      <c r="GR103" t="n">
        <v>2</v>
      </c>
      <c r="GW103" t="n">
        <v>1</v>
      </c>
      <c r="GZ103" t="n">
        <v>6</v>
      </c>
      <c r="HB103" t="n">
        <v>6</v>
      </c>
      <c r="HE103" t="n">
        <v>2</v>
      </c>
      <c r="HG103" t="n">
        <v>20</v>
      </c>
      <c r="HH103" t="n">
        <v>1</v>
      </c>
      <c r="HI103" t="n">
        <v>0</v>
      </c>
      <c r="HL103" t="n">
        <v>0</v>
      </c>
      <c r="HN103" t="n">
        <v>0</v>
      </c>
      <c r="HO103" t="n">
        <v>0</v>
      </c>
      <c r="HP103" t="n">
        <v>0</v>
      </c>
      <c r="HQ103" t="n">
        <v>2</v>
      </c>
      <c r="HT103" t="n">
        <v>1</v>
      </c>
      <c r="HU103" t="n">
        <v>9</v>
      </c>
      <c r="HV103" t="n">
        <v>10</v>
      </c>
      <c r="HW103" t="n">
        <v>17</v>
      </c>
      <c r="HX103" t="n">
        <v>9</v>
      </c>
      <c r="HY103" t="n">
        <v>1</v>
      </c>
      <c r="HZ103" t="n">
        <v>2</v>
      </c>
      <c r="IA103" t="n">
        <v>2</v>
      </c>
      <c r="IB103" t="n">
        <v>5</v>
      </c>
      <c r="ID103" t="n">
        <v>2</v>
      </c>
      <c r="IE103" t="n">
        <v>0</v>
      </c>
      <c r="IH103" t="n">
        <v>1</v>
      </c>
      <c r="IJ103" t="n">
        <v>0</v>
      </c>
      <c r="IK103" t="n">
        <v>2</v>
      </c>
      <c r="IL103" t="n">
        <v>3</v>
      </c>
      <c r="IM103" t="n">
        <v>4</v>
      </c>
      <c r="IN103" t="n">
        <v>2</v>
      </c>
      <c r="IT103" t="n">
        <v>0</v>
      </c>
      <c r="IV103" t="n">
        <v>2</v>
      </c>
      <c r="IW103" t="n">
        <v>5</v>
      </c>
      <c r="IX103" t="n">
        <v>2</v>
      </c>
      <c r="IZ103" t="n">
        <v>23</v>
      </c>
      <c r="JA103" t="n">
        <v>16</v>
      </c>
      <c r="JB103" t="n">
        <v>9</v>
      </c>
      <c r="JC103" t="n">
        <v>2</v>
      </c>
      <c r="JD103" t="n">
        <v>7</v>
      </c>
      <c r="JE103" t="n">
        <v>3</v>
      </c>
      <c r="JF103" t="n">
        <v>5</v>
      </c>
      <c r="JG103" t="n">
        <v>26</v>
      </c>
      <c r="JH103" t="n">
        <v>1</v>
      </c>
      <c r="JI103" t="n">
        <v>2</v>
      </c>
      <c r="JJ103" t="n">
        <v>6</v>
      </c>
      <c r="JK103" t="n">
        <v>2</v>
      </c>
      <c r="JL103" t="n">
        <v>2</v>
      </c>
      <c r="JM103" t="n">
        <v>1</v>
      </c>
      <c r="JO103" t="n">
        <v>1</v>
      </c>
      <c r="JS103" t="n">
        <v>0</v>
      </c>
      <c r="JT103" t="n">
        <v>1</v>
      </c>
      <c r="JV103" t="n">
        <v>6</v>
      </c>
      <c r="JW103" t="n">
        <v>2</v>
      </c>
      <c r="JY103" t="n">
        <v>1</v>
      </c>
      <c r="JZ103" t="n">
        <v>3</v>
      </c>
      <c r="KA103" t="n">
        <v>3</v>
      </c>
      <c r="KC103" t="n">
        <v>1</v>
      </c>
      <c r="KE103" t="n">
        <v>1</v>
      </c>
      <c r="KF103" t="n">
        <v>7</v>
      </c>
      <c r="KH103" t="n">
        <v>3</v>
      </c>
      <c r="KK103" t="n">
        <v>3</v>
      </c>
      <c r="KN103" t="n">
        <v>0</v>
      </c>
      <c r="KQ103" t="n">
        <v>1</v>
      </c>
      <c r="KR103" t="n">
        <v>6</v>
      </c>
      <c r="LA103" t="n">
        <v>2</v>
      </c>
      <c r="LW103" t="n">
        <v>9</v>
      </c>
      <c r="LY103" t="n">
        <v>1</v>
      </c>
      <c r="LZ103" t="n">
        <v>11</v>
      </c>
      <c r="MA103" t="n">
        <v>1</v>
      </c>
      <c r="MH103" t="n">
        <v>15</v>
      </c>
      <c r="MI103" t="n">
        <v>2</v>
      </c>
      <c r="MK103" t="n">
        <v>5</v>
      </c>
      <c r="MM103" t="n">
        <v>2</v>
      </c>
      <c r="MR103" t="n">
        <v>908</v>
      </c>
      <c r="MZ103" t="n">
        <v>3</v>
      </c>
      <c r="NM103" t="n">
        <v>6</v>
      </c>
      <c r="NR103" t="n">
        <v>19</v>
      </c>
      <c r="NT103" t="n">
        <v>28</v>
      </c>
      <c r="NY103" t="n">
        <v>2</v>
      </c>
      <c r="OE103" t="n">
        <v>0</v>
      </c>
      <c r="OI103" t="n">
        <v>2</v>
      </c>
      <c r="OJ103" t="n">
        <v>1</v>
      </c>
      <c r="OK103" t="n">
        <v>5</v>
      </c>
      <c r="OL103" t="n">
        <v>1</v>
      </c>
      <c r="ON103" t="n">
        <v>4</v>
      </c>
      <c r="OO103" t="n">
        <v>8552</v>
      </c>
      <c r="OQ103" t="n">
        <v>2964</v>
      </c>
      <c r="OU103" t="n">
        <v>142</v>
      </c>
      <c r="OV103" t="n">
        <v>2221</v>
      </c>
      <c r="PI103" t="n">
        <v>13880</v>
      </c>
      <c r="PM103">
        <f>IFERROR(VLOOKUP($A103&amp;"",Key!$A:$C,3,FALSE),"")</f>
        <v/>
      </c>
    </row>
    <row r="104">
      <c r="A104" t="n">
        <v>333611</v>
      </c>
      <c r="B104" t="inlineStr">
        <is>
          <t>Turbine and turbine generator set units manufacturing</t>
        </is>
      </c>
      <c r="N104" t="n">
        <v>42</v>
      </c>
      <c r="X104" t="n">
        <v>1508</v>
      </c>
      <c r="Y104" t="n">
        <v>42</v>
      </c>
      <c r="CJ104" t="n">
        <v>10</v>
      </c>
      <c r="CW104" t="n">
        <v>1415</v>
      </c>
      <c r="CZ104" t="n">
        <v>107</v>
      </c>
      <c r="FK104" t="n">
        <v>25</v>
      </c>
      <c r="LZ104" t="n">
        <v>66</v>
      </c>
      <c r="MF104" t="n">
        <v>6</v>
      </c>
      <c r="MH104" t="n">
        <v>103</v>
      </c>
      <c r="MO104" t="n">
        <v>224</v>
      </c>
      <c r="OD104" t="n">
        <v>24</v>
      </c>
      <c r="OG104" t="n">
        <v>8</v>
      </c>
      <c r="OM104" t="n">
        <v>69</v>
      </c>
      <c r="ON104" t="n">
        <v>192</v>
      </c>
      <c r="OO104" t="n">
        <v>3840</v>
      </c>
      <c r="OQ104" t="n">
        <v>7253</v>
      </c>
      <c r="OU104" t="n">
        <v>-164</v>
      </c>
      <c r="OV104" t="n">
        <v>7272</v>
      </c>
      <c r="OX104" t="n">
        <v>288</v>
      </c>
      <c r="PB104" t="n">
        <v>287</v>
      </c>
      <c r="PF104" t="n">
        <v>33</v>
      </c>
      <c r="PI104" t="n">
        <v>18810</v>
      </c>
      <c r="PM104">
        <f>IFERROR(VLOOKUP($A104&amp;"",Key!$A:$C,3,FALSE),"")</f>
        <v/>
      </c>
    </row>
    <row r="105">
      <c r="A105" t="n">
        <v>333612</v>
      </c>
      <c r="B105" t="inlineStr">
        <is>
          <t>Speed changer, industrial high-speed drive, and gear manufacturing</t>
        </is>
      </c>
      <c r="Z105" t="n">
        <v>0</v>
      </c>
      <c r="AP105" t="n">
        <v>18</v>
      </c>
      <c r="CG105" t="n">
        <v>126</v>
      </c>
      <c r="CH105" t="n">
        <v>37</v>
      </c>
      <c r="CI105" t="n">
        <v>288</v>
      </c>
      <c r="CJ105" t="n">
        <v>179</v>
      </c>
      <c r="CK105" t="n">
        <v>3</v>
      </c>
      <c r="CL105" t="n">
        <v>118</v>
      </c>
      <c r="CO105" t="n">
        <v>31</v>
      </c>
      <c r="CU105" t="n">
        <v>72</v>
      </c>
      <c r="CV105" t="n">
        <v>40</v>
      </c>
      <c r="CW105" t="n">
        <v>224</v>
      </c>
      <c r="CX105" t="n">
        <v>4</v>
      </c>
      <c r="CY105" t="n">
        <v>3</v>
      </c>
      <c r="CZ105" t="n">
        <v>105</v>
      </c>
      <c r="DC105" t="n">
        <v>114</v>
      </c>
      <c r="DD105" t="n">
        <v>96</v>
      </c>
      <c r="DE105" t="n">
        <v>41</v>
      </c>
      <c r="DG105" t="n">
        <v>104</v>
      </c>
      <c r="DH105" t="n">
        <v>103</v>
      </c>
      <c r="DR105" t="n">
        <v>107</v>
      </c>
      <c r="DS105" t="n">
        <v>60</v>
      </c>
      <c r="EH105" t="n">
        <v>27</v>
      </c>
      <c r="EX105" t="n">
        <v>87</v>
      </c>
      <c r="EY105" t="n">
        <v>9</v>
      </c>
      <c r="EZ105" t="n">
        <v>2158</v>
      </c>
      <c r="FC105" t="n">
        <v>76</v>
      </c>
      <c r="FD105" t="n">
        <v>112</v>
      </c>
      <c r="FJ105" t="n">
        <v>30</v>
      </c>
      <c r="FK105" t="n">
        <v>10</v>
      </c>
      <c r="HK105" t="n">
        <v>3</v>
      </c>
      <c r="IE105" t="n">
        <v>8</v>
      </c>
      <c r="JL105" t="n">
        <v>42</v>
      </c>
      <c r="JM105" t="n">
        <v>11</v>
      </c>
      <c r="JN105" t="n">
        <v>235</v>
      </c>
      <c r="JO105" t="n">
        <v>29</v>
      </c>
      <c r="JQ105" t="n">
        <v>0</v>
      </c>
      <c r="JR105" t="n">
        <v>15</v>
      </c>
      <c r="JS105" t="n">
        <v>34</v>
      </c>
      <c r="JT105" t="n">
        <v>50</v>
      </c>
      <c r="JV105" t="n">
        <v>2</v>
      </c>
      <c r="KF105" t="n">
        <v>1</v>
      </c>
      <c r="KK105" t="n">
        <v>57</v>
      </c>
      <c r="KO105" t="n">
        <v>29</v>
      </c>
      <c r="KX105" t="n">
        <v>3</v>
      </c>
      <c r="LA105" t="n">
        <v>2</v>
      </c>
      <c r="LO105" t="n">
        <v>40</v>
      </c>
      <c r="LW105" t="n">
        <v>109</v>
      </c>
      <c r="LZ105" t="n">
        <v>38</v>
      </c>
      <c r="MF105" t="n">
        <v>2</v>
      </c>
      <c r="MH105" t="n">
        <v>61</v>
      </c>
      <c r="MM105" t="n">
        <v>21</v>
      </c>
      <c r="MO105" t="n">
        <v>389</v>
      </c>
      <c r="NS105" t="n">
        <v>14</v>
      </c>
      <c r="NT105" t="n">
        <v>496</v>
      </c>
      <c r="NU105" t="n">
        <v>10</v>
      </c>
      <c r="OD105" t="n">
        <v>6</v>
      </c>
      <c r="OL105" t="n">
        <v>8</v>
      </c>
      <c r="ON105" t="n">
        <v>160</v>
      </c>
      <c r="OO105" t="n">
        <v>6257</v>
      </c>
      <c r="OU105" t="n">
        <v>42</v>
      </c>
      <c r="OV105" t="n">
        <v>3492</v>
      </c>
      <c r="PI105" t="n">
        <v>9792</v>
      </c>
      <c r="PM105">
        <f>IFERROR(VLOOKUP($A105&amp;"",Key!$A:$C,3,FALSE),"")</f>
        <v/>
      </c>
    </row>
    <row r="106">
      <c r="A106" t="n">
        <v>333613</v>
      </c>
      <c r="B106" t="inlineStr">
        <is>
          <t>Mechanical power transmission equipment manufacturing</t>
        </is>
      </c>
      <c r="Z106" t="n">
        <v>0</v>
      </c>
      <c r="AP106" t="n">
        <v>89</v>
      </c>
      <c r="BX106" t="n">
        <v>1</v>
      </c>
      <c r="CC106" t="n">
        <v>14</v>
      </c>
      <c r="CF106" t="n">
        <v>0</v>
      </c>
      <c r="CK106" t="n">
        <v>9</v>
      </c>
      <c r="CL106" t="n">
        <v>82</v>
      </c>
      <c r="CW106" t="n">
        <v>15</v>
      </c>
      <c r="CX106" t="n">
        <v>1022</v>
      </c>
      <c r="CY106" t="n">
        <v>685</v>
      </c>
      <c r="CZ106" t="n">
        <v>653</v>
      </c>
      <c r="DC106" t="n">
        <v>647</v>
      </c>
      <c r="DE106" t="n">
        <v>10</v>
      </c>
      <c r="DG106" t="n">
        <v>7</v>
      </c>
      <c r="DH106" t="n">
        <v>190</v>
      </c>
      <c r="EH106" t="n">
        <v>35</v>
      </c>
      <c r="EQ106" t="n">
        <v>82</v>
      </c>
      <c r="ER106" t="n">
        <v>509</v>
      </c>
      <c r="ES106" t="n">
        <v>988</v>
      </c>
      <c r="FC106" t="n">
        <v>1197</v>
      </c>
      <c r="FJ106" t="n">
        <v>22</v>
      </c>
      <c r="FK106" t="n">
        <v>215</v>
      </c>
      <c r="HK106" t="n">
        <v>5</v>
      </c>
      <c r="IE106" t="n">
        <v>34</v>
      </c>
      <c r="JE106" t="n">
        <v>346</v>
      </c>
      <c r="KN106" t="n">
        <v>0</v>
      </c>
      <c r="KO106" t="n">
        <v>0</v>
      </c>
      <c r="LW106" t="n">
        <v>116</v>
      </c>
      <c r="LZ106" t="n">
        <v>63</v>
      </c>
      <c r="MF106" t="n">
        <v>7</v>
      </c>
      <c r="MO106" t="n">
        <v>866</v>
      </c>
      <c r="MR106" t="n">
        <v>14</v>
      </c>
      <c r="OD106" t="n">
        <v>4</v>
      </c>
      <c r="OL106" t="n">
        <v>13</v>
      </c>
      <c r="ON106" t="n">
        <v>124</v>
      </c>
      <c r="OO106" t="n">
        <v>8063</v>
      </c>
      <c r="OU106" t="n">
        <v>10</v>
      </c>
      <c r="OV106" t="n">
        <v>2031</v>
      </c>
      <c r="PI106" t="n">
        <v>10104</v>
      </c>
      <c r="PM106">
        <f>IFERROR(VLOOKUP($A106&amp;"",Key!$A:$C,3,FALSE),"")</f>
        <v/>
      </c>
    </row>
    <row r="107">
      <c r="A107" t="n">
        <v>333618</v>
      </c>
      <c r="B107" t="inlineStr">
        <is>
          <t>Other engine equipment manufacturing</t>
        </is>
      </c>
      <c r="P107" t="n">
        <v>31</v>
      </c>
      <c r="X107" t="n">
        <v>19</v>
      </c>
      <c r="Y107" t="n">
        <v>5</v>
      </c>
      <c r="AC107" t="n">
        <v>0</v>
      </c>
      <c r="AP107" t="n">
        <v>4</v>
      </c>
      <c r="BP107" t="n">
        <v>1</v>
      </c>
      <c r="CG107" t="n">
        <v>200</v>
      </c>
      <c r="CH107" t="n">
        <v>217</v>
      </c>
      <c r="CI107" t="n">
        <v>1934</v>
      </c>
      <c r="CJ107" t="n">
        <v>651</v>
      </c>
      <c r="CQ107" t="n">
        <v>1</v>
      </c>
      <c r="CU107" t="n">
        <v>0</v>
      </c>
      <c r="CV107" t="n">
        <v>0</v>
      </c>
      <c r="CW107" t="n">
        <v>2</v>
      </c>
      <c r="CX107" t="n">
        <v>24</v>
      </c>
      <c r="CY107" t="n">
        <v>51</v>
      </c>
      <c r="CZ107" t="n">
        <v>2070</v>
      </c>
      <c r="DA107" t="n">
        <v>1080</v>
      </c>
      <c r="DB107" t="n">
        <v>417</v>
      </c>
      <c r="DC107" t="n">
        <v>15</v>
      </c>
      <c r="EH107" t="n">
        <v>1097</v>
      </c>
      <c r="EQ107" t="n">
        <v>1598</v>
      </c>
      <c r="ER107" t="n">
        <v>3513</v>
      </c>
      <c r="ES107" t="n">
        <v>3450</v>
      </c>
      <c r="EX107" t="n">
        <v>6920</v>
      </c>
      <c r="EY107" t="n">
        <v>7</v>
      </c>
      <c r="EZ107" t="n">
        <v>194</v>
      </c>
      <c r="FD107" t="n">
        <v>1</v>
      </c>
      <c r="FF107" t="n">
        <v>2</v>
      </c>
      <c r="FK107" t="n">
        <v>575</v>
      </c>
      <c r="FL107" t="n">
        <v>405</v>
      </c>
      <c r="FO107" t="n">
        <v>1004</v>
      </c>
      <c r="IE107" t="n">
        <v>3</v>
      </c>
      <c r="JL107" t="n">
        <v>11</v>
      </c>
      <c r="JN107" t="n">
        <v>131</v>
      </c>
      <c r="JO107" t="n">
        <v>23</v>
      </c>
      <c r="JP107" t="n">
        <v>69</v>
      </c>
      <c r="JQ107" t="n">
        <v>37</v>
      </c>
      <c r="JR107" t="n">
        <v>8</v>
      </c>
      <c r="JS107" t="n">
        <v>81</v>
      </c>
      <c r="JT107" t="n">
        <v>29</v>
      </c>
      <c r="JV107" t="n">
        <v>126</v>
      </c>
      <c r="JX107" t="n">
        <v>0</v>
      </c>
      <c r="JY107" t="n">
        <v>0</v>
      </c>
      <c r="KB107" t="n">
        <v>3</v>
      </c>
      <c r="KC107" t="n">
        <v>36</v>
      </c>
      <c r="KD107" t="n">
        <v>2</v>
      </c>
      <c r="KH107" t="n">
        <v>562</v>
      </c>
      <c r="KI107" t="n">
        <v>68</v>
      </c>
      <c r="KL107" t="n">
        <v>1</v>
      </c>
      <c r="KN107" t="n">
        <v>1</v>
      </c>
      <c r="KR107" t="n">
        <v>0</v>
      </c>
      <c r="KV107" t="n">
        <v>2</v>
      </c>
      <c r="KW107" t="n">
        <v>4</v>
      </c>
      <c r="KX107" t="n">
        <v>2</v>
      </c>
      <c r="KZ107" t="n">
        <v>0</v>
      </c>
      <c r="LO107" t="n">
        <v>119</v>
      </c>
      <c r="LP107" t="n">
        <v>15</v>
      </c>
      <c r="LW107" t="n">
        <v>86</v>
      </c>
      <c r="LZ107" t="n">
        <v>72</v>
      </c>
      <c r="MA107" t="n">
        <v>7</v>
      </c>
      <c r="ME107" t="n">
        <v>2</v>
      </c>
      <c r="MF107" t="n">
        <v>1</v>
      </c>
      <c r="MH107" t="n">
        <v>7</v>
      </c>
      <c r="MK107" t="n">
        <v>3</v>
      </c>
      <c r="MM107" t="n">
        <v>92</v>
      </c>
      <c r="MN107" t="n">
        <v>4</v>
      </c>
      <c r="MO107" t="n">
        <v>60</v>
      </c>
      <c r="MZ107" t="n">
        <v>2</v>
      </c>
      <c r="NA107" t="n">
        <v>2</v>
      </c>
      <c r="NC107" t="n">
        <v>9</v>
      </c>
      <c r="NE107" t="n">
        <v>8</v>
      </c>
      <c r="NM107" t="n">
        <v>2</v>
      </c>
      <c r="NO107" t="n">
        <v>11</v>
      </c>
      <c r="NP107" t="n">
        <v>8</v>
      </c>
      <c r="NR107" t="n">
        <v>1442</v>
      </c>
      <c r="NS107" t="n">
        <v>70</v>
      </c>
      <c r="NT107" t="n">
        <v>797</v>
      </c>
      <c r="NU107" t="n">
        <v>86</v>
      </c>
      <c r="NX107" t="n">
        <v>2</v>
      </c>
      <c r="OA107" t="n">
        <v>26</v>
      </c>
      <c r="OD107" t="n">
        <v>126</v>
      </c>
      <c r="OK107" t="n">
        <v>285</v>
      </c>
      <c r="OL107" t="n">
        <v>33</v>
      </c>
      <c r="OM107" t="n">
        <v>5</v>
      </c>
      <c r="ON107" t="n">
        <v>64</v>
      </c>
      <c r="OO107" t="n">
        <v>30134</v>
      </c>
      <c r="OP107" t="n">
        <v>382</v>
      </c>
      <c r="OQ107" t="n">
        <v>3533</v>
      </c>
      <c r="OU107" t="n">
        <v>186</v>
      </c>
      <c r="OV107" t="n">
        <v>11640</v>
      </c>
      <c r="PB107" t="n">
        <v>28</v>
      </c>
      <c r="PF107" t="n">
        <v>613</v>
      </c>
      <c r="PI107" t="n">
        <v>46517</v>
      </c>
      <c r="PM107">
        <f>IFERROR(VLOOKUP($A107&amp;"",Key!$A:$C,3,FALSE),"")</f>
        <v/>
      </c>
    </row>
    <row r="108">
      <c r="A108" t="n">
        <v>333912</v>
      </c>
      <c r="B108" t="inlineStr">
        <is>
          <t>Air and gas compressor manufacturing</t>
        </is>
      </c>
      <c r="N108" t="n">
        <v>3</v>
      </c>
      <c r="AA108" t="n">
        <v>82</v>
      </c>
      <c r="AB108" t="n">
        <v>377</v>
      </c>
      <c r="AC108" t="n">
        <v>29</v>
      </c>
      <c r="AD108" t="n">
        <v>67</v>
      </c>
      <c r="AE108" t="n">
        <v>55</v>
      </c>
      <c r="AF108" t="n">
        <v>73</v>
      </c>
      <c r="AG108" t="n">
        <v>206</v>
      </c>
      <c r="AH108" t="n">
        <v>1</v>
      </c>
      <c r="AI108" t="n">
        <v>151</v>
      </c>
      <c r="AJ108" t="n">
        <v>40</v>
      </c>
      <c r="AK108" t="n">
        <v>212</v>
      </c>
      <c r="AL108" t="n">
        <v>181</v>
      </c>
      <c r="CK108" t="n">
        <v>44</v>
      </c>
      <c r="CL108" t="n">
        <v>199</v>
      </c>
      <c r="DA108" t="n">
        <v>560</v>
      </c>
      <c r="FB108" t="n">
        <v>133</v>
      </c>
      <c r="HT108" t="n">
        <v>2</v>
      </c>
      <c r="HU108" t="n">
        <v>1</v>
      </c>
      <c r="II108" t="n">
        <v>1</v>
      </c>
      <c r="IJ108" t="n">
        <v>1</v>
      </c>
      <c r="IK108" t="n">
        <v>1</v>
      </c>
      <c r="IL108" t="n">
        <v>1</v>
      </c>
      <c r="IZ108" t="n">
        <v>48</v>
      </c>
      <c r="JE108" t="n">
        <v>21</v>
      </c>
      <c r="JG108" t="n">
        <v>86</v>
      </c>
      <c r="JV108" t="n">
        <v>35</v>
      </c>
      <c r="KJ108" t="n">
        <v>1</v>
      </c>
      <c r="KK108" t="n">
        <v>5</v>
      </c>
      <c r="KW108" t="n">
        <v>14</v>
      </c>
      <c r="KX108" t="n">
        <v>91</v>
      </c>
      <c r="KY108" t="n">
        <v>3</v>
      </c>
      <c r="LZ108" t="n">
        <v>10</v>
      </c>
      <c r="MO108" t="n">
        <v>0</v>
      </c>
      <c r="MZ108" t="n">
        <v>25</v>
      </c>
      <c r="NO108" t="n">
        <v>2</v>
      </c>
      <c r="NP108" t="n">
        <v>53</v>
      </c>
      <c r="NQ108" t="n">
        <v>16</v>
      </c>
      <c r="NR108" t="n">
        <v>16</v>
      </c>
      <c r="OB108" t="n">
        <v>2</v>
      </c>
      <c r="ON108" t="n">
        <v>17</v>
      </c>
      <c r="OO108" t="n">
        <v>2867</v>
      </c>
      <c r="OQ108" t="n">
        <v>9225</v>
      </c>
      <c r="OU108" t="n">
        <v>-49</v>
      </c>
      <c r="OV108" t="n">
        <v>2972</v>
      </c>
      <c r="OX108" t="n">
        <v>48</v>
      </c>
      <c r="PB108" t="n">
        <v>3</v>
      </c>
      <c r="PI108" t="n">
        <v>15066</v>
      </c>
      <c r="PM108">
        <f>IFERROR(VLOOKUP($A108&amp;"",Key!$A:$C,3,FALSE),"")</f>
        <v/>
      </c>
    </row>
    <row r="109">
      <c r="A109" t="n">
        <v>333914</v>
      </c>
      <c r="B109" t="inlineStr">
        <is>
          <t>Measuring, dispensing, and other pumping equipment manufacturing</t>
        </is>
      </c>
      <c r="C109" t="n">
        <v>8</v>
      </c>
      <c r="P109" t="n">
        <v>828</v>
      </c>
      <c r="R109" t="n">
        <v>39</v>
      </c>
      <c r="V109" t="n">
        <v>169</v>
      </c>
      <c r="W109" t="n">
        <v>281</v>
      </c>
      <c r="AA109" t="n">
        <v>108</v>
      </c>
      <c r="AB109" t="n">
        <v>571</v>
      </c>
      <c r="AC109" t="n">
        <v>302</v>
      </c>
      <c r="AD109" t="n">
        <v>408</v>
      </c>
      <c r="AE109" t="n">
        <v>205</v>
      </c>
      <c r="AG109" t="n">
        <v>1224</v>
      </c>
      <c r="AH109" t="n">
        <v>107</v>
      </c>
      <c r="AI109" t="n">
        <v>741</v>
      </c>
      <c r="AJ109" t="n">
        <v>14</v>
      </c>
      <c r="AK109" t="n">
        <v>1842</v>
      </c>
      <c r="AL109" t="n">
        <v>389</v>
      </c>
      <c r="BD109" t="n">
        <v>54</v>
      </c>
      <c r="CJ109" t="n">
        <v>82</v>
      </c>
      <c r="CK109" t="n">
        <v>47</v>
      </c>
      <c r="CL109" t="n">
        <v>153</v>
      </c>
      <c r="CO109" t="n">
        <v>149</v>
      </c>
      <c r="DA109" t="n">
        <v>11</v>
      </c>
      <c r="DB109" t="n">
        <v>125</v>
      </c>
      <c r="DG109" t="n">
        <v>258</v>
      </c>
      <c r="FL109" t="n">
        <v>176</v>
      </c>
      <c r="JO109" t="n">
        <v>33</v>
      </c>
      <c r="KD109" t="n">
        <v>0</v>
      </c>
      <c r="KF109" t="n">
        <v>29</v>
      </c>
      <c r="KI109" t="n">
        <v>5</v>
      </c>
      <c r="KJ109" t="n">
        <v>17</v>
      </c>
      <c r="KK109" t="n">
        <v>4</v>
      </c>
      <c r="LK109" t="n">
        <v>2</v>
      </c>
      <c r="LL109" t="n">
        <v>1</v>
      </c>
      <c r="LZ109" t="n">
        <v>39</v>
      </c>
      <c r="MF109" t="n">
        <v>3</v>
      </c>
      <c r="MH109" t="n">
        <v>33</v>
      </c>
      <c r="MO109" t="n">
        <v>53</v>
      </c>
      <c r="MZ109" t="n">
        <v>65</v>
      </c>
      <c r="NT109" t="n">
        <v>333</v>
      </c>
      <c r="OI109" t="n">
        <v>109</v>
      </c>
      <c r="OK109" t="n">
        <v>532</v>
      </c>
      <c r="OL109" t="n">
        <v>36</v>
      </c>
      <c r="OM109" t="n">
        <v>13</v>
      </c>
      <c r="ON109" t="n">
        <v>85</v>
      </c>
      <c r="OO109" t="n">
        <v>9684</v>
      </c>
      <c r="OQ109" t="n">
        <v>12560</v>
      </c>
      <c r="OU109" t="n">
        <v>85</v>
      </c>
      <c r="OV109" t="n">
        <v>4144</v>
      </c>
      <c r="OX109" t="n">
        <v>433</v>
      </c>
      <c r="PB109" t="n">
        <v>19</v>
      </c>
      <c r="PF109" t="n">
        <v>25</v>
      </c>
      <c r="PI109" t="n">
        <v>26950</v>
      </c>
      <c r="PM109">
        <f>IFERROR(VLOOKUP($A109&amp;"",Key!$A:$C,3,FALSE),"")</f>
        <v/>
      </c>
    </row>
    <row r="110">
      <c r="A110" t="n">
        <v>333920</v>
      </c>
      <c r="B110" t="inlineStr">
        <is>
          <t>Material handling equipment manufacturing</t>
        </is>
      </c>
      <c r="C110" t="n">
        <v>6</v>
      </c>
      <c r="D110" t="n">
        <v>1</v>
      </c>
      <c r="I110" t="n">
        <v>2</v>
      </c>
      <c r="J110" t="n">
        <v>1</v>
      </c>
      <c r="M110" t="n">
        <v>0</v>
      </c>
      <c r="O110" t="n">
        <v>2</v>
      </c>
      <c r="P110" t="n">
        <v>543</v>
      </c>
      <c r="Q110" t="n">
        <v>340</v>
      </c>
      <c r="R110" t="n">
        <v>27</v>
      </c>
      <c r="S110" t="n">
        <v>334</v>
      </c>
      <c r="T110" t="n">
        <v>193</v>
      </c>
      <c r="U110" t="n">
        <v>306</v>
      </c>
      <c r="V110" t="n">
        <v>371</v>
      </c>
      <c r="W110" t="n">
        <v>694</v>
      </c>
      <c r="Z110" t="n">
        <v>0</v>
      </c>
      <c r="AA110" t="n">
        <v>333</v>
      </c>
      <c r="AB110" t="n">
        <v>310</v>
      </c>
      <c r="AC110" t="n">
        <v>12</v>
      </c>
      <c r="AD110" t="n">
        <v>1</v>
      </c>
      <c r="AE110" t="n">
        <v>1886</v>
      </c>
      <c r="AF110" t="n">
        <v>45</v>
      </c>
      <c r="AG110" t="n">
        <v>1263</v>
      </c>
      <c r="AH110" t="n">
        <v>1027</v>
      </c>
      <c r="AI110" t="n">
        <v>343</v>
      </c>
      <c r="AJ110" t="n">
        <v>82</v>
      </c>
      <c r="AK110" t="n">
        <v>13</v>
      </c>
      <c r="AL110" t="n">
        <v>123</v>
      </c>
      <c r="AN110" t="n">
        <v>37</v>
      </c>
      <c r="AO110" t="n">
        <v>12</v>
      </c>
      <c r="AP110" t="n">
        <v>26</v>
      </c>
      <c r="AQ110" t="n">
        <v>2</v>
      </c>
      <c r="AR110" t="n">
        <v>4</v>
      </c>
      <c r="AS110" t="n">
        <v>3</v>
      </c>
      <c r="AT110" t="n">
        <v>4</v>
      </c>
      <c r="AU110" t="n">
        <v>4</v>
      </c>
      <c r="AV110" t="n">
        <v>4</v>
      </c>
      <c r="AW110" t="n">
        <v>0</v>
      </c>
      <c r="AX110" t="n">
        <v>1</v>
      </c>
      <c r="AY110" t="n">
        <v>2</v>
      </c>
      <c r="AZ110" t="n">
        <v>7</v>
      </c>
      <c r="BA110" t="n">
        <v>2</v>
      </c>
      <c r="BC110" t="n">
        <v>14</v>
      </c>
      <c r="BD110" t="n">
        <v>3</v>
      </c>
      <c r="BE110" t="n">
        <v>3</v>
      </c>
      <c r="BF110" t="n">
        <v>0</v>
      </c>
      <c r="BG110" t="n">
        <v>3</v>
      </c>
      <c r="BH110" t="n">
        <v>6</v>
      </c>
      <c r="BI110" t="n">
        <v>2</v>
      </c>
      <c r="BJ110" t="n">
        <v>1</v>
      </c>
      <c r="BK110" t="n">
        <v>5</v>
      </c>
      <c r="BL110" t="n">
        <v>10</v>
      </c>
      <c r="BM110" t="n">
        <v>2</v>
      </c>
      <c r="BN110" t="n">
        <v>2</v>
      </c>
      <c r="BO110" t="n">
        <v>1</v>
      </c>
      <c r="BP110" t="n">
        <v>1</v>
      </c>
      <c r="BQ110" t="n">
        <v>17</v>
      </c>
      <c r="BR110" t="n">
        <v>16</v>
      </c>
      <c r="BS110" t="n">
        <v>7</v>
      </c>
      <c r="BT110" t="n">
        <v>5</v>
      </c>
      <c r="BU110" t="n">
        <v>5</v>
      </c>
      <c r="BW110" t="n">
        <v>2</v>
      </c>
      <c r="BX110" t="n">
        <v>8</v>
      </c>
      <c r="BY110" t="n">
        <v>7</v>
      </c>
      <c r="BZ110" t="n">
        <v>99</v>
      </c>
      <c r="CA110" t="n">
        <v>1</v>
      </c>
      <c r="CB110" t="n">
        <v>7</v>
      </c>
      <c r="CC110" t="n">
        <v>1</v>
      </c>
      <c r="CD110" t="n">
        <v>1</v>
      </c>
      <c r="CE110" t="n">
        <v>5</v>
      </c>
      <c r="CF110" t="n">
        <v>5</v>
      </c>
      <c r="CG110" t="n">
        <v>5</v>
      </c>
      <c r="CH110" t="n">
        <v>3</v>
      </c>
      <c r="CI110" t="n">
        <v>12</v>
      </c>
      <c r="CJ110" t="n">
        <v>18</v>
      </c>
      <c r="CL110" t="n">
        <v>3</v>
      </c>
      <c r="CO110" t="n">
        <v>1</v>
      </c>
      <c r="CP110" t="n">
        <v>2</v>
      </c>
      <c r="CQ110" t="n">
        <v>4</v>
      </c>
      <c r="CR110" t="n">
        <v>3</v>
      </c>
      <c r="CU110" t="n">
        <v>1</v>
      </c>
      <c r="CV110" t="n">
        <v>1</v>
      </c>
      <c r="CW110" t="n">
        <v>7</v>
      </c>
      <c r="CY110" t="n">
        <v>1</v>
      </c>
      <c r="CZ110" t="n">
        <v>1</v>
      </c>
      <c r="DA110" t="n">
        <v>1</v>
      </c>
      <c r="DB110" t="n">
        <v>3</v>
      </c>
      <c r="DC110" t="n">
        <v>183</v>
      </c>
      <c r="DE110" t="n">
        <v>0</v>
      </c>
      <c r="DG110" t="n">
        <v>4</v>
      </c>
      <c r="DH110" t="n">
        <v>6</v>
      </c>
      <c r="DJ110" t="n">
        <v>0</v>
      </c>
      <c r="DN110" t="n">
        <v>0</v>
      </c>
      <c r="DR110" t="n">
        <v>0</v>
      </c>
      <c r="DS110" t="n">
        <v>0</v>
      </c>
      <c r="DX110" t="n">
        <v>0</v>
      </c>
      <c r="DZ110" t="n">
        <v>1</v>
      </c>
      <c r="EB110" t="n">
        <v>0</v>
      </c>
      <c r="EC110" t="n">
        <v>0</v>
      </c>
      <c r="ED110" t="n">
        <v>3</v>
      </c>
      <c r="EE110" t="n">
        <v>4</v>
      </c>
      <c r="EF110" t="n">
        <v>3</v>
      </c>
      <c r="EG110" t="n">
        <v>1</v>
      </c>
      <c r="EH110" t="n">
        <v>1</v>
      </c>
      <c r="EI110" t="n">
        <v>1</v>
      </c>
      <c r="EJ110" t="n">
        <v>2</v>
      </c>
      <c r="EK110" t="n">
        <v>3</v>
      </c>
      <c r="EL110" t="n">
        <v>0</v>
      </c>
      <c r="EM110" t="n">
        <v>1</v>
      </c>
      <c r="EN110" t="n">
        <v>18</v>
      </c>
      <c r="EO110" t="n">
        <v>1</v>
      </c>
      <c r="EP110" t="n">
        <v>2</v>
      </c>
      <c r="EQ110" t="n">
        <v>0</v>
      </c>
      <c r="ER110" t="n">
        <v>6</v>
      </c>
      <c r="ES110" t="n">
        <v>81</v>
      </c>
      <c r="ET110" t="n">
        <v>3</v>
      </c>
      <c r="EU110" t="n">
        <v>1</v>
      </c>
      <c r="EW110" t="n">
        <v>4</v>
      </c>
      <c r="EX110" t="n">
        <v>7</v>
      </c>
      <c r="EY110" t="n">
        <v>15</v>
      </c>
      <c r="EZ110" t="n">
        <v>7</v>
      </c>
      <c r="FA110" t="n">
        <v>5</v>
      </c>
      <c r="FB110" t="n">
        <v>7</v>
      </c>
      <c r="FC110" t="n">
        <v>21</v>
      </c>
      <c r="FD110" t="n">
        <v>22</v>
      </c>
      <c r="FF110" t="n">
        <v>3</v>
      </c>
      <c r="FJ110" t="n">
        <v>0</v>
      </c>
      <c r="FK110" t="n">
        <v>3</v>
      </c>
      <c r="FL110" t="n">
        <v>2</v>
      </c>
      <c r="FO110" t="n">
        <v>1</v>
      </c>
      <c r="FP110" t="n">
        <v>5</v>
      </c>
      <c r="FQ110" t="n">
        <v>3</v>
      </c>
      <c r="FR110" t="n">
        <v>1</v>
      </c>
      <c r="FS110" t="n">
        <v>4</v>
      </c>
      <c r="FT110" t="n">
        <v>18</v>
      </c>
      <c r="FU110" t="n">
        <v>5</v>
      </c>
      <c r="FV110" t="n">
        <v>9</v>
      </c>
      <c r="FW110" t="n">
        <v>5</v>
      </c>
      <c r="FX110" t="n">
        <v>3</v>
      </c>
      <c r="FY110" t="n">
        <v>3</v>
      </c>
      <c r="FZ110" t="n">
        <v>17</v>
      </c>
      <c r="GA110" t="n">
        <v>0</v>
      </c>
      <c r="GC110" t="n">
        <v>0</v>
      </c>
      <c r="GE110" t="n">
        <v>0</v>
      </c>
      <c r="GF110" t="n">
        <v>2</v>
      </c>
      <c r="GG110" t="n">
        <v>3</v>
      </c>
      <c r="GH110" t="n">
        <v>1</v>
      </c>
      <c r="GI110" t="n">
        <v>3</v>
      </c>
      <c r="GJ110" t="n">
        <v>5</v>
      </c>
      <c r="GK110" t="n">
        <v>4</v>
      </c>
      <c r="GL110" t="n">
        <v>1</v>
      </c>
      <c r="GN110" t="n">
        <v>5</v>
      </c>
      <c r="GO110" t="n">
        <v>1</v>
      </c>
      <c r="GP110" t="n">
        <v>17</v>
      </c>
      <c r="GQ110" t="n">
        <v>24</v>
      </c>
      <c r="GR110" t="n">
        <v>20</v>
      </c>
      <c r="GS110" t="n">
        <v>11</v>
      </c>
      <c r="GT110" t="n">
        <v>27</v>
      </c>
      <c r="GU110" t="n">
        <v>14</v>
      </c>
      <c r="GV110" t="n">
        <v>7</v>
      </c>
      <c r="GW110" t="n">
        <v>4</v>
      </c>
      <c r="GX110" t="n">
        <v>25</v>
      </c>
      <c r="GY110" t="n">
        <v>0</v>
      </c>
      <c r="GZ110" t="n">
        <v>11</v>
      </c>
      <c r="HA110" t="n">
        <v>40</v>
      </c>
      <c r="HB110" t="n">
        <v>49</v>
      </c>
      <c r="HC110" t="n">
        <v>38</v>
      </c>
      <c r="HD110" t="n">
        <v>10</v>
      </c>
      <c r="HE110" t="n">
        <v>25</v>
      </c>
      <c r="HF110" t="n">
        <v>25</v>
      </c>
      <c r="HG110" t="n">
        <v>83</v>
      </c>
      <c r="HH110" t="n">
        <v>4</v>
      </c>
      <c r="HI110" t="n">
        <v>1</v>
      </c>
      <c r="HJ110" t="n">
        <v>11</v>
      </c>
      <c r="HK110" t="n">
        <v>21</v>
      </c>
      <c r="HL110" t="n">
        <v>1</v>
      </c>
      <c r="HM110" t="n">
        <v>1</v>
      </c>
      <c r="HN110" t="n">
        <v>3</v>
      </c>
      <c r="HO110" t="n">
        <v>3</v>
      </c>
      <c r="HP110" t="n">
        <v>2</v>
      </c>
      <c r="HQ110" t="n">
        <v>3</v>
      </c>
      <c r="HT110" t="n">
        <v>8</v>
      </c>
      <c r="HU110" t="n">
        <v>10</v>
      </c>
      <c r="HV110" t="n">
        <v>15</v>
      </c>
      <c r="HW110" t="n">
        <v>32</v>
      </c>
      <c r="HX110" t="n">
        <v>42</v>
      </c>
      <c r="HY110" t="n">
        <v>11</v>
      </c>
      <c r="HZ110" t="n">
        <v>8</v>
      </c>
      <c r="IA110" t="n">
        <v>5</v>
      </c>
      <c r="IB110" t="n">
        <v>16</v>
      </c>
      <c r="IC110" t="n">
        <v>4</v>
      </c>
      <c r="IF110" t="n">
        <v>2</v>
      </c>
      <c r="IG110" t="n">
        <v>1</v>
      </c>
      <c r="IJ110" t="n">
        <v>1</v>
      </c>
      <c r="IK110" t="n">
        <v>1</v>
      </c>
      <c r="IL110" t="n">
        <v>1</v>
      </c>
      <c r="IM110" t="n">
        <v>71</v>
      </c>
      <c r="IN110" t="n">
        <v>3</v>
      </c>
      <c r="IP110" t="n">
        <v>1</v>
      </c>
      <c r="IS110" t="n">
        <v>1</v>
      </c>
      <c r="IT110" t="n">
        <v>0</v>
      </c>
      <c r="IU110" t="n">
        <v>4</v>
      </c>
      <c r="IV110" t="n">
        <v>15</v>
      </c>
      <c r="IW110" t="n">
        <v>28</v>
      </c>
      <c r="IX110" t="n">
        <v>3</v>
      </c>
      <c r="IY110" t="n">
        <v>1</v>
      </c>
      <c r="IZ110" t="n">
        <v>9</v>
      </c>
      <c r="JA110" t="n">
        <v>23</v>
      </c>
      <c r="JB110" t="n">
        <v>15</v>
      </c>
      <c r="JC110" t="n">
        <v>11</v>
      </c>
      <c r="JD110" t="n">
        <v>7</v>
      </c>
      <c r="JE110" t="n">
        <v>3</v>
      </c>
      <c r="JF110" t="n">
        <v>4</v>
      </c>
      <c r="JG110" t="n">
        <v>29</v>
      </c>
      <c r="JH110" t="n">
        <v>7</v>
      </c>
      <c r="JI110" t="n">
        <v>2</v>
      </c>
      <c r="JJ110" t="n">
        <v>12</v>
      </c>
      <c r="JK110" t="n">
        <v>7</v>
      </c>
      <c r="JL110" t="n">
        <v>11</v>
      </c>
      <c r="JM110" t="n">
        <v>9</v>
      </c>
      <c r="JN110" t="n">
        <v>8</v>
      </c>
      <c r="JO110" t="n">
        <v>88</v>
      </c>
      <c r="JP110" t="n">
        <v>24</v>
      </c>
      <c r="JQ110" t="n">
        <v>114</v>
      </c>
      <c r="JR110" t="n">
        <v>14</v>
      </c>
      <c r="JS110" t="n">
        <v>123</v>
      </c>
      <c r="JT110" t="n">
        <v>13</v>
      </c>
      <c r="JV110" t="n">
        <v>10</v>
      </c>
      <c r="JW110" t="n">
        <v>62</v>
      </c>
      <c r="JX110" t="n">
        <v>15</v>
      </c>
      <c r="JY110" t="n">
        <v>79</v>
      </c>
      <c r="JZ110" t="n">
        <v>3</v>
      </c>
      <c r="KC110" t="n">
        <v>16</v>
      </c>
      <c r="KD110" t="n">
        <v>45</v>
      </c>
      <c r="KH110" t="n">
        <v>25</v>
      </c>
      <c r="KK110" t="n">
        <v>58</v>
      </c>
      <c r="KL110" t="n">
        <v>28</v>
      </c>
      <c r="KM110" t="n">
        <v>1583</v>
      </c>
      <c r="KN110" t="n">
        <v>0</v>
      </c>
      <c r="KO110" t="n">
        <v>1</v>
      </c>
      <c r="KP110" t="n">
        <v>0</v>
      </c>
      <c r="KQ110" t="n">
        <v>4</v>
      </c>
      <c r="KR110" t="n">
        <v>0</v>
      </c>
      <c r="KS110" t="n">
        <v>1</v>
      </c>
      <c r="KV110" t="n">
        <v>1</v>
      </c>
      <c r="KW110" t="n">
        <v>2</v>
      </c>
      <c r="KX110" t="n">
        <v>0</v>
      </c>
      <c r="KY110" t="n">
        <v>1</v>
      </c>
      <c r="KZ110" t="n">
        <v>2</v>
      </c>
      <c r="LK110" t="n">
        <v>0</v>
      </c>
      <c r="LO110" t="n">
        <v>2</v>
      </c>
      <c r="LR110" t="n">
        <v>0</v>
      </c>
      <c r="LT110" t="n">
        <v>30</v>
      </c>
      <c r="LV110" t="n">
        <v>5</v>
      </c>
      <c r="LW110" t="n">
        <v>53</v>
      </c>
      <c r="LX110" t="n">
        <v>1</v>
      </c>
      <c r="LY110" t="n">
        <v>0</v>
      </c>
      <c r="LZ110" t="n">
        <v>8</v>
      </c>
      <c r="MA110" t="n">
        <v>7</v>
      </c>
      <c r="ME110" t="n">
        <v>1</v>
      </c>
      <c r="MF110" t="n">
        <v>4</v>
      </c>
      <c r="MG110" t="n">
        <v>47</v>
      </c>
      <c r="MH110" t="n">
        <v>29</v>
      </c>
      <c r="MI110" t="n">
        <v>3</v>
      </c>
      <c r="MJ110" t="n">
        <v>3</v>
      </c>
      <c r="MK110" t="n">
        <v>22</v>
      </c>
      <c r="MN110" t="n">
        <v>13</v>
      </c>
      <c r="MO110" t="n">
        <v>762</v>
      </c>
      <c r="MQ110" t="n">
        <v>19</v>
      </c>
      <c r="MZ110" t="n">
        <v>4</v>
      </c>
      <c r="NM110" t="n">
        <v>6</v>
      </c>
      <c r="NR110" t="n">
        <v>97</v>
      </c>
      <c r="NT110" t="n">
        <v>2</v>
      </c>
      <c r="OA110" t="n">
        <v>0</v>
      </c>
      <c r="OB110" t="n">
        <v>0</v>
      </c>
      <c r="OE110" t="n">
        <v>1</v>
      </c>
      <c r="OI110" t="n">
        <v>8</v>
      </c>
      <c r="ON110" t="n">
        <v>0</v>
      </c>
      <c r="OO110" t="n">
        <v>13559</v>
      </c>
      <c r="OQ110" t="n">
        <v>24731</v>
      </c>
      <c r="OU110" t="n">
        <v>446</v>
      </c>
      <c r="OV110" t="n">
        <v>4996</v>
      </c>
      <c r="OX110" t="n">
        <v>128</v>
      </c>
      <c r="PB110" t="n">
        <v>68</v>
      </c>
      <c r="PF110" t="n">
        <v>114</v>
      </c>
      <c r="PI110" t="n">
        <v>44041</v>
      </c>
      <c r="PM110">
        <f>IFERROR(VLOOKUP($A110&amp;"",Key!$A:$C,3,FALSE),"")</f>
        <v/>
      </c>
    </row>
    <row r="111">
      <c r="A111" t="n">
        <v>333991</v>
      </c>
      <c r="B111" t="inlineStr">
        <is>
          <t>Power-driven handtool manufacturing</t>
        </is>
      </c>
      <c r="P111" t="n">
        <v>911</v>
      </c>
      <c r="AA111" t="n">
        <v>26</v>
      </c>
      <c r="AB111" t="n">
        <v>9</v>
      </c>
      <c r="AC111" t="n">
        <v>13</v>
      </c>
      <c r="AD111" t="n">
        <v>2</v>
      </c>
      <c r="AE111" t="n">
        <v>3</v>
      </c>
      <c r="AF111" t="n">
        <v>2</v>
      </c>
      <c r="AG111" t="n">
        <v>37</v>
      </c>
      <c r="AI111" t="n">
        <v>31</v>
      </c>
      <c r="AJ111" t="n">
        <v>2</v>
      </c>
      <c r="AK111" t="n">
        <v>6</v>
      </c>
      <c r="AL111" t="n">
        <v>13</v>
      </c>
      <c r="DD111" t="n">
        <v>4</v>
      </c>
      <c r="KW111" t="n">
        <v>2</v>
      </c>
      <c r="KX111" t="n">
        <v>14</v>
      </c>
      <c r="LZ111" t="n">
        <v>2</v>
      </c>
      <c r="NP111" t="n">
        <v>2</v>
      </c>
      <c r="NQ111" t="n">
        <v>1</v>
      </c>
      <c r="OI111" t="n">
        <v>107</v>
      </c>
      <c r="OK111" t="n">
        <v>26</v>
      </c>
      <c r="OO111" t="n">
        <v>1211</v>
      </c>
      <c r="OP111" t="n">
        <v>11887</v>
      </c>
      <c r="OQ111" t="n">
        <v>6988</v>
      </c>
      <c r="OU111" t="n">
        <v>97</v>
      </c>
      <c r="OV111" t="n">
        <v>701</v>
      </c>
      <c r="OX111" t="n">
        <v>1</v>
      </c>
      <c r="PF111" t="n">
        <v>356</v>
      </c>
      <c r="PI111" t="n">
        <v>21241</v>
      </c>
      <c r="PM111">
        <f>IFERROR(VLOOKUP($A111&amp;"",Key!$A:$C,3,FALSE),"")</f>
        <v/>
      </c>
    </row>
    <row r="112">
      <c r="A112" t="n">
        <v>333993</v>
      </c>
      <c r="B112" t="inlineStr">
        <is>
          <t>Packaging machinery manufacturing</t>
        </is>
      </c>
      <c r="DC112" t="n">
        <v>5</v>
      </c>
      <c r="DE112" t="n">
        <v>1796</v>
      </c>
      <c r="HI112" t="n">
        <v>1640</v>
      </c>
      <c r="IX112" t="n">
        <v>1214</v>
      </c>
      <c r="OO112" t="n">
        <v>4655</v>
      </c>
      <c r="OQ112" t="n">
        <v>6276</v>
      </c>
      <c r="OU112" t="n">
        <v>12</v>
      </c>
      <c r="OV112" t="n">
        <v>892</v>
      </c>
      <c r="PB112" t="n">
        <v>2</v>
      </c>
      <c r="PI112" t="n">
        <v>11838</v>
      </c>
      <c r="PM112">
        <f>IFERROR(VLOOKUP($A112&amp;"",Key!$A:$C,3,FALSE),"")</f>
        <v/>
      </c>
    </row>
    <row r="113">
      <c r="A113" t="n">
        <v>333994</v>
      </c>
      <c r="B113" t="inlineStr">
        <is>
          <t>Industrial process furnace and oven manufacturing</t>
        </is>
      </c>
      <c r="AB113" t="n">
        <v>56</v>
      </c>
      <c r="BX113" t="n">
        <v>22</v>
      </c>
      <c r="BZ113" t="n">
        <v>221</v>
      </c>
      <c r="CF113" t="n">
        <v>10</v>
      </c>
      <c r="DF113" t="n">
        <v>533</v>
      </c>
      <c r="OD113" t="n">
        <v>31</v>
      </c>
      <c r="OE113" t="n">
        <v>44</v>
      </c>
      <c r="OO113" t="n">
        <v>918</v>
      </c>
      <c r="OQ113" t="n">
        <v>1683</v>
      </c>
      <c r="OU113" t="n">
        <v>15</v>
      </c>
      <c r="OV113" t="n">
        <v>1230</v>
      </c>
      <c r="PF113" t="n">
        <v>25</v>
      </c>
      <c r="PI113" t="n">
        <v>3871</v>
      </c>
      <c r="PM113">
        <f>IFERROR(VLOOKUP($A113&amp;"",Key!$A:$C,3,FALSE),"")</f>
        <v/>
      </c>
    </row>
    <row r="114">
      <c r="A114" t="inlineStr">
        <is>
          <t>33399A</t>
        </is>
      </c>
      <c r="B114" t="inlineStr">
        <is>
          <t>Other general purpose machinery manufacturing</t>
        </is>
      </c>
      <c r="C114" t="n">
        <v>1</v>
      </c>
      <c r="D114" t="n">
        <v>4</v>
      </c>
      <c r="E114" t="n">
        <v>1</v>
      </c>
      <c r="G114" t="n">
        <v>0</v>
      </c>
      <c r="H114" t="n">
        <v>1</v>
      </c>
      <c r="I114" t="n">
        <v>4</v>
      </c>
      <c r="K114" t="n">
        <v>0</v>
      </c>
      <c r="L114" t="n">
        <v>0</v>
      </c>
      <c r="P114" t="n">
        <v>461</v>
      </c>
      <c r="R114" t="n">
        <v>16</v>
      </c>
      <c r="S114" t="n">
        <v>60</v>
      </c>
      <c r="V114" t="n">
        <v>68</v>
      </c>
      <c r="W114" t="n">
        <v>112</v>
      </c>
      <c r="X114" t="n">
        <v>32</v>
      </c>
      <c r="Y114" t="n">
        <v>1</v>
      </c>
      <c r="AA114" t="n">
        <v>132</v>
      </c>
      <c r="AB114" t="n">
        <v>482</v>
      </c>
      <c r="AC114" t="n">
        <v>59</v>
      </c>
      <c r="AD114" t="n">
        <v>3</v>
      </c>
      <c r="AE114" t="n">
        <v>476</v>
      </c>
      <c r="AF114" t="n">
        <v>20</v>
      </c>
      <c r="AG114" t="n">
        <v>104</v>
      </c>
      <c r="AH114" t="n">
        <v>3077</v>
      </c>
      <c r="AI114" t="n">
        <v>43</v>
      </c>
      <c r="AJ114" t="n">
        <v>16</v>
      </c>
      <c r="AK114" t="n">
        <v>79</v>
      </c>
      <c r="AL114" t="n">
        <v>29</v>
      </c>
      <c r="AM114" t="n">
        <v>3</v>
      </c>
      <c r="AN114" t="n">
        <v>6</v>
      </c>
      <c r="AO114" t="n">
        <v>13</v>
      </c>
      <c r="AP114" t="n">
        <v>19</v>
      </c>
      <c r="AQ114" t="n">
        <v>6</v>
      </c>
      <c r="AR114" t="n">
        <v>9</v>
      </c>
      <c r="AS114" t="n">
        <v>2</v>
      </c>
      <c r="AT114" t="n">
        <v>8</v>
      </c>
      <c r="AU114" t="n">
        <v>2</v>
      </c>
      <c r="AV114" t="n">
        <v>3</v>
      </c>
      <c r="AW114" t="n">
        <v>2</v>
      </c>
      <c r="AX114" t="n">
        <v>8</v>
      </c>
      <c r="AY114" t="n">
        <v>1</v>
      </c>
      <c r="AZ114" t="n">
        <v>1</v>
      </c>
      <c r="BA114" t="n">
        <v>2</v>
      </c>
      <c r="BB114" t="n">
        <v>2</v>
      </c>
      <c r="BC114" t="n">
        <v>4</v>
      </c>
      <c r="BD114" t="n">
        <v>6</v>
      </c>
      <c r="BE114" t="n">
        <v>0</v>
      </c>
      <c r="BF114" t="n">
        <v>1</v>
      </c>
      <c r="BG114" t="n">
        <v>17</v>
      </c>
      <c r="BH114" t="n">
        <v>1</v>
      </c>
      <c r="BI114" t="n">
        <v>1</v>
      </c>
      <c r="BJ114" t="n">
        <v>3</v>
      </c>
      <c r="BK114" t="n">
        <v>9</v>
      </c>
      <c r="BL114" t="n">
        <v>6</v>
      </c>
      <c r="BM114" t="n">
        <v>1</v>
      </c>
      <c r="BN114" t="n">
        <v>1</v>
      </c>
      <c r="BO114" t="n">
        <v>1</v>
      </c>
      <c r="BP114" t="n">
        <v>4</v>
      </c>
      <c r="BQ114" t="n">
        <v>168</v>
      </c>
      <c r="BR114" t="n">
        <v>54</v>
      </c>
      <c r="BS114" t="n">
        <v>52</v>
      </c>
      <c r="BT114" t="n">
        <v>47</v>
      </c>
      <c r="BU114" t="n">
        <v>9</v>
      </c>
      <c r="BV114" t="n">
        <v>0</v>
      </c>
      <c r="BW114" t="n">
        <v>1</v>
      </c>
      <c r="BX114" t="n">
        <v>43</v>
      </c>
      <c r="BY114" t="n">
        <v>23</v>
      </c>
      <c r="BZ114" t="n">
        <v>166</v>
      </c>
      <c r="CA114" t="n">
        <v>0</v>
      </c>
      <c r="CB114" t="n">
        <v>5</v>
      </c>
      <c r="CC114" t="n">
        <v>3</v>
      </c>
      <c r="CD114" t="n">
        <v>1</v>
      </c>
      <c r="CE114" t="n">
        <v>1</v>
      </c>
      <c r="CF114" t="n">
        <v>7</v>
      </c>
      <c r="CG114" t="n">
        <v>75</v>
      </c>
      <c r="CH114" t="n">
        <v>12</v>
      </c>
      <c r="CI114" t="n">
        <v>91</v>
      </c>
      <c r="CJ114" t="n">
        <v>77</v>
      </c>
      <c r="CK114" t="n">
        <v>77</v>
      </c>
      <c r="CL114" t="n">
        <v>107</v>
      </c>
      <c r="CM114" t="n">
        <v>0</v>
      </c>
      <c r="CN114" t="n">
        <v>0</v>
      </c>
      <c r="CO114" t="n">
        <v>35</v>
      </c>
      <c r="CP114" t="n">
        <v>1</v>
      </c>
      <c r="CQ114" t="n">
        <v>18</v>
      </c>
      <c r="CR114" t="n">
        <v>1</v>
      </c>
      <c r="CS114" t="n">
        <v>8</v>
      </c>
      <c r="CT114" t="n">
        <v>27</v>
      </c>
      <c r="CU114" t="n">
        <v>25</v>
      </c>
      <c r="CV114" t="n">
        <v>10</v>
      </c>
      <c r="CW114" t="n">
        <v>212</v>
      </c>
      <c r="CX114" t="n">
        <v>0</v>
      </c>
      <c r="CY114" t="n">
        <v>1</v>
      </c>
      <c r="CZ114" t="n">
        <v>158</v>
      </c>
      <c r="DA114" t="n">
        <v>7</v>
      </c>
      <c r="DB114" t="n">
        <v>21</v>
      </c>
      <c r="DC114" t="n">
        <v>22</v>
      </c>
      <c r="DE114" t="n">
        <v>1</v>
      </c>
      <c r="DF114" t="n">
        <v>6</v>
      </c>
      <c r="DG114" t="n">
        <v>1543</v>
      </c>
      <c r="DH114" t="n">
        <v>35</v>
      </c>
      <c r="DJ114" t="n">
        <v>0</v>
      </c>
      <c r="DK114" t="n">
        <v>0</v>
      </c>
      <c r="DM114" t="n">
        <v>0</v>
      </c>
      <c r="DO114" t="n">
        <v>0</v>
      </c>
      <c r="DR114" t="n">
        <v>0</v>
      </c>
      <c r="DS114" t="n">
        <v>1</v>
      </c>
      <c r="DZ114" t="n">
        <v>1</v>
      </c>
      <c r="EA114" t="n">
        <v>0</v>
      </c>
      <c r="EB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1</v>
      </c>
      <c r="EI114" t="n">
        <v>1</v>
      </c>
      <c r="EJ114" t="n">
        <v>1</v>
      </c>
      <c r="EK114" t="n">
        <v>0</v>
      </c>
      <c r="EM114" t="n">
        <v>0</v>
      </c>
      <c r="EN114" t="n">
        <v>2</v>
      </c>
      <c r="EP114" t="n">
        <v>1</v>
      </c>
      <c r="EQ114" t="n">
        <v>20</v>
      </c>
      <c r="ER114" t="n">
        <v>72</v>
      </c>
      <c r="ES114" t="n">
        <v>44</v>
      </c>
      <c r="ET114" t="n">
        <v>201</v>
      </c>
      <c r="EU114" t="n">
        <v>16</v>
      </c>
      <c r="EV114" t="n">
        <v>0</v>
      </c>
      <c r="EW114" t="n">
        <v>2</v>
      </c>
      <c r="EX114" t="n">
        <v>120</v>
      </c>
      <c r="EY114" t="n">
        <v>39</v>
      </c>
      <c r="EZ114" t="n">
        <v>154</v>
      </c>
      <c r="FA114" t="n">
        <v>1</v>
      </c>
      <c r="FB114" t="n">
        <v>1</v>
      </c>
      <c r="FC114" t="n">
        <v>117</v>
      </c>
      <c r="FD114" t="n">
        <v>44</v>
      </c>
      <c r="FE114" t="n">
        <v>312</v>
      </c>
      <c r="FF114" t="n">
        <v>5</v>
      </c>
      <c r="FG114" t="n">
        <v>4</v>
      </c>
      <c r="FH114" t="n">
        <v>1</v>
      </c>
      <c r="FI114" t="n">
        <v>4</v>
      </c>
      <c r="FJ114" t="n">
        <v>30</v>
      </c>
      <c r="FK114" t="n">
        <v>31</v>
      </c>
      <c r="FL114" t="n">
        <v>8</v>
      </c>
      <c r="FN114" t="n">
        <v>0</v>
      </c>
      <c r="FP114" t="n">
        <v>8</v>
      </c>
      <c r="FQ114" t="n">
        <v>4</v>
      </c>
      <c r="FR114" t="n">
        <v>2</v>
      </c>
      <c r="FS114" t="n">
        <v>2</v>
      </c>
      <c r="FU114" t="n">
        <v>3</v>
      </c>
      <c r="FV114" t="n">
        <v>6</v>
      </c>
      <c r="FX114" t="n">
        <v>2</v>
      </c>
      <c r="FY114" t="n">
        <v>1</v>
      </c>
      <c r="GC114" t="n">
        <v>2</v>
      </c>
      <c r="GD114" t="n">
        <v>1</v>
      </c>
      <c r="GE114" t="n">
        <v>1</v>
      </c>
      <c r="GF114" t="n">
        <v>1</v>
      </c>
      <c r="GG114" t="n">
        <v>3</v>
      </c>
      <c r="GH114" t="n">
        <v>70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1</v>
      </c>
      <c r="GQ114" t="n">
        <v>1</v>
      </c>
      <c r="GR114" t="n">
        <v>1</v>
      </c>
      <c r="GS114" t="n">
        <v>0</v>
      </c>
      <c r="GU114" t="n">
        <v>0</v>
      </c>
      <c r="GW114" t="n">
        <v>1</v>
      </c>
      <c r="GX114" t="n">
        <v>1</v>
      </c>
      <c r="GY114" t="n">
        <v>0</v>
      </c>
      <c r="GZ114" t="n">
        <v>0</v>
      </c>
      <c r="HA114" t="n">
        <v>0</v>
      </c>
      <c r="HB114" t="n">
        <v>0</v>
      </c>
      <c r="HF114" t="n">
        <v>0</v>
      </c>
      <c r="HG114" t="n">
        <v>1</v>
      </c>
      <c r="HH114" t="n">
        <v>0</v>
      </c>
      <c r="HI114" t="n">
        <v>0</v>
      </c>
      <c r="HK114" t="n">
        <v>2</v>
      </c>
      <c r="HL114" t="n">
        <v>1</v>
      </c>
      <c r="HM114" t="n">
        <v>0</v>
      </c>
      <c r="HN114" t="n">
        <v>0</v>
      </c>
      <c r="HO114" t="n">
        <v>0</v>
      </c>
      <c r="HP114" t="n">
        <v>0</v>
      </c>
      <c r="HQ114" t="n">
        <v>2</v>
      </c>
      <c r="HR114" t="n">
        <v>0</v>
      </c>
      <c r="HS114" t="n">
        <v>0</v>
      </c>
      <c r="HT114" t="n">
        <v>0</v>
      </c>
      <c r="HU114" t="n">
        <v>2</v>
      </c>
      <c r="HV114" t="n">
        <v>1</v>
      </c>
      <c r="HW114" t="n">
        <v>2</v>
      </c>
      <c r="HX114" t="n">
        <v>1</v>
      </c>
      <c r="HY114" t="n">
        <v>0</v>
      </c>
      <c r="HZ114" t="n">
        <v>0</v>
      </c>
      <c r="IB114" t="n">
        <v>2</v>
      </c>
      <c r="IC114" t="n">
        <v>0</v>
      </c>
      <c r="ID114" t="n">
        <v>14</v>
      </c>
      <c r="IE114" t="n">
        <v>0</v>
      </c>
      <c r="IF114" t="n">
        <v>0</v>
      </c>
      <c r="IG114" t="n">
        <v>0</v>
      </c>
      <c r="IH114" t="n">
        <v>1</v>
      </c>
      <c r="II114" t="n">
        <v>0</v>
      </c>
      <c r="IJ114" t="n">
        <v>0</v>
      </c>
      <c r="IK114" t="n">
        <v>1</v>
      </c>
      <c r="IL114" t="n">
        <v>4</v>
      </c>
      <c r="IM114" t="n">
        <v>19</v>
      </c>
      <c r="IN114" t="n">
        <v>0</v>
      </c>
      <c r="IP114" t="n">
        <v>1</v>
      </c>
      <c r="IR114" t="n">
        <v>0</v>
      </c>
      <c r="IS114" t="n">
        <v>0</v>
      </c>
      <c r="IT114" t="n">
        <v>0</v>
      </c>
      <c r="IU114" t="n">
        <v>223</v>
      </c>
      <c r="IW114" t="n">
        <v>0</v>
      </c>
      <c r="IX114" t="n">
        <v>0</v>
      </c>
      <c r="IY114" t="n">
        <v>0</v>
      </c>
      <c r="IZ114" t="n">
        <v>32</v>
      </c>
      <c r="JA114" t="n">
        <v>1</v>
      </c>
      <c r="JB114" t="n">
        <v>0</v>
      </c>
      <c r="JD114" t="n">
        <v>0</v>
      </c>
      <c r="JE114" t="n">
        <v>0</v>
      </c>
      <c r="JF114" t="n">
        <v>0</v>
      </c>
      <c r="JG114" t="n">
        <v>5</v>
      </c>
      <c r="JH114" t="n">
        <v>1</v>
      </c>
      <c r="JI114" t="n">
        <v>0</v>
      </c>
      <c r="JJ114" t="n">
        <v>1</v>
      </c>
      <c r="JL114" t="n">
        <v>0</v>
      </c>
      <c r="JR114" t="n">
        <v>0</v>
      </c>
      <c r="KB114" t="n">
        <v>0</v>
      </c>
      <c r="KD114" t="n">
        <v>0</v>
      </c>
      <c r="KF114" t="n">
        <v>3</v>
      </c>
      <c r="KH114" t="n">
        <v>6</v>
      </c>
      <c r="KK114" t="n">
        <v>0</v>
      </c>
      <c r="KW114" t="n">
        <v>2</v>
      </c>
      <c r="KX114" t="n">
        <v>11</v>
      </c>
      <c r="LC114" t="n">
        <v>1</v>
      </c>
      <c r="LD114" t="n">
        <v>1</v>
      </c>
      <c r="LE114" t="n">
        <v>1</v>
      </c>
      <c r="LF114" t="n">
        <v>0</v>
      </c>
      <c r="LM114" t="n">
        <v>0</v>
      </c>
      <c r="LO114" t="n">
        <v>85</v>
      </c>
      <c r="LR114" t="n">
        <v>1</v>
      </c>
      <c r="LV114" t="n">
        <v>0</v>
      </c>
      <c r="LW114" t="n">
        <v>0</v>
      </c>
      <c r="LX114" t="n">
        <v>1</v>
      </c>
      <c r="LZ114" t="n">
        <v>1</v>
      </c>
      <c r="MD114" t="n">
        <v>3</v>
      </c>
      <c r="MF114" t="n">
        <v>42</v>
      </c>
      <c r="MH114" t="n">
        <v>7</v>
      </c>
      <c r="MK114" t="n">
        <v>0</v>
      </c>
      <c r="MM114" t="n">
        <v>34</v>
      </c>
      <c r="MN114" t="n">
        <v>0</v>
      </c>
      <c r="MO114" t="n">
        <v>13</v>
      </c>
      <c r="MQ114" t="n">
        <v>0</v>
      </c>
      <c r="MS114" t="n">
        <v>147</v>
      </c>
      <c r="MT114" t="n">
        <v>0</v>
      </c>
      <c r="MU114" t="n">
        <v>4</v>
      </c>
      <c r="MV114" t="n">
        <v>6</v>
      </c>
      <c r="MY114" t="n">
        <v>20</v>
      </c>
      <c r="MZ114" t="n">
        <v>20</v>
      </c>
      <c r="NO114" t="n">
        <v>1</v>
      </c>
      <c r="NP114" t="n">
        <v>14</v>
      </c>
      <c r="NT114" t="n">
        <v>1584</v>
      </c>
      <c r="NU114" t="n">
        <v>19</v>
      </c>
      <c r="NZ114" t="n">
        <v>0</v>
      </c>
      <c r="OB114" t="n">
        <v>1</v>
      </c>
      <c r="OD114" t="n">
        <v>6</v>
      </c>
      <c r="OE114" t="n">
        <v>10</v>
      </c>
      <c r="OI114" t="n">
        <v>1</v>
      </c>
      <c r="OL114" t="n">
        <v>26</v>
      </c>
      <c r="OM114" t="n">
        <v>3</v>
      </c>
      <c r="ON114" t="n">
        <v>143</v>
      </c>
      <c r="OO114" t="n">
        <v>12462</v>
      </c>
      <c r="OP114" t="n">
        <v>1077</v>
      </c>
      <c r="OQ114" t="n">
        <v>18919</v>
      </c>
      <c r="OU114" t="n">
        <v>45</v>
      </c>
      <c r="OV114" t="n">
        <v>13582</v>
      </c>
      <c r="OX114" t="n">
        <v>23</v>
      </c>
      <c r="PB114" t="n">
        <v>6</v>
      </c>
      <c r="PF114" t="n">
        <v>84</v>
      </c>
      <c r="PI114" t="n">
        <v>46198</v>
      </c>
      <c r="PM114">
        <f>IFERROR(VLOOKUP($A114&amp;"",Key!$A:$C,3,FALSE),"")</f>
        <v/>
      </c>
    </row>
    <row r="115">
      <c r="A115" t="inlineStr">
        <is>
          <t>33399B</t>
        </is>
      </c>
      <c r="B115" t="inlineStr">
        <is>
          <t>Fluid power process machinery</t>
        </is>
      </c>
      <c r="AD115" t="n">
        <v>5</v>
      </c>
      <c r="AG115" t="n">
        <v>32</v>
      </c>
      <c r="AK115" t="n">
        <v>16</v>
      </c>
      <c r="BP115" t="n">
        <v>24</v>
      </c>
      <c r="BX115" t="n">
        <v>168</v>
      </c>
      <c r="CC115" t="n">
        <v>78</v>
      </c>
      <c r="CF115" t="n">
        <v>46</v>
      </c>
      <c r="CG115" t="n">
        <v>298</v>
      </c>
      <c r="CH115" t="n">
        <v>127</v>
      </c>
      <c r="CI115" t="n">
        <v>530</v>
      </c>
      <c r="CJ115" t="n">
        <v>257</v>
      </c>
      <c r="CK115" t="n">
        <v>97</v>
      </c>
      <c r="CL115" t="n">
        <v>567</v>
      </c>
      <c r="CO115" t="n">
        <v>139</v>
      </c>
      <c r="CQ115" t="n">
        <v>9</v>
      </c>
      <c r="CR115" t="n">
        <v>6</v>
      </c>
      <c r="CS115" t="n">
        <v>29</v>
      </c>
      <c r="CT115" t="n">
        <v>113</v>
      </c>
      <c r="CU115" t="n">
        <v>121</v>
      </c>
      <c r="CV115" t="n">
        <v>73</v>
      </c>
      <c r="CW115" t="n">
        <v>6</v>
      </c>
      <c r="CX115" t="n">
        <v>6</v>
      </c>
      <c r="CY115" t="n">
        <v>5</v>
      </c>
      <c r="CZ115" t="n">
        <v>111</v>
      </c>
      <c r="DA115" t="n">
        <v>60</v>
      </c>
      <c r="DB115" t="n">
        <v>235</v>
      </c>
      <c r="DC115" t="n">
        <v>784</v>
      </c>
      <c r="DE115" t="n">
        <v>46</v>
      </c>
      <c r="DF115" t="n">
        <v>34</v>
      </c>
      <c r="DG115" t="n">
        <v>245</v>
      </c>
      <c r="DH115" t="n">
        <v>1868</v>
      </c>
      <c r="EQ115" t="n">
        <v>263</v>
      </c>
      <c r="ER115" t="n">
        <v>1949</v>
      </c>
      <c r="ES115" t="n">
        <v>151</v>
      </c>
      <c r="ET115" t="n">
        <v>154</v>
      </c>
      <c r="EU115" t="n">
        <v>87</v>
      </c>
      <c r="EW115" t="n">
        <v>49</v>
      </c>
      <c r="EX115" t="n">
        <v>385</v>
      </c>
      <c r="EY115" t="n">
        <v>673</v>
      </c>
      <c r="EZ115" t="n">
        <v>522</v>
      </c>
      <c r="FB115" t="n">
        <v>147</v>
      </c>
      <c r="FC115" t="n">
        <v>843</v>
      </c>
      <c r="FD115" t="n">
        <v>593</v>
      </c>
      <c r="FE115" t="n">
        <v>1680</v>
      </c>
      <c r="FF115" t="n">
        <v>545</v>
      </c>
      <c r="FG115" t="n">
        <v>34</v>
      </c>
      <c r="FH115" t="n">
        <v>37</v>
      </c>
      <c r="FI115" t="n">
        <v>17</v>
      </c>
      <c r="FJ115" t="n">
        <v>129</v>
      </c>
      <c r="FK115" t="n">
        <v>63</v>
      </c>
      <c r="GH115" t="n">
        <v>3</v>
      </c>
      <c r="IB115" t="n">
        <v>790</v>
      </c>
      <c r="JN115" t="n">
        <v>0</v>
      </c>
      <c r="JO115" t="n">
        <v>0</v>
      </c>
      <c r="JV115" t="n">
        <v>9</v>
      </c>
      <c r="KG115" t="n">
        <v>72</v>
      </c>
      <c r="KJ115" t="n">
        <v>0</v>
      </c>
      <c r="KK115" t="n">
        <v>2</v>
      </c>
      <c r="KM115" t="n">
        <v>23</v>
      </c>
      <c r="LZ115" t="n">
        <v>12</v>
      </c>
      <c r="NM115" t="n">
        <v>100</v>
      </c>
      <c r="NT115" t="n">
        <v>86</v>
      </c>
      <c r="OD115" t="n">
        <v>516</v>
      </c>
      <c r="OE115" t="n">
        <v>24</v>
      </c>
      <c r="ON115" t="n">
        <v>5</v>
      </c>
      <c r="OO115" t="n">
        <v>16097</v>
      </c>
      <c r="OQ115" t="n">
        <v>452</v>
      </c>
      <c r="OU115" t="n">
        <v>132</v>
      </c>
      <c r="OV115" t="n">
        <v>3118</v>
      </c>
      <c r="OX115" t="n">
        <v>38</v>
      </c>
      <c r="PI115" t="n">
        <v>19837</v>
      </c>
      <c r="PM115">
        <f>IFERROR(VLOOKUP($A115&amp;"",Key!$A:$C,3,FALSE),"")</f>
        <v/>
      </c>
    </row>
    <row r="116">
      <c r="A116" t="n">
        <v>334111</v>
      </c>
      <c r="B116" t="inlineStr">
        <is>
          <t>Electronic computer manufacturing</t>
        </is>
      </c>
      <c r="H116" t="n">
        <v>72</v>
      </c>
      <c r="CO116" t="n">
        <v>23</v>
      </c>
      <c r="DI116" t="n">
        <v>42</v>
      </c>
      <c r="DK116" t="n">
        <v>542</v>
      </c>
      <c r="DM116" t="n">
        <v>16</v>
      </c>
      <c r="EQ116" t="n">
        <v>103</v>
      </c>
      <c r="ER116" t="n">
        <v>692</v>
      </c>
      <c r="ES116" t="n">
        <v>23</v>
      </c>
      <c r="LS116" t="n">
        <v>2</v>
      </c>
      <c r="LT116" t="n">
        <v>2</v>
      </c>
      <c r="LU116" t="n">
        <v>2</v>
      </c>
      <c r="MF116" t="n">
        <v>131</v>
      </c>
      <c r="MR116" t="n">
        <v>44</v>
      </c>
      <c r="OO116" t="n">
        <v>1694</v>
      </c>
      <c r="OP116" t="n">
        <v>34107</v>
      </c>
      <c r="OQ116" t="n">
        <v>47063</v>
      </c>
      <c r="OU116" t="n">
        <v>334</v>
      </c>
      <c r="OV116" t="n">
        <v>7137</v>
      </c>
      <c r="OX116" t="n">
        <v>1918</v>
      </c>
      <c r="PB116" t="n">
        <v>1724</v>
      </c>
      <c r="PF116" t="n">
        <v>5194</v>
      </c>
      <c r="PI116" t="n">
        <v>99171</v>
      </c>
      <c r="PM116">
        <f>IFERROR(VLOOKUP($A116&amp;"",Key!$A:$C,3,FALSE),"")</f>
        <v/>
      </c>
    </row>
    <row r="117">
      <c r="A117" t="n">
        <v>334112</v>
      </c>
      <c r="B117" t="inlineStr">
        <is>
          <t>Computer storage device manufacturing</t>
        </is>
      </c>
      <c r="BP117" t="n">
        <v>0</v>
      </c>
      <c r="CI117" t="n">
        <v>1</v>
      </c>
      <c r="CJ117" t="n">
        <v>1</v>
      </c>
      <c r="CL117" t="n">
        <v>1</v>
      </c>
      <c r="CO117" t="n">
        <v>0</v>
      </c>
      <c r="CQ117" t="n">
        <v>1</v>
      </c>
      <c r="CU117" t="n">
        <v>0</v>
      </c>
      <c r="CV117" t="n">
        <v>0</v>
      </c>
      <c r="DB117" t="n">
        <v>1</v>
      </c>
      <c r="DG117" t="n">
        <v>1</v>
      </c>
      <c r="DI117" t="n">
        <v>11</v>
      </c>
      <c r="DJ117" t="n">
        <v>315</v>
      </c>
      <c r="DK117" t="n">
        <v>10</v>
      </c>
      <c r="DL117" t="n">
        <v>0</v>
      </c>
      <c r="DM117" t="n">
        <v>5</v>
      </c>
      <c r="DN117" t="n">
        <v>0</v>
      </c>
      <c r="DR117" t="n">
        <v>1234</v>
      </c>
      <c r="DS117" t="n">
        <v>49</v>
      </c>
      <c r="DY117" t="n">
        <v>3</v>
      </c>
      <c r="DZ117" t="n">
        <v>12</v>
      </c>
      <c r="EQ117" t="n">
        <v>0</v>
      </c>
      <c r="ER117" t="n">
        <v>0</v>
      </c>
      <c r="ES117" t="n">
        <v>0</v>
      </c>
      <c r="EX117" t="n">
        <v>0</v>
      </c>
      <c r="EY117" t="n">
        <v>0</v>
      </c>
      <c r="EZ117" t="n">
        <v>0</v>
      </c>
      <c r="FC117" t="n">
        <v>1</v>
      </c>
      <c r="FD117" t="n">
        <v>0</v>
      </c>
      <c r="FE117" t="n">
        <v>0</v>
      </c>
      <c r="FF117" t="n">
        <v>2</v>
      </c>
      <c r="FQ117" t="n">
        <v>0</v>
      </c>
      <c r="FR117" t="n">
        <v>0</v>
      </c>
      <c r="GH117" t="n">
        <v>0</v>
      </c>
      <c r="IB117" t="n">
        <v>0</v>
      </c>
      <c r="JL117" t="n">
        <v>0</v>
      </c>
      <c r="JO117" t="n">
        <v>0</v>
      </c>
      <c r="KD117" t="n">
        <v>0</v>
      </c>
      <c r="KE117" t="n">
        <v>0</v>
      </c>
      <c r="KH117" t="n">
        <v>0</v>
      </c>
      <c r="KK117" t="n">
        <v>1</v>
      </c>
      <c r="KN117" t="n">
        <v>0</v>
      </c>
      <c r="KO117" t="n">
        <v>1</v>
      </c>
      <c r="KP117" t="n">
        <v>0</v>
      </c>
      <c r="KQ117" t="n">
        <v>0</v>
      </c>
      <c r="KX117" t="n">
        <v>0</v>
      </c>
      <c r="KZ117" t="n">
        <v>18</v>
      </c>
      <c r="LC117" t="n">
        <v>8</v>
      </c>
      <c r="LD117" t="n">
        <v>7</v>
      </c>
      <c r="LE117" t="n">
        <v>7</v>
      </c>
      <c r="LF117" t="n">
        <v>1</v>
      </c>
      <c r="LR117" t="n">
        <v>0</v>
      </c>
      <c r="LS117" t="n">
        <v>1</v>
      </c>
      <c r="LT117" t="n">
        <v>0</v>
      </c>
      <c r="LU117" t="n">
        <v>111</v>
      </c>
      <c r="LW117" t="n">
        <v>19</v>
      </c>
      <c r="LX117" t="n">
        <v>26</v>
      </c>
      <c r="MB117" t="n">
        <v>1</v>
      </c>
      <c r="ME117" t="n">
        <v>7</v>
      </c>
      <c r="MF117" t="n">
        <v>1</v>
      </c>
      <c r="MG117" t="n">
        <v>2</v>
      </c>
      <c r="MH117" t="n">
        <v>7</v>
      </c>
      <c r="MK117" t="n">
        <v>9</v>
      </c>
      <c r="MN117" t="n">
        <v>1</v>
      </c>
      <c r="MR117" t="n">
        <v>2</v>
      </c>
      <c r="MZ117" t="n">
        <v>8</v>
      </c>
      <c r="NL117" t="n">
        <v>0</v>
      </c>
      <c r="NS117" t="n">
        <v>1</v>
      </c>
      <c r="NV117" t="n">
        <v>0</v>
      </c>
      <c r="OD117" t="n">
        <v>42</v>
      </c>
      <c r="OE117" t="n">
        <v>10</v>
      </c>
      <c r="OI117" t="n">
        <v>71</v>
      </c>
      <c r="OJ117" t="n">
        <v>7</v>
      </c>
      <c r="OK117" t="n">
        <v>9</v>
      </c>
      <c r="OO117" t="n">
        <v>2031</v>
      </c>
      <c r="OP117" t="n">
        <v>4746</v>
      </c>
      <c r="OQ117" t="n">
        <v>4775</v>
      </c>
      <c r="OU117" t="n">
        <v>-583</v>
      </c>
      <c r="OV117" t="n">
        <v>2223</v>
      </c>
      <c r="OX117" t="n">
        <v>265</v>
      </c>
      <c r="PB117" t="n">
        <v>21</v>
      </c>
      <c r="PF117" t="n">
        <v>393</v>
      </c>
      <c r="PI117" t="n">
        <v>13872</v>
      </c>
      <c r="PM117">
        <f>IFERROR(VLOOKUP($A117&amp;"",Key!$A:$C,3,FALSE),"")</f>
        <v/>
      </c>
    </row>
    <row r="118">
      <c r="A118" t="n">
        <v>334118</v>
      </c>
      <c r="B118" t="inlineStr">
        <is>
          <t>Computer terminals and other computer peripheral equipment manufacturing</t>
        </is>
      </c>
      <c r="D118" t="n">
        <v>2</v>
      </c>
      <c r="E118" t="n">
        <v>1</v>
      </c>
      <c r="F118" t="n">
        <v>1</v>
      </c>
      <c r="Q118" t="n">
        <v>12</v>
      </c>
      <c r="T118" t="n">
        <v>2</v>
      </c>
      <c r="U118" t="n">
        <v>1</v>
      </c>
      <c r="V118" t="n">
        <v>12</v>
      </c>
      <c r="W118" t="n">
        <v>47</v>
      </c>
      <c r="X118" t="n">
        <v>13</v>
      </c>
      <c r="AA118" t="n">
        <v>124</v>
      </c>
      <c r="AB118" t="n">
        <v>151</v>
      </c>
      <c r="AC118" t="n">
        <v>42</v>
      </c>
      <c r="AD118" t="n">
        <v>7</v>
      </c>
      <c r="AE118" t="n">
        <v>4</v>
      </c>
      <c r="AF118" t="n">
        <v>7</v>
      </c>
      <c r="AG118" t="n">
        <v>65</v>
      </c>
      <c r="AH118" t="n">
        <v>16</v>
      </c>
      <c r="AI118" t="n">
        <v>9</v>
      </c>
      <c r="AJ118" t="n">
        <v>10</v>
      </c>
      <c r="AK118" t="n">
        <v>59</v>
      </c>
      <c r="AL118" t="n">
        <v>34</v>
      </c>
      <c r="AM118" t="n">
        <v>16</v>
      </c>
      <c r="AN118" t="n">
        <v>5</v>
      </c>
      <c r="AO118" t="n">
        <v>5</v>
      </c>
      <c r="AP118" t="n">
        <v>5</v>
      </c>
      <c r="AQ118" t="n">
        <v>1</v>
      </c>
      <c r="AR118" t="n">
        <v>13</v>
      </c>
      <c r="AT118" t="n">
        <v>16</v>
      </c>
      <c r="AU118" t="n">
        <v>1</v>
      </c>
      <c r="AV118" t="n">
        <v>6</v>
      </c>
      <c r="AY118" t="n">
        <v>2</v>
      </c>
      <c r="AZ118" t="n">
        <v>1</v>
      </c>
      <c r="BA118" t="n">
        <v>3</v>
      </c>
      <c r="BB118" t="n">
        <v>2</v>
      </c>
      <c r="BD118" t="n">
        <v>3</v>
      </c>
      <c r="BH118" t="n">
        <v>11</v>
      </c>
      <c r="BI118" t="n">
        <v>3</v>
      </c>
      <c r="BJ118" t="n">
        <v>1</v>
      </c>
      <c r="BK118" t="n">
        <v>3</v>
      </c>
      <c r="BL118" t="n">
        <v>11</v>
      </c>
      <c r="BM118" t="n">
        <v>4</v>
      </c>
      <c r="BN118" t="n">
        <v>1</v>
      </c>
      <c r="BO118" t="n">
        <v>1</v>
      </c>
      <c r="BP118" t="n">
        <v>5</v>
      </c>
      <c r="BQ118" t="n">
        <v>17</v>
      </c>
      <c r="BR118" t="n">
        <v>12</v>
      </c>
      <c r="BS118" t="n">
        <v>1</v>
      </c>
      <c r="BT118" t="n">
        <v>2</v>
      </c>
      <c r="BU118" t="n">
        <v>2</v>
      </c>
      <c r="BV118" t="n">
        <v>5</v>
      </c>
      <c r="BW118" t="n">
        <v>0</v>
      </c>
      <c r="BX118" t="n">
        <v>7</v>
      </c>
      <c r="BY118" t="n">
        <v>7</v>
      </c>
      <c r="BZ118" t="n">
        <v>9</v>
      </c>
      <c r="CB118" t="n">
        <v>2</v>
      </c>
      <c r="CD118" t="n">
        <v>1</v>
      </c>
      <c r="CI118" t="n">
        <v>1</v>
      </c>
      <c r="CJ118" t="n">
        <v>2</v>
      </c>
      <c r="CK118" t="n">
        <v>2</v>
      </c>
      <c r="CL118" t="n">
        <v>5</v>
      </c>
      <c r="CM118" t="n">
        <v>5</v>
      </c>
      <c r="CO118" t="n">
        <v>42</v>
      </c>
      <c r="CP118" t="n">
        <v>2</v>
      </c>
      <c r="CQ118" t="n">
        <v>2</v>
      </c>
      <c r="CU118" t="n">
        <v>1</v>
      </c>
      <c r="CV118" t="n">
        <v>1</v>
      </c>
      <c r="CY118" t="n">
        <v>1</v>
      </c>
      <c r="DA118" t="n">
        <v>2</v>
      </c>
      <c r="DB118" t="n">
        <v>1</v>
      </c>
      <c r="DE118" t="n">
        <v>1</v>
      </c>
      <c r="DG118" t="n">
        <v>8</v>
      </c>
      <c r="DI118" t="n">
        <v>351</v>
      </c>
      <c r="DJ118" t="n">
        <v>54</v>
      </c>
      <c r="DK118" t="n">
        <v>823</v>
      </c>
      <c r="DL118" t="n">
        <v>51</v>
      </c>
      <c r="DM118" t="n">
        <v>117</v>
      </c>
      <c r="DN118" t="n">
        <v>16</v>
      </c>
      <c r="DO118" t="n">
        <v>271</v>
      </c>
      <c r="DP118" t="n">
        <v>93</v>
      </c>
      <c r="DQ118" t="n">
        <v>18</v>
      </c>
      <c r="DS118" t="n">
        <v>788</v>
      </c>
      <c r="DT118" t="n">
        <v>69</v>
      </c>
      <c r="DU118" t="n">
        <v>55</v>
      </c>
      <c r="DV118" t="n">
        <v>61</v>
      </c>
      <c r="DW118" t="n">
        <v>147</v>
      </c>
      <c r="DX118" t="n">
        <v>67</v>
      </c>
      <c r="DY118" t="n">
        <v>138</v>
      </c>
      <c r="DZ118" t="n">
        <v>145</v>
      </c>
      <c r="EQ118" t="n">
        <v>19</v>
      </c>
      <c r="ER118" t="n">
        <v>147</v>
      </c>
      <c r="ES118" t="n">
        <v>29</v>
      </c>
      <c r="EY118" t="n">
        <v>1</v>
      </c>
      <c r="FC118" t="n">
        <v>6</v>
      </c>
      <c r="FD118" t="n">
        <v>3</v>
      </c>
      <c r="FF118" t="n">
        <v>3</v>
      </c>
      <c r="FK118" t="n">
        <v>5</v>
      </c>
      <c r="FL118" t="n">
        <v>2</v>
      </c>
      <c r="FM118" t="n">
        <v>1</v>
      </c>
      <c r="FP118" t="n">
        <v>6</v>
      </c>
      <c r="FR118" t="n">
        <v>1</v>
      </c>
      <c r="FT118" t="n">
        <v>1</v>
      </c>
      <c r="FU118" t="n">
        <v>2</v>
      </c>
      <c r="FV118" t="n">
        <v>10</v>
      </c>
      <c r="FW118" t="n">
        <v>1</v>
      </c>
      <c r="FX118" t="n">
        <v>5</v>
      </c>
      <c r="FY118" t="n">
        <v>4</v>
      </c>
      <c r="FZ118" t="n">
        <v>1</v>
      </c>
      <c r="GB118" t="n">
        <v>1</v>
      </c>
      <c r="GC118" t="n">
        <v>3</v>
      </c>
      <c r="GD118" t="n">
        <v>2</v>
      </c>
      <c r="GG118" t="n">
        <v>3</v>
      </c>
      <c r="GH118" t="n">
        <v>2</v>
      </c>
      <c r="GL118" t="n">
        <v>1</v>
      </c>
      <c r="GP118" t="n">
        <v>2</v>
      </c>
      <c r="GR118" t="n">
        <v>5</v>
      </c>
      <c r="GU118" t="n">
        <v>12</v>
      </c>
      <c r="GW118" t="n">
        <v>13</v>
      </c>
      <c r="GX118" t="n">
        <v>10</v>
      </c>
      <c r="GY118" t="n">
        <v>3</v>
      </c>
      <c r="GZ118" t="n">
        <v>5</v>
      </c>
      <c r="HA118" t="n">
        <v>4</v>
      </c>
      <c r="HC118" t="n">
        <v>2</v>
      </c>
      <c r="HE118" t="n">
        <v>6</v>
      </c>
      <c r="HF118" t="n">
        <v>7</v>
      </c>
      <c r="HG118" t="n">
        <v>2</v>
      </c>
      <c r="HM118" t="n">
        <v>1</v>
      </c>
      <c r="HQ118" t="n">
        <v>2</v>
      </c>
      <c r="HT118" t="n">
        <v>2</v>
      </c>
      <c r="HV118" t="n">
        <v>4</v>
      </c>
      <c r="HW118" t="n">
        <v>22</v>
      </c>
      <c r="HX118" t="n">
        <v>1</v>
      </c>
      <c r="HY118" t="n">
        <v>1</v>
      </c>
      <c r="IA118" t="n">
        <v>0</v>
      </c>
      <c r="IB118" t="n">
        <v>336</v>
      </c>
      <c r="ID118" t="n">
        <v>53</v>
      </c>
      <c r="IQ118" t="n">
        <v>2</v>
      </c>
      <c r="JA118" t="n">
        <v>8</v>
      </c>
      <c r="JD118" t="n">
        <v>1</v>
      </c>
      <c r="JE118" t="n">
        <v>91</v>
      </c>
      <c r="JF118" t="n">
        <v>1</v>
      </c>
      <c r="JG118" t="n">
        <v>40</v>
      </c>
      <c r="JH118" t="n">
        <v>5</v>
      </c>
      <c r="JJ118" t="n">
        <v>5</v>
      </c>
      <c r="JL118" t="n">
        <v>0</v>
      </c>
      <c r="JP118" t="n">
        <v>15</v>
      </c>
      <c r="JQ118" t="n">
        <v>0</v>
      </c>
      <c r="JV118" t="n">
        <v>321</v>
      </c>
      <c r="JW118" t="n">
        <v>267</v>
      </c>
      <c r="JX118" t="n">
        <v>473</v>
      </c>
      <c r="JY118" t="n">
        <v>98</v>
      </c>
      <c r="JZ118" t="n">
        <v>96</v>
      </c>
      <c r="KA118" t="n">
        <v>194</v>
      </c>
      <c r="KB118" t="n">
        <v>94</v>
      </c>
      <c r="KC118" t="n">
        <v>208</v>
      </c>
      <c r="KD118" t="n">
        <v>136</v>
      </c>
      <c r="KH118" t="n">
        <v>157</v>
      </c>
      <c r="KI118" t="n">
        <v>2</v>
      </c>
      <c r="KJ118" t="n">
        <v>5</v>
      </c>
      <c r="KK118" t="n">
        <v>116</v>
      </c>
      <c r="KM118" t="n">
        <v>95</v>
      </c>
      <c r="KN118" t="n">
        <v>44</v>
      </c>
      <c r="KO118" t="n">
        <v>52</v>
      </c>
      <c r="KP118" t="n">
        <v>111</v>
      </c>
      <c r="KQ118" t="n">
        <v>16</v>
      </c>
      <c r="KT118" t="n">
        <v>14</v>
      </c>
      <c r="KU118" t="n">
        <v>1</v>
      </c>
      <c r="KV118" t="n">
        <v>14</v>
      </c>
      <c r="KW118" t="n">
        <v>350</v>
      </c>
      <c r="KX118" t="n">
        <v>567</v>
      </c>
      <c r="KY118" t="n">
        <v>75</v>
      </c>
      <c r="KZ118" t="n">
        <v>340</v>
      </c>
      <c r="LA118" t="n">
        <v>288</v>
      </c>
      <c r="LB118" t="n">
        <v>0</v>
      </c>
      <c r="LC118" t="n">
        <v>234</v>
      </c>
      <c r="LD118" t="n">
        <v>212</v>
      </c>
      <c r="LE118" t="n">
        <v>811</v>
      </c>
      <c r="LF118" t="n">
        <v>26</v>
      </c>
      <c r="LI118" t="n">
        <v>3</v>
      </c>
      <c r="LJ118" t="n">
        <v>856</v>
      </c>
      <c r="LL118" t="n">
        <v>0</v>
      </c>
      <c r="LM118" t="n">
        <v>922</v>
      </c>
      <c r="LO118" t="n">
        <v>11</v>
      </c>
      <c r="LP118" t="n">
        <v>18</v>
      </c>
      <c r="LR118" t="n">
        <v>872</v>
      </c>
      <c r="LS118" t="n">
        <v>106</v>
      </c>
      <c r="LT118" t="n">
        <v>138</v>
      </c>
      <c r="LU118" t="n">
        <v>294</v>
      </c>
      <c r="LV118" t="n">
        <v>390</v>
      </c>
      <c r="LW118" t="n">
        <v>556</v>
      </c>
      <c r="LX118" t="n">
        <v>961</v>
      </c>
      <c r="LY118" t="n">
        <v>146</v>
      </c>
      <c r="LZ118" t="n">
        <v>222</v>
      </c>
      <c r="MA118" t="n">
        <v>452</v>
      </c>
      <c r="MB118" t="n">
        <v>121</v>
      </c>
      <c r="MC118" t="n">
        <v>113</v>
      </c>
      <c r="MD118" t="n">
        <v>31</v>
      </c>
      <c r="ME118" t="n">
        <v>689</v>
      </c>
      <c r="MF118" t="n">
        <v>1643</v>
      </c>
      <c r="MG118" t="n">
        <v>470</v>
      </c>
      <c r="MH118" t="n">
        <v>994</v>
      </c>
      <c r="MI118" t="n">
        <v>156</v>
      </c>
      <c r="MJ118" t="n">
        <v>101</v>
      </c>
      <c r="MK118" t="n">
        <v>278</v>
      </c>
      <c r="ML118" t="n">
        <v>21</v>
      </c>
      <c r="MM118" t="n">
        <v>108</v>
      </c>
      <c r="MN118" t="n">
        <v>153</v>
      </c>
      <c r="MO118" t="n">
        <v>229</v>
      </c>
      <c r="MP118" t="n">
        <v>57</v>
      </c>
      <c r="MQ118" t="n">
        <v>42</v>
      </c>
      <c r="MR118" t="n">
        <v>105</v>
      </c>
      <c r="MS118" t="n">
        <v>195</v>
      </c>
      <c r="MU118" t="n">
        <v>102</v>
      </c>
      <c r="MW118" t="n">
        <v>55</v>
      </c>
      <c r="MX118" t="n">
        <v>133</v>
      </c>
      <c r="MY118" t="n">
        <v>76</v>
      </c>
      <c r="NA118" t="n">
        <v>53</v>
      </c>
      <c r="NC118" t="n">
        <v>262</v>
      </c>
      <c r="ND118" t="n">
        <v>3</v>
      </c>
      <c r="NE118" t="n">
        <v>190</v>
      </c>
      <c r="NG118" t="n">
        <v>7</v>
      </c>
      <c r="NI118" t="n">
        <v>17</v>
      </c>
      <c r="NK118" t="n">
        <v>7</v>
      </c>
      <c r="NL118" t="n">
        <v>78</v>
      </c>
      <c r="NM118" t="n">
        <v>40</v>
      </c>
      <c r="NN118" t="n">
        <v>153</v>
      </c>
      <c r="NQ118" t="n">
        <v>101</v>
      </c>
      <c r="NR118" t="n">
        <v>8</v>
      </c>
      <c r="NS118" t="n">
        <v>13</v>
      </c>
      <c r="NT118" t="n">
        <v>2</v>
      </c>
      <c r="NV118" t="n">
        <v>51</v>
      </c>
      <c r="NW118" t="n">
        <v>0</v>
      </c>
      <c r="NY118" t="n">
        <v>3</v>
      </c>
      <c r="NZ118" t="n">
        <v>82</v>
      </c>
      <c r="OA118" t="n">
        <v>196</v>
      </c>
      <c r="OB118" t="n">
        <v>21</v>
      </c>
      <c r="OD118" t="n">
        <v>373</v>
      </c>
      <c r="OE118" t="n">
        <v>328</v>
      </c>
      <c r="OI118" t="n">
        <v>937</v>
      </c>
      <c r="OJ118" t="n">
        <v>296</v>
      </c>
      <c r="OK118" t="n">
        <v>275</v>
      </c>
      <c r="ON118" t="n">
        <v>86</v>
      </c>
      <c r="OO118" t="n">
        <v>25879</v>
      </c>
      <c r="OP118" t="n">
        <v>15170</v>
      </c>
      <c r="OQ118" t="n">
        <v>15411</v>
      </c>
      <c r="OU118" t="n">
        <v>195</v>
      </c>
      <c r="OV118" t="n">
        <v>6060</v>
      </c>
      <c r="OX118" t="n">
        <v>175</v>
      </c>
      <c r="PB118" t="n">
        <v>152</v>
      </c>
      <c r="PF118" t="n">
        <v>1858</v>
      </c>
      <c r="PI118" t="n">
        <v>64901</v>
      </c>
      <c r="PM118">
        <f>IFERROR(VLOOKUP($A118&amp;"",Key!$A:$C,3,FALSE),"")</f>
        <v/>
      </c>
    </row>
    <row r="119">
      <c r="A119" t="n">
        <v>334210</v>
      </c>
      <c r="B119" t="inlineStr">
        <is>
          <t>Telephone apparatus manufacturing</t>
        </is>
      </c>
      <c r="AC119" t="n">
        <v>9</v>
      </c>
      <c r="AD119" t="n">
        <v>0</v>
      </c>
      <c r="AE119" t="n">
        <v>8</v>
      </c>
      <c r="AG119" t="n">
        <v>3</v>
      </c>
      <c r="AI119" t="n">
        <v>14</v>
      </c>
      <c r="AL119" t="n">
        <v>2</v>
      </c>
      <c r="DL119" t="n">
        <v>135</v>
      </c>
      <c r="DM119" t="n">
        <v>11</v>
      </c>
      <c r="DN119" t="n">
        <v>1</v>
      </c>
      <c r="DS119" t="n">
        <v>3</v>
      </c>
      <c r="KO119" t="n">
        <v>0</v>
      </c>
      <c r="KR119" t="n">
        <v>0</v>
      </c>
      <c r="KV119" t="n">
        <v>323</v>
      </c>
      <c r="KW119" t="n">
        <v>4275</v>
      </c>
      <c r="KX119" t="n">
        <v>2328</v>
      </c>
      <c r="KY119" t="n">
        <v>698</v>
      </c>
      <c r="KZ119" t="n">
        <v>2</v>
      </c>
      <c r="LA119" t="n">
        <v>13</v>
      </c>
      <c r="LC119" t="n">
        <v>118</v>
      </c>
      <c r="LD119" t="n">
        <v>121</v>
      </c>
      <c r="LE119" t="n">
        <v>108</v>
      </c>
      <c r="LF119" t="n">
        <v>23</v>
      </c>
      <c r="LR119" t="n">
        <v>268</v>
      </c>
      <c r="LS119" t="n">
        <v>0</v>
      </c>
      <c r="LT119" t="n">
        <v>0</v>
      </c>
      <c r="LU119" t="n">
        <v>0</v>
      </c>
      <c r="LV119" t="n">
        <v>139</v>
      </c>
      <c r="MD119" t="n">
        <v>49</v>
      </c>
      <c r="MF119" t="n">
        <v>3822</v>
      </c>
      <c r="MP119" t="n">
        <v>8</v>
      </c>
      <c r="MS119" t="n">
        <v>73</v>
      </c>
      <c r="MZ119" t="n">
        <v>66</v>
      </c>
      <c r="NZ119" t="n">
        <v>1</v>
      </c>
      <c r="OE119" t="n">
        <v>118</v>
      </c>
      <c r="OK119" t="n">
        <v>0</v>
      </c>
      <c r="ON119" t="n">
        <v>1</v>
      </c>
      <c r="OO119" t="n">
        <v>12744</v>
      </c>
      <c r="OP119" t="n">
        <v>823</v>
      </c>
      <c r="OQ119" t="n">
        <v>9279</v>
      </c>
      <c r="OU119" t="n">
        <v>513</v>
      </c>
      <c r="OV119" t="n">
        <v>2612</v>
      </c>
      <c r="OX119" t="n">
        <v>992</v>
      </c>
      <c r="PB119" t="n">
        <v>477</v>
      </c>
      <c r="PF119" t="n">
        <v>486</v>
      </c>
      <c r="PI119" t="n">
        <v>27925</v>
      </c>
      <c r="PM119">
        <f>IFERROR(VLOOKUP($A119&amp;"",Key!$A:$C,3,FALSE),"")</f>
        <v/>
      </c>
    </row>
    <row r="120">
      <c r="A120" t="n">
        <v>334220</v>
      </c>
      <c r="B120" t="inlineStr">
        <is>
          <t>Broadcast and wireless communications equipment</t>
        </is>
      </c>
      <c r="E120" t="n">
        <v>0</v>
      </c>
      <c r="F120" t="n">
        <v>0</v>
      </c>
      <c r="H120" t="n">
        <v>0</v>
      </c>
      <c r="W120" t="n">
        <v>18</v>
      </c>
      <c r="X120" t="n">
        <v>4</v>
      </c>
      <c r="AA120" t="n">
        <v>130</v>
      </c>
      <c r="AB120" t="n">
        <v>1277</v>
      </c>
      <c r="AC120" t="n">
        <v>14</v>
      </c>
      <c r="AD120" t="n">
        <v>30</v>
      </c>
      <c r="AE120" t="n">
        <v>9</v>
      </c>
      <c r="AF120" t="n">
        <v>73</v>
      </c>
      <c r="AG120" t="n">
        <v>10</v>
      </c>
      <c r="AH120" t="n">
        <v>41</v>
      </c>
      <c r="AI120" t="n">
        <v>14</v>
      </c>
      <c r="AJ120" t="n">
        <v>3</v>
      </c>
      <c r="AK120" t="n">
        <v>8</v>
      </c>
      <c r="AL120" t="n">
        <v>3</v>
      </c>
      <c r="CM120" t="n">
        <v>10</v>
      </c>
      <c r="CO120" t="n">
        <v>21</v>
      </c>
      <c r="CV120" t="n">
        <v>216</v>
      </c>
      <c r="CZ120" t="n">
        <v>10</v>
      </c>
      <c r="DK120" t="n">
        <v>18</v>
      </c>
      <c r="DL120" t="n">
        <v>1238</v>
      </c>
      <c r="DM120" t="n">
        <v>2049</v>
      </c>
      <c r="DN120" t="n">
        <v>69</v>
      </c>
      <c r="DO120" t="n">
        <v>84</v>
      </c>
      <c r="DP120" t="n">
        <v>102</v>
      </c>
      <c r="DQ120" t="n">
        <v>114</v>
      </c>
      <c r="DS120" t="n">
        <v>2352</v>
      </c>
      <c r="DT120" t="n">
        <v>25</v>
      </c>
      <c r="DU120" t="n">
        <v>232</v>
      </c>
      <c r="DV120" t="n">
        <v>144</v>
      </c>
      <c r="DW120" t="n">
        <v>366</v>
      </c>
      <c r="DX120" t="n">
        <v>577</v>
      </c>
      <c r="DZ120" t="n">
        <v>661</v>
      </c>
      <c r="EP120" t="n">
        <v>14</v>
      </c>
      <c r="EY120" t="n">
        <v>41</v>
      </c>
      <c r="FE120" t="n">
        <v>9780</v>
      </c>
      <c r="FF120" t="n">
        <v>0</v>
      </c>
      <c r="FG120" t="n">
        <v>271</v>
      </c>
      <c r="FH120" t="n">
        <v>1112</v>
      </c>
      <c r="FI120" t="n">
        <v>85</v>
      </c>
      <c r="IB120" t="n">
        <v>8</v>
      </c>
      <c r="ID120" t="n">
        <v>13</v>
      </c>
      <c r="JG120" t="n">
        <v>10</v>
      </c>
      <c r="JK120" t="n">
        <v>5</v>
      </c>
      <c r="JL120" t="n">
        <v>216</v>
      </c>
      <c r="JM120" t="n">
        <v>288</v>
      </c>
      <c r="JO120" t="n">
        <v>234</v>
      </c>
      <c r="JP120" t="n">
        <v>376</v>
      </c>
      <c r="JR120" t="n">
        <v>145</v>
      </c>
      <c r="JS120" t="n">
        <v>154</v>
      </c>
      <c r="JV120" t="n">
        <v>41</v>
      </c>
      <c r="JW120" t="n">
        <v>49</v>
      </c>
      <c r="JX120" t="n">
        <v>89</v>
      </c>
      <c r="JY120" t="n">
        <v>6</v>
      </c>
      <c r="JZ120" t="n">
        <v>7</v>
      </c>
      <c r="KA120" t="n">
        <v>11</v>
      </c>
      <c r="KB120" t="n">
        <v>6</v>
      </c>
      <c r="KC120" t="n">
        <v>33</v>
      </c>
      <c r="KD120" t="n">
        <v>8</v>
      </c>
      <c r="KH120" t="n">
        <v>72</v>
      </c>
      <c r="KI120" t="n">
        <v>2</v>
      </c>
      <c r="KJ120" t="n">
        <v>1</v>
      </c>
      <c r="KK120" t="n">
        <v>0</v>
      </c>
      <c r="KM120" t="n">
        <v>50</v>
      </c>
      <c r="KO120" t="n">
        <v>177</v>
      </c>
      <c r="KP120" t="n">
        <v>346</v>
      </c>
      <c r="KQ120" t="n">
        <v>63</v>
      </c>
      <c r="KR120" t="n">
        <v>1</v>
      </c>
      <c r="KT120" t="n">
        <v>24</v>
      </c>
      <c r="KU120" t="n">
        <v>3</v>
      </c>
      <c r="KV120" t="n">
        <v>37</v>
      </c>
      <c r="KW120" t="n">
        <v>314</v>
      </c>
      <c r="KX120" t="n">
        <v>1901</v>
      </c>
      <c r="KY120" t="n">
        <v>196</v>
      </c>
      <c r="KZ120" t="n">
        <v>2113</v>
      </c>
      <c r="LA120" t="n">
        <v>583</v>
      </c>
      <c r="LB120" t="n">
        <v>0</v>
      </c>
      <c r="LH120" t="n">
        <v>58</v>
      </c>
      <c r="LJ120" t="n">
        <v>702</v>
      </c>
      <c r="LL120" t="n">
        <v>1</v>
      </c>
      <c r="LM120" t="n">
        <v>41</v>
      </c>
      <c r="LO120" t="n">
        <v>1</v>
      </c>
      <c r="LQ120" t="n">
        <v>71</v>
      </c>
      <c r="LR120" t="n">
        <v>181</v>
      </c>
      <c r="LS120" t="n">
        <v>6</v>
      </c>
      <c r="LT120" t="n">
        <v>120</v>
      </c>
      <c r="LU120" t="n">
        <v>19</v>
      </c>
      <c r="LV120" t="n">
        <v>69</v>
      </c>
      <c r="LW120" t="n">
        <v>66</v>
      </c>
      <c r="LX120" t="n">
        <v>562</v>
      </c>
      <c r="LY120" t="n">
        <v>12</v>
      </c>
      <c r="LZ120" t="n">
        <v>55</v>
      </c>
      <c r="MA120" t="n">
        <v>74</v>
      </c>
      <c r="MB120" t="n">
        <v>5</v>
      </c>
      <c r="MC120" t="n">
        <v>10</v>
      </c>
      <c r="MD120" t="n">
        <v>3</v>
      </c>
      <c r="ME120" t="n">
        <v>50</v>
      </c>
      <c r="MF120" t="n">
        <v>1351</v>
      </c>
      <c r="MG120" t="n">
        <v>1553</v>
      </c>
      <c r="MH120" t="n">
        <v>399</v>
      </c>
      <c r="MI120" t="n">
        <v>57</v>
      </c>
      <c r="MJ120" t="n">
        <v>32</v>
      </c>
      <c r="MK120" t="n">
        <v>49</v>
      </c>
      <c r="ML120" t="n">
        <v>4</v>
      </c>
      <c r="MM120" t="n">
        <v>20</v>
      </c>
      <c r="MN120" t="n">
        <v>40</v>
      </c>
      <c r="MO120" t="n">
        <v>98</v>
      </c>
      <c r="MQ120" t="n">
        <v>10</v>
      </c>
      <c r="MR120" t="n">
        <v>6</v>
      </c>
      <c r="MS120" t="n">
        <v>441</v>
      </c>
      <c r="MU120" t="n">
        <v>31</v>
      </c>
      <c r="MY120" t="n">
        <v>12</v>
      </c>
      <c r="NC120" t="n">
        <v>57</v>
      </c>
      <c r="ND120" t="n">
        <v>0</v>
      </c>
      <c r="NE120" t="n">
        <v>58</v>
      </c>
      <c r="NG120" t="n">
        <v>1</v>
      </c>
      <c r="NI120" t="n">
        <v>3</v>
      </c>
      <c r="NL120" t="n">
        <v>10</v>
      </c>
      <c r="NM120" t="n">
        <v>6</v>
      </c>
      <c r="NN120" t="n">
        <v>2</v>
      </c>
      <c r="NQ120" t="n">
        <v>2</v>
      </c>
      <c r="NR120" t="n">
        <v>94</v>
      </c>
      <c r="NS120" t="n">
        <v>732</v>
      </c>
      <c r="NW120" t="n">
        <v>0</v>
      </c>
      <c r="NY120" t="n">
        <v>0</v>
      </c>
      <c r="NZ120" t="n">
        <v>36</v>
      </c>
      <c r="OA120" t="n">
        <v>94</v>
      </c>
      <c r="OB120" t="n">
        <v>50</v>
      </c>
      <c r="OD120" t="n">
        <v>7118</v>
      </c>
      <c r="OE120" t="n">
        <v>397</v>
      </c>
      <c r="OI120" t="n">
        <v>316</v>
      </c>
      <c r="OO120" t="n">
        <v>43993</v>
      </c>
      <c r="OP120" t="n">
        <v>28272</v>
      </c>
      <c r="OQ120" t="n">
        <v>87439</v>
      </c>
      <c r="OU120" t="n">
        <v>1408</v>
      </c>
      <c r="OV120" t="n">
        <v>17307</v>
      </c>
      <c r="OX120" t="n">
        <v>9121</v>
      </c>
      <c r="PB120" t="n">
        <v>7467</v>
      </c>
      <c r="PF120" t="n">
        <v>3631</v>
      </c>
      <c r="PI120" t="n">
        <v>198637</v>
      </c>
      <c r="PM120">
        <f>IFERROR(VLOOKUP($A120&amp;"",Key!$A:$C,3,FALSE),"")</f>
        <v/>
      </c>
    </row>
    <row r="121">
      <c r="A121" t="n">
        <v>334290</v>
      </c>
      <c r="B121" t="inlineStr">
        <is>
          <t>Other communications equipment manufacturing</t>
        </is>
      </c>
      <c r="Q121" t="n">
        <v>1</v>
      </c>
      <c r="V121" t="n">
        <v>1</v>
      </c>
      <c r="W121" t="n">
        <v>5</v>
      </c>
      <c r="X121" t="n">
        <v>2</v>
      </c>
      <c r="AA121" t="n">
        <v>229</v>
      </c>
      <c r="AB121" t="n">
        <v>71</v>
      </c>
      <c r="AC121" t="n">
        <v>337</v>
      </c>
      <c r="AD121" t="n">
        <v>20</v>
      </c>
      <c r="AE121" t="n">
        <v>84</v>
      </c>
      <c r="AF121" t="n">
        <v>199</v>
      </c>
      <c r="AG121" t="n">
        <v>602</v>
      </c>
      <c r="AH121" t="n">
        <v>15</v>
      </c>
      <c r="AI121" t="n">
        <v>105</v>
      </c>
      <c r="AJ121" t="n">
        <v>20</v>
      </c>
      <c r="AK121" t="n">
        <v>63</v>
      </c>
      <c r="AL121" t="n">
        <v>1749</v>
      </c>
      <c r="BX121" t="n">
        <v>0</v>
      </c>
      <c r="DN121" t="n">
        <v>307</v>
      </c>
      <c r="FK121" t="n">
        <v>0</v>
      </c>
      <c r="GW121" t="n">
        <v>1</v>
      </c>
      <c r="HW121" t="n">
        <v>1</v>
      </c>
      <c r="IB121" t="n">
        <v>2</v>
      </c>
      <c r="ID121" t="n">
        <v>4</v>
      </c>
      <c r="JG121" t="n">
        <v>3</v>
      </c>
      <c r="JK121" t="n">
        <v>0</v>
      </c>
      <c r="JL121" t="n">
        <v>0</v>
      </c>
      <c r="JM121" t="n">
        <v>0</v>
      </c>
      <c r="JN121" t="n">
        <v>0</v>
      </c>
      <c r="JR121" t="n">
        <v>0</v>
      </c>
      <c r="JT121" t="n">
        <v>0</v>
      </c>
      <c r="JV121" t="n">
        <v>9</v>
      </c>
      <c r="JW121" t="n">
        <v>10</v>
      </c>
      <c r="JX121" t="n">
        <v>18</v>
      </c>
      <c r="JZ121" t="n">
        <v>3</v>
      </c>
      <c r="KA121" t="n">
        <v>7</v>
      </c>
      <c r="KB121" t="n">
        <v>1</v>
      </c>
      <c r="KC121" t="n">
        <v>7</v>
      </c>
      <c r="KF121" t="n">
        <v>104</v>
      </c>
      <c r="KH121" t="n">
        <v>33</v>
      </c>
      <c r="KI121" t="n">
        <v>1</v>
      </c>
      <c r="KK121" t="n">
        <v>1</v>
      </c>
      <c r="KM121" t="n">
        <v>9</v>
      </c>
      <c r="KO121" t="n">
        <v>41</v>
      </c>
      <c r="KP121" t="n">
        <v>88</v>
      </c>
      <c r="KQ121" t="n">
        <v>13</v>
      </c>
      <c r="KT121" t="n">
        <v>11</v>
      </c>
      <c r="KV121" t="n">
        <v>11</v>
      </c>
      <c r="KW121" t="n">
        <v>76</v>
      </c>
      <c r="KX121" t="n">
        <v>453</v>
      </c>
      <c r="KY121" t="n">
        <v>55</v>
      </c>
      <c r="KZ121" t="n">
        <v>508</v>
      </c>
      <c r="LA121" t="n">
        <v>191</v>
      </c>
      <c r="LB121" t="n">
        <v>0</v>
      </c>
      <c r="LJ121" t="n">
        <v>211</v>
      </c>
      <c r="LL121" t="n">
        <v>0</v>
      </c>
      <c r="LM121" t="n">
        <v>52</v>
      </c>
      <c r="LN121" t="n">
        <v>48</v>
      </c>
      <c r="LR121" t="n">
        <v>39</v>
      </c>
      <c r="LT121" t="n">
        <v>28</v>
      </c>
      <c r="LU121" t="n">
        <v>10</v>
      </c>
      <c r="LV121" t="n">
        <v>14</v>
      </c>
      <c r="LW121" t="n">
        <v>16</v>
      </c>
      <c r="LX121" t="n">
        <v>26</v>
      </c>
      <c r="LY121" t="n">
        <v>6</v>
      </c>
      <c r="LZ121" t="n">
        <v>21</v>
      </c>
      <c r="MA121" t="n">
        <v>1</v>
      </c>
      <c r="MB121" t="n">
        <v>3</v>
      </c>
      <c r="MC121" t="n">
        <v>4</v>
      </c>
      <c r="MD121" t="n">
        <v>1</v>
      </c>
      <c r="ME121" t="n">
        <v>27</v>
      </c>
      <c r="MF121" t="n">
        <v>549</v>
      </c>
      <c r="MG121" t="n">
        <v>315</v>
      </c>
      <c r="MH121" t="n">
        <v>88</v>
      </c>
      <c r="MI121" t="n">
        <v>12</v>
      </c>
      <c r="MJ121" t="n">
        <v>7</v>
      </c>
      <c r="MK121" t="n">
        <v>18</v>
      </c>
      <c r="ML121" t="n">
        <v>2</v>
      </c>
      <c r="MM121" t="n">
        <v>851</v>
      </c>
      <c r="MN121" t="n">
        <v>11</v>
      </c>
      <c r="MO121" t="n">
        <v>21</v>
      </c>
      <c r="MP121" t="n">
        <v>61</v>
      </c>
      <c r="MR121" t="n">
        <v>1</v>
      </c>
      <c r="MS121" t="n">
        <v>108</v>
      </c>
      <c r="MU121" t="n">
        <v>7</v>
      </c>
      <c r="MY121" t="n">
        <v>5</v>
      </c>
      <c r="NA121" t="n">
        <v>1</v>
      </c>
      <c r="NC121" t="n">
        <v>21</v>
      </c>
      <c r="ND121" t="n">
        <v>4</v>
      </c>
      <c r="NE121" t="n">
        <v>15</v>
      </c>
      <c r="NI121" t="n">
        <v>2</v>
      </c>
      <c r="NL121" t="n">
        <v>6</v>
      </c>
      <c r="NM121" t="n">
        <v>9</v>
      </c>
      <c r="NZ121" t="n">
        <v>7</v>
      </c>
      <c r="OA121" t="n">
        <v>20</v>
      </c>
      <c r="OB121" t="n">
        <v>10</v>
      </c>
      <c r="OK121" t="n">
        <v>37</v>
      </c>
      <c r="OO121" t="n">
        <v>8165</v>
      </c>
      <c r="OP121" t="n">
        <v>18</v>
      </c>
      <c r="OQ121" t="n">
        <v>1026</v>
      </c>
      <c r="OU121" t="n">
        <v>128</v>
      </c>
      <c r="OV121" t="n">
        <v>523</v>
      </c>
      <c r="OX121" t="n">
        <v>55</v>
      </c>
      <c r="PB121" t="n">
        <v>4</v>
      </c>
      <c r="PF121" t="n">
        <v>248</v>
      </c>
      <c r="PI121" t="n">
        <v>10167</v>
      </c>
      <c r="PM121">
        <f>IFERROR(VLOOKUP($A121&amp;"",Key!$A:$C,3,FALSE),"")</f>
        <v/>
      </c>
    </row>
    <row r="122">
      <c r="A122" t="n">
        <v>334413</v>
      </c>
      <c r="B122" t="inlineStr">
        <is>
          <t>Semiconductor and related device manufacturing</t>
        </is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X122" t="n">
        <v>4</v>
      </c>
      <c r="Z122" t="n">
        <v>0</v>
      </c>
      <c r="AM122" t="n">
        <v>190</v>
      </c>
      <c r="AN122" t="n">
        <v>215</v>
      </c>
      <c r="AO122" t="n">
        <v>125</v>
      </c>
      <c r="AP122" t="n">
        <v>172</v>
      </c>
      <c r="AQ122" t="n">
        <v>10</v>
      </c>
      <c r="AR122" t="n">
        <v>43</v>
      </c>
      <c r="AS122" t="n">
        <v>6</v>
      </c>
      <c r="AT122" t="n">
        <v>155</v>
      </c>
      <c r="AU122" t="n">
        <v>4</v>
      </c>
      <c r="AV122" t="n">
        <v>10</v>
      </c>
      <c r="AW122" t="n">
        <v>9</v>
      </c>
      <c r="AX122" t="n">
        <v>8</v>
      </c>
      <c r="AZ122" t="n">
        <v>58</v>
      </c>
      <c r="BA122" t="n">
        <v>31</v>
      </c>
      <c r="BB122" t="n">
        <v>5</v>
      </c>
      <c r="BC122" t="n">
        <v>114</v>
      </c>
      <c r="BD122" t="n">
        <v>77</v>
      </c>
      <c r="BE122" t="n">
        <v>36</v>
      </c>
      <c r="BF122" t="n">
        <v>4</v>
      </c>
      <c r="BG122" t="n">
        <v>202</v>
      </c>
      <c r="BH122" t="n">
        <v>137</v>
      </c>
      <c r="BI122" t="n">
        <v>56</v>
      </c>
      <c r="BJ122" t="n">
        <v>17</v>
      </c>
      <c r="BK122" t="n">
        <v>20</v>
      </c>
      <c r="BL122" t="n">
        <v>27</v>
      </c>
      <c r="BM122" t="n">
        <v>65</v>
      </c>
      <c r="BN122" t="n">
        <v>64</v>
      </c>
      <c r="BO122" t="n">
        <v>58</v>
      </c>
      <c r="BP122" t="n">
        <v>66</v>
      </c>
      <c r="BQ122" t="n">
        <v>47</v>
      </c>
      <c r="BR122" t="n">
        <v>659</v>
      </c>
      <c r="BS122" t="n">
        <v>96</v>
      </c>
      <c r="BT122" t="n">
        <v>55</v>
      </c>
      <c r="BU122" t="n">
        <v>102</v>
      </c>
      <c r="BV122" t="n">
        <v>141</v>
      </c>
      <c r="BW122" t="n">
        <v>22</v>
      </c>
      <c r="BX122" t="n">
        <v>204</v>
      </c>
      <c r="BY122" t="n">
        <v>219</v>
      </c>
      <c r="BZ122" t="n">
        <v>380</v>
      </c>
      <c r="CA122" t="n">
        <v>23</v>
      </c>
      <c r="CB122" t="n">
        <v>321</v>
      </c>
      <c r="CC122" t="n">
        <v>50</v>
      </c>
      <c r="CD122" t="n">
        <v>33</v>
      </c>
      <c r="CE122" t="n">
        <v>88</v>
      </c>
      <c r="CF122" t="n">
        <v>67</v>
      </c>
      <c r="CG122" t="n">
        <v>84</v>
      </c>
      <c r="CH122" t="n">
        <v>66</v>
      </c>
      <c r="CI122" t="n">
        <v>115</v>
      </c>
      <c r="CJ122" t="n">
        <v>286</v>
      </c>
      <c r="CK122" t="n">
        <v>49</v>
      </c>
      <c r="CL122" t="n">
        <v>43</v>
      </c>
      <c r="CM122" t="n">
        <v>110</v>
      </c>
      <c r="CN122" t="n">
        <v>90</v>
      </c>
      <c r="CO122" t="n">
        <v>228</v>
      </c>
      <c r="CP122" t="n">
        <v>23</v>
      </c>
      <c r="CQ122" t="n">
        <v>102</v>
      </c>
      <c r="CR122" t="n">
        <v>23</v>
      </c>
      <c r="CS122" t="n">
        <v>51</v>
      </c>
      <c r="CT122" t="n">
        <v>146</v>
      </c>
      <c r="CU122" t="n">
        <v>6</v>
      </c>
      <c r="CV122" t="n">
        <v>49</v>
      </c>
      <c r="CW122" t="n">
        <v>29</v>
      </c>
      <c r="CX122" t="n">
        <v>16</v>
      </c>
      <c r="CY122" t="n">
        <v>34</v>
      </c>
      <c r="CZ122" t="n">
        <v>195</v>
      </c>
      <c r="DA122" t="n">
        <v>61</v>
      </c>
      <c r="DB122" t="n">
        <v>189</v>
      </c>
      <c r="DC122" t="n">
        <v>295</v>
      </c>
      <c r="DD122" t="n">
        <v>11</v>
      </c>
      <c r="DE122" t="n">
        <v>16</v>
      </c>
      <c r="DF122" t="n">
        <v>6</v>
      </c>
      <c r="DG122" t="n">
        <v>15</v>
      </c>
      <c r="DH122" t="n">
        <v>201</v>
      </c>
      <c r="DI122" t="n">
        <v>28</v>
      </c>
      <c r="DJ122" t="n">
        <v>99</v>
      </c>
      <c r="DK122" t="n">
        <v>139</v>
      </c>
      <c r="DL122" t="n">
        <v>3</v>
      </c>
      <c r="DM122" t="n">
        <v>361</v>
      </c>
      <c r="DN122" t="n">
        <v>19</v>
      </c>
      <c r="DO122" t="n">
        <v>5025</v>
      </c>
      <c r="DP122" t="n">
        <v>901</v>
      </c>
      <c r="DQ122" t="n">
        <v>153</v>
      </c>
      <c r="DR122" t="n">
        <v>562</v>
      </c>
      <c r="DS122" t="n">
        <v>419</v>
      </c>
      <c r="DT122" t="n">
        <v>12</v>
      </c>
      <c r="DU122" t="n">
        <v>43</v>
      </c>
      <c r="DV122" t="n">
        <v>7</v>
      </c>
      <c r="DW122" t="n">
        <v>39</v>
      </c>
      <c r="DX122" t="n">
        <v>51</v>
      </c>
      <c r="DY122" t="n">
        <v>5</v>
      </c>
      <c r="DZ122" t="n">
        <v>142</v>
      </c>
      <c r="EA122" t="n">
        <v>10</v>
      </c>
      <c r="EB122" t="n">
        <v>2</v>
      </c>
      <c r="EC122" t="n">
        <v>3</v>
      </c>
      <c r="ED122" t="n">
        <v>53</v>
      </c>
      <c r="EE122" t="n">
        <v>21</v>
      </c>
      <c r="EF122" t="n">
        <v>71</v>
      </c>
      <c r="EG122" t="n">
        <v>24</v>
      </c>
      <c r="EH122" t="n">
        <v>107</v>
      </c>
      <c r="EI122" t="n">
        <v>25</v>
      </c>
      <c r="EJ122" t="n">
        <v>32</v>
      </c>
      <c r="EK122" t="n">
        <v>38</v>
      </c>
      <c r="EL122" t="n">
        <v>3</v>
      </c>
      <c r="EM122" t="n">
        <v>21</v>
      </c>
      <c r="EN122" t="n">
        <v>196</v>
      </c>
      <c r="EO122" t="n">
        <v>16</v>
      </c>
      <c r="EP122" t="n">
        <v>343</v>
      </c>
      <c r="EQ122" t="n">
        <v>103</v>
      </c>
      <c r="ER122" t="n">
        <v>1205</v>
      </c>
      <c r="ES122" t="n">
        <v>70</v>
      </c>
      <c r="ET122" t="n">
        <v>91</v>
      </c>
      <c r="EU122" t="n">
        <v>19</v>
      </c>
      <c r="EV122" t="n">
        <v>4</v>
      </c>
      <c r="EW122" t="n">
        <v>116</v>
      </c>
      <c r="EX122" t="n">
        <v>323</v>
      </c>
      <c r="EY122" t="n">
        <v>1676</v>
      </c>
      <c r="EZ122" t="n">
        <v>215</v>
      </c>
      <c r="FA122" t="n">
        <v>131</v>
      </c>
      <c r="FB122" t="n">
        <v>153</v>
      </c>
      <c r="FC122" t="n">
        <v>117</v>
      </c>
      <c r="FD122" t="n">
        <v>370</v>
      </c>
      <c r="FE122" t="n">
        <v>569</v>
      </c>
      <c r="FF122" t="n">
        <v>223</v>
      </c>
      <c r="FG122" t="n">
        <v>55</v>
      </c>
      <c r="FH122" t="n">
        <v>138</v>
      </c>
      <c r="FI122" t="n">
        <v>11</v>
      </c>
      <c r="FJ122" t="n">
        <v>18</v>
      </c>
      <c r="FK122" t="n">
        <v>124</v>
      </c>
      <c r="FL122" t="n">
        <v>100</v>
      </c>
      <c r="FM122" t="n">
        <v>20</v>
      </c>
      <c r="FN122" t="n">
        <v>1</v>
      </c>
      <c r="FO122" t="n">
        <v>34</v>
      </c>
      <c r="FP122" t="n">
        <v>133</v>
      </c>
      <c r="FQ122" t="n">
        <v>63</v>
      </c>
      <c r="FR122" t="n">
        <v>14</v>
      </c>
      <c r="FS122" t="n">
        <v>69</v>
      </c>
      <c r="FT122" t="n">
        <v>78</v>
      </c>
      <c r="FU122" t="n">
        <v>81</v>
      </c>
      <c r="FV122" t="n">
        <v>147</v>
      </c>
      <c r="FW122" t="n">
        <v>48</v>
      </c>
      <c r="FX122" t="n">
        <v>116</v>
      </c>
      <c r="FY122" t="n">
        <v>36</v>
      </c>
      <c r="FZ122" t="n">
        <v>114</v>
      </c>
      <c r="GA122" t="n">
        <v>8</v>
      </c>
      <c r="GB122" t="n">
        <v>9</v>
      </c>
      <c r="GC122" t="n">
        <v>5</v>
      </c>
      <c r="GD122" t="n">
        <v>54</v>
      </c>
      <c r="GE122" t="n">
        <v>15</v>
      </c>
      <c r="GF122" t="n">
        <v>26</v>
      </c>
      <c r="GG122" t="n">
        <v>327</v>
      </c>
      <c r="GH122" t="n">
        <v>184</v>
      </c>
      <c r="HG122" t="n">
        <v>1741</v>
      </c>
      <c r="HH122" t="n">
        <v>114</v>
      </c>
      <c r="HI122" t="n">
        <v>21</v>
      </c>
      <c r="HL122" t="n">
        <v>10</v>
      </c>
      <c r="HM122" t="n">
        <v>24</v>
      </c>
      <c r="HN122" t="n">
        <v>36</v>
      </c>
      <c r="HO122" t="n">
        <v>35</v>
      </c>
      <c r="HP122" t="n">
        <v>25</v>
      </c>
      <c r="HQ122" t="n">
        <v>57</v>
      </c>
      <c r="HR122" t="n">
        <v>3</v>
      </c>
      <c r="HS122" t="n">
        <v>4</v>
      </c>
      <c r="HW122" t="n">
        <v>1</v>
      </c>
      <c r="HX122" t="n">
        <v>1</v>
      </c>
      <c r="IB122" t="n">
        <v>366</v>
      </c>
      <c r="IC122" t="n">
        <v>31</v>
      </c>
      <c r="ID122" t="n">
        <v>38</v>
      </c>
      <c r="IE122" t="n">
        <v>4</v>
      </c>
      <c r="IF122" t="n">
        <v>101</v>
      </c>
      <c r="IG122" t="n">
        <v>26</v>
      </c>
      <c r="IH122" t="n">
        <v>28</v>
      </c>
      <c r="II122" t="n">
        <v>21</v>
      </c>
      <c r="IJ122" t="n">
        <v>61</v>
      </c>
      <c r="IK122" t="n">
        <v>24</v>
      </c>
      <c r="IL122" t="n">
        <v>200</v>
      </c>
      <c r="IM122" t="n">
        <v>201</v>
      </c>
      <c r="IN122" t="n">
        <v>40</v>
      </c>
      <c r="IO122" t="n">
        <v>3</v>
      </c>
      <c r="IP122" t="n">
        <v>635</v>
      </c>
      <c r="IQ122" t="n">
        <v>17</v>
      </c>
      <c r="IR122" t="n">
        <v>224</v>
      </c>
      <c r="IS122" t="n">
        <v>28</v>
      </c>
      <c r="IT122" t="n">
        <v>20</v>
      </c>
      <c r="IU122" t="n">
        <v>149</v>
      </c>
      <c r="IV122" t="n">
        <v>201</v>
      </c>
      <c r="IW122" t="n">
        <v>296</v>
      </c>
      <c r="IX122" t="n">
        <v>185</v>
      </c>
      <c r="IY122" t="n">
        <v>47</v>
      </c>
      <c r="IZ122" t="n">
        <v>287</v>
      </c>
      <c r="JA122" t="n">
        <v>311</v>
      </c>
      <c r="JB122" t="n">
        <v>95</v>
      </c>
      <c r="JC122" t="n">
        <v>28</v>
      </c>
      <c r="JD122" t="n">
        <v>79</v>
      </c>
      <c r="JE122" t="n">
        <v>33</v>
      </c>
      <c r="JG122" t="n">
        <v>28</v>
      </c>
      <c r="JH122" t="n">
        <v>91</v>
      </c>
      <c r="JI122" t="n">
        <v>30</v>
      </c>
      <c r="JJ122" t="n">
        <v>139</v>
      </c>
      <c r="JK122" t="n">
        <v>551</v>
      </c>
      <c r="JL122" t="n">
        <v>600</v>
      </c>
      <c r="JM122" t="n">
        <v>1413</v>
      </c>
      <c r="JN122" t="n">
        <v>318</v>
      </c>
      <c r="JO122" t="n">
        <v>711</v>
      </c>
      <c r="JP122" t="n">
        <v>26156</v>
      </c>
      <c r="JR122" t="n">
        <v>7</v>
      </c>
      <c r="JS122" t="n">
        <v>626</v>
      </c>
      <c r="JT122" t="n">
        <v>110</v>
      </c>
      <c r="JV122" t="n">
        <v>147</v>
      </c>
      <c r="JX122" t="n">
        <v>37</v>
      </c>
      <c r="JY122" t="n">
        <v>12</v>
      </c>
      <c r="JZ122" t="n">
        <v>154</v>
      </c>
      <c r="KB122" t="n">
        <v>1</v>
      </c>
      <c r="KC122" t="n">
        <v>304</v>
      </c>
      <c r="KD122" t="n">
        <v>2</v>
      </c>
      <c r="KI122" t="n">
        <v>0</v>
      </c>
      <c r="KK122" t="n">
        <v>4</v>
      </c>
      <c r="KN122" t="n">
        <v>4</v>
      </c>
      <c r="KO122" t="n">
        <v>4</v>
      </c>
      <c r="KP122" t="n">
        <v>11</v>
      </c>
      <c r="KR122" t="n">
        <v>248</v>
      </c>
      <c r="KS122" t="n">
        <v>0</v>
      </c>
      <c r="KU122" t="n">
        <v>0</v>
      </c>
      <c r="KV122" t="n">
        <v>0</v>
      </c>
      <c r="KW122" t="n">
        <v>4076</v>
      </c>
      <c r="KX122" t="n">
        <v>931</v>
      </c>
      <c r="KY122" t="n">
        <v>425</v>
      </c>
      <c r="KZ122" t="n">
        <v>181</v>
      </c>
      <c r="LO122" t="n">
        <v>11</v>
      </c>
      <c r="LS122" t="n">
        <v>418</v>
      </c>
      <c r="LT122" t="n">
        <v>1005</v>
      </c>
      <c r="LU122" t="n">
        <v>129</v>
      </c>
      <c r="LW122" t="n">
        <v>79</v>
      </c>
      <c r="LZ122" t="n">
        <v>11</v>
      </c>
      <c r="MB122" t="n">
        <v>0</v>
      </c>
      <c r="MC122" t="n">
        <v>1</v>
      </c>
      <c r="ME122" t="n">
        <v>106</v>
      </c>
      <c r="MM122" t="n">
        <v>95</v>
      </c>
      <c r="MO122" t="n">
        <v>0</v>
      </c>
      <c r="MQ122" t="n">
        <v>0</v>
      </c>
      <c r="MR122" t="n">
        <v>57</v>
      </c>
      <c r="MT122" t="n">
        <v>0</v>
      </c>
      <c r="MZ122" t="n">
        <v>37</v>
      </c>
      <c r="NA122" t="n">
        <v>17</v>
      </c>
      <c r="NB122" t="n">
        <v>2</v>
      </c>
      <c r="ND122" t="n">
        <v>0</v>
      </c>
      <c r="NI122" t="n">
        <v>0</v>
      </c>
      <c r="NK122" t="n">
        <v>0</v>
      </c>
      <c r="NO122" t="n">
        <v>0</v>
      </c>
      <c r="NP122" t="n">
        <v>0</v>
      </c>
      <c r="NQ122" t="n">
        <v>0</v>
      </c>
      <c r="NR122" t="n">
        <v>201</v>
      </c>
      <c r="NS122" t="n">
        <v>1040</v>
      </c>
      <c r="NT122" t="n">
        <v>8</v>
      </c>
      <c r="NY122" t="n">
        <v>0</v>
      </c>
      <c r="OO122" t="n">
        <v>69810</v>
      </c>
      <c r="OU122" t="n">
        <v>732</v>
      </c>
      <c r="OV122" t="n">
        <v>27419</v>
      </c>
      <c r="PI122" t="n">
        <v>97961</v>
      </c>
      <c r="PM122">
        <f>IFERROR(VLOOKUP($A122&amp;"",Key!$A:$C,3,FALSE),"")</f>
        <v/>
      </c>
    </row>
    <row r="123">
      <c r="A123" t="n">
        <v>334418</v>
      </c>
      <c r="B123" t="inlineStr">
        <is>
          <t>Printed circuit assembly (electronic assembly) manufacturing</t>
        </is>
      </c>
      <c r="AM123" t="n">
        <v>88</v>
      </c>
      <c r="AN123" t="n">
        <v>30</v>
      </c>
      <c r="AO123" t="n">
        <v>62</v>
      </c>
      <c r="AP123" t="n">
        <v>77</v>
      </c>
      <c r="AQ123" t="n">
        <v>5</v>
      </c>
      <c r="AR123" t="n">
        <v>22</v>
      </c>
      <c r="AS123" t="n">
        <v>14</v>
      </c>
      <c r="AT123" t="n">
        <v>77</v>
      </c>
      <c r="AU123" t="n">
        <v>13</v>
      </c>
      <c r="AV123" t="n">
        <v>23</v>
      </c>
      <c r="AW123" t="n">
        <v>8</v>
      </c>
      <c r="AX123" t="n">
        <v>4</v>
      </c>
      <c r="AZ123" t="n">
        <v>20</v>
      </c>
      <c r="BA123" t="n">
        <v>16</v>
      </c>
      <c r="BB123" t="n">
        <v>3</v>
      </c>
      <c r="BC123" t="n">
        <v>209</v>
      </c>
      <c r="BD123" t="n">
        <v>33</v>
      </c>
      <c r="BE123" t="n">
        <v>19</v>
      </c>
      <c r="BF123" t="n">
        <v>3</v>
      </c>
      <c r="BG123" t="n">
        <v>39</v>
      </c>
      <c r="BH123" t="n">
        <v>83</v>
      </c>
      <c r="BI123" t="n">
        <v>23</v>
      </c>
      <c r="BJ123" t="n">
        <v>20</v>
      </c>
      <c r="BK123" t="n">
        <v>18</v>
      </c>
      <c r="BL123" t="n">
        <v>33</v>
      </c>
      <c r="BM123" t="n">
        <v>33</v>
      </c>
      <c r="BN123" t="n">
        <v>34</v>
      </c>
      <c r="BO123" t="n">
        <v>31</v>
      </c>
      <c r="BP123" t="n">
        <v>32</v>
      </c>
      <c r="BQ123" t="n">
        <v>173</v>
      </c>
      <c r="BR123" t="n">
        <v>49</v>
      </c>
      <c r="BS123" t="n">
        <v>45</v>
      </c>
      <c r="BT123" t="n">
        <v>26</v>
      </c>
      <c r="BU123" t="n">
        <v>54</v>
      </c>
      <c r="BV123" t="n">
        <v>73</v>
      </c>
      <c r="BW123" t="n">
        <v>11</v>
      </c>
      <c r="BX123" t="n">
        <v>99</v>
      </c>
      <c r="BY123" t="n">
        <v>104</v>
      </c>
      <c r="BZ123" t="n">
        <v>197</v>
      </c>
      <c r="CA123" t="n">
        <v>11</v>
      </c>
      <c r="CB123" t="n">
        <v>153</v>
      </c>
      <c r="CC123" t="n">
        <v>27</v>
      </c>
      <c r="CD123" t="n">
        <v>15</v>
      </c>
      <c r="CE123" t="n">
        <v>51</v>
      </c>
      <c r="CF123" t="n">
        <v>38</v>
      </c>
      <c r="CG123" t="n">
        <v>41</v>
      </c>
      <c r="CH123" t="n">
        <v>30</v>
      </c>
      <c r="CI123" t="n">
        <v>55</v>
      </c>
      <c r="CJ123" t="n">
        <v>141</v>
      </c>
      <c r="CK123" t="n">
        <v>45</v>
      </c>
      <c r="CL123" t="n">
        <v>295</v>
      </c>
      <c r="CM123" t="n">
        <v>11</v>
      </c>
      <c r="CN123" t="n">
        <v>11</v>
      </c>
      <c r="CO123" t="n">
        <v>494</v>
      </c>
      <c r="CP123" t="n">
        <v>11</v>
      </c>
      <c r="CQ123" t="n">
        <v>44</v>
      </c>
      <c r="CR123" t="n">
        <v>11</v>
      </c>
      <c r="CS123" t="n">
        <v>22</v>
      </c>
      <c r="CT123" t="n">
        <v>69</v>
      </c>
      <c r="CU123" t="n">
        <v>29</v>
      </c>
      <c r="CV123" t="n">
        <v>33</v>
      </c>
      <c r="CW123" t="n">
        <v>154</v>
      </c>
      <c r="CX123" t="n">
        <v>9</v>
      </c>
      <c r="CY123" t="n">
        <v>18</v>
      </c>
      <c r="CZ123" t="n">
        <v>55</v>
      </c>
      <c r="DA123" t="n">
        <v>33</v>
      </c>
      <c r="DB123" t="n">
        <v>88</v>
      </c>
      <c r="DC123" t="n">
        <v>155</v>
      </c>
      <c r="DD123" t="n">
        <v>6</v>
      </c>
      <c r="DE123" t="n">
        <v>8</v>
      </c>
      <c r="DF123" t="n">
        <v>3</v>
      </c>
      <c r="DG123" t="n">
        <v>18</v>
      </c>
      <c r="DH123" t="n">
        <v>101</v>
      </c>
      <c r="DI123" t="n">
        <v>150</v>
      </c>
      <c r="DJ123" t="n">
        <v>213</v>
      </c>
      <c r="DK123" t="n">
        <v>108</v>
      </c>
      <c r="DL123" t="n">
        <v>20</v>
      </c>
      <c r="DM123" t="n">
        <v>1003</v>
      </c>
      <c r="DN123" t="n">
        <v>103</v>
      </c>
      <c r="DO123" t="n">
        <v>68</v>
      </c>
      <c r="DP123" t="n">
        <v>1799</v>
      </c>
      <c r="DQ123" t="n">
        <v>672</v>
      </c>
      <c r="DR123" t="n">
        <v>349</v>
      </c>
      <c r="DS123" t="n">
        <v>361</v>
      </c>
      <c r="DT123" t="n">
        <v>109</v>
      </c>
      <c r="DU123" t="n">
        <v>115</v>
      </c>
      <c r="DV123" t="n">
        <v>253</v>
      </c>
      <c r="DW123" t="n">
        <v>249</v>
      </c>
      <c r="DX123" t="n">
        <v>453</v>
      </c>
      <c r="DY123" t="n">
        <v>20</v>
      </c>
      <c r="DZ123" t="n">
        <v>194</v>
      </c>
      <c r="EA123" t="n">
        <v>27</v>
      </c>
      <c r="EB123" t="n">
        <v>1</v>
      </c>
      <c r="EC123" t="n">
        <v>1</v>
      </c>
      <c r="ED123" t="n">
        <v>29</v>
      </c>
      <c r="EE123" t="n">
        <v>7</v>
      </c>
      <c r="EF123" t="n">
        <v>5</v>
      </c>
      <c r="EG123" t="n">
        <v>11</v>
      </c>
      <c r="EH123" t="n">
        <v>15</v>
      </c>
      <c r="EI123" t="n">
        <v>46</v>
      </c>
      <c r="EJ123" t="n">
        <v>143</v>
      </c>
      <c r="EK123" t="n">
        <v>20</v>
      </c>
      <c r="EL123" t="n">
        <v>2</v>
      </c>
      <c r="EM123" t="n">
        <v>12</v>
      </c>
      <c r="EN123" t="n">
        <v>194</v>
      </c>
      <c r="EO123" t="n">
        <v>9</v>
      </c>
      <c r="EP123" t="n">
        <v>644</v>
      </c>
      <c r="EQ123" t="n">
        <v>3</v>
      </c>
      <c r="ER123" t="n">
        <v>14</v>
      </c>
      <c r="ES123" t="n">
        <v>27</v>
      </c>
      <c r="ET123" t="n">
        <v>47</v>
      </c>
      <c r="EU123" t="n">
        <v>9</v>
      </c>
      <c r="EV123" t="n">
        <v>2</v>
      </c>
      <c r="EW123" t="n">
        <v>52</v>
      </c>
      <c r="EX123" t="n">
        <v>83</v>
      </c>
      <c r="EY123" t="n">
        <v>76</v>
      </c>
      <c r="EZ123" t="n">
        <v>138</v>
      </c>
      <c r="FA123" t="n">
        <v>61</v>
      </c>
      <c r="FB123" t="n">
        <v>111</v>
      </c>
      <c r="FC123" t="n">
        <v>280</v>
      </c>
      <c r="FD123" t="n">
        <v>150</v>
      </c>
      <c r="FE123" t="n">
        <v>37</v>
      </c>
      <c r="FF123" t="n">
        <v>50</v>
      </c>
      <c r="FG123" t="n">
        <v>13</v>
      </c>
      <c r="FI123" t="n">
        <v>4</v>
      </c>
      <c r="FJ123" t="n">
        <v>10</v>
      </c>
      <c r="FK123" t="n">
        <v>87</v>
      </c>
      <c r="FL123" t="n">
        <v>47</v>
      </c>
      <c r="FM123" t="n">
        <v>8</v>
      </c>
      <c r="FN123" t="n">
        <v>0</v>
      </c>
      <c r="FO123" t="n">
        <v>16</v>
      </c>
      <c r="FP123" t="n">
        <v>68</v>
      </c>
      <c r="FQ123" t="n">
        <v>28</v>
      </c>
      <c r="FR123" t="n">
        <v>7</v>
      </c>
      <c r="FS123" t="n">
        <v>39</v>
      </c>
      <c r="FT123" t="n">
        <v>42</v>
      </c>
      <c r="FU123" t="n">
        <v>39</v>
      </c>
      <c r="FV123" t="n">
        <v>65</v>
      </c>
      <c r="FW123" t="n">
        <v>21</v>
      </c>
      <c r="FX123" t="n">
        <v>139</v>
      </c>
      <c r="FY123" t="n">
        <v>68</v>
      </c>
      <c r="FZ123" t="n">
        <v>94</v>
      </c>
      <c r="GA123" t="n">
        <v>4</v>
      </c>
      <c r="GC123" t="n">
        <v>3</v>
      </c>
      <c r="GD123" t="n">
        <v>67</v>
      </c>
      <c r="GE123" t="n">
        <v>9</v>
      </c>
      <c r="GF123" t="n">
        <v>12</v>
      </c>
      <c r="GG123" t="n">
        <v>179</v>
      </c>
      <c r="GH123" t="n">
        <v>93</v>
      </c>
      <c r="HG123" t="n">
        <v>450</v>
      </c>
      <c r="HH123" t="n">
        <v>60</v>
      </c>
      <c r="HI123" t="n">
        <v>10</v>
      </c>
      <c r="HK123" t="n">
        <v>46</v>
      </c>
      <c r="HL123" t="n">
        <v>5</v>
      </c>
      <c r="HM123" t="n">
        <v>10</v>
      </c>
      <c r="HN123" t="n">
        <v>19</v>
      </c>
      <c r="HO123" t="n">
        <v>18</v>
      </c>
      <c r="HP123" t="n">
        <v>15</v>
      </c>
      <c r="HQ123" t="n">
        <v>33</v>
      </c>
      <c r="HR123" t="n">
        <v>1</v>
      </c>
      <c r="HS123" t="n">
        <v>13</v>
      </c>
      <c r="HT123" t="n">
        <v>9</v>
      </c>
      <c r="HU123" t="n">
        <v>159</v>
      </c>
      <c r="HV123" t="n">
        <v>182</v>
      </c>
      <c r="HW123" t="n">
        <v>259</v>
      </c>
      <c r="HX123" t="n">
        <v>160</v>
      </c>
      <c r="HY123" t="n">
        <v>24</v>
      </c>
      <c r="HZ123" t="n">
        <v>74</v>
      </c>
      <c r="IA123" t="n">
        <v>25</v>
      </c>
      <c r="IB123" t="n">
        <v>175</v>
      </c>
      <c r="IC123" t="n">
        <v>15</v>
      </c>
      <c r="ID123" t="n">
        <v>18</v>
      </c>
      <c r="IE123" t="n">
        <v>1</v>
      </c>
      <c r="IF123" t="n">
        <v>26</v>
      </c>
      <c r="IG123" t="n">
        <v>11</v>
      </c>
      <c r="IH123" t="n">
        <v>16</v>
      </c>
      <c r="II123" t="n">
        <v>6</v>
      </c>
      <c r="IJ123" t="n">
        <v>28</v>
      </c>
      <c r="IK123" t="n">
        <v>10</v>
      </c>
      <c r="IL123" t="n">
        <v>105</v>
      </c>
      <c r="IM123" t="n">
        <v>95</v>
      </c>
      <c r="IN123" t="n">
        <v>31</v>
      </c>
      <c r="IO123" t="n">
        <v>1</v>
      </c>
      <c r="IP123" t="n">
        <v>0</v>
      </c>
      <c r="IQ123" t="n">
        <v>0</v>
      </c>
      <c r="IS123" t="n">
        <v>14</v>
      </c>
      <c r="IT123" t="n">
        <v>10</v>
      </c>
      <c r="IU123" t="n">
        <v>74</v>
      </c>
      <c r="IV123" t="n">
        <v>93</v>
      </c>
      <c r="IW123" t="n">
        <v>137</v>
      </c>
      <c r="IX123" t="n">
        <v>108</v>
      </c>
      <c r="IY123" t="n">
        <v>24</v>
      </c>
      <c r="IZ123" t="n">
        <v>207</v>
      </c>
      <c r="JA123" t="n">
        <v>180</v>
      </c>
      <c r="JB123" t="n">
        <v>52</v>
      </c>
      <c r="JC123" t="n">
        <v>15</v>
      </c>
      <c r="JD123" t="n">
        <v>46</v>
      </c>
      <c r="JE123" t="n">
        <v>18</v>
      </c>
      <c r="JG123" t="n">
        <v>270</v>
      </c>
      <c r="JH123" t="n">
        <v>52</v>
      </c>
      <c r="JI123" t="n">
        <v>17</v>
      </c>
      <c r="JJ123" t="n">
        <v>81</v>
      </c>
      <c r="JK123" t="n">
        <v>112</v>
      </c>
      <c r="JL123" t="n">
        <v>99</v>
      </c>
      <c r="JM123" t="n">
        <v>111</v>
      </c>
      <c r="JN123" t="n">
        <v>118</v>
      </c>
      <c r="JO123" t="n">
        <v>222</v>
      </c>
      <c r="JS123" t="n">
        <v>0</v>
      </c>
      <c r="JT123" t="n">
        <v>96</v>
      </c>
      <c r="JV123" t="n">
        <v>58</v>
      </c>
      <c r="JX123" t="n">
        <v>0</v>
      </c>
      <c r="KC123" t="n">
        <v>0</v>
      </c>
      <c r="KD123" t="n">
        <v>9</v>
      </c>
      <c r="KS123" t="n">
        <v>2</v>
      </c>
      <c r="KV123" t="n">
        <v>0</v>
      </c>
      <c r="KW123" t="n">
        <v>8</v>
      </c>
      <c r="KX123" t="n">
        <v>9</v>
      </c>
      <c r="KY123" t="n">
        <v>0</v>
      </c>
      <c r="KZ123" t="n">
        <v>17</v>
      </c>
      <c r="LD123" t="n">
        <v>2</v>
      </c>
      <c r="LO123" t="n">
        <v>0</v>
      </c>
      <c r="LR123" t="n">
        <v>1</v>
      </c>
      <c r="LS123" t="n">
        <v>44</v>
      </c>
      <c r="LT123" t="n">
        <v>692</v>
      </c>
      <c r="LU123" t="n">
        <v>12</v>
      </c>
      <c r="LV123" t="n">
        <v>9</v>
      </c>
      <c r="LW123" t="n">
        <v>39</v>
      </c>
      <c r="LX123" t="n">
        <v>0</v>
      </c>
      <c r="LZ123" t="n">
        <v>16</v>
      </c>
      <c r="MD123" t="n">
        <v>0</v>
      </c>
      <c r="ME123" t="n">
        <v>3</v>
      </c>
      <c r="MG123" t="n">
        <v>0</v>
      </c>
      <c r="MI123" t="n">
        <v>0</v>
      </c>
      <c r="MK123" t="n">
        <v>0</v>
      </c>
      <c r="MM123" t="n">
        <v>0</v>
      </c>
      <c r="MP123" t="n">
        <v>0</v>
      </c>
      <c r="MQ123" t="n">
        <v>1</v>
      </c>
      <c r="MR123" t="n">
        <v>5</v>
      </c>
      <c r="MS123" t="n">
        <v>0</v>
      </c>
      <c r="MZ123" t="n">
        <v>0</v>
      </c>
      <c r="NA123" t="n">
        <v>2</v>
      </c>
      <c r="NR123" t="n">
        <v>84</v>
      </c>
      <c r="NS123" t="n">
        <v>4</v>
      </c>
      <c r="NT123" t="n">
        <v>0</v>
      </c>
      <c r="NY123" t="n">
        <v>0</v>
      </c>
      <c r="OD123" t="n">
        <v>0</v>
      </c>
      <c r="OI123" t="n">
        <v>7</v>
      </c>
      <c r="OJ123" t="n">
        <v>1</v>
      </c>
      <c r="OK123" t="n">
        <v>10</v>
      </c>
      <c r="OO123" t="n">
        <v>19202</v>
      </c>
      <c r="OP123" t="n">
        <v>93</v>
      </c>
      <c r="OU123" t="n">
        <v>995</v>
      </c>
      <c r="OV123" t="n">
        <v>2839</v>
      </c>
      <c r="PB123" t="n">
        <v>1</v>
      </c>
      <c r="PI123" t="n">
        <v>23130</v>
      </c>
      <c r="PM123">
        <f>IFERROR(VLOOKUP($A123&amp;"",Key!$A:$C,3,FALSE),"")</f>
        <v/>
      </c>
    </row>
    <row r="124">
      <c r="A124" t="inlineStr">
        <is>
          <t>33441A</t>
        </is>
      </c>
      <c r="B124" t="inlineStr">
        <is>
          <t>Other electronic component manufacturing</t>
        </is>
      </c>
      <c r="V124" t="n">
        <v>0</v>
      </c>
      <c r="W124" t="n">
        <v>4</v>
      </c>
      <c r="X124" t="n">
        <v>0</v>
      </c>
      <c r="AB124" t="n">
        <v>8</v>
      </c>
      <c r="AC124" t="n">
        <v>7</v>
      </c>
      <c r="AD124" t="n">
        <v>2</v>
      </c>
      <c r="AE124" t="n">
        <v>2</v>
      </c>
      <c r="AF124" t="n">
        <v>21</v>
      </c>
      <c r="AG124" t="n">
        <v>8</v>
      </c>
      <c r="AH124" t="n">
        <v>1</v>
      </c>
      <c r="AI124" t="n">
        <v>2</v>
      </c>
      <c r="AJ124" t="n">
        <v>0</v>
      </c>
      <c r="AK124" t="n">
        <v>50</v>
      </c>
      <c r="AL124" t="n">
        <v>55</v>
      </c>
      <c r="AM124" t="n">
        <v>29</v>
      </c>
      <c r="AN124" t="n">
        <v>3</v>
      </c>
      <c r="AO124" t="n">
        <v>11</v>
      </c>
      <c r="AP124" t="n">
        <v>8</v>
      </c>
      <c r="AQ124" t="n">
        <v>0</v>
      </c>
      <c r="AR124" t="n">
        <v>3</v>
      </c>
      <c r="AS124" t="n">
        <v>2</v>
      </c>
      <c r="AT124" t="n">
        <v>14</v>
      </c>
      <c r="AU124" t="n">
        <v>1</v>
      </c>
      <c r="AV124" t="n">
        <v>4</v>
      </c>
      <c r="AW124" t="n">
        <v>0</v>
      </c>
      <c r="AY124" t="n">
        <v>1</v>
      </c>
      <c r="AZ124" t="n">
        <v>4</v>
      </c>
      <c r="BA124" t="n">
        <v>2</v>
      </c>
      <c r="BB124" t="n">
        <v>0</v>
      </c>
      <c r="BC124" t="n">
        <v>37</v>
      </c>
      <c r="BD124" t="n">
        <v>8</v>
      </c>
      <c r="BE124" t="n">
        <v>2</v>
      </c>
      <c r="BF124" t="n">
        <v>0</v>
      </c>
      <c r="BG124" t="n">
        <v>7</v>
      </c>
      <c r="BH124" t="n">
        <v>6</v>
      </c>
      <c r="BI124" t="n">
        <v>5</v>
      </c>
      <c r="BJ124" t="n">
        <v>3</v>
      </c>
      <c r="BK124" t="n">
        <v>6</v>
      </c>
      <c r="BL124" t="n">
        <v>5</v>
      </c>
      <c r="BM124" t="n">
        <v>6</v>
      </c>
      <c r="BN124" t="n">
        <v>4</v>
      </c>
      <c r="BO124" t="n">
        <v>4</v>
      </c>
      <c r="BP124" t="n">
        <v>13</v>
      </c>
      <c r="BQ124" t="n">
        <v>29</v>
      </c>
      <c r="BR124" t="n">
        <v>20</v>
      </c>
      <c r="BS124" t="n">
        <v>8</v>
      </c>
      <c r="BT124" t="n">
        <v>4</v>
      </c>
      <c r="BU124" t="n">
        <v>7</v>
      </c>
      <c r="BV124" t="n">
        <v>11</v>
      </c>
      <c r="BW124" t="n">
        <v>1</v>
      </c>
      <c r="BX124" t="n">
        <v>14</v>
      </c>
      <c r="BY124" t="n">
        <v>15</v>
      </c>
      <c r="BZ124" t="n">
        <v>29</v>
      </c>
      <c r="CA124" t="n">
        <v>2</v>
      </c>
      <c r="CB124" t="n">
        <v>25</v>
      </c>
      <c r="CC124" t="n">
        <v>4</v>
      </c>
      <c r="CD124" t="n">
        <v>3</v>
      </c>
      <c r="CE124" t="n">
        <v>1</v>
      </c>
      <c r="CF124" t="n">
        <v>5</v>
      </c>
      <c r="CG124" t="n">
        <v>200</v>
      </c>
      <c r="CH124" t="n">
        <v>7</v>
      </c>
      <c r="CI124" t="n">
        <v>134</v>
      </c>
      <c r="CJ124" t="n">
        <v>44</v>
      </c>
      <c r="CK124" t="n">
        <v>205</v>
      </c>
      <c r="CL124" t="n">
        <v>190</v>
      </c>
      <c r="CM124" t="n">
        <v>26</v>
      </c>
      <c r="CN124" t="n">
        <v>16</v>
      </c>
      <c r="CO124" t="n">
        <v>230</v>
      </c>
      <c r="CP124" t="n">
        <v>2</v>
      </c>
      <c r="CQ124" t="n">
        <v>96</v>
      </c>
      <c r="CR124" t="n">
        <v>39</v>
      </c>
      <c r="CS124" t="n">
        <v>4</v>
      </c>
      <c r="CT124" t="n">
        <v>22</v>
      </c>
      <c r="CU124" t="n">
        <v>39</v>
      </c>
      <c r="CV124" t="n">
        <v>47</v>
      </c>
      <c r="CW124" t="n">
        <v>25</v>
      </c>
      <c r="CX124" t="n">
        <v>1</v>
      </c>
      <c r="CY124" t="n">
        <v>3</v>
      </c>
      <c r="CZ124" t="n">
        <v>120</v>
      </c>
      <c r="DA124" t="n">
        <v>32</v>
      </c>
      <c r="DB124" t="n">
        <v>94</v>
      </c>
      <c r="DC124" t="n">
        <v>247</v>
      </c>
      <c r="DD124" t="n">
        <v>1</v>
      </c>
      <c r="DE124" t="n">
        <v>1</v>
      </c>
      <c r="DF124" t="n">
        <v>20</v>
      </c>
      <c r="DG124" t="n">
        <v>97</v>
      </c>
      <c r="DH124" t="n">
        <v>17</v>
      </c>
      <c r="DI124" t="n">
        <v>30</v>
      </c>
      <c r="DJ124" t="n">
        <v>136</v>
      </c>
      <c r="DK124" t="n">
        <v>80</v>
      </c>
      <c r="DL124" t="n">
        <v>95</v>
      </c>
      <c r="DM124" t="n">
        <v>582</v>
      </c>
      <c r="DN124" t="n">
        <v>71</v>
      </c>
      <c r="DO124" t="n">
        <v>232</v>
      </c>
      <c r="DP124" t="n">
        <v>836</v>
      </c>
      <c r="DQ124" t="n">
        <v>1710</v>
      </c>
      <c r="DR124" t="n">
        <v>757</v>
      </c>
      <c r="DS124" t="n">
        <v>1590</v>
      </c>
      <c r="DT124" t="n">
        <v>121</v>
      </c>
      <c r="DU124" t="n">
        <v>115</v>
      </c>
      <c r="DV124" t="n">
        <v>76</v>
      </c>
      <c r="DW124" t="n">
        <v>96</v>
      </c>
      <c r="DX124" t="n">
        <v>157</v>
      </c>
      <c r="DY124" t="n">
        <v>491</v>
      </c>
      <c r="DZ124" t="n">
        <v>111</v>
      </c>
      <c r="EA124" t="n">
        <v>54</v>
      </c>
      <c r="EB124" t="n">
        <v>0</v>
      </c>
      <c r="EC124" t="n">
        <v>0</v>
      </c>
      <c r="ED124" t="n">
        <v>4</v>
      </c>
      <c r="EE124" t="n">
        <v>5</v>
      </c>
      <c r="EF124" t="n">
        <v>18</v>
      </c>
      <c r="EG124" t="n">
        <v>12</v>
      </c>
      <c r="EH124" t="n">
        <v>18</v>
      </c>
      <c r="EI124" t="n">
        <v>51</v>
      </c>
      <c r="EJ124" t="n">
        <v>92</v>
      </c>
      <c r="EK124" t="n">
        <v>3</v>
      </c>
      <c r="EL124" t="n">
        <v>0</v>
      </c>
      <c r="EM124" t="n">
        <v>1</v>
      </c>
      <c r="EN124" t="n">
        <v>38</v>
      </c>
      <c r="EO124" t="n">
        <v>1</v>
      </c>
      <c r="EP124" t="n">
        <v>936</v>
      </c>
      <c r="EQ124" t="n">
        <v>1</v>
      </c>
      <c r="ER124" t="n">
        <v>12</v>
      </c>
      <c r="ES124" t="n">
        <v>7</v>
      </c>
      <c r="ET124" t="n">
        <v>8</v>
      </c>
      <c r="EU124" t="n">
        <v>1</v>
      </c>
      <c r="EV124" t="n">
        <v>0</v>
      </c>
      <c r="EW124" t="n">
        <v>6</v>
      </c>
      <c r="EX124" t="n">
        <v>97</v>
      </c>
      <c r="EY124" t="n">
        <v>1993</v>
      </c>
      <c r="EZ124" t="n">
        <v>1588</v>
      </c>
      <c r="FA124" t="n">
        <v>14</v>
      </c>
      <c r="FB124" t="n">
        <v>26</v>
      </c>
      <c r="FC124" t="n">
        <v>686</v>
      </c>
      <c r="FD124" t="n">
        <v>253</v>
      </c>
      <c r="FE124" t="n">
        <v>33</v>
      </c>
      <c r="FF124" t="n">
        <v>32</v>
      </c>
      <c r="FG124" t="n">
        <v>124</v>
      </c>
      <c r="FH124" t="n">
        <v>0</v>
      </c>
      <c r="FI124" t="n">
        <v>2</v>
      </c>
      <c r="FJ124" t="n">
        <v>2</v>
      </c>
      <c r="FK124" t="n">
        <v>11</v>
      </c>
      <c r="FL124" t="n">
        <v>9</v>
      </c>
      <c r="FM124" t="n">
        <v>2</v>
      </c>
      <c r="FN124" t="n">
        <v>0</v>
      </c>
      <c r="FO124" t="n">
        <v>3</v>
      </c>
      <c r="FP124" t="n">
        <v>11</v>
      </c>
      <c r="FQ124" t="n">
        <v>7</v>
      </c>
      <c r="FR124" t="n">
        <v>1</v>
      </c>
      <c r="FS124" t="n">
        <v>6</v>
      </c>
      <c r="FT124" t="n">
        <v>5</v>
      </c>
      <c r="FU124" t="n">
        <v>7</v>
      </c>
      <c r="FV124" t="n">
        <v>8</v>
      </c>
      <c r="FW124" t="n">
        <v>5</v>
      </c>
      <c r="FX124" t="n">
        <v>125</v>
      </c>
      <c r="FY124" t="n">
        <v>59</v>
      </c>
      <c r="GA124" t="n">
        <v>1</v>
      </c>
      <c r="GC124" t="n">
        <v>0</v>
      </c>
      <c r="GD124" t="n">
        <v>9</v>
      </c>
      <c r="GE124" t="n">
        <v>2</v>
      </c>
      <c r="GF124" t="n">
        <v>1</v>
      </c>
      <c r="GG124" t="n">
        <v>25</v>
      </c>
      <c r="GH124" t="n">
        <v>18</v>
      </c>
      <c r="GI124" t="n">
        <v>5</v>
      </c>
      <c r="GJ124" t="n">
        <v>9</v>
      </c>
      <c r="GL124" t="n">
        <v>3</v>
      </c>
      <c r="GM124" t="n">
        <v>1</v>
      </c>
      <c r="GN124" t="n">
        <v>19</v>
      </c>
      <c r="GO124" t="n">
        <v>2</v>
      </c>
      <c r="GP124" t="n">
        <v>15</v>
      </c>
      <c r="GQ124" t="n">
        <v>9</v>
      </c>
      <c r="GR124" t="n">
        <v>10</v>
      </c>
      <c r="GS124" t="n">
        <v>19</v>
      </c>
      <c r="GT124" t="n">
        <v>22</v>
      </c>
      <c r="GU124" t="n">
        <v>25</v>
      </c>
      <c r="GV124" t="n">
        <v>4</v>
      </c>
      <c r="GW124" t="n">
        <v>7</v>
      </c>
      <c r="GX124" t="n">
        <v>17</v>
      </c>
      <c r="GY124" t="n">
        <v>0</v>
      </c>
      <c r="GZ124" t="n">
        <v>8</v>
      </c>
      <c r="HA124" t="n">
        <v>13</v>
      </c>
      <c r="HB124" t="n">
        <v>27</v>
      </c>
      <c r="HC124" t="n">
        <v>32</v>
      </c>
      <c r="HD124" t="n">
        <v>19</v>
      </c>
      <c r="HE124" t="n">
        <v>21</v>
      </c>
      <c r="HF124" t="n">
        <v>11</v>
      </c>
      <c r="HG124" t="n">
        <v>154</v>
      </c>
      <c r="HH124" t="n">
        <v>4</v>
      </c>
      <c r="HI124" t="n">
        <v>1</v>
      </c>
      <c r="HJ124" t="n">
        <v>2</v>
      </c>
      <c r="HK124" t="n">
        <v>60</v>
      </c>
      <c r="HL124" t="n">
        <v>1</v>
      </c>
      <c r="HM124" t="n">
        <v>1</v>
      </c>
      <c r="HN124" t="n">
        <v>2</v>
      </c>
      <c r="HO124" t="n">
        <v>3</v>
      </c>
      <c r="HP124" t="n">
        <v>2</v>
      </c>
      <c r="HQ124" t="n">
        <v>4</v>
      </c>
      <c r="HS124" t="n">
        <v>0</v>
      </c>
      <c r="HT124" t="n">
        <v>2</v>
      </c>
      <c r="HU124" t="n">
        <v>11</v>
      </c>
      <c r="HV124" t="n">
        <v>13</v>
      </c>
      <c r="HW124" t="n">
        <v>26</v>
      </c>
      <c r="HX124" t="n">
        <v>25</v>
      </c>
      <c r="HY124" t="n">
        <v>3</v>
      </c>
      <c r="HZ124" t="n">
        <v>11</v>
      </c>
      <c r="IA124" t="n">
        <v>4</v>
      </c>
      <c r="IB124" t="n">
        <v>17</v>
      </c>
      <c r="IC124" t="n">
        <v>2</v>
      </c>
      <c r="ID124" t="n">
        <v>28</v>
      </c>
      <c r="IF124" t="n">
        <v>14</v>
      </c>
      <c r="IG124" t="n">
        <v>2</v>
      </c>
      <c r="IH124" t="n">
        <v>5</v>
      </c>
      <c r="II124" t="n">
        <v>8</v>
      </c>
      <c r="IJ124" t="n">
        <v>5</v>
      </c>
      <c r="IK124" t="n">
        <v>3</v>
      </c>
      <c r="IL124" t="n">
        <v>98</v>
      </c>
      <c r="IM124" t="n">
        <v>44</v>
      </c>
      <c r="IN124" t="n">
        <v>5</v>
      </c>
      <c r="IO124" t="n">
        <v>1</v>
      </c>
      <c r="IP124" t="n">
        <v>1</v>
      </c>
      <c r="IQ124" t="n">
        <v>0</v>
      </c>
      <c r="IR124" t="n">
        <v>2</v>
      </c>
      <c r="IS124" t="n">
        <v>3</v>
      </c>
      <c r="IT124" t="n">
        <v>1</v>
      </c>
      <c r="IU124" t="n">
        <v>13</v>
      </c>
      <c r="IV124" t="n">
        <v>18</v>
      </c>
      <c r="IW124" t="n">
        <v>39</v>
      </c>
      <c r="IX124" t="n">
        <v>13</v>
      </c>
      <c r="IY124" t="n">
        <v>4</v>
      </c>
      <c r="IZ124" t="n">
        <v>33</v>
      </c>
      <c r="JA124" t="n">
        <v>25</v>
      </c>
      <c r="JB124" t="n">
        <v>8</v>
      </c>
      <c r="JC124" t="n">
        <v>2</v>
      </c>
      <c r="JD124" t="n">
        <v>6</v>
      </c>
      <c r="JE124" t="n">
        <v>3</v>
      </c>
      <c r="JF124" t="n">
        <v>2</v>
      </c>
      <c r="JG124" t="n">
        <v>128</v>
      </c>
      <c r="JH124" t="n">
        <v>6</v>
      </c>
      <c r="JI124" t="n">
        <v>2</v>
      </c>
      <c r="JJ124" t="n">
        <v>11</v>
      </c>
      <c r="JK124" t="n">
        <v>1</v>
      </c>
      <c r="JL124" t="n">
        <v>137</v>
      </c>
      <c r="JM124" t="n">
        <v>765</v>
      </c>
      <c r="JN124" t="n">
        <v>95</v>
      </c>
      <c r="JO124" t="n">
        <v>4</v>
      </c>
      <c r="JP124" t="n">
        <v>5941</v>
      </c>
      <c r="JS124" t="n">
        <v>1</v>
      </c>
      <c r="JT124" t="n">
        <v>17</v>
      </c>
      <c r="JV124" t="n">
        <v>32</v>
      </c>
      <c r="JX124" t="n">
        <v>7</v>
      </c>
      <c r="KC124" t="n">
        <v>69</v>
      </c>
      <c r="KD124" t="n">
        <v>1</v>
      </c>
      <c r="KE124" t="n">
        <v>3</v>
      </c>
      <c r="KF124" t="n">
        <v>1</v>
      </c>
      <c r="KG124" t="n">
        <v>1</v>
      </c>
      <c r="KH124" t="n">
        <v>4</v>
      </c>
      <c r="KI124" t="n">
        <v>0</v>
      </c>
      <c r="KJ124" t="n">
        <v>1</v>
      </c>
      <c r="KN124" t="n">
        <v>1</v>
      </c>
      <c r="KO124" t="n">
        <v>5</v>
      </c>
      <c r="KQ124" t="n">
        <v>3</v>
      </c>
      <c r="KR124" t="n">
        <v>1893</v>
      </c>
      <c r="KV124" t="n">
        <v>2</v>
      </c>
      <c r="KW124" t="n">
        <v>523</v>
      </c>
      <c r="KX124" t="n">
        <v>920</v>
      </c>
      <c r="KY124" t="n">
        <v>37</v>
      </c>
      <c r="KZ124" t="n">
        <v>1920</v>
      </c>
      <c r="LA124" t="n">
        <v>2</v>
      </c>
      <c r="LC124" t="n">
        <v>67</v>
      </c>
      <c r="LD124" t="n">
        <v>85</v>
      </c>
      <c r="LE124" t="n">
        <v>73</v>
      </c>
      <c r="LF124" t="n">
        <v>16</v>
      </c>
      <c r="LO124" t="n">
        <v>0</v>
      </c>
      <c r="LS124" t="n">
        <v>506</v>
      </c>
      <c r="LT124" t="n">
        <v>988</v>
      </c>
      <c r="LU124" t="n">
        <v>1177</v>
      </c>
      <c r="LV124" t="n">
        <v>49</v>
      </c>
      <c r="LW124" t="n">
        <v>68</v>
      </c>
      <c r="LY124" t="n">
        <v>2</v>
      </c>
      <c r="LZ124" t="n">
        <v>1106</v>
      </c>
      <c r="MC124" t="n">
        <v>1</v>
      </c>
      <c r="MD124" t="n">
        <v>1</v>
      </c>
      <c r="MI124" t="n">
        <v>1</v>
      </c>
      <c r="MJ124" t="n">
        <v>1</v>
      </c>
      <c r="MM124" t="n">
        <v>247</v>
      </c>
      <c r="MO124" t="n">
        <v>3</v>
      </c>
      <c r="MP124" t="n">
        <v>27</v>
      </c>
      <c r="MQ124" t="n">
        <v>582</v>
      </c>
      <c r="MR124" t="n">
        <v>79</v>
      </c>
      <c r="MX124" t="n">
        <v>0</v>
      </c>
      <c r="MY124" t="n">
        <v>1</v>
      </c>
      <c r="MZ124" t="n">
        <v>52</v>
      </c>
      <c r="NA124" t="n">
        <v>33</v>
      </c>
      <c r="NR124" t="n">
        <v>295</v>
      </c>
      <c r="NS124" t="n">
        <v>469</v>
      </c>
      <c r="NT124" t="n">
        <v>38</v>
      </c>
      <c r="NU124" t="n">
        <v>1</v>
      </c>
      <c r="OD124" t="n">
        <v>1141</v>
      </c>
      <c r="OE124" t="n">
        <v>597</v>
      </c>
      <c r="OF124" t="n">
        <v>0</v>
      </c>
      <c r="OI124" t="n">
        <v>116</v>
      </c>
      <c r="OJ124" t="n">
        <v>4</v>
      </c>
      <c r="OK124" t="n">
        <v>337</v>
      </c>
      <c r="ON124" t="n">
        <v>10</v>
      </c>
      <c r="OO124" t="n">
        <v>37941</v>
      </c>
      <c r="OP124" t="n">
        <v>223</v>
      </c>
      <c r="OU124" t="n">
        <v>565</v>
      </c>
      <c r="OV124" t="n">
        <v>10453</v>
      </c>
      <c r="PB124" t="n">
        <v>3</v>
      </c>
      <c r="PF124" t="n">
        <v>20</v>
      </c>
      <c r="PI124" t="n">
        <v>49206</v>
      </c>
      <c r="PM124">
        <f>IFERROR(VLOOKUP($A124&amp;"",Key!$A:$C,3,FALSE),"")</f>
        <v/>
      </c>
    </row>
    <row r="125">
      <c r="A125" t="n">
        <v>334510</v>
      </c>
      <c r="B125" t="inlineStr">
        <is>
          <t>Electromedical and electrotherapeutic apparatus manufacturing</t>
        </is>
      </c>
      <c r="AA125" t="n">
        <v>3</v>
      </c>
      <c r="AD125" t="n">
        <v>0</v>
      </c>
      <c r="BP125" t="n">
        <v>0</v>
      </c>
      <c r="CI125" t="n">
        <v>0</v>
      </c>
      <c r="CJ125" t="n">
        <v>0</v>
      </c>
      <c r="CQ125" t="n">
        <v>0</v>
      </c>
      <c r="CU125" t="n">
        <v>0</v>
      </c>
      <c r="CV125" t="n">
        <v>0</v>
      </c>
      <c r="DB125" t="n">
        <v>0</v>
      </c>
      <c r="DR125" t="n">
        <v>423</v>
      </c>
      <c r="DS125" t="n">
        <v>29</v>
      </c>
      <c r="FF125" t="n">
        <v>0</v>
      </c>
      <c r="FX125" t="n">
        <v>223</v>
      </c>
      <c r="FY125" t="n">
        <v>1</v>
      </c>
      <c r="GH125" t="n">
        <v>0</v>
      </c>
      <c r="JL125" t="n">
        <v>0</v>
      </c>
      <c r="LZ125" t="n">
        <v>0</v>
      </c>
      <c r="MS125" t="n">
        <v>5982</v>
      </c>
      <c r="MT125" t="n">
        <v>248</v>
      </c>
      <c r="MU125" t="n">
        <v>0</v>
      </c>
      <c r="MV125" t="n">
        <v>955</v>
      </c>
      <c r="MW125" t="n">
        <v>111</v>
      </c>
      <c r="NB125" t="n">
        <v>31</v>
      </c>
      <c r="OB125" t="n">
        <v>21</v>
      </c>
      <c r="OE125" t="n">
        <v>635</v>
      </c>
      <c r="OO125" t="n">
        <v>8663</v>
      </c>
      <c r="OP125" t="n">
        <v>10192</v>
      </c>
      <c r="OQ125" t="n">
        <v>36070</v>
      </c>
      <c r="OU125" t="n">
        <v>262</v>
      </c>
      <c r="OV125" t="n">
        <v>7672</v>
      </c>
      <c r="OX125" t="n">
        <v>798</v>
      </c>
      <c r="PB125" t="n">
        <v>361</v>
      </c>
      <c r="PF125" t="n">
        <v>90</v>
      </c>
      <c r="PI125" t="n">
        <v>64108</v>
      </c>
      <c r="PM125">
        <f>IFERROR(VLOOKUP($A125&amp;"",Key!$A:$C,3,FALSE),"")</f>
        <v/>
      </c>
    </row>
    <row r="126">
      <c r="A126" t="n">
        <v>334511</v>
      </c>
      <c r="B126" t="inlineStr">
        <is>
          <t>Search, detection, and navigation instruments manufacturing</t>
        </is>
      </c>
      <c r="AD126" t="n">
        <v>0</v>
      </c>
      <c r="AL126" t="n">
        <v>1</v>
      </c>
      <c r="CO126" t="n">
        <v>0</v>
      </c>
      <c r="CP126" t="n">
        <v>0</v>
      </c>
      <c r="CQ126" t="n">
        <v>0</v>
      </c>
      <c r="DS126" t="n">
        <v>18</v>
      </c>
      <c r="FE126" t="n">
        <v>5925</v>
      </c>
      <c r="FF126" t="n">
        <v>180</v>
      </c>
      <c r="FG126" t="n">
        <v>42</v>
      </c>
      <c r="FH126" t="n">
        <v>379</v>
      </c>
      <c r="FI126" t="n">
        <v>34</v>
      </c>
      <c r="FK126" t="n">
        <v>2143</v>
      </c>
      <c r="FL126" t="n">
        <v>653</v>
      </c>
      <c r="JV126" t="n">
        <v>47</v>
      </c>
      <c r="OD126" t="n">
        <v>12286</v>
      </c>
      <c r="OO126" t="n">
        <v>21709</v>
      </c>
      <c r="OP126" t="n">
        <v>46</v>
      </c>
      <c r="OQ126" t="n">
        <v>20334</v>
      </c>
      <c r="OU126" t="n">
        <v>-376</v>
      </c>
      <c r="OV126" t="n">
        <v>6179</v>
      </c>
      <c r="OX126" t="n">
        <v>15335</v>
      </c>
      <c r="PB126" t="n">
        <v>3022</v>
      </c>
      <c r="PF126" t="n">
        <v>377</v>
      </c>
      <c r="PI126" t="n">
        <v>66626</v>
      </c>
      <c r="PM126">
        <f>IFERROR(VLOOKUP($A126&amp;"",Key!$A:$C,3,FALSE),"")</f>
        <v/>
      </c>
    </row>
    <row r="127">
      <c r="A127" t="n">
        <v>334512</v>
      </c>
      <c r="B127" t="inlineStr">
        <is>
          <t>Automatic environmental control manufacturing</t>
        </is>
      </c>
      <c r="AA127" t="n">
        <v>55</v>
      </c>
      <c r="AB127" t="n">
        <v>950</v>
      </c>
      <c r="AC127" t="n">
        <v>252</v>
      </c>
      <c r="AD127" t="n">
        <v>145</v>
      </c>
      <c r="AE127" t="n">
        <v>416</v>
      </c>
      <c r="AF127" t="n">
        <v>42</v>
      </c>
      <c r="AG127" t="n">
        <v>1061</v>
      </c>
      <c r="AH127" t="n">
        <v>11</v>
      </c>
      <c r="AI127" t="n">
        <v>75</v>
      </c>
      <c r="AK127" t="n">
        <v>154</v>
      </c>
      <c r="AL127" t="n">
        <v>15</v>
      </c>
      <c r="CP127" t="n">
        <v>103</v>
      </c>
      <c r="CQ127" t="n">
        <v>214</v>
      </c>
      <c r="DT127" t="n">
        <v>11</v>
      </c>
      <c r="EE127" t="n">
        <v>42</v>
      </c>
      <c r="EF127" t="n">
        <v>228</v>
      </c>
      <c r="FC127" t="n">
        <v>12</v>
      </c>
      <c r="JK127" t="n">
        <v>0</v>
      </c>
      <c r="JL127" t="n">
        <v>0</v>
      </c>
      <c r="JM127" t="n">
        <v>0</v>
      </c>
      <c r="JN127" t="n">
        <v>0</v>
      </c>
      <c r="JR127" t="n">
        <v>0</v>
      </c>
      <c r="JT127" t="n">
        <v>0</v>
      </c>
      <c r="KD127" t="n">
        <v>0</v>
      </c>
      <c r="KX127" t="n">
        <v>3</v>
      </c>
      <c r="LB127" t="n">
        <v>0</v>
      </c>
      <c r="LK127" t="n">
        <v>1</v>
      </c>
      <c r="LR127" t="n">
        <v>110</v>
      </c>
      <c r="LT127" t="n">
        <v>91</v>
      </c>
      <c r="LV127" t="n">
        <v>36</v>
      </c>
      <c r="LW127" t="n">
        <v>106</v>
      </c>
      <c r="LX127" t="n">
        <v>10</v>
      </c>
      <c r="LZ127" t="n">
        <v>5</v>
      </c>
      <c r="MB127" t="n">
        <v>3</v>
      </c>
      <c r="ME127" t="n">
        <v>264</v>
      </c>
      <c r="MG127" t="n">
        <v>7</v>
      </c>
      <c r="MI127" t="n">
        <v>30</v>
      </c>
      <c r="MK127" t="n">
        <v>21</v>
      </c>
      <c r="MO127" t="n">
        <v>36</v>
      </c>
      <c r="MV127" t="n">
        <v>5</v>
      </c>
      <c r="MX127" t="n">
        <v>3</v>
      </c>
      <c r="MY127" t="n">
        <v>16</v>
      </c>
      <c r="NN127" t="n">
        <v>2</v>
      </c>
      <c r="NS127" t="n">
        <v>38</v>
      </c>
      <c r="NT127" t="n">
        <v>113</v>
      </c>
      <c r="OD127" t="n">
        <v>7</v>
      </c>
      <c r="ON127" t="n">
        <v>140</v>
      </c>
      <c r="OO127" t="n">
        <v>4836</v>
      </c>
      <c r="OU127" t="n">
        <v>50</v>
      </c>
      <c r="OV127" t="n">
        <v>196</v>
      </c>
      <c r="PI127" t="n">
        <v>5082</v>
      </c>
      <c r="PM127">
        <f>IFERROR(VLOOKUP($A127&amp;"",Key!$A:$C,3,FALSE),"")</f>
        <v/>
      </c>
    </row>
    <row r="128">
      <c r="A128" t="n">
        <v>334513</v>
      </c>
      <c r="B128" t="inlineStr">
        <is>
          <t>Industrial process variable instruments manufacturing</t>
        </is>
      </c>
      <c r="X128" t="n">
        <v>3</v>
      </c>
      <c r="Y128" t="n">
        <v>15</v>
      </c>
      <c r="AA128" t="n">
        <v>29</v>
      </c>
      <c r="AE128" t="n">
        <v>72</v>
      </c>
      <c r="AQ128" t="n">
        <v>4</v>
      </c>
      <c r="AS128" t="n">
        <v>2</v>
      </c>
      <c r="AW128" t="n">
        <v>5</v>
      </c>
      <c r="BP128" t="n">
        <v>3</v>
      </c>
      <c r="BX128" t="n">
        <v>83</v>
      </c>
      <c r="BZ128" t="n">
        <v>1214</v>
      </c>
      <c r="CF128" t="n">
        <v>63</v>
      </c>
      <c r="CI128" t="n">
        <v>3</v>
      </c>
      <c r="CJ128" t="n">
        <v>5</v>
      </c>
      <c r="CN128" t="n">
        <v>1</v>
      </c>
      <c r="CO128" t="n">
        <v>2</v>
      </c>
      <c r="CQ128" t="n">
        <v>4</v>
      </c>
      <c r="CU128" t="n">
        <v>3</v>
      </c>
      <c r="CV128" t="n">
        <v>2</v>
      </c>
      <c r="CZ128" t="n">
        <v>1</v>
      </c>
      <c r="DB128" t="n">
        <v>4</v>
      </c>
      <c r="DG128" t="n">
        <v>32</v>
      </c>
      <c r="DI128" t="n">
        <v>1</v>
      </c>
      <c r="DK128" t="n">
        <v>0</v>
      </c>
      <c r="DO128" t="n">
        <v>31</v>
      </c>
      <c r="DS128" t="n">
        <v>370</v>
      </c>
      <c r="DU128" t="n">
        <v>312</v>
      </c>
      <c r="DV128" t="n">
        <v>514</v>
      </c>
      <c r="EJ128" t="n">
        <v>57</v>
      </c>
      <c r="EP128" t="n">
        <v>4</v>
      </c>
      <c r="EQ128" t="n">
        <v>1</v>
      </c>
      <c r="ER128" t="n">
        <v>1</v>
      </c>
      <c r="ES128" t="n">
        <v>1</v>
      </c>
      <c r="EX128" t="n">
        <v>2</v>
      </c>
      <c r="EY128" t="n">
        <v>3</v>
      </c>
      <c r="EZ128" t="n">
        <v>3</v>
      </c>
      <c r="FC128" t="n">
        <v>5</v>
      </c>
      <c r="FD128" t="n">
        <v>2</v>
      </c>
      <c r="FE128" t="n">
        <v>1</v>
      </c>
      <c r="FF128" t="n">
        <v>9</v>
      </c>
      <c r="FR128" t="n">
        <v>0</v>
      </c>
      <c r="GH128" t="n">
        <v>2</v>
      </c>
      <c r="HU128" t="n">
        <v>7</v>
      </c>
      <c r="HV128" t="n">
        <v>7</v>
      </c>
      <c r="HW128" t="n">
        <v>6</v>
      </c>
      <c r="IB128" t="n">
        <v>89</v>
      </c>
      <c r="IC128" t="n">
        <v>9</v>
      </c>
      <c r="ID128" t="n">
        <v>4</v>
      </c>
      <c r="IH128" t="n">
        <v>3</v>
      </c>
      <c r="II128" t="n">
        <v>19</v>
      </c>
      <c r="IK128" t="n">
        <v>577</v>
      </c>
      <c r="IL128" t="n">
        <v>23</v>
      </c>
      <c r="IM128" t="n">
        <v>75</v>
      </c>
      <c r="IP128" t="n">
        <v>1</v>
      </c>
      <c r="IZ128" t="n">
        <v>2</v>
      </c>
      <c r="JG128" t="n">
        <v>404</v>
      </c>
      <c r="JN128" t="n">
        <v>19</v>
      </c>
      <c r="JV128" t="n">
        <v>192</v>
      </c>
      <c r="JW128" t="n">
        <v>33</v>
      </c>
      <c r="JX128" t="n">
        <v>16</v>
      </c>
      <c r="JZ128" t="n">
        <v>6</v>
      </c>
      <c r="KA128" t="n">
        <v>36</v>
      </c>
      <c r="KN128" t="n">
        <v>5</v>
      </c>
      <c r="KO128" t="n">
        <v>16</v>
      </c>
      <c r="KP128" t="n">
        <v>10</v>
      </c>
      <c r="KQ128" t="n">
        <v>15</v>
      </c>
      <c r="KR128" t="n">
        <v>29</v>
      </c>
      <c r="KS128" t="n">
        <v>9</v>
      </c>
      <c r="KW128" t="n">
        <v>32</v>
      </c>
      <c r="KX128" t="n">
        <v>2</v>
      </c>
      <c r="KY128" t="n">
        <v>8</v>
      </c>
      <c r="KZ128" t="n">
        <v>36</v>
      </c>
      <c r="LA128" t="n">
        <v>85</v>
      </c>
      <c r="LO128" t="n">
        <v>10</v>
      </c>
      <c r="LP128" t="n">
        <v>10</v>
      </c>
      <c r="LS128" t="n">
        <v>41</v>
      </c>
      <c r="LT128" t="n">
        <v>70</v>
      </c>
      <c r="LU128" t="n">
        <v>22</v>
      </c>
      <c r="LW128" t="n">
        <v>30</v>
      </c>
      <c r="LZ128" t="n">
        <v>41</v>
      </c>
      <c r="MA128" t="n">
        <v>14</v>
      </c>
      <c r="MB128" t="n">
        <v>4</v>
      </c>
      <c r="ME128" t="n">
        <v>3</v>
      </c>
      <c r="MH128" t="n">
        <v>35</v>
      </c>
      <c r="MI128" t="n">
        <v>11</v>
      </c>
      <c r="MJ128" t="n">
        <v>1</v>
      </c>
      <c r="MK128" t="n">
        <v>140</v>
      </c>
      <c r="MM128" t="n">
        <v>4</v>
      </c>
      <c r="MN128" t="n">
        <v>58</v>
      </c>
      <c r="MO128" t="n">
        <v>248</v>
      </c>
      <c r="MZ128" t="n">
        <v>155</v>
      </c>
      <c r="NR128" t="n">
        <v>16</v>
      </c>
      <c r="NS128" t="n">
        <v>6</v>
      </c>
      <c r="NV128" t="n">
        <v>10</v>
      </c>
      <c r="NY128" t="n">
        <v>101</v>
      </c>
      <c r="OD128" t="n">
        <v>6</v>
      </c>
      <c r="OE128" t="n">
        <v>39</v>
      </c>
      <c r="OI128" t="n">
        <v>19</v>
      </c>
      <c r="OJ128" t="n">
        <v>20</v>
      </c>
      <c r="OK128" t="n">
        <v>4</v>
      </c>
      <c r="OM128" t="n">
        <v>18</v>
      </c>
      <c r="ON128" t="n">
        <v>86</v>
      </c>
      <c r="OO128" t="n">
        <v>5865</v>
      </c>
      <c r="OQ128" t="n">
        <v>6766</v>
      </c>
      <c r="OU128" t="n">
        <v>25</v>
      </c>
      <c r="OV128" t="n">
        <v>5785</v>
      </c>
      <c r="OX128" t="n">
        <v>6</v>
      </c>
      <c r="PB128" t="n">
        <v>8</v>
      </c>
      <c r="PF128" t="n">
        <v>258</v>
      </c>
      <c r="PI128" t="n">
        <v>18714</v>
      </c>
      <c r="PM128">
        <f>IFERROR(VLOOKUP($A128&amp;"",Key!$A:$C,3,FALSE),"")</f>
        <v/>
      </c>
    </row>
    <row r="129">
      <c r="A129" t="n">
        <v>334514</v>
      </c>
      <c r="B129" t="inlineStr">
        <is>
          <t>Totalizing fluid meter and counting device manufacturing</t>
        </is>
      </c>
      <c r="O129" t="n">
        <v>1</v>
      </c>
      <c r="P129" t="n">
        <v>42</v>
      </c>
      <c r="Q129" t="n">
        <v>20</v>
      </c>
      <c r="X129" t="n">
        <v>101</v>
      </c>
      <c r="Z129" t="n">
        <v>9</v>
      </c>
      <c r="AB129" t="n">
        <v>7</v>
      </c>
      <c r="AC129" t="n">
        <v>7</v>
      </c>
      <c r="AD129" t="n">
        <v>1</v>
      </c>
      <c r="AG129" t="n">
        <v>26</v>
      </c>
      <c r="AI129" t="n">
        <v>1</v>
      </c>
      <c r="AJ129" t="n">
        <v>1</v>
      </c>
      <c r="AK129" t="n">
        <v>11</v>
      </c>
      <c r="AL129" t="n">
        <v>10</v>
      </c>
      <c r="DS129" t="n">
        <v>244</v>
      </c>
      <c r="DV129" t="n">
        <v>148</v>
      </c>
      <c r="DW129" t="n">
        <v>30</v>
      </c>
      <c r="EJ129" t="n">
        <v>5</v>
      </c>
      <c r="EQ129" t="n">
        <v>276</v>
      </c>
      <c r="ER129" t="n">
        <v>841</v>
      </c>
      <c r="ES129" t="n">
        <v>200</v>
      </c>
      <c r="GZ129" t="n">
        <v>2</v>
      </c>
      <c r="II129" t="n">
        <v>117</v>
      </c>
      <c r="IL129" t="n">
        <v>509</v>
      </c>
      <c r="IM129" t="n">
        <v>394</v>
      </c>
      <c r="JN129" t="n">
        <v>4</v>
      </c>
      <c r="JO129" t="n">
        <v>30</v>
      </c>
      <c r="JQ129" t="n">
        <v>26</v>
      </c>
      <c r="JR129" t="n">
        <v>3</v>
      </c>
      <c r="JS129" t="n">
        <v>6</v>
      </c>
      <c r="JV129" t="n">
        <v>75</v>
      </c>
      <c r="JW129" t="n">
        <v>27</v>
      </c>
      <c r="JY129" t="n">
        <v>18</v>
      </c>
      <c r="KA129" t="n">
        <v>27</v>
      </c>
      <c r="KC129" t="n">
        <v>29</v>
      </c>
      <c r="KE129" t="n">
        <v>1</v>
      </c>
      <c r="KH129" t="n">
        <v>9</v>
      </c>
      <c r="KK129" t="n">
        <v>0</v>
      </c>
      <c r="KL129" t="n">
        <v>0</v>
      </c>
      <c r="KW129" t="n">
        <v>14</v>
      </c>
      <c r="KX129" t="n">
        <v>81</v>
      </c>
      <c r="LN129" t="n">
        <v>1</v>
      </c>
      <c r="LW129" t="n">
        <v>59</v>
      </c>
      <c r="LZ129" t="n">
        <v>166</v>
      </c>
      <c r="MA129" t="n">
        <v>1</v>
      </c>
      <c r="ME129" t="n">
        <v>2</v>
      </c>
      <c r="MF129" t="n">
        <v>10</v>
      </c>
      <c r="MH129" t="n">
        <v>24</v>
      </c>
      <c r="MK129" t="n">
        <v>2</v>
      </c>
      <c r="MN129" t="n">
        <v>2</v>
      </c>
      <c r="MO129" t="n">
        <v>295</v>
      </c>
      <c r="MQ129" t="n">
        <v>7</v>
      </c>
      <c r="MY129" t="n">
        <v>2</v>
      </c>
      <c r="MZ129" t="n">
        <v>157</v>
      </c>
      <c r="NB129" t="n">
        <v>20</v>
      </c>
      <c r="NC129" t="n">
        <v>29</v>
      </c>
      <c r="NE129" t="n">
        <v>114</v>
      </c>
      <c r="NO129" t="n">
        <v>60</v>
      </c>
      <c r="NP129" t="n">
        <v>6</v>
      </c>
      <c r="NR129" t="n">
        <v>16</v>
      </c>
      <c r="NX129" t="n">
        <v>1</v>
      </c>
      <c r="OA129" t="n">
        <v>5</v>
      </c>
      <c r="OB129" t="n">
        <v>1</v>
      </c>
      <c r="OD129" t="n">
        <v>6</v>
      </c>
      <c r="OE129" t="n">
        <v>67</v>
      </c>
      <c r="OL129" t="n">
        <v>176</v>
      </c>
      <c r="ON129" t="n">
        <v>1279</v>
      </c>
      <c r="OO129" t="n">
        <v>5862</v>
      </c>
      <c r="OQ129" t="n">
        <v>2346</v>
      </c>
      <c r="OU129" t="n">
        <v>-36</v>
      </c>
      <c r="OV129" t="n">
        <v>294</v>
      </c>
      <c r="PF129" t="n">
        <v>372</v>
      </c>
      <c r="PI129" t="n">
        <v>8837</v>
      </c>
      <c r="PM129">
        <f>IFERROR(VLOOKUP($A129&amp;"",Key!$A:$C,3,FALSE),"")</f>
        <v/>
      </c>
    </row>
    <row r="130">
      <c r="A130" t="n">
        <v>334515</v>
      </c>
      <c r="B130" t="inlineStr">
        <is>
          <t>Electricity and signal testing instruments manufacturing</t>
        </is>
      </c>
      <c r="CM130" t="n">
        <v>243</v>
      </c>
      <c r="CU130" t="n">
        <v>211</v>
      </c>
      <c r="CV130" t="n">
        <v>60</v>
      </c>
      <c r="DK130" t="n">
        <v>7</v>
      </c>
      <c r="DL130" t="n">
        <v>26</v>
      </c>
      <c r="DM130" t="n">
        <v>326</v>
      </c>
      <c r="DN130" t="n">
        <v>59</v>
      </c>
      <c r="DO130" t="n">
        <v>147</v>
      </c>
      <c r="DP130" t="n">
        <v>27</v>
      </c>
      <c r="DQ130" t="n">
        <v>274</v>
      </c>
      <c r="DS130" t="n">
        <v>1512</v>
      </c>
      <c r="DT130" t="n">
        <v>19</v>
      </c>
      <c r="DU130" t="n">
        <v>301</v>
      </c>
      <c r="DV130" t="n">
        <v>287</v>
      </c>
      <c r="DW130" t="n">
        <v>861</v>
      </c>
      <c r="DX130" t="n">
        <v>398</v>
      </c>
      <c r="DZ130" t="n">
        <v>32</v>
      </c>
      <c r="EP130" t="n">
        <v>126</v>
      </c>
      <c r="KZ130" t="n">
        <v>7</v>
      </c>
      <c r="OO130" t="n">
        <v>4921</v>
      </c>
      <c r="OQ130" t="n">
        <v>6649</v>
      </c>
      <c r="OU130" t="n">
        <v>191</v>
      </c>
      <c r="OV130" t="n">
        <v>6110</v>
      </c>
      <c r="OX130" t="n">
        <v>2393</v>
      </c>
      <c r="PB130" t="n">
        <v>93</v>
      </c>
      <c r="PF130" t="n">
        <v>31</v>
      </c>
      <c r="PI130" t="n">
        <v>20388</v>
      </c>
      <c r="PM130">
        <f>IFERROR(VLOOKUP($A130&amp;"",Key!$A:$C,3,FALSE),"")</f>
        <v/>
      </c>
    </row>
    <row r="131">
      <c r="A131" t="n">
        <v>334516</v>
      </c>
      <c r="B131" t="inlineStr">
        <is>
          <t>Analytical laboratory instrument manufacturing</t>
        </is>
      </c>
      <c r="DS131" t="n">
        <v>96</v>
      </c>
      <c r="DX131" t="n">
        <v>11</v>
      </c>
      <c r="FY131" t="n">
        <v>192</v>
      </c>
      <c r="IX131" t="n">
        <v>6</v>
      </c>
      <c r="KZ131" t="n">
        <v>3</v>
      </c>
      <c r="LT131" t="n">
        <v>272</v>
      </c>
      <c r="LV131" t="n">
        <v>45</v>
      </c>
      <c r="LW131" t="n">
        <v>1869</v>
      </c>
      <c r="LX131" t="n">
        <v>12</v>
      </c>
      <c r="LZ131" t="n">
        <v>24</v>
      </c>
      <c r="ME131" t="n">
        <v>299</v>
      </c>
      <c r="MG131" t="n">
        <v>8</v>
      </c>
      <c r="MI131" t="n">
        <v>35</v>
      </c>
      <c r="MK131" t="n">
        <v>24</v>
      </c>
      <c r="MO131" t="n">
        <v>42</v>
      </c>
      <c r="MP131" t="n">
        <v>92</v>
      </c>
      <c r="MU131" t="n">
        <v>67</v>
      </c>
      <c r="MV131" t="n">
        <v>25</v>
      </c>
      <c r="MX131" t="n">
        <v>603</v>
      </c>
      <c r="MY131" t="n">
        <v>298</v>
      </c>
      <c r="MZ131" t="n">
        <v>139</v>
      </c>
      <c r="ON131" t="n">
        <v>141</v>
      </c>
      <c r="OO131" t="n">
        <v>4302</v>
      </c>
      <c r="OQ131" t="n">
        <v>13111</v>
      </c>
      <c r="OU131" t="n">
        <v>22</v>
      </c>
      <c r="OV131" t="n">
        <v>7502</v>
      </c>
      <c r="PB131" t="n">
        <v>1</v>
      </c>
      <c r="PF131" t="n">
        <v>270</v>
      </c>
      <c r="PI131" t="n">
        <v>25207</v>
      </c>
      <c r="PM131">
        <f>IFERROR(VLOOKUP($A131&amp;"",Key!$A:$C,3,FALSE),"")</f>
        <v/>
      </c>
    </row>
    <row r="132">
      <c r="A132" t="n">
        <v>334517</v>
      </c>
      <c r="B132" t="inlineStr">
        <is>
          <t>Irradiation apparatus manufacturing</t>
        </is>
      </c>
      <c r="AL132" t="n">
        <v>58</v>
      </c>
      <c r="DS132" t="n">
        <v>66</v>
      </c>
      <c r="DY132" t="n">
        <v>68</v>
      </c>
      <c r="FO132" t="n">
        <v>19</v>
      </c>
      <c r="LZ132" t="n">
        <v>4</v>
      </c>
      <c r="MS132" t="n">
        <v>79</v>
      </c>
      <c r="MT132" t="n">
        <v>225</v>
      </c>
      <c r="MW132" t="n">
        <v>185</v>
      </c>
      <c r="OO132" t="n">
        <v>704</v>
      </c>
      <c r="OQ132" t="n">
        <v>11979</v>
      </c>
      <c r="OU132" t="n">
        <v>78</v>
      </c>
      <c r="OV132" t="n">
        <v>3931</v>
      </c>
      <c r="OX132" t="n">
        <v>282</v>
      </c>
      <c r="PB132" t="n">
        <v>73</v>
      </c>
      <c r="PF132" t="n">
        <v>174</v>
      </c>
      <c r="PI132" t="n">
        <v>17220</v>
      </c>
      <c r="PM132">
        <f>IFERROR(VLOOKUP($A132&amp;"",Key!$A:$C,3,FALSE),"")</f>
        <v/>
      </c>
    </row>
    <row r="133">
      <c r="A133" t="inlineStr">
        <is>
          <t>33451A</t>
        </is>
      </c>
      <c r="B133" t="inlineStr">
        <is>
          <t>Watch, clock, and other measuring and controlling device manufacturing</t>
        </is>
      </c>
      <c r="I133" t="n">
        <v>4</v>
      </c>
      <c r="V133" t="n">
        <v>34</v>
      </c>
      <c r="W133" t="n">
        <v>110</v>
      </c>
      <c r="AA133" t="n">
        <v>6</v>
      </c>
      <c r="AB133" t="n">
        <v>33</v>
      </c>
      <c r="AE133" t="n">
        <v>110</v>
      </c>
      <c r="AH133" t="n">
        <v>7</v>
      </c>
      <c r="AK133" t="n">
        <v>10</v>
      </c>
      <c r="AP133" t="n">
        <v>37</v>
      </c>
      <c r="BP133" t="n">
        <v>0</v>
      </c>
      <c r="CI133" t="n">
        <v>0</v>
      </c>
      <c r="CJ133" t="n">
        <v>1</v>
      </c>
      <c r="CQ133" t="n">
        <v>0</v>
      </c>
      <c r="CU133" t="n">
        <v>0</v>
      </c>
      <c r="CV133" t="n">
        <v>0</v>
      </c>
      <c r="DB133" t="n">
        <v>0</v>
      </c>
      <c r="DG133" t="n">
        <v>0</v>
      </c>
      <c r="DS133" t="n">
        <v>340</v>
      </c>
      <c r="DZ133" t="n">
        <v>564</v>
      </c>
      <c r="EE133" t="n">
        <v>27</v>
      </c>
      <c r="EF133" t="n">
        <v>124</v>
      </c>
      <c r="EJ133" t="n">
        <v>9</v>
      </c>
      <c r="ES133" t="n">
        <v>0</v>
      </c>
      <c r="EY133" t="n">
        <v>0</v>
      </c>
      <c r="FD133" t="n">
        <v>0</v>
      </c>
      <c r="FE133" t="n">
        <v>1388</v>
      </c>
      <c r="FF133" t="n">
        <v>54</v>
      </c>
      <c r="FG133" t="n">
        <v>1</v>
      </c>
      <c r="FH133" t="n">
        <v>1</v>
      </c>
      <c r="GH133" t="n">
        <v>1</v>
      </c>
      <c r="IE133" t="n">
        <v>15</v>
      </c>
      <c r="JQ133" t="n">
        <v>0</v>
      </c>
      <c r="JR133" t="n">
        <v>0</v>
      </c>
      <c r="JT133" t="n">
        <v>162</v>
      </c>
      <c r="JV133" t="n">
        <v>8</v>
      </c>
      <c r="KK133" t="n">
        <v>1</v>
      </c>
      <c r="KX133" t="n">
        <v>9</v>
      </c>
      <c r="KZ133" t="n">
        <v>5</v>
      </c>
      <c r="LO133" t="n">
        <v>0</v>
      </c>
      <c r="LT133" t="n">
        <v>333</v>
      </c>
      <c r="LW133" t="n">
        <v>220</v>
      </c>
      <c r="LZ133" t="n">
        <v>52</v>
      </c>
      <c r="MF133" t="n">
        <v>5</v>
      </c>
      <c r="MK133" t="n">
        <v>0</v>
      </c>
      <c r="MY133" t="n">
        <v>0</v>
      </c>
      <c r="MZ133" t="n">
        <v>76</v>
      </c>
      <c r="NE133" t="n">
        <v>3</v>
      </c>
      <c r="NS133" t="n">
        <v>79</v>
      </c>
      <c r="NU133" t="n">
        <v>10</v>
      </c>
      <c r="NY133" t="n">
        <v>0</v>
      </c>
      <c r="NZ133" t="n">
        <v>0</v>
      </c>
      <c r="OA133" t="n">
        <v>17</v>
      </c>
      <c r="OB133" t="n">
        <v>28</v>
      </c>
      <c r="OD133" t="n">
        <v>374</v>
      </c>
      <c r="OE133" t="n">
        <v>763</v>
      </c>
      <c r="OI133" t="n">
        <v>11</v>
      </c>
      <c r="OJ133" t="n">
        <v>51</v>
      </c>
      <c r="OK133" t="n">
        <v>116</v>
      </c>
      <c r="ON133" t="n">
        <v>155</v>
      </c>
      <c r="OO133" t="n">
        <v>5357</v>
      </c>
      <c r="OP133" t="n">
        <v>13480</v>
      </c>
      <c r="OQ133" t="n">
        <v>8339</v>
      </c>
      <c r="OU133" t="n">
        <v>-170</v>
      </c>
      <c r="OV133" t="n">
        <v>3236</v>
      </c>
      <c r="PF133" t="n">
        <v>206</v>
      </c>
      <c r="PI133" t="n">
        <v>30448</v>
      </c>
      <c r="PM133">
        <f>IFERROR(VLOOKUP($A133&amp;"",Key!$A:$C,3,FALSE),"")</f>
        <v/>
      </c>
    </row>
    <row r="134">
      <c r="A134" t="n">
        <v>334300</v>
      </c>
      <c r="B134" t="inlineStr">
        <is>
          <t>Audio and video equipment manufacturing</t>
        </is>
      </c>
      <c r="AB134" t="n">
        <v>31</v>
      </c>
      <c r="DL134" t="n">
        <v>1</v>
      </c>
      <c r="DM134" t="n">
        <v>8</v>
      </c>
      <c r="DN134" t="n">
        <v>9</v>
      </c>
      <c r="DO134" t="n">
        <v>7</v>
      </c>
      <c r="DQ134" t="n">
        <v>23</v>
      </c>
      <c r="DS134" t="n">
        <v>4</v>
      </c>
      <c r="EA134" t="n">
        <v>215</v>
      </c>
      <c r="EP134" t="n">
        <v>0</v>
      </c>
      <c r="EQ134" t="n">
        <v>267</v>
      </c>
      <c r="ER134" t="n">
        <v>2130</v>
      </c>
      <c r="ES134" t="n">
        <v>51</v>
      </c>
      <c r="IB134" t="n">
        <v>10</v>
      </c>
      <c r="JK134" t="n">
        <v>2</v>
      </c>
      <c r="JM134" t="n">
        <v>0</v>
      </c>
      <c r="JO134" t="n">
        <v>1</v>
      </c>
      <c r="JQ134" t="n">
        <v>2</v>
      </c>
      <c r="JR134" t="n">
        <v>1</v>
      </c>
      <c r="JV134" t="n">
        <v>142</v>
      </c>
      <c r="JW134" t="n">
        <v>61</v>
      </c>
      <c r="JX134" t="n">
        <v>2</v>
      </c>
      <c r="JY134" t="n">
        <v>31</v>
      </c>
      <c r="JZ134" t="n">
        <v>41</v>
      </c>
      <c r="KA134" t="n">
        <v>66</v>
      </c>
      <c r="KB134" t="n">
        <v>1</v>
      </c>
      <c r="KC134" t="n">
        <v>34</v>
      </c>
      <c r="KK134" t="n">
        <v>21</v>
      </c>
      <c r="KM134" t="n">
        <v>1</v>
      </c>
      <c r="KQ134" t="n">
        <v>1</v>
      </c>
      <c r="KR134" t="n">
        <v>15</v>
      </c>
      <c r="KZ134" t="n">
        <v>3</v>
      </c>
      <c r="LD134" t="n">
        <v>8</v>
      </c>
      <c r="LM134" t="n">
        <v>1</v>
      </c>
      <c r="LO134" t="n">
        <v>1</v>
      </c>
      <c r="LR134" t="n">
        <v>2</v>
      </c>
      <c r="LS134" t="n">
        <v>1</v>
      </c>
      <c r="LU134" t="n">
        <v>2</v>
      </c>
      <c r="LW134" t="n">
        <v>1</v>
      </c>
      <c r="LX134" t="n">
        <v>48</v>
      </c>
      <c r="LZ134" t="n">
        <v>3</v>
      </c>
      <c r="MA134" t="n">
        <v>4</v>
      </c>
      <c r="ME134" t="n">
        <v>3</v>
      </c>
      <c r="MF134" t="n">
        <v>13</v>
      </c>
      <c r="MH134" t="n">
        <v>44</v>
      </c>
      <c r="MI134" t="n">
        <v>6</v>
      </c>
      <c r="MJ134" t="n">
        <v>1</v>
      </c>
      <c r="MK134" t="n">
        <v>6</v>
      </c>
      <c r="ML134" t="n">
        <v>1</v>
      </c>
      <c r="MN134" t="n">
        <v>2</v>
      </c>
      <c r="MP134" t="n">
        <v>2</v>
      </c>
      <c r="MR134" t="n">
        <v>58</v>
      </c>
      <c r="MS134" t="n">
        <v>2</v>
      </c>
      <c r="NA134" t="n">
        <v>2</v>
      </c>
      <c r="NN134" t="n">
        <v>1</v>
      </c>
      <c r="NO134" t="n">
        <v>2</v>
      </c>
      <c r="NP134" t="n">
        <v>4</v>
      </c>
      <c r="NR134" t="n">
        <v>1</v>
      </c>
      <c r="NS134" t="n">
        <v>10</v>
      </c>
      <c r="OB134" t="n">
        <v>3</v>
      </c>
      <c r="OE134" t="n">
        <v>325</v>
      </c>
      <c r="OI134" t="n">
        <v>25</v>
      </c>
      <c r="OJ134" t="n">
        <v>1</v>
      </c>
      <c r="OK134" t="n">
        <v>12</v>
      </c>
      <c r="OO134" t="n">
        <v>3768</v>
      </c>
      <c r="OP134" t="n">
        <v>45335</v>
      </c>
      <c r="OQ134" t="n">
        <v>6636</v>
      </c>
      <c r="OS134" t="n">
        <v>354</v>
      </c>
      <c r="OU134" t="n">
        <v>-175</v>
      </c>
      <c r="OV134" t="n">
        <v>3209</v>
      </c>
      <c r="PF134" t="n">
        <v>3394</v>
      </c>
      <c r="PI134" t="n">
        <v>62522</v>
      </c>
      <c r="PM134">
        <f>IFERROR(VLOOKUP($A134&amp;"",Key!$A:$C,3,FALSE),"")</f>
        <v/>
      </c>
    </row>
    <row r="135">
      <c r="A135" t="n">
        <v>334610</v>
      </c>
      <c r="B135" t="inlineStr">
        <is>
          <t>Manufacturing and reproducing magnetic and optical media</t>
        </is>
      </c>
      <c r="AC135" t="n">
        <v>0</v>
      </c>
      <c r="AE135" t="n">
        <v>1</v>
      </c>
      <c r="AP135" t="n">
        <v>1</v>
      </c>
      <c r="CO135" t="n">
        <v>4</v>
      </c>
      <c r="DI135" t="n">
        <v>12</v>
      </c>
      <c r="DJ135" t="n">
        <v>4</v>
      </c>
      <c r="DK135" t="n">
        <v>1</v>
      </c>
      <c r="DS135" t="n">
        <v>32</v>
      </c>
      <c r="EB135" t="n">
        <v>111</v>
      </c>
      <c r="FC135" t="n">
        <v>10</v>
      </c>
      <c r="GH135" t="n">
        <v>3</v>
      </c>
      <c r="IE135" t="n">
        <v>0</v>
      </c>
      <c r="JK135" t="n">
        <v>1</v>
      </c>
      <c r="JL135" t="n">
        <v>3</v>
      </c>
      <c r="JM135" t="n">
        <v>1</v>
      </c>
      <c r="JN135" t="n">
        <v>2</v>
      </c>
      <c r="JO135" t="n">
        <v>5</v>
      </c>
      <c r="JP135" t="n">
        <v>4</v>
      </c>
      <c r="JQ135" t="n">
        <v>2</v>
      </c>
      <c r="JR135" t="n">
        <v>6</v>
      </c>
      <c r="JS135" t="n">
        <v>4</v>
      </c>
      <c r="JV135" t="n">
        <v>2</v>
      </c>
      <c r="JW135" t="n">
        <v>1</v>
      </c>
      <c r="JX135" t="n">
        <v>0</v>
      </c>
      <c r="JY135" t="n">
        <v>2</v>
      </c>
      <c r="JZ135" t="n">
        <v>1</v>
      </c>
      <c r="KA135" t="n">
        <v>1</v>
      </c>
      <c r="KB135" t="n">
        <v>2</v>
      </c>
      <c r="KC135" t="n">
        <v>2</v>
      </c>
      <c r="KD135" t="n">
        <v>3</v>
      </c>
      <c r="KJ135" t="n">
        <v>1</v>
      </c>
      <c r="KK135" t="n">
        <v>1</v>
      </c>
      <c r="KM135" t="n">
        <v>11</v>
      </c>
      <c r="KR135" t="n">
        <v>35</v>
      </c>
      <c r="KS135" t="n">
        <v>230</v>
      </c>
      <c r="KT135" t="n">
        <v>232</v>
      </c>
      <c r="KV135" t="n">
        <v>12</v>
      </c>
      <c r="KW135" t="n">
        <v>19</v>
      </c>
      <c r="KX135" t="n">
        <v>15</v>
      </c>
      <c r="KY135" t="n">
        <v>2</v>
      </c>
      <c r="KZ135" t="n">
        <v>1</v>
      </c>
      <c r="LB135" t="n">
        <v>0</v>
      </c>
      <c r="LC135" t="n">
        <v>22</v>
      </c>
      <c r="LD135" t="n">
        <v>29</v>
      </c>
      <c r="LE135" t="n">
        <v>23</v>
      </c>
      <c r="LF135" t="n">
        <v>4</v>
      </c>
      <c r="LR135" t="n">
        <v>115</v>
      </c>
      <c r="LS135" t="n">
        <v>0</v>
      </c>
      <c r="LT135" t="n">
        <v>18</v>
      </c>
      <c r="LU135" t="n">
        <v>0</v>
      </c>
      <c r="LV135" t="n">
        <v>84</v>
      </c>
      <c r="LW135" t="n">
        <v>31</v>
      </c>
      <c r="LX135" t="n">
        <v>10</v>
      </c>
      <c r="LY135" t="n">
        <v>16</v>
      </c>
      <c r="LZ135" t="n">
        <v>10</v>
      </c>
      <c r="MA135" t="n">
        <v>57</v>
      </c>
      <c r="MC135" t="n">
        <v>53</v>
      </c>
      <c r="MD135" t="n">
        <v>1</v>
      </c>
      <c r="ME135" t="n">
        <v>282</v>
      </c>
      <c r="MF135" t="n">
        <v>0</v>
      </c>
      <c r="MG135" t="n">
        <v>7</v>
      </c>
      <c r="MH135" t="n">
        <v>7</v>
      </c>
      <c r="MI135" t="n">
        <v>30</v>
      </c>
      <c r="MJ135" t="n">
        <v>0</v>
      </c>
      <c r="MK135" t="n">
        <v>37</v>
      </c>
      <c r="ML135" t="n">
        <v>9</v>
      </c>
      <c r="MM135" t="n">
        <v>60</v>
      </c>
      <c r="MN135" t="n">
        <v>86</v>
      </c>
      <c r="MO135" t="n">
        <v>1</v>
      </c>
      <c r="MR135" t="n">
        <v>13</v>
      </c>
      <c r="MS135" t="n">
        <v>35</v>
      </c>
      <c r="MT135" t="n">
        <v>12</v>
      </c>
      <c r="MU135" t="n">
        <v>1</v>
      </c>
      <c r="MV135" t="n">
        <v>1</v>
      </c>
      <c r="MX135" t="n">
        <v>0</v>
      </c>
      <c r="MY135" t="n">
        <v>3</v>
      </c>
      <c r="MZ135" t="n">
        <v>7</v>
      </c>
      <c r="NA135" t="n">
        <v>2</v>
      </c>
      <c r="NB135" t="n">
        <v>0</v>
      </c>
      <c r="NC135" t="n">
        <v>0</v>
      </c>
      <c r="NE135" t="n">
        <v>1</v>
      </c>
      <c r="NK135" t="n">
        <v>0</v>
      </c>
      <c r="NM135" t="n">
        <v>1</v>
      </c>
      <c r="NN135" t="n">
        <v>280</v>
      </c>
      <c r="NO135" t="n">
        <v>6</v>
      </c>
      <c r="NP135" t="n">
        <v>9</v>
      </c>
      <c r="NR135" t="n">
        <v>0</v>
      </c>
      <c r="NS135" t="n">
        <v>2</v>
      </c>
      <c r="NT135" t="n">
        <v>0</v>
      </c>
      <c r="NV135" t="n">
        <v>2</v>
      </c>
      <c r="NZ135" t="n">
        <v>11</v>
      </c>
      <c r="OA135" t="n">
        <v>3</v>
      </c>
      <c r="OB135" t="n">
        <v>18</v>
      </c>
      <c r="OD135" t="n">
        <v>11</v>
      </c>
      <c r="OE135" t="n">
        <v>23</v>
      </c>
      <c r="OI135" t="n">
        <v>17</v>
      </c>
      <c r="OK135" t="n">
        <v>12</v>
      </c>
      <c r="ON135" t="n">
        <v>31</v>
      </c>
      <c r="OO135" t="n">
        <v>2276</v>
      </c>
      <c r="OP135" t="n">
        <v>319</v>
      </c>
      <c r="OQ135" t="n">
        <v>93</v>
      </c>
      <c r="OU135" t="n">
        <v>-14</v>
      </c>
      <c r="OV135" t="n">
        <v>267</v>
      </c>
      <c r="PI135" t="n">
        <v>2942</v>
      </c>
      <c r="PM135">
        <f>IFERROR(VLOOKUP($A135&amp;"",Key!$A:$C,3,FALSE),"")</f>
        <v/>
      </c>
    </row>
    <row r="136">
      <c r="A136" t="n">
        <v>335110</v>
      </c>
      <c r="B136" t="inlineStr">
        <is>
          <t>Electric lamp bulb and part manufacturing</t>
        </is>
      </c>
      <c r="I136" t="n">
        <v>1</v>
      </c>
      <c r="J136" t="n">
        <v>0</v>
      </c>
      <c r="N136" t="n">
        <v>1</v>
      </c>
      <c r="X136" t="n">
        <v>0</v>
      </c>
      <c r="AA136" t="n">
        <v>2</v>
      </c>
      <c r="AB136" t="n">
        <v>5</v>
      </c>
      <c r="AC136" t="n">
        <v>6</v>
      </c>
      <c r="AD136" t="n">
        <v>1</v>
      </c>
      <c r="AE136" t="n">
        <v>2</v>
      </c>
      <c r="AG136" t="n">
        <v>6</v>
      </c>
      <c r="AI136" t="n">
        <v>0</v>
      </c>
      <c r="AJ136" t="n">
        <v>1</v>
      </c>
      <c r="AK136" t="n">
        <v>3</v>
      </c>
      <c r="AL136" t="n">
        <v>2</v>
      </c>
      <c r="AR136" t="n">
        <v>0</v>
      </c>
      <c r="BP136" t="n">
        <v>1</v>
      </c>
      <c r="CI136" t="n">
        <v>1</v>
      </c>
      <c r="CJ136" t="n">
        <v>3</v>
      </c>
      <c r="CN136" t="n">
        <v>1</v>
      </c>
      <c r="CQ136" t="n">
        <v>2</v>
      </c>
      <c r="CU136" t="n">
        <v>1</v>
      </c>
      <c r="CV136" t="n">
        <v>1</v>
      </c>
      <c r="DB136" t="n">
        <v>2</v>
      </c>
      <c r="DG136" t="n">
        <v>2</v>
      </c>
      <c r="EC136" t="n">
        <v>279</v>
      </c>
      <c r="ED136" t="n">
        <v>585</v>
      </c>
      <c r="EF136" t="n">
        <v>2</v>
      </c>
      <c r="EH136" t="n">
        <v>0</v>
      </c>
      <c r="EQ136" t="n">
        <v>22</v>
      </c>
      <c r="ER136" t="n">
        <v>105</v>
      </c>
      <c r="ES136" t="n">
        <v>8</v>
      </c>
      <c r="ET136" t="n">
        <v>1</v>
      </c>
      <c r="EU136" t="n">
        <v>1</v>
      </c>
      <c r="EY136" t="n">
        <v>133</v>
      </c>
      <c r="FC136" t="n">
        <v>1</v>
      </c>
      <c r="FD136" t="n">
        <v>1</v>
      </c>
      <c r="FF136" t="n">
        <v>4</v>
      </c>
      <c r="FR136" t="n">
        <v>0</v>
      </c>
      <c r="FX136" t="n">
        <v>2</v>
      </c>
      <c r="FY136" t="n">
        <v>0</v>
      </c>
      <c r="GG136" t="n">
        <v>1</v>
      </c>
      <c r="GH136" t="n">
        <v>1</v>
      </c>
      <c r="GO136" t="n">
        <v>0</v>
      </c>
      <c r="GP136" t="n">
        <v>2</v>
      </c>
      <c r="GQ136" t="n">
        <v>1</v>
      </c>
      <c r="GR136" t="n">
        <v>1</v>
      </c>
      <c r="GS136" t="n">
        <v>1</v>
      </c>
      <c r="GT136" t="n">
        <v>1</v>
      </c>
      <c r="GU136" t="n">
        <v>1</v>
      </c>
      <c r="GV136" t="n">
        <v>2</v>
      </c>
      <c r="GZ136" t="n">
        <v>1</v>
      </c>
      <c r="HA136" t="n">
        <v>2</v>
      </c>
      <c r="HB136" t="n">
        <v>6</v>
      </c>
      <c r="HF136" t="n">
        <v>1</v>
      </c>
      <c r="HG136" t="n">
        <v>5</v>
      </c>
      <c r="HH136" t="n">
        <v>1</v>
      </c>
      <c r="IV136" t="n">
        <v>1</v>
      </c>
      <c r="IW136" t="n">
        <v>5</v>
      </c>
      <c r="IX136" t="n">
        <v>1</v>
      </c>
      <c r="JF136" t="n">
        <v>0</v>
      </c>
      <c r="JG136" t="n">
        <v>1</v>
      </c>
      <c r="JJ136" t="n">
        <v>0</v>
      </c>
      <c r="JK136" t="n">
        <v>1</v>
      </c>
      <c r="JL136" t="n">
        <v>0</v>
      </c>
      <c r="JN136" t="n">
        <v>3</v>
      </c>
      <c r="JO136" t="n">
        <v>40</v>
      </c>
      <c r="JQ136" t="n">
        <v>5</v>
      </c>
      <c r="JS136" t="n">
        <v>0</v>
      </c>
      <c r="JV136" t="n">
        <v>1</v>
      </c>
      <c r="JW136" t="n">
        <v>0</v>
      </c>
      <c r="KB136" t="n">
        <v>0</v>
      </c>
      <c r="KC136" t="n">
        <v>1</v>
      </c>
      <c r="KL136" t="n">
        <v>0</v>
      </c>
      <c r="KM136" t="n">
        <v>25</v>
      </c>
      <c r="KX136" t="n">
        <v>0</v>
      </c>
      <c r="LD136" t="n">
        <v>1</v>
      </c>
      <c r="LI136" t="n">
        <v>1</v>
      </c>
      <c r="LM136" t="n">
        <v>8</v>
      </c>
      <c r="LR136" t="n">
        <v>1</v>
      </c>
      <c r="LV136" t="n">
        <v>0</v>
      </c>
      <c r="LW136" t="n">
        <v>3</v>
      </c>
      <c r="LX136" t="n">
        <v>14</v>
      </c>
      <c r="LZ136" t="n">
        <v>3</v>
      </c>
      <c r="MA136" t="n">
        <v>2</v>
      </c>
      <c r="ME136" t="n">
        <v>2</v>
      </c>
      <c r="MF136" t="n">
        <v>9</v>
      </c>
      <c r="MH136" t="n">
        <v>288</v>
      </c>
      <c r="MI136" t="n">
        <v>1</v>
      </c>
      <c r="MJ136" t="n">
        <v>1</v>
      </c>
      <c r="MK136" t="n">
        <v>1</v>
      </c>
      <c r="MP136" t="n">
        <v>19</v>
      </c>
      <c r="MQ136" t="n">
        <v>3</v>
      </c>
      <c r="MS136" t="n">
        <v>4</v>
      </c>
      <c r="MY136" t="n">
        <v>1</v>
      </c>
      <c r="MZ136" t="n">
        <v>16</v>
      </c>
      <c r="NA136" t="n">
        <v>2</v>
      </c>
      <c r="ND136" t="n">
        <v>1</v>
      </c>
      <c r="NE136" t="n">
        <v>1</v>
      </c>
      <c r="NG136" t="n">
        <v>0</v>
      </c>
      <c r="NM136" t="n">
        <v>1</v>
      </c>
      <c r="NN136" t="n">
        <v>3</v>
      </c>
      <c r="NP136" t="n">
        <v>3</v>
      </c>
      <c r="NR136" t="n">
        <v>4</v>
      </c>
      <c r="NZ136" t="n">
        <v>0</v>
      </c>
      <c r="OB136" t="n">
        <v>2</v>
      </c>
      <c r="OE136" t="n">
        <v>330</v>
      </c>
      <c r="OI136" t="n">
        <v>149</v>
      </c>
      <c r="OJ136" t="n">
        <v>97</v>
      </c>
      <c r="OK136" t="n">
        <v>190</v>
      </c>
      <c r="OO136" t="n">
        <v>2463</v>
      </c>
      <c r="OP136" t="n">
        <v>2817</v>
      </c>
      <c r="OU136" t="n">
        <v>20</v>
      </c>
      <c r="OV136" t="n">
        <v>379</v>
      </c>
      <c r="PI136" t="n">
        <v>5678</v>
      </c>
      <c r="PM136">
        <f>IFERROR(VLOOKUP($A136&amp;"",Key!$A:$C,3,FALSE),"")</f>
        <v/>
      </c>
    </row>
    <row r="137">
      <c r="A137" t="n">
        <v>335120</v>
      </c>
      <c r="B137" t="inlineStr">
        <is>
          <t>Lighting fixture manufacturing</t>
        </is>
      </c>
      <c r="N137" t="n">
        <v>78</v>
      </c>
      <c r="P137" t="n">
        <v>56</v>
      </c>
      <c r="Q137" t="n">
        <v>26</v>
      </c>
      <c r="R137" t="n">
        <v>3</v>
      </c>
      <c r="T137" t="n">
        <v>18</v>
      </c>
      <c r="V137" t="n">
        <v>11</v>
      </c>
      <c r="W137" t="n">
        <v>68</v>
      </c>
      <c r="X137" t="n">
        <v>5</v>
      </c>
      <c r="Z137" t="n">
        <v>2</v>
      </c>
      <c r="AA137" t="n">
        <v>742</v>
      </c>
      <c r="AB137" t="n">
        <v>19</v>
      </c>
      <c r="AC137" t="n">
        <v>3386</v>
      </c>
      <c r="AD137" t="n">
        <v>258</v>
      </c>
      <c r="AE137" t="n">
        <v>1621</v>
      </c>
      <c r="AF137" t="n">
        <v>192</v>
      </c>
      <c r="AG137" t="n">
        <v>2055</v>
      </c>
      <c r="AH137" t="n">
        <v>2342</v>
      </c>
      <c r="AI137" t="n">
        <v>3461</v>
      </c>
      <c r="AJ137" t="n">
        <v>372</v>
      </c>
      <c r="AK137" t="n">
        <v>2275</v>
      </c>
      <c r="AL137" t="n">
        <v>1206</v>
      </c>
      <c r="AP137" t="n">
        <v>182</v>
      </c>
      <c r="BC137" t="n">
        <v>13</v>
      </c>
      <c r="BD137" t="n">
        <v>33</v>
      </c>
      <c r="BP137" t="n">
        <v>1</v>
      </c>
      <c r="CI137" t="n">
        <v>1</v>
      </c>
      <c r="CJ137" t="n">
        <v>2</v>
      </c>
      <c r="CN137" t="n">
        <v>11</v>
      </c>
      <c r="CQ137" t="n">
        <v>1</v>
      </c>
      <c r="CU137" t="n">
        <v>1</v>
      </c>
      <c r="CV137" t="n">
        <v>1</v>
      </c>
      <c r="CZ137" t="n">
        <v>72</v>
      </c>
      <c r="DB137" t="n">
        <v>1</v>
      </c>
      <c r="DG137" t="n">
        <v>1</v>
      </c>
      <c r="DK137" t="n">
        <v>1</v>
      </c>
      <c r="DO137" t="n">
        <v>7</v>
      </c>
      <c r="ED137" t="n">
        <v>225</v>
      </c>
      <c r="ET137" t="n">
        <v>157</v>
      </c>
      <c r="EV137" t="n">
        <v>2</v>
      </c>
      <c r="EY137" t="n">
        <v>1</v>
      </c>
      <c r="FC137" t="n">
        <v>77</v>
      </c>
      <c r="FD137" t="n">
        <v>1</v>
      </c>
      <c r="FF137" t="n">
        <v>3</v>
      </c>
      <c r="FJ137" t="n">
        <v>194</v>
      </c>
      <c r="FL137" t="n">
        <v>36</v>
      </c>
      <c r="FM137" t="n">
        <v>17</v>
      </c>
      <c r="FV137" t="n">
        <v>37</v>
      </c>
      <c r="FY137" t="n">
        <v>6</v>
      </c>
      <c r="GH137" t="n">
        <v>1</v>
      </c>
      <c r="IE137" t="n">
        <v>23</v>
      </c>
      <c r="JB137" t="n">
        <v>16</v>
      </c>
      <c r="JC137" t="n">
        <v>44</v>
      </c>
      <c r="JG137" t="n">
        <v>70</v>
      </c>
      <c r="JK137" t="n">
        <v>2</v>
      </c>
      <c r="JL137" t="n">
        <v>10</v>
      </c>
      <c r="JM137" t="n">
        <v>4</v>
      </c>
      <c r="JN137" t="n">
        <v>5</v>
      </c>
      <c r="JO137" t="n">
        <v>3</v>
      </c>
      <c r="JQ137" t="n">
        <v>12</v>
      </c>
      <c r="JR137" t="n">
        <v>11</v>
      </c>
      <c r="JS137" t="n">
        <v>11</v>
      </c>
      <c r="JT137" t="n">
        <v>0</v>
      </c>
      <c r="JV137" t="n">
        <v>8</v>
      </c>
      <c r="JW137" t="n">
        <v>11</v>
      </c>
      <c r="JX137" t="n">
        <v>11</v>
      </c>
      <c r="JY137" t="n">
        <v>28</v>
      </c>
      <c r="JZ137" t="n">
        <v>2</v>
      </c>
      <c r="KA137" t="n">
        <v>7</v>
      </c>
      <c r="KB137" t="n">
        <v>20</v>
      </c>
      <c r="KC137" t="n">
        <v>19</v>
      </c>
      <c r="KD137" t="n">
        <v>18</v>
      </c>
      <c r="KF137" t="n">
        <v>12</v>
      </c>
      <c r="KW137" t="n">
        <v>223</v>
      </c>
      <c r="KX137" t="n">
        <v>69</v>
      </c>
      <c r="KY137" t="n">
        <v>22</v>
      </c>
      <c r="KZ137" t="n">
        <v>22</v>
      </c>
      <c r="LC137" t="n">
        <v>85</v>
      </c>
      <c r="LD137" t="n">
        <v>84</v>
      </c>
      <c r="LE137" t="n">
        <v>18</v>
      </c>
      <c r="LF137" t="n">
        <v>9</v>
      </c>
      <c r="LK137" t="n">
        <v>1</v>
      </c>
      <c r="LL137" t="n">
        <v>0</v>
      </c>
      <c r="LM137" t="n">
        <v>2088</v>
      </c>
      <c r="LO137" t="n">
        <v>14</v>
      </c>
      <c r="LT137" t="n">
        <v>231</v>
      </c>
      <c r="LV137" t="n">
        <v>62</v>
      </c>
      <c r="LW137" t="n">
        <v>346</v>
      </c>
      <c r="LX137" t="n">
        <v>17</v>
      </c>
      <c r="LZ137" t="n">
        <v>271</v>
      </c>
      <c r="MB137" t="n">
        <v>151</v>
      </c>
      <c r="ME137" t="n">
        <v>460</v>
      </c>
      <c r="MF137" t="n">
        <v>58</v>
      </c>
      <c r="MG137" t="n">
        <v>12</v>
      </c>
      <c r="MH137" t="n">
        <v>435</v>
      </c>
      <c r="MI137" t="n">
        <v>49</v>
      </c>
      <c r="MJ137" t="n">
        <v>110</v>
      </c>
      <c r="MK137" t="n">
        <v>62</v>
      </c>
      <c r="MM137" t="n">
        <v>32</v>
      </c>
      <c r="MN137" t="n">
        <v>64</v>
      </c>
      <c r="MO137" t="n">
        <v>692</v>
      </c>
      <c r="MP137" t="n">
        <v>125</v>
      </c>
      <c r="MQ137" t="n">
        <v>87</v>
      </c>
      <c r="MS137" t="n">
        <v>3</v>
      </c>
      <c r="MT137" t="n">
        <v>3</v>
      </c>
      <c r="MZ137" t="n">
        <v>789</v>
      </c>
      <c r="NA137" t="n">
        <v>1005</v>
      </c>
      <c r="NB137" t="n">
        <v>3</v>
      </c>
      <c r="NC137" t="n">
        <v>3</v>
      </c>
      <c r="ND137" t="n">
        <v>18</v>
      </c>
      <c r="NE137" t="n">
        <v>3</v>
      </c>
      <c r="NF137" t="n">
        <v>56</v>
      </c>
      <c r="NK137" t="n">
        <v>8</v>
      </c>
      <c r="NL137" t="n">
        <v>248</v>
      </c>
      <c r="NM137" t="n">
        <v>57</v>
      </c>
      <c r="NN137" t="n">
        <v>1189</v>
      </c>
      <c r="NO137" t="n">
        <v>11</v>
      </c>
      <c r="NP137" t="n">
        <v>39</v>
      </c>
      <c r="NQ137" t="n">
        <v>1</v>
      </c>
      <c r="OB137" t="n">
        <v>15</v>
      </c>
      <c r="OI137" t="n">
        <v>110</v>
      </c>
      <c r="OJ137" t="n">
        <v>184</v>
      </c>
      <c r="OK137" t="n">
        <v>573</v>
      </c>
      <c r="OL137" t="n">
        <v>11</v>
      </c>
      <c r="OM137" t="n">
        <v>54</v>
      </c>
      <c r="ON137" t="n">
        <v>1471</v>
      </c>
      <c r="OO137" t="n">
        <v>31380</v>
      </c>
      <c r="OP137" t="n">
        <v>5824</v>
      </c>
      <c r="OQ137" t="n">
        <v>2439</v>
      </c>
      <c r="OU137" t="n">
        <v>226</v>
      </c>
      <c r="OV137" t="n">
        <v>1455</v>
      </c>
      <c r="PF137" t="n">
        <v>66</v>
      </c>
      <c r="PI137" t="n">
        <v>41389</v>
      </c>
      <c r="PM137">
        <f>IFERROR(VLOOKUP($A137&amp;"",Key!$A:$C,3,FALSE),"")</f>
        <v/>
      </c>
    </row>
    <row r="138">
      <c r="A138" t="n">
        <v>335210</v>
      </c>
      <c r="B138" t="inlineStr">
        <is>
          <t>Small electrical appliance manufacturing</t>
        </is>
      </c>
      <c r="AA138" t="n">
        <v>330</v>
      </c>
      <c r="AB138" t="n">
        <v>1308</v>
      </c>
      <c r="AC138" t="n">
        <v>222</v>
      </c>
      <c r="AD138" t="n">
        <v>29</v>
      </c>
      <c r="AE138" t="n">
        <v>200</v>
      </c>
      <c r="AF138" t="n">
        <v>22</v>
      </c>
      <c r="AG138" t="n">
        <v>120</v>
      </c>
      <c r="AH138" t="n">
        <v>26</v>
      </c>
      <c r="AI138" t="n">
        <v>84</v>
      </c>
      <c r="AJ138" t="n">
        <v>52</v>
      </c>
      <c r="AK138" t="n">
        <v>1581</v>
      </c>
      <c r="AL138" t="n">
        <v>175</v>
      </c>
      <c r="EE138" t="n">
        <v>3</v>
      </c>
      <c r="JG138" t="n">
        <v>320</v>
      </c>
      <c r="JX138" t="n">
        <v>391</v>
      </c>
      <c r="KB138" t="n">
        <v>0</v>
      </c>
      <c r="KW138" t="n">
        <v>17</v>
      </c>
      <c r="KX138" t="n">
        <v>107</v>
      </c>
      <c r="KY138" t="n">
        <v>4</v>
      </c>
      <c r="KZ138" t="n">
        <v>25</v>
      </c>
      <c r="LM138" t="n">
        <v>12</v>
      </c>
      <c r="MP138" t="n">
        <v>84</v>
      </c>
      <c r="MQ138" t="n">
        <v>1</v>
      </c>
      <c r="MR138" t="n">
        <v>264</v>
      </c>
      <c r="MZ138" t="n">
        <v>7</v>
      </c>
      <c r="NC138" t="n">
        <v>2</v>
      </c>
      <c r="ND138" t="n">
        <v>5</v>
      </c>
      <c r="NM138" t="n">
        <v>5</v>
      </c>
      <c r="NN138" t="n">
        <v>4</v>
      </c>
      <c r="NO138" t="n">
        <v>6</v>
      </c>
      <c r="NU138" t="n">
        <v>15</v>
      </c>
      <c r="NV138" t="n">
        <v>8</v>
      </c>
      <c r="OB138" t="n">
        <v>13</v>
      </c>
      <c r="OO138" t="n">
        <v>5444</v>
      </c>
      <c r="OP138" t="n">
        <v>19944</v>
      </c>
      <c r="OQ138" t="n">
        <v>432</v>
      </c>
      <c r="OS138" t="n">
        <v>53</v>
      </c>
      <c r="OU138" t="n">
        <v>119</v>
      </c>
      <c r="OV138" t="n">
        <v>1102</v>
      </c>
      <c r="OX138" t="n">
        <v>3</v>
      </c>
      <c r="PB138" t="n">
        <v>16</v>
      </c>
      <c r="PF138" t="n">
        <v>290</v>
      </c>
      <c r="PI138" t="n">
        <v>27402</v>
      </c>
      <c r="PM138">
        <f>IFERROR(VLOOKUP($A138&amp;"",Key!$A:$C,3,FALSE),"")</f>
        <v/>
      </c>
    </row>
    <row r="139">
      <c r="A139" t="n">
        <v>335220</v>
      </c>
      <c r="B139" t="inlineStr">
        <is>
          <t>Major household appliance manufacturing</t>
        </is>
      </c>
      <c r="AA139" t="n">
        <v>424</v>
      </c>
      <c r="AB139" t="n">
        <v>104</v>
      </c>
      <c r="AC139" t="n">
        <v>27</v>
      </c>
      <c r="AD139" t="n">
        <v>631</v>
      </c>
      <c r="AE139" t="n">
        <v>144</v>
      </c>
      <c r="AF139" t="n">
        <v>347</v>
      </c>
      <c r="AG139" t="n">
        <v>1602</v>
      </c>
      <c r="AI139" t="n">
        <v>134</v>
      </c>
      <c r="AK139" t="n">
        <v>1693</v>
      </c>
      <c r="AP139" t="n">
        <v>95</v>
      </c>
      <c r="EF139" t="n">
        <v>10</v>
      </c>
      <c r="EV139" t="n">
        <v>6</v>
      </c>
      <c r="EW139" t="n">
        <v>134</v>
      </c>
      <c r="JV139" t="n">
        <v>46</v>
      </c>
      <c r="JX139" t="n">
        <v>476</v>
      </c>
      <c r="KD139" t="n">
        <v>27</v>
      </c>
      <c r="LL139" t="n">
        <v>1</v>
      </c>
      <c r="MQ139" t="n">
        <v>0</v>
      </c>
      <c r="NN139" t="n">
        <v>4</v>
      </c>
      <c r="NU139" t="n">
        <v>1373</v>
      </c>
      <c r="NX139" t="n">
        <v>2192</v>
      </c>
      <c r="OD139" t="n">
        <v>21</v>
      </c>
      <c r="ON139" t="n">
        <v>245</v>
      </c>
      <c r="OO139" t="n">
        <v>9735</v>
      </c>
      <c r="OP139" t="n">
        <v>39010</v>
      </c>
      <c r="OQ139" t="n">
        <v>522</v>
      </c>
      <c r="OS139" t="n">
        <v>11265</v>
      </c>
      <c r="OU139" t="n">
        <v>471</v>
      </c>
      <c r="OV139" t="n">
        <v>2690</v>
      </c>
      <c r="OX139" t="n">
        <v>3</v>
      </c>
      <c r="PF139" t="n">
        <v>652</v>
      </c>
      <c r="PI139" t="n">
        <v>64346</v>
      </c>
      <c r="PM139">
        <f>IFERROR(VLOOKUP($A139&amp;"",Key!$A:$C,3,FALSE),"")</f>
        <v/>
      </c>
    </row>
    <row r="140">
      <c r="A140" t="n">
        <v>335311</v>
      </c>
      <c r="B140" t="inlineStr">
        <is>
          <t>Power, distribution, and specialty transformer manufacturing</t>
        </is>
      </c>
      <c r="AA140" t="n">
        <v>0</v>
      </c>
      <c r="AB140" t="n">
        <v>0</v>
      </c>
      <c r="AC140" t="n">
        <v>0</v>
      </c>
      <c r="AE140" t="n">
        <v>5</v>
      </c>
      <c r="AH140" t="n">
        <v>0</v>
      </c>
      <c r="AO140" t="n">
        <v>21</v>
      </c>
      <c r="AR140" t="n">
        <v>0</v>
      </c>
      <c r="BP140" t="n">
        <v>3</v>
      </c>
      <c r="CE140" t="n">
        <v>258</v>
      </c>
      <c r="CI140" t="n">
        <v>6</v>
      </c>
      <c r="CJ140" t="n">
        <v>4</v>
      </c>
      <c r="CK140" t="n">
        <v>1</v>
      </c>
      <c r="CL140" t="n">
        <v>22</v>
      </c>
      <c r="CO140" t="n">
        <v>1</v>
      </c>
      <c r="CQ140" t="n">
        <v>13</v>
      </c>
      <c r="CS140" t="n">
        <v>36</v>
      </c>
      <c r="CT140" t="n">
        <v>2</v>
      </c>
      <c r="CU140" t="n">
        <v>3</v>
      </c>
      <c r="CV140" t="n">
        <v>5</v>
      </c>
      <c r="DA140" t="n">
        <v>3</v>
      </c>
      <c r="DB140" t="n">
        <v>3</v>
      </c>
      <c r="DC140" t="n">
        <v>34</v>
      </c>
      <c r="DE140" t="n">
        <v>23</v>
      </c>
      <c r="DF140" t="n">
        <v>4</v>
      </c>
      <c r="DG140" t="n">
        <v>9</v>
      </c>
      <c r="DM140" t="n">
        <v>3</v>
      </c>
      <c r="DP140" t="n">
        <v>1</v>
      </c>
      <c r="DQ140" t="n">
        <v>1</v>
      </c>
      <c r="DR140" t="n">
        <v>11</v>
      </c>
      <c r="DU140" t="n">
        <v>2</v>
      </c>
      <c r="DV140" t="n">
        <v>1</v>
      </c>
      <c r="DW140" t="n">
        <v>8</v>
      </c>
      <c r="DX140" t="n">
        <v>2</v>
      </c>
      <c r="DY140" t="n">
        <v>121</v>
      </c>
      <c r="DZ140" t="n">
        <v>1</v>
      </c>
      <c r="ED140" t="n">
        <v>336</v>
      </c>
      <c r="EE140" t="n">
        <v>1</v>
      </c>
      <c r="EF140" t="n">
        <v>4</v>
      </c>
      <c r="EG140" t="n">
        <v>6</v>
      </c>
      <c r="EH140" t="n">
        <v>6</v>
      </c>
      <c r="EY140" t="n">
        <v>4</v>
      </c>
      <c r="FC140" t="n">
        <v>3</v>
      </c>
      <c r="FD140" t="n">
        <v>2</v>
      </c>
      <c r="FF140" t="n">
        <v>9</v>
      </c>
      <c r="FN140" t="n">
        <v>6</v>
      </c>
      <c r="FX140" t="n">
        <v>1</v>
      </c>
      <c r="FY140" t="n">
        <v>1</v>
      </c>
      <c r="GG140" t="n">
        <v>106</v>
      </c>
      <c r="GH140" t="n">
        <v>3</v>
      </c>
      <c r="GO140" t="n">
        <v>1</v>
      </c>
      <c r="GP140" t="n">
        <v>1</v>
      </c>
      <c r="GQ140" t="n">
        <v>1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Z140" t="n">
        <v>0</v>
      </c>
      <c r="HA140" t="n">
        <v>0</v>
      </c>
      <c r="HB140" t="n">
        <v>3</v>
      </c>
      <c r="HG140" t="n">
        <v>2</v>
      </c>
      <c r="HH140" t="n">
        <v>0</v>
      </c>
      <c r="HI140" t="n">
        <v>0</v>
      </c>
      <c r="IK140" t="n">
        <v>0</v>
      </c>
      <c r="IL140" t="n">
        <v>0</v>
      </c>
      <c r="IN140" t="n">
        <v>0</v>
      </c>
      <c r="IU140" t="n">
        <v>32</v>
      </c>
      <c r="IV140" t="n">
        <v>0</v>
      </c>
      <c r="IW140" t="n">
        <v>3</v>
      </c>
      <c r="IX140" t="n">
        <v>0</v>
      </c>
      <c r="IZ140" t="n">
        <v>0</v>
      </c>
      <c r="JA140" t="n">
        <v>0</v>
      </c>
      <c r="JF140" t="n">
        <v>0</v>
      </c>
      <c r="JK140" t="n">
        <v>0</v>
      </c>
      <c r="JL140" t="n">
        <v>5</v>
      </c>
      <c r="JM140" t="n">
        <v>3</v>
      </c>
      <c r="JN140" t="n">
        <v>0</v>
      </c>
      <c r="JO140" t="n">
        <v>2</v>
      </c>
      <c r="JQ140" t="n">
        <v>11</v>
      </c>
      <c r="JS140" t="n">
        <v>7</v>
      </c>
      <c r="JT140" t="n">
        <v>1</v>
      </c>
      <c r="KB140" t="n">
        <v>0</v>
      </c>
      <c r="KD140" t="n">
        <v>0</v>
      </c>
      <c r="KF140" t="n">
        <v>2</v>
      </c>
      <c r="KZ140" t="n">
        <v>2</v>
      </c>
      <c r="LV140" t="n">
        <v>1</v>
      </c>
      <c r="LX140" t="n">
        <v>2</v>
      </c>
      <c r="LZ140" t="n">
        <v>0</v>
      </c>
      <c r="MA140" t="n">
        <v>0</v>
      </c>
      <c r="ME140" t="n">
        <v>4</v>
      </c>
      <c r="MF140" t="n">
        <v>2</v>
      </c>
      <c r="MG140" t="n">
        <v>0</v>
      </c>
      <c r="MH140" t="n">
        <v>35</v>
      </c>
      <c r="MI140" t="n">
        <v>1</v>
      </c>
      <c r="MJ140" t="n">
        <v>3</v>
      </c>
      <c r="MK140" t="n">
        <v>0</v>
      </c>
      <c r="MQ140" t="n">
        <v>0</v>
      </c>
      <c r="MR140" t="n">
        <v>50</v>
      </c>
      <c r="MS140" t="n">
        <v>0</v>
      </c>
      <c r="NA140" t="n">
        <v>0</v>
      </c>
      <c r="ND140" t="n">
        <v>2</v>
      </c>
      <c r="NM140" t="n">
        <v>2</v>
      </c>
      <c r="NN140" t="n">
        <v>0</v>
      </c>
      <c r="NR140" t="n">
        <v>0</v>
      </c>
      <c r="OB140" t="n">
        <v>3</v>
      </c>
      <c r="OD140" t="n">
        <v>0</v>
      </c>
      <c r="OE140" t="n">
        <v>132</v>
      </c>
      <c r="ON140" t="n">
        <v>0</v>
      </c>
      <c r="OO140" t="n">
        <v>1416</v>
      </c>
      <c r="OP140" t="n">
        <v>11</v>
      </c>
      <c r="OQ140" t="n">
        <v>7595</v>
      </c>
      <c r="OU140" t="n">
        <v>43</v>
      </c>
      <c r="OV140" t="n">
        <v>522</v>
      </c>
      <c r="OX140" t="n">
        <v>0</v>
      </c>
      <c r="PB140" t="n">
        <v>236</v>
      </c>
      <c r="PF140" t="n">
        <v>86</v>
      </c>
      <c r="PI140" t="n">
        <v>9909</v>
      </c>
      <c r="PM140">
        <f>IFERROR(VLOOKUP($A140&amp;"",Key!$A:$C,3,FALSE),"")</f>
        <v/>
      </c>
    </row>
    <row r="141">
      <c r="A141" t="n">
        <v>335312</v>
      </c>
      <c r="B141" t="inlineStr">
        <is>
          <t>Motor and generator manufacturing</t>
        </is>
      </c>
      <c r="C141" t="n">
        <v>3</v>
      </c>
      <c r="D141" t="n">
        <v>11</v>
      </c>
      <c r="E141" t="n">
        <v>1</v>
      </c>
      <c r="F141" t="n">
        <v>1</v>
      </c>
      <c r="G141" t="n">
        <v>1</v>
      </c>
      <c r="H141" t="n">
        <v>0</v>
      </c>
      <c r="I141" t="n">
        <v>11</v>
      </c>
      <c r="L141" t="n">
        <v>0</v>
      </c>
      <c r="N141" t="n">
        <v>19</v>
      </c>
      <c r="P141" t="n">
        <v>38</v>
      </c>
      <c r="R141" t="n">
        <v>1</v>
      </c>
      <c r="V141" t="n">
        <v>20</v>
      </c>
      <c r="X141" t="n">
        <v>1</v>
      </c>
      <c r="Y141" t="n">
        <v>3</v>
      </c>
      <c r="AA141" t="n">
        <v>196</v>
      </c>
      <c r="AB141" t="n">
        <v>439</v>
      </c>
      <c r="AC141" t="n">
        <v>462</v>
      </c>
      <c r="AD141" t="n">
        <v>164</v>
      </c>
      <c r="AE141" t="n">
        <v>118</v>
      </c>
      <c r="AF141" t="n">
        <v>22</v>
      </c>
      <c r="AG141" t="n">
        <v>185</v>
      </c>
      <c r="AH141" t="n">
        <v>4</v>
      </c>
      <c r="AI141" t="n">
        <v>167</v>
      </c>
      <c r="AJ141" t="n">
        <v>50</v>
      </c>
      <c r="AK141" t="n">
        <v>267</v>
      </c>
      <c r="AL141" t="n">
        <v>21</v>
      </c>
      <c r="BP141" t="n">
        <v>5</v>
      </c>
      <c r="BV141" t="n">
        <v>30</v>
      </c>
      <c r="BX141" t="n">
        <v>467</v>
      </c>
      <c r="CB141" t="n">
        <v>299</v>
      </c>
      <c r="CC141" t="n">
        <v>14</v>
      </c>
      <c r="CF141" t="n">
        <v>217</v>
      </c>
      <c r="CG141" t="n">
        <v>173</v>
      </c>
      <c r="CH141" t="n">
        <v>16</v>
      </c>
      <c r="CI141" t="n">
        <v>160</v>
      </c>
      <c r="CJ141" t="n">
        <v>66</v>
      </c>
      <c r="CK141" t="n">
        <v>40</v>
      </c>
      <c r="CL141" t="n">
        <v>564</v>
      </c>
      <c r="CM141" t="n">
        <v>4</v>
      </c>
      <c r="CN141" t="n">
        <v>20</v>
      </c>
      <c r="CO141" t="n">
        <v>271</v>
      </c>
      <c r="CP141" t="n">
        <v>69</v>
      </c>
      <c r="CQ141" t="n">
        <v>1294</v>
      </c>
      <c r="CR141" t="n">
        <v>332</v>
      </c>
      <c r="CU141" t="n">
        <v>160</v>
      </c>
      <c r="CV141" t="n">
        <v>151</v>
      </c>
      <c r="CW141" t="n">
        <v>335</v>
      </c>
      <c r="CX141" t="n">
        <v>15</v>
      </c>
      <c r="CY141" t="n">
        <v>27</v>
      </c>
      <c r="CZ141" t="n">
        <v>92</v>
      </c>
      <c r="DA141" t="n">
        <v>574</v>
      </c>
      <c r="DB141" t="n">
        <v>1330</v>
      </c>
      <c r="DC141" t="n">
        <v>308</v>
      </c>
      <c r="DD141" t="n">
        <v>126</v>
      </c>
      <c r="DE141" t="n">
        <v>49</v>
      </c>
      <c r="DG141" t="n">
        <v>94</v>
      </c>
      <c r="DH141" t="n">
        <v>267</v>
      </c>
      <c r="DJ141" t="n">
        <v>3</v>
      </c>
      <c r="DK141" t="n">
        <v>10</v>
      </c>
      <c r="DL141" t="n">
        <v>18</v>
      </c>
      <c r="DM141" t="n">
        <v>26</v>
      </c>
      <c r="DN141" t="n">
        <v>11</v>
      </c>
      <c r="DO141" t="n">
        <v>40</v>
      </c>
      <c r="DP141" t="n">
        <v>1</v>
      </c>
      <c r="DQ141" t="n">
        <v>31</v>
      </c>
      <c r="DR141" t="n">
        <v>14</v>
      </c>
      <c r="DS141" t="n">
        <v>199</v>
      </c>
      <c r="DT141" t="n">
        <v>0</v>
      </c>
      <c r="DU141" t="n">
        <v>12</v>
      </c>
      <c r="DV141" t="n">
        <v>8</v>
      </c>
      <c r="DW141" t="n">
        <v>11</v>
      </c>
      <c r="DX141" t="n">
        <v>67</v>
      </c>
      <c r="DY141" t="n">
        <v>1</v>
      </c>
      <c r="DZ141" t="n">
        <v>136</v>
      </c>
      <c r="EE141" t="n">
        <v>326</v>
      </c>
      <c r="EF141" t="n">
        <v>652</v>
      </c>
      <c r="EH141" t="n">
        <v>2178</v>
      </c>
      <c r="EP141" t="n">
        <v>32</v>
      </c>
      <c r="ES141" t="n">
        <v>1</v>
      </c>
      <c r="EX141" t="n">
        <v>6</v>
      </c>
      <c r="EY141" t="n">
        <v>6</v>
      </c>
      <c r="EZ141" t="n">
        <v>12</v>
      </c>
      <c r="FC141" t="n">
        <v>130</v>
      </c>
      <c r="FD141" t="n">
        <v>4</v>
      </c>
      <c r="FE141" t="n">
        <v>259</v>
      </c>
      <c r="FF141" t="n">
        <v>15</v>
      </c>
      <c r="FH141" t="n">
        <v>21</v>
      </c>
      <c r="FJ141" t="n">
        <v>16</v>
      </c>
      <c r="FK141" t="n">
        <v>275</v>
      </c>
      <c r="FL141" t="n">
        <v>80</v>
      </c>
      <c r="FX141" t="n">
        <v>215</v>
      </c>
      <c r="FY141" t="n">
        <v>187</v>
      </c>
      <c r="GH141" t="n">
        <v>3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R141" t="n">
        <v>0</v>
      </c>
      <c r="JT141" t="n">
        <v>0</v>
      </c>
      <c r="JV141" t="n">
        <v>125</v>
      </c>
      <c r="KB141" t="n">
        <v>1</v>
      </c>
      <c r="KF141" t="n">
        <v>2</v>
      </c>
      <c r="KH141" t="n">
        <v>114</v>
      </c>
      <c r="KI141" t="n">
        <v>30</v>
      </c>
      <c r="KJ141" t="n">
        <v>2</v>
      </c>
      <c r="KK141" t="n">
        <v>12</v>
      </c>
      <c r="KL141" t="n">
        <v>0</v>
      </c>
      <c r="KM141" t="n">
        <v>140</v>
      </c>
      <c r="KR141" t="n">
        <v>0</v>
      </c>
      <c r="KW141" t="n">
        <v>22</v>
      </c>
      <c r="KX141" t="n">
        <v>65</v>
      </c>
      <c r="KY141" t="n">
        <v>2</v>
      </c>
      <c r="KZ141" t="n">
        <v>2</v>
      </c>
      <c r="LW141" t="n">
        <v>301</v>
      </c>
      <c r="LZ141" t="n">
        <v>100</v>
      </c>
      <c r="MF141" t="n">
        <v>4</v>
      </c>
      <c r="MH141" t="n">
        <v>35</v>
      </c>
      <c r="MM141" t="n">
        <v>4</v>
      </c>
      <c r="MO141" t="n">
        <v>56</v>
      </c>
      <c r="MQ141" t="n">
        <v>0</v>
      </c>
      <c r="NM141" t="n">
        <v>11</v>
      </c>
      <c r="NN141" t="n">
        <v>3</v>
      </c>
      <c r="NR141" t="n">
        <v>375</v>
      </c>
      <c r="NS141" t="n">
        <v>91</v>
      </c>
      <c r="NT141" t="n">
        <v>333</v>
      </c>
      <c r="OD141" t="n">
        <v>190</v>
      </c>
      <c r="OE141" t="n">
        <v>136</v>
      </c>
      <c r="OI141" t="n">
        <v>240</v>
      </c>
      <c r="OL141" t="n">
        <v>1180</v>
      </c>
      <c r="OM141" t="n">
        <v>14</v>
      </c>
      <c r="ON141" t="n">
        <v>378</v>
      </c>
      <c r="OO141" t="n">
        <v>18757</v>
      </c>
      <c r="OP141" t="n">
        <v>455</v>
      </c>
      <c r="OQ141" t="n">
        <v>3579</v>
      </c>
      <c r="OU141" t="n">
        <v>227</v>
      </c>
      <c r="OV141" t="n">
        <v>4804</v>
      </c>
      <c r="OX141" t="n">
        <v>10</v>
      </c>
      <c r="PB141" t="n">
        <v>92</v>
      </c>
      <c r="PF141" t="n">
        <v>174</v>
      </c>
      <c r="PI141" t="n">
        <v>28099</v>
      </c>
      <c r="PM141">
        <f>IFERROR(VLOOKUP($A141&amp;"",Key!$A:$C,3,FALSE),"")</f>
        <v/>
      </c>
    </row>
    <row r="142">
      <c r="A142" t="n">
        <v>335313</v>
      </c>
      <c r="B142" t="inlineStr">
        <is>
          <t>Switchgear and switchboard apparatus manufacturing</t>
        </is>
      </c>
      <c r="Z142" t="n">
        <v>0</v>
      </c>
      <c r="AA142" t="n">
        <v>117</v>
      </c>
      <c r="AB142" t="n">
        <v>261</v>
      </c>
      <c r="AC142" t="n">
        <v>574</v>
      </c>
      <c r="AD142" t="n">
        <v>51</v>
      </c>
      <c r="AE142" t="n">
        <v>326</v>
      </c>
      <c r="AF142" t="n">
        <v>54</v>
      </c>
      <c r="AG142" t="n">
        <v>957</v>
      </c>
      <c r="AH142" t="n">
        <v>62</v>
      </c>
      <c r="AI142" t="n">
        <v>271</v>
      </c>
      <c r="AJ142" t="n">
        <v>444</v>
      </c>
      <c r="AK142" t="n">
        <v>499</v>
      </c>
      <c r="AL142" t="n">
        <v>115</v>
      </c>
      <c r="BP142" t="n">
        <v>1</v>
      </c>
      <c r="CG142" t="n">
        <v>1</v>
      </c>
      <c r="CI142" t="n">
        <v>1</v>
      </c>
      <c r="CJ142" t="n">
        <v>2</v>
      </c>
      <c r="CK142" t="n">
        <v>5</v>
      </c>
      <c r="CO142" t="n">
        <v>0</v>
      </c>
      <c r="CQ142" t="n">
        <v>2</v>
      </c>
      <c r="CR142" t="n">
        <v>0</v>
      </c>
      <c r="CU142" t="n">
        <v>1</v>
      </c>
      <c r="CV142" t="n">
        <v>1</v>
      </c>
      <c r="CZ142" t="n">
        <v>117</v>
      </c>
      <c r="DB142" t="n">
        <v>1</v>
      </c>
      <c r="DC142" t="n">
        <v>5</v>
      </c>
      <c r="DG142" t="n">
        <v>4</v>
      </c>
      <c r="DK142" t="n">
        <v>3</v>
      </c>
      <c r="DO142" t="n">
        <v>11</v>
      </c>
      <c r="DS142" t="n">
        <v>3</v>
      </c>
      <c r="EI142" t="n">
        <v>298</v>
      </c>
      <c r="EJ142" t="n">
        <v>186</v>
      </c>
      <c r="EY142" t="n">
        <v>1</v>
      </c>
      <c r="FC142" t="n">
        <v>60</v>
      </c>
      <c r="FD142" t="n">
        <v>1</v>
      </c>
      <c r="FF142" t="n">
        <v>4</v>
      </c>
      <c r="FJ142" t="n">
        <v>168</v>
      </c>
      <c r="FY142" t="n">
        <v>0</v>
      </c>
      <c r="GH142" t="n">
        <v>1</v>
      </c>
      <c r="JG142" t="n">
        <v>204</v>
      </c>
      <c r="JK142" t="n">
        <v>0</v>
      </c>
      <c r="JL142" t="n">
        <v>0</v>
      </c>
      <c r="JM142" t="n">
        <v>0</v>
      </c>
      <c r="JN142" t="n">
        <v>0</v>
      </c>
      <c r="JR142" t="n">
        <v>0</v>
      </c>
      <c r="JT142" t="n">
        <v>0</v>
      </c>
      <c r="JY142" t="n">
        <v>4</v>
      </c>
      <c r="KB142" t="n">
        <v>2</v>
      </c>
      <c r="KC142" t="n">
        <v>1</v>
      </c>
      <c r="KD142" t="n">
        <v>6</v>
      </c>
      <c r="KE142" t="n">
        <v>0</v>
      </c>
      <c r="KF142" t="n">
        <v>197</v>
      </c>
      <c r="KV142" t="n">
        <v>5</v>
      </c>
      <c r="KW142" t="n">
        <v>228</v>
      </c>
      <c r="KX142" t="n">
        <v>446</v>
      </c>
      <c r="KY142" t="n">
        <v>47</v>
      </c>
      <c r="KZ142" t="n">
        <v>63</v>
      </c>
      <c r="LK142" t="n">
        <v>0</v>
      </c>
      <c r="LL142" t="n">
        <v>0</v>
      </c>
      <c r="LO142" t="n">
        <v>43</v>
      </c>
      <c r="LV142" t="n">
        <v>103</v>
      </c>
      <c r="LW142" t="n">
        <v>256</v>
      </c>
      <c r="LX142" t="n">
        <v>29</v>
      </c>
      <c r="LY142" t="n">
        <v>1</v>
      </c>
      <c r="LZ142" t="n">
        <v>39</v>
      </c>
      <c r="ME142" t="n">
        <v>772</v>
      </c>
      <c r="MF142" t="n">
        <v>1</v>
      </c>
      <c r="MG142" t="n">
        <v>20</v>
      </c>
      <c r="MH142" t="n">
        <v>1</v>
      </c>
      <c r="MI142" t="n">
        <v>85</v>
      </c>
      <c r="MJ142" t="n">
        <v>424</v>
      </c>
      <c r="MK142" t="n">
        <v>60</v>
      </c>
      <c r="MM142" t="n">
        <v>1</v>
      </c>
      <c r="MO142" t="n">
        <v>2</v>
      </c>
      <c r="MQ142" t="n">
        <v>2</v>
      </c>
      <c r="MZ142" t="n">
        <v>27</v>
      </c>
      <c r="NC142" t="n">
        <v>8</v>
      </c>
      <c r="ND142" t="n">
        <v>25</v>
      </c>
      <c r="NE142" t="n">
        <v>9</v>
      </c>
      <c r="NM142" t="n">
        <v>10</v>
      </c>
      <c r="NN142" t="n">
        <v>1</v>
      </c>
      <c r="NO142" t="n">
        <v>78</v>
      </c>
      <c r="NP142" t="n">
        <v>27</v>
      </c>
      <c r="NQ142" t="n">
        <v>5</v>
      </c>
      <c r="NS142" t="n">
        <v>12</v>
      </c>
      <c r="NT142" t="n">
        <v>118</v>
      </c>
      <c r="OB142" t="n">
        <v>41</v>
      </c>
      <c r="OD142" t="n">
        <v>1845</v>
      </c>
      <c r="OE142" t="n">
        <v>384</v>
      </c>
      <c r="OM142" t="n">
        <v>1</v>
      </c>
      <c r="ON142" t="n">
        <v>82</v>
      </c>
      <c r="OO142" t="n">
        <v>10325</v>
      </c>
      <c r="OP142" t="n">
        <v>321</v>
      </c>
      <c r="OQ142" t="n">
        <v>7775</v>
      </c>
      <c r="OU142" t="n">
        <v>118</v>
      </c>
      <c r="OV142" t="n">
        <v>1927</v>
      </c>
      <c r="PB142" t="n">
        <v>13</v>
      </c>
      <c r="PF142" t="n">
        <v>2</v>
      </c>
      <c r="PI142" t="n">
        <v>20481</v>
      </c>
      <c r="PM142">
        <f>IFERROR(VLOOKUP($A142&amp;"",Key!$A:$C,3,FALSE),"")</f>
        <v/>
      </c>
    </row>
    <row r="143">
      <c r="A143" t="n">
        <v>335314</v>
      </c>
      <c r="B143" t="inlineStr">
        <is>
          <t>Relay and industrial control manufacturing</t>
        </is>
      </c>
      <c r="X143" t="n">
        <v>8</v>
      </c>
      <c r="AA143" t="n">
        <v>0</v>
      </c>
      <c r="AB143" t="n">
        <v>0</v>
      </c>
      <c r="AE143" t="n">
        <v>0</v>
      </c>
      <c r="AH143" t="n">
        <v>0</v>
      </c>
      <c r="AM143" t="n">
        <v>21</v>
      </c>
      <c r="AN143" t="n">
        <v>13</v>
      </c>
      <c r="AO143" t="n">
        <v>38</v>
      </c>
      <c r="AP143" t="n">
        <v>8</v>
      </c>
      <c r="AQ143" t="n">
        <v>0</v>
      </c>
      <c r="AR143" t="n">
        <v>6</v>
      </c>
      <c r="AS143" t="n">
        <v>3</v>
      </c>
      <c r="AT143" t="n">
        <v>47</v>
      </c>
      <c r="AU143" t="n">
        <v>4</v>
      </c>
      <c r="AV143" t="n">
        <v>9</v>
      </c>
      <c r="AW143" t="n">
        <v>2</v>
      </c>
      <c r="AX143" t="n">
        <v>1</v>
      </c>
      <c r="AZ143" t="n">
        <v>10</v>
      </c>
      <c r="BA143" t="n">
        <v>5</v>
      </c>
      <c r="BB143" t="n">
        <v>1</v>
      </c>
      <c r="BC143" t="n">
        <v>112</v>
      </c>
      <c r="BD143" t="n">
        <v>60</v>
      </c>
      <c r="BF143" t="n">
        <v>1</v>
      </c>
      <c r="BG143" t="n">
        <v>28</v>
      </c>
      <c r="BH143" t="n">
        <v>18</v>
      </c>
      <c r="BI143" t="n">
        <v>12</v>
      </c>
      <c r="BJ143" t="n">
        <v>12</v>
      </c>
      <c r="BK143" t="n">
        <v>6</v>
      </c>
      <c r="BM143" t="n">
        <v>21</v>
      </c>
      <c r="BN143" t="n">
        <v>10</v>
      </c>
      <c r="BO143" t="n">
        <v>13</v>
      </c>
      <c r="BP143" t="n">
        <v>46</v>
      </c>
      <c r="BQ143" t="n">
        <v>90</v>
      </c>
      <c r="BR143" t="n">
        <v>78</v>
      </c>
      <c r="BS143" t="n">
        <v>23</v>
      </c>
      <c r="BT143" t="n">
        <v>13</v>
      </c>
      <c r="BV143" t="n">
        <v>32</v>
      </c>
      <c r="BW143" t="n">
        <v>5</v>
      </c>
      <c r="BX143" t="n">
        <v>28</v>
      </c>
      <c r="BY143" t="n">
        <v>33</v>
      </c>
      <c r="BZ143" t="n">
        <v>84</v>
      </c>
      <c r="CA143" t="n">
        <v>6</v>
      </c>
      <c r="CB143" t="n">
        <v>66</v>
      </c>
      <c r="CC143" t="n">
        <v>10</v>
      </c>
      <c r="CD143" t="n">
        <v>8</v>
      </c>
      <c r="CE143" t="n">
        <v>8</v>
      </c>
      <c r="CF143" t="n">
        <v>15</v>
      </c>
      <c r="CG143" t="n">
        <v>24</v>
      </c>
      <c r="CH143" t="n">
        <v>23</v>
      </c>
      <c r="CI143" t="n">
        <v>181</v>
      </c>
      <c r="CJ143" t="n">
        <v>45</v>
      </c>
      <c r="CK143" t="n">
        <v>59</v>
      </c>
      <c r="CL143" t="n">
        <v>773</v>
      </c>
      <c r="CM143" t="n">
        <v>15</v>
      </c>
      <c r="CO143" t="n">
        <v>16</v>
      </c>
      <c r="CP143" t="n">
        <v>5</v>
      </c>
      <c r="CQ143" t="n">
        <v>358</v>
      </c>
      <c r="CR143" t="n">
        <v>10</v>
      </c>
      <c r="CS143" t="n">
        <v>5</v>
      </c>
      <c r="CT143" t="n">
        <v>74</v>
      </c>
      <c r="CU143" t="n">
        <v>266</v>
      </c>
      <c r="CV143" t="n">
        <v>240</v>
      </c>
      <c r="CW143" t="n">
        <v>89</v>
      </c>
      <c r="CX143" t="n">
        <v>3</v>
      </c>
      <c r="CY143" t="n">
        <v>7</v>
      </c>
      <c r="CZ143" t="n">
        <v>4</v>
      </c>
      <c r="DA143" t="n">
        <v>114</v>
      </c>
      <c r="DB143" t="n">
        <v>474</v>
      </c>
      <c r="DC143" t="n">
        <v>1257</v>
      </c>
      <c r="DD143" t="n">
        <v>2</v>
      </c>
      <c r="DE143" t="n">
        <v>266</v>
      </c>
      <c r="DF143" t="n">
        <v>129</v>
      </c>
      <c r="DG143" t="n">
        <v>299</v>
      </c>
      <c r="DH143" t="n">
        <v>41</v>
      </c>
      <c r="DJ143" t="n">
        <v>0</v>
      </c>
      <c r="DK143" t="n">
        <v>1</v>
      </c>
      <c r="DL143" t="n">
        <v>0</v>
      </c>
      <c r="DM143" t="n">
        <v>5</v>
      </c>
      <c r="DN143" t="n">
        <v>63</v>
      </c>
      <c r="DO143" t="n">
        <v>4</v>
      </c>
      <c r="DP143" t="n">
        <v>64</v>
      </c>
      <c r="DQ143" t="n">
        <v>66</v>
      </c>
      <c r="DR143" t="n">
        <v>21</v>
      </c>
      <c r="DS143" t="n">
        <v>8</v>
      </c>
      <c r="DT143" t="n">
        <v>2</v>
      </c>
      <c r="DU143" t="n">
        <v>64</v>
      </c>
      <c r="DV143" t="n">
        <v>32</v>
      </c>
      <c r="DW143" t="n">
        <v>278</v>
      </c>
      <c r="DX143" t="n">
        <v>92</v>
      </c>
      <c r="DY143" t="n">
        <v>1</v>
      </c>
      <c r="DZ143" t="n">
        <v>71</v>
      </c>
      <c r="EA143" t="n">
        <v>1</v>
      </c>
      <c r="EB143" t="n">
        <v>0</v>
      </c>
      <c r="EC143" t="n">
        <v>0</v>
      </c>
      <c r="ED143" t="n">
        <v>12</v>
      </c>
      <c r="EE143" t="n">
        <v>14</v>
      </c>
      <c r="EF143" t="n">
        <v>114</v>
      </c>
      <c r="EG143" t="n">
        <v>6</v>
      </c>
      <c r="EH143" t="n">
        <v>110</v>
      </c>
      <c r="EI143" t="n">
        <v>567</v>
      </c>
      <c r="EJ143" t="n">
        <v>1642</v>
      </c>
      <c r="EK143" t="n">
        <v>32</v>
      </c>
      <c r="EL143" t="n">
        <v>1</v>
      </c>
      <c r="EM143" t="n">
        <v>7</v>
      </c>
      <c r="EN143" t="n">
        <v>71</v>
      </c>
      <c r="EO143" t="n">
        <v>3</v>
      </c>
      <c r="EP143" t="n">
        <v>9</v>
      </c>
      <c r="ES143" t="n">
        <v>28</v>
      </c>
      <c r="EU143" t="n">
        <v>7</v>
      </c>
      <c r="EV143" t="n">
        <v>1</v>
      </c>
      <c r="EW143" t="n">
        <v>36</v>
      </c>
      <c r="EX143" t="n">
        <v>66</v>
      </c>
      <c r="EY143" t="n">
        <v>11</v>
      </c>
      <c r="EZ143" t="n">
        <v>104</v>
      </c>
      <c r="FA143" t="n">
        <v>40</v>
      </c>
      <c r="FB143" t="n">
        <v>45</v>
      </c>
      <c r="FC143" t="n">
        <v>295</v>
      </c>
      <c r="FD143" t="n">
        <v>42</v>
      </c>
      <c r="FF143" t="n">
        <v>55</v>
      </c>
      <c r="FI143" t="n">
        <v>5</v>
      </c>
      <c r="FJ143" t="n">
        <v>14</v>
      </c>
      <c r="FK143" t="n">
        <v>78</v>
      </c>
      <c r="FL143" t="n">
        <v>31</v>
      </c>
      <c r="FO143" t="n">
        <v>12</v>
      </c>
      <c r="FP143" t="n">
        <v>23</v>
      </c>
      <c r="FQ143" t="n">
        <v>5</v>
      </c>
      <c r="FR143" t="n">
        <v>3</v>
      </c>
      <c r="FS143" t="n">
        <v>11</v>
      </c>
      <c r="FT143" t="n">
        <v>6</v>
      </c>
      <c r="FU143" t="n">
        <v>14</v>
      </c>
      <c r="FV143" t="n">
        <v>12</v>
      </c>
      <c r="FW143" t="n">
        <v>10</v>
      </c>
      <c r="FX143" t="n">
        <v>13</v>
      </c>
      <c r="FY143" t="n">
        <v>9</v>
      </c>
      <c r="FZ143" t="n">
        <v>14</v>
      </c>
      <c r="GA143" t="n">
        <v>0</v>
      </c>
      <c r="GC143" t="n">
        <v>1</v>
      </c>
      <c r="GE143" t="n">
        <v>2</v>
      </c>
      <c r="GF143" t="n">
        <v>4</v>
      </c>
      <c r="GG143" t="n">
        <v>51</v>
      </c>
      <c r="GH143" t="n">
        <v>33</v>
      </c>
      <c r="GI143" t="n">
        <v>8</v>
      </c>
      <c r="GJ143" t="n">
        <v>47</v>
      </c>
      <c r="GL143" t="n">
        <v>16</v>
      </c>
      <c r="GM143" t="n">
        <v>3</v>
      </c>
      <c r="GN143" t="n">
        <v>61</v>
      </c>
      <c r="GO143" t="n">
        <v>11</v>
      </c>
      <c r="GP143" t="n">
        <v>48</v>
      </c>
      <c r="GQ143" t="n">
        <v>26</v>
      </c>
      <c r="GS143" t="n">
        <v>67</v>
      </c>
      <c r="GT143" t="n">
        <v>115</v>
      </c>
      <c r="GU143" t="n">
        <v>77</v>
      </c>
      <c r="GW143" t="n">
        <v>46</v>
      </c>
      <c r="GX143" t="n">
        <v>121</v>
      </c>
      <c r="GZ143" t="n">
        <v>57</v>
      </c>
      <c r="HA143" t="n">
        <v>72</v>
      </c>
      <c r="HB143" t="n">
        <v>61</v>
      </c>
      <c r="HE143" t="n">
        <v>61</v>
      </c>
      <c r="HG143" t="n">
        <v>452</v>
      </c>
      <c r="HH143" t="n">
        <v>19</v>
      </c>
      <c r="HI143" t="n">
        <v>5</v>
      </c>
      <c r="HL143" t="n">
        <v>1</v>
      </c>
      <c r="HM143" t="n">
        <v>4</v>
      </c>
      <c r="HN143" t="n">
        <v>8</v>
      </c>
      <c r="HO143" t="n">
        <v>9</v>
      </c>
      <c r="HP143" t="n">
        <v>6</v>
      </c>
      <c r="HQ143" t="n">
        <v>9</v>
      </c>
      <c r="HR143" t="n">
        <v>1</v>
      </c>
      <c r="HS143" t="n">
        <v>0</v>
      </c>
      <c r="HU143" t="n">
        <v>95</v>
      </c>
      <c r="HV143" t="n">
        <v>93</v>
      </c>
      <c r="HW143" t="n">
        <v>156</v>
      </c>
      <c r="HX143" t="n">
        <v>76</v>
      </c>
      <c r="HZ143" t="n">
        <v>49</v>
      </c>
      <c r="IA143" t="n">
        <v>10</v>
      </c>
      <c r="IB143" t="n">
        <v>81</v>
      </c>
      <c r="IC143" t="n">
        <v>2</v>
      </c>
      <c r="ID143" t="n">
        <v>70</v>
      </c>
      <c r="IF143" t="n">
        <v>13</v>
      </c>
      <c r="IG143" t="n">
        <v>5</v>
      </c>
      <c r="II143" t="n">
        <v>6</v>
      </c>
      <c r="IJ143" t="n">
        <v>12</v>
      </c>
      <c r="IK143" t="n">
        <v>355</v>
      </c>
      <c r="IL143" t="n">
        <v>45</v>
      </c>
      <c r="IM143" t="n">
        <v>263</v>
      </c>
      <c r="IN143" t="n">
        <v>13</v>
      </c>
      <c r="IO143" t="n">
        <v>5</v>
      </c>
      <c r="IP143" t="n">
        <v>3</v>
      </c>
      <c r="IQ143" t="n">
        <v>2</v>
      </c>
      <c r="IR143" t="n">
        <v>9</v>
      </c>
      <c r="IS143" t="n">
        <v>7</v>
      </c>
      <c r="IT143" t="n">
        <v>1</v>
      </c>
      <c r="IV143" t="n">
        <v>45</v>
      </c>
      <c r="IW143" t="n">
        <v>48</v>
      </c>
      <c r="IY143" t="n">
        <v>12</v>
      </c>
      <c r="IZ143" t="n">
        <v>146</v>
      </c>
      <c r="JA143" t="n">
        <v>14</v>
      </c>
      <c r="JB143" t="n">
        <v>9</v>
      </c>
      <c r="JC143" t="n">
        <v>3</v>
      </c>
      <c r="JD143" t="n">
        <v>14</v>
      </c>
      <c r="JE143" t="n">
        <v>94</v>
      </c>
      <c r="JG143" t="n">
        <v>5</v>
      </c>
      <c r="JI143" t="n">
        <v>2</v>
      </c>
      <c r="JJ143" t="n">
        <v>24</v>
      </c>
      <c r="JO143" t="n">
        <v>4</v>
      </c>
      <c r="JW143" t="n">
        <v>2</v>
      </c>
      <c r="JX143" t="n">
        <v>1</v>
      </c>
      <c r="KB143" t="n">
        <v>0</v>
      </c>
      <c r="KH143" t="n">
        <v>16</v>
      </c>
      <c r="KI143" t="n">
        <v>16</v>
      </c>
      <c r="KJ143" t="n">
        <v>0</v>
      </c>
      <c r="KK143" t="n">
        <v>1</v>
      </c>
      <c r="KL143" t="n">
        <v>0</v>
      </c>
      <c r="KM143" t="n">
        <v>69</v>
      </c>
      <c r="KR143" t="n">
        <v>5</v>
      </c>
      <c r="KW143" t="n">
        <v>6</v>
      </c>
      <c r="KX143" t="n">
        <v>31</v>
      </c>
      <c r="KZ143" t="n">
        <v>14</v>
      </c>
      <c r="LT143" t="n">
        <v>8</v>
      </c>
      <c r="LU143" t="n">
        <v>2</v>
      </c>
      <c r="LW143" t="n">
        <v>87</v>
      </c>
      <c r="LZ143" t="n">
        <v>4</v>
      </c>
      <c r="MF143" t="n">
        <v>0</v>
      </c>
      <c r="MH143" t="n">
        <v>0</v>
      </c>
      <c r="MM143" t="n">
        <v>0</v>
      </c>
      <c r="MO143" t="n">
        <v>2</v>
      </c>
      <c r="MP143" t="n">
        <v>0</v>
      </c>
      <c r="MR143" t="n">
        <v>3</v>
      </c>
      <c r="MZ143" t="n">
        <v>53</v>
      </c>
      <c r="NS143" t="n">
        <v>9</v>
      </c>
      <c r="NT143" t="n">
        <v>45</v>
      </c>
      <c r="OD143" t="n">
        <v>238</v>
      </c>
      <c r="OE143" t="n">
        <v>683</v>
      </c>
      <c r="OI143" t="n">
        <v>5</v>
      </c>
      <c r="OJ143" t="n">
        <v>107</v>
      </c>
      <c r="OK143" t="n">
        <v>17</v>
      </c>
      <c r="OL143" t="n">
        <v>1</v>
      </c>
      <c r="OM143" t="n">
        <v>0</v>
      </c>
      <c r="ON143" t="n">
        <v>19</v>
      </c>
      <c r="OO143" t="n">
        <v>14889</v>
      </c>
      <c r="OQ143" t="n">
        <v>2991</v>
      </c>
      <c r="OU143" t="n">
        <v>183</v>
      </c>
      <c r="OV143" t="n">
        <v>6821</v>
      </c>
      <c r="OX143" t="n">
        <v>847</v>
      </c>
      <c r="PB143" t="n">
        <v>64</v>
      </c>
      <c r="PF143" t="n">
        <v>40</v>
      </c>
      <c r="PI143" t="n">
        <v>25835</v>
      </c>
      <c r="PM143">
        <f>IFERROR(VLOOKUP($A143&amp;"",Key!$A:$C,3,FALSE),"")</f>
        <v/>
      </c>
    </row>
    <row r="144">
      <c r="A144" t="n">
        <v>335911</v>
      </c>
      <c r="B144" t="inlineStr">
        <is>
          <t>Storage battery manufacturing</t>
        </is>
      </c>
      <c r="C144" t="n">
        <v>165</v>
      </c>
      <c r="D144" t="n">
        <v>628</v>
      </c>
      <c r="E144" t="n">
        <v>94</v>
      </c>
      <c r="F144" t="n">
        <v>94</v>
      </c>
      <c r="G144" t="n">
        <v>94</v>
      </c>
      <c r="H144" t="n">
        <v>238</v>
      </c>
      <c r="I144" t="n">
        <v>569</v>
      </c>
      <c r="K144" t="n">
        <v>19</v>
      </c>
      <c r="L144" t="n">
        <v>107</v>
      </c>
      <c r="N144" t="n">
        <v>12</v>
      </c>
      <c r="O144" t="n">
        <v>1</v>
      </c>
      <c r="R144" t="n">
        <v>12</v>
      </c>
      <c r="V144" t="n">
        <v>165</v>
      </c>
      <c r="W144" t="n">
        <v>276</v>
      </c>
      <c r="Z144" t="n">
        <v>0</v>
      </c>
      <c r="AA144" t="n">
        <v>0</v>
      </c>
      <c r="AB144" t="n">
        <v>16</v>
      </c>
      <c r="AC144" t="n">
        <v>25</v>
      </c>
      <c r="AD144" t="n">
        <v>16</v>
      </c>
      <c r="AE144" t="n">
        <v>7</v>
      </c>
      <c r="AG144" t="n">
        <v>32</v>
      </c>
      <c r="AI144" t="n">
        <v>1</v>
      </c>
      <c r="AJ144" t="n">
        <v>6</v>
      </c>
      <c r="AK144" t="n">
        <v>9</v>
      </c>
      <c r="AL144" t="n">
        <v>14</v>
      </c>
      <c r="AP144" t="n">
        <v>18</v>
      </c>
      <c r="CG144" t="n">
        <v>120</v>
      </c>
      <c r="CI144" t="n">
        <v>194</v>
      </c>
      <c r="DC144" t="n">
        <v>347</v>
      </c>
      <c r="DD144" t="n">
        <v>140</v>
      </c>
      <c r="DI144" t="n">
        <v>19</v>
      </c>
      <c r="DJ144" t="n">
        <v>9</v>
      </c>
      <c r="DK144" t="n">
        <v>10</v>
      </c>
      <c r="EK144" t="n">
        <v>63</v>
      </c>
      <c r="EQ144" t="n">
        <v>101</v>
      </c>
      <c r="ER144" t="n">
        <v>1727</v>
      </c>
      <c r="ES144" t="n">
        <v>87</v>
      </c>
      <c r="FQ144" t="n">
        <v>2</v>
      </c>
      <c r="IE144" t="n">
        <v>15</v>
      </c>
      <c r="JK144" t="n">
        <v>286</v>
      </c>
      <c r="JN144" t="n">
        <v>0</v>
      </c>
      <c r="JQ144" t="n">
        <v>11</v>
      </c>
      <c r="JS144" t="n">
        <v>5</v>
      </c>
      <c r="JT144" t="n">
        <v>2</v>
      </c>
      <c r="JV144" t="n">
        <v>69</v>
      </c>
      <c r="JW144" t="n">
        <v>39</v>
      </c>
      <c r="JX144" t="n">
        <v>12</v>
      </c>
      <c r="JY144" t="n">
        <v>39</v>
      </c>
      <c r="KA144" t="n">
        <v>38</v>
      </c>
      <c r="KC144" t="n">
        <v>67</v>
      </c>
      <c r="KD144" t="n">
        <v>13</v>
      </c>
      <c r="KH144" t="n">
        <v>15</v>
      </c>
      <c r="KJ144" t="n">
        <v>1</v>
      </c>
      <c r="KL144" t="n">
        <v>1</v>
      </c>
      <c r="KZ144" t="n">
        <v>14</v>
      </c>
      <c r="LC144" t="n">
        <v>39</v>
      </c>
      <c r="LD144" t="n">
        <v>49</v>
      </c>
      <c r="LE144" t="n">
        <v>43</v>
      </c>
      <c r="LF144" t="n">
        <v>10</v>
      </c>
      <c r="LI144" t="n">
        <v>23</v>
      </c>
      <c r="LM144" t="n">
        <v>255</v>
      </c>
      <c r="LN144" t="n">
        <v>20</v>
      </c>
      <c r="LT144" t="n">
        <v>315</v>
      </c>
      <c r="LW144" t="n">
        <v>226</v>
      </c>
      <c r="LZ144" t="n">
        <v>67</v>
      </c>
      <c r="MA144" t="n">
        <v>8</v>
      </c>
      <c r="MD144" t="n">
        <v>1</v>
      </c>
      <c r="ME144" t="n">
        <v>10</v>
      </c>
      <c r="MF144" t="n">
        <v>36</v>
      </c>
      <c r="MH144" t="n">
        <v>37</v>
      </c>
      <c r="MI144" t="n">
        <v>6</v>
      </c>
      <c r="MJ144" t="n">
        <v>3</v>
      </c>
      <c r="MK144" t="n">
        <v>12</v>
      </c>
      <c r="MM144" t="n">
        <v>1</v>
      </c>
      <c r="MN144" t="n">
        <v>6</v>
      </c>
      <c r="MO144" t="n">
        <v>501</v>
      </c>
      <c r="MQ144" t="n">
        <v>1</v>
      </c>
      <c r="MS144" t="n">
        <v>5</v>
      </c>
      <c r="MZ144" t="n">
        <v>32</v>
      </c>
      <c r="NC144" t="n">
        <v>83</v>
      </c>
      <c r="ND144" t="n">
        <v>359</v>
      </c>
      <c r="NE144" t="n">
        <v>12</v>
      </c>
      <c r="NM144" t="n">
        <v>39</v>
      </c>
      <c r="NN144" t="n">
        <v>6</v>
      </c>
      <c r="NO144" t="n">
        <v>4</v>
      </c>
      <c r="NP144" t="n">
        <v>12</v>
      </c>
      <c r="NQ144" t="n">
        <v>3</v>
      </c>
      <c r="NR144" t="n">
        <v>135</v>
      </c>
      <c r="NS144" t="n">
        <v>0</v>
      </c>
      <c r="NX144" t="n">
        <v>8</v>
      </c>
      <c r="NY144" t="n">
        <v>3</v>
      </c>
      <c r="NZ144" t="n">
        <v>0</v>
      </c>
      <c r="OB144" t="n">
        <v>1</v>
      </c>
      <c r="OI144" t="n">
        <v>30</v>
      </c>
      <c r="OJ144" t="n">
        <v>25</v>
      </c>
      <c r="OK144" t="n">
        <v>52</v>
      </c>
      <c r="ON144" t="n">
        <v>324</v>
      </c>
      <c r="OO144" t="n">
        <v>8863</v>
      </c>
      <c r="OP144" t="n">
        <v>8100</v>
      </c>
      <c r="OQ144" t="n">
        <v>112</v>
      </c>
      <c r="OU144" t="n">
        <v>103</v>
      </c>
      <c r="OV144" t="n">
        <v>2850</v>
      </c>
      <c r="PI144" t="n">
        <v>20027</v>
      </c>
      <c r="PM144">
        <f>IFERROR(VLOOKUP($A144&amp;"",Key!$A:$C,3,FALSE),"")</f>
        <v/>
      </c>
    </row>
    <row r="145">
      <c r="A145" t="n">
        <v>335912</v>
      </c>
      <c r="B145" t="inlineStr">
        <is>
          <t>Primary battery manufacturing</t>
        </is>
      </c>
      <c r="N145" t="n">
        <v>0</v>
      </c>
      <c r="AI145" t="n">
        <v>0</v>
      </c>
      <c r="CA145" t="n">
        <v>0</v>
      </c>
      <c r="DI145" t="n">
        <v>12</v>
      </c>
      <c r="DJ145" t="n">
        <v>10</v>
      </c>
      <c r="DK145" t="n">
        <v>2</v>
      </c>
      <c r="DM145" t="n">
        <v>0</v>
      </c>
      <c r="DS145" t="n">
        <v>1</v>
      </c>
      <c r="DW145" t="n">
        <v>1</v>
      </c>
      <c r="ED145" t="n">
        <v>0</v>
      </c>
      <c r="EL145" t="n">
        <v>12</v>
      </c>
      <c r="EY145" t="n">
        <v>0</v>
      </c>
      <c r="HB145" t="n">
        <v>0</v>
      </c>
      <c r="HI145" t="n">
        <v>0</v>
      </c>
      <c r="JL145" t="n">
        <v>1</v>
      </c>
      <c r="JM145" t="n">
        <v>1</v>
      </c>
      <c r="JO145" t="n">
        <v>1</v>
      </c>
      <c r="JP145" t="n">
        <v>1</v>
      </c>
      <c r="JR145" t="n">
        <v>1</v>
      </c>
      <c r="KD145" t="n">
        <v>0</v>
      </c>
      <c r="KE145" t="n">
        <v>0</v>
      </c>
      <c r="KW145" t="n">
        <v>1</v>
      </c>
      <c r="KX145" t="n">
        <v>3</v>
      </c>
      <c r="MZ145" t="n">
        <v>4</v>
      </c>
      <c r="NT145" t="n">
        <v>1</v>
      </c>
      <c r="NV145" t="n">
        <v>0</v>
      </c>
      <c r="OD145" t="n">
        <v>1</v>
      </c>
      <c r="OE145" t="n">
        <v>0</v>
      </c>
      <c r="OK145" t="n">
        <v>3</v>
      </c>
      <c r="OL145" t="n">
        <v>1</v>
      </c>
      <c r="OO145" t="n">
        <v>58</v>
      </c>
      <c r="OP145" t="n">
        <v>6823</v>
      </c>
      <c r="OU145" t="n">
        <v>5</v>
      </c>
      <c r="OV145" t="n">
        <v>790</v>
      </c>
      <c r="PI145" t="n">
        <v>7676</v>
      </c>
      <c r="PM145">
        <f>IFERROR(VLOOKUP($A145&amp;"",Key!$A:$C,3,FALSE),"")</f>
        <v/>
      </c>
    </row>
    <row r="146">
      <c r="A146" t="n">
        <v>335920</v>
      </c>
      <c r="B146" t="inlineStr">
        <is>
          <t>Communication and energy wire and cable manufacturing</t>
        </is>
      </c>
      <c r="O146" t="n">
        <v>0</v>
      </c>
      <c r="X146" t="n">
        <v>3</v>
      </c>
      <c r="Z146" t="n">
        <v>0</v>
      </c>
      <c r="AA146" t="n">
        <v>157</v>
      </c>
      <c r="AB146" t="n">
        <v>221</v>
      </c>
      <c r="AC146" t="n">
        <v>1053</v>
      </c>
      <c r="AD146" t="n">
        <v>240</v>
      </c>
      <c r="AE146" t="n">
        <v>777</v>
      </c>
      <c r="AF146" t="n">
        <v>188</v>
      </c>
      <c r="AG146" t="n">
        <v>1169</v>
      </c>
      <c r="AH146" t="n">
        <v>87</v>
      </c>
      <c r="AI146" t="n">
        <v>263</v>
      </c>
      <c r="AJ146" t="n">
        <v>451</v>
      </c>
      <c r="AK146" t="n">
        <v>936</v>
      </c>
      <c r="AL146" t="n">
        <v>214</v>
      </c>
      <c r="BC146" t="n">
        <v>35</v>
      </c>
      <c r="BE146" t="n">
        <v>31</v>
      </c>
      <c r="BG146" t="n">
        <v>3</v>
      </c>
      <c r="BI146" t="n">
        <v>143</v>
      </c>
      <c r="BJ146" t="n">
        <v>62</v>
      </c>
      <c r="BP146" t="n">
        <v>6</v>
      </c>
      <c r="BR146" t="n">
        <v>9</v>
      </c>
      <c r="BV146" t="n">
        <v>60</v>
      </c>
      <c r="BW146" t="n">
        <v>103</v>
      </c>
      <c r="BX146" t="n">
        <v>50</v>
      </c>
      <c r="CA146" t="n">
        <v>146</v>
      </c>
      <c r="CB146" t="n">
        <v>460</v>
      </c>
      <c r="CE146" t="n">
        <v>4</v>
      </c>
      <c r="CF146" t="n">
        <v>60</v>
      </c>
      <c r="CG146" t="n">
        <v>3</v>
      </c>
      <c r="CI146" t="n">
        <v>6</v>
      </c>
      <c r="CJ146" t="n">
        <v>12</v>
      </c>
      <c r="CK146" t="n">
        <v>4</v>
      </c>
      <c r="CL146" t="n">
        <v>3</v>
      </c>
      <c r="CO146" t="n">
        <v>235</v>
      </c>
      <c r="CQ146" t="n">
        <v>60</v>
      </c>
      <c r="CR146" t="n">
        <v>11</v>
      </c>
      <c r="CU146" t="n">
        <v>5</v>
      </c>
      <c r="CV146" t="n">
        <v>5</v>
      </c>
      <c r="CZ146" t="n">
        <v>242</v>
      </c>
      <c r="DB146" t="n">
        <v>8</v>
      </c>
      <c r="DD146" t="n">
        <v>4</v>
      </c>
      <c r="DG146" t="n">
        <v>5</v>
      </c>
      <c r="DK146" t="n">
        <v>6</v>
      </c>
      <c r="DL146" t="n">
        <v>5</v>
      </c>
      <c r="DM146" t="n">
        <v>82</v>
      </c>
      <c r="DN146" t="n">
        <v>12</v>
      </c>
      <c r="DO146" t="n">
        <v>8</v>
      </c>
      <c r="DP146" t="n">
        <v>16</v>
      </c>
      <c r="DQ146" t="n">
        <v>96</v>
      </c>
      <c r="DR146" t="n">
        <v>102</v>
      </c>
      <c r="DS146" t="n">
        <v>156</v>
      </c>
      <c r="DT146" t="n">
        <v>1</v>
      </c>
      <c r="DU146" t="n">
        <v>15</v>
      </c>
      <c r="DV146" t="n">
        <v>11</v>
      </c>
      <c r="DW146" t="n">
        <v>18</v>
      </c>
      <c r="DX146" t="n">
        <v>19</v>
      </c>
      <c r="DY146" t="n">
        <v>41</v>
      </c>
      <c r="DZ146" t="n">
        <v>118</v>
      </c>
      <c r="EA146" t="n">
        <v>3</v>
      </c>
      <c r="ED146" t="n">
        <v>18</v>
      </c>
      <c r="EF146" t="n">
        <v>3</v>
      </c>
      <c r="EG146" t="n">
        <v>43</v>
      </c>
      <c r="EH146" t="n">
        <v>39</v>
      </c>
      <c r="EM146" t="n">
        <v>375</v>
      </c>
      <c r="EN146" t="n">
        <v>165</v>
      </c>
      <c r="EP146" t="n">
        <v>42</v>
      </c>
      <c r="ES146" t="n">
        <v>0</v>
      </c>
      <c r="ET146" t="n">
        <v>348</v>
      </c>
      <c r="EX146" t="n">
        <v>35</v>
      </c>
      <c r="EY146" t="n">
        <v>152</v>
      </c>
      <c r="EZ146" t="n">
        <v>161</v>
      </c>
      <c r="FA146" t="n">
        <v>21</v>
      </c>
      <c r="FB146" t="n">
        <v>351</v>
      </c>
      <c r="FC146" t="n">
        <v>187</v>
      </c>
      <c r="FD146" t="n">
        <v>78</v>
      </c>
      <c r="FE146" t="n">
        <v>149</v>
      </c>
      <c r="FF146" t="n">
        <v>20</v>
      </c>
      <c r="FG146" t="n">
        <v>82</v>
      </c>
      <c r="FY146" t="n">
        <v>7</v>
      </c>
      <c r="GH146" t="n">
        <v>6</v>
      </c>
      <c r="JG146" t="n">
        <v>105</v>
      </c>
      <c r="JK146" t="n">
        <v>1</v>
      </c>
      <c r="JL146" t="n">
        <v>3</v>
      </c>
      <c r="JM146" t="n">
        <v>0</v>
      </c>
      <c r="JN146" t="n">
        <v>0</v>
      </c>
      <c r="JO146" t="n">
        <v>1</v>
      </c>
      <c r="JQ146" t="n">
        <v>11</v>
      </c>
      <c r="JR146" t="n">
        <v>0</v>
      </c>
      <c r="JT146" t="n">
        <v>2</v>
      </c>
      <c r="JV146" t="n">
        <v>1</v>
      </c>
      <c r="JW146" t="n">
        <v>1</v>
      </c>
      <c r="JX146" t="n">
        <v>3</v>
      </c>
      <c r="JY146" t="n">
        <v>1</v>
      </c>
      <c r="KB146" t="n">
        <v>4</v>
      </c>
      <c r="KC146" t="n">
        <v>12</v>
      </c>
      <c r="KD146" t="n">
        <v>5</v>
      </c>
      <c r="KG146" t="n">
        <v>21</v>
      </c>
      <c r="KH146" t="n">
        <v>10</v>
      </c>
      <c r="KL146" t="n">
        <v>0</v>
      </c>
      <c r="KW146" t="n">
        <v>428</v>
      </c>
      <c r="KX146" t="n">
        <v>2683</v>
      </c>
      <c r="KY146" t="n">
        <v>104</v>
      </c>
      <c r="KZ146" t="n">
        <v>26</v>
      </c>
      <c r="LK146" t="n">
        <v>0</v>
      </c>
      <c r="LL146" t="n">
        <v>0</v>
      </c>
      <c r="LN146" t="n">
        <v>6</v>
      </c>
      <c r="LO146" t="n">
        <v>90</v>
      </c>
      <c r="LT146" t="n">
        <v>2914</v>
      </c>
      <c r="LV146" t="n">
        <v>22</v>
      </c>
      <c r="LW146" t="n">
        <v>959</v>
      </c>
      <c r="LX146" t="n">
        <v>6</v>
      </c>
      <c r="LZ146" t="n">
        <v>30</v>
      </c>
      <c r="MD146" t="n">
        <v>0</v>
      </c>
      <c r="ME146" t="n">
        <v>159</v>
      </c>
      <c r="MF146" t="n">
        <v>1</v>
      </c>
      <c r="MG146" t="n">
        <v>4</v>
      </c>
      <c r="MH146" t="n">
        <v>5</v>
      </c>
      <c r="MI146" t="n">
        <v>17</v>
      </c>
      <c r="MJ146" t="n">
        <v>58</v>
      </c>
      <c r="MK146" t="n">
        <v>14</v>
      </c>
      <c r="MM146" t="n">
        <v>1</v>
      </c>
      <c r="MN146" t="n">
        <v>2</v>
      </c>
      <c r="MO146" t="n">
        <v>1</v>
      </c>
      <c r="MQ146" t="n">
        <v>0</v>
      </c>
      <c r="MY146" t="n">
        <v>2</v>
      </c>
      <c r="MZ146" t="n">
        <v>33</v>
      </c>
      <c r="NC146" t="n">
        <v>17</v>
      </c>
      <c r="ND146" t="n">
        <v>26</v>
      </c>
      <c r="NE146" t="n">
        <v>17</v>
      </c>
      <c r="NM146" t="n">
        <v>22</v>
      </c>
      <c r="NN146" t="n">
        <v>1</v>
      </c>
      <c r="NO146" t="n">
        <v>81</v>
      </c>
      <c r="NP146" t="n">
        <v>163</v>
      </c>
      <c r="NQ146" t="n">
        <v>44</v>
      </c>
      <c r="NR146" t="n">
        <v>6</v>
      </c>
      <c r="NS146" t="n">
        <v>26</v>
      </c>
      <c r="NT146" t="n">
        <v>2</v>
      </c>
      <c r="NX146" t="n">
        <v>1</v>
      </c>
      <c r="OB146" t="n">
        <v>33</v>
      </c>
      <c r="OD146" t="n">
        <v>42</v>
      </c>
      <c r="OE146" t="n">
        <v>2</v>
      </c>
      <c r="OG146" t="n">
        <v>49</v>
      </c>
      <c r="ON146" t="n">
        <v>35</v>
      </c>
      <c r="OO146" t="n">
        <v>18837</v>
      </c>
      <c r="OQ146" t="n">
        <v>567</v>
      </c>
      <c r="OU146" t="n">
        <v>175</v>
      </c>
      <c r="OV146" t="n">
        <v>5461</v>
      </c>
      <c r="OX146" t="n">
        <v>12</v>
      </c>
      <c r="PB146" t="n">
        <v>212</v>
      </c>
      <c r="PI146" t="n">
        <v>25264</v>
      </c>
      <c r="PM146">
        <f>IFERROR(VLOOKUP($A146&amp;"",Key!$A:$C,3,FALSE),"")</f>
        <v/>
      </c>
    </row>
    <row r="147">
      <c r="A147" t="n">
        <v>335930</v>
      </c>
      <c r="B147" t="inlineStr">
        <is>
          <t>Wiring device manufacturing</t>
        </is>
      </c>
      <c r="P147" t="n">
        <v>20</v>
      </c>
      <c r="Z147" t="n">
        <v>0</v>
      </c>
      <c r="AA147" t="n">
        <v>123</v>
      </c>
      <c r="AB147" t="n">
        <v>256</v>
      </c>
      <c r="AC147" t="n">
        <v>1325</v>
      </c>
      <c r="AD147" t="n">
        <v>612</v>
      </c>
      <c r="AE147" t="n">
        <v>1584</v>
      </c>
      <c r="AF147" t="n">
        <v>258</v>
      </c>
      <c r="AG147" t="n">
        <v>2708</v>
      </c>
      <c r="AH147" t="n">
        <v>551</v>
      </c>
      <c r="AI147" t="n">
        <v>459</v>
      </c>
      <c r="AJ147" t="n">
        <v>564</v>
      </c>
      <c r="AK147" t="n">
        <v>2401</v>
      </c>
      <c r="AL147" t="n">
        <v>1148</v>
      </c>
      <c r="AP147" t="n">
        <v>12</v>
      </c>
      <c r="AR147" t="n">
        <v>7</v>
      </c>
      <c r="BP147" t="n">
        <v>4</v>
      </c>
      <c r="CI147" t="n">
        <v>4</v>
      </c>
      <c r="CJ147" t="n">
        <v>7</v>
      </c>
      <c r="CO147" t="n">
        <v>185</v>
      </c>
      <c r="CQ147" t="n">
        <v>129</v>
      </c>
      <c r="CR147" t="n">
        <v>35</v>
      </c>
      <c r="CU147" t="n">
        <v>3</v>
      </c>
      <c r="CV147" t="n">
        <v>3</v>
      </c>
      <c r="CZ147" t="n">
        <v>189</v>
      </c>
      <c r="DB147" t="n">
        <v>5</v>
      </c>
      <c r="DG147" t="n">
        <v>8</v>
      </c>
      <c r="DI147" t="n">
        <v>2</v>
      </c>
      <c r="DJ147" t="n">
        <v>4</v>
      </c>
      <c r="DK147" t="n">
        <v>8</v>
      </c>
      <c r="DL147" t="n">
        <v>0</v>
      </c>
      <c r="DM147" t="n">
        <v>30</v>
      </c>
      <c r="DN147" t="n">
        <v>11</v>
      </c>
      <c r="DO147" t="n">
        <v>35</v>
      </c>
      <c r="DP147" t="n">
        <v>19</v>
      </c>
      <c r="DQ147" t="n">
        <v>117</v>
      </c>
      <c r="DS147" t="n">
        <v>19</v>
      </c>
      <c r="DT147" t="n">
        <v>8</v>
      </c>
      <c r="DU147" t="n">
        <v>44</v>
      </c>
      <c r="DV147" t="n">
        <v>5</v>
      </c>
      <c r="DW147" t="n">
        <v>71</v>
      </c>
      <c r="DX147" t="n">
        <v>84</v>
      </c>
      <c r="DZ147" t="n">
        <v>68</v>
      </c>
      <c r="EA147" t="n">
        <v>6</v>
      </c>
      <c r="ED147" t="n">
        <v>291</v>
      </c>
      <c r="EE147" t="n">
        <v>61</v>
      </c>
      <c r="EF147" t="n">
        <v>668</v>
      </c>
      <c r="EG147" t="n">
        <v>27</v>
      </c>
      <c r="EM147" t="n">
        <v>12</v>
      </c>
      <c r="EN147" t="n">
        <v>633</v>
      </c>
      <c r="EP147" t="n">
        <v>272</v>
      </c>
      <c r="EV147" t="n">
        <v>1</v>
      </c>
      <c r="EW147" t="n">
        <v>72</v>
      </c>
      <c r="EX147" t="n">
        <v>101</v>
      </c>
      <c r="EY147" t="n">
        <v>368</v>
      </c>
      <c r="EZ147" t="n">
        <v>621</v>
      </c>
      <c r="FC147" t="n">
        <v>720</v>
      </c>
      <c r="FD147" t="n">
        <v>159</v>
      </c>
      <c r="FE147" t="n">
        <v>587</v>
      </c>
      <c r="FF147" t="n">
        <v>13</v>
      </c>
      <c r="FX147" t="n">
        <v>181</v>
      </c>
      <c r="FY147" t="n">
        <v>92</v>
      </c>
      <c r="GA147" t="n">
        <v>1</v>
      </c>
      <c r="GH147" t="n">
        <v>14</v>
      </c>
      <c r="JG147" t="n">
        <v>2</v>
      </c>
      <c r="JK147" t="n">
        <v>1</v>
      </c>
      <c r="JL147" t="n">
        <v>1</v>
      </c>
      <c r="JM147" t="n">
        <v>0</v>
      </c>
      <c r="JN147" t="n">
        <v>0</v>
      </c>
      <c r="JO147" t="n">
        <v>24</v>
      </c>
      <c r="JR147" t="n">
        <v>0</v>
      </c>
      <c r="JT147" t="n">
        <v>0</v>
      </c>
      <c r="JV147" t="n">
        <v>164</v>
      </c>
      <c r="JW147" t="n">
        <v>69</v>
      </c>
      <c r="KA147" t="n">
        <v>75</v>
      </c>
      <c r="KB147" t="n">
        <v>3</v>
      </c>
      <c r="KC147" t="n">
        <v>0</v>
      </c>
      <c r="KD147" t="n">
        <v>1</v>
      </c>
      <c r="KF147" t="n">
        <v>3</v>
      </c>
      <c r="KW147" t="n">
        <v>30</v>
      </c>
      <c r="KX147" t="n">
        <v>177</v>
      </c>
      <c r="KZ147" t="n">
        <v>117</v>
      </c>
      <c r="LK147" t="n">
        <v>5</v>
      </c>
      <c r="LL147" t="n">
        <v>1</v>
      </c>
      <c r="LO147" t="n">
        <v>99</v>
      </c>
      <c r="LR147" t="n">
        <v>0</v>
      </c>
      <c r="LZ147" t="n">
        <v>44</v>
      </c>
      <c r="MH147" t="n">
        <v>69</v>
      </c>
      <c r="MQ147" t="n">
        <v>58</v>
      </c>
      <c r="MY147" t="n">
        <v>2</v>
      </c>
      <c r="MZ147" t="n">
        <v>22</v>
      </c>
      <c r="NC147" t="n">
        <v>10</v>
      </c>
      <c r="ND147" t="n">
        <v>10</v>
      </c>
      <c r="NE147" t="n">
        <v>18</v>
      </c>
      <c r="NF147" t="n">
        <v>2</v>
      </c>
      <c r="NM147" t="n">
        <v>19</v>
      </c>
      <c r="NN147" t="n">
        <v>4</v>
      </c>
      <c r="NO147" t="n">
        <v>5</v>
      </c>
      <c r="NP147" t="n">
        <v>1</v>
      </c>
      <c r="NQ147" t="n">
        <v>0</v>
      </c>
      <c r="NS147" t="n">
        <v>56</v>
      </c>
      <c r="NT147" t="n">
        <v>49</v>
      </c>
      <c r="OB147" t="n">
        <v>1</v>
      </c>
      <c r="OD147" t="n">
        <v>4</v>
      </c>
      <c r="OE147" t="n">
        <v>572</v>
      </c>
      <c r="ON147" t="n">
        <v>111</v>
      </c>
      <c r="OO147" t="n">
        <v>19857</v>
      </c>
      <c r="OQ147" t="n">
        <v>265</v>
      </c>
      <c r="OU147" t="n">
        <v>100</v>
      </c>
      <c r="OV147" t="n">
        <v>3187</v>
      </c>
      <c r="PI147" t="n">
        <v>23409</v>
      </c>
      <c r="PM147">
        <f>IFERROR(VLOOKUP($A147&amp;"",Key!$A:$C,3,FALSE),"")</f>
        <v/>
      </c>
    </row>
    <row r="148">
      <c r="A148" t="n">
        <v>335991</v>
      </c>
      <c r="B148" t="inlineStr">
        <is>
          <t>Carbon and graphite product manufacturing</t>
        </is>
      </c>
      <c r="AP148" t="n">
        <v>18</v>
      </c>
      <c r="BC148" t="n">
        <v>452</v>
      </c>
      <c r="BD148" t="n">
        <v>64</v>
      </c>
      <c r="BF148" t="n">
        <v>29</v>
      </c>
      <c r="BK148" t="n">
        <v>52</v>
      </c>
      <c r="EH148" t="n">
        <v>21</v>
      </c>
      <c r="EL148" t="n">
        <v>76</v>
      </c>
      <c r="EO148" t="n">
        <v>12</v>
      </c>
      <c r="FE148" t="n">
        <v>289</v>
      </c>
      <c r="FF148" t="n">
        <v>1</v>
      </c>
      <c r="FG148" t="n">
        <v>135</v>
      </c>
      <c r="IE148" t="n">
        <v>8</v>
      </c>
      <c r="II148" t="n">
        <v>8</v>
      </c>
      <c r="IL148" t="n">
        <v>87</v>
      </c>
      <c r="JE148" t="n">
        <v>78</v>
      </c>
      <c r="KB148" t="n">
        <v>1</v>
      </c>
      <c r="KE148" t="n">
        <v>1</v>
      </c>
      <c r="KI148" t="n">
        <v>134</v>
      </c>
      <c r="KK148" t="n">
        <v>5</v>
      </c>
      <c r="LN148" t="n">
        <v>2</v>
      </c>
      <c r="LT148" t="n">
        <v>94</v>
      </c>
      <c r="LV148" t="n">
        <v>161</v>
      </c>
      <c r="LW148" t="n">
        <v>109</v>
      </c>
      <c r="LX148" t="n">
        <v>45</v>
      </c>
      <c r="LZ148" t="n">
        <v>40</v>
      </c>
      <c r="ME148" t="n">
        <v>1234</v>
      </c>
      <c r="MF148" t="n">
        <v>2</v>
      </c>
      <c r="MG148" t="n">
        <v>32</v>
      </c>
      <c r="MH148" t="n">
        <v>36</v>
      </c>
      <c r="MI148" t="n">
        <v>133</v>
      </c>
      <c r="MK148" t="n">
        <v>96</v>
      </c>
      <c r="MO148" t="n">
        <v>60</v>
      </c>
      <c r="OD148" t="n">
        <v>10</v>
      </c>
      <c r="OM148" t="n">
        <v>15</v>
      </c>
      <c r="ON148" t="n">
        <v>147</v>
      </c>
      <c r="OO148" t="n">
        <v>3687</v>
      </c>
      <c r="OU148" t="n">
        <v>1</v>
      </c>
      <c r="OV148" t="n">
        <v>1347</v>
      </c>
      <c r="PI148" t="n">
        <v>5035</v>
      </c>
      <c r="PM148">
        <f>IFERROR(VLOOKUP($A148&amp;"",Key!$A:$C,3,FALSE),"")</f>
        <v/>
      </c>
    </row>
    <row r="149">
      <c r="A149" t="n">
        <v>335999</v>
      </c>
      <c r="B149" t="inlineStr">
        <is>
          <t>All other miscellaneous electrical equipment and component manufacturing</t>
        </is>
      </c>
      <c r="AA149" t="n">
        <v>0</v>
      </c>
      <c r="AB149" t="n">
        <v>0</v>
      </c>
      <c r="AC149" t="n">
        <v>1487</v>
      </c>
      <c r="AD149" t="n">
        <v>29</v>
      </c>
      <c r="AE149" t="n">
        <v>696</v>
      </c>
      <c r="AF149" t="n">
        <v>11</v>
      </c>
      <c r="AG149" t="n">
        <v>109</v>
      </c>
      <c r="AH149" t="n">
        <v>11</v>
      </c>
      <c r="AI149" t="n">
        <v>6</v>
      </c>
      <c r="AJ149" t="n">
        <v>2</v>
      </c>
      <c r="AK149" t="n">
        <v>13</v>
      </c>
      <c r="AL149" t="n">
        <v>5</v>
      </c>
      <c r="BP149" t="n">
        <v>1</v>
      </c>
      <c r="CI149" t="n">
        <v>1</v>
      </c>
      <c r="CJ149" t="n">
        <v>2</v>
      </c>
      <c r="CO149" t="n">
        <v>497</v>
      </c>
      <c r="CQ149" t="n">
        <v>3</v>
      </c>
      <c r="CR149" t="n">
        <v>3</v>
      </c>
      <c r="CU149" t="n">
        <v>58</v>
      </c>
      <c r="CV149" t="n">
        <v>40</v>
      </c>
      <c r="CZ149" t="n">
        <v>130</v>
      </c>
      <c r="DA149" t="n">
        <v>2</v>
      </c>
      <c r="DB149" t="n">
        <v>1</v>
      </c>
      <c r="DF149" t="n">
        <v>1</v>
      </c>
      <c r="DG149" t="n">
        <v>668</v>
      </c>
      <c r="DI149" t="n">
        <v>128</v>
      </c>
      <c r="DJ149" t="n">
        <v>19</v>
      </c>
      <c r="DK149" t="n">
        <v>47</v>
      </c>
      <c r="DL149" t="n">
        <v>4</v>
      </c>
      <c r="DM149" t="n">
        <v>1</v>
      </c>
      <c r="DO149" t="n">
        <v>33</v>
      </c>
      <c r="DP149" t="n">
        <v>0</v>
      </c>
      <c r="DQ149" t="n">
        <v>0</v>
      </c>
      <c r="DR149" t="n">
        <v>208</v>
      </c>
      <c r="DS149" t="n">
        <v>118</v>
      </c>
      <c r="DT149" t="n">
        <v>0</v>
      </c>
      <c r="DU149" t="n">
        <v>1</v>
      </c>
      <c r="DV149" t="n">
        <v>0</v>
      </c>
      <c r="DW149" t="n">
        <v>1</v>
      </c>
      <c r="DX149" t="n">
        <v>3</v>
      </c>
      <c r="DZ149" t="n">
        <v>3</v>
      </c>
      <c r="EA149" t="n">
        <v>0</v>
      </c>
      <c r="ED149" t="n">
        <v>1</v>
      </c>
      <c r="EE149" t="n">
        <v>1</v>
      </c>
      <c r="EF149" t="n">
        <v>1</v>
      </c>
      <c r="EG149" t="n">
        <v>101</v>
      </c>
      <c r="EH149" t="n">
        <v>11</v>
      </c>
      <c r="EN149" t="n">
        <v>11</v>
      </c>
      <c r="EP149" t="n">
        <v>161</v>
      </c>
      <c r="EV149" t="n">
        <v>0</v>
      </c>
      <c r="EW149" t="n">
        <v>7</v>
      </c>
      <c r="EX149" t="n">
        <v>1</v>
      </c>
      <c r="EY149" t="n">
        <v>10</v>
      </c>
      <c r="EZ149" t="n">
        <v>5</v>
      </c>
      <c r="FC149" t="n">
        <v>8</v>
      </c>
      <c r="FD149" t="n">
        <v>1</v>
      </c>
      <c r="FF149" t="n">
        <v>3</v>
      </c>
      <c r="FX149" t="n">
        <v>0</v>
      </c>
      <c r="FY149" t="n">
        <v>0</v>
      </c>
      <c r="GH149" t="n">
        <v>0</v>
      </c>
      <c r="GO149" t="n">
        <v>0</v>
      </c>
      <c r="GP149" t="n">
        <v>1</v>
      </c>
      <c r="GQ149" t="n">
        <v>0</v>
      </c>
      <c r="GU149" t="n">
        <v>0</v>
      </c>
      <c r="HA149" t="n">
        <v>0</v>
      </c>
      <c r="HH149" t="n">
        <v>0</v>
      </c>
      <c r="IW149" t="n">
        <v>0</v>
      </c>
      <c r="IX149" t="n">
        <v>0</v>
      </c>
      <c r="JK149" t="n">
        <v>0</v>
      </c>
      <c r="JL149" t="n">
        <v>3</v>
      </c>
      <c r="JM149" t="n">
        <v>0</v>
      </c>
      <c r="JN149" t="n">
        <v>1</v>
      </c>
      <c r="JO149" t="n">
        <v>2</v>
      </c>
      <c r="JQ149" t="n">
        <v>0</v>
      </c>
      <c r="JR149" t="n">
        <v>0</v>
      </c>
      <c r="JT149" t="n">
        <v>0</v>
      </c>
      <c r="JV149" t="n">
        <v>5</v>
      </c>
      <c r="JY149" t="n">
        <v>0</v>
      </c>
      <c r="KF149" t="n">
        <v>99</v>
      </c>
      <c r="KK149" t="n">
        <v>106</v>
      </c>
      <c r="KW149" t="n">
        <v>82</v>
      </c>
      <c r="KX149" t="n">
        <v>190</v>
      </c>
      <c r="KY149" t="n">
        <v>12</v>
      </c>
      <c r="LZ149" t="n">
        <v>13</v>
      </c>
      <c r="MH149" t="n">
        <v>2</v>
      </c>
      <c r="NR149" t="n">
        <v>26</v>
      </c>
      <c r="NS149" t="n">
        <v>33</v>
      </c>
      <c r="NT149" t="n">
        <v>89</v>
      </c>
      <c r="OD149" t="n">
        <v>62</v>
      </c>
      <c r="OE149" t="n">
        <v>1158</v>
      </c>
      <c r="OI149" t="n">
        <v>1</v>
      </c>
      <c r="ON149" t="n">
        <v>29</v>
      </c>
      <c r="OO149" t="n">
        <v>6581</v>
      </c>
      <c r="OP149" t="n">
        <v>444</v>
      </c>
      <c r="OQ149" t="n">
        <v>13402</v>
      </c>
      <c r="OU149" t="n">
        <v>26</v>
      </c>
      <c r="OV149" t="n">
        <v>4691</v>
      </c>
      <c r="OX149" t="n">
        <v>480</v>
      </c>
      <c r="PB149" t="n">
        <v>74</v>
      </c>
      <c r="PF149" t="n">
        <v>130</v>
      </c>
      <c r="PI149" t="n">
        <v>25828</v>
      </c>
      <c r="PM149">
        <f>IFERROR(VLOOKUP($A149&amp;"",Key!$A:$C,3,FALSE),"")</f>
        <v/>
      </c>
    </row>
    <row r="150">
      <c r="A150" t="n">
        <v>336111</v>
      </c>
      <c r="B150" t="inlineStr">
        <is>
          <t>Automobile manufacturing</t>
        </is>
      </c>
      <c r="EQ150" t="n">
        <v>14</v>
      </c>
      <c r="OO150" t="n">
        <v>14</v>
      </c>
      <c r="OP150" t="n">
        <v>69901</v>
      </c>
      <c r="OQ150" t="n">
        <v>83960</v>
      </c>
      <c r="OU150" t="n">
        <v>4395</v>
      </c>
      <c r="OV150" t="n">
        <v>23537</v>
      </c>
      <c r="OX150" t="n">
        <v>39</v>
      </c>
      <c r="PB150" t="n">
        <v>105</v>
      </c>
      <c r="PF150" t="n">
        <v>597</v>
      </c>
      <c r="PI150" t="n">
        <v>182549</v>
      </c>
      <c r="PM150">
        <f>IFERROR(VLOOKUP($A150&amp;"",Key!$A:$C,3,FALSE),"")</f>
        <v/>
      </c>
    </row>
    <row r="151">
      <c r="A151" t="n">
        <v>336112</v>
      </c>
      <c r="B151" t="inlineStr">
        <is>
          <t>Light truck and utility vehicle manufacturing</t>
        </is>
      </c>
      <c r="KK151" t="n">
        <v>0</v>
      </c>
      <c r="MH151" t="n">
        <v>1</v>
      </c>
      <c r="MO151" t="n">
        <v>0</v>
      </c>
      <c r="OO151" t="n">
        <v>1</v>
      </c>
      <c r="OP151" t="n">
        <v>210429</v>
      </c>
      <c r="OQ151" t="n">
        <v>191749</v>
      </c>
      <c r="OU151" t="n">
        <v>5105</v>
      </c>
      <c r="OV151" t="n">
        <v>31734</v>
      </c>
      <c r="OX151" t="n">
        <v>26</v>
      </c>
      <c r="PB151" t="n">
        <v>6</v>
      </c>
      <c r="PF151" t="n">
        <v>501</v>
      </c>
      <c r="PI151" t="n">
        <v>439550</v>
      </c>
      <c r="PM151">
        <f>IFERROR(VLOOKUP($A151&amp;"",Key!$A:$C,3,FALSE),"")</f>
        <v/>
      </c>
    </row>
    <row r="152">
      <c r="A152" t="n">
        <v>336120</v>
      </c>
      <c r="B152" t="inlineStr">
        <is>
          <t>Heavy duty truck manufacturing</t>
        </is>
      </c>
      <c r="AP152" t="n">
        <v>1</v>
      </c>
      <c r="CI152" t="n">
        <v>121</v>
      </c>
      <c r="CJ152" t="n">
        <v>27</v>
      </c>
      <c r="DC152" t="n">
        <v>1</v>
      </c>
      <c r="ES152" t="n">
        <v>888</v>
      </c>
      <c r="ET152" t="n">
        <v>619</v>
      </c>
      <c r="EU152" t="n">
        <v>113</v>
      </c>
      <c r="EV152" t="n">
        <v>19</v>
      </c>
      <c r="EW152" t="n">
        <v>203</v>
      </c>
      <c r="JV152" t="n">
        <v>18</v>
      </c>
      <c r="NR152" t="n">
        <v>51</v>
      </c>
      <c r="OI152" t="n">
        <v>35</v>
      </c>
      <c r="OO152" t="n">
        <v>2096</v>
      </c>
      <c r="OQ152" t="n">
        <v>24912</v>
      </c>
      <c r="OU152" t="n">
        <v>110</v>
      </c>
      <c r="OV152" t="n">
        <v>6512</v>
      </c>
      <c r="OX152" t="n">
        <v>851</v>
      </c>
      <c r="PB152" t="n">
        <v>338</v>
      </c>
      <c r="PF152" t="n">
        <v>13049</v>
      </c>
      <c r="PI152" t="n">
        <v>47868</v>
      </c>
      <c r="PM152">
        <f>IFERROR(VLOOKUP($A152&amp;"",Key!$A:$C,3,FALSE),"")</f>
        <v/>
      </c>
    </row>
    <row r="153">
      <c r="A153" t="n">
        <v>336211</v>
      </c>
      <c r="B153" t="inlineStr">
        <is>
          <t>Motor vehicle body manufacturing</t>
        </is>
      </c>
      <c r="CI153" t="n">
        <v>4</v>
      </c>
      <c r="EQ153" t="n">
        <v>712</v>
      </c>
      <c r="ER153" t="n">
        <v>3675</v>
      </c>
      <c r="ES153" t="n">
        <v>17</v>
      </c>
      <c r="ET153" t="n">
        <v>586</v>
      </c>
      <c r="EU153" t="n">
        <v>619</v>
      </c>
      <c r="KA153" t="n">
        <v>31</v>
      </c>
      <c r="LX153" t="n">
        <v>1</v>
      </c>
      <c r="MH153" t="n">
        <v>34</v>
      </c>
      <c r="NR153" t="n">
        <v>68</v>
      </c>
      <c r="NS153" t="n">
        <v>0</v>
      </c>
      <c r="OI153" t="n">
        <v>3</v>
      </c>
      <c r="OK153" t="n">
        <v>1</v>
      </c>
      <c r="OO153" t="n">
        <v>5751</v>
      </c>
      <c r="OP153" t="n">
        <v>400</v>
      </c>
      <c r="OQ153" t="n">
        <v>6490</v>
      </c>
      <c r="OU153" t="n">
        <v>-57</v>
      </c>
      <c r="OV153" t="n">
        <v>1048</v>
      </c>
      <c r="PB153" t="n">
        <v>51</v>
      </c>
      <c r="PI153" t="n">
        <v>13683</v>
      </c>
      <c r="PM153">
        <f>IFERROR(VLOOKUP($A153&amp;"",Key!$A:$C,3,FALSE),"")</f>
        <v/>
      </c>
    </row>
    <row r="154">
      <c r="A154" t="n">
        <v>336212</v>
      </c>
      <c r="B154" t="inlineStr">
        <is>
          <t>Truck trailer manufacturing</t>
        </is>
      </c>
      <c r="AP154" t="n">
        <v>1</v>
      </c>
      <c r="CI154" t="n">
        <v>175</v>
      </c>
      <c r="DC154" t="n">
        <v>1</v>
      </c>
      <c r="EU154" t="n">
        <v>33</v>
      </c>
      <c r="OO154" t="n">
        <v>210</v>
      </c>
      <c r="OQ154" t="n">
        <v>14108</v>
      </c>
      <c r="OU154" t="n">
        <v>40</v>
      </c>
      <c r="OV154" t="n">
        <v>1340</v>
      </c>
      <c r="OX154" t="n">
        <v>51</v>
      </c>
      <c r="PB154" t="n">
        <v>6</v>
      </c>
      <c r="PI154" t="n">
        <v>15755</v>
      </c>
      <c r="PM154">
        <f>IFERROR(VLOOKUP($A154&amp;"",Key!$A:$C,3,FALSE),"")</f>
        <v/>
      </c>
    </row>
    <row r="155">
      <c r="A155" t="n">
        <v>336213</v>
      </c>
      <c r="B155" t="inlineStr">
        <is>
          <t>Motor home manufacturing</t>
        </is>
      </c>
      <c r="EV155" t="n">
        <v>10</v>
      </c>
      <c r="OO155" t="n">
        <v>10</v>
      </c>
      <c r="OP155" t="n">
        <v>10002</v>
      </c>
      <c r="OQ155" t="n">
        <v>1076</v>
      </c>
      <c r="OU155" t="n">
        <v>154</v>
      </c>
      <c r="OV155" t="n">
        <v>405</v>
      </c>
      <c r="PI155" t="n">
        <v>11647</v>
      </c>
      <c r="PM155">
        <f>IFERROR(VLOOKUP($A155&amp;"",Key!$A:$C,3,FALSE),"")</f>
        <v/>
      </c>
    </row>
    <row r="156">
      <c r="A156" t="n">
        <v>336214</v>
      </c>
      <c r="B156" t="inlineStr">
        <is>
          <t>Travel trailer and camper manufacturing</t>
        </is>
      </c>
      <c r="EU156" t="n">
        <v>53</v>
      </c>
      <c r="EW156" t="n">
        <v>2232</v>
      </c>
      <c r="FO156" t="n">
        <v>3</v>
      </c>
      <c r="LZ156" t="n">
        <v>6</v>
      </c>
      <c r="MF156" t="n">
        <v>1</v>
      </c>
      <c r="MH156" t="n">
        <v>815</v>
      </c>
      <c r="MO156" t="n">
        <v>118</v>
      </c>
      <c r="NG156" t="n">
        <v>97</v>
      </c>
      <c r="OI156" t="n">
        <v>117</v>
      </c>
      <c r="OM156" t="n">
        <v>13</v>
      </c>
      <c r="ON156" t="n">
        <v>0</v>
      </c>
      <c r="OO156" t="n">
        <v>3456</v>
      </c>
      <c r="OP156" t="n">
        <v>20263</v>
      </c>
      <c r="OQ156" t="n">
        <v>971</v>
      </c>
      <c r="OU156" t="n">
        <v>383</v>
      </c>
      <c r="OV156" t="n">
        <v>1113</v>
      </c>
      <c r="PI156" t="n">
        <v>26185</v>
      </c>
      <c r="PM156">
        <f>IFERROR(VLOOKUP($A156&amp;"",Key!$A:$C,3,FALSE),"")</f>
        <v/>
      </c>
    </row>
    <row r="157">
      <c r="A157" t="n">
        <v>336310</v>
      </c>
      <c r="B157" t="inlineStr">
        <is>
          <t>Motor vehicle gasoline engine and engine parts manufacturing</t>
        </is>
      </c>
      <c r="C157" t="n">
        <v>3</v>
      </c>
      <c r="D157" t="n">
        <v>10</v>
      </c>
      <c r="E157" t="n">
        <v>1</v>
      </c>
      <c r="F157" t="n">
        <v>1</v>
      </c>
      <c r="G157" t="n">
        <v>2</v>
      </c>
      <c r="H157" t="n">
        <v>4</v>
      </c>
      <c r="I157" t="n">
        <v>9</v>
      </c>
      <c r="K157" t="n">
        <v>0</v>
      </c>
      <c r="L157" t="n">
        <v>2</v>
      </c>
      <c r="M157" t="n">
        <v>0</v>
      </c>
      <c r="N157" t="n">
        <v>8</v>
      </c>
      <c r="P157" t="n">
        <v>106</v>
      </c>
      <c r="Q157" t="n">
        <v>49</v>
      </c>
      <c r="R157" t="n">
        <v>12</v>
      </c>
      <c r="S157" t="n">
        <v>40</v>
      </c>
      <c r="T157" t="n">
        <v>4</v>
      </c>
      <c r="U157" t="n">
        <v>79</v>
      </c>
      <c r="V157" t="n">
        <v>50</v>
      </c>
      <c r="W157" t="n">
        <v>124</v>
      </c>
      <c r="Z157" t="n">
        <v>0</v>
      </c>
      <c r="AC157" t="n">
        <v>99</v>
      </c>
      <c r="AD157" t="n">
        <v>23</v>
      </c>
      <c r="AM157" t="n">
        <v>13</v>
      </c>
      <c r="AN157" t="n">
        <v>10</v>
      </c>
      <c r="AO157" t="n">
        <v>8</v>
      </c>
      <c r="AP157" t="n">
        <v>7</v>
      </c>
      <c r="AQ157" t="n">
        <v>0</v>
      </c>
      <c r="AR157" t="n">
        <v>1</v>
      </c>
      <c r="AS157" t="n">
        <v>6</v>
      </c>
      <c r="AT157" t="n">
        <v>37</v>
      </c>
      <c r="AU157" t="n">
        <v>3</v>
      </c>
      <c r="AV157" t="n">
        <v>10</v>
      </c>
      <c r="AW157" t="n">
        <v>1</v>
      </c>
      <c r="AZ157" t="n">
        <v>5</v>
      </c>
      <c r="BD157" t="n">
        <v>2</v>
      </c>
      <c r="BG157" t="n">
        <v>2</v>
      </c>
      <c r="BJ157" t="n">
        <v>2</v>
      </c>
      <c r="BK157" t="n">
        <v>3</v>
      </c>
      <c r="BQ157" t="n">
        <v>13</v>
      </c>
      <c r="BR157" t="n">
        <v>7</v>
      </c>
      <c r="BT157" t="n">
        <v>2</v>
      </c>
      <c r="BX157" t="n">
        <v>3</v>
      </c>
      <c r="BY157" t="n">
        <v>1</v>
      </c>
      <c r="BZ157" t="n">
        <v>8</v>
      </c>
      <c r="CB157" t="n">
        <v>3</v>
      </c>
      <c r="CG157" t="n">
        <v>61</v>
      </c>
      <c r="CH157" t="n">
        <v>920</v>
      </c>
      <c r="CI157" t="n">
        <v>398</v>
      </c>
      <c r="CJ157" t="n">
        <v>166</v>
      </c>
      <c r="CK157" t="n">
        <v>1</v>
      </c>
      <c r="CL157" t="n">
        <v>5</v>
      </c>
      <c r="CQ157" t="n">
        <v>1</v>
      </c>
      <c r="CT157" t="n">
        <v>3</v>
      </c>
      <c r="CU157" t="n">
        <v>1</v>
      </c>
      <c r="CV157" t="n">
        <v>2</v>
      </c>
      <c r="CW157" t="n">
        <v>18</v>
      </c>
      <c r="CZ157" t="n">
        <v>1839</v>
      </c>
      <c r="DA157" t="n">
        <v>3</v>
      </c>
      <c r="DB157" t="n">
        <v>4</v>
      </c>
      <c r="DC157" t="n">
        <v>63</v>
      </c>
      <c r="DG157" t="n">
        <v>5</v>
      </c>
      <c r="DR157" t="n">
        <v>2</v>
      </c>
      <c r="DU157" t="n">
        <v>1</v>
      </c>
      <c r="DX157" t="n">
        <v>2</v>
      </c>
      <c r="EH157" t="n">
        <v>597</v>
      </c>
      <c r="EJ157" t="n">
        <v>1</v>
      </c>
      <c r="EN157" t="n">
        <v>4</v>
      </c>
      <c r="EQ157" t="n">
        <v>4159</v>
      </c>
      <c r="ER157" t="n">
        <v>17609</v>
      </c>
      <c r="ES157" t="n">
        <v>582</v>
      </c>
      <c r="EV157" t="n">
        <v>0</v>
      </c>
      <c r="EW157" t="n">
        <v>3</v>
      </c>
      <c r="EX157" t="n">
        <v>10</v>
      </c>
      <c r="EY157" t="n">
        <v>4</v>
      </c>
      <c r="EZ157" t="n">
        <v>311</v>
      </c>
      <c r="FA157" t="n">
        <v>3</v>
      </c>
      <c r="FC157" t="n">
        <v>17</v>
      </c>
      <c r="FD157" t="n">
        <v>21</v>
      </c>
      <c r="FF157" t="n">
        <v>37</v>
      </c>
      <c r="FJ157" t="n">
        <v>1</v>
      </c>
      <c r="FK157" t="n">
        <v>2</v>
      </c>
      <c r="FL157" t="n">
        <v>1531</v>
      </c>
      <c r="FO157" t="n">
        <v>1035</v>
      </c>
      <c r="FP157" t="n">
        <v>3</v>
      </c>
      <c r="FV157" t="n">
        <v>6</v>
      </c>
      <c r="FX157" t="n">
        <v>3</v>
      </c>
      <c r="FY157" t="n">
        <v>1</v>
      </c>
      <c r="GA157" t="n">
        <v>1</v>
      </c>
      <c r="GG157" t="n">
        <v>6</v>
      </c>
      <c r="GH157" t="n">
        <v>2</v>
      </c>
      <c r="GI157" t="n">
        <v>2</v>
      </c>
      <c r="GJ157" t="n">
        <v>4</v>
      </c>
      <c r="GN157" t="n">
        <v>5</v>
      </c>
      <c r="GO157" t="n">
        <v>3</v>
      </c>
      <c r="GQ157" t="n">
        <v>3</v>
      </c>
      <c r="GR157" t="n">
        <v>1</v>
      </c>
      <c r="GS157" t="n">
        <v>29</v>
      </c>
      <c r="GT157" t="n">
        <v>47</v>
      </c>
      <c r="GU157" t="n">
        <v>5</v>
      </c>
      <c r="GV157" t="n">
        <v>12</v>
      </c>
      <c r="GW157" t="n">
        <v>3</v>
      </c>
      <c r="GX157" t="n">
        <v>7</v>
      </c>
      <c r="GZ157" t="n">
        <v>80</v>
      </c>
      <c r="HA157" t="n">
        <v>2</v>
      </c>
      <c r="HB157" t="n">
        <v>6</v>
      </c>
      <c r="HD157" t="n">
        <v>20</v>
      </c>
      <c r="HE157" t="n">
        <v>7</v>
      </c>
      <c r="HF157" t="n">
        <v>2</v>
      </c>
      <c r="HG157" t="n">
        <v>135</v>
      </c>
      <c r="HH157" t="n">
        <v>11</v>
      </c>
      <c r="HI157" t="n">
        <v>2</v>
      </c>
      <c r="HJ157" t="n">
        <v>13</v>
      </c>
      <c r="HU157" t="n">
        <v>9</v>
      </c>
      <c r="HV157" t="n">
        <v>9</v>
      </c>
      <c r="HW157" t="n">
        <v>17</v>
      </c>
      <c r="HX157" t="n">
        <v>4</v>
      </c>
      <c r="IB157" t="n">
        <v>15</v>
      </c>
      <c r="IL157" t="n">
        <v>3</v>
      </c>
      <c r="IO157" t="n">
        <v>2</v>
      </c>
      <c r="IP157" t="n">
        <v>1</v>
      </c>
      <c r="IQ157" t="n">
        <v>1</v>
      </c>
      <c r="IS157" t="n">
        <v>0</v>
      </c>
      <c r="IT157" t="n">
        <v>0</v>
      </c>
      <c r="IV157" t="n">
        <v>4</v>
      </c>
      <c r="IW157" t="n">
        <v>4</v>
      </c>
      <c r="IX157" t="n">
        <v>1</v>
      </c>
      <c r="IZ157" t="n">
        <v>2</v>
      </c>
      <c r="JG157" t="n">
        <v>5</v>
      </c>
      <c r="JK157" t="n">
        <v>449</v>
      </c>
      <c r="JL157" t="n">
        <v>6</v>
      </c>
      <c r="JM157" t="n">
        <v>18</v>
      </c>
      <c r="JN157" t="n">
        <v>157</v>
      </c>
      <c r="JO157" t="n">
        <v>435</v>
      </c>
      <c r="JQ157" t="n">
        <v>331</v>
      </c>
      <c r="JR157" t="n">
        <v>56</v>
      </c>
      <c r="JS157" t="n">
        <v>166</v>
      </c>
      <c r="JT157" t="n">
        <v>33</v>
      </c>
      <c r="JV157" t="n">
        <v>4810</v>
      </c>
      <c r="JW157" t="n">
        <v>156</v>
      </c>
      <c r="JX157" t="n">
        <v>283</v>
      </c>
      <c r="JY157" t="n">
        <v>92</v>
      </c>
      <c r="JZ157" t="n">
        <v>26</v>
      </c>
      <c r="KA157" t="n">
        <v>164</v>
      </c>
      <c r="KB157" t="n">
        <v>31</v>
      </c>
      <c r="KC157" t="n">
        <v>228</v>
      </c>
      <c r="KD157" t="n">
        <v>116</v>
      </c>
      <c r="KF157" t="n">
        <v>2</v>
      </c>
      <c r="KH157" t="n">
        <v>5327</v>
      </c>
      <c r="KI157" t="n">
        <v>2</v>
      </c>
      <c r="KK157" t="n">
        <v>41</v>
      </c>
      <c r="KL157" t="n">
        <v>2</v>
      </c>
      <c r="KM157" t="n">
        <v>74</v>
      </c>
      <c r="KN157" t="n">
        <v>16</v>
      </c>
      <c r="KO157" t="n">
        <v>0</v>
      </c>
      <c r="KQ157" t="n">
        <v>39</v>
      </c>
      <c r="KR157" t="n">
        <v>10</v>
      </c>
      <c r="KS157" t="n">
        <v>22</v>
      </c>
      <c r="KW157" t="n">
        <v>13</v>
      </c>
      <c r="KX157" t="n">
        <v>76</v>
      </c>
      <c r="KZ157" t="n">
        <v>22</v>
      </c>
      <c r="LB157" t="n">
        <v>0</v>
      </c>
      <c r="LN157" t="n">
        <v>592</v>
      </c>
      <c r="LO157" t="n">
        <v>15</v>
      </c>
      <c r="LS157" t="n">
        <v>13</v>
      </c>
      <c r="LT157" t="n">
        <v>14</v>
      </c>
      <c r="LU157" t="n">
        <v>4</v>
      </c>
      <c r="LW157" t="n">
        <v>118</v>
      </c>
      <c r="LX157" t="n">
        <v>6</v>
      </c>
      <c r="LZ157" t="n">
        <v>96</v>
      </c>
      <c r="MA157" t="n">
        <v>15</v>
      </c>
      <c r="MB157" t="n">
        <v>2</v>
      </c>
      <c r="ME157" t="n">
        <v>12</v>
      </c>
      <c r="MF157" t="n">
        <v>3</v>
      </c>
      <c r="MG157" t="n">
        <v>29</v>
      </c>
      <c r="MH157" t="n">
        <v>2036</v>
      </c>
      <c r="MI157" t="n">
        <v>20</v>
      </c>
      <c r="MJ157" t="n">
        <v>5</v>
      </c>
      <c r="MK157" t="n">
        <v>191</v>
      </c>
      <c r="ML157" t="n">
        <v>8</v>
      </c>
      <c r="MM157" t="n">
        <v>82</v>
      </c>
      <c r="MN157" t="n">
        <v>74</v>
      </c>
      <c r="MO157" t="n">
        <v>233</v>
      </c>
      <c r="MQ157" t="n">
        <v>1</v>
      </c>
      <c r="MR157" t="n">
        <v>0</v>
      </c>
      <c r="MS157" t="n">
        <v>16</v>
      </c>
      <c r="MW157" t="n">
        <v>4</v>
      </c>
      <c r="MX157" t="n">
        <v>36</v>
      </c>
      <c r="MY157" t="n">
        <v>52</v>
      </c>
      <c r="MZ157" t="n">
        <v>27</v>
      </c>
      <c r="NA157" t="n">
        <v>14</v>
      </c>
      <c r="NC157" t="n">
        <v>105</v>
      </c>
      <c r="ND157" t="n">
        <v>1</v>
      </c>
      <c r="NE157" t="n">
        <v>24</v>
      </c>
      <c r="NL157" t="n">
        <v>5</v>
      </c>
      <c r="NM157" t="n">
        <v>6</v>
      </c>
      <c r="NN157" t="n">
        <v>5</v>
      </c>
      <c r="NO157" t="n">
        <v>14</v>
      </c>
      <c r="NP157" t="n">
        <v>42</v>
      </c>
      <c r="NQ157" t="n">
        <v>8</v>
      </c>
      <c r="NR157" t="n">
        <v>7543</v>
      </c>
      <c r="NS157" t="n">
        <v>0</v>
      </c>
      <c r="NV157" t="n">
        <v>10</v>
      </c>
      <c r="NX157" t="n">
        <v>25</v>
      </c>
      <c r="NY157" t="n">
        <v>94</v>
      </c>
      <c r="NZ157" t="n">
        <v>4</v>
      </c>
      <c r="OA157" t="n">
        <v>197</v>
      </c>
      <c r="OB157" t="n">
        <v>42</v>
      </c>
      <c r="OD157" t="n">
        <v>358</v>
      </c>
      <c r="OE157" t="n">
        <v>3</v>
      </c>
      <c r="OF157" t="n">
        <v>792</v>
      </c>
      <c r="OI157" t="n">
        <v>511</v>
      </c>
      <c r="OJ157" t="n">
        <v>75</v>
      </c>
      <c r="OK157" t="n">
        <v>157</v>
      </c>
      <c r="OL157" t="n">
        <v>106</v>
      </c>
      <c r="OM157" t="n">
        <v>2</v>
      </c>
      <c r="ON157" t="n">
        <v>0</v>
      </c>
      <c r="OO157" t="n">
        <v>57735</v>
      </c>
      <c r="OP157" t="n">
        <v>8104</v>
      </c>
      <c r="OU157" t="n">
        <v>348</v>
      </c>
      <c r="OV157" t="n">
        <v>7981</v>
      </c>
      <c r="PI157" t="n">
        <v>74168</v>
      </c>
      <c r="PM157">
        <f>IFERROR(VLOOKUP($A157&amp;"",Key!$A:$C,3,FALSE),"")</f>
        <v/>
      </c>
    </row>
    <row r="158">
      <c r="A158" t="n">
        <v>336320</v>
      </c>
      <c r="B158" t="inlineStr">
        <is>
          <t>Motor vehicle electrical and electronic equipment manufacturing</t>
        </is>
      </c>
      <c r="C158" t="n">
        <v>49</v>
      </c>
      <c r="D158" t="n">
        <v>155</v>
      </c>
      <c r="E158" t="n">
        <v>33</v>
      </c>
      <c r="F158" t="n">
        <v>34</v>
      </c>
      <c r="G158" t="n">
        <v>23</v>
      </c>
      <c r="H158" t="n">
        <v>57</v>
      </c>
      <c r="I158" t="n">
        <v>217</v>
      </c>
      <c r="J158" t="n">
        <v>57</v>
      </c>
      <c r="K158" t="n">
        <v>6</v>
      </c>
      <c r="L158" t="n">
        <v>32</v>
      </c>
      <c r="N158" t="n">
        <v>8</v>
      </c>
      <c r="O158" t="n">
        <v>4</v>
      </c>
      <c r="P158" t="n">
        <v>144</v>
      </c>
      <c r="Q158" t="n">
        <v>67</v>
      </c>
      <c r="S158" t="n">
        <v>12</v>
      </c>
      <c r="T158" t="n">
        <v>9</v>
      </c>
      <c r="U158" t="n">
        <v>12</v>
      </c>
      <c r="V158" t="n">
        <v>15</v>
      </c>
      <c r="W158" t="n">
        <v>26</v>
      </c>
      <c r="X158" t="n">
        <v>0</v>
      </c>
      <c r="AB158" t="n">
        <v>0</v>
      </c>
      <c r="AC158" t="n">
        <v>737</v>
      </c>
      <c r="AD158" t="n">
        <v>61</v>
      </c>
      <c r="AG158" t="n">
        <v>6</v>
      </c>
      <c r="AI158" t="n">
        <v>1</v>
      </c>
      <c r="AJ158" t="n">
        <v>3</v>
      </c>
      <c r="AM158" t="n">
        <v>28</v>
      </c>
      <c r="AO158" t="n">
        <v>12</v>
      </c>
      <c r="AP158" t="n">
        <v>10</v>
      </c>
      <c r="AS158" t="n">
        <v>2</v>
      </c>
      <c r="AT158" t="n">
        <v>55</v>
      </c>
      <c r="AU158" t="n">
        <v>2</v>
      </c>
      <c r="AV158" t="n">
        <v>16</v>
      </c>
      <c r="AW158" t="n">
        <v>2</v>
      </c>
      <c r="BB158" t="n">
        <v>1</v>
      </c>
      <c r="BC158" t="n">
        <v>20</v>
      </c>
      <c r="BP158" t="n">
        <v>50</v>
      </c>
      <c r="CG158" t="n">
        <v>1270</v>
      </c>
      <c r="CH158" t="n">
        <v>85</v>
      </c>
      <c r="CI158" t="n">
        <v>331</v>
      </c>
      <c r="CJ158" t="n">
        <v>2</v>
      </c>
      <c r="CO158" t="n">
        <v>2</v>
      </c>
      <c r="CQ158" t="n">
        <v>5</v>
      </c>
      <c r="CU158" t="n">
        <v>1</v>
      </c>
      <c r="CV158" t="n">
        <v>1</v>
      </c>
      <c r="CW158" t="n">
        <v>205</v>
      </c>
      <c r="CZ158" t="n">
        <v>116</v>
      </c>
      <c r="DB158" t="n">
        <v>2</v>
      </c>
      <c r="DG158" t="n">
        <v>1</v>
      </c>
      <c r="DI158" t="n">
        <v>2</v>
      </c>
      <c r="DJ158" t="n">
        <v>0</v>
      </c>
      <c r="DK158" t="n">
        <v>0</v>
      </c>
      <c r="DM158" t="n">
        <v>209</v>
      </c>
      <c r="DN158" t="n">
        <v>12</v>
      </c>
      <c r="DO158" t="n">
        <v>3</v>
      </c>
      <c r="DP158" t="n">
        <v>0</v>
      </c>
      <c r="DQ158" t="n">
        <v>64</v>
      </c>
      <c r="DR158" t="n">
        <v>2</v>
      </c>
      <c r="DS158" t="n">
        <v>73</v>
      </c>
      <c r="DT158" t="n">
        <v>0</v>
      </c>
      <c r="DU158" t="n">
        <v>4</v>
      </c>
      <c r="DV158" t="n">
        <v>6</v>
      </c>
      <c r="DW158" t="n">
        <v>20</v>
      </c>
      <c r="DX158" t="n">
        <v>12</v>
      </c>
      <c r="DY158" t="n">
        <v>3</v>
      </c>
      <c r="DZ158" t="n">
        <v>29</v>
      </c>
      <c r="EA158" t="n">
        <v>3</v>
      </c>
      <c r="EP158" t="n">
        <v>5</v>
      </c>
      <c r="EQ158" t="n">
        <v>566</v>
      </c>
      <c r="ER158" t="n">
        <v>3801</v>
      </c>
      <c r="ES158" t="n">
        <v>407</v>
      </c>
      <c r="ET158" t="n">
        <v>255</v>
      </c>
      <c r="EU158" t="n">
        <v>175</v>
      </c>
      <c r="EV158" t="n">
        <v>0</v>
      </c>
      <c r="EW158" t="n">
        <v>41</v>
      </c>
      <c r="EX158" t="n">
        <v>1529</v>
      </c>
      <c r="EY158" t="n">
        <v>3313</v>
      </c>
      <c r="EZ158" t="n">
        <v>1375</v>
      </c>
      <c r="FB158" t="n">
        <v>15</v>
      </c>
      <c r="FC158" t="n">
        <v>515</v>
      </c>
      <c r="FD158" t="n">
        <v>699</v>
      </c>
      <c r="FF158" t="n">
        <v>4</v>
      </c>
      <c r="FK158" t="n">
        <v>127</v>
      </c>
      <c r="FO158" t="n">
        <v>18</v>
      </c>
      <c r="FQ158" t="n">
        <v>13</v>
      </c>
      <c r="FR158" t="n">
        <v>4</v>
      </c>
      <c r="FY158" t="n">
        <v>0</v>
      </c>
      <c r="GH158" t="n">
        <v>1</v>
      </c>
      <c r="GJ158" t="n">
        <v>4</v>
      </c>
      <c r="GN158" t="n">
        <v>4</v>
      </c>
      <c r="GS158" t="n">
        <v>8</v>
      </c>
      <c r="GT158" t="n">
        <v>2</v>
      </c>
      <c r="GU158" t="n">
        <v>5</v>
      </c>
      <c r="GW158" t="n">
        <v>2</v>
      </c>
      <c r="GX158" t="n">
        <v>12</v>
      </c>
      <c r="GZ158" t="n">
        <v>39</v>
      </c>
      <c r="HF158" t="n">
        <v>6</v>
      </c>
      <c r="HG158" t="n">
        <v>31</v>
      </c>
      <c r="HH158" t="n">
        <v>3</v>
      </c>
      <c r="HO158" t="n">
        <v>1</v>
      </c>
      <c r="HU158" t="n">
        <v>23</v>
      </c>
      <c r="HV158" t="n">
        <v>21</v>
      </c>
      <c r="HW158" t="n">
        <v>6</v>
      </c>
      <c r="IB158" t="n">
        <v>18</v>
      </c>
      <c r="IL158" t="n">
        <v>2</v>
      </c>
      <c r="JG158" t="n">
        <v>4</v>
      </c>
      <c r="JK158" t="n">
        <v>472</v>
      </c>
      <c r="JL158" t="n">
        <v>33</v>
      </c>
      <c r="JM158" t="n">
        <v>131</v>
      </c>
      <c r="JN158" t="n">
        <v>194</v>
      </c>
      <c r="JO158" t="n">
        <v>400</v>
      </c>
      <c r="JP158" t="n">
        <v>42</v>
      </c>
      <c r="JQ158" t="n">
        <v>705</v>
      </c>
      <c r="JR158" t="n">
        <v>37</v>
      </c>
      <c r="JS158" t="n">
        <v>346</v>
      </c>
      <c r="JT158" t="n">
        <v>159</v>
      </c>
      <c r="JV158" t="n">
        <v>1875</v>
      </c>
      <c r="JW158" t="n">
        <v>603</v>
      </c>
      <c r="JX158" t="n">
        <v>111</v>
      </c>
      <c r="JY158" t="n">
        <v>359</v>
      </c>
      <c r="JZ158" t="n">
        <v>200</v>
      </c>
      <c r="KA158" t="n">
        <v>54</v>
      </c>
      <c r="KB158" t="n">
        <v>7</v>
      </c>
      <c r="KC158" t="n">
        <v>433</v>
      </c>
      <c r="KD158" t="n">
        <v>20</v>
      </c>
      <c r="KF158" t="n">
        <v>9</v>
      </c>
      <c r="KH158" t="n">
        <v>211</v>
      </c>
      <c r="KI158" t="n">
        <v>21</v>
      </c>
      <c r="KK158" t="n">
        <v>19</v>
      </c>
      <c r="KL158" t="n">
        <v>2</v>
      </c>
      <c r="KM158" t="n">
        <v>813</v>
      </c>
      <c r="KN158" t="n">
        <v>22</v>
      </c>
      <c r="KO158" t="n">
        <v>3</v>
      </c>
      <c r="KP158" t="n">
        <v>3</v>
      </c>
      <c r="KQ158" t="n">
        <v>122</v>
      </c>
      <c r="KR158" t="n">
        <v>9</v>
      </c>
      <c r="KS158" t="n">
        <v>25</v>
      </c>
      <c r="KW158" t="n">
        <v>31</v>
      </c>
      <c r="KX158" t="n">
        <v>57</v>
      </c>
      <c r="KZ158" t="n">
        <v>10</v>
      </c>
      <c r="LA158" t="n">
        <v>77</v>
      </c>
      <c r="LN158" t="n">
        <v>222</v>
      </c>
      <c r="LO158" t="n">
        <v>18</v>
      </c>
      <c r="LT158" t="n">
        <v>11</v>
      </c>
      <c r="LU158" t="n">
        <v>2</v>
      </c>
      <c r="LV158" t="n">
        <v>1</v>
      </c>
      <c r="LW158" t="n">
        <v>81</v>
      </c>
      <c r="LX158" t="n">
        <v>171</v>
      </c>
      <c r="LZ158" t="n">
        <v>384</v>
      </c>
      <c r="MA158" t="n">
        <v>171</v>
      </c>
      <c r="MB158" t="n">
        <v>38</v>
      </c>
      <c r="ME158" t="n">
        <v>111</v>
      </c>
      <c r="MF158" t="n">
        <v>155</v>
      </c>
      <c r="MG158" t="n">
        <v>254</v>
      </c>
      <c r="MH158" t="n">
        <v>3172</v>
      </c>
      <c r="MI158" t="n">
        <v>19</v>
      </c>
      <c r="MJ158" t="n">
        <v>4</v>
      </c>
      <c r="MK158" t="n">
        <v>185</v>
      </c>
      <c r="ML158" t="n">
        <v>25</v>
      </c>
      <c r="MM158" t="n">
        <v>159</v>
      </c>
      <c r="MN158" t="n">
        <v>76</v>
      </c>
      <c r="MO158" t="n">
        <v>142</v>
      </c>
      <c r="MQ158" t="n">
        <v>243</v>
      </c>
      <c r="MR158" t="n">
        <v>26</v>
      </c>
      <c r="MS158" t="n">
        <v>18</v>
      </c>
      <c r="MV158" t="n">
        <v>102</v>
      </c>
      <c r="MW158" t="n">
        <v>21</v>
      </c>
      <c r="MX158" t="n">
        <v>32</v>
      </c>
      <c r="MY158" t="n">
        <v>42</v>
      </c>
      <c r="MZ158" t="n">
        <v>955</v>
      </c>
      <c r="NA158" t="n">
        <v>36</v>
      </c>
      <c r="NB158" t="n">
        <v>7</v>
      </c>
      <c r="NC158" t="n">
        <v>444</v>
      </c>
      <c r="ND158" t="n">
        <v>50</v>
      </c>
      <c r="NE158" t="n">
        <v>201</v>
      </c>
      <c r="NK158" t="n">
        <v>4</v>
      </c>
      <c r="NL158" t="n">
        <v>12</v>
      </c>
      <c r="NM158" t="n">
        <v>18</v>
      </c>
      <c r="NN158" t="n">
        <v>10</v>
      </c>
      <c r="NO158" t="n">
        <v>54</v>
      </c>
      <c r="NP158" t="n">
        <v>61</v>
      </c>
      <c r="NQ158" t="n">
        <v>7</v>
      </c>
      <c r="NR158" t="n">
        <v>3127</v>
      </c>
      <c r="NS158" t="n">
        <v>0</v>
      </c>
      <c r="NT158" t="n">
        <v>69</v>
      </c>
      <c r="NV158" t="n">
        <v>8</v>
      </c>
      <c r="NX158" t="n">
        <v>33</v>
      </c>
      <c r="NY158" t="n">
        <v>151</v>
      </c>
      <c r="NZ158" t="n">
        <v>8</v>
      </c>
      <c r="OA158" t="n">
        <v>107</v>
      </c>
      <c r="OB158" t="n">
        <v>54</v>
      </c>
      <c r="OD158" t="n">
        <v>4426</v>
      </c>
      <c r="OE158" t="n">
        <v>75</v>
      </c>
      <c r="OI158" t="n">
        <v>478</v>
      </c>
      <c r="OJ158" t="n">
        <v>24</v>
      </c>
      <c r="OK158" t="n">
        <v>825</v>
      </c>
      <c r="OL158" t="n">
        <v>30</v>
      </c>
      <c r="ON158" t="n">
        <v>23</v>
      </c>
      <c r="OO158" t="n">
        <v>42283</v>
      </c>
      <c r="OP158" t="n">
        <v>8277</v>
      </c>
      <c r="OU158" t="n">
        <v>364</v>
      </c>
      <c r="OV158" t="n">
        <v>4387</v>
      </c>
      <c r="PI158" t="n">
        <v>55311</v>
      </c>
      <c r="PM158">
        <f>IFERROR(VLOOKUP($A158&amp;"",Key!$A:$C,3,FALSE),"")</f>
        <v/>
      </c>
    </row>
    <row r="159">
      <c r="A159" t="n">
        <v>336350</v>
      </c>
      <c r="B159" t="inlineStr">
        <is>
          <t>Motor vehicle transmission and power train parts manufacturing</t>
        </is>
      </c>
      <c r="M159" t="n">
        <v>0</v>
      </c>
      <c r="N159" t="n">
        <v>48</v>
      </c>
      <c r="O159" t="n">
        <v>3</v>
      </c>
      <c r="P159" t="n">
        <v>251</v>
      </c>
      <c r="Q159" t="n">
        <v>116</v>
      </c>
      <c r="R159" t="n">
        <v>7</v>
      </c>
      <c r="S159" t="n">
        <v>39</v>
      </c>
      <c r="T159" t="n">
        <v>79</v>
      </c>
      <c r="U159" t="n">
        <v>99</v>
      </c>
      <c r="V159" t="n">
        <v>32</v>
      </c>
      <c r="W159" t="n">
        <v>80</v>
      </c>
      <c r="X159" t="n">
        <v>1</v>
      </c>
      <c r="Z159" t="n">
        <v>0</v>
      </c>
      <c r="AC159" t="n">
        <v>232</v>
      </c>
      <c r="AD159" t="n">
        <v>64</v>
      </c>
      <c r="AM159" t="n">
        <v>32</v>
      </c>
      <c r="AN159" t="n">
        <v>12</v>
      </c>
      <c r="AO159" t="n">
        <v>11</v>
      </c>
      <c r="AP159" t="n">
        <v>10</v>
      </c>
      <c r="AQ159" t="n">
        <v>0</v>
      </c>
      <c r="AR159" t="n">
        <v>2</v>
      </c>
      <c r="AS159" t="n">
        <v>6</v>
      </c>
      <c r="AT159" t="n">
        <v>46</v>
      </c>
      <c r="AU159" t="n">
        <v>5</v>
      </c>
      <c r="AV159" t="n">
        <v>12</v>
      </c>
      <c r="AW159" t="n">
        <v>5</v>
      </c>
      <c r="AZ159" t="n">
        <v>6</v>
      </c>
      <c r="BA159" t="n">
        <v>1</v>
      </c>
      <c r="BB159" t="n">
        <v>1</v>
      </c>
      <c r="BC159" t="n">
        <v>17</v>
      </c>
      <c r="BD159" t="n">
        <v>3</v>
      </c>
      <c r="BE159" t="n">
        <v>2</v>
      </c>
      <c r="BF159" t="n">
        <v>0</v>
      </c>
      <c r="BG159" t="n">
        <v>5</v>
      </c>
      <c r="BI159" t="n">
        <v>1</v>
      </c>
      <c r="BJ159" t="n">
        <v>1</v>
      </c>
      <c r="BK159" t="n">
        <v>2</v>
      </c>
      <c r="BM159" t="n">
        <v>5</v>
      </c>
      <c r="BO159" t="n">
        <v>1</v>
      </c>
      <c r="BP159" t="n">
        <v>1</v>
      </c>
      <c r="BQ159" t="n">
        <v>21</v>
      </c>
      <c r="BR159" t="n">
        <v>16</v>
      </c>
      <c r="BS159" t="n">
        <v>4</v>
      </c>
      <c r="BT159" t="n">
        <v>3</v>
      </c>
      <c r="BV159" t="n">
        <v>3</v>
      </c>
      <c r="BX159" t="n">
        <v>6</v>
      </c>
      <c r="BY159" t="n">
        <v>2</v>
      </c>
      <c r="BZ159" t="n">
        <v>13</v>
      </c>
      <c r="CB159" t="n">
        <v>4</v>
      </c>
      <c r="CC159" t="n">
        <v>3</v>
      </c>
      <c r="CF159" t="n">
        <v>1</v>
      </c>
      <c r="CG159" t="n">
        <v>375</v>
      </c>
      <c r="CH159" t="n">
        <v>421</v>
      </c>
      <c r="CI159" t="n">
        <v>1360</v>
      </c>
      <c r="CJ159" t="n">
        <v>13</v>
      </c>
      <c r="CK159" t="n">
        <v>2</v>
      </c>
      <c r="CL159" t="n">
        <v>9</v>
      </c>
      <c r="CO159" t="n">
        <v>1</v>
      </c>
      <c r="CQ159" t="n">
        <v>3</v>
      </c>
      <c r="CS159" t="n">
        <v>1</v>
      </c>
      <c r="CT159" t="n">
        <v>4</v>
      </c>
      <c r="CU159" t="n">
        <v>2</v>
      </c>
      <c r="CV159" t="n">
        <v>4</v>
      </c>
      <c r="CX159" t="n">
        <v>1</v>
      </c>
      <c r="CZ159" t="n">
        <v>2</v>
      </c>
      <c r="DA159" t="n">
        <v>2</v>
      </c>
      <c r="DB159" t="n">
        <v>6</v>
      </c>
      <c r="DC159" t="n">
        <v>6</v>
      </c>
      <c r="DD159" t="n">
        <v>0</v>
      </c>
      <c r="DG159" t="n">
        <v>7</v>
      </c>
      <c r="DM159" t="n">
        <v>2</v>
      </c>
      <c r="DO159" t="n">
        <v>1</v>
      </c>
      <c r="DP159" t="n">
        <v>1</v>
      </c>
      <c r="DR159" t="n">
        <v>3</v>
      </c>
      <c r="DS159" t="n">
        <v>2</v>
      </c>
      <c r="DU159" t="n">
        <v>1</v>
      </c>
      <c r="DX159" t="n">
        <v>3</v>
      </c>
      <c r="EH159" t="n">
        <v>0</v>
      </c>
      <c r="EJ159" t="n">
        <v>1</v>
      </c>
      <c r="EN159" t="n">
        <v>5</v>
      </c>
      <c r="EQ159" t="n">
        <v>1881</v>
      </c>
      <c r="ER159" t="n">
        <v>17397</v>
      </c>
      <c r="ES159" t="n">
        <v>3085</v>
      </c>
      <c r="ET159" t="n">
        <v>191</v>
      </c>
      <c r="EU159" t="n">
        <v>9</v>
      </c>
      <c r="EV159" t="n">
        <v>0</v>
      </c>
      <c r="EW159" t="n">
        <v>2</v>
      </c>
      <c r="EX159" t="n">
        <v>3500</v>
      </c>
      <c r="EY159" t="n">
        <v>9</v>
      </c>
      <c r="EZ159" t="n">
        <v>37</v>
      </c>
      <c r="FA159" t="n">
        <v>5</v>
      </c>
      <c r="FB159" t="n">
        <v>2</v>
      </c>
      <c r="FC159" t="n">
        <v>9</v>
      </c>
      <c r="FD159" t="n">
        <v>1047</v>
      </c>
      <c r="FE159" t="n">
        <v>3</v>
      </c>
      <c r="FG159" t="n">
        <v>1</v>
      </c>
      <c r="FJ159" t="n">
        <v>2</v>
      </c>
      <c r="FK159" t="n">
        <v>6</v>
      </c>
      <c r="FL159" t="n">
        <v>4</v>
      </c>
      <c r="FO159" t="n">
        <v>1</v>
      </c>
      <c r="FP159" t="n">
        <v>6</v>
      </c>
      <c r="FQ159" t="n">
        <v>16</v>
      </c>
      <c r="FR159" t="n">
        <v>5</v>
      </c>
      <c r="FS159" t="n">
        <v>3</v>
      </c>
      <c r="FU159" t="n">
        <v>4</v>
      </c>
      <c r="FV159" t="n">
        <v>14</v>
      </c>
      <c r="FW159" t="n">
        <v>3</v>
      </c>
      <c r="FX159" t="n">
        <v>6</v>
      </c>
      <c r="FY159" t="n">
        <v>6</v>
      </c>
      <c r="GA159" t="n">
        <v>2</v>
      </c>
      <c r="GD159" t="n">
        <v>3</v>
      </c>
      <c r="GE159" t="n">
        <v>1</v>
      </c>
      <c r="GG159" t="n">
        <v>10</v>
      </c>
      <c r="GH159" t="n">
        <v>3</v>
      </c>
      <c r="GI159" t="n">
        <v>2</v>
      </c>
      <c r="GJ159" t="n">
        <v>6</v>
      </c>
      <c r="GL159" t="n">
        <v>2</v>
      </c>
      <c r="GM159" t="n">
        <v>1</v>
      </c>
      <c r="GN159" t="n">
        <v>8</v>
      </c>
      <c r="GO159" t="n">
        <v>3</v>
      </c>
      <c r="GP159" t="n">
        <v>1</v>
      </c>
      <c r="GQ159" t="n">
        <v>3</v>
      </c>
      <c r="GR159" t="n">
        <v>4</v>
      </c>
      <c r="GS159" t="n">
        <v>54</v>
      </c>
      <c r="GT159" t="n">
        <v>80</v>
      </c>
      <c r="GU159" t="n">
        <v>53</v>
      </c>
      <c r="GV159" t="n">
        <v>19</v>
      </c>
      <c r="GW159" t="n">
        <v>6</v>
      </c>
      <c r="GX159" t="n">
        <v>4</v>
      </c>
      <c r="GY159" t="n">
        <v>0</v>
      </c>
      <c r="GZ159" t="n">
        <v>131</v>
      </c>
      <c r="HA159" t="n">
        <v>3</v>
      </c>
      <c r="HB159" t="n">
        <v>34</v>
      </c>
      <c r="HD159" t="n">
        <v>45</v>
      </c>
      <c r="HE159" t="n">
        <v>20</v>
      </c>
      <c r="HF159" t="n">
        <v>5</v>
      </c>
      <c r="HG159" t="n">
        <v>218</v>
      </c>
      <c r="HH159" t="n">
        <v>17</v>
      </c>
      <c r="HI159" t="n">
        <v>3</v>
      </c>
      <c r="HJ159" t="n">
        <v>18</v>
      </c>
      <c r="HK159" t="n">
        <v>32</v>
      </c>
      <c r="HL159" t="n">
        <v>1</v>
      </c>
      <c r="HO159" t="n">
        <v>2</v>
      </c>
      <c r="HT159" t="n">
        <v>2</v>
      </c>
      <c r="HU159" t="n">
        <v>15</v>
      </c>
      <c r="HV159" t="n">
        <v>14</v>
      </c>
      <c r="HW159" t="n">
        <v>23</v>
      </c>
      <c r="HX159" t="n">
        <v>7</v>
      </c>
      <c r="HY159" t="n">
        <v>1</v>
      </c>
      <c r="HZ159" t="n">
        <v>2</v>
      </c>
      <c r="IA159" t="n">
        <v>1</v>
      </c>
      <c r="IB159" t="n">
        <v>24</v>
      </c>
      <c r="IC159" t="n">
        <v>1</v>
      </c>
      <c r="ID159" t="n">
        <v>44</v>
      </c>
      <c r="IF159" t="n">
        <v>3</v>
      </c>
      <c r="IG159" t="n">
        <v>1</v>
      </c>
      <c r="IH159" t="n">
        <v>1</v>
      </c>
      <c r="IK159" t="n">
        <v>1</v>
      </c>
      <c r="IL159" t="n">
        <v>4</v>
      </c>
      <c r="IM159" t="n">
        <v>1</v>
      </c>
      <c r="IO159" t="n">
        <v>5</v>
      </c>
      <c r="IP159" t="n">
        <v>3</v>
      </c>
      <c r="IQ159" t="n">
        <v>2</v>
      </c>
      <c r="IR159" t="n">
        <v>16</v>
      </c>
      <c r="IS159" t="n">
        <v>0</v>
      </c>
      <c r="IT159" t="n">
        <v>1</v>
      </c>
      <c r="IU159" t="n">
        <v>4</v>
      </c>
      <c r="IV159" t="n">
        <v>6</v>
      </c>
      <c r="IW159" t="n">
        <v>8</v>
      </c>
      <c r="IX159" t="n">
        <v>2</v>
      </c>
      <c r="IZ159" t="n">
        <v>3</v>
      </c>
      <c r="JA159" t="n">
        <v>3</v>
      </c>
      <c r="JD159" t="n">
        <v>2</v>
      </c>
      <c r="JG159" t="n">
        <v>9</v>
      </c>
      <c r="JH159" t="n">
        <v>3</v>
      </c>
      <c r="JJ159" t="n">
        <v>2</v>
      </c>
      <c r="JL159" t="n">
        <v>67</v>
      </c>
      <c r="JM159" t="n">
        <v>177</v>
      </c>
      <c r="JN159" t="n">
        <v>362</v>
      </c>
      <c r="JO159" t="n">
        <v>856</v>
      </c>
      <c r="JP159" t="n">
        <v>49</v>
      </c>
      <c r="JQ159" t="n">
        <v>967</v>
      </c>
      <c r="JR159" t="n">
        <v>74</v>
      </c>
      <c r="JS159" t="n">
        <v>519</v>
      </c>
      <c r="JT159" t="n">
        <v>207</v>
      </c>
      <c r="JV159" t="n">
        <v>529</v>
      </c>
      <c r="JW159" t="n">
        <v>884</v>
      </c>
      <c r="JX159" t="n">
        <v>77</v>
      </c>
      <c r="JY159" t="n">
        <v>528</v>
      </c>
      <c r="JZ159" t="n">
        <v>322</v>
      </c>
      <c r="KA159" t="n">
        <v>108</v>
      </c>
      <c r="KB159" t="n">
        <v>52</v>
      </c>
      <c r="KC159" t="n">
        <v>676</v>
      </c>
      <c r="KD159" t="n">
        <v>238</v>
      </c>
      <c r="KF159" t="n">
        <v>11</v>
      </c>
      <c r="KH159" t="n">
        <v>371</v>
      </c>
      <c r="KI159" t="n">
        <v>493</v>
      </c>
      <c r="KJ159" t="n">
        <v>1</v>
      </c>
      <c r="KK159" t="n">
        <v>9</v>
      </c>
      <c r="KL159" t="n">
        <v>2</v>
      </c>
      <c r="KM159" t="n">
        <v>215</v>
      </c>
      <c r="KN159" t="n">
        <v>38</v>
      </c>
      <c r="KO159" t="n">
        <v>0</v>
      </c>
      <c r="KP159" t="n">
        <v>8</v>
      </c>
      <c r="KQ159" t="n">
        <v>77</v>
      </c>
      <c r="KR159" t="n">
        <v>13</v>
      </c>
      <c r="KS159" t="n">
        <v>32</v>
      </c>
      <c r="KU159" t="n">
        <v>13</v>
      </c>
      <c r="KW159" t="n">
        <v>166</v>
      </c>
      <c r="KX159" t="n">
        <v>51</v>
      </c>
      <c r="KY159" t="n">
        <v>8</v>
      </c>
      <c r="KZ159" t="n">
        <v>3</v>
      </c>
      <c r="LA159" t="n">
        <v>105</v>
      </c>
      <c r="LB159" t="n">
        <v>0</v>
      </c>
      <c r="LN159" t="n">
        <v>578</v>
      </c>
      <c r="LO159" t="n">
        <v>28</v>
      </c>
      <c r="LT159" t="n">
        <v>27</v>
      </c>
      <c r="LU159" t="n">
        <v>28</v>
      </c>
      <c r="LV159" t="n">
        <v>2</v>
      </c>
      <c r="LW159" t="n">
        <v>49</v>
      </c>
      <c r="LX159" t="n">
        <v>132</v>
      </c>
      <c r="LZ159" t="n">
        <v>582</v>
      </c>
      <c r="MA159" t="n">
        <v>208</v>
      </c>
      <c r="MB159" t="n">
        <v>33</v>
      </c>
      <c r="MD159" t="n">
        <v>2</v>
      </c>
      <c r="ME159" t="n">
        <v>453</v>
      </c>
      <c r="MF159" t="n">
        <v>157</v>
      </c>
      <c r="MG159" t="n">
        <v>164</v>
      </c>
      <c r="MH159" t="n">
        <v>3648</v>
      </c>
      <c r="MI159" t="n">
        <v>34</v>
      </c>
      <c r="MJ159" t="n">
        <v>11</v>
      </c>
      <c r="MK159" t="n">
        <v>266</v>
      </c>
      <c r="ML159" t="n">
        <v>18</v>
      </c>
      <c r="MM159" t="n">
        <v>134</v>
      </c>
      <c r="MN159" t="n">
        <v>121</v>
      </c>
      <c r="MO159" t="n">
        <v>326</v>
      </c>
      <c r="MP159" t="n">
        <v>4</v>
      </c>
      <c r="MQ159" t="n">
        <v>132</v>
      </c>
      <c r="MR159" t="n">
        <v>46</v>
      </c>
      <c r="MS159" t="n">
        <v>26</v>
      </c>
      <c r="MT159" t="n">
        <v>5</v>
      </c>
      <c r="MU159" t="n">
        <v>4</v>
      </c>
      <c r="MW159" t="n">
        <v>35</v>
      </c>
      <c r="MX159" t="n">
        <v>39</v>
      </c>
      <c r="MY159" t="n">
        <v>73</v>
      </c>
      <c r="MZ159" t="n">
        <v>343</v>
      </c>
      <c r="NA159" t="n">
        <v>24</v>
      </c>
      <c r="NB159" t="n">
        <v>7</v>
      </c>
      <c r="NC159" t="n">
        <v>227</v>
      </c>
      <c r="ND159" t="n">
        <v>7</v>
      </c>
      <c r="NE159" t="n">
        <v>1459</v>
      </c>
      <c r="NF159" t="n">
        <v>2</v>
      </c>
      <c r="NG159" t="n">
        <v>1</v>
      </c>
      <c r="NI159" t="n">
        <v>7</v>
      </c>
      <c r="NJ159" t="n">
        <v>7</v>
      </c>
      <c r="NK159" t="n">
        <v>4</v>
      </c>
      <c r="NL159" t="n">
        <v>26</v>
      </c>
      <c r="NM159" t="n">
        <v>20</v>
      </c>
      <c r="NN159" t="n">
        <v>114</v>
      </c>
      <c r="NO159" t="n">
        <v>19</v>
      </c>
      <c r="NP159" t="n">
        <v>30</v>
      </c>
      <c r="NR159" t="n">
        <v>1637</v>
      </c>
      <c r="NS159" t="n">
        <v>0</v>
      </c>
      <c r="NV159" t="n">
        <v>5</v>
      </c>
      <c r="NX159" t="n">
        <v>35</v>
      </c>
      <c r="NY159" t="n">
        <v>204</v>
      </c>
      <c r="NZ159" t="n">
        <v>4</v>
      </c>
      <c r="OA159" t="n">
        <v>192</v>
      </c>
      <c r="OB159" t="n">
        <v>50</v>
      </c>
      <c r="OD159" t="n">
        <v>1751</v>
      </c>
      <c r="OE159" t="n">
        <v>8</v>
      </c>
      <c r="OF159" t="n">
        <v>2370</v>
      </c>
      <c r="OH159" t="n">
        <v>77</v>
      </c>
      <c r="OI159" t="n">
        <v>1252</v>
      </c>
      <c r="OJ159" t="n">
        <v>184</v>
      </c>
      <c r="OK159" t="n">
        <v>2613</v>
      </c>
      <c r="OL159" t="n">
        <v>434</v>
      </c>
      <c r="ON159" t="n">
        <v>107</v>
      </c>
      <c r="OO159" t="n">
        <v>60701</v>
      </c>
      <c r="OP159" t="n">
        <v>6923</v>
      </c>
      <c r="OU159" t="n">
        <v>229</v>
      </c>
      <c r="OV159" t="n">
        <v>6109</v>
      </c>
      <c r="PI159" t="n">
        <v>73962</v>
      </c>
      <c r="PM159">
        <f>IFERROR(VLOOKUP($A159&amp;"",Key!$A:$C,3,FALSE),"")</f>
        <v/>
      </c>
    </row>
    <row r="160">
      <c r="A160" t="n">
        <v>336360</v>
      </c>
      <c r="B160" t="inlineStr">
        <is>
          <t>Motor vehicle seating and interior trim manufacturing</t>
        </is>
      </c>
      <c r="C160" t="n">
        <v>2</v>
      </c>
      <c r="D160" t="n">
        <v>8</v>
      </c>
      <c r="E160" t="n">
        <v>3</v>
      </c>
      <c r="F160" t="n">
        <v>2</v>
      </c>
      <c r="G160" t="n">
        <v>3</v>
      </c>
      <c r="H160" t="n">
        <v>8</v>
      </c>
      <c r="I160" t="n">
        <v>15</v>
      </c>
      <c r="K160" t="n">
        <v>2</v>
      </c>
      <c r="L160" t="n">
        <v>1</v>
      </c>
      <c r="O160" t="n">
        <v>0</v>
      </c>
      <c r="CI160" t="n">
        <v>657</v>
      </c>
      <c r="EQ160" t="n">
        <v>4631</v>
      </c>
      <c r="ER160" t="n">
        <v>22751</v>
      </c>
      <c r="ES160" t="n">
        <v>3579</v>
      </c>
      <c r="ET160" t="n">
        <v>459</v>
      </c>
      <c r="EU160" t="n">
        <v>15</v>
      </c>
      <c r="FA160" t="n">
        <v>9091</v>
      </c>
      <c r="FE160" t="n">
        <v>599</v>
      </c>
      <c r="FG160" t="n">
        <v>6</v>
      </c>
      <c r="FW160" t="n">
        <v>0</v>
      </c>
      <c r="IB160" t="n">
        <v>3</v>
      </c>
      <c r="IL160" t="n">
        <v>1</v>
      </c>
      <c r="JV160" t="n">
        <v>157</v>
      </c>
      <c r="KB160" t="n">
        <v>15</v>
      </c>
      <c r="KF160" t="n">
        <v>44</v>
      </c>
      <c r="KH160" t="n">
        <v>29</v>
      </c>
      <c r="KI160" t="n">
        <v>36</v>
      </c>
      <c r="KK160" t="n">
        <v>148</v>
      </c>
      <c r="KM160" t="n">
        <v>266</v>
      </c>
      <c r="LO160" t="n">
        <v>133</v>
      </c>
      <c r="LZ160" t="n">
        <v>0</v>
      </c>
      <c r="MY160" t="n">
        <v>8</v>
      </c>
      <c r="NM160" t="n">
        <v>0</v>
      </c>
      <c r="NR160" t="n">
        <v>65</v>
      </c>
      <c r="NS160" t="n">
        <v>0</v>
      </c>
      <c r="OD160" t="n">
        <v>1</v>
      </c>
      <c r="OE160" t="n">
        <v>0</v>
      </c>
      <c r="OJ160" t="n">
        <v>0</v>
      </c>
      <c r="OK160" t="n">
        <v>19</v>
      </c>
      <c r="ON160" t="n">
        <v>0</v>
      </c>
      <c r="OO160" t="n">
        <v>42758</v>
      </c>
      <c r="OP160" t="n">
        <v>1</v>
      </c>
      <c r="OQ160" t="n">
        <v>672</v>
      </c>
      <c r="OU160" t="n">
        <v>-187</v>
      </c>
      <c r="OV160" t="n">
        <v>2202</v>
      </c>
      <c r="PB160" t="n">
        <v>9</v>
      </c>
      <c r="PF160" t="n">
        <v>13</v>
      </c>
      <c r="PI160" t="n">
        <v>45467</v>
      </c>
      <c r="PM160">
        <f>IFERROR(VLOOKUP($A160&amp;"",Key!$A:$C,3,FALSE),"")</f>
        <v/>
      </c>
    </row>
    <row r="161">
      <c r="A161" t="n">
        <v>336370</v>
      </c>
      <c r="B161" t="inlineStr">
        <is>
          <t>Motor vehicle metal stamping</t>
        </is>
      </c>
      <c r="BO161" t="n">
        <v>301</v>
      </c>
      <c r="EQ161" t="n">
        <v>3230</v>
      </c>
      <c r="ER161" t="n">
        <v>30385</v>
      </c>
      <c r="ES161" t="n">
        <v>229</v>
      </c>
      <c r="ET161" t="n">
        <v>445</v>
      </c>
      <c r="EU161" t="n">
        <v>2</v>
      </c>
      <c r="EV161" t="n">
        <v>0</v>
      </c>
      <c r="EX161" t="n">
        <v>819</v>
      </c>
      <c r="EY161" t="n">
        <v>123</v>
      </c>
      <c r="EZ161" t="n">
        <v>201</v>
      </c>
      <c r="FA161" t="n">
        <v>6</v>
      </c>
      <c r="FB161" t="n">
        <v>661</v>
      </c>
      <c r="FC161" t="n">
        <v>2977</v>
      </c>
      <c r="FD161" t="n">
        <v>205</v>
      </c>
      <c r="JV161" t="n">
        <v>40</v>
      </c>
      <c r="LW161" t="n">
        <v>69</v>
      </c>
      <c r="LZ161" t="n">
        <v>288</v>
      </c>
      <c r="MF161" t="n">
        <v>5</v>
      </c>
      <c r="NR161" t="n">
        <v>130</v>
      </c>
      <c r="NS161" t="n">
        <v>0</v>
      </c>
      <c r="OL161" t="n">
        <v>60</v>
      </c>
      <c r="OO161" t="n">
        <v>40176</v>
      </c>
      <c r="OU161" t="n">
        <v>65</v>
      </c>
      <c r="OV161" t="n">
        <v>1782</v>
      </c>
      <c r="PI161" t="n">
        <v>42023</v>
      </c>
      <c r="PM161">
        <f>IFERROR(VLOOKUP($A161&amp;"",Key!$A:$C,3,FALSE),"")</f>
        <v/>
      </c>
    </row>
    <row r="162">
      <c r="A162" t="n">
        <v>336390</v>
      </c>
      <c r="B162" t="inlineStr">
        <is>
          <t>Other motor vehicle parts manufacturing</t>
        </is>
      </c>
      <c r="C162" t="n">
        <v>35</v>
      </c>
      <c r="D162" t="n">
        <v>131</v>
      </c>
      <c r="E162" t="n">
        <v>19</v>
      </c>
      <c r="F162" t="n">
        <v>19</v>
      </c>
      <c r="G162" t="n">
        <v>20</v>
      </c>
      <c r="H162" t="n">
        <v>51</v>
      </c>
      <c r="I162" t="n">
        <v>118</v>
      </c>
      <c r="K162" t="n">
        <v>4</v>
      </c>
      <c r="L162" t="n">
        <v>23</v>
      </c>
      <c r="M162" t="n">
        <v>0</v>
      </c>
      <c r="N162" t="n">
        <v>46</v>
      </c>
      <c r="O162" t="n">
        <v>16</v>
      </c>
      <c r="P162" t="n">
        <v>129</v>
      </c>
      <c r="Q162" t="n">
        <v>96</v>
      </c>
      <c r="R162" t="n">
        <v>9</v>
      </c>
      <c r="S162" t="n">
        <v>80</v>
      </c>
      <c r="T162" t="n">
        <v>36</v>
      </c>
      <c r="U162" t="n">
        <v>107</v>
      </c>
      <c r="V162" t="n">
        <v>83</v>
      </c>
      <c r="W162" t="n">
        <v>155</v>
      </c>
      <c r="X162" t="n">
        <v>45</v>
      </c>
      <c r="Y162" t="n">
        <v>4</v>
      </c>
      <c r="Z162" t="n">
        <v>1</v>
      </c>
      <c r="AB162" t="n">
        <v>0</v>
      </c>
      <c r="AC162" t="n">
        <v>249</v>
      </c>
      <c r="AD162" t="n">
        <v>52</v>
      </c>
      <c r="AE162" t="n">
        <v>0</v>
      </c>
      <c r="AF162" t="n">
        <v>1</v>
      </c>
      <c r="AG162" t="n">
        <v>6</v>
      </c>
      <c r="AH162" t="n">
        <v>1</v>
      </c>
      <c r="AJ162" t="n">
        <v>0</v>
      </c>
      <c r="AK162" t="n">
        <v>1</v>
      </c>
      <c r="AM162" t="n">
        <v>715</v>
      </c>
      <c r="AN162" t="n">
        <v>281</v>
      </c>
      <c r="AO162" t="n">
        <v>191</v>
      </c>
      <c r="AP162" t="n">
        <v>814</v>
      </c>
      <c r="AQ162" t="n">
        <v>1</v>
      </c>
      <c r="AR162" t="n">
        <v>35</v>
      </c>
      <c r="AS162" t="n">
        <v>20</v>
      </c>
      <c r="AT162" t="n">
        <v>266</v>
      </c>
      <c r="AU162" t="n">
        <v>17</v>
      </c>
      <c r="AV162" t="n">
        <v>48</v>
      </c>
      <c r="AW162" t="n">
        <v>6</v>
      </c>
      <c r="AZ162" t="n">
        <v>37</v>
      </c>
      <c r="BA162" t="n">
        <v>24</v>
      </c>
      <c r="BB162" t="n">
        <v>7</v>
      </c>
      <c r="BC162" t="n">
        <v>285</v>
      </c>
      <c r="BD162" t="n">
        <v>119</v>
      </c>
      <c r="BE162" t="n">
        <v>1</v>
      </c>
      <c r="BF162" t="n">
        <v>4</v>
      </c>
      <c r="BG162" t="n">
        <v>94</v>
      </c>
      <c r="BI162" t="n">
        <v>53</v>
      </c>
      <c r="BJ162" t="n">
        <v>14</v>
      </c>
      <c r="BK162" t="n">
        <v>81</v>
      </c>
      <c r="BL162" t="n">
        <v>34</v>
      </c>
      <c r="BO162" t="n">
        <v>54</v>
      </c>
      <c r="BP162" t="n">
        <v>28</v>
      </c>
      <c r="BQ162" t="n">
        <v>336</v>
      </c>
      <c r="BR162" t="n">
        <v>208</v>
      </c>
      <c r="BT162" t="n">
        <v>58</v>
      </c>
      <c r="BU162" t="n">
        <v>34</v>
      </c>
      <c r="BV162" t="n">
        <v>132</v>
      </c>
      <c r="BX162" t="n">
        <v>140</v>
      </c>
      <c r="BY162" t="n">
        <v>33</v>
      </c>
      <c r="BZ162" t="n">
        <v>236</v>
      </c>
      <c r="CB162" t="n">
        <v>159</v>
      </c>
      <c r="CC162" t="n">
        <v>47</v>
      </c>
      <c r="CF162" t="n">
        <v>57</v>
      </c>
      <c r="CG162" t="n">
        <v>432</v>
      </c>
      <c r="CH162" t="n">
        <v>45</v>
      </c>
      <c r="CI162" t="n">
        <v>1553</v>
      </c>
      <c r="CJ162" t="n">
        <v>233</v>
      </c>
      <c r="CL162" t="n">
        <v>258</v>
      </c>
      <c r="CO162" t="n">
        <v>255</v>
      </c>
      <c r="CQ162" t="n">
        <v>93</v>
      </c>
      <c r="CR162" t="n">
        <v>329</v>
      </c>
      <c r="CU162" t="n">
        <v>31</v>
      </c>
      <c r="CV162" t="n">
        <v>17</v>
      </c>
      <c r="CW162" t="n">
        <v>133</v>
      </c>
      <c r="CX162" t="n">
        <v>1</v>
      </c>
      <c r="CZ162" t="n">
        <v>383</v>
      </c>
      <c r="DA162" t="n">
        <v>78</v>
      </c>
      <c r="DB162" t="n">
        <v>191</v>
      </c>
      <c r="DC162" t="n">
        <v>1092</v>
      </c>
      <c r="DD162" t="n">
        <v>9</v>
      </c>
      <c r="DG162" t="n">
        <v>185</v>
      </c>
      <c r="DI162" t="n">
        <v>6</v>
      </c>
      <c r="DJ162" t="n">
        <v>5</v>
      </c>
      <c r="DK162" t="n">
        <v>8</v>
      </c>
      <c r="DL162" t="n">
        <v>9</v>
      </c>
      <c r="DM162" t="n">
        <v>251</v>
      </c>
      <c r="DO162" t="n">
        <v>32</v>
      </c>
      <c r="DP162" t="n">
        <v>1</v>
      </c>
      <c r="DQ162" t="n">
        <v>44</v>
      </c>
      <c r="DR162" t="n">
        <v>101</v>
      </c>
      <c r="DS162" t="n">
        <v>156</v>
      </c>
      <c r="DU162" t="n">
        <v>24</v>
      </c>
      <c r="DW162" t="n">
        <v>64</v>
      </c>
      <c r="DX162" t="n">
        <v>65</v>
      </c>
      <c r="EA162" t="n">
        <v>5</v>
      </c>
      <c r="EB162" t="n">
        <v>0</v>
      </c>
      <c r="EH162" t="n">
        <v>25</v>
      </c>
      <c r="EJ162" t="n">
        <v>55</v>
      </c>
      <c r="EK162" t="n">
        <v>37</v>
      </c>
      <c r="EM162" t="n">
        <v>18</v>
      </c>
      <c r="EN162" t="n">
        <v>139</v>
      </c>
      <c r="EQ162" t="n">
        <v>1798</v>
      </c>
      <c r="ER162" t="n">
        <v>8121</v>
      </c>
      <c r="ES162" t="n">
        <v>1314</v>
      </c>
      <c r="ET162" t="n">
        <v>471</v>
      </c>
      <c r="EU162" t="n">
        <v>2112</v>
      </c>
      <c r="EV162" t="n">
        <v>29</v>
      </c>
      <c r="EW162" t="n">
        <v>3052</v>
      </c>
      <c r="EX162" t="n">
        <v>1370</v>
      </c>
      <c r="EY162" t="n">
        <v>561</v>
      </c>
      <c r="EZ162" t="n">
        <v>2528</v>
      </c>
      <c r="FA162" t="n">
        <v>201</v>
      </c>
      <c r="FB162" t="n">
        <v>303</v>
      </c>
      <c r="FC162" t="n">
        <v>11153</v>
      </c>
      <c r="FD162" t="n">
        <v>657</v>
      </c>
      <c r="FE162" t="n">
        <v>1214</v>
      </c>
      <c r="FG162" t="n">
        <v>56</v>
      </c>
      <c r="FJ162" t="n">
        <v>25</v>
      </c>
      <c r="FK162" t="n">
        <v>128</v>
      </c>
      <c r="FL162" t="n">
        <v>136</v>
      </c>
      <c r="FO162" t="n">
        <v>484</v>
      </c>
      <c r="FP162" t="n">
        <v>128</v>
      </c>
      <c r="FQ162" t="n">
        <v>115</v>
      </c>
      <c r="FR162" t="n">
        <v>4</v>
      </c>
      <c r="FS162" t="n">
        <v>61</v>
      </c>
      <c r="FT162" t="n">
        <v>45</v>
      </c>
      <c r="FU162" t="n">
        <v>87</v>
      </c>
      <c r="FV162" t="n">
        <v>57</v>
      </c>
      <c r="FW162" t="n">
        <v>56</v>
      </c>
      <c r="FX162" t="n">
        <v>341</v>
      </c>
      <c r="FY162" t="n">
        <v>178</v>
      </c>
      <c r="GA162" t="n">
        <v>7</v>
      </c>
      <c r="GC162" t="n">
        <v>4</v>
      </c>
      <c r="GD162" t="n">
        <v>115</v>
      </c>
      <c r="GE162" t="n">
        <v>13</v>
      </c>
      <c r="GG162" t="n">
        <v>284</v>
      </c>
      <c r="GH162" t="n">
        <v>100</v>
      </c>
      <c r="GJ162" t="n">
        <v>273</v>
      </c>
      <c r="GL162" t="n">
        <v>76</v>
      </c>
      <c r="GM162" t="n">
        <v>15</v>
      </c>
      <c r="GN162" t="n">
        <v>5</v>
      </c>
      <c r="GO162" t="n">
        <v>52</v>
      </c>
      <c r="GQ162" t="n">
        <v>99</v>
      </c>
      <c r="GR162" t="n">
        <v>184</v>
      </c>
      <c r="GS162" t="n">
        <v>572</v>
      </c>
      <c r="GT162" t="n">
        <v>649</v>
      </c>
      <c r="GU162" t="n">
        <v>29</v>
      </c>
      <c r="GV162" t="n">
        <v>11</v>
      </c>
      <c r="GW162" t="n">
        <v>199</v>
      </c>
      <c r="GX162" t="n">
        <v>134</v>
      </c>
      <c r="GY162" t="n">
        <v>0</v>
      </c>
      <c r="GZ162" t="n">
        <v>71</v>
      </c>
      <c r="HA162" t="n">
        <v>110</v>
      </c>
      <c r="HB162" t="n">
        <v>13</v>
      </c>
      <c r="HD162" t="n">
        <v>14</v>
      </c>
      <c r="HE162" t="n">
        <v>192</v>
      </c>
      <c r="HG162" t="n">
        <v>2461</v>
      </c>
      <c r="HH162" t="n">
        <v>111</v>
      </c>
      <c r="HI162" t="n">
        <v>2</v>
      </c>
      <c r="HJ162" t="n">
        <v>10</v>
      </c>
      <c r="HK162" t="n">
        <v>35</v>
      </c>
      <c r="HL162" t="n">
        <v>16</v>
      </c>
      <c r="HM162" t="n">
        <v>16</v>
      </c>
      <c r="HO162" t="n">
        <v>57</v>
      </c>
      <c r="HR162" t="n">
        <v>1</v>
      </c>
      <c r="HT162" t="n">
        <v>3</v>
      </c>
      <c r="HU162" t="n">
        <v>329</v>
      </c>
      <c r="HV162" t="n">
        <v>412</v>
      </c>
      <c r="HW162" t="n">
        <v>726</v>
      </c>
      <c r="HX162" t="n">
        <v>187</v>
      </c>
      <c r="IB162" t="n">
        <v>156</v>
      </c>
      <c r="IE162" t="n">
        <v>58</v>
      </c>
      <c r="IF162" t="n">
        <v>94</v>
      </c>
      <c r="IG162" t="n">
        <v>26</v>
      </c>
      <c r="IK162" t="n">
        <v>49</v>
      </c>
      <c r="IL162" t="n">
        <v>295</v>
      </c>
      <c r="IM162" t="n">
        <v>325</v>
      </c>
      <c r="IO162" t="n">
        <v>3</v>
      </c>
      <c r="IP162" t="n">
        <v>2</v>
      </c>
      <c r="IQ162" t="n">
        <v>11</v>
      </c>
      <c r="IR162" t="n">
        <v>12</v>
      </c>
      <c r="IS162" t="n">
        <v>5</v>
      </c>
      <c r="IT162" t="n">
        <v>17</v>
      </c>
      <c r="IU162" t="n">
        <v>197</v>
      </c>
      <c r="IV162" t="n">
        <v>233</v>
      </c>
      <c r="IW162" t="n">
        <v>490</v>
      </c>
      <c r="IX162" t="n">
        <v>128</v>
      </c>
      <c r="IZ162" t="n">
        <v>175</v>
      </c>
      <c r="JA162" t="n">
        <v>181</v>
      </c>
      <c r="JG162" t="n">
        <v>493</v>
      </c>
      <c r="JH162" t="n">
        <v>1</v>
      </c>
      <c r="JJ162" t="n">
        <v>115</v>
      </c>
      <c r="JK162" t="n">
        <v>42</v>
      </c>
      <c r="JL162" t="n">
        <v>47</v>
      </c>
      <c r="JM162" t="n">
        <v>136</v>
      </c>
      <c r="JN162" t="n">
        <v>264</v>
      </c>
      <c r="JO162" t="n">
        <v>752</v>
      </c>
      <c r="JP162" t="n">
        <v>20</v>
      </c>
      <c r="JQ162" t="n">
        <v>547</v>
      </c>
      <c r="JR162" t="n">
        <v>50</v>
      </c>
      <c r="JS162" t="n">
        <v>377</v>
      </c>
      <c r="JT162" t="n">
        <v>304</v>
      </c>
      <c r="JV162" t="n">
        <v>1201</v>
      </c>
      <c r="JW162" t="n">
        <v>1099</v>
      </c>
      <c r="JX162" t="n">
        <v>161</v>
      </c>
      <c r="JY162" t="n">
        <v>689</v>
      </c>
      <c r="JZ162" t="n">
        <v>490</v>
      </c>
      <c r="KA162" t="n">
        <v>161</v>
      </c>
      <c r="KB162" t="n">
        <v>36</v>
      </c>
      <c r="KC162" t="n">
        <v>993</v>
      </c>
      <c r="KD162" t="n">
        <v>175</v>
      </c>
      <c r="KF162" t="n">
        <v>16</v>
      </c>
      <c r="KH162" t="n">
        <v>2661</v>
      </c>
      <c r="KI162" t="n">
        <v>281</v>
      </c>
      <c r="KJ162" t="n">
        <v>0</v>
      </c>
      <c r="KK162" t="n">
        <v>60</v>
      </c>
      <c r="KL162" t="n">
        <v>2</v>
      </c>
      <c r="KM162" t="n">
        <v>645</v>
      </c>
      <c r="KN162" t="n">
        <v>28</v>
      </c>
      <c r="KO162" t="n">
        <v>0</v>
      </c>
      <c r="KP162" t="n">
        <v>5</v>
      </c>
      <c r="KQ162" t="n">
        <v>23</v>
      </c>
      <c r="KR162" t="n">
        <v>5</v>
      </c>
      <c r="KS162" t="n">
        <v>17</v>
      </c>
      <c r="KV162" t="n">
        <v>297</v>
      </c>
      <c r="KW162" t="n">
        <v>14</v>
      </c>
      <c r="KX162" t="n">
        <v>49</v>
      </c>
      <c r="KZ162" t="n">
        <v>12</v>
      </c>
      <c r="LA162" t="n">
        <v>11</v>
      </c>
      <c r="LB162" t="n">
        <v>0</v>
      </c>
      <c r="LC162" t="n">
        <v>70</v>
      </c>
      <c r="LD162" t="n">
        <v>119</v>
      </c>
      <c r="LE162" t="n">
        <v>11</v>
      </c>
      <c r="LF162" t="n">
        <v>16</v>
      </c>
      <c r="LN162" t="n">
        <v>435</v>
      </c>
      <c r="LO162" t="n">
        <v>21</v>
      </c>
      <c r="LS162" t="n">
        <v>6</v>
      </c>
      <c r="LT162" t="n">
        <v>12</v>
      </c>
      <c r="LU162" t="n">
        <v>6</v>
      </c>
      <c r="LV162" t="n">
        <v>3</v>
      </c>
      <c r="LW162" t="n">
        <v>254</v>
      </c>
      <c r="LX162" t="n">
        <v>269</v>
      </c>
      <c r="LZ162" t="n">
        <v>484</v>
      </c>
      <c r="MA162" t="n">
        <v>135</v>
      </c>
      <c r="MB162" t="n">
        <v>23</v>
      </c>
      <c r="MD162" t="n">
        <v>1</v>
      </c>
      <c r="ME162" t="n">
        <v>36</v>
      </c>
      <c r="MF162" t="n">
        <v>422</v>
      </c>
      <c r="MG162" t="n">
        <v>120</v>
      </c>
      <c r="MH162" t="n">
        <v>2252</v>
      </c>
      <c r="MI162" t="n">
        <v>26</v>
      </c>
      <c r="MJ162" t="n">
        <v>14</v>
      </c>
      <c r="MK162" t="n">
        <v>239</v>
      </c>
      <c r="ML162" t="n">
        <v>17</v>
      </c>
      <c r="MM162" t="n">
        <v>105</v>
      </c>
      <c r="MN162" t="n">
        <v>194</v>
      </c>
      <c r="MO162" t="n">
        <v>727</v>
      </c>
      <c r="MP162" t="n">
        <v>2</v>
      </c>
      <c r="MQ162" t="n">
        <v>130</v>
      </c>
      <c r="MR162" t="n">
        <v>53</v>
      </c>
      <c r="MS162" t="n">
        <v>19</v>
      </c>
      <c r="MT162" t="n">
        <v>48</v>
      </c>
      <c r="MU162" t="n">
        <v>7</v>
      </c>
      <c r="MW162" t="n">
        <v>20</v>
      </c>
      <c r="MX162" t="n">
        <v>38</v>
      </c>
      <c r="MY162" t="n">
        <v>32</v>
      </c>
      <c r="MZ162" t="n">
        <v>345</v>
      </c>
      <c r="NA162" t="n">
        <v>40</v>
      </c>
      <c r="NB162" t="n">
        <v>26</v>
      </c>
      <c r="NC162" t="n">
        <v>174</v>
      </c>
      <c r="ND162" t="n">
        <v>11</v>
      </c>
      <c r="NE162" t="n">
        <v>172</v>
      </c>
      <c r="NG162" t="n">
        <v>4</v>
      </c>
      <c r="NI162" t="n">
        <v>26</v>
      </c>
      <c r="NK162" t="n">
        <v>4</v>
      </c>
      <c r="NL162" t="n">
        <v>8</v>
      </c>
      <c r="NM162" t="n">
        <v>24</v>
      </c>
      <c r="NN162" t="n">
        <v>69</v>
      </c>
      <c r="NO162" t="n">
        <v>399</v>
      </c>
      <c r="NP162" t="n">
        <v>397</v>
      </c>
      <c r="NQ162" t="n">
        <v>28</v>
      </c>
      <c r="NR162" t="n">
        <v>1946</v>
      </c>
      <c r="NS162" t="n">
        <v>0</v>
      </c>
      <c r="NT162" t="n">
        <v>44</v>
      </c>
      <c r="NV162" t="n">
        <v>8</v>
      </c>
      <c r="NX162" t="n">
        <v>25</v>
      </c>
      <c r="NY162" t="n">
        <v>128</v>
      </c>
      <c r="NZ162" t="n">
        <v>10</v>
      </c>
      <c r="OA162" t="n">
        <v>536</v>
      </c>
      <c r="OB162" t="n">
        <v>69</v>
      </c>
      <c r="OD162" t="n">
        <v>646</v>
      </c>
      <c r="OE162" t="n">
        <v>58</v>
      </c>
      <c r="OF162" t="n">
        <v>638</v>
      </c>
      <c r="OI162" t="n">
        <v>791</v>
      </c>
      <c r="OJ162" t="n">
        <v>141</v>
      </c>
      <c r="OK162" t="n">
        <v>1134</v>
      </c>
      <c r="OL162" t="n">
        <v>503</v>
      </c>
      <c r="OM162" t="n">
        <v>230</v>
      </c>
      <c r="ON162" t="n">
        <v>62</v>
      </c>
      <c r="OO162" t="n">
        <v>86743</v>
      </c>
      <c r="OP162" t="n">
        <v>12301</v>
      </c>
      <c r="OU162" t="n">
        <v>297</v>
      </c>
      <c r="OV162" t="n">
        <v>27336</v>
      </c>
      <c r="PI162" t="n">
        <v>126677</v>
      </c>
      <c r="PM162">
        <f>IFERROR(VLOOKUP($A162&amp;"",Key!$A:$C,3,FALSE),"")</f>
        <v/>
      </c>
    </row>
    <row r="163">
      <c r="A163" t="inlineStr">
        <is>
          <t>3363A0</t>
        </is>
      </c>
      <c r="B163" t="inlineStr">
        <is>
          <t>Motor vehicle steering, suspension component (except spring), and brake systems manufacturing</t>
        </is>
      </c>
      <c r="M163" t="n">
        <v>0</v>
      </c>
      <c r="N163" t="n">
        <v>2</v>
      </c>
      <c r="P163" t="n">
        <v>227</v>
      </c>
      <c r="Q163" t="n">
        <v>106</v>
      </c>
      <c r="R163" t="n">
        <v>8</v>
      </c>
      <c r="S163" t="n">
        <v>70</v>
      </c>
      <c r="T163" t="n">
        <v>35</v>
      </c>
      <c r="U163" t="n">
        <v>135</v>
      </c>
      <c r="V163" t="n">
        <v>77</v>
      </c>
      <c r="W163" t="n">
        <v>164</v>
      </c>
      <c r="AC163" t="n">
        <v>1147</v>
      </c>
      <c r="AD163" t="n">
        <v>542</v>
      </c>
      <c r="AG163" t="n">
        <v>10</v>
      </c>
      <c r="AM163" t="n">
        <v>44</v>
      </c>
      <c r="AO163" t="n">
        <v>5</v>
      </c>
      <c r="AP163" t="n">
        <v>87</v>
      </c>
      <c r="AR163" t="n">
        <v>0</v>
      </c>
      <c r="AS163" t="n">
        <v>4</v>
      </c>
      <c r="AT163" t="n">
        <v>33</v>
      </c>
      <c r="AU163" t="n">
        <v>2</v>
      </c>
      <c r="AV163" t="n">
        <v>12</v>
      </c>
      <c r="AW163" t="n">
        <v>1</v>
      </c>
      <c r="AZ163" t="n">
        <v>6</v>
      </c>
      <c r="BB163" t="n">
        <v>0</v>
      </c>
      <c r="BC163" t="n">
        <v>4</v>
      </c>
      <c r="BD163" t="n">
        <v>1</v>
      </c>
      <c r="BG163" t="n">
        <v>3</v>
      </c>
      <c r="BJ163" t="n">
        <v>0</v>
      </c>
      <c r="BK163" t="n">
        <v>5</v>
      </c>
      <c r="BQ163" t="n">
        <v>7</v>
      </c>
      <c r="BR163" t="n">
        <v>4</v>
      </c>
      <c r="BT163" t="n">
        <v>3</v>
      </c>
      <c r="BV163" t="n">
        <v>3</v>
      </c>
      <c r="BX163" t="n">
        <v>3</v>
      </c>
      <c r="BY163" t="n">
        <v>2</v>
      </c>
      <c r="BZ163" t="n">
        <v>11</v>
      </c>
      <c r="CC163" t="n">
        <v>2</v>
      </c>
      <c r="CF163" t="n">
        <v>2</v>
      </c>
      <c r="CG163" t="n">
        <v>737</v>
      </c>
      <c r="CH163" t="n">
        <v>380</v>
      </c>
      <c r="CI163" t="n">
        <v>794</v>
      </c>
      <c r="CJ163" t="n">
        <v>60</v>
      </c>
      <c r="CL163" t="n">
        <v>10</v>
      </c>
      <c r="CQ163" t="n">
        <v>1</v>
      </c>
      <c r="CU163" t="n">
        <v>1</v>
      </c>
      <c r="CV163" t="n">
        <v>2</v>
      </c>
      <c r="CZ163" t="n">
        <v>2</v>
      </c>
      <c r="DA163" t="n">
        <v>4</v>
      </c>
      <c r="DB163" t="n">
        <v>4</v>
      </c>
      <c r="DC163" t="n">
        <v>7</v>
      </c>
      <c r="DG163" t="n">
        <v>9</v>
      </c>
      <c r="DM163" t="n">
        <v>2</v>
      </c>
      <c r="DO163" t="n">
        <v>0</v>
      </c>
      <c r="DP163" t="n">
        <v>1</v>
      </c>
      <c r="DR163" t="n">
        <v>3</v>
      </c>
      <c r="DU163" t="n">
        <v>1</v>
      </c>
      <c r="EH163" t="n">
        <v>0</v>
      </c>
      <c r="EJ163" t="n">
        <v>2</v>
      </c>
      <c r="EQ163" t="n">
        <v>933</v>
      </c>
      <c r="ER163" t="n">
        <v>5744</v>
      </c>
      <c r="ES163" t="n">
        <v>949</v>
      </c>
      <c r="ET163" t="n">
        <v>339</v>
      </c>
      <c r="EU163" t="n">
        <v>303</v>
      </c>
      <c r="EV163" t="n">
        <v>4</v>
      </c>
      <c r="EW163" t="n">
        <v>351</v>
      </c>
      <c r="EX163" t="n">
        <v>1916</v>
      </c>
      <c r="EY163" t="n">
        <v>4</v>
      </c>
      <c r="EZ163" t="n">
        <v>4886</v>
      </c>
      <c r="FA163" t="n">
        <v>2</v>
      </c>
      <c r="FC163" t="n">
        <v>1015</v>
      </c>
      <c r="FD163" t="n">
        <v>2088</v>
      </c>
      <c r="FE163" t="n">
        <v>6</v>
      </c>
      <c r="FG163" t="n">
        <v>1</v>
      </c>
      <c r="FJ163" t="n">
        <v>1</v>
      </c>
      <c r="FO163" t="n">
        <v>51</v>
      </c>
      <c r="FP163" t="n">
        <v>3</v>
      </c>
      <c r="FS163" t="n">
        <v>2</v>
      </c>
      <c r="FV163" t="n">
        <v>5</v>
      </c>
      <c r="FW163" t="n">
        <v>3</v>
      </c>
      <c r="FX163" t="n">
        <v>4</v>
      </c>
      <c r="FY163" t="n">
        <v>4</v>
      </c>
      <c r="GA163" t="n">
        <v>1</v>
      </c>
      <c r="GD163" t="n">
        <v>2</v>
      </c>
      <c r="GG163" t="n">
        <v>14</v>
      </c>
      <c r="GJ163" t="n">
        <v>1</v>
      </c>
      <c r="GK163" t="n">
        <v>9</v>
      </c>
      <c r="GN163" t="n">
        <v>3</v>
      </c>
      <c r="GR163" t="n">
        <v>2</v>
      </c>
      <c r="GS163" t="n">
        <v>30</v>
      </c>
      <c r="GT163" t="n">
        <v>37</v>
      </c>
      <c r="GU163" t="n">
        <v>15</v>
      </c>
      <c r="GV163" t="n">
        <v>8</v>
      </c>
      <c r="GW163" t="n">
        <v>3</v>
      </c>
      <c r="GX163" t="n">
        <v>5</v>
      </c>
      <c r="GZ163" t="n">
        <v>65</v>
      </c>
      <c r="HA163" t="n">
        <v>15</v>
      </c>
      <c r="HB163" t="n">
        <v>8</v>
      </c>
      <c r="HG163" t="n">
        <v>118</v>
      </c>
      <c r="HH163" t="n">
        <v>9</v>
      </c>
      <c r="HI163" t="n">
        <v>2</v>
      </c>
      <c r="HJ163" t="n">
        <v>10</v>
      </c>
      <c r="HU163" t="n">
        <v>10</v>
      </c>
      <c r="HV163" t="n">
        <v>6</v>
      </c>
      <c r="HW163" t="n">
        <v>13</v>
      </c>
      <c r="IB163" t="n">
        <v>9</v>
      </c>
      <c r="ID163" t="n">
        <v>5</v>
      </c>
      <c r="IK163" t="n">
        <v>1</v>
      </c>
      <c r="IL163" t="n">
        <v>2</v>
      </c>
      <c r="IO163" t="n">
        <v>3</v>
      </c>
      <c r="IP163" t="n">
        <v>2</v>
      </c>
      <c r="IQ163" t="n">
        <v>1</v>
      </c>
      <c r="IR163" t="n">
        <v>13</v>
      </c>
      <c r="IV163" t="n">
        <v>3</v>
      </c>
      <c r="IW163" t="n">
        <v>8</v>
      </c>
      <c r="IX163" t="n">
        <v>1</v>
      </c>
      <c r="JA163" t="n">
        <v>2</v>
      </c>
      <c r="JK163" t="n">
        <v>0</v>
      </c>
      <c r="JL163" t="n">
        <v>7</v>
      </c>
      <c r="JM163" t="n">
        <v>17</v>
      </c>
      <c r="JN163" t="n">
        <v>45</v>
      </c>
      <c r="JO163" t="n">
        <v>264</v>
      </c>
      <c r="JP163" t="n">
        <v>9</v>
      </c>
      <c r="JQ163" t="n">
        <v>335</v>
      </c>
      <c r="JR163" t="n">
        <v>64</v>
      </c>
      <c r="JS163" t="n">
        <v>144</v>
      </c>
      <c r="JT163" t="n">
        <v>29</v>
      </c>
      <c r="JV163" t="n">
        <v>428</v>
      </c>
      <c r="JW163" t="n">
        <v>210</v>
      </c>
      <c r="JX163" t="n">
        <v>88</v>
      </c>
      <c r="JY163" t="n">
        <v>140</v>
      </c>
      <c r="JZ163" t="n">
        <v>99</v>
      </c>
      <c r="KA163" t="n">
        <v>192</v>
      </c>
      <c r="KB163" t="n">
        <v>24</v>
      </c>
      <c r="KC163" t="n">
        <v>419</v>
      </c>
      <c r="KD163" t="n">
        <v>101</v>
      </c>
      <c r="KF163" t="n">
        <v>15</v>
      </c>
      <c r="KH163" t="n">
        <v>2221</v>
      </c>
      <c r="KI163" t="n">
        <v>81</v>
      </c>
      <c r="KK163" t="n">
        <v>13</v>
      </c>
      <c r="KL163" t="n">
        <v>2</v>
      </c>
      <c r="KM163" t="n">
        <v>498</v>
      </c>
      <c r="KN163" t="n">
        <v>13</v>
      </c>
      <c r="KQ163" t="n">
        <v>17</v>
      </c>
      <c r="KR163" t="n">
        <v>8</v>
      </c>
      <c r="KS163" t="n">
        <v>16</v>
      </c>
      <c r="KV163" t="n">
        <v>921</v>
      </c>
      <c r="KW163" t="n">
        <v>1</v>
      </c>
      <c r="KX163" t="n">
        <v>16</v>
      </c>
      <c r="KZ163" t="n">
        <v>10</v>
      </c>
      <c r="LA163" t="n">
        <v>3</v>
      </c>
      <c r="LB163" t="n">
        <v>0</v>
      </c>
      <c r="LN163" t="n">
        <v>366</v>
      </c>
      <c r="LO163" t="n">
        <v>13</v>
      </c>
      <c r="LS163" t="n">
        <v>4</v>
      </c>
      <c r="LT163" t="n">
        <v>20</v>
      </c>
      <c r="LU163" t="n">
        <v>10</v>
      </c>
      <c r="LW163" t="n">
        <v>19</v>
      </c>
      <c r="LX163" t="n">
        <v>190</v>
      </c>
      <c r="LZ163" t="n">
        <v>133</v>
      </c>
      <c r="MA163" t="n">
        <v>101</v>
      </c>
      <c r="ME163" t="n">
        <v>30</v>
      </c>
      <c r="MF163" t="n">
        <v>1</v>
      </c>
      <c r="MG163" t="n">
        <v>38</v>
      </c>
      <c r="MH163" t="n">
        <v>1485</v>
      </c>
      <c r="MI163" t="n">
        <v>19</v>
      </c>
      <c r="MJ163" t="n">
        <v>3</v>
      </c>
      <c r="MK163" t="n">
        <v>168</v>
      </c>
      <c r="ML163" t="n">
        <v>5</v>
      </c>
      <c r="MM163" t="n">
        <v>65</v>
      </c>
      <c r="MN163" t="n">
        <v>101</v>
      </c>
      <c r="MO163" t="n">
        <v>395</v>
      </c>
      <c r="MQ163" t="n">
        <v>1</v>
      </c>
      <c r="MR163" t="n">
        <v>16</v>
      </c>
      <c r="MS163" t="n">
        <v>19</v>
      </c>
      <c r="MU163" t="n">
        <v>17</v>
      </c>
      <c r="MW163" t="n">
        <v>6</v>
      </c>
      <c r="MX163" t="n">
        <v>35</v>
      </c>
      <c r="MY163" t="n">
        <v>35</v>
      </c>
      <c r="MZ163" t="n">
        <v>97</v>
      </c>
      <c r="NB163" t="n">
        <v>5</v>
      </c>
      <c r="NC163" t="n">
        <v>222</v>
      </c>
      <c r="ND163" t="n">
        <v>73</v>
      </c>
      <c r="NE163" t="n">
        <v>85</v>
      </c>
      <c r="NG163" t="n">
        <v>3</v>
      </c>
      <c r="NK163" t="n">
        <v>3</v>
      </c>
      <c r="NL163" t="n">
        <v>7</v>
      </c>
      <c r="NM163" t="n">
        <v>9</v>
      </c>
      <c r="NN163" t="n">
        <v>63</v>
      </c>
      <c r="NO163" t="n">
        <v>111</v>
      </c>
      <c r="NP163" t="n">
        <v>102</v>
      </c>
      <c r="NQ163" t="n">
        <v>19</v>
      </c>
      <c r="NR163" t="n">
        <v>6213</v>
      </c>
      <c r="NS163" t="n">
        <v>0</v>
      </c>
      <c r="NV163" t="n">
        <v>23</v>
      </c>
      <c r="NX163" t="n">
        <v>31</v>
      </c>
      <c r="NY163" t="n">
        <v>94</v>
      </c>
      <c r="NZ163" t="n">
        <v>2</v>
      </c>
      <c r="OA163" t="n">
        <v>163</v>
      </c>
      <c r="OB163" t="n">
        <v>150</v>
      </c>
      <c r="OD163" t="n">
        <v>231</v>
      </c>
      <c r="OF163" t="n">
        <v>655</v>
      </c>
      <c r="OI163" t="n">
        <v>425</v>
      </c>
      <c r="OJ163" t="n">
        <v>17</v>
      </c>
      <c r="OK163" t="n">
        <v>804</v>
      </c>
      <c r="OL163" t="n">
        <v>48</v>
      </c>
      <c r="OO163" t="n">
        <v>43232</v>
      </c>
      <c r="OP163" t="n">
        <v>3551</v>
      </c>
      <c r="OU163" t="n">
        <v>375</v>
      </c>
      <c r="OV163" t="n">
        <v>4555</v>
      </c>
      <c r="PI163" t="n">
        <v>51713</v>
      </c>
      <c r="PM163">
        <f>IFERROR(VLOOKUP($A163&amp;"",Key!$A:$C,3,FALSE),"")</f>
        <v/>
      </c>
    </row>
    <row r="164">
      <c r="A164" t="n">
        <v>336411</v>
      </c>
      <c r="B164" t="inlineStr">
        <is>
          <t>Aircraft manufacturing</t>
        </is>
      </c>
      <c r="CZ164" t="n">
        <v>5</v>
      </c>
      <c r="FE164" t="n">
        <v>3423</v>
      </c>
      <c r="FF164" t="n">
        <v>2</v>
      </c>
      <c r="FG164" t="n">
        <v>4</v>
      </c>
      <c r="KE164" t="n">
        <v>1682</v>
      </c>
      <c r="KL164" t="n">
        <v>407</v>
      </c>
      <c r="OD164" t="n">
        <v>28389</v>
      </c>
      <c r="OO164" t="n">
        <v>33912</v>
      </c>
      <c r="OP164" t="n">
        <v>1485</v>
      </c>
      <c r="OQ164" t="n">
        <v>53468</v>
      </c>
      <c r="OU164" t="n">
        <v>-6314</v>
      </c>
      <c r="OV164" t="n">
        <v>52720</v>
      </c>
      <c r="OX164" t="n">
        <v>14441</v>
      </c>
      <c r="PB164" t="n">
        <v>293</v>
      </c>
      <c r="PF164" t="n">
        <v>67</v>
      </c>
      <c r="PI164" t="n">
        <v>150071</v>
      </c>
      <c r="PM164">
        <f>IFERROR(VLOOKUP($A164&amp;"",Key!$A:$C,3,FALSE),"")</f>
        <v/>
      </c>
    </row>
    <row r="165">
      <c r="A165" t="n">
        <v>336412</v>
      </c>
      <c r="B165" t="inlineStr">
        <is>
          <t>Aircraft engine and engine parts manufacturing</t>
        </is>
      </c>
      <c r="CZ165" t="n">
        <v>92</v>
      </c>
      <c r="FE165" t="n">
        <v>6507</v>
      </c>
      <c r="FF165" t="n">
        <v>14279</v>
      </c>
      <c r="FG165" t="n">
        <v>686</v>
      </c>
      <c r="JN165" t="n">
        <v>0</v>
      </c>
      <c r="KE165" t="n">
        <v>0</v>
      </c>
      <c r="LZ165" t="n">
        <v>22</v>
      </c>
      <c r="OD165" t="n">
        <v>723</v>
      </c>
      <c r="OE165" t="n">
        <v>77</v>
      </c>
      <c r="OO165" t="n">
        <v>22384</v>
      </c>
      <c r="OQ165" t="n">
        <v>74</v>
      </c>
      <c r="OU165" t="n">
        <v>500</v>
      </c>
      <c r="OV165" t="n">
        <v>35982</v>
      </c>
      <c r="OX165" t="n">
        <v>153</v>
      </c>
      <c r="PI165" t="n">
        <v>59093</v>
      </c>
      <c r="PM165">
        <f>IFERROR(VLOOKUP($A165&amp;"",Key!$A:$C,3,FALSE),"")</f>
        <v/>
      </c>
    </row>
    <row r="166">
      <c r="A166" t="n">
        <v>336413</v>
      </c>
      <c r="B166" t="inlineStr">
        <is>
          <t>Other aircraft parts and auxiliary equipment manufacturing</t>
        </is>
      </c>
      <c r="FE166" t="n">
        <v>18177</v>
      </c>
      <c r="FF166" t="n">
        <v>1622</v>
      </c>
      <c r="FG166" t="n">
        <v>8096</v>
      </c>
      <c r="JV166" t="n">
        <v>0</v>
      </c>
      <c r="KE166" t="n">
        <v>26</v>
      </c>
      <c r="KK166" t="n">
        <v>792</v>
      </c>
      <c r="KL166" t="n">
        <v>917</v>
      </c>
      <c r="OD166" t="n">
        <v>6074</v>
      </c>
      <c r="OO166" t="n">
        <v>35703</v>
      </c>
      <c r="OU166" t="n">
        <v>-102</v>
      </c>
      <c r="OV166" t="n">
        <v>22154</v>
      </c>
      <c r="PI166" t="n">
        <v>57755</v>
      </c>
      <c r="PM166">
        <f>IFERROR(VLOOKUP($A166&amp;"",Key!$A:$C,3,FALSE),"")</f>
        <v/>
      </c>
    </row>
    <row r="167">
      <c r="A167" t="n">
        <v>336414</v>
      </c>
      <c r="B167" t="inlineStr">
        <is>
          <t>Guided missile and space vehicle manufacturing</t>
        </is>
      </c>
      <c r="FH167" t="n">
        <v>116</v>
      </c>
      <c r="FI167" t="n">
        <v>239</v>
      </c>
      <c r="LZ167" t="n">
        <v>0</v>
      </c>
      <c r="OD167" t="n">
        <v>6854</v>
      </c>
      <c r="OO167" t="n">
        <v>7209</v>
      </c>
      <c r="OQ167" t="n">
        <v>1417</v>
      </c>
      <c r="OU167" t="n">
        <v>83</v>
      </c>
      <c r="OV167" t="n">
        <v>1899</v>
      </c>
      <c r="OX167" t="n">
        <v>6768</v>
      </c>
      <c r="PB167" t="n">
        <v>1279</v>
      </c>
      <c r="PI167" t="n">
        <v>18655</v>
      </c>
      <c r="PM167">
        <f>IFERROR(VLOOKUP($A167&amp;"",Key!$A:$C,3,FALSE),"")</f>
        <v/>
      </c>
    </row>
    <row r="168">
      <c r="A168" t="inlineStr">
        <is>
          <t>33641A</t>
        </is>
      </c>
      <c r="B168" t="inlineStr">
        <is>
          <t>Propulsion units and parts for space vehicles and guided missiles</t>
        </is>
      </c>
      <c r="FH168" t="n">
        <v>2529</v>
      </c>
      <c r="FI168" t="n">
        <v>3504</v>
      </c>
      <c r="LW168" t="n">
        <v>15</v>
      </c>
      <c r="OD168" t="n">
        <v>675</v>
      </c>
      <c r="OE168" t="n">
        <v>88</v>
      </c>
      <c r="OO168" t="n">
        <v>6812</v>
      </c>
      <c r="OU168" t="n">
        <v>245</v>
      </c>
      <c r="OV168" t="n">
        <v>1004</v>
      </c>
      <c r="PB168" t="n">
        <v>280</v>
      </c>
      <c r="PI168" t="n">
        <v>8341</v>
      </c>
      <c r="PM168">
        <f>IFERROR(VLOOKUP($A168&amp;"",Key!$A:$C,3,FALSE),"")</f>
        <v/>
      </c>
    </row>
    <row r="169">
      <c r="A169" t="n">
        <v>336500</v>
      </c>
      <c r="B169" t="inlineStr">
        <is>
          <t>Railroad rolling stock manufacturing</t>
        </is>
      </c>
      <c r="Q169" t="n">
        <v>5</v>
      </c>
      <c r="CI169" t="n">
        <v>10</v>
      </c>
      <c r="FJ169" t="n">
        <v>3076</v>
      </c>
      <c r="JN169" t="n">
        <v>0</v>
      </c>
      <c r="KF169" t="n">
        <v>1143</v>
      </c>
      <c r="KK169" t="n">
        <v>400</v>
      </c>
      <c r="KX169" t="n">
        <v>5</v>
      </c>
      <c r="OH169" t="n">
        <v>3</v>
      </c>
      <c r="OK169" t="n">
        <v>0</v>
      </c>
      <c r="OL169" t="n">
        <v>41</v>
      </c>
      <c r="OO169" t="n">
        <v>4684</v>
      </c>
      <c r="OQ169" t="n">
        <v>10726</v>
      </c>
      <c r="OU169" t="n">
        <v>-123</v>
      </c>
      <c r="OV169" t="n">
        <v>2223</v>
      </c>
      <c r="OX169" t="n">
        <v>12</v>
      </c>
      <c r="PB169" t="n">
        <v>17</v>
      </c>
      <c r="PF169" t="n">
        <v>156</v>
      </c>
      <c r="PI169" t="n">
        <v>17696</v>
      </c>
      <c r="PM169">
        <f>IFERROR(VLOOKUP($A169&amp;"",Key!$A:$C,3,FALSE),"")</f>
        <v/>
      </c>
    </row>
    <row r="170">
      <c r="A170" t="n">
        <v>336611</v>
      </c>
      <c r="B170" t="inlineStr">
        <is>
          <t>Ship building and repairing</t>
        </is>
      </c>
      <c r="N170" t="n">
        <v>6</v>
      </c>
      <c r="FK170" t="n">
        <v>5</v>
      </c>
      <c r="KG170" t="n">
        <v>2000</v>
      </c>
      <c r="KK170" t="n">
        <v>62</v>
      </c>
      <c r="OD170" t="n">
        <v>5302</v>
      </c>
      <c r="OO170" t="n">
        <v>7375</v>
      </c>
      <c r="OQ170" t="n">
        <v>5290</v>
      </c>
      <c r="OU170" t="n">
        <v>-96</v>
      </c>
      <c r="OV170" t="n">
        <v>916</v>
      </c>
      <c r="OX170" t="n">
        <v>12697</v>
      </c>
      <c r="PB170" t="n">
        <v>19</v>
      </c>
      <c r="PF170" t="n">
        <v>4</v>
      </c>
      <c r="PI170" t="n">
        <v>26204</v>
      </c>
      <c r="PM170">
        <f>IFERROR(VLOOKUP($A170&amp;"",Key!$A:$C,3,FALSE),"")</f>
        <v/>
      </c>
    </row>
    <row r="171">
      <c r="A171" t="n">
        <v>336612</v>
      </c>
      <c r="B171" t="inlineStr">
        <is>
          <t>Boat building</t>
        </is>
      </c>
      <c r="FK171" t="n">
        <v>4</v>
      </c>
      <c r="FL171" t="n">
        <v>12</v>
      </c>
      <c r="KK171" t="n">
        <v>4</v>
      </c>
      <c r="OE171" t="n">
        <v>39</v>
      </c>
      <c r="ON171" t="n">
        <v>1</v>
      </c>
      <c r="OO171" t="n">
        <v>60</v>
      </c>
      <c r="OP171" t="n">
        <v>13599</v>
      </c>
      <c r="OQ171" t="n">
        <v>1478</v>
      </c>
      <c r="OU171" t="n">
        <v>379</v>
      </c>
      <c r="OV171" t="n">
        <v>1533</v>
      </c>
      <c r="OX171" t="n">
        <v>39</v>
      </c>
      <c r="PB171" t="n">
        <v>70</v>
      </c>
      <c r="PF171" t="n">
        <v>19</v>
      </c>
      <c r="PI171" t="n">
        <v>17178</v>
      </c>
      <c r="PM171">
        <f>IFERROR(VLOOKUP($A171&amp;"",Key!$A:$C,3,FALSE),"")</f>
        <v/>
      </c>
    </row>
    <row r="172">
      <c r="A172" t="n">
        <v>336991</v>
      </c>
      <c r="B172" t="inlineStr">
        <is>
          <t>Motorcycle, bicycle, and parts manufacturing</t>
        </is>
      </c>
      <c r="FM172" t="n">
        <v>2008</v>
      </c>
      <c r="JV172" t="n">
        <v>59</v>
      </c>
      <c r="MM172" t="n">
        <v>1</v>
      </c>
      <c r="NC172" t="n">
        <v>0</v>
      </c>
      <c r="ND172" t="n">
        <v>0</v>
      </c>
      <c r="NE172" t="n">
        <v>0</v>
      </c>
      <c r="NU172" t="n">
        <v>270</v>
      </c>
      <c r="OD172" t="n">
        <v>3</v>
      </c>
      <c r="OO172" t="n">
        <v>2341</v>
      </c>
      <c r="OP172" t="n">
        <v>15245</v>
      </c>
      <c r="OQ172" t="n">
        <v>222</v>
      </c>
      <c r="OU172" t="n">
        <v>186</v>
      </c>
      <c r="OV172" t="n">
        <v>1764</v>
      </c>
      <c r="PF172" t="n">
        <v>272</v>
      </c>
      <c r="PI172" t="n">
        <v>20031</v>
      </c>
      <c r="PM172">
        <f>IFERROR(VLOOKUP($A172&amp;"",Key!$A:$C,3,FALSE),"")</f>
        <v/>
      </c>
    </row>
    <row r="173">
      <c r="A173" t="n">
        <v>336992</v>
      </c>
      <c r="B173" t="inlineStr">
        <is>
          <t>Military armored vehicle, tank, and tank component manufacturing</t>
        </is>
      </c>
      <c r="FN173" t="n">
        <v>334</v>
      </c>
      <c r="LZ173" t="n">
        <v>1902</v>
      </c>
      <c r="MF173" t="n">
        <v>62</v>
      </c>
      <c r="OO173" t="n">
        <v>2299</v>
      </c>
      <c r="OU173" t="n">
        <v>189</v>
      </c>
      <c r="OV173" t="n">
        <v>1883</v>
      </c>
      <c r="OX173" t="n">
        <v>2209</v>
      </c>
      <c r="PI173" t="n">
        <v>6580</v>
      </c>
      <c r="PM173">
        <f>IFERROR(VLOOKUP($A173&amp;"",Key!$A:$C,3,FALSE),"")</f>
        <v/>
      </c>
    </row>
    <row r="174">
      <c r="A174" t="n">
        <v>336999</v>
      </c>
      <c r="B174" t="inlineStr">
        <is>
          <t>All other transportation equipment manufacturing</t>
        </is>
      </c>
      <c r="AB174" t="n">
        <v>40</v>
      </c>
      <c r="AC174" t="n">
        <v>8</v>
      </c>
      <c r="AK174" t="n">
        <v>16</v>
      </c>
      <c r="AP174" t="n">
        <v>11</v>
      </c>
      <c r="BP174" t="n">
        <v>48</v>
      </c>
      <c r="BX174" t="n">
        <v>3</v>
      </c>
      <c r="CF174" t="n">
        <v>1</v>
      </c>
      <c r="EV174" t="n">
        <v>1</v>
      </c>
      <c r="EW174" t="n">
        <v>463</v>
      </c>
      <c r="FO174" t="n">
        <v>166</v>
      </c>
      <c r="KH174" t="n">
        <v>13</v>
      </c>
      <c r="KI174" t="n">
        <v>61</v>
      </c>
      <c r="KK174" t="n">
        <v>21</v>
      </c>
      <c r="KL174" t="n">
        <v>2</v>
      </c>
      <c r="LZ174" t="n">
        <v>13</v>
      </c>
      <c r="MF174" t="n">
        <v>1</v>
      </c>
      <c r="MH174" t="n">
        <v>31</v>
      </c>
      <c r="MO174" t="n">
        <v>50</v>
      </c>
      <c r="NM174" t="n">
        <v>28</v>
      </c>
      <c r="OD174" t="n">
        <v>495</v>
      </c>
      <c r="OM174" t="n">
        <v>19</v>
      </c>
      <c r="ON174" t="n">
        <v>0</v>
      </c>
      <c r="OO174" t="n">
        <v>1492</v>
      </c>
      <c r="OP174" t="n">
        <v>6690</v>
      </c>
      <c r="OQ174" t="n">
        <v>4155</v>
      </c>
      <c r="OU174" t="n">
        <v>179</v>
      </c>
      <c r="OV174" t="n">
        <v>438</v>
      </c>
      <c r="OX174" t="n">
        <v>45</v>
      </c>
      <c r="PF174" t="n">
        <v>50</v>
      </c>
      <c r="PI174" t="n">
        <v>13049</v>
      </c>
      <c r="PM174">
        <f>IFERROR(VLOOKUP($A174&amp;"",Key!$A:$C,3,FALSE),"")</f>
        <v/>
      </c>
    </row>
    <row r="175">
      <c r="A175" t="n">
        <v>337110</v>
      </c>
      <c r="B175" t="inlineStr">
        <is>
          <t>Wood kitchen cabinet and countertop manufacturing</t>
        </is>
      </c>
      <c r="AA175" t="n">
        <v>19</v>
      </c>
      <c r="AB175" t="n">
        <v>2</v>
      </c>
      <c r="AC175" t="n">
        <v>1459</v>
      </c>
      <c r="AD175" t="n">
        <v>1822</v>
      </c>
      <c r="AE175" t="n">
        <v>1928</v>
      </c>
      <c r="AF175" t="n">
        <v>626</v>
      </c>
      <c r="AG175" t="n">
        <v>3919</v>
      </c>
      <c r="AH175" t="n">
        <v>113</v>
      </c>
      <c r="AI175" t="n">
        <v>631</v>
      </c>
      <c r="AJ175" t="n">
        <v>106</v>
      </c>
      <c r="AK175" t="n">
        <v>6157</v>
      </c>
      <c r="AL175" t="n">
        <v>240</v>
      </c>
      <c r="AN175" t="n">
        <v>12</v>
      </c>
      <c r="AP175" t="n">
        <v>184</v>
      </c>
      <c r="CZ175" t="n">
        <v>355</v>
      </c>
      <c r="DK175" t="n">
        <v>13</v>
      </c>
      <c r="DO175" t="n">
        <v>24</v>
      </c>
      <c r="FA175" t="n">
        <v>35</v>
      </c>
      <c r="FP175" t="n">
        <v>154</v>
      </c>
      <c r="FR175" t="n">
        <v>0</v>
      </c>
      <c r="FV175" t="n">
        <v>500</v>
      </c>
      <c r="JG175" t="n">
        <v>378</v>
      </c>
      <c r="JK175" t="n">
        <v>2</v>
      </c>
      <c r="JL175" t="n">
        <v>3</v>
      </c>
      <c r="JM175" t="n">
        <v>0</v>
      </c>
      <c r="JN175" t="n">
        <v>1</v>
      </c>
      <c r="JO175" t="n">
        <v>67</v>
      </c>
      <c r="JR175" t="n">
        <v>0</v>
      </c>
      <c r="JT175" t="n">
        <v>0</v>
      </c>
      <c r="JV175" t="n">
        <v>75</v>
      </c>
      <c r="JY175" t="n">
        <v>21</v>
      </c>
      <c r="KB175" t="n">
        <v>20</v>
      </c>
      <c r="KC175" t="n">
        <v>95</v>
      </c>
      <c r="KD175" t="n">
        <v>68</v>
      </c>
      <c r="KW175" t="n">
        <v>24</v>
      </c>
      <c r="KX175" t="n">
        <v>152</v>
      </c>
      <c r="KY175" t="n">
        <v>2</v>
      </c>
      <c r="KZ175" t="n">
        <v>322</v>
      </c>
      <c r="LK175" t="n">
        <v>7593</v>
      </c>
      <c r="LL175" t="n">
        <v>58</v>
      </c>
      <c r="LM175" t="n">
        <v>30</v>
      </c>
      <c r="LR175" t="n">
        <v>0</v>
      </c>
      <c r="LZ175" t="n">
        <v>29</v>
      </c>
      <c r="MF175" t="n">
        <v>1</v>
      </c>
      <c r="MS175" t="n">
        <v>0</v>
      </c>
      <c r="MT175" t="n">
        <v>0</v>
      </c>
      <c r="MU175" t="n">
        <v>37</v>
      </c>
      <c r="MV175" t="n">
        <v>0</v>
      </c>
      <c r="MY175" t="n">
        <v>5</v>
      </c>
      <c r="MZ175" t="n">
        <v>91</v>
      </c>
      <c r="NB175" t="n">
        <v>1</v>
      </c>
      <c r="NC175" t="n">
        <v>40</v>
      </c>
      <c r="ND175" t="n">
        <v>96</v>
      </c>
      <c r="NE175" t="n">
        <v>49</v>
      </c>
      <c r="NM175" t="n">
        <v>57</v>
      </c>
      <c r="NN175" t="n">
        <v>2</v>
      </c>
      <c r="NO175" t="n">
        <v>187</v>
      </c>
      <c r="NP175" t="n">
        <v>84</v>
      </c>
      <c r="NQ175" t="n">
        <v>24</v>
      </c>
      <c r="OB175" t="n">
        <v>146</v>
      </c>
      <c r="OK175" t="n">
        <v>0</v>
      </c>
      <c r="ON175" t="n">
        <v>392</v>
      </c>
      <c r="OO175" t="n">
        <v>28452</v>
      </c>
      <c r="OQ175" t="n">
        <v>136</v>
      </c>
      <c r="OU175" t="n">
        <v>117</v>
      </c>
      <c r="OV175" t="n">
        <v>139</v>
      </c>
      <c r="PI175" t="n">
        <v>28843</v>
      </c>
      <c r="PM175">
        <f>IFERROR(VLOOKUP($A175&amp;"",Key!$A:$C,3,FALSE),"")</f>
        <v/>
      </c>
    </row>
    <row r="176">
      <c r="A176" t="n">
        <v>337121</v>
      </c>
      <c r="B176" t="inlineStr">
        <is>
          <t>Upholstered household furniture manufacturing</t>
        </is>
      </c>
      <c r="AP176" t="n">
        <v>203</v>
      </c>
      <c r="FQ176" t="n">
        <v>24</v>
      </c>
      <c r="OO176" t="n">
        <v>227</v>
      </c>
      <c r="OP176" t="n">
        <v>32100</v>
      </c>
      <c r="OQ176" t="n">
        <v>1434</v>
      </c>
      <c r="OS176" t="n">
        <v>134</v>
      </c>
      <c r="OU176" t="n">
        <v>88</v>
      </c>
      <c r="OV176" t="n">
        <v>486</v>
      </c>
      <c r="PB176" t="n">
        <v>25</v>
      </c>
      <c r="PF176" t="n">
        <v>72</v>
      </c>
      <c r="PI176" t="n">
        <v>34567</v>
      </c>
      <c r="PM176">
        <f>IFERROR(VLOOKUP($A176&amp;"",Key!$A:$C,3,FALSE),"")</f>
        <v/>
      </c>
    </row>
    <row r="177">
      <c r="A177" t="n">
        <v>337122</v>
      </c>
      <c r="B177" t="inlineStr">
        <is>
          <t>Nonupholstered wood household furniture manufacturing</t>
        </is>
      </c>
      <c r="AP177" t="n">
        <v>266</v>
      </c>
      <c r="FR177" t="n">
        <v>540</v>
      </c>
      <c r="OO177" t="n">
        <v>806</v>
      </c>
      <c r="OP177" t="n">
        <v>32076</v>
      </c>
      <c r="OQ177" t="n">
        <v>1146</v>
      </c>
      <c r="OS177" t="n">
        <v>231</v>
      </c>
      <c r="OU177" t="n">
        <v>75</v>
      </c>
      <c r="OV177" t="n">
        <v>871</v>
      </c>
      <c r="OX177" t="n">
        <v>0</v>
      </c>
      <c r="PB177" t="n">
        <v>80</v>
      </c>
      <c r="PF177" t="n">
        <v>190</v>
      </c>
      <c r="PI177" t="n">
        <v>35476</v>
      </c>
      <c r="PM177">
        <f>IFERROR(VLOOKUP($A177&amp;"",Key!$A:$C,3,FALSE),"")</f>
        <v/>
      </c>
    </row>
    <row r="178">
      <c r="A178" t="n">
        <v>337127</v>
      </c>
      <c r="B178" t="inlineStr">
        <is>
          <t>Institutional furniture manufacturing</t>
        </is>
      </c>
      <c r="AA178" t="n">
        <v>14</v>
      </c>
      <c r="AB178" t="n">
        <v>0</v>
      </c>
      <c r="AE178" t="n">
        <v>35</v>
      </c>
      <c r="AF178" t="n">
        <v>4</v>
      </c>
      <c r="AI178" t="n">
        <v>251</v>
      </c>
      <c r="FS178" t="n">
        <v>35</v>
      </c>
      <c r="MB178" t="n">
        <v>28</v>
      </c>
      <c r="MF178" t="n">
        <v>0</v>
      </c>
      <c r="MS178" t="n">
        <v>1</v>
      </c>
      <c r="MV178" t="n">
        <v>49</v>
      </c>
      <c r="MX178" t="n">
        <v>25</v>
      </c>
      <c r="MY178" t="n">
        <v>153</v>
      </c>
      <c r="MZ178" t="n">
        <v>17</v>
      </c>
      <c r="NF178" t="n">
        <v>4</v>
      </c>
      <c r="NG178" t="n">
        <v>1</v>
      </c>
      <c r="NH178" t="n">
        <v>1</v>
      </c>
      <c r="NI178" t="n">
        <v>2</v>
      </c>
      <c r="NJ178" t="n">
        <v>1</v>
      </c>
      <c r="NK178" t="n">
        <v>4</v>
      </c>
      <c r="NL178" t="n">
        <v>1</v>
      </c>
      <c r="NM178" t="n">
        <v>3</v>
      </c>
      <c r="NV178" t="n">
        <v>174</v>
      </c>
      <c r="OK178" t="n">
        <v>15</v>
      </c>
      <c r="OO178" t="n">
        <v>817</v>
      </c>
      <c r="OP178" t="n">
        <v>3</v>
      </c>
      <c r="OQ178" t="n">
        <v>14876</v>
      </c>
      <c r="OU178" t="n">
        <v>90</v>
      </c>
      <c r="OV178" t="n">
        <v>1716</v>
      </c>
      <c r="OX178" t="n">
        <v>0</v>
      </c>
      <c r="PB178" t="n">
        <v>0</v>
      </c>
      <c r="PF178" t="n">
        <v>1374</v>
      </c>
      <c r="PI178" t="n">
        <v>18877</v>
      </c>
      <c r="PM178">
        <f>IFERROR(VLOOKUP($A178&amp;"",Key!$A:$C,3,FALSE),"")</f>
        <v/>
      </c>
    </row>
    <row r="179">
      <c r="A179" t="inlineStr">
        <is>
          <t>33712N</t>
        </is>
      </c>
      <c r="B179" t="inlineStr">
        <is>
          <t>Other household nonupholstered furniture</t>
        </is>
      </c>
      <c r="AP179" t="n">
        <v>10</v>
      </c>
      <c r="CO179" t="n">
        <v>0</v>
      </c>
      <c r="DM179" t="n">
        <v>33</v>
      </c>
      <c r="DN179" t="n">
        <v>7</v>
      </c>
      <c r="DQ179" t="n">
        <v>1</v>
      </c>
      <c r="DS179" t="n">
        <v>33</v>
      </c>
      <c r="EA179" t="n">
        <v>1</v>
      </c>
      <c r="EP179" t="n">
        <v>1</v>
      </c>
      <c r="FE179" t="n">
        <v>12</v>
      </c>
      <c r="FF179" t="n">
        <v>0</v>
      </c>
      <c r="FG179" t="n">
        <v>3</v>
      </c>
      <c r="FI179" t="n">
        <v>1</v>
      </c>
      <c r="FT179" t="n">
        <v>6</v>
      </c>
      <c r="FX179" t="n">
        <v>119</v>
      </c>
      <c r="FY179" t="n">
        <v>101</v>
      </c>
      <c r="KZ179" t="n">
        <v>1</v>
      </c>
      <c r="OO179" t="n">
        <v>331</v>
      </c>
      <c r="OP179" t="n">
        <v>16030</v>
      </c>
      <c r="OQ179" t="n">
        <v>594</v>
      </c>
      <c r="OS179" t="n">
        <v>250</v>
      </c>
      <c r="OU179" t="n">
        <v>64</v>
      </c>
      <c r="OV179" t="n">
        <v>128</v>
      </c>
      <c r="PB179" t="n">
        <v>0</v>
      </c>
      <c r="PF179" t="n">
        <v>14</v>
      </c>
      <c r="PI179" t="n">
        <v>17410</v>
      </c>
      <c r="PM179">
        <f>IFERROR(VLOOKUP($A179&amp;"",Key!$A:$C,3,FALSE),"")</f>
        <v/>
      </c>
    </row>
    <row r="180">
      <c r="A180" t="n">
        <v>337215</v>
      </c>
      <c r="B180" t="inlineStr">
        <is>
          <t>Showcase, partition, shelving, and locker manufacturing</t>
        </is>
      </c>
      <c r="AA180" t="n">
        <v>5</v>
      </c>
      <c r="AB180" t="n">
        <v>2</v>
      </c>
      <c r="AC180" t="n">
        <v>1</v>
      </c>
      <c r="AD180" t="n">
        <v>0</v>
      </c>
      <c r="AE180" t="n">
        <v>409</v>
      </c>
      <c r="AG180" t="n">
        <v>2</v>
      </c>
      <c r="AH180" t="n">
        <v>29</v>
      </c>
      <c r="AI180" t="n">
        <v>65</v>
      </c>
      <c r="AJ180" t="n">
        <v>23</v>
      </c>
      <c r="AK180" t="n">
        <v>0</v>
      </c>
      <c r="AL180" t="n">
        <v>9</v>
      </c>
      <c r="AO180" t="n">
        <v>0</v>
      </c>
      <c r="AP180" t="n">
        <v>48</v>
      </c>
      <c r="AV180" t="n">
        <v>1</v>
      </c>
      <c r="FP180" t="n">
        <v>361</v>
      </c>
      <c r="FQ180" t="n">
        <v>1414</v>
      </c>
      <c r="FR180" t="n">
        <v>186</v>
      </c>
      <c r="FS180" t="n">
        <v>102</v>
      </c>
      <c r="FT180" t="n">
        <v>93</v>
      </c>
      <c r="FU180" t="n">
        <v>250</v>
      </c>
      <c r="FV180" t="n">
        <v>599</v>
      </c>
      <c r="GG180" t="n">
        <v>4</v>
      </c>
      <c r="IA180" t="n">
        <v>0</v>
      </c>
      <c r="JL180" t="n">
        <v>0</v>
      </c>
      <c r="JM180" t="n">
        <v>1</v>
      </c>
      <c r="JO180" t="n">
        <v>146</v>
      </c>
      <c r="JQ180" t="n">
        <v>460</v>
      </c>
      <c r="JR180" t="n">
        <v>0</v>
      </c>
      <c r="JS180" t="n">
        <v>192</v>
      </c>
      <c r="JV180" t="n">
        <v>131</v>
      </c>
      <c r="KB180" t="n">
        <v>206</v>
      </c>
      <c r="KC180" t="n">
        <v>206</v>
      </c>
      <c r="KD180" t="n">
        <v>1054</v>
      </c>
      <c r="KO180" t="n">
        <v>0</v>
      </c>
      <c r="KP180" t="n">
        <v>0</v>
      </c>
      <c r="KQ180" t="n">
        <v>0</v>
      </c>
      <c r="KR180" t="n">
        <v>1</v>
      </c>
      <c r="KZ180" t="n">
        <v>2</v>
      </c>
      <c r="LM180" t="n">
        <v>76</v>
      </c>
      <c r="LR180" t="n">
        <v>13</v>
      </c>
      <c r="LS180" t="n">
        <v>1</v>
      </c>
      <c r="LT180" t="n">
        <v>2</v>
      </c>
      <c r="LU180" t="n">
        <v>0</v>
      </c>
      <c r="LX180" t="n">
        <v>17</v>
      </c>
      <c r="LZ180" t="n">
        <v>139</v>
      </c>
      <c r="MB180" t="n">
        <v>435</v>
      </c>
      <c r="MD180" t="n">
        <v>2</v>
      </c>
      <c r="MF180" t="n">
        <v>6</v>
      </c>
      <c r="MI180" t="n">
        <v>3</v>
      </c>
      <c r="MJ180" t="n">
        <v>0</v>
      </c>
      <c r="MS180" t="n">
        <v>7</v>
      </c>
      <c r="MT180" t="n">
        <v>1</v>
      </c>
      <c r="MV180" t="n">
        <v>1</v>
      </c>
      <c r="MZ180" t="n">
        <v>1</v>
      </c>
      <c r="NH180" t="n">
        <v>610</v>
      </c>
      <c r="NM180" t="n">
        <v>666</v>
      </c>
      <c r="NP180" t="n">
        <v>0</v>
      </c>
      <c r="NU180" t="n">
        <v>405</v>
      </c>
      <c r="OB180" t="n">
        <v>5</v>
      </c>
      <c r="ON180" t="n">
        <v>20</v>
      </c>
      <c r="OO180" t="n">
        <v>8411</v>
      </c>
      <c r="OP180" t="n">
        <v>975</v>
      </c>
      <c r="OQ180" t="n">
        <v>8319</v>
      </c>
      <c r="OS180" t="n">
        <v>2</v>
      </c>
      <c r="OU180" t="n">
        <v>76</v>
      </c>
      <c r="OV180" t="n">
        <v>840</v>
      </c>
      <c r="OX180" t="n">
        <v>0</v>
      </c>
      <c r="PB180" t="n">
        <v>1</v>
      </c>
      <c r="PF180" t="n">
        <v>155</v>
      </c>
      <c r="PI180" t="n">
        <v>18780</v>
      </c>
      <c r="PM180">
        <f>IFERROR(VLOOKUP($A180&amp;"",Key!$A:$C,3,FALSE),"")</f>
        <v/>
      </c>
    </row>
    <row r="181">
      <c r="A181" t="inlineStr">
        <is>
          <t>33721A</t>
        </is>
      </c>
      <c r="B181" t="inlineStr">
        <is>
          <t>Office furniture and custom architectural woodwork and millwork manufacturing</t>
        </is>
      </c>
      <c r="AA181" t="n">
        <v>25</v>
      </c>
      <c r="AB181" t="n">
        <v>8</v>
      </c>
      <c r="AE181" t="n">
        <v>1533</v>
      </c>
      <c r="AF181" t="n">
        <v>688</v>
      </c>
      <c r="AG181" t="n">
        <v>2960</v>
      </c>
      <c r="AI181" t="n">
        <v>465</v>
      </c>
      <c r="AJ181" t="n">
        <v>96</v>
      </c>
      <c r="AK181" t="n">
        <v>3120</v>
      </c>
      <c r="AL181" t="n">
        <v>298</v>
      </c>
      <c r="FP181" t="n">
        <v>5</v>
      </c>
      <c r="FU181" t="n">
        <v>22</v>
      </c>
      <c r="FV181" t="n">
        <v>88</v>
      </c>
      <c r="JX181" t="n">
        <v>20</v>
      </c>
      <c r="KC181" t="n">
        <v>0</v>
      </c>
      <c r="KD181" t="n">
        <v>0</v>
      </c>
      <c r="KO181" t="n">
        <v>0</v>
      </c>
      <c r="KP181" t="n">
        <v>0</v>
      </c>
      <c r="KQ181" t="n">
        <v>0</v>
      </c>
      <c r="KR181" t="n">
        <v>0</v>
      </c>
      <c r="LL181" t="n">
        <v>8</v>
      </c>
      <c r="LR181" t="n">
        <v>0</v>
      </c>
      <c r="OH181" t="n">
        <v>143</v>
      </c>
      <c r="OO181" t="n">
        <v>9478</v>
      </c>
      <c r="OP181" t="n">
        <v>171</v>
      </c>
      <c r="OQ181" t="n">
        <v>15408</v>
      </c>
      <c r="OU181" t="n">
        <v>104</v>
      </c>
      <c r="OV181" t="n">
        <v>394</v>
      </c>
      <c r="OX181" t="n">
        <v>2</v>
      </c>
      <c r="PB181" t="n">
        <v>47</v>
      </c>
      <c r="PF181" t="n">
        <v>2091</v>
      </c>
      <c r="PI181" t="n">
        <v>27695</v>
      </c>
      <c r="PM181">
        <f>IFERROR(VLOOKUP($A181&amp;"",Key!$A:$C,3,FALSE),"")</f>
        <v/>
      </c>
    </row>
    <row r="182">
      <c r="A182" t="n">
        <v>337900</v>
      </c>
      <c r="B182" t="inlineStr">
        <is>
          <t>Other furniture related product manufacturing</t>
        </is>
      </c>
      <c r="E182" t="n">
        <v>0</v>
      </c>
      <c r="AA182" t="n">
        <v>4</v>
      </c>
      <c r="FK182" t="n">
        <v>444</v>
      </c>
      <c r="FQ182" t="n">
        <v>24</v>
      </c>
      <c r="FW182" t="n">
        <v>261</v>
      </c>
      <c r="KG182" t="n">
        <v>0</v>
      </c>
      <c r="KK182" t="n">
        <v>0</v>
      </c>
      <c r="NM182" t="n">
        <v>0</v>
      </c>
      <c r="OO182" t="n">
        <v>733</v>
      </c>
      <c r="OP182" t="n">
        <v>28858</v>
      </c>
      <c r="OQ182" t="n">
        <v>1258</v>
      </c>
      <c r="OS182" t="n">
        <v>210</v>
      </c>
      <c r="OU182" t="n">
        <v>48</v>
      </c>
      <c r="OV182" t="n">
        <v>237</v>
      </c>
      <c r="PF182" t="n">
        <v>68</v>
      </c>
      <c r="PI182" t="n">
        <v>31412</v>
      </c>
      <c r="PM182">
        <f>IFERROR(VLOOKUP($A182&amp;"",Key!$A:$C,3,FALSE),"")</f>
        <v/>
      </c>
    </row>
    <row r="183">
      <c r="A183" t="n">
        <v>339112</v>
      </c>
      <c r="B183" t="inlineStr">
        <is>
          <t>Surgical and medical instrument manufacturing</t>
        </is>
      </c>
      <c r="FX183" t="n">
        <v>442</v>
      </c>
      <c r="FY183" t="n">
        <v>94</v>
      </c>
      <c r="GA183" t="n">
        <v>9</v>
      </c>
      <c r="GB183" t="n">
        <v>0</v>
      </c>
      <c r="JZ183" t="n">
        <v>0</v>
      </c>
      <c r="LW183" t="n">
        <v>3</v>
      </c>
      <c r="LZ183" t="n">
        <v>6</v>
      </c>
      <c r="MD183" t="n">
        <v>353</v>
      </c>
      <c r="MQ183" t="n">
        <v>0</v>
      </c>
      <c r="MS183" t="n">
        <v>6724</v>
      </c>
      <c r="MT183" t="n">
        <v>135</v>
      </c>
      <c r="MU183" t="n">
        <v>3</v>
      </c>
      <c r="MV183" t="n">
        <v>1406</v>
      </c>
      <c r="MW183" t="n">
        <v>43</v>
      </c>
      <c r="MX183" t="n">
        <v>16</v>
      </c>
      <c r="MY183" t="n">
        <v>58</v>
      </c>
      <c r="MZ183" t="n">
        <v>22890</v>
      </c>
      <c r="NA183" t="n">
        <v>543</v>
      </c>
      <c r="NB183" t="n">
        <v>2</v>
      </c>
      <c r="NC183" t="n">
        <v>7</v>
      </c>
      <c r="OD183" t="n">
        <v>157</v>
      </c>
      <c r="OE183" t="n">
        <v>11</v>
      </c>
      <c r="OJ183" t="n">
        <v>425</v>
      </c>
      <c r="OO183" t="n">
        <v>33328</v>
      </c>
      <c r="OP183" t="n">
        <v>164</v>
      </c>
      <c r="OQ183" t="n">
        <v>28720</v>
      </c>
      <c r="OU183" t="n">
        <v>317</v>
      </c>
      <c r="OV183" t="n">
        <v>13061</v>
      </c>
      <c r="OX183" t="n">
        <v>71</v>
      </c>
      <c r="PB183" t="n">
        <v>6</v>
      </c>
      <c r="PF183" t="n">
        <v>128</v>
      </c>
      <c r="PI183" t="n">
        <v>75795</v>
      </c>
      <c r="PM183">
        <f>IFERROR(VLOOKUP($A183&amp;"",Key!$A:$C,3,FALSE),"")</f>
        <v/>
      </c>
    </row>
    <row r="184">
      <c r="A184" t="n">
        <v>339113</v>
      </c>
      <c r="B184" t="inlineStr">
        <is>
          <t>Surgical appliance and supplies manufacturing</t>
        </is>
      </c>
      <c r="AH184" t="n">
        <v>9</v>
      </c>
      <c r="AI184" t="n">
        <v>1</v>
      </c>
      <c r="AO184" t="n">
        <v>4</v>
      </c>
      <c r="AQ184" t="n">
        <v>3</v>
      </c>
      <c r="AR184" t="n">
        <v>2</v>
      </c>
      <c r="AS184" t="n">
        <v>3</v>
      </c>
      <c r="AV184" t="n">
        <v>3</v>
      </c>
      <c r="AW184" t="n">
        <v>5</v>
      </c>
      <c r="BA184" t="n">
        <v>5</v>
      </c>
      <c r="BB184" t="n">
        <v>42</v>
      </c>
      <c r="BD184" t="n">
        <v>7</v>
      </c>
      <c r="BG184" t="n">
        <v>3</v>
      </c>
      <c r="BJ184" t="n">
        <v>4</v>
      </c>
      <c r="BK184" t="n">
        <v>5</v>
      </c>
      <c r="BR184" t="n">
        <v>6</v>
      </c>
      <c r="BX184" t="n">
        <v>5</v>
      </c>
      <c r="CF184" t="n">
        <v>4</v>
      </c>
      <c r="CG184" t="n">
        <v>4</v>
      </c>
      <c r="CJ184" t="n">
        <v>45</v>
      </c>
      <c r="CK184" t="n">
        <v>6</v>
      </c>
      <c r="CL184" t="n">
        <v>27</v>
      </c>
      <c r="CO184" t="n">
        <v>1</v>
      </c>
      <c r="CZ184" t="n">
        <v>6</v>
      </c>
      <c r="DA184" t="n">
        <v>0</v>
      </c>
      <c r="DB184" t="n">
        <v>13</v>
      </c>
      <c r="DE184" t="n">
        <v>2</v>
      </c>
      <c r="DG184" t="n">
        <v>19</v>
      </c>
      <c r="ED184" t="n">
        <v>4</v>
      </c>
      <c r="EH184" t="n">
        <v>2</v>
      </c>
      <c r="EJ184" t="n">
        <v>3</v>
      </c>
      <c r="EN184" t="n">
        <v>19</v>
      </c>
      <c r="EP184" t="n">
        <v>6</v>
      </c>
      <c r="ES184" t="n">
        <v>16</v>
      </c>
      <c r="FA184" t="n">
        <v>13</v>
      </c>
      <c r="FC184" t="n">
        <v>9</v>
      </c>
      <c r="FD184" t="n">
        <v>9</v>
      </c>
      <c r="FK184" t="n">
        <v>10</v>
      </c>
      <c r="FM184" t="n">
        <v>2</v>
      </c>
      <c r="FX184" t="n">
        <v>2062</v>
      </c>
      <c r="FY184" t="n">
        <v>1958</v>
      </c>
      <c r="FZ184" t="n">
        <v>1</v>
      </c>
      <c r="GA184" t="n">
        <v>7</v>
      </c>
      <c r="IW184" t="n">
        <v>32</v>
      </c>
      <c r="IX184" t="n">
        <v>10</v>
      </c>
      <c r="IZ184" t="n">
        <v>20</v>
      </c>
      <c r="JZ184" t="n">
        <v>0</v>
      </c>
      <c r="LW184" t="n">
        <v>59</v>
      </c>
      <c r="LZ184" t="n">
        <v>51</v>
      </c>
      <c r="MD184" t="n">
        <v>131</v>
      </c>
      <c r="MF184" t="n">
        <v>1</v>
      </c>
      <c r="MH184" t="n">
        <v>333</v>
      </c>
      <c r="MO184" t="n">
        <v>312</v>
      </c>
      <c r="MR184" t="n">
        <v>10</v>
      </c>
      <c r="MS184" t="n">
        <v>8162</v>
      </c>
      <c r="MT184" t="n">
        <v>408</v>
      </c>
      <c r="MU184" t="n">
        <v>36</v>
      </c>
      <c r="MV184" t="n">
        <v>572</v>
      </c>
      <c r="MW184" t="n">
        <v>4</v>
      </c>
      <c r="MY184" t="n">
        <v>0</v>
      </c>
      <c r="MZ184" t="n">
        <v>12584</v>
      </c>
      <c r="NA184" t="n">
        <v>344</v>
      </c>
      <c r="NB184" t="n">
        <v>76</v>
      </c>
      <c r="NC184" t="n">
        <v>62</v>
      </c>
      <c r="NE184" t="n">
        <v>248</v>
      </c>
      <c r="OD184" t="n">
        <v>958</v>
      </c>
      <c r="OE184" t="n">
        <v>278</v>
      </c>
      <c r="OJ184" t="n">
        <v>4504</v>
      </c>
      <c r="OK184" t="n">
        <v>1</v>
      </c>
      <c r="OM184" t="n">
        <v>39</v>
      </c>
      <c r="ON184" t="n">
        <v>0</v>
      </c>
      <c r="OO184" t="n">
        <v>33585</v>
      </c>
      <c r="OP184" t="n">
        <v>26578</v>
      </c>
      <c r="OQ184" t="n">
        <v>11270</v>
      </c>
      <c r="OU184" t="n">
        <v>242</v>
      </c>
      <c r="OV184" t="n">
        <v>9196</v>
      </c>
      <c r="OX184" t="n">
        <v>6</v>
      </c>
      <c r="PB184" t="n">
        <v>61</v>
      </c>
      <c r="PF184" t="n">
        <v>1102</v>
      </c>
      <c r="PI184" t="n">
        <v>82040</v>
      </c>
      <c r="PM184">
        <f>IFERROR(VLOOKUP($A184&amp;"",Key!$A:$C,3,FALSE),"")</f>
        <v/>
      </c>
    </row>
    <row r="185">
      <c r="A185" t="n">
        <v>339114</v>
      </c>
      <c r="B185" t="inlineStr">
        <is>
          <t>Dental equipment and supplies manufacturing</t>
        </is>
      </c>
      <c r="FY185" t="n">
        <v>0</v>
      </c>
      <c r="FZ185" t="n">
        <v>1</v>
      </c>
      <c r="GB185" t="n">
        <v>564</v>
      </c>
      <c r="MT185" t="n">
        <v>2510</v>
      </c>
      <c r="OI185" t="n">
        <v>0</v>
      </c>
      <c r="OJ185" t="n">
        <v>47</v>
      </c>
      <c r="OO185" t="n">
        <v>3122</v>
      </c>
      <c r="OQ185" t="n">
        <v>4233</v>
      </c>
      <c r="OU185" t="n">
        <v>8</v>
      </c>
      <c r="OV185" t="n">
        <v>1338</v>
      </c>
      <c r="OX185" t="n">
        <v>131</v>
      </c>
      <c r="PB185" t="n">
        <v>83</v>
      </c>
      <c r="PF185" t="n">
        <v>33</v>
      </c>
      <c r="PI185" t="n">
        <v>8948</v>
      </c>
      <c r="PM185">
        <f>IFERROR(VLOOKUP($A185&amp;"",Key!$A:$C,3,FALSE),"")</f>
        <v/>
      </c>
    </row>
    <row r="186">
      <c r="A186" t="n">
        <v>339115</v>
      </c>
      <c r="B186" t="inlineStr">
        <is>
          <t>Ophthalmic goods manufacturing</t>
        </is>
      </c>
      <c r="AO186" t="n">
        <v>1</v>
      </c>
      <c r="BC186" t="n">
        <v>2</v>
      </c>
      <c r="BT186" t="n">
        <v>1</v>
      </c>
      <c r="BX186" t="n">
        <v>4</v>
      </c>
      <c r="CQ186" t="n">
        <v>1</v>
      </c>
      <c r="CT186" t="n">
        <v>2</v>
      </c>
      <c r="EX186" t="n">
        <v>1</v>
      </c>
      <c r="EZ186" t="n">
        <v>3</v>
      </c>
      <c r="FB186" t="n">
        <v>2</v>
      </c>
      <c r="FC186" t="n">
        <v>4</v>
      </c>
      <c r="FE186" t="n">
        <v>1</v>
      </c>
      <c r="FK186" t="n">
        <v>2</v>
      </c>
      <c r="FY186" t="n">
        <v>1</v>
      </c>
      <c r="GA186" t="n">
        <v>1</v>
      </c>
      <c r="GH186" t="n">
        <v>2</v>
      </c>
      <c r="JE186" t="n">
        <v>66</v>
      </c>
      <c r="LM186" t="n">
        <v>42</v>
      </c>
      <c r="NM186" t="n">
        <v>7</v>
      </c>
      <c r="NT186" t="n">
        <v>6</v>
      </c>
      <c r="OI186" t="n">
        <v>2</v>
      </c>
      <c r="OO186" t="n">
        <v>150</v>
      </c>
      <c r="OP186" t="n">
        <v>22945</v>
      </c>
      <c r="OU186" t="n">
        <v>-46</v>
      </c>
      <c r="OV186" t="n">
        <v>1606</v>
      </c>
      <c r="PI186" t="n">
        <v>24656</v>
      </c>
      <c r="PM186">
        <f>IFERROR(VLOOKUP($A186&amp;"",Key!$A:$C,3,FALSE),"")</f>
        <v/>
      </c>
    </row>
    <row r="187">
      <c r="A187" t="n">
        <v>339116</v>
      </c>
      <c r="B187" t="inlineStr">
        <is>
          <t>Dental laboratories</t>
        </is>
      </c>
      <c r="FY187" t="n">
        <v>0</v>
      </c>
      <c r="FZ187" t="n">
        <v>12</v>
      </c>
      <c r="GA187" t="n">
        <v>0</v>
      </c>
      <c r="GB187" t="n">
        <v>1</v>
      </c>
      <c r="MT187" t="n">
        <v>7293</v>
      </c>
      <c r="OO187" t="n">
        <v>7307</v>
      </c>
      <c r="OU187" t="n">
        <v>23</v>
      </c>
      <c r="OV187" t="n">
        <v>19</v>
      </c>
      <c r="PI187" t="n">
        <v>7349</v>
      </c>
      <c r="PM187">
        <f>IFERROR(VLOOKUP($A187&amp;"",Key!$A:$C,3,FALSE),"")</f>
        <v/>
      </c>
    </row>
    <row r="188">
      <c r="A188" t="n">
        <v>339910</v>
      </c>
      <c r="B188" t="inlineStr">
        <is>
          <t>Jewelry and silverware manufacturing</t>
        </is>
      </c>
      <c r="AX188" t="n">
        <v>54</v>
      </c>
      <c r="GC188" t="n">
        <v>2749</v>
      </c>
      <c r="JO188" t="n">
        <v>62</v>
      </c>
      <c r="JV188" t="n">
        <v>640</v>
      </c>
      <c r="KB188" t="n">
        <v>832</v>
      </c>
      <c r="KC188" t="n">
        <v>466</v>
      </c>
      <c r="MP188" t="n">
        <v>1</v>
      </c>
      <c r="MZ188" t="n">
        <v>4</v>
      </c>
      <c r="NM188" t="n">
        <v>4</v>
      </c>
      <c r="NO188" t="n">
        <v>594</v>
      </c>
      <c r="NP188" t="n">
        <v>3</v>
      </c>
      <c r="OE188" t="n">
        <v>51</v>
      </c>
      <c r="OI188" t="n">
        <v>42</v>
      </c>
      <c r="OJ188" t="n">
        <v>12</v>
      </c>
      <c r="OK188" t="n">
        <v>22</v>
      </c>
      <c r="OO188" t="n">
        <v>5535</v>
      </c>
      <c r="OP188" t="n">
        <v>43280</v>
      </c>
      <c r="OU188" t="n">
        <v>-144</v>
      </c>
      <c r="OV188" t="n">
        <v>8292</v>
      </c>
      <c r="PI188" t="n">
        <v>56964</v>
      </c>
      <c r="PM188">
        <f>IFERROR(VLOOKUP($A188&amp;"",Key!$A:$C,3,FALSE),"")</f>
        <v/>
      </c>
    </row>
    <row r="189">
      <c r="A189" t="n">
        <v>339920</v>
      </c>
      <c r="B189" t="inlineStr">
        <is>
          <t>Sporting and athletic goods manufacturing</t>
        </is>
      </c>
      <c r="D189" t="n">
        <v>0</v>
      </c>
      <c r="AB189" t="n">
        <v>210</v>
      </c>
      <c r="AL189" t="n">
        <v>0</v>
      </c>
      <c r="GD189" t="n">
        <v>573</v>
      </c>
      <c r="JO189" t="n">
        <v>0</v>
      </c>
      <c r="JQ189" t="n">
        <v>0</v>
      </c>
      <c r="JR189" t="n">
        <v>0</v>
      </c>
      <c r="JV189" t="n">
        <v>22</v>
      </c>
      <c r="JW189" t="n">
        <v>9</v>
      </c>
      <c r="JY189" t="n">
        <v>4</v>
      </c>
      <c r="JZ189" t="n">
        <v>3</v>
      </c>
      <c r="KA189" t="n">
        <v>9</v>
      </c>
      <c r="KS189" t="n">
        <v>0</v>
      </c>
      <c r="KZ189" t="n">
        <v>0</v>
      </c>
      <c r="LC189" t="n">
        <v>0</v>
      </c>
      <c r="LD189" t="n">
        <v>1</v>
      </c>
      <c r="LI189" t="n">
        <v>0</v>
      </c>
      <c r="LR189" t="n">
        <v>0</v>
      </c>
      <c r="LS189" t="n">
        <v>0</v>
      </c>
      <c r="LT189" t="n">
        <v>1</v>
      </c>
      <c r="LV189" t="n">
        <v>0</v>
      </c>
      <c r="LW189" t="n">
        <v>0</v>
      </c>
      <c r="LX189" t="n">
        <v>0</v>
      </c>
      <c r="MA189" t="n">
        <v>0</v>
      </c>
      <c r="ME189" t="n">
        <v>0</v>
      </c>
      <c r="MG189" t="n">
        <v>2</v>
      </c>
      <c r="MH189" t="n">
        <v>1</v>
      </c>
      <c r="MJ189" t="n">
        <v>0</v>
      </c>
      <c r="MN189" t="n">
        <v>0</v>
      </c>
      <c r="MO189" t="n">
        <v>0</v>
      </c>
      <c r="MP189" t="n">
        <v>51</v>
      </c>
      <c r="MQ189" t="n">
        <v>16</v>
      </c>
      <c r="MR189" t="n">
        <v>14</v>
      </c>
      <c r="MS189" t="n">
        <v>0</v>
      </c>
      <c r="MX189" t="n">
        <v>0</v>
      </c>
      <c r="MZ189" t="n">
        <v>0</v>
      </c>
      <c r="NA189" t="n">
        <v>15</v>
      </c>
      <c r="NB189" t="n">
        <v>1</v>
      </c>
      <c r="ND189" t="n">
        <v>30</v>
      </c>
      <c r="NG189" t="n">
        <v>1</v>
      </c>
      <c r="NI189" t="n">
        <v>3</v>
      </c>
      <c r="NK189" t="n">
        <v>3</v>
      </c>
      <c r="NL189" t="n">
        <v>26</v>
      </c>
      <c r="NM189" t="n">
        <v>92</v>
      </c>
      <c r="NN189" t="n">
        <v>3</v>
      </c>
      <c r="NP189" t="n">
        <v>18</v>
      </c>
      <c r="NQ189" t="n">
        <v>2</v>
      </c>
      <c r="OA189" t="n">
        <v>0</v>
      </c>
      <c r="OD189" t="n">
        <v>1</v>
      </c>
      <c r="OE189" t="n">
        <v>12</v>
      </c>
      <c r="OI189" t="n">
        <v>269</v>
      </c>
      <c r="OK189" t="n">
        <v>113</v>
      </c>
      <c r="OO189" t="n">
        <v>1506</v>
      </c>
      <c r="OP189" t="n">
        <v>32601</v>
      </c>
      <c r="OQ189" t="n">
        <v>4020</v>
      </c>
      <c r="OU189" t="n">
        <v>-212</v>
      </c>
      <c r="OV189" t="n">
        <v>1887</v>
      </c>
      <c r="OX189" t="n">
        <v>0</v>
      </c>
      <c r="PB189" t="n">
        <v>1</v>
      </c>
      <c r="PF189" t="n">
        <v>623</v>
      </c>
      <c r="PI189" t="n">
        <v>40426</v>
      </c>
      <c r="PM189">
        <f>IFERROR(VLOOKUP($A189&amp;"",Key!$A:$C,3,FALSE),"")</f>
        <v/>
      </c>
    </row>
    <row r="190">
      <c r="A190" t="n">
        <v>339930</v>
      </c>
      <c r="B190" t="inlineStr">
        <is>
          <t>Doll, toy, and game manufacturing</t>
        </is>
      </c>
      <c r="GE190" t="n">
        <v>2</v>
      </c>
      <c r="JO190" t="n">
        <v>5</v>
      </c>
      <c r="MP190" t="n">
        <v>9</v>
      </c>
      <c r="NA190" t="n">
        <v>36</v>
      </c>
      <c r="NB190" t="n">
        <v>2</v>
      </c>
      <c r="NC190" t="n">
        <v>358</v>
      </c>
      <c r="ND190" t="n">
        <v>199</v>
      </c>
      <c r="NE190" t="n">
        <v>2</v>
      </c>
      <c r="NL190" t="n">
        <v>2</v>
      </c>
      <c r="NM190" t="n">
        <v>17</v>
      </c>
      <c r="OE190" t="n">
        <v>10</v>
      </c>
      <c r="OI190" t="n">
        <v>140</v>
      </c>
      <c r="OJ190" t="n">
        <v>69</v>
      </c>
      <c r="OK190" t="n">
        <v>81</v>
      </c>
      <c r="OO190" t="n">
        <v>932</v>
      </c>
      <c r="OP190" t="n">
        <v>62205</v>
      </c>
      <c r="OU190" t="n">
        <v>-29</v>
      </c>
      <c r="OV190" t="n">
        <v>1311</v>
      </c>
      <c r="PI190" t="n">
        <v>64419</v>
      </c>
      <c r="PM190">
        <f>IFERROR(VLOOKUP($A190&amp;"",Key!$A:$C,3,FALSE),"")</f>
        <v/>
      </c>
    </row>
    <row r="191">
      <c r="A191" t="n">
        <v>339940</v>
      </c>
      <c r="B191" t="inlineStr">
        <is>
          <t>Office supplies (except paper) manufacturing</t>
        </is>
      </c>
      <c r="AB191" t="n">
        <v>13</v>
      </c>
      <c r="AC191" t="n">
        <v>17</v>
      </c>
      <c r="AD191" t="n">
        <v>27</v>
      </c>
      <c r="AG191" t="n">
        <v>1</v>
      </c>
      <c r="AI191" t="n">
        <v>1</v>
      </c>
      <c r="AK191" t="n">
        <v>4</v>
      </c>
      <c r="FC191" t="n">
        <v>12</v>
      </c>
      <c r="GF191" t="n">
        <v>344</v>
      </c>
      <c r="IB191" t="n">
        <v>1</v>
      </c>
      <c r="JK191" t="n">
        <v>0</v>
      </c>
      <c r="JN191" t="n">
        <v>5</v>
      </c>
      <c r="JO191" t="n">
        <v>0</v>
      </c>
      <c r="JQ191" t="n">
        <v>0</v>
      </c>
      <c r="JR191" t="n">
        <v>1</v>
      </c>
      <c r="JS191" t="n">
        <v>0</v>
      </c>
      <c r="JW191" t="n">
        <v>0</v>
      </c>
      <c r="JX191" t="n">
        <v>0</v>
      </c>
      <c r="JY191" t="n">
        <v>2</v>
      </c>
      <c r="JZ191" t="n">
        <v>0</v>
      </c>
      <c r="KB191" t="n">
        <v>0</v>
      </c>
      <c r="KC191" t="n">
        <v>161</v>
      </c>
      <c r="KD191" t="n">
        <v>0</v>
      </c>
      <c r="KF191" t="n">
        <v>0</v>
      </c>
      <c r="KI191" t="n">
        <v>12</v>
      </c>
      <c r="KJ191" t="n">
        <v>1</v>
      </c>
      <c r="KK191" t="n">
        <v>123</v>
      </c>
      <c r="KL191" t="n">
        <v>0</v>
      </c>
      <c r="KM191" t="n">
        <v>16</v>
      </c>
      <c r="KO191" t="n">
        <v>0</v>
      </c>
      <c r="KX191" t="n">
        <v>4</v>
      </c>
      <c r="KZ191" t="n">
        <v>76</v>
      </c>
      <c r="LA191" t="n">
        <v>6</v>
      </c>
      <c r="LB191" t="n">
        <v>0</v>
      </c>
      <c r="LC191" t="n">
        <v>19</v>
      </c>
      <c r="LD191" t="n">
        <v>25</v>
      </c>
      <c r="LE191" t="n">
        <v>3</v>
      </c>
      <c r="LF191" t="n">
        <v>2</v>
      </c>
      <c r="LI191" t="n">
        <v>8</v>
      </c>
      <c r="LM191" t="n">
        <v>93</v>
      </c>
      <c r="LN191" t="n">
        <v>2</v>
      </c>
      <c r="LO191" t="n">
        <v>46</v>
      </c>
      <c r="LR191" t="n">
        <v>17</v>
      </c>
      <c r="LT191" t="n">
        <v>15</v>
      </c>
      <c r="LU191" t="n">
        <v>2</v>
      </c>
      <c r="LV191" t="n">
        <v>9</v>
      </c>
      <c r="LW191" t="n">
        <v>18</v>
      </c>
      <c r="LX191" t="n">
        <v>10</v>
      </c>
      <c r="LY191" t="n">
        <v>103</v>
      </c>
      <c r="LZ191" t="n">
        <v>2</v>
      </c>
      <c r="MA191" t="n">
        <v>340</v>
      </c>
      <c r="MB191" t="n">
        <v>160</v>
      </c>
      <c r="MC191" t="n">
        <v>23</v>
      </c>
      <c r="ME191" t="n">
        <v>2</v>
      </c>
      <c r="MF191" t="n">
        <v>3</v>
      </c>
      <c r="MG191" t="n">
        <v>87</v>
      </c>
      <c r="MH191" t="n">
        <v>8</v>
      </c>
      <c r="MI191" t="n">
        <v>2</v>
      </c>
      <c r="MJ191" t="n">
        <v>1</v>
      </c>
      <c r="MK191" t="n">
        <v>37</v>
      </c>
      <c r="MM191" t="n">
        <v>1</v>
      </c>
      <c r="MN191" t="n">
        <v>1</v>
      </c>
      <c r="MO191" t="n">
        <v>8</v>
      </c>
      <c r="MP191" t="n">
        <v>60</v>
      </c>
      <c r="MQ191" t="n">
        <v>107</v>
      </c>
      <c r="MR191" t="n">
        <v>22</v>
      </c>
      <c r="MS191" t="n">
        <v>19</v>
      </c>
      <c r="MT191" t="n">
        <v>5</v>
      </c>
      <c r="MU191" t="n">
        <v>0</v>
      </c>
      <c r="MX191" t="n">
        <v>1</v>
      </c>
      <c r="MY191" t="n">
        <v>5</v>
      </c>
      <c r="MZ191" t="n">
        <v>5</v>
      </c>
      <c r="NC191" t="n">
        <v>5</v>
      </c>
      <c r="ND191" t="n">
        <v>205</v>
      </c>
      <c r="NE191" t="n">
        <v>8</v>
      </c>
      <c r="NG191" t="n">
        <v>21</v>
      </c>
      <c r="NH191" t="n">
        <v>6</v>
      </c>
      <c r="NI191" t="n">
        <v>6</v>
      </c>
      <c r="NK191" t="n">
        <v>0</v>
      </c>
      <c r="NM191" t="n">
        <v>1</v>
      </c>
      <c r="NN191" t="n">
        <v>52</v>
      </c>
      <c r="NO191" t="n">
        <v>7</v>
      </c>
      <c r="NP191" t="n">
        <v>5</v>
      </c>
      <c r="NV191" t="n">
        <v>0</v>
      </c>
      <c r="NZ191" t="n">
        <v>1</v>
      </c>
      <c r="OA191" t="n">
        <v>1</v>
      </c>
      <c r="OB191" t="n">
        <v>7</v>
      </c>
      <c r="OD191" t="n">
        <v>3</v>
      </c>
      <c r="OE191" t="n">
        <v>142</v>
      </c>
      <c r="OI191" t="n">
        <v>460</v>
      </c>
      <c r="OJ191" t="n">
        <v>118</v>
      </c>
      <c r="OK191" t="n">
        <v>147</v>
      </c>
      <c r="OO191" t="n">
        <v>3293</v>
      </c>
      <c r="OP191" t="n">
        <v>4705</v>
      </c>
      <c r="OQ191" t="n">
        <v>22</v>
      </c>
      <c r="OU191" t="n">
        <v>-99</v>
      </c>
      <c r="OV191" t="n">
        <v>476</v>
      </c>
      <c r="PB191" t="n">
        <v>1</v>
      </c>
      <c r="PF191" t="n">
        <v>166</v>
      </c>
      <c r="PI191" t="n">
        <v>8564</v>
      </c>
      <c r="PM191">
        <f>IFERROR(VLOOKUP($A191&amp;"",Key!$A:$C,3,FALSE),"")</f>
        <v/>
      </c>
    </row>
    <row r="192">
      <c r="A192" t="n">
        <v>339950</v>
      </c>
      <c r="B192" t="inlineStr">
        <is>
          <t>Sign manufacturing</t>
        </is>
      </c>
      <c r="AE192" t="n">
        <v>128</v>
      </c>
      <c r="AJ192" t="n">
        <v>17</v>
      </c>
      <c r="AK192" t="n">
        <v>19</v>
      </c>
      <c r="AL192" t="n">
        <v>1058</v>
      </c>
      <c r="GG192" t="n">
        <v>11</v>
      </c>
      <c r="JQ192" t="n">
        <v>128</v>
      </c>
      <c r="JY192" t="n">
        <v>2</v>
      </c>
      <c r="LC192" t="n">
        <v>2</v>
      </c>
      <c r="LD192" t="n">
        <v>2</v>
      </c>
      <c r="LE192" t="n">
        <v>2</v>
      </c>
      <c r="LF192" t="n">
        <v>0</v>
      </c>
      <c r="NE192" t="n">
        <v>0</v>
      </c>
      <c r="OO192" t="n">
        <v>1368</v>
      </c>
      <c r="OQ192" t="n">
        <v>12610</v>
      </c>
      <c r="OU192" t="n">
        <v>17</v>
      </c>
      <c r="OV192" t="n">
        <v>347</v>
      </c>
      <c r="OX192" t="n">
        <v>0</v>
      </c>
      <c r="PB192" t="n">
        <v>3</v>
      </c>
      <c r="PI192" t="n">
        <v>14344</v>
      </c>
      <c r="PM192">
        <f>IFERROR(VLOOKUP($A192&amp;"",Key!$A:$C,3,FALSE),"")</f>
        <v/>
      </c>
    </row>
    <row r="193">
      <c r="A193" t="n">
        <v>339990</v>
      </c>
      <c r="B193" t="inlineStr">
        <is>
          <t>All other miscellaneous manufacturing</t>
        </is>
      </c>
      <c r="C193" t="n">
        <v>6</v>
      </c>
      <c r="D193" t="n">
        <v>20</v>
      </c>
      <c r="E193" t="n">
        <v>6</v>
      </c>
      <c r="F193" t="n">
        <v>5</v>
      </c>
      <c r="G193" t="n">
        <v>1</v>
      </c>
      <c r="H193" t="n">
        <v>7</v>
      </c>
      <c r="I193" t="n">
        <v>42</v>
      </c>
      <c r="J193" t="n">
        <v>43</v>
      </c>
      <c r="K193" t="n">
        <v>4</v>
      </c>
      <c r="L193" t="n">
        <v>0</v>
      </c>
      <c r="N193" t="n">
        <v>1</v>
      </c>
      <c r="P193" t="n">
        <v>21</v>
      </c>
      <c r="Q193" t="n">
        <v>10</v>
      </c>
      <c r="R193" t="n">
        <v>2</v>
      </c>
      <c r="S193" t="n">
        <v>8</v>
      </c>
      <c r="T193" t="n">
        <v>7</v>
      </c>
      <c r="U193" t="n">
        <v>8</v>
      </c>
      <c r="V193" t="n">
        <v>11</v>
      </c>
      <c r="W193" t="n">
        <v>18</v>
      </c>
      <c r="AA193" t="n">
        <v>4</v>
      </c>
      <c r="AB193" t="n">
        <v>33</v>
      </c>
      <c r="AC193" t="n">
        <v>65</v>
      </c>
      <c r="AD193" t="n">
        <v>19</v>
      </c>
      <c r="AE193" t="n">
        <v>19</v>
      </c>
      <c r="AF193" t="n">
        <v>9</v>
      </c>
      <c r="AG193" t="n">
        <v>192</v>
      </c>
      <c r="AH193" t="n">
        <v>4</v>
      </c>
      <c r="AI193" t="n">
        <v>6</v>
      </c>
      <c r="AJ193" t="n">
        <v>11</v>
      </c>
      <c r="AK193" t="n">
        <v>118</v>
      </c>
      <c r="AL193" t="n">
        <v>24</v>
      </c>
      <c r="AP193" t="n">
        <v>25</v>
      </c>
      <c r="AR193" t="n">
        <v>16</v>
      </c>
      <c r="AX193" t="n">
        <v>2</v>
      </c>
      <c r="BC193" t="n">
        <v>4</v>
      </c>
      <c r="BE193" t="n">
        <v>3</v>
      </c>
      <c r="BI193" t="n">
        <v>1</v>
      </c>
      <c r="BJ193" t="n">
        <v>2</v>
      </c>
      <c r="BW193" t="n">
        <v>2</v>
      </c>
      <c r="BX193" t="n">
        <v>3</v>
      </c>
      <c r="CB193" t="n">
        <v>48</v>
      </c>
      <c r="CF193" t="n">
        <v>1</v>
      </c>
      <c r="CH193" t="n">
        <v>114</v>
      </c>
      <c r="CI193" t="n">
        <v>8</v>
      </c>
      <c r="CJ193" t="n">
        <v>490</v>
      </c>
      <c r="CK193" t="n">
        <v>86</v>
      </c>
      <c r="CL193" t="n">
        <v>586</v>
      </c>
      <c r="CM193" t="n">
        <v>40</v>
      </c>
      <c r="CN193" t="n">
        <v>6</v>
      </c>
      <c r="CO193" t="n">
        <v>98</v>
      </c>
      <c r="CP193" t="n">
        <v>37</v>
      </c>
      <c r="CQ193" t="n">
        <v>64</v>
      </c>
      <c r="CR193" t="n">
        <v>21</v>
      </c>
      <c r="CW193" t="n">
        <v>211</v>
      </c>
      <c r="CZ193" t="n">
        <v>115</v>
      </c>
      <c r="DA193" t="n">
        <v>49</v>
      </c>
      <c r="DB193" t="n">
        <v>144</v>
      </c>
      <c r="DC193" t="n">
        <v>521</v>
      </c>
      <c r="DE193" t="n">
        <v>7</v>
      </c>
      <c r="DG193" t="n">
        <v>8</v>
      </c>
      <c r="DH193" t="n">
        <v>150</v>
      </c>
      <c r="DK193" t="n">
        <v>0</v>
      </c>
      <c r="DO193" t="n">
        <v>2</v>
      </c>
      <c r="EH193" t="n">
        <v>43</v>
      </c>
      <c r="EI193" t="n">
        <v>77</v>
      </c>
      <c r="EJ193" t="n">
        <v>513</v>
      </c>
      <c r="EM193" t="n">
        <v>2</v>
      </c>
      <c r="EQ193" t="n">
        <v>127</v>
      </c>
      <c r="ER193" t="n">
        <v>322</v>
      </c>
      <c r="ES193" t="n">
        <v>23</v>
      </c>
      <c r="EX193" t="n">
        <v>534</v>
      </c>
      <c r="EY193" t="n">
        <v>162</v>
      </c>
      <c r="EZ193" t="n">
        <v>279</v>
      </c>
      <c r="FA193" t="n">
        <v>22</v>
      </c>
      <c r="FC193" t="n">
        <v>536</v>
      </c>
      <c r="FD193" t="n">
        <v>754</v>
      </c>
      <c r="FH193" t="n">
        <v>179</v>
      </c>
      <c r="FS193" t="n">
        <v>17</v>
      </c>
      <c r="FY193" t="n">
        <v>3</v>
      </c>
      <c r="GA193" t="n">
        <v>0</v>
      </c>
      <c r="GC193" t="n">
        <v>13</v>
      </c>
      <c r="GH193" t="n">
        <v>1293</v>
      </c>
      <c r="GO193" t="n">
        <v>3</v>
      </c>
      <c r="GP193" t="n">
        <v>3</v>
      </c>
      <c r="GQ193" t="n">
        <v>3</v>
      </c>
      <c r="GR193" t="n">
        <v>2</v>
      </c>
      <c r="GS193" t="n">
        <v>3</v>
      </c>
      <c r="GU193" t="n">
        <v>3</v>
      </c>
      <c r="GV193" t="n">
        <v>4</v>
      </c>
      <c r="GZ193" t="n">
        <v>5</v>
      </c>
      <c r="HA193" t="n">
        <v>5</v>
      </c>
      <c r="HB193" t="n">
        <v>11</v>
      </c>
      <c r="HF193" t="n">
        <v>1</v>
      </c>
      <c r="HG193" t="n">
        <v>12</v>
      </c>
      <c r="HH193" t="n">
        <v>2</v>
      </c>
      <c r="HM193" t="n">
        <v>4</v>
      </c>
      <c r="HP193" t="n">
        <v>7</v>
      </c>
      <c r="HR193" t="n">
        <v>99</v>
      </c>
      <c r="HS193" t="n">
        <v>5</v>
      </c>
      <c r="HU193" t="n">
        <v>0</v>
      </c>
      <c r="IB193" t="n">
        <v>4</v>
      </c>
      <c r="IE193" t="n">
        <v>4</v>
      </c>
      <c r="II193" t="n">
        <v>1</v>
      </c>
      <c r="IK193" t="n">
        <v>14</v>
      </c>
      <c r="IL193" t="n">
        <v>401</v>
      </c>
      <c r="IM193" t="n">
        <v>16</v>
      </c>
      <c r="IW193" t="n">
        <v>23</v>
      </c>
      <c r="IX193" t="n">
        <v>3</v>
      </c>
      <c r="JF193" t="n">
        <v>1</v>
      </c>
      <c r="JG193" t="n">
        <v>78</v>
      </c>
      <c r="JK193" t="n">
        <v>1</v>
      </c>
      <c r="JL193" t="n">
        <v>43</v>
      </c>
      <c r="JM193" t="n">
        <v>58</v>
      </c>
      <c r="JN193" t="n">
        <v>6</v>
      </c>
      <c r="JO193" t="n">
        <v>183</v>
      </c>
      <c r="JP193" t="n">
        <v>175</v>
      </c>
      <c r="JQ193" t="n">
        <v>242</v>
      </c>
      <c r="JR193" t="n">
        <v>24</v>
      </c>
      <c r="JS193" t="n">
        <v>129</v>
      </c>
      <c r="JT193" t="n">
        <v>4</v>
      </c>
      <c r="JV193" t="n">
        <v>183</v>
      </c>
      <c r="JW193" t="n">
        <v>142</v>
      </c>
      <c r="JX193" t="n">
        <v>10</v>
      </c>
      <c r="JY193" t="n">
        <v>76</v>
      </c>
      <c r="JZ193" t="n">
        <v>18</v>
      </c>
      <c r="KA193" t="n">
        <v>9</v>
      </c>
      <c r="KB193" t="n">
        <v>538</v>
      </c>
      <c r="KC193" t="n">
        <v>89</v>
      </c>
      <c r="KD193" t="n">
        <v>13</v>
      </c>
      <c r="KE193" t="n">
        <v>0</v>
      </c>
      <c r="KF193" t="n">
        <v>1</v>
      </c>
      <c r="KH193" t="n">
        <v>10</v>
      </c>
      <c r="KI193" t="n">
        <v>17</v>
      </c>
      <c r="KK193" t="n">
        <v>18</v>
      </c>
      <c r="KL193" t="n">
        <v>76</v>
      </c>
      <c r="KM193" t="n">
        <v>159</v>
      </c>
      <c r="KN193" t="n">
        <v>0</v>
      </c>
      <c r="KO193" t="n">
        <v>0</v>
      </c>
      <c r="KQ193" t="n">
        <v>1</v>
      </c>
      <c r="KR193" t="n">
        <v>4</v>
      </c>
      <c r="KS193" t="n">
        <v>2</v>
      </c>
      <c r="KW193" t="n">
        <v>72</v>
      </c>
      <c r="KX193" t="n">
        <v>143</v>
      </c>
      <c r="KY193" t="n">
        <v>10</v>
      </c>
      <c r="KZ193" t="n">
        <v>15</v>
      </c>
      <c r="LB193" t="n">
        <v>0</v>
      </c>
      <c r="LC193" t="n">
        <v>49</v>
      </c>
      <c r="LD193" t="n">
        <v>50</v>
      </c>
      <c r="LE193" t="n">
        <v>7</v>
      </c>
      <c r="LF193" t="n">
        <v>12</v>
      </c>
      <c r="LI193" t="n">
        <v>4</v>
      </c>
      <c r="LK193" t="n">
        <v>0</v>
      </c>
      <c r="LL193" t="n">
        <v>0</v>
      </c>
      <c r="LM193" t="n">
        <v>262</v>
      </c>
      <c r="LN193" t="n">
        <v>7</v>
      </c>
      <c r="LO193" t="n">
        <v>7</v>
      </c>
      <c r="LP193" t="n">
        <v>3</v>
      </c>
      <c r="LT193" t="n">
        <v>36</v>
      </c>
      <c r="LV193" t="n">
        <v>277</v>
      </c>
      <c r="LW193" t="n">
        <v>394</v>
      </c>
      <c r="LX193" t="n">
        <v>24</v>
      </c>
      <c r="LY193" t="n">
        <v>44</v>
      </c>
      <c r="LZ193" t="n">
        <v>86</v>
      </c>
      <c r="MA193" t="n">
        <v>36</v>
      </c>
      <c r="MB193" t="n">
        <v>244</v>
      </c>
      <c r="MC193" t="n">
        <v>1</v>
      </c>
      <c r="MD193" t="n">
        <v>8</v>
      </c>
      <c r="ME193" t="n">
        <v>7</v>
      </c>
      <c r="MF193" t="n">
        <v>13</v>
      </c>
      <c r="MG193" t="n">
        <v>13</v>
      </c>
      <c r="MH193" t="n">
        <v>1787</v>
      </c>
      <c r="MI193" t="n">
        <v>1</v>
      </c>
      <c r="MJ193" t="n">
        <v>2</v>
      </c>
      <c r="MK193" t="n">
        <v>19</v>
      </c>
      <c r="MM193" t="n">
        <v>43</v>
      </c>
      <c r="MN193" t="n">
        <v>22</v>
      </c>
      <c r="MO193" t="n">
        <v>8</v>
      </c>
      <c r="MP193" t="n">
        <v>151</v>
      </c>
      <c r="MQ193" t="n">
        <v>15</v>
      </c>
      <c r="MR193" t="n">
        <v>13</v>
      </c>
      <c r="MS193" t="n">
        <v>15</v>
      </c>
      <c r="MT193" t="n">
        <v>12</v>
      </c>
      <c r="MU193" t="n">
        <v>1</v>
      </c>
      <c r="MV193" t="n">
        <v>59</v>
      </c>
      <c r="MW193" t="n">
        <v>6</v>
      </c>
      <c r="MX193" t="n">
        <v>27</v>
      </c>
      <c r="MY193" t="n">
        <v>19</v>
      </c>
      <c r="MZ193" t="n">
        <v>288</v>
      </c>
      <c r="NA193" t="n">
        <v>10</v>
      </c>
      <c r="NB193" t="n">
        <v>2</v>
      </c>
      <c r="NC193" t="n">
        <v>269</v>
      </c>
      <c r="ND193" t="n">
        <v>48</v>
      </c>
      <c r="NE193" t="n">
        <v>466</v>
      </c>
      <c r="NF193" t="n">
        <v>61</v>
      </c>
      <c r="NH193" t="n">
        <v>0</v>
      </c>
      <c r="NJ193" t="n">
        <v>34</v>
      </c>
      <c r="NK193" t="n">
        <v>154</v>
      </c>
      <c r="NL193" t="n">
        <v>24</v>
      </c>
      <c r="NM193" t="n">
        <v>45</v>
      </c>
      <c r="NN193" t="n">
        <v>23</v>
      </c>
      <c r="NO193" t="n">
        <v>104</v>
      </c>
      <c r="NP193" t="n">
        <v>102</v>
      </c>
      <c r="NQ193" t="n">
        <v>25</v>
      </c>
      <c r="NR193" t="n">
        <v>1</v>
      </c>
      <c r="NS193" t="n">
        <v>2</v>
      </c>
      <c r="NT193" t="n">
        <v>77</v>
      </c>
      <c r="NU193" t="n">
        <v>87</v>
      </c>
      <c r="NV193" t="n">
        <v>938</v>
      </c>
      <c r="NW193" t="n">
        <v>817</v>
      </c>
      <c r="NX193" t="n">
        <v>39</v>
      </c>
      <c r="NY193" t="n">
        <v>68</v>
      </c>
      <c r="NZ193" t="n">
        <v>92</v>
      </c>
      <c r="OA193" t="n">
        <v>173</v>
      </c>
      <c r="OB193" t="n">
        <v>193</v>
      </c>
      <c r="OD193" t="n">
        <v>4</v>
      </c>
      <c r="OE193" t="n">
        <v>61</v>
      </c>
      <c r="OI193" t="n">
        <v>258</v>
      </c>
      <c r="OJ193" t="n">
        <v>140</v>
      </c>
      <c r="OK193" t="n">
        <v>206</v>
      </c>
      <c r="ON193" t="n">
        <v>5</v>
      </c>
      <c r="OO193" t="n">
        <v>20279</v>
      </c>
      <c r="OP193" t="n">
        <v>52600</v>
      </c>
      <c r="OQ193" t="n">
        <v>5681</v>
      </c>
      <c r="OU193" t="n">
        <v>217</v>
      </c>
      <c r="OV193" t="n">
        <v>7657</v>
      </c>
      <c r="OX193" t="n">
        <v>42</v>
      </c>
      <c r="PF193" t="n">
        <v>186</v>
      </c>
      <c r="PI193" t="n">
        <v>86662</v>
      </c>
      <c r="PM193">
        <f>IFERROR(VLOOKUP($A193&amp;"",Key!$A:$C,3,FALSE),"")</f>
        <v/>
      </c>
    </row>
    <row r="194">
      <c r="A194" t="n">
        <v>311111</v>
      </c>
      <c r="B194" t="inlineStr">
        <is>
          <t>Dog and cat food manufacturing</t>
        </is>
      </c>
      <c r="GI194" t="n">
        <v>53</v>
      </c>
      <c r="MD194" t="n">
        <v>5762</v>
      </c>
      <c r="NY194" t="n">
        <v>6</v>
      </c>
      <c r="OE194" t="n">
        <v>44</v>
      </c>
      <c r="OJ194" t="n">
        <v>32</v>
      </c>
      <c r="OK194" t="n">
        <v>140</v>
      </c>
      <c r="OO194" t="n">
        <v>6037</v>
      </c>
      <c r="OP194" t="n">
        <v>40451</v>
      </c>
      <c r="OU194" t="n">
        <v>265</v>
      </c>
      <c r="OV194" t="n">
        <v>1424</v>
      </c>
      <c r="PI194" t="n">
        <v>48176</v>
      </c>
      <c r="PM194">
        <f>IFERROR(VLOOKUP($A194&amp;"",Key!$A:$C,3,FALSE),"")</f>
        <v/>
      </c>
    </row>
    <row r="195">
      <c r="A195" t="n">
        <v>311119</v>
      </c>
      <c r="B195" t="inlineStr">
        <is>
          <t>Other animal food manufacturing</t>
        </is>
      </c>
      <c r="I195" t="n">
        <v>8003</v>
      </c>
      <c r="J195" t="n">
        <v>8028</v>
      </c>
      <c r="K195" t="n">
        <v>18085</v>
      </c>
      <c r="L195" t="n">
        <v>2442</v>
      </c>
      <c r="M195" t="n">
        <v>0</v>
      </c>
      <c r="N195" t="n">
        <v>16</v>
      </c>
      <c r="O195" t="n">
        <v>249</v>
      </c>
      <c r="GI195" t="n">
        <v>1</v>
      </c>
      <c r="GJ195" t="n">
        <v>190</v>
      </c>
      <c r="GX195" t="n">
        <v>1758</v>
      </c>
      <c r="JS195" t="n">
        <v>1228</v>
      </c>
      <c r="JT195" t="n">
        <v>40</v>
      </c>
      <c r="JW195" t="n">
        <v>5</v>
      </c>
      <c r="KA195" t="n">
        <v>1</v>
      </c>
      <c r="KC195" t="n">
        <v>0</v>
      </c>
      <c r="KK195" t="n">
        <v>0</v>
      </c>
      <c r="KN195" t="n">
        <v>0</v>
      </c>
      <c r="KO195" t="n">
        <v>3</v>
      </c>
      <c r="KQ195" t="n">
        <v>1</v>
      </c>
      <c r="LZ195" t="n">
        <v>327</v>
      </c>
      <c r="MD195" t="n">
        <v>9</v>
      </c>
      <c r="MF195" t="n">
        <v>8</v>
      </c>
      <c r="MP195" t="n">
        <v>1</v>
      </c>
      <c r="MQ195" t="n">
        <v>51</v>
      </c>
      <c r="NN195" t="n">
        <v>213</v>
      </c>
      <c r="NO195" t="n">
        <v>23</v>
      </c>
      <c r="NP195" t="n">
        <v>15</v>
      </c>
      <c r="NQ195" t="n">
        <v>211</v>
      </c>
      <c r="OD195" t="n">
        <v>125</v>
      </c>
      <c r="OI195" t="n">
        <v>0</v>
      </c>
      <c r="OJ195" t="n">
        <v>2</v>
      </c>
      <c r="OK195" t="n">
        <v>27</v>
      </c>
      <c r="OO195" t="n">
        <v>41065</v>
      </c>
      <c r="OP195" t="n">
        <v>6000</v>
      </c>
      <c r="OU195" t="n">
        <v>343</v>
      </c>
      <c r="OV195" t="n">
        <v>2908</v>
      </c>
      <c r="PI195" t="n">
        <v>50317</v>
      </c>
      <c r="PM195">
        <f>IFERROR(VLOOKUP($A195&amp;"",Key!$A:$C,3,FALSE),"")</f>
        <v/>
      </c>
    </row>
    <row r="196">
      <c r="A196" t="n">
        <v>311210</v>
      </c>
      <c r="B196" t="inlineStr">
        <is>
          <t>Flour milling and malt manufacturing</t>
        </is>
      </c>
      <c r="I196" t="n">
        <v>508</v>
      </c>
      <c r="K196" t="n">
        <v>263</v>
      </c>
      <c r="L196" t="n">
        <v>10</v>
      </c>
      <c r="GI196" t="n">
        <v>642</v>
      </c>
      <c r="GJ196" t="n">
        <v>1091</v>
      </c>
      <c r="GK196" t="n">
        <v>884</v>
      </c>
      <c r="GO196" t="n">
        <v>310</v>
      </c>
      <c r="GQ196" t="n">
        <v>393</v>
      </c>
      <c r="GR196" t="n">
        <v>194</v>
      </c>
      <c r="GT196" t="n">
        <v>4</v>
      </c>
      <c r="GZ196" t="n">
        <v>1908</v>
      </c>
      <c r="HA196" t="n">
        <v>3701</v>
      </c>
      <c r="HB196" t="n">
        <v>751</v>
      </c>
      <c r="HE196" t="n">
        <v>47</v>
      </c>
      <c r="HF196" t="n">
        <v>1721</v>
      </c>
      <c r="HH196" t="n">
        <v>1700</v>
      </c>
      <c r="HJ196" t="n">
        <v>135</v>
      </c>
      <c r="JW196" t="n">
        <v>631</v>
      </c>
      <c r="JX196" t="n">
        <v>166</v>
      </c>
      <c r="KC196" t="n">
        <v>0</v>
      </c>
      <c r="KG196" t="n">
        <v>0</v>
      </c>
      <c r="MP196" t="n">
        <v>1</v>
      </c>
      <c r="MQ196" t="n">
        <v>6</v>
      </c>
      <c r="MZ196" t="n">
        <v>160</v>
      </c>
      <c r="NA196" t="n">
        <v>29</v>
      </c>
      <c r="NB196" t="n">
        <v>12</v>
      </c>
      <c r="NC196" t="n">
        <v>7</v>
      </c>
      <c r="ND196" t="n">
        <v>3</v>
      </c>
      <c r="NE196" t="n">
        <v>1</v>
      </c>
      <c r="NM196" t="n">
        <v>7</v>
      </c>
      <c r="NN196" t="n">
        <v>20</v>
      </c>
      <c r="NO196" t="n">
        <v>21</v>
      </c>
      <c r="NP196" t="n">
        <v>29</v>
      </c>
      <c r="NQ196" t="n">
        <v>2</v>
      </c>
      <c r="NZ196" t="n">
        <v>1</v>
      </c>
      <c r="OB196" t="n">
        <v>7</v>
      </c>
      <c r="OG196" t="n">
        <v>7</v>
      </c>
      <c r="OH196" t="n">
        <v>20</v>
      </c>
      <c r="OI196" t="n">
        <v>5</v>
      </c>
      <c r="OJ196" t="n">
        <v>12</v>
      </c>
      <c r="OK196" t="n">
        <v>16</v>
      </c>
      <c r="OO196" t="n">
        <v>15423</v>
      </c>
      <c r="OP196" t="n">
        <v>5598</v>
      </c>
      <c r="OU196" t="n">
        <v>265</v>
      </c>
      <c r="OV196" t="n">
        <v>2076</v>
      </c>
      <c r="PI196" t="n">
        <v>23361</v>
      </c>
      <c r="PM196">
        <f>IFERROR(VLOOKUP($A196&amp;"",Key!$A:$C,3,FALSE),"")</f>
        <v/>
      </c>
    </row>
    <row r="197">
      <c r="A197" t="n">
        <v>311221</v>
      </c>
      <c r="B197" t="inlineStr">
        <is>
          <t>Wet corn milling</t>
        </is>
      </c>
      <c r="I197" t="n">
        <v>1</v>
      </c>
      <c r="L197" t="n">
        <v>1</v>
      </c>
      <c r="AW197" t="n">
        <v>610</v>
      </c>
      <c r="GI197" t="n">
        <v>1224</v>
      </c>
      <c r="GJ197" t="n">
        <v>373</v>
      </c>
      <c r="GK197" t="n">
        <v>8</v>
      </c>
      <c r="GL197" t="n">
        <v>82</v>
      </c>
      <c r="GM197" t="n">
        <v>107</v>
      </c>
      <c r="GN197" t="n">
        <v>503</v>
      </c>
      <c r="GO197" t="n">
        <v>6</v>
      </c>
      <c r="GP197" t="n">
        <v>1250</v>
      </c>
      <c r="GQ197" t="n">
        <v>90</v>
      </c>
      <c r="GR197" t="n">
        <v>200</v>
      </c>
      <c r="GS197" t="n">
        <v>66</v>
      </c>
      <c r="GT197" t="n">
        <v>630</v>
      </c>
      <c r="GU197" t="n">
        <v>327</v>
      </c>
      <c r="GV197" t="n">
        <v>255</v>
      </c>
      <c r="GY197" t="n">
        <v>7</v>
      </c>
      <c r="GZ197" t="n">
        <v>1875</v>
      </c>
      <c r="HA197" t="n">
        <v>489</v>
      </c>
      <c r="HB197" t="n">
        <v>228</v>
      </c>
      <c r="HD197" t="n">
        <v>667</v>
      </c>
      <c r="HE197" t="n">
        <v>604</v>
      </c>
      <c r="HF197" t="n">
        <v>177</v>
      </c>
      <c r="HG197" t="n">
        <v>743</v>
      </c>
      <c r="HH197" t="n">
        <v>713</v>
      </c>
      <c r="HT197" t="n">
        <v>146</v>
      </c>
      <c r="HU197" t="n">
        <v>131</v>
      </c>
      <c r="HV197" t="n">
        <v>110</v>
      </c>
      <c r="IB197" t="n">
        <v>321</v>
      </c>
      <c r="IG197" t="n">
        <v>42</v>
      </c>
      <c r="IV197" t="n">
        <v>162</v>
      </c>
      <c r="JE197" t="n">
        <v>233</v>
      </c>
      <c r="JW197" t="n">
        <v>598</v>
      </c>
      <c r="JX197" t="n">
        <v>56</v>
      </c>
      <c r="KA197" t="n">
        <v>1</v>
      </c>
      <c r="KC197" t="n">
        <v>1</v>
      </c>
      <c r="KO197" t="n">
        <v>47</v>
      </c>
      <c r="KQ197" t="n">
        <v>0</v>
      </c>
      <c r="LA197" t="n">
        <v>89</v>
      </c>
      <c r="LW197" t="n">
        <v>31</v>
      </c>
      <c r="LZ197" t="n">
        <v>20</v>
      </c>
      <c r="MB197" t="n">
        <v>0</v>
      </c>
      <c r="MK197" t="n">
        <v>0</v>
      </c>
      <c r="MP197" t="n">
        <v>2</v>
      </c>
      <c r="MQ197" t="n">
        <v>69</v>
      </c>
      <c r="MZ197" t="n">
        <v>143</v>
      </c>
      <c r="NA197" t="n">
        <v>9</v>
      </c>
      <c r="NB197" t="n">
        <v>2</v>
      </c>
      <c r="NC197" t="n">
        <v>115</v>
      </c>
      <c r="NE197" t="n">
        <v>30</v>
      </c>
      <c r="NM197" t="n">
        <v>21</v>
      </c>
      <c r="NN197" t="n">
        <v>299</v>
      </c>
      <c r="NO197" t="n">
        <v>40</v>
      </c>
      <c r="NP197" t="n">
        <v>30</v>
      </c>
      <c r="NQ197" t="n">
        <v>200</v>
      </c>
      <c r="OI197" t="n">
        <v>196</v>
      </c>
      <c r="OJ197" t="n">
        <v>14</v>
      </c>
      <c r="OO197" t="n">
        <v>14398</v>
      </c>
      <c r="OP197" t="n">
        <v>3204</v>
      </c>
      <c r="OU197" t="n">
        <v>0</v>
      </c>
      <c r="OV197" t="n">
        <v>1904</v>
      </c>
      <c r="PI197" t="n">
        <v>19505</v>
      </c>
      <c r="PM197">
        <f>IFERROR(VLOOKUP($A197&amp;"",Key!$A:$C,3,FALSE),"")</f>
        <v/>
      </c>
    </row>
    <row r="198">
      <c r="A198" t="n">
        <v>311225</v>
      </c>
      <c r="B198" t="inlineStr">
        <is>
          <t>Fats and oils refining and blending</t>
        </is>
      </c>
      <c r="GI198" t="n">
        <v>767</v>
      </c>
      <c r="GJ198" t="n">
        <v>290</v>
      </c>
      <c r="GK198" t="n">
        <v>30</v>
      </c>
      <c r="GM198" t="n">
        <v>187</v>
      </c>
      <c r="GN198" t="n">
        <v>8</v>
      </c>
      <c r="GO198" t="n">
        <v>17</v>
      </c>
      <c r="GP198" t="n">
        <v>108</v>
      </c>
      <c r="GQ198" t="n">
        <v>229</v>
      </c>
      <c r="GR198" t="n">
        <v>3</v>
      </c>
      <c r="GS198" t="n">
        <v>59</v>
      </c>
      <c r="GT198" t="n">
        <v>182</v>
      </c>
      <c r="GU198" t="n">
        <v>53</v>
      </c>
      <c r="GV198" t="n">
        <v>7</v>
      </c>
      <c r="GY198" t="n">
        <v>49</v>
      </c>
      <c r="GZ198" t="n">
        <v>784</v>
      </c>
      <c r="HA198" t="n">
        <v>690</v>
      </c>
      <c r="HB198" t="n">
        <v>539</v>
      </c>
      <c r="HE198" t="n">
        <v>346</v>
      </c>
      <c r="HF198" t="n">
        <v>83</v>
      </c>
      <c r="ID198" t="n">
        <v>57</v>
      </c>
      <c r="IG198" t="n">
        <v>107</v>
      </c>
      <c r="IL198" t="n">
        <v>3115</v>
      </c>
      <c r="IM198" t="n">
        <v>0</v>
      </c>
      <c r="IU198" t="n">
        <v>1</v>
      </c>
      <c r="IX198" t="n">
        <v>0</v>
      </c>
      <c r="IZ198" t="n">
        <v>18</v>
      </c>
      <c r="JS198" t="n">
        <v>3</v>
      </c>
      <c r="JW198" t="n">
        <v>166</v>
      </c>
      <c r="JX198" t="n">
        <v>41</v>
      </c>
      <c r="KC198" t="n">
        <v>0</v>
      </c>
      <c r="MQ198" t="n">
        <v>12</v>
      </c>
      <c r="MZ198" t="n">
        <v>2</v>
      </c>
      <c r="NA198" t="n">
        <v>3</v>
      </c>
      <c r="NB198" t="n">
        <v>1</v>
      </c>
      <c r="NC198" t="n">
        <v>9</v>
      </c>
      <c r="ND198" t="n">
        <v>1</v>
      </c>
      <c r="NE198" t="n">
        <v>4</v>
      </c>
      <c r="NN198" t="n">
        <v>1</v>
      </c>
      <c r="NO198" t="n">
        <v>120</v>
      </c>
      <c r="NP198" t="n">
        <v>60</v>
      </c>
      <c r="NQ198" t="n">
        <v>17</v>
      </c>
      <c r="OB198" t="n">
        <v>2</v>
      </c>
      <c r="OD198" t="n">
        <v>1</v>
      </c>
      <c r="OI198" t="n">
        <v>9</v>
      </c>
      <c r="OJ198" t="n">
        <v>64</v>
      </c>
      <c r="OK198" t="n">
        <v>6</v>
      </c>
      <c r="OO198" t="n">
        <v>8248</v>
      </c>
      <c r="OP198" t="n">
        <v>5469</v>
      </c>
      <c r="OU198" t="n">
        <v>87</v>
      </c>
      <c r="OV198" t="n">
        <v>497</v>
      </c>
      <c r="PI198" t="n">
        <v>14302</v>
      </c>
      <c r="PM198">
        <f>IFERROR(VLOOKUP($A198&amp;"",Key!$A:$C,3,FALSE),"")</f>
        <v/>
      </c>
    </row>
    <row r="199">
      <c r="A199" t="n">
        <v>311224</v>
      </c>
      <c r="B199" t="inlineStr">
        <is>
          <t>Soybean and other oilseed processing</t>
        </is>
      </c>
      <c r="I199" t="n">
        <v>539</v>
      </c>
      <c r="J199" t="n">
        <v>127</v>
      </c>
      <c r="K199" t="n">
        <v>915</v>
      </c>
      <c r="L199" t="n">
        <v>66</v>
      </c>
      <c r="AP199" t="n">
        <v>26</v>
      </c>
      <c r="GI199" t="n">
        <v>2431</v>
      </c>
      <c r="GJ199" t="n">
        <v>5037</v>
      </c>
      <c r="GK199" t="n">
        <v>54</v>
      </c>
      <c r="GM199" t="n">
        <v>6101</v>
      </c>
      <c r="GN199" t="n">
        <v>3149</v>
      </c>
      <c r="GO199" t="n">
        <v>3549</v>
      </c>
      <c r="GP199" t="n">
        <v>737</v>
      </c>
      <c r="GQ199" t="n">
        <v>581</v>
      </c>
      <c r="GR199" t="n">
        <v>6</v>
      </c>
      <c r="GS199" t="n">
        <v>97</v>
      </c>
      <c r="GT199" t="n">
        <v>309</v>
      </c>
      <c r="GU199" t="n">
        <v>97</v>
      </c>
      <c r="GV199" t="n">
        <v>6</v>
      </c>
      <c r="GW199" t="n">
        <v>68</v>
      </c>
      <c r="GX199" t="n">
        <v>179</v>
      </c>
      <c r="GY199" t="n">
        <v>90</v>
      </c>
      <c r="GZ199" t="n">
        <v>628</v>
      </c>
      <c r="HA199" t="n">
        <v>235</v>
      </c>
      <c r="HB199" t="n">
        <v>3797</v>
      </c>
      <c r="HE199" t="n">
        <v>690</v>
      </c>
      <c r="HF199" t="n">
        <v>765</v>
      </c>
      <c r="HG199" t="n">
        <v>95</v>
      </c>
      <c r="HM199" t="n">
        <v>2</v>
      </c>
      <c r="HQ199" t="n">
        <v>34</v>
      </c>
      <c r="HU199" t="n">
        <v>100</v>
      </c>
      <c r="HV199" t="n">
        <v>16</v>
      </c>
      <c r="ID199" t="n">
        <v>29</v>
      </c>
      <c r="IE199" t="n">
        <v>10</v>
      </c>
      <c r="IG199" t="n">
        <v>234</v>
      </c>
      <c r="IM199" t="n">
        <v>12</v>
      </c>
      <c r="IO199" t="n">
        <v>0</v>
      </c>
      <c r="IQ199" t="n">
        <v>0</v>
      </c>
      <c r="IU199" t="n">
        <v>558</v>
      </c>
      <c r="IW199" t="n">
        <v>733</v>
      </c>
      <c r="IX199" t="n">
        <v>501</v>
      </c>
      <c r="IZ199" t="n">
        <v>265</v>
      </c>
      <c r="JQ199" t="n">
        <v>0</v>
      </c>
      <c r="JR199" t="n">
        <v>0</v>
      </c>
      <c r="JS199" t="n">
        <v>48</v>
      </c>
      <c r="JT199" t="n">
        <v>47</v>
      </c>
      <c r="JW199" t="n">
        <v>7</v>
      </c>
      <c r="JX199" t="n">
        <v>31</v>
      </c>
      <c r="KA199" t="n">
        <v>1</v>
      </c>
      <c r="KC199" t="n">
        <v>1</v>
      </c>
      <c r="KK199" t="n">
        <v>0</v>
      </c>
      <c r="MP199" t="n">
        <v>2</v>
      </c>
      <c r="MQ199" t="n">
        <v>79</v>
      </c>
      <c r="NN199" t="n">
        <v>341</v>
      </c>
      <c r="NO199" t="n">
        <v>1742</v>
      </c>
      <c r="NP199" t="n">
        <v>2291</v>
      </c>
      <c r="NQ199" t="n">
        <v>940</v>
      </c>
      <c r="OI199" t="n">
        <v>218</v>
      </c>
      <c r="OK199" t="n">
        <v>22</v>
      </c>
      <c r="OO199" t="n">
        <v>38640</v>
      </c>
      <c r="OP199" t="n">
        <v>5006</v>
      </c>
      <c r="OU199" t="n">
        <v>365</v>
      </c>
      <c r="OV199" t="n">
        <v>6629</v>
      </c>
      <c r="PI199" t="n">
        <v>50641</v>
      </c>
      <c r="PM199">
        <f>IFERROR(VLOOKUP($A199&amp;"",Key!$A:$C,3,FALSE),"")</f>
        <v/>
      </c>
    </row>
    <row r="200">
      <c r="A200" t="n">
        <v>311230</v>
      </c>
      <c r="B200" t="inlineStr">
        <is>
          <t>Breakfast cereal manufacturing</t>
        </is>
      </c>
      <c r="GO200" t="n">
        <v>3</v>
      </c>
      <c r="MP200" t="n">
        <v>1</v>
      </c>
      <c r="MQ200" t="n">
        <v>6</v>
      </c>
      <c r="MZ200" t="n">
        <v>2</v>
      </c>
      <c r="NA200" t="n">
        <v>3</v>
      </c>
      <c r="NB200" t="n">
        <v>2</v>
      </c>
      <c r="NC200" t="n">
        <v>17</v>
      </c>
      <c r="ND200" t="n">
        <v>12</v>
      </c>
      <c r="NE200" t="n">
        <v>0</v>
      </c>
      <c r="NN200" t="n">
        <v>0</v>
      </c>
      <c r="NO200" t="n">
        <v>6</v>
      </c>
      <c r="NP200" t="n">
        <v>7</v>
      </c>
      <c r="NQ200" t="n">
        <v>0</v>
      </c>
      <c r="OD200" t="n">
        <v>52</v>
      </c>
      <c r="OI200" t="n">
        <v>15</v>
      </c>
      <c r="OJ200" t="n">
        <v>62</v>
      </c>
      <c r="OK200" t="n">
        <v>79</v>
      </c>
      <c r="OO200" t="n">
        <v>267</v>
      </c>
      <c r="OP200" t="n">
        <v>16361</v>
      </c>
      <c r="OU200" t="n">
        <v>72</v>
      </c>
      <c r="OV200" t="n">
        <v>694</v>
      </c>
      <c r="PI200" t="n">
        <v>17395</v>
      </c>
      <c r="PM200">
        <f>IFERROR(VLOOKUP($A200&amp;"",Key!$A:$C,3,FALSE),"")</f>
        <v/>
      </c>
    </row>
    <row r="201">
      <c r="A201" t="n">
        <v>311300</v>
      </c>
      <c r="B201" t="inlineStr">
        <is>
          <t>Sugar and confectionery product manufacturing</t>
        </is>
      </c>
      <c r="I201" t="n">
        <v>184</v>
      </c>
      <c r="K201" t="n">
        <v>10</v>
      </c>
      <c r="L201" t="n">
        <v>5</v>
      </c>
      <c r="GI201" t="n">
        <v>55</v>
      </c>
      <c r="GJ201" t="n">
        <v>331</v>
      </c>
      <c r="GK201" t="n">
        <v>31</v>
      </c>
      <c r="GO201" t="n">
        <v>534</v>
      </c>
      <c r="GP201" t="n">
        <v>8146</v>
      </c>
      <c r="GQ201" t="n">
        <v>74</v>
      </c>
      <c r="GR201" t="n">
        <v>80</v>
      </c>
      <c r="GS201" t="n">
        <v>28</v>
      </c>
      <c r="GT201" t="n">
        <v>459</v>
      </c>
      <c r="GU201" t="n">
        <v>735</v>
      </c>
      <c r="GV201" t="n">
        <v>309</v>
      </c>
      <c r="GZ201" t="n">
        <v>2236</v>
      </c>
      <c r="HA201" t="n">
        <v>2082</v>
      </c>
      <c r="HB201" t="n">
        <v>76</v>
      </c>
      <c r="HD201" t="n">
        <v>239</v>
      </c>
      <c r="HE201" t="n">
        <v>291</v>
      </c>
      <c r="HF201" t="n">
        <v>322</v>
      </c>
      <c r="HG201" t="n">
        <v>498</v>
      </c>
      <c r="HH201" t="n">
        <v>0</v>
      </c>
      <c r="JW201" t="n">
        <v>37</v>
      </c>
      <c r="JX201" t="n">
        <v>53</v>
      </c>
      <c r="KA201" t="n">
        <v>4</v>
      </c>
      <c r="KC201" t="n">
        <v>0</v>
      </c>
      <c r="KG201" t="n">
        <v>6</v>
      </c>
      <c r="KK201" t="n">
        <v>0</v>
      </c>
      <c r="KS201" t="n">
        <v>15</v>
      </c>
      <c r="LW201" t="n">
        <v>3</v>
      </c>
      <c r="LZ201" t="n">
        <v>3</v>
      </c>
      <c r="MP201" t="n">
        <v>3</v>
      </c>
      <c r="MQ201" t="n">
        <v>187</v>
      </c>
      <c r="MZ201" t="n">
        <v>110</v>
      </c>
      <c r="NA201" t="n">
        <v>57</v>
      </c>
      <c r="NB201" t="n">
        <v>1</v>
      </c>
      <c r="NC201" t="n">
        <v>32</v>
      </c>
      <c r="ND201" t="n">
        <v>19</v>
      </c>
      <c r="NE201" t="n">
        <v>35</v>
      </c>
      <c r="NG201" t="n">
        <v>2</v>
      </c>
      <c r="NL201" t="n">
        <v>10</v>
      </c>
      <c r="NM201" t="n">
        <v>26</v>
      </c>
      <c r="NN201" t="n">
        <v>85</v>
      </c>
      <c r="NO201" t="n">
        <v>830</v>
      </c>
      <c r="NP201" t="n">
        <v>533</v>
      </c>
      <c r="NQ201" t="n">
        <v>169</v>
      </c>
      <c r="OB201" t="n">
        <v>18</v>
      </c>
      <c r="OD201" t="n">
        <v>131</v>
      </c>
      <c r="OH201" t="n">
        <v>6</v>
      </c>
      <c r="OI201" t="n">
        <v>145</v>
      </c>
      <c r="OJ201" t="n">
        <v>114</v>
      </c>
      <c r="OK201" t="n">
        <v>202</v>
      </c>
      <c r="OO201" t="n">
        <v>19561</v>
      </c>
      <c r="OP201" t="n">
        <v>47396</v>
      </c>
      <c r="OU201" t="n">
        <v>179</v>
      </c>
      <c r="OV201" t="n">
        <v>2919</v>
      </c>
      <c r="PI201" t="n">
        <v>70055</v>
      </c>
      <c r="PM201">
        <f>IFERROR(VLOOKUP($A201&amp;"",Key!$A:$C,3,FALSE),"")</f>
        <v/>
      </c>
    </row>
    <row r="202">
      <c r="A202" t="n">
        <v>311410</v>
      </c>
      <c r="B202" t="inlineStr">
        <is>
          <t>Frozen food manufacturing</t>
        </is>
      </c>
      <c r="GQ202" t="n">
        <v>2289</v>
      </c>
      <c r="GR202" t="n">
        <v>740</v>
      </c>
      <c r="GT202" t="n">
        <v>4</v>
      </c>
      <c r="GZ202" t="n">
        <v>210</v>
      </c>
      <c r="HA202" t="n">
        <v>42</v>
      </c>
      <c r="HB202" t="n">
        <v>150</v>
      </c>
      <c r="HD202" t="n">
        <v>58</v>
      </c>
      <c r="HE202" t="n">
        <v>49</v>
      </c>
      <c r="HF202" t="n">
        <v>254</v>
      </c>
      <c r="JS202" t="n">
        <v>117</v>
      </c>
      <c r="JW202" t="n">
        <v>1</v>
      </c>
      <c r="JX202" t="n">
        <v>30</v>
      </c>
      <c r="KC202" t="n">
        <v>0</v>
      </c>
      <c r="KG202" t="n">
        <v>13</v>
      </c>
      <c r="LZ202" t="n">
        <v>14</v>
      </c>
      <c r="MP202" t="n">
        <v>8</v>
      </c>
      <c r="MQ202" t="n">
        <v>200</v>
      </c>
      <c r="MZ202" t="n">
        <v>162</v>
      </c>
      <c r="NA202" t="n">
        <v>365</v>
      </c>
      <c r="NB202" t="n">
        <v>60</v>
      </c>
      <c r="NC202" t="n">
        <v>82</v>
      </c>
      <c r="NE202" t="n">
        <v>43</v>
      </c>
      <c r="NK202" t="n">
        <v>20</v>
      </c>
      <c r="NL202" t="n">
        <v>3</v>
      </c>
      <c r="NM202" t="n">
        <v>30</v>
      </c>
      <c r="NN202" t="n">
        <v>25</v>
      </c>
      <c r="NO202" t="n">
        <v>741</v>
      </c>
      <c r="NP202" t="n">
        <v>757</v>
      </c>
      <c r="NQ202" t="n">
        <v>135</v>
      </c>
      <c r="NZ202" t="n">
        <v>26</v>
      </c>
      <c r="OB202" t="n">
        <v>169</v>
      </c>
      <c r="OG202" t="n">
        <v>32</v>
      </c>
      <c r="OH202" t="n">
        <v>72</v>
      </c>
      <c r="OI202" t="n">
        <v>165</v>
      </c>
      <c r="OJ202" t="n">
        <v>667</v>
      </c>
      <c r="OK202" t="n">
        <v>202</v>
      </c>
      <c r="OO202" t="n">
        <v>7936</v>
      </c>
      <c r="OP202" t="n">
        <v>49939</v>
      </c>
      <c r="OU202" t="n">
        <v>158</v>
      </c>
      <c r="OV202" t="n">
        <v>2074</v>
      </c>
      <c r="PI202" t="n">
        <v>60108</v>
      </c>
      <c r="PM202">
        <f>IFERROR(VLOOKUP($A202&amp;"",Key!$A:$C,3,FALSE),"")</f>
        <v/>
      </c>
    </row>
    <row r="203">
      <c r="A203" t="n">
        <v>311420</v>
      </c>
      <c r="B203" t="inlineStr">
        <is>
          <t>Fruit and vegetable canning, pickling, and drying</t>
        </is>
      </c>
      <c r="GO203" t="n">
        <v>254</v>
      </c>
      <c r="GP203" t="n">
        <v>73</v>
      </c>
      <c r="GQ203" t="n">
        <v>328</v>
      </c>
      <c r="GR203" t="n">
        <v>5642</v>
      </c>
      <c r="GT203" t="n">
        <v>4</v>
      </c>
      <c r="GZ203" t="n">
        <v>329</v>
      </c>
      <c r="HA203" t="n">
        <v>118</v>
      </c>
      <c r="HB203" t="n">
        <v>37</v>
      </c>
      <c r="HD203" t="n">
        <v>7</v>
      </c>
      <c r="HE203" t="n">
        <v>318</v>
      </c>
      <c r="HF203" t="n">
        <v>145</v>
      </c>
      <c r="HG203" t="n">
        <v>370</v>
      </c>
      <c r="JX203" t="n">
        <v>6</v>
      </c>
      <c r="KG203" t="n">
        <v>12</v>
      </c>
      <c r="LZ203" t="n">
        <v>10</v>
      </c>
      <c r="MF203" t="n">
        <v>1</v>
      </c>
      <c r="MP203" t="n">
        <v>204</v>
      </c>
      <c r="MQ203" t="n">
        <v>310</v>
      </c>
      <c r="MZ203" t="n">
        <v>356</v>
      </c>
      <c r="NA203" t="n">
        <v>338</v>
      </c>
      <c r="NB203" t="n">
        <v>154</v>
      </c>
      <c r="NC203" t="n">
        <v>113</v>
      </c>
      <c r="ND203" t="n">
        <v>521</v>
      </c>
      <c r="NE203" t="n">
        <v>31</v>
      </c>
      <c r="NG203" t="n">
        <v>0</v>
      </c>
      <c r="NK203" t="n">
        <v>4</v>
      </c>
      <c r="NL203" t="n">
        <v>5</v>
      </c>
      <c r="NM203" t="n">
        <v>65</v>
      </c>
      <c r="NN203" t="n">
        <v>221</v>
      </c>
      <c r="NO203" t="n">
        <v>2327</v>
      </c>
      <c r="NP203" t="n">
        <v>1790</v>
      </c>
      <c r="NQ203" t="n">
        <v>404</v>
      </c>
      <c r="NZ203" t="n">
        <v>86</v>
      </c>
      <c r="OB203" t="n">
        <v>137</v>
      </c>
      <c r="OD203" t="n">
        <v>48</v>
      </c>
      <c r="OG203" t="n">
        <v>207</v>
      </c>
      <c r="OH203" t="n">
        <v>181</v>
      </c>
      <c r="OI203" t="n">
        <v>2834</v>
      </c>
      <c r="OJ203" t="n">
        <v>2550</v>
      </c>
      <c r="OK203" t="n">
        <v>1590</v>
      </c>
      <c r="OO203" t="n">
        <v>22130</v>
      </c>
      <c r="OP203" t="n">
        <v>46064</v>
      </c>
      <c r="OU203" t="n">
        <v>341</v>
      </c>
      <c r="OV203" t="n">
        <v>4252</v>
      </c>
      <c r="PI203" t="n">
        <v>72788</v>
      </c>
      <c r="PM203">
        <f>IFERROR(VLOOKUP($A203&amp;"",Key!$A:$C,3,FALSE),"")</f>
        <v/>
      </c>
    </row>
    <row r="204">
      <c r="A204" t="n">
        <v>311513</v>
      </c>
      <c r="B204" t="inlineStr">
        <is>
          <t>Cheese manufacturing</t>
        </is>
      </c>
      <c r="GQ204" t="n">
        <v>2288</v>
      </c>
      <c r="GS204" t="n">
        <v>12185</v>
      </c>
      <c r="GT204" t="n">
        <v>296</v>
      </c>
      <c r="GU204" t="n">
        <v>31</v>
      </c>
      <c r="GZ204" t="n">
        <v>118</v>
      </c>
      <c r="HA204" t="n">
        <v>178</v>
      </c>
      <c r="HF204" t="n">
        <v>1</v>
      </c>
      <c r="JW204" t="n">
        <v>439</v>
      </c>
      <c r="JX204" t="n">
        <v>294</v>
      </c>
      <c r="JZ204" t="n">
        <v>7</v>
      </c>
      <c r="KA204" t="n">
        <v>699</v>
      </c>
      <c r="KC204" t="n">
        <v>121</v>
      </c>
      <c r="KD204" t="n">
        <v>11</v>
      </c>
      <c r="KG204" t="n">
        <v>54</v>
      </c>
      <c r="KK204" t="n">
        <v>1</v>
      </c>
      <c r="LZ204" t="n">
        <v>19</v>
      </c>
      <c r="MP204" t="n">
        <v>315</v>
      </c>
      <c r="MQ204" t="n">
        <v>304</v>
      </c>
      <c r="MS204" t="n">
        <v>1</v>
      </c>
      <c r="MU204" t="n">
        <v>0</v>
      </c>
      <c r="MV204" t="n">
        <v>0</v>
      </c>
      <c r="MZ204" t="n">
        <v>873</v>
      </c>
      <c r="NA204" t="n">
        <v>517</v>
      </c>
      <c r="NB204" t="n">
        <v>22</v>
      </c>
      <c r="NC204" t="n">
        <v>88</v>
      </c>
      <c r="ND204" t="n">
        <v>652</v>
      </c>
      <c r="NE204" t="n">
        <v>60</v>
      </c>
      <c r="NF204" t="n">
        <v>15</v>
      </c>
      <c r="NG204" t="n">
        <v>62</v>
      </c>
      <c r="NH204" t="n">
        <v>0</v>
      </c>
      <c r="NI204" t="n">
        <v>88</v>
      </c>
      <c r="NJ204" t="n">
        <v>25</v>
      </c>
      <c r="NK204" t="n">
        <v>253</v>
      </c>
      <c r="NL204" t="n">
        <v>41</v>
      </c>
      <c r="NM204" t="n">
        <v>279</v>
      </c>
      <c r="NN204" t="n">
        <v>415</v>
      </c>
      <c r="NO204" t="n">
        <v>2394</v>
      </c>
      <c r="NP204" t="n">
        <v>2851</v>
      </c>
      <c r="NQ204" t="n">
        <v>514</v>
      </c>
      <c r="NZ204" t="n">
        <v>9</v>
      </c>
      <c r="OB204" t="n">
        <v>93</v>
      </c>
      <c r="OD204" t="n">
        <v>539</v>
      </c>
      <c r="OH204" t="n">
        <v>94</v>
      </c>
      <c r="OI204" t="n">
        <v>431</v>
      </c>
      <c r="OJ204" t="n">
        <v>463</v>
      </c>
      <c r="OK204" t="n">
        <v>668</v>
      </c>
      <c r="OO204" t="n">
        <v>28807</v>
      </c>
      <c r="OP204" t="n">
        <v>28347</v>
      </c>
      <c r="OU204" t="n">
        <v>110</v>
      </c>
      <c r="OV204" t="n">
        <v>1845</v>
      </c>
      <c r="PI204" t="n">
        <v>59110</v>
      </c>
      <c r="PM204">
        <f>IFERROR(VLOOKUP($A204&amp;"",Key!$A:$C,3,FALSE),"")</f>
        <v/>
      </c>
    </row>
    <row r="205">
      <c r="A205" t="n">
        <v>311514</v>
      </c>
      <c r="B205" t="inlineStr">
        <is>
          <t>Dry, condensed, and evaporated dairy product manufacturing</t>
        </is>
      </c>
      <c r="K205" t="n">
        <v>67</v>
      </c>
      <c r="L205" t="n">
        <v>4</v>
      </c>
      <c r="GI205" t="n">
        <v>109</v>
      </c>
      <c r="GJ205" t="n">
        <v>216</v>
      </c>
      <c r="GP205" t="n">
        <v>216</v>
      </c>
      <c r="GS205" t="n">
        <v>989</v>
      </c>
      <c r="GT205" t="n">
        <v>2274</v>
      </c>
      <c r="GU205" t="n">
        <v>1832</v>
      </c>
      <c r="GV205" t="n">
        <v>693</v>
      </c>
      <c r="GZ205" t="n">
        <v>263</v>
      </c>
      <c r="HA205" t="n">
        <v>318</v>
      </c>
      <c r="HE205" t="n">
        <v>63</v>
      </c>
      <c r="HF205" t="n">
        <v>64</v>
      </c>
      <c r="IO205" t="n">
        <v>9</v>
      </c>
      <c r="IP205" t="n">
        <v>26</v>
      </c>
      <c r="IQ205" t="n">
        <v>5</v>
      </c>
      <c r="IR205" t="n">
        <v>39</v>
      </c>
      <c r="JS205" t="n">
        <v>1372</v>
      </c>
      <c r="JT205" t="n">
        <v>15</v>
      </c>
      <c r="JW205" t="n">
        <v>10</v>
      </c>
      <c r="JX205" t="n">
        <v>23</v>
      </c>
      <c r="KG205" t="n">
        <v>2</v>
      </c>
      <c r="KN205" t="n">
        <v>0</v>
      </c>
      <c r="KO205" t="n">
        <v>4</v>
      </c>
      <c r="KQ205" t="n">
        <v>1</v>
      </c>
      <c r="LZ205" t="n">
        <v>4</v>
      </c>
      <c r="MP205" t="n">
        <v>120</v>
      </c>
      <c r="MQ205" t="n">
        <v>147</v>
      </c>
      <c r="MZ205" t="n">
        <v>33</v>
      </c>
      <c r="NA205" t="n">
        <v>26</v>
      </c>
      <c r="NB205" t="n">
        <v>1</v>
      </c>
      <c r="NC205" t="n">
        <v>10</v>
      </c>
      <c r="ND205" t="n">
        <v>142</v>
      </c>
      <c r="NM205" t="n">
        <v>4</v>
      </c>
      <c r="NN205" t="n">
        <v>54</v>
      </c>
      <c r="NO205" t="n">
        <v>703</v>
      </c>
      <c r="NP205" t="n">
        <v>505</v>
      </c>
      <c r="NQ205" t="n">
        <v>32</v>
      </c>
      <c r="NZ205" t="n">
        <v>5</v>
      </c>
      <c r="OB205" t="n">
        <v>11</v>
      </c>
      <c r="OH205" t="n">
        <v>2</v>
      </c>
      <c r="OI205" t="n">
        <v>1323</v>
      </c>
      <c r="OJ205" t="n">
        <v>412</v>
      </c>
      <c r="OK205" t="n">
        <v>673</v>
      </c>
      <c r="OO205" t="n">
        <v>12823</v>
      </c>
      <c r="OP205" t="n">
        <v>17285</v>
      </c>
      <c r="OU205" t="n">
        <v>143</v>
      </c>
      <c r="OV205" t="n">
        <v>3301</v>
      </c>
      <c r="PI205" t="n">
        <v>33552</v>
      </c>
      <c r="PM205">
        <f>IFERROR(VLOOKUP($A205&amp;"",Key!$A:$C,3,FALSE),"")</f>
        <v/>
      </c>
    </row>
    <row r="206">
      <c r="A206" t="inlineStr">
        <is>
          <t>31151A</t>
        </is>
      </c>
      <c r="B206" t="inlineStr">
        <is>
          <t>Fluid milk and butter manufacturing</t>
        </is>
      </c>
      <c r="GP206" t="n">
        <v>411</v>
      </c>
      <c r="GQ206" t="n">
        <v>14</v>
      </c>
      <c r="GR206" t="n">
        <v>14</v>
      </c>
      <c r="GS206" t="n">
        <v>1207</v>
      </c>
      <c r="GT206" t="n">
        <v>1135</v>
      </c>
      <c r="GU206" t="n">
        <v>4493</v>
      </c>
      <c r="GV206" t="n">
        <v>800</v>
      </c>
      <c r="GZ206" t="n">
        <v>152</v>
      </c>
      <c r="HA206" t="n">
        <v>209</v>
      </c>
      <c r="HB206" t="n">
        <v>15</v>
      </c>
      <c r="HD206" t="n">
        <v>245</v>
      </c>
      <c r="HE206" t="n">
        <v>117</v>
      </c>
      <c r="HF206" t="n">
        <v>117</v>
      </c>
      <c r="JW206" t="n">
        <v>1</v>
      </c>
      <c r="JX206" t="n">
        <v>4</v>
      </c>
      <c r="KA206" t="n">
        <v>1</v>
      </c>
      <c r="LZ206" t="n">
        <v>1</v>
      </c>
      <c r="MP206" t="n">
        <v>168</v>
      </c>
      <c r="MQ206" t="n">
        <v>399</v>
      </c>
      <c r="MZ206" t="n">
        <v>123</v>
      </c>
      <c r="NA206" t="n">
        <v>25</v>
      </c>
      <c r="NB206" t="n">
        <v>3</v>
      </c>
      <c r="NC206" t="n">
        <v>12</v>
      </c>
      <c r="ND206" t="n">
        <v>1002</v>
      </c>
      <c r="NE206" t="n">
        <v>5</v>
      </c>
      <c r="NL206" t="n">
        <v>2</v>
      </c>
      <c r="NM206" t="n">
        <v>21</v>
      </c>
      <c r="NN206" t="n">
        <v>122</v>
      </c>
      <c r="NO206" t="n">
        <v>1393</v>
      </c>
      <c r="NP206" t="n">
        <v>1647</v>
      </c>
      <c r="NQ206" t="n">
        <v>260</v>
      </c>
      <c r="NZ206" t="n">
        <v>106</v>
      </c>
      <c r="OB206" t="n">
        <v>34</v>
      </c>
      <c r="OE206" t="n">
        <v>-5</v>
      </c>
      <c r="OG206" t="n">
        <v>3</v>
      </c>
      <c r="OH206" t="n">
        <v>8</v>
      </c>
      <c r="OI206" t="n">
        <v>2736</v>
      </c>
      <c r="OJ206" t="n">
        <v>762</v>
      </c>
      <c r="OK206" t="n">
        <v>1127</v>
      </c>
      <c r="OO206" t="n">
        <v>18887</v>
      </c>
      <c r="OP206" t="n">
        <v>40988</v>
      </c>
      <c r="OU206" t="n">
        <v>236</v>
      </c>
      <c r="OV206" t="n">
        <v>634</v>
      </c>
      <c r="PI206" t="n">
        <v>60745</v>
      </c>
      <c r="PM206">
        <f>IFERROR(VLOOKUP($A206&amp;"",Key!$A:$C,3,FALSE),"")</f>
        <v/>
      </c>
    </row>
    <row r="207">
      <c r="A207" t="n">
        <v>311520</v>
      </c>
      <c r="B207" t="inlineStr">
        <is>
          <t>Ice cream and frozen dessert manufacturing</t>
        </is>
      </c>
      <c r="GT207" t="n">
        <v>238</v>
      </c>
      <c r="GV207" t="n">
        <v>546</v>
      </c>
      <c r="JW207" t="n">
        <v>78</v>
      </c>
      <c r="KA207" t="n">
        <v>129</v>
      </c>
      <c r="KG207" t="n">
        <v>11</v>
      </c>
      <c r="LZ207" t="n">
        <v>13</v>
      </c>
      <c r="MP207" t="n">
        <v>61</v>
      </c>
      <c r="MQ207" t="n">
        <v>155</v>
      </c>
      <c r="MZ207" t="n">
        <v>489</v>
      </c>
      <c r="NA207" t="n">
        <v>151</v>
      </c>
      <c r="NB207" t="n">
        <v>114</v>
      </c>
      <c r="NC207" t="n">
        <v>116</v>
      </c>
      <c r="ND207" t="n">
        <v>361</v>
      </c>
      <c r="NE207" t="n">
        <v>46</v>
      </c>
      <c r="NK207" t="n">
        <v>21</v>
      </c>
      <c r="NM207" t="n">
        <v>24</v>
      </c>
      <c r="NN207" t="n">
        <v>21</v>
      </c>
      <c r="NO207" t="n">
        <v>743</v>
      </c>
      <c r="NP207" t="n">
        <v>728</v>
      </c>
      <c r="NQ207" t="n">
        <v>79</v>
      </c>
      <c r="NZ207" t="n">
        <v>8</v>
      </c>
      <c r="OB207" t="n">
        <v>19</v>
      </c>
      <c r="OG207" t="n">
        <v>2</v>
      </c>
      <c r="OH207" t="n">
        <v>21</v>
      </c>
      <c r="OI207" t="n">
        <v>723</v>
      </c>
      <c r="OJ207" t="n">
        <v>484</v>
      </c>
      <c r="OK207" t="n">
        <v>643</v>
      </c>
      <c r="OO207" t="n">
        <v>6021</v>
      </c>
      <c r="OP207" t="n">
        <v>3060</v>
      </c>
      <c r="OU207" t="n">
        <v>31</v>
      </c>
      <c r="OV207" t="n">
        <v>292</v>
      </c>
      <c r="PI207" t="n">
        <v>9405</v>
      </c>
      <c r="PM207">
        <f>IFERROR(VLOOKUP($A207&amp;"",Key!$A:$C,3,FALSE),"")</f>
        <v/>
      </c>
    </row>
    <row r="208">
      <c r="A208" t="n">
        <v>311615</v>
      </c>
      <c r="B208" t="inlineStr">
        <is>
          <t>Poultry processing</t>
        </is>
      </c>
      <c r="GI208" t="n">
        <v>6</v>
      </c>
      <c r="GQ208" t="n">
        <v>2118</v>
      </c>
      <c r="GR208" t="n">
        <v>103</v>
      </c>
      <c r="GW208" t="n">
        <v>10748</v>
      </c>
      <c r="GX208" t="n">
        <v>1522</v>
      </c>
      <c r="HF208" t="n">
        <v>144</v>
      </c>
      <c r="JS208" t="n">
        <v>25</v>
      </c>
      <c r="JW208" t="n">
        <v>4</v>
      </c>
      <c r="KA208" t="n">
        <v>1</v>
      </c>
      <c r="KC208" t="n">
        <v>0</v>
      </c>
      <c r="KG208" t="n">
        <v>26</v>
      </c>
      <c r="KK208" t="n">
        <v>0</v>
      </c>
      <c r="LZ208" t="n">
        <v>34</v>
      </c>
      <c r="MP208" t="n">
        <v>147</v>
      </c>
      <c r="MQ208" t="n">
        <v>50</v>
      </c>
      <c r="MZ208" t="n">
        <v>572</v>
      </c>
      <c r="NA208" t="n">
        <v>592</v>
      </c>
      <c r="NB208" t="n">
        <v>182</v>
      </c>
      <c r="NC208" t="n">
        <v>437</v>
      </c>
      <c r="ND208" t="n">
        <v>5</v>
      </c>
      <c r="NE208" t="n">
        <v>3147</v>
      </c>
      <c r="NJ208" t="n">
        <v>2</v>
      </c>
      <c r="NK208" t="n">
        <v>73</v>
      </c>
      <c r="NL208" t="n">
        <v>9</v>
      </c>
      <c r="NM208" t="n">
        <v>95</v>
      </c>
      <c r="NN208" t="n">
        <v>488</v>
      </c>
      <c r="NO208" t="n">
        <v>3768</v>
      </c>
      <c r="NP208" t="n">
        <v>3379</v>
      </c>
      <c r="NQ208" t="n">
        <v>282</v>
      </c>
      <c r="OB208" t="n">
        <v>63</v>
      </c>
      <c r="OD208" t="n">
        <v>885</v>
      </c>
      <c r="OH208" t="n">
        <v>35</v>
      </c>
      <c r="OI208" t="n">
        <v>248</v>
      </c>
      <c r="OJ208" t="n">
        <v>899</v>
      </c>
      <c r="OK208" t="n">
        <v>792</v>
      </c>
      <c r="OO208" t="n">
        <v>30882</v>
      </c>
      <c r="OP208" t="n">
        <v>57025</v>
      </c>
      <c r="OU208" t="n">
        <v>269</v>
      </c>
      <c r="OV208" t="n">
        <v>3800</v>
      </c>
      <c r="PI208" t="n">
        <v>91976</v>
      </c>
      <c r="PM208">
        <f>IFERROR(VLOOKUP($A208&amp;"",Key!$A:$C,3,FALSE),"")</f>
        <v/>
      </c>
    </row>
    <row r="209">
      <c r="A209" t="inlineStr">
        <is>
          <t>31161A</t>
        </is>
      </c>
      <c r="B209" t="inlineStr">
        <is>
          <t>Animal (except poultry) slaughtering, rendering, and processing</t>
        </is>
      </c>
      <c r="I209" t="n">
        <v>0</v>
      </c>
      <c r="K209" t="n">
        <v>41</v>
      </c>
      <c r="L209" t="n">
        <v>2</v>
      </c>
      <c r="O209" t="n">
        <v>1</v>
      </c>
      <c r="BC209" t="n">
        <v>7</v>
      </c>
      <c r="GH209" t="n">
        <v>6</v>
      </c>
      <c r="GI209" t="n">
        <v>3101</v>
      </c>
      <c r="GJ209" t="n">
        <v>819</v>
      </c>
      <c r="GK209" t="n">
        <v>19</v>
      </c>
      <c r="GM209" t="n">
        <v>80</v>
      </c>
      <c r="GO209" t="n">
        <v>8</v>
      </c>
      <c r="GP209" t="n">
        <v>122</v>
      </c>
      <c r="GQ209" t="n">
        <v>1230</v>
      </c>
      <c r="GR209" t="n">
        <v>644</v>
      </c>
      <c r="GS209" t="n">
        <v>27</v>
      </c>
      <c r="GT209" t="n">
        <v>83</v>
      </c>
      <c r="GU209" t="n">
        <v>26</v>
      </c>
      <c r="GV209" t="n">
        <v>3</v>
      </c>
      <c r="GW209" t="n">
        <v>1582</v>
      </c>
      <c r="GX209" t="n">
        <v>25616</v>
      </c>
      <c r="GY209" t="n">
        <v>32</v>
      </c>
      <c r="GZ209" t="n">
        <v>232</v>
      </c>
      <c r="HA209" t="n">
        <v>229</v>
      </c>
      <c r="HB209" t="n">
        <v>227</v>
      </c>
      <c r="HE209" t="n">
        <v>162</v>
      </c>
      <c r="HF209" t="n">
        <v>206</v>
      </c>
      <c r="HS209" t="n">
        <v>232</v>
      </c>
      <c r="ID209" t="n">
        <v>5</v>
      </c>
      <c r="IG209" t="n">
        <v>71</v>
      </c>
      <c r="IO209" t="n">
        <v>27</v>
      </c>
      <c r="IP209" t="n">
        <v>97</v>
      </c>
      <c r="IQ209" t="n">
        <v>42</v>
      </c>
      <c r="IR209" t="n">
        <v>374</v>
      </c>
      <c r="IW209" t="n">
        <v>96</v>
      </c>
      <c r="IX209" t="n">
        <v>99</v>
      </c>
      <c r="JQ209" t="n">
        <v>95</v>
      </c>
      <c r="JS209" t="n">
        <v>25</v>
      </c>
      <c r="JT209" t="n">
        <v>6</v>
      </c>
      <c r="JW209" t="n">
        <v>274</v>
      </c>
      <c r="JX209" t="n">
        <v>162</v>
      </c>
      <c r="JZ209" t="n">
        <v>4</v>
      </c>
      <c r="KA209" t="n">
        <v>441</v>
      </c>
      <c r="KC209" t="n">
        <v>76</v>
      </c>
      <c r="KD209" t="n">
        <v>7</v>
      </c>
      <c r="KG209" t="n">
        <v>53</v>
      </c>
      <c r="KK209" t="n">
        <v>2</v>
      </c>
      <c r="LZ209" t="n">
        <v>767</v>
      </c>
      <c r="MD209" t="n">
        <v>5</v>
      </c>
      <c r="MF209" t="n">
        <v>80</v>
      </c>
      <c r="MP209" t="n">
        <v>251</v>
      </c>
      <c r="MQ209" t="n">
        <v>1399</v>
      </c>
      <c r="MS209" t="n">
        <v>0</v>
      </c>
      <c r="MU209" t="n">
        <v>0</v>
      </c>
      <c r="MZ209" t="n">
        <v>2532</v>
      </c>
      <c r="NA209" t="n">
        <v>1901</v>
      </c>
      <c r="NB209" t="n">
        <v>714</v>
      </c>
      <c r="NC209" t="n">
        <v>2056</v>
      </c>
      <c r="ND209" t="n">
        <v>939</v>
      </c>
      <c r="NE209" t="n">
        <v>1817</v>
      </c>
      <c r="NF209" t="n">
        <v>9</v>
      </c>
      <c r="NG209" t="n">
        <v>48</v>
      </c>
      <c r="NI209" t="n">
        <v>69</v>
      </c>
      <c r="NJ209" t="n">
        <v>25</v>
      </c>
      <c r="NK209" t="n">
        <v>421</v>
      </c>
      <c r="NL209" t="n">
        <v>76</v>
      </c>
      <c r="NM209" t="n">
        <v>387</v>
      </c>
      <c r="NN209" t="n">
        <v>1555</v>
      </c>
      <c r="NO209" t="n">
        <v>5691</v>
      </c>
      <c r="NP209" t="n">
        <v>6547</v>
      </c>
      <c r="NQ209" t="n">
        <v>304</v>
      </c>
      <c r="NY209" t="n">
        <v>6</v>
      </c>
      <c r="NZ209" t="n">
        <v>110</v>
      </c>
      <c r="OB209" t="n">
        <v>165</v>
      </c>
      <c r="OD209" t="n">
        <v>1926</v>
      </c>
      <c r="OG209" t="n">
        <v>51</v>
      </c>
      <c r="OH209" t="n">
        <v>190</v>
      </c>
      <c r="OI209" t="n">
        <v>5107</v>
      </c>
      <c r="OJ209" t="n">
        <v>4254</v>
      </c>
      <c r="OK209" t="n">
        <v>4168</v>
      </c>
      <c r="OO209" t="n">
        <v>80262</v>
      </c>
      <c r="OP209" t="n">
        <v>118397</v>
      </c>
      <c r="OU209" t="n">
        <v>688</v>
      </c>
      <c r="OV209" t="n">
        <v>17501</v>
      </c>
      <c r="PI209" t="n">
        <v>216847</v>
      </c>
      <c r="PM209">
        <f>IFERROR(VLOOKUP($A209&amp;"",Key!$A:$C,3,FALSE),"")</f>
        <v/>
      </c>
    </row>
    <row r="210">
      <c r="A210" t="n">
        <v>311700</v>
      </c>
      <c r="B210" t="inlineStr">
        <is>
          <t>Seafood product preparation and packaging</t>
        </is>
      </c>
      <c r="GI210" t="n">
        <v>214</v>
      </c>
      <c r="GJ210" t="n">
        <v>276</v>
      </c>
      <c r="GQ210" t="n">
        <v>64</v>
      </c>
      <c r="GY210" t="n">
        <v>2073</v>
      </c>
      <c r="JW210" t="n">
        <v>1</v>
      </c>
      <c r="KA210" t="n">
        <v>2</v>
      </c>
      <c r="KG210" t="n">
        <v>24</v>
      </c>
      <c r="KK210" t="n">
        <v>1</v>
      </c>
      <c r="LZ210" t="n">
        <v>28</v>
      </c>
      <c r="MP210" t="n">
        <v>136</v>
      </c>
      <c r="MQ210" t="n">
        <v>492</v>
      </c>
      <c r="MZ210" t="n">
        <v>834</v>
      </c>
      <c r="NA210" t="n">
        <v>253</v>
      </c>
      <c r="NB210" t="n">
        <v>192</v>
      </c>
      <c r="NC210" t="n">
        <v>59</v>
      </c>
      <c r="NE210" t="n">
        <v>160</v>
      </c>
      <c r="NJ210" t="n">
        <v>11</v>
      </c>
      <c r="NK210" t="n">
        <v>53</v>
      </c>
      <c r="NL210" t="n">
        <v>34</v>
      </c>
      <c r="NM210" t="n">
        <v>167</v>
      </c>
      <c r="NN210" t="n">
        <v>445</v>
      </c>
      <c r="NO210" t="n">
        <v>2051</v>
      </c>
      <c r="NP210" t="n">
        <v>2447</v>
      </c>
      <c r="NQ210" t="n">
        <v>269</v>
      </c>
      <c r="OB210" t="n">
        <v>57</v>
      </c>
      <c r="OD210" t="n">
        <v>268</v>
      </c>
      <c r="OH210" t="n">
        <v>27</v>
      </c>
      <c r="OI210" t="n">
        <v>1104</v>
      </c>
      <c r="OJ210" t="n">
        <v>1174</v>
      </c>
      <c r="OK210" t="n">
        <v>683</v>
      </c>
      <c r="OO210" t="n">
        <v>13599</v>
      </c>
      <c r="OP210" t="n">
        <v>10481</v>
      </c>
      <c r="OU210" t="n">
        <v>-28</v>
      </c>
      <c r="OV210" t="n">
        <v>398</v>
      </c>
      <c r="PI210" t="n">
        <v>24450</v>
      </c>
      <c r="PM210">
        <f>IFERROR(VLOOKUP($A210&amp;"",Key!$A:$C,3,FALSE),"")</f>
        <v/>
      </c>
    </row>
    <row r="211">
      <c r="A211" t="n">
        <v>311810</v>
      </c>
      <c r="B211" t="inlineStr">
        <is>
          <t>Bread and bakery product manufacturing</t>
        </is>
      </c>
      <c r="GZ211" t="n">
        <v>243</v>
      </c>
      <c r="JW211" t="n">
        <v>80</v>
      </c>
      <c r="JX211" t="n">
        <v>46</v>
      </c>
      <c r="JZ211" t="n">
        <v>1</v>
      </c>
      <c r="KA211" t="n">
        <v>129</v>
      </c>
      <c r="KC211" t="n">
        <v>22</v>
      </c>
      <c r="KD211" t="n">
        <v>2</v>
      </c>
      <c r="KE211" t="n">
        <v>16</v>
      </c>
      <c r="KG211" t="n">
        <v>43</v>
      </c>
      <c r="KH211" t="n">
        <v>2</v>
      </c>
      <c r="KK211" t="n">
        <v>1</v>
      </c>
      <c r="MP211" t="n">
        <v>48</v>
      </c>
      <c r="MQ211" t="n">
        <v>1082</v>
      </c>
      <c r="MS211" t="n">
        <v>0</v>
      </c>
      <c r="MZ211" t="n">
        <v>30</v>
      </c>
      <c r="NA211" t="n">
        <v>84</v>
      </c>
      <c r="NB211" t="n">
        <v>97</v>
      </c>
      <c r="NC211" t="n">
        <v>669</v>
      </c>
      <c r="ND211" t="n">
        <v>332</v>
      </c>
      <c r="NE211" t="n">
        <v>284</v>
      </c>
      <c r="NF211" t="n">
        <v>3</v>
      </c>
      <c r="NG211" t="n">
        <v>13</v>
      </c>
      <c r="NI211" t="n">
        <v>16</v>
      </c>
      <c r="NJ211" t="n">
        <v>5</v>
      </c>
      <c r="NK211" t="n">
        <v>35</v>
      </c>
      <c r="NL211" t="n">
        <v>46</v>
      </c>
      <c r="NM211" t="n">
        <v>96</v>
      </c>
      <c r="NN211" t="n">
        <v>544</v>
      </c>
      <c r="NO211" t="n">
        <v>2965</v>
      </c>
      <c r="NP211" t="n">
        <v>2630</v>
      </c>
      <c r="NQ211" t="n">
        <v>77</v>
      </c>
      <c r="NZ211" t="n">
        <v>52</v>
      </c>
      <c r="OA211" t="n">
        <v>11</v>
      </c>
      <c r="OB211" t="n">
        <v>200</v>
      </c>
      <c r="OD211" t="n">
        <v>236</v>
      </c>
      <c r="OG211" t="n">
        <v>2</v>
      </c>
      <c r="OH211" t="n">
        <v>18</v>
      </c>
      <c r="OI211" t="n">
        <v>1898</v>
      </c>
      <c r="OJ211" t="n">
        <v>863</v>
      </c>
      <c r="OK211" t="n">
        <v>1046</v>
      </c>
      <c r="OO211" t="n">
        <v>13967</v>
      </c>
      <c r="OP211" t="n">
        <v>79279</v>
      </c>
      <c r="OU211" t="n">
        <v>413</v>
      </c>
      <c r="OV211" t="n">
        <v>1764</v>
      </c>
      <c r="PI211" t="n">
        <v>95423</v>
      </c>
      <c r="PM211">
        <f>IFERROR(VLOOKUP($A211&amp;"",Key!$A:$C,3,FALSE),"")</f>
        <v/>
      </c>
    </row>
    <row r="212">
      <c r="A212" t="inlineStr">
        <is>
          <t>3118A0</t>
        </is>
      </c>
      <c r="B212" t="inlineStr">
        <is>
          <t>Cookie, cracker, pasta, and tortilla manufacturing</t>
        </is>
      </c>
      <c r="GO212" t="n">
        <v>4</v>
      </c>
      <c r="GR212" t="n">
        <v>12</v>
      </c>
      <c r="GV212" t="n">
        <v>33</v>
      </c>
      <c r="GZ212" t="n">
        <v>391</v>
      </c>
      <c r="HA212" t="n">
        <v>237</v>
      </c>
      <c r="HB212" t="n">
        <v>93</v>
      </c>
      <c r="HD212" t="n">
        <v>22</v>
      </c>
      <c r="HF212" t="n">
        <v>3</v>
      </c>
      <c r="JW212" t="n">
        <v>130</v>
      </c>
      <c r="JX212" t="n">
        <v>33</v>
      </c>
      <c r="KC212" t="n">
        <v>0</v>
      </c>
      <c r="KG212" t="n">
        <v>1</v>
      </c>
      <c r="LZ212" t="n">
        <v>10</v>
      </c>
      <c r="MQ212" t="n">
        <v>86</v>
      </c>
      <c r="MZ212" t="n">
        <v>37</v>
      </c>
      <c r="NA212" t="n">
        <v>124</v>
      </c>
      <c r="NB212" t="n">
        <v>18</v>
      </c>
      <c r="NC212" t="n">
        <v>176</v>
      </c>
      <c r="ND212" t="n">
        <v>78</v>
      </c>
      <c r="NE212" t="n">
        <v>93</v>
      </c>
      <c r="NL212" t="n">
        <v>4</v>
      </c>
      <c r="NM212" t="n">
        <v>5</v>
      </c>
      <c r="NN212" t="n">
        <v>37</v>
      </c>
      <c r="NO212" t="n">
        <v>410</v>
      </c>
      <c r="NP212" t="n">
        <v>532</v>
      </c>
      <c r="NQ212" t="n">
        <v>14</v>
      </c>
      <c r="NZ212" t="n">
        <v>2</v>
      </c>
      <c r="OB212" t="n">
        <v>12</v>
      </c>
      <c r="OD212" t="n">
        <v>8</v>
      </c>
      <c r="OG212" t="n">
        <v>2</v>
      </c>
      <c r="OH212" t="n">
        <v>2</v>
      </c>
      <c r="OI212" t="n">
        <v>76</v>
      </c>
      <c r="OJ212" t="n">
        <v>116</v>
      </c>
      <c r="OK212" t="n">
        <v>179</v>
      </c>
      <c r="OO212" t="n">
        <v>2980</v>
      </c>
      <c r="OP212" t="n">
        <v>38417</v>
      </c>
      <c r="OU212" t="n">
        <v>182</v>
      </c>
      <c r="OV212" t="n">
        <v>596</v>
      </c>
      <c r="PI212" t="n">
        <v>42175</v>
      </c>
      <c r="PM212">
        <f>IFERROR(VLOOKUP($A212&amp;"",Key!$A:$C,3,FALSE),"")</f>
        <v/>
      </c>
    </row>
    <row r="213">
      <c r="A213" t="n">
        <v>311910</v>
      </c>
      <c r="B213" t="inlineStr">
        <is>
          <t>Snack food manufacturing</t>
        </is>
      </c>
      <c r="GO213" t="n">
        <v>114</v>
      </c>
      <c r="GP213" t="n">
        <v>1228</v>
      </c>
      <c r="GV213" t="n">
        <v>1</v>
      </c>
      <c r="GZ213" t="n">
        <v>1</v>
      </c>
      <c r="HA213" t="n">
        <v>148</v>
      </c>
      <c r="HB213" t="n">
        <v>298</v>
      </c>
      <c r="JW213" t="n">
        <v>170</v>
      </c>
      <c r="JX213" t="n">
        <v>97</v>
      </c>
      <c r="JZ213" t="n">
        <v>3</v>
      </c>
      <c r="KA213" t="n">
        <v>275</v>
      </c>
      <c r="KC213" t="n">
        <v>48</v>
      </c>
      <c r="KD213" t="n">
        <v>4</v>
      </c>
      <c r="KF213" t="n">
        <v>2</v>
      </c>
      <c r="KG213" t="n">
        <v>22</v>
      </c>
      <c r="LZ213" t="n">
        <v>83</v>
      </c>
      <c r="MF213" t="n">
        <v>12</v>
      </c>
      <c r="MQ213" t="n">
        <v>282</v>
      </c>
      <c r="MS213" t="n">
        <v>0</v>
      </c>
      <c r="MU213" t="n">
        <v>0</v>
      </c>
      <c r="MZ213" t="n">
        <v>61</v>
      </c>
      <c r="NA213" t="n">
        <v>15</v>
      </c>
      <c r="NB213" t="n">
        <v>5</v>
      </c>
      <c r="NC213" t="n">
        <v>12</v>
      </c>
      <c r="NF213" t="n">
        <v>6</v>
      </c>
      <c r="NG213" t="n">
        <v>26</v>
      </c>
      <c r="NI213" t="n">
        <v>39</v>
      </c>
      <c r="NJ213" t="n">
        <v>10</v>
      </c>
      <c r="NK213" t="n">
        <v>75</v>
      </c>
      <c r="NL213" t="n">
        <v>43</v>
      </c>
      <c r="NM213" t="n">
        <v>123</v>
      </c>
      <c r="NN213" t="n">
        <v>212</v>
      </c>
      <c r="NO213" t="n">
        <v>2496</v>
      </c>
      <c r="NP213" t="n">
        <v>3530</v>
      </c>
      <c r="NQ213" t="n">
        <v>188</v>
      </c>
      <c r="OB213" t="n">
        <v>103</v>
      </c>
      <c r="OD213" t="n">
        <v>104</v>
      </c>
      <c r="OH213" t="n">
        <v>22</v>
      </c>
      <c r="OI213" t="n">
        <v>178</v>
      </c>
      <c r="OJ213" t="n">
        <v>92</v>
      </c>
      <c r="OK213" t="n">
        <v>321</v>
      </c>
      <c r="OO213" t="n">
        <v>10450</v>
      </c>
      <c r="OP213" t="n">
        <v>49024</v>
      </c>
      <c r="OU213" t="n">
        <v>489</v>
      </c>
      <c r="OV213" t="n">
        <v>5826</v>
      </c>
      <c r="PI213" t="n">
        <v>65789</v>
      </c>
      <c r="PM213">
        <f>IFERROR(VLOOKUP($A213&amp;"",Key!$A:$C,3,FALSE),"")</f>
        <v/>
      </c>
    </row>
    <row r="214">
      <c r="A214" t="n">
        <v>311920</v>
      </c>
      <c r="B214" t="inlineStr">
        <is>
          <t>Coffee and tea manufacturing</t>
        </is>
      </c>
      <c r="GR214" t="n">
        <v>522</v>
      </c>
      <c r="GZ214" t="n">
        <v>14</v>
      </c>
      <c r="HC214" t="n">
        <v>9</v>
      </c>
      <c r="JW214" t="n">
        <v>49</v>
      </c>
      <c r="JX214" t="n">
        <v>28</v>
      </c>
      <c r="JZ214" t="n">
        <v>1</v>
      </c>
      <c r="KA214" t="n">
        <v>79</v>
      </c>
      <c r="KC214" t="n">
        <v>14</v>
      </c>
      <c r="KD214" t="n">
        <v>1</v>
      </c>
      <c r="KE214" t="n">
        <v>181</v>
      </c>
      <c r="KG214" t="n">
        <v>129</v>
      </c>
      <c r="KH214" t="n">
        <v>17</v>
      </c>
      <c r="KK214" t="n">
        <v>1</v>
      </c>
      <c r="KS214" t="n">
        <v>1</v>
      </c>
      <c r="MQ214" t="n">
        <v>252</v>
      </c>
      <c r="MS214" t="n">
        <v>0</v>
      </c>
      <c r="MU214" t="n">
        <v>0</v>
      </c>
      <c r="MZ214" t="n">
        <v>585</v>
      </c>
      <c r="NA214" t="n">
        <v>1</v>
      </c>
      <c r="NB214" t="n">
        <v>1</v>
      </c>
      <c r="NC214" t="n">
        <v>415</v>
      </c>
      <c r="NE214" t="n">
        <v>245</v>
      </c>
      <c r="NF214" t="n">
        <v>2</v>
      </c>
      <c r="NG214" t="n">
        <v>7</v>
      </c>
      <c r="NI214" t="n">
        <v>10</v>
      </c>
      <c r="NJ214" t="n">
        <v>3</v>
      </c>
      <c r="NK214" t="n">
        <v>21</v>
      </c>
      <c r="NL214" t="n">
        <v>21</v>
      </c>
      <c r="NM214" t="n">
        <v>110</v>
      </c>
      <c r="NN214" t="n">
        <v>355</v>
      </c>
      <c r="NO214" t="n">
        <v>305</v>
      </c>
      <c r="NP214" t="n">
        <v>447</v>
      </c>
      <c r="NQ214" t="n">
        <v>45</v>
      </c>
      <c r="NZ214" t="n">
        <v>37</v>
      </c>
      <c r="OA214" t="n">
        <v>48</v>
      </c>
      <c r="OB214" t="n">
        <v>96</v>
      </c>
      <c r="OH214" t="n">
        <v>20</v>
      </c>
      <c r="OI214" t="n">
        <v>192</v>
      </c>
      <c r="OJ214" t="n">
        <v>3041</v>
      </c>
      <c r="OK214" t="n">
        <v>921</v>
      </c>
      <c r="OO214" t="n">
        <v>8222</v>
      </c>
      <c r="OP214" t="n">
        <v>13961</v>
      </c>
      <c r="OU214" t="n">
        <v>58</v>
      </c>
      <c r="OV214" t="n">
        <v>1262</v>
      </c>
      <c r="PI214" t="n">
        <v>23502</v>
      </c>
      <c r="PM214">
        <f>IFERROR(VLOOKUP($A214&amp;"",Key!$A:$C,3,FALSE),"")</f>
        <v/>
      </c>
    </row>
    <row r="215">
      <c r="A215" t="n">
        <v>311930</v>
      </c>
      <c r="B215" t="inlineStr">
        <is>
          <t>Flavoring syrup and concentrate manufacturing</t>
        </is>
      </c>
      <c r="GO215" t="n">
        <v>2</v>
      </c>
      <c r="GR215" t="n">
        <v>1498</v>
      </c>
      <c r="GS215" t="n">
        <v>244</v>
      </c>
      <c r="GT215" t="n">
        <v>175</v>
      </c>
      <c r="GU215" t="n">
        <v>404</v>
      </c>
      <c r="GV215" t="n">
        <v>40</v>
      </c>
      <c r="HB215" t="n">
        <v>3</v>
      </c>
      <c r="HD215" t="n">
        <v>921</v>
      </c>
      <c r="HE215" t="n">
        <v>63</v>
      </c>
      <c r="HF215" t="n">
        <v>27</v>
      </c>
      <c r="HG215" t="n">
        <v>6209</v>
      </c>
      <c r="HJ215" t="n">
        <v>0</v>
      </c>
      <c r="JW215" t="n">
        <v>14</v>
      </c>
      <c r="KA215" t="n">
        <v>24</v>
      </c>
      <c r="KG215" t="n">
        <v>40</v>
      </c>
      <c r="KI215" t="n">
        <v>0</v>
      </c>
      <c r="KS215" t="n">
        <v>8</v>
      </c>
      <c r="LZ215" t="n">
        <v>391</v>
      </c>
      <c r="MQ215" t="n">
        <v>7</v>
      </c>
      <c r="MZ215" t="n">
        <v>11</v>
      </c>
      <c r="NG215" t="n">
        <v>7</v>
      </c>
      <c r="NI215" t="n">
        <v>26</v>
      </c>
      <c r="NM215" t="n">
        <v>39</v>
      </c>
      <c r="NN215" t="n">
        <v>967</v>
      </c>
      <c r="NO215" t="n">
        <v>1740</v>
      </c>
      <c r="NP215" t="n">
        <v>2423</v>
      </c>
      <c r="NQ215" t="n">
        <v>122</v>
      </c>
      <c r="NZ215" t="n">
        <v>32</v>
      </c>
      <c r="OB215" t="n">
        <v>40</v>
      </c>
      <c r="OH215" t="n">
        <v>10</v>
      </c>
      <c r="OI215" t="n">
        <v>51</v>
      </c>
      <c r="OJ215" t="n">
        <v>88</v>
      </c>
      <c r="OK215" t="n">
        <v>79</v>
      </c>
      <c r="OO215" t="n">
        <v>15703</v>
      </c>
      <c r="OP215" t="n">
        <v>1000</v>
      </c>
      <c r="OU215" t="n">
        <v>130</v>
      </c>
      <c r="OV215" t="n">
        <v>544</v>
      </c>
      <c r="PI215" t="n">
        <v>17377</v>
      </c>
      <c r="PM215">
        <f>IFERROR(VLOOKUP($A215&amp;"",Key!$A:$C,3,FALSE),"")</f>
        <v/>
      </c>
    </row>
    <row r="216">
      <c r="A216" t="n">
        <v>311940</v>
      </c>
      <c r="B216" t="inlineStr">
        <is>
          <t>Seasoning and dressing manufacturing</t>
        </is>
      </c>
      <c r="GI216" t="n">
        <v>47</v>
      </c>
      <c r="GJ216" t="n">
        <v>181</v>
      </c>
      <c r="GO216" t="n">
        <v>1</v>
      </c>
      <c r="GR216" t="n">
        <v>1983</v>
      </c>
      <c r="GS216" t="n">
        <v>80</v>
      </c>
      <c r="GT216" t="n">
        <v>61</v>
      </c>
      <c r="GU216" t="n">
        <v>135</v>
      </c>
      <c r="GV216" t="n">
        <v>14</v>
      </c>
      <c r="GW216" t="n">
        <v>40</v>
      </c>
      <c r="GX216" t="n">
        <v>718</v>
      </c>
      <c r="HB216" t="n">
        <v>1</v>
      </c>
      <c r="HD216" t="n">
        <v>35</v>
      </c>
      <c r="HE216" t="n">
        <v>576</v>
      </c>
      <c r="HF216" t="n">
        <v>99</v>
      </c>
      <c r="HJ216" t="n">
        <v>0</v>
      </c>
      <c r="JT216" t="n">
        <v>12</v>
      </c>
      <c r="JW216" t="n">
        <v>9</v>
      </c>
      <c r="KA216" t="n">
        <v>14</v>
      </c>
      <c r="KG216" t="n">
        <v>14</v>
      </c>
      <c r="KK216" t="n">
        <v>2</v>
      </c>
      <c r="LZ216" t="n">
        <v>11</v>
      </c>
      <c r="MQ216" t="n">
        <v>311</v>
      </c>
      <c r="MX216" t="n">
        <v>3</v>
      </c>
      <c r="MZ216" t="n">
        <v>404</v>
      </c>
      <c r="NA216" t="n">
        <v>246</v>
      </c>
      <c r="NB216" t="n">
        <v>16</v>
      </c>
      <c r="NC216" t="n">
        <v>251</v>
      </c>
      <c r="NE216" t="n">
        <v>69</v>
      </c>
      <c r="NG216" t="n">
        <v>1</v>
      </c>
      <c r="NI216" t="n">
        <v>4</v>
      </c>
      <c r="NK216" t="n">
        <v>2</v>
      </c>
      <c r="NL216" t="n">
        <v>52</v>
      </c>
      <c r="NM216" t="n">
        <v>33</v>
      </c>
      <c r="NN216" t="n">
        <v>411</v>
      </c>
      <c r="NO216" t="n">
        <v>1458</v>
      </c>
      <c r="NP216" t="n">
        <v>1961</v>
      </c>
      <c r="NQ216" t="n">
        <v>75</v>
      </c>
      <c r="NZ216" t="n">
        <v>1</v>
      </c>
      <c r="OB216" t="n">
        <v>181</v>
      </c>
      <c r="OD216" t="n">
        <v>27</v>
      </c>
      <c r="OE216" t="n">
        <v>41</v>
      </c>
      <c r="OG216" t="n">
        <v>3</v>
      </c>
      <c r="OH216" t="n">
        <v>41</v>
      </c>
      <c r="OI216" t="n">
        <v>930</v>
      </c>
      <c r="OJ216" t="n">
        <v>637</v>
      </c>
      <c r="OK216" t="n">
        <v>811</v>
      </c>
      <c r="OO216" t="n">
        <v>12003</v>
      </c>
      <c r="OP216" t="n">
        <v>24121</v>
      </c>
      <c r="OU216" t="n">
        <v>114</v>
      </c>
      <c r="OV216" t="n">
        <v>1652</v>
      </c>
      <c r="PI216" t="n">
        <v>37890</v>
      </c>
      <c r="PM216">
        <f>IFERROR(VLOOKUP($A216&amp;"",Key!$A:$C,3,FALSE),"")</f>
        <v/>
      </c>
    </row>
    <row r="217">
      <c r="A217" t="n">
        <v>311990</v>
      </c>
      <c r="B217" t="inlineStr">
        <is>
          <t>All other food manufacturing</t>
        </is>
      </c>
      <c r="GK217" t="n">
        <v>10</v>
      </c>
      <c r="GO217" t="n">
        <v>3</v>
      </c>
      <c r="GP217" t="n">
        <v>96</v>
      </c>
      <c r="GR217" t="n">
        <v>1237</v>
      </c>
      <c r="GS217" t="n">
        <v>62</v>
      </c>
      <c r="GT217" t="n">
        <v>44</v>
      </c>
      <c r="GU217" t="n">
        <v>103</v>
      </c>
      <c r="GV217" t="n">
        <v>10</v>
      </c>
      <c r="GZ217" t="n">
        <v>2438</v>
      </c>
      <c r="HA217" t="n">
        <v>317</v>
      </c>
      <c r="HB217" t="n">
        <v>7</v>
      </c>
      <c r="HD217" t="n">
        <v>65</v>
      </c>
      <c r="HE217" t="n">
        <v>28</v>
      </c>
      <c r="HF217" t="n">
        <v>1122</v>
      </c>
      <c r="HG217" t="n">
        <v>15</v>
      </c>
      <c r="HJ217" t="n">
        <v>0</v>
      </c>
      <c r="IO217" t="n">
        <v>2</v>
      </c>
      <c r="IP217" t="n">
        <v>5</v>
      </c>
      <c r="IQ217" t="n">
        <v>1</v>
      </c>
      <c r="IR217" t="n">
        <v>7</v>
      </c>
      <c r="JW217" t="n">
        <v>36</v>
      </c>
      <c r="JX217" t="n">
        <v>33</v>
      </c>
      <c r="KC217" t="n">
        <v>0</v>
      </c>
      <c r="KG217" t="n">
        <v>14</v>
      </c>
      <c r="LZ217" t="n">
        <v>62</v>
      </c>
      <c r="MF217" t="n">
        <v>3</v>
      </c>
      <c r="MQ217" t="n">
        <v>235</v>
      </c>
      <c r="MZ217" t="n">
        <v>166</v>
      </c>
      <c r="NA217" t="n">
        <v>229</v>
      </c>
      <c r="NB217" t="n">
        <v>40</v>
      </c>
      <c r="NC217" t="n">
        <v>167</v>
      </c>
      <c r="ND217" t="n">
        <v>92</v>
      </c>
      <c r="NE217" t="n">
        <v>59</v>
      </c>
      <c r="NG217" t="n">
        <v>716</v>
      </c>
      <c r="NK217" t="n">
        <v>263</v>
      </c>
      <c r="NL217" t="n">
        <v>2</v>
      </c>
      <c r="NM217" t="n">
        <v>1528</v>
      </c>
      <c r="NN217" t="n">
        <v>32</v>
      </c>
      <c r="NO217" t="n">
        <v>328</v>
      </c>
      <c r="NP217" t="n">
        <v>392</v>
      </c>
      <c r="NQ217" t="n">
        <v>23</v>
      </c>
      <c r="NZ217" t="n">
        <v>1</v>
      </c>
      <c r="OB217" t="n">
        <v>5</v>
      </c>
      <c r="OD217" t="n">
        <v>130</v>
      </c>
      <c r="OG217" t="n">
        <v>9</v>
      </c>
      <c r="OH217" t="n">
        <v>23</v>
      </c>
      <c r="OI217" t="n">
        <v>416</v>
      </c>
      <c r="OJ217" t="n">
        <v>133</v>
      </c>
      <c r="OK217" t="n">
        <v>126</v>
      </c>
      <c r="OO217" t="n">
        <v>10834</v>
      </c>
      <c r="OP217" t="n">
        <v>40848</v>
      </c>
      <c r="OU217" t="n">
        <v>311</v>
      </c>
      <c r="OV217" t="n">
        <v>5054</v>
      </c>
      <c r="PI217" t="n">
        <v>57047</v>
      </c>
      <c r="PM217">
        <f>IFERROR(VLOOKUP($A217&amp;"",Key!$A:$C,3,FALSE),"")</f>
        <v/>
      </c>
    </row>
    <row r="218">
      <c r="A218" t="n">
        <v>312110</v>
      </c>
      <c r="B218" t="inlineStr">
        <is>
          <t>Soft drink and ice manufacturing</t>
        </is>
      </c>
      <c r="HG218" t="n">
        <v>13</v>
      </c>
      <c r="JW218" t="n">
        <v>61</v>
      </c>
      <c r="JX218" t="n">
        <v>34</v>
      </c>
      <c r="JZ218" t="n">
        <v>1</v>
      </c>
      <c r="KA218" t="n">
        <v>97</v>
      </c>
      <c r="KC218" t="n">
        <v>17</v>
      </c>
      <c r="KD218" t="n">
        <v>1</v>
      </c>
      <c r="KE218" t="n">
        <v>1</v>
      </c>
      <c r="KG218" t="n">
        <v>4</v>
      </c>
      <c r="KK218" t="n">
        <v>1</v>
      </c>
      <c r="LZ218" t="n">
        <v>38</v>
      </c>
      <c r="MF218" t="n">
        <v>18</v>
      </c>
      <c r="MP218" t="n">
        <v>8</v>
      </c>
      <c r="MQ218" t="n">
        <v>20</v>
      </c>
      <c r="MR218" t="n">
        <v>0</v>
      </c>
      <c r="MS218" t="n">
        <v>0</v>
      </c>
      <c r="MZ218" t="n">
        <v>337</v>
      </c>
      <c r="NA218" t="n">
        <v>86</v>
      </c>
      <c r="NB218" t="n">
        <v>25</v>
      </c>
      <c r="NC218" t="n">
        <v>43</v>
      </c>
      <c r="NE218" t="n">
        <v>35</v>
      </c>
      <c r="NF218" t="n">
        <v>3</v>
      </c>
      <c r="NG218" t="n">
        <v>9</v>
      </c>
      <c r="NI218" t="n">
        <v>15</v>
      </c>
      <c r="NJ218" t="n">
        <v>3</v>
      </c>
      <c r="NK218" t="n">
        <v>614</v>
      </c>
      <c r="NL218" t="n">
        <v>61</v>
      </c>
      <c r="NM218" t="n">
        <v>105</v>
      </c>
      <c r="NN218" t="n">
        <v>541</v>
      </c>
      <c r="NO218" t="n">
        <v>1963</v>
      </c>
      <c r="NP218" t="n">
        <v>1838</v>
      </c>
      <c r="NQ218" t="n">
        <v>121</v>
      </c>
      <c r="NZ218" t="n">
        <v>4</v>
      </c>
      <c r="OA218" t="n">
        <v>1</v>
      </c>
      <c r="OB218" t="n">
        <v>58</v>
      </c>
      <c r="OD218" t="n">
        <v>85</v>
      </c>
      <c r="OG218" t="n">
        <v>9</v>
      </c>
      <c r="OH218" t="n">
        <v>19</v>
      </c>
      <c r="OI218" t="n">
        <v>191</v>
      </c>
      <c r="OJ218" t="n">
        <v>370</v>
      </c>
      <c r="OK218" t="n">
        <v>87</v>
      </c>
      <c r="OO218" t="n">
        <v>6938</v>
      </c>
      <c r="OP218" t="n">
        <v>75414</v>
      </c>
      <c r="OU218" t="n">
        <v>486</v>
      </c>
      <c r="OV218" t="n">
        <v>1477</v>
      </c>
      <c r="PI218" t="n">
        <v>84314</v>
      </c>
      <c r="PM218">
        <f>IFERROR(VLOOKUP($A218&amp;"",Key!$A:$C,3,FALSE),"")</f>
        <v/>
      </c>
    </row>
    <row r="219">
      <c r="A219" t="n">
        <v>312120</v>
      </c>
      <c r="B219" t="inlineStr">
        <is>
          <t>Breweries</t>
        </is>
      </c>
      <c r="I219" t="n">
        <v>44</v>
      </c>
      <c r="K219" t="n">
        <v>23</v>
      </c>
      <c r="L219" t="n">
        <v>2</v>
      </c>
      <c r="GI219" t="n">
        <v>149</v>
      </c>
      <c r="GV219" t="n">
        <v>3</v>
      </c>
      <c r="HH219" t="n">
        <v>2975</v>
      </c>
      <c r="JV219" t="n">
        <v>1</v>
      </c>
      <c r="JW219" t="n">
        <v>2</v>
      </c>
      <c r="KC219" t="n">
        <v>4</v>
      </c>
      <c r="KD219" t="n">
        <v>7</v>
      </c>
      <c r="KE219" t="n">
        <v>194</v>
      </c>
      <c r="KG219" t="n">
        <v>28</v>
      </c>
      <c r="KH219" t="n">
        <v>4</v>
      </c>
      <c r="KK219" t="n">
        <v>6</v>
      </c>
      <c r="MP219" t="n">
        <v>1</v>
      </c>
      <c r="MQ219" t="n">
        <v>1276</v>
      </c>
      <c r="MR219" t="n">
        <v>7</v>
      </c>
      <c r="NF219" t="n">
        <v>3</v>
      </c>
      <c r="NG219" t="n">
        <v>12</v>
      </c>
      <c r="NI219" t="n">
        <v>39</v>
      </c>
      <c r="NK219" t="n">
        <v>385</v>
      </c>
      <c r="NL219" t="n">
        <v>378</v>
      </c>
      <c r="NM219" t="n">
        <v>944</v>
      </c>
      <c r="NN219" t="n">
        <v>317</v>
      </c>
      <c r="NO219" t="n">
        <v>3166</v>
      </c>
      <c r="NP219" t="n">
        <v>4690</v>
      </c>
      <c r="NQ219" t="n">
        <v>970</v>
      </c>
      <c r="OB219" t="n">
        <v>372</v>
      </c>
      <c r="OH219" t="n">
        <v>179</v>
      </c>
      <c r="OI219" t="n">
        <v>457</v>
      </c>
      <c r="OK219" t="n">
        <v>0</v>
      </c>
      <c r="OO219" t="n">
        <v>16637</v>
      </c>
      <c r="OP219" t="n">
        <v>65044</v>
      </c>
      <c r="OU219" t="n">
        <v>658</v>
      </c>
      <c r="OV219" t="n">
        <v>841</v>
      </c>
      <c r="PI219" t="n">
        <v>83180</v>
      </c>
      <c r="PM219">
        <f>IFERROR(VLOOKUP($A219&amp;"",Key!$A:$C,3,FALSE),"")</f>
        <v/>
      </c>
    </row>
    <row r="220">
      <c r="A220" t="n">
        <v>312130</v>
      </c>
      <c r="B220" t="inlineStr">
        <is>
          <t>Wineries</t>
        </is>
      </c>
      <c r="HI220" t="n">
        <v>1919</v>
      </c>
      <c r="HJ220" t="n">
        <v>10</v>
      </c>
      <c r="JW220" t="n">
        <v>31</v>
      </c>
      <c r="KA220" t="n">
        <v>5</v>
      </c>
      <c r="KC220" t="n">
        <v>3</v>
      </c>
      <c r="KE220" t="n">
        <v>426</v>
      </c>
      <c r="KG220" t="n">
        <v>32</v>
      </c>
      <c r="KH220" t="n">
        <v>18</v>
      </c>
      <c r="LZ220" t="n">
        <v>114</v>
      </c>
      <c r="MP220" t="n">
        <v>8</v>
      </c>
      <c r="MQ220" t="n">
        <v>339</v>
      </c>
      <c r="NG220" t="n">
        <v>5</v>
      </c>
      <c r="NJ220" t="n">
        <v>96</v>
      </c>
      <c r="NK220" t="n">
        <v>63</v>
      </c>
      <c r="NL220" t="n">
        <v>143</v>
      </c>
      <c r="NM220" t="n">
        <v>229</v>
      </c>
      <c r="NN220" t="n">
        <v>2056</v>
      </c>
      <c r="NO220" t="n">
        <v>2158</v>
      </c>
      <c r="NP220" t="n">
        <v>2633</v>
      </c>
      <c r="NQ220" t="n">
        <v>928</v>
      </c>
      <c r="NZ220" t="n">
        <v>77</v>
      </c>
      <c r="OB220" t="n">
        <v>129</v>
      </c>
      <c r="OI220" t="n">
        <v>920</v>
      </c>
      <c r="OJ220" t="n">
        <v>35</v>
      </c>
      <c r="OK220" t="n">
        <v>16</v>
      </c>
      <c r="OO220" t="n">
        <v>12392</v>
      </c>
      <c r="OP220" t="n">
        <v>47187</v>
      </c>
      <c r="OU220" t="n">
        <v>1064</v>
      </c>
      <c r="OV220" t="n">
        <v>1640</v>
      </c>
      <c r="PI220" t="n">
        <v>62283</v>
      </c>
      <c r="PM220">
        <f>IFERROR(VLOOKUP($A220&amp;"",Key!$A:$C,3,FALSE),"")</f>
        <v/>
      </c>
    </row>
    <row r="221">
      <c r="A221" t="n">
        <v>312140</v>
      </c>
      <c r="B221" t="inlineStr">
        <is>
          <t>Distilleries</t>
        </is>
      </c>
      <c r="I221" t="n">
        <v>510</v>
      </c>
      <c r="K221" t="n">
        <v>262</v>
      </c>
      <c r="L221" t="n">
        <v>26</v>
      </c>
      <c r="GI221" t="n">
        <v>2012</v>
      </c>
      <c r="GJ221" t="n">
        <v>2644</v>
      </c>
      <c r="GV221" t="n">
        <v>1</v>
      </c>
      <c r="HI221" t="n">
        <v>8</v>
      </c>
      <c r="HJ221" t="n">
        <v>4785</v>
      </c>
      <c r="JN221" t="n">
        <v>36</v>
      </c>
      <c r="JT221" t="n">
        <v>19</v>
      </c>
      <c r="JW221" t="n">
        <v>4</v>
      </c>
      <c r="KC221" t="n">
        <v>0</v>
      </c>
      <c r="KE221" t="n">
        <v>31</v>
      </c>
      <c r="KG221" t="n">
        <v>21</v>
      </c>
      <c r="KH221" t="n">
        <v>3</v>
      </c>
      <c r="LZ221" t="n">
        <v>191</v>
      </c>
      <c r="MF221" t="n">
        <v>17</v>
      </c>
      <c r="MP221" t="n">
        <v>1</v>
      </c>
      <c r="MQ221" t="n">
        <v>39</v>
      </c>
      <c r="NK221" t="n">
        <v>42</v>
      </c>
      <c r="NL221" t="n">
        <v>16</v>
      </c>
      <c r="NM221" t="n">
        <v>349</v>
      </c>
      <c r="NN221" t="n">
        <v>235</v>
      </c>
      <c r="NO221" t="n">
        <v>9048</v>
      </c>
      <c r="NP221" t="n">
        <v>1759</v>
      </c>
      <c r="NQ221" t="n">
        <v>248</v>
      </c>
      <c r="OB221" t="n">
        <v>55</v>
      </c>
      <c r="OD221" t="n">
        <v>33</v>
      </c>
      <c r="OH221" t="n">
        <v>13</v>
      </c>
      <c r="OI221" t="n">
        <v>109</v>
      </c>
      <c r="OJ221" t="n">
        <v>32</v>
      </c>
      <c r="OK221" t="n">
        <v>4</v>
      </c>
      <c r="OO221" t="n">
        <v>22555</v>
      </c>
      <c r="OP221" t="n">
        <v>32804</v>
      </c>
      <c r="OU221" t="n">
        <v>188</v>
      </c>
      <c r="OV221" t="n">
        <v>1525</v>
      </c>
      <c r="PI221" t="n">
        <v>57071</v>
      </c>
      <c r="PM221">
        <f>IFERROR(VLOOKUP($A221&amp;"",Key!$A:$C,3,FALSE),"")</f>
        <v/>
      </c>
    </row>
    <row r="222">
      <c r="A222" t="n">
        <v>312200</v>
      </c>
      <c r="B222" t="inlineStr">
        <is>
          <t>Tobacco manufacturing</t>
        </is>
      </c>
      <c r="HK222" t="n">
        <v>1817</v>
      </c>
      <c r="MF222" t="n">
        <v>1</v>
      </c>
      <c r="OI222" t="n">
        <v>280</v>
      </c>
      <c r="OK222" t="n">
        <v>3170</v>
      </c>
      <c r="OO222" t="n">
        <v>5267</v>
      </c>
      <c r="OP222" t="n">
        <v>114963</v>
      </c>
      <c r="OU222" t="n">
        <v>530</v>
      </c>
      <c r="OV222" t="n">
        <v>1342</v>
      </c>
      <c r="PI222" t="n">
        <v>122102</v>
      </c>
      <c r="PM222">
        <f>IFERROR(VLOOKUP($A222&amp;"",Key!$A:$C,3,FALSE),"")</f>
        <v/>
      </c>
    </row>
    <row r="223">
      <c r="A223" t="n">
        <v>313100</v>
      </c>
      <c r="B223" t="inlineStr">
        <is>
          <t>Fiber, yarn, and thread mills</t>
        </is>
      </c>
      <c r="D223" t="n">
        <v>1</v>
      </c>
      <c r="AQ223" t="n">
        <v>0</v>
      </c>
      <c r="FA223" t="n">
        <v>78</v>
      </c>
      <c r="FW223" t="n">
        <v>305</v>
      </c>
      <c r="GE223" t="n">
        <v>1</v>
      </c>
      <c r="GG223" t="n">
        <v>3</v>
      </c>
      <c r="GH223" t="n">
        <v>34</v>
      </c>
      <c r="HL223" t="n">
        <v>285</v>
      </c>
      <c r="HM223" t="n">
        <v>284</v>
      </c>
      <c r="HN223" t="n">
        <v>258</v>
      </c>
      <c r="HO223" t="n">
        <v>603</v>
      </c>
      <c r="HP223" t="n">
        <v>145</v>
      </c>
      <c r="HQ223" t="n">
        <v>231</v>
      </c>
      <c r="HR223" t="n">
        <v>65</v>
      </c>
      <c r="HS223" t="n">
        <v>0</v>
      </c>
      <c r="HU223" t="n">
        <v>98</v>
      </c>
      <c r="HV223" t="n">
        <v>14</v>
      </c>
      <c r="HX223" t="n">
        <v>9</v>
      </c>
      <c r="HY223" t="n">
        <v>4</v>
      </c>
      <c r="IB223" t="n">
        <v>42</v>
      </c>
      <c r="KB223" t="n">
        <v>1</v>
      </c>
      <c r="KS223" t="n">
        <v>90</v>
      </c>
      <c r="NC223" t="n">
        <v>0</v>
      </c>
      <c r="NE223" t="n">
        <v>215</v>
      </c>
      <c r="NU223" t="n">
        <v>2</v>
      </c>
      <c r="OD223" t="n">
        <v>3</v>
      </c>
      <c r="OE223" t="n">
        <v>3</v>
      </c>
      <c r="OI223" t="n">
        <v>0</v>
      </c>
      <c r="OO223" t="n">
        <v>2776</v>
      </c>
      <c r="OP223" t="n">
        <v>111</v>
      </c>
      <c r="OU223" t="n">
        <v>-27</v>
      </c>
      <c r="OV223" t="n">
        <v>1842</v>
      </c>
      <c r="PI223" t="n">
        <v>4702</v>
      </c>
      <c r="PM223">
        <f>IFERROR(VLOOKUP($A223&amp;"",Key!$A:$C,3,FALSE),"")</f>
        <v/>
      </c>
    </row>
    <row r="224">
      <c r="A224" t="n">
        <v>313200</v>
      </c>
      <c r="B224" t="inlineStr">
        <is>
          <t>Fabric mills</t>
        </is>
      </c>
      <c r="O224" t="n">
        <v>0</v>
      </c>
      <c r="Q224" t="n">
        <v>2</v>
      </c>
      <c r="AC224" t="n">
        <v>38</v>
      </c>
      <c r="AD224" t="n">
        <v>11</v>
      </c>
      <c r="AE224" t="n">
        <v>8</v>
      </c>
      <c r="AF224" t="n">
        <v>5</v>
      </c>
      <c r="AG224" t="n">
        <v>29</v>
      </c>
      <c r="AH224" t="n">
        <v>1</v>
      </c>
      <c r="AI224" t="n">
        <v>4</v>
      </c>
      <c r="AJ224" t="n">
        <v>15</v>
      </c>
      <c r="AK224" t="n">
        <v>81</v>
      </c>
      <c r="AL224" t="n">
        <v>17</v>
      </c>
      <c r="AO224" t="n">
        <v>19</v>
      </c>
      <c r="AP224" t="n">
        <v>78</v>
      </c>
      <c r="AX224" t="n">
        <v>160</v>
      </c>
      <c r="BA224" t="n">
        <v>34</v>
      </c>
      <c r="CO224" t="n">
        <v>80</v>
      </c>
      <c r="CR224" t="n">
        <v>270</v>
      </c>
      <c r="DE224" t="n">
        <v>41</v>
      </c>
      <c r="DG224" t="n">
        <v>440</v>
      </c>
      <c r="ES224" t="n">
        <v>100</v>
      </c>
      <c r="EV224" t="n">
        <v>2</v>
      </c>
      <c r="FA224" t="n">
        <v>182</v>
      </c>
      <c r="FQ224" t="n">
        <v>942</v>
      </c>
      <c r="FR224" t="n">
        <v>24</v>
      </c>
      <c r="FS224" t="n">
        <v>16</v>
      </c>
      <c r="FT224" t="n">
        <v>17</v>
      </c>
      <c r="FU224" t="n">
        <v>10</v>
      </c>
      <c r="FV224" t="n">
        <v>72</v>
      </c>
      <c r="FW224" t="n">
        <v>947</v>
      </c>
      <c r="FX224" t="n">
        <v>250</v>
      </c>
      <c r="FY224" t="n">
        <v>146</v>
      </c>
      <c r="GA224" t="n">
        <v>22</v>
      </c>
      <c r="GD224" t="n">
        <v>0</v>
      </c>
      <c r="GE224" t="n">
        <v>2</v>
      </c>
      <c r="GF224" t="n">
        <v>1</v>
      </c>
      <c r="GG224" t="n">
        <v>142</v>
      </c>
      <c r="GH224" t="n">
        <v>126</v>
      </c>
      <c r="HM224" t="n">
        <v>881</v>
      </c>
      <c r="HN224" t="n">
        <v>1694</v>
      </c>
      <c r="HO224" t="n">
        <v>706</v>
      </c>
      <c r="HP224" t="n">
        <v>646</v>
      </c>
      <c r="HQ224" t="n">
        <v>159</v>
      </c>
      <c r="HR224" t="n">
        <v>1207</v>
      </c>
      <c r="HS224" t="n">
        <v>11</v>
      </c>
      <c r="HU224" t="n">
        <v>1167</v>
      </c>
      <c r="HV224" t="n">
        <v>27</v>
      </c>
      <c r="HX224" t="n">
        <v>1</v>
      </c>
      <c r="HZ224" t="n">
        <v>1631</v>
      </c>
      <c r="IB224" t="n">
        <v>144</v>
      </c>
      <c r="IC224" t="n">
        <v>59</v>
      </c>
      <c r="IE224" t="n">
        <v>13</v>
      </c>
      <c r="JE224" t="n">
        <v>13</v>
      </c>
      <c r="JG224" t="n">
        <v>58</v>
      </c>
      <c r="JI224" t="n">
        <v>739</v>
      </c>
      <c r="JJ224" t="n">
        <v>286</v>
      </c>
      <c r="JN224" t="n">
        <v>0</v>
      </c>
      <c r="JO224" t="n">
        <v>0</v>
      </c>
      <c r="JV224" t="n">
        <v>15</v>
      </c>
      <c r="KB224" t="n">
        <v>471</v>
      </c>
      <c r="KN224" t="n">
        <v>0</v>
      </c>
      <c r="KO224" t="n">
        <v>0</v>
      </c>
      <c r="KQ224" t="n">
        <v>1</v>
      </c>
      <c r="KS224" t="n">
        <v>99</v>
      </c>
      <c r="LO224" t="n">
        <v>13</v>
      </c>
      <c r="LZ224" t="n">
        <v>39</v>
      </c>
      <c r="MD224" t="n">
        <v>62</v>
      </c>
      <c r="MF224" t="n">
        <v>3</v>
      </c>
      <c r="MS224" t="n">
        <v>39</v>
      </c>
      <c r="MZ224" t="n">
        <v>4</v>
      </c>
      <c r="NK224" t="n">
        <v>0</v>
      </c>
      <c r="NL224" t="n">
        <v>0</v>
      </c>
      <c r="NM224" t="n">
        <v>0</v>
      </c>
      <c r="NO224" t="n">
        <v>48</v>
      </c>
      <c r="NR224" t="n">
        <v>3</v>
      </c>
      <c r="NU224" t="n">
        <v>13</v>
      </c>
      <c r="NX224" t="n">
        <v>5</v>
      </c>
      <c r="OD224" t="n">
        <v>72</v>
      </c>
      <c r="OE224" t="n">
        <v>8</v>
      </c>
      <c r="OI224" t="n">
        <v>301</v>
      </c>
      <c r="OJ224" t="n">
        <v>10</v>
      </c>
      <c r="OK224" t="n">
        <v>115</v>
      </c>
      <c r="OO224" t="n">
        <v>15096</v>
      </c>
      <c r="OP224" t="n">
        <v>2236</v>
      </c>
      <c r="OQ224" t="n">
        <v>18</v>
      </c>
      <c r="OU224" t="n">
        <v>-133</v>
      </c>
      <c r="OV224" t="n">
        <v>3039</v>
      </c>
      <c r="PI224" t="n">
        <v>20255</v>
      </c>
      <c r="PM224">
        <f>IFERROR(VLOOKUP($A224&amp;"",Key!$A:$C,3,FALSE),"")</f>
        <v/>
      </c>
    </row>
    <row r="225">
      <c r="A225" t="n">
        <v>313300</v>
      </c>
      <c r="B225" t="inlineStr">
        <is>
          <t>Textile and fabric finishing and fabric coating mills</t>
        </is>
      </c>
      <c r="AN225" t="n">
        <v>233</v>
      </c>
      <c r="AP225" t="n">
        <v>67</v>
      </c>
      <c r="AQ225" t="n">
        <v>49</v>
      </c>
      <c r="AS225" t="n">
        <v>0</v>
      </c>
      <c r="AU225" t="n">
        <v>0</v>
      </c>
      <c r="AV225" t="n">
        <v>0</v>
      </c>
      <c r="AW225" t="n">
        <v>0</v>
      </c>
      <c r="CB225" t="n">
        <v>1</v>
      </c>
      <c r="DR225" t="n">
        <v>1</v>
      </c>
      <c r="FA225" t="n">
        <v>651</v>
      </c>
      <c r="FQ225" t="n">
        <v>221</v>
      </c>
      <c r="FR225" t="n">
        <v>31</v>
      </c>
      <c r="FS225" t="n">
        <v>57</v>
      </c>
      <c r="FT225" t="n">
        <v>60</v>
      </c>
      <c r="FU225" t="n">
        <v>80</v>
      </c>
      <c r="FV225" t="n">
        <v>354</v>
      </c>
      <c r="FW225" t="n">
        <v>518</v>
      </c>
      <c r="FX225" t="n">
        <v>387</v>
      </c>
      <c r="FY225" t="n">
        <v>615</v>
      </c>
      <c r="GD225" t="n">
        <v>121</v>
      </c>
      <c r="GE225" t="n">
        <v>194</v>
      </c>
      <c r="GG225" t="n">
        <v>81</v>
      </c>
      <c r="GH225" t="n">
        <v>116</v>
      </c>
      <c r="GT225" t="n">
        <v>1</v>
      </c>
      <c r="HL225" t="n">
        <v>0</v>
      </c>
      <c r="HM225" t="n">
        <v>445</v>
      </c>
      <c r="HN225" t="n">
        <v>677</v>
      </c>
      <c r="HO225" t="n">
        <v>26</v>
      </c>
      <c r="HP225" t="n">
        <v>446</v>
      </c>
      <c r="HQ225" t="n">
        <v>1269</v>
      </c>
      <c r="HR225" t="n">
        <v>116</v>
      </c>
      <c r="HS225" t="n">
        <v>27</v>
      </c>
      <c r="HU225" t="n">
        <v>715</v>
      </c>
      <c r="HX225" t="n">
        <v>389</v>
      </c>
      <c r="HY225" t="n">
        <v>35</v>
      </c>
      <c r="IA225" t="n">
        <v>56</v>
      </c>
      <c r="IB225" t="n">
        <v>40</v>
      </c>
      <c r="IE225" t="n">
        <v>1</v>
      </c>
      <c r="JD225" t="n">
        <v>119</v>
      </c>
      <c r="JG225" t="n">
        <v>49</v>
      </c>
      <c r="JJ225" t="n">
        <v>143</v>
      </c>
      <c r="JO225" t="n">
        <v>776</v>
      </c>
      <c r="JT225" t="n">
        <v>3</v>
      </c>
      <c r="JV225" t="n">
        <v>0</v>
      </c>
      <c r="KB225" t="n">
        <v>87</v>
      </c>
      <c r="KD225" t="n">
        <v>697</v>
      </c>
      <c r="KS225" t="n">
        <v>11</v>
      </c>
      <c r="LO225" t="n">
        <v>1</v>
      </c>
      <c r="LP225" t="n">
        <v>1</v>
      </c>
      <c r="LZ225" t="n">
        <v>171</v>
      </c>
      <c r="MF225" t="n">
        <v>14</v>
      </c>
      <c r="MK225" t="n">
        <v>4</v>
      </c>
      <c r="MN225" t="n">
        <v>6</v>
      </c>
      <c r="MR225" t="n">
        <v>25</v>
      </c>
      <c r="MX225" t="n">
        <v>1</v>
      </c>
      <c r="MZ225" t="n">
        <v>0</v>
      </c>
      <c r="NG225" t="n">
        <v>0</v>
      </c>
      <c r="NK225" t="n">
        <v>1</v>
      </c>
      <c r="NL225" t="n">
        <v>10</v>
      </c>
      <c r="NM225" t="n">
        <v>117</v>
      </c>
      <c r="NO225" t="n">
        <v>0</v>
      </c>
      <c r="NR225" t="n">
        <v>0</v>
      </c>
      <c r="NT225" t="n">
        <v>0</v>
      </c>
      <c r="NU225" t="n">
        <v>26</v>
      </c>
      <c r="NV225" t="n">
        <v>26</v>
      </c>
      <c r="OE225" t="n">
        <v>21</v>
      </c>
      <c r="OI225" t="n">
        <v>62</v>
      </c>
      <c r="OJ225" t="n">
        <v>0</v>
      </c>
      <c r="OK225" t="n">
        <v>3</v>
      </c>
      <c r="OO225" t="n">
        <v>10453</v>
      </c>
      <c r="OP225" t="n">
        <v>1293</v>
      </c>
      <c r="OU225" t="n">
        <v>-98</v>
      </c>
      <c r="OV225" t="n">
        <v>1126</v>
      </c>
      <c r="PI225" t="n">
        <v>12775</v>
      </c>
      <c r="PM225">
        <f>IFERROR(VLOOKUP($A225&amp;"",Key!$A:$C,3,FALSE),"")</f>
        <v/>
      </c>
    </row>
    <row r="226">
      <c r="A226" t="n">
        <v>314110</v>
      </c>
      <c r="B226" t="inlineStr">
        <is>
          <t>Carpet and rug mills</t>
        </is>
      </c>
      <c r="AA226" t="n">
        <v>41</v>
      </c>
      <c r="AB226" t="n">
        <v>197</v>
      </c>
      <c r="AC226" t="n">
        <v>68</v>
      </c>
      <c r="AD226" t="n">
        <v>74</v>
      </c>
      <c r="AE226" t="n">
        <v>422</v>
      </c>
      <c r="AF226" t="n">
        <v>21</v>
      </c>
      <c r="AG226" t="n">
        <v>202</v>
      </c>
      <c r="AH226" t="n">
        <v>4</v>
      </c>
      <c r="AI226" t="n">
        <v>81</v>
      </c>
      <c r="AJ226" t="n">
        <v>45</v>
      </c>
      <c r="AK226" t="n">
        <v>179</v>
      </c>
      <c r="AL226" t="n">
        <v>32</v>
      </c>
      <c r="AN226" t="n">
        <v>19</v>
      </c>
      <c r="AP226" t="n">
        <v>56</v>
      </c>
      <c r="EQ226" t="n">
        <v>235</v>
      </c>
      <c r="ER226" t="n">
        <v>2080</v>
      </c>
      <c r="ES226" t="n">
        <v>4</v>
      </c>
      <c r="EV226" t="n">
        <v>1</v>
      </c>
      <c r="EW226" t="n">
        <v>46</v>
      </c>
      <c r="FE226" t="n">
        <v>937</v>
      </c>
      <c r="FL226" t="n">
        <v>112</v>
      </c>
      <c r="HO226" t="n">
        <v>60</v>
      </c>
      <c r="KD226" t="n">
        <v>0</v>
      </c>
      <c r="KX226" t="n">
        <v>0</v>
      </c>
      <c r="KZ226" t="n">
        <v>1</v>
      </c>
      <c r="LL226" t="n">
        <v>0</v>
      </c>
      <c r="LN226" t="n">
        <v>3</v>
      </c>
      <c r="LX226" t="n">
        <v>76</v>
      </c>
      <c r="MQ226" t="n">
        <v>0</v>
      </c>
      <c r="NC226" t="n">
        <v>0</v>
      </c>
      <c r="ND226" t="n">
        <v>0</v>
      </c>
      <c r="NM226" t="n">
        <v>2</v>
      </c>
      <c r="NP226" t="n">
        <v>0</v>
      </c>
      <c r="NR226" t="n">
        <v>4</v>
      </c>
      <c r="NZ226" t="n">
        <v>5</v>
      </c>
      <c r="OE226" t="n">
        <v>41</v>
      </c>
      <c r="OO226" t="n">
        <v>5048</v>
      </c>
      <c r="OP226" t="n">
        <v>16826</v>
      </c>
      <c r="OQ226" t="n">
        <v>6877</v>
      </c>
      <c r="OS226" t="n">
        <v>2235</v>
      </c>
      <c r="OU226" t="n">
        <v>-198</v>
      </c>
      <c r="OV226" t="n">
        <v>939</v>
      </c>
      <c r="PB226" t="n">
        <v>6</v>
      </c>
      <c r="PF226" t="n">
        <v>40</v>
      </c>
      <c r="PI226" t="n">
        <v>31772</v>
      </c>
      <c r="PM226">
        <f>IFERROR(VLOOKUP($A226&amp;"",Key!$A:$C,3,FALSE),"")</f>
        <v/>
      </c>
    </row>
    <row r="227">
      <c r="A227" t="n">
        <v>314120</v>
      </c>
      <c r="B227" t="inlineStr">
        <is>
          <t>Curtain and linen mills</t>
        </is>
      </c>
      <c r="EV227" t="n">
        <v>0</v>
      </c>
      <c r="EW227" t="n">
        <v>1</v>
      </c>
      <c r="HP227" t="n">
        <v>45</v>
      </c>
      <c r="JW227" t="n">
        <v>6</v>
      </c>
      <c r="MB227" t="n">
        <v>5</v>
      </c>
      <c r="MQ227" t="n">
        <v>30</v>
      </c>
      <c r="MY227" t="n">
        <v>36</v>
      </c>
      <c r="MZ227" t="n">
        <v>403</v>
      </c>
      <c r="NA227" t="n">
        <v>817</v>
      </c>
      <c r="NB227" t="n">
        <v>1520</v>
      </c>
      <c r="NC227" t="n">
        <v>931</v>
      </c>
      <c r="NE227" t="n">
        <v>440</v>
      </c>
      <c r="NM227" t="n">
        <v>41</v>
      </c>
      <c r="NN227" t="n">
        <v>2158</v>
      </c>
      <c r="NO227" t="n">
        <v>109</v>
      </c>
      <c r="NP227" t="n">
        <v>126</v>
      </c>
      <c r="NQ227" t="n">
        <v>41</v>
      </c>
      <c r="NV227" t="n">
        <v>12</v>
      </c>
      <c r="NX227" t="n">
        <v>600</v>
      </c>
      <c r="OD227" t="n">
        <v>186</v>
      </c>
      <c r="OE227" t="n">
        <v>153</v>
      </c>
      <c r="OI227" t="n">
        <v>27</v>
      </c>
      <c r="OJ227" t="n">
        <v>1329</v>
      </c>
      <c r="OK227" t="n">
        <v>211</v>
      </c>
      <c r="OO227" t="n">
        <v>9227</v>
      </c>
      <c r="OP227" t="n">
        <v>34126</v>
      </c>
      <c r="OU227" t="n">
        <v>-11</v>
      </c>
      <c r="OV227" t="n">
        <v>932</v>
      </c>
      <c r="PI227" t="n">
        <v>44273</v>
      </c>
      <c r="PM227">
        <f>IFERROR(VLOOKUP($A227&amp;"",Key!$A:$C,3,FALSE),"")</f>
        <v/>
      </c>
    </row>
    <row r="228">
      <c r="A228" t="n">
        <v>314900</v>
      </c>
      <c r="B228" t="inlineStr">
        <is>
          <t>Other textile product mills</t>
        </is>
      </c>
      <c r="D228" t="n">
        <v>1</v>
      </c>
      <c r="E228" t="n">
        <v>42</v>
      </c>
      <c r="F228" t="n">
        <v>47</v>
      </c>
      <c r="H228" t="n">
        <v>25</v>
      </c>
      <c r="I228" t="n">
        <v>2</v>
      </c>
      <c r="J228" t="n">
        <v>3</v>
      </c>
      <c r="N228" t="n">
        <v>43</v>
      </c>
      <c r="O228" t="n">
        <v>32</v>
      </c>
      <c r="AA228" t="n">
        <v>46</v>
      </c>
      <c r="AB228" t="n">
        <v>128</v>
      </c>
      <c r="AC228" t="n">
        <v>358</v>
      </c>
      <c r="AD228" t="n">
        <v>116</v>
      </c>
      <c r="AE228" t="n">
        <v>220</v>
      </c>
      <c r="AF228" t="n">
        <v>121</v>
      </c>
      <c r="AG228" t="n">
        <v>537</v>
      </c>
      <c r="AH228" t="n">
        <v>6</v>
      </c>
      <c r="AI228" t="n">
        <v>10</v>
      </c>
      <c r="AJ228" t="n">
        <v>18</v>
      </c>
      <c r="AK228" t="n">
        <v>476</v>
      </c>
      <c r="AL228" t="n">
        <v>103</v>
      </c>
      <c r="AO228" t="n">
        <v>5</v>
      </c>
      <c r="AP228" t="n">
        <v>82</v>
      </c>
      <c r="AY228" t="n">
        <v>113</v>
      </c>
      <c r="EH228" t="n">
        <v>0</v>
      </c>
      <c r="EQ228" t="n">
        <v>6</v>
      </c>
      <c r="ER228" t="n">
        <v>93</v>
      </c>
      <c r="ES228" t="n">
        <v>9</v>
      </c>
      <c r="ET228" t="n">
        <v>59</v>
      </c>
      <c r="EU228" t="n">
        <v>0</v>
      </c>
      <c r="FA228" t="n">
        <v>105</v>
      </c>
      <c r="FC228" t="n">
        <v>3</v>
      </c>
      <c r="FJ228" t="n">
        <v>762</v>
      </c>
      <c r="FK228" t="n">
        <v>52</v>
      </c>
      <c r="FL228" t="n">
        <v>184</v>
      </c>
      <c r="FP228" t="n">
        <v>16</v>
      </c>
      <c r="FQ228" t="n">
        <v>286</v>
      </c>
      <c r="FR228" t="n">
        <v>39</v>
      </c>
      <c r="FS228" t="n">
        <v>6</v>
      </c>
      <c r="FT228" t="n">
        <v>20</v>
      </c>
      <c r="FU228" t="n">
        <v>7</v>
      </c>
      <c r="FV228" t="n">
        <v>22</v>
      </c>
      <c r="FW228" t="n">
        <v>12</v>
      </c>
      <c r="FX228" t="n">
        <v>1</v>
      </c>
      <c r="FY228" t="n">
        <v>0</v>
      </c>
      <c r="GE228" t="n">
        <v>2</v>
      </c>
      <c r="GG228" t="n">
        <v>25</v>
      </c>
      <c r="GI228" t="n">
        <v>1</v>
      </c>
      <c r="GJ228" t="n">
        <v>84</v>
      </c>
      <c r="GK228" t="n">
        <v>67</v>
      </c>
      <c r="GL228" t="n">
        <v>1</v>
      </c>
      <c r="GM228" t="n">
        <v>1</v>
      </c>
      <c r="GN228" t="n">
        <v>3</v>
      </c>
      <c r="GO228" t="n">
        <v>0</v>
      </c>
      <c r="GP228" t="n">
        <v>1</v>
      </c>
      <c r="GQ228" t="n">
        <v>0</v>
      </c>
      <c r="GR228" t="n">
        <v>0</v>
      </c>
      <c r="GS228" t="n">
        <v>0</v>
      </c>
      <c r="GU228" t="n">
        <v>0</v>
      </c>
      <c r="GX228" t="n">
        <v>4</v>
      </c>
      <c r="GZ228" t="n">
        <v>51</v>
      </c>
      <c r="HG228" t="n">
        <v>21</v>
      </c>
      <c r="HH228" t="n">
        <v>0</v>
      </c>
      <c r="HL228" t="n">
        <v>8</v>
      </c>
      <c r="HN228" t="n">
        <v>3</v>
      </c>
      <c r="HO228" t="n">
        <v>81</v>
      </c>
      <c r="HQ228" t="n">
        <v>196</v>
      </c>
      <c r="HR228" t="n">
        <v>57</v>
      </c>
      <c r="IE228" t="n">
        <v>22</v>
      </c>
      <c r="IW228" t="n">
        <v>2</v>
      </c>
      <c r="IX228" t="n">
        <v>0</v>
      </c>
      <c r="IZ228" t="n">
        <v>0</v>
      </c>
      <c r="JA228" t="n">
        <v>0</v>
      </c>
      <c r="JF228" t="n">
        <v>0</v>
      </c>
      <c r="JG228" t="n">
        <v>6</v>
      </c>
      <c r="JH228" t="n">
        <v>1766</v>
      </c>
      <c r="JK228" t="n">
        <v>164</v>
      </c>
      <c r="JL228" t="n">
        <v>306</v>
      </c>
      <c r="JM228" t="n">
        <v>418</v>
      </c>
      <c r="JN228" t="n">
        <v>87</v>
      </c>
      <c r="JO228" t="n">
        <v>459</v>
      </c>
      <c r="JP228" t="n">
        <v>521</v>
      </c>
      <c r="JQ228" t="n">
        <v>235</v>
      </c>
      <c r="JR228" t="n">
        <v>232</v>
      </c>
      <c r="JS228" t="n">
        <v>422</v>
      </c>
      <c r="JT228" t="n">
        <v>35</v>
      </c>
      <c r="JV228" t="n">
        <v>71</v>
      </c>
      <c r="JW228" t="n">
        <v>135</v>
      </c>
      <c r="JX228" t="n">
        <v>4012</v>
      </c>
      <c r="JY228" t="n">
        <v>9</v>
      </c>
      <c r="JZ228" t="n">
        <v>34</v>
      </c>
      <c r="KA228" t="n">
        <v>9</v>
      </c>
      <c r="KB228" t="n">
        <v>514</v>
      </c>
      <c r="KC228" t="n">
        <v>82</v>
      </c>
      <c r="KD228" t="n">
        <v>15</v>
      </c>
      <c r="KG228" t="n">
        <v>127</v>
      </c>
      <c r="KH228" t="n">
        <v>31</v>
      </c>
      <c r="KJ228" t="n">
        <v>1</v>
      </c>
      <c r="KK228" t="n">
        <v>77</v>
      </c>
      <c r="KL228" t="n">
        <v>34</v>
      </c>
      <c r="KM228" t="n">
        <v>10</v>
      </c>
      <c r="KS228" t="n">
        <v>0</v>
      </c>
      <c r="KW228" t="n">
        <v>1</v>
      </c>
      <c r="KX228" t="n">
        <v>7</v>
      </c>
      <c r="KZ228" t="n">
        <v>5</v>
      </c>
      <c r="LK228" t="n">
        <v>1</v>
      </c>
      <c r="LM228" t="n">
        <v>228</v>
      </c>
      <c r="LN228" t="n">
        <v>150</v>
      </c>
      <c r="LO228" t="n">
        <v>4</v>
      </c>
      <c r="LP228" t="n">
        <v>71</v>
      </c>
      <c r="LW228" t="n">
        <v>14</v>
      </c>
      <c r="LX228" t="n">
        <v>1</v>
      </c>
      <c r="LZ228" t="n">
        <v>145</v>
      </c>
      <c r="MA228" t="n">
        <v>1</v>
      </c>
      <c r="MD228" t="n">
        <v>1</v>
      </c>
      <c r="MF228" t="n">
        <v>4</v>
      </c>
      <c r="MH228" t="n">
        <v>122</v>
      </c>
      <c r="MN228" t="n">
        <v>1</v>
      </c>
      <c r="MO228" t="n">
        <v>190</v>
      </c>
      <c r="MQ228" t="n">
        <v>3</v>
      </c>
      <c r="MS228" t="n">
        <v>1</v>
      </c>
      <c r="MT228" t="n">
        <v>1</v>
      </c>
      <c r="MZ228" t="n">
        <v>56</v>
      </c>
      <c r="NA228" t="n">
        <v>0</v>
      </c>
      <c r="NC228" t="n">
        <v>3</v>
      </c>
      <c r="ND228" t="n">
        <v>3</v>
      </c>
      <c r="NE228" t="n">
        <v>3</v>
      </c>
      <c r="NK228" t="n">
        <v>11</v>
      </c>
      <c r="NL228" t="n">
        <v>33</v>
      </c>
      <c r="NM228" t="n">
        <v>415</v>
      </c>
      <c r="NN228" t="n">
        <v>40</v>
      </c>
      <c r="NO228" t="n">
        <v>8</v>
      </c>
      <c r="NP228" t="n">
        <v>18</v>
      </c>
      <c r="NQ228" t="n">
        <v>4</v>
      </c>
      <c r="NR228" t="n">
        <v>6</v>
      </c>
      <c r="NU228" t="n">
        <v>11</v>
      </c>
      <c r="NX228" t="n">
        <v>83</v>
      </c>
      <c r="NY228" t="n">
        <v>4</v>
      </c>
      <c r="NZ228" t="n">
        <v>41</v>
      </c>
      <c r="OB228" t="n">
        <v>97</v>
      </c>
      <c r="OD228" t="n">
        <v>1236</v>
      </c>
      <c r="OE228" t="n">
        <v>205</v>
      </c>
      <c r="OG228" t="n">
        <v>1</v>
      </c>
      <c r="OH228" t="n">
        <v>5</v>
      </c>
      <c r="OI228" t="n">
        <v>101</v>
      </c>
      <c r="OJ228" t="n">
        <v>221</v>
      </c>
      <c r="OK228" t="n">
        <v>431</v>
      </c>
      <c r="OM228" t="n">
        <v>18</v>
      </c>
      <c r="ON228" t="n">
        <v>0</v>
      </c>
      <c r="OO228" t="n">
        <v>18673</v>
      </c>
      <c r="OP228" t="n">
        <v>12627</v>
      </c>
      <c r="OU228" t="n">
        <v>151</v>
      </c>
      <c r="OV228" t="n">
        <v>3233</v>
      </c>
      <c r="PB228" t="n">
        <v>102</v>
      </c>
      <c r="PI228" t="n">
        <v>34786</v>
      </c>
      <c r="PM228">
        <f>IFERROR(VLOOKUP($A228&amp;"",Key!$A:$C,3,FALSE),"")</f>
        <v/>
      </c>
    </row>
    <row r="229">
      <c r="A229" t="n">
        <v>315000</v>
      </c>
      <c r="B229" t="inlineStr">
        <is>
          <t>Apparel manufacturing</t>
        </is>
      </c>
      <c r="AV229" t="n">
        <v>1</v>
      </c>
      <c r="FA229" t="n">
        <v>6</v>
      </c>
      <c r="HM229" t="n">
        <v>2</v>
      </c>
      <c r="HN229" t="n">
        <v>27</v>
      </c>
      <c r="HO229" t="n">
        <v>1</v>
      </c>
      <c r="HQ229" t="n">
        <v>82</v>
      </c>
      <c r="HR229" t="n">
        <v>356</v>
      </c>
      <c r="HS229" t="n">
        <v>0</v>
      </c>
      <c r="IB229" t="n">
        <v>2003</v>
      </c>
      <c r="JJ229" t="n">
        <v>1</v>
      </c>
      <c r="JS229" t="n">
        <v>434</v>
      </c>
      <c r="JT229" t="n">
        <v>221</v>
      </c>
      <c r="JV229" t="n">
        <v>1</v>
      </c>
      <c r="JX229" t="n">
        <v>416</v>
      </c>
      <c r="KB229" t="n">
        <v>120</v>
      </c>
      <c r="KN229" t="n">
        <v>20</v>
      </c>
      <c r="KO229" t="n">
        <v>18</v>
      </c>
      <c r="KP229" t="n">
        <v>49</v>
      </c>
      <c r="KS229" t="n">
        <v>23</v>
      </c>
      <c r="KV229" t="n">
        <v>8</v>
      </c>
      <c r="KW229" t="n">
        <v>122</v>
      </c>
      <c r="KX229" t="n">
        <v>530</v>
      </c>
      <c r="KY229" t="n">
        <v>19</v>
      </c>
      <c r="LP229" t="n">
        <v>120</v>
      </c>
      <c r="LZ229" t="n">
        <v>28</v>
      </c>
      <c r="MB229" t="n">
        <v>0</v>
      </c>
      <c r="MF229" t="n">
        <v>9</v>
      </c>
      <c r="MH229" t="n">
        <v>83</v>
      </c>
      <c r="MK229" t="n">
        <v>35</v>
      </c>
      <c r="MM229" t="n">
        <v>24</v>
      </c>
      <c r="MN229" t="n">
        <v>52</v>
      </c>
      <c r="MO229" t="n">
        <v>133</v>
      </c>
      <c r="MQ229" t="n">
        <v>54</v>
      </c>
      <c r="MR229" t="n">
        <v>63</v>
      </c>
      <c r="MS229" t="n">
        <v>29</v>
      </c>
      <c r="MV229" t="n">
        <v>1</v>
      </c>
      <c r="MX229" t="n">
        <v>6</v>
      </c>
      <c r="MZ229" t="n">
        <v>11</v>
      </c>
      <c r="NC229" t="n">
        <v>626</v>
      </c>
      <c r="NE229" t="n">
        <v>0</v>
      </c>
      <c r="NF229" t="n">
        <v>116</v>
      </c>
      <c r="NM229" t="n">
        <v>24</v>
      </c>
      <c r="NN229" t="n">
        <v>9</v>
      </c>
      <c r="NO229" t="n">
        <v>43</v>
      </c>
      <c r="NP229" t="n">
        <v>116</v>
      </c>
      <c r="NQ229" t="n">
        <v>27</v>
      </c>
      <c r="NT229" t="n">
        <v>124</v>
      </c>
      <c r="NU229" t="n">
        <v>90</v>
      </c>
      <c r="NV229" t="n">
        <v>66</v>
      </c>
      <c r="NX229" t="n">
        <v>13</v>
      </c>
      <c r="NZ229" t="n">
        <v>20</v>
      </c>
      <c r="OB229" t="n">
        <v>1754</v>
      </c>
      <c r="OD229" t="n">
        <v>32</v>
      </c>
      <c r="OE229" t="n">
        <v>20</v>
      </c>
      <c r="OG229" t="n">
        <v>16</v>
      </c>
      <c r="OH229" t="n">
        <v>8</v>
      </c>
      <c r="OI229" t="n">
        <v>797</v>
      </c>
      <c r="OJ229" t="n">
        <v>484</v>
      </c>
      <c r="OK229" t="n">
        <v>1358</v>
      </c>
      <c r="OM229" t="n">
        <v>36</v>
      </c>
      <c r="ON229" t="n">
        <v>2</v>
      </c>
      <c r="OO229" t="n">
        <v>10890</v>
      </c>
      <c r="OP229" t="n">
        <v>297647</v>
      </c>
      <c r="OU229" t="n">
        <v>-139</v>
      </c>
      <c r="OV229" t="n">
        <v>3203</v>
      </c>
      <c r="PI229" t="n">
        <v>311601</v>
      </c>
      <c r="PM229">
        <f>IFERROR(VLOOKUP($A229&amp;"",Key!$A:$C,3,FALSE),"")</f>
        <v/>
      </c>
    </row>
    <row r="230">
      <c r="A230" t="n">
        <v>316000</v>
      </c>
      <c r="B230" t="inlineStr">
        <is>
          <t>Leather and allied product manufacturing</t>
        </is>
      </c>
      <c r="J230" t="n">
        <v>4</v>
      </c>
      <c r="L230" t="n">
        <v>56</v>
      </c>
      <c r="X230" t="n">
        <v>0</v>
      </c>
      <c r="EQ230" t="n">
        <v>113</v>
      </c>
      <c r="ER230" t="n">
        <v>238</v>
      </c>
      <c r="FA230" t="n">
        <v>1808</v>
      </c>
      <c r="GD230" t="n">
        <v>145</v>
      </c>
      <c r="GW230" t="n">
        <v>22</v>
      </c>
      <c r="HQ230" t="n">
        <v>161</v>
      </c>
      <c r="HR230" t="n">
        <v>110</v>
      </c>
      <c r="HS230" t="n">
        <v>812</v>
      </c>
      <c r="IB230" t="n">
        <v>276</v>
      </c>
      <c r="ID230" t="n">
        <v>14</v>
      </c>
      <c r="JK230" t="n">
        <v>5</v>
      </c>
      <c r="JL230" t="n">
        <v>20</v>
      </c>
      <c r="JM230" t="n">
        <v>5</v>
      </c>
      <c r="JO230" t="n">
        <v>17</v>
      </c>
      <c r="JP230" t="n">
        <v>23</v>
      </c>
      <c r="JQ230" t="n">
        <v>71</v>
      </c>
      <c r="JS230" t="n">
        <v>60</v>
      </c>
      <c r="JV230" t="n">
        <v>79</v>
      </c>
      <c r="JW230" t="n">
        <v>3</v>
      </c>
      <c r="JX230" t="n">
        <v>15</v>
      </c>
      <c r="JY230" t="n">
        <v>7</v>
      </c>
      <c r="JZ230" t="n">
        <v>6</v>
      </c>
      <c r="KA230" t="n">
        <v>17</v>
      </c>
      <c r="KB230" t="n">
        <v>178</v>
      </c>
      <c r="KC230" t="n">
        <v>44</v>
      </c>
      <c r="KD230" t="n">
        <v>4</v>
      </c>
      <c r="KQ230" t="n">
        <v>0</v>
      </c>
      <c r="KZ230" t="n">
        <v>0</v>
      </c>
      <c r="MB230" t="n">
        <v>0</v>
      </c>
      <c r="MH230" t="n">
        <v>19</v>
      </c>
      <c r="MK230" t="n">
        <v>4</v>
      </c>
      <c r="MN230" t="n">
        <v>5</v>
      </c>
      <c r="MQ230" t="n">
        <v>0</v>
      </c>
      <c r="MS230" t="n">
        <v>15</v>
      </c>
      <c r="MW230" t="n">
        <v>0</v>
      </c>
      <c r="MY230" t="n">
        <v>6</v>
      </c>
      <c r="MZ230" t="n">
        <v>60</v>
      </c>
      <c r="NC230" t="n">
        <v>1</v>
      </c>
      <c r="ND230" t="n">
        <v>10</v>
      </c>
      <c r="NE230" t="n">
        <v>0</v>
      </c>
      <c r="NG230" t="n">
        <v>18</v>
      </c>
      <c r="NM230" t="n">
        <v>16</v>
      </c>
      <c r="NN230" t="n">
        <v>5</v>
      </c>
      <c r="NR230" t="n">
        <v>95</v>
      </c>
      <c r="NU230" t="n">
        <v>104</v>
      </c>
      <c r="NX230" t="n">
        <v>2</v>
      </c>
      <c r="NZ230" t="n">
        <v>7</v>
      </c>
      <c r="OB230" t="n">
        <v>47</v>
      </c>
      <c r="OD230" t="n">
        <v>262</v>
      </c>
      <c r="OE230" t="n">
        <v>46</v>
      </c>
      <c r="OF230" t="n">
        <v>58</v>
      </c>
      <c r="OI230" t="n">
        <v>55</v>
      </c>
      <c r="OJ230" t="n">
        <v>4</v>
      </c>
      <c r="OK230" t="n">
        <v>122</v>
      </c>
      <c r="OO230" t="n">
        <v>5275</v>
      </c>
      <c r="OP230" t="n">
        <v>115483</v>
      </c>
      <c r="OU230" t="n">
        <v>327</v>
      </c>
      <c r="OV230" t="n">
        <v>3021</v>
      </c>
      <c r="PI230" t="n">
        <v>124107</v>
      </c>
      <c r="PM230">
        <f>IFERROR(VLOOKUP($A230&amp;"",Key!$A:$C,3,FALSE),"")</f>
        <v/>
      </c>
    </row>
    <row r="231">
      <c r="A231" t="n">
        <v>322110</v>
      </c>
      <c r="B231" t="inlineStr">
        <is>
          <t>Pulp mills</t>
        </is>
      </c>
      <c r="AC231" t="n">
        <v>1</v>
      </c>
      <c r="CB231" t="n">
        <v>2</v>
      </c>
      <c r="GT231" t="n">
        <v>2</v>
      </c>
      <c r="HT231" t="n">
        <v>305</v>
      </c>
      <c r="HU231" t="n">
        <v>3082</v>
      </c>
      <c r="HV231" t="n">
        <v>428</v>
      </c>
      <c r="HW231" t="n">
        <v>568</v>
      </c>
      <c r="HX231" t="n">
        <v>531</v>
      </c>
      <c r="HY231" t="n">
        <v>108</v>
      </c>
      <c r="HZ231" t="n">
        <v>467</v>
      </c>
      <c r="IA231" t="n">
        <v>380</v>
      </c>
      <c r="IN231" t="n">
        <v>199</v>
      </c>
      <c r="LZ231" t="n">
        <v>2</v>
      </c>
      <c r="OO231" t="n">
        <v>6073</v>
      </c>
      <c r="OU231" t="n">
        <v>-73</v>
      </c>
      <c r="OV231" t="n">
        <v>5326</v>
      </c>
      <c r="PI231" t="n">
        <v>11325</v>
      </c>
      <c r="PM231">
        <f>IFERROR(VLOOKUP($A231&amp;"",Key!$A:$C,3,FALSE),"")</f>
        <v/>
      </c>
    </row>
    <row r="232">
      <c r="A232" t="n">
        <v>322120</v>
      </c>
      <c r="B232" t="inlineStr">
        <is>
          <t>Paper mills</t>
        </is>
      </c>
      <c r="Q232" t="n">
        <v>19</v>
      </c>
      <c r="R232" t="n">
        <v>0</v>
      </c>
      <c r="V232" t="n">
        <v>2</v>
      </c>
      <c r="W232" t="n">
        <v>4</v>
      </c>
      <c r="AA232" t="n">
        <v>9</v>
      </c>
      <c r="AB232" t="n">
        <v>31</v>
      </c>
      <c r="AC232" t="n">
        <v>24</v>
      </c>
      <c r="AD232" t="n">
        <v>43</v>
      </c>
      <c r="AE232" t="n">
        <v>13</v>
      </c>
      <c r="AG232" t="n">
        <v>32</v>
      </c>
      <c r="AH232" t="n">
        <v>4</v>
      </c>
      <c r="AI232" t="n">
        <v>2</v>
      </c>
      <c r="AJ232" t="n">
        <v>2</v>
      </c>
      <c r="AK232" t="n">
        <v>11</v>
      </c>
      <c r="AL232" t="n">
        <v>3</v>
      </c>
      <c r="AP232" t="n">
        <v>2</v>
      </c>
      <c r="AR232" t="n">
        <v>1</v>
      </c>
      <c r="AX232" t="n">
        <v>1</v>
      </c>
      <c r="BA232" t="n">
        <v>2</v>
      </c>
      <c r="BB232" t="n">
        <v>3</v>
      </c>
      <c r="BO232" t="n">
        <v>2</v>
      </c>
      <c r="BP232" t="n">
        <v>5</v>
      </c>
      <c r="BV232" t="n">
        <v>1</v>
      </c>
      <c r="BW232" t="n">
        <v>1</v>
      </c>
      <c r="BY232" t="n">
        <v>0</v>
      </c>
      <c r="CA232" t="n">
        <v>1</v>
      </c>
      <c r="CB232" t="n">
        <v>7</v>
      </c>
      <c r="CF232" t="n">
        <v>1</v>
      </c>
      <c r="CG232" t="n">
        <v>0</v>
      </c>
      <c r="CI232" t="n">
        <v>0</v>
      </c>
      <c r="CJ232" t="n">
        <v>1</v>
      </c>
      <c r="CK232" t="n">
        <v>6</v>
      </c>
      <c r="CL232" t="n">
        <v>11</v>
      </c>
      <c r="CN232" t="n">
        <v>1</v>
      </c>
      <c r="CO232" t="n">
        <v>3</v>
      </c>
      <c r="CP232" t="n">
        <v>1</v>
      </c>
      <c r="CQ232" t="n">
        <v>3</v>
      </c>
      <c r="CR232" t="n">
        <v>5</v>
      </c>
      <c r="CU232" t="n">
        <v>0</v>
      </c>
      <c r="CV232" t="n">
        <v>0</v>
      </c>
      <c r="CW232" t="n">
        <v>1</v>
      </c>
      <c r="CZ232" t="n">
        <v>2</v>
      </c>
      <c r="DA232" t="n">
        <v>0</v>
      </c>
      <c r="DB232" t="n">
        <v>1</v>
      </c>
      <c r="DC232" t="n">
        <v>1</v>
      </c>
      <c r="DG232" t="n">
        <v>64</v>
      </c>
      <c r="DH232" t="n">
        <v>1</v>
      </c>
      <c r="DM232" t="n">
        <v>1</v>
      </c>
      <c r="DO232" t="n">
        <v>0</v>
      </c>
      <c r="DP232" t="n">
        <v>0</v>
      </c>
      <c r="DQ232" t="n">
        <v>0</v>
      </c>
      <c r="DW232" t="n">
        <v>1</v>
      </c>
      <c r="DX232" t="n">
        <v>1</v>
      </c>
      <c r="EA232" t="n">
        <v>0</v>
      </c>
      <c r="EC232" t="n">
        <v>0</v>
      </c>
      <c r="ED232" t="n">
        <v>15</v>
      </c>
      <c r="EE232" t="n">
        <v>4</v>
      </c>
      <c r="EG232" t="n">
        <v>93</v>
      </c>
      <c r="EH232" t="n">
        <v>2</v>
      </c>
      <c r="EJ232" t="n">
        <v>0</v>
      </c>
      <c r="EL232" t="n">
        <v>0</v>
      </c>
      <c r="EN232" t="n">
        <v>1</v>
      </c>
      <c r="EO232" t="n">
        <v>0</v>
      </c>
      <c r="EP232" t="n">
        <v>1</v>
      </c>
      <c r="EX232" t="n">
        <v>3</v>
      </c>
      <c r="EY232" t="n">
        <v>5</v>
      </c>
      <c r="FA232" t="n">
        <v>1</v>
      </c>
      <c r="FB232" t="n">
        <v>1</v>
      </c>
      <c r="FC232" t="n">
        <v>33</v>
      </c>
      <c r="FD232" t="n">
        <v>12</v>
      </c>
      <c r="FT232" t="n">
        <v>5</v>
      </c>
      <c r="FV232" t="n">
        <v>3</v>
      </c>
      <c r="FX232" t="n">
        <v>43</v>
      </c>
      <c r="FY232" t="n">
        <v>41</v>
      </c>
      <c r="GA232" t="n">
        <v>1</v>
      </c>
      <c r="GD232" t="n">
        <v>1</v>
      </c>
      <c r="GE232" t="n">
        <v>1</v>
      </c>
      <c r="GF232" t="n">
        <v>8</v>
      </c>
      <c r="GG232" t="n">
        <v>3</v>
      </c>
      <c r="GH232" t="n">
        <v>5</v>
      </c>
      <c r="GI232" t="n">
        <v>1</v>
      </c>
      <c r="GM232" t="n">
        <v>0</v>
      </c>
      <c r="GO232" t="n">
        <v>5</v>
      </c>
      <c r="GP232" t="n">
        <v>20</v>
      </c>
      <c r="GQ232" t="n">
        <v>3</v>
      </c>
      <c r="GR232" t="n">
        <v>17</v>
      </c>
      <c r="GS232" t="n">
        <v>7</v>
      </c>
      <c r="GT232" t="n">
        <v>7</v>
      </c>
      <c r="GU232" t="n">
        <v>4</v>
      </c>
      <c r="GV232" t="n">
        <v>10</v>
      </c>
      <c r="GY232" t="n">
        <v>0</v>
      </c>
      <c r="GZ232" t="n">
        <v>14</v>
      </c>
      <c r="HA232" t="n">
        <v>23</v>
      </c>
      <c r="HB232" t="n">
        <v>13</v>
      </c>
      <c r="HE232" t="n">
        <v>1</v>
      </c>
      <c r="HF232" t="n">
        <v>1</v>
      </c>
      <c r="HG232" t="n">
        <v>28</v>
      </c>
      <c r="HH232" t="n">
        <v>5</v>
      </c>
      <c r="HI232" t="n">
        <v>0</v>
      </c>
      <c r="HK232" t="n">
        <v>4</v>
      </c>
      <c r="HM232" t="n">
        <v>36</v>
      </c>
      <c r="HN232" t="n">
        <v>5</v>
      </c>
      <c r="HR232" t="n">
        <v>0</v>
      </c>
      <c r="HU232" t="n">
        <v>164</v>
      </c>
      <c r="HV232" t="n">
        <v>223</v>
      </c>
      <c r="HW232" t="n">
        <v>8764</v>
      </c>
      <c r="HX232" t="n">
        <v>1631</v>
      </c>
      <c r="HY232" t="n">
        <v>432</v>
      </c>
      <c r="HZ232" t="n">
        <v>613</v>
      </c>
      <c r="IA232" t="n">
        <v>195</v>
      </c>
      <c r="IB232" t="n">
        <v>4964</v>
      </c>
      <c r="IC232" t="n">
        <v>49</v>
      </c>
      <c r="IF232" t="n">
        <v>43</v>
      </c>
      <c r="IG232" t="n">
        <v>1</v>
      </c>
      <c r="IK232" t="n">
        <v>1</v>
      </c>
      <c r="IL232" t="n">
        <v>2</v>
      </c>
      <c r="IM232" t="n">
        <v>1</v>
      </c>
      <c r="IN232" t="n">
        <v>1</v>
      </c>
      <c r="IP232" t="n">
        <v>0</v>
      </c>
      <c r="IT232" t="n">
        <v>0</v>
      </c>
      <c r="IV232" t="n">
        <v>5</v>
      </c>
      <c r="IW232" t="n">
        <v>53</v>
      </c>
      <c r="IX232" t="n">
        <v>8</v>
      </c>
      <c r="IZ232" t="n">
        <v>79</v>
      </c>
      <c r="JA232" t="n">
        <v>101</v>
      </c>
      <c r="JB232" t="n">
        <v>12</v>
      </c>
      <c r="JC232" t="n">
        <v>71</v>
      </c>
      <c r="JD232" t="n">
        <v>16</v>
      </c>
      <c r="JE232" t="n">
        <v>13</v>
      </c>
      <c r="JF232" t="n">
        <v>4</v>
      </c>
      <c r="JG232" t="n">
        <v>93</v>
      </c>
      <c r="JI232" t="n">
        <v>0</v>
      </c>
      <c r="JJ232" t="n">
        <v>1</v>
      </c>
      <c r="JK232" t="n">
        <v>8</v>
      </c>
      <c r="JL232" t="n">
        <v>25</v>
      </c>
      <c r="JM232" t="n">
        <v>14</v>
      </c>
      <c r="JN232" t="n">
        <v>51</v>
      </c>
      <c r="JO232" t="n">
        <v>78</v>
      </c>
      <c r="JP232" t="n">
        <v>51</v>
      </c>
      <c r="JQ232" t="n">
        <v>66</v>
      </c>
      <c r="JR232" t="n">
        <v>69</v>
      </c>
      <c r="JS232" t="n">
        <v>78</v>
      </c>
      <c r="JT232" t="n">
        <v>2</v>
      </c>
      <c r="JV232" t="n">
        <v>23</v>
      </c>
      <c r="JW232" t="n">
        <v>35</v>
      </c>
      <c r="JX232" t="n">
        <v>27</v>
      </c>
      <c r="JY232" t="n">
        <v>10</v>
      </c>
      <c r="JZ232" t="n">
        <v>27</v>
      </c>
      <c r="KA232" t="n">
        <v>25</v>
      </c>
      <c r="KB232" t="n">
        <v>24</v>
      </c>
      <c r="KC232" t="n">
        <v>52</v>
      </c>
      <c r="KD232" t="n">
        <v>56</v>
      </c>
      <c r="KE232" t="n">
        <v>2</v>
      </c>
      <c r="KF232" t="n">
        <v>30</v>
      </c>
      <c r="KG232" t="n">
        <v>2</v>
      </c>
      <c r="KI232" t="n">
        <v>937</v>
      </c>
      <c r="KJ232" t="n">
        <v>11</v>
      </c>
      <c r="KK232" t="n">
        <v>661</v>
      </c>
      <c r="KL232" t="n">
        <v>38</v>
      </c>
      <c r="KM232" t="n">
        <v>77</v>
      </c>
      <c r="KN232" t="n">
        <v>178</v>
      </c>
      <c r="KO232" t="n">
        <v>187</v>
      </c>
      <c r="KP232" t="n">
        <v>569</v>
      </c>
      <c r="KQ232" t="n">
        <v>34</v>
      </c>
      <c r="KR232" t="n">
        <v>12</v>
      </c>
      <c r="KS232" t="n">
        <v>13</v>
      </c>
      <c r="KW232" t="n">
        <v>1</v>
      </c>
      <c r="KX232" t="n">
        <v>1</v>
      </c>
      <c r="KZ232" t="n">
        <v>18</v>
      </c>
      <c r="LB232" t="n">
        <v>3</v>
      </c>
      <c r="LI232" t="n">
        <v>35</v>
      </c>
      <c r="LK232" t="n">
        <v>0</v>
      </c>
      <c r="LM232" t="n">
        <v>356</v>
      </c>
      <c r="LN232" t="n">
        <v>1</v>
      </c>
      <c r="LO232" t="n">
        <v>2</v>
      </c>
      <c r="LP232" t="n">
        <v>4</v>
      </c>
      <c r="LQ232" t="n">
        <v>20</v>
      </c>
      <c r="LR232" t="n">
        <v>31</v>
      </c>
      <c r="LS232" t="n">
        <v>5</v>
      </c>
      <c r="LT232" t="n">
        <v>63</v>
      </c>
      <c r="LU232" t="n">
        <v>3</v>
      </c>
      <c r="LV232" t="n">
        <v>11</v>
      </c>
      <c r="LW232" t="n">
        <v>73</v>
      </c>
      <c r="LX232" t="n">
        <v>35</v>
      </c>
      <c r="LY232" t="n">
        <v>3</v>
      </c>
      <c r="LZ232" t="n">
        <v>20</v>
      </c>
      <c r="MA232" t="n">
        <v>24</v>
      </c>
      <c r="MB232" t="n">
        <v>2</v>
      </c>
      <c r="MC232" t="n">
        <v>17</v>
      </c>
      <c r="MD232" t="n">
        <v>7</v>
      </c>
      <c r="ME232" t="n">
        <v>20</v>
      </c>
      <c r="MF232" t="n">
        <v>460</v>
      </c>
      <c r="MG232" t="n">
        <v>5</v>
      </c>
      <c r="MH232" t="n">
        <v>685</v>
      </c>
      <c r="MI232" t="n">
        <v>8</v>
      </c>
      <c r="MJ232" t="n">
        <v>7</v>
      </c>
      <c r="MK232" t="n">
        <v>218</v>
      </c>
      <c r="ML232" t="n">
        <v>4</v>
      </c>
      <c r="MM232" t="n">
        <v>13</v>
      </c>
      <c r="MN232" t="n">
        <v>145</v>
      </c>
      <c r="MO232" t="n">
        <v>19</v>
      </c>
      <c r="MP232" t="n">
        <v>38</v>
      </c>
      <c r="MQ232" t="n">
        <v>42</v>
      </c>
      <c r="MR232" t="n">
        <v>8</v>
      </c>
      <c r="MS232" t="n">
        <v>46</v>
      </c>
      <c r="MT232" t="n">
        <v>68</v>
      </c>
      <c r="MU232" t="n">
        <v>14</v>
      </c>
      <c r="MV232" t="n">
        <v>21</v>
      </c>
      <c r="MW232" t="n">
        <v>0</v>
      </c>
      <c r="MX232" t="n">
        <v>3</v>
      </c>
      <c r="MY232" t="n">
        <v>39</v>
      </c>
      <c r="MZ232" t="n">
        <v>70</v>
      </c>
      <c r="NA232" t="n">
        <v>16</v>
      </c>
      <c r="NB232" t="n">
        <v>2</v>
      </c>
      <c r="NC232" t="n">
        <v>99</v>
      </c>
      <c r="ND232" t="n">
        <v>6</v>
      </c>
      <c r="NE232" t="n">
        <v>40</v>
      </c>
      <c r="NF232" t="n">
        <v>6</v>
      </c>
      <c r="NG232" t="n">
        <v>3</v>
      </c>
      <c r="NI232" t="n">
        <v>7</v>
      </c>
      <c r="NJ232" t="n">
        <v>1</v>
      </c>
      <c r="NK232" t="n">
        <v>4</v>
      </c>
      <c r="NL232" t="n">
        <v>2</v>
      </c>
      <c r="NM232" t="n">
        <v>23</v>
      </c>
      <c r="NN232" t="n">
        <v>1433</v>
      </c>
      <c r="NO232" t="n">
        <v>64</v>
      </c>
      <c r="NP232" t="n">
        <v>194</v>
      </c>
      <c r="NQ232" t="n">
        <v>24</v>
      </c>
      <c r="NR232" t="n">
        <v>20</v>
      </c>
      <c r="NS232" t="n">
        <v>5</v>
      </c>
      <c r="NT232" t="n">
        <v>9</v>
      </c>
      <c r="NU232" t="n">
        <v>2</v>
      </c>
      <c r="NV232" t="n">
        <v>40</v>
      </c>
      <c r="NW232" t="n">
        <v>0</v>
      </c>
      <c r="NX232" t="n">
        <v>1</v>
      </c>
      <c r="NY232" t="n">
        <v>4</v>
      </c>
      <c r="NZ232" t="n">
        <v>87</v>
      </c>
      <c r="OA232" t="n">
        <v>6</v>
      </c>
      <c r="OB232" t="n">
        <v>29</v>
      </c>
      <c r="OD232" t="n">
        <v>4</v>
      </c>
      <c r="OE232" t="n">
        <v>289</v>
      </c>
      <c r="OF232" t="n">
        <v>11</v>
      </c>
      <c r="OI232" t="n">
        <v>2744</v>
      </c>
      <c r="OJ232" t="n">
        <v>442</v>
      </c>
      <c r="OK232" t="n">
        <v>1160</v>
      </c>
      <c r="OO232" t="n">
        <v>31273</v>
      </c>
      <c r="OP232" t="n">
        <v>27806</v>
      </c>
      <c r="OU232" t="n">
        <v>-41</v>
      </c>
      <c r="OV232" t="n">
        <v>10165</v>
      </c>
      <c r="PI232" t="n">
        <v>69202</v>
      </c>
      <c r="PM232">
        <f>IFERROR(VLOOKUP($A232&amp;"",Key!$A:$C,3,FALSE),"")</f>
        <v/>
      </c>
    </row>
    <row r="233">
      <c r="A233" t="n">
        <v>322130</v>
      </c>
      <c r="B233" t="inlineStr">
        <is>
          <t>Paperboard mills</t>
        </is>
      </c>
      <c r="P233" t="n">
        <v>10</v>
      </c>
      <c r="Q233" t="n">
        <v>5</v>
      </c>
      <c r="R233" t="n">
        <v>1</v>
      </c>
      <c r="S233" t="n">
        <v>10</v>
      </c>
      <c r="T233" t="n">
        <v>3</v>
      </c>
      <c r="U233" t="n">
        <v>10</v>
      </c>
      <c r="V233" t="n">
        <v>5</v>
      </c>
      <c r="W233" t="n">
        <v>13</v>
      </c>
      <c r="X233" t="n">
        <v>27</v>
      </c>
      <c r="Z233" t="n">
        <v>0</v>
      </c>
      <c r="AC233" t="n">
        <v>59</v>
      </c>
      <c r="AD233" t="n">
        <v>27</v>
      </c>
      <c r="AM233" t="n">
        <v>48</v>
      </c>
      <c r="AN233" t="n">
        <v>40</v>
      </c>
      <c r="AO233" t="n">
        <v>14</v>
      </c>
      <c r="AP233" t="n">
        <v>72</v>
      </c>
      <c r="AQ233" t="n">
        <v>3</v>
      </c>
      <c r="AR233" t="n">
        <v>7</v>
      </c>
      <c r="AS233" t="n">
        <v>5</v>
      </c>
      <c r="AT233" t="n">
        <v>24</v>
      </c>
      <c r="AU233" t="n">
        <v>4</v>
      </c>
      <c r="AV233" t="n">
        <v>7</v>
      </c>
      <c r="AW233" t="n">
        <v>434</v>
      </c>
      <c r="AX233" t="n">
        <v>31</v>
      </c>
      <c r="AY233" t="n">
        <v>5</v>
      </c>
      <c r="AZ233" t="n">
        <v>11</v>
      </c>
      <c r="BA233" t="n">
        <v>37</v>
      </c>
      <c r="BB233" t="n">
        <v>8</v>
      </c>
      <c r="BC233" t="n">
        <v>50</v>
      </c>
      <c r="BD233" t="n">
        <v>8</v>
      </c>
      <c r="BE233" t="n">
        <v>4</v>
      </c>
      <c r="BF233" t="n">
        <v>0</v>
      </c>
      <c r="BG233" t="n">
        <v>9</v>
      </c>
      <c r="BH233" t="n">
        <v>189</v>
      </c>
      <c r="BI233" t="n">
        <v>7</v>
      </c>
      <c r="BJ233" t="n">
        <v>3</v>
      </c>
      <c r="BK233" t="n">
        <v>16</v>
      </c>
      <c r="BL233" t="n">
        <v>14</v>
      </c>
      <c r="BM233" t="n">
        <v>8</v>
      </c>
      <c r="BN233" t="n">
        <v>5</v>
      </c>
      <c r="BO233" t="n">
        <v>5</v>
      </c>
      <c r="BP233" t="n">
        <v>8</v>
      </c>
      <c r="BQ233" t="n">
        <v>12</v>
      </c>
      <c r="BR233" t="n">
        <v>38</v>
      </c>
      <c r="BS233" t="n">
        <v>12</v>
      </c>
      <c r="BT233" t="n">
        <v>6</v>
      </c>
      <c r="BU233" t="n">
        <v>12</v>
      </c>
      <c r="BV233" t="n">
        <v>15</v>
      </c>
      <c r="BW233" t="n">
        <v>3</v>
      </c>
      <c r="BX233" t="n">
        <v>25</v>
      </c>
      <c r="BY233" t="n">
        <v>24</v>
      </c>
      <c r="BZ233" t="n">
        <v>44</v>
      </c>
      <c r="CA233" t="n">
        <v>2</v>
      </c>
      <c r="CB233" t="n">
        <v>37</v>
      </c>
      <c r="CC233" t="n">
        <v>6</v>
      </c>
      <c r="CD233" t="n">
        <v>4</v>
      </c>
      <c r="CE233" t="n">
        <v>11</v>
      </c>
      <c r="CF233" t="n">
        <v>42</v>
      </c>
      <c r="CG233" t="n">
        <v>10</v>
      </c>
      <c r="CH233" t="n">
        <v>8</v>
      </c>
      <c r="CI233" t="n">
        <v>14</v>
      </c>
      <c r="CJ233" t="n">
        <v>30</v>
      </c>
      <c r="CK233" t="n">
        <v>6</v>
      </c>
      <c r="CL233" t="n">
        <v>46</v>
      </c>
      <c r="CM233" t="n">
        <v>4</v>
      </c>
      <c r="CN233" t="n">
        <v>0</v>
      </c>
      <c r="CO233" t="n">
        <v>7</v>
      </c>
      <c r="CP233" t="n">
        <v>3</v>
      </c>
      <c r="CQ233" t="n">
        <v>12</v>
      </c>
      <c r="CR233" t="n">
        <v>2</v>
      </c>
      <c r="CS233" t="n">
        <v>6</v>
      </c>
      <c r="CT233" t="n">
        <v>16</v>
      </c>
      <c r="CU233" t="n">
        <v>7</v>
      </c>
      <c r="CV233" t="n">
        <v>7</v>
      </c>
      <c r="CW233" t="n">
        <v>42</v>
      </c>
      <c r="CX233" t="n">
        <v>2</v>
      </c>
      <c r="CY233" t="n">
        <v>4</v>
      </c>
      <c r="CZ233" t="n">
        <v>12</v>
      </c>
      <c r="DA233" t="n">
        <v>7</v>
      </c>
      <c r="DB233" t="n">
        <v>21</v>
      </c>
      <c r="DC233" t="n">
        <v>32</v>
      </c>
      <c r="DD233" t="n">
        <v>1</v>
      </c>
      <c r="DE233" t="n">
        <v>2</v>
      </c>
      <c r="DF233" t="n">
        <v>1</v>
      </c>
      <c r="DG233" t="n">
        <v>20</v>
      </c>
      <c r="DH233" t="n">
        <v>22</v>
      </c>
      <c r="DJ233" t="n">
        <v>0</v>
      </c>
      <c r="DK233" t="n">
        <v>0</v>
      </c>
      <c r="DL233" t="n">
        <v>1</v>
      </c>
      <c r="DM233" t="n">
        <v>22</v>
      </c>
      <c r="DN233" t="n">
        <v>5</v>
      </c>
      <c r="DO233" t="n">
        <v>6</v>
      </c>
      <c r="DP233" t="n">
        <v>8</v>
      </c>
      <c r="DQ233" t="n">
        <v>11</v>
      </c>
      <c r="DR233" t="n">
        <v>13</v>
      </c>
      <c r="DS233" t="n">
        <v>26</v>
      </c>
      <c r="DT233" t="n">
        <v>0</v>
      </c>
      <c r="DU233" t="n">
        <v>5</v>
      </c>
      <c r="DV233" t="n">
        <v>4</v>
      </c>
      <c r="DW233" t="n">
        <v>12</v>
      </c>
      <c r="DX233" t="n">
        <v>12</v>
      </c>
      <c r="DY233" t="n">
        <v>9</v>
      </c>
      <c r="DZ233" t="n">
        <v>27</v>
      </c>
      <c r="EA233" t="n">
        <v>0</v>
      </c>
      <c r="EB233" t="n">
        <v>2</v>
      </c>
      <c r="EC233" t="n">
        <v>0</v>
      </c>
      <c r="ED233" t="n">
        <v>6</v>
      </c>
      <c r="EE233" t="n">
        <v>4</v>
      </c>
      <c r="EF233" t="n">
        <v>5</v>
      </c>
      <c r="EG233" t="n">
        <v>3</v>
      </c>
      <c r="EH233" t="n">
        <v>4</v>
      </c>
      <c r="EI233" t="n">
        <v>7</v>
      </c>
      <c r="EJ233" t="n">
        <v>9</v>
      </c>
      <c r="EK233" t="n">
        <v>4</v>
      </c>
      <c r="EL233" t="n">
        <v>0</v>
      </c>
      <c r="EM233" t="n">
        <v>3</v>
      </c>
      <c r="EN233" t="n">
        <v>37</v>
      </c>
      <c r="EO233" t="n">
        <v>2</v>
      </c>
      <c r="EP233" t="n">
        <v>5</v>
      </c>
      <c r="EQ233" t="n">
        <v>16</v>
      </c>
      <c r="ER233" t="n">
        <v>103</v>
      </c>
      <c r="ES233" t="n">
        <v>16</v>
      </c>
      <c r="ET233" t="n">
        <v>11</v>
      </c>
      <c r="EU233" t="n">
        <v>3</v>
      </c>
      <c r="EV233" t="n">
        <v>0</v>
      </c>
      <c r="EW233" t="n">
        <v>15</v>
      </c>
      <c r="EX233" t="n">
        <v>21</v>
      </c>
      <c r="EY233" t="n">
        <v>30</v>
      </c>
      <c r="EZ233" t="n">
        <v>37</v>
      </c>
      <c r="FA233" t="n">
        <v>12</v>
      </c>
      <c r="FC233" t="n">
        <v>68</v>
      </c>
      <c r="FD233" t="n">
        <v>37</v>
      </c>
      <c r="FE233" t="n">
        <v>42</v>
      </c>
      <c r="FF233" t="n">
        <v>0</v>
      </c>
      <c r="FG233" t="n">
        <v>8</v>
      </c>
      <c r="FH233" t="n">
        <v>3</v>
      </c>
      <c r="FI233" t="n">
        <v>8</v>
      </c>
      <c r="FJ233" t="n">
        <v>3</v>
      </c>
      <c r="FK233" t="n">
        <v>18</v>
      </c>
      <c r="FL233" t="n">
        <v>11</v>
      </c>
      <c r="FM233" t="n">
        <v>32</v>
      </c>
      <c r="FO233" t="n">
        <v>4</v>
      </c>
      <c r="FP233" t="n">
        <v>15</v>
      </c>
      <c r="FQ233" t="n">
        <v>13</v>
      </c>
      <c r="FR233" t="n">
        <v>2</v>
      </c>
      <c r="FS233" t="n">
        <v>7</v>
      </c>
      <c r="FT233" t="n">
        <v>8</v>
      </c>
      <c r="FU233" t="n">
        <v>9</v>
      </c>
      <c r="FV233" t="n">
        <v>17</v>
      </c>
      <c r="FW233" t="n">
        <v>6</v>
      </c>
      <c r="FX233" t="n">
        <v>58</v>
      </c>
      <c r="FY233" t="n">
        <v>35</v>
      </c>
      <c r="FZ233" t="n">
        <v>47</v>
      </c>
      <c r="GA233" t="n">
        <v>1</v>
      </c>
      <c r="GC233" t="n">
        <v>1</v>
      </c>
      <c r="GD233" t="n">
        <v>13</v>
      </c>
      <c r="GE233" t="n">
        <v>23</v>
      </c>
      <c r="GF233" t="n">
        <v>4</v>
      </c>
      <c r="GG233" t="n">
        <v>93</v>
      </c>
      <c r="GH233" t="n">
        <v>56</v>
      </c>
      <c r="GI233" t="n">
        <v>4</v>
      </c>
      <c r="GJ233" t="n">
        <v>17</v>
      </c>
      <c r="GL233" t="n">
        <v>7</v>
      </c>
      <c r="GM233" t="n">
        <v>1</v>
      </c>
      <c r="GN233" t="n">
        <v>16</v>
      </c>
      <c r="GO233" t="n">
        <v>9</v>
      </c>
      <c r="GP233" t="n">
        <v>40</v>
      </c>
      <c r="GQ233" t="n">
        <v>13</v>
      </c>
      <c r="GR233" t="n">
        <v>21</v>
      </c>
      <c r="GS233" t="n">
        <v>31</v>
      </c>
      <c r="GT233" t="n">
        <v>15</v>
      </c>
      <c r="GU233" t="n">
        <v>27</v>
      </c>
      <c r="GV233" t="n">
        <v>11</v>
      </c>
      <c r="GW233" t="n">
        <v>18</v>
      </c>
      <c r="GX233" t="n">
        <v>61</v>
      </c>
      <c r="GY233" t="n">
        <v>0</v>
      </c>
      <c r="GZ233" t="n">
        <v>38</v>
      </c>
      <c r="HA233" t="n">
        <v>50</v>
      </c>
      <c r="HB233" t="n">
        <v>64</v>
      </c>
      <c r="HC233" t="n">
        <v>80</v>
      </c>
      <c r="HD233" t="n">
        <v>21</v>
      </c>
      <c r="HE233" t="n">
        <v>52</v>
      </c>
      <c r="HF233" t="n">
        <v>30</v>
      </c>
      <c r="HG233" t="n">
        <v>184</v>
      </c>
      <c r="HH233" t="n">
        <v>12</v>
      </c>
      <c r="HI233" t="n">
        <v>2</v>
      </c>
      <c r="HJ233" t="n">
        <v>7</v>
      </c>
      <c r="HK233" t="n">
        <v>29</v>
      </c>
      <c r="HL233" t="n">
        <v>1</v>
      </c>
      <c r="HM233" t="n">
        <v>2</v>
      </c>
      <c r="HN233" t="n">
        <v>5</v>
      </c>
      <c r="HO233" t="n">
        <v>4</v>
      </c>
      <c r="HP233" t="n">
        <v>3</v>
      </c>
      <c r="HQ233" t="n">
        <v>8</v>
      </c>
      <c r="HR233" t="n">
        <v>1</v>
      </c>
      <c r="HS233" t="n">
        <v>1</v>
      </c>
      <c r="HT233" t="n">
        <v>7</v>
      </c>
      <c r="HU233" t="n">
        <v>45</v>
      </c>
      <c r="HV233" t="n">
        <v>53</v>
      </c>
      <c r="HW233" t="n">
        <v>23606</v>
      </c>
      <c r="HX233" t="n">
        <v>1429</v>
      </c>
      <c r="HY233" t="n">
        <v>1152</v>
      </c>
      <c r="HZ233" t="n">
        <v>25</v>
      </c>
      <c r="IA233" t="n">
        <v>518</v>
      </c>
      <c r="IB233" t="n">
        <v>202</v>
      </c>
      <c r="IC233" t="n">
        <v>31</v>
      </c>
      <c r="ID233" t="n">
        <v>52</v>
      </c>
      <c r="IE233" t="n">
        <v>3</v>
      </c>
      <c r="IF233" t="n">
        <v>11</v>
      </c>
      <c r="IG233" t="n">
        <v>3</v>
      </c>
      <c r="II233" t="n">
        <v>2</v>
      </c>
      <c r="IJ233" t="n">
        <v>6</v>
      </c>
      <c r="IK233" t="n">
        <v>9</v>
      </c>
      <c r="IL233" t="n">
        <v>24</v>
      </c>
      <c r="IM233" t="n">
        <v>25</v>
      </c>
      <c r="IN233" t="n">
        <v>7</v>
      </c>
      <c r="IP233" t="n">
        <v>0</v>
      </c>
      <c r="IS233" t="n">
        <v>3</v>
      </c>
      <c r="IT233" t="n">
        <v>2</v>
      </c>
      <c r="IU233" t="n">
        <v>17</v>
      </c>
      <c r="IV233" t="n">
        <v>21</v>
      </c>
      <c r="IW233" t="n">
        <v>96</v>
      </c>
      <c r="IX233" t="n">
        <v>21</v>
      </c>
      <c r="IY233" t="n">
        <v>5</v>
      </c>
      <c r="IZ233" t="n">
        <v>30</v>
      </c>
      <c r="JA233" t="n">
        <v>34</v>
      </c>
      <c r="JB233" t="n">
        <v>18</v>
      </c>
      <c r="JC233" t="n">
        <v>3</v>
      </c>
      <c r="JD233" t="n">
        <v>10</v>
      </c>
      <c r="JE233" t="n">
        <v>3</v>
      </c>
      <c r="JF233" t="n">
        <v>3</v>
      </c>
      <c r="JG233" t="n">
        <v>73</v>
      </c>
      <c r="JH233" t="n">
        <v>12</v>
      </c>
      <c r="JI233" t="n">
        <v>4</v>
      </c>
      <c r="JJ233" t="n">
        <v>15</v>
      </c>
      <c r="JK233" t="n">
        <v>21</v>
      </c>
      <c r="JL233" t="n">
        <v>47</v>
      </c>
      <c r="JM233" t="n">
        <v>27</v>
      </c>
      <c r="JN233" t="n">
        <v>24</v>
      </c>
      <c r="JO233" t="n">
        <v>172</v>
      </c>
      <c r="JP233" t="n">
        <v>9</v>
      </c>
      <c r="JQ233" t="n">
        <v>71</v>
      </c>
      <c r="JR233" t="n">
        <v>37</v>
      </c>
      <c r="JS233" t="n">
        <v>209</v>
      </c>
      <c r="JT233" t="n">
        <v>6</v>
      </c>
      <c r="JV233" t="n">
        <v>25</v>
      </c>
      <c r="JW233" t="n">
        <v>74</v>
      </c>
      <c r="JX233" t="n">
        <v>94</v>
      </c>
      <c r="JY233" t="n">
        <v>22</v>
      </c>
      <c r="JZ233" t="n">
        <v>19</v>
      </c>
      <c r="KA233" t="n">
        <v>29</v>
      </c>
      <c r="KB233" t="n">
        <v>75</v>
      </c>
      <c r="KC233" t="n">
        <v>36</v>
      </c>
      <c r="KD233" t="n">
        <v>35</v>
      </c>
      <c r="KE233" t="n">
        <v>7</v>
      </c>
      <c r="KF233" t="n">
        <v>6</v>
      </c>
      <c r="KG233" t="n">
        <v>5</v>
      </c>
      <c r="KH233" t="n">
        <v>71</v>
      </c>
      <c r="KI233" t="n">
        <v>7</v>
      </c>
      <c r="KJ233" t="n">
        <v>2</v>
      </c>
      <c r="KK233" t="n">
        <v>60</v>
      </c>
      <c r="KL233" t="n">
        <v>58</v>
      </c>
      <c r="KM233" t="n">
        <v>7</v>
      </c>
      <c r="KN233" t="n">
        <v>31</v>
      </c>
      <c r="KO233" t="n">
        <v>44</v>
      </c>
      <c r="KP233" t="n">
        <v>68</v>
      </c>
      <c r="KQ233" t="n">
        <v>19</v>
      </c>
      <c r="KR233" t="n">
        <v>355</v>
      </c>
      <c r="KS233" t="n">
        <v>17</v>
      </c>
      <c r="KT233" t="n">
        <v>1</v>
      </c>
      <c r="KV233" t="n">
        <v>7</v>
      </c>
      <c r="KW233" t="n">
        <v>71</v>
      </c>
      <c r="KX233" t="n">
        <v>140</v>
      </c>
      <c r="KY233" t="n">
        <v>10</v>
      </c>
      <c r="KZ233" t="n">
        <v>4</v>
      </c>
      <c r="LA233" t="n">
        <v>74</v>
      </c>
      <c r="LB233" t="n">
        <v>0</v>
      </c>
      <c r="LC233" t="n">
        <v>455</v>
      </c>
      <c r="LD233" t="n">
        <v>398</v>
      </c>
      <c r="LE233" t="n">
        <v>307</v>
      </c>
      <c r="LF233" t="n">
        <v>67</v>
      </c>
      <c r="LH233" t="n">
        <v>23</v>
      </c>
      <c r="LJ233" t="n">
        <v>2</v>
      </c>
      <c r="LK233" t="n">
        <v>0</v>
      </c>
      <c r="LL233" t="n">
        <v>0</v>
      </c>
      <c r="LM233" t="n">
        <v>495</v>
      </c>
      <c r="LN233" t="n">
        <v>10</v>
      </c>
      <c r="LO233" t="n">
        <v>3</v>
      </c>
      <c r="LP233" t="n">
        <v>62</v>
      </c>
      <c r="LQ233" t="n">
        <v>821</v>
      </c>
      <c r="LR233" t="n">
        <v>187</v>
      </c>
      <c r="LS233" t="n">
        <v>27</v>
      </c>
      <c r="LT233" t="n">
        <v>82</v>
      </c>
      <c r="LU233" t="n">
        <v>122</v>
      </c>
      <c r="LV233" t="n">
        <v>80</v>
      </c>
      <c r="LW233" t="n">
        <v>106</v>
      </c>
      <c r="LX233" t="n">
        <v>282</v>
      </c>
      <c r="LY233" t="n">
        <v>101</v>
      </c>
      <c r="LZ233" t="n">
        <v>79</v>
      </c>
      <c r="MA233" t="n">
        <v>124</v>
      </c>
      <c r="MB233" t="n">
        <v>53</v>
      </c>
      <c r="MC233" t="n">
        <v>25</v>
      </c>
      <c r="MD233" t="n">
        <v>6</v>
      </c>
      <c r="ME233" t="n">
        <v>418</v>
      </c>
      <c r="MF233" t="n">
        <v>21</v>
      </c>
      <c r="MG233" t="n">
        <v>1326</v>
      </c>
      <c r="MH233" t="n">
        <v>373</v>
      </c>
      <c r="MI233" t="n">
        <v>48</v>
      </c>
      <c r="MJ233" t="n">
        <v>28</v>
      </c>
      <c r="MK233" t="n">
        <v>91</v>
      </c>
      <c r="ML233" t="n">
        <v>8</v>
      </c>
      <c r="MM233" t="n">
        <v>40</v>
      </c>
      <c r="MN233" t="n">
        <v>48</v>
      </c>
      <c r="MO233" t="n">
        <v>93</v>
      </c>
      <c r="MP233" t="n">
        <v>14</v>
      </c>
      <c r="MQ233" t="n">
        <v>1</v>
      </c>
      <c r="MR233" t="n">
        <v>33</v>
      </c>
      <c r="MS233" t="n">
        <v>50</v>
      </c>
      <c r="MT233" t="n">
        <v>36</v>
      </c>
      <c r="MU233" t="n">
        <v>30</v>
      </c>
      <c r="MV233" t="n">
        <v>4</v>
      </c>
      <c r="MW233" t="n">
        <v>29</v>
      </c>
      <c r="MX233" t="n">
        <v>33</v>
      </c>
      <c r="MY233" t="n">
        <v>17</v>
      </c>
      <c r="MZ233" t="n">
        <v>23</v>
      </c>
      <c r="NA233" t="n">
        <v>14</v>
      </c>
      <c r="NB233" t="n">
        <v>12</v>
      </c>
      <c r="NC233" t="n">
        <v>151</v>
      </c>
      <c r="ND233" t="n">
        <v>41</v>
      </c>
      <c r="NE233" t="n">
        <v>39</v>
      </c>
      <c r="NF233" t="n">
        <v>5</v>
      </c>
      <c r="NG233" t="n">
        <v>1</v>
      </c>
      <c r="NI233" t="n">
        <v>6</v>
      </c>
      <c r="NK233" t="n">
        <v>2</v>
      </c>
      <c r="NL233" t="n">
        <v>36</v>
      </c>
      <c r="NM233" t="n">
        <v>19</v>
      </c>
      <c r="NN233" t="n">
        <v>49</v>
      </c>
      <c r="NP233" t="n">
        <v>185</v>
      </c>
      <c r="NQ233" t="n">
        <v>35</v>
      </c>
      <c r="NR233" t="n">
        <v>13</v>
      </c>
      <c r="NS233" t="n">
        <v>2</v>
      </c>
      <c r="NT233" t="n">
        <v>18</v>
      </c>
      <c r="NU233" t="n">
        <v>19</v>
      </c>
      <c r="NV233" t="n">
        <v>9</v>
      </c>
      <c r="NX233" t="n">
        <v>2</v>
      </c>
      <c r="NY233" t="n">
        <v>9</v>
      </c>
      <c r="NZ233" t="n">
        <v>33</v>
      </c>
      <c r="OA233" t="n">
        <v>70</v>
      </c>
      <c r="OB233" t="n">
        <v>7</v>
      </c>
      <c r="OD233" t="n">
        <v>1</v>
      </c>
      <c r="OF233" t="n">
        <v>54</v>
      </c>
      <c r="OG233" t="n">
        <v>7</v>
      </c>
      <c r="OH233" t="n">
        <v>1</v>
      </c>
      <c r="OI233" t="n">
        <v>312</v>
      </c>
      <c r="OL233" t="n">
        <v>1</v>
      </c>
      <c r="OO233" t="n">
        <v>41434</v>
      </c>
      <c r="OU233" t="n">
        <v>314</v>
      </c>
      <c r="OV233" t="n">
        <v>287</v>
      </c>
      <c r="PI233" t="n">
        <v>42035</v>
      </c>
      <c r="PM233">
        <f>IFERROR(VLOOKUP($A233&amp;"",Key!$A:$C,3,FALSE),"")</f>
        <v/>
      </c>
    </row>
    <row r="234">
      <c r="A234" t="n">
        <v>322210</v>
      </c>
      <c r="B234" t="inlineStr">
        <is>
          <t>Paperboard container manufacturing</t>
        </is>
      </c>
      <c r="D234" t="n">
        <v>1</v>
      </c>
      <c r="E234" t="n">
        <v>100</v>
      </c>
      <c r="F234" t="n">
        <v>81</v>
      </c>
      <c r="H234" t="n">
        <v>26</v>
      </c>
      <c r="M234" t="n">
        <v>0</v>
      </c>
      <c r="P234" t="n">
        <v>21</v>
      </c>
      <c r="Q234" t="n">
        <v>10</v>
      </c>
      <c r="R234" t="n">
        <v>2</v>
      </c>
      <c r="S234" t="n">
        <v>23</v>
      </c>
      <c r="T234" t="n">
        <v>6</v>
      </c>
      <c r="U234" t="n">
        <v>21</v>
      </c>
      <c r="V234" t="n">
        <v>11</v>
      </c>
      <c r="W234" t="n">
        <v>23</v>
      </c>
      <c r="X234" t="n">
        <v>6</v>
      </c>
      <c r="Z234" t="n">
        <v>0</v>
      </c>
      <c r="AA234" t="n">
        <v>10</v>
      </c>
      <c r="AB234" t="n">
        <v>36</v>
      </c>
      <c r="AC234" t="n">
        <v>321</v>
      </c>
      <c r="AD234" t="n">
        <v>12</v>
      </c>
      <c r="AE234" t="n">
        <v>8</v>
      </c>
      <c r="AF234" t="n">
        <v>118</v>
      </c>
      <c r="AG234" t="n">
        <v>501</v>
      </c>
      <c r="AH234" t="n">
        <v>136</v>
      </c>
      <c r="AI234" t="n">
        <v>146</v>
      </c>
      <c r="AJ234" t="n">
        <v>142</v>
      </c>
      <c r="AK234" t="n">
        <v>100</v>
      </c>
      <c r="AL234" t="n">
        <v>142</v>
      </c>
      <c r="AM234" t="n">
        <v>469</v>
      </c>
      <c r="AN234" t="n">
        <v>244</v>
      </c>
      <c r="AO234" t="n">
        <v>92</v>
      </c>
      <c r="AP234" t="n">
        <v>153</v>
      </c>
      <c r="AQ234" t="n">
        <v>69</v>
      </c>
      <c r="AR234" t="n">
        <v>627</v>
      </c>
      <c r="AS234" t="n">
        <v>12</v>
      </c>
      <c r="AT234" t="n">
        <v>178</v>
      </c>
      <c r="AU234" t="n">
        <v>15</v>
      </c>
      <c r="AV234" t="n">
        <v>33</v>
      </c>
      <c r="AW234" t="n">
        <v>148</v>
      </c>
      <c r="AX234" t="n">
        <v>64</v>
      </c>
      <c r="AY234" t="n">
        <v>10</v>
      </c>
      <c r="AZ234" t="n">
        <v>29</v>
      </c>
      <c r="BA234" t="n">
        <v>24</v>
      </c>
      <c r="BB234" t="n">
        <v>8</v>
      </c>
      <c r="BC234" t="n">
        <v>448</v>
      </c>
      <c r="BD234" t="n">
        <v>96</v>
      </c>
      <c r="BE234" t="n">
        <v>59</v>
      </c>
      <c r="BF234" t="n">
        <v>3</v>
      </c>
      <c r="BG234" t="n">
        <v>135</v>
      </c>
      <c r="BH234" t="n">
        <v>94</v>
      </c>
      <c r="BI234" t="n">
        <v>55</v>
      </c>
      <c r="BJ234" t="n">
        <v>45</v>
      </c>
      <c r="BK234" t="n">
        <v>88</v>
      </c>
      <c r="BL234" t="n">
        <v>82</v>
      </c>
      <c r="BM234" t="n">
        <v>72</v>
      </c>
      <c r="BN234" t="n">
        <v>54</v>
      </c>
      <c r="BO234" t="n">
        <v>51</v>
      </c>
      <c r="BP234" t="n">
        <v>158</v>
      </c>
      <c r="BQ234" t="n">
        <v>99</v>
      </c>
      <c r="BR234" t="n">
        <v>85</v>
      </c>
      <c r="BS234" t="n">
        <v>76</v>
      </c>
      <c r="BT234" t="n">
        <v>45</v>
      </c>
      <c r="BU234" t="n">
        <v>32</v>
      </c>
      <c r="BV234" t="n">
        <v>70</v>
      </c>
      <c r="BW234" t="n">
        <v>17</v>
      </c>
      <c r="BX234" t="n">
        <v>107</v>
      </c>
      <c r="BY234" t="n">
        <v>112</v>
      </c>
      <c r="BZ234" t="n">
        <v>277</v>
      </c>
      <c r="CA234" t="n">
        <v>46</v>
      </c>
      <c r="CB234" t="n">
        <v>41</v>
      </c>
      <c r="CC234" t="n">
        <v>35</v>
      </c>
      <c r="CD234" t="n">
        <v>28</v>
      </c>
      <c r="CE234" t="n">
        <v>478</v>
      </c>
      <c r="CF234" t="n">
        <v>28</v>
      </c>
      <c r="CG234" t="n">
        <v>28</v>
      </c>
      <c r="CH234" t="n">
        <v>18</v>
      </c>
      <c r="CI234" t="n">
        <v>34</v>
      </c>
      <c r="CJ234" t="n">
        <v>81</v>
      </c>
      <c r="CK234" t="n">
        <v>15</v>
      </c>
      <c r="CL234" t="n">
        <v>139</v>
      </c>
      <c r="CM234" t="n">
        <v>4</v>
      </c>
      <c r="CN234" t="n">
        <v>5</v>
      </c>
      <c r="CO234" t="n">
        <v>78</v>
      </c>
      <c r="CP234" t="n">
        <v>128</v>
      </c>
      <c r="CQ234" t="n">
        <v>152</v>
      </c>
      <c r="CR234" t="n">
        <v>8</v>
      </c>
      <c r="CS234" t="n">
        <v>15</v>
      </c>
      <c r="CT234" t="n">
        <v>40</v>
      </c>
      <c r="CU234" t="n">
        <v>9</v>
      </c>
      <c r="CV234" t="n">
        <v>18</v>
      </c>
      <c r="CW234" t="n">
        <v>99</v>
      </c>
      <c r="CX234" t="n">
        <v>20</v>
      </c>
      <c r="CY234" t="n">
        <v>10</v>
      </c>
      <c r="CZ234" t="n">
        <v>38</v>
      </c>
      <c r="DA234" t="n">
        <v>31</v>
      </c>
      <c r="DB234" t="n">
        <v>729</v>
      </c>
      <c r="DC234" t="n">
        <v>70</v>
      </c>
      <c r="DD234" t="n">
        <v>22</v>
      </c>
      <c r="DE234" t="n">
        <v>5</v>
      </c>
      <c r="DF234" t="n">
        <v>1</v>
      </c>
      <c r="DG234" t="n">
        <v>110</v>
      </c>
      <c r="DH234" t="n">
        <v>89</v>
      </c>
      <c r="DI234" t="n">
        <v>1</v>
      </c>
      <c r="DJ234" t="n">
        <v>1</v>
      </c>
      <c r="DK234" t="n">
        <v>1</v>
      </c>
      <c r="DL234" t="n">
        <v>21</v>
      </c>
      <c r="DM234" t="n">
        <v>62</v>
      </c>
      <c r="DN234" t="n">
        <v>20</v>
      </c>
      <c r="DO234" t="n">
        <v>6</v>
      </c>
      <c r="DP234" t="n">
        <v>68</v>
      </c>
      <c r="DQ234" t="n">
        <v>59</v>
      </c>
      <c r="DR234" t="n">
        <v>107</v>
      </c>
      <c r="DS234" t="n">
        <v>8</v>
      </c>
      <c r="DT234" t="n">
        <v>2</v>
      </c>
      <c r="DU234" t="n">
        <v>37</v>
      </c>
      <c r="DV234" t="n">
        <v>19</v>
      </c>
      <c r="DW234" t="n">
        <v>18</v>
      </c>
      <c r="DX234" t="n">
        <v>67</v>
      </c>
      <c r="DY234" t="n">
        <v>43</v>
      </c>
      <c r="DZ234" t="n">
        <v>77</v>
      </c>
      <c r="EA234" t="n">
        <v>3</v>
      </c>
      <c r="EB234" t="n">
        <v>0</v>
      </c>
      <c r="EC234" t="n">
        <v>13</v>
      </c>
      <c r="ED234" t="n">
        <v>206</v>
      </c>
      <c r="EE234" t="n">
        <v>105</v>
      </c>
      <c r="EF234" t="n">
        <v>343</v>
      </c>
      <c r="EG234" t="n">
        <v>34</v>
      </c>
      <c r="EH234" t="n">
        <v>32</v>
      </c>
      <c r="EI234" t="n">
        <v>21</v>
      </c>
      <c r="EJ234" t="n">
        <v>19</v>
      </c>
      <c r="EK234" t="n">
        <v>111</v>
      </c>
      <c r="EL234" t="n">
        <v>61</v>
      </c>
      <c r="EM234" t="n">
        <v>6</v>
      </c>
      <c r="EN234" t="n">
        <v>136</v>
      </c>
      <c r="EO234" t="n">
        <v>3</v>
      </c>
      <c r="EP234" t="n">
        <v>7</v>
      </c>
      <c r="EQ234" t="n">
        <v>252</v>
      </c>
      <c r="ER234" t="n">
        <v>1718</v>
      </c>
      <c r="ES234" t="n">
        <v>245</v>
      </c>
      <c r="ET234" t="n">
        <v>88</v>
      </c>
      <c r="EU234" t="n">
        <v>26</v>
      </c>
      <c r="EV234" t="n">
        <v>5</v>
      </c>
      <c r="EW234" t="n">
        <v>150</v>
      </c>
      <c r="EX234" t="n">
        <v>74</v>
      </c>
      <c r="EY234" t="n">
        <v>63</v>
      </c>
      <c r="EZ234" t="n">
        <v>83</v>
      </c>
      <c r="FA234" t="n">
        <v>56</v>
      </c>
      <c r="FB234" t="n">
        <v>215</v>
      </c>
      <c r="FC234" t="n">
        <v>857</v>
      </c>
      <c r="FD234" t="n">
        <v>210</v>
      </c>
      <c r="FE234" t="n">
        <v>391</v>
      </c>
      <c r="FF234" t="n">
        <v>5</v>
      </c>
      <c r="FG234" t="n">
        <v>41</v>
      </c>
      <c r="FH234" t="n">
        <v>9</v>
      </c>
      <c r="FI234" t="n">
        <v>37</v>
      </c>
      <c r="FJ234" t="n">
        <v>27</v>
      </c>
      <c r="FK234" t="n">
        <v>100</v>
      </c>
      <c r="FL234" t="n">
        <v>108</v>
      </c>
      <c r="FM234" t="n">
        <v>20</v>
      </c>
      <c r="FO234" t="n">
        <v>42</v>
      </c>
      <c r="FP234" t="n">
        <v>363</v>
      </c>
      <c r="FQ234" t="n">
        <v>436</v>
      </c>
      <c r="FR234" t="n">
        <v>98</v>
      </c>
      <c r="FS234" t="n">
        <v>125</v>
      </c>
      <c r="FT234" t="n">
        <v>52</v>
      </c>
      <c r="FU234" t="n">
        <v>231</v>
      </c>
      <c r="FV234" t="n">
        <v>176</v>
      </c>
      <c r="FW234" t="n">
        <v>138</v>
      </c>
      <c r="FX234" t="n">
        <v>355</v>
      </c>
      <c r="FY234" t="n">
        <v>273</v>
      </c>
      <c r="FZ234" t="n">
        <v>106</v>
      </c>
      <c r="GA234" t="n">
        <v>27</v>
      </c>
      <c r="GB234" t="n">
        <v>24</v>
      </c>
      <c r="GC234" t="n">
        <v>6</v>
      </c>
      <c r="GD234" t="n">
        <v>164</v>
      </c>
      <c r="GE234" t="n">
        <v>56</v>
      </c>
      <c r="GF234" t="n">
        <v>282</v>
      </c>
      <c r="GG234" t="n">
        <v>63</v>
      </c>
      <c r="GH234" t="n">
        <v>474</v>
      </c>
      <c r="GI234" t="n">
        <v>305</v>
      </c>
      <c r="GJ234" t="n">
        <v>50</v>
      </c>
      <c r="GK234" t="n">
        <v>254</v>
      </c>
      <c r="GL234" t="n">
        <v>11</v>
      </c>
      <c r="GM234" t="n">
        <v>78</v>
      </c>
      <c r="GN234" t="n">
        <v>77</v>
      </c>
      <c r="GO234" t="n">
        <v>588</v>
      </c>
      <c r="GP234" t="n">
        <v>1230</v>
      </c>
      <c r="GQ234" t="n">
        <v>1032</v>
      </c>
      <c r="GR234" t="n">
        <v>459</v>
      </c>
      <c r="GS234" t="n">
        <v>489</v>
      </c>
      <c r="GT234" t="n">
        <v>436</v>
      </c>
      <c r="GU234" t="n">
        <v>788</v>
      </c>
      <c r="GV234" t="n">
        <v>390</v>
      </c>
      <c r="GW234" t="n">
        <v>643</v>
      </c>
      <c r="GX234" t="n">
        <v>1108</v>
      </c>
      <c r="GY234" t="n">
        <v>159</v>
      </c>
      <c r="GZ234" t="n">
        <v>1537</v>
      </c>
      <c r="HA234" t="n">
        <v>1537</v>
      </c>
      <c r="HB234" t="n">
        <v>368</v>
      </c>
      <c r="HC234" t="n">
        <v>54</v>
      </c>
      <c r="HD234" t="n">
        <v>82</v>
      </c>
      <c r="HE234" t="n">
        <v>446</v>
      </c>
      <c r="HF234" t="n">
        <v>630</v>
      </c>
      <c r="HG234" t="n">
        <v>468</v>
      </c>
      <c r="HH234" t="n">
        <v>1049</v>
      </c>
      <c r="HI234" t="n">
        <v>389</v>
      </c>
      <c r="HJ234" t="n">
        <v>99</v>
      </c>
      <c r="HK234" t="n">
        <v>3336</v>
      </c>
      <c r="HL234" t="n">
        <v>13</v>
      </c>
      <c r="HM234" t="n">
        <v>128</v>
      </c>
      <c r="HN234" t="n">
        <v>46</v>
      </c>
      <c r="HO234" t="n">
        <v>45</v>
      </c>
      <c r="HP234" t="n">
        <v>26</v>
      </c>
      <c r="HQ234" t="n">
        <v>75</v>
      </c>
      <c r="HR234" t="n">
        <v>2</v>
      </c>
      <c r="HS234" t="n">
        <v>14</v>
      </c>
      <c r="HT234" t="n">
        <v>6</v>
      </c>
      <c r="HU234" t="n">
        <v>1119</v>
      </c>
      <c r="HV234" t="n">
        <v>977</v>
      </c>
      <c r="HW234" t="n">
        <v>760</v>
      </c>
      <c r="HX234" t="n">
        <v>1137</v>
      </c>
      <c r="HY234" t="n">
        <v>697</v>
      </c>
      <c r="HZ234" t="n">
        <v>662</v>
      </c>
      <c r="IA234" t="n">
        <v>229</v>
      </c>
      <c r="IB234" t="n">
        <v>1778</v>
      </c>
      <c r="IC234" t="n">
        <v>61</v>
      </c>
      <c r="IE234" t="n">
        <v>8</v>
      </c>
      <c r="IF234" t="n">
        <v>110</v>
      </c>
      <c r="IG234" t="n">
        <v>114</v>
      </c>
      <c r="II234" t="n">
        <v>10</v>
      </c>
      <c r="IJ234" t="n">
        <v>10</v>
      </c>
      <c r="IK234" t="n">
        <v>253</v>
      </c>
      <c r="IL234" t="n">
        <v>172</v>
      </c>
      <c r="IM234" t="n">
        <v>492</v>
      </c>
      <c r="IN234" t="n">
        <v>135</v>
      </c>
      <c r="IO234" t="n">
        <v>71</v>
      </c>
      <c r="IP234" t="n">
        <v>173</v>
      </c>
      <c r="IQ234" t="n">
        <v>50</v>
      </c>
      <c r="IR234" t="n">
        <v>158</v>
      </c>
      <c r="IS234" t="n">
        <v>35</v>
      </c>
      <c r="IT234" t="n">
        <v>138</v>
      </c>
      <c r="IU234" t="n">
        <v>154</v>
      </c>
      <c r="IV234" t="n">
        <v>303</v>
      </c>
      <c r="IW234" t="n">
        <v>1174</v>
      </c>
      <c r="IX234" t="n">
        <v>2426</v>
      </c>
      <c r="IY234" t="n">
        <v>51</v>
      </c>
      <c r="IZ234" t="n">
        <v>740</v>
      </c>
      <c r="JA234" t="n">
        <v>789</v>
      </c>
      <c r="JB234" t="n">
        <v>220</v>
      </c>
      <c r="JC234" t="n">
        <v>50</v>
      </c>
      <c r="JD234" t="n">
        <v>448</v>
      </c>
      <c r="JE234" t="n">
        <v>64</v>
      </c>
      <c r="JF234" t="n">
        <v>216</v>
      </c>
      <c r="JG234" t="n">
        <v>2118</v>
      </c>
      <c r="JH234" t="n">
        <v>4</v>
      </c>
      <c r="JI234" t="n">
        <v>76</v>
      </c>
      <c r="JJ234" t="n">
        <v>107</v>
      </c>
      <c r="JK234" t="n">
        <v>383</v>
      </c>
      <c r="JL234" t="n">
        <v>152</v>
      </c>
      <c r="JM234" t="n">
        <v>112</v>
      </c>
      <c r="JN234" t="n">
        <v>218</v>
      </c>
      <c r="JO234" t="n">
        <v>376</v>
      </c>
      <c r="JP234" t="n">
        <v>310</v>
      </c>
      <c r="JQ234" t="n">
        <v>714</v>
      </c>
      <c r="JR234" t="n">
        <v>123</v>
      </c>
      <c r="JS234" t="n">
        <v>1084</v>
      </c>
      <c r="JT234" t="n">
        <v>88</v>
      </c>
      <c r="JV234" t="n">
        <v>90</v>
      </c>
      <c r="JW234" t="n">
        <v>922</v>
      </c>
      <c r="JX234" t="n">
        <v>283</v>
      </c>
      <c r="JY234" t="n">
        <v>41</v>
      </c>
      <c r="JZ234" t="n">
        <v>120</v>
      </c>
      <c r="KA234" t="n">
        <v>51</v>
      </c>
      <c r="KB234" t="n">
        <v>93</v>
      </c>
      <c r="KC234" t="n">
        <v>264</v>
      </c>
      <c r="KD234" t="n">
        <v>84</v>
      </c>
      <c r="KE234" t="n">
        <v>19</v>
      </c>
      <c r="KF234" t="n">
        <v>9</v>
      </c>
      <c r="KH234" t="n">
        <v>176</v>
      </c>
      <c r="KI234" t="n">
        <v>7</v>
      </c>
      <c r="KJ234" t="n">
        <v>15</v>
      </c>
      <c r="KK234" t="n">
        <v>323</v>
      </c>
      <c r="KL234" t="n">
        <v>582</v>
      </c>
      <c r="KM234" t="n">
        <v>190</v>
      </c>
      <c r="KN234" t="n">
        <v>17</v>
      </c>
      <c r="KO234" t="n">
        <v>20</v>
      </c>
      <c r="KP234" t="n">
        <v>23</v>
      </c>
      <c r="KQ234" t="n">
        <v>24</v>
      </c>
      <c r="KR234" t="n">
        <v>46</v>
      </c>
      <c r="KS234" t="n">
        <v>28</v>
      </c>
      <c r="KT234" t="n">
        <v>3</v>
      </c>
      <c r="KW234" t="n">
        <v>43</v>
      </c>
      <c r="KX234" t="n">
        <v>228</v>
      </c>
      <c r="KY234" t="n">
        <v>10</v>
      </c>
      <c r="KZ234" t="n">
        <v>45</v>
      </c>
      <c r="LA234" t="n">
        <v>40</v>
      </c>
      <c r="LB234" t="n">
        <v>0</v>
      </c>
      <c r="LD234" t="n">
        <v>12</v>
      </c>
      <c r="LI234" t="n">
        <v>302</v>
      </c>
      <c r="LK234" t="n">
        <v>0</v>
      </c>
      <c r="LL234" t="n">
        <v>0</v>
      </c>
      <c r="LM234" t="n">
        <v>82</v>
      </c>
      <c r="LN234" t="n">
        <v>10</v>
      </c>
      <c r="LO234" t="n">
        <v>53</v>
      </c>
      <c r="LP234" t="n">
        <v>52</v>
      </c>
      <c r="LR234" t="n">
        <v>265</v>
      </c>
      <c r="LS234" t="n">
        <v>22</v>
      </c>
      <c r="LT234" t="n">
        <v>215</v>
      </c>
      <c r="LU234" t="n">
        <v>56</v>
      </c>
      <c r="LV234" t="n">
        <v>103</v>
      </c>
      <c r="LW234" t="n">
        <v>137</v>
      </c>
      <c r="LX234" t="n">
        <v>227</v>
      </c>
      <c r="LY234" t="n">
        <v>93</v>
      </c>
      <c r="LZ234" t="n">
        <v>110</v>
      </c>
      <c r="MA234" t="n">
        <v>337</v>
      </c>
      <c r="MB234" t="n">
        <v>50</v>
      </c>
      <c r="MC234" t="n">
        <v>70</v>
      </c>
      <c r="MD234" t="n">
        <v>29</v>
      </c>
      <c r="ME234" t="n">
        <v>238</v>
      </c>
      <c r="MF234" t="n">
        <v>70</v>
      </c>
      <c r="MG234" t="n">
        <v>134</v>
      </c>
      <c r="MH234" t="n">
        <v>935</v>
      </c>
      <c r="MI234" t="n">
        <v>124</v>
      </c>
      <c r="MJ234" t="n">
        <v>42</v>
      </c>
      <c r="MK234" t="n">
        <v>221</v>
      </c>
      <c r="ML234" t="n">
        <v>25</v>
      </c>
      <c r="MM234" t="n">
        <v>67</v>
      </c>
      <c r="MN234" t="n">
        <v>237</v>
      </c>
      <c r="MO234" t="n">
        <v>141</v>
      </c>
      <c r="MP234" t="n">
        <v>12</v>
      </c>
      <c r="MQ234" t="n">
        <v>5</v>
      </c>
      <c r="MR234" t="n">
        <v>92</v>
      </c>
      <c r="MS234" t="n">
        <v>136</v>
      </c>
      <c r="MT234" t="n">
        <v>47</v>
      </c>
      <c r="MU234" t="n">
        <v>21</v>
      </c>
      <c r="MV234" t="n">
        <v>87</v>
      </c>
      <c r="MW234" t="n">
        <v>7</v>
      </c>
      <c r="MX234" t="n">
        <v>62</v>
      </c>
      <c r="MY234" t="n">
        <v>21</v>
      </c>
      <c r="MZ234" t="n">
        <v>96</v>
      </c>
      <c r="NA234" t="n">
        <v>0</v>
      </c>
      <c r="NC234" t="n">
        <v>215</v>
      </c>
      <c r="ND234" t="n">
        <v>62</v>
      </c>
      <c r="NE234" t="n">
        <v>122</v>
      </c>
      <c r="NF234" t="n">
        <v>8</v>
      </c>
      <c r="NG234" t="n">
        <v>26</v>
      </c>
      <c r="NI234" t="n">
        <v>24</v>
      </c>
      <c r="NJ234" t="n">
        <v>3</v>
      </c>
      <c r="NK234" t="n">
        <v>8</v>
      </c>
      <c r="NL234" t="n">
        <v>16</v>
      </c>
      <c r="NM234" t="n">
        <v>38</v>
      </c>
      <c r="NN234" t="n">
        <v>15</v>
      </c>
      <c r="NO234" t="n">
        <v>18</v>
      </c>
      <c r="NP234" t="n">
        <v>2675</v>
      </c>
      <c r="NQ234" t="n">
        <v>6</v>
      </c>
      <c r="NR234" t="n">
        <v>8</v>
      </c>
      <c r="NS234" t="n">
        <v>19</v>
      </c>
      <c r="NT234" t="n">
        <v>38</v>
      </c>
      <c r="NU234" t="n">
        <v>22</v>
      </c>
      <c r="NV234" t="n">
        <v>81</v>
      </c>
      <c r="NW234" t="n">
        <v>0</v>
      </c>
      <c r="NX234" t="n">
        <v>3</v>
      </c>
      <c r="NY234" t="n">
        <v>5</v>
      </c>
      <c r="NZ234" t="n">
        <v>136</v>
      </c>
      <c r="OA234" t="n">
        <v>310</v>
      </c>
      <c r="OB234" t="n">
        <v>26</v>
      </c>
      <c r="OD234" t="n">
        <v>61</v>
      </c>
      <c r="OE234" t="n">
        <v>322</v>
      </c>
      <c r="OF234" t="n">
        <v>124</v>
      </c>
      <c r="OI234" t="n">
        <v>436</v>
      </c>
      <c r="OJ234" t="n">
        <v>407</v>
      </c>
      <c r="OK234" t="n">
        <v>178</v>
      </c>
      <c r="ON234" t="n">
        <v>1</v>
      </c>
      <c r="OO234" t="n">
        <v>73735</v>
      </c>
      <c r="OP234" t="n">
        <v>1820</v>
      </c>
      <c r="OU234" t="n">
        <v>371</v>
      </c>
      <c r="OV234" t="n">
        <v>2561</v>
      </c>
      <c r="PI234" t="n">
        <v>78488</v>
      </c>
      <c r="PM234">
        <f>IFERROR(VLOOKUP($A234&amp;"",Key!$A:$C,3,FALSE),"")</f>
        <v/>
      </c>
    </row>
    <row r="235">
      <c r="A235" t="n">
        <v>322220</v>
      </c>
      <c r="B235" t="inlineStr">
        <is>
          <t>Paper bag and coated and treated paper manufacturing</t>
        </is>
      </c>
      <c r="D235" t="n">
        <v>1</v>
      </c>
      <c r="E235" t="n">
        <v>165</v>
      </c>
      <c r="F235" t="n">
        <v>198</v>
      </c>
      <c r="P235" t="n">
        <v>14</v>
      </c>
      <c r="Q235" t="n">
        <v>15</v>
      </c>
      <c r="R235" t="n">
        <v>1</v>
      </c>
      <c r="S235" t="n">
        <v>13</v>
      </c>
      <c r="T235" t="n">
        <v>4</v>
      </c>
      <c r="U235" t="n">
        <v>13</v>
      </c>
      <c r="V235" t="n">
        <v>7</v>
      </c>
      <c r="W235" t="n">
        <v>12</v>
      </c>
      <c r="X235" t="n">
        <v>2</v>
      </c>
      <c r="AA235" t="n">
        <v>22</v>
      </c>
      <c r="AB235" t="n">
        <v>37</v>
      </c>
      <c r="AC235" t="n">
        <v>42</v>
      </c>
      <c r="AD235" t="n">
        <v>29</v>
      </c>
      <c r="AE235" t="n">
        <v>35</v>
      </c>
      <c r="AF235" t="n">
        <v>26</v>
      </c>
      <c r="AG235" t="n">
        <v>52</v>
      </c>
      <c r="AH235" t="n">
        <v>1</v>
      </c>
      <c r="AI235" t="n">
        <v>14</v>
      </c>
      <c r="AJ235" t="n">
        <v>4</v>
      </c>
      <c r="AK235" t="n">
        <v>1336</v>
      </c>
      <c r="AL235" t="n">
        <v>11</v>
      </c>
      <c r="AN235" t="n">
        <v>8</v>
      </c>
      <c r="AO235" t="n">
        <v>1</v>
      </c>
      <c r="AR235" t="n">
        <v>0</v>
      </c>
      <c r="AS235" t="n">
        <v>20</v>
      </c>
      <c r="AT235" t="n">
        <v>1</v>
      </c>
      <c r="AW235" t="n">
        <v>20</v>
      </c>
      <c r="AX235" t="n">
        <v>3</v>
      </c>
      <c r="BA235" t="n">
        <v>43</v>
      </c>
      <c r="BB235" t="n">
        <v>35</v>
      </c>
      <c r="BC235" t="n">
        <v>4</v>
      </c>
      <c r="BD235" t="n">
        <v>0</v>
      </c>
      <c r="BF235" t="n">
        <v>0</v>
      </c>
      <c r="BG235" t="n">
        <v>3</v>
      </c>
      <c r="BJ235" t="n">
        <v>0</v>
      </c>
      <c r="BK235" t="n">
        <v>1</v>
      </c>
      <c r="BO235" t="n">
        <v>1</v>
      </c>
      <c r="BP235" t="n">
        <v>2</v>
      </c>
      <c r="BQ235" t="n">
        <v>2</v>
      </c>
      <c r="BR235" t="n">
        <v>3</v>
      </c>
      <c r="BU235" t="n">
        <v>1</v>
      </c>
      <c r="BW235" t="n">
        <v>5</v>
      </c>
      <c r="BX235" t="n">
        <v>2</v>
      </c>
      <c r="BY235" t="n">
        <v>1</v>
      </c>
      <c r="BZ235" t="n">
        <v>3</v>
      </c>
      <c r="CB235" t="n">
        <v>13</v>
      </c>
      <c r="CF235" t="n">
        <v>1</v>
      </c>
      <c r="CG235" t="n">
        <v>2</v>
      </c>
      <c r="CH235" t="n">
        <v>1</v>
      </c>
      <c r="CI235" t="n">
        <v>2</v>
      </c>
      <c r="CJ235" t="n">
        <v>6</v>
      </c>
      <c r="CK235" t="n">
        <v>1</v>
      </c>
      <c r="CL235" t="n">
        <v>9</v>
      </c>
      <c r="CN235" t="n">
        <v>9</v>
      </c>
      <c r="CO235" t="n">
        <v>4</v>
      </c>
      <c r="CP235" t="n">
        <v>1</v>
      </c>
      <c r="CQ235" t="n">
        <v>4</v>
      </c>
      <c r="CR235" t="n">
        <v>5</v>
      </c>
      <c r="CS235" t="n">
        <v>1</v>
      </c>
      <c r="CT235" t="n">
        <v>3</v>
      </c>
      <c r="CU235" t="n">
        <v>1</v>
      </c>
      <c r="CV235" t="n">
        <v>1</v>
      </c>
      <c r="CW235" t="n">
        <v>8</v>
      </c>
      <c r="CX235" t="n">
        <v>0</v>
      </c>
      <c r="CY235" t="n">
        <v>1</v>
      </c>
      <c r="CZ235" t="n">
        <v>3</v>
      </c>
      <c r="DA235" t="n">
        <v>2</v>
      </c>
      <c r="DB235" t="n">
        <v>6</v>
      </c>
      <c r="DC235" t="n">
        <v>6</v>
      </c>
      <c r="DD235" t="n">
        <v>1</v>
      </c>
      <c r="DE235" t="n">
        <v>0</v>
      </c>
      <c r="DG235" t="n">
        <v>6</v>
      </c>
      <c r="DH235" t="n">
        <v>4</v>
      </c>
      <c r="DK235" t="n">
        <v>0</v>
      </c>
      <c r="DL235" t="n">
        <v>0</v>
      </c>
      <c r="DM235" t="n">
        <v>2</v>
      </c>
      <c r="DO235" t="n">
        <v>1</v>
      </c>
      <c r="DP235" t="n">
        <v>1</v>
      </c>
      <c r="DQ235" t="n">
        <v>1</v>
      </c>
      <c r="DR235" t="n">
        <v>1</v>
      </c>
      <c r="DS235" t="n">
        <v>1</v>
      </c>
      <c r="DU235" t="n">
        <v>0</v>
      </c>
      <c r="DW235" t="n">
        <v>1</v>
      </c>
      <c r="DX235" t="n">
        <v>1</v>
      </c>
      <c r="DZ235" t="n">
        <v>1</v>
      </c>
      <c r="EB235" t="n">
        <v>0</v>
      </c>
      <c r="EC235" t="n">
        <v>1</v>
      </c>
      <c r="ED235" t="n">
        <v>8</v>
      </c>
      <c r="EE235" t="n">
        <v>2</v>
      </c>
      <c r="EF235" t="n">
        <v>3</v>
      </c>
      <c r="EG235" t="n">
        <v>1</v>
      </c>
      <c r="EH235" t="n">
        <v>2</v>
      </c>
      <c r="EI235" t="n">
        <v>1</v>
      </c>
      <c r="EJ235" t="n">
        <v>2</v>
      </c>
      <c r="EL235" t="n">
        <v>0</v>
      </c>
      <c r="EM235" t="n">
        <v>0</v>
      </c>
      <c r="EN235" t="n">
        <v>3</v>
      </c>
      <c r="EO235" t="n">
        <v>0</v>
      </c>
      <c r="EP235" t="n">
        <v>1</v>
      </c>
      <c r="EQ235" t="n">
        <v>1</v>
      </c>
      <c r="ER235" t="n">
        <v>6</v>
      </c>
      <c r="ES235" t="n">
        <v>1</v>
      </c>
      <c r="ET235" t="n">
        <v>1</v>
      </c>
      <c r="EX235" t="n">
        <v>3</v>
      </c>
      <c r="EY235" t="n">
        <v>1</v>
      </c>
      <c r="FA235" t="n">
        <v>12</v>
      </c>
      <c r="FB235" t="n">
        <v>2</v>
      </c>
      <c r="FC235" t="n">
        <v>74</v>
      </c>
      <c r="FD235" t="n">
        <v>92</v>
      </c>
      <c r="FE235" t="n">
        <v>3</v>
      </c>
      <c r="FG235" t="n">
        <v>1</v>
      </c>
      <c r="FH235" t="n">
        <v>0</v>
      </c>
      <c r="FJ235" t="n">
        <v>0</v>
      </c>
      <c r="FK235" t="n">
        <v>1</v>
      </c>
      <c r="FP235" t="n">
        <v>0</v>
      </c>
      <c r="FQ235" t="n">
        <v>1</v>
      </c>
      <c r="FX235" t="n">
        <v>4</v>
      </c>
      <c r="FY235" t="n">
        <v>2</v>
      </c>
      <c r="GA235" t="n">
        <v>0</v>
      </c>
      <c r="GD235" t="n">
        <v>1</v>
      </c>
      <c r="GE235" t="n">
        <v>0</v>
      </c>
      <c r="GG235" t="n">
        <v>1</v>
      </c>
      <c r="GH235" t="n">
        <v>0</v>
      </c>
      <c r="GI235" t="n">
        <v>312</v>
      </c>
      <c r="GJ235" t="n">
        <v>122</v>
      </c>
      <c r="GK235" t="n">
        <v>136</v>
      </c>
      <c r="GL235" t="n">
        <v>86</v>
      </c>
      <c r="GM235" t="n">
        <v>19</v>
      </c>
      <c r="GN235" t="n">
        <v>265</v>
      </c>
      <c r="GO235" t="n">
        <v>36</v>
      </c>
      <c r="GP235" t="n">
        <v>509</v>
      </c>
      <c r="GQ235" t="n">
        <v>171</v>
      </c>
      <c r="GR235" t="n">
        <v>25</v>
      </c>
      <c r="GS235" t="n">
        <v>224</v>
      </c>
      <c r="GT235" t="n">
        <v>293</v>
      </c>
      <c r="GU235" t="n">
        <v>122</v>
      </c>
      <c r="GV235" t="n">
        <v>34</v>
      </c>
      <c r="GW235" t="n">
        <v>235</v>
      </c>
      <c r="GX235" t="n">
        <v>365</v>
      </c>
      <c r="GY235" t="n">
        <v>56</v>
      </c>
      <c r="GZ235" t="n">
        <v>628</v>
      </c>
      <c r="HA235" t="n">
        <v>325</v>
      </c>
      <c r="HB235" t="n">
        <v>386</v>
      </c>
      <c r="HC235" t="n">
        <v>35</v>
      </c>
      <c r="HD235" t="n">
        <v>11</v>
      </c>
      <c r="HE235" t="n">
        <v>410</v>
      </c>
      <c r="HF235" t="n">
        <v>519</v>
      </c>
      <c r="HG235" t="n">
        <v>15</v>
      </c>
      <c r="HH235" t="n">
        <v>1</v>
      </c>
      <c r="HI235" t="n">
        <v>0</v>
      </c>
      <c r="HJ235" t="n">
        <v>0</v>
      </c>
      <c r="HR235" t="n">
        <v>0</v>
      </c>
      <c r="HS235" t="n">
        <v>2</v>
      </c>
      <c r="HT235" t="n">
        <v>4</v>
      </c>
      <c r="HU235" t="n">
        <v>1008</v>
      </c>
      <c r="HV235" t="n">
        <v>89</v>
      </c>
      <c r="HW235" t="n">
        <v>16</v>
      </c>
      <c r="HX235" t="n">
        <v>76</v>
      </c>
      <c r="HY235" t="n">
        <v>4</v>
      </c>
      <c r="HZ235" t="n">
        <v>515</v>
      </c>
      <c r="IA235" t="n">
        <v>17</v>
      </c>
      <c r="IB235" t="n">
        <v>4386</v>
      </c>
      <c r="IC235" t="n">
        <v>14</v>
      </c>
      <c r="IG235" t="n">
        <v>1</v>
      </c>
      <c r="II235" t="n">
        <v>1</v>
      </c>
      <c r="IK235" t="n">
        <v>3</v>
      </c>
      <c r="IL235" t="n">
        <v>13</v>
      </c>
      <c r="IM235" t="n">
        <v>4</v>
      </c>
      <c r="IN235" t="n">
        <v>2</v>
      </c>
      <c r="IO235" t="n">
        <v>1</v>
      </c>
      <c r="IP235" t="n">
        <v>3</v>
      </c>
      <c r="IQ235" t="n">
        <v>2</v>
      </c>
      <c r="IR235" t="n">
        <v>15</v>
      </c>
      <c r="IS235" t="n">
        <v>117</v>
      </c>
      <c r="IT235" t="n">
        <v>0</v>
      </c>
      <c r="IU235" t="n">
        <v>1</v>
      </c>
      <c r="IV235" t="n">
        <v>1</v>
      </c>
      <c r="IW235" t="n">
        <v>6</v>
      </c>
      <c r="IX235" t="n">
        <v>4</v>
      </c>
      <c r="IZ235" t="n">
        <v>131</v>
      </c>
      <c r="JA235" t="n">
        <v>1</v>
      </c>
      <c r="JE235" t="n">
        <v>128</v>
      </c>
      <c r="JF235" t="n">
        <v>0</v>
      </c>
      <c r="JG235" t="n">
        <v>204</v>
      </c>
      <c r="JH235" t="n">
        <v>0</v>
      </c>
      <c r="JI235" t="n">
        <v>0</v>
      </c>
      <c r="JJ235" t="n">
        <v>1</v>
      </c>
      <c r="JK235" t="n">
        <v>349</v>
      </c>
      <c r="JL235" t="n">
        <v>144</v>
      </c>
      <c r="JM235" t="n">
        <v>239</v>
      </c>
      <c r="JN235" t="n">
        <v>195</v>
      </c>
      <c r="JO235" t="n">
        <v>475</v>
      </c>
      <c r="JP235" t="n">
        <v>241</v>
      </c>
      <c r="JQ235" t="n">
        <v>594</v>
      </c>
      <c r="JR235" t="n">
        <v>158</v>
      </c>
      <c r="JS235" t="n">
        <v>800</v>
      </c>
      <c r="JT235" t="n">
        <v>86</v>
      </c>
      <c r="JV235" t="n">
        <v>81</v>
      </c>
      <c r="JW235" t="n">
        <v>381</v>
      </c>
      <c r="JX235" t="n">
        <v>99</v>
      </c>
      <c r="JY235" t="n">
        <v>22</v>
      </c>
      <c r="JZ235" t="n">
        <v>102</v>
      </c>
      <c r="KA235" t="n">
        <v>26</v>
      </c>
      <c r="KB235" t="n">
        <v>82</v>
      </c>
      <c r="KC235" t="n">
        <v>215</v>
      </c>
      <c r="KD235" t="n">
        <v>80</v>
      </c>
      <c r="KF235" t="n">
        <v>2</v>
      </c>
      <c r="KH235" t="n">
        <v>14</v>
      </c>
      <c r="KI235" t="n">
        <v>11</v>
      </c>
      <c r="KJ235" t="n">
        <v>9</v>
      </c>
      <c r="KK235" t="n">
        <v>34</v>
      </c>
      <c r="KL235" t="n">
        <v>79</v>
      </c>
      <c r="KM235" t="n">
        <v>45</v>
      </c>
      <c r="KN235" t="n">
        <v>53</v>
      </c>
      <c r="KO235" t="n">
        <v>49</v>
      </c>
      <c r="KP235" t="n">
        <v>126</v>
      </c>
      <c r="KQ235" t="n">
        <v>37</v>
      </c>
      <c r="KR235" t="n">
        <v>27</v>
      </c>
      <c r="KS235" t="n">
        <v>8</v>
      </c>
      <c r="KW235" t="n">
        <v>3</v>
      </c>
      <c r="KX235" t="n">
        <v>8</v>
      </c>
      <c r="KZ235" t="n">
        <v>36</v>
      </c>
      <c r="LB235" t="n">
        <v>2</v>
      </c>
      <c r="LC235" t="n">
        <v>173</v>
      </c>
      <c r="LD235" t="n">
        <v>199</v>
      </c>
      <c r="LE235" t="n">
        <v>11</v>
      </c>
      <c r="LF235" t="n">
        <v>5</v>
      </c>
      <c r="LH235" t="n">
        <v>2</v>
      </c>
      <c r="LI235" t="n">
        <v>104</v>
      </c>
      <c r="LM235" t="n">
        <v>416</v>
      </c>
      <c r="LN235" t="n">
        <v>4</v>
      </c>
      <c r="LO235" t="n">
        <v>5</v>
      </c>
      <c r="LP235" t="n">
        <v>14</v>
      </c>
      <c r="LQ235" t="n">
        <v>277</v>
      </c>
      <c r="LS235" t="n">
        <v>7</v>
      </c>
      <c r="LT235" t="n">
        <v>50</v>
      </c>
      <c r="LU235" t="n">
        <v>14</v>
      </c>
      <c r="LV235" t="n">
        <v>24</v>
      </c>
      <c r="LW235" t="n">
        <v>71</v>
      </c>
      <c r="LX235" t="n">
        <v>46</v>
      </c>
      <c r="LY235" t="n">
        <v>14</v>
      </c>
      <c r="LZ235" t="n">
        <v>44</v>
      </c>
      <c r="MA235" t="n">
        <v>64</v>
      </c>
      <c r="MB235" t="n">
        <v>56</v>
      </c>
      <c r="MC235" t="n">
        <v>22</v>
      </c>
      <c r="MD235" t="n">
        <v>8</v>
      </c>
      <c r="ME235" t="n">
        <v>46</v>
      </c>
      <c r="MF235" t="n">
        <v>6</v>
      </c>
      <c r="MG235" t="n">
        <v>199</v>
      </c>
      <c r="MH235" t="n">
        <v>257</v>
      </c>
      <c r="MI235" t="n">
        <v>17</v>
      </c>
      <c r="MJ235" t="n">
        <v>9</v>
      </c>
      <c r="MK235" t="n">
        <v>252</v>
      </c>
      <c r="ML235" t="n">
        <v>9</v>
      </c>
      <c r="MM235" t="n">
        <v>22</v>
      </c>
      <c r="MN235" t="n">
        <v>210</v>
      </c>
      <c r="MO235" t="n">
        <v>152</v>
      </c>
      <c r="MP235" t="n">
        <v>1</v>
      </c>
      <c r="MQ235" t="n">
        <v>13</v>
      </c>
      <c r="MR235" t="n">
        <v>9</v>
      </c>
      <c r="MS235" t="n">
        <v>55</v>
      </c>
      <c r="MT235" t="n">
        <v>70</v>
      </c>
      <c r="MU235" t="n">
        <v>16</v>
      </c>
      <c r="MV235" t="n">
        <v>174</v>
      </c>
      <c r="MW235" t="n">
        <v>1</v>
      </c>
      <c r="MX235" t="n">
        <v>15</v>
      </c>
      <c r="MY235" t="n">
        <v>37</v>
      </c>
      <c r="MZ235" t="n">
        <v>71</v>
      </c>
      <c r="NA235" t="n">
        <v>7</v>
      </c>
      <c r="NB235" t="n">
        <v>2</v>
      </c>
      <c r="NC235" t="n">
        <v>30</v>
      </c>
      <c r="ND235" t="n">
        <v>17</v>
      </c>
      <c r="NE235" t="n">
        <v>45</v>
      </c>
      <c r="NG235" t="n">
        <v>0</v>
      </c>
      <c r="NJ235" t="n">
        <v>1</v>
      </c>
      <c r="NK235" t="n">
        <v>0</v>
      </c>
      <c r="NL235" t="n">
        <v>7</v>
      </c>
      <c r="NM235" t="n">
        <v>20</v>
      </c>
      <c r="NN235" t="n">
        <v>1523</v>
      </c>
      <c r="NO235" t="n">
        <v>44</v>
      </c>
      <c r="NP235" t="n">
        <v>204</v>
      </c>
      <c r="NQ235" t="n">
        <v>2</v>
      </c>
      <c r="NR235" t="n">
        <v>6</v>
      </c>
      <c r="NS235" t="n">
        <v>8</v>
      </c>
      <c r="NT235" t="n">
        <v>14</v>
      </c>
      <c r="NU235" t="n">
        <v>6</v>
      </c>
      <c r="NV235" t="n">
        <v>44</v>
      </c>
      <c r="NW235" t="n">
        <v>0</v>
      </c>
      <c r="NX235" t="n">
        <v>1</v>
      </c>
      <c r="NY235" t="n">
        <v>4</v>
      </c>
      <c r="NZ235" t="n">
        <v>66</v>
      </c>
      <c r="OA235" t="n">
        <v>8</v>
      </c>
      <c r="OB235" t="n">
        <v>19</v>
      </c>
      <c r="OD235" t="n">
        <v>99</v>
      </c>
      <c r="OE235" t="n">
        <v>80</v>
      </c>
      <c r="OF235" t="n">
        <v>4</v>
      </c>
      <c r="OG235" t="n">
        <v>0</v>
      </c>
      <c r="OI235" t="n">
        <v>490</v>
      </c>
      <c r="OJ235" t="n">
        <v>129</v>
      </c>
      <c r="OK235" t="n">
        <v>591</v>
      </c>
      <c r="OM235" t="n">
        <v>32</v>
      </c>
      <c r="ON235" t="n">
        <v>0</v>
      </c>
      <c r="OO235" t="n">
        <v>26354</v>
      </c>
      <c r="OP235" t="n">
        <v>4477</v>
      </c>
      <c r="OU235" t="n">
        <v>67</v>
      </c>
      <c r="OV235" t="n">
        <v>4660</v>
      </c>
      <c r="PI235" t="n">
        <v>35557</v>
      </c>
      <c r="PM235">
        <f>IFERROR(VLOOKUP($A235&amp;"",Key!$A:$C,3,FALSE),"")</f>
        <v/>
      </c>
    </row>
    <row r="236">
      <c r="A236" t="n">
        <v>322230</v>
      </c>
      <c r="B236" t="inlineStr">
        <is>
          <t>Stationery product manufacturing</t>
        </is>
      </c>
      <c r="D236" t="n">
        <v>2</v>
      </c>
      <c r="E236" t="n">
        <v>1</v>
      </c>
      <c r="H236" t="n">
        <v>0</v>
      </c>
      <c r="AC236" t="n">
        <v>1</v>
      </c>
      <c r="AD236" t="n">
        <v>0</v>
      </c>
      <c r="AG236" t="n">
        <v>8</v>
      </c>
      <c r="CB236" t="n">
        <v>2</v>
      </c>
      <c r="CI236" t="n">
        <v>1</v>
      </c>
      <c r="CK236" t="n">
        <v>1</v>
      </c>
      <c r="CL236" t="n">
        <v>3</v>
      </c>
      <c r="GT236" t="n">
        <v>2</v>
      </c>
      <c r="HU236" t="n">
        <v>0</v>
      </c>
      <c r="HV236" t="n">
        <v>0</v>
      </c>
      <c r="HY236" t="n">
        <v>9</v>
      </c>
      <c r="IB236" t="n">
        <v>210</v>
      </c>
      <c r="IK236" t="n">
        <v>1</v>
      </c>
      <c r="IL236" t="n">
        <v>1</v>
      </c>
      <c r="JK236" t="n">
        <v>4</v>
      </c>
      <c r="JL236" t="n">
        <v>3</v>
      </c>
      <c r="JM236" t="n">
        <v>2</v>
      </c>
      <c r="JN236" t="n">
        <v>6</v>
      </c>
      <c r="JO236" t="n">
        <v>9</v>
      </c>
      <c r="JQ236" t="n">
        <v>4</v>
      </c>
      <c r="JR236" t="n">
        <v>16</v>
      </c>
      <c r="JV236" t="n">
        <v>2</v>
      </c>
      <c r="JW236" t="n">
        <v>3</v>
      </c>
      <c r="JX236" t="n">
        <v>2</v>
      </c>
      <c r="JY236" t="n">
        <v>0</v>
      </c>
      <c r="JZ236" t="n">
        <v>4</v>
      </c>
      <c r="KA236" t="n">
        <v>2</v>
      </c>
      <c r="KB236" t="n">
        <v>5</v>
      </c>
      <c r="KC236" t="n">
        <v>14</v>
      </c>
      <c r="KD236" t="n">
        <v>11</v>
      </c>
      <c r="KF236" t="n">
        <v>6</v>
      </c>
      <c r="KI236" t="n">
        <v>65</v>
      </c>
      <c r="KJ236" t="n">
        <v>4</v>
      </c>
      <c r="KK236" t="n">
        <v>857</v>
      </c>
      <c r="KL236" t="n">
        <v>1</v>
      </c>
      <c r="KR236" t="n">
        <v>1</v>
      </c>
      <c r="KZ236" t="n">
        <v>4</v>
      </c>
      <c r="LB236" t="n">
        <v>1</v>
      </c>
      <c r="LC236" t="n">
        <v>201</v>
      </c>
      <c r="LD236" t="n">
        <v>193</v>
      </c>
      <c r="LE236" t="n">
        <v>11</v>
      </c>
      <c r="LF236" t="n">
        <v>24</v>
      </c>
      <c r="LI236" t="n">
        <v>3</v>
      </c>
      <c r="LM236" t="n">
        <v>42</v>
      </c>
      <c r="LP236" t="n">
        <v>7</v>
      </c>
      <c r="LR236" t="n">
        <v>6</v>
      </c>
      <c r="LT236" t="n">
        <v>13</v>
      </c>
      <c r="LV236" t="n">
        <v>0</v>
      </c>
      <c r="LW236" t="n">
        <v>16</v>
      </c>
      <c r="LZ236" t="n">
        <v>2</v>
      </c>
      <c r="MA236" t="n">
        <v>3</v>
      </c>
      <c r="MC236" t="n">
        <v>2</v>
      </c>
      <c r="MD236" t="n">
        <v>1</v>
      </c>
      <c r="MF236" t="n">
        <v>9</v>
      </c>
      <c r="MH236" t="n">
        <v>18</v>
      </c>
      <c r="MJ236" t="n">
        <v>1</v>
      </c>
      <c r="MK236" t="n">
        <v>25</v>
      </c>
      <c r="MM236" t="n">
        <v>2</v>
      </c>
      <c r="MN236" t="n">
        <v>1</v>
      </c>
      <c r="MO236" t="n">
        <v>1</v>
      </c>
      <c r="MQ236" t="n">
        <v>33</v>
      </c>
      <c r="MR236" t="n">
        <v>1</v>
      </c>
      <c r="MS236" t="n">
        <v>8</v>
      </c>
      <c r="MT236" t="n">
        <v>15</v>
      </c>
      <c r="MU236" t="n">
        <v>2</v>
      </c>
      <c r="MV236" t="n">
        <v>1</v>
      </c>
      <c r="MY236" t="n">
        <v>9</v>
      </c>
      <c r="MZ236" t="n">
        <v>21</v>
      </c>
      <c r="NE236" t="n">
        <v>1</v>
      </c>
      <c r="NM236" t="n">
        <v>3</v>
      </c>
      <c r="NN236" t="n">
        <v>1272</v>
      </c>
      <c r="NO236" t="n">
        <v>15</v>
      </c>
      <c r="NP236" t="n">
        <v>13</v>
      </c>
      <c r="NR236" t="n">
        <v>1</v>
      </c>
      <c r="NS236" t="n">
        <v>0</v>
      </c>
      <c r="NT236" t="n">
        <v>1</v>
      </c>
      <c r="NV236" t="n">
        <v>5</v>
      </c>
      <c r="NZ236" t="n">
        <v>17</v>
      </c>
      <c r="OA236" t="n">
        <v>0</v>
      </c>
      <c r="OD236" t="n">
        <v>12</v>
      </c>
      <c r="OE236" t="n">
        <v>1286</v>
      </c>
      <c r="OI236" t="n">
        <v>1144</v>
      </c>
      <c r="OJ236" t="n">
        <v>222</v>
      </c>
      <c r="OK236" t="n">
        <v>891</v>
      </c>
      <c r="OO236" t="n">
        <v>6820</v>
      </c>
      <c r="OP236" t="n">
        <v>1450</v>
      </c>
      <c r="OU236" t="n">
        <v>-31</v>
      </c>
      <c r="OV236" t="n">
        <v>492</v>
      </c>
      <c r="PI236" t="n">
        <v>8731</v>
      </c>
      <c r="PM236">
        <f>IFERROR(VLOOKUP($A236&amp;"",Key!$A:$C,3,FALSE),"")</f>
        <v/>
      </c>
    </row>
    <row r="237">
      <c r="A237" t="n">
        <v>322291</v>
      </c>
      <c r="B237" t="inlineStr">
        <is>
          <t>Sanitary paper product manufacturing</t>
        </is>
      </c>
      <c r="C237" t="n">
        <v>1</v>
      </c>
      <c r="D237" t="n">
        <v>1</v>
      </c>
      <c r="G237" t="n">
        <v>1</v>
      </c>
      <c r="H237" t="n">
        <v>1</v>
      </c>
      <c r="I237" t="n">
        <v>1</v>
      </c>
      <c r="AC237" t="n">
        <v>0</v>
      </c>
      <c r="GP237" t="n">
        <v>1</v>
      </c>
      <c r="HH237" t="n">
        <v>0</v>
      </c>
      <c r="HZ237" t="n">
        <v>3</v>
      </c>
      <c r="IW237" t="n">
        <v>3</v>
      </c>
      <c r="IX237" t="n">
        <v>1</v>
      </c>
      <c r="JG237" t="n">
        <v>1</v>
      </c>
      <c r="JQ237" t="n">
        <v>1</v>
      </c>
      <c r="MA237" t="n">
        <v>1</v>
      </c>
      <c r="MD237" t="n">
        <v>113</v>
      </c>
      <c r="MH237" t="n">
        <v>41</v>
      </c>
      <c r="MS237" t="n">
        <v>128</v>
      </c>
      <c r="MV237" t="n">
        <v>464</v>
      </c>
      <c r="MZ237" t="n">
        <v>1734</v>
      </c>
      <c r="NA237" t="n">
        <v>688</v>
      </c>
      <c r="NB237" t="n">
        <v>395</v>
      </c>
      <c r="NC237" t="n">
        <v>456</v>
      </c>
      <c r="ND237" t="n">
        <v>6</v>
      </c>
      <c r="NE237" t="n">
        <v>4</v>
      </c>
      <c r="NM237" t="n">
        <v>2</v>
      </c>
      <c r="OE237" t="n">
        <v>531</v>
      </c>
      <c r="OJ237" t="n">
        <v>1631</v>
      </c>
      <c r="OO237" t="n">
        <v>6208</v>
      </c>
      <c r="OP237" t="n">
        <v>22990</v>
      </c>
      <c r="OU237" t="n">
        <v>285</v>
      </c>
      <c r="OV237" t="n">
        <v>752</v>
      </c>
      <c r="PI237" t="n">
        <v>30236</v>
      </c>
      <c r="PM237">
        <f>IFERROR(VLOOKUP($A237&amp;"",Key!$A:$C,3,FALSE),"")</f>
        <v/>
      </c>
    </row>
    <row r="238">
      <c r="A238" t="n">
        <v>322299</v>
      </c>
      <c r="B238" t="inlineStr">
        <is>
          <t>All other converted paper product manufacturing</t>
        </is>
      </c>
      <c r="K238" t="n">
        <v>8</v>
      </c>
      <c r="AK238" t="n">
        <v>19</v>
      </c>
      <c r="AX238" t="n">
        <v>2</v>
      </c>
      <c r="BA238" t="n">
        <v>24</v>
      </c>
      <c r="BB238" t="n">
        <v>2</v>
      </c>
      <c r="BW238" t="n">
        <v>1</v>
      </c>
      <c r="CB238" t="n">
        <v>2</v>
      </c>
      <c r="DD238" t="n">
        <v>3</v>
      </c>
      <c r="ET238" t="n">
        <v>4</v>
      </c>
      <c r="GE238" t="n">
        <v>13</v>
      </c>
      <c r="GI238" t="n">
        <v>43</v>
      </c>
      <c r="GJ238" t="n">
        <v>24</v>
      </c>
      <c r="GK238" t="n">
        <v>18</v>
      </c>
      <c r="GL238" t="n">
        <v>1</v>
      </c>
      <c r="GO238" t="n">
        <v>33</v>
      </c>
      <c r="GP238" t="n">
        <v>281</v>
      </c>
      <c r="GQ238" t="n">
        <v>167</v>
      </c>
      <c r="GR238" t="n">
        <v>17</v>
      </c>
      <c r="GS238" t="n">
        <v>249</v>
      </c>
      <c r="GT238" t="n">
        <v>86</v>
      </c>
      <c r="GU238" t="n">
        <v>209</v>
      </c>
      <c r="GV238" t="n">
        <v>55</v>
      </c>
      <c r="GW238" t="n">
        <v>57</v>
      </c>
      <c r="GX238" t="n">
        <v>207</v>
      </c>
      <c r="GY238" t="n">
        <v>32</v>
      </c>
      <c r="GZ238" t="n">
        <v>158</v>
      </c>
      <c r="HA238" t="n">
        <v>272</v>
      </c>
      <c r="HB238" t="n">
        <v>188</v>
      </c>
      <c r="HC238" t="n">
        <v>17</v>
      </c>
      <c r="HD238" t="n">
        <v>12</v>
      </c>
      <c r="HE238" t="n">
        <v>43</v>
      </c>
      <c r="HF238" t="n">
        <v>71</v>
      </c>
      <c r="HT238" t="n">
        <v>16</v>
      </c>
      <c r="HU238" t="n">
        <v>461</v>
      </c>
      <c r="HV238" t="n">
        <v>179</v>
      </c>
      <c r="HW238" t="n">
        <v>86</v>
      </c>
      <c r="HZ238" t="n">
        <v>375</v>
      </c>
      <c r="IA238" t="n">
        <v>6</v>
      </c>
      <c r="IF238" t="n">
        <v>20</v>
      </c>
      <c r="JG238" t="n">
        <v>3</v>
      </c>
      <c r="JK238" t="n">
        <v>32</v>
      </c>
      <c r="JL238" t="n">
        <v>10</v>
      </c>
      <c r="JM238" t="n">
        <v>18</v>
      </c>
      <c r="JN238" t="n">
        <v>18</v>
      </c>
      <c r="JO238" t="n">
        <v>30</v>
      </c>
      <c r="JP238" t="n">
        <v>12</v>
      </c>
      <c r="JQ238" t="n">
        <v>45</v>
      </c>
      <c r="JS238" t="n">
        <v>46</v>
      </c>
      <c r="JT238" t="n">
        <v>5</v>
      </c>
      <c r="JV238" t="n">
        <v>7</v>
      </c>
      <c r="JW238" t="n">
        <v>26</v>
      </c>
      <c r="JX238" t="n">
        <v>8</v>
      </c>
      <c r="JZ238" t="n">
        <v>6</v>
      </c>
      <c r="KA238" t="n">
        <v>2</v>
      </c>
      <c r="KB238" t="n">
        <v>2</v>
      </c>
      <c r="KC238" t="n">
        <v>13</v>
      </c>
      <c r="KK238" t="n">
        <v>12</v>
      </c>
      <c r="MF238" t="n">
        <v>1</v>
      </c>
      <c r="MQ238" t="n">
        <v>1</v>
      </c>
      <c r="NN238" t="n">
        <v>2</v>
      </c>
      <c r="NO238" t="n">
        <v>538</v>
      </c>
      <c r="NP238" t="n">
        <v>714</v>
      </c>
      <c r="NQ238" t="n">
        <v>244</v>
      </c>
      <c r="OD238" t="n">
        <v>1</v>
      </c>
      <c r="OE238" t="n">
        <v>33</v>
      </c>
      <c r="OI238" t="n">
        <v>248</v>
      </c>
      <c r="OJ238" t="n">
        <v>65</v>
      </c>
      <c r="OK238" t="n">
        <v>254</v>
      </c>
      <c r="OO238" t="n">
        <v>5856</v>
      </c>
      <c r="OP238" t="n">
        <v>1170</v>
      </c>
      <c r="OU238" t="n">
        <v>20</v>
      </c>
      <c r="OV238" t="n">
        <v>274</v>
      </c>
      <c r="PI238" t="n">
        <v>7320</v>
      </c>
      <c r="PM238">
        <f>IFERROR(VLOOKUP($A238&amp;"",Key!$A:$C,3,FALSE),"")</f>
        <v/>
      </c>
    </row>
    <row r="239">
      <c r="A239" t="n">
        <v>323110</v>
      </c>
      <c r="B239" t="inlineStr">
        <is>
          <t>Printing</t>
        </is>
      </c>
      <c r="C239" t="n">
        <v>1</v>
      </c>
      <c r="D239" t="n">
        <v>3</v>
      </c>
      <c r="E239" t="n">
        <v>1</v>
      </c>
      <c r="F239" t="n">
        <v>0</v>
      </c>
      <c r="G239" t="n">
        <v>1</v>
      </c>
      <c r="H239" t="n">
        <v>1</v>
      </c>
      <c r="I239" t="n">
        <v>6</v>
      </c>
      <c r="J239" t="n">
        <v>2</v>
      </c>
      <c r="K239" t="n">
        <v>1</v>
      </c>
      <c r="L239" t="n">
        <v>0</v>
      </c>
      <c r="P239" t="n">
        <v>5</v>
      </c>
      <c r="Q239" t="n">
        <v>2</v>
      </c>
      <c r="Y239" t="n">
        <v>12</v>
      </c>
      <c r="AC239" t="n">
        <v>2</v>
      </c>
      <c r="AD239" t="n">
        <v>9</v>
      </c>
      <c r="AG239" t="n">
        <v>15</v>
      </c>
      <c r="AK239" t="n">
        <v>25</v>
      </c>
      <c r="AL239" t="n">
        <v>1</v>
      </c>
      <c r="AP239" t="n">
        <v>6</v>
      </c>
      <c r="BR239" t="n">
        <v>0</v>
      </c>
      <c r="BU239" t="n">
        <v>0</v>
      </c>
      <c r="BW239" t="n">
        <v>1</v>
      </c>
      <c r="CB239" t="n">
        <v>13</v>
      </c>
      <c r="CG239" t="n">
        <v>0</v>
      </c>
      <c r="CI239" t="n">
        <v>1</v>
      </c>
      <c r="CL239" t="n">
        <v>2</v>
      </c>
      <c r="CR239" t="n">
        <v>1</v>
      </c>
      <c r="CT239" t="n">
        <v>0</v>
      </c>
      <c r="CU239" t="n">
        <v>0</v>
      </c>
      <c r="CW239" t="n">
        <v>2</v>
      </c>
      <c r="DB239" t="n">
        <v>1</v>
      </c>
      <c r="DC239" t="n">
        <v>1</v>
      </c>
      <c r="DG239" t="n">
        <v>1</v>
      </c>
      <c r="EJ239" t="n">
        <v>0</v>
      </c>
      <c r="EN239" t="n">
        <v>3</v>
      </c>
      <c r="EP239" t="n">
        <v>0</v>
      </c>
      <c r="FC239" t="n">
        <v>5</v>
      </c>
      <c r="GP239" t="n">
        <v>2</v>
      </c>
      <c r="GR239" t="n">
        <v>43</v>
      </c>
      <c r="GS239" t="n">
        <v>1</v>
      </c>
      <c r="GT239" t="n">
        <v>12</v>
      </c>
      <c r="GX239" t="n">
        <v>2</v>
      </c>
      <c r="HH239" t="n">
        <v>5</v>
      </c>
      <c r="HR239" t="n">
        <v>1</v>
      </c>
      <c r="IB239" t="n">
        <v>646</v>
      </c>
      <c r="IC239" t="n">
        <v>10</v>
      </c>
      <c r="IE239" t="n">
        <v>3</v>
      </c>
      <c r="IM239" t="n">
        <v>2</v>
      </c>
      <c r="IO239" t="n">
        <v>9</v>
      </c>
      <c r="IP239" t="n">
        <v>92</v>
      </c>
      <c r="IQ239" t="n">
        <v>20</v>
      </c>
      <c r="IR239" t="n">
        <v>76</v>
      </c>
      <c r="IT239" t="n">
        <v>0</v>
      </c>
      <c r="IW239" t="n">
        <v>85</v>
      </c>
      <c r="JK239" t="n">
        <v>1287</v>
      </c>
      <c r="JL239" t="n">
        <v>2087</v>
      </c>
      <c r="JM239" t="n">
        <v>1305</v>
      </c>
      <c r="JN239" t="n">
        <v>524</v>
      </c>
      <c r="JO239" t="n">
        <v>1482</v>
      </c>
      <c r="JP239" t="n">
        <v>3309</v>
      </c>
      <c r="JQ239" t="n">
        <v>888</v>
      </c>
      <c r="JR239" t="n">
        <v>162</v>
      </c>
      <c r="JS239" t="n">
        <v>1784</v>
      </c>
      <c r="JT239" t="n">
        <v>535</v>
      </c>
      <c r="JV239" t="n">
        <v>295</v>
      </c>
      <c r="JW239" t="n">
        <v>216</v>
      </c>
      <c r="JX239" t="n">
        <v>236</v>
      </c>
      <c r="JY239" t="n">
        <v>30</v>
      </c>
      <c r="JZ239" t="n">
        <v>100</v>
      </c>
      <c r="KA239" t="n">
        <v>103</v>
      </c>
      <c r="KB239" t="n">
        <v>77</v>
      </c>
      <c r="KC239" t="n">
        <v>5725</v>
      </c>
      <c r="KD239" t="n">
        <v>235</v>
      </c>
      <c r="KE239" t="n">
        <v>9</v>
      </c>
      <c r="KF239" t="n">
        <v>13</v>
      </c>
      <c r="KH239" t="n">
        <v>265</v>
      </c>
      <c r="KI239" t="n">
        <v>114</v>
      </c>
      <c r="KJ239" t="n">
        <v>5</v>
      </c>
      <c r="KK239" t="n">
        <v>293</v>
      </c>
      <c r="KL239" t="n">
        <v>31</v>
      </c>
      <c r="KM239" t="n">
        <v>20</v>
      </c>
      <c r="KN239" t="n">
        <v>857</v>
      </c>
      <c r="KO239" t="n">
        <v>739</v>
      </c>
      <c r="KP239" t="n">
        <v>1182</v>
      </c>
      <c r="KQ239" t="n">
        <v>471</v>
      </c>
      <c r="KR239" t="n">
        <v>156</v>
      </c>
      <c r="KS239" t="n">
        <v>321</v>
      </c>
      <c r="KT239" t="n">
        <v>153</v>
      </c>
      <c r="KV239" t="n">
        <v>66</v>
      </c>
      <c r="KW239" t="n">
        <v>206</v>
      </c>
      <c r="KX239" t="n">
        <v>74</v>
      </c>
      <c r="KY239" t="n">
        <v>34</v>
      </c>
      <c r="KZ239" t="n">
        <v>313</v>
      </c>
      <c r="LA239" t="n">
        <v>3403</v>
      </c>
      <c r="LB239" t="n">
        <v>1</v>
      </c>
      <c r="LC239" t="n">
        <v>853</v>
      </c>
      <c r="LD239" t="n">
        <v>727</v>
      </c>
      <c r="LE239" t="n">
        <v>1080</v>
      </c>
      <c r="LF239" t="n">
        <v>190</v>
      </c>
      <c r="LG239" t="n">
        <v>1231</v>
      </c>
      <c r="LH239" t="n">
        <v>2245</v>
      </c>
      <c r="LI239" t="n">
        <v>611</v>
      </c>
      <c r="LM239" t="n">
        <v>208</v>
      </c>
      <c r="LN239" t="n">
        <v>28</v>
      </c>
      <c r="LO239" t="n">
        <v>44</v>
      </c>
      <c r="LP239" t="n">
        <v>31</v>
      </c>
      <c r="LQ239" t="n">
        <v>429</v>
      </c>
      <c r="LR239" t="n">
        <v>1025</v>
      </c>
      <c r="LS239" t="n">
        <v>190</v>
      </c>
      <c r="LT239" t="n">
        <v>155</v>
      </c>
      <c r="LU239" t="n">
        <v>92</v>
      </c>
      <c r="LV239" t="n">
        <v>256</v>
      </c>
      <c r="LW239" t="n">
        <v>586</v>
      </c>
      <c r="LX239" t="n">
        <v>1047</v>
      </c>
      <c r="LY239" t="n">
        <v>193</v>
      </c>
      <c r="LZ239" t="n">
        <v>175</v>
      </c>
      <c r="MA239" t="n">
        <v>2465</v>
      </c>
      <c r="MB239" t="n">
        <v>434</v>
      </c>
      <c r="MC239" t="n">
        <v>114</v>
      </c>
      <c r="MD239" t="n">
        <v>12</v>
      </c>
      <c r="ME239" t="n">
        <v>266</v>
      </c>
      <c r="MF239" t="n">
        <v>834</v>
      </c>
      <c r="MG239" t="n">
        <v>268</v>
      </c>
      <c r="MH239" t="n">
        <v>75</v>
      </c>
      <c r="MI239" t="n">
        <v>75</v>
      </c>
      <c r="MJ239" t="n">
        <v>15</v>
      </c>
      <c r="MK239" t="n">
        <v>905</v>
      </c>
      <c r="ML239" t="n">
        <v>391</v>
      </c>
      <c r="MM239" t="n">
        <v>33</v>
      </c>
      <c r="MN239" t="n">
        <v>1679</v>
      </c>
      <c r="MO239" t="n">
        <v>20</v>
      </c>
      <c r="MQ239" t="n">
        <v>127</v>
      </c>
      <c r="MR239" t="n">
        <v>787</v>
      </c>
      <c r="MS239" t="n">
        <v>946</v>
      </c>
      <c r="MT239" t="n">
        <v>326</v>
      </c>
      <c r="MU239" t="n">
        <v>122</v>
      </c>
      <c r="MV239" t="n">
        <v>226</v>
      </c>
      <c r="MW239" t="n">
        <v>40</v>
      </c>
      <c r="MX239" t="n">
        <v>143</v>
      </c>
      <c r="MY239" t="n">
        <v>82</v>
      </c>
      <c r="MZ239" t="n">
        <v>3150</v>
      </c>
      <c r="NA239" t="n">
        <v>117</v>
      </c>
      <c r="NB239" t="n">
        <v>28</v>
      </c>
      <c r="NC239" t="n">
        <v>1679</v>
      </c>
      <c r="ND239" t="n">
        <v>19</v>
      </c>
      <c r="NE239" t="n">
        <v>923</v>
      </c>
      <c r="NF239" t="n">
        <v>82</v>
      </c>
      <c r="NG239" t="n">
        <v>52</v>
      </c>
      <c r="NH239" t="n">
        <v>31</v>
      </c>
      <c r="NI239" t="n">
        <v>104</v>
      </c>
      <c r="NJ239" t="n">
        <v>651</v>
      </c>
      <c r="NK239" t="n">
        <v>11</v>
      </c>
      <c r="NL239" t="n">
        <v>114</v>
      </c>
      <c r="NM239" t="n">
        <v>119</v>
      </c>
      <c r="NN239" t="n">
        <v>1174</v>
      </c>
      <c r="NO239" t="n">
        <v>317</v>
      </c>
      <c r="NP239" t="n">
        <v>674</v>
      </c>
      <c r="NQ239" t="n">
        <v>67</v>
      </c>
      <c r="NR239" t="n">
        <v>110</v>
      </c>
      <c r="NS239" t="n">
        <v>4</v>
      </c>
      <c r="NT239" t="n">
        <v>11</v>
      </c>
      <c r="NV239" t="n">
        <v>185</v>
      </c>
      <c r="NW239" t="n">
        <v>0</v>
      </c>
      <c r="NX239" t="n">
        <v>27</v>
      </c>
      <c r="NY239" t="n">
        <v>384</v>
      </c>
      <c r="NZ239" t="n">
        <v>77</v>
      </c>
      <c r="OA239" t="n">
        <v>666</v>
      </c>
      <c r="OB239" t="n">
        <v>587</v>
      </c>
      <c r="OD239" t="n">
        <v>587</v>
      </c>
      <c r="OE239" t="n">
        <v>1793</v>
      </c>
      <c r="OF239" t="n">
        <v>21</v>
      </c>
      <c r="OH239" t="n">
        <v>2</v>
      </c>
      <c r="OI239" t="n">
        <v>4865</v>
      </c>
      <c r="OJ239" t="n">
        <v>1421</v>
      </c>
      <c r="OK239" t="n">
        <v>1798</v>
      </c>
      <c r="OL239" t="n">
        <v>0</v>
      </c>
      <c r="ON239" t="n">
        <v>514</v>
      </c>
      <c r="OO239" t="n">
        <v>74379</v>
      </c>
      <c r="OP239" t="n">
        <v>8499</v>
      </c>
      <c r="OU239" t="n">
        <v>331</v>
      </c>
      <c r="OV239" t="n">
        <v>2231</v>
      </c>
      <c r="PI239" t="n">
        <v>85440</v>
      </c>
      <c r="PM239">
        <f>IFERROR(VLOOKUP($A239&amp;"",Key!$A:$C,3,FALSE),"")</f>
        <v/>
      </c>
    </row>
    <row r="240">
      <c r="A240" t="n">
        <v>323120</v>
      </c>
      <c r="B240" t="inlineStr">
        <is>
          <t>Support activities for printing</t>
        </is>
      </c>
      <c r="IB240" t="n">
        <v>864</v>
      </c>
      <c r="IC240" t="n">
        <v>44</v>
      </c>
      <c r="JQ240" t="n">
        <v>0</v>
      </c>
      <c r="JX240" t="n">
        <v>0</v>
      </c>
      <c r="KN240" t="n">
        <v>84</v>
      </c>
      <c r="KO240" t="n">
        <v>42</v>
      </c>
      <c r="KP240" t="n">
        <v>1507</v>
      </c>
      <c r="KQ240" t="n">
        <v>46</v>
      </c>
      <c r="KV240" t="n">
        <v>176</v>
      </c>
      <c r="KW240" t="n">
        <v>21</v>
      </c>
      <c r="KX240" t="n">
        <v>47</v>
      </c>
      <c r="KY240" t="n">
        <v>3</v>
      </c>
      <c r="LA240" t="n">
        <v>161</v>
      </c>
      <c r="LB240" t="n">
        <v>13</v>
      </c>
      <c r="LT240" t="n">
        <v>6</v>
      </c>
      <c r="LV240" t="n">
        <v>1</v>
      </c>
      <c r="LW240" t="n">
        <v>87</v>
      </c>
      <c r="LY240" t="n">
        <v>4</v>
      </c>
      <c r="LZ240" t="n">
        <v>6</v>
      </c>
      <c r="MA240" t="n">
        <v>196</v>
      </c>
      <c r="MC240" t="n">
        <v>189</v>
      </c>
      <c r="ME240" t="n">
        <v>50</v>
      </c>
      <c r="MF240" t="n">
        <v>409</v>
      </c>
      <c r="MK240" t="n">
        <v>29</v>
      </c>
      <c r="MN240" t="n">
        <v>26</v>
      </c>
      <c r="MP240" t="n">
        <v>0</v>
      </c>
      <c r="MQ240" t="n">
        <v>3</v>
      </c>
      <c r="MR240" t="n">
        <v>1</v>
      </c>
      <c r="NC240" t="n">
        <v>14</v>
      </c>
      <c r="OB240" t="n">
        <v>15</v>
      </c>
      <c r="OD240" t="n">
        <v>0</v>
      </c>
      <c r="OE240" t="n">
        <v>12</v>
      </c>
      <c r="OF240" t="n">
        <v>35</v>
      </c>
      <c r="OI240" t="n">
        <v>445</v>
      </c>
      <c r="OJ240" t="n">
        <v>16</v>
      </c>
      <c r="OK240" t="n">
        <v>7</v>
      </c>
      <c r="OO240" t="n">
        <v>4562</v>
      </c>
      <c r="OU240" t="n">
        <v>-18</v>
      </c>
      <c r="OV240" t="n">
        <v>66</v>
      </c>
      <c r="PI240" t="n">
        <v>4610</v>
      </c>
      <c r="PM240">
        <f>IFERROR(VLOOKUP($A240&amp;"",Key!$A:$C,3,FALSE),"")</f>
        <v/>
      </c>
    </row>
    <row r="241">
      <c r="A241" t="n">
        <v>324110</v>
      </c>
      <c r="B241" t="inlineStr">
        <is>
          <t>Petroleum refineries</t>
        </is>
      </c>
      <c r="C241" t="n">
        <v>785</v>
      </c>
      <c r="D241" t="n">
        <v>3175</v>
      </c>
      <c r="E241" t="n">
        <v>561</v>
      </c>
      <c r="F241" t="n">
        <v>432</v>
      </c>
      <c r="G241" t="n">
        <v>1043</v>
      </c>
      <c r="H241" t="n">
        <v>1502</v>
      </c>
      <c r="I241" t="n">
        <v>1633</v>
      </c>
      <c r="J241" t="n">
        <v>1306</v>
      </c>
      <c r="K241" t="n">
        <v>910</v>
      </c>
      <c r="L241" t="n">
        <v>381</v>
      </c>
      <c r="M241" t="n">
        <v>53</v>
      </c>
      <c r="N241" t="n">
        <v>370</v>
      </c>
      <c r="O241" t="n">
        <v>80</v>
      </c>
      <c r="P241" t="n">
        <v>2555</v>
      </c>
      <c r="Q241" t="n">
        <v>1324</v>
      </c>
      <c r="R241" t="n">
        <v>570</v>
      </c>
      <c r="S241" t="n">
        <v>925</v>
      </c>
      <c r="T241" t="n">
        <v>685</v>
      </c>
      <c r="U241" t="n">
        <v>706</v>
      </c>
      <c r="V241" t="n">
        <v>410</v>
      </c>
      <c r="W241" t="n">
        <v>1802</v>
      </c>
      <c r="X241" t="n">
        <v>15249</v>
      </c>
      <c r="Y241" t="n">
        <v>4</v>
      </c>
      <c r="Z241" t="n">
        <v>404</v>
      </c>
      <c r="AA241" t="n">
        <v>646</v>
      </c>
      <c r="AB241" t="n">
        <v>1652</v>
      </c>
      <c r="AC241" t="n">
        <v>5756</v>
      </c>
      <c r="AD241" t="n">
        <v>1318</v>
      </c>
      <c r="AE241" t="n">
        <v>3296</v>
      </c>
      <c r="AF241" t="n">
        <v>1023</v>
      </c>
      <c r="AG241" t="n">
        <v>5019</v>
      </c>
      <c r="AH241" t="n">
        <v>1303</v>
      </c>
      <c r="AI241" t="n">
        <v>2199</v>
      </c>
      <c r="AJ241" t="n">
        <v>2228</v>
      </c>
      <c r="AK241" t="n">
        <v>3723</v>
      </c>
      <c r="AL241" t="n">
        <v>4071</v>
      </c>
      <c r="AM241" t="n">
        <v>177</v>
      </c>
      <c r="AN241" t="n">
        <v>460</v>
      </c>
      <c r="AO241" t="n">
        <v>69</v>
      </c>
      <c r="AP241" t="n">
        <v>172</v>
      </c>
      <c r="AQ241" t="n">
        <v>52</v>
      </c>
      <c r="AR241" t="n">
        <v>142</v>
      </c>
      <c r="AS241" t="n">
        <v>145</v>
      </c>
      <c r="AT241" t="n">
        <v>76</v>
      </c>
      <c r="AU241" t="n">
        <v>11</v>
      </c>
      <c r="AV241" t="n">
        <v>16</v>
      </c>
      <c r="AW241" t="n">
        <v>121</v>
      </c>
      <c r="AX241" t="n">
        <v>8</v>
      </c>
      <c r="AY241" t="n">
        <v>10</v>
      </c>
      <c r="AZ241" t="n">
        <v>22</v>
      </c>
      <c r="BA241" t="n">
        <v>26</v>
      </c>
      <c r="BB241" t="n">
        <v>15</v>
      </c>
      <c r="BC241" t="n">
        <v>185</v>
      </c>
      <c r="BD241" t="n">
        <v>28</v>
      </c>
      <c r="BE241" t="n">
        <v>8</v>
      </c>
      <c r="BF241" t="n">
        <v>11</v>
      </c>
      <c r="BG241" t="n">
        <v>24</v>
      </c>
      <c r="BH241" t="n">
        <v>8</v>
      </c>
      <c r="BI241" t="n">
        <v>9</v>
      </c>
      <c r="BJ241" t="n">
        <v>9</v>
      </c>
      <c r="BK241" t="n">
        <v>12</v>
      </c>
      <c r="BL241" t="n">
        <v>19</v>
      </c>
      <c r="BM241" t="n">
        <v>29</v>
      </c>
      <c r="BN241" t="n">
        <v>52</v>
      </c>
      <c r="BO241" t="n">
        <v>16</v>
      </c>
      <c r="BP241" t="n">
        <v>23</v>
      </c>
      <c r="BQ241" t="n">
        <v>54</v>
      </c>
      <c r="BR241" t="n">
        <v>44</v>
      </c>
      <c r="BS241" t="n">
        <v>6</v>
      </c>
      <c r="BT241" t="n">
        <v>12</v>
      </c>
      <c r="BU241" t="n">
        <v>14</v>
      </c>
      <c r="BV241" t="n">
        <v>11</v>
      </c>
      <c r="BW241" t="n">
        <v>16</v>
      </c>
      <c r="BX241" t="n">
        <v>126</v>
      </c>
      <c r="BY241" t="n">
        <v>52</v>
      </c>
      <c r="BZ241" t="n">
        <v>357</v>
      </c>
      <c r="CA241" t="n">
        <v>11</v>
      </c>
      <c r="CB241" t="n">
        <v>16</v>
      </c>
      <c r="CC241" t="n">
        <v>8</v>
      </c>
      <c r="CD241" t="n">
        <v>8</v>
      </c>
      <c r="CE241" t="n">
        <v>19</v>
      </c>
      <c r="CF241" t="n">
        <v>47</v>
      </c>
      <c r="CG241" t="n">
        <v>25</v>
      </c>
      <c r="CH241" t="n">
        <v>2</v>
      </c>
      <c r="CI241" t="n">
        <v>149</v>
      </c>
      <c r="CJ241" t="n">
        <v>22</v>
      </c>
      <c r="CK241" t="n">
        <v>3</v>
      </c>
      <c r="CL241" t="n">
        <v>37</v>
      </c>
      <c r="CM241" t="n">
        <v>6</v>
      </c>
      <c r="CN241" t="n">
        <v>0</v>
      </c>
      <c r="CO241" t="n">
        <v>276</v>
      </c>
      <c r="CP241" t="n">
        <v>8</v>
      </c>
      <c r="CQ241" t="n">
        <v>22</v>
      </c>
      <c r="CR241" t="n">
        <v>5</v>
      </c>
      <c r="CS241" t="n">
        <v>10</v>
      </c>
      <c r="CT241" t="n">
        <v>6</v>
      </c>
      <c r="CU241" t="n">
        <v>6</v>
      </c>
      <c r="CV241" t="n">
        <v>10</v>
      </c>
      <c r="CW241" t="n">
        <v>8</v>
      </c>
      <c r="CX241" t="n">
        <v>4</v>
      </c>
      <c r="CY241" t="n">
        <v>5</v>
      </c>
      <c r="CZ241" t="n">
        <v>21</v>
      </c>
      <c r="DA241" t="n">
        <v>6</v>
      </c>
      <c r="DB241" t="n">
        <v>11</v>
      </c>
      <c r="DC241" t="n">
        <v>22</v>
      </c>
      <c r="DD241" t="n">
        <v>2</v>
      </c>
      <c r="DE241" t="n">
        <v>5</v>
      </c>
      <c r="DF241" t="n">
        <v>2</v>
      </c>
      <c r="DG241" t="n">
        <v>50</v>
      </c>
      <c r="DH241" t="n">
        <v>8</v>
      </c>
      <c r="DI241" t="n">
        <v>0</v>
      </c>
      <c r="DJ241" t="n">
        <v>0</v>
      </c>
      <c r="DK241" t="n">
        <v>6</v>
      </c>
      <c r="DL241" t="n">
        <v>0</v>
      </c>
      <c r="DM241" t="n">
        <v>1</v>
      </c>
      <c r="DN241" t="n">
        <v>0</v>
      </c>
      <c r="DO241" t="n">
        <v>48</v>
      </c>
      <c r="DP241" t="n">
        <v>1</v>
      </c>
      <c r="DQ241" t="n">
        <v>1</v>
      </c>
      <c r="DR241" t="n">
        <v>7</v>
      </c>
      <c r="DS241" t="n">
        <v>20</v>
      </c>
      <c r="DT241" t="n">
        <v>0</v>
      </c>
      <c r="DU241" t="n">
        <v>1</v>
      </c>
      <c r="DV241" t="n">
        <v>0</v>
      </c>
      <c r="DW241" t="n">
        <v>0</v>
      </c>
      <c r="DX241" t="n">
        <v>5</v>
      </c>
      <c r="DY241" t="n">
        <v>0</v>
      </c>
      <c r="DZ241" t="n">
        <v>3</v>
      </c>
      <c r="EA241" t="n">
        <v>0</v>
      </c>
      <c r="EB241" t="n">
        <v>0</v>
      </c>
      <c r="EC241" t="n">
        <v>1</v>
      </c>
      <c r="ED241" t="n">
        <v>6</v>
      </c>
      <c r="EE241" t="n">
        <v>0</v>
      </c>
      <c r="EF241" t="n">
        <v>2</v>
      </c>
      <c r="EG241" t="n">
        <v>7</v>
      </c>
      <c r="EH241" t="n">
        <v>5</v>
      </c>
      <c r="EI241" t="n">
        <v>6</v>
      </c>
      <c r="EJ241" t="n">
        <v>1</v>
      </c>
      <c r="EK241" t="n">
        <v>20</v>
      </c>
      <c r="EL241" t="n">
        <v>0</v>
      </c>
      <c r="EM241" t="n">
        <v>4</v>
      </c>
      <c r="EN241" t="n">
        <v>4</v>
      </c>
      <c r="EO241" t="n">
        <v>6</v>
      </c>
      <c r="EP241" t="n">
        <v>3</v>
      </c>
      <c r="EQ241" t="n">
        <v>1</v>
      </c>
      <c r="ER241" t="n">
        <v>40</v>
      </c>
      <c r="ES241" t="n">
        <v>8</v>
      </c>
      <c r="ET241" t="n">
        <v>14</v>
      </c>
      <c r="EU241" t="n">
        <v>5</v>
      </c>
      <c r="EV241" t="n">
        <v>0</v>
      </c>
      <c r="EW241" t="n">
        <v>7</v>
      </c>
      <c r="EX241" t="n">
        <v>28</v>
      </c>
      <c r="EY241" t="n">
        <v>9</v>
      </c>
      <c r="EZ241" t="n">
        <v>23</v>
      </c>
      <c r="FA241" t="n">
        <v>25</v>
      </c>
      <c r="FB241" t="n">
        <v>33</v>
      </c>
      <c r="FC241" t="n">
        <v>35</v>
      </c>
      <c r="FD241" t="n">
        <v>17</v>
      </c>
      <c r="FE241" t="n">
        <v>24</v>
      </c>
      <c r="FF241" t="n">
        <v>53</v>
      </c>
      <c r="FG241" t="n">
        <v>51</v>
      </c>
      <c r="FH241" t="n">
        <v>14</v>
      </c>
      <c r="FI241" t="n">
        <v>17</v>
      </c>
      <c r="FJ241" t="n">
        <v>19</v>
      </c>
      <c r="FK241" t="n">
        <v>21</v>
      </c>
      <c r="FL241" t="n">
        <v>9</v>
      </c>
      <c r="FM241" t="n">
        <v>1</v>
      </c>
      <c r="FN241" t="n">
        <v>3</v>
      </c>
      <c r="FO241" t="n">
        <v>2</v>
      </c>
      <c r="FP241" t="n">
        <v>39</v>
      </c>
      <c r="FQ241" t="n">
        <v>7</v>
      </c>
      <c r="FR241" t="n">
        <v>4</v>
      </c>
      <c r="FS241" t="n">
        <v>9</v>
      </c>
      <c r="FT241" t="n">
        <v>5</v>
      </c>
      <c r="FU241" t="n">
        <v>14</v>
      </c>
      <c r="FV241" t="n">
        <v>33</v>
      </c>
      <c r="FW241" t="n">
        <v>9</v>
      </c>
      <c r="FX241" t="n">
        <v>16</v>
      </c>
      <c r="FY241" t="n">
        <v>14</v>
      </c>
      <c r="FZ241" t="n">
        <v>2</v>
      </c>
      <c r="GA241" t="n">
        <v>0</v>
      </c>
      <c r="GB241" t="n">
        <v>5</v>
      </c>
      <c r="GC241" t="n">
        <v>4</v>
      </c>
      <c r="GD241" t="n">
        <v>16</v>
      </c>
      <c r="GE241" t="n">
        <v>1</v>
      </c>
      <c r="GF241" t="n">
        <v>2</v>
      </c>
      <c r="GG241" t="n">
        <v>22</v>
      </c>
      <c r="GH241" t="n">
        <v>42</v>
      </c>
      <c r="GI241" t="n">
        <v>19</v>
      </c>
      <c r="GJ241" t="n">
        <v>26</v>
      </c>
      <c r="GK241" t="n">
        <v>13</v>
      </c>
      <c r="GL241" t="n">
        <v>36</v>
      </c>
      <c r="GM241" t="n">
        <v>3</v>
      </c>
      <c r="GN241" t="n">
        <v>17</v>
      </c>
      <c r="GO241" t="n">
        <v>39</v>
      </c>
      <c r="GP241" t="n">
        <v>96</v>
      </c>
      <c r="GQ241" t="n">
        <v>37</v>
      </c>
      <c r="GR241" t="n">
        <v>55</v>
      </c>
      <c r="GS241" t="n">
        <v>31</v>
      </c>
      <c r="GT241" t="n">
        <v>33</v>
      </c>
      <c r="GU241" t="n">
        <v>42</v>
      </c>
      <c r="GV241" t="n">
        <v>4</v>
      </c>
      <c r="GW241" t="n">
        <v>34</v>
      </c>
      <c r="GX241" t="n">
        <v>87</v>
      </c>
      <c r="GY241" t="n">
        <v>30</v>
      </c>
      <c r="GZ241" t="n">
        <v>97</v>
      </c>
      <c r="HA241" t="n">
        <v>30</v>
      </c>
      <c r="HB241" t="n">
        <v>46</v>
      </c>
      <c r="HC241" t="n">
        <v>7</v>
      </c>
      <c r="HD241" t="n">
        <v>8</v>
      </c>
      <c r="HE241" t="n">
        <v>15</v>
      </c>
      <c r="HF241" t="n">
        <v>24</v>
      </c>
      <c r="HG241" t="n">
        <v>45</v>
      </c>
      <c r="HH241" t="n">
        <v>40</v>
      </c>
      <c r="HI241" t="n">
        <v>10</v>
      </c>
      <c r="HJ241" t="n">
        <v>14</v>
      </c>
      <c r="HK241" t="n">
        <v>62</v>
      </c>
      <c r="HL241" t="n">
        <v>6</v>
      </c>
      <c r="HM241" t="n">
        <v>24</v>
      </c>
      <c r="HN241" t="n">
        <v>21</v>
      </c>
      <c r="HO241" t="n">
        <v>15</v>
      </c>
      <c r="HP241" t="n">
        <v>5</v>
      </c>
      <c r="HQ241" t="n">
        <v>12</v>
      </c>
      <c r="HR241" t="n">
        <v>0</v>
      </c>
      <c r="HS241" t="n">
        <v>2</v>
      </c>
      <c r="HT241" t="n">
        <v>96</v>
      </c>
      <c r="HU241" t="n">
        <v>595</v>
      </c>
      <c r="HV241" t="n">
        <v>493</v>
      </c>
      <c r="HW241" t="n">
        <v>528</v>
      </c>
      <c r="HX241" t="n">
        <v>58</v>
      </c>
      <c r="HY241" t="n">
        <v>4</v>
      </c>
      <c r="HZ241" t="n">
        <v>18</v>
      </c>
      <c r="IA241" t="n">
        <v>15</v>
      </c>
      <c r="IB241" t="n">
        <v>668</v>
      </c>
      <c r="IC241" t="n">
        <v>6</v>
      </c>
      <c r="ID241" t="n">
        <v>7614</v>
      </c>
      <c r="IE241" t="n">
        <v>5042</v>
      </c>
      <c r="IF241" t="n">
        <v>1741</v>
      </c>
      <c r="IG241" t="n">
        <v>2709</v>
      </c>
      <c r="IH241" t="n">
        <v>1526</v>
      </c>
      <c r="II241" t="n">
        <v>752</v>
      </c>
      <c r="IJ241" t="n">
        <v>88</v>
      </c>
      <c r="IK241" t="n">
        <v>909</v>
      </c>
      <c r="IL241" t="n">
        <v>3210</v>
      </c>
      <c r="IM241" t="n">
        <v>2400</v>
      </c>
      <c r="IN241" t="n">
        <v>298</v>
      </c>
      <c r="IO241" t="n">
        <v>56</v>
      </c>
      <c r="IP241" t="n">
        <v>150</v>
      </c>
      <c r="IQ241" t="n">
        <v>19</v>
      </c>
      <c r="IR241" t="n">
        <v>96</v>
      </c>
      <c r="IS241" t="n">
        <v>421</v>
      </c>
      <c r="IT241" t="n">
        <v>650</v>
      </c>
      <c r="IU241" t="n">
        <v>187</v>
      </c>
      <c r="IV241" t="n">
        <v>517</v>
      </c>
      <c r="IW241" t="n">
        <v>452</v>
      </c>
      <c r="IX241" t="n">
        <v>321</v>
      </c>
      <c r="IY241" t="n">
        <v>58</v>
      </c>
      <c r="IZ241" t="n">
        <v>555</v>
      </c>
      <c r="JA241" t="n">
        <v>64</v>
      </c>
      <c r="JB241" t="n">
        <v>29</v>
      </c>
      <c r="JC241" t="n">
        <v>14</v>
      </c>
      <c r="JD241" t="n">
        <v>40</v>
      </c>
      <c r="JE241" t="n">
        <v>99</v>
      </c>
      <c r="JF241" t="n">
        <v>11</v>
      </c>
      <c r="JG241" t="n">
        <v>125</v>
      </c>
      <c r="JH241" t="n">
        <v>56</v>
      </c>
      <c r="JI241" t="n">
        <v>12</v>
      </c>
      <c r="JJ241" t="n">
        <v>31</v>
      </c>
      <c r="JK241" t="n">
        <v>670</v>
      </c>
      <c r="JL241" t="n">
        <v>241</v>
      </c>
      <c r="JM241" t="n">
        <v>1400</v>
      </c>
      <c r="JN241" t="n">
        <v>324</v>
      </c>
      <c r="JO241" t="n">
        <v>1078</v>
      </c>
      <c r="JP241" t="n">
        <v>106</v>
      </c>
      <c r="JQ241" t="n">
        <v>735</v>
      </c>
      <c r="JR241" t="n">
        <v>267</v>
      </c>
      <c r="JS241" t="n">
        <v>1213</v>
      </c>
      <c r="JT241" t="n">
        <v>126</v>
      </c>
      <c r="JV241" t="n">
        <v>1099</v>
      </c>
      <c r="JW241" t="n">
        <v>455</v>
      </c>
      <c r="JX241" t="n">
        <v>292</v>
      </c>
      <c r="JY241" t="n">
        <v>700</v>
      </c>
      <c r="JZ241" t="n">
        <v>102</v>
      </c>
      <c r="KA241" t="n">
        <v>315</v>
      </c>
      <c r="KB241" t="n">
        <v>68</v>
      </c>
      <c r="KC241" t="n">
        <v>288</v>
      </c>
      <c r="KD241" t="n">
        <v>276</v>
      </c>
      <c r="KE241" t="n">
        <v>27730</v>
      </c>
      <c r="KF241" t="n">
        <v>6584</v>
      </c>
      <c r="KG241" t="n">
        <v>6864</v>
      </c>
      <c r="KH241" t="n">
        <v>35622</v>
      </c>
      <c r="KI241" t="n">
        <v>3744</v>
      </c>
      <c r="KJ241" t="n">
        <v>115</v>
      </c>
      <c r="KK241" t="n">
        <v>2293</v>
      </c>
      <c r="KL241" t="n">
        <v>9565</v>
      </c>
      <c r="KM241" t="n">
        <v>6424</v>
      </c>
      <c r="KN241" t="n">
        <v>33</v>
      </c>
      <c r="KO241" t="n">
        <v>31</v>
      </c>
      <c r="KP241" t="n">
        <v>42</v>
      </c>
      <c r="KQ241" t="n">
        <v>11</v>
      </c>
      <c r="KR241" t="n">
        <v>144</v>
      </c>
      <c r="KS241" t="n">
        <v>75</v>
      </c>
      <c r="KT241" t="n">
        <v>13</v>
      </c>
      <c r="KU241" t="n">
        <v>13</v>
      </c>
      <c r="KV241" t="n">
        <v>46</v>
      </c>
      <c r="KW241" t="n">
        <v>139</v>
      </c>
      <c r="KX241" t="n">
        <v>196</v>
      </c>
      <c r="KY241" t="n">
        <v>81</v>
      </c>
      <c r="KZ241" t="n">
        <v>632</v>
      </c>
      <c r="LA241" t="n">
        <v>96</v>
      </c>
      <c r="LB241" t="n">
        <v>1</v>
      </c>
      <c r="LC241" t="n">
        <v>5003</v>
      </c>
      <c r="LD241" t="n">
        <v>4249</v>
      </c>
      <c r="LE241" t="n">
        <v>3379</v>
      </c>
      <c r="LF241" t="n">
        <v>591</v>
      </c>
      <c r="LI241" t="n">
        <v>35</v>
      </c>
      <c r="LJ241" t="n">
        <v>1619</v>
      </c>
      <c r="LK241" t="n">
        <v>41</v>
      </c>
      <c r="LL241" t="n">
        <v>34</v>
      </c>
      <c r="LM241" t="n">
        <v>6361</v>
      </c>
      <c r="LN241" t="n">
        <v>858</v>
      </c>
      <c r="LO241" t="n">
        <v>681</v>
      </c>
      <c r="LP241" t="n">
        <v>347</v>
      </c>
      <c r="LQ241" t="n">
        <v>242</v>
      </c>
      <c r="LR241" t="n">
        <v>69</v>
      </c>
      <c r="LS241" t="n">
        <v>159</v>
      </c>
      <c r="LT241" t="n">
        <v>1341</v>
      </c>
      <c r="LU241" t="n">
        <v>295</v>
      </c>
      <c r="LV241" t="n">
        <v>108</v>
      </c>
      <c r="LW241" t="n">
        <v>835</v>
      </c>
      <c r="LX241" t="n">
        <v>71</v>
      </c>
      <c r="LY241" t="n">
        <v>19</v>
      </c>
      <c r="LZ241" t="n">
        <v>349</v>
      </c>
      <c r="MA241" t="n">
        <v>40</v>
      </c>
      <c r="MB241" t="n">
        <v>22</v>
      </c>
      <c r="MC241" t="n">
        <v>13</v>
      </c>
      <c r="MD241" t="n">
        <v>50</v>
      </c>
      <c r="ME241" t="n">
        <v>84</v>
      </c>
      <c r="MF241" t="n">
        <v>1122</v>
      </c>
      <c r="MG241" t="n">
        <v>122</v>
      </c>
      <c r="MH241" t="n">
        <v>3425</v>
      </c>
      <c r="MI241" t="n">
        <v>105</v>
      </c>
      <c r="MJ241" t="n">
        <v>330</v>
      </c>
      <c r="MK241" t="n">
        <v>209</v>
      </c>
      <c r="ML241" t="n">
        <v>66</v>
      </c>
      <c r="MM241" t="n">
        <v>242</v>
      </c>
      <c r="MN241" t="n">
        <v>180</v>
      </c>
      <c r="MO241" t="n">
        <v>1846</v>
      </c>
      <c r="MP241" t="n">
        <v>14</v>
      </c>
      <c r="MQ241" t="n">
        <v>367</v>
      </c>
      <c r="MR241" t="n">
        <v>997</v>
      </c>
      <c r="MS241" t="n">
        <v>153</v>
      </c>
      <c r="MT241" t="n">
        <v>12</v>
      </c>
      <c r="MU241" t="n">
        <v>24</v>
      </c>
      <c r="MV241" t="n">
        <v>119</v>
      </c>
      <c r="MW241" t="n">
        <v>6</v>
      </c>
      <c r="MX241" t="n">
        <v>46</v>
      </c>
      <c r="MY241" t="n">
        <v>136</v>
      </c>
      <c r="MZ241" t="n">
        <v>1449</v>
      </c>
      <c r="NA241" t="n">
        <v>635</v>
      </c>
      <c r="NB241" t="n">
        <v>109</v>
      </c>
      <c r="NC241" t="n">
        <v>211</v>
      </c>
      <c r="ND241" t="n">
        <v>164</v>
      </c>
      <c r="NE241" t="n">
        <v>86</v>
      </c>
      <c r="NF241" t="n">
        <v>42</v>
      </c>
      <c r="NG241" t="n">
        <v>38</v>
      </c>
      <c r="NH241" t="n">
        <v>16</v>
      </c>
      <c r="NI241" t="n">
        <v>81</v>
      </c>
      <c r="NJ241" t="n">
        <v>63</v>
      </c>
      <c r="NK241" t="n">
        <v>93</v>
      </c>
      <c r="NL241" t="n">
        <v>330</v>
      </c>
      <c r="NM241" t="n">
        <v>487</v>
      </c>
      <c r="NN241" t="n">
        <v>1004</v>
      </c>
      <c r="NO241" t="n">
        <v>1772</v>
      </c>
      <c r="NP241" t="n">
        <v>1954</v>
      </c>
      <c r="NQ241" t="n">
        <v>119</v>
      </c>
      <c r="NR241" t="n">
        <v>502</v>
      </c>
      <c r="NS241" t="n">
        <v>22</v>
      </c>
      <c r="NT241" t="n">
        <v>151</v>
      </c>
      <c r="NU241" t="n">
        <v>49</v>
      </c>
      <c r="NV241" t="n">
        <v>175</v>
      </c>
      <c r="NW241" t="n">
        <v>13</v>
      </c>
      <c r="NX241" t="n">
        <v>328</v>
      </c>
      <c r="NY241" t="n">
        <v>142</v>
      </c>
      <c r="NZ241" t="n">
        <v>429</v>
      </c>
      <c r="OA241" t="n">
        <v>151</v>
      </c>
      <c r="OB241" t="n">
        <v>604</v>
      </c>
      <c r="OD241" t="n">
        <v>11609</v>
      </c>
      <c r="OE241" t="n">
        <v>1652</v>
      </c>
      <c r="OF241" t="n">
        <v>395</v>
      </c>
      <c r="OG241" t="n">
        <v>1534</v>
      </c>
      <c r="OH241" t="n">
        <v>165</v>
      </c>
      <c r="OI241" t="n">
        <v>33027</v>
      </c>
      <c r="OJ241" t="n">
        <v>3006</v>
      </c>
      <c r="OK241" t="n">
        <v>37661</v>
      </c>
      <c r="OL241" t="n">
        <v>17586</v>
      </c>
      <c r="OM241" t="n">
        <v>568</v>
      </c>
      <c r="ON241" t="n">
        <v>7800</v>
      </c>
      <c r="OO241" t="n">
        <v>380158</v>
      </c>
      <c r="OP241" t="n">
        <v>311032</v>
      </c>
      <c r="OU241" t="n">
        <v>-7387</v>
      </c>
      <c r="OV241" t="n">
        <v>97680</v>
      </c>
      <c r="PI241" t="n">
        <v>781483</v>
      </c>
      <c r="PM241">
        <f>IFERROR(VLOOKUP($A241&amp;"",Key!$A:$C,3,FALSE),"")</f>
        <v/>
      </c>
    </row>
    <row r="242">
      <c r="A242" t="n">
        <v>324121</v>
      </c>
      <c r="B242" t="inlineStr">
        <is>
          <t>Asphalt paving mixture and block manufacturing</t>
        </is>
      </c>
      <c r="R242" t="n">
        <v>1</v>
      </c>
      <c r="V242" t="n">
        <v>12</v>
      </c>
      <c r="W242" t="n">
        <v>20</v>
      </c>
      <c r="AA242" t="n">
        <v>7</v>
      </c>
      <c r="AB242" t="n">
        <v>8</v>
      </c>
      <c r="AC242" t="n">
        <v>2222</v>
      </c>
      <c r="AD242" t="n">
        <v>640</v>
      </c>
      <c r="AE242" t="n">
        <v>299</v>
      </c>
      <c r="AF242" t="n">
        <v>122</v>
      </c>
      <c r="AG242" t="n">
        <v>4491</v>
      </c>
      <c r="AH242" t="n">
        <v>45</v>
      </c>
      <c r="AI242" t="n">
        <v>237</v>
      </c>
      <c r="AJ242" t="n">
        <v>69</v>
      </c>
      <c r="AK242" t="n">
        <v>2043</v>
      </c>
      <c r="AL242" t="n">
        <v>1031</v>
      </c>
      <c r="CZ242" t="n">
        <v>18</v>
      </c>
      <c r="FA242" t="n">
        <v>41</v>
      </c>
      <c r="FC242" t="n">
        <v>37</v>
      </c>
      <c r="IE242" t="n">
        <v>217</v>
      </c>
      <c r="JG242" t="n">
        <v>68</v>
      </c>
      <c r="JK242" t="n">
        <v>0</v>
      </c>
      <c r="JL242" t="n">
        <v>1</v>
      </c>
      <c r="JM242" t="n">
        <v>0</v>
      </c>
      <c r="JN242" t="n">
        <v>0</v>
      </c>
      <c r="JR242" t="n">
        <v>0</v>
      </c>
      <c r="JT242" t="n">
        <v>0</v>
      </c>
      <c r="KB242" t="n">
        <v>4</v>
      </c>
      <c r="KD242" t="n">
        <v>1</v>
      </c>
      <c r="KW242" t="n">
        <v>1</v>
      </c>
      <c r="KX242" t="n">
        <v>6</v>
      </c>
      <c r="KZ242" t="n">
        <v>6</v>
      </c>
      <c r="LK242" t="n">
        <v>2</v>
      </c>
      <c r="LL242" t="n">
        <v>0</v>
      </c>
      <c r="LO242" t="n">
        <v>18</v>
      </c>
      <c r="LW242" t="n">
        <v>8</v>
      </c>
      <c r="LZ242" t="n">
        <v>4</v>
      </c>
      <c r="MF242" t="n">
        <v>2</v>
      </c>
      <c r="MQ242" t="n">
        <v>1</v>
      </c>
      <c r="MS242" t="n">
        <v>62</v>
      </c>
      <c r="MY242" t="n">
        <v>1</v>
      </c>
      <c r="MZ242" t="n">
        <v>42</v>
      </c>
      <c r="NC242" t="n">
        <v>2</v>
      </c>
      <c r="ND242" t="n">
        <v>1</v>
      </c>
      <c r="NM242" t="n">
        <v>7</v>
      </c>
      <c r="NN242" t="n">
        <v>3</v>
      </c>
      <c r="NO242" t="n">
        <v>144</v>
      </c>
      <c r="NZ242" t="n">
        <v>12</v>
      </c>
      <c r="OB242" t="n">
        <v>8</v>
      </c>
      <c r="OK242" t="n">
        <v>4222</v>
      </c>
      <c r="OL242" t="n">
        <v>24</v>
      </c>
      <c r="ON242" t="n">
        <v>540</v>
      </c>
      <c r="OO242" t="n">
        <v>16748</v>
      </c>
      <c r="OU242" t="n">
        <v>-106</v>
      </c>
      <c r="OV242" t="n">
        <v>150</v>
      </c>
      <c r="PI242" t="n">
        <v>16792</v>
      </c>
      <c r="PM242">
        <f>IFERROR(VLOOKUP($A242&amp;"",Key!$A:$C,3,FALSE),"")</f>
        <v/>
      </c>
    </row>
    <row r="243">
      <c r="A243" t="n">
        <v>324122</v>
      </c>
      <c r="B243" t="inlineStr">
        <is>
          <t>Asphalt shingle and coating materials manufacturing</t>
        </is>
      </c>
      <c r="Z243" t="n">
        <v>0</v>
      </c>
      <c r="AA243" t="n">
        <v>4</v>
      </c>
      <c r="AB243" t="n">
        <v>14</v>
      </c>
      <c r="AC243" t="n">
        <v>2879</v>
      </c>
      <c r="AD243" t="n">
        <v>622</v>
      </c>
      <c r="AE243" t="n">
        <v>849</v>
      </c>
      <c r="AF243" t="n">
        <v>166</v>
      </c>
      <c r="AG243" t="n">
        <v>1671</v>
      </c>
      <c r="AH243" t="n">
        <v>180</v>
      </c>
      <c r="AI243" t="n">
        <v>172</v>
      </c>
      <c r="AJ243" t="n">
        <v>98</v>
      </c>
      <c r="AK243" t="n">
        <v>440</v>
      </c>
      <c r="AL243" t="n">
        <v>3714</v>
      </c>
      <c r="AP243" t="n">
        <v>1</v>
      </c>
      <c r="IE243" t="n">
        <v>1</v>
      </c>
      <c r="IF243" t="n">
        <v>462</v>
      </c>
      <c r="JK243" t="n">
        <v>0</v>
      </c>
      <c r="JL243" t="n">
        <v>3</v>
      </c>
      <c r="JM243" t="n">
        <v>0</v>
      </c>
      <c r="JN243" t="n">
        <v>0</v>
      </c>
      <c r="JR243" t="n">
        <v>0</v>
      </c>
      <c r="JT243" t="n">
        <v>0</v>
      </c>
      <c r="JY243" t="n">
        <v>0</v>
      </c>
      <c r="KC243" t="n">
        <v>0</v>
      </c>
      <c r="KD243" t="n">
        <v>0</v>
      </c>
      <c r="KO243" t="n">
        <v>0</v>
      </c>
      <c r="KP243" t="n">
        <v>0</v>
      </c>
      <c r="KQ243" t="n">
        <v>0</v>
      </c>
      <c r="KR243" t="n">
        <v>0</v>
      </c>
      <c r="KW243" t="n">
        <v>22</v>
      </c>
      <c r="KX243" t="n">
        <v>144</v>
      </c>
      <c r="KY243" t="n">
        <v>5</v>
      </c>
      <c r="LK243" t="n">
        <v>6</v>
      </c>
      <c r="LW243" t="n">
        <v>5</v>
      </c>
      <c r="MF243" t="n">
        <v>1</v>
      </c>
      <c r="MH243" t="n">
        <v>94</v>
      </c>
      <c r="MO243" t="n">
        <v>155</v>
      </c>
      <c r="MQ243" t="n">
        <v>6</v>
      </c>
      <c r="MS243" t="n">
        <v>168</v>
      </c>
      <c r="NF243" t="n">
        <v>1</v>
      </c>
      <c r="NZ243" t="n">
        <v>9</v>
      </c>
      <c r="OB243" t="n">
        <v>28</v>
      </c>
      <c r="OE243" t="n">
        <v>0</v>
      </c>
      <c r="OK243" t="n">
        <v>360</v>
      </c>
      <c r="OM243" t="n">
        <v>20</v>
      </c>
      <c r="ON243" t="n">
        <v>110</v>
      </c>
      <c r="OO243" t="n">
        <v>12411</v>
      </c>
      <c r="OU243" t="n">
        <v>-140</v>
      </c>
      <c r="OV243" t="n">
        <v>397</v>
      </c>
      <c r="PI243" t="n">
        <v>12667</v>
      </c>
      <c r="PM243">
        <f>IFERROR(VLOOKUP($A243&amp;"",Key!$A:$C,3,FALSE),"")</f>
        <v/>
      </c>
    </row>
    <row r="244">
      <c r="A244" t="n">
        <v>324190</v>
      </c>
      <c r="B244" t="inlineStr">
        <is>
          <t>Other petroleum and coal products manufacturing</t>
        </is>
      </c>
      <c r="C244" t="n">
        <v>3</v>
      </c>
      <c r="J244" t="n">
        <v>60</v>
      </c>
      <c r="M244" t="n">
        <v>1</v>
      </c>
      <c r="N244" t="n">
        <v>79</v>
      </c>
      <c r="O244" t="n">
        <v>2</v>
      </c>
      <c r="P244" t="n">
        <v>809</v>
      </c>
      <c r="Q244" t="n">
        <v>206</v>
      </c>
      <c r="R244" t="n">
        <v>6</v>
      </c>
      <c r="S244" t="n">
        <v>28</v>
      </c>
      <c r="T244" t="n">
        <v>19</v>
      </c>
      <c r="U244" t="n">
        <v>16</v>
      </c>
      <c r="V244" t="n">
        <v>265</v>
      </c>
      <c r="W244" t="n">
        <v>534</v>
      </c>
      <c r="X244" t="n">
        <v>4</v>
      </c>
      <c r="Z244" t="n">
        <v>3</v>
      </c>
      <c r="AA244" t="n">
        <v>3</v>
      </c>
      <c r="AB244" t="n">
        <v>1</v>
      </c>
      <c r="AC244" t="n">
        <v>436</v>
      </c>
      <c r="AD244" t="n">
        <v>198</v>
      </c>
      <c r="AE244" t="n">
        <v>58</v>
      </c>
      <c r="AF244" t="n">
        <v>78</v>
      </c>
      <c r="AG244" t="n">
        <v>822</v>
      </c>
      <c r="AH244" t="n">
        <v>18</v>
      </c>
      <c r="AI244" t="n">
        <v>49</v>
      </c>
      <c r="AJ244" t="n">
        <v>299</v>
      </c>
      <c r="AK244" t="n">
        <v>490</v>
      </c>
      <c r="AL244" t="n">
        <v>156</v>
      </c>
      <c r="AM244" t="n">
        <v>44</v>
      </c>
      <c r="AO244" t="n">
        <v>15</v>
      </c>
      <c r="AP244" t="n">
        <v>220</v>
      </c>
      <c r="AQ244" t="n">
        <v>7</v>
      </c>
      <c r="AR244" t="n">
        <v>30</v>
      </c>
      <c r="AS244" t="n">
        <v>14</v>
      </c>
      <c r="AT244" t="n">
        <v>12</v>
      </c>
      <c r="AU244" t="n">
        <v>2</v>
      </c>
      <c r="AV244" t="n">
        <v>5</v>
      </c>
      <c r="AW244" t="n">
        <v>11</v>
      </c>
      <c r="AX244" t="n">
        <v>3</v>
      </c>
      <c r="AY244" t="n">
        <v>3</v>
      </c>
      <c r="AZ244" t="n">
        <v>2</v>
      </c>
      <c r="BA244" t="n">
        <v>7</v>
      </c>
      <c r="BB244" t="n">
        <v>5</v>
      </c>
      <c r="BC244" t="n">
        <v>795</v>
      </c>
      <c r="BD244" t="n">
        <v>89</v>
      </c>
      <c r="BE244" t="n">
        <v>26</v>
      </c>
      <c r="BF244" t="n">
        <v>36</v>
      </c>
      <c r="BG244" t="n">
        <v>82</v>
      </c>
      <c r="BH244" t="n">
        <v>26</v>
      </c>
      <c r="BI244" t="n">
        <v>16</v>
      </c>
      <c r="BJ244" t="n">
        <v>26</v>
      </c>
      <c r="BK244" t="n">
        <v>37</v>
      </c>
      <c r="BL244" t="n">
        <v>43</v>
      </c>
      <c r="BN244" t="n">
        <v>2</v>
      </c>
      <c r="BO244" t="n">
        <v>11</v>
      </c>
      <c r="BP244" t="n">
        <v>7</v>
      </c>
      <c r="BQ244" t="n">
        <v>6</v>
      </c>
      <c r="BR244" t="n">
        <v>83</v>
      </c>
      <c r="BS244" t="n">
        <v>5</v>
      </c>
      <c r="BT244" t="n">
        <v>4</v>
      </c>
      <c r="BU244" t="n">
        <v>5</v>
      </c>
      <c r="BV244" t="n">
        <v>27</v>
      </c>
      <c r="BW244" t="n">
        <v>3</v>
      </c>
      <c r="BX244" t="n">
        <v>13</v>
      </c>
      <c r="BY244" t="n">
        <v>28</v>
      </c>
      <c r="BZ244" t="n">
        <v>11</v>
      </c>
      <c r="CA244" t="n">
        <v>8</v>
      </c>
      <c r="CB244" t="n">
        <v>45</v>
      </c>
      <c r="CC244" t="n">
        <v>0</v>
      </c>
      <c r="CE244" t="n">
        <v>3</v>
      </c>
      <c r="CF244" t="n">
        <v>16</v>
      </c>
      <c r="CI244" t="n">
        <v>0</v>
      </c>
      <c r="CK244" t="n">
        <v>2</v>
      </c>
      <c r="CL244" t="n">
        <v>2</v>
      </c>
      <c r="CM244" t="n">
        <v>8</v>
      </c>
      <c r="CN244" t="n">
        <v>0</v>
      </c>
      <c r="CO244" t="n">
        <v>9</v>
      </c>
      <c r="CP244" t="n">
        <v>8</v>
      </c>
      <c r="CQ244" t="n">
        <v>16</v>
      </c>
      <c r="CR244" t="n">
        <v>4</v>
      </c>
      <c r="CS244" t="n">
        <v>0</v>
      </c>
      <c r="CT244" t="n">
        <v>0</v>
      </c>
      <c r="CZ244" t="n">
        <v>16</v>
      </c>
      <c r="DA244" t="n">
        <v>8</v>
      </c>
      <c r="DB244" t="n">
        <v>16</v>
      </c>
      <c r="DG244" t="n">
        <v>17</v>
      </c>
      <c r="DH244" t="n">
        <v>138</v>
      </c>
      <c r="DI244" t="n">
        <v>2</v>
      </c>
      <c r="DK244" t="n">
        <v>1</v>
      </c>
      <c r="DL244" t="n">
        <v>1</v>
      </c>
      <c r="DM244" t="n">
        <v>10</v>
      </c>
      <c r="DN244" t="n">
        <v>8</v>
      </c>
      <c r="DO244" t="n">
        <v>2</v>
      </c>
      <c r="DP244" t="n">
        <v>11</v>
      </c>
      <c r="DQ244" t="n">
        <v>15</v>
      </c>
      <c r="DS244" t="n">
        <v>9</v>
      </c>
      <c r="DT244" t="n">
        <v>0</v>
      </c>
      <c r="DU244" t="n">
        <v>3</v>
      </c>
      <c r="DV244" t="n">
        <v>6</v>
      </c>
      <c r="DW244" t="n">
        <v>12</v>
      </c>
      <c r="DX244" t="n">
        <v>21</v>
      </c>
      <c r="DZ244" t="n">
        <v>29</v>
      </c>
      <c r="EA244" t="n">
        <v>0</v>
      </c>
      <c r="EB244" t="n">
        <v>0</v>
      </c>
      <c r="EC244" t="n">
        <v>1</v>
      </c>
      <c r="ED244" t="n">
        <v>56</v>
      </c>
      <c r="EE244" t="n">
        <v>21</v>
      </c>
      <c r="EF244" t="n">
        <v>22</v>
      </c>
      <c r="EG244" t="n">
        <v>38</v>
      </c>
      <c r="EH244" t="n">
        <v>11</v>
      </c>
      <c r="EI244" t="n">
        <v>10</v>
      </c>
      <c r="EJ244" t="n">
        <v>1</v>
      </c>
      <c r="EK244" t="n">
        <v>5</v>
      </c>
      <c r="EL244" t="n">
        <v>1</v>
      </c>
      <c r="EO244" t="n">
        <v>455</v>
      </c>
      <c r="EP244" t="n">
        <v>5</v>
      </c>
      <c r="EQ244" t="n">
        <v>1</v>
      </c>
      <c r="ER244" t="n">
        <v>11</v>
      </c>
      <c r="ES244" t="n">
        <v>8</v>
      </c>
      <c r="ET244" t="n">
        <v>9</v>
      </c>
      <c r="EX244" t="n">
        <v>15</v>
      </c>
      <c r="EY244" t="n">
        <v>38</v>
      </c>
      <c r="EZ244" t="n">
        <v>47</v>
      </c>
      <c r="FA244" t="n">
        <v>24</v>
      </c>
      <c r="FB244" t="n">
        <v>24</v>
      </c>
      <c r="FC244" t="n">
        <v>79</v>
      </c>
      <c r="FD244" t="n">
        <v>3</v>
      </c>
      <c r="FE244" t="n">
        <v>22</v>
      </c>
      <c r="FF244" t="n">
        <v>2</v>
      </c>
      <c r="FG244" t="n">
        <v>36</v>
      </c>
      <c r="FK244" t="n">
        <v>0</v>
      </c>
      <c r="FP244" t="n">
        <v>33</v>
      </c>
      <c r="FQ244" t="n">
        <v>5</v>
      </c>
      <c r="FR244" t="n">
        <v>7</v>
      </c>
      <c r="FS244" t="n">
        <v>8</v>
      </c>
      <c r="FT244" t="n">
        <v>57</v>
      </c>
      <c r="FU244" t="n">
        <v>26</v>
      </c>
      <c r="FV244" t="n">
        <v>60</v>
      </c>
      <c r="FW244" t="n">
        <v>20</v>
      </c>
      <c r="FX244" t="n">
        <v>131</v>
      </c>
      <c r="FY244" t="n">
        <v>100</v>
      </c>
      <c r="FZ244" t="n">
        <v>116</v>
      </c>
      <c r="GA244" t="n">
        <v>2</v>
      </c>
      <c r="GC244" t="n">
        <v>1</v>
      </c>
      <c r="GD244" t="n">
        <v>36</v>
      </c>
      <c r="GE244" t="n">
        <v>11</v>
      </c>
      <c r="GF244" t="n">
        <v>7</v>
      </c>
      <c r="GG244" t="n">
        <v>152</v>
      </c>
      <c r="GH244" t="n">
        <v>270</v>
      </c>
      <c r="GI244" t="n">
        <v>20</v>
      </c>
      <c r="GJ244" t="n">
        <v>5</v>
      </c>
      <c r="GL244" t="n">
        <v>0</v>
      </c>
      <c r="GM244" t="n">
        <v>4</v>
      </c>
      <c r="GN244" t="n">
        <v>6</v>
      </c>
      <c r="GO244" t="n">
        <v>77</v>
      </c>
      <c r="GP244" t="n">
        <v>263</v>
      </c>
      <c r="GQ244" t="n">
        <v>60</v>
      </c>
      <c r="GR244" t="n">
        <v>66</v>
      </c>
      <c r="GS244" t="n">
        <v>64</v>
      </c>
      <c r="GT244" t="n">
        <v>171</v>
      </c>
      <c r="GU244" t="n">
        <v>119</v>
      </c>
      <c r="GV244" t="n">
        <v>145</v>
      </c>
      <c r="GW244" t="n">
        <v>3</v>
      </c>
      <c r="GX244" t="n">
        <v>1</v>
      </c>
      <c r="GY244" t="n">
        <v>4</v>
      </c>
      <c r="GZ244" t="n">
        <v>141</v>
      </c>
      <c r="HA244" t="n">
        <v>93</v>
      </c>
      <c r="HB244" t="n">
        <v>245</v>
      </c>
      <c r="HD244" t="n">
        <v>44</v>
      </c>
      <c r="HE244" t="n">
        <v>42</v>
      </c>
      <c r="HF244" t="n">
        <v>32</v>
      </c>
      <c r="HG244" t="n">
        <v>363</v>
      </c>
      <c r="HH244" t="n">
        <v>58</v>
      </c>
      <c r="HI244" t="n">
        <v>4</v>
      </c>
      <c r="HJ244" t="n">
        <v>11</v>
      </c>
      <c r="HK244" t="n">
        <v>85</v>
      </c>
      <c r="HL244" t="n">
        <v>1</v>
      </c>
      <c r="HM244" t="n">
        <v>1</v>
      </c>
      <c r="HN244" t="n">
        <v>3</v>
      </c>
      <c r="HQ244" t="n">
        <v>0</v>
      </c>
      <c r="HS244" t="n">
        <v>2</v>
      </c>
      <c r="HT244" t="n">
        <v>1</v>
      </c>
      <c r="HU244" t="n">
        <v>12</v>
      </c>
      <c r="HV244" t="n">
        <v>37</v>
      </c>
      <c r="HW244" t="n">
        <v>2</v>
      </c>
      <c r="IB244" t="n">
        <v>2</v>
      </c>
      <c r="ID244" t="n">
        <v>1870</v>
      </c>
      <c r="IE244" t="n">
        <v>77</v>
      </c>
      <c r="IG244" t="n">
        <v>25</v>
      </c>
      <c r="IH244" t="n">
        <v>22</v>
      </c>
      <c r="II244" t="n">
        <v>11</v>
      </c>
      <c r="IJ244" t="n">
        <v>144</v>
      </c>
      <c r="IK244" t="n">
        <v>467</v>
      </c>
      <c r="IL244" t="n">
        <v>608</v>
      </c>
      <c r="IM244" t="n">
        <v>53</v>
      </c>
      <c r="IN244" t="n">
        <v>14</v>
      </c>
      <c r="IP244" t="n">
        <v>0</v>
      </c>
      <c r="IT244" t="n">
        <v>5</v>
      </c>
      <c r="IV244" t="n">
        <v>61</v>
      </c>
      <c r="IW244" t="n">
        <v>114</v>
      </c>
      <c r="IX244" t="n">
        <v>50</v>
      </c>
      <c r="IZ244" t="n">
        <v>63</v>
      </c>
      <c r="JA244" t="n">
        <v>98</v>
      </c>
      <c r="JB244" t="n">
        <v>22</v>
      </c>
      <c r="JC244" t="n">
        <v>6</v>
      </c>
      <c r="JD244" t="n">
        <v>15</v>
      </c>
      <c r="JE244" t="n">
        <v>7</v>
      </c>
      <c r="JF244" t="n">
        <v>54</v>
      </c>
      <c r="JG244" t="n">
        <v>74</v>
      </c>
      <c r="JH244" t="n">
        <v>8</v>
      </c>
      <c r="JI244" t="n">
        <v>12</v>
      </c>
      <c r="JJ244" t="n">
        <v>24</v>
      </c>
      <c r="JK244" t="n">
        <v>23</v>
      </c>
      <c r="JL244" t="n">
        <v>14</v>
      </c>
      <c r="JM244" t="n">
        <v>44</v>
      </c>
      <c r="JN244" t="n">
        <v>8</v>
      </c>
      <c r="JO244" t="n">
        <v>80</v>
      </c>
      <c r="JQ244" t="n">
        <v>16</v>
      </c>
      <c r="JR244" t="n">
        <v>0</v>
      </c>
      <c r="JS244" t="n">
        <v>36</v>
      </c>
      <c r="JT244" t="n">
        <v>5</v>
      </c>
      <c r="JV244" t="n">
        <v>257</v>
      </c>
      <c r="JW244" t="n">
        <v>196</v>
      </c>
      <c r="JX244" t="n">
        <v>101</v>
      </c>
      <c r="JY244" t="n">
        <v>43</v>
      </c>
      <c r="JZ244" t="n">
        <v>24</v>
      </c>
      <c r="KA244" t="n">
        <v>140</v>
      </c>
      <c r="KB244" t="n">
        <v>46</v>
      </c>
      <c r="KC244" t="n">
        <v>314</v>
      </c>
      <c r="KD244" t="n">
        <v>63</v>
      </c>
      <c r="KE244" t="n">
        <v>6</v>
      </c>
      <c r="KF244" t="n">
        <v>49</v>
      </c>
      <c r="KH244" t="n">
        <v>152</v>
      </c>
      <c r="KI244" t="n">
        <v>0</v>
      </c>
      <c r="KK244" t="n">
        <v>45</v>
      </c>
      <c r="KN244" t="n">
        <v>3</v>
      </c>
      <c r="KQ244" t="n">
        <v>2</v>
      </c>
      <c r="KR244" t="n">
        <v>4</v>
      </c>
      <c r="KS244" t="n">
        <v>3</v>
      </c>
      <c r="KW244" t="n">
        <v>5</v>
      </c>
      <c r="KX244" t="n">
        <v>19</v>
      </c>
      <c r="KZ244" t="n">
        <v>6</v>
      </c>
      <c r="LC244" t="n">
        <v>15</v>
      </c>
      <c r="LD244" t="n">
        <v>23</v>
      </c>
      <c r="LH244" t="n">
        <v>8</v>
      </c>
      <c r="LK244" t="n">
        <v>1</v>
      </c>
      <c r="LM244" t="n">
        <v>2031</v>
      </c>
      <c r="LN244" t="n">
        <v>287</v>
      </c>
      <c r="LO244" t="n">
        <v>18</v>
      </c>
      <c r="LP244" t="n">
        <v>11</v>
      </c>
      <c r="LS244" t="n">
        <v>3</v>
      </c>
      <c r="LT244" t="n">
        <v>14</v>
      </c>
      <c r="LU244" t="n">
        <v>3</v>
      </c>
      <c r="LW244" t="n">
        <v>521</v>
      </c>
      <c r="LX244" t="n">
        <v>7</v>
      </c>
      <c r="LZ244" t="n">
        <v>219</v>
      </c>
      <c r="MA244" t="n">
        <v>2</v>
      </c>
      <c r="MB244" t="n">
        <v>1</v>
      </c>
      <c r="MD244" t="n">
        <v>0</v>
      </c>
      <c r="ME244" t="n">
        <v>2</v>
      </c>
      <c r="MF244" t="n">
        <v>16</v>
      </c>
      <c r="MH244" t="n">
        <v>1528</v>
      </c>
      <c r="MI244" t="n">
        <v>4</v>
      </c>
      <c r="MJ244" t="n">
        <v>2</v>
      </c>
      <c r="MK244" t="n">
        <v>32</v>
      </c>
      <c r="MM244" t="n">
        <v>6</v>
      </c>
      <c r="MN244" t="n">
        <v>47</v>
      </c>
      <c r="MO244" t="n">
        <v>11</v>
      </c>
      <c r="MP244" t="n">
        <v>24</v>
      </c>
      <c r="MQ244" t="n">
        <v>2</v>
      </c>
      <c r="MR244" t="n">
        <v>48</v>
      </c>
      <c r="MS244" t="n">
        <v>218</v>
      </c>
      <c r="MT244" t="n">
        <v>3</v>
      </c>
      <c r="MW244" t="n">
        <v>10</v>
      </c>
      <c r="MX244" t="n">
        <v>7</v>
      </c>
      <c r="MY244" t="n">
        <v>5</v>
      </c>
      <c r="MZ244" t="n">
        <v>115</v>
      </c>
      <c r="NA244" t="n">
        <v>181</v>
      </c>
      <c r="NB244" t="n">
        <v>20</v>
      </c>
      <c r="NC244" t="n">
        <v>119</v>
      </c>
      <c r="ND244" t="n">
        <v>71</v>
      </c>
      <c r="NE244" t="n">
        <v>8</v>
      </c>
      <c r="NK244" t="n">
        <v>1</v>
      </c>
      <c r="NL244" t="n">
        <v>4</v>
      </c>
      <c r="NM244" t="n">
        <v>21</v>
      </c>
      <c r="NN244" t="n">
        <v>207</v>
      </c>
      <c r="NO244" t="n">
        <v>124</v>
      </c>
      <c r="NP244" t="n">
        <v>313</v>
      </c>
      <c r="NQ244" t="n">
        <v>37</v>
      </c>
      <c r="NR244" t="n">
        <v>468</v>
      </c>
      <c r="NS244" t="n">
        <v>1</v>
      </c>
      <c r="NT244" t="n">
        <v>12</v>
      </c>
      <c r="NU244" t="n">
        <v>27</v>
      </c>
      <c r="NV244" t="n">
        <v>3</v>
      </c>
      <c r="NX244" t="n">
        <v>3</v>
      </c>
      <c r="NY244" t="n">
        <v>25</v>
      </c>
      <c r="NZ244" t="n">
        <v>15</v>
      </c>
      <c r="OA244" t="n">
        <v>7</v>
      </c>
      <c r="OB244" t="n">
        <v>38</v>
      </c>
      <c r="OD244" t="n">
        <v>37</v>
      </c>
      <c r="OI244" t="n">
        <v>255</v>
      </c>
      <c r="OJ244" t="n">
        <v>385</v>
      </c>
      <c r="OK244" t="n">
        <v>290</v>
      </c>
      <c r="OL244" t="n">
        <v>13</v>
      </c>
      <c r="ON244" t="n">
        <v>423</v>
      </c>
      <c r="OO244" t="n">
        <v>24992</v>
      </c>
      <c r="OP244" t="n">
        <v>13152</v>
      </c>
      <c r="OU244" t="n">
        <v>-41</v>
      </c>
      <c r="OV244" t="n">
        <v>1683</v>
      </c>
      <c r="PI244" t="n">
        <v>39786</v>
      </c>
      <c r="PM244">
        <f>IFERROR(VLOOKUP($A244&amp;"",Key!$A:$C,3,FALSE),"")</f>
        <v/>
      </c>
    </row>
    <row r="245">
      <c r="A245" t="n">
        <v>325110</v>
      </c>
      <c r="B245" t="inlineStr">
        <is>
          <t>Petrochemical manufacturing</t>
        </is>
      </c>
      <c r="P245" t="n">
        <v>970</v>
      </c>
      <c r="Q245" t="n">
        <v>9</v>
      </c>
      <c r="R245" t="n">
        <v>6</v>
      </c>
      <c r="S245" t="n">
        <v>39</v>
      </c>
      <c r="V245" t="n">
        <v>5</v>
      </c>
      <c r="W245" t="n">
        <v>78</v>
      </c>
      <c r="X245" t="n">
        <v>280</v>
      </c>
      <c r="Y245" t="n">
        <v>3</v>
      </c>
      <c r="Z245" t="n">
        <v>0</v>
      </c>
      <c r="AC245" t="n">
        <v>1</v>
      </c>
      <c r="AK245" t="n">
        <v>7</v>
      </c>
      <c r="AL245" t="n">
        <v>52</v>
      </c>
      <c r="AQ245" t="n">
        <v>3</v>
      </c>
      <c r="AR245" t="n">
        <v>3</v>
      </c>
      <c r="AT245" t="n">
        <v>1</v>
      </c>
      <c r="AX245" t="n">
        <v>6</v>
      </c>
      <c r="BA245" t="n">
        <v>5</v>
      </c>
      <c r="BB245" t="n">
        <v>5</v>
      </c>
      <c r="BC245" t="n">
        <v>3</v>
      </c>
      <c r="BD245" t="n">
        <v>3</v>
      </c>
      <c r="BE245" t="n">
        <v>0</v>
      </c>
      <c r="BI245" t="n">
        <v>4</v>
      </c>
      <c r="BJ245" t="n">
        <v>1</v>
      </c>
      <c r="BL245" t="n">
        <v>0</v>
      </c>
      <c r="BP245" t="n">
        <v>1</v>
      </c>
      <c r="BR245" t="n">
        <v>3</v>
      </c>
      <c r="BX245" t="n">
        <v>2</v>
      </c>
      <c r="BZ245" t="n">
        <v>10</v>
      </c>
      <c r="CE245" t="n">
        <v>0</v>
      </c>
      <c r="CG245" t="n">
        <v>2</v>
      </c>
      <c r="CN245" t="n">
        <v>4</v>
      </c>
      <c r="DG245" t="n">
        <v>5</v>
      </c>
      <c r="DO245" t="n">
        <v>1</v>
      </c>
      <c r="DP245" t="n">
        <v>0</v>
      </c>
      <c r="DQ245" t="n">
        <v>1</v>
      </c>
      <c r="EM245" t="n">
        <v>1</v>
      </c>
      <c r="ET245" t="n">
        <v>3</v>
      </c>
      <c r="EX245" t="n">
        <v>2</v>
      </c>
      <c r="EY245" t="n">
        <v>1</v>
      </c>
      <c r="EZ245" t="n">
        <v>6</v>
      </c>
      <c r="FB245" t="n">
        <v>1</v>
      </c>
      <c r="FC245" t="n">
        <v>3</v>
      </c>
      <c r="FD245" t="n">
        <v>6</v>
      </c>
      <c r="FI245" t="n">
        <v>4</v>
      </c>
      <c r="FK245" t="n">
        <v>7</v>
      </c>
      <c r="FN245" t="n">
        <v>0</v>
      </c>
      <c r="FZ245" t="n">
        <v>2</v>
      </c>
      <c r="GB245" t="n">
        <v>1</v>
      </c>
      <c r="GD245" t="n">
        <v>0</v>
      </c>
      <c r="GF245" t="n">
        <v>5</v>
      </c>
      <c r="GH245" t="n">
        <v>2</v>
      </c>
      <c r="HK245" t="n">
        <v>4</v>
      </c>
      <c r="HM245" t="n">
        <v>8</v>
      </c>
      <c r="HS245" t="n">
        <v>0</v>
      </c>
      <c r="HT245" t="n">
        <v>49</v>
      </c>
      <c r="HU245" t="n">
        <v>27</v>
      </c>
      <c r="HV245" t="n">
        <v>31</v>
      </c>
      <c r="HX245" t="n">
        <v>2</v>
      </c>
      <c r="ID245" t="n">
        <v>15575</v>
      </c>
      <c r="IG245" t="n">
        <v>2121</v>
      </c>
      <c r="IH245" t="n">
        <v>13106</v>
      </c>
      <c r="II245" t="n">
        <v>81</v>
      </c>
      <c r="IJ245" t="n">
        <v>12</v>
      </c>
      <c r="IK245" t="n">
        <v>555</v>
      </c>
      <c r="IL245" t="n">
        <v>19165</v>
      </c>
      <c r="IM245" t="n">
        <v>14043</v>
      </c>
      <c r="IN245" t="n">
        <v>2466</v>
      </c>
      <c r="IO245" t="n">
        <v>20</v>
      </c>
      <c r="IP245" t="n">
        <v>21</v>
      </c>
      <c r="IQ245" t="n">
        <v>83</v>
      </c>
      <c r="IR245" t="n">
        <v>41</v>
      </c>
      <c r="IT245" t="n">
        <v>31</v>
      </c>
      <c r="IU245" t="n">
        <v>563</v>
      </c>
      <c r="IV245" t="n">
        <v>183</v>
      </c>
      <c r="IW245" t="n">
        <v>71</v>
      </c>
      <c r="IX245" t="n">
        <v>56</v>
      </c>
      <c r="IY245" t="n">
        <v>1</v>
      </c>
      <c r="IZ245" t="n">
        <v>1903</v>
      </c>
      <c r="JA245" t="n">
        <v>76</v>
      </c>
      <c r="JB245" t="n">
        <v>49</v>
      </c>
      <c r="JC245" t="n">
        <v>9</v>
      </c>
      <c r="JD245" t="n">
        <v>6</v>
      </c>
      <c r="JE245" t="n">
        <v>36</v>
      </c>
      <c r="JF245" t="n">
        <v>3</v>
      </c>
      <c r="JG245" t="n">
        <v>462</v>
      </c>
      <c r="JH245" t="n">
        <v>10</v>
      </c>
      <c r="JI245" t="n">
        <v>1</v>
      </c>
      <c r="JJ245" t="n">
        <v>4</v>
      </c>
      <c r="JL245" t="n">
        <v>0</v>
      </c>
      <c r="KD245" t="n">
        <v>0</v>
      </c>
      <c r="KF245" t="n">
        <v>1</v>
      </c>
      <c r="KW245" t="n">
        <v>9</v>
      </c>
      <c r="KY245" t="n">
        <v>2</v>
      </c>
      <c r="LC245" t="n">
        <v>7</v>
      </c>
      <c r="LD245" t="n">
        <v>13</v>
      </c>
      <c r="LE245" t="n">
        <v>5</v>
      </c>
      <c r="LF245" t="n">
        <v>5</v>
      </c>
      <c r="LZ245" t="n">
        <v>27</v>
      </c>
      <c r="MH245" t="n">
        <v>3</v>
      </c>
      <c r="MK245" t="n">
        <v>14</v>
      </c>
      <c r="MM245" t="n">
        <v>2</v>
      </c>
      <c r="MN245" t="n">
        <v>12</v>
      </c>
      <c r="MO245" t="n">
        <v>40</v>
      </c>
      <c r="MP245" t="n">
        <v>3</v>
      </c>
      <c r="MQ245" t="n">
        <v>1</v>
      </c>
      <c r="MS245" t="n">
        <v>84</v>
      </c>
      <c r="MU245" t="n">
        <v>227</v>
      </c>
      <c r="MW245" t="n">
        <v>32</v>
      </c>
      <c r="MX245" t="n">
        <v>1</v>
      </c>
      <c r="MY245" t="n">
        <v>1</v>
      </c>
      <c r="MZ245" t="n">
        <v>29</v>
      </c>
      <c r="NA245" t="n">
        <v>56</v>
      </c>
      <c r="NB245" t="n">
        <v>2</v>
      </c>
      <c r="NT245" t="n">
        <v>15</v>
      </c>
      <c r="NU245" t="n">
        <v>8</v>
      </c>
      <c r="OB245" t="n">
        <v>14</v>
      </c>
      <c r="OE245" t="n">
        <v>36</v>
      </c>
      <c r="OI245" t="n">
        <v>1</v>
      </c>
      <c r="OJ245" t="n">
        <v>1483</v>
      </c>
      <c r="OK245" t="n">
        <v>251</v>
      </c>
      <c r="ON245" t="n">
        <v>5</v>
      </c>
      <c r="OO245" t="n">
        <v>74824</v>
      </c>
      <c r="OU245" t="n">
        <v>172</v>
      </c>
      <c r="OV245" t="n">
        <v>6380</v>
      </c>
      <c r="PI245" t="n">
        <v>81376</v>
      </c>
      <c r="PM245">
        <f>IFERROR(VLOOKUP($A245&amp;"",Key!$A:$C,3,FALSE),"")</f>
        <v/>
      </c>
    </row>
    <row r="246">
      <c r="A246" t="n">
        <v>325120</v>
      </c>
      <c r="B246" t="inlineStr">
        <is>
          <t>Industrial gas manufacturing</t>
        </is>
      </c>
      <c r="P246" t="n">
        <v>1094</v>
      </c>
      <c r="Q246" t="n">
        <v>25</v>
      </c>
      <c r="R246" t="n">
        <v>26</v>
      </c>
      <c r="S246" t="n">
        <v>123</v>
      </c>
      <c r="V246" t="n">
        <v>19</v>
      </c>
      <c r="W246" t="n">
        <v>315</v>
      </c>
      <c r="X246" t="n">
        <v>827</v>
      </c>
      <c r="Y246" t="n">
        <v>4</v>
      </c>
      <c r="Z246" t="n">
        <v>109</v>
      </c>
      <c r="AC246" t="n">
        <v>4</v>
      </c>
      <c r="AJ246" t="n">
        <v>34</v>
      </c>
      <c r="AQ246" t="n">
        <v>13</v>
      </c>
      <c r="AR246" t="n">
        <v>41</v>
      </c>
      <c r="AS246" t="n">
        <v>5</v>
      </c>
      <c r="AT246" t="n">
        <v>5</v>
      </c>
      <c r="AW246" t="n">
        <v>8</v>
      </c>
      <c r="AX246" t="n">
        <v>12</v>
      </c>
      <c r="BA246" t="n">
        <v>21</v>
      </c>
      <c r="BB246" t="n">
        <v>17</v>
      </c>
      <c r="BC246" t="n">
        <v>748</v>
      </c>
      <c r="BD246" t="n">
        <v>86</v>
      </c>
      <c r="BE246" t="n">
        <v>11</v>
      </c>
      <c r="BF246" t="n">
        <v>19</v>
      </c>
      <c r="BI246" t="n">
        <v>12</v>
      </c>
      <c r="BJ246" t="n">
        <v>2</v>
      </c>
      <c r="BK246" t="n">
        <v>1</v>
      </c>
      <c r="BL246" t="n">
        <v>3</v>
      </c>
      <c r="BQ246" t="n">
        <v>7</v>
      </c>
      <c r="BR246" t="n">
        <v>9</v>
      </c>
      <c r="BS246" t="n">
        <v>4</v>
      </c>
      <c r="BT246" t="n">
        <v>2</v>
      </c>
      <c r="BW246" t="n">
        <v>6</v>
      </c>
      <c r="BX246" t="n">
        <v>14</v>
      </c>
      <c r="BZ246" t="n">
        <v>139</v>
      </c>
      <c r="CB246" t="n">
        <v>1</v>
      </c>
      <c r="CG246" t="n">
        <v>4</v>
      </c>
      <c r="CI246" t="n">
        <v>4</v>
      </c>
      <c r="CJ246" t="n">
        <v>5</v>
      </c>
      <c r="CL246" t="n">
        <v>2</v>
      </c>
      <c r="CN246" t="n">
        <v>1</v>
      </c>
      <c r="CQ246" t="n">
        <v>3</v>
      </c>
      <c r="CR246" t="n">
        <v>10</v>
      </c>
      <c r="CT246" t="n">
        <v>1</v>
      </c>
      <c r="DB246" t="n">
        <v>2</v>
      </c>
      <c r="DC246" t="n">
        <v>4</v>
      </c>
      <c r="DG246" t="n">
        <v>15</v>
      </c>
      <c r="DO246" t="n">
        <v>88</v>
      </c>
      <c r="DP246" t="n">
        <v>1</v>
      </c>
      <c r="DQ246" t="n">
        <v>20</v>
      </c>
      <c r="EC246" t="n">
        <v>11</v>
      </c>
      <c r="EK246" t="n">
        <v>17</v>
      </c>
      <c r="EL246" t="n">
        <v>11</v>
      </c>
      <c r="EM246" t="n">
        <v>1</v>
      </c>
      <c r="ES246" t="n">
        <v>0</v>
      </c>
      <c r="EX246" t="n">
        <v>1</v>
      </c>
      <c r="EZ246" t="n">
        <v>1</v>
      </c>
      <c r="FB246" t="n">
        <v>2</v>
      </c>
      <c r="FC246" t="n">
        <v>10</v>
      </c>
      <c r="FD246" t="n">
        <v>9</v>
      </c>
      <c r="FG246" t="n">
        <v>88</v>
      </c>
      <c r="FI246" t="n">
        <v>1</v>
      </c>
      <c r="FJ246" t="n">
        <v>1</v>
      </c>
      <c r="FK246" t="n">
        <v>4</v>
      </c>
      <c r="FN246" t="n">
        <v>0</v>
      </c>
      <c r="FY246" t="n">
        <v>2</v>
      </c>
      <c r="FZ246" t="n">
        <v>4</v>
      </c>
      <c r="GB246" t="n">
        <v>4</v>
      </c>
      <c r="GD246" t="n">
        <v>9</v>
      </c>
      <c r="GF246" t="n">
        <v>9</v>
      </c>
      <c r="GH246" t="n">
        <v>3</v>
      </c>
      <c r="HK246" t="n">
        <v>14</v>
      </c>
      <c r="HT246" t="n">
        <v>12</v>
      </c>
      <c r="HU246" t="n">
        <v>18</v>
      </c>
      <c r="HV246" t="n">
        <v>21</v>
      </c>
      <c r="HX246" t="n">
        <v>2</v>
      </c>
      <c r="IH246" t="n">
        <v>33</v>
      </c>
      <c r="II246" t="n">
        <v>58</v>
      </c>
      <c r="IJ246" t="n">
        <v>27</v>
      </c>
      <c r="IK246" t="n">
        <v>292</v>
      </c>
      <c r="IL246" t="n">
        <v>396</v>
      </c>
      <c r="IM246" t="n">
        <v>43</v>
      </c>
      <c r="IN246" t="n">
        <v>16</v>
      </c>
      <c r="IO246" t="n">
        <v>2</v>
      </c>
      <c r="IP246" t="n">
        <v>5</v>
      </c>
      <c r="IQ246" t="n">
        <v>307</v>
      </c>
      <c r="IR246" t="n">
        <v>75</v>
      </c>
      <c r="IT246" t="n">
        <v>33</v>
      </c>
      <c r="IU246" t="n">
        <v>13</v>
      </c>
      <c r="IV246" t="n">
        <v>91</v>
      </c>
      <c r="IZ246" t="n">
        <v>196</v>
      </c>
      <c r="JA246" t="n">
        <v>36</v>
      </c>
      <c r="JB246" t="n">
        <v>36</v>
      </c>
      <c r="JC246" t="n">
        <v>22</v>
      </c>
      <c r="JD246" t="n">
        <v>14</v>
      </c>
      <c r="JE246" t="n">
        <v>70</v>
      </c>
      <c r="JG246" t="n">
        <v>49</v>
      </c>
      <c r="JH246" t="n">
        <v>13</v>
      </c>
      <c r="JJ246" t="n">
        <v>7</v>
      </c>
      <c r="JS246" t="n">
        <v>21</v>
      </c>
      <c r="KZ246" t="n">
        <v>1</v>
      </c>
      <c r="LB246" t="n">
        <v>0</v>
      </c>
      <c r="LT246" t="n">
        <v>70</v>
      </c>
      <c r="LW246" t="n">
        <v>79</v>
      </c>
      <c r="LX246" t="n">
        <v>1</v>
      </c>
      <c r="LZ246" t="n">
        <v>148</v>
      </c>
      <c r="MA246" t="n">
        <v>15</v>
      </c>
      <c r="MB246" t="n">
        <v>18</v>
      </c>
      <c r="ME246" t="n">
        <v>6</v>
      </c>
      <c r="MF246" t="n">
        <v>1</v>
      </c>
      <c r="MH246" t="n">
        <v>11</v>
      </c>
      <c r="MI246" t="n">
        <v>1</v>
      </c>
      <c r="MJ246" t="n">
        <v>73</v>
      </c>
      <c r="MK246" t="n">
        <v>24</v>
      </c>
      <c r="MM246" t="n">
        <v>5</v>
      </c>
      <c r="MN246" t="n">
        <v>6</v>
      </c>
      <c r="MO246" t="n">
        <v>139</v>
      </c>
      <c r="MP246" t="n">
        <v>5</v>
      </c>
      <c r="MS246" t="n">
        <v>435</v>
      </c>
      <c r="MT246" t="n">
        <v>48</v>
      </c>
      <c r="MU246" t="n">
        <v>475</v>
      </c>
      <c r="MV246" t="n">
        <v>6</v>
      </c>
      <c r="MW246" t="n">
        <v>88</v>
      </c>
      <c r="MX246" t="n">
        <v>79</v>
      </c>
      <c r="MY246" t="n">
        <v>111</v>
      </c>
      <c r="MZ246" t="n">
        <v>776</v>
      </c>
      <c r="NR246" t="n">
        <v>0</v>
      </c>
      <c r="NT246" t="n">
        <v>70</v>
      </c>
      <c r="NU246" t="n">
        <v>26</v>
      </c>
      <c r="NX246" t="n">
        <v>1</v>
      </c>
      <c r="OE246" t="n">
        <v>68</v>
      </c>
      <c r="OI246" t="n">
        <v>212</v>
      </c>
      <c r="OJ246" t="n">
        <v>2298</v>
      </c>
      <c r="OK246" t="n">
        <v>180</v>
      </c>
      <c r="ON246" t="n">
        <v>62</v>
      </c>
      <c r="OO246" t="n">
        <v>11574</v>
      </c>
      <c r="OP246" t="n">
        <v>1196</v>
      </c>
      <c r="OU246" t="n">
        <v>-262</v>
      </c>
      <c r="OV246" t="n">
        <v>569</v>
      </c>
      <c r="PI246" t="n">
        <v>13077</v>
      </c>
      <c r="PM246">
        <f>IFERROR(VLOOKUP($A246&amp;"",Key!$A:$C,3,FALSE),"")</f>
        <v/>
      </c>
    </row>
    <row r="247">
      <c r="A247" t="n">
        <v>325130</v>
      </c>
      <c r="B247" t="inlineStr">
        <is>
          <t>Synthetic dye and pigment manufacturing</t>
        </is>
      </c>
      <c r="AC247" t="n">
        <v>1</v>
      </c>
      <c r="AP247" t="n">
        <v>9</v>
      </c>
      <c r="AQ247" t="n">
        <v>8</v>
      </c>
      <c r="AR247" t="n">
        <v>22</v>
      </c>
      <c r="AS247" t="n">
        <v>1</v>
      </c>
      <c r="AT247" t="n">
        <v>6</v>
      </c>
      <c r="AW247" t="n">
        <v>0</v>
      </c>
      <c r="AX247" t="n">
        <v>6</v>
      </c>
      <c r="AY247" t="n">
        <v>8</v>
      </c>
      <c r="BA247" t="n">
        <v>11</v>
      </c>
      <c r="BB247" t="n">
        <v>7</v>
      </c>
      <c r="BL247" t="n">
        <v>0</v>
      </c>
      <c r="BU247" t="n">
        <v>0</v>
      </c>
      <c r="BX247" t="n">
        <v>2</v>
      </c>
      <c r="CI247" t="n">
        <v>12</v>
      </c>
      <c r="CK247" t="n">
        <v>7</v>
      </c>
      <c r="CL247" t="n">
        <v>26</v>
      </c>
      <c r="CO247" t="n">
        <v>0</v>
      </c>
      <c r="DG247" t="n">
        <v>7</v>
      </c>
      <c r="EC247" t="n">
        <v>0</v>
      </c>
      <c r="EK247" t="n">
        <v>69</v>
      </c>
      <c r="EL247" t="n">
        <v>7</v>
      </c>
      <c r="EX247" t="n">
        <v>1</v>
      </c>
      <c r="EY247" t="n">
        <v>1</v>
      </c>
      <c r="EZ247" t="n">
        <v>4</v>
      </c>
      <c r="FB247" t="n">
        <v>1</v>
      </c>
      <c r="FC247" t="n">
        <v>5</v>
      </c>
      <c r="FD247" t="n">
        <v>7</v>
      </c>
      <c r="FG247" t="n">
        <v>6</v>
      </c>
      <c r="FN247" t="n">
        <v>0</v>
      </c>
      <c r="FZ247" t="n">
        <v>3</v>
      </c>
      <c r="GB247" t="n">
        <v>3</v>
      </c>
      <c r="GD247" t="n">
        <v>5</v>
      </c>
      <c r="GF247" t="n">
        <v>57</v>
      </c>
      <c r="GH247" t="n">
        <v>29</v>
      </c>
      <c r="HK247" t="n">
        <v>7</v>
      </c>
      <c r="HL247" t="n">
        <v>4</v>
      </c>
      <c r="HM247" t="n">
        <v>75</v>
      </c>
      <c r="HN247" t="n">
        <v>242</v>
      </c>
      <c r="HO247" t="n">
        <v>203</v>
      </c>
      <c r="HQ247" t="n">
        <v>1</v>
      </c>
      <c r="HR247" t="n">
        <v>0</v>
      </c>
      <c r="HS247" t="n">
        <v>0</v>
      </c>
      <c r="HT247" t="n">
        <v>19</v>
      </c>
      <c r="HU247" t="n">
        <v>95</v>
      </c>
      <c r="HV247" t="n">
        <v>95</v>
      </c>
      <c r="HX247" t="n">
        <v>156</v>
      </c>
      <c r="IG247" t="n">
        <v>4</v>
      </c>
      <c r="IH247" t="n">
        <v>2</v>
      </c>
      <c r="IJ247" t="n">
        <v>6</v>
      </c>
      <c r="IK247" t="n">
        <v>3</v>
      </c>
      <c r="IL247" t="n">
        <v>184</v>
      </c>
      <c r="IM247" t="n">
        <v>41</v>
      </c>
      <c r="IN247" t="n">
        <v>130</v>
      </c>
      <c r="IP247" t="n">
        <v>0</v>
      </c>
      <c r="IT247" t="n">
        <v>9</v>
      </c>
      <c r="IU247" t="n">
        <v>1540</v>
      </c>
      <c r="IV247" t="n">
        <v>1</v>
      </c>
      <c r="IW247" t="n">
        <v>23</v>
      </c>
      <c r="IX247" t="n">
        <v>40</v>
      </c>
      <c r="IY247" t="n">
        <v>739</v>
      </c>
      <c r="IZ247" t="n">
        <v>344</v>
      </c>
      <c r="JA247" t="n">
        <v>79</v>
      </c>
      <c r="JB247" t="n">
        <v>75</v>
      </c>
      <c r="JC247" t="n">
        <v>7</v>
      </c>
      <c r="JD247" t="n">
        <v>6</v>
      </c>
      <c r="JE247" t="n">
        <v>3</v>
      </c>
      <c r="JF247" t="n">
        <v>43</v>
      </c>
      <c r="JG247" t="n">
        <v>504</v>
      </c>
      <c r="JH247" t="n">
        <v>55</v>
      </c>
      <c r="JI247" t="n">
        <v>4</v>
      </c>
      <c r="JJ247" t="n">
        <v>39</v>
      </c>
      <c r="KF247" t="n">
        <v>1</v>
      </c>
      <c r="LX247" t="n">
        <v>2</v>
      </c>
      <c r="LZ247" t="n">
        <v>53</v>
      </c>
      <c r="MB247" t="n">
        <v>18</v>
      </c>
      <c r="MF247" t="n">
        <v>6</v>
      </c>
      <c r="MI247" t="n">
        <v>32</v>
      </c>
      <c r="MJ247" t="n">
        <v>9</v>
      </c>
      <c r="MK247" t="n">
        <v>9</v>
      </c>
      <c r="MM247" t="n">
        <v>2</v>
      </c>
      <c r="MN247" t="n">
        <v>2</v>
      </c>
      <c r="MO247" t="n">
        <v>1</v>
      </c>
      <c r="MP247" t="n">
        <v>3</v>
      </c>
      <c r="MQ247" t="n">
        <v>1</v>
      </c>
      <c r="MR247" t="n">
        <v>1</v>
      </c>
      <c r="MS247" t="n">
        <v>115</v>
      </c>
      <c r="MT247" t="n">
        <v>7</v>
      </c>
      <c r="MU247" t="n">
        <v>159</v>
      </c>
      <c r="MV247" t="n">
        <v>9</v>
      </c>
      <c r="MW247" t="n">
        <v>57</v>
      </c>
      <c r="MX247" t="n">
        <v>75</v>
      </c>
      <c r="MY247" t="n">
        <v>80</v>
      </c>
      <c r="MZ247" t="n">
        <v>166</v>
      </c>
      <c r="NT247" t="n">
        <v>31</v>
      </c>
      <c r="NU247" t="n">
        <v>11</v>
      </c>
      <c r="NX247" t="n">
        <v>2</v>
      </c>
      <c r="OE247" t="n">
        <v>37</v>
      </c>
      <c r="OI247" t="n">
        <v>202</v>
      </c>
      <c r="OJ247" t="n">
        <v>1162</v>
      </c>
      <c r="OK247" t="n">
        <v>67</v>
      </c>
      <c r="ON247" t="n">
        <v>21</v>
      </c>
      <c r="OO247" t="n">
        <v>7451</v>
      </c>
      <c r="OU247" t="n">
        <v>79</v>
      </c>
      <c r="OV247" t="n">
        <v>3133</v>
      </c>
      <c r="PI247" t="n">
        <v>10662</v>
      </c>
      <c r="PM247">
        <f>IFERROR(VLOOKUP($A247&amp;"",Key!$A:$C,3,FALSE),"")</f>
        <v/>
      </c>
    </row>
    <row r="248">
      <c r="A248" t="n">
        <v>325180</v>
      </c>
      <c r="B248" t="inlineStr">
        <is>
          <t>Other basic inorganic chemical manufacturing</t>
        </is>
      </c>
      <c r="C248" t="n">
        <v>82</v>
      </c>
      <c r="D248" t="n">
        <v>168</v>
      </c>
      <c r="E248" t="n">
        <v>47</v>
      </c>
      <c r="F248" t="n">
        <v>30</v>
      </c>
      <c r="G248" t="n">
        <v>17</v>
      </c>
      <c r="H248" t="n">
        <v>38</v>
      </c>
      <c r="I248" t="n">
        <v>4</v>
      </c>
      <c r="J248" t="n">
        <v>1</v>
      </c>
      <c r="K248" t="n">
        <v>0</v>
      </c>
      <c r="L248" t="n">
        <v>2</v>
      </c>
      <c r="P248" t="n">
        <v>614</v>
      </c>
      <c r="Q248" t="n">
        <v>15</v>
      </c>
      <c r="R248" t="n">
        <v>7</v>
      </c>
      <c r="S248" t="n">
        <v>57</v>
      </c>
      <c r="U248" t="n">
        <v>114</v>
      </c>
      <c r="V248" t="n">
        <v>8</v>
      </c>
      <c r="W248" t="n">
        <v>121</v>
      </c>
      <c r="X248" t="n">
        <v>195</v>
      </c>
      <c r="Y248" t="n">
        <v>3</v>
      </c>
      <c r="Z248" t="n">
        <v>66</v>
      </c>
      <c r="AB248" t="n">
        <v>4</v>
      </c>
      <c r="AC248" t="n">
        <v>8</v>
      </c>
      <c r="AE248" t="n">
        <v>2</v>
      </c>
      <c r="AM248" t="n">
        <v>201</v>
      </c>
      <c r="AQ248" t="n">
        <v>16</v>
      </c>
      <c r="AR248" t="n">
        <v>991</v>
      </c>
      <c r="AS248" t="n">
        <v>6</v>
      </c>
      <c r="AT248" t="n">
        <v>157</v>
      </c>
      <c r="AW248" t="n">
        <v>10</v>
      </c>
      <c r="AX248" t="n">
        <v>47</v>
      </c>
      <c r="AY248" t="n">
        <v>87</v>
      </c>
      <c r="BA248" t="n">
        <v>51</v>
      </c>
      <c r="BB248" t="n">
        <v>18</v>
      </c>
      <c r="BC248" t="n">
        <v>88</v>
      </c>
      <c r="BD248" t="n">
        <v>76</v>
      </c>
      <c r="BE248" t="n">
        <v>1</v>
      </c>
      <c r="BF248" t="n">
        <v>97</v>
      </c>
      <c r="BI248" t="n">
        <v>11</v>
      </c>
      <c r="BJ248" t="n">
        <v>2</v>
      </c>
      <c r="BK248" t="n">
        <v>0</v>
      </c>
      <c r="BL248" t="n">
        <v>0</v>
      </c>
      <c r="BP248" t="n">
        <v>4</v>
      </c>
      <c r="BQ248" t="n">
        <v>5</v>
      </c>
      <c r="BR248" t="n">
        <v>16</v>
      </c>
      <c r="BS248" t="n">
        <v>3</v>
      </c>
      <c r="BT248" t="n">
        <v>1</v>
      </c>
      <c r="BU248" t="n">
        <v>2</v>
      </c>
      <c r="BW248" t="n">
        <v>1</v>
      </c>
      <c r="BX248" t="n">
        <v>2</v>
      </c>
      <c r="BZ248" t="n">
        <v>55</v>
      </c>
      <c r="CE248" t="n">
        <v>1</v>
      </c>
      <c r="CN248" t="n">
        <v>3</v>
      </c>
      <c r="DG248" t="n">
        <v>13</v>
      </c>
      <c r="DM248" t="n">
        <v>1</v>
      </c>
      <c r="DO248" t="n">
        <v>486</v>
      </c>
      <c r="DP248" t="n">
        <v>84</v>
      </c>
      <c r="DQ248" t="n">
        <v>132</v>
      </c>
      <c r="EC248" t="n">
        <v>4</v>
      </c>
      <c r="EK248" t="n">
        <v>145</v>
      </c>
      <c r="EL248" t="n">
        <v>10</v>
      </c>
      <c r="EM248" t="n">
        <v>11</v>
      </c>
      <c r="ES248" t="n">
        <v>1</v>
      </c>
      <c r="EX248" t="n">
        <v>5</v>
      </c>
      <c r="EY248" t="n">
        <v>3</v>
      </c>
      <c r="EZ248" t="n">
        <v>25</v>
      </c>
      <c r="FB248" t="n">
        <v>2</v>
      </c>
      <c r="FC248" t="n">
        <v>26</v>
      </c>
      <c r="FD248" t="n">
        <v>49</v>
      </c>
      <c r="FI248" t="n">
        <v>11</v>
      </c>
      <c r="FN248" t="n">
        <v>2</v>
      </c>
      <c r="FY248" t="n">
        <v>9</v>
      </c>
      <c r="FZ248" t="n">
        <v>10</v>
      </c>
      <c r="GB248" t="n">
        <v>14</v>
      </c>
      <c r="GD248" t="n">
        <v>9</v>
      </c>
      <c r="GF248" t="n">
        <v>31</v>
      </c>
      <c r="GI248" t="n">
        <v>38</v>
      </c>
      <c r="GJ248" t="n">
        <v>1295</v>
      </c>
      <c r="HK248" t="n">
        <v>12</v>
      </c>
      <c r="HM248" t="n">
        <v>109</v>
      </c>
      <c r="HS248" t="n">
        <v>0</v>
      </c>
      <c r="HT248" t="n">
        <v>522</v>
      </c>
      <c r="HU248" t="n">
        <v>1108</v>
      </c>
      <c r="HV248" t="n">
        <v>1087</v>
      </c>
      <c r="HX248" t="n">
        <v>234</v>
      </c>
      <c r="HY248" t="n">
        <v>3</v>
      </c>
      <c r="IA248" t="n">
        <v>15</v>
      </c>
      <c r="ID248" t="n">
        <v>1295</v>
      </c>
      <c r="IE248" t="n">
        <v>15</v>
      </c>
      <c r="IG248" t="n">
        <v>183</v>
      </c>
      <c r="IH248" t="n">
        <v>62</v>
      </c>
      <c r="II248" t="n">
        <v>203</v>
      </c>
      <c r="IJ248" t="n">
        <v>188</v>
      </c>
      <c r="IK248" t="n">
        <v>3060</v>
      </c>
      <c r="IL248" t="n">
        <v>1565</v>
      </c>
      <c r="IM248" t="n">
        <v>1529</v>
      </c>
      <c r="IN248" t="n">
        <v>249</v>
      </c>
      <c r="IO248" t="n">
        <v>1</v>
      </c>
      <c r="IP248" t="n">
        <v>3</v>
      </c>
      <c r="IQ248" t="n">
        <v>7</v>
      </c>
      <c r="IR248" t="n">
        <v>2</v>
      </c>
      <c r="IS248" t="n">
        <v>665</v>
      </c>
      <c r="IT248" t="n">
        <v>413</v>
      </c>
      <c r="IU248" t="n">
        <v>42</v>
      </c>
      <c r="IV248" t="n">
        <v>306</v>
      </c>
      <c r="IW248" t="n">
        <v>1223</v>
      </c>
      <c r="IX248" t="n">
        <v>24</v>
      </c>
      <c r="IY248" t="n">
        <v>151</v>
      </c>
      <c r="IZ248" t="n">
        <v>2586</v>
      </c>
      <c r="JA248" t="n">
        <v>289</v>
      </c>
      <c r="JB248" t="n">
        <v>140</v>
      </c>
      <c r="JC248" t="n">
        <v>128</v>
      </c>
      <c r="JD248" t="n">
        <v>301</v>
      </c>
      <c r="JE248" t="n">
        <v>1737</v>
      </c>
      <c r="JG248" t="n">
        <v>804</v>
      </c>
      <c r="JH248" t="n">
        <v>688</v>
      </c>
      <c r="JI248" t="n">
        <v>34</v>
      </c>
      <c r="JJ248" t="n">
        <v>380</v>
      </c>
      <c r="JS248" t="n">
        <v>115</v>
      </c>
      <c r="JT248" t="n">
        <v>2</v>
      </c>
      <c r="KF248" t="n">
        <v>2</v>
      </c>
      <c r="KH248" t="n">
        <v>3</v>
      </c>
      <c r="KW248" t="n">
        <v>2</v>
      </c>
      <c r="KX248" t="n">
        <v>5</v>
      </c>
      <c r="LK248" t="n">
        <v>456</v>
      </c>
      <c r="LL248" t="n">
        <v>8</v>
      </c>
      <c r="LM248" t="n">
        <v>140</v>
      </c>
      <c r="LX248" t="n">
        <v>10</v>
      </c>
      <c r="LZ248" t="n">
        <v>264</v>
      </c>
      <c r="MB248" t="n">
        <v>52</v>
      </c>
      <c r="MD248" t="n">
        <v>14</v>
      </c>
      <c r="ME248" t="n">
        <v>3</v>
      </c>
      <c r="MF248" t="n">
        <v>2</v>
      </c>
      <c r="MH248" t="n">
        <v>878</v>
      </c>
      <c r="MJ248" t="n">
        <v>50</v>
      </c>
      <c r="MK248" t="n">
        <v>19</v>
      </c>
      <c r="MM248" t="n">
        <v>2</v>
      </c>
      <c r="MN248" t="n">
        <v>8</v>
      </c>
      <c r="MO248" t="n">
        <v>65</v>
      </c>
      <c r="MP248" t="n">
        <v>16</v>
      </c>
      <c r="MQ248" t="n">
        <v>1</v>
      </c>
      <c r="MR248" t="n">
        <v>30</v>
      </c>
      <c r="MS248" t="n">
        <v>418</v>
      </c>
      <c r="MT248" t="n">
        <v>48</v>
      </c>
      <c r="MU248" t="n">
        <v>421</v>
      </c>
      <c r="MV248" t="n">
        <v>186</v>
      </c>
      <c r="MW248" t="n">
        <v>398</v>
      </c>
      <c r="MX248" t="n">
        <v>293</v>
      </c>
      <c r="MY248" t="n">
        <v>392</v>
      </c>
      <c r="MZ248" t="n">
        <v>290</v>
      </c>
      <c r="NA248" t="n">
        <v>10</v>
      </c>
      <c r="NB248" t="n">
        <v>2</v>
      </c>
      <c r="NT248" t="n">
        <v>22</v>
      </c>
      <c r="NU248" t="n">
        <v>12</v>
      </c>
      <c r="NW248" t="n">
        <v>0</v>
      </c>
      <c r="NX248" t="n">
        <v>4</v>
      </c>
      <c r="OD248" t="n">
        <v>624</v>
      </c>
      <c r="OE248" t="n">
        <v>194</v>
      </c>
      <c r="OI248" t="n">
        <v>476</v>
      </c>
      <c r="OJ248" t="n">
        <v>2761</v>
      </c>
      <c r="OK248" t="n">
        <v>845</v>
      </c>
      <c r="OM248" t="n">
        <v>1</v>
      </c>
      <c r="ON248" t="n">
        <v>142</v>
      </c>
      <c r="OO248" t="n">
        <v>37027</v>
      </c>
      <c r="OP248" t="n">
        <v>36</v>
      </c>
      <c r="OQ248" t="n">
        <v>1628</v>
      </c>
      <c r="OU248" t="n">
        <v>-94</v>
      </c>
      <c r="OV248" t="n">
        <v>13313</v>
      </c>
      <c r="PI248" t="n">
        <v>51909</v>
      </c>
      <c r="PM248">
        <f>IFERROR(VLOOKUP($A248&amp;"",Key!$A:$C,3,FALSE),"")</f>
        <v/>
      </c>
    </row>
    <row r="249">
      <c r="A249" t="n">
        <v>325190</v>
      </c>
      <c r="B249" t="inlineStr">
        <is>
          <t>Other basic organic chemical manufacturing</t>
        </is>
      </c>
      <c r="H249" t="n">
        <v>728</v>
      </c>
      <c r="P249" t="n">
        <v>729</v>
      </c>
      <c r="Q249" t="n">
        <v>28</v>
      </c>
      <c r="R249" t="n">
        <v>37</v>
      </c>
      <c r="S249" t="n">
        <v>152</v>
      </c>
      <c r="U249" t="n">
        <v>188</v>
      </c>
      <c r="V249" t="n">
        <v>28</v>
      </c>
      <c r="W249" t="n">
        <v>502</v>
      </c>
      <c r="X249" t="n">
        <v>920</v>
      </c>
      <c r="Y249" t="n">
        <v>8</v>
      </c>
      <c r="Z249" t="n">
        <v>26</v>
      </c>
      <c r="AA249" t="n">
        <v>16</v>
      </c>
      <c r="AB249" t="n">
        <v>72</v>
      </c>
      <c r="AC249" t="n">
        <v>58</v>
      </c>
      <c r="AD249" t="n">
        <v>12</v>
      </c>
      <c r="AE249" t="n">
        <v>5</v>
      </c>
      <c r="AF249" t="n">
        <v>3</v>
      </c>
      <c r="AG249" t="n">
        <v>57</v>
      </c>
      <c r="AH249" t="n">
        <v>3</v>
      </c>
      <c r="AI249" t="n">
        <v>6</v>
      </c>
      <c r="AJ249" t="n">
        <v>9</v>
      </c>
      <c r="AL249" t="n">
        <v>6</v>
      </c>
      <c r="AM249" t="n">
        <v>107</v>
      </c>
      <c r="AN249" t="n">
        <v>18</v>
      </c>
      <c r="AO249" t="n">
        <v>10</v>
      </c>
      <c r="AP249" t="n">
        <v>12</v>
      </c>
      <c r="AQ249" t="n">
        <v>33</v>
      </c>
      <c r="AR249" t="n">
        <v>123</v>
      </c>
      <c r="AS249" t="n">
        <v>6</v>
      </c>
      <c r="AT249" t="n">
        <v>384</v>
      </c>
      <c r="AU249" t="n">
        <v>2</v>
      </c>
      <c r="AV249" t="n">
        <v>7</v>
      </c>
      <c r="AW249" t="n">
        <v>13</v>
      </c>
      <c r="AX249" t="n">
        <v>32</v>
      </c>
      <c r="AY249" t="n">
        <v>101</v>
      </c>
      <c r="AZ249" t="n">
        <v>61</v>
      </c>
      <c r="BA249" t="n">
        <v>158</v>
      </c>
      <c r="BB249" t="n">
        <v>14</v>
      </c>
      <c r="BC249" t="n">
        <v>115</v>
      </c>
      <c r="BD249" t="n">
        <v>73</v>
      </c>
      <c r="BE249" t="n">
        <v>9</v>
      </c>
      <c r="BF249" t="n">
        <v>0</v>
      </c>
      <c r="BG249" t="n">
        <v>52</v>
      </c>
      <c r="BI249" t="n">
        <v>92</v>
      </c>
      <c r="BJ249" t="n">
        <v>17</v>
      </c>
      <c r="BK249" t="n">
        <v>9</v>
      </c>
      <c r="BL249" t="n">
        <v>2</v>
      </c>
      <c r="BM249" t="n">
        <v>3</v>
      </c>
      <c r="BN249" t="n">
        <v>5</v>
      </c>
      <c r="BO249" t="n">
        <v>2</v>
      </c>
      <c r="BP249" t="n">
        <v>5</v>
      </c>
      <c r="BQ249" t="n">
        <v>26</v>
      </c>
      <c r="BR249" t="n">
        <v>460</v>
      </c>
      <c r="BS249" t="n">
        <v>10</v>
      </c>
      <c r="BT249" t="n">
        <v>7</v>
      </c>
      <c r="BU249" t="n">
        <v>15</v>
      </c>
      <c r="BV249" t="n">
        <v>7</v>
      </c>
      <c r="BW249" t="n">
        <v>3</v>
      </c>
      <c r="BX249" t="n">
        <v>12</v>
      </c>
      <c r="BY249" t="n">
        <v>11</v>
      </c>
      <c r="BZ249" t="n">
        <v>154</v>
      </c>
      <c r="CA249" t="n">
        <v>1</v>
      </c>
      <c r="CB249" t="n">
        <v>19</v>
      </c>
      <c r="CC249" t="n">
        <v>4</v>
      </c>
      <c r="CD249" t="n">
        <v>1</v>
      </c>
      <c r="CE249" t="n">
        <v>112</v>
      </c>
      <c r="CG249" t="n">
        <v>11</v>
      </c>
      <c r="CH249" t="n">
        <v>4</v>
      </c>
      <c r="CI249" t="n">
        <v>40</v>
      </c>
      <c r="CJ249" t="n">
        <v>16</v>
      </c>
      <c r="CK249" t="n">
        <v>1</v>
      </c>
      <c r="CL249" t="n">
        <v>20</v>
      </c>
      <c r="CM249" t="n">
        <v>2</v>
      </c>
      <c r="CN249" t="n">
        <v>9</v>
      </c>
      <c r="CO249" t="n">
        <v>3</v>
      </c>
      <c r="CP249" t="n">
        <v>1</v>
      </c>
      <c r="CQ249" t="n">
        <v>93</v>
      </c>
      <c r="CR249" t="n">
        <v>1</v>
      </c>
      <c r="CS249" t="n">
        <v>4</v>
      </c>
      <c r="CT249" t="n">
        <v>10</v>
      </c>
      <c r="CU249" t="n">
        <v>3</v>
      </c>
      <c r="CV249" t="n">
        <v>3</v>
      </c>
      <c r="CW249" t="n">
        <v>18</v>
      </c>
      <c r="CX249" t="n">
        <v>1</v>
      </c>
      <c r="CY249" t="n">
        <v>2</v>
      </c>
      <c r="CZ249" t="n">
        <v>6</v>
      </c>
      <c r="DA249" t="n">
        <v>3</v>
      </c>
      <c r="DB249" t="n">
        <v>13</v>
      </c>
      <c r="DC249" t="n">
        <v>22</v>
      </c>
      <c r="DD249" t="n">
        <v>1</v>
      </c>
      <c r="DE249" t="n">
        <v>1</v>
      </c>
      <c r="DG249" t="n">
        <v>41</v>
      </c>
      <c r="DH249" t="n">
        <v>8</v>
      </c>
      <c r="DI249" t="n">
        <v>1</v>
      </c>
      <c r="DJ249" t="n">
        <v>0</v>
      </c>
      <c r="DK249" t="n">
        <v>0</v>
      </c>
      <c r="DL249" t="n">
        <v>1</v>
      </c>
      <c r="DM249" t="n">
        <v>19</v>
      </c>
      <c r="DN249" t="n">
        <v>2</v>
      </c>
      <c r="DO249" t="n">
        <v>14</v>
      </c>
      <c r="DP249" t="n">
        <v>3</v>
      </c>
      <c r="DQ249" t="n">
        <v>8</v>
      </c>
      <c r="DR249" t="n">
        <v>105</v>
      </c>
      <c r="DS249" t="n">
        <v>11</v>
      </c>
      <c r="DT249" t="n">
        <v>0</v>
      </c>
      <c r="DU249" t="n">
        <v>2</v>
      </c>
      <c r="DV249" t="n">
        <v>2</v>
      </c>
      <c r="DX249" t="n">
        <v>5</v>
      </c>
      <c r="DY249" t="n">
        <v>3</v>
      </c>
      <c r="DZ249" t="n">
        <v>11</v>
      </c>
      <c r="EA249" t="n">
        <v>0</v>
      </c>
      <c r="EB249" t="n">
        <v>0</v>
      </c>
      <c r="EC249" t="n">
        <v>2</v>
      </c>
      <c r="ED249" t="n">
        <v>2</v>
      </c>
      <c r="EE249" t="n">
        <v>2</v>
      </c>
      <c r="EG249" t="n">
        <v>1</v>
      </c>
      <c r="EH249" t="n">
        <v>1</v>
      </c>
      <c r="EI249" t="n">
        <v>1</v>
      </c>
      <c r="EJ249" t="n">
        <v>0</v>
      </c>
      <c r="EK249" t="n">
        <v>2</v>
      </c>
      <c r="EL249" t="n">
        <v>1</v>
      </c>
      <c r="EM249" t="n">
        <v>26</v>
      </c>
      <c r="EN249" t="n">
        <v>17</v>
      </c>
      <c r="EO249" t="n">
        <v>149</v>
      </c>
      <c r="EP249" t="n">
        <v>2</v>
      </c>
      <c r="EQ249" t="n">
        <v>17</v>
      </c>
      <c r="ER249" t="n">
        <v>102</v>
      </c>
      <c r="ES249" t="n">
        <v>9</v>
      </c>
      <c r="ET249" t="n">
        <v>11</v>
      </c>
      <c r="EU249" t="n">
        <v>1</v>
      </c>
      <c r="EV249" t="n">
        <v>7</v>
      </c>
      <c r="EW249" t="n">
        <v>141</v>
      </c>
      <c r="EX249" t="n">
        <v>64</v>
      </c>
      <c r="EY249" t="n">
        <v>18</v>
      </c>
      <c r="EZ249" t="n">
        <v>163</v>
      </c>
      <c r="FA249" t="n">
        <v>5</v>
      </c>
      <c r="FB249" t="n">
        <v>14</v>
      </c>
      <c r="FC249" t="n">
        <v>52</v>
      </c>
      <c r="FD249" t="n">
        <v>141</v>
      </c>
      <c r="FE249" t="n">
        <v>21</v>
      </c>
      <c r="FF249" t="n">
        <v>0</v>
      </c>
      <c r="FH249" t="n">
        <v>36</v>
      </c>
      <c r="FI249" t="n">
        <v>96</v>
      </c>
      <c r="FJ249" t="n">
        <v>2</v>
      </c>
      <c r="FK249" t="n">
        <v>35</v>
      </c>
      <c r="FL249" t="n">
        <v>12</v>
      </c>
      <c r="FN249" t="n">
        <v>2</v>
      </c>
      <c r="FO249" t="n">
        <v>2</v>
      </c>
      <c r="FP249" t="n">
        <v>8</v>
      </c>
      <c r="FQ249" t="n">
        <v>7</v>
      </c>
      <c r="FR249" t="n">
        <v>1</v>
      </c>
      <c r="FS249" t="n">
        <v>5</v>
      </c>
      <c r="FT249" t="n">
        <v>5</v>
      </c>
      <c r="FU249" t="n">
        <v>5</v>
      </c>
      <c r="FV249" t="n">
        <v>9</v>
      </c>
      <c r="FW249" t="n">
        <v>6</v>
      </c>
      <c r="FX249" t="n">
        <v>50</v>
      </c>
      <c r="FY249" t="n">
        <v>41</v>
      </c>
      <c r="FZ249" t="n">
        <v>88</v>
      </c>
      <c r="GA249" t="n">
        <v>1</v>
      </c>
      <c r="GB249" t="n">
        <v>24</v>
      </c>
      <c r="GC249" t="n">
        <v>0</v>
      </c>
      <c r="GD249" t="n">
        <v>16</v>
      </c>
      <c r="GE249" t="n">
        <v>1</v>
      </c>
      <c r="GF249" t="n">
        <v>143</v>
      </c>
      <c r="GG249" t="n">
        <v>21</v>
      </c>
      <c r="GH249" t="n">
        <v>34</v>
      </c>
      <c r="GI249" t="n">
        <v>2</v>
      </c>
      <c r="GJ249" t="n">
        <v>7</v>
      </c>
      <c r="GK249" t="n">
        <v>1</v>
      </c>
      <c r="GL249" t="n">
        <v>219</v>
      </c>
      <c r="GM249" t="n">
        <v>0</v>
      </c>
      <c r="GN249" t="n">
        <v>7</v>
      </c>
      <c r="GO249" t="n">
        <v>5</v>
      </c>
      <c r="GP249" t="n">
        <v>1073</v>
      </c>
      <c r="GQ249" t="n">
        <v>6</v>
      </c>
      <c r="GR249" t="n">
        <v>2</v>
      </c>
      <c r="GS249" t="n">
        <v>19</v>
      </c>
      <c r="GT249" t="n">
        <v>26</v>
      </c>
      <c r="GU249" t="n">
        <v>20</v>
      </c>
      <c r="GV249" t="n">
        <v>6</v>
      </c>
      <c r="GW249" t="n">
        <v>9</v>
      </c>
      <c r="GX249" t="n">
        <v>26</v>
      </c>
      <c r="GY249" t="n">
        <v>0</v>
      </c>
      <c r="GZ249" t="n">
        <v>74</v>
      </c>
      <c r="HA249" t="n">
        <v>53</v>
      </c>
      <c r="HB249" t="n">
        <v>46</v>
      </c>
      <c r="HC249" t="n">
        <v>31</v>
      </c>
      <c r="HD249" t="n">
        <v>98</v>
      </c>
      <c r="HE249" t="n">
        <v>47</v>
      </c>
      <c r="HF249" t="n">
        <v>157</v>
      </c>
      <c r="HG249" t="n">
        <v>209</v>
      </c>
      <c r="HH249" t="n">
        <v>7</v>
      </c>
      <c r="HI249" t="n">
        <v>1</v>
      </c>
      <c r="HJ249" t="n">
        <v>4</v>
      </c>
      <c r="HK249" t="n">
        <v>36</v>
      </c>
      <c r="HL249" t="n">
        <v>1</v>
      </c>
      <c r="HM249" t="n">
        <v>119</v>
      </c>
      <c r="HN249" t="n">
        <v>94</v>
      </c>
      <c r="HP249" t="n">
        <v>1</v>
      </c>
      <c r="HQ249" t="n">
        <v>3</v>
      </c>
      <c r="HR249" t="n">
        <v>0</v>
      </c>
      <c r="HS249" t="n">
        <v>4</v>
      </c>
      <c r="HT249" t="n">
        <v>155</v>
      </c>
      <c r="HU249" t="n">
        <v>790</v>
      </c>
      <c r="HV249" t="n">
        <v>543</v>
      </c>
      <c r="HW249" t="n">
        <v>58</v>
      </c>
      <c r="HX249" t="n">
        <v>232</v>
      </c>
      <c r="HY249" t="n">
        <v>7</v>
      </c>
      <c r="HZ249" t="n">
        <v>16</v>
      </c>
      <c r="IA249" t="n">
        <v>18</v>
      </c>
      <c r="IB249" t="n">
        <v>1403</v>
      </c>
      <c r="IC249" t="n">
        <v>4</v>
      </c>
      <c r="ID249" t="n">
        <v>12878</v>
      </c>
      <c r="IE249" t="n">
        <v>167</v>
      </c>
      <c r="IF249" t="n">
        <v>47</v>
      </c>
      <c r="IG249" t="n">
        <v>220</v>
      </c>
      <c r="IH249" t="n">
        <v>8010</v>
      </c>
      <c r="II249" t="n">
        <v>513</v>
      </c>
      <c r="IJ249" t="n">
        <v>474</v>
      </c>
      <c r="IK249" t="n">
        <v>317</v>
      </c>
      <c r="IL249" t="n">
        <v>12687</v>
      </c>
      <c r="IM249" t="n">
        <v>22842</v>
      </c>
      <c r="IN249" t="n">
        <v>1433</v>
      </c>
      <c r="IO249" t="n">
        <v>353</v>
      </c>
      <c r="IP249" t="n">
        <v>1046</v>
      </c>
      <c r="IQ249" t="n">
        <v>700</v>
      </c>
      <c r="IR249" t="n">
        <v>565</v>
      </c>
      <c r="IS249" t="n">
        <v>2</v>
      </c>
      <c r="IT249" t="n">
        <v>5699</v>
      </c>
      <c r="IU249" t="n">
        <v>2894</v>
      </c>
      <c r="IV249" t="n">
        <v>1232</v>
      </c>
      <c r="IW249" t="n">
        <v>1639</v>
      </c>
      <c r="IX249" t="n">
        <v>2016</v>
      </c>
      <c r="IY249" t="n">
        <v>81</v>
      </c>
      <c r="IZ249" t="n">
        <v>2361</v>
      </c>
      <c r="JA249" t="n">
        <v>1392</v>
      </c>
      <c r="JB249" t="n">
        <v>149</v>
      </c>
      <c r="JC249" t="n">
        <v>63</v>
      </c>
      <c r="JD249" t="n">
        <v>71</v>
      </c>
      <c r="JE249" t="n">
        <v>389</v>
      </c>
      <c r="JF249" t="n">
        <v>927</v>
      </c>
      <c r="JG249" t="n">
        <v>726</v>
      </c>
      <c r="JH249" t="n">
        <v>1188</v>
      </c>
      <c r="JI249" t="n">
        <v>129</v>
      </c>
      <c r="JJ249" t="n">
        <v>790</v>
      </c>
      <c r="JL249" t="n">
        <v>27</v>
      </c>
      <c r="JM249" t="n">
        <v>16</v>
      </c>
      <c r="JO249" t="n">
        <v>194</v>
      </c>
      <c r="JQ249" t="n">
        <v>52</v>
      </c>
      <c r="JR249" t="n">
        <v>31</v>
      </c>
      <c r="JS249" t="n">
        <v>194</v>
      </c>
      <c r="JT249" t="n">
        <v>5</v>
      </c>
      <c r="JV249" t="n">
        <v>28</v>
      </c>
      <c r="JW249" t="n">
        <v>21</v>
      </c>
      <c r="JX249" t="n">
        <v>20</v>
      </c>
      <c r="JZ249" t="n">
        <v>6</v>
      </c>
      <c r="KA249" t="n">
        <v>7</v>
      </c>
      <c r="KC249" t="n">
        <v>15</v>
      </c>
      <c r="KD249" t="n">
        <v>0</v>
      </c>
      <c r="KF249" t="n">
        <v>17</v>
      </c>
      <c r="KG249" t="n">
        <v>6</v>
      </c>
      <c r="KH249" t="n">
        <v>112</v>
      </c>
      <c r="KI249" t="n">
        <v>2</v>
      </c>
      <c r="KJ249" t="n">
        <v>1</v>
      </c>
      <c r="KK249" t="n">
        <v>2</v>
      </c>
      <c r="KL249" t="n">
        <v>19</v>
      </c>
      <c r="KM249" t="n">
        <v>3</v>
      </c>
      <c r="KN249" t="n">
        <v>16</v>
      </c>
      <c r="KO249" t="n">
        <v>6</v>
      </c>
      <c r="KP249" t="n">
        <v>22</v>
      </c>
      <c r="KQ249" t="n">
        <v>6</v>
      </c>
      <c r="KS249" t="n">
        <v>6</v>
      </c>
      <c r="KW249" t="n">
        <v>332</v>
      </c>
      <c r="KX249" t="n">
        <v>75</v>
      </c>
      <c r="KY249" t="n">
        <v>33</v>
      </c>
      <c r="KZ249" t="n">
        <v>4</v>
      </c>
      <c r="LB249" t="n">
        <v>0</v>
      </c>
      <c r="LL249" t="n">
        <v>0</v>
      </c>
      <c r="LM249" t="n">
        <v>11245</v>
      </c>
      <c r="LR249" t="n">
        <v>2</v>
      </c>
      <c r="LU249" t="n">
        <v>5</v>
      </c>
      <c r="LV249" t="n">
        <v>32</v>
      </c>
      <c r="LW249" t="n">
        <v>2983</v>
      </c>
      <c r="LX249" t="n">
        <v>170</v>
      </c>
      <c r="LY249" t="n">
        <v>15</v>
      </c>
      <c r="LZ249" t="n">
        <v>779</v>
      </c>
      <c r="MA249" t="n">
        <v>62</v>
      </c>
      <c r="MB249" t="n">
        <v>85</v>
      </c>
      <c r="MC249" t="n">
        <v>11</v>
      </c>
      <c r="MD249" t="n">
        <v>77</v>
      </c>
      <c r="ME249" t="n">
        <v>50</v>
      </c>
      <c r="MF249" t="n">
        <v>19</v>
      </c>
      <c r="MG249" t="n">
        <v>1</v>
      </c>
      <c r="MH249" t="n">
        <v>788</v>
      </c>
      <c r="MI249" t="n">
        <v>623</v>
      </c>
      <c r="MJ249" t="n">
        <v>232</v>
      </c>
      <c r="MK249" t="n">
        <v>165</v>
      </c>
      <c r="ML249" t="n">
        <v>4</v>
      </c>
      <c r="MM249" t="n">
        <v>10</v>
      </c>
      <c r="MN249" t="n">
        <v>59</v>
      </c>
      <c r="MO249" t="n">
        <v>959</v>
      </c>
      <c r="MP249" t="n">
        <v>66</v>
      </c>
      <c r="MQ249" t="n">
        <v>10</v>
      </c>
      <c r="MR249" t="n">
        <v>74</v>
      </c>
      <c r="MS249" t="n">
        <v>944</v>
      </c>
      <c r="MT249" t="n">
        <v>168</v>
      </c>
      <c r="MU249" t="n">
        <v>1447</v>
      </c>
      <c r="MW249" t="n">
        <v>543</v>
      </c>
      <c r="MX249" t="n">
        <v>781</v>
      </c>
      <c r="MY249" t="n">
        <v>901</v>
      </c>
      <c r="MZ249" t="n">
        <v>1492</v>
      </c>
      <c r="NA249" t="n">
        <v>137</v>
      </c>
      <c r="NB249" t="n">
        <v>12</v>
      </c>
      <c r="NC249" t="n">
        <v>15</v>
      </c>
      <c r="ND249" t="n">
        <v>19</v>
      </c>
      <c r="NL249" t="n">
        <v>10</v>
      </c>
      <c r="NM249" t="n">
        <v>4</v>
      </c>
      <c r="NN249" t="n">
        <v>19</v>
      </c>
      <c r="NO249" t="n">
        <v>182</v>
      </c>
      <c r="NP249" t="n">
        <v>673</v>
      </c>
      <c r="NQ249" t="n">
        <v>138</v>
      </c>
      <c r="NR249" t="n">
        <v>14</v>
      </c>
      <c r="NS249" t="n">
        <v>8</v>
      </c>
      <c r="NT249" t="n">
        <v>284</v>
      </c>
      <c r="NU249" t="n">
        <v>175</v>
      </c>
      <c r="NW249" t="n">
        <v>0</v>
      </c>
      <c r="NX249" t="n">
        <v>10</v>
      </c>
      <c r="OB249" t="n">
        <v>10</v>
      </c>
      <c r="OD249" t="n">
        <v>1</v>
      </c>
      <c r="OE249" t="n">
        <v>713</v>
      </c>
      <c r="OF249" t="n">
        <v>37</v>
      </c>
      <c r="OG249" t="n">
        <v>5</v>
      </c>
      <c r="OI249" t="n">
        <v>1541</v>
      </c>
      <c r="OJ249" t="n">
        <v>9583</v>
      </c>
      <c r="OK249" t="n">
        <v>1076</v>
      </c>
      <c r="OL249" t="n">
        <v>1085</v>
      </c>
      <c r="ON249" t="n">
        <v>1016</v>
      </c>
      <c r="OO249" t="n">
        <v>140533</v>
      </c>
      <c r="OP249" t="n">
        <v>1073</v>
      </c>
      <c r="OU249" t="n">
        <v>184</v>
      </c>
      <c r="OV249" t="n">
        <v>32439</v>
      </c>
      <c r="PI249" t="n">
        <v>174230</v>
      </c>
      <c r="PM249">
        <f>IFERROR(VLOOKUP($A249&amp;"",Key!$A:$C,3,FALSE),"")</f>
        <v/>
      </c>
    </row>
    <row r="250">
      <c r="A250" t="n">
        <v>325211</v>
      </c>
      <c r="B250" t="inlineStr">
        <is>
          <t>Plastics material and resin manufacturing</t>
        </is>
      </c>
      <c r="AC250" t="n">
        <v>0</v>
      </c>
      <c r="AN250" t="n">
        <v>926</v>
      </c>
      <c r="AP250" t="n">
        <v>42</v>
      </c>
      <c r="AQ250" t="n">
        <v>1</v>
      </c>
      <c r="AR250" t="n">
        <v>1370</v>
      </c>
      <c r="AS250" t="n">
        <v>7</v>
      </c>
      <c r="AX250" t="n">
        <v>3</v>
      </c>
      <c r="AY250" t="n">
        <v>1</v>
      </c>
      <c r="BA250" t="n">
        <v>34</v>
      </c>
      <c r="BB250" t="n">
        <v>48</v>
      </c>
      <c r="BC250" t="n">
        <v>2</v>
      </c>
      <c r="BD250" t="n">
        <v>3</v>
      </c>
      <c r="BJ250" t="n">
        <v>13</v>
      </c>
      <c r="BN250" t="n">
        <v>1</v>
      </c>
      <c r="BO250" t="n">
        <v>28</v>
      </c>
      <c r="BP250" t="n">
        <v>234</v>
      </c>
      <c r="BU250" t="n">
        <v>1</v>
      </c>
      <c r="BV250" t="n">
        <v>37</v>
      </c>
      <c r="BZ250" t="n">
        <v>123</v>
      </c>
      <c r="CA250" t="n">
        <v>43</v>
      </c>
      <c r="CD250" t="n">
        <v>21</v>
      </c>
      <c r="CE250" t="n">
        <v>128</v>
      </c>
      <c r="CF250" t="n">
        <v>64</v>
      </c>
      <c r="CM250" t="n">
        <v>2</v>
      </c>
      <c r="CN250" t="n">
        <v>119</v>
      </c>
      <c r="CO250" t="n">
        <v>33</v>
      </c>
      <c r="CQ250" t="n">
        <v>131</v>
      </c>
      <c r="DG250" t="n">
        <v>1</v>
      </c>
      <c r="DL250" t="n">
        <v>1</v>
      </c>
      <c r="DM250" t="n">
        <v>11</v>
      </c>
      <c r="DN250" t="n">
        <v>3</v>
      </c>
      <c r="DO250" t="n">
        <v>3</v>
      </c>
      <c r="DP250" t="n">
        <v>4</v>
      </c>
      <c r="DQ250" t="n">
        <v>144</v>
      </c>
      <c r="DS250" t="n">
        <v>22</v>
      </c>
      <c r="DT250" t="n">
        <v>1</v>
      </c>
      <c r="DU250" t="n">
        <v>13</v>
      </c>
      <c r="DV250" t="n">
        <v>12</v>
      </c>
      <c r="DW250" t="n">
        <v>15</v>
      </c>
      <c r="DX250" t="n">
        <v>11</v>
      </c>
      <c r="DZ250" t="n">
        <v>17</v>
      </c>
      <c r="EB250" t="n">
        <v>7</v>
      </c>
      <c r="ED250" t="n">
        <v>18</v>
      </c>
      <c r="EE250" t="n">
        <v>94</v>
      </c>
      <c r="EF250" t="n">
        <v>232</v>
      </c>
      <c r="EH250" t="n">
        <v>9</v>
      </c>
      <c r="EI250" t="n">
        <v>46</v>
      </c>
      <c r="EJ250" t="n">
        <v>16</v>
      </c>
      <c r="EK250" t="n">
        <v>118</v>
      </c>
      <c r="EL250" t="n">
        <v>3</v>
      </c>
      <c r="EM250" t="n">
        <v>567</v>
      </c>
      <c r="EN250" t="n">
        <v>240</v>
      </c>
      <c r="ES250" t="n">
        <v>1</v>
      </c>
      <c r="EV250" t="n">
        <v>3</v>
      </c>
      <c r="EW250" t="n">
        <v>202</v>
      </c>
      <c r="EX250" t="n">
        <v>249</v>
      </c>
      <c r="EY250" t="n">
        <v>332</v>
      </c>
      <c r="EZ250" t="n">
        <v>79</v>
      </c>
      <c r="FA250" t="n">
        <v>429</v>
      </c>
      <c r="FB250" t="n">
        <v>101</v>
      </c>
      <c r="FC250" t="n">
        <v>1072</v>
      </c>
      <c r="FD250" t="n">
        <v>188</v>
      </c>
      <c r="FL250" t="n">
        <v>230</v>
      </c>
      <c r="FN250" t="n">
        <v>5</v>
      </c>
      <c r="FQ250" t="n">
        <v>12</v>
      </c>
      <c r="FR250" t="n">
        <v>4</v>
      </c>
      <c r="FS250" t="n">
        <v>77</v>
      </c>
      <c r="FT250" t="n">
        <v>81</v>
      </c>
      <c r="FU250" t="n">
        <v>165</v>
      </c>
      <c r="FV250" t="n">
        <v>112</v>
      </c>
      <c r="FX250" t="n">
        <v>820</v>
      </c>
      <c r="FY250" t="n">
        <v>207</v>
      </c>
      <c r="GA250" t="n">
        <v>481</v>
      </c>
      <c r="GD250" t="n">
        <v>160</v>
      </c>
      <c r="GE250" t="n">
        <v>96</v>
      </c>
      <c r="GF250" t="n">
        <v>4</v>
      </c>
      <c r="GG250" t="n">
        <v>195</v>
      </c>
      <c r="GH250" t="n">
        <v>510</v>
      </c>
      <c r="GS250" t="n">
        <v>16</v>
      </c>
      <c r="GT250" t="n">
        <v>52</v>
      </c>
      <c r="GU250" t="n">
        <v>481</v>
      </c>
      <c r="GV250" t="n">
        <v>9</v>
      </c>
      <c r="HK250" t="n">
        <v>1</v>
      </c>
      <c r="HM250" t="n">
        <v>1011</v>
      </c>
      <c r="HN250" t="n">
        <v>179</v>
      </c>
      <c r="HQ250" t="n">
        <v>198</v>
      </c>
      <c r="HS250" t="n">
        <v>28</v>
      </c>
      <c r="HV250" t="n">
        <v>208</v>
      </c>
      <c r="HW250" t="n">
        <v>6</v>
      </c>
      <c r="HX250" t="n">
        <v>694</v>
      </c>
      <c r="HY250" t="n">
        <v>3</v>
      </c>
      <c r="HZ250" t="n">
        <v>671</v>
      </c>
      <c r="IH250" t="n">
        <v>25</v>
      </c>
      <c r="IJ250" t="n">
        <v>2</v>
      </c>
      <c r="IL250" t="n">
        <v>193</v>
      </c>
      <c r="IM250" t="n">
        <v>11204</v>
      </c>
      <c r="IN250" t="n">
        <v>2245</v>
      </c>
      <c r="IU250" t="n">
        <v>2671</v>
      </c>
      <c r="IV250" t="n">
        <v>1206</v>
      </c>
      <c r="IY250" t="n">
        <v>306</v>
      </c>
      <c r="IZ250" t="n">
        <v>3067</v>
      </c>
      <c r="JA250" t="n">
        <v>13935</v>
      </c>
      <c r="JB250" t="n">
        <v>7492</v>
      </c>
      <c r="JC250" t="n">
        <v>666</v>
      </c>
      <c r="JD250" t="n">
        <v>2946</v>
      </c>
      <c r="JE250" t="n">
        <v>817</v>
      </c>
      <c r="JF250" t="n">
        <v>4056</v>
      </c>
      <c r="JG250" t="n">
        <v>23288</v>
      </c>
      <c r="JH250" t="n">
        <v>75</v>
      </c>
      <c r="JI250" t="n">
        <v>163</v>
      </c>
      <c r="JJ250" t="n">
        <v>342</v>
      </c>
      <c r="JK250" t="n">
        <v>1</v>
      </c>
      <c r="JL250" t="n">
        <v>0</v>
      </c>
      <c r="JV250" t="n">
        <v>24</v>
      </c>
      <c r="KS250" t="n">
        <v>0</v>
      </c>
      <c r="LT250" t="n">
        <v>103</v>
      </c>
      <c r="LW250" t="n">
        <v>124</v>
      </c>
      <c r="OD250" t="n">
        <v>1</v>
      </c>
      <c r="OE250" t="n">
        <v>2</v>
      </c>
      <c r="OI250" t="n">
        <v>34</v>
      </c>
      <c r="OK250" t="n">
        <v>5</v>
      </c>
      <c r="OL250" t="n">
        <v>9</v>
      </c>
      <c r="OO250" t="n">
        <v>89396</v>
      </c>
      <c r="OU250" t="n">
        <v>683</v>
      </c>
      <c r="OV250" t="n">
        <v>30776</v>
      </c>
      <c r="PI250" t="n">
        <v>120856</v>
      </c>
      <c r="PM250">
        <f>IFERROR(VLOOKUP($A250&amp;"",Key!$A:$C,3,FALSE),"")</f>
        <v/>
      </c>
    </row>
    <row r="251">
      <c r="A251" t="inlineStr">
        <is>
          <t>3252A0</t>
        </is>
      </c>
      <c r="B251" t="inlineStr">
        <is>
          <t>Synthetic rubber and artificial and synthetic fibers and filaments manufacturing</t>
        </is>
      </c>
      <c r="AO251" t="n">
        <v>179</v>
      </c>
      <c r="AP251" t="n">
        <v>1</v>
      </c>
      <c r="AQ251" t="n">
        <v>4</v>
      </c>
      <c r="AR251" t="n">
        <v>32</v>
      </c>
      <c r="AX251" t="n">
        <v>9</v>
      </c>
      <c r="AY251" t="n">
        <v>11</v>
      </c>
      <c r="BA251" t="n">
        <v>52</v>
      </c>
      <c r="BB251" t="n">
        <v>2</v>
      </c>
      <c r="BC251" t="n">
        <v>297</v>
      </c>
      <c r="BD251" t="n">
        <v>5</v>
      </c>
      <c r="BI251" t="n">
        <v>26</v>
      </c>
      <c r="BN251" t="n">
        <v>1</v>
      </c>
      <c r="BO251" t="n">
        <v>1</v>
      </c>
      <c r="BU251" t="n">
        <v>5</v>
      </c>
      <c r="BZ251" t="n">
        <v>67</v>
      </c>
      <c r="CE251" t="n">
        <v>15</v>
      </c>
      <c r="CO251" t="n">
        <v>121</v>
      </c>
      <c r="DG251" t="n">
        <v>159</v>
      </c>
      <c r="DR251" t="n">
        <v>7</v>
      </c>
      <c r="DS251" t="n">
        <v>155</v>
      </c>
      <c r="DY251" t="n">
        <v>27</v>
      </c>
      <c r="EM251" t="n">
        <v>7</v>
      </c>
      <c r="EX251" t="n">
        <v>17</v>
      </c>
      <c r="EY251" t="n">
        <v>12</v>
      </c>
      <c r="EZ251" t="n">
        <v>45</v>
      </c>
      <c r="FA251" t="n">
        <v>643</v>
      </c>
      <c r="FB251" t="n">
        <v>8</v>
      </c>
      <c r="FC251" t="n">
        <v>89</v>
      </c>
      <c r="FD251" t="n">
        <v>52</v>
      </c>
      <c r="FI251" t="n">
        <v>34</v>
      </c>
      <c r="FN251" t="n">
        <v>1</v>
      </c>
      <c r="FO251" t="n">
        <v>18</v>
      </c>
      <c r="FX251" t="n">
        <v>983</v>
      </c>
      <c r="FY251" t="n">
        <v>548</v>
      </c>
      <c r="FZ251" t="n">
        <v>3</v>
      </c>
      <c r="GA251" t="n">
        <v>12</v>
      </c>
      <c r="GB251" t="n">
        <v>1</v>
      </c>
      <c r="GD251" t="n">
        <v>46</v>
      </c>
      <c r="GF251" t="n">
        <v>10</v>
      </c>
      <c r="GH251" t="n">
        <v>728</v>
      </c>
      <c r="HK251" t="n">
        <v>599</v>
      </c>
      <c r="HL251" t="n">
        <v>2492</v>
      </c>
      <c r="HM251" t="n">
        <v>2881</v>
      </c>
      <c r="HN251" t="n">
        <v>184</v>
      </c>
      <c r="HO251" t="n">
        <v>3648</v>
      </c>
      <c r="HP251" t="n">
        <v>290</v>
      </c>
      <c r="HQ251" t="n">
        <v>938</v>
      </c>
      <c r="HR251" t="n">
        <v>3</v>
      </c>
      <c r="HS251" t="n">
        <v>4</v>
      </c>
      <c r="HU251" t="n">
        <v>8</v>
      </c>
      <c r="HX251" t="n">
        <v>104</v>
      </c>
      <c r="HY251" t="n">
        <v>15</v>
      </c>
      <c r="IA251" t="n">
        <v>90</v>
      </c>
      <c r="IE251" t="n">
        <v>4</v>
      </c>
      <c r="IL251" t="n">
        <v>31</v>
      </c>
      <c r="IM251" t="n">
        <v>17</v>
      </c>
      <c r="IN251" t="n">
        <v>102</v>
      </c>
      <c r="IU251" t="n">
        <v>134</v>
      </c>
      <c r="IV251" t="n">
        <v>939</v>
      </c>
      <c r="IZ251" t="n">
        <v>104</v>
      </c>
      <c r="JA251" t="n">
        <v>125</v>
      </c>
      <c r="JB251" t="n">
        <v>51</v>
      </c>
      <c r="JC251" t="n">
        <v>46</v>
      </c>
      <c r="JD251" t="n">
        <v>943</v>
      </c>
      <c r="JE251" t="n">
        <v>189</v>
      </c>
      <c r="JG251" t="n">
        <v>132</v>
      </c>
      <c r="JH251" t="n">
        <v>2074</v>
      </c>
      <c r="JI251" t="n">
        <v>351</v>
      </c>
      <c r="JJ251" t="n">
        <v>1009</v>
      </c>
      <c r="JL251" t="n">
        <v>0</v>
      </c>
      <c r="JN251" t="n">
        <v>0</v>
      </c>
      <c r="JO251" t="n">
        <v>0</v>
      </c>
      <c r="LW251" t="n">
        <v>89</v>
      </c>
      <c r="LZ251" t="n">
        <v>34</v>
      </c>
      <c r="MZ251" t="n">
        <v>32</v>
      </c>
      <c r="OD251" t="n">
        <v>7</v>
      </c>
      <c r="OI251" t="n">
        <v>10</v>
      </c>
      <c r="OL251" t="n">
        <v>14</v>
      </c>
      <c r="ON251" t="n">
        <v>13</v>
      </c>
      <c r="OO251" t="n">
        <v>22138</v>
      </c>
      <c r="OU251" t="n">
        <v>-15</v>
      </c>
      <c r="OV251" t="n">
        <v>5780</v>
      </c>
      <c r="PI251" t="n">
        <v>27903</v>
      </c>
      <c r="PM251">
        <f>IFERROR(VLOOKUP($A251&amp;"",Key!$A:$C,3,FALSE),"")</f>
        <v/>
      </c>
    </row>
    <row r="252">
      <c r="A252" t="n">
        <v>325411</v>
      </c>
      <c r="B252" t="inlineStr">
        <is>
          <t>Medicinal and botanical manufacturing</t>
        </is>
      </c>
      <c r="AC252" t="n">
        <v>479</v>
      </c>
      <c r="GI252" t="n">
        <v>87</v>
      </c>
      <c r="GJ252" t="n">
        <v>682</v>
      </c>
      <c r="GO252" t="n">
        <v>2</v>
      </c>
      <c r="IO252" t="n">
        <v>607</v>
      </c>
      <c r="IP252" t="n">
        <v>7133</v>
      </c>
      <c r="IQ252" t="n">
        <v>16</v>
      </c>
      <c r="IR252" t="n">
        <v>15</v>
      </c>
      <c r="JR252" t="n">
        <v>0</v>
      </c>
      <c r="JS252" t="n">
        <v>0</v>
      </c>
      <c r="LW252" t="n">
        <v>39</v>
      </c>
      <c r="LZ252" t="n">
        <v>17</v>
      </c>
      <c r="MF252" t="n">
        <v>1</v>
      </c>
      <c r="MS252" t="n">
        <v>6150</v>
      </c>
      <c r="MU252" t="n">
        <v>17</v>
      </c>
      <c r="OK252" t="n">
        <v>4</v>
      </c>
      <c r="OO252" t="n">
        <v>15250</v>
      </c>
      <c r="OU252" t="n">
        <v>286</v>
      </c>
      <c r="OV252" t="n">
        <v>78</v>
      </c>
      <c r="PI252" t="n">
        <v>15614</v>
      </c>
      <c r="PM252">
        <f>IFERROR(VLOOKUP($A252&amp;"",Key!$A:$C,3,FALSE),"")</f>
        <v/>
      </c>
    </row>
    <row r="253">
      <c r="A253" t="n">
        <v>325412</v>
      </c>
      <c r="B253" t="inlineStr">
        <is>
          <t>Pharmaceutical preparation manufacturing</t>
        </is>
      </c>
      <c r="I253" t="n">
        <v>4</v>
      </c>
      <c r="J253" t="n">
        <v>2</v>
      </c>
      <c r="K253" t="n">
        <v>67</v>
      </c>
      <c r="L253" t="n">
        <v>21</v>
      </c>
      <c r="AC253" t="n">
        <v>4</v>
      </c>
      <c r="GO253" t="n">
        <v>46</v>
      </c>
      <c r="IO253" t="n">
        <v>13</v>
      </c>
      <c r="IP253" t="n">
        <v>1001</v>
      </c>
      <c r="IQ253" t="n">
        <v>19</v>
      </c>
      <c r="IR253" t="n">
        <v>395</v>
      </c>
      <c r="JP253" t="n">
        <v>79</v>
      </c>
      <c r="JT253" t="n">
        <v>1</v>
      </c>
      <c r="JZ253" t="n">
        <v>61</v>
      </c>
      <c r="LW253" t="n">
        <v>0</v>
      </c>
      <c r="LZ253" t="n">
        <v>29</v>
      </c>
      <c r="MD253" t="n">
        <v>1697</v>
      </c>
      <c r="MF253" t="n">
        <v>3</v>
      </c>
      <c r="MS253" t="n">
        <v>2769</v>
      </c>
      <c r="MT253" t="n">
        <v>9</v>
      </c>
      <c r="MU253" t="n">
        <v>32</v>
      </c>
      <c r="MW253" t="n">
        <v>7</v>
      </c>
      <c r="MX253" t="n">
        <v>3959</v>
      </c>
      <c r="MY253" t="n">
        <v>2049</v>
      </c>
      <c r="MZ253" t="n">
        <v>7257</v>
      </c>
      <c r="NA253" t="n">
        <v>106</v>
      </c>
      <c r="NB253" t="n">
        <v>6</v>
      </c>
      <c r="NG253" t="n">
        <v>1</v>
      </c>
      <c r="NY253" t="n">
        <v>2</v>
      </c>
      <c r="OD253" t="n">
        <v>5972</v>
      </c>
      <c r="OE253" t="n">
        <v>75</v>
      </c>
      <c r="OI253" t="n">
        <v>3</v>
      </c>
      <c r="OJ253" t="n">
        <v>82</v>
      </c>
      <c r="OO253" t="n">
        <v>25770</v>
      </c>
      <c r="OP253" t="n">
        <v>432930</v>
      </c>
      <c r="OU253" t="n">
        <v>7547</v>
      </c>
      <c r="OV253" t="n">
        <v>30127</v>
      </c>
      <c r="PI253" t="n">
        <v>496375</v>
      </c>
      <c r="PM253">
        <f>IFERROR(VLOOKUP($A253&amp;"",Key!$A:$C,3,FALSE),"")</f>
        <v/>
      </c>
    </row>
    <row r="254">
      <c r="A254" t="n">
        <v>325413</v>
      </c>
      <c r="B254" t="inlineStr">
        <is>
          <t>In-vitro diagnostic substance manufacturing</t>
        </is>
      </c>
      <c r="AC254" t="n">
        <v>10</v>
      </c>
      <c r="DG254" t="n">
        <v>0</v>
      </c>
      <c r="GB254" t="n">
        <v>0</v>
      </c>
      <c r="GO254" t="n">
        <v>0</v>
      </c>
      <c r="HK254" t="n">
        <v>0</v>
      </c>
      <c r="IO254" t="n">
        <v>0</v>
      </c>
      <c r="IP254" t="n">
        <v>7</v>
      </c>
      <c r="IQ254" t="n">
        <v>9</v>
      </c>
      <c r="IR254" t="n">
        <v>1</v>
      </c>
      <c r="JP254" t="n">
        <v>13</v>
      </c>
      <c r="LT254" t="n">
        <v>0</v>
      </c>
      <c r="LW254" t="n">
        <v>0</v>
      </c>
      <c r="MQ254" t="n">
        <v>0</v>
      </c>
      <c r="MS254" t="n">
        <v>591</v>
      </c>
      <c r="MU254" t="n">
        <v>0</v>
      </c>
      <c r="MW254" t="n">
        <v>3</v>
      </c>
      <c r="MZ254" t="n">
        <v>13888</v>
      </c>
      <c r="NA254" t="n">
        <v>3</v>
      </c>
      <c r="OD254" t="n">
        <v>89</v>
      </c>
      <c r="OE254" t="n">
        <v>65</v>
      </c>
      <c r="OJ254" t="n">
        <v>490</v>
      </c>
      <c r="OO254" t="n">
        <v>15172</v>
      </c>
      <c r="OU254" t="n">
        <v>65</v>
      </c>
      <c r="OV254" t="n">
        <v>117</v>
      </c>
      <c r="PI254" t="n">
        <v>15355</v>
      </c>
      <c r="PM254">
        <f>IFERROR(VLOOKUP($A254&amp;"",Key!$A:$C,3,FALSE),"")</f>
        <v/>
      </c>
    </row>
    <row r="255">
      <c r="A255" t="n">
        <v>325414</v>
      </c>
      <c r="B255" t="inlineStr">
        <is>
          <t>Biological product (except diagnostic) manufacturing</t>
        </is>
      </c>
      <c r="I255" t="n">
        <v>17</v>
      </c>
      <c r="J255" t="n">
        <v>1997</v>
      </c>
      <c r="K255" t="n">
        <v>876</v>
      </c>
      <c r="L255" t="n">
        <v>42</v>
      </c>
      <c r="O255" t="n">
        <v>541</v>
      </c>
      <c r="AC255" t="n">
        <v>43</v>
      </c>
      <c r="AP255" t="n">
        <v>333</v>
      </c>
      <c r="GO255" t="n">
        <v>10</v>
      </c>
      <c r="IO255" t="n">
        <v>3840</v>
      </c>
      <c r="IP255" t="n">
        <v>41581</v>
      </c>
      <c r="IQ255" t="n">
        <v>4694</v>
      </c>
      <c r="IR255" t="n">
        <v>7696</v>
      </c>
      <c r="JP255" t="n">
        <v>2</v>
      </c>
      <c r="JW255" t="n">
        <v>0</v>
      </c>
      <c r="JZ255" t="n">
        <v>0</v>
      </c>
      <c r="KD255" t="n">
        <v>772</v>
      </c>
      <c r="KI255" t="n">
        <v>0</v>
      </c>
      <c r="LW255" t="n">
        <v>963</v>
      </c>
      <c r="LZ255" t="n">
        <v>4386</v>
      </c>
      <c r="MD255" t="n">
        <v>18</v>
      </c>
      <c r="MF255" t="n">
        <v>233</v>
      </c>
      <c r="MS255" t="n">
        <v>0</v>
      </c>
      <c r="MT255" t="n">
        <v>785</v>
      </c>
      <c r="MU255" t="n">
        <v>4450</v>
      </c>
      <c r="MV255" t="n">
        <v>7460</v>
      </c>
      <c r="MW255" t="n">
        <v>6057</v>
      </c>
      <c r="MZ255" t="n">
        <v>35</v>
      </c>
      <c r="NA255" t="n">
        <v>3159</v>
      </c>
      <c r="NB255" t="n">
        <v>1</v>
      </c>
      <c r="NC255" t="n">
        <v>71</v>
      </c>
      <c r="NJ255" t="n">
        <v>616</v>
      </c>
      <c r="NK255" t="n">
        <v>630</v>
      </c>
      <c r="NM255" t="n">
        <v>44</v>
      </c>
      <c r="NY255" t="n">
        <v>119</v>
      </c>
      <c r="OD255" t="n">
        <v>0</v>
      </c>
      <c r="OE255" t="n">
        <v>30</v>
      </c>
      <c r="OI255" t="n">
        <v>0</v>
      </c>
      <c r="OJ255" t="n">
        <v>6</v>
      </c>
      <c r="ON255" t="n">
        <v>52</v>
      </c>
      <c r="OO255" t="n">
        <v>91560</v>
      </c>
      <c r="OU255" t="n">
        <v>2484</v>
      </c>
      <c r="OV255" t="n">
        <v>22574</v>
      </c>
      <c r="PI255" t="n">
        <v>116618</v>
      </c>
      <c r="PM255">
        <f>IFERROR(VLOOKUP($A255&amp;"",Key!$A:$C,3,FALSE),"")</f>
        <v/>
      </c>
    </row>
    <row r="256">
      <c r="A256" t="n">
        <v>325310</v>
      </c>
      <c r="B256" t="inlineStr">
        <is>
          <t>Fertilizer manufacturing</t>
        </is>
      </c>
      <c r="C256" t="n">
        <v>756</v>
      </c>
      <c r="D256" t="n">
        <v>5674</v>
      </c>
      <c r="E256" t="n">
        <v>1229</v>
      </c>
      <c r="F256" t="n">
        <v>825</v>
      </c>
      <c r="G256" t="n">
        <v>784</v>
      </c>
      <c r="H256" t="n">
        <v>1063</v>
      </c>
      <c r="I256" t="n">
        <v>633</v>
      </c>
      <c r="O256" t="n">
        <v>1562</v>
      </c>
      <c r="Q256" t="n">
        <v>476</v>
      </c>
      <c r="V256" t="n">
        <v>6</v>
      </c>
      <c r="W256" t="n">
        <v>0</v>
      </c>
      <c r="Z256" t="n">
        <v>2</v>
      </c>
      <c r="AA256" t="n">
        <v>154</v>
      </c>
      <c r="AB256" t="n">
        <v>566</v>
      </c>
      <c r="AC256" t="n">
        <v>319</v>
      </c>
      <c r="AD256" t="n">
        <v>201</v>
      </c>
      <c r="AE256" t="n">
        <v>489</v>
      </c>
      <c r="AF256" t="n">
        <v>158</v>
      </c>
      <c r="AG256" t="n">
        <v>722</v>
      </c>
      <c r="AH256" t="n">
        <v>130</v>
      </c>
      <c r="AI256" t="n">
        <v>252</v>
      </c>
      <c r="AJ256" t="n">
        <v>103</v>
      </c>
      <c r="AK256" t="n">
        <v>728</v>
      </c>
      <c r="AL256" t="n">
        <v>188</v>
      </c>
      <c r="AQ256" t="n">
        <v>3</v>
      </c>
      <c r="AR256" t="n">
        <v>11</v>
      </c>
      <c r="AX256" t="n">
        <v>1</v>
      </c>
      <c r="BA256" t="n">
        <v>13</v>
      </c>
      <c r="BB256" t="n">
        <v>5</v>
      </c>
      <c r="BC256" t="n">
        <v>4</v>
      </c>
      <c r="BD256" t="n">
        <v>5</v>
      </c>
      <c r="BF256" t="n">
        <v>0</v>
      </c>
      <c r="BI256" t="n">
        <v>1</v>
      </c>
      <c r="BU256" t="n">
        <v>1</v>
      </c>
      <c r="BZ256" t="n">
        <v>9</v>
      </c>
      <c r="CN256" t="n">
        <v>0</v>
      </c>
      <c r="DG256" t="n">
        <v>5</v>
      </c>
      <c r="EC256" t="n">
        <v>0</v>
      </c>
      <c r="EK256" t="n">
        <v>1</v>
      </c>
      <c r="EL256" t="n">
        <v>1</v>
      </c>
      <c r="EX256" t="n">
        <v>2</v>
      </c>
      <c r="EY256" t="n">
        <v>1</v>
      </c>
      <c r="EZ256" t="n">
        <v>5</v>
      </c>
      <c r="FB256" t="n">
        <v>2</v>
      </c>
      <c r="FC256" t="n">
        <v>3</v>
      </c>
      <c r="FD256" t="n">
        <v>6</v>
      </c>
      <c r="FI256" t="n">
        <v>1</v>
      </c>
      <c r="FN256" t="n">
        <v>0</v>
      </c>
      <c r="GD256" t="n">
        <v>2</v>
      </c>
      <c r="GF256" t="n">
        <v>3</v>
      </c>
      <c r="HK256" t="n">
        <v>4</v>
      </c>
      <c r="HM256" t="n">
        <v>0</v>
      </c>
      <c r="HS256" t="n">
        <v>0</v>
      </c>
      <c r="HX256" t="n">
        <v>6</v>
      </c>
      <c r="ID256" t="n">
        <v>4</v>
      </c>
      <c r="IG256" t="n">
        <v>13</v>
      </c>
      <c r="IH256" t="n">
        <v>94</v>
      </c>
      <c r="II256" t="n">
        <v>17</v>
      </c>
      <c r="IJ256" t="n">
        <v>11</v>
      </c>
      <c r="IK256" t="n">
        <v>508</v>
      </c>
      <c r="IL256" t="n">
        <v>1077</v>
      </c>
      <c r="IM256" t="n">
        <v>76</v>
      </c>
      <c r="IN256" t="n">
        <v>4</v>
      </c>
      <c r="IP256" t="n">
        <v>1</v>
      </c>
      <c r="IS256" t="n">
        <v>4091</v>
      </c>
      <c r="IT256" t="n">
        <v>28</v>
      </c>
      <c r="IU256" t="n">
        <v>8</v>
      </c>
      <c r="IV256" t="n">
        <v>23</v>
      </c>
      <c r="IW256" t="n">
        <v>79</v>
      </c>
      <c r="IZ256" t="n">
        <v>419</v>
      </c>
      <c r="JA256" t="n">
        <v>19</v>
      </c>
      <c r="JB256" t="n">
        <v>9</v>
      </c>
      <c r="JC256" t="n">
        <v>9</v>
      </c>
      <c r="JD256" t="n">
        <v>3</v>
      </c>
      <c r="JE256" t="n">
        <v>12</v>
      </c>
      <c r="JG256" t="n">
        <v>7</v>
      </c>
      <c r="JH256" t="n">
        <v>9</v>
      </c>
      <c r="JI256" t="n">
        <v>1</v>
      </c>
      <c r="JS256" t="n">
        <v>856</v>
      </c>
      <c r="JT256" t="n">
        <v>8</v>
      </c>
      <c r="JY256" t="n">
        <v>25</v>
      </c>
      <c r="KD256" t="n">
        <v>1</v>
      </c>
      <c r="KF256" t="n">
        <v>3</v>
      </c>
      <c r="KN256" t="n">
        <v>0</v>
      </c>
      <c r="KO256" t="n">
        <v>1</v>
      </c>
      <c r="KQ256" t="n">
        <v>0</v>
      </c>
      <c r="LK256" t="n">
        <v>221</v>
      </c>
      <c r="LL256" t="n">
        <v>15</v>
      </c>
      <c r="LW256" t="n">
        <v>5</v>
      </c>
      <c r="LZ256" t="n">
        <v>60</v>
      </c>
      <c r="MA256" t="n">
        <v>124</v>
      </c>
      <c r="MD256" t="n">
        <v>0</v>
      </c>
      <c r="ME256" t="n">
        <v>7</v>
      </c>
      <c r="MF256" t="n">
        <v>3</v>
      </c>
      <c r="MH256" t="n">
        <v>2198</v>
      </c>
      <c r="MP256" t="n">
        <v>26</v>
      </c>
      <c r="MQ256" t="n">
        <v>1</v>
      </c>
      <c r="MR256" t="n">
        <v>14</v>
      </c>
      <c r="MZ256" t="n">
        <v>89</v>
      </c>
      <c r="NA256" t="n">
        <v>1</v>
      </c>
      <c r="NB256" t="n">
        <v>0</v>
      </c>
      <c r="NF256" t="n">
        <v>1</v>
      </c>
      <c r="NK256" t="n">
        <v>88</v>
      </c>
      <c r="NL256" t="n">
        <v>3</v>
      </c>
      <c r="NM256" t="n">
        <v>72</v>
      </c>
      <c r="NO256" t="n">
        <v>10</v>
      </c>
      <c r="OD256" t="n">
        <v>12</v>
      </c>
      <c r="OE256" t="n">
        <v>302</v>
      </c>
      <c r="OI256" t="n">
        <v>177</v>
      </c>
      <c r="OJ256" t="n">
        <v>352</v>
      </c>
      <c r="OK256" t="n">
        <v>4196</v>
      </c>
      <c r="ON256" t="n">
        <v>555</v>
      </c>
      <c r="OO256" t="n">
        <v>33066</v>
      </c>
      <c r="OP256" t="n">
        <v>312</v>
      </c>
      <c r="OU256" t="n">
        <v>435</v>
      </c>
      <c r="OV256" t="n">
        <v>3495</v>
      </c>
      <c r="PI256" t="n">
        <v>37308</v>
      </c>
      <c r="PM256">
        <f>IFERROR(VLOOKUP($A256&amp;"",Key!$A:$C,3,FALSE),"")</f>
        <v/>
      </c>
    </row>
    <row r="257">
      <c r="A257" t="n">
        <v>325320</v>
      </c>
      <c r="B257" t="inlineStr">
        <is>
          <t>Pesticide and other agricultural chemical manufacturing</t>
        </is>
      </c>
      <c r="C257" t="n">
        <v>1534</v>
      </c>
      <c r="D257" t="n">
        <v>6460</v>
      </c>
      <c r="E257" t="n">
        <v>1807</v>
      </c>
      <c r="F257" t="n">
        <v>1727</v>
      </c>
      <c r="G257" t="n">
        <v>621</v>
      </c>
      <c r="H257" t="n">
        <v>2555</v>
      </c>
      <c r="I257" t="n">
        <v>1214</v>
      </c>
      <c r="J257" t="n">
        <v>537</v>
      </c>
      <c r="K257" t="n">
        <v>208</v>
      </c>
      <c r="L257" t="n">
        <v>248</v>
      </c>
      <c r="M257" t="n">
        <v>0</v>
      </c>
      <c r="N257" t="n">
        <v>11</v>
      </c>
      <c r="O257" t="n">
        <v>550</v>
      </c>
      <c r="AC257" t="n">
        <v>2</v>
      </c>
      <c r="IT257" t="n">
        <v>10</v>
      </c>
      <c r="JS257" t="n">
        <v>101</v>
      </c>
      <c r="LK257" t="n">
        <v>2</v>
      </c>
      <c r="LZ257" t="n">
        <v>27</v>
      </c>
      <c r="MA257" t="n">
        <v>16</v>
      </c>
      <c r="MD257" t="n">
        <v>0</v>
      </c>
      <c r="ME257" t="n">
        <v>9</v>
      </c>
      <c r="MH257" t="n">
        <v>194</v>
      </c>
      <c r="MQ257" t="n">
        <v>17</v>
      </c>
      <c r="MR257" t="n">
        <v>1</v>
      </c>
      <c r="MZ257" t="n">
        <v>4</v>
      </c>
      <c r="NG257" t="n">
        <v>0</v>
      </c>
      <c r="NK257" t="n">
        <v>11</v>
      </c>
      <c r="NL257" t="n">
        <v>14</v>
      </c>
      <c r="NM257" t="n">
        <v>17</v>
      </c>
      <c r="NN257" t="n">
        <v>1</v>
      </c>
      <c r="NP257" t="n">
        <v>4</v>
      </c>
      <c r="NZ257" t="n">
        <v>3</v>
      </c>
      <c r="OB257" t="n">
        <v>4</v>
      </c>
      <c r="OD257" t="n">
        <v>5</v>
      </c>
      <c r="OE257" t="n">
        <v>94</v>
      </c>
      <c r="OI257" t="n">
        <v>401</v>
      </c>
      <c r="OJ257" t="n">
        <v>363</v>
      </c>
      <c r="OK257" t="n">
        <v>988</v>
      </c>
      <c r="OO257" t="n">
        <v>19760</v>
      </c>
      <c r="OP257" t="n">
        <v>2501</v>
      </c>
      <c r="OU257" t="n">
        <v>265</v>
      </c>
      <c r="OV257" t="n">
        <v>3797</v>
      </c>
      <c r="PI257" t="n">
        <v>26323</v>
      </c>
      <c r="PM257">
        <f>IFERROR(VLOOKUP($A257&amp;"",Key!$A:$C,3,FALSE),"")</f>
        <v/>
      </c>
    </row>
    <row r="258">
      <c r="A258" t="n">
        <v>325510</v>
      </c>
      <c r="B258" t="inlineStr">
        <is>
          <t>Paint and coating manufacturing</t>
        </is>
      </c>
      <c r="O258" t="n">
        <v>1</v>
      </c>
      <c r="R258" t="n">
        <v>6</v>
      </c>
      <c r="V258" t="n">
        <v>4</v>
      </c>
      <c r="W258" t="n">
        <v>69</v>
      </c>
      <c r="X258" t="n">
        <v>0</v>
      </c>
      <c r="AA258" t="n">
        <v>77</v>
      </c>
      <c r="AB258" t="n">
        <v>211</v>
      </c>
      <c r="AC258" t="n">
        <v>1628</v>
      </c>
      <c r="AD258" t="n">
        <v>1083</v>
      </c>
      <c r="AE258" t="n">
        <v>588</v>
      </c>
      <c r="AF258" t="n">
        <v>688</v>
      </c>
      <c r="AG258" t="n">
        <v>1708</v>
      </c>
      <c r="AH258" t="n">
        <v>71</v>
      </c>
      <c r="AI258" t="n">
        <v>374</v>
      </c>
      <c r="AJ258" t="n">
        <v>129</v>
      </c>
      <c r="AK258" t="n">
        <v>2041</v>
      </c>
      <c r="AL258" t="n">
        <v>924</v>
      </c>
      <c r="AN258" t="n">
        <v>58</v>
      </c>
      <c r="AO258" t="n">
        <v>19</v>
      </c>
      <c r="AP258" t="n">
        <v>85</v>
      </c>
      <c r="AQ258" t="n">
        <v>49</v>
      </c>
      <c r="AU258" t="n">
        <v>59</v>
      </c>
      <c r="AV258" t="n">
        <v>115</v>
      </c>
      <c r="AX258" t="n">
        <v>0</v>
      </c>
      <c r="BA258" t="n">
        <v>2</v>
      </c>
      <c r="BB258" t="n">
        <v>14</v>
      </c>
      <c r="BC258" t="n">
        <v>1</v>
      </c>
      <c r="BF258" t="n">
        <v>0</v>
      </c>
      <c r="BL258" t="n">
        <v>0</v>
      </c>
      <c r="BM258" t="n">
        <v>75</v>
      </c>
      <c r="BN258" t="n">
        <v>44</v>
      </c>
      <c r="BO258" t="n">
        <v>135</v>
      </c>
      <c r="BP258" t="n">
        <v>2</v>
      </c>
      <c r="BQ258" t="n">
        <v>199</v>
      </c>
      <c r="BR258" t="n">
        <v>197</v>
      </c>
      <c r="BS258" t="n">
        <v>16</v>
      </c>
      <c r="BT258" t="n">
        <v>100</v>
      </c>
      <c r="BU258" t="n">
        <v>332</v>
      </c>
      <c r="BV258" t="n">
        <v>47</v>
      </c>
      <c r="BX258" t="n">
        <v>289</v>
      </c>
      <c r="BZ258" t="n">
        <v>939</v>
      </c>
      <c r="CE258" t="n">
        <v>0</v>
      </c>
      <c r="CF258" t="n">
        <v>1</v>
      </c>
      <c r="CG258" t="n">
        <v>172</v>
      </c>
      <c r="CH258" t="n">
        <v>260</v>
      </c>
      <c r="CI258" t="n">
        <v>150</v>
      </c>
      <c r="CJ258" t="n">
        <v>51</v>
      </c>
      <c r="CO258" t="n">
        <v>9</v>
      </c>
      <c r="CP258" t="n">
        <v>140</v>
      </c>
      <c r="CQ258" t="n">
        <v>60</v>
      </c>
      <c r="CR258" t="n">
        <v>63</v>
      </c>
      <c r="CU258" t="n">
        <v>148</v>
      </c>
      <c r="CZ258" t="n">
        <v>119</v>
      </c>
      <c r="DA258" t="n">
        <v>87</v>
      </c>
      <c r="DB258" t="n">
        <v>217</v>
      </c>
      <c r="DC258" t="n">
        <v>28</v>
      </c>
      <c r="DG258" t="n">
        <v>54</v>
      </c>
      <c r="DH258" t="n">
        <v>85</v>
      </c>
      <c r="DQ258" t="n">
        <v>0</v>
      </c>
      <c r="DR258" t="n">
        <v>178</v>
      </c>
      <c r="DS258" t="n">
        <v>88</v>
      </c>
      <c r="ED258" t="n">
        <v>59</v>
      </c>
      <c r="EE258" t="n">
        <v>58</v>
      </c>
      <c r="EF258" t="n">
        <v>601</v>
      </c>
      <c r="EG258" t="n">
        <v>70</v>
      </c>
      <c r="EH258" t="n">
        <v>32</v>
      </c>
      <c r="EI258" t="n">
        <v>57</v>
      </c>
      <c r="EM258" t="n">
        <v>16</v>
      </c>
      <c r="EQ258" t="n">
        <v>250</v>
      </c>
      <c r="ER258" t="n">
        <v>2217</v>
      </c>
      <c r="ES258" t="n">
        <v>230</v>
      </c>
      <c r="ET258" t="n">
        <v>255</v>
      </c>
      <c r="EU258" t="n">
        <v>173</v>
      </c>
      <c r="EV258" t="n">
        <v>16</v>
      </c>
      <c r="EW258" t="n">
        <v>389</v>
      </c>
      <c r="EX258" t="n">
        <v>23</v>
      </c>
      <c r="EY258" t="n">
        <v>11</v>
      </c>
      <c r="EZ258" t="n">
        <v>153</v>
      </c>
      <c r="FA258" t="n">
        <v>408</v>
      </c>
      <c r="FB258" t="n">
        <v>119</v>
      </c>
      <c r="FC258" t="n">
        <v>783</v>
      </c>
      <c r="FD258" t="n">
        <v>211</v>
      </c>
      <c r="FE258" t="n">
        <v>150</v>
      </c>
      <c r="FF258" t="n">
        <v>0</v>
      </c>
      <c r="FG258" t="n">
        <v>66</v>
      </c>
      <c r="FI258" t="n">
        <v>69</v>
      </c>
      <c r="FJ258" t="n">
        <v>49</v>
      </c>
      <c r="FK258" t="n">
        <v>257</v>
      </c>
      <c r="FL258" t="n">
        <v>187</v>
      </c>
      <c r="FO258" t="n">
        <v>110</v>
      </c>
      <c r="FP258" t="n">
        <v>592</v>
      </c>
      <c r="FQ258" t="n">
        <v>33</v>
      </c>
      <c r="FR258" t="n">
        <v>148</v>
      </c>
      <c r="FS258" t="n">
        <v>206</v>
      </c>
      <c r="FT258" t="n">
        <v>26</v>
      </c>
      <c r="FU258" t="n">
        <v>183</v>
      </c>
      <c r="FV258" t="n">
        <v>581</v>
      </c>
      <c r="GC258" t="n">
        <v>1</v>
      </c>
      <c r="GD258" t="n">
        <v>326</v>
      </c>
      <c r="GF258" t="n">
        <v>10</v>
      </c>
      <c r="GG258" t="n">
        <v>259</v>
      </c>
      <c r="GH258" t="n">
        <v>462</v>
      </c>
      <c r="HK258" t="n">
        <v>11</v>
      </c>
      <c r="HU258" t="n">
        <v>2</v>
      </c>
      <c r="HV258" t="n">
        <v>2</v>
      </c>
      <c r="HW258" t="n">
        <v>177</v>
      </c>
      <c r="HX258" t="n">
        <v>36</v>
      </c>
      <c r="IB258" t="n">
        <v>34</v>
      </c>
      <c r="IH258" t="n">
        <v>3</v>
      </c>
      <c r="II258" t="n">
        <v>3</v>
      </c>
      <c r="IJ258" t="n">
        <v>9</v>
      </c>
      <c r="IK258" t="n">
        <v>4</v>
      </c>
      <c r="IL258" t="n">
        <v>41</v>
      </c>
      <c r="IM258" t="n">
        <v>6</v>
      </c>
      <c r="IU258" t="n">
        <v>467</v>
      </c>
      <c r="IW258" t="n">
        <v>8</v>
      </c>
      <c r="IX258" t="n">
        <v>88</v>
      </c>
      <c r="IY258" t="n">
        <v>599</v>
      </c>
      <c r="IZ258" t="n">
        <v>2</v>
      </c>
      <c r="JG258" t="n">
        <v>57</v>
      </c>
      <c r="JK258" t="n">
        <v>1</v>
      </c>
      <c r="JL258" t="n">
        <v>4</v>
      </c>
      <c r="JM258" t="n">
        <v>0</v>
      </c>
      <c r="JN258" t="n">
        <v>62</v>
      </c>
      <c r="JO258" t="n">
        <v>10</v>
      </c>
      <c r="JP258" t="n">
        <v>76</v>
      </c>
      <c r="JQ258" t="n">
        <v>13</v>
      </c>
      <c r="JR258" t="n">
        <v>4</v>
      </c>
      <c r="JS258" t="n">
        <v>12</v>
      </c>
      <c r="JT258" t="n">
        <v>11</v>
      </c>
      <c r="JV258" t="n">
        <v>70</v>
      </c>
      <c r="JW258" t="n">
        <v>23</v>
      </c>
      <c r="JX258" t="n">
        <v>1</v>
      </c>
      <c r="JY258" t="n">
        <v>27</v>
      </c>
      <c r="KA258" t="n">
        <v>30</v>
      </c>
      <c r="KB258" t="n">
        <v>6</v>
      </c>
      <c r="KC258" t="n">
        <v>40</v>
      </c>
      <c r="KD258" t="n">
        <v>3</v>
      </c>
      <c r="KE258" t="n">
        <v>2</v>
      </c>
      <c r="KF258" t="n">
        <v>230</v>
      </c>
      <c r="KH258" t="n">
        <v>37</v>
      </c>
      <c r="KI258" t="n">
        <v>24</v>
      </c>
      <c r="KK258" t="n">
        <v>13</v>
      </c>
      <c r="KL258" t="n">
        <v>5</v>
      </c>
      <c r="KM258" t="n">
        <v>223</v>
      </c>
      <c r="KN258" t="n">
        <v>2</v>
      </c>
      <c r="KP258" t="n">
        <v>4</v>
      </c>
      <c r="KQ258" t="n">
        <v>5</v>
      </c>
      <c r="KS258" t="n">
        <v>8</v>
      </c>
      <c r="KT258" t="n">
        <v>1</v>
      </c>
      <c r="KU258" t="n">
        <v>6</v>
      </c>
      <c r="KV258" t="n">
        <v>9</v>
      </c>
      <c r="KW258" t="n">
        <v>59</v>
      </c>
      <c r="KX258" t="n">
        <v>158</v>
      </c>
      <c r="KY258" t="n">
        <v>4</v>
      </c>
      <c r="KZ258" t="n">
        <v>185</v>
      </c>
      <c r="LA258" t="n">
        <v>8</v>
      </c>
      <c r="LB258" t="n">
        <v>0</v>
      </c>
      <c r="LN258" t="n">
        <v>29</v>
      </c>
      <c r="LO258" t="n">
        <v>45</v>
      </c>
      <c r="LW258" t="n">
        <v>154</v>
      </c>
      <c r="LX258" t="n">
        <v>70</v>
      </c>
      <c r="LY258" t="n">
        <v>2</v>
      </c>
      <c r="LZ258" t="n">
        <v>37</v>
      </c>
      <c r="MA258" t="n">
        <v>2</v>
      </c>
      <c r="MD258" t="n">
        <v>1</v>
      </c>
      <c r="MF258" t="n">
        <v>6</v>
      </c>
      <c r="MH258" t="n">
        <v>133</v>
      </c>
      <c r="MK258" t="n">
        <v>4</v>
      </c>
      <c r="MM258" t="n">
        <v>353</v>
      </c>
      <c r="MN258" t="n">
        <v>5</v>
      </c>
      <c r="MO258" t="n">
        <v>170</v>
      </c>
      <c r="MQ258" t="n">
        <v>159</v>
      </c>
      <c r="MR258" t="n">
        <v>86</v>
      </c>
      <c r="MS258" t="n">
        <v>2</v>
      </c>
      <c r="MT258" t="n">
        <v>4</v>
      </c>
      <c r="MU258" t="n">
        <v>14</v>
      </c>
      <c r="MV258" t="n">
        <v>45</v>
      </c>
      <c r="MW258" t="n">
        <v>1</v>
      </c>
      <c r="MX258" t="n">
        <v>6</v>
      </c>
      <c r="MY258" t="n">
        <v>21</v>
      </c>
      <c r="MZ258" t="n">
        <v>72</v>
      </c>
      <c r="NA258" t="n">
        <v>4</v>
      </c>
      <c r="NB258" t="n">
        <v>4</v>
      </c>
      <c r="NC258" t="n">
        <v>62</v>
      </c>
      <c r="ND258" t="n">
        <v>99</v>
      </c>
      <c r="NE258" t="n">
        <v>150</v>
      </c>
      <c r="NG258" t="n">
        <v>1</v>
      </c>
      <c r="NI258" t="n">
        <v>4</v>
      </c>
      <c r="NJ258" t="n">
        <v>5</v>
      </c>
      <c r="NK258" t="n">
        <v>0</v>
      </c>
      <c r="NL258" t="n">
        <v>5</v>
      </c>
      <c r="NM258" t="n">
        <v>196</v>
      </c>
      <c r="NN258" t="n">
        <v>30</v>
      </c>
      <c r="NO258" t="n">
        <v>158</v>
      </c>
      <c r="NP258" t="n">
        <v>12</v>
      </c>
      <c r="NQ258" t="n">
        <v>3</v>
      </c>
      <c r="NR258" t="n">
        <v>125</v>
      </c>
      <c r="NS258" t="n">
        <v>18</v>
      </c>
      <c r="NT258" t="n">
        <v>196</v>
      </c>
      <c r="NU258" t="n">
        <v>17</v>
      </c>
      <c r="NV258" t="n">
        <v>55</v>
      </c>
      <c r="NW258" t="n">
        <v>0</v>
      </c>
      <c r="NY258" t="n">
        <v>4</v>
      </c>
      <c r="OA258" t="n">
        <v>11</v>
      </c>
      <c r="OB258" t="n">
        <v>57</v>
      </c>
      <c r="OE258" t="n">
        <v>10</v>
      </c>
      <c r="OI258" t="n">
        <v>273</v>
      </c>
      <c r="OJ258" t="n">
        <v>422</v>
      </c>
      <c r="OK258" t="n">
        <v>51</v>
      </c>
      <c r="OL258" t="n">
        <v>74</v>
      </c>
      <c r="OM258" t="n">
        <v>4</v>
      </c>
      <c r="ON258" t="n">
        <v>265</v>
      </c>
      <c r="OO258" t="n">
        <v>30796</v>
      </c>
      <c r="OP258" t="n">
        <v>4831</v>
      </c>
      <c r="OU258" t="n">
        <v>260</v>
      </c>
      <c r="OV258" t="n">
        <v>2909</v>
      </c>
      <c r="PI258" t="n">
        <v>38796</v>
      </c>
      <c r="PM258">
        <f>IFERROR(VLOOKUP($A258&amp;"",Key!$A:$C,3,FALSE),"")</f>
        <v/>
      </c>
    </row>
    <row r="259">
      <c r="A259" t="n">
        <v>325520</v>
      </c>
      <c r="B259" t="inlineStr">
        <is>
          <t>Adhesive manufacturing</t>
        </is>
      </c>
      <c r="H259" t="n">
        <v>17</v>
      </c>
      <c r="Z259" t="n">
        <v>0</v>
      </c>
      <c r="AA259" t="n">
        <v>2</v>
      </c>
      <c r="AB259" t="n">
        <v>2</v>
      </c>
      <c r="AC259" t="n">
        <v>418</v>
      </c>
      <c r="AD259" t="n">
        <v>120</v>
      </c>
      <c r="AE259" t="n">
        <v>15</v>
      </c>
      <c r="AF259" t="n">
        <v>54</v>
      </c>
      <c r="AG259" t="n">
        <v>318</v>
      </c>
      <c r="AH259" t="n">
        <v>1</v>
      </c>
      <c r="AI259" t="n">
        <v>111</v>
      </c>
      <c r="AJ259" t="n">
        <v>109</v>
      </c>
      <c r="AK259" t="n">
        <v>413</v>
      </c>
      <c r="AL259" t="n">
        <v>164</v>
      </c>
      <c r="AM259" t="n">
        <v>74</v>
      </c>
      <c r="AN259" t="n">
        <v>976</v>
      </c>
      <c r="AO259" t="n">
        <v>465</v>
      </c>
      <c r="AP259" t="n">
        <v>8</v>
      </c>
      <c r="AQ259" t="n">
        <v>1</v>
      </c>
      <c r="AR259" t="n">
        <v>25</v>
      </c>
      <c r="AX259" t="n">
        <v>46</v>
      </c>
      <c r="BA259" t="n">
        <v>73</v>
      </c>
      <c r="BB259" t="n">
        <v>4</v>
      </c>
      <c r="BC259" t="n">
        <v>6</v>
      </c>
      <c r="BD259" t="n">
        <v>8</v>
      </c>
      <c r="BF259" t="n">
        <v>1</v>
      </c>
      <c r="BI259" t="n">
        <v>6</v>
      </c>
      <c r="BJ259" t="n">
        <v>1</v>
      </c>
      <c r="BP259" t="n">
        <v>1</v>
      </c>
      <c r="BR259" t="n">
        <v>1</v>
      </c>
      <c r="BU259" t="n">
        <v>45</v>
      </c>
      <c r="BZ259" t="n">
        <v>18</v>
      </c>
      <c r="CE259" t="n">
        <v>1</v>
      </c>
      <c r="CF259" t="n">
        <v>50</v>
      </c>
      <c r="CN259" t="n">
        <v>1</v>
      </c>
      <c r="CO259" t="n">
        <v>9</v>
      </c>
      <c r="CZ259" t="n">
        <v>107</v>
      </c>
      <c r="DG259" t="n">
        <v>3</v>
      </c>
      <c r="DM259" t="n">
        <v>4</v>
      </c>
      <c r="DN259" t="n">
        <v>2</v>
      </c>
      <c r="DO259" t="n">
        <v>2</v>
      </c>
      <c r="DP259" t="n">
        <v>16</v>
      </c>
      <c r="DQ259" t="n">
        <v>10</v>
      </c>
      <c r="DR259" t="n">
        <v>250</v>
      </c>
      <c r="DS259" t="n">
        <v>9</v>
      </c>
      <c r="EA259" t="n">
        <v>1</v>
      </c>
      <c r="EC259" t="n">
        <v>2</v>
      </c>
      <c r="EK259" t="n">
        <v>8</v>
      </c>
      <c r="EL259" t="n">
        <v>3</v>
      </c>
      <c r="EM259" t="n">
        <v>1</v>
      </c>
      <c r="EQ259" t="n">
        <v>13</v>
      </c>
      <c r="ER259" t="n">
        <v>2279</v>
      </c>
      <c r="ES259" t="n">
        <v>10</v>
      </c>
      <c r="EX259" t="n">
        <v>5</v>
      </c>
      <c r="EY259" t="n">
        <v>6</v>
      </c>
      <c r="EZ259" t="n">
        <v>18</v>
      </c>
      <c r="FA259" t="n">
        <v>102</v>
      </c>
      <c r="FB259" t="n">
        <v>1</v>
      </c>
      <c r="FC259" t="n">
        <v>21</v>
      </c>
      <c r="FD259" t="n">
        <v>24</v>
      </c>
      <c r="FI259" t="n">
        <v>8</v>
      </c>
      <c r="FN259" t="n">
        <v>0</v>
      </c>
      <c r="FP259" t="n">
        <v>72</v>
      </c>
      <c r="FQ259" t="n">
        <v>24</v>
      </c>
      <c r="FR259" t="n">
        <v>64</v>
      </c>
      <c r="FS259" t="n">
        <v>8</v>
      </c>
      <c r="FU259" t="n">
        <v>17</v>
      </c>
      <c r="FV259" t="n">
        <v>81</v>
      </c>
      <c r="FX259" t="n">
        <v>175</v>
      </c>
      <c r="FY259" t="n">
        <v>318</v>
      </c>
      <c r="FZ259" t="n">
        <v>4</v>
      </c>
      <c r="GA259" t="n">
        <v>2</v>
      </c>
      <c r="GB259" t="n">
        <v>3</v>
      </c>
      <c r="GD259" t="n">
        <v>2</v>
      </c>
      <c r="GF259" t="n">
        <v>12</v>
      </c>
      <c r="GO259" t="n">
        <v>3</v>
      </c>
      <c r="GP259" t="n">
        <v>1</v>
      </c>
      <c r="GQ259" t="n">
        <v>3</v>
      </c>
      <c r="GR259" t="n">
        <v>4</v>
      </c>
      <c r="GS259" t="n">
        <v>6</v>
      </c>
      <c r="GU259" t="n">
        <v>3</v>
      </c>
      <c r="GV259" t="n">
        <v>8</v>
      </c>
      <c r="HA259" t="n">
        <v>10</v>
      </c>
      <c r="HB259" t="n">
        <v>21</v>
      </c>
      <c r="HF259" t="n">
        <v>1</v>
      </c>
      <c r="HG259" t="n">
        <v>23</v>
      </c>
      <c r="HH259" t="n">
        <v>2</v>
      </c>
      <c r="HK259" t="n">
        <v>3</v>
      </c>
      <c r="HM259" t="n">
        <v>231</v>
      </c>
      <c r="HN259" t="n">
        <v>39</v>
      </c>
      <c r="HQ259" t="n">
        <v>8</v>
      </c>
      <c r="HS259" t="n">
        <v>4</v>
      </c>
      <c r="HT259" t="n">
        <v>34</v>
      </c>
      <c r="HU259" t="n">
        <v>215</v>
      </c>
      <c r="HV259" t="n">
        <v>85</v>
      </c>
      <c r="HW259" t="n">
        <v>919</v>
      </c>
      <c r="HX259" t="n">
        <v>1471</v>
      </c>
      <c r="HY259" t="n">
        <v>78</v>
      </c>
      <c r="HZ259" t="n">
        <v>228</v>
      </c>
      <c r="IA259" t="n">
        <v>33</v>
      </c>
      <c r="IB259" t="n">
        <v>354</v>
      </c>
      <c r="IC259" t="n">
        <v>2</v>
      </c>
      <c r="ID259" t="n">
        <v>6</v>
      </c>
      <c r="IG259" t="n">
        <v>25</v>
      </c>
      <c r="IH259" t="n">
        <v>8</v>
      </c>
      <c r="IJ259" t="n">
        <v>39</v>
      </c>
      <c r="IK259" t="n">
        <v>93</v>
      </c>
      <c r="IL259" t="n">
        <v>433</v>
      </c>
      <c r="IM259" t="n">
        <v>36</v>
      </c>
      <c r="IN259" t="n">
        <v>16</v>
      </c>
      <c r="IP259" t="n">
        <v>6</v>
      </c>
      <c r="IT259" t="n">
        <v>50</v>
      </c>
      <c r="IU259" t="n">
        <v>15</v>
      </c>
      <c r="IV259" t="n">
        <v>236</v>
      </c>
      <c r="IW259" t="n">
        <v>152</v>
      </c>
      <c r="IX259" t="n">
        <v>4</v>
      </c>
      <c r="IZ259" t="n">
        <v>549</v>
      </c>
      <c r="JA259" t="n">
        <v>295</v>
      </c>
      <c r="JB259" t="n">
        <v>51</v>
      </c>
      <c r="JC259" t="n">
        <v>50</v>
      </c>
      <c r="JD259" t="n">
        <v>12</v>
      </c>
      <c r="JE259" t="n">
        <v>123</v>
      </c>
      <c r="JG259" t="n">
        <v>41</v>
      </c>
      <c r="JH259" t="n">
        <v>15</v>
      </c>
      <c r="JI259" t="n">
        <v>3</v>
      </c>
      <c r="JK259" t="n">
        <v>0</v>
      </c>
      <c r="JL259" t="n">
        <v>5</v>
      </c>
      <c r="JM259" t="n">
        <v>3</v>
      </c>
      <c r="JN259" t="n">
        <v>2</v>
      </c>
      <c r="JO259" t="n">
        <v>0</v>
      </c>
      <c r="JQ259" t="n">
        <v>9</v>
      </c>
      <c r="JR259" t="n">
        <v>3</v>
      </c>
      <c r="JT259" t="n">
        <v>0</v>
      </c>
      <c r="JV259" t="n">
        <v>5</v>
      </c>
      <c r="JW259" t="n">
        <v>1</v>
      </c>
      <c r="JX259" t="n">
        <v>3</v>
      </c>
      <c r="JY259" t="n">
        <v>10</v>
      </c>
      <c r="JZ259" t="n">
        <v>1</v>
      </c>
      <c r="KB259" t="n">
        <v>2</v>
      </c>
      <c r="KD259" t="n">
        <v>3</v>
      </c>
      <c r="KJ259" t="n">
        <v>0</v>
      </c>
      <c r="KX259" t="n">
        <v>1</v>
      </c>
      <c r="KZ259" t="n">
        <v>36</v>
      </c>
      <c r="LC259" t="n">
        <v>9</v>
      </c>
      <c r="LD259" t="n">
        <v>10</v>
      </c>
      <c r="LE259" t="n">
        <v>7</v>
      </c>
      <c r="LF259" t="n">
        <v>2</v>
      </c>
      <c r="LI259" t="n">
        <v>1</v>
      </c>
      <c r="LK259" t="n">
        <v>1</v>
      </c>
      <c r="LM259" t="n">
        <v>32</v>
      </c>
      <c r="LO259" t="n">
        <v>26</v>
      </c>
      <c r="LR259" t="n">
        <v>2</v>
      </c>
      <c r="LT259" t="n">
        <v>4</v>
      </c>
      <c r="LW259" t="n">
        <v>4</v>
      </c>
      <c r="LX259" t="n">
        <v>1</v>
      </c>
      <c r="MA259" t="n">
        <v>4</v>
      </c>
      <c r="MH259" t="n">
        <v>285</v>
      </c>
      <c r="MI259" t="n">
        <v>3</v>
      </c>
      <c r="MJ259" t="n">
        <v>1</v>
      </c>
      <c r="MK259" t="n">
        <v>7</v>
      </c>
      <c r="MQ259" t="n">
        <v>1</v>
      </c>
      <c r="MS259" t="n">
        <v>7</v>
      </c>
      <c r="MT259" t="n">
        <v>5</v>
      </c>
      <c r="MU259" t="n">
        <v>0</v>
      </c>
      <c r="MV259" t="n">
        <v>65</v>
      </c>
      <c r="MX259" t="n">
        <v>4</v>
      </c>
      <c r="MY259" t="n">
        <v>5</v>
      </c>
      <c r="MZ259" t="n">
        <v>31</v>
      </c>
      <c r="NC259" t="n">
        <v>4</v>
      </c>
      <c r="ND259" t="n">
        <v>5</v>
      </c>
      <c r="NE259" t="n">
        <v>6</v>
      </c>
      <c r="NM259" t="n">
        <v>7</v>
      </c>
      <c r="NN259" t="n">
        <v>5</v>
      </c>
      <c r="NR259" t="n">
        <v>4</v>
      </c>
      <c r="NU259" t="n">
        <v>3</v>
      </c>
      <c r="NV259" t="n">
        <v>2</v>
      </c>
      <c r="NZ259" t="n">
        <v>3</v>
      </c>
      <c r="OB259" t="n">
        <v>19</v>
      </c>
      <c r="OI259" t="n">
        <v>0</v>
      </c>
      <c r="OJ259" t="n">
        <v>184</v>
      </c>
      <c r="OK259" t="n">
        <v>101</v>
      </c>
      <c r="OO259" t="n">
        <v>14243</v>
      </c>
      <c r="OP259" t="n">
        <v>3105</v>
      </c>
      <c r="OU259" t="n">
        <v>105</v>
      </c>
      <c r="OV259" t="n">
        <v>2115</v>
      </c>
      <c r="PI259" t="n">
        <v>19567</v>
      </c>
      <c r="PM259">
        <f>IFERROR(VLOOKUP($A259&amp;"",Key!$A:$C,3,FALSE),"")</f>
        <v/>
      </c>
    </row>
    <row r="260">
      <c r="A260" t="n">
        <v>325610</v>
      </c>
      <c r="B260" t="inlineStr">
        <is>
          <t>Soap and cleaning compound manufacturing</t>
        </is>
      </c>
      <c r="H260" t="n">
        <v>162</v>
      </c>
      <c r="I260" t="n">
        <v>46</v>
      </c>
      <c r="K260" t="n">
        <v>3</v>
      </c>
      <c r="P260" t="n">
        <v>0</v>
      </c>
      <c r="Q260" t="n">
        <v>2</v>
      </c>
      <c r="R260" t="n">
        <v>1</v>
      </c>
      <c r="S260" t="n">
        <v>3</v>
      </c>
      <c r="T260" t="n">
        <v>1</v>
      </c>
      <c r="U260" t="n">
        <v>7</v>
      </c>
      <c r="V260" t="n">
        <v>1</v>
      </c>
      <c r="W260" t="n">
        <v>4</v>
      </c>
      <c r="X260" t="n">
        <v>12</v>
      </c>
      <c r="Y260" t="n">
        <v>2</v>
      </c>
      <c r="Z260" t="n">
        <v>1</v>
      </c>
      <c r="AA260" t="n">
        <v>0</v>
      </c>
      <c r="AB260" t="n">
        <v>0</v>
      </c>
      <c r="AC260" t="n">
        <v>347</v>
      </c>
      <c r="AD260" t="n">
        <v>3</v>
      </c>
      <c r="AE260" t="n">
        <v>2</v>
      </c>
      <c r="AF260" t="n">
        <v>0</v>
      </c>
      <c r="AG260" t="n">
        <v>33</v>
      </c>
      <c r="AH260" t="n">
        <v>0</v>
      </c>
      <c r="AI260" t="n">
        <v>1</v>
      </c>
      <c r="AJ260" t="n">
        <v>0</v>
      </c>
      <c r="AK260" t="n">
        <v>1</v>
      </c>
      <c r="AL260" t="n">
        <v>1</v>
      </c>
      <c r="AM260" t="n">
        <v>1</v>
      </c>
      <c r="AN260" t="n">
        <v>3</v>
      </c>
      <c r="AO260" t="n">
        <v>1</v>
      </c>
      <c r="AP260" t="n">
        <v>61</v>
      </c>
      <c r="AQ260" t="n">
        <v>1</v>
      </c>
      <c r="AR260" t="n">
        <v>20</v>
      </c>
      <c r="AS260" t="n">
        <v>1</v>
      </c>
      <c r="AT260" t="n">
        <v>1</v>
      </c>
      <c r="AU260" t="n">
        <v>1</v>
      </c>
      <c r="AV260" t="n">
        <v>1</v>
      </c>
      <c r="AW260" t="n">
        <v>2</v>
      </c>
      <c r="AX260" t="n">
        <v>2</v>
      </c>
      <c r="AY260" t="n">
        <v>4</v>
      </c>
      <c r="AZ260" t="n">
        <v>1</v>
      </c>
      <c r="BA260" t="n">
        <v>1</v>
      </c>
      <c r="BB260" t="n">
        <v>1</v>
      </c>
      <c r="BC260" t="n">
        <v>1</v>
      </c>
      <c r="BD260" t="n">
        <v>2</v>
      </c>
      <c r="BE260" t="n">
        <v>1</v>
      </c>
      <c r="BF260" t="n">
        <v>2</v>
      </c>
      <c r="BG260" t="n">
        <v>1</v>
      </c>
      <c r="BH260" t="n">
        <v>2</v>
      </c>
      <c r="BI260" t="n">
        <v>1</v>
      </c>
      <c r="BJ260" t="n">
        <v>1</v>
      </c>
      <c r="BK260" t="n">
        <v>0</v>
      </c>
      <c r="BL260" t="n">
        <v>2</v>
      </c>
      <c r="BM260" t="n">
        <v>1</v>
      </c>
      <c r="BN260" t="n">
        <v>3</v>
      </c>
      <c r="BO260" t="n">
        <v>1</v>
      </c>
      <c r="BP260" t="n">
        <v>3</v>
      </c>
      <c r="BQ260" t="n">
        <v>2</v>
      </c>
      <c r="BR260" t="n">
        <v>1</v>
      </c>
      <c r="BS260" t="n">
        <v>2</v>
      </c>
      <c r="BT260" t="n">
        <v>1</v>
      </c>
      <c r="BU260" t="n">
        <v>1</v>
      </c>
      <c r="BV260" t="n">
        <v>3</v>
      </c>
      <c r="BW260" t="n">
        <v>1</v>
      </c>
      <c r="BX260" t="n">
        <v>1</v>
      </c>
      <c r="BY260" t="n">
        <v>2</v>
      </c>
      <c r="BZ260" t="n">
        <v>3</v>
      </c>
      <c r="CA260" t="n">
        <v>1</v>
      </c>
      <c r="CB260" t="n">
        <v>1</v>
      </c>
      <c r="CC260" t="n">
        <v>1</v>
      </c>
      <c r="CD260" t="n">
        <v>2</v>
      </c>
      <c r="CE260" t="n">
        <v>4</v>
      </c>
      <c r="CF260" t="n">
        <v>1</v>
      </c>
      <c r="CG260" t="n">
        <v>1</v>
      </c>
      <c r="CH260" t="n">
        <v>1</v>
      </c>
      <c r="CI260" t="n">
        <v>1</v>
      </c>
      <c r="CJ260" t="n">
        <v>2</v>
      </c>
      <c r="CK260" t="n">
        <v>2</v>
      </c>
      <c r="CL260" t="n">
        <v>3</v>
      </c>
      <c r="CM260" t="n">
        <v>2</v>
      </c>
      <c r="CN260" t="n">
        <v>1</v>
      </c>
      <c r="CO260" t="n">
        <v>2</v>
      </c>
      <c r="CP260" t="n">
        <v>1</v>
      </c>
      <c r="CQ260" t="n">
        <v>2</v>
      </c>
      <c r="CR260" t="n">
        <v>1</v>
      </c>
      <c r="CS260" t="n">
        <v>1</v>
      </c>
      <c r="CT260" t="n">
        <v>1</v>
      </c>
      <c r="CU260" t="n">
        <v>1</v>
      </c>
      <c r="CV260" t="n">
        <v>1</v>
      </c>
      <c r="CW260" t="n">
        <v>2</v>
      </c>
      <c r="CX260" t="n">
        <v>1</v>
      </c>
      <c r="CY260" t="n">
        <v>1</v>
      </c>
      <c r="CZ260" t="n">
        <v>2</v>
      </c>
      <c r="DA260" t="n">
        <v>1</v>
      </c>
      <c r="DB260" t="n">
        <v>1</v>
      </c>
      <c r="DC260" t="n">
        <v>2</v>
      </c>
      <c r="DD260" t="n">
        <v>1</v>
      </c>
      <c r="DE260" t="n">
        <v>1</v>
      </c>
      <c r="DF260" t="n">
        <v>1</v>
      </c>
      <c r="DG260" t="n">
        <v>12</v>
      </c>
      <c r="DH260" t="n">
        <v>2</v>
      </c>
      <c r="DI260" t="n">
        <v>1</v>
      </c>
      <c r="DJ260" t="n">
        <v>0</v>
      </c>
      <c r="DK260" t="n">
        <v>0</v>
      </c>
      <c r="DL260" t="n">
        <v>1</v>
      </c>
      <c r="DM260" t="n">
        <v>6</v>
      </c>
      <c r="DN260" t="n">
        <v>2</v>
      </c>
      <c r="DO260" t="n">
        <v>3</v>
      </c>
      <c r="DP260" t="n">
        <v>1</v>
      </c>
      <c r="DQ260" t="n">
        <v>3</v>
      </c>
      <c r="DR260" t="n">
        <v>1</v>
      </c>
      <c r="DS260" t="n">
        <v>22</v>
      </c>
      <c r="DT260" t="n">
        <v>0</v>
      </c>
      <c r="DU260" t="n">
        <v>1</v>
      </c>
      <c r="DV260" t="n">
        <v>1</v>
      </c>
      <c r="DW260" t="n">
        <v>4</v>
      </c>
      <c r="DX260" t="n">
        <v>1</v>
      </c>
      <c r="DY260" t="n">
        <v>1</v>
      </c>
      <c r="DZ260" t="n">
        <v>3</v>
      </c>
      <c r="EA260" t="n">
        <v>1</v>
      </c>
      <c r="EB260" t="n">
        <v>0</v>
      </c>
      <c r="EC260" t="n">
        <v>0</v>
      </c>
      <c r="ED260" t="n">
        <v>4</v>
      </c>
      <c r="EE260" t="n">
        <v>2</v>
      </c>
      <c r="EF260" t="n">
        <v>3</v>
      </c>
      <c r="EG260" t="n">
        <v>2</v>
      </c>
      <c r="EH260" t="n">
        <v>1</v>
      </c>
      <c r="EI260" t="n">
        <v>1</v>
      </c>
      <c r="EJ260" t="n">
        <v>1</v>
      </c>
      <c r="EK260" t="n">
        <v>2</v>
      </c>
      <c r="EL260" t="n">
        <v>1</v>
      </c>
      <c r="EM260" t="n">
        <v>0</v>
      </c>
      <c r="EN260" t="n">
        <v>2</v>
      </c>
      <c r="EO260" t="n">
        <v>1</v>
      </c>
      <c r="EP260" t="n">
        <v>1</v>
      </c>
      <c r="EQ260" t="n">
        <v>1</v>
      </c>
      <c r="ER260" t="n">
        <v>2</v>
      </c>
      <c r="ES260" t="n">
        <v>1</v>
      </c>
      <c r="ET260" t="n">
        <v>3</v>
      </c>
      <c r="EU260" t="n">
        <v>1</v>
      </c>
      <c r="EV260" t="n">
        <v>1</v>
      </c>
      <c r="EW260" t="n">
        <v>2</v>
      </c>
      <c r="EX260" t="n">
        <v>1</v>
      </c>
      <c r="EY260" t="n">
        <v>2</v>
      </c>
      <c r="EZ260" t="n">
        <v>3</v>
      </c>
      <c r="FA260" t="n">
        <v>1</v>
      </c>
      <c r="FB260" t="n">
        <v>1</v>
      </c>
      <c r="FC260" t="n">
        <v>3</v>
      </c>
      <c r="FD260" t="n">
        <v>5</v>
      </c>
      <c r="FE260" t="n">
        <v>3</v>
      </c>
      <c r="FF260" t="n">
        <v>0</v>
      </c>
      <c r="FG260" t="n">
        <v>1</v>
      </c>
      <c r="FH260" t="n">
        <v>1</v>
      </c>
      <c r="FI260" t="n">
        <v>1</v>
      </c>
      <c r="FJ260" t="n">
        <v>1</v>
      </c>
      <c r="FK260" t="n">
        <v>2</v>
      </c>
      <c r="FL260" t="n">
        <v>2</v>
      </c>
      <c r="FM260" t="n">
        <v>1</v>
      </c>
      <c r="FN260" t="n">
        <v>0</v>
      </c>
      <c r="FO260" t="n">
        <v>1</v>
      </c>
      <c r="FP260" t="n">
        <v>3</v>
      </c>
      <c r="FQ260" t="n">
        <v>1</v>
      </c>
      <c r="FR260" t="n">
        <v>1</v>
      </c>
      <c r="FS260" t="n">
        <v>1</v>
      </c>
      <c r="FT260" t="n">
        <v>1</v>
      </c>
      <c r="FU260" t="n">
        <v>1</v>
      </c>
      <c r="FV260" t="n">
        <v>5</v>
      </c>
      <c r="FW260" t="n">
        <v>3</v>
      </c>
      <c r="FX260" t="n">
        <v>12</v>
      </c>
      <c r="FY260" t="n">
        <v>8</v>
      </c>
      <c r="FZ260" t="n">
        <v>1</v>
      </c>
      <c r="GA260" t="n">
        <v>3</v>
      </c>
      <c r="GB260" t="n">
        <v>1</v>
      </c>
      <c r="GC260" t="n">
        <v>1</v>
      </c>
      <c r="GD260" t="n">
        <v>3</v>
      </c>
      <c r="GE260" t="n">
        <v>1</v>
      </c>
      <c r="GF260" t="n">
        <v>1</v>
      </c>
      <c r="GG260" t="n">
        <v>11</v>
      </c>
      <c r="GH260" t="n">
        <v>7</v>
      </c>
      <c r="GI260" t="n">
        <v>2</v>
      </c>
      <c r="GJ260" t="n">
        <v>1</v>
      </c>
      <c r="GK260" t="n">
        <v>2</v>
      </c>
      <c r="GL260" t="n">
        <v>1</v>
      </c>
      <c r="GM260" t="n">
        <v>0</v>
      </c>
      <c r="GN260" t="n">
        <v>1</v>
      </c>
      <c r="GO260" t="n">
        <v>36</v>
      </c>
      <c r="GP260" t="n">
        <v>54</v>
      </c>
      <c r="GQ260" t="n">
        <v>13</v>
      </c>
      <c r="GR260" t="n">
        <v>9</v>
      </c>
      <c r="GS260" t="n">
        <v>42</v>
      </c>
      <c r="GT260" t="n">
        <v>12</v>
      </c>
      <c r="GU260" t="n">
        <v>39</v>
      </c>
      <c r="GV260" t="n">
        <v>61</v>
      </c>
      <c r="GW260" t="n">
        <v>0</v>
      </c>
      <c r="GX260" t="n">
        <v>1</v>
      </c>
      <c r="GY260" t="n">
        <v>2</v>
      </c>
      <c r="GZ260" t="n">
        <v>35</v>
      </c>
      <c r="HA260" t="n">
        <v>36</v>
      </c>
      <c r="HB260" t="n">
        <v>92</v>
      </c>
      <c r="HC260" t="n">
        <v>1</v>
      </c>
      <c r="HD260" t="n">
        <v>11</v>
      </c>
      <c r="HE260" t="n">
        <v>1</v>
      </c>
      <c r="HF260" t="n">
        <v>11</v>
      </c>
      <c r="HG260" t="n">
        <v>41</v>
      </c>
      <c r="HH260" t="n">
        <v>7</v>
      </c>
      <c r="HI260" t="n">
        <v>0</v>
      </c>
      <c r="HJ260" t="n">
        <v>0</v>
      </c>
      <c r="HK260" t="n">
        <v>17</v>
      </c>
      <c r="HL260" t="n">
        <v>1</v>
      </c>
      <c r="HM260" t="n">
        <v>112</v>
      </c>
      <c r="HN260" t="n">
        <v>2</v>
      </c>
      <c r="HO260" t="n">
        <v>2</v>
      </c>
      <c r="HP260" t="n">
        <v>1</v>
      </c>
      <c r="HQ260" t="n">
        <v>3</v>
      </c>
      <c r="HR260" t="n">
        <v>7</v>
      </c>
      <c r="HS260" t="n">
        <v>90</v>
      </c>
      <c r="HT260" t="n">
        <v>2</v>
      </c>
      <c r="HU260" t="n">
        <v>3</v>
      </c>
      <c r="HV260" t="n">
        <v>1</v>
      </c>
      <c r="HW260" t="n">
        <v>5</v>
      </c>
      <c r="HX260" t="n">
        <v>2</v>
      </c>
      <c r="HY260" t="n">
        <v>1</v>
      </c>
      <c r="HZ260" t="n">
        <v>1</v>
      </c>
      <c r="IA260" t="n">
        <v>1</v>
      </c>
      <c r="IB260" t="n">
        <v>3</v>
      </c>
      <c r="IC260" t="n">
        <v>0</v>
      </c>
      <c r="ID260" t="n">
        <v>8</v>
      </c>
      <c r="IE260" t="n">
        <v>23</v>
      </c>
      <c r="IF260" t="n">
        <v>1</v>
      </c>
      <c r="IG260" t="n">
        <v>4</v>
      </c>
      <c r="IH260" t="n">
        <v>3</v>
      </c>
      <c r="II260" t="n">
        <v>1</v>
      </c>
      <c r="IJ260" t="n">
        <v>1</v>
      </c>
      <c r="IK260" t="n">
        <v>1</v>
      </c>
      <c r="IL260" t="n">
        <v>11</v>
      </c>
      <c r="IM260" t="n">
        <v>7</v>
      </c>
      <c r="IN260" t="n">
        <v>3</v>
      </c>
      <c r="IO260" t="n">
        <v>1</v>
      </c>
      <c r="IP260" t="n">
        <v>1</v>
      </c>
      <c r="IQ260" t="n">
        <v>0</v>
      </c>
      <c r="IR260" t="n">
        <v>1</v>
      </c>
      <c r="IS260" t="n">
        <v>7</v>
      </c>
      <c r="IT260" t="n">
        <v>118</v>
      </c>
      <c r="IU260" t="n">
        <v>1</v>
      </c>
      <c r="IV260" t="n">
        <v>6</v>
      </c>
      <c r="IW260" t="n">
        <v>3690</v>
      </c>
      <c r="IX260" t="n">
        <v>607</v>
      </c>
      <c r="IY260" t="n">
        <v>1</v>
      </c>
      <c r="IZ260" t="n">
        <v>96</v>
      </c>
      <c r="JA260" t="n">
        <v>51</v>
      </c>
      <c r="JB260" t="n">
        <v>2</v>
      </c>
      <c r="JC260" t="n">
        <v>1</v>
      </c>
      <c r="JD260" t="n">
        <v>5</v>
      </c>
      <c r="JE260" t="n">
        <v>5</v>
      </c>
      <c r="JF260" t="n">
        <v>8</v>
      </c>
      <c r="JG260" t="n">
        <v>10</v>
      </c>
      <c r="JH260" t="n">
        <v>1</v>
      </c>
      <c r="JI260" t="n">
        <v>1</v>
      </c>
      <c r="JJ260" t="n">
        <v>4</v>
      </c>
      <c r="JK260" t="n">
        <v>5</v>
      </c>
      <c r="JL260" t="n">
        <v>12</v>
      </c>
      <c r="JM260" t="n">
        <v>10</v>
      </c>
      <c r="JN260" t="n">
        <v>3</v>
      </c>
      <c r="JO260" t="n">
        <v>15</v>
      </c>
      <c r="JP260" t="n">
        <v>10</v>
      </c>
      <c r="JQ260" t="n">
        <v>168</v>
      </c>
      <c r="JR260" t="n">
        <v>3</v>
      </c>
      <c r="JS260" t="n">
        <v>19</v>
      </c>
      <c r="JT260" t="n">
        <v>1</v>
      </c>
      <c r="JV260" t="n">
        <v>25</v>
      </c>
      <c r="JW260" t="n">
        <v>24</v>
      </c>
      <c r="JX260" t="n">
        <v>8</v>
      </c>
      <c r="JY260" t="n">
        <v>0</v>
      </c>
      <c r="JZ260" t="n">
        <v>9</v>
      </c>
      <c r="KA260" t="n">
        <v>21</v>
      </c>
      <c r="KB260" t="n">
        <v>11</v>
      </c>
      <c r="KC260" t="n">
        <v>1</v>
      </c>
      <c r="KD260" t="n">
        <v>13</v>
      </c>
      <c r="KH260" t="n">
        <v>3</v>
      </c>
      <c r="KK260" t="n">
        <v>8</v>
      </c>
      <c r="KL260" t="n">
        <v>1</v>
      </c>
      <c r="KN260" t="n">
        <v>1</v>
      </c>
      <c r="KO260" t="n">
        <v>1</v>
      </c>
      <c r="KP260" t="n">
        <v>1</v>
      </c>
      <c r="KQ260" t="n">
        <v>1</v>
      </c>
      <c r="KR260" t="n">
        <v>1</v>
      </c>
      <c r="KS260" t="n">
        <v>5</v>
      </c>
      <c r="KT260" t="n">
        <v>2</v>
      </c>
      <c r="KU260" t="n">
        <v>10</v>
      </c>
      <c r="KV260" t="n">
        <v>3</v>
      </c>
      <c r="KW260" t="n">
        <v>12</v>
      </c>
      <c r="KX260" t="n">
        <v>5</v>
      </c>
      <c r="KY260" t="n">
        <v>3</v>
      </c>
      <c r="KZ260" t="n">
        <v>3</v>
      </c>
      <c r="LA260" t="n">
        <v>4</v>
      </c>
      <c r="LB260" t="n">
        <v>0</v>
      </c>
      <c r="LD260" t="n">
        <v>4</v>
      </c>
      <c r="LL260" t="n">
        <v>0</v>
      </c>
      <c r="LM260" t="n">
        <v>2344</v>
      </c>
      <c r="LN260" t="n">
        <v>8</v>
      </c>
      <c r="LR260" t="n">
        <v>0</v>
      </c>
      <c r="LT260" t="n">
        <v>32</v>
      </c>
      <c r="LW260" t="n">
        <v>171</v>
      </c>
      <c r="LX260" t="n">
        <v>60</v>
      </c>
      <c r="LY260" t="n">
        <v>0</v>
      </c>
      <c r="LZ260" t="n">
        <v>570</v>
      </c>
      <c r="MA260" t="n">
        <v>23</v>
      </c>
      <c r="ME260" t="n">
        <v>6</v>
      </c>
      <c r="MF260" t="n">
        <v>757</v>
      </c>
      <c r="MG260" t="n">
        <v>773</v>
      </c>
      <c r="MH260" t="n">
        <v>1749</v>
      </c>
      <c r="MI260" t="n">
        <v>97</v>
      </c>
      <c r="MJ260" t="n">
        <v>4</v>
      </c>
      <c r="MK260" t="n">
        <v>11</v>
      </c>
      <c r="MN260" t="n">
        <v>23</v>
      </c>
      <c r="MO260" t="n">
        <v>873</v>
      </c>
      <c r="MP260" t="n">
        <v>16</v>
      </c>
      <c r="MQ260" t="n">
        <v>74</v>
      </c>
      <c r="MR260" t="n">
        <v>1</v>
      </c>
      <c r="MS260" t="n">
        <v>126</v>
      </c>
      <c r="MU260" t="n">
        <v>1</v>
      </c>
      <c r="MV260" t="n">
        <v>5</v>
      </c>
      <c r="MX260" t="n">
        <v>0</v>
      </c>
      <c r="MZ260" t="n">
        <v>5</v>
      </c>
      <c r="NA260" t="n">
        <v>25</v>
      </c>
      <c r="NB260" t="n">
        <v>5</v>
      </c>
      <c r="NC260" t="n">
        <v>4</v>
      </c>
      <c r="ND260" t="n">
        <v>1</v>
      </c>
      <c r="NE260" t="n">
        <v>0</v>
      </c>
      <c r="NM260" t="n">
        <v>3</v>
      </c>
      <c r="NN260" t="n">
        <v>23</v>
      </c>
      <c r="NO260" t="n">
        <v>3</v>
      </c>
      <c r="NP260" t="n">
        <v>16</v>
      </c>
      <c r="NQ260" t="n">
        <v>1</v>
      </c>
      <c r="NR260" t="n">
        <v>213</v>
      </c>
      <c r="NU260" t="n">
        <v>5</v>
      </c>
      <c r="NX260" t="n">
        <v>219</v>
      </c>
      <c r="NY260" t="n">
        <v>30</v>
      </c>
      <c r="NZ260" t="n">
        <v>9</v>
      </c>
      <c r="OA260" t="n">
        <v>1</v>
      </c>
      <c r="OB260" t="n">
        <v>43</v>
      </c>
      <c r="OD260" t="n">
        <v>20</v>
      </c>
      <c r="OE260" t="n">
        <v>471</v>
      </c>
      <c r="OF260" t="n">
        <v>13</v>
      </c>
      <c r="OG260" t="n">
        <v>11</v>
      </c>
      <c r="OH260" t="n">
        <v>5</v>
      </c>
      <c r="OI260" t="n">
        <v>686</v>
      </c>
      <c r="OJ260" t="n">
        <v>1522</v>
      </c>
      <c r="OK260" t="n">
        <v>626</v>
      </c>
      <c r="OL260" t="n">
        <v>0</v>
      </c>
      <c r="OM260" t="n">
        <v>0</v>
      </c>
      <c r="ON260" t="n">
        <v>15</v>
      </c>
      <c r="OO260" t="n">
        <v>18583</v>
      </c>
      <c r="OP260" t="n">
        <v>33144</v>
      </c>
      <c r="OU260" t="n">
        <v>40</v>
      </c>
      <c r="OV260" t="n">
        <v>7384</v>
      </c>
      <c r="PI260" t="n">
        <v>59151</v>
      </c>
      <c r="PM260">
        <f>IFERROR(VLOOKUP($A260&amp;"",Key!$A:$C,3,FALSE),"")</f>
        <v/>
      </c>
    </row>
    <row r="261">
      <c r="A261" t="n">
        <v>325620</v>
      </c>
      <c r="B261" t="inlineStr">
        <is>
          <t>Toilet preparation manufacturing</t>
        </is>
      </c>
      <c r="AC261" t="n">
        <v>2</v>
      </c>
      <c r="IW261" t="n">
        <v>244</v>
      </c>
      <c r="IX261" t="n">
        <v>774</v>
      </c>
      <c r="LW261" t="n">
        <v>59</v>
      </c>
      <c r="LZ261" t="n">
        <v>254</v>
      </c>
      <c r="MF261" t="n">
        <v>18</v>
      </c>
      <c r="MG261" t="n">
        <v>0</v>
      </c>
      <c r="MP261" t="n">
        <v>237</v>
      </c>
      <c r="MR261" t="n">
        <v>76</v>
      </c>
      <c r="NC261" t="n">
        <v>224</v>
      </c>
      <c r="NE261" t="n">
        <v>1</v>
      </c>
      <c r="NV261" t="n">
        <v>3729</v>
      </c>
      <c r="OD261" t="n">
        <v>11</v>
      </c>
      <c r="OI261" t="n">
        <v>1</v>
      </c>
      <c r="OJ261" t="n">
        <v>8</v>
      </c>
      <c r="OK261" t="n">
        <v>408</v>
      </c>
      <c r="OO261" t="n">
        <v>6046</v>
      </c>
      <c r="OP261" t="n">
        <v>71262</v>
      </c>
      <c r="OU261" t="n">
        <v>352</v>
      </c>
      <c r="OV261" t="n">
        <v>8502</v>
      </c>
      <c r="PI261" t="n">
        <v>86161</v>
      </c>
      <c r="PM261">
        <f>IFERROR(VLOOKUP($A261&amp;"",Key!$A:$C,3,FALSE),"")</f>
        <v/>
      </c>
    </row>
    <row r="262">
      <c r="A262" t="n">
        <v>325910</v>
      </c>
      <c r="B262" t="inlineStr">
        <is>
          <t>Printing ink manufacturing</t>
        </is>
      </c>
      <c r="BR262" t="n">
        <v>16</v>
      </c>
      <c r="BU262" t="n">
        <v>48</v>
      </c>
      <c r="BX262" t="n">
        <v>15</v>
      </c>
      <c r="DG262" t="n">
        <v>1</v>
      </c>
      <c r="GG262" t="n">
        <v>75</v>
      </c>
      <c r="HK262" t="n">
        <v>1</v>
      </c>
      <c r="HU262" t="n">
        <v>12</v>
      </c>
      <c r="HW262" t="n">
        <v>338</v>
      </c>
      <c r="HX262" t="n">
        <v>242</v>
      </c>
      <c r="HY262" t="n">
        <v>40</v>
      </c>
      <c r="IA262" t="n">
        <v>4</v>
      </c>
      <c r="IB262" t="n">
        <v>2449</v>
      </c>
      <c r="IC262" t="n">
        <v>22</v>
      </c>
      <c r="IY262" t="n">
        <v>47</v>
      </c>
      <c r="JA262" t="n">
        <v>326</v>
      </c>
      <c r="JN262" t="n">
        <v>74</v>
      </c>
      <c r="JS262" t="n">
        <v>16</v>
      </c>
      <c r="JT262" t="n">
        <v>1</v>
      </c>
      <c r="KD262" t="n">
        <v>0</v>
      </c>
      <c r="KN262" t="n">
        <v>29</v>
      </c>
      <c r="KO262" t="n">
        <v>110</v>
      </c>
      <c r="KP262" t="n">
        <v>72</v>
      </c>
      <c r="KQ262" t="n">
        <v>18</v>
      </c>
      <c r="KW262" t="n">
        <v>54</v>
      </c>
      <c r="KY262" t="n">
        <v>13</v>
      </c>
      <c r="LA262" t="n">
        <v>277</v>
      </c>
      <c r="LT262" t="n">
        <v>17</v>
      </c>
      <c r="LW262" t="n">
        <v>19</v>
      </c>
      <c r="LZ262" t="n">
        <v>4</v>
      </c>
      <c r="MB262" t="n">
        <v>77</v>
      </c>
      <c r="MC262" t="n">
        <v>38</v>
      </c>
      <c r="MK262" t="n">
        <v>55</v>
      </c>
      <c r="MN262" t="n">
        <v>62</v>
      </c>
      <c r="MQ262" t="n">
        <v>1</v>
      </c>
      <c r="OB262" t="n">
        <v>2</v>
      </c>
      <c r="OE262" t="n">
        <v>1</v>
      </c>
      <c r="OF262" t="n">
        <v>5</v>
      </c>
      <c r="OI262" t="n">
        <v>95</v>
      </c>
      <c r="OK262" t="n">
        <v>71</v>
      </c>
      <c r="OO262" t="n">
        <v>4747</v>
      </c>
      <c r="OU262" t="n">
        <v>33</v>
      </c>
      <c r="OV262" t="n">
        <v>953</v>
      </c>
      <c r="PI262" t="n">
        <v>5732</v>
      </c>
      <c r="PM262">
        <f>IFERROR(VLOOKUP($A262&amp;"",Key!$A:$C,3,FALSE),"")</f>
        <v/>
      </c>
    </row>
    <row r="263">
      <c r="A263" t="inlineStr">
        <is>
          <t>3259A0</t>
        </is>
      </c>
      <c r="B263" t="inlineStr">
        <is>
          <t>All other chemical product and preparation manufacturing</t>
        </is>
      </c>
      <c r="C263" t="n">
        <v>7</v>
      </c>
      <c r="D263" t="n">
        <v>28</v>
      </c>
      <c r="E263" t="n">
        <v>4</v>
      </c>
      <c r="F263" t="n">
        <v>4</v>
      </c>
      <c r="G263" t="n">
        <v>4</v>
      </c>
      <c r="H263" t="n">
        <v>10</v>
      </c>
      <c r="I263" t="n">
        <v>26</v>
      </c>
      <c r="K263" t="n">
        <v>1</v>
      </c>
      <c r="L263" t="n">
        <v>5</v>
      </c>
      <c r="O263" t="n">
        <v>0</v>
      </c>
      <c r="P263" t="n">
        <v>1318</v>
      </c>
      <c r="Q263" t="n">
        <v>398</v>
      </c>
      <c r="R263" t="n">
        <v>33</v>
      </c>
      <c r="S263" t="n">
        <v>86</v>
      </c>
      <c r="T263" t="n">
        <v>279</v>
      </c>
      <c r="U263" t="n">
        <v>269</v>
      </c>
      <c r="V263" t="n">
        <v>99</v>
      </c>
      <c r="W263" t="n">
        <v>1008</v>
      </c>
      <c r="X263" t="n">
        <v>3</v>
      </c>
      <c r="Z263" t="n">
        <v>5</v>
      </c>
      <c r="AA263" t="n">
        <v>33</v>
      </c>
      <c r="AB263" t="n">
        <v>380</v>
      </c>
      <c r="AC263" t="n">
        <v>1316</v>
      </c>
      <c r="AD263" t="n">
        <v>40</v>
      </c>
      <c r="AE263" t="n">
        <v>77</v>
      </c>
      <c r="AF263" t="n">
        <v>15</v>
      </c>
      <c r="AG263" t="n">
        <v>252</v>
      </c>
      <c r="AH263" t="n">
        <v>57</v>
      </c>
      <c r="AI263" t="n">
        <v>35</v>
      </c>
      <c r="AJ263" t="n">
        <v>22</v>
      </c>
      <c r="AK263" t="n">
        <v>131</v>
      </c>
      <c r="AL263" t="n">
        <v>53</v>
      </c>
      <c r="AM263" t="n">
        <v>47</v>
      </c>
      <c r="AN263" t="n">
        <v>49</v>
      </c>
      <c r="AO263" t="n">
        <v>20</v>
      </c>
      <c r="AP263" t="n">
        <v>110</v>
      </c>
      <c r="AQ263" t="n">
        <v>5</v>
      </c>
      <c r="AR263" t="n">
        <v>37</v>
      </c>
      <c r="AS263" t="n">
        <v>7</v>
      </c>
      <c r="AT263" t="n">
        <v>23</v>
      </c>
      <c r="AU263" t="n">
        <v>3</v>
      </c>
      <c r="AV263" t="n">
        <v>7</v>
      </c>
      <c r="AW263" t="n">
        <v>3</v>
      </c>
      <c r="AX263" t="n">
        <v>6</v>
      </c>
      <c r="AY263" t="n">
        <v>12</v>
      </c>
      <c r="AZ263" t="n">
        <v>8</v>
      </c>
      <c r="BA263" t="n">
        <v>25</v>
      </c>
      <c r="BB263" t="n">
        <v>7</v>
      </c>
      <c r="BC263" t="n">
        <v>64</v>
      </c>
      <c r="BD263" t="n">
        <v>5</v>
      </c>
      <c r="BE263" t="n">
        <v>28</v>
      </c>
      <c r="BF263" t="n">
        <v>3</v>
      </c>
      <c r="BG263" t="n">
        <v>18</v>
      </c>
      <c r="BH263" t="n">
        <v>14</v>
      </c>
      <c r="BI263" t="n">
        <v>17</v>
      </c>
      <c r="BJ263" t="n">
        <v>7</v>
      </c>
      <c r="BK263" t="n">
        <v>33</v>
      </c>
      <c r="BL263" t="n">
        <v>1</v>
      </c>
      <c r="BM263" t="n">
        <v>9</v>
      </c>
      <c r="BN263" t="n">
        <v>68</v>
      </c>
      <c r="BO263" t="n">
        <v>5</v>
      </c>
      <c r="BP263" t="n">
        <v>8</v>
      </c>
      <c r="BQ263" t="n">
        <v>445</v>
      </c>
      <c r="BR263" t="n">
        <v>1271</v>
      </c>
      <c r="BS263" t="n">
        <v>196</v>
      </c>
      <c r="BT263" t="n">
        <v>74</v>
      </c>
      <c r="BU263" t="n">
        <v>2</v>
      </c>
      <c r="BV263" t="n">
        <v>20</v>
      </c>
      <c r="BW263" t="n">
        <v>29</v>
      </c>
      <c r="BX263" t="n">
        <v>171</v>
      </c>
      <c r="BY263" t="n">
        <v>33</v>
      </c>
      <c r="BZ263" t="n">
        <v>585</v>
      </c>
      <c r="CA263" t="n">
        <v>3</v>
      </c>
      <c r="CB263" t="n">
        <v>46</v>
      </c>
      <c r="CC263" t="n">
        <v>7</v>
      </c>
      <c r="CD263" t="n">
        <v>5</v>
      </c>
      <c r="CE263" t="n">
        <v>126</v>
      </c>
      <c r="CF263" t="n">
        <v>0</v>
      </c>
      <c r="CG263" t="n">
        <v>12</v>
      </c>
      <c r="CH263" t="n">
        <v>9</v>
      </c>
      <c r="CI263" t="n">
        <v>20</v>
      </c>
      <c r="CJ263" t="n">
        <v>40</v>
      </c>
      <c r="CK263" t="n">
        <v>12</v>
      </c>
      <c r="CL263" t="n">
        <v>92</v>
      </c>
      <c r="CM263" t="n">
        <v>67</v>
      </c>
      <c r="CN263" t="n">
        <v>11</v>
      </c>
      <c r="CO263" t="n">
        <v>23</v>
      </c>
      <c r="CP263" t="n">
        <v>3</v>
      </c>
      <c r="CQ263" t="n">
        <v>34</v>
      </c>
      <c r="CR263" t="n">
        <v>3</v>
      </c>
      <c r="CS263" t="n">
        <v>13</v>
      </c>
      <c r="CT263" t="n">
        <v>38</v>
      </c>
      <c r="CU263" t="n">
        <v>12</v>
      </c>
      <c r="CV263" t="n">
        <v>25</v>
      </c>
      <c r="CW263" t="n">
        <v>59</v>
      </c>
      <c r="CX263" t="n">
        <v>3</v>
      </c>
      <c r="CY263" t="n">
        <v>7</v>
      </c>
      <c r="CZ263" t="n">
        <v>15</v>
      </c>
      <c r="DA263" t="n">
        <v>10</v>
      </c>
      <c r="DB263" t="n">
        <v>29</v>
      </c>
      <c r="DC263" t="n">
        <v>76</v>
      </c>
      <c r="DD263" t="n">
        <v>2</v>
      </c>
      <c r="DE263" t="n">
        <v>7</v>
      </c>
      <c r="DF263" t="n">
        <v>1</v>
      </c>
      <c r="DG263" t="n">
        <v>43</v>
      </c>
      <c r="DH263" t="n">
        <v>31</v>
      </c>
      <c r="DI263" t="n">
        <v>9</v>
      </c>
      <c r="DJ263" t="n">
        <v>3</v>
      </c>
      <c r="DK263" t="n">
        <v>3</v>
      </c>
      <c r="DL263" t="n">
        <v>14</v>
      </c>
      <c r="DM263" t="n">
        <v>29</v>
      </c>
      <c r="DN263" t="n">
        <v>7</v>
      </c>
      <c r="DO263" t="n">
        <v>55</v>
      </c>
      <c r="DP263" t="n">
        <v>143</v>
      </c>
      <c r="DQ263" t="n">
        <v>213</v>
      </c>
      <c r="DR263" t="n">
        <v>26</v>
      </c>
      <c r="DS263" t="n">
        <v>38</v>
      </c>
      <c r="DT263" t="n">
        <v>0</v>
      </c>
      <c r="DU263" t="n">
        <v>6</v>
      </c>
      <c r="DV263" t="n">
        <v>6</v>
      </c>
      <c r="DW263" t="n">
        <v>16</v>
      </c>
      <c r="DX263" t="n">
        <v>226</v>
      </c>
      <c r="DY263" t="n">
        <v>12</v>
      </c>
      <c r="DZ263" t="n">
        <v>178</v>
      </c>
      <c r="EA263" t="n">
        <v>1</v>
      </c>
      <c r="EB263" t="n">
        <v>0</v>
      </c>
      <c r="EC263" t="n">
        <v>2</v>
      </c>
      <c r="ED263" t="n">
        <v>8</v>
      </c>
      <c r="EE263" t="n">
        <v>5</v>
      </c>
      <c r="EF263" t="n">
        <v>9</v>
      </c>
      <c r="EG263" t="n">
        <v>6</v>
      </c>
      <c r="EH263" t="n">
        <v>2</v>
      </c>
      <c r="EI263" t="n">
        <v>3</v>
      </c>
      <c r="EJ263" t="n">
        <v>4</v>
      </c>
      <c r="EK263" t="n">
        <v>9</v>
      </c>
      <c r="EL263" t="n">
        <v>3</v>
      </c>
      <c r="EM263" t="n">
        <v>16</v>
      </c>
      <c r="EN263" t="n">
        <v>58</v>
      </c>
      <c r="EO263" t="n">
        <v>39</v>
      </c>
      <c r="EP263" t="n">
        <v>12</v>
      </c>
      <c r="EQ263" t="n">
        <v>18</v>
      </c>
      <c r="ER263" t="n">
        <v>108</v>
      </c>
      <c r="ES263" t="n">
        <v>20</v>
      </c>
      <c r="ET263" t="n">
        <v>14</v>
      </c>
      <c r="EU263" t="n">
        <v>3</v>
      </c>
      <c r="EV263" t="n">
        <v>1</v>
      </c>
      <c r="EW263" t="n">
        <v>16</v>
      </c>
      <c r="EX263" t="n">
        <v>5</v>
      </c>
      <c r="EY263" t="n">
        <v>13</v>
      </c>
      <c r="EZ263" t="n">
        <v>13</v>
      </c>
      <c r="FA263" t="n">
        <v>108</v>
      </c>
      <c r="FB263" t="n">
        <v>199</v>
      </c>
      <c r="FC263" t="n">
        <v>22</v>
      </c>
      <c r="FD263" t="n">
        <v>19</v>
      </c>
      <c r="FE263" t="n">
        <v>664</v>
      </c>
      <c r="FF263" t="n">
        <v>1</v>
      </c>
      <c r="FG263" t="n">
        <v>23</v>
      </c>
      <c r="FH263" t="n">
        <v>19</v>
      </c>
      <c r="FI263" t="n">
        <v>26</v>
      </c>
      <c r="FJ263" t="n">
        <v>4</v>
      </c>
      <c r="FK263" t="n">
        <v>22</v>
      </c>
      <c r="FL263" t="n">
        <v>14</v>
      </c>
      <c r="FN263" t="n">
        <v>0</v>
      </c>
      <c r="FO263" t="n">
        <v>5</v>
      </c>
      <c r="FP263" t="n">
        <v>19</v>
      </c>
      <c r="FQ263" t="n">
        <v>15</v>
      </c>
      <c r="FR263" t="n">
        <v>2</v>
      </c>
      <c r="FS263" t="n">
        <v>10</v>
      </c>
      <c r="FT263" t="n">
        <v>10</v>
      </c>
      <c r="FU263" t="n">
        <v>11</v>
      </c>
      <c r="FV263" t="n">
        <v>22</v>
      </c>
      <c r="FW263" t="n">
        <v>7</v>
      </c>
      <c r="FX263" t="n">
        <v>80</v>
      </c>
      <c r="FY263" t="n">
        <v>71</v>
      </c>
      <c r="FZ263" t="n">
        <v>7</v>
      </c>
      <c r="GA263" t="n">
        <v>1</v>
      </c>
      <c r="GB263" t="n">
        <v>3</v>
      </c>
      <c r="GC263" t="n">
        <v>1</v>
      </c>
      <c r="GD263" t="n">
        <v>4</v>
      </c>
      <c r="GE263" t="n">
        <v>2</v>
      </c>
      <c r="GF263" t="n">
        <v>14</v>
      </c>
      <c r="GG263" t="n">
        <v>53</v>
      </c>
      <c r="GH263" t="n">
        <v>41</v>
      </c>
      <c r="GI263" t="n">
        <v>17</v>
      </c>
      <c r="GN263" t="n">
        <v>13</v>
      </c>
      <c r="GO263" t="n">
        <v>3</v>
      </c>
      <c r="GP263" t="n">
        <v>115</v>
      </c>
      <c r="GQ263" t="n">
        <v>65</v>
      </c>
      <c r="GR263" t="n">
        <v>320</v>
      </c>
      <c r="GT263" t="n">
        <v>170</v>
      </c>
      <c r="GU263" t="n">
        <v>10</v>
      </c>
      <c r="GW263" t="n">
        <v>64</v>
      </c>
      <c r="GX263" t="n">
        <v>90</v>
      </c>
      <c r="GY263" t="n">
        <v>0</v>
      </c>
      <c r="GZ263" t="n">
        <v>163</v>
      </c>
      <c r="HA263" t="n">
        <v>132</v>
      </c>
      <c r="HB263" t="n">
        <v>380</v>
      </c>
      <c r="HD263" t="n">
        <v>0</v>
      </c>
      <c r="HE263" t="n">
        <v>503</v>
      </c>
      <c r="HF263" t="n">
        <v>105</v>
      </c>
      <c r="HG263" t="n">
        <v>362</v>
      </c>
      <c r="HH263" t="n">
        <v>17</v>
      </c>
      <c r="HI263" t="n">
        <v>4</v>
      </c>
      <c r="HJ263" t="n">
        <v>10</v>
      </c>
      <c r="HK263" t="n">
        <v>13</v>
      </c>
      <c r="HL263" t="n">
        <v>1</v>
      </c>
      <c r="HM263" t="n">
        <v>3</v>
      </c>
      <c r="HN263" t="n">
        <v>6</v>
      </c>
      <c r="HO263" t="n">
        <v>5</v>
      </c>
      <c r="HP263" t="n">
        <v>3</v>
      </c>
      <c r="HQ263" t="n">
        <v>7</v>
      </c>
      <c r="HR263" t="n">
        <v>1</v>
      </c>
      <c r="HS263" t="n">
        <v>1</v>
      </c>
      <c r="HT263" t="n">
        <v>19</v>
      </c>
      <c r="HU263" t="n">
        <v>119</v>
      </c>
      <c r="HV263" t="n">
        <v>240</v>
      </c>
      <c r="HW263" t="n">
        <v>163</v>
      </c>
      <c r="HX263" t="n">
        <v>59</v>
      </c>
      <c r="HY263" t="n">
        <v>8</v>
      </c>
      <c r="HZ263" t="n">
        <v>21</v>
      </c>
      <c r="IA263" t="n">
        <v>14</v>
      </c>
      <c r="IB263" t="n">
        <v>688</v>
      </c>
      <c r="IC263" t="n">
        <v>35</v>
      </c>
      <c r="ID263" t="n">
        <v>1064</v>
      </c>
      <c r="IE263" t="n">
        <v>36</v>
      </c>
      <c r="IF263" t="n">
        <v>14</v>
      </c>
      <c r="IG263" t="n">
        <v>2922</v>
      </c>
      <c r="IH263" t="n">
        <v>28</v>
      </c>
      <c r="II263" t="n">
        <v>26</v>
      </c>
      <c r="IJ263" t="n">
        <v>154</v>
      </c>
      <c r="IK263" t="n">
        <v>551</v>
      </c>
      <c r="IL263" t="n">
        <v>1103</v>
      </c>
      <c r="IM263" t="n">
        <v>196</v>
      </c>
      <c r="IN263" t="n">
        <v>154</v>
      </c>
      <c r="IO263" t="n">
        <v>78</v>
      </c>
      <c r="IP263" t="n">
        <v>122</v>
      </c>
      <c r="IQ263" t="n">
        <v>4</v>
      </c>
      <c r="IR263" t="n">
        <v>277</v>
      </c>
      <c r="IS263" t="n">
        <v>4</v>
      </c>
      <c r="IT263" t="n">
        <v>68</v>
      </c>
      <c r="IU263" t="n">
        <v>84</v>
      </c>
      <c r="IV263" t="n">
        <v>183</v>
      </c>
      <c r="IW263" t="n">
        <v>350</v>
      </c>
      <c r="IX263" t="n">
        <v>493</v>
      </c>
      <c r="IY263" t="n">
        <v>7</v>
      </c>
      <c r="IZ263" t="n">
        <v>2816</v>
      </c>
      <c r="JA263" t="n">
        <v>240</v>
      </c>
      <c r="JB263" t="n">
        <v>286</v>
      </c>
      <c r="JC263" t="n">
        <v>59</v>
      </c>
      <c r="JD263" t="n">
        <v>46</v>
      </c>
      <c r="JE263" t="n">
        <v>183</v>
      </c>
      <c r="JF263" t="n">
        <v>45</v>
      </c>
      <c r="JG263" t="n">
        <v>1371</v>
      </c>
      <c r="JH263" t="n">
        <v>20</v>
      </c>
      <c r="JI263" t="n">
        <v>3</v>
      </c>
      <c r="JJ263" t="n">
        <v>63</v>
      </c>
      <c r="JK263" t="n">
        <v>8</v>
      </c>
      <c r="JL263" t="n">
        <v>18</v>
      </c>
      <c r="JM263" t="n">
        <v>5</v>
      </c>
      <c r="JN263" t="n">
        <v>58</v>
      </c>
      <c r="JO263" t="n">
        <v>27</v>
      </c>
      <c r="JP263" t="n">
        <v>11</v>
      </c>
      <c r="JQ263" t="n">
        <v>93</v>
      </c>
      <c r="JR263" t="n">
        <v>9</v>
      </c>
      <c r="JS263" t="n">
        <v>44</v>
      </c>
      <c r="JT263" t="n">
        <v>4</v>
      </c>
      <c r="JV263" t="n">
        <v>12</v>
      </c>
      <c r="JW263" t="n">
        <v>5</v>
      </c>
      <c r="JX263" t="n">
        <v>33</v>
      </c>
      <c r="JY263" t="n">
        <v>5</v>
      </c>
      <c r="JZ263" t="n">
        <v>22</v>
      </c>
      <c r="KA263" t="n">
        <v>3</v>
      </c>
      <c r="KB263" t="n">
        <v>4</v>
      </c>
      <c r="KC263" t="n">
        <v>6</v>
      </c>
      <c r="KD263" t="n">
        <v>149</v>
      </c>
      <c r="KF263" t="n">
        <v>58</v>
      </c>
      <c r="KG263" t="n">
        <v>6</v>
      </c>
      <c r="KH263" t="n">
        <v>157</v>
      </c>
      <c r="KI263" t="n">
        <v>2</v>
      </c>
      <c r="KJ263" t="n">
        <v>2</v>
      </c>
      <c r="KK263" t="n">
        <v>116</v>
      </c>
      <c r="KL263" t="n">
        <v>1</v>
      </c>
      <c r="KM263" t="n">
        <v>594</v>
      </c>
      <c r="KN263" t="n">
        <v>10</v>
      </c>
      <c r="KO263" t="n">
        <v>10</v>
      </c>
      <c r="KP263" t="n">
        <v>7</v>
      </c>
      <c r="KQ263" t="n">
        <v>13</v>
      </c>
      <c r="KR263" t="n">
        <v>441</v>
      </c>
      <c r="KS263" t="n">
        <v>195</v>
      </c>
      <c r="KW263" t="n">
        <v>41</v>
      </c>
      <c r="KX263" t="n">
        <v>107</v>
      </c>
      <c r="KY263" t="n">
        <v>5</v>
      </c>
      <c r="KZ263" t="n">
        <v>17</v>
      </c>
      <c r="LA263" t="n">
        <v>126</v>
      </c>
      <c r="LB263" t="n">
        <v>0</v>
      </c>
      <c r="LC263" t="n">
        <v>42</v>
      </c>
      <c r="LD263" t="n">
        <v>57</v>
      </c>
      <c r="LE263" t="n">
        <v>10</v>
      </c>
      <c r="LF263" t="n">
        <v>96</v>
      </c>
      <c r="LH263" t="n">
        <v>12</v>
      </c>
      <c r="LI263" t="n">
        <v>59</v>
      </c>
      <c r="LK263" t="n">
        <v>0</v>
      </c>
      <c r="LM263" t="n">
        <v>583</v>
      </c>
      <c r="LN263" t="n">
        <v>7</v>
      </c>
      <c r="LR263" t="n">
        <v>264</v>
      </c>
      <c r="LS263" t="n">
        <v>23</v>
      </c>
      <c r="LT263" t="n">
        <v>108</v>
      </c>
      <c r="LU263" t="n">
        <v>13</v>
      </c>
      <c r="LV263" t="n">
        <v>13</v>
      </c>
      <c r="LW263" t="n">
        <v>850</v>
      </c>
      <c r="LX263" t="n">
        <v>205</v>
      </c>
      <c r="LY263" t="n">
        <v>29</v>
      </c>
      <c r="LZ263" t="n">
        <v>468</v>
      </c>
      <c r="MA263" t="n">
        <v>100</v>
      </c>
      <c r="MB263" t="n">
        <v>142</v>
      </c>
      <c r="MC263" t="n">
        <v>648</v>
      </c>
      <c r="MD263" t="n">
        <v>208</v>
      </c>
      <c r="ME263" t="n">
        <v>43</v>
      </c>
      <c r="MF263" t="n">
        <v>45</v>
      </c>
      <c r="MG263" t="n">
        <v>89</v>
      </c>
      <c r="MH263" t="n">
        <v>715</v>
      </c>
      <c r="MI263" t="n">
        <v>10</v>
      </c>
      <c r="MJ263" t="n">
        <v>39</v>
      </c>
      <c r="MK263" t="n">
        <v>171</v>
      </c>
      <c r="ML263" t="n">
        <v>2</v>
      </c>
      <c r="MM263" t="n">
        <v>12</v>
      </c>
      <c r="MN263" t="n">
        <v>153</v>
      </c>
      <c r="MP263" t="n">
        <v>9</v>
      </c>
      <c r="MQ263" t="n">
        <v>26</v>
      </c>
      <c r="MR263" t="n">
        <v>21</v>
      </c>
      <c r="MS263" t="n">
        <v>97</v>
      </c>
      <c r="MT263" t="n">
        <v>41</v>
      </c>
      <c r="MU263" t="n">
        <v>15</v>
      </c>
      <c r="MV263" t="n">
        <v>167</v>
      </c>
      <c r="MW263" t="n">
        <v>101</v>
      </c>
      <c r="MX263" t="n">
        <v>87</v>
      </c>
      <c r="MY263" t="n">
        <v>102</v>
      </c>
      <c r="MZ263" t="n">
        <v>459</v>
      </c>
      <c r="NA263" t="n">
        <v>119</v>
      </c>
      <c r="NB263" t="n">
        <v>6</v>
      </c>
      <c r="NC263" t="n">
        <v>35</v>
      </c>
      <c r="ND263" t="n">
        <v>13</v>
      </c>
      <c r="NE263" t="n">
        <v>28</v>
      </c>
      <c r="NI263" t="n">
        <v>1</v>
      </c>
      <c r="NK263" t="n">
        <v>21</v>
      </c>
      <c r="NL263" t="n">
        <v>61</v>
      </c>
      <c r="NM263" t="n">
        <v>18</v>
      </c>
      <c r="NN263" t="n">
        <v>13</v>
      </c>
      <c r="NO263" t="n">
        <v>3</v>
      </c>
      <c r="NP263" t="n">
        <v>22</v>
      </c>
      <c r="NR263" t="n">
        <v>70</v>
      </c>
      <c r="NS263" t="n">
        <v>2</v>
      </c>
      <c r="NT263" t="n">
        <v>47</v>
      </c>
      <c r="NU263" t="n">
        <v>25</v>
      </c>
      <c r="NV263" t="n">
        <v>9</v>
      </c>
      <c r="NW263" t="n">
        <v>1</v>
      </c>
      <c r="NX263" t="n">
        <v>0</v>
      </c>
      <c r="NY263" t="n">
        <v>174</v>
      </c>
      <c r="NZ263" t="n">
        <v>7</v>
      </c>
      <c r="OA263" t="n">
        <v>67</v>
      </c>
      <c r="OB263" t="n">
        <v>113</v>
      </c>
      <c r="OD263" t="n">
        <v>877</v>
      </c>
      <c r="OE263" t="n">
        <v>1515</v>
      </c>
      <c r="OF263" t="n">
        <v>2</v>
      </c>
      <c r="OG263" t="n">
        <v>18</v>
      </c>
      <c r="OI263" t="n">
        <v>1035</v>
      </c>
      <c r="OJ263" t="n">
        <v>3000</v>
      </c>
      <c r="OK263" t="n">
        <v>832</v>
      </c>
      <c r="OL263" t="n">
        <v>8</v>
      </c>
      <c r="ON263" t="n">
        <v>1</v>
      </c>
      <c r="OO263" t="n">
        <v>47130</v>
      </c>
      <c r="OP263" t="n">
        <v>4583</v>
      </c>
      <c r="OU263" t="n">
        <v>116</v>
      </c>
      <c r="OV263" t="n">
        <v>8052</v>
      </c>
      <c r="PI263" t="n">
        <v>59881</v>
      </c>
      <c r="PM263">
        <f>IFERROR(VLOOKUP($A263&amp;"",Key!$A:$C,3,FALSE),"")</f>
        <v/>
      </c>
    </row>
    <row r="264">
      <c r="A264" t="n">
        <v>326110</v>
      </c>
      <c r="B264" t="inlineStr">
        <is>
          <t>Plastics packaging materials and unlaminated film and sheet manufacturing</t>
        </is>
      </c>
      <c r="D264" t="n">
        <v>5</v>
      </c>
      <c r="E264" t="n">
        <v>13</v>
      </c>
      <c r="F264" t="n">
        <v>2</v>
      </c>
      <c r="G264" t="n">
        <v>22</v>
      </c>
      <c r="H264" t="n">
        <v>5</v>
      </c>
      <c r="O264" t="n">
        <v>2</v>
      </c>
      <c r="Q264" t="n">
        <v>19</v>
      </c>
      <c r="Z264" t="n">
        <v>0</v>
      </c>
      <c r="AA264" t="n">
        <v>13</v>
      </c>
      <c r="AB264" t="n">
        <v>45</v>
      </c>
      <c r="AC264" t="n">
        <v>118</v>
      </c>
      <c r="AD264" t="n">
        <v>14</v>
      </c>
      <c r="AE264" t="n">
        <v>85</v>
      </c>
      <c r="AF264" t="n">
        <v>61</v>
      </c>
      <c r="AG264" t="n">
        <v>873</v>
      </c>
      <c r="AH264" t="n">
        <v>6</v>
      </c>
      <c r="AI264" t="n">
        <v>115</v>
      </c>
      <c r="AJ264" t="n">
        <v>108</v>
      </c>
      <c r="AK264" t="n">
        <v>172</v>
      </c>
      <c r="AL264" t="n">
        <v>71</v>
      </c>
      <c r="AM264" t="n">
        <v>48</v>
      </c>
      <c r="AN264" t="n">
        <v>20</v>
      </c>
      <c r="AO264" t="n">
        <v>44</v>
      </c>
      <c r="AP264" t="n">
        <v>39</v>
      </c>
      <c r="AR264" t="n">
        <v>554</v>
      </c>
      <c r="AX264" t="n">
        <v>3</v>
      </c>
      <c r="BA264" t="n">
        <v>77</v>
      </c>
      <c r="BB264" t="n">
        <v>6</v>
      </c>
      <c r="BC264" t="n">
        <v>191</v>
      </c>
      <c r="BF264" t="n">
        <v>2</v>
      </c>
      <c r="BG264" t="n">
        <v>37</v>
      </c>
      <c r="BI264" t="n">
        <v>18</v>
      </c>
      <c r="BJ264" t="n">
        <v>15</v>
      </c>
      <c r="BK264" t="n">
        <v>33</v>
      </c>
      <c r="BN264" t="n">
        <v>1</v>
      </c>
      <c r="BO264" t="n">
        <v>31</v>
      </c>
      <c r="BP264" t="n">
        <v>85</v>
      </c>
      <c r="BQ264" t="n">
        <v>101</v>
      </c>
      <c r="BR264" t="n">
        <v>69</v>
      </c>
      <c r="BS264" t="n">
        <v>34</v>
      </c>
      <c r="BT264" t="n">
        <v>20</v>
      </c>
      <c r="BV264" t="n">
        <v>25</v>
      </c>
      <c r="BW264" t="n">
        <v>92</v>
      </c>
      <c r="BX264" t="n">
        <v>66</v>
      </c>
      <c r="BY264" t="n">
        <v>54</v>
      </c>
      <c r="BZ264" t="n">
        <v>81</v>
      </c>
      <c r="CB264" t="n">
        <v>95</v>
      </c>
      <c r="CF264" t="n">
        <v>77</v>
      </c>
      <c r="CI264" t="n">
        <v>61</v>
      </c>
      <c r="CJ264" t="n">
        <v>54</v>
      </c>
      <c r="CK264" t="n">
        <v>23</v>
      </c>
      <c r="CL264" t="n">
        <v>191</v>
      </c>
      <c r="CM264" t="n">
        <v>45</v>
      </c>
      <c r="CN264" t="n">
        <v>1</v>
      </c>
      <c r="CO264" t="n">
        <v>644</v>
      </c>
      <c r="CP264" t="n">
        <v>3</v>
      </c>
      <c r="CQ264" t="n">
        <v>289</v>
      </c>
      <c r="CR264" t="n">
        <v>14</v>
      </c>
      <c r="CS264" t="n">
        <v>14</v>
      </c>
      <c r="CT264" t="n">
        <v>40</v>
      </c>
      <c r="CU264" t="n">
        <v>19</v>
      </c>
      <c r="CV264" t="n">
        <v>26</v>
      </c>
      <c r="CX264" t="n">
        <v>1</v>
      </c>
      <c r="CY264" t="n">
        <v>13</v>
      </c>
      <c r="CZ264" t="n">
        <v>60</v>
      </c>
      <c r="DA264" t="n">
        <v>12</v>
      </c>
      <c r="DB264" t="n">
        <v>45</v>
      </c>
      <c r="DC264" t="n">
        <v>124</v>
      </c>
      <c r="DD264" t="n">
        <v>40</v>
      </c>
      <c r="DE264" t="n">
        <v>8</v>
      </c>
      <c r="DG264" t="n">
        <v>114</v>
      </c>
      <c r="DI264" t="n">
        <v>15</v>
      </c>
      <c r="DJ264" t="n">
        <v>3</v>
      </c>
      <c r="DK264" t="n">
        <v>3</v>
      </c>
      <c r="DL264" t="n">
        <v>17</v>
      </c>
      <c r="DM264" t="n">
        <v>54</v>
      </c>
      <c r="DN264" t="n">
        <v>9</v>
      </c>
      <c r="DO264" t="n">
        <v>356</v>
      </c>
      <c r="DP264" t="n">
        <v>12</v>
      </c>
      <c r="DQ264" t="n">
        <v>71</v>
      </c>
      <c r="DR264" t="n">
        <v>1241</v>
      </c>
      <c r="DS264" t="n">
        <v>49</v>
      </c>
      <c r="DV264" t="n">
        <v>22</v>
      </c>
      <c r="DX264" t="n">
        <v>36</v>
      </c>
      <c r="DY264" t="n">
        <v>6</v>
      </c>
      <c r="EA264" t="n">
        <v>2</v>
      </c>
      <c r="EB264" t="n">
        <v>9</v>
      </c>
      <c r="EC264" t="n">
        <v>1</v>
      </c>
      <c r="ED264" t="n">
        <v>149</v>
      </c>
      <c r="EE264" t="n">
        <v>43</v>
      </c>
      <c r="EF264" t="n">
        <v>431</v>
      </c>
      <c r="EG264" t="n">
        <v>7</v>
      </c>
      <c r="EH264" t="n">
        <v>19</v>
      </c>
      <c r="EI264" t="n">
        <v>95</v>
      </c>
      <c r="EJ264" t="n">
        <v>71</v>
      </c>
      <c r="EK264" t="n">
        <v>23</v>
      </c>
      <c r="EL264" t="n">
        <v>27</v>
      </c>
      <c r="EM264" t="n">
        <v>14</v>
      </c>
      <c r="EN264" t="n">
        <v>191</v>
      </c>
      <c r="EO264" t="n">
        <v>29</v>
      </c>
      <c r="EP264" t="n">
        <v>22</v>
      </c>
      <c r="EQ264" t="n">
        <v>42</v>
      </c>
      <c r="ER264" t="n">
        <v>764</v>
      </c>
      <c r="ES264" t="n">
        <v>129</v>
      </c>
      <c r="ET264" t="n">
        <v>22</v>
      </c>
      <c r="EU264" t="n">
        <v>11</v>
      </c>
      <c r="EV264" t="n">
        <v>1</v>
      </c>
      <c r="EW264" t="n">
        <v>40</v>
      </c>
      <c r="EX264" t="n">
        <v>104</v>
      </c>
      <c r="EY264" t="n">
        <v>99</v>
      </c>
      <c r="EZ264" t="n">
        <v>74</v>
      </c>
      <c r="FA264" t="n">
        <v>479</v>
      </c>
      <c r="FB264" t="n">
        <v>190</v>
      </c>
      <c r="FC264" t="n">
        <v>577</v>
      </c>
      <c r="FD264" t="n">
        <v>91</v>
      </c>
      <c r="FG264" t="n">
        <v>17</v>
      </c>
      <c r="FK264" t="n">
        <v>39</v>
      </c>
      <c r="FL264" t="n">
        <v>165</v>
      </c>
      <c r="FO264" t="n">
        <v>545</v>
      </c>
      <c r="FP264" t="n">
        <v>46</v>
      </c>
      <c r="FQ264" t="n">
        <v>50</v>
      </c>
      <c r="FT264" t="n">
        <v>29</v>
      </c>
      <c r="FW264" t="n">
        <v>187</v>
      </c>
      <c r="FX264" t="n">
        <v>287</v>
      </c>
      <c r="FY264" t="n">
        <v>326</v>
      </c>
      <c r="FZ264" t="n">
        <v>103</v>
      </c>
      <c r="GA264" t="n">
        <v>138</v>
      </c>
      <c r="GD264" t="n">
        <v>117</v>
      </c>
      <c r="GE264" t="n">
        <v>8</v>
      </c>
      <c r="GF264" t="n">
        <v>172</v>
      </c>
      <c r="GG264" t="n">
        <v>318</v>
      </c>
      <c r="GH264" t="n">
        <v>288</v>
      </c>
      <c r="GI264" t="n">
        <v>173</v>
      </c>
      <c r="GJ264" t="n">
        <v>75</v>
      </c>
      <c r="GK264" t="n">
        <v>68</v>
      </c>
      <c r="GL264" t="n">
        <v>10</v>
      </c>
      <c r="GM264" t="n">
        <v>1</v>
      </c>
      <c r="GO264" t="n">
        <v>70</v>
      </c>
      <c r="GP264" t="n">
        <v>406</v>
      </c>
      <c r="GQ264" t="n">
        <v>278</v>
      </c>
      <c r="GR264" t="n">
        <v>110</v>
      </c>
      <c r="GS264" t="n">
        <v>125</v>
      </c>
      <c r="GT264" t="n">
        <v>58</v>
      </c>
      <c r="GU264" t="n">
        <v>293</v>
      </c>
      <c r="GV264" t="n">
        <v>45</v>
      </c>
      <c r="GW264" t="n">
        <v>185</v>
      </c>
      <c r="GX264" t="n">
        <v>693</v>
      </c>
      <c r="GY264" t="n">
        <v>39</v>
      </c>
      <c r="GZ264" t="n">
        <v>402</v>
      </c>
      <c r="HA264" t="n">
        <v>375</v>
      </c>
      <c r="HB264" t="n">
        <v>518</v>
      </c>
      <c r="HC264" t="n">
        <v>25</v>
      </c>
      <c r="HD264" t="n">
        <v>12</v>
      </c>
      <c r="HE264" t="n">
        <v>253</v>
      </c>
      <c r="HF264" t="n">
        <v>233</v>
      </c>
      <c r="HH264" t="n">
        <v>39</v>
      </c>
      <c r="HL264" t="n">
        <v>0</v>
      </c>
      <c r="HM264" t="n">
        <v>6</v>
      </c>
      <c r="HN264" t="n">
        <v>106</v>
      </c>
      <c r="HP264" t="n">
        <v>20</v>
      </c>
      <c r="HQ264" t="n">
        <v>86</v>
      </c>
      <c r="HR264" t="n">
        <v>0</v>
      </c>
      <c r="HS264" t="n">
        <v>8</v>
      </c>
      <c r="HT264" t="n">
        <v>23</v>
      </c>
      <c r="HU264" t="n">
        <v>386</v>
      </c>
      <c r="HV264" t="n">
        <v>22</v>
      </c>
      <c r="HW264" t="n">
        <v>130</v>
      </c>
      <c r="HX264" t="n">
        <v>1152</v>
      </c>
      <c r="HY264" t="n">
        <v>177</v>
      </c>
      <c r="HZ264" t="n">
        <v>525</v>
      </c>
      <c r="IA264" t="n">
        <v>56</v>
      </c>
      <c r="IB264" t="n">
        <v>1661</v>
      </c>
      <c r="IC264" t="n">
        <v>15</v>
      </c>
      <c r="ID264" t="n">
        <v>53</v>
      </c>
      <c r="IE264" t="n">
        <v>2</v>
      </c>
      <c r="IF264" t="n">
        <v>49</v>
      </c>
      <c r="II264" t="n">
        <v>4</v>
      </c>
      <c r="IJ264" t="n">
        <v>23</v>
      </c>
      <c r="IK264" t="n">
        <v>38</v>
      </c>
      <c r="IL264" t="n">
        <v>133</v>
      </c>
      <c r="IM264" t="n">
        <v>120</v>
      </c>
      <c r="IN264" t="n">
        <v>17</v>
      </c>
      <c r="IP264" t="n">
        <v>35</v>
      </c>
      <c r="IQ264" t="n">
        <v>10</v>
      </c>
      <c r="IR264" t="n">
        <v>9</v>
      </c>
      <c r="IS264" t="n">
        <v>14</v>
      </c>
      <c r="IW264" t="n">
        <v>41</v>
      </c>
      <c r="IZ264" t="n">
        <v>390</v>
      </c>
      <c r="JA264" t="n">
        <v>3281</v>
      </c>
      <c r="JB264" t="n">
        <v>464</v>
      </c>
      <c r="JC264" t="n">
        <v>439</v>
      </c>
      <c r="JD264" t="n">
        <v>200</v>
      </c>
      <c r="JE264" t="n">
        <v>531</v>
      </c>
      <c r="JF264" t="n">
        <v>618</v>
      </c>
      <c r="JG264" t="n">
        <v>3487</v>
      </c>
      <c r="JH264" t="n">
        <v>135</v>
      </c>
      <c r="JI264" t="n">
        <v>13</v>
      </c>
      <c r="JJ264" t="n">
        <v>179</v>
      </c>
      <c r="JK264" t="n">
        <v>635</v>
      </c>
      <c r="JL264" t="n">
        <v>169</v>
      </c>
      <c r="JM264" t="n">
        <v>354</v>
      </c>
      <c r="JN264" t="n">
        <v>422</v>
      </c>
      <c r="JO264" t="n">
        <v>715</v>
      </c>
      <c r="JP264" t="n">
        <v>335</v>
      </c>
      <c r="JQ264" t="n">
        <v>770</v>
      </c>
      <c r="JR264" t="n">
        <v>205</v>
      </c>
      <c r="JS264" t="n">
        <v>1090</v>
      </c>
      <c r="JT264" t="n">
        <v>141</v>
      </c>
      <c r="JV264" t="n">
        <v>111</v>
      </c>
      <c r="JW264" t="n">
        <v>740</v>
      </c>
      <c r="JX264" t="n">
        <v>85</v>
      </c>
      <c r="JY264" t="n">
        <v>49</v>
      </c>
      <c r="JZ264" t="n">
        <v>160</v>
      </c>
      <c r="KA264" t="n">
        <v>398</v>
      </c>
      <c r="KB264" t="n">
        <v>84</v>
      </c>
      <c r="KC264" t="n">
        <v>268</v>
      </c>
      <c r="KD264" t="n">
        <v>144</v>
      </c>
      <c r="KF264" t="n">
        <v>1</v>
      </c>
      <c r="KH264" t="n">
        <v>16</v>
      </c>
      <c r="KK264" t="n">
        <v>61</v>
      </c>
      <c r="KL264" t="n">
        <v>133</v>
      </c>
      <c r="KM264" t="n">
        <v>74</v>
      </c>
      <c r="KN264" t="n">
        <v>2</v>
      </c>
      <c r="KO264" t="n">
        <v>3</v>
      </c>
      <c r="KP264" t="n">
        <v>1</v>
      </c>
      <c r="KQ264" t="n">
        <v>11</v>
      </c>
      <c r="KR264" t="n">
        <v>31</v>
      </c>
      <c r="KS264" t="n">
        <v>16</v>
      </c>
      <c r="KW264" t="n">
        <v>150</v>
      </c>
      <c r="KX264" t="n">
        <v>14</v>
      </c>
      <c r="KZ264" t="n">
        <v>18</v>
      </c>
      <c r="LI264" t="n">
        <v>65</v>
      </c>
      <c r="LK264" t="n">
        <v>1</v>
      </c>
      <c r="LL264" t="n">
        <v>0</v>
      </c>
      <c r="LN264" t="n">
        <v>2</v>
      </c>
      <c r="LO264" t="n">
        <v>28</v>
      </c>
      <c r="LP264" t="n">
        <v>7</v>
      </c>
      <c r="LQ264" t="n">
        <v>102</v>
      </c>
      <c r="LR264" t="n">
        <v>5</v>
      </c>
      <c r="LS264" t="n">
        <v>2</v>
      </c>
      <c r="LT264" t="n">
        <v>11</v>
      </c>
      <c r="LV264" t="n">
        <v>0</v>
      </c>
      <c r="LW264" t="n">
        <v>67</v>
      </c>
      <c r="LX264" t="n">
        <v>70</v>
      </c>
      <c r="LY264" t="n">
        <v>10</v>
      </c>
      <c r="LZ264" t="n">
        <v>11</v>
      </c>
      <c r="MA264" t="n">
        <v>50</v>
      </c>
      <c r="MB264" t="n">
        <v>6</v>
      </c>
      <c r="MC264" t="n">
        <v>10</v>
      </c>
      <c r="ME264" t="n">
        <v>25</v>
      </c>
      <c r="MF264" t="n">
        <v>41</v>
      </c>
      <c r="MG264" t="n">
        <v>26</v>
      </c>
      <c r="MH264" t="n">
        <v>87</v>
      </c>
      <c r="MI264" t="n">
        <v>3</v>
      </c>
      <c r="MJ264" t="n">
        <v>2</v>
      </c>
      <c r="MK264" t="n">
        <v>33</v>
      </c>
      <c r="MM264" t="n">
        <v>4</v>
      </c>
      <c r="MN264" t="n">
        <v>78</v>
      </c>
      <c r="MO264" t="n">
        <v>49</v>
      </c>
      <c r="MQ264" t="n">
        <v>0</v>
      </c>
      <c r="MR264" t="n">
        <v>12</v>
      </c>
      <c r="MS264" t="n">
        <v>31</v>
      </c>
      <c r="MT264" t="n">
        <v>29</v>
      </c>
      <c r="MU264" t="n">
        <v>2</v>
      </c>
      <c r="MV264" t="n">
        <v>63</v>
      </c>
      <c r="MW264" t="n">
        <v>7</v>
      </c>
      <c r="MX264" t="n">
        <v>8</v>
      </c>
      <c r="MY264" t="n">
        <v>1</v>
      </c>
      <c r="MZ264" t="n">
        <v>15</v>
      </c>
      <c r="NA264" t="n">
        <v>0</v>
      </c>
      <c r="NC264" t="n">
        <v>3</v>
      </c>
      <c r="ND264" t="n">
        <v>40</v>
      </c>
      <c r="NE264" t="n">
        <v>9</v>
      </c>
      <c r="NF264" t="n">
        <v>0</v>
      </c>
      <c r="NG264" t="n">
        <v>1</v>
      </c>
      <c r="NI264" t="n">
        <v>1</v>
      </c>
      <c r="NJ264" t="n">
        <v>1</v>
      </c>
      <c r="NK264" t="n">
        <v>3</v>
      </c>
      <c r="NL264" t="n">
        <v>9</v>
      </c>
      <c r="NM264" t="n">
        <v>7</v>
      </c>
      <c r="NN264" t="n">
        <v>7</v>
      </c>
      <c r="NO264" t="n">
        <v>75</v>
      </c>
      <c r="NP264" t="n">
        <v>53</v>
      </c>
      <c r="NQ264" t="n">
        <v>4</v>
      </c>
      <c r="NR264" t="n">
        <v>2</v>
      </c>
      <c r="NS264" t="n">
        <v>12</v>
      </c>
      <c r="NT264" t="n">
        <v>22</v>
      </c>
      <c r="NU264" t="n">
        <v>14</v>
      </c>
      <c r="NV264" t="n">
        <v>48</v>
      </c>
      <c r="NW264" t="n">
        <v>0</v>
      </c>
      <c r="NX264" t="n">
        <v>2</v>
      </c>
      <c r="NY264" t="n">
        <v>3</v>
      </c>
      <c r="NZ264" t="n">
        <v>5</v>
      </c>
      <c r="OA264" t="n">
        <v>0</v>
      </c>
      <c r="OB264" t="n">
        <v>8</v>
      </c>
      <c r="OD264" t="n">
        <v>11</v>
      </c>
      <c r="OE264" t="n">
        <v>194</v>
      </c>
      <c r="OI264" t="n">
        <v>406</v>
      </c>
      <c r="OJ264" t="n">
        <v>1016</v>
      </c>
      <c r="OK264" t="n">
        <v>144</v>
      </c>
      <c r="OL264" t="n">
        <v>12</v>
      </c>
      <c r="ON264" t="n">
        <v>1</v>
      </c>
      <c r="OO264" t="n">
        <v>43624</v>
      </c>
      <c r="OP264" t="n">
        <v>6541</v>
      </c>
      <c r="OU264" t="n">
        <v>136</v>
      </c>
      <c r="OV264" t="n">
        <v>5185</v>
      </c>
      <c r="PI264" t="n">
        <v>55486</v>
      </c>
      <c r="PM264">
        <f>IFERROR(VLOOKUP($A264&amp;"",Key!$A:$C,3,FALSE),"")</f>
        <v/>
      </c>
    </row>
    <row r="265">
      <c r="A265" t="n">
        <v>326120</v>
      </c>
      <c r="B265" t="inlineStr">
        <is>
          <t>Plastics pipe, pipe fitting, and unlaminated profile shape manufacturing</t>
        </is>
      </c>
      <c r="D265" t="n">
        <v>100</v>
      </c>
      <c r="H265" t="n">
        <v>15</v>
      </c>
      <c r="J265" t="n">
        <v>92</v>
      </c>
      <c r="N265" t="n">
        <v>11</v>
      </c>
      <c r="R265" t="n">
        <v>4</v>
      </c>
      <c r="V265" t="n">
        <v>48</v>
      </c>
      <c r="W265" t="n">
        <v>81</v>
      </c>
      <c r="X265" t="n">
        <v>1</v>
      </c>
      <c r="Z265" t="n">
        <v>0</v>
      </c>
      <c r="AA265" t="n">
        <v>69</v>
      </c>
      <c r="AB265" t="n">
        <v>75</v>
      </c>
      <c r="AC265" t="n">
        <v>1544</v>
      </c>
      <c r="AD265" t="n">
        <v>400</v>
      </c>
      <c r="AE265" t="n">
        <v>1239</v>
      </c>
      <c r="AF265" t="n">
        <v>266</v>
      </c>
      <c r="AG265" t="n">
        <v>1126</v>
      </c>
      <c r="AH265" t="n">
        <v>99</v>
      </c>
      <c r="AI265" t="n">
        <v>656</v>
      </c>
      <c r="AJ265" t="n">
        <v>534</v>
      </c>
      <c r="AK265" t="n">
        <v>1561</v>
      </c>
      <c r="AL265" t="n">
        <v>555</v>
      </c>
      <c r="AO265" t="n">
        <v>7</v>
      </c>
      <c r="AP265" t="n">
        <v>298</v>
      </c>
      <c r="AR265" t="n">
        <v>1</v>
      </c>
      <c r="BA265" t="n">
        <v>9</v>
      </c>
      <c r="BB265" t="n">
        <v>2</v>
      </c>
      <c r="BG265" t="n">
        <v>20</v>
      </c>
      <c r="BO265" t="n">
        <v>3</v>
      </c>
      <c r="BP265" t="n">
        <v>8</v>
      </c>
      <c r="BR265" t="n">
        <v>58</v>
      </c>
      <c r="BV265" t="n">
        <v>4</v>
      </c>
      <c r="BW265" t="n">
        <v>18</v>
      </c>
      <c r="BX265" t="n">
        <v>76</v>
      </c>
      <c r="BY265" t="n">
        <v>3</v>
      </c>
      <c r="CB265" t="n">
        <v>20</v>
      </c>
      <c r="CF265" t="n">
        <v>7</v>
      </c>
      <c r="CJ265" t="n">
        <v>13</v>
      </c>
      <c r="CK265" t="n">
        <v>1</v>
      </c>
      <c r="CL265" t="n">
        <v>15</v>
      </c>
      <c r="CM265" t="n">
        <v>18</v>
      </c>
      <c r="CN265" t="n">
        <v>1</v>
      </c>
      <c r="CO265" t="n">
        <v>61</v>
      </c>
      <c r="CQ265" t="n">
        <v>25</v>
      </c>
      <c r="CR265" t="n">
        <v>4</v>
      </c>
      <c r="CS265" t="n">
        <v>1</v>
      </c>
      <c r="CT265" t="n">
        <v>4</v>
      </c>
      <c r="CV265" t="n">
        <v>9</v>
      </c>
      <c r="CZ265" t="n">
        <v>89</v>
      </c>
      <c r="DA265" t="n">
        <v>2</v>
      </c>
      <c r="DB265" t="n">
        <v>9</v>
      </c>
      <c r="DC265" t="n">
        <v>35</v>
      </c>
      <c r="DE265" t="n">
        <v>1</v>
      </c>
      <c r="DG265" t="n">
        <v>15</v>
      </c>
      <c r="DK265" t="n">
        <v>42</v>
      </c>
      <c r="DL265" t="n">
        <v>1</v>
      </c>
      <c r="DO265" t="n">
        <v>42</v>
      </c>
      <c r="DR265" t="n">
        <v>138</v>
      </c>
      <c r="DS265" t="n">
        <v>30</v>
      </c>
      <c r="DY265" t="n">
        <v>1</v>
      </c>
      <c r="EA265" t="n">
        <v>0</v>
      </c>
      <c r="EB265" t="n">
        <v>2</v>
      </c>
      <c r="EC265" t="n">
        <v>5</v>
      </c>
      <c r="ED265" t="n">
        <v>14</v>
      </c>
      <c r="EE265" t="n">
        <v>5</v>
      </c>
      <c r="EF265" t="n">
        <v>57</v>
      </c>
      <c r="EG265" t="n">
        <v>2</v>
      </c>
      <c r="EH265" t="n">
        <v>2</v>
      </c>
      <c r="EI265" t="n">
        <v>11</v>
      </c>
      <c r="EJ265" t="n">
        <v>6</v>
      </c>
      <c r="EK265" t="n">
        <v>2</v>
      </c>
      <c r="EL265" t="n">
        <v>2</v>
      </c>
      <c r="EM265" t="n">
        <v>1</v>
      </c>
      <c r="EN265" t="n">
        <v>20</v>
      </c>
      <c r="EO265" t="n">
        <v>9</v>
      </c>
      <c r="EP265" t="n">
        <v>1</v>
      </c>
      <c r="EQ265" t="n">
        <v>9</v>
      </c>
      <c r="ER265" t="n">
        <v>192</v>
      </c>
      <c r="ES265" t="n">
        <v>4</v>
      </c>
      <c r="EV265" t="n">
        <v>0</v>
      </c>
      <c r="EW265" t="n">
        <v>5</v>
      </c>
      <c r="EX265" t="n">
        <v>11</v>
      </c>
      <c r="EY265" t="n">
        <v>12</v>
      </c>
      <c r="EZ265" t="n">
        <v>11</v>
      </c>
      <c r="FA265" t="n">
        <v>67</v>
      </c>
      <c r="FB265" t="n">
        <v>10</v>
      </c>
      <c r="FC265" t="n">
        <v>111</v>
      </c>
      <c r="FD265" t="n">
        <v>9</v>
      </c>
      <c r="FK265" t="n">
        <v>239</v>
      </c>
      <c r="FL265" t="n">
        <v>17</v>
      </c>
      <c r="FO265" t="n">
        <v>63</v>
      </c>
      <c r="FW265" t="n">
        <v>22</v>
      </c>
      <c r="FX265" t="n">
        <v>38</v>
      </c>
      <c r="FY265" t="n">
        <v>42</v>
      </c>
      <c r="GA265" t="n">
        <v>10</v>
      </c>
      <c r="GD265" t="n">
        <v>10</v>
      </c>
      <c r="GE265" t="n">
        <v>1</v>
      </c>
      <c r="GF265" t="n">
        <v>16</v>
      </c>
      <c r="GG265" t="n">
        <v>40</v>
      </c>
      <c r="GH265" t="n">
        <v>68</v>
      </c>
      <c r="GP265" t="n">
        <v>15</v>
      </c>
      <c r="GS265" t="n">
        <v>3</v>
      </c>
      <c r="GT265" t="n">
        <v>10</v>
      </c>
      <c r="GU265" t="n">
        <v>20</v>
      </c>
      <c r="GV265" t="n">
        <v>0</v>
      </c>
      <c r="GW265" t="n">
        <v>33</v>
      </c>
      <c r="HN265" t="n">
        <v>10</v>
      </c>
      <c r="HP265" t="n">
        <v>0</v>
      </c>
      <c r="HQ265" t="n">
        <v>10</v>
      </c>
      <c r="HS265" t="n">
        <v>8</v>
      </c>
      <c r="HU265" t="n">
        <v>20</v>
      </c>
      <c r="HX265" t="n">
        <v>101</v>
      </c>
      <c r="HY265" t="n">
        <v>23</v>
      </c>
      <c r="HZ265" t="n">
        <v>22</v>
      </c>
      <c r="IA265" t="n">
        <v>5</v>
      </c>
      <c r="IB265" t="n">
        <v>416</v>
      </c>
      <c r="ID265" t="n">
        <v>38</v>
      </c>
      <c r="IE265" t="n">
        <v>13</v>
      </c>
      <c r="II265" t="n">
        <v>19</v>
      </c>
      <c r="IK265" t="n">
        <v>166</v>
      </c>
      <c r="IL265" t="n">
        <v>1172</v>
      </c>
      <c r="IM265" t="n">
        <v>115</v>
      </c>
      <c r="IN265" t="n">
        <v>5</v>
      </c>
      <c r="IX265" t="n">
        <v>364</v>
      </c>
      <c r="IZ265" t="n">
        <v>12</v>
      </c>
      <c r="JA265" t="n">
        <v>163</v>
      </c>
      <c r="JB265" t="n">
        <v>222</v>
      </c>
      <c r="JC265" t="n">
        <v>53</v>
      </c>
      <c r="JD265" t="n">
        <v>21</v>
      </c>
      <c r="JE265" t="n">
        <v>287</v>
      </c>
      <c r="JF265" t="n">
        <v>73</v>
      </c>
      <c r="JG265" t="n">
        <v>798</v>
      </c>
      <c r="JH265" t="n">
        <v>26</v>
      </c>
      <c r="JJ265" t="n">
        <v>20</v>
      </c>
      <c r="JK265" t="n">
        <v>3</v>
      </c>
      <c r="JN265" t="n">
        <v>7</v>
      </c>
      <c r="JP265" t="n">
        <v>27</v>
      </c>
      <c r="JQ265" t="n">
        <v>21</v>
      </c>
      <c r="JS265" t="n">
        <v>53</v>
      </c>
      <c r="JT265" t="n">
        <v>1</v>
      </c>
      <c r="JV265" t="n">
        <v>153</v>
      </c>
      <c r="JX265" t="n">
        <v>5</v>
      </c>
      <c r="JY265" t="n">
        <v>10</v>
      </c>
      <c r="KB265" t="n">
        <v>9</v>
      </c>
      <c r="KC265" t="n">
        <v>6</v>
      </c>
      <c r="KD265" t="n">
        <v>25</v>
      </c>
      <c r="KN265" t="n">
        <v>1</v>
      </c>
      <c r="KO265" t="n">
        <v>1</v>
      </c>
      <c r="KQ265" t="n">
        <v>4</v>
      </c>
      <c r="KR265" t="n">
        <v>12</v>
      </c>
      <c r="KS265" t="n">
        <v>6</v>
      </c>
      <c r="KV265" t="n">
        <v>1501</v>
      </c>
      <c r="KW265" t="n">
        <v>1102</v>
      </c>
      <c r="KX265" t="n">
        <v>167</v>
      </c>
      <c r="KY265" t="n">
        <v>13</v>
      </c>
      <c r="KZ265" t="n">
        <v>9</v>
      </c>
      <c r="LK265" t="n">
        <v>4</v>
      </c>
      <c r="LL265" t="n">
        <v>0</v>
      </c>
      <c r="LO265" t="n">
        <v>147</v>
      </c>
      <c r="LR265" t="n">
        <v>2</v>
      </c>
      <c r="LS265" t="n">
        <v>1</v>
      </c>
      <c r="LT265" t="n">
        <v>508</v>
      </c>
      <c r="LW265" t="n">
        <v>585</v>
      </c>
      <c r="LX265" t="n">
        <v>28</v>
      </c>
      <c r="LY265" t="n">
        <v>4</v>
      </c>
      <c r="LZ265" t="n">
        <v>160</v>
      </c>
      <c r="MA265" t="n">
        <v>20</v>
      </c>
      <c r="MB265" t="n">
        <v>1</v>
      </c>
      <c r="MC265" t="n">
        <v>4</v>
      </c>
      <c r="ME265" t="n">
        <v>10</v>
      </c>
      <c r="MF265" t="n">
        <v>6</v>
      </c>
      <c r="MG265" t="n">
        <v>9</v>
      </c>
      <c r="MH265" t="n">
        <v>77</v>
      </c>
      <c r="MI265" t="n">
        <v>1</v>
      </c>
      <c r="MJ265" t="n">
        <v>1</v>
      </c>
      <c r="MK265" t="n">
        <v>13</v>
      </c>
      <c r="MM265" t="n">
        <v>1</v>
      </c>
      <c r="MN265" t="n">
        <v>31</v>
      </c>
      <c r="MO265" t="n">
        <v>94</v>
      </c>
      <c r="MQ265" t="n">
        <v>1</v>
      </c>
      <c r="MS265" t="n">
        <v>128</v>
      </c>
      <c r="MT265" t="n">
        <v>12</v>
      </c>
      <c r="MU265" t="n">
        <v>1</v>
      </c>
      <c r="MV265" t="n">
        <v>4</v>
      </c>
      <c r="MW265" t="n">
        <v>1</v>
      </c>
      <c r="MX265" t="n">
        <v>3</v>
      </c>
      <c r="MY265" t="n">
        <v>3</v>
      </c>
      <c r="MZ265" t="n">
        <v>85</v>
      </c>
      <c r="NB265" t="n">
        <v>7</v>
      </c>
      <c r="NC265" t="n">
        <v>37</v>
      </c>
      <c r="ND265" t="n">
        <v>41</v>
      </c>
      <c r="NE265" t="n">
        <v>48</v>
      </c>
      <c r="NF265" t="n">
        <v>1</v>
      </c>
      <c r="NI265" t="n">
        <v>1</v>
      </c>
      <c r="NJ265" t="n">
        <v>0</v>
      </c>
      <c r="NM265" t="n">
        <v>42</v>
      </c>
      <c r="NN265" t="n">
        <v>14</v>
      </c>
      <c r="NO265" t="n">
        <v>204</v>
      </c>
      <c r="NP265" t="n">
        <v>154</v>
      </c>
      <c r="NQ265" t="n">
        <v>39</v>
      </c>
      <c r="NR265" t="n">
        <v>1</v>
      </c>
      <c r="NS265" t="n">
        <v>5</v>
      </c>
      <c r="NT265" t="n">
        <v>9</v>
      </c>
      <c r="NU265" t="n">
        <v>6</v>
      </c>
      <c r="NV265" t="n">
        <v>19</v>
      </c>
      <c r="NW265" t="n">
        <v>0</v>
      </c>
      <c r="NX265" t="n">
        <v>1</v>
      </c>
      <c r="NY265" t="n">
        <v>1</v>
      </c>
      <c r="NZ265" t="n">
        <v>28</v>
      </c>
      <c r="OA265" t="n">
        <v>0</v>
      </c>
      <c r="OB265" t="n">
        <v>30</v>
      </c>
      <c r="OE265" t="n">
        <v>0</v>
      </c>
      <c r="OI265" t="n">
        <v>48</v>
      </c>
      <c r="OK265" t="n">
        <v>78</v>
      </c>
      <c r="OL265" t="n">
        <v>28</v>
      </c>
      <c r="OM265" t="n">
        <v>30</v>
      </c>
      <c r="ON265" t="n">
        <v>1529</v>
      </c>
      <c r="OO265" t="n">
        <v>22465</v>
      </c>
      <c r="OU265" t="n">
        <v>308</v>
      </c>
      <c r="OV265" t="n">
        <v>1528</v>
      </c>
      <c r="PI265" t="n">
        <v>24302</v>
      </c>
      <c r="PM265">
        <f>IFERROR(VLOOKUP($A265&amp;"",Key!$A:$C,3,FALSE),"")</f>
        <v/>
      </c>
    </row>
    <row r="266">
      <c r="A266" t="n">
        <v>326130</v>
      </c>
      <c r="B266" t="inlineStr">
        <is>
          <t>Laminated plastics plate, sheet (except packaging), and shape manufacturing</t>
        </is>
      </c>
      <c r="AC266" t="n">
        <v>0</v>
      </c>
      <c r="AO266" t="n">
        <v>3</v>
      </c>
      <c r="AP266" t="n">
        <v>5</v>
      </c>
      <c r="AR266" t="n">
        <v>0</v>
      </c>
      <c r="BA266" t="n">
        <v>6</v>
      </c>
      <c r="BB266" t="n">
        <v>2</v>
      </c>
      <c r="BN266" t="n">
        <v>24</v>
      </c>
      <c r="BO266" t="n">
        <v>2</v>
      </c>
      <c r="BP266" t="n">
        <v>5</v>
      </c>
      <c r="BR266" t="n">
        <v>5</v>
      </c>
      <c r="BV266" t="n">
        <v>2</v>
      </c>
      <c r="BW266" t="n">
        <v>7</v>
      </c>
      <c r="BX266" t="n">
        <v>206</v>
      </c>
      <c r="BY266" t="n">
        <v>13</v>
      </c>
      <c r="CA266" t="n">
        <v>30</v>
      </c>
      <c r="CB266" t="n">
        <v>13</v>
      </c>
      <c r="CD266" t="n">
        <v>36</v>
      </c>
      <c r="CE266" t="n">
        <v>14</v>
      </c>
      <c r="CF266" t="n">
        <v>5</v>
      </c>
      <c r="CG266" t="n">
        <v>3</v>
      </c>
      <c r="CH266" t="n">
        <v>9</v>
      </c>
      <c r="CI266" t="n">
        <v>6</v>
      </c>
      <c r="CJ266" t="n">
        <v>9</v>
      </c>
      <c r="CK266" t="n">
        <v>12</v>
      </c>
      <c r="CL266" t="n">
        <v>61</v>
      </c>
      <c r="CN266" t="n">
        <v>1</v>
      </c>
      <c r="CO266" t="n">
        <v>46</v>
      </c>
      <c r="CQ266" t="n">
        <v>17</v>
      </c>
      <c r="CR266" t="n">
        <v>4</v>
      </c>
      <c r="CZ266" t="n">
        <v>7</v>
      </c>
      <c r="DA266" t="n">
        <v>13</v>
      </c>
      <c r="DB266" t="n">
        <v>37</v>
      </c>
      <c r="DC266" t="n">
        <v>48</v>
      </c>
      <c r="DD266" t="n">
        <v>13</v>
      </c>
      <c r="DG266" t="n">
        <v>1</v>
      </c>
      <c r="DP266" t="n">
        <v>3</v>
      </c>
      <c r="DQ266" t="n">
        <v>16</v>
      </c>
      <c r="DR266" t="n">
        <v>98</v>
      </c>
      <c r="DS266" t="n">
        <v>70</v>
      </c>
      <c r="DU266" t="n">
        <v>58</v>
      </c>
      <c r="DY266" t="n">
        <v>0</v>
      </c>
      <c r="EA266" t="n">
        <v>0</v>
      </c>
      <c r="EB266" t="n">
        <v>2</v>
      </c>
      <c r="ED266" t="n">
        <v>20</v>
      </c>
      <c r="EE266" t="n">
        <v>4</v>
      </c>
      <c r="EF266" t="n">
        <v>38</v>
      </c>
      <c r="EH266" t="n">
        <v>1</v>
      </c>
      <c r="EI266" t="n">
        <v>8</v>
      </c>
      <c r="EJ266" t="n">
        <v>4</v>
      </c>
      <c r="EK266" t="n">
        <v>8</v>
      </c>
      <c r="EL266" t="n">
        <v>4</v>
      </c>
      <c r="EM266" t="n">
        <v>1</v>
      </c>
      <c r="EN266" t="n">
        <v>14</v>
      </c>
      <c r="EQ266" t="n">
        <v>4</v>
      </c>
      <c r="ER266" t="n">
        <v>71</v>
      </c>
      <c r="ES266" t="n">
        <v>2</v>
      </c>
      <c r="EV266" t="n">
        <v>0</v>
      </c>
      <c r="EW266" t="n">
        <v>7</v>
      </c>
      <c r="EX266" t="n">
        <v>5</v>
      </c>
      <c r="EY266" t="n">
        <v>12</v>
      </c>
      <c r="EZ266" t="n">
        <v>6</v>
      </c>
      <c r="FA266" t="n">
        <v>39</v>
      </c>
      <c r="FB266" t="n">
        <v>8</v>
      </c>
      <c r="FC266" t="n">
        <v>32</v>
      </c>
      <c r="FD266" t="n">
        <v>5</v>
      </c>
      <c r="FE266" t="n">
        <v>6</v>
      </c>
      <c r="FG266" t="n">
        <v>8</v>
      </c>
      <c r="FK266" t="n">
        <v>47</v>
      </c>
      <c r="FL266" t="n">
        <v>12</v>
      </c>
      <c r="FN266" t="n">
        <v>0</v>
      </c>
      <c r="FO266" t="n">
        <v>44</v>
      </c>
      <c r="FP266" t="n">
        <v>353</v>
      </c>
      <c r="FQ266" t="n">
        <v>4</v>
      </c>
      <c r="FR266" t="n">
        <v>8</v>
      </c>
      <c r="FS266" t="n">
        <v>67</v>
      </c>
      <c r="FT266" t="n">
        <v>9</v>
      </c>
      <c r="FU266" t="n">
        <v>85</v>
      </c>
      <c r="FV266" t="n">
        <v>184</v>
      </c>
      <c r="FW266" t="n">
        <v>15</v>
      </c>
      <c r="FX266" t="n">
        <v>69</v>
      </c>
      <c r="FY266" t="n">
        <v>59</v>
      </c>
      <c r="FZ266" t="n">
        <v>18</v>
      </c>
      <c r="GA266" t="n">
        <v>7</v>
      </c>
      <c r="GB266" t="n">
        <v>10</v>
      </c>
      <c r="GD266" t="n">
        <v>7</v>
      </c>
      <c r="GE266" t="n">
        <v>1</v>
      </c>
      <c r="GF266" t="n">
        <v>11</v>
      </c>
      <c r="GG266" t="n">
        <v>27</v>
      </c>
      <c r="GH266" t="n">
        <v>45</v>
      </c>
      <c r="GP266" t="n">
        <v>2</v>
      </c>
      <c r="GS266" t="n">
        <v>2</v>
      </c>
      <c r="GT266" t="n">
        <v>1</v>
      </c>
      <c r="GU266" t="n">
        <v>14</v>
      </c>
      <c r="GV266" t="n">
        <v>1</v>
      </c>
      <c r="HK266" t="n">
        <v>78</v>
      </c>
      <c r="HM266" t="n">
        <v>4</v>
      </c>
      <c r="HN266" t="n">
        <v>9</v>
      </c>
      <c r="HP266" t="n">
        <v>1</v>
      </c>
      <c r="HQ266" t="n">
        <v>7</v>
      </c>
      <c r="HS266" t="n">
        <v>3</v>
      </c>
      <c r="HU266" t="n">
        <v>13</v>
      </c>
      <c r="HX266" t="n">
        <v>62</v>
      </c>
      <c r="HY266" t="n">
        <v>15</v>
      </c>
      <c r="HZ266" t="n">
        <v>16</v>
      </c>
      <c r="IA266" t="n">
        <v>4</v>
      </c>
      <c r="IB266" t="n">
        <v>1</v>
      </c>
      <c r="IC266" t="n">
        <v>3</v>
      </c>
      <c r="IM266" t="n">
        <v>10</v>
      </c>
      <c r="IZ266" t="n">
        <v>12</v>
      </c>
      <c r="JA266" t="n">
        <v>42</v>
      </c>
      <c r="JB266" t="n">
        <v>39</v>
      </c>
      <c r="JC266" t="n">
        <v>108</v>
      </c>
      <c r="JD266" t="n">
        <v>15</v>
      </c>
      <c r="JE266" t="n">
        <v>44</v>
      </c>
      <c r="JF266" t="n">
        <v>53</v>
      </c>
      <c r="JG266" t="n">
        <v>722</v>
      </c>
      <c r="JH266" t="n">
        <v>11</v>
      </c>
      <c r="JJ266" t="n">
        <v>10</v>
      </c>
      <c r="JK266" t="n">
        <v>4</v>
      </c>
      <c r="JL266" t="n">
        <v>8</v>
      </c>
      <c r="JP266" t="n">
        <v>14</v>
      </c>
      <c r="JQ266" t="n">
        <v>140</v>
      </c>
      <c r="JS266" t="n">
        <v>76</v>
      </c>
      <c r="JT266" t="n">
        <v>5</v>
      </c>
      <c r="JV266" t="n">
        <v>3</v>
      </c>
      <c r="JZ266" t="n">
        <v>9</v>
      </c>
      <c r="KW266" t="n">
        <v>43</v>
      </c>
      <c r="KX266" t="n">
        <v>65</v>
      </c>
      <c r="KY266" t="n">
        <v>7</v>
      </c>
      <c r="LO266" t="n">
        <v>74</v>
      </c>
      <c r="LT266" t="n">
        <v>108</v>
      </c>
      <c r="LW266" t="n">
        <v>183</v>
      </c>
      <c r="LZ266" t="n">
        <v>11</v>
      </c>
      <c r="MK266" t="n">
        <v>38</v>
      </c>
      <c r="MM266" t="n">
        <v>24</v>
      </c>
      <c r="MN266" t="n">
        <v>14</v>
      </c>
      <c r="MQ266" t="n">
        <v>1</v>
      </c>
      <c r="MZ266" t="n">
        <v>288</v>
      </c>
      <c r="NB266" t="n">
        <v>1</v>
      </c>
      <c r="NM266" t="n">
        <v>4</v>
      </c>
      <c r="NN266" t="n">
        <v>9</v>
      </c>
      <c r="NO266" t="n">
        <v>25</v>
      </c>
      <c r="NP266" t="n">
        <v>76</v>
      </c>
      <c r="NQ266" t="n">
        <v>14</v>
      </c>
      <c r="NT266" t="n">
        <v>174</v>
      </c>
      <c r="NU266" t="n">
        <v>119</v>
      </c>
      <c r="OL266" t="n">
        <v>3</v>
      </c>
      <c r="ON266" t="n">
        <v>9</v>
      </c>
      <c r="OO266" t="n">
        <v>5152</v>
      </c>
      <c r="OU266" t="n">
        <v>13</v>
      </c>
      <c r="OV266" t="n">
        <v>17</v>
      </c>
      <c r="PI266" t="n">
        <v>5182</v>
      </c>
      <c r="PM266">
        <f>IFERROR(VLOOKUP($A266&amp;"",Key!$A:$C,3,FALSE),"")</f>
        <v/>
      </c>
    </row>
    <row r="267">
      <c r="A267" t="n">
        <v>326140</v>
      </c>
      <c r="B267" t="inlineStr">
        <is>
          <t>Polystyrene foam product manufacturing</t>
        </is>
      </c>
      <c r="AA267" t="n">
        <v>2</v>
      </c>
      <c r="AB267" t="n">
        <v>5</v>
      </c>
      <c r="AC267" t="n">
        <v>322</v>
      </c>
      <c r="AD267" t="n">
        <v>55</v>
      </c>
      <c r="AE267" t="n">
        <v>612</v>
      </c>
      <c r="AG267" t="n">
        <v>343</v>
      </c>
      <c r="AH267" t="n">
        <v>247</v>
      </c>
      <c r="AI267" t="n">
        <v>77</v>
      </c>
      <c r="AJ267" t="n">
        <v>113</v>
      </c>
      <c r="AK267" t="n">
        <v>388</v>
      </c>
      <c r="AL267" t="n">
        <v>45</v>
      </c>
      <c r="AR267" t="n">
        <v>0</v>
      </c>
      <c r="BR267" t="n">
        <v>2</v>
      </c>
      <c r="BV267" t="n">
        <v>2</v>
      </c>
      <c r="BW267" t="n">
        <v>7</v>
      </c>
      <c r="CB267" t="n">
        <v>4</v>
      </c>
      <c r="CJ267" t="n">
        <v>3</v>
      </c>
      <c r="CL267" t="n">
        <v>1</v>
      </c>
      <c r="CR267" t="n">
        <v>1</v>
      </c>
      <c r="DA267" t="n">
        <v>1</v>
      </c>
      <c r="DB267" t="n">
        <v>6</v>
      </c>
      <c r="EF267" t="n">
        <v>3</v>
      </c>
      <c r="EQ267" t="n">
        <v>13</v>
      </c>
      <c r="ER267" t="n">
        <v>154</v>
      </c>
      <c r="ES267" t="n">
        <v>2</v>
      </c>
      <c r="ET267" t="n">
        <v>1</v>
      </c>
      <c r="EU267" t="n">
        <v>1</v>
      </c>
      <c r="EX267" t="n">
        <v>2</v>
      </c>
      <c r="EY267" t="n">
        <v>3</v>
      </c>
      <c r="FC267" t="n">
        <v>7</v>
      </c>
      <c r="FD267" t="n">
        <v>3</v>
      </c>
      <c r="FX267" t="n">
        <v>5</v>
      </c>
      <c r="FY267" t="n">
        <v>9</v>
      </c>
      <c r="GH267" t="n">
        <v>3</v>
      </c>
      <c r="GM267" t="n">
        <v>4</v>
      </c>
      <c r="GO267" t="n">
        <v>1</v>
      </c>
      <c r="GP267" t="n">
        <v>13</v>
      </c>
      <c r="GR267" t="n">
        <v>7</v>
      </c>
      <c r="GS267" t="n">
        <v>2</v>
      </c>
      <c r="GT267" t="n">
        <v>9</v>
      </c>
      <c r="GU267" t="n">
        <v>44</v>
      </c>
      <c r="GV267" t="n">
        <v>5</v>
      </c>
      <c r="GY267" t="n">
        <v>0</v>
      </c>
      <c r="HB267" t="n">
        <v>1</v>
      </c>
      <c r="HD267" t="n">
        <v>1</v>
      </c>
      <c r="HG267" t="n">
        <v>1</v>
      </c>
      <c r="HR267" t="n">
        <v>0</v>
      </c>
      <c r="HS267" t="n">
        <v>3</v>
      </c>
      <c r="HW267" t="n">
        <v>8</v>
      </c>
      <c r="IG267" t="n">
        <v>23</v>
      </c>
      <c r="IL267" t="n">
        <v>1</v>
      </c>
      <c r="IO267" t="n">
        <v>73</v>
      </c>
      <c r="IP267" t="n">
        <v>168</v>
      </c>
      <c r="IQ267" t="n">
        <v>75</v>
      </c>
      <c r="IR267" t="n">
        <v>123</v>
      </c>
      <c r="IT267" t="n">
        <v>6</v>
      </c>
      <c r="IU267" t="n">
        <v>11</v>
      </c>
      <c r="IW267" t="n">
        <v>173</v>
      </c>
      <c r="IZ267" t="n">
        <v>14</v>
      </c>
      <c r="JD267" t="n">
        <v>9</v>
      </c>
      <c r="JE267" t="n">
        <v>7</v>
      </c>
      <c r="JG267" t="n">
        <v>13</v>
      </c>
      <c r="JH267" t="n">
        <v>6</v>
      </c>
      <c r="JJ267" t="n">
        <v>3</v>
      </c>
      <c r="JK267" t="n">
        <v>233</v>
      </c>
      <c r="JL267" t="n">
        <v>58</v>
      </c>
      <c r="JM267" t="n">
        <v>93</v>
      </c>
      <c r="JN267" t="n">
        <v>63</v>
      </c>
      <c r="JO267" t="n">
        <v>135</v>
      </c>
      <c r="JP267" t="n">
        <v>225</v>
      </c>
      <c r="JQ267" t="n">
        <v>667</v>
      </c>
      <c r="JR267" t="n">
        <v>69</v>
      </c>
      <c r="JS267" t="n">
        <v>535</v>
      </c>
      <c r="JT267" t="n">
        <v>47</v>
      </c>
      <c r="JV267" t="n">
        <v>42</v>
      </c>
      <c r="JW267" t="n">
        <v>126</v>
      </c>
      <c r="JX267" t="n">
        <v>57</v>
      </c>
      <c r="JY267" t="n">
        <v>25</v>
      </c>
      <c r="JZ267" t="n">
        <v>76</v>
      </c>
      <c r="KA267" t="n">
        <v>63</v>
      </c>
      <c r="KB267" t="n">
        <v>25</v>
      </c>
      <c r="KC267" t="n">
        <v>101</v>
      </c>
      <c r="KD267" t="n">
        <v>58</v>
      </c>
      <c r="KF267" t="n">
        <v>1</v>
      </c>
      <c r="KK267" t="n">
        <v>101</v>
      </c>
      <c r="KL267" t="n">
        <v>3</v>
      </c>
      <c r="KM267" t="n">
        <v>2</v>
      </c>
      <c r="KN267" t="n">
        <v>0</v>
      </c>
      <c r="KO267" t="n">
        <v>0</v>
      </c>
      <c r="KQ267" t="n">
        <v>3</v>
      </c>
      <c r="KR267" t="n">
        <v>6</v>
      </c>
      <c r="KS267" t="n">
        <v>2</v>
      </c>
      <c r="KV267" t="n">
        <v>36</v>
      </c>
      <c r="KW267" t="n">
        <v>121</v>
      </c>
      <c r="KX267" t="n">
        <v>19</v>
      </c>
      <c r="KZ267" t="n">
        <v>6</v>
      </c>
      <c r="LK267" t="n">
        <v>1</v>
      </c>
      <c r="LN267" t="n">
        <v>1</v>
      </c>
      <c r="LO267" t="n">
        <v>4</v>
      </c>
      <c r="LR267" t="n">
        <v>1</v>
      </c>
      <c r="LT267" t="n">
        <v>301</v>
      </c>
      <c r="LW267" t="n">
        <v>346</v>
      </c>
      <c r="LX267" t="n">
        <v>17</v>
      </c>
      <c r="LY267" t="n">
        <v>2</v>
      </c>
      <c r="LZ267" t="n">
        <v>107</v>
      </c>
      <c r="MA267" t="n">
        <v>15</v>
      </c>
      <c r="MB267" t="n">
        <v>10</v>
      </c>
      <c r="MC267" t="n">
        <v>1</v>
      </c>
      <c r="ME267" t="n">
        <v>3</v>
      </c>
      <c r="MF267" t="n">
        <v>8</v>
      </c>
      <c r="MH267" t="n">
        <v>105</v>
      </c>
      <c r="MK267" t="n">
        <v>6</v>
      </c>
      <c r="MN267" t="n">
        <v>253</v>
      </c>
      <c r="MO267" t="n">
        <v>12</v>
      </c>
      <c r="MQ267" t="n">
        <v>1</v>
      </c>
      <c r="MS267" t="n">
        <v>31</v>
      </c>
      <c r="MT267" t="n">
        <v>73</v>
      </c>
      <c r="MV267" t="n">
        <v>136</v>
      </c>
      <c r="MW267" t="n">
        <v>5</v>
      </c>
      <c r="MX267" t="n">
        <v>258</v>
      </c>
      <c r="MY267" t="n">
        <v>73</v>
      </c>
      <c r="MZ267" t="n">
        <v>196</v>
      </c>
      <c r="NA267" t="n">
        <v>66</v>
      </c>
      <c r="NB267" t="n">
        <v>10</v>
      </c>
      <c r="NC267" t="n">
        <v>8</v>
      </c>
      <c r="NE267" t="n">
        <v>1</v>
      </c>
      <c r="NF267" t="n">
        <v>2</v>
      </c>
      <c r="NG267" t="n">
        <v>5</v>
      </c>
      <c r="NI267" t="n">
        <v>7</v>
      </c>
      <c r="NJ267" t="n">
        <v>2</v>
      </c>
      <c r="NK267" t="n">
        <v>16</v>
      </c>
      <c r="NL267" t="n">
        <v>3</v>
      </c>
      <c r="NM267" t="n">
        <v>25</v>
      </c>
      <c r="NN267" t="n">
        <v>3</v>
      </c>
      <c r="NO267" t="n">
        <v>261</v>
      </c>
      <c r="NP267" t="n">
        <v>3143</v>
      </c>
      <c r="NQ267" t="n">
        <v>84</v>
      </c>
      <c r="NR267" t="n">
        <v>0</v>
      </c>
      <c r="NS267" t="n">
        <v>4</v>
      </c>
      <c r="NT267" t="n">
        <v>6</v>
      </c>
      <c r="NV267" t="n">
        <v>10</v>
      </c>
      <c r="NW267" t="n">
        <v>0</v>
      </c>
      <c r="NX267" t="n">
        <v>0</v>
      </c>
      <c r="OB267" t="n">
        <v>19</v>
      </c>
      <c r="OD267" t="n">
        <v>1</v>
      </c>
      <c r="OE267" t="n">
        <v>3</v>
      </c>
      <c r="OJ267" t="n">
        <v>28</v>
      </c>
      <c r="OK267" t="n">
        <v>12</v>
      </c>
      <c r="OL267" t="n">
        <v>4</v>
      </c>
      <c r="ON267" t="n">
        <v>131</v>
      </c>
      <c r="OO267" t="n">
        <v>12071</v>
      </c>
      <c r="OP267" t="n">
        <v>1721</v>
      </c>
      <c r="OQ267" t="n">
        <v>3</v>
      </c>
      <c r="OU267" t="n">
        <v>144</v>
      </c>
      <c r="OV267" t="n">
        <v>3</v>
      </c>
      <c r="PI267" t="n">
        <v>13944</v>
      </c>
      <c r="PM267">
        <f>IFERROR(VLOOKUP($A267&amp;"",Key!$A:$C,3,FALSE),"")</f>
        <v/>
      </c>
    </row>
    <row r="268">
      <c r="A268" t="n">
        <v>326150</v>
      </c>
      <c r="B268" t="inlineStr">
        <is>
          <t>Urethane and other foam product (except polystyrene) manufacturing</t>
        </is>
      </c>
      <c r="Z268" t="n">
        <v>0</v>
      </c>
      <c r="AA268" t="n">
        <v>1</v>
      </c>
      <c r="AB268" t="n">
        <v>2</v>
      </c>
      <c r="AC268" t="n">
        <v>707</v>
      </c>
      <c r="AD268" t="n">
        <v>80</v>
      </c>
      <c r="AE268" t="n">
        <v>22</v>
      </c>
      <c r="AF268" t="n">
        <v>93</v>
      </c>
      <c r="AG268" t="n">
        <v>652</v>
      </c>
      <c r="AH268" t="n">
        <v>50</v>
      </c>
      <c r="AI268" t="n">
        <v>111</v>
      </c>
      <c r="AJ268" t="n">
        <v>216</v>
      </c>
      <c r="AK268" t="n">
        <v>71</v>
      </c>
      <c r="AL268" t="n">
        <v>105</v>
      </c>
      <c r="AP268" t="n">
        <v>37</v>
      </c>
      <c r="AR268" t="n">
        <v>0</v>
      </c>
      <c r="BV268" t="n">
        <v>2</v>
      </c>
      <c r="BW268" t="n">
        <v>15</v>
      </c>
      <c r="CB268" t="n">
        <v>7</v>
      </c>
      <c r="CJ268" t="n">
        <v>5</v>
      </c>
      <c r="CL268" t="n">
        <v>1</v>
      </c>
      <c r="CO268" t="n">
        <v>0</v>
      </c>
      <c r="DA268" t="n">
        <v>1</v>
      </c>
      <c r="DB268" t="n">
        <v>7</v>
      </c>
      <c r="DK268" t="n">
        <v>0</v>
      </c>
      <c r="DL268" t="n">
        <v>1</v>
      </c>
      <c r="DM268" t="n">
        <v>12</v>
      </c>
      <c r="DN268" t="n">
        <v>0</v>
      </c>
      <c r="DO268" t="n">
        <v>0</v>
      </c>
      <c r="DP268" t="n">
        <v>1</v>
      </c>
      <c r="DQ268" t="n">
        <v>1</v>
      </c>
      <c r="DS268" t="n">
        <v>7</v>
      </c>
      <c r="EA268" t="n">
        <v>0</v>
      </c>
      <c r="EF268" t="n">
        <v>4</v>
      </c>
      <c r="EQ268" t="n">
        <v>68</v>
      </c>
      <c r="ER268" t="n">
        <v>421</v>
      </c>
      <c r="ES268" t="n">
        <v>5</v>
      </c>
      <c r="ET268" t="n">
        <v>7</v>
      </c>
      <c r="EU268" t="n">
        <v>1</v>
      </c>
      <c r="EX268" t="n">
        <v>5</v>
      </c>
      <c r="EY268" t="n">
        <v>3</v>
      </c>
      <c r="EZ268" t="n">
        <v>1</v>
      </c>
      <c r="FA268" t="n">
        <v>968</v>
      </c>
      <c r="FC268" t="n">
        <v>8</v>
      </c>
      <c r="FD268" t="n">
        <v>3</v>
      </c>
      <c r="FQ268" t="n">
        <v>547</v>
      </c>
      <c r="FR268" t="n">
        <v>62</v>
      </c>
      <c r="FS268" t="n">
        <v>30</v>
      </c>
      <c r="FT268" t="n">
        <v>71</v>
      </c>
      <c r="FU268" t="n">
        <v>38</v>
      </c>
      <c r="FV268" t="n">
        <v>101</v>
      </c>
      <c r="FW268" t="n">
        <v>1572</v>
      </c>
      <c r="FX268" t="n">
        <v>7</v>
      </c>
      <c r="FY268" t="n">
        <v>39</v>
      </c>
      <c r="GA268" t="n">
        <v>8</v>
      </c>
      <c r="GH268" t="n">
        <v>6</v>
      </c>
      <c r="GP268" t="n">
        <v>25</v>
      </c>
      <c r="GR268" t="n">
        <v>4</v>
      </c>
      <c r="GT268" t="n">
        <v>14</v>
      </c>
      <c r="HO268" t="n">
        <v>55</v>
      </c>
      <c r="HR268" t="n">
        <v>0</v>
      </c>
      <c r="HS268" t="n">
        <v>7</v>
      </c>
      <c r="HW268" t="n">
        <v>16</v>
      </c>
      <c r="IP268" t="n">
        <v>7</v>
      </c>
      <c r="IQ268" t="n">
        <v>3</v>
      </c>
      <c r="JE268" t="n">
        <v>194</v>
      </c>
      <c r="JG268" t="n">
        <v>160</v>
      </c>
      <c r="JH268" t="n">
        <v>10</v>
      </c>
      <c r="JJ268" t="n">
        <v>6</v>
      </c>
      <c r="JK268" t="n">
        <v>158</v>
      </c>
      <c r="JL268" t="n">
        <v>43</v>
      </c>
      <c r="JM268" t="n">
        <v>79</v>
      </c>
      <c r="JN268" t="n">
        <v>94</v>
      </c>
      <c r="JO268" t="n">
        <v>150</v>
      </c>
      <c r="JP268" t="n">
        <v>87</v>
      </c>
      <c r="JQ268" t="n">
        <v>194</v>
      </c>
      <c r="JR268" t="n">
        <v>35</v>
      </c>
      <c r="JS268" t="n">
        <v>209</v>
      </c>
      <c r="JT268" t="n">
        <v>27</v>
      </c>
      <c r="JV268" t="n">
        <v>30</v>
      </c>
      <c r="JW268" t="n">
        <v>93</v>
      </c>
      <c r="JX268" t="n">
        <v>21</v>
      </c>
      <c r="JY268" t="n">
        <v>16</v>
      </c>
      <c r="JZ268" t="n">
        <v>29</v>
      </c>
      <c r="KA268" t="n">
        <v>6</v>
      </c>
      <c r="KB268" t="n">
        <v>19</v>
      </c>
      <c r="KC268" t="n">
        <v>54</v>
      </c>
      <c r="KD268" t="n">
        <v>52</v>
      </c>
      <c r="KK268" t="n">
        <v>32</v>
      </c>
      <c r="KL268" t="n">
        <v>9</v>
      </c>
      <c r="KM268" t="n">
        <v>4</v>
      </c>
      <c r="KO268" t="n">
        <v>1</v>
      </c>
      <c r="KQ268" t="n">
        <v>1</v>
      </c>
      <c r="KR268" t="n">
        <v>6</v>
      </c>
      <c r="KS268" t="n">
        <v>3</v>
      </c>
      <c r="KW268" t="n">
        <v>25</v>
      </c>
      <c r="KX268" t="n">
        <v>143</v>
      </c>
      <c r="KY268" t="n">
        <v>4</v>
      </c>
      <c r="KZ268" t="n">
        <v>4</v>
      </c>
      <c r="LK268" t="n">
        <v>1</v>
      </c>
      <c r="LO268" t="n">
        <v>154</v>
      </c>
      <c r="LT268" t="n">
        <v>54</v>
      </c>
      <c r="LV268" t="n">
        <v>3</v>
      </c>
      <c r="LW268" t="n">
        <v>61</v>
      </c>
      <c r="LX268" t="n">
        <v>15</v>
      </c>
      <c r="LZ268" t="n">
        <v>122</v>
      </c>
      <c r="MA268" t="n">
        <v>104</v>
      </c>
      <c r="MB268" t="n">
        <v>10</v>
      </c>
      <c r="ME268" t="n">
        <v>4</v>
      </c>
      <c r="MF268" t="n">
        <v>8</v>
      </c>
      <c r="MH268" t="n">
        <v>56</v>
      </c>
      <c r="MK268" t="n">
        <v>11</v>
      </c>
      <c r="MN268" t="n">
        <v>131</v>
      </c>
      <c r="MO268" t="n">
        <v>20</v>
      </c>
      <c r="MP268" t="n">
        <v>0</v>
      </c>
      <c r="MQ268" t="n">
        <v>10</v>
      </c>
      <c r="MS268" t="n">
        <v>2453</v>
      </c>
      <c r="MT268" t="n">
        <v>277</v>
      </c>
      <c r="MU268" t="n">
        <v>64</v>
      </c>
      <c r="MV268" t="n">
        <v>44</v>
      </c>
      <c r="MW268" t="n">
        <v>4</v>
      </c>
      <c r="MX268" t="n">
        <v>288</v>
      </c>
      <c r="MY268" t="n">
        <v>51</v>
      </c>
      <c r="MZ268" t="n">
        <v>342</v>
      </c>
      <c r="NA268" t="n">
        <v>694</v>
      </c>
      <c r="NB268" t="n">
        <v>64</v>
      </c>
      <c r="NC268" t="n">
        <v>7</v>
      </c>
      <c r="ND268" t="n">
        <v>3</v>
      </c>
      <c r="NE268" t="n">
        <v>19</v>
      </c>
      <c r="NH268" t="n">
        <v>3</v>
      </c>
      <c r="NM268" t="n">
        <v>14</v>
      </c>
      <c r="NN268" t="n">
        <v>41</v>
      </c>
      <c r="NO268" t="n">
        <v>441</v>
      </c>
      <c r="NP268" t="n">
        <v>1580</v>
      </c>
      <c r="NQ268" t="n">
        <v>356</v>
      </c>
      <c r="NS268" t="n">
        <v>5</v>
      </c>
      <c r="NT268" t="n">
        <v>5</v>
      </c>
      <c r="NU268" t="n">
        <v>267</v>
      </c>
      <c r="NV268" t="n">
        <v>9</v>
      </c>
      <c r="NX268" t="n">
        <v>0</v>
      </c>
      <c r="OB268" t="n">
        <v>47</v>
      </c>
      <c r="OD268" t="n">
        <v>1</v>
      </c>
      <c r="OE268" t="n">
        <v>4</v>
      </c>
      <c r="OK268" t="n">
        <v>6</v>
      </c>
      <c r="OL268" t="n">
        <v>97</v>
      </c>
      <c r="OO268" t="n">
        <v>16258</v>
      </c>
      <c r="OP268" t="n">
        <v>1540</v>
      </c>
      <c r="OQ268" t="n">
        <v>137</v>
      </c>
      <c r="OS268" t="n">
        <v>232</v>
      </c>
      <c r="OU268" t="n">
        <v>153</v>
      </c>
      <c r="OV268" t="n">
        <v>6</v>
      </c>
      <c r="PI268" t="n">
        <v>18325</v>
      </c>
      <c r="PM268">
        <f>IFERROR(VLOOKUP($A268&amp;"",Key!$A:$C,3,FALSE),"")</f>
        <v/>
      </c>
    </row>
    <row r="269">
      <c r="A269" t="n">
        <v>326160</v>
      </c>
      <c r="B269" t="inlineStr">
        <is>
          <t>Plastics bottle manufacturing</t>
        </is>
      </c>
      <c r="AC269" t="n">
        <v>3</v>
      </c>
      <c r="AX269" t="n">
        <v>4</v>
      </c>
      <c r="BW269" t="n">
        <v>1</v>
      </c>
      <c r="GM269" t="n">
        <v>45</v>
      </c>
      <c r="GO269" t="n">
        <v>1</v>
      </c>
      <c r="GP269" t="n">
        <v>60</v>
      </c>
      <c r="GS269" t="n">
        <v>182</v>
      </c>
      <c r="GT269" t="n">
        <v>276</v>
      </c>
      <c r="GU269" t="n">
        <v>358</v>
      </c>
      <c r="GV269" t="n">
        <v>91</v>
      </c>
      <c r="GY269" t="n">
        <v>2</v>
      </c>
      <c r="HB269" t="n">
        <v>1331</v>
      </c>
      <c r="HC269" t="n">
        <v>1208</v>
      </c>
      <c r="HD269" t="n">
        <v>1</v>
      </c>
      <c r="HE269" t="n">
        <v>2348</v>
      </c>
      <c r="HF269" t="n">
        <v>65</v>
      </c>
      <c r="HG269" t="n">
        <v>4393</v>
      </c>
      <c r="HJ269" t="n">
        <v>69</v>
      </c>
      <c r="HW269" t="n">
        <v>52</v>
      </c>
      <c r="ID269" t="n">
        <v>8</v>
      </c>
      <c r="IG269" t="n">
        <v>155</v>
      </c>
      <c r="II269" t="n">
        <v>4</v>
      </c>
      <c r="IL269" t="n">
        <v>17</v>
      </c>
      <c r="IO269" t="n">
        <v>2</v>
      </c>
      <c r="IP269" t="n">
        <v>112</v>
      </c>
      <c r="IQ269" t="n">
        <v>14</v>
      </c>
      <c r="IR269" t="n">
        <v>40</v>
      </c>
      <c r="IT269" t="n">
        <v>159</v>
      </c>
      <c r="IU269" t="n">
        <v>196</v>
      </c>
      <c r="IV269" t="n">
        <v>272</v>
      </c>
      <c r="IW269" t="n">
        <v>683</v>
      </c>
      <c r="IX269" t="n">
        <v>1427</v>
      </c>
      <c r="IZ269" t="n">
        <v>171</v>
      </c>
      <c r="JF269" t="n">
        <v>26</v>
      </c>
      <c r="JP269" t="n">
        <v>11</v>
      </c>
      <c r="JQ269" t="n">
        <v>89</v>
      </c>
      <c r="JS269" t="n">
        <v>3</v>
      </c>
      <c r="JT269" t="n">
        <v>2</v>
      </c>
      <c r="KN269" t="n">
        <v>1</v>
      </c>
      <c r="KO269" t="n">
        <v>1</v>
      </c>
      <c r="KQ269" t="n">
        <v>5</v>
      </c>
      <c r="KR269" t="n">
        <v>18</v>
      </c>
      <c r="KS269" t="n">
        <v>9</v>
      </c>
      <c r="KZ269" t="n">
        <v>10</v>
      </c>
      <c r="LI269" t="n">
        <v>96</v>
      </c>
      <c r="LN269" t="n">
        <v>4</v>
      </c>
      <c r="LO269" t="n">
        <v>16</v>
      </c>
      <c r="LP269" t="n">
        <v>12</v>
      </c>
      <c r="LQ269" t="n">
        <v>182</v>
      </c>
      <c r="LR269" t="n">
        <v>3</v>
      </c>
      <c r="LS269" t="n">
        <v>1</v>
      </c>
      <c r="LT269" t="n">
        <v>4</v>
      </c>
      <c r="LW269" t="n">
        <v>2</v>
      </c>
      <c r="LX269" t="n">
        <v>40</v>
      </c>
      <c r="LY269" t="n">
        <v>6</v>
      </c>
      <c r="LZ269" t="n">
        <v>14</v>
      </c>
      <c r="MA269" t="n">
        <v>27</v>
      </c>
      <c r="MB269" t="n">
        <v>4</v>
      </c>
      <c r="MC269" t="n">
        <v>5</v>
      </c>
      <c r="ME269" t="n">
        <v>14</v>
      </c>
      <c r="MG269" t="n">
        <v>12</v>
      </c>
      <c r="MH269" t="n">
        <v>50</v>
      </c>
      <c r="MI269" t="n">
        <v>2</v>
      </c>
      <c r="MJ269" t="n">
        <v>1</v>
      </c>
      <c r="MK269" t="n">
        <v>19</v>
      </c>
      <c r="MM269" t="n">
        <v>2</v>
      </c>
      <c r="MN269" t="n">
        <v>43</v>
      </c>
      <c r="MO269" t="n">
        <v>27</v>
      </c>
      <c r="MS269" t="n">
        <v>25</v>
      </c>
      <c r="MT269" t="n">
        <v>14</v>
      </c>
      <c r="MU269" t="n">
        <v>1</v>
      </c>
      <c r="MV269" t="n">
        <v>66</v>
      </c>
      <c r="MW269" t="n">
        <v>1</v>
      </c>
      <c r="MX269" t="n">
        <v>5</v>
      </c>
      <c r="MY269" t="n">
        <v>0</v>
      </c>
      <c r="MZ269" t="n">
        <v>2</v>
      </c>
      <c r="ND269" t="n">
        <v>22</v>
      </c>
      <c r="NE269" t="n">
        <v>5</v>
      </c>
      <c r="NJ269" t="n">
        <v>1</v>
      </c>
      <c r="NN269" t="n">
        <v>5</v>
      </c>
      <c r="NO269" t="n">
        <v>5</v>
      </c>
      <c r="NP269" t="n">
        <v>29</v>
      </c>
      <c r="NQ269" t="n">
        <v>2</v>
      </c>
      <c r="NR269" t="n">
        <v>1</v>
      </c>
      <c r="NS269" t="n">
        <v>7</v>
      </c>
      <c r="NT269" t="n">
        <v>13</v>
      </c>
      <c r="NU269" t="n">
        <v>8</v>
      </c>
      <c r="NV269" t="n">
        <v>26</v>
      </c>
      <c r="NW269" t="n">
        <v>0</v>
      </c>
      <c r="NX269" t="n">
        <v>1</v>
      </c>
      <c r="NY269" t="n">
        <v>2</v>
      </c>
      <c r="OA269" t="n">
        <v>0</v>
      </c>
      <c r="OB269" t="n">
        <v>4</v>
      </c>
      <c r="OI269" t="n">
        <v>0</v>
      </c>
      <c r="OK269" t="n">
        <v>88</v>
      </c>
      <c r="OL269" t="n">
        <v>3</v>
      </c>
      <c r="ON269" t="n">
        <v>1</v>
      </c>
      <c r="OO269" t="n">
        <v>14847</v>
      </c>
      <c r="OU269" t="n">
        <v>49</v>
      </c>
      <c r="OV269" t="n">
        <v>651</v>
      </c>
      <c r="PI269" t="n">
        <v>15547</v>
      </c>
      <c r="PM269">
        <f>IFERROR(VLOOKUP($A269&amp;"",Key!$A:$C,3,FALSE),"")</f>
        <v/>
      </c>
    </row>
    <row r="270">
      <c r="A270" t="n">
        <v>326190</v>
      </c>
      <c r="B270" t="inlineStr">
        <is>
          <t>Other plastics product manufacturing</t>
        </is>
      </c>
      <c r="C270" t="n">
        <v>32</v>
      </c>
      <c r="D270" t="n">
        <v>33</v>
      </c>
      <c r="G270" t="n">
        <v>354</v>
      </c>
      <c r="H270" t="n">
        <v>31</v>
      </c>
      <c r="M270" t="n">
        <v>21</v>
      </c>
      <c r="N270" t="n">
        <v>17</v>
      </c>
      <c r="O270" t="n">
        <v>43</v>
      </c>
      <c r="P270" t="n">
        <v>57</v>
      </c>
      <c r="Q270" t="n">
        <v>65</v>
      </c>
      <c r="R270" t="n">
        <v>6</v>
      </c>
      <c r="S270" t="n">
        <v>50</v>
      </c>
      <c r="T270" t="n">
        <v>31</v>
      </c>
      <c r="U270" t="n">
        <v>88</v>
      </c>
      <c r="V270" t="n">
        <v>24</v>
      </c>
      <c r="W270" t="n">
        <v>708</v>
      </c>
      <c r="X270" t="n">
        <v>26</v>
      </c>
      <c r="Z270" t="n">
        <v>0</v>
      </c>
      <c r="AA270" t="n">
        <v>664</v>
      </c>
      <c r="AB270" t="n">
        <v>413</v>
      </c>
      <c r="AC270" t="n">
        <v>6329</v>
      </c>
      <c r="AD270" t="n">
        <v>2250</v>
      </c>
      <c r="AE270" t="n">
        <v>2081</v>
      </c>
      <c r="AF270" t="n">
        <v>778</v>
      </c>
      <c r="AG270" t="n">
        <v>4101</v>
      </c>
      <c r="AH270" t="n">
        <v>266</v>
      </c>
      <c r="AI270" t="n">
        <v>974</v>
      </c>
      <c r="AJ270" t="n">
        <v>817</v>
      </c>
      <c r="AK270" t="n">
        <v>6209</v>
      </c>
      <c r="AL270" t="n">
        <v>768</v>
      </c>
      <c r="AM270" t="n">
        <v>1</v>
      </c>
      <c r="AN270" t="n">
        <v>3</v>
      </c>
      <c r="AO270" t="n">
        <v>5</v>
      </c>
      <c r="AP270" t="n">
        <v>741</v>
      </c>
      <c r="AQ270" t="n">
        <v>6</v>
      </c>
      <c r="AR270" t="n">
        <v>7</v>
      </c>
      <c r="AS270" t="n">
        <v>0</v>
      </c>
      <c r="AT270" t="n">
        <v>33</v>
      </c>
      <c r="AU270" t="n">
        <v>40</v>
      </c>
      <c r="AV270" t="n">
        <v>340</v>
      </c>
      <c r="AX270" t="n">
        <v>11</v>
      </c>
      <c r="AY270" t="n">
        <v>5</v>
      </c>
      <c r="AZ270" t="n">
        <v>0</v>
      </c>
      <c r="BA270" t="n">
        <v>4</v>
      </c>
      <c r="BB270" t="n">
        <v>27</v>
      </c>
      <c r="BC270" t="n">
        <v>80</v>
      </c>
      <c r="BD270" t="n">
        <v>44</v>
      </c>
      <c r="BE270" t="n">
        <v>0</v>
      </c>
      <c r="BF270" t="n">
        <v>0</v>
      </c>
      <c r="BG270" t="n">
        <v>1</v>
      </c>
      <c r="BH270" t="n">
        <v>14</v>
      </c>
      <c r="BI270" t="n">
        <v>0</v>
      </c>
      <c r="BJ270" t="n">
        <v>6</v>
      </c>
      <c r="BK270" t="n">
        <v>10</v>
      </c>
      <c r="BL270" t="n">
        <v>8</v>
      </c>
      <c r="BM270" t="n">
        <v>3</v>
      </c>
      <c r="BN270" t="n">
        <v>0</v>
      </c>
      <c r="BO270" t="n">
        <v>18</v>
      </c>
      <c r="BP270" t="n">
        <v>44</v>
      </c>
      <c r="BQ270" t="n">
        <v>14</v>
      </c>
      <c r="BR270" t="n">
        <v>8</v>
      </c>
      <c r="BS270" t="n">
        <v>12</v>
      </c>
      <c r="BT270" t="n">
        <v>7</v>
      </c>
      <c r="BU270" t="n">
        <v>5</v>
      </c>
      <c r="BV270" t="n">
        <v>17</v>
      </c>
      <c r="BW270" t="n">
        <v>37</v>
      </c>
      <c r="BX270" t="n">
        <v>23</v>
      </c>
      <c r="BY270" t="n">
        <v>16</v>
      </c>
      <c r="BZ270" t="n">
        <v>32</v>
      </c>
      <c r="CA270" t="n">
        <v>201</v>
      </c>
      <c r="CB270" t="n">
        <v>50</v>
      </c>
      <c r="CC270" t="n">
        <v>5</v>
      </c>
      <c r="CD270" t="n">
        <v>0</v>
      </c>
      <c r="CE270" t="n">
        <v>135</v>
      </c>
      <c r="CF270" t="n">
        <v>17</v>
      </c>
      <c r="CG270" t="n">
        <v>408</v>
      </c>
      <c r="CH270" t="n">
        <v>95</v>
      </c>
      <c r="CI270" t="n">
        <v>220</v>
      </c>
      <c r="CJ270" t="n">
        <v>211</v>
      </c>
      <c r="CK270" t="n">
        <v>9</v>
      </c>
      <c r="CL270" t="n">
        <v>75</v>
      </c>
      <c r="CM270" t="n">
        <v>13</v>
      </c>
      <c r="CN270" t="n">
        <v>5</v>
      </c>
      <c r="CO270" t="n">
        <v>188</v>
      </c>
      <c r="CP270" t="n">
        <v>73</v>
      </c>
      <c r="CQ270" t="n">
        <v>651</v>
      </c>
      <c r="CR270" t="n">
        <v>28</v>
      </c>
      <c r="CS270" t="n">
        <v>225</v>
      </c>
      <c r="CT270" t="n">
        <v>15</v>
      </c>
      <c r="CU270" t="n">
        <v>18</v>
      </c>
      <c r="CV270" t="n">
        <v>30</v>
      </c>
      <c r="CW270" t="n">
        <v>2</v>
      </c>
      <c r="CX270" t="n">
        <v>0</v>
      </c>
      <c r="CY270" t="n">
        <v>0</v>
      </c>
      <c r="CZ270" t="n">
        <v>1399</v>
      </c>
      <c r="DA270" t="n">
        <v>278</v>
      </c>
      <c r="DB270" t="n">
        <v>1116</v>
      </c>
      <c r="DC270" t="n">
        <v>19</v>
      </c>
      <c r="DD270" t="n">
        <v>139</v>
      </c>
      <c r="DE270" t="n">
        <v>0</v>
      </c>
      <c r="DG270" t="n">
        <v>177</v>
      </c>
      <c r="DH270" t="n">
        <v>2</v>
      </c>
      <c r="DI270" t="n">
        <v>1</v>
      </c>
      <c r="DJ270" t="n">
        <v>1</v>
      </c>
      <c r="DK270" t="n">
        <v>62</v>
      </c>
      <c r="DL270" t="n">
        <v>2</v>
      </c>
      <c r="DM270" t="n">
        <v>45</v>
      </c>
      <c r="DN270" t="n">
        <v>54</v>
      </c>
      <c r="DO270" t="n">
        <v>4</v>
      </c>
      <c r="DP270" t="n">
        <v>41</v>
      </c>
      <c r="DQ270" t="n">
        <v>176</v>
      </c>
      <c r="DR270" t="n">
        <v>3</v>
      </c>
      <c r="DS270" t="n">
        <v>61</v>
      </c>
      <c r="DT270" t="n">
        <v>25</v>
      </c>
      <c r="DU270" t="n">
        <v>24</v>
      </c>
      <c r="DV270" t="n">
        <v>18</v>
      </c>
      <c r="DW270" t="n">
        <v>18</v>
      </c>
      <c r="DX270" t="n">
        <v>205</v>
      </c>
      <c r="DY270" t="n">
        <v>0</v>
      </c>
      <c r="DZ270" t="n">
        <v>270</v>
      </c>
      <c r="EA270" t="n">
        <v>24</v>
      </c>
      <c r="EB270" t="n">
        <v>112</v>
      </c>
      <c r="EC270" t="n">
        <v>1</v>
      </c>
      <c r="ED270" t="n">
        <v>97</v>
      </c>
      <c r="EE270" t="n">
        <v>116</v>
      </c>
      <c r="EF270" t="n">
        <v>460</v>
      </c>
      <c r="EG270" t="n">
        <v>19</v>
      </c>
      <c r="EH270" t="n">
        <v>9</v>
      </c>
      <c r="EI270" t="n">
        <v>1</v>
      </c>
      <c r="EJ270" t="n">
        <v>9</v>
      </c>
      <c r="EK270" t="n">
        <v>261</v>
      </c>
      <c r="EL270" t="n">
        <v>24</v>
      </c>
      <c r="EM270" t="n">
        <v>2</v>
      </c>
      <c r="EN270" t="n">
        <v>10</v>
      </c>
      <c r="EO270" t="n">
        <v>0</v>
      </c>
      <c r="EP270" t="n">
        <v>6</v>
      </c>
      <c r="EQ270" t="n">
        <v>408</v>
      </c>
      <c r="ER270" t="n">
        <v>1109</v>
      </c>
      <c r="ES270" t="n">
        <v>228</v>
      </c>
      <c r="ET270" t="n">
        <v>149</v>
      </c>
      <c r="EU270" t="n">
        <v>210</v>
      </c>
      <c r="EV270" t="n">
        <v>4</v>
      </c>
      <c r="EW270" t="n">
        <v>131</v>
      </c>
      <c r="EX270" t="n">
        <v>282</v>
      </c>
      <c r="EY270" t="n">
        <v>911</v>
      </c>
      <c r="EZ270" t="n">
        <v>810</v>
      </c>
      <c r="FA270" t="n">
        <v>381</v>
      </c>
      <c r="FB270" t="n">
        <v>1196</v>
      </c>
      <c r="FC270" t="n">
        <v>1778</v>
      </c>
      <c r="FD270" t="n">
        <v>243</v>
      </c>
      <c r="FE270" t="n">
        <v>1846</v>
      </c>
      <c r="FF270" t="n">
        <v>2</v>
      </c>
      <c r="FG270" t="n">
        <v>913</v>
      </c>
      <c r="FH270" t="n">
        <v>32</v>
      </c>
      <c r="FI270" t="n">
        <v>0</v>
      </c>
      <c r="FJ270" t="n">
        <v>3</v>
      </c>
      <c r="FK270" t="n">
        <v>146</v>
      </c>
      <c r="FL270" t="n">
        <v>0</v>
      </c>
      <c r="FN270" t="n">
        <v>4</v>
      </c>
      <c r="FO270" t="n">
        <v>1</v>
      </c>
      <c r="FP270" t="n">
        <v>237</v>
      </c>
      <c r="FQ270" t="n">
        <v>91</v>
      </c>
      <c r="FR270" t="n">
        <v>57</v>
      </c>
      <c r="FS270" t="n">
        <v>70</v>
      </c>
      <c r="FT270" t="n">
        <v>71</v>
      </c>
      <c r="FU270" t="n">
        <v>71</v>
      </c>
      <c r="FV270" t="n">
        <v>270</v>
      </c>
      <c r="FW270" t="n">
        <v>7</v>
      </c>
      <c r="FX270" t="n">
        <v>1002</v>
      </c>
      <c r="FY270" t="n">
        <v>314</v>
      </c>
      <c r="FZ270" t="n">
        <v>129</v>
      </c>
      <c r="GA270" t="n">
        <v>677</v>
      </c>
      <c r="GB270" t="n">
        <v>84</v>
      </c>
      <c r="GC270" t="n">
        <v>3</v>
      </c>
      <c r="GD270" t="n">
        <v>9</v>
      </c>
      <c r="GE270" t="n">
        <v>7</v>
      </c>
      <c r="GF270" t="n">
        <v>24</v>
      </c>
      <c r="GG270" t="n">
        <v>953</v>
      </c>
      <c r="GH270" t="n">
        <v>110</v>
      </c>
      <c r="GI270" t="n">
        <v>6</v>
      </c>
      <c r="GJ270" t="n">
        <v>34</v>
      </c>
      <c r="GK270" t="n">
        <v>3</v>
      </c>
      <c r="GL270" t="n">
        <v>16</v>
      </c>
      <c r="GM270" t="n">
        <v>32</v>
      </c>
      <c r="GN270" t="n">
        <v>33</v>
      </c>
      <c r="GO270" t="n">
        <v>18</v>
      </c>
      <c r="GP270" t="n">
        <v>122</v>
      </c>
      <c r="GQ270" t="n">
        <v>34</v>
      </c>
      <c r="GR270" t="n">
        <v>26</v>
      </c>
      <c r="GS270" t="n">
        <v>82</v>
      </c>
      <c r="GT270" t="n">
        <v>81</v>
      </c>
      <c r="GU270" t="n">
        <v>493</v>
      </c>
      <c r="GV270" t="n">
        <v>45</v>
      </c>
      <c r="GW270" t="n">
        <v>426</v>
      </c>
      <c r="GX270" t="n">
        <v>139</v>
      </c>
      <c r="GY270" t="n">
        <v>10</v>
      </c>
      <c r="GZ270" t="n">
        <v>46</v>
      </c>
      <c r="HA270" t="n">
        <v>55</v>
      </c>
      <c r="HB270" t="n">
        <v>956</v>
      </c>
      <c r="HC270" t="n">
        <v>2371</v>
      </c>
      <c r="HD270" t="n">
        <v>56</v>
      </c>
      <c r="HE270" t="n">
        <v>1079</v>
      </c>
      <c r="HF270" t="n">
        <v>787</v>
      </c>
      <c r="HG270" t="n">
        <v>675</v>
      </c>
      <c r="HH270" t="n">
        <v>13</v>
      </c>
      <c r="HI270" t="n">
        <v>1</v>
      </c>
      <c r="HJ270" t="n">
        <v>1</v>
      </c>
      <c r="HK270" t="n">
        <v>22</v>
      </c>
      <c r="HL270" t="n">
        <v>2</v>
      </c>
      <c r="HM270" t="n">
        <v>2</v>
      </c>
      <c r="HN270" t="n">
        <v>3</v>
      </c>
      <c r="HO270" t="n">
        <v>7</v>
      </c>
      <c r="HP270" t="n">
        <v>0</v>
      </c>
      <c r="HQ270" t="n">
        <v>0</v>
      </c>
      <c r="HR270" t="n">
        <v>0</v>
      </c>
      <c r="HS270" t="n">
        <v>23</v>
      </c>
      <c r="HU270" t="n">
        <v>87</v>
      </c>
      <c r="HV270" t="n">
        <v>4</v>
      </c>
      <c r="HW270" t="n">
        <v>142</v>
      </c>
      <c r="HX270" t="n">
        <v>18</v>
      </c>
      <c r="HY270" t="n">
        <v>2</v>
      </c>
      <c r="HZ270" t="n">
        <v>18</v>
      </c>
      <c r="IA270" t="n">
        <v>5</v>
      </c>
      <c r="IB270" t="n">
        <v>534</v>
      </c>
      <c r="IC270" t="n">
        <v>0</v>
      </c>
      <c r="ID270" t="n">
        <v>59</v>
      </c>
      <c r="IE270" t="n">
        <v>8</v>
      </c>
      <c r="IF270" t="n">
        <v>1</v>
      </c>
      <c r="IG270" t="n">
        <v>193</v>
      </c>
      <c r="IH270" t="n">
        <v>0</v>
      </c>
      <c r="II270" t="n">
        <v>1</v>
      </c>
      <c r="IJ270" t="n">
        <v>8</v>
      </c>
      <c r="IK270" t="n">
        <v>38</v>
      </c>
      <c r="IL270" t="n">
        <v>74</v>
      </c>
      <c r="IM270" t="n">
        <v>911</v>
      </c>
      <c r="IN270" t="n">
        <v>10</v>
      </c>
      <c r="IO270" t="n">
        <v>46</v>
      </c>
      <c r="IP270" t="n">
        <v>479</v>
      </c>
      <c r="IQ270" t="n">
        <v>78</v>
      </c>
      <c r="IR270" t="n">
        <v>163</v>
      </c>
      <c r="IS270" t="n">
        <v>0</v>
      </c>
      <c r="IT270" t="n">
        <v>52</v>
      </c>
      <c r="IU270" t="n">
        <v>1081</v>
      </c>
      <c r="IV270" t="n">
        <v>46</v>
      </c>
      <c r="IW270" t="n">
        <v>961</v>
      </c>
      <c r="IX270" t="n">
        <v>2197</v>
      </c>
      <c r="IY270" t="n">
        <v>0</v>
      </c>
      <c r="IZ270" t="n">
        <v>277</v>
      </c>
      <c r="JA270" t="n">
        <v>56</v>
      </c>
      <c r="JB270" t="n">
        <v>8</v>
      </c>
      <c r="JC270" t="n">
        <v>0</v>
      </c>
      <c r="JD270" t="n">
        <v>17</v>
      </c>
      <c r="JE270" t="n">
        <v>11</v>
      </c>
      <c r="JF270" t="n">
        <v>3</v>
      </c>
      <c r="JG270" t="n">
        <v>5470</v>
      </c>
      <c r="JH270" t="n">
        <v>79</v>
      </c>
      <c r="JI270" t="n">
        <v>4</v>
      </c>
      <c r="JJ270" t="n">
        <v>169</v>
      </c>
      <c r="JK270" t="n">
        <v>4138</v>
      </c>
      <c r="JL270" t="n">
        <v>515</v>
      </c>
      <c r="JM270" t="n">
        <v>375</v>
      </c>
      <c r="JN270" t="n">
        <v>1540</v>
      </c>
      <c r="JO270" t="n">
        <v>1301</v>
      </c>
      <c r="JP270" t="n">
        <v>712</v>
      </c>
      <c r="JQ270" t="n">
        <v>1576</v>
      </c>
      <c r="JR270" t="n">
        <v>281</v>
      </c>
      <c r="JS270" t="n">
        <v>2672</v>
      </c>
      <c r="JT270" t="n">
        <v>314</v>
      </c>
      <c r="JV270" t="n">
        <v>1636</v>
      </c>
      <c r="JW270" t="n">
        <v>1081</v>
      </c>
      <c r="JX270" t="n">
        <v>398</v>
      </c>
      <c r="JY270" t="n">
        <v>530</v>
      </c>
      <c r="JZ270" t="n">
        <v>315</v>
      </c>
      <c r="KA270" t="n">
        <v>831</v>
      </c>
      <c r="KB270" t="n">
        <v>327</v>
      </c>
      <c r="KC270" t="n">
        <v>585</v>
      </c>
      <c r="KD270" t="n">
        <v>592</v>
      </c>
      <c r="KF270" t="n">
        <v>4</v>
      </c>
      <c r="KG270" t="n">
        <v>0</v>
      </c>
      <c r="KH270" t="n">
        <v>644</v>
      </c>
      <c r="KI270" t="n">
        <v>32</v>
      </c>
      <c r="KJ270" t="n">
        <v>79</v>
      </c>
      <c r="KK270" t="n">
        <v>81</v>
      </c>
      <c r="KL270" t="n">
        <v>2934</v>
      </c>
      <c r="KM270" t="n">
        <v>299</v>
      </c>
      <c r="KN270" t="n">
        <v>8</v>
      </c>
      <c r="KO270" t="n">
        <v>102</v>
      </c>
      <c r="KP270" t="n">
        <v>11</v>
      </c>
      <c r="KQ270" t="n">
        <v>67</v>
      </c>
      <c r="KR270" t="n">
        <v>68</v>
      </c>
      <c r="KS270" t="n">
        <v>46</v>
      </c>
      <c r="KU270" t="n">
        <v>1</v>
      </c>
      <c r="KV270" t="n">
        <v>267</v>
      </c>
      <c r="KW270" t="n">
        <v>880</v>
      </c>
      <c r="KX270" t="n">
        <v>1105</v>
      </c>
      <c r="KY270" t="n">
        <v>42</v>
      </c>
      <c r="KZ270" t="n">
        <v>152</v>
      </c>
      <c r="LA270" t="n">
        <v>135</v>
      </c>
      <c r="LC270" t="n">
        <v>13</v>
      </c>
      <c r="LD270" t="n">
        <v>21</v>
      </c>
      <c r="LE270" t="n">
        <v>92</v>
      </c>
      <c r="LF270" t="n">
        <v>3</v>
      </c>
      <c r="LH270" t="n">
        <v>3</v>
      </c>
      <c r="LI270" t="n">
        <v>246</v>
      </c>
      <c r="LJ270" t="n">
        <v>0</v>
      </c>
      <c r="LK270" t="n">
        <v>7</v>
      </c>
      <c r="LL270" t="n">
        <v>5</v>
      </c>
      <c r="LM270" t="n">
        <v>39</v>
      </c>
      <c r="LN270" t="n">
        <v>293</v>
      </c>
      <c r="LO270" t="n">
        <v>172</v>
      </c>
      <c r="LP270" t="n">
        <v>42</v>
      </c>
      <c r="LQ270" t="n">
        <v>476</v>
      </c>
      <c r="LR270" t="n">
        <v>32</v>
      </c>
      <c r="LS270" t="n">
        <v>6</v>
      </c>
      <c r="LT270" t="n">
        <v>1344</v>
      </c>
      <c r="LU270" t="n">
        <v>16</v>
      </c>
      <c r="LV270" t="n">
        <v>33</v>
      </c>
      <c r="LW270" t="n">
        <v>1581</v>
      </c>
      <c r="LX270" t="n">
        <v>154</v>
      </c>
      <c r="LY270" t="n">
        <v>32</v>
      </c>
      <c r="LZ270" t="n">
        <v>1281</v>
      </c>
      <c r="MA270" t="n">
        <v>152</v>
      </c>
      <c r="MB270" t="n">
        <v>436</v>
      </c>
      <c r="MC270" t="n">
        <v>17</v>
      </c>
      <c r="MD270" t="n">
        <v>6</v>
      </c>
      <c r="ME270" t="n">
        <v>109</v>
      </c>
      <c r="MF270" t="n">
        <v>35</v>
      </c>
      <c r="MG270" t="n">
        <v>74</v>
      </c>
      <c r="MH270" t="n">
        <v>1065</v>
      </c>
      <c r="MI270" t="n">
        <v>17</v>
      </c>
      <c r="MJ270" t="n">
        <v>7</v>
      </c>
      <c r="MK270" t="n">
        <v>120</v>
      </c>
      <c r="ML270" t="n">
        <v>16</v>
      </c>
      <c r="MM270" t="n">
        <v>96</v>
      </c>
      <c r="MN270" t="n">
        <v>336</v>
      </c>
      <c r="MO270" t="n">
        <v>152</v>
      </c>
      <c r="MP270" t="n">
        <v>22</v>
      </c>
      <c r="MQ270" t="n">
        <v>304</v>
      </c>
      <c r="MR270" t="n">
        <v>41</v>
      </c>
      <c r="MS270" t="n">
        <v>3147</v>
      </c>
      <c r="MT270" t="n">
        <v>390</v>
      </c>
      <c r="MU270" t="n">
        <v>102</v>
      </c>
      <c r="MV270" t="n">
        <v>366</v>
      </c>
      <c r="MW270" t="n">
        <v>112</v>
      </c>
      <c r="MX270" t="n">
        <v>1010</v>
      </c>
      <c r="MY270" t="n">
        <v>1012</v>
      </c>
      <c r="MZ270" t="n">
        <v>2570</v>
      </c>
      <c r="NA270" t="n">
        <v>828</v>
      </c>
      <c r="NB270" t="n">
        <v>159</v>
      </c>
      <c r="NC270" t="n">
        <v>335</v>
      </c>
      <c r="ND270" t="n">
        <v>362</v>
      </c>
      <c r="NE270" t="n">
        <v>247</v>
      </c>
      <c r="NF270" t="n">
        <v>1</v>
      </c>
      <c r="NG270" t="n">
        <v>9</v>
      </c>
      <c r="NH270" t="n">
        <v>1</v>
      </c>
      <c r="NI270" t="n">
        <v>7</v>
      </c>
      <c r="NJ270" t="n">
        <v>7</v>
      </c>
      <c r="NK270" t="n">
        <v>9</v>
      </c>
      <c r="NL270" t="n">
        <v>44</v>
      </c>
      <c r="NM270" t="n">
        <v>121</v>
      </c>
      <c r="NN270" t="n">
        <v>93</v>
      </c>
      <c r="NO270" t="n">
        <v>667</v>
      </c>
      <c r="NP270" t="n">
        <v>1399</v>
      </c>
      <c r="NQ270" t="n">
        <v>158</v>
      </c>
      <c r="NR270" t="n">
        <v>2718</v>
      </c>
      <c r="NS270" t="n">
        <v>93</v>
      </c>
      <c r="NT270" t="n">
        <v>157</v>
      </c>
      <c r="NU270" t="n">
        <v>106</v>
      </c>
      <c r="NV270" t="n">
        <v>114</v>
      </c>
      <c r="NW270" t="n">
        <v>0</v>
      </c>
      <c r="NX270" t="n">
        <v>19</v>
      </c>
      <c r="NY270" t="n">
        <v>227</v>
      </c>
      <c r="NZ270" t="n">
        <v>79</v>
      </c>
      <c r="OA270" t="n">
        <v>33</v>
      </c>
      <c r="OB270" t="n">
        <v>151</v>
      </c>
      <c r="OD270" t="n">
        <v>2</v>
      </c>
      <c r="OE270" t="n">
        <v>149</v>
      </c>
      <c r="OF270" t="n">
        <v>0</v>
      </c>
      <c r="OG270" t="n">
        <v>1</v>
      </c>
      <c r="OH270" t="n">
        <v>30</v>
      </c>
      <c r="OI270" t="n">
        <v>1232</v>
      </c>
      <c r="OJ270" t="n">
        <v>2773</v>
      </c>
      <c r="OK270" t="n">
        <v>294</v>
      </c>
      <c r="OL270" t="n">
        <v>271</v>
      </c>
      <c r="OM270" t="n">
        <v>42</v>
      </c>
      <c r="ON270" t="n">
        <v>1091</v>
      </c>
      <c r="OO270" t="n">
        <v>131125</v>
      </c>
      <c r="OP270" t="n">
        <v>20451</v>
      </c>
      <c r="OU270" t="n">
        <v>1028</v>
      </c>
      <c r="OV270" t="n">
        <v>12900</v>
      </c>
      <c r="PI270" t="n">
        <v>165504</v>
      </c>
      <c r="PM270">
        <f>IFERROR(VLOOKUP($A270&amp;"",Key!$A:$C,3,FALSE),"")</f>
        <v/>
      </c>
    </row>
    <row r="271">
      <c r="A271" t="n">
        <v>326210</v>
      </c>
      <c r="B271" t="inlineStr">
        <is>
          <t>Tire manufacturing</t>
        </is>
      </c>
      <c r="C271" t="n">
        <v>108</v>
      </c>
      <c r="D271" t="n">
        <v>380</v>
      </c>
      <c r="E271" t="n">
        <v>56</v>
      </c>
      <c r="F271" t="n">
        <v>58</v>
      </c>
      <c r="G271" t="n">
        <v>64</v>
      </c>
      <c r="H271" t="n">
        <v>153</v>
      </c>
      <c r="I271" t="n">
        <v>350</v>
      </c>
      <c r="K271" t="n">
        <v>12</v>
      </c>
      <c r="L271" t="n">
        <v>69</v>
      </c>
      <c r="M271" t="n">
        <v>0</v>
      </c>
      <c r="N271" t="n">
        <v>1</v>
      </c>
      <c r="O271" t="n">
        <v>3</v>
      </c>
      <c r="P271" t="n">
        <v>8</v>
      </c>
      <c r="Q271" t="n">
        <v>249</v>
      </c>
      <c r="R271" t="n">
        <v>68</v>
      </c>
      <c r="S271" t="n">
        <v>496</v>
      </c>
      <c r="T271" t="n">
        <v>87</v>
      </c>
      <c r="U271" t="n">
        <v>29</v>
      </c>
      <c r="V271" t="n">
        <v>4</v>
      </c>
      <c r="W271" t="n">
        <v>7</v>
      </c>
      <c r="AA271" t="n">
        <v>75</v>
      </c>
      <c r="AB271" t="n">
        <v>2746</v>
      </c>
      <c r="AC271" t="n">
        <v>120</v>
      </c>
      <c r="AD271" t="n">
        <v>1587</v>
      </c>
      <c r="AE271" t="n">
        <v>368</v>
      </c>
      <c r="AF271" t="n">
        <v>5</v>
      </c>
      <c r="AG271" t="n">
        <v>434</v>
      </c>
      <c r="AH271" t="n">
        <v>4</v>
      </c>
      <c r="AI271" t="n">
        <v>24</v>
      </c>
      <c r="AJ271" t="n">
        <v>11</v>
      </c>
      <c r="AK271" t="n">
        <v>239</v>
      </c>
      <c r="AL271" t="n">
        <v>48</v>
      </c>
      <c r="AM271" t="n">
        <v>5</v>
      </c>
      <c r="AO271" t="n">
        <v>71</v>
      </c>
      <c r="AP271" t="n">
        <v>39</v>
      </c>
      <c r="AS271" t="n">
        <v>0</v>
      </c>
      <c r="AT271" t="n">
        <v>2</v>
      </c>
      <c r="AU271" t="n">
        <v>0</v>
      </c>
      <c r="AV271" t="n">
        <v>1</v>
      </c>
      <c r="BB271" t="n">
        <v>0</v>
      </c>
      <c r="BC271" t="n">
        <v>1</v>
      </c>
      <c r="BK271" t="n">
        <v>0</v>
      </c>
      <c r="BX271" t="n">
        <v>0</v>
      </c>
      <c r="CG271" t="n">
        <v>554</v>
      </c>
      <c r="CH271" t="n">
        <v>315</v>
      </c>
      <c r="CI271" t="n">
        <v>391</v>
      </c>
      <c r="CJ271" t="n">
        <v>20</v>
      </c>
      <c r="CQ271" t="n">
        <v>0</v>
      </c>
      <c r="DC271" t="n">
        <v>68</v>
      </c>
      <c r="EQ271" t="n">
        <v>406</v>
      </c>
      <c r="ER271" t="n">
        <v>3664</v>
      </c>
      <c r="ES271" t="n">
        <v>283</v>
      </c>
      <c r="ET271" t="n">
        <v>50</v>
      </c>
      <c r="EU271" t="n">
        <v>691</v>
      </c>
      <c r="EV271" t="n">
        <v>0</v>
      </c>
      <c r="EW271" t="n">
        <v>132</v>
      </c>
      <c r="EX271" t="n">
        <v>0</v>
      </c>
      <c r="EZ271" t="n">
        <v>1</v>
      </c>
      <c r="FC271" t="n">
        <v>1</v>
      </c>
      <c r="FD271" t="n">
        <v>0</v>
      </c>
      <c r="FE271" t="n">
        <v>0</v>
      </c>
      <c r="FK271" t="n">
        <v>1</v>
      </c>
      <c r="FM271" t="n">
        <v>81</v>
      </c>
      <c r="FO271" t="n">
        <v>807</v>
      </c>
      <c r="FP271" t="n">
        <v>1</v>
      </c>
      <c r="FU271" t="n">
        <v>0</v>
      </c>
      <c r="FV271" t="n">
        <v>0</v>
      </c>
      <c r="GJ271" t="n">
        <v>0</v>
      </c>
      <c r="GN271" t="n">
        <v>0</v>
      </c>
      <c r="GR271" t="n">
        <v>2</v>
      </c>
      <c r="GS271" t="n">
        <v>1</v>
      </c>
      <c r="GT271" t="n">
        <v>2</v>
      </c>
      <c r="GU271" t="n">
        <v>0</v>
      </c>
      <c r="GW271" t="n">
        <v>0</v>
      </c>
      <c r="GZ271" t="n">
        <v>18</v>
      </c>
      <c r="HA271" t="n">
        <v>12</v>
      </c>
      <c r="HD271" t="n">
        <v>10</v>
      </c>
      <c r="HE271" t="n">
        <v>1</v>
      </c>
      <c r="HG271" t="n">
        <v>28</v>
      </c>
      <c r="HH271" t="n">
        <v>3</v>
      </c>
      <c r="HJ271" t="n">
        <v>4</v>
      </c>
      <c r="HO271" t="n">
        <v>0</v>
      </c>
      <c r="HU271" t="n">
        <v>1</v>
      </c>
      <c r="HV271" t="n">
        <v>1</v>
      </c>
      <c r="HW271" t="n">
        <v>1</v>
      </c>
      <c r="IB271" t="n">
        <v>1</v>
      </c>
      <c r="IK271" t="n">
        <v>0</v>
      </c>
      <c r="IL271" t="n">
        <v>0</v>
      </c>
      <c r="IU271" t="n">
        <v>0</v>
      </c>
      <c r="JH271" t="n">
        <v>254</v>
      </c>
      <c r="JK271" t="n">
        <v>2</v>
      </c>
      <c r="JL271" t="n">
        <v>1</v>
      </c>
      <c r="JM271" t="n">
        <v>1</v>
      </c>
      <c r="JN271" t="n">
        <v>13</v>
      </c>
      <c r="JO271" t="n">
        <v>38</v>
      </c>
      <c r="JQ271" t="n">
        <v>137</v>
      </c>
      <c r="JR271" t="n">
        <v>5</v>
      </c>
      <c r="JS271" t="n">
        <v>39</v>
      </c>
      <c r="JT271" t="n">
        <v>3</v>
      </c>
      <c r="JV271" t="n">
        <v>89</v>
      </c>
      <c r="JW271" t="n">
        <v>62</v>
      </c>
      <c r="JX271" t="n">
        <v>17</v>
      </c>
      <c r="JY271" t="n">
        <v>34</v>
      </c>
      <c r="JZ271" t="n">
        <v>3</v>
      </c>
      <c r="KA271" t="n">
        <v>63</v>
      </c>
      <c r="KB271" t="n">
        <v>5</v>
      </c>
      <c r="KC271" t="n">
        <v>173</v>
      </c>
      <c r="KD271" t="n">
        <v>22</v>
      </c>
      <c r="KE271" t="n">
        <v>477</v>
      </c>
      <c r="KF271" t="n">
        <v>0</v>
      </c>
      <c r="KH271" t="n">
        <v>573</v>
      </c>
      <c r="KI271" t="n">
        <v>1</v>
      </c>
      <c r="KK271" t="n">
        <v>2</v>
      </c>
      <c r="KL271" t="n">
        <v>1</v>
      </c>
      <c r="KM271" t="n">
        <v>11</v>
      </c>
      <c r="KN271" t="n">
        <v>2</v>
      </c>
      <c r="KQ271" t="n">
        <v>10</v>
      </c>
      <c r="KR271" t="n">
        <v>1</v>
      </c>
      <c r="KS271" t="n">
        <v>5</v>
      </c>
      <c r="KW271" t="n">
        <v>17</v>
      </c>
      <c r="KX271" t="n">
        <v>102</v>
      </c>
      <c r="KZ271" t="n">
        <v>1</v>
      </c>
      <c r="LA271" t="n">
        <v>9</v>
      </c>
      <c r="LB271" t="n">
        <v>0</v>
      </c>
      <c r="LC271" t="n">
        <v>29</v>
      </c>
      <c r="LD271" t="n">
        <v>38</v>
      </c>
      <c r="LE271" t="n">
        <v>19</v>
      </c>
      <c r="LF271" t="n">
        <v>3</v>
      </c>
      <c r="LN271" t="n">
        <v>262</v>
      </c>
      <c r="LO271" t="n">
        <v>23</v>
      </c>
      <c r="LT271" t="n">
        <v>2</v>
      </c>
      <c r="LU271" t="n">
        <v>0</v>
      </c>
      <c r="LW271" t="n">
        <v>124</v>
      </c>
      <c r="LX271" t="n">
        <v>1</v>
      </c>
      <c r="LZ271" t="n">
        <v>39</v>
      </c>
      <c r="MA271" t="n">
        <v>15</v>
      </c>
      <c r="MB271" t="n">
        <v>2</v>
      </c>
      <c r="MD271" t="n">
        <v>4</v>
      </c>
      <c r="ME271" t="n">
        <v>2</v>
      </c>
      <c r="MF271" t="n">
        <v>11</v>
      </c>
      <c r="MG271" t="n">
        <v>11</v>
      </c>
      <c r="MH271" t="n">
        <v>162</v>
      </c>
      <c r="MI271" t="n">
        <v>8</v>
      </c>
      <c r="MJ271" t="n">
        <v>2</v>
      </c>
      <c r="MK271" t="n">
        <v>30</v>
      </c>
      <c r="ML271" t="n">
        <v>0</v>
      </c>
      <c r="MM271" t="n">
        <v>45</v>
      </c>
      <c r="MN271" t="n">
        <v>30</v>
      </c>
      <c r="MO271" t="n">
        <v>119</v>
      </c>
      <c r="MP271" t="n">
        <v>5</v>
      </c>
      <c r="MQ271" t="n">
        <v>0</v>
      </c>
      <c r="MR271" t="n">
        <v>329</v>
      </c>
      <c r="MS271" t="n">
        <v>2</v>
      </c>
      <c r="MU271" t="n">
        <v>1</v>
      </c>
      <c r="MW271" t="n">
        <v>0</v>
      </c>
      <c r="MX271" t="n">
        <v>33</v>
      </c>
      <c r="MZ271" t="n">
        <v>15</v>
      </c>
      <c r="NA271" t="n">
        <v>19</v>
      </c>
      <c r="NC271" t="n">
        <v>275</v>
      </c>
      <c r="ND271" t="n">
        <v>0</v>
      </c>
      <c r="NE271" t="n">
        <v>94</v>
      </c>
      <c r="NK271" t="n">
        <v>0</v>
      </c>
      <c r="NL271" t="n">
        <v>1</v>
      </c>
      <c r="NM271" t="n">
        <v>1</v>
      </c>
      <c r="NN271" t="n">
        <v>9</v>
      </c>
      <c r="NO271" t="n">
        <v>55</v>
      </c>
      <c r="NP271" t="n">
        <v>65</v>
      </c>
      <c r="NQ271" t="n">
        <v>13</v>
      </c>
      <c r="NR271" t="n">
        <v>33</v>
      </c>
      <c r="NS271" t="n">
        <v>0</v>
      </c>
      <c r="NT271" t="n">
        <v>349</v>
      </c>
      <c r="NU271" t="n">
        <v>4</v>
      </c>
      <c r="NV271" t="n">
        <v>1</v>
      </c>
      <c r="NY271" t="n">
        <v>12</v>
      </c>
      <c r="NZ271" t="n">
        <v>38</v>
      </c>
      <c r="OA271" t="n">
        <v>87</v>
      </c>
      <c r="OB271" t="n">
        <v>22</v>
      </c>
      <c r="OD271" t="n">
        <v>969</v>
      </c>
      <c r="OE271" t="n">
        <v>250</v>
      </c>
      <c r="OI271" t="n">
        <v>125</v>
      </c>
      <c r="OJ271" t="n">
        <v>41</v>
      </c>
      <c r="OK271" t="n">
        <v>343</v>
      </c>
      <c r="OL271" t="n">
        <v>303</v>
      </c>
      <c r="OM271" t="n">
        <v>30</v>
      </c>
      <c r="ON271" t="n">
        <v>3</v>
      </c>
      <c r="OO271" t="n">
        <v>22219</v>
      </c>
      <c r="OP271" t="n">
        <v>37019</v>
      </c>
      <c r="OU271" t="n">
        <v>96</v>
      </c>
      <c r="OV271" t="n">
        <v>4179</v>
      </c>
      <c r="PI271" t="n">
        <v>63512</v>
      </c>
      <c r="PM271">
        <f>IFERROR(VLOOKUP($A271&amp;"",Key!$A:$C,3,FALSE),"")</f>
        <v/>
      </c>
    </row>
    <row r="272">
      <c r="A272" t="n">
        <v>326220</v>
      </c>
      <c r="B272" t="inlineStr">
        <is>
          <t>Rubber and plastics hoses and belting manufacturing</t>
        </is>
      </c>
      <c r="C272" t="n">
        <v>9</v>
      </c>
      <c r="D272" t="n">
        <v>37</v>
      </c>
      <c r="E272" t="n">
        <v>5</v>
      </c>
      <c r="F272" t="n">
        <v>4</v>
      </c>
      <c r="G272" t="n">
        <v>3</v>
      </c>
      <c r="H272" t="n">
        <v>5</v>
      </c>
      <c r="I272" t="n">
        <v>34</v>
      </c>
      <c r="K272" t="n">
        <v>0</v>
      </c>
      <c r="L272" t="n">
        <v>6</v>
      </c>
      <c r="Q272" t="n">
        <v>351</v>
      </c>
      <c r="T272" t="n">
        <v>84</v>
      </c>
      <c r="U272" t="n">
        <v>20</v>
      </c>
      <c r="X272" t="n">
        <v>15</v>
      </c>
      <c r="AC272" t="n">
        <v>3</v>
      </c>
      <c r="AX272" t="n">
        <v>61</v>
      </c>
      <c r="BK272" t="n">
        <v>9</v>
      </c>
      <c r="BV272" t="n">
        <v>4</v>
      </c>
      <c r="BW272" t="n">
        <v>9</v>
      </c>
      <c r="BX272" t="n">
        <v>51</v>
      </c>
      <c r="CB272" t="n">
        <v>252</v>
      </c>
      <c r="CF272" t="n">
        <v>27</v>
      </c>
      <c r="CG272" t="n">
        <v>419</v>
      </c>
      <c r="CH272" t="n">
        <v>198</v>
      </c>
      <c r="CI272" t="n">
        <v>345</v>
      </c>
      <c r="CJ272" t="n">
        <v>46</v>
      </c>
      <c r="CO272" t="n">
        <v>1</v>
      </c>
      <c r="CQ272" t="n">
        <v>55</v>
      </c>
      <c r="CR272" t="n">
        <v>11</v>
      </c>
      <c r="CW272" t="n">
        <v>360</v>
      </c>
      <c r="CZ272" t="n">
        <v>125</v>
      </c>
      <c r="DA272" t="n">
        <v>2</v>
      </c>
      <c r="DB272" t="n">
        <v>11</v>
      </c>
      <c r="DC272" t="n">
        <v>906</v>
      </c>
      <c r="DG272" t="n">
        <v>14</v>
      </c>
      <c r="DR272" t="n">
        <v>4</v>
      </c>
      <c r="DS272" t="n">
        <v>2</v>
      </c>
      <c r="EE272" t="n">
        <v>22</v>
      </c>
      <c r="EF272" t="n">
        <v>173</v>
      </c>
      <c r="EQ272" t="n">
        <v>152</v>
      </c>
      <c r="ER272" t="n">
        <v>974</v>
      </c>
      <c r="ES272" t="n">
        <v>83</v>
      </c>
      <c r="ET272" t="n">
        <v>328</v>
      </c>
      <c r="EX272" t="n">
        <v>39</v>
      </c>
      <c r="EY272" t="n">
        <v>56</v>
      </c>
      <c r="EZ272" t="n">
        <v>5</v>
      </c>
      <c r="FB272" t="n">
        <v>55</v>
      </c>
      <c r="FC272" t="n">
        <v>892</v>
      </c>
      <c r="FD272" t="n">
        <v>34</v>
      </c>
      <c r="FJ272" t="n">
        <v>36</v>
      </c>
      <c r="GP272" t="n">
        <v>15</v>
      </c>
      <c r="GT272" t="n">
        <v>9</v>
      </c>
      <c r="HS272" t="n">
        <v>18</v>
      </c>
      <c r="HU272" t="n">
        <v>129</v>
      </c>
      <c r="IB272" t="n">
        <v>286</v>
      </c>
      <c r="II272" t="n">
        <v>7</v>
      </c>
      <c r="IM272" t="n">
        <v>9</v>
      </c>
      <c r="IU272" t="n">
        <v>126</v>
      </c>
      <c r="IX272" t="n">
        <v>170</v>
      </c>
      <c r="JE272" t="n">
        <v>147</v>
      </c>
      <c r="JH272" t="n">
        <v>10</v>
      </c>
      <c r="JI272" t="n">
        <v>8</v>
      </c>
      <c r="JJ272" t="n">
        <v>10</v>
      </c>
      <c r="JV272" t="n">
        <v>15</v>
      </c>
      <c r="KI272" t="n">
        <v>63</v>
      </c>
      <c r="KO272" t="n">
        <v>20</v>
      </c>
      <c r="KW272" t="n">
        <v>1</v>
      </c>
      <c r="KX272" t="n">
        <v>6</v>
      </c>
      <c r="LA272" t="n">
        <v>36</v>
      </c>
      <c r="LK272" t="n">
        <v>0</v>
      </c>
      <c r="LM272" t="n">
        <v>771</v>
      </c>
      <c r="MA272" t="n">
        <v>2</v>
      </c>
      <c r="MM272" t="n">
        <v>2</v>
      </c>
      <c r="MT272" t="n">
        <v>8</v>
      </c>
      <c r="MZ272" t="n">
        <v>31</v>
      </c>
      <c r="NR272" t="n">
        <v>84</v>
      </c>
      <c r="NT272" t="n">
        <v>128</v>
      </c>
      <c r="NU272" t="n">
        <v>8</v>
      </c>
      <c r="OD272" t="n">
        <v>48</v>
      </c>
      <c r="OI272" t="n">
        <v>326</v>
      </c>
      <c r="OJ272" t="n">
        <v>88</v>
      </c>
      <c r="OK272" t="n">
        <v>136</v>
      </c>
      <c r="OO272" t="n">
        <v>9052</v>
      </c>
      <c r="OP272" t="n">
        <v>1389</v>
      </c>
      <c r="OU272" t="n">
        <v>98</v>
      </c>
      <c r="OV272" t="n">
        <v>2423</v>
      </c>
      <c r="PI272" t="n">
        <v>12963</v>
      </c>
      <c r="PM272">
        <f>IFERROR(VLOOKUP($A272&amp;"",Key!$A:$C,3,FALSE),"")</f>
        <v/>
      </c>
    </row>
    <row r="273">
      <c r="A273" t="n">
        <v>326290</v>
      </c>
      <c r="B273" t="inlineStr">
        <is>
          <t>Other rubber product manufacturing</t>
        </is>
      </c>
      <c r="N273" t="n">
        <v>10</v>
      </c>
      <c r="Q273" t="n">
        <v>69</v>
      </c>
      <c r="T273" t="n">
        <v>82</v>
      </c>
      <c r="U273" t="n">
        <v>16</v>
      </c>
      <c r="AA273" t="n">
        <v>0</v>
      </c>
      <c r="AB273" t="n">
        <v>0</v>
      </c>
      <c r="AC273" t="n">
        <v>361</v>
      </c>
      <c r="AD273" t="n">
        <v>10</v>
      </c>
      <c r="AE273" t="n">
        <v>205</v>
      </c>
      <c r="AG273" t="n">
        <v>84</v>
      </c>
      <c r="AK273" t="n">
        <v>197</v>
      </c>
      <c r="AL273" t="n">
        <v>998</v>
      </c>
      <c r="AP273" t="n">
        <v>6</v>
      </c>
      <c r="AQ273" t="n">
        <v>4</v>
      </c>
      <c r="AR273" t="n">
        <v>4</v>
      </c>
      <c r="AS273" t="n">
        <v>2</v>
      </c>
      <c r="AU273" t="n">
        <v>9</v>
      </c>
      <c r="AV273" t="n">
        <v>71</v>
      </c>
      <c r="AW273" t="n">
        <v>2</v>
      </c>
      <c r="AX273" t="n">
        <v>6</v>
      </c>
      <c r="BA273" t="n">
        <v>10</v>
      </c>
      <c r="BB273" t="n">
        <v>6</v>
      </c>
      <c r="BL273" t="n">
        <v>63</v>
      </c>
      <c r="BV273" t="n">
        <v>14</v>
      </c>
      <c r="BW273" t="n">
        <v>26</v>
      </c>
      <c r="BX273" t="n">
        <v>19</v>
      </c>
      <c r="CB273" t="n">
        <v>77</v>
      </c>
      <c r="CF273" t="n">
        <v>9</v>
      </c>
      <c r="CG273" t="n">
        <v>660</v>
      </c>
      <c r="CH273" t="n">
        <v>7</v>
      </c>
      <c r="CI273" t="n">
        <v>622</v>
      </c>
      <c r="CJ273" t="n">
        <v>8</v>
      </c>
      <c r="CL273" t="n">
        <v>35</v>
      </c>
      <c r="CM273" t="n">
        <v>2</v>
      </c>
      <c r="CO273" t="n">
        <v>50</v>
      </c>
      <c r="CP273" t="n">
        <v>2</v>
      </c>
      <c r="CR273" t="n">
        <v>2</v>
      </c>
      <c r="CS273" t="n">
        <v>2</v>
      </c>
      <c r="CT273" t="n">
        <v>6</v>
      </c>
      <c r="CU273" t="n">
        <v>5</v>
      </c>
      <c r="CV273" t="n">
        <v>4</v>
      </c>
      <c r="CW273" t="n">
        <v>31</v>
      </c>
      <c r="CX273" t="n">
        <v>1</v>
      </c>
      <c r="CY273" t="n">
        <v>3</v>
      </c>
      <c r="CZ273" t="n">
        <v>74</v>
      </c>
      <c r="DA273" t="n">
        <v>10</v>
      </c>
      <c r="DB273" t="n">
        <v>65</v>
      </c>
      <c r="DC273" t="n">
        <v>30</v>
      </c>
      <c r="DD273" t="n">
        <v>1</v>
      </c>
      <c r="DE273" t="n">
        <v>1</v>
      </c>
      <c r="DG273" t="n">
        <v>18</v>
      </c>
      <c r="DH273" t="n">
        <v>16</v>
      </c>
      <c r="EF273" t="n">
        <v>54</v>
      </c>
      <c r="EQ273" t="n">
        <v>227</v>
      </c>
      <c r="ER273" t="n">
        <v>524</v>
      </c>
      <c r="ES273" t="n">
        <v>215</v>
      </c>
      <c r="ET273" t="n">
        <v>200</v>
      </c>
      <c r="EU273" t="n">
        <v>91</v>
      </c>
      <c r="EV273" t="n">
        <v>14</v>
      </c>
      <c r="EW273" t="n">
        <v>544</v>
      </c>
      <c r="EX273" t="n">
        <v>129</v>
      </c>
      <c r="EY273" t="n">
        <v>0</v>
      </c>
      <c r="EZ273" t="n">
        <v>220</v>
      </c>
      <c r="FA273" t="n">
        <v>264</v>
      </c>
      <c r="FC273" t="n">
        <v>1307</v>
      </c>
      <c r="FD273" t="n">
        <v>189</v>
      </c>
      <c r="FF273" t="n">
        <v>14</v>
      </c>
      <c r="FI273" t="n">
        <v>31</v>
      </c>
      <c r="FJ273" t="n">
        <v>37</v>
      </c>
      <c r="FK273" t="n">
        <v>75</v>
      </c>
      <c r="FL273" t="n">
        <v>72</v>
      </c>
      <c r="FO273" t="n">
        <v>147</v>
      </c>
      <c r="FQ273" t="n">
        <v>26</v>
      </c>
      <c r="FR273" t="n">
        <v>1</v>
      </c>
      <c r="FV273" t="n">
        <v>176</v>
      </c>
      <c r="FW273" t="n">
        <v>199</v>
      </c>
      <c r="FX273" t="n">
        <v>40</v>
      </c>
      <c r="FY273" t="n">
        <v>240</v>
      </c>
      <c r="GF273" t="n">
        <v>5</v>
      </c>
      <c r="GH273" t="n">
        <v>26</v>
      </c>
      <c r="GP273" t="n">
        <v>43</v>
      </c>
      <c r="GT273" t="n">
        <v>25</v>
      </c>
      <c r="GW273" t="n">
        <v>4</v>
      </c>
      <c r="HM273" t="n">
        <v>52</v>
      </c>
      <c r="HO273" t="n">
        <v>43</v>
      </c>
      <c r="HS273" t="n">
        <v>31</v>
      </c>
      <c r="IB273" t="n">
        <v>193</v>
      </c>
      <c r="IE273" t="n">
        <v>3</v>
      </c>
      <c r="IM273" t="n">
        <v>43</v>
      </c>
      <c r="IX273" t="n">
        <v>148</v>
      </c>
      <c r="JE273" t="n">
        <v>20</v>
      </c>
      <c r="JH273" t="n">
        <v>664</v>
      </c>
      <c r="JI273" t="n">
        <v>316</v>
      </c>
      <c r="JJ273" t="n">
        <v>1921</v>
      </c>
      <c r="JL273" t="n">
        <v>0</v>
      </c>
      <c r="JM273" t="n">
        <v>0</v>
      </c>
      <c r="JN273" t="n">
        <v>0</v>
      </c>
      <c r="JO273" t="n">
        <v>0</v>
      </c>
      <c r="JV273" t="n">
        <v>6</v>
      </c>
      <c r="KE273" t="n">
        <v>10</v>
      </c>
      <c r="KI273" t="n">
        <v>0</v>
      </c>
      <c r="KO273" t="n">
        <v>15</v>
      </c>
      <c r="KW273" t="n">
        <v>101</v>
      </c>
      <c r="KX273" t="n">
        <v>208</v>
      </c>
      <c r="KY273" t="n">
        <v>10</v>
      </c>
      <c r="KZ273" t="n">
        <v>1</v>
      </c>
      <c r="LA273" t="n">
        <v>29</v>
      </c>
      <c r="LO273" t="n">
        <v>6</v>
      </c>
      <c r="LP273" t="n">
        <v>0</v>
      </c>
      <c r="LT273" t="n">
        <v>176</v>
      </c>
      <c r="LW273" t="n">
        <v>412</v>
      </c>
      <c r="LZ273" t="n">
        <v>836</v>
      </c>
      <c r="MB273" t="n">
        <v>8</v>
      </c>
      <c r="MF273" t="n">
        <v>30</v>
      </c>
      <c r="MH273" t="n">
        <v>12</v>
      </c>
      <c r="MM273" t="n">
        <v>2</v>
      </c>
      <c r="MO273" t="n">
        <v>19</v>
      </c>
      <c r="MQ273" t="n">
        <v>3</v>
      </c>
      <c r="MT273" t="n">
        <v>28</v>
      </c>
      <c r="MU273" t="n">
        <v>8</v>
      </c>
      <c r="MV273" t="n">
        <v>6</v>
      </c>
      <c r="MW273" t="n">
        <v>86</v>
      </c>
      <c r="MX273" t="n">
        <v>124</v>
      </c>
      <c r="MY273" t="n">
        <v>121</v>
      </c>
      <c r="MZ273" t="n">
        <v>442</v>
      </c>
      <c r="NA273" t="n">
        <v>121</v>
      </c>
      <c r="NB273" t="n">
        <v>14</v>
      </c>
      <c r="NH273" t="n">
        <v>1</v>
      </c>
      <c r="NN273" t="n">
        <v>15</v>
      </c>
      <c r="NP273" t="n">
        <v>31</v>
      </c>
      <c r="NQ273" t="n">
        <v>7</v>
      </c>
      <c r="NR273" t="n">
        <v>752</v>
      </c>
      <c r="NS273" t="n">
        <v>2</v>
      </c>
      <c r="NT273" t="n">
        <v>11</v>
      </c>
      <c r="NU273" t="n">
        <v>49</v>
      </c>
      <c r="NV273" t="n">
        <v>25</v>
      </c>
      <c r="NY273" t="n">
        <v>300</v>
      </c>
      <c r="NZ273" t="n">
        <v>27</v>
      </c>
      <c r="OB273" t="n">
        <v>2</v>
      </c>
      <c r="OD273" t="n">
        <v>1099</v>
      </c>
      <c r="OE273" t="n">
        <v>404</v>
      </c>
      <c r="OI273" t="n">
        <v>9</v>
      </c>
      <c r="OJ273" t="n">
        <v>1464</v>
      </c>
      <c r="OK273" t="n">
        <v>1484</v>
      </c>
      <c r="OL273" t="n">
        <v>48</v>
      </c>
      <c r="OM273" t="n">
        <v>2</v>
      </c>
      <c r="ON273" t="n">
        <v>142</v>
      </c>
      <c r="OO273" t="n">
        <v>21295</v>
      </c>
      <c r="OP273" t="n">
        <v>3585</v>
      </c>
      <c r="OQ273" t="n">
        <v>423</v>
      </c>
      <c r="OS273" t="n">
        <v>59</v>
      </c>
      <c r="OU273" t="n">
        <v>231</v>
      </c>
      <c r="OV273" t="n">
        <v>2510</v>
      </c>
      <c r="PB273" t="n">
        <v>60</v>
      </c>
      <c r="PI273" t="n">
        <v>28164</v>
      </c>
      <c r="PM273">
        <f>IFERROR(VLOOKUP($A273&amp;"",Key!$A:$C,3,FALSE),"")</f>
        <v/>
      </c>
    </row>
    <row r="274">
      <c r="A274" t="n">
        <v>423100</v>
      </c>
      <c r="B274" t="inlineStr">
        <is>
          <t>Motor vehicle and motor vehicle parts and supplies</t>
        </is>
      </c>
      <c r="AR274" t="n">
        <v>35</v>
      </c>
      <c r="BV274" t="n">
        <v>6</v>
      </c>
      <c r="CI274" t="n">
        <v>8</v>
      </c>
      <c r="CQ274" t="n">
        <v>24</v>
      </c>
      <c r="CZ274" t="n">
        <v>38</v>
      </c>
      <c r="DB274" t="n">
        <v>39</v>
      </c>
      <c r="EK274" t="n">
        <v>25</v>
      </c>
      <c r="EQ274" t="n">
        <v>351</v>
      </c>
      <c r="ER274" t="n">
        <v>994</v>
      </c>
      <c r="ES274" t="n">
        <v>205</v>
      </c>
      <c r="ET274" t="n">
        <v>29</v>
      </c>
      <c r="EU274" t="n">
        <v>6</v>
      </c>
      <c r="EW274" t="n">
        <v>10</v>
      </c>
      <c r="EX274" t="n">
        <v>371</v>
      </c>
      <c r="EY274" t="n">
        <v>169</v>
      </c>
      <c r="EZ274" t="n">
        <v>53</v>
      </c>
      <c r="FA274" t="n">
        <v>33</v>
      </c>
      <c r="FB274" t="n">
        <v>113</v>
      </c>
      <c r="FC274" t="n">
        <v>109</v>
      </c>
      <c r="FD274" t="n">
        <v>162</v>
      </c>
      <c r="FM274" t="n">
        <v>21</v>
      </c>
      <c r="GH274" t="n">
        <v>2</v>
      </c>
      <c r="IZ274" t="n">
        <v>8</v>
      </c>
      <c r="JD274" t="n">
        <v>9</v>
      </c>
      <c r="JE274" t="n">
        <v>9</v>
      </c>
      <c r="JG274" t="n">
        <v>127</v>
      </c>
      <c r="JH274" t="n">
        <v>1285</v>
      </c>
      <c r="JI274" t="n">
        <v>9</v>
      </c>
      <c r="JJ274" t="n">
        <v>22</v>
      </c>
      <c r="JK274" t="n">
        <v>30</v>
      </c>
      <c r="JL274" t="n">
        <v>536</v>
      </c>
      <c r="JM274" t="n">
        <v>108</v>
      </c>
      <c r="JN274" t="n">
        <v>50</v>
      </c>
      <c r="JO274" t="n">
        <v>94</v>
      </c>
      <c r="JP274" t="n">
        <v>9</v>
      </c>
      <c r="JQ274" t="n">
        <v>39</v>
      </c>
      <c r="JS274" t="n">
        <v>132</v>
      </c>
      <c r="JV274" t="n">
        <v>46</v>
      </c>
      <c r="KC274" t="n">
        <v>109</v>
      </c>
      <c r="KD274" t="n">
        <v>1</v>
      </c>
      <c r="LN274" t="n">
        <v>57</v>
      </c>
      <c r="OO274" t="n">
        <v>5480</v>
      </c>
      <c r="PI274" t="n">
        <v>5480</v>
      </c>
      <c r="PM274">
        <f>IFERROR(VLOOKUP($A274&amp;"",Key!$A:$C,3,FALSE),"")</f>
        <v/>
      </c>
    </row>
    <row r="275">
      <c r="A275" t="n">
        <v>423400</v>
      </c>
      <c r="B275" t="inlineStr">
        <is>
          <t>Professional and commercial equipment and supplies</t>
        </is>
      </c>
      <c r="AR275" t="n">
        <v>7</v>
      </c>
      <c r="CM275" t="n">
        <v>1</v>
      </c>
      <c r="CN275" t="n">
        <v>8</v>
      </c>
      <c r="CO275" t="n">
        <v>50</v>
      </c>
      <c r="DJ275" t="n">
        <v>0</v>
      </c>
      <c r="DK275" t="n">
        <v>0</v>
      </c>
      <c r="DL275" t="n">
        <v>0</v>
      </c>
      <c r="DM275" t="n">
        <v>0</v>
      </c>
      <c r="DO275" t="n">
        <v>0</v>
      </c>
      <c r="DP275" t="n">
        <v>0</v>
      </c>
      <c r="DQ275" t="n">
        <v>0</v>
      </c>
      <c r="DR275" t="n">
        <v>827</v>
      </c>
      <c r="DS275" t="n">
        <v>0</v>
      </c>
      <c r="DV275" t="n">
        <v>1</v>
      </c>
      <c r="DX275" t="n">
        <v>9</v>
      </c>
      <c r="DY275" t="n">
        <v>203</v>
      </c>
      <c r="DZ275" t="n">
        <v>10</v>
      </c>
      <c r="EA275" t="n">
        <v>10</v>
      </c>
      <c r="ED275" t="n">
        <v>0</v>
      </c>
      <c r="EJ275" t="n">
        <v>0</v>
      </c>
      <c r="EP275" t="n">
        <v>0</v>
      </c>
      <c r="FS275" t="n">
        <v>1</v>
      </c>
      <c r="FV275" t="n">
        <v>13</v>
      </c>
      <c r="FX275" t="n">
        <v>576</v>
      </c>
      <c r="FY275" t="n">
        <v>516</v>
      </c>
      <c r="FZ275" t="n">
        <v>81</v>
      </c>
      <c r="GA275" t="n">
        <v>1</v>
      </c>
      <c r="GB275" t="n">
        <v>72</v>
      </c>
      <c r="HR275" t="n">
        <v>8</v>
      </c>
      <c r="HU275" t="n">
        <v>131</v>
      </c>
      <c r="HW275" t="n">
        <v>2</v>
      </c>
      <c r="HY275" t="n">
        <v>2</v>
      </c>
      <c r="HZ275" t="n">
        <v>0</v>
      </c>
      <c r="IB275" t="n">
        <v>24</v>
      </c>
      <c r="IK275" t="n">
        <v>2</v>
      </c>
      <c r="IL275" t="n">
        <v>12</v>
      </c>
      <c r="IP275" t="n">
        <v>28</v>
      </c>
      <c r="IQ275" t="n">
        <v>14</v>
      </c>
      <c r="IR275" t="n">
        <v>3</v>
      </c>
      <c r="IW275" t="n">
        <v>4</v>
      </c>
      <c r="IX275" t="n">
        <v>7</v>
      </c>
      <c r="IZ275" t="n">
        <v>31</v>
      </c>
      <c r="JA275" t="n">
        <v>0</v>
      </c>
      <c r="JD275" t="n">
        <v>10</v>
      </c>
      <c r="JE275" t="n">
        <v>50</v>
      </c>
      <c r="JF275" t="n">
        <v>43</v>
      </c>
      <c r="JG275" t="n">
        <v>463</v>
      </c>
      <c r="JJ275" t="n">
        <v>17</v>
      </c>
      <c r="JK275" t="n">
        <v>340</v>
      </c>
      <c r="JL275" t="n">
        <v>738</v>
      </c>
      <c r="JM275" t="n">
        <v>675</v>
      </c>
      <c r="JN275" t="n">
        <v>330</v>
      </c>
      <c r="JO275" t="n">
        <v>699</v>
      </c>
      <c r="JP275" t="n">
        <v>102</v>
      </c>
      <c r="JQ275" t="n">
        <v>207</v>
      </c>
      <c r="JR275" t="n">
        <v>118</v>
      </c>
      <c r="JS275" t="n">
        <v>1185</v>
      </c>
      <c r="JV275" t="n">
        <v>318</v>
      </c>
      <c r="JW275" t="n">
        <v>87</v>
      </c>
      <c r="JY275" t="n">
        <v>66</v>
      </c>
      <c r="JZ275" t="n">
        <v>14</v>
      </c>
      <c r="KA275" t="n">
        <v>19</v>
      </c>
      <c r="KB275" t="n">
        <v>28</v>
      </c>
      <c r="KC275" t="n">
        <v>569</v>
      </c>
      <c r="KD275" t="n">
        <v>74</v>
      </c>
      <c r="KN275" t="n">
        <v>0</v>
      </c>
      <c r="KO275" t="n">
        <v>1</v>
      </c>
      <c r="KP275" t="n">
        <v>28</v>
      </c>
      <c r="KQ275" t="n">
        <v>7</v>
      </c>
      <c r="KR275" t="n">
        <v>324</v>
      </c>
      <c r="KW275" t="n">
        <v>1</v>
      </c>
      <c r="KX275" t="n">
        <v>2</v>
      </c>
      <c r="LA275" t="n">
        <v>0</v>
      </c>
      <c r="LC275" t="n">
        <v>5</v>
      </c>
      <c r="LD275" t="n">
        <v>10</v>
      </c>
      <c r="LE275" t="n">
        <v>24</v>
      </c>
      <c r="LF275" t="n">
        <v>1</v>
      </c>
      <c r="LG275" t="n">
        <v>2</v>
      </c>
      <c r="LH275" t="n">
        <v>63</v>
      </c>
      <c r="LI275" t="n">
        <v>0</v>
      </c>
      <c r="LJ275" t="n">
        <v>6</v>
      </c>
      <c r="LN275" t="n">
        <v>2</v>
      </c>
      <c r="LT275" t="n">
        <v>265</v>
      </c>
      <c r="MG275" t="n">
        <v>6</v>
      </c>
      <c r="MI275" t="n">
        <v>1</v>
      </c>
      <c r="MJ275" t="n">
        <v>1</v>
      </c>
      <c r="ML275" t="n">
        <v>1</v>
      </c>
      <c r="MN275" t="n">
        <v>0</v>
      </c>
      <c r="NS275" t="n">
        <v>0</v>
      </c>
      <c r="OH275" t="n">
        <v>5</v>
      </c>
      <c r="OO275" t="n">
        <v>9565</v>
      </c>
      <c r="PI275" t="n">
        <v>9565</v>
      </c>
      <c r="PM275">
        <f>IFERROR(VLOOKUP($A275&amp;"",Key!$A:$C,3,FALSE),"")</f>
        <v/>
      </c>
    </row>
    <row r="276">
      <c r="A276" t="n">
        <v>423600</v>
      </c>
      <c r="B276" t="inlineStr">
        <is>
          <t xml:space="preserve">Household appliances and electrical and electronic goods </t>
        </is>
      </c>
      <c r="AK276" t="n">
        <v>2</v>
      </c>
      <c r="AQ276" t="n">
        <v>5</v>
      </c>
      <c r="BC276" t="n">
        <v>2</v>
      </c>
      <c r="BP276" t="n">
        <v>2</v>
      </c>
      <c r="BR276" t="n">
        <v>1</v>
      </c>
      <c r="BY276" t="n">
        <v>1</v>
      </c>
      <c r="CB276" t="n">
        <v>0</v>
      </c>
      <c r="CI276" t="n">
        <v>1</v>
      </c>
      <c r="CO276" t="n">
        <v>1</v>
      </c>
      <c r="CP276" t="n">
        <v>0</v>
      </c>
      <c r="CQ276" t="n">
        <v>3</v>
      </c>
      <c r="DB276" t="n">
        <v>1</v>
      </c>
      <c r="DC276" t="n">
        <v>0</v>
      </c>
      <c r="DK276" t="n">
        <v>0</v>
      </c>
      <c r="DL276" t="n">
        <v>0</v>
      </c>
      <c r="DM276" t="n">
        <v>1</v>
      </c>
      <c r="DN276" t="n">
        <v>0</v>
      </c>
      <c r="DO276" t="n">
        <v>7</v>
      </c>
      <c r="DP276" t="n">
        <v>7</v>
      </c>
      <c r="DQ276" t="n">
        <v>21</v>
      </c>
      <c r="DS276" t="n">
        <v>6</v>
      </c>
      <c r="EA276" t="n">
        <v>34</v>
      </c>
      <c r="EC276" t="n">
        <v>74</v>
      </c>
      <c r="ED276" t="n">
        <v>256</v>
      </c>
      <c r="EE276" t="n">
        <v>19</v>
      </c>
      <c r="EF276" t="n">
        <v>19</v>
      </c>
      <c r="EG276" t="n">
        <v>49</v>
      </c>
      <c r="EH276" t="n">
        <v>80</v>
      </c>
      <c r="EI276" t="n">
        <v>222</v>
      </c>
      <c r="EJ276" t="n">
        <v>249</v>
      </c>
      <c r="EL276" t="n">
        <v>1</v>
      </c>
      <c r="EM276" t="n">
        <v>102</v>
      </c>
      <c r="EN276" t="n">
        <v>182</v>
      </c>
      <c r="EO276" t="n">
        <v>20</v>
      </c>
      <c r="EP276" t="n">
        <v>168</v>
      </c>
      <c r="EX276" t="n">
        <v>1</v>
      </c>
      <c r="HU276" t="n">
        <v>1</v>
      </c>
      <c r="JK276" t="n">
        <v>360</v>
      </c>
      <c r="JL276" t="n">
        <v>777</v>
      </c>
      <c r="JM276" t="n">
        <v>690</v>
      </c>
      <c r="JN276" t="n">
        <v>335</v>
      </c>
      <c r="JO276" t="n">
        <v>726</v>
      </c>
      <c r="JP276" t="n">
        <v>107</v>
      </c>
      <c r="JQ276" t="n">
        <v>213</v>
      </c>
      <c r="JR276" t="n">
        <v>132</v>
      </c>
      <c r="JS276" t="n">
        <v>1247</v>
      </c>
      <c r="JV276" t="n">
        <v>327</v>
      </c>
      <c r="JW276" t="n">
        <v>93</v>
      </c>
      <c r="JY276" t="n">
        <v>96</v>
      </c>
      <c r="JZ276" t="n">
        <v>38</v>
      </c>
      <c r="KA276" t="n">
        <v>21</v>
      </c>
      <c r="KB276" t="n">
        <v>41</v>
      </c>
      <c r="KC276" t="n">
        <v>598</v>
      </c>
      <c r="KD276" t="n">
        <v>96</v>
      </c>
      <c r="KN276" t="n">
        <v>0</v>
      </c>
      <c r="KO276" t="n">
        <v>1</v>
      </c>
      <c r="KQ276" t="n">
        <v>0</v>
      </c>
      <c r="KR276" t="n">
        <v>33</v>
      </c>
      <c r="LA276" t="n">
        <v>7</v>
      </c>
      <c r="LD276" t="n">
        <v>1</v>
      </c>
      <c r="LT276" t="n">
        <v>76</v>
      </c>
      <c r="NS276" t="n">
        <v>0</v>
      </c>
      <c r="OO276" t="n">
        <v>7554</v>
      </c>
      <c r="PI276" t="n">
        <v>7554</v>
      </c>
      <c r="PM276">
        <f>IFERROR(VLOOKUP($A276&amp;"",Key!$A:$C,3,FALSE),"")</f>
        <v/>
      </c>
    </row>
    <row r="277">
      <c r="A277" t="n">
        <v>423800</v>
      </c>
      <c r="B277" t="inlineStr">
        <is>
          <t>Machinery, equipment, and supplies</t>
        </is>
      </c>
      <c r="C277" t="n">
        <v>1</v>
      </c>
      <c r="D277" t="n">
        <v>7</v>
      </c>
      <c r="F277" t="n">
        <v>1</v>
      </c>
      <c r="G277" t="n">
        <v>1</v>
      </c>
      <c r="O277" t="n">
        <v>1</v>
      </c>
      <c r="X277" t="n">
        <v>25</v>
      </c>
      <c r="AB277" t="n">
        <v>0</v>
      </c>
      <c r="AP277" t="n">
        <v>2</v>
      </c>
      <c r="AR277" t="n">
        <v>0</v>
      </c>
      <c r="AX277" t="n">
        <v>20</v>
      </c>
      <c r="BC277" t="n">
        <v>22</v>
      </c>
      <c r="BD277" t="n">
        <v>3</v>
      </c>
      <c r="BO277" t="n">
        <v>3</v>
      </c>
      <c r="BP277" t="n">
        <v>3</v>
      </c>
      <c r="BQ277" t="n">
        <v>2</v>
      </c>
      <c r="BS277" t="n">
        <v>8</v>
      </c>
      <c r="BU277" t="n">
        <v>1</v>
      </c>
      <c r="BV277" t="n">
        <v>6</v>
      </c>
      <c r="BY277" t="n">
        <v>2</v>
      </c>
      <c r="CB277" t="n">
        <v>111</v>
      </c>
      <c r="CC277" t="n">
        <v>13</v>
      </c>
      <c r="CF277" t="n">
        <v>12</v>
      </c>
      <c r="CG277" t="n">
        <v>13</v>
      </c>
      <c r="CH277" t="n">
        <v>5</v>
      </c>
      <c r="CI277" t="n">
        <v>79</v>
      </c>
      <c r="CJ277" t="n">
        <v>77</v>
      </c>
      <c r="CK277" t="n">
        <v>18</v>
      </c>
      <c r="CL277" t="n">
        <v>300</v>
      </c>
      <c r="CO277" t="n">
        <v>1</v>
      </c>
      <c r="CR277" t="n">
        <v>18</v>
      </c>
      <c r="CS277" t="n">
        <v>29</v>
      </c>
      <c r="CT277" t="n">
        <v>33</v>
      </c>
      <c r="CU277" t="n">
        <v>34</v>
      </c>
      <c r="CV277" t="n">
        <v>34</v>
      </c>
      <c r="CW277" t="n">
        <v>21</v>
      </c>
      <c r="CX277" t="n">
        <v>3</v>
      </c>
      <c r="CY277" t="n">
        <v>19</v>
      </c>
      <c r="CZ277" t="n">
        <v>79</v>
      </c>
      <c r="DA277" t="n">
        <v>49</v>
      </c>
      <c r="DB277" t="n">
        <v>135</v>
      </c>
      <c r="DC277" t="n">
        <v>233</v>
      </c>
      <c r="DE277" t="n">
        <v>24</v>
      </c>
      <c r="DF277" t="n">
        <v>8</v>
      </c>
      <c r="DG277" t="n">
        <v>86</v>
      </c>
      <c r="DH277" t="n">
        <v>84</v>
      </c>
      <c r="DM277" t="n">
        <v>0</v>
      </c>
      <c r="DO277" t="n">
        <v>0</v>
      </c>
      <c r="DS277" t="n">
        <v>0</v>
      </c>
      <c r="DU277" t="n">
        <v>2</v>
      </c>
      <c r="DV277" t="n">
        <v>4</v>
      </c>
      <c r="DW277" t="n">
        <v>2</v>
      </c>
      <c r="DZ277" t="n">
        <v>9</v>
      </c>
      <c r="EC277" t="n">
        <v>0</v>
      </c>
      <c r="ED277" t="n">
        <v>4</v>
      </c>
      <c r="EG277" t="n">
        <v>0</v>
      </c>
      <c r="EH277" t="n">
        <v>2</v>
      </c>
      <c r="EI277" t="n">
        <v>3</v>
      </c>
      <c r="EJ277" t="n">
        <v>12</v>
      </c>
      <c r="EM277" t="n">
        <v>2</v>
      </c>
      <c r="EN277" t="n">
        <v>2</v>
      </c>
      <c r="EO277" t="n">
        <v>0</v>
      </c>
      <c r="EP277" t="n">
        <v>3</v>
      </c>
      <c r="EQ277" t="n">
        <v>4</v>
      </c>
      <c r="ER277" t="n">
        <v>7</v>
      </c>
      <c r="ES277" t="n">
        <v>10</v>
      </c>
      <c r="ET277" t="n">
        <v>2</v>
      </c>
      <c r="EW277" t="n">
        <v>2</v>
      </c>
      <c r="EY277" t="n">
        <v>1</v>
      </c>
      <c r="FA277" t="n">
        <v>9</v>
      </c>
      <c r="FE277" t="n">
        <v>4</v>
      </c>
      <c r="FF277" t="n">
        <v>8</v>
      </c>
      <c r="FG277" t="n">
        <v>2</v>
      </c>
      <c r="FJ277" t="n">
        <v>5</v>
      </c>
      <c r="FK277" t="n">
        <v>0</v>
      </c>
      <c r="FM277" t="n">
        <v>0</v>
      </c>
      <c r="GJ277" t="n">
        <v>3</v>
      </c>
      <c r="GS277" t="n">
        <v>2</v>
      </c>
      <c r="GU277" t="n">
        <v>4</v>
      </c>
      <c r="GW277" t="n">
        <v>3</v>
      </c>
      <c r="GX277" t="n">
        <v>3</v>
      </c>
      <c r="GZ277" t="n">
        <v>9</v>
      </c>
      <c r="HG277" t="n">
        <v>1</v>
      </c>
      <c r="HQ277" t="n">
        <v>8</v>
      </c>
      <c r="HU277" t="n">
        <v>1</v>
      </c>
      <c r="HV277" t="n">
        <v>2</v>
      </c>
      <c r="HW277" t="n">
        <v>12</v>
      </c>
      <c r="HX277" t="n">
        <v>3</v>
      </c>
      <c r="HZ277" t="n">
        <v>1</v>
      </c>
      <c r="ID277" t="n">
        <v>14</v>
      </c>
      <c r="II277" t="n">
        <v>2</v>
      </c>
      <c r="IK277" t="n">
        <v>2</v>
      </c>
      <c r="IL277" t="n">
        <v>18</v>
      </c>
      <c r="IM277" t="n">
        <v>14</v>
      </c>
      <c r="IN277" t="n">
        <v>6</v>
      </c>
      <c r="IU277" t="n">
        <v>2</v>
      </c>
      <c r="IW277" t="n">
        <v>12</v>
      </c>
      <c r="IY277" t="n">
        <v>4</v>
      </c>
      <c r="IZ277" t="n">
        <v>2</v>
      </c>
      <c r="JA277" t="n">
        <v>2</v>
      </c>
      <c r="JB277" t="n">
        <v>3</v>
      </c>
      <c r="JE277" t="n">
        <v>2</v>
      </c>
      <c r="JF277" t="n">
        <v>1</v>
      </c>
      <c r="JG277" t="n">
        <v>28</v>
      </c>
      <c r="JI277" t="n">
        <v>3</v>
      </c>
      <c r="JJ277" t="n">
        <v>15</v>
      </c>
      <c r="JK277" t="n">
        <v>61</v>
      </c>
      <c r="JL277" t="n">
        <v>120</v>
      </c>
      <c r="JM277" t="n">
        <v>55</v>
      </c>
      <c r="JN277" t="n">
        <v>42</v>
      </c>
      <c r="JO277" t="n">
        <v>84</v>
      </c>
      <c r="JP277" t="n">
        <v>4</v>
      </c>
      <c r="JQ277" t="n">
        <v>17</v>
      </c>
      <c r="JR277" t="n">
        <v>12</v>
      </c>
      <c r="JS277" t="n">
        <v>98</v>
      </c>
      <c r="JV277" t="n">
        <v>45</v>
      </c>
      <c r="JW277" t="n">
        <v>10</v>
      </c>
      <c r="JX277" t="n">
        <v>4</v>
      </c>
      <c r="KA277" t="n">
        <v>1</v>
      </c>
      <c r="KB277" t="n">
        <v>6</v>
      </c>
      <c r="KC277" t="n">
        <v>114</v>
      </c>
      <c r="KD277" t="n">
        <v>4</v>
      </c>
      <c r="KE277" t="n">
        <v>93</v>
      </c>
      <c r="KH277" t="n">
        <v>88</v>
      </c>
      <c r="LO277" t="n">
        <v>128</v>
      </c>
      <c r="MH277" t="n">
        <v>7</v>
      </c>
      <c r="NO277" t="n">
        <v>5</v>
      </c>
      <c r="NP277" t="n">
        <v>34</v>
      </c>
      <c r="OO277" t="n">
        <v>2939</v>
      </c>
      <c r="PI277" t="n">
        <v>2939</v>
      </c>
      <c r="PM277">
        <f>IFERROR(VLOOKUP($A277&amp;"",Key!$A:$C,3,FALSE),"")</f>
        <v/>
      </c>
    </row>
    <row r="278">
      <c r="A278" t="inlineStr">
        <is>
          <t>423A00</t>
        </is>
      </c>
      <c r="B278" t="inlineStr">
        <is>
          <t>Other durable goods merchant wholesalers</t>
        </is>
      </c>
      <c r="M278" t="n">
        <v>1</v>
      </c>
      <c r="Q278" t="n">
        <v>20</v>
      </c>
      <c r="R278" t="n">
        <v>1</v>
      </c>
      <c r="S278" t="n">
        <v>1</v>
      </c>
      <c r="T278" t="n">
        <v>13</v>
      </c>
      <c r="U278" t="n">
        <v>7</v>
      </c>
      <c r="X278" t="n">
        <v>46</v>
      </c>
      <c r="AB278" t="n">
        <v>0</v>
      </c>
      <c r="AE278" t="n">
        <v>7</v>
      </c>
      <c r="AG278" t="n">
        <v>62</v>
      </c>
      <c r="AK278" t="n">
        <v>6</v>
      </c>
      <c r="AM278" t="n">
        <v>145</v>
      </c>
      <c r="AN278" t="n">
        <v>23</v>
      </c>
      <c r="AO278" t="n">
        <v>21</v>
      </c>
      <c r="AP278" t="n">
        <v>7</v>
      </c>
      <c r="AQ278" t="n">
        <v>19</v>
      </c>
      <c r="AR278" t="n">
        <v>45</v>
      </c>
      <c r="AS278" t="n">
        <v>47</v>
      </c>
      <c r="AT278" t="n">
        <v>3</v>
      </c>
      <c r="AU278" t="n">
        <v>7</v>
      </c>
      <c r="AV278" t="n">
        <v>58</v>
      </c>
      <c r="AW278" t="n">
        <v>6</v>
      </c>
      <c r="AY278" t="n">
        <v>26</v>
      </c>
      <c r="AZ278" t="n">
        <v>0</v>
      </c>
      <c r="BA278" t="n">
        <v>7</v>
      </c>
      <c r="BB278" t="n">
        <v>11</v>
      </c>
      <c r="BC278" t="n">
        <v>429</v>
      </c>
      <c r="BD278" t="n">
        <v>15</v>
      </c>
      <c r="BF278" t="n">
        <v>3</v>
      </c>
      <c r="BG278" t="n">
        <v>39</v>
      </c>
      <c r="BH278" t="n">
        <v>13</v>
      </c>
      <c r="BI278" t="n">
        <v>5</v>
      </c>
      <c r="BJ278" t="n">
        <v>9</v>
      </c>
      <c r="BK278" t="n">
        <v>7</v>
      </c>
      <c r="BL278" t="n">
        <v>3</v>
      </c>
      <c r="BM278" t="n">
        <v>1</v>
      </c>
      <c r="BN278" t="n">
        <v>1</v>
      </c>
      <c r="BP278" t="n">
        <v>60</v>
      </c>
      <c r="BQ278" t="n">
        <v>54</v>
      </c>
      <c r="BR278" t="n">
        <v>303</v>
      </c>
      <c r="BT278" t="n">
        <v>2</v>
      </c>
      <c r="BV278" t="n">
        <v>1</v>
      </c>
      <c r="BW278" t="n">
        <v>2</v>
      </c>
      <c r="BY278" t="n">
        <v>92</v>
      </c>
      <c r="CA278" t="n">
        <v>5</v>
      </c>
      <c r="CB278" t="n">
        <v>11</v>
      </c>
      <c r="CD278" t="n">
        <v>8</v>
      </c>
      <c r="CE278" t="n">
        <v>36</v>
      </c>
      <c r="CF278" t="n">
        <v>22</v>
      </c>
      <c r="CI278" t="n">
        <v>5</v>
      </c>
      <c r="CP278" t="n">
        <v>26</v>
      </c>
      <c r="CQ278" t="n">
        <v>179</v>
      </c>
      <c r="CR278" t="n">
        <v>10</v>
      </c>
      <c r="CZ278" t="n">
        <v>2</v>
      </c>
      <c r="DA278" t="n">
        <v>7</v>
      </c>
      <c r="DC278" t="n">
        <v>8</v>
      </c>
      <c r="DO278" t="n">
        <v>0</v>
      </c>
      <c r="EA278" t="n">
        <v>1</v>
      </c>
      <c r="EC278" t="n">
        <v>5</v>
      </c>
      <c r="ED278" t="n">
        <v>11</v>
      </c>
      <c r="EG278" t="n">
        <v>3</v>
      </c>
      <c r="EH278" t="n">
        <v>8</v>
      </c>
      <c r="EI278" t="n">
        <v>1</v>
      </c>
      <c r="EM278" t="n">
        <v>1</v>
      </c>
      <c r="EN278" t="n">
        <v>5</v>
      </c>
      <c r="EP278" t="n">
        <v>1</v>
      </c>
      <c r="ES278" t="n">
        <v>9</v>
      </c>
      <c r="FL278" t="n">
        <v>8</v>
      </c>
      <c r="FM278" t="n">
        <v>10</v>
      </c>
      <c r="FP278" t="n">
        <v>7</v>
      </c>
      <c r="FQ278" t="n">
        <v>37</v>
      </c>
      <c r="FR278" t="n">
        <v>11</v>
      </c>
      <c r="FT278" t="n">
        <v>11</v>
      </c>
      <c r="FU278" t="n">
        <v>0</v>
      </c>
      <c r="FV278" t="n">
        <v>213</v>
      </c>
      <c r="FW278" t="n">
        <v>15</v>
      </c>
      <c r="GC278" t="n">
        <v>87</v>
      </c>
      <c r="GD278" t="n">
        <v>70</v>
      </c>
      <c r="GE278" t="n">
        <v>0</v>
      </c>
      <c r="GH278" t="n">
        <v>63</v>
      </c>
      <c r="GP278" t="n">
        <v>0</v>
      </c>
      <c r="HM278" t="n">
        <v>5</v>
      </c>
      <c r="HN278" t="n">
        <v>1</v>
      </c>
      <c r="HO278" t="n">
        <v>11</v>
      </c>
      <c r="HP278" t="n">
        <v>33</v>
      </c>
      <c r="HQ278" t="n">
        <v>1</v>
      </c>
      <c r="HU278" t="n">
        <v>74</v>
      </c>
      <c r="HX278" t="n">
        <v>13</v>
      </c>
      <c r="IA278" t="n">
        <v>5</v>
      </c>
      <c r="IF278" t="n">
        <v>39</v>
      </c>
      <c r="IL278" t="n">
        <v>1</v>
      </c>
      <c r="IM278" t="n">
        <v>17</v>
      </c>
      <c r="IP278" t="n">
        <v>2</v>
      </c>
      <c r="IU278" t="n">
        <v>26</v>
      </c>
      <c r="IX278" t="n">
        <v>3</v>
      </c>
      <c r="JB278" t="n">
        <v>34</v>
      </c>
      <c r="JD278" t="n">
        <v>19</v>
      </c>
      <c r="JE278" t="n">
        <v>39</v>
      </c>
      <c r="JG278" t="n">
        <v>161</v>
      </c>
      <c r="JJ278" t="n">
        <v>6</v>
      </c>
      <c r="JK278" t="n">
        <v>55</v>
      </c>
      <c r="JL278" t="n">
        <v>158</v>
      </c>
      <c r="JM278" t="n">
        <v>225</v>
      </c>
      <c r="JN278" t="n">
        <v>126</v>
      </c>
      <c r="JO278" t="n">
        <v>176</v>
      </c>
      <c r="JP278" t="n">
        <v>19</v>
      </c>
      <c r="JQ278" t="n">
        <v>46</v>
      </c>
      <c r="JR278" t="n">
        <v>2</v>
      </c>
      <c r="JS278" t="n">
        <v>262</v>
      </c>
      <c r="JV278" t="n">
        <v>83</v>
      </c>
      <c r="JW278" t="n">
        <v>10</v>
      </c>
      <c r="JY278" t="n">
        <v>5</v>
      </c>
      <c r="KA278" t="n">
        <v>2</v>
      </c>
      <c r="KB278" t="n">
        <v>5</v>
      </c>
      <c r="KC278" t="n">
        <v>241</v>
      </c>
      <c r="KD278" t="n">
        <v>5</v>
      </c>
      <c r="KR278" t="n">
        <v>0</v>
      </c>
      <c r="OK278" t="n">
        <v>2</v>
      </c>
      <c r="OO278" t="n">
        <v>4439</v>
      </c>
      <c r="PI278" t="n">
        <v>4439</v>
      </c>
      <c r="PM278">
        <f>IFERROR(VLOOKUP($A278&amp;"",Key!$A:$C,3,FALSE),"")</f>
        <v/>
      </c>
    </row>
    <row r="279">
      <c r="A279" t="n">
        <v>424200</v>
      </c>
      <c r="B279" t="inlineStr">
        <is>
          <t>Drugs and druggists’ sundries</t>
        </is>
      </c>
      <c r="X279" t="n">
        <v>12</v>
      </c>
      <c r="CO279" t="n">
        <v>4</v>
      </c>
      <c r="DR279" t="n">
        <v>2</v>
      </c>
      <c r="DY279" t="n">
        <v>1</v>
      </c>
      <c r="EB279" t="n">
        <v>0</v>
      </c>
      <c r="EL279" t="n">
        <v>0</v>
      </c>
      <c r="FX279" t="n">
        <v>1</v>
      </c>
      <c r="FY279" t="n">
        <v>18</v>
      </c>
      <c r="GH279" t="n">
        <v>2</v>
      </c>
      <c r="GP279" t="n">
        <v>5</v>
      </c>
      <c r="GQ279" t="n">
        <v>4</v>
      </c>
      <c r="HB279" t="n">
        <v>13</v>
      </c>
      <c r="HK279" t="n">
        <v>20</v>
      </c>
      <c r="HR279" t="n">
        <v>1</v>
      </c>
      <c r="HU279" t="n">
        <v>6</v>
      </c>
      <c r="HW279" t="n">
        <v>1</v>
      </c>
      <c r="IM279" t="n">
        <v>1</v>
      </c>
      <c r="IO279" t="n">
        <v>81</v>
      </c>
      <c r="IP279" t="n">
        <v>631</v>
      </c>
      <c r="IR279" t="n">
        <v>477</v>
      </c>
      <c r="IW279" t="n">
        <v>82</v>
      </c>
      <c r="IX279" t="n">
        <v>389</v>
      </c>
      <c r="IZ279" t="n">
        <v>1</v>
      </c>
      <c r="JD279" t="n">
        <v>6</v>
      </c>
      <c r="JE279" t="n">
        <v>3</v>
      </c>
      <c r="JF279" t="n">
        <v>2</v>
      </c>
      <c r="JG279" t="n">
        <v>31</v>
      </c>
      <c r="JJ279" t="n">
        <v>1</v>
      </c>
      <c r="JK279" t="n">
        <v>1242</v>
      </c>
      <c r="JL279" t="n">
        <v>2521</v>
      </c>
      <c r="JM279" t="n">
        <v>1910</v>
      </c>
      <c r="JN279" t="n">
        <v>840</v>
      </c>
      <c r="JO279" t="n">
        <v>1827</v>
      </c>
      <c r="JP279" t="n">
        <v>365</v>
      </c>
      <c r="JQ279" t="n">
        <v>650</v>
      </c>
      <c r="JR279" t="n">
        <v>541</v>
      </c>
      <c r="JS279" t="n">
        <v>3393</v>
      </c>
      <c r="JV279" t="n">
        <v>818</v>
      </c>
      <c r="JW279" t="n">
        <v>219</v>
      </c>
      <c r="JY279" t="n">
        <v>249</v>
      </c>
      <c r="JZ279" t="n">
        <v>87</v>
      </c>
      <c r="KA279" t="n">
        <v>52</v>
      </c>
      <c r="KB279" t="n">
        <v>104</v>
      </c>
      <c r="KC279" t="n">
        <v>1289</v>
      </c>
      <c r="KD279" t="n">
        <v>273</v>
      </c>
      <c r="KN279" t="n">
        <v>0</v>
      </c>
      <c r="KO279" t="n">
        <v>4</v>
      </c>
      <c r="KQ279" t="n">
        <v>1</v>
      </c>
      <c r="KU279" t="n">
        <v>0</v>
      </c>
      <c r="LA279" t="n">
        <v>32</v>
      </c>
      <c r="NP279" t="n">
        <v>0</v>
      </c>
      <c r="NR279" t="n">
        <v>5</v>
      </c>
      <c r="NS279" t="n">
        <v>1</v>
      </c>
      <c r="NT279" t="n">
        <v>0</v>
      </c>
      <c r="OO279" t="n">
        <v>18218</v>
      </c>
      <c r="PI279" t="n">
        <v>18218</v>
      </c>
      <c r="PM279">
        <f>IFERROR(VLOOKUP($A279&amp;"",Key!$A:$C,3,FALSE),"")</f>
        <v/>
      </c>
    </row>
    <row r="280">
      <c r="A280" t="n">
        <v>424400</v>
      </c>
      <c r="B280" t="inlineStr">
        <is>
          <t xml:space="preserve">Grocery and related product wholesalers </t>
        </is>
      </c>
      <c r="D280" t="n">
        <v>2</v>
      </c>
      <c r="E280" t="n">
        <v>29</v>
      </c>
      <c r="F280" t="n">
        <v>51</v>
      </c>
      <c r="I280" t="n">
        <v>297</v>
      </c>
      <c r="K280" t="n">
        <v>21</v>
      </c>
      <c r="N280" t="n">
        <v>0</v>
      </c>
      <c r="O280" t="n">
        <v>1</v>
      </c>
      <c r="AP280" t="n">
        <v>0</v>
      </c>
      <c r="AR280" t="n">
        <v>3</v>
      </c>
      <c r="BV280" t="n">
        <v>1</v>
      </c>
      <c r="CF280" t="n">
        <v>1</v>
      </c>
      <c r="CO280" t="n">
        <v>3</v>
      </c>
      <c r="GH280" t="n">
        <v>4</v>
      </c>
      <c r="GI280" t="n">
        <v>42</v>
      </c>
      <c r="GK280" t="n">
        <v>4</v>
      </c>
      <c r="GL280" t="n">
        <v>0</v>
      </c>
      <c r="GM280" t="n">
        <v>1</v>
      </c>
      <c r="GP280" t="n">
        <v>201</v>
      </c>
      <c r="GQ280" t="n">
        <v>340</v>
      </c>
      <c r="GR280" t="n">
        <v>5</v>
      </c>
      <c r="GS280" t="n">
        <v>379</v>
      </c>
      <c r="GT280" t="n">
        <v>205</v>
      </c>
      <c r="GU280" t="n">
        <v>87</v>
      </c>
      <c r="GV280" t="n">
        <v>63</v>
      </c>
      <c r="GW280" t="n">
        <v>49</v>
      </c>
      <c r="GX280" t="n">
        <v>87</v>
      </c>
      <c r="GY280" t="n">
        <v>29</v>
      </c>
      <c r="GZ280" t="n">
        <v>94</v>
      </c>
      <c r="HA280" t="n">
        <v>20</v>
      </c>
      <c r="HB280" t="n">
        <v>852</v>
      </c>
      <c r="HC280" t="n">
        <v>8</v>
      </c>
      <c r="HD280" t="n">
        <v>6</v>
      </c>
      <c r="HE280" t="n">
        <v>11</v>
      </c>
      <c r="HF280" t="n">
        <v>8</v>
      </c>
      <c r="HG280" t="n">
        <v>92</v>
      </c>
      <c r="HK280" t="n">
        <v>104</v>
      </c>
      <c r="HS280" t="n">
        <v>0</v>
      </c>
      <c r="HU280" t="n">
        <v>44</v>
      </c>
      <c r="HV280" t="n">
        <v>43</v>
      </c>
      <c r="HW280" t="n">
        <v>124</v>
      </c>
      <c r="HX280" t="n">
        <v>29</v>
      </c>
      <c r="HY280" t="n">
        <v>2</v>
      </c>
      <c r="HZ280" t="n">
        <v>30</v>
      </c>
      <c r="IA280" t="n">
        <v>2</v>
      </c>
      <c r="IK280" t="n">
        <v>4</v>
      </c>
      <c r="IL280" t="n">
        <v>18</v>
      </c>
      <c r="IO280" t="n">
        <v>1</v>
      </c>
      <c r="IP280" t="n">
        <v>53</v>
      </c>
      <c r="IR280" t="n">
        <v>5</v>
      </c>
      <c r="IT280" t="n">
        <v>2</v>
      </c>
      <c r="IW280" t="n">
        <v>14</v>
      </c>
      <c r="IX280" t="n">
        <v>14</v>
      </c>
      <c r="IZ280" t="n">
        <v>2</v>
      </c>
      <c r="JA280" t="n">
        <v>61</v>
      </c>
      <c r="JG280" t="n">
        <v>13</v>
      </c>
      <c r="JJ280" t="n">
        <v>2</v>
      </c>
      <c r="JK280" t="n">
        <v>397</v>
      </c>
      <c r="JL280" t="n">
        <v>822</v>
      </c>
      <c r="JM280" t="n">
        <v>671</v>
      </c>
      <c r="JN280" t="n">
        <v>308</v>
      </c>
      <c r="JO280" t="n">
        <v>661</v>
      </c>
      <c r="JP280" t="n">
        <v>116</v>
      </c>
      <c r="JQ280" t="n">
        <v>218</v>
      </c>
      <c r="JR280" t="n">
        <v>150</v>
      </c>
      <c r="JS280" t="n">
        <v>1164</v>
      </c>
      <c r="JV280" t="n">
        <v>279</v>
      </c>
      <c r="JW280" t="n">
        <v>64</v>
      </c>
      <c r="JX280" t="n">
        <v>22</v>
      </c>
      <c r="JY280" t="n">
        <v>70</v>
      </c>
      <c r="JZ280" t="n">
        <v>28</v>
      </c>
      <c r="KA280" t="n">
        <v>17</v>
      </c>
      <c r="KB280" t="n">
        <v>34</v>
      </c>
      <c r="KC280" t="n">
        <v>507</v>
      </c>
      <c r="KD280" t="n">
        <v>85</v>
      </c>
      <c r="KN280" t="n">
        <v>0</v>
      </c>
      <c r="KO280" t="n">
        <v>1</v>
      </c>
      <c r="KQ280" t="n">
        <v>0</v>
      </c>
      <c r="LA280" t="n">
        <v>9</v>
      </c>
      <c r="NS280" t="n">
        <v>0</v>
      </c>
      <c r="OK280" t="n">
        <v>19</v>
      </c>
      <c r="OO280" t="n">
        <v>9212</v>
      </c>
      <c r="PI280" t="n">
        <v>9212</v>
      </c>
      <c r="PM280">
        <f>IFERROR(VLOOKUP($A280&amp;"",Key!$A:$C,3,FALSE),"")</f>
        <v/>
      </c>
    </row>
    <row r="281">
      <c r="A281" t="n">
        <v>424700</v>
      </c>
      <c r="B281" t="inlineStr">
        <is>
          <t>Petroleum and petroleum products</t>
        </is>
      </c>
      <c r="P281" t="n">
        <v>158</v>
      </c>
      <c r="X281" t="n">
        <v>67</v>
      </c>
      <c r="CL281" t="n">
        <v>1</v>
      </c>
      <c r="ID281" t="n">
        <v>61</v>
      </c>
      <c r="IE281" t="n">
        <v>3</v>
      </c>
      <c r="IF281" t="n">
        <v>1</v>
      </c>
      <c r="IG281" t="n">
        <v>1</v>
      </c>
      <c r="IK281" t="n">
        <v>1</v>
      </c>
      <c r="IL281" t="n">
        <v>6</v>
      </c>
      <c r="IW281" t="n">
        <v>2</v>
      </c>
      <c r="IZ281" t="n">
        <v>1</v>
      </c>
      <c r="JK281" t="n">
        <v>8</v>
      </c>
      <c r="JL281" t="n">
        <v>19</v>
      </c>
      <c r="JM281" t="n">
        <v>20</v>
      </c>
      <c r="JN281" t="n">
        <v>11</v>
      </c>
      <c r="JO281" t="n">
        <v>22</v>
      </c>
      <c r="JP281" t="n">
        <v>2</v>
      </c>
      <c r="JQ281" t="n">
        <v>5</v>
      </c>
      <c r="JS281" t="n">
        <v>38</v>
      </c>
      <c r="JV281" t="n">
        <v>9</v>
      </c>
      <c r="JW281" t="n">
        <v>3</v>
      </c>
      <c r="KC281" t="n">
        <v>20</v>
      </c>
      <c r="KD281" t="n">
        <v>1</v>
      </c>
      <c r="OO281" t="n">
        <v>460</v>
      </c>
      <c r="PI281" t="n">
        <v>460</v>
      </c>
      <c r="PM281">
        <f>IFERROR(VLOOKUP($A281&amp;"",Key!$A:$C,3,FALSE),"")</f>
        <v/>
      </c>
    </row>
    <row r="282">
      <c r="A282" t="inlineStr">
        <is>
          <t>424A00</t>
        </is>
      </c>
      <c r="B282" t="inlineStr">
        <is>
          <t>Other nondurable goods merchant wholesalers</t>
        </is>
      </c>
      <c r="C282" t="n">
        <v>8</v>
      </c>
      <c r="D282" t="n">
        <v>19</v>
      </c>
      <c r="E282" t="n">
        <v>8</v>
      </c>
      <c r="F282" t="n">
        <v>10</v>
      </c>
      <c r="G282" t="n">
        <v>10</v>
      </c>
      <c r="H282" t="n">
        <v>12</v>
      </c>
      <c r="I282" t="n">
        <v>1</v>
      </c>
      <c r="J282" t="n">
        <v>2</v>
      </c>
      <c r="L282" t="n">
        <v>2</v>
      </c>
      <c r="M282" t="n">
        <v>0</v>
      </c>
      <c r="O282" t="n">
        <v>5</v>
      </c>
      <c r="X282" t="n">
        <v>1</v>
      </c>
      <c r="AM282" t="n">
        <v>1</v>
      </c>
      <c r="AR282" t="n">
        <v>1</v>
      </c>
      <c r="AX282" t="n">
        <v>0</v>
      </c>
      <c r="BC282" t="n">
        <v>97</v>
      </c>
      <c r="BG282" t="n">
        <v>2</v>
      </c>
      <c r="BK282" t="n">
        <v>1</v>
      </c>
      <c r="BN282" t="n">
        <v>0</v>
      </c>
      <c r="BO282" t="n">
        <v>2</v>
      </c>
      <c r="BQ282" t="n">
        <v>14</v>
      </c>
      <c r="BV282" t="n">
        <v>2</v>
      </c>
      <c r="CB282" t="n">
        <v>1</v>
      </c>
      <c r="CF282" t="n">
        <v>4</v>
      </c>
      <c r="CL282" t="n">
        <v>1</v>
      </c>
      <c r="CR282" t="n">
        <v>1</v>
      </c>
      <c r="CW282" t="n">
        <v>1</v>
      </c>
      <c r="CZ282" t="n">
        <v>6</v>
      </c>
      <c r="DA282" t="n">
        <v>2</v>
      </c>
      <c r="DB282" t="n">
        <v>2</v>
      </c>
      <c r="DC282" t="n">
        <v>1</v>
      </c>
      <c r="DG282" t="n">
        <v>2</v>
      </c>
      <c r="DK282" t="n">
        <v>0</v>
      </c>
      <c r="DO282" t="n">
        <v>0</v>
      </c>
      <c r="DP282" t="n">
        <v>0</v>
      </c>
      <c r="DQ282" t="n">
        <v>0</v>
      </c>
      <c r="DU282" t="n">
        <v>0</v>
      </c>
      <c r="DV282" t="n">
        <v>0</v>
      </c>
      <c r="DW282" t="n">
        <v>0</v>
      </c>
      <c r="ED282" t="n">
        <v>2</v>
      </c>
      <c r="EH282" t="n">
        <v>1</v>
      </c>
      <c r="EI282" t="n">
        <v>2</v>
      </c>
      <c r="EJ282" t="n">
        <v>1</v>
      </c>
      <c r="EM282" t="n">
        <v>1</v>
      </c>
      <c r="EN282" t="n">
        <v>1</v>
      </c>
      <c r="EO282" t="n">
        <v>0</v>
      </c>
      <c r="EP282" t="n">
        <v>1</v>
      </c>
      <c r="FU282" t="n">
        <v>6</v>
      </c>
      <c r="FV282" t="n">
        <v>42</v>
      </c>
      <c r="GC282" t="n">
        <v>0</v>
      </c>
      <c r="GF282" t="n">
        <v>9</v>
      </c>
      <c r="GH282" t="n">
        <v>36</v>
      </c>
      <c r="GJ282" t="n">
        <v>25</v>
      </c>
      <c r="GP282" t="n">
        <v>35</v>
      </c>
      <c r="GQ282" t="n">
        <v>1</v>
      </c>
      <c r="GS282" t="n">
        <v>1</v>
      </c>
      <c r="GT282" t="n">
        <v>1</v>
      </c>
      <c r="HB282" t="n">
        <v>20</v>
      </c>
      <c r="HG282" t="n">
        <v>1</v>
      </c>
      <c r="HH282" t="n">
        <v>9</v>
      </c>
      <c r="HI282" t="n">
        <v>71</v>
      </c>
      <c r="HJ282" t="n">
        <v>23</v>
      </c>
      <c r="HK282" t="n">
        <v>182</v>
      </c>
      <c r="HM282" t="n">
        <v>4</v>
      </c>
      <c r="HN282" t="n">
        <v>9</v>
      </c>
      <c r="HQ282" t="n">
        <v>4</v>
      </c>
      <c r="HR282" t="n">
        <v>5</v>
      </c>
      <c r="HS282" t="n">
        <v>1</v>
      </c>
      <c r="HU282" t="n">
        <v>164</v>
      </c>
      <c r="HV282" t="n">
        <v>87</v>
      </c>
      <c r="HW282" t="n">
        <v>110</v>
      </c>
      <c r="HX282" t="n">
        <v>90</v>
      </c>
      <c r="HY282" t="n">
        <v>31</v>
      </c>
      <c r="HZ282" t="n">
        <v>32</v>
      </c>
      <c r="IA282" t="n">
        <v>5</v>
      </c>
      <c r="IB282" t="n">
        <v>114</v>
      </c>
      <c r="IH282" t="n">
        <v>71</v>
      </c>
      <c r="II282" t="n">
        <v>165</v>
      </c>
      <c r="IJ282" t="n">
        <v>31</v>
      </c>
      <c r="IK282" t="n">
        <v>263</v>
      </c>
      <c r="IL282" t="n">
        <v>977</v>
      </c>
      <c r="IM282" t="n">
        <v>103</v>
      </c>
      <c r="IN282" t="n">
        <v>11</v>
      </c>
      <c r="IP282" t="n">
        <v>10</v>
      </c>
      <c r="IR282" t="n">
        <v>1</v>
      </c>
      <c r="IS282" t="n">
        <v>12</v>
      </c>
      <c r="IT282" t="n">
        <v>109</v>
      </c>
      <c r="IU282" t="n">
        <v>168</v>
      </c>
      <c r="IV282" t="n">
        <v>22</v>
      </c>
      <c r="IW282" t="n">
        <v>388</v>
      </c>
      <c r="IX282" t="n">
        <v>2</v>
      </c>
      <c r="IY282" t="n">
        <v>1</v>
      </c>
      <c r="IZ282" t="n">
        <v>154</v>
      </c>
      <c r="JA282" t="n">
        <v>121</v>
      </c>
      <c r="JB282" t="n">
        <v>114</v>
      </c>
      <c r="JC282" t="n">
        <v>60</v>
      </c>
      <c r="JD282" t="n">
        <v>9</v>
      </c>
      <c r="JE282" t="n">
        <v>4</v>
      </c>
      <c r="JG282" t="n">
        <v>43</v>
      </c>
      <c r="JH282" t="n">
        <v>1</v>
      </c>
      <c r="JI282" t="n">
        <v>1</v>
      </c>
      <c r="JJ282" t="n">
        <v>1</v>
      </c>
      <c r="JK282" t="n">
        <v>306</v>
      </c>
      <c r="JL282" t="n">
        <v>375</v>
      </c>
      <c r="JM282" t="n">
        <v>433</v>
      </c>
      <c r="JN282" t="n">
        <v>243</v>
      </c>
      <c r="JO282" t="n">
        <v>512</v>
      </c>
      <c r="JP282" t="n">
        <v>75</v>
      </c>
      <c r="JQ282" t="n">
        <v>105</v>
      </c>
      <c r="JR282" t="n">
        <v>80</v>
      </c>
      <c r="JS282" t="n">
        <v>740</v>
      </c>
      <c r="JV282" t="n">
        <v>245</v>
      </c>
      <c r="JW282" t="n">
        <v>63</v>
      </c>
      <c r="JX282" t="n">
        <v>0</v>
      </c>
      <c r="JY282" t="n">
        <v>61</v>
      </c>
      <c r="JZ282" t="n">
        <v>17</v>
      </c>
      <c r="KA282" t="n">
        <v>10</v>
      </c>
      <c r="KB282" t="n">
        <v>21</v>
      </c>
      <c r="KC282" t="n">
        <v>512</v>
      </c>
      <c r="KD282" t="n">
        <v>43</v>
      </c>
      <c r="KN282" t="n">
        <v>9</v>
      </c>
      <c r="KO282" t="n">
        <v>12</v>
      </c>
      <c r="KP282" t="n">
        <v>87</v>
      </c>
      <c r="KQ282" t="n">
        <v>29</v>
      </c>
      <c r="OI282" t="n">
        <v>2</v>
      </c>
      <c r="OK282" t="n">
        <v>1</v>
      </c>
      <c r="OO282" t="n">
        <v>8166</v>
      </c>
      <c r="PI282" t="n">
        <v>8166</v>
      </c>
      <c r="PM282">
        <f>IFERROR(VLOOKUP($A282&amp;"",Key!$A:$C,3,FALSE),"")</f>
        <v/>
      </c>
    </row>
    <row r="283">
      <c r="A283" t="n">
        <v>425000</v>
      </c>
      <c r="B283" t="inlineStr">
        <is>
          <t>Wholesale electronic markets and agents and brokers</t>
        </is>
      </c>
      <c r="D283" t="n">
        <v>1</v>
      </c>
      <c r="E283" t="n">
        <v>4</v>
      </c>
      <c r="F283" t="n">
        <v>19</v>
      </c>
      <c r="G283" t="n">
        <v>1</v>
      </c>
      <c r="H283" t="n">
        <v>8</v>
      </c>
      <c r="I283" t="n">
        <v>1001</v>
      </c>
      <c r="J283" t="n">
        <v>131</v>
      </c>
      <c r="K283" t="n">
        <v>7</v>
      </c>
      <c r="L283" t="n">
        <v>171</v>
      </c>
      <c r="O283" t="n">
        <v>2</v>
      </c>
      <c r="P283" t="n">
        <v>4</v>
      </c>
      <c r="Q283" t="n">
        <v>9</v>
      </c>
      <c r="R283" t="n">
        <v>1</v>
      </c>
      <c r="S283" t="n">
        <v>1</v>
      </c>
      <c r="T283" t="n">
        <v>0</v>
      </c>
      <c r="X283" t="n">
        <v>30</v>
      </c>
      <c r="Y283" t="n">
        <v>1167</v>
      </c>
      <c r="AM283" t="n">
        <v>6</v>
      </c>
      <c r="AN283" t="n">
        <v>1</v>
      </c>
      <c r="AO283" t="n">
        <v>1</v>
      </c>
      <c r="AP283" t="n">
        <v>4</v>
      </c>
      <c r="AQ283" t="n">
        <v>1</v>
      </c>
      <c r="AR283" t="n">
        <v>8</v>
      </c>
      <c r="AS283" t="n">
        <v>1</v>
      </c>
      <c r="AT283" t="n">
        <v>1</v>
      </c>
      <c r="AU283" t="n">
        <v>0</v>
      </c>
      <c r="AV283" t="n">
        <v>1</v>
      </c>
      <c r="AW283" t="n">
        <v>1</v>
      </c>
      <c r="AX283" t="n">
        <v>1</v>
      </c>
      <c r="AY283" t="n">
        <v>5</v>
      </c>
      <c r="AZ283" t="n">
        <v>0</v>
      </c>
      <c r="BA283" t="n">
        <v>1</v>
      </c>
      <c r="BB283" t="n">
        <v>1</v>
      </c>
      <c r="BC283" t="n">
        <v>100</v>
      </c>
      <c r="BD283" t="n">
        <v>5</v>
      </c>
      <c r="BF283" t="n">
        <v>0</v>
      </c>
      <c r="BG283" t="n">
        <v>25</v>
      </c>
      <c r="BH283" t="n">
        <v>2</v>
      </c>
      <c r="BI283" t="n">
        <v>2</v>
      </c>
      <c r="BJ283" t="n">
        <v>2</v>
      </c>
      <c r="BK283" t="n">
        <v>11</v>
      </c>
      <c r="BL283" t="n">
        <v>0</v>
      </c>
      <c r="BM283" t="n">
        <v>1</v>
      </c>
      <c r="BN283" t="n">
        <v>5</v>
      </c>
      <c r="BO283" t="n">
        <v>0</v>
      </c>
      <c r="BP283" t="n">
        <v>11</v>
      </c>
      <c r="BQ283" t="n">
        <v>11</v>
      </c>
      <c r="BR283" t="n">
        <v>18</v>
      </c>
      <c r="BS283" t="n">
        <v>1</v>
      </c>
      <c r="BT283" t="n">
        <v>1</v>
      </c>
      <c r="BU283" t="n">
        <v>0</v>
      </c>
      <c r="BV283" t="n">
        <v>2</v>
      </c>
      <c r="BW283" t="n">
        <v>2</v>
      </c>
      <c r="BY283" t="n">
        <v>7</v>
      </c>
      <c r="CA283" t="n">
        <v>1</v>
      </c>
      <c r="CB283" t="n">
        <v>9</v>
      </c>
      <c r="CC283" t="n">
        <v>1</v>
      </c>
      <c r="CD283" t="n">
        <v>1</v>
      </c>
      <c r="CE283" t="n">
        <v>9</v>
      </c>
      <c r="CF283" t="n">
        <v>10</v>
      </c>
      <c r="CG283" t="n">
        <v>0</v>
      </c>
      <c r="CI283" t="n">
        <v>10</v>
      </c>
      <c r="CJ283" t="n">
        <v>2</v>
      </c>
      <c r="CK283" t="n">
        <v>1</v>
      </c>
      <c r="CL283" t="n">
        <v>18</v>
      </c>
      <c r="CM283" t="n">
        <v>0</v>
      </c>
      <c r="CO283" t="n">
        <v>2</v>
      </c>
      <c r="CP283" t="n">
        <v>3</v>
      </c>
      <c r="CQ283" t="n">
        <v>7</v>
      </c>
      <c r="CR283" t="n">
        <v>2</v>
      </c>
      <c r="CS283" t="n">
        <v>1</v>
      </c>
      <c r="CT283" t="n">
        <v>2</v>
      </c>
      <c r="CU283" t="n">
        <v>1</v>
      </c>
      <c r="CV283" t="n">
        <v>2</v>
      </c>
      <c r="CW283" t="n">
        <v>2</v>
      </c>
      <c r="CX283" t="n">
        <v>2</v>
      </c>
      <c r="CY283" t="n">
        <v>3</v>
      </c>
      <c r="CZ283" t="n">
        <v>7</v>
      </c>
      <c r="DA283" t="n">
        <v>4</v>
      </c>
      <c r="DB283" t="n">
        <v>8</v>
      </c>
      <c r="DC283" t="n">
        <v>11</v>
      </c>
      <c r="DE283" t="n">
        <v>1</v>
      </c>
      <c r="DF283" t="n">
        <v>1</v>
      </c>
      <c r="DG283" t="n">
        <v>7</v>
      </c>
      <c r="DH283" t="n">
        <v>2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1</v>
      </c>
      <c r="DP283" t="n">
        <v>1</v>
      </c>
      <c r="DQ283" t="n">
        <v>3</v>
      </c>
      <c r="DR283" t="n">
        <v>15</v>
      </c>
      <c r="DS283" t="n">
        <v>0</v>
      </c>
      <c r="DU283" t="n">
        <v>0</v>
      </c>
      <c r="DV283" t="n">
        <v>0</v>
      </c>
      <c r="DW283" t="n">
        <v>0</v>
      </c>
      <c r="DY283" t="n">
        <v>4</v>
      </c>
      <c r="DZ283" t="n">
        <v>1</v>
      </c>
      <c r="EA283" t="n">
        <v>10</v>
      </c>
      <c r="EB283" t="n">
        <v>0</v>
      </c>
      <c r="EC283" t="n">
        <v>2</v>
      </c>
      <c r="ED283" t="n">
        <v>80</v>
      </c>
      <c r="EE283" t="n">
        <v>3</v>
      </c>
      <c r="EF283" t="n">
        <v>0</v>
      </c>
      <c r="EG283" t="n">
        <v>8</v>
      </c>
      <c r="EH283" t="n">
        <v>6</v>
      </c>
      <c r="EI283" t="n">
        <v>13</v>
      </c>
      <c r="EJ283" t="n">
        <v>14</v>
      </c>
      <c r="EK283" t="n">
        <v>12</v>
      </c>
      <c r="EL283" t="n">
        <v>0</v>
      </c>
      <c r="EM283" t="n">
        <v>16</v>
      </c>
      <c r="EN283" t="n">
        <v>33</v>
      </c>
      <c r="EO283" t="n">
        <v>3</v>
      </c>
      <c r="EP283" t="n">
        <v>24</v>
      </c>
      <c r="EQ283" t="n">
        <v>3</v>
      </c>
      <c r="ER283" t="n">
        <v>181</v>
      </c>
      <c r="ES283" t="n">
        <v>48</v>
      </c>
      <c r="ET283" t="n">
        <v>1</v>
      </c>
      <c r="EU283" t="n">
        <v>1</v>
      </c>
      <c r="EV283" t="n">
        <v>0</v>
      </c>
      <c r="EW283" t="n">
        <v>11</v>
      </c>
      <c r="EX283" t="n">
        <v>16</v>
      </c>
      <c r="EY283" t="n">
        <v>5</v>
      </c>
      <c r="EZ283" t="n">
        <v>3</v>
      </c>
      <c r="FA283" t="n">
        <v>3</v>
      </c>
      <c r="FB283" t="n">
        <v>4</v>
      </c>
      <c r="FC283" t="n">
        <v>4</v>
      </c>
      <c r="FD283" t="n">
        <v>4</v>
      </c>
      <c r="FE283" t="n">
        <v>0</v>
      </c>
      <c r="FF283" t="n">
        <v>0</v>
      </c>
      <c r="FJ283" t="n">
        <v>0</v>
      </c>
      <c r="FL283" t="n">
        <v>1</v>
      </c>
      <c r="FM283" t="n">
        <v>4</v>
      </c>
      <c r="FP283" t="n">
        <v>1</v>
      </c>
      <c r="FQ283" t="n">
        <v>18</v>
      </c>
      <c r="FR283" t="n">
        <v>5</v>
      </c>
      <c r="FS283" t="n">
        <v>2</v>
      </c>
      <c r="FT283" t="n">
        <v>5</v>
      </c>
      <c r="FU283" t="n">
        <v>6</v>
      </c>
      <c r="FV283" t="n">
        <v>30</v>
      </c>
      <c r="FW283" t="n">
        <v>2</v>
      </c>
      <c r="FX283" t="n">
        <v>10</v>
      </c>
      <c r="FY283" t="n">
        <v>191</v>
      </c>
      <c r="FZ283" t="n">
        <v>0</v>
      </c>
      <c r="GA283" t="n">
        <v>0</v>
      </c>
      <c r="GB283" t="n">
        <v>0</v>
      </c>
      <c r="GC283" t="n">
        <v>1</v>
      </c>
      <c r="GD283" t="n">
        <v>8</v>
      </c>
      <c r="GF283" t="n">
        <v>0</v>
      </c>
      <c r="GH283" t="n">
        <v>12</v>
      </c>
      <c r="GI283" t="n">
        <v>1</v>
      </c>
      <c r="GJ283" t="n">
        <v>3</v>
      </c>
      <c r="GK283" t="n">
        <v>0</v>
      </c>
      <c r="GP283" t="n">
        <v>96</v>
      </c>
      <c r="GQ283" t="n">
        <v>227</v>
      </c>
      <c r="GR283" t="n">
        <v>0</v>
      </c>
      <c r="GS283" t="n">
        <v>21</v>
      </c>
      <c r="GT283" t="n">
        <v>16</v>
      </c>
      <c r="GU283" t="n">
        <v>9</v>
      </c>
      <c r="GV283" t="n">
        <v>5</v>
      </c>
      <c r="GW283" t="n">
        <v>11</v>
      </c>
      <c r="GX283" t="n">
        <v>7</v>
      </c>
      <c r="GY283" t="n">
        <v>4</v>
      </c>
      <c r="GZ283" t="n">
        <v>10</v>
      </c>
      <c r="HA283" t="n">
        <v>176</v>
      </c>
      <c r="HB283" t="n">
        <v>113</v>
      </c>
      <c r="HD283" t="n">
        <v>0</v>
      </c>
      <c r="HE283" t="n">
        <v>1</v>
      </c>
      <c r="HF283" t="n">
        <v>1</v>
      </c>
      <c r="HG283" t="n">
        <v>0</v>
      </c>
      <c r="HK283" t="n">
        <v>4</v>
      </c>
      <c r="HM283" t="n">
        <v>4</v>
      </c>
      <c r="HN283" t="n">
        <v>11</v>
      </c>
      <c r="HO283" t="n">
        <v>2</v>
      </c>
      <c r="HP283" t="n">
        <v>7</v>
      </c>
      <c r="HQ283" t="n">
        <v>1</v>
      </c>
      <c r="HR283" t="n">
        <v>1</v>
      </c>
      <c r="HS283" t="n">
        <v>0</v>
      </c>
      <c r="HU283" t="n">
        <v>42</v>
      </c>
      <c r="HV283" t="n">
        <v>14</v>
      </c>
      <c r="HW283" t="n">
        <v>43</v>
      </c>
      <c r="HX283" t="n">
        <v>14</v>
      </c>
      <c r="HY283" t="n">
        <v>1</v>
      </c>
      <c r="HZ283" t="n">
        <v>10</v>
      </c>
      <c r="IA283" t="n">
        <v>2</v>
      </c>
      <c r="IB283" t="n">
        <v>2</v>
      </c>
      <c r="ID283" t="n">
        <v>4</v>
      </c>
      <c r="IF283" t="n">
        <v>0</v>
      </c>
      <c r="II283" t="n">
        <v>1</v>
      </c>
      <c r="IJ283" t="n">
        <v>0</v>
      </c>
      <c r="IK283" t="n">
        <v>2</v>
      </c>
      <c r="IL283" t="n">
        <v>11</v>
      </c>
      <c r="IM283" t="n">
        <v>48</v>
      </c>
      <c r="IO283" t="n">
        <v>2</v>
      </c>
      <c r="IP283" t="n">
        <v>20</v>
      </c>
      <c r="IR283" t="n">
        <v>8</v>
      </c>
      <c r="IS283" t="n">
        <v>0</v>
      </c>
      <c r="IT283" t="n">
        <v>2</v>
      </c>
      <c r="IU283" t="n">
        <v>7</v>
      </c>
      <c r="IW283" t="n">
        <v>10</v>
      </c>
      <c r="IX283" t="n">
        <v>21</v>
      </c>
      <c r="IY283" t="n">
        <v>0</v>
      </c>
      <c r="IZ283" t="n">
        <v>6</v>
      </c>
      <c r="JA283" t="n">
        <v>20</v>
      </c>
      <c r="JB283" t="n">
        <v>20</v>
      </c>
      <c r="JC283" t="n">
        <v>2</v>
      </c>
      <c r="JD283" t="n">
        <v>2</v>
      </c>
      <c r="JE283" t="n">
        <v>4</v>
      </c>
      <c r="JF283" t="n">
        <v>1</v>
      </c>
      <c r="JG283" t="n">
        <v>58</v>
      </c>
      <c r="JH283" t="n">
        <v>1</v>
      </c>
      <c r="JI283" t="n">
        <v>1</v>
      </c>
      <c r="JJ283" t="n">
        <v>5</v>
      </c>
      <c r="JK283" t="n">
        <v>502</v>
      </c>
      <c r="JL283" t="n">
        <v>1421</v>
      </c>
      <c r="JM283" t="n">
        <v>1299</v>
      </c>
      <c r="JN283" t="n">
        <v>677</v>
      </c>
      <c r="JO283" t="n">
        <v>1351</v>
      </c>
      <c r="JP283" t="n">
        <v>195</v>
      </c>
      <c r="JQ283" t="n">
        <v>389</v>
      </c>
      <c r="JR283" t="n">
        <v>240</v>
      </c>
      <c r="JS283" t="n">
        <v>2278</v>
      </c>
      <c r="JT283" t="n">
        <v>13</v>
      </c>
      <c r="JV283" t="n">
        <v>325</v>
      </c>
      <c r="JW283" t="n">
        <v>180</v>
      </c>
      <c r="JX283" t="n">
        <v>0</v>
      </c>
      <c r="JY283" t="n">
        <v>216</v>
      </c>
      <c r="JZ283" t="n">
        <v>159</v>
      </c>
      <c r="KA283" t="n">
        <v>38</v>
      </c>
      <c r="KB283" t="n">
        <v>78</v>
      </c>
      <c r="KC283" t="n">
        <v>5427</v>
      </c>
      <c r="KD283" t="n">
        <v>221</v>
      </c>
      <c r="KE283" t="n">
        <v>74</v>
      </c>
      <c r="KH283" t="n">
        <v>1</v>
      </c>
      <c r="KJ283" t="n">
        <v>5</v>
      </c>
      <c r="KN283" t="n">
        <v>8</v>
      </c>
      <c r="KO283" t="n">
        <v>13</v>
      </c>
      <c r="KP283" t="n">
        <v>66</v>
      </c>
      <c r="KQ283" t="n">
        <v>10</v>
      </c>
      <c r="KR283" t="n">
        <v>26</v>
      </c>
      <c r="KS283" t="n">
        <v>11</v>
      </c>
      <c r="KU283" t="n">
        <v>0</v>
      </c>
      <c r="KW283" t="n">
        <v>1750</v>
      </c>
      <c r="KX283" t="n">
        <v>251</v>
      </c>
      <c r="KY283" t="n">
        <v>12</v>
      </c>
      <c r="LA283" t="n">
        <v>0</v>
      </c>
      <c r="LN283" t="n">
        <v>764</v>
      </c>
      <c r="LO283" t="n">
        <v>7971</v>
      </c>
      <c r="LP283" t="n">
        <v>1840</v>
      </c>
      <c r="LT283" t="n">
        <v>59</v>
      </c>
      <c r="MH283" t="n">
        <v>14</v>
      </c>
      <c r="MM283" t="n">
        <v>43</v>
      </c>
      <c r="MO283" t="n">
        <v>28</v>
      </c>
      <c r="MQ283" t="n">
        <v>29</v>
      </c>
      <c r="MS283" t="n">
        <v>0</v>
      </c>
      <c r="MU283" t="n">
        <v>38</v>
      </c>
      <c r="MV283" t="n">
        <v>2</v>
      </c>
      <c r="MW283" t="n">
        <v>0</v>
      </c>
      <c r="MX283" t="n">
        <v>23</v>
      </c>
      <c r="MY283" t="n">
        <v>4</v>
      </c>
      <c r="MZ283" t="n">
        <v>24</v>
      </c>
      <c r="NK283" t="n">
        <v>33</v>
      </c>
      <c r="NM283" t="n">
        <v>12</v>
      </c>
      <c r="NO283" t="n">
        <v>1</v>
      </c>
      <c r="NP283" t="n">
        <v>2</v>
      </c>
      <c r="NR283" t="n">
        <v>2</v>
      </c>
      <c r="NS283" t="n">
        <v>10</v>
      </c>
      <c r="NT283" t="n">
        <v>40</v>
      </c>
      <c r="NY283" t="n">
        <v>0</v>
      </c>
      <c r="OO283" t="n">
        <v>33050</v>
      </c>
      <c r="OV283" t="n">
        <v>2385</v>
      </c>
      <c r="PI283" t="n">
        <v>35435</v>
      </c>
      <c r="PM283">
        <f>IFERROR(VLOOKUP($A283&amp;"",Key!$A:$C,3,FALSE),"")</f>
        <v/>
      </c>
    </row>
    <row r="284">
      <c r="A284" t="inlineStr">
        <is>
          <t>4200ID</t>
        </is>
      </c>
      <c r="B284" t="inlineStr">
        <is>
          <t>Customs duties</t>
        </is>
      </c>
      <c r="PM284">
        <f>IFERROR(VLOOKUP($A284&amp;"",Key!$A:$C,3,FALSE),"")</f>
        <v/>
      </c>
    </row>
    <row r="285">
      <c r="A285" t="inlineStr">
        <is>
          <t>441000</t>
        </is>
      </c>
      <c r="B285" t="inlineStr">
        <is>
          <t>Motor vehicle and parts dealers</t>
        </is>
      </c>
      <c r="PM285">
        <f>IFERROR(VLOOKUP($A285&amp;"",Key!$A:$C,3,FALSE),"")</f>
        <v/>
      </c>
    </row>
    <row r="286">
      <c r="A286" t="inlineStr">
        <is>
          <t>445000</t>
        </is>
      </c>
      <c r="B286" t="inlineStr">
        <is>
          <t>Food and beverage stores</t>
        </is>
      </c>
      <c r="PM286">
        <f>IFERROR(VLOOKUP($A286&amp;"",Key!$A:$C,3,FALSE),"")</f>
        <v/>
      </c>
    </row>
    <row r="287">
      <c r="A287" t="inlineStr">
        <is>
          <t>452000</t>
        </is>
      </c>
      <c r="B287" t="inlineStr">
        <is>
          <t>General merchandise stores</t>
        </is>
      </c>
      <c r="PM287">
        <f>IFERROR(VLOOKUP($A287&amp;"",Key!$A:$C,3,FALSE),"")</f>
        <v/>
      </c>
    </row>
    <row r="288">
      <c r="A288" t="inlineStr">
        <is>
          <t>444000</t>
        </is>
      </c>
      <c r="B288" t="inlineStr">
        <is>
          <t>Building material and garden equipment and supplies dealers</t>
        </is>
      </c>
      <c r="PM288">
        <f>IFERROR(VLOOKUP($A288&amp;"",Key!$A:$C,3,FALSE),"")</f>
        <v/>
      </c>
    </row>
    <row r="289">
      <c r="A289" t="inlineStr">
        <is>
          <t>446000</t>
        </is>
      </c>
      <c r="B289" t="inlineStr">
        <is>
          <t>Health and personal care stores</t>
        </is>
      </c>
      <c r="PM289">
        <f>IFERROR(VLOOKUP($A289&amp;"",Key!$A:$C,3,FALSE),"")</f>
        <v/>
      </c>
    </row>
    <row r="290">
      <c r="A290" t="inlineStr">
        <is>
          <t>447000</t>
        </is>
      </c>
      <c r="B290" t="inlineStr">
        <is>
          <t>Gasoline stations</t>
        </is>
      </c>
      <c r="PM290">
        <f>IFERROR(VLOOKUP($A290&amp;"",Key!$A:$C,3,FALSE),"")</f>
        <v/>
      </c>
    </row>
    <row r="291">
      <c r="A291" t="inlineStr">
        <is>
          <t>448000</t>
        </is>
      </c>
      <c r="B291" t="inlineStr">
        <is>
          <t>Clothing and clothing accessories stores</t>
        </is>
      </c>
      <c r="PM291">
        <f>IFERROR(VLOOKUP($A291&amp;"",Key!$A:$C,3,FALSE),"")</f>
        <v/>
      </c>
    </row>
    <row r="292">
      <c r="A292" t="n">
        <v>454000</v>
      </c>
      <c r="B292" t="inlineStr">
        <is>
          <t>Nonstore retailers</t>
        </is>
      </c>
      <c r="JV292" t="n">
        <v>338</v>
      </c>
      <c r="JX292" t="n">
        <v>401</v>
      </c>
      <c r="KC292" t="n">
        <v>158</v>
      </c>
      <c r="KD292" t="n">
        <v>140</v>
      </c>
      <c r="NR292" t="n">
        <v>0</v>
      </c>
      <c r="OO292" t="n">
        <v>1036</v>
      </c>
      <c r="OP292" t="n">
        <v>5974</v>
      </c>
      <c r="PI292" t="n">
        <v>7010</v>
      </c>
      <c r="PM292">
        <f>IFERROR(VLOOKUP($A292&amp;"",Key!$A:$C,3,FALSE),"")</f>
        <v/>
      </c>
    </row>
    <row r="293">
      <c r="A293" t="inlineStr">
        <is>
          <t>4B0000</t>
        </is>
      </c>
      <c r="B293" t="inlineStr">
        <is>
          <t>All other retail</t>
        </is>
      </c>
      <c r="PM293">
        <f>IFERROR(VLOOKUP($A293&amp;"",Key!$A:$C,3,FALSE),"")</f>
        <v/>
      </c>
    </row>
    <row r="294">
      <c r="A294" t="n">
        <v>481000</v>
      </c>
      <c r="B294" t="inlineStr">
        <is>
          <t>Air transportation</t>
        </is>
      </c>
      <c r="P294" t="n">
        <v>1</v>
      </c>
      <c r="Q294" t="n">
        <v>6</v>
      </c>
      <c r="S294" t="n">
        <v>0</v>
      </c>
      <c r="T294" t="n">
        <v>4</v>
      </c>
      <c r="U294" t="n">
        <v>3</v>
      </c>
      <c r="V294" t="n">
        <v>11</v>
      </c>
      <c r="W294" t="n">
        <v>329</v>
      </c>
      <c r="X294" t="n">
        <v>1079</v>
      </c>
      <c r="Y294" t="n">
        <v>187</v>
      </c>
      <c r="Z294" t="n">
        <v>10</v>
      </c>
      <c r="AC294" t="n">
        <v>384</v>
      </c>
      <c r="AD294" t="n">
        <v>37</v>
      </c>
      <c r="AM294" t="n">
        <v>34</v>
      </c>
      <c r="AN294" t="n">
        <v>23</v>
      </c>
      <c r="AO294" t="n">
        <v>25</v>
      </c>
      <c r="AP294" t="n">
        <v>42</v>
      </c>
      <c r="AQ294" t="n">
        <v>5</v>
      </c>
      <c r="AR294" t="n">
        <v>47</v>
      </c>
      <c r="AS294" t="n">
        <v>7</v>
      </c>
      <c r="AT294" t="n">
        <v>105</v>
      </c>
      <c r="AU294" t="n">
        <v>5</v>
      </c>
      <c r="AV294" t="n">
        <v>33</v>
      </c>
      <c r="AW294" t="n">
        <v>4</v>
      </c>
      <c r="AX294" t="n">
        <v>3</v>
      </c>
      <c r="AY294" t="n">
        <v>13</v>
      </c>
      <c r="AZ294" t="n">
        <v>3</v>
      </c>
      <c r="BA294" t="n">
        <v>13</v>
      </c>
      <c r="BB294" t="n">
        <v>16</v>
      </c>
      <c r="BC294" t="n">
        <v>89</v>
      </c>
      <c r="BD294" t="n">
        <v>19</v>
      </c>
      <c r="BE294" t="n">
        <v>3</v>
      </c>
      <c r="BG294" t="n">
        <v>14</v>
      </c>
      <c r="BH294" t="n">
        <v>2</v>
      </c>
      <c r="BI294" t="n">
        <v>8</v>
      </c>
      <c r="BJ294" t="n">
        <v>7</v>
      </c>
      <c r="BK294" t="n">
        <v>15</v>
      </c>
      <c r="BL294" t="n">
        <v>20</v>
      </c>
      <c r="BM294" t="n">
        <v>10</v>
      </c>
      <c r="BN294" t="n">
        <v>11</v>
      </c>
      <c r="BO294" t="n">
        <v>20</v>
      </c>
      <c r="BP294" t="n">
        <v>12</v>
      </c>
      <c r="BQ294" t="n">
        <v>91</v>
      </c>
      <c r="BR294" t="n">
        <v>53</v>
      </c>
      <c r="BS294" t="n">
        <v>6</v>
      </c>
      <c r="BT294" t="n">
        <v>11</v>
      </c>
      <c r="BU294" t="n">
        <v>8</v>
      </c>
      <c r="BV294" t="n">
        <v>14</v>
      </c>
      <c r="BW294" t="n">
        <v>15</v>
      </c>
      <c r="BX294" t="n">
        <v>86</v>
      </c>
      <c r="BY294" t="n">
        <v>57</v>
      </c>
      <c r="BZ294" t="n">
        <v>49</v>
      </c>
      <c r="CA294" t="n">
        <v>1</v>
      </c>
      <c r="CB294" t="n">
        <v>20</v>
      </c>
      <c r="CC294" t="n">
        <v>2</v>
      </c>
      <c r="CD294" t="n">
        <v>7</v>
      </c>
      <c r="CE294" t="n">
        <v>2</v>
      </c>
      <c r="CF294" t="n">
        <v>12</v>
      </c>
      <c r="CG294" t="n">
        <v>22</v>
      </c>
      <c r="CH294" t="n">
        <v>6</v>
      </c>
      <c r="CI294" t="n">
        <v>13</v>
      </c>
      <c r="CJ294" t="n">
        <v>33</v>
      </c>
      <c r="CK294" t="n">
        <v>12</v>
      </c>
      <c r="CL294" t="n">
        <v>31</v>
      </c>
      <c r="CM294" t="n">
        <v>10</v>
      </c>
      <c r="CO294" t="n">
        <v>28</v>
      </c>
      <c r="CP294" t="n">
        <v>9</v>
      </c>
      <c r="CQ294" t="n">
        <v>29</v>
      </c>
      <c r="CR294" t="n">
        <v>3</v>
      </c>
      <c r="CS294" t="n">
        <v>4</v>
      </c>
      <c r="CT294" t="n">
        <v>13</v>
      </c>
      <c r="CU294" t="n">
        <v>9</v>
      </c>
      <c r="CV294" t="n">
        <v>7</v>
      </c>
      <c r="CX294" t="n">
        <v>1</v>
      </c>
      <c r="CY294" t="n">
        <v>5</v>
      </c>
      <c r="CZ294" t="n">
        <v>42</v>
      </c>
      <c r="DA294" t="n">
        <v>8</v>
      </c>
      <c r="DB294" t="n">
        <v>9</v>
      </c>
      <c r="DC294" t="n">
        <v>13</v>
      </c>
      <c r="DE294" t="n">
        <v>12</v>
      </c>
      <c r="DF294" t="n">
        <v>2</v>
      </c>
      <c r="DG294" t="n">
        <v>21</v>
      </c>
      <c r="DH294" t="n">
        <v>4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1</v>
      </c>
      <c r="DR294" t="n">
        <v>33</v>
      </c>
      <c r="DS294" t="n">
        <v>2</v>
      </c>
      <c r="DU294" t="n">
        <v>4</v>
      </c>
      <c r="DV294" t="n">
        <v>1</v>
      </c>
      <c r="DW294" t="n">
        <v>4</v>
      </c>
      <c r="DX294" t="n">
        <v>11</v>
      </c>
      <c r="DY294" t="n">
        <v>1</v>
      </c>
      <c r="DZ294" t="n">
        <v>12</v>
      </c>
      <c r="EB294" t="n">
        <v>0</v>
      </c>
      <c r="ED294" t="n">
        <v>8</v>
      </c>
      <c r="EE294" t="n">
        <v>1</v>
      </c>
      <c r="EG294" t="n">
        <v>0</v>
      </c>
      <c r="EI294" t="n">
        <v>3</v>
      </c>
      <c r="EJ294" t="n">
        <v>0</v>
      </c>
      <c r="EK294" t="n">
        <v>2</v>
      </c>
      <c r="EL294" t="n">
        <v>0</v>
      </c>
      <c r="EM294" t="n">
        <v>5</v>
      </c>
      <c r="EN294" t="n">
        <v>4</v>
      </c>
      <c r="EP294" t="n">
        <v>9</v>
      </c>
      <c r="EQ294" t="n">
        <v>13</v>
      </c>
      <c r="ER294" t="n">
        <v>17</v>
      </c>
      <c r="ET294" t="n">
        <v>14</v>
      </c>
      <c r="EU294" t="n">
        <v>3</v>
      </c>
      <c r="EW294" t="n">
        <v>16</v>
      </c>
      <c r="EX294" t="n">
        <v>19</v>
      </c>
      <c r="EY294" t="n">
        <v>11</v>
      </c>
      <c r="EZ294" t="n">
        <v>19</v>
      </c>
      <c r="FA294" t="n">
        <v>18</v>
      </c>
      <c r="FB294" t="n">
        <v>67</v>
      </c>
      <c r="FC294" t="n">
        <v>31</v>
      </c>
      <c r="FD294" t="n">
        <v>20</v>
      </c>
      <c r="FE294" t="n">
        <v>11</v>
      </c>
      <c r="FF294" t="n">
        <v>29</v>
      </c>
      <c r="FG294" t="n">
        <v>33</v>
      </c>
      <c r="FJ294" t="n">
        <v>31</v>
      </c>
      <c r="FK294" t="n">
        <v>28</v>
      </c>
      <c r="FL294" t="n">
        <v>6</v>
      </c>
      <c r="FM294" t="n">
        <v>3</v>
      </c>
      <c r="FP294" t="n">
        <v>51</v>
      </c>
      <c r="FQ294" t="n">
        <v>9</v>
      </c>
      <c r="FR294" t="n">
        <v>5</v>
      </c>
      <c r="FS294" t="n">
        <v>14</v>
      </c>
      <c r="FT294" t="n">
        <v>8</v>
      </c>
      <c r="FU294" t="n">
        <v>10</v>
      </c>
      <c r="FV294" t="n">
        <v>47</v>
      </c>
      <c r="FW294" t="n">
        <v>13</v>
      </c>
      <c r="FX294" t="n">
        <v>23</v>
      </c>
      <c r="FY294" t="n">
        <v>73</v>
      </c>
      <c r="FZ294" t="n">
        <v>5</v>
      </c>
      <c r="GA294" t="n">
        <v>0</v>
      </c>
      <c r="GB294" t="n">
        <v>6</v>
      </c>
      <c r="GC294" t="n">
        <v>16</v>
      </c>
      <c r="GD294" t="n">
        <v>21</v>
      </c>
      <c r="GE294" t="n">
        <v>0</v>
      </c>
      <c r="GF294" t="n">
        <v>2</v>
      </c>
      <c r="GG294" t="n">
        <v>30</v>
      </c>
      <c r="GH294" t="n">
        <v>27</v>
      </c>
      <c r="GI294" t="n">
        <v>7</v>
      </c>
      <c r="GJ294" t="n">
        <v>29</v>
      </c>
      <c r="GK294" t="n">
        <v>5</v>
      </c>
      <c r="GL294" t="n">
        <v>3</v>
      </c>
      <c r="GM294" t="n">
        <v>0</v>
      </c>
      <c r="GN294" t="n">
        <v>0</v>
      </c>
      <c r="GO294" t="n">
        <v>0</v>
      </c>
      <c r="GP294" t="n">
        <v>10</v>
      </c>
      <c r="GQ294" t="n">
        <v>3</v>
      </c>
      <c r="GR294" t="n">
        <v>10</v>
      </c>
      <c r="GS294" t="n">
        <v>7</v>
      </c>
      <c r="GT294" t="n">
        <v>3</v>
      </c>
      <c r="GU294" t="n">
        <v>37</v>
      </c>
      <c r="GV294" t="n">
        <v>2</v>
      </c>
      <c r="GW294" t="n">
        <v>45</v>
      </c>
      <c r="GX294" t="n">
        <v>53</v>
      </c>
      <c r="GY294" t="n">
        <v>6</v>
      </c>
      <c r="GZ294" t="n">
        <v>147</v>
      </c>
      <c r="HA294" t="n">
        <v>26</v>
      </c>
      <c r="HB294" t="n">
        <v>4</v>
      </c>
      <c r="HC294" t="n">
        <v>5</v>
      </c>
      <c r="HD294" t="n">
        <v>9</v>
      </c>
      <c r="HE294" t="n">
        <v>20</v>
      </c>
      <c r="HF294" t="n">
        <v>16</v>
      </c>
      <c r="HG294" t="n">
        <v>38</v>
      </c>
      <c r="HH294" t="n">
        <v>9</v>
      </c>
      <c r="HI294" t="n">
        <v>13</v>
      </c>
      <c r="HJ294" t="n">
        <v>1</v>
      </c>
      <c r="HK294" t="n">
        <v>6</v>
      </c>
      <c r="HL294" t="n">
        <v>2</v>
      </c>
      <c r="HM294" t="n">
        <v>7</v>
      </c>
      <c r="HN294" t="n">
        <v>5</v>
      </c>
      <c r="HO294" t="n">
        <v>1</v>
      </c>
      <c r="HP294" t="n">
        <v>0</v>
      </c>
      <c r="HQ294" t="n">
        <v>8</v>
      </c>
      <c r="HR294" t="n">
        <v>2</v>
      </c>
      <c r="HS294" t="n">
        <v>1</v>
      </c>
      <c r="HT294" t="n">
        <v>7</v>
      </c>
      <c r="HU294" t="n">
        <v>14</v>
      </c>
      <c r="HV294" t="n">
        <v>16</v>
      </c>
      <c r="HW294" t="n">
        <v>111</v>
      </c>
      <c r="HX294" t="n">
        <v>11</v>
      </c>
      <c r="HY294" t="n">
        <v>7</v>
      </c>
      <c r="HZ294" t="n">
        <v>3</v>
      </c>
      <c r="IA294" t="n">
        <v>1</v>
      </c>
      <c r="IB294" t="n">
        <v>223</v>
      </c>
      <c r="IC294" t="n">
        <v>3</v>
      </c>
      <c r="ID294" t="n">
        <v>97</v>
      </c>
      <c r="IE294" t="n">
        <v>18</v>
      </c>
      <c r="IF294" t="n">
        <v>4</v>
      </c>
      <c r="IG294" t="n">
        <v>3</v>
      </c>
      <c r="II294" t="n">
        <v>2</v>
      </c>
      <c r="IJ294" t="n">
        <v>1</v>
      </c>
      <c r="IK294" t="n">
        <v>24</v>
      </c>
      <c r="IL294" t="n">
        <v>143</v>
      </c>
      <c r="IM294" t="n">
        <v>62</v>
      </c>
      <c r="IN294" t="n">
        <v>7</v>
      </c>
      <c r="IO294" t="n">
        <v>1</v>
      </c>
      <c r="IP294" t="n">
        <v>2</v>
      </c>
      <c r="IQ294" t="n">
        <v>8</v>
      </c>
      <c r="IR294" t="n">
        <v>0</v>
      </c>
      <c r="IS294" t="n">
        <v>4</v>
      </c>
      <c r="IT294" t="n">
        <v>2</v>
      </c>
      <c r="IU294" t="n">
        <v>12</v>
      </c>
      <c r="IV294" t="n">
        <v>6</v>
      </c>
      <c r="IW294" t="n">
        <v>10</v>
      </c>
      <c r="IY294" t="n">
        <v>0</v>
      </c>
      <c r="IZ294" t="n">
        <v>16</v>
      </c>
      <c r="JA294" t="n">
        <v>85</v>
      </c>
      <c r="JB294" t="n">
        <v>8</v>
      </c>
      <c r="JC294" t="n">
        <v>1</v>
      </c>
      <c r="JD294" t="n">
        <v>84</v>
      </c>
      <c r="JE294" t="n">
        <v>13</v>
      </c>
      <c r="JF294" t="n">
        <v>5</v>
      </c>
      <c r="JG294" t="n">
        <v>206</v>
      </c>
      <c r="JH294" t="n">
        <v>14</v>
      </c>
      <c r="JI294" t="n">
        <v>6</v>
      </c>
      <c r="JJ294" t="n">
        <v>19</v>
      </c>
      <c r="JK294" t="n">
        <v>3276</v>
      </c>
      <c r="JL294" t="n">
        <v>709</v>
      </c>
      <c r="JM294" t="n">
        <v>1079</v>
      </c>
      <c r="JN294" t="n">
        <v>1114</v>
      </c>
      <c r="JO294" t="n">
        <v>1644</v>
      </c>
      <c r="JP294" t="n">
        <v>344</v>
      </c>
      <c r="JQ294" t="n">
        <v>637</v>
      </c>
      <c r="JR294" t="n">
        <v>31</v>
      </c>
      <c r="JS294" t="n">
        <v>1362</v>
      </c>
      <c r="JT294" t="n">
        <v>125</v>
      </c>
      <c r="JV294" t="n">
        <v>275</v>
      </c>
      <c r="JW294" t="n">
        <v>67</v>
      </c>
      <c r="JX294" t="n">
        <v>93</v>
      </c>
      <c r="JY294" t="n">
        <v>56</v>
      </c>
      <c r="JZ294" t="n">
        <v>33</v>
      </c>
      <c r="KA294" t="n">
        <v>29</v>
      </c>
      <c r="KB294" t="n">
        <v>37</v>
      </c>
      <c r="KC294" t="n">
        <v>190</v>
      </c>
      <c r="KD294" t="n">
        <v>52</v>
      </c>
      <c r="KE294" t="n">
        <v>322</v>
      </c>
      <c r="KF294" t="n">
        <v>25</v>
      </c>
      <c r="KG294" t="n">
        <v>224</v>
      </c>
      <c r="KH294" t="n">
        <v>3552</v>
      </c>
      <c r="KI294" t="n">
        <v>48</v>
      </c>
      <c r="KJ294" t="n">
        <v>3</v>
      </c>
      <c r="KK294" t="n">
        <v>1560</v>
      </c>
      <c r="KL294" t="n">
        <v>59</v>
      </c>
      <c r="KM294" t="n">
        <v>518</v>
      </c>
      <c r="KN294" t="n">
        <v>55</v>
      </c>
      <c r="KO294" t="n">
        <v>98</v>
      </c>
      <c r="KP294" t="n">
        <v>145</v>
      </c>
      <c r="KQ294" t="n">
        <v>35</v>
      </c>
      <c r="KR294" t="n">
        <v>310</v>
      </c>
      <c r="KS294" t="n">
        <v>164</v>
      </c>
      <c r="KT294" t="n">
        <v>53</v>
      </c>
      <c r="KU294" t="n">
        <v>9</v>
      </c>
      <c r="KV294" t="n">
        <v>24</v>
      </c>
      <c r="KW294" t="n">
        <v>164</v>
      </c>
      <c r="KX294" t="n">
        <v>454</v>
      </c>
      <c r="KY294" t="n">
        <v>225</v>
      </c>
      <c r="KZ294" t="n">
        <v>1646</v>
      </c>
      <c r="LA294" t="n">
        <v>416</v>
      </c>
      <c r="LB294" t="n">
        <v>0</v>
      </c>
      <c r="LC294" t="n">
        <v>2988</v>
      </c>
      <c r="LD294" t="n">
        <v>4142</v>
      </c>
      <c r="LE294" t="n">
        <v>3193</v>
      </c>
      <c r="LF294" t="n">
        <v>361</v>
      </c>
      <c r="LH294" t="n">
        <v>37</v>
      </c>
      <c r="LI294" t="n">
        <v>119</v>
      </c>
      <c r="LJ294" t="n">
        <v>804</v>
      </c>
      <c r="LL294" t="n">
        <v>18</v>
      </c>
      <c r="LM294" t="n">
        <v>14885</v>
      </c>
      <c r="LN294" t="n">
        <v>558</v>
      </c>
      <c r="LO294" t="n">
        <v>767</v>
      </c>
      <c r="LP294" t="n">
        <v>135</v>
      </c>
      <c r="LQ294" t="n">
        <v>67</v>
      </c>
      <c r="LR294" t="n">
        <v>1266</v>
      </c>
      <c r="LS294" t="n">
        <v>429</v>
      </c>
      <c r="LT294" t="n">
        <v>3321</v>
      </c>
      <c r="LU294" t="n">
        <v>1090</v>
      </c>
      <c r="LV294" t="n">
        <v>1342</v>
      </c>
      <c r="LW294" t="n">
        <v>1554</v>
      </c>
      <c r="LX294" t="n">
        <v>957</v>
      </c>
      <c r="LY294" t="n">
        <v>297</v>
      </c>
      <c r="LZ294" t="n">
        <v>590</v>
      </c>
      <c r="MA294" t="n">
        <v>481</v>
      </c>
      <c r="MB294" t="n">
        <v>123</v>
      </c>
      <c r="MC294" t="n">
        <v>94</v>
      </c>
      <c r="MD294" t="n">
        <v>130</v>
      </c>
      <c r="ME294" t="n">
        <v>271</v>
      </c>
      <c r="MF294" t="n">
        <v>547</v>
      </c>
      <c r="MG294" t="n">
        <v>2827</v>
      </c>
      <c r="MH294" t="n">
        <v>927</v>
      </c>
      <c r="MI294" t="n">
        <v>226</v>
      </c>
      <c r="MJ294" t="n">
        <v>172</v>
      </c>
      <c r="MK294" t="n">
        <v>693</v>
      </c>
      <c r="ML294" t="n">
        <v>439</v>
      </c>
      <c r="MM294" t="n">
        <v>453</v>
      </c>
      <c r="MN294" t="n">
        <v>272</v>
      </c>
      <c r="MO294" t="n">
        <v>593</v>
      </c>
      <c r="MP294" t="n">
        <v>38</v>
      </c>
      <c r="MQ294" t="n">
        <v>773</v>
      </c>
      <c r="MR294" t="n">
        <v>188</v>
      </c>
      <c r="MS294" t="n">
        <v>2081</v>
      </c>
      <c r="MT294" t="n">
        <v>259</v>
      </c>
      <c r="MU294" t="n">
        <v>201</v>
      </c>
      <c r="MV294" t="n">
        <v>258</v>
      </c>
      <c r="MW294" t="n">
        <v>64</v>
      </c>
      <c r="MX294" t="n">
        <v>214</v>
      </c>
      <c r="MY294" t="n">
        <v>87</v>
      </c>
      <c r="MZ294" t="n">
        <v>361</v>
      </c>
      <c r="NA294" t="n">
        <v>304</v>
      </c>
      <c r="NB294" t="n">
        <v>55</v>
      </c>
      <c r="NC294" t="n">
        <v>453</v>
      </c>
      <c r="ND294" t="n">
        <v>115</v>
      </c>
      <c r="NE294" t="n">
        <v>138</v>
      </c>
      <c r="NF294" t="n">
        <v>19</v>
      </c>
      <c r="NG294" t="n">
        <v>41</v>
      </c>
      <c r="NH294" t="n">
        <v>9</v>
      </c>
      <c r="NI294" t="n">
        <v>92</v>
      </c>
      <c r="NJ294" t="n">
        <v>9</v>
      </c>
      <c r="NK294" t="n">
        <v>19</v>
      </c>
      <c r="NL294" t="n">
        <v>122</v>
      </c>
      <c r="NM294" t="n">
        <v>95</v>
      </c>
      <c r="NN294" t="n">
        <v>244</v>
      </c>
      <c r="NO294" t="n">
        <v>734</v>
      </c>
      <c r="NP294" t="n">
        <v>1054</v>
      </c>
      <c r="NQ294" t="n">
        <v>259</v>
      </c>
      <c r="NR294" t="n">
        <v>61</v>
      </c>
      <c r="NS294" t="n">
        <v>22</v>
      </c>
      <c r="NT294" t="n">
        <v>60</v>
      </c>
      <c r="NU294" t="n">
        <v>15</v>
      </c>
      <c r="NV294" t="n">
        <v>145</v>
      </c>
      <c r="NW294" t="n">
        <v>0</v>
      </c>
      <c r="NX294" t="n">
        <v>25</v>
      </c>
      <c r="NY294" t="n">
        <v>92</v>
      </c>
      <c r="OA294" t="n">
        <v>415</v>
      </c>
      <c r="OB294" t="n">
        <v>177</v>
      </c>
      <c r="OD294" t="n">
        <v>5851</v>
      </c>
      <c r="OE294" t="n">
        <v>4138</v>
      </c>
      <c r="OF294" t="n">
        <v>308</v>
      </c>
      <c r="OG294" t="n">
        <v>11</v>
      </c>
      <c r="OH294" t="n">
        <v>61</v>
      </c>
      <c r="OI294" t="n">
        <v>952</v>
      </c>
      <c r="OJ294" t="n">
        <v>980</v>
      </c>
      <c r="OK294" t="n">
        <v>2178</v>
      </c>
      <c r="OL294" t="n">
        <v>11</v>
      </c>
      <c r="OM294" t="n">
        <v>3</v>
      </c>
      <c r="ON294" t="n">
        <v>72</v>
      </c>
      <c r="OO294" t="n">
        <v>98387</v>
      </c>
      <c r="OP294" t="n">
        <v>129785</v>
      </c>
      <c r="OV294" t="n">
        <v>42609</v>
      </c>
      <c r="PI294" t="n">
        <v>270780</v>
      </c>
      <c r="PM294">
        <f>IFERROR(VLOOKUP($A294&amp;"",Key!$A:$C,3,FALSE),"")</f>
        <v/>
      </c>
    </row>
    <row r="295">
      <c r="A295" t="n">
        <v>482000</v>
      </c>
      <c r="B295" t="inlineStr">
        <is>
          <t>Rail transportation</t>
        </is>
      </c>
      <c r="Y295" t="n">
        <v>105</v>
      </c>
      <c r="AC295" t="n">
        <v>1</v>
      </c>
      <c r="FY295" t="n">
        <v>1</v>
      </c>
      <c r="IB295" t="n">
        <v>1</v>
      </c>
      <c r="JK295" t="n">
        <v>12</v>
      </c>
      <c r="JL295" t="n">
        <v>7</v>
      </c>
      <c r="JM295" t="n">
        <v>12</v>
      </c>
      <c r="JN295" t="n">
        <v>22</v>
      </c>
      <c r="JO295" t="n">
        <v>11</v>
      </c>
      <c r="JP295" t="n">
        <v>2</v>
      </c>
      <c r="JQ295" t="n">
        <v>18</v>
      </c>
      <c r="JS295" t="n">
        <v>25</v>
      </c>
      <c r="JV295" t="n">
        <v>6</v>
      </c>
      <c r="JW295" t="n">
        <v>7</v>
      </c>
      <c r="JY295" t="n">
        <v>9</v>
      </c>
      <c r="KA295" t="n">
        <v>13</v>
      </c>
      <c r="KC295" t="n">
        <v>14</v>
      </c>
      <c r="KF295" t="n">
        <v>27</v>
      </c>
      <c r="KH295" t="n">
        <v>4219</v>
      </c>
      <c r="KJ295" t="n">
        <v>1</v>
      </c>
      <c r="KK295" t="n">
        <v>153</v>
      </c>
      <c r="KL295" t="n">
        <v>0</v>
      </c>
      <c r="KM295" t="n">
        <v>5</v>
      </c>
      <c r="KW295" t="n">
        <v>257</v>
      </c>
      <c r="KX295" t="n">
        <v>45</v>
      </c>
      <c r="KY295" t="n">
        <v>1</v>
      </c>
      <c r="KZ295" t="n">
        <v>1</v>
      </c>
      <c r="LC295" t="n">
        <v>6</v>
      </c>
      <c r="LD295" t="n">
        <v>7</v>
      </c>
      <c r="LE295" t="n">
        <v>5</v>
      </c>
      <c r="LF295" t="n">
        <v>1</v>
      </c>
      <c r="LH295" t="n">
        <v>135</v>
      </c>
      <c r="LI295" t="n">
        <v>0</v>
      </c>
      <c r="LO295" t="n">
        <v>9</v>
      </c>
      <c r="LR295" t="n">
        <v>31</v>
      </c>
      <c r="LU295" t="n">
        <v>16</v>
      </c>
      <c r="LV295" t="n">
        <v>29</v>
      </c>
      <c r="LX295" t="n">
        <v>142</v>
      </c>
      <c r="LY295" t="n">
        <v>7</v>
      </c>
      <c r="LZ295" t="n">
        <v>43</v>
      </c>
      <c r="MA295" t="n">
        <v>18</v>
      </c>
      <c r="ME295" t="n">
        <v>19</v>
      </c>
      <c r="MF295" t="n">
        <v>2</v>
      </c>
      <c r="MG295" t="n">
        <v>10</v>
      </c>
      <c r="MH295" t="n">
        <v>5</v>
      </c>
      <c r="MI295" t="n">
        <v>24</v>
      </c>
      <c r="MK295" t="n">
        <v>4</v>
      </c>
      <c r="ML295" t="n">
        <v>25</v>
      </c>
      <c r="MN295" t="n">
        <v>15</v>
      </c>
      <c r="MW295" t="n">
        <v>7</v>
      </c>
      <c r="MZ295" t="n">
        <v>21</v>
      </c>
      <c r="NR295" t="n">
        <v>1</v>
      </c>
      <c r="OB295" t="n">
        <v>10</v>
      </c>
      <c r="OD295" t="n">
        <v>108</v>
      </c>
      <c r="OE295" t="n">
        <v>83</v>
      </c>
      <c r="OF295" t="n">
        <v>841</v>
      </c>
      <c r="OI295" t="n">
        <v>36</v>
      </c>
      <c r="OJ295" t="n">
        <v>4</v>
      </c>
      <c r="OK295" t="n">
        <v>212</v>
      </c>
      <c r="OO295" t="n">
        <v>6850</v>
      </c>
      <c r="OP295" t="n">
        <v>1458</v>
      </c>
      <c r="OV295" t="n">
        <v>1358</v>
      </c>
      <c r="PI295" t="n">
        <v>9666</v>
      </c>
      <c r="PM295">
        <f>IFERROR(VLOOKUP($A295&amp;"",Key!$A:$C,3,FALSE),"")</f>
        <v/>
      </c>
    </row>
    <row r="296">
      <c r="A296" t="n">
        <v>483000</v>
      </c>
      <c r="B296" t="inlineStr">
        <is>
          <t>Water transportation</t>
        </is>
      </c>
      <c r="Y296" t="n">
        <v>10</v>
      </c>
      <c r="AA296" t="n">
        <v>3</v>
      </c>
      <c r="AE296" t="n">
        <v>1</v>
      </c>
      <c r="AH296" t="n">
        <v>2</v>
      </c>
      <c r="AL296" t="n">
        <v>2</v>
      </c>
      <c r="IL296" t="n">
        <v>3</v>
      </c>
      <c r="JS296" t="n">
        <v>16</v>
      </c>
      <c r="JV296" t="n">
        <v>6</v>
      </c>
      <c r="KJ296" t="n">
        <v>1</v>
      </c>
      <c r="KU296" t="n">
        <v>1</v>
      </c>
      <c r="LW296" t="n">
        <v>2</v>
      </c>
      <c r="LY296" t="n">
        <v>4</v>
      </c>
      <c r="LZ296" t="n">
        <v>1066</v>
      </c>
      <c r="MB296" t="n">
        <v>4</v>
      </c>
      <c r="MF296" t="n">
        <v>85</v>
      </c>
      <c r="MN296" t="n">
        <v>5</v>
      </c>
      <c r="MO296" t="n">
        <v>5</v>
      </c>
      <c r="MQ296" t="n">
        <v>232</v>
      </c>
      <c r="MW296" t="n">
        <v>2</v>
      </c>
      <c r="MY296" t="n">
        <v>3</v>
      </c>
      <c r="MZ296" t="n">
        <v>47</v>
      </c>
      <c r="NC296" t="n">
        <v>6</v>
      </c>
      <c r="NG296" t="n">
        <v>1</v>
      </c>
      <c r="NR296" t="n">
        <v>1</v>
      </c>
      <c r="NT296" t="n">
        <v>2</v>
      </c>
      <c r="NV296" t="n">
        <v>3</v>
      </c>
      <c r="NY296" t="n">
        <v>2</v>
      </c>
      <c r="OD296" t="n">
        <v>1191</v>
      </c>
      <c r="OE296" t="n">
        <v>118</v>
      </c>
      <c r="OF296" t="n">
        <v>887</v>
      </c>
      <c r="OK296" t="n">
        <v>118</v>
      </c>
      <c r="OO296" t="n">
        <v>3826</v>
      </c>
      <c r="OP296" t="n">
        <v>22027</v>
      </c>
      <c r="OV296" t="n">
        <v>4858</v>
      </c>
      <c r="PI296" t="n">
        <v>30710</v>
      </c>
      <c r="PM296">
        <f>IFERROR(VLOOKUP($A296&amp;"",Key!$A:$C,3,FALSE),"")</f>
        <v/>
      </c>
    </row>
    <row r="297">
      <c r="A297" t="n">
        <v>484000</v>
      </c>
      <c r="B297" t="inlineStr">
        <is>
          <t>Truck transportation</t>
        </is>
      </c>
      <c r="C297" t="n">
        <v>0</v>
      </c>
      <c r="D297" t="n">
        <v>11</v>
      </c>
      <c r="E297" t="n">
        <v>6</v>
      </c>
      <c r="F297" t="n">
        <v>9</v>
      </c>
      <c r="H297" t="n">
        <v>9</v>
      </c>
      <c r="I297" t="n">
        <v>13</v>
      </c>
      <c r="K297" t="n">
        <v>64</v>
      </c>
      <c r="L297" t="n">
        <v>22</v>
      </c>
      <c r="V297" t="n">
        <v>39</v>
      </c>
      <c r="W297" t="n">
        <v>87</v>
      </c>
      <c r="AM297" t="n">
        <v>15</v>
      </c>
      <c r="AN297" t="n">
        <v>12</v>
      </c>
      <c r="AO297" t="n">
        <v>18</v>
      </c>
      <c r="AP297" t="n">
        <v>25</v>
      </c>
      <c r="AR297" t="n">
        <v>25</v>
      </c>
      <c r="AS297" t="n">
        <v>7</v>
      </c>
      <c r="AT297" t="n">
        <v>28</v>
      </c>
      <c r="AU297" t="n">
        <v>10</v>
      </c>
      <c r="AV297" t="n">
        <v>14</v>
      </c>
      <c r="BC297" t="n">
        <v>40</v>
      </c>
      <c r="BG297" t="n">
        <v>21</v>
      </c>
      <c r="BK297" t="n">
        <v>27</v>
      </c>
      <c r="BM297" t="n">
        <v>5</v>
      </c>
      <c r="BN297" t="n">
        <v>9</v>
      </c>
      <c r="BO297" t="n">
        <v>17</v>
      </c>
      <c r="BP297" t="n">
        <v>15</v>
      </c>
      <c r="BQ297" t="n">
        <v>40</v>
      </c>
      <c r="BR297" t="n">
        <v>42</v>
      </c>
      <c r="BS297" t="n">
        <v>5</v>
      </c>
      <c r="BT297" t="n">
        <v>5</v>
      </c>
      <c r="BU297" t="n">
        <v>7</v>
      </c>
      <c r="BV297" t="n">
        <v>13</v>
      </c>
      <c r="BW297" t="n">
        <v>10</v>
      </c>
      <c r="BX297" t="n">
        <v>42</v>
      </c>
      <c r="BY297" t="n">
        <v>32</v>
      </c>
      <c r="BZ297" t="n">
        <v>28</v>
      </c>
      <c r="CA297" t="n">
        <v>5</v>
      </c>
      <c r="CB297" t="n">
        <v>19</v>
      </c>
      <c r="CC297" t="n">
        <v>6</v>
      </c>
      <c r="CD297" t="n">
        <v>4</v>
      </c>
      <c r="CE297" t="n">
        <v>6</v>
      </c>
      <c r="CF297" t="n">
        <v>15</v>
      </c>
      <c r="CG297" t="n">
        <v>10</v>
      </c>
      <c r="CH297" t="n">
        <v>2</v>
      </c>
      <c r="CI297" t="n">
        <v>8</v>
      </c>
      <c r="CJ297" t="n">
        <v>10</v>
      </c>
      <c r="CK297" t="n">
        <v>4</v>
      </c>
      <c r="CL297" t="n">
        <v>25</v>
      </c>
      <c r="CM297" t="n">
        <v>3</v>
      </c>
      <c r="CN297" t="n">
        <v>1</v>
      </c>
      <c r="CO297" t="n">
        <v>11</v>
      </c>
      <c r="CP297" t="n">
        <v>3</v>
      </c>
      <c r="CQ297" t="n">
        <v>17</v>
      </c>
      <c r="CS297" t="n">
        <v>7</v>
      </c>
      <c r="CT297" t="n">
        <v>8</v>
      </c>
      <c r="CU297" t="n">
        <v>5</v>
      </c>
      <c r="CV297" t="n">
        <v>4</v>
      </c>
      <c r="CW297" t="n">
        <v>5</v>
      </c>
      <c r="CY297" t="n">
        <v>2</v>
      </c>
      <c r="CZ297" t="n">
        <v>11</v>
      </c>
      <c r="DA297" t="n">
        <v>3</v>
      </c>
      <c r="DB297" t="n">
        <v>8</v>
      </c>
      <c r="DC297" t="n">
        <v>14</v>
      </c>
      <c r="DE297" t="n">
        <v>4</v>
      </c>
      <c r="DG297" t="n">
        <v>17</v>
      </c>
      <c r="DH297" t="n">
        <v>6</v>
      </c>
      <c r="DI297" t="n">
        <v>0</v>
      </c>
      <c r="DJ297" t="n">
        <v>0</v>
      </c>
      <c r="DK297" t="n">
        <v>0</v>
      </c>
      <c r="DL297" t="n">
        <v>2</v>
      </c>
      <c r="DM297" t="n">
        <v>3</v>
      </c>
      <c r="DN297" t="n">
        <v>1</v>
      </c>
      <c r="DO297" t="n">
        <v>5</v>
      </c>
      <c r="DP297" t="n">
        <v>2</v>
      </c>
      <c r="DQ297" t="n">
        <v>4</v>
      </c>
      <c r="DR297" t="n">
        <v>7</v>
      </c>
      <c r="DS297" t="n">
        <v>13</v>
      </c>
      <c r="DT297" t="n">
        <v>1</v>
      </c>
      <c r="DU297" t="n">
        <v>2</v>
      </c>
      <c r="DV297" t="n">
        <v>1</v>
      </c>
      <c r="DW297" t="n">
        <v>27</v>
      </c>
      <c r="DX297" t="n">
        <v>4</v>
      </c>
      <c r="DY297" t="n">
        <v>1</v>
      </c>
      <c r="DZ297" t="n">
        <v>2</v>
      </c>
      <c r="EA297" t="n">
        <v>0</v>
      </c>
      <c r="EB297" t="n">
        <v>1</v>
      </c>
      <c r="EH297" t="n">
        <v>13</v>
      </c>
      <c r="EJ297" t="n">
        <v>17</v>
      </c>
      <c r="EP297" t="n">
        <v>23</v>
      </c>
      <c r="EQ297" t="n">
        <v>3</v>
      </c>
      <c r="ER297" t="n">
        <v>16</v>
      </c>
      <c r="EX297" t="n">
        <v>14</v>
      </c>
      <c r="EY297" t="n">
        <v>10</v>
      </c>
      <c r="EZ297" t="n">
        <v>10</v>
      </c>
      <c r="FA297" t="n">
        <v>13</v>
      </c>
      <c r="FB297" t="n">
        <v>9</v>
      </c>
      <c r="FC297" t="n">
        <v>8</v>
      </c>
      <c r="FD297" t="n">
        <v>4</v>
      </c>
      <c r="FE297" t="n">
        <v>15</v>
      </c>
      <c r="FF297" t="n">
        <v>26</v>
      </c>
      <c r="FG297" t="n">
        <v>11</v>
      </c>
      <c r="FH297" t="n">
        <v>19</v>
      </c>
      <c r="FI297" t="n">
        <v>9</v>
      </c>
      <c r="FK297" t="n">
        <v>12</v>
      </c>
      <c r="FP297" t="n">
        <v>18</v>
      </c>
      <c r="FQ297" t="n">
        <v>23</v>
      </c>
      <c r="FR297" t="n">
        <v>9</v>
      </c>
      <c r="FS297" t="n">
        <v>12</v>
      </c>
      <c r="FT297" t="n">
        <v>0</v>
      </c>
      <c r="FU297" t="n">
        <v>13</v>
      </c>
      <c r="FX297" t="n">
        <v>40</v>
      </c>
      <c r="FY297" t="n">
        <v>43</v>
      </c>
      <c r="FZ297" t="n">
        <v>8</v>
      </c>
      <c r="GA297" t="n">
        <v>5</v>
      </c>
      <c r="GB297" t="n">
        <v>16</v>
      </c>
      <c r="GC297" t="n">
        <v>10</v>
      </c>
      <c r="GD297" t="n">
        <v>18</v>
      </c>
      <c r="GE297" t="n">
        <v>1</v>
      </c>
      <c r="GF297" t="n">
        <v>5</v>
      </c>
      <c r="GG297" t="n">
        <v>23</v>
      </c>
      <c r="GH297" t="n">
        <v>36</v>
      </c>
      <c r="GQ297" t="n">
        <v>8</v>
      </c>
      <c r="GR297" t="n">
        <v>12</v>
      </c>
      <c r="GU297" t="n">
        <v>7</v>
      </c>
      <c r="GW297" t="n">
        <v>11</v>
      </c>
      <c r="GX297" t="n">
        <v>25</v>
      </c>
      <c r="GY297" t="n">
        <v>3</v>
      </c>
      <c r="GZ297" t="n">
        <v>19</v>
      </c>
      <c r="HA297" t="n">
        <v>5</v>
      </c>
      <c r="HF297" t="n">
        <v>7</v>
      </c>
      <c r="HG297" t="n">
        <v>35</v>
      </c>
      <c r="HI297" t="n">
        <v>15</v>
      </c>
      <c r="HL297" t="n">
        <v>8</v>
      </c>
      <c r="HM297" t="n">
        <v>7</v>
      </c>
      <c r="HN297" t="n">
        <v>6</v>
      </c>
      <c r="HP297" t="n">
        <v>3</v>
      </c>
      <c r="HQ297" t="n">
        <v>7</v>
      </c>
      <c r="HR297" t="n">
        <v>6</v>
      </c>
      <c r="HS297" t="n">
        <v>0</v>
      </c>
      <c r="HT297" t="n">
        <v>4</v>
      </c>
      <c r="HU297" t="n">
        <v>41</v>
      </c>
      <c r="HV297" t="n">
        <v>22</v>
      </c>
      <c r="HW297" t="n">
        <v>82</v>
      </c>
      <c r="HX297" t="n">
        <v>26</v>
      </c>
      <c r="HY297" t="n">
        <v>10</v>
      </c>
      <c r="HZ297" t="n">
        <v>6</v>
      </c>
      <c r="IA297" t="n">
        <v>6</v>
      </c>
      <c r="IB297" t="n">
        <v>44</v>
      </c>
      <c r="IC297" t="n">
        <v>4</v>
      </c>
      <c r="ID297" t="n">
        <v>163</v>
      </c>
      <c r="IE297" t="n">
        <v>20</v>
      </c>
      <c r="IF297" t="n">
        <v>9</v>
      </c>
      <c r="IG297" t="n">
        <v>14</v>
      </c>
      <c r="IK297" t="n">
        <v>22</v>
      </c>
      <c r="IL297" t="n">
        <v>45</v>
      </c>
      <c r="IM297" t="n">
        <v>23</v>
      </c>
      <c r="IO297" t="n">
        <v>2</v>
      </c>
      <c r="IP297" t="n">
        <v>20</v>
      </c>
      <c r="IQ297" t="n">
        <v>2</v>
      </c>
      <c r="IR297" t="n">
        <v>1</v>
      </c>
      <c r="IU297" t="n">
        <v>8</v>
      </c>
      <c r="IW297" t="n">
        <v>8</v>
      </c>
      <c r="IX297" t="n">
        <v>8</v>
      </c>
      <c r="IZ297" t="n">
        <v>14</v>
      </c>
      <c r="JA297" t="n">
        <v>28</v>
      </c>
      <c r="JB297" t="n">
        <v>9</v>
      </c>
      <c r="JD297" t="n">
        <v>7</v>
      </c>
      <c r="JE297" t="n">
        <v>7</v>
      </c>
      <c r="JF297" t="n">
        <v>8</v>
      </c>
      <c r="JG297" t="n">
        <v>102</v>
      </c>
      <c r="JH297" t="n">
        <v>16</v>
      </c>
      <c r="JJ297" t="n">
        <v>21</v>
      </c>
      <c r="JK297" t="n">
        <v>314</v>
      </c>
      <c r="JL297" t="n">
        <v>316</v>
      </c>
      <c r="JM297" t="n">
        <v>587</v>
      </c>
      <c r="JN297" t="n">
        <v>266</v>
      </c>
      <c r="JO297" t="n">
        <v>731</v>
      </c>
      <c r="JP297" t="n">
        <v>425</v>
      </c>
      <c r="JQ297" t="n">
        <v>396</v>
      </c>
      <c r="JR297" t="n">
        <v>108</v>
      </c>
      <c r="JS297" t="n">
        <v>828</v>
      </c>
      <c r="JT297" t="n">
        <v>137</v>
      </c>
      <c r="JV297" t="n">
        <v>2058</v>
      </c>
      <c r="JW297" t="n">
        <v>1019</v>
      </c>
      <c r="JX297" t="n">
        <v>721</v>
      </c>
      <c r="JY297" t="n">
        <v>208</v>
      </c>
      <c r="JZ297" t="n">
        <v>97</v>
      </c>
      <c r="KA297" t="n">
        <v>856</v>
      </c>
      <c r="KB297" t="n">
        <v>648</v>
      </c>
      <c r="KC297" t="n">
        <v>1978</v>
      </c>
      <c r="KD297" t="n">
        <v>604</v>
      </c>
      <c r="KE297" t="n">
        <v>876</v>
      </c>
      <c r="KF297" t="n">
        <v>128</v>
      </c>
      <c r="KG297" t="n">
        <v>77</v>
      </c>
      <c r="KH297" t="n">
        <v>10714</v>
      </c>
      <c r="KI297" t="n">
        <v>97</v>
      </c>
      <c r="KJ297" t="n">
        <v>6</v>
      </c>
      <c r="KK297" t="n">
        <v>3341</v>
      </c>
      <c r="KL297" t="n">
        <v>125</v>
      </c>
      <c r="KM297" t="n">
        <v>1143</v>
      </c>
      <c r="KN297" t="n">
        <v>20</v>
      </c>
      <c r="KO297" t="n">
        <v>23</v>
      </c>
      <c r="KP297" t="n">
        <v>43</v>
      </c>
      <c r="KQ297" t="n">
        <v>14</v>
      </c>
      <c r="KR297" t="n">
        <v>6</v>
      </c>
      <c r="KS297" t="n">
        <v>29</v>
      </c>
      <c r="KT297" t="n">
        <v>3</v>
      </c>
      <c r="KX297" t="n">
        <v>0</v>
      </c>
      <c r="KY297" t="n">
        <v>2</v>
      </c>
      <c r="KZ297" t="n">
        <v>135</v>
      </c>
      <c r="LA297" t="n">
        <v>77</v>
      </c>
      <c r="LB297" t="n">
        <v>0</v>
      </c>
      <c r="LI297" t="n">
        <v>6</v>
      </c>
      <c r="LJ297" t="n">
        <v>4</v>
      </c>
      <c r="LN297" t="n">
        <v>25</v>
      </c>
      <c r="LO297" t="n">
        <v>57</v>
      </c>
      <c r="LP297" t="n">
        <v>5</v>
      </c>
      <c r="LQ297" t="n">
        <v>135</v>
      </c>
      <c r="LR297" t="n">
        <v>74</v>
      </c>
      <c r="LS297" t="n">
        <v>15</v>
      </c>
      <c r="LT297" t="n">
        <v>46</v>
      </c>
      <c r="LU297" t="n">
        <v>18</v>
      </c>
      <c r="LV297" t="n">
        <v>76</v>
      </c>
      <c r="LW297" t="n">
        <v>17</v>
      </c>
      <c r="LX297" t="n">
        <v>677</v>
      </c>
      <c r="LY297" t="n">
        <v>17</v>
      </c>
      <c r="LZ297" t="n">
        <v>139</v>
      </c>
      <c r="MA297" t="n">
        <v>67</v>
      </c>
      <c r="MB297" t="n">
        <v>6</v>
      </c>
      <c r="MC297" t="n">
        <v>1</v>
      </c>
      <c r="MD297" t="n">
        <v>1</v>
      </c>
      <c r="ME297" t="n">
        <v>33</v>
      </c>
      <c r="MF297" t="n">
        <v>5</v>
      </c>
      <c r="MG297" t="n">
        <v>37</v>
      </c>
      <c r="MH297" t="n">
        <v>2</v>
      </c>
      <c r="MI297" t="n">
        <v>27</v>
      </c>
      <c r="MJ297" t="n">
        <v>2</v>
      </c>
      <c r="MK297" t="n">
        <v>74</v>
      </c>
      <c r="ML297" t="n">
        <v>39</v>
      </c>
      <c r="MM297" t="n">
        <v>4</v>
      </c>
      <c r="MN297" t="n">
        <v>32</v>
      </c>
      <c r="MO297" t="n">
        <v>38</v>
      </c>
      <c r="MQ297" t="n">
        <v>0</v>
      </c>
      <c r="MR297" t="n">
        <v>20</v>
      </c>
      <c r="MS297" t="n">
        <v>54</v>
      </c>
      <c r="MT297" t="n">
        <v>11</v>
      </c>
      <c r="MU297" t="n">
        <v>4</v>
      </c>
      <c r="MV297" t="n">
        <v>27</v>
      </c>
      <c r="MW297" t="n">
        <v>8</v>
      </c>
      <c r="MX297" t="n">
        <v>11</v>
      </c>
      <c r="MY297" t="n">
        <v>12</v>
      </c>
      <c r="MZ297" t="n">
        <v>201</v>
      </c>
      <c r="NA297" t="n">
        <v>7</v>
      </c>
      <c r="NB297" t="n">
        <v>13</v>
      </c>
      <c r="NC297" t="n">
        <v>47</v>
      </c>
      <c r="NE297" t="n">
        <v>34</v>
      </c>
      <c r="NF297" t="n">
        <v>3</v>
      </c>
      <c r="NG297" t="n">
        <v>1</v>
      </c>
      <c r="NH297" t="n">
        <v>1</v>
      </c>
      <c r="NI297" t="n">
        <v>1</v>
      </c>
      <c r="NJ297" t="n">
        <v>17</v>
      </c>
      <c r="NM297" t="n">
        <v>3</v>
      </c>
      <c r="NN297" t="n">
        <v>14</v>
      </c>
      <c r="NO297" t="n">
        <v>48</v>
      </c>
      <c r="NP297" t="n">
        <v>46</v>
      </c>
      <c r="NQ297" t="n">
        <v>41</v>
      </c>
      <c r="NR297" t="n">
        <v>25</v>
      </c>
      <c r="NS297" t="n">
        <v>7</v>
      </c>
      <c r="NT297" t="n">
        <v>10</v>
      </c>
      <c r="NU297" t="n">
        <v>7</v>
      </c>
      <c r="NV297" t="n">
        <v>27</v>
      </c>
      <c r="NW297" t="n">
        <v>0</v>
      </c>
      <c r="NX297" t="n">
        <v>6</v>
      </c>
      <c r="NY297" t="n">
        <v>25</v>
      </c>
      <c r="OA297" t="n">
        <v>20</v>
      </c>
      <c r="OB297" t="n">
        <v>16</v>
      </c>
      <c r="OD297" t="n">
        <v>3910</v>
      </c>
      <c r="OE297" t="n">
        <v>69</v>
      </c>
      <c r="OF297" t="n">
        <v>962</v>
      </c>
      <c r="OI297" t="n">
        <v>121</v>
      </c>
      <c r="OJ297" t="n">
        <v>5</v>
      </c>
      <c r="OK297" t="n">
        <v>60</v>
      </c>
      <c r="ON297" t="n">
        <v>12</v>
      </c>
      <c r="OO297" t="n">
        <v>39328</v>
      </c>
      <c r="OP297" t="n">
        <v>11700</v>
      </c>
      <c r="OV297" t="n">
        <v>1629</v>
      </c>
      <c r="PI297" t="n">
        <v>52658</v>
      </c>
      <c r="PM297">
        <f>IFERROR(VLOOKUP($A297&amp;"",Key!$A:$C,3,FALSE),"")</f>
        <v/>
      </c>
    </row>
    <row r="298">
      <c r="A298" t="n">
        <v>485000</v>
      </c>
      <c r="B298" t="inlineStr">
        <is>
          <t>Transit and ground passenger transportation</t>
        </is>
      </c>
      <c r="N298" t="n">
        <v>1</v>
      </c>
      <c r="P298" t="n">
        <v>0</v>
      </c>
      <c r="Q298" t="n">
        <v>2</v>
      </c>
      <c r="T298" t="n">
        <v>1</v>
      </c>
      <c r="U298" t="n">
        <v>0</v>
      </c>
      <c r="V298" t="n">
        <v>3</v>
      </c>
      <c r="W298" t="n">
        <v>80</v>
      </c>
      <c r="X298" t="n">
        <v>157</v>
      </c>
      <c r="Y298" t="n">
        <v>619</v>
      </c>
      <c r="Z298" t="n">
        <v>1</v>
      </c>
      <c r="AA298" t="n">
        <v>6</v>
      </c>
      <c r="AB298" t="n">
        <v>1</v>
      </c>
      <c r="AC298" t="n">
        <v>98</v>
      </c>
      <c r="AD298" t="n">
        <v>12</v>
      </c>
      <c r="AE298" t="n">
        <v>60</v>
      </c>
      <c r="AF298" t="n">
        <v>12</v>
      </c>
      <c r="AG298" t="n">
        <v>88</v>
      </c>
      <c r="AH298" t="n">
        <v>7</v>
      </c>
      <c r="AI298" t="n">
        <v>20</v>
      </c>
      <c r="AJ298" t="n">
        <v>4</v>
      </c>
      <c r="AK298" t="n">
        <v>89</v>
      </c>
      <c r="AL298" t="n">
        <v>27</v>
      </c>
      <c r="AM298" t="n">
        <v>9</v>
      </c>
      <c r="AN298" t="n">
        <v>6</v>
      </c>
      <c r="AO298" t="n">
        <v>7</v>
      </c>
      <c r="AP298" t="n">
        <v>12</v>
      </c>
      <c r="AQ298" t="n">
        <v>1</v>
      </c>
      <c r="AR298" t="n">
        <v>13</v>
      </c>
      <c r="AS298" t="n">
        <v>2</v>
      </c>
      <c r="AT298" t="n">
        <v>28</v>
      </c>
      <c r="AU298" t="n">
        <v>1</v>
      </c>
      <c r="AV298" t="n">
        <v>9</v>
      </c>
      <c r="AW298" t="n">
        <v>1</v>
      </c>
      <c r="AX298" t="n">
        <v>1</v>
      </c>
      <c r="AY298" t="n">
        <v>3</v>
      </c>
      <c r="AZ298" t="n">
        <v>1</v>
      </c>
      <c r="BA298" t="n">
        <v>4</v>
      </c>
      <c r="BB298" t="n">
        <v>4</v>
      </c>
      <c r="BC298" t="n">
        <v>24</v>
      </c>
      <c r="BD298" t="n">
        <v>5</v>
      </c>
      <c r="BE298" t="n">
        <v>1</v>
      </c>
      <c r="BF298" t="n">
        <v>0</v>
      </c>
      <c r="BG298" t="n">
        <v>4</v>
      </c>
      <c r="BH298" t="n">
        <v>1</v>
      </c>
      <c r="BI298" t="n">
        <v>2</v>
      </c>
      <c r="BJ298" t="n">
        <v>2</v>
      </c>
      <c r="BK298" t="n">
        <v>5</v>
      </c>
      <c r="BL298" t="n">
        <v>6</v>
      </c>
      <c r="BM298" t="n">
        <v>3</v>
      </c>
      <c r="BN298" t="n">
        <v>3</v>
      </c>
      <c r="BO298" t="n">
        <v>6</v>
      </c>
      <c r="BP298" t="n">
        <v>3</v>
      </c>
      <c r="BQ298" t="n">
        <v>24</v>
      </c>
      <c r="BR298" t="n">
        <v>14</v>
      </c>
      <c r="BS298" t="n">
        <v>2</v>
      </c>
      <c r="BT298" t="n">
        <v>3</v>
      </c>
      <c r="BU298" t="n">
        <v>2</v>
      </c>
      <c r="BV298" t="n">
        <v>4</v>
      </c>
      <c r="BW298" t="n">
        <v>4</v>
      </c>
      <c r="BX298" t="n">
        <v>22</v>
      </c>
      <c r="BY298" t="n">
        <v>15</v>
      </c>
      <c r="BZ298" t="n">
        <v>13</v>
      </c>
      <c r="CB298" t="n">
        <v>6</v>
      </c>
      <c r="CC298" t="n">
        <v>0</v>
      </c>
      <c r="CD298" t="n">
        <v>2</v>
      </c>
      <c r="CF298" t="n">
        <v>3</v>
      </c>
      <c r="CG298" t="n">
        <v>6</v>
      </c>
      <c r="CH298" t="n">
        <v>1</v>
      </c>
      <c r="CI298" t="n">
        <v>4</v>
      </c>
      <c r="CJ298" t="n">
        <v>10</v>
      </c>
      <c r="CK298" t="n">
        <v>3</v>
      </c>
      <c r="CL298" t="n">
        <v>9</v>
      </c>
      <c r="CM298" t="n">
        <v>2</v>
      </c>
      <c r="CO298" t="n">
        <v>7</v>
      </c>
      <c r="CP298" t="n">
        <v>2</v>
      </c>
      <c r="CQ298" t="n">
        <v>8</v>
      </c>
      <c r="CR298" t="n">
        <v>1</v>
      </c>
      <c r="CS298" t="n">
        <v>1</v>
      </c>
      <c r="CT298" t="n">
        <v>4</v>
      </c>
      <c r="CU298" t="n">
        <v>2</v>
      </c>
      <c r="CV298" t="n">
        <v>2</v>
      </c>
      <c r="CX298" t="n">
        <v>0</v>
      </c>
      <c r="CY298" t="n">
        <v>1</v>
      </c>
      <c r="CZ298" t="n">
        <v>12</v>
      </c>
      <c r="DA298" t="n">
        <v>2</v>
      </c>
      <c r="DB298" t="n">
        <v>2</v>
      </c>
      <c r="DC298" t="n">
        <v>4</v>
      </c>
      <c r="DE298" t="n">
        <v>3</v>
      </c>
      <c r="DF298" t="n">
        <v>0</v>
      </c>
      <c r="DG298" t="n">
        <v>6</v>
      </c>
      <c r="DH298" t="n">
        <v>1</v>
      </c>
      <c r="DK298" t="n">
        <v>0</v>
      </c>
      <c r="DL298" t="n">
        <v>0</v>
      </c>
      <c r="DM298" t="n">
        <v>0</v>
      </c>
      <c r="DO298" t="n">
        <v>0</v>
      </c>
      <c r="DQ298" t="n">
        <v>0</v>
      </c>
      <c r="DR298" t="n">
        <v>9</v>
      </c>
      <c r="DS298" t="n">
        <v>1</v>
      </c>
      <c r="DU298" t="n">
        <v>1</v>
      </c>
      <c r="DV298" t="n">
        <v>0</v>
      </c>
      <c r="DW298" t="n">
        <v>1</v>
      </c>
      <c r="DX298" t="n">
        <v>3</v>
      </c>
      <c r="DY298" t="n">
        <v>0</v>
      </c>
      <c r="DZ298" t="n">
        <v>3</v>
      </c>
      <c r="ED298" t="n">
        <v>2</v>
      </c>
      <c r="EE298" t="n">
        <v>0</v>
      </c>
      <c r="EI298" t="n">
        <v>1</v>
      </c>
      <c r="EM298" t="n">
        <v>1</v>
      </c>
      <c r="EN298" t="n">
        <v>1</v>
      </c>
      <c r="EP298" t="n">
        <v>2</v>
      </c>
      <c r="EQ298" t="n">
        <v>4</v>
      </c>
      <c r="ER298" t="n">
        <v>3</v>
      </c>
      <c r="ES298" t="n">
        <v>0</v>
      </c>
      <c r="ET298" t="n">
        <v>4</v>
      </c>
      <c r="EU298" t="n">
        <v>1</v>
      </c>
      <c r="EW298" t="n">
        <v>4</v>
      </c>
      <c r="EX298" t="n">
        <v>5</v>
      </c>
      <c r="EY298" t="n">
        <v>4</v>
      </c>
      <c r="EZ298" t="n">
        <v>5</v>
      </c>
      <c r="FA298" t="n">
        <v>5</v>
      </c>
      <c r="FB298" t="n">
        <v>19</v>
      </c>
      <c r="FC298" t="n">
        <v>9</v>
      </c>
      <c r="FD298" t="n">
        <v>6</v>
      </c>
      <c r="FE298" t="n">
        <v>3</v>
      </c>
      <c r="FF298" t="n">
        <v>8</v>
      </c>
      <c r="FG298" t="n">
        <v>9</v>
      </c>
      <c r="FJ298" t="n">
        <v>8</v>
      </c>
      <c r="FK298" t="n">
        <v>7</v>
      </c>
      <c r="FL298" t="n">
        <v>2</v>
      </c>
      <c r="FM298" t="n">
        <v>1</v>
      </c>
      <c r="FP298" t="n">
        <v>13</v>
      </c>
      <c r="FQ298" t="n">
        <v>3</v>
      </c>
      <c r="FR298" t="n">
        <v>1</v>
      </c>
      <c r="FS298" t="n">
        <v>4</v>
      </c>
      <c r="FT298" t="n">
        <v>2</v>
      </c>
      <c r="FU298" t="n">
        <v>3</v>
      </c>
      <c r="FV298" t="n">
        <v>13</v>
      </c>
      <c r="FW298" t="n">
        <v>3</v>
      </c>
      <c r="FX298" t="n">
        <v>6</v>
      </c>
      <c r="FY298" t="n">
        <v>33</v>
      </c>
      <c r="FZ298" t="n">
        <v>1</v>
      </c>
      <c r="GB298" t="n">
        <v>1</v>
      </c>
      <c r="GC298" t="n">
        <v>4</v>
      </c>
      <c r="GD298" t="n">
        <v>6</v>
      </c>
      <c r="GF298" t="n">
        <v>0</v>
      </c>
      <c r="GG298" t="n">
        <v>8</v>
      </c>
      <c r="GH298" t="n">
        <v>7</v>
      </c>
      <c r="GI298" t="n">
        <v>2</v>
      </c>
      <c r="GJ298" t="n">
        <v>8</v>
      </c>
      <c r="GK298" t="n">
        <v>2</v>
      </c>
      <c r="GL298" t="n">
        <v>1</v>
      </c>
      <c r="GP298" t="n">
        <v>2</v>
      </c>
      <c r="GQ298" t="n">
        <v>1</v>
      </c>
      <c r="GR298" t="n">
        <v>2</v>
      </c>
      <c r="GS298" t="n">
        <v>2</v>
      </c>
      <c r="GT298" t="n">
        <v>1</v>
      </c>
      <c r="GU298" t="n">
        <v>10</v>
      </c>
      <c r="GW298" t="n">
        <v>12</v>
      </c>
      <c r="GX298" t="n">
        <v>14</v>
      </c>
      <c r="GY298" t="n">
        <v>2</v>
      </c>
      <c r="GZ298" t="n">
        <v>38</v>
      </c>
      <c r="HA298" t="n">
        <v>7</v>
      </c>
      <c r="HB298" t="n">
        <v>2</v>
      </c>
      <c r="HC298" t="n">
        <v>1</v>
      </c>
      <c r="HD298" t="n">
        <v>2</v>
      </c>
      <c r="HE298" t="n">
        <v>5</v>
      </c>
      <c r="HF298" t="n">
        <v>4</v>
      </c>
      <c r="HG298" t="n">
        <v>10</v>
      </c>
      <c r="HH298" t="n">
        <v>3</v>
      </c>
      <c r="HI298" t="n">
        <v>4</v>
      </c>
      <c r="HK298" t="n">
        <v>2</v>
      </c>
      <c r="HM298" t="n">
        <v>1</v>
      </c>
      <c r="HN298" t="n">
        <v>1</v>
      </c>
      <c r="HO298" t="n">
        <v>0</v>
      </c>
      <c r="HQ298" t="n">
        <v>2</v>
      </c>
      <c r="HR298" t="n">
        <v>0</v>
      </c>
      <c r="HS298" t="n">
        <v>0</v>
      </c>
      <c r="HT298" t="n">
        <v>2</v>
      </c>
      <c r="HU298" t="n">
        <v>4</v>
      </c>
      <c r="HV298" t="n">
        <v>5</v>
      </c>
      <c r="HW298" t="n">
        <v>29</v>
      </c>
      <c r="HX298" t="n">
        <v>3</v>
      </c>
      <c r="HY298" t="n">
        <v>2</v>
      </c>
      <c r="HZ298" t="n">
        <v>1</v>
      </c>
      <c r="IA298" t="n">
        <v>0</v>
      </c>
      <c r="IB298" t="n">
        <v>57</v>
      </c>
      <c r="IC298" t="n">
        <v>1</v>
      </c>
      <c r="ID298" t="n">
        <v>25</v>
      </c>
      <c r="IE298" t="n">
        <v>5</v>
      </c>
      <c r="IF298" t="n">
        <v>1</v>
      </c>
      <c r="IG298" t="n">
        <v>1</v>
      </c>
      <c r="IK298" t="n">
        <v>6</v>
      </c>
      <c r="IL298" t="n">
        <v>39</v>
      </c>
      <c r="IM298" t="n">
        <v>17</v>
      </c>
      <c r="IN298" t="n">
        <v>2</v>
      </c>
      <c r="IP298" t="n">
        <v>3</v>
      </c>
      <c r="IQ298" t="n">
        <v>2</v>
      </c>
      <c r="IR298" t="n">
        <v>0</v>
      </c>
      <c r="IS298" t="n">
        <v>1</v>
      </c>
      <c r="IT298" t="n">
        <v>0</v>
      </c>
      <c r="IU298" t="n">
        <v>3</v>
      </c>
      <c r="IV298" t="n">
        <v>2</v>
      </c>
      <c r="IW298" t="n">
        <v>3</v>
      </c>
      <c r="IX298" t="n">
        <v>1</v>
      </c>
      <c r="IZ298" t="n">
        <v>4</v>
      </c>
      <c r="JA298" t="n">
        <v>22</v>
      </c>
      <c r="JB298" t="n">
        <v>1</v>
      </c>
      <c r="JD298" t="n">
        <v>22</v>
      </c>
      <c r="JE298" t="n">
        <v>4</v>
      </c>
      <c r="JF298" t="n">
        <v>1</v>
      </c>
      <c r="JG298" t="n">
        <v>54</v>
      </c>
      <c r="JH298" t="n">
        <v>4</v>
      </c>
      <c r="JI298" t="n">
        <v>2</v>
      </c>
      <c r="JJ298" t="n">
        <v>5</v>
      </c>
      <c r="JK298" t="n">
        <v>144</v>
      </c>
      <c r="JL298" t="n">
        <v>130</v>
      </c>
      <c r="JM298" t="n">
        <v>130</v>
      </c>
      <c r="JN298" t="n">
        <v>102</v>
      </c>
      <c r="JO298" t="n">
        <v>174</v>
      </c>
      <c r="JP298" t="n">
        <v>25</v>
      </c>
      <c r="JQ298" t="n">
        <v>200</v>
      </c>
      <c r="JS298" t="n">
        <v>259</v>
      </c>
      <c r="JT298" t="n">
        <v>1</v>
      </c>
      <c r="JV298" t="n">
        <v>109</v>
      </c>
      <c r="JW298" t="n">
        <v>4</v>
      </c>
      <c r="JX298" t="n">
        <v>21</v>
      </c>
      <c r="JY298" t="n">
        <v>26</v>
      </c>
      <c r="KA298" t="n">
        <v>18</v>
      </c>
      <c r="KB298" t="n">
        <v>1</v>
      </c>
      <c r="KC298" t="n">
        <v>50</v>
      </c>
      <c r="KE298" t="n">
        <v>1</v>
      </c>
      <c r="KF298" t="n">
        <v>270</v>
      </c>
      <c r="KJ298" t="n">
        <v>1</v>
      </c>
      <c r="KK298" t="n">
        <v>167</v>
      </c>
      <c r="KM298" t="n">
        <v>4</v>
      </c>
      <c r="KN298" t="n">
        <v>12</v>
      </c>
      <c r="KO298" t="n">
        <v>23</v>
      </c>
      <c r="KP298" t="n">
        <v>34</v>
      </c>
      <c r="KQ298" t="n">
        <v>7</v>
      </c>
      <c r="KR298" t="n">
        <v>117</v>
      </c>
      <c r="KS298" t="n">
        <v>40</v>
      </c>
      <c r="KT298" t="n">
        <v>14</v>
      </c>
      <c r="KU298" t="n">
        <v>2</v>
      </c>
      <c r="KV298" t="n">
        <v>6</v>
      </c>
      <c r="KW298" t="n">
        <v>52</v>
      </c>
      <c r="KX298" t="n">
        <v>468</v>
      </c>
      <c r="KY298" t="n">
        <v>63</v>
      </c>
      <c r="KZ298" t="n">
        <v>713</v>
      </c>
      <c r="LA298" t="n">
        <v>101</v>
      </c>
      <c r="LB298" t="n">
        <v>0</v>
      </c>
      <c r="LC298" t="n">
        <v>1131</v>
      </c>
      <c r="LD298" t="n">
        <v>1610</v>
      </c>
      <c r="LE298" t="n">
        <v>865</v>
      </c>
      <c r="LF298" t="n">
        <v>145</v>
      </c>
      <c r="LG298" t="n">
        <v>797</v>
      </c>
      <c r="LH298" t="n">
        <v>344</v>
      </c>
      <c r="LI298" t="n">
        <v>49</v>
      </c>
      <c r="LJ298" t="n">
        <v>217</v>
      </c>
      <c r="LL298" t="n">
        <v>20</v>
      </c>
      <c r="LM298" t="n">
        <v>5094</v>
      </c>
      <c r="LN298" t="n">
        <v>337</v>
      </c>
      <c r="LO298" t="n">
        <v>208</v>
      </c>
      <c r="LP298" t="n">
        <v>41</v>
      </c>
      <c r="LR298" t="n">
        <v>552</v>
      </c>
      <c r="LS298" t="n">
        <v>176</v>
      </c>
      <c r="LT298" t="n">
        <v>1338</v>
      </c>
      <c r="LU298" t="n">
        <v>338</v>
      </c>
      <c r="LV298" t="n">
        <v>445</v>
      </c>
      <c r="LW298" t="n">
        <v>586</v>
      </c>
      <c r="LX298" t="n">
        <v>1456</v>
      </c>
      <c r="LY298" t="n">
        <v>106</v>
      </c>
      <c r="LZ298" t="n">
        <v>257</v>
      </c>
      <c r="MA298" t="n">
        <v>177</v>
      </c>
      <c r="MB298" t="n">
        <v>30</v>
      </c>
      <c r="MC298" t="n">
        <v>25</v>
      </c>
      <c r="MD298" t="n">
        <v>33</v>
      </c>
      <c r="ME298" t="n">
        <v>138</v>
      </c>
      <c r="MF298" t="n">
        <v>184</v>
      </c>
      <c r="MG298" t="n">
        <v>1144</v>
      </c>
      <c r="MH298" t="n">
        <v>116</v>
      </c>
      <c r="MI298" t="n">
        <v>313</v>
      </c>
      <c r="MJ298" t="n">
        <v>46</v>
      </c>
      <c r="MK298" t="n">
        <v>190</v>
      </c>
      <c r="ML298" t="n">
        <v>198</v>
      </c>
      <c r="MM298" t="n">
        <v>120</v>
      </c>
      <c r="MN298" t="n">
        <v>149</v>
      </c>
      <c r="MO298" t="n">
        <v>154</v>
      </c>
      <c r="MP298" t="n">
        <v>179</v>
      </c>
      <c r="MQ298" t="n">
        <v>209</v>
      </c>
      <c r="MR298" t="n">
        <v>56</v>
      </c>
      <c r="MS298" t="n">
        <v>1217</v>
      </c>
      <c r="MT298" t="n">
        <v>67</v>
      </c>
      <c r="MU298" t="n">
        <v>52</v>
      </c>
      <c r="MV298" t="n">
        <v>69</v>
      </c>
      <c r="MW298" t="n">
        <v>16</v>
      </c>
      <c r="MX298" t="n">
        <v>58</v>
      </c>
      <c r="MY298" t="n">
        <v>26</v>
      </c>
      <c r="MZ298" t="n">
        <v>1848</v>
      </c>
      <c r="NA298" t="n">
        <v>490</v>
      </c>
      <c r="NB298" t="n">
        <v>14</v>
      </c>
      <c r="NC298" t="n">
        <v>111</v>
      </c>
      <c r="ND298" t="n">
        <v>29</v>
      </c>
      <c r="NE298" t="n">
        <v>30</v>
      </c>
      <c r="NF298" t="n">
        <v>5</v>
      </c>
      <c r="NG298" t="n">
        <v>31</v>
      </c>
      <c r="NH298" t="n">
        <v>2</v>
      </c>
      <c r="NI298" t="n">
        <v>2113</v>
      </c>
      <c r="NJ298" t="n">
        <v>0</v>
      </c>
      <c r="NK298" t="n">
        <v>18</v>
      </c>
      <c r="NL298" t="n">
        <v>13</v>
      </c>
      <c r="NM298" t="n">
        <v>26</v>
      </c>
      <c r="NN298" t="n">
        <v>91</v>
      </c>
      <c r="NO298" t="n">
        <v>274</v>
      </c>
      <c r="NP298" t="n">
        <v>396</v>
      </c>
      <c r="NQ298" t="n">
        <v>69</v>
      </c>
      <c r="NR298" t="n">
        <v>12</v>
      </c>
      <c r="NS298" t="n">
        <v>5</v>
      </c>
      <c r="NT298" t="n">
        <v>15</v>
      </c>
      <c r="NU298" t="n">
        <v>4</v>
      </c>
      <c r="NV298" t="n">
        <v>38</v>
      </c>
      <c r="NW298" t="n">
        <v>0</v>
      </c>
      <c r="NX298" t="n">
        <v>7</v>
      </c>
      <c r="NY298" t="n">
        <v>22</v>
      </c>
      <c r="OA298" t="n">
        <v>150</v>
      </c>
      <c r="OB298" t="n">
        <v>61</v>
      </c>
      <c r="OD298" t="n">
        <v>27</v>
      </c>
      <c r="OE298" t="n">
        <v>5</v>
      </c>
      <c r="OG298" t="n">
        <v>2</v>
      </c>
      <c r="OH298" t="n">
        <v>11</v>
      </c>
      <c r="OI298" t="n">
        <v>12568</v>
      </c>
      <c r="OJ298" t="n">
        <v>77</v>
      </c>
      <c r="OK298" t="n">
        <v>1840</v>
      </c>
      <c r="OL298" t="n">
        <v>774</v>
      </c>
      <c r="OM298" t="n">
        <v>1</v>
      </c>
      <c r="ON298" t="n">
        <v>24</v>
      </c>
      <c r="OO298" t="n">
        <v>48152</v>
      </c>
      <c r="OP298" t="n">
        <v>47460</v>
      </c>
      <c r="PI298" t="n">
        <v>95611</v>
      </c>
      <c r="PM298">
        <f>IFERROR(VLOOKUP($A298&amp;"",Key!$A:$C,3,FALSE),"")</f>
        <v/>
      </c>
    </row>
    <row r="299">
      <c r="A299" t="n">
        <v>486000</v>
      </c>
      <c r="B299" t="inlineStr">
        <is>
          <t>Pipeline transportation</t>
        </is>
      </c>
      <c r="P299" t="n">
        <v>280</v>
      </c>
      <c r="OO299" t="n">
        <v>280</v>
      </c>
      <c r="OV299" t="n">
        <v>256</v>
      </c>
      <c r="PI299" t="n">
        <v>536</v>
      </c>
      <c r="PM299">
        <f>IFERROR(VLOOKUP($A299&amp;"",Key!$A:$C,3,FALSE),"")</f>
        <v/>
      </c>
    </row>
    <row r="300">
      <c r="A300" t="inlineStr">
        <is>
          <t>48A000</t>
        </is>
      </c>
      <c r="B300" t="inlineStr">
        <is>
          <t>Scenic and sightseeing transportation and support activities for transportation</t>
        </is>
      </c>
      <c r="N300" t="n">
        <v>38</v>
      </c>
      <c r="O300" t="n">
        <v>44</v>
      </c>
      <c r="P300" t="n">
        <v>12</v>
      </c>
      <c r="Q300" t="n">
        <v>40</v>
      </c>
      <c r="S300" t="n">
        <v>6</v>
      </c>
      <c r="T300" t="n">
        <v>377</v>
      </c>
      <c r="W300" t="n">
        <v>6</v>
      </c>
      <c r="X300" t="n">
        <v>8367</v>
      </c>
      <c r="Y300" t="n">
        <v>438</v>
      </c>
      <c r="Z300" t="n">
        <v>19</v>
      </c>
      <c r="AM300" t="n">
        <v>49</v>
      </c>
      <c r="AN300" t="n">
        <v>96</v>
      </c>
      <c r="AO300" t="n">
        <v>284</v>
      </c>
      <c r="AP300" t="n">
        <v>100</v>
      </c>
      <c r="AQ300" t="n">
        <v>20</v>
      </c>
      <c r="AS300" t="n">
        <v>16</v>
      </c>
      <c r="AT300" t="n">
        <v>177</v>
      </c>
      <c r="AU300" t="n">
        <v>277</v>
      </c>
      <c r="AV300" t="n">
        <v>31</v>
      </c>
      <c r="AW300" t="n">
        <v>7</v>
      </c>
      <c r="AX300" t="n">
        <v>3</v>
      </c>
      <c r="AZ300" t="n">
        <v>4</v>
      </c>
      <c r="BA300" t="n">
        <v>76</v>
      </c>
      <c r="BB300" t="n">
        <v>7</v>
      </c>
      <c r="BC300" t="n">
        <v>20</v>
      </c>
      <c r="BD300" t="n">
        <v>29</v>
      </c>
      <c r="BE300" t="n">
        <v>12</v>
      </c>
      <c r="BF300" t="n">
        <v>4</v>
      </c>
      <c r="BG300" t="n">
        <v>12</v>
      </c>
      <c r="BI300" t="n">
        <v>7</v>
      </c>
      <c r="BJ300" t="n">
        <v>27</v>
      </c>
      <c r="BK300" t="n">
        <v>7</v>
      </c>
      <c r="BN300" t="n">
        <v>49</v>
      </c>
      <c r="BX300" t="n">
        <v>6</v>
      </c>
      <c r="BZ300" t="n">
        <v>20</v>
      </c>
      <c r="CF300" t="n">
        <v>4</v>
      </c>
      <c r="CG300" t="n">
        <v>6</v>
      </c>
      <c r="CO300" t="n">
        <v>12</v>
      </c>
      <c r="EB300" t="n">
        <v>0</v>
      </c>
      <c r="EL300" t="n">
        <v>0</v>
      </c>
      <c r="EM300" t="n">
        <v>3</v>
      </c>
      <c r="FB300" t="n">
        <v>8</v>
      </c>
      <c r="FC300" t="n">
        <v>2</v>
      </c>
      <c r="FW300" t="n">
        <v>323</v>
      </c>
      <c r="FY300" t="n">
        <v>20</v>
      </c>
      <c r="GD300" t="n">
        <v>109</v>
      </c>
      <c r="GH300" t="n">
        <v>41</v>
      </c>
      <c r="GJ300" t="n">
        <v>5</v>
      </c>
      <c r="GK300" t="n">
        <v>33</v>
      </c>
      <c r="GL300" t="n">
        <v>50</v>
      </c>
      <c r="GP300" t="n">
        <v>14</v>
      </c>
      <c r="GQ300" t="n">
        <v>8</v>
      </c>
      <c r="GR300" t="n">
        <v>8</v>
      </c>
      <c r="GT300" t="n">
        <v>7</v>
      </c>
      <c r="GX300" t="n">
        <v>3</v>
      </c>
      <c r="GY300" t="n">
        <v>45</v>
      </c>
      <c r="HA300" t="n">
        <v>209</v>
      </c>
      <c r="HG300" t="n">
        <v>11</v>
      </c>
      <c r="HH300" t="n">
        <v>10</v>
      </c>
      <c r="HI300" t="n">
        <v>14</v>
      </c>
      <c r="HO300" t="n">
        <v>15</v>
      </c>
      <c r="HQ300" t="n">
        <v>27</v>
      </c>
      <c r="HT300" t="n">
        <v>16</v>
      </c>
      <c r="HV300" t="n">
        <v>36</v>
      </c>
      <c r="HW300" t="n">
        <v>225</v>
      </c>
      <c r="HX300" t="n">
        <v>26</v>
      </c>
      <c r="IA300" t="n">
        <v>92</v>
      </c>
      <c r="IB300" t="n">
        <v>346</v>
      </c>
      <c r="ID300" t="n">
        <v>626</v>
      </c>
      <c r="IE300" t="n">
        <v>120</v>
      </c>
      <c r="IF300" t="n">
        <v>29</v>
      </c>
      <c r="IG300" t="n">
        <v>40</v>
      </c>
      <c r="IK300" t="n">
        <v>5</v>
      </c>
      <c r="IM300" t="n">
        <v>89</v>
      </c>
      <c r="IN300" t="n">
        <v>31</v>
      </c>
      <c r="IS300" t="n">
        <v>11</v>
      </c>
      <c r="IU300" t="n">
        <v>6</v>
      </c>
      <c r="IV300" t="n">
        <v>8</v>
      </c>
      <c r="IW300" t="n">
        <v>4</v>
      </c>
      <c r="IZ300" t="n">
        <v>21</v>
      </c>
      <c r="JA300" t="n">
        <v>42</v>
      </c>
      <c r="JB300" t="n">
        <v>31</v>
      </c>
      <c r="JD300" t="n">
        <v>19</v>
      </c>
      <c r="JE300" t="n">
        <v>76</v>
      </c>
      <c r="JF300" t="n">
        <v>17</v>
      </c>
      <c r="JG300" t="n">
        <v>145</v>
      </c>
      <c r="JH300" t="n">
        <v>148</v>
      </c>
      <c r="JJ300" t="n">
        <v>11</v>
      </c>
      <c r="JK300" t="n">
        <v>1822</v>
      </c>
      <c r="JL300" t="n">
        <v>1593</v>
      </c>
      <c r="JM300" t="n">
        <v>2879</v>
      </c>
      <c r="JN300" t="n">
        <v>1641</v>
      </c>
      <c r="JO300" t="n">
        <v>3517</v>
      </c>
      <c r="JP300" t="n">
        <v>1382</v>
      </c>
      <c r="JQ300" t="n">
        <v>1365</v>
      </c>
      <c r="JR300" t="n">
        <v>270</v>
      </c>
      <c r="JS300" t="n">
        <v>4599</v>
      </c>
      <c r="JT300" t="n">
        <v>400</v>
      </c>
      <c r="JV300" t="n">
        <v>1099</v>
      </c>
      <c r="JW300" t="n">
        <v>437</v>
      </c>
      <c r="JX300" t="n">
        <v>160</v>
      </c>
      <c r="JY300" t="n">
        <v>742</v>
      </c>
      <c r="JZ300" t="n">
        <v>297</v>
      </c>
      <c r="KA300" t="n">
        <v>156</v>
      </c>
      <c r="KB300" t="n">
        <v>294</v>
      </c>
      <c r="KC300" t="n">
        <v>1637</v>
      </c>
      <c r="KD300" t="n">
        <v>907</v>
      </c>
      <c r="KE300" t="n">
        <v>23545</v>
      </c>
      <c r="KF300" t="n">
        <v>1023</v>
      </c>
      <c r="KG300" t="n">
        <v>3684</v>
      </c>
      <c r="KH300" t="n">
        <v>29523</v>
      </c>
      <c r="KI300" t="n">
        <v>453</v>
      </c>
      <c r="KJ300" t="n">
        <v>244</v>
      </c>
      <c r="KK300" t="n">
        <v>15747</v>
      </c>
      <c r="KL300" t="n">
        <v>9414</v>
      </c>
      <c r="KM300" t="n">
        <v>4144</v>
      </c>
      <c r="KN300" t="n">
        <v>81</v>
      </c>
      <c r="KO300" t="n">
        <v>94</v>
      </c>
      <c r="KP300" t="n">
        <v>175</v>
      </c>
      <c r="KQ300" t="n">
        <v>58</v>
      </c>
      <c r="KR300" t="n">
        <v>25</v>
      </c>
      <c r="KS300" t="n">
        <v>124</v>
      </c>
      <c r="KT300" t="n">
        <v>15</v>
      </c>
      <c r="KU300" t="n">
        <v>0</v>
      </c>
      <c r="KV300" t="n">
        <v>2</v>
      </c>
      <c r="KW300" t="n">
        <v>25</v>
      </c>
      <c r="KX300" t="n">
        <v>89</v>
      </c>
      <c r="KY300" t="n">
        <v>12</v>
      </c>
      <c r="KZ300" t="n">
        <v>563</v>
      </c>
      <c r="LA300" t="n">
        <v>325</v>
      </c>
      <c r="LB300" t="n">
        <v>0</v>
      </c>
      <c r="LC300" t="n">
        <v>11</v>
      </c>
      <c r="LD300" t="n">
        <v>12</v>
      </c>
      <c r="LE300" t="n">
        <v>9</v>
      </c>
      <c r="LF300" t="n">
        <v>2</v>
      </c>
      <c r="LI300" t="n">
        <v>1</v>
      </c>
      <c r="LN300" t="n">
        <v>102</v>
      </c>
      <c r="LO300" t="n">
        <v>539</v>
      </c>
      <c r="LP300" t="n">
        <v>34</v>
      </c>
      <c r="LQ300" t="n">
        <v>9</v>
      </c>
      <c r="LR300" t="n">
        <v>215</v>
      </c>
      <c r="LS300" t="n">
        <v>59</v>
      </c>
      <c r="LT300" t="n">
        <v>186</v>
      </c>
      <c r="LU300" t="n">
        <v>56</v>
      </c>
      <c r="LV300" t="n">
        <v>210</v>
      </c>
      <c r="LW300" t="n">
        <v>86</v>
      </c>
      <c r="LX300" t="n">
        <v>412</v>
      </c>
      <c r="LY300" t="n">
        <v>39</v>
      </c>
      <c r="LZ300" t="n">
        <v>2599</v>
      </c>
      <c r="MA300" t="n">
        <v>257</v>
      </c>
      <c r="MB300" t="n">
        <v>33</v>
      </c>
      <c r="MC300" t="n">
        <v>21</v>
      </c>
      <c r="MD300" t="n">
        <v>44</v>
      </c>
      <c r="ME300" t="n">
        <v>92</v>
      </c>
      <c r="MF300" t="n">
        <v>607</v>
      </c>
      <c r="MG300" t="n">
        <v>116</v>
      </c>
      <c r="MH300" t="n">
        <v>28</v>
      </c>
      <c r="MI300" t="n">
        <v>22</v>
      </c>
      <c r="MJ300" t="n">
        <v>7</v>
      </c>
      <c r="MK300" t="n">
        <v>295</v>
      </c>
      <c r="ML300" t="n">
        <v>68</v>
      </c>
      <c r="MM300" t="n">
        <v>24</v>
      </c>
      <c r="MN300" t="n">
        <v>87</v>
      </c>
      <c r="MO300" t="n">
        <v>1332</v>
      </c>
      <c r="MQ300" t="n">
        <v>0</v>
      </c>
      <c r="MR300" t="n">
        <v>90</v>
      </c>
      <c r="MS300" t="n">
        <v>216</v>
      </c>
      <c r="MT300" t="n">
        <v>40</v>
      </c>
      <c r="MU300" t="n">
        <v>30</v>
      </c>
      <c r="MV300" t="n">
        <v>109</v>
      </c>
      <c r="MW300" t="n">
        <v>34</v>
      </c>
      <c r="MX300" t="n">
        <v>40</v>
      </c>
      <c r="MY300" t="n">
        <v>29</v>
      </c>
      <c r="MZ300" t="n">
        <v>829</v>
      </c>
      <c r="NA300" t="n">
        <v>28</v>
      </c>
      <c r="NB300" t="n">
        <v>60</v>
      </c>
      <c r="NC300" t="n">
        <v>194</v>
      </c>
      <c r="ND300" t="n">
        <v>4</v>
      </c>
      <c r="NE300" t="n">
        <v>143</v>
      </c>
      <c r="NF300" t="n">
        <v>17</v>
      </c>
      <c r="NG300" t="n">
        <v>30</v>
      </c>
      <c r="NH300" t="n">
        <v>7</v>
      </c>
      <c r="NI300" t="n">
        <v>15</v>
      </c>
      <c r="NJ300" t="n">
        <v>142</v>
      </c>
      <c r="NK300" t="n">
        <v>24</v>
      </c>
      <c r="NL300" t="n">
        <v>295</v>
      </c>
      <c r="NM300" t="n">
        <v>185</v>
      </c>
      <c r="NN300" t="n">
        <v>46</v>
      </c>
      <c r="NO300" t="n">
        <v>90</v>
      </c>
      <c r="NP300" t="n">
        <v>108</v>
      </c>
      <c r="NQ300" t="n">
        <v>7</v>
      </c>
      <c r="NR300" t="n">
        <v>54</v>
      </c>
      <c r="NS300" t="n">
        <v>12</v>
      </c>
      <c r="NT300" t="n">
        <v>14</v>
      </c>
      <c r="NU300" t="n">
        <v>3</v>
      </c>
      <c r="NV300" t="n">
        <v>47</v>
      </c>
      <c r="NW300" t="n">
        <v>0</v>
      </c>
      <c r="NX300" t="n">
        <v>8</v>
      </c>
      <c r="NY300" t="n">
        <v>87</v>
      </c>
      <c r="NZ300" t="n">
        <v>5</v>
      </c>
      <c r="OA300" t="n">
        <v>82</v>
      </c>
      <c r="OB300" t="n">
        <v>52</v>
      </c>
      <c r="OD300" t="n">
        <v>3</v>
      </c>
      <c r="OE300" t="n">
        <v>239</v>
      </c>
      <c r="OF300" t="n">
        <v>854</v>
      </c>
      <c r="OG300" t="n">
        <v>243</v>
      </c>
      <c r="OI300" t="n">
        <v>51</v>
      </c>
      <c r="OJ300" t="n">
        <v>15</v>
      </c>
      <c r="OK300" t="n">
        <v>235</v>
      </c>
      <c r="OL300" t="n">
        <v>61</v>
      </c>
      <c r="ON300" t="n">
        <v>2721</v>
      </c>
      <c r="OO300" t="n">
        <v>143680</v>
      </c>
      <c r="OP300" t="n">
        <v>11399</v>
      </c>
      <c r="OV300" t="n">
        <v>685</v>
      </c>
      <c r="PI300" t="n">
        <v>155764</v>
      </c>
      <c r="PM300">
        <f>IFERROR(VLOOKUP($A300&amp;"",Key!$A:$C,3,FALSE),"")</f>
        <v/>
      </c>
    </row>
    <row r="301">
      <c r="A301" t="n">
        <v>492000</v>
      </c>
      <c r="B301" t="inlineStr">
        <is>
          <t>Couriers and messengers</t>
        </is>
      </c>
      <c r="X301" t="n">
        <v>34</v>
      </c>
      <c r="EB301" t="n">
        <v>0</v>
      </c>
      <c r="EL301" t="n">
        <v>0</v>
      </c>
      <c r="IB301" t="n">
        <v>25</v>
      </c>
      <c r="JD301" t="n">
        <v>1</v>
      </c>
      <c r="JK301" t="n">
        <v>2360</v>
      </c>
      <c r="JL301" t="n">
        <v>3672</v>
      </c>
      <c r="JM301" t="n">
        <v>6272</v>
      </c>
      <c r="JN301" t="n">
        <v>3666</v>
      </c>
      <c r="JO301" t="n">
        <v>7175</v>
      </c>
      <c r="JP301" t="n">
        <v>3610</v>
      </c>
      <c r="JQ301" t="n">
        <v>3456</v>
      </c>
      <c r="JR301" t="n">
        <v>679</v>
      </c>
      <c r="JS301" t="n">
        <v>7925</v>
      </c>
      <c r="JT301" t="n">
        <v>818</v>
      </c>
      <c r="JV301" t="n">
        <v>1124</v>
      </c>
      <c r="JW301" t="n">
        <v>1086</v>
      </c>
      <c r="JX301" t="n">
        <v>360</v>
      </c>
      <c r="JY301" t="n">
        <v>658</v>
      </c>
      <c r="JZ301" t="n">
        <v>622</v>
      </c>
      <c r="KA301" t="n">
        <v>345</v>
      </c>
      <c r="KB301" t="n">
        <v>725</v>
      </c>
      <c r="KC301" t="n">
        <v>4143</v>
      </c>
      <c r="KD301" t="n">
        <v>1173</v>
      </c>
      <c r="KE301" t="n">
        <v>1</v>
      </c>
      <c r="KF301" t="n">
        <v>1</v>
      </c>
      <c r="KG301" t="n">
        <v>564</v>
      </c>
      <c r="KH301" t="n">
        <v>15114</v>
      </c>
      <c r="KI301" t="n">
        <v>381</v>
      </c>
      <c r="KJ301" t="n">
        <v>14</v>
      </c>
      <c r="KK301" t="n">
        <v>231</v>
      </c>
      <c r="KL301" t="n">
        <v>1234</v>
      </c>
      <c r="KM301" t="n">
        <v>1444</v>
      </c>
      <c r="KN301" t="n">
        <v>206</v>
      </c>
      <c r="KO301" t="n">
        <v>240</v>
      </c>
      <c r="KP301" t="n">
        <v>448</v>
      </c>
      <c r="KQ301" t="n">
        <v>149</v>
      </c>
      <c r="KR301" t="n">
        <v>64</v>
      </c>
      <c r="KS301" t="n">
        <v>319</v>
      </c>
      <c r="KT301" t="n">
        <v>39</v>
      </c>
      <c r="KU301" t="n">
        <v>0</v>
      </c>
      <c r="KW301" t="n">
        <v>3</v>
      </c>
      <c r="KY301" t="n">
        <v>23</v>
      </c>
      <c r="KZ301" t="n">
        <v>1387</v>
      </c>
      <c r="LA301" t="n">
        <v>845</v>
      </c>
      <c r="LB301" t="n">
        <v>0</v>
      </c>
      <c r="LC301" t="n">
        <v>430</v>
      </c>
      <c r="LD301" t="n">
        <v>470</v>
      </c>
      <c r="LE301" t="n">
        <v>2879</v>
      </c>
      <c r="LF301" t="n">
        <v>427</v>
      </c>
      <c r="LH301" t="n">
        <v>8</v>
      </c>
      <c r="LI301" t="n">
        <v>59</v>
      </c>
      <c r="LN301" t="n">
        <v>263</v>
      </c>
      <c r="LO301" t="n">
        <v>642</v>
      </c>
      <c r="LP301" t="n">
        <v>84</v>
      </c>
      <c r="LQ301" t="n">
        <v>1569</v>
      </c>
      <c r="LR301" t="n">
        <v>532</v>
      </c>
      <c r="LS301" t="n">
        <v>149</v>
      </c>
      <c r="LT301" t="n">
        <v>465</v>
      </c>
      <c r="LU301" t="n">
        <v>58</v>
      </c>
      <c r="LV301" t="n">
        <v>543</v>
      </c>
      <c r="LW301" t="n">
        <v>223</v>
      </c>
      <c r="LX301" t="n">
        <v>1469</v>
      </c>
      <c r="LY301" t="n">
        <v>102</v>
      </c>
      <c r="LZ301" t="n">
        <v>286</v>
      </c>
      <c r="MA301" t="n">
        <v>636</v>
      </c>
      <c r="MB301" t="n">
        <v>92</v>
      </c>
      <c r="MC301" t="n">
        <v>54</v>
      </c>
      <c r="MD301" t="n">
        <v>38</v>
      </c>
      <c r="ME301" t="n">
        <v>157</v>
      </c>
      <c r="MF301" t="n">
        <v>6</v>
      </c>
      <c r="MG301" t="n">
        <v>295</v>
      </c>
      <c r="MH301" t="n">
        <v>52</v>
      </c>
      <c r="MI301" t="n">
        <v>54</v>
      </c>
      <c r="MJ301" t="n">
        <v>18</v>
      </c>
      <c r="MK301" t="n">
        <v>757</v>
      </c>
      <c r="ML301" t="n">
        <v>171</v>
      </c>
      <c r="MM301" t="n">
        <v>62</v>
      </c>
      <c r="MN301" t="n">
        <v>220</v>
      </c>
      <c r="MO301" t="n">
        <v>243</v>
      </c>
      <c r="MP301" t="n">
        <v>10</v>
      </c>
      <c r="MQ301" t="n">
        <v>28</v>
      </c>
      <c r="MR301" t="n">
        <v>240</v>
      </c>
      <c r="MS301" t="n">
        <v>549</v>
      </c>
      <c r="MT301" t="n">
        <v>102</v>
      </c>
      <c r="MU301" t="n">
        <v>77</v>
      </c>
      <c r="MV301" t="n">
        <v>231</v>
      </c>
      <c r="MW301" t="n">
        <v>86</v>
      </c>
      <c r="MX301" t="n">
        <v>82</v>
      </c>
      <c r="MY301" t="n">
        <v>74</v>
      </c>
      <c r="MZ301" t="n">
        <v>2113</v>
      </c>
      <c r="NA301" t="n">
        <v>71</v>
      </c>
      <c r="NB301" t="n">
        <v>153</v>
      </c>
      <c r="NC301" t="n">
        <v>522</v>
      </c>
      <c r="ND301" t="n">
        <v>11</v>
      </c>
      <c r="NE301" t="n">
        <v>480</v>
      </c>
      <c r="NF301" t="n">
        <v>44</v>
      </c>
      <c r="NG301" t="n">
        <v>13</v>
      </c>
      <c r="NH301" t="n">
        <v>20</v>
      </c>
      <c r="NI301" t="n">
        <v>43</v>
      </c>
      <c r="NJ301" t="n">
        <v>179</v>
      </c>
      <c r="NK301" t="n">
        <v>7</v>
      </c>
      <c r="NL301" t="n">
        <v>13</v>
      </c>
      <c r="NM301" t="n">
        <v>39</v>
      </c>
      <c r="NN301" t="n">
        <v>52</v>
      </c>
      <c r="NO301" t="n">
        <v>228</v>
      </c>
      <c r="NP301" t="n">
        <v>274</v>
      </c>
      <c r="NQ301" t="n">
        <v>19</v>
      </c>
      <c r="NR301" t="n">
        <v>47</v>
      </c>
      <c r="NS301" t="n">
        <v>32</v>
      </c>
      <c r="NT301" t="n">
        <v>37</v>
      </c>
      <c r="NU301" t="n">
        <v>10</v>
      </c>
      <c r="NV301" t="n">
        <v>121</v>
      </c>
      <c r="NW301" t="n">
        <v>0</v>
      </c>
      <c r="NX301" t="n">
        <v>20</v>
      </c>
      <c r="NY301" t="n">
        <v>197</v>
      </c>
      <c r="NZ301" t="n">
        <v>122</v>
      </c>
      <c r="OA301" t="n">
        <v>231</v>
      </c>
      <c r="OB301" t="n">
        <v>144</v>
      </c>
      <c r="OD301" t="n">
        <v>3</v>
      </c>
      <c r="OF301" t="n">
        <v>11</v>
      </c>
      <c r="OH301" t="n">
        <v>6</v>
      </c>
      <c r="OI301" t="n">
        <v>86</v>
      </c>
      <c r="OJ301" t="n">
        <v>39</v>
      </c>
      <c r="OK301" t="n">
        <v>244</v>
      </c>
      <c r="ON301" t="n">
        <v>211</v>
      </c>
      <c r="OO301" t="n">
        <v>93464</v>
      </c>
      <c r="OP301" t="n">
        <v>6456</v>
      </c>
      <c r="OV301" t="n">
        <v>9411</v>
      </c>
      <c r="PI301" t="n">
        <v>109331</v>
      </c>
      <c r="PM301">
        <f>IFERROR(VLOOKUP($A301&amp;"",Key!$A:$C,3,FALSE),"")</f>
        <v/>
      </c>
    </row>
    <row r="302">
      <c r="A302" t="n">
        <v>493000</v>
      </c>
      <c r="B302" t="inlineStr">
        <is>
          <t>Warehousing and storage</t>
        </is>
      </c>
      <c r="C302" t="n">
        <v>164</v>
      </c>
      <c r="D302" t="n">
        <v>54</v>
      </c>
      <c r="E302" t="n">
        <v>70</v>
      </c>
      <c r="F302" t="n">
        <v>82</v>
      </c>
      <c r="G302" t="n">
        <v>29</v>
      </c>
      <c r="H302" t="n">
        <v>96</v>
      </c>
      <c r="I302" t="n">
        <v>18</v>
      </c>
      <c r="J302" t="n">
        <v>27</v>
      </c>
      <c r="K302" t="n">
        <v>83</v>
      </c>
      <c r="L302" t="n">
        <v>118</v>
      </c>
      <c r="P302" t="n">
        <v>4</v>
      </c>
      <c r="Q302" t="n">
        <v>12</v>
      </c>
      <c r="S302" t="n">
        <v>2</v>
      </c>
      <c r="T302" t="n">
        <v>110</v>
      </c>
      <c r="X302" t="n">
        <v>663</v>
      </c>
      <c r="Y302" t="n">
        <v>65</v>
      </c>
      <c r="Z302" t="n">
        <v>45</v>
      </c>
      <c r="AM302" t="n">
        <v>188</v>
      </c>
      <c r="AN302" t="n">
        <v>229</v>
      </c>
      <c r="AO302" t="n">
        <v>235</v>
      </c>
      <c r="AP302" t="n">
        <v>318</v>
      </c>
      <c r="AQ302" t="n">
        <v>179</v>
      </c>
      <c r="AR302" t="n">
        <v>469</v>
      </c>
      <c r="AS302" t="n">
        <v>92</v>
      </c>
      <c r="AT302" t="n">
        <v>356</v>
      </c>
      <c r="AU302" t="n">
        <v>130</v>
      </c>
      <c r="AV302" t="n">
        <v>178</v>
      </c>
      <c r="AW302" t="n">
        <v>74</v>
      </c>
      <c r="AX302" t="n">
        <v>55</v>
      </c>
      <c r="AY302" t="n">
        <v>62</v>
      </c>
      <c r="AZ302" t="n">
        <v>28</v>
      </c>
      <c r="BA302" t="n">
        <v>80</v>
      </c>
      <c r="BB302" t="n">
        <v>35</v>
      </c>
      <c r="BC302" t="n">
        <v>14</v>
      </c>
      <c r="BD302" t="n">
        <v>8</v>
      </c>
      <c r="BE302" t="n">
        <v>2</v>
      </c>
      <c r="BF302" t="n">
        <v>5</v>
      </c>
      <c r="BG302" t="n">
        <v>7</v>
      </c>
      <c r="BH302" t="n">
        <v>4</v>
      </c>
      <c r="BI302" t="n">
        <v>5</v>
      </c>
      <c r="BJ302" t="n">
        <v>4</v>
      </c>
      <c r="BK302" t="n">
        <v>9</v>
      </c>
      <c r="BL302" t="n">
        <v>13</v>
      </c>
      <c r="BM302" t="n">
        <v>8</v>
      </c>
      <c r="BN302" t="n">
        <v>15</v>
      </c>
      <c r="BO302" t="n">
        <v>30</v>
      </c>
      <c r="BP302" t="n">
        <v>26</v>
      </c>
      <c r="BQ302" t="n">
        <v>72</v>
      </c>
      <c r="BR302" t="n">
        <v>75</v>
      </c>
      <c r="BS302" t="n">
        <v>8</v>
      </c>
      <c r="BT302" t="n">
        <v>10</v>
      </c>
      <c r="BU302" t="n">
        <v>12</v>
      </c>
      <c r="BV302" t="n">
        <v>23</v>
      </c>
      <c r="BW302" t="n">
        <v>18</v>
      </c>
      <c r="BX302" t="n">
        <v>76</v>
      </c>
      <c r="BY302" t="n">
        <v>58</v>
      </c>
      <c r="BZ302" t="n">
        <v>50</v>
      </c>
      <c r="CA302" t="n">
        <v>9</v>
      </c>
      <c r="CB302" t="n">
        <v>36</v>
      </c>
      <c r="CC302" t="n">
        <v>10</v>
      </c>
      <c r="CD302" t="n">
        <v>7</v>
      </c>
      <c r="CE302" t="n">
        <v>13</v>
      </c>
      <c r="CF302" t="n">
        <v>28</v>
      </c>
      <c r="CG302" t="n">
        <v>29</v>
      </c>
      <c r="CH302" t="n">
        <v>6</v>
      </c>
      <c r="CI302" t="n">
        <v>19</v>
      </c>
      <c r="CJ302" t="n">
        <v>27</v>
      </c>
      <c r="CK302" t="n">
        <v>11</v>
      </c>
      <c r="CL302" t="n">
        <v>61</v>
      </c>
      <c r="CM302" t="n">
        <v>8</v>
      </c>
      <c r="CN302" t="n">
        <v>2</v>
      </c>
      <c r="CO302" t="n">
        <v>37</v>
      </c>
      <c r="CP302" t="n">
        <v>7</v>
      </c>
      <c r="CQ302" t="n">
        <v>45</v>
      </c>
      <c r="CR302" t="n">
        <v>8</v>
      </c>
      <c r="CS302" t="n">
        <v>18</v>
      </c>
      <c r="CT302" t="n">
        <v>20</v>
      </c>
      <c r="CU302" t="n">
        <v>12</v>
      </c>
      <c r="CV302" t="n">
        <v>19</v>
      </c>
      <c r="CW302" t="n">
        <v>11</v>
      </c>
      <c r="CX302" t="n">
        <v>4</v>
      </c>
      <c r="CY302" t="n">
        <v>5</v>
      </c>
      <c r="CZ302" t="n">
        <v>29</v>
      </c>
      <c r="DA302" t="n">
        <v>8</v>
      </c>
      <c r="DB302" t="n">
        <v>21</v>
      </c>
      <c r="DC302" t="n">
        <v>35</v>
      </c>
      <c r="DD302" t="n">
        <v>4</v>
      </c>
      <c r="DE302" t="n">
        <v>9</v>
      </c>
      <c r="DF302" t="n">
        <v>4</v>
      </c>
      <c r="DG302" t="n">
        <v>42</v>
      </c>
      <c r="DH302" t="n">
        <v>15</v>
      </c>
      <c r="DI302" t="n">
        <v>0</v>
      </c>
      <c r="DJ302" t="n">
        <v>1</v>
      </c>
      <c r="DK302" t="n">
        <v>2</v>
      </c>
      <c r="DL302" t="n">
        <v>14</v>
      </c>
      <c r="DM302" t="n">
        <v>21</v>
      </c>
      <c r="DN302" t="n">
        <v>5</v>
      </c>
      <c r="DO302" t="n">
        <v>38</v>
      </c>
      <c r="DP302" t="n">
        <v>14</v>
      </c>
      <c r="DQ302" t="n">
        <v>31</v>
      </c>
      <c r="DR302" t="n">
        <v>53</v>
      </c>
      <c r="DS302" t="n">
        <v>95</v>
      </c>
      <c r="DT302" t="n">
        <v>5</v>
      </c>
      <c r="DU302" t="n">
        <v>14</v>
      </c>
      <c r="DV302" t="n">
        <v>8</v>
      </c>
      <c r="DW302" t="n">
        <v>189</v>
      </c>
      <c r="DX302" t="n">
        <v>26</v>
      </c>
      <c r="DY302" t="n">
        <v>10</v>
      </c>
      <c r="DZ302" t="n">
        <v>17</v>
      </c>
      <c r="EA302" t="n">
        <v>3</v>
      </c>
      <c r="EB302" t="n">
        <v>4</v>
      </c>
      <c r="EC302" t="n">
        <v>1</v>
      </c>
      <c r="ED302" t="n">
        <v>8</v>
      </c>
      <c r="EE302" t="n">
        <v>2</v>
      </c>
      <c r="EF302" t="n">
        <v>11</v>
      </c>
      <c r="EG302" t="n">
        <v>3</v>
      </c>
      <c r="EH302" t="n">
        <v>7</v>
      </c>
      <c r="EI302" t="n">
        <v>7</v>
      </c>
      <c r="EJ302" t="n">
        <v>9</v>
      </c>
      <c r="EK302" t="n">
        <v>3</v>
      </c>
      <c r="EL302" t="n">
        <v>0</v>
      </c>
      <c r="EM302" t="n">
        <v>9</v>
      </c>
      <c r="EN302" t="n">
        <v>3</v>
      </c>
      <c r="EO302" t="n">
        <v>1</v>
      </c>
      <c r="EP302" t="n">
        <v>14</v>
      </c>
      <c r="EQ302" t="n">
        <v>2</v>
      </c>
      <c r="ER302" t="n">
        <v>13</v>
      </c>
      <c r="ES302" t="n">
        <v>3</v>
      </c>
      <c r="ET302" t="n">
        <v>3</v>
      </c>
      <c r="EV302" t="n">
        <v>0</v>
      </c>
      <c r="EW302" t="n">
        <v>4</v>
      </c>
      <c r="EX302" t="n">
        <v>11</v>
      </c>
      <c r="EY302" t="n">
        <v>8</v>
      </c>
      <c r="EZ302" t="n">
        <v>8</v>
      </c>
      <c r="FA302" t="n">
        <v>10</v>
      </c>
      <c r="FB302" t="n">
        <v>7</v>
      </c>
      <c r="FC302" t="n">
        <v>6</v>
      </c>
      <c r="FD302" t="n">
        <v>6</v>
      </c>
      <c r="FE302" t="n">
        <v>19</v>
      </c>
      <c r="FF302" t="n">
        <v>32</v>
      </c>
      <c r="FG302" t="n">
        <v>13</v>
      </c>
      <c r="FH302" t="n">
        <v>23</v>
      </c>
      <c r="FI302" t="n">
        <v>14</v>
      </c>
      <c r="FJ302" t="n">
        <v>7</v>
      </c>
      <c r="FK302" t="n">
        <v>14</v>
      </c>
      <c r="FL302" t="n">
        <v>5</v>
      </c>
      <c r="FM302" t="n">
        <v>4</v>
      </c>
      <c r="FN302" t="n">
        <v>1</v>
      </c>
      <c r="FO302" t="n">
        <v>2</v>
      </c>
      <c r="FP302" t="n">
        <v>16</v>
      </c>
      <c r="FQ302" t="n">
        <v>20</v>
      </c>
      <c r="FR302" t="n">
        <v>7</v>
      </c>
      <c r="FS302" t="n">
        <v>11</v>
      </c>
      <c r="FT302" t="n">
        <v>0</v>
      </c>
      <c r="FU302" t="n">
        <v>11</v>
      </c>
      <c r="FV302" t="n">
        <v>26</v>
      </c>
      <c r="FW302" t="n">
        <v>13</v>
      </c>
      <c r="FX302" t="n">
        <v>82</v>
      </c>
      <c r="FY302" t="n">
        <v>86</v>
      </c>
      <c r="FZ302" t="n">
        <v>17</v>
      </c>
      <c r="GA302" t="n">
        <v>9</v>
      </c>
      <c r="GB302" t="n">
        <v>33</v>
      </c>
      <c r="GC302" t="n">
        <v>19</v>
      </c>
      <c r="GD302" t="n">
        <v>36</v>
      </c>
      <c r="GE302" t="n">
        <v>2</v>
      </c>
      <c r="GF302" t="n">
        <v>10</v>
      </c>
      <c r="GG302" t="n">
        <v>47</v>
      </c>
      <c r="GH302" t="n">
        <v>85</v>
      </c>
      <c r="GI302" t="n">
        <v>42</v>
      </c>
      <c r="GJ302" t="n">
        <v>47</v>
      </c>
      <c r="GK302" t="n">
        <v>102</v>
      </c>
      <c r="GL302" t="n">
        <v>30</v>
      </c>
      <c r="GM302" t="n">
        <v>15</v>
      </c>
      <c r="GP302" t="n">
        <v>159</v>
      </c>
      <c r="GQ302" t="n">
        <v>110</v>
      </c>
      <c r="GR302" t="n">
        <v>161</v>
      </c>
      <c r="GS302" t="n">
        <v>71</v>
      </c>
      <c r="GT302" t="n">
        <v>35</v>
      </c>
      <c r="GU302" t="n">
        <v>91</v>
      </c>
      <c r="GV302" t="n">
        <v>23</v>
      </c>
      <c r="GW302" t="n">
        <v>146</v>
      </c>
      <c r="GX302" t="n">
        <v>315</v>
      </c>
      <c r="GY302" t="n">
        <v>44</v>
      </c>
      <c r="GZ302" t="n">
        <v>251</v>
      </c>
      <c r="HA302" t="n">
        <v>118</v>
      </c>
      <c r="HB302" t="n">
        <v>99</v>
      </c>
      <c r="HC302" t="n">
        <v>20</v>
      </c>
      <c r="HD302" t="n">
        <v>50</v>
      </c>
      <c r="HE302" t="n">
        <v>52</v>
      </c>
      <c r="HF302" t="n">
        <v>92</v>
      </c>
      <c r="HG302" t="n">
        <v>463</v>
      </c>
      <c r="HH302" t="n">
        <v>278</v>
      </c>
      <c r="HI302" t="n">
        <v>193</v>
      </c>
      <c r="HJ302" t="n">
        <v>68</v>
      </c>
      <c r="HL302" t="n">
        <v>95</v>
      </c>
      <c r="HM302" t="n">
        <v>283</v>
      </c>
      <c r="HN302" t="n">
        <v>100</v>
      </c>
      <c r="HO302" t="n">
        <v>52</v>
      </c>
      <c r="HP302" t="n">
        <v>42</v>
      </c>
      <c r="HQ302" t="n">
        <v>115</v>
      </c>
      <c r="HR302" t="n">
        <v>82</v>
      </c>
      <c r="HS302" t="n">
        <v>5</v>
      </c>
      <c r="HT302" t="n">
        <v>55</v>
      </c>
      <c r="HU302" t="n">
        <v>536</v>
      </c>
      <c r="HV302" t="n">
        <v>280</v>
      </c>
      <c r="HW302" t="n">
        <v>1054</v>
      </c>
      <c r="HX302" t="n">
        <v>310</v>
      </c>
      <c r="HY302" t="n">
        <v>121</v>
      </c>
      <c r="HZ302" t="n">
        <v>83</v>
      </c>
      <c r="IA302" t="n">
        <v>82</v>
      </c>
      <c r="IB302" t="n">
        <v>699</v>
      </c>
      <c r="IC302" t="n">
        <v>47</v>
      </c>
      <c r="ID302" t="n">
        <v>587</v>
      </c>
      <c r="IE302" t="n">
        <v>74</v>
      </c>
      <c r="IF302" t="n">
        <v>39</v>
      </c>
      <c r="IG302" t="n">
        <v>108</v>
      </c>
      <c r="IH302" t="n">
        <v>86</v>
      </c>
      <c r="II302" t="n">
        <v>109</v>
      </c>
      <c r="IJ302" t="n">
        <v>70</v>
      </c>
      <c r="IK302" t="n">
        <v>283</v>
      </c>
      <c r="IL302" t="n">
        <v>593</v>
      </c>
      <c r="IM302" t="n">
        <v>292</v>
      </c>
      <c r="IN302" t="n">
        <v>84</v>
      </c>
      <c r="IO302" t="n">
        <v>25</v>
      </c>
      <c r="IP302" t="n">
        <v>264</v>
      </c>
      <c r="IQ302" t="n">
        <v>29</v>
      </c>
      <c r="IR302" t="n">
        <v>14</v>
      </c>
      <c r="IS302" t="n">
        <v>54</v>
      </c>
      <c r="IT302" t="n">
        <v>25</v>
      </c>
      <c r="IU302" t="n">
        <v>100</v>
      </c>
      <c r="IV302" t="n">
        <v>53</v>
      </c>
      <c r="IW302" t="n">
        <v>110</v>
      </c>
      <c r="IX302" t="n">
        <v>101</v>
      </c>
      <c r="IY302" t="n">
        <v>29</v>
      </c>
      <c r="IZ302" t="n">
        <v>238</v>
      </c>
      <c r="JA302" t="n">
        <v>367</v>
      </c>
      <c r="JB302" t="n">
        <v>195</v>
      </c>
      <c r="JC302" t="n">
        <v>49</v>
      </c>
      <c r="JD302" t="n">
        <v>100</v>
      </c>
      <c r="JE302" t="n">
        <v>94</v>
      </c>
      <c r="JF302" t="n">
        <v>101</v>
      </c>
      <c r="JG302" t="n">
        <v>1314</v>
      </c>
      <c r="JH302" t="n">
        <v>213</v>
      </c>
      <c r="JI302" t="n">
        <v>58</v>
      </c>
      <c r="JJ302" t="n">
        <v>266</v>
      </c>
      <c r="JK302" t="n">
        <v>1884</v>
      </c>
      <c r="JL302" t="n">
        <v>2941</v>
      </c>
      <c r="JM302" t="n">
        <v>4595</v>
      </c>
      <c r="JN302" t="n">
        <v>1830</v>
      </c>
      <c r="JO302" t="n">
        <v>4086</v>
      </c>
      <c r="JP302" t="n">
        <v>2460</v>
      </c>
      <c r="JQ302" t="n">
        <v>2241</v>
      </c>
      <c r="JR302" t="n">
        <v>919</v>
      </c>
      <c r="JS302" t="n">
        <v>4236</v>
      </c>
      <c r="JT302" t="n">
        <v>1279</v>
      </c>
      <c r="JV302" t="n">
        <v>7813</v>
      </c>
      <c r="JW302" t="n">
        <v>5744</v>
      </c>
      <c r="JX302" t="n">
        <v>4171</v>
      </c>
      <c r="JY302" t="n">
        <v>970</v>
      </c>
      <c r="JZ302" t="n">
        <v>379</v>
      </c>
      <c r="KA302" t="n">
        <v>4259</v>
      </c>
      <c r="KB302" t="n">
        <v>3334</v>
      </c>
      <c r="KC302" t="n">
        <v>9383</v>
      </c>
      <c r="KD302" t="n">
        <v>3009</v>
      </c>
      <c r="KE302" t="n">
        <v>72</v>
      </c>
      <c r="KF302" t="n">
        <v>1</v>
      </c>
      <c r="KG302" t="n">
        <v>736</v>
      </c>
      <c r="KH302" t="n">
        <v>5383</v>
      </c>
      <c r="KI302" t="n">
        <v>199</v>
      </c>
      <c r="KJ302" t="n">
        <v>47</v>
      </c>
      <c r="KK302" t="n">
        <v>379</v>
      </c>
      <c r="KL302" t="n">
        <v>513</v>
      </c>
      <c r="KM302" t="n">
        <v>6810</v>
      </c>
      <c r="KN302" t="n">
        <v>87</v>
      </c>
      <c r="KO302" t="n">
        <v>93</v>
      </c>
      <c r="KP302" t="n">
        <v>189</v>
      </c>
      <c r="KQ302" t="n">
        <v>56</v>
      </c>
      <c r="KR302" t="n">
        <v>86</v>
      </c>
      <c r="KS302" t="n">
        <v>125</v>
      </c>
      <c r="KT302" t="n">
        <v>13</v>
      </c>
      <c r="KU302" t="n">
        <v>73</v>
      </c>
      <c r="KV302" t="n">
        <v>66</v>
      </c>
      <c r="KW302" t="n">
        <v>168</v>
      </c>
      <c r="KX302" t="n">
        <v>40</v>
      </c>
      <c r="KY302" t="n">
        <v>20</v>
      </c>
      <c r="KZ302" t="n">
        <v>738</v>
      </c>
      <c r="LA302" t="n">
        <v>308</v>
      </c>
      <c r="LB302" t="n">
        <v>1</v>
      </c>
      <c r="LI302" t="n">
        <v>19</v>
      </c>
      <c r="LL302" t="n">
        <v>2</v>
      </c>
      <c r="LM302" t="n">
        <v>142</v>
      </c>
      <c r="LN302" t="n">
        <v>101</v>
      </c>
      <c r="LO302" t="n">
        <v>231</v>
      </c>
      <c r="LP302" t="n">
        <v>81</v>
      </c>
      <c r="LQ302" t="n">
        <v>131</v>
      </c>
      <c r="LR302" t="n">
        <v>215</v>
      </c>
      <c r="LS302" t="n">
        <v>61</v>
      </c>
      <c r="LT302" t="n">
        <v>176</v>
      </c>
      <c r="LU302" t="n">
        <v>23</v>
      </c>
      <c r="LV302" t="n">
        <v>193</v>
      </c>
      <c r="LW302" t="n">
        <v>98</v>
      </c>
      <c r="LX302" t="n">
        <v>264</v>
      </c>
      <c r="LY302" t="n">
        <v>35</v>
      </c>
      <c r="LZ302" t="n">
        <v>146</v>
      </c>
      <c r="MA302" t="n">
        <v>192</v>
      </c>
      <c r="MB302" t="n">
        <v>28</v>
      </c>
      <c r="MC302" t="n">
        <v>15</v>
      </c>
      <c r="MD302" t="n">
        <v>5</v>
      </c>
      <c r="ME302" t="n">
        <v>50</v>
      </c>
      <c r="MF302" t="n">
        <v>10</v>
      </c>
      <c r="MG302" t="n">
        <v>7908</v>
      </c>
      <c r="MH302" t="n">
        <v>1237</v>
      </c>
      <c r="MI302" t="n">
        <v>438</v>
      </c>
      <c r="MJ302" t="n">
        <v>193</v>
      </c>
      <c r="MK302" t="n">
        <v>1001</v>
      </c>
      <c r="ML302" t="n">
        <v>358</v>
      </c>
      <c r="MM302" t="n">
        <v>553</v>
      </c>
      <c r="MN302" t="n">
        <v>279</v>
      </c>
      <c r="MO302" t="n">
        <v>263</v>
      </c>
      <c r="MP302" t="n">
        <v>20</v>
      </c>
      <c r="MQ302" t="n">
        <v>113</v>
      </c>
      <c r="MR302" t="n">
        <v>77</v>
      </c>
      <c r="MS302" t="n">
        <v>198</v>
      </c>
      <c r="MT302" t="n">
        <v>84</v>
      </c>
      <c r="MU302" t="n">
        <v>54</v>
      </c>
      <c r="MV302" t="n">
        <v>157</v>
      </c>
      <c r="MW302" t="n">
        <v>42</v>
      </c>
      <c r="MX302" t="n">
        <v>65</v>
      </c>
      <c r="MY302" t="n">
        <v>38</v>
      </c>
      <c r="MZ302" t="n">
        <v>1064</v>
      </c>
      <c r="NA302" t="n">
        <v>88</v>
      </c>
      <c r="NB302" t="n">
        <v>87</v>
      </c>
      <c r="NC302" t="n">
        <v>184</v>
      </c>
      <c r="ND302" t="n">
        <v>53</v>
      </c>
      <c r="NE302" t="n">
        <v>127</v>
      </c>
      <c r="NF302" t="n">
        <v>40</v>
      </c>
      <c r="NG302" t="n">
        <v>9</v>
      </c>
      <c r="NH302" t="n">
        <v>31</v>
      </c>
      <c r="NI302" t="n">
        <v>23</v>
      </c>
      <c r="NJ302" t="n">
        <v>97</v>
      </c>
      <c r="NK302" t="n">
        <v>12</v>
      </c>
      <c r="NL302" t="n">
        <v>21</v>
      </c>
      <c r="NM302" t="n">
        <v>58</v>
      </c>
      <c r="NN302" t="n">
        <v>572</v>
      </c>
      <c r="NO302" t="n">
        <v>346</v>
      </c>
      <c r="NP302" t="n">
        <v>291</v>
      </c>
      <c r="NQ302" t="n">
        <v>331</v>
      </c>
      <c r="NR302" t="n">
        <v>115</v>
      </c>
      <c r="NS302" t="n">
        <v>30</v>
      </c>
      <c r="NT302" t="n">
        <v>43</v>
      </c>
      <c r="NU302" t="n">
        <v>42</v>
      </c>
      <c r="NV302" t="n">
        <v>112</v>
      </c>
      <c r="NW302" t="n">
        <v>2</v>
      </c>
      <c r="NX302" t="n">
        <v>28</v>
      </c>
      <c r="NY302" t="n">
        <v>104</v>
      </c>
      <c r="OA302" t="n">
        <v>76</v>
      </c>
      <c r="OB302" t="n">
        <v>64</v>
      </c>
      <c r="OD302" t="n">
        <v>305</v>
      </c>
      <c r="OE302" t="n">
        <v>1288</v>
      </c>
      <c r="OI302" t="n">
        <v>1174</v>
      </c>
      <c r="OJ302" t="n">
        <v>1409</v>
      </c>
      <c r="OK302" t="n">
        <v>2707</v>
      </c>
      <c r="OL302" t="n">
        <v>34</v>
      </c>
      <c r="ON302" t="n">
        <v>69</v>
      </c>
      <c r="OO302" t="n">
        <v>128203</v>
      </c>
      <c r="OP302" t="n">
        <v>251</v>
      </c>
      <c r="OV302" t="n">
        <v>166</v>
      </c>
      <c r="PI302" t="n">
        <v>128619</v>
      </c>
      <c r="PM302">
        <f>IFERROR(VLOOKUP($A302&amp;"",Key!$A:$C,3,FALSE),"")</f>
        <v/>
      </c>
    </row>
    <row r="303">
      <c r="A303" t="n">
        <v>511110</v>
      </c>
      <c r="B303" t="inlineStr">
        <is>
          <t>Newspaper publishers</t>
        </is>
      </c>
      <c r="X303" t="n">
        <v>2</v>
      </c>
      <c r="JW303" t="n">
        <v>52</v>
      </c>
      <c r="JY303" t="n">
        <v>157</v>
      </c>
      <c r="KA303" t="n">
        <v>45</v>
      </c>
      <c r="KN303" t="n">
        <v>43</v>
      </c>
      <c r="LB303" t="n">
        <v>0</v>
      </c>
      <c r="LX303" t="n">
        <v>7</v>
      </c>
      <c r="MF303" t="n">
        <v>56</v>
      </c>
      <c r="MR303" t="n">
        <v>30</v>
      </c>
      <c r="NC303" t="n">
        <v>30</v>
      </c>
      <c r="NE303" t="n">
        <v>50</v>
      </c>
      <c r="OE303" t="n">
        <v>14</v>
      </c>
      <c r="OK303" t="n">
        <v>5</v>
      </c>
      <c r="OO303" t="n">
        <v>491</v>
      </c>
      <c r="OP303" t="n">
        <v>17764</v>
      </c>
      <c r="OU303" t="n">
        <v>-377</v>
      </c>
      <c r="OV303" t="n">
        <v>480</v>
      </c>
      <c r="PI303" t="n">
        <v>18358</v>
      </c>
      <c r="PM303">
        <f>IFERROR(VLOOKUP($A303&amp;"",Key!$A:$C,3,FALSE),"")</f>
        <v/>
      </c>
    </row>
    <row r="304">
      <c r="A304" t="n">
        <v>511120</v>
      </c>
      <c r="B304" t="inlineStr">
        <is>
          <t>Periodical Publishers</t>
        </is>
      </c>
      <c r="C304" t="n">
        <v>2</v>
      </c>
      <c r="D304" t="n">
        <v>4</v>
      </c>
      <c r="I304" t="n">
        <v>8</v>
      </c>
      <c r="K304" t="n">
        <v>3</v>
      </c>
      <c r="P304" t="n">
        <v>0</v>
      </c>
      <c r="X304" t="n">
        <v>3</v>
      </c>
      <c r="Y304" t="n">
        <v>1</v>
      </c>
      <c r="AT304" t="n">
        <v>1</v>
      </c>
      <c r="AV304" t="n">
        <v>1</v>
      </c>
      <c r="BC304" t="n">
        <v>1</v>
      </c>
      <c r="BR304" t="n">
        <v>2</v>
      </c>
      <c r="BX304" t="n">
        <v>1</v>
      </c>
      <c r="CF304" t="n">
        <v>0</v>
      </c>
      <c r="CI304" t="n">
        <v>1</v>
      </c>
      <c r="DK304" t="n">
        <v>0</v>
      </c>
      <c r="DM304" t="n">
        <v>0</v>
      </c>
      <c r="DS304" t="n">
        <v>0</v>
      </c>
      <c r="DU304" t="n">
        <v>0</v>
      </c>
      <c r="EH304" t="n">
        <v>0</v>
      </c>
      <c r="EJ304" t="n">
        <v>1</v>
      </c>
      <c r="EN304" t="n">
        <v>1</v>
      </c>
      <c r="EP304" t="n">
        <v>0</v>
      </c>
      <c r="EZ304" t="n">
        <v>1</v>
      </c>
      <c r="FC304" t="n">
        <v>1</v>
      </c>
      <c r="FE304" t="n">
        <v>0</v>
      </c>
      <c r="FG304" t="n">
        <v>1</v>
      </c>
      <c r="FK304" t="n">
        <v>0</v>
      </c>
      <c r="FX304" t="n">
        <v>0</v>
      </c>
      <c r="FY304" t="n">
        <v>1</v>
      </c>
      <c r="GD304" t="n">
        <v>0</v>
      </c>
      <c r="GH304" t="n">
        <v>3</v>
      </c>
      <c r="GZ304" t="n">
        <v>1</v>
      </c>
      <c r="HG304" t="n">
        <v>1</v>
      </c>
      <c r="IB304" t="n">
        <v>4</v>
      </c>
      <c r="IM304" t="n">
        <v>1</v>
      </c>
      <c r="IX304" t="n">
        <v>3</v>
      </c>
      <c r="IZ304" t="n">
        <v>1</v>
      </c>
      <c r="JJ304" t="n">
        <v>1</v>
      </c>
      <c r="JK304" t="n">
        <v>12</v>
      </c>
      <c r="JM304" t="n">
        <v>11</v>
      </c>
      <c r="JN304" t="n">
        <v>7</v>
      </c>
      <c r="JO304" t="n">
        <v>61</v>
      </c>
      <c r="JQ304" t="n">
        <v>22</v>
      </c>
      <c r="JR304" t="n">
        <v>4</v>
      </c>
      <c r="JS304" t="n">
        <v>17</v>
      </c>
      <c r="JT304" t="n">
        <v>49</v>
      </c>
      <c r="JV304" t="n">
        <v>3</v>
      </c>
      <c r="JW304" t="n">
        <v>25</v>
      </c>
      <c r="JY304" t="n">
        <v>13</v>
      </c>
      <c r="JZ304" t="n">
        <v>18</v>
      </c>
      <c r="KA304" t="n">
        <v>56</v>
      </c>
      <c r="KB304" t="n">
        <v>3</v>
      </c>
      <c r="KC304" t="n">
        <v>35</v>
      </c>
      <c r="KD304" t="n">
        <v>2</v>
      </c>
      <c r="KE304" t="n">
        <v>3</v>
      </c>
      <c r="KF304" t="n">
        <v>1</v>
      </c>
      <c r="KH304" t="n">
        <v>10</v>
      </c>
      <c r="KK304" t="n">
        <v>64</v>
      </c>
      <c r="KL304" t="n">
        <v>3</v>
      </c>
      <c r="KM304" t="n">
        <v>20</v>
      </c>
      <c r="KN304" t="n">
        <v>7</v>
      </c>
      <c r="KO304" t="n">
        <v>1863</v>
      </c>
      <c r="KP304" t="n">
        <v>6</v>
      </c>
      <c r="KQ304" t="n">
        <v>3</v>
      </c>
      <c r="KR304" t="n">
        <v>10</v>
      </c>
      <c r="KS304" t="n">
        <v>6</v>
      </c>
      <c r="KW304" t="n">
        <v>7</v>
      </c>
      <c r="KX304" t="n">
        <v>38</v>
      </c>
      <c r="KY304" t="n">
        <v>1</v>
      </c>
      <c r="KZ304" t="n">
        <v>18</v>
      </c>
      <c r="LA304" t="n">
        <v>6</v>
      </c>
      <c r="LB304" t="n">
        <v>2</v>
      </c>
      <c r="LC304" t="n">
        <v>31</v>
      </c>
      <c r="LD304" t="n">
        <v>86</v>
      </c>
      <c r="LE304" t="n">
        <v>83</v>
      </c>
      <c r="LF304" t="n">
        <v>8</v>
      </c>
      <c r="LG304" t="n">
        <v>21</v>
      </c>
      <c r="LH304" t="n">
        <v>32</v>
      </c>
      <c r="LI304" t="n">
        <v>0</v>
      </c>
      <c r="LJ304" t="n">
        <v>24</v>
      </c>
      <c r="LM304" t="n">
        <v>178</v>
      </c>
      <c r="LN304" t="n">
        <v>22</v>
      </c>
      <c r="LO304" t="n">
        <v>7</v>
      </c>
      <c r="LQ304" t="n">
        <v>73</v>
      </c>
      <c r="LR304" t="n">
        <v>27</v>
      </c>
      <c r="LS304" t="n">
        <v>15</v>
      </c>
      <c r="LT304" t="n">
        <v>32</v>
      </c>
      <c r="LU304" t="n">
        <v>10</v>
      </c>
      <c r="LV304" t="n">
        <v>85</v>
      </c>
      <c r="LW304" t="n">
        <v>35</v>
      </c>
      <c r="LX304" t="n">
        <v>147</v>
      </c>
      <c r="LY304" t="n">
        <v>24</v>
      </c>
      <c r="LZ304" t="n">
        <v>208</v>
      </c>
      <c r="MA304" t="n">
        <v>9</v>
      </c>
      <c r="MD304" t="n">
        <v>12</v>
      </c>
      <c r="ME304" t="n">
        <v>3</v>
      </c>
      <c r="MF304" t="n">
        <v>185</v>
      </c>
      <c r="MG304" t="n">
        <v>29</v>
      </c>
      <c r="MH304" t="n">
        <v>14</v>
      </c>
      <c r="MI304" t="n">
        <v>8</v>
      </c>
      <c r="MJ304" t="n">
        <v>5</v>
      </c>
      <c r="MK304" t="n">
        <v>14</v>
      </c>
      <c r="ML304" t="n">
        <v>8</v>
      </c>
      <c r="MM304" t="n">
        <v>3</v>
      </c>
      <c r="MN304" t="n">
        <v>11</v>
      </c>
      <c r="MO304" t="n">
        <v>2</v>
      </c>
      <c r="MP304" t="n">
        <v>3</v>
      </c>
      <c r="MQ304" t="n">
        <v>8</v>
      </c>
      <c r="MR304" t="n">
        <v>63</v>
      </c>
      <c r="MS304" t="n">
        <v>81</v>
      </c>
      <c r="MT304" t="n">
        <v>9</v>
      </c>
      <c r="MU304" t="n">
        <v>3</v>
      </c>
      <c r="MV304" t="n">
        <v>12</v>
      </c>
      <c r="MW304" t="n">
        <v>4</v>
      </c>
      <c r="MX304" t="n">
        <v>8</v>
      </c>
      <c r="MY304" t="n">
        <v>3</v>
      </c>
      <c r="MZ304" t="n">
        <v>70</v>
      </c>
      <c r="NA304" t="n">
        <v>28</v>
      </c>
      <c r="NB304" t="n">
        <v>2</v>
      </c>
      <c r="NC304" t="n">
        <v>599</v>
      </c>
      <c r="ND304" t="n">
        <v>1</v>
      </c>
      <c r="NE304" t="n">
        <v>334</v>
      </c>
      <c r="NI304" t="n">
        <v>1</v>
      </c>
      <c r="NK304" t="n">
        <v>1</v>
      </c>
      <c r="NL304" t="n">
        <v>5</v>
      </c>
      <c r="NM304" t="n">
        <v>7</v>
      </c>
      <c r="NN304" t="n">
        <v>31</v>
      </c>
      <c r="NO304" t="n">
        <v>30</v>
      </c>
      <c r="NP304" t="n">
        <v>40</v>
      </c>
      <c r="NQ304" t="n">
        <v>8</v>
      </c>
      <c r="NR304" t="n">
        <v>3</v>
      </c>
      <c r="NT304" t="n">
        <v>3</v>
      </c>
      <c r="NV304" t="n">
        <v>14</v>
      </c>
      <c r="NX304" t="n">
        <v>11</v>
      </c>
      <c r="NY304" t="n">
        <v>40</v>
      </c>
      <c r="NZ304" t="n">
        <v>7</v>
      </c>
      <c r="OA304" t="n">
        <v>37</v>
      </c>
      <c r="OB304" t="n">
        <v>3</v>
      </c>
      <c r="OE304" t="n">
        <v>31</v>
      </c>
      <c r="OI304" t="n">
        <v>50</v>
      </c>
      <c r="OJ304" t="n">
        <v>16</v>
      </c>
      <c r="OK304" t="n">
        <v>12</v>
      </c>
      <c r="OO304" t="n">
        <v>5488</v>
      </c>
      <c r="OP304" t="n">
        <v>11101</v>
      </c>
      <c r="OR304" t="n">
        <v>124</v>
      </c>
      <c r="OU304" t="n">
        <v>58</v>
      </c>
      <c r="OV304" t="n">
        <v>1236</v>
      </c>
      <c r="PI304" t="n">
        <v>18007</v>
      </c>
      <c r="PM304">
        <f>IFERROR(VLOOKUP($A304&amp;"",Key!$A:$C,3,FALSE),"")</f>
        <v/>
      </c>
    </row>
    <row r="305">
      <c r="A305" t="n">
        <v>511130</v>
      </c>
      <c r="B305" t="inlineStr">
        <is>
          <t>Book publishers</t>
        </is>
      </c>
      <c r="X305" t="n">
        <v>2</v>
      </c>
      <c r="EQ305" t="n">
        <v>1</v>
      </c>
      <c r="ER305" t="n">
        <v>7</v>
      </c>
      <c r="IB305" t="n">
        <v>21</v>
      </c>
      <c r="JL305" t="n">
        <v>6</v>
      </c>
      <c r="JM305" t="n">
        <v>7</v>
      </c>
      <c r="JN305" t="n">
        <v>10</v>
      </c>
      <c r="JO305" t="n">
        <v>32</v>
      </c>
      <c r="JQ305" t="n">
        <v>14</v>
      </c>
      <c r="JS305" t="n">
        <v>4</v>
      </c>
      <c r="JT305" t="n">
        <v>22</v>
      </c>
      <c r="JW305" t="n">
        <v>3</v>
      </c>
      <c r="JX305" t="n">
        <v>4</v>
      </c>
      <c r="JZ305" t="n">
        <v>4</v>
      </c>
      <c r="KA305" t="n">
        <v>3</v>
      </c>
      <c r="KB305" t="n">
        <v>1</v>
      </c>
      <c r="KD305" t="n">
        <v>4</v>
      </c>
      <c r="KF305" t="n">
        <v>1</v>
      </c>
      <c r="KH305" t="n">
        <v>12</v>
      </c>
      <c r="KK305" t="n">
        <v>480</v>
      </c>
      <c r="KL305" t="n">
        <v>3</v>
      </c>
      <c r="KM305" t="n">
        <v>16</v>
      </c>
      <c r="KP305" t="n">
        <v>1045</v>
      </c>
      <c r="KR305" t="n">
        <v>7</v>
      </c>
      <c r="KW305" t="n">
        <v>5</v>
      </c>
      <c r="KX305" t="n">
        <v>25</v>
      </c>
      <c r="KZ305" t="n">
        <v>14</v>
      </c>
      <c r="LB305" t="n">
        <v>5</v>
      </c>
      <c r="LC305" t="n">
        <v>25</v>
      </c>
      <c r="LD305" t="n">
        <v>25</v>
      </c>
      <c r="LE305" t="n">
        <v>17</v>
      </c>
      <c r="LF305" t="n">
        <v>4</v>
      </c>
      <c r="LM305" t="n">
        <v>292</v>
      </c>
      <c r="LN305" t="n">
        <v>18</v>
      </c>
      <c r="LO305" t="n">
        <v>11</v>
      </c>
      <c r="LR305" t="n">
        <v>417</v>
      </c>
      <c r="LS305" t="n">
        <v>12</v>
      </c>
      <c r="LT305" t="n">
        <v>13</v>
      </c>
      <c r="LU305" t="n">
        <v>2</v>
      </c>
      <c r="LV305" t="n">
        <v>77</v>
      </c>
      <c r="LW305" t="n">
        <v>23</v>
      </c>
      <c r="LZ305" t="n">
        <v>84</v>
      </c>
      <c r="MA305" t="n">
        <v>5</v>
      </c>
      <c r="MD305" t="n">
        <v>17</v>
      </c>
      <c r="MF305" t="n">
        <v>72</v>
      </c>
      <c r="MH305" t="n">
        <v>5</v>
      </c>
      <c r="MI305" t="n">
        <v>6</v>
      </c>
      <c r="MJ305" t="n">
        <v>3</v>
      </c>
      <c r="MK305" t="n">
        <v>11</v>
      </c>
      <c r="ML305" t="n">
        <v>0</v>
      </c>
      <c r="MN305" t="n">
        <v>8</v>
      </c>
      <c r="MP305" t="n">
        <v>3</v>
      </c>
      <c r="MQ305" t="n">
        <v>3</v>
      </c>
      <c r="MR305" t="n">
        <v>232</v>
      </c>
      <c r="MS305" t="n">
        <v>184</v>
      </c>
      <c r="MT305" t="n">
        <v>6</v>
      </c>
      <c r="MU305" t="n">
        <v>8</v>
      </c>
      <c r="MV305" t="n">
        <v>1369</v>
      </c>
      <c r="MX305" t="n">
        <v>19</v>
      </c>
      <c r="MY305" t="n">
        <v>6</v>
      </c>
      <c r="MZ305" t="n">
        <v>79</v>
      </c>
      <c r="NA305" t="n">
        <v>12</v>
      </c>
      <c r="NC305" t="n">
        <v>216</v>
      </c>
      <c r="ND305" t="n">
        <v>0</v>
      </c>
      <c r="NE305" t="n">
        <v>131</v>
      </c>
      <c r="NN305" t="n">
        <v>22</v>
      </c>
      <c r="NP305" t="n">
        <v>13</v>
      </c>
      <c r="NR305" t="n">
        <v>3</v>
      </c>
      <c r="NX305" t="n">
        <v>6</v>
      </c>
      <c r="NY305" t="n">
        <v>34</v>
      </c>
      <c r="NZ305" t="n">
        <v>44</v>
      </c>
      <c r="OA305" t="n">
        <v>30</v>
      </c>
      <c r="OB305" t="n">
        <v>8</v>
      </c>
      <c r="OE305" t="n">
        <v>656</v>
      </c>
      <c r="OH305" t="n">
        <v>4</v>
      </c>
      <c r="OI305" t="n">
        <v>5164</v>
      </c>
      <c r="OJ305" t="n">
        <v>72</v>
      </c>
      <c r="OK305" t="n">
        <v>112</v>
      </c>
      <c r="OO305" t="n">
        <v>11338</v>
      </c>
      <c r="OP305" t="n">
        <v>26230</v>
      </c>
      <c r="OR305" t="n">
        <v>9627</v>
      </c>
      <c r="OU305" t="n">
        <v>-46</v>
      </c>
      <c r="OV305" t="n">
        <v>2598</v>
      </c>
      <c r="PI305" t="n">
        <v>49747</v>
      </c>
      <c r="PM305">
        <f>IFERROR(VLOOKUP($A305&amp;"",Key!$A:$C,3,FALSE),"")</f>
        <v/>
      </c>
    </row>
    <row r="306">
      <c r="A306" t="inlineStr">
        <is>
          <t>5111A0</t>
        </is>
      </c>
      <c r="B306" t="inlineStr">
        <is>
          <t>Directory, mailing list, and other publishers</t>
        </is>
      </c>
      <c r="Y306" t="n">
        <v>6</v>
      </c>
      <c r="JK306" t="n">
        <v>108</v>
      </c>
      <c r="JL306" t="n">
        <v>91</v>
      </c>
      <c r="JM306" t="n">
        <v>62</v>
      </c>
      <c r="JN306" t="n">
        <v>34</v>
      </c>
      <c r="JO306" t="n">
        <v>50</v>
      </c>
      <c r="JP306" t="n">
        <v>52</v>
      </c>
      <c r="JQ306" t="n">
        <v>31</v>
      </c>
      <c r="JS306" t="n">
        <v>36</v>
      </c>
      <c r="JT306" t="n">
        <v>13</v>
      </c>
      <c r="JV306" t="n">
        <v>10</v>
      </c>
      <c r="JW306" t="n">
        <v>5</v>
      </c>
      <c r="JX306" t="n">
        <v>7</v>
      </c>
      <c r="JZ306" t="n">
        <v>2</v>
      </c>
      <c r="KA306" t="n">
        <v>3</v>
      </c>
      <c r="KC306" t="n">
        <v>127</v>
      </c>
      <c r="KD306" t="n">
        <v>1</v>
      </c>
      <c r="KH306" t="n">
        <v>5</v>
      </c>
      <c r="KK306" t="n">
        <v>42</v>
      </c>
      <c r="KN306" t="n">
        <v>14</v>
      </c>
      <c r="KO306" t="n">
        <v>7</v>
      </c>
      <c r="KP306" t="n">
        <v>27</v>
      </c>
      <c r="KQ306" t="n">
        <v>530</v>
      </c>
      <c r="KS306" t="n">
        <v>7</v>
      </c>
      <c r="KT306" t="n">
        <v>3</v>
      </c>
      <c r="KZ306" t="n">
        <v>9</v>
      </c>
      <c r="LA306" t="n">
        <v>229</v>
      </c>
      <c r="LB306" t="n">
        <v>0</v>
      </c>
      <c r="LD306" t="n">
        <v>5</v>
      </c>
      <c r="LE306" t="n">
        <v>107</v>
      </c>
      <c r="LF306" t="n">
        <v>21</v>
      </c>
      <c r="LG306" t="n">
        <v>28</v>
      </c>
      <c r="LH306" t="n">
        <v>93</v>
      </c>
      <c r="LI306" t="n">
        <v>3</v>
      </c>
      <c r="LQ306" t="n">
        <v>710</v>
      </c>
      <c r="LR306" t="n">
        <v>41</v>
      </c>
      <c r="LS306" t="n">
        <v>4</v>
      </c>
      <c r="LU306" t="n">
        <v>11</v>
      </c>
      <c r="LV306" t="n">
        <v>24</v>
      </c>
      <c r="LW306" t="n">
        <v>14</v>
      </c>
      <c r="LX306" t="n">
        <v>148</v>
      </c>
      <c r="LY306" t="n">
        <v>10</v>
      </c>
      <c r="LZ306" t="n">
        <v>26</v>
      </c>
      <c r="MA306" t="n">
        <v>54</v>
      </c>
      <c r="MB306" t="n">
        <v>9</v>
      </c>
      <c r="MC306" t="n">
        <v>1</v>
      </c>
      <c r="ME306" t="n">
        <v>13</v>
      </c>
      <c r="MF306" t="n">
        <v>122</v>
      </c>
      <c r="MG306" t="n">
        <v>12</v>
      </c>
      <c r="MI306" t="n">
        <v>17</v>
      </c>
      <c r="MK306" t="n">
        <v>58</v>
      </c>
      <c r="ML306" t="n">
        <v>22</v>
      </c>
      <c r="MN306" t="n">
        <v>45</v>
      </c>
      <c r="MO306" t="n">
        <v>0</v>
      </c>
      <c r="MP306" t="n">
        <v>15</v>
      </c>
      <c r="MQ306" t="n">
        <v>0</v>
      </c>
      <c r="MR306" t="n">
        <v>47</v>
      </c>
      <c r="MS306" t="n">
        <v>26</v>
      </c>
      <c r="MT306" t="n">
        <v>6</v>
      </c>
      <c r="MU306" t="n">
        <v>3</v>
      </c>
      <c r="MV306" t="n">
        <v>62</v>
      </c>
      <c r="MW306" t="n">
        <v>0</v>
      </c>
      <c r="MX306" t="n">
        <v>10</v>
      </c>
      <c r="MY306" t="n">
        <v>18</v>
      </c>
      <c r="MZ306" t="n">
        <v>92</v>
      </c>
      <c r="NA306" t="n">
        <v>3</v>
      </c>
      <c r="NC306" t="n">
        <v>90</v>
      </c>
      <c r="NE306" t="n">
        <v>31</v>
      </c>
      <c r="NG306" t="n">
        <v>0</v>
      </c>
      <c r="NI306" t="n">
        <v>1</v>
      </c>
      <c r="NJ306" t="n">
        <v>13</v>
      </c>
      <c r="NM306" t="n">
        <v>3</v>
      </c>
      <c r="NN306" t="n">
        <v>2</v>
      </c>
      <c r="NO306" t="n">
        <v>7</v>
      </c>
      <c r="NP306" t="n">
        <v>21</v>
      </c>
      <c r="NR306" t="n">
        <v>2</v>
      </c>
      <c r="NS306" t="n">
        <v>0</v>
      </c>
      <c r="NV306" t="n">
        <v>3</v>
      </c>
      <c r="NY306" t="n">
        <v>178</v>
      </c>
      <c r="NZ306" t="n">
        <v>17</v>
      </c>
      <c r="OA306" t="n">
        <v>21</v>
      </c>
      <c r="OB306" t="n">
        <v>21</v>
      </c>
      <c r="OD306" t="n">
        <v>58</v>
      </c>
      <c r="OE306" t="n">
        <v>219</v>
      </c>
      <c r="OH306" t="n">
        <v>35</v>
      </c>
      <c r="OI306" t="n">
        <v>380</v>
      </c>
      <c r="OJ306" t="n">
        <v>134</v>
      </c>
      <c r="OK306" t="n">
        <v>132</v>
      </c>
      <c r="ON306" t="n">
        <v>3</v>
      </c>
      <c r="OO306" t="n">
        <v>4762</v>
      </c>
      <c r="OP306" t="n">
        <v>14288</v>
      </c>
      <c r="OR306" t="n">
        <v>372</v>
      </c>
      <c r="OU306" t="n">
        <v>19</v>
      </c>
      <c r="OV306" t="n">
        <v>339</v>
      </c>
      <c r="PI306" t="n">
        <v>19779</v>
      </c>
      <c r="PM306">
        <f>IFERROR(VLOOKUP($A306&amp;"",Key!$A:$C,3,FALSE),"")</f>
        <v/>
      </c>
    </row>
    <row r="307">
      <c r="A307" t="n">
        <v>511200</v>
      </c>
      <c r="B307" t="inlineStr">
        <is>
          <t>Software publishers</t>
        </is>
      </c>
      <c r="D307" t="n">
        <v>17</v>
      </c>
      <c r="E307" t="n">
        <v>10</v>
      </c>
      <c r="F307" t="n">
        <v>9</v>
      </c>
      <c r="G307" t="n">
        <v>5</v>
      </c>
      <c r="H307" t="n">
        <v>5</v>
      </c>
      <c r="I307" t="n">
        <v>4</v>
      </c>
      <c r="J307" t="n">
        <v>3</v>
      </c>
      <c r="K307" t="n">
        <v>6</v>
      </c>
      <c r="L307" t="n">
        <v>2</v>
      </c>
      <c r="M307" t="n">
        <v>0</v>
      </c>
      <c r="P307" t="n">
        <v>14</v>
      </c>
      <c r="Q307" t="n">
        <v>0</v>
      </c>
      <c r="S307" t="n">
        <v>0</v>
      </c>
      <c r="U307" t="n">
        <v>1</v>
      </c>
      <c r="V307" t="n">
        <v>3</v>
      </c>
      <c r="W307" t="n">
        <v>5</v>
      </c>
      <c r="X307" t="n">
        <v>143</v>
      </c>
      <c r="Y307" t="n">
        <v>114</v>
      </c>
      <c r="AA307" t="n">
        <v>12</v>
      </c>
      <c r="AB307" t="n">
        <v>42</v>
      </c>
      <c r="AC307" t="n">
        <v>114</v>
      </c>
      <c r="AD307" t="n">
        <v>27</v>
      </c>
      <c r="AE307" t="n">
        <v>44</v>
      </c>
      <c r="AF307" t="n">
        <v>29</v>
      </c>
      <c r="AG307" t="n">
        <v>178</v>
      </c>
      <c r="AH307" t="n">
        <v>39</v>
      </c>
      <c r="AI307" t="n">
        <v>32</v>
      </c>
      <c r="AJ307" t="n">
        <v>49</v>
      </c>
      <c r="AK307" t="n">
        <v>91</v>
      </c>
      <c r="AL307" t="n">
        <v>58</v>
      </c>
      <c r="AM307" t="n">
        <v>2</v>
      </c>
      <c r="AN307" t="n">
        <v>5</v>
      </c>
      <c r="AO307" t="n">
        <v>2</v>
      </c>
      <c r="AP307" t="n">
        <v>6</v>
      </c>
      <c r="BC307" t="n">
        <v>4</v>
      </c>
      <c r="BD307" t="n">
        <v>2</v>
      </c>
      <c r="BE307" t="n">
        <v>0</v>
      </c>
      <c r="BF307" t="n">
        <v>0</v>
      </c>
      <c r="BG307" t="n">
        <v>1</v>
      </c>
      <c r="BH307" t="n">
        <v>1</v>
      </c>
      <c r="BI307" t="n">
        <v>1</v>
      </c>
      <c r="BJ307" t="n">
        <v>1</v>
      </c>
      <c r="BK307" t="n">
        <v>1</v>
      </c>
      <c r="BL307" t="n">
        <v>1</v>
      </c>
      <c r="BM307" t="n">
        <v>3</v>
      </c>
      <c r="BN307" t="n">
        <v>4</v>
      </c>
      <c r="BO307" t="n">
        <v>2</v>
      </c>
      <c r="BP307" t="n">
        <v>7</v>
      </c>
      <c r="BQ307" t="n">
        <v>5</v>
      </c>
      <c r="BR307" t="n">
        <v>4</v>
      </c>
      <c r="BS307" t="n">
        <v>3</v>
      </c>
      <c r="BT307" t="n">
        <v>2</v>
      </c>
      <c r="BU307" t="n">
        <v>0</v>
      </c>
      <c r="BV307" t="n">
        <v>3</v>
      </c>
      <c r="BW307" t="n">
        <v>2</v>
      </c>
      <c r="BX307" t="n">
        <v>4</v>
      </c>
      <c r="BY307" t="n">
        <v>4</v>
      </c>
      <c r="BZ307" t="n">
        <v>1</v>
      </c>
      <c r="CA307" t="n">
        <v>2</v>
      </c>
      <c r="CB307" t="n">
        <v>3</v>
      </c>
      <c r="CC307" t="n">
        <v>1</v>
      </c>
      <c r="CD307" t="n">
        <v>1</v>
      </c>
      <c r="CE307" t="n">
        <v>14</v>
      </c>
      <c r="CF307" t="n">
        <v>1</v>
      </c>
      <c r="CG307" t="n">
        <v>2</v>
      </c>
      <c r="CH307" t="n">
        <v>0</v>
      </c>
      <c r="CI307" t="n">
        <v>4</v>
      </c>
      <c r="CJ307" t="n">
        <v>2</v>
      </c>
      <c r="CK307" t="n">
        <v>0</v>
      </c>
      <c r="CL307" t="n">
        <v>5</v>
      </c>
      <c r="CO307" t="n">
        <v>6</v>
      </c>
      <c r="CQ307" t="n">
        <v>5</v>
      </c>
      <c r="CW307" t="n">
        <v>3</v>
      </c>
      <c r="CZ307" t="n">
        <v>2</v>
      </c>
      <c r="DA307" t="n">
        <v>0</v>
      </c>
      <c r="DB307" t="n">
        <v>3</v>
      </c>
      <c r="DC307" t="n">
        <v>3</v>
      </c>
      <c r="DG307" t="n">
        <v>4</v>
      </c>
      <c r="DH307" t="n">
        <v>3</v>
      </c>
      <c r="DI307" t="n">
        <v>7</v>
      </c>
      <c r="DJ307" t="n">
        <v>11</v>
      </c>
      <c r="DK307" t="n">
        <v>19</v>
      </c>
      <c r="DL307" t="n">
        <v>0</v>
      </c>
      <c r="DM307" t="n">
        <v>3</v>
      </c>
      <c r="DN307" t="n">
        <v>0</v>
      </c>
      <c r="DO307" t="n">
        <v>1</v>
      </c>
      <c r="DP307" t="n">
        <v>1</v>
      </c>
      <c r="DQ307" t="n">
        <v>1</v>
      </c>
      <c r="DR307" t="n">
        <v>8</v>
      </c>
      <c r="DS307" t="n">
        <v>5</v>
      </c>
      <c r="DT307" t="n">
        <v>0</v>
      </c>
      <c r="DU307" t="n">
        <v>1</v>
      </c>
      <c r="DV307" t="n">
        <v>0</v>
      </c>
      <c r="DW307" t="n">
        <v>1</v>
      </c>
      <c r="DX307" t="n">
        <v>3</v>
      </c>
      <c r="DY307" t="n">
        <v>1</v>
      </c>
      <c r="DZ307" t="n">
        <v>2</v>
      </c>
      <c r="EA307" t="n">
        <v>0</v>
      </c>
      <c r="EB307" t="n">
        <v>0</v>
      </c>
      <c r="EY307" t="n">
        <v>1</v>
      </c>
      <c r="EZ307" t="n">
        <v>2</v>
      </c>
      <c r="FC307" t="n">
        <v>3</v>
      </c>
      <c r="FE307" t="n">
        <v>186</v>
      </c>
      <c r="FF307" t="n">
        <v>34</v>
      </c>
      <c r="FG307" t="n">
        <v>11</v>
      </c>
      <c r="FH307" t="n">
        <v>15</v>
      </c>
      <c r="FI307" t="n">
        <v>1</v>
      </c>
      <c r="FJ307" t="n">
        <v>2</v>
      </c>
      <c r="FK307" t="n">
        <v>7</v>
      </c>
      <c r="FP307" t="n">
        <v>2</v>
      </c>
      <c r="FQ307" t="n">
        <v>2</v>
      </c>
      <c r="FS307" t="n">
        <v>1</v>
      </c>
      <c r="FV307" t="n">
        <v>5</v>
      </c>
      <c r="FW307" t="n">
        <v>1</v>
      </c>
      <c r="FX307" t="n">
        <v>5</v>
      </c>
      <c r="FY307" t="n">
        <v>8</v>
      </c>
      <c r="GA307" t="n">
        <v>1</v>
      </c>
      <c r="GC307" t="n">
        <v>1</v>
      </c>
      <c r="GD307" t="n">
        <v>2</v>
      </c>
      <c r="GH307" t="n">
        <v>5</v>
      </c>
      <c r="GP307" t="n">
        <v>0</v>
      </c>
      <c r="GQ307" t="n">
        <v>1</v>
      </c>
      <c r="GR307" t="n">
        <v>2</v>
      </c>
      <c r="GV307" t="n">
        <v>0</v>
      </c>
      <c r="GX307" t="n">
        <v>1</v>
      </c>
      <c r="GZ307" t="n">
        <v>2</v>
      </c>
      <c r="HA307" t="n">
        <v>1</v>
      </c>
      <c r="HR307" t="n">
        <v>0</v>
      </c>
      <c r="HU307" t="n">
        <v>3</v>
      </c>
      <c r="HW307" t="n">
        <v>4</v>
      </c>
      <c r="HX307" t="n">
        <v>1</v>
      </c>
      <c r="IB307" t="n">
        <v>26</v>
      </c>
      <c r="ID307" t="n">
        <v>5</v>
      </c>
      <c r="IL307" t="n">
        <v>6</v>
      </c>
      <c r="IM307" t="n">
        <v>4</v>
      </c>
      <c r="IP307" t="n">
        <v>22</v>
      </c>
      <c r="IR307" t="n">
        <v>3</v>
      </c>
      <c r="IW307" t="n">
        <v>1</v>
      </c>
      <c r="IX307" t="n">
        <v>2</v>
      </c>
      <c r="IZ307" t="n">
        <v>1</v>
      </c>
      <c r="JG307" t="n">
        <v>7</v>
      </c>
      <c r="JK307" t="n">
        <v>103</v>
      </c>
      <c r="JL307" t="n">
        <v>478</v>
      </c>
      <c r="JM307" t="n">
        <v>677</v>
      </c>
      <c r="JN307" t="n">
        <v>408</v>
      </c>
      <c r="JO307" t="n">
        <v>583</v>
      </c>
      <c r="JP307" t="n">
        <v>58</v>
      </c>
      <c r="JQ307" t="n">
        <v>122</v>
      </c>
      <c r="JR307" t="n">
        <v>33</v>
      </c>
      <c r="JS307" t="n">
        <v>240</v>
      </c>
      <c r="JT307" t="n">
        <v>17</v>
      </c>
      <c r="JV307" t="n">
        <v>428</v>
      </c>
      <c r="JW307" t="n">
        <v>35</v>
      </c>
      <c r="JX307" t="n">
        <v>208</v>
      </c>
      <c r="JY307" t="n">
        <v>77</v>
      </c>
      <c r="JZ307" t="n">
        <v>48</v>
      </c>
      <c r="KA307" t="n">
        <v>39</v>
      </c>
      <c r="KB307" t="n">
        <v>36</v>
      </c>
      <c r="KC307" t="n">
        <v>189</v>
      </c>
      <c r="KD307" t="n">
        <v>84</v>
      </c>
      <c r="KE307" t="n">
        <v>14</v>
      </c>
      <c r="KF307" t="n">
        <v>55</v>
      </c>
      <c r="KH307" t="n">
        <v>11</v>
      </c>
      <c r="KI307" t="n">
        <v>8</v>
      </c>
      <c r="KK307" t="n">
        <v>17</v>
      </c>
      <c r="KM307" t="n">
        <v>98</v>
      </c>
      <c r="KN307" t="n">
        <v>36</v>
      </c>
      <c r="KO307" t="n">
        <v>36</v>
      </c>
      <c r="KP307" t="n">
        <v>77</v>
      </c>
      <c r="KQ307" t="n">
        <v>19</v>
      </c>
      <c r="KR307" t="n">
        <v>43780</v>
      </c>
      <c r="KS307" t="n">
        <v>22</v>
      </c>
      <c r="KT307" t="n">
        <v>0</v>
      </c>
      <c r="KU307" t="n">
        <v>10</v>
      </c>
      <c r="KV307" t="n">
        <v>19</v>
      </c>
      <c r="KW307" t="n">
        <v>174</v>
      </c>
      <c r="KX307" t="n">
        <v>287</v>
      </c>
      <c r="KY307" t="n">
        <v>123</v>
      </c>
      <c r="KZ307" t="n">
        <v>1234</v>
      </c>
      <c r="LA307" t="n">
        <v>472</v>
      </c>
      <c r="LB307" t="n">
        <v>0</v>
      </c>
      <c r="LC307" t="n">
        <v>415</v>
      </c>
      <c r="LD307" t="n">
        <v>519</v>
      </c>
      <c r="LE307" t="n">
        <v>406</v>
      </c>
      <c r="LF307" t="n">
        <v>368</v>
      </c>
      <c r="LG307" t="n">
        <v>276</v>
      </c>
      <c r="LH307" t="n">
        <v>57</v>
      </c>
      <c r="LI307" t="n">
        <v>119</v>
      </c>
      <c r="LJ307" t="n">
        <v>75</v>
      </c>
      <c r="LL307" t="n">
        <v>0</v>
      </c>
      <c r="LM307" t="n">
        <v>407</v>
      </c>
      <c r="LN307" t="n">
        <v>13</v>
      </c>
      <c r="LO307" t="n">
        <v>21</v>
      </c>
      <c r="LP307" t="n">
        <v>3</v>
      </c>
      <c r="LQ307" t="n">
        <v>6</v>
      </c>
      <c r="LR307" t="n">
        <v>942</v>
      </c>
      <c r="LS307" t="n">
        <v>119</v>
      </c>
      <c r="LT307" t="n">
        <v>704</v>
      </c>
      <c r="LU307" t="n">
        <v>138</v>
      </c>
      <c r="LV307" t="n">
        <v>84</v>
      </c>
      <c r="LW307" t="n">
        <v>1842</v>
      </c>
      <c r="LX307" t="n">
        <v>269</v>
      </c>
      <c r="LY307" t="n">
        <v>657</v>
      </c>
      <c r="LZ307" t="n">
        <v>1175</v>
      </c>
      <c r="MA307" t="n">
        <v>64</v>
      </c>
      <c r="MB307" t="n">
        <v>11</v>
      </c>
      <c r="MC307" t="n">
        <v>27</v>
      </c>
      <c r="MD307" t="n">
        <v>4</v>
      </c>
      <c r="ME307" t="n">
        <v>206</v>
      </c>
      <c r="MF307" t="n">
        <v>225</v>
      </c>
      <c r="MG307" t="n">
        <v>887</v>
      </c>
      <c r="MH307" t="n">
        <v>217</v>
      </c>
      <c r="MI307" t="n">
        <v>89</v>
      </c>
      <c r="MJ307" t="n">
        <v>95</v>
      </c>
      <c r="MK307" t="n">
        <v>205</v>
      </c>
      <c r="ML307" t="n">
        <v>180</v>
      </c>
      <c r="MM307" t="n">
        <v>127</v>
      </c>
      <c r="MN307" t="n">
        <v>97</v>
      </c>
      <c r="MO307" t="n">
        <v>17</v>
      </c>
      <c r="MP307" t="n">
        <v>20</v>
      </c>
      <c r="MQ307" t="n">
        <v>86</v>
      </c>
      <c r="MR307" t="n">
        <v>282</v>
      </c>
      <c r="MS307" t="n">
        <v>189</v>
      </c>
      <c r="MT307" t="n">
        <v>18</v>
      </c>
      <c r="MU307" t="n">
        <v>14</v>
      </c>
      <c r="MV307" t="n">
        <v>55</v>
      </c>
      <c r="MW307" t="n">
        <v>4</v>
      </c>
      <c r="MX307" t="n">
        <v>13</v>
      </c>
      <c r="MY307" t="n">
        <v>10</v>
      </c>
      <c r="MZ307" t="n">
        <v>1070</v>
      </c>
      <c r="NA307" t="n">
        <v>62</v>
      </c>
      <c r="NB307" t="n">
        <v>8</v>
      </c>
      <c r="NC307" t="n">
        <v>177</v>
      </c>
      <c r="ND307" t="n">
        <v>19</v>
      </c>
      <c r="NE307" t="n">
        <v>59</v>
      </c>
      <c r="NG307" t="n">
        <v>4</v>
      </c>
      <c r="NH307" t="n">
        <v>4</v>
      </c>
      <c r="NI307" t="n">
        <v>12</v>
      </c>
      <c r="NJ307" t="n">
        <v>9</v>
      </c>
      <c r="NK307" t="n">
        <v>8</v>
      </c>
      <c r="NL307" t="n">
        <v>19</v>
      </c>
      <c r="NM307" t="n">
        <v>20</v>
      </c>
      <c r="NN307" t="n">
        <v>82</v>
      </c>
      <c r="NO307" t="n">
        <v>25</v>
      </c>
      <c r="NP307" t="n">
        <v>24</v>
      </c>
      <c r="NR307" t="n">
        <v>37</v>
      </c>
      <c r="NS307" t="n">
        <v>10</v>
      </c>
      <c r="NT307" t="n">
        <v>18</v>
      </c>
      <c r="NV307" t="n">
        <v>28</v>
      </c>
      <c r="NW307" t="n">
        <v>0</v>
      </c>
      <c r="NX307" t="n">
        <v>6</v>
      </c>
      <c r="NY307" t="n">
        <v>23</v>
      </c>
      <c r="NZ307" t="n">
        <v>39</v>
      </c>
      <c r="OA307" t="n">
        <v>36</v>
      </c>
      <c r="OB307" t="n">
        <v>52</v>
      </c>
      <c r="OD307" t="n">
        <v>0</v>
      </c>
      <c r="OE307" t="n">
        <v>373</v>
      </c>
      <c r="OF307" t="n">
        <v>3</v>
      </c>
      <c r="OI307" t="n">
        <v>716</v>
      </c>
      <c r="OJ307" t="n">
        <v>779</v>
      </c>
      <c r="OK307" t="n">
        <v>1378</v>
      </c>
      <c r="OL307" t="n">
        <v>10</v>
      </c>
      <c r="ON307" t="n">
        <v>252</v>
      </c>
      <c r="OO307" t="n">
        <v>69119</v>
      </c>
      <c r="OP307" t="n">
        <v>79659</v>
      </c>
      <c r="OR307" t="n">
        <v>114869</v>
      </c>
      <c r="OU307" t="n">
        <v>175</v>
      </c>
      <c r="OV307" t="n">
        <v>40953</v>
      </c>
      <c r="OY307" t="n">
        <v>4058</v>
      </c>
      <c r="PC307" t="n">
        <v>5266</v>
      </c>
      <c r="PG307" t="n">
        <v>10584</v>
      </c>
      <c r="PI307" t="n">
        <v>324683</v>
      </c>
      <c r="PM307">
        <f>IFERROR(VLOOKUP($A307&amp;"",Key!$A:$C,3,FALSE),"")</f>
        <v/>
      </c>
    </row>
    <row r="308">
      <c r="A308" t="n">
        <v>512100</v>
      </c>
      <c r="B308" t="inlineStr">
        <is>
          <t>Motion picture and video industries</t>
        </is>
      </c>
      <c r="JK308" t="n">
        <v>7</v>
      </c>
      <c r="JO308" t="n">
        <v>71</v>
      </c>
      <c r="JQ308" t="n">
        <v>0</v>
      </c>
      <c r="JV308" t="n">
        <v>9</v>
      </c>
      <c r="KA308" t="n">
        <v>2</v>
      </c>
      <c r="KC308" t="n">
        <v>23</v>
      </c>
      <c r="KD308" t="n">
        <v>0</v>
      </c>
      <c r="KE308" t="n">
        <v>8</v>
      </c>
      <c r="KH308" t="n">
        <v>1</v>
      </c>
      <c r="KJ308" t="n">
        <v>16</v>
      </c>
      <c r="KK308" t="n">
        <v>11</v>
      </c>
      <c r="KQ308" t="n">
        <v>0</v>
      </c>
      <c r="KR308" t="n">
        <v>98</v>
      </c>
      <c r="KS308" t="n">
        <v>20345</v>
      </c>
      <c r="KU308" t="n">
        <v>173</v>
      </c>
      <c r="KV308" t="n">
        <v>9613</v>
      </c>
      <c r="KW308" t="n">
        <v>30224</v>
      </c>
      <c r="KX308" t="n">
        <v>19</v>
      </c>
      <c r="KZ308" t="n">
        <v>161</v>
      </c>
      <c r="LC308" t="n">
        <v>15</v>
      </c>
      <c r="LD308" t="n">
        <v>15</v>
      </c>
      <c r="LE308" t="n">
        <v>18</v>
      </c>
      <c r="LF308" t="n">
        <v>3</v>
      </c>
      <c r="LM308" t="n">
        <v>60</v>
      </c>
      <c r="LO308" t="n">
        <v>4</v>
      </c>
      <c r="LP308" t="n">
        <v>347</v>
      </c>
      <c r="LR308" t="n">
        <v>8</v>
      </c>
      <c r="LS308" t="n">
        <v>8</v>
      </c>
      <c r="LT308" t="n">
        <v>25</v>
      </c>
      <c r="LU308" t="n">
        <v>5</v>
      </c>
      <c r="LV308" t="n">
        <v>4</v>
      </c>
      <c r="LW308" t="n">
        <v>3</v>
      </c>
      <c r="LX308" t="n">
        <v>19</v>
      </c>
      <c r="LY308" t="n">
        <v>1</v>
      </c>
      <c r="LZ308" t="n">
        <v>6</v>
      </c>
      <c r="MA308" t="n">
        <v>351</v>
      </c>
      <c r="MC308" t="n">
        <v>3</v>
      </c>
      <c r="ME308" t="n">
        <v>170</v>
      </c>
      <c r="MH308" t="n">
        <v>15</v>
      </c>
      <c r="MI308" t="n">
        <v>2</v>
      </c>
      <c r="MK308" t="n">
        <v>3</v>
      </c>
      <c r="ML308" t="n">
        <v>6</v>
      </c>
      <c r="MM308" t="n">
        <v>2</v>
      </c>
      <c r="MN308" t="n">
        <v>15</v>
      </c>
      <c r="MQ308" t="n">
        <v>2</v>
      </c>
      <c r="MR308" t="n">
        <v>73</v>
      </c>
      <c r="MS308" t="n">
        <v>21</v>
      </c>
      <c r="MT308" t="n">
        <v>4</v>
      </c>
      <c r="MU308" t="n">
        <v>3</v>
      </c>
      <c r="MV308" t="n">
        <v>5</v>
      </c>
      <c r="MX308" t="n">
        <v>2</v>
      </c>
      <c r="MY308" t="n">
        <v>1</v>
      </c>
      <c r="MZ308" t="n">
        <v>9</v>
      </c>
      <c r="NA308" t="n">
        <v>478</v>
      </c>
      <c r="NB308" t="n">
        <v>1</v>
      </c>
      <c r="NC308" t="n">
        <v>731</v>
      </c>
      <c r="ND308" t="n">
        <v>61</v>
      </c>
      <c r="NE308" t="n">
        <v>79</v>
      </c>
      <c r="NF308" t="n">
        <v>1</v>
      </c>
      <c r="NG308" t="n">
        <v>0</v>
      </c>
      <c r="NI308" t="n">
        <v>1</v>
      </c>
      <c r="NK308" t="n">
        <v>1</v>
      </c>
      <c r="NL308" t="n">
        <v>2</v>
      </c>
      <c r="NM308" t="n">
        <v>15</v>
      </c>
      <c r="NN308" t="n">
        <v>17</v>
      </c>
      <c r="NO308" t="n">
        <v>82</v>
      </c>
      <c r="NP308" t="n">
        <v>225</v>
      </c>
      <c r="NQ308" t="n">
        <v>45</v>
      </c>
      <c r="NR308" t="n">
        <v>1</v>
      </c>
      <c r="NT308" t="n">
        <v>2</v>
      </c>
      <c r="NV308" t="n">
        <v>9</v>
      </c>
      <c r="NX308" t="n">
        <v>2</v>
      </c>
      <c r="NY308" t="n">
        <v>28</v>
      </c>
      <c r="NZ308" t="n">
        <v>14</v>
      </c>
      <c r="OA308" t="n">
        <v>25</v>
      </c>
      <c r="OB308" t="n">
        <v>4</v>
      </c>
      <c r="OD308" t="n">
        <v>0</v>
      </c>
      <c r="OE308" t="n">
        <v>5</v>
      </c>
      <c r="OI308" t="n">
        <v>12</v>
      </c>
      <c r="OJ308" t="n">
        <v>6</v>
      </c>
      <c r="OK308" t="n">
        <v>98</v>
      </c>
      <c r="OO308" t="n">
        <v>63952</v>
      </c>
      <c r="OP308" t="n">
        <v>25944</v>
      </c>
      <c r="OR308" t="n">
        <v>34944</v>
      </c>
      <c r="OU308" t="n">
        <v>131</v>
      </c>
      <c r="OV308" t="n">
        <v>20775</v>
      </c>
      <c r="PI308" t="n">
        <v>145745</v>
      </c>
      <c r="PM308">
        <f>IFERROR(VLOOKUP($A308&amp;"",Key!$A:$C,3,FALSE),"")</f>
        <v/>
      </c>
    </row>
    <row r="309">
      <c r="A309" t="n">
        <v>512200</v>
      </c>
      <c r="B309" t="inlineStr">
        <is>
          <t>Sound recording industries</t>
        </is>
      </c>
      <c r="JQ309" t="n">
        <v>0</v>
      </c>
      <c r="JV309" t="n">
        <v>255</v>
      </c>
      <c r="JW309" t="n">
        <v>230</v>
      </c>
      <c r="KC309" t="n">
        <v>7</v>
      </c>
      <c r="KD309" t="n">
        <v>1</v>
      </c>
      <c r="KR309" t="n">
        <v>0</v>
      </c>
      <c r="KS309" t="n">
        <v>1477</v>
      </c>
      <c r="KT309" t="n">
        <v>1517</v>
      </c>
      <c r="KU309" t="n">
        <v>14</v>
      </c>
      <c r="KV309" t="n">
        <v>257</v>
      </c>
      <c r="KW309" t="n">
        <v>1218</v>
      </c>
      <c r="KZ309" t="n">
        <v>9</v>
      </c>
      <c r="MA309" t="n">
        <v>2051</v>
      </c>
      <c r="MF309" t="n">
        <v>286</v>
      </c>
      <c r="MP309" t="n">
        <v>21</v>
      </c>
      <c r="MQ309" t="n">
        <v>126</v>
      </c>
      <c r="MR309" t="n">
        <v>143</v>
      </c>
      <c r="NH309" t="n">
        <v>281</v>
      </c>
      <c r="NI309" t="n">
        <v>12</v>
      </c>
      <c r="NM309" t="n">
        <v>19</v>
      </c>
      <c r="NN309" t="n">
        <v>423</v>
      </c>
      <c r="NO309" t="n">
        <v>551</v>
      </c>
      <c r="NP309" t="n">
        <v>1704</v>
      </c>
      <c r="NQ309" t="n">
        <v>429</v>
      </c>
      <c r="NZ309" t="n">
        <v>321</v>
      </c>
      <c r="OB309" t="n">
        <v>35</v>
      </c>
      <c r="OD309" t="n">
        <v>17</v>
      </c>
      <c r="OE309" t="n">
        <v>904</v>
      </c>
      <c r="OH309" t="n">
        <v>76</v>
      </c>
      <c r="OI309" t="n">
        <v>142</v>
      </c>
      <c r="OJ309" t="n">
        <v>28</v>
      </c>
      <c r="OK309" t="n">
        <v>56</v>
      </c>
      <c r="OO309" t="n">
        <v>12611</v>
      </c>
      <c r="OP309" t="n">
        <v>3501</v>
      </c>
      <c r="OR309" t="n">
        <v>3597</v>
      </c>
      <c r="OU309" t="n">
        <v>-93</v>
      </c>
      <c r="OV309" t="n">
        <v>2895</v>
      </c>
      <c r="PI309" t="n">
        <v>22511</v>
      </c>
      <c r="PM309">
        <f>IFERROR(VLOOKUP($A309&amp;"",Key!$A:$C,3,FALSE),"")</f>
        <v/>
      </c>
    </row>
    <row r="310">
      <c r="A310" t="n">
        <v>515100</v>
      </c>
      <c r="B310" t="inlineStr">
        <is>
          <t>Radio and television broadcasting</t>
        </is>
      </c>
      <c r="P310" t="n">
        <v>114</v>
      </c>
      <c r="Q310" t="n">
        <v>3</v>
      </c>
      <c r="R310" t="n">
        <v>2</v>
      </c>
      <c r="S310" t="n">
        <v>2</v>
      </c>
      <c r="T310" t="n">
        <v>0</v>
      </c>
      <c r="JQ310" t="n">
        <v>0</v>
      </c>
      <c r="KO310" t="n">
        <v>0</v>
      </c>
      <c r="KR310" t="n">
        <v>1</v>
      </c>
      <c r="KU310" t="n">
        <v>35897</v>
      </c>
      <c r="KV310" t="n">
        <v>4948</v>
      </c>
      <c r="KW310" t="n">
        <v>30</v>
      </c>
      <c r="KZ310" t="n">
        <v>6049</v>
      </c>
      <c r="MA310" t="n">
        <v>214</v>
      </c>
      <c r="ME310" t="n">
        <v>37</v>
      </c>
      <c r="NN310" t="n">
        <v>2771</v>
      </c>
      <c r="OD310" t="n">
        <v>692</v>
      </c>
      <c r="OE310" t="n">
        <v>325</v>
      </c>
      <c r="OH310" t="n">
        <v>218</v>
      </c>
      <c r="OI310" t="n">
        <v>3453</v>
      </c>
      <c r="OK310" t="n">
        <v>2316</v>
      </c>
      <c r="OO310" t="n">
        <v>57073</v>
      </c>
      <c r="OP310" t="n">
        <v>11653</v>
      </c>
      <c r="OR310" t="n">
        <v>12966</v>
      </c>
      <c r="OV310" t="n">
        <v>19</v>
      </c>
      <c r="PI310" t="n">
        <v>81710</v>
      </c>
      <c r="PM310">
        <f>IFERROR(VLOOKUP($A310&amp;"",Key!$A:$C,3,FALSE),"")</f>
        <v/>
      </c>
    </row>
    <row r="311">
      <c r="A311" t="n">
        <v>515200</v>
      </c>
      <c r="B311" t="inlineStr">
        <is>
          <t>Cable and other subscription programming</t>
        </is>
      </c>
      <c r="KD311" t="n">
        <v>0</v>
      </c>
      <c r="KR311" t="n">
        <v>0</v>
      </c>
      <c r="KV311" t="n">
        <v>891</v>
      </c>
      <c r="KW311" t="n">
        <v>4026</v>
      </c>
      <c r="KZ311" t="n">
        <v>31</v>
      </c>
      <c r="OO311" t="n">
        <v>4948</v>
      </c>
      <c r="OR311" t="n">
        <v>17552</v>
      </c>
      <c r="PI311" t="n">
        <v>22500</v>
      </c>
      <c r="PM311">
        <f>IFERROR(VLOOKUP($A311&amp;"",Key!$A:$C,3,FALSE),"")</f>
        <v/>
      </c>
    </row>
    <row r="312">
      <c r="A312" t="n">
        <v>517110</v>
      </c>
      <c r="B312" t="inlineStr">
        <is>
          <t>Wired telecommunications carriers</t>
        </is>
      </c>
      <c r="C312" t="n">
        <v>41</v>
      </c>
      <c r="D312" t="n">
        <v>50</v>
      </c>
      <c r="E312" t="n">
        <v>7</v>
      </c>
      <c r="F312" t="n">
        <v>29</v>
      </c>
      <c r="G312" t="n">
        <v>42</v>
      </c>
      <c r="H312" t="n">
        <v>59</v>
      </c>
      <c r="I312" t="n">
        <v>115</v>
      </c>
      <c r="J312" t="n">
        <v>80</v>
      </c>
      <c r="K312" t="n">
        <v>101</v>
      </c>
      <c r="L312" t="n">
        <v>31</v>
      </c>
      <c r="M312" t="n">
        <v>3</v>
      </c>
      <c r="N312" t="n">
        <v>1</v>
      </c>
      <c r="O312" t="n">
        <v>9</v>
      </c>
      <c r="P312" t="n">
        <v>118</v>
      </c>
      <c r="Q312" t="n">
        <v>16</v>
      </c>
      <c r="R312" t="n">
        <v>1</v>
      </c>
      <c r="S312" t="n">
        <v>10</v>
      </c>
      <c r="T312" t="n">
        <v>34</v>
      </c>
      <c r="U312" t="n">
        <v>22</v>
      </c>
      <c r="V312" t="n">
        <v>103</v>
      </c>
      <c r="W312" t="n">
        <v>315</v>
      </c>
      <c r="X312" t="n">
        <v>922</v>
      </c>
      <c r="Y312" t="n">
        <v>63</v>
      </c>
      <c r="Z312" t="n">
        <v>88</v>
      </c>
      <c r="AA312" t="n">
        <v>45</v>
      </c>
      <c r="AB312" t="n">
        <v>100</v>
      </c>
      <c r="AC312" t="n">
        <v>444</v>
      </c>
      <c r="AD312" t="n">
        <v>194</v>
      </c>
      <c r="AE312" t="n">
        <v>237</v>
      </c>
      <c r="AF312" t="n">
        <v>93</v>
      </c>
      <c r="AG312" t="n">
        <v>567</v>
      </c>
      <c r="AH312" t="n">
        <v>84</v>
      </c>
      <c r="AI312" t="n">
        <v>150</v>
      </c>
      <c r="AJ312" t="n">
        <v>146</v>
      </c>
      <c r="AK312" t="n">
        <v>385</v>
      </c>
      <c r="AL312" t="n">
        <v>162</v>
      </c>
      <c r="AM312" t="n">
        <v>85</v>
      </c>
      <c r="AN312" t="n">
        <v>38</v>
      </c>
      <c r="AO312" t="n">
        <v>47</v>
      </c>
      <c r="AP312" t="n">
        <v>72</v>
      </c>
      <c r="AQ312" t="n">
        <v>46</v>
      </c>
      <c r="AR312" t="n">
        <v>145</v>
      </c>
      <c r="AS312" t="n">
        <v>30</v>
      </c>
      <c r="AT312" t="n">
        <v>108</v>
      </c>
      <c r="AU312" t="n">
        <v>17</v>
      </c>
      <c r="AV312" t="n">
        <v>27</v>
      </c>
      <c r="AW312" t="n">
        <v>30</v>
      </c>
      <c r="AX312" t="n">
        <v>28</v>
      </c>
      <c r="AY312" t="n">
        <v>35</v>
      </c>
      <c r="AZ312" t="n">
        <v>35</v>
      </c>
      <c r="BA312" t="n">
        <v>29</v>
      </c>
      <c r="BB312" t="n">
        <v>44</v>
      </c>
      <c r="BC312" t="n">
        <v>73</v>
      </c>
      <c r="BD312" t="n">
        <v>15</v>
      </c>
      <c r="BE312" t="n">
        <v>6</v>
      </c>
      <c r="BF312" t="n">
        <v>2</v>
      </c>
      <c r="BG312" t="n">
        <v>11</v>
      </c>
      <c r="BH312" t="n">
        <v>5</v>
      </c>
      <c r="BI312" t="n">
        <v>6</v>
      </c>
      <c r="BJ312" t="n">
        <v>7</v>
      </c>
      <c r="BK312" t="n">
        <v>11</v>
      </c>
      <c r="BL312" t="n">
        <v>30</v>
      </c>
      <c r="BM312" t="n">
        <v>15</v>
      </c>
      <c r="BN312" t="n">
        <v>17</v>
      </c>
      <c r="BO312" t="n">
        <v>23</v>
      </c>
      <c r="BP312" t="n">
        <v>34</v>
      </c>
      <c r="BQ312" t="n">
        <v>107</v>
      </c>
      <c r="BR312" t="n">
        <v>97</v>
      </c>
      <c r="BS312" t="n">
        <v>17</v>
      </c>
      <c r="BT312" t="n">
        <v>18</v>
      </c>
      <c r="BU312" t="n">
        <v>7</v>
      </c>
      <c r="BV312" t="n">
        <v>31</v>
      </c>
      <c r="BW312" t="n">
        <v>23</v>
      </c>
      <c r="BX312" t="n">
        <v>107</v>
      </c>
      <c r="BY312" t="n">
        <v>79</v>
      </c>
      <c r="BZ312" t="n">
        <v>56</v>
      </c>
      <c r="CA312" t="n">
        <v>25</v>
      </c>
      <c r="CB312" t="n">
        <v>50</v>
      </c>
      <c r="CC312" t="n">
        <v>4</v>
      </c>
      <c r="CD312" t="n">
        <v>9</v>
      </c>
      <c r="CE312" t="n">
        <v>22</v>
      </c>
      <c r="CF312" t="n">
        <v>29</v>
      </c>
      <c r="CG312" t="n">
        <v>44</v>
      </c>
      <c r="CH312" t="n">
        <v>8</v>
      </c>
      <c r="CI312" t="n">
        <v>61</v>
      </c>
      <c r="CJ312" t="n">
        <v>30</v>
      </c>
      <c r="CK312" t="n">
        <v>8</v>
      </c>
      <c r="CL312" t="n">
        <v>86</v>
      </c>
      <c r="CM312" t="n">
        <v>14</v>
      </c>
      <c r="CN312" t="n">
        <v>5</v>
      </c>
      <c r="CO312" t="n">
        <v>88</v>
      </c>
      <c r="CP312" t="n">
        <v>15</v>
      </c>
      <c r="CQ312" t="n">
        <v>60</v>
      </c>
      <c r="CR312" t="n">
        <v>17</v>
      </c>
      <c r="CS312" t="n">
        <v>46</v>
      </c>
      <c r="CT312" t="n">
        <v>25</v>
      </c>
      <c r="CU312" t="n">
        <v>24</v>
      </c>
      <c r="CV312" t="n">
        <v>35</v>
      </c>
      <c r="CW312" t="n">
        <v>27</v>
      </c>
      <c r="CX312" t="n">
        <v>7</v>
      </c>
      <c r="CY312" t="n">
        <v>13</v>
      </c>
      <c r="CZ312" t="n">
        <v>38</v>
      </c>
      <c r="DA312" t="n">
        <v>21</v>
      </c>
      <c r="DB312" t="n">
        <v>34</v>
      </c>
      <c r="DC312" t="n">
        <v>52</v>
      </c>
      <c r="DD312" t="n">
        <v>9</v>
      </c>
      <c r="DE312" t="n">
        <v>19</v>
      </c>
      <c r="DF312" t="n">
        <v>8</v>
      </c>
      <c r="DG312" t="n">
        <v>47</v>
      </c>
      <c r="DH312" t="n">
        <v>40</v>
      </c>
      <c r="DI312" t="n">
        <v>0</v>
      </c>
      <c r="DJ312" t="n">
        <v>1</v>
      </c>
      <c r="DK312" t="n">
        <v>5</v>
      </c>
      <c r="DL312" t="n">
        <v>0</v>
      </c>
      <c r="DM312" t="n">
        <v>55</v>
      </c>
      <c r="DN312" t="n">
        <v>1</v>
      </c>
      <c r="DO312" t="n">
        <v>20</v>
      </c>
      <c r="DP312" t="n">
        <v>0</v>
      </c>
      <c r="DQ312" t="n">
        <v>12</v>
      </c>
      <c r="DR312" t="n">
        <v>58</v>
      </c>
      <c r="DS312" t="n">
        <v>88</v>
      </c>
      <c r="DT312" t="n">
        <v>1</v>
      </c>
      <c r="DU312" t="n">
        <v>2</v>
      </c>
      <c r="DV312" t="n">
        <v>1</v>
      </c>
      <c r="DW312" t="n">
        <v>5</v>
      </c>
      <c r="DX312" t="n">
        <v>7</v>
      </c>
      <c r="DY312" t="n">
        <v>1</v>
      </c>
      <c r="DZ312" t="n">
        <v>9</v>
      </c>
      <c r="EA312" t="n">
        <v>0</v>
      </c>
      <c r="EB312" t="n">
        <v>0</v>
      </c>
      <c r="EC312" t="n">
        <v>3</v>
      </c>
      <c r="ED312" t="n">
        <v>8</v>
      </c>
      <c r="EE312" t="n">
        <v>0</v>
      </c>
      <c r="EF312" t="n">
        <v>3</v>
      </c>
      <c r="EG312" t="n">
        <v>0</v>
      </c>
      <c r="EH312" t="n">
        <v>3</v>
      </c>
      <c r="EI312" t="n">
        <v>10</v>
      </c>
      <c r="EJ312" t="n">
        <v>11</v>
      </c>
      <c r="EK312" t="n">
        <v>2</v>
      </c>
      <c r="EL312" t="n">
        <v>0</v>
      </c>
      <c r="EM312" t="n">
        <v>4</v>
      </c>
      <c r="EN312" t="n">
        <v>5</v>
      </c>
      <c r="EO312" t="n">
        <v>0</v>
      </c>
      <c r="EP312" t="n">
        <v>26</v>
      </c>
      <c r="EQ312" t="n">
        <v>1</v>
      </c>
      <c r="ER312" t="n">
        <v>1</v>
      </c>
      <c r="ES312" t="n">
        <v>1</v>
      </c>
      <c r="ET312" t="n">
        <v>8</v>
      </c>
      <c r="EU312" t="n">
        <v>2</v>
      </c>
      <c r="EV312" t="n">
        <v>0</v>
      </c>
      <c r="EW312" t="n">
        <v>4</v>
      </c>
      <c r="EX312" t="n">
        <v>4</v>
      </c>
      <c r="EY312" t="n">
        <v>7</v>
      </c>
      <c r="EZ312" t="n">
        <v>28</v>
      </c>
      <c r="FA312" t="n">
        <v>11</v>
      </c>
      <c r="FB312" t="n">
        <v>21</v>
      </c>
      <c r="FC312" t="n">
        <v>55</v>
      </c>
      <c r="FD312" t="n">
        <v>5</v>
      </c>
      <c r="FE312" t="n">
        <v>305</v>
      </c>
      <c r="FF312" t="n">
        <v>133</v>
      </c>
      <c r="FG312" t="n">
        <v>45</v>
      </c>
      <c r="FH312" t="n">
        <v>25</v>
      </c>
      <c r="FI312" t="n">
        <v>13</v>
      </c>
      <c r="FJ312" t="n">
        <v>25</v>
      </c>
      <c r="FK312" t="n">
        <v>41</v>
      </c>
      <c r="FL312" t="n">
        <v>5</v>
      </c>
      <c r="FM312" t="n">
        <v>3</v>
      </c>
      <c r="FN312" t="n">
        <v>7</v>
      </c>
      <c r="FO312" t="n">
        <v>2</v>
      </c>
      <c r="FP312" t="n">
        <v>28</v>
      </c>
      <c r="FQ312" t="n">
        <v>7</v>
      </c>
      <c r="FR312" t="n">
        <v>2</v>
      </c>
      <c r="FS312" t="n">
        <v>5</v>
      </c>
      <c r="FT312" t="n">
        <v>4</v>
      </c>
      <c r="FU312" t="n">
        <v>5</v>
      </c>
      <c r="FV312" t="n">
        <v>42</v>
      </c>
      <c r="FW312" t="n">
        <v>9</v>
      </c>
      <c r="FX312" t="n">
        <v>43</v>
      </c>
      <c r="FY312" t="n">
        <v>50</v>
      </c>
      <c r="FZ312" t="n">
        <v>20</v>
      </c>
      <c r="GA312" t="n">
        <v>7</v>
      </c>
      <c r="GB312" t="n">
        <v>34</v>
      </c>
      <c r="GC312" t="n">
        <v>25</v>
      </c>
      <c r="GD312" t="n">
        <v>24</v>
      </c>
      <c r="GE312" t="n">
        <v>3</v>
      </c>
      <c r="GF312" t="n">
        <v>10</v>
      </c>
      <c r="GG312" t="n">
        <v>46</v>
      </c>
      <c r="GH312" t="n">
        <v>51</v>
      </c>
      <c r="GI312" t="n">
        <v>8</v>
      </c>
      <c r="GJ312" t="n">
        <v>6</v>
      </c>
      <c r="GK312" t="n">
        <v>4</v>
      </c>
      <c r="GL312" t="n">
        <v>2</v>
      </c>
      <c r="GM312" t="n">
        <v>3</v>
      </c>
      <c r="GN312" t="n">
        <v>3</v>
      </c>
      <c r="GO312" t="n">
        <v>3</v>
      </c>
      <c r="GP312" t="n">
        <v>20</v>
      </c>
      <c r="GQ312" t="n">
        <v>7</v>
      </c>
      <c r="GR312" t="n">
        <v>22</v>
      </c>
      <c r="GS312" t="n">
        <v>6</v>
      </c>
      <c r="GT312" t="n">
        <v>10</v>
      </c>
      <c r="GU312" t="n">
        <v>42</v>
      </c>
      <c r="GV312" t="n">
        <v>5</v>
      </c>
      <c r="GW312" t="n">
        <v>47</v>
      </c>
      <c r="GX312" t="n">
        <v>64</v>
      </c>
      <c r="GY312" t="n">
        <v>14</v>
      </c>
      <c r="GZ312" t="n">
        <v>140</v>
      </c>
      <c r="HA312" t="n">
        <v>12</v>
      </c>
      <c r="HB312" t="n">
        <v>14</v>
      </c>
      <c r="HC312" t="n">
        <v>4</v>
      </c>
      <c r="HD312" t="n">
        <v>16</v>
      </c>
      <c r="HE312" t="n">
        <v>25</v>
      </c>
      <c r="HF312" t="n">
        <v>25</v>
      </c>
      <c r="HG312" t="n">
        <v>30</v>
      </c>
      <c r="HH312" t="n">
        <v>6</v>
      </c>
      <c r="HI312" t="n">
        <v>19</v>
      </c>
      <c r="HJ312" t="n">
        <v>10</v>
      </c>
      <c r="HK312" t="n">
        <v>7</v>
      </c>
      <c r="HL312" t="n">
        <v>1</v>
      </c>
      <c r="HM312" t="n">
        <v>7</v>
      </c>
      <c r="HN312" t="n">
        <v>4</v>
      </c>
      <c r="HO312" t="n">
        <v>3</v>
      </c>
      <c r="HP312" t="n">
        <v>5</v>
      </c>
      <c r="HQ312" t="n">
        <v>10</v>
      </c>
      <c r="HR312" t="n">
        <v>3</v>
      </c>
      <c r="HS312" t="n">
        <v>4</v>
      </c>
      <c r="HT312" t="n">
        <v>3</v>
      </c>
      <c r="HU312" t="n">
        <v>8</v>
      </c>
      <c r="HV312" t="n">
        <v>8</v>
      </c>
      <c r="HW312" t="n">
        <v>144</v>
      </c>
      <c r="HX312" t="n">
        <v>14</v>
      </c>
      <c r="HY312" t="n">
        <v>7</v>
      </c>
      <c r="HZ312" t="n">
        <v>4</v>
      </c>
      <c r="IA312" t="n">
        <v>4</v>
      </c>
      <c r="IB312" t="n">
        <v>320</v>
      </c>
      <c r="IC312" t="n">
        <v>10</v>
      </c>
      <c r="ID312" t="n">
        <v>41</v>
      </c>
      <c r="IE312" t="n">
        <v>6</v>
      </c>
      <c r="IF312" t="n">
        <v>6</v>
      </c>
      <c r="IG312" t="n">
        <v>2</v>
      </c>
      <c r="IH312" t="n">
        <v>3</v>
      </c>
      <c r="II312" t="n">
        <v>13</v>
      </c>
      <c r="IJ312" t="n">
        <v>3</v>
      </c>
      <c r="IK312" t="n">
        <v>20</v>
      </c>
      <c r="IL312" t="n">
        <v>51</v>
      </c>
      <c r="IM312" t="n">
        <v>14</v>
      </c>
      <c r="IN312" t="n">
        <v>4</v>
      </c>
      <c r="IO312" t="n">
        <v>20</v>
      </c>
      <c r="IP312" t="n">
        <v>71</v>
      </c>
      <c r="IQ312" t="n">
        <v>8</v>
      </c>
      <c r="IR312" t="n">
        <v>33</v>
      </c>
      <c r="IS312" t="n">
        <v>17</v>
      </c>
      <c r="IT312" t="n">
        <v>6</v>
      </c>
      <c r="IU312" t="n">
        <v>17</v>
      </c>
      <c r="IV312" t="n">
        <v>11</v>
      </c>
      <c r="IW312" t="n">
        <v>8</v>
      </c>
      <c r="IX312" t="n">
        <v>9</v>
      </c>
      <c r="IY312" t="n">
        <v>2</v>
      </c>
      <c r="IZ312" t="n">
        <v>45</v>
      </c>
      <c r="JA312" t="n">
        <v>36</v>
      </c>
      <c r="JB312" t="n">
        <v>28</v>
      </c>
      <c r="JC312" t="n">
        <v>10</v>
      </c>
      <c r="JD312" t="n">
        <v>10</v>
      </c>
      <c r="JE312" t="n">
        <v>11</v>
      </c>
      <c r="JF312" t="n">
        <v>11</v>
      </c>
      <c r="JG312" t="n">
        <v>109</v>
      </c>
      <c r="JH312" t="n">
        <v>16</v>
      </c>
      <c r="JI312" t="n">
        <v>9</v>
      </c>
      <c r="JJ312" t="n">
        <v>20</v>
      </c>
      <c r="JK312" t="n">
        <v>289</v>
      </c>
      <c r="JL312" t="n">
        <v>439</v>
      </c>
      <c r="JM312" t="n">
        <v>679</v>
      </c>
      <c r="JN312" t="n">
        <v>566</v>
      </c>
      <c r="JO312" t="n">
        <v>860</v>
      </c>
      <c r="JP312" t="n">
        <v>461</v>
      </c>
      <c r="JQ312" t="n">
        <v>519</v>
      </c>
      <c r="JR312" t="n">
        <v>85</v>
      </c>
      <c r="JS312" t="n">
        <v>967</v>
      </c>
      <c r="JT312" t="n">
        <v>116</v>
      </c>
      <c r="JV312" t="n">
        <v>950</v>
      </c>
      <c r="JW312" t="n">
        <v>304</v>
      </c>
      <c r="JX312" t="n">
        <v>243</v>
      </c>
      <c r="JY312" t="n">
        <v>459</v>
      </c>
      <c r="JZ312" t="n">
        <v>407</v>
      </c>
      <c r="KA312" t="n">
        <v>434</v>
      </c>
      <c r="KB312" t="n">
        <v>378</v>
      </c>
      <c r="KC312" t="n">
        <v>619</v>
      </c>
      <c r="KD312" t="n">
        <v>574</v>
      </c>
      <c r="KE312" t="n">
        <v>305</v>
      </c>
      <c r="KF312" t="n">
        <v>0</v>
      </c>
      <c r="KG312" t="n">
        <v>60</v>
      </c>
      <c r="KH312" t="n">
        <v>429</v>
      </c>
      <c r="KI312" t="n">
        <v>625</v>
      </c>
      <c r="KJ312" t="n">
        <v>81</v>
      </c>
      <c r="KK312" t="n">
        <v>441</v>
      </c>
      <c r="KL312" t="n">
        <v>133</v>
      </c>
      <c r="KM312" t="n">
        <v>283</v>
      </c>
      <c r="KN312" t="n">
        <v>88</v>
      </c>
      <c r="KO312" t="n">
        <v>91</v>
      </c>
      <c r="KP312" t="n">
        <v>188</v>
      </c>
      <c r="KQ312" t="n">
        <v>40</v>
      </c>
      <c r="KR312" t="n">
        <v>640</v>
      </c>
      <c r="KS312" t="n">
        <v>352</v>
      </c>
      <c r="KT312" t="n">
        <v>106</v>
      </c>
      <c r="KU312" t="n">
        <v>242</v>
      </c>
      <c r="KV312" t="n">
        <v>140</v>
      </c>
      <c r="KW312" t="n">
        <v>22720</v>
      </c>
      <c r="KX312" t="n">
        <v>15390</v>
      </c>
      <c r="KY312" t="n">
        <v>6867</v>
      </c>
      <c r="KZ312" t="n">
        <v>1456</v>
      </c>
      <c r="LA312" t="n">
        <v>3369</v>
      </c>
      <c r="LB312" t="n">
        <v>5</v>
      </c>
      <c r="LC312" t="n">
        <v>1405</v>
      </c>
      <c r="LD312" t="n">
        <v>2439</v>
      </c>
      <c r="LE312" t="n">
        <v>951</v>
      </c>
      <c r="LF312" t="n">
        <v>931</v>
      </c>
      <c r="LG312" t="n">
        <v>124</v>
      </c>
      <c r="LH312" t="n">
        <v>1611</v>
      </c>
      <c r="LI312" t="n">
        <v>331</v>
      </c>
      <c r="LJ312" t="n">
        <v>615</v>
      </c>
      <c r="LL312" t="n">
        <v>38</v>
      </c>
      <c r="LM312" t="n">
        <v>3007</v>
      </c>
      <c r="LN312" t="n">
        <v>163</v>
      </c>
      <c r="LO312" t="n">
        <v>485</v>
      </c>
      <c r="LP312" t="n">
        <v>59</v>
      </c>
      <c r="LQ312" t="n">
        <v>50</v>
      </c>
      <c r="LR312" t="n">
        <v>1423</v>
      </c>
      <c r="LS312" t="n">
        <v>347</v>
      </c>
      <c r="LT312" t="n">
        <v>662</v>
      </c>
      <c r="LU312" t="n">
        <v>122</v>
      </c>
      <c r="LV312" t="n">
        <v>327</v>
      </c>
      <c r="LW312" t="n">
        <v>914</v>
      </c>
      <c r="LX312" t="n">
        <v>606</v>
      </c>
      <c r="LY312" t="n">
        <v>244</v>
      </c>
      <c r="LZ312" t="n">
        <v>347</v>
      </c>
      <c r="MA312" t="n">
        <v>410</v>
      </c>
      <c r="MB312" t="n">
        <v>114</v>
      </c>
      <c r="MC312" t="n">
        <v>44</v>
      </c>
      <c r="MD312" t="n">
        <v>81</v>
      </c>
      <c r="ME312" t="n">
        <v>484</v>
      </c>
      <c r="MF312" t="n">
        <v>809</v>
      </c>
      <c r="MG312" t="n">
        <v>882</v>
      </c>
      <c r="MH312" t="n">
        <v>1089</v>
      </c>
      <c r="MI312" t="n">
        <v>364</v>
      </c>
      <c r="MJ312" t="n">
        <v>160</v>
      </c>
      <c r="MK312" t="n">
        <v>648</v>
      </c>
      <c r="ML312" t="n">
        <v>371</v>
      </c>
      <c r="MM312" t="n">
        <v>398</v>
      </c>
      <c r="MN312" t="n">
        <v>213</v>
      </c>
      <c r="MO312" t="n">
        <v>332</v>
      </c>
      <c r="MP312" t="n">
        <v>39</v>
      </c>
      <c r="MQ312" t="n">
        <v>431</v>
      </c>
      <c r="MR312" t="n">
        <v>526</v>
      </c>
      <c r="MS312" t="n">
        <v>772</v>
      </c>
      <c r="MT312" t="n">
        <v>136</v>
      </c>
      <c r="MU312" t="n">
        <v>370</v>
      </c>
      <c r="MV312" t="n">
        <v>862</v>
      </c>
      <c r="MW312" t="n">
        <v>102</v>
      </c>
      <c r="MX312" t="n">
        <v>230</v>
      </c>
      <c r="MY312" t="n">
        <v>112</v>
      </c>
      <c r="MZ312" t="n">
        <v>1033</v>
      </c>
      <c r="NA312" t="n">
        <v>359</v>
      </c>
      <c r="NB312" t="n">
        <v>198</v>
      </c>
      <c r="NC312" t="n">
        <v>180</v>
      </c>
      <c r="ND312" t="n">
        <v>215</v>
      </c>
      <c r="NE312" t="n">
        <v>41</v>
      </c>
      <c r="NF312" t="n">
        <v>56</v>
      </c>
      <c r="NG312" t="n">
        <v>58</v>
      </c>
      <c r="NH312" t="n">
        <v>113</v>
      </c>
      <c r="NI312" t="n">
        <v>86</v>
      </c>
      <c r="NJ312" t="n">
        <v>51</v>
      </c>
      <c r="NK312" t="n">
        <v>44</v>
      </c>
      <c r="NL312" t="n">
        <v>99</v>
      </c>
      <c r="NM312" t="n">
        <v>323</v>
      </c>
      <c r="NN312" t="n">
        <v>591</v>
      </c>
      <c r="NO312" t="n">
        <v>1002</v>
      </c>
      <c r="NP312" t="n">
        <v>1109</v>
      </c>
      <c r="NQ312" t="n">
        <v>248</v>
      </c>
      <c r="NR312" t="n">
        <v>260</v>
      </c>
      <c r="NS312" t="n">
        <v>106</v>
      </c>
      <c r="NT312" t="n">
        <v>124</v>
      </c>
      <c r="NU312" t="n">
        <v>105</v>
      </c>
      <c r="NV312" t="n">
        <v>333</v>
      </c>
      <c r="NW312" t="n">
        <v>14</v>
      </c>
      <c r="NX312" t="n">
        <v>49</v>
      </c>
      <c r="NY312" t="n">
        <v>404</v>
      </c>
      <c r="NZ312" t="n">
        <v>164</v>
      </c>
      <c r="OA312" t="n">
        <v>247</v>
      </c>
      <c r="OB312" t="n">
        <v>291</v>
      </c>
      <c r="OD312" t="n">
        <v>868</v>
      </c>
      <c r="OE312" t="n">
        <v>1196</v>
      </c>
      <c r="OF312" t="n">
        <v>1246</v>
      </c>
      <c r="OG312" t="n">
        <v>52</v>
      </c>
      <c r="OH312" t="n">
        <v>274</v>
      </c>
      <c r="OI312" t="n">
        <v>14004</v>
      </c>
      <c r="OJ312" t="n">
        <v>15473</v>
      </c>
      <c r="OK312" t="n">
        <v>8669</v>
      </c>
      <c r="OL312" t="n">
        <v>97</v>
      </c>
      <c r="OM312" t="n">
        <v>83</v>
      </c>
      <c r="ON312" t="n">
        <v>568</v>
      </c>
      <c r="OO312" t="n">
        <v>151832</v>
      </c>
      <c r="OP312" t="n">
        <v>201552</v>
      </c>
      <c r="OQ312" t="n">
        <v>7351</v>
      </c>
      <c r="OV312" t="n">
        <v>7503</v>
      </c>
      <c r="PI312" t="n">
        <v>368238</v>
      </c>
      <c r="PM312">
        <f>IFERROR(VLOOKUP($A312&amp;"",Key!$A:$C,3,FALSE),"")</f>
        <v/>
      </c>
    </row>
    <row r="313">
      <c r="A313" t="n">
        <v>517210</v>
      </c>
      <c r="B313" t="inlineStr">
        <is>
          <t>Wireless telecommunications carriers (except satellite)</t>
        </is>
      </c>
      <c r="C313" t="n">
        <v>32</v>
      </c>
      <c r="D313" t="n">
        <v>52</v>
      </c>
      <c r="E313" t="n">
        <v>10</v>
      </c>
      <c r="F313" t="n">
        <v>14</v>
      </c>
      <c r="G313" t="n">
        <v>15</v>
      </c>
      <c r="H313" t="n">
        <v>9</v>
      </c>
      <c r="I313" t="n">
        <v>86</v>
      </c>
      <c r="J313" t="n">
        <v>4</v>
      </c>
      <c r="K313" t="n">
        <v>31</v>
      </c>
      <c r="L313" t="n">
        <v>21</v>
      </c>
      <c r="M313" t="n">
        <v>1</v>
      </c>
      <c r="P313" t="n">
        <v>69</v>
      </c>
      <c r="Q313" t="n">
        <v>6</v>
      </c>
      <c r="R313" t="n">
        <v>7</v>
      </c>
      <c r="S313" t="n">
        <v>3</v>
      </c>
      <c r="T313" t="n">
        <v>13</v>
      </c>
      <c r="U313" t="n">
        <v>13</v>
      </c>
      <c r="V313" t="n">
        <v>17</v>
      </c>
      <c r="W313" t="n">
        <v>112</v>
      </c>
      <c r="X313" t="n">
        <v>473</v>
      </c>
      <c r="Y313" t="n">
        <v>75</v>
      </c>
      <c r="Z313" t="n">
        <v>17</v>
      </c>
      <c r="AA313" t="n">
        <v>38</v>
      </c>
      <c r="AB313" t="n">
        <v>93</v>
      </c>
      <c r="AC313" t="n">
        <v>459</v>
      </c>
      <c r="AD313" t="n">
        <v>146</v>
      </c>
      <c r="AE313" t="n">
        <v>301</v>
      </c>
      <c r="AF313" t="n">
        <v>171</v>
      </c>
      <c r="AG313" t="n">
        <v>622</v>
      </c>
      <c r="AH313" t="n">
        <v>91</v>
      </c>
      <c r="AI313" t="n">
        <v>181</v>
      </c>
      <c r="AJ313" t="n">
        <v>135</v>
      </c>
      <c r="AK313" t="n">
        <v>368</v>
      </c>
      <c r="AL313" t="n">
        <v>236</v>
      </c>
      <c r="AM313" t="n">
        <v>22</v>
      </c>
      <c r="AN313" t="n">
        <v>10</v>
      </c>
      <c r="AO313" t="n">
        <v>19</v>
      </c>
      <c r="AP313" t="n">
        <v>21</v>
      </c>
      <c r="AQ313" t="n">
        <v>4</v>
      </c>
      <c r="AR313" t="n">
        <v>23</v>
      </c>
      <c r="AS313" t="n">
        <v>3</v>
      </c>
      <c r="AT313" t="n">
        <v>48</v>
      </c>
      <c r="AU313" t="n">
        <v>4</v>
      </c>
      <c r="AV313" t="n">
        <v>16</v>
      </c>
      <c r="AW313" t="n">
        <v>0</v>
      </c>
      <c r="AX313" t="n">
        <v>1</v>
      </c>
      <c r="AY313" t="n">
        <v>7</v>
      </c>
      <c r="AZ313" t="n">
        <v>1</v>
      </c>
      <c r="BA313" t="n">
        <v>4</v>
      </c>
      <c r="BB313" t="n">
        <v>5</v>
      </c>
      <c r="BC313" t="n">
        <v>34</v>
      </c>
      <c r="BD313" t="n">
        <v>9</v>
      </c>
      <c r="BE313" t="n">
        <v>1</v>
      </c>
      <c r="BF313" t="n">
        <v>0</v>
      </c>
      <c r="BG313" t="n">
        <v>7</v>
      </c>
      <c r="BH313" t="n">
        <v>1</v>
      </c>
      <c r="BI313" t="n">
        <v>3</v>
      </c>
      <c r="BJ313" t="n">
        <v>4</v>
      </c>
      <c r="BK313" t="n">
        <v>7</v>
      </c>
      <c r="BL313" t="n">
        <v>11</v>
      </c>
      <c r="BM313" t="n">
        <v>4</v>
      </c>
      <c r="BN313" t="n">
        <v>4</v>
      </c>
      <c r="BO313" t="n">
        <v>12</v>
      </c>
      <c r="BP313" t="n">
        <v>9</v>
      </c>
      <c r="BQ313" t="n">
        <v>48</v>
      </c>
      <c r="BR313" t="n">
        <v>41</v>
      </c>
      <c r="BS313" t="n">
        <v>3</v>
      </c>
      <c r="BT313" t="n">
        <v>4</v>
      </c>
      <c r="BU313" t="n">
        <v>3</v>
      </c>
      <c r="BV313" t="n">
        <v>8</v>
      </c>
      <c r="BW313" t="n">
        <v>7</v>
      </c>
      <c r="BX313" t="n">
        <v>55</v>
      </c>
      <c r="BY313" t="n">
        <v>33</v>
      </c>
      <c r="BZ313" t="n">
        <v>28</v>
      </c>
      <c r="CA313" t="n">
        <v>2</v>
      </c>
      <c r="CB313" t="n">
        <v>18</v>
      </c>
      <c r="CC313" t="n">
        <v>2</v>
      </c>
      <c r="CD313" t="n">
        <v>4</v>
      </c>
      <c r="CE313" t="n">
        <v>3</v>
      </c>
      <c r="CF313" t="n">
        <v>11</v>
      </c>
      <c r="CG313" t="n">
        <v>4</v>
      </c>
      <c r="CH313" t="n">
        <v>0</v>
      </c>
      <c r="CI313" t="n">
        <v>4</v>
      </c>
      <c r="CJ313" t="n">
        <v>13</v>
      </c>
      <c r="CK313" t="n">
        <v>0</v>
      </c>
      <c r="CL313" t="n">
        <v>26</v>
      </c>
      <c r="CM313" t="n">
        <v>6</v>
      </c>
      <c r="CN313" t="n">
        <v>3</v>
      </c>
      <c r="CO313" t="n">
        <v>26</v>
      </c>
      <c r="CP313" t="n">
        <v>3</v>
      </c>
      <c r="CQ313" t="n">
        <v>8</v>
      </c>
      <c r="CR313" t="n">
        <v>3</v>
      </c>
      <c r="CS313" t="n">
        <v>13</v>
      </c>
      <c r="CT313" t="n">
        <v>9</v>
      </c>
      <c r="CU313" t="n">
        <v>5</v>
      </c>
      <c r="CV313" t="n">
        <v>12</v>
      </c>
      <c r="CW313" t="n">
        <v>4</v>
      </c>
      <c r="CX313" t="n">
        <v>1</v>
      </c>
      <c r="CY313" t="n">
        <v>2</v>
      </c>
      <c r="CZ313" t="n">
        <v>1</v>
      </c>
      <c r="DA313" t="n">
        <v>2</v>
      </c>
      <c r="DB313" t="n">
        <v>10</v>
      </c>
      <c r="DC313" t="n">
        <v>16</v>
      </c>
      <c r="DD313" t="n">
        <v>0</v>
      </c>
      <c r="DE313" t="n">
        <v>4</v>
      </c>
      <c r="DF313" t="n">
        <v>2</v>
      </c>
      <c r="DG313" t="n">
        <v>13</v>
      </c>
      <c r="DH313" t="n">
        <v>7</v>
      </c>
      <c r="DI313" t="n">
        <v>0</v>
      </c>
      <c r="DJ313" t="n">
        <v>0</v>
      </c>
      <c r="DK313" t="n">
        <v>2</v>
      </c>
      <c r="DL313" t="n">
        <v>0</v>
      </c>
      <c r="DM313" t="n">
        <v>21</v>
      </c>
      <c r="DN313" t="n">
        <v>0</v>
      </c>
      <c r="DO313" t="n">
        <v>7</v>
      </c>
      <c r="DP313" t="n">
        <v>0</v>
      </c>
      <c r="DQ313" t="n">
        <v>2</v>
      </c>
      <c r="DR313" t="n">
        <v>18</v>
      </c>
      <c r="DS313" t="n">
        <v>5</v>
      </c>
      <c r="DT313" t="n">
        <v>0</v>
      </c>
      <c r="DU313" t="n">
        <v>2</v>
      </c>
      <c r="DV313" t="n">
        <v>0</v>
      </c>
      <c r="DW313" t="n">
        <v>3</v>
      </c>
      <c r="DX313" t="n">
        <v>5</v>
      </c>
      <c r="DY313" t="n">
        <v>1</v>
      </c>
      <c r="DZ313" t="n">
        <v>6</v>
      </c>
      <c r="EA313" t="n">
        <v>0</v>
      </c>
      <c r="EB313" t="n">
        <v>0</v>
      </c>
      <c r="EC313" t="n">
        <v>0</v>
      </c>
      <c r="ED313" t="n">
        <v>12</v>
      </c>
      <c r="EE313" t="n">
        <v>0</v>
      </c>
      <c r="EF313" t="n">
        <v>0</v>
      </c>
      <c r="EG313" t="n">
        <v>0</v>
      </c>
      <c r="EH313" t="n">
        <v>4</v>
      </c>
      <c r="EI313" t="n">
        <v>14</v>
      </c>
      <c r="EJ313" t="n">
        <v>4</v>
      </c>
      <c r="EK313" t="n">
        <v>3</v>
      </c>
      <c r="EL313" t="n">
        <v>0</v>
      </c>
      <c r="EM313" t="n">
        <v>6</v>
      </c>
      <c r="EN313" t="n">
        <v>7</v>
      </c>
      <c r="EO313" t="n">
        <v>0</v>
      </c>
      <c r="EP313" t="n">
        <v>10</v>
      </c>
      <c r="EQ313" t="n">
        <v>4</v>
      </c>
      <c r="ER313" t="n">
        <v>6</v>
      </c>
      <c r="ES313" t="n">
        <v>1</v>
      </c>
      <c r="ET313" t="n">
        <v>12</v>
      </c>
      <c r="EU313" t="n">
        <v>4</v>
      </c>
      <c r="EV313" t="n">
        <v>0</v>
      </c>
      <c r="EW313" t="n">
        <v>8</v>
      </c>
      <c r="EX313" t="n">
        <v>10</v>
      </c>
      <c r="EY313" t="n">
        <v>11</v>
      </c>
      <c r="EZ313" t="n">
        <v>10</v>
      </c>
      <c r="FA313" t="n">
        <v>16</v>
      </c>
      <c r="FB313" t="n">
        <v>27</v>
      </c>
      <c r="FC313" t="n">
        <v>22</v>
      </c>
      <c r="FD313" t="n">
        <v>13</v>
      </c>
      <c r="FE313" t="n">
        <v>80</v>
      </c>
      <c r="FF313" t="n">
        <v>43</v>
      </c>
      <c r="FG313" t="n">
        <v>24</v>
      </c>
      <c r="FH313" t="n">
        <v>11</v>
      </c>
      <c r="FI313" t="n">
        <v>19</v>
      </c>
      <c r="FJ313" t="n">
        <v>16</v>
      </c>
      <c r="FK313" t="n">
        <v>18</v>
      </c>
      <c r="FL313" t="n">
        <v>8</v>
      </c>
      <c r="FM313" t="n">
        <v>4</v>
      </c>
      <c r="FN313" t="n">
        <v>0</v>
      </c>
      <c r="FO313" t="n">
        <v>2</v>
      </c>
      <c r="FP313" t="n">
        <v>25</v>
      </c>
      <c r="FQ313" t="n">
        <v>11</v>
      </c>
      <c r="FR313" t="n">
        <v>4</v>
      </c>
      <c r="FS313" t="n">
        <v>9</v>
      </c>
      <c r="FT313" t="n">
        <v>6</v>
      </c>
      <c r="FU313" t="n">
        <v>9</v>
      </c>
      <c r="FV313" t="n">
        <v>33</v>
      </c>
      <c r="FW313" t="n">
        <v>14</v>
      </c>
      <c r="FX313" t="n">
        <v>16</v>
      </c>
      <c r="FY313" t="n">
        <v>24</v>
      </c>
      <c r="FZ313" t="n">
        <v>4</v>
      </c>
      <c r="GA313" t="n">
        <v>1</v>
      </c>
      <c r="GB313" t="n">
        <v>11</v>
      </c>
      <c r="GC313" t="n">
        <v>5</v>
      </c>
      <c r="GD313" t="n">
        <v>10</v>
      </c>
      <c r="GE313" t="n">
        <v>0</v>
      </c>
      <c r="GF313" t="n">
        <v>1</v>
      </c>
      <c r="GG313" t="n">
        <v>18</v>
      </c>
      <c r="GH313" t="n">
        <v>14</v>
      </c>
      <c r="GI313" t="n">
        <v>8</v>
      </c>
      <c r="GJ313" t="n">
        <v>10</v>
      </c>
      <c r="GK313" t="n">
        <v>4</v>
      </c>
      <c r="GL313" t="n">
        <v>1</v>
      </c>
      <c r="GN313" t="n">
        <v>0</v>
      </c>
      <c r="GO313" t="n">
        <v>2</v>
      </c>
      <c r="GP313" t="n">
        <v>16</v>
      </c>
      <c r="GQ313" t="n">
        <v>6</v>
      </c>
      <c r="GR313" t="n">
        <v>10</v>
      </c>
      <c r="GS313" t="n">
        <v>5</v>
      </c>
      <c r="GT313" t="n">
        <v>5</v>
      </c>
      <c r="GU313" t="n">
        <v>17</v>
      </c>
      <c r="GV313" t="n">
        <v>3</v>
      </c>
      <c r="GW313" t="n">
        <v>19</v>
      </c>
      <c r="GX313" t="n">
        <v>29</v>
      </c>
      <c r="GY313" t="n">
        <v>7</v>
      </c>
      <c r="GZ313" t="n">
        <v>62</v>
      </c>
      <c r="HA313" t="n">
        <v>15</v>
      </c>
      <c r="HB313" t="n">
        <v>13</v>
      </c>
      <c r="HC313" t="n">
        <v>4</v>
      </c>
      <c r="HD313" t="n">
        <v>19</v>
      </c>
      <c r="HE313" t="n">
        <v>12</v>
      </c>
      <c r="HF313" t="n">
        <v>13</v>
      </c>
      <c r="HG313" t="n">
        <v>19</v>
      </c>
      <c r="HH313" t="n">
        <v>7</v>
      </c>
      <c r="HI313" t="n">
        <v>21</v>
      </c>
      <c r="HJ313" t="n">
        <v>10</v>
      </c>
      <c r="HK313" t="n">
        <v>9</v>
      </c>
      <c r="HL313" t="n">
        <v>1</v>
      </c>
      <c r="HM313" t="n">
        <v>5</v>
      </c>
      <c r="HN313" t="n">
        <v>3</v>
      </c>
      <c r="HO313" t="n">
        <v>2</v>
      </c>
      <c r="HP313" t="n">
        <v>4</v>
      </c>
      <c r="HQ313" t="n">
        <v>9</v>
      </c>
      <c r="HR313" t="n">
        <v>2</v>
      </c>
      <c r="HS313" t="n">
        <v>2</v>
      </c>
      <c r="HT313" t="n">
        <v>2</v>
      </c>
      <c r="HU313" t="n">
        <v>6</v>
      </c>
      <c r="HV313" t="n">
        <v>7</v>
      </c>
      <c r="HW313" t="n">
        <v>58</v>
      </c>
      <c r="HX313" t="n">
        <v>9</v>
      </c>
      <c r="HY313" t="n">
        <v>3</v>
      </c>
      <c r="HZ313" t="n">
        <v>2</v>
      </c>
      <c r="IA313" t="n">
        <v>2</v>
      </c>
      <c r="IB313" t="n">
        <v>154</v>
      </c>
      <c r="IC313" t="n">
        <v>5</v>
      </c>
      <c r="ID313" t="n">
        <v>15</v>
      </c>
      <c r="IE313" t="n">
        <v>4</v>
      </c>
      <c r="IF313" t="n">
        <v>2</v>
      </c>
      <c r="IG313" t="n">
        <v>2</v>
      </c>
      <c r="IH313" t="n">
        <v>0</v>
      </c>
      <c r="II313" t="n">
        <v>4</v>
      </c>
      <c r="IJ313" t="n">
        <v>1</v>
      </c>
      <c r="IK313" t="n">
        <v>8</v>
      </c>
      <c r="IL313" t="n">
        <v>23</v>
      </c>
      <c r="IM313" t="n">
        <v>5</v>
      </c>
      <c r="IN313" t="n">
        <v>1</v>
      </c>
      <c r="IO313" t="n">
        <v>2</v>
      </c>
      <c r="IP313" t="n">
        <v>27</v>
      </c>
      <c r="IQ313" t="n">
        <v>3</v>
      </c>
      <c r="IR313" t="n">
        <v>9</v>
      </c>
      <c r="IS313" t="n">
        <v>3</v>
      </c>
      <c r="IT313" t="n">
        <v>1</v>
      </c>
      <c r="IU313" t="n">
        <v>5</v>
      </c>
      <c r="IV313" t="n">
        <v>3</v>
      </c>
      <c r="IW313" t="n">
        <v>6</v>
      </c>
      <c r="IX313" t="n">
        <v>6</v>
      </c>
      <c r="IY313" t="n">
        <v>1</v>
      </c>
      <c r="IZ313" t="n">
        <v>19</v>
      </c>
      <c r="JA313" t="n">
        <v>11</v>
      </c>
      <c r="JB313" t="n">
        <v>9</v>
      </c>
      <c r="JC313" t="n">
        <v>3</v>
      </c>
      <c r="JD313" t="n">
        <v>3</v>
      </c>
      <c r="JE313" t="n">
        <v>5</v>
      </c>
      <c r="JF313" t="n">
        <v>3</v>
      </c>
      <c r="JG313" t="n">
        <v>50</v>
      </c>
      <c r="JH313" t="n">
        <v>1</v>
      </c>
      <c r="JI313" t="n">
        <v>3</v>
      </c>
      <c r="JJ313" t="n">
        <v>8</v>
      </c>
      <c r="JK313" t="n">
        <v>410</v>
      </c>
      <c r="JL313" t="n">
        <v>686</v>
      </c>
      <c r="JM313" t="n">
        <v>957</v>
      </c>
      <c r="JN313" t="n">
        <v>857</v>
      </c>
      <c r="JO313" t="n">
        <v>993</v>
      </c>
      <c r="JP313" t="n">
        <v>425</v>
      </c>
      <c r="JQ313" t="n">
        <v>490</v>
      </c>
      <c r="JR313" t="n">
        <v>85</v>
      </c>
      <c r="JS313" t="n">
        <v>975</v>
      </c>
      <c r="JT313" t="n">
        <v>166</v>
      </c>
      <c r="JV313" t="n">
        <v>995</v>
      </c>
      <c r="JW313" t="n">
        <v>425</v>
      </c>
      <c r="JX313" t="n">
        <v>213</v>
      </c>
      <c r="JY313" t="n">
        <v>421</v>
      </c>
      <c r="JZ313" t="n">
        <v>400</v>
      </c>
      <c r="KA313" t="n">
        <v>406</v>
      </c>
      <c r="KB313" t="n">
        <v>364</v>
      </c>
      <c r="KC313" t="n">
        <v>782</v>
      </c>
      <c r="KD313" t="n">
        <v>588</v>
      </c>
      <c r="KE313" t="n">
        <v>294</v>
      </c>
      <c r="KF313" t="n">
        <v>15</v>
      </c>
      <c r="KG313" t="n">
        <v>27</v>
      </c>
      <c r="KH313" t="n">
        <v>605</v>
      </c>
      <c r="KI313" t="n">
        <v>186</v>
      </c>
      <c r="KJ313" t="n">
        <v>1</v>
      </c>
      <c r="KK313" t="n">
        <v>359</v>
      </c>
      <c r="KL313" t="n">
        <v>47</v>
      </c>
      <c r="KM313" t="n">
        <v>166</v>
      </c>
      <c r="KN313" t="n">
        <v>56</v>
      </c>
      <c r="KO313" t="n">
        <v>63</v>
      </c>
      <c r="KP313" t="n">
        <v>162</v>
      </c>
      <c r="KQ313" t="n">
        <v>34</v>
      </c>
      <c r="KR313" t="n">
        <v>789</v>
      </c>
      <c r="KS313" t="n">
        <v>118</v>
      </c>
      <c r="KT313" t="n">
        <v>16</v>
      </c>
      <c r="KU313" t="n">
        <v>70</v>
      </c>
      <c r="KV313" t="n">
        <v>61</v>
      </c>
      <c r="KW313" t="n">
        <v>101</v>
      </c>
      <c r="KX313" t="n">
        <v>7065</v>
      </c>
      <c r="KY313" t="n">
        <v>876</v>
      </c>
      <c r="KZ313" t="n">
        <v>1558</v>
      </c>
      <c r="LA313" t="n">
        <v>298</v>
      </c>
      <c r="LB313" t="n">
        <v>4</v>
      </c>
      <c r="LC313" t="n">
        <v>1359</v>
      </c>
      <c r="LD313" t="n">
        <v>6418</v>
      </c>
      <c r="LE313" t="n">
        <v>943</v>
      </c>
      <c r="LF313" t="n">
        <v>757</v>
      </c>
      <c r="LH313" t="n">
        <v>158</v>
      </c>
      <c r="LI313" t="n">
        <v>404</v>
      </c>
      <c r="LJ313" t="n">
        <v>315</v>
      </c>
      <c r="LL313" t="n">
        <v>7</v>
      </c>
      <c r="LM313" t="n">
        <v>3050</v>
      </c>
      <c r="LN313" t="n">
        <v>144</v>
      </c>
      <c r="LO313" t="n">
        <v>387</v>
      </c>
      <c r="LP313" t="n">
        <v>57</v>
      </c>
      <c r="LQ313" t="n">
        <v>67</v>
      </c>
      <c r="LR313" t="n">
        <v>1619</v>
      </c>
      <c r="LS313" t="n">
        <v>233</v>
      </c>
      <c r="LT313" t="n">
        <v>847</v>
      </c>
      <c r="LU313" t="n">
        <v>122</v>
      </c>
      <c r="LV313" t="n">
        <v>345</v>
      </c>
      <c r="LW313" t="n">
        <v>1093</v>
      </c>
      <c r="LX313" t="n">
        <v>1086</v>
      </c>
      <c r="LY313" t="n">
        <v>258</v>
      </c>
      <c r="LZ313" t="n">
        <v>471</v>
      </c>
      <c r="MA313" t="n">
        <v>338</v>
      </c>
      <c r="MB313" t="n">
        <v>118</v>
      </c>
      <c r="MC313" t="n">
        <v>53</v>
      </c>
      <c r="MD313" t="n">
        <v>99</v>
      </c>
      <c r="ME313" t="n">
        <v>371</v>
      </c>
      <c r="MF313" t="n">
        <v>936</v>
      </c>
      <c r="MG313" t="n">
        <v>1851</v>
      </c>
      <c r="MH313" t="n">
        <v>1285</v>
      </c>
      <c r="MI313" t="n">
        <v>276</v>
      </c>
      <c r="MJ313" t="n">
        <v>203</v>
      </c>
      <c r="MK313" t="n">
        <v>973</v>
      </c>
      <c r="ML313" t="n">
        <v>559</v>
      </c>
      <c r="MM313" t="n">
        <v>607</v>
      </c>
      <c r="MN313" t="n">
        <v>231</v>
      </c>
      <c r="MO313" t="n">
        <v>300</v>
      </c>
      <c r="MP313" t="n">
        <v>75</v>
      </c>
      <c r="MQ313" t="n">
        <v>709</v>
      </c>
      <c r="MR313" t="n">
        <v>454</v>
      </c>
      <c r="MS313" t="n">
        <v>1346</v>
      </c>
      <c r="MT313" t="n">
        <v>236</v>
      </c>
      <c r="MU313" t="n">
        <v>451</v>
      </c>
      <c r="MV313" t="n">
        <v>266</v>
      </c>
      <c r="MW313" t="n">
        <v>100</v>
      </c>
      <c r="MX313" t="n">
        <v>279</v>
      </c>
      <c r="MY313" t="n">
        <v>117</v>
      </c>
      <c r="MZ313" t="n">
        <v>923</v>
      </c>
      <c r="NA313" t="n">
        <v>452</v>
      </c>
      <c r="NB313" t="n">
        <v>140</v>
      </c>
      <c r="NC313" t="n">
        <v>213</v>
      </c>
      <c r="ND313" t="n">
        <v>171</v>
      </c>
      <c r="NE313" t="n">
        <v>103</v>
      </c>
      <c r="NF313" t="n">
        <v>30</v>
      </c>
      <c r="NG313" t="n">
        <v>43</v>
      </c>
      <c r="NH313" t="n">
        <v>88</v>
      </c>
      <c r="NI313" t="n">
        <v>97</v>
      </c>
      <c r="NJ313" t="n">
        <v>22</v>
      </c>
      <c r="NK313" t="n">
        <v>35</v>
      </c>
      <c r="NL313" t="n">
        <v>295</v>
      </c>
      <c r="NM313" t="n">
        <v>218</v>
      </c>
      <c r="NN313" t="n">
        <v>538</v>
      </c>
      <c r="NO313" t="n">
        <v>870</v>
      </c>
      <c r="NP313" t="n">
        <v>1096</v>
      </c>
      <c r="NQ313" t="n">
        <v>188</v>
      </c>
      <c r="NR313" t="n">
        <v>328</v>
      </c>
      <c r="NS313" t="n">
        <v>9</v>
      </c>
      <c r="NT313" t="n">
        <v>22</v>
      </c>
      <c r="NU313" t="n">
        <v>134</v>
      </c>
      <c r="NV313" t="n">
        <v>460</v>
      </c>
      <c r="NW313" t="n">
        <v>19</v>
      </c>
      <c r="NX313" t="n">
        <v>44</v>
      </c>
      <c r="NY313" t="n">
        <v>393</v>
      </c>
      <c r="NZ313" t="n">
        <v>83</v>
      </c>
      <c r="OA313" t="n">
        <v>304</v>
      </c>
      <c r="OB313" t="n">
        <v>299</v>
      </c>
      <c r="OD313" t="n">
        <v>4223</v>
      </c>
      <c r="OE313" t="n">
        <v>5296</v>
      </c>
      <c r="OF313" t="n">
        <v>88</v>
      </c>
      <c r="OG313" t="n">
        <v>2</v>
      </c>
      <c r="OH313" t="n">
        <v>34</v>
      </c>
      <c r="OI313" t="n">
        <v>3233</v>
      </c>
      <c r="OJ313" t="n">
        <v>2579</v>
      </c>
      <c r="OK313" t="n">
        <v>14963</v>
      </c>
      <c r="OL313" t="n">
        <v>22</v>
      </c>
      <c r="OM313" t="n">
        <v>20</v>
      </c>
      <c r="ON313" t="n">
        <v>160</v>
      </c>
      <c r="OO313" t="n">
        <v>100487</v>
      </c>
      <c r="OP313" t="n">
        <v>122323</v>
      </c>
      <c r="OV313" t="n">
        <v>4702</v>
      </c>
      <c r="PI313" t="n">
        <v>227512</v>
      </c>
      <c r="PM313">
        <f>IFERROR(VLOOKUP($A313&amp;"",Key!$A:$C,3,FALSE),"")</f>
        <v/>
      </c>
    </row>
    <row r="314">
      <c r="A314" t="inlineStr">
        <is>
          <t>517A00</t>
        </is>
      </c>
      <c r="B314" t="inlineStr">
        <is>
          <t>Satellite, telecommunications resellers, and all other telecommunications</t>
        </is>
      </c>
      <c r="C314" t="n">
        <v>7</v>
      </c>
      <c r="D314" t="n">
        <v>7</v>
      </c>
      <c r="E314" t="n">
        <v>3</v>
      </c>
      <c r="F314" t="n">
        <v>5</v>
      </c>
      <c r="G314" t="n">
        <v>8</v>
      </c>
      <c r="H314" t="n">
        <v>34</v>
      </c>
      <c r="I314" t="n">
        <v>24</v>
      </c>
      <c r="J314" t="n">
        <v>17</v>
      </c>
      <c r="K314" t="n">
        <v>20</v>
      </c>
      <c r="L314" t="n">
        <v>2</v>
      </c>
      <c r="M314" t="n">
        <v>0</v>
      </c>
      <c r="N314" t="n">
        <v>1</v>
      </c>
      <c r="O314" t="n">
        <v>2</v>
      </c>
      <c r="P314" t="n">
        <v>15</v>
      </c>
      <c r="Q314" t="n">
        <v>0</v>
      </c>
      <c r="R314" t="n">
        <v>0</v>
      </c>
      <c r="S314" t="n">
        <v>2</v>
      </c>
      <c r="T314" t="n">
        <v>2</v>
      </c>
      <c r="U314" t="n">
        <v>9</v>
      </c>
      <c r="V314" t="n">
        <v>6</v>
      </c>
      <c r="W314" t="n">
        <v>37</v>
      </c>
      <c r="X314" t="n">
        <v>240</v>
      </c>
      <c r="Y314" t="n">
        <v>19</v>
      </c>
      <c r="Z314" t="n">
        <v>12</v>
      </c>
      <c r="AA314" t="n">
        <v>12</v>
      </c>
      <c r="AB314" t="n">
        <v>22</v>
      </c>
      <c r="AC314" t="n">
        <v>119</v>
      </c>
      <c r="AD314" t="n">
        <v>32</v>
      </c>
      <c r="AE314" t="n">
        <v>56</v>
      </c>
      <c r="AF314" t="n">
        <v>15</v>
      </c>
      <c r="AG314" t="n">
        <v>139</v>
      </c>
      <c r="AH314" t="n">
        <v>25</v>
      </c>
      <c r="AI314" t="n">
        <v>31</v>
      </c>
      <c r="AJ314" t="n">
        <v>23</v>
      </c>
      <c r="AK314" t="n">
        <v>91</v>
      </c>
      <c r="AL314" t="n">
        <v>30</v>
      </c>
      <c r="AN314" t="n">
        <v>2</v>
      </c>
      <c r="AO314" t="n">
        <v>11</v>
      </c>
      <c r="AQ314" t="n">
        <v>13</v>
      </c>
      <c r="AR314" t="n">
        <v>27</v>
      </c>
      <c r="AS314" t="n">
        <v>6</v>
      </c>
      <c r="AT314" t="n">
        <v>18</v>
      </c>
      <c r="AU314" t="n">
        <v>9</v>
      </c>
      <c r="AV314" t="n">
        <v>12</v>
      </c>
      <c r="AW314" t="n">
        <v>6</v>
      </c>
      <c r="AX314" t="n">
        <v>4</v>
      </c>
      <c r="AY314" t="n">
        <v>10</v>
      </c>
      <c r="AZ314" t="n">
        <v>4</v>
      </c>
      <c r="BA314" t="n">
        <v>4</v>
      </c>
      <c r="BB314" t="n">
        <v>7</v>
      </c>
      <c r="BC314" t="n">
        <v>0</v>
      </c>
      <c r="BD314" t="n">
        <v>7</v>
      </c>
      <c r="BG314" t="n">
        <v>7</v>
      </c>
      <c r="BH314" t="n">
        <v>3</v>
      </c>
      <c r="BI314" t="n">
        <v>4</v>
      </c>
      <c r="BJ314" t="n">
        <v>4</v>
      </c>
      <c r="BK314" t="n">
        <v>5</v>
      </c>
      <c r="BM314" t="n">
        <v>2</v>
      </c>
      <c r="BN314" t="n">
        <v>3</v>
      </c>
      <c r="BO314" t="n">
        <v>8</v>
      </c>
      <c r="BP314" t="n">
        <v>4</v>
      </c>
      <c r="BQ314" t="n">
        <v>5</v>
      </c>
      <c r="BR314" t="n">
        <v>5</v>
      </c>
      <c r="BS314" t="n">
        <v>2</v>
      </c>
      <c r="BT314" t="n">
        <v>2</v>
      </c>
      <c r="BU314" t="n">
        <v>2</v>
      </c>
      <c r="BV314" t="n">
        <v>3</v>
      </c>
      <c r="BW314" t="n">
        <v>2</v>
      </c>
      <c r="BX314" t="n">
        <v>7</v>
      </c>
      <c r="BY314" t="n">
        <v>14</v>
      </c>
      <c r="BZ314" t="n">
        <v>16</v>
      </c>
      <c r="CA314" t="n">
        <v>7</v>
      </c>
      <c r="CB314" t="n">
        <v>9</v>
      </c>
      <c r="CC314" t="n">
        <v>1</v>
      </c>
      <c r="CD314" t="n">
        <v>1</v>
      </c>
      <c r="CE314" t="n">
        <v>5</v>
      </c>
      <c r="CF314" t="n">
        <v>7</v>
      </c>
      <c r="CI314" t="n">
        <v>7</v>
      </c>
      <c r="CJ314" t="n">
        <v>9</v>
      </c>
      <c r="CL314" t="n">
        <v>15</v>
      </c>
      <c r="CO314" t="n">
        <v>10</v>
      </c>
      <c r="CQ314" t="n">
        <v>11</v>
      </c>
      <c r="CW314" t="n">
        <v>3</v>
      </c>
      <c r="CZ314" t="n">
        <v>6</v>
      </c>
      <c r="DB314" t="n">
        <v>4</v>
      </c>
      <c r="DC314" t="n">
        <v>13</v>
      </c>
      <c r="DE314" t="n">
        <v>6</v>
      </c>
      <c r="DG314" t="n">
        <v>8</v>
      </c>
      <c r="DI314" t="n">
        <v>0</v>
      </c>
      <c r="DJ314" t="n">
        <v>0</v>
      </c>
      <c r="DK314" t="n">
        <v>2</v>
      </c>
      <c r="DL314" t="n">
        <v>0</v>
      </c>
      <c r="DM314" t="n">
        <v>9</v>
      </c>
      <c r="DN314" t="n">
        <v>0</v>
      </c>
      <c r="DO314" t="n">
        <v>2</v>
      </c>
      <c r="DP314" t="n">
        <v>0</v>
      </c>
      <c r="DQ314" t="n">
        <v>3</v>
      </c>
      <c r="DR314" t="n">
        <v>4</v>
      </c>
      <c r="DS314" t="n">
        <v>3</v>
      </c>
      <c r="DT314" t="n">
        <v>0</v>
      </c>
      <c r="DU314" t="n">
        <v>0</v>
      </c>
      <c r="DV314" t="n">
        <v>0</v>
      </c>
      <c r="DW314" t="n">
        <v>2</v>
      </c>
      <c r="DX314" t="n">
        <v>2</v>
      </c>
      <c r="DY314" t="n">
        <v>0</v>
      </c>
      <c r="DZ314" t="n">
        <v>1</v>
      </c>
      <c r="EA314" t="n">
        <v>0</v>
      </c>
      <c r="EB314" t="n">
        <v>0</v>
      </c>
      <c r="EC314" t="n">
        <v>1</v>
      </c>
      <c r="EF314" t="n">
        <v>1</v>
      </c>
      <c r="EJ314" t="n">
        <v>3</v>
      </c>
      <c r="EM314" t="n">
        <v>7</v>
      </c>
      <c r="EN314" t="n">
        <v>5</v>
      </c>
      <c r="EQ314" t="n">
        <v>5</v>
      </c>
      <c r="ER314" t="n">
        <v>23</v>
      </c>
      <c r="ES314" t="n">
        <v>4</v>
      </c>
      <c r="ET314" t="n">
        <v>9</v>
      </c>
      <c r="EV314" t="n">
        <v>0</v>
      </c>
      <c r="EW314" t="n">
        <v>6</v>
      </c>
      <c r="EX314" t="n">
        <v>25</v>
      </c>
      <c r="EY314" t="n">
        <v>15</v>
      </c>
      <c r="EZ314" t="n">
        <v>19</v>
      </c>
      <c r="FA314" t="n">
        <v>29</v>
      </c>
      <c r="FB314" t="n">
        <v>27</v>
      </c>
      <c r="FC314" t="n">
        <v>0</v>
      </c>
      <c r="FD314" t="n">
        <v>20</v>
      </c>
      <c r="FE314" t="n">
        <v>17</v>
      </c>
      <c r="FF314" t="n">
        <v>8</v>
      </c>
      <c r="FG314" t="n">
        <v>0</v>
      </c>
      <c r="FH314" t="n">
        <v>20</v>
      </c>
      <c r="FJ314" t="n">
        <v>10</v>
      </c>
      <c r="FK314" t="n">
        <v>0</v>
      </c>
      <c r="FX314" t="n">
        <v>13</v>
      </c>
      <c r="FY314" t="n">
        <v>4</v>
      </c>
      <c r="GD314" t="n">
        <v>6</v>
      </c>
      <c r="GG314" t="n">
        <v>7</v>
      </c>
      <c r="GH314" t="n">
        <v>5</v>
      </c>
      <c r="GI314" t="n">
        <v>14</v>
      </c>
      <c r="GJ314" t="n">
        <v>14</v>
      </c>
      <c r="GK314" t="n">
        <v>8</v>
      </c>
      <c r="GL314" t="n">
        <v>3</v>
      </c>
      <c r="GM314" t="n">
        <v>1</v>
      </c>
      <c r="GN314" t="n">
        <v>3</v>
      </c>
      <c r="GO314" t="n">
        <v>2</v>
      </c>
      <c r="GP314" t="n">
        <v>10</v>
      </c>
      <c r="GQ314" t="n">
        <v>17</v>
      </c>
      <c r="GR314" t="n">
        <v>15</v>
      </c>
      <c r="GS314" t="n">
        <v>19</v>
      </c>
      <c r="GT314" t="n">
        <v>14</v>
      </c>
      <c r="GU314" t="n">
        <v>20</v>
      </c>
      <c r="GV314" t="n">
        <v>2</v>
      </c>
      <c r="GW314" t="n">
        <v>2</v>
      </c>
      <c r="GX314" t="n">
        <v>3</v>
      </c>
      <c r="GY314" t="n">
        <v>3</v>
      </c>
      <c r="GZ314" t="n">
        <v>7</v>
      </c>
      <c r="HA314" t="n">
        <v>18</v>
      </c>
      <c r="HB314" t="n">
        <v>35</v>
      </c>
      <c r="HC314" t="n">
        <v>2</v>
      </c>
      <c r="HD314" t="n">
        <v>2</v>
      </c>
      <c r="HE314" t="n">
        <v>12</v>
      </c>
      <c r="HF314" t="n">
        <v>11</v>
      </c>
      <c r="HG314" t="n">
        <v>34</v>
      </c>
      <c r="HH314" t="n">
        <v>35</v>
      </c>
      <c r="HI314" t="n">
        <v>16</v>
      </c>
      <c r="HJ314" t="n">
        <v>3</v>
      </c>
      <c r="HK314" t="n">
        <v>53</v>
      </c>
      <c r="HL314" t="n">
        <v>3</v>
      </c>
      <c r="HM314" t="n">
        <v>7</v>
      </c>
      <c r="HN314" t="n">
        <v>4</v>
      </c>
      <c r="HO314" t="n">
        <v>3</v>
      </c>
      <c r="HP314" t="n">
        <v>3</v>
      </c>
      <c r="HQ314" t="n">
        <v>8</v>
      </c>
      <c r="HR314" t="n">
        <v>1</v>
      </c>
      <c r="HS314" t="n">
        <v>1</v>
      </c>
      <c r="HT314" t="n">
        <v>3</v>
      </c>
      <c r="HU314" t="n">
        <v>7</v>
      </c>
      <c r="HV314" t="n">
        <v>8</v>
      </c>
      <c r="HW314" t="n">
        <v>20</v>
      </c>
      <c r="HX314" t="n">
        <v>10</v>
      </c>
      <c r="HY314" t="n">
        <v>4</v>
      </c>
      <c r="HZ314" t="n">
        <v>3</v>
      </c>
      <c r="IA314" t="n">
        <v>4</v>
      </c>
      <c r="IB314" t="n">
        <v>25</v>
      </c>
      <c r="IC314" t="n">
        <v>4</v>
      </c>
      <c r="ID314" t="n">
        <v>2</v>
      </c>
      <c r="IE314" t="n">
        <v>24</v>
      </c>
      <c r="IF314" t="n">
        <v>7</v>
      </c>
      <c r="IG314" t="n">
        <v>12</v>
      </c>
      <c r="IH314" t="n">
        <v>8</v>
      </c>
      <c r="II314" t="n">
        <v>17</v>
      </c>
      <c r="IJ314" t="n">
        <v>1</v>
      </c>
      <c r="IK314" t="n">
        <v>10</v>
      </c>
      <c r="IL314" t="n">
        <v>6</v>
      </c>
      <c r="IM314" t="n">
        <v>32</v>
      </c>
      <c r="IN314" t="n">
        <v>4</v>
      </c>
      <c r="IO314" t="n">
        <v>3</v>
      </c>
      <c r="IP314" t="n">
        <v>7</v>
      </c>
      <c r="IQ314" t="n">
        <v>3</v>
      </c>
      <c r="IR314" t="n">
        <v>5</v>
      </c>
      <c r="IS314" t="n">
        <v>4</v>
      </c>
      <c r="IT314" t="n">
        <v>2</v>
      </c>
      <c r="IU314" t="n">
        <v>10</v>
      </c>
      <c r="IV314" t="n">
        <v>4</v>
      </c>
      <c r="IW314" t="n">
        <v>18</v>
      </c>
      <c r="IX314" t="n">
        <v>11</v>
      </c>
      <c r="IY314" t="n">
        <v>1</v>
      </c>
      <c r="IZ314" t="n">
        <v>28</v>
      </c>
      <c r="JA314" t="n">
        <v>16</v>
      </c>
      <c r="JB314" t="n">
        <v>10</v>
      </c>
      <c r="JC314" t="n">
        <v>4</v>
      </c>
      <c r="JD314" t="n">
        <v>3</v>
      </c>
      <c r="JE314" t="n">
        <v>3</v>
      </c>
      <c r="JF314" t="n">
        <v>5</v>
      </c>
      <c r="JG314" t="n">
        <v>14</v>
      </c>
      <c r="JH314" t="n">
        <v>4</v>
      </c>
      <c r="JI314" t="n">
        <v>3</v>
      </c>
      <c r="JJ314" t="n">
        <v>9</v>
      </c>
      <c r="JK314" t="n">
        <v>82</v>
      </c>
      <c r="JL314" t="n">
        <v>242</v>
      </c>
      <c r="JM314" t="n">
        <v>237</v>
      </c>
      <c r="JN314" t="n">
        <v>164</v>
      </c>
      <c r="JO314" t="n">
        <v>169</v>
      </c>
      <c r="JP314" t="n">
        <v>72</v>
      </c>
      <c r="JQ314" t="n">
        <v>78</v>
      </c>
      <c r="JR314" t="n">
        <v>13</v>
      </c>
      <c r="JS314" t="n">
        <v>163</v>
      </c>
      <c r="JT314" t="n">
        <v>32</v>
      </c>
      <c r="JV314" t="n">
        <v>180</v>
      </c>
      <c r="JW314" t="n">
        <v>63</v>
      </c>
      <c r="JX314" t="n">
        <v>41</v>
      </c>
      <c r="JY314" t="n">
        <v>59</v>
      </c>
      <c r="JZ314" t="n">
        <v>57</v>
      </c>
      <c r="KA314" t="n">
        <v>62</v>
      </c>
      <c r="KB314" t="n">
        <v>39</v>
      </c>
      <c r="KC314" t="n">
        <v>160</v>
      </c>
      <c r="KD314" t="n">
        <v>20</v>
      </c>
      <c r="KE314" t="n">
        <v>72</v>
      </c>
      <c r="KF314" t="n">
        <v>88</v>
      </c>
      <c r="KG314" t="n">
        <v>4</v>
      </c>
      <c r="KH314" t="n">
        <v>122</v>
      </c>
      <c r="KI314" t="n">
        <v>48</v>
      </c>
      <c r="KJ314" t="n">
        <v>18</v>
      </c>
      <c r="KK314" t="n">
        <v>131</v>
      </c>
      <c r="KL314" t="n">
        <v>1</v>
      </c>
      <c r="KM314" t="n">
        <v>41</v>
      </c>
      <c r="KN314" t="n">
        <v>5</v>
      </c>
      <c r="KO314" t="n">
        <v>6</v>
      </c>
      <c r="KP314" t="n">
        <v>25</v>
      </c>
      <c r="KQ314" t="n">
        <v>3</v>
      </c>
      <c r="KR314" t="n">
        <v>291</v>
      </c>
      <c r="KS314" t="n">
        <v>26</v>
      </c>
      <c r="KT314" t="n">
        <v>10</v>
      </c>
      <c r="KU314" t="n">
        <v>26</v>
      </c>
      <c r="KV314" t="n">
        <v>16</v>
      </c>
      <c r="KW314" t="n">
        <v>97</v>
      </c>
      <c r="KX314" t="n">
        <v>1185</v>
      </c>
      <c r="KY314" t="n">
        <v>552</v>
      </c>
      <c r="KZ314" t="n">
        <v>326</v>
      </c>
      <c r="LA314" t="n">
        <v>694</v>
      </c>
      <c r="LB314" t="n">
        <v>2</v>
      </c>
      <c r="LC314" t="n">
        <v>303</v>
      </c>
      <c r="LD314" t="n">
        <v>772</v>
      </c>
      <c r="LE314" t="n">
        <v>277</v>
      </c>
      <c r="LF314" t="n">
        <v>278</v>
      </c>
      <c r="LG314" t="n">
        <v>52</v>
      </c>
      <c r="LH314" t="n">
        <v>3</v>
      </c>
      <c r="LI314" t="n">
        <v>56</v>
      </c>
      <c r="LJ314" t="n">
        <v>35</v>
      </c>
      <c r="LL314" t="n">
        <v>9</v>
      </c>
      <c r="LM314" t="n">
        <v>745</v>
      </c>
      <c r="LN314" t="n">
        <v>15</v>
      </c>
      <c r="LO314" t="n">
        <v>134</v>
      </c>
      <c r="LP314" t="n">
        <v>74</v>
      </c>
      <c r="LQ314" t="n">
        <v>2</v>
      </c>
      <c r="LR314" t="n">
        <v>285</v>
      </c>
      <c r="LS314" t="n">
        <v>85</v>
      </c>
      <c r="LT314" t="n">
        <v>232</v>
      </c>
      <c r="LU314" t="n">
        <v>40</v>
      </c>
      <c r="LV314" t="n">
        <v>78</v>
      </c>
      <c r="LW314" t="n">
        <v>209</v>
      </c>
      <c r="LX314" t="n">
        <v>157</v>
      </c>
      <c r="LY314" t="n">
        <v>51</v>
      </c>
      <c r="LZ314" t="n">
        <v>76</v>
      </c>
      <c r="MA314" t="n">
        <v>68</v>
      </c>
      <c r="MB314" t="n">
        <v>2</v>
      </c>
      <c r="MC314" t="n">
        <v>1</v>
      </c>
      <c r="MD314" t="n">
        <v>14</v>
      </c>
      <c r="ME314" t="n">
        <v>32</v>
      </c>
      <c r="MF314" t="n">
        <v>229</v>
      </c>
      <c r="MG314" t="n">
        <v>291</v>
      </c>
      <c r="MH314" t="n">
        <v>257</v>
      </c>
      <c r="MI314" t="n">
        <v>54</v>
      </c>
      <c r="MJ314" t="n">
        <v>143</v>
      </c>
      <c r="MK314" t="n">
        <v>111</v>
      </c>
      <c r="ML314" t="n">
        <v>111</v>
      </c>
      <c r="MM314" t="n">
        <v>56</v>
      </c>
      <c r="MN314" t="n">
        <v>17</v>
      </c>
      <c r="MO314" t="n">
        <v>379</v>
      </c>
      <c r="MP314" t="n">
        <v>8</v>
      </c>
      <c r="MQ314" t="n">
        <v>73</v>
      </c>
      <c r="MR314" t="n">
        <v>84</v>
      </c>
      <c r="MS314" t="n">
        <v>223</v>
      </c>
      <c r="MT314" t="n">
        <v>42</v>
      </c>
      <c r="MU314" t="n">
        <v>48</v>
      </c>
      <c r="MV314" t="n">
        <v>169</v>
      </c>
      <c r="MW314" t="n">
        <v>10</v>
      </c>
      <c r="MX314" t="n">
        <v>42</v>
      </c>
      <c r="MY314" t="n">
        <v>11</v>
      </c>
      <c r="MZ314" t="n">
        <v>334</v>
      </c>
      <c r="NA314" t="n">
        <v>77</v>
      </c>
      <c r="NB314" t="n">
        <v>4</v>
      </c>
      <c r="NC314" t="n">
        <v>28</v>
      </c>
      <c r="ND314" t="n">
        <v>12</v>
      </c>
      <c r="NE314" t="n">
        <v>5</v>
      </c>
      <c r="NF314" t="n">
        <v>0</v>
      </c>
      <c r="NG314" t="n">
        <v>2</v>
      </c>
      <c r="NH314" t="n">
        <v>1</v>
      </c>
      <c r="NI314" t="n">
        <v>12</v>
      </c>
      <c r="NJ314" t="n">
        <v>1</v>
      </c>
      <c r="NK314" t="n">
        <v>1</v>
      </c>
      <c r="NL314" t="n">
        <v>28</v>
      </c>
      <c r="NM314" t="n">
        <v>24</v>
      </c>
      <c r="NN314" t="n">
        <v>99</v>
      </c>
      <c r="NO314" t="n">
        <v>105</v>
      </c>
      <c r="NP314" t="n">
        <v>122</v>
      </c>
      <c r="NQ314" t="n">
        <v>7</v>
      </c>
      <c r="NR314" t="n">
        <v>55</v>
      </c>
      <c r="NS314" t="n">
        <v>32</v>
      </c>
      <c r="NT314" t="n">
        <v>42</v>
      </c>
      <c r="NU314" t="n">
        <v>3</v>
      </c>
      <c r="NV314" t="n">
        <v>47</v>
      </c>
      <c r="NW314" t="n">
        <v>1</v>
      </c>
      <c r="NX314" t="n">
        <v>8</v>
      </c>
      <c r="NY314" t="n">
        <v>22</v>
      </c>
      <c r="NZ314" t="n">
        <v>88</v>
      </c>
      <c r="OA314" t="n">
        <v>24</v>
      </c>
      <c r="OB314" t="n">
        <v>58</v>
      </c>
      <c r="OD314" t="n">
        <v>195</v>
      </c>
      <c r="OE314" t="n">
        <v>260</v>
      </c>
      <c r="OF314" t="n">
        <v>34</v>
      </c>
      <c r="OG314" t="n">
        <v>24</v>
      </c>
      <c r="OH314" t="n">
        <v>135</v>
      </c>
      <c r="OI314" t="n">
        <v>608</v>
      </c>
      <c r="OJ314" t="n">
        <v>291</v>
      </c>
      <c r="OK314" t="n">
        <v>1266</v>
      </c>
      <c r="OL314" t="n">
        <v>447</v>
      </c>
      <c r="OM314" t="n">
        <v>18</v>
      </c>
      <c r="ON314" t="n">
        <v>261</v>
      </c>
      <c r="OO314" t="n">
        <v>19476</v>
      </c>
      <c r="OP314" t="n">
        <v>13485</v>
      </c>
      <c r="OV314" t="n">
        <v>727</v>
      </c>
      <c r="PI314" t="n">
        <v>33689</v>
      </c>
      <c r="PM314">
        <f>IFERROR(VLOOKUP($A314&amp;"",Key!$A:$C,3,FALSE),"")</f>
        <v/>
      </c>
    </row>
    <row r="315">
      <c r="A315" t="n">
        <v>518200</v>
      </c>
      <c r="B315" t="inlineStr">
        <is>
          <t>Data processing, hosting, and related services</t>
        </is>
      </c>
      <c r="O315" t="n">
        <v>0</v>
      </c>
      <c r="P315" t="n">
        <v>35</v>
      </c>
      <c r="Q315" t="n">
        <v>1</v>
      </c>
      <c r="S315" t="n">
        <v>4</v>
      </c>
      <c r="T315" t="n">
        <v>2</v>
      </c>
      <c r="U315" t="n">
        <v>2</v>
      </c>
      <c r="V315" t="n">
        <v>3</v>
      </c>
      <c r="W315" t="n">
        <v>9</v>
      </c>
      <c r="X315" t="n">
        <v>4379</v>
      </c>
      <c r="Y315" t="n">
        <v>169</v>
      </c>
      <c r="Z315" t="n">
        <v>0</v>
      </c>
      <c r="AA315" t="n">
        <v>24</v>
      </c>
      <c r="AB315" t="n">
        <v>6</v>
      </c>
      <c r="AC315" t="n">
        <v>406</v>
      </c>
      <c r="AD315" t="n">
        <v>156</v>
      </c>
      <c r="AE315" t="n">
        <v>113</v>
      </c>
      <c r="AF315" t="n">
        <v>5</v>
      </c>
      <c r="AG315" t="n">
        <v>340</v>
      </c>
      <c r="AH315" t="n">
        <v>76</v>
      </c>
      <c r="AI315" t="n">
        <v>141</v>
      </c>
      <c r="AJ315" t="n">
        <v>82</v>
      </c>
      <c r="AK315" t="n">
        <v>231</v>
      </c>
      <c r="AL315" t="n">
        <v>102</v>
      </c>
      <c r="AM315" t="n">
        <v>129</v>
      </c>
      <c r="AN315" t="n">
        <v>75</v>
      </c>
      <c r="AO315" t="n">
        <v>86</v>
      </c>
      <c r="AP315" t="n">
        <v>123</v>
      </c>
      <c r="AQ315" t="n">
        <v>30</v>
      </c>
      <c r="AR315" t="n">
        <v>173</v>
      </c>
      <c r="AS315" t="n">
        <v>29</v>
      </c>
      <c r="AT315" t="n">
        <v>291</v>
      </c>
      <c r="AU315" t="n">
        <v>19</v>
      </c>
      <c r="AV315" t="n">
        <v>95</v>
      </c>
      <c r="AW315" t="n">
        <v>12</v>
      </c>
      <c r="AX315" t="n">
        <v>13</v>
      </c>
      <c r="AY315" t="n">
        <v>36</v>
      </c>
      <c r="AZ315" t="n">
        <v>12</v>
      </c>
      <c r="BA315" t="n">
        <v>47</v>
      </c>
      <c r="BB315" t="n">
        <v>44</v>
      </c>
      <c r="BC315" t="n">
        <v>154</v>
      </c>
      <c r="BD315" t="n">
        <v>78</v>
      </c>
      <c r="BE315" t="n">
        <v>6</v>
      </c>
      <c r="BF315" t="n">
        <v>1</v>
      </c>
      <c r="BG315" t="n">
        <v>47</v>
      </c>
      <c r="BH315" t="n">
        <v>11</v>
      </c>
      <c r="BI315" t="n">
        <v>36</v>
      </c>
      <c r="BJ315" t="n">
        <v>29</v>
      </c>
      <c r="BK315" t="n">
        <v>64</v>
      </c>
      <c r="BL315" t="n">
        <v>87</v>
      </c>
      <c r="BM315" t="n">
        <v>32</v>
      </c>
      <c r="BN315" t="n">
        <v>40</v>
      </c>
      <c r="BO315" t="n">
        <v>69</v>
      </c>
      <c r="BP315" t="n">
        <v>48</v>
      </c>
      <c r="BQ315" t="n">
        <v>307</v>
      </c>
      <c r="BR315" t="n">
        <v>178</v>
      </c>
      <c r="BS315" t="n">
        <v>26</v>
      </c>
      <c r="BT315" t="n">
        <v>36</v>
      </c>
      <c r="BU315" t="n">
        <v>30</v>
      </c>
      <c r="BV315" t="n">
        <v>51</v>
      </c>
      <c r="BW315" t="n">
        <v>52</v>
      </c>
      <c r="BX315" t="n">
        <v>40</v>
      </c>
      <c r="BY315" t="n">
        <v>194</v>
      </c>
      <c r="BZ315" t="n">
        <v>141</v>
      </c>
      <c r="CA315" t="n">
        <v>20</v>
      </c>
      <c r="CB315" t="n">
        <v>87</v>
      </c>
      <c r="CC315" t="n">
        <v>14</v>
      </c>
      <c r="CD315" t="n">
        <v>24</v>
      </c>
      <c r="CE315" t="n">
        <v>26</v>
      </c>
      <c r="CF315" t="n">
        <v>47</v>
      </c>
      <c r="CG315" t="n">
        <v>86</v>
      </c>
      <c r="CH315" t="n">
        <v>38</v>
      </c>
      <c r="CI315" t="n">
        <v>150</v>
      </c>
      <c r="CJ315" t="n">
        <v>29</v>
      </c>
      <c r="CK315" t="n">
        <v>50</v>
      </c>
      <c r="CL315" t="n">
        <v>160</v>
      </c>
      <c r="CM315" t="n">
        <v>39</v>
      </c>
      <c r="CN315" t="n">
        <v>6</v>
      </c>
      <c r="CO315" t="n">
        <v>157</v>
      </c>
      <c r="CP315" t="n">
        <v>37</v>
      </c>
      <c r="CQ315" t="n">
        <v>98</v>
      </c>
      <c r="CR315" t="n">
        <v>22</v>
      </c>
      <c r="CS315" t="n">
        <v>32</v>
      </c>
      <c r="CT315" t="n">
        <v>43</v>
      </c>
      <c r="CU315" t="n">
        <v>45</v>
      </c>
      <c r="CV315" t="n">
        <v>44</v>
      </c>
      <c r="CW315" t="n">
        <v>29</v>
      </c>
      <c r="CX315" t="n">
        <v>4</v>
      </c>
      <c r="CY315" t="n">
        <v>22</v>
      </c>
      <c r="CZ315" t="n">
        <v>130</v>
      </c>
      <c r="DA315" t="n">
        <v>41</v>
      </c>
      <c r="DB315" t="n">
        <v>73</v>
      </c>
      <c r="DC315" t="n">
        <v>89</v>
      </c>
      <c r="DD315" t="n">
        <v>11</v>
      </c>
      <c r="DE315" t="n">
        <v>45</v>
      </c>
      <c r="DF315" t="n">
        <v>10</v>
      </c>
      <c r="DG315" t="n">
        <v>112</v>
      </c>
      <c r="DH315" t="n">
        <v>44</v>
      </c>
      <c r="DI315" t="n">
        <v>0</v>
      </c>
      <c r="DJ315" t="n">
        <v>1</v>
      </c>
      <c r="DK315" t="n">
        <v>2</v>
      </c>
      <c r="DL315" t="n">
        <v>1</v>
      </c>
      <c r="DM315" t="n">
        <v>20</v>
      </c>
      <c r="DN315" t="n">
        <v>1</v>
      </c>
      <c r="DO315" t="n">
        <v>11</v>
      </c>
      <c r="DP315" t="n">
        <v>5</v>
      </c>
      <c r="DQ315" t="n">
        <v>6</v>
      </c>
      <c r="DR315" t="n">
        <v>55</v>
      </c>
      <c r="DS315" t="n">
        <v>41</v>
      </c>
      <c r="DT315" t="n">
        <v>1</v>
      </c>
      <c r="DU315" t="n">
        <v>9</v>
      </c>
      <c r="DV315" t="n">
        <v>1</v>
      </c>
      <c r="DW315" t="n">
        <v>24</v>
      </c>
      <c r="DX315" t="n">
        <v>20</v>
      </c>
      <c r="DY315" t="n">
        <v>2</v>
      </c>
      <c r="DZ315" t="n">
        <v>16</v>
      </c>
      <c r="EA315" t="n">
        <v>1</v>
      </c>
      <c r="EB315" t="n">
        <v>1</v>
      </c>
      <c r="EC315" t="n">
        <v>6</v>
      </c>
      <c r="ED315" t="n">
        <v>54</v>
      </c>
      <c r="EE315" t="n">
        <v>15</v>
      </c>
      <c r="EF315" t="n">
        <v>17</v>
      </c>
      <c r="EG315" t="n">
        <v>3</v>
      </c>
      <c r="EH315" t="n">
        <v>13</v>
      </c>
      <c r="EI315" t="n">
        <v>23</v>
      </c>
      <c r="EJ315" t="n">
        <v>36</v>
      </c>
      <c r="EK315" t="n">
        <v>18</v>
      </c>
      <c r="EL315" t="n">
        <v>2</v>
      </c>
      <c r="EM315" t="n">
        <v>27</v>
      </c>
      <c r="EN315" t="n">
        <v>27</v>
      </c>
      <c r="EO315" t="n">
        <v>23</v>
      </c>
      <c r="EP315" t="n">
        <v>58</v>
      </c>
      <c r="EQ315" t="n">
        <v>7</v>
      </c>
      <c r="ER315" t="n">
        <v>22</v>
      </c>
      <c r="ES315" t="n">
        <v>0</v>
      </c>
      <c r="ET315" t="n">
        <v>33</v>
      </c>
      <c r="EU315" t="n">
        <v>11</v>
      </c>
      <c r="EV315" t="n">
        <v>0</v>
      </c>
      <c r="EW315" t="n">
        <v>47</v>
      </c>
      <c r="EX315" t="n">
        <v>43</v>
      </c>
      <c r="EY315" t="n">
        <v>32</v>
      </c>
      <c r="EZ315" t="n">
        <v>51</v>
      </c>
      <c r="FA315" t="n">
        <v>51</v>
      </c>
      <c r="FB315" t="n">
        <v>40</v>
      </c>
      <c r="FC315" t="n">
        <v>75</v>
      </c>
      <c r="FD315" t="n">
        <v>69</v>
      </c>
      <c r="FE315" t="n">
        <v>1275</v>
      </c>
      <c r="FF315" t="n">
        <v>284</v>
      </c>
      <c r="FG315" t="n">
        <v>126</v>
      </c>
      <c r="FH315" t="n">
        <v>113</v>
      </c>
      <c r="FI315" t="n">
        <v>14</v>
      </c>
      <c r="FJ315" t="n">
        <v>63</v>
      </c>
      <c r="FK315" t="n">
        <v>132</v>
      </c>
      <c r="FL315" t="n">
        <v>22</v>
      </c>
      <c r="FM315" t="n">
        <v>10</v>
      </c>
      <c r="FN315" t="n">
        <v>1</v>
      </c>
      <c r="FO315" t="n">
        <v>0</v>
      </c>
      <c r="FP315" t="n">
        <v>144</v>
      </c>
      <c r="FQ315" t="n">
        <v>48</v>
      </c>
      <c r="FR315" t="n">
        <v>15</v>
      </c>
      <c r="FS315" t="n">
        <v>45</v>
      </c>
      <c r="FT315" t="n">
        <v>26</v>
      </c>
      <c r="FU315" t="n">
        <v>39</v>
      </c>
      <c r="FV315" t="n">
        <v>155</v>
      </c>
      <c r="FW315" t="n">
        <v>34</v>
      </c>
      <c r="FX315" t="n">
        <v>98</v>
      </c>
      <c r="FY315" t="n">
        <v>174</v>
      </c>
      <c r="FZ315" t="n">
        <v>19</v>
      </c>
      <c r="GA315" t="n">
        <v>12</v>
      </c>
      <c r="GB315" t="n">
        <v>31</v>
      </c>
      <c r="GC315" t="n">
        <v>34</v>
      </c>
      <c r="GD315" t="n">
        <v>47</v>
      </c>
      <c r="GE315" t="n">
        <v>3</v>
      </c>
      <c r="GF315" t="n">
        <v>8</v>
      </c>
      <c r="GG315" t="n">
        <v>97</v>
      </c>
      <c r="GH315" t="n">
        <v>116</v>
      </c>
      <c r="GI315" t="n">
        <v>27</v>
      </c>
      <c r="GJ315" t="n">
        <v>24</v>
      </c>
      <c r="GK315" t="n">
        <v>20</v>
      </c>
      <c r="GL315" t="n">
        <v>12</v>
      </c>
      <c r="GN315" t="n">
        <v>1</v>
      </c>
      <c r="GO315" t="n">
        <v>4</v>
      </c>
      <c r="GP315" t="n">
        <v>39</v>
      </c>
      <c r="GQ315" t="n">
        <v>26</v>
      </c>
      <c r="GR315" t="n">
        <v>50</v>
      </c>
      <c r="GS315" t="n">
        <v>32</v>
      </c>
      <c r="GT315" t="n">
        <v>15</v>
      </c>
      <c r="GU315" t="n">
        <v>106</v>
      </c>
      <c r="GV315" t="n">
        <v>9</v>
      </c>
      <c r="GW315" t="n">
        <v>138</v>
      </c>
      <c r="GX315" t="n">
        <v>128</v>
      </c>
      <c r="GY315" t="n">
        <v>21</v>
      </c>
      <c r="GZ315" t="n">
        <v>215</v>
      </c>
      <c r="HA315" t="n">
        <v>89</v>
      </c>
      <c r="HB315" t="n">
        <v>22</v>
      </c>
      <c r="HC315" t="n">
        <v>18</v>
      </c>
      <c r="HD315" t="n">
        <v>4</v>
      </c>
      <c r="HE315" t="n">
        <v>71</v>
      </c>
      <c r="HF315" t="n">
        <v>64</v>
      </c>
      <c r="HG315" t="n">
        <v>76</v>
      </c>
      <c r="HH315" t="n">
        <v>26</v>
      </c>
      <c r="HI315" t="n">
        <v>35</v>
      </c>
      <c r="HJ315" t="n">
        <v>20</v>
      </c>
      <c r="HK315" t="n">
        <v>14</v>
      </c>
      <c r="HL315" t="n">
        <v>10</v>
      </c>
      <c r="HM315" t="n">
        <v>21</v>
      </c>
      <c r="HN315" t="n">
        <v>22</v>
      </c>
      <c r="HO315" t="n">
        <v>6</v>
      </c>
      <c r="HP315" t="n">
        <v>4</v>
      </c>
      <c r="HQ315" t="n">
        <v>28</v>
      </c>
      <c r="HR315" t="n">
        <v>9</v>
      </c>
      <c r="HS315" t="n">
        <v>3</v>
      </c>
      <c r="HT315" t="n">
        <v>2</v>
      </c>
      <c r="HU315" t="n">
        <v>72</v>
      </c>
      <c r="HV315" t="n">
        <v>68</v>
      </c>
      <c r="HW315" t="n">
        <v>387</v>
      </c>
      <c r="HX315" t="n">
        <v>54</v>
      </c>
      <c r="HY315" t="n">
        <v>26</v>
      </c>
      <c r="HZ315" t="n">
        <v>20</v>
      </c>
      <c r="IA315" t="n">
        <v>7</v>
      </c>
      <c r="IB315" t="n">
        <v>273</v>
      </c>
      <c r="IC315" t="n">
        <v>10</v>
      </c>
      <c r="ID315" t="n">
        <v>81</v>
      </c>
      <c r="IE315" t="n">
        <v>51</v>
      </c>
      <c r="IF315" t="n">
        <v>15</v>
      </c>
      <c r="IG315" t="n">
        <v>17</v>
      </c>
      <c r="IH315" t="n">
        <v>2</v>
      </c>
      <c r="II315" t="n">
        <v>5</v>
      </c>
      <c r="IJ315" t="n">
        <v>5</v>
      </c>
      <c r="IK315" t="n">
        <v>71</v>
      </c>
      <c r="IL315" t="n">
        <v>92</v>
      </c>
      <c r="IM315" t="n">
        <v>25</v>
      </c>
      <c r="IN315" t="n">
        <v>25</v>
      </c>
      <c r="IO315" t="n">
        <v>6</v>
      </c>
      <c r="IP315" t="n">
        <v>153</v>
      </c>
      <c r="IQ315" t="n">
        <v>34</v>
      </c>
      <c r="IR315" t="n">
        <v>21</v>
      </c>
      <c r="IS315" t="n">
        <v>12</v>
      </c>
      <c r="IT315" t="n">
        <v>1</v>
      </c>
      <c r="IU315" t="n">
        <v>21</v>
      </c>
      <c r="IV315" t="n">
        <v>16</v>
      </c>
      <c r="IW315" t="n">
        <v>24</v>
      </c>
      <c r="IX315" t="n">
        <v>18</v>
      </c>
      <c r="IY315" t="n">
        <v>2</v>
      </c>
      <c r="IZ315" t="n">
        <v>50</v>
      </c>
      <c r="JA315" t="n">
        <v>102</v>
      </c>
      <c r="JB315" t="n">
        <v>28</v>
      </c>
      <c r="JC315" t="n">
        <v>7</v>
      </c>
      <c r="JD315" t="n">
        <v>51</v>
      </c>
      <c r="JE315" t="n">
        <v>21</v>
      </c>
      <c r="JF315" t="n">
        <v>13</v>
      </c>
      <c r="JG315" t="n">
        <v>137</v>
      </c>
      <c r="JH315" t="n">
        <v>27</v>
      </c>
      <c r="JI315" t="n">
        <v>13</v>
      </c>
      <c r="JJ315" t="n">
        <v>35</v>
      </c>
      <c r="JK315" t="n">
        <v>22</v>
      </c>
      <c r="JL315" t="n">
        <v>389</v>
      </c>
      <c r="JM315" t="n">
        <v>551</v>
      </c>
      <c r="JN315" t="n">
        <v>421</v>
      </c>
      <c r="JO315" t="n">
        <v>581</v>
      </c>
      <c r="JP315" t="n">
        <v>239</v>
      </c>
      <c r="JQ315" t="n">
        <v>352</v>
      </c>
      <c r="JR315" t="n">
        <v>81</v>
      </c>
      <c r="JS315" t="n">
        <v>695</v>
      </c>
      <c r="JT315" t="n">
        <v>134</v>
      </c>
      <c r="JV315" t="n">
        <v>4010</v>
      </c>
      <c r="JW315" t="n">
        <v>1092</v>
      </c>
      <c r="JX315" t="n">
        <v>596</v>
      </c>
      <c r="JY315" t="n">
        <v>959</v>
      </c>
      <c r="JZ315" t="n">
        <v>670</v>
      </c>
      <c r="KA315" t="n">
        <v>1320</v>
      </c>
      <c r="KB315" t="n">
        <v>703</v>
      </c>
      <c r="KC315" t="n">
        <v>2751</v>
      </c>
      <c r="KD315" t="n">
        <v>1001</v>
      </c>
      <c r="KE315" t="n">
        <v>601</v>
      </c>
      <c r="KF315" t="n">
        <v>0</v>
      </c>
      <c r="KH315" t="n">
        <v>108</v>
      </c>
      <c r="KI315" t="n">
        <v>112</v>
      </c>
      <c r="KJ315" t="n">
        <v>20</v>
      </c>
      <c r="KK315" t="n">
        <v>490</v>
      </c>
      <c r="KL315" t="n">
        <v>306</v>
      </c>
      <c r="KM315" t="n">
        <v>173</v>
      </c>
      <c r="KN315" t="n">
        <v>105</v>
      </c>
      <c r="KO315" t="n">
        <v>65</v>
      </c>
      <c r="KP315" t="n">
        <v>142</v>
      </c>
      <c r="KQ315" t="n">
        <v>100</v>
      </c>
      <c r="KR315" t="n">
        <v>1535</v>
      </c>
      <c r="KS315" t="n">
        <v>76</v>
      </c>
      <c r="KT315" t="n">
        <v>0</v>
      </c>
      <c r="KU315" t="n">
        <v>71</v>
      </c>
      <c r="KV315" t="n">
        <v>137</v>
      </c>
      <c r="KW315" t="n">
        <v>1121</v>
      </c>
      <c r="KX315" t="n">
        <v>2174</v>
      </c>
      <c r="KY315" t="n">
        <v>120</v>
      </c>
      <c r="KZ315" t="n">
        <v>2492</v>
      </c>
      <c r="LA315" t="n">
        <v>1025</v>
      </c>
      <c r="LB315" t="n">
        <v>1</v>
      </c>
      <c r="LC315" t="n">
        <v>23869</v>
      </c>
      <c r="LD315" t="n">
        <v>9085</v>
      </c>
      <c r="LE315" t="n">
        <v>2205</v>
      </c>
      <c r="LF315" t="n">
        <v>1799</v>
      </c>
      <c r="LG315" t="n">
        <v>149</v>
      </c>
      <c r="LH315" t="n">
        <v>615</v>
      </c>
      <c r="LI315" t="n">
        <v>378</v>
      </c>
      <c r="LJ315" t="n">
        <v>2448</v>
      </c>
      <c r="LL315" t="n">
        <v>1</v>
      </c>
      <c r="LM315" t="n">
        <v>1021</v>
      </c>
      <c r="LN315" t="n">
        <v>75</v>
      </c>
      <c r="LO315" t="n">
        <v>130</v>
      </c>
      <c r="LP315" t="n">
        <v>47</v>
      </c>
      <c r="LQ315" t="n">
        <v>13</v>
      </c>
      <c r="LR315" t="n">
        <v>3057</v>
      </c>
      <c r="LS315" t="n">
        <v>384</v>
      </c>
      <c r="LT315" t="n">
        <v>2256</v>
      </c>
      <c r="LU315" t="n">
        <v>179</v>
      </c>
      <c r="LV315" t="n">
        <v>498</v>
      </c>
      <c r="LW315" t="n">
        <v>1666</v>
      </c>
      <c r="LX315" t="n">
        <v>1894</v>
      </c>
      <c r="LY315" t="n">
        <v>123</v>
      </c>
      <c r="LZ315" t="n">
        <v>2257</v>
      </c>
      <c r="MA315" t="n">
        <v>406</v>
      </c>
      <c r="MB315" t="n">
        <v>63</v>
      </c>
      <c r="MC315" t="n">
        <v>14</v>
      </c>
      <c r="MD315" t="n">
        <v>43</v>
      </c>
      <c r="ME315" t="n">
        <v>510</v>
      </c>
      <c r="MF315" t="n">
        <v>746</v>
      </c>
      <c r="MG315" t="n">
        <v>11350</v>
      </c>
      <c r="MH315" t="n">
        <v>1669</v>
      </c>
      <c r="MI315" t="n">
        <v>840</v>
      </c>
      <c r="MJ315" t="n">
        <v>573</v>
      </c>
      <c r="MK315" t="n">
        <v>1411</v>
      </c>
      <c r="ML315" t="n">
        <v>4480</v>
      </c>
      <c r="MM315" t="n">
        <v>1593</v>
      </c>
      <c r="MN315" t="n">
        <v>477</v>
      </c>
      <c r="MO315" t="n">
        <v>1058</v>
      </c>
      <c r="MQ315" t="n">
        <v>176</v>
      </c>
      <c r="MR315" t="n">
        <v>366</v>
      </c>
      <c r="MS315" t="n">
        <v>494</v>
      </c>
      <c r="MT315" t="n">
        <v>27</v>
      </c>
      <c r="MU315" t="n">
        <v>32</v>
      </c>
      <c r="MV315" t="n">
        <v>257</v>
      </c>
      <c r="MW315" t="n">
        <v>14</v>
      </c>
      <c r="MX315" t="n">
        <v>33</v>
      </c>
      <c r="MY315" t="n">
        <v>6</v>
      </c>
      <c r="MZ315" t="n">
        <v>1898</v>
      </c>
      <c r="NA315" t="n">
        <v>93</v>
      </c>
      <c r="NB315" t="n">
        <v>38</v>
      </c>
      <c r="NC315" t="n">
        <v>112</v>
      </c>
      <c r="ND315" t="n">
        <v>57</v>
      </c>
      <c r="NE315" t="n">
        <v>195</v>
      </c>
      <c r="NF315" t="n">
        <v>33</v>
      </c>
      <c r="NG315" t="n">
        <v>114</v>
      </c>
      <c r="NH315" t="n">
        <v>25</v>
      </c>
      <c r="NI315" t="n">
        <v>321</v>
      </c>
      <c r="NJ315" t="n">
        <v>25</v>
      </c>
      <c r="NK315" t="n">
        <v>85</v>
      </c>
      <c r="NL315" t="n">
        <v>191</v>
      </c>
      <c r="NM315" t="n">
        <v>274</v>
      </c>
      <c r="NN315" t="n">
        <v>594</v>
      </c>
      <c r="NO315" t="n">
        <v>1193</v>
      </c>
      <c r="NP315" t="n">
        <v>4402</v>
      </c>
      <c r="NQ315" t="n">
        <v>319</v>
      </c>
      <c r="NR315" t="n">
        <v>270</v>
      </c>
      <c r="NS315" t="n">
        <v>75</v>
      </c>
      <c r="NT315" t="n">
        <v>46</v>
      </c>
      <c r="NU315" t="n">
        <v>62</v>
      </c>
      <c r="NV315" t="n">
        <v>507</v>
      </c>
      <c r="NW315" t="n">
        <v>0</v>
      </c>
      <c r="NX315" t="n">
        <v>25</v>
      </c>
      <c r="NY315" t="n">
        <v>219</v>
      </c>
      <c r="NZ315" t="n">
        <v>447</v>
      </c>
      <c r="OA315" t="n">
        <v>1729</v>
      </c>
      <c r="OB315" t="n">
        <v>460</v>
      </c>
      <c r="OD315" t="n">
        <v>1303</v>
      </c>
      <c r="OE315" t="n">
        <v>3730</v>
      </c>
      <c r="OF315" t="n">
        <v>2</v>
      </c>
      <c r="OG315" t="n">
        <v>37</v>
      </c>
      <c r="OH315" t="n">
        <v>355</v>
      </c>
      <c r="OI315" t="n">
        <v>1260</v>
      </c>
      <c r="OJ315" t="n">
        <v>7845</v>
      </c>
      <c r="OK315" t="n">
        <v>14163</v>
      </c>
      <c r="OL315" t="n">
        <v>34</v>
      </c>
      <c r="OM315" t="n">
        <v>23</v>
      </c>
      <c r="ON315" t="n">
        <v>1616</v>
      </c>
      <c r="OO315" t="n">
        <v>171347</v>
      </c>
      <c r="OP315" t="n">
        <v>31753</v>
      </c>
      <c r="OR315" t="n">
        <v>35440</v>
      </c>
      <c r="OV315" t="n">
        <v>1370</v>
      </c>
      <c r="OY315" t="n">
        <v>1781</v>
      </c>
      <c r="PC315" t="n">
        <v>2310</v>
      </c>
      <c r="PG315" t="n">
        <v>4545</v>
      </c>
      <c r="PI315" t="n">
        <v>248546</v>
      </c>
      <c r="PM315">
        <f>IFERROR(VLOOKUP($A315&amp;"",Key!$A:$C,3,FALSE),"")</f>
        <v/>
      </c>
    </row>
    <row r="316">
      <c r="A316" t="n">
        <v>519130</v>
      </c>
      <c r="B316" t="inlineStr">
        <is>
          <t>Internet publishing and broadcasting and Web search portals</t>
        </is>
      </c>
      <c r="Z316" t="n">
        <v>0</v>
      </c>
      <c r="JL316" t="n">
        <v>1</v>
      </c>
      <c r="JQ316" t="n">
        <v>0</v>
      </c>
      <c r="JS316" t="n">
        <v>2</v>
      </c>
      <c r="JV316" t="n">
        <v>497</v>
      </c>
      <c r="JW316" t="n">
        <v>242</v>
      </c>
      <c r="JX316" t="n">
        <v>619</v>
      </c>
      <c r="JY316" t="n">
        <v>65</v>
      </c>
      <c r="JZ316" t="n">
        <v>87</v>
      </c>
      <c r="KA316" t="n">
        <v>182</v>
      </c>
      <c r="KB316" t="n">
        <v>77</v>
      </c>
      <c r="KC316" t="n">
        <v>171</v>
      </c>
      <c r="KD316" t="n">
        <v>134</v>
      </c>
      <c r="KE316" t="n">
        <v>3</v>
      </c>
      <c r="KH316" t="n">
        <v>6</v>
      </c>
      <c r="KK316" t="n">
        <v>29</v>
      </c>
      <c r="KN316" t="n">
        <v>31</v>
      </c>
      <c r="KO316" t="n">
        <v>33</v>
      </c>
      <c r="KP316" t="n">
        <v>234</v>
      </c>
      <c r="KQ316" t="n">
        <v>28</v>
      </c>
      <c r="KR316" t="n">
        <v>133</v>
      </c>
      <c r="KS316" t="n">
        <v>30</v>
      </c>
      <c r="KT316" t="n">
        <v>3</v>
      </c>
      <c r="KW316" t="n">
        <v>96</v>
      </c>
      <c r="KX316" t="n">
        <v>389</v>
      </c>
      <c r="KY316" t="n">
        <v>50</v>
      </c>
      <c r="KZ316" t="n">
        <v>361</v>
      </c>
      <c r="LA316" t="n">
        <v>7664</v>
      </c>
      <c r="LB316" t="n">
        <v>0</v>
      </c>
      <c r="LG316" t="n">
        <v>196</v>
      </c>
      <c r="LH316" t="n">
        <v>1012</v>
      </c>
      <c r="LI316" t="n">
        <v>29</v>
      </c>
      <c r="LJ316" t="n">
        <v>809</v>
      </c>
      <c r="LL316" t="n">
        <v>3</v>
      </c>
      <c r="LM316" t="n">
        <v>50</v>
      </c>
      <c r="LN316" t="n">
        <v>58</v>
      </c>
      <c r="LO316" t="n">
        <v>62</v>
      </c>
      <c r="LP316" t="n">
        <v>33</v>
      </c>
      <c r="LQ316" t="n">
        <v>272</v>
      </c>
      <c r="LR316" t="n">
        <v>1188</v>
      </c>
      <c r="LS316" t="n">
        <v>55</v>
      </c>
      <c r="LT316" t="n">
        <v>168</v>
      </c>
      <c r="LU316" t="n">
        <v>153</v>
      </c>
      <c r="LV316" t="n">
        <v>382</v>
      </c>
      <c r="LW316" t="n">
        <v>448</v>
      </c>
      <c r="LX316" t="n">
        <v>1934</v>
      </c>
      <c r="LY316" t="n">
        <v>431</v>
      </c>
      <c r="LZ316" t="n">
        <v>285</v>
      </c>
      <c r="MA316" t="n">
        <v>534</v>
      </c>
      <c r="MB316" t="n">
        <v>72</v>
      </c>
      <c r="MC316" t="n">
        <v>99</v>
      </c>
      <c r="MD316" t="n">
        <v>26</v>
      </c>
      <c r="ME316" t="n">
        <v>2087</v>
      </c>
      <c r="MF316" t="n">
        <v>602</v>
      </c>
      <c r="MG316" t="n">
        <v>1011</v>
      </c>
      <c r="MH316" t="n">
        <v>393</v>
      </c>
      <c r="MI316" t="n">
        <v>592</v>
      </c>
      <c r="MJ316" t="n">
        <v>64</v>
      </c>
      <c r="MK316" t="n">
        <v>1579</v>
      </c>
      <c r="ML316" t="n">
        <v>630</v>
      </c>
      <c r="MM316" t="n">
        <v>378</v>
      </c>
      <c r="MN316" t="n">
        <v>1054</v>
      </c>
      <c r="MO316" t="n">
        <v>202</v>
      </c>
      <c r="MP316" t="n">
        <v>211</v>
      </c>
      <c r="MQ316" t="n">
        <v>474</v>
      </c>
      <c r="MR316" t="n">
        <v>3395</v>
      </c>
      <c r="MS316" t="n">
        <v>549</v>
      </c>
      <c r="MT316" t="n">
        <v>57</v>
      </c>
      <c r="MU316" t="n">
        <v>27</v>
      </c>
      <c r="MV316" t="n">
        <v>16</v>
      </c>
      <c r="MW316" t="n">
        <v>16</v>
      </c>
      <c r="MX316" t="n">
        <v>40</v>
      </c>
      <c r="MY316" t="n">
        <v>15</v>
      </c>
      <c r="MZ316" t="n">
        <v>775</v>
      </c>
      <c r="NA316" t="n">
        <v>119</v>
      </c>
      <c r="NB316" t="n">
        <v>21</v>
      </c>
      <c r="NC316" t="n">
        <v>294</v>
      </c>
      <c r="ND316" t="n">
        <v>14</v>
      </c>
      <c r="NE316" t="n">
        <v>107</v>
      </c>
      <c r="NF316" t="n">
        <v>18</v>
      </c>
      <c r="NG316" t="n">
        <v>118</v>
      </c>
      <c r="NH316" t="n">
        <v>31</v>
      </c>
      <c r="NI316" t="n">
        <v>163</v>
      </c>
      <c r="NJ316" t="n">
        <v>19</v>
      </c>
      <c r="NK316" t="n">
        <v>11</v>
      </c>
      <c r="NL316" t="n">
        <v>99</v>
      </c>
      <c r="NM316" t="n">
        <v>479</v>
      </c>
      <c r="NN316" t="n">
        <v>263</v>
      </c>
      <c r="NO316" t="n">
        <v>884</v>
      </c>
      <c r="NP316" t="n">
        <v>1014</v>
      </c>
      <c r="NQ316" t="n">
        <v>204</v>
      </c>
      <c r="NR316" t="n">
        <v>48</v>
      </c>
      <c r="NS316" t="n">
        <v>25</v>
      </c>
      <c r="NT316" t="n">
        <v>46</v>
      </c>
      <c r="NU316" t="n">
        <v>8</v>
      </c>
      <c r="NV316" t="n">
        <v>10</v>
      </c>
      <c r="NW316" t="n">
        <v>0</v>
      </c>
      <c r="NX316" t="n">
        <v>41</v>
      </c>
      <c r="NY316" t="n">
        <v>3423</v>
      </c>
      <c r="NZ316" t="n">
        <v>115</v>
      </c>
      <c r="OA316" t="n">
        <v>54</v>
      </c>
      <c r="OB316" t="n">
        <v>117</v>
      </c>
      <c r="OD316" t="n">
        <v>0</v>
      </c>
      <c r="OI316" t="n">
        <v>378</v>
      </c>
      <c r="OJ316" t="n">
        <v>141</v>
      </c>
      <c r="OK316" t="n">
        <v>679</v>
      </c>
      <c r="OL316" t="n">
        <v>31</v>
      </c>
      <c r="OM316" t="n">
        <v>87</v>
      </c>
      <c r="ON316" t="n">
        <v>747</v>
      </c>
      <c r="OO316" t="n">
        <v>43440</v>
      </c>
      <c r="OP316" t="n">
        <v>10416</v>
      </c>
      <c r="OV316" t="n">
        <v>3877</v>
      </c>
      <c r="PI316" t="n">
        <v>57732</v>
      </c>
      <c r="PM316">
        <f>IFERROR(VLOOKUP($A316&amp;"",Key!$A:$C,3,FALSE),"")</f>
        <v/>
      </c>
    </row>
    <row r="317">
      <c r="A317" t="inlineStr">
        <is>
          <t>5191A0</t>
        </is>
      </c>
      <c r="B317" t="inlineStr">
        <is>
          <t>News syndicates, libraries, archives and all other information services</t>
        </is>
      </c>
      <c r="P317" t="n">
        <v>1</v>
      </c>
      <c r="V317" t="n">
        <v>2</v>
      </c>
      <c r="W317" t="n">
        <v>11</v>
      </c>
      <c r="X317" t="n">
        <v>97</v>
      </c>
      <c r="Y317" t="n">
        <v>3</v>
      </c>
      <c r="AC317" t="n">
        <v>1</v>
      </c>
      <c r="AL317" t="n">
        <v>3</v>
      </c>
      <c r="JK317" t="n">
        <v>5</v>
      </c>
      <c r="JL317" t="n">
        <v>20</v>
      </c>
      <c r="JM317" t="n">
        <v>11</v>
      </c>
      <c r="JN317" t="n">
        <v>5</v>
      </c>
      <c r="JO317" t="n">
        <v>10</v>
      </c>
      <c r="JP317" t="n">
        <v>4</v>
      </c>
      <c r="JQ317" t="n">
        <v>3</v>
      </c>
      <c r="JS317" t="n">
        <v>12</v>
      </c>
      <c r="JT317" t="n">
        <v>2</v>
      </c>
      <c r="JV317" t="n">
        <v>20</v>
      </c>
      <c r="JW317" t="n">
        <v>4</v>
      </c>
      <c r="JX317" t="n">
        <v>3</v>
      </c>
      <c r="JY317" t="n">
        <v>8</v>
      </c>
      <c r="JZ317" t="n">
        <v>4</v>
      </c>
      <c r="KA317" t="n">
        <v>8</v>
      </c>
      <c r="KB317" t="n">
        <v>4</v>
      </c>
      <c r="KC317" t="n">
        <v>22</v>
      </c>
      <c r="KD317" t="n">
        <v>3</v>
      </c>
      <c r="KE317" t="n">
        <v>1</v>
      </c>
      <c r="KH317" t="n">
        <v>7</v>
      </c>
      <c r="KK317" t="n">
        <v>28</v>
      </c>
      <c r="KM317" t="n">
        <v>3</v>
      </c>
      <c r="KN317" t="n">
        <v>1239</v>
      </c>
      <c r="KO317" t="n">
        <v>115</v>
      </c>
      <c r="KP317" t="n">
        <v>2</v>
      </c>
      <c r="KR317" t="n">
        <v>45</v>
      </c>
      <c r="KS317" t="n">
        <v>1</v>
      </c>
      <c r="KU317" t="n">
        <v>4</v>
      </c>
      <c r="KY317" t="n">
        <v>19</v>
      </c>
      <c r="KZ317" t="n">
        <v>39</v>
      </c>
      <c r="LA317" t="n">
        <v>133</v>
      </c>
      <c r="LB317" t="n">
        <v>0</v>
      </c>
      <c r="LC317" t="n">
        <v>123</v>
      </c>
      <c r="LD317" t="n">
        <v>46</v>
      </c>
      <c r="LE317" t="n">
        <v>103</v>
      </c>
      <c r="LF317" t="n">
        <v>23</v>
      </c>
      <c r="LG317" t="n">
        <v>5</v>
      </c>
      <c r="LI317" t="n">
        <v>7</v>
      </c>
      <c r="LM317" t="n">
        <v>149</v>
      </c>
      <c r="LN317" t="n">
        <v>1</v>
      </c>
      <c r="LO317" t="n">
        <v>11</v>
      </c>
      <c r="LP317" t="n">
        <v>1</v>
      </c>
      <c r="LQ317" t="n">
        <v>28</v>
      </c>
      <c r="LR317" t="n">
        <v>15</v>
      </c>
      <c r="LS317" t="n">
        <v>7</v>
      </c>
      <c r="LT317" t="n">
        <v>8</v>
      </c>
      <c r="LU317" t="n">
        <v>3</v>
      </c>
      <c r="LV317" t="n">
        <v>3</v>
      </c>
      <c r="LW317" t="n">
        <v>53</v>
      </c>
      <c r="LX317" t="n">
        <v>150</v>
      </c>
      <c r="LY317" t="n">
        <v>5</v>
      </c>
      <c r="LZ317" t="n">
        <v>216</v>
      </c>
      <c r="MA317" t="n">
        <v>3</v>
      </c>
      <c r="ME317" t="n">
        <v>6</v>
      </c>
      <c r="MF317" t="n">
        <v>5</v>
      </c>
      <c r="MG317" t="n">
        <v>17</v>
      </c>
      <c r="MH317" t="n">
        <v>2</v>
      </c>
      <c r="MI317" t="n">
        <v>4</v>
      </c>
      <c r="MJ317" t="n">
        <v>1</v>
      </c>
      <c r="MK317" t="n">
        <v>10</v>
      </c>
      <c r="ML317" t="n">
        <v>8</v>
      </c>
      <c r="MM317" t="n">
        <v>2</v>
      </c>
      <c r="MN317" t="n">
        <v>3</v>
      </c>
      <c r="MO317" t="n">
        <v>0</v>
      </c>
      <c r="MQ317" t="n">
        <v>1</v>
      </c>
      <c r="MS317" t="n">
        <v>8</v>
      </c>
      <c r="MT317" t="n">
        <v>2</v>
      </c>
      <c r="MU317" t="n">
        <v>3</v>
      </c>
      <c r="MV317" t="n">
        <v>2</v>
      </c>
      <c r="MW317" t="n">
        <v>0</v>
      </c>
      <c r="MX317" t="n">
        <v>2</v>
      </c>
      <c r="MY317" t="n">
        <v>1</v>
      </c>
      <c r="MZ317" t="n">
        <v>11</v>
      </c>
      <c r="NA317" t="n">
        <v>2</v>
      </c>
      <c r="NC317" t="n">
        <v>1</v>
      </c>
      <c r="ND317" t="n">
        <v>1</v>
      </c>
      <c r="NE317" t="n">
        <v>0</v>
      </c>
      <c r="NH317" t="n">
        <v>2</v>
      </c>
      <c r="NI317" t="n">
        <v>3</v>
      </c>
      <c r="NL317" t="n">
        <v>41</v>
      </c>
      <c r="NM317" t="n">
        <v>1</v>
      </c>
      <c r="NN317" t="n">
        <v>7</v>
      </c>
      <c r="NO317" t="n">
        <v>4</v>
      </c>
      <c r="NP317" t="n">
        <v>4</v>
      </c>
      <c r="NQ317" t="n">
        <v>1</v>
      </c>
      <c r="NR317" t="n">
        <v>4</v>
      </c>
      <c r="NS317" t="n">
        <v>7</v>
      </c>
      <c r="NT317" t="n">
        <v>7</v>
      </c>
      <c r="NU317" t="n">
        <v>2</v>
      </c>
      <c r="NV317" t="n">
        <v>2</v>
      </c>
      <c r="NW317" t="n">
        <v>0</v>
      </c>
      <c r="NX317" t="n">
        <v>2</v>
      </c>
      <c r="NZ317" t="n">
        <v>63</v>
      </c>
      <c r="OA317" t="n">
        <v>83</v>
      </c>
      <c r="OB317" t="n">
        <v>38</v>
      </c>
      <c r="OD317" t="n">
        <v>284</v>
      </c>
      <c r="OE317" t="n">
        <v>7</v>
      </c>
      <c r="OF317" t="n">
        <v>1</v>
      </c>
      <c r="OG317" t="n">
        <v>21</v>
      </c>
      <c r="OH317" t="n">
        <v>111</v>
      </c>
      <c r="OI317" t="n">
        <v>361</v>
      </c>
      <c r="OJ317" t="n">
        <v>249</v>
      </c>
      <c r="OK317" t="n">
        <v>955</v>
      </c>
      <c r="ON317" t="n">
        <v>12</v>
      </c>
      <c r="OO317" t="n">
        <v>5231</v>
      </c>
      <c r="OP317" t="n">
        <v>4546</v>
      </c>
      <c r="OV317" t="n">
        <v>829</v>
      </c>
      <c r="PI317" t="n">
        <v>10606</v>
      </c>
      <c r="PM317">
        <f>IFERROR(VLOOKUP($A317&amp;"",Key!$A:$C,3,FALSE),"")</f>
        <v/>
      </c>
    </row>
    <row r="318">
      <c r="A318" t="inlineStr">
        <is>
          <t>522A00</t>
        </is>
      </c>
      <c r="B318" t="inlineStr">
        <is>
          <t>Nondepository credit intermediation and related activities</t>
        </is>
      </c>
      <c r="C318" t="n">
        <v>16</v>
      </c>
      <c r="D318" t="n">
        <v>16</v>
      </c>
      <c r="E318" t="n">
        <v>11</v>
      </c>
      <c r="F318" t="n">
        <v>11</v>
      </c>
      <c r="G318" t="n">
        <v>2</v>
      </c>
      <c r="H318" t="n">
        <v>53</v>
      </c>
      <c r="I318" t="n">
        <v>8</v>
      </c>
      <c r="J318" t="n">
        <v>5</v>
      </c>
      <c r="K318" t="n">
        <v>19</v>
      </c>
      <c r="L318" t="n">
        <v>27</v>
      </c>
      <c r="M318" t="n">
        <v>0</v>
      </c>
      <c r="N318" t="n">
        <v>8</v>
      </c>
      <c r="O318" t="n">
        <v>12</v>
      </c>
      <c r="P318" t="n">
        <v>167</v>
      </c>
      <c r="Q318" t="n">
        <v>63</v>
      </c>
      <c r="R318" t="n">
        <v>3</v>
      </c>
      <c r="S318" t="n">
        <v>13</v>
      </c>
      <c r="T318" t="n">
        <v>33</v>
      </c>
      <c r="U318" t="n">
        <v>50</v>
      </c>
      <c r="V318" t="n">
        <v>93</v>
      </c>
      <c r="W318" t="n">
        <v>148</v>
      </c>
      <c r="X318" t="n">
        <v>569</v>
      </c>
      <c r="Y318" t="n">
        <v>94</v>
      </c>
      <c r="Z318" t="n">
        <v>14</v>
      </c>
      <c r="AA318" t="n">
        <v>15</v>
      </c>
      <c r="AB318" t="n">
        <v>1</v>
      </c>
      <c r="AC318" t="n">
        <v>111</v>
      </c>
      <c r="AD318" t="n">
        <v>102</v>
      </c>
      <c r="AE318" t="n">
        <v>89</v>
      </c>
      <c r="AF318" t="n">
        <v>34</v>
      </c>
      <c r="AG318" t="n">
        <v>204</v>
      </c>
      <c r="AH318" t="n">
        <v>15</v>
      </c>
      <c r="AI318" t="n">
        <v>38</v>
      </c>
      <c r="AJ318" t="n">
        <v>5</v>
      </c>
      <c r="AK318" t="n">
        <v>159</v>
      </c>
      <c r="AL318" t="n">
        <v>49</v>
      </c>
      <c r="AM318" t="n">
        <v>40</v>
      </c>
      <c r="AN318" t="n">
        <v>17</v>
      </c>
      <c r="AO318" t="n">
        <v>12</v>
      </c>
      <c r="AP318" t="n">
        <v>33</v>
      </c>
      <c r="AQ318" t="n">
        <v>36</v>
      </c>
      <c r="AR318" t="n">
        <v>58</v>
      </c>
      <c r="AS318" t="n">
        <v>10</v>
      </c>
      <c r="AT318" t="n">
        <v>42</v>
      </c>
      <c r="AU318" t="n">
        <v>3</v>
      </c>
      <c r="AV318" t="n">
        <v>15</v>
      </c>
      <c r="AW318" t="n">
        <v>8</v>
      </c>
      <c r="AX318" t="n">
        <v>7</v>
      </c>
      <c r="AY318" t="n">
        <v>7</v>
      </c>
      <c r="AZ318" t="n">
        <v>1</v>
      </c>
      <c r="BA318" t="n">
        <v>6</v>
      </c>
      <c r="BB318" t="n">
        <v>13</v>
      </c>
      <c r="BC318" t="n">
        <v>52</v>
      </c>
      <c r="BD318" t="n">
        <v>23</v>
      </c>
      <c r="BE318" t="n">
        <v>6</v>
      </c>
      <c r="BF318" t="n">
        <v>16</v>
      </c>
      <c r="BG318" t="n">
        <v>20</v>
      </c>
      <c r="BH318" t="n">
        <v>19</v>
      </c>
      <c r="BI318" t="n">
        <v>5</v>
      </c>
      <c r="BJ318" t="n">
        <v>17</v>
      </c>
      <c r="BK318" t="n">
        <v>11</v>
      </c>
      <c r="BL318" t="n">
        <v>36</v>
      </c>
      <c r="BM318" t="n">
        <v>8</v>
      </c>
      <c r="BN318" t="n">
        <v>7</v>
      </c>
      <c r="BO318" t="n">
        <v>13</v>
      </c>
      <c r="BP318" t="n">
        <v>22</v>
      </c>
      <c r="BQ318" t="n">
        <v>40</v>
      </c>
      <c r="BR318" t="n">
        <v>23</v>
      </c>
      <c r="BS318" t="n">
        <v>12</v>
      </c>
      <c r="BT318" t="n">
        <v>21</v>
      </c>
      <c r="BU318" t="n">
        <v>6</v>
      </c>
      <c r="BV318" t="n">
        <v>8</v>
      </c>
      <c r="BW318" t="n">
        <v>12</v>
      </c>
      <c r="BX318" t="n">
        <v>26</v>
      </c>
      <c r="BY318" t="n">
        <v>33</v>
      </c>
      <c r="BZ318" t="n">
        <v>14</v>
      </c>
      <c r="CB318" t="n">
        <v>30</v>
      </c>
      <c r="CC318" t="n">
        <v>4</v>
      </c>
      <c r="CD318" t="n">
        <v>7</v>
      </c>
      <c r="CE318" t="n">
        <v>34</v>
      </c>
      <c r="CF318" t="n">
        <v>9</v>
      </c>
      <c r="CG318" t="n">
        <v>19</v>
      </c>
      <c r="CH318" t="n">
        <v>7</v>
      </c>
      <c r="CI318" t="n">
        <v>17</v>
      </c>
      <c r="CJ318" t="n">
        <v>6</v>
      </c>
      <c r="CK318" t="n">
        <v>5</v>
      </c>
      <c r="CL318" t="n">
        <v>29</v>
      </c>
      <c r="CM318" t="n">
        <v>9</v>
      </c>
      <c r="CN318" t="n">
        <v>1</v>
      </c>
      <c r="CO318" t="n">
        <v>21</v>
      </c>
      <c r="CP318" t="n">
        <v>10</v>
      </c>
      <c r="CQ318" t="n">
        <v>10</v>
      </c>
      <c r="CR318" t="n">
        <v>9</v>
      </c>
      <c r="CS318" t="n">
        <v>8</v>
      </c>
      <c r="CT318" t="n">
        <v>9</v>
      </c>
      <c r="CU318" t="n">
        <v>17</v>
      </c>
      <c r="CV318" t="n">
        <v>13</v>
      </c>
      <c r="CW318" t="n">
        <v>15</v>
      </c>
      <c r="CX318" t="n">
        <v>9</v>
      </c>
      <c r="CY318" t="n">
        <v>2</v>
      </c>
      <c r="CZ318" t="n">
        <v>38</v>
      </c>
      <c r="DA318" t="n">
        <v>7</v>
      </c>
      <c r="DB318" t="n">
        <v>31</v>
      </c>
      <c r="DC318" t="n">
        <v>15</v>
      </c>
      <c r="DD318" t="n">
        <v>2</v>
      </c>
      <c r="DE318" t="n">
        <v>19</v>
      </c>
      <c r="DF318" t="n">
        <v>7</v>
      </c>
      <c r="DG318" t="n">
        <v>13</v>
      </c>
      <c r="DH318" t="n">
        <v>8</v>
      </c>
      <c r="DK318" t="n">
        <v>1</v>
      </c>
      <c r="DL318" t="n">
        <v>0</v>
      </c>
      <c r="DM318" t="n">
        <v>0</v>
      </c>
      <c r="DN318" t="n">
        <v>0</v>
      </c>
      <c r="DO318" t="n">
        <v>0</v>
      </c>
      <c r="DP318" t="n">
        <v>1</v>
      </c>
      <c r="DQ318" t="n">
        <v>11</v>
      </c>
      <c r="DR318" t="n">
        <v>13</v>
      </c>
      <c r="DS318" t="n">
        <v>0</v>
      </c>
      <c r="DU318" t="n">
        <v>2</v>
      </c>
      <c r="DV318" t="n">
        <v>2</v>
      </c>
      <c r="DW318" t="n">
        <v>1</v>
      </c>
      <c r="DX318" t="n">
        <v>5</v>
      </c>
      <c r="DY318" t="n">
        <v>5</v>
      </c>
      <c r="DZ318" t="n">
        <v>7</v>
      </c>
      <c r="EA318" t="n">
        <v>21</v>
      </c>
      <c r="EB318" t="n">
        <v>0</v>
      </c>
      <c r="EC318" t="n">
        <v>2</v>
      </c>
      <c r="ED318" t="n">
        <v>12</v>
      </c>
      <c r="EE318" t="n">
        <v>9</v>
      </c>
      <c r="EF318" t="n">
        <v>29</v>
      </c>
      <c r="EG318" t="n">
        <v>7</v>
      </c>
      <c r="EH318" t="n">
        <v>6</v>
      </c>
      <c r="EI318" t="n">
        <v>30</v>
      </c>
      <c r="EJ318" t="n">
        <v>1</v>
      </c>
      <c r="EK318" t="n">
        <v>3</v>
      </c>
      <c r="EL318" t="n">
        <v>0</v>
      </c>
      <c r="EM318" t="n">
        <v>7</v>
      </c>
      <c r="EN318" t="n">
        <v>13</v>
      </c>
      <c r="EO318" t="n">
        <v>3</v>
      </c>
      <c r="EP318" t="n">
        <v>9</v>
      </c>
      <c r="EQ318" t="n">
        <v>8</v>
      </c>
      <c r="ER318" t="n">
        <v>90</v>
      </c>
      <c r="ES318" t="n">
        <v>35</v>
      </c>
      <c r="ET318" t="n">
        <v>20</v>
      </c>
      <c r="EU318" t="n">
        <v>21</v>
      </c>
      <c r="EV318" t="n">
        <v>0</v>
      </c>
      <c r="EW318" t="n">
        <v>17</v>
      </c>
      <c r="EX318" t="n">
        <v>24</v>
      </c>
      <c r="EY318" t="n">
        <v>10</v>
      </c>
      <c r="EZ318" t="n">
        <v>34</v>
      </c>
      <c r="FA318" t="n">
        <v>44</v>
      </c>
      <c r="FB318" t="n">
        <v>19</v>
      </c>
      <c r="FC318" t="n">
        <v>32</v>
      </c>
      <c r="FD318" t="n">
        <v>29</v>
      </c>
      <c r="FE318" t="n">
        <v>13</v>
      </c>
      <c r="FF318" t="n">
        <v>17</v>
      </c>
      <c r="FG318" t="n">
        <v>28</v>
      </c>
      <c r="FI318" t="n">
        <v>0</v>
      </c>
      <c r="FJ318" t="n">
        <v>23</v>
      </c>
      <c r="FK318" t="n">
        <v>30</v>
      </c>
      <c r="FL318" t="n">
        <v>7</v>
      </c>
      <c r="FM318" t="n">
        <v>2</v>
      </c>
      <c r="FO318" t="n">
        <v>2</v>
      </c>
      <c r="FP318" t="n">
        <v>22</v>
      </c>
      <c r="FQ318" t="n">
        <v>18</v>
      </c>
      <c r="FR318" t="n">
        <v>6</v>
      </c>
      <c r="FS318" t="n">
        <v>24</v>
      </c>
      <c r="FT318" t="n">
        <v>12</v>
      </c>
      <c r="FU318" t="n">
        <v>11</v>
      </c>
      <c r="FV318" t="n">
        <v>50</v>
      </c>
      <c r="FW318" t="n">
        <v>12</v>
      </c>
      <c r="FX318" t="n">
        <v>14</v>
      </c>
      <c r="FY318" t="n">
        <v>22</v>
      </c>
      <c r="FZ318" t="n">
        <v>3</v>
      </c>
      <c r="GA318" t="n">
        <v>38</v>
      </c>
      <c r="GB318" t="n">
        <v>8</v>
      </c>
      <c r="GC318" t="n">
        <v>12</v>
      </c>
      <c r="GD318" t="n">
        <v>8</v>
      </c>
      <c r="GE318" t="n">
        <v>1</v>
      </c>
      <c r="GF318" t="n">
        <v>4</v>
      </c>
      <c r="GG318" t="n">
        <v>19</v>
      </c>
      <c r="GH318" t="n">
        <v>35</v>
      </c>
      <c r="GI318" t="n">
        <v>29</v>
      </c>
      <c r="GJ318" t="n">
        <v>15</v>
      </c>
      <c r="GK318" t="n">
        <v>16</v>
      </c>
      <c r="GL318" t="n">
        <v>4</v>
      </c>
      <c r="GM318" t="n">
        <v>6</v>
      </c>
      <c r="GN318" t="n">
        <v>1</v>
      </c>
      <c r="GO318" t="n">
        <v>5</v>
      </c>
      <c r="GP318" t="n">
        <v>123</v>
      </c>
      <c r="GQ318" t="n">
        <v>15</v>
      </c>
      <c r="GR318" t="n">
        <v>9</v>
      </c>
      <c r="GS318" t="n">
        <v>6</v>
      </c>
      <c r="GT318" t="n">
        <v>17</v>
      </c>
      <c r="GU318" t="n">
        <v>38</v>
      </c>
      <c r="GV318" t="n">
        <v>13</v>
      </c>
      <c r="GW318" t="n">
        <v>31</v>
      </c>
      <c r="GX318" t="n">
        <v>28</v>
      </c>
      <c r="GY318" t="n">
        <v>10</v>
      </c>
      <c r="GZ318" t="n">
        <v>85</v>
      </c>
      <c r="HA318" t="n">
        <v>24</v>
      </c>
      <c r="HB318" t="n">
        <v>54</v>
      </c>
      <c r="HC318" t="n">
        <v>11</v>
      </c>
      <c r="HD318" t="n">
        <v>34</v>
      </c>
      <c r="HE318" t="n">
        <v>23</v>
      </c>
      <c r="HF318" t="n">
        <v>28</v>
      </c>
      <c r="HG318" t="n">
        <v>23</v>
      </c>
      <c r="HH318" t="n">
        <v>51</v>
      </c>
      <c r="HI318" t="n">
        <v>50</v>
      </c>
      <c r="HJ318" t="n">
        <v>28</v>
      </c>
      <c r="HK318" t="n">
        <v>33</v>
      </c>
      <c r="HL318" t="n">
        <v>2</v>
      </c>
      <c r="HM318" t="n">
        <v>14</v>
      </c>
      <c r="HN318" t="n">
        <v>10</v>
      </c>
      <c r="HO318" t="n">
        <v>3</v>
      </c>
      <c r="HP318" t="n">
        <v>3</v>
      </c>
      <c r="HQ318" t="n">
        <v>11</v>
      </c>
      <c r="HR318" t="n">
        <v>6</v>
      </c>
      <c r="HS318" t="n">
        <v>3</v>
      </c>
      <c r="HT318" t="n">
        <v>6</v>
      </c>
      <c r="HU318" t="n">
        <v>14</v>
      </c>
      <c r="HV318" t="n">
        <v>15</v>
      </c>
      <c r="HW318" t="n">
        <v>67</v>
      </c>
      <c r="HX318" t="n">
        <v>19</v>
      </c>
      <c r="HY318" t="n">
        <v>12</v>
      </c>
      <c r="HZ318" t="n">
        <v>13</v>
      </c>
      <c r="IA318" t="n">
        <v>2</v>
      </c>
      <c r="IB318" t="n">
        <v>137</v>
      </c>
      <c r="IC318" t="n">
        <v>1</v>
      </c>
      <c r="ID318" t="n">
        <v>99</v>
      </c>
      <c r="IE318" t="n">
        <v>15</v>
      </c>
      <c r="IF318" t="n">
        <v>11</v>
      </c>
      <c r="IG318" t="n">
        <v>16</v>
      </c>
      <c r="II318" t="n">
        <v>20</v>
      </c>
      <c r="IJ318" t="n">
        <v>3</v>
      </c>
      <c r="IK318" t="n">
        <v>22</v>
      </c>
      <c r="IL318" t="n">
        <v>37</v>
      </c>
      <c r="IM318" t="n">
        <v>42</v>
      </c>
      <c r="IN318" t="n">
        <v>20</v>
      </c>
      <c r="IO318" t="n">
        <v>31</v>
      </c>
      <c r="IP318" t="n">
        <v>14</v>
      </c>
      <c r="IQ318" t="n">
        <v>17</v>
      </c>
      <c r="IR318" t="n">
        <v>32</v>
      </c>
      <c r="IS318" t="n">
        <v>17</v>
      </c>
      <c r="IT318" t="n">
        <v>15</v>
      </c>
      <c r="IU318" t="n">
        <v>12</v>
      </c>
      <c r="IV318" t="n">
        <v>13</v>
      </c>
      <c r="IW318" t="n">
        <v>19</v>
      </c>
      <c r="IX318" t="n">
        <v>29</v>
      </c>
      <c r="IY318" t="n">
        <v>11</v>
      </c>
      <c r="IZ318" t="n">
        <v>31</v>
      </c>
      <c r="JA318" t="n">
        <v>44</v>
      </c>
      <c r="JB318" t="n">
        <v>15</v>
      </c>
      <c r="JC318" t="n">
        <v>5</v>
      </c>
      <c r="JD318" t="n">
        <v>22</v>
      </c>
      <c r="JE318" t="n">
        <v>13</v>
      </c>
      <c r="JF318" t="n">
        <v>7</v>
      </c>
      <c r="JG318" t="n">
        <v>114</v>
      </c>
      <c r="JH318" t="n">
        <v>14</v>
      </c>
      <c r="JI318" t="n">
        <v>4</v>
      </c>
      <c r="JJ318" t="n">
        <v>19</v>
      </c>
      <c r="JK318" t="n">
        <v>2273</v>
      </c>
      <c r="JL318" t="n">
        <v>2665</v>
      </c>
      <c r="JM318" t="n">
        <v>3774</v>
      </c>
      <c r="JN318" t="n">
        <v>3328</v>
      </c>
      <c r="JO318" t="n">
        <v>5079</v>
      </c>
      <c r="JP318" t="n">
        <v>478</v>
      </c>
      <c r="JQ318" t="n">
        <v>2464</v>
      </c>
      <c r="JR318" t="n">
        <v>703</v>
      </c>
      <c r="JS318" t="n">
        <v>3853</v>
      </c>
      <c r="JT318" t="n">
        <v>410</v>
      </c>
      <c r="JV318" t="n">
        <v>1600</v>
      </c>
      <c r="JW318" t="n">
        <v>1533</v>
      </c>
      <c r="JX318" t="n">
        <v>1660</v>
      </c>
      <c r="JY318" t="n">
        <v>539</v>
      </c>
      <c r="JZ318" t="n">
        <v>921</v>
      </c>
      <c r="KA318" t="n">
        <v>1471</v>
      </c>
      <c r="KB318" t="n">
        <v>1282</v>
      </c>
      <c r="KC318" t="n">
        <v>1238</v>
      </c>
      <c r="KD318" t="n">
        <v>1540</v>
      </c>
      <c r="KE318" t="n">
        <v>171</v>
      </c>
      <c r="KF318" t="n">
        <v>5211</v>
      </c>
      <c r="KG318" t="n">
        <v>199</v>
      </c>
      <c r="KH318" t="n">
        <v>177</v>
      </c>
      <c r="KI318" t="n">
        <v>2911</v>
      </c>
      <c r="KJ318" t="n">
        <v>6</v>
      </c>
      <c r="KK318" t="n">
        <v>393</v>
      </c>
      <c r="KL318" t="n">
        <v>27</v>
      </c>
      <c r="KM318" t="n">
        <v>112</v>
      </c>
      <c r="KN318" t="n">
        <v>13</v>
      </c>
      <c r="KO318" t="n">
        <v>14</v>
      </c>
      <c r="KP318" t="n">
        <v>33</v>
      </c>
      <c r="KQ318" t="n">
        <v>7</v>
      </c>
      <c r="KR318" t="n">
        <v>57</v>
      </c>
      <c r="KS318" t="n">
        <v>134</v>
      </c>
      <c r="KT318" t="n">
        <v>15</v>
      </c>
      <c r="KU318" t="n">
        <v>0</v>
      </c>
      <c r="KV318" t="n">
        <v>0</v>
      </c>
      <c r="KW318" t="n">
        <v>28</v>
      </c>
      <c r="KX318" t="n">
        <v>137</v>
      </c>
      <c r="KY318" t="n">
        <v>206</v>
      </c>
      <c r="KZ318" t="n">
        <v>127</v>
      </c>
      <c r="LA318" t="n">
        <v>59</v>
      </c>
      <c r="LB318" t="n">
        <v>0</v>
      </c>
      <c r="LC318" t="n">
        <v>20299</v>
      </c>
      <c r="LD318" t="n">
        <v>23862</v>
      </c>
      <c r="LE318" t="n">
        <v>10361</v>
      </c>
      <c r="LF318" t="n">
        <v>12652</v>
      </c>
      <c r="LH318" t="n">
        <v>6</v>
      </c>
      <c r="LJ318" t="n">
        <v>331</v>
      </c>
      <c r="LK318" t="n">
        <v>72720</v>
      </c>
      <c r="LL318" t="n">
        <v>2255</v>
      </c>
      <c r="LM318" t="n">
        <v>11226</v>
      </c>
      <c r="LN318" t="n">
        <v>950</v>
      </c>
      <c r="LO318" t="n">
        <v>516</v>
      </c>
      <c r="LP318" t="n">
        <v>237</v>
      </c>
      <c r="LQ318" t="n">
        <v>5223</v>
      </c>
      <c r="LR318" t="n">
        <v>926</v>
      </c>
      <c r="LS318" t="n">
        <v>88</v>
      </c>
      <c r="LT318" t="n">
        <v>193</v>
      </c>
      <c r="LU318" t="n">
        <v>424</v>
      </c>
      <c r="LV318" t="n">
        <v>1492</v>
      </c>
      <c r="LW318" t="n">
        <v>177</v>
      </c>
      <c r="LX318" t="n">
        <v>1065</v>
      </c>
      <c r="LY318" t="n">
        <v>277</v>
      </c>
      <c r="LZ318" t="n">
        <v>120</v>
      </c>
      <c r="MA318" t="n">
        <v>532</v>
      </c>
      <c r="MB318" t="n">
        <v>18</v>
      </c>
      <c r="MC318" t="n">
        <v>9</v>
      </c>
      <c r="MD318" t="n">
        <v>17</v>
      </c>
      <c r="ME318" t="n">
        <v>588</v>
      </c>
      <c r="MF318" t="n">
        <v>15539</v>
      </c>
      <c r="MG318" t="n">
        <v>426</v>
      </c>
      <c r="MH318" t="n">
        <v>197</v>
      </c>
      <c r="MI318" t="n">
        <v>761</v>
      </c>
      <c r="MJ318" t="n">
        <v>26</v>
      </c>
      <c r="MK318" t="n">
        <v>249</v>
      </c>
      <c r="ML318" t="n">
        <v>712</v>
      </c>
      <c r="MM318" t="n">
        <v>38</v>
      </c>
      <c r="MN318" t="n">
        <v>391</v>
      </c>
      <c r="MO318" t="n">
        <v>22</v>
      </c>
      <c r="MP318" t="n">
        <v>36</v>
      </c>
      <c r="MQ318" t="n">
        <v>913</v>
      </c>
      <c r="MR318" t="n">
        <v>262</v>
      </c>
      <c r="MS318" t="n">
        <v>665</v>
      </c>
      <c r="MT318" t="n">
        <v>86</v>
      </c>
      <c r="MU318" t="n">
        <v>41</v>
      </c>
      <c r="MV318" t="n">
        <v>384</v>
      </c>
      <c r="MW318" t="n">
        <v>14</v>
      </c>
      <c r="MX318" t="n">
        <v>61</v>
      </c>
      <c r="MY318" t="n">
        <v>51</v>
      </c>
      <c r="MZ318" t="n">
        <v>1391</v>
      </c>
      <c r="NA318" t="n">
        <v>180</v>
      </c>
      <c r="NB318" t="n">
        <v>123</v>
      </c>
      <c r="NC318" t="n">
        <v>185</v>
      </c>
      <c r="ND318" t="n">
        <v>8</v>
      </c>
      <c r="NE318" t="n">
        <v>102</v>
      </c>
      <c r="NF318" t="n">
        <v>18</v>
      </c>
      <c r="NG318" t="n">
        <v>56</v>
      </c>
      <c r="NH318" t="n">
        <v>1</v>
      </c>
      <c r="NI318" t="n">
        <v>98</v>
      </c>
      <c r="NJ318" t="n">
        <v>37</v>
      </c>
      <c r="NK318" t="n">
        <v>21</v>
      </c>
      <c r="NL318" t="n">
        <v>506</v>
      </c>
      <c r="NM318" t="n">
        <v>285</v>
      </c>
      <c r="NN318" t="n">
        <v>2505</v>
      </c>
      <c r="NO318" t="n">
        <v>1113</v>
      </c>
      <c r="NP318" t="n">
        <v>1480</v>
      </c>
      <c r="NQ318" t="n">
        <v>1542</v>
      </c>
      <c r="NR318" t="n">
        <v>231</v>
      </c>
      <c r="NS318" t="n">
        <v>4</v>
      </c>
      <c r="NT318" t="n">
        <v>108</v>
      </c>
      <c r="NU318" t="n">
        <v>15</v>
      </c>
      <c r="NV318" t="n">
        <v>262</v>
      </c>
      <c r="NW318" t="n">
        <v>0</v>
      </c>
      <c r="NX318" t="n">
        <v>81</v>
      </c>
      <c r="NY318" t="n">
        <v>142</v>
      </c>
      <c r="NZ318" t="n">
        <v>1663</v>
      </c>
      <c r="OA318" t="n">
        <v>1568</v>
      </c>
      <c r="OB318" t="n">
        <v>6334</v>
      </c>
      <c r="OD318" t="n">
        <v>0</v>
      </c>
      <c r="OF318" t="n">
        <v>181</v>
      </c>
      <c r="OG318" t="n">
        <v>110</v>
      </c>
      <c r="OH318" t="n">
        <v>430</v>
      </c>
      <c r="OI318" t="n">
        <v>1650</v>
      </c>
      <c r="OJ318" t="n">
        <v>1424</v>
      </c>
      <c r="OK318" t="n">
        <v>7598</v>
      </c>
      <c r="OL318" t="n">
        <v>0</v>
      </c>
      <c r="OM318" t="n">
        <v>17</v>
      </c>
      <c r="ON318" t="n">
        <v>2927</v>
      </c>
      <c r="OO318" t="n">
        <v>275096</v>
      </c>
      <c r="OP318" t="n">
        <v>42387</v>
      </c>
      <c r="OV318" t="n">
        <v>29227</v>
      </c>
      <c r="PI318" t="n">
        <v>346710</v>
      </c>
      <c r="PM318">
        <f>IFERROR(VLOOKUP($A318&amp;"",Key!$A:$C,3,FALSE),"")</f>
        <v/>
      </c>
    </row>
    <row r="319">
      <c r="A319" t="inlineStr">
        <is>
          <t>52A000</t>
        </is>
      </c>
      <c r="B319" t="inlineStr">
        <is>
          <t>Monetary authorities and depository credit intermediation</t>
        </is>
      </c>
      <c r="C319" t="n">
        <v>263</v>
      </c>
      <c r="D319" t="n">
        <v>198</v>
      </c>
      <c r="E319" t="n">
        <v>170</v>
      </c>
      <c r="F319" t="n">
        <v>294</v>
      </c>
      <c r="G319" t="n">
        <v>182</v>
      </c>
      <c r="H319" t="n">
        <v>279</v>
      </c>
      <c r="I319" t="n">
        <v>308</v>
      </c>
      <c r="J319" t="n">
        <v>510</v>
      </c>
      <c r="K319" t="n">
        <v>249</v>
      </c>
      <c r="L319" t="n">
        <v>218</v>
      </c>
      <c r="M319" t="n">
        <v>79</v>
      </c>
      <c r="N319" t="n">
        <v>47</v>
      </c>
      <c r="O319" t="n">
        <v>129</v>
      </c>
      <c r="P319" t="n">
        <v>1370</v>
      </c>
      <c r="Q319" t="n">
        <v>237</v>
      </c>
      <c r="R319" t="n">
        <v>57</v>
      </c>
      <c r="S319" t="n">
        <v>77</v>
      </c>
      <c r="T319" t="n">
        <v>147</v>
      </c>
      <c r="U319" t="n">
        <v>142</v>
      </c>
      <c r="V319" t="n">
        <v>153</v>
      </c>
      <c r="W319" t="n">
        <v>377</v>
      </c>
      <c r="X319" t="n">
        <v>7021</v>
      </c>
      <c r="Y319" t="n">
        <v>3368</v>
      </c>
      <c r="Z319" t="n">
        <v>213</v>
      </c>
      <c r="AA319" t="n">
        <v>90</v>
      </c>
      <c r="AB319" t="n">
        <v>198</v>
      </c>
      <c r="AC319" t="n">
        <v>936</v>
      </c>
      <c r="AD319" t="n">
        <v>276</v>
      </c>
      <c r="AE319" t="n">
        <v>429</v>
      </c>
      <c r="AF319" t="n">
        <v>571</v>
      </c>
      <c r="AG319" t="n">
        <v>1508</v>
      </c>
      <c r="AH319" t="n">
        <v>156</v>
      </c>
      <c r="AI319" t="n">
        <v>344</v>
      </c>
      <c r="AJ319" t="n">
        <v>655</v>
      </c>
      <c r="AK319" t="n">
        <v>1020</v>
      </c>
      <c r="AL319" t="n">
        <v>599</v>
      </c>
      <c r="AM319" t="n">
        <v>137</v>
      </c>
      <c r="AN319" t="n">
        <v>92</v>
      </c>
      <c r="AO319" t="n">
        <v>94</v>
      </c>
      <c r="AP319" t="n">
        <v>109</v>
      </c>
      <c r="AQ319" t="n">
        <v>55</v>
      </c>
      <c r="AR319" t="n">
        <v>159</v>
      </c>
      <c r="AS319" t="n">
        <v>32</v>
      </c>
      <c r="AT319" t="n">
        <v>162</v>
      </c>
      <c r="AU319" t="n">
        <v>27</v>
      </c>
      <c r="AV319" t="n">
        <v>57</v>
      </c>
      <c r="AW319" t="n">
        <v>32</v>
      </c>
      <c r="AX319" t="n">
        <v>20</v>
      </c>
      <c r="AY319" t="n">
        <v>22</v>
      </c>
      <c r="AZ319" t="n">
        <v>15</v>
      </c>
      <c r="BA319" t="n">
        <v>27</v>
      </c>
      <c r="BB319" t="n">
        <v>21</v>
      </c>
      <c r="BC319" t="n">
        <v>261</v>
      </c>
      <c r="BD319" t="n">
        <v>82</v>
      </c>
      <c r="BE319" t="n">
        <v>23</v>
      </c>
      <c r="BF319" t="n">
        <v>14</v>
      </c>
      <c r="BG319" t="n">
        <v>94</v>
      </c>
      <c r="BH319" t="n">
        <v>41</v>
      </c>
      <c r="BI319" t="n">
        <v>75</v>
      </c>
      <c r="BJ319" t="n">
        <v>45</v>
      </c>
      <c r="BK319" t="n">
        <v>53</v>
      </c>
      <c r="BL319" t="n">
        <v>62</v>
      </c>
      <c r="BM319" t="n">
        <v>34</v>
      </c>
      <c r="BN319" t="n">
        <v>59</v>
      </c>
      <c r="BO319" t="n">
        <v>48</v>
      </c>
      <c r="BP319" t="n">
        <v>49</v>
      </c>
      <c r="BQ319" t="n">
        <v>221</v>
      </c>
      <c r="BR319" t="n">
        <v>186</v>
      </c>
      <c r="BS319" t="n">
        <v>33</v>
      </c>
      <c r="BT319" t="n">
        <v>38</v>
      </c>
      <c r="BU319" t="n">
        <v>50</v>
      </c>
      <c r="BV319" t="n">
        <v>42</v>
      </c>
      <c r="BW319" t="n">
        <v>39</v>
      </c>
      <c r="BX319" t="n">
        <v>189</v>
      </c>
      <c r="BY319" t="n">
        <v>159</v>
      </c>
      <c r="BZ319" t="n">
        <v>117</v>
      </c>
      <c r="CA319" t="n">
        <v>27</v>
      </c>
      <c r="CB319" t="n">
        <v>116</v>
      </c>
      <c r="CC319" t="n">
        <v>26</v>
      </c>
      <c r="CD319" t="n">
        <v>28</v>
      </c>
      <c r="CE319" t="n">
        <v>61</v>
      </c>
      <c r="CF319" t="n">
        <v>61</v>
      </c>
      <c r="CG319" t="n">
        <v>113</v>
      </c>
      <c r="CH319" t="n">
        <v>21</v>
      </c>
      <c r="CI319" t="n">
        <v>120</v>
      </c>
      <c r="CJ319" t="n">
        <v>76</v>
      </c>
      <c r="CK319" t="n">
        <v>18</v>
      </c>
      <c r="CL319" t="n">
        <v>138</v>
      </c>
      <c r="CM319" t="n">
        <v>23</v>
      </c>
      <c r="CN319" t="n">
        <v>6</v>
      </c>
      <c r="CO319" t="n">
        <v>96</v>
      </c>
      <c r="CP319" t="n">
        <v>21</v>
      </c>
      <c r="CQ319" t="n">
        <v>155</v>
      </c>
      <c r="CR319" t="n">
        <v>34</v>
      </c>
      <c r="CS319" t="n">
        <v>34</v>
      </c>
      <c r="CT319" t="n">
        <v>30</v>
      </c>
      <c r="CU319" t="n">
        <v>40</v>
      </c>
      <c r="CV319" t="n">
        <v>48</v>
      </c>
      <c r="CW319" t="n">
        <v>59</v>
      </c>
      <c r="CX319" t="n">
        <v>16</v>
      </c>
      <c r="CY319" t="n">
        <v>21</v>
      </c>
      <c r="CZ319" t="n">
        <v>160</v>
      </c>
      <c r="DA319" t="n">
        <v>41</v>
      </c>
      <c r="DB319" t="n">
        <v>87</v>
      </c>
      <c r="DC319" t="n">
        <v>131</v>
      </c>
      <c r="DD319" t="n">
        <v>15</v>
      </c>
      <c r="DE319" t="n">
        <v>35</v>
      </c>
      <c r="DF319" t="n">
        <v>13</v>
      </c>
      <c r="DG319" t="n">
        <v>110</v>
      </c>
      <c r="DH319" t="n">
        <v>55</v>
      </c>
      <c r="DI319" t="n">
        <v>125</v>
      </c>
      <c r="DJ319" t="n">
        <v>14</v>
      </c>
      <c r="DK319" t="n">
        <v>65</v>
      </c>
      <c r="DL319" t="n">
        <v>27</v>
      </c>
      <c r="DM319" t="n">
        <v>102</v>
      </c>
      <c r="DN319" t="n">
        <v>22</v>
      </c>
      <c r="DO319" t="n">
        <v>182</v>
      </c>
      <c r="DP319" t="n">
        <v>45</v>
      </c>
      <c r="DQ319" t="n">
        <v>109</v>
      </c>
      <c r="DR319" t="n">
        <v>199</v>
      </c>
      <c r="DS319" t="n">
        <v>154</v>
      </c>
      <c r="DT319" t="n">
        <v>8</v>
      </c>
      <c r="DU319" t="n">
        <v>29</v>
      </c>
      <c r="DV319" t="n">
        <v>25</v>
      </c>
      <c r="DW319" t="n">
        <v>45</v>
      </c>
      <c r="DX319" t="n">
        <v>59</v>
      </c>
      <c r="DY319" t="n">
        <v>31</v>
      </c>
      <c r="DZ319" t="n">
        <v>49</v>
      </c>
      <c r="EA319" t="n">
        <v>19</v>
      </c>
      <c r="EB319" t="n">
        <v>6</v>
      </c>
      <c r="EC319" t="n">
        <v>5</v>
      </c>
      <c r="ED319" t="n">
        <v>77</v>
      </c>
      <c r="EE319" t="n">
        <v>20</v>
      </c>
      <c r="EF319" t="n">
        <v>92</v>
      </c>
      <c r="EG319" t="n">
        <v>19</v>
      </c>
      <c r="EH319" t="n">
        <v>49</v>
      </c>
      <c r="EI319" t="n">
        <v>100</v>
      </c>
      <c r="EJ319" t="n">
        <v>49</v>
      </c>
      <c r="EK319" t="n">
        <v>38</v>
      </c>
      <c r="EL319" t="n">
        <v>3</v>
      </c>
      <c r="EM319" t="n">
        <v>47</v>
      </c>
      <c r="EN319" t="n">
        <v>71</v>
      </c>
      <c r="EO319" t="n">
        <v>12</v>
      </c>
      <c r="EP319" t="n">
        <v>70</v>
      </c>
      <c r="EQ319" t="n">
        <v>76</v>
      </c>
      <c r="ER319" t="n">
        <v>626</v>
      </c>
      <c r="ES319" t="n">
        <v>54</v>
      </c>
      <c r="ET319" t="n">
        <v>46</v>
      </c>
      <c r="EU319" t="n">
        <v>31</v>
      </c>
      <c r="EV319" t="n">
        <v>2</v>
      </c>
      <c r="EW319" t="n">
        <v>57</v>
      </c>
      <c r="EX319" t="n">
        <v>122</v>
      </c>
      <c r="EY319" t="n">
        <v>59</v>
      </c>
      <c r="EZ319" t="n">
        <v>114</v>
      </c>
      <c r="FA319" t="n">
        <v>181</v>
      </c>
      <c r="FB319" t="n">
        <v>95</v>
      </c>
      <c r="FC319" t="n">
        <v>146</v>
      </c>
      <c r="FD319" t="n">
        <v>68</v>
      </c>
      <c r="FE319" t="n">
        <v>489</v>
      </c>
      <c r="FF319" t="n">
        <v>341</v>
      </c>
      <c r="FG319" t="n">
        <v>86</v>
      </c>
      <c r="FH319" t="n">
        <v>81</v>
      </c>
      <c r="FI319" t="n">
        <v>75</v>
      </c>
      <c r="FJ319" t="n">
        <v>53</v>
      </c>
      <c r="FK319" t="n">
        <v>77</v>
      </c>
      <c r="FL319" t="n">
        <v>26</v>
      </c>
      <c r="FM319" t="n">
        <v>29</v>
      </c>
      <c r="FN319" t="n">
        <v>19</v>
      </c>
      <c r="FO319" t="n">
        <v>20</v>
      </c>
      <c r="FP319" t="n">
        <v>66</v>
      </c>
      <c r="FQ319" t="n">
        <v>63</v>
      </c>
      <c r="FR319" t="n">
        <v>14</v>
      </c>
      <c r="FS319" t="n">
        <v>27</v>
      </c>
      <c r="FT319" t="n">
        <v>19</v>
      </c>
      <c r="FU319" t="n">
        <v>32</v>
      </c>
      <c r="FV319" t="n">
        <v>100</v>
      </c>
      <c r="FW319" t="n">
        <v>59</v>
      </c>
      <c r="FX319" t="n">
        <v>346</v>
      </c>
      <c r="FY319" t="n">
        <v>305</v>
      </c>
      <c r="FZ319" t="n">
        <v>57</v>
      </c>
      <c r="GA319" t="n">
        <v>55</v>
      </c>
      <c r="GB319" t="n">
        <v>57</v>
      </c>
      <c r="GC319" t="n">
        <v>71</v>
      </c>
      <c r="GD319" t="n">
        <v>96</v>
      </c>
      <c r="GE319" t="n">
        <v>4</v>
      </c>
      <c r="GF319" t="n">
        <v>29</v>
      </c>
      <c r="GG319" t="n">
        <v>143</v>
      </c>
      <c r="GH319" t="n">
        <v>241</v>
      </c>
      <c r="GI319" t="n">
        <v>86</v>
      </c>
      <c r="GJ319" t="n">
        <v>83</v>
      </c>
      <c r="GK319" t="n">
        <v>48</v>
      </c>
      <c r="GL319" t="n">
        <v>18</v>
      </c>
      <c r="GM319" t="n">
        <v>13</v>
      </c>
      <c r="GN319" t="n">
        <v>27</v>
      </c>
      <c r="GO319" t="n">
        <v>27</v>
      </c>
      <c r="GP319" t="n">
        <v>158</v>
      </c>
      <c r="GQ319" t="n">
        <v>87</v>
      </c>
      <c r="GR319" t="n">
        <v>99</v>
      </c>
      <c r="GS319" t="n">
        <v>115</v>
      </c>
      <c r="GT319" t="n">
        <v>75</v>
      </c>
      <c r="GU319" t="n">
        <v>146</v>
      </c>
      <c r="GV319" t="n">
        <v>30</v>
      </c>
      <c r="GW319" t="n">
        <v>152</v>
      </c>
      <c r="GX319" t="n">
        <v>349</v>
      </c>
      <c r="GY319" t="n">
        <v>43</v>
      </c>
      <c r="GZ319" t="n">
        <v>187</v>
      </c>
      <c r="HA319" t="n">
        <v>97</v>
      </c>
      <c r="HB319" t="n">
        <v>165</v>
      </c>
      <c r="HC319" t="n">
        <v>39</v>
      </c>
      <c r="HD319" t="n">
        <v>66</v>
      </c>
      <c r="HE319" t="n">
        <v>68</v>
      </c>
      <c r="HF319" t="n">
        <v>82</v>
      </c>
      <c r="HG319" t="n">
        <v>107</v>
      </c>
      <c r="HH319" t="n">
        <v>101</v>
      </c>
      <c r="HI319" t="n">
        <v>60</v>
      </c>
      <c r="HJ319" t="n">
        <v>64</v>
      </c>
      <c r="HK319" t="n">
        <v>367</v>
      </c>
      <c r="HL319" t="n">
        <v>24</v>
      </c>
      <c r="HM319" t="n">
        <v>66</v>
      </c>
      <c r="HN319" t="n">
        <v>34</v>
      </c>
      <c r="HO319" t="n">
        <v>39</v>
      </c>
      <c r="HP319" t="n">
        <v>17</v>
      </c>
      <c r="HQ319" t="n">
        <v>41</v>
      </c>
      <c r="HR319" t="n">
        <v>102</v>
      </c>
      <c r="HS319" t="n">
        <v>32</v>
      </c>
      <c r="HT319" t="n">
        <v>29</v>
      </c>
      <c r="HU319" t="n">
        <v>163</v>
      </c>
      <c r="HV319" t="n">
        <v>138</v>
      </c>
      <c r="HW319" t="n">
        <v>425</v>
      </c>
      <c r="HX319" t="n">
        <v>106</v>
      </c>
      <c r="HY319" t="n">
        <v>30</v>
      </c>
      <c r="HZ319" t="n">
        <v>55</v>
      </c>
      <c r="IA319" t="n">
        <v>23</v>
      </c>
      <c r="IB319" t="n">
        <v>611</v>
      </c>
      <c r="IC319" t="n">
        <v>22</v>
      </c>
      <c r="ID319" t="n">
        <v>1083</v>
      </c>
      <c r="IE319" t="n">
        <v>45</v>
      </c>
      <c r="IF319" t="n">
        <v>28</v>
      </c>
      <c r="IG319" t="n">
        <v>47</v>
      </c>
      <c r="IH319" t="n">
        <v>312</v>
      </c>
      <c r="II319" t="n">
        <v>76</v>
      </c>
      <c r="IJ319" t="n">
        <v>33</v>
      </c>
      <c r="IK319" t="n">
        <v>179</v>
      </c>
      <c r="IL319" t="n">
        <v>656</v>
      </c>
      <c r="IM319" t="n">
        <v>490</v>
      </c>
      <c r="IN319" t="n">
        <v>73</v>
      </c>
      <c r="IO319" t="n">
        <v>78</v>
      </c>
      <c r="IP319" t="n">
        <v>824</v>
      </c>
      <c r="IQ319" t="n">
        <v>65</v>
      </c>
      <c r="IR319" t="n">
        <v>139</v>
      </c>
      <c r="IS319" t="n">
        <v>92</v>
      </c>
      <c r="IT319" t="n">
        <v>69</v>
      </c>
      <c r="IU319" t="n">
        <v>133</v>
      </c>
      <c r="IV319" t="n">
        <v>73</v>
      </c>
      <c r="IW319" t="n">
        <v>211</v>
      </c>
      <c r="IX319" t="n">
        <v>229</v>
      </c>
      <c r="IY319" t="n">
        <v>21</v>
      </c>
      <c r="IZ319" t="n">
        <v>229</v>
      </c>
      <c r="JA319" t="n">
        <v>241</v>
      </c>
      <c r="JB319" t="n">
        <v>118</v>
      </c>
      <c r="JC319" t="n">
        <v>23</v>
      </c>
      <c r="JD319" t="n">
        <v>56</v>
      </c>
      <c r="JE319" t="n">
        <v>64</v>
      </c>
      <c r="JF319" t="n">
        <v>59</v>
      </c>
      <c r="JG319" t="n">
        <v>609</v>
      </c>
      <c r="JH319" t="n">
        <v>102</v>
      </c>
      <c r="JI319" t="n">
        <v>27</v>
      </c>
      <c r="JJ319" t="n">
        <v>114</v>
      </c>
      <c r="JK319" t="n">
        <v>1597</v>
      </c>
      <c r="JL319" t="n">
        <v>2210</v>
      </c>
      <c r="JM319" t="n">
        <v>1996</v>
      </c>
      <c r="JN319" t="n">
        <v>1485</v>
      </c>
      <c r="JO319" t="n">
        <v>2084</v>
      </c>
      <c r="JP319" t="n">
        <v>1240</v>
      </c>
      <c r="JQ319" t="n">
        <v>1488</v>
      </c>
      <c r="JR319" t="n">
        <v>1147</v>
      </c>
      <c r="JS319" t="n">
        <v>2409</v>
      </c>
      <c r="JT319" t="n">
        <v>1094</v>
      </c>
      <c r="JU319" t="n">
        <v>0</v>
      </c>
      <c r="JV319" t="n">
        <v>4343</v>
      </c>
      <c r="JW319" t="n">
        <v>1305</v>
      </c>
      <c r="JX319" t="n">
        <v>1647</v>
      </c>
      <c r="JY319" t="n">
        <v>739</v>
      </c>
      <c r="JZ319" t="n">
        <v>458</v>
      </c>
      <c r="KA319" t="n">
        <v>689</v>
      </c>
      <c r="KB319" t="n">
        <v>509</v>
      </c>
      <c r="KC319" t="n">
        <v>1294</v>
      </c>
      <c r="KD319" t="n">
        <v>904</v>
      </c>
      <c r="KE319" t="n">
        <v>1010</v>
      </c>
      <c r="KF319" t="n">
        <v>1303</v>
      </c>
      <c r="KG319" t="n">
        <v>865</v>
      </c>
      <c r="KH319" t="n">
        <v>1786</v>
      </c>
      <c r="KI319" t="n">
        <v>1900</v>
      </c>
      <c r="KJ319" t="n">
        <v>852</v>
      </c>
      <c r="KK319" t="n">
        <v>1073</v>
      </c>
      <c r="KL319" t="n">
        <v>480</v>
      </c>
      <c r="KM319" t="n">
        <v>251</v>
      </c>
      <c r="KN319" t="n">
        <v>371</v>
      </c>
      <c r="KO319" t="n">
        <v>308</v>
      </c>
      <c r="KP319" t="n">
        <v>553</v>
      </c>
      <c r="KQ319" t="n">
        <v>137</v>
      </c>
      <c r="KR319" t="n">
        <v>3430</v>
      </c>
      <c r="KS319" t="n">
        <v>2093</v>
      </c>
      <c r="KT319" t="n">
        <v>192</v>
      </c>
      <c r="KU319" t="n">
        <v>1048</v>
      </c>
      <c r="KV319" t="n">
        <v>3655</v>
      </c>
      <c r="KW319" t="n">
        <v>6720</v>
      </c>
      <c r="KX319" t="n">
        <v>4976</v>
      </c>
      <c r="KY319" t="n">
        <v>939</v>
      </c>
      <c r="KZ319" t="n">
        <v>1498</v>
      </c>
      <c r="LA319" t="n">
        <v>1411</v>
      </c>
      <c r="LB319" t="n">
        <v>31</v>
      </c>
      <c r="LC319" t="n">
        <v>21290</v>
      </c>
      <c r="LD319" t="n">
        <v>34451</v>
      </c>
      <c r="LE319" t="n">
        <v>20424</v>
      </c>
      <c r="LF319" t="n">
        <v>6021</v>
      </c>
      <c r="LG319" t="n">
        <v>114</v>
      </c>
      <c r="LH319" t="n">
        <v>915</v>
      </c>
      <c r="LI319" t="n">
        <v>198</v>
      </c>
      <c r="LJ319" t="n">
        <v>3842</v>
      </c>
      <c r="LK319" t="n">
        <v>26085</v>
      </c>
      <c r="LL319" t="n">
        <v>1136</v>
      </c>
      <c r="LM319" t="n">
        <v>70435</v>
      </c>
      <c r="LN319" t="n">
        <v>697</v>
      </c>
      <c r="LO319" t="n">
        <v>837</v>
      </c>
      <c r="LP319" t="n">
        <v>278</v>
      </c>
      <c r="LQ319" t="n">
        <v>5116</v>
      </c>
      <c r="LR319" t="n">
        <v>1623</v>
      </c>
      <c r="LS319" t="n">
        <v>736</v>
      </c>
      <c r="LT319" t="n">
        <v>2910</v>
      </c>
      <c r="LU319" t="n">
        <v>421</v>
      </c>
      <c r="LV319" t="n">
        <v>1228</v>
      </c>
      <c r="LW319" t="n">
        <v>2430</v>
      </c>
      <c r="LX319" t="n">
        <v>2529</v>
      </c>
      <c r="LY319" t="n">
        <v>514</v>
      </c>
      <c r="LZ319" t="n">
        <v>2085</v>
      </c>
      <c r="MA319" t="n">
        <v>772</v>
      </c>
      <c r="MB319" t="n">
        <v>220</v>
      </c>
      <c r="MC319" t="n">
        <v>94</v>
      </c>
      <c r="MD319" t="n">
        <v>259</v>
      </c>
      <c r="ME319" t="n">
        <v>683</v>
      </c>
      <c r="MF319" t="n">
        <v>9851</v>
      </c>
      <c r="MG319" t="n">
        <v>3664</v>
      </c>
      <c r="MH319" t="n">
        <v>878</v>
      </c>
      <c r="MI319" t="n">
        <v>400</v>
      </c>
      <c r="MJ319" t="n">
        <v>160</v>
      </c>
      <c r="MK319" t="n">
        <v>531</v>
      </c>
      <c r="ML319" t="n">
        <v>395</v>
      </c>
      <c r="MM319" t="n">
        <v>259</v>
      </c>
      <c r="MN319" t="n">
        <v>279</v>
      </c>
      <c r="MO319" t="n">
        <v>1046</v>
      </c>
      <c r="MP319" t="n">
        <v>52</v>
      </c>
      <c r="MQ319" t="n">
        <v>261</v>
      </c>
      <c r="MR319" t="n">
        <v>845</v>
      </c>
      <c r="MS319" t="n">
        <v>2214</v>
      </c>
      <c r="MT319" t="n">
        <v>247</v>
      </c>
      <c r="MU319" t="n">
        <v>118</v>
      </c>
      <c r="MV319" t="n">
        <v>1224</v>
      </c>
      <c r="MW319" t="n">
        <v>89</v>
      </c>
      <c r="MX319" t="n">
        <v>231</v>
      </c>
      <c r="MY319" t="n">
        <v>148</v>
      </c>
      <c r="MZ319" t="n">
        <v>4189</v>
      </c>
      <c r="NA319" t="n">
        <v>563</v>
      </c>
      <c r="NB319" t="n">
        <v>207</v>
      </c>
      <c r="NC319" t="n">
        <v>526</v>
      </c>
      <c r="ND319" t="n">
        <v>262</v>
      </c>
      <c r="NE319" t="n">
        <v>308</v>
      </c>
      <c r="NF319" t="n">
        <v>112</v>
      </c>
      <c r="NG319" t="n">
        <v>143</v>
      </c>
      <c r="NH319" t="n">
        <v>194</v>
      </c>
      <c r="NI319" t="n">
        <v>236</v>
      </c>
      <c r="NJ319" t="n">
        <v>79</v>
      </c>
      <c r="NK319" t="n">
        <v>135</v>
      </c>
      <c r="NL319" t="n">
        <v>477</v>
      </c>
      <c r="NM319" t="n">
        <v>458</v>
      </c>
      <c r="NN319" t="n">
        <v>4314</v>
      </c>
      <c r="NO319" t="n">
        <v>1368</v>
      </c>
      <c r="NP319" t="n">
        <v>1441</v>
      </c>
      <c r="NQ319" t="n">
        <v>486</v>
      </c>
      <c r="NR319" t="n">
        <v>331</v>
      </c>
      <c r="NS319" t="n">
        <v>61</v>
      </c>
      <c r="NT319" t="n">
        <v>181</v>
      </c>
      <c r="NU319" t="n">
        <v>78</v>
      </c>
      <c r="NV319" t="n">
        <v>353</v>
      </c>
      <c r="NW319" t="n">
        <v>2941</v>
      </c>
      <c r="NX319" t="n">
        <v>95</v>
      </c>
      <c r="NY319" t="n">
        <v>276</v>
      </c>
      <c r="NZ319" t="n">
        <v>281</v>
      </c>
      <c r="OA319" t="n">
        <v>117</v>
      </c>
      <c r="OB319" t="n">
        <v>2049</v>
      </c>
      <c r="OC319" t="n">
        <v>0</v>
      </c>
      <c r="OE319" t="n">
        <v>2172</v>
      </c>
      <c r="OF319" t="n">
        <v>21</v>
      </c>
      <c r="OG319" t="n">
        <v>669</v>
      </c>
      <c r="OH319" t="n">
        <v>23</v>
      </c>
      <c r="OK319" t="n">
        <v>4623</v>
      </c>
      <c r="OL319" t="n">
        <v>10</v>
      </c>
      <c r="OM319" t="n">
        <v>49</v>
      </c>
      <c r="ON319" t="n">
        <v>308</v>
      </c>
      <c r="OO319" t="n">
        <v>373110</v>
      </c>
      <c r="OP319" t="n">
        <v>236363</v>
      </c>
      <c r="OV319" t="n">
        <v>30778</v>
      </c>
      <c r="PI319" t="n">
        <v>640251</v>
      </c>
      <c r="PM319">
        <f>IFERROR(VLOOKUP($A319&amp;"",Key!$A:$C,3,FALSE),"")</f>
        <v/>
      </c>
    </row>
    <row r="320">
      <c r="A320" t="n">
        <v>523900</v>
      </c>
      <c r="B320" t="inlineStr">
        <is>
          <t>Other financial investment activities</t>
        </is>
      </c>
      <c r="C320" t="n">
        <v>4</v>
      </c>
      <c r="D320" t="n">
        <v>6</v>
      </c>
      <c r="E320" t="n">
        <v>2</v>
      </c>
      <c r="F320" t="n">
        <v>2</v>
      </c>
      <c r="G320" t="n">
        <v>2</v>
      </c>
      <c r="H320" t="n">
        <v>2</v>
      </c>
      <c r="I320" t="n">
        <v>2</v>
      </c>
      <c r="J320" t="n">
        <v>1</v>
      </c>
      <c r="K320" t="n">
        <v>3</v>
      </c>
      <c r="L320" t="n">
        <v>2</v>
      </c>
      <c r="M320" t="n">
        <v>0</v>
      </c>
      <c r="N320" t="n">
        <v>0</v>
      </c>
      <c r="O320" t="n">
        <v>1</v>
      </c>
      <c r="P320" t="n">
        <v>1507</v>
      </c>
      <c r="Q320" t="n">
        <v>928</v>
      </c>
      <c r="R320" t="n">
        <v>18</v>
      </c>
      <c r="S320" t="n">
        <v>88</v>
      </c>
      <c r="T320" t="n">
        <v>143</v>
      </c>
      <c r="U320" t="n">
        <v>161</v>
      </c>
      <c r="V320" t="n">
        <v>335</v>
      </c>
      <c r="W320" t="n">
        <v>5596</v>
      </c>
      <c r="X320" t="n">
        <v>50</v>
      </c>
      <c r="Y320" t="n">
        <v>17</v>
      </c>
      <c r="Z320" t="n">
        <v>1</v>
      </c>
      <c r="AA320" t="n">
        <v>2</v>
      </c>
      <c r="AB320" t="n">
        <v>0</v>
      </c>
      <c r="AC320" t="n">
        <v>14</v>
      </c>
      <c r="AD320" t="n">
        <v>3</v>
      </c>
      <c r="AE320" t="n">
        <v>10</v>
      </c>
      <c r="AF320" t="n">
        <v>3</v>
      </c>
      <c r="AG320" t="n">
        <v>10</v>
      </c>
      <c r="AH320" t="n">
        <v>5</v>
      </c>
      <c r="AI320" t="n">
        <v>8</v>
      </c>
      <c r="AJ320" t="n">
        <v>1</v>
      </c>
      <c r="AK320" t="n">
        <v>12</v>
      </c>
      <c r="AL320" t="n">
        <v>8</v>
      </c>
      <c r="AM320" t="n">
        <v>3</v>
      </c>
      <c r="AN320" t="n">
        <v>1</v>
      </c>
      <c r="AO320" t="n">
        <v>1</v>
      </c>
      <c r="AP320" t="n">
        <v>1</v>
      </c>
      <c r="AQ320" t="n">
        <v>0</v>
      </c>
      <c r="AR320" t="n">
        <v>3</v>
      </c>
      <c r="AS320" t="n">
        <v>0</v>
      </c>
      <c r="AT320" t="n">
        <v>3</v>
      </c>
      <c r="AU320" t="n">
        <v>0</v>
      </c>
      <c r="AV320" t="n">
        <v>1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4</v>
      </c>
      <c r="BD320" t="n">
        <v>1</v>
      </c>
      <c r="BE320" t="n">
        <v>0</v>
      </c>
      <c r="BF320" t="n">
        <v>0</v>
      </c>
      <c r="BG320" t="n">
        <v>1</v>
      </c>
      <c r="BH320" t="n">
        <v>0</v>
      </c>
      <c r="BI320" t="n">
        <v>0</v>
      </c>
      <c r="BJ320" t="n">
        <v>1</v>
      </c>
      <c r="BK320" t="n">
        <v>1</v>
      </c>
      <c r="BL320" t="n">
        <v>1</v>
      </c>
      <c r="BM320" t="n">
        <v>0</v>
      </c>
      <c r="BN320" t="n">
        <v>0</v>
      </c>
      <c r="BO320" t="n">
        <v>0</v>
      </c>
      <c r="BP320" t="n">
        <v>1</v>
      </c>
      <c r="BQ320" t="n">
        <v>2</v>
      </c>
      <c r="BR320" t="n">
        <v>2</v>
      </c>
      <c r="BS320" t="n">
        <v>0</v>
      </c>
      <c r="BT320" t="n">
        <v>0</v>
      </c>
      <c r="BU320" t="n">
        <v>0</v>
      </c>
      <c r="BV320" t="n">
        <v>0</v>
      </c>
      <c r="BW320" t="n">
        <v>1</v>
      </c>
      <c r="BX320" t="n">
        <v>2</v>
      </c>
      <c r="BY320" t="n">
        <v>2</v>
      </c>
      <c r="BZ320" t="n">
        <v>1</v>
      </c>
      <c r="CB320" t="n">
        <v>1</v>
      </c>
      <c r="CC320" t="n">
        <v>0</v>
      </c>
      <c r="CD320" t="n">
        <v>0</v>
      </c>
      <c r="CF320" t="n">
        <v>1</v>
      </c>
      <c r="CG320" t="n">
        <v>1</v>
      </c>
      <c r="CH320" t="n">
        <v>0</v>
      </c>
      <c r="CI320" t="n">
        <v>0</v>
      </c>
      <c r="CJ320" t="n">
        <v>0</v>
      </c>
      <c r="CK320" t="n">
        <v>0</v>
      </c>
      <c r="CL320" t="n">
        <v>1</v>
      </c>
      <c r="CM320" t="n">
        <v>0</v>
      </c>
      <c r="CO320" t="n">
        <v>1</v>
      </c>
      <c r="CP320" t="n">
        <v>0</v>
      </c>
      <c r="CQ320" t="n">
        <v>1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Y320" t="n">
        <v>0</v>
      </c>
      <c r="CZ320" t="n">
        <v>1</v>
      </c>
      <c r="DA320" t="n">
        <v>0</v>
      </c>
      <c r="DB320" t="n">
        <v>1</v>
      </c>
      <c r="DC320" t="n">
        <v>1</v>
      </c>
      <c r="DE320" t="n">
        <v>0</v>
      </c>
      <c r="DG320" t="n">
        <v>1</v>
      </c>
      <c r="DH320" t="n">
        <v>0</v>
      </c>
      <c r="DM320" t="n">
        <v>0</v>
      </c>
      <c r="DO320" t="n">
        <v>0</v>
      </c>
      <c r="DR320" t="n">
        <v>0</v>
      </c>
      <c r="DS320" t="n">
        <v>0</v>
      </c>
      <c r="DU320" t="n">
        <v>0</v>
      </c>
      <c r="DW320" t="n">
        <v>0</v>
      </c>
      <c r="DX320" t="n">
        <v>0</v>
      </c>
      <c r="DZ320" t="n">
        <v>0</v>
      </c>
      <c r="ED320" t="n">
        <v>0</v>
      </c>
      <c r="EM320" t="n">
        <v>0</v>
      </c>
      <c r="EN320" t="n">
        <v>0</v>
      </c>
      <c r="EP320" t="n">
        <v>0</v>
      </c>
      <c r="EQ320" t="n">
        <v>0</v>
      </c>
      <c r="ET320" t="n">
        <v>1</v>
      </c>
      <c r="EU320" t="n">
        <v>0</v>
      </c>
      <c r="EW320" t="n">
        <v>1</v>
      </c>
      <c r="EX320" t="n">
        <v>1</v>
      </c>
      <c r="EY320" t="n">
        <v>1</v>
      </c>
      <c r="EZ320" t="n">
        <v>1</v>
      </c>
      <c r="FA320" t="n">
        <v>1</v>
      </c>
      <c r="FB320" t="n">
        <v>1</v>
      </c>
      <c r="FC320" t="n">
        <v>1</v>
      </c>
      <c r="FD320" t="n">
        <v>1</v>
      </c>
      <c r="FE320" t="n">
        <v>0</v>
      </c>
      <c r="FF320" t="n">
        <v>1</v>
      </c>
      <c r="FG320" t="n">
        <v>1</v>
      </c>
      <c r="FJ320" t="n">
        <v>1</v>
      </c>
      <c r="FK320" t="n">
        <v>1</v>
      </c>
      <c r="FL320" t="n">
        <v>0</v>
      </c>
      <c r="FM320" t="n">
        <v>0</v>
      </c>
      <c r="FP320" t="n">
        <v>1</v>
      </c>
      <c r="FQ320" t="n">
        <v>1</v>
      </c>
      <c r="FR320" t="n">
        <v>0</v>
      </c>
      <c r="FS320" t="n">
        <v>0</v>
      </c>
      <c r="FT320" t="n">
        <v>0</v>
      </c>
      <c r="FU320" t="n">
        <v>0</v>
      </c>
      <c r="FV320" t="n">
        <v>2</v>
      </c>
      <c r="FW320" t="n">
        <v>0</v>
      </c>
      <c r="FX320" t="n">
        <v>1</v>
      </c>
      <c r="FY320" t="n">
        <v>1</v>
      </c>
      <c r="FZ320" t="n">
        <v>0</v>
      </c>
      <c r="GB320" t="n">
        <v>0</v>
      </c>
      <c r="GC320" t="n">
        <v>1</v>
      </c>
      <c r="GD320" t="n">
        <v>0</v>
      </c>
      <c r="GG320" t="n">
        <v>1</v>
      </c>
      <c r="GH320" t="n">
        <v>1</v>
      </c>
      <c r="GI320" t="n">
        <v>1</v>
      </c>
      <c r="GJ320" t="n">
        <v>1</v>
      </c>
      <c r="GK320" t="n">
        <v>1</v>
      </c>
      <c r="GL320" t="n">
        <v>0</v>
      </c>
      <c r="GM320" t="n">
        <v>0</v>
      </c>
      <c r="GO320" t="n">
        <v>0</v>
      </c>
      <c r="GP320" t="n">
        <v>1</v>
      </c>
      <c r="GQ320" t="n">
        <v>1</v>
      </c>
      <c r="GR320" t="n">
        <v>1</v>
      </c>
      <c r="GS320" t="n">
        <v>0</v>
      </c>
      <c r="GT320" t="n">
        <v>0</v>
      </c>
      <c r="GU320" t="n">
        <v>2</v>
      </c>
      <c r="GW320" t="n">
        <v>2</v>
      </c>
      <c r="GX320" t="n">
        <v>2</v>
      </c>
      <c r="GY320" t="n">
        <v>0</v>
      </c>
      <c r="GZ320" t="n">
        <v>4</v>
      </c>
      <c r="HA320" t="n">
        <v>1</v>
      </c>
      <c r="HB320" t="n">
        <v>0</v>
      </c>
      <c r="HC320" t="n">
        <v>1</v>
      </c>
      <c r="HE320" t="n">
        <v>1</v>
      </c>
      <c r="HF320" t="n">
        <v>1</v>
      </c>
      <c r="HG320" t="n">
        <v>1</v>
      </c>
      <c r="HH320" t="n">
        <v>1</v>
      </c>
      <c r="HI320" t="n">
        <v>0</v>
      </c>
      <c r="HK320" t="n">
        <v>0</v>
      </c>
      <c r="HL320" t="n">
        <v>0</v>
      </c>
      <c r="HM320" t="n">
        <v>1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1</v>
      </c>
      <c r="HV320" t="n">
        <v>1</v>
      </c>
      <c r="HW320" t="n">
        <v>4</v>
      </c>
      <c r="HX320" t="n">
        <v>1</v>
      </c>
      <c r="HY320" t="n">
        <v>0</v>
      </c>
      <c r="HZ320" t="n">
        <v>0</v>
      </c>
      <c r="IA320" t="n">
        <v>0</v>
      </c>
      <c r="IB320" t="n">
        <v>5</v>
      </c>
      <c r="ID320" t="n">
        <v>8</v>
      </c>
      <c r="IE320" t="n">
        <v>1</v>
      </c>
      <c r="IF320" t="n">
        <v>0</v>
      </c>
      <c r="IG320" t="n">
        <v>0</v>
      </c>
      <c r="IK320" t="n">
        <v>1</v>
      </c>
      <c r="IL320" t="n">
        <v>2</v>
      </c>
      <c r="IM320" t="n">
        <v>2</v>
      </c>
      <c r="IN320" t="n">
        <v>0</v>
      </c>
      <c r="IQ320" t="n">
        <v>1</v>
      </c>
      <c r="IS320" t="n">
        <v>0</v>
      </c>
      <c r="IU320" t="n">
        <v>0</v>
      </c>
      <c r="IV320" t="n">
        <v>0</v>
      </c>
      <c r="IW320" t="n">
        <v>0</v>
      </c>
      <c r="IZ320" t="n">
        <v>0</v>
      </c>
      <c r="JA320" t="n">
        <v>3</v>
      </c>
      <c r="JB320" t="n">
        <v>1</v>
      </c>
      <c r="JE320" t="n">
        <v>1</v>
      </c>
      <c r="JF320" t="n">
        <v>0</v>
      </c>
      <c r="JG320" t="n">
        <v>9</v>
      </c>
      <c r="JH320" t="n">
        <v>1</v>
      </c>
      <c r="JI320" t="n">
        <v>0</v>
      </c>
      <c r="JJ320" t="n">
        <v>1</v>
      </c>
      <c r="JK320" t="n">
        <v>79</v>
      </c>
      <c r="JL320" t="n">
        <v>93</v>
      </c>
      <c r="JM320" t="n">
        <v>89</v>
      </c>
      <c r="JN320" t="n">
        <v>67</v>
      </c>
      <c r="JO320" t="n">
        <v>71</v>
      </c>
      <c r="JP320" t="n">
        <v>5</v>
      </c>
      <c r="JQ320" t="n">
        <v>30</v>
      </c>
      <c r="JR320" t="n">
        <v>2</v>
      </c>
      <c r="JS320" t="n">
        <v>64</v>
      </c>
      <c r="JT320" t="n">
        <v>5</v>
      </c>
      <c r="JV320" t="n">
        <v>7</v>
      </c>
      <c r="JW320" t="n">
        <v>15</v>
      </c>
      <c r="JX320" t="n">
        <v>18</v>
      </c>
      <c r="JY320" t="n">
        <v>6</v>
      </c>
      <c r="JZ320" t="n">
        <v>7</v>
      </c>
      <c r="KA320" t="n">
        <v>14</v>
      </c>
      <c r="KB320" t="n">
        <v>6</v>
      </c>
      <c r="KC320" t="n">
        <v>15</v>
      </c>
      <c r="KD320" t="n">
        <v>9</v>
      </c>
      <c r="KE320" t="n">
        <v>149</v>
      </c>
      <c r="KF320" t="n">
        <v>200</v>
      </c>
      <c r="KH320" t="n">
        <v>43</v>
      </c>
      <c r="KI320" t="n">
        <v>57</v>
      </c>
      <c r="KJ320" t="n">
        <v>1</v>
      </c>
      <c r="KK320" t="n">
        <v>12</v>
      </c>
      <c r="KL320" t="n">
        <v>2</v>
      </c>
      <c r="KM320" t="n">
        <v>2</v>
      </c>
      <c r="KN320" t="n">
        <v>2</v>
      </c>
      <c r="KO320" t="n">
        <v>2</v>
      </c>
      <c r="KP320" t="n">
        <v>5</v>
      </c>
      <c r="KQ320" t="n">
        <v>1</v>
      </c>
      <c r="KR320" t="n">
        <v>6</v>
      </c>
      <c r="KS320" t="n">
        <v>5</v>
      </c>
      <c r="KT320" t="n">
        <v>0</v>
      </c>
      <c r="KV320" t="n">
        <v>0</v>
      </c>
      <c r="KW320" t="n">
        <v>5</v>
      </c>
      <c r="KX320" t="n">
        <v>21</v>
      </c>
      <c r="KY320" t="n">
        <v>1</v>
      </c>
      <c r="KZ320" t="n">
        <v>12</v>
      </c>
      <c r="LA320" t="n">
        <v>3</v>
      </c>
      <c r="LB320" t="n">
        <v>0</v>
      </c>
      <c r="LC320" t="n">
        <v>12970</v>
      </c>
      <c r="LD320" t="n">
        <v>11425</v>
      </c>
      <c r="LE320" t="n">
        <v>5275</v>
      </c>
      <c r="LF320" t="n">
        <v>3074</v>
      </c>
      <c r="LG320" t="n">
        <v>2</v>
      </c>
      <c r="LH320" t="n">
        <v>15</v>
      </c>
      <c r="LI320" t="n">
        <v>4</v>
      </c>
      <c r="LJ320" t="n">
        <v>78077</v>
      </c>
      <c r="LL320" t="n">
        <v>2</v>
      </c>
      <c r="LM320" t="n">
        <v>945</v>
      </c>
      <c r="LN320" t="n">
        <v>11</v>
      </c>
      <c r="LO320" t="n">
        <v>7</v>
      </c>
      <c r="LP320" t="n">
        <v>2</v>
      </c>
      <c r="LQ320" t="n">
        <v>1577</v>
      </c>
      <c r="LR320" t="n">
        <v>40</v>
      </c>
      <c r="LS320" t="n">
        <v>8</v>
      </c>
      <c r="LT320" t="n">
        <v>85</v>
      </c>
      <c r="LU320" t="n">
        <v>10</v>
      </c>
      <c r="LV320" t="n">
        <v>237</v>
      </c>
      <c r="LW320" t="n">
        <v>41</v>
      </c>
      <c r="LX320" t="n">
        <v>19</v>
      </c>
      <c r="LY320" t="n">
        <v>9</v>
      </c>
      <c r="LZ320" t="n">
        <v>187</v>
      </c>
      <c r="MA320" t="n">
        <v>13</v>
      </c>
      <c r="MB320" t="n">
        <v>3</v>
      </c>
      <c r="MC320" t="n">
        <v>1</v>
      </c>
      <c r="MD320" t="n">
        <v>2</v>
      </c>
      <c r="ME320" t="n">
        <v>14</v>
      </c>
      <c r="MF320" t="n">
        <v>292</v>
      </c>
      <c r="MG320" t="n">
        <v>41</v>
      </c>
      <c r="MH320" t="n">
        <v>9</v>
      </c>
      <c r="MI320" t="n">
        <v>8</v>
      </c>
      <c r="MJ320" t="n">
        <v>3</v>
      </c>
      <c r="MK320" t="n">
        <v>9</v>
      </c>
      <c r="ML320" t="n">
        <v>10</v>
      </c>
      <c r="MM320" t="n">
        <v>4</v>
      </c>
      <c r="MN320" t="n">
        <v>7</v>
      </c>
      <c r="MO320" t="n">
        <v>7</v>
      </c>
      <c r="MP320" t="n">
        <v>3</v>
      </c>
      <c r="MQ320" t="n">
        <v>5</v>
      </c>
      <c r="MR320" t="n">
        <v>8</v>
      </c>
      <c r="MS320" t="n">
        <v>80</v>
      </c>
      <c r="MT320" t="n">
        <v>10</v>
      </c>
      <c r="MU320" t="n">
        <v>7</v>
      </c>
      <c r="MV320" t="n">
        <v>15</v>
      </c>
      <c r="MW320" t="n">
        <v>2</v>
      </c>
      <c r="MX320" t="n">
        <v>38</v>
      </c>
      <c r="MY320" t="n">
        <v>19</v>
      </c>
      <c r="MZ320" t="n">
        <v>5051</v>
      </c>
      <c r="NA320" t="n">
        <v>26</v>
      </c>
      <c r="NB320" t="n">
        <v>9</v>
      </c>
      <c r="NC320" t="n">
        <v>412</v>
      </c>
      <c r="ND320" t="n">
        <v>91</v>
      </c>
      <c r="NE320" t="n">
        <v>828</v>
      </c>
      <c r="NF320" t="n">
        <v>3</v>
      </c>
      <c r="NG320" t="n">
        <v>1</v>
      </c>
      <c r="NH320" t="n">
        <v>0</v>
      </c>
      <c r="NI320" t="n">
        <v>2</v>
      </c>
      <c r="NJ320" t="n">
        <v>5</v>
      </c>
      <c r="NK320" t="n">
        <v>1</v>
      </c>
      <c r="NL320" t="n">
        <v>1</v>
      </c>
      <c r="NM320" t="n">
        <v>9</v>
      </c>
      <c r="NN320" t="n">
        <v>16</v>
      </c>
      <c r="NO320" t="n">
        <v>101</v>
      </c>
      <c r="NP320" t="n">
        <v>54</v>
      </c>
      <c r="NQ320" t="n">
        <v>8</v>
      </c>
      <c r="NR320" t="n">
        <v>3</v>
      </c>
      <c r="NS320" t="n">
        <v>2</v>
      </c>
      <c r="NT320" t="n">
        <v>4</v>
      </c>
      <c r="NU320" t="n">
        <v>1</v>
      </c>
      <c r="NV320" t="n">
        <v>12</v>
      </c>
      <c r="NX320" t="n">
        <v>3</v>
      </c>
      <c r="NY320" t="n">
        <v>4</v>
      </c>
      <c r="NZ320" t="n">
        <v>1277</v>
      </c>
      <c r="OA320" t="n">
        <v>522</v>
      </c>
      <c r="OB320" t="n">
        <v>166</v>
      </c>
      <c r="OD320" t="n">
        <v>0</v>
      </c>
      <c r="OE320" t="n">
        <v>4</v>
      </c>
      <c r="OF320" t="n">
        <v>2</v>
      </c>
      <c r="OI320" t="n">
        <v>1</v>
      </c>
      <c r="OJ320" t="n">
        <v>0</v>
      </c>
      <c r="OK320" t="n">
        <v>17172</v>
      </c>
      <c r="ON320" t="n">
        <v>2173</v>
      </c>
      <c r="OO320" t="n">
        <v>152813</v>
      </c>
      <c r="OP320" t="n">
        <v>177895</v>
      </c>
      <c r="OV320" t="n">
        <v>58535</v>
      </c>
      <c r="PI320" t="n">
        <v>389244</v>
      </c>
      <c r="PM320">
        <f>IFERROR(VLOOKUP($A320&amp;"",Key!$A:$C,3,FALSE),"")</f>
        <v/>
      </c>
    </row>
    <row r="321">
      <c r="A321" t="inlineStr">
        <is>
          <t>523A00</t>
        </is>
      </c>
      <c r="B321" t="inlineStr">
        <is>
          <t>Securities and commodity contracts intermediation and brokerage</t>
        </is>
      </c>
      <c r="C321" t="n">
        <v>0</v>
      </c>
      <c r="D321" t="n">
        <v>37</v>
      </c>
      <c r="E321" t="n">
        <v>4</v>
      </c>
      <c r="F321" t="n">
        <v>4</v>
      </c>
      <c r="H321" t="n">
        <v>20</v>
      </c>
      <c r="I321" t="n">
        <v>4</v>
      </c>
      <c r="J321" t="n">
        <v>137</v>
      </c>
      <c r="K321" t="n">
        <v>3</v>
      </c>
      <c r="L321" t="n">
        <v>1</v>
      </c>
      <c r="M321" t="n">
        <v>0</v>
      </c>
      <c r="N321" t="n">
        <v>6</v>
      </c>
      <c r="O321" t="n">
        <v>7</v>
      </c>
      <c r="P321" t="n">
        <v>24</v>
      </c>
      <c r="Q321" t="n">
        <v>15</v>
      </c>
      <c r="R321" t="n">
        <v>1</v>
      </c>
      <c r="S321" t="n">
        <v>1</v>
      </c>
      <c r="T321" t="n">
        <v>1</v>
      </c>
      <c r="U321" t="n">
        <v>2</v>
      </c>
      <c r="V321" t="n">
        <v>12</v>
      </c>
      <c r="W321" t="n">
        <v>26</v>
      </c>
      <c r="X321" t="n">
        <v>432</v>
      </c>
      <c r="Y321" t="n">
        <v>123</v>
      </c>
      <c r="Z321" t="n">
        <v>4</v>
      </c>
      <c r="AA321" t="n">
        <v>17</v>
      </c>
      <c r="AB321" t="n">
        <v>2</v>
      </c>
      <c r="AC321" t="n">
        <v>125</v>
      </c>
      <c r="AD321" t="n">
        <v>67</v>
      </c>
      <c r="AE321" t="n">
        <v>130</v>
      </c>
      <c r="AF321" t="n">
        <v>20</v>
      </c>
      <c r="AG321" t="n">
        <v>220</v>
      </c>
      <c r="AH321" t="n">
        <v>18</v>
      </c>
      <c r="AI321" t="n">
        <v>66</v>
      </c>
      <c r="AJ321" t="n">
        <v>14</v>
      </c>
      <c r="AK321" t="n">
        <v>304</v>
      </c>
      <c r="AL321" t="n">
        <v>101</v>
      </c>
      <c r="AM321" t="n">
        <v>1</v>
      </c>
      <c r="AN321" t="n">
        <v>0</v>
      </c>
      <c r="AO321" t="n">
        <v>0</v>
      </c>
      <c r="AP321" t="n">
        <v>7</v>
      </c>
      <c r="AQ321" t="n">
        <v>0</v>
      </c>
      <c r="AR321" t="n">
        <v>9</v>
      </c>
      <c r="AS321" t="n">
        <v>1</v>
      </c>
      <c r="AT321" t="n">
        <v>12</v>
      </c>
      <c r="AU321" t="n">
        <v>0</v>
      </c>
      <c r="AV321" t="n">
        <v>5</v>
      </c>
      <c r="AW321" t="n">
        <v>2</v>
      </c>
      <c r="AX321" t="n">
        <v>1</v>
      </c>
      <c r="AY321" t="n">
        <v>1</v>
      </c>
      <c r="AZ321" t="n">
        <v>0</v>
      </c>
      <c r="BA321" t="n">
        <v>2</v>
      </c>
      <c r="BB321" t="n">
        <v>1</v>
      </c>
      <c r="BC321" t="n">
        <v>384</v>
      </c>
      <c r="BD321" t="n">
        <v>117</v>
      </c>
      <c r="BE321" t="n">
        <v>27</v>
      </c>
      <c r="BF321" t="n">
        <v>17</v>
      </c>
      <c r="BG321" t="n">
        <v>129</v>
      </c>
      <c r="BH321" t="n">
        <v>20</v>
      </c>
      <c r="BI321" t="n">
        <v>46</v>
      </c>
      <c r="BJ321" t="n">
        <v>77</v>
      </c>
      <c r="BK321" t="n">
        <v>100</v>
      </c>
      <c r="BL321" t="n">
        <v>117</v>
      </c>
      <c r="BM321" t="n">
        <v>21</v>
      </c>
      <c r="BN321" t="n">
        <v>37</v>
      </c>
      <c r="BO321" t="n">
        <v>32</v>
      </c>
      <c r="BP321" t="n">
        <v>60</v>
      </c>
      <c r="BQ321" t="n">
        <v>251</v>
      </c>
      <c r="BR321" t="n">
        <v>190</v>
      </c>
      <c r="BS321" t="n">
        <v>38</v>
      </c>
      <c r="BT321" t="n">
        <v>45</v>
      </c>
      <c r="BU321" t="n">
        <v>35</v>
      </c>
      <c r="BV321" t="n">
        <v>44</v>
      </c>
      <c r="BW321" t="n">
        <v>57</v>
      </c>
      <c r="BX321" t="n">
        <v>172</v>
      </c>
      <c r="BY321" t="n">
        <v>193</v>
      </c>
      <c r="BZ321" t="n">
        <v>104</v>
      </c>
      <c r="CA321" t="n">
        <v>7</v>
      </c>
      <c r="CB321" t="n">
        <v>135</v>
      </c>
      <c r="CC321" t="n">
        <v>14</v>
      </c>
      <c r="CD321" t="n">
        <v>28</v>
      </c>
      <c r="CE321" t="n">
        <v>24</v>
      </c>
      <c r="CF321" t="n">
        <v>61</v>
      </c>
      <c r="CG321" t="n">
        <v>96</v>
      </c>
      <c r="CH321" t="n">
        <v>48</v>
      </c>
      <c r="CI321" t="n">
        <v>45</v>
      </c>
      <c r="CJ321" t="n">
        <v>44</v>
      </c>
      <c r="CK321" t="n">
        <v>40</v>
      </c>
      <c r="CL321" t="n">
        <v>150</v>
      </c>
      <c r="CM321" t="n">
        <v>20</v>
      </c>
      <c r="CN321" t="n">
        <v>3</v>
      </c>
      <c r="CO321" t="n">
        <v>126</v>
      </c>
      <c r="CP321" t="n">
        <v>28</v>
      </c>
      <c r="CQ321" t="n">
        <v>90</v>
      </c>
      <c r="CR321" t="n">
        <v>19</v>
      </c>
      <c r="CS321" t="n">
        <v>26</v>
      </c>
      <c r="CT321" t="n">
        <v>35</v>
      </c>
      <c r="CU321" t="n">
        <v>41</v>
      </c>
      <c r="CV321" t="n">
        <v>39</v>
      </c>
      <c r="CW321" t="n">
        <v>34</v>
      </c>
      <c r="CX321" t="n">
        <v>5</v>
      </c>
      <c r="CY321" t="n">
        <v>16</v>
      </c>
      <c r="CZ321" t="n">
        <v>128</v>
      </c>
      <c r="DA321" t="n">
        <v>36</v>
      </c>
      <c r="DB321" t="n">
        <v>90</v>
      </c>
      <c r="DC321" t="n">
        <v>105</v>
      </c>
      <c r="DD321" t="n">
        <v>4</v>
      </c>
      <c r="DE321" t="n">
        <v>31</v>
      </c>
      <c r="DF321" t="n">
        <v>9</v>
      </c>
      <c r="DG321" t="n">
        <v>88</v>
      </c>
      <c r="DH321" t="n">
        <v>38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7</v>
      </c>
      <c r="DR321" t="n">
        <v>55</v>
      </c>
      <c r="DS321" t="n">
        <v>4</v>
      </c>
      <c r="DU321" t="n">
        <v>5</v>
      </c>
      <c r="DV321" t="n">
        <v>2</v>
      </c>
      <c r="DW321" t="n">
        <v>10</v>
      </c>
      <c r="DX321" t="n">
        <v>15</v>
      </c>
      <c r="DY321" t="n">
        <v>13</v>
      </c>
      <c r="DZ321" t="n">
        <v>17</v>
      </c>
      <c r="EA321" t="n">
        <v>1</v>
      </c>
      <c r="EB321" t="n">
        <v>0</v>
      </c>
      <c r="EC321" t="n">
        <v>5</v>
      </c>
      <c r="ED321" t="n">
        <v>54</v>
      </c>
      <c r="EE321" t="n">
        <v>6</v>
      </c>
      <c r="EF321" t="n">
        <v>13</v>
      </c>
      <c r="EG321" t="n">
        <v>7</v>
      </c>
      <c r="EH321" t="n">
        <v>5</v>
      </c>
      <c r="EI321" t="n">
        <v>23</v>
      </c>
      <c r="EJ321" t="n">
        <v>6</v>
      </c>
      <c r="EK321" t="n">
        <v>17</v>
      </c>
      <c r="EL321" t="n">
        <v>3</v>
      </c>
      <c r="EM321" t="n">
        <v>26</v>
      </c>
      <c r="EN321" t="n">
        <v>42</v>
      </c>
      <c r="EO321" t="n">
        <v>4</v>
      </c>
      <c r="EP321" t="n">
        <v>50</v>
      </c>
      <c r="EQ321" t="n">
        <v>21</v>
      </c>
      <c r="ER321" t="n">
        <v>68</v>
      </c>
      <c r="ES321" t="n">
        <v>49</v>
      </c>
      <c r="ET321" t="n">
        <v>75</v>
      </c>
      <c r="EU321" t="n">
        <v>68</v>
      </c>
      <c r="EV321" t="n">
        <v>1</v>
      </c>
      <c r="EW321" t="n">
        <v>89</v>
      </c>
      <c r="EX321" t="n">
        <v>65</v>
      </c>
      <c r="EY321" t="n">
        <v>113</v>
      </c>
      <c r="EZ321" t="n">
        <v>160</v>
      </c>
      <c r="FA321" t="n">
        <v>183</v>
      </c>
      <c r="FB321" t="n">
        <v>79</v>
      </c>
      <c r="FC321" t="n">
        <v>144</v>
      </c>
      <c r="FD321" t="n">
        <v>120</v>
      </c>
      <c r="FE321" t="n">
        <v>71</v>
      </c>
      <c r="FF321" t="n">
        <v>96</v>
      </c>
      <c r="FG321" t="n">
        <v>99</v>
      </c>
      <c r="FH321" t="n">
        <v>3</v>
      </c>
      <c r="FI321" t="n">
        <v>30</v>
      </c>
      <c r="FJ321" t="n">
        <v>124</v>
      </c>
      <c r="FK321" t="n">
        <v>75</v>
      </c>
      <c r="FL321" t="n">
        <v>41</v>
      </c>
      <c r="FM321" t="n">
        <v>22</v>
      </c>
      <c r="FO321" t="n">
        <v>6</v>
      </c>
      <c r="FP321" t="n">
        <v>71</v>
      </c>
      <c r="FQ321" t="n">
        <v>79</v>
      </c>
      <c r="FR321" t="n">
        <v>19</v>
      </c>
      <c r="FS321" t="n">
        <v>43</v>
      </c>
      <c r="FT321" t="n">
        <v>38</v>
      </c>
      <c r="FU321" t="n">
        <v>31</v>
      </c>
      <c r="FV321" t="n">
        <v>240</v>
      </c>
      <c r="FW321" t="n">
        <v>34</v>
      </c>
      <c r="FX321" t="n">
        <v>114</v>
      </c>
      <c r="FY321" t="n">
        <v>159</v>
      </c>
      <c r="FZ321" t="n">
        <v>22</v>
      </c>
      <c r="GA321" t="n">
        <v>30</v>
      </c>
      <c r="GB321" t="n">
        <v>26</v>
      </c>
      <c r="GC321" t="n">
        <v>55</v>
      </c>
      <c r="GD321" t="n">
        <v>48</v>
      </c>
      <c r="GE321" t="n">
        <v>3</v>
      </c>
      <c r="GF321" t="n">
        <v>13</v>
      </c>
      <c r="GG321" t="n">
        <v>63</v>
      </c>
      <c r="GH321" t="n">
        <v>162</v>
      </c>
      <c r="GI321" t="n">
        <v>1</v>
      </c>
      <c r="GJ321" t="n">
        <v>1</v>
      </c>
      <c r="GK321" t="n">
        <v>1</v>
      </c>
      <c r="GL321" t="n">
        <v>1</v>
      </c>
      <c r="GO321" t="n">
        <v>0</v>
      </c>
      <c r="GP321" t="n">
        <v>2</v>
      </c>
      <c r="GQ321" t="n">
        <v>1</v>
      </c>
      <c r="GR321" t="n">
        <v>1</v>
      </c>
      <c r="GS321" t="n">
        <v>1</v>
      </c>
      <c r="GT321" t="n">
        <v>2</v>
      </c>
      <c r="GU321" t="n">
        <v>7</v>
      </c>
      <c r="GV321" t="n">
        <v>1</v>
      </c>
      <c r="GW321" t="n">
        <v>9</v>
      </c>
      <c r="GX321" t="n">
        <v>4</v>
      </c>
      <c r="GY321" t="n">
        <v>1</v>
      </c>
      <c r="GZ321" t="n">
        <v>18</v>
      </c>
      <c r="HA321" t="n">
        <v>2</v>
      </c>
      <c r="HB321" t="n">
        <v>0</v>
      </c>
      <c r="HC321" t="n">
        <v>0</v>
      </c>
      <c r="HE321" t="n">
        <v>1</v>
      </c>
      <c r="HF321" t="n">
        <v>2</v>
      </c>
      <c r="HG321" t="n">
        <v>4</v>
      </c>
      <c r="HH321" t="n">
        <v>2</v>
      </c>
      <c r="HI321" t="n">
        <v>1</v>
      </c>
      <c r="HK321" t="n">
        <v>0</v>
      </c>
      <c r="HL321" t="n">
        <v>0</v>
      </c>
      <c r="HM321" t="n">
        <v>1</v>
      </c>
      <c r="HN321" t="n">
        <v>0</v>
      </c>
      <c r="HO321" t="n">
        <v>0</v>
      </c>
      <c r="HQ321" t="n">
        <v>1</v>
      </c>
      <c r="HR321" t="n">
        <v>0</v>
      </c>
      <c r="HS321" t="n">
        <v>0</v>
      </c>
      <c r="HU321" t="n">
        <v>0</v>
      </c>
      <c r="HV321" t="n">
        <v>1</v>
      </c>
      <c r="HW321" t="n">
        <v>2</v>
      </c>
      <c r="HX321" t="n">
        <v>0</v>
      </c>
      <c r="HY321" t="n">
        <v>0</v>
      </c>
      <c r="HZ321" t="n">
        <v>0</v>
      </c>
      <c r="IB321" t="n">
        <v>18</v>
      </c>
      <c r="ID321" t="n">
        <v>6</v>
      </c>
      <c r="IE321" t="n">
        <v>5</v>
      </c>
      <c r="IF321" t="n">
        <v>2</v>
      </c>
      <c r="IG321" t="n">
        <v>1</v>
      </c>
      <c r="IK321" t="n">
        <v>2</v>
      </c>
      <c r="IL321" t="n">
        <v>1</v>
      </c>
      <c r="IM321" t="n">
        <v>7</v>
      </c>
      <c r="IQ321" t="n">
        <v>1</v>
      </c>
      <c r="IS321" t="n">
        <v>1</v>
      </c>
      <c r="IT321" t="n">
        <v>0</v>
      </c>
      <c r="IU321" t="n">
        <v>1</v>
      </c>
      <c r="IV321" t="n">
        <v>1</v>
      </c>
      <c r="IZ321" t="n">
        <v>1</v>
      </c>
      <c r="JA321" t="n">
        <v>11</v>
      </c>
      <c r="JB321" t="n">
        <v>3</v>
      </c>
      <c r="JC321" t="n">
        <v>1</v>
      </c>
      <c r="JD321" t="n">
        <v>0</v>
      </c>
      <c r="JE321" t="n">
        <v>3</v>
      </c>
      <c r="JF321" t="n">
        <v>0</v>
      </c>
      <c r="JG321" t="n">
        <v>21</v>
      </c>
      <c r="JH321" t="n">
        <v>1</v>
      </c>
      <c r="JI321" t="n">
        <v>1</v>
      </c>
      <c r="JJ321" t="n">
        <v>2</v>
      </c>
      <c r="JK321" t="n">
        <v>429</v>
      </c>
      <c r="JL321" t="n">
        <v>244</v>
      </c>
      <c r="JM321" t="n">
        <v>394</v>
      </c>
      <c r="JN321" t="n">
        <v>52</v>
      </c>
      <c r="JO321" t="n">
        <v>286</v>
      </c>
      <c r="JP321" t="n">
        <v>12</v>
      </c>
      <c r="JQ321" t="n">
        <v>255</v>
      </c>
      <c r="JR321" t="n">
        <v>4</v>
      </c>
      <c r="JS321" t="n">
        <v>366</v>
      </c>
      <c r="JT321" t="n">
        <v>8</v>
      </c>
      <c r="JV321" t="n">
        <v>78</v>
      </c>
      <c r="JW321" t="n">
        <v>183</v>
      </c>
      <c r="JX321" t="n">
        <v>418</v>
      </c>
      <c r="JY321" t="n">
        <v>42</v>
      </c>
      <c r="JZ321" t="n">
        <v>64</v>
      </c>
      <c r="KA321" t="n">
        <v>139</v>
      </c>
      <c r="KB321" t="n">
        <v>90</v>
      </c>
      <c r="KC321" t="n">
        <v>68</v>
      </c>
      <c r="KD321" t="n">
        <v>89</v>
      </c>
      <c r="KE321" t="n">
        <v>1414</v>
      </c>
      <c r="KF321" t="n">
        <v>141</v>
      </c>
      <c r="KG321" t="n">
        <v>733</v>
      </c>
      <c r="KH321" t="n">
        <v>265</v>
      </c>
      <c r="KI321" t="n">
        <v>1469</v>
      </c>
      <c r="KJ321" t="n">
        <v>39</v>
      </c>
      <c r="KK321" t="n">
        <v>1107</v>
      </c>
      <c r="KL321" t="n">
        <v>11</v>
      </c>
      <c r="KM321" t="n">
        <v>23</v>
      </c>
      <c r="KN321" t="n">
        <v>15</v>
      </c>
      <c r="KO321" t="n">
        <v>18</v>
      </c>
      <c r="KP321" t="n">
        <v>199</v>
      </c>
      <c r="KQ321" t="n">
        <v>6</v>
      </c>
      <c r="KR321" t="n">
        <v>58</v>
      </c>
      <c r="KS321" t="n">
        <v>26</v>
      </c>
      <c r="KT321" t="n">
        <v>209</v>
      </c>
      <c r="KU321" t="n">
        <v>0</v>
      </c>
      <c r="KV321" t="n">
        <v>55</v>
      </c>
      <c r="KW321" t="n">
        <v>24</v>
      </c>
      <c r="KX321" t="n">
        <v>67</v>
      </c>
      <c r="KY321" t="n">
        <v>2</v>
      </c>
      <c r="KZ321" t="n">
        <v>69</v>
      </c>
      <c r="LA321" t="n">
        <v>10</v>
      </c>
      <c r="LB321" t="n">
        <v>0</v>
      </c>
      <c r="LC321" t="n">
        <v>4212</v>
      </c>
      <c r="LD321" t="n">
        <v>8139</v>
      </c>
      <c r="LE321" t="n">
        <v>13850</v>
      </c>
      <c r="LF321" t="n">
        <v>4842</v>
      </c>
      <c r="LG321" t="n">
        <v>2510</v>
      </c>
      <c r="LI321" t="n">
        <v>18</v>
      </c>
      <c r="LJ321" t="n">
        <v>18628</v>
      </c>
      <c r="LK321" t="n">
        <v>1</v>
      </c>
      <c r="LL321" t="n">
        <v>0</v>
      </c>
      <c r="LM321" t="n">
        <v>5071</v>
      </c>
      <c r="LN321" t="n">
        <v>73</v>
      </c>
      <c r="LO321" t="n">
        <v>119</v>
      </c>
      <c r="LP321" t="n">
        <v>8</v>
      </c>
      <c r="LQ321" t="n">
        <v>75</v>
      </c>
      <c r="LR321" t="n">
        <v>466</v>
      </c>
      <c r="LS321" t="n">
        <v>91</v>
      </c>
      <c r="LT321" t="n">
        <v>144</v>
      </c>
      <c r="LU321" t="n">
        <v>117</v>
      </c>
      <c r="LV321" t="n">
        <v>380</v>
      </c>
      <c r="LW321" t="n">
        <v>125</v>
      </c>
      <c r="LX321" t="n">
        <v>337</v>
      </c>
      <c r="LY321" t="n">
        <v>83</v>
      </c>
      <c r="LZ321" t="n">
        <v>28</v>
      </c>
      <c r="MA321" t="n">
        <v>118</v>
      </c>
      <c r="MB321" t="n">
        <v>8</v>
      </c>
      <c r="MC321" t="n">
        <v>4</v>
      </c>
      <c r="MD321" t="n">
        <v>7</v>
      </c>
      <c r="ME321" t="n">
        <v>202</v>
      </c>
      <c r="MF321" t="n">
        <v>6764</v>
      </c>
      <c r="MG321" t="n">
        <v>91</v>
      </c>
      <c r="MH321" t="n">
        <v>143</v>
      </c>
      <c r="MI321" t="n">
        <v>171</v>
      </c>
      <c r="MJ321" t="n">
        <v>30</v>
      </c>
      <c r="MK321" t="n">
        <v>80</v>
      </c>
      <c r="ML321" t="n">
        <v>155</v>
      </c>
      <c r="MM321" t="n">
        <v>36</v>
      </c>
      <c r="MN321" t="n">
        <v>94</v>
      </c>
      <c r="MO321" t="n">
        <v>23</v>
      </c>
      <c r="MP321" t="n">
        <v>21</v>
      </c>
      <c r="MQ321" t="n">
        <v>825</v>
      </c>
      <c r="MR321" t="n">
        <v>125</v>
      </c>
      <c r="MS321" t="n">
        <v>398</v>
      </c>
      <c r="MT321" t="n">
        <v>94</v>
      </c>
      <c r="MU321" t="n">
        <v>60</v>
      </c>
      <c r="MV321" t="n">
        <v>154</v>
      </c>
      <c r="MW321" t="n">
        <v>24</v>
      </c>
      <c r="MX321" t="n">
        <v>69</v>
      </c>
      <c r="MY321" t="n">
        <v>47</v>
      </c>
      <c r="MZ321" t="n">
        <v>883</v>
      </c>
      <c r="NA321" t="n">
        <v>195</v>
      </c>
      <c r="NB321" t="n">
        <v>31</v>
      </c>
      <c r="NC321" t="n">
        <v>148</v>
      </c>
      <c r="ND321" t="n">
        <v>3</v>
      </c>
      <c r="NE321" t="n">
        <v>17</v>
      </c>
      <c r="NF321" t="n">
        <v>1</v>
      </c>
      <c r="NG321" t="n">
        <v>9</v>
      </c>
      <c r="NI321" t="n">
        <v>687</v>
      </c>
      <c r="NK321" t="n">
        <v>5</v>
      </c>
      <c r="NL321" t="n">
        <v>21</v>
      </c>
      <c r="NM321" t="n">
        <v>26</v>
      </c>
      <c r="NN321" t="n">
        <v>3526</v>
      </c>
      <c r="NO321" t="n">
        <v>403</v>
      </c>
      <c r="NP321" t="n">
        <v>383</v>
      </c>
      <c r="NQ321" t="n">
        <v>2980</v>
      </c>
      <c r="NR321" t="n">
        <v>14</v>
      </c>
      <c r="NS321" t="n">
        <v>4</v>
      </c>
      <c r="NT321" t="n">
        <v>20</v>
      </c>
      <c r="NU321" t="n">
        <v>3</v>
      </c>
      <c r="NV321" t="n">
        <v>4</v>
      </c>
      <c r="NW321" t="n">
        <v>0</v>
      </c>
      <c r="NX321" t="n">
        <v>10</v>
      </c>
      <c r="NY321" t="n">
        <v>15</v>
      </c>
      <c r="NZ321" t="n">
        <v>1501</v>
      </c>
      <c r="OA321" t="n">
        <v>19</v>
      </c>
      <c r="OB321" t="n">
        <v>342</v>
      </c>
      <c r="OD321" t="n">
        <v>0</v>
      </c>
      <c r="OE321" t="n">
        <v>0</v>
      </c>
      <c r="OF321" t="n">
        <v>1</v>
      </c>
      <c r="OG321" t="n">
        <v>10</v>
      </c>
      <c r="OH321" t="n">
        <v>0</v>
      </c>
      <c r="OI321" t="n">
        <v>2347</v>
      </c>
      <c r="OK321" t="n">
        <v>486</v>
      </c>
      <c r="OL321" t="n">
        <v>4</v>
      </c>
      <c r="ON321" t="n">
        <v>162</v>
      </c>
      <c r="OO321" t="n">
        <v>102108</v>
      </c>
      <c r="OP321" t="n">
        <v>47331</v>
      </c>
      <c r="OV321" t="n">
        <v>13343</v>
      </c>
      <c r="PI321" t="n">
        <v>162782</v>
      </c>
      <c r="PM321">
        <f>IFERROR(VLOOKUP($A321&amp;"",Key!$A:$C,3,FALSE),"")</f>
        <v/>
      </c>
    </row>
    <row r="322">
      <c r="A322" t="n">
        <v>524113</v>
      </c>
      <c r="B322" t="inlineStr">
        <is>
          <t>Direct life insurance carriers</t>
        </is>
      </c>
      <c r="OP322" t="n">
        <v>90314</v>
      </c>
      <c r="PI322" t="n">
        <v>90314</v>
      </c>
      <c r="PM322">
        <f>IFERROR(VLOOKUP($A322&amp;"",Key!$A:$C,3,FALSE),"")</f>
        <v/>
      </c>
    </row>
    <row r="323">
      <c r="A323" t="inlineStr">
        <is>
          <t>5241XX</t>
        </is>
      </c>
      <c r="B323" t="inlineStr">
        <is>
          <t>Insurance carriers, except direct life</t>
        </is>
      </c>
      <c r="C323" t="n">
        <v>183</v>
      </c>
      <c r="D323" t="n">
        <v>278</v>
      </c>
      <c r="E323" t="n">
        <v>275</v>
      </c>
      <c r="F323" t="n">
        <v>441</v>
      </c>
      <c r="G323" t="n">
        <v>297</v>
      </c>
      <c r="H323" t="n">
        <v>1022</v>
      </c>
      <c r="I323" t="n">
        <v>314</v>
      </c>
      <c r="J323" t="n">
        <v>62</v>
      </c>
      <c r="K323" t="n">
        <v>247</v>
      </c>
      <c r="L323" t="n">
        <v>264</v>
      </c>
      <c r="M323" t="n">
        <v>0</v>
      </c>
      <c r="N323" t="n">
        <v>445</v>
      </c>
      <c r="O323" t="n">
        <v>135</v>
      </c>
      <c r="P323" t="n">
        <v>1698</v>
      </c>
      <c r="Q323" t="n">
        <v>27</v>
      </c>
      <c r="R323" t="n">
        <v>49</v>
      </c>
      <c r="S323" t="n">
        <v>30</v>
      </c>
      <c r="T323" t="n">
        <v>11</v>
      </c>
      <c r="U323" t="n">
        <v>227</v>
      </c>
      <c r="V323" t="n">
        <v>824</v>
      </c>
      <c r="W323" t="n">
        <v>2322</v>
      </c>
      <c r="X323" t="n">
        <v>732</v>
      </c>
      <c r="Y323" t="n">
        <v>74</v>
      </c>
      <c r="Z323" t="n">
        <v>53</v>
      </c>
      <c r="AA323" t="n">
        <v>1</v>
      </c>
      <c r="AB323" t="n">
        <v>19</v>
      </c>
      <c r="AC323" t="n">
        <v>289</v>
      </c>
      <c r="AD323" t="n">
        <v>13</v>
      </c>
      <c r="AE323" t="n">
        <v>13</v>
      </c>
      <c r="AF323" t="n">
        <v>8</v>
      </c>
      <c r="AG323" t="n">
        <v>18</v>
      </c>
      <c r="AH323" t="n">
        <v>6</v>
      </c>
      <c r="AI323" t="n">
        <v>3</v>
      </c>
      <c r="AJ323" t="n">
        <v>5</v>
      </c>
      <c r="AK323" t="n">
        <v>18</v>
      </c>
      <c r="AL323" t="n">
        <v>10</v>
      </c>
      <c r="AM323" t="n">
        <v>2</v>
      </c>
      <c r="AN323" t="n">
        <v>4</v>
      </c>
      <c r="AO323" t="n">
        <v>1</v>
      </c>
      <c r="AP323" t="n">
        <v>20</v>
      </c>
      <c r="AQ323" t="n">
        <v>53</v>
      </c>
      <c r="AR323" t="n">
        <v>67</v>
      </c>
      <c r="AS323" t="n">
        <v>22</v>
      </c>
      <c r="AT323" t="n">
        <v>50</v>
      </c>
      <c r="AU323" t="n">
        <v>6</v>
      </c>
      <c r="AV323" t="n">
        <v>15</v>
      </c>
      <c r="AW323" t="n">
        <v>17</v>
      </c>
      <c r="AX323" t="n">
        <v>13</v>
      </c>
      <c r="AY323" t="n">
        <v>15</v>
      </c>
      <c r="AZ323" t="n">
        <v>4</v>
      </c>
      <c r="BA323" t="n">
        <v>18</v>
      </c>
      <c r="BB323" t="n">
        <v>21</v>
      </c>
      <c r="BC323" t="n">
        <v>12</v>
      </c>
      <c r="BD323" t="n">
        <v>25</v>
      </c>
      <c r="BE323" t="n">
        <v>10</v>
      </c>
      <c r="BF323" t="n">
        <v>22</v>
      </c>
      <c r="BG323" t="n">
        <v>23</v>
      </c>
      <c r="BH323" t="n">
        <v>16</v>
      </c>
      <c r="BI323" t="n">
        <v>3</v>
      </c>
      <c r="BJ323" t="n">
        <v>15</v>
      </c>
      <c r="BK323" t="n">
        <v>2</v>
      </c>
      <c r="BL323" t="n">
        <v>42</v>
      </c>
      <c r="BM323" t="n">
        <v>6</v>
      </c>
      <c r="BN323" t="n">
        <v>9</v>
      </c>
      <c r="BO323" t="n">
        <v>13</v>
      </c>
      <c r="BP323" t="n">
        <v>12</v>
      </c>
      <c r="BQ323" t="n">
        <v>4</v>
      </c>
      <c r="BR323" t="n">
        <v>9</v>
      </c>
      <c r="BS323" t="n">
        <v>18</v>
      </c>
      <c r="BT323" t="n">
        <v>11</v>
      </c>
      <c r="BU323" t="n">
        <v>15</v>
      </c>
      <c r="BV323" t="n">
        <v>8</v>
      </c>
      <c r="BW323" t="n">
        <v>13</v>
      </c>
      <c r="BX323" t="n">
        <v>10</v>
      </c>
      <c r="BY323" t="n">
        <v>33</v>
      </c>
      <c r="BZ323" t="n">
        <v>10</v>
      </c>
      <c r="CA323" t="n">
        <v>1</v>
      </c>
      <c r="CB323" t="n">
        <v>14</v>
      </c>
      <c r="CC323" t="n">
        <v>5</v>
      </c>
      <c r="CD323" t="n">
        <v>8</v>
      </c>
      <c r="CE323" t="n">
        <v>61</v>
      </c>
      <c r="CF323" t="n">
        <v>16</v>
      </c>
      <c r="CG323" t="n">
        <v>18</v>
      </c>
      <c r="CH323" t="n">
        <v>4</v>
      </c>
      <c r="CI323" t="n">
        <v>30</v>
      </c>
      <c r="CJ323" t="n">
        <v>7</v>
      </c>
      <c r="CK323" t="n">
        <v>3</v>
      </c>
      <c r="CL323" t="n">
        <v>13</v>
      </c>
      <c r="CM323" t="n">
        <v>14</v>
      </c>
      <c r="CN323" t="n">
        <v>7</v>
      </c>
      <c r="CO323" t="n">
        <v>21</v>
      </c>
      <c r="CP323" t="n">
        <v>2</v>
      </c>
      <c r="CQ323" t="n">
        <v>12</v>
      </c>
      <c r="CR323" t="n">
        <v>13</v>
      </c>
      <c r="CS323" t="n">
        <v>2</v>
      </c>
      <c r="CT323" t="n">
        <v>2</v>
      </c>
      <c r="CU323" t="n">
        <v>21</v>
      </c>
      <c r="CV323" t="n">
        <v>27</v>
      </c>
      <c r="CW323" t="n">
        <v>28</v>
      </c>
      <c r="CX323" t="n">
        <v>15</v>
      </c>
      <c r="CY323" t="n">
        <v>12</v>
      </c>
      <c r="CZ323" t="n">
        <v>44</v>
      </c>
      <c r="DA323" t="n">
        <v>18</v>
      </c>
      <c r="DB323" t="n">
        <v>37</v>
      </c>
      <c r="DC323" t="n">
        <v>11</v>
      </c>
      <c r="DD323" t="n">
        <v>21</v>
      </c>
      <c r="DE323" t="n">
        <v>15</v>
      </c>
      <c r="DF323" t="n">
        <v>15</v>
      </c>
      <c r="DG323" t="n">
        <v>15</v>
      </c>
      <c r="DH323" t="n">
        <v>9</v>
      </c>
      <c r="DI323" t="n">
        <v>0</v>
      </c>
      <c r="DK323" t="n">
        <v>2</v>
      </c>
      <c r="DL323" t="n">
        <v>0</v>
      </c>
      <c r="DM323" t="n">
        <v>0</v>
      </c>
      <c r="DN323" t="n">
        <v>0</v>
      </c>
      <c r="DO323" t="n">
        <v>1</v>
      </c>
      <c r="DP323" t="n">
        <v>4</v>
      </c>
      <c r="DQ323" t="n">
        <v>18</v>
      </c>
      <c r="DR323" t="n">
        <v>19</v>
      </c>
      <c r="DS323" t="n">
        <v>0</v>
      </c>
      <c r="DT323" t="n">
        <v>1</v>
      </c>
      <c r="DU323" t="n">
        <v>4</v>
      </c>
      <c r="DV323" t="n">
        <v>7</v>
      </c>
      <c r="DW323" t="n">
        <v>0</v>
      </c>
      <c r="DX323" t="n">
        <v>7</v>
      </c>
      <c r="DY323" t="n">
        <v>8</v>
      </c>
      <c r="DZ323" t="n">
        <v>12</v>
      </c>
      <c r="EA323" t="n">
        <v>31</v>
      </c>
      <c r="EB323" t="n">
        <v>1</v>
      </c>
      <c r="EC323" t="n">
        <v>5</v>
      </c>
      <c r="ED323" t="n">
        <v>16</v>
      </c>
      <c r="EE323" t="n">
        <v>13</v>
      </c>
      <c r="EF323" t="n">
        <v>49</v>
      </c>
      <c r="EG323" t="n">
        <v>12</v>
      </c>
      <c r="EH323" t="n">
        <v>9</v>
      </c>
      <c r="EI323" t="n">
        <v>67</v>
      </c>
      <c r="EJ323" t="n">
        <v>24</v>
      </c>
      <c r="EK323" t="n">
        <v>8</v>
      </c>
      <c r="EL323" t="n">
        <v>1</v>
      </c>
      <c r="EM323" t="n">
        <v>32</v>
      </c>
      <c r="EN323" t="n">
        <v>22</v>
      </c>
      <c r="EO323" t="n">
        <v>6</v>
      </c>
      <c r="EP323" t="n">
        <v>12</v>
      </c>
      <c r="EQ323" t="n">
        <v>51</v>
      </c>
      <c r="ER323" t="n">
        <v>168</v>
      </c>
      <c r="ES323" t="n">
        <v>38</v>
      </c>
      <c r="ET323" t="n">
        <v>28</v>
      </c>
      <c r="EU323" t="n">
        <v>29</v>
      </c>
      <c r="EV323" t="n">
        <v>0</v>
      </c>
      <c r="EW323" t="n">
        <v>20</v>
      </c>
      <c r="EX323" t="n">
        <v>46</v>
      </c>
      <c r="EY323" t="n">
        <v>13</v>
      </c>
      <c r="EZ323" t="n">
        <v>42</v>
      </c>
      <c r="FA323" t="n">
        <v>62</v>
      </c>
      <c r="FB323" t="n">
        <v>27</v>
      </c>
      <c r="FC323" t="n">
        <v>35</v>
      </c>
      <c r="FD323" t="n">
        <v>72</v>
      </c>
      <c r="FE323" t="n">
        <v>8</v>
      </c>
      <c r="FF323" t="n">
        <v>19</v>
      </c>
      <c r="FG323" t="n">
        <v>43</v>
      </c>
      <c r="FH323" t="n">
        <v>53</v>
      </c>
      <c r="FI323" t="n">
        <v>116</v>
      </c>
      <c r="FJ323" t="n">
        <v>21</v>
      </c>
      <c r="FK323" t="n">
        <v>282</v>
      </c>
      <c r="FL323" t="n">
        <v>442</v>
      </c>
      <c r="FM323" t="n">
        <v>1</v>
      </c>
      <c r="FO323" t="n">
        <v>11</v>
      </c>
      <c r="FP323" t="n">
        <v>2</v>
      </c>
      <c r="FQ323" t="n">
        <v>21</v>
      </c>
      <c r="FR323" t="n">
        <v>11</v>
      </c>
      <c r="FS323" t="n">
        <v>15</v>
      </c>
      <c r="FT323" t="n">
        <v>18</v>
      </c>
      <c r="FU323" t="n">
        <v>1</v>
      </c>
      <c r="FV323" t="n">
        <v>55</v>
      </c>
      <c r="FW323" t="n">
        <v>20</v>
      </c>
      <c r="FX323" t="n">
        <v>9</v>
      </c>
      <c r="FY323" t="n">
        <v>12</v>
      </c>
      <c r="FZ323" t="n">
        <v>2</v>
      </c>
      <c r="GA323" t="n">
        <v>54</v>
      </c>
      <c r="GB323" t="n">
        <v>12</v>
      </c>
      <c r="GC323" t="n">
        <v>25</v>
      </c>
      <c r="GD323" t="n">
        <v>7</v>
      </c>
      <c r="GE323" t="n">
        <v>1</v>
      </c>
      <c r="GF323" t="n">
        <v>10</v>
      </c>
      <c r="GG323" t="n">
        <v>4</v>
      </c>
      <c r="GH323" t="n">
        <v>48</v>
      </c>
      <c r="GI323" t="n">
        <v>41</v>
      </c>
      <c r="GJ323" t="n">
        <v>17</v>
      </c>
      <c r="GK323" t="n">
        <v>19</v>
      </c>
      <c r="GL323" t="n">
        <v>6</v>
      </c>
      <c r="GM323" t="n">
        <v>10</v>
      </c>
      <c r="GO323" t="n">
        <v>12</v>
      </c>
      <c r="GP323" t="n">
        <v>214</v>
      </c>
      <c r="GQ323" t="n">
        <v>16</v>
      </c>
      <c r="GR323" t="n">
        <v>29</v>
      </c>
      <c r="GS323" t="n">
        <v>8</v>
      </c>
      <c r="GT323" t="n">
        <v>25</v>
      </c>
      <c r="GU323" t="n">
        <v>26</v>
      </c>
      <c r="GV323" t="n">
        <v>23</v>
      </c>
      <c r="GW323" t="n">
        <v>17</v>
      </c>
      <c r="GX323" t="n">
        <v>6</v>
      </c>
      <c r="GY323" t="n">
        <v>9</v>
      </c>
      <c r="GZ323" t="n">
        <v>32</v>
      </c>
      <c r="HA323" t="n">
        <v>30</v>
      </c>
      <c r="HB323" t="n">
        <v>89</v>
      </c>
      <c r="HC323" t="n">
        <v>11</v>
      </c>
      <c r="HD323" t="n">
        <v>63</v>
      </c>
      <c r="HE323" t="n">
        <v>26</v>
      </c>
      <c r="HF323" t="n">
        <v>27</v>
      </c>
      <c r="HG323" t="n">
        <v>14</v>
      </c>
      <c r="HH323" t="n">
        <v>90</v>
      </c>
      <c r="HI323" t="n">
        <v>86</v>
      </c>
      <c r="HJ323" t="n">
        <v>51</v>
      </c>
      <c r="HK323" t="n">
        <v>70</v>
      </c>
      <c r="HL323" t="n">
        <v>2</v>
      </c>
      <c r="HM323" t="n">
        <v>23</v>
      </c>
      <c r="HN323" t="n">
        <v>13</v>
      </c>
      <c r="HO323" t="n">
        <v>2</v>
      </c>
      <c r="HP323" t="n">
        <v>9</v>
      </c>
      <c r="HQ323" t="n">
        <v>20</v>
      </c>
      <c r="HR323" t="n">
        <v>10</v>
      </c>
      <c r="HS323" t="n">
        <v>6</v>
      </c>
      <c r="HT323" t="n">
        <v>4</v>
      </c>
      <c r="HU323" t="n">
        <v>7</v>
      </c>
      <c r="HV323" t="n">
        <v>5</v>
      </c>
      <c r="HW323" t="n">
        <v>4</v>
      </c>
      <c r="HX323" t="n">
        <v>20</v>
      </c>
      <c r="HY323" t="n">
        <v>11</v>
      </c>
      <c r="HZ323" t="n">
        <v>16</v>
      </c>
      <c r="IA323" t="n">
        <v>4</v>
      </c>
      <c r="IB323" t="n">
        <v>58</v>
      </c>
      <c r="IC323" t="n">
        <v>5</v>
      </c>
      <c r="ID323" t="n">
        <v>3</v>
      </c>
      <c r="IE323" t="n">
        <v>10</v>
      </c>
      <c r="IF323" t="n">
        <v>15</v>
      </c>
      <c r="IG323" t="n">
        <v>62</v>
      </c>
      <c r="IH323" t="n">
        <v>51</v>
      </c>
      <c r="II323" t="n">
        <v>39</v>
      </c>
      <c r="IJ323" t="n">
        <v>19</v>
      </c>
      <c r="IK323" t="n">
        <v>27</v>
      </c>
      <c r="IL323" t="n">
        <v>36</v>
      </c>
      <c r="IM323" t="n">
        <v>43</v>
      </c>
      <c r="IN323" t="n">
        <v>40</v>
      </c>
      <c r="IO323" t="n">
        <v>46</v>
      </c>
      <c r="IP323" t="n">
        <v>27</v>
      </c>
      <c r="IQ323" t="n">
        <v>20</v>
      </c>
      <c r="IR323" t="n">
        <v>46</v>
      </c>
      <c r="IS323" t="n">
        <v>44</v>
      </c>
      <c r="IT323" t="n">
        <v>47</v>
      </c>
      <c r="IU323" t="n">
        <v>19</v>
      </c>
      <c r="IV323" t="n">
        <v>29</v>
      </c>
      <c r="IW323" t="n">
        <v>46</v>
      </c>
      <c r="IX323" t="n">
        <v>70</v>
      </c>
      <c r="IY323" t="n">
        <v>16</v>
      </c>
      <c r="IZ323" t="n">
        <v>54</v>
      </c>
      <c r="JA323" t="n">
        <v>53</v>
      </c>
      <c r="JB323" t="n">
        <v>9</v>
      </c>
      <c r="JC323" t="n">
        <v>4</v>
      </c>
      <c r="JD323" t="n">
        <v>28</v>
      </c>
      <c r="JE323" t="n">
        <v>12</v>
      </c>
      <c r="JF323" t="n">
        <v>11</v>
      </c>
      <c r="JG323" t="n">
        <v>18</v>
      </c>
      <c r="JH323" t="n">
        <v>25</v>
      </c>
      <c r="JI323" t="n">
        <v>13</v>
      </c>
      <c r="JJ323" t="n">
        <v>20</v>
      </c>
      <c r="JK323" t="n">
        <v>4382</v>
      </c>
      <c r="JL323" t="n">
        <v>5036</v>
      </c>
      <c r="JM323" t="n">
        <v>5428</v>
      </c>
      <c r="JN323" t="n">
        <v>3866</v>
      </c>
      <c r="JO323" t="n">
        <v>4440</v>
      </c>
      <c r="JP323" t="n">
        <v>5824</v>
      </c>
      <c r="JQ323" t="n">
        <v>3373</v>
      </c>
      <c r="JR323" t="n">
        <v>2570</v>
      </c>
      <c r="JS323" t="n">
        <v>4376</v>
      </c>
      <c r="JT323" t="n">
        <v>2021</v>
      </c>
      <c r="JV323" t="n">
        <v>2961</v>
      </c>
      <c r="JW323" t="n">
        <v>1016</v>
      </c>
      <c r="JX323" t="n">
        <v>1301</v>
      </c>
      <c r="JY323" t="n">
        <v>764</v>
      </c>
      <c r="JZ323" t="n">
        <v>427</v>
      </c>
      <c r="KA323" t="n">
        <v>1104</v>
      </c>
      <c r="KB323" t="n">
        <v>296</v>
      </c>
      <c r="KC323" t="n">
        <v>1219</v>
      </c>
      <c r="KD323" t="n">
        <v>762</v>
      </c>
      <c r="KE323" t="n">
        <v>612</v>
      </c>
      <c r="KF323" t="n">
        <v>11</v>
      </c>
      <c r="KG323" t="n">
        <v>766</v>
      </c>
      <c r="KH323" t="n">
        <v>13080</v>
      </c>
      <c r="KI323" t="n">
        <v>1536</v>
      </c>
      <c r="KJ323" t="n">
        <v>206</v>
      </c>
      <c r="KK323" t="n">
        <v>1249</v>
      </c>
      <c r="KL323" t="n">
        <v>442</v>
      </c>
      <c r="KM323" t="n">
        <v>1582</v>
      </c>
      <c r="KN323" t="n">
        <v>101</v>
      </c>
      <c r="KO323" t="n">
        <v>54</v>
      </c>
      <c r="KP323" t="n">
        <v>88</v>
      </c>
      <c r="KQ323" t="n">
        <v>16</v>
      </c>
      <c r="KR323" t="n">
        <v>209</v>
      </c>
      <c r="KS323" t="n">
        <v>512</v>
      </c>
      <c r="KT323" t="n">
        <v>32</v>
      </c>
      <c r="KU323" t="n">
        <v>2</v>
      </c>
      <c r="KV323" t="n">
        <v>0</v>
      </c>
      <c r="KW323" t="n">
        <v>166</v>
      </c>
      <c r="KX323" t="n">
        <v>48</v>
      </c>
      <c r="KY323" t="n">
        <v>606</v>
      </c>
      <c r="KZ323" t="n">
        <v>387</v>
      </c>
      <c r="LA323" t="n">
        <v>358</v>
      </c>
      <c r="LB323" t="n">
        <v>0</v>
      </c>
      <c r="LC323" t="n">
        <v>1731</v>
      </c>
      <c r="LD323" t="n">
        <v>642</v>
      </c>
      <c r="LE323" t="n">
        <v>6137</v>
      </c>
      <c r="LF323" t="n">
        <v>1261</v>
      </c>
      <c r="LG323" t="n">
        <v>5182</v>
      </c>
      <c r="LH323" t="n">
        <v>45267</v>
      </c>
      <c r="LI323" t="n">
        <v>408</v>
      </c>
      <c r="LJ323" t="n">
        <v>382</v>
      </c>
      <c r="LK323" t="n">
        <v>7200</v>
      </c>
      <c r="LL323" t="n">
        <v>164</v>
      </c>
      <c r="LM323" t="n">
        <v>56005</v>
      </c>
      <c r="LN323" t="n">
        <v>2063</v>
      </c>
      <c r="LO323" t="n">
        <v>1165</v>
      </c>
      <c r="LP323" t="n">
        <v>427</v>
      </c>
      <c r="LQ323" t="n">
        <v>3664</v>
      </c>
      <c r="LR323" t="n">
        <v>3544</v>
      </c>
      <c r="LS323" t="n">
        <v>668</v>
      </c>
      <c r="LT323" t="n">
        <v>1235</v>
      </c>
      <c r="LU323" t="n">
        <v>360</v>
      </c>
      <c r="LV323" t="n">
        <v>2384</v>
      </c>
      <c r="LW323" t="n">
        <v>2997</v>
      </c>
      <c r="LX323" t="n">
        <v>999</v>
      </c>
      <c r="LY323" t="n">
        <v>589</v>
      </c>
      <c r="LZ323" t="n">
        <v>893</v>
      </c>
      <c r="MA323" t="n">
        <v>362</v>
      </c>
      <c r="MB323" t="n">
        <v>113</v>
      </c>
      <c r="MC323" t="n">
        <v>94</v>
      </c>
      <c r="ME323" t="n">
        <v>625</v>
      </c>
      <c r="MF323" t="n">
        <v>166</v>
      </c>
      <c r="MG323" t="n">
        <v>1082</v>
      </c>
      <c r="MH323" t="n">
        <v>2440</v>
      </c>
      <c r="MI323" t="n">
        <v>348</v>
      </c>
      <c r="MJ323" t="n">
        <v>188</v>
      </c>
      <c r="MK323" t="n">
        <v>315</v>
      </c>
      <c r="ML323" t="n">
        <v>358</v>
      </c>
      <c r="MM323" t="n">
        <v>585</v>
      </c>
      <c r="MN323" t="n">
        <v>450</v>
      </c>
      <c r="MO323" t="n">
        <v>1215</v>
      </c>
      <c r="MP323" t="n">
        <v>54</v>
      </c>
      <c r="MQ323" t="n">
        <v>92</v>
      </c>
      <c r="MR323" t="n">
        <v>700</v>
      </c>
      <c r="MS323" t="n">
        <v>8348</v>
      </c>
      <c r="MT323" t="n">
        <v>407</v>
      </c>
      <c r="MU323" t="n">
        <v>710</v>
      </c>
      <c r="MV323" t="n">
        <v>904</v>
      </c>
      <c r="MW323" t="n">
        <v>234</v>
      </c>
      <c r="MX323" t="n">
        <v>664</v>
      </c>
      <c r="MY323" t="n">
        <v>830</v>
      </c>
      <c r="MZ323" t="n">
        <v>13707</v>
      </c>
      <c r="NA323" t="n">
        <v>2551</v>
      </c>
      <c r="NB323" t="n">
        <v>484</v>
      </c>
      <c r="NC323" t="n">
        <v>6069</v>
      </c>
      <c r="ND323" t="n">
        <v>365</v>
      </c>
      <c r="NE323" t="n">
        <v>2754</v>
      </c>
      <c r="NF323" t="n">
        <v>129</v>
      </c>
      <c r="NG323" t="n">
        <v>133</v>
      </c>
      <c r="NH323" t="n">
        <v>92</v>
      </c>
      <c r="NI323" t="n">
        <v>244</v>
      </c>
      <c r="NJ323" t="n">
        <v>1184</v>
      </c>
      <c r="NK323" t="n">
        <v>102</v>
      </c>
      <c r="NL323" t="n">
        <v>239</v>
      </c>
      <c r="NM323" t="n">
        <v>879</v>
      </c>
      <c r="NN323" t="n">
        <v>1364</v>
      </c>
      <c r="NO323" t="n">
        <v>2801</v>
      </c>
      <c r="NP323" t="n">
        <v>3034</v>
      </c>
      <c r="NQ323" t="n">
        <v>707</v>
      </c>
      <c r="NR323" t="n">
        <v>439</v>
      </c>
      <c r="NS323" t="n">
        <v>54</v>
      </c>
      <c r="NT323" t="n">
        <v>181</v>
      </c>
      <c r="NU323" t="n">
        <v>66</v>
      </c>
      <c r="NV323" t="n">
        <v>680</v>
      </c>
      <c r="NW323" t="n">
        <v>9</v>
      </c>
      <c r="NX323" t="n">
        <v>86</v>
      </c>
      <c r="NY323" t="n">
        <v>463</v>
      </c>
      <c r="NZ323" t="n">
        <v>6</v>
      </c>
      <c r="OA323" t="n">
        <v>512</v>
      </c>
      <c r="OB323" t="n">
        <v>965</v>
      </c>
      <c r="OD323" t="n">
        <v>0</v>
      </c>
      <c r="OE323" t="n">
        <v>807</v>
      </c>
      <c r="OF323" t="n">
        <v>2</v>
      </c>
      <c r="OG323" t="n">
        <v>37</v>
      </c>
      <c r="OH323" t="n">
        <v>99</v>
      </c>
      <c r="OI323" t="n">
        <v>802</v>
      </c>
      <c r="OJ323" t="n">
        <v>1884</v>
      </c>
      <c r="OK323" t="n">
        <v>513</v>
      </c>
      <c r="OL323" t="n">
        <v>61</v>
      </c>
      <c r="OM323" t="n">
        <v>42</v>
      </c>
      <c r="ON323" t="n">
        <v>3014</v>
      </c>
      <c r="OO323" t="n">
        <v>303702</v>
      </c>
      <c r="OP323" t="n">
        <v>308251</v>
      </c>
      <c r="OS323" t="n">
        <v>5033</v>
      </c>
      <c r="OV323" t="n">
        <v>19554</v>
      </c>
      <c r="PI323" t="n">
        <v>636540</v>
      </c>
      <c r="PM323">
        <f>IFERROR(VLOOKUP($A323&amp;"",Key!$A:$C,3,FALSE),"")</f>
        <v/>
      </c>
    </row>
    <row r="324">
      <c r="A324" t="n">
        <v>524200</v>
      </c>
      <c r="B324" t="inlineStr">
        <is>
          <t>Insurance agencies, brokerages, and related activities</t>
        </is>
      </c>
      <c r="C324" t="n">
        <v>72</v>
      </c>
      <c r="D324" t="n">
        <v>70</v>
      </c>
      <c r="E324" t="n">
        <v>50</v>
      </c>
      <c r="F324" t="n">
        <v>92</v>
      </c>
      <c r="G324" t="n">
        <v>32</v>
      </c>
      <c r="H324" t="n">
        <v>278</v>
      </c>
      <c r="I324" t="n">
        <v>46</v>
      </c>
      <c r="J324" t="n">
        <v>25</v>
      </c>
      <c r="K324" t="n">
        <v>79</v>
      </c>
      <c r="L324" t="n">
        <v>123</v>
      </c>
      <c r="M324" t="n">
        <v>5</v>
      </c>
      <c r="N324" t="n">
        <v>10</v>
      </c>
      <c r="O324" t="n">
        <v>57</v>
      </c>
      <c r="P324" t="n">
        <v>88</v>
      </c>
      <c r="Q324" t="n">
        <v>74</v>
      </c>
      <c r="R324" t="n">
        <v>71</v>
      </c>
      <c r="S324" t="n">
        <v>76</v>
      </c>
      <c r="T324" t="n">
        <v>31</v>
      </c>
      <c r="U324" t="n">
        <v>204</v>
      </c>
      <c r="V324" t="n">
        <v>45</v>
      </c>
      <c r="W324" t="n">
        <v>197</v>
      </c>
      <c r="X324" t="n">
        <v>1143</v>
      </c>
      <c r="Y324" t="n">
        <v>114</v>
      </c>
      <c r="Z324" t="n">
        <v>139</v>
      </c>
      <c r="AC324" t="n">
        <v>50</v>
      </c>
      <c r="AD324" t="n">
        <v>39</v>
      </c>
      <c r="AM324" t="n">
        <v>34</v>
      </c>
      <c r="AN324" t="n">
        <v>54</v>
      </c>
      <c r="AO324" t="n">
        <v>14</v>
      </c>
      <c r="AP324" t="n">
        <v>70</v>
      </c>
      <c r="AQ324" t="n">
        <v>135</v>
      </c>
      <c r="AR324" t="n">
        <v>180</v>
      </c>
      <c r="AS324" t="n">
        <v>41</v>
      </c>
      <c r="AT324" t="n">
        <v>52</v>
      </c>
      <c r="AU324" t="n">
        <v>12</v>
      </c>
      <c r="AV324" t="n">
        <v>43</v>
      </c>
      <c r="AW324" t="n">
        <v>28</v>
      </c>
      <c r="AX324" t="n">
        <v>30</v>
      </c>
      <c r="AY324" t="n">
        <v>34</v>
      </c>
      <c r="AZ324" t="n">
        <v>12</v>
      </c>
      <c r="BA324" t="n">
        <v>52</v>
      </c>
      <c r="BB324" t="n">
        <v>60</v>
      </c>
      <c r="BC324" t="n">
        <v>33</v>
      </c>
      <c r="BD324" t="n">
        <v>75</v>
      </c>
      <c r="BE324" t="n">
        <v>24</v>
      </c>
      <c r="BF324" t="n">
        <v>51</v>
      </c>
      <c r="BG324" t="n">
        <v>55</v>
      </c>
      <c r="BH324" t="n">
        <v>47</v>
      </c>
      <c r="BI324" t="n">
        <v>26</v>
      </c>
      <c r="BJ324" t="n">
        <v>33</v>
      </c>
      <c r="BK324" t="n">
        <v>32</v>
      </c>
      <c r="BL324" t="n">
        <v>121</v>
      </c>
      <c r="BM324" t="n">
        <v>34</v>
      </c>
      <c r="BN324" t="n">
        <v>39</v>
      </c>
      <c r="BO324" t="n">
        <v>24</v>
      </c>
      <c r="BP324" t="n">
        <v>34</v>
      </c>
      <c r="BQ324" t="n">
        <v>36</v>
      </c>
      <c r="BR324" t="n">
        <v>24</v>
      </c>
      <c r="BS324" t="n">
        <v>54</v>
      </c>
      <c r="BT324" t="n">
        <v>30</v>
      </c>
      <c r="BU324" t="n">
        <v>17</v>
      </c>
      <c r="BV324" t="n">
        <v>23</v>
      </c>
      <c r="BW324" t="n">
        <v>40</v>
      </c>
      <c r="BX324" t="n">
        <v>31</v>
      </c>
      <c r="BY324" t="n">
        <v>89</v>
      </c>
      <c r="BZ324" t="n">
        <v>30</v>
      </c>
      <c r="CA324" t="n">
        <v>20</v>
      </c>
      <c r="CB324" t="n">
        <v>45</v>
      </c>
      <c r="CC324" t="n">
        <v>16</v>
      </c>
      <c r="CD324" t="n">
        <v>25</v>
      </c>
      <c r="CE324" t="n">
        <v>138</v>
      </c>
      <c r="CF324" t="n">
        <v>23</v>
      </c>
      <c r="CG324" t="n">
        <v>36</v>
      </c>
      <c r="CH324" t="n">
        <v>63</v>
      </c>
      <c r="CI324" t="n">
        <v>58</v>
      </c>
      <c r="CJ324" t="n">
        <v>13</v>
      </c>
      <c r="CK324" t="n">
        <v>35</v>
      </c>
      <c r="CL324" t="n">
        <v>56</v>
      </c>
      <c r="CM324" t="n">
        <v>43</v>
      </c>
      <c r="CN324" t="n">
        <v>6</v>
      </c>
      <c r="CO324" t="n">
        <v>72</v>
      </c>
      <c r="CP324" t="n">
        <v>21</v>
      </c>
      <c r="CQ324" t="n">
        <v>26</v>
      </c>
      <c r="CR324" t="n">
        <v>44</v>
      </c>
      <c r="CS324" t="n">
        <v>40</v>
      </c>
      <c r="CT324" t="n">
        <v>38</v>
      </c>
      <c r="CU324" t="n">
        <v>57</v>
      </c>
      <c r="CV324" t="n">
        <v>75</v>
      </c>
      <c r="CW324" t="n">
        <v>64</v>
      </c>
      <c r="CX324" t="n">
        <v>34</v>
      </c>
      <c r="CY324" t="n">
        <v>24</v>
      </c>
      <c r="CZ324" t="n">
        <v>166</v>
      </c>
      <c r="DA324" t="n">
        <v>29</v>
      </c>
      <c r="DB324" t="n">
        <v>110</v>
      </c>
      <c r="DC324" t="n">
        <v>29</v>
      </c>
      <c r="DD324" t="n">
        <v>45</v>
      </c>
      <c r="DE324" t="n">
        <v>51</v>
      </c>
      <c r="DF324" t="n">
        <v>33</v>
      </c>
      <c r="DG324" t="n">
        <v>33</v>
      </c>
      <c r="DH324" t="n">
        <v>26</v>
      </c>
      <c r="DK324" t="n">
        <v>4</v>
      </c>
      <c r="DL324" t="n">
        <v>0</v>
      </c>
      <c r="DM324" t="n">
        <v>0</v>
      </c>
      <c r="DN324" t="n">
        <v>0</v>
      </c>
      <c r="DO324" t="n">
        <v>1</v>
      </c>
      <c r="DP324" t="n">
        <v>4</v>
      </c>
      <c r="DQ324" t="n">
        <v>48</v>
      </c>
      <c r="DR324" t="n">
        <v>59</v>
      </c>
      <c r="DS324" t="n">
        <v>3</v>
      </c>
      <c r="DU324" t="n">
        <v>7</v>
      </c>
      <c r="DV324" t="n">
        <v>13</v>
      </c>
      <c r="DW324" t="n">
        <v>4</v>
      </c>
      <c r="DX324" t="n">
        <v>20</v>
      </c>
      <c r="DY324" t="n">
        <v>25</v>
      </c>
      <c r="DZ324" t="n">
        <v>37</v>
      </c>
      <c r="EA324" t="n">
        <v>69</v>
      </c>
      <c r="EB324" t="n">
        <v>2</v>
      </c>
      <c r="EC324" t="n">
        <v>12</v>
      </c>
      <c r="ED324" t="n">
        <v>45</v>
      </c>
      <c r="EE324" t="n">
        <v>44</v>
      </c>
      <c r="EF324" t="n">
        <v>148</v>
      </c>
      <c r="EG324" t="n">
        <v>26</v>
      </c>
      <c r="EH324" t="n">
        <v>23</v>
      </c>
      <c r="EI324" t="n">
        <v>169</v>
      </c>
      <c r="EJ324" t="n">
        <v>24</v>
      </c>
      <c r="EK324" t="n">
        <v>36</v>
      </c>
      <c r="EL324" t="n">
        <v>8</v>
      </c>
      <c r="EM324" t="n">
        <v>28</v>
      </c>
      <c r="EN324" t="n">
        <v>54</v>
      </c>
      <c r="EO324" t="n">
        <v>13</v>
      </c>
      <c r="EP324" t="n">
        <v>29</v>
      </c>
      <c r="EQ324" t="n">
        <v>27</v>
      </c>
      <c r="ER324" t="n">
        <v>388</v>
      </c>
      <c r="ES324" t="n">
        <v>109</v>
      </c>
      <c r="ET324" t="n">
        <v>84</v>
      </c>
      <c r="EU324" t="n">
        <v>87</v>
      </c>
      <c r="EV324" t="n">
        <v>2</v>
      </c>
      <c r="EW324" t="n">
        <v>63</v>
      </c>
      <c r="EX324" t="n">
        <v>104</v>
      </c>
      <c r="EY324" t="n">
        <v>38</v>
      </c>
      <c r="EZ324" t="n">
        <v>127</v>
      </c>
      <c r="FA324" t="n">
        <v>186</v>
      </c>
      <c r="FB324" t="n">
        <v>74</v>
      </c>
      <c r="FC324" t="n">
        <v>88</v>
      </c>
      <c r="FD324" t="n">
        <v>115</v>
      </c>
      <c r="FE324" t="n">
        <v>22</v>
      </c>
      <c r="FF324" t="n">
        <v>52</v>
      </c>
      <c r="FG324" t="n">
        <v>117</v>
      </c>
      <c r="FI324" t="n">
        <v>0</v>
      </c>
      <c r="FJ324" t="n">
        <v>58</v>
      </c>
      <c r="FK324" t="n">
        <v>17</v>
      </c>
      <c r="FL324" t="n">
        <v>27</v>
      </c>
      <c r="FM324" t="n">
        <v>18</v>
      </c>
      <c r="FO324" t="n">
        <v>33</v>
      </c>
      <c r="FP324" t="n">
        <v>26</v>
      </c>
      <c r="FQ324" t="n">
        <v>66</v>
      </c>
      <c r="FR324" t="n">
        <v>30</v>
      </c>
      <c r="FS324" t="n">
        <v>48</v>
      </c>
      <c r="FT324" t="n">
        <v>46</v>
      </c>
      <c r="FU324" t="n">
        <v>28</v>
      </c>
      <c r="FV324" t="n">
        <v>147</v>
      </c>
      <c r="FW324" t="n">
        <v>57</v>
      </c>
      <c r="FX324" t="n">
        <v>28</v>
      </c>
      <c r="FY324" t="n">
        <v>32</v>
      </c>
      <c r="FZ324" t="n">
        <v>23</v>
      </c>
      <c r="GA324" t="n">
        <v>122</v>
      </c>
      <c r="GB324" t="n">
        <v>36</v>
      </c>
      <c r="GC324" t="n">
        <v>44</v>
      </c>
      <c r="GD324" t="n">
        <v>21</v>
      </c>
      <c r="GE324" t="n">
        <v>4</v>
      </c>
      <c r="GF324" t="n">
        <v>23</v>
      </c>
      <c r="GG324" t="n">
        <v>36</v>
      </c>
      <c r="GH324" t="n">
        <v>132</v>
      </c>
      <c r="GI324" t="n">
        <v>92</v>
      </c>
      <c r="GJ324" t="n">
        <v>51</v>
      </c>
      <c r="GK324" t="n">
        <v>53</v>
      </c>
      <c r="GL324" t="n">
        <v>18</v>
      </c>
      <c r="GM324" t="n">
        <v>24</v>
      </c>
      <c r="GO324" t="n">
        <v>25</v>
      </c>
      <c r="GP324" t="n">
        <v>465</v>
      </c>
      <c r="GQ324" t="n">
        <v>50</v>
      </c>
      <c r="GR324" t="n">
        <v>23</v>
      </c>
      <c r="GS324" t="n">
        <v>23</v>
      </c>
      <c r="GT324" t="n">
        <v>73</v>
      </c>
      <c r="GU324" t="n">
        <v>77</v>
      </c>
      <c r="GV324" t="n">
        <v>71</v>
      </c>
      <c r="GW324" t="n">
        <v>50</v>
      </c>
      <c r="GX324" t="n">
        <v>18</v>
      </c>
      <c r="GY324" t="n">
        <v>27</v>
      </c>
      <c r="GZ324" t="n">
        <v>95</v>
      </c>
      <c r="HA324" t="n">
        <v>91</v>
      </c>
      <c r="HB324" t="n">
        <v>201</v>
      </c>
      <c r="HC324" t="n">
        <v>33</v>
      </c>
      <c r="HD324" t="n">
        <v>139</v>
      </c>
      <c r="HE324" t="n">
        <v>81</v>
      </c>
      <c r="HF324" t="n">
        <v>58</v>
      </c>
      <c r="HG324" t="n">
        <v>41</v>
      </c>
      <c r="HH324" t="n">
        <v>265</v>
      </c>
      <c r="HI324" t="n">
        <v>254</v>
      </c>
      <c r="HJ324" t="n">
        <v>116</v>
      </c>
      <c r="HK324" t="n">
        <v>139</v>
      </c>
      <c r="HL324" t="n">
        <v>4</v>
      </c>
      <c r="HM324" t="n">
        <v>86</v>
      </c>
      <c r="HN324" t="n">
        <v>51</v>
      </c>
      <c r="HO324" t="n">
        <v>13</v>
      </c>
      <c r="HP324" t="n">
        <v>21</v>
      </c>
      <c r="HQ324" t="n">
        <v>52</v>
      </c>
      <c r="HR324" t="n">
        <v>31</v>
      </c>
      <c r="HS324" t="n">
        <v>14</v>
      </c>
      <c r="HT324" t="n">
        <v>44</v>
      </c>
      <c r="HU324" t="n">
        <v>19</v>
      </c>
      <c r="HV324" t="n">
        <v>53</v>
      </c>
      <c r="HW324" t="n">
        <v>36</v>
      </c>
      <c r="HX324" t="n">
        <v>58</v>
      </c>
      <c r="HY324" t="n">
        <v>31</v>
      </c>
      <c r="HZ324" t="n">
        <v>45</v>
      </c>
      <c r="IA324" t="n">
        <v>10</v>
      </c>
      <c r="IB324" t="n">
        <v>24</v>
      </c>
      <c r="IC324" t="n">
        <v>9</v>
      </c>
      <c r="ID324" t="n">
        <v>26</v>
      </c>
      <c r="IE324" t="n">
        <v>64</v>
      </c>
      <c r="IF324" t="n">
        <v>39</v>
      </c>
      <c r="IG324" t="n">
        <v>151</v>
      </c>
      <c r="II324" t="n">
        <v>115</v>
      </c>
      <c r="IJ324" t="n">
        <v>43</v>
      </c>
      <c r="IK324" t="n">
        <v>77</v>
      </c>
      <c r="IL324" t="n">
        <v>103</v>
      </c>
      <c r="IM324" t="n">
        <v>123</v>
      </c>
      <c r="IN324" t="n">
        <v>117</v>
      </c>
      <c r="IO324" t="n">
        <v>104</v>
      </c>
      <c r="IP324" t="n">
        <v>60</v>
      </c>
      <c r="IQ324" t="n">
        <v>59</v>
      </c>
      <c r="IR324" t="n">
        <v>130</v>
      </c>
      <c r="IS324" t="n">
        <v>79</v>
      </c>
      <c r="IT324" t="n">
        <v>79</v>
      </c>
      <c r="IU324" t="n">
        <v>56</v>
      </c>
      <c r="IV324" t="n">
        <v>67</v>
      </c>
      <c r="IW324" t="n">
        <v>98</v>
      </c>
      <c r="IX324" t="n">
        <v>159</v>
      </c>
      <c r="IY324" t="n">
        <v>47</v>
      </c>
      <c r="IZ324" t="n">
        <v>200</v>
      </c>
      <c r="JA324" t="n">
        <v>151</v>
      </c>
      <c r="JB324" t="n">
        <v>102</v>
      </c>
      <c r="JC324" t="n">
        <v>62</v>
      </c>
      <c r="JD324" t="n">
        <v>80</v>
      </c>
      <c r="JE324" t="n">
        <v>35</v>
      </c>
      <c r="JF324" t="n">
        <v>24</v>
      </c>
      <c r="JG324" t="n">
        <v>51</v>
      </c>
      <c r="JH324" t="n">
        <v>36</v>
      </c>
      <c r="JI324" t="n">
        <v>31</v>
      </c>
      <c r="JJ324" t="n">
        <v>57</v>
      </c>
      <c r="JK324" t="n">
        <v>122</v>
      </c>
      <c r="JL324" t="n">
        <v>200</v>
      </c>
      <c r="JM324" t="n">
        <v>258</v>
      </c>
      <c r="JN324" t="n">
        <v>209</v>
      </c>
      <c r="JO324" t="n">
        <v>661</v>
      </c>
      <c r="JP324" t="n">
        <v>300</v>
      </c>
      <c r="JQ324" t="n">
        <v>199</v>
      </c>
      <c r="JR324" t="n">
        <v>802</v>
      </c>
      <c r="JS324" t="n">
        <v>804</v>
      </c>
      <c r="JT324" t="n">
        <v>327</v>
      </c>
      <c r="JV324" t="n">
        <v>1137</v>
      </c>
      <c r="JW324" t="n">
        <v>484</v>
      </c>
      <c r="JX324" t="n">
        <v>403</v>
      </c>
      <c r="JY324" t="n">
        <v>575</v>
      </c>
      <c r="JZ324" t="n">
        <v>612</v>
      </c>
      <c r="KA324" t="n">
        <v>156</v>
      </c>
      <c r="KB324" t="n">
        <v>649</v>
      </c>
      <c r="KC324" t="n">
        <v>714</v>
      </c>
      <c r="KD324" t="n">
        <v>1407</v>
      </c>
      <c r="KE324" t="n">
        <v>68</v>
      </c>
      <c r="KF324" t="n">
        <v>30</v>
      </c>
      <c r="KG324" t="n">
        <v>94</v>
      </c>
      <c r="KH324" t="n">
        <v>39</v>
      </c>
      <c r="KI324" t="n">
        <v>4543</v>
      </c>
      <c r="KJ324" t="n">
        <v>26</v>
      </c>
      <c r="KK324" t="n">
        <v>1939</v>
      </c>
      <c r="KL324" t="n">
        <v>50</v>
      </c>
      <c r="KM324" t="n">
        <v>1045</v>
      </c>
      <c r="KN324" t="n">
        <v>20</v>
      </c>
      <c r="KO324" t="n">
        <v>13</v>
      </c>
      <c r="KP324" t="n">
        <v>60</v>
      </c>
      <c r="KQ324" t="n">
        <v>44</v>
      </c>
      <c r="KS324" t="n">
        <v>567</v>
      </c>
      <c r="KT324" t="n">
        <v>139</v>
      </c>
      <c r="KU324" t="n">
        <v>8</v>
      </c>
      <c r="KX324" t="n">
        <v>108</v>
      </c>
      <c r="KY324" t="n">
        <v>1264</v>
      </c>
      <c r="KZ324" t="n">
        <v>125</v>
      </c>
      <c r="LA324" t="n">
        <v>124</v>
      </c>
      <c r="LB324" t="n">
        <v>2</v>
      </c>
      <c r="LC324" t="n">
        <v>2616</v>
      </c>
      <c r="LD324" t="n">
        <v>119</v>
      </c>
      <c r="LE324" t="n">
        <v>2288</v>
      </c>
      <c r="LF324" t="n">
        <v>23</v>
      </c>
      <c r="LG324" t="n">
        <v>11342</v>
      </c>
      <c r="LH324" t="n">
        <v>146788</v>
      </c>
      <c r="LI324" t="n">
        <v>134293</v>
      </c>
      <c r="LJ324" t="n">
        <v>12700</v>
      </c>
      <c r="LL324" t="n">
        <v>5</v>
      </c>
      <c r="LM324" t="n">
        <v>436</v>
      </c>
      <c r="LN324" t="n">
        <v>110</v>
      </c>
      <c r="LO324" t="n">
        <v>286</v>
      </c>
      <c r="LP324" t="n">
        <v>466</v>
      </c>
      <c r="LQ324" t="n">
        <v>434</v>
      </c>
      <c r="LR324" t="n">
        <v>188</v>
      </c>
      <c r="LS324" t="n">
        <v>139</v>
      </c>
      <c r="LT324" t="n">
        <v>234</v>
      </c>
      <c r="LU324" t="n">
        <v>102</v>
      </c>
      <c r="LV324" t="n">
        <v>338</v>
      </c>
      <c r="LW324" t="n">
        <v>200</v>
      </c>
      <c r="LX324" t="n">
        <v>476</v>
      </c>
      <c r="LY324" t="n">
        <v>235</v>
      </c>
      <c r="LZ324" t="n">
        <v>280</v>
      </c>
      <c r="MA324" t="n">
        <v>119</v>
      </c>
      <c r="MB324" t="n">
        <v>340</v>
      </c>
      <c r="MC324" t="n">
        <v>199</v>
      </c>
      <c r="MD324" t="n">
        <v>18</v>
      </c>
      <c r="ME324" t="n">
        <v>140</v>
      </c>
      <c r="MF324" t="n">
        <v>193</v>
      </c>
      <c r="MG324" t="n">
        <v>52</v>
      </c>
      <c r="MH324" t="n">
        <v>298</v>
      </c>
      <c r="MI324" t="n">
        <v>67</v>
      </c>
      <c r="MJ324" t="n">
        <v>46</v>
      </c>
      <c r="MK324" t="n">
        <v>639</v>
      </c>
      <c r="ML324" t="n">
        <v>69</v>
      </c>
      <c r="MM324" t="n">
        <v>207</v>
      </c>
      <c r="MN324" t="n">
        <v>270</v>
      </c>
      <c r="MO324" t="n">
        <v>141</v>
      </c>
      <c r="MP324" t="n">
        <v>42</v>
      </c>
      <c r="MQ324" t="n">
        <v>57</v>
      </c>
      <c r="MR324" t="n">
        <v>1542</v>
      </c>
      <c r="MS324" t="n">
        <v>67</v>
      </c>
      <c r="MT324" t="n">
        <v>39</v>
      </c>
      <c r="MU324" t="n">
        <v>137</v>
      </c>
      <c r="MV324" t="n">
        <v>118</v>
      </c>
      <c r="MW324" t="n">
        <v>42</v>
      </c>
      <c r="MX324" t="n">
        <v>77</v>
      </c>
      <c r="MY324" t="n">
        <v>258</v>
      </c>
      <c r="MZ324" t="n">
        <v>57</v>
      </c>
      <c r="NA324" t="n">
        <v>68</v>
      </c>
      <c r="NB324" t="n">
        <v>44</v>
      </c>
      <c r="NC324" t="n">
        <v>350</v>
      </c>
      <c r="ND324" t="n">
        <v>57</v>
      </c>
      <c r="NE324" t="n">
        <v>357</v>
      </c>
      <c r="NF324" t="n">
        <v>85</v>
      </c>
      <c r="NG324" t="n">
        <v>88</v>
      </c>
      <c r="NH324" t="n">
        <v>36</v>
      </c>
      <c r="NI324" t="n">
        <v>259</v>
      </c>
      <c r="NJ324" t="n">
        <v>137</v>
      </c>
      <c r="NK324" t="n">
        <v>31</v>
      </c>
      <c r="NL324" t="n">
        <v>147</v>
      </c>
      <c r="NM324" t="n">
        <v>113</v>
      </c>
      <c r="NN324" t="n">
        <v>170</v>
      </c>
      <c r="NO324" t="n">
        <v>77</v>
      </c>
      <c r="NP324" t="n">
        <v>118</v>
      </c>
      <c r="NQ324" t="n">
        <v>9</v>
      </c>
      <c r="NR324" t="n">
        <v>58</v>
      </c>
      <c r="NS324" t="n">
        <v>30</v>
      </c>
      <c r="NT324" t="n">
        <v>59</v>
      </c>
      <c r="NV324" t="n">
        <v>168</v>
      </c>
      <c r="NW324" t="n">
        <v>0</v>
      </c>
      <c r="NX324" t="n">
        <v>92</v>
      </c>
      <c r="NY324" t="n">
        <v>146</v>
      </c>
      <c r="NZ324" t="n">
        <v>29</v>
      </c>
      <c r="OA324" t="n">
        <v>66</v>
      </c>
      <c r="OB324" t="n">
        <v>196</v>
      </c>
      <c r="OG324" t="n">
        <v>0</v>
      </c>
      <c r="OH324" t="n">
        <v>3337</v>
      </c>
      <c r="OI324" t="n">
        <v>0</v>
      </c>
      <c r="OJ324" t="n">
        <v>181</v>
      </c>
      <c r="ON324" t="n">
        <v>7763</v>
      </c>
      <c r="OO324" t="n">
        <v>370207</v>
      </c>
      <c r="PI324" t="n">
        <v>370207</v>
      </c>
      <c r="PM324">
        <f>IFERROR(VLOOKUP($A324&amp;"",Key!$A:$C,3,FALSE),"")</f>
        <v/>
      </c>
    </row>
    <row r="325">
      <c r="A325" t="n">
        <v>525000</v>
      </c>
      <c r="B325" t="inlineStr">
        <is>
          <t>Funds, trusts, and other financial vehicles</t>
        </is>
      </c>
      <c r="LG325" t="n">
        <v>685</v>
      </c>
      <c r="LI325" t="n">
        <v>4074</v>
      </c>
      <c r="LJ325" t="n">
        <v>10344</v>
      </c>
      <c r="MF325" t="n">
        <v>94</v>
      </c>
      <c r="OE325" t="n">
        <v>99</v>
      </c>
      <c r="OK325" t="n">
        <v>672</v>
      </c>
      <c r="OO325" t="n">
        <v>15967</v>
      </c>
      <c r="OP325" t="n">
        <v>170526</v>
      </c>
      <c r="PI325" t="n">
        <v>186494</v>
      </c>
      <c r="PM325">
        <f>IFERROR(VLOOKUP($A325&amp;"",Key!$A:$C,3,FALSE),"")</f>
        <v/>
      </c>
    </row>
    <row r="326">
      <c r="A326" t="inlineStr">
        <is>
          <t>531HSO</t>
        </is>
      </c>
      <c r="B326" t="inlineStr">
        <is>
          <t>Owner-occupied housing</t>
        </is>
      </c>
      <c r="OP326" t="n">
        <v>1553178</v>
      </c>
      <c r="PI326" t="n">
        <v>1553178</v>
      </c>
      <c r="PM326">
        <f>IFERROR(VLOOKUP($A326&amp;"",Key!$A:$C,3,FALSE),"")</f>
        <v/>
      </c>
    </row>
    <row r="327">
      <c r="A327" t="inlineStr">
        <is>
          <t>531HST</t>
        </is>
      </c>
      <c r="B327" t="inlineStr">
        <is>
          <t>Tenant-occupied housing</t>
        </is>
      </c>
      <c r="OP327" t="n">
        <v>467675</v>
      </c>
      <c r="PI327" t="n">
        <v>467675</v>
      </c>
      <c r="PM327">
        <f>IFERROR(VLOOKUP($A327&amp;"",Key!$A:$C,3,FALSE),"")</f>
        <v/>
      </c>
    </row>
    <row r="328">
      <c r="A328" t="inlineStr">
        <is>
          <t>531ORE</t>
        </is>
      </c>
      <c r="B328" t="inlineStr">
        <is>
          <t>Other real estate</t>
        </is>
      </c>
      <c r="C328" t="n">
        <v>543</v>
      </c>
      <c r="D328" t="n">
        <v>2115</v>
      </c>
      <c r="E328" t="n">
        <v>211</v>
      </c>
      <c r="F328" t="n">
        <v>131</v>
      </c>
      <c r="G328" t="n">
        <v>89</v>
      </c>
      <c r="H328" t="n">
        <v>581</v>
      </c>
      <c r="I328" t="n">
        <v>728</v>
      </c>
      <c r="J328" t="n">
        <v>472</v>
      </c>
      <c r="K328" t="n">
        <v>38</v>
      </c>
      <c r="L328" t="n">
        <v>119</v>
      </c>
      <c r="M328" t="n">
        <v>13</v>
      </c>
      <c r="N328" t="n">
        <v>4</v>
      </c>
      <c r="O328" t="n">
        <v>3</v>
      </c>
      <c r="P328" t="n">
        <v>965</v>
      </c>
      <c r="Q328" t="n">
        <v>11</v>
      </c>
      <c r="R328" t="n">
        <v>1</v>
      </c>
      <c r="S328" t="n">
        <v>19</v>
      </c>
      <c r="T328" t="n">
        <v>54</v>
      </c>
      <c r="U328" t="n">
        <v>75</v>
      </c>
      <c r="V328" t="n">
        <v>189</v>
      </c>
      <c r="W328" t="n">
        <v>557</v>
      </c>
      <c r="X328" t="n">
        <v>5832</v>
      </c>
      <c r="Y328" t="n">
        <v>1430</v>
      </c>
      <c r="Z328" t="n">
        <v>221</v>
      </c>
      <c r="AA328" t="n">
        <v>223</v>
      </c>
      <c r="AB328" t="n">
        <v>552</v>
      </c>
      <c r="AC328" t="n">
        <v>1828</v>
      </c>
      <c r="AD328" t="n">
        <v>999</v>
      </c>
      <c r="AE328" t="n">
        <v>1305</v>
      </c>
      <c r="AF328" t="n">
        <v>499</v>
      </c>
      <c r="AG328" t="n">
        <v>4085</v>
      </c>
      <c r="AH328" t="n">
        <v>407</v>
      </c>
      <c r="AI328" t="n">
        <v>731</v>
      </c>
      <c r="AJ328" t="n">
        <v>444</v>
      </c>
      <c r="AK328" t="n">
        <v>1400</v>
      </c>
      <c r="AL328" t="n">
        <v>808</v>
      </c>
      <c r="AM328" t="n">
        <v>58</v>
      </c>
      <c r="AN328" t="n">
        <v>88</v>
      </c>
      <c r="AO328" t="n">
        <v>191</v>
      </c>
      <c r="AP328" t="n">
        <v>255</v>
      </c>
      <c r="AQ328" t="n">
        <v>69</v>
      </c>
      <c r="AR328" t="n">
        <v>298</v>
      </c>
      <c r="AS328" t="n">
        <v>22</v>
      </c>
      <c r="AT328" t="n">
        <v>179</v>
      </c>
      <c r="AU328" t="n">
        <v>52</v>
      </c>
      <c r="AV328" t="n">
        <v>126</v>
      </c>
      <c r="AW328" t="n">
        <v>13</v>
      </c>
      <c r="AX328" t="n">
        <v>20</v>
      </c>
      <c r="AY328" t="n">
        <v>90</v>
      </c>
      <c r="AZ328" t="n">
        <v>15</v>
      </c>
      <c r="BA328" t="n">
        <v>31</v>
      </c>
      <c r="BB328" t="n">
        <v>40</v>
      </c>
      <c r="BC328" t="n">
        <v>44</v>
      </c>
      <c r="BD328" t="n">
        <v>101</v>
      </c>
      <c r="BE328" t="n">
        <v>10</v>
      </c>
      <c r="BF328" t="n">
        <v>13</v>
      </c>
      <c r="BG328" t="n">
        <v>56</v>
      </c>
      <c r="BH328" t="n">
        <v>18</v>
      </c>
      <c r="BI328" t="n">
        <v>29</v>
      </c>
      <c r="BJ328" t="n">
        <v>36</v>
      </c>
      <c r="BK328" t="n">
        <v>46</v>
      </c>
      <c r="BL328" t="n">
        <v>83</v>
      </c>
      <c r="BM328" t="n">
        <v>64</v>
      </c>
      <c r="BN328" t="n">
        <v>77</v>
      </c>
      <c r="BO328" t="n">
        <v>169</v>
      </c>
      <c r="BP328" t="n">
        <v>93</v>
      </c>
      <c r="BQ328" t="n">
        <v>582</v>
      </c>
      <c r="BR328" t="n">
        <v>669</v>
      </c>
      <c r="BS328" t="n">
        <v>50</v>
      </c>
      <c r="BT328" t="n">
        <v>76</v>
      </c>
      <c r="BU328" t="n">
        <v>68</v>
      </c>
      <c r="BV328" t="n">
        <v>67</v>
      </c>
      <c r="BW328" t="n">
        <v>124</v>
      </c>
      <c r="BX328" t="n">
        <v>836</v>
      </c>
      <c r="BY328" t="n">
        <v>562</v>
      </c>
      <c r="BZ328" t="n">
        <v>426</v>
      </c>
      <c r="CA328" t="n">
        <v>42</v>
      </c>
      <c r="CB328" t="n">
        <v>145</v>
      </c>
      <c r="CC328" t="n">
        <v>20</v>
      </c>
      <c r="CD328" t="n">
        <v>73</v>
      </c>
      <c r="CE328" t="n">
        <v>73</v>
      </c>
      <c r="CF328" t="n">
        <v>212</v>
      </c>
      <c r="CG328" t="n">
        <v>49</v>
      </c>
      <c r="CH328" t="n">
        <v>9</v>
      </c>
      <c r="CI328" t="n">
        <v>36</v>
      </c>
      <c r="CJ328" t="n">
        <v>63</v>
      </c>
      <c r="CK328" t="n">
        <v>70</v>
      </c>
      <c r="CL328" t="n">
        <v>259</v>
      </c>
      <c r="CM328" t="n">
        <v>31</v>
      </c>
      <c r="CN328" t="n">
        <v>36</v>
      </c>
      <c r="CO328" t="n">
        <v>85</v>
      </c>
      <c r="CP328" t="n">
        <v>53</v>
      </c>
      <c r="CQ328" t="n">
        <v>156</v>
      </c>
      <c r="CR328" t="n">
        <v>59</v>
      </c>
      <c r="CS328" t="n">
        <v>118</v>
      </c>
      <c r="CT328" t="n">
        <v>100</v>
      </c>
      <c r="CU328" t="n">
        <v>78</v>
      </c>
      <c r="CV328" t="n">
        <v>111</v>
      </c>
      <c r="CW328" t="n">
        <v>92</v>
      </c>
      <c r="CX328" t="n">
        <v>17</v>
      </c>
      <c r="CY328" t="n">
        <v>24</v>
      </c>
      <c r="CZ328" t="n">
        <v>49</v>
      </c>
      <c r="DA328" t="n">
        <v>56</v>
      </c>
      <c r="DB328" t="n">
        <v>114</v>
      </c>
      <c r="DC328" t="n">
        <v>142</v>
      </c>
      <c r="DD328" t="n">
        <v>4</v>
      </c>
      <c r="DE328" t="n">
        <v>59</v>
      </c>
      <c r="DF328" t="n">
        <v>27</v>
      </c>
      <c r="DG328" t="n">
        <v>181</v>
      </c>
      <c r="DH328" t="n">
        <v>47</v>
      </c>
      <c r="DI328" t="n">
        <v>1255</v>
      </c>
      <c r="DJ328" t="n">
        <v>74</v>
      </c>
      <c r="DK328" t="n">
        <v>132</v>
      </c>
      <c r="DL328" t="n">
        <v>158</v>
      </c>
      <c r="DM328" t="n">
        <v>251</v>
      </c>
      <c r="DN328" t="n">
        <v>72</v>
      </c>
      <c r="DO328" t="n">
        <v>781</v>
      </c>
      <c r="DP328" t="n">
        <v>104</v>
      </c>
      <c r="DQ328" t="n">
        <v>269</v>
      </c>
      <c r="DR328" t="n">
        <v>82</v>
      </c>
      <c r="DS328" t="n">
        <v>170</v>
      </c>
      <c r="DT328" t="n">
        <v>16</v>
      </c>
      <c r="DU328" t="n">
        <v>62</v>
      </c>
      <c r="DV328" t="n">
        <v>44</v>
      </c>
      <c r="DW328" t="n">
        <v>77</v>
      </c>
      <c r="DX328" t="n">
        <v>38</v>
      </c>
      <c r="DY328" t="n">
        <v>16</v>
      </c>
      <c r="DZ328" t="n">
        <v>74</v>
      </c>
      <c r="EA328" t="n">
        <v>13</v>
      </c>
      <c r="EB328" t="n">
        <v>4</v>
      </c>
      <c r="EC328" t="n">
        <v>3</v>
      </c>
      <c r="ED328" t="n">
        <v>168</v>
      </c>
      <c r="EE328" t="n">
        <v>16</v>
      </c>
      <c r="EF328" t="n">
        <v>48</v>
      </c>
      <c r="EG328" t="n">
        <v>18</v>
      </c>
      <c r="EH328" t="n">
        <v>35</v>
      </c>
      <c r="EI328" t="n">
        <v>61</v>
      </c>
      <c r="EJ328" t="n">
        <v>50</v>
      </c>
      <c r="EK328" t="n">
        <v>66</v>
      </c>
      <c r="EL328" t="n">
        <v>4</v>
      </c>
      <c r="EM328" t="n">
        <v>32</v>
      </c>
      <c r="EN328" t="n">
        <v>18</v>
      </c>
      <c r="EO328" t="n">
        <v>4</v>
      </c>
      <c r="EP328" t="n">
        <v>115</v>
      </c>
      <c r="EQ328" t="n">
        <v>152</v>
      </c>
      <c r="ER328" t="n">
        <v>82</v>
      </c>
      <c r="ES328" t="n">
        <v>29</v>
      </c>
      <c r="ET328" t="n">
        <v>88</v>
      </c>
      <c r="EU328" t="n">
        <v>30</v>
      </c>
      <c r="EV328" t="n">
        <v>10</v>
      </c>
      <c r="EW328" t="n">
        <v>31</v>
      </c>
      <c r="EX328" t="n">
        <v>256</v>
      </c>
      <c r="EY328" t="n">
        <v>208</v>
      </c>
      <c r="EZ328" t="n">
        <v>87</v>
      </c>
      <c r="FA328" t="n">
        <v>73</v>
      </c>
      <c r="FB328" t="n">
        <v>102</v>
      </c>
      <c r="FC328" t="n">
        <v>511</v>
      </c>
      <c r="FD328" t="n">
        <v>79</v>
      </c>
      <c r="FE328" t="n">
        <v>506</v>
      </c>
      <c r="FF328" t="n">
        <v>207</v>
      </c>
      <c r="FG328" t="n">
        <v>205</v>
      </c>
      <c r="FH328" t="n">
        <v>176</v>
      </c>
      <c r="FI328" t="n">
        <v>106</v>
      </c>
      <c r="FJ328" t="n">
        <v>47</v>
      </c>
      <c r="FK328" t="n">
        <v>163</v>
      </c>
      <c r="FL328" t="n">
        <v>80</v>
      </c>
      <c r="FM328" t="n">
        <v>23</v>
      </c>
      <c r="FN328" t="n">
        <v>73</v>
      </c>
      <c r="FO328" t="n">
        <v>26</v>
      </c>
      <c r="FP328" t="n">
        <v>222</v>
      </c>
      <c r="FQ328" t="n">
        <v>147</v>
      </c>
      <c r="FR328" t="n">
        <v>68</v>
      </c>
      <c r="FS328" t="n">
        <v>88</v>
      </c>
      <c r="FT328" t="n">
        <v>68</v>
      </c>
      <c r="FU328" t="n">
        <v>104</v>
      </c>
      <c r="FV328" t="n">
        <v>293</v>
      </c>
      <c r="FW328" t="n">
        <v>103</v>
      </c>
      <c r="FX328" t="n">
        <v>240</v>
      </c>
      <c r="FY328" t="n">
        <v>175</v>
      </c>
      <c r="FZ328" t="n">
        <v>28</v>
      </c>
      <c r="GA328" t="n">
        <v>35</v>
      </c>
      <c r="GB328" t="n">
        <v>44</v>
      </c>
      <c r="GC328" t="n">
        <v>142</v>
      </c>
      <c r="GD328" t="n">
        <v>160</v>
      </c>
      <c r="GE328" t="n">
        <v>16</v>
      </c>
      <c r="GF328" t="n">
        <v>29</v>
      </c>
      <c r="GG328" t="n">
        <v>363</v>
      </c>
      <c r="GH328" t="n">
        <v>277</v>
      </c>
      <c r="GI328" t="n">
        <v>49</v>
      </c>
      <c r="GJ328" t="n">
        <v>62</v>
      </c>
      <c r="GK328" t="n">
        <v>41</v>
      </c>
      <c r="GL328" t="n">
        <v>23</v>
      </c>
      <c r="GM328" t="n">
        <v>8</v>
      </c>
      <c r="GN328" t="n">
        <v>5</v>
      </c>
      <c r="GO328" t="n">
        <v>5</v>
      </c>
      <c r="GP328" t="n">
        <v>437</v>
      </c>
      <c r="GQ328" t="n">
        <v>143</v>
      </c>
      <c r="GR328" t="n">
        <v>155</v>
      </c>
      <c r="GS328" t="n">
        <v>73</v>
      </c>
      <c r="GT328" t="n">
        <v>51</v>
      </c>
      <c r="GU328" t="n">
        <v>76</v>
      </c>
      <c r="GV328" t="n">
        <v>31</v>
      </c>
      <c r="GW328" t="n">
        <v>41</v>
      </c>
      <c r="GX328" t="n">
        <v>160</v>
      </c>
      <c r="GY328" t="n">
        <v>53</v>
      </c>
      <c r="GZ328" t="n">
        <v>651</v>
      </c>
      <c r="HA328" t="n">
        <v>379</v>
      </c>
      <c r="HB328" t="n">
        <v>184</v>
      </c>
      <c r="HC328" t="n">
        <v>86</v>
      </c>
      <c r="HD328" t="n">
        <v>55</v>
      </c>
      <c r="HE328" t="n">
        <v>145</v>
      </c>
      <c r="HF328" t="n">
        <v>188</v>
      </c>
      <c r="HG328" t="n">
        <v>313</v>
      </c>
      <c r="HH328" t="n">
        <v>353</v>
      </c>
      <c r="HI328" t="n">
        <v>228</v>
      </c>
      <c r="HJ328" t="n">
        <v>105</v>
      </c>
      <c r="HK328" t="n">
        <v>129</v>
      </c>
      <c r="HL328" t="n">
        <v>18</v>
      </c>
      <c r="HM328" t="n">
        <v>70</v>
      </c>
      <c r="HN328" t="n">
        <v>73</v>
      </c>
      <c r="HO328" t="n">
        <v>49</v>
      </c>
      <c r="HP328" t="n">
        <v>85</v>
      </c>
      <c r="HQ328" t="n">
        <v>150</v>
      </c>
      <c r="HR328" t="n">
        <v>102</v>
      </c>
      <c r="HS328" t="n">
        <v>22</v>
      </c>
      <c r="HT328" t="n">
        <v>2</v>
      </c>
      <c r="HU328" t="n">
        <v>74</v>
      </c>
      <c r="HV328" t="n">
        <v>50</v>
      </c>
      <c r="HW328" t="n">
        <v>944</v>
      </c>
      <c r="HX328" t="n">
        <v>201</v>
      </c>
      <c r="HY328" t="n">
        <v>66</v>
      </c>
      <c r="HZ328" t="n">
        <v>75</v>
      </c>
      <c r="IA328" t="n">
        <v>83</v>
      </c>
      <c r="IB328" t="n">
        <v>1645</v>
      </c>
      <c r="IC328" t="n">
        <v>98</v>
      </c>
      <c r="ID328" t="n">
        <v>8</v>
      </c>
      <c r="IE328" t="n">
        <v>89</v>
      </c>
      <c r="IF328" t="n">
        <v>29</v>
      </c>
      <c r="IG328" t="n">
        <v>15</v>
      </c>
      <c r="IH328" t="n">
        <v>22</v>
      </c>
      <c r="II328" t="n">
        <v>14</v>
      </c>
      <c r="IJ328" t="n">
        <v>29</v>
      </c>
      <c r="IK328" t="n">
        <v>157</v>
      </c>
      <c r="IL328" t="n">
        <v>143</v>
      </c>
      <c r="IM328" t="n">
        <v>97</v>
      </c>
      <c r="IN328" t="n">
        <v>27</v>
      </c>
      <c r="IO328" t="n">
        <v>240</v>
      </c>
      <c r="IP328" t="n">
        <v>1856</v>
      </c>
      <c r="IQ328" t="n">
        <v>203</v>
      </c>
      <c r="IR328" t="n">
        <v>274</v>
      </c>
      <c r="IS328" t="n">
        <v>59</v>
      </c>
      <c r="IT328" t="n">
        <v>22</v>
      </c>
      <c r="IU328" t="n">
        <v>43</v>
      </c>
      <c r="IV328" t="n">
        <v>65</v>
      </c>
      <c r="IW328" t="n">
        <v>205</v>
      </c>
      <c r="IX328" t="n">
        <v>319</v>
      </c>
      <c r="IY328" t="n">
        <v>19</v>
      </c>
      <c r="IZ328" t="n">
        <v>173</v>
      </c>
      <c r="JA328" t="n">
        <v>243</v>
      </c>
      <c r="JB328" t="n">
        <v>139</v>
      </c>
      <c r="JC328" t="n">
        <v>40</v>
      </c>
      <c r="JD328" t="n">
        <v>120</v>
      </c>
      <c r="JE328" t="n">
        <v>115</v>
      </c>
      <c r="JF328" t="n">
        <v>229</v>
      </c>
      <c r="JG328" t="n">
        <v>1271</v>
      </c>
      <c r="JH328" t="n">
        <v>37</v>
      </c>
      <c r="JI328" t="n">
        <v>29</v>
      </c>
      <c r="JJ328" t="n">
        <v>135</v>
      </c>
      <c r="JK328" t="n">
        <v>7238</v>
      </c>
      <c r="JL328" t="n">
        <v>5325</v>
      </c>
      <c r="JM328" t="n">
        <v>9458</v>
      </c>
      <c r="JN328" t="n">
        <v>8234</v>
      </c>
      <c r="JO328" t="n">
        <v>14646</v>
      </c>
      <c r="JP328" t="n">
        <v>5306</v>
      </c>
      <c r="JQ328" t="n">
        <v>5960</v>
      </c>
      <c r="JR328" t="n">
        <v>1559</v>
      </c>
      <c r="JS328" t="n">
        <v>14194</v>
      </c>
      <c r="JT328" t="n">
        <v>2411</v>
      </c>
      <c r="JV328" t="n">
        <v>17886</v>
      </c>
      <c r="JW328" t="n">
        <v>21785</v>
      </c>
      <c r="JX328" t="n">
        <v>15886</v>
      </c>
      <c r="JY328" t="n">
        <v>8192</v>
      </c>
      <c r="JZ328" t="n">
        <v>15696</v>
      </c>
      <c r="KA328" t="n">
        <v>8785</v>
      </c>
      <c r="KB328" t="n">
        <v>24772</v>
      </c>
      <c r="KC328" t="n">
        <v>10992</v>
      </c>
      <c r="KD328" t="n">
        <v>24974</v>
      </c>
      <c r="KE328" t="n">
        <v>222</v>
      </c>
      <c r="KF328" t="n">
        <v>150</v>
      </c>
      <c r="KG328" t="n">
        <v>784</v>
      </c>
      <c r="KH328" t="n">
        <v>6001</v>
      </c>
      <c r="KI328" t="n">
        <v>1932</v>
      </c>
      <c r="KJ328" t="n">
        <v>162</v>
      </c>
      <c r="KK328" t="n">
        <v>4906</v>
      </c>
      <c r="KL328" t="n">
        <v>1856</v>
      </c>
      <c r="KM328" t="n">
        <v>8687</v>
      </c>
      <c r="KN328" t="n">
        <v>221</v>
      </c>
      <c r="KO328" t="n">
        <v>552</v>
      </c>
      <c r="KP328" t="n">
        <v>993</v>
      </c>
      <c r="KQ328" t="n">
        <v>213</v>
      </c>
      <c r="KR328" t="n">
        <v>4964</v>
      </c>
      <c r="KS328" t="n">
        <v>3297</v>
      </c>
      <c r="KT328" t="n">
        <v>243</v>
      </c>
      <c r="KU328" t="n">
        <v>666</v>
      </c>
      <c r="KV328" t="n">
        <v>845</v>
      </c>
      <c r="KW328" t="n">
        <v>3690</v>
      </c>
      <c r="KX328" t="n">
        <v>13221</v>
      </c>
      <c r="KY328" t="n">
        <v>2646</v>
      </c>
      <c r="KZ328" t="n">
        <v>5450</v>
      </c>
      <c r="LA328" t="n">
        <v>3195</v>
      </c>
      <c r="LB328" t="n">
        <v>97</v>
      </c>
      <c r="LC328" t="n">
        <v>7817</v>
      </c>
      <c r="LD328" t="n">
        <v>19112</v>
      </c>
      <c r="LE328" t="n">
        <v>16823</v>
      </c>
      <c r="LF328" t="n">
        <v>5139</v>
      </c>
      <c r="LG328" t="n">
        <v>1011</v>
      </c>
      <c r="LH328" t="n">
        <v>14943</v>
      </c>
      <c r="LI328" t="n">
        <v>4586</v>
      </c>
      <c r="LJ328" t="n">
        <v>692</v>
      </c>
      <c r="LK328" t="n">
        <v>10984</v>
      </c>
      <c r="LL328" t="n">
        <v>97</v>
      </c>
      <c r="LM328" t="n">
        <v>171613</v>
      </c>
      <c r="LN328" t="n">
        <v>3529</v>
      </c>
      <c r="LO328" t="n">
        <v>1853</v>
      </c>
      <c r="LP328" t="n">
        <v>1553</v>
      </c>
      <c r="LQ328" t="n">
        <v>1768</v>
      </c>
      <c r="LR328" t="n">
        <v>22404</v>
      </c>
      <c r="LS328" t="n">
        <v>3290</v>
      </c>
      <c r="LT328" t="n">
        <v>4180</v>
      </c>
      <c r="LU328" t="n">
        <v>990</v>
      </c>
      <c r="LV328" t="n">
        <v>7294</v>
      </c>
      <c r="LW328" t="n">
        <v>10207</v>
      </c>
      <c r="LX328" t="n">
        <v>8799</v>
      </c>
      <c r="LY328" t="n">
        <v>1428</v>
      </c>
      <c r="LZ328" t="n">
        <v>14487</v>
      </c>
      <c r="MA328" t="n">
        <v>4842</v>
      </c>
      <c r="MB328" t="n">
        <v>1173</v>
      </c>
      <c r="MC328" t="n">
        <v>1040</v>
      </c>
      <c r="MD328" t="n">
        <v>1038</v>
      </c>
      <c r="ME328" t="n">
        <v>4073</v>
      </c>
      <c r="MF328" t="n">
        <v>32165</v>
      </c>
      <c r="MG328" t="n">
        <v>10537</v>
      </c>
      <c r="MH328" t="n">
        <v>7619</v>
      </c>
      <c r="MI328" t="n">
        <v>2455</v>
      </c>
      <c r="MJ328" t="n">
        <v>779</v>
      </c>
      <c r="MK328" t="n">
        <v>3584</v>
      </c>
      <c r="ML328" t="n">
        <v>2013</v>
      </c>
      <c r="MM328" t="n">
        <v>1739</v>
      </c>
      <c r="MN328" t="n">
        <v>1685</v>
      </c>
      <c r="MO328" t="n">
        <v>2510</v>
      </c>
      <c r="MP328" t="n">
        <v>2556</v>
      </c>
      <c r="MQ328" t="n">
        <v>26009</v>
      </c>
      <c r="MR328" t="n">
        <v>3522</v>
      </c>
      <c r="MS328" t="n">
        <v>23279</v>
      </c>
      <c r="MT328" t="n">
        <v>5644</v>
      </c>
      <c r="MU328" t="n">
        <v>7180</v>
      </c>
      <c r="MV328" t="n">
        <v>7980</v>
      </c>
      <c r="MW328" t="n">
        <v>932</v>
      </c>
      <c r="MX328" t="n">
        <v>3959</v>
      </c>
      <c r="MY328" t="n">
        <v>1319</v>
      </c>
      <c r="MZ328" t="n">
        <v>62547</v>
      </c>
      <c r="NA328" t="n">
        <v>20839</v>
      </c>
      <c r="NB328" t="n">
        <v>6391</v>
      </c>
      <c r="NC328" t="n">
        <v>6707</v>
      </c>
      <c r="ND328" t="n">
        <v>9214</v>
      </c>
      <c r="NE328" t="n">
        <v>2945</v>
      </c>
      <c r="NF328" t="n">
        <v>3064</v>
      </c>
      <c r="NG328" t="n">
        <v>487</v>
      </c>
      <c r="NH328" t="n">
        <v>818</v>
      </c>
      <c r="NI328" t="n">
        <v>4571</v>
      </c>
      <c r="NJ328" t="n">
        <v>2594</v>
      </c>
      <c r="NK328" t="n">
        <v>782</v>
      </c>
      <c r="NL328" t="n">
        <v>578</v>
      </c>
      <c r="NM328" t="n">
        <v>15057</v>
      </c>
      <c r="NN328" t="n">
        <v>2388</v>
      </c>
      <c r="NO328" t="n">
        <v>18485</v>
      </c>
      <c r="NP328" t="n">
        <v>26683</v>
      </c>
      <c r="NQ328" t="n">
        <v>3719</v>
      </c>
      <c r="NR328" t="n">
        <v>5217</v>
      </c>
      <c r="NS328" t="n">
        <v>529</v>
      </c>
      <c r="NT328" t="n">
        <v>1045</v>
      </c>
      <c r="NU328" t="n">
        <v>1300</v>
      </c>
      <c r="NV328" t="n">
        <v>11045</v>
      </c>
      <c r="NW328" t="n">
        <v>430</v>
      </c>
      <c r="NX328" t="n">
        <v>1559</v>
      </c>
      <c r="NY328" t="n">
        <v>10480</v>
      </c>
      <c r="NZ328" t="n">
        <v>16067</v>
      </c>
      <c r="OA328" t="n">
        <v>1507</v>
      </c>
      <c r="OB328" t="n">
        <v>2140</v>
      </c>
      <c r="OD328" t="n">
        <v>224</v>
      </c>
      <c r="OE328" t="n">
        <v>9970</v>
      </c>
      <c r="OF328" t="n">
        <v>417</v>
      </c>
      <c r="OG328" t="n">
        <v>6</v>
      </c>
      <c r="OH328" t="n">
        <v>70</v>
      </c>
      <c r="OI328" t="n">
        <v>13177</v>
      </c>
      <c r="OJ328" t="n">
        <v>1035</v>
      </c>
      <c r="OK328" t="n">
        <v>8839</v>
      </c>
      <c r="OL328" t="n">
        <v>55</v>
      </c>
      <c r="OM328" t="n">
        <v>701</v>
      </c>
      <c r="ON328" t="n">
        <v>1857</v>
      </c>
      <c r="OO328" t="n">
        <v>1119061</v>
      </c>
      <c r="OP328" t="n">
        <v>5861</v>
      </c>
      <c r="OS328" t="n">
        <v>129878</v>
      </c>
      <c r="OT328" t="n">
        <v>33104</v>
      </c>
      <c r="OV328" t="n">
        <v>3274</v>
      </c>
      <c r="PI328" t="n">
        <v>1291178</v>
      </c>
      <c r="PM328">
        <f>IFERROR(VLOOKUP($A328&amp;"",Key!$A:$C,3,FALSE),"")</f>
        <v/>
      </c>
    </row>
    <row r="329">
      <c r="A329" t="n">
        <v>532100</v>
      </c>
      <c r="B329" t="inlineStr">
        <is>
          <t>Automotive equipment rental and leasing</t>
        </is>
      </c>
      <c r="C329" t="n">
        <v>98</v>
      </c>
      <c r="D329" t="n">
        <v>108</v>
      </c>
      <c r="E329" t="n">
        <v>132</v>
      </c>
      <c r="F329" t="n">
        <v>86</v>
      </c>
      <c r="G329" t="n">
        <v>4</v>
      </c>
      <c r="H329" t="n">
        <v>116</v>
      </c>
      <c r="I329" t="n">
        <v>175</v>
      </c>
      <c r="J329" t="n">
        <v>109</v>
      </c>
      <c r="K329" t="n">
        <v>57</v>
      </c>
      <c r="L329" t="n">
        <v>36</v>
      </c>
      <c r="M329" t="n">
        <v>0</v>
      </c>
      <c r="O329" t="n">
        <v>1</v>
      </c>
      <c r="P329" t="n">
        <v>16</v>
      </c>
      <c r="Q329" t="n">
        <v>5</v>
      </c>
      <c r="R329" t="n">
        <v>0</v>
      </c>
      <c r="S329" t="n">
        <v>1</v>
      </c>
      <c r="T329" t="n">
        <v>3</v>
      </c>
      <c r="U329" t="n">
        <v>6</v>
      </c>
      <c r="V329" t="n">
        <v>10</v>
      </c>
      <c r="W329" t="n">
        <v>68</v>
      </c>
      <c r="X329" t="n">
        <v>492</v>
      </c>
      <c r="Y329" t="n">
        <v>53</v>
      </c>
      <c r="Z329" t="n">
        <v>21</v>
      </c>
      <c r="AA329" t="n">
        <v>4</v>
      </c>
      <c r="AB329" t="n">
        <v>11</v>
      </c>
      <c r="AC329" t="n">
        <v>48</v>
      </c>
      <c r="AD329" t="n">
        <v>13</v>
      </c>
      <c r="AE329" t="n">
        <v>26</v>
      </c>
      <c r="AF329" t="n">
        <v>18</v>
      </c>
      <c r="AG329" t="n">
        <v>30</v>
      </c>
      <c r="AH329" t="n">
        <v>11</v>
      </c>
      <c r="AI329" t="n">
        <v>20</v>
      </c>
      <c r="AJ329" t="n">
        <v>14</v>
      </c>
      <c r="AK329" t="n">
        <v>23</v>
      </c>
      <c r="AL329" t="n">
        <v>59</v>
      </c>
      <c r="AM329" t="n">
        <v>19</v>
      </c>
      <c r="AN329" t="n">
        <v>22</v>
      </c>
      <c r="AO329" t="n">
        <v>14</v>
      </c>
      <c r="AP329" t="n">
        <v>21</v>
      </c>
      <c r="AQ329" t="n">
        <v>5</v>
      </c>
      <c r="AR329" t="n">
        <v>21</v>
      </c>
      <c r="AS329" t="n">
        <v>18</v>
      </c>
      <c r="AT329" t="n">
        <v>47</v>
      </c>
      <c r="AU329" t="n">
        <v>11</v>
      </c>
      <c r="AV329" t="n">
        <v>24</v>
      </c>
      <c r="AW329" t="n">
        <v>14</v>
      </c>
      <c r="AX329" t="n">
        <v>1</v>
      </c>
      <c r="AY329" t="n">
        <v>4</v>
      </c>
      <c r="AZ329" t="n">
        <v>6</v>
      </c>
      <c r="BA329" t="n">
        <v>5</v>
      </c>
      <c r="BB329" t="n">
        <v>12</v>
      </c>
      <c r="BC329" t="n">
        <v>55</v>
      </c>
      <c r="BD329" t="n">
        <v>12</v>
      </c>
      <c r="BE329" t="n">
        <v>5</v>
      </c>
      <c r="BF329" t="n">
        <v>2</v>
      </c>
      <c r="BG329" t="n">
        <v>17</v>
      </c>
      <c r="BH329" t="n">
        <v>10</v>
      </c>
      <c r="BI329" t="n">
        <v>5</v>
      </c>
      <c r="BJ329" t="n">
        <v>7</v>
      </c>
      <c r="BK329" t="n">
        <v>8</v>
      </c>
      <c r="BL329" t="n">
        <v>10</v>
      </c>
      <c r="BM329" t="n">
        <v>7</v>
      </c>
      <c r="BN329" t="n">
        <v>6</v>
      </c>
      <c r="BO329" t="n">
        <v>7</v>
      </c>
      <c r="BP329" t="n">
        <v>8</v>
      </c>
      <c r="BQ329" t="n">
        <v>56</v>
      </c>
      <c r="BR329" t="n">
        <v>39</v>
      </c>
      <c r="BS329" t="n">
        <v>4</v>
      </c>
      <c r="BT329" t="n">
        <v>7</v>
      </c>
      <c r="BU329" t="n">
        <v>5</v>
      </c>
      <c r="BV329" t="n">
        <v>6</v>
      </c>
      <c r="BW329" t="n">
        <v>6</v>
      </c>
      <c r="BX329" t="n">
        <v>44</v>
      </c>
      <c r="BY329" t="n">
        <v>46</v>
      </c>
      <c r="BZ329" t="n">
        <v>23</v>
      </c>
      <c r="CA329" t="n">
        <v>7</v>
      </c>
      <c r="CB329" t="n">
        <v>12</v>
      </c>
      <c r="CC329" t="n">
        <v>4</v>
      </c>
      <c r="CD329" t="n">
        <v>4</v>
      </c>
      <c r="CE329" t="n">
        <v>7</v>
      </c>
      <c r="CF329" t="n">
        <v>9</v>
      </c>
      <c r="CG329" t="n">
        <v>9</v>
      </c>
      <c r="CH329" t="n">
        <v>1</v>
      </c>
      <c r="CI329" t="n">
        <v>12</v>
      </c>
      <c r="CJ329" t="n">
        <v>11</v>
      </c>
      <c r="CK329" t="n">
        <v>0</v>
      </c>
      <c r="CL329" t="n">
        <v>17</v>
      </c>
      <c r="CM329" t="n">
        <v>1</v>
      </c>
      <c r="CN329" t="n">
        <v>0</v>
      </c>
      <c r="CO329" t="n">
        <v>9</v>
      </c>
      <c r="CP329" t="n">
        <v>1</v>
      </c>
      <c r="CQ329" t="n">
        <v>12</v>
      </c>
      <c r="CR329" t="n">
        <v>2</v>
      </c>
      <c r="CS329" t="n">
        <v>6</v>
      </c>
      <c r="CT329" t="n">
        <v>7</v>
      </c>
      <c r="CU329" t="n">
        <v>4</v>
      </c>
      <c r="CV329" t="n">
        <v>7</v>
      </c>
      <c r="CW329" t="n">
        <v>6</v>
      </c>
      <c r="CX329" t="n">
        <v>1</v>
      </c>
      <c r="CY329" t="n">
        <v>1</v>
      </c>
      <c r="CZ329" t="n">
        <v>6</v>
      </c>
      <c r="DA329" t="n">
        <v>2</v>
      </c>
      <c r="DB329" t="n">
        <v>9</v>
      </c>
      <c r="DC329" t="n">
        <v>20</v>
      </c>
      <c r="DD329" t="n">
        <v>1</v>
      </c>
      <c r="DE329" t="n">
        <v>2</v>
      </c>
      <c r="DF329" t="n">
        <v>1</v>
      </c>
      <c r="DG329" t="n">
        <v>8</v>
      </c>
      <c r="DH329" t="n">
        <v>8</v>
      </c>
      <c r="DI329" t="n">
        <v>0</v>
      </c>
      <c r="DJ329" t="n">
        <v>0</v>
      </c>
      <c r="DK329" t="n">
        <v>1</v>
      </c>
      <c r="DL329" t="n">
        <v>0</v>
      </c>
      <c r="DM329" t="n">
        <v>2</v>
      </c>
      <c r="DN329" t="n">
        <v>0</v>
      </c>
      <c r="DO329" t="n">
        <v>6</v>
      </c>
      <c r="DP329" t="n">
        <v>2</v>
      </c>
      <c r="DQ329" t="n">
        <v>1</v>
      </c>
      <c r="DR329" t="n">
        <v>10</v>
      </c>
      <c r="DS329" t="n">
        <v>8</v>
      </c>
      <c r="DT329" t="n">
        <v>0</v>
      </c>
      <c r="DU329" t="n">
        <v>0</v>
      </c>
      <c r="DV329" t="n">
        <v>0</v>
      </c>
      <c r="DW329" t="n">
        <v>0</v>
      </c>
      <c r="DX329" t="n">
        <v>3</v>
      </c>
      <c r="DY329" t="n">
        <v>0</v>
      </c>
      <c r="DZ329" t="n">
        <v>0</v>
      </c>
      <c r="EA329" t="n">
        <v>0</v>
      </c>
      <c r="EB329" t="n">
        <v>1</v>
      </c>
      <c r="EC329" t="n">
        <v>0</v>
      </c>
      <c r="ED329" t="n">
        <v>4</v>
      </c>
      <c r="EE329" t="n">
        <v>0</v>
      </c>
      <c r="EF329" t="n">
        <v>7</v>
      </c>
      <c r="EG329" t="n">
        <v>0</v>
      </c>
      <c r="EH329" t="n">
        <v>4</v>
      </c>
      <c r="EI329" t="n">
        <v>4</v>
      </c>
      <c r="EJ329" t="n">
        <v>3</v>
      </c>
      <c r="EK329" t="n">
        <v>2</v>
      </c>
      <c r="EL329" t="n">
        <v>0</v>
      </c>
      <c r="EM329" t="n">
        <v>2</v>
      </c>
      <c r="EN329" t="n">
        <v>3</v>
      </c>
      <c r="EO329" t="n">
        <v>0</v>
      </c>
      <c r="EP329" t="n">
        <v>4</v>
      </c>
      <c r="EQ329" t="n">
        <v>1</v>
      </c>
      <c r="ER329" t="n">
        <v>5</v>
      </c>
      <c r="ES329" t="n">
        <v>1</v>
      </c>
      <c r="ET329" t="n">
        <v>6</v>
      </c>
      <c r="EU329" t="n">
        <v>2</v>
      </c>
      <c r="EV329" t="n">
        <v>3933</v>
      </c>
      <c r="EW329" t="n">
        <v>3</v>
      </c>
      <c r="EX329" t="n">
        <v>17</v>
      </c>
      <c r="EY329" t="n">
        <v>10</v>
      </c>
      <c r="EZ329" t="n">
        <v>11</v>
      </c>
      <c r="FA329" t="n">
        <v>30</v>
      </c>
      <c r="FB329" t="n">
        <v>24</v>
      </c>
      <c r="FC329" t="n">
        <v>26</v>
      </c>
      <c r="FD329" t="n">
        <v>9</v>
      </c>
      <c r="FE329" t="n">
        <v>38</v>
      </c>
      <c r="FF329" t="n">
        <v>25</v>
      </c>
      <c r="FG329" t="n">
        <v>18</v>
      </c>
      <c r="FH329" t="n">
        <v>14</v>
      </c>
      <c r="FI329" t="n">
        <v>50</v>
      </c>
      <c r="FJ329" t="n">
        <v>4</v>
      </c>
      <c r="FK329" t="n">
        <v>28</v>
      </c>
      <c r="FL329" t="n">
        <v>9</v>
      </c>
      <c r="FM329" t="n">
        <v>2</v>
      </c>
      <c r="FN329" t="n">
        <v>3</v>
      </c>
      <c r="FO329" t="n">
        <v>4</v>
      </c>
      <c r="FP329" t="n">
        <v>9</v>
      </c>
      <c r="FQ329" t="n">
        <v>19</v>
      </c>
      <c r="FR329" t="n">
        <v>2</v>
      </c>
      <c r="FS329" t="n">
        <v>4</v>
      </c>
      <c r="FT329" t="n">
        <v>3</v>
      </c>
      <c r="FU329" t="n">
        <v>5</v>
      </c>
      <c r="FV329" t="n">
        <v>13</v>
      </c>
      <c r="FW329" t="n">
        <v>9</v>
      </c>
      <c r="FX329" t="n">
        <v>9</v>
      </c>
      <c r="FY329" t="n">
        <v>8</v>
      </c>
      <c r="FZ329" t="n">
        <v>2</v>
      </c>
      <c r="GA329" t="n">
        <v>0</v>
      </c>
      <c r="GB329" t="n">
        <v>3</v>
      </c>
      <c r="GC329" t="n">
        <v>2</v>
      </c>
      <c r="GD329" t="n">
        <v>3</v>
      </c>
      <c r="GE329" t="n">
        <v>0</v>
      </c>
      <c r="GF329" t="n">
        <v>0</v>
      </c>
      <c r="GG329" t="n">
        <v>10</v>
      </c>
      <c r="GH329" t="n">
        <v>7</v>
      </c>
      <c r="GI329" t="n">
        <v>9</v>
      </c>
      <c r="GJ329" t="n">
        <v>10</v>
      </c>
      <c r="GK329" t="n">
        <v>10</v>
      </c>
      <c r="GL329" t="n">
        <v>5</v>
      </c>
      <c r="GM329" t="n">
        <v>2</v>
      </c>
      <c r="GN329" t="n">
        <v>3</v>
      </c>
      <c r="GO329" t="n">
        <v>1</v>
      </c>
      <c r="GP329" t="n">
        <v>30</v>
      </c>
      <c r="GQ329" t="n">
        <v>22</v>
      </c>
      <c r="GR329" t="n">
        <v>41</v>
      </c>
      <c r="GS329" t="n">
        <v>17</v>
      </c>
      <c r="GT329" t="n">
        <v>14</v>
      </c>
      <c r="GU329" t="n">
        <v>36</v>
      </c>
      <c r="GV329" t="n">
        <v>3</v>
      </c>
      <c r="GW329" t="n">
        <v>20</v>
      </c>
      <c r="GX329" t="n">
        <v>40</v>
      </c>
      <c r="GY329" t="n">
        <v>6</v>
      </c>
      <c r="GZ329" t="n">
        <v>56</v>
      </c>
      <c r="HA329" t="n">
        <v>35</v>
      </c>
      <c r="HB329" t="n">
        <v>26</v>
      </c>
      <c r="HC329" t="n">
        <v>6</v>
      </c>
      <c r="HD329" t="n">
        <v>5</v>
      </c>
      <c r="HE329" t="n">
        <v>13</v>
      </c>
      <c r="HF329" t="n">
        <v>31</v>
      </c>
      <c r="HG329" t="n">
        <v>24</v>
      </c>
      <c r="HH329" t="n">
        <v>20</v>
      </c>
      <c r="HI329" t="n">
        <v>16</v>
      </c>
      <c r="HJ329" t="n">
        <v>9</v>
      </c>
      <c r="HK329" t="n">
        <v>11</v>
      </c>
      <c r="HL329" t="n">
        <v>1</v>
      </c>
      <c r="HM329" t="n">
        <v>3</v>
      </c>
      <c r="HN329" t="n">
        <v>1</v>
      </c>
      <c r="HO329" t="n">
        <v>2</v>
      </c>
      <c r="HP329" t="n">
        <v>2</v>
      </c>
      <c r="HQ329" t="n">
        <v>2</v>
      </c>
      <c r="HR329" t="n">
        <v>520</v>
      </c>
      <c r="HS329" t="n">
        <v>1017</v>
      </c>
      <c r="HT329" t="n">
        <v>7</v>
      </c>
      <c r="HU329" t="n">
        <v>35</v>
      </c>
      <c r="HV329" t="n">
        <v>30</v>
      </c>
      <c r="HW329" t="n">
        <v>79</v>
      </c>
      <c r="HX329" t="n">
        <v>11</v>
      </c>
      <c r="HY329" t="n">
        <v>3</v>
      </c>
      <c r="HZ329" t="n">
        <v>3</v>
      </c>
      <c r="IA329" t="n">
        <v>2</v>
      </c>
      <c r="IB329" t="n">
        <v>121</v>
      </c>
      <c r="IC329" t="n">
        <v>3</v>
      </c>
      <c r="ID329" t="n">
        <v>215</v>
      </c>
      <c r="IE329" t="n">
        <v>42</v>
      </c>
      <c r="IF329" t="n">
        <v>11</v>
      </c>
      <c r="IG329" t="n">
        <v>15</v>
      </c>
      <c r="IH329" t="n">
        <v>27</v>
      </c>
      <c r="II329" t="n">
        <v>18</v>
      </c>
      <c r="IJ329" t="n">
        <v>2</v>
      </c>
      <c r="IK329" t="n">
        <v>44</v>
      </c>
      <c r="IL329" t="n">
        <v>122</v>
      </c>
      <c r="IM329" t="n">
        <v>75</v>
      </c>
      <c r="IN329" t="n">
        <v>5</v>
      </c>
      <c r="IO329" t="n">
        <v>7</v>
      </c>
      <c r="IP329" t="n">
        <v>25</v>
      </c>
      <c r="IQ329" t="n">
        <v>1</v>
      </c>
      <c r="IR329" t="n">
        <v>7</v>
      </c>
      <c r="IS329" t="n">
        <v>17</v>
      </c>
      <c r="IT329" t="n">
        <v>15</v>
      </c>
      <c r="IU329" t="n">
        <v>7</v>
      </c>
      <c r="IV329" t="n">
        <v>6</v>
      </c>
      <c r="IW329" t="n">
        <v>17</v>
      </c>
      <c r="IX329" t="n">
        <v>12</v>
      </c>
      <c r="IY329" t="n">
        <v>1</v>
      </c>
      <c r="IZ329" t="n">
        <v>23</v>
      </c>
      <c r="JA329" t="n">
        <v>20</v>
      </c>
      <c r="JB329" t="n">
        <v>14</v>
      </c>
      <c r="JC329" t="n">
        <v>2</v>
      </c>
      <c r="JD329" t="n">
        <v>7</v>
      </c>
      <c r="JE329" t="n">
        <v>9</v>
      </c>
      <c r="JF329" t="n">
        <v>6</v>
      </c>
      <c r="JG329" t="n">
        <v>83</v>
      </c>
      <c r="JH329" t="n">
        <v>10</v>
      </c>
      <c r="JI329" t="n">
        <v>2</v>
      </c>
      <c r="JJ329" t="n">
        <v>14</v>
      </c>
      <c r="JK329" t="n">
        <v>394</v>
      </c>
      <c r="JL329" t="n">
        <v>299</v>
      </c>
      <c r="JM329" t="n">
        <v>256</v>
      </c>
      <c r="JN329" t="n">
        <v>585</v>
      </c>
      <c r="JO329" t="n">
        <v>1211</v>
      </c>
      <c r="JP329" t="n">
        <v>93</v>
      </c>
      <c r="JQ329" t="n">
        <v>766</v>
      </c>
      <c r="JR329" t="n">
        <v>328</v>
      </c>
      <c r="JS329" t="n">
        <v>1758</v>
      </c>
      <c r="JT329" t="n">
        <v>149</v>
      </c>
      <c r="JV329" t="n">
        <v>343</v>
      </c>
      <c r="JW329" t="n">
        <v>196</v>
      </c>
      <c r="JX329" t="n">
        <v>267</v>
      </c>
      <c r="JY329" t="n">
        <v>430</v>
      </c>
      <c r="JZ329" t="n">
        <v>273</v>
      </c>
      <c r="KA329" t="n">
        <v>205</v>
      </c>
      <c r="KB329" t="n">
        <v>95</v>
      </c>
      <c r="KC329" t="n">
        <v>291</v>
      </c>
      <c r="KD329" t="n">
        <v>186</v>
      </c>
      <c r="KE329" t="n">
        <v>1</v>
      </c>
      <c r="KF329" t="n">
        <v>1</v>
      </c>
      <c r="KG329" t="n">
        <v>688</v>
      </c>
      <c r="KH329" t="n">
        <v>2949</v>
      </c>
      <c r="KI329" t="n">
        <v>644</v>
      </c>
      <c r="KJ329" t="n">
        <v>17</v>
      </c>
      <c r="KK329" t="n">
        <v>638</v>
      </c>
      <c r="KL329" t="n">
        <v>69</v>
      </c>
      <c r="KM329" t="n">
        <v>2989</v>
      </c>
      <c r="KN329" t="n">
        <v>21</v>
      </c>
      <c r="KO329" t="n">
        <v>28</v>
      </c>
      <c r="KP329" t="n">
        <v>36</v>
      </c>
      <c r="KQ329" t="n">
        <v>2</v>
      </c>
      <c r="KR329" t="n">
        <v>140</v>
      </c>
      <c r="KS329" t="n">
        <v>92</v>
      </c>
      <c r="KT329" t="n">
        <v>0</v>
      </c>
      <c r="KU329" t="n">
        <v>3</v>
      </c>
      <c r="KV329" t="n">
        <v>6</v>
      </c>
      <c r="KW329" t="n">
        <v>1766</v>
      </c>
      <c r="KX329" t="n">
        <v>1149</v>
      </c>
      <c r="KY329" t="n">
        <v>30</v>
      </c>
      <c r="KZ329" t="n">
        <v>513</v>
      </c>
      <c r="LA329" t="n">
        <v>18</v>
      </c>
      <c r="LB329" t="n">
        <v>0</v>
      </c>
      <c r="LC329" t="n">
        <v>660</v>
      </c>
      <c r="LD329" t="n">
        <v>1292</v>
      </c>
      <c r="LE329" t="n">
        <v>691</v>
      </c>
      <c r="LF329" t="n">
        <v>133</v>
      </c>
      <c r="LG329" t="n">
        <v>1</v>
      </c>
      <c r="LH329" t="n">
        <v>74</v>
      </c>
      <c r="LI329" t="n">
        <v>186</v>
      </c>
      <c r="LJ329" t="n">
        <v>26</v>
      </c>
      <c r="LK329" t="n">
        <v>3975</v>
      </c>
      <c r="LL329" t="n">
        <v>460</v>
      </c>
      <c r="LM329" t="n">
        <v>453</v>
      </c>
      <c r="LN329" t="n">
        <v>837</v>
      </c>
      <c r="LO329" t="n">
        <v>2106</v>
      </c>
      <c r="LP329" t="n">
        <v>186</v>
      </c>
      <c r="LQ329" t="n">
        <v>1603</v>
      </c>
      <c r="LR329" t="n">
        <v>666</v>
      </c>
      <c r="LS329" t="n">
        <v>84</v>
      </c>
      <c r="LT329" t="n">
        <v>107</v>
      </c>
      <c r="LU329" t="n">
        <v>97</v>
      </c>
      <c r="LV329" t="n">
        <v>273</v>
      </c>
      <c r="LW329" t="n">
        <v>827</v>
      </c>
      <c r="LX329" t="n">
        <v>218</v>
      </c>
      <c r="LY329" t="n">
        <v>63</v>
      </c>
      <c r="LZ329" t="n">
        <v>759</v>
      </c>
      <c r="MA329" t="n">
        <v>66</v>
      </c>
      <c r="MB329" t="n">
        <v>52</v>
      </c>
      <c r="MC329" t="n">
        <v>23</v>
      </c>
      <c r="MD329" t="n">
        <v>31</v>
      </c>
      <c r="ME329" t="n">
        <v>184</v>
      </c>
      <c r="MF329" t="n">
        <v>1133</v>
      </c>
      <c r="MG329" t="n">
        <v>329</v>
      </c>
      <c r="MH329" t="n">
        <v>1038</v>
      </c>
      <c r="MI329" t="n">
        <v>89</v>
      </c>
      <c r="MJ329" t="n">
        <v>140</v>
      </c>
      <c r="MK329" t="n">
        <v>186</v>
      </c>
      <c r="ML329" t="n">
        <v>100</v>
      </c>
      <c r="MM329" t="n">
        <v>318</v>
      </c>
      <c r="MN329" t="n">
        <v>303</v>
      </c>
      <c r="MO329" t="n">
        <v>1257</v>
      </c>
      <c r="MP329" t="n">
        <v>29</v>
      </c>
      <c r="MQ329" t="n">
        <v>46</v>
      </c>
      <c r="MR329" t="n">
        <v>30</v>
      </c>
      <c r="MS329" t="n">
        <v>752</v>
      </c>
      <c r="MT329" t="n">
        <v>19</v>
      </c>
      <c r="MU329" t="n">
        <v>36</v>
      </c>
      <c r="MV329" t="n">
        <v>217</v>
      </c>
      <c r="MW329" t="n">
        <v>181</v>
      </c>
      <c r="MX329" t="n">
        <v>82</v>
      </c>
      <c r="MY329" t="n">
        <v>155</v>
      </c>
      <c r="MZ329" t="n">
        <v>1801</v>
      </c>
      <c r="NA329" t="n">
        <v>239</v>
      </c>
      <c r="NB329" t="n">
        <v>57</v>
      </c>
      <c r="NC329" t="n">
        <v>72</v>
      </c>
      <c r="ND329" t="n">
        <v>83</v>
      </c>
      <c r="NE329" t="n">
        <v>57</v>
      </c>
      <c r="NF329" t="n">
        <v>157</v>
      </c>
      <c r="NG329" t="n">
        <v>114</v>
      </c>
      <c r="NH329" t="n">
        <v>127</v>
      </c>
      <c r="NI329" t="n">
        <v>152</v>
      </c>
      <c r="NJ329" t="n">
        <v>44</v>
      </c>
      <c r="NK329" t="n">
        <v>53</v>
      </c>
      <c r="NL329" t="n">
        <v>146</v>
      </c>
      <c r="NM329" t="n">
        <v>281</v>
      </c>
      <c r="NN329" t="n">
        <v>469</v>
      </c>
      <c r="NO329" t="n">
        <v>187</v>
      </c>
      <c r="NP329" t="n">
        <v>180</v>
      </c>
      <c r="NQ329" t="n">
        <v>78</v>
      </c>
      <c r="NR329" t="n">
        <v>193</v>
      </c>
      <c r="NS329" t="n">
        <v>47</v>
      </c>
      <c r="NT329" t="n">
        <v>224</v>
      </c>
      <c r="NU329" t="n">
        <v>57</v>
      </c>
      <c r="NV329" t="n">
        <v>337</v>
      </c>
      <c r="NW329" t="n">
        <v>8</v>
      </c>
      <c r="NX329" t="n">
        <v>71</v>
      </c>
      <c r="NY329" t="n">
        <v>260</v>
      </c>
      <c r="NZ329" t="n">
        <v>15</v>
      </c>
      <c r="OA329" t="n">
        <v>34</v>
      </c>
      <c r="OB329" t="n">
        <v>140</v>
      </c>
      <c r="OD329" t="n">
        <v>217</v>
      </c>
      <c r="OE329" t="n">
        <v>146</v>
      </c>
      <c r="OF329" t="n">
        <v>0</v>
      </c>
      <c r="OG329" t="n">
        <v>17</v>
      </c>
      <c r="OH329" t="n">
        <v>93</v>
      </c>
      <c r="OI329" t="n">
        <v>57</v>
      </c>
      <c r="OJ329" t="n">
        <v>72</v>
      </c>
      <c r="OK329" t="n">
        <v>404</v>
      </c>
      <c r="OM329" t="n">
        <v>5</v>
      </c>
      <c r="ON329" t="n">
        <v>129</v>
      </c>
      <c r="OO329" t="n">
        <v>59731</v>
      </c>
      <c r="OP329" t="n">
        <v>78600</v>
      </c>
      <c r="OV329" t="n">
        <v>2192</v>
      </c>
      <c r="PI329" t="n">
        <v>140524</v>
      </c>
      <c r="PM329">
        <f>IFERROR(VLOOKUP($A329&amp;"",Key!$A:$C,3,FALSE),"")</f>
        <v/>
      </c>
    </row>
    <row r="330">
      <c r="A330" t="n">
        <v>532400</v>
      </c>
      <c r="B330" t="inlineStr">
        <is>
          <t>Commercial and industrial machinery and equipment rental and leasing</t>
        </is>
      </c>
      <c r="C330" t="n">
        <v>106</v>
      </c>
      <c r="D330" t="n">
        <v>631</v>
      </c>
      <c r="E330" t="n">
        <v>140</v>
      </c>
      <c r="F330" t="n">
        <v>93</v>
      </c>
      <c r="G330" t="n">
        <v>132</v>
      </c>
      <c r="H330" t="n">
        <v>253</v>
      </c>
      <c r="I330" t="n">
        <v>183</v>
      </c>
      <c r="J330" t="n">
        <v>112</v>
      </c>
      <c r="K330" t="n">
        <v>58</v>
      </c>
      <c r="L330" t="n">
        <v>36</v>
      </c>
      <c r="M330" t="n">
        <v>25</v>
      </c>
      <c r="O330" t="n">
        <v>74</v>
      </c>
      <c r="P330" t="n">
        <v>2245</v>
      </c>
      <c r="Q330" t="n">
        <v>698</v>
      </c>
      <c r="R330" t="n">
        <v>57</v>
      </c>
      <c r="S330" t="n">
        <v>146</v>
      </c>
      <c r="T330" t="n">
        <v>475</v>
      </c>
      <c r="U330" t="n">
        <v>482</v>
      </c>
      <c r="V330" t="n">
        <v>1277</v>
      </c>
      <c r="W330" t="n">
        <v>2287</v>
      </c>
      <c r="X330" t="n">
        <v>1397</v>
      </c>
      <c r="Y330" t="n">
        <v>265</v>
      </c>
      <c r="Z330" t="n">
        <v>18</v>
      </c>
      <c r="AA330" t="n">
        <v>332</v>
      </c>
      <c r="AB330" t="n">
        <v>922</v>
      </c>
      <c r="AC330" t="n">
        <v>4600</v>
      </c>
      <c r="AD330" t="n">
        <v>1031</v>
      </c>
      <c r="AE330" t="n">
        <v>1905</v>
      </c>
      <c r="AF330" t="n">
        <v>705</v>
      </c>
      <c r="AG330" t="n">
        <v>3642</v>
      </c>
      <c r="AH330" t="n">
        <v>962</v>
      </c>
      <c r="AI330" t="n">
        <v>1839</v>
      </c>
      <c r="AJ330" t="n">
        <v>1709</v>
      </c>
      <c r="AK330" t="n">
        <v>1662</v>
      </c>
      <c r="AL330" t="n">
        <v>3591</v>
      </c>
      <c r="AM330" t="n">
        <v>29</v>
      </c>
      <c r="AN330" t="n">
        <v>21</v>
      </c>
      <c r="AO330" t="n">
        <v>22</v>
      </c>
      <c r="AP330" t="n">
        <v>26</v>
      </c>
      <c r="AQ330" t="n">
        <v>10</v>
      </c>
      <c r="AR330" t="n">
        <v>38</v>
      </c>
      <c r="AS330" t="n">
        <v>28</v>
      </c>
      <c r="AT330" t="n">
        <v>71</v>
      </c>
      <c r="AU330" t="n">
        <v>17</v>
      </c>
      <c r="AV330" t="n">
        <v>36</v>
      </c>
      <c r="AW330" t="n">
        <v>22</v>
      </c>
      <c r="AX330" t="n">
        <v>3</v>
      </c>
      <c r="AY330" t="n">
        <v>7</v>
      </c>
      <c r="AZ330" t="n">
        <v>10</v>
      </c>
      <c r="BA330" t="n">
        <v>8</v>
      </c>
      <c r="BB330" t="n">
        <v>18</v>
      </c>
      <c r="BC330" t="n">
        <v>82</v>
      </c>
      <c r="BD330" t="n">
        <v>19</v>
      </c>
      <c r="BE330" t="n">
        <v>4</v>
      </c>
      <c r="BF330" t="n">
        <v>4</v>
      </c>
      <c r="BG330" t="n">
        <v>27</v>
      </c>
      <c r="BH330" t="n">
        <v>15</v>
      </c>
      <c r="BI330" t="n">
        <v>8</v>
      </c>
      <c r="BJ330" t="n">
        <v>12</v>
      </c>
      <c r="BK330" t="n">
        <v>12</v>
      </c>
      <c r="BL330" t="n">
        <v>14</v>
      </c>
      <c r="BM330" t="n">
        <v>10</v>
      </c>
      <c r="BN330" t="n">
        <v>10</v>
      </c>
      <c r="BO330" t="n">
        <v>10</v>
      </c>
      <c r="BP330" t="n">
        <v>15</v>
      </c>
      <c r="BQ330" t="n">
        <v>84</v>
      </c>
      <c r="BR330" t="n">
        <v>59</v>
      </c>
      <c r="BS330" t="n">
        <v>7</v>
      </c>
      <c r="BT330" t="n">
        <v>11</v>
      </c>
      <c r="BU330" t="n">
        <v>7</v>
      </c>
      <c r="BV330" t="n">
        <v>9</v>
      </c>
      <c r="BW330" t="n">
        <v>7</v>
      </c>
      <c r="BX330" t="n">
        <v>66</v>
      </c>
      <c r="BY330" t="n">
        <v>69</v>
      </c>
      <c r="BZ330" t="n">
        <v>35</v>
      </c>
      <c r="CA330" t="n">
        <v>8</v>
      </c>
      <c r="CB330" t="n">
        <v>19</v>
      </c>
      <c r="CC330" t="n">
        <v>6</v>
      </c>
      <c r="CD330" t="n">
        <v>6</v>
      </c>
      <c r="CE330" t="n">
        <v>14</v>
      </c>
      <c r="CF330" t="n">
        <v>13</v>
      </c>
      <c r="CG330" t="n">
        <v>13</v>
      </c>
      <c r="CH330" t="n">
        <v>3</v>
      </c>
      <c r="CI330" t="n">
        <v>18</v>
      </c>
      <c r="CJ330" t="n">
        <v>17</v>
      </c>
      <c r="CK330" t="n">
        <v>1</v>
      </c>
      <c r="CL330" t="n">
        <v>29</v>
      </c>
      <c r="CM330" t="n">
        <v>4</v>
      </c>
      <c r="CN330" t="n">
        <v>1</v>
      </c>
      <c r="CO330" t="n">
        <v>16</v>
      </c>
      <c r="CP330" t="n">
        <v>3</v>
      </c>
      <c r="CQ330" t="n">
        <v>19</v>
      </c>
      <c r="CR330" t="n">
        <v>6</v>
      </c>
      <c r="CS330" t="n">
        <v>10</v>
      </c>
      <c r="CT330" t="n">
        <v>11</v>
      </c>
      <c r="CU330" t="n">
        <v>7</v>
      </c>
      <c r="CV330" t="n">
        <v>15</v>
      </c>
      <c r="CW330" t="n">
        <v>9</v>
      </c>
      <c r="CX330" t="n">
        <v>3</v>
      </c>
      <c r="CY330" t="n">
        <v>4</v>
      </c>
      <c r="CZ330" t="n">
        <v>9</v>
      </c>
      <c r="DA330" t="n">
        <v>6</v>
      </c>
      <c r="DB330" t="n">
        <v>16</v>
      </c>
      <c r="DC330" t="n">
        <v>30</v>
      </c>
      <c r="DD330" t="n">
        <v>2</v>
      </c>
      <c r="DE330" t="n">
        <v>4</v>
      </c>
      <c r="DF330" t="n">
        <v>2</v>
      </c>
      <c r="DG330" t="n">
        <v>13</v>
      </c>
      <c r="DH330" t="n">
        <v>13</v>
      </c>
      <c r="DI330" t="n">
        <v>0</v>
      </c>
      <c r="DJ330" t="n">
        <v>0</v>
      </c>
      <c r="DK330" t="n">
        <v>1</v>
      </c>
      <c r="DL330" t="n">
        <v>0</v>
      </c>
      <c r="DM330" t="n">
        <v>4</v>
      </c>
      <c r="DN330" t="n">
        <v>0</v>
      </c>
      <c r="DO330" t="n">
        <v>9</v>
      </c>
      <c r="DP330" t="n">
        <v>3</v>
      </c>
      <c r="DQ330" t="n">
        <v>2</v>
      </c>
      <c r="DR330" t="n">
        <v>15</v>
      </c>
      <c r="DS330" t="n">
        <v>12</v>
      </c>
      <c r="DT330" t="n">
        <v>0</v>
      </c>
      <c r="DU330" t="n">
        <v>1</v>
      </c>
      <c r="DV330" t="n">
        <v>0</v>
      </c>
      <c r="DW330" t="n">
        <v>0</v>
      </c>
      <c r="DX330" t="n">
        <v>5</v>
      </c>
      <c r="DY330" t="n">
        <v>0</v>
      </c>
      <c r="DZ330" t="n">
        <v>1</v>
      </c>
      <c r="EA330" t="n">
        <v>0</v>
      </c>
      <c r="EB330" t="n">
        <v>0</v>
      </c>
      <c r="EC330" t="n">
        <v>1</v>
      </c>
      <c r="ED330" t="n">
        <v>6</v>
      </c>
      <c r="EE330" t="n">
        <v>0</v>
      </c>
      <c r="EF330" t="n">
        <v>19</v>
      </c>
      <c r="EG330" t="n">
        <v>1</v>
      </c>
      <c r="EH330" t="n">
        <v>7</v>
      </c>
      <c r="EI330" t="n">
        <v>8</v>
      </c>
      <c r="EJ330" t="n">
        <v>5</v>
      </c>
      <c r="EK330" t="n">
        <v>3</v>
      </c>
      <c r="EL330" t="n">
        <v>0</v>
      </c>
      <c r="EM330" t="n">
        <v>3</v>
      </c>
      <c r="EN330" t="n">
        <v>5</v>
      </c>
      <c r="EO330" t="n">
        <v>0</v>
      </c>
      <c r="EP330" t="n">
        <v>11</v>
      </c>
      <c r="EQ330" t="n">
        <v>2</v>
      </c>
      <c r="ER330" t="n">
        <v>8</v>
      </c>
      <c r="ES330" t="n">
        <v>4</v>
      </c>
      <c r="ET330" t="n">
        <v>10</v>
      </c>
      <c r="EU330" t="n">
        <v>6</v>
      </c>
      <c r="EW330" t="n">
        <v>5</v>
      </c>
      <c r="EX330" t="n">
        <v>26</v>
      </c>
      <c r="EY330" t="n">
        <v>16</v>
      </c>
      <c r="EZ330" t="n">
        <v>16</v>
      </c>
      <c r="FA330" t="n">
        <v>48</v>
      </c>
      <c r="FB330" t="n">
        <v>35</v>
      </c>
      <c r="FC330" t="n">
        <v>40</v>
      </c>
      <c r="FD330" t="n">
        <v>17</v>
      </c>
      <c r="FE330" t="n">
        <v>57</v>
      </c>
      <c r="FF330" t="n">
        <v>38</v>
      </c>
      <c r="FG330" t="n">
        <v>28</v>
      </c>
      <c r="FH330" t="n">
        <v>21</v>
      </c>
      <c r="FI330" t="n">
        <v>114</v>
      </c>
      <c r="FJ330" t="n">
        <v>10</v>
      </c>
      <c r="FK330" t="n">
        <v>42</v>
      </c>
      <c r="FL330" t="n">
        <v>14</v>
      </c>
      <c r="FM330" t="n">
        <v>5</v>
      </c>
      <c r="FN330" t="n">
        <v>9</v>
      </c>
      <c r="FO330" t="n">
        <v>10</v>
      </c>
      <c r="FP330" t="n">
        <v>14</v>
      </c>
      <c r="FQ330" t="n">
        <v>45</v>
      </c>
      <c r="FR330" t="n">
        <v>3</v>
      </c>
      <c r="FS330" t="n">
        <v>5</v>
      </c>
      <c r="FT330" t="n">
        <v>5</v>
      </c>
      <c r="FU330" t="n">
        <v>8</v>
      </c>
      <c r="FV330" t="n">
        <v>21</v>
      </c>
      <c r="FW330" t="n">
        <v>13</v>
      </c>
      <c r="FX330" t="n">
        <v>15</v>
      </c>
      <c r="FY330" t="n">
        <v>12</v>
      </c>
      <c r="FZ330" t="n">
        <v>5</v>
      </c>
      <c r="GA330" t="n">
        <v>1</v>
      </c>
      <c r="GB330" t="n">
        <v>5</v>
      </c>
      <c r="GC330" t="n">
        <v>6</v>
      </c>
      <c r="GD330" t="n">
        <v>5</v>
      </c>
      <c r="GE330" t="n">
        <v>0</v>
      </c>
      <c r="GF330" t="n">
        <v>3</v>
      </c>
      <c r="GG330" t="n">
        <v>15</v>
      </c>
      <c r="GH330" t="n">
        <v>14</v>
      </c>
      <c r="GI330" t="n">
        <v>14</v>
      </c>
      <c r="GJ330" t="n">
        <v>16</v>
      </c>
      <c r="GK330" t="n">
        <v>16</v>
      </c>
      <c r="GL330" t="n">
        <v>7</v>
      </c>
      <c r="GM330" t="n">
        <v>4</v>
      </c>
      <c r="GN330" t="n">
        <v>4</v>
      </c>
      <c r="GO330" t="n">
        <v>4</v>
      </c>
      <c r="GP330" t="n">
        <v>69</v>
      </c>
      <c r="GQ330" t="n">
        <v>34</v>
      </c>
      <c r="GR330" t="n">
        <v>64</v>
      </c>
      <c r="GS330" t="n">
        <v>27</v>
      </c>
      <c r="GT330" t="n">
        <v>22</v>
      </c>
      <c r="GU330" t="n">
        <v>56</v>
      </c>
      <c r="GV330" t="n">
        <v>9</v>
      </c>
      <c r="GW330" t="n">
        <v>30</v>
      </c>
      <c r="GX330" t="n">
        <v>63</v>
      </c>
      <c r="GY330" t="n">
        <v>10</v>
      </c>
      <c r="GZ330" t="n">
        <v>86</v>
      </c>
      <c r="HA330" t="n">
        <v>58</v>
      </c>
      <c r="HB330" t="n">
        <v>41</v>
      </c>
      <c r="HC330" t="n">
        <v>10</v>
      </c>
      <c r="HD330" t="n">
        <v>13</v>
      </c>
      <c r="HE330" t="n">
        <v>20</v>
      </c>
      <c r="HF330" t="n">
        <v>35</v>
      </c>
      <c r="HG330" t="n">
        <v>37</v>
      </c>
      <c r="HH330" t="n">
        <v>34</v>
      </c>
      <c r="HI330" t="n">
        <v>26</v>
      </c>
      <c r="HJ330" t="n">
        <v>24</v>
      </c>
      <c r="HK330" t="n">
        <v>33</v>
      </c>
      <c r="HL330" t="n">
        <v>2</v>
      </c>
      <c r="HM330" t="n">
        <v>9</v>
      </c>
      <c r="HN330" t="n">
        <v>4</v>
      </c>
      <c r="HO330" t="n">
        <v>3</v>
      </c>
      <c r="HP330" t="n">
        <v>5</v>
      </c>
      <c r="HQ330" t="n">
        <v>8</v>
      </c>
      <c r="HR330" t="n">
        <v>1</v>
      </c>
      <c r="HS330" t="n">
        <v>1</v>
      </c>
      <c r="HT330" t="n">
        <v>17</v>
      </c>
      <c r="HU330" t="n">
        <v>53</v>
      </c>
      <c r="HV330" t="n">
        <v>45</v>
      </c>
      <c r="HW330" t="n">
        <v>118</v>
      </c>
      <c r="HX330" t="n">
        <v>17</v>
      </c>
      <c r="HY330" t="n">
        <v>5</v>
      </c>
      <c r="HZ330" t="n">
        <v>8</v>
      </c>
      <c r="IA330" t="n">
        <v>6</v>
      </c>
      <c r="IB330" t="n">
        <v>180</v>
      </c>
      <c r="IC330" t="n">
        <v>7</v>
      </c>
      <c r="ID330" t="n">
        <v>323</v>
      </c>
      <c r="IE330" t="n">
        <v>63</v>
      </c>
      <c r="IF330" t="n">
        <v>17</v>
      </c>
      <c r="IG330" t="n">
        <v>28</v>
      </c>
      <c r="IH330" t="n">
        <v>42</v>
      </c>
      <c r="II330" t="n">
        <v>28</v>
      </c>
      <c r="IJ330" t="n">
        <v>3</v>
      </c>
      <c r="IK330" t="n">
        <v>68</v>
      </c>
      <c r="IL330" t="n">
        <v>181</v>
      </c>
      <c r="IM330" t="n">
        <v>113</v>
      </c>
      <c r="IN330" t="n">
        <v>12</v>
      </c>
      <c r="IO330" t="n">
        <v>12</v>
      </c>
      <c r="IP330" t="n">
        <v>39</v>
      </c>
      <c r="IQ330" t="n">
        <v>3</v>
      </c>
      <c r="IR330" t="n">
        <v>11</v>
      </c>
      <c r="IS330" t="n">
        <v>32</v>
      </c>
      <c r="IT330" t="n">
        <v>22</v>
      </c>
      <c r="IU330" t="n">
        <v>11</v>
      </c>
      <c r="IV330" t="n">
        <v>10</v>
      </c>
      <c r="IW330" t="n">
        <v>27</v>
      </c>
      <c r="IX330" t="n">
        <v>19</v>
      </c>
      <c r="IY330" t="n">
        <v>2</v>
      </c>
      <c r="IZ330" t="n">
        <v>39</v>
      </c>
      <c r="JA330" t="n">
        <v>34</v>
      </c>
      <c r="JB330" t="n">
        <v>23</v>
      </c>
      <c r="JC330" t="n">
        <v>6</v>
      </c>
      <c r="JD330" t="n">
        <v>10</v>
      </c>
      <c r="JE330" t="n">
        <v>14</v>
      </c>
      <c r="JF330" t="n">
        <v>10</v>
      </c>
      <c r="JG330" t="n">
        <v>123</v>
      </c>
      <c r="JH330" t="n">
        <v>16</v>
      </c>
      <c r="JI330" t="n">
        <v>6</v>
      </c>
      <c r="JJ330" t="n">
        <v>21</v>
      </c>
      <c r="JK330" t="n">
        <v>232</v>
      </c>
      <c r="JL330" t="n">
        <v>170</v>
      </c>
      <c r="JM330" t="n">
        <v>146</v>
      </c>
      <c r="JN330" t="n">
        <v>283</v>
      </c>
      <c r="JO330" t="n">
        <v>707</v>
      </c>
      <c r="JP330" t="n">
        <v>54</v>
      </c>
      <c r="JQ330" t="n">
        <v>445</v>
      </c>
      <c r="JR330" t="n">
        <v>191</v>
      </c>
      <c r="JS330" t="n">
        <v>1026</v>
      </c>
      <c r="JT330" t="n">
        <v>81</v>
      </c>
      <c r="JV330" t="n">
        <v>251</v>
      </c>
      <c r="JW330" t="n">
        <v>119</v>
      </c>
      <c r="JX330" t="n">
        <v>115</v>
      </c>
      <c r="JY330" t="n">
        <v>214</v>
      </c>
      <c r="JZ330" t="n">
        <v>156</v>
      </c>
      <c r="KA330" t="n">
        <v>116</v>
      </c>
      <c r="KB330" t="n">
        <v>55</v>
      </c>
      <c r="KC330" t="n">
        <v>172</v>
      </c>
      <c r="KD330" t="n">
        <v>114</v>
      </c>
      <c r="KE330" t="n">
        <v>12293</v>
      </c>
      <c r="KF330" t="n">
        <v>5841</v>
      </c>
      <c r="KG330" t="n">
        <v>5720</v>
      </c>
      <c r="KH330" t="n">
        <v>3414</v>
      </c>
      <c r="KI330" t="n">
        <v>276</v>
      </c>
      <c r="KJ330" t="n">
        <v>35</v>
      </c>
      <c r="KK330" t="n">
        <v>1852</v>
      </c>
      <c r="KL330" t="n">
        <v>142</v>
      </c>
      <c r="KM330" t="n">
        <v>2378</v>
      </c>
      <c r="KN330" t="n">
        <v>13</v>
      </c>
      <c r="KO330" t="n">
        <v>17</v>
      </c>
      <c r="KP330" t="n">
        <v>22</v>
      </c>
      <c r="KQ330" t="n">
        <v>2</v>
      </c>
      <c r="KR330" t="n">
        <v>83</v>
      </c>
      <c r="KS330" t="n">
        <v>694</v>
      </c>
      <c r="KT330" t="n">
        <v>0</v>
      </c>
      <c r="KU330" t="n">
        <v>703</v>
      </c>
      <c r="KV330" t="n">
        <v>1402</v>
      </c>
      <c r="KW330" t="n">
        <v>1226</v>
      </c>
      <c r="KX330" t="n">
        <v>769</v>
      </c>
      <c r="KY330" t="n">
        <v>24</v>
      </c>
      <c r="KZ330" t="n">
        <v>409</v>
      </c>
      <c r="LA330" t="n">
        <v>2992</v>
      </c>
      <c r="LB330" t="n">
        <v>0</v>
      </c>
      <c r="LC330" t="n">
        <v>398</v>
      </c>
      <c r="LD330" t="n">
        <v>792</v>
      </c>
      <c r="LE330" t="n">
        <v>416</v>
      </c>
      <c r="LF330" t="n">
        <v>80</v>
      </c>
      <c r="LH330" t="n">
        <v>1946</v>
      </c>
      <c r="LI330" t="n">
        <v>112</v>
      </c>
      <c r="LJ330" t="n">
        <v>15</v>
      </c>
      <c r="LM330" t="n">
        <v>289</v>
      </c>
      <c r="LN330" t="n">
        <v>505</v>
      </c>
      <c r="LO330" t="n">
        <v>1296</v>
      </c>
      <c r="LP330" t="n">
        <v>4</v>
      </c>
      <c r="LQ330" t="n">
        <v>35</v>
      </c>
      <c r="LR330" t="n">
        <v>398</v>
      </c>
      <c r="LS330" t="n">
        <v>48</v>
      </c>
      <c r="LT330" t="n">
        <v>49</v>
      </c>
      <c r="LU330" t="n">
        <v>56</v>
      </c>
      <c r="LV330" t="n">
        <v>166</v>
      </c>
      <c r="LW330" t="n">
        <v>491</v>
      </c>
      <c r="LX330" t="n">
        <v>131</v>
      </c>
      <c r="LY330" t="n">
        <v>39</v>
      </c>
      <c r="LZ330" t="n">
        <v>449</v>
      </c>
      <c r="MA330" t="n">
        <v>2049</v>
      </c>
      <c r="MB330" t="n">
        <v>32</v>
      </c>
      <c r="MC330" t="n">
        <v>14</v>
      </c>
      <c r="MD330" t="n">
        <v>19</v>
      </c>
      <c r="ME330" t="n">
        <v>111</v>
      </c>
      <c r="MF330" t="n">
        <v>681</v>
      </c>
      <c r="MG330" t="n">
        <v>173</v>
      </c>
      <c r="MH330" t="n">
        <v>629</v>
      </c>
      <c r="MI330" t="n">
        <v>53</v>
      </c>
      <c r="MJ330" t="n">
        <v>83</v>
      </c>
      <c r="MK330" t="n">
        <v>113</v>
      </c>
      <c r="ML330" t="n">
        <v>59</v>
      </c>
      <c r="MM330" t="n">
        <v>191</v>
      </c>
      <c r="MN330" t="n">
        <v>183</v>
      </c>
      <c r="MO330" t="n">
        <v>759</v>
      </c>
      <c r="MP330" t="n">
        <v>7</v>
      </c>
      <c r="MQ330" t="n">
        <v>22</v>
      </c>
      <c r="MR330" t="n">
        <v>25</v>
      </c>
      <c r="MS330" t="n">
        <v>667</v>
      </c>
      <c r="MT330" t="n">
        <v>17</v>
      </c>
      <c r="MU330" t="n">
        <v>32</v>
      </c>
      <c r="MV330" t="n">
        <v>195</v>
      </c>
      <c r="MW330" t="n">
        <v>161</v>
      </c>
      <c r="MX330" t="n">
        <v>151</v>
      </c>
      <c r="MY330" t="n">
        <v>141</v>
      </c>
      <c r="MZ330" t="n">
        <v>1785</v>
      </c>
      <c r="NA330" t="n">
        <v>214</v>
      </c>
      <c r="NB330" t="n">
        <v>55</v>
      </c>
      <c r="NC330" t="n">
        <v>67</v>
      </c>
      <c r="ND330" t="n">
        <v>69</v>
      </c>
      <c r="NE330" t="n">
        <v>38</v>
      </c>
      <c r="NF330" t="n">
        <v>95</v>
      </c>
      <c r="NG330" t="n">
        <v>69</v>
      </c>
      <c r="NH330" t="n">
        <v>77</v>
      </c>
      <c r="NI330" t="n">
        <v>90</v>
      </c>
      <c r="NJ330" t="n">
        <v>26</v>
      </c>
      <c r="NK330" t="n">
        <v>31</v>
      </c>
      <c r="NL330" t="n">
        <v>1107</v>
      </c>
      <c r="NM330" t="n">
        <v>168</v>
      </c>
      <c r="NN330" t="n">
        <v>292</v>
      </c>
      <c r="NO330" t="n">
        <v>116</v>
      </c>
      <c r="NP330" t="n">
        <v>103</v>
      </c>
      <c r="NQ330" t="n">
        <v>87</v>
      </c>
      <c r="NR330" t="n">
        <v>119</v>
      </c>
      <c r="NS330" t="n">
        <v>28</v>
      </c>
      <c r="NT330" t="n">
        <v>137</v>
      </c>
      <c r="NU330" t="n">
        <v>35</v>
      </c>
      <c r="NV330" t="n">
        <v>210</v>
      </c>
      <c r="NW330" t="n">
        <v>5</v>
      </c>
      <c r="NX330" t="n">
        <v>43</v>
      </c>
      <c r="NY330" t="n">
        <v>156</v>
      </c>
      <c r="NZ330" t="n">
        <v>1</v>
      </c>
      <c r="OA330" t="n">
        <v>17</v>
      </c>
      <c r="OB330" t="n">
        <v>85</v>
      </c>
      <c r="OD330" t="n">
        <v>1</v>
      </c>
      <c r="OE330" t="n">
        <v>5</v>
      </c>
      <c r="OF330" t="n">
        <v>0</v>
      </c>
      <c r="OG330" t="n">
        <v>10</v>
      </c>
      <c r="OH330" t="n">
        <v>72</v>
      </c>
      <c r="OI330" t="n">
        <v>32</v>
      </c>
      <c r="OJ330" t="n">
        <v>2866</v>
      </c>
      <c r="OK330" t="n">
        <v>174</v>
      </c>
      <c r="OM330" t="n">
        <v>3</v>
      </c>
      <c r="ON330" t="n">
        <v>134</v>
      </c>
      <c r="OO330" t="n">
        <v>106880</v>
      </c>
      <c r="OP330" t="n">
        <v>441</v>
      </c>
      <c r="OV330" t="n">
        <v>3883</v>
      </c>
      <c r="PI330" t="n">
        <v>111204</v>
      </c>
      <c r="PM330">
        <f>IFERROR(VLOOKUP($A330&amp;"",Key!$A:$C,3,FALSE),"")</f>
        <v/>
      </c>
    </row>
    <row r="331">
      <c r="A331" t="inlineStr">
        <is>
          <t>532A00</t>
        </is>
      </c>
      <c r="B331" t="inlineStr">
        <is>
          <t>General and consumer goods rental</t>
        </is>
      </c>
      <c r="AC331" t="n">
        <v>5</v>
      </c>
      <c r="AD331" t="n">
        <v>0</v>
      </c>
      <c r="AM331" t="n">
        <v>3</v>
      </c>
      <c r="AN331" t="n">
        <v>2</v>
      </c>
      <c r="AO331" t="n">
        <v>3</v>
      </c>
      <c r="AP331" t="n">
        <v>3</v>
      </c>
      <c r="AQ331" t="n">
        <v>2</v>
      </c>
      <c r="AR331" t="n">
        <v>6</v>
      </c>
      <c r="AS331" t="n">
        <v>3</v>
      </c>
      <c r="AT331" t="n">
        <v>8</v>
      </c>
      <c r="AU331" t="n">
        <v>2</v>
      </c>
      <c r="AV331" t="n">
        <v>4</v>
      </c>
      <c r="AW331" t="n">
        <v>2</v>
      </c>
      <c r="AX331" t="n">
        <v>2</v>
      </c>
      <c r="AY331" t="n">
        <v>1</v>
      </c>
      <c r="AZ331" t="n">
        <v>1</v>
      </c>
      <c r="BA331" t="n">
        <v>1</v>
      </c>
      <c r="BB331" t="n">
        <v>2</v>
      </c>
      <c r="BC331" t="n">
        <v>9</v>
      </c>
      <c r="BD331" t="n">
        <v>2</v>
      </c>
      <c r="BE331" t="n">
        <v>0</v>
      </c>
      <c r="BF331" t="n">
        <v>0</v>
      </c>
      <c r="BG331" t="n">
        <v>3</v>
      </c>
      <c r="BH331" t="n">
        <v>2</v>
      </c>
      <c r="BI331" t="n">
        <v>1</v>
      </c>
      <c r="BJ331" t="n">
        <v>1</v>
      </c>
      <c r="BK331" t="n">
        <v>1</v>
      </c>
      <c r="BL331" t="n">
        <v>1</v>
      </c>
      <c r="BM331" t="n">
        <v>1</v>
      </c>
      <c r="BN331" t="n">
        <v>1</v>
      </c>
      <c r="BO331" t="n">
        <v>1</v>
      </c>
      <c r="BP331" t="n">
        <v>1</v>
      </c>
      <c r="BQ331" t="n">
        <v>10</v>
      </c>
      <c r="BR331" t="n">
        <v>7</v>
      </c>
      <c r="BS331" t="n">
        <v>1</v>
      </c>
      <c r="BT331" t="n">
        <v>1</v>
      </c>
      <c r="BU331" t="n">
        <v>1</v>
      </c>
      <c r="BW331" t="n">
        <v>1</v>
      </c>
      <c r="BX331" t="n">
        <v>7</v>
      </c>
      <c r="BY331" t="n">
        <v>8</v>
      </c>
      <c r="BZ331" t="n">
        <v>4</v>
      </c>
      <c r="CB331" t="n">
        <v>2</v>
      </c>
      <c r="CC331" t="n">
        <v>1</v>
      </c>
      <c r="CD331" t="n">
        <v>1</v>
      </c>
      <c r="CE331" t="n">
        <v>1</v>
      </c>
      <c r="CF331" t="n">
        <v>2</v>
      </c>
      <c r="CG331" t="n">
        <v>1</v>
      </c>
      <c r="CH331" t="n">
        <v>0</v>
      </c>
      <c r="CI331" t="n">
        <v>2</v>
      </c>
      <c r="CJ331" t="n">
        <v>2</v>
      </c>
      <c r="CL331" t="n">
        <v>3</v>
      </c>
      <c r="CO331" t="n">
        <v>1</v>
      </c>
      <c r="CQ331" t="n">
        <v>2</v>
      </c>
      <c r="CS331" t="n">
        <v>1</v>
      </c>
      <c r="CT331" t="n">
        <v>1</v>
      </c>
      <c r="CU331" t="n">
        <v>1</v>
      </c>
      <c r="CV331" t="n">
        <v>1</v>
      </c>
      <c r="CW331" t="n">
        <v>1</v>
      </c>
      <c r="CX331" t="n">
        <v>0</v>
      </c>
      <c r="CY331" t="n">
        <v>0</v>
      </c>
      <c r="CZ331" t="n">
        <v>1</v>
      </c>
      <c r="DA331" t="n">
        <v>1</v>
      </c>
      <c r="DB331" t="n">
        <v>1</v>
      </c>
      <c r="DC331" t="n">
        <v>4</v>
      </c>
      <c r="DD331" t="n">
        <v>0</v>
      </c>
      <c r="DE331" t="n">
        <v>0</v>
      </c>
      <c r="DG331" t="n">
        <v>1</v>
      </c>
      <c r="DH331" t="n">
        <v>1</v>
      </c>
      <c r="DK331" t="n">
        <v>0</v>
      </c>
      <c r="DM331" t="n">
        <v>0</v>
      </c>
      <c r="DO331" t="n">
        <v>1</v>
      </c>
      <c r="DP331" t="n">
        <v>0</v>
      </c>
      <c r="DQ331" t="n">
        <v>0</v>
      </c>
      <c r="DR331" t="n">
        <v>2</v>
      </c>
      <c r="DS331" t="n">
        <v>1</v>
      </c>
      <c r="DU331" t="n">
        <v>0</v>
      </c>
      <c r="DV331" t="n">
        <v>0</v>
      </c>
      <c r="DW331" t="n">
        <v>0</v>
      </c>
      <c r="DX331" t="n">
        <v>1</v>
      </c>
      <c r="DZ331" t="n">
        <v>0</v>
      </c>
      <c r="ED331" t="n">
        <v>1</v>
      </c>
      <c r="EG331" t="n">
        <v>0</v>
      </c>
      <c r="EH331" t="n">
        <v>1</v>
      </c>
      <c r="EI331" t="n">
        <v>1</v>
      </c>
      <c r="EJ331" t="n">
        <v>1</v>
      </c>
      <c r="EK331" t="n">
        <v>0</v>
      </c>
      <c r="EM331" t="n">
        <v>0</v>
      </c>
      <c r="EN331" t="n">
        <v>0</v>
      </c>
      <c r="EP331" t="n">
        <v>1</v>
      </c>
      <c r="EQ331" t="n">
        <v>0</v>
      </c>
      <c r="ER331" t="n">
        <v>1</v>
      </c>
      <c r="ES331" t="n">
        <v>0</v>
      </c>
      <c r="ET331" t="n">
        <v>1</v>
      </c>
      <c r="EU331" t="n">
        <v>1</v>
      </c>
      <c r="EW331" t="n">
        <v>1</v>
      </c>
      <c r="EX331" t="n">
        <v>3</v>
      </c>
      <c r="EY331" t="n">
        <v>2</v>
      </c>
      <c r="EZ331" t="n">
        <v>2</v>
      </c>
      <c r="FA331" t="n">
        <v>5</v>
      </c>
      <c r="FB331" t="n">
        <v>4</v>
      </c>
      <c r="FC331" t="n">
        <v>4</v>
      </c>
      <c r="FD331" t="n">
        <v>2</v>
      </c>
      <c r="FE331" t="n">
        <v>6</v>
      </c>
      <c r="FF331" t="n">
        <v>4</v>
      </c>
      <c r="FG331" t="n">
        <v>3</v>
      </c>
      <c r="FH331" t="n">
        <v>2</v>
      </c>
      <c r="FI331" t="n">
        <v>11</v>
      </c>
      <c r="FJ331" t="n">
        <v>1</v>
      </c>
      <c r="FK331" t="n">
        <v>5</v>
      </c>
      <c r="FL331" t="n">
        <v>2</v>
      </c>
      <c r="FP331" t="n">
        <v>2</v>
      </c>
      <c r="FQ331" t="n">
        <v>5</v>
      </c>
      <c r="FR331" t="n">
        <v>0</v>
      </c>
      <c r="FS331" t="n">
        <v>1</v>
      </c>
      <c r="FU331" t="n">
        <v>1</v>
      </c>
      <c r="FV331" t="n">
        <v>2</v>
      </c>
      <c r="FW331" t="n">
        <v>1</v>
      </c>
      <c r="FX331" t="n">
        <v>2</v>
      </c>
      <c r="FY331" t="n">
        <v>1</v>
      </c>
      <c r="GB331" t="n">
        <v>1</v>
      </c>
      <c r="GC331" t="n">
        <v>1</v>
      </c>
      <c r="GD331" t="n">
        <v>1</v>
      </c>
      <c r="GG331" t="n">
        <v>2</v>
      </c>
      <c r="GH331" t="n">
        <v>1</v>
      </c>
      <c r="GI331" t="n">
        <v>2</v>
      </c>
      <c r="GJ331" t="n">
        <v>2</v>
      </c>
      <c r="GK331" t="n">
        <v>2</v>
      </c>
      <c r="GL331" t="n">
        <v>1</v>
      </c>
      <c r="GM331" t="n">
        <v>0</v>
      </c>
      <c r="GN331" t="n">
        <v>0</v>
      </c>
      <c r="GP331" t="n">
        <v>7</v>
      </c>
      <c r="GQ331" t="n">
        <v>4</v>
      </c>
      <c r="GR331" t="n">
        <v>7</v>
      </c>
      <c r="GS331" t="n">
        <v>3</v>
      </c>
      <c r="GT331" t="n">
        <v>2</v>
      </c>
      <c r="GU331" t="n">
        <v>6</v>
      </c>
      <c r="GV331" t="n">
        <v>1</v>
      </c>
      <c r="GW331" t="n">
        <v>3</v>
      </c>
      <c r="GX331" t="n">
        <v>7</v>
      </c>
      <c r="GY331" t="n">
        <v>1</v>
      </c>
      <c r="GZ331" t="n">
        <v>9</v>
      </c>
      <c r="HA331" t="n">
        <v>6</v>
      </c>
      <c r="HB331" t="n">
        <v>5</v>
      </c>
      <c r="HC331" t="n">
        <v>1</v>
      </c>
      <c r="HD331" t="n">
        <v>2</v>
      </c>
      <c r="HE331" t="n">
        <v>2</v>
      </c>
      <c r="HF331" t="n">
        <v>4</v>
      </c>
      <c r="HG331" t="n">
        <v>4</v>
      </c>
      <c r="HH331" t="n">
        <v>3</v>
      </c>
      <c r="HI331" t="n">
        <v>3</v>
      </c>
      <c r="HK331" t="n">
        <v>3</v>
      </c>
      <c r="HM331" t="n">
        <v>1</v>
      </c>
      <c r="HO331" t="n">
        <v>0</v>
      </c>
      <c r="HQ331" t="n">
        <v>0</v>
      </c>
      <c r="HR331" t="n">
        <v>0</v>
      </c>
      <c r="HT331" t="n">
        <v>2</v>
      </c>
      <c r="HU331" t="n">
        <v>6</v>
      </c>
      <c r="HV331" t="n">
        <v>5</v>
      </c>
      <c r="HW331" t="n">
        <v>13</v>
      </c>
      <c r="HX331" t="n">
        <v>2</v>
      </c>
      <c r="HY331" t="n">
        <v>0</v>
      </c>
      <c r="HZ331" t="n">
        <v>1</v>
      </c>
      <c r="IA331" t="n">
        <v>1</v>
      </c>
      <c r="IB331" t="n">
        <v>20</v>
      </c>
      <c r="IC331" t="n">
        <v>1</v>
      </c>
      <c r="ID331" t="n">
        <v>36</v>
      </c>
      <c r="IE331" t="n">
        <v>7</v>
      </c>
      <c r="IF331" t="n">
        <v>2</v>
      </c>
      <c r="IG331" t="n">
        <v>2</v>
      </c>
      <c r="IH331" t="n">
        <v>5</v>
      </c>
      <c r="II331" t="n">
        <v>3</v>
      </c>
      <c r="IJ331" t="n">
        <v>0</v>
      </c>
      <c r="IK331" t="n">
        <v>7</v>
      </c>
      <c r="IL331" t="n">
        <v>20</v>
      </c>
      <c r="IM331" t="n">
        <v>13</v>
      </c>
      <c r="IN331" t="n">
        <v>1</v>
      </c>
      <c r="IO331" t="n">
        <v>1</v>
      </c>
      <c r="IP331" t="n">
        <v>4</v>
      </c>
      <c r="IQ331" t="n">
        <v>0</v>
      </c>
      <c r="IR331" t="n">
        <v>1</v>
      </c>
      <c r="IS331" t="n">
        <v>3</v>
      </c>
      <c r="IT331" t="n">
        <v>2</v>
      </c>
      <c r="IU331" t="n">
        <v>1</v>
      </c>
      <c r="IV331" t="n">
        <v>1</v>
      </c>
      <c r="IW331" t="n">
        <v>3</v>
      </c>
      <c r="IX331" t="n">
        <v>2</v>
      </c>
      <c r="IY331" t="n">
        <v>0</v>
      </c>
      <c r="IZ331" t="n">
        <v>4</v>
      </c>
      <c r="JA331" t="n">
        <v>4</v>
      </c>
      <c r="JB331" t="n">
        <v>2</v>
      </c>
      <c r="JD331" t="n">
        <v>1</v>
      </c>
      <c r="JE331" t="n">
        <v>1</v>
      </c>
      <c r="JF331" t="n">
        <v>1</v>
      </c>
      <c r="JG331" t="n">
        <v>14</v>
      </c>
      <c r="JH331" t="n">
        <v>2</v>
      </c>
      <c r="JI331" t="n">
        <v>1</v>
      </c>
      <c r="JJ331" t="n">
        <v>2</v>
      </c>
      <c r="JK331" t="n">
        <v>34</v>
      </c>
      <c r="JL331" t="n">
        <v>26</v>
      </c>
      <c r="JM331" t="n">
        <v>22</v>
      </c>
      <c r="JN331" t="n">
        <v>43</v>
      </c>
      <c r="JO331" t="n">
        <v>101</v>
      </c>
      <c r="JP331" t="n">
        <v>8</v>
      </c>
      <c r="JQ331" t="n">
        <v>64</v>
      </c>
      <c r="JR331" t="n">
        <v>28</v>
      </c>
      <c r="JS331" t="n">
        <v>149</v>
      </c>
      <c r="JT331" t="n">
        <v>13</v>
      </c>
      <c r="JV331" t="n">
        <v>36</v>
      </c>
      <c r="JW331" t="n">
        <v>16</v>
      </c>
      <c r="JX331" t="n">
        <v>50</v>
      </c>
      <c r="JY331" t="n">
        <v>32</v>
      </c>
      <c r="JZ331" t="n">
        <v>23</v>
      </c>
      <c r="KA331" t="n">
        <v>17</v>
      </c>
      <c r="KB331" t="n">
        <v>8</v>
      </c>
      <c r="KC331" t="n">
        <v>24</v>
      </c>
      <c r="KD331" t="n">
        <v>15</v>
      </c>
      <c r="KE331" t="n">
        <v>0</v>
      </c>
      <c r="KF331" t="n">
        <v>9</v>
      </c>
      <c r="KH331" t="n">
        <v>1558</v>
      </c>
      <c r="KJ331" t="n">
        <v>6</v>
      </c>
      <c r="KK331" t="n">
        <v>225</v>
      </c>
      <c r="KL331" t="n">
        <v>530</v>
      </c>
      <c r="KM331" t="n">
        <v>439</v>
      </c>
      <c r="KN331" t="n">
        <v>2</v>
      </c>
      <c r="KO331" t="n">
        <v>2</v>
      </c>
      <c r="KP331" t="n">
        <v>3</v>
      </c>
      <c r="KQ331" t="n">
        <v>0</v>
      </c>
      <c r="KR331" t="n">
        <v>11</v>
      </c>
      <c r="KS331" t="n">
        <v>81</v>
      </c>
      <c r="KT331" t="n">
        <v>0</v>
      </c>
      <c r="KU331" t="n">
        <v>2</v>
      </c>
      <c r="KV331" t="n">
        <v>6</v>
      </c>
      <c r="KW331" t="n">
        <v>177</v>
      </c>
      <c r="KX331" t="n">
        <v>105</v>
      </c>
      <c r="KY331" t="n">
        <v>2</v>
      </c>
      <c r="KZ331" t="n">
        <v>40</v>
      </c>
      <c r="LA331" t="n">
        <v>1</v>
      </c>
      <c r="LC331" t="n">
        <v>55</v>
      </c>
      <c r="LD331" t="n">
        <v>109</v>
      </c>
      <c r="LE331" t="n">
        <v>58</v>
      </c>
      <c r="LF331" t="n">
        <v>11</v>
      </c>
      <c r="LH331" t="n">
        <v>273</v>
      </c>
      <c r="LI331" t="n">
        <v>16</v>
      </c>
      <c r="LL331" t="n">
        <v>0</v>
      </c>
      <c r="LM331" t="n">
        <v>37</v>
      </c>
      <c r="LN331" t="n">
        <v>70</v>
      </c>
      <c r="LO331" t="n">
        <v>177</v>
      </c>
      <c r="LP331" t="n">
        <v>16</v>
      </c>
      <c r="LQ331" t="n">
        <v>135</v>
      </c>
      <c r="LR331" t="n">
        <v>147</v>
      </c>
      <c r="LS331" t="n">
        <v>7</v>
      </c>
      <c r="LT331" t="n">
        <v>7</v>
      </c>
      <c r="LU331" t="n">
        <v>42</v>
      </c>
      <c r="LV331" t="n">
        <v>88</v>
      </c>
      <c r="LW331" t="n">
        <v>72</v>
      </c>
      <c r="LX331" t="n">
        <v>86</v>
      </c>
      <c r="LY331" t="n">
        <v>24</v>
      </c>
      <c r="LZ331" t="n">
        <v>64</v>
      </c>
      <c r="MA331" t="n">
        <v>43</v>
      </c>
      <c r="MB331" t="n">
        <v>4</v>
      </c>
      <c r="MC331" t="n">
        <v>2</v>
      </c>
      <c r="MD331" t="n">
        <v>3</v>
      </c>
      <c r="ME331" t="n">
        <v>62</v>
      </c>
      <c r="MF331" t="n">
        <v>1133</v>
      </c>
      <c r="MG331" t="n">
        <v>48</v>
      </c>
      <c r="MH331" t="n">
        <v>1469</v>
      </c>
      <c r="MI331" t="n">
        <v>62</v>
      </c>
      <c r="MJ331" t="n">
        <v>12</v>
      </c>
      <c r="MK331" t="n">
        <v>27</v>
      </c>
      <c r="ML331" t="n">
        <v>65</v>
      </c>
      <c r="MM331" t="n">
        <v>27</v>
      </c>
      <c r="MN331" t="n">
        <v>79</v>
      </c>
      <c r="MO331" t="n">
        <v>104</v>
      </c>
      <c r="MP331" t="n">
        <v>393</v>
      </c>
      <c r="MQ331" t="n">
        <v>584</v>
      </c>
      <c r="MR331" t="n">
        <v>2</v>
      </c>
      <c r="MS331" t="n">
        <v>63</v>
      </c>
      <c r="MT331" t="n">
        <v>2</v>
      </c>
      <c r="MU331" t="n">
        <v>3</v>
      </c>
      <c r="MV331" t="n">
        <v>16</v>
      </c>
      <c r="MW331" t="n">
        <v>15</v>
      </c>
      <c r="MX331" t="n">
        <v>7</v>
      </c>
      <c r="MY331" t="n">
        <v>13</v>
      </c>
      <c r="MZ331" t="n">
        <v>148</v>
      </c>
      <c r="NA331" t="n">
        <v>20</v>
      </c>
      <c r="NB331" t="n">
        <v>5</v>
      </c>
      <c r="NC331" t="n">
        <v>6</v>
      </c>
      <c r="ND331" t="n">
        <v>6</v>
      </c>
      <c r="NE331" t="n">
        <v>3</v>
      </c>
      <c r="NF331" t="n">
        <v>19</v>
      </c>
      <c r="NG331" t="n">
        <v>8</v>
      </c>
      <c r="NH331" t="n">
        <v>11</v>
      </c>
      <c r="NI331" t="n">
        <v>13</v>
      </c>
      <c r="NJ331" t="n">
        <v>4</v>
      </c>
      <c r="NK331" t="n">
        <v>4</v>
      </c>
      <c r="NL331" t="n">
        <v>12</v>
      </c>
      <c r="NM331" t="n">
        <v>24</v>
      </c>
      <c r="NN331" t="n">
        <v>39</v>
      </c>
      <c r="NO331" t="n">
        <v>15</v>
      </c>
      <c r="NP331" t="n">
        <v>14</v>
      </c>
      <c r="NQ331" t="n">
        <v>6</v>
      </c>
      <c r="NR331" t="n">
        <v>17</v>
      </c>
      <c r="NS331" t="n">
        <v>4</v>
      </c>
      <c r="NT331" t="n">
        <v>19</v>
      </c>
      <c r="NU331" t="n">
        <v>5</v>
      </c>
      <c r="NV331" t="n">
        <v>29</v>
      </c>
      <c r="NW331" t="n">
        <v>0</v>
      </c>
      <c r="NX331" t="n">
        <v>6</v>
      </c>
      <c r="NY331" t="n">
        <v>22</v>
      </c>
      <c r="OA331" t="n">
        <v>2</v>
      </c>
      <c r="OB331" t="n">
        <v>12</v>
      </c>
      <c r="OI331" t="n">
        <v>778</v>
      </c>
      <c r="OJ331" t="n">
        <v>1153</v>
      </c>
      <c r="OK331" t="n">
        <v>175</v>
      </c>
      <c r="ON331" t="n">
        <v>26</v>
      </c>
      <c r="OO331" t="n">
        <v>12770</v>
      </c>
      <c r="OP331" t="n">
        <v>18051</v>
      </c>
      <c r="OV331" t="n">
        <v>920</v>
      </c>
      <c r="PI331" t="n">
        <v>31741</v>
      </c>
      <c r="PM331">
        <f>IFERROR(VLOOKUP($A331&amp;"",Key!$A:$C,3,FALSE),"")</f>
        <v/>
      </c>
    </row>
    <row r="332">
      <c r="A332" t="n">
        <v>533000</v>
      </c>
      <c r="B332" t="inlineStr">
        <is>
          <t>Lessors of nonfinancial intangible assets</t>
        </is>
      </c>
      <c r="C332" t="n">
        <v>4</v>
      </c>
      <c r="D332" t="n">
        <v>23</v>
      </c>
      <c r="E332" t="n">
        <v>14</v>
      </c>
      <c r="F332" t="n">
        <v>12</v>
      </c>
      <c r="G332" t="n">
        <v>6</v>
      </c>
      <c r="H332" t="n">
        <v>8</v>
      </c>
      <c r="O332" t="n">
        <v>8</v>
      </c>
      <c r="P332" t="n">
        <v>85</v>
      </c>
      <c r="Q332" t="n">
        <v>216</v>
      </c>
      <c r="R332" t="n">
        <v>11</v>
      </c>
      <c r="S332" t="n">
        <v>7</v>
      </c>
      <c r="T332" t="n">
        <v>17</v>
      </c>
      <c r="U332" t="n">
        <v>28</v>
      </c>
      <c r="V332" t="n">
        <v>77</v>
      </c>
      <c r="W332" t="n">
        <v>610</v>
      </c>
      <c r="X332" t="n">
        <v>536</v>
      </c>
      <c r="Y332" t="n">
        <v>27</v>
      </c>
      <c r="Z332" t="n">
        <v>19</v>
      </c>
      <c r="AA332" t="n">
        <v>5</v>
      </c>
      <c r="AB332" t="n">
        <v>1</v>
      </c>
      <c r="AC332" t="n">
        <v>81</v>
      </c>
      <c r="AD332" t="n">
        <v>51</v>
      </c>
      <c r="AE332" t="n">
        <v>41</v>
      </c>
      <c r="AF332" t="n">
        <v>16</v>
      </c>
      <c r="AG332" t="n">
        <v>107</v>
      </c>
      <c r="AH332" t="n">
        <v>51</v>
      </c>
      <c r="AI332" t="n">
        <v>25</v>
      </c>
      <c r="AJ332" t="n">
        <v>91</v>
      </c>
      <c r="AK332" t="n">
        <v>73</v>
      </c>
      <c r="AL332" t="n">
        <v>81</v>
      </c>
      <c r="AM332" t="n">
        <v>6</v>
      </c>
      <c r="AN332" t="n">
        <v>2</v>
      </c>
      <c r="AO332" t="n">
        <v>14</v>
      </c>
      <c r="AP332" t="n">
        <v>10</v>
      </c>
      <c r="AQ332" t="n">
        <v>7</v>
      </c>
      <c r="AR332" t="n">
        <v>51</v>
      </c>
      <c r="AS332" t="n">
        <v>10</v>
      </c>
      <c r="AT332" t="n">
        <v>72</v>
      </c>
      <c r="AU332" t="n">
        <v>3</v>
      </c>
      <c r="AV332" t="n">
        <v>27</v>
      </c>
      <c r="AW332" t="n">
        <v>2</v>
      </c>
      <c r="AX332" t="n">
        <v>3</v>
      </c>
      <c r="AY332" t="n">
        <v>7</v>
      </c>
      <c r="AZ332" t="n">
        <v>2</v>
      </c>
      <c r="BA332" t="n">
        <v>10</v>
      </c>
      <c r="BB332" t="n">
        <v>9</v>
      </c>
      <c r="BC332" t="n">
        <v>73</v>
      </c>
      <c r="BD332" t="n">
        <v>21</v>
      </c>
      <c r="BE332" t="n">
        <v>5</v>
      </c>
      <c r="BF332" t="n">
        <v>2</v>
      </c>
      <c r="BG332" t="n">
        <v>22</v>
      </c>
      <c r="BH332" t="n">
        <v>3</v>
      </c>
      <c r="BI332" t="n">
        <v>13</v>
      </c>
      <c r="BJ332" t="n">
        <v>13</v>
      </c>
      <c r="BK332" t="n">
        <v>19</v>
      </c>
      <c r="BL332" t="n">
        <v>25</v>
      </c>
      <c r="BM332" t="n">
        <v>10</v>
      </c>
      <c r="BN332" t="n">
        <v>16</v>
      </c>
      <c r="BO332" t="n">
        <v>28</v>
      </c>
      <c r="BP332" t="n">
        <v>31</v>
      </c>
      <c r="BQ332" t="n">
        <v>134</v>
      </c>
      <c r="BR332" t="n">
        <v>87</v>
      </c>
      <c r="BS332" t="n">
        <v>17</v>
      </c>
      <c r="BT332" t="n">
        <v>20</v>
      </c>
      <c r="BU332" t="n">
        <v>17</v>
      </c>
      <c r="BV332" t="n">
        <v>20</v>
      </c>
      <c r="BW332" t="n">
        <v>26</v>
      </c>
      <c r="BX332" t="n">
        <v>79</v>
      </c>
      <c r="BY332" t="n">
        <v>89</v>
      </c>
      <c r="BZ332" t="n">
        <v>51</v>
      </c>
      <c r="CA332" t="n">
        <v>3</v>
      </c>
      <c r="CB332" t="n">
        <v>55</v>
      </c>
      <c r="CC332" t="n">
        <v>6</v>
      </c>
      <c r="CD332" t="n">
        <v>12</v>
      </c>
      <c r="CE332" t="n">
        <v>9</v>
      </c>
      <c r="CF332" t="n">
        <v>28</v>
      </c>
      <c r="CG332" t="n">
        <v>48</v>
      </c>
      <c r="CH332" t="n">
        <v>23</v>
      </c>
      <c r="CI332" t="n">
        <v>20</v>
      </c>
      <c r="CJ332" t="n">
        <v>18</v>
      </c>
      <c r="CK332" t="n">
        <v>19</v>
      </c>
      <c r="CL332" t="n">
        <v>65</v>
      </c>
      <c r="CM332" t="n">
        <v>10</v>
      </c>
      <c r="CN332" t="n">
        <v>3</v>
      </c>
      <c r="CO332" t="n">
        <v>79</v>
      </c>
      <c r="CP332" t="n">
        <v>15</v>
      </c>
      <c r="CQ332" t="n">
        <v>50</v>
      </c>
      <c r="CR332" t="n">
        <v>9</v>
      </c>
      <c r="CS332" t="n">
        <v>13</v>
      </c>
      <c r="CT332" t="n">
        <v>16</v>
      </c>
      <c r="CU332" t="n">
        <v>15</v>
      </c>
      <c r="CV332" t="n">
        <v>18</v>
      </c>
      <c r="CW332" t="n">
        <v>19</v>
      </c>
      <c r="CX332" t="n">
        <v>2</v>
      </c>
      <c r="CY332" t="n">
        <v>8</v>
      </c>
      <c r="CZ332" t="n">
        <v>65</v>
      </c>
      <c r="DA332" t="n">
        <v>18</v>
      </c>
      <c r="DB332" t="n">
        <v>42</v>
      </c>
      <c r="DC332" t="n">
        <v>48</v>
      </c>
      <c r="DD332" t="n">
        <v>6</v>
      </c>
      <c r="DE332" t="n">
        <v>15</v>
      </c>
      <c r="DF332" t="n">
        <v>3</v>
      </c>
      <c r="DG332" t="n">
        <v>44</v>
      </c>
      <c r="DH332" t="n">
        <v>16</v>
      </c>
      <c r="DK332" t="n">
        <v>0</v>
      </c>
      <c r="DL332" t="n">
        <v>0</v>
      </c>
      <c r="DM332" t="n">
        <v>0</v>
      </c>
      <c r="DN332" t="n">
        <v>0</v>
      </c>
      <c r="DO332" t="n">
        <v>1</v>
      </c>
      <c r="DP332" t="n">
        <v>1</v>
      </c>
      <c r="DQ332" t="n">
        <v>14</v>
      </c>
      <c r="DR332" t="n">
        <v>213</v>
      </c>
      <c r="DS332" t="n">
        <v>15</v>
      </c>
      <c r="DU332" t="n">
        <v>16</v>
      </c>
      <c r="DV332" t="n">
        <v>6</v>
      </c>
      <c r="DW332" t="n">
        <v>26</v>
      </c>
      <c r="DX332" t="n">
        <v>55</v>
      </c>
      <c r="DY332" t="n">
        <v>9</v>
      </c>
      <c r="DZ332" t="n">
        <v>63</v>
      </c>
      <c r="EB332" t="n">
        <v>1</v>
      </c>
      <c r="EC332" t="n">
        <v>3</v>
      </c>
      <c r="ED332" t="n">
        <v>52</v>
      </c>
      <c r="EE332" t="n">
        <v>3</v>
      </c>
      <c r="EF332" t="n">
        <v>9</v>
      </c>
      <c r="EG332" t="n">
        <v>5</v>
      </c>
      <c r="EH332" t="n">
        <v>1</v>
      </c>
      <c r="EI332" t="n">
        <v>20</v>
      </c>
      <c r="EJ332" t="n">
        <v>0</v>
      </c>
      <c r="EK332" t="n">
        <v>16</v>
      </c>
      <c r="EL332" t="n">
        <v>3</v>
      </c>
      <c r="EM332" t="n">
        <v>19</v>
      </c>
      <c r="EN332" t="n">
        <v>35</v>
      </c>
      <c r="EO332" t="n">
        <v>2</v>
      </c>
      <c r="EP332" t="n">
        <v>52</v>
      </c>
      <c r="EQ332" t="n">
        <v>13</v>
      </c>
      <c r="ER332" t="n">
        <v>52</v>
      </c>
      <c r="ES332" t="n">
        <v>18</v>
      </c>
      <c r="ET332" t="n">
        <v>54</v>
      </c>
      <c r="EU332" t="n">
        <v>35</v>
      </c>
      <c r="EV332" t="n">
        <v>1</v>
      </c>
      <c r="EW332" t="n">
        <v>76</v>
      </c>
      <c r="EX332" t="n">
        <v>39</v>
      </c>
      <c r="EY332" t="n">
        <v>79</v>
      </c>
      <c r="EZ332" t="n">
        <v>125</v>
      </c>
      <c r="FA332" t="n">
        <v>141</v>
      </c>
      <c r="FB332" t="n">
        <v>58</v>
      </c>
      <c r="FC332" t="n">
        <v>103</v>
      </c>
      <c r="FD332" t="n">
        <v>86</v>
      </c>
      <c r="FE332" t="n">
        <v>56</v>
      </c>
      <c r="FF332" t="n">
        <v>69</v>
      </c>
      <c r="FG332" t="n">
        <v>73</v>
      </c>
      <c r="FH332" t="n">
        <v>2</v>
      </c>
      <c r="FI332" t="n">
        <v>15</v>
      </c>
      <c r="FJ332" t="n">
        <v>84</v>
      </c>
      <c r="FK332" t="n">
        <v>92</v>
      </c>
      <c r="FL332" t="n">
        <v>34</v>
      </c>
      <c r="FM332" t="n">
        <v>19</v>
      </c>
      <c r="FO332" t="n">
        <v>5</v>
      </c>
      <c r="FP332" t="n">
        <v>12</v>
      </c>
      <c r="FQ332" t="n">
        <v>3</v>
      </c>
      <c r="FR332" t="n">
        <v>2</v>
      </c>
      <c r="FS332" t="n">
        <v>7</v>
      </c>
      <c r="FT332" t="n">
        <v>1</v>
      </c>
      <c r="FU332" t="n">
        <v>1</v>
      </c>
      <c r="FV332" t="n">
        <v>10</v>
      </c>
      <c r="FW332" t="n">
        <v>4</v>
      </c>
      <c r="FX332" t="n">
        <v>85</v>
      </c>
      <c r="FY332" t="n">
        <v>133</v>
      </c>
      <c r="FZ332" t="n">
        <v>16</v>
      </c>
      <c r="GA332" t="n">
        <v>17</v>
      </c>
      <c r="GB332" t="n">
        <v>18</v>
      </c>
      <c r="GC332" t="n">
        <v>43</v>
      </c>
      <c r="GD332" t="n">
        <v>37</v>
      </c>
      <c r="GE332" t="n">
        <v>2</v>
      </c>
      <c r="GF332" t="n">
        <v>7</v>
      </c>
      <c r="GG332" t="n">
        <v>46</v>
      </c>
      <c r="GH332" t="n">
        <v>122</v>
      </c>
      <c r="GI332" t="n">
        <v>25</v>
      </c>
      <c r="GJ332" t="n">
        <v>13</v>
      </c>
      <c r="GK332" t="n">
        <v>14</v>
      </c>
      <c r="GL332" t="n">
        <v>3</v>
      </c>
      <c r="GM332" t="n">
        <v>3</v>
      </c>
      <c r="GN332" t="n">
        <v>1</v>
      </c>
      <c r="GO332" t="n">
        <v>3</v>
      </c>
      <c r="GP332" t="n">
        <v>22</v>
      </c>
      <c r="GQ332" t="n">
        <v>14</v>
      </c>
      <c r="GR332" t="n">
        <v>21</v>
      </c>
      <c r="GS332" t="n">
        <v>11</v>
      </c>
      <c r="GT332" t="n">
        <v>12</v>
      </c>
      <c r="GU332" t="n">
        <v>48</v>
      </c>
      <c r="GV332" t="n">
        <v>6</v>
      </c>
      <c r="GW332" t="n">
        <v>56</v>
      </c>
      <c r="GX332" t="n">
        <v>43</v>
      </c>
      <c r="GY332" t="n">
        <v>12</v>
      </c>
      <c r="GZ332" t="n">
        <v>123</v>
      </c>
      <c r="HA332" t="n">
        <v>26</v>
      </c>
      <c r="HB332" t="n">
        <v>17</v>
      </c>
      <c r="HC332" t="n">
        <v>8</v>
      </c>
      <c r="HE332" t="n">
        <v>26</v>
      </c>
      <c r="HF332" t="n">
        <v>30</v>
      </c>
      <c r="HG332" t="n">
        <v>280</v>
      </c>
      <c r="HH332" t="n">
        <v>167</v>
      </c>
      <c r="HI332" t="n">
        <v>151</v>
      </c>
      <c r="HK332" t="n">
        <v>48</v>
      </c>
      <c r="HL332" t="n">
        <v>4</v>
      </c>
      <c r="HM332" t="n">
        <v>13</v>
      </c>
      <c r="HN332" t="n">
        <v>8</v>
      </c>
      <c r="HR332" t="n">
        <v>11</v>
      </c>
      <c r="HS332" t="n">
        <v>2</v>
      </c>
      <c r="HT332" t="n">
        <v>16</v>
      </c>
      <c r="HU332" t="n">
        <v>27</v>
      </c>
      <c r="HV332" t="n">
        <v>42</v>
      </c>
      <c r="HW332" t="n">
        <v>141</v>
      </c>
      <c r="HX332" t="n">
        <v>28</v>
      </c>
      <c r="HY332" t="n">
        <v>11</v>
      </c>
      <c r="HZ332" t="n">
        <v>24</v>
      </c>
      <c r="IA332" t="n">
        <v>2</v>
      </c>
      <c r="IB332" t="n">
        <v>121</v>
      </c>
      <c r="IC332" t="n">
        <v>1</v>
      </c>
      <c r="ID332" t="n">
        <v>160</v>
      </c>
      <c r="IE332" t="n">
        <v>25</v>
      </c>
      <c r="IF332" t="n">
        <v>8</v>
      </c>
      <c r="IG332" t="n">
        <v>5</v>
      </c>
      <c r="IH332" t="n">
        <v>40</v>
      </c>
      <c r="II332" t="n">
        <v>31</v>
      </c>
      <c r="IJ332" t="n">
        <v>31</v>
      </c>
      <c r="IK332" t="n">
        <v>174</v>
      </c>
      <c r="IL332" t="n">
        <v>487</v>
      </c>
      <c r="IM332" t="n">
        <v>459</v>
      </c>
      <c r="IN332" t="n">
        <v>88</v>
      </c>
      <c r="IP332" t="n">
        <v>35</v>
      </c>
      <c r="IQ332" t="n">
        <v>149</v>
      </c>
      <c r="IR332" t="n">
        <v>21</v>
      </c>
      <c r="IS332" t="n">
        <v>60</v>
      </c>
      <c r="IT332" t="n">
        <v>14</v>
      </c>
      <c r="IU332" t="n">
        <v>95</v>
      </c>
      <c r="IV332" t="n">
        <v>73</v>
      </c>
      <c r="IW332" t="n">
        <v>70</v>
      </c>
      <c r="IY332" t="n">
        <v>13</v>
      </c>
      <c r="IZ332" t="n">
        <v>151</v>
      </c>
      <c r="JA332" t="n">
        <v>44</v>
      </c>
      <c r="JB332" t="n">
        <v>19</v>
      </c>
      <c r="JC332" t="n">
        <v>3</v>
      </c>
      <c r="JD332" t="n">
        <v>3</v>
      </c>
      <c r="JE332" t="n">
        <v>10</v>
      </c>
      <c r="JF332" t="n">
        <v>7</v>
      </c>
      <c r="JG332" t="n">
        <v>219</v>
      </c>
      <c r="JH332" t="n">
        <v>8</v>
      </c>
      <c r="JI332" t="n">
        <v>5</v>
      </c>
      <c r="JJ332" t="n">
        <v>16</v>
      </c>
      <c r="JK332" t="n">
        <v>1634</v>
      </c>
      <c r="JL332" t="n">
        <v>1154</v>
      </c>
      <c r="JM332" t="n">
        <v>1612</v>
      </c>
      <c r="JN332" t="n">
        <v>821</v>
      </c>
      <c r="JO332" t="n">
        <v>1476</v>
      </c>
      <c r="JP332" t="n">
        <v>707</v>
      </c>
      <c r="JQ332" t="n">
        <v>1847</v>
      </c>
      <c r="JR332" t="n">
        <v>113</v>
      </c>
      <c r="JS332" t="n">
        <v>3635</v>
      </c>
      <c r="JT332" t="n">
        <v>1</v>
      </c>
      <c r="JV332" t="n">
        <v>296</v>
      </c>
      <c r="JW332" t="n">
        <v>640</v>
      </c>
      <c r="JX332" t="n">
        <v>2228</v>
      </c>
      <c r="JY332" t="n">
        <v>1652</v>
      </c>
      <c r="JZ332" t="n">
        <v>193</v>
      </c>
      <c r="KA332" t="n">
        <v>255</v>
      </c>
      <c r="KB332" t="n">
        <v>361</v>
      </c>
      <c r="KC332" t="n">
        <v>634</v>
      </c>
      <c r="KD332" t="n">
        <v>346</v>
      </c>
      <c r="KE332" t="n">
        <v>280</v>
      </c>
      <c r="KF332" t="n">
        <v>29</v>
      </c>
      <c r="KG332" t="n">
        <v>3</v>
      </c>
      <c r="KH332" t="n">
        <v>842</v>
      </c>
      <c r="KI332" t="n">
        <v>0</v>
      </c>
      <c r="KK332" t="n">
        <v>50</v>
      </c>
      <c r="KM332" t="n">
        <v>60</v>
      </c>
      <c r="KN332" t="n">
        <v>95</v>
      </c>
      <c r="KO332" t="n">
        <v>396</v>
      </c>
      <c r="KP332" t="n">
        <v>361</v>
      </c>
      <c r="KQ332" t="n">
        <v>64</v>
      </c>
      <c r="KR332" t="n">
        <v>433</v>
      </c>
      <c r="KS332" t="n">
        <v>4</v>
      </c>
      <c r="KT332" t="n">
        <v>59</v>
      </c>
      <c r="KU332" t="n">
        <v>594</v>
      </c>
      <c r="KV332" t="n">
        <v>95</v>
      </c>
      <c r="KW332" t="n">
        <v>244</v>
      </c>
      <c r="KX332" t="n">
        <v>635</v>
      </c>
      <c r="KY332" t="n">
        <v>539</v>
      </c>
      <c r="KZ332" t="n">
        <v>2941</v>
      </c>
      <c r="LA332" t="n">
        <v>174</v>
      </c>
      <c r="LB332" t="n">
        <v>0</v>
      </c>
      <c r="LC332" t="n">
        <v>682</v>
      </c>
      <c r="LD332" t="n">
        <v>555</v>
      </c>
      <c r="LE332" t="n">
        <v>3181</v>
      </c>
      <c r="LF332" t="n">
        <v>75</v>
      </c>
      <c r="LG332" t="n">
        <v>14</v>
      </c>
      <c r="LH332" t="n">
        <v>989</v>
      </c>
      <c r="LI332" t="n">
        <v>42</v>
      </c>
      <c r="LM332" t="n">
        <v>1345</v>
      </c>
      <c r="LN332" t="n">
        <v>74</v>
      </c>
      <c r="LO332" t="n">
        <v>260</v>
      </c>
      <c r="LP332" t="n">
        <v>163</v>
      </c>
      <c r="LQ332" t="n">
        <v>2209</v>
      </c>
      <c r="LR332" t="n">
        <v>810</v>
      </c>
      <c r="LS332" t="n">
        <v>669</v>
      </c>
      <c r="LT332" t="n">
        <v>1094</v>
      </c>
      <c r="LU332" t="n">
        <v>491</v>
      </c>
      <c r="LV332" t="n">
        <v>879</v>
      </c>
      <c r="LW332" t="n">
        <v>734</v>
      </c>
      <c r="LX332" t="n">
        <v>2905</v>
      </c>
      <c r="LY332" t="n">
        <v>196</v>
      </c>
      <c r="LZ332" t="n">
        <v>1389</v>
      </c>
      <c r="MA332" t="n">
        <v>509</v>
      </c>
      <c r="MB332" t="n">
        <v>67</v>
      </c>
      <c r="MC332" t="n">
        <v>25</v>
      </c>
      <c r="MD332" t="n">
        <v>24</v>
      </c>
      <c r="ME332" t="n">
        <v>685</v>
      </c>
      <c r="MF332" t="n">
        <v>12661</v>
      </c>
      <c r="MG332" t="n">
        <v>765</v>
      </c>
      <c r="MH332" t="n">
        <v>191</v>
      </c>
      <c r="MI332" t="n">
        <v>102</v>
      </c>
      <c r="MJ332" t="n">
        <v>175</v>
      </c>
      <c r="MK332" t="n">
        <v>206</v>
      </c>
      <c r="ML332" t="n">
        <v>418</v>
      </c>
      <c r="MM332" t="n">
        <v>131</v>
      </c>
      <c r="MN332" t="n">
        <v>116</v>
      </c>
      <c r="MO332" t="n">
        <v>280</v>
      </c>
      <c r="MP332" t="n">
        <v>16</v>
      </c>
      <c r="MQ332" t="n">
        <v>432</v>
      </c>
      <c r="MR332" t="n">
        <v>79</v>
      </c>
      <c r="MS332" t="n">
        <v>695</v>
      </c>
      <c r="MT332" t="n">
        <v>44</v>
      </c>
      <c r="MU332" t="n">
        <v>108</v>
      </c>
      <c r="MV332" t="n">
        <v>72</v>
      </c>
      <c r="MW332" t="n">
        <v>13</v>
      </c>
      <c r="MX332" t="n">
        <v>32</v>
      </c>
      <c r="MY332" t="n">
        <v>19</v>
      </c>
      <c r="MZ332" t="n">
        <v>247</v>
      </c>
      <c r="NB332" t="n">
        <v>1</v>
      </c>
      <c r="NC332" t="n">
        <v>82</v>
      </c>
      <c r="ND332" t="n">
        <v>14</v>
      </c>
      <c r="NE332" t="n">
        <v>55</v>
      </c>
      <c r="NF332" t="n">
        <v>1</v>
      </c>
      <c r="NG332" t="n">
        <v>76</v>
      </c>
      <c r="NI332" t="n">
        <v>601</v>
      </c>
      <c r="NJ332" t="n">
        <v>1</v>
      </c>
      <c r="NK332" t="n">
        <v>5</v>
      </c>
      <c r="NL332" t="n">
        <v>98</v>
      </c>
      <c r="NM332" t="n">
        <v>87</v>
      </c>
      <c r="NN332" t="n">
        <v>984</v>
      </c>
      <c r="NO332" t="n">
        <v>2578</v>
      </c>
      <c r="NP332" t="n">
        <v>3732</v>
      </c>
      <c r="NQ332" t="n">
        <v>398</v>
      </c>
      <c r="NR332" t="n">
        <v>21</v>
      </c>
      <c r="NS332" t="n">
        <v>2</v>
      </c>
      <c r="NT332" t="n">
        <v>4</v>
      </c>
      <c r="NV332" t="n">
        <v>116</v>
      </c>
      <c r="NX332" t="n">
        <v>6</v>
      </c>
      <c r="NY332" t="n">
        <v>12</v>
      </c>
      <c r="NZ332" t="n">
        <v>1</v>
      </c>
      <c r="OA332" t="n">
        <v>1</v>
      </c>
      <c r="OB332" t="n">
        <v>14</v>
      </c>
      <c r="OD332" t="n">
        <v>0</v>
      </c>
      <c r="OE332" t="n">
        <v>97</v>
      </c>
      <c r="OF332" t="n">
        <v>9</v>
      </c>
      <c r="OH332" t="n">
        <v>15</v>
      </c>
      <c r="OI332" t="n">
        <v>663</v>
      </c>
      <c r="OJ332" t="n">
        <v>4</v>
      </c>
      <c r="OK332" t="n">
        <v>11</v>
      </c>
      <c r="ON332" t="n">
        <v>251</v>
      </c>
      <c r="OO332" t="n">
        <v>85211</v>
      </c>
      <c r="OV332" t="n">
        <v>73049</v>
      </c>
      <c r="PI332" t="n">
        <v>158260</v>
      </c>
      <c r="PM332">
        <f>IFERROR(VLOOKUP($A332&amp;"",Key!$A:$C,3,FALSE),"")</f>
        <v/>
      </c>
    </row>
    <row r="333">
      <c r="A333" t="n">
        <v>541100</v>
      </c>
      <c r="B333" t="inlineStr">
        <is>
          <t>Legal services</t>
        </is>
      </c>
      <c r="C333" t="n">
        <v>18</v>
      </c>
      <c r="D333" t="n">
        <v>79</v>
      </c>
      <c r="E333" t="n">
        <v>34</v>
      </c>
      <c r="F333" t="n">
        <v>30</v>
      </c>
      <c r="G333" t="n">
        <v>6</v>
      </c>
      <c r="H333" t="n">
        <v>30</v>
      </c>
      <c r="I333" t="n">
        <v>43</v>
      </c>
      <c r="J333" t="n">
        <v>30</v>
      </c>
      <c r="K333" t="n">
        <v>77</v>
      </c>
      <c r="L333" t="n">
        <v>34</v>
      </c>
      <c r="M333" t="n">
        <v>1</v>
      </c>
      <c r="N333" t="n">
        <v>1</v>
      </c>
      <c r="O333" t="n">
        <v>101</v>
      </c>
      <c r="P333" t="n">
        <v>582</v>
      </c>
      <c r="Q333" t="n">
        <v>122</v>
      </c>
      <c r="R333" t="n">
        <v>22</v>
      </c>
      <c r="S333" t="n">
        <v>144</v>
      </c>
      <c r="T333" t="n">
        <v>60</v>
      </c>
      <c r="U333" t="n">
        <v>98</v>
      </c>
      <c r="V333" t="n">
        <v>245</v>
      </c>
      <c r="W333" t="n">
        <v>162</v>
      </c>
      <c r="X333" t="n">
        <v>6652</v>
      </c>
      <c r="Y333" t="n">
        <v>783</v>
      </c>
      <c r="Z333" t="n">
        <v>94</v>
      </c>
      <c r="AA333" t="n">
        <v>103</v>
      </c>
      <c r="AB333" t="n">
        <v>73</v>
      </c>
      <c r="AC333" t="n">
        <v>899</v>
      </c>
      <c r="AD333" t="n">
        <v>250</v>
      </c>
      <c r="AE333" t="n">
        <v>553</v>
      </c>
      <c r="AF333" t="n">
        <v>260</v>
      </c>
      <c r="AG333" t="n">
        <v>1094</v>
      </c>
      <c r="AH333" t="n">
        <v>472</v>
      </c>
      <c r="AI333" t="n">
        <v>397</v>
      </c>
      <c r="AJ333" t="n">
        <v>211</v>
      </c>
      <c r="AK333" t="n">
        <v>696</v>
      </c>
      <c r="AL333" t="n">
        <v>682</v>
      </c>
      <c r="AM333" t="n">
        <v>130</v>
      </c>
      <c r="AN333" t="n">
        <v>23</v>
      </c>
      <c r="AO333" t="n">
        <v>119</v>
      </c>
      <c r="AP333" t="n">
        <v>75</v>
      </c>
      <c r="AQ333" t="n">
        <v>33</v>
      </c>
      <c r="AR333" t="n">
        <v>117</v>
      </c>
      <c r="AS333" t="n">
        <v>7</v>
      </c>
      <c r="AT333" t="n">
        <v>161</v>
      </c>
      <c r="AU333" t="n">
        <v>7</v>
      </c>
      <c r="AV333" t="n">
        <v>91</v>
      </c>
      <c r="AW333" t="n">
        <v>3</v>
      </c>
      <c r="AX333" t="n">
        <v>5</v>
      </c>
      <c r="AY333" t="n">
        <v>10</v>
      </c>
      <c r="AZ333" t="n">
        <v>3</v>
      </c>
      <c r="BA333" t="n">
        <v>7</v>
      </c>
      <c r="BB333" t="n">
        <v>7</v>
      </c>
      <c r="BC333" t="n">
        <v>205</v>
      </c>
      <c r="BD333" t="n">
        <v>21</v>
      </c>
      <c r="BE333" t="n">
        <v>3</v>
      </c>
      <c r="BF333" t="n">
        <v>2</v>
      </c>
      <c r="BG333" t="n">
        <v>20</v>
      </c>
      <c r="BH333" t="n">
        <v>9</v>
      </c>
      <c r="BI333" t="n">
        <v>11</v>
      </c>
      <c r="BJ333" t="n">
        <v>10</v>
      </c>
      <c r="BK333" t="n">
        <v>117</v>
      </c>
      <c r="BL333" t="n">
        <v>18</v>
      </c>
      <c r="BM333" t="n">
        <v>21</v>
      </c>
      <c r="BN333" t="n">
        <v>35</v>
      </c>
      <c r="BO333" t="n">
        <v>83</v>
      </c>
      <c r="BP333" t="n">
        <v>72</v>
      </c>
      <c r="BQ333" t="n">
        <v>245</v>
      </c>
      <c r="BR333" t="n">
        <v>210</v>
      </c>
      <c r="BS333" t="n">
        <v>26</v>
      </c>
      <c r="BT333" t="n">
        <v>35</v>
      </c>
      <c r="BU333" t="n">
        <v>35</v>
      </c>
      <c r="BV333" t="n">
        <v>64</v>
      </c>
      <c r="BW333" t="n">
        <v>50</v>
      </c>
      <c r="BX333" t="n">
        <v>233</v>
      </c>
      <c r="BY333" t="n">
        <v>165</v>
      </c>
      <c r="BZ333" t="n">
        <v>147</v>
      </c>
      <c r="CA333" t="n">
        <v>25</v>
      </c>
      <c r="CB333" t="n">
        <v>149</v>
      </c>
      <c r="CC333" t="n">
        <v>27</v>
      </c>
      <c r="CD333" t="n">
        <v>21</v>
      </c>
      <c r="CE333" t="n">
        <v>20</v>
      </c>
      <c r="CF333" t="n">
        <v>81</v>
      </c>
      <c r="CG333" t="n">
        <v>80</v>
      </c>
      <c r="CH333" t="n">
        <v>9</v>
      </c>
      <c r="CI333" t="n">
        <v>67</v>
      </c>
      <c r="CJ333" t="n">
        <v>36</v>
      </c>
      <c r="CK333" t="n">
        <v>104</v>
      </c>
      <c r="CL333" t="n">
        <v>174</v>
      </c>
      <c r="CM333" t="n">
        <v>45</v>
      </c>
      <c r="CN333" t="n">
        <v>35</v>
      </c>
      <c r="CO333" t="n">
        <v>131</v>
      </c>
      <c r="CP333" t="n">
        <v>14</v>
      </c>
      <c r="CQ333" t="n">
        <v>128</v>
      </c>
      <c r="CR333" t="n">
        <v>18</v>
      </c>
      <c r="CS333" t="n">
        <v>40</v>
      </c>
      <c r="CT333" t="n">
        <v>54</v>
      </c>
      <c r="CU333" t="n">
        <v>41</v>
      </c>
      <c r="CV333" t="n">
        <v>74</v>
      </c>
      <c r="CW333" t="n">
        <v>50</v>
      </c>
      <c r="CX333" t="n">
        <v>7</v>
      </c>
      <c r="CY333" t="n">
        <v>19</v>
      </c>
      <c r="CZ333" t="n">
        <v>105</v>
      </c>
      <c r="DA333" t="n">
        <v>13</v>
      </c>
      <c r="DB333" t="n">
        <v>72</v>
      </c>
      <c r="DC333" t="n">
        <v>116</v>
      </c>
      <c r="DD333" t="n">
        <v>6</v>
      </c>
      <c r="DE333" t="n">
        <v>36</v>
      </c>
      <c r="DF333" t="n">
        <v>8</v>
      </c>
      <c r="DG333" t="n">
        <v>125</v>
      </c>
      <c r="DH333" t="n">
        <v>44</v>
      </c>
      <c r="DI333" t="n">
        <v>1276</v>
      </c>
      <c r="DJ333" t="n">
        <v>76</v>
      </c>
      <c r="DK333" t="n">
        <v>135</v>
      </c>
      <c r="DL333" t="n">
        <v>169</v>
      </c>
      <c r="DM333" t="n">
        <v>269</v>
      </c>
      <c r="DN333" t="n">
        <v>77</v>
      </c>
      <c r="DO333" t="n">
        <v>819</v>
      </c>
      <c r="DP333" t="n">
        <v>115</v>
      </c>
      <c r="DQ333" t="n">
        <v>289</v>
      </c>
      <c r="DR333" t="n">
        <v>137</v>
      </c>
      <c r="DS333" t="n">
        <v>233</v>
      </c>
      <c r="DT333" t="n">
        <v>21</v>
      </c>
      <c r="DU333" t="n">
        <v>71</v>
      </c>
      <c r="DV333" t="n">
        <v>56</v>
      </c>
      <c r="DW333" t="n">
        <v>189</v>
      </c>
      <c r="DX333" t="n">
        <v>65</v>
      </c>
      <c r="DY333" t="n">
        <v>23</v>
      </c>
      <c r="DZ333" t="n">
        <v>91</v>
      </c>
      <c r="EA333" t="n">
        <v>14</v>
      </c>
      <c r="EB333" t="n">
        <v>6</v>
      </c>
      <c r="EC333" t="n">
        <v>2</v>
      </c>
      <c r="ED333" t="n">
        <v>41</v>
      </c>
      <c r="EE333" t="n">
        <v>15</v>
      </c>
      <c r="EF333" t="n">
        <v>30</v>
      </c>
      <c r="EG333" t="n">
        <v>14</v>
      </c>
      <c r="EH333" t="n">
        <v>20</v>
      </c>
      <c r="EI333" t="n">
        <v>27</v>
      </c>
      <c r="EJ333" t="n">
        <v>37</v>
      </c>
      <c r="EK333" t="n">
        <v>10</v>
      </c>
      <c r="EL333" t="n">
        <v>4</v>
      </c>
      <c r="EM333" t="n">
        <v>13</v>
      </c>
      <c r="EN333" t="n">
        <v>18</v>
      </c>
      <c r="EO333" t="n">
        <v>3</v>
      </c>
      <c r="EP333" t="n">
        <v>45</v>
      </c>
      <c r="EQ333" t="n">
        <v>166</v>
      </c>
      <c r="ER333" t="n">
        <v>280</v>
      </c>
      <c r="ES333" t="n">
        <v>29</v>
      </c>
      <c r="ET333" t="n">
        <v>41</v>
      </c>
      <c r="EU333" t="n">
        <v>23</v>
      </c>
      <c r="EV333" t="n">
        <v>10</v>
      </c>
      <c r="EW333" t="n">
        <v>33</v>
      </c>
      <c r="EX333" t="n">
        <v>265</v>
      </c>
      <c r="EY333" t="n">
        <v>229</v>
      </c>
      <c r="EZ333" t="n">
        <v>143</v>
      </c>
      <c r="FA333" t="n">
        <v>77</v>
      </c>
      <c r="FB333" t="n">
        <v>132</v>
      </c>
      <c r="FC333" t="n">
        <v>557</v>
      </c>
      <c r="FD333" t="n">
        <v>91</v>
      </c>
      <c r="FE333" t="n">
        <v>565</v>
      </c>
      <c r="FF333" t="n">
        <v>323</v>
      </c>
      <c r="FG333" t="n">
        <v>209</v>
      </c>
      <c r="FH333" t="n">
        <v>256</v>
      </c>
      <c r="FI333" t="n">
        <v>118</v>
      </c>
      <c r="FJ333" t="n">
        <v>58</v>
      </c>
      <c r="FK333" t="n">
        <v>95</v>
      </c>
      <c r="FL333" t="n">
        <v>23</v>
      </c>
      <c r="FM333" t="n">
        <v>29</v>
      </c>
      <c r="FN333" t="n">
        <v>72</v>
      </c>
      <c r="FO333" t="n">
        <v>27</v>
      </c>
      <c r="FP333" t="n">
        <v>96</v>
      </c>
      <c r="FQ333" t="n">
        <v>22</v>
      </c>
      <c r="FR333" t="n">
        <v>43</v>
      </c>
      <c r="FS333" t="n">
        <v>11</v>
      </c>
      <c r="FT333" t="n">
        <v>7</v>
      </c>
      <c r="FU333" t="n">
        <v>24</v>
      </c>
      <c r="FV333" t="n">
        <v>80</v>
      </c>
      <c r="FW333" t="n">
        <v>14</v>
      </c>
      <c r="FX333" t="n">
        <v>438</v>
      </c>
      <c r="FY333" t="n">
        <v>446</v>
      </c>
      <c r="FZ333" t="n">
        <v>31</v>
      </c>
      <c r="GA333" t="n">
        <v>34</v>
      </c>
      <c r="GB333" t="n">
        <v>105</v>
      </c>
      <c r="GC333" t="n">
        <v>67</v>
      </c>
      <c r="GD333" t="n">
        <v>119</v>
      </c>
      <c r="GE333" t="n">
        <v>21</v>
      </c>
      <c r="GF333" t="n">
        <v>12</v>
      </c>
      <c r="GG333" t="n">
        <v>117</v>
      </c>
      <c r="GH333" t="n">
        <v>199</v>
      </c>
      <c r="GI333" t="n">
        <v>16</v>
      </c>
      <c r="GJ333" t="n">
        <v>19</v>
      </c>
      <c r="GK333" t="n">
        <v>15</v>
      </c>
      <c r="GL333" t="n">
        <v>9</v>
      </c>
      <c r="GM333" t="n">
        <v>3</v>
      </c>
      <c r="GN333" t="n">
        <v>3</v>
      </c>
      <c r="GO333" t="n">
        <v>5</v>
      </c>
      <c r="GP333" t="n">
        <v>90</v>
      </c>
      <c r="GQ333" t="n">
        <v>26</v>
      </c>
      <c r="GR333" t="n">
        <v>100</v>
      </c>
      <c r="GS333" t="n">
        <v>23</v>
      </c>
      <c r="GT333" t="n">
        <v>34</v>
      </c>
      <c r="GU333" t="n">
        <v>76</v>
      </c>
      <c r="GV333" t="n">
        <v>6</v>
      </c>
      <c r="GW333" t="n">
        <v>120</v>
      </c>
      <c r="GX333" t="n">
        <v>158</v>
      </c>
      <c r="GY333" t="n">
        <v>18</v>
      </c>
      <c r="GZ333" t="n">
        <v>158</v>
      </c>
      <c r="HA333" t="n">
        <v>42</v>
      </c>
      <c r="HB333" t="n">
        <v>21</v>
      </c>
      <c r="HC333" t="n">
        <v>15</v>
      </c>
      <c r="HD333" t="n">
        <v>23</v>
      </c>
      <c r="HE333" t="n">
        <v>32</v>
      </c>
      <c r="HF333" t="n">
        <v>50</v>
      </c>
      <c r="HG333" t="n">
        <v>42</v>
      </c>
      <c r="HH333" t="n">
        <v>14</v>
      </c>
      <c r="HI333" t="n">
        <v>38</v>
      </c>
      <c r="HJ333" t="n">
        <v>14</v>
      </c>
      <c r="HK333" t="n">
        <v>63</v>
      </c>
      <c r="HL333" t="n">
        <v>6</v>
      </c>
      <c r="HM333" t="n">
        <v>21</v>
      </c>
      <c r="HN333" t="n">
        <v>48</v>
      </c>
      <c r="HO333" t="n">
        <v>13</v>
      </c>
      <c r="HP333" t="n">
        <v>20</v>
      </c>
      <c r="HQ333" t="n">
        <v>16</v>
      </c>
      <c r="HR333" t="n">
        <v>63</v>
      </c>
      <c r="HS333" t="n">
        <v>5</v>
      </c>
      <c r="HT333" t="n">
        <v>11</v>
      </c>
      <c r="HU333" t="n">
        <v>204</v>
      </c>
      <c r="HV333" t="n">
        <v>150</v>
      </c>
      <c r="HW333" t="n">
        <v>83</v>
      </c>
      <c r="HX333" t="n">
        <v>134</v>
      </c>
      <c r="HY333" t="n">
        <v>47</v>
      </c>
      <c r="HZ333" t="n">
        <v>48</v>
      </c>
      <c r="IA333" t="n">
        <v>48</v>
      </c>
      <c r="IB333" t="n">
        <v>302</v>
      </c>
      <c r="IC333" t="n">
        <v>17</v>
      </c>
      <c r="ID333" t="n">
        <v>384</v>
      </c>
      <c r="IE333" t="n">
        <v>36</v>
      </c>
      <c r="IF333" t="n">
        <v>42</v>
      </c>
      <c r="IG333" t="n">
        <v>33</v>
      </c>
      <c r="IH333" t="n">
        <v>27</v>
      </c>
      <c r="II333" t="n">
        <v>14</v>
      </c>
      <c r="IJ333" t="n">
        <v>31</v>
      </c>
      <c r="IK333" t="n">
        <v>224</v>
      </c>
      <c r="IL333" t="n">
        <v>380</v>
      </c>
      <c r="IM333" t="n">
        <v>138</v>
      </c>
      <c r="IN333" t="n">
        <v>32</v>
      </c>
      <c r="IO333" t="n">
        <v>243</v>
      </c>
      <c r="IP333" t="n">
        <v>2074</v>
      </c>
      <c r="IQ333" t="n">
        <v>215</v>
      </c>
      <c r="IR333" t="n">
        <v>277</v>
      </c>
      <c r="IS333" t="n">
        <v>36</v>
      </c>
      <c r="IT333" t="n">
        <v>20</v>
      </c>
      <c r="IU333" t="n">
        <v>54</v>
      </c>
      <c r="IV333" t="n">
        <v>15</v>
      </c>
      <c r="IW333" t="n">
        <v>81</v>
      </c>
      <c r="IX333" t="n">
        <v>146</v>
      </c>
      <c r="IY333" t="n">
        <v>4</v>
      </c>
      <c r="IZ333" t="n">
        <v>120</v>
      </c>
      <c r="JA333" t="n">
        <v>89</v>
      </c>
      <c r="JB333" t="n">
        <v>15</v>
      </c>
      <c r="JC333" t="n">
        <v>5</v>
      </c>
      <c r="JD333" t="n">
        <v>12</v>
      </c>
      <c r="JE333" t="n">
        <v>12</v>
      </c>
      <c r="JF333" t="n">
        <v>13</v>
      </c>
      <c r="JG333" t="n">
        <v>716</v>
      </c>
      <c r="JH333" t="n">
        <v>82</v>
      </c>
      <c r="JI333" t="n">
        <v>7</v>
      </c>
      <c r="JJ333" t="n">
        <v>115</v>
      </c>
      <c r="JK333" t="n">
        <v>575</v>
      </c>
      <c r="JL333" t="n">
        <v>2496</v>
      </c>
      <c r="JM333" t="n">
        <v>3599</v>
      </c>
      <c r="JN333" t="n">
        <v>1647</v>
      </c>
      <c r="JO333" t="n">
        <v>2257</v>
      </c>
      <c r="JP333" t="n">
        <v>1649</v>
      </c>
      <c r="JQ333" t="n">
        <v>1389</v>
      </c>
      <c r="JR333" t="n">
        <v>391</v>
      </c>
      <c r="JS333" t="n">
        <v>2956</v>
      </c>
      <c r="JT333" t="n">
        <v>317</v>
      </c>
      <c r="JV333" t="n">
        <v>668</v>
      </c>
      <c r="JW333" t="n">
        <v>674</v>
      </c>
      <c r="JX333" t="n">
        <v>679</v>
      </c>
      <c r="JY333" t="n">
        <v>386</v>
      </c>
      <c r="JZ333" t="n">
        <v>573</v>
      </c>
      <c r="KA333" t="n">
        <v>361</v>
      </c>
      <c r="KB333" t="n">
        <v>313</v>
      </c>
      <c r="KC333" t="n">
        <v>2131</v>
      </c>
      <c r="KD333" t="n">
        <v>547</v>
      </c>
      <c r="KE333" t="n">
        <v>612</v>
      </c>
      <c r="KF333" t="n">
        <v>907</v>
      </c>
      <c r="KG333" t="n">
        <v>153</v>
      </c>
      <c r="KH333" t="n">
        <v>217</v>
      </c>
      <c r="KI333" t="n">
        <v>204</v>
      </c>
      <c r="KJ333" t="n">
        <v>48</v>
      </c>
      <c r="KK333" t="n">
        <v>439</v>
      </c>
      <c r="KL333" t="n">
        <v>200</v>
      </c>
      <c r="KM333" t="n">
        <v>328</v>
      </c>
      <c r="KN333" t="n">
        <v>169</v>
      </c>
      <c r="KO333" t="n">
        <v>193</v>
      </c>
      <c r="KP333" t="n">
        <v>318</v>
      </c>
      <c r="KQ333" t="n">
        <v>43</v>
      </c>
      <c r="KR333" t="n">
        <v>3961</v>
      </c>
      <c r="KS333" t="n">
        <v>435</v>
      </c>
      <c r="KT333" t="n">
        <v>141</v>
      </c>
      <c r="KU333" t="n">
        <v>297</v>
      </c>
      <c r="KV333" t="n">
        <v>353</v>
      </c>
      <c r="KW333" t="n">
        <v>1288</v>
      </c>
      <c r="KX333" t="n">
        <v>1407</v>
      </c>
      <c r="KY333" t="n">
        <v>365</v>
      </c>
      <c r="KZ333" t="n">
        <v>2083</v>
      </c>
      <c r="LA333" t="n">
        <v>2525</v>
      </c>
      <c r="LB333" t="n">
        <v>97</v>
      </c>
      <c r="LC333" t="n">
        <v>4260</v>
      </c>
      <c r="LD333" t="n">
        <v>2315</v>
      </c>
      <c r="LE333" t="n">
        <v>7855</v>
      </c>
      <c r="LF333" t="n">
        <v>2682</v>
      </c>
      <c r="LG333" t="n">
        <v>2209</v>
      </c>
      <c r="LH333" t="n">
        <v>9242</v>
      </c>
      <c r="LI333" t="n">
        <v>1666</v>
      </c>
      <c r="LJ333" t="n">
        <v>2781</v>
      </c>
      <c r="LK333" t="n">
        <v>1983</v>
      </c>
      <c r="LL333" t="n">
        <v>3</v>
      </c>
      <c r="LM333" t="n">
        <v>13358</v>
      </c>
      <c r="LN333" t="n">
        <v>284</v>
      </c>
      <c r="LO333" t="n">
        <v>225</v>
      </c>
      <c r="LP333" t="n">
        <v>68</v>
      </c>
      <c r="LQ333" t="n">
        <v>188</v>
      </c>
      <c r="LR333" t="n">
        <v>2930</v>
      </c>
      <c r="LS333" t="n">
        <v>1470</v>
      </c>
      <c r="LT333" t="n">
        <v>2029</v>
      </c>
      <c r="LU333" t="n">
        <v>483</v>
      </c>
      <c r="LV333" t="n">
        <v>922</v>
      </c>
      <c r="LW333" t="n">
        <v>1928</v>
      </c>
      <c r="LX333" t="n">
        <v>2844</v>
      </c>
      <c r="LY333" t="n">
        <v>359</v>
      </c>
      <c r="LZ333" t="n">
        <v>7662</v>
      </c>
      <c r="MA333" t="n">
        <v>295</v>
      </c>
      <c r="MB333" t="n">
        <v>181</v>
      </c>
      <c r="MC333" t="n">
        <v>24</v>
      </c>
      <c r="MD333" t="n">
        <v>140</v>
      </c>
      <c r="ME333" t="n">
        <v>659</v>
      </c>
      <c r="MF333" t="n">
        <v>10566</v>
      </c>
      <c r="MG333" t="n">
        <v>3721</v>
      </c>
      <c r="MH333" t="n">
        <v>1672</v>
      </c>
      <c r="MI333" t="n">
        <v>750</v>
      </c>
      <c r="MJ333" t="n">
        <v>162</v>
      </c>
      <c r="MK333" t="n">
        <v>1123</v>
      </c>
      <c r="ML333" t="n">
        <v>470</v>
      </c>
      <c r="MM333" t="n">
        <v>389</v>
      </c>
      <c r="MN333" t="n">
        <v>289</v>
      </c>
      <c r="MO333" t="n">
        <v>487</v>
      </c>
      <c r="MP333" t="n">
        <v>11</v>
      </c>
      <c r="MQ333" t="n">
        <v>107</v>
      </c>
      <c r="MR333" t="n">
        <v>326</v>
      </c>
      <c r="MS333" t="n">
        <v>2411</v>
      </c>
      <c r="MT333" t="n">
        <v>376</v>
      </c>
      <c r="MU333" t="n">
        <v>635</v>
      </c>
      <c r="MV333" t="n">
        <v>534</v>
      </c>
      <c r="MW333" t="n">
        <v>182</v>
      </c>
      <c r="MX333" t="n">
        <v>343</v>
      </c>
      <c r="MY333" t="n">
        <v>1336</v>
      </c>
      <c r="MZ333" t="n">
        <v>15327</v>
      </c>
      <c r="NA333" t="n">
        <v>1317</v>
      </c>
      <c r="NB333" t="n">
        <v>311</v>
      </c>
      <c r="NC333" t="n">
        <v>177</v>
      </c>
      <c r="ND333" t="n">
        <v>210</v>
      </c>
      <c r="NE333" t="n">
        <v>183</v>
      </c>
      <c r="NF333" t="n">
        <v>240</v>
      </c>
      <c r="NG333" t="n">
        <v>163</v>
      </c>
      <c r="NH333" t="n">
        <v>966</v>
      </c>
      <c r="NI333" t="n">
        <v>700</v>
      </c>
      <c r="NJ333" t="n">
        <v>165</v>
      </c>
      <c r="NK333" t="n">
        <v>89</v>
      </c>
      <c r="NL333" t="n">
        <v>1002</v>
      </c>
      <c r="NM333" t="n">
        <v>476</v>
      </c>
      <c r="NN333" t="n">
        <v>1280</v>
      </c>
      <c r="NO333" t="n">
        <v>981</v>
      </c>
      <c r="NP333" t="n">
        <v>959</v>
      </c>
      <c r="NQ333" t="n">
        <v>251</v>
      </c>
      <c r="NR333" t="n">
        <v>408</v>
      </c>
      <c r="NS333" t="n">
        <v>222</v>
      </c>
      <c r="NT333" t="n">
        <v>184</v>
      </c>
      <c r="NU333" t="n">
        <v>155</v>
      </c>
      <c r="NV333" t="n">
        <v>532</v>
      </c>
      <c r="NW333" t="n">
        <v>9</v>
      </c>
      <c r="NX333" t="n">
        <v>121</v>
      </c>
      <c r="NY333" t="n">
        <v>481</v>
      </c>
      <c r="NZ333" t="n">
        <v>358</v>
      </c>
      <c r="OA333" t="n">
        <v>430</v>
      </c>
      <c r="OB333" t="n">
        <v>1564</v>
      </c>
      <c r="OD333" t="n">
        <v>0</v>
      </c>
      <c r="OE333" t="n">
        <v>115</v>
      </c>
      <c r="OF333" t="n">
        <v>76</v>
      </c>
      <c r="OI333" t="n">
        <v>1858</v>
      </c>
      <c r="OJ333" t="n">
        <v>2432</v>
      </c>
      <c r="OK333" t="n">
        <v>7141</v>
      </c>
      <c r="OL333" t="n">
        <v>6</v>
      </c>
      <c r="ON333" t="n">
        <v>1187</v>
      </c>
      <c r="OO333" t="n">
        <v>217452</v>
      </c>
      <c r="OP333" t="n">
        <v>104093</v>
      </c>
      <c r="OS333" t="n">
        <v>22342</v>
      </c>
      <c r="OV333" t="n">
        <v>14209</v>
      </c>
      <c r="PI333" t="n">
        <v>358096</v>
      </c>
      <c r="PM333">
        <f>IFERROR(VLOOKUP($A333&amp;"",Key!$A:$C,3,FALSE),"")</f>
        <v/>
      </c>
    </row>
    <row r="334">
      <c r="A334" t="n">
        <v>541511</v>
      </c>
      <c r="B334" t="inlineStr">
        <is>
          <t>Custom computer programming services</t>
        </is>
      </c>
      <c r="P334" t="n">
        <v>2220</v>
      </c>
      <c r="R334" t="n">
        <v>497</v>
      </c>
      <c r="BP334" t="n">
        <v>22</v>
      </c>
      <c r="BX334" t="n">
        <v>614</v>
      </c>
      <c r="CE334" t="n">
        <v>167</v>
      </c>
      <c r="CF334" t="n">
        <v>22</v>
      </c>
      <c r="CK334" t="n">
        <v>167</v>
      </c>
      <c r="CL334" t="n">
        <v>597</v>
      </c>
      <c r="CM334" t="n">
        <v>57</v>
      </c>
      <c r="CO334" t="n">
        <v>32</v>
      </c>
      <c r="CS334" t="n">
        <v>19</v>
      </c>
      <c r="CT334" t="n">
        <v>108</v>
      </c>
      <c r="CU334" t="n">
        <v>174</v>
      </c>
      <c r="CV334" t="n">
        <v>131</v>
      </c>
      <c r="DG334" t="n">
        <v>145</v>
      </c>
      <c r="DH334" t="n">
        <v>119</v>
      </c>
      <c r="DI334" t="n">
        <v>0</v>
      </c>
      <c r="DJ334" t="n">
        <v>0</v>
      </c>
      <c r="DK334" t="n">
        <v>1</v>
      </c>
      <c r="DL334" t="n">
        <v>1</v>
      </c>
      <c r="DM334" t="n">
        <v>1</v>
      </c>
      <c r="DN334" t="n">
        <v>0</v>
      </c>
      <c r="DO334" t="n">
        <v>3</v>
      </c>
      <c r="DP334" t="n">
        <v>2</v>
      </c>
      <c r="DQ334" t="n">
        <v>9</v>
      </c>
      <c r="DR334" t="n">
        <v>10</v>
      </c>
      <c r="DS334" t="n">
        <v>58</v>
      </c>
      <c r="DT334" t="n">
        <v>3</v>
      </c>
      <c r="DU334" t="n">
        <v>30</v>
      </c>
      <c r="DV334" t="n">
        <v>19</v>
      </c>
      <c r="DW334" t="n">
        <v>33</v>
      </c>
      <c r="DX334" t="n">
        <v>88</v>
      </c>
      <c r="DY334" t="n">
        <v>3</v>
      </c>
      <c r="DZ334" t="n">
        <v>92</v>
      </c>
      <c r="EA334" t="n">
        <v>6</v>
      </c>
      <c r="EB334" t="n">
        <v>2</v>
      </c>
      <c r="EG334" t="n">
        <v>2</v>
      </c>
      <c r="EX334" t="n">
        <v>174</v>
      </c>
      <c r="EY334" t="n">
        <v>12</v>
      </c>
      <c r="FE334" t="n">
        <v>99</v>
      </c>
      <c r="FF334" t="n">
        <v>258</v>
      </c>
      <c r="FG334" t="n">
        <v>265</v>
      </c>
      <c r="FX334" t="n">
        <v>1</v>
      </c>
      <c r="FY334" t="n">
        <v>16</v>
      </c>
      <c r="HK334" t="n">
        <v>86</v>
      </c>
      <c r="IC334" t="n">
        <v>139</v>
      </c>
      <c r="IG334" t="n">
        <v>452</v>
      </c>
      <c r="IZ334" t="n">
        <v>161</v>
      </c>
      <c r="KN334" t="n">
        <v>708</v>
      </c>
      <c r="KO334" t="n">
        <v>789</v>
      </c>
      <c r="KP334" t="n">
        <v>2777</v>
      </c>
      <c r="KQ334" t="n">
        <v>1</v>
      </c>
      <c r="KT334" t="n">
        <v>20</v>
      </c>
      <c r="LA334" t="n">
        <v>787</v>
      </c>
      <c r="OO334" t="n">
        <v>12200</v>
      </c>
      <c r="OR334" t="n">
        <v>224926</v>
      </c>
      <c r="OV334" t="n">
        <v>11016</v>
      </c>
      <c r="OY334" t="n">
        <v>7374</v>
      </c>
      <c r="PC334" t="n">
        <v>21084</v>
      </c>
      <c r="PG334" t="n">
        <v>8235</v>
      </c>
      <c r="PI334" t="n">
        <v>284835</v>
      </c>
      <c r="PM334">
        <f>IFERROR(VLOOKUP($A334&amp;"",Key!$A:$C,3,FALSE),"")</f>
        <v/>
      </c>
    </row>
    <row r="335">
      <c r="A335" t="n">
        <v>541512</v>
      </c>
      <c r="B335" t="inlineStr">
        <is>
          <t>Computer systems design services</t>
        </is>
      </c>
      <c r="C335" t="n">
        <v>1</v>
      </c>
      <c r="D335" t="n">
        <v>84</v>
      </c>
      <c r="E335" t="n">
        <v>51</v>
      </c>
      <c r="F335" t="n">
        <v>47</v>
      </c>
      <c r="G335" t="n">
        <v>23</v>
      </c>
      <c r="H335" t="n">
        <v>29</v>
      </c>
      <c r="I335" t="n">
        <v>19</v>
      </c>
      <c r="J335" t="n">
        <v>12</v>
      </c>
      <c r="K335" t="n">
        <v>27</v>
      </c>
      <c r="L335" t="n">
        <v>12</v>
      </c>
      <c r="M335" t="n">
        <v>2</v>
      </c>
      <c r="N335" t="n">
        <v>2</v>
      </c>
      <c r="O335" t="n">
        <v>22</v>
      </c>
      <c r="P335" t="n">
        <v>232</v>
      </c>
      <c r="Q335" t="n">
        <v>7</v>
      </c>
      <c r="R335" t="n">
        <v>17</v>
      </c>
      <c r="S335" t="n">
        <v>17</v>
      </c>
      <c r="T335" t="n">
        <v>8</v>
      </c>
      <c r="U335" t="n">
        <v>8</v>
      </c>
      <c r="V335" t="n">
        <v>33</v>
      </c>
      <c r="W335" t="n">
        <v>67</v>
      </c>
      <c r="X335" t="n">
        <v>1080</v>
      </c>
      <c r="Y335" t="n">
        <v>413</v>
      </c>
      <c r="Z335" t="n">
        <v>71</v>
      </c>
      <c r="AA335" t="n">
        <v>68</v>
      </c>
      <c r="AB335" t="n">
        <v>236</v>
      </c>
      <c r="AC335" t="n">
        <v>506</v>
      </c>
      <c r="AD335" t="n">
        <v>123</v>
      </c>
      <c r="AE335" t="n">
        <v>272</v>
      </c>
      <c r="AF335" t="n">
        <v>146</v>
      </c>
      <c r="AG335" t="n">
        <v>420</v>
      </c>
      <c r="AH335" t="n">
        <v>216</v>
      </c>
      <c r="AI335" t="n">
        <v>203</v>
      </c>
      <c r="AJ335" t="n">
        <v>180</v>
      </c>
      <c r="AK335" t="n">
        <v>392</v>
      </c>
      <c r="AL335" t="n">
        <v>332</v>
      </c>
      <c r="AM335" t="n">
        <v>81</v>
      </c>
      <c r="AN335" t="n">
        <v>35</v>
      </c>
      <c r="AO335" t="n">
        <v>33</v>
      </c>
      <c r="AP335" t="n">
        <v>51</v>
      </c>
      <c r="AQ335" t="n">
        <v>14</v>
      </c>
      <c r="AR335" t="n">
        <v>82</v>
      </c>
      <c r="AS335" t="n">
        <v>16</v>
      </c>
      <c r="AT335" t="n">
        <v>89</v>
      </c>
      <c r="AU335" t="n">
        <v>7</v>
      </c>
      <c r="AV335" t="n">
        <v>42</v>
      </c>
      <c r="AW335" t="n">
        <v>6</v>
      </c>
      <c r="AX335" t="n">
        <v>7</v>
      </c>
      <c r="AY335" t="n">
        <v>15</v>
      </c>
      <c r="AZ335" t="n">
        <v>5</v>
      </c>
      <c r="BA335" t="n">
        <v>14</v>
      </c>
      <c r="BB335" t="n">
        <v>14</v>
      </c>
      <c r="BC335" t="n">
        <v>104</v>
      </c>
      <c r="BD335" t="n">
        <v>29</v>
      </c>
      <c r="BE335" t="n">
        <v>6</v>
      </c>
      <c r="BF335" t="n">
        <v>1</v>
      </c>
      <c r="BG335" t="n">
        <v>27</v>
      </c>
      <c r="BH335" t="n">
        <v>4</v>
      </c>
      <c r="BI335" t="n">
        <v>19</v>
      </c>
      <c r="BJ335" t="n">
        <v>16</v>
      </c>
      <c r="BK335" t="n">
        <v>23</v>
      </c>
      <c r="BL335" t="n">
        <v>31</v>
      </c>
      <c r="BM335" t="n">
        <v>10</v>
      </c>
      <c r="BN335" t="n">
        <v>14</v>
      </c>
      <c r="BO335" t="n">
        <v>18</v>
      </c>
      <c r="BP335" t="n">
        <v>25</v>
      </c>
      <c r="BQ335" t="n">
        <v>99</v>
      </c>
      <c r="BR335" t="n">
        <v>70</v>
      </c>
      <c r="BS335" t="n">
        <v>14</v>
      </c>
      <c r="BT335" t="n">
        <v>13</v>
      </c>
      <c r="BU335" t="n">
        <v>9</v>
      </c>
      <c r="BV335" t="n">
        <v>18</v>
      </c>
      <c r="BW335" t="n">
        <v>20</v>
      </c>
      <c r="BX335" t="n">
        <v>71</v>
      </c>
      <c r="BY335" t="n">
        <v>88</v>
      </c>
      <c r="BZ335" t="n">
        <v>40</v>
      </c>
      <c r="CA335" t="n">
        <v>5</v>
      </c>
      <c r="CB335" t="n">
        <v>58</v>
      </c>
      <c r="CC335" t="n">
        <v>11</v>
      </c>
      <c r="CD335" t="n">
        <v>10</v>
      </c>
      <c r="CE335" t="n">
        <v>85</v>
      </c>
      <c r="CF335" t="n">
        <v>26</v>
      </c>
      <c r="CG335" t="n">
        <v>42</v>
      </c>
      <c r="CH335" t="n">
        <v>12</v>
      </c>
      <c r="CI335" t="n">
        <v>47</v>
      </c>
      <c r="CJ335" t="n">
        <v>20</v>
      </c>
      <c r="CK335" t="n">
        <v>13</v>
      </c>
      <c r="CL335" t="n">
        <v>73</v>
      </c>
      <c r="CM335" t="n">
        <v>17</v>
      </c>
      <c r="CN335" t="n">
        <v>2</v>
      </c>
      <c r="CO335" t="n">
        <v>90</v>
      </c>
      <c r="CP335" t="n">
        <v>15</v>
      </c>
      <c r="CQ335" t="n">
        <v>59</v>
      </c>
      <c r="CR335" t="n">
        <v>12</v>
      </c>
      <c r="CS335" t="n">
        <v>18</v>
      </c>
      <c r="CT335" t="n">
        <v>25</v>
      </c>
      <c r="CU335" t="n">
        <v>19</v>
      </c>
      <c r="CV335" t="n">
        <v>26</v>
      </c>
      <c r="CW335" t="n">
        <v>41</v>
      </c>
      <c r="CX335" t="n">
        <v>2</v>
      </c>
      <c r="CY335" t="n">
        <v>10</v>
      </c>
      <c r="CZ335" t="n">
        <v>57</v>
      </c>
      <c r="DA335" t="n">
        <v>15</v>
      </c>
      <c r="DB335" t="n">
        <v>46</v>
      </c>
      <c r="DC335" t="n">
        <v>42</v>
      </c>
      <c r="DD335" t="n">
        <v>6</v>
      </c>
      <c r="DE335" t="n">
        <v>16</v>
      </c>
      <c r="DF335" t="n">
        <v>9</v>
      </c>
      <c r="DG335" t="n">
        <v>51</v>
      </c>
      <c r="DH335" t="n">
        <v>40</v>
      </c>
      <c r="DI335" t="n">
        <v>0</v>
      </c>
      <c r="DJ335" t="n">
        <v>1</v>
      </c>
      <c r="DK335" t="n">
        <v>1</v>
      </c>
      <c r="DL335" t="n">
        <v>1</v>
      </c>
      <c r="DM335" t="n">
        <v>33</v>
      </c>
      <c r="DN335" t="n">
        <v>0</v>
      </c>
      <c r="DO335" t="n">
        <v>15</v>
      </c>
      <c r="DP335" t="n">
        <v>7</v>
      </c>
      <c r="DQ335" t="n">
        <v>4</v>
      </c>
      <c r="DR335" t="n">
        <v>81</v>
      </c>
      <c r="DS335" t="n">
        <v>59</v>
      </c>
      <c r="DT335" t="n">
        <v>0</v>
      </c>
      <c r="DU335" t="n">
        <v>9</v>
      </c>
      <c r="DV335" t="n">
        <v>1</v>
      </c>
      <c r="DW335" t="n">
        <v>4</v>
      </c>
      <c r="DX335" t="n">
        <v>11</v>
      </c>
      <c r="DY335" t="n">
        <v>5</v>
      </c>
      <c r="DZ335" t="n">
        <v>11</v>
      </c>
      <c r="EA335" t="n">
        <v>0</v>
      </c>
      <c r="EB335" t="n">
        <v>0</v>
      </c>
      <c r="ED335" t="n">
        <v>18</v>
      </c>
      <c r="EE335" t="n">
        <v>0</v>
      </c>
      <c r="EF335" t="n">
        <v>1</v>
      </c>
      <c r="EG335" t="n">
        <v>0</v>
      </c>
      <c r="EH335" t="n">
        <v>5</v>
      </c>
      <c r="EI335" t="n">
        <v>15</v>
      </c>
      <c r="EJ335" t="n">
        <v>7</v>
      </c>
      <c r="EK335" t="n">
        <v>7</v>
      </c>
      <c r="EL335" t="n">
        <v>0</v>
      </c>
      <c r="EM335" t="n">
        <v>11</v>
      </c>
      <c r="EN335" t="n">
        <v>10</v>
      </c>
      <c r="EP335" t="n">
        <v>20</v>
      </c>
      <c r="EQ335" t="n">
        <v>13</v>
      </c>
      <c r="ER335" t="n">
        <v>40</v>
      </c>
      <c r="ES335" t="n">
        <v>8</v>
      </c>
      <c r="ET335" t="n">
        <v>32</v>
      </c>
      <c r="EU335" t="n">
        <v>13</v>
      </c>
      <c r="EV335" t="n">
        <v>0</v>
      </c>
      <c r="EW335" t="n">
        <v>25</v>
      </c>
      <c r="EX335" t="n">
        <v>33</v>
      </c>
      <c r="EY335" t="n">
        <v>35</v>
      </c>
      <c r="EZ335" t="n">
        <v>62</v>
      </c>
      <c r="FA335" t="n">
        <v>51</v>
      </c>
      <c r="FB335" t="n">
        <v>36</v>
      </c>
      <c r="FC335" t="n">
        <v>51</v>
      </c>
      <c r="FD335" t="n">
        <v>46</v>
      </c>
      <c r="FE335" t="n">
        <v>2163</v>
      </c>
      <c r="FF335" t="n">
        <v>417</v>
      </c>
      <c r="FG335" t="n">
        <v>143</v>
      </c>
      <c r="FH335" t="n">
        <v>179</v>
      </c>
      <c r="FI335" t="n">
        <v>26</v>
      </c>
      <c r="FJ335" t="n">
        <v>52</v>
      </c>
      <c r="FK335" t="n">
        <v>91</v>
      </c>
      <c r="FL335" t="n">
        <v>23</v>
      </c>
      <c r="FM335" t="n">
        <v>8</v>
      </c>
      <c r="FN335" t="n">
        <v>7</v>
      </c>
      <c r="FO335" t="n">
        <v>7</v>
      </c>
      <c r="FP335" t="n">
        <v>41</v>
      </c>
      <c r="FQ335" t="n">
        <v>34</v>
      </c>
      <c r="FR335" t="n">
        <v>8</v>
      </c>
      <c r="FS335" t="n">
        <v>20</v>
      </c>
      <c r="FT335" t="n">
        <v>18</v>
      </c>
      <c r="FU335" t="n">
        <v>19</v>
      </c>
      <c r="FV335" t="n">
        <v>105</v>
      </c>
      <c r="FW335" t="n">
        <v>28</v>
      </c>
      <c r="FX335" t="n">
        <v>66</v>
      </c>
      <c r="FY335" t="n">
        <v>98</v>
      </c>
      <c r="FZ335" t="n">
        <v>16</v>
      </c>
      <c r="GA335" t="n">
        <v>18</v>
      </c>
      <c r="GB335" t="n">
        <v>22</v>
      </c>
      <c r="GC335" t="n">
        <v>30</v>
      </c>
      <c r="GD335" t="n">
        <v>31</v>
      </c>
      <c r="GE335" t="n">
        <v>4</v>
      </c>
      <c r="GF335" t="n">
        <v>7</v>
      </c>
      <c r="GG335" t="n">
        <v>50</v>
      </c>
      <c r="GH335" t="n">
        <v>97</v>
      </c>
      <c r="GI335" t="n">
        <v>30</v>
      </c>
      <c r="GJ335" t="n">
        <v>18</v>
      </c>
      <c r="GK335" t="n">
        <v>16</v>
      </c>
      <c r="GL335" t="n">
        <v>8</v>
      </c>
      <c r="GM335" t="n">
        <v>4</v>
      </c>
      <c r="GN335" t="n">
        <v>2</v>
      </c>
      <c r="GO335" t="n">
        <v>7</v>
      </c>
      <c r="GP335" t="n">
        <v>50</v>
      </c>
      <c r="GQ335" t="n">
        <v>27</v>
      </c>
      <c r="GR335" t="n">
        <v>42</v>
      </c>
      <c r="GS335" t="n">
        <v>46</v>
      </c>
      <c r="GT335" t="n">
        <v>22</v>
      </c>
      <c r="GU335" t="n">
        <v>57</v>
      </c>
      <c r="GV335" t="n">
        <v>7</v>
      </c>
      <c r="GW335" t="n">
        <v>61</v>
      </c>
      <c r="GX335" t="n">
        <v>55</v>
      </c>
      <c r="GY335" t="n">
        <v>18</v>
      </c>
      <c r="GZ335" t="n">
        <v>147</v>
      </c>
      <c r="HA335" t="n">
        <v>33</v>
      </c>
      <c r="HB335" t="n">
        <v>27</v>
      </c>
      <c r="HC335" t="n">
        <v>12</v>
      </c>
      <c r="HD335" t="n">
        <v>26</v>
      </c>
      <c r="HE335" t="n">
        <v>40</v>
      </c>
      <c r="HF335" t="n">
        <v>37</v>
      </c>
      <c r="HG335" t="n">
        <v>52</v>
      </c>
      <c r="HH335" t="n">
        <v>32</v>
      </c>
      <c r="HI335" t="n">
        <v>27</v>
      </c>
      <c r="HK335" t="n">
        <v>61</v>
      </c>
      <c r="HL335" t="n">
        <v>8</v>
      </c>
      <c r="HM335" t="n">
        <v>22</v>
      </c>
      <c r="HN335" t="n">
        <v>14</v>
      </c>
      <c r="HO335" t="n">
        <v>8</v>
      </c>
      <c r="HP335" t="n">
        <v>9</v>
      </c>
      <c r="HQ335" t="n">
        <v>20</v>
      </c>
      <c r="HR335" t="n">
        <v>4</v>
      </c>
      <c r="HS335" t="n">
        <v>3</v>
      </c>
      <c r="HT335" t="n">
        <v>16</v>
      </c>
      <c r="HU335" t="n">
        <v>48</v>
      </c>
      <c r="HV335" t="n">
        <v>33</v>
      </c>
      <c r="HW335" t="n">
        <v>127</v>
      </c>
      <c r="HX335" t="n">
        <v>29</v>
      </c>
      <c r="HY335" t="n">
        <v>12</v>
      </c>
      <c r="HZ335" t="n">
        <v>17</v>
      </c>
      <c r="IA335" t="n">
        <v>9</v>
      </c>
      <c r="IB335" t="n">
        <v>293</v>
      </c>
      <c r="IC335" t="n">
        <v>8</v>
      </c>
      <c r="ID335" t="n">
        <v>63</v>
      </c>
      <c r="IE335" t="n">
        <v>13</v>
      </c>
      <c r="IF335" t="n">
        <v>7</v>
      </c>
      <c r="IG335" t="n">
        <v>8</v>
      </c>
      <c r="IH335" t="n">
        <v>5</v>
      </c>
      <c r="II335" t="n">
        <v>25</v>
      </c>
      <c r="IJ335" t="n">
        <v>8</v>
      </c>
      <c r="IK335" t="n">
        <v>11</v>
      </c>
      <c r="IL335" t="n">
        <v>49</v>
      </c>
      <c r="IM335" t="n">
        <v>24</v>
      </c>
      <c r="IN335" t="n">
        <v>7</v>
      </c>
      <c r="IO335" t="n">
        <v>10</v>
      </c>
      <c r="IP335" t="n">
        <v>61</v>
      </c>
      <c r="IQ335" t="n">
        <v>15</v>
      </c>
      <c r="IR335" t="n">
        <v>35</v>
      </c>
      <c r="IS335" t="n">
        <v>5</v>
      </c>
      <c r="IT335" t="n">
        <v>2</v>
      </c>
      <c r="IU335" t="n">
        <v>17</v>
      </c>
      <c r="IV335" t="n">
        <v>8</v>
      </c>
      <c r="IW335" t="n">
        <v>19</v>
      </c>
      <c r="IX335" t="n">
        <v>25</v>
      </c>
      <c r="IY335" t="n">
        <v>1</v>
      </c>
      <c r="IZ335" t="n">
        <v>16</v>
      </c>
      <c r="JA335" t="n">
        <v>76</v>
      </c>
      <c r="JB335" t="n">
        <v>39</v>
      </c>
      <c r="JC335" t="n">
        <v>14</v>
      </c>
      <c r="JD335" t="n">
        <v>4</v>
      </c>
      <c r="JE335" t="n">
        <v>23</v>
      </c>
      <c r="JF335" t="n">
        <v>16</v>
      </c>
      <c r="JG335" t="n">
        <v>293</v>
      </c>
      <c r="JH335" t="n">
        <v>19</v>
      </c>
      <c r="JI335" t="n">
        <v>16</v>
      </c>
      <c r="JJ335" t="n">
        <v>40</v>
      </c>
      <c r="JK335" t="n">
        <v>794</v>
      </c>
      <c r="JL335" t="n">
        <v>1754</v>
      </c>
      <c r="JM335" t="n">
        <v>2379</v>
      </c>
      <c r="JN335" t="n">
        <v>1332</v>
      </c>
      <c r="JO335" t="n">
        <v>2168</v>
      </c>
      <c r="JP335" t="n">
        <v>545</v>
      </c>
      <c r="JQ335" t="n">
        <v>1153</v>
      </c>
      <c r="JR335" t="n">
        <v>316</v>
      </c>
      <c r="JS335" t="n">
        <v>2282</v>
      </c>
      <c r="JT335" t="n">
        <v>155</v>
      </c>
      <c r="JV335" t="n">
        <v>3307</v>
      </c>
      <c r="JW335" t="n">
        <v>707</v>
      </c>
      <c r="JX335" t="n">
        <v>1081</v>
      </c>
      <c r="JY335" t="n">
        <v>604</v>
      </c>
      <c r="JZ335" t="n">
        <v>584</v>
      </c>
      <c r="KA335" t="n">
        <v>713</v>
      </c>
      <c r="KB335" t="n">
        <v>436</v>
      </c>
      <c r="KC335" t="n">
        <v>1282</v>
      </c>
      <c r="KD335" t="n">
        <v>674</v>
      </c>
      <c r="KE335" t="n">
        <v>331</v>
      </c>
      <c r="KF335" t="n">
        <v>1091</v>
      </c>
      <c r="KG335" t="n">
        <v>13</v>
      </c>
      <c r="KH335" t="n">
        <v>426</v>
      </c>
      <c r="KI335" t="n">
        <v>134</v>
      </c>
      <c r="KJ335" t="n">
        <v>4</v>
      </c>
      <c r="KK335" t="n">
        <v>104</v>
      </c>
      <c r="KM335" t="n">
        <v>238</v>
      </c>
      <c r="KN335" t="n">
        <v>190</v>
      </c>
      <c r="KO335" t="n">
        <v>140</v>
      </c>
      <c r="KP335" t="n">
        <v>367</v>
      </c>
      <c r="KQ335" t="n">
        <v>65</v>
      </c>
      <c r="KR335" t="n">
        <v>2614</v>
      </c>
      <c r="KS335" t="n">
        <v>262</v>
      </c>
      <c r="KT335" t="n">
        <v>16</v>
      </c>
      <c r="KU335" t="n">
        <v>88</v>
      </c>
      <c r="KV335" t="n">
        <v>139</v>
      </c>
      <c r="KW335" t="n">
        <v>1208</v>
      </c>
      <c r="KX335" t="n">
        <v>1823</v>
      </c>
      <c r="KY335" t="n">
        <v>172</v>
      </c>
      <c r="KZ335" t="n">
        <v>3807</v>
      </c>
      <c r="LA335" t="n">
        <v>1698</v>
      </c>
      <c r="LB335" t="n">
        <v>1</v>
      </c>
      <c r="LC335" t="n">
        <v>1832</v>
      </c>
      <c r="LD335" t="n">
        <v>2921</v>
      </c>
      <c r="LE335" t="n">
        <v>3442</v>
      </c>
      <c r="LF335" t="n">
        <v>3972</v>
      </c>
      <c r="LG335" t="n">
        <v>1044</v>
      </c>
      <c r="LH335" t="n">
        <v>3205</v>
      </c>
      <c r="LI335" t="n">
        <v>1013</v>
      </c>
      <c r="LJ335" t="n">
        <v>1264</v>
      </c>
      <c r="LK335" t="n">
        <v>725</v>
      </c>
      <c r="LL335" t="n">
        <v>1</v>
      </c>
      <c r="LM335" t="n">
        <v>2803</v>
      </c>
      <c r="LN335" t="n">
        <v>96</v>
      </c>
      <c r="LO335" t="n">
        <v>153</v>
      </c>
      <c r="LP335" t="n">
        <v>58</v>
      </c>
      <c r="LQ335" t="n">
        <v>18</v>
      </c>
      <c r="LR335" t="n">
        <v>2329</v>
      </c>
      <c r="LS335" t="n">
        <v>514</v>
      </c>
      <c r="LT335" t="n">
        <v>2224</v>
      </c>
      <c r="LU335" t="n">
        <v>590</v>
      </c>
      <c r="LV335" t="n">
        <v>671</v>
      </c>
      <c r="LW335" t="n">
        <v>333</v>
      </c>
      <c r="LX335" t="n">
        <v>1254</v>
      </c>
      <c r="LY335" t="n">
        <v>516</v>
      </c>
      <c r="LZ335" t="n">
        <v>1404</v>
      </c>
      <c r="MA335" t="n">
        <v>546</v>
      </c>
      <c r="MB335" t="n">
        <v>78</v>
      </c>
      <c r="MC335" t="n">
        <v>24</v>
      </c>
      <c r="MD335" t="n">
        <v>18</v>
      </c>
      <c r="ME335" t="n">
        <v>685</v>
      </c>
      <c r="MF335" t="n">
        <v>1809</v>
      </c>
      <c r="MG335" t="n">
        <v>2869</v>
      </c>
      <c r="MH335" t="n">
        <v>667</v>
      </c>
      <c r="MI335" t="n">
        <v>545</v>
      </c>
      <c r="MJ335" t="n">
        <v>1372</v>
      </c>
      <c r="MK335" t="n">
        <v>1960</v>
      </c>
      <c r="ML335" t="n">
        <v>1184</v>
      </c>
      <c r="MM335" t="n">
        <v>944</v>
      </c>
      <c r="MN335" t="n">
        <v>754</v>
      </c>
      <c r="MO335" t="n">
        <v>357</v>
      </c>
      <c r="MP335" t="n">
        <v>27</v>
      </c>
      <c r="MQ335" t="n">
        <v>27</v>
      </c>
      <c r="MR335" t="n">
        <v>536</v>
      </c>
      <c r="MS335" t="n">
        <v>1281</v>
      </c>
      <c r="MT335" t="n">
        <v>192</v>
      </c>
      <c r="MU335" t="n">
        <v>158</v>
      </c>
      <c r="MV335" t="n">
        <v>593</v>
      </c>
      <c r="MW335" t="n">
        <v>34</v>
      </c>
      <c r="MX335" t="n">
        <v>146</v>
      </c>
      <c r="MY335" t="n">
        <v>107</v>
      </c>
      <c r="MZ335" t="n">
        <v>2663</v>
      </c>
      <c r="NA335" t="n">
        <v>459</v>
      </c>
      <c r="NB335" t="n">
        <v>106</v>
      </c>
      <c r="NC335" t="n">
        <v>289</v>
      </c>
      <c r="ND335" t="n">
        <v>147</v>
      </c>
      <c r="NE335" t="n">
        <v>372</v>
      </c>
      <c r="NF335" t="n">
        <v>31</v>
      </c>
      <c r="NG335" t="n">
        <v>50</v>
      </c>
      <c r="NH335" t="n">
        <v>48</v>
      </c>
      <c r="NI335" t="n">
        <v>111</v>
      </c>
      <c r="NJ335" t="n">
        <v>48</v>
      </c>
      <c r="NK335" t="n">
        <v>80</v>
      </c>
      <c r="NL335" t="n">
        <v>420</v>
      </c>
      <c r="NM335" t="n">
        <v>222</v>
      </c>
      <c r="NN335" t="n">
        <v>785</v>
      </c>
      <c r="NO335" t="n">
        <v>936</v>
      </c>
      <c r="NP335" t="n">
        <v>2199</v>
      </c>
      <c r="NQ335" t="n">
        <v>283</v>
      </c>
      <c r="NR335" t="n">
        <v>394</v>
      </c>
      <c r="NS335" t="n">
        <v>122</v>
      </c>
      <c r="NT335" t="n">
        <v>216</v>
      </c>
      <c r="NU335" t="n">
        <v>80</v>
      </c>
      <c r="NV335" t="n">
        <v>236</v>
      </c>
      <c r="NW335" t="n">
        <v>5</v>
      </c>
      <c r="NX335" t="n">
        <v>96</v>
      </c>
      <c r="NY335" t="n">
        <v>300</v>
      </c>
      <c r="NZ335" t="n">
        <v>264</v>
      </c>
      <c r="OA335" t="n">
        <v>214</v>
      </c>
      <c r="OB335" t="n">
        <v>556</v>
      </c>
      <c r="OD335" t="n">
        <v>2427</v>
      </c>
      <c r="OE335" t="n">
        <v>11139</v>
      </c>
      <c r="OF335" t="n">
        <v>27</v>
      </c>
      <c r="OI335" t="n">
        <v>4527</v>
      </c>
      <c r="OJ335" t="n">
        <v>5685</v>
      </c>
      <c r="OK335" t="n">
        <v>14264</v>
      </c>
      <c r="OL335" t="n">
        <v>56</v>
      </c>
      <c r="OM335" t="n">
        <v>6</v>
      </c>
      <c r="ON335" t="n">
        <v>4354</v>
      </c>
      <c r="OO335" t="n">
        <v>155614</v>
      </c>
      <c r="OQ335" t="n">
        <v>37753</v>
      </c>
      <c r="OV335" t="n">
        <v>11216</v>
      </c>
      <c r="OX335" t="n">
        <v>3669</v>
      </c>
      <c r="PF335" t="n">
        <v>2338</v>
      </c>
      <c r="PI335" t="n">
        <v>210591</v>
      </c>
      <c r="PM335">
        <f>IFERROR(VLOOKUP($A335&amp;"",Key!$A:$C,3,FALSE),"")</f>
        <v/>
      </c>
    </row>
    <row r="336">
      <c r="A336" t="inlineStr">
        <is>
          <t>54151A</t>
        </is>
      </c>
      <c r="B336" t="inlineStr">
        <is>
          <t>Other computer related services, including facilities management</t>
        </is>
      </c>
      <c r="C336" t="n">
        <v>1</v>
      </c>
      <c r="D336" t="n">
        <v>48</v>
      </c>
      <c r="E336" t="n">
        <v>29</v>
      </c>
      <c r="F336" t="n">
        <v>27</v>
      </c>
      <c r="G336" t="n">
        <v>13</v>
      </c>
      <c r="H336" t="n">
        <v>16</v>
      </c>
      <c r="I336" t="n">
        <v>12</v>
      </c>
      <c r="J336" t="n">
        <v>7</v>
      </c>
      <c r="K336" t="n">
        <v>16</v>
      </c>
      <c r="L336" t="n">
        <v>7</v>
      </c>
      <c r="M336" t="n">
        <v>1</v>
      </c>
      <c r="N336" t="n">
        <v>1</v>
      </c>
      <c r="O336" t="n">
        <v>6</v>
      </c>
      <c r="P336" t="n">
        <v>31</v>
      </c>
      <c r="Q336" t="n">
        <v>1</v>
      </c>
      <c r="R336" t="n">
        <v>0</v>
      </c>
      <c r="S336" t="n">
        <v>3</v>
      </c>
      <c r="T336" t="n">
        <v>1</v>
      </c>
      <c r="U336" t="n">
        <v>2</v>
      </c>
      <c r="V336" t="n">
        <v>4</v>
      </c>
      <c r="W336" t="n">
        <v>9</v>
      </c>
      <c r="X336" t="n">
        <v>572</v>
      </c>
      <c r="Y336" t="n">
        <v>306</v>
      </c>
      <c r="Z336" t="n">
        <v>24</v>
      </c>
      <c r="AA336" t="n">
        <v>41</v>
      </c>
      <c r="AB336" t="n">
        <v>127</v>
      </c>
      <c r="AC336" t="n">
        <v>291</v>
      </c>
      <c r="AD336" t="n">
        <v>71</v>
      </c>
      <c r="AE336" t="n">
        <v>158</v>
      </c>
      <c r="AF336" t="n">
        <v>111</v>
      </c>
      <c r="AG336" t="n">
        <v>235</v>
      </c>
      <c r="AH336" t="n">
        <v>115</v>
      </c>
      <c r="AI336" t="n">
        <v>105</v>
      </c>
      <c r="AJ336" t="n">
        <v>106</v>
      </c>
      <c r="AK336" t="n">
        <v>257</v>
      </c>
      <c r="AL336" t="n">
        <v>198</v>
      </c>
      <c r="AM336" t="n">
        <v>9</v>
      </c>
      <c r="AN336" t="n">
        <v>2</v>
      </c>
      <c r="AO336" t="n">
        <v>3</v>
      </c>
      <c r="AP336" t="n">
        <v>3</v>
      </c>
      <c r="AQ336" t="n">
        <v>1</v>
      </c>
      <c r="AR336" t="n">
        <v>6</v>
      </c>
      <c r="AS336" t="n">
        <v>1</v>
      </c>
      <c r="AT336" t="n">
        <v>10</v>
      </c>
      <c r="AU336" t="n">
        <v>1</v>
      </c>
      <c r="AV336" t="n">
        <v>3</v>
      </c>
      <c r="AW336" t="n">
        <v>0</v>
      </c>
      <c r="AX336" t="n">
        <v>0</v>
      </c>
      <c r="AY336" t="n">
        <v>1</v>
      </c>
      <c r="AZ336" t="n">
        <v>0</v>
      </c>
      <c r="BA336" t="n">
        <v>1</v>
      </c>
      <c r="BB336" t="n">
        <v>1</v>
      </c>
      <c r="BC336" t="n">
        <v>11</v>
      </c>
      <c r="BD336" t="n">
        <v>2</v>
      </c>
      <c r="BE336" t="n">
        <v>1</v>
      </c>
      <c r="BG336" t="n">
        <v>2</v>
      </c>
      <c r="BH336" t="n">
        <v>0</v>
      </c>
      <c r="BI336" t="n">
        <v>1</v>
      </c>
      <c r="BJ336" t="n">
        <v>1</v>
      </c>
      <c r="BK336" t="n">
        <v>2</v>
      </c>
      <c r="BL336" t="n">
        <v>3</v>
      </c>
      <c r="BM336" t="n">
        <v>1</v>
      </c>
      <c r="BN336" t="n">
        <v>1</v>
      </c>
      <c r="BO336" t="n">
        <v>1</v>
      </c>
      <c r="BP336" t="n">
        <v>1</v>
      </c>
      <c r="BQ336" t="n">
        <v>10</v>
      </c>
      <c r="BR336" t="n">
        <v>7</v>
      </c>
      <c r="BS336" t="n">
        <v>1</v>
      </c>
      <c r="BT336" t="n">
        <v>1</v>
      </c>
      <c r="BU336" t="n">
        <v>1</v>
      </c>
      <c r="BV336" t="n">
        <v>1</v>
      </c>
      <c r="BW336" t="n">
        <v>1</v>
      </c>
      <c r="BX336" t="n">
        <v>7</v>
      </c>
      <c r="BY336" t="n">
        <v>8</v>
      </c>
      <c r="BZ336" t="n">
        <v>4</v>
      </c>
      <c r="CB336" t="n">
        <v>5</v>
      </c>
      <c r="CC336" t="n">
        <v>0</v>
      </c>
      <c r="CD336" t="n">
        <v>1</v>
      </c>
      <c r="CE336" t="n">
        <v>8</v>
      </c>
      <c r="CF336" t="n">
        <v>2</v>
      </c>
      <c r="CG336" t="n">
        <v>4</v>
      </c>
      <c r="CH336" t="n">
        <v>1</v>
      </c>
      <c r="CI336" t="n">
        <v>4</v>
      </c>
      <c r="CJ336" t="n">
        <v>2</v>
      </c>
      <c r="CK336" t="n">
        <v>1</v>
      </c>
      <c r="CL336" t="n">
        <v>7</v>
      </c>
      <c r="CM336" t="n">
        <v>0</v>
      </c>
      <c r="CN336" t="n">
        <v>0</v>
      </c>
      <c r="CO336" t="n">
        <v>8</v>
      </c>
      <c r="CP336" t="n">
        <v>1</v>
      </c>
      <c r="CQ336" t="n">
        <v>6</v>
      </c>
      <c r="CR336" t="n">
        <v>1</v>
      </c>
      <c r="CS336" t="n">
        <v>1</v>
      </c>
      <c r="CT336" t="n">
        <v>1</v>
      </c>
      <c r="CU336" t="n">
        <v>2</v>
      </c>
      <c r="CV336" t="n">
        <v>1</v>
      </c>
      <c r="CW336" t="n">
        <v>3</v>
      </c>
      <c r="CX336" t="n">
        <v>0</v>
      </c>
      <c r="CY336" t="n">
        <v>0</v>
      </c>
      <c r="CZ336" t="n">
        <v>6</v>
      </c>
      <c r="DA336" t="n">
        <v>2</v>
      </c>
      <c r="DB336" t="n">
        <v>4</v>
      </c>
      <c r="DC336" t="n">
        <v>5</v>
      </c>
      <c r="DD336" t="n">
        <v>0</v>
      </c>
      <c r="DE336" t="n">
        <v>1</v>
      </c>
      <c r="DF336" t="n">
        <v>0</v>
      </c>
      <c r="DG336" t="n">
        <v>5</v>
      </c>
      <c r="DH336" t="n">
        <v>3</v>
      </c>
      <c r="DI336" t="n">
        <v>0</v>
      </c>
      <c r="DJ336" t="n">
        <v>0</v>
      </c>
      <c r="DK336" t="n">
        <v>0</v>
      </c>
      <c r="DL336" t="n">
        <v>0</v>
      </c>
      <c r="DM336" t="n">
        <v>2</v>
      </c>
      <c r="DN336" t="n">
        <v>0</v>
      </c>
      <c r="DO336" t="n">
        <v>1</v>
      </c>
      <c r="DP336" t="n">
        <v>0</v>
      </c>
      <c r="DQ336" t="n">
        <v>1</v>
      </c>
      <c r="DR336" t="n">
        <v>7</v>
      </c>
      <c r="DS336" t="n">
        <v>4</v>
      </c>
      <c r="DT336" t="n">
        <v>0</v>
      </c>
      <c r="DU336" t="n">
        <v>1</v>
      </c>
      <c r="DV336" t="n">
        <v>0</v>
      </c>
      <c r="DW336" t="n">
        <v>1</v>
      </c>
      <c r="DX336" t="n">
        <v>2</v>
      </c>
      <c r="DY336" t="n">
        <v>1</v>
      </c>
      <c r="DZ336" t="n">
        <v>1</v>
      </c>
      <c r="EA336" t="n">
        <v>0</v>
      </c>
      <c r="EB336" t="n">
        <v>0</v>
      </c>
      <c r="ED336" t="n">
        <v>1</v>
      </c>
      <c r="EI336" t="n">
        <v>0</v>
      </c>
      <c r="EJ336" t="n">
        <v>1</v>
      </c>
      <c r="EK336" t="n">
        <v>0</v>
      </c>
      <c r="EL336" t="n">
        <v>0</v>
      </c>
      <c r="EM336" t="n">
        <v>0</v>
      </c>
      <c r="EN336" t="n">
        <v>1</v>
      </c>
      <c r="EP336" t="n">
        <v>2</v>
      </c>
      <c r="EQ336" t="n">
        <v>1</v>
      </c>
      <c r="ER336" t="n">
        <v>2</v>
      </c>
      <c r="ET336" t="n">
        <v>2</v>
      </c>
      <c r="EU336" t="n">
        <v>1</v>
      </c>
      <c r="EW336" t="n">
        <v>3</v>
      </c>
      <c r="EX336" t="n">
        <v>1</v>
      </c>
      <c r="EY336" t="n">
        <v>3</v>
      </c>
      <c r="EZ336" t="n">
        <v>6</v>
      </c>
      <c r="FA336" t="n">
        <v>4</v>
      </c>
      <c r="FB336" t="n">
        <v>2</v>
      </c>
      <c r="FC336" t="n">
        <v>5</v>
      </c>
      <c r="FD336" t="n">
        <v>4</v>
      </c>
      <c r="FE336" t="n">
        <v>149</v>
      </c>
      <c r="FF336" t="n">
        <v>29</v>
      </c>
      <c r="FG336" t="n">
        <v>11</v>
      </c>
      <c r="FH336" t="n">
        <v>12</v>
      </c>
      <c r="FI336" t="n">
        <v>1</v>
      </c>
      <c r="FJ336" t="n">
        <v>5</v>
      </c>
      <c r="FK336" t="n">
        <v>7</v>
      </c>
      <c r="FL336" t="n">
        <v>1</v>
      </c>
      <c r="FM336" t="n">
        <v>1</v>
      </c>
      <c r="FP336" t="n">
        <v>4</v>
      </c>
      <c r="FQ336" t="n">
        <v>3</v>
      </c>
      <c r="FR336" t="n">
        <v>0</v>
      </c>
      <c r="FS336" t="n">
        <v>2</v>
      </c>
      <c r="FT336" t="n">
        <v>1</v>
      </c>
      <c r="FU336" t="n">
        <v>1</v>
      </c>
      <c r="FV336" t="n">
        <v>9</v>
      </c>
      <c r="FW336" t="n">
        <v>1</v>
      </c>
      <c r="FX336" t="n">
        <v>7</v>
      </c>
      <c r="FY336" t="n">
        <v>10</v>
      </c>
      <c r="FZ336" t="n">
        <v>1</v>
      </c>
      <c r="GA336" t="n">
        <v>1</v>
      </c>
      <c r="GB336" t="n">
        <v>1</v>
      </c>
      <c r="GC336" t="n">
        <v>2</v>
      </c>
      <c r="GD336" t="n">
        <v>3</v>
      </c>
      <c r="GE336" t="n">
        <v>0</v>
      </c>
      <c r="GF336" t="n">
        <v>0</v>
      </c>
      <c r="GG336" t="n">
        <v>3</v>
      </c>
      <c r="GH336" t="n">
        <v>9</v>
      </c>
      <c r="GI336" t="n">
        <v>2</v>
      </c>
      <c r="GJ336" t="n">
        <v>1</v>
      </c>
      <c r="GK336" t="n">
        <v>1</v>
      </c>
      <c r="GL336" t="n">
        <v>0</v>
      </c>
      <c r="GM336" t="n">
        <v>0</v>
      </c>
      <c r="GO336" t="n">
        <v>0</v>
      </c>
      <c r="GP336" t="n">
        <v>2</v>
      </c>
      <c r="GQ336" t="n">
        <v>2</v>
      </c>
      <c r="GR336" t="n">
        <v>4</v>
      </c>
      <c r="GS336" t="n">
        <v>1</v>
      </c>
      <c r="GT336" t="n">
        <v>1</v>
      </c>
      <c r="GU336" t="n">
        <v>6</v>
      </c>
      <c r="GV336" t="n">
        <v>1</v>
      </c>
      <c r="GW336" t="n">
        <v>7</v>
      </c>
      <c r="GX336" t="n">
        <v>6</v>
      </c>
      <c r="GY336" t="n">
        <v>1</v>
      </c>
      <c r="GZ336" t="n">
        <v>16</v>
      </c>
      <c r="HA336" t="n">
        <v>2</v>
      </c>
      <c r="HB336" t="n">
        <v>1</v>
      </c>
      <c r="HC336" t="n">
        <v>1</v>
      </c>
      <c r="HE336" t="n">
        <v>3</v>
      </c>
      <c r="HF336" t="n">
        <v>3</v>
      </c>
      <c r="HG336" t="n">
        <v>3</v>
      </c>
      <c r="HH336" t="n">
        <v>2</v>
      </c>
      <c r="HI336" t="n">
        <v>2</v>
      </c>
      <c r="HK336" t="n">
        <v>0</v>
      </c>
      <c r="HL336" t="n">
        <v>0</v>
      </c>
      <c r="HM336" t="n">
        <v>1</v>
      </c>
      <c r="HN336" t="n">
        <v>1</v>
      </c>
      <c r="HO336" t="n">
        <v>1</v>
      </c>
      <c r="HP336" t="n">
        <v>0</v>
      </c>
      <c r="HQ336" t="n">
        <v>1</v>
      </c>
      <c r="HR336" t="n">
        <v>0</v>
      </c>
      <c r="HS336" t="n">
        <v>0</v>
      </c>
      <c r="HT336" t="n">
        <v>1</v>
      </c>
      <c r="HU336" t="n">
        <v>4</v>
      </c>
      <c r="HV336" t="n">
        <v>3</v>
      </c>
      <c r="HW336" t="n">
        <v>13</v>
      </c>
      <c r="HX336" t="n">
        <v>3</v>
      </c>
      <c r="HY336" t="n">
        <v>1</v>
      </c>
      <c r="HZ336" t="n">
        <v>1</v>
      </c>
      <c r="IA336" t="n">
        <v>0</v>
      </c>
      <c r="IB336" t="n">
        <v>30</v>
      </c>
      <c r="ID336" t="n">
        <v>4</v>
      </c>
      <c r="IE336" t="n">
        <v>3</v>
      </c>
      <c r="IF336" t="n">
        <v>1</v>
      </c>
      <c r="IG336" t="n">
        <v>0</v>
      </c>
      <c r="IJ336" t="n">
        <v>0</v>
      </c>
      <c r="IK336" t="n">
        <v>2</v>
      </c>
      <c r="IL336" t="n">
        <v>3</v>
      </c>
      <c r="IM336" t="n">
        <v>2</v>
      </c>
      <c r="IN336" t="n">
        <v>0</v>
      </c>
      <c r="IO336" t="n">
        <v>0</v>
      </c>
      <c r="IP336" t="n">
        <v>4</v>
      </c>
      <c r="IQ336" t="n">
        <v>2</v>
      </c>
      <c r="IR336" t="n">
        <v>2</v>
      </c>
      <c r="IS336" t="n">
        <v>0</v>
      </c>
      <c r="IU336" t="n">
        <v>1</v>
      </c>
      <c r="IV336" t="n">
        <v>1</v>
      </c>
      <c r="IW336" t="n">
        <v>1</v>
      </c>
      <c r="IX336" t="n">
        <v>2</v>
      </c>
      <c r="IY336" t="n">
        <v>0</v>
      </c>
      <c r="IZ336" t="n">
        <v>1</v>
      </c>
      <c r="JA336" t="n">
        <v>3</v>
      </c>
      <c r="JB336" t="n">
        <v>3</v>
      </c>
      <c r="JE336" t="n">
        <v>1</v>
      </c>
      <c r="JF336" t="n">
        <v>1</v>
      </c>
      <c r="JG336" t="n">
        <v>5</v>
      </c>
      <c r="JH336" t="n">
        <v>1</v>
      </c>
      <c r="JI336" t="n">
        <v>1</v>
      </c>
      <c r="JJ336" t="n">
        <v>3</v>
      </c>
      <c r="JK336" t="n">
        <v>233</v>
      </c>
      <c r="JL336" t="n">
        <v>1137</v>
      </c>
      <c r="JM336" t="n">
        <v>1623</v>
      </c>
      <c r="JN336" t="n">
        <v>943</v>
      </c>
      <c r="JO336" t="n">
        <v>1387</v>
      </c>
      <c r="JP336" t="n">
        <v>169</v>
      </c>
      <c r="JQ336" t="n">
        <v>377</v>
      </c>
      <c r="JR336" t="n">
        <v>107</v>
      </c>
      <c r="JS336" t="n">
        <v>751</v>
      </c>
      <c r="JT336" t="n">
        <v>42</v>
      </c>
      <c r="JV336" t="n">
        <v>1181</v>
      </c>
      <c r="JW336" t="n">
        <v>150</v>
      </c>
      <c r="JX336" t="n">
        <v>590</v>
      </c>
      <c r="JY336" t="n">
        <v>213</v>
      </c>
      <c r="JZ336" t="n">
        <v>147</v>
      </c>
      <c r="KA336" t="n">
        <v>143</v>
      </c>
      <c r="KB336" t="n">
        <v>120</v>
      </c>
      <c r="KC336" t="n">
        <v>477</v>
      </c>
      <c r="KD336" t="n">
        <v>248</v>
      </c>
      <c r="KE336" t="n">
        <v>90</v>
      </c>
      <c r="KF336" t="n">
        <v>130</v>
      </c>
      <c r="KG336" t="n">
        <v>3</v>
      </c>
      <c r="KH336" t="n">
        <v>146</v>
      </c>
      <c r="KI336" t="n">
        <v>34</v>
      </c>
      <c r="KJ336" t="n">
        <v>1</v>
      </c>
      <c r="KK336" t="n">
        <v>122</v>
      </c>
      <c r="KM336" t="n">
        <v>63</v>
      </c>
      <c r="KN336" t="n">
        <v>111</v>
      </c>
      <c r="KO336" t="n">
        <v>98</v>
      </c>
      <c r="KP336" t="n">
        <v>233</v>
      </c>
      <c r="KQ336" t="n">
        <v>49</v>
      </c>
      <c r="KR336" t="n">
        <v>747</v>
      </c>
      <c r="KS336" t="n">
        <v>77</v>
      </c>
      <c r="KT336" t="n">
        <v>5</v>
      </c>
      <c r="KU336" t="n">
        <v>24</v>
      </c>
      <c r="KV336" t="n">
        <v>43</v>
      </c>
      <c r="KW336" t="n">
        <v>399</v>
      </c>
      <c r="KX336" t="n">
        <v>702</v>
      </c>
      <c r="KY336" t="n">
        <v>252</v>
      </c>
      <c r="KZ336" t="n">
        <v>2495</v>
      </c>
      <c r="LA336" t="n">
        <v>1015</v>
      </c>
      <c r="LB336" t="n">
        <v>1</v>
      </c>
      <c r="LC336" t="n">
        <v>1113</v>
      </c>
      <c r="LD336" t="n">
        <v>8322</v>
      </c>
      <c r="LE336" t="n">
        <v>910</v>
      </c>
      <c r="LF336" t="n">
        <v>884</v>
      </c>
      <c r="LG336" t="n">
        <v>711</v>
      </c>
      <c r="LH336" t="n">
        <v>676</v>
      </c>
      <c r="LI336" t="n">
        <v>268</v>
      </c>
      <c r="LJ336" t="n">
        <v>373</v>
      </c>
      <c r="LK336" t="n">
        <v>149</v>
      </c>
      <c r="LL336" t="n">
        <v>0</v>
      </c>
      <c r="LM336" t="n">
        <v>834</v>
      </c>
      <c r="LN336" t="n">
        <v>25</v>
      </c>
      <c r="LO336" t="n">
        <v>49</v>
      </c>
      <c r="LP336" t="n">
        <v>20</v>
      </c>
      <c r="LQ336" t="n">
        <v>5</v>
      </c>
      <c r="LR336" t="n">
        <v>2013</v>
      </c>
      <c r="LS336" t="n">
        <v>607</v>
      </c>
      <c r="LT336" t="n">
        <v>1796</v>
      </c>
      <c r="LU336" t="n">
        <v>217</v>
      </c>
      <c r="LV336" t="n">
        <v>177</v>
      </c>
      <c r="LW336" t="n">
        <v>344</v>
      </c>
      <c r="LX336" t="n">
        <v>1550</v>
      </c>
      <c r="LY336" t="n">
        <v>162</v>
      </c>
      <c r="LZ336" t="n">
        <v>1282</v>
      </c>
      <c r="MA336" t="n">
        <v>144</v>
      </c>
      <c r="MB336" t="n">
        <v>32</v>
      </c>
      <c r="MC336" t="n">
        <v>14</v>
      </c>
      <c r="MD336" t="n">
        <v>9</v>
      </c>
      <c r="ME336" t="n">
        <v>287</v>
      </c>
      <c r="MF336" t="n">
        <v>359</v>
      </c>
      <c r="MG336" t="n">
        <v>1968</v>
      </c>
      <c r="MH336" t="n">
        <v>504</v>
      </c>
      <c r="MI336" t="n">
        <v>210</v>
      </c>
      <c r="MJ336" t="n">
        <v>251</v>
      </c>
      <c r="MK336" t="n">
        <v>475</v>
      </c>
      <c r="ML336" t="n">
        <v>416</v>
      </c>
      <c r="MM336" t="n">
        <v>311</v>
      </c>
      <c r="MN336" t="n">
        <v>223</v>
      </c>
      <c r="MO336" t="n">
        <v>90</v>
      </c>
      <c r="MP336" t="n">
        <v>42</v>
      </c>
      <c r="MQ336" t="n">
        <v>173</v>
      </c>
      <c r="MR336" t="n">
        <v>719</v>
      </c>
      <c r="MS336" t="n">
        <v>830</v>
      </c>
      <c r="MT336" t="n">
        <v>66</v>
      </c>
      <c r="MU336" t="n">
        <v>54</v>
      </c>
      <c r="MV336" t="n">
        <v>168</v>
      </c>
      <c r="MW336" t="n">
        <v>11</v>
      </c>
      <c r="MX336" t="n">
        <v>51</v>
      </c>
      <c r="MY336" t="n">
        <v>39</v>
      </c>
      <c r="MZ336" t="n">
        <v>1690</v>
      </c>
      <c r="NA336" t="n">
        <v>237</v>
      </c>
      <c r="NB336" t="n">
        <v>36</v>
      </c>
      <c r="NC336" t="n">
        <v>156</v>
      </c>
      <c r="ND336" t="n">
        <v>56</v>
      </c>
      <c r="NE336" t="n">
        <v>169</v>
      </c>
      <c r="NF336" t="n">
        <v>10</v>
      </c>
      <c r="NG336" t="n">
        <v>15</v>
      </c>
      <c r="NH336" t="n">
        <v>11</v>
      </c>
      <c r="NI336" t="n">
        <v>40</v>
      </c>
      <c r="NJ336" t="n">
        <v>21</v>
      </c>
      <c r="NK336" t="n">
        <v>21</v>
      </c>
      <c r="NL336" t="n">
        <v>129</v>
      </c>
      <c r="NM336" t="n">
        <v>57</v>
      </c>
      <c r="NN336" t="n">
        <v>205</v>
      </c>
      <c r="NO336" t="n">
        <v>152</v>
      </c>
      <c r="NP336" t="n">
        <v>415</v>
      </c>
      <c r="NQ336" t="n">
        <v>52</v>
      </c>
      <c r="NR336" t="n">
        <v>106</v>
      </c>
      <c r="NS336" t="n">
        <v>34</v>
      </c>
      <c r="NT336" t="n">
        <v>56</v>
      </c>
      <c r="NU336" t="n">
        <v>23</v>
      </c>
      <c r="NV336" t="n">
        <v>92</v>
      </c>
      <c r="NW336" t="n">
        <v>2</v>
      </c>
      <c r="NX336" t="n">
        <v>25</v>
      </c>
      <c r="NY336" t="n">
        <v>77</v>
      </c>
      <c r="NZ336" t="n">
        <v>109</v>
      </c>
      <c r="OA336" t="n">
        <v>92</v>
      </c>
      <c r="OB336" t="n">
        <v>121</v>
      </c>
      <c r="OD336" t="n">
        <v>1551</v>
      </c>
      <c r="OE336" t="n">
        <v>220</v>
      </c>
      <c r="OF336" t="n">
        <v>3</v>
      </c>
      <c r="OG336" t="n">
        <v>24</v>
      </c>
      <c r="OH336" t="n">
        <v>50</v>
      </c>
      <c r="OI336" t="n">
        <v>426</v>
      </c>
      <c r="OJ336" t="n">
        <v>1053</v>
      </c>
      <c r="OK336" t="n">
        <v>1240</v>
      </c>
      <c r="OL336" t="n">
        <v>13</v>
      </c>
      <c r="OM336" t="n">
        <v>15</v>
      </c>
      <c r="ON336" t="n">
        <v>335</v>
      </c>
      <c r="OO336" t="n">
        <v>59606</v>
      </c>
      <c r="OV336" t="n">
        <v>8269</v>
      </c>
      <c r="PI336" t="n">
        <v>67875</v>
      </c>
      <c r="PM336">
        <f>IFERROR(VLOOKUP($A336&amp;"",Key!$A:$C,3,FALSE),"")</f>
        <v/>
      </c>
    </row>
    <row r="337">
      <c r="A337" t="n">
        <v>541200</v>
      </c>
      <c r="B337" t="inlineStr">
        <is>
          <t>Accounting, tax preparation, bookkeeping, and payroll services</t>
        </is>
      </c>
      <c r="C337" t="n">
        <v>124</v>
      </c>
      <c r="D337" t="n">
        <v>190</v>
      </c>
      <c r="E337" t="n">
        <v>85</v>
      </c>
      <c r="F337" t="n">
        <v>82</v>
      </c>
      <c r="G337" t="n">
        <v>60</v>
      </c>
      <c r="H337" t="n">
        <v>89</v>
      </c>
      <c r="I337" t="n">
        <v>372</v>
      </c>
      <c r="J337" t="n">
        <v>73</v>
      </c>
      <c r="K337" t="n">
        <v>168</v>
      </c>
      <c r="L337" t="n">
        <v>66</v>
      </c>
      <c r="M337" t="n">
        <v>2</v>
      </c>
      <c r="N337" t="n">
        <v>18</v>
      </c>
      <c r="O337" t="n">
        <v>56</v>
      </c>
      <c r="P337" t="n">
        <v>239</v>
      </c>
      <c r="Q337" t="n">
        <v>90</v>
      </c>
      <c r="R337" t="n">
        <v>9</v>
      </c>
      <c r="S337" t="n">
        <v>53</v>
      </c>
      <c r="T337" t="n">
        <v>60</v>
      </c>
      <c r="U337" t="n">
        <v>77</v>
      </c>
      <c r="V337" t="n">
        <v>27</v>
      </c>
      <c r="W337" t="n">
        <v>52</v>
      </c>
      <c r="X337" t="n">
        <v>2065</v>
      </c>
      <c r="Y337" t="n">
        <v>1224</v>
      </c>
      <c r="Z337" t="n">
        <v>283</v>
      </c>
      <c r="AA337" t="n">
        <v>60</v>
      </c>
      <c r="AB337" t="n">
        <v>61</v>
      </c>
      <c r="AC337" t="n">
        <v>620</v>
      </c>
      <c r="AD337" t="n">
        <v>175</v>
      </c>
      <c r="AE337" t="n">
        <v>366</v>
      </c>
      <c r="AF337" t="n">
        <v>136</v>
      </c>
      <c r="AG337" t="n">
        <v>565</v>
      </c>
      <c r="AH337" t="n">
        <v>270</v>
      </c>
      <c r="AI337" t="n">
        <v>224</v>
      </c>
      <c r="AJ337" t="n">
        <v>115</v>
      </c>
      <c r="AK337" t="n">
        <v>488</v>
      </c>
      <c r="AL337" t="n">
        <v>430</v>
      </c>
      <c r="AM337" t="n">
        <v>101</v>
      </c>
      <c r="AN337" t="n">
        <v>41</v>
      </c>
      <c r="AO337" t="n">
        <v>56</v>
      </c>
      <c r="AP337" t="n">
        <v>69</v>
      </c>
      <c r="AQ337" t="n">
        <v>18</v>
      </c>
      <c r="AR337" t="n">
        <v>77</v>
      </c>
      <c r="AS337" t="n">
        <v>11</v>
      </c>
      <c r="AT337" t="n">
        <v>88</v>
      </c>
      <c r="AU337" t="n">
        <v>11</v>
      </c>
      <c r="AV337" t="n">
        <v>47</v>
      </c>
      <c r="AW337" t="n">
        <v>6</v>
      </c>
      <c r="AX337" t="n">
        <v>7</v>
      </c>
      <c r="AY337" t="n">
        <v>13</v>
      </c>
      <c r="AZ337" t="n">
        <v>2</v>
      </c>
      <c r="BA337" t="n">
        <v>12</v>
      </c>
      <c r="BB337" t="n">
        <v>8</v>
      </c>
      <c r="BC337" t="n">
        <v>78</v>
      </c>
      <c r="BD337" t="n">
        <v>29</v>
      </c>
      <c r="BE337" t="n">
        <v>4</v>
      </c>
      <c r="BF337" t="n">
        <v>1</v>
      </c>
      <c r="BG337" t="n">
        <v>26</v>
      </c>
      <c r="BH337" t="n">
        <v>3</v>
      </c>
      <c r="BI337" t="n">
        <v>11</v>
      </c>
      <c r="BJ337" t="n">
        <v>17</v>
      </c>
      <c r="BK337" t="n">
        <v>28</v>
      </c>
      <c r="BL337" t="n">
        <v>19</v>
      </c>
      <c r="BM337" t="n">
        <v>8</v>
      </c>
      <c r="BN337" t="n">
        <v>14</v>
      </c>
      <c r="BO337" t="n">
        <v>26</v>
      </c>
      <c r="BP337" t="n">
        <v>27</v>
      </c>
      <c r="BQ337" t="n">
        <v>87</v>
      </c>
      <c r="BR337" t="n">
        <v>74</v>
      </c>
      <c r="BS337" t="n">
        <v>10</v>
      </c>
      <c r="BT337" t="n">
        <v>12</v>
      </c>
      <c r="BU337" t="n">
        <v>10</v>
      </c>
      <c r="BV337" t="n">
        <v>17</v>
      </c>
      <c r="BW337" t="n">
        <v>17</v>
      </c>
      <c r="BX337" t="n">
        <v>79</v>
      </c>
      <c r="BY337" t="n">
        <v>74</v>
      </c>
      <c r="BZ337" t="n">
        <v>60</v>
      </c>
      <c r="CA337" t="n">
        <v>12</v>
      </c>
      <c r="CB337" t="n">
        <v>33</v>
      </c>
      <c r="CC337" t="n">
        <v>8</v>
      </c>
      <c r="CD337" t="n">
        <v>8</v>
      </c>
      <c r="CE337" t="n">
        <v>12</v>
      </c>
      <c r="CF337" t="n">
        <v>25</v>
      </c>
      <c r="CG337" t="n">
        <v>29</v>
      </c>
      <c r="CH337" t="n">
        <v>10</v>
      </c>
      <c r="CI337" t="n">
        <v>12</v>
      </c>
      <c r="CJ337" t="n">
        <v>12</v>
      </c>
      <c r="CK337" t="n">
        <v>12</v>
      </c>
      <c r="CL337" t="n">
        <v>58</v>
      </c>
      <c r="CM337" t="n">
        <v>8</v>
      </c>
      <c r="CN337" t="n">
        <v>9</v>
      </c>
      <c r="CO337" t="n">
        <v>30</v>
      </c>
      <c r="CP337" t="n">
        <v>11</v>
      </c>
      <c r="CQ337" t="n">
        <v>32</v>
      </c>
      <c r="CR337" t="n">
        <v>9</v>
      </c>
      <c r="CS337" t="n">
        <v>9</v>
      </c>
      <c r="CT337" t="n">
        <v>25</v>
      </c>
      <c r="CU337" t="n">
        <v>11</v>
      </c>
      <c r="CV337" t="n">
        <v>15</v>
      </c>
      <c r="CW337" t="n">
        <v>8</v>
      </c>
      <c r="CX337" t="n">
        <v>2</v>
      </c>
      <c r="CY337" t="n">
        <v>11</v>
      </c>
      <c r="CZ337" t="n">
        <v>27</v>
      </c>
      <c r="DA337" t="n">
        <v>8</v>
      </c>
      <c r="DB337" t="n">
        <v>20</v>
      </c>
      <c r="DC337" t="n">
        <v>35</v>
      </c>
      <c r="DD337" t="n">
        <v>23</v>
      </c>
      <c r="DE337" t="n">
        <v>18</v>
      </c>
      <c r="DF337" t="n">
        <v>4</v>
      </c>
      <c r="DG337" t="n">
        <v>39</v>
      </c>
      <c r="DH337" t="n">
        <v>9</v>
      </c>
      <c r="DI337" t="n">
        <v>0</v>
      </c>
      <c r="DJ337" t="n">
        <v>0</v>
      </c>
      <c r="DK337" t="n">
        <v>0</v>
      </c>
      <c r="DL337" t="n">
        <v>2</v>
      </c>
      <c r="DM337" t="n">
        <v>3</v>
      </c>
      <c r="DN337" t="n">
        <v>1</v>
      </c>
      <c r="DO337" t="n">
        <v>4</v>
      </c>
      <c r="DP337" t="n">
        <v>4</v>
      </c>
      <c r="DQ337" t="n">
        <v>9</v>
      </c>
      <c r="DR337" t="n">
        <v>23</v>
      </c>
      <c r="DS337" t="n">
        <v>9</v>
      </c>
      <c r="DT337" t="n">
        <v>4</v>
      </c>
      <c r="DU337" t="n">
        <v>3</v>
      </c>
      <c r="DV337" t="n">
        <v>4</v>
      </c>
      <c r="DW337" t="n">
        <v>16</v>
      </c>
      <c r="DX337" t="n">
        <v>6</v>
      </c>
      <c r="DY337" t="n">
        <v>3</v>
      </c>
      <c r="DZ337" t="n">
        <v>5</v>
      </c>
      <c r="EA337" t="n">
        <v>9</v>
      </c>
      <c r="EB337" t="n">
        <v>1</v>
      </c>
      <c r="EC337" t="n">
        <v>1</v>
      </c>
      <c r="ED337" t="n">
        <v>27</v>
      </c>
      <c r="EE337" t="n">
        <v>0</v>
      </c>
      <c r="EF337" t="n">
        <v>48</v>
      </c>
      <c r="EG337" t="n">
        <v>1</v>
      </c>
      <c r="EH337" t="n">
        <v>9</v>
      </c>
      <c r="EI337" t="n">
        <v>15</v>
      </c>
      <c r="EJ337" t="n">
        <v>15</v>
      </c>
      <c r="EK337" t="n">
        <v>6</v>
      </c>
      <c r="EL337" t="n">
        <v>0</v>
      </c>
      <c r="EM337" t="n">
        <v>13</v>
      </c>
      <c r="EN337" t="n">
        <v>7</v>
      </c>
      <c r="EO337" t="n">
        <v>3</v>
      </c>
      <c r="EP337" t="n">
        <v>34</v>
      </c>
      <c r="EQ337" t="n">
        <v>4</v>
      </c>
      <c r="ER337" t="n">
        <v>20</v>
      </c>
      <c r="ES337" t="n">
        <v>3</v>
      </c>
      <c r="ET337" t="n">
        <v>17</v>
      </c>
      <c r="EU337" t="n">
        <v>9</v>
      </c>
      <c r="EV337" t="n">
        <v>1</v>
      </c>
      <c r="EW337" t="n">
        <v>18</v>
      </c>
      <c r="EX337" t="n">
        <v>15</v>
      </c>
      <c r="EY337" t="n">
        <v>26</v>
      </c>
      <c r="EZ337" t="n">
        <v>33</v>
      </c>
      <c r="FA337" t="n">
        <v>34</v>
      </c>
      <c r="FB337" t="n">
        <v>26</v>
      </c>
      <c r="FC337" t="n">
        <v>29</v>
      </c>
      <c r="FD337" t="n">
        <v>23</v>
      </c>
      <c r="FE337" t="n">
        <v>21</v>
      </c>
      <c r="FF337" t="n">
        <v>29</v>
      </c>
      <c r="FG337" t="n">
        <v>22</v>
      </c>
      <c r="FH337" t="n">
        <v>17</v>
      </c>
      <c r="FI337" t="n">
        <v>215</v>
      </c>
      <c r="FJ337" t="n">
        <v>41</v>
      </c>
      <c r="FK337" t="n">
        <v>26</v>
      </c>
      <c r="FL337" t="n">
        <v>16</v>
      </c>
      <c r="FM337" t="n">
        <v>4</v>
      </c>
      <c r="FN337" t="n">
        <v>3</v>
      </c>
      <c r="FO337" t="n">
        <v>4</v>
      </c>
      <c r="FP337" t="n">
        <v>73</v>
      </c>
      <c r="FQ337" t="n">
        <v>42</v>
      </c>
      <c r="FR337" t="n">
        <v>14</v>
      </c>
      <c r="FS337" t="n">
        <v>24</v>
      </c>
      <c r="FT337" t="n">
        <v>9</v>
      </c>
      <c r="FU337" t="n">
        <v>26</v>
      </c>
      <c r="FV337" t="n">
        <v>81</v>
      </c>
      <c r="FW337" t="n">
        <v>16</v>
      </c>
      <c r="FX337" t="n">
        <v>47</v>
      </c>
      <c r="FY337" t="n">
        <v>78</v>
      </c>
      <c r="FZ337" t="n">
        <v>13</v>
      </c>
      <c r="GA337" t="n">
        <v>4</v>
      </c>
      <c r="GB337" t="n">
        <v>15</v>
      </c>
      <c r="GC337" t="n">
        <v>16</v>
      </c>
      <c r="GD337" t="n">
        <v>26</v>
      </c>
      <c r="GE337" t="n">
        <v>1</v>
      </c>
      <c r="GF337" t="n">
        <v>4</v>
      </c>
      <c r="GG337" t="n">
        <v>52</v>
      </c>
      <c r="GH337" t="n">
        <v>56</v>
      </c>
      <c r="GI337" t="n">
        <v>14</v>
      </c>
      <c r="GJ337" t="n">
        <v>17</v>
      </c>
      <c r="GK337" t="n">
        <v>15</v>
      </c>
      <c r="GL337" t="n">
        <v>3</v>
      </c>
      <c r="GM337" t="n">
        <v>3</v>
      </c>
      <c r="GN337" t="n">
        <v>1</v>
      </c>
      <c r="GO337" t="n">
        <v>7</v>
      </c>
      <c r="GP337" t="n">
        <v>66</v>
      </c>
      <c r="GQ337" t="n">
        <v>24</v>
      </c>
      <c r="GR337" t="n">
        <v>48</v>
      </c>
      <c r="GS337" t="n">
        <v>13</v>
      </c>
      <c r="GT337" t="n">
        <v>12</v>
      </c>
      <c r="GU337" t="n">
        <v>66</v>
      </c>
      <c r="GV337" t="n">
        <v>21</v>
      </c>
      <c r="GW337" t="n">
        <v>67</v>
      </c>
      <c r="GX337" t="n">
        <v>63</v>
      </c>
      <c r="GY337" t="n">
        <v>16</v>
      </c>
      <c r="GZ337" t="n">
        <v>156</v>
      </c>
      <c r="HA337" t="n">
        <v>33</v>
      </c>
      <c r="HB337" t="n">
        <v>11</v>
      </c>
      <c r="HC337" t="n">
        <v>13</v>
      </c>
      <c r="HD337" t="n">
        <v>4</v>
      </c>
      <c r="HE337" t="n">
        <v>27</v>
      </c>
      <c r="HF337" t="n">
        <v>45</v>
      </c>
      <c r="HG337" t="n">
        <v>53</v>
      </c>
      <c r="HH337" t="n">
        <v>90</v>
      </c>
      <c r="HI337" t="n">
        <v>53</v>
      </c>
      <c r="HJ337" t="n">
        <v>29</v>
      </c>
      <c r="HK337" t="n">
        <v>3</v>
      </c>
      <c r="HL337" t="n">
        <v>10</v>
      </c>
      <c r="HM337" t="n">
        <v>26</v>
      </c>
      <c r="HN337" t="n">
        <v>15</v>
      </c>
      <c r="HO337" t="n">
        <v>9</v>
      </c>
      <c r="HP337" t="n">
        <v>7</v>
      </c>
      <c r="HQ337" t="n">
        <v>18</v>
      </c>
      <c r="HR337" t="n">
        <v>6</v>
      </c>
      <c r="HS337" t="n">
        <v>1</v>
      </c>
      <c r="HT337" t="n">
        <v>15</v>
      </c>
      <c r="HU337" t="n">
        <v>43</v>
      </c>
      <c r="HV337" t="n">
        <v>34</v>
      </c>
      <c r="HW337" t="n">
        <v>151</v>
      </c>
      <c r="HX337" t="n">
        <v>33</v>
      </c>
      <c r="HY337" t="n">
        <v>15</v>
      </c>
      <c r="HZ337" t="n">
        <v>16</v>
      </c>
      <c r="IA337" t="n">
        <v>10</v>
      </c>
      <c r="IB337" t="n">
        <v>165</v>
      </c>
      <c r="IC337" t="n">
        <v>3</v>
      </c>
      <c r="ID337" t="n">
        <v>303</v>
      </c>
      <c r="IE337" t="n">
        <v>39</v>
      </c>
      <c r="IF337" t="n">
        <v>32</v>
      </c>
      <c r="IG337" t="n">
        <v>28</v>
      </c>
      <c r="IH337" t="n">
        <v>7</v>
      </c>
      <c r="II337" t="n">
        <v>22</v>
      </c>
      <c r="IJ337" t="n">
        <v>3</v>
      </c>
      <c r="IK337" t="n">
        <v>22</v>
      </c>
      <c r="IL337" t="n">
        <v>67</v>
      </c>
      <c r="IM337" t="n">
        <v>49</v>
      </c>
      <c r="IN337" t="n">
        <v>12</v>
      </c>
      <c r="IO337" t="n">
        <v>2</v>
      </c>
      <c r="IP337" t="n">
        <v>24</v>
      </c>
      <c r="IQ337" t="n">
        <v>4</v>
      </c>
      <c r="IR337" t="n">
        <v>2</v>
      </c>
      <c r="IS337" t="n">
        <v>26</v>
      </c>
      <c r="IT337" t="n">
        <v>28</v>
      </c>
      <c r="IU337" t="n">
        <v>16</v>
      </c>
      <c r="IV337" t="n">
        <v>8</v>
      </c>
      <c r="IW337" t="n">
        <v>31</v>
      </c>
      <c r="IX337" t="n">
        <v>27</v>
      </c>
      <c r="IY337" t="n">
        <v>3</v>
      </c>
      <c r="IZ337" t="n">
        <v>76</v>
      </c>
      <c r="JA337" t="n">
        <v>58</v>
      </c>
      <c r="JB337" t="n">
        <v>33</v>
      </c>
      <c r="JC337" t="n">
        <v>6</v>
      </c>
      <c r="JD337" t="n">
        <v>17</v>
      </c>
      <c r="JE337" t="n">
        <v>19</v>
      </c>
      <c r="JF337" t="n">
        <v>17</v>
      </c>
      <c r="JG337" t="n">
        <v>191</v>
      </c>
      <c r="JH337" t="n">
        <v>32</v>
      </c>
      <c r="JI337" t="n">
        <v>8</v>
      </c>
      <c r="JJ337" t="n">
        <v>31</v>
      </c>
      <c r="JK337" t="n">
        <v>488</v>
      </c>
      <c r="JL337" t="n">
        <v>1946</v>
      </c>
      <c r="JM337" t="n">
        <v>3343</v>
      </c>
      <c r="JN337" t="n">
        <v>2871</v>
      </c>
      <c r="JO337" t="n">
        <v>2927</v>
      </c>
      <c r="JP337" t="n">
        <v>875</v>
      </c>
      <c r="JQ337" t="n">
        <v>1666</v>
      </c>
      <c r="JR337" t="n">
        <v>350</v>
      </c>
      <c r="JS337" t="n">
        <v>3159</v>
      </c>
      <c r="JT337" t="n">
        <v>394</v>
      </c>
      <c r="JV337" t="n">
        <v>2872</v>
      </c>
      <c r="JW337" t="n">
        <v>1646</v>
      </c>
      <c r="JX337" t="n">
        <v>769</v>
      </c>
      <c r="JY337" t="n">
        <v>669</v>
      </c>
      <c r="JZ337" t="n">
        <v>716</v>
      </c>
      <c r="KA337" t="n">
        <v>842</v>
      </c>
      <c r="KB337" t="n">
        <v>503</v>
      </c>
      <c r="KC337" t="n">
        <v>1059</v>
      </c>
      <c r="KD337" t="n">
        <v>1091</v>
      </c>
      <c r="KE337" t="n">
        <v>242</v>
      </c>
      <c r="KF337" t="n">
        <v>431</v>
      </c>
      <c r="KG337" t="n">
        <v>106</v>
      </c>
      <c r="KH337" t="n">
        <v>1301</v>
      </c>
      <c r="KI337" t="n">
        <v>250</v>
      </c>
      <c r="KJ337" t="n">
        <v>12</v>
      </c>
      <c r="KK337" t="n">
        <v>546</v>
      </c>
      <c r="KL337" t="n">
        <v>72</v>
      </c>
      <c r="KM337" t="n">
        <v>437</v>
      </c>
      <c r="KN337" t="n">
        <v>113</v>
      </c>
      <c r="KO337" t="n">
        <v>196</v>
      </c>
      <c r="KP337" t="n">
        <v>319</v>
      </c>
      <c r="KQ337" t="n">
        <v>47</v>
      </c>
      <c r="KR337" t="n">
        <v>1039</v>
      </c>
      <c r="KS337" t="n">
        <v>323</v>
      </c>
      <c r="KT337" t="n">
        <v>106</v>
      </c>
      <c r="KU337" t="n">
        <v>178</v>
      </c>
      <c r="KV337" t="n">
        <v>335</v>
      </c>
      <c r="KW337" t="n">
        <v>1261</v>
      </c>
      <c r="KX337" t="n">
        <v>2694</v>
      </c>
      <c r="KY337" t="n">
        <v>360</v>
      </c>
      <c r="KZ337" t="n">
        <v>467</v>
      </c>
      <c r="LA337" t="n">
        <v>1051</v>
      </c>
      <c r="LB337" t="n">
        <v>1</v>
      </c>
      <c r="LC337" t="n">
        <v>1547</v>
      </c>
      <c r="LD337" t="n">
        <v>2216</v>
      </c>
      <c r="LE337" t="n">
        <v>4852</v>
      </c>
      <c r="LF337" t="n">
        <v>995</v>
      </c>
      <c r="LG337" t="n">
        <v>1794</v>
      </c>
      <c r="LH337" t="n">
        <v>6529</v>
      </c>
      <c r="LI337" t="n">
        <v>2220</v>
      </c>
      <c r="LJ337" t="n">
        <v>2169</v>
      </c>
      <c r="LK337" t="n">
        <v>367</v>
      </c>
      <c r="LL337" t="n">
        <v>1</v>
      </c>
      <c r="LM337" t="n">
        <v>5689</v>
      </c>
      <c r="LN337" t="n">
        <v>299</v>
      </c>
      <c r="LO337" t="n">
        <v>331</v>
      </c>
      <c r="LP337" t="n">
        <v>154</v>
      </c>
      <c r="LQ337" t="n">
        <v>213</v>
      </c>
      <c r="LR337" t="n">
        <v>2280</v>
      </c>
      <c r="LS337" t="n">
        <v>832</v>
      </c>
      <c r="LT337" t="n">
        <v>1471</v>
      </c>
      <c r="LU337" t="n">
        <v>232</v>
      </c>
      <c r="LV337" t="n">
        <v>4793</v>
      </c>
      <c r="LW337" t="n">
        <v>1974</v>
      </c>
      <c r="LX337" t="n">
        <v>2229</v>
      </c>
      <c r="LY337" t="n">
        <v>493</v>
      </c>
      <c r="LZ337" t="n">
        <v>2273</v>
      </c>
      <c r="MA337" t="n">
        <v>283</v>
      </c>
      <c r="MB337" t="n">
        <v>422</v>
      </c>
      <c r="MC337" t="n">
        <v>105</v>
      </c>
      <c r="MD337" t="n">
        <v>382</v>
      </c>
      <c r="ME337" t="n">
        <v>745</v>
      </c>
      <c r="MF337" t="n">
        <v>5727</v>
      </c>
      <c r="MG337" t="n">
        <v>3845</v>
      </c>
      <c r="MH337" t="n">
        <v>809</v>
      </c>
      <c r="MI337" t="n">
        <v>1649</v>
      </c>
      <c r="MJ337" t="n">
        <v>176</v>
      </c>
      <c r="MK337" t="n">
        <v>920</v>
      </c>
      <c r="ML337" t="n">
        <v>562</v>
      </c>
      <c r="MM337" t="n">
        <v>438</v>
      </c>
      <c r="MN337" t="n">
        <v>432</v>
      </c>
      <c r="MO337" t="n">
        <v>452</v>
      </c>
      <c r="MP337" t="n">
        <v>24</v>
      </c>
      <c r="MQ337" t="n">
        <v>141</v>
      </c>
      <c r="MR337" t="n">
        <v>461</v>
      </c>
      <c r="MS337" t="n">
        <v>3341</v>
      </c>
      <c r="MT337" t="n">
        <v>531</v>
      </c>
      <c r="MU337" t="n">
        <v>659</v>
      </c>
      <c r="MV337" t="n">
        <v>568</v>
      </c>
      <c r="MW337" t="n">
        <v>196</v>
      </c>
      <c r="MX337" t="n">
        <v>466</v>
      </c>
      <c r="MY337" t="n">
        <v>312</v>
      </c>
      <c r="MZ337" t="n">
        <v>8209</v>
      </c>
      <c r="NA337" t="n">
        <v>1633</v>
      </c>
      <c r="NB337" t="n">
        <v>524</v>
      </c>
      <c r="NC337" t="n">
        <v>334</v>
      </c>
      <c r="ND337" t="n">
        <v>451</v>
      </c>
      <c r="NE337" t="n">
        <v>309</v>
      </c>
      <c r="NF337" t="n">
        <v>365</v>
      </c>
      <c r="NG337" t="n">
        <v>117</v>
      </c>
      <c r="NH337" t="n">
        <v>933</v>
      </c>
      <c r="NI337" t="n">
        <v>365</v>
      </c>
      <c r="NJ337" t="n">
        <v>151</v>
      </c>
      <c r="NK337" t="n">
        <v>61</v>
      </c>
      <c r="NL337" t="n">
        <v>742</v>
      </c>
      <c r="NM337" t="n">
        <v>632</v>
      </c>
      <c r="NN337" t="n">
        <v>1159</v>
      </c>
      <c r="NO337" t="n">
        <v>1367</v>
      </c>
      <c r="NP337" t="n">
        <v>1069</v>
      </c>
      <c r="NQ337" t="n">
        <v>356</v>
      </c>
      <c r="NR337" t="n">
        <v>902</v>
      </c>
      <c r="NS337" t="n">
        <v>282</v>
      </c>
      <c r="NT337" t="n">
        <v>684</v>
      </c>
      <c r="NU337" t="n">
        <v>525</v>
      </c>
      <c r="NV337" t="n">
        <v>1539</v>
      </c>
      <c r="NW337" t="n">
        <v>14</v>
      </c>
      <c r="NX337" t="n">
        <v>115</v>
      </c>
      <c r="NY337" t="n">
        <v>627</v>
      </c>
      <c r="NZ337" t="n">
        <v>206</v>
      </c>
      <c r="OA337" t="n">
        <v>621</v>
      </c>
      <c r="OB337" t="n">
        <v>899</v>
      </c>
      <c r="OD337" t="n">
        <v>0</v>
      </c>
      <c r="OE337" t="n">
        <v>9</v>
      </c>
      <c r="OF337" t="n">
        <v>28</v>
      </c>
      <c r="OG337" t="n">
        <v>178</v>
      </c>
      <c r="OH337" t="n">
        <v>38</v>
      </c>
      <c r="OI337" t="n">
        <v>1798</v>
      </c>
      <c r="OJ337" t="n">
        <v>3195</v>
      </c>
      <c r="OK337" t="n">
        <v>4122</v>
      </c>
      <c r="OL337" t="n">
        <v>87</v>
      </c>
      <c r="OM337" t="n">
        <v>125</v>
      </c>
      <c r="ON337" t="n">
        <v>1711</v>
      </c>
      <c r="OO337" t="n">
        <v>161458</v>
      </c>
      <c r="OP337" t="n">
        <v>17900</v>
      </c>
      <c r="OV337" t="n">
        <v>2679</v>
      </c>
      <c r="PI337" t="n">
        <v>182037</v>
      </c>
      <c r="PM337">
        <f>IFERROR(VLOOKUP($A337&amp;"",Key!$A:$C,3,FALSE),"")</f>
        <v/>
      </c>
    </row>
    <row r="338">
      <c r="A338" t="n">
        <v>541300</v>
      </c>
      <c r="B338" t="inlineStr">
        <is>
          <t>Architectural, engineering, and related services</t>
        </is>
      </c>
      <c r="C338" t="n">
        <v>3</v>
      </c>
      <c r="H338" t="n">
        <v>3</v>
      </c>
      <c r="L338" t="n">
        <v>2</v>
      </c>
      <c r="M338" t="n">
        <v>10</v>
      </c>
      <c r="N338" t="n">
        <v>4</v>
      </c>
      <c r="O338" t="n">
        <v>407</v>
      </c>
      <c r="P338" t="n">
        <v>1115</v>
      </c>
      <c r="Q338" t="n">
        <v>556</v>
      </c>
      <c r="R338" t="n">
        <v>40</v>
      </c>
      <c r="S338" t="n">
        <v>28</v>
      </c>
      <c r="T338" t="n">
        <v>232</v>
      </c>
      <c r="U338" t="n">
        <v>244</v>
      </c>
      <c r="V338" t="n">
        <v>160</v>
      </c>
      <c r="W338" t="n">
        <v>1118</v>
      </c>
      <c r="X338" t="n">
        <v>1136</v>
      </c>
      <c r="Y338" t="n">
        <v>1020</v>
      </c>
      <c r="Z338" t="n">
        <v>579</v>
      </c>
      <c r="AA338" t="n">
        <v>457</v>
      </c>
      <c r="AB338" t="n">
        <v>1273</v>
      </c>
      <c r="AC338" t="n">
        <v>4655</v>
      </c>
      <c r="AD338" t="n">
        <v>1845</v>
      </c>
      <c r="AE338" t="n">
        <v>3896</v>
      </c>
      <c r="AF338" t="n">
        <v>1383</v>
      </c>
      <c r="AG338" t="n">
        <v>8453</v>
      </c>
      <c r="AH338" t="n">
        <v>732</v>
      </c>
      <c r="AI338" t="n">
        <v>2331</v>
      </c>
      <c r="AJ338" t="n">
        <v>2453</v>
      </c>
      <c r="AK338" t="n">
        <v>5801</v>
      </c>
      <c r="AL338" t="n">
        <v>3151</v>
      </c>
      <c r="AM338" t="n">
        <v>99</v>
      </c>
      <c r="AN338" t="n">
        <v>118</v>
      </c>
      <c r="AO338" t="n">
        <v>72</v>
      </c>
      <c r="AP338" t="n">
        <v>187</v>
      </c>
      <c r="AQ338" t="n">
        <v>47</v>
      </c>
      <c r="AR338" t="n">
        <v>118</v>
      </c>
      <c r="AS338" t="n">
        <v>62</v>
      </c>
      <c r="AT338" t="n">
        <v>119</v>
      </c>
      <c r="AU338" t="n">
        <v>8</v>
      </c>
      <c r="AV338" t="n">
        <v>78</v>
      </c>
      <c r="AW338" t="n">
        <v>16</v>
      </c>
      <c r="AX338" t="n">
        <v>8</v>
      </c>
      <c r="AY338" t="n">
        <v>24</v>
      </c>
      <c r="AZ338" t="n">
        <v>16</v>
      </c>
      <c r="BA338" t="n">
        <v>23</v>
      </c>
      <c r="BB338" t="n">
        <v>67</v>
      </c>
      <c r="BC338" t="n">
        <v>481</v>
      </c>
      <c r="BD338" t="n">
        <v>60</v>
      </c>
      <c r="BE338" t="n">
        <v>6</v>
      </c>
      <c r="BF338" t="n">
        <v>1</v>
      </c>
      <c r="BG338" t="n">
        <v>44</v>
      </c>
      <c r="BH338" t="n">
        <v>29</v>
      </c>
      <c r="BI338" t="n">
        <v>22</v>
      </c>
      <c r="BJ338" t="n">
        <v>24</v>
      </c>
      <c r="BK338" t="n">
        <v>41</v>
      </c>
      <c r="BL338" t="n">
        <v>55</v>
      </c>
      <c r="BM338" t="n">
        <v>14</v>
      </c>
      <c r="BN338" t="n">
        <v>36</v>
      </c>
      <c r="BO338" t="n">
        <v>15</v>
      </c>
      <c r="BP338" t="n">
        <v>60</v>
      </c>
      <c r="BQ338" t="n">
        <v>204</v>
      </c>
      <c r="BR338" t="n">
        <v>221</v>
      </c>
      <c r="BS338" t="n">
        <v>20</v>
      </c>
      <c r="BT338" t="n">
        <v>37</v>
      </c>
      <c r="BU338" t="n">
        <v>20</v>
      </c>
      <c r="BV338" t="n">
        <v>36</v>
      </c>
      <c r="BW338" t="n">
        <v>30</v>
      </c>
      <c r="BX338" t="n">
        <v>111</v>
      </c>
      <c r="BY338" t="n">
        <v>93</v>
      </c>
      <c r="BZ338" t="n">
        <v>38</v>
      </c>
      <c r="CA338" t="n">
        <v>5</v>
      </c>
      <c r="CB338" t="n">
        <v>82</v>
      </c>
      <c r="CC338" t="n">
        <v>7</v>
      </c>
      <c r="CD338" t="n">
        <v>14</v>
      </c>
      <c r="CE338" t="n">
        <v>30</v>
      </c>
      <c r="CF338" t="n">
        <v>41</v>
      </c>
      <c r="CG338" t="n">
        <v>144</v>
      </c>
      <c r="CH338" t="n">
        <v>34</v>
      </c>
      <c r="CI338" t="n">
        <v>62</v>
      </c>
      <c r="CJ338" t="n">
        <v>52</v>
      </c>
      <c r="CK338" t="n">
        <v>40</v>
      </c>
      <c r="CL338" t="n">
        <v>93</v>
      </c>
      <c r="CM338" t="n">
        <v>27</v>
      </c>
      <c r="CN338" t="n">
        <v>17</v>
      </c>
      <c r="CO338" t="n">
        <v>78</v>
      </c>
      <c r="CP338" t="n">
        <v>20</v>
      </c>
      <c r="CQ338" t="n">
        <v>33</v>
      </c>
      <c r="CR338" t="n">
        <v>9</v>
      </c>
      <c r="CS338" t="n">
        <v>12</v>
      </c>
      <c r="CT338" t="n">
        <v>16</v>
      </c>
      <c r="CU338" t="n">
        <v>22</v>
      </c>
      <c r="CV338" t="n">
        <v>30</v>
      </c>
      <c r="CW338" t="n">
        <v>37</v>
      </c>
      <c r="CX338" t="n">
        <v>6</v>
      </c>
      <c r="CY338" t="n">
        <v>21</v>
      </c>
      <c r="CZ338" t="n">
        <v>61</v>
      </c>
      <c r="DA338" t="n">
        <v>20</v>
      </c>
      <c r="DB338" t="n">
        <v>27</v>
      </c>
      <c r="DC338" t="n">
        <v>78</v>
      </c>
      <c r="DD338" t="n">
        <v>3</v>
      </c>
      <c r="DE338" t="n">
        <v>18</v>
      </c>
      <c r="DF338" t="n">
        <v>10</v>
      </c>
      <c r="DG338" t="n">
        <v>56</v>
      </c>
      <c r="DH338" t="n">
        <v>34</v>
      </c>
      <c r="DI338" t="n">
        <v>542</v>
      </c>
      <c r="DJ338" t="n">
        <v>32</v>
      </c>
      <c r="DK338" t="n">
        <v>57</v>
      </c>
      <c r="DL338" t="n">
        <v>68</v>
      </c>
      <c r="DM338" t="n">
        <v>108</v>
      </c>
      <c r="DN338" t="n">
        <v>31</v>
      </c>
      <c r="DO338" t="n">
        <v>338</v>
      </c>
      <c r="DP338" t="n">
        <v>45</v>
      </c>
      <c r="DQ338" t="n">
        <v>117</v>
      </c>
      <c r="DR338" t="n">
        <v>108</v>
      </c>
      <c r="DS338" t="n">
        <v>84</v>
      </c>
      <c r="DT338" t="n">
        <v>7</v>
      </c>
      <c r="DU338" t="n">
        <v>33</v>
      </c>
      <c r="DV338" t="n">
        <v>21</v>
      </c>
      <c r="DW338" t="n">
        <v>43</v>
      </c>
      <c r="DX338" t="n">
        <v>36</v>
      </c>
      <c r="DY338" t="n">
        <v>11</v>
      </c>
      <c r="DZ338" t="n">
        <v>57</v>
      </c>
      <c r="EA338" t="n">
        <v>4</v>
      </c>
      <c r="EB338" t="n">
        <v>2</v>
      </c>
      <c r="EC338" t="n">
        <v>2</v>
      </c>
      <c r="ED338" t="n">
        <v>60</v>
      </c>
      <c r="EE338" t="n">
        <v>9</v>
      </c>
      <c r="EF338" t="n">
        <v>11</v>
      </c>
      <c r="EG338" t="n">
        <v>8</v>
      </c>
      <c r="EH338" t="n">
        <v>7</v>
      </c>
      <c r="EI338" t="n">
        <v>18</v>
      </c>
      <c r="EJ338" t="n">
        <v>11</v>
      </c>
      <c r="EK338" t="n">
        <v>20</v>
      </c>
      <c r="EL338" t="n">
        <v>3</v>
      </c>
      <c r="EM338" t="n">
        <v>23</v>
      </c>
      <c r="EN338" t="n">
        <v>35</v>
      </c>
      <c r="EO338" t="n">
        <v>2</v>
      </c>
      <c r="EP338" t="n">
        <v>68</v>
      </c>
      <c r="EQ338" t="n">
        <v>66</v>
      </c>
      <c r="ER338" t="n">
        <v>110</v>
      </c>
      <c r="ES338" t="n">
        <v>22</v>
      </c>
      <c r="ET338" t="n">
        <v>93</v>
      </c>
      <c r="EU338" t="n">
        <v>21</v>
      </c>
      <c r="EV338" t="n">
        <v>5</v>
      </c>
      <c r="EW338" t="n">
        <v>131</v>
      </c>
      <c r="EX338" t="n">
        <v>131</v>
      </c>
      <c r="EY338" t="n">
        <v>134</v>
      </c>
      <c r="EZ338" t="n">
        <v>123</v>
      </c>
      <c r="FA338" t="n">
        <v>59</v>
      </c>
      <c r="FB338" t="n">
        <v>68</v>
      </c>
      <c r="FC338" t="n">
        <v>253</v>
      </c>
      <c r="FD338" t="n">
        <v>99</v>
      </c>
      <c r="FE338" t="n">
        <v>61</v>
      </c>
      <c r="FF338" t="n">
        <v>173</v>
      </c>
      <c r="FG338" t="n">
        <v>206</v>
      </c>
      <c r="FH338" t="n">
        <v>90</v>
      </c>
      <c r="FI338" t="n">
        <v>41</v>
      </c>
      <c r="FJ338" t="n">
        <v>160</v>
      </c>
      <c r="FK338" t="n">
        <v>498</v>
      </c>
      <c r="FL338" t="n">
        <v>14</v>
      </c>
      <c r="FM338" t="n">
        <v>55</v>
      </c>
      <c r="FN338" t="n">
        <v>32</v>
      </c>
      <c r="FO338" t="n">
        <v>15</v>
      </c>
      <c r="FP338" t="n">
        <v>42</v>
      </c>
      <c r="FQ338" t="n">
        <v>20</v>
      </c>
      <c r="FR338" t="n">
        <v>9</v>
      </c>
      <c r="FS338" t="n">
        <v>19</v>
      </c>
      <c r="FT338" t="n">
        <v>33</v>
      </c>
      <c r="FU338" t="n">
        <v>19</v>
      </c>
      <c r="FV338" t="n">
        <v>78</v>
      </c>
      <c r="FW338" t="n">
        <v>26</v>
      </c>
      <c r="FX338" t="n">
        <v>147</v>
      </c>
      <c r="FY338" t="n">
        <v>138</v>
      </c>
      <c r="FZ338" t="n">
        <v>43</v>
      </c>
      <c r="GA338" t="n">
        <v>23</v>
      </c>
      <c r="GB338" t="n">
        <v>27</v>
      </c>
      <c r="GC338" t="n">
        <v>41</v>
      </c>
      <c r="GD338" t="n">
        <v>23</v>
      </c>
      <c r="GE338" t="n">
        <v>8</v>
      </c>
      <c r="GF338" t="n">
        <v>19</v>
      </c>
      <c r="GG338" t="n">
        <v>41</v>
      </c>
      <c r="GH338" t="n">
        <v>125</v>
      </c>
      <c r="GI338" t="n">
        <v>105</v>
      </c>
      <c r="GJ338" t="n">
        <v>89</v>
      </c>
      <c r="GK338" t="n">
        <v>54</v>
      </c>
      <c r="GL338" t="n">
        <v>10</v>
      </c>
      <c r="GM338" t="n">
        <v>10</v>
      </c>
      <c r="GN338" t="n">
        <v>5</v>
      </c>
      <c r="GO338" t="n">
        <v>14</v>
      </c>
      <c r="GP338" t="n">
        <v>94</v>
      </c>
      <c r="GQ338" t="n">
        <v>43</v>
      </c>
      <c r="GR338" t="n">
        <v>55</v>
      </c>
      <c r="GS338" t="n">
        <v>78</v>
      </c>
      <c r="GT338" t="n">
        <v>77</v>
      </c>
      <c r="GU338" t="n">
        <v>76</v>
      </c>
      <c r="GV338" t="n">
        <v>36</v>
      </c>
      <c r="GW338" t="n">
        <v>47</v>
      </c>
      <c r="GX338" t="n">
        <v>132</v>
      </c>
      <c r="GY338" t="n">
        <v>85</v>
      </c>
      <c r="GZ338" t="n">
        <v>203</v>
      </c>
      <c r="HA338" t="n">
        <v>80</v>
      </c>
      <c r="HB338" t="n">
        <v>85</v>
      </c>
      <c r="HC338" t="n">
        <v>60</v>
      </c>
      <c r="HD338" t="n">
        <v>3</v>
      </c>
      <c r="HE338" t="n">
        <v>131</v>
      </c>
      <c r="HF338" t="n">
        <v>93</v>
      </c>
      <c r="HG338" t="n">
        <v>103</v>
      </c>
      <c r="HH338" t="n">
        <v>13</v>
      </c>
      <c r="HI338" t="n">
        <v>67</v>
      </c>
      <c r="HJ338" t="n">
        <v>1</v>
      </c>
      <c r="HK338" t="n">
        <v>27</v>
      </c>
      <c r="HL338" t="n">
        <v>6</v>
      </c>
      <c r="HM338" t="n">
        <v>52</v>
      </c>
      <c r="HN338" t="n">
        <v>26</v>
      </c>
      <c r="HO338" t="n">
        <v>5</v>
      </c>
      <c r="HP338" t="n">
        <v>11</v>
      </c>
      <c r="HQ338" t="n">
        <v>24</v>
      </c>
      <c r="HR338" t="n">
        <v>32</v>
      </c>
      <c r="HS338" t="n">
        <v>8</v>
      </c>
      <c r="HT338" t="n">
        <v>35</v>
      </c>
      <c r="HU338" t="n">
        <v>165</v>
      </c>
      <c r="HV338" t="n">
        <v>225</v>
      </c>
      <c r="HW338" t="n">
        <v>362</v>
      </c>
      <c r="HX338" t="n">
        <v>69</v>
      </c>
      <c r="HY338" t="n">
        <v>23</v>
      </c>
      <c r="HZ338" t="n">
        <v>25</v>
      </c>
      <c r="IA338" t="n">
        <v>9</v>
      </c>
      <c r="IB338" t="n">
        <v>569</v>
      </c>
      <c r="IC338" t="n">
        <v>14</v>
      </c>
      <c r="ID338" t="n">
        <v>417</v>
      </c>
      <c r="IE338" t="n">
        <v>54</v>
      </c>
      <c r="IF338" t="n">
        <v>18</v>
      </c>
      <c r="IG338" t="n">
        <v>20</v>
      </c>
      <c r="IH338" t="n">
        <v>52</v>
      </c>
      <c r="II338" t="n">
        <v>34</v>
      </c>
      <c r="IJ338" t="n">
        <v>42</v>
      </c>
      <c r="IK338" t="n">
        <v>165</v>
      </c>
      <c r="IL338" t="n">
        <v>560</v>
      </c>
      <c r="IM338" t="n">
        <v>217</v>
      </c>
      <c r="IN338" t="n">
        <v>85</v>
      </c>
      <c r="IO338" t="n">
        <v>103</v>
      </c>
      <c r="IP338" t="n">
        <v>807</v>
      </c>
      <c r="IQ338" t="n">
        <v>108</v>
      </c>
      <c r="IR338" t="n">
        <v>120</v>
      </c>
      <c r="IS338" t="n">
        <v>38</v>
      </c>
      <c r="IT338" t="n">
        <v>22</v>
      </c>
      <c r="IU338" t="n">
        <v>23</v>
      </c>
      <c r="IV338" t="n">
        <v>62</v>
      </c>
      <c r="IW338" t="n">
        <v>52</v>
      </c>
      <c r="IX338" t="n">
        <v>65</v>
      </c>
      <c r="IY338" t="n">
        <v>8</v>
      </c>
      <c r="IZ338" t="n">
        <v>64</v>
      </c>
      <c r="JA338" t="n">
        <v>144</v>
      </c>
      <c r="JB338" t="n">
        <v>70</v>
      </c>
      <c r="JC338" t="n">
        <v>19</v>
      </c>
      <c r="JD338" t="n">
        <v>27</v>
      </c>
      <c r="JE338" t="n">
        <v>41</v>
      </c>
      <c r="JF338" t="n">
        <v>56</v>
      </c>
      <c r="JG338" t="n">
        <v>457</v>
      </c>
      <c r="JH338" t="n">
        <v>31</v>
      </c>
      <c r="JI338" t="n">
        <v>42</v>
      </c>
      <c r="JJ338" t="n">
        <v>100</v>
      </c>
      <c r="JK338" t="n">
        <v>0</v>
      </c>
      <c r="JL338" t="n">
        <v>382</v>
      </c>
      <c r="JM338" t="n">
        <v>600</v>
      </c>
      <c r="JN338" t="n">
        <v>1362</v>
      </c>
      <c r="JO338" t="n">
        <v>934</v>
      </c>
      <c r="JP338" t="n">
        <v>6866</v>
      </c>
      <c r="JQ338" t="n">
        <v>960</v>
      </c>
      <c r="JR338" t="n">
        <v>145</v>
      </c>
      <c r="JS338" t="n">
        <v>1250</v>
      </c>
      <c r="JT338" t="n">
        <v>67</v>
      </c>
      <c r="JV338" t="n">
        <v>314</v>
      </c>
      <c r="JW338" t="n">
        <v>167</v>
      </c>
      <c r="JX338" t="n">
        <v>501</v>
      </c>
      <c r="JY338" t="n">
        <v>225</v>
      </c>
      <c r="JZ338" t="n">
        <v>148</v>
      </c>
      <c r="KA338" t="n">
        <v>125</v>
      </c>
      <c r="KB338" t="n">
        <v>187</v>
      </c>
      <c r="KC338" t="n">
        <v>585</v>
      </c>
      <c r="KD338" t="n">
        <v>240</v>
      </c>
      <c r="KE338" t="n">
        <v>279</v>
      </c>
      <c r="KF338" t="n">
        <v>1239</v>
      </c>
      <c r="KG338" t="n">
        <v>2</v>
      </c>
      <c r="KH338" t="n">
        <v>230</v>
      </c>
      <c r="KI338" t="n">
        <v>35</v>
      </c>
      <c r="KJ338" t="n">
        <v>177</v>
      </c>
      <c r="KK338" t="n">
        <v>209</v>
      </c>
      <c r="KL338" t="n">
        <v>3</v>
      </c>
      <c r="KM338" t="n">
        <v>299</v>
      </c>
      <c r="KN338" t="n">
        <v>13</v>
      </c>
      <c r="KO338" t="n">
        <v>43</v>
      </c>
      <c r="KP338" t="n">
        <v>65</v>
      </c>
      <c r="KQ338" t="n">
        <v>14</v>
      </c>
      <c r="KR338" t="n">
        <v>730</v>
      </c>
      <c r="KS338" t="n">
        <v>159</v>
      </c>
      <c r="KT338" t="n">
        <v>11</v>
      </c>
      <c r="KU338" t="n">
        <v>52</v>
      </c>
      <c r="KV338" t="n">
        <v>38</v>
      </c>
      <c r="KW338" t="n">
        <v>1640</v>
      </c>
      <c r="KX338" t="n">
        <v>9708</v>
      </c>
      <c r="KY338" t="n">
        <v>413</v>
      </c>
      <c r="KZ338" t="n">
        <v>767</v>
      </c>
      <c r="LA338" t="n">
        <v>334</v>
      </c>
      <c r="LB338" t="n">
        <v>20</v>
      </c>
      <c r="LC338" t="n">
        <v>96</v>
      </c>
      <c r="LD338" t="n">
        <v>19</v>
      </c>
      <c r="LE338" t="n">
        <v>12</v>
      </c>
      <c r="LF338" t="n">
        <v>1089</v>
      </c>
      <c r="LG338" t="n">
        <v>3</v>
      </c>
      <c r="LH338" t="n">
        <v>235</v>
      </c>
      <c r="LI338" t="n">
        <v>241</v>
      </c>
      <c r="LJ338" t="n">
        <v>1383</v>
      </c>
      <c r="LK338" t="n">
        <v>2336</v>
      </c>
      <c r="LL338" t="n">
        <v>4</v>
      </c>
      <c r="LM338" t="n">
        <v>30588</v>
      </c>
      <c r="LN338" t="n">
        <v>69</v>
      </c>
      <c r="LO338" t="n">
        <v>211</v>
      </c>
      <c r="LP338" t="n">
        <v>8</v>
      </c>
      <c r="LQ338" t="n">
        <v>1063</v>
      </c>
      <c r="LR338" t="n">
        <v>498</v>
      </c>
      <c r="LS338" t="n">
        <v>697</v>
      </c>
      <c r="LT338" t="n">
        <v>9201</v>
      </c>
      <c r="LU338" t="n">
        <v>132</v>
      </c>
      <c r="LV338" t="n">
        <v>373</v>
      </c>
      <c r="LW338" t="n">
        <v>16150</v>
      </c>
      <c r="LX338" t="n">
        <v>1095</v>
      </c>
      <c r="LY338" t="n">
        <v>3886</v>
      </c>
      <c r="LZ338" t="n">
        <v>7298</v>
      </c>
      <c r="MA338" t="n">
        <v>57</v>
      </c>
      <c r="MB338" t="n">
        <v>229</v>
      </c>
      <c r="MC338" t="n">
        <v>40</v>
      </c>
      <c r="MD338" t="n">
        <v>160</v>
      </c>
      <c r="ME338" t="n">
        <v>132</v>
      </c>
      <c r="MF338" t="n">
        <v>3338</v>
      </c>
      <c r="MG338" t="n">
        <v>603</v>
      </c>
      <c r="MH338" t="n">
        <v>1581</v>
      </c>
      <c r="MI338" t="n">
        <v>424</v>
      </c>
      <c r="MJ338" t="n">
        <v>960</v>
      </c>
      <c r="MK338" t="n">
        <v>289</v>
      </c>
      <c r="ML338" t="n">
        <v>464</v>
      </c>
      <c r="MM338" t="n">
        <v>523</v>
      </c>
      <c r="MN338" t="n">
        <v>253</v>
      </c>
      <c r="MO338" t="n">
        <v>747</v>
      </c>
      <c r="MP338" t="n">
        <v>56</v>
      </c>
      <c r="MQ338" t="n">
        <v>976</v>
      </c>
      <c r="MR338" t="n">
        <v>120</v>
      </c>
      <c r="MS338" t="n">
        <v>1142</v>
      </c>
      <c r="MT338" t="n">
        <v>39</v>
      </c>
      <c r="MU338" t="n">
        <v>273</v>
      </c>
      <c r="MV338" t="n">
        <v>157</v>
      </c>
      <c r="MW338" t="n">
        <v>206</v>
      </c>
      <c r="MX338" t="n">
        <v>65</v>
      </c>
      <c r="MY338" t="n">
        <v>60</v>
      </c>
      <c r="MZ338" t="n">
        <v>1434</v>
      </c>
      <c r="NA338" t="n">
        <v>419</v>
      </c>
      <c r="NB338" t="n">
        <v>20</v>
      </c>
      <c r="NC338" t="n">
        <v>366</v>
      </c>
      <c r="ND338" t="n">
        <v>38</v>
      </c>
      <c r="NE338" t="n">
        <v>141</v>
      </c>
      <c r="NF338" t="n">
        <v>24</v>
      </c>
      <c r="NG338" t="n">
        <v>26</v>
      </c>
      <c r="NH338" t="n">
        <v>2</v>
      </c>
      <c r="NI338" t="n">
        <v>36</v>
      </c>
      <c r="NJ338" t="n">
        <v>16</v>
      </c>
      <c r="NK338" t="n">
        <v>64</v>
      </c>
      <c r="NL338" t="n">
        <v>132</v>
      </c>
      <c r="NM338" t="n">
        <v>399</v>
      </c>
      <c r="NN338" t="n">
        <v>428</v>
      </c>
      <c r="NO338" t="n">
        <v>268</v>
      </c>
      <c r="NP338" t="n">
        <v>817</v>
      </c>
      <c r="NQ338" t="n">
        <v>204</v>
      </c>
      <c r="NR338" t="n">
        <v>20</v>
      </c>
      <c r="NS338" t="n">
        <v>1</v>
      </c>
      <c r="NT338" t="n">
        <v>30</v>
      </c>
      <c r="NU338" t="n">
        <v>2</v>
      </c>
      <c r="NV338" t="n">
        <v>66</v>
      </c>
      <c r="NW338" t="n">
        <v>0</v>
      </c>
      <c r="NX338" t="n">
        <v>16</v>
      </c>
      <c r="NY338" t="n">
        <v>126</v>
      </c>
      <c r="NZ338" t="n">
        <v>320</v>
      </c>
      <c r="OA338" t="n">
        <v>132</v>
      </c>
      <c r="OB338" t="n">
        <v>107</v>
      </c>
      <c r="OD338" t="n">
        <v>34647</v>
      </c>
      <c r="OE338" t="n">
        <v>3637</v>
      </c>
      <c r="OF338" t="n">
        <v>9</v>
      </c>
      <c r="OG338" t="n">
        <v>520</v>
      </c>
      <c r="OH338" t="n">
        <v>54</v>
      </c>
      <c r="OI338" t="n">
        <v>5346</v>
      </c>
      <c r="OJ338" t="n">
        <v>2845</v>
      </c>
      <c r="OK338" t="n">
        <v>19266</v>
      </c>
      <c r="OL338" t="n">
        <v>1960</v>
      </c>
      <c r="OM338" t="n">
        <v>681</v>
      </c>
      <c r="ON338" t="n">
        <v>10656</v>
      </c>
      <c r="OO338" t="n">
        <v>266697</v>
      </c>
      <c r="OQ338" t="n">
        <v>51774</v>
      </c>
      <c r="OS338" t="n">
        <v>3058</v>
      </c>
      <c r="OV338" t="n">
        <v>33253</v>
      </c>
      <c r="PI338" t="n">
        <v>354782</v>
      </c>
      <c r="PM338">
        <f>IFERROR(VLOOKUP($A338&amp;"",Key!$A:$C,3,FALSE),"")</f>
        <v/>
      </c>
    </row>
    <row r="339">
      <c r="A339" t="n">
        <v>541610</v>
      </c>
      <c r="B339" t="inlineStr">
        <is>
          <t>Management consulting services</t>
        </is>
      </c>
      <c r="C339" t="n">
        <v>0</v>
      </c>
      <c r="H339" t="n">
        <v>0</v>
      </c>
      <c r="N339" t="n">
        <v>1</v>
      </c>
      <c r="O339" t="n">
        <v>1</v>
      </c>
      <c r="P339" t="n">
        <v>95</v>
      </c>
      <c r="Q339" t="n">
        <v>18</v>
      </c>
      <c r="R339" t="n">
        <v>2</v>
      </c>
      <c r="S339" t="n">
        <v>3</v>
      </c>
      <c r="T339" t="n">
        <v>3</v>
      </c>
      <c r="U339" t="n">
        <v>3</v>
      </c>
      <c r="V339" t="n">
        <v>35</v>
      </c>
      <c r="W339" t="n">
        <v>66</v>
      </c>
      <c r="X339" t="n">
        <v>194</v>
      </c>
      <c r="Y339" t="n">
        <v>157</v>
      </c>
      <c r="Z339" t="n">
        <v>53</v>
      </c>
      <c r="AA339" t="n">
        <v>40</v>
      </c>
      <c r="AB339" t="n">
        <v>153</v>
      </c>
      <c r="AC339" t="n">
        <v>94</v>
      </c>
      <c r="AD339" t="n">
        <v>199</v>
      </c>
      <c r="AE339" t="n">
        <v>101</v>
      </c>
      <c r="AF339" t="n">
        <v>176</v>
      </c>
      <c r="AG339" t="n">
        <v>184</v>
      </c>
      <c r="AH339" t="n">
        <v>48</v>
      </c>
      <c r="AI339" t="n">
        <v>60</v>
      </c>
      <c r="AJ339" t="n">
        <v>43</v>
      </c>
      <c r="AK339" t="n">
        <v>145</v>
      </c>
      <c r="AL339" t="n">
        <v>71</v>
      </c>
      <c r="AM339" t="n">
        <v>29</v>
      </c>
      <c r="AN339" t="n">
        <v>18</v>
      </c>
      <c r="AO339" t="n">
        <v>20</v>
      </c>
      <c r="AP339" t="n">
        <v>17</v>
      </c>
      <c r="AQ339" t="n">
        <v>11</v>
      </c>
      <c r="AR339" t="n">
        <v>15</v>
      </c>
      <c r="AS339" t="n">
        <v>3</v>
      </c>
      <c r="AT339" t="n">
        <v>15</v>
      </c>
      <c r="AU339" t="n">
        <v>6</v>
      </c>
      <c r="AV339" t="n">
        <v>13</v>
      </c>
      <c r="AW339" t="n">
        <v>3</v>
      </c>
      <c r="AX339" t="n">
        <v>4</v>
      </c>
      <c r="AY339" t="n">
        <v>3</v>
      </c>
      <c r="AZ339" t="n">
        <v>1</v>
      </c>
      <c r="BA339" t="n">
        <v>2</v>
      </c>
      <c r="BB339" t="n">
        <v>2</v>
      </c>
      <c r="BC339" t="n">
        <v>15</v>
      </c>
      <c r="BD339" t="n">
        <v>12</v>
      </c>
      <c r="BE339" t="n">
        <v>2</v>
      </c>
      <c r="BF339" t="n">
        <v>2</v>
      </c>
      <c r="BG339" t="n">
        <v>12</v>
      </c>
      <c r="BH339" t="n">
        <v>18</v>
      </c>
      <c r="BI339" t="n">
        <v>5</v>
      </c>
      <c r="BJ339" t="n">
        <v>6</v>
      </c>
      <c r="BK339" t="n">
        <v>3</v>
      </c>
      <c r="BL339" t="n">
        <v>7</v>
      </c>
      <c r="BM339" t="n">
        <v>2</v>
      </c>
      <c r="BN339" t="n">
        <v>5</v>
      </c>
      <c r="BO339" t="n">
        <v>10</v>
      </c>
      <c r="BP339" t="n">
        <v>15</v>
      </c>
      <c r="BQ339" t="n">
        <v>28</v>
      </c>
      <c r="BR339" t="n">
        <v>16</v>
      </c>
      <c r="BS339" t="n">
        <v>4</v>
      </c>
      <c r="BT339" t="n">
        <v>7</v>
      </c>
      <c r="BU339" t="n">
        <v>3</v>
      </c>
      <c r="BV339" t="n">
        <v>7</v>
      </c>
      <c r="BW339" t="n">
        <v>5</v>
      </c>
      <c r="BX339" t="n">
        <v>23</v>
      </c>
      <c r="BY339" t="n">
        <v>15</v>
      </c>
      <c r="BZ339" t="n">
        <v>24</v>
      </c>
      <c r="CA339" t="n">
        <v>5</v>
      </c>
      <c r="CB339" t="n">
        <v>40</v>
      </c>
      <c r="CC339" t="n">
        <v>4</v>
      </c>
      <c r="CD339" t="n">
        <v>4</v>
      </c>
      <c r="CE339" t="n">
        <v>14</v>
      </c>
      <c r="CF339" t="n">
        <v>9</v>
      </c>
      <c r="CG339" t="n">
        <v>20</v>
      </c>
      <c r="CH339" t="n">
        <v>3</v>
      </c>
      <c r="CI339" t="n">
        <v>22</v>
      </c>
      <c r="CJ339" t="n">
        <v>21</v>
      </c>
      <c r="CK339" t="n">
        <v>61</v>
      </c>
      <c r="CL339" t="n">
        <v>44</v>
      </c>
      <c r="CM339" t="n">
        <v>19</v>
      </c>
      <c r="CN339" t="n">
        <v>21</v>
      </c>
      <c r="CO339" t="n">
        <v>49</v>
      </c>
      <c r="CP339" t="n">
        <v>6</v>
      </c>
      <c r="CQ339" t="n">
        <v>41</v>
      </c>
      <c r="CR339" t="n">
        <v>7</v>
      </c>
      <c r="CS339" t="n">
        <v>5</v>
      </c>
      <c r="CT339" t="n">
        <v>15</v>
      </c>
      <c r="CU339" t="n">
        <v>23</v>
      </c>
      <c r="CV339" t="n">
        <v>33</v>
      </c>
      <c r="CW339" t="n">
        <v>16</v>
      </c>
      <c r="CX339" t="n">
        <v>4</v>
      </c>
      <c r="CY339" t="n">
        <v>13</v>
      </c>
      <c r="CZ339" t="n">
        <v>35</v>
      </c>
      <c r="DA339" t="n">
        <v>8</v>
      </c>
      <c r="DB339" t="n">
        <v>43</v>
      </c>
      <c r="DC339" t="n">
        <v>28</v>
      </c>
      <c r="DD339" t="n">
        <v>2</v>
      </c>
      <c r="DE339" t="n">
        <v>10</v>
      </c>
      <c r="DF339" t="n">
        <v>4</v>
      </c>
      <c r="DG339" t="n">
        <v>34</v>
      </c>
      <c r="DH339" t="n">
        <v>30</v>
      </c>
      <c r="DI339" t="n">
        <v>800</v>
      </c>
      <c r="DJ339" t="n">
        <v>47</v>
      </c>
      <c r="DK339" t="n">
        <v>84</v>
      </c>
      <c r="DL339" t="n">
        <v>101</v>
      </c>
      <c r="DM339" t="n">
        <v>161</v>
      </c>
      <c r="DN339" t="n">
        <v>46</v>
      </c>
      <c r="DO339" t="n">
        <v>498</v>
      </c>
      <c r="DP339" t="n">
        <v>67</v>
      </c>
      <c r="DQ339" t="n">
        <v>172</v>
      </c>
      <c r="DR339" t="n">
        <v>77</v>
      </c>
      <c r="DS339" t="n">
        <v>109</v>
      </c>
      <c r="DT339" t="n">
        <v>12</v>
      </c>
      <c r="DU339" t="n">
        <v>40</v>
      </c>
      <c r="DV339" t="n">
        <v>31</v>
      </c>
      <c r="DW339" t="n">
        <v>50</v>
      </c>
      <c r="DX339" t="n">
        <v>28</v>
      </c>
      <c r="DY339" t="n">
        <v>9</v>
      </c>
      <c r="DZ339" t="n">
        <v>47</v>
      </c>
      <c r="EA339" t="n">
        <v>7</v>
      </c>
      <c r="EB339" t="n">
        <v>2</v>
      </c>
      <c r="EC339" t="n">
        <v>2</v>
      </c>
      <c r="ED339" t="n">
        <v>16</v>
      </c>
      <c r="EE339" t="n">
        <v>11</v>
      </c>
      <c r="EF339" t="n">
        <v>10</v>
      </c>
      <c r="EG339" t="n">
        <v>13</v>
      </c>
      <c r="EH339" t="n">
        <v>17</v>
      </c>
      <c r="EI339" t="n">
        <v>31</v>
      </c>
      <c r="EJ339" t="n">
        <v>28</v>
      </c>
      <c r="EK339" t="n">
        <v>11</v>
      </c>
      <c r="EL339" t="n">
        <v>3</v>
      </c>
      <c r="EM339" t="n">
        <v>10</v>
      </c>
      <c r="EN339" t="n">
        <v>15</v>
      </c>
      <c r="EO339" t="n">
        <v>4</v>
      </c>
      <c r="EP339" t="n">
        <v>38</v>
      </c>
      <c r="EQ339" t="n">
        <v>98</v>
      </c>
      <c r="ER339" t="n">
        <v>172</v>
      </c>
      <c r="ES339" t="n">
        <v>18</v>
      </c>
      <c r="ET339" t="n">
        <v>20</v>
      </c>
      <c r="EU339" t="n">
        <v>11</v>
      </c>
      <c r="EV339" t="n">
        <v>6</v>
      </c>
      <c r="EW339" t="n">
        <v>16</v>
      </c>
      <c r="EX339" t="n">
        <v>165</v>
      </c>
      <c r="EY339" t="n">
        <v>152</v>
      </c>
      <c r="EZ339" t="n">
        <v>57</v>
      </c>
      <c r="FA339" t="n">
        <v>54</v>
      </c>
      <c r="FB339" t="n">
        <v>67</v>
      </c>
      <c r="FC339" t="n">
        <v>328</v>
      </c>
      <c r="FD339" t="n">
        <v>63</v>
      </c>
      <c r="FE339" t="n">
        <v>307</v>
      </c>
      <c r="FF339" t="n">
        <v>135</v>
      </c>
      <c r="FG339" t="n">
        <v>98</v>
      </c>
      <c r="FH339" t="n">
        <v>113</v>
      </c>
      <c r="FI339" t="n">
        <v>42</v>
      </c>
      <c r="FJ339" t="n">
        <v>27</v>
      </c>
      <c r="FK339" t="n">
        <v>38</v>
      </c>
      <c r="FL339" t="n">
        <v>9</v>
      </c>
      <c r="FM339" t="n">
        <v>17</v>
      </c>
      <c r="FN339" t="n">
        <v>45</v>
      </c>
      <c r="FO339" t="n">
        <v>17</v>
      </c>
      <c r="FP339" t="n">
        <v>11</v>
      </c>
      <c r="FQ339" t="n">
        <v>13</v>
      </c>
      <c r="FR339" t="n">
        <v>4</v>
      </c>
      <c r="FS339" t="n">
        <v>11</v>
      </c>
      <c r="FT339" t="n">
        <v>7</v>
      </c>
      <c r="FU339" t="n">
        <v>12</v>
      </c>
      <c r="FV339" t="n">
        <v>47</v>
      </c>
      <c r="FW339" t="n">
        <v>13</v>
      </c>
      <c r="FX339" t="n">
        <v>170</v>
      </c>
      <c r="FY339" t="n">
        <v>201</v>
      </c>
      <c r="FZ339" t="n">
        <v>21</v>
      </c>
      <c r="GA339" t="n">
        <v>21</v>
      </c>
      <c r="GB339" t="n">
        <v>26</v>
      </c>
      <c r="GC339" t="n">
        <v>16</v>
      </c>
      <c r="GD339" t="n">
        <v>26</v>
      </c>
      <c r="GE339" t="n">
        <v>10</v>
      </c>
      <c r="GF339" t="n">
        <v>7</v>
      </c>
      <c r="GG339" t="n">
        <v>17</v>
      </c>
      <c r="GH339" t="n">
        <v>42</v>
      </c>
      <c r="GI339" t="n">
        <v>12</v>
      </c>
      <c r="GJ339" t="n">
        <v>8</v>
      </c>
      <c r="GK339" t="n">
        <v>9</v>
      </c>
      <c r="GL339" t="n">
        <v>8</v>
      </c>
      <c r="GM339" t="n">
        <v>1</v>
      </c>
      <c r="GN339" t="n">
        <v>2</v>
      </c>
      <c r="GO339" t="n">
        <v>3</v>
      </c>
      <c r="GP339" t="n">
        <v>79</v>
      </c>
      <c r="GQ339" t="n">
        <v>26</v>
      </c>
      <c r="GR339" t="n">
        <v>27</v>
      </c>
      <c r="GS339" t="n">
        <v>12</v>
      </c>
      <c r="GT339" t="n">
        <v>17</v>
      </c>
      <c r="GU339" t="n">
        <v>36</v>
      </c>
      <c r="GV339" t="n">
        <v>11</v>
      </c>
      <c r="GW339" t="n">
        <v>37</v>
      </c>
      <c r="GX339" t="n">
        <v>81</v>
      </c>
      <c r="GY339" t="n">
        <v>17</v>
      </c>
      <c r="GZ339" t="n">
        <v>25</v>
      </c>
      <c r="HA339" t="n">
        <v>20</v>
      </c>
      <c r="HB339" t="n">
        <v>20</v>
      </c>
      <c r="HC339" t="n">
        <v>5</v>
      </c>
      <c r="HD339" t="n">
        <v>8</v>
      </c>
      <c r="HE339" t="n">
        <v>27</v>
      </c>
      <c r="HF339" t="n">
        <v>22</v>
      </c>
      <c r="HG339" t="n">
        <v>27</v>
      </c>
      <c r="HH339" t="n">
        <v>13</v>
      </c>
      <c r="HI339" t="n">
        <v>39</v>
      </c>
      <c r="HJ339" t="n">
        <v>6</v>
      </c>
      <c r="HK339" t="n">
        <v>173</v>
      </c>
      <c r="HL339" t="n">
        <v>3</v>
      </c>
      <c r="HM339" t="n">
        <v>14</v>
      </c>
      <c r="HN339" t="n">
        <v>12</v>
      </c>
      <c r="HO339" t="n">
        <v>6</v>
      </c>
      <c r="HP339" t="n">
        <v>4</v>
      </c>
      <c r="HQ339" t="n">
        <v>7</v>
      </c>
      <c r="HR339" t="n">
        <v>23</v>
      </c>
      <c r="HS339" t="n">
        <v>3</v>
      </c>
      <c r="HT339" t="n">
        <v>10</v>
      </c>
      <c r="HU339" t="n">
        <v>56</v>
      </c>
      <c r="HV339" t="n">
        <v>52</v>
      </c>
      <c r="HW339" t="n">
        <v>33</v>
      </c>
      <c r="HX339" t="n">
        <v>25</v>
      </c>
      <c r="HY339" t="n">
        <v>2</v>
      </c>
      <c r="HZ339" t="n">
        <v>10</v>
      </c>
      <c r="IA339" t="n">
        <v>12</v>
      </c>
      <c r="IB339" t="n">
        <v>82</v>
      </c>
      <c r="IC339" t="n">
        <v>1</v>
      </c>
      <c r="ID339" t="n">
        <v>448</v>
      </c>
      <c r="IE339" t="n">
        <v>15</v>
      </c>
      <c r="IF339" t="n">
        <v>3</v>
      </c>
      <c r="IG339" t="n">
        <v>9</v>
      </c>
      <c r="IH339" t="n">
        <v>44</v>
      </c>
      <c r="II339" t="n">
        <v>10</v>
      </c>
      <c r="IJ339" t="n">
        <v>21</v>
      </c>
      <c r="IK339" t="n">
        <v>62</v>
      </c>
      <c r="IL339" t="n">
        <v>214</v>
      </c>
      <c r="IM339" t="n">
        <v>45</v>
      </c>
      <c r="IN339" t="n">
        <v>29</v>
      </c>
      <c r="IO339" t="n">
        <v>152</v>
      </c>
      <c r="IP339" t="n">
        <v>1396</v>
      </c>
      <c r="IQ339" t="n">
        <v>130</v>
      </c>
      <c r="IR339" t="n">
        <v>174</v>
      </c>
      <c r="IS339" t="n">
        <v>28</v>
      </c>
      <c r="IT339" t="n">
        <v>12</v>
      </c>
      <c r="IU339" t="n">
        <v>14</v>
      </c>
      <c r="IV339" t="n">
        <v>12</v>
      </c>
      <c r="IW339" t="n">
        <v>63</v>
      </c>
      <c r="IX339" t="n">
        <v>58</v>
      </c>
      <c r="IY339" t="n">
        <v>5</v>
      </c>
      <c r="IZ339" t="n">
        <v>58</v>
      </c>
      <c r="JA339" t="n">
        <v>26</v>
      </c>
      <c r="JB339" t="n">
        <v>11</v>
      </c>
      <c r="JC339" t="n">
        <v>2</v>
      </c>
      <c r="JD339" t="n">
        <v>20</v>
      </c>
      <c r="JE339" t="n">
        <v>13</v>
      </c>
      <c r="JF339" t="n">
        <v>8</v>
      </c>
      <c r="JG339" t="n">
        <v>189</v>
      </c>
      <c r="JH339" t="n">
        <v>17</v>
      </c>
      <c r="JI339" t="n">
        <v>5</v>
      </c>
      <c r="JJ339" t="n">
        <v>15</v>
      </c>
      <c r="JK339" t="n">
        <v>980</v>
      </c>
      <c r="JL339" t="n">
        <v>2548</v>
      </c>
      <c r="JM339" t="n">
        <v>3283</v>
      </c>
      <c r="JN339" t="n">
        <v>3651</v>
      </c>
      <c r="JO339" t="n">
        <v>2911</v>
      </c>
      <c r="JP339" t="n">
        <v>1521</v>
      </c>
      <c r="JQ339" t="n">
        <v>924</v>
      </c>
      <c r="JR339" t="n">
        <v>116</v>
      </c>
      <c r="JS339" t="n">
        <v>3911</v>
      </c>
      <c r="JT339" t="n">
        <v>37</v>
      </c>
      <c r="JV339" t="n">
        <v>1257</v>
      </c>
      <c r="JW339" t="n">
        <v>787</v>
      </c>
      <c r="JX339" t="n">
        <v>305</v>
      </c>
      <c r="JY339" t="n">
        <v>282</v>
      </c>
      <c r="JZ339" t="n">
        <v>596</v>
      </c>
      <c r="KA339" t="n">
        <v>297</v>
      </c>
      <c r="KB339" t="n">
        <v>491</v>
      </c>
      <c r="KC339" t="n">
        <v>3094</v>
      </c>
      <c r="KD339" t="n">
        <v>388</v>
      </c>
      <c r="KE339" t="n">
        <v>13</v>
      </c>
      <c r="KF339" t="n">
        <v>30</v>
      </c>
      <c r="KG339" t="n">
        <v>144</v>
      </c>
      <c r="KH339" t="n">
        <v>343</v>
      </c>
      <c r="KI339" t="n">
        <v>374</v>
      </c>
      <c r="KJ339" t="n">
        <v>5</v>
      </c>
      <c r="KK339" t="n">
        <v>413</v>
      </c>
      <c r="KL339" t="n">
        <v>104</v>
      </c>
      <c r="KM339" t="n">
        <v>467</v>
      </c>
      <c r="KN339" t="n">
        <v>166</v>
      </c>
      <c r="KO339" t="n">
        <v>250</v>
      </c>
      <c r="KP339" t="n">
        <v>667</v>
      </c>
      <c r="KQ339" t="n">
        <v>57</v>
      </c>
      <c r="KR339" t="n">
        <v>3272</v>
      </c>
      <c r="KS339" t="n">
        <v>458</v>
      </c>
      <c r="KT339" t="n">
        <v>70</v>
      </c>
      <c r="KU339" t="n">
        <v>220</v>
      </c>
      <c r="KV339" t="n">
        <v>180</v>
      </c>
      <c r="KW339" t="n">
        <v>928</v>
      </c>
      <c r="KX339" t="n">
        <v>992</v>
      </c>
      <c r="KY339" t="n">
        <v>277</v>
      </c>
      <c r="KZ339" t="n">
        <v>3986</v>
      </c>
      <c r="LA339" t="n">
        <v>2623</v>
      </c>
      <c r="LB339" t="n">
        <v>63</v>
      </c>
      <c r="LC339" t="n">
        <v>6005</v>
      </c>
      <c r="LD339" t="n">
        <v>7306</v>
      </c>
      <c r="LE339" t="n">
        <v>11311</v>
      </c>
      <c r="LF339" t="n">
        <v>2149</v>
      </c>
      <c r="LG339" t="n">
        <v>14</v>
      </c>
      <c r="LH339" t="n">
        <v>210</v>
      </c>
      <c r="LI339" t="n">
        <v>2601</v>
      </c>
      <c r="LJ339" t="n">
        <v>259</v>
      </c>
      <c r="LM339" t="n">
        <v>1053</v>
      </c>
      <c r="LN339" t="n">
        <v>211</v>
      </c>
      <c r="LO339" t="n">
        <v>126</v>
      </c>
      <c r="LP339" t="n">
        <v>65</v>
      </c>
      <c r="LQ339" t="n">
        <v>316</v>
      </c>
      <c r="LR339" t="n">
        <v>1133</v>
      </c>
      <c r="LS339" t="n">
        <v>1624</v>
      </c>
      <c r="LT339" t="n">
        <v>1489</v>
      </c>
      <c r="LU339" t="n">
        <v>681</v>
      </c>
      <c r="LV339" t="n">
        <v>663</v>
      </c>
      <c r="LW339" t="n">
        <v>7147</v>
      </c>
      <c r="LX339" t="n">
        <v>3845</v>
      </c>
      <c r="LY339" t="n">
        <v>708</v>
      </c>
      <c r="LZ339" t="n">
        <v>12614</v>
      </c>
      <c r="MA339" t="n">
        <v>256</v>
      </c>
      <c r="MB339" t="n">
        <v>254</v>
      </c>
      <c r="MC339" t="n">
        <v>48</v>
      </c>
      <c r="MD339" t="n">
        <v>62</v>
      </c>
      <c r="ME339" t="n">
        <v>897</v>
      </c>
      <c r="MF339" t="n">
        <v>8727</v>
      </c>
      <c r="MG339" t="n">
        <v>1074</v>
      </c>
      <c r="MH339" t="n">
        <v>1192</v>
      </c>
      <c r="MI339" t="n">
        <v>884</v>
      </c>
      <c r="MJ339" t="n">
        <v>455</v>
      </c>
      <c r="MK339" t="n">
        <v>953</v>
      </c>
      <c r="ML339" t="n">
        <v>290</v>
      </c>
      <c r="MM339" t="n">
        <v>251</v>
      </c>
      <c r="MN339" t="n">
        <v>270</v>
      </c>
      <c r="MO339" t="n">
        <v>548</v>
      </c>
      <c r="MP339" t="n">
        <v>1</v>
      </c>
      <c r="MQ339" t="n">
        <v>29</v>
      </c>
      <c r="MR339" t="n">
        <v>555</v>
      </c>
      <c r="MS339" t="n">
        <v>5996</v>
      </c>
      <c r="MT339" t="n">
        <v>198</v>
      </c>
      <c r="MU339" t="n">
        <v>426</v>
      </c>
      <c r="MV339" t="n">
        <v>1295</v>
      </c>
      <c r="MW339" t="n">
        <v>701</v>
      </c>
      <c r="MX339" t="n">
        <v>411</v>
      </c>
      <c r="MY339" t="n">
        <v>357</v>
      </c>
      <c r="MZ339" t="n">
        <v>10755</v>
      </c>
      <c r="NA339" t="n">
        <v>3088</v>
      </c>
      <c r="NB339" t="n">
        <v>268</v>
      </c>
      <c r="NC339" t="n">
        <v>588</v>
      </c>
      <c r="ND339" t="n">
        <v>226</v>
      </c>
      <c r="NE339" t="n">
        <v>246</v>
      </c>
      <c r="NF339" t="n">
        <v>519</v>
      </c>
      <c r="NG339" t="n">
        <v>94</v>
      </c>
      <c r="NH339" t="n">
        <v>1082</v>
      </c>
      <c r="NI339" t="n">
        <v>302</v>
      </c>
      <c r="NJ339" t="n">
        <v>271</v>
      </c>
      <c r="NK339" t="n">
        <v>126</v>
      </c>
      <c r="NL339" t="n">
        <v>301</v>
      </c>
      <c r="NM339" t="n">
        <v>328</v>
      </c>
      <c r="NN339" t="n">
        <v>1269</v>
      </c>
      <c r="NO339" t="n">
        <v>684</v>
      </c>
      <c r="NP339" t="n">
        <v>1187</v>
      </c>
      <c r="NQ339" t="n">
        <v>96</v>
      </c>
      <c r="NR339" t="n">
        <v>193</v>
      </c>
      <c r="NS339" t="n">
        <v>306</v>
      </c>
      <c r="NT339" t="n">
        <v>136</v>
      </c>
      <c r="NU339" t="n">
        <v>149</v>
      </c>
      <c r="NV339" t="n">
        <v>191</v>
      </c>
      <c r="NW339" t="n">
        <v>17</v>
      </c>
      <c r="NX339" t="n">
        <v>69</v>
      </c>
      <c r="NY339" t="n">
        <v>631</v>
      </c>
      <c r="NZ339" t="n">
        <v>69</v>
      </c>
      <c r="OA339" t="n">
        <v>2178</v>
      </c>
      <c r="OB339" t="n">
        <v>1760</v>
      </c>
      <c r="OD339" t="n">
        <v>2</v>
      </c>
      <c r="OE339" t="n">
        <v>5195</v>
      </c>
      <c r="OF339" t="n">
        <v>16</v>
      </c>
      <c r="OI339" t="n">
        <v>1931</v>
      </c>
      <c r="OJ339" t="n">
        <v>997</v>
      </c>
      <c r="OK339" t="n">
        <v>3739</v>
      </c>
      <c r="OL339" t="n">
        <v>25</v>
      </c>
      <c r="ON339" t="n">
        <v>379</v>
      </c>
      <c r="OO339" t="n">
        <v>183376</v>
      </c>
      <c r="OV339" t="n">
        <v>51279</v>
      </c>
      <c r="PI339" t="n">
        <v>234655</v>
      </c>
      <c r="PM339">
        <f>IFERROR(VLOOKUP($A339&amp;"",Key!$A:$C,3,FALSE),"")</f>
        <v/>
      </c>
    </row>
    <row r="340">
      <c r="A340" t="inlineStr">
        <is>
          <t>5416A0</t>
        </is>
      </c>
      <c r="B340" t="inlineStr">
        <is>
          <t>Environmental and other technical consulting services</t>
        </is>
      </c>
      <c r="M340" t="n">
        <v>0</v>
      </c>
      <c r="N340" t="n">
        <v>3</v>
      </c>
      <c r="O340" t="n">
        <v>0</v>
      </c>
      <c r="P340" t="n">
        <v>0</v>
      </c>
      <c r="Q340" t="n">
        <v>8</v>
      </c>
      <c r="S340" t="n">
        <v>2</v>
      </c>
      <c r="T340" t="n">
        <v>2</v>
      </c>
      <c r="U340" t="n">
        <v>1</v>
      </c>
      <c r="V340" t="n">
        <v>36</v>
      </c>
      <c r="W340" t="n">
        <v>23</v>
      </c>
      <c r="X340" t="n">
        <v>42</v>
      </c>
      <c r="Y340" t="n">
        <v>47</v>
      </c>
      <c r="Z340" t="n">
        <v>62</v>
      </c>
      <c r="AA340" t="n">
        <v>4</v>
      </c>
      <c r="AB340" t="n">
        <v>1</v>
      </c>
      <c r="AC340" t="n">
        <v>47</v>
      </c>
      <c r="AD340" t="n">
        <v>2</v>
      </c>
      <c r="AE340" t="n">
        <v>41</v>
      </c>
      <c r="AF340" t="n">
        <v>8</v>
      </c>
      <c r="AG340" t="n">
        <v>114</v>
      </c>
      <c r="AH340" t="n">
        <v>13</v>
      </c>
      <c r="AI340" t="n">
        <v>20</v>
      </c>
      <c r="AJ340" t="n">
        <v>8</v>
      </c>
      <c r="AK340" t="n">
        <v>42</v>
      </c>
      <c r="AL340" t="n">
        <v>37</v>
      </c>
      <c r="AM340" t="n">
        <v>8</v>
      </c>
      <c r="AN340" t="n">
        <v>4</v>
      </c>
      <c r="AO340" t="n">
        <v>6</v>
      </c>
      <c r="AP340" t="n">
        <v>7</v>
      </c>
      <c r="AR340" t="n">
        <v>2</v>
      </c>
      <c r="AS340" t="n">
        <v>1</v>
      </c>
      <c r="AT340" t="n">
        <v>3</v>
      </c>
      <c r="AU340" t="n">
        <v>1</v>
      </c>
      <c r="AV340" t="n">
        <v>3</v>
      </c>
      <c r="AX340" t="n">
        <v>1</v>
      </c>
      <c r="AZ340" t="n">
        <v>0</v>
      </c>
      <c r="BC340" t="n">
        <v>3</v>
      </c>
      <c r="BD340" t="n">
        <v>2</v>
      </c>
      <c r="BE340" t="n">
        <v>1</v>
      </c>
      <c r="BF340" t="n">
        <v>1</v>
      </c>
      <c r="BG340" t="n">
        <v>2</v>
      </c>
      <c r="BH340" t="n">
        <v>5</v>
      </c>
      <c r="BI340" t="n">
        <v>1</v>
      </c>
      <c r="BJ340" t="n">
        <v>1</v>
      </c>
      <c r="BK340" t="n">
        <v>0</v>
      </c>
      <c r="BL340" t="n">
        <v>1</v>
      </c>
      <c r="BM340" t="n">
        <v>1</v>
      </c>
      <c r="BN340" t="n">
        <v>3</v>
      </c>
      <c r="BO340" t="n">
        <v>2</v>
      </c>
      <c r="BP340" t="n">
        <v>3</v>
      </c>
      <c r="BQ340" t="n">
        <v>2</v>
      </c>
      <c r="BR340" t="n">
        <v>1</v>
      </c>
      <c r="BS340" t="n">
        <v>1</v>
      </c>
      <c r="BT340" t="n">
        <v>1</v>
      </c>
      <c r="BU340" t="n">
        <v>1</v>
      </c>
      <c r="BV340" t="n">
        <v>2</v>
      </c>
      <c r="BW340" t="n">
        <v>1</v>
      </c>
      <c r="BX340" t="n">
        <v>2</v>
      </c>
      <c r="BY340" t="n">
        <v>4</v>
      </c>
      <c r="BZ340" t="n">
        <v>6</v>
      </c>
      <c r="CA340" t="n">
        <v>1</v>
      </c>
      <c r="CB340" t="n">
        <v>3</v>
      </c>
      <c r="CC340" t="n">
        <v>1</v>
      </c>
      <c r="CD340" t="n">
        <v>1</v>
      </c>
      <c r="CE340" t="n">
        <v>3</v>
      </c>
      <c r="CF340" t="n">
        <v>1</v>
      </c>
      <c r="CG340" t="n">
        <v>3</v>
      </c>
      <c r="CI340" t="n">
        <v>2</v>
      </c>
      <c r="CJ340" t="n">
        <v>1</v>
      </c>
      <c r="CK340" t="n">
        <v>7</v>
      </c>
      <c r="CL340" t="n">
        <v>8</v>
      </c>
      <c r="CM340" t="n">
        <v>1</v>
      </c>
      <c r="CO340" t="n">
        <v>4</v>
      </c>
      <c r="CP340" t="n">
        <v>2</v>
      </c>
      <c r="CQ340" t="n">
        <v>8</v>
      </c>
      <c r="CR340" t="n">
        <v>0</v>
      </c>
      <c r="CS340" t="n">
        <v>0</v>
      </c>
      <c r="CT340" t="n">
        <v>3</v>
      </c>
      <c r="CU340" t="n">
        <v>1</v>
      </c>
      <c r="CV340" t="n">
        <v>1</v>
      </c>
      <c r="CW340" t="n">
        <v>0</v>
      </c>
      <c r="CY340" t="n">
        <v>3</v>
      </c>
      <c r="CZ340" t="n">
        <v>5</v>
      </c>
      <c r="DA340" t="n">
        <v>1</v>
      </c>
      <c r="DB340" t="n">
        <v>12</v>
      </c>
      <c r="DC340" t="n">
        <v>4</v>
      </c>
      <c r="DE340" t="n">
        <v>3</v>
      </c>
      <c r="DF340" t="n">
        <v>1</v>
      </c>
      <c r="DG340" t="n">
        <v>7</v>
      </c>
      <c r="DH340" t="n">
        <v>2</v>
      </c>
      <c r="DI340" t="n">
        <v>0</v>
      </c>
      <c r="DJ340" t="n">
        <v>0</v>
      </c>
      <c r="DK340" t="n">
        <v>0</v>
      </c>
      <c r="DL340" t="n">
        <v>0</v>
      </c>
      <c r="DM340" t="n">
        <v>1</v>
      </c>
      <c r="DN340" t="n">
        <v>0</v>
      </c>
      <c r="DO340" t="n">
        <v>0</v>
      </c>
      <c r="DP340" t="n">
        <v>1</v>
      </c>
      <c r="DQ340" t="n">
        <v>2</v>
      </c>
      <c r="DR340" t="n">
        <v>9</v>
      </c>
      <c r="DS340" t="n">
        <v>0</v>
      </c>
      <c r="DT340" t="n">
        <v>2</v>
      </c>
      <c r="DU340" t="n">
        <v>1</v>
      </c>
      <c r="DV340" t="n">
        <v>3</v>
      </c>
      <c r="DW340" t="n">
        <v>0</v>
      </c>
      <c r="DX340" t="n">
        <v>2</v>
      </c>
      <c r="DY340" t="n">
        <v>0</v>
      </c>
      <c r="DZ340" t="n">
        <v>0</v>
      </c>
      <c r="EA340" t="n">
        <v>1</v>
      </c>
      <c r="EB340" t="n">
        <v>0</v>
      </c>
      <c r="EC340" t="n">
        <v>0</v>
      </c>
      <c r="ED340" t="n">
        <v>2</v>
      </c>
      <c r="EE340" t="n">
        <v>0</v>
      </c>
      <c r="EF340" t="n">
        <v>0</v>
      </c>
      <c r="EG340" t="n">
        <v>1</v>
      </c>
      <c r="EH340" t="n">
        <v>1</v>
      </c>
      <c r="EI340" t="n">
        <v>7</v>
      </c>
      <c r="EJ340" t="n">
        <v>3</v>
      </c>
      <c r="EK340" t="n">
        <v>2</v>
      </c>
      <c r="EL340" t="n">
        <v>0</v>
      </c>
      <c r="EM340" t="n">
        <v>1</v>
      </c>
      <c r="EN340" t="n">
        <v>0</v>
      </c>
      <c r="EO340" t="n">
        <v>0</v>
      </c>
      <c r="EP340" t="n">
        <v>14</v>
      </c>
      <c r="EQ340" t="n">
        <v>0</v>
      </c>
      <c r="ER340" t="n">
        <v>38</v>
      </c>
      <c r="ET340" t="n">
        <v>1</v>
      </c>
      <c r="EX340" t="n">
        <v>1</v>
      </c>
      <c r="EY340" t="n">
        <v>6</v>
      </c>
      <c r="EZ340" t="n">
        <v>1</v>
      </c>
      <c r="FA340" t="n">
        <v>6</v>
      </c>
      <c r="FB340" t="n">
        <v>5</v>
      </c>
      <c r="FC340" t="n">
        <v>2</v>
      </c>
      <c r="FD340" t="n">
        <v>5</v>
      </c>
      <c r="FE340" t="n">
        <v>1</v>
      </c>
      <c r="FF340" t="n">
        <v>3</v>
      </c>
      <c r="FG340" t="n">
        <v>0</v>
      </c>
      <c r="FI340" t="n">
        <v>0</v>
      </c>
      <c r="FJ340" t="n">
        <v>9</v>
      </c>
      <c r="FK340" t="n">
        <v>12</v>
      </c>
      <c r="FL340" t="n">
        <v>3</v>
      </c>
      <c r="FP340" t="n">
        <v>3</v>
      </c>
      <c r="FQ340" t="n">
        <v>4</v>
      </c>
      <c r="FR340" t="n">
        <v>1</v>
      </c>
      <c r="FS340" t="n">
        <v>3</v>
      </c>
      <c r="FT340" t="n">
        <v>2</v>
      </c>
      <c r="FU340" t="n">
        <v>2</v>
      </c>
      <c r="FV340" t="n">
        <v>13</v>
      </c>
      <c r="FW340" t="n">
        <v>4</v>
      </c>
      <c r="FX340" t="n">
        <v>9</v>
      </c>
      <c r="FY340" t="n">
        <v>30</v>
      </c>
      <c r="FZ340" t="n">
        <v>2</v>
      </c>
      <c r="GA340" t="n">
        <v>0</v>
      </c>
      <c r="GD340" t="n">
        <v>6</v>
      </c>
      <c r="GG340" t="n">
        <v>2</v>
      </c>
      <c r="GH340" t="n">
        <v>4</v>
      </c>
      <c r="GI340" t="n">
        <v>3</v>
      </c>
      <c r="GJ340" t="n">
        <v>2</v>
      </c>
      <c r="GK340" t="n">
        <v>2</v>
      </c>
      <c r="GL340" t="n">
        <v>1</v>
      </c>
      <c r="GP340" t="n">
        <v>7</v>
      </c>
      <c r="GQ340" t="n">
        <v>6</v>
      </c>
      <c r="GR340" t="n">
        <v>7</v>
      </c>
      <c r="GS340" t="n">
        <v>2</v>
      </c>
      <c r="GT340" t="n">
        <v>5</v>
      </c>
      <c r="GU340" t="n">
        <v>8</v>
      </c>
      <c r="GV340" t="n">
        <v>3</v>
      </c>
      <c r="GW340" t="n">
        <v>10</v>
      </c>
      <c r="GX340" t="n">
        <v>22</v>
      </c>
      <c r="GY340" t="n">
        <v>5</v>
      </c>
      <c r="GZ340" t="n">
        <v>6</v>
      </c>
      <c r="HA340" t="n">
        <v>3</v>
      </c>
      <c r="HB340" t="n">
        <v>4</v>
      </c>
      <c r="HC340" t="n">
        <v>1</v>
      </c>
      <c r="HE340" t="n">
        <v>6</v>
      </c>
      <c r="HF340" t="n">
        <v>4</v>
      </c>
      <c r="HG340" t="n">
        <v>5</v>
      </c>
      <c r="HI340" t="n">
        <v>10</v>
      </c>
      <c r="HJ340" t="n">
        <v>4</v>
      </c>
      <c r="HK340" t="n">
        <v>52</v>
      </c>
      <c r="HM340" t="n">
        <v>4</v>
      </c>
      <c r="HO340" t="n">
        <v>2</v>
      </c>
      <c r="HQ340" t="n">
        <v>1</v>
      </c>
      <c r="HT340" t="n">
        <v>3</v>
      </c>
      <c r="HU340" t="n">
        <v>15</v>
      </c>
      <c r="HV340" t="n">
        <v>15</v>
      </c>
      <c r="HW340" t="n">
        <v>8</v>
      </c>
      <c r="HX340" t="n">
        <v>3</v>
      </c>
      <c r="HZ340" t="n">
        <v>3</v>
      </c>
      <c r="IB340" t="n">
        <v>17</v>
      </c>
      <c r="ID340" t="n">
        <v>138</v>
      </c>
      <c r="IE340" t="n">
        <v>5</v>
      </c>
      <c r="IG340" t="n">
        <v>2</v>
      </c>
      <c r="IH340" t="n">
        <v>10</v>
      </c>
      <c r="IJ340" t="n">
        <v>1</v>
      </c>
      <c r="IK340" t="n">
        <v>7</v>
      </c>
      <c r="IL340" t="n">
        <v>42</v>
      </c>
      <c r="IM340" t="n">
        <v>11</v>
      </c>
      <c r="IN340" t="n">
        <v>5</v>
      </c>
      <c r="IP340" t="n">
        <v>66</v>
      </c>
      <c r="IQ340" t="n">
        <v>0</v>
      </c>
      <c r="IR340" t="n">
        <v>0</v>
      </c>
      <c r="IS340" t="n">
        <v>3</v>
      </c>
      <c r="IV340" t="n">
        <v>1</v>
      </c>
      <c r="IW340" t="n">
        <v>8</v>
      </c>
      <c r="IX340" t="n">
        <v>10</v>
      </c>
      <c r="IY340" t="n">
        <v>1</v>
      </c>
      <c r="IZ340" t="n">
        <v>12</v>
      </c>
      <c r="JA340" t="n">
        <v>3</v>
      </c>
      <c r="JD340" t="n">
        <v>10</v>
      </c>
      <c r="JE340" t="n">
        <v>3</v>
      </c>
      <c r="JF340" t="n">
        <v>1</v>
      </c>
      <c r="JG340" t="n">
        <v>19</v>
      </c>
      <c r="JH340" t="n">
        <v>3</v>
      </c>
      <c r="JJ340" t="n">
        <v>2</v>
      </c>
      <c r="JK340" t="n">
        <v>294</v>
      </c>
      <c r="JL340" t="n">
        <v>571</v>
      </c>
      <c r="JM340" t="n">
        <v>640</v>
      </c>
      <c r="JN340" t="n">
        <v>286</v>
      </c>
      <c r="JO340" t="n">
        <v>422</v>
      </c>
      <c r="JP340" t="n">
        <v>466</v>
      </c>
      <c r="JQ340" t="n">
        <v>314</v>
      </c>
      <c r="JR340" t="n">
        <v>36</v>
      </c>
      <c r="JS340" t="n">
        <v>690</v>
      </c>
      <c r="JT340" t="n">
        <v>12</v>
      </c>
      <c r="JV340" t="n">
        <v>331</v>
      </c>
      <c r="JW340" t="n">
        <v>243</v>
      </c>
      <c r="JX340" t="n">
        <v>91</v>
      </c>
      <c r="JY340" t="n">
        <v>90</v>
      </c>
      <c r="JZ340" t="n">
        <v>182</v>
      </c>
      <c r="KA340" t="n">
        <v>91</v>
      </c>
      <c r="KB340" t="n">
        <v>148</v>
      </c>
      <c r="KC340" t="n">
        <v>893</v>
      </c>
      <c r="KD340" t="n">
        <v>106</v>
      </c>
      <c r="KE340" t="n">
        <v>8</v>
      </c>
      <c r="KF340" t="n">
        <v>1</v>
      </c>
      <c r="KG340" t="n">
        <v>44</v>
      </c>
      <c r="KH340" t="n">
        <v>155</v>
      </c>
      <c r="KI340" t="n">
        <v>142</v>
      </c>
      <c r="KJ340" t="n">
        <v>32</v>
      </c>
      <c r="KK340" t="n">
        <v>180</v>
      </c>
      <c r="KL340" t="n">
        <v>45</v>
      </c>
      <c r="KM340" t="n">
        <v>139</v>
      </c>
      <c r="KN340" t="n">
        <v>51</v>
      </c>
      <c r="KO340" t="n">
        <v>75</v>
      </c>
      <c r="KP340" t="n">
        <v>205</v>
      </c>
      <c r="KQ340" t="n">
        <v>17</v>
      </c>
      <c r="KR340" t="n">
        <v>750</v>
      </c>
      <c r="KS340" t="n">
        <v>128</v>
      </c>
      <c r="KT340" t="n">
        <v>21</v>
      </c>
      <c r="KU340" t="n">
        <v>46</v>
      </c>
      <c r="KV340" t="n">
        <v>48</v>
      </c>
      <c r="KW340" t="n">
        <v>262</v>
      </c>
      <c r="KX340" t="n">
        <v>301</v>
      </c>
      <c r="KY340" t="n">
        <v>81</v>
      </c>
      <c r="KZ340" t="n">
        <v>1095</v>
      </c>
      <c r="LA340" t="n">
        <v>669</v>
      </c>
      <c r="LB340" t="n">
        <v>1</v>
      </c>
      <c r="LC340" t="n">
        <v>3172</v>
      </c>
      <c r="LD340" t="n">
        <v>3104</v>
      </c>
      <c r="LE340" t="n">
        <v>5104</v>
      </c>
      <c r="LF340" t="n">
        <v>767</v>
      </c>
      <c r="LH340" t="n">
        <v>38</v>
      </c>
      <c r="LI340" t="n">
        <v>1075</v>
      </c>
      <c r="LM340" t="n">
        <v>213</v>
      </c>
      <c r="LN340" t="n">
        <v>75</v>
      </c>
      <c r="LO340" t="n">
        <v>48</v>
      </c>
      <c r="LP340" t="n">
        <v>27</v>
      </c>
      <c r="LQ340" t="n">
        <v>105</v>
      </c>
      <c r="LR340" t="n">
        <v>342</v>
      </c>
      <c r="LS340" t="n">
        <v>448</v>
      </c>
      <c r="LT340" t="n">
        <v>420</v>
      </c>
      <c r="LU340" t="n">
        <v>197</v>
      </c>
      <c r="LV340" t="n">
        <v>176</v>
      </c>
      <c r="LW340" t="n">
        <v>2798</v>
      </c>
      <c r="LX340" t="n">
        <v>831</v>
      </c>
      <c r="LY340" t="n">
        <v>220</v>
      </c>
      <c r="LZ340" t="n">
        <v>3881</v>
      </c>
      <c r="MA340" t="n">
        <v>78</v>
      </c>
      <c r="MB340" t="n">
        <v>78</v>
      </c>
      <c r="MC340" t="n">
        <v>15</v>
      </c>
      <c r="MD340" t="n">
        <v>5</v>
      </c>
      <c r="ME340" t="n">
        <v>271</v>
      </c>
      <c r="MF340" t="n">
        <v>2826</v>
      </c>
      <c r="MG340" t="n">
        <v>324</v>
      </c>
      <c r="MH340" t="n">
        <v>319</v>
      </c>
      <c r="MI340" t="n">
        <v>251</v>
      </c>
      <c r="MJ340" t="n">
        <v>138</v>
      </c>
      <c r="MK340" t="n">
        <v>282</v>
      </c>
      <c r="ML340" t="n">
        <v>82</v>
      </c>
      <c r="MM340" t="n">
        <v>129</v>
      </c>
      <c r="MN340" t="n">
        <v>75</v>
      </c>
      <c r="MO340" t="n">
        <v>135</v>
      </c>
      <c r="MQ340" t="n">
        <v>2</v>
      </c>
      <c r="MR340" t="n">
        <v>168</v>
      </c>
      <c r="MS340" t="n">
        <v>1847</v>
      </c>
      <c r="MT340" t="n">
        <v>61</v>
      </c>
      <c r="MU340" t="n">
        <v>127</v>
      </c>
      <c r="MV340" t="n">
        <v>400</v>
      </c>
      <c r="MW340" t="n">
        <v>215</v>
      </c>
      <c r="MX340" t="n">
        <v>130</v>
      </c>
      <c r="MY340" t="n">
        <v>109</v>
      </c>
      <c r="MZ340" t="n">
        <v>3165</v>
      </c>
      <c r="NA340" t="n">
        <v>944</v>
      </c>
      <c r="NB340" t="n">
        <v>82</v>
      </c>
      <c r="NC340" t="n">
        <v>178</v>
      </c>
      <c r="ND340" t="n">
        <v>70</v>
      </c>
      <c r="NE340" t="n">
        <v>76</v>
      </c>
      <c r="NF340" t="n">
        <v>158</v>
      </c>
      <c r="NG340" t="n">
        <v>27</v>
      </c>
      <c r="NH340" t="n">
        <v>331</v>
      </c>
      <c r="NI340" t="n">
        <v>97</v>
      </c>
      <c r="NJ340" t="n">
        <v>83</v>
      </c>
      <c r="NK340" t="n">
        <v>39</v>
      </c>
      <c r="NL340" t="n">
        <v>32</v>
      </c>
      <c r="NM340" t="n">
        <v>96</v>
      </c>
      <c r="NN340" t="n">
        <v>394</v>
      </c>
      <c r="NO340" t="n">
        <v>198</v>
      </c>
      <c r="NP340" t="n">
        <v>349</v>
      </c>
      <c r="NQ340" t="n">
        <v>29</v>
      </c>
      <c r="NR340" t="n">
        <v>69</v>
      </c>
      <c r="NS340" t="n">
        <v>94</v>
      </c>
      <c r="NT340" t="n">
        <v>43</v>
      </c>
      <c r="NU340" t="n">
        <v>46</v>
      </c>
      <c r="NV340" t="n">
        <v>76</v>
      </c>
      <c r="NW340" t="n">
        <v>6</v>
      </c>
      <c r="NX340" t="n">
        <v>21</v>
      </c>
      <c r="NY340" t="n">
        <v>193</v>
      </c>
      <c r="NZ340" t="n">
        <v>361</v>
      </c>
      <c r="OA340" t="n">
        <v>670</v>
      </c>
      <c r="OB340" t="n">
        <v>303</v>
      </c>
      <c r="OD340" t="n">
        <v>76</v>
      </c>
      <c r="OE340" t="n">
        <v>80</v>
      </c>
      <c r="OI340" t="n">
        <v>1066</v>
      </c>
      <c r="OJ340" t="n">
        <v>237</v>
      </c>
      <c r="OK340" t="n">
        <v>4559</v>
      </c>
      <c r="OL340" t="n">
        <v>16</v>
      </c>
      <c r="OM340" t="n">
        <v>16</v>
      </c>
      <c r="ON340" t="n">
        <v>257</v>
      </c>
      <c r="OO340" t="n">
        <v>57627</v>
      </c>
      <c r="OV340" t="n">
        <v>206</v>
      </c>
      <c r="PI340" t="n">
        <v>57833</v>
      </c>
      <c r="PM340">
        <f>IFERROR(VLOOKUP($A340&amp;"",Key!$A:$C,3,FALSE),"")</f>
        <v/>
      </c>
    </row>
    <row r="341">
      <c r="A341" t="n">
        <v>541700</v>
      </c>
      <c r="B341" t="inlineStr">
        <is>
          <t>Scientific research and development services</t>
        </is>
      </c>
      <c r="O341" t="n">
        <v>2</v>
      </c>
      <c r="Q341" t="n">
        <v>0</v>
      </c>
      <c r="R341" t="n">
        <v>1</v>
      </c>
      <c r="S341" t="n">
        <v>1</v>
      </c>
      <c r="T341" t="n">
        <v>0</v>
      </c>
      <c r="U341" t="n">
        <v>1</v>
      </c>
      <c r="W341" t="n">
        <v>0</v>
      </c>
      <c r="X341" t="n">
        <v>1394</v>
      </c>
      <c r="Y341" t="n">
        <v>127</v>
      </c>
      <c r="Z341" t="n">
        <v>19</v>
      </c>
      <c r="AC341" t="n">
        <v>15</v>
      </c>
      <c r="AM341" t="n">
        <v>7</v>
      </c>
      <c r="AN341" t="n">
        <v>2</v>
      </c>
      <c r="AO341" t="n">
        <v>6</v>
      </c>
      <c r="AP341" t="n">
        <v>3</v>
      </c>
      <c r="AQ341" t="n">
        <v>1</v>
      </c>
      <c r="AR341" t="n">
        <v>5</v>
      </c>
      <c r="AT341" t="n">
        <v>9</v>
      </c>
      <c r="AU341" t="n">
        <v>0</v>
      </c>
      <c r="AV341" t="n">
        <v>3</v>
      </c>
      <c r="AW341" t="n">
        <v>0</v>
      </c>
      <c r="AY341" t="n">
        <v>1</v>
      </c>
      <c r="BC341" t="n">
        <v>8</v>
      </c>
      <c r="BD341" t="n">
        <v>2</v>
      </c>
      <c r="BE341" t="n">
        <v>1</v>
      </c>
      <c r="BG341" t="n">
        <v>3</v>
      </c>
      <c r="BH341" t="n">
        <v>1</v>
      </c>
      <c r="BI341" t="n">
        <v>1</v>
      </c>
      <c r="BJ341" t="n">
        <v>1</v>
      </c>
      <c r="BK341" t="n">
        <v>2</v>
      </c>
      <c r="BL341" t="n">
        <v>2</v>
      </c>
      <c r="BM341" t="n">
        <v>1</v>
      </c>
      <c r="BN341" t="n">
        <v>1</v>
      </c>
      <c r="BO341" t="n">
        <v>13</v>
      </c>
      <c r="BP341" t="n">
        <v>4</v>
      </c>
      <c r="BQ341" t="n">
        <v>7</v>
      </c>
      <c r="BR341" t="n">
        <v>4</v>
      </c>
      <c r="BT341" t="n">
        <v>3</v>
      </c>
      <c r="BU341" t="n">
        <v>1</v>
      </c>
      <c r="BV341" t="n">
        <v>1</v>
      </c>
      <c r="BW341" t="n">
        <v>1</v>
      </c>
      <c r="BX341" t="n">
        <v>4</v>
      </c>
      <c r="BY341" t="n">
        <v>5</v>
      </c>
      <c r="BZ341" t="n">
        <v>8</v>
      </c>
      <c r="CA341" t="n">
        <v>0</v>
      </c>
      <c r="CB341" t="n">
        <v>4</v>
      </c>
      <c r="CD341" t="n">
        <v>1</v>
      </c>
      <c r="CE341" t="n">
        <v>1</v>
      </c>
      <c r="CF341" t="n">
        <v>1</v>
      </c>
      <c r="CG341" t="n">
        <v>2</v>
      </c>
      <c r="CI341" t="n">
        <v>1</v>
      </c>
      <c r="CL341" t="n">
        <v>3</v>
      </c>
      <c r="CO341" t="n">
        <v>5</v>
      </c>
      <c r="CP341" t="n">
        <v>2</v>
      </c>
      <c r="CQ341" t="n">
        <v>2</v>
      </c>
      <c r="CU341" t="n">
        <v>1</v>
      </c>
      <c r="CZ341" t="n">
        <v>3</v>
      </c>
      <c r="DA341" t="n">
        <v>1</v>
      </c>
      <c r="DB341" t="n">
        <v>2</v>
      </c>
      <c r="DC341" t="n">
        <v>2</v>
      </c>
      <c r="DE341" t="n">
        <v>2</v>
      </c>
      <c r="DG341" t="n">
        <v>2</v>
      </c>
      <c r="DH341" t="n">
        <v>1</v>
      </c>
      <c r="DR341" t="n">
        <v>1</v>
      </c>
      <c r="DW341" t="n">
        <v>0</v>
      </c>
      <c r="ED341" t="n">
        <v>1</v>
      </c>
      <c r="EN341" t="n">
        <v>1</v>
      </c>
      <c r="EP341" t="n">
        <v>1</v>
      </c>
      <c r="ET341" t="n">
        <v>2</v>
      </c>
      <c r="EU341" t="n">
        <v>1</v>
      </c>
      <c r="EW341" t="n">
        <v>2</v>
      </c>
      <c r="EY341" t="n">
        <v>2</v>
      </c>
      <c r="EZ341" t="n">
        <v>4</v>
      </c>
      <c r="FB341" t="n">
        <v>2</v>
      </c>
      <c r="FC341" t="n">
        <v>3</v>
      </c>
      <c r="FD341" t="n">
        <v>2</v>
      </c>
      <c r="FE341" t="n">
        <v>219</v>
      </c>
      <c r="FF341" t="n">
        <v>5</v>
      </c>
      <c r="FG341" t="n">
        <v>2</v>
      </c>
      <c r="FI341" t="n">
        <v>53</v>
      </c>
      <c r="FJ341" t="n">
        <v>3</v>
      </c>
      <c r="FK341" t="n">
        <v>12</v>
      </c>
      <c r="FL341" t="n">
        <v>1</v>
      </c>
      <c r="FP341" t="n">
        <v>23</v>
      </c>
      <c r="FQ341" t="n">
        <v>2</v>
      </c>
      <c r="FS341" t="n">
        <v>3</v>
      </c>
      <c r="FT341" t="n">
        <v>1</v>
      </c>
      <c r="FU341" t="n">
        <v>2</v>
      </c>
      <c r="FV341" t="n">
        <v>7</v>
      </c>
      <c r="FW341" t="n">
        <v>1</v>
      </c>
      <c r="FX341" t="n">
        <v>3</v>
      </c>
      <c r="FY341" t="n">
        <v>7</v>
      </c>
      <c r="GC341" t="n">
        <v>2</v>
      </c>
      <c r="GD341" t="n">
        <v>1</v>
      </c>
      <c r="GG341" t="n">
        <v>4</v>
      </c>
      <c r="GH341" t="n">
        <v>4</v>
      </c>
      <c r="GK341" t="n">
        <v>1</v>
      </c>
      <c r="GP341" t="n">
        <v>1</v>
      </c>
      <c r="GQ341" t="n">
        <v>1</v>
      </c>
      <c r="GR341" t="n">
        <v>2</v>
      </c>
      <c r="GT341" t="n">
        <v>1</v>
      </c>
      <c r="GU341" t="n">
        <v>5</v>
      </c>
      <c r="GW341" t="n">
        <v>6</v>
      </c>
      <c r="GX341" t="n">
        <v>5</v>
      </c>
      <c r="GY341" t="n">
        <v>2</v>
      </c>
      <c r="GZ341" t="n">
        <v>13</v>
      </c>
      <c r="HA341" t="n">
        <v>8</v>
      </c>
      <c r="HB341" t="n">
        <v>1</v>
      </c>
      <c r="HC341" t="n">
        <v>1</v>
      </c>
      <c r="HE341" t="n">
        <v>3</v>
      </c>
      <c r="HF341" t="n">
        <v>12</v>
      </c>
      <c r="HG341" t="n">
        <v>4</v>
      </c>
      <c r="HH341" t="n">
        <v>2</v>
      </c>
      <c r="HM341" t="n">
        <v>0</v>
      </c>
      <c r="HO341" t="n">
        <v>1</v>
      </c>
      <c r="HQ341" t="n">
        <v>1</v>
      </c>
      <c r="HR341" t="n">
        <v>1</v>
      </c>
      <c r="HS341" t="n">
        <v>2</v>
      </c>
      <c r="HT341" t="n">
        <v>0</v>
      </c>
      <c r="HU341" t="n">
        <v>2</v>
      </c>
      <c r="HV341" t="n">
        <v>3</v>
      </c>
      <c r="HW341" t="n">
        <v>12</v>
      </c>
      <c r="HX341" t="n">
        <v>2</v>
      </c>
      <c r="HY341" t="n">
        <v>2</v>
      </c>
      <c r="HZ341" t="n">
        <v>2</v>
      </c>
      <c r="IA341" t="n">
        <v>8</v>
      </c>
      <c r="IB341" t="n">
        <v>19</v>
      </c>
      <c r="ID341" t="n">
        <v>24</v>
      </c>
      <c r="IE341" t="n">
        <v>4</v>
      </c>
      <c r="IF341" t="n">
        <v>1</v>
      </c>
      <c r="IK341" t="n">
        <v>2</v>
      </c>
      <c r="IL341" t="n">
        <v>5</v>
      </c>
      <c r="IM341" t="n">
        <v>5</v>
      </c>
      <c r="IQ341" t="n">
        <v>2</v>
      </c>
      <c r="IT341" t="n">
        <v>2</v>
      </c>
      <c r="IU341" t="n">
        <v>1</v>
      </c>
      <c r="IZ341" t="n">
        <v>1</v>
      </c>
      <c r="JA341" t="n">
        <v>7</v>
      </c>
      <c r="JB341" t="n">
        <v>2</v>
      </c>
      <c r="JD341" t="n">
        <v>6</v>
      </c>
      <c r="JE341" t="n">
        <v>2</v>
      </c>
      <c r="JG341" t="n">
        <v>36</v>
      </c>
      <c r="JH341" t="n">
        <v>1</v>
      </c>
      <c r="JJ341" t="n">
        <v>3</v>
      </c>
      <c r="JK341" t="n">
        <v>14</v>
      </c>
      <c r="JO341" t="n">
        <v>1</v>
      </c>
      <c r="JR341" t="n">
        <v>0</v>
      </c>
      <c r="JS341" t="n">
        <v>0</v>
      </c>
      <c r="JT341" t="n">
        <v>1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0</v>
      </c>
      <c r="KD341" t="n">
        <v>0</v>
      </c>
      <c r="KF341" t="n">
        <v>15</v>
      </c>
      <c r="KG341" t="n">
        <v>1</v>
      </c>
      <c r="KI341" t="n">
        <v>2</v>
      </c>
      <c r="KJ341" t="n">
        <v>6</v>
      </c>
      <c r="KK341" t="n">
        <v>41</v>
      </c>
      <c r="KR341" t="n">
        <v>12</v>
      </c>
      <c r="KS341" t="n">
        <v>2</v>
      </c>
      <c r="KT341" t="n">
        <v>2</v>
      </c>
      <c r="KW341" t="n">
        <v>37</v>
      </c>
      <c r="KX341" t="n">
        <v>67</v>
      </c>
      <c r="KY341" t="n">
        <v>17</v>
      </c>
      <c r="KZ341" t="n">
        <v>29</v>
      </c>
      <c r="LA341" t="n">
        <v>4</v>
      </c>
      <c r="LC341" t="n">
        <v>271</v>
      </c>
      <c r="LD341" t="n">
        <v>248</v>
      </c>
      <c r="LE341" t="n">
        <v>227</v>
      </c>
      <c r="LF341" t="n">
        <v>50</v>
      </c>
      <c r="LJ341" t="n">
        <v>0</v>
      </c>
      <c r="LL341" t="n">
        <v>6</v>
      </c>
      <c r="LM341" t="n">
        <v>1</v>
      </c>
      <c r="LN341" t="n">
        <v>1</v>
      </c>
      <c r="LO341" t="n">
        <v>1</v>
      </c>
      <c r="LP341" t="n">
        <v>1</v>
      </c>
      <c r="LQ341" t="n">
        <v>3</v>
      </c>
      <c r="LR341" t="n">
        <v>0</v>
      </c>
      <c r="LS341" t="n">
        <v>31</v>
      </c>
      <c r="LT341" t="n">
        <v>771</v>
      </c>
      <c r="LU341" t="n">
        <v>31</v>
      </c>
      <c r="LW341" t="n">
        <v>349</v>
      </c>
      <c r="LY341" t="n">
        <v>48</v>
      </c>
      <c r="LZ341" t="n">
        <v>4668</v>
      </c>
      <c r="MB341" t="n">
        <v>0</v>
      </c>
      <c r="MC341" t="n">
        <v>0</v>
      </c>
      <c r="MF341" t="n">
        <v>1785</v>
      </c>
      <c r="MG341" t="n">
        <v>0</v>
      </c>
      <c r="MH341" t="n">
        <v>0</v>
      </c>
      <c r="MJ341" t="n">
        <v>0</v>
      </c>
      <c r="MK341" t="n">
        <v>0</v>
      </c>
      <c r="ML341" t="n">
        <v>0</v>
      </c>
      <c r="MM341" t="n">
        <v>0</v>
      </c>
      <c r="MN341" t="n">
        <v>0</v>
      </c>
      <c r="MO341" t="n">
        <v>55</v>
      </c>
      <c r="MQ341" t="n">
        <v>3</v>
      </c>
      <c r="MR341" t="n">
        <v>1</v>
      </c>
      <c r="MT341" t="n">
        <v>0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1178</v>
      </c>
      <c r="NA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1</v>
      </c>
      <c r="NK341" t="n">
        <v>0</v>
      </c>
      <c r="NL341" t="n">
        <v>0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57</v>
      </c>
      <c r="OA341" t="n">
        <v>13</v>
      </c>
      <c r="OB341" t="n">
        <v>8</v>
      </c>
      <c r="OD341" t="n">
        <v>0</v>
      </c>
      <c r="OG341" t="n">
        <v>153</v>
      </c>
      <c r="OK341" t="n">
        <v>354</v>
      </c>
      <c r="OM341" t="n">
        <v>99</v>
      </c>
      <c r="OO341" t="n">
        <v>12978</v>
      </c>
      <c r="OP341" t="n">
        <v>5303</v>
      </c>
      <c r="OR341" t="n">
        <v>437476</v>
      </c>
      <c r="OV341" t="n">
        <v>39414</v>
      </c>
      <c r="OY341" t="n">
        <v>50501</v>
      </c>
      <c r="PC341" t="n">
        <v>80601</v>
      </c>
      <c r="PG341" t="n">
        <v>21404</v>
      </c>
      <c r="PI341" t="n">
        <v>647677</v>
      </c>
      <c r="PM341">
        <f>IFERROR(VLOOKUP($A341&amp;"",Key!$A:$C,3,FALSE),"")</f>
        <v/>
      </c>
    </row>
    <row r="342">
      <c r="A342" t="n">
        <v>541800</v>
      </c>
      <c r="B342" t="inlineStr">
        <is>
          <t>Advertising, public relations, and related services</t>
        </is>
      </c>
      <c r="C342" t="n">
        <v>0</v>
      </c>
      <c r="D342" t="n">
        <v>1</v>
      </c>
      <c r="E342" t="n">
        <v>2</v>
      </c>
      <c r="H342" t="n">
        <v>1</v>
      </c>
      <c r="M342" t="n">
        <v>0</v>
      </c>
      <c r="N342" t="n">
        <v>2</v>
      </c>
      <c r="O342" t="n">
        <v>2</v>
      </c>
      <c r="P342" t="n">
        <v>88</v>
      </c>
      <c r="Q342" t="n">
        <v>5</v>
      </c>
      <c r="R342" t="n">
        <v>5</v>
      </c>
      <c r="S342" t="n">
        <v>3</v>
      </c>
      <c r="T342" t="n">
        <v>11</v>
      </c>
      <c r="U342" t="n">
        <v>15</v>
      </c>
      <c r="V342" t="n">
        <v>39</v>
      </c>
      <c r="W342" t="n">
        <v>179</v>
      </c>
      <c r="X342" t="n">
        <v>1612</v>
      </c>
      <c r="Y342" t="n">
        <v>289</v>
      </c>
      <c r="Z342" t="n">
        <v>4</v>
      </c>
      <c r="AA342" t="n">
        <v>71</v>
      </c>
      <c r="AB342" t="n">
        <v>103</v>
      </c>
      <c r="AC342" t="n">
        <v>670</v>
      </c>
      <c r="AD342" t="n">
        <v>112</v>
      </c>
      <c r="AE342" t="n">
        <v>330</v>
      </c>
      <c r="AF342" t="n">
        <v>58</v>
      </c>
      <c r="AG342" t="n">
        <v>826</v>
      </c>
      <c r="AH342" t="n">
        <v>153</v>
      </c>
      <c r="AI342" t="n">
        <v>174</v>
      </c>
      <c r="AJ342" t="n">
        <v>110</v>
      </c>
      <c r="AK342" t="n">
        <v>755</v>
      </c>
      <c r="AL342" t="n">
        <v>230</v>
      </c>
      <c r="AM342" t="n">
        <v>48</v>
      </c>
      <c r="AN342" t="n">
        <v>54</v>
      </c>
      <c r="AO342" t="n">
        <v>145</v>
      </c>
      <c r="AP342" t="n">
        <v>98</v>
      </c>
      <c r="AQ342" t="n">
        <v>58</v>
      </c>
      <c r="AR342" t="n">
        <v>115</v>
      </c>
      <c r="AS342" t="n">
        <v>17</v>
      </c>
      <c r="AT342" t="n">
        <v>86</v>
      </c>
      <c r="AU342" t="n">
        <v>60</v>
      </c>
      <c r="AV342" t="n">
        <v>51</v>
      </c>
      <c r="AW342" t="n">
        <v>14</v>
      </c>
      <c r="AX342" t="n">
        <v>19</v>
      </c>
      <c r="AY342" t="n">
        <v>35</v>
      </c>
      <c r="AZ342" t="n">
        <v>7</v>
      </c>
      <c r="BA342" t="n">
        <v>15</v>
      </c>
      <c r="BB342" t="n">
        <v>14</v>
      </c>
      <c r="BC342" t="n">
        <v>91</v>
      </c>
      <c r="BD342" t="n">
        <v>60</v>
      </c>
      <c r="BE342" t="n">
        <v>11</v>
      </c>
      <c r="BF342" t="n">
        <v>30</v>
      </c>
      <c r="BG342" t="n">
        <v>49</v>
      </c>
      <c r="BH342" t="n">
        <v>27</v>
      </c>
      <c r="BI342" t="n">
        <v>39</v>
      </c>
      <c r="BJ342" t="n">
        <v>31</v>
      </c>
      <c r="BK342" t="n">
        <v>64</v>
      </c>
      <c r="BL342" t="n">
        <v>88</v>
      </c>
      <c r="BM342" t="n">
        <v>19</v>
      </c>
      <c r="BN342" t="n">
        <v>25</v>
      </c>
      <c r="BO342" t="n">
        <v>54</v>
      </c>
      <c r="BP342" t="n">
        <v>137</v>
      </c>
      <c r="BQ342" t="n">
        <v>153</v>
      </c>
      <c r="BR342" t="n">
        <v>194</v>
      </c>
      <c r="BS342" t="n">
        <v>23</v>
      </c>
      <c r="BT342" t="n">
        <v>22</v>
      </c>
      <c r="BU342" t="n">
        <v>19</v>
      </c>
      <c r="BV342" t="n">
        <v>58</v>
      </c>
      <c r="BW342" t="n">
        <v>41</v>
      </c>
      <c r="BX342" t="n">
        <v>140</v>
      </c>
      <c r="BY342" t="n">
        <v>117</v>
      </c>
      <c r="BZ342" t="n">
        <v>86</v>
      </c>
      <c r="CA342" t="n">
        <v>44</v>
      </c>
      <c r="CB342" t="n">
        <v>80</v>
      </c>
      <c r="CC342" t="n">
        <v>16</v>
      </c>
      <c r="CD342" t="n">
        <v>15</v>
      </c>
      <c r="CE342" t="n">
        <v>115</v>
      </c>
      <c r="CF342" t="n">
        <v>75</v>
      </c>
      <c r="CG342" t="n">
        <v>69</v>
      </c>
      <c r="CH342" t="n">
        <v>18</v>
      </c>
      <c r="CI342" t="n">
        <v>76</v>
      </c>
      <c r="CJ342" t="n">
        <v>48</v>
      </c>
      <c r="CK342" t="n">
        <v>11</v>
      </c>
      <c r="CL342" t="n">
        <v>212</v>
      </c>
      <c r="CM342" t="n">
        <v>44</v>
      </c>
      <c r="CN342" t="n">
        <v>11</v>
      </c>
      <c r="CO342" t="n">
        <v>142</v>
      </c>
      <c r="CP342" t="n">
        <v>26</v>
      </c>
      <c r="CQ342" t="n">
        <v>92</v>
      </c>
      <c r="CR342" t="n">
        <v>21</v>
      </c>
      <c r="CS342" t="n">
        <v>47</v>
      </c>
      <c r="CT342" t="n">
        <v>33</v>
      </c>
      <c r="CU342" t="n">
        <v>92</v>
      </c>
      <c r="CV342" t="n">
        <v>42</v>
      </c>
      <c r="CW342" t="n">
        <v>28</v>
      </c>
      <c r="CX342" t="n">
        <v>7</v>
      </c>
      <c r="CY342" t="n">
        <v>14</v>
      </c>
      <c r="CZ342" t="n">
        <v>51</v>
      </c>
      <c r="DA342" t="n">
        <v>23</v>
      </c>
      <c r="DB342" t="n">
        <v>67</v>
      </c>
      <c r="DC342" t="n">
        <v>108</v>
      </c>
      <c r="DD342" t="n">
        <v>43</v>
      </c>
      <c r="DE342" t="n">
        <v>29</v>
      </c>
      <c r="DF342" t="n">
        <v>12</v>
      </c>
      <c r="DG342" t="n">
        <v>115</v>
      </c>
      <c r="DH342" t="n">
        <v>32</v>
      </c>
      <c r="DI342" t="n">
        <v>2</v>
      </c>
      <c r="DJ342" t="n">
        <v>1</v>
      </c>
      <c r="DK342" t="n">
        <v>30</v>
      </c>
      <c r="DL342" t="n">
        <v>5</v>
      </c>
      <c r="DM342" t="n">
        <v>91</v>
      </c>
      <c r="DN342" t="n">
        <v>7</v>
      </c>
      <c r="DO342" t="n">
        <v>23</v>
      </c>
      <c r="DP342" t="n">
        <v>14</v>
      </c>
      <c r="DQ342" t="n">
        <v>22</v>
      </c>
      <c r="DR342" t="n">
        <v>139</v>
      </c>
      <c r="DS342" t="n">
        <v>207</v>
      </c>
      <c r="DT342" t="n">
        <v>5</v>
      </c>
      <c r="DU342" t="n">
        <v>25</v>
      </c>
      <c r="DV342" t="n">
        <v>13</v>
      </c>
      <c r="DW342" t="n">
        <v>93</v>
      </c>
      <c r="DX342" t="n">
        <v>46</v>
      </c>
      <c r="DY342" t="n">
        <v>9</v>
      </c>
      <c r="DZ342" t="n">
        <v>50</v>
      </c>
      <c r="EA342" t="n">
        <v>20</v>
      </c>
      <c r="EB342" t="n">
        <v>2</v>
      </c>
      <c r="EC342" t="n">
        <v>6</v>
      </c>
      <c r="ED342" t="n">
        <v>105</v>
      </c>
      <c r="EE342" t="n">
        <v>17</v>
      </c>
      <c r="EF342" t="n">
        <v>60</v>
      </c>
      <c r="EG342" t="n">
        <v>16</v>
      </c>
      <c r="EH342" t="n">
        <v>37</v>
      </c>
      <c r="EI342" t="n">
        <v>45</v>
      </c>
      <c r="EJ342" t="n">
        <v>53</v>
      </c>
      <c r="EK342" t="n">
        <v>19</v>
      </c>
      <c r="EL342" t="n">
        <v>1</v>
      </c>
      <c r="EM342" t="n">
        <v>40</v>
      </c>
      <c r="EN342" t="n">
        <v>29</v>
      </c>
      <c r="EO342" t="n">
        <v>3</v>
      </c>
      <c r="EP342" t="n">
        <v>100</v>
      </c>
      <c r="EQ342" t="n">
        <v>10</v>
      </c>
      <c r="ER342" t="n">
        <v>143</v>
      </c>
      <c r="ES342" t="n">
        <v>13</v>
      </c>
      <c r="ET342" t="n">
        <v>46</v>
      </c>
      <c r="EU342" t="n">
        <v>11</v>
      </c>
      <c r="EV342" t="n">
        <v>1</v>
      </c>
      <c r="EW342" t="n">
        <v>56</v>
      </c>
      <c r="EX342" t="n">
        <v>49</v>
      </c>
      <c r="EY342" t="n">
        <v>47</v>
      </c>
      <c r="EZ342" t="n">
        <v>35</v>
      </c>
      <c r="FA342" t="n">
        <v>39</v>
      </c>
      <c r="FB342" t="n">
        <v>28</v>
      </c>
      <c r="FC342" t="n">
        <v>72</v>
      </c>
      <c r="FD342" t="n">
        <v>38</v>
      </c>
      <c r="FE342" t="n">
        <v>235</v>
      </c>
      <c r="FF342" t="n">
        <v>114</v>
      </c>
      <c r="FG342" t="n">
        <v>43</v>
      </c>
      <c r="FH342" t="n">
        <v>69</v>
      </c>
      <c r="FI342" t="n">
        <v>35</v>
      </c>
      <c r="FJ342" t="n">
        <v>21</v>
      </c>
      <c r="FK342" t="n">
        <v>44</v>
      </c>
      <c r="FL342" t="n">
        <v>96</v>
      </c>
      <c r="FM342" t="n">
        <v>21</v>
      </c>
      <c r="FN342" t="n">
        <v>6</v>
      </c>
      <c r="FO342" t="n">
        <v>22</v>
      </c>
      <c r="FP342" t="n">
        <v>81</v>
      </c>
      <c r="FQ342" t="n">
        <v>107</v>
      </c>
      <c r="FR342" t="n">
        <v>35</v>
      </c>
      <c r="FS342" t="n">
        <v>52</v>
      </c>
      <c r="FT342" t="n">
        <v>25</v>
      </c>
      <c r="FU342" t="n">
        <v>50</v>
      </c>
      <c r="FV342" t="n">
        <v>131</v>
      </c>
      <c r="FW342" t="n">
        <v>247</v>
      </c>
      <c r="FX342" t="n">
        <v>205</v>
      </c>
      <c r="FY342" t="n">
        <v>223</v>
      </c>
      <c r="FZ342" t="n">
        <v>79</v>
      </c>
      <c r="GA342" t="n">
        <v>117</v>
      </c>
      <c r="GB342" t="n">
        <v>72</v>
      </c>
      <c r="GC342" t="n">
        <v>97</v>
      </c>
      <c r="GD342" t="n">
        <v>273</v>
      </c>
      <c r="GE342" t="n">
        <v>10</v>
      </c>
      <c r="GF342" t="n">
        <v>90</v>
      </c>
      <c r="GG342" t="n">
        <v>118</v>
      </c>
      <c r="GH342" t="n">
        <v>257</v>
      </c>
      <c r="GI342" t="n">
        <v>84</v>
      </c>
      <c r="GJ342" t="n">
        <v>34</v>
      </c>
      <c r="GK342" t="n">
        <v>46</v>
      </c>
      <c r="GL342" t="n">
        <v>8</v>
      </c>
      <c r="GM342" t="n">
        <v>5</v>
      </c>
      <c r="GN342" t="n">
        <v>3</v>
      </c>
      <c r="GO342" t="n">
        <v>8</v>
      </c>
      <c r="GP342" t="n">
        <v>489</v>
      </c>
      <c r="GQ342" t="n">
        <v>76</v>
      </c>
      <c r="GR342" t="n">
        <v>236</v>
      </c>
      <c r="GS342" t="n">
        <v>60</v>
      </c>
      <c r="GT342" t="n">
        <v>95</v>
      </c>
      <c r="GU342" t="n">
        <v>243</v>
      </c>
      <c r="GV342" t="n">
        <v>57</v>
      </c>
      <c r="GW342" t="n">
        <v>63</v>
      </c>
      <c r="GX342" t="n">
        <v>242</v>
      </c>
      <c r="GY342" t="n">
        <v>34</v>
      </c>
      <c r="GZ342" t="n">
        <v>188</v>
      </c>
      <c r="HA342" t="n">
        <v>302</v>
      </c>
      <c r="HB342" t="n">
        <v>1055</v>
      </c>
      <c r="HC342" t="n">
        <v>98</v>
      </c>
      <c r="HD342" t="n">
        <v>1355</v>
      </c>
      <c r="HE342" t="n">
        <v>168</v>
      </c>
      <c r="HF342" t="n">
        <v>93</v>
      </c>
      <c r="HG342" t="n">
        <v>945</v>
      </c>
      <c r="HH342" t="n">
        <v>158</v>
      </c>
      <c r="HI342" t="n">
        <v>147</v>
      </c>
      <c r="HJ342" t="n">
        <v>131</v>
      </c>
      <c r="HK342" t="n">
        <v>84</v>
      </c>
      <c r="HL342" t="n">
        <v>19</v>
      </c>
      <c r="HM342" t="n">
        <v>62</v>
      </c>
      <c r="HN342" t="n">
        <v>31</v>
      </c>
      <c r="HO342" t="n">
        <v>16</v>
      </c>
      <c r="HP342" t="n">
        <v>19</v>
      </c>
      <c r="HQ342" t="n">
        <v>48</v>
      </c>
      <c r="HR342" t="n">
        <v>31</v>
      </c>
      <c r="HS342" t="n">
        <v>18</v>
      </c>
      <c r="HT342" t="n">
        <v>9</v>
      </c>
      <c r="HU342" t="n">
        <v>110</v>
      </c>
      <c r="HV342" t="n">
        <v>52</v>
      </c>
      <c r="HW342" t="n">
        <v>210</v>
      </c>
      <c r="HX342" t="n">
        <v>73</v>
      </c>
      <c r="HY342" t="n">
        <v>29</v>
      </c>
      <c r="HZ342" t="n">
        <v>25</v>
      </c>
      <c r="IA342" t="n">
        <v>27</v>
      </c>
      <c r="IB342" t="n">
        <v>400</v>
      </c>
      <c r="IC342" t="n">
        <v>15</v>
      </c>
      <c r="ID342" t="n">
        <v>111</v>
      </c>
      <c r="IE342" t="n">
        <v>30</v>
      </c>
      <c r="IF342" t="n">
        <v>25</v>
      </c>
      <c r="IG342" t="n">
        <v>45</v>
      </c>
      <c r="IH342" t="n">
        <v>16</v>
      </c>
      <c r="II342" t="n">
        <v>31</v>
      </c>
      <c r="IJ342" t="n">
        <v>16</v>
      </c>
      <c r="IK342" t="n">
        <v>53</v>
      </c>
      <c r="IL342" t="n">
        <v>147</v>
      </c>
      <c r="IM342" t="n">
        <v>73</v>
      </c>
      <c r="IN342" t="n">
        <v>24</v>
      </c>
      <c r="IO342" t="n">
        <v>158</v>
      </c>
      <c r="IP342" t="n">
        <v>1115</v>
      </c>
      <c r="IQ342" t="n">
        <v>27</v>
      </c>
      <c r="IR342" t="n">
        <v>82</v>
      </c>
      <c r="IS342" t="n">
        <v>22</v>
      </c>
      <c r="IT342" t="n">
        <v>16</v>
      </c>
      <c r="IU342" t="n">
        <v>46</v>
      </c>
      <c r="IV342" t="n">
        <v>50</v>
      </c>
      <c r="IW342" t="n">
        <v>61</v>
      </c>
      <c r="IX342" t="n">
        <v>448</v>
      </c>
      <c r="IY342" t="n">
        <v>6</v>
      </c>
      <c r="IZ342" t="n">
        <v>114</v>
      </c>
      <c r="JA342" t="n">
        <v>98</v>
      </c>
      <c r="JB342" t="n">
        <v>67</v>
      </c>
      <c r="JC342" t="n">
        <v>28</v>
      </c>
      <c r="JD342" t="n">
        <v>24</v>
      </c>
      <c r="JE342" t="n">
        <v>30</v>
      </c>
      <c r="JF342" t="n">
        <v>24</v>
      </c>
      <c r="JG342" t="n">
        <v>496</v>
      </c>
      <c r="JH342" t="n">
        <v>70</v>
      </c>
      <c r="JI342" t="n">
        <v>20</v>
      </c>
      <c r="JJ342" t="n">
        <v>88</v>
      </c>
      <c r="JK342" t="n">
        <v>6673</v>
      </c>
      <c r="JL342" t="n">
        <v>5183</v>
      </c>
      <c r="JM342" t="n">
        <v>7697</v>
      </c>
      <c r="JN342" t="n">
        <v>2367</v>
      </c>
      <c r="JO342" t="n">
        <v>8286</v>
      </c>
      <c r="JP342" t="n">
        <v>9888</v>
      </c>
      <c r="JQ342" t="n">
        <v>2418</v>
      </c>
      <c r="JR342" t="n">
        <v>666</v>
      </c>
      <c r="JS342" t="n">
        <v>10987</v>
      </c>
      <c r="JT342" t="n">
        <v>1550</v>
      </c>
      <c r="JV342" t="n">
        <v>18255</v>
      </c>
      <c r="JW342" t="n">
        <v>5316</v>
      </c>
      <c r="JX342" t="n">
        <v>2631</v>
      </c>
      <c r="JY342" t="n">
        <v>3128</v>
      </c>
      <c r="JZ342" t="n">
        <v>2332</v>
      </c>
      <c r="KA342" t="n">
        <v>895</v>
      </c>
      <c r="KB342" t="n">
        <v>4344</v>
      </c>
      <c r="KC342" t="n">
        <v>19526</v>
      </c>
      <c r="KD342" t="n">
        <v>7131</v>
      </c>
      <c r="KE342" t="n">
        <v>1158</v>
      </c>
      <c r="KF342" t="n">
        <v>161</v>
      </c>
      <c r="KG342" t="n">
        <v>1108</v>
      </c>
      <c r="KH342" t="n">
        <v>670</v>
      </c>
      <c r="KI342" t="n">
        <v>425</v>
      </c>
      <c r="KJ342" t="n">
        <v>6</v>
      </c>
      <c r="KK342" t="n">
        <v>354</v>
      </c>
      <c r="KL342" t="n">
        <v>228</v>
      </c>
      <c r="KM342" t="n">
        <v>572</v>
      </c>
      <c r="KN342" t="n">
        <v>173</v>
      </c>
      <c r="KO342" t="n">
        <v>643</v>
      </c>
      <c r="KP342" t="n">
        <v>783</v>
      </c>
      <c r="KQ342" t="n">
        <v>219</v>
      </c>
      <c r="KR342" t="n">
        <v>8697</v>
      </c>
      <c r="KS342" t="n">
        <v>2735</v>
      </c>
      <c r="KT342" t="n">
        <v>345</v>
      </c>
      <c r="KU342" t="n">
        <v>1706</v>
      </c>
      <c r="KV342" t="n">
        <v>3383</v>
      </c>
      <c r="KW342" t="n">
        <v>6195</v>
      </c>
      <c r="KX342" t="n">
        <v>6764</v>
      </c>
      <c r="KY342" t="n">
        <v>1068</v>
      </c>
      <c r="KZ342" t="n">
        <v>6087</v>
      </c>
      <c r="LA342" t="n">
        <v>13217</v>
      </c>
      <c r="LB342" t="n">
        <v>1</v>
      </c>
      <c r="LC342" t="n">
        <v>24106</v>
      </c>
      <c r="LD342" t="n">
        <v>5276</v>
      </c>
      <c r="LE342" t="n">
        <v>1979</v>
      </c>
      <c r="LF342" t="n">
        <v>2324</v>
      </c>
      <c r="LG342" t="n">
        <v>2128</v>
      </c>
      <c r="LH342" t="n">
        <v>12646</v>
      </c>
      <c r="LI342" t="n">
        <v>1273</v>
      </c>
      <c r="LJ342" t="n">
        <v>118</v>
      </c>
      <c r="LL342" t="n">
        <v>26</v>
      </c>
      <c r="LM342" t="n">
        <v>10530</v>
      </c>
      <c r="LN342" t="n">
        <v>804</v>
      </c>
      <c r="LO342" t="n">
        <v>83</v>
      </c>
      <c r="LP342" t="n">
        <v>408</v>
      </c>
      <c r="LQ342" t="n">
        <v>2401</v>
      </c>
      <c r="LR342" t="n">
        <v>5968</v>
      </c>
      <c r="LS342" t="n">
        <v>911</v>
      </c>
      <c r="LT342" t="n">
        <v>3864</v>
      </c>
      <c r="LU342" t="n">
        <v>334</v>
      </c>
      <c r="LV342" t="n">
        <v>903</v>
      </c>
      <c r="LW342" t="n">
        <v>1032</v>
      </c>
      <c r="LX342" t="n">
        <v>5052</v>
      </c>
      <c r="LY342" t="n">
        <v>294</v>
      </c>
      <c r="LZ342" t="n">
        <v>8751</v>
      </c>
      <c r="MA342" t="n">
        <v>2383</v>
      </c>
      <c r="MB342" t="n">
        <v>345</v>
      </c>
      <c r="MC342" t="n">
        <v>201</v>
      </c>
      <c r="MD342" t="n">
        <v>175</v>
      </c>
      <c r="ME342" t="n">
        <v>1211</v>
      </c>
      <c r="MF342" t="n">
        <v>15287</v>
      </c>
      <c r="MG342" t="n">
        <v>4548</v>
      </c>
      <c r="MH342" t="n">
        <v>3366</v>
      </c>
      <c r="MI342" t="n">
        <v>686</v>
      </c>
      <c r="MJ342" t="n">
        <v>125</v>
      </c>
      <c r="MK342" t="n">
        <v>1169</v>
      </c>
      <c r="ML342" t="n">
        <v>8411</v>
      </c>
      <c r="MM342" t="n">
        <v>1457</v>
      </c>
      <c r="MN342" t="n">
        <v>990</v>
      </c>
      <c r="MO342" t="n">
        <v>540</v>
      </c>
      <c r="MP342" t="n">
        <v>4</v>
      </c>
      <c r="MQ342" t="n">
        <v>557</v>
      </c>
      <c r="MR342" t="n">
        <v>2808</v>
      </c>
      <c r="MS342" t="n">
        <v>1900</v>
      </c>
      <c r="MT342" t="n">
        <v>968</v>
      </c>
      <c r="MU342" t="n">
        <v>916</v>
      </c>
      <c r="MV342" t="n">
        <v>603</v>
      </c>
      <c r="MW342" t="n">
        <v>57</v>
      </c>
      <c r="MX342" t="n">
        <v>309</v>
      </c>
      <c r="MY342" t="n">
        <v>206</v>
      </c>
      <c r="MZ342" t="n">
        <v>3456</v>
      </c>
      <c r="NA342" t="n">
        <v>752</v>
      </c>
      <c r="NB342" t="n">
        <v>247</v>
      </c>
      <c r="NC342" t="n">
        <v>213</v>
      </c>
      <c r="ND342" t="n">
        <v>257</v>
      </c>
      <c r="NE342" t="n">
        <v>179</v>
      </c>
      <c r="NF342" t="n">
        <v>633</v>
      </c>
      <c r="NG342" t="n">
        <v>441</v>
      </c>
      <c r="NH342" t="n">
        <v>295</v>
      </c>
      <c r="NI342" t="n">
        <v>905</v>
      </c>
      <c r="NJ342" t="n">
        <v>425</v>
      </c>
      <c r="NK342" t="n">
        <v>715</v>
      </c>
      <c r="NL342" t="n">
        <v>1705</v>
      </c>
      <c r="NM342" t="n">
        <v>1396</v>
      </c>
      <c r="NN342" t="n">
        <v>5856</v>
      </c>
      <c r="NO342" t="n">
        <v>4787</v>
      </c>
      <c r="NP342" t="n">
        <v>9203</v>
      </c>
      <c r="NQ342" t="n">
        <v>544</v>
      </c>
      <c r="NR342" t="n">
        <v>1005</v>
      </c>
      <c r="NS342" t="n">
        <v>123</v>
      </c>
      <c r="NT342" t="n">
        <v>134</v>
      </c>
      <c r="NU342" t="n">
        <v>445</v>
      </c>
      <c r="NV342" t="n">
        <v>1931</v>
      </c>
      <c r="NW342" t="n">
        <v>72</v>
      </c>
      <c r="NX342" t="n">
        <v>87</v>
      </c>
      <c r="NY342" t="n">
        <v>3577</v>
      </c>
      <c r="NZ342" t="n">
        <v>109</v>
      </c>
      <c r="OA342" t="n">
        <v>703</v>
      </c>
      <c r="OB342" t="n">
        <v>1502</v>
      </c>
      <c r="OD342" t="n">
        <v>342</v>
      </c>
      <c r="OE342" t="n">
        <v>458</v>
      </c>
      <c r="OG342" t="n">
        <v>24</v>
      </c>
      <c r="OH342" t="n">
        <v>174</v>
      </c>
      <c r="OI342" t="n">
        <v>898</v>
      </c>
      <c r="OJ342" t="n">
        <v>1707</v>
      </c>
      <c r="OK342" t="n">
        <v>2679</v>
      </c>
      <c r="OL342" t="n">
        <v>15</v>
      </c>
      <c r="OM342" t="n">
        <v>58</v>
      </c>
      <c r="ON342" t="n">
        <v>1098</v>
      </c>
      <c r="OO342" t="n">
        <v>391922</v>
      </c>
      <c r="OP342" t="n">
        <v>766</v>
      </c>
      <c r="OV342" t="n">
        <v>20441</v>
      </c>
      <c r="PI342" t="n">
        <v>413130</v>
      </c>
      <c r="PM342">
        <f>IFERROR(VLOOKUP($A342&amp;"",Key!$A:$C,3,FALSE),"")</f>
        <v/>
      </c>
    </row>
    <row r="343">
      <c r="A343" t="n">
        <v>541400</v>
      </c>
      <c r="B343" t="inlineStr">
        <is>
          <t>Specialized design services</t>
        </is>
      </c>
      <c r="P343" t="n">
        <v>12</v>
      </c>
      <c r="Q343" t="n">
        <v>4</v>
      </c>
      <c r="S343" t="n">
        <v>0</v>
      </c>
      <c r="T343" t="n">
        <v>1</v>
      </c>
      <c r="U343" t="n">
        <v>1</v>
      </c>
      <c r="V343" t="n">
        <v>1</v>
      </c>
      <c r="W343" t="n">
        <v>29</v>
      </c>
      <c r="X343" t="n">
        <v>201</v>
      </c>
      <c r="Y343" t="n">
        <v>30</v>
      </c>
      <c r="Z343" t="n">
        <v>2</v>
      </c>
      <c r="AA343" t="n">
        <v>7</v>
      </c>
      <c r="AC343" t="n">
        <v>7</v>
      </c>
      <c r="AD343" t="n">
        <v>1</v>
      </c>
      <c r="AE343" t="n">
        <v>74</v>
      </c>
      <c r="AF343" t="n">
        <v>41</v>
      </c>
      <c r="AG343" t="n">
        <v>6</v>
      </c>
      <c r="AH343" t="n">
        <v>30</v>
      </c>
      <c r="AI343" t="n">
        <v>40</v>
      </c>
      <c r="AJ343" t="n">
        <v>38</v>
      </c>
      <c r="AK343" t="n">
        <v>1</v>
      </c>
      <c r="AL343" t="n">
        <v>20</v>
      </c>
      <c r="AM343" t="n">
        <v>2</v>
      </c>
      <c r="AN343" t="n">
        <v>2</v>
      </c>
      <c r="AO343" t="n">
        <v>15</v>
      </c>
      <c r="AP343" t="n">
        <v>12</v>
      </c>
      <c r="AQ343" t="n">
        <v>2</v>
      </c>
      <c r="AR343" t="n">
        <v>21</v>
      </c>
      <c r="AS343" t="n">
        <v>6</v>
      </c>
      <c r="AT343" t="n">
        <v>6</v>
      </c>
      <c r="AU343" t="n">
        <v>0</v>
      </c>
      <c r="AV343" t="n">
        <v>30</v>
      </c>
      <c r="AW343" t="n">
        <v>1</v>
      </c>
      <c r="AX343" t="n">
        <v>2</v>
      </c>
      <c r="AY343" t="n">
        <v>5</v>
      </c>
      <c r="AZ343" t="n">
        <v>0</v>
      </c>
      <c r="BA343" t="n">
        <v>3</v>
      </c>
      <c r="BB343" t="n">
        <v>1</v>
      </c>
      <c r="BC343" t="n">
        <v>43</v>
      </c>
      <c r="BD343" t="n">
        <v>15</v>
      </c>
      <c r="BE343" t="n">
        <v>1</v>
      </c>
      <c r="BF343" t="n">
        <v>0</v>
      </c>
      <c r="BG343" t="n">
        <v>4</v>
      </c>
      <c r="BH343" t="n">
        <v>8</v>
      </c>
      <c r="BI343" t="n">
        <v>6</v>
      </c>
      <c r="BJ343" t="n">
        <v>10</v>
      </c>
      <c r="BK343" t="n">
        <v>9</v>
      </c>
      <c r="BL343" t="n">
        <v>10</v>
      </c>
      <c r="BM343" t="n">
        <v>4</v>
      </c>
      <c r="BN343" t="n">
        <v>10</v>
      </c>
      <c r="BO343" t="n">
        <v>2</v>
      </c>
      <c r="BP343" t="n">
        <v>14</v>
      </c>
      <c r="BQ343" t="n">
        <v>76</v>
      </c>
      <c r="BR343" t="n">
        <v>49</v>
      </c>
      <c r="BS343" t="n">
        <v>7</v>
      </c>
      <c r="BT343" t="n">
        <v>8</v>
      </c>
      <c r="BU343" t="n">
        <v>4</v>
      </c>
      <c r="BV343" t="n">
        <v>22</v>
      </c>
      <c r="BW343" t="n">
        <v>11</v>
      </c>
      <c r="BX343" t="n">
        <v>41</v>
      </c>
      <c r="BY343" t="n">
        <v>31</v>
      </c>
      <c r="BZ343" t="n">
        <v>4</v>
      </c>
      <c r="CA343" t="n">
        <v>3</v>
      </c>
      <c r="CB343" t="n">
        <v>20</v>
      </c>
      <c r="CC343" t="n">
        <v>2</v>
      </c>
      <c r="CD343" t="n">
        <v>5</v>
      </c>
      <c r="CE343" t="n">
        <v>23</v>
      </c>
      <c r="CF343" t="n">
        <v>16</v>
      </c>
      <c r="CG343" t="n">
        <v>31</v>
      </c>
      <c r="CH343" t="n">
        <v>4</v>
      </c>
      <c r="CI343" t="n">
        <v>11</v>
      </c>
      <c r="CJ343" t="n">
        <v>21</v>
      </c>
      <c r="CL343" t="n">
        <v>36</v>
      </c>
      <c r="CM343" t="n">
        <v>7</v>
      </c>
      <c r="CO343" t="n">
        <v>3</v>
      </c>
      <c r="CP343" t="n">
        <v>1</v>
      </c>
      <c r="CQ343" t="n">
        <v>1</v>
      </c>
      <c r="CS343" t="n">
        <v>0</v>
      </c>
      <c r="CU343" t="n">
        <v>2</v>
      </c>
      <c r="CV343" t="n">
        <v>4</v>
      </c>
      <c r="CW343" t="n">
        <v>9</v>
      </c>
      <c r="CX343" t="n">
        <v>2</v>
      </c>
      <c r="CZ343" t="n">
        <v>9</v>
      </c>
      <c r="DA343" t="n">
        <v>3</v>
      </c>
      <c r="DB343" t="n">
        <v>2</v>
      </c>
      <c r="DC343" t="n">
        <v>32</v>
      </c>
      <c r="DD343" t="n">
        <v>0</v>
      </c>
      <c r="DE343" t="n">
        <v>0</v>
      </c>
      <c r="DG343" t="n">
        <v>18</v>
      </c>
      <c r="DH343" t="n">
        <v>1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1</v>
      </c>
      <c r="DQ343" t="n">
        <v>1</v>
      </c>
      <c r="DR343" t="n">
        <v>48</v>
      </c>
      <c r="DS343" t="n">
        <v>6</v>
      </c>
      <c r="DT343" t="n">
        <v>1</v>
      </c>
      <c r="DU343" t="n">
        <v>1</v>
      </c>
      <c r="DV343" t="n">
        <v>2</v>
      </c>
      <c r="DW343" t="n">
        <v>2</v>
      </c>
      <c r="DX343" t="n">
        <v>1</v>
      </c>
      <c r="DY343" t="n">
        <v>2</v>
      </c>
      <c r="DZ343" t="n">
        <v>1</v>
      </c>
      <c r="EA343" t="n">
        <v>1</v>
      </c>
      <c r="EB343" t="n">
        <v>0</v>
      </c>
      <c r="EC343" t="n">
        <v>2</v>
      </c>
      <c r="ED343" t="n">
        <v>51</v>
      </c>
      <c r="EE343" t="n">
        <v>2</v>
      </c>
      <c r="EF343" t="n">
        <v>7</v>
      </c>
      <c r="EG343" t="n">
        <v>2</v>
      </c>
      <c r="EK343" t="n">
        <v>2</v>
      </c>
      <c r="EL343" t="n">
        <v>2</v>
      </c>
      <c r="EM343" t="n">
        <v>2</v>
      </c>
      <c r="EN343" t="n">
        <v>3</v>
      </c>
      <c r="EO343" t="n">
        <v>0</v>
      </c>
      <c r="EP343" t="n">
        <v>14</v>
      </c>
      <c r="EQ343" t="n">
        <v>1</v>
      </c>
      <c r="ER343" t="n">
        <v>16</v>
      </c>
      <c r="ES343" t="n">
        <v>1</v>
      </c>
      <c r="ET343" t="n">
        <v>47</v>
      </c>
      <c r="EU343" t="n">
        <v>3</v>
      </c>
      <c r="EV343" t="n">
        <v>0</v>
      </c>
      <c r="EW343" t="n">
        <v>15</v>
      </c>
      <c r="EX343" t="n">
        <v>1</v>
      </c>
      <c r="EY343" t="n">
        <v>27</v>
      </c>
      <c r="EZ343" t="n">
        <v>3</v>
      </c>
      <c r="FA343" t="n">
        <v>34</v>
      </c>
      <c r="FB343" t="n">
        <v>20</v>
      </c>
      <c r="FC343" t="n">
        <v>12</v>
      </c>
      <c r="FD343" t="n">
        <v>24</v>
      </c>
      <c r="FE343" t="n">
        <v>65</v>
      </c>
      <c r="FF343" t="n">
        <v>60</v>
      </c>
      <c r="FG343" t="n">
        <v>17</v>
      </c>
      <c r="FH343" t="n">
        <v>14</v>
      </c>
      <c r="FI343" t="n">
        <v>14</v>
      </c>
      <c r="FJ343" t="n">
        <v>1</v>
      </c>
      <c r="FK343" t="n">
        <v>379</v>
      </c>
      <c r="FL343" t="n">
        <v>4</v>
      </c>
      <c r="FM343" t="n">
        <v>11</v>
      </c>
      <c r="FN343" t="n">
        <v>2</v>
      </c>
      <c r="FP343" t="n">
        <v>2</v>
      </c>
      <c r="FQ343" t="n">
        <v>52</v>
      </c>
      <c r="FR343" t="n">
        <v>12</v>
      </c>
      <c r="FS343" t="n">
        <v>1</v>
      </c>
      <c r="FT343" t="n">
        <v>28</v>
      </c>
      <c r="FU343" t="n">
        <v>0</v>
      </c>
      <c r="FV343" t="n">
        <v>109</v>
      </c>
      <c r="FW343" t="n">
        <v>0</v>
      </c>
      <c r="FX343" t="n">
        <v>87</v>
      </c>
      <c r="FY343" t="n">
        <v>4</v>
      </c>
      <c r="FZ343" t="n">
        <v>0</v>
      </c>
      <c r="GB343" t="n">
        <v>4</v>
      </c>
      <c r="GC343" t="n">
        <v>10</v>
      </c>
      <c r="GD343" t="n">
        <v>31</v>
      </c>
      <c r="GE343" t="n">
        <v>2</v>
      </c>
      <c r="GF343" t="n">
        <v>1</v>
      </c>
      <c r="GG343" t="n">
        <v>1</v>
      </c>
      <c r="GH343" t="n">
        <v>16</v>
      </c>
      <c r="GI343" t="n">
        <v>25</v>
      </c>
      <c r="GJ343" t="n">
        <v>12</v>
      </c>
      <c r="GK343" t="n">
        <v>1</v>
      </c>
      <c r="GL343" t="n">
        <v>4</v>
      </c>
      <c r="GM343" t="n">
        <v>2</v>
      </c>
      <c r="GN343" t="n">
        <v>2</v>
      </c>
      <c r="GO343" t="n">
        <v>2</v>
      </c>
      <c r="GP343" t="n">
        <v>19</v>
      </c>
      <c r="GQ343" t="n">
        <v>20</v>
      </c>
      <c r="GR343" t="n">
        <v>1</v>
      </c>
      <c r="GS343" t="n">
        <v>17</v>
      </c>
      <c r="GT343" t="n">
        <v>20</v>
      </c>
      <c r="GU343" t="n">
        <v>19</v>
      </c>
      <c r="GW343" t="n">
        <v>2</v>
      </c>
      <c r="GX343" t="n">
        <v>20</v>
      </c>
      <c r="GY343" t="n">
        <v>0</v>
      </c>
      <c r="GZ343" t="n">
        <v>46</v>
      </c>
      <c r="HA343" t="n">
        <v>21</v>
      </c>
      <c r="HB343" t="n">
        <v>26</v>
      </c>
      <c r="HC343" t="n">
        <v>4</v>
      </c>
      <c r="HD343" t="n">
        <v>0</v>
      </c>
      <c r="HE343" t="n">
        <v>12</v>
      </c>
      <c r="HF343" t="n">
        <v>23</v>
      </c>
      <c r="HG343" t="n">
        <v>22</v>
      </c>
      <c r="HH343" t="n">
        <v>1</v>
      </c>
      <c r="HI343" t="n">
        <v>5</v>
      </c>
      <c r="HK343" t="n">
        <v>1</v>
      </c>
      <c r="HL343" t="n">
        <v>0</v>
      </c>
      <c r="HM343" t="n">
        <v>3</v>
      </c>
      <c r="HN343" t="n">
        <v>3</v>
      </c>
      <c r="HP343" t="n">
        <v>4</v>
      </c>
      <c r="HQ343" t="n">
        <v>4</v>
      </c>
      <c r="HR343" t="n">
        <v>4</v>
      </c>
      <c r="HS343" t="n">
        <v>1</v>
      </c>
      <c r="HT343" t="n">
        <v>22</v>
      </c>
      <c r="HU343" t="n">
        <v>68</v>
      </c>
      <c r="HV343" t="n">
        <v>79</v>
      </c>
      <c r="HW343" t="n">
        <v>61</v>
      </c>
      <c r="HX343" t="n">
        <v>17</v>
      </c>
      <c r="HY343" t="n">
        <v>4</v>
      </c>
      <c r="HZ343" t="n">
        <v>11</v>
      </c>
      <c r="IA343" t="n">
        <v>5</v>
      </c>
      <c r="IB343" t="n">
        <v>190</v>
      </c>
      <c r="IC343" t="n">
        <v>7</v>
      </c>
      <c r="ID343" t="n">
        <v>366</v>
      </c>
      <c r="IF343" t="n">
        <v>1</v>
      </c>
      <c r="IG343" t="n">
        <v>12</v>
      </c>
      <c r="IH343" t="n">
        <v>9</v>
      </c>
      <c r="IJ343" t="n">
        <v>12</v>
      </c>
      <c r="IK343" t="n">
        <v>24</v>
      </c>
      <c r="IL343" t="n">
        <v>31</v>
      </c>
      <c r="IM343" t="n">
        <v>38</v>
      </c>
      <c r="IN343" t="n">
        <v>32</v>
      </c>
      <c r="IP343" t="n">
        <v>5</v>
      </c>
      <c r="IQ343" t="n">
        <v>0</v>
      </c>
      <c r="IR343" t="n">
        <v>0</v>
      </c>
      <c r="IS343" t="n">
        <v>17</v>
      </c>
      <c r="IT343" t="n">
        <v>2</v>
      </c>
      <c r="IV343" t="n">
        <v>14</v>
      </c>
      <c r="IW343" t="n">
        <v>9</v>
      </c>
      <c r="IX343" t="n">
        <v>45</v>
      </c>
      <c r="IY343" t="n">
        <v>2</v>
      </c>
      <c r="IZ343" t="n">
        <v>4</v>
      </c>
      <c r="JA343" t="n">
        <v>31</v>
      </c>
      <c r="JB343" t="n">
        <v>28</v>
      </c>
      <c r="JC343" t="n">
        <v>6</v>
      </c>
      <c r="JD343" t="n">
        <v>4</v>
      </c>
      <c r="JE343" t="n">
        <v>12</v>
      </c>
      <c r="JF343" t="n">
        <v>2</v>
      </c>
      <c r="JG343" t="n">
        <v>89</v>
      </c>
      <c r="JH343" t="n">
        <v>6</v>
      </c>
      <c r="JI343" t="n">
        <v>9</v>
      </c>
      <c r="JJ343" t="n">
        <v>16</v>
      </c>
      <c r="JL343" t="n">
        <v>542</v>
      </c>
      <c r="JM343" t="n">
        <v>600</v>
      </c>
      <c r="JN343" t="n">
        <v>477</v>
      </c>
      <c r="JO343" t="n">
        <v>596</v>
      </c>
      <c r="JP343" t="n">
        <v>577</v>
      </c>
      <c r="JQ343" t="n">
        <v>623</v>
      </c>
      <c r="JR343" t="n">
        <v>594</v>
      </c>
      <c r="JS343" t="n">
        <v>914</v>
      </c>
      <c r="JT343" t="n">
        <v>135</v>
      </c>
      <c r="JV343" t="n">
        <v>179</v>
      </c>
      <c r="JW343" t="n">
        <v>463</v>
      </c>
      <c r="JX343" t="n">
        <v>422</v>
      </c>
      <c r="JY343" t="n">
        <v>187</v>
      </c>
      <c r="JZ343" t="n">
        <v>77</v>
      </c>
      <c r="KA343" t="n">
        <v>154</v>
      </c>
      <c r="KB343" t="n">
        <v>27</v>
      </c>
      <c r="KC343" t="n">
        <v>299</v>
      </c>
      <c r="KD343" t="n">
        <v>51</v>
      </c>
      <c r="KE343" t="n">
        <v>8</v>
      </c>
      <c r="KF343" t="n">
        <v>23</v>
      </c>
      <c r="KH343" t="n">
        <v>54</v>
      </c>
      <c r="KI343" t="n">
        <v>1</v>
      </c>
      <c r="KJ343" t="n">
        <v>0</v>
      </c>
      <c r="KK343" t="n">
        <v>117</v>
      </c>
      <c r="KL343" t="n">
        <v>1</v>
      </c>
      <c r="KM343" t="n">
        <v>29</v>
      </c>
      <c r="KN343" t="n">
        <v>4</v>
      </c>
      <c r="KO343" t="n">
        <v>9</v>
      </c>
      <c r="KP343" t="n">
        <v>12</v>
      </c>
      <c r="KQ343" t="n">
        <v>12</v>
      </c>
      <c r="KR343" t="n">
        <v>12</v>
      </c>
      <c r="KS343" t="n">
        <v>10</v>
      </c>
      <c r="KT343" t="n">
        <v>2</v>
      </c>
      <c r="KU343" t="n">
        <v>5</v>
      </c>
      <c r="KV343" t="n">
        <v>18</v>
      </c>
      <c r="KW343" t="n">
        <v>117</v>
      </c>
      <c r="KX343" t="n">
        <v>724</v>
      </c>
      <c r="KY343" t="n">
        <v>33</v>
      </c>
      <c r="KZ343" t="n">
        <v>83</v>
      </c>
      <c r="LA343" t="n">
        <v>29</v>
      </c>
      <c r="LB343" t="n">
        <v>0</v>
      </c>
      <c r="LC343" t="n">
        <v>911</v>
      </c>
      <c r="LD343" t="n">
        <v>1069</v>
      </c>
      <c r="LE343" t="n">
        <v>764</v>
      </c>
      <c r="LF343" t="n">
        <v>264</v>
      </c>
      <c r="LG343" t="n">
        <v>89</v>
      </c>
      <c r="LH343" t="n">
        <v>1305</v>
      </c>
      <c r="LJ343" t="n">
        <v>95</v>
      </c>
      <c r="LK343" t="n">
        <v>1</v>
      </c>
      <c r="LL343" t="n">
        <v>0</v>
      </c>
      <c r="LM343" t="n">
        <v>754</v>
      </c>
      <c r="LN343" t="n">
        <v>18</v>
      </c>
      <c r="LO343" t="n">
        <v>128</v>
      </c>
      <c r="LP343" t="n">
        <v>5</v>
      </c>
      <c r="LQ343" t="n">
        <v>44</v>
      </c>
      <c r="LR343" t="n">
        <v>59</v>
      </c>
      <c r="LS343" t="n">
        <v>11</v>
      </c>
      <c r="LT343" t="n">
        <v>1886</v>
      </c>
      <c r="LU343" t="n">
        <v>7</v>
      </c>
      <c r="LV343" t="n">
        <v>313</v>
      </c>
      <c r="LW343" t="n">
        <v>1541</v>
      </c>
      <c r="LX343" t="n">
        <v>698</v>
      </c>
      <c r="LY343" t="n">
        <v>49</v>
      </c>
      <c r="LZ343" t="n">
        <v>68</v>
      </c>
      <c r="MA343" t="n">
        <v>1357</v>
      </c>
      <c r="MB343" t="n">
        <v>244</v>
      </c>
      <c r="MC343" t="n">
        <v>56</v>
      </c>
      <c r="MD343" t="n">
        <v>7</v>
      </c>
      <c r="ME343" t="n">
        <v>219</v>
      </c>
      <c r="MF343" t="n">
        <v>3</v>
      </c>
      <c r="MG343" t="n">
        <v>287</v>
      </c>
      <c r="MH343" t="n">
        <v>34</v>
      </c>
      <c r="MI343" t="n">
        <v>9</v>
      </c>
      <c r="MJ343" t="n">
        <v>7</v>
      </c>
      <c r="MK343" t="n">
        <v>24</v>
      </c>
      <c r="ML343" t="n">
        <v>11</v>
      </c>
      <c r="MM343" t="n">
        <v>15</v>
      </c>
      <c r="MN343" t="n">
        <v>19</v>
      </c>
      <c r="MO343" t="n">
        <v>24</v>
      </c>
      <c r="MP343" t="n">
        <v>25</v>
      </c>
      <c r="MQ343" t="n">
        <v>22</v>
      </c>
      <c r="MR343" t="n">
        <v>5</v>
      </c>
      <c r="MS343" t="n">
        <v>698</v>
      </c>
      <c r="MT343" t="n">
        <v>16</v>
      </c>
      <c r="MU343" t="n">
        <v>9</v>
      </c>
      <c r="MV343" t="n">
        <v>18</v>
      </c>
      <c r="MW343" t="n">
        <v>8</v>
      </c>
      <c r="MX343" t="n">
        <v>21</v>
      </c>
      <c r="MY343" t="n">
        <v>10</v>
      </c>
      <c r="MZ343" t="n">
        <v>27</v>
      </c>
      <c r="NA343" t="n">
        <v>23</v>
      </c>
      <c r="NB343" t="n">
        <v>4</v>
      </c>
      <c r="NC343" t="n">
        <v>10</v>
      </c>
      <c r="ND343" t="n">
        <v>3</v>
      </c>
      <c r="NE343" t="n">
        <v>10</v>
      </c>
      <c r="NF343" t="n">
        <v>1</v>
      </c>
      <c r="NG343" t="n">
        <v>4</v>
      </c>
      <c r="NI343" t="n">
        <v>8</v>
      </c>
      <c r="NK343" t="n">
        <v>1</v>
      </c>
      <c r="NL343" t="n">
        <v>14</v>
      </c>
      <c r="NM343" t="n">
        <v>42</v>
      </c>
      <c r="NN343" t="n">
        <v>18</v>
      </c>
      <c r="NO343" t="n">
        <v>75</v>
      </c>
      <c r="NP343" t="n">
        <v>108</v>
      </c>
      <c r="NQ343" t="n">
        <v>20</v>
      </c>
      <c r="NR343" t="n">
        <v>2</v>
      </c>
      <c r="NS343" t="n">
        <v>0</v>
      </c>
      <c r="NT343" t="n">
        <v>2</v>
      </c>
      <c r="NV343" t="n">
        <v>4</v>
      </c>
      <c r="NW343" t="n">
        <v>0</v>
      </c>
      <c r="NX343" t="n">
        <v>4</v>
      </c>
      <c r="NY343" t="n">
        <v>2</v>
      </c>
      <c r="NZ343" t="n">
        <v>29</v>
      </c>
      <c r="OA343" t="n">
        <v>4</v>
      </c>
      <c r="OB343" t="n">
        <v>40</v>
      </c>
      <c r="OD343" t="n">
        <v>0</v>
      </c>
      <c r="OE343" t="n">
        <v>0</v>
      </c>
      <c r="OF343" t="n">
        <v>1</v>
      </c>
      <c r="OG343" t="n">
        <v>11</v>
      </c>
      <c r="OH343" t="n">
        <v>32</v>
      </c>
      <c r="OI343" t="n">
        <v>123</v>
      </c>
      <c r="OJ343" t="n">
        <v>202</v>
      </c>
      <c r="OK343" t="n">
        <v>2159</v>
      </c>
      <c r="OL343" t="n">
        <v>84</v>
      </c>
      <c r="OM343" t="n">
        <v>3</v>
      </c>
      <c r="ON343" t="n">
        <v>1464</v>
      </c>
      <c r="OO343" t="n">
        <v>30211</v>
      </c>
      <c r="OP343" t="n">
        <v>7558</v>
      </c>
      <c r="OV343" t="n">
        <v>176</v>
      </c>
      <c r="PI343" t="n">
        <v>37945</v>
      </c>
      <c r="PM343">
        <f>IFERROR(VLOOKUP($A343&amp;"",Key!$A:$C,3,FALSE),"")</f>
        <v/>
      </c>
    </row>
    <row r="344">
      <c r="A344" t="n">
        <v>541920</v>
      </c>
      <c r="B344" t="inlineStr">
        <is>
          <t>Photographic services</t>
        </is>
      </c>
      <c r="JK344" t="n">
        <v>58</v>
      </c>
      <c r="JL344" t="n">
        <v>70</v>
      </c>
      <c r="JM344" t="n">
        <v>66</v>
      </c>
      <c r="JN344" t="n">
        <v>44</v>
      </c>
      <c r="JO344" t="n">
        <v>85</v>
      </c>
      <c r="JP344" t="n">
        <v>3</v>
      </c>
      <c r="JQ344" t="n">
        <v>206</v>
      </c>
      <c r="JS344" t="n">
        <v>74</v>
      </c>
      <c r="JV344" t="n">
        <v>11</v>
      </c>
      <c r="JW344" t="n">
        <v>7</v>
      </c>
      <c r="JY344" t="n">
        <v>11</v>
      </c>
      <c r="JZ344" t="n">
        <v>33</v>
      </c>
      <c r="KD344" t="n">
        <v>4</v>
      </c>
      <c r="KF344" t="n">
        <v>0</v>
      </c>
      <c r="KQ344" t="n">
        <v>1</v>
      </c>
      <c r="LL344" t="n">
        <v>0</v>
      </c>
      <c r="LM344" t="n">
        <v>79</v>
      </c>
      <c r="LO344" t="n">
        <v>31</v>
      </c>
      <c r="LP344" t="n">
        <v>0</v>
      </c>
      <c r="LR344" t="n">
        <v>136</v>
      </c>
      <c r="LS344" t="n">
        <v>75</v>
      </c>
      <c r="LT344" t="n">
        <v>111</v>
      </c>
      <c r="LU344" t="n">
        <v>16</v>
      </c>
      <c r="LV344" t="n">
        <v>148</v>
      </c>
      <c r="LW344" t="n">
        <v>143</v>
      </c>
      <c r="LX344" t="n">
        <v>263</v>
      </c>
      <c r="LY344" t="n">
        <v>78</v>
      </c>
      <c r="LZ344" t="n">
        <v>70</v>
      </c>
      <c r="MA344" t="n">
        <v>1277</v>
      </c>
      <c r="MB344" t="n">
        <v>37</v>
      </c>
      <c r="MC344" t="n">
        <v>8</v>
      </c>
      <c r="MD344" t="n">
        <v>3</v>
      </c>
      <c r="ME344" t="n">
        <v>109</v>
      </c>
      <c r="MF344" t="n">
        <v>4</v>
      </c>
      <c r="MG344" t="n">
        <v>45</v>
      </c>
      <c r="MH344" t="n">
        <v>62</v>
      </c>
      <c r="MI344" t="n">
        <v>15</v>
      </c>
      <c r="MJ344" t="n">
        <v>8</v>
      </c>
      <c r="MK344" t="n">
        <v>23</v>
      </c>
      <c r="ML344" t="n">
        <v>207</v>
      </c>
      <c r="MM344" t="n">
        <v>13</v>
      </c>
      <c r="MN344" t="n">
        <v>285</v>
      </c>
      <c r="MO344" t="n">
        <v>5</v>
      </c>
      <c r="MQ344" t="n">
        <v>1</v>
      </c>
      <c r="MW344" t="n">
        <v>5</v>
      </c>
      <c r="MY344" t="n">
        <v>3</v>
      </c>
      <c r="NG344" t="n">
        <v>2</v>
      </c>
      <c r="NH344" t="n">
        <v>4</v>
      </c>
      <c r="NI344" t="n">
        <v>7</v>
      </c>
      <c r="NN344" t="n">
        <v>1</v>
      </c>
      <c r="NO344" t="n">
        <v>2</v>
      </c>
      <c r="NP344" t="n">
        <v>7</v>
      </c>
      <c r="NX344" t="n">
        <v>2</v>
      </c>
      <c r="NY344" t="n">
        <v>464</v>
      </c>
      <c r="OK344" t="n">
        <v>39</v>
      </c>
      <c r="OO344" t="n">
        <v>4461</v>
      </c>
      <c r="OP344" t="n">
        <v>7156</v>
      </c>
      <c r="OR344" t="n">
        <v>1167</v>
      </c>
      <c r="OV344" t="n">
        <v>301</v>
      </c>
      <c r="PI344" t="n">
        <v>13085</v>
      </c>
      <c r="PM344">
        <f>IFERROR(VLOOKUP($A344&amp;"",Key!$A:$C,3,FALSE),"")</f>
        <v/>
      </c>
    </row>
    <row r="345">
      <c r="A345" t="n">
        <v>541940</v>
      </c>
      <c r="B345" t="inlineStr">
        <is>
          <t>Veterinary services</t>
        </is>
      </c>
      <c r="I345" t="n">
        <v>76</v>
      </c>
      <c r="J345" t="n">
        <v>15</v>
      </c>
      <c r="K345" t="n">
        <v>684</v>
      </c>
      <c r="L345" t="n">
        <v>118</v>
      </c>
      <c r="N345" t="n">
        <v>48</v>
      </c>
      <c r="LZ345" t="n">
        <v>135</v>
      </c>
      <c r="MF345" t="n">
        <v>9</v>
      </c>
      <c r="MM345" t="n">
        <v>17</v>
      </c>
      <c r="MZ345" t="n">
        <v>3071</v>
      </c>
      <c r="OD345" t="n">
        <v>0</v>
      </c>
      <c r="OK345" t="n">
        <v>1511</v>
      </c>
      <c r="OO345" t="n">
        <v>5683</v>
      </c>
      <c r="OP345" t="n">
        <v>33726</v>
      </c>
      <c r="PI345" t="n">
        <v>39409</v>
      </c>
      <c r="PM345">
        <f>IFERROR(VLOOKUP($A345&amp;"",Key!$A:$C,3,FALSE),"")</f>
        <v/>
      </c>
    </row>
    <row r="346">
      <c r="A346" t="inlineStr">
        <is>
          <t>5419A0</t>
        </is>
      </c>
      <c r="B346" t="inlineStr">
        <is>
          <t xml:space="preserve">All other miscellaneous professional, scientific, and technical services </t>
        </is>
      </c>
      <c r="C346" t="n">
        <v>0</v>
      </c>
      <c r="D346" t="n">
        <v>103</v>
      </c>
      <c r="H346" t="n">
        <v>25</v>
      </c>
      <c r="M346" t="n">
        <v>0</v>
      </c>
      <c r="N346" t="n">
        <v>2</v>
      </c>
      <c r="O346" t="n">
        <v>3</v>
      </c>
      <c r="P346" t="n">
        <v>289</v>
      </c>
      <c r="Q346" t="n">
        <v>24</v>
      </c>
      <c r="R346" t="n">
        <v>3</v>
      </c>
      <c r="S346" t="n">
        <v>2</v>
      </c>
      <c r="T346" t="n">
        <v>5</v>
      </c>
      <c r="U346" t="n">
        <v>6</v>
      </c>
      <c r="V346" t="n">
        <v>25</v>
      </c>
      <c r="W346" t="n">
        <v>114</v>
      </c>
      <c r="X346" t="n">
        <v>5618</v>
      </c>
      <c r="Y346" t="n">
        <v>309</v>
      </c>
      <c r="Z346" t="n">
        <v>29</v>
      </c>
      <c r="AA346" t="n">
        <v>30</v>
      </c>
      <c r="AB346" t="n">
        <v>71</v>
      </c>
      <c r="AC346" t="n">
        <v>48</v>
      </c>
      <c r="AD346" t="n">
        <v>8</v>
      </c>
      <c r="AE346" t="n">
        <v>47</v>
      </c>
      <c r="AF346" t="n">
        <v>38</v>
      </c>
      <c r="AG346" t="n">
        <v>424</v>
      </c>
      <c r="AH346" t="n">
        <v>45</v>
      </c>
      <c r="AI346" t="n">
        <v>41</v>
      </c>
      <c r="AJ346" t="n">
        <v>42</v>
      </c>
      <c r="AK346" t="n">
        <v>347</v>
      </c>
      <c r="AL346" t="n">
        <v>100</v>
      </c>
      <c r="AM346" t="n">
        <v>23</v>
      </c>
      <c r="AN346" t="n">
        <v>8</v>
      </c>
      <c r="AO346" t="n">
        <v>11</v>
      </c>
      <c r="AP346" t="n">
        <v>25</v>
      </c>
      <c r="AQ346" t="n">
        <v>11</v>
      </c>
      <c r="AR346" t="n">
        <v>158</v>
      </c>
      <c r="AS346" t="n">
        <v>24</v>
      </c>
      <c r="AT346" t="n">
        <v>198</v>
      </c>
      <c r="AU346" t="n">
        <v>8</v>
      </c>
      <c r="AV346" t="n">
        <v>77</v>
      </c>
      <c r="AW346" t="n">
        <v>2</v>
      </c>
      <c r="AX346" t="n">
        <v>10</v>
      </c>
      <c r="AY346" t="n">
        <v>20</v>
      </c>
      <c r="AZ346" t="n">
        <v>6</v>
      </c>
      <c r="BA346" t="n">
        <v>29</v>
      </c>
      <c r="BB346" t="n">
        <v>27</v>
      </c>
      <c r="BC346" t="n">
        <v>195</v>
      </c>
      <c r="BD346" t="n">
        <v>55</v>
      </c>
      <c r="BE346" t="n">
        <v>14</v>
      </c>
      <c r="BF346" t="n">
        <v>1</v>
      </c>
      <c r="BG346" t="n">
        <v>62</v>
      </c>
      <c r="BH346" t="n">
        <v>2</v>
      </c>
      <c r="BI346" t="n">
        <v>31</v>
      </c>
      <c r="BJ346" t="n">
        <v>32</v>
      </c>
      <c r="BK346" t="n">
        <v>48</v>
      </c>
      <c r="BL346" t="n">
        <v>66</v>
      </c>
      <c r="BM346" t="n">
        <v>13</v>
      </c>
      <c r="BN346" t="n">
        <v>20</v>
      </c>
      <c r="BO346" t="n">
        <v>33</v>
      </c>
      <c r="BP346" t="n">
        <v>34</v>
      </c>
      <c r="BQ346" t="n">
        <v>164</v>
      </c>
      <c r="BR346" t="n">
        <v>110</v>
      </c>
      <c r="BS346" t="n">
        <v>20</v>
      </c>
      <c r="BT346" t="n">
        <v>27</v>
      </c>
      <c r="BU346" t="n">
        <v>21</v>
      </c>
      <c r="BV346" t="n">
        <v>25</v>
      </c>
      <c r="BW346" t="n">
        <v>34</v>
      </c>
      <c r="BX346" t="n">
        <v>146</v>
      </c>
      <c r="BY346" t="n">
        <v>112</v>
      </c>
      <c r="BZ346" t="n">
        <v>78</v>
      </c>
      <c r="CA346" t="n">
        <v>4</v>
      </c>
      <c r="CB346" t="n">
        <v>77</v>
      </c>
      <c r="CC346" t="n">
        <v>7</v>
      </c>
      <c r="CD346" t="n">
        <v>16</v>
      </c>
      <c r="CE346" t="n">
        <v>9</v>
      </c>
      <c r="CF346" t="n">
        <v>36</v>
      </c>
      <c r="CG346" t="n">
        <v>57</v>
      </c>
      <c r="CH346" t="n">
        <v>24</v>
      </c>
      <c r="CI346" t="n">
        <v>8</v>
      </c>
      <c r="CJ346" t="n">
        <v>14</v>
      </c>
      <c r="CK346" t="n">
        <v>35</v>
      </c>
      <c r="CL346" t="n">
        <v>74</v>
      </c>
      <c r="CM346" t="n">
        <v>16</v>
      </c>
      <c r="CN346" t="n">
        <v>11</v>
      </c>
      <c r="CO346" t="n">
        <v>92</v>
      </c>
      <c r="CP346" t="n">
        <v>17</v>
      </c>
      <c r="CQ346" t="n">
        <v>59</v>
      </c>
      <c r="CR346" t="n">
        <v>11</v>
      </c>
      <c r="CS346" t="n">
        <v>15</v>
      </c>
      <c r="CT346" t="n">
        <v>19</v>
      </c>
      <c r="CU346" t="n">
        <v>23</v>
      </c>
      <c r="CV346" t="n">
        <v>24</v>
      </c>
      <c r="CW346" t="n">
        <v>8</v>
      </c>
      <c r="CX346" t="n">
        <v>3</v>
      </c>
      <c r="CY346" t="n">
        <v>10</v>
      </c>
      <c r="CZ346" t="n">
        <v>74</v>
      </c>
      <c r="DA346" t="n">
        <v>20</v>
      </c>
      <c r="DB346" t="n">
        <v>42</v>
      </c>
      <c r="DC346" t="n">
        <v>52</v>
      </c>
      <c r="DD346" t="n">
        <v>6</v>
      </c>
      <c r="DE346" t="n">
        <v>18</v>
      </c>
      <c r="DF346" t="n">
        <v>4</v>
      </c>
      <c r="DG346" t="n">
        <v>49</v>
      </c>
      <c r="DH346" t="n">
        <v>25</v>
      </c>
      <c r="DI346" t="n">
        <v>297</v>
      </c>
      <c r="DJ346" t="n">
        <v>17</v>
      </c>
      <c r="DK346" t="n">
        <v>31</v>
      </c>
      <c r="DL346" t="n">
        <v>37</v>
      </c>
      <c r="DM346" t="n">
        <v>59</v>
      </c>
      <c r="DN346" t="n">
        <v>17</v>
      </c>
      <c r="DO346" t="n">
        <v>185</v>
      </c>
      <c r="DP346" t="n">
        <v>24</v>
      </c>
      <c r="DQ346" t="n">
        <v>65</v>
      </c>
      <c r="DR346" t="n">
        <v>52</v>
      </c>
      <c r="DS346" t="n">
        <v>43</v>
      </c>
      <c r="DT346" t="n">
        <v>4</v>
      </c>
      <c r="DU346" t="n">
        <v>17</v>
      </c>
      <c r="DV346" t="n">
        <v>11</v>
      </c>
      <c r="DW346" t="n">
        <v>22</v>
      </c>
      <c r="DX346" t="n">
        <v>17</v>
      </c>
      <c r="DY346" t="n">
        <v>6</v>
      </c>
      <c r="DZ346" t="n">
        <v>28</v>
      </c>
      <c r="EA346" t="n">
        <v>2</v>
      </c>
      <c r="EB346" t="n">
        <v>1</v>
      </c>
      <c r="EC346" t="n">
        <v>2</v>
      </c>
      <c r="ED346" t="n">
        <v>27</v>
      </c>
      <c r="EE346" t="n">
        <v>4</v>
      </c>
      <c r="EF346" t="n">
        <v>5</v>
      </c>
      <c r="EG346" t="n">
        <v>5</v>
      </c>
      <c r="EH346" t="n">
        <v>4</v>
      </c>
      <c r="EI346" t="n">
        <v>13</v>
      </c>
      <c r="EJ346" t="n">
        <v>8</v>
      </c>
      <c r="EK346" t="n">
        <v>10</v>
      </c>
      <c r="EL346" t="n">
        <v>1</v>
      </c>
      <c r="EM346" t="n">
        <v>12</v>
      </c>
      <c r="EN346" t="n">
        <v>19</v>
      </c>
      <c r="EO346" t="n">
        <v>1</v>
      </c>
      <c r="EP346" t="n">
        <v>29</v>
      </c>
      <c r="EQ346" t="n">
        <v>37</v>
      </c>
      <c r="ER346" t="n">
        <v>20</v>
      </c>
      <c r="ES346" t="n">
        <v>7</v>
      </c>
      <c r="ET346" t="n">
        <v>47</v>
      </c>
      <c r="EU346" t="n">
        <v>16</v>
      </c>
      <c r="EV346" t="n">
        <v>2</v>
      </c>
      <c r="EW346" t="n">
        <v>62</v>
      </c>
      <c r="EX346" t="n">
        <v>81</v>
      </c>
      <c r="EY346" t="n">
        <v>99</v>
      </c>
      <c r="EZ346" t="n">
        <v>53</v>
      </c>
      <c r="FA346" t="n">
        <v>112</v>
      </c>
      <c r="FB346" t="n">
        <v>24</v>
      </c>
      <c r="FC346" t="n">
        <v>189</v>
      </c>
      <c r="FD346" t="n">
        <v>83</v>
      </c>
      <c r="FE346" t="n">
        <v>31</v>
      </c>
      <c r="FF346" t="n">
        <v>100</v>
      </c>
      <c r="FG346" t="n">
        <v>93</v>
      </c>
      <c r="FH346" t="n">
        <v>42</v>
      </c>
      <c r="FI346" t="n">
        <v>15</v>
      </c>
      <c r="FJ346" t="n">
        <v>8</v>
      </c>
      <c r="FK346" t="n">
        <v>47</v>
      </c>
      <c r="FL346" t="n">
        <v>26</v>
      </c>
      <c r="FM346" t="n">
        <v>7</v>
      </c>
      <c r="FN346" t="n">
        <v>17</v>
      </c>
      <c r="FO346" t="n">
        <v>10</v>
      </c>
      <c r="FP346" t="n">
        <v>109</v>
      </c>
      <c r="FQ346" t="n">
        <v>43</v>
      </c>
      <c r="FR346" t="n">
        <v>11</v>
      </c>
      <c r="FS346" t="n">
        <v>38</v>
      </c>
      <c r="FT346" t="n">
        <v>20</v>
      </c>
      <c r="FU346" t="n">
        <v>19</v>
      </c>
      <c r="FV346" t="n">
        <v>134</v>
      </c>
      <c r="FW346" t="n">
        <v>20</v>
      </c>
      <c r="FX346" t="n">
        <v>119</v>
      </c>
      <c r="FY346" t="n">
        <v>144</v>
      </c>
      <c r="FZ346" t="n">
        <v>18</v>
      </c>
      <c r="GA346" t="n">
        <v>18</v>
      </c>
      <c r="GB346" t="n">
        <v>25</v>
      </c>
      <c r="GC346" t="n">
        <v>35</v>
      </c>
      <c r="GD346" t="n">
        <v>45</v>
      </c>
      <c r="GE346" t="n">
        <v>5</v>
      </c>
      <c r="GF346" t="n">
        <v>8</v>
      </c>
      <c r="GG346" t="n">
        <v>41</v>
      </c>
      <c r="GH346" t="n">
        <v>107</v>
      </c>
      <c r="GI346" t="n">
        <v>19</v>
      </c>
      <c r="GJ346" t="n">
        <v>18</v>
      </c>
      <c r="GK346" t="n">
        <v>27</v>
      </c>
      <c r="GL346" t="n">
        <v>10</v>
      </c>
      <c r="GM346" t="n">
        <v>4</v>
      </c>
      <c r="GN346" t="n">
        <v>1</v>
      </c>
      <c r="GO346" t="n">
        <v>5</v>
      </c>
      <c r="GP346" t="n">
        <v>52</v>
      </c>
      <c r="GQ346" t="n">
        <v>32</v>
      </c>
      <c r="GR346" t="n">
        <v>49</v>
      </c>
      <c r="GS346" t="n">
        <v>17</v>
      </c>
      <c r="GT346" t="n">
        <v>31</v>
      </c>
      <c r="GU346" t="n">
        <v>112</v>
      </c>
      <c r="GV346" t="n">
        <v>17</v>
      </c>
      <c r="GW346" t="n">
        <v>39</v>
      </c>
      <c r="GX346" t="n">
        <v>89</v>
      </c>
      <c r="GY346" t="n">
        <v>34</v>
      </c>
      <c r="GZ346" t="n">
        <v>302</v>
      </c>
      <c r="HA346" t="n">
        <v>77</v>
      </c>
      <c r="HB346" t="n">
        <v>32</v>
      </c>
      <c r="HC346" t="n">
        <v>24</v>
      </c>
      <c r="HD346" t="n">
        <v>2</v>
      </c>
      <c r="HE346" t="n">
        <v>73</v>
      </c>
      <c r="HF346" t="n">
        <v>80</v>
      </c>
      <c r="HG346" t="n">
        <v>79</v>
      </c>
      <c r="HH346" t="n">
        <v>34</v>
      </c>
      <c r="HI346" t="n">
        <v>17</v>
      </c>
      <c r="HJ346" t="n">
        <v>1</v>
      </c>
      <c r="HK346" t="n">
        <v>14</v>
      </c>
      <c r="HL346" t="n">
        <v>11</v>
      </c>
      <c r="HM346" t="n">
        <v>34</v>
      </c>
      <c r="HN346" t="n">
        <v>25</v>
      </c>
      <c r="HO346" t="n">
        <v>2</v>
      </c>
      <c r="HP346" t="n">
        <v>6</v>
      </c>
      <c r="HQ346" t="n">
        <v>25</v>
      </c>
      <c r="HR346" t="n">
        <v>14</v>
      </c>
      <c r="HS346" t="n">
        <v>3</v>
      </c>
      <c r="HT346" t="n">
        <v>4</v>
      </c>
      <c r="HU346" t="n">
        <v>8</v>
      </c>
      <c r="HV346" t="n">
        <v>10</v>
      </c>
      <c r="HW346" t="n">
        <v>35</v>
      </c>
      <c r="HX346" t="n">
        <v>12</v>
      </c>
      <c r="HY346" t="n">
        <v>7</v>
      </c>
      <c r="HZ346" t="n">
        <v>5</v>
      </c>
      <c r="IA346" t="n">
        <v>1</v>
      </c>
      <c r="IB346" t="n">
        <v>66</v>
      </c>
      <c r="IC346" t="n">
        <v>0</v>
      </c>
      <c r="ID346" t="n">
        <v>84</v>
      </c>
      <c r="IE346" t="n">
        <v>34</v>
      </c>
      <c r="IF346" t="n">
        <v>13</v>
      </c>
      <c r="IG346" t="n">
        <v>12</v>
      </c>
      <c r="IH346" t="n">
        <v>15</v>
      </c>
      <c r="II346" t="n">
        <v>10</v>
      </c>
      <c r="IJ346" t="n">
        <v>13</v>
      </c>
      <c r="IK346" t="n">
        <v>57</v>
      </c>
      <c r="IL346" t="n">
        <v>124</v>
      </c>
      <c r="IM346" t="n">
        <v>114</v>
      </c>
      <c r="IN346" t="n">
        <v>24</v>
      </c>
      <c r="IO346" t="n">
        <v>57</v>
      </c>
      <c r="IP346" t="n">
        <v>439</v>
      </c>
      <c r="IQ346" t="n">
        <v>108</v>
      </c>
      <c r="IR346" t="n">
        <v>71</v>
      </c>
      <c r="IS346" t="n">
        <v>19</v>
      </c>
      <c r="IT346" t="n">
        <v>8</v>
      </c>
      <c r="IU346" t="n">
        <v>26</v>
      </c>
      <c r="IV346" t="n">
        <v>19</v>
      </c>
      <c r="IW346" t="n">
        <v>28</v>
      </c>
      <c r="IX346" t="n">
        <v>11</v>
      </c>
      <c r="IY346" t="n">
        <v>1</v>
      </c>
      <c r="IZ346" t="n">
        <v>49</v>
      </c>
      <c r="JA346" t="n">
        <v>183</v>
      </c>
      <c r="JB346" t="n">
        <v>67</v>
      </c>
      <c r="JC346" t="n">
        <v>14</v>
      </c>
      <c r="JD346" t="n">
        <v>13</v>
      </c>
      <c r="JE346" t="n">
        <v>43</v>
      </c>
      <c r="JF346" t="n">
        <v>5</v>
      </c>
      <c r="JG346" t="n">
        <v>637</v>
      </c>
      <c r="JH346" t="n">
        <v>35</v>
      </c>
      <c r="JI346" t="n">
        <v>20</v>
      </c>
      <c r="JJ346" t="n">
        <v>67</v>
      </c>
      <c r="JK346" t="n">
        <v>188</v>
      </c>
      <c r="JL346" t="n">
        <v>503</v>
      </c>
      <c r="JM346" t="n">
        <v>770</v>
      </c>
      <c r="JN346" t="n">
        <v>563</v>
      </c>
      <c r="JO346" t="n">
        <v>920</v>
      </c>
      <c r="JP346" t="n">
        <v>95</v>
      </c>
      <c r="JQ346" t="n">
        <v>743</v>
      </c>
      <c r="JR346" t="n">
        <v>81</v>
      </c>
      <c r="JS346" t="n">
        <v>1338</v>
      </c>
      <c r="JT346" t="n">
        <v>60</v>
      </c>
      <c r="JV346" t="n">
        <v>147</v>
      </c>
      <c r="JW346" t="n">
        <v>324</v>
      </c>
      <c r="JX346" t="n">
        <v>270</v>
      </c>
      <c r="JY346" t="n">
        <v>483</v>
      </c>
      <c r="JZ346" t="n">
        <v>369</v>
      </c>
      <c r="KA346" t="n">
        <v>522</v>
      </c>
      <c r="KB346" t="n">
        <v>83</v>
      </c>
      <c r="KC346" t="n">
        <v>920</v>
      </c>
      <c r="KD346" t="n">
        <v>161</v>
      </c>
      <c r="KE346" t="n">
        <v>227</v>
      </c>
      <c r="KF346" t="n">
        <v>74</v>
      </c>
      <c r="KH346" t="n">
        <v>402</v>
      </c>
      <c r="KI346" t="n">
        <v>368</v>
      </c>
      <c r="KJ346" t="n">
        <v>354</v>
      </c>
      <c r="KK346" t="n">
        <v>135</v>
      </c>
      <c r="KL346" t="n">
        <v>18</v>
      </c>
      <c r="KM346" t="n">
        <v>202</v>
      </c>
      <c r="KN346" t="n">
        <v>442</v>
      </c>
      <c r="KO346" t="n">
        <v>540</v>
      </c>
      <c r="KP346" t="n">
        <v>1346</v>
      </c>
      <c r="KQ346" t="n">
        <v>293</v>
      </c>
      <c r="KR346" t="n">
        <v>435</v>
      </c>
      <c r="KS346" t="n">
        <v>1444</v>
      </c>
      <c r="KT346" t="n">
        <v>87</v>
      </c>
      <c r="KU346" t="n">
        <v>80</v>
      </c>
      <c r="KV346" t="n">
        <v>161</v>
      </c>
      <c r="KW346" t="n">
        <v>756</v>
      </c>
      <c r="KX346" t="n">
        <v>1881</v>
      </c>
      <c r="KY346" t="n">
        <v>204</v>
      </c>
      <c r="KZ346" t="n">
        <v>203</v>
      </c>
      <c r="LA346" t="n">
        <v>954</v>
      </c>
      <c r="LB346" t="n">
        <v>13</v>
      </c>
      <c r="LC346" t="n">
        <v>4593</v>
      </c>
      <c r="LD346" t="n">
        <v>2461</v>
      </c>
      <c r="LE346" t="n">
        <v>3848</v>
      </c>
      <c r="LF346" t="n">
        <v>1110</v>
      </c>
      <c r="LH346" t="n">
        <v>329</v>
      </c>
      <c r="LI346" t="n">
        <v>1</v>
      </c>
      <c r="LL346" t="n">
        <v>2</v>
      </c>
      <c r="LM346" t="n">
        <v>2846</v>
      </c>
      <c r="LN346" t="n">
        <v>115</v>
      </c>
      <c r="LO346" t="n">
        <v>335</v>
      </c>
      <c r="LP346" t="n">
        <v>31</v>
      </c>
      <c r="LR346" t="n">
        <v>535</v>
      </c>
      <c r="LS346" t="n">
        <v>230</v>
      </c>
      <c r="LT346" t="n">
        <v>927</v>
      </c>
      <c r="LU346" t="n">
        <v>92</v>
      </c>
      <c r="LV346" t="n">
        <v>1361</v>
      </c>
      <c r="LW346" t="n">
        <v>4126</v>
      </c>
      <c r="LX346" t="n">
        <v>879</v>
      </c>
      <c r="LY346" t="n">
        <v>81</v>
      </c>
      <c r="LZ346" t="n">
        <v>4073</v>
      </c>
      <c r="MA346" t="n">
        <v>2031</v>
      </c>
      <c r="MB346" t="n">
        <v>27</v>
      </c>
      <c r="MC346" t="n">
        <v>75</v>
      </c>
      <c r="MD346" t="n">
        <v>13</v>
      </c>
      <c r="ME346" t="n">
        <v>1003</v>
      </c>
      <c r="MF346" t="n">
        <v>4180</v>
      </c>
      <c r="MG346" t="n">
        <v>539</v>
      </c>
      <c r="MH346" t="n">
        <v>200</v>
      </c>
      <c r="MI346" t="n">
        <v>130</v>
      </c>
      <c r="MJ346" t="n">
        <v>70</v>
      </c>
      <c r="MK346" t="n">
        <v>278</v>
      </c>
      <c r="ML346" t="n">
        <v>199</v>
      </c>
      <c r="MM346" t="n">
        <v>204</v>
      </c>
      <c r="MN346" t="n">
        <v>124</v>
      </c>
      <c r="MO346" t="n">
        <v>104</v>
      </c>
      <c r="MP346" t="n">
        <v>66</v>
      </c>
      <c r="MQ346" t="n">
        <v>628</v>
      </c>
      <c r="MR346" t="n">
        <v>105</v>
      </c>
      <c r="MS346" t="n">
        <v>1024</v>
      </c>
      <c r="MT346" t="n">
        <v>124</v>
      </c>
      <c r="MU346" t="n">
        <v>68</v>
      </c>
      <c r="MV346" t="n">
        <v>263</v>
      </c>
      <c r="MW346" t="n">
        <v>123</v>
      </c>
      <c r="MX346" t="n">
        <v>91</v>
      </c>
      <c r="MY346" t="n">
        <v>36</v>
      </c>
      <c r="MZ346" t="n">
        <v>2300</v>
      </c>
      <c r="NA346" t="n">
        <v>351</v>
      </c>
      <c r="NB346" t="n">
        <v>38</v>
      </c>
      <c r="NC346" t="n">
        <v>235</v>
      </c>
      <c r="ND346" t="n">
        <v>130</v>
      </c>
      <c r="NE346" t="n">
        <v>426</v>
      </c>
      <c r="NF346" t="n">
        <v>4</v>
      </c>
      <c r="NG346" t="n">
        <v>64</v>
      </c>
      <c r="NH346" t="n">
        <v>9</v>
      </c>
      <c r="NI346" t="n">
        <v>173</v>
      </c>
      <c r="NJ346" t="n">
        <v>3</v>
      </c>
      <c r="NK346" t="n">
        <v>7</v>
      </c>
      <c r="NL346" t="n">
        <v>154</v>
      </c>
      <c r="NM346" t="n">
        <v>91</v>
      </c>
      <c r="NN346" t="n">
        <v>67</v>
      </c>
      <c r="NO346" t="n">
        <v>161</v>
      </c>
      <c r="NP346" t="n">
        <v>682</v>
      </c>
      <c r="NQ346" t="n">
        <v>114</v>
      </c>
      <c r="NR346" t="n">
        <v>46</v>
      </c>
      <c r="NS346" t="n">
        <v>23</v>
      </c>
      <c r="NT346" t="n">
        <v>51</v>
      </c>
      <c r="NU346" t="n">
        <v>8</v>
      </c>
      <c r="NV346" t="n">
        <v>48</v>
      </c>
      <c r="NX346" t="n">
        <v>23</v>
      </c>
      <c r="NY346" t="n">
        <v>46</v>
      </c>
      <c r="NZ346" t="n">
        <v>937</v>
      </c>
      <c r="OA346" t="n">
        <v>41</v>
      </c>
      <c r="OB346" t="n">
        <v>26</v>
      </c>
      <c r="OD346" t="n">
        <v>0</v>
      </c>
      <c r="OE346" t="n">
        <v>305</v>
      </c>
      <c r="OF346" t="n">
        <v>14</v>
      </c>
      <c r="OG346" t="n">
        <v>83</v>
      </c>
      <c r="OI346" t="n">
        <v>1424</v>
      </c>
      <c r="OJ346" t="n">
        <v>358</v>
      </c>
      <c r="OK346" t="n">
        <v>1035</v>
      </c>
      <c r="OL346" t="n">
        <v>6</v>
      </c>
      <c r="OM346" t="n">
        <v>81</v>
      </c>
      <c r="ON346" t="n">
        <v>426</v>
      </c>
      <c r="OO346" t="n">
        <v>86802</v>
      </c>
      <c r="OV346" t="n">
        <v>4776</v>
      </c>
      <c r="PI346" t="n">
        <v>91578</v>
      </c>
      <c r="PM346">
        <f>IFERROR(VLOOKUP($A346&amp;"",Key!$A:$C,3,FALSE),"")</f>
        <v/>
      </c>
    </row>
    <row r="347">
      <c r="A347" t="n">
        <v>550000</v>
      </c>
      <c r="B347" t="inlineStr">
        <is>
          <t>Management of companies and enterprises</t>
        </is>
      </c>
      <c r="P347" t="n">
        <v>13607</v>
      </c>
      <c r="Q347" t="n">
        <v>1804</v>
      </c>
      <c r="R347" t="n">
        <v>324</v>
      </c>
      <c r="S347" t="n">
        <v>637</v>
      </c>
      <c r="T347" t="n">
        <v>1146</v>
      </c>
      <c r="U347" t="n">
        <v>1086</v>
      </c>
      <c r="V347" t="n">
        <v>2000</v>
      </c>
      <c r="W347" t="n">
        <v>2734</v>
      </c>
      <c r="X347" t="n">
        <v>60</v>
      </c>
      <c r="Y347" t="n">
        <v>2</v>
      </c>
      <c r="Z347" t="n">
        <v>0</v>
      </c>
      <c r="AA347" t="n">
        <v>175</v>
      </c>
      <c r="AB347" t="n">
        <v>484</v>
      </c>
      <c r="AC347" t="n">
        <v>0</v>
      </c>
      <c r="AE347" t="n">
        <v>750</v>
      </c>
      <c r="AF347" t="n">
        <v>1077</v>
      </c>
      <c r="AG347" t="n">
        <v>2337</v>
      </c>
      <c r="AH347" t="n">
        <v>174</v>
      </c>
      <c r="AI347" t="n">
        <v>622</v>
      </c>
      <c r="AJ347" t="n">
        <v>1329</v>
      </c>
      <c r="AK347" t="n">
        <v>1791</v>
      </c>
      <c r="AL347" t="n">
        <v>842</v>
      </c>
      <c r="AM347" t="n">
        <v>73</v>
      </c>
      <c r="AN347" t="n">
        <v>100</v>
      </c>
      <c r="AO347" t="n">
        <v>103</v>
      </c>
      <c r="AP347" t="n">
        <v>77</v>
      </c>
      <c r="AQ347" t="n">
        <v>312</v>
      </c>
      <c r="AR347" t="n">
        <v>667</v>
      </c>
      <c r="AS347" t="n">
        <v>96</v>
      </c>
      <c r="AT347" t="n">
        <v>377</v>
      </c>
      <c r="AU347" t="n">
        <v>151</v>
      </c>
      <c r="AV347" t="n">
        <v>233</v>
      </c>
      <c r="AW347" t="n">
        <v>88</v>
      </c>
      <c r="AX347" t="n">
        <v>75</v>
      </c>
      <c r="AY347" t="n">
        <v>78</v>
      </c>
      <c r="AZ347" t="n">
        <v>33</v>
      </c>
      <c r="BA347" t="n">
        <v>97</v>
      </c>
      <c r="BB347" t="n">
        <v>39</v>
      </c>
      <c r="BC347" t="n">
        <v>136</v>
      </c>
      <c r="BD347" t="n">
        <v>114</v>
      </c>
      <c r="BE347" t="n">
        <v>17</v>
      </c>
      <c r="BF347" t="n">
        <v>68</v>
      </c>
      <c r="BG347" t="n">
        <v>113</v>
      </c>
      <c r="BH347" t="n">
        <v>37</v>
      </c>
      <c r="BI347" t="n">
        <v>81</v>
      </c>
      <c r="BJ347" t="n">
        <v>47</v>
      </c>
      <c r="BK347" t="n">
        <v>202</v>
      </c>
      <c r="BL347" t="n">
        <v>241</v>
      </c>
      <c r="BM347" t="n">
        <v>58</v>
      </c>
      <c r="BN347" t="n">
        <v>110</v>
      </c>
      <c r="BO347" t="n">
        <v>82</v>
      </c>
      <c r="BP347" t="n">
        <v>268</v>
      </c>
      <c r="BQ347" t="n">
        <v>553</v>
      </c>
      <c r="BR347" t="n">
        <v>594</v>
      </c>
      <c r="BS347" t="n">
        <v>68</v>
      </c>
      <c r="BT347" t="n">
        <v>76</v>
      </c>
      <c r="BU347" t="n">
        <v>73</v>
      </c>
      <c r="BV347" t="n">
        <v>224</v>
      </c>
      <c r="BW347" t="n">
        <v>150</v>
      </c>
      <c r="BX347" t="n">
        <v>686</v>
      </c>
      <c r="BY347" t="n">
        <v>483</v>
      </c>
      <c r="BZ347" t="n">
        <v>347</v>
      </c>
      <c r="CA347" t="n">
        <v>89</v>
      </c>
      <c r="CB347" t="n">
        <v>301</v>
      </c>
      <c r="CC347" t="n">
        <v>91</v>
      </c>
      <c r="CD347" t="n">
        <v>60</v>
      </c>
      <c r="CE347" t="n">
        <v>87</v>
      </c>
      <c r="CF347" t="n">
        <v>227</v>
      </c>
      <c r="CG347" t="n">
        <v>519</v>
      </c>
      <c r="CH347" t="n">
        <v>124</v>
      </c>
      <c r="CI347" t="n">
        <v>1089</v>
      </c>
      <c r="CJ347" t="n">
        <v>468</v>
      </c>
      <c r="CK347" t="n">
        <v>311</v>
      </c>
      <c r="CL347" t="n">
        <v>2159</v>
      </c>
      <c r="CM347" t="n">
        <v>216</v>
      </c>
      <c r="CN347" t="n">
        <v>140</v>
      </c>
      <c r="CO347" t="n">
        <v>979</v>
      </c>
      <c r="CP347" t="n">
        <v>245</v>
      </c>
      <c r="CQ347" t="n">
        <v>1366</v>
      </c>
      <c r="CR347" t="n">
        <v>280</v>
      </c>
      <c r="CS347" t="n">
        <v>471</v>
      </c>
      <c r="CT347" t="n">
        <v>566</v>
      </c>
      <c r="CU347" t="n">
        <v>367</v>
      </c>
      <c r="CV347" t="n">
        <v>817</v>
      </c>
      <c r="CW347" t="n">
        <v>287</v>
      </c>
      <c r="CX347" t="n">
        <v>142</v>
      </c>
      <c r="CY347" t="n">
        <v>200</v>
      </c>
      <c r="CZ347" t="n">
        <v>711</v>
      </c>
      <c r="DA347" t="n">
        <v>235</v>
      </c>
      <c r="DB347" t="n">
        <v>642</v>
      </c>
      <c r="DC347" t="n">
        <v>884</v>
      </c>
      <c r="DD347" t="n">
        <v>134</v>
      </c>
      <c r="DE347" t="n">
        <v>359</v>
      </c>
      <c r="DF347" t="n">
        <v>140</v>
      </c>
      <c r="DG347" t="n">
        <v>1177</v>
      </c>
      <c r="DH347" t="n">
        <v>434</v>
      </c>
      <c r="DI347" t="n">
        <v>530</v>
      </c>
      <c r="DJ347" t="n">
        <v>145</v>
      </c>
      <c r="DK347" t="n">
        <v>269</v>
      </c>
      <c r="DL347" t="n">
        <v>134</v>
      </c>
      <c r="DM347" t="n">
        <v>181</v>
      </c>
      <c r="DN347" t="n">
        <v>61</v>
      </c>
      <c r="DO347" t="n">
        <v>900</v>
      </c>
      <c r="DP347" t="n">
        <v>268</v>
      </c>
      <c r="DQ347" t="n">
        <v>533</v>
      </c>
      <c r="DR347" t="n">
        <v>549</v>
      </c>
      <c r="DS347" t="n">
        <v>832</v>
      </c>
      <c r="DT347" t="n">
        <v>61</v>
      </c>
      <c r="DU347" t="n">
        <v>137</v>
      </c>
      <c r="DV347" t="n">
        <v>99</v>
      </c>
      <c r="DW347" t="n">
        <v>86</v>
      </c>
      <c r="DX347" t="n">
        <v>217</v>
      </c>
      <c r="DY347" t="n">
        <v>82</v>
      </c>
      <c r="DZ347" t="n">
        <v>168</v>
      </c>
      <c r="EA347" t="n">
        <v>136</v>
      </c>
      <c r="EB347" t="n">
        <v>168</v>
      </c>
      <c r="EC347" t="n">
        <v>56</v>
      </c>
      <c r="ED347" t="n">
        <v>231</v>
      </c>
      <c r="EE347" t="n">
        <v>79</v>
      </c>
      <c r="EF347" t="n">
        <v>348</v>
      </c>
      <c r="EG347" t="n">
        <v>96</v>
      </c>
      <c r="EH347" t="n">
        <v>224</v>
      </c>
      <c r="EI347" t="n">
        <v>242</v>
      </c>
      <c r="EJ347" t="n">
        <v>265</v>
      </c>
      <c r="EK347" t="n">
        <v>95</v>
      </c>
      <c r="EL347" t="n">
        <v>5</v>
      </c>
      <c r="EM347" t="n">
        <v>190</v>
      </c>
      <c r="EN347" t="n">
        <v>116</v>
      </c>
      <c r="EO347" t="n">
        <v>30</v>
      </c>
      <c r="EP347" t="n">
        <v>251</v>
      </c>
      <c r="EQ347" t="n">
        <v>205</v>
      </c>
      <c r="ER347" t="n">
        <v>1161</v>
      </c>
      <c r="ES347" t="n">
        <v>117</v>
      </c>
      <c r="ET347" t="n">
        <v>277</v>
      </c>
      <c r="EU347" t="n">
        <v>106</v>
      </c>
      <c r="EV347" t="n">
        <v>10</v>
      </c>
      <c r="EW347" t="n">
        <v>84</v>
      </c>
      <c r="EX347" t="n">
        <v>978</v>
      </c>
      <c r="EY347" t="n">
        <v>742</v>
      </c>
      <c r="EZ347" t="n">
        <v>833</v>
      </c>
      <c r="FA347" t="n">
        <v>625</v>
      </c>
      <c r="FB347" t="n">
        <v>829</v>
      </c>
      <c r="FC347" t="n">
        <v>737</v>
      </c>
      <c r="FD347" t="n">
        <v>664</v>
      </c>
      <c r="FE347" t="n">
        <v>1086</v>
      </c>
      <c r="FF347" t="n">
        <v>1538</v>
      </c>
      <c r="FG347" t="n">
        <v>638</v>
      </c>
      <c r="FH347" t="n">
        <v>986</v>
      </c>
      <c r="FI347" t="n">
        <v>263</v>
      </c>
      <c r="FJ347" t="n">
        <v>218</v>
      </c>
      <c r="FK347" t="n">
        <v>146</v>
      </c>
      <c r="FL347" t="n">
        <v>274</v>
      </c>
      <c r="FM347" t="n">
        <v>171</v>
      </c>
      <c r="FN347" t="n">
        <v>60</v>
      </c>
      <c r="FO347" t="n">
        <v>86</v>
      </c>
      <c r="FP347" t="n">
        <v>69</v>
      </c>
      <c r="FQ347" t="n">
        <v>71</v>
      </c>
      <c r="FR347" t="n">
        <v>68</v>
      </c>
      <c r="FS347" t="n">
        <v>48</v>
      </c>
      <c r="FT347" t="n">
        <v>0</v>
      </c>
      <c r="FU347" t="n">
        <v>62</v>
      </c>
      <c r="FV347" t="n">
        <v>107</v>
      </c>
      <c r="FW347" t="n">
        <v>56</v>
      </c>
      <c r="FX347" t="n">
        <v>529</v>
      </c>
      <c r="FY347" t="n">
        <v>668</v>
      </c>
      <c r="FZ347" t="n">
        <v>136</v>
      </c>
      <c r="GA347" t="n">
        <v>106</v>
      </c>
      <c r="GB347" t="n">
        <v>201</v>
      </c>
      <c r="GC347" t="n">
        <v>222</v>
      </c>
      <c r="GD347" t="n">
        <v>386</v>
      </c>
      <c r="GE347" t="n">
        <v>56</v>
      </c>
      <c r="GF347" t="n">
        <v>107</v>
      </c>
      <c r="GG347" t="n">
        <v>606</v>
      </c>
      <c r="GH347" t="n">
        <v>997</v>
      </c>
      <c r="GI347" t="n">
        <v>362</v>
      </c>
      <c r="GJ347" t="n">
        <v>319</v>
      </c>
      <c r="GK347" t="n">
        <v>149</v>
      </c>
      <c r="GL347" t="n">
        <v>69</v>
      </c>
      <c r="GM347" t="n">
        <v>25</v>
      </c>
      <c r="GN347" t="n">
        <v>39</v>
      </c>
      <c r="GO347" t="n">
        <v>264</v>
      </c>
      <c r="GP347" t="n">
        <v>1146</v>
      </c>
      <c r="GQ347" t="n">
        <v>1006</v>
      </c>
      <c r="GR347" t="n">
        <v>1416</v>
      </c>
      <c r="GS347" t="n">
        <v>420</v>
      </c>
      <c r="GT347" t="n">
        <v>296</v>
      </c>
      <c r="GU347" t="n">
        <v>910</v>
      </c>
      <c r="GV347" t="n">
        <v>337</v>
      </c>
      <c r="GW347" t="n">
        <v>1622</v>
      </c>
      <c r="GX347" t="n">
        <v>1975</v>
      </c>
      <c r="GY347" t="n">
        <v>384</v>
      </c>
      <c r="GZ347" t="n">
        <v>4372</v>
      </c>
      <c r="HA347" t="n">
        <v>1289</v>
      </c>
      <c r="HB347" t="n">
        <v>901</v>
      </c>
      <c r="HC347" t="n">
        <v>204</v>
      </c>
      <c r="HD347" t="n">
        <v>89</v>
      </c>
      <c r="HE347" t="n">
        <v>577</v>
      </c>
      <c r="HF347" t="n">
        <v>871</v>
      </c>
      <c r="HG347" t="n">
        <v>680</v>
      </c>
      <c r="HH347" t="n">
        <v>493</v>
      </c>
      <c r="HI347" t="n">
        <v>170</v>
      </c>
      <c r="HJ347" t="n">
        <v>124</v>
      </c>
      <c r="HK347" t="n">
        <v>1944</v>
      </c>
      <c r="HL347" t="n">
        <v>56</v>
      </c>
      <c r="HM347" t="n">
        <v>327</v>
      </c>
      <c r="HN347" t="n">
        <v>222</v>
      </c>
      <c r="HO347" t="n">
        <v>7</v>
      </c>
      <c r="HP347" t="n">
        <v>27</v>
      </c>
      <c r="HQ347" t="n">
        <v>26</v>
      </c>
      <c r="HR347" t="n">
        <v>192</v>
      </c>
      <c r="HS347" t="n">
        <v>15</v>
      </c>
      <c r="HT347" t="n">
        <v>59</v>
      </c>
      <c r="HU347" t="n">
        <v>696</v>
      </c>
      <c r="HV347" t="n">
        <v>311</v>
      </c>
      <c r="HW347" t="n">
        <v>553</v>
      </c>
      <c r="HX347" t="n">
        <v>295</v>
      </c>
      <c r="HY347" t="n">
        <v>193</v>
      </c>
      <c r="HZ347" t="n">
        <v>102</v>
      </c>
      <c r="IA347" t="n">
        <v>138</v>
      </c>
      <c r="IB347" t="n">
        <v>437</v>
      </c>
      <c r="IC347" t="n">
        <v>40</v>
      </c>
      <c r="ID347" t="n">
        <v>2626</v>
      </c>
      <c r="IE347" t="n">
        <v>475</v>
      </c>
      <c r="IF347" t="n">
        <v>216</v>
      </c>
      <c r="IG347" t="n">
        <v>284</v>
      </c>
      <c r="IH347" t="n">
        <v>349</v>
      </c>
      <c r="II347" t="n">
        <v>643</v>
      </c>
      <c r="IJ347" t="n">
        <v>397</v>
      </c>
      <c r="IK347" t="n">
        <v>344</v>
      </c>
      <c r="IL347" t="n">
        <v>1238</v>
      </c>
      <c r="IM347" t="n">
        <v>1945</v>
      </c>
      <c r="IN347" t="n">
        <v>799</v>
      </c>
      <c r="IO347" t="n">
        <v>427</v>
      </c>
      <c r="IP347" t="n">
        <v>6509</v>
      </c>
      <c r="IQ347" t="n">
        <v>453</v>
      </c>
      <c r="IR347" t="n">
        <v>262</v>
      </c>
      <c r="IS347" t="n">
        <v>332</v>
      </c>
      <c r="IT347" t="n">
        <v>513</v>
      </c>
      <c r="IU347" t="n">
        <v>1036</v>
      </c>
      <c r="IV347" t="n">
        <v>470</v>
      </c>
      <c r="IW347" t="n">
        <v>1172</v>
      </c>
      <c r="IX347" t="n">
        <v>2081</v>
      </c>
      <c r="IY347" t="n">
        <v>335</v>
      </c>
      <c r="IZ347" t="n">
        <v>2449</v>
      </c>
      <c r="JA347" t="n">
        <v>223</v>
      </c>
      <c r="JB347" t="n">
        <v>123</v>
      </c>
      <c r="JC347" t="n">
        <v>32</v>
      </c>
      <c r="JD347" t="n">
        <v>54</v>
      </c>
      <c r="JE347" t="n">
        <v>50</v>
      </c>
      <c r="JF347" t="n">
        <v>54</v>
      </c>
      <c r="JG347" t="n">
        <v>834</v>
      </c>
      <c r="JH347" t="n">
        <v>198</v>
      </c>
      <c r="JI347" t="n">
        <v>43</v>
      </c>
      <c r="JJ347" t="n">
        <v>174</v>
      </c>
      <c r="JK347" t="n">
        <v>6256</v>
      </c>
      <c r="JL347" t="n">
        <v>11194</v>
      </c>
      <c r="JM347" t="n">
        <v>16460</v>
      </c>
      <c r="JN347" t="n">
        <v>4716</v>
      </c>
      <c r="JO347" t="n">
        <v>10827</v>
      </c>
      <c r="JP347" t="n">
        <v>10799</v>
      </c>
      <c r="JQ347" t="n">
        <v>9458</v>
      </c>
      <c r="JR347" t="n">
        <v>3313</v>
      </c>
      <c r="JS347" t="n">
        <v>13954</v>
      </c>
      <c r="JT347" t="n">
        <v>1114</v>
      </c>
      <c r="JV347" t="n">
        <v>1930</v>
      </c>
      <c r="JW347" t="n">
        <v>4364</v>
      </c>
      <c r="JX347" t="n">
        <v>11001</v>
      </c>
      <c r="JY347" t="n">
        <v>302</v>
      </c>
      <c r="JZ347" t="n">
        <v>261</v>
      </c>
      <c r="KA347" t="n">
        <v>147</v>
      </c>
      <c r="KB347" t="n">
        <v>18304</v>
      </c>
      <c r="KC347" t="n">
        <v>2168</v>
      </c>
      <c r="KD347" t="n">
        <v>5102</v>
      </c>
      <c r="KE347" t="n">
        <v>3077</v>
      </c>
      <c r="KF347" t="n">
        <v>7</v>
      </c>
      <c r="KG347" t="n">
        <v>1539</v>
      </c>
      <c r="KH347" t="n">
        <v>4373</v>
      </c>
      <c r="KI347" t="n">
        <v>150</v>
      </c>
      <c r="KJ347" t="n">
        <v>2</v>
      </c>
      <c r="KK347" t="n">
        <v>3395</v>
      </c>
      <c r="KL347" t="n">
        <v>2902</v>
      </c>
      <c r="KM347" t="n">
        <v>1672</v>
      </c>
      <c r="KN347" t="n">
        <v>456</v>
      </c>
      <c r="KO347" t="n">
        <v>280</v>
      </c>
      <c r="KP347" t="n">
        <v>924</v>
      </c>
      <c r="KQ347" t="n">
        <v>138</v>
      </c>
      <c r="KR347" t="n">
        <v>2316</v>
      </c>
      <c r="KS347" t="n">
        <v>255</v>
      </c>
      <c r="KT347" t="n">
        <v>38</v>
      </c>
      <c r="KU347" t="n">
        <v>1025</v>
      </c>
      <c r="KV347" t="n">
        <v>748</v>
      </c>
      <c r="KW347" t="n">
        <v>1257</v>
      </c>
      <c r="KX347" t="n">
        <v>297</v>
      </c>
      <c r="KY347" t="n">
        <v>83</v>
      </c>
      <c r="KZ347" t="n">
        <v>2517</v>
      </c>
      <c r="LA347" t="n">
        <v>140</v>
      </c>
      <c r="LB347" t="n">
        <v>36</v>
      </c>
      <c r="LC347" t="n">
        <v>2890</v>
      </c>
      <c r="LD347" t="n">
        <v>6591</v>
      </c>
      <c r="LE347" t="n">
        <v>10450</v>
      </c>
      <c r="LF347" t="n">
        <v>200</v>
      </c>
      <c r="LG347" t="n">
        <v>707</v>
      </c>
      <c r="LH347" t="n">
        <v>4682</v>
      </c>
      <c r="LI347" t="n">
        <v>1253</v>
      </c>
      <c r="LJ347" t="n">
        <v>1316</v>
      </c>
      <c r="LL347" t="n">
        <v>88</v>
      </c>
      <c r="LM347" t="n">
        <v>7069</v>
      </c>
      <c r="LN347" t="n">
        <v>2788</v>
      </c>
      <c r="LO347" t="n">
        <v>3250</v>
      </c>
      <c r="LP347" t="n">
        <v>2038</v>
      </c>
      <c r="LQ347" t="n">
        <v>1227</v>
      </c>
      <c r="LR347" t="n">
        <v>5228</v>
      </c>
      <c r="LS347" t="n">
        <v>1513</v>
      </c>
      <c r="LT347" t="n">
        <v>2221</v>
      </c>
      <c r="LU347" t="n">
        <v>966</v>
      </c>
      <c r="LV347" t="n">
        <v>2691</v>
      </c>
      <c r="LW347" t="n">
        <v>4280</v>
      </c>
      <c r="LX347" t="n">
        <v>2260</v>
      </c>
      <c r="LY347" t="n">
        <v>721</v>
      </c>
      <c r="LZ347" t="n">
        <v>2020</v>
      </c>
      <c r="MA347" t="n">
        <v>945</v>
      </c>
      <c r="MB347" t="n">
        <v>359</v>
      </c>
      <c r="MC347" t="n">
        <v>125</v>
      </c>
      <c r="MD347" t="n">
        <v>331</v>
      </c>
      <c r="ME347" t="n">
        <v>1408</v>
      </c>
      <c r="MF347" t="n">
        <v>53</v>
      </c>
      <c r="MG347" t="n">
        <v>12618</v>
      </c>
      <c r="MH347" t="n">
        <v>2754</v>
      </c>
      <c r="MI347" t="n">
        <v>2153</v>
      </c>
      <c r="MJ347" t="n">
        <v>405</v>
      </c>
      <c r="MK347" t="n">
        <v>1317</v>
      </c>
      <c r="ML347" t="n">
        <v>1395</v>
      </c>
      <c r="MM347" t="n">
        <v>1193</v>
      </c>
      <c r="MN347" t="n">
        <v>861</v>
      </c>
      <c r="MO347" t="n">
        <v>3018</v>
      </c>
      <c r="MP347" t="n">
        <v>89</v>
      </c>
      <c r="MQ347" t="n">
        <v>3835</v>
      </c>
      <c r="MR347" t="n">
        <v>3515</v>
      </c>
      <c r="MS347" t="n">
        <v>34737</v>
      </c>
      <c r="MT347" t="n">
        <v>3743</v>
      </c>
      <c r="MU347" t="n">
        <v>1311</v>
      </c>
      <c r="MV347" t="n">
        <v>6306</v>
      </c>
      <c r="MW347" t="n">
        <v>1281</v>
      </c>
      <c r="MX347" t="n">
        <v>2137</v>
      </c>
      <c r="MY347" t="n">
        <v>1880</v>
      </c>
      <c r="MZ347" t="n">
        <v>10607</v>
      </c>
      <c r="NA347" t="n">
        <v>5039</v>
      </c>
      <c r="NB347" t="n">
        <v>1366</v>
      </c>
      <c r="NC347" t="n">
        <v>2529</v>
      </c>
      <c r="ND347" t="n">
        <v>1313</v>
      </c>
      <c r="NE347" t="n">
        <v>1077</v>
      </c>
      <c r="NF347" t="n">
        <v>979</v>
      </c>
      <c r="NG347" t="n">
        <v>194</v>
      </c>
      <c r="NH347" t="n">
        <v>928</v>
      </c>
      <c r="NI347" t="n">
        <v>356</v>
      </c>
      <c r="NJ347" t="n">
        <v>28</v>
      </c>
      <c r="NK347" t="n">
        <v>179</v>
      </c>
      <c r="NL347" t="n">
        <v>640</v>
      </c>
      <c r="NM347" t="n">
        <v>1264</v>
      </c>
      <c r="NN347" t="n">
        <v>19069</v>
      </c>
      <c r="NO347" t="n">
        <v>20750</v>
      </c>
      <c r="NP347" t="n">
        <v>15541</v>
      </c>
      <c r="NQ347" t="n">
        <v>9435</v>
      </c>
      <c r="NR347" t="n">
        <v>2139</v>
      </c>
      <c r="NS347" t="n">
        <v>469</v>
      </c>
      <c r="NT347" t="n">
        <v>685</v>
      </c>
      <c r="NU347" t="n">
        <v>735</v>
      </c>
      <c r="NV347" t="n">
        <v>1691</v>
      </c>
      <c r="NW347" t="n">
        <v>52</v>
      </c>
      <c r="NX347" t="n">
        <v>509</v>
      </c>
      <c r="NY347" t="n">
        <v>1260</v>
      </c>
      <c r="OD347" t="n">
        <v>0</v>
      </c>
      <c r="OH347" t="n">
        <v>81</v>
      </c>
      <c r="OK347" t="n">
        <v>4</v>
      </c>
      <c r="OO347" t="n">
        <v>547574</v>
      </c>
      <c r="OV347" t="n">
        <v>4296</v>
      </c>
      <c r="PI347" t="n">
        <v>551870</v>
      </c>
      <c r="PM347">
        <f>IFERROR(VLOOKUP($A347&amp;"",Key!$A:$C,3,FALSE),"")</f>
        <v/>
      </c>
    </row>
    <row r="348">
      <c r="A348" t="n">
        <v>561300</v>
      </c>
      <c r="B348" t="inlineStr">
        <is>
          <t>Employment services</t>
        </is>
      </c>
      <c r="C348" t="n">
        <v>1</v>
      </c>
      <c r="H348" t="n">
        <v>1</v>
      </c>
      <c r="I348" t="n">
        <v>3</v>
      </c>
      <c r="L348" t="n">
        <v>13</v>
      </c>
      <c r="O348" t="n">
        <v>4</v>
      </c>
      <c r="P348" t="n">
        <v>31</v>
      </c>
      <c r="Q348" t="n">
        <v>8</v>
      </c>
      <c r="R348" t="n">
        <v>1</v>
      </c>
      <c r="S348" t="n">
        <v>1</v>
      </c>
      <c r="T348" t="n">
        <v>2</v>
      </c>
      <c r="U348" t="n">
        <v>0</v>
      </c>
      <c r="V348" t="n">
        <v>9</v>
      </c>
      <c r="W348" t="n">
        <v>915</v>
      </c>
      <c r="X348" t="n">
        <v>10492</v>
      </c>
      <c r="Y348" t="n">
        <v>1837</v>
      </c>
      <c r="Z348" t="n">
        <v>88</v>
      </c>
      <c r="AA348" t="n">
        <v>123</v>
      </c>
      <c r="AB348" t="n">
        <v>17</v>
      </c>
      <c r="AC348" t="n">
        <v>394</v>
      </c>
      <c r="AD348" t="n">
        <v>92</v>
      </c>
      <c r="AE348" t="n">
        <v>51</v>
      </c>
      <c r="AF348" t="n">
        <v>297</v>
      </c>
      <c r="AG348" t="n">
        <v>1148</v>
      </c>
      <c r="AH348" t="n">
        <v>240</v>
      </c>
      <c r="AI348" t="n">
        <v>185</v>
      </c>
      <c r="AJ348" t="n">
        <v>284</v>
      </c>
      <c r="AK348" t="n">
        <v>566</v>
      </c>
      <c r="AL348" t="n">
        <v>264</v>
      </c>
      <c r="AM348" t="n">
        <v>4</v>
      </c>
      <c r="AN348" t="n">
        <v>0</v>
      </c>
      <c r="AO348" t="n">
        <v>6</v>
      </c>
      <c r="AP348" t="n">
        <v>49</v>
      </c>
      <c r="AQ348" t="n">
        <v>12</v>
      </c>
      <c r="AR348" t="n">
        <v>73</v>
      </c>
      <c r="AS348" t="n">
        <v>78</v>
      </c>
      <c r="AT348" t="n">
        <v>6</v>
      </c>
      <c r="AU348" t="n">
        <v>1</v>
      </c>
      <c r="AV348" t="n">
        <v>95</v>
      </c>
      <c r="AW348" t="n">
        <v>45</v>
      </c>
      <c r="AX348" t="n">
        <v>2</v>
      </c>
      <c r="AY348" t="n">
        <v>64</v>
      </c>
      <c r="AZ348" t="n">
        <v>0</v>
      </c>
      <c r="BA348" t="n">
        <v>13</v>
      </c>
      <c r="BB348" t="n">
        <v>0</v>
      </c>
      <c r="BC348" t="n">
        <v>467</v>
      </c>
      <c r="BD348" t="n">
        <v>95</v>
      </c>
      <c r="BE348" t="n">
        <v>10</v>
      </c>
      <c r="BF348" t="n">
        <v>4</v>
      </c>
      <c r="BG348" t="n">
        <v>210</v>
      </c>
      <c r="BH348" t="n">
        <v>33</v>
      </c>
      <c r="BI348" t="n">
        <v>37</v>
      </c>
      <c r="BJ348" t="n">
        <v>148</v>
      </c>
      <c r="BK348" t="n">
        <v>206</v>
      </c>
      <c r="BL348" t="n">
        <v>219</v>
      </c>
      <c r="BM348" t="n">
        <v>21</v>
      </c>
      <c r="BN348" t="n">
        <v>445</v>
      </c>
      <c r="BO348" t="n">
        <v>3</v>
      </c>
      <c r="BP348" t="n">
        <v>89</v>
      </c>
      <c r="BQ348" t="n">
        <v>1233</v>
      </c>
      <c r="BR348" t="n">
        <v>479</v>
      </c>
      <c r="BS348" t="n">
        <v>61</v>
      </c>
      <c r="BT348" t="n">
        <v>81</v>
      </c>
      <c r="BU348" t="n">
        <v>4</v>
      </c>
      <c r="BV348" t="n">
        <v>71</v>
      </c>
      <c r="BW348" t="n">
        <v>39</v>
      </c>
      <c r="BX348" t="n">
        <v>865</v>
      </c>
      <c r="BY348" t="n">
        <v>243</v>
      </c>
      <c r="BZ348" t="n">
        <v>7</v>
      </c>
      <c r="CA348" t="n">
        <v>16</v>
      </c>
      <c r="CB348" t="n">
        <v>234</v>
      </c>
      <c r="CC348" t="n">
        <v>64</v>
      </c>
      <c r="CD348" t="n">
        <v>18</v>
      </c>
      <c r="CE348" t="n">
        <v>95</v>
      </c>
      <c r="CF348" t="n">
        <v>42</v>
      </c>
      <c r="CG348" t="n">
        <v>65</v>
      </c>
      <c r="CH348" t="n">
        <v>9</v>
      </c>
      <c r="CI348" t="n">
        <v>138</v>
      </c>
      <c r="CJ348" t="n">
        <v>273</v>
      </c>
      <c r="CK348" t="n">
        <v>32</v>
      </c>
      <c r="CL348" t="n">
        <v>130</v>
      </c>
      <c r="CM348" t="n">
        <v>22</v>
      </c>
      <c r="CN348" t="n">
        <v>13</v>
      </c>
      <c r="CO348" t="n">
        <v>29</v>
      </c>
      <c r="CP348" t="n">
        <v>2</v>
      </c>
      <c r="CQ348" t="n">
        <v>93</v>
      </c>
      <c r="CR348" t="n">
        <v>13</v>
      </c>
      <c r="CS348" t="n">
        <v>10</v>
      </c>
      <c r="CT348" t="n">
        <v>26</v>
      </c>
      <c r="CU348" t="n">
        <v>17</v>
      </c>
      <c r="CV348" t="n">
        <v>49</v>
      </c>
      <c r="CW348" t="n">
        <v>61</v>
      </c>
      <c r="CX348" t="n">
        <v>41</v>
      </c>
      <c r="CY348" t="n">
        <v>34</v>
      </c>
      <c r="CZ348" t="n">
        <v>19</v>
      </c>
      <c r="DA348" t="n">
        <v>19</v>
      </c>
      <c r="DB348" t="n">
        <v>6</v>
      </c>
      <c r="DC348" t="n">
        <v>199</v>
      </c>
      <c r="DD348" t="n">
        <v>31</v>
      </c>
      <c r="DE348" t="n">
        <v>2</v>
      </c>
      <c r="DF348" t="n">
        <v>7</v>
      </c>
      <c r="DG348" t="n">
        <v>51</v>
      </c>
      <c r="DH348" t="n">
        <v>102</v>
      </c>
      <c r="DI348" t="n">
        <v>409</v>
      </c>
      <c r="DJ348" t="n">
        <v>30</v>
      </c>
      <c r="DK348" t="n">
        <v>46</v>
      </c>
      <c r="DL348" t="n">
        <v>55</v>
      </c>
      <c r="DM348" t="n">
        <v>225</v>
      </c>
      <c r="DN348" t="n">
        <v>32</v>
      </c>
      <c r="DO348" t="n">
        <v>409</v>
      </c>
      <c r="DP348" t="n">
        <v>34</v>
      </c>
      <c r="DQ348" t="n">
        <v>164</v>
      </c>
      <c r="DR348" t="n">
        <v>31</v>
      </c>
      <c r="DS348" t="n">
        <v>397</v>
      </c>
      <c r="DT348" t="n">
        <v>6</v>
      </c>
      <c r="DU348" t="n">
        <v>20</v>
      </c>
      <c r="DV348" t="n">
        <v>22</v>
      </c>
      <c r="DW348" t="n">
        <v>27</v>
      </c>
      <c r="DX348" t="n">
        <v>29</v>
      </c>
      <c r="DY348" t="n">
        <v>8</v>
      </c>
      <c r="DZ348" t="n">
        <v>25</v>
      </c>
      <c r="EA348" t="n">
        <v>6</v>
      </c>
      <c r="EB348" t="n">
        <v>6</v>
      </c>
      <c r="EC348" t="n">
        <v>1</v>
      </c>
      <c r="ED348" t="n">
        <v>34</v>
      </c>
      <c r="EE348" t="n">
        <v>12</v>
      </c>
      <c r="EF348" t="n">
        <v>13</v>
      </c>
      <c r="EG348" t="n">
        <v>8</v>
      </c>
      <c r="EH348" t="n">
        <v>5</v>
      </c>
      <c r="EI348" t="n">
        <v>7</v>
      </c>
      <c r="EJ348" t="n">
        <v>9</v>
      </c>
      <c r="EK348" t="n">
        <v>2</v>
      </c>
      <c r="EL348" t="n">
        <v>3</v>
      </c>
      <c r="EM348" t="n">
        <v>24</v>
      </c>
      <c r="EN348" t="n">
        <v>38</v>
      </c>
      <c r="EO348" t="n">
        <v>20</v>
      </c>
      <c r="EP348" t="n">
        <v>7</v>
      </c>
      <c r="EQ348" t="n">
        <v>49</v>
      </c>
      <c r="ER348" t="n">
        <v>38</v>
      </c>
      <c r="ES348" t="n">
        <v>39</v>
      </c>
      <c r="ET348" t="n">
        <v>9</v>
      </c>
      <c r="EU348" t="n">
        <v>10</v>
      </c>
      <c r="EV348" t="n">
        <v>3</v>
      </c>
      <c r="EW348" t="n">
        <v>19</v>
      </c>
      <c r="EX348" t="n">
        <v>103</v>
      </c>
      <c r="EY348" t="n">
        <v>238</v>
      </c>
      <c r="EZ348" t="n">
        <v>56</v>
      </c>
      <c r="FA348" t="n">
        <v>167</v>
      </c>
      <c r="FB348" t="n">
        <v>111</v>
      </c>
      <c r="FC348" t="n">
        <v>540</v>
      </c>
      <c r="FD348" t="n">
        <v>85</v>
      </c>
      <c r="FE348" t="n">
        <v>2</v>
      </c>
      <c r="FF348" t="n">
        <v>1230</v>
      </c>
      <c r="FG348" t="n">
        <v>294</v>
      </c>
      <c r="FH348" t="n">
        <v>728</v>
      </c>
      <c r="FI348" t="n">
        <v>230</v>
      </c>
      <c r="FJ348" t="n">
        <v>2</v>
      </c>
      <c r="FK348" t="n">
        <v>1021</v>
      </c>
      <c r="FL348" t="n">
        <v>35</v>
      </c>
      <c r="FM348" t="n">
        <v>55</v>
      </c>
      <c r="FN348" t="n">
        <v>50</v>
      </c>
      <c r="FO348" t="n">
        <v>58</v>
      </c>
      <c r="FP348" t="n">
        <v>4</v>
      </c>
      <c r="FQ348" t="n">
        <v>1</v>
      </c>
      <c r="FR348" t="n">
        <v>0</v>
      </c>
      <c r="FS348" t="n">
        <v>10</v>
      </c>
      <c r="FT348" t="n">
        <v>13</v>
      </c>
      <c r="FU348" t="n">
        <v>2</v>
      </c>
      <c r="FV348" t="n">
        <v>7</v>
      </c>
      <c r="FW348" t="n">
        <v>1</v>
      </c>
      <c r="FX348" t="n">
        <v>195</v>
      </c>
      <c r="FY348" t="n">
        <v>64</v>
      </c>
      <c r="FZ348" t="n">
        <v>8</v>
      </c>
      <c r="GA348" t="n">
        <v>67</v>
      </c>
      <c r="GB348" t="n">
        <v>80</v>
      </c>
      <c r="GC348" t="n">
        <v>103</v>
      </c>
      <c r="GD348" t="n">
        <v>22</v>
      </c>
      <c r="GE348" t="n">
        <v>14</v>
      </c>
      <c r="GF348" t="n">
        <v>4</v>
      </c>
      <c r="GG348" t="n">
        <v>7</v>
      </c>
      <c r="GH348" t="n">
        <v>127</v>
      </c>
      <c r="GI348" t="n">
        <v>54</v>
      </c>
      <c r="GJ348" t="n">
        <v>7</v>
      </c>
      <c r="GK348" t="n">
        <v>20</v>
      </c>
      <c r="GL348" t="n">
        <v>20</v>
      </c>
      <c r="GM348" t="n">
        <v>1</v>
      </c>
      <c r="GN348" t="n">
        <v>5</v>
      </c>
      <c r="GO348" t="n">
        <v>9</v>
      </c>
      <c r="GP348" t="n">
        <v>107</v>
      </c>
      <c r="GQ348" t="n">
        <v>6</v>
      </c>
      <c r="GR348" t="n">
        <v>6</v>
      </c>
      <c r="GS348" t="n">
        <v>116</v>
      </c>
      <c r="GT348" t="n">
        <v>4</v>
      </c>
      <c r="GU348" t="n">
        <v>120</v>
      </c>
      <c r="GV348" t="n">
        <v>1</v>
      </c>
      <c r="GW348" t="n">
        <v>149</v>
      </c>
      <c r="GX348" t="n">
        <v>33</v>
      </c>
      <c r="GY348" t="n">
        <v>3</v>
      </c>
      <c r="GZ348" t="n">
        <v>49</v>
      </c>
      <c r="HA348" t="n">
        <v>10</v>
      </c>
      <c r="HB348" t="n">
        <v>49</v>
      </c>
      <c r="HC348" t="n">
        <v>1</v>
      </c>
      <c r="HD348" t="n">
        <v>2</v>
      </c>
      <c r="HE348" t="n">
        <v>17</v>
      </c>
      <c r="HF348" t="n">
        <v>97</v>
      </c>
      <c r="HG348" t="n">
        <v>135</v>
      </c>
      <c r="HH348" t="n">
        <v>3</v>
      </c>
      <c r="HI348" t="n">
        <v>6</v>
      </c>
      <c r="HJ348" t="n">
        <v>1</v>
      </c>
      <c r="HK348" t="n">
        <v>247</v>
      </c>
      <c r="HL348" t="n">
        <v>1</v>
      </c>
      <c r="HM348" t="n">
        <v>40</v>
      </c>
      <c r="HN348" t="n">
        <v>15</v>
      </c>
      <c r="HO348" t="n">
        <v>1</v>
      </c>
      <c r="HP348" t="n">
        <v>7</v>
      </c>
      <c r="HQ348" t="n">
        <v>16</v>
      </c>
      <c r="HR348" t="n">
        <v>99</v>
      </c>
      <c r="HS348" t="n">
        <v>4</v>
      </c>
      <c r="HT348" t="n">
        <v>52</v>
      </c>
      <c r="HU348" t="n">
        <v>26</v>
      </c>
      <c r="HV348" t="n">
        <v>39</v>
      </c>
      <c r="HW348" t="n">
        <v>115</v>
      </c>
      <c r="HX348" t="n">
        <v>37</v>
      </c>
      <c r="HY348" t="n">
        <v>50</v>
      </c>
      <c r="HZ348" t="n">
        <v>6</v>
      </c>
      <c r="IA348" t="n">
        <v>4</v>
      </c>
      <c r="IB348" t="n">
        <v>1188</v>
      </c>
      <c r="IC348" t="n">
        <v>81</v>
      </c>
      <c r="ID348" t="n">
        <v>606</v>
      </c>
      <c r="IE348" t="n">
        <v>17</v>
      </c>
      <c r="IF348" t="n">
        <v>0</v>
      </c>
      <c r="IG348" t="n">
        <v>42</v>
      </c>
      <c r="IH348" t="n">
        <v>10</v>
      </c>
      <c r="II348" t="n">
        <v>33</v>
      </c>
      <c r="IJ348" t="n">
        <v>12</v>
      </c>
      <c r="IK348" t="n">
        <v>160</v>
      </c>
      <c r="IL348" t="n">
        <v>69</v>
      </c>
      <c r="IM348" t="n">
        <v>89</v>
      </c>
      <c r="IN348" t="n">
        <v>20</v>
      </c>
      <c r="IO348" t="n">
        <v>80</v>
      </c>
      <c r="IP348" t="n">
        <v>675</v>
      </c>
      <c r="IQ348" t="n">
        <v>83</v>
      </c>
      <c r="IR348" t="n">
        <v>137</v>
      </c>
      <c r="IS348" t="n">
        <v>159</v>
      </c>
      <c r="IT348" t="n">
        <v>6</v>
      </c>
      <c r="IU348" t="n">
        <v>8</v>
      </c>
      <c r="IV348" t="n">
        <v>17</v>
      </c>
      <c r="IW348" t="n">
        <v>26</v>
      </c>
      <c r="IX348" t="n">
        <v>97</v>
      </c>
      <c r="IY348" t="n">
        <v>1</v>
      </c>
      <c r="IZ348" t="n">
        <v>36</v>
      </c>
      <c r="JA348" t="n">
        <v>82</v>
      </c>
      <c r="JB348" t="n">
        <v>13</v>
      </c>
      <c r="JC348" t="n">
        <v>22</v>
      </c>
      <c r="JD348" t="n">
        <v>43</v>
      </c>
      <c r="JE348" t="n">
        <v>9</v>
      </c>
      <c r="JF348" t="n">
        <v>2</v>
      </c>
      <c r="JG348" t="n">
        <v>334</v>
      </c>
      <c r="JH348" t="n">
        <v>8</v>
      </c>
      <c r="JI348" t="n">
        <v>18</v>
      </c>
      <c r="JJ348" t="n">
        <v>46</v>
      </c>
      <c r="JK348" t="n">
        <v>1055</v>
      </c>
      <c r="JL348" t="n">
        <v>2925</v>
      </c>
      <c r="JM348" t="n">
        <v>4132</v>
      </c>
      <c r="JN348" t="n">
        <v>1975</v>
      </c>
      <c r="JO348" t="n">
        <v>4742</v>
      </c>
      <c r="JP348" t="n">
        <v>1095</v>
      </c>
      <c r="JQ348" t="n">
        <v>1703</v>
      </c>
      <c r="JR348" t="n">
        <v>107</v>
      </c>
      <c r="JS348" t="n">
        <v>3594</v>
      </c>
      <c r="JT348" t="n">
        <v>310</v>
      </c>
      <c r="JV348" t="n">
        <v>2801</v>
      </c>
      <c r="JW348" t="n">
        <v>547</v>
      </c>
      <c r="JX348" t="n">
        <v>307</v>
      </c>
      <c r="JY348" t="n">
        <v>979</v>
      </c>
      <c r="JZ348" t="n">
        <v>1016</v>
      </c>
      <c r="KA348" t="n">
        <v>454</v>
      </c>
      <c r="KB348" t="n">
        <v>646</v>
      </c>
      <c r="KC348" t="n">
        <v>3388</v>
      </c>
      <c r="KD348" t="n">
        <v>1370</v>
      </c>
      <c r="KE348" t="n">
        <v>394</v>
      </c>
      <c r="KF348" t="n">
        <v>15</v>
      </c>
      <c r="KG348" t="n">
        <v>334</v>
      </c>
      <c r="KH348" t="n">
        <v>7548</v>
      </c>
      <c r="KI348" t="n">
        <v>2200</v>
      </c>
      <c r="KJ348" t="n">
        <v>315</v>
      </c>
      <c r="KK348" t="n">
        <v>3033</v>
      </c>
      <c r="KL348" t="n">
        <v>1584</v>
      </c>
      <c r="KM348" t="n">
        <v>4276</v>
      </c>
      <c r="KN348" t="n">
        <v>220</v>
      </c>
      <c r="KO348" t="n">
        <v>314</v>
      </c>
      <c r="KP348" t="n">
        <v>798</v>
      </c>
      <c r="KQ348" t="n">
        <v>182</v>
      </c>
      <c r="KR348" t="n">
        <v>10936</v>
      </c>
      <c r="KS348" t="n">
        <v>821</v>
      </c>
      <c r="KT348" t="n">
        <v>58</v>
      </c>
      <c r="KU348" t="n">
        <v>908</v>
      </c>
      <c r="KV348" t="n">
        <v>569</v>
      </c>
      <c r="KW348" t="n">
        <v>21297</v>
      </c>
      <c r="KX348" t="n">
        <v>8655</v>
      </c>
      <c r="KY348" t="n">
        <v>437</v>
      </c>
      <c r="KZ348" t="n">
        <v>4308</v>
      </c>
      <c r="LA348" t="n">
        <v>7693</v>
      </c>
      <c r="LB348" t="n">
        <v>49</v>
      </c>
      <c r="LC348" t="n">
        <v>7362</v>
      </c>
      <c r="LD348" t="n">
        <v>6340</v>
      </c>
      <c r="LE348" t="n">
        <v>6512</v>
      </c>
      <c r="LF348" t="n">
        <v>1948</v>
      </c>
      <c r="LG348" t="n">
        <v>802</v>
      </c>
      <c r="LH348" t="n">
        <v>354</v>
      </c>
      <c r="LI348" t="n">
        <v>1985</v>
      </c>
      <c r="LJ348" t="n">
        <v>14</v>
      </c>
      <c r="LL348" t="n">
        <v>2</v>
      </c>
      <c r="LM348" t="n">
        <v>8567</v>
      </c>
      <c r="LN348" t="n">
        <v>617</v>
      </c>
      <c r="LO348" t="n">
        <v>947</v>
      </c>
      <c r="LP348" t="n">
        <v>329</v>
      </c>
      <c r="LQ348" t="n">
        <v>840</v>
      </c>
      <c r="LR348" t="n">
        <v>3904</v>
      </c>
      <c r="LS348" t="n">
        <v>13193</v>
      </c>
      <c r="LT348" t="n">
        <v>8265</v>
      </c>
      <c r="LU348" t="n">
        <v>1771</v>
      </c>
      <c r="LV348" t="n">
        <v>3165</v>
      </c>
      <c r="LW348" t="n">
        <v>7369</v>
      </c>
      <c r="LX348" t="n">
        <v>6884</v>
      </c>
      <c r="LY348" t="n">
        <v>2456</v>
      </c>
      <c r="LZ348" t="n">
        <v>4907</v>
      </c>
      <c r="MA348" t="n">
        <v>2340</v>
      </c>
      <c r="MB348" t="n">
        <v>817</v>
      </c>
      <c r="MC348" t="n">
        <v>248</v>
      </c>
      <c r="MD348" t="n">
        <v>8</v>
      </c>
      <c r="ME348" t="n">
        <v>2221</v>
      </c>
      <c r="MF348" t="n">
        <v>6602</v>
      </c>
      <c r="MG348" t="n">
        <v>35992</v>
      </c>
      <c r="MH348" t="n">
        <v>4329</v>
      </c>
      <c r="MI348" t="n">
        <v>1450</v>
      </c>
      <c r="MJ348" t="n">
        <v>1193</v>
      </c>
      <c r="MK348" t="n">
        <v>3546</v>
      </c>
      <c r="ML348" t="n">
        <v>1618</v>
      </c>
      <c r="MM348" t="n">
        <v>1164</v>
      </c>
      <c r="MN348" t="n">
        <v>1901</v>
      </c>
      <c r="MO348" t="n">
        <v>2999</v>
      </c>
      <c r="MP348" t="n">
        <v>6</v>
      </c>
      <c r="MQ348" t="n">
        <v>250</v>
      </c>
      <c r="MR348" t="n">
        <v>1792</v>
      </c>
      <c r="MS348" t="n">
        <v>7631</v>
      </c>
      <c r="MT348" t="n">
        <v>81</v>
      </c>
      <c r="MU348" t="n">
        <v>648</v>
      </c>
      <c r="MV348" t="n">
        <v>3347</v>
      </c>
      <c r="MW348" t="n">
        <v>424</v>
      </c>
      <c r="MX348" t="n">
        <v>2856</v>
      </c>
      <c r="MY348" t="n">
        <v>409</v>
      </c>
      <c r="MZ348" t="n">
        <v>23600</v>
      </c>
      <c r="NA348" t="n">
        <v>4819</v>
      </c>
      <c r="NB348" t="n">
        <v>497</v>
      </c>
      <c r="NC348" t="n">
        <v>840</v>
      </c>
      <c r="ND348" t="n">
        <v>274</v>
      </c>
      <c r="NE348" t="n">
        <v>233</v>
      </c>
      <c r="NF348" t="n">
        <v>331</v>
      </c>
      <c r="NG348" t="n">
        <v>188</v>
      </c>
      <c r="NH348" t="n">
        <v>595</v>
      </c>
      <c r="NI348" t="n">
        <v>1680</v>
      </c>
      <c r="NJ348" t="n">
        <v>166</v>
      </c>
      <c r="NK348" t="n">
        <v>288</v>
      </c>
      <c r="NL348" t="n">
        <v>251</v>
      </c>
      <c r="NM348" t="n">
        <v>823</v>
      </c>
      <c r="NN348" t="n">
        <v>1987</v>
      </c>
      <c r="NO348" t="n">
        <v>1607</v>
      </c>
      <c r="NP348" t="n">
        <v>1343</v>
      </c>
      <c r="NQ348" t="n">
        <v>1270</v>
      </c>
      <c r="NR348" t="n">
        <v>2044</v>
      </c>
      <c r="NS348" t="n">
        <v>913</v>
      </c>
      <c r="NT348" t="n">
        <v>1868</v>
      </c>
      <c r="NU348" t="n">
        <v>304</v>
      </c>
      <c r="NV348" t="n">
        <v>1547</v>
      </c>
      <c r="NW348" t="n">
        <v>26</v>
      </c>
      <c r="NX348" t="n">
        <v>171</v>
      </c>
      <c r="NY348" t="n">
        <v>990</v>
      </c>
      <c r="NZ348" t="n">
        <v>25</v>
      </c>
      <c r="OA348" t="n">
        <v>446</v>
      </c>
      <c r="OB348" t="n">
        <v>862</v>
      </c>
      <c r="OD348" t="n">
        <v>2314</v>
      </c>
      <c r="OE348" t="n">
        <v>19</v>
      </c>
      <c r="OF348" t="n">
        <v>33</v>
      </c>
      <c r="OG348" t="n">
        <v>15</v>
      </c>
      <c r="OH348" t="n">
        <v>91</v>
      </c>
      <c r="OI348" t="n">
        <v>1787</v>
      </c>
      <c r="OJ348" t="n">
        <v>670</v>
      </c>
      <c r="OK348" t="n">
        <v>5175</v>
      </c>
      <c r="OL348" t="n">
        <v>36</v>
      </c>
      <c r="OM348" t="n">
        <v>12</v>
      </c>
      <c r="ON348" t="n">
        <v>1551</v>
      </c>
      <c r="OO348" t="n">
        <v>382821</v>
      </c>
      <c r="OP348" t="n">
        <v>1879</v>
      </c>
      <c r="OV348" t="n">
        <v>975</v>
      </c>
      <c r="PI348" t="n">
        <v>385674</v>
      </c>
      <c r="PM348">
        <f>IFERROR(VLOOKUP($A348&amp;"",Key!$A:$C,3,FALSE),"")</f>
        <v/>
      </c>
    </row>
    <row r="349">
      <c r="A349" t="n">
        <v>561700</v>
      </c>
      <c r="B349" t="inlineStr">
        <is>
          <t>Services to buildings and dwellings</t>
        </is>
      </c>
      <c r="C349" t="n">
        <v>12</v>
      </c>
      <c r="D349" t="n">
        <v>136</v>
      </c>
      <c r="E349" t="n">
        <v>72</v>
      </c>
      <c r="F349" t="n">
        <v>58</v>
      </c>
      <c r="G349" t="n">
        <v>40</v>
      </c>
      <c r="H349" t="n">
        <v>51</v>
      </c>
      <c r="I349" t="n">
        <v>52</v>
      </c>
      <c r="J349" t="n">
        <v>43</v>
      </c>
      <c r="K349" t="n">
        <v>60</v>
      </c>
      <c r="L349" t="n">
        <v>21</v>
      </c>
      <c r="M349" t="n">
        <v>1</v>
      </c>
      <c r="N349" t="n">
        <v>4</v>
      </c>
      <c r="O349" t="n">
        <v>27</v>
      </c>
      <c r="P349" t="n">
        <v>190</v>
      </c>
      <c r="Q349" t="n">
        <v>175</v>
      </c>
      <c r="R349" t="n">
        <v>56</v>
      </c>
      <c r="S349" t="n">
        <v>101</v>
      </c>
      <c r="T349" t="n">
        <v>77</v>
      </c>
      <c r="U349" t="n">
        <v>124</v>
      </c>
      <c r="V349" t="n">
        <v>286</v>
      </c>
      <c r="W349" t="n">
        <v>499</v>
      </c>
      <c r="X349" t="n">
        <v>336</v>
      </c>
      <c r="Y349" t="n">
        <v>398</v>
      </c>
      <c r="Z349" t="n">
        <v>7</v>
      </c>
      <c r="AA349" t="n">
        <v>30</v>
      </c>
      <c r="AB349" t="n">
        <v>6</v>
      </c>
      <c r="AC349" t="n">
        <v>262</v>
      </c>
      <c r="AD349" t="n">
        <v>63</v>
      </c>
      <c r="AE349" t="n">
        <v>143</v>
      </c>
      <c r="AF349" t="n">
        <v>109</v>
      </c>
      <c r="AG349" t="n">
        <v>904</v>
      </c>
      <c r="AH349" t="n">
        <v>115</v>
      </c>
      <c r="AI349" t="n">
        <v>140</v>
      </c>
      <c r="AJ349" t="n">
        <v>118</v>
      </c>
      <c r="AK349" t="n">
        <v>271</v>
      </c>
      <c r="AL349" t="n">
        <v>200</v>
      </c>
      <c r="AM349" t="n">
        <v>170</v>
      </c>
      <c r="AN349" t="n">
        <v>89</v>
      </c>
      <c r="AO349" t="n">
        <v>68</v>
      </c>
      <c r="AP349" t="n">
        <v>69</v>
      </c>
      <c r="AQ349" t="n">
        <v>15</v>
      </c>
      <c r="AR349" t="n">
        <v>68</v>
      </c>
      <c r="AS349" t="n">
        <v>24</v>
      </c>
      <c r="AT349" t="n">
        <v>60</v>
      </c>
      <c r="AU349" t="n">
        <v>17</v>
      </c>
      <c r="AV349" t="n">
        <v>31</v>
      </c>
      <c r="AW349" t="n">
        <v>7</v>
      </c>
      <c r="AX349" t="n">
        <v>6</v>
      </c>
      <c r="AY349" t="n">
        <v>8</v>
      </c>
      <c r="AZ349" t="n">
        <v>6</v>
      </c>
      <c r="BA349" t="n">
        <v>11</v>
      </c>
      <c r="BB349" t="n">
        <v>8</v>
      </c>
      <c r="BC349" t="n">
        <v>152</v>
      </c>
      <c r="BD349" t="n">
        <v>38</v>
      </c>
      <c r="BE349" t="n">
        <v>7</v>
      </c>
      <c r="BF349" t="n">
        <v>2</v>
      </c>
      <c r="BG349" t="n">
        <v>32</v>
      </c>
      <c r="BH349" t="n">
        <v>13</v>
      </c>
      <c r="BI349" t="n">
        <v>18</v>
      </c>
      <c r="BJ349" t="n">
        <v>21</v>
      </c>
      <c r="BK349" t="n">
        <v>34</v>
      </c>
      <c r="BL349" t="n">
        <v>31</v>
      </c>
      <c r="BM349" t="n">
        <v>15</v>
      </c>
      <c r="BN349" t="n">
        <v>24</v>
      </c>
      <c r="BO349" t="n">
        <v>24</v>
      </c>
      <c r="BP349" t="n">
        <v>28</v>
      </c>
      <c r="BQ349" t="n">
        <v>72</v>
      </c>
      <c r="BR349" t="n">
        <v>59</v>
      </c>
      <c r="BS349" t="n">
        <v>11</v>
      </c>
      <c r="BT349" t="n">
        <v>11</v>
      </c>
      <c r="BU349" t="n">
        <v>9</v>
      </c>
      <c r="BV349" t="n">
        <v>17</v>
      </c>
      <c r="BW349" t="n">
        <v>20</v>
      </c>
      <c r="BX349" t="n">
        <v>84</v>
      </c>
      <c r="BY349" t="n">
        <v>89</v>
      </c>
      <c r="BZ349" t="n">
        <v>68</v>
      </c>
      <c r="CA349" t="n">
        <v>9</v>
      </c>
      <c r="CB349" t="n">
        <v>37</v>
      </c>
      <c r="CC349" t="n">
        <v>10</v>
      </c>
      <c r="CD349" t="n">
        <v>10</v>
      </c>
      <c r="CE349" t="n">
        <v>18</v>
      </c>
      <c r="CF349" t="n">
        <v>25</v>
      </c>
      <c r="CG349" t="n">
        <v>26</v>
      </c>
      <c r="CH349" t="n">
        <v>3</v>
      </c>
      <c r="CI349" t="n">
        <v>40</v>
      </c>
      <c r="CJ349" t="n">
        <v>28</v>
      </c>
      <c r="CK349" t="n">
        <v>6</v>
      </c>
      <c r="CL349" t="n">
        <v>45</v>
      </c>
      <c r="CM349" t="n">
        <v>8</v>
      </c>
      <c r="CN349" t="n">
        <v>1</v>
      </c>
      <c r="CO349" t="n">
        <v>29</v>
      </c>
      <c r="CP349" t="n">
        <v>5</v>
      </c>
      <c r="CQ349" t="n">
        <v>37</v>
      </c>
      <c r="CR349" t="n">
        <v>9</v>
      </c>
      <c r="CS349" t="n">
        <v>17</v>
      </c>
      <c r="CT349" t="n">
        <v>16</v>
      </c>
      <c r="CU349" t="n">
        <v>8</v>
      </c>
      <c r="CV349" t="n">
        <v>18</v>
      </c>
      <c r="CW349" t="n">
        <v>14</v>
      </c>
      <c r="CX349" t="n">
        <v>4</v>
      </c>
      <c r="CY349" t="n">
        <v>17</v>
      </c>
      <c r="CZ349" t="n">
        <v>35</v>
      </c>
      <c r="DA349" t="n">
        <v>5</v>
      </c>
      <c r="DB349" t="n">
        <v>29</v>
      </c>
      <c r="DC349" t="n">
        <v>31</v>
      </c>
      <c r="DD349" t="n">
        <v>4</v>
      </c>
      <c r="DE349" t="n">
        <v>7</v>
      </c>
      <c r="DF349" t="n">
        <v>3</v>
      </c>
      <c r="DG349" t="n">
        <v>32</v>
      </c>
      <c r="DH349" t="n">
        <v>11</v>
      </c>
      <c r="DI349" t="n">
        <v>0</v>
      </c>
      <c r="DJ349" t="n">
        <v>0</v>
      </c>
      <c r="DK349" t="n">
        <v>0</v>
      </c>
      <c r="DL349" t="n">
        <v>0</v>
      </c>
      <c r="DM349" t="n">
        <v>1</v>
      </c>
      <c r="DN349" t="n">
        <v>0</v>
      </c>
      <c r="DO349" t="n">
        <v>21</v>
      </c>
      <c r="DP349" t="n">
        <v>2</v>
      </c>
      <c r="DQ349" t="n">
        <v>5</v>
      </c>
      <c r="DR349" t="n">
        <v>35</v>
      </c>
      <c r="DS349" t="n">
        <v>9</v>
      </c>
      <c r="DT349" t="n">
        <v>1</v>
      </c>
      <c r="DU349" t="n">
        <v>2</v>
      </c>
      <c r="DV349" t="n">
        <v>17</v>
      </c>
      <c r="DW349" t="n">
        <v>4</v>
      </c>
      <c r="DX349" t="n">
        <v>9</v>
      </c>
      <c r="DY349" t="n">
        <v>3</v>
      </c>
      <c r="DZ349" t="n">
        <v>5</v>
      </c>
      <c r="EA349" t="n">
        <v>1</v>
      </c>
      <c r="EB349" t="n">
        <v>0</v>
      </c>
      <c r="EC349" t="n">
        <v>1</v>
      </c>
      <c r="ED349" t="n">
        <v>19</v>
      </c>
      <c r="EE349" t="n">
        <v>0</v>
      </c>
      <c r="EF349" t="n">
        <v>24</v>
      </c>
      <c r="EG349" t="n">
        <v>9</v>
      </c>
      <c r="EH349" t="n">
        <v>10</v>
      </c>
      <c r="EI349" t="n">
        <v>17</v>
      </c>
      <c r="EJ349" t="n">
        <v>10</v>
      </c>
      <c r="EK349" t="n">
        <v>19</v>
      </c>
      <c r="EL349" t="n">
        <v>0</v>
      </c>
      <c r="EM349" t="n">
        <v>12</v>
      </c>
      <c r="EN349" t="n">
        <v>25</v>
      </c>
      <c r="EO349" t="n">
        <v>7</v>
      </c>
      <c r="EP349" t="n">
        <v>14</v>
      </c>
      <c r="EQ349" t="n">
        <v>15</v>
      </c>
      <c r="ER349" t="n">
        <v>143</v>
      </c>
      <c r="ES349" t="n">
        <v>11</v>
      </c>
      <c r="ET349" t="n">
        <v>25</v>
      </c>
      <c r="EU349" t="n">
        <v>17</v>
      </c>
      <c r="EV349" t="n">
        <v>0</v>
      </c>
      <c r="EW349" t="n">
        <v>22</v>
      </c>
      <c r="EX349" t="n">
        <v>111</v>
      </c>
      <c r="EY349" t="n">
        <v>41</v>
      </c>
      <c r="EZ349" t="n">
        <v>97</v>
      </c>
      <c r="FA349" t="n">
        <v>104</v>
      </c>
      <c r="FB349" t="n">
        <v>126</v>
      </c>
      <c r="FC349" t="n">
        <v>118</v>
      </c>
      <c r="FD349" t="n">
        <v>86</v>
      </c>
      <c r="FE349" t="n">
        <v>71</v>
      </c>
      <c r="FF349" t="n">
        <v>226</v>
      </c>
      <c r="FG349" t="n">
        <v>55</v>
      </c>
      <c r="FH349" t="n">
        <v>28</v>
      </c>
      <c r="FI349" t="n">
        <v>41</v>
      </c>
      <c r="FJ349" t="n">
        <v>37</v>
      </c>
      <c r="FK349" t="n">
        <v>105</v>
      </c>
      <c r="FL349" t="n">
        <v>15</v>
      </c>
      <c r="FM349" t="n">
        <v>17</v>
      </c>
      <c r="FN349" t="n">
        <v>7</v>
      </c>
      <c r="FO349" t="n">
        <v>7</v>
      </c>
      <c r="FP349" t="n">
        <v>36</v>
      </c>
      <c r="FQ349" t="n">
        <v>24</v>
      </c>
      <c r="FR349" t="n">
        <v>6</v>
      </c>
      <c r="FS349" t="n">
        <v>13</v>
      </c>
      <c r="FT349" t="n">
        <v>13</v>
      </c>
      <c r="FU349" t="n">
        <v>18</v>
      </c>
      <c r="FV349" t="n">
        <v>49</v>
      </c>
      <c r="FW349" t="n">
        <v>16</v>
      </c>
      <c r="FX349" t="n">
        <v>39</v>
      </c>
      <c r="FY349" t="n">
        <v>38</v>
      </c>
      <c r="FZ349" t="n">
        <v>7</v>
      </c>
      <c r="GA349" t="n">
        <v>6</v>
      </c>
      <c r="GB349" t="n">
        <v>7</v>
      </c>
      <c r="GC349" t="n">
        <v>6</v>
      </c>
      <c r="GD349" t="n">
        <v>13</v>
      </c>
      <c r="GE349" t="n">
        <v>0</v>
      </c>
      <c r="GF349" t="n">
        <v>3</v>
      </c>
      <c r="GG349" t="n">
        <v>18</v>
      </c>
      <c r="GH349" t="n">
        <v>28</v>
      </c>
      <c r="GI349" t="n">
        <v>57</v>
      </c>
      <c r="GJ349" t="n">
        <v>54</v>
      </c>
      <c r="GK349" t="n">
        <v>36</v>
      </c>
      <c r="GL349" t="n">
        <v>25</v>
      </c>
      <c r="GM349" t="n">
        <v>5</v>
      </c>
      <c r="GN349" t="n">
        <v>13</v>
      </c>
      <c r="GO349" t="n">
        <v>14</v>
      </c>
      <c r="GP349" t="n">
        <v>107</v>
      </c>
      <c r="GQ349" t="n">
        <v>71</v>
      </c>
      <c r="GR349" t="n">
        <v>79</v>
      </c>
      <c r="GS349" t="n">
        <v>60</v>
      </c>
      <c r="GT349" t="n">
        <v>55</v>
      </c>
      <c r="GU349" t="n">
        <v>126</v>
      </c>
      <c r="GV349" t="n">
        <v>35</v>
      </c>
      <c r="GW349" t="n">
        <v>131</v>
      </c>
      <c r="GX349" t="n">
        <v>284</v>
      </c>
      <c r="GY349" t="n">
        <v>40</v>
      </c>
      <c r="GZ349" t="n">
        <v>168</v>
      </c>
      <c r="HA349" t="n">
        <v>62</v>
      </c>
      <c r="HB349" t="n">
        <v>93</v>
      </c>
      <c r="HC349" t="n">
        <v>19</v>
      </c>
      <c r="HD349" t="n">
        <v>17</v>
      </c>
      <c r="HE349" t="n">
        <v>52</v>
      </c>
      <c r="HF349" t="n">
        <v>76</v>
      </c>
      <c r="HG349" t="n">
        <v>107</v>
      </c>
      <c r="HH349" t="n">
        <v>39</v>
      </c>
      <c r="HI349" t="n">
        <v>32</v>
      </c>
      <c r="HJ349" t="n">
        <v>17</v>
      </c>
      <c r="HK349" t="n">
        <v>75</v>
      </c>
      <c r="HL349" t="n">
        <v>12</v>
      </c>
      <c r="HM349" t="n">
        <v>39</v>
      </c>
      <c r="HN349" t="n">
        <v>22</v>
      </c>
      <c r="HO349" t="n">
        <v>13</v>
      </c>
      <c r="HP349" t="n">
        <v>6</v>
      </c>
      <c r="HQ349" t="n">
        <v>15</v>
      </c>
      <c r="HR349" t="n">
        <v>2</v>
      </c>
      <c r="HS349" t="n">
        <v>4</v>
      </c>
      <c r="HT349" t="n">
        <v>86</v>
      </c>
      <c r="HU349" t="n">
        <v>168</v>
      </c>
      <c r="HV349" t="n">
        <v>318</v>
      </c>
      <c r="HW349" t="n">
        <v>368</v>
      </c>
      <c r="HX349" t="n">
        <v>69</v>
      </c>
      <c r="HY349" t="n">
        <v>16</v>
      </c>
      <c r="HZ349" t="n">
        <v>34</v>
      </c>
      <c r="IA349" t="n">
        <v>17</v>
      </c>
      <c r="IB349" t="n">
        <v>365</v>
      </c>
      <c r="IC349" t="n">
        <v>12</v>
      </c>
      <c r="ID349" t="n">
        <v>406</v>
      </c>
      <c r="IE349" t="n">
        <v>77</v>
      </c>
      <c r="IF349" t="n">
        <v>37</v>
      </c>
      <c r="IG349" t="n">
        <v>91</v>
      </c>
      <c r="IH349" t="n">
        <v>269</v>
      </c>
      <c r="II349" t="n">
        <v>78</v>
      </c>
      <c r="IJ349" t="n">
        <v>31</v>
      </c>
      <c r="IK349" t="n">
        <v>211</v>
      </c>
      <c r="IL349" t="n">
        <v>513</v>
      </c>
      <c r="IM349" t="n">
        <v>371</v>
      </c>
      <c r="IN349" t="n">
        <v>42</v>
      </c>
      <c r="IO349" t="n">
        <v>29</v>
      </c>
      <c r="IP349" t="n">
        <v>159</v>
      </c>
      <c r="IQ349" t="n">
        <v>14</v>
      </c>
      <c r="IR349" t="n">
        <v>86</v>
      </c>
      <c r="IS349" t="n">
        <v>86</v>
      </c>
      <c r="IT349" t="n">
        <v>26</v>
      </c>
      <c r="IU349" t="n">
        <v>32</v>
      </c>
      <c r="IV349" t="n">
        <v>23</v>
      </c>
      <c r="IW349" t="n">
        <v>76</v>
      </c>
      <c r="IX349" t="n">
        <v>40</v>
      </c>
      <c r="IY349" t="n">
        <v>7</v>
      </c>
      <c r="IZ349" t="n">
        <v>127</v>
      </c>
      <c r="JA349" t="n">
        <v>124</v>
      </c>
      <c r="JB349" t="n">
        <v>68</v>
      </c>
      <c r="JC349" t="n">
        <v>12</v>
      </c>
      <c r="JD349" t="n">
        <v>29</v>
      </c>
      <c r="JE349" t="n">
        <v>23</v>
      </c>
      <c r="JF349" t="n">
        <v>49</v>
      </c>
      <c r="JG349" t="n">
        <v>331</v>
      </c>
      <c r="JH349" t="n">
        <v>72</v>
      </c>
      <c r="JI349" t="n">
        <v>14</v>
      </c>
      <c r="JJ349" t="n">
        <v>45</v>
      </c>
      <c r="JK349" t="n">
        <v>428</v>
      </c>
      <c r="JL349" t="n">
        <v>848</v>
      </c>
      <c r="JM349" t="n">
        <v>1213</v>
      </c>
      <c r="JN349" t="n">
        <v>1090</v>
      </c>
      <c r="JO349" t="n">
        <v>1574</v>
      </c>
      <c r="JP349" t="n">
        <v>386</v>
      </c>
      <c r="JQ349" t="n">
        <v>1003</v>
      </c>
      <c r="JR349" t="n">
        <v>328</v>
      </c>
      <c r="JS349" t="n">
        <v>1606</v>
      </c>
      <c r="JT349" t="n">
        <v>152</v>
      </c>
      <c r="JV349" t="n">
        <v>1228</v>
      </c>
      <c r="JW349" t="n">
        <v>1145</v>
      </c>
      <c r="JX349" t="n">
        <v>2970</v>
      </c>
      <c r="JY349" t="n">
        <v>693</v>
      </c>
      <c r="JZ349" t="n">
        <v>429</v>
      </c>
      <c r="KA349" t="n">
        <v>961</v>
      </c>
      <c r="KB349" t="n">
        <v>569</v>
      </c>
      <c r="KC349" t="n">
        <v>618</v>
      </c>
      <c r="KD349" t="n">
        <v>786</v>
      </c>
      <c r="KE349" t="n">
        <v>955</v>
      </c>
      <c r="KF349" t="n">
        <v>380</v>
      </c>
      <c r="KG349" t="n">
        <v>8</v>
      </c>
      <c r="KH349" t="n">
        <v>274</v>
      </c>
      <c r="KI349" t="n">
        <v>1844</v>
      </c>
      <c r="KJ349" t="n">
        <v>38</v>
      </c>
      <c r="KK349" t="n">
        <v>1091</v>
      </c>
      <c r="KL349" t="n">
        <v>46</v>
      </c>
      <c r="KM349" t="n">
        <v>267</v>
      </c>
      <c r="KN349" t="n">
        <v>49</v>
      </c>
      <c r="KO349" t="n">
        <v>51</v>
      </c>
      <c r="KP349" t="n">
        <v>97</v>
      </c>
      <c r="KQ349" t="n">
        <v>16</v>
      </c>
      <c r="KR349" t="n">
        <v>367</v>
      </c>
      <c r="KS349" t="n">
        <v>204</v>
      </c>
      <c r="KT349" t="n">
        <v>17</v>
      </c>
      <c r="KU349" t="n">
        <v>51</v>
      </c>
      <c r="KV349" t="n">
        <v>52</v>
      </c>
      <c r="KW349" t="n">
        <v>458</v>
      </c>
      <c r="KX349" t="n">
        <v>454</v>
      </c>
      <c r="KY349" t="n">
        <v>236</v>
      </c>
      <c r="KZ349" t="n">
        <v>417</v>
      </c>
      <c r="LA349" t="n">
        <v>655</v>
      </c>
      <c r="LB349" t="n">
        <v>1</v>
      </c>
      <c r="LC349" t="n">
        <v>755</v>
      </c>
      <c r="LD349" t="n">
        <v>793</v>
      </c>
      <c r="LE349" t="n">
        <v>1486</v>
      </c>
      <c r="LF349" t="n">
        <v>158</v>
      </c>
      <c r="LG349" t="n">
        <v>411</v>
      </c>
      <c r="LH349" t="n">
        <v>1076</v>
      </c>
      <c r="LI349" t="n">
        <v>8</v>
      </c>
      <c r="LJ349" t="n">
        <v>198</v>
      </c>
      <c r="LK349" t="n">
        <v>293</v>
      </c>
      <c r="LL349" t="n">
        <v>261</v>
      </c>
      <c r="LM349" t="n">
        <v>73983</v>
      </c>
      <c r="LN349" t="n">
        <v>147</v>
      </c>
      <c r="LO349" t="n">
        <v>676</v>
      </c>
      <c r="LP349" t="n">
        <v>65</v>
      </c>
      <c r="LQ349" t="n">
        <v>1841</v>
      </c>
      <c r="LR349" t="n">
        <v>629</v>
      </c>
      <c r="LS349" t="n">
        <v>137</v>
      </c>
      <c r="LT349" t="n">
        <v>156</v>
      </c>
      <c r="LU349" t="n">
        <v>21</v>
      </c>
      <c r="LV349" t="n">
        <v>190</v>
      </c>
      <c r="LW349" t="n">
        <v>516</v>
      </c>
      <c r="LX349" t="n">
        <v>301</v>
      </c>
      <c r="LY349" t="n">
        <v>69</v>
      </c>
      <c r="LZ349" t="n">
        <v>555</v>
      </c>
      <c r="MA349" t="n">
        <v>222</v>
      </c>
      <c r="MB349" t="n">
        <v>100</v>
      </c>
      <c r="MC349" t="n">
        <v>32</v>
      </c>
      <c r="MD349" t="n">
        <v>75</v>
      </c>
      <c r="ME349" t="n">
        <v>215</v>
      </c>
      <c r="MF349" t="n">
        <v>1337</v>
      </c>
      <c r="MG349" t="n">
        <v>1493</v>
      </c>
      <c r="MH349" t="n">
        <v>1047</v>
      </c>
      <c r="MI349" t="n">
        <v>182</v>
      </c>
      <c r="MJ349" t="n">
        <v>523</v>
      </c>
      <c r="MK349" t="n">
        <v>329</v>
      </c>
      <c r="ML349" t="n">
        <v>191</v>
      </c>
      <c r="MM349" t="n">
        <v>239</v>
      </c>
      <c r="MN349" t="n">
        <v>247</v>
      </c>
      <c r="MO349" t="n">
        <v>492</v>
      </c>
      <c r="MP349" t="n">
        <v>138</v>
      </c>
      <c r="MQ349" t="n">
        <v>301</v>
      </c>
      <c r="MR349" t="n">
        <v>469</v>
      </c>
      <c r="MS349" t="n">
        <v>810</v>
      </c>
      <c r="MT349" t="n">
        <v>107</v>
      </c>
      <c r="MU349" t="n">
        <v>117</v>
      </c>
      <c r="MV349" t="n">
        <v>638</v>
      </c>
      <c r="MW349" t="n">
        <v>69</v>
      </c>
      <c r="MX349" t="n">
        <v>72</v>
      </c>
      <c r="MY349" t="n">
        <v>73</v>
      </c>
      <c r="MZ349" t="n">
        <v>3808</v>
      </c>
      <c r="NA349" t="n">
        <v>893</v>
      </c>
      <c r="NB349" t="n">
        <v>252</v>
      </c>
      <c r="NC349" t="n">
        <v>390</v>
      </c>
      <c r="ND349" t="n">
        <v>393</v>
      </c>
      <c r="NE349" t="n">
        <v>249</v>
      </c>
      <c r="NF349" t="n">
        <v>38</v>
      </c>
      <c r="NG349" t="n">
        <v>86</v>
      </c>
      <c r="NH349" t="n">
        <v>31</v>
      </c>
      <c r="NI349" t="n">
        <v>153</v>
      </c>
      <c r="NJ349" t="n">
        <v>134</v>
      </c>
      <c r="NK349" t="n">
        <v>116</v>
      </c>
      <c r="NL349" t="n">
        <v>585</v>
      </c>
      <c r="NM349" t="n">
        <v>521</v>
      </c>
      <c r="NN349" t="n">
        <v>2105</v>
      </c>
      <c r="NO349" t="n">
        <v>1538</v>
      </c>
      <c r="NP349" t="n">
        <v>2099</v>
      </c>
      <c r="NQ349" t="n">
        <v>225</v>
      </c>
      <c r="NR349" t="n">
        <v>263</v>
      </c>
      <c r="NS349" t="n">
        <v>73</v>
      </c>
      <c r="NT349" t="n">
        <v>87</v>
      </c>
      <c r="NU349" t="n">
        <v>58</v>
      </c>
      <c r="NV349" t="n">
        <v>245</v>
      </c>
      <c r="NW349" t="n">
        <v>18</v>
      </c>
      <c r="NX349" t="n">
        <v>51</v>
      </c>
      <c r="NY349" t="n">
        <v>230</v>
      </c>
      <c r="NZ349" t="n">
        <v>820</v>
      </c>
      <c r="OA349" t="n">
        <v>181</v>
      </c>
      <c r="OB349" t="n">
        <v>435</v>
      </c>
      <c r="OD349" t="n">
        <v>93</v>
      </c>
      <c r="OE349" t="n">
        <v>44</v>
      </c>
      <c r="OF349" t="n">
        <v>46</v>
      </c>
      <c r="OG349" t="n">
        <v>99</v>
      </c>
      <c r="OH349" t="n">
        <v>27</v>
      </c>
      <c r="OI349" t="n">
        <v>1325</v>
      </c>
      <c r="OJ349" t="n">
        <v>792</v>
      </c>
      <c r="OK349" t="n">
        <v>11375</v>
      </c>
      <c r="OL349" t="n">
        <v>70</v>
      </c>
      <c r="OM349" t="n">
        <v>137</v>
      </c>
      <c r="ON349" t="n">
        <v>1009</v>
      </c>
      <c r="OO349" t="n">
        <v>167973</v>
      </c>
      <c r="OP349" t="n">
        <v>21348</v>
      </c>
      <c r="OV349" t="n">
        <v>58</v>
      </c>
      <c r="PI349" t="n">
        <v>189379</v>
      </c>
      <c r="PM349">
        <f>IFERROR(VLOOKUP($A349&amp;"",Key!$A:$C,3,FALSE),"")</f>
        <v/>
      </c>
    </row>
    <row r="350">
      <c r="A350" t="n">
        <v>561100</v>
      </c>
      <c r="B350" t="inlineStr">
        <is>
          <t>Office administrative services</t>
        </is>
      </c>
      <c r="C350" t="n">
        <v>1</v>
      </c>
      <c r="H350" t="n">
        <v>0</v>
      </c>
      <c r="O350" t="n">
        <v>1</v>
      </c>
      <c r="P350" t="n">
        <v>6</v>
      </c>
      <c r="Q350" t="n">
        <v>5</v>
      </c>
      <c r="R350" t="n">
        <v>0</v>
      </c>
      <c r="S350" t="n">
        <v>0</v>
      </c>
      <c r="T350" t="n">
        <v>1</v>
      </c>
      <c r="U350" t="n">
        <v>1</v>
      </c>
      <c r="W350" t="n">
        <v>17</v>
      </c>
      <c r="X350" t="n">
        <v>41</v>
      </c>
      <c r="Z350" t="n">
        <v>2</v>
      </c>
      <c r="AA350" t="n">
        <v>13</v>
      </c>
      <c r="AB350" t="n">
        <v>1</v>
      </c>
      <c r="AC350" t="n">
        <v>45</v>
      </c>
      <c r="AD350" t="n">
        <v>15</v>
      </c>
      <c r="AE350" t="n">
        <v>91</v>
      </c>
      <c r="AF350" t="n">
        <v>38</v>
      </c>
      <c r="AG350" t="n">
        <v>151</v>
      </c>
      <c r="AH350" t="n">
        <v>38</v>
      </c>
      <c r="AI350" t="n">
        <v>39</v>
      </c>
      <c r="AJ350" t="n">
        <v>36</v>
      </c>
      <c r="AK350" t="n">
        <v>89</v>
      </c>
      <c r="AL350" t="n">
        <v>77</v>
      </c>
      <c r="AM350" t="n">
        <v>8</v>
      </c>
      <c r="AN350" t="n">
        <v>2</v>
      </c>
      <c r="AO350" t="n">
        <v>3</v>
      </c>
      <c r="AP350" t="n">
        <v>3</v>
      </c>
      <c r="AR350" t="n">
        <v>1</v>
      </c>
      <c r="AS350" t="n">
        <v>0</v>
      </c>
      <c r="AT350" t="n">
        <v>1</v>
      </c>
      <c r="AU350" t="n">
        <v>1</v>
      </c>
      <c r="AV350" t="n">
        <v>1</v>
      </c>
      <c r="AX350" t="n">
        <v>0</v>
      </c>
      <c r="AY350" t="n">
        <v>1</v>
      </c>
      <c r="BC350" t="n">
        <v>1</v>
      </c>
      <c r="BD350" t="n">
        <v>1</v>
      </c>
      <c r="BE350" t="n">
        <v>1</v>
      </c>
      <c r="BF350" t="n">
        <v>0</v>
      </c>
      <c r="BG350" t="n">
        <v>1</v>
      </c>
      <c r="BH350" t="n">
        <v>2</v>
      </c>
      <c r="BI350" t="n">
        <v>0</v>
      </c>
      <c r="BJ350" t="n">
        <v>1</v>
      </c>
      <c r="BK350" t="n">
        <v>0</v>
      </c>
      <c r="BL350" t="n">
        <v>0</v>
      </c>
      <c r="BM350" t="n">
        <v>1</v>
      </c>
      <c r="BN350" t="n">
        <v>2</v>
      </c>
      <c r="BO350" t="n">
        <v>1</v>
      </c>
      <c r="BP350" t="n">
        <v>2</v>
      </c>
      <c r="BQ350" t="n">
        <v>5</v>
      </c>
      <c r="BR350" t="n">
        <v>0</v>
      </c>
      <c r="BS350" t="n">
        <v>0</v>
      </c>
      <c r="BT350" t="n">
        <v>1</v>
      </c>
      <c r="BU350" t="n">
        <v>0</v>
      </c>
      <c r="BV350" t="n">
        <v>1</v>
      </c>
      <c r="BW350" t="n">
        <v>0</v>
      </c>
      <c r="BX350" t="n">
        <v>3</v>
      </c>
      <c r="BY350" t="n">
        <v>2</v>
      </c>
      <c r="BZ350" t="n">
        <v>3</v>
      </c>
      <c r="CA350" t="n">
        <v>0</v>
      </c>
      <c r="CB350" t="n">
        <v>1</v>
      </c>
      <c r="CC350" t="n">
        <v>0</v>
      </c>
      <c r="CD350" t="n">
        <v>1</v>
      </c>
      <c r="CE350" t="n">
        <v>2</v>
      </c>
      <c r="CF350" t="n">
        <v>1</v>
      </c>
      <c r="CG350" t="n">
        <v>1</v>
      </c>
      <c r="CI350" t="n">
        <v>1</v>
      </c>
      <c r="CJ350" t="n">
        <v>0</v>
      </c>
      <c r="CK350" t="n">
        <v>3</v>
      </c>
      <c r="CL350" t="n">
        <v>3</v>
      </c>
      <c r="CM350" t="n">
        <v>1</v>
      </c>
      <c r="CO350" t="n">
        <v>1</v>
      </c>
      <c r="CP350" t="n">
        <v>1</v>
      </c>
      <c r="CQ350" t="n">
        <v>3</v>
      </c>
      <c r="CT350" t="n">
        <v>1</v>
      </c>
      <c r="CU350" t="n">
        <v>0</v>
      </c>
      <c r="CV350" t="n">
        <v>0</v>
      </c>
      <c r="CW350" t="n">
        <v>0</v>
      </c>
      <c r="CY350" t="n">
        <v>1</v>
      </c>
      <c r="CZ350" t="n">
        <v>1</v>
      </c>
      <c r="DA350" t="n">
        <v>0</v>
      </c>
      <c r="DB350" t="n">
        <v>5</v>
      </c>
      <c r="DC350" t="n">
        <v>2</v>
      </c>
      <c r="DE350" t="n">
        <v>1</v>
      </c>
      <c r="DF350" t="n">
        <v>0</v>
      </c>
      <c r="DG350" t="n">
        <v>3</v>
      </c>
      <c r="DH350" t="n">
        <v>1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1</v>
      </c>
      <c r="DR350" t="n">
        <v>4</v>
      </c>
      <c r="DS350" t="n">
        <v>0</v>
      </c>
      <c r="DT350" t="n">
        <v>1</v>
      </c>
      <c r="DU350" t="n">
        <v>0</v>
      </c>
      <c r="DV350" t="n">
        <v>1</v>
      </c>
      <c r="DW350" t="n">
        <v>0</v>
      </c>
      <c r="DX350" t="n">
        <v>1</v>
      </c>
      <c r="DY350" t="n">
        <v>0</v>
      </c>
      <c r="DZ350" t="n">
        <v>0</v>
      </c>
      <c r="EA350" t="n">
        <v>1</v>
      </c>
      <c r="EB350" t="n">
        <v>0</v>
      </c>
      <c r="EC350" t="n">
        <v>0</v>
      </c>
      <c r="ED350" t="n">
        <v>1</v>
      </c>
      <c r="EE350" t="n">
        <v>0</v>
      </c>
      <c r="EF350" t="n">
        <v>0</v>
      </c>
      <c r="EG350" t="n">
        <v>0</v>
      </c>
      <c r="EH350" t="n">
        <v>1</v>
      </c>
      <c r="EI350" t="n">
        <v>3</v>
      </c>
      <c r="EJ350" t="n">
        <v>1</v>
      </c>
      <c r="EK350" t="n">
        <v>1</v>
      </c>
      <c r="EL350" t="n">
        <v>0</v>
      </c>
      <c r="EM350" t="n">
        <v>1</v>
      </c>
      <c r="EN350" t="n">
        <v>0</v>
      </c>
      <c r="EO350" t="n">
        <v>0</v>
      </c>
      <c r="EP350" t="n">
        <v>4</v>
      </c>
      <c r="EQ350" t="n">
        <v>0</v>
      </c>
      <c r="ER350" t="n">
        <v>18</v>
      </c>
      <c r="ET350" t="n">
        <v>1</v>
      </c>
      <c r="EX350" t="n">
        <v>0</v>
      </c>
      <c r="EY350" t="n">
        <v>3</v>
      </c>
      <c r="EZ350" t="n">
        <v>0</v>
      </c>
      <c r="FA350" t="n">
        <v>3</v>
      </c>
      <c r="FB350" t="n">
        <v>2</v>
      </c>
      <c r="FC350" t="n">
        <v>1</v>
      </c>
      <c r="FD350" t="n">
        <v>2</v>
      </c>
      <c r="FE350" t="n">
        <v>0</v>
      </c>
      <c r="FF350" t="n">
        <v>1</v>
      </c>
      <c r="FG350" t="n">
        <v>0</v>
      </c>
      <c r="FI350" t="n">
        <v>0</v>
      </c>
      <c r="FJ350" t="n">
        <v>4</v>
      </c>
      <c r="FK350" t="n">
        <v>7</v>
      </c>
      <c r="FL350" t="n">
        <v>2</v>
      </c>
      <c r="FP350" t="n">
        <v>3</v>
      </c>
      <c r="FQ350" t="n">
        <v>2</v>
      </c>
      <c r="FR350" t="n">
        <v>1</v>
      </c>
      <c r="FS350" t="n">
        <v>2</v>
      </c>
      <c r="FT350" t="n">
        <v>1</v>
      </c>
      <c r="FU350" t="n">
        <v>2</v>
      </c>
      <c r="FV350" t="n">
        <v>6</v>
      </c>
      <c r="FW350" t="n">
        <v>3</v>
      </c>
      <c r="FX350" t="n">
        <v>4</v>
      </c>
      <c r="FY350" t="n">
        <v>14</v>
      </c>
      <c r="FZ350" t="n">
        <v>1</v>
      </c>
      <c r="GA350" t="n">
        <v>0</v>
      </c>
      <c r="GD350" t="n">
        <v>3</v>
      </c>
      <c r="GG350" t="n">
        <v>1</v>
      </c>
      <c r="GH350" t="n">
        <v>2</v>
      </c>
      <c r="GI350" t="n">
        <v>1</v>
      </c>
      <c r="GJ350" t="n">
        <v>1</v>
      </c>
      <c r="GK350" t="n">
        <v>1</v>
      </c>
      <c r="GL350" t="n">
        <v>1</v>
      </c>
      <c r="GP350" t="n">
        <v>15</v>
      </c>
      <c r="GQ350" t="n">
        <v>3</v>
      </c>
      <c r="GR350" t="n">
        <v>3</v>
      </c>
      <c r="GS350" t="n">
        <v>1</v>
      </c>
      <c r="GT350" t="n">
        <v>2</v>
      </c>
      <c r="GU350" t="n">
        <v>4</v>
      </c>
      <c r="GV350" t="n">
        <v>1</v>
      </c>
      <c r="GW350" t="n">
        <v>5</v>
      </c>
      <c r="GX350" t="n">
        <v>11</v>
      </c>
      <c r="GY350" t="n">
        <v>2</v>
      </c>
      <c r="GZ350" t="n">
        <v>3</v>
      </c>
      <c r="HA350" t="n">
        <v>2</v>
      </c>
      <c r="HB350" t="n">
        <v>2</v>
      </c>
      <c r="HC350" t="n">
        <v>1</v>
      </c>
      <c r="HE350" t="n">
        <v>3</v>
      </c>
      <c r="HF350" t="n">
        <v>4</v>
      </c>
      <c r="HG350" t="n">
        <v>3</v>
      </c>
      <c r="HI350" t="n">
        <v>5</v>
      </c>
      <c r="HK350" t="n">
        <v>24</v>
      </c>
      <c r="HM350" t="n">
        <v>2</v>
      </c>
      <c r="HO350" t="n">
        <v>1</v>
      </c>
      <c r="HQ350" t="n">
        <v>0</v>
      </c>
      <c r="HS350" t="n">
        <v>0</v>
      </c>
      <c r="HT350" t="n">
        <v>2</v>
      </c>
      <c r="HU350" t="n">
        <v>7</v>
      </c>
      <c r="HV350" t="n">
        <v>7</v>
      </c>
      <c r="HW350" t="n">
        <v>4</v>
      </c>
      <c r="HX350" t="n">
        <v>1</v>
      </c>
      <c r="HY350" t="n">
        <v>0</v>
      </c>
      <c r="HZ350" t="n">
        <v>1</v>
      </c>
      <c r="IA350" t="n">
        <v>0</v>
      </c>
      <c r="IB350" t="n">
        <v>17</v>
      </c>
      <c r="ID350" t="n">
        <v>62</v>
      </c>
      <c r="IE350" t="n">
        <v>2</v>
      </c>
      <c r="IH350" t="n">
        <v>4</v>
      </c>
      <c r="IJ350" t="n">
        <v>1</v>
      </c>
      <c r="IK350" t="n">
        <v>3</v>
      </c>
      <c r="IL350" t="n">
        <v>20</v>
      </c>
      <c r="IM350" t="n">
        <v>5</v>
      </c>
      <c r="IN350" t="n">
        <v>2</v>
      </c>
      <c r="IP350" t="n">
        <v>31</v>
      </c>
      <c r="IQ350" t="n">
        <v>0</v>
      </c>
      <c r="IR350" t="n">
        <v>0</v>
      </c>
      <c r="IS350" t="n">
        <v>1</v>
      </c>
      <c r="IV350" t="n">
        <v>1</v>
      </c>
      <c r="IW350" t="n">
        <v>4</v>
      </c>
      <c r="IX350" t="n">
        <v>4</v>
      </c>
      <c r="IY350" t="n">
        <v>1</v>
      </c>
      <c r="IZ350" t="n">
        <v>5</v>
      </c>
      <c r="JA350" t="n">
        <v>2</v>
      </c>
      <c r="JD350" t="n">
        <v>7</v>
      </c>
      <c r="JE350" t="n">
        <v>2</v>
      </c>
      <c r="JG350" t="n">
        <v>20</v>
      </c>
      <c r="JH350" t="n">
        <v>1</v>
      </c>
      <c r="JJ350" t="n">
        <v>1</v>
      </c>
      <c r="JK350" t="n">
        <v>236</v>
      </c>
      <c r="JL350" t="n">
        <v>308</v>
      </c>
      <c r="JM350" t="n">
        <v>337</v>
      </c>
      <c r="JN350" t="n">
        <v>158</v>
      </c>
      <c r="JO350" t="n">
        <v>465</v>
      </c>
      <c r="JP350" t="n">
        <v>127</v>
      </c>
      <c r="JQ350" t="n">
        <v>167</v>
      </c>
      <c r="JR350" t="n">
        <v>9</v>
      </c>
      <c r="JS350" t="n">
        <v>337</v>
      </c>
      <c r="JT350" t="n">
        <v>24</v>
      </c>
      <c r="JV350" t="n">
        <v>334</v>
      </c>
      <c r="JW350" t="n">
        <v>52</v>
      </c>
      <c r="JX350" t="n">
        <v>28</v>
      </c>
      <c r="JY350" t="n">
        <v>88</v>
      </c>
      <c r="JZ350" t="n">
        <v>121</v>
      </c>
      <c r="KA350" t="n">
        <v>43</v>
      </c>
      <c r="KB350" t="n">
        <v>83</v>
      </c>
      <c r="KC350" t="n">
        <v>137</v>
      </c>
      <c r="KD350" t="n">
        <v>124</v>
      </c>
      <c r="KE350" t="n">
        <v>3</v>
      </c>
      <c r="KF350" t="n">
        <v>15</v>
      </c>
      <c r="KH350" t="n">
        <v>868</v>
      </c>
      <c r="KI350" t="n">
        <v>22</v>
      </c>
      <c r="KK350" t="n">
        <v>85</v>
      </c>
      <c r="KL350" t="n">
        <v>20</v>
      </c>
      <c r="KM350" t="n">
        <v>401</v>
      </c>
      <c r="KN350" t="n">
        <v>23</v>
      </c>
      <c r="KO350" t="n">
        <v>40</v>
      </c>
      <c r="KP350" t="n">
        <v>117</v>
      </c>
      <c r="KQ350" t="n">
        <v>12</v>
      </c>
      <c r="KR350" t="n">
        <v>1492</v>
      </c>
      <c r="KS350" t="n">
        <v>134</v>
      </c>
      <c r="KT350" t="n">
        <v>20</v>
      </c>
      <c r="KU350" t="n">
        <v>4</v>
      </c>
      <c r="KV350" t="n">
        <v>25</v>
      </c>
      <c r="KW350" t="n">
        <v>675</v>
      </c>
      <c r="KX350" t="n">
        <v>700</v>
      </c>
      <c r="KY350" t="n">
        <v>86</v>
      </c>
      <c r="KZ350" t="n">
        <v>400</v>
      </c>
      <c r="LA350" t="n">
        <v>1014</v>
      </c>
      <c r="LB350" t="n">
        <v>0</v>
      </c>
      <c r="LC350" t="n">
        <v>81</v>
      </c>
      <c r="LD350" t="n">
        <v>1176</v>
      </c>
      <c r="LE350" t="n">
        <v>244</v>
      </c>
      <c r="LF350" t="n">
        <v>242</v>
      </c>
      <c r="LG350" t="n">
        <v>14</v>
      </c>
      <c r="LH350" t="n">
        <v>18</v>
      </c>
      <c r="LI350" t="n">
        <v>198</v>
      </c>
      <c r="LL350" t="n">
        <v>0</v>
      </c>
      <c r="LM350" t="n">
        <v>879</v>
      </c>
      <c r="LN350" t="n">
        <v>85</v>
      </c>
      <c r="LO350" t="n">
        <v>209</v>
      </c>
      <c r="LP350" t="n">
        <v>40</v>
      </c>
      <c r="LQ350" t="n">
        <v>854</v>
      </c>
      <c r="LR350" t="n">
        <v>304</v>
      </c>
      <c r="LS350" t="n">
        <v>927</v>
      </c>
      <c r="LT350" t="n">
        <v>619</v>
      </c>
      <c r="LU350" t="n">
        <v>167</v>
      </c>
      <c r="LV350" t="n">
        <v>205</v>
      </c>
      <c r="LW350" t="n">
        <v>1641</v>
      </c>
      <c r="LX350" t="n">
        <v>1072</v>
      </c>
      <c r="LY350" t="n">
        <v>419</v>
      </c>
      <c r="LZ350" t="n">
        <v>2524</v>
      </c>
      <c r="MA350" t="n">
        <v>289</v>
      </c>
      <c r="MB350" t="n">
        <v>74</v>
      </c>
      <c r="MC350" t="n">
        <v>20</v>
      </c>
      <c r="MD350" t="n">
        <v>2</v>
      </c>
      <c r="ME350" t="n">
        <v>191</v>
      </c>
      <c r="MF350" t="n">
        <v>917</v>
      </c>
      <c r="MG350" t="n">
        <v>1038</v>
      </c>
      <c r="MH350" t="n">
        <v>308</v>
      </c>
      <c r="MI350" t="n">
        <v>282</v>
      </c>
      <c r="MJ350" t="n">
        <v>102</v>
      </c>
      <c r="MK350" t="n">
        <v>322</v>
      </c>
      <c r="ML350" t="n">
        <v>100</v>
      </c>
      <c r="MM350" t="n">
        <v>81</v>
      </c>
      <c r="MN350" t="n">
        <v>126</v>
      </c>
      <c r="MO350" t="n">
        <v>266</v>
      </c>
      <c r="MQ350" t="n">
        <v>2</v>
      </c>
      <c r="MR350" t="n">
        <v>207</v>
      </c>
      <c r="MS350" t="n">
        <v>948</v>
      </c>
      <c r="MT350" t="n">
        <v>7</v>
      </c>
      <c r="MU350" t="n">
        <v>63</v>
      </c>
      <c r="MV350" t="n">
        <v>401</v>
      </c>
      <c r="MW350" t="n">
        <v>66</v>
      </c>
      <c r="MX350" t="n">
        <v>276</v>
      </c>
      <c r="MY350" t="n">
        <v>35</v>
      </c>
      <c r="MZ350" t="n">
        <v>3940</v>
      </c>
      <c r="NA350" t="n">
        <v>662</v>
      </c>
      <c r="NB350" t="n">
        <v>43</v>
      </c>
      <c r="NC350" t="n">
        <v>165</v>
      </c>
      <c r="ND350" t="n">
        <v>29</v>
      </c>
      <c r="NE350" t="n">
        <v>17</v>
      </c>
      <c r="NF350" t="n">
        <v>138</v>
      </c>
      <c r="NG350" t="n">
        <v>18</v>
      </c>
      <c r="NH350" t="n">
        <v>214</v>
      </c>
      <c r="NI350" t="n">
        <v>144</v>
      </c>
      <c r="NJ350" t="n">
        <v>54</v>
      </c>
      <c r="NK350" t="n">
        <v>32</v>
      </c>
      <c r="NL350" t="n">
        <v>8</v>
      </c>
      <c r="NM350" t="n">
        <v>72</v>
      </c>
      <c r="NN350" t="n">
        <v>260</v>
      </c>
      <c r="NO350" t="n">
        <v>196</v>
      </c>
      <c r="NP350" t="n">
        <v>194</v>
      </c>
      <c r="NQ350" t="n">
        <v>47</v>
      </c>
      <c r="NR350" t="n">
        <v>11</v>
      </c>
      <c r="NS350" t="n">
        <v>47</v>
      </c>
      <c r="NT350" t="n">
        <v>37</v>
      </c>
      <c r="NU350" t="n">
        <v>10</v>
      </c>
      <c r="NV350" t="n">
        <v>40</v>
      </c>
      <c r="NW350" t="n">
        <v>1</v>
      </c>
      <c r="NX350" t="n">
        <v>5</v>
      </c>
      <c r="NY350" t="n">
        <v>60</v>
      </c>
      <c r="OA350" t="n">
        <v>279</v>
      </c>
      <c r="OB350" t="n">
        <v>353</v>
      </c>
      <c r="OD350" t="n">
        <v>0</v>
      </c>
      <c r="OE350" t="n">
        <v>16</v>
      </c>
      <c r="OF350" t="n">
        <v>7</v>
      </c>
      <c r="OI350" t="n">
        <v>602</v>
      </c>
      <c r="OJ350" t="n">
        <v>372</v>
      </c>
      <c r="OK350" t="n">
        <v>981</v>
      </c>
      <c r="OL350" t="n">
        <v>7</v>
      </c>
      <c r="ON350" t="n">
        <v>411</v>
      </c>
      <c r="OO350" t="n">
        <v>38077</v>
      </c>
      <c r="PI350" t="n">
        <v>38077</v>
      </c>
      <c r="PM350">
        <f>IFERROR(VLOOKUP($A350&amp;"",Key!$A:$C,3,FALSE),"")</f>
        <v/>
      </c>
    </row>
    <row r="351">
      <c r="A351" t="n">
        <v>561200</v>
      </c>
      <c r="B351" t="inlineStr">
        <is>
          <t>Facilities support services</t>
        </is>
      </c>
      <c r="P351" t="n">
        <v>1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X351" t="n">
        <v>1</v>
      </c>
      <c r="Z351" t="n">
        <v>0</v>
      </c>
      <c r="AA351" t="n">
        <v>4</v>
      </c>
      <c r="AB351" t="n">
        <v>0</v>
      </c>
      <c r="AC351" t="n">
        <v>12</v>
      </c>
      <c r="AD351" t="n">
        <v>2</v>
      </c>
      <c r="AG351" t="n">
        <v>1</v>
      </c>
      <c r="AI351" t="n">
        <v>6</v>
      </c>
      <c r="AL351" t="n">
        <v>1</v>
      </c>
      <c r="AN351" t="n">
        <v>0</v>
      </c>
      <c r="AO351" t="n">
        <v>0</v>
      </c>
      <c r="AP351" t="n">
        <v>4</v>
      </c>
      <c r="AR351" t="n">
        <v>9</v>
      </c>
      <c r="AS351" t="n">
        <v>10</v>
      </c>
      <c r="AV351" t="n">
        <v>12</v>
      </c>
      <c r="AW351" t="n">
        <v>5</v>
      </c>
      <c r="AX351" t="n">
        <v>0</v>
      </c>
      <c r="AY351" t="n">
        <v>9</v>
      </c>
      <c r="BA351" t="n">
        <v>2</v>
      </c>
      <c r="BC351" t="n">
        <v>66</v>
      </c>
      <c r="BD351" t="n">
        <v>12</v>
      </c>
      <c r="BE351" t="n">
        <v>1</v>
      </c>
      <c r="BF351" t="n">
        <v>0</v>
      </c>
      <c r="BG351" t="n">
        <v>27</v>
      </c>
      <c r="BH351" t="n">
        <v>9</v>
      </c>
      <c r="BI351" t="n">
        <v>4</v>
      </c>
      <c r="BJ351" t="n">
        <v>20</v>
      </c>
      <c r="BK351" t="n">
        <v>27</v>
      </c>
      <c r="BL351" t="n">
        <v>29</v>
      </c>
      <c r="BM351" t="n">
        <v>3</v>
      </c>
      <c r="BN351" t="n">
        <v>59</v>
      </c>
      <c r="BO351" t="n">
        <v>26</v>
      </c>
      <c r="BP351" t="n">
        <v>11</v>
      </c>
      <c r="BQ351" t="n">
        <v>169</v>
      </c>
      <c r="BR351" t="n">
        <v>63</v>
      </c>
      <c r="BS351" t="n">
        <v>8</v>
      </c>
      <c r="BT351" t="n">
        <v>11</v>
      </c>
      <c r="BU351" t="n">
        <v>2</v>
      </c>
      <c r="BV351" t="n">
        <v>9</v>
      </c>
      <c r="BW351" t="n">
        <v>5</v>
      </c>
      <c r="BX351" t="n">
        <v>111</v>
      </c>
      <c r="BY351" t="n">
        <v>34</v>
      </c>
      <c r="BZ351" t="n">
        <v>0</v>
      </c>
      <c r="CA351" t="n">
        <v>2</v>
      </c>
      <c r="CB351" t="n">
        <v>29</v>
      </c>
      <c r="CC351" t="n">
        <v>8</v>
      </c>
      <c r="CD351" t="n">
        <v>2</v>
      </c>
      <c r="CE351" t="n">
        <v>11</v>
      </c>
      <c r="CF351" t="n">
        <v>2</v>
      </c>
      <c r="CG351" t="n">
        <v>8</v>
      </c>
      <c r="CH351" t="n">
        <v>1</v>
      </c>
      <c r="CI351" t="n">
        <v>15</v>
      </c>
      <c r="CJ351" t="n">
        <v>35</v>
      </c>
      <c r="CK351" t="n">
        <v>1</v>
      </c>
      <c r="CL351" t="n">
        <v>16</v>
      </c>
      <c r="CM351" t="n">
        <v>2</v>
      </c>
      <c r="CN351" t="n">
        <v>0</v>
      </c>
      <c r="CO351" t="n">
        <v>3</v>
      </c>
      <c r="CP351" t="n">
        <v>0</v>
      </c>
      <c r="CQ351" t="n">
        <v>12</v>
      </c>
      <c r="CR351" t="n">
        <v>2</v>
      </c>
      <c r="CS351" t="n">
        <v>2</v>
      </c>
      <c r="CT351" t="n">
        <v>3</v>
      </c>
      <c r="CU351" t="n">
        <v>1</v>
      </c>
      <c r="CV351" t="n">
        <v>6</v>
      </c>
      <c r="CW351" t="n">
        <v>7</v>
      </c>
      <c r="CX351" t="n">
        <v>5</v>
      </c>
      <c r="CY351" t="n">
        <v>3</v>
      </c>
      <c r="CZ351" t="n">
        <v>1</v>
      </c>
      <c r="DA351" t="n">
        <v>2</v>
      </c>
      <c r="DB351" t="n">
        <v>14</v>
      </c>
      <c r="DC351" t="n">
        <v>19</v>
      </c>
      <c r="DD351" t="n">
        <v>4</v>
      </c>
      <c r="DE351" t="n">
        <v>9</v>
      </c>
      <c r="DF351" t="n">
        <v>1</v>
      </c>
      <c r="DG351" t="n">
        <v>5</v>
      </c>
      <c r="DH351" t="n">
        <v>12</v>
      </c>
      <c r="DI351" t="n">
        <v>1</v>
      </c>
      <c r="DJ351" t="n">
        <v>1</v>
      </c>
      <c r="DK351" t="n">
        <v>0</v>
      </c>
      <c r="DL351" t="n">
        <v>1</v>
      </c>
      <c r="DM351" t="n">
        <v>20</v>
      </c>
      <c r="DN351" t="n">
        <v>1</v>
      </c>
      <c r="DO351" t="n">
        <v>22</v>
      </c>
      <c r="DP351" t="n">
        <v>0</v>
      </c>
      <c r="DQ351" t="n">
        <v>5</v>
      </c>
      <c r="DR351" t="n">
        <v>1</v>
      </c>
      <c r="DS351" t="n">
        <v>49</v>
      </c>
      <c r="DT351" t="n">
        <v>0</v>
      </c>
      <c r="DU351" t="n">
        <v>0</v>
      </c>
      <c r="DV351" t="n">
        <v>1</v>
      </c>
      <c r="DW351" t="n">
        <v>0</v>
      </c>
      <c r="DX351" t="n">
        <v>2</v>
      </c>
      <c r="DY351" t="n">
        <v>0</v>
      </c>
      <c r="DZ351" t="n">
        <v>0</v>
      </c>
      <c r="EA351" t="n">
        <v>2</v>
      </c>
      <c r="EB351" t="n">
        <v>1</v>
      </c>
      <c r="ED351" t="n">
        <v>2</v>
      </c>
      <c r="EF351" t="n">
        <v>1</v>
      </c>
      <c r="EL351" t="n">
        <v>1</v>
      </c>
      <c r="EM351" t="n">
        <v>3</v>
      </c>
      <c r="EN351" t="n">
        <v>4</v>
      </c>
      <c r="EO351" t="n">
        <v>3</v>
      </c>
      <c r="ER351" t="n">
        <v>0</v>
      </c>
      <c r="ES351" t="n">
        <v>4</v>
      </c>
      <c r="EU351" t="n">
        <v>1</v>
      </c>
      <c r="EV351" t="n">
        <v>0</v>
      </c>
      <c r="EW351" t="n">
        <v>1</v>
      </c>
      <c r="EX351" t="n">
        <v>2</v>
      </c>
      <c r="EY351" t="n">
        <v>23</v>
      </c>
      <c r="EZ351" t="n">
        <v>4</v>
      </c>
      <c r="FA351" t="n">
        <v>21</v>
      </c>
      <c r="FB351" t="n">
        <v>12</v>
      </c>
      <c r="FC351" t="n">
        <v>28</v>
      </c>
      <c r="FD351" t="n">
        <v>8</v>
      </c>
      <c r="FE351" t="n">
        <v>0</v>
      </c>
      <c r="FF351" t="n">
        <v>173</v>
      </c>
      <c r="FG351" t="n">
        <v>33</v>
      </c>
      <c r="FH351" t="n">
        <v>92</v>
      </c>
      <c r="FI351" t="n">
        <v>30</v>
      </c>
      <c r="FK351" t="n">
        <v>135</v>
      </c>
      <c r="FL351" t="n">
        <v>4</v>
      </c>
      <c r="FM351" t="n">
        <v>7</v>
      </c>
      <c r="FN351" t="n">
        <v>4</v>
      </c>
      <c r="FO351" t="n">
        <v>7</v>
      </c>
      <c r="FT351" t="n">
        <v>2</v>
      </c>
      <c r="FX351" t="n">
        <v>16</v>
      </c>
      <c r="FY351" t="n">
        <v>39</v>
      </c>
      <c r="FZ351" t="n">
        <v>12</v>
      </c>
      <c r="GA351" t="n">
        <v>9</v>
      </c>
      <c r="GB351" t="n">
        <v>9</v>
      </c>
      <c r="GC351" t="n">
        <v>12</v>
      </c>
      <c r="GD351" t="n">
        <v>20</v>
      </c>
      <c r="GE351" t="n">
        <v>1</v>
      </c>
      <c r="GF351" t="n">
        <v>5</v>
      </c>
      <c r="GG351" t="n">
        <v>14</v>
      </c>
      <c r="GH351" t="n">
        <v>56</v>
      </c>
      <c r="GI351" t="n">
        <v>7</v>
      </c>
      <c r="GJ351" t="n">
        <v>1</v>
      </c>
      <c r="GL351" t="n">
        <v>2</v>
      </c>
      <c r="GN351" t="n">
        <v>0</v>
      </c>
      <c r="GO351" t="n">
        <v>1</v>
      </c>
      <c r="GP351" t="n">
        <v>2</v>
      </c>
      <c r="GQ351" t="n">
        <v>0</v>
      </c>
      <c r="GS351" t="n">
        <v>14</v>
      </c>
      <c r="GT351" t="n">
        <v>0</v>
      </c>
      <c r="GU351" t="n">
        <v>11</v>
      </c>
      <c r="GX351" t="n">
        <v>3</v>
      </c>
      <c r="GZ351" t="n">
        <v>8</v>
      </c>
      <c r="HA351" t="n">
        <v>0</v>
      </c>
      <c r="HB351" t="n">
        <v>6</v>
      </c>
      <c r="HE351" t="n">
        <v>2</v>
      </c>
      <c r="HF351" t="n">
        <v>12</v>
      </c>
      <c r="HG351" t="n">
        <v>11</v>
      </c>
      <c r="HM351" t="n">
        <v>5</v>
      </c>
      <c r="HN351" t="n">
        <v>1</v>
      </c>
      <c r="HQ351" t="n">
        <v>0</v>
      </c>
      <c r="HR351" t="n">
        <v>18</v>
      </c>
      <c r="HS351" t="n">
        <v>0</v>
      </c>
      <c r="HT351" t="n">
        <v>7</v>
      </c>
      <c r="HU351" t="n">
        <v>2</v>
      </c>
      <c r="HV351" t="n">
        <v>4</v>
      </c>
      <c r="HW351" t="n">
        <v>10</v>
      </c>
      <c r="HY351" t="n">
        <v>1</v>
      </c>
      <c r="HZ351" t="n">
        <v>0</v>
      </c>
      <c r="IA351" t="n">
        <v>1</v>
      </c>
      <c r="IB351" t="n">
        <v>151</v>
      </c>
      <c r="IC351" t="n">
        <v>11</v>
      </c>
      <c r="ID351" t="n">
        <v>81</v>
      </c>
      <c r="IG351" t="n">
        <v>6</v>
      </c>
      <c r="II351" t="n">
        <v>5</v>
      </c>
      <c r="IK351" t="n">
        <v>18</v>
      </c>
      <c r="IL351" t="n">
        <v>2</v>
      </c>
      <c r="IM351" t="n">
        <v>11</v>
      </c>
      <c r="IN351" t="n">
        <v>1</v>
      </c>
      <c r="IO351" t="n">
        <v>0</v>
      </c>
      <c r="IP351" t="n">
        <v>7</v>
      </c>
      <c r="IQ351" t="n">
        <v>2</v>
      </c>
      <c r="IR351" t="n">
        <v>7</v>
      </c>
      <c r="IS351" t="n">
        <v>19</v>
      </c>
      <c r="IU351" t="n">
        <v>0</v>
      </c>
      <c r="IV351" t="n">
        <v>2</v>
      </c>
      <c r="IW351" t="n">
        <v>1</v>
      </c>
      <c r="IX351" t="n">
        <v>10</v>
      </c>
      <c r="JA351" t="n">
        <v>10</v>
      </c>
      <c r="JB351" t="n">
        <v>1</v>
      </c>
      <c r="JC351" t="n">
        <v>3</v>
      </c>
      <c r="JD351" t="n">
        <v>1</v>
      </c>
      <c r="JE351" t="n">
        <v>1</v>
      </c>
      <c r="JG351" t="n">
        <v>29</v>
      </c>
      <c r="JH351" t="n">
        <v>0</v>
      </c>
      <c r="JI351" t="n">
        <v>2</v>
      </c>
      <c r="JJ351" t="n">
        <v>5</v>
      </c>
      <c r="JK351" t="n">
        <v>35</v>
      </c>
      <c r="JL351" t="n">
        <v>88</v>
      </c>
      <c r="JM351" t="n">
        <v>112</v>
      </c>
      <c r="JN351" t="n">
        <v>55</v>
      </c>
      <c r="JO351" t="n">
        <v>148</v>
      </c>
      <c r="JP351" t="n">
        <v>34</v>
      </c>
      <c r="JQ351" t="n">
        <v>49</v>
      </c>
      <c r="JR351" t="n">
        <v>3</v>
      </c>
      <c r="JS351" t="n">
        <v>95</v>
      </c>
      <c r="JT351" t="n">
        <v>11</v>
      </c>
      <c r="JV351" t="n">
        <v>110</v>
      </c>
      <c r="JW351" t="n">
        <v>44</v>
      </c>
      <c r="JX351" t="n">
        <v>10</v>
      </c>
      <c r="JY351" t="n">
        <v>35</v>
      </c>
      <c r="JZ351" t="n">
        <v>36</v>
      </c>
      <c r="KA351" t="n">
        <v>16</v>
      </c>
      <c r="KB351" t="n">
        <v>20</v>
      </c>
      <c r="KC351" t="n">
        <v>104</v>
      </c>
      <c r="KD351" t="n">
        <v>48</v>
      </c>
      <c r="KE351" t="n">
        <v>40</v>
      </c>
      <c r="KF351" t="n">
        <v>8</v>
      </c>
      <c r="KG351" t="n">
        <v>12</v>
      </c>
      <c r="KH351" t="n">
        <v>277</v>
      </c>
      <c r="KI351" t="n">
        <v>79</v>
      </c>
      <c r="KJ351" t="n">
        <v>13</v>
      </c>
      <c r="KK351" t="n">
        <v>126</v>
      </c>
      <c r="KL351" t="n">
        <v>70</v>
      </c>
      <c r="KM351" t="n">
        <v>155</v>
      </c>
      <c r="KN351" t="n">
        <v>8</v>
      </c>
      <c r="KO351" t="n">
        <v>11</v>
      </c>
      <c r="KP351" t="n">
        <v>28</v>
      </c>
      <c r="KQ351" t="n">
        <v>6</v>
      </c>
      <c r="KR351" t="n">
        <v>497</v>
      </c>
      <c r="KS351" t="n">
        <v>40</v>
      </c>
      <c r="KT351" t="n">
        <v>4</v>
      </c>
      <c r="KU351" t="n">
        <v>2</v>
      </c>
      <c r="KV351" t="n">
        <v>11</v>
      </c>
      <c r="KW351" t="n">
        <v>237</v>
      </c>
      <c r="KX351" t="n">
        <v>322</v>
      </c>
      <c r="KY351" t="n">
        <v>35</v>
      </c>
      <c r="KZ351" t="n">
        <v>131</v>
      </c>
      <c r="LA351" t="n">
        <v>265</v>
      </c>
      <c r="LB351" t="n">
        <v>1</v>
      </c>
      <c r="LC351" t="n">
        <v>262</v>
      </c>
      <c r="LD351" t="n">
        <v>226</v>
      </c>
      <c r="LE351" t="n">
        <v>223</v>
      </c>
      <c r="LF351" t="n">
        <v>69</v>
      </c>
      <c r="LG351" t="n">
        <v>438</v>
      </c>
      <c r="LH351" t="n">
        <v>985</v>
      </c>
      <c r="LI351" t="n">
        <v>71</v>
      </c>
      <c r="LK351" t="n">
        <v>1529</v>
      </c>
      <c r="LL351" t="n">
        <v>0</v>
      </c>
      <c r="LM351" t="n">
        <v>173</v>
      </c>
      <c r="LN351" t="n">
        <v>22</v>
      </c>
      <c r="LO351" t="n">
        <v>33</v>
      </c>
      <c r="LP351" t="n">
        <v>12</v>
      </c>
      <c r="LQ351" t="n">
        <v>21</v>
      </c>
      <c r="LR351" t="n">
        <v>109</v>
      </c>
      <c r="LS351" t="n">
        <v>858</v>
      </c>
      <c r="LT351" t="n">
        <v>94</v>
      </c>
      <c r="LU351" t="n">
        <v>115</v>
      </c>
      <c r="LV351" t="n">
        <v>113</v>
      </c>
      <c r="LW351" t="n">
        <v>298</v>
      </c>
      <c r="LX351" t="n">
        <v>494</v>
      </c>
      <c r="LY351" t="n">
        <v>123</v>
      </c>
      <c r="LZ351" t="n">
        <v>207</v>
      </c>
      <c r="MA351" t="n">
        <v>83</v>
      </c>
      <c r="MB351" t="n">
        <v>28</v>
      </c>
      <c r="MC351" t="n">
        <v>9</v>
      </c>
      <c r="MD351" t="n">
        <v>0</v>
      </c>
      <c r="ME351" t="n">
        <v>78</v>
      </c>
      <c r="MF351" t="n">
        <v>5</v>
      </c>
      <c r="MG351" t="n">
        <v>673</v>
      </c>
      <c r="MH351" t="n">
        <v>108</v>
      </c>
      <c r="MI351" t="n">
        <v>42</v>
      </c>
      <c r="MJ351" t="n">
        <v>121</v>
      </c>
      <c r="MK351" t="n">
        <v>147</v>
      </c>
      <c r="ML351" t="n">
        <v>23</v>
      </c>
      <c r="MM351" t="n">
        <v>32</v>
      </c>
      <c r="MN351" t="n">
        <v>53</v>
      </c>
      <c r="MO351" t="n">
        <v>89</v>
      </c>
      <c r="MP351" t="n">
        <v>156</v>
      </c>
      <c r="MQ351" t="n">
        <v>1</v>
      </c>
      <c r="MR351" t="n">
        <v>65</v>
      </c>
      <c r="MS351" t="n">
        <v>257</v>
      </c>
      <c r="MT351" t="n">
        <v>2</v>
      </c>
      <c r="MU351" t="n">
        <v>22</v>
      </c>
      <c r="MV351" t="n">
        <v>118</v>
      </c>
      <c r="MW351" t="n">
        <v>13</v>
      </c>
      <c r="MX351" t="n">
        <v>103</v>
      </c>
      <c r="MY351" t="n">
        <v>14</v>
      </c>
      <c r="MZ351" t="n">
        <v>816</v>
      </c>
      <c r="NA351" t="n">
        <v>165</v>
      </c>
      <c r="NB351" t="n">
        <v>17</v>
      </c>
      <c r="NC351" t="n">
        <v>84</v>
      </c>
      <c r="ND351" t="n">
        <v>9</v>
      </c>
      <c r="NE351" t="n">
        <v>6</v>
      </c>
      <c r="NF351" t="n">
        <v>14</v>
      </c>
      <c r="NG351" t="n">
        <v>3</v>
      </c>
      <c r="NH351" t="n">
        <v>10</v>
      </c>
      <c r="NI351" t="n">
        <v>52</v>
      </c>
      <c r="NJ351" t="n">
        <v>7</v>
      </c>
      <c r="NK351" t="n">
        <v>7</v>
      </c>
      <c r="NL351" t="n">
        <v>5</v>
      </c>
      <c r="NM351" t="n">
        <v>25</v>
      </c>
      <c r="NN351" t="n">
        <v>33</v>
      </c>
      <c r="NO351" t="n">
        <v>52</v>
      </c>
      <c r="NP351" t="n">
        <v>42</v>
      </c>
      <c r="NQ351" t="n">
        <v>43</v>
      </c>
      <c r="NR351" t="n">
        <v>5</v>
      </c>
      <c r="NS351" t="n">
        <v>19</v>
      </c>
      <c r="NT351" t="n">
        <v>12</v>
      </c>
      <c r="NU351" t="n">
        <v>4</v>
      </c>
      <c r="NV351" t="n">
        <v>24</v>
      </c>
      <c r="NW351" t="n">
        <v>0</v>
      </c>
      <c r="NX351" t="n">
        <v>2</v>
      </c>
      <c r="NY351" t="n">
        <v>19</v>
      </c>
      <c r="OA351" t="n">
        <v>25</v>
      </c>
      <c r="OB351" t="n">
        <v>14</v>
      </c>
      <c r="OD351" t="n">
        <v>3412</v>
      </c>
      <c r="OE351" t="n">
        <v>9421</v>
      </c>
      <c r="OI351" t="n">
        <v>514</v>
      </c>
      <c r="OJ351" t="n">
        <v>879</v>
      </c>
      <c r="OK351" t="n">
        <v>2953</v>
      </c>
      <c r="OL351" t="n">
        <v>22</v>
      </c>
      <c r="ON351" t="n">
        <v>287</v>
      </c>
      <c r="OO351" t="n">
        <v>33602</v>
      </c>
      <c r="PI351" t="n">
        <v>33602</v>
      </c>
      <c r="PM351">
        <f>IFERROR(VLOOKUP($A351&amp;"",Key!$A:$C,3,FALSE),"")</f>
        <v/>
      </c>
    </row>
    <row r="352">
      <c r="A352" t="n">
        <v>561400</v>
      </c>
      <c r="B352" t="inlineStr">
        <is>
          <t>Business support services</t>
        </is>
      </c>
      <c r="C352" t="n">
        <v>1</v>
      </c>
      <c r="D352" t="n">
        <v>2</v>
      </c>
      <c r="E352" t="n">
        <v>0</v>
      </c>
      <c r="F352" t="n">
        <v>0</v>
      </c>
      <c r="G352" t="n">
        <v>0</v>
      </c>
      <c r="H352" t="n">
        <v>0</v>
      </c>
      <c r="I352" t="n">
        <v>4</v>
      </c>
      <c r="J352" t="n">
        <v>0</v>
      </c>
      <c r="K352" t="n">
        <v>2</v>
      </c>
      <c r="L352" t="n">
        <v>1</v>
      </c>
      <c r="O352" t="n">
        <v>2</v>
      </c>
      <c r="P352" t="n">
        <v>4</v>
      </c>
      <c r="Q352" t="n">
        <v>17</v>
      </c>
      <c r="S352" t="n">
        <v>0</v>
      </c>
      <c r="T352" t="n">
        <v>5</v>
      </c>
      <c r="U352" t="n">
        <v>3</v>
      </c>
      <c r="V352" t="n">
        <v>6</v>
      </c>
      <c r="W352" t="n">
        <v>112</v>
      </c>
      <c r="X352" t="n">
        <v>664</v>
      </c>
      <c r="Y352" t="n">
        <v>96</v>
      </c>
      <c r="Z352" t="n">
        <v>8</v>
      </c>
      <c r="AA352" t="n">
        <v>13</v>
      </c>
      <c r="AB352" t="n">
        <v>2</v>
      </c>
      <c r="AC352" t="n">
        <v>33</v>
      </c>
      <c r="AD352" t="n">
        <v>17</v>
      </c>
      <c r="AE352" t="n">
        <v>90</v>
      </c>
      <c r="AF352" t="n">
        <v>13</v>
      </c>
      <c r="AG352" t="n">
        <v>120</v>
      </c>
      <c r="AH352" t="n">
        <v>19</v>
      </c>
      <c r="AI352" t="n">
        <v>31</v>
      </c>
      <c r="AJ352" t="n">
        <v>6</v>
      </c>
      <c r="AK352" t="n">
        <v>118</v>
      </c>
      <c r="AL352" t="n">
        <v>39</v>
      </c>
      <c r="AM352" t="n">
        <v>16</v>
      </c>
      <c r="AN352" t="n">
        <v>4</v>
      </c>
      <c r="AO352" t="n">
        <v>7</v>
      </c>
      <c r="AP352" t="n">
        <v>11</v>
      </c>
      <c r="AQ352" t="n">
        <v>2</v>
      </c>
      <c r="AR352" t="n">
        <v>24</v>
      </c>
      <c r="AS352" t="n">
        <v>20</v>
      </c>
      <c r="AT352" t="n">
        <v>15</v>
      </c>
      <c r="AU352" t="n">
        <v>1</v>
      </c>
      <c r="AV352" t="n">
        <v>28</v>
      </c>
      <c r="AW352" t="n">
        <v>10</v>
      </c>
      <c r="AX352" t="n">
        <v>1</v>
      </c>
      <c r="AY352" t="n">
        <v>17</v>
      </c>
      <c r="AZ352" t="n">
        <v>0</v>
      </c>
      <c r="BA352" t="n">
        <v>4</v>
      </c>
      <c r="BB352" t="n">
        <v>1</v>
      </c>
      <c r="BC352" t="n">
        <v>137</v>
      </c>
      <c r="BD352" t="n">
        <v>25</v>
      </c>
      <c r="BE352" t="n">
        <v>3</v>
      </c>
      <c r="BF352" t="n">
        <v>2</v>
      </c>
      <c r="BG352" t="n">
        <v>54</v>
      </c>
      <c r="BH352" t="n">
        <v>11</v>
      </c>
      <c r="BI352" t="n">
        <v>9</v>
      </c>
      <c r="BJ352" t="n">
        <v>38</v>
      </c>
      <c r="BK352" t="n">
        <v>52</v>
      </c>
      <c r="BL352" t="n">
        <v>55</v>
      </c>
      <c r="BM352" t="n">
        <v>6</v>
      </c>
      <c r="BN352" t="n">
        <v>111</v>
      </c>
      <c r="BO352" t="n">
        <v>50</v>
      </c>
      <c r="BP352" t="n">
        <v>23</v>
      </c>
      <c r="BQ352" t="n">
        <v>328</v>
      </c>
      <c r="BR352" t="n">
        <v>123</v>
      </c>
      <c r="BS352" t="n">
        <v>16</v>
      </c>
      <c r="BT352" t="n">
        <v>20</v>
      </c>
      <c r="BU352" t="n">
        <v>5</v>
      </c>
      <c r="BV352" t="n">
        <v>20</v>
      </c>
      <c r="BW352" t="n">
        <v>10</v>
      </c>
      <c r="BX352" t="n">
        <v>217</v>
      </c>
      <c r="BY352" t="n">
        <v>72</v>
      </c>
      <c r="BZ352" t="n">
        <v>11</v>
      </c>
      <c r="CA352" t="n">
        <v>4</v>
      </c>
      <c r="CB352" t="n">
        <v>56</v>
      </c>
      <c r="CC352" t="n">
        <v>15</v>
      </c>
      <c r="CD352" t="n">
        <v>5</v>
      </c>
      <c r="CE352" t="n">
        <v>22</v>
      </c>
      <c r="CF352" t="n">
        <v>7</v>
      </c>
      <c r="CG352" t="n">
        <v>19</v>
      </c>
      <c r="CH352" t="n">
        <v>2</v>
      </c>
      <c r="CI352" t="n">
        <v>32</v>
      </c>
      <c r="CJ352" t="n">
        <v>65</v>
      </c>
      <c r="CK352" t="n">
        <v>5</v>
      </c>
      <c r="CL352" t="n">
        <v>35</v>
      </c>
      <c r="CM352" t="n">
        <v>5</v>
      </c>
      <c r="CN352" t="n">
        <v>1</v>
      </c>
      <c r="CO352" t="n">
        <v>10</v>
      </c>
      <c r="CP352" t="n">
        <v>2</v>
      </c>
      <c r="CQ352" t="n">
        <v>26</v>
      </c>
      <c r="CR352" t="n">
        <v>3</v>
      </c>
      <c r="CS352" t="n">
        <v>1</v>
      </c>
      <c r="CT352" t="n">
        <v>7</v>
      </c>
      <c r="CU352" t="n">
        <v>2</v>
      </c>
      <c r="CV352" t="n">
        <v>11</v>
      </c>
      <c r="CW352" t="n">
        <v>15</v>
      </c>
      <c r="CX352" t="n">
        <v>8</v>
      </c>
      <c r="CY352" t="n">
        <v>5</v>
      </c>
      <c r="CZ352" t="n">
        <v>9</v>
      </c>
      <c r="DA352" t="n">
        <v>5</v>
      </c>
      <c r="DB352" t="n">
        <v>31</v>
      </c>
      <c r="DC352" t="n">
        <v>42</v>
      </c>
      <c r="DD352" t="n">
        <v>7</v>
      </c>
      <c r="DE352" t="n">
        <v>19</v>
      </c>
      <c r="DF352" t="n">
        <v>2</v>
      </c>
      <c r="DG352" t="n">
        <v>14</v>
      </c>
      <c r="DH352" t="n">
        <v>23</v>
      </c>
      <c r="DI352" t="n">
        <v>2</v>
      </c>
      <c r="DJ352" t="n">
        <v>2</v>
      </c>
      <c r="DK352" t="n">
        <v>1</v>
      </c>
      <c r="DL352" t="n">
        <v>1</v>
      </c>
      <c r="DM352" t="n">
        <v>37</v>
      </c>
      <c r="DN352" t="n">
        <v>2</v>
      </c>
      <c r="DO352" t="n">
        <v>40</v>
      </c>
      <c r="DP352" t="n">
        <v>0</v>
      </c>
      <c r="DQ352" t="n">
        <v>9</v>
      </c>
      <c r="DR352" t="n">
        <v>5</v>
      </c>
      <c r="DS352" t="n">
        <v>89</v>
      </c>
      <c r="DT352" t="n">
        <v>0</v>
      </c>
      <c r="DU352" t="n">
        <v>0</v>
      </c>
      <c r="DV352" t="n">
        <v>2</v>
      </c>
      <c r="DW352" t="n">
        <v>1</v>
      </c>
      <c r="DX352" t="n">
        <v>5</v>
      </c>
      <c r="DY352" t="n">
        <v>1</v>
      </c>
      <c r="DZ352" t="n">
        <v>0</v>
      </c>
      <c r="EA352" t="n">
        <v>5</v>
      </c>
      <c r="EB352" t="n">
        <v>1</v>
      </c>
      <c r="ED352" t="n">
        <v>5</v>
      </c>
      <c r="EF352" t="n">
        <v>1</v>
      </c>
      <c r="EG352" t="n">
        <v>1</v>
      </c>
      <c r="EH352" t="n">
        <v>1</v>
      </c>
      <c r="EI352" t="n">
        <v>3</v>
      </c>
      <c r="EJ352" t="n">
        <v>1</v>
      </c>
      <c r="EL352" t="n">
        <v>1</v>
      </c>
      <c r="EM352" t="n">
        <v>6</v>
      </c>
      <c r="EN352" t="n">
        <v>8</v>
      </c>
      <c r="EO352" t="n">
        <v>5</v>
      </c>
      <c r="EP352" t="n">
        <v>5</v>
      </c>
      <c r="EQ352" t="n">
        <v>3</v>
      </c>
      <c r="ER352" t="n">
        <v>17</v>
      </c>
      <c r="ES352" t="n">
        <v>7</v>
      </c>
      <c r="ET352" t="n">
        <v>2</v>
      </c>
      <c r="EU352" t="n">
        <v>2</v>
      </c>
      <c r="EV352" t="n">
        <v>0</v>
      </c>
      <c r="EW352" t="n">
        <v>5</v>
      </c>
      <c r="EX352" t="n">
        <v>5</v>
      </c>
      <c r="EY352" t="n">
        <v>45</v>
      </c>
      <c r="EZ352" t="n">
        <v>9</v>
      </c>
      <c r="FA352" t="n">
        <v>40</v>
      </c>
      <c r="FB352" t="n">
        <v>25</v>
      </c>
      <c r="FC352" t="n">
        <v>57</v>
      </c>
      <c r="FD352" t="n">
        <v>18</v>
      </c>
      <c r="FE352" t="n">
        <v>2</v>
      </c>
      <c r="FF352" t="n">
        <v>323</v>
      </c>
      <c r="FG352" t="n">
        <v>72</v>
      </c>
      <c r="FH352" t="n">
        <v>168</v>
      </c>
      <c r="FI352" t="n">
        <v>56</v>
      </c>
      <c r="FJ352" t="n">
        <v>9</v>
      </c>
      <c r="FK352" t="n">
        <v>261</v>
      </c>
      <c r="FL352" t="n">
        <v>13</v>
      </c>
      <c r="FM352" t="n">
        <v>12</v>
      </c>
      <c r="FN352" t="n">
        <v>7</v>
      </c>
      <c r="FO352" t="n">
        <v>12</v>
      </c>
      <c r="FP352" t="n">
        <v>9</v>
      </c>
      <c r="FQ352" t="n">
        <v>2</v>
      </c>
      <c r="FR352" t="n">
        <v>0</v>
      </c>
      <c r="FS352" t="n">
        <v>6</v>
      </c>
      <c r="FT352" t="n">
        <v>5</v>
      </c>
      <c r="FU352" t="n">
        <v>2</v>
      </c>
      <c r="FV352" t="n">
        <v>11</v>
      </c>
      <c r="FW352" t="n">
        <v>2</v>
      </c>
      <c r="FX352" t="n">
        <v>36</v>
      </c>
      <c r="FY352" t="n">
        <v>73</v>
      </c>
      <c r="FZ352" t="n">
        <v>15</v>
      </c>
      <c r="GA352" t="n">
        <v>11</v>
      </c>
      <c r="GB352" t="n">
        <v>17</v>
      </c>
      <c r="GC352" t="n">
        <v>24</v>
      </c>
      <c r="GD352" t="n">
        <v>28</v>
      </c>
      <c r="GE352" t="n">
        <v>2</v>
      </c>
      <c r="GF352" t="n">
        <v>6</v>
      </c>
      <c r="GG352" t="n">
        <v>19</v>
      </c>
      <c r="GH352" t="n">
        <v>97</v>
      </c>
      <c r="GI352" t="n">
        <v>14</v>
      </c>
      <c r="GJ352" t="n">
        <v>5</v>
      </c>
      <c r="GK352" t="n">
        <v>2</v>
      </c>
      <c r="GL352" t="n">
        <v>5</v>
      </c>
      <c r="GM352" t="n">
        <v>0</v>
      </c>
      <c r="GN352" t="n">
        <v>0</v>
      </c>
      <c r="GO352" t="n">
        <v>2</v>
      </c>
      <c r="GP352" t="n">
        <v>16</v>
      </c>
      <c r="GQ352" t="n">
        <v>3</v>
      </c>
      <c r="GR352" t="n">
        <v>4</v>
      </c>
      <c r="GS352" t="n">
        <v>27</v>
      </c>
      <c r="GT352" t="n">
        <v>2</v>
      </c>
      <c r="GU352" t="n">
        <v>30</v>
      </c>
      <c r="GW352" t="n">
        <v>11</v>
      </c>
      <c r="GX352" t="n">
        <v>23</v>
      </c>
      <c r="GY352" t="n">
        <v>3</v>
      </c>
      <c r="GZ352" t="n">
        <v>33</v>
      </c>
      <c r="HA352" t="n">
        <v>6</v>
      </c>
      <c r="HB352" t="n">
        <v>13</v>
      </c>
      <c r="HC352" t="n">
        <v>0</v>
      </c>
      <c r="HD352" t="n">
        <v>2</v>
      </c>
      <c r="HE352" t="n">
        <v>8</v>
      </c>
      <c r="HF352" t="n">
        <v>27</v>
      </c>
      <c r="HG352" t="n">
        <v>28</v>
      </c>
      <c r="HH352" t="n">
        <v>1</v>
      </c>
      <c r="HI352" t="n">
        <v>6</v>
      </c>
      <c r="HK352" t="n">
        <v>22</v>
      </c>
      <c r="HM352" t="n">
        <v>11</v>
      </c>
      <c r="HN352" t="n">
        <v>3</v>
      </c>
      <c r="HP352" t="n">
        <v>1</v>
      </c>
      <c r="HQ352" t="n">
        <v>1</v>
      </c>
      <c r="HR352" t="n">
        <v>33</v>
      </c>
      <c r="HS352" t="n">
        <v>0</v>
      </c>
      <c r="HT352" t="n">
        <v>15</v>
      </c>
      <c r="HU352" t="n">
        <v>13</v>
      </c>
      <c r="HV352" t="n">
        <v>16</v>
      </c>
      <c r="HW352" t="n">
        <v>40</v>
      </c>
      <c r="HX352" t="n">
        <v>2</v>
      </c>
      <c r="HY352" t="n">
        <v>4</v>
      </c>
      <c r="HZ352" t="n">
        <v>2</v>
      </c>
      <c r="IA352" t="n">
        <v>1</v>
      </c>
      <c r="IB352" t="n">
        <v>310</v>
      </c>
      <c r="IC352" t="n">
        <v>19</v>
      </c>
      <c r="ID352" t="n">
        <v>217</v>
      </c>
      <c r="IE352" t="n">
        <v>3</v>
      </c>
      <c r="IF352" t="n">
        <v>1</v>
      </c>
      <c r="IG352" t="n">
        <v>11</v>
      </c>
      <c r="IH352" t="n">
        <v>4</v>
      </c>
      <c r="II352" t="n">
        <v>10</v>
      </c>
      <c r="IK352" t="n">
        <v>38</v>
      </c>
      <c r="IL352" t="n">
        <v>31</v>
      </c>
      <c r="IM352" t="n">
        <v>36</v>
      </c>
      <c r="IN352" t="n">
        <v>4</v>
      </c>
      <c r="IO352" t="n">
        <v>1</v>
      </c>
      <c r="IP352" t="n">
        <v>43</v>
      </c>
      <c r="IQ352" t="n">
        <v>5</v>
      </c>
      <c r="IR352" t="n">
        <v>12</v>
      </c>
      <c r="IS352" t="n">
        <v>35</v>
      </c>
      <c r="IU352" t="n">
        <v>1</v>
      </c>
      <c r="IV352" t="n">
        <v>4</v>
      </c>
      <c r="IW352" t="n">
        <v>6</v>
      </c>
      <c r="IX352" t="n">
        <v>23</v>
      </c>
      <c r="IZ352" t="n">
        <v>7</v>
      </c>
      <c r="JA352" t="n">
        <v>32</v>
      </c>
      <c r="JB352" t="n">
        <v>2</v>
      </c>
      <c r="JC352" t="n">
        <v>5</v>
      </c>
      <c r="JD352" t="n">
        <v>38</v>
      </c>
      <c r="JE352" t="n">
        <v>5</v>
      </c>
      <c r="JF352" t="n">
        <v>0</v>
      </c>
      <c r="JG352" t="n">
        <v>101</v>
      </c>
      <c r="JH352" t="n">
        <v>4</v>
      </c>
      <c r="JI352" t="n">
        <v>4</v>
      </c>
      <c r="JJ352" t="n">
        <v>13</v>
      </c>
      <c r="JK352" t="n">
        <v>887</v>
      </c>
      <c r="JL352" t="n">
        <v>2114</v>
      </c>
      <c r="JM352" t="n">
        <v>2328</v>
      </c>
      <c r="JN352" t="n">
        <v>1715</v>
      </c>
      <c r="JO352" t="n">
        <v>2334</v>
      </c>
      <c r="JP352" t="n">
        <v>2035</v>
      </c>
      <c r="JQ352" t="n">
        <v>2132</v>
      </c>
      <c r="JR352" t="n">
        <v>2334</v>
      </c>
      <c r="JS352" t="n">
        <v>3563</v>
      </c>
      <c r="JT352" t="n">
        <v>692</v>
      </c>
      <c r="JV352" t="n">
        <v>887</v>
      </c>
      <c r="JW352" t="n">
        <v>785</v>
      </c>
      <c r="JX352" t="n">
        <v>1267</v>
      </c>
      <c r="JY352" t="n">
        <v>517</v>
      </c>
      <c r="JZ352" t="n">
        <v>272</v>
      </c>
      <c r="KA352" t="n">
        <v>582</v>
      </c>
      <c r="KB352" t="n">
        <v>173</v>
      </c>
      <c r="KC352" t="n">
        <v>1453</v>
      </c>
      <c r="KD352" t="n">
        <v>234</v>
      </c>
      <c r="KE352" t="n">
        <v>538</v>
      </c>
      <c r="KF352" t="n">
        <v>24</v>
      </c>
      <c r="KG352" t="n">
        <v>27</v>
      </c>
      <c r="KH352" t="n">
        <v>202</v>
      </c>
      <c r="KI352" t="n">
        <v>115</v>
      </c>
      <c r="KJ352" t="n">
        <v>15</v>
      </c>
      <c r="KK352" t="n">
        <v>630</v>
      </c>
      <c r="KL352" t="n">
        <v>39</v>
      </c>
      <c r="KM352" t="n">
        <v>196</v>
      </c>
      <c r="KN352" t="n">
        <v>41</v>
      </c>
      <c r="KO352" t="n">
        <v>73</v>
      </c>
      <c r="KP352" t="n">
        <v>150</v>
      </c>
      <c r="KQ352" t="n">
        <v>25</v>
      </c>
      <c r="KR352" t="n">
        <v>539</v>
      </c>
      <c r="KS352" t="n">
        <v>74</v>
      </c>
      <c r="KT352" t="n">
        <v>19</v>
      </c>
      <c r="KU352" t="n">
        <v>40</v>
      </c>
      <c r="KV352" t="n">
        <v>42</v>
      </c>
      <c r="KW352" t="n">
        <v>283</v>
      </c>
      <c r="KX352" t="n">
        <v>455</v>
      </c>
      <c r="KY352" t="n">
        <v>59</v>
      </c>
      <c r="KZ352" t="n">
        <v>778</v>
      </c>
      <c r="LA352" t="n">
        <v>415</v>
      </c>
      <c r="LB352" t="n">
        <v>0</v>
      </c>
      <c r="LC352" t="n">
        <v>1951</v>
      </c>
      <c r="LD352" t="n">
        <v>416</v>
      </c>
      <c r="LE352" t="n">
        <v>304</v>
      </c>
      <c r="LF352" t="n">
        <v>246</v>
      </c>
      <c r="LH352" t="n">
        <v>64</v>
      </c>
      <c r="LI352" t="n">
        <v>129</v>
      </c>
      <c r="LK352" t="n">
        <v>352</v>
      </c>
      <c r="LL352" t="n">
        <v>22</v>
      </c>
      <c r="LM352" t="n">
        <v>5080</v>
      </c>
      <c r="LN352" t="n">
        <v>91</v>
      </c>
      <c r="LO352" t="n">
        <v>473</v>
      </c>
      <c r="LP352" t="n">
        <v>31</v>
      </c>
      <c r="LQ352" t="n">
        <v>9546</v>
      </c>
      <c r="LR352" t="n">
        <v>4045</v>
      </c>
      <c r="LS352" t="n">
        <v>441</v>
      </c>
      <c r="LT352" t="n">
        <v>941</v>
      </c>
      <c r="LU352" t="n">
        <v>251</v>
      </c>
      <c r="LV352" t="n">
        <v>389</v>
      </c>
      <c r="LW352" t="n">
        <v>1394</v>
      </c>
      <c r="LX352" t="n">
        <v>1107</v>
      </c>
      <c r="LY352" t="n">
        <v>255</v>
      </c>
      <c r="LZ352" t="n">
        <v>1392</v>
      </c>
      <c r="MA352" t="n">
        <v>110</v>
      </c>
      <c r="MB352" t="n">
        <v>45</v>
      </c>
      <c r="MC352" t="n">
        <v>22</v>
      </c>
      <c r="MD352" t="n">
        <v>29</v>
      </c>
      <c r="ME352" t="n">
        <v>365</v>
      </c>
      <c r="MF352" t="n">
        <v>1479</v>
      </c>
      <c r="MG352" t="n">
        <v>1849</v>
      </c>
      <c r="MH352" t="n">
        <v>580</v>
      </c>
      <c r="MI352" t="n">
        <v>212</v>
      </c>
      <c r="MJ352" t="n">
        <v>139</v>
      </c>
      <c r="MK352" t="n">
        <v>452</v>
      </c>
      <c r="ML352" t="n">
        <v>180</v>
      </c>
      <c r="MM352" t="n">
        <v>293</v>
      </c>
      <c r="MN352" t="n">
        <v>154</v>
      </c>
      <c r="MO352" t="n">
        <v>398</v>
      </c>
      <c r="MP352" t="n">
        <v>43</v>
      </c>
      <c r="MQ352" t="n">
        <v>36</v>
      </c>
      <c r="MR352" t="n">
        <v>101</v>
      </c>
      <c r="MS352" t="n">
        <v>2666</v>
      </c>
      <c r="MT352" t="n">
        <v>85</v>
      </c>
      <c r="MU352" t="n">
        <v>106</v>
      </c>
      <c r="MV352" t="n">
        <v>259</v>
      </c>
      <c r="MW352" t="n">
        <v>112</v>
      </c>
      <c r="MX352" t="n">
        <v>110</v>
      </c>
      <c r="MY352" t="n">
        <v>69</v>
      </c>
      <c r="MZ352" t="n">
        <v>2287</v>
      </c>
      <c r="NA352" t="n">
        <v>585</v>
      </c>
      <c r="NB352" t="n">
        <v>53</v>
      </c>
      <c r="NC352" t="n">
        <v>223</v>
      </c>
      <c r="ND352" t="n">
        <v>46</v>
      </c>
      <c r="NE352" t="n">
        <v>69</v>
      </c>
      <c r="NF352" t="n">
        <v>42</v>
      </c>
      <c r="NG352" t="n">
        <v>19</v>
      </c>
      <c r="NH352" t="n">
        <v>69</v>
      </c>
      <c r="NI352" t="n">
        <v>68</v>
      </c>
      <c r="NJ352" t="n">
        <v>26</v>
      </c>
      <c r="NK352" t="n">
        <v>21</v>
      </c>
      <c r="NL352" t="n">
        <v>19</v>
      </c>
      <c r="NM352" t="n">
        <v>137</v>
      </c>
      <c r="NN352" t="n">
        <v>249</v>
      </c>
      <c r="NO352" t="n">
        <v>382</v>
      </c>
      <c r="NP352" t="n">
        <v>578</v>
      </c>
      <c r="NQ352" t="n">
        <v>89</v>
      </c>
      <c r="NR352" t="n">
        <v>42</v>
      </c>
      <c r="NS352" t="n">
        <v>45</v>
      </c>
      <c r="NT352" t="n">
        <v>29</v>
      </c>
      <c r="NU352" t="n">
        <v>22</v>
      </c>
      <c r="NV352" t="n">
        <v>73</v>
      </c>
      <c r="NW352" t="n">
        <v>3</v>
      </c>
      <c r="NX352" t="n">
        <v>16</v>
      </c>
      <c r="NY352" t="n">
        <v>97</v>
      </c>
      <c r="NZ352" t="n">
        <v>53</v>
      </c>
      <c r="OA352" t="n">
        <v>325</v>
      </c>
      <c r="OB352" t="n">
        <v>308</v>
      </c>
      <c r="OD352" t="n">
        <v>8</v>
      </c>
      <c r="OE352" t="n">
        <v>23</v>
      </c>
      <c r="OF352" t="n">
        <v>3</v>
      </c>
      <c r="OG352" t="n">
        <v>40</v>
      </c>
      <c r="OH352" t="n">
        <v>5</v>
      </c>
      <c r="OI352" t="n">
        <v>95</v>
      </c>
      <c r="OJ352" t="n">
        <v>362</v>
      </c>
      <c r="OK352" t="n">
        <v>1312</v>
      </c>
      <c r="OL352" t="n">
        <v>2</v>
      </c>
      <c r="OM352" t="n">
        <v>10</v>
      </c>
      <c r="ON352" t="n">
        <v>1471</v>
      </c>
      <c r="OO352" t="n">
        <v>85947</v>
      </c>
      <c r="OP352" t="n">
        <v>6344</v>
      </c>
      <c r="OV352" t="n">
        <v>245</v>
      </c>
      <c r="PI352" t="n">
        <v>92536</v>
      </c>
      <c r="PM352">
        <f>IFERROR(VLOOKUP($A352&amp;"",Key!$A:$C,3,FALSE),"")</f>
        <v/>
      </c>
    </row>
    <row r="353">
      <c r="A353" t="n">
        <v>561500</v>
      </c>
      <c r="B353" t="inlineStr">
        <is>
          <t>Travel arrangement and reservation services</t>
        </is>
      </c>
      <c r="D353" t="n">
        <v>4</v>
      </c>
      <c r="E353" t="n">
        <v>9</v>
      </c>
      <c r="H353" t="n">
        <v>4</v>
      </c>
      <c r="M353" t="n">
        <v>0</v>
      </c>
      <c r="N353" t="n">
        <v>0</v>
      </c>
      <c r="O353" t="n">
        <v>4</v>
      </c>
      <c r="Q353" t="n">
        <v>21</v>
      </c>
      <c r="T353" t="n">
        <v>12</v>
      </c>
      <c r="U353" t="n">
        <v>7</v>
      </c>
      <c r="W353" t="n">
        <v>167</v>
      </c>
      <c r="X353" t="n">
        <v>283</v>
      </c>
      <c r="Y353" t="n">
        <v>69</v>
      </c>
      <c r="Z353" t="n">
        <v>15</v>
      </c>
      <c r="AC353" t="n">
        <v>21</v>
      </c>
      <c r="AD353" t="n">
        <v>24</v>
      </c>
      <c r="AO353" t="n">
        <v>5</v>
      </c>
      <c r="AP353" t="n">
        <v>0</v>
      </c>
      <c r="AY353" t="n">
        <v>1</v>
      </c>
      <c r="BO353" t="n">
        <v>11</v>
      </c>
      <c r="BP353" t="n">
        <v>2</v>
      </c>
      <c r="BQ353" t="n">
        <v>1</v>
      </c>
      <c r="BX353" t="n">
        <v>6</v>
      </c>
      <c r="BZ353" t="n">
        <v>7</v>
      </c>
      <c r="CM353" t="n">
        <v>1</v>
      </c>
      <c r="CO353" t="n">
        <v>2</v>
      </c>
      <c r="FK353" t="n">
        <v>10</v>
      </c>
      <c r="FP353" t="n">
        <v>18</v>
      </c>
      <c r="FR353" t="n">
        <v>1</v>
      </c>
      <c r="FS353" t="n">
        <v>2</v>
      </c>
      <c r="FW353" t="n">
        <v>1</v>
      </c>
      <c r="FY353" t="n">
        <v>2</v>
      </c>
      <c r="GD353" t="n">
        <v>2</v>
      </c>
      <c r="GR353" t="n">
        <v>1</v>
      </c>
      <c r="HA353" t="n">
        <v>7</v>
      </c>
      <c r="HF353" t="n">
        <v>9</v>
      </c>
      <c r="HY353" t="n">
        <v>1</v>
      </c>
      <c r="IA353" t="n">
        <v>0</v>
      </c>
      <c r="IB353" t="n">
        <v>5</v>
      </c>
      <c r="JD353" t="n">
        <v>11</v>
      </c>
      <c r="JG353" t="n">
        <v>12</v>
      </c>
      <c r="JK353" t="n">
        <v>1</v>
      </c>
      <c r="JL353" t="n">
        <v>52</v>
      </c>
      <c r="JN353" t="n">
        <v>18</v>
      </c>
      <c r="JO353" t="n">
        <v>530</v>
      </c>
      <c r="JQ353" t="n">
        <v>2</v>
      </c>
      <c r="JS353" t="n">
        <v>240</v>
      </c>
      <c r="JV353" t="n">
        <v>137</v>
      </c>
      <c r="JW353" t="n">
        <v>36</v>
      </c>
      <c r="JX353" t="n">
        <v>16</v>
      </c>
      <c r="JY353" t="n">
        <v>38</v>
      </c>
      <c r="JZ353" t="n">
        <v>84</v>
      </c>
      <c r="KA353" t="n">
        <v>13</v>
      </c>
      <c r="KB353" t="n">
        <v>51</v>
      </c>
      <c r="KC353" t="n">
        <v>133</v>
      </c>
      <c r="KD353" t="n">
        <v>93</v>
      </c>
      <c r="KE353" t="n">
        <v>2233</v>
      </c>
      <c r="KF353" t="n">
        <v>278</v>
      </c>
      <c r="KG353" t="n">
        <v>4158</v>
      </c>
      <c r="KH353" t="n">
        <v>2</v>
      </c>
      <c r="KI353" t="n">
        <v>1708</v>
      </c>
      <c r="KJ353" t="n">
        <v>29</v>
      </c>
      <c r="KK353" t="n">
        <v>51</v>
      </c>
      <c r="KM353" t="n">
        <v>48</v>
      </c>
      <c r="KO353" t="n">
        <v>25</v>
      </c>
      <c r="KP353" t="n">
        <v>74</v>
      </c>
      <c r="KQ353" t="n">
        <v>20</v>
      </c>
      <c r="KR353" t="n">
        <v>12</v>
      </c>
      <c r="KS353" t="n">
        <v>0</v>
      </c>
      <c r="KT353" t="n">
        <v>2</v>
      </c>
      <c r="KV353" t="n">
        <v>13</v>
      </c>
      <c r="KW353" t="n">
        <v>33</v>
      </c>
      <c r="KX353" t="n">
        <v>0</v>
      </c>
      <c r="KY353" t="n">
        <v>29</v>
      </c>
      <c r="KZ353" t="n">
        <v>8</v>
      </c>
      <c r="LA353" t="n">
        <v>7</v>
      </c>
      <c r="LC353" t="n">
        <v>7</v>
      </c>
      <c r="LD353" t="n">
        <v>9</v>
      </c>
      <c r="LE353" t="n">
        <v>1</v>
      </c>
      <c r="LF353" t="n">
        <v>4</v>
      </c>
      <c r="LG353" t="n">
        <v>575</v>
      </c>
      <c r="LH353" t="n">
        <v>1432</v>
      </c>
      <c r="LI353" t="n">
        <v>1</v>
      </c>
      <c r="LJ353" t="n">
        <v>1</v>
      </c>
      <c r="LL353" t="n">
        <v>0</v>
      </c>
      <c r="LM353" t="n">
        <v>2176</v>
      </c>
      <c r="LN353" t="n">
        <v>17</v>
      </c>
      <c r="LO353" t="n">
        <v>172</v>
      </c>
      <c r="LP353" t="n">
        <v>9</v>
      </c>
      <c r="LQ353" t="n">
        <v>2053</v>
      </c>
      <c r="LR353" t="n">
        <v>84</v>
      </c>
      <c r="LS353" t="n">
        <v>0</v>
      </c>
      <c r="LT353" t="n">
        <v>335</v>
      </c>
      <c r="LU353" t="n">
        <v>0</v>
      </c>
      <c r="LV353" t="n">
        <v>103</v>
      </c>
      <c r="LW353" t="n">
        <v>176</v>
      </c>
      <c r="LX353" t="n">
        <v>931</v>
      </c>
      <c r="LY353" t="n">
        <v>278</v>
      </c>
      <c r="LZ353" t="n">
        <v>1093</v>
      </c>
      <c r="MA353" t="n">
        <v>511</v>
      </c>
      <c r="MD353" t="n">
        <v>0</v>
      </c>
      <c r="ME353" t="n">
        <v>102</v>
      </c>
      <c r="MF353" t="n">
        <v>5808</v>
      </c>
      <c r="MG353" t="n">
        <v>115</v>
      </c>
      <c r="MH353" t="n">
        <v>0</v>
      </c>
      <c r="MI353" t="n">
        <v>108</v>
      </c>
      <c r="MJ353" t="n">
        <v>83</v>
      </c>
      <c r="MK353" t="n">
        <v>18</v>
      </c>
      <c r="ML353" t="n">
        <v>401</v>
      </c>
      <c r="MN353" t="n">
        <v>868</v>
      </c>
      <c r="MO353" t="n">
        <v>151</v>
      </c>
      <c r="MQ353" t="n">
        <v>29</v>
      </c>
      <c r="MR353" t="n">
        <v>14</v>
      </c>
      <c r="MS353" t="n">
        <v>916</v>
      </c>
      <c r="MT353" t="n">
        <v>55</v>
      </c>
      <c r="MU353" t="n">
        <v>53</v>
      </c>
      <c r="MV353" t="n">
        <v>95</v>
      </c>
      <c r="MX353" t="n">
        <v>0</v>
      </c>
      <c r="MY353" t="n">
        <v>93</v>
      </c>
      <c r="MZ353" t="n">
        <v>47</v>
      </c>
      <c r="NA353" t="n">
        <v>94</v>
      </c>
      <c r="NC353" t="n">
        <v>1</v>
      </c>
      <c r="NG353" t="n">
        <v>222</v>
      </c>
      <c r="NI353" t="n">
        <v>593</v>
      </c>
      <c r="NJ353" t="n">
        <v>6</v>
      </c>
      <c r="NK353" t="n">
        <v>26</v>
      </c>
      <c r="NL353" t="n">
        <v>20</v>
      </c>
      <c r="NM353" t="n">
        <v>54</v>
      </c>
      <c r="NN353" t="n">
        <v>375</v>
      </c>
      <c r="NP353" t="n">
        <v>1</v>
      </c>
      <c r="NQ353" t="n">
        <v>55</v>
      </c>
      <c r="NR353" t="n">
        <v>9</v>
      </c>
      <c r="NV353" t="n">
        <v>120</v>
      </c>
      <c r="NX353" t="n">
        <v>0</v>
      </c>
      <c r="NY353" t="n">
        <v>3</v>
      </c>
      <c r="NZ353" t="n">
        <v>208</v>
      </c>
      <c r="OA353" t="n">
        <v>363</v>
      </c>
      <c r="OB353" t="n">
        <v>288</v>
      </c>
      <c r="OD353" t="n">
        <v>0</v>
      </c>
      <c r="OE353" t="n">
        <v>182</v>
      </c>
      <c r="OF353" t="n">
        <v>20</v>
      </c>
      <c r="OG353" t="n">
        <v>131</v>
      </c>
      <c r="OI353" t="n">
        <v>8</v>
      </c>
      <c r="OJ353" t="n">
        <v>7</v>
      </c>
      <c r="OK353" t="n">
        <v>583</v>
      </c>
      <c r="OM353" t="n">
        <v>98</v>
      </c>
      <c r="ON353" t="n">
        <v>481</v>
      </c>
      <c r="OO353" t="n">
        <v>33805</v>
      </c>
      <c r="OP353" t="n">
        <v>23394</v>
      </c>
      <c r="OV353" t="n">
        <v>622</v>
      </c>
      <c r="PI353" t="n">
        <v>57822</v>
      </c>
      <c r="PM353">
        <f>IFERROR(VLOOKUP($A353&amp;"",Key!$A:$C,3,FALSE),"")</f>
        <v/>
      </c>
    </row>
    <row r="354">
      <c r="A354" t="n">
        <v>561600</v>
      </c>
      <c r="B354" t="inlineStr">
        <is>
          <t>Investigation and security services</t>
        </is>
      </c>
      <c r="P354" t="n">
        <v>81</v>
      </c>
      <c r="Q354" t="n">
        <v>8</v>
      </c>
      <c r="R354" t="n">
        <v>0</v>
      </c>
      <c r="S354" t="n">
        <v>1</v>
      </c>
      <c r="T354" t="n">
        <v>2</v>
      </c>
      <c r="U354" t="n">
        <v>1</v>
      </c>
      <c r="V354" t="n">
        <v>23</v>
      </c>
      <c r="W354" t="n">
        <v>44</v>
      </c>
      <c r="X354" t="n">
        <v>260</v>
      </c>
      <c r="Y354" t="n">
        <v>46</v>
      </c>
      <c r="Z354" t="n">
        <v>2</v>
      </c>
      <c r="AA354" t="n">
        <v>12</v>
      </c>
      <c r="AB354" t="n">
        <v>2</v>
      </c>
      <c r="AC354" t="n">
        <v>80</v>
      </c>
      <c r="AD354" t="n">
        <v>62</v>
      </c>
      <c r="AE354" t="n">
        <v>105</v>
      </c>
      <c r="AF354" t="n">
        <v>19</v>
      </c>
      <c r="AG354" t="n">
        <v>78</v>
      </c>
      <c r="AH354" t="n">
        <v>20</v>
      </c>
      <c r="AI354" t="n">
        <v>41</v>
      </c>
      <c r="AJ354" t="n">
        <v>16</v>
      </c>
      <c r="AK354" t="n">
        <v>78</v>
      </c>
      <c r="AL354" t="n">
        <v>42</v>
      </c>
      <c r="AM354" t="n">
        <v>13</v>
      </c>
      <c r="AN354" t="n">
        <v>8</v>
      </c>
      <c r="AO354" t="n">
        <v>2</v>
      </c>
      <c r="AP354" t="n">
        <v>16</v>
      </c>
      <c r="AR354" t="n">
        <v>20</v>
      </c>
      <c r="AS354" t="n">
        <v>19</v>
      </c>
      <c r="AT354" t="n">
        <v>8</v>
      </c>
      <c r="AU354" t="n">
        <v>0</v>
      </c>
      <c r="AV354" t="n">
        <v>35</v>
      </c>
      <c r="AW354" t="n">
        <v>8</v>
      </c>
      <c r="AX354" t="n">
        <v>0</v>
      </c>
      <c r="AY354" t="n">
        <v>18</v>
      </c>
      <c r="AZ354" t="n">
        <v>0</v>
      </c>
      <c r="BA354" t="n">
        <v>3</v>
      </c>
      <c r="BB354" t="n">
        <v>0</v>
      </c>
      <c r="BC354" t="n">
        <v>103</v>
      </c>
      <c r="BD354" t="n">
        <v>23</v>
      </c>
      <c r="BE354" t="n">
        <v>2</v>
      </c>
      <c r="BF354" t="n">
        <v>1</v>
      </c>
      <c r="BG354" t="n">
        <v>43</v>
      </c>
      <c r="BH354" t="n">
        <v>13</v>
      </c>
      <c r="BI354" t="n">
        <v>9</v>
      </c>
      <c r="BJ354" t="n">
        <v>35</v>
      </c>
      <c r="BK354" t="n">
        <v>50</v>
      </c>
      <c r="BL354" t="n">
        <v>50</v>
      </c>
      <c r="BM354" t="n">
        <v>5</v>
      </c>
      <c r="BN354" t="n">
        <v>96</v>
      </c>
      <c r="BO354" t="n">
        <v>37</v>
      </c>
      <c r="BP354" t="n">
        <v>23</v>
      </c>
      <c r="BQ354" t="n">
        <v>351</v>
      </c>
      <c r="BR354" t="n">
        <v>135</v>
      </c>
      <c r="BS354" t="n">
        <v>22</v>
      </c>
      <c r="BT354" t="n">
        <v>23</v>
      </c>
      <c r="BU354" t="n">
        <v>6</v>
      </c>
      <c r="BV354" t="n">
        <v>23</v>
      </c>
      <c r="BW354" t="n">
        <v>13</v>
      </c>
      <c r="BX354" t="n">
        <v>193</v>
      </c>
      <c r="BY354" t="n">
        <v>58</v>
      </c>
      <c r="BZ354" t="n">
        <v>8</v>
      </c>
      <c r="CA354" t="n">
        <v>7</v>
      </c>
      <c r="CB354" t="n">
        <v>57</v>
      </c>
      <c r="CC354" t="n">
        <v>15</v>
      </c>
      <c r="CD354" t="n">
        <v>4</v>
      </c>
      <c r="CE354" t="n">
        <v>23</v>
      </c>
      <c r="CF354" t="n">
        <v>11</v>
      </c>
      <c r="CG354" t="n">
        <v>19</v>
      </c>
      <c r="CH354" t="n">
        <v>2</v>
      </c>
      <c r="CI354" t="n">
        <v>29</v>
      </c>
      <c r="CJ354" t="n">
        <v>63</v>
      </c>
      <c r="CK354" t="n">
        <v>2</v>
      </c>
      <c r="CL354" t="n">
        <v>29</v>
      </c>
      <c r="CM354" t="n">
        <v>3</v>
      </c>
      <c r="CN354" t="n">
        <v>0</v>
      </c>
      <c r="CO354" t="n">
        <v>6</v>
      </c>
      <c r="CP354" t="n">
        <v>0</v>
      </c>
      <c r="CQ354" t="n">
        <v>16</v>
      </c>
      <c r="CR354" t="n">
        <v>2</v>
      </c>
      <c r="CS354" t="n">
        <v>6</v>
      </c>
      <c r="CT354" t="n">
        <v>4</v>
      </c>
      <c r="CU354" t="n">
        <v>2</v>
      </c>
      <c r="CV354" t="n">
        <v>8</v>
      </c>
      <c r="CW354" t="n">
        <v>17</v>
      </c>
      <c r="CX354" t="n">
        <v>8</v>
      </c>
      <c r="CY354" t="n">
        <v>3</v>
      </c>
      <c r="CZ354" t="n">
        <v>6</v>
      </c>
      <c r="DA354" t="n">
        <v>6</v>
      </c>
      <c r="DB354" t="n">
        <v>20</v>
      </c>
      <c r="DC354" t="n">
        <v>37</v>
      </c>
      <c r="DD354" t="n">
        <v>7</v>
      </c>
      <c r="DE354" t="n">
        <v>13</v>
      </c>
      <c r="DF354" t="n">
        <v>1</v>
      </c>
      <c r="DG354" t="n">
        <v>8</v>
      </c>
      <c r="DH354" t="n">
        <v>18</v>
      </c>
      <c r="DI354" t="n">
        <v>1</v>
      </c>
      <c r="DJ354" t="n">
        <v>1</v>
      </c>
      <c r="DK354" t="n">
        <v>1</v>
      </c>
      <c r="DL354" t="n">
        <v>1</v>
      </c>
      <c r="DM354" t="n">
        <v>29</v>
      </c>
      <c r="DN354" t="n">
        <v>1</v>
      </c>
      <c r="DO354" t="n">
        <v>33</v>
      </c>
      <c r="DP354" t="n">
        <v>0</v>
      </c>
      <c r="DQ354" t="n">
        <v>7</v>
      </c>
      <c r="DR354" t="n">
        <v>3</v>
      </c>
      <c r="DS354" t="n">
        <v>75</v>
      </c>
      <c r="DT354" t="n">
        <v>2</v>
      </c>
      <c r="DU354" t="n">
        <v>1</v>
      </c>
      <c r="DV354" t="n">
        <v>2</v>
      </c>
      <c r="DW354" t="n">
        <v>2</v>
      </c>
      <c r="DX354" t="n">
        <v>4</v>
      </c>
      <c r="DY354" t="n">
        <v>2</v>
      </c>
      <c r="DZ354" t="n">
        <v>1</v>
      </c>
      <c r="EA354" t="n">
        <v>3</v>
      </c>
      <c r="EB354" t="n">
        <v>1</v>
      </c>
      <c r="ED354" t="n">
        <v>5</v>
      </c>
      <c r="EF354" t="n">
        <v>2</v>
      </c>
      <c r="EL354" t="n">
        <v>1</v>
      </c>
      <c r="EM354" t="n">
        <v>8</v>
      </c>
      <c r="EN354" t="n">
        <v>11</v>
      </c>
      <c r="EO354" t="n">
        <v>6</v>
      </c>
      <c r="EP354" t="n">
        <v>2</v>
      </c>
      <c r="EQ354" t="n">
        <v>1</v>
      </c>
      <c r="ER354" t="n">
        <v>1</v>
      </c>
      <c r="ES354" t="n">
        <v>10</v>
      </c>
      <c r="ET354" t="n">
        <v>0</v>
      </c>
      <c r="EU354" t="n">
        <v>1</v>
      </c>
      <c r="EV354" t="n">
        <v>0</v>
      </c>
      <c r="EW354" t="n">
        <v>5</v>
      </c>
      <c r="EX354" t="n">
        <v>6</v>
      </c>
      <c r="EY354" t="n">
        <v>56</v>
      </c>
      <c r="EZ354" t="n">
        <v>9</v>
      </c>
      <c r="FA354" t="n">
        <v>50</v>
      </c>
      <c r="FB354" t="n">
        <v>17</v>
      </c>
      <c r="FC354" t="n">
        <v>71</v>
      </c>
      <c r="FD354" t="n">
        <v>20</v>
      </c>
      <c r="FE354" t="n">
        <v>1</v>
      </c>
      <c r="FF354" t="n">
        <v>429</v>
      </c>
      <c r="FG354" t="n">
        <v>92</v>
      </c>
      <c r="FH354" t="n">
        <v>227</v>
      </c>
      <c r="FI354" t="n">
        <v>76</v>
      </c>
      <c r="FJ354" t="n">
        <v>2</v>
      </c>
      <c r="FK354" t="n">
        <v>338</v>
      </c>
      <c r="FL354" t="n">
        <v>6</v>
      </c>
      <c r="FM354" t="n">
        <v>16</v>
      </c>
      <c r="FN354" t="n">
        <v>6</v>
      </c>
      <c r="FO354" t="n">
        <v>16</v>
      </c>
      <c r="FP354" t="n">
        <v>4</v>
      </c>
      <c r="FQ354" t="n">
        <v>4</v>
      </c>
      <c r="FR354" t="n">
        <v>1</v>
      </c>
      <c r="FS354" t="n">
        <v>11</v>
      </c>
      <c r="FT354" t="n">
        <v>5</v>
      </c>
      <c r="FU354" t="n">
        <v>8</v>
      </c>
      <c r="FV354" t="n">
        <v>10</v>
      </c>
      <c r="FW354" t="n">
        <v>13</v>
      </c>
      <c r="FX354" t="n">
        <v>41</v>
      </c>
      <c r="FY354" t="n">
        <v>7</v>
      </c>
      <c r="GB354" t="n">
        <v>21</v>
      </c>
      <c r="GC354" t="n">
        <v>31</v>
      </c>
      <c r="GD354" t="n">
        <v>0</v>
      </c>
      <c r="GE354" t="n">
        <v>1</v>
      </c>
      <c r="GG354" t="n">
        <v>1</v>
      </c>
      <c r="GH354" t="n">
        <v>101</v>
      </c>
      <c r="GI354" t="n">
        <v>17</v>
      </c>
      <c r="GJ354" t="n">
        <v>4</v>
      </c>
      <c r="GK354" t="n">
        <v>0</v>
      </c>
      <c r="GL354" t="n">
        <v>6</v>
      </c>
      <c r="GN354" t="n">
        <v>0</v>
      </c>
      <c r="GO354" t="n">
        <v>1</v>
      </c>
      <c r="GP354" t="n">
        <v>5</v>
      </c>
      <c r="GQ354" t="n">
        <v>0</v>
      </c>
      <c r="GR354" t="n">
        <v>1</v>
      </c>
      <c r="GS354" t="n">
        <v>34</v>
      </c>
      <c r="GT354" t="n">
        <v>0</v>
      </c>
      <c r="GU354" t="n">
        <v>19</v>
      </c>
      <c r="GW354" t="n">
        <v>3</v>
      </c>
      <c r="GX354" t="n">
        <v>7</v>
      </c>
      <c r="GY354" t="n">
        <v>1</v>
      </c>
      <c r="GZ354" t="n">
        <v>26</v>
      </c>
      <c r="HA354" t="n">
        <v>2</v>
      </c>
      <c r="HB354" t="n">
        <v>9</v>
      </c>
      <c r="HC354" t="n">
        <v>1</v>
      </c>
      <c r="HD354" t="n">
        <v>1</v>
      </c>
      <c r="HE354" t="n">
        <v>3</v>
      </c>
      <c r="HF354" t="n">
        <v>31</v>
      </c>
      <c r="HG354" t="n">
        <v>17</v>
      </c>
      <c r="HH354" t="n">
        <v>1</v>
      </c>
      <c r="HI354" t="n">
        <v>1</v>
      </c>
      <c r="HK354" t="n">
        <v>0</v>
      </c>
      <c r="HM354" t="n">
        <v>12</v>
      </c>
      <c r="HN354" t="n">
        <v>3</v>
      </c>
      <c r="HQ354" t="n">
        <v>1</v>
      </c>
      <c r="HR354" t="n">
        <v>43</v>
      </c>
      <c r="HS354" t="n">
        <v>0</v>
      </c>
      <c r="HT354" t="n">
        <v>9</v>
      </c>
      <c r="HU354" t="n">
        <v>6</v>
      </c>
      <c r="HV354" t="n">
        <v>11</v>
      </c>
      <c r="HW354" t="n">
        <v>31</v>
      </c>
      <c r="HX354" t="n">
        <v>0</v>
      </c>
      <c r="HY354" t="n">
        <v>4</v>
      </c>
      <c r="HZ354" t="n">
        <v>1</v>
      </c>
      <c r="IA354" t="n">
        <v>1</v>
      </c>
      <c r="IB354" t="n">
        <v>387</v>
      </c>
      <c r="IC354" t="n">
        <v>26</v>
      </c>
      <c r="ID354" t="n">
        <v>208</v>
      </c>
      <c r="IF354" t="n">
        <v>0</v>
      </c>
      <c r="IG354" t="n">
        <v>13</v>
      </c>
      <c r="II354" t="n">
        <v>6</v>
      </c>
      <c r="IK354" t="n">
        <v>45</v>
      </c>
      <c r="IL354" t="n">
        <v>6</v>
      </c>
      <c r="IM354" t="n">
        <v>32</v>
      </c>
      <c r="IN354" t="n">
        <v>1</v>
      </c>
      <c r="IO354" t="n">
        <v>0</v>
      </c>
      <c r="IP354" t="n">
        <v>11</v>
      </c>
      <c r="IQ354" t="n">
        <v>3</v>
      </c>
      <c r="IR354" t="n">
        <v>9</v>
      </c>
      <c r="IS354" t="n">
        <v>44</v>
      </c>
      <c r="IU354" t="n">
        <v>0</v>
      </c>
      <c r="IV354" t="n">
        <v>5</v>
      </c>
      <c r="IW354" t="n">
        <v>2</v>
      </c>
      <c r="IX354" t="n">
        <v>26</v>
      </c>
      <c r="IZ354" t="n">
        <v>0</v>
      </c>
      <c r="JA354" t="n">
        <v>31</v>
      </c>
      <c r="JB354" t="n">
        <v>3</v>
      </c>
      <c r="JC354" t="n">
        <v>3</v>
      </c>
      <c r="JD354" t="n">
        <v>28</v>
      </c>
      <c r="JE354" t="n">
        <v>2</v>
      </c>
      <c r="JF354" t="n">
        <v>1</v>
      </c>
      <c r="JG354" t="n">
        <v>91</v>
      </c>
      <c r="JH354" t="n">
        <v>1</v>
      </c>
      <c r="JI354" t="n">
        <v>3</v>
      </c>
      <c r="JJ354" t="n">
        <v>15</v>
      </c>
      <c r="JK354" t="n">
        <v>600</v>
      </c>
      <c r="JL354" t="n">
        <v>792</v>
      </c>
      <c r="JM354" t="n">
        <v>904</v>
      </c>
      <c r="JN354" t="n">
        <v>642</v>
      </c>
      <c r="JO354" t="n">
        <v>961</v>
      </c>
      <c r="JP354" t="n">
        <v>665</v>
      </c>
      <c r="JQ354" t="n">
        <v>806</v>
      </c>
      <c r="JR354" t="n">
        <v>782</v>
      </c>
      <c r="JS354" t="n">
        <v>1290</v>
      </c>
      <c r="JT354" t="n">
        <v>208</v>
      </c>
      <c r="JV354" t="n">
        <v>433</v>
      </c>
      <c r="JW354" t="n">
        <v>266</v>
      </c>
      <c r="JX354" t="n">
        <v>540</v>
      </c>
      <c r="JY354" t="n">
        <v>227</v>
      </c>
      <c r="JZ354" t="n">
        <v>131</v>
      </c>
      <c r="KA354" t="n">
        <v>275</v>
      </c>
      <c r="KB354" t="n">
        <v>106</v>
      </c>
      <c r="KC354" t="n">
        <v>535</v>
      </c>
      <c r="KD354" t="n">
        <v>153</v>
      </c>
      <c r="KE354" t="n">
        <v>47</v>
      </c>
      <c r="KF354" t="n">
        <v>45</v>
      </c>
      <c r="KG354" t="n">
        <v>106</v>
      </c>
      <c r="KH354" t="n">
        <v>892</v>
      </c>
      <c r="KI354" t="n">
        <v>245</v>
      </c>
      <c r="KJ354" t="n">
        <v>423</v>
      </c>
      <c r="KK354" t="n">
        <v>2682</v>
      </c>
      <c r="KL354" t="n">
        <v>12</v>
      </c>
      <c r="KM354" t="n">
        <v>279</v>
      </c>
      <c r="KN354" t="n">
        <v>22</v>
      </c>
      <c r="KO354" t="n">
        <v>31</v>
      </c>
      <c r="KP354" t="n">
        <v>64</v>
      </c>
      <c r="KQ354" t="n">
        <v>16</v>
      </c>
      <c r="KR354" t="n">
        <v>907</v>
      </c>
      <c r="KS354" t="n">
        <v>84</v>
      </c>
      <c r="KT354" t="n">
        <v>11</v>
      </c>
      <c r="KU354" t="n">
        <v>4</v>
      </c>
      <c r="KV354" t="n">
        <v>19</v>
      </c>
      <c r="KW354" t="n">
        <v>406</v>
      </c>
      <c r="KX354" t="n">
        <v>597</v>
      </c>
      <c r="KY354" t="n">
        <v>64</v>
      </c>
      <c r="KZ354" t="n">
        <v>335</v>
      </c>
      <c r="LA354" t="n">
        <v>460</v>
      </c>
      <c r="LB354" t="n">
        <v>1</v>
      </c>
      <c r="LC354" t="n">
        <v>2324</v>
      </c>
      <c r="LD354" t="n">
        <v>2510</v>
      </c>
      <c r="LE354" t="n">
        <v>1021</v>
      </c>
      <c r="LF354" t="n">
        <v>355</v>
      </c>
      <c r="LG354" t="n">
        <v>320</v>
      </c>
      <c r="LH354" t="n">
        <v>709</v>
      </c>
      <c r="LI354" t="n">
        <v>116</v>
      </c>
      <c r="LJ354" t="n">
        <v>1</v>
      </c>
      <c r="LK354" t="n">
        <v>980</v>
      </c>
      <c r="LL354" t="n">
        <v>13</v>
      </c>
      <c r="LM354" t="n">
        <v>4834</v>
      </c>
      <c r="LN354" t="n">
        <v>106</v>
      </c>
      <c r="LO354" t="n">
        <v>187</v>
      </c>
      <c r="LP354" t="n">
        <v>22</v>
      </c>
      <c r="LQ354" t="n">
        <v>314</v>
      </c>
      <c r="LR354" t="n">
        <v>306</v>
      </c>
      <c r="LS354" t="n">
        <v>1438</v>
      </c>
      <c r="LT354" t="n">
        <v>258</v>
      </c>
      <c r="LU354" t="n">
        <v>234</v>
      </c>
      <c r="LV354" t="n">
        <v>459</v>
      </c>
      <c r="LW354" t="n">
        <v>960</v>
      </c>
      <c r="LX354" t="n">
        <v>564</v>
      </c>
      <c r="LY354" t="n">
        <v>246</v>
      </c>
      <c r="LZ354" t="n">
        <v>286</v>
      </c>
      <c r="MA354" t="n">
        <v>174</v>
      </c>
      <c r="MB354" t="n">
        <v>48</v>
      </c>
      <c r="MC354" t="n">
        <v>16</v>
      </c>
      <c r="MD354" t="n">
        <v>8</v>
      </c>
      <c r="ME354" t="n">
        <v>168</v>
      </c>
      <c r="MF354" t="n">
        <v>4</v>
      </c>
      <c r="MG354" t="n">
        <v>1743</v>
      </c>
      <c r="MH354" t="n">
        <v>260</v>
      </c>
      <c r="MI354" t="n">
        <v>125</v>
      </c>
      <c r="MJ354" t="n">
        <v>374</v>
      </c>
      <c r="MK354" t="n">
        <v>295</v>
      </c>
      <c r="ML354" t="n">
        <v>91</v>
      </c>
      <c r="MM354" t="n">
        <v>209</v>
      </c>
      <c r="MN354" t="n">
        <v>122</v>
      </c>
      <c r="MO354" t="n">
        <v>181</v>
      </c>
      <c r="MP354" t="n">
        <v>23</v>
      </c>
      <c r="MQ354" t="n">
        <v>14</v>
      </c>
      <c r="MR354" t="n">
        <v>447</v>
      </c>
      <c r="MS354" t="n">
        <v>1078</v>
      </c>
      <c r="MT354" t="n">
        <v>31</v>
      </c>
      <c r="MU354" t="n">
        <v>49</v>
      </c>
      <c r="MV354" t="n">
        <v>224</v>
      </c>
      <c r="MW354" t="n">
        <v>23</v>
      </c>
      <c r="MX354" t="n">
        <v>192</v>
      </c>
      <c r="MY354" t="n">
        <v>30</v>
      </c>
      <c r="MZ354" t="n">
        <v>1856</v>
      </c>
      <c r="NA354" t="n">
        <v>301</v>
      </c>
      <c r="NB354" t="n">
        <v>52</v>
      </c>
      <c r="NC354" t="n">
        <v>95</v>
      </c>
      <c r="ND354" t="n">
        <v>18</v>
      </c>
      <c r="NE354" t="n">
        <v>20</v>
      </c>
      <c r="NF354" t="n">
        <v>23</v>
      </c>
      <c r="NG354" t="n">
        <v>10</v>
      </c>
      <c r="NH354" t="n">
        <v>20</v>
      </c>
      <c r="NI354" t="n">
        <v>92</v>
      </c>
      <c r="NJ354" t="n">
        <v>13</v>
      </c>
      <c r="NK354" t="n">
        <v>17</v>
      </c>
      <c r="NL354" t="n">
        <v>18</v>
      </c>
      <c r="NM354" t="n">
        <v>73</v>
      </c>
      <c r="NN354" t="n">
        <v>129</v>
      </c>
      <c r="NO354" t="n">
        <v>183</v>
      </c>
      <c r="NP354" t="n">
        <v>304</v>
      </c>
      <c r="NQ354" t="n">
        <v>121</v>
      </c>
      <c r="NR354" t="n">
        <v>14</v>
      </c>
      <c r="NS354" t="n">
        <v>31</v>
      </c>
      <c r="NT354" t="n">
        <v>25</v>
      </c>
      <c r="NU354" t="n">
        <v>7</v>
      </c>
      <c r="NV354" t="n">
        <v>53</v>
      </c>
      <c r="NW354" t="n">
        <v>1</v>
      </c>
      <c r="NX354" t="n">
        <v>10</v>
      </c>
      <c r="NY354" t="n">
        <v>44</v>
      </c>
      <c r="NZ354" t="n">
        <v>42</v>
      </c>
      <c r="OA354" t="n">
        <v>55</v>
      </c>
      <c r="OB354" t="n">
        <v>52</v>
      </c>
      <c r="OD354" t="n">
        <v>0</v>
      </c>
      <c r="OE354" t="n">
        <v>78</v>
      </c>
      <c r="OF354" t="n">
        <v>5</v>
      </c>
      <c r="OG354" t="n">
        <v>25</v>
      </c>
      <c r="OH354" t="n">
        <v>4</v>
      </c>
      <c r="OI354" t="n">
        <v>666</v>
      </c>
      <c r="OJ354" t="n">
        <v>691</v>
      </c>
      <c r="OK354" t="n">
        <v>4203</v>
      </c>
      <c r="OL354" t="n">
        <v>21</v>
      </c>
      <c r="OM354" t="n">
        <v>73</v>
      </c>
      <c r="ON354" t="n">
        <v>516</v>
      </c>
      <c r="OO354" t="n">
        <v>58708</v>
      </c>
      <c r="OP354" t="n">
        <v>11365</v>
      </c>
      <c r="OV354" t="n">
        <v>140</v>
      </c>
      <c r="PI354" t="n">
        <v>70214</v>
      </c>
      <c r="PM354">
        <f>IFERROR(VLOOKUP($A354&amp;"",Key!$A:$C,3,FALSE),"")</f>
        <v/>
      </c>
    </row>
    <row r="355">
      <c r="A355" t="n">
        <v>561900</v>
      </c>
      <c r="B355" t="inlineStr">
        <is>
          <t>Other support services</t>
        </is>
      </c>
      <c r="D355" t="n">
        <v>1</v>
      </c>
      <c r="E355" t="n">
        <v>3</v>
      </c>
      <c r="H355" t="n">
        <v>2</v>
      </c>
      <c r="O355" t="n">
        <v>2</v>
      </c>
      <c r="P355" t="n">
        <v>1</v>
      </c>
      <c r="Q355" t="n">
        <v>1</v>
      </c>
      <c r="S355" t="n">
        <v>0</v>
      </c>
      <c r="T355" t="n">
        <v>2</v>
      </c>
      <c r="U355" t="n">
        <v>1</v>
      </c>
      <c r="V355" t="n">
        <v>8</v>
      </c>
      <c r="W355" t="n">
        <v>17</v>
      </c>
      <c r="X355" t="n">
        <v>222</v>
      </c>
      <c r="Y355" t="n">
        <v>51</v>
      </c>
      <c r="Z355" t="n">
        <v>3</v>
      </c>
      <c r="AA355" t="n">
        <v>2</v>
      </c>
      <c r="AB355" t="n">
        <v>1</v>
      </c>
      <c r="AC355" t="n">
        <v>11</v>
      </c>
      <c r="AD355" t="n">
        <v>10</v>
      </c>
      <c r="AE355" t="n">
        <v>37</v>
      </c>
      <c r="AF355" t="n">
        <v>16</v>
      </c>
      <c r="AG355" t="n">
        <v>27</v>
      </c>
      <c r="AH355" t="n">
        <v>14</v>
      </c>
      <c r="AI355" t="n">
        <v>16</v>
      </c>
      <c r="AJ355" t="n">
        <v>18</v>
      </c>
      <c r="AK355" t="n">
        <v>23</v>
      </c>
      <c r="AL355" t="n">
        <v>20</v>
      </c>
      <c r="AO355" t="n">
        <v>62</v>
      </c>
      <c r="AP355" t="n">
        <v>8</v>
      </c>
      <c r="AQ355" t="n">
        <v>0</v>
      </c>
      <c r="AR355" t="n">
        <v>28</v>
      </c>
      <c r="AS355" t="n">
        <v>29</v>
      </c>
      <c r="AT355" t="n">
        <v>3</v>
      </c>
      <c r="AU355" t="n">
        <v>0</v>
      </c>
      <c r="AV355" t="n">
        <v>33</v>
      </c>
      <c r="AW355" t="n">
        <v>17</v>
      </c>
      <c r="AX355" t="n">
        <v>1</v>
      </c>
      <c r="AY355" t="n">
        <v>23</v>
      </c>
      <c r="AZ355" t="n">
        <v>0</v>
      </c>
      <c r="BA355" t="n">
        <v>5</v>
      </c>
      <c r="BB355" t="n">
        <v>0</v>
      </c>
      <c r="BC355" t="n">
        <v>182</v>
      </c>
      <c r="BD355" t="n">
        <v>34</v>
      </c>
      <c r="BE355" t="n">
        <v>4</v>
      </c>
      <c r="BF355" t="n">
        <v>1</v>
      </c>
      <c r="BG355" t="n">
        <v>75</v>
      </c>
      <c r="BH355" t="n">
        <v>9</v>
      </c>
      <c r="BI355" t="n">
        <v>12</v>
      </c>
      <c r="BJ355" t="n">
        <v>58</v>
      </c>
      <c r="BK355" t="n">
        <v>76</v>
      </c>
      <c r="BL355" t="n">
        <v>79</v>
      </c>
      <c r="BM355" t="n">
        <v>7</v>
      </c>
      <c r="BN355" t="n">
        <v>167</v>
      </c>
      <c r="BO355" t="n">
        <v>76</v>
      </c>
      <c r="BP355" t="n">
        <v>37</v>
      </c>
      <c r="BQ355" t="n">
        <v>471</v>
      </c>
      <c r="BR355" t="n">
        <v>174</v>
      </c>
      <c r="BS355" t="n">
        <v>23</v>
      </c>
      <c r="BT355" t="n">
        <v>30</v>
      </c>
      <c r="BU355" t="n">
        <v>6</v>
      </c>
      <c r="BV355" t="n">
        <v>26</v>
      </c>
      <c r="BW355" t="n">
        <v>13</v>
      </c>
      <c r="BX355" t="n">
        <v>311</v>
      </c>
      <c r="BY355" t="n">
        <v>97</v>
      </c>
      <c r="BZ355" t="n">
        <v>2</v>
      </c>
      <c r="CA355" t="n">
        <v>6</v>
      </c>
      <c r="CB355" t="n">
        <v>81</v>
      </c>
      <c r="CC355" t="n">
        <v>23</v>
      </c>
      <c r="CD355" t="n">
        <v>7</v>
      </c>
      <c r="CE355" t="n">
        <v>35</v>
      </c>
      <c r="CF355" t="n">
        <v>8</v>
      </c>
      <c r="CG355" t="n">
        <v>23</v>
      </c>
      <c r="CH355" t="n">
        <v>3</v>
      </c>
      <c r="CI355" t="n">
        <v>46</v>
      </c>
      <c r="CJ355" t="n">
        <v>96</v>
      </c>
      <c r="CK355" t="n">
        <v>3</v>
      </c>
      <c r="CL355" t="n">
        <v>44</v>
      </c>
      <c r="CM355" t="n">
        <v>5</v>
      </c>
      <c r="CN355" t="n">
        <v>1</v>
      </c>
      <c r="CO355" t="n">
        <v>17</v>
      </c>
      <c r="CP355" t="n">
        <v>0</v>
      </c>
      <c r="CQ355" t="n">
        <v>32</v>
      </c>
      <c r="CR355" t="n">
        <v>4</v>
      </c>
      <c r="CS355" t="n">
        <v>0</v>
      </c>
      <c r="CT355" t="n">
        <v>8</v>
      </c>
      <c r="CU355" t="n">
        <v>3</v>
      </c>
      <c r="CV355" t="n">
        <v>18</v>
      </c>
      <c r="CW355" t="n">
        <v>21</v>
      </c>
      <c r="CX355" t="n">
        <v>13</v>
      </c>
      <c r="CY355" t="n">
        <v>7</v>
      </c>
      <c r="CZ355" t="n">
        <v>3</v>
      </c>
      <c r="DA355" t="n">
        <v>6</v>
      </c>
      <c r="DB355" t="n">
        <v>40</v>
      </c>
      <c r="DC355" t="n">
        <v>61</v>
      </c>
      <c r="DD355" t="n">
        <v>11</v>
      </c>
      <c r="DE355" t="n">
        <v>26</v>
      </c>
      <c r="DF355" t="n">
        <v>2</v>
      </c>
      <c r="DG355" t="n">
        <v>14</v>
      </c>
      <c r="DH355" t="n">
        <v>34</v>
      </c>
      <c r="DI355" t="n">
        <v>1</v>
      </c>
      <c r="DJ355" t="n">
        <v>2</v>
      </c>
      <c r="DK355" t="n">
        <v>1</v>
      </c>
      <c r="DL355" t="n">
        <v>1</v>
      </c>
      <c r="DM355" t="n">
        <v>55</v>
      </c>
      <c r="DN355" t="n">
        <v>3</v>
      </c>
      <c r="DO355" t="n">
        <v>60</v>
      </c>
      <c r="DP355" t="n">
        <v>0</v>
      </c>
      <c r="DQ355" t="n">
        <v>12</v>
      </c>
      <c r="DR355" t="n">
        <v>2</v>
      </c>
      <c r="DS355" t="n">
        <v>134</v>
      </c>
      <c r="DT355" t="n">
        <v>0</v>
      </c>
      <c r="DU355" t="n">
        <v>0</v>
      </c>
      <c r="DV355" t="n">
        <v>2</v>
      </c>
      <c r="DW355" t="n">
        <v>0</v>
      </c>
      <c r="DX355" t="n">
        <v>6</v>
      </c>
      <c r="DY355" t="n">
        <v>1</v>
      </c>
      <c r="DZ355" t="n">
        <v>0</v>
      </c>
      <c r="EA355" t="n">
        <v>3</v>
      </c>
      <c r="EB355" t="n">
        <v>1</v>
      </c>
      <c r="ED355" t="n">
        <v>6</v>
      </c>
      <c r="EE355" t="n">
        <v>1</v>
      </c>
      <c r="EF355" t="n">
        <v>3</v>
      </c>
      <c r="EG355" t="n">
        <v>2</v>
      </c>
      <c r="EL355" t="n">
        <v>1</v>
      </c>
      <c r="EM355" t="n">
        <v>8</v>
      </c>
      <c r="EN355" t="n">
        <v>12</v>
      </c>
      <c r="EO355" t="n">
        <v>7</v>
      </c>
      <c r="EP355" t="n">
        <v>1</v>
      </c>
      <c r="ER355" t="n">
        <v>1</v>
      </c>
      <c r="ES355" t="n">
        <v>11</v>
      </c>
      <c r="EU355" t="n">
        <v>2</v>
      </c>
      <c r="EV355" t="n">
        <v>0</v>
      </c>
      <c r="EW355" t="n">
        <v>4</v>
      </c>
      <c r="EX355" t="n">
        <v>7</v>
      </c>
      <c r="EY355" t="n">
        <v>62</v>
      </c>
      <c r="EZ355" t="n">
        <v>10</v>
      </c>
      <c r="FA355" t="n">
        <v>55</v>
      </c>
      <c r="FB355" t="n">
        <v>31</v>
      </c>
      <c r="FC355" t="n">
        <v>78</v>
      </c>
      <c r="FD355" t="n">
        <v>22</v>
      </c>
      <c r="FE355" t="n">
        <v>0</v>
      </c>
      <c r="FF355" t="n">
        <v>479</v>
      </c>
      <c r="FG355" t="n">
        <v>100</v>
      </c>
      <c r="FH355" t="n">
        <v>254</v>
      </c>
      <c r="FI355" t="n">
        <v>85</v>
      </c>
      <c r="FJ355" t="n">
        <v>0</v>
      </c>
      <c r="FK355" t="n">
        <v>379</v>
      </c>
      <c r="FL355" t="n">
        <v>16</v>
      </c>
      <c r="FM355" t="n">
        <v>18</v>
      </c>
      <c r="FN355" t="n">
        <v>10</v>
      </c>
      <c r="FO355" t="n">
        <v>18</v>
      </c>
      <c r="FP355" t="n">
        <v>28</v>
      </c>
      <c r="FQ355" t="n">
        <v>2</v>
      </c>
      <c r="FR355" t="n">
        <v>1</v>
      </c>
      <c r="FS355" t="n">
        <v>3</v>
      </c>
      <c r="FT355" t="n">
        <v>5</v>
      </c>
      <c r="FU355" t="n">
        <v>0</v>
      </c>
      <c r="FV355" t="n">
        <v>5</v>
      </c>
      <c r="FW355" t="n">
        <v>1</v>
      </c>
      <c r="FX355" t="n">
        <v>45</v>
      </c>
      <c r="FY355" t="n">
        <v>2</v>
      </c>
      <c r="FZ355" t="n">
        <v>0</v>
      </c>
      <c r="GA355" t="n">
        <v>0</v>
      </c>
      <c r="GB355" t="n">
        <v>23</v>
      </c>
      <c r="GC355" t="n">
        <v>36</v>
      </c>
      <c r="GD355" t="n">
        <v>1</v>
      </c>
      <c r="GE355" t="n">
        <v>3</v>
      </c>
      <c r="GG355" t="n">
        <v>0</v>
      </c>
      <c r="GH355" t="n">
        <v>122</v>
      </c>
      <c r="GI355" t="n">
        <v>18</v>
      </c>
      <c r="GJ355" t="n">
        <v>2</v>
      </c>
      <c r="GK355" t="n">
        <v>0</v>
      </c>
      <c r="GL355" t="n">
        <v>7</v>
      </c>
      <c r="GM355" t="n">
        <v>0</v>
      </c>
      <c r="GN355" t="n">
        <v>0</v>
      </c>
      <c r="GO355" t="n">
        <v>3</v>
      </c>
      <c r="GP355" t="n">
        <v>7</v>
      </c>
      <c r="GQ355" t="n">
        <v>0</v>
      </c>
      <c r="GR355" t="n">
        <v>1</v>
      </c>
      <c r="GS355" t="n">
        <v>39</v>
      </c>
      <c r="GT355" t="n">
        <v>0</v>
      </c>
      <c r="GU355" t="n">
        <v>31</v>
      </c>
      <c r="GW355" t="n">
        <v>0</v>
      </c>
      <c r="GX355" t="n">
        <v>8</v>
      </c>
      <c r="GY355" t="n">
        <v>0</v>
      </c>
      <c r="GZ355" t="n">
        <v>28</v>
      </c>
      <c r="HA355" t="n">
        <v>37</v>
      </c>
      <c r="HB355" t="n">
        <v>15</v>
      </c>
      <c r="HE355" t="n">
        <v>5</v>
      </c>
      <c r="HF355" t="n">
        <v>86</v>
      </c>
      <c r="HG355" t="n">
        <v>28</v>
      </c>
      <c r="HH355" t="n">
        <v>0</v>
      </c>
      <c r="HM355" t="n">
        <v>14</v>
      </c>
      <c r="HN355" t="n">
        <v>4</v>
      </c>
      <c r="HO355" t="n">
        <v>0</v>
      </c>
      <c r="HP355" t="n">
        <v>2</v>
      </c>
      <c r="HQ355" t="n">
        <v>1</v>
      </c>
      <c r="HR355" t="n">
        <v>72</v>
      </c>
      <c r="HS355" t="n">
        <v>0</v>
      </c>
      <c r="HT355" t="n">
        <v>19</v>
      </c>
      <c r="HU355" t="n">
        <v>6</v>
      </c>
      <c r="HV355" t="n">
        <v>12</v>
      </c>
      <c r="HW355" t="n">
        <v>28</v>
      </c>
      <c r="HX355" t="n">
        <v>4</v>
      </c>
      <c r="HY355" t="n">
        <v>5</v>
      </c>
      <c r="HZ355" t="n">
        <v>2</v>
      </c>
      <c r="IA355" t="n">
        <v>2</v>
      </c>
      <c r="IB355" t="n">
        <v>426</v>
      </c>
      <c r="IC355" t="n">
        <v>29</v>
      </c>
      <c r="ID355" t="n">
        <v>228</v>
      </c>
      <c r="IE355" t="n">
        <v>0</v>
      </c>
      <c r="IF355" t="n">
        <v>0</v>
      </c>
      <c r="IG355" t="n">
        <v>16</v>
      </c>
      <c r="II355" t="n">
        <v>15</v>
      </c>
      <c r="IJ355" t="n">
        <v>1</v>
      </c>
      <c r="IK355" t="n">
        <v>49</v>
      </c>
      <c r="IL355" t="n">
        <v>5</v>
      </c>
      <c r="IM355" t="n">
        <v>31</v>
      </c>
      <c r="IN355" t="n">
        <v>4</v>
      </c>
      <c r="IO355" t="n">
        <v>1</v>
      </c>
      <c r="IP355" t="n">
        <v>21</v>
      </c>
      <c r="IQ355" t="n">
        <v>6</v>
      </c>
      <c r="IR355" t="n">
        <v>18</v>
      </c>
      <c r="IS355" t="n">
        <v>50</v>
      </c>
      <c r="IU355" t="n">
        <v>1</v>
      </c>
      <c r="IV355" t="n">
        <v>5</v>
      </c>
      <c r="IW355" t="n">
        <v>2</v>
      </c>
      <c r="IX355" t="n">
        <v>29</v>
      </c>
      <c r="IZ355" t="n">
        <v>2</v>
      </c>
      <c r="JA355" t="n">
        <v>30</v>
      </c>
      <c r="JB355" t="n">
        <v>4</v>
      </c>
      <c r="JC355" t="n">
        <v>7</v>
      </c>
      <c r="JE355" t="n">
        <v>3</v>
      </c>
      <c r="JG355" t="n">
        <v>103</v>
      </c>
      <c r="JH355" t="n">
        <v>1</v>
      </c>
      <c r="JI355" t="n">
        <v>6</v>
      </c>
      <c r="JJ355" t="n">
        <v>17</v>
      </c>
      <c r="JK355" t="n">
        <v>84</v>
      </c>
      <c r="JL355" t="n">
        <v>217</v>
      </c>
      <c r="JM355" t="n">
        <v>235</v>
      </c>
      <c r="JN355" t="n">
        <v>186</v>
      </c>
      <c r="JO355" t="n">
        <v>692</v>
      </c>
      <c r="JP355" t="n">
        <v>242</v>
      </c>
      <c r="JQ355" t="n">
        <v>1032</v>
      </c>
      <c r="JR355" t="n">
        <v>41</v>
      </c>
      <c r="JS355" t="n">
        <v>4338</v>
      </c>
      <c r="JT355" t="n">
        <v>63</v>
      </c>
      <c r="JV355" t="n">
        <v>1008</v>
      </c>
      <c r="JW355" t="n">
        <v>154</v>
      </c>
      <c r="JX355" t="n">
        <v>253</v>
      </c>
      <c r="JY355" t="n">
        <v>468</v>
      </c>
      <c r="JZ355" t="n">
        <v>146</v>
      </c>
      <c r="KA355" t="n">
        <v>386</v>
      </c>
      <c r="KB355" t="n">
        <v>95</v>
      </c>
      <c r="KC355" t="n">
        <v>336</v>
      </c>
      <c r="KD355" t="n">
        <v>284</v>
      </c>
      <c r="KE355" t="n">
        <v>94</v>
      </c>
      <c r="KF355" t="n">
        <v>42</v>
      </c>
      <c r="KG355" t="n">
        <v>1045</v>
      </c>
      <c r="KH355" t="n">
        <v>141</v>
      </c>
      <c r="KJ355" t="n">
        <v>0</v>
      </c>
      <c r="KK355" t="n">
        <v>31</v>
      </c>
      <c r="KL355" t="n">
        <v>8</v>
      </c>
      <c r="KM355" t="n">
        <v>111</v>
      </c>
      <c r="KN355" t="n">
        <v>2</v>
      </c>
      <c r="KO355" t="n">
        <v>89</v>
      </c>
      <c r="KP355" t="n">
        <v>342</v>
      </c>
      <c r="KQ355" t="n">
        <v>21</v>
      </c>
      <c r="KR355" t="n">
        <v>790</v>
      </c>
      <c r="KS355" t="n">
        <v>0</v>
      </c>
      <c r="KW355" t="n">
        <v>3</v>
      </c>
      <c r="KX355" t="n">
        <v>0</v>
      </c>
      <c r="KY355" t="n">
        <v>3</v>
      </c>
      <c r="KZ355" t="n">
        <v>21</v>
      </c>
      <c r="LA355" t="n">
        <v>2</v>
      </c>
      <c r="LB355" t="n">
        <v>0</v>
      </c>
      <c r="LC355" t="n">
        <v>90</v>
      </c>
      <c r="LD355" t="n">
        <v>25</v>
      </c>
      <c r="LE355" t="n">
        <v>25</v>
      </c>
      <c r="LF355" t="n">
        <v>7</v>
      </c>
      <c r="LG355" t="n">
        <v>120</v>
      </c>
      <c r="LH355" t="n">
        <v>2</v>
      </c>
      <c r="LI355" t="n">
        <v>383</v>
      </c>
      <c r="LK355" t="n">
        <v>1</v>
      </c>
      <c r="LM355" t="n">
        <v>2132</v>
      </c>
      <c r="LN355" t="n">
        <v>1</v>
      </c>
      <c r="LO355" t="n">
        <v>7</v>
      </c>
      <c r="LP355" t="n">
        <v>0</v>
      </c>
      <c r="LQ355" t="n">
        <v>678</v>
      </c>
      <c r="LR355" t="n">
        <v>510</v>
      </c>
      <c r="LS355" t="n">
        <v>1</v>
      </c>
      <c r="LT355" t="n">
        <v>1104</v>
      </c>
      <c r="LU355" t="n">
        <v>13</v>
      </c>
      <c r="LV355" t="n">
        <v>31</v>
      </c>
      <c r="LW355" t="n">
        <v>624</v>
      </c>
      <c r="LX355" t="n">
        <v>261</v>
      </c>
      <c r="LY355" t="n">
        <v>163</v>
      </c>
      <c r="LZ355" t="n">
        <v>297</v>
      </c>
      <c r="MA355" t="n">
        <v>266</v>
      </c>
      <c r="MB355" t="n">
        <v>0</v>
      </c>
      <c r="MD355" t="n">
        <v>2</v>
      </c>
      <c r="ME355" t="n">
        <v>17</v>
      </c>
      <c r="MF355" t="n">
        <v>403</v>
      </c>
      <c r="MG355" t="n">
        <v>11</v>
      </c>
      <c r="MH355" t="n">
        <v>106</v>
      </c>
      <c r="MI355" t="n">
        <v>208</v>
      </c>
      <c r="MJ355" t="n">
        <v>89</v>
      </c>
      <c r="MK355" t="n">
        <v>103</v>
      </c>
      <c r="ML355" t="n">
        <v>151</v>
      </c>
      <c r="MM355" t="n">
        <v>6</v>
      </c>
      <c r="MN355" t="n">
        <v>79</v>
      </c>
      <c r="MO355" t="n">
        <v>48</v>
      </c>
      <c r="MP355" t="n">
        <v>29</v>
      </c>
      <c r="MQ355" t="n">
        <v>569</v>
      </c>
      <c r="MR355" t="n">
        <v>100</v>
      </c>
      <c r="MS355" t="n">
        <v>256</v>
      </c>
      <c r="MT355" t="n">
        <v>32</v>
      </c>
      <c r="MU355" t="n">
        <v>8</v>
      </c>
      <c r="MV355" t="n">
        <v>27</v>
      </c>
      <c r="MW355" t="n">
        <v>15</v>
      </c>
      <c r="MX355" t="n">
        <v>9</v>
      </c>
      <c r="MY355" t="n">
        <v>9</v>
      </c>
      <c r="MZ355" t="n">
        <v>1007</v>
      </c>
      <c r="NA355" t="n">
        <v>5</v>
      </c>
      <c r="NC355" t="n">
        <v>114</v>
      </c>
      <c r="ND355" t="n">
        <v>0</v>
      </c>
      <c r="NE355" t="n">
        <v>0</v>
      </c>
      <c r="NG355" t="n">
        <v>75</v>
      </c>
      <c r="NH355" t="n">
        <v>3</v>
      </c>
      <c r="NI355" t="n">
        <v>328</v>
      </c>
      <c r="NJ355" t="n">
        <v>2</v>
      </c>
      <c r="NK355" t="n">
        <v>4</v>
      </c>
      <c r="NL355" t="n">
        <v>20</v>
      </c>
      <c r="NM355" t="n">
        <v>17</v>
      </c>
      <c r="NN355" t="n">
        <v>81</v>
      </c>
      <c r="NO355" t="n">
        <v>5</v>
      </c>
      <c r="NP355" t="n">
        <v>20</v>
      </c>
      <c r="NQ355" t="n">
        <v>27</v>
      </c>
      <c r="NR355" t="n">
        <v>4</v>
      </c>
      <c r="NT355" t="n">
        <v>0</v>
      </c>
      <c r="NV355" t="n">
        <v>14</v>
      </c>
      <c r="NX355" t="n">
        <v>14</v>
      </c>
      <c r="NY355" t="n">
        <v>316</v>
      </c>
      <c r="NZ355" t="n">
        <v>49</v>
      </c>
      <c r="OA355" t="n">
        <v>126</v>
      </c>
      <c r="OB355" t="n">
        <v>56</v>
      </c>
      <c r="OD355" t="n">
        <v>0</v>
      </c>
      <c r="OE355" t="n">
        <v>12</v>
      </c>
      <c r="OF355" t="n">
        <v>2</v>
      </c>
      <c r="OG355" t="n">
        <v>23</v>
      </c>
      <c r="OH355" t="n">
        <v>1</v>
      </c>
      <c r="OI355" t="n">
        <v>87</v>
      </c>
      <c r="OJ355" t="n">
        <v>105</v>
      </c>
      <c r="OK355" t="n">
        <v>1660</v>
      </c>
      <c r="OL355" t="n">
        <v>8</v>
      </c>
      <c r="OM355" t="n">
        <v>122</v>
      </c>
      <c r="ON355" t="n">
        <v>612</v>
      </c>
      <c r="OO355" t="n">
        <v>34184</v>
      </c>
      <c r="OP355" t="n">
        <v>159</v>
      </c>
      <c r="OV355" t="n">
        <v>394</v>
      </c>
      <c r="PI355" t="n">
        <v>34737</v>
      </c>
      <c r="PM355">
        <f>IFERROR(VLOOKUP($A355&amp;"",Key!$A:$C,3,FALSE),"")</f>
        <v/>
      </c>
    </row>
    <row r="356">
      <c r="A356" t="n">
        <v>562000</v>
      </c>
      <c r="B356" t="inlineStr">
        <is>
          <t>Waste management and remediation services</t>
        </is>
      </c>
      <c r="C356" t="n">
        <v>18</v>
      </c>
      <c r="D356" t="n">
        <v>57</v>
      </c>
      <c r="E356" t="n">
        <v>13</v>
      </c>
      <c r="F356" t="n">
        <v>14</v>
      </c>
      <c r="G356" t="n">
        <v>14</v>
      </c>
      <c r="H356" t="n">
        <v>22</v>
      </c>
      <c r="I356" t="n">
        <v>54</v>
      </c>
      <c r="J356" t="n">
        <v>46</v>
      </c>
      <c r="K356" t="n">
        <v>44</v>
      </c>
      <c r="L356" t="n">
        <v>13</v>
      </c>
      <c r="M356" t="n">
        <v>0</v>
      </c>
      <c r="N356" t="n">
        <v>2</v>
      </c>
      <c r="O356" t="n">
        <v>4</v>
      </c>
      <c r="P356" t="n">
        <v>330</v>
      </c>
      <c r="Q356" t="n">
        <v>46</v>
      </c>
      <c r="R356" t="n">
        <v>7</v>
      </c>
      <c r="S356" t="n">
        <v>9</v>
      </c>
      <c r="T356" t="n">
        <v>16</v>
      </c>
      <c r="U356" t="n">
        <v>24</v>
      </c>
      <c r="V356" t="n">
        <v>35</v>
      </c>
      <c r="W356" t="n">
        <v>114</v>
      </c>
      <c r="X356" t="n">
        <v>419</v>
      </c>
      <c r="Y356" t="n">
        <v>106</v>
      </c>
      <c r="Z356" t="n">
        <v>45</v>
      </c>
      <c r="AA356" t="n">
        <v>28</v>
      </c>
      <c r="AB356" t="n">
        <v>52</v>
      </c>
      <c r="AC356" t="n">
        <v>383</v>
      </c>
      <c r="AD356" t="n">
        <v>142</v>
      </c>
      <c r="AE356" t="n">
        <v>165</v>
      </c>
      <c r="AF356" t="n">
        <v>88</v>
      </c>
      <c r="AG356" t="n">
        <v>339</v>
      </c>
      <c r="AH356" t="n">
        <v>78</v>
      </c>
      <c r="AI356" t="n">
        <v>102</v>
      </c>
      <c r="AJ356" t="n">
        <v>113</v>
      </c>
      <c r="AK356" t="n">
        <v>414</v>
      </c>
      <c r="AL356" t="n">
        <v>171</v>
      </c>
      <c r="AM356" t="n">
        <v>27</v>
      </c>
      <c r="AN356" t="n">
        <v>30</v>
      </c>
      <c r="AO356" t="n">
        <v>23</v>
      </c>
      <c r="AP356" t="n">
        <v>29</v>
      </c>
      <c r="AQ356" t="n">
        <v>20</v>
      </c>
      <c r="AR356" t="n">
        <v>91</v>
      </c>
      <c r="AS356" t="n">
        <v>5</v>
      </c>
      <c r="AT356" t="n">
        <v>48</v>
      </c>
      <c r="AU356" t="n">
        <v>5</v>
      </c>
      <c r="AV356" t="n">
        <v>20</v>
      </c>
      <c r="AW356" t="n">
        <v>12</v>
      </c>
      <c r="AX356" t="n">
        <v>3</v>
      </c>
      <c r="AY356" t="n">
        <v>7</v>
      </c>
      <c r="AZ356" t="n">
        <v>6</v>
      </c>
      <c r="BA356" t="n">
        <v>24</v>
      </c>
      <c r="BB356" t="n">
        <v>10</v>
      </c>
      <c r="BC356" t="n">
        <v>124</v>
      </c>
      <c r="BD356" t="n">
        <v>23</v>
      </c>
      <c r="BE356" t="n">
        <v>8</v>
      </c>
      <c r="BF356" t="n">
        <v>3</v>
      </c>
      <c r="BG356" t="n">
        <v>22</v>
      </c>
      <c r="BH356" t="n">
        <v>6</v>
      </c>
      <c r="BI356" t="n">
        <v>11</v>
      </c>
      <c r="BJ356" t="n">
        <v>16</v>
      </c>
      <c r="BK356" t="n">
        <v>30</v>
      </c>
      <c r="BL356" t="n">
        <v>26</v>
      </c>
      <c r="BM356" t="n">
        <v>6</v>
      </c>
      <c r="BN356" t="n">
        <v>16</v>
      </c>
      <c r="BO356" t="n">
        <v>9</v>
      </c>
      <c r="BP356" t="n">
        <v>16</v>
      </c>
      <c r="BQ356" t="n">
        <v>33</v>
      </c>
      <c r="BR356" t="n">
        <v>32</v>
      </c>
      <c r="BS356" t="n">
        <v>7</v>
      </c>
      <c r="BT356" t="n">
        <v>8</v>
      </c>
      <c r="BU356" t="n">
        <v>7</v>
      </c>
      <c r="BV356" t="n">
        <v>7</v>
      </c>
      <c r="BW356" t="n">
        <v>7</v>
      </c>
      <c r="BX356" t="n">
        <v>38</v>
      </c>
      <c r="BY356" t="n">
        <v>30</v>
      </c>
      <c r="BZ356" t="n">
        <v>83</v>
      </c>
      <c r="CA356" t="n">
        <v>8</v>
      </c>
      <c r="CB356" t="n">
        <v>21</v>
      </c>
      <c r="CC356" t="n">
        <v>5</v>
      </c>
      <c r="CD356" t="n">
        <v>4</v>
      </c>
      <c r="CE356" t="n">
        <v>14</v>
      </c>
      <c r="CF356" t="n">
        <v>14</v>
      </c>
      <c r="CG356" t="n">
        <v>15</v>
      </c>
      <c r="CH356" t="n">
        <v>2</v>
      </c>
      <c r="CI356" t="n">
        <v>17</v>
      </c>
      <c r="CJ356" t="n">
        <v>16</v>
      </c>
      <c r="CK356" t="n">
        <v>3</v>
      </c>
      <c r="CL356" t="n">
        <v>33</v>
      </c>
      <c r="CM356" t="n">
        <v>4</v>
      </c>
      <c r="CN356" t="n">
        <v>1</v>
      </c>
      <c r="CO356" t="n">
        <v>16</v>
      </c>
      <c r="CP356" t="n">
        <v>7</v>
      </c>
      <c r="CQ356" t="n">
        <v>18</v>
      </c>
      <c r="CR356" t="n">
        <v>5</v>
      </c>
      <c r="CS356" t="n">
        <v>7</v>
      </c>
      <c r="CT356" t="n">
        <v>5</v>
      </c>
      <c r="CU356" t="n">
        <v>5</v>
      </c>
      <c r="CV356" t="n">
        <v>8</v>
      </c>
      <c r="CW356" t="n">
        <v>11</v>
      </c>
      <c r="CX356" t="n">
        <v>2</v>
      </c>
      <c r="CY356" t="n">
        <v>5</v>
      </c>
      <c r="CZ356" t="n">
        <v>21</v>
      </c>
      <c r="DA356" t="n">
        <v>4</v>
      </c>
      <c r="DB356" t="n">
        <v>14</v>
      </c>
      <c r="DC356" t="n">
        <v>16</v>
      </c>
      <c r="DD356" t="n">
        <v>1</v>
      </c>
      <c r="DE356" t="n">
        <v>5</v>
      </c>
      <c r="DF356" t="n">
        <v>3</v>
      </c>
      <c r="DG356" t="n">
        <v>27</v>
      </c>
      <c r="DH356" t="n">
        <v>9</v>
      </c>
      <c r="DI356" t="n">
        <v>0</v>
      </c>
      <c r="DJ356" t="n">
        <v>1</v>
      </c>
      <c r="DK356" t="n">
        <v>1</v>
      </c>
      <c r="DL356" t="n">
        <v>0</v>
      </c>
      <c r="DM356" t="n">
        <v>3</v>
      </c>
      <c r="DN356" t="n">
        <v>0</v>
      </c>
      <c r="DO356" t="n">
        <v>48</v>
      </c>
      <c r="DP356" t="n">
        <v>3</v>
      </c>
      <c r="DQ356" t="n">
        <v>5</v>
      </c>
      <c r="DR356" t="n">
        <v>13</v>
      </c>
      <c r="DS356" t="n">
        <v>57</v>
      </c>
      <c r="DT356" t="n">
        <v>0</v>
      </c>
      <c r="DU356" t="n">
        <v>0</v>
      </c>
      <c r="DV356" t="n">
        <v>1</v>
      </c>
      <c r="DW356" t="n">
        <v>9</v>
      </c>
      <c r="DX356" t="n">
        <v>7</v>
      </c>
      <c r="DY356" t="n">
        <v>0</v>
      </c>
      <c r="DZ356" t="n">
        <v>5</v>
      </c>
      <c r="EA356" t="n">
        <v>0</v>
      </c>
      <c r="EB356" t="n">
        <v>0</v>
      </c>
      <c r="EC356" t="n">
        <v>1</v>
      </c>
      <c r="ED356" t="n">
        <v>10</v>
      </c>
      <c r="EE356" t="n">
        <v>0</v>
      </c>
      <c r="EF356" t="n">
        <v>4</v>
      </c>
      <c r="EG356" t="n">
        <v>0</v>
      </c>
      <c r="EH356" t="n">
        <v>4</v>
      </c>
      <c r="EI356" t="n">
        <v>6</v>
      </c>
      <c r="EJ356" t="n">
        <v>2</v>
      </c>
      <c r="EK356" t="n">
        <v>7</v>
      </c>
      <c r="EL356" t="n">
        <v>1</v>
      </c>
      <c r="EM356" t="n">
        <v>3</v>
      </c>
      <c r="EN356" t="n">
        <v>6</v>
      </c>
      <c r="EO356" t="n">
        <v>6</v>
      </c>
      <c r="EP356" t="n">
        <v>10</v>
      </c>
      <c r="EQ356" t="n">
        <v>5</v>
      </c>
      <c r="ER356" t="n">
        <v>32</v>
      </c>
      <c r="ES356" t="n">
        <v>2</v>
      </c>
      <c r="ET356" t="n">
        <v>9</v>
      </c>
      <c r="EU356" t="n">
        <v>5</v>
      </c>
      <c r="EV356" t="n">
        <v>0</v>
      </c>
      <c r="EW356" t="n">
        <v>9</v>
      </c>
      <c r="EX356" t="n">
        <v>23</v>
      </c>
      <c r="EY356" t="n">
        <v>10</v>
      </c>
      <c r="EZ356" t="n">
        <v>20</v>
      </c>
      <c r="FA356" t="n">
        <v>31</v>
      </c>
      <c r="FB356" t="n">
        <v>18</v>
      </c>
      <c r="FC356" t="n">
        <v>32</v>
      </c>
      <c r="FD356" t="n">
        <v>18</v>
      </c>
      <c r="FE356" t="n">
        <v>20</v>
      </c>
      <c r="FF356" t="n">
        <v>81</v>
      </c>
      <c r="FG356" t="n">
        <v>25</v>
      </c>
      <c r="FH356" t="n">
        <v>16</v>
      </c>
      <c r="FI356" t="n">
        <v>66</v>
      </c>
      <c r="FJ356" t="n">
        <v>10</v>
      </c>
      <c r="FK356" t="n">
        <v>33</v>
      </c>
      <c r="FL356" t="n">
        <v>8</v>
      </c>
      <c r="FM356" t="n">
        <v>3</v>
      </c>
      <c r="FN356" t="n">
        <v>3</v>
      </c>
      <c r="FO356" t="n">
        <v>3</v>
      </c>
      <c r="FP356" t="n">
        <v>31</v>
      </c>
      <c r="FQ356" t="n">
        <v>10</v>
      </c>
      <c r="FR356" t="n">
        <v>3</v>
      </c>
      <c r="FS356" t="n">
        <v>7</v>
      </c>
      <c r="FT356" t="n">
        <v>5</v>
      </c>
      <c r="FU356" t="n">
        <v>7</v>
      </c>
      <c r="FV356" t="n">
        <v>27</v>
      </c>
      <c r="FW356" t="n">
        <v>12</v>
      </c>
      <c r="FX356" t="n">
        <v>29</v>
      </c>
      <c r="FY356" t="n">
        <v>34</v>
      </c>
      <c r="FZ356" t="n">
        <v>5</v>
      </c>
      <c r="GA356" t="n">
        <v>4</v>
      </c>
      <c r="GB356" t="n">
        <v>7</v>
      </c>
      <c r="GC356" t="n">
        <v>6</v>
      </c>
      <c r="GD356" t="n">
        <v>10</v>
      </c>
      <c r="GE356" t="n">
        <v>0</v>
      </c>
      <c r="GF356" t="n">
        <v>3</v>
      </c>
      <c r="GG356" t="n">
        <v>17</v>
      </c>
      <c r="GH356" t="n">
        <v>26</v>
      </c>
      <c r="GI356" t="n">
        <v>19</v>
      </c>
      <c r="GJ356" t="n">
        <v>15</v>
      </c>
      <c r="GK356" t="n">
        <v>13</v>
      </c>
      <c r="GL356" t="n">
        <v>29</v>
      </c>
      <c r="GM356" t="n">
        <v>3</v>
      </c>
      <c r="GN356" t="n">
        <v>8</v>
      </c>
      <c r="GO356" t="n">
        <v>9</v>
      </c>
      <c r="GP356" t="n">
        <v>49</v>
      </c>
      <c r="GQ356" t="n">
        <v>48</v>
      </c>
      <c r="GR356" t="n">
        <v>67</v>
      </c>
      <c r="GS356" t="n">
        <v>46</v>
      </c>
      <c r="GT356" t="n">
        <v>41</v>
      </c>
      <c r="GU356" t="n">
        <v>95</v>
      </c>
      <c r="GV356" t="n">
        <v>21</v>
      </c>
      <c r="GW356" t="n">
        <v>123</v>
      </c>
      <c r="GX356" t="n">
        <v>134</v>
      </c>
      <c r="GY356" t="n">
        <v>19</v>
      </c>
      <c r="GZ356" t="n">
        <v>73</v>
      </c>
      <c r="HA356" t="n">
        <v>36</v>
      </c>
      <c r="HB356" t="n">
        <v>47</v>
      </c>
      <c r="HC356" t="n">
        <v>7</v>
      </c>
      <c r="HD356" t="n">
        <v>15</v>
      </c>
      <c r="HE356" t="n">
        <v>32</v>
      </c>
      <c r="HF356" t="n">
        <v>54</v>
      </c>
      <c r="HG356" t="n">
        <v>90</v>
      </c>
      <c r="HH356" t="n">
        <v>55</v>
      </c>
      <c r="HI356" t="n">
        <v>13</v>
      </c>
      <c r="HJ356" t="n">
        <v>11</v>
      </c>
      <c r="HK356" t="n">
        <v>28</v>
      </c>
      <c r="HL356" t="n">
        <v>6</v>
      </c>
      <c r="HM356" t="n">
        <v>20</v>
      </c>
      <c r="HN356" t="n">
        <v>16</v>
      </c>
      <c r="HO356" t="n">
        <v>14</v>
      </c>
      <c r="HP356" t="n">
        <v>3</v>
      </c>
      <c r="HQ356" t="n">
        <v>7</v>
      </c>
      <c r="HR356" t="n">
        <v>1</v>
      </c>
      <c r="HS356" t="n">
        <v>1</v>
      </c>
      <c r="HT356" t="n">
        <v>16</v>
      </c>
      <c r="HU356" t="n">
        <v>63</v>
      </c>
      <c r="HV356" t="n">
        <v>92</v>
      </c>
      <c r="HW356" t="n">
        <v>71</v>
      </c>
      <c r="HX356" t="n">
        <v>27</v>
      </c>
      <c r="HY356" t="n">
        <v>4</v>
      </c>
      <c r="HZ356" t="n">
        <v>11</v>
      </c>
      <c r="IA356" t="n">
        <v>10</v>
      </c>
      <c r="IB356" t="n">
        <v>91</v>
      </c>
      <c r="IC356" t="n">
        <v>4</v>
      </c>
      <c r="ID356" t="n">
        <v>418</v>
      </c>
      <c r="IE356" t="n">
        <v>15</v>
      </c>
      <c r="IF356" t="n">
        <v>23</v>
      </c>
      <c r="IG356" t="n">
        <v>39</v>
      </c>
      <c r="IH356" t="n">
        <v>47</v>
      </c>
      <c r="II356" t="n">
        <v>35</v>
      </c>
      <c r="IJ356" t="n">
        <v>14</v>
      </c>
      <c r="IK356" t="n">
        <v>151</v>
      </c>
      <c r="IL356" t="n">
        <v>1068</v>
      </c>
      <c r="IM356" t="n">
        <v>174</v>
      </c>
      <c r="IN356" t="n">
        <v>28</v>
      </c>
      <c r="IO356" t="n">
        <v>19</v>
      </c>
      <c r="IP356" t="n">
        <v>72</v>
      </c>
      <c r="IQ356" t="n">
        <v>10</v>
      </c>
      <c r="IR356" t="n">
        <v>41</v>
      </c>
      <c r="IS356" t="n">
        <v>16</v>
      </c>
      <c r="IT356" t="n">
        <v>21</v>
      </c>
      <c r="IU356" t="n">
        <v>31</v>
      </c>
      <c r="IV356" t="n">
        <v>21</v>
      </c>
      <c r="IW356" t="n">
        <v>39</v>
      </c>
      <c r="IX356" t="n">
        <v>22</v>
      </c>
      <c r="IY356" t="n">
        <v>3</v>
      </c>
      <c r="IZ356" t="n">
        <v>103</v>
      </c>
      <c r="JA356" t="n">
        <v>46</v>
      </c>
      <c r="JB356" t="n">
        <v>25</v>
      </c>
      <c r="JC356" t="n">
        <v>10</v>
      </c>
      <c r="JD356" t="n">
        <v>13</v>
      </c>
      <c r="JE356" t="n">
        <v>12</v>
      </c>
      <c r="JF356" t="n">
        <v>9</v>
      </c>
      <c r="JG356" t="n">
        <v>144</v>
      </c>
      <c r="JH356" t="n">
        <v>25</v>
      </c>
      <c r="JI356" t="n">
        <v>10</v>
      </c>
      <c r="JJ356" t="n">
        <v>23</v>
      </c>
      <c r="JK356" t="n">
        <v>151</v>
      </c>
      <c r="JL356" t="n">
        <v>108</v>
      </c>
      <c r="JM356" t="n">
        <v>752</v>
      </c>
      <c r="JN356" t="n">
        <v>153</v>
      </c>
      <c r="JO356" t="n">
        <v>743</v>
      </c>
      <c r="JP356" t="n">
        <v>81</v>
      </c>
      <c r="JQ356" t="n">
        <v>343</v>
      </c>
      <c r="JR356" t="n">
        <v>36</v>
      </c>
      <c r="JS356" t="n">
        <v>470</v>
      </c>
      <c r="JT356" t="n">
        <v>54</v>
      </c>
      <c r="JV356" t="n">
        <v>1024</v>
      </c>
      <c r="JW356" t="n">
        <v>484</v>
      </c>
      <c r="JX356" t="n">
        <v>297</v>
      </c>
      <c r="JY356" t="n">
        <v>150</v>
      </c>
      <c r="JZ356" t="n">
        <v>175</v>
      </c>
      <c r="KA356" t="n">
        <v>563</v>
      </c>
      <c r="KB356" t="n">
        <v>155</v>
      </c>
      <c r="KC356" t="n">
        <v>117</v>
      </c>
      <c r="KD356" t="n">
        <v>282</v>
      </c>
      <c r="KE356" t="n">
        <v>63</v>
      </c>
      <c r="KF356" t="n">
        <v>142</v>
      </c>
      <c r="KG356" t="n">
        <v>10</v>
      </c>
      <c r="KH356" t="n">
        <v>782</v>
      </c>
      <c r="KI356" t="n">
        <v>34</v>
      </c>
      <c r="KJ356" t="n">
        <v>15</v>
      </c>
      <c r="KK356" t="n">
        <v>169</v>
      </c>
      <c r="KL356" t="n">
        <v>96</v>
      </c>
      <c r="KM356" t="n">
        <v>277</v>
      </c>
      <c r="KN356" t="n">
        <v>8</v>
      </c>
      <c r="KO356" t="n">
        <v>7</v>
      </c>
      <c r="KP356" t="n">
        <v>25</v>
      </c>
      <c r="KQ356" t="n">
        <v>1</v>
      </c>
      <c r="KR356" t="n">
        <v>35</v>
      </c>
      <c r="KS356" t="n">
        <v>52</v>
      </c>
      <c r="KT356" t="n">
        <v>1</v>
      </c>
      <c r="KU356" t="n">
        <v>7</v>
      </c>
      <c r="KV356" t="n">
        <v>19</v>
      </c>
      <c r="KW356" t="n">
        <v>7</v>
      </c>
      <c r="KX356" t="n">
        <v>3</v>
      </c>
      <c r="KY356" t="n">
        <v>83</v>
      </c>
      <c r="KZ356" t="n">
        <v>51</v>
      </c>
      <c r="LA356" t="n">
        <v>35</v>
      </c>
      <c r="LB356" t="n">
        <v>0</v>
      </c>
      <c r="LC356" t="n">
        <v>202</v>
      </c>
      <c r="LD356" t="n">
        <v>512</v>
      </c>
      <c r="LE356" t="n">
        <v>111</v>
      </c>
      <c r="LF356" t="n">
        <v>29</v>
      </c>
      <c r="LG356" t="n">
        <v>1085</v>
      </c>
      <c r="LH356" t="n">
        <v>870</v>
      </c>
      <c r="LI356" t="n">
        <v>33</v>
      </c>
      <c r="LJ356" t="n">
        <v>845</v>
      </c>
      <c r="LK356" t="n">
        <v>3</v>
      </c>
      <c r="LL356" t="n">
        <v>0</v>
      </c>
      <c r="LM356" t="n">
        <v>30034</v>
      </c>
      <c r="LN356" t="n">
        <v>57</v>
      </c>
      <c r="LO356" t="n">
        <v>99</v>
      </c>
      <c r="LP356" t="n">
        <v>18</v>
      </c>
      <c r="LQ356" t="n">
        <v>472</v>
      </c>
      <c r="LR356" t="n">
        <v>309</v>
      </c>
      <c r="LS356" t="n">
        <v>18</v>
      </c>
      <c r="LT356" t="n">
        <v>183</v>
      </c>
      <c r="LU356" t="n">
        <v>106</v>
      </c>
      <c r="LV356" t="n">
        <v>265</v>
      </c>
      <c r="LW356" t="n">
        <v>139</v>
      </c>
      <c r="LX356" t="n">
        <v>326</v>
      </c>
      <c r="LY356" t="n">
        <v>89</v>
      </c>
      <c r="LZ356" t="n">
        <v>727</v>
      </c>
      <c r="MA356" t="n">
        <v>125</v>
      </c>
      <c r="MB356" t="n">
        <v>13</v>
      </c>
      <c r="MC356" t="n">
        <v>3</v>
      </c>
      <c r="MD356" t="n">
        <v>33</v>
      </c>
      <c r="ME356" t="n">
        <v>167</v>
      </c>
      <c r="MF356" t="n">
        <v>859</v>
      </c>
      <c r="MG356" t="n">
        <v>104</v>
      </c>
      <c r="MH356" t="n">
        <v>967</v>
      </c>
      <c r="MI356" t="n">
        <v>206</v>
      </c>
      <c r="MJ356" t="n">
        <v>103</v>
      </c>
      <c r="MK356" t="n">
        <v>87</v>
      </c>
      <c r="ML356" t="n">
        <v>200</v>
      </c>
      <c r="MM356" t="n">
        <v>28</v>
      </c>
      <c r="MN356" t="n">
        <v>186</v>
      </c>
      <c r="MO356" t="n">
        <v>11003</v>
      </c>
      <c r="MP356" t="n">
        <v>56</v>
      </c>
      <c r="MQ356" t="n">
        <v>50</v>
      </c>
      <c r="MR356" t="n">
        <v>197</v>
      </c>
      <c r="MS356" t="n">
        <v>779</v>
      </c>
      <c r="MT356" t="n">
        <v>117</v>
      </c>
      <c r="MU356" t="n">
        <v>206</v>
      </c>
      <c r="MV356" t="n">
        <v>224</v>
      </c>
      <c r="MW356" t="n">
        <v>38</v>
      </c>
      <c r="MX356" t="n">
        <v>71</v>
      </c>
      <c r="MY356" t="n">
        <v>57</v>
      </c>
      <c r="MZ356" t="n">
        <v>1713</v>
      </c>
      <c r="NA356" t="n">
        <v>683</v>
      </c>
      <c r="NB356" t="n">
        <v>119</v>
      </c>
      <c r="NC356" t="n">
        <v>475</v>
      </c>
      <c r="ND356" t="n">
        <v>33</v>
      </c>
      <c r="NE356" t="n">
        <v>46</v>
      </c>
      <c r="NF356" t="n">
        <v>11</v>
      </c>
      <c r="NG356" t="n">
        <v>27</v>
      </c>
      <c r="NH356" t="n">
        <v>5</v>
      </c>
      <c r="NI356" t="n">
        <v>43</v>
      </c>
      <c r="NJ356" t="n">
        <v>38</v>
      </c>
      <c r="NK356" t="n">
        <v>49</v>
      </c>
      <c r="NL356" t="n">
        <v>147</v>
      </c>
      <c r="NM356" t="n">
        <v>278</v>
      </c>
      <c r="NN356" t="n">
        <v>1130</v>
      </c>
      <c r="NO356" t="n">
        <v>1080</v>
      </c>
      <c r="NP356" t="n">
        <v>899</v>
      </c>
      <c r="NQ356" t="n">
        <v>99</v>
      </c>
      <c r="NR356" t="n">
        <v>310</v>
      </c>
      <c r="NS356" t="n">
        <v>9</v>
      </c>
      <c r="NT356" t="n">
        <v>31</v>
      </c>
      <c r="NU356" t="n">
        <v>33</v>
      </c>
      <c r="NV356" t="n">
        <v>223</v>
      </c>
      <c r="NW356" t="n">
        <v>6</v>
      </c>
      <c r="NX356" t="n">
        <v>247</v>
      </c>
      <c r="NY356" t="n">
        <v>115</v>
      </c>
      <c r="NZ356" t="n">
        <v>51</v>
      </c>
      <c r="OA356" t="n">
        <v>10</v>
      </c>
      <c r="OB356" t="n">
        <v>498</v>
      </c>
      <c r="OD356" t="n">
        <v>92</v>
      </c>
      <c r="OE356" t="n">
        <v>1299</v>
      </c>
      <c r="OF356" t="n">
        <v>119</v>
      </c>
      <c r="OG356" t="n">
        <v>103</v>
      </c>
      <c r="OH356" t="n">
        <v>24</v>
      </c>
      <c r="OI356" t="n">
        <v>2135</v>
      </c>
      <c r="OJ356" t="n">
        <v>778</v>
      </c>
      <c r="OK356" t="n">
        <v>17881</v>
      </c>
      <c r="OL356" t="n">
        <v>55</v>
      </c>
      <c r="OM356" t="n">
        <v>628</v>
      </c>
      <c r="ON356" t="n">
        <v>2787</v>
      </c>
      <c r="OO356" t="n">
        <v>104899</v>
      </c>
      <c r="OP356" t="n">
        <v>28334</v>
      </c>
      <c r="OV356" t="n">
        <v>156</v>
      </c>
      <c r="PI356" t="n">
        <v>133389</v>
      </c>
      <c r="PM356">
        <f>IFERROR(VLOOKUP($A356&amp;"",Key!$A:$C,3,FALSE),"")</f>
        <v/>
      </c>
    </row>
    <row r="357">
      <c r="A357" t="n">
        <v>611100</v>
      </c>
      <c r="B357" t="inlineStr">
        <is>
          <t>Elementary and secondary schools</t>
        </is>
      </c>
      <c r="OP357" t="n">
        <v>53010</v>
      </c>
      <c r="PI357" t="n">
        <v>53010</v>
      </c>
      <c r="PM357">
        <f>IFERROR(VLOOKUP($A357&amp;"",Key!$A:$C,3,FALSE),"")</f>
        <v/>
      </c>
    </row>
    <row r="358">
      <c r="A358" t="inlineStr">
        <is>
          <t>611A00</t>
        </is>
      </c>
      <c r="B358" t="inlineStr">
        <is>
          <t>Junior colleges, colleges, universities, and professional schools</t>
        </is>
      </c>
      <c r="C358" t="n">
        <v>0</v>
      </c>
      <c r="D358" t="n">
        <v>1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N358" t="n">
        <v>0</v>
      </c>
      <c r="O358" t="n">
        <v>0</v>
      </c>
      <c r="X358" t="n">
        <v>111</v>
      </c>
      <c r="Y358" t="n">
        <v>46</v>
      </c>
      <c r="AC358" t="n">
        <v>5</v>
      </c>
      <c r="IB358" t="n">
        <v>24</v>
      </c>
      <c r="ID358" t="n">
        <v>5</v>
      </c>
      <c r="JD358" t="n">
        <v>1</v>
      </c>
      <c r="JK358" t="n">
        <v>260</v>
      </c>
      <c r="JL358" t="n">
        <v>113</v>
      </c>
      <c r="JM358" t="n">
        <v>174</v>
      </c>
      <c r="JN358" t="n">
        <v>258</v>
      </c>
      <c r="JO358" t="n">
        <v>233</v>
      </c>
      <c r="JQ358" t="n">
        <v>48</v>
      </c>
      <c r="JS358" t="n">
        <v>375</v>
      </c>
      <c r="JW358" t="n">
        <v>319</v>
      </c>
      <c r="JY358" t="n">
        <v>510</v>
      </c>
      <c r="KA358" t="n">
        <v>557</v>
      </c>
      <c r="KC358" t="n">
        <v>802</v>
      </c>
      <c r="KD358" t="n">
        <v>133</v>
      </c>
      <c r="KF358" t="n">
        <v>11</v>
      </c>
      <c r="KJ358" t="n">
        <v>2</v>
      </c>
      <c r="KK358" t="n">
        <v>38</v>
      </c>
      <c r="KN358" t="n">
        <v>0</v>
      </c>
      <c r="KO358" t="n">
        <v>0</v>
      </c>
      <c r="KQ358" t="n">
        <v>0</v>
      </c>
      <c r="KU358" t="n">
        <v>0</v>
      </c>
      <c r="KW358" t="n">
        <v>10</v>
      </c>
      <c r="KX358" t="n">
        <v>12</v>
      </c>
      <c r="KZ358" t="n">
        <v>111</v>
      </c>
      <c r="LT358" t="n">
        <v>111</v>
      </c>
      <c r="LW358" t="n">
        <v>42</v>
      </c>
      <c r="MH358" t="n">
        <v>13</v>
      </c>
      <c r="MQ358" t="n">
        <v>669</v>
      </c>
      <c r="MW358" t="n">
        <v>0</v>
      </c>
      <c r="MZ358" t="n">
        <v>3</v>
      </c>
      <c r="NR358" t="n">
        <v>1</v>
      </c>
      <c r="NT358" t="n">
        <v>0</v>
      </c>
      <c r="OB358" t="n">
        <v>0</v>
      </c>
      <c r="OI358" t="n">
        <v>2728</v>
      </c>
      <c r="OJ358" t="n">
        <v>706</v>
      </c>
      <c r="OK358" t="n">
        <v>744</v>
      </c>
      <c r="OL358" t="n">
        <v>2</v>
      </c>
      <c r="ON358" t="n">
        <v>1</v>
      </c>
      <c r="OO358" t="n">
        <v>9181</v>
      </c>
      <c r="OP358" t="n">
        <v>238722</v>
      </c>
      <c r="OV358" t="n">
        <v>1844</v>
      </c>
      <c r="PI358" t="n">
        <v>249747</v>
      </c>
      <c r="PM358">
        <f>IFERROR(VLOOKUP($A358&amp;"",Key!$A:$C,3,FALSE),"")</f>
        <v/>
      </c>
    </row>
    <row r="359">
      <c r="A359" t="inlineStr">
        <is>
          <t>611B00</t>
        </is>
      </c>
      <c r="B359" t="inlineStr">
        <is>
          <t>Other educational services</t>
        </is>
      </c>
      <c r="X359" t="n">
        <v>1</v>
      </c>
      <c r="IB359" t="n">
        <v>1</v>
      </c>
      <c r="JK359" t="n">
        <v>53</v>
      </c>
      <c r="JL359" t="n">
        <v>28</v>
      </c>
      <c r="JM359" t="n">
        <v>39</v>
      </c>
      <c r="JN359" t="n">
        <v>84</v>
      </c>
      <c r="JO359" t="n">
        <v>32</v>
      </c>
      <c r="JQ359" t="n">
        <v>58</v>
      </c>
      <c r="JS359" t="n">
        <v>112</v>
      </c>
      <c r="JV359" t="n">
        <v>74</v>
      </c>
      <c r="JW359" t="n">
        <v>162</v>
      </c>
      <c r="JY359" t="n">
        <v>258</v>
      </c>
      <c r="KA359" t="n">
        <v>283</v>
      </c>
      <c r="KC359" t="n">
        <v>290</v>
      </c>
      <c r="KD359" t="n">
        <v>55</v>
      </c>
      <c r="KE359" t="n">
        <v>176</v>
      </c>
      <c r="KF359" t="n">
        <v>1</v>
      </c>
      <c r="LC359" t="n">
        <v>18</v>
      </c>
      <c r="LD359" t="n">
        <v>7</v>
      </c>
      <c r="LE359" t="n">
        <v>4</v>
      </c>
      <c r="LF359" t="n">
        <v>1</v>
      </c>
      <c r="MG359" t="n">
        <v>51</v>
      </c>
      <c r="MH359" t="n">
        <v>105</v>
      </c>
      <c r="MK359" t="n">
        <v>78</v>
      </c>
      <c r="MN359" t="n">
        <v>39</v>
      </c>
      <c r="MP359" t="n">
        <v>88</v>
      </c>
      <c r="MQ359" t="n">
        <v>292</v>
      </c>
      <c r="MR359" t="n">
        <v>1024</v>
      </c>
      <c r="NF359" t="n">
        <v>176</v>
      </c>
      <c r="NI359" t="n">
        <v>1761</v>
      </c>
      <c r="NJ359" t="n">
        <v>76</v>
      </c>
      <c r="NM359" t="n">
        <v>200</v>
      </c>
      <c r="NV359" t="n">
        <v>19</v>
      </c>
      <c r="NZ359" t="n">
        <v>150</v>
      </c>
      <c r="OA359" t="n">
        <v>1020</v>
      </c>
      <c r="OB359" t="n">
        <v>576</v>
      </c>
      <c r="OD359" t="n">
        <v>0</v>
      </c>
      <c r="OE359" t="n">
        <v>15</v>
      </c>
      <c r="OG359" t="n">
        <v>61</v>
      </c>
      <c r="OI359" t="n">
        <v>1088</v>
      </c>
      <c r="OJ359" t="n">
        <v>425</v>
      </c>
      <c r="OK359" t="n">
        <v>1795</v>
      </c>
      <c r="ON359" t="n">
        <v>4</v>
      </c>
      <c r="OO359" t="n">
        <v>10780</v>
      </c>
      <c r="OP359" t="n">
        <v>68474</v>
      </c>
      <c r="OV359" t="n">
        <v>736</v>
      </c>
      <c r="PI359" t="n">
        <v>79990</v>
      </c>
      <c r="PM359">
        <f>IFERROR(VLOOKUP($A359&amp;"",Key!$A:$C,3,FALSE),"")</f>
        <v/>
      </c>
    </row>
    <row r="360">
      <c r="A360" t="n">
        <v>621100</v>
      </c>
      <c r="B360" t="inlineStr">
        <is>
          <t>Offices of physicians</t>
        </is>
      </c>
      <c r="OE360" t="n">
        <v>102</v>
      </c>
      <c r="OJ360" t="n">
        <v>515</v>
      </c>
      <c r="OO360" t="n">
        <v>617</v>
      </c>
      <c r="OP360" t="n">
        <v>491310</v>
      </c>
      <c r="OV360" t="n">
        <v>181</v>
      </c>
      <c r="PI360" t="n">
        <v>492107</v>
      </c>
      <c r="PM360">
        <f>IFERROR(VLOOKUP($A360&amp;"",Key!$A:$C,3,FALSE),"")</f>
        <v/>
      </c>
    </row>
    <row r="361">
      <c r="A361" t="n">
        <v>621200</v>
      </c>
      <c r="B361" t="inlineStr">
        <is>
          <t>Offices of dentists</t>
        </is>
      </c>
      <c r="OP361" t="n">
        <v>129315</v>
      </c>
      <c r="OV361" t="n">
        <v>100</v>
      </c>
      <c r="PI361" t="n">
        <v>129415</v>
      </c>
      <c r="PM361">
        <f>IFERROR(VLOOKUP($A361&amp;"",Key!$A:$C,3,FALSE),"")</f>
        <v/>
      </c>
    </row>
    <row r="362">
      <c r="A362" t="n">
        <v>621300</v>
      </c>
      <c r="B362" t="inlineStr">
        <is>
          <t>Offices of other health practitioners</t>
        </is>
      </c>
      <c r="OE362" t="n">
        <v>2</v>
      </c>
      <c r="OJ362" t="n">
        <v>3833</v>
      </c>
      <c r="OO362" t="n">
        <v>3835</v>
      </c>
      <c r="OP362" t="n">
        <v>94125</v>
      </c>
      <c r="OV362" t="n">
        <v>100</v>
      </c>
      <c r="PI362" t="n">
        <v>98059</v>
      </c>
      <c r="PM362">
        <f>IFERROR(VLOOKUP($A362&amp;"",Key!$A:$C,3,FALSE),"")</f>
        <v/>
      </c>
    </row>
    <row r="363">
      <c r="A363" t="n">
        <v>621400</v>
      </c>
      <c r="B363" t="inlineStr">
        <is>
          <t>Outpatient care centers</t>
        </is>
      </c>
      <c r="OE363" t="n">
        <v>890</v>
      </c>
      <c r="OJ363" t="n">
        <v>4238</v>
      </c>
      <c r="OO363" t="n">
        <v>5128</v>
      </c>
      <c r="OP363" t="n">
        <v>160922</v>
      </c>
      <c r="OV363" t="n">
        <v>106</v>
      </c>
      <c r="PI363" t="n">
        <v>166156</v>
      </c>
      <c r="PM363">
        <f>IFERROR(VLOOKUP($A363&amp;"",Key!$A:$C,3,FALSE),"")</f>
        <v/>
      </c>
    </row>
    <row r="364">
      <c r="A364" t="n">
        <v>621500</v>
      </c>
      <c r="B364" t="inlineStr">
        <is>
          <t>Medical and diagnostic laboratories</t>
        </is>
      </c>
      <c r="MB364" t="n">
        <v>9</v>
      </c>
      <c r="MD364" t="n">
        <v>57</v>
      </c>
      <c r="MS364" t="n">
        <v>10184</v>
      </c>
      <c r="MV364" t="n">
        <v>3422</v>
      </c>
      <c r="MX364" t="n">
        <v>3</v>
      </c>
      <c r="MY364" t="n">
        <v>215</v>
      </c>
      <c r="MZ364" t="n">
        <v>2818</v>
      </c>
      <c r="NB364" t="n">
        <v>0</v>
      </c>
      <c r="NC364" t="n">
        <v>1</v>
      </c>
      <c r="OJ364" t="n">
        <v>68</v>
      </c>
      <c r="OO364" t="n">
        <v>16778</v>
      </c>
      <c r="OP364" t="n">
        <v>38265</v>
      </c>
      <c r="OV364" t="n">
        <v>100</v>
      </c>
      <c r="PI364" t="n">
        <v>55143</v>
      </c>
      <c r="PM364">
        <f>IFERROR(VLOOKUP($A364&amp;"",Key!$A:$C,3,FALSE),"")</f>
        <v/>
      </c>
    </row>
    <row r="365">
      <c r="A365" t="n">
        <v>621600</v>
      </c>
      <c r="B365" t="inlineStr">
        <is>
          <t>Home health care services</t>
        </is>
      </c>
      <c r="OP365" t="n">
        <v>107517</v>
      </c>
      <c r="OV365" t="n">
        <v>100</v>
      </c>
      <c r="PI365" t="n">
        <v>107617</v>
      </c>
      <c r="PM365">
        <f>IFERROR(VLOOKUP($A365&amp;"",Key!$A:$C,3,FALSE),"")</f>
        <v/>
      </c>
    </row>
    <row r="366">
      <c r="A366" t="n">
        <v>621900</v>
      </c>
      <c r="B366" t="inlineStr">
        <is>
          <t>Other ambulatory health care services</t>
        </is>
      </c>
      <c r="MN366" t="n">
        <v>66</v>
      </c>
      <c r="MV366" t="n">
        <v>461</v>
      </c>
      <c r="MZ366" t="n">
        <v>5868</v>
      </c>
      <c r="NA366" t="n">
        <v>60</v>
      </c>
      <c r="NG366" t="n">
        <v>31</v>
      </c>
      <c r="NI366" t="n">
        <v>62</v>
      </c>
      <c r="NK366" t="n">
        <v>2</v>
      </c>
      <c r="NZ366" t="n">
        <v>13</v>
      </c>
      <c r="OA366" t="n">
        <v>20</v>
      </c>
      <c r="OB366" t="n">
        <v>18</v>
      </c>
      <c r="OJ366" t="n">
        <v>168</v>
      </c>
      <c r="OK366" t="n">
        <v>10</v>
      </c>
      <c r="OO366" t="n">
        <v>6780</v>
      </c>
      <c r="OP366" t="n">
        <v>29419</v>
      </c>
      <c r="OV366" t="n">
        <v>100</v>
      </c>
      <c r="PI366" t="n">
        <v>36298</v>
      </c>
      <c r="PM366">
        <f>IFERROR(VLOOKUP($A366&amp;"",Key!$A:$C,3,FALSE),"")</f>
        <v/>
      </c>
    </row>
    <row r="367">
      <c r="A367" t="n">
        <v>622000</v>
      </c>
      <c r="B367" t="inlineStr">
        <is>
          <t>Hospitals</t>
        </is>
      </c>
      <c r="MZ367" t="n">
        <v>16228</v>
      </c>
      <c r="OO367" t="n">
        <v>16228</v>
      </c>
      <c r="OP367" t="n">
        <v>1039196</v>
      </c>
      <c r="OV367" t="n">
        <v>2815</v>
      </c>
      <c r="PI367" t="n">
        <v>1058239</v>
      </c>
      <c r="PM367">
        <f>IFERROR(VLOOKUP($A367&amp;"",Key!$A:$C,3,FALSE),"")</f>
        <v/>
      </c>
    </row>
    <row r="368">
      <c r="A368" t="inlineStr">
        <is>
          <t>623A00</t>
        </is>
      </c>
      <c r="B368" t="inlineStr">
        <is>
          <t>Nursing and community care facilities</t>
        </is>
      </c>
      <c r="OE368" t="n">
        <v>1568</v>
      </c>
      <c r="OJ368" t="n">
        <v>870</v>
      </c>
      <c r="OO368" t="n">
        <v>2438</v>
      </c>
      <c r="OP368" t="n">
        <v>187578</v>
      </c>
      <c r="OV368" t="n">
        <v>100</v>
      </c>
      <c r="PI368" t="n">
        <v>190115</v>
      </c>
      <c r="PM368">
        <f>IFERROR(VLOOKUP($A368&amp;"",Key!$A:$C,3,FALSE),"")</f>
        <v/>
      </c>
    </row>
    <row r="369">
      <c r="A369" t="inlineStr">
        <is>
          <t>623B00</t>
        </is>
      </c>
      <c r="B369" t="inlineStr">
        <is>
          <t>Residential mental health, substance abuse, and other residential care facilities</t>
        </is>
      </c>
      <c r="OJ369" t="n">
        <v>30</v>
      </c>
      <c r="OO369" t="n">
        <v>30</v>
      </c>
      <c r="OP369" t="n">
        <v>54042</v>
      </c>
      <c r="OV369" t="n">
        <v>100</v>
      </c>
      <c r="PI369" t="n">
        <v>54171</v>
      </c>
      <c r="PM369">
        <f>IFERROR(VLOOKUP($A369&amp;"",Key!$A:$C,3,FALSE),"")</f>
        <v/>
      </c>
    </row>
    <row r="370">
      <c r="A370" t="n">
        <v>624100</v>
      </c>
      <c r="B370" t="inlineStr">
        <is>
          <t>Individual and family services</t>
        </is>
      </c>
      <c r="OP370" t="n">
        <v>112901</v>
      </c>
      <c r="PI370" t="n">
        <v>112901</v>
      </c>
      <c r="PM370">
        <f>IFERROR(VLOOKUP($A370&amp;"",Key!$A:$C,3,FALSE),"")</f>
        <v/>
      </c>
    </row>
    <row r="371">
      <c r="A371" t="n">
        <v>624400</v>
      </c>
      <c r="B371" t="inlineStr">
        <is>
          <t>Child day care services</t>
        </is>
      </c>
      <c r="OK371" t="n">
        <v>1409</v>
      </c>
      <c r="OO371" t="n">
        <v>1409</v>
      </c>
      <c r="OP371" t="n">
        <v>56995</v>
      </c>
      <c r="PI371" t="n">
        <v>58404</v>
      </c>
      <c r="PM371">
        <f>IFERROR(VLOOKUP($A371&amp;"",Key!$A:$C,3,FALSE),"")</f>
        <v/>
      </c>
    </row>
    <row r="372">
      <c r="A372" t="inlineStr">
        <is>
          <t>624A00</t>
        </is>
      </c>
      <c r="B372" t="inlineStr">
        <is>
          <t>Community food, housing, and other relief services, including rehabilitation services</t>
        </is>
      </c>
      <c r="OP372" t="n">
        <v>55383</v>
      </c>
      <c r="PI372" t="n">
        <v>55383</v>
      </c>
      <c r="PM372">
        <f>IFERROR(VLOOKUP($A372&amp;"",Key!$A:$C,3,FALSE),"")</f>
        <v/>
      </c>
    </row>
    <row r="373">
      <c r="A373" t="n">
        <v>711100</v>
      </c>
      <c r="B373" t="inlineStr">
        <is>
          <t>Performing arts companies</t>
        </is>
      </c>
      <c r="C373" t="n">
        <v>5</v>
      </c>
      <c r="D373" t="n">
        <v>6</v>
      </c>
      <c r="E373" t="n">
        <v>2</v>
      </c>
      <c r="F373" t="n">
        <v>2</v>
      </c>
      <c r="G373" t="n">
        <v>2</v>
      </c>
      <c r="H373" t="n">
        <v>1</v>
      </c>
      <c r="I373" t="n">
        <v>13</v>
      </c>
      <c r="J373" t="n">
        <v>1</v>
      </c>
      <c r="K373" t="n">
        <v>2</v>
      </c>
      <c r="L373" t="n">
        <v>3</v>
      </c>
      <c r="W373" t="n">
        <v>8</v>
      </c>
      <c r="X373" t="n">
        <v>63</v>
      </c>
      <c r="Y373" t="n">
        <v>5</v>
      </c>
      <c r="AC373" t="n">
        <v>16</v>
      </c>
      <c r="AD373" t="n">
        <v>1</v>
      </c>
      <c r="AO373" t="n">
        <v>1</v>
      </c>
      <c r="BC373" t="n">
        <v>3</v>
      </c>
      <c r="BL373" t="n">
        <v>1</v>
      </c>
      <c r="BO373" t="n">
        <v>1</v>
      </c>
      <c r="BQ373" t="n">
        <v>3</v>
      </c>
      <c r="BR373" t="n">
        <v>2</v>
      </c>
      <c r="BV373" t="n">
        <v>1</v>
      </c>
      <c r="BX373" t="n">
        <v>3</v>
      </c>
      <c r="BY373" t="n">
        <v>1</v>
      </c>
      <c r="BZ373" t="n">
        <v>2</v>
      </c>
      <c r="CG373" t="n">
        <v>0</v>
      </c>
      <c r="CI373" t="n">
        <v>1</v>
      </c>
      <c r="CJ373" t="n">
        <v>1</v>
      </c>
      <c r="CL373" t="n">
        <v>2</v>
      </c>
      <c r="CZ373" t="n">
        <v>1</v>
      </c>
      <c r="DB373" t="n">
        <v>1</v>
      </c>
      <c r="DG373" t="n">
        <v>1</v>
      </c>
      <c r="DM373" t="n">
        <v>0</v>
      </c>
      <c r="DO373" t="n">
        <v>0</v>
      </c>
      <c r="DR373" t="n">
        <v>1</v>
      </c>
      <c r="DW373" t="n">
        <v>0</v>
      </c>
      <c r="EQ373" t="n">
        <v>0</v>
      </c>
      <c r="FB373" t="n">
        <v>2</v>
      </c>
      <c r="FC373" t="n">
        <v>1</v>
      </c>
      <c r="FE373" t="n">
        <v>0</v>
      </c>
      <c r="FJ373" t="n">
        <v>1</v>
      </c>
      <c r="FK373" t="n">
        <v>1</v>
      </c>
      <c r="FP373" t="n">
        <v>2</v>
      </c>
      <c r="FW373" t="n">
        <v>0</v>
      </c>
      <c r="FX373" t="n">
        <v>1</v>
      </c>
      <c r="FY373" t="n">
        <v>5</v>
      </c>
      <c r="GD373" t="n">
        <v>1</v>
      </c>
      <c r="GH373" t="n">
        <v>1</v>
      </c>
      <c r="GJ373" t="n">
        <v>1</v>
      </c>
      <c r="GU373" t="n">
        <v>1</v>
      </c>
      <c r="GW373" t="n">
        <v>1</v>
      </c>
      <c r="GX373" t="n">
        <v>2</v>
      </c>
      <c r="GZ373" t="n">
        <v>3</v>
      </c>
      <c r="HG373" t="n">
        <v>1</v>
      </c>
      <c r="HU373" t="n">
        <v>0</v>
      </c>
      <c r="HW373" t="n">
        <v>4</v>
      </c>
      <c r="IB373" t="n">
        <v>9</v>
      </c>
      <c r="ID373" t="n">
        <v>3</v>
      </c>
      <c r="IK373" t="n">
        <v>1</v>
      </c>
      <c r="IL373" t="n">
        <v>5</v>
      </c>
      <c r="IM373" t="n">
        <v>2</v>
      </c>
      <c r="JD373" t="n">
        <v>30</v>
      </c>
      <c r="JG373" t="n">
        <v>8</v>
      </c>
      <c r="JK373" t="n">
        <v>58</v>
      </c>
      <c r="JL373" t="n">
        <v>39</v>
      </c>
      <c r="JM373" t="n">
        <v>36</v>
      </c>
      <c r="JN373" t="n">
        <v>49</v>
      </c>
      <c r="JO373" t="n">
        <v>93</v>
      </c>
      <c r="JQ373" t="n">
        <v>118</v>
      </c>
      <c r="JS373" t="n">
        <v>118</v>
      </c>
      <c r="KF373" t="n">
        <v>141</v>
      </c>
      <c r="KK373" t="n">
        <v>1</v>
      </c>
      <c r="KN373" t="n">
        <v>7</v>
      </c>
      <c r="KO373" t="n">
        <v>8</v>
      </c>
      <c r="KP373" t="n">
        <v>11</v>
      </c>
      <c r="KQ373" t="n">
        <v>2</v>
      </c>
      <c r="KR373" t="n">
        <v>25</v>
      </c>
      <c r="KS373" t="n">
        <v>54</v>
      </c>
      <c r="KT373" t="n">
        <v>8</v>
      </c>
      <c r="KW373" t="n">
        <v>8</v>
      </c>
      <c r="KX373" t="n">
        <v>30</v>
      </c>
      <c r="KY373" t="n">
        <v>10</v>
      </c>
      <c r="KZ373" t="n">
        <v>116</v>
      </c>
      <c r="LA373" t="n">
        <v>13</v>
      </c>
      <c r="LB373" t="n">
        <v>0</v>
      </c>
      <c r="LC373" t="n">
        <v>183</v>
      </c>
      <c r="LD373" t="n">
        <v>262</v>
      </c>
      <c r="LE373" t="n">
        <v>139</v>
      </c>
      <c r="LF373" t="n">
        <v>23</v>
      </c>
      <c r="LH373" t="n">
        <v>30</v>
      </c>
      <c r="LI373" t="n">
        <v>10</v>
      </c>
      <c r="LJ373" t="n">
        <v>40</v>
      </c>
      <c r="LL373" t="n">
        <v>1</v>
      </c>
      <c r="LM373" t="n">
        <v>602</v>
      </c>
      <c r="LN373" t="n">
        <v>23</v>
      </c>
      <c r="LO373" t="n">
        <v>24</v>
      </c>
      <c r="LP373" t="n">
        <v>4</v>
      </c>
      <c r="LR373" t="n">
        <v>174</v>
      </c>
      <c r="LS373" t="n">
        <v>29</v>
      </c>
      <c r="LT373" t="n">
        <v>226</v>
      </c>
      <c r="LU373" t="n">
        <v>102</v>
      </c>
      <c r="LV373" t="n">
        <v>159</v>
      </c>
      <c r="LW373" t="n">
        <v>92</v>
      </c>
      <c r="LX373" t="n">
        <v>141</v>
      </c>
      <c r="LY373" t="n">
        <v>42</v>
      </c>
      <c r="LZ373" t="n">
        <v>25</v>
      </c>
      <c r="MA373" t="n">
        <v>425</v>
      </c>
      <c r="MD373" t="n">
        <v>6</v>
      </c>
      <c r="ME373" t="n">
        <v>79</v>
      </c>
      <c r="MF373" t="n">
        <v>1299</v>
      </c>
      <c r="MG373" t="n">
        <v>216</v>
      </c>
      <c r="MH373" t="n">
        <v>57</v>
      </c>
      <c r="MI373" t="n">
        <v>96</v>
      </c>
      <c r="MJ373" t="n">
        <v>7</v>
      </c>
      <c r="MK373" t="n">
        <v>38</v>
      </c>
      <c r="ML373" t="n">
        <v>110</v>
      </c>
      <c r="MM373" t="n">
        <v>16</v>
      </c>
      <c r="MN373" t="n">
        <v>112</v>
      </c>
      <c r="MO373" t="n">
        <v>22</v>
      </c>
      <c r="MP373" t="n">
        <v>191</v>
      </c>
      <c r="MQ373" t="n">
        <v>39</v>
      </c>
      <c r="MR373" t="n">
        <v>10</v>
      </c>
      <c r="MS373" t="n">
        <v>143</v>
      </c>
      <c r="MT373" t="n">
        <v>12</v>
      </c>
      <c r="MU373" t="n">
        <v>5</v>
      </c>
      <c r="MV373" t="n">
        <v>33</v>
      </c>
      <c r="MW373" t="n">
        <v>1</v>
      </c>
      <c r="MX373" t="n">
        <v>8</v>
      </c>
      <c r="MY373" t="n">
        <v>2</v>
      </c>
      <c r="MZ373" t="n">
        <v>36</v>
      </c>
      <c r="NA373" t="n">
        <v>16</v>
      </c>
      <c r="NB373" t="n">
        <v>4</v>
      </c>
      <c r="NC373" t="n">
        <v>15</v>
      </c>
      <c r="ND373" t="n">
        <v>4</v>
      </c>
      <c r="NE373" t="n">
        <v>7</v>
      </c>
      <c r="NF373" t="n">
        <v>5</v>
      </c>
      <c r="NG373" t="n">
        <v>3</v>
      </c>
      <c r="NI373" t="n">
        <v>9</v>
      </c>
      <c r="NK373" t="n">
        <v>16</v>
      </c>
      <c r="NL373" t="n">
        <v>87</v>
      </c>
      <c r="NM373" t="n">
        <v>93</v>
      </c>
      <c r="NN373" t="n">
        <v>88</v>
      </c>
      <c r="NO373" t="n">
        <v>342</v>
      </c>
      <c r="NP373" t="n">
        <v>1492</v>
      </c>
      <c r="NQ373" t="n">
        <v>94</v>
      </c>
      <c r="NR373" t="n">
        <v>1</v>
      </c>
      <c r="NT373" t="n">
        <v>2</v>
      </c>
      <c r="NV373" t="n">
        <v>4</v>
      </c>
      <c r="NW373" t="n">
        <v>0</v>
      </c>
      <c r="NX373" t="n">
        <v>1</v>
      </c>
      <c r="NZ373" t="n">
        <v>5</v>
      </c>
      <c r="OA373" t="n">
        <v>24</v>
      </c>
      <c r="OB373" t="n">
        <v>88</v>
      </c>
      <c r="OI373" t="n">
        <v>183</v>
      </c>
      <c r="OJ373" t="n">
        <v>97</v>
      </c>
      <c r="OK373" t="n">
        <v>0</v>
      </c>
      <c r="ON373" t="n">
        <v>25</v>
      </c>
      <c r="OO373" t="n">
        <v>9183</v>
      </c>
      <c r="OP373" t="n">
        <v>32596</v>
      </c>
      <c r="OR373" t="n">
        <v>4817</v>
      </c>
      <c r="OV373" t="n">
        <v>347</v>
      </c>
      <c r="PI373" t="n">
        <v>46944</v>
      </c>
      <c r="PM373">
        <f>IFERROR(VLOOKUP($A373&amp;"",Key!$A:$C,3,FALSE),"")</f>
        <v/>
      </c>
    </row>
    <row r="374">
      <c r="A374" t="n">
        <v>711200</v>
      </c>
      <c r="B374" t="inlineStr">
        <is>
          <t>Spectator sports</t>
        </is>
      </c>
      <c r="C374" t="n">
        <v>5</v>
      </c>
      <c r="D374" t="n">
        <v>8</v>
      </c>
      <c r="E374" t="n">
        <v>2</v>
      </c>
      <c r="F374" t="n">
        <v>3</v>
      </c>
      <c r="G374" t="n">
        <v>3</v>
      </c>
      <c r="H374" t="n">
        <v>2</v>
      </c>
      <c r="I374" t="n">
        <v>14</v>
      </c>
      <c r="J374" t="n">
        <v>1</v>
      </c>
      <c r="K374" t="n">
        <v>5</v>
      </c>
      <c r="L374" t="n">
        <v>4</v>
      </c>
      <c r="V374" t="n">
        <v>0</v>
      </c>
      <c r="W374" t="n">
        <v>14</v>
      </c>
      <c r="X374" t="n">
        <v>63</v>
      </c>
      <c r="Y374" t="n">
        <v>3</v>
      </c>
      <c r="Z374" t="n">
        <v>3</v>
      </c>
      <c r="AA374" t="n">
        <v>1</v>
      </c>
      <c r="AB374" t="n">
        <v>2</v>
      </c>
      <c r="AC374" t="n">
        <v>20</v>
      </c>
      <c r="AD374" t="n">
        <v>2</v>
      </c>
      <c r="AE374" t="n">
        <v>12</v>
      </c>
      <c r="AF374" t="n">
        <v>2</v>
      </c>
      <c r="AG374" t="n">
        <v>45</v>
      </c>
      <c r="AH374" t="n">
        <v>1</v>
      </c>
      <c r="AI374" t="n">
        <v>3</v>
      </c>
      <c r="AJ374" t="n">
        <v>1</v>
      </c>
      <c r="AK374" t="n">
        <v>28</v>
      </c>
      <c r="AL374" t="n">
        <v>6</v>
      </c>
      <c r="AM374" t="n">
        <v>2</v>
      </c>
      <c r="AN374" t="n">
        <v>0</v>
      </c>
      <c r="AO374" t="n">
        <v>1</v>
      </c>
      <c r="AP374" t="n">
        <v>1</v>
      </c>
      <c r="AR374" t="n">
        <v>2</v>
      </c>
      <c r="AT374" t="n">
        <v>5</v>
      </c>
      <c r="AU374" t="n">
        <v>0</v>
      </c>
      <c r="AV374" t="n">
        <v>2</v>
      </c>
      <c r="AZ374" t="n">
        <v>0</v>
      </c>
      <c r="BB374" t="n">
        <v>1</v>
      </c>
      <c r="BC374" t="n">
        <v>4</v>
      </c>
      <c r="BD374" t="n">
        <v>1</v>
      </c>
      <c r="BG374" t="n">
        <v>1</v>
      </c>
      <c r="BI374" t="n">
        <v>0</v>
      </c>
      <c r="BJ374" t="n">
        <v>0</v>
      </c>
      <c r="BK374" t="n">
        <v>1</v>
      </c>
      <c r="BL374" t="n">
        <v>1</v>
      </c>
      <c r="BN374" t="n">
        <v>0</v>
      </c>
      <c r="BO374" t="n">
        <v>1</v>
      </c>
      <c r="BP374" t="n">
        <v>1</v>
      </c>
      <c r="BQ374" t="n">
        <v>4</v>
      </c>
      <c r="BR374" t="n">
        <v>2</v>
      </c>
      <c r="BT374" t="n">
        <v>1</v>
      </c>
      <c r="BU374" t="n">
        <v>0</v>
      </c>
      <c r="BV374" t="n">
        <v>1</v>
      </c>
      <c r="BW374" t="n">
        <v>1</v>
      </c>
      <c r="BX374" t="n">
        <v>4</v>
      </c>
      <c r="BY374" t="n">
        <v>2</v>
      </c>
      <c r="BZ374" t="n">
        <v>2</v>
      </c>
      <c r="CB374" t="n">
        <v>1</v>
      </c>
      <c r="CD374" t="n">
        <v>0</v>
      </c>
      <c r="CF374" t="n">
        <v>1</v>
      </c>
      <c r="CG374" t="n">
        <v>1</v>
      </c>
      <c r="CI374" t="n">
        <v>1</v>
      </c>
      <c r="CJ374" t="n">
        <v>2</v>
      </c>
      <c r="CK374" t="n">
        <v>1</v>
      </c>
      <c r="CL374" t="n">
        <v>1</v>
      </c>
      <c r="CM374" t="n">
        <v>0</v>
      </c>
      <c r="CO374" t="n">
        <v>1</v>
      </c>
      <c r="CP374" t="n">
        <v>0</v>
      </c>
      <c r="CQ374" t="n">
        <v>1</v>
      </c>
      <c r="CT374" t="n">
        <v>1</v>
      </c>
      <c r="CU374" t="n">
        <v>0</v>
      </c>
      <c r="CZ374" t="n">
        <v>2</v>
      </c>
      <c r="DA374" t="n">
        <v>0</v>
      </c>
      <c r="DB374" t="n">
        <v>0</v>
      </c>
      <c r="DC374" t="n">
        <v>1</v>
      </c>
      <c r="DE374" t="n">
        <v>1</v>
      </c>
      <c r="DG374" t="n">
        <v>1</v>
      </c>
      <c r="DM374" t="n">
        <v>0</v>
      </c>
      <c r="DO374" t="n">
        <v>0</v>
      </c>
      <c r="DR374" t="n">
        <v>2</v>
      </c>
      <c r="DS374" t="n">
        <v>0</v>
      </c>
      <c r="DU374" t="n">
        <v>0</v>
      </c>
      <c r="DW374" t="n">
        <v>0</v>
      </c>
      <c r="DX374" t="n">
        <v>1</v>
      </c>
      <c r="DZ374" t="n">
        <v>1</v>
      </c>
      <c r="ED374" t="n">
        <v>0</v>
      </c>
      <c r="EP374" t="n">
        <v>0</v>
      </c>
      <c r="EQ374" t="n">
        <v>1</v>
      </c>
      <c r="ET374" t="n">
        <v>1</v>
      </c>
      <c r="EW374" t="n">
        <v>1</v>
      </c>
      <c r="EX374" t="n">
        <v>1</v>
      </c>
      <c r="EY374" t="n">
        <v>1</v>
      </c>
      <c r="EZ374" t="n">
        <v>1</v>
      </c>
      <c r="FB374" t="n">
        <v>3</v>
      </c>
      <c r="FC374" t="n">
        <v>2</v>
      </c>
      <c r="FE374" t="n">
        <v>1</v>
      </c>
      <c r="FF374" t="n">
        <v>1</v>
      </c>
      <c r="FG374" t="n">
        <v>1</v>
      </c>
      <c r="FJ374" t="n">
        <v>1</v>
      </c>
      <c r="FK374" t="n">
        <v>1</v>
      </c>
      <c r="FL374" t="n">
        <v>0</v>
      </c>
      <c r="FP374" t="n">
        <v>2</v>
      </c>
      <c r="FS374" t="n">
        <v>1</v>
      </c>
      <c r="FU374" t="n">
        <v>0</v>
      </c>
      <c r="FV374" t="n">
        <v>2</v>
      </c>
      <c r="FW374" t="n">
        <v>0</v>
      </c>
      <c r="FX374" t="n">
        <v>1</v>
      </c>
      <c r="FY374" t="n">
        <v>6</v>
      </c>
      <c r="GC374" t="n">
        <v>1</v>
      </c>
      <c r="GD374" t="n">
        <v>1</v>
      </c>
      <c r="GG374" t="n">
        <v>1</v>
      </c>
      <c r="GH374" t="n">
        <v>1</v>
      </c>
      <c r="GI374" t="n">
        <v>1</v>
      </c>
      <c r="GJ374" t="n">
        <v>1</v>
      </c>
      <c r="GK374" t="n">
        <v>0</v>
      </c>
      <c r="GR374" t="n">
        <v>0</v>
      </c>
      <c r="GS374" t="n">
        <v>0</v>
      </c>
      <c r="GU374" t="n">
        <v>2</v>
      </c>
      <c r="GW374" t="n">
        <v>2</v>
      </c>
      <c r="GX374" t="n">
        <v>2</v>
      </c>
      <c r="GY374" t="n">
        <v>0</v>
      </c>
      <c r="GZ374" t="n">
        <v>7</v>
      </c>
      <c r="HA374" t="n">
        <v>1</v>
      </c>
      <c r="HB374" t="n">
        <v>1</v>
      </c>
      <c r="HC374" t="n">
        <v>0</v>
      </c>
      <c r="HD374" t="n">
        <v>0</v>
      </c>
      <c r="HE374" t="n">
        <v>1</v>
      </c>
      <c r="HF374" t="n">
        <v>1</v>
      </c>
      <c r="HG374" t="n">
        <v>2</v>
      </c>
      <c r="HH374" t="n">
        <v>0</v>
      </c>
      <c r="HI374" t="n">
        <v>1</v>
      </c>
      <c r="HQ374" t="n">
        <v>0</v>
      </c>
      <c r="HU374" t="n">
        <v>1</v>
      </c>
      <c r="HV374" t="n">
        <v>1</v>
      </c>
      <c r="HW374" t="n">
        <v>5</v>
      </c>
      <c r="HX374" t="n">
        <v>0</v>
      </c>
      <c r="HY374" t="n">
        <v>0</v>
      </c>
      <c r="IB374" t="n">
        <v>10</v>
      </c>
      <c r="ID374" t="n">
        <v>4</v>
      </c>
      <c r="IK374" t="n">
        <v>1</v>
      </c>
      <c r="IL374" t="n">
        <v>7</v>
      </c>
      <c r="IM374" t="n">
        <v>3</v>
      </c>
      <c r="IP374" t="n">
        <v>1</v>
      </c>
      <c r="IQ374" t="n">
        <v>0</v>
      </c>
      <c r="IU374" t="n">
        <v>1</v>
      </c>
      <c r="IW374" t="n">
        <v>0</v>
      </c>
      <c r="IZ374" t="n">
        <v>0</v>
      </c>
      <c r="JA374" t="n">
        <v>4</v>
      </c>
      <c r="JD374" t="n">
        <v>3</v>
      </c>
      <c r="JE374" t="n">
        <v>1</v>
      </c>
      <c r="JF374" t="n">
        <v>0</v>
      </c>
      <c r="JG374" t="n">
        <v>9</v>
      </c>
      <c r="JH374" t="n">
        <v>1</v>
      </c>
      <c r="JJ374" t="n">
        <v>1</v>
      </c>
      <c r="JK374" t="n">
        <v>62</v>
      </c>
      <c r="JL374" t="n">
        <v>14</v>
      </c>
      <c r="JM374" t="n">
        <v>56</v>
      </c>
      <c r="JN374" t="n">
        <v>11</v>
      </c>
      <c r="JO374" t="n">
        <v>49</v>
      </c>
      <c r="JQ374" t="n">
        <v>152</v>
      </c>
      <c r="JS374" t="n">
        <v>131</v>
      </c>
      <c r="JV374" t="n">
        <v>12</v>
      </c>
      <c r="JW374" t="n">
        <v>1</v>
      </c>
      <c r="JX374" t="n">
        <v>2</v>
      </c>
      <c r="KK374" t="n">
        <v>4</v>
      </c>
      <c r="KM374" t="n">
        <v>1</v>
      </c>
      <c r="KN374" t="n">
        <v>3</v>
      </c>
      <c r="KO374" t="n">
        <v>4</v>
      </c>
      <c r="KP374" t="n">
        <v>7</v>
      </c>
      <c r="KQ374" t="n">
        <v>1</v>
      </c>
      <c r="KR374" t="n">
        <v>23</v>
      </c>
      <c r="KS374" t="n">
        <v>8</v>
      </c>
      <c r="KT374" t="n">
        <v>2</v>
      </c>
      <c r="KU374" t="n">
        <v>6657</v>
      </c>
      <c r="KV374" t="n">
        <v>6255</v>
      </c>
      <c r="KW374" t="n">
        <v>10</v>
      </c>
      <c r="KX374" t="n">
        <v>35</v>
      </c>
      <c r="KY374" t="n">
        <v>11</v>
      </c>
      <c r="KZ374" t="n">
        <v>144</v>
      </c>
      <c r="LA374" t="n">
        <v>20</v>
      </c>
      <c r="LB374" t="n">
        <v>0</v>
      </c>
      <c r="LC374" t="n">
        <v>222</v>
      </c>
      <c r="LD374" t="n">
        <v>311</v>
      </c>
      <c r="LE374" t="n">
        <v>171</v>
      </c>
      <c r="LF374" t="n">
        <v>28</v>
      </c>
      <c r="LH374" t="n">
        <v>34</v>
      </c>
      <c r="LI374" t="n">
        <v>9</v>
      </c>
      <c r="LJ374" t="n">
        <v>43</v>
      </c>
      <c r="LM374" t="n">
        <v>1015</v>
      </c>
      <c r="LN374" t="n">
        <v>28</v>
      </c>
      <c r="LO374" t="n">
        <v>41</v>
      </c>
      <c r="LP374" t="n">
        <v>8</v>
      </c>
      <c r="LR374" t="n">
        <v>114</v>
      </c>
      <c r="LS374" t="n">
        <v>35</v>
      </c>
      <c r="LT374" t="n">
        <v>265</v>
      </c>
      <c r="LU374" t="n">
        <v>69</v>
      </c>
      <c r="LV374" t="n">
        <v>94</v>
      </c>
      <c r="LW374" t="n">
        <v>111</v>
      </c>
      <c r="LX374" t="n">
        <v>81</v>
      </c>
      <c r="LY374" t="n">
        <v>23</v>
      </c>
      <c r="LZ374" t="n">
        <v>29</v>
      </c>
      <c r="MA374" t="n">
        <v>39</v>
      </c>
      <c r="MB374" t="n">
        <v>6</v>
      </c>
      <c r="MC374" t="n">
        <v>4</v>
      </c>
      <c r="MD374" t="n">
        <v>6</v>
      </c>
      <c r="ME374" t="n">
        <v>31</v>
      </c>
      <c r="MF374" t="n">
        <v>38</v>
      </c>
      <c r="MG374" t="n">
        <v>228</v>
      </c>
      <c r="MH374" t="n">
        <v>30</v>
      </c>
      <c r="MI374" t="n">
        <v>32</v>
      </c>
      <c r="MJ374" t="n">
        <v>9</v>
      </c>
      <c r="MK374" t="n">
        <v>38</v>
      </c>
      <c r="ML374" t="n">
        <v>44</v>
      </c>
      <c r="MM374" t="n">
        <v>24</v>
      </c>
      <c r="MN374" t="n">
        <v>34</v>
      </c>
      <c r="MO374" t="n">
        <v>30</v>
      </c>
      <c r="MP374" t="n">
        <v>2</v>
      </c>
      <c r="MQ374" t="n">
        <v>971</v>
      </c>
      <c r="MR374" t="n">
        <v>8</v>
      </c>
      <c r="MS374" t="n">
        <v>158</v>
      </c>
      <c r="MT374" t="n">
        <v>13</v>
      </c>
      <c r="MU374" t="n">
        <v>8</v>
      </c>
      <c r="MV374" t="n">
        <v>12</v>
      </c>
      <c r="MW374" t="n">
        <v>3</v>
      </c>
      <c r="MX374" t="n">
        <v>10</v>
      </c>
      <c r="MY374" t="n">
        <v>4</v>
      </c>
      <c r="MZ374" t="n">
        <v>14</v>
      </c>
      <c r="NA374" t="n">
        <v>16</v>
      </c>
      <c r="NB374" t="n">
        <v>3</v>
      </c>
      <c r="NC374" t="n">
        <v>22</v>
      </c>
      <c r="ND374" t="n">
        <v>5</v>
      </c>
      <c r="NE374" t="n">
        <v>9</v>
      </c>
      <c r="NF374" t="n">
        <v>1</v>
      </c>
      <c r="NG374" t="n">
        <v>4942</v>
      </c>
      <c r="NH374" t="n">
        <v>1018</v>
      </c>
      <c r="NI374" t="n">
        <v>5</v>
      </c>
      <c r="NK374" t="n">
        <v>1</v>
      </c>
      <c r="NL374" t="n">
        <v>4</v>
      </c>
      <c r="NM374" t="n">
        <v>6</v>
      </c>
      <c r="NN374" t="n">
        <v>12</v>
      </c>
      <c r="NO374" t="n">
        <v>54</v>
      </c>
      <c r="NP374" t="n">
        <v>76</v>
      </c>
      <c r="NQ374" t="n">
        <v>13</v>
      </c>
      <c r="NR374" t="n">
        <v>2</v>
      </c>
      <c r="NS374" t="n">
        <v>1</v>
      </c>
      <c r="NT374" t="n">
        <v>3</v>
      </c>
      <c r="NV374" t="n">
        <v>8</v>
      </c>
      <c r="NW374" t="n">
        <v>0</v>
      </c>
      <c r="NX374" t="n">
        <v>1</v>
      </c>
      <c r="NY374" t="n">
        <v>4</v>
      </c>
      <c r="OA374" t="n">
        <v>30</v>
      </c>
      <c r="OB374" t="n">
        <v>9</v>
      </c>
      <c r="OG374" t="n">
        <v>19</v>
      </c>
      <c r="OH374" t="n">
        <v>4</v>
      </c>
      <c r="OI374" t="n">
        <v>269</v>
      </c>
      <c r="ON374" t="n">
        <v>2</v>
      </c>
      <c r="OO374" t="n">
        <v>25167</v>
      </c>
      <c r="OP374" t="n">
        <v>21320</v>
      </c>
      <c r="OV374" t="n">
        <v>294</v>
      </c>
      <c r="PI374" t="n">
        <v>46781</v>
      </c>
      <c r="PM374">
        <f>IFERROR(VLOOKUP($A374&amp;"",Key!$A:$C,3,FALSE),"")</f>
        <v/>
      </c>
    </row>
    <row r="375">
      <c r="A375" t="n">
        <v>711500</v>
      </c>
      <c r="B375" t="inlineStr">
        <is>
          <t>Independent artists, writers, and performers</t>
        </is>
      </c>
      <c r="M375" t="n">
        <v>0</v>
      </c>
      <c r="P375" t="n">
        <v>0</v>
      </c>
      <c r="W375" t="n">
        <v>1</v>
      </c>
      <c r="X375" t="n">
        <v>42</v>
      </c>
      <c r="Y375" t="n">
        <v>6</v>
      </c>
      <c r="Z375" t="n">
        <v>9</v>
      </c>
      <c r="AB375" t="n">
        <v>0</v>
      </c>
      <c r="AC375" t="n">
        <v>18</v>
      </c>
      <c r="AD375" t="n">
        <v>2</v>
      </c>
      <c r="AE375" t="n">
        <v>1</v>
      </c>
      <c r="AG375" t="n">
        <v>5</v>
      </c>
      <c r="AH375" t="n">
        <v>1</v>
      </c>
      <c r="AI375" t="n">
        <v>0</v>
      </c>
      <c r="AK375" t="n">
        <v>4</v>
      </c>
      <c r="AL375" t="n">
        <v>1</v>
      </c>
      <c r="AM375" t="n">
        <v>8</v>
      </c>
      <c r="AN375" t="n">
        <v>1</v>
      </c>
      <c r="AO375" t="n">
        <v>2</v>
      </c>
      <c r="AP375" t="n">
        <v>2</v>
      </c>
      <c r="AQ375" t="n">
        <v>1</v>
      </c>
      <c r="AR375" t="n">
        <v>6</v>
      </c>
      <c r="AS375" t="n">
        <v>1</v>
      </c>
      <c r="AT375" t="n">
        <v>7</v>
      </c>
      <c r="AU375" t="n">
        <v>0</v>
      </c>
      <c r="AV375" t="n">
        <v>2</v>
      </c>
      <c r="AW375" t="n">
        <v>1</v>
      </c>
      <c r="AX375" t="n">
        <v>0</v>
      </c>
      <c r="AY375" t="n">
        <v>1</v>
      </c>
      <c r="AZ375" t="n">
        <v>0</v>
      </c>
      <c r="BA375" t="n">
        <v>1</v>
      </c>
      <c r="BB375" t="n">
        <v>1</v>
      </c>
      <c r="BC375" t="n">
        <v>10</v>
      </c>
      <c r="BD375" t="n">
        <v>3</v>
      </c>
      <c r="BE375" t="n">
        <v>1</v>
      </c>
      <c r="BG375" t="n">
        <v>2</v>
      </c>
      <c r="BH375" t="n">
        <v>1</v>
      </c>
      <c r="BI375" t="n">
        <v>1</v>
      </c>
      <c r="BJ375" t="n">
        <v>2</v>
      </c>
      <c r="BK375" t="n">
        <v>2</v>
      </c>
      <c r="BL375" t="n">
        <v>2</v>
      </c>
      <c r="BN375" t="n">
        <v>1</v>
      </c>
      <c r="BO375" t="n">
        <v>1</v>
      </c>
      <c r="BP375" t="n">
        <v>1</v>
      </c>
      <c r="BQ375" t="n">
        <v>5</v>
      </c>
      <c r="BR375" t="n">
        <v>4</v>
      </c>
      <c r="BS375" t="n">
        <v>1</v>
      </c>
      <c r="BT375" t="n">
        <v>1</v>
      </c>
      <c r="BU375" t="n">
        <v>1</v>
      </c>
      <c r="BV375" t="n">
        <v>1</v>
      </c>
      <c r="BW375" t="n">
        <v>1</v>
      </c>
      <c r="BX375" t="n">
        <v>4</v>
      </c>
      <c r="BY375" t="n">
        <v>4</v>
      </c>
      <c r="BZ375" t="n">
        <v>2</v>
      </c>
      <c r="CB375" t="n">
        <v>3</v>
      </c>
      <c r="CC375" t="n">
        <v>0</v>
      </c>
      <c r="CD375" t="n">
        <v>1</v>
      </c>
      <c r="CF375" t="n">
        <v>1</v>
      </c>
      <c r="CG375" t="n">
        <v>2</v>
      </c>
      <c r="CH375" t="n">
        <v>1</v>
      </c>
      <c r="CI375" t="n">
        <v>1</v>
      </c>
      <c r="CJ375" t="n">
        <v>1</v>
      </c>
      <c r="CK375" t="n">
        <v>1</v>
      </c>
      <c r="CL375" t="n">
        <v>3</v>
      </c>
      <c r="CM375" t="n">
        <v>0</v>
      </c>
      <c r="CO375" t="n">
        <v>2</v>
      </c>
      <c r="CP375" t="n">
        <v>1</v>
      </c>
      <c r="CQ375" t="n">
        <v>2</v>
      </c>
      <c r="CR375" t="n">
        <v>0</v>
      </c>
      <c r="CS375" t="n">
        <v>0</v>
      </c>
      <c r="CT375" t="n">
        <v>1</v>
      </c>
      <c r="CU375" t="n">
        <v>1</v>
      </c>
      <c r="CV375" t="n">
        <v>1</v>
      </c>
      <c r="CW375" t="n">
        <v>0</v>
      </c>
      <c r="CX375" t="n">
        <v>0</v>
      </c>
      <c r="CY375" t="n">
        <v>0</v>
      </c>
      <c r="CZ375" t="n">
        <v>3</v>
      </c>
      <c r="DA375" t="n">
        <v>1</v>
      </c>
      <c r="DB375" t="n">
        <v>1</v>
      </c>
      <c r="DC375" t="n">
        <v>2</v>
      </c>
      <c r="DE375" t="n">
        <v>1</v>
      </c>
      <c r="DG375" t="n">
        <v>2</v>
      </c>
      <c r="DH375" t="n">
        <v>1</v>
      </c>
      <c r="DM375" t="n">
        <v>0</v>
      </c>
      <c r="DO375" t="n">
        <v>0</v>
      </c>
      <c r="DR375" t="n">
        <v>1</v>
      </c>
      <c r="DS375" t="n">
        <v>0</v>
      </c>
      <c r="DU375" t="n">
        <v>0</v>
      </c>
      <c r="DW375" t="n">
        <v>0</v>
      </c>
      <c r="DX375" t="n">
        <v>0</v>
      </c>
      <c r="DY375" t="n">
        <v>0</v>
      </c>
      <c r="DZ375" t="n">
        <v>0</v>
      </c>
      <c r="ED375" t="n">
        <v>1</v>
      </c>
      <c r="EI375" t="n">
        <v>0</v>
      </c>
      <c r="EM375" t="n">
        <v>1</v>
      </c>
      <c r="EN375" t="n">
        <v>1</v>
      </c>
      <c r="EP375" t="n">
        <v>1</v>
      </c>
      <c r="EQ375" t="n">
        <v>0</v>
      </c>
      <c r="ET375" t="n">
        <v>2</v>
      </c>
      <c r="EU375" t="n">
        <v>1</v>
      </c>
      <c r="EW375" t="n">
        <v>1</v>
      </c>
      <c r="EX375" t="n">
        <v>2</v>
      </c>
      <c r="EY375" t="n">
        <v>2</v>
      </c>
      <c r="EZ375" t="n">
        <v>2</v>
      </c>
      <c r="FA375" t="n">
        <v>3</v>
      </c>
      <c r="FB375" t="n">
        <v>2</v>
      </c>
      <c r="FC375" t="n">
        <v>3</v>
      </c>
      <c r="FD375" t="n">
        <v>2</v>
      </c>
      <c r="FE375" t="n">
        <v>1</v>
      </c>
      <c r="FF375" t="n">
        <v>2</v>
      </c>
      <c r="FG375" t="n">
        <v>2</v>
      </c>
      <c r="FJ375" t="n">
        <v>3</v>
      </c>
      <c r="FK375" t="n">
        <v>1</v>
      </c>
      <c r="FL375" t="n">
        <v>1</v>
      </c>
      <c r="FM375" t="n">
        <v>0</v>
      </c>
      <c r="FP375" t="n">
        <v>1</v>
      </c>
      <c r="FQ375" t="n">
        <v>1</v>
      </c>
      <c r="FR375" t="n">
        <v>0</v>
      </c>
      <c r="FT375" t="n">
        <v>1</v>
      </c>
      <c r="FU375" t="n">
        <v>1</v>
      </c>
      <c r="FV375" t="n">
        <v>5</v>
      </c>
      <c r="FW375" t="n">
        <v>0</v>
      </c>
      <c r="FX375" t="n">
        <v>2</v>
      </c>
      <c r="FY375" t="n">
        <v>2</v>
      </c>
      <c r="FZ375" t="n">
        <v>0</v>
      </c>
      <c r="GA375" t="n">
        <v>0</v>
      </c>
      <c r="GB375" t="n">
        <v>1</v>
      </c>
      <c r="GC375" t="n">
        <v>1</v>
      </c>
      <c r="GD375" t="n">
        <v>1</v>
      </c>
      <c r="GG375" t="n">
        <v>1</v>
      </c>
      <c r="GH375" t="n">
        <v>2</v>
      </c>
      <c r="GI375" t="n">
        <v>2</v>
      </c>
      <c r="GJ375" t="n">
        <v>1</v>
      </c>
      <c r="GK375" t="n">
        <v>2</v>
      </c>
      <c r="GL375" t="n">
        <v>0</v>
      </c>
      <c r="GM375" t="n">
        <v>0</v>
      </c>
      <c r="GO375" t="n">
        <v>0</v>
      </c>
      <c r="GP375" t="n">
        <v>2</v>
      </c>
      <c r="GQ375" t="n">
        <v>1</v>
      </c>
      <c r="GR375" t="n">
        <v>2</v>
      </c>
      <c r="GS375" t="n">
        <v>1</v>
      </c>
      <c r="GT375" t="n">
        <v>1</v>
      </c>
      <c r="GU375" t="n">
        <v>4</v>
      </c>
      <c r="GW375" t="n">
        <v>6</v>
      </c>
      <c r="GX375" t="n">
        <v>4</v>
      </c>
      <c r="GY375" t="n">
        <v>1</v>
      </c>
      <c r="GZ375" t="n">
        <v>14</v>
      </c>
      <c r="HA375" t="n">
        <v>1</v>
      </c>
      <c r="HB375" t="n">
        <v>1</v>
      </c>
      <c r="HC375" t="n">
        <v>1</v>
      </c>
      <c r="HE375" t="n">
        <v>2</v>
      </c>
      <c r="HF375" t="n">
        <v>2</v>
      </c>
      <c r="HG375" t="n">
        <v>2</v>
      </c>
      <c r="HH375" t="n">
        <v>2</v>
      </c>
      <c r="HI375" t="n">
        <v>1</v>
      </c>
      <c r="HK375" t="n">
        <v>0</v>
      </c>
      <c r="HL375" t="n">
        <v>0</v>
      </c>
      <c r="HM375" t="n">
        <v>1</v>
      </c>
      <c r="HN375" t="n">
        <v>1</v>
      </c>
      <c r="HO375" t="n">
        <v>0</v>
      </c>
      <c r="HP375" t="n">
        <v>0</v>
      </c>
      <c r="HQ375" t="n">
        <v>1</v>
      </c>
      <c r="HR375" t="n">
        <v>0</v>
      </c>
      <c r="HS375" t="n">
        <v>0</v>
      </c>
      <c r="HT375" t="n">
        <v>1</v>
      </c>
      <c r="HU375" t="n">
        <v>2</v>
      </c>
      <c r="HV375" t="n">
        <v>3</v>
      </c>
      <c r="HW375" t="n">
        <v>10</v>
      </c>
      <c r="HX375" t="n">
        <v>2</v>
      </c>
      <c r="HY375" t="n">
        <v>1</v>
      </c>
      <c r="HZ375" t="n">
        <v>1</v>
      </c>
      <c r="IA375" t="n">
        <v>0</v>
      </c>
      <c r="IB375" t="n">
        <v>12</v>
      </c>
      <c r="ID375" t="n">
        <v>19</v>
      </c>
      <c r="IE375" t="n">
        <v>2</v>
      </c>
      <c r="IF375" t="n">
        <v>1</v>
      </c>
      <c r="IG375" t="n">
        <v>0</v>
      </c>
      <c r="IK375" t="n">
        <v>2</v>
      </c>
      <c r="IL375" t="n">
        <v>4</v>
      </c>
      <c r="IM375" t="n">
        <v>4</v>
      </c>
      <c r="IN375" t="n">
        <v>1</v>
      </c>
      <c r="IQ375" t="n">
        <v>2</v>
      </c>
      <c r="IS375" t="n">
        <v>0</v>
      </c>
      <c r="IU375" t="n">
        <v>1</v>
      </c>
      <c r="IV375" t="n">
        <v>1</v>
      </c>
      <c r="IW375" t="n">
        <v>1</v>
      </c>
      <c r="IZ375" t="n">
        <v>1</v>
      </c>
      <c r="JA375" t="n">
        <v>6</v>
      </c>
      <c r="JB375" t="n">
        <v>2</v>
      </c>
      <c r="JE375" t="n">
        <v>1</v>
      </c>
      <c r="JF375" t="n">
        <v>1</v>
      </c>
      <c r="JG375" t="n">
        <v>20</v>
      </c>
      <c r="JH375" t="n">
        <v>1</v>
      </c>
      <c r="JI375" t="n">
        <v>1</v>
      </c>
      <c r="JJ375" t="n">
        <v>2</v>
      </c>
      <c r="JL375" t="n">
        <v>258</v>
      </c>
      <c r="JM375" t="n">
        <v>321</v>
      </c>
      <c r="JN375" t="n">
        <v>285</v>
      </c>
      <c r="JO375" t="n">
        <v>419</v>
      </c>
      <c r="JP375" t="n">
        <v>20</v>
      </c>
      <c r="JQ375" t="n">
        <v>151</v>
      </c>
      <c r="JR375" t="n">
        <v>7</v>
      </c>
      <c r="JS375" t="n">
        <v>236</v>
      </c>
      <c r="JT375" t="n">
        <v>2</v>
      </c>
      <c r="JV375" t="n">
        <v>86</v>
      </c>
      <c r="JW375" t="n">
        <v>63</v>
      </c>
      <c r="JX375" t="n">
        <v>62</v>
      </c>
      <c r="JY375" t="n">
        <v>40</v>
      </c>
      <c r="JZ375" t="n">
        <v>22</v>
      </c>
      <c r="KA375" t="n">
        <v>55</v>
      </c>
      <c r="KB375" t="n">
        <v>22</v>
      </c>
      <c r="KC375" t="n">
        <v>98</v>
      </c>
      <c r="KD375" t="n">
        <v>42</v>
      </c>
      <c r="KF375" t="n">
        <v>1</v>
      </c>
      <c r="KH375" t="n">
        <v>41</v>
      </c>
      <c r="KI375" t="n">
        <v>17</v>
      </c>
      <c r="KK375" t="n">
        <v>15</v>
      </c>
      <c r="KL375" t="n">
        <v>2</v>
      </c>
      <c r="KM375" t="n">
        <v>6</v>
      </c>
      <c r="KN375" t="n">
        <v>24</v>
      </c>
      <c r="KO375" t="n">
        <v>32</v>
      </c>
      <c r="KR375" t="n">
        <v>42</v>
      </c>
      <c r="KS375" t="n">
        <v>2797</v>
      </c>
      <c r="KT375" t="n">
        <v>1</v>
      </c>
      <c r="KU375" t="n">
        <v>3</v>
      </c>
      <c r="KV375" t="n">
        <v>2932</v>
      </c>
      <c r="KW375" t="n">
        <v>13064</v>
      </c>
      <c r="KX375" t="n">
        <v>30</v>
      </c>
      <c r="KZ375" t="n">
        <v>62</v>
      </c>
      <c r="LA375" t="n">
        <v>10</v>
      </c>
      <c r="LB375" t="n">
        <v>0</v>
      </c>
      <c r="LC375" t="n">
        <v>197</v>
      </c>
      <c r="LD375" t="n">
        <v>1023</v>
      </c>
      <c r="LE375" t="n">
        <v>87</v>
      </c>
      <c r="LF375" t="n">
        <v>128</v>
      </c>
      <c r="LH375" t="n">
        <v>117</v>
      </c>
      <c r="LJ375" t="n">
        <v>216</v>
      </c>
      <c r="LM375" t="n">
        <v>2952</v>
      </c>
      <c r="LN375" t="n">
        <v>49</v>
      </c>
      <c r="LO375" t="n">
        <v>16</v>
      </c>
      <c r="LP375" t="n">
        <v>66</v>
      </c>
      <c r="LR375" t="n">
        <v>199</v>
      </c>
      <c r="LS375" t="n">
        <v>61</v>
      </c>
      <c r="LT375" t="n">
        <v>66</v>
      </c>
      <c r="LU375" t="n">
        <v>35</v>
      </c>
      <c r="LV375" t="n">
        <v>183</v>
      </c>
      <c r="LW375" t="n">
        <v>160</v>
      </c>
      <c r="LX375" t="n">
        <v>73</v>
      </c>
      <c r="LY375" t="n">
        <v>41</v>
      </c>
      <c r="LZ375" t="n">
        <v>44</v>
      </c>
      <c r="MA375" t="n">
        <v>1543</v>
      </c>
      <c r="MB375" t="n">
        <v>18</v>
      </c>
      <c r="MC375" t="n">
        <v>11</v>
      </c>
      <c r="MD375" t="n">
        <v>1</v>
      </c>
      <c r="ME375" t="n">
        <v>16</v>
      </c>
      <c r="MF375" t="n">
        <v>753</v>
      </c>
      <c r="MG375" t="n">
        <v>201</v>
      </c>
      <c r="MH375" t="n">
        <v>70</v>
      </c>
      <c r="MI375" t="n">
        <v>15</v>
      </c>
      <c r="MJ375" t="n">
        <v>15</v>
      </c>
      <c r="MK375" t="n">
        <v>34</v>
      </c>
      <c r="ML375" t="n">
        <v>32</v>
      </c>
      <c r="MM375" t="n">
        <v>23</v>
      </c>
      <c r="MN375" t="n">
        <v>26</v>
      </c>
      <c r="MO375" t="n">
        <v>34</v>
      </c>
      <c r="MP375" t="n">
        <v>48</v>
      </c>
      <c r="MQ375" t="n">
        <v>2</v>
      </c>
      <c r="MR375" t="n">
        <v>18</v>
      </c>
      <c r="MS375" t="n">
        <v>185</v>
      </c>
      <c r="MT375" t="n">
        <v>23</v>
      </c>
      <c r="MU375" t="n">
        <v>14</v>
      </c>
      <c r="MV375" t="n">
        <v>37</v>
      </c>
      <c r="MW375" t="n">
        <v>5</v>
      </c>
      <c r="MX375" t="n">
        <v>29</v>
      </c>
      <c r="MY375" t="n">
        <v>3</v>
      </c>
      <c r="MZ375" t="n">
        <v>685</v>
      </c>
      <c r="NA375" t="n">
        <v>60</v>
      </c>
      <c r="NB375" t="n">
        <v>52</v>
      </c>
      <c r="NC375" t="n">
        <v>41</v>
      </c>
      <c r="ND375" t="n">
        <v>153</v>
      </c>
      <c r="NE375" t="n">
        <v>19</v>
      </c>
      <c r="NF375" t="n">
        <v>1761</v>
      </c>
      <c r="NG375" t="n">
        <v>4</v>
      </c>
      <c r="NI375" t="n">
        <v>2287</v>
      </c>
      <c r="NJ375" t="n">
        <v>3</v>
      </c>
      <c r="NK375" t="n">
        <v>49</v>
      </c>
      <c r="NL375" t="n">
        <v>257</v>
      </c>
      <c r="NM375" t="n">
        <v>7</v>
      </c>
      <c r="NN375" t="n">
        <v>126</v>
      </c>
      <c r="NO375" t="n">
        <v>164</v>
      </c>
      <c r="NP375" t="n">
        <v>210</v>
      </c>
      <c r="NQ375" t="n">
        <v>14</v>
      </c>
      <c r="NR375" t="n">
        <v>12</v>
      </c>
      <c r="NS375" t="n">
        <v>1</v>
      </c>
      <c r="NT375" t="n">
        <v>9</v>
      </c>
      <c r="NU375" t="n">
        <v>2</v>
      </c>
      <c r="NV375" t="n">
        <v>3</v>
      </c>
      <c r="NX375" t="n">
        <v>6</v>
      </c>
      <c r="NY375" t="n">
        <v>695</v>
      </c>
      <c r="NZ375" t="n">
        <v>14</v>
      </c>
      <c r="OA375" t="n">
        <v>4</v>
      </c>
      <c r="OB375" t="n">
        <v>8</v>
      </c>
      <c r="OD375" t="n">
        <v>0</v>
      </c>
      <c r="OE375" t="n">
        <v>14</v>
      </c>
      <c r="OF375" t="n">
        <v>0</v>
      </c>
      <c r="OI375" t="n">
        <v>41</v>
      </c>
      <c r="OJ375" t="n">
        <v>26</v>
      </c>
      <c r="OK375" t="n">
        <v>601</v>
      </c>
      <c r="OL375" t="n">
        <v>7</v>
      </c>
      <c r="OO375" t="n">
        <v>37898</v>
      </c>
      <c r="OP375" t="n">
        <v>472</v>
      </c>
      <c r="OR375" t="n">
        <v>660</v>
      </c>
      <c r="OV375" t="n">
        <v>371</v>
      </c>
      <c r="PI375" t="n">
        <v>39400</v>
      </c>
      <c r="PM375">
        <f>IFERROR(VLOOKUP($A375&amp;"",Key!$A:$C,3,FALSE),"")</f>
        <v/>
      </c>
    </row>
    <row r="376">
      <c r="A376" t="inlineStr">
        <is>
          <t>711A00</t>
        </is>
      </c>
      <c r="B376" t="inlineStr">
        <is>
          <t>Promoters of performing arts and sports and agents for public figures</t>
        </is>
      </c>
      <c r="X376" t="n">
        <v>9</v>
      </c>
      <c r="Y376" t="n">
        <v>2</v>
      </c>
      <c r="Z376" t="n">
        <v>0</v>
      </c>
      <c r="AC376" t="n">
        <v>1</v>
      </c>
      <c r="AL376" t="n">
        <v>1</v>
      </c>
      <c r="AM376" t="n">
        <v>1</v>
      </c>
      <c r="AT376" t="n">
        <v>1</v>
      </c>
      <c r="BC376" t="n">
        <v>1</v>
      </c>
      <c r="BR376" t="n">
        <v>0</v>
      </c>
      <c r="BX376" t="n">
        <v>0</v>
      </c>
      <c r="CG376" t="n">
        <v>0</v>
      </c>
      <c r="FC376" t="n">
        <v>0</v>
      </c>
      <c r="FE376" t="n">
        <v>0</v>
      </c>
      <c r="GW376" t="n">
        <v>0</v>
      </c>
      <c r="GX376" t="n">
        <v>0</v>
      </c>
      <c r="GZ376" t="n">
        <v>1</v>
      </c>
      <c r="HW376" t="n">
        <v>1</v>
      </c>
      <c r="IB376" t="n">
        <v>1</v>
      </c>
      <c r="ID376" t="n">
        <v>2</v>
      </c>
      <c r="JG376" t="n">
        <v>2</v>
      </c>
      <c r="JK376" t="n">
        <v>79</v>
      </c>
      <c r="JL376" t="n">
        <v>51</v>
      </c>
      <c r="JM376" t="n">
        <v>61</v>
      </c>
      <c r="JN376" t="n">
        <v>44</v>
      </c>
      <c r="JO376" t="n">
        <v>28</v>
      </c>
      <c r="JP376" t="n">
        <v>2</v>
      </c>
      <c r="JQ376" t="n">
        <v>29</v>
      </c>
      <c r="JS376" t="n">
        <v>32</v>
      </c>
      <c r="JT376" t="n">
        <v>6</v>
      </c>
      <c r="JV376" t="n">
        <v>307</v>
      </c>
      <c r="JW376" t="n">
        <v>312</v>
      </c>
      <c r="JX376" t="n">
        <v>4</v>
      </c>
      <c r="JY376" t="n">
        <v>49</v>
      </c>
      <c r="JZ376" t="n">
        <v>1</v>
      </c>
      <c r="KA376" t="n">
        <v>57</v>
      </c>
      <c r="KB376" t="n">
        <v>2</v>
      </c>
      <c r="KC376" t="n">
        <v>94</v>
      </c>
      <c r="KD376" t="n">
        <v>16</v>
      </c>
      <c r="KH376" t="n">
        <v>8</v>
      </c>
      <c r="KK376" t="n">
        <v>212</v>
      </c>
      <c r="KR376" t="n">
        <v>13</v>
      </c>
      <c r="KS376" t="n">
        <v>3663</v>
      </c>
      <c r="KT376" t="n">
        <v>218</v>
      </c>
      <c r="KU376" t="n">
        <v>14</v>
      </c>
      <c r="KV376" t="n">
        <v>113</v>
      </c>
      <c r="KW376" t="n">
        <v>420</v>
      </c>
      <c r="KX376" t="n">
        <v>4</v>
      </c>
      <c r="KZ376" t="n">
        <v>14</v>
      </c>
      <c r="LB376" t="n">
        <v>0</v>
      </c>
      <c r="LJ376" t="n">
        <v>42</v>
      </c>
      <c r="LM376" t="n">
        <v>565</v>
      </c>
      <c r="LN376" t="n">
        <v>9</v>
      </c>
      <c r="LO376" t="n">
        <v>1</v>
      </c>
      <c r="LP376" t="n">
        <v>0</v>
      </c>
      <c r="LR376" t="n">
        <v>108</v>
      </c>
      <c r="LS376" t="n">
        <v>12</v>
      </c>
      <c r="LT376" t="n">
        <v>12</v>
      </c>
      <c r="LU376" t="n">
        <v>39</v>
      </c>
      <c r="LV376" t="n">
        <v>112</v>
      </c>
      <c r="LW376" t="n">
        <v>29</v>
      </c>
      <c r="LX376" t="n">
        <v>85</v>
      </c>
      <c r="LY376" t="n">
        <v>29</v>
      </c>
      <c r="LZ376" t="n">
        <v>8</v>
      </c>
      <c r="MA376" t="n">
        <v>58</v>
      </c>
      <c r="MD376" t="n">
        <v>3</v>
      </c>
      <c r="ME376" t="n">
        <v>58</v>
      </c>
      <c r="MF376" t="n">
        <v>1835</v>
      </c>
      <c r="MG376" t="n">
        <v>68</v>
      </c>
      <c r="MH376" t="n">
        <v>11</v>
      </c>
      <c r="MI376" t="n">
        <v>70</v>
      </c>
      <c r="MJ376" t="n">
        <v>1</v>
      </c>
      <c r="MK376" t="n">
        <v>14</v>
      </c>
      <c r="ML376" t="n">
        <v>75</v>
      </c>
      <c r="MM376" t="n">
        <v>2</v>
      </c>
      <c r="MN376" t="n">
        <v>142</v>
      </c>
      <c r="MO376" t="n">
        <v>2</v>
      </c>
      <c r="MP376" t="n">
        <v>1</v>
      </c>
      <c r="MQ376" t="n">
        <v>3</v>
      </c>
      <c r="MS376" t="n">
        <v>35</v>
      </c>
      <c r="MT376" t="n">
        <v>4</v>
      </c>
      <c r="MV376" t="n">
        <v>6</v>
      </c>
      <c r="MW376" t="n">
        <v>0</v>
      </c>
      <c r="MX376" t="n">
        <v>5</v>
      </c>
      <c r="MZ376" t="n">
        <v>54</v>
      </c>
      <c r="NA376" t="n">
        <v>10</v>
      </c>
      <c r="NB376" t="n">
        <v>1</v>
      </c>
      <c r="NC376" t="n">
        <v>2</v>
      </c>
      <c r="ND376" t="n">
        <v>0</v>
      </c>
      <c r="NF376" t="n">
        <v>810</v>
      </c>
      <c r="NG376" t="n">
        <v>2759</v>
      </c>
      <c r="NH376" t="n">
        <v>4127</v>
      </c>
      <c r="NI376" t="n">
        <v>2995</v>
      </c>
      <c r="NJ376" t="n">
        <v>4</v>
      </c>
      <c r="NM376" t="n">
        <v>63</v>
      </c>
      <c r="NN376" t="n">
        <v>22</v>
      </c>
      <c r="NO376" t="n">
        <v>79</v>
      </c>
      <c r="NP376" t="n">
        <v>153</v>
      </c>
      <c r="NQ376" t="n">
        <v>25</v>
      </c>
      <c r="NR376" t="n">
        <v>2</v>
      </c>
      <c r="NT376" t="n">
        <v>2</v>
      </c>
      <c r="NX376" t="n">
        <v>1</v>
      </c>
      <c r="NZ376" t="n">
        <v>194</v>
      </c>
      <c r="OB376" t="n">
        <v>491</v>
      </c>
      <c r="OD376" t="n">
        <v>0</v>
      </c>
      <c r="OF376" t="n">
        <v>0</v>
      </c>
      <c r="OI376" t="n">
        <v>0</v>
      </c>
      <c r="OO376" t="n">
        <v>21114</v>
      </c>
      <c r="OP376" t="n">
        <v>11360</v>
      </c>
      <c r="OV376" t="n">
        <v>533</v>
      </c>
      <c r="PI376" t="n">
        <v>33007</v>
      </c>
      <c r="PM376">
        <f>IFERROR(VLOOKUP($A376&amp;"",Key!$A:$C,3,FALSE),"")</f>
        <v/>
      </c>
    </row>
    <row r="377">
      <c r="A377" t="n">
        <v>712000</v>
      </c>
      <c r="B377" t="inlineStr">
        <is>
          <t>Museums, historical sites, zoos, and parks</t>
        </is>
      </c>
      <c r="OP377" t="n">
        <v>21225</v>
      </c>
      <c r="OV377" t="n">
        <v>1</v>
      </c>
      <c r="PI377" t="n">
        <v>21226</v>
      </c>
      <c r="PM377">
        <f>IFERROR(VLOOKUP($A377&amp;"",Key!$A:$C,3,FALSE),"")</f>
        <v/>
      </c>
    </row>
    <row r="378">
      <c r="A378" t="n">
        <v>713100</v>
      </c>
      <c r="B378" t="inlineStr">
        <is>
          <t>Amusement parks and arcades</t>
        </is>
      </c>
      <c r="MF378" t="n">
        <v>207</v>
      </c>
      <c r="MN378" t="n">
        <v>68</v>
      </c>
      <c r="MP378" t="n">
        <v>1</v>
      </c>
      <c r="MQ378" t="n">
        <v>7</v>
      </c>
      <c r="NI378" t="n">
        <v>16</v>
      </c>
      <c r="NN378" t="n">
        <v>157</v>
      </c>
      <c r="NQ378" t="n">
        <v>111</v>
      </c>
      <c r="OK378" t="n">
        <v>0</v>
      </c>
      <c r="OO378" t="n">
        <v>567</v>
      </c>
      <c r="OP378" t="n">
        <v>17522</v>
      </c>
      <c r="OV378" t="n">
        <v>1</v>
      </c>
      <c r="PI378" t="n">
        <v>18091</v>
      </c>
      <c r="PM378">
        <f>IFERROR(VLOOKUP($A378&amp;"",Key!$A:$C,3,FALSE),"")</f>
        <v/>
      </c>
    </row>
    <row r="379">
      <c r="A379" t="n">
        <v>713200</v>
      </c>
      <c r="B379" t="inlineStr">
        <is>
          <t>Gambling industries (except casino hotels)</t>
        </is>
      </c>
      <c r="NL379" t="n">
        <v>199</v>
      </c>
      <c r="ON379" t="n">
        <v>86</v>
      </c>
      <c r="OO379" t="n">
        <v>285</v>
      </c>
      <c r="OP379" t="n">
        <v>111858</v>
      </c>
      <c r="OV379" t="n">
        <v>1</v>
      </c>
      <c r="PI379" t="n">
        <v>112145</v>
      </c>
      <c r="PM379">
        <f>IFERROR(VLOOKUP($A379&amp;"",Key!$A:$C,3,FALSE),"")</f>
        <v/>
      </c>
    </row>
    <row r="380">
      <c r="A380" t="n">
        <v>713900</v>
      </c>
      <c r="B380" t="inlineStr">
        <is>
          <t>Other amusement and recreation industries</t>
        </is>
      </c>
      <c r="C380" t="n">
        <v>2</v>
      </c>
      <c r="D380" t="n">
        <v>3</v>
      </c>
      <c r="E380" t="n">
        <v>1</v>
      </c>
      <c r="F380" t="n">
        <v>1</v>
      </c>
      <c r="G380" t="n">
        <v>1</v>
      </c>
      <c r="H380" t="n">
        <v>1</v>
      </c>
      <c r="I380" t="n">
        <v>5</v>
      </c>
      <c r="J380" t="n">
        <v>0</v>
      </c>
      <c r="K380" t="n">
        <v>5</v>
      </c>
      <c r="L380" t="n">
        <v>2</v>
      </c>
      <c r="O380" t="n">
        <v>0</v>
      </c>
      <c r="Q380" t="n">
        <v>0</v>
      </c>
      <c r="T380" t="n">
        <v>0</v>
      </c>
      <c r="V380" t="n">
        <v>0</v>
      </c>
      <c r="W380" t="n">
        <v>11</v>
      </c>
      <c r="X380" t="n">
        <v>38</v>
      </c>
      <c r="Y380" t="n">
        <v>9</v>
      </c>
      <c r="AA380" t="n">
        <v>1</v>
      </c>
      <c r="AB380" t="n">
        <v>0</v>
      </c>
      <c r="AC380" t="n">
        <v>13</v>
      </c>
      <c r="AD380" t="n">
        <v>2</v>
      </c>
      <c r="AE380" t="n">
        <v>8</v>
      </c>
      <c r="AF380" t="n">
        <v>1</v>
      </c>
      <c r="AG380" t="n">
        <v>33</v>
      </c>
      <c r="AH380" t="n">
        <v>1</v>
      </c>
      <c r="AI380" t="n">
        <v>2</v>
      </c>
      <c r="AJ380" t="n">
        <v>0</v>
      </c>
      <c r="AK380" t="n">
        <v>19</v>
      </c>
      <c r="AL380" t="n">
        <v>4</v>
      </c>
      <c r="AM380" t="n">
        <v>1</v>
      </c>
      <c r="AN380" t="n">
        <v>1</v>
      </c>
      <c r="AO380" t="n">
        <v>1</v>
      </c>
      <c r="AP380" t="n">
        <v>1</v>
      </c>
      <c r="AQ380" t="n">
        <v>1</v>
      </c>
      <c r="AR380" t="n">
        <v>2</v>
      </c>
      <c r="AS380" t="n">
        <v>0</v>
      </c>
      <c r="AT380" t="n">
        <v>4</v>
      </c>
      <c r="AU380" t="n">
        <v>0</v>
      </c>
      <c r="AV380" t="n">
        <v>1</v>
      </c>
      <c r="AW380" t="n">
        <v>1</v>
      </c>
      <c r="AX380" t="n">
        <v>0</v>
      </c>
      <c r="AY380" t="n">
        <v>0</v>
      </c>
      <c r="AZ380" t="n">
        <v>0</v>
      </c>
      <c r="BA380" t="n">
        <v>0</v>
      </c>
      <c r="BB380" t="n">
        <v>1</v>
      </c>
      <c r="BC380" t="n">
        <v>3</v>
      </c>
      <c r="BD380" t="n">
        <v>1</v>
      </c>
      <c r="BE380" t="n">
        <v>0</v>
      </c>
      <c r="BG380" t="n">
        <v>0</v>
      </c>
      <c r="BH380" t="n">
        <v>0</v>
      </c>
      <c r="BI380" t="n">
        <v>0</v>
      </c>
      <c r="BJ380" t="n">
        <v>0</v>
      </c>
      <c r="BK380" t="n">
        <v>1</v>
      </c>
      <c r="BL380" t="n">
        <v>1</v>
      </c>
      <c r="BM380" t="n">
        <v>0</v>
      </c>
      <c r="BN380" t="n">
        <v>0</v>
      </c>
      <c r="BO380" t="n">
        <v>1</v>
      </c>
      <c r="BP380" t="n">
        <v>0</v>
      </c>
      <c r="BQ380" t="n">
        <v>3</v>
      </c>
      <c r="BR380" t="n">
        <v>2</v>
      </c>
      <c r="BS380" t="n">
        <v>0</v>
      </c>
      <c r="BT380" t="n">
        <v>0</v>
      </c>
      <c r="BU380" t="n">
        <v>0</v>
      </c>
      <c r="BV380" t="n">
        <v>0</v>
      </c>
      <c r="BW380" t="n">
        <v>0</v>
      </c>
      <c r="BX380" t="n">
        <v>3</v>
      </c>
      <c r="BY380" t="n">
        <v>2</v>
      </c>
      <c r="BZ380" t="n">
        <v>2</v>
      </c>
      <c r="CB380" t="n">
        <v>1</v>
      </c>
      <c r="CC380" t="n">
        <v>0</v>
      </c>
      <c r="CD380" t="n">
        <v>0</v>
      </c>
      <c r="CF380" t="n">
        <v>0</v>
      </c>
      <c r="CG380" t="n">
        <v>1</v>
      </c>
      <c r="CI380" t="n">
        <v>0</v>
      </c>
      <c r="CJ380" t="n">
        <v>1</v>
      </c>
      <c r="CK380" t="n">
        <v>0</v>
      </c>
      <c r="CL380" t="n">
        <v>1</v>
      </c>
      <c r="CM380" t="n">
        <v>0</v>
      </c>
      <c r="CO380" t="n">
        <v>1</v>
      </c>
      <c r="CP380" t="n">
        <v>0</v>
      </c>
      <c r="CQ380" t="n">
        <v>1</v>
      </c>
      <c r="CR380" t="n">
        <v>0</v>
      </c>
      <c r="CS380" t="n">
        <v>0</v>
      </c>
      <c r="CT380" t="n">
        <v>0</v>
      </c>
      <c r="CU380" t="n">
        <v>0</v>
      </c>
      <c r="CV380" t="n">
        <v>0</v>
      </c>
      <c r="CY380" t="n">
        <v>0</v>
      </c>
      <c r="CZ380" t="n">
        <v>1</v>
      </c>
      <c r="DA380" t="n">
        <v>0</v>
      </c>
      <c r="DB380" t="n">
        <v>0</v>
      </c>
      <c r="DC380" t="n">
        <v>0</v>
      </c>
      <c r="DE380" t="n">
        <v>0</v>
      </c>
      <c r="DG380" t="n">
        <v>1</v>
      </c>
      <c r="DH380" t="n">
        <v>0</v>
      </c>
      <c r="DL380" t="n">
        <v>0</v>
      </c>
      <c r="DM380" t="n">
        <v>0</v>
      </c>
      <c r="DO380" t="n">
        <v>0</v>
      </c>
      <c r="DR380" t="n">
        <v>1</v>
      </c>
      <c r="DS380" t="n">
        <v>0</v>
      </c>
      <c r="DU380" t="n">
        <v>0</v>
      </c>
      <c r="DW380" t="n">
        <v>0</v>
      </c>
      <c r="DX380" t="n">
        <v>0</v>
      </c>
      <c r="DZ380" t="n">
        <v>0</v>
      </c>
      <c r="ED380" t="n">
        <v>0</v>
      </c>
      <c r="EM380" t="n">
        <v>0</v>
      </c>
      <c r="EP380" t="n">
        <v>0</v>
      </c>
      <c r="EQ380" t="n">
        <v>0</v>
      </c>
      <c r="ET380" t="n">
        <v>0</v>
      </c>
      <c r="EU380" t="n">
        <v>0</v>
      </c>
      <c r="EW380" t="n">
        <v>1</v>
      </c>
      <c r="EX380" t="n">
        <v>1</v>
      </c>
      <c r="EY380" t="n">
        <v>0</v>
      </c>
      <c r="EZ380" t="n">
        <v>1</v>
      </c>
      <c r="FA380" t="n">
        <v>1</v>
      </c>
      <c r="FB380" t="n">
        <v>2</v>
      </c>
      <c r="FC380" t="n">
        <v>1</v>
      </c>
      <c r="FD380" t="n">
        <v>1</v>
      </c>
      <c r="FE380" t="n">
        <v>0</v>
      </c>
      <c r="FF380" t="n">
        <v>1</v>
      </c>
      <c r="FG380" t="n">
        <v>1</v>
      </c>
      <c r="FJ380" t="n">
        <v>1</v>
      </c>
      <c r="FK380" t="n">
        <v>1</v>
      </c>
      <c r="FL380" t="n">
        <v>0</v>
      </c>
      <c r="FM380" t="n">
        <v>0</v>
      </c>
      <c r="FP380" t="n">
        <v>2</v>
      </c>
      <c r="FQ380" t="n">
        <v>0</v>
      </c>
      <c r="FR380" t="n">
        <v>0</v>
      </c>
      <c r="FS380" t="n">
        <v>0</v>
      </c>
      <c r="FT380" t="n">
        <v>0</v>
      </c>
      <c r="FU380" t="n">
        <v>0</v>
      </c>
      <c r="FV380" t="n">
        <v>1</v>
      </c>
      <c r="FW380" t="n">
        <v>1</v>
      </c>
      <c r="FX380" t="n">
        <v>1</v>
      </c>
      <c r="FY380" t="n">
        <v>4</v>
      </c>
      <c r="FZ380" t="n">
        <v>0</v>
      </c>
      <c r="GB380" t="n">
        <v>0</v>
      </c>
      <c r="GC380" t="n">
        <v>1</v>
      </c>
      <c r="GD380" t="n">
        <v>1</v>
      </c>
      <c r="GG380" t="n">
        <v>1</v>
      </c>
      <c r="GH380" t="n">
        <v>1</v>
      </c>
      <c r="GI380" t="n">
        <v>0</v>
      </c>
      <c r="GJ380" t="n">
        <v>1</v>
      </c>
      <c r="GK380" t="n">
        <v>0</v>
      </c>
      <c r="GL380" t="n">
        <v>0</v>
      </c>
      <c r="GP380" t="n">
        <v>0</v>
      </c>
      <c r="GR380" t="n">
        <v>0</v>
      </c>
      <c r="GS380" t="n">
        <v>0</v>
      </c>
      <c r="GT380" t="n">
        <v>0</v>
      </c>
      <c r="GU380" t="n">
        <v>1</v>
      </c>
      <c r="GW380" t="n">
        <v>2</v>
      </c>
      <c r="GX380" t="n">
        <v>2</v>
      </c>
      <c r="GY380" t="n">
        <v>0</v>
      </c>
      <c r="GZ380" t="n">
        <v>5</v>
      </c>
      <c r="HA380" t="n">
        <v>1</v>
      </c>
      <c r="HB380" t="n">
        <v>0</v>
      </c>
      <c r="HC380" t="n">
        <v>0</v>
      </c>
      <c r="HD380" t="n">
        <v>0</v>
      </c>
      <c r="HE380" t="n">
        <v>1</v>
      </c>
      <c r="HF380" t="n">
        <v>1</v>
      </c>
      <c r="HG380" t="n">
        <v>1</v>
      </c>
      <c r="HH380" t="n">
        <v>0</v>
      </c>
      <c r="HI380" t="n">
        <v>0</v>
      </c>
      <c r="HK380" t="n">
        <v>0</v>
      </c>
      <c r="HN380" t="n">
        <v>0</v>
      </c>
      <c r="HQ380" t="n">
        <v>0</v>
      </c>
      <c r="HR380" t="n">
        <v>0</v>
      </c>
      <c r="HT380" t="n">
        <v>0</v>
      </c>
      <c r="HU380" t="n">
        <v>0</v>
      </c>
      <c r="HV380" t="n">
        <v>1</v>
      </c>
      <c r="HW380" t="n">
        <v>4</v>
      </c>
      <c r="HX380" t="n">
        <v>0</v>
      </c>
      <c r="HY380" t="n">
        <v>0</v>
      </c>
      <c r="HZ380" t="n">
        <v>0</v>
      </c>
      <c r="IA380" t="n">
        <v>0</v>
      </c>
      <c r="IB380" t="n">
        <v>8</v>
      </c>
      <c r="IC380" t="n">
        <v>0</v>
      </c>
      <c r="ID380" t="n">
        <v>3</v>
      </c>
      <c r="IE380" t="n">
        <v>1</v>
      </c>
      <c r="IF380" t="n">
        <v>0</v>
      </c>
      <c r="IK380" t="n">
        <v>1</v>
      </c>
      <c r="IL380" t="n">
        <v>5</v>
      </c>
      <c r="IM380" t="n">
        <v>2</v>
      </c>
      <c r="IN380" t="n">
        <v>0</v>
      </c>
      <c r="IP380" t="n">
        <v>0</v>
      </c>
      <c r="IQ380" t="n">
        <v>0</v>
      </c>
      <c r="IS380" t="n">
        <v>0</v>
      </c>
      <c r="IU380" t="n">
        <v>0</v>
      </c>
      <c r="IV380" t="n">
        <v>0</v>
      </c>
      <c r="IW380" t="n">
        <v>0</v>
      </c>
      <c r="IZ380" t="n">
        <v>0</v>
      </c>
      <c r="JA380" t="n">
        <v>3</v>
      </c>
      <c r="JD380" t="n">
        <v>3</v>
      </c>
      <c r="JE380" t="n">
        <v>0</v>
      </c>
      <c r="JF380" t="n">
        <v>0</v>
      </c>
      <c r="JG380" t="n">
        <v>7</v>
      </c>
      <c r="JH380" t="n">
        <v>0</v>
      </c>
      <c r="JI380" t="n">
        <v>0</v>
      </c>
      <c r="JJ380" t="n">
        <v>1</v>
      </c>
      <c r="JK380" t="n">
        <v>46</v>
      </c>
      <c r="JL380" t="n">
        <v>26</v>
      </c>
      <c r="JM380" t="n">
        <v>43</v>
      </c>
      <c r="JN380" t="n">
        <v>48</v>
      </c>
      <c r="JO380" t="n">
        <v>55</v>
      </c>
      <c r="JQ380" t="n">
        <v>117</v>
      </c>
      <c r="JS380" t="n">
        <v>98</v>
      </c>
      <c r="JV380" t="n">
        <v>7</v>
      </c>
      <c r="JW380" t="n">
        <v>28</v>
      </c>
      <c r="JX380" t="n">
        <v>2</v>
      </c>
      <c r="JY380" t="n">
        <v>43</v>
      </c>
      <c r="KA380" t="n">
        <v>48</v>
      </c>
      <c r="KC380" t="n">
        <v>70</v>
      </c>
      <c r="KD380" t="n">
        <v>134</v>
      </c>
      <c r="KE380" t="n">
        <v>0</v>
      </c>
      <c r="KF380" t="n">
        <v>0</v>
      </c>
      <c r="KK380" t="n">
        <v>5</v>
      </c>
      <c r="KM380" t="n">
        <v>1</v>
      </c>
      <c r="KN380" t="n">
        <v>2</v>
      </c>
      <c r="KO380" t="n">
        <v>3</v>
      </c>
      <c r="KP380" t="n">
        <v>4</v>
      </c>
      <c r="KQ380" t="n">
        <v>1</v>
      </c>
      <c r="KR380" t="n">
        <v>16</v>
      </c>
      <c r="KS380" t="n">
        <v>5</v>
      </c>
      <c r="KT380" t="n">
        <v>2</v>
      </c>
      <c r="KU380" t="n">
        <v>0</v>
      </c>
      <c r="KV380" t="n">
        <v>1</v>
      </c>
      <c r="KW380" t="n">
        <v>7</v>
      </c>
      <c r="KX380" t="n">
        <v>24</v>
      </c>
      <c r="KY380" t="n">
        <v>8</v>
      </c>
      <c r="KZ380" t="n">
        <v>96</v>
      </c>
      <c r="LA380" t="n">
        <v>14</v>
      </c>
      <c r="LB380" t="n">
        <v>0</v>
      </c>
      <c r="LC380" t="n">
        <v>151</v>
      </c>
      <c r="LD380" t="n">
        <v>213</v>
      </c>
      <c r="LE380" t="n">
        <v>114</v>
      </c>
      <c r="LF380" t="n">
        <v>19</v>
      </c>
      <c r="LH380" t="n">
        <v>22</v>
      </c>
      <c r="LI380" t="n">
        <v>6</v>
      </c>
      <c r="LJ380" t="n">
        <v>29</v>
      </c>
      <c r="LL380" t="n">
        <v>1</v>
      </c>
      <c r="LN380" t="n">
        <v>19</v>
      </c>
      <c r="LO380" t="n">
        <v>26</v>
      </c>
      <c r="LP380" t="n">
        <v>5</v>
      </c>
      <c r="LR380" t="n">
        <v>83</v>
      </c>
      <c r="LS380" t="n">
        <v>23</v>
      </c>
      <c r="LT380" t="n">
        <v>179</v>
      </c>
      <c r="LU380" t="n">
        <v>51</v>
      </c>
      <c r="LV380" t="n">
        <v>70</v>
      </c>
      <c r="LW380" t="n">
        <v>77</v>
      </c>
      <c r="LX380" t="n">
        <v>73</v>
      </c>
      <c r="LY380" t="n">
        <v>17</v>
      </c>
      <c r="LZ380" t="n">
        <v>27</v>
      </c>
      <c r="MA380" t="n">
        <v>30</v>
      </c>
      <c r="MB380" t="n">
        <v>4</v>
      </c>
      <c r="MC380" t="n">
        <v>3</v>
      </c>
      <c r="MD380" t="n">
        <v>5</v>
      </c>
      <c r="ME380" t="n">
        <v>26</v>
      </c>
      <c r="MF380" t="n">
        <v>569</v>
      </c>
      <c r="MG380" t="n">
        <v>156</v>
      </c>
      <c r="MH380" t="n">
        <v>26</v>
      </c>
      <c r="MI380" t="n">
        <v>27</v>
      </c>
      <c r="MJ380" t="n">
        <v>6</v>
      </c>
      <c r="MK380" t="n">
        <v>27</v>
      </c>
      <c r="ML380" t="n">
        <v>35</v>
      </c>
      <c r="MM380" t="n">
        <v>16</v>
      </c>
      <c r="MN380" t="n">
        <v>41</v>
      </c>
      <c r="MO380" t="n">
        <v>22</v>
      </c>
      <c r="MP380" t="n">
        <v>2</v>
      </c>
      <c r="MQ380" t="n">
        <v>33</v>
      </c>
      <c r="MR380" t="n">
        <v>7</v>
      </c>
      <c r="MS380" t="n">
        <v>183</v>
      </c>
      <c r="MT380" t="n">
        <v>9</v>
      </c>
      <c r="MU380" t="n">
        <v>7</v>
      </c>
      <c r="MV380" t="n">
        <v>7</v>
      </c>
      <c r="MW380" t="n">
        <v>2</v>
      </c>
      <c r="MX380" t="n">
        <v>7</v>
      </c>
      <c r="MY380" t="n">
        <v>3</v>
      </c>
      <c r="MZ380" t="n">
        <v>10</v>
      </c>
      <c r="NA380" t="n">
        <v>19</v>
      </c>
      <c r="NB380" t="n">
        <v>3</v>
      </c>
      <c r="NC380" t="n">
        <v>15</v>
      </c>
      <c r="ND380" t="n">
        <v>4</v>
      </c>
      <c r="NE380" t="n">
        <v>28</v>
      </c>
      <c r="NF380" t="n">
        <v>1</v>
      </c>
      <c r="NG380" t="n">
        <v>77</v>
      </c>
      <c r="NH380" t="n">
        <v>0</v>
      </c>
      <c r="NI380" t="n">
        <v>45</v>
      </c>
      <c r="NJ380" t="n">
        <v>0</v>
      </c>
      <c r="NK380" t="n">
        <v>1</v>
      </c>
      <c r="NL380" t="n">
        <v>2</v>
      </c>
      <c r="NM380" t="n">
        <v>4</v>
      </c>
      <c r="NN380" t="n">
        <v>159</v>
      </c>
      <c r="NO380" t="n">
        <v>38</v>
      </c>
      <c r="NP380" t="n">
        <v>54</v>
      </c>
      <c r="NQ380" t="n">
        <v>495</v>
      </c>
      <c r="NR380" t="n">
        <v>2</v>
      </c>
      <c r="NS380" t="n">
        <v>1</v>
      </c>
      <c r="NT380" t="n">
        <v>2</v>
      </c>
      <c r="NU380" t="n">
        <v>1</v>
      </c>
      <c r="NV380" t="n">
        <v>10</v>
      </c>
      <c r="NW380" t="n">
        <v>0</v>
      </c>
      <c r="NX380" t="n">
        <v>1</v>
      </c>
      <c r="NY380" t="n">
        <v>3</v>
      </c>
      <c r="OA380" t="n">
        <v>20</v>
      </c>
      <c r="OB380" t="n">
        <v>9</v>
      </c>
      <c r="OD380" t="n">
        <v>2</v>
      </c>
      <c r="OE380" t="n">
        <v>2</v>
      </c>
      <c r="OG380" t="n">
        <v>0</v>
      </c>
      <c r="OI380" t="n">
        <v>56</v>
      </c>
      <c r="OK380" t="n">
        <v>462</v>
      </c>
      <c r="OL380" t="n">
        <v>0</v>
      </c>
      <c r="ON380" t="n">
        <v>3</v>
      </c>
      <c r="OO380" t="n">
        <v>5239</v>
      </c>
      <c r="OP380" t="n">
        <v>80832</v>
      </c>
      <c r="OV380" t="n">
        <v>1</v>
      </c>
      <c r="PI380" t="n">
        <v>86072</v>
      </c>
      <c r="PM380">
        <f>IFERROR(VLOOKUP($A380&amp;"",Key!$A:$C,3,FALSE),"")</f>
        <v/>
      </c>
    </row>
    <row r="381">
      <c r="A381" t="n">
        <v>721000</v>
      </c>
      <c r="B381" t="inlineStr">
        <is>
          <t>Accommodation</t>
        </is>
      </c>
      <c r="D381" t="n">
        <v>0</v>
      </c>
      <c r="I381" t="n">
        <v>1</v>
      </c>
      <c r="K381" t="n">
        <v>0</v>
      </c>
      <c r="P381" t="n">
        <v>1</v>
      </c>
      <c r="Q381" t="n">
        <v>4</v>
      </c>
      <c r="R381" t="n">
        <v>0</v>
      </c>
      <c r="S381" t="n">
        <v>0</v>
      </c>
      <c r="T381" t="n">
        <v>2</v>
      </c>
      <c r="U381" t="n">
        <v>2</v>
      </c>
      <c r="V381" t="n">
        <v>7</v>
      </c>
      <c r="W381" t="n">
        <v>194</v>
      </c>
      <c r="X381" t="n">
        <v>1065</v>
      </c>
      <c r="Y381" t="n">
        <v>148</v>
      </c>
      <c r="Z381" t="n">
        <v>7</v>
      </c>
      <c r="AA381" t="n">
        <v>3</v>
      </c>
      <c r="AB381" t="n">
        <v>11</v>
      </c>
      <c r="AC381" t="n">
        <v>307</v>
      </c>
      <c r="AD381" t="n">
        <v>37</v>
      </c>
      <c r="AE381" t="n">
        <v>14</v>
      </c>
      <c r="AF381" t="n">
        <v>1</v>
      </c>
      <c r="AG381" t="n">
        <v>17</v>
      </c>
      <c r="AH381" t="n">
        <v>2</v>
      </c>
      <c r="AI381" t="n">
        <v>4</v>
      </c>
      <c r="AJ381" t="n">
        <v>1</v>
      </c>
      <c r="AK381" t="n">
        <v>11</v>
      </c>
      <c r="AL381" t="n">
        <v>4</v>
      </c>
      <c r="AM381" t="n">
        <v>20</v>
      </c>
      <c r="AN381" t="n">
        <v>14</v>
      </c>
      <c r="AO381" t="n">
        <v>15</v>
      </c>
      <c r="AP381" t="n">
        <v>24</v>
      </c>
      <c r="AQ381" t="n">
        <v>3</v>
      </c>
      <c r="AR381" t="n">
        <v>30</v>
      </c>
      <c r="AS381" t="n">
        <v>5</v>
      </c>
      <c r="AT381" t="n">
        <v>66</v>
      </c>
      <c r="AU381" t="n">
        <v>3</v>
      </c>
      <c r="AV381" t="n">
        <v>21</v>
      </c>
      <c r="AW381" t="n">
        <v>3</v>
      </c>
      <c r="AX381" t="n">
        <v>2</v>
      </c>
      <c r="AY381" t="n">
        <v>7</v>
      </c>
      <c r="AZ381" t="n">
        <v>2</v>
      </c>
      <c r="BA381" t="n">
        <v>8</v>
      </c>
      <c r="BB381" t="n">
        <v>10</v>
      </c>
      <c r="BC381" t="n">
        <v>57</v>
      </c>
      <c r="BD381" t="n">
        <v>12</v>
      </c>
      <c r="BE381" t="n">
        <v>2</v>
      </c>
      <c r="BF381" t="n">
        <v>1</v>
      </c>
      <c r="BG381" t="n">
        <v>10</v>
      </c>
      <c r="BH381" t="n">
        <v>2</v>
      </c>
      <c r="BI381" t="n">
        <v>5</v>
      </c>
      <c r="BJ381" t="n">
        <v>4</v>
      </c>
      <c r="BK381" t="n">
        <v>10</v>
      </c>
      <c r="BL381" t="n">
        <v>13</v>
      </c>
      <c r="BM381" t="n">
        <v>6</v>
      </c>
      <c r="BN381" t="n">
        <v>7</v>
      </c>
      <c r="BO381" t="n">
        <v>13</v>
      </c>
      <c r="BP381" t="n">
        <v>8</v>
      </c>
      <c r="BQ381" t="n">
        <v>57</v>
      </c>
      <c r="BR381" t="n">
        <v>34</v>
      </c>
      <c r="BS381" t="n">
        <v>4</v>
      </c>
      <c r="BT381" t="n">
        <v>7</v>
      </c>
      <c r="BU381" t="n">
        <v>5</v>
      </c>
      <c r="BV381" t="n">
        <v>9</v>
      </c>
      <c r="BW381" t="n">
        <v>9</v>
      </c>
      <c r="BX381" t="n">
        <v>53</v>
      </c>
      <c r="BY381" t="n">
        <v>36</v>
      </c>
      <c r="BZ381" t="n">
        <v>31</v>
      </c>
      <c r="CA381" t="n">
        <v>1</v>
      </c>
      <c r="CB381" t="n">
        <v>14</v>
      </c>
      <c r="CC381" t="n">
        <v>1</v>
      </c>
      <c r="CD381" t="n">
        <v>4</v>
      </c>
      <c r="CE381" t="n">
        <v>2</v>
      </c>
      <c r="CF381" t="n">
        <v>7</v>
      </c>
      <c r="CG381" t="n">
        <v>14</v>
      </c>
      <c r="CH381" t="n">
        <v>4</v>
      </c>
      <c r="CI381" t="n">
        <v>9</v>
      </c>
      <c r="CJ381" t="n">
        <v>24</v>
      </c>
      <c r="CK381" t="n">
        <v>8</v>
      </c>
      <c r="CL381" t="n">
        <v>21</v>
      </c>
      <c r="CM381" t="n">
        <v>6</v>
      </c>
      <c r="CN381" t="n">
        <v>1</v>
      </c>
      <c r="CO381" t="n">
        <v>18</v>
      </c>
      <c r="CP381" t="n">
        <v>5</v>
      </c>
      <c r="CQ381" t="n">
        <v>18</v>
      </c>
      <c r="CR381" t="n">
        <v>2</v>
      </c>
      <c r="CS381" t="n">
        <v>3</v>
      </c>
      <c r="CT381" t="n">
        <v>9</v>
      </c>
      <c r="CU381" t="n">
        <v>6</v>
      </c>
      <c r="CV381" t="n">
        <v>5</v>
      </c>
      <c r="CW381" t="n">
        <v>5</v>
      </c>
      <c r="CX381" t="n">
        <v>1</v>
      </c>
      <c r="CY381" t="n">
        <v>3</v>
      </c>
      <c r="CZ381" t="n">
        <v>28</v>
      </c>
      <c r="DA381" t="n">
        <v>5</v>
      </c>
      <c r="DB381" t="n">
        <v>6</v>
      </c>
      <c r="DC381" t="n">
        <v>9</v>
      </c>
      <c r="DD381" t="n">
        <v>2</v>
      </c>
      <c r="DE381" t="n">
        <v>7</v>
      </c>
      <c r="DF381" t="n">
        <v>1</v>
      </c>
      <c r="DG381" t="n">
        <v>13</v>
      </c>
      <c r="DH381" t="n">
        <v>3</v>
      </c>
      <c r="DK381" t="n">
        <v>0</v>
      </c>
      <c r="DL381" t="n">
        <v>0</v>
      </c>
      <c r="DM381" t="n">
        <v>0</v>
      </c>
      <c r="DN381" t="n">
        <v>0</v>
      </c>
      <c r="DO381" t="n">
        <v>0</v>
      </c>
      <c r="DP381" t="n">
        <v>0</v>
      </c>
      <c r="DQ381" t="n">
        <v>1</v>
      </c>
      <c r="DR381" t="n">
        <v>21</v>
      </c>
      <c r="DS381" t="n">
        <v>1</v>
      </c>
      <c r="DU381" t="n">
        <v>2</v>
      </c>
      <c r="DV381" t="n">
        <v>0</v>
      </c>
      <c r="DW381" t="n">
        <v>3</v>
      </c>
      <c r="DX381" t="n">
        <v>7</v>
      </c>
      <c r="DY381" t="n">
        <v>1</v>
      </c>
      <c r="DZ381" t="n">
        <v>7</v>
      </c>
      <c r="EB381" t="n">
        <v>0</v>
      </c>
      <c r="EC381" t="n">
        <v>0</v>
      </c>
      <c r="ED381" t="n">
        <v>6</v>
      </c>
      <c r="EE381" t="n">
        <v>1</v>
      </c>
      <c r="EG381" t="n">
        <v>0</v>
      </c>
      <c r="EH381" t="n">
        <v>0</v>
      </c>
      <c r="EI381" t="n">
        <v>2</v>
      </c>
      <c r="EK381" t="n">
        <v>2</v>
      </c>
      <c r="EL381" t="n">
        <v>0</v>
      </c>
      <c r="EM381" t="n">
        <v>4</v>
      </c>
      <c r="EN381" t="n">
        <v>3</v>
      </c>
      <c r="EO381" t="n">
        <v>0</v>
      </c>
      <c r="EP381" t="n">
        <v>6</v>
      </c>
      <c r="EQ381" t="n">
        <v>9</v>
      </c>
      <c r="ER381" t="n">
        <v>12</v>
      </c>
      <c r="ES381" t="n">
        <v>1</v>
      </c>
      <c r="ET381" t="n">
        <v>9</v>
      </c>
      <c r="EU381" t="n">
        <v>2</v>
      </c>
      <c r="EW381" t="n">
        <v>10</v>
      </c>
      <c r="EX381" t="n">
        <v>12</v>
      </c>
      <c r="EY381" t="n">
        <v>8</v>
      </c>
      <c r="EZ381" t="n">
        <v>12</v>
      </c>
      <c r="FA381" t="n">
        <v>12</v>
      </c>
      <c r="FB381" t="n">
        <v>43</v>
      </c>
      <c r="FC381" t="n">
        <v>21</v>
      </c>
      <c r="FD381" t="n">
        <v>13</v>
      </c>
      <c r="FE381" t="n">
        <v>7</v>
      </c>
      <c r="FF381" t="n">
        <v>18</v>
      </c>
      <c r="FG381" t="n">
        <v>20</v>
      </c>
      <c r="FJ381" t="n">
        <v>20</v>
      </c>
      <c r="FK381" t="n">
        <v>17</v>
      </c>
      <c r="FL381" t="n">
        <v>4</v>
      </c>
      <c r="FM381" t="n">
        <v>2</v>
      </c>
      <c r="FO381" t="n">
        <v>0</v>
      </c>
      <c r="FP381" t="n">
        <v>30</v>
      </c>
      <c r="FQ381" t="n">
        <v>6</v>
      </c>
      <c r="FR381" t="n">
        <v>3</v>
      </c>
      <c r="FS381" t="n">
        <v>9</v>
      </c>
      <c r="FT381" t="n">
        <v>5</v>
      </c>
      <c r="FU381" t="n">
        <v>7</v>
      </c>
      <c r="FV381" t="n">
        <v>29</v>
      </c>
      <c r="FW381" t="n">
        <v>8</v>
      </c>
      <c r="FX381" t="n">
        <v>15</v>
      </c>
      <c r="FY381" t="n">
        <v>76</v>
      </c>
      <c r="FZ381" t="n">
        <v>3</v>
      </c>
      <c r="GA381" t="n">
        <v>1</v>
      </c>
      <c r="GB381" t="n">
        <v>3</v>
      </c>
      <c r="GC381" t="n">
        <v>10</v>
      </c>
      <c r="GD381" t="n">
        <v>13</v>
      </c>
      <c r="GE381" t="n">
        <v>0</v>
      </c>
      <c r="GF381" t="n">
        <v>1</v>
      </c>
      <c r="GG381" t="n">
        <v>19</v>
      </c>
      <c r="GH381" t="n">
        <v>19</v>
      </c>
      <c r="GI381" t="n">
        <v>5</v>
      </c>
      <c r="GJ381" t="n">
        <v>18</v>
      </c>
      <c r="GK381" t="n">
        <v>4</v>
      </c>
      <c r="GL381" t="n">
        <v>2</v>
      </c>
      <c r="GM381" t="n">
        <v>0</v>
      </c>
      <c r="GN381" t="n">
        <v>0</v>
      </c>
      <c r="GO381" t="n">
        <v>0</v>
      </c>
      <c r="GP381" t="n">
        <v>6</v>
      </c>
      <c r="GQ381" t="n">
        <v>2</v>
      </c>
      <c r="GR381" t="n">
        <v>6</v>
      </c>
      <c r="GS381" t="n">
        <v>5</v>
      </c>
      <c r="GT381" t="n">
        <v>2</v>
      </c>
      <c r="GU381" t="n">
        <v>23</v>
      </c>
      <c r="GV381" t="n">
        <v>2</v>
      </c>
      <c r="GW381" t="n">
        <v>28</v>
      </c>
      <c r="GX381" t="n">
        <v>33</v>
      </c>
      <c r="GY381" t="n">
        <v>4</v>
      </c>
      <c r="GZ381" t="n">
        <v>90</v>
      </c>
      <c r="HA381" t="n">
        <v>16</v>
      </c>
      <c r="HB381" t="n">
        <v>5</v>
      </c>
      <c r="HC381" t="n">
        <v>3</v>
      </c>
      <c r="HD381" t="n">
        <v>5</v>
      </c>
      <c r="HE381" t="n">
        <v>12</v>
      </c>
      <c r="HF381" t="n">
        <v>10</v>
      </c>
      <c r="HG381" t="n">
        <v>24</v>
      </c>
      <c r="HH381" t="n">
        <v>7</v>
      </c>
      <c r="HI381" t="n">
        <v>9</v>
      </c>
      <c r="HK381" t="n">
        <v>4</v>
      </c>
      <c r="HL381" t="n">
        <v>1</v>
      </c>
      <c r="HM381" t="n">
        <v>4</v>
      </c>
      <c r="HN381" t="n">
        <v>4</v>
      </c>
      <c r="HO381" t="n">
        <v>1</v>
      </c>
      <c r="HP381" t="n">
        <v>1</v>
      </c>
      <c r="HQ381" t="n">
        <v>5</v>
      </c>
      <c r="HR381" t="n">
        <v>1</v>
      </c>
      <c r="HS381" t="n">
        <v>1</v>
      </c>
      <c r="HT381" t="n">
        <v>4</v>
      </c>
      <c r="HU381" t="n">
        <v>9</v>
      </c>
      <c r="HV381" t="n">
        <v>11</v>
      </c>
      <c r="HW381" t="n">
        <v>69</v>
      </c>
      <c r="HX381" t="n">
        <v>7</v>
      </c>
      <c r="HY381" t="n">
        <v>4</v>
      </c>
      <c r="HZ381" t="n">
        <v>3</v>
      </c>
      <c r="IA381" t="n">
        <v>1</v>
      </c>
      <c r="IB381" t="n">
        <v>189</v>
      </c>
      <c r="IC381" t="n">
        <v>2</v>
      </c>
      <c r="ID381" t="n">
        <v>60</v>
      </c>
      <c r="IE381" t="n">
        <v>12</v>
      </c>
      <c r="IF381" t="n">
        <v>2</v>
      </c>
      <c r="IG381" t="n">
        <v>2</v>
      </c>
      <c r="II381" t="n">
        <v>2</v>
      </c>
      <c r="IJ381" t="n">
        <v>1</v>
      </c>
      <c r="IK381" t="n">
        <v>14</v>
      </c>
      <c r="IL381" t="n">
        <v>93</v>
      </c>
      <c r="IM381" t="n">
        <v>39</v>
      </c>
      <c r="IN381" t="n">
        <v>5</v>
      </c>
      <c r="IP381" t="n">
        <v>6</v>
      </c>
      <c r="IQ381" t="n">
        <v>5</v>
      </c>
      <c r="IR381" t="n">
        <v>1</v>
      </c>
      <c r="IS381" t="n">
        <v>3</v>
      </c>
      <c r="IT381" t="n">
        <v>2</v>
      </c>
      <c r="IU381" t="n">
        <v>8</v>
      </c>
      <c r="IV381" t="n">
        <v>4</v>
      </c>
      <c r="IW381" t="n">
        <v>7</v>
      </c>
      <c r="IX381" t="n">
        <v>2</v>
      </c>
      <c r="IY381" t="n">
        <v>0</v>
      </c>
      <c r="IZ381" t="n">
        <v>10</v>
      </c>
      <c r="JA381" t="n">
        <v>53</v>
      </c>
      <c r="JB381" t="n">
        <v>6</v>
      </c>
      <c r="JD381" t="n">
        <v>106</v>
      </c>
      <c r="JE381" t="n">
        <v>8</v>
      </c>
      <c r="JF381" t="n">
        <v>3</v>
      </c>
      <c r="JG381" t="n">
        <v>128</v>
      </c>
      <c r="JH381" t="n">
        <v>9</v>
      </c>
      <c r="JI381" t="n">
        <v>4</v>
      </c>
      <c r="JJ381" t="n">
        <v>12</v>
      </c>
      <c r="JK381" t="n">
        <v>1020</v>
      </c>
      <c r="JL381" t="n">
        <v>185</v>
      </c>
      <c r="JM381" t="n">
        <v>799</v>
      </c>
      <c r="JN381" t="n">
        <v>244</v>
      </c>
      <c r="JO381" t="n">
        <v>606</v>
      </c>
      <c r="JQ381" t="n">
        <v>268</v>
      </c>
      <c r="JR381" t="n">
        <v>0</v>
      </c>
      <c r="JS381" t="n">
        <v>373</v>
      </c>
      <c r="JT381" t="n">
        <v>6</v>
      </c>
      <c r="JV381" t="n">
        <v>42</v>
      </c>
      <c r="JW381" t="n">
        <v>57</v>
      </c>
      <c r="JX381" t="n">
        <v>52</v>
      </c>
      <c r="JY381" t="n">
        <v>78</v>
      </c>
      <c r="JZ381" t="n">
        <v>2</v>
      </c>
      <c r="KA381" t="n">
        <v>71</v>
      </c>
      <c r="KB381" t="n">
        <v>3</v>
      </c>
      <c r="KC381" t="n">
        <v>85</v>
      </c>
      <c r="KD381" t="n">
        <v>8</v>
      </c>
      <c r="KF381" t="n">
        <v>14</v>
      </c>
      <c r="KI381" t="n">
        <v>0</v>
      </c>
      <c r="KJ381" t="n">
        <v>3</v>
      </c>
      <c r="KK381" t="n">
        <v>332</v>
      </c>
      <c r="KL381" t="n">
        <v>1</v>
      </c>
      <c r="KM381" t="n">
        <v>15</v>
      </c>
      <c r="KN381" t="n">
        <v>35</v>
      </c>
      <c r="KO381" t="n">
        <v>65</v>
      </c>
      <c r="KP381" t="n">
        <v>94</v>
      </c>
      <c r="KQ381" t="n">
        <v>21</v>
      </c>
      <c r="KR381" t="n">
        <v>334</v>
      </c>
      <c r="KS381" t="n">
        <v>114</v>
      </c>
      <c r="KT381" t="n">
        <v>57</v>
      </c>
      <c r="KU381" t="n">
        <v>7</v>
      </c>
      <c r="KV381" t="n">
        <v>18</v>
      </c>
      <c r="KW381" t="n">
        <v>148</v>
      </c>
      <c r="KX381" t="n">
        <v>498</v>
      </c>
      <c r="KY381" t="n">
        <v>176</v>
      </c>
      <c r="KZ381" t="n">
        <v>2025</v>
      </c>
      <c r="LA381" t="n">
        <v>286</v>
      </c>
      <c r="LB381" t="n">
        <v>0</v>
      </c>
      <c r="LC381" t="n">
        <v>3182</v>
      </c>
      <c r="LD381" t="n">
        <v>4442</v>
      </c>
      <c r="LE381" t="n">
        <v>2424</v>
      </c>
      <c r="LF381" t="n">
        <v>404</v>
      </c>
      <c r="LH381" t="n">
        <v>465</v>
      </c>
      <c r="LI381" t="n">
        <v>127</v>
      </c>
      <c r="LJ381" t="n">
        <v>614</v>
      </c>
      <c r="LL381" t="n">
        <v>21</v>
      </c>
      <c r="LM381" t="n">
        <v>13791</v>
      </c>
      <c r="LN381" t="n">
        <v>399</v>
      </c>
      <c r="LO381" t="n">
        <v>588</v>
      </c>
      <c r="LP381" t="n">
        <v>110</v>
      </c>
      <c r="LQ381" t="n">
        <v>73</v>
      </c>
      <c r="LR381" t="n">
        <v>1384</v>
      </c>
      <c r="LS381" t="n">
        <v>496</v>
      </c>
      <c r="LT381" t="n">
        <v>4048</v>
      </c>
      <c r="LU381" t="n">
        <v>861</v>
      </c>
      <c r="LV381" t="n">
        <v>1061</v>
      </c>
      <c r="LW381" t="n">
        <v>1750</v>
      </c>
      <c r="LX381" t="n">
        <v>2159</v>
      </c>
      <c r="LY381" t="n">
        <v>241</v>
      </c>
      <c r="LZ381" t="n">
        <v>489</v>
      </c>
      <c r="MA381" t="n">
        <v>391</v>
      </c>
      <c r="MB381" t="n">
        <v>130</v>
      </c>
      <c r="MC381" t="n">
        <v>85</v>
      </c>
      <c r="MD381" t="n">
        <v>94</v>
      </c>
      <c r="ME381" t="n">
        <v>263</v>
      </c>
      <c r="MF381" t="n">
        <v>942</v>
      </c>
      <c r="MG381" t="n">
        <v>3152</v>
      </c>
      <c r="MH381" t="n">
        <v>459</v>
      </c>
      <c r="MI381" t="n">
        <v>230</v>
      </c>
      <c r="MJ381" t="n">
        <v>129</v>
      </c>
      <c r="MK381" t="n">
        <v>504</v>
      </c>
      <c r="ML381" t="n">
        <v>392</v>
      </c>
      <c r="MM381" t="n">
        <v>338</v>
      </c>
      <c r="MN381" t="n">
        <v>252</v>
      </c>
      <c r="MO381" t="n">
        <v>534</v>
      </c>
      <c r="MP381" t="n">
        <v>28</v>
      </c>
      <c r="MQ381" t="n">
        <v>637</v>
      </c>
      <c r="MR381" t="n">
        <v>144</v>
      </c>
      <c r="MS381" t="n">
        <v>2271</v>
      </c>
      <c r="MT381" t="n">
        <v>191</v>
      </c>
      <c r="MU381" t="n">
        <v>146</v>
      </c>
      <c r="MV381" t="n">
        <v>188</v>
      </c>
      <c r="MW381" t="n">
        <v>44</v>
      </c>
      <c r="MX381" t="n">
        <v>149</v>
      </c>
      <c r="MY381" t="n">
        <v>59</v>
      </c>
      <c r="MZ381" t="n">
        <v>212</v>
      </c>
      <c r="NA381" t="n">
        <v>224</v>
      </c>
      <c r="NB381" t="n">
        <v>36</v>
      </c>
      <c r="NC381" t="n">
        <v>62</v>
      </c>
      <c r="ND381" t="n">
        <v>83</v>
      </c>
      <c r="NE381" t="n">
        <v>6</v>
      </c>
      <c r="NF381" t="n">
        <v>13</v>
      </c>
      <c r="NG381" t="n">
        <v>32</v>
      </c>
      <c r="NH381" t="n">
        <v>6</v>
      </c>
      <c r="NI381" t="n">
        <v>72</v>
      </c>
      <c r="NJ381" t="n">
        <v>2</v>
      </c>
      <c r="NK381" t="n">
        <v>14</v>
      </c>
      <c r="NL381" t="n">
        <v>131</v>
      </c>
      <c r="NM381" t="n">
        <v>72</v>
      </c>
      <c r="NN381" t="n">
        <v>502</v>
      </c>
      <c r="NO381" t="n">
        <v>815</v>
      </c>
      <c r="NP381" t="n">
        <v>1142</v>
      </c>
      <c r="NQ381" t="n">
        <v>212</v>
      </c>
      <c r="NR381" t="n">
        <v>38</v>
      </c>
      <c r="NS381" t="n">
        <v>15</v>
      </c>
      <c r="NT381" t="n">
        <v>43</v>
      </c>
      <c r="NU381" t="n">
        <v>10</v>
      </c>
      <c r="NV381" t="n">
        <v>104</v>
      </c>
      <c r="NW381" t="n">
        <v>0</v>
      </c>
      <c r="NX381" t="n">
        <v>18</v>
      </c>
      <c r="NY381" t="n">
        <v>62</v>
      </c>
      <c r="OA381" t="n">
        <v>409</v>
      </c>
      <c r="OB381" t="n">
        <v>132</v>
      </c>
      <c r="OD381" t="n">
        <v>1434</v>
      </c>
      <c r="OE381" t="n">
        <v>900</v>
      </c>
      <c r="OG381" t="n">
        <v>8</v>
      </c>
      <c r="OH381" t="n">
        <v>40</v>
      </c>
      <c r="OI381" t="n">
        <v>839</v>
      </c>
      <c r="OJ381" t="n">
        <v>355</v>
      </c>
      <c r="OK381" t="n">
        <v>1806</v>
      </c>
      <c r="OL381" t="n">
        <v>18</v>
      </c>
      <c r="OM381" t="n">
        <v>4</v>
      </c>
      <c r="ON381" t="n">
        <v>150</v>
      </c>
      <c r="OO381" t="n">
        <v>73618</v>
      </c>
      <c r="OP381" t="n">
        <v>163295</v>
      </c>
      <c r="PI381" t="n">
        <v>236913</v>
      </c>
      <c r="PM381">
        <f>IFERROR(VLOOKUP($A381&amp;"",Key!$A:$C,3,FALSE),"")</f>
        <v/>
      </c>
    </row>
    <row r="382">
      <c r="A382" t="n">
        <v>722110</v>
      </c>
      <c r="B382" t="inlineStr">
        <is>
          <t>Full-service restaurants</t>
        </is>
      </c>
      <c r="C382" t="n">
        <v>20</v>
      </c>
      <c r="D382" t="n">
        <v>83</v>
      </c>
      <c r="E382" t="n">
        <v>15</v>
      </c>
      <c r="F382" t="n">
        <v>18</v>
      </c>
      <c r="G382" t="n">
        <v>22</v>
      </c>
      <c r="H382" t="n">
        <v>25</v>
      </c>
      <c r="I382" t="n">
        <v>55</v>
      </c>
      <c r="J382" t="n">
        <v>47</v>
      </c>
      <c r="K382" t="n">
        <v>55</v>
      </c>
      <c r="L382" t="n">
        <v>15</v>
      </c>
      <c r="M382" t="n">
        <v>2</v>
      </c>
      <c r="N382" t="n">
        <v>1</v>
      </c>
      <c r="O382" t="n">
        <v>0</v>
      </c>
      <c r="P382" t="n">
        <v>7</v>
      </c>
      <c r="Q382" t="n">
        <v>3</v>
      </c>
      <c r="R382" t="n">
        <v>4</v>
      </c>
      <c r="S382" t="n">
        <v>2</v>
      </c>
      <c r="T382" t="n">
        <v>2</v>
      </c>
      <c r="U382" t="n">
        <v>6</v>
      </c>
      <c r="V382" t="n">
        <v>3</v>
      </c>
      <c r="W382" t="n">
        <v>70</v>
      </c>
      <c r="X382" t="n">
        <v>2024</v>
      </c>
      <c r="Y382" t="n">
        <v>117</v>
      </c>
      <c r="Z382" t="n">
        <v>4</v>
      </c>
      <c r="AA382" t="n">
        <v>0</v>
      </c>
      <c r="AC382" t="n">
        <v>217</v>
      </c>
      <c r="AD382" t="n">
        <v>21</v>
      </c>
      <c r="AE382" t="n">
        <v>4</v>
      </c>
      <c r="AG382" t="n">
        <v>1</v>
      </c>
      <c r="AI382" t="n">
        <v>3</v>
      </c>
      <c r="AJ382" t="n">
        <v>3</v>
      </c>
      <c r="AL382" t="n">
        <v>16</v>
      </c>
      <c r="AM382" t="n">
        <v>22</v>
      </c>
      <c r="AN382" t="n">
        <v>9</v>
      </c>
      <c r="AO382" t="n">
        <v>9</v>
      </c>
      <c r="AP382" t="n">
        <v>13</v>
      </c>
      <c r="AQ382" t="n">
        <v>3</v>
      </c>
      <c r="AR382" t="n">
        <v>21</v>
      </c>
      <c r="AS382" t="n">
        <v>3</v>
      </c>
      <c r="AT382" t="n">
        <v>37</v>
      </c>
      <c r="AU382" t="n">
        <v>2</v>
      </c>
      <c r="AV382" t="n">
        <v>11</v>
      </c>
      <c r="AW382" t="n">
        <v>3</v>
      </c>
      <c r="AX382" t="n">
        <v>2</v>
      </c>
      <c r="AY382" t="n">
        <v>4</v>
      </c>
      <c r="AZ382" t="n">
        <v>1</v>
      </c>
      <c r="BA382" t="n">
        <v>5</v>
      </c>
      <c r="BB382" t="n">
        <v>6</v>
      </c>
      <c r="BC382" t="n">
        <v>38</v>
      </c>
      <c r="BD382" t="n">
        <v>9</v>
      </c>
      <c r="BE382" t="n">
        <v>2</v>
      </c>
      <c r="BF382" t="n">
        <v>0</v>
      </c>
      <c r="BG382" t="n">
        <v>9</v>
      </c>
      <c r="BH382" t="n">
        <v>1</v>
      </c>
      <c r="BI382" t="n">
        <v>4</v>
      </c>
      <c r="BJ382" t="n">
        <v>5</v>
      </c>
      <c r="BK382" t="n">
        <v>8</v>
      </c>
      <c r="BL382" t="n">
        <v>9</v>
      </c>
      <c r="BM382" t="n">
        <v>2</v>
      </c>
      <c r="BN382" t="n">
        <v>4</v>
      </c>
      <c r="BO382" t="n">
        <v>6</v>
      </c>
      <c r="BP382" t="n">
        <v>5</v>
      </c>
      <c r="BQ382" t="n">
        <v>30</v>
      </c>
      <c r="BR382" t="n">
        <v>20</v>
      </c>
      <c r="BS382" t="n">
        <v>3</v>
      </c>
      <c r="BT382" t="n">
        <v>5</v>
      </c>
      <c r="BU382" t="n">
        <v>3</v>
      </c>
      <c r="BV382" t="n">
        <v>5</v>
      </c>
      <c r="BW382" t="n">
        <v>6</v>
      </c>
      <c r="BX382" t="n">
        <v>26</v>
      </c>
      <c r="BY382" t="n">
        <v>21</v>
      </c>
      <c r="BZ382" t="n">
        <v>15</v>
      </c>
      <c r="CA382" t="n">
        <v>0</v>
      </c>
      <c r="CB382" t="n">
        <v>10</v>
      </c>
      <c r="CC382" t="n">
        <v>1</v>
      </c>
      <c r="CD382" t="n">
        <v>3</v>
      </c>
      <c r="CE382" t="n">
        <v>2</v>
      </c>
      <c r="CF382" t="n">
        <v>5</v>
      </c>
      <c r="CG382" t="n">
        <v>9</v>
      </c>
      <c r="CH382" t="n">
        <v>3</v>
      </c>
      <c r="CI382" t="n">
        <v>5</v>
      </c>
      <c r="CJ382" t="n">
        <v>11</v>
      </c>
      <c r="CK382" t="n">
        <v>4</v>
      </c>
      <c r="CL382" t="n">
        <v>15</v>
      </c>
      <c r="CM382" t="n">
        <v>3</v>
      </c>
      <c r="CN382" t="n">
        <v>4</v>
      </c>
      <c r="CO382" t="n">
        <v>11</v>
      </c>
      <c r="CP382" t="n">
        <v>3</v>
      </c>
      <c r="CQ382" t="n">
        <v>10</v>
      </c>
      <c r="CR382" t="n">
        <v>2</v>
      </c>
      <c r="CS382" t="n">
        <v>2</v>
      </c>
      <c r="CT382" t="n">
        <v>5</v>
      </c>
      <c r="CU382" t="n">
        <v>4</v>
      </c>
      <c r="CV382" t="n">
        <v>3</v>
      </c>
      <c r="CW382" t="n">
        <v>0</v>
      </c>
      <c r="CX382" t="n">
        <v>0</v>
      </c>
      <c r="CY382" t="n">
        <v>2</v>
      </c>
      <c r="CZ382" t="n">
        <v>15</v>
      </c>
      <c r="DA382" t="n">
        <v>4</v>
      </c>
      <c r="DB382" t="n">
        <v>5</v>
      </c>
      <c r="DC382" t="n">
        <v>7</v>
      </c>
      <c r="DD382" t="n">
        <v>12</v>
      </c>
      <c r="DE382" t="n">
        <v>4</v>
      </c>
      <c r="DF382" t="n">
        <v>1</v>
      </c>
      <c r="DG382" t="n">
        <v>8</v>
      </c>
      <c r="DH382" t="n">
        <v>2</v>
      </c>
      <c r="DI382" t="n">
        <v>0</v>
      </c>
      <c r="DJ382" t="n">
        <v>0</v>
      </c>
      <c r="DK382" t="n">
        <v>0</v>
      </c>
      <c r="DL382" t="n">
        <v>0</v>
      </c>
      <c r="DM382" t="n">
        <v>0</v>
      </c>
      <c r="DN382" t="n">
        <v>0</v>
      </c>
      <c r="DO382" t="n">
        <v>0</v>
      </c>
      <c r="DP382" t="n">
        <v>0</v>
      </c>
      <c r="DQ382" t="n">
        <v>3</v>
      </c>
      <c r="DR382" t="n">
        <v>10</v>
      </c>
      <c r="DS382" t="n">
        <v>1</v>
      </c>
      <c r="DT382" t="n">
        <v>0</v>
      </c>
      <c r="DU382" t="n">
        <v>1</v>
      </c>
      <c r="DV382" t="n">
        <v>0</v>
      </c>
      <c r="DW382" t="n">
        <v>1</v>
      </c>
      <c r="DX382" t="n">
        <v>3</v>
      </c>
      <c r="DY382" t="n">
        <v>1</v>
      </c>
      <c r="DZ382" t="n">
        <v>3</v>
      </c>
      <c r="EA382" t="n">
        <v>3</v>
      </c>
      <c r="EB382" t="n">
        <v>0</v>
      </c>
      <c r="EC382" t="n">
        <v>0</v>
      </c>
      <c r="ED382" t="n">
        <v>4</v>
      </c>
      <c r="EE382" t="n">
        <v>0</v>
      </c>
      <c r="EF382" t="n">
        <v>7</v>
      </c>
      <c r="EG382" t="n">
        <v>1</v>
      </c>
      <c r="EH382" t="n">
        <v>1</v>
      </c>
      <c r="EI382" t="n">
        <v>2</v>
      </c>
      <c r="EJ382" t="n">
        <v>4</v>
      </c>
      <c r="EK382" t="n">
        <v>1</v>
      </c>
      <c r="EL382" t="n">
        <v>0</v>
      </c>
      <c r="EM382" t="n">
        <v>3</v>
      </c>
      <c r="EN382" t="n">
        <v>2</v>
      </c>
      <c r="EO382" t="n">
        <v>0</v>
      </c>
      <c r="EP382" t="n">
        <v>4</v>
      </c>
      <c r="EQ382" t="n">
        <v>4</v>
      </c>
      <c r="ER382" t="n">
        <v>5</v>
      </c>
      <c r="ES382" t="n">
        <v>1</v>
      </c>
      <c r="ET382" t="n">
        <v>6</v>
      </c>
      <c r="EU382" t="n">
        <v>3</v>
      </c>
      <c r="EV382" t="n">
        <v>0</v>
      </c>
      <c r="EW382" t="n">
        <v>6</v>
      </c>
      <c r="EX382" t="n">
        <v>7</v>
      </c>
      <c r="EY382" t="n">
        <v>7</v>
      </c>
      <c r="EZ382" t="n">
        <v>8</v>
      </c>
      <c r="FA382" t="n">
        <v>10</v>
      </c>
      <c r="FB382" t="n">
        <v>19</v>
      </c>
      <c r="FC382" t="n">
        <v>13</v>
      </c>
      <c r="FD382" t="n">
        <v>10</v>
      </c>
      <c r="FE382" t="n">
        <v>4</v>
      </c>
      <c r="FF382" t="n">
        <v>11</v>
      </c>
      <c r="FG382" t="n">
        <v>11</v>
      </c>
      <c r="FH382" t="n">
        <v>2</v>
      </c>
      <c r="FI382" t="n">
        <v>9</v>
      </c>
      <c r="FJ382" t="n">
        <v>13</v>
      </c>
      <c r="FK382" t="n">
        <v>9</v>
      </c>
      <c r="FL382" t="n">
        <v>3</v>
      </c>
      <c r="FM382" t="n">
        <v>1</v>
      </c>
      <c r="FN382" t="n">
        <v>3</v>
      </c>
      <c r="FO382" t="n">
        <v>1</v>
      </c>
      <c r="FP382" t="n">
        <v>13</v>
      </c>
      <c r="FQ382" t="n">
        <v>5</v>
      </c>
      <c r="FR382" t="n">
        <v>2</v>
      </c>
      <c r="FS382" t="n">
        <v>5</v>
      </c>
      <c r="FT382" t="n">
        <v>3</v>
      </c>
      <c r="FU382" t="n">
        <v>4</v>
      </c>
      <c r="FV382" t="n">
        <v>20</v>
      </c>
      <c r="FW382" t="n">
        <v>4</v>
      </c>
      <c r="FX382" t="n">
        <v>10</v>
      </c>
      <c r="FY382" t="n">
        <v>35</v>
      </c>
      <c r="FZ382" t="n">
        <v>2</v>
      </c>
      <c r="GA382" t="n">
        <v>1</v>
      </c>
      <c r="GB382" t="n">
        <v>2</v>
      </c>
      <c r="GC382" t="n">
        <v>6</v>
      </c>
      <c r="GD382" t="n">
        <v>7</v>
      </c>
      <c r="GE382" t="n">
        <v>0</v>
      </c>
      <c r="GF382" t="n">
        <v>1</v>
      </c>
      <c r="GG382" t="n">
        <v>9</v>
      </c>
      <c r="GH382" t="n">
        <v>14</v>
      </c>
      <c r="GI382" t="n">
        <v>6</v>
      </c>
      <c r="GJ382" t="n">
        <v>10</v>
      </c>
      <c r="GK382" t="n">
        <v>4</v>
      </c>
      <c r="GL382" t="n">
        <v>1</v>
      </c>
      <c r="GM382" t="n">
        <v>1</v>
      </c>
      <c r="GN382" t="n">
        <v>0</v>
      </c>
      <c r="GO382" t="n">
        <v>1</v>
      </c>
      <c r="GP382" t="n">
        <v>21</v>
      </c>
      <c r="GQ382" t="n">
        <v>4</v>
      </c>
      <c r="GR382" t="n">
        <v>6</v>
      </c>
      <c r="GS382" t="n">
        <v>4</v>
      </c>
      <c r="GT382" t="n">
        <v>3</v>
      </c>
      <c r="GU382" t="n">
        <v>17</v>
      </c>
      <c r="GV382" t="n">
        <v>1</v>
      </c>
      <c r="GW382" t="n">
        <v>20</v>
      </c>
      <c r="GX382" t="n">
        <v>20</v>
      </c>
      <c r="GY382" t="n">
        <v>3</v>
      </c>
      <c r="GZ382" t="n">
        <v>57</v>
      </c>
      <c r="HA382" t="n">
        <v>8</v>
      </c>
      <c r="HB382" t="n">
        <v>5</v>
      </c>
      <c r="HC382" t="n">
        <v>4</v>
      </c>
      <c r="HD382" t="n">
        <v>2</v>
      </c>
      <c r="HE382" t="n">
        <v>9</v>
      </c>
      <c r="HF382" t="n">
        <v>7</v>
      </c>
      <c r="HG382" t="n">
        <v>13</v>
      </c>
      <c r="HH382" t="n">
        <v>6</v>
      </c>
      <c r="HI382" t="n">
        <v>6</v>
      </c>
      <c r="HJ382" t="n">
        <v>7</v>
      </c>
      <c r="HK382" t="n">
        <v>2</v>
      </c>
      <c r="HL382" t="n">
        <v>1</v>
      </c>
      <c r="HM382" t="n">
        <v>5</v>
      </c>
      <c r="HN382" t="n">
        <v>3</v>
      </c>
      <c r="HO382" t="n">
        <v>1</v>
      </c>
      <c r="HP382" t="n">
        <v>1</v>
      </c>
      <c r="HQ382" t="n">
        <v>5</v>
      </c>
      <c r="HR382" t="n">
        <v>1</v>
      </c>
      <c r="HS382" t="n">
        <v>1</v>
      </c>
      <c r="HT382" t="n">
        <v>3</v>
      </c>
      <c r="HU382" t="n">
        <v>7</v>
      </c>
      <c r="HV382" t="n">
        <v>9</v>
      </c>
      <c r="HW382" t="n">
        <v>42</v>
      </c>
      <c r="HX382" t="n">
        <v>6</v>
      </c>
      <c r="HY382" t="n">
        <v>3</v>
      </c>
      <c r="HZ382" t="n">
        <v>4</v>
      </c>
      <c r="IA382" t="n">
        <v>1</v>
      </c>
      <c r="IB382" t="n">
        <v>70</v>
      </c>
      <c r="IC382" t="n">
        <v>2</v>
      </c>
      <c r="ID382" t="n">
        <v>55</v>
      </c>
      <c r="IE382" t="n">
        <v>9</v>
      </c>
      <c r="IF382" t="n">
        <v>3</v>
      </c>
      <c r="IG382" t="n">
        <v>5</v>
      </c>
      <c r="IH382" t="n">
        <v>1</v>
      </c>
      <c r="II382" t="n">
        <v>4</v>
      </c>
      <c r="IJ382" t="n">
        <v>1</v>
      </c>
      <c r="IK382" t="n">
        <v>9</v>
      </c>
      <c r="IL382" t="n">
        <v>42</v>
      </c>
      <c r="IM382" t="n">
        <v>22</v>
      </c>
      <c r="IN382" t="n">
        <v>3</v>
      </c>
      <c r="IO382" t="n">
        <v>7</v>
      </c>
      <c r="IP382" t="n">
        <v>3</v>
      </c>
      <c r="IQ382" t="n">
        <v>5</v>
      </c>
      <c r="IR382" t="n">
        <v>1</v>
      </c>
      <c r="IS382" t="n">
        <v>2</v>
      </c>
      <c r="IT382" t="n">
        <v>1</v>
      </c>
      <c r="IU382" t="n">
        <v>5</v>
      </c>
      <c r="IV382" t="n">
        <v>3</v>
      </c>
      <c r="IW382" t="n">
        <v>4</v>
      </c>
      <c r="IX382" t="n">
        <v>2</v>
      </c>
      <c r="IY382" t="n">
        <v>0</v>
      </c>
      <c r="IZ382" t="n">
        <v>8</v>
      </c>
      <c r="JA382" t="n">
        <v>30</v>
      </c>
      <c r="JB382" t="n">
        <v>7</v>
      </c>
      <c r="JC382" t="n">
        <v>1</v>
      </c>
      <c r="JD382" t="n">
        <v>8</v>
      </c>
      <c r="JE382" t="n">
        <v>6</v>
      </c>
      <c r="JF382" t="n">
        <v>3</v>
      </c>
      <c r="JG382" t="n">
        <v>83</v>
      </c>
      <c r="JH382" t="n">
        <v>5</v>
      </c>
      <c r="JI382" t="n">
        <v>2</v>
      </c>
      <c r="JJ382" t="n">
        <v>9</v>
      </c>
      <c r="JK382" t="n">
        <v>363</v>
      </c>
      <c r="JL382" t="n">
        <v>474</v>
      </c>
      <c r="JM382" t="n">
        <v>932</v>
      </c>
      <c r="JN382" t="n">
        <v>554</v>
      </c>
      <c r="JO382" t="n">
        <v>598</v>
      </c>
      <c r="JP382" t="n">
        <v>59</v>
      </c>
      <c r="JQ382" t="n">
        <v>443</v>
      </c>
      <c r="JR382" t="n">
        <v>18</v>
      </c>
      <c r="JS382" t="n">
        <v>687</v>
      </c>
      <c r="JT382" t="n">
        <v>44</v>
      </c>
      <c r="JV382" t="n">
        <v>391</v>
      </c>
      <c r="JW382" t="n">
        <v>151</v>
      </c>
      <c r="JX382" t="n">
        <v>150</v>
      </c>
      <c r="JY382" t="n">
        <v>104</v>
      </c>
      <c r="JZ382" t="n">
        <v>63</v>
      </c>
      <c r="KA382" t="n">
        <v>106</v>
      </c>
      <c r="KB382" t="n">
        <v>66</v>
      </c>
      <c r="KC382" t="n">
        <v>188</v>
      </c>
      <c r="KD382" t="n">
        <v>105</v>
      </c>
      <c r="KE382" t="n">
        <v>69</v>
      </c>
      <c r="KF382" t="n">
        <v>1</v>
      </c>
      <c r="KG382" t="n">
        <v>17</v>
      </c>
      <c r="KH382" t="n">
        <v>124</v>
      </c>
      <c r="KI382" t="n">
        <v>96</v>
      </c>
      <c r="KJ382" t="n">
        <v>7</v>
      </c>
      <c r="KK382" t="n">
        <v>257</v>
      </c>
      <c r="KL382" t="n">
        <v>7</v>
      </c>
      <c r="KM382" t="n">
        <v>17</v>
      </c>
      <c r="KN382" t="n">
        <v>26</v>
      </c>
      <c r="KO382" t="n">
        <v>42</v>
      </c>
      <c r="KP382" t="n">
        <v>68</v>
      </c>
      <c r="KQ382" t="n">
        <v>15</v>
      </c>
      <c r="KR382" t="n">
        <v>213</v>
      </c>
      <c r="KS382" t="n">
        <v>97</v>
      </c>
      <c r="KT382" t="n">
        <v>26</v>
      </c>
      <c r="KU382" t="n">
        <v>4</v>
      </c>
      <c r="KV382" t="n">
        <v>13</v>
      </c>
      <c r="KW382" t="n">
        <v>103</v>
      </c>
      <c r="KX382" t="n">
        <v>340</v>
      </c>
      <c r="KY382" t="n">
        <v>104</v>
      </c>
      <c r="KZ382" t="n">
        <v>1473</v>
      </c>
      <c r="LA382" t="n">
        <v>172</v>
      </c>
      <c r="LB382" t="n">
        <v>0</v>
      </c>
      <c r="LC382" t="n">
        <v>2295</v>
      </c>
      <c r="LD382" t="n">
        <v>5558</v>
      </c>
      <c r="LE382" t="n">
        <v>1671</v>
      </c>
      <c r="LF382" t="n">
        <v>234</v>
      </c>
      <c r="LG382" t="n">
        <v>4</v>
      </c>
      <c r="LH382" t="n">
        <v>2031</v>
      </c>
      <c r="LI382" t="n">
        <v>74</v>
      </c>
      <c r="LJ382" t="n">
        <v>1004</v>
      </c>
      <c r="LL382" t="n">
        <v>12</v>
      </c>
      <c r="LM382" t="n">
        <v>26664</v>
      </c>
      <c r="LN382" t="n">
        <v>435</v>
      </c>
      <c r="LO382" t="n">
        <v>560</v>
      </c>
      <c r="LP382" t="n">
        <v>113</v>
      </c>
      <c r="LQ382" t="n">
        <v>406</v>
      </c>
      <c r="LR382" t="n">
        <v>1369</v>
      </c>
      <c r="LS382" t="n">
        <v>468</v>
      </c>
      <c r="LT382" t="n">
        <v>3109</v>
      </c>
      <c r="LU382" t="n">
        <v>581</v>
      </c>
      <c r="LV382" t="n">
        <v>1143</v>
      </c>
      <c r="LW382" t="n">
        <v>2388</v>
      </c>
      <c r="LX382" t="n">
        <v>1636</v>
      </c>
      <c r="LY382" t="n">
        <v>254</v>
      </c>
      <c r="LZ382" t="n">
        <v>447</v>
      </c>
      <c r="MA382" t="n">
        <v>269</v>
      </c>
      <c r="MB382" t="n">
        <v>145</v>
      </c>
      <c r="MC382" t="n">
        <v>80</v>
      </c>
      <c r="MD382" t="n">
        <v>94</v>
      </c>
      <c r="ME382" t="n">
        <v>180</v>
      </c>
      <c r="MF382" t="n">
        <v>1482</v>
      </c>
      <c r="MG382" t="n">
        <v>2407</v>
      </c>
      <c r="MH382" t="n">
        <v>278</v>
      </c>
      <c r="MI382" t="n">
        <v>162</v>
      </c>
      <c r="MJ382" t="n">
        <v>118</v>
      </c>
      <c r="MK382" t="n">
        <v>399</v>
      </c>
      <c r="ML382" t="n">
        <v>308</v>
      </c>
      <c r="MM382" t="n">
        <v>269</v>
      </c>
      <c r="MN382" t="n">
        <v>223</v>
      </c>
      <c r="MO382" t="n">
        <v>391</v>
      </c>
      <c r="MP382" t="n">
        <v>19</v>
      </c>
      <c r="MQ382" t="n">
        <v>324</v>
      </c>
      <c r="MR382" t="n">
        <v>133</v>
      </c>
      <c r="MS382" t="n">
        <v>3816</v>
      </c>
      <c r="MT382" t="n">
        <v>177</v>
      </c>
      <c r="MU382" t="n">
        <v>124</v>
      </c>
      <c r="MV382" t="n">
        <v>242</v>
      </c>
      <c r="MW382" t="n">
        <v>45</v>
      </c>
      <c r="MX382" t="n">
        <v>160</v>
      </c>
      <c r="MY382" t="n">
        <v>45</v>
      </c>
      <c r="MZ382" t="n">
        <v>8532</v>
      </c>
      <c r="NA382" t="n">
        <v>286</v>
      </c>
      <c r="NB382" t="n">
        <v>43</v>
      </c>
      <c r="NC382" t="n">
        <v>433</v>
      </c>
      <c r="ND382" t="n">
        <v>362</v>
      </c>
      <c r="NE382" t="n">
        <v>1078</v>
      </c>
      <c r="NF382" t="n">
        <v>12</v>
      </c>
      <c r="NG382" t="n">
        <v>25</v>
      </c>
      <c r="NH382" t="n">
        <v>6</v>
      </c>
      <c r="NI382" t="n">
        <v>68</v>
      </c>
      <c r="NJ382" t="n">
        <v>30</v>
      </c>
      <c r="NK382" t="n">
        <v>12</v>
      </c>
      <c r="NL382" t="n">
        <v>69</v>
      </c>
      <c r="NM382" t="n">
        <v>59</v>
      </c>
      <c r="NN382" t="n">
        <v>148</v>
      </c>
      <c r="NO382" t="n">
        <v>939</v>
      </c>
      <c r="NP382" t="n">
        <v>878</v>
      </c>
      <c r="NQ382" t="n">
        <v>188</v>
      </c>
      <c r="NR382" t="n">
        <v>55</v>
      </c>
      <c r="NS382" t="n">
        <v>13</v>
      </c>
      <c r="NT382" t="n">
        <v>60</v>
      </c>
      <c r="NU382" t="n">
        <v>14</v>
      </c>
      <c r="NV382" t="n">
        <v>147</v>
      </c>
      <c r="NW382" t="n">
        <v>0</v>
      </c>
      <c r="NX382" t="n">
        <v>29</v>
      </c>
      <c r="NY382" t="n">
        <v>63</v>
      </c>
      <c r="NZ382" t="n">
        <v>42</v>
      </c>
      <c r="OA382" t="n">
        <v>264</v>
      </c>
      <c r="OB382" t="n">
        <v>75</v>
      </c>
      <c r="OD382" t="n">
        <v>228</v>
      </c>
      <c r="OE382" t="n">
        <v>117</v>
      </c>
      <c r="OF382" t="n">
        <v>15</v>
      </c>
      <c r="OG382" t="n">
        <v>28</v>
      </c>
      <c r="OH382" t="n">
        <v>13</v>
      </c>
      <c r="OI382" t="n">
        <v>90</v>
      </c>
      <c r="OJ382" t="n">
        <v>158</v>
      </c>
      <c r="OK382" t="n">
        <v>602</v>
      </c>
      <c r="OL382" t="n">
        <v>10</v>
      </c>
      <c r="OM382" t="n">
        <v>5</v>
      </c>
      <c r="ON382" t="n">
        <v>270</v>
      </c>
      <c r="OO382" t="n">
        <v>93153</v>
      </c>
      <c r="OP382" t="n">
        <v>279233</v>
      </c>
      <c r="OV382" t="n">
        <v>1177</v>
      </c>
      <c r="PI382" t="n">
        <v>373564</v>
      </c>
      <c r="PM382">
        <f>IFERROR(VLOOKUP($A382&amp;"",Key!$A:$C,3,FALSE),"")</f>
        <v/>
      </c>
    </row>
    <row r="383">
      <c r="A383" t="n">
        <v>722211</v>
      </c>
      <c r="B383" t="inlineStr">
        <is>
          <t>Limited-service restaurants</t>
        </is>
      </c>
      <c r="C383" t="n">
        <v>4</v>
      </c>
      <c r="D383" t="n">
        <v>7</v>
      </c>
      <c r="E383" t="n">
        <v>3</v>
      </c>
      <c r="F383" t="n">
        <v>6</v>
      </c>
      <c r="G383" t="n">
        <v>4</v>
      </c>
      <c r="H383" t="n">
        <v>3</v>
      </c>
      <c r="I383" t="n">
        <v>13</v>
      </c>
      <c r="J383" t="n">
        <v>1</v>
      </c>
      <c r="K383" t="n">
        <v>6</v>
      </c>
      <c r="L383" t="n">
        <v>4</v>
      </c>
      <c r="M383" t="n">
        <v>1</v>
      </c>
      <c r="N383" t="n">
        <v>1</v>
      </c>
      <c r="O383" t="n">
        <v>3</v>
      </c>
      <c r="P383" t="n">
        <v>1</v>
      </c>
      <c r="Q383" t="n">
        <v>2</v>
      </c>
      <c r="R383" t="n">
        <v>7</v>
      </c>
      <c r="S383" t="n">
        <v>1</v>
      </c>
      <c r="T383" t="n">
        <v>1</v>
      </c>
      <c r="U383" t="n">
        <v>2</v>
      </c>
      <c r="V383" t="n">
        <v>2</v>
      </c>
      <c r="W383" t="n">
        <v>293</v>
      </c>
      <c r="X383" t="n">
        <v>128</v>
      </c>
      <c r="Y383" t="n">
        <v>35</v>
      </c>
      <c r="Z383" t="n">
        <v>3</v>
      </c>
      <c r="AC383" t="n">
        <v>57</v>
      </c>
      <c r="AD383" t="n">
        <v>6</v>
      </c>
      <c r="AL383" t="n">
        <v>70</v>
      </c>
      <c r="AM383" t="n">
        <v>20</v>
      </c>
      <c r="AN383" t="n">
        <v>8</v>
      </c>
      <c r="AO383" t="n">
        <v>8</v>
      </c>
      <c r="AP383" t="n">
        <v>12</v>
      </c>
      <c r="AQ383" t="n">
        <v>2</v>
      </c>
      <c r="AR383" t="n">
        <v>20</v>
      </c>
      <c r="AS383" t="n">
        <v>3</v>
      </c>
      <c r="AT383" t="n">
        <v>34</v>
      </c>
      <c r="AU383" t="n">
        <v>2</v>
      </c>
      <c r="AV383" t="n">
        <v>10</v>
      </c>
      <c r="AW383" t="n">
        <v>1</v>
      </c>
      <c r="AX383" t="n">
        <v>2</v>
      </c>
      <c r="AY383" t="n">
        <v>3</v>
      </c>
      <c r="AZ383" t="n">
        <v>1</v>
      </c>
      <c r="BA383" t="n">
        <v>4</v>
      </c>
      <c r="BB383" t="n">
        <v>5</v>
      </c>
      <c r="BC383" t="n">
        <v>35</v>
      </c>
      <c r="BD383" t="n">
        <v>8</v>
      </c>
      <c r="BE383" t="n">
        <v>1</v>
      </c>
      <c r="BF383" t="n">
        <v>0</v>
      </c>
      <c r="BG383" t="n">
        <v>7</v>
      </c>
      <c r="BH383" t="n">
        <v>1</v>
      </c>
      <c r="BI383" t="n">
        <v>3</v>
      </c>
      <c r="BJ383" t="n">
        <v>4</v>
      </c>
      <c r="BK383" t="n">
        <v>7</v>
      </c>
      <c r="BL383" t="n">
        <v>9</v>
      </c>
      <c r="BM383" t="n">
        <v>3</v>
      </c>
      <c r="BN383" t="n">
        <v>4</v>
      </c>
      <c r="BO383" t="n">
        <v>6</v>
      </c>
      <c r="BP383" t="n">
        <v>5</v>
      </c>
      <c r="BQ383" t="n">
        <v>27</v>
      </c>
      <c r="BR383" t="n">
        <v>18</v>
      </c>
      <c r="BS383" t="n">
        <v>3</v>
      </c>
      <c r="BT383" t="n">
        <v>4</v>
      </c>
      <c r="BU383" t="n">
        <v>3</v>
      </c>
      <c r="BV383" t="n">
        <v>5</v>
      </c>
      <c r="BW383" t="n">
        <v>5</v>
      </c>
      <c r="BX383" t="n">
        <v>25</v>
      </c>
      <c r="BY383" t="n">
        <v>19</v>
      </c>
      <c r="BZ383" t="n">
        <v>14</v>
      </c>
      <c r="CA383" t="n">
        <v>0</v>
      </c>
      <c r="CB383" t="n">
        <v>9</v>
      </c>
      <c r="CC383" t="n">
        <v>1</v>
      </c>
      <c r="CD383" t="n">
        <v>2</v>
      </c>
      <c r="CE383" t="n">
        <v>1</v>
      </c>
      <c r="CF383" t="n">
        <v>4</v>
      </c>
      <c r="CG383" t="n">
        <v>8</v>
      </c>
      <c r="CH383" t="n">
        <v>3</v>
      </c>
      <c r="CI383" t="n">
        <v>5</v>
      </c>
      <c r="CJ383" t="n">
        <v>10</v>
      </c>
      <c r="CK383" t="n">
        <v>4</v>
      </c>
      <c r="CL383" t="n">
        <v>12</v>
      </c>
      <c r="CM383" t="n">
        <v>3</v>
      </c>
      <c r="CN383" t="n">
        <v>2</v>
      </c>
      <c r="CO383" t="n">
        <v>10</v>
      </c>
      <c r="CP383" t="n">
        <v>3</v>
      </c>
      <c r="CQ383" t="n">
        <v>9</v>
      </c>
      <c r="CR383" t="n">
        <v>1</v>
      </c>
      <c r="CS383" t="n">
        <v>2</v>
      </c>
      <c r="CT383" t="n">
        <v>4</v>
      </c>
      <c r="CU383" t="n">
        <v>4</v>
      </c>
      <c r="CV383" t="n">
        <v>3</v>
      </c>
      <c r="CW383" t="n">
        <v>0</v>
      </c>
      <c r="CX383" t="n">
        <v>0</v>
      </c>
      <c r="CY383" t="n">
        <v>2</v>
      </c>
      <c r="CZ383" t="n">
        <v>14</v>
      </c>
      <c r="DA383" t="n">
        <v>3</v>
      </c>
      <c r="DB383" t="n">
        <v>5</v>
      </c>
      <c r="DC383" t="n">
        <v>6</v>
      </c>
      <c r="DD383" t="n">
        <v>6</v>
      </c>
      <c r="DE383" t="n">
        <v>4</v>
      </c>
      <c r="DF383" t="n">
        <v>1</v>
      </c>
      <c r="DG383" t="n">
        <v>7</v>
      </c>
      <c r="DH383" t="n">
        <v>2</v>
      </c>
      <c r="DI383" t="n">
        <v>0</v>
      </c>
      <c r="DJ383" t="n">
        <v>0</v>
      </c>
      <c r="DK383" t="n">
        <v>0</v>
      </c>
      <c r="DL383" t="n">
        <v>0</v>
      </c>
      <c r="DM383" t="n">
        <v>0</v>
      </c>
      <c r="DN383" t="n">
        <v>0</v>
      </c>
      <c r="DO383" t="n">
        <v>0</v>
      </c>
      <c r="DP383" t="n">
        <v>0</v>
      </c>
      <c r="DQ383" t="n">
        <v>0</v>
      </c>
      <c r="DR383" t="n">
        <v>9</v>
      </c>
      <c r="DS383" t="n">
        <v>1</v>
      </c>
      <c r="DT383" t="n">
        <v>0</v>
      </c>
      <c r="DU383" t="n">
        <v>1</v>
      </c>
      <c r="DV383" t="n">
        <v>0</v>
      </c>
      <c r="DW383" t="n">
        <v>1</v>
      </c>
      <c r="DX383" t="n">
        <v>3</v>
      </c>
      <c r="DY383" t="n">
        <v>1</v>
      </c>
      <c r="DZ383" t="n">
        <v>3</v>
      </c>
      <c r="EA383" t="n">
        <v>1</v>
      </c>
      <c r="EB383" t="n">
        <v>0</v>
      </c>
      <c r="EC383" t="n">
        <v>0</v>
      </c>
      <c r="ED383" t="n">
        <v>4</v>
      </c>
      <c r="EE383" t="n">
        <v>0</v>
      </c>
      <c r="EF383" t="n">
        <v>2</v>
      </c>
      <c r="EG383" t="n">
        <v>0</v>
      </c>
      <c r="EH383" t="n">
        <v>0</v>
      </c>
      <c r="EI383" t="n">
        <v>1</v>
      </c>
      <c r="EJ383" t="n">
        <v>0</v>
      </c>
      <c r="EK383" t="n">
        <v>1</v>
      </c>
      <c r="EL383" t="n">
        <v>0</v>
      </c>
      <c r="EM383" t="n">
        <v>2</v>
      </c>
      <c r="EN383" t="n">
        <v>2</v>
      </c>
      <c r="EO383" t="n">
        <v>0</v>
      </c>
      <c r="EP383" t="n">
        <v>4</v>
      </c>
      <c r="EQ383" t="n">
        <v>4</v>
      </c>
      <c r="ER383" t="n">
        <v>5</v>
      </c>
      <c r="ES383" t="n">
        <v>1</v>
      </c>
      <c r="ET383" t="n">
        <v>6</v>
      </c>
      <c r="EU383" t="n">
        <v>3</v>
      </c>
      <c r="EV383" t="n">
        <v>0</v>
      </c>
      <c r="EW383" t="n">
        <v>6</v>
      </c>
      <c r="EX383" t="n">
        <v>7</v>
      </c>
      <c r="EY383" t="n">
        <v>6</v>
      </c>
      <c r="EZ383" t="n">
        <v>7</v>
      </c>
      <c r="FA383" t="n">
        <v>9</v>
      </c>
      <c r="FB383" t="n">
        <v>18</v>
      </c>
      <c r="FC383" t="n">
        <v>12</v>
      </c>
      <c r="FD383" t="n">
        <v>8</v>
      </c>
      <c r="FE383" t="n">
        <v>4</v>
      </c>
      <c r="FF383" t="n">
        <v>10</v>
      </c>
      <c r="FG383" t="n">
        <v>10</v>
      </c>
      <c r="FH383" t="n">
        <v>0</v>
      </c>
      <c r="FJ383" t="n">
        <v>12</v>
      </c>
      <c r="FK383" t="n">
        <v>8</v>
      </c>
      <c r="FL383" t="n">
        <v>2</v>
      </c>
      <c r="FM383" t="n">
        <v>1</v>
      </c>
      <c r="FO383" t="n">
        <v>0</v>
      </c>
      <c r="FP383" t="n">
        <v>13</v>
      </c>
      <c r="FQ383" t="n">
        <v>4</v>
      </c>
      <c r="FR383" t="n">
        <v>2</v>
      </c>
      <c r="FS383" t="n">
        <v>5</v>
      </c>
      <c r="FT383" t="n">
        <v>3</v>
      </c>
      <c r="FU383" t="n">
        <v>3</v>
      </c>
      <c r="FV383" t="n">
        <v>18</v>
      </c>
      <c r="FW383" t="n">
        <v>4</v>
      </c>
      <c r="FX383" t="n">
        <v>9</v>
      </c>
      <c r="FY383" t="n">
        <v>33</v>
      </c>
      <c r="FZ383" t="n">
        <v>2</v>
      </c>
      <c r="GA383" t="n">
        <v>1</v>
      </c>
      <c r="GB383" t="n">
        <v>2</v>
      </c>
      <c r="GC383" t="n">
        <v>6</v>
      </c>
      <c r="GD383" t="n">
        <v>6</v>
      </c>
      <c r="GE383" t="n">
        <v>0</v>
      </c>
      <c r="GF383" t="n">
        <v>1</v>
      </c>
      <c r="GG383" t="n">
        <v>8</v>
      </c>
      <c r="GH383" t="n">
        <v>11</v>
      </c>
      <c r="GI383" t="n">
        <v>5</v>
      </c>
      <c r="GJ383" t="n">
        <v>9</v>
      </c>
      <c r="GK383" t="n">
        <v>4</v>
      </c>
      <c r="GL383" t="n">
        <v>1</v>
      </c>
      <c r="GM383" t="n">
        <v>1</v>
      </c>
      <c r="GN383" t="n">
        <v>0</v>
      </c>
      <c r="GO383" t="n">
        <v>1</v>
      </c>
      <c r="GP383" t="n">
        <v>11</v>
      </c>
      <c r="GQ383" t="n">
        <v>3</v>
      </c>
      <c r="GR383" t="n">
        <v>5</v>
      </c>
      <c r="GS383" t="n">
        <v>3</v>
      </c>
      <c r="GT383" t="n">
        <v>3</v>
      </c>
      <c r="GU383" t="n">
        <v>15</v>
      </c>
      <c r="GV383" t="n">
        <v>1</v>
      </c>
      <c r="GW383" t="n">
        <v>18</v>
      </c>
      <c r="GX383" t="n">
        <v>19</v>
      </c>
      <c r="GY383" t="n">
        <v>3</v>
      </c>
      <c r="GZ383" t="n">
        <v>53</v>
      </c>
      <c r="HA383" t="n">
        <v>8</v>
      </c>
      <c r="HB383" t="n">
        <v>4</v>
      </c>
      <c r="HC383" t="n">
        <v>3</v>
      </c>
      <c r="HD383" t="n">
        <v>2</v>
      </c>
      <c r="HE383" t="n">
        <v>8</v>
      </c>
      <c r="HF383" t="n">
        <v>6</v>
      </c>
      <c r="HG383" t="n">
        <v>12</v>
      </c>
      <c r="HH383" t="n">
        <v>5</v>
      </c>
      <c r="HI383" t="n">
        <v>5</v>
      </c>
      <c r="HJ383" t="n">
        <v>4</v>
      </c>
      <c r="HK383" t="n">
        <v>2</v>
      </c>
      <c r="HL383" t="n">
        <v>1</v>
      </c>
      <c r="HM383" t="n">
        <v>4</v>
      </c>
      <c r="HN383" t="n">
        <v>3</v>
      </c>
      <c r="HO383" t="n">
        <v>1</v>
      </c>
      <c r="HP383" t="n">
        <v>1</v>
      </c>
      <c r="HQ383" t="n">
        <v>4</v>
      </c>
      <c r="HR383" t="n">
        <v>1</v>
      </c>
      <c r="HS383" t="n">
        <v>0</v>
      </c>
      <c r="HT383" t="n">
        <v>3</v>
      </c>
      <c r="HU383" t="n">
        <v>6</v>
      </c>
      <c r="HV383" t="n">
        <v>8</v>
      </c>
      <c r="HW383" t="n">
        <v>39</v>
      </c>
      <c r="HX383" t="n">
        <v>6</v>
      </c>
      <c r="HY383" t="n">
        <v>2</v>
      </c>
      <c r="HZ383" t="n">
        <v>3</v>
      </c>
      <c r="IA383" t="n">
        <v>1</v>
      </c>
      <c r="IB383" t="n">
        <v>67</v>
      </c>
      <c r="IC383" t="n">
        <v>1</v>
      </c>
      <c r="ID383" t="n">
        <v>53</v>
      </c>
      <c r="IE383" t="n">
        <v>8</v>
      </c>
      <c r="IF383" t="n">
        <v>2</v>
      </c>
      <c r="IG383" t="n">
        <v>2</v>
      </c>
      <c r="IH383" t="n">
        <v>1</v>
      </c>
      <c r="II383" t="n">
        <v>1</v>
      </c>
      <c r="IJ383" t="n">
        <v>1</v>
      </c>
      <c r="IK383" t="n">
        <v>8</v>
      </c>
      <c r="IL383" t="n">
        <v>38</v>
      </c>
      <c r="IM383" t="n">
        <v>20</v>
      </c>
      <c r="IN383" t="n">
        <v>3</v>
      </c>
      <c r="IO383" t="n">
        <v>3</v>
      </c>
      <c r="IP383" t="n">
        <v>3</v>
      </c>
      <c r="IQ383" t="n">
        <v>5</v>
      </c>
      <c r="IR383" t="n">
        <v>1</v>
      </c>
      <c r="IS383" t="n">
        <v>2</v>
      </c>
      <c r="IT383" t="n">
        <v>1</v>
      </c>
      <c r="IU383" t="n">
        <v>4</v>
      </c>
      <c r="IV383" t="n">
        <v>2</v>
      </c>
      <c r="IW383" t="n">
        <v>4</v>
      </c>
      <c r="IX383" t="n">
        <v>2</v>
      </c>
      <c r="IY383" t="n">
        <v>0</v>
      </c>
      <c r="IZ383" t="n">
        <v>6</v>
      </c>
      <c r="JA383" t="n">
        <v>27</v>
      </c>
      <c r="JB383" t="n">
        <v>6</v>
      </c>
      <c r="JC383" t="n">
        <v>2</v>
      </c>
      <c r="JD383" t="n">
        <v>8</v>
      </c>
      <c r="JE383" t="n">
        <v>5</v>
      </c>
      <c r="JF383" t="n">
        <v>2</v>
      </c>
      <c r="JG383" t="n">
        <v>80</v>
      </c>
      <c r="JH383" t="n">
        <v>5</v>
      </c>
      <c r="JI383" t="n">
        <v>3</v>
      </c>
      <c r="JJ383" t="n">
        <v>8</v>
      </c>
      <c r="JL383" t="n">
        <v>405</v>
      </c>
      <c r="JM383" t="n">
        <v>572</v>
      </c>
      <c r="JN383" t="n">
        <v>388</v>
      </c>
      <c r="JO383" t="n">
        <v>364</v>
      </c>
      <c r="JP383" t="n">
        <v>36</v>
      </c>
      <c r="JQ383" t="n">
        <v>272</v>
      </c>
      <c r="JR383" t="n">
        <v>12</v>
      </c>
      <c r="JS383" t="n">
        <v>422</v>
      </c>
      <c r="JT383" t="n">
        <v>8</v>
      </c>
      <c r="JV383" t="n">
        <v>174</v>
      </c>
      <c r="JW383" t="n">
        <v>86</v>
      </c>
      <c r="JX383" t="n">
        <v>85</v>
      </c>
      <c r="JY383" t="n">
        <v>44</v>
      </c>
      <c r="JZ383" t="n">
        <v>40</v>
      </c>
      <c r="KA383" t="n">
        <v>45</v>
      </c>
      <c r="KB383" t="n">
        <v>41</v>
      </c>
      <c r="KC383" t="n">
        <v>98</v>
      </c>
      <c r="KD383" t="n">
        <v>64</v>
      </c>
      <c r="KE383" t="n">
        <v>41</v>
      </c>
      <c r="KF383" t="n">
        <v>1</v>
      </c>
      <c r="KG383" t="n">
        <v>0</v>
      </c>
      <c r="KH383" t="n">
        <v>71</v>
      </c>
      <c r="KI383" t="n">
        <v>46</v>
      </c>
      <c r="KJ383" t="n">
        <v>9</v>
      </c>
      <c r="KK383" t="n">
        <v>24</v>
      </c>
      <c r="KL383" t="n">
        <v>4</v>
      </c>
      <c r="KM383" t="n">
        <v>7</v>
      </c>
      <c r="KN383" t="n">
        <v>6</v>
      </c>
      <c r="KO383" t="n">
        <v>8</v>
      </c>
      <c r="KP383" t="n">
        <v>13</v>
      </c>
      <c r="KQ383" t="n">
        <v>3</v>
      </c>
      <c r="KR383" t="n">
        <v>71</v>
      </c>
      <c r="KS383" t="n">
        <v>25</v>
      </c>
      <c r="KT383" t="n">
        <v>5</v>
      </c>
      <c r="KU383" t="n">
        <v>1</v>
      </c>
      <c r="KV383" t="n">
        <v>2</v>
      </c>
      <c r="KW383" t="n">
        <v>20</v>
      </c>
      <c r="KX383" t="n">
        <v>67</v>
      </c>
      <c r="KY383" t="n">
        <v>12</v>
      </c>
      <c r="KZ383" t="n">
        <v>231</v>
      </c>
      <c r="LA383" t="n">
        <v>21</v>
      </c>
      <c r="LB383" t="n">
        <v>0</v>
      </c>
      <c r="LC383" t="n">
        <v>529</v>
      </c>
      <c r="LD383" t="n">
        <v>2132</v>
      </c>
      <c r="LE383" t="n">
        <v>612</v>
      </c>
      <c r="LF383" t="n">
        <v>60</v>
      </c>
      <c r="LH383" t="n">
        <v>1239</v>
      </c>
      <c r="LI383" t="n">
        <v>9</v>
      </c>
      <c r="LJ383" t="n">
        <v>429</v>
      </c>
      <c r="LL383" t="n">
        <v>1</v>
      </c>
      <c r="LM383" t="n">
        <v>11680</v>
      </c>
      <c r="LN383" t="n">
        <v>148</v>
      </c>
      <c r="LO383" t="n">
        <v>174</v>
      </c>
      <c r="LP383" t="n">
        <v>32</v>
      </c>
      <c r="LQ383" t="n">
        <v>297</v>
      </c>
      <c r="LR383" t="n">
        <v>450</v>
      </c>
      <c r="LS383" t="n">
        <v>141</v>
      </c>
      <c r="LT383" t="n">
        <v>1381</v>
      </c>
      <c r="LU383" t="n">
        <v>121</v>
      </c>
      <c r="LV383" t="n">
        <v>400</v>
      </c>
      <c r="LW383" t="n">
        <v>816</v>
      </c>
      <c r="LX383" t="n">
        <v>299</v>
      </c>
      <c r="LY383" t="n">
        <v>88</v>
      </c>
      <c r="LZ383" t="n">
        <v>142</v>
      </c>
      <c r="MA383" t="n">
        <v>129</v>
      </c>
      <c r="MB383" t="n">
        <v>163</v>
      </c>
      <c r="MC383" t="n">
        <v>80</v>
      </c>
      <c r="MD383" t="n">
        <v>33</v>
      </c>
      <c r="ME383" t="n">
        <v>44</v>
      </c>
      <c r="MF383" t="n">
        <v>622</v>
      </c>
      <c r="MG383" t="n">
        <v>573</v>
      </c>
      <c r="MH383" t="n">
        <v>151</v>
      </c>
      <c r="MI383" t="n">
        <v>44</v>
      </c>
      <c r="MJ383" t="n">
        <v>33</v>
      </c>
      <c r="MK383" t="n">
        <v>99</v>
      </c>
      <c r="ML383" t="n">
        <v>86</v>
      </c>
      <c r="MM383" t="n">
        <v>61</v>
      </c>
      <c r="MN383" t="n">
        <v>150</v>
      </c>
      <c r="MO383" t="n">
        <v>91</v>
      </c>
      <c r="MP383" t="n">
        <v>31</v>
      </c>
      <c r="MQ383" t="n">
        <v>34</v>
      </c>
      <c r="MR383" t="n">
        <v>35</v>
      </c>
      <c r="MS383" t="n">
        <v>1506</v>
      </c>
      <c r="MT383" t="n">
        <v>53</v>
      </c>
      <c r="MU383" t="n">
        <v>36</v>
      </c>
      <c r="MV383" t="n">
        <v>80</v>
      </c>
      <c r="MW383" t="n">
        <v>12</v>
      </c>
      <c r="MX383" t="n">
        <v>57</v>
      </c>
      <c r="MY383" t="n">
        <v>11</v>
      </c>
      <c r="MZ383" t="n">
        <v>1489</v>
      </c>
      <c r="NA383" t="n">
        <v>109</v>
      </c>
      <c r="NB383" t="n">
        <v>13</v>
      </c>
      <c r="NC383" t="n">
        <v>85</v>
      </c>
      <c r="ND383" t="n">
        <v>15</v>
      </c>
      <c r="NE383" t="n">
        <v>50</v>
      </c>
      <c r="NF383" t="n">
        <v>4</v>
      </c>
      <c r="NG383" t="n">
        <v>4</v>
      </c>
      <c r="NH383" t="n">
        <v>2</v>
      </c>
      <c r="NI383" t="n">
        <v>14</v>
      </c>
      <c r="NJ383" t="n">
        <v>1</v>
      </c>
      <c r="NK383" t="n">
        <v>4</v>
      </c>
      <c r="NL383" t="n">
        <v>3</v>
      </c>
      <c r="NM383" t="n">
        <v>29</v>
      </c>
      <c r="NN383" t="n">
        <v>120</v>
      </c>
      <c r="NO383" t="n">
        <v>260</v>
      </c>
      <c r="NP383" t="n">
        <v>851</v>
      </c>
      <c r="NQ383" t="n">
        <v>93</v>
      </c>
      <c r="NR383" t="n">
        <v>24</v>
      </c>
      <c r="NS383" t="n">
        <v>4</v>
      </c>
      <c r="NT383" t="n">
        <v>24</v>
      </c>
      <c r="NU383" t="n">
        <v>6</v>
      </c>
      <c r="NV383" t="n">
        <v>59</v>
      </c>
      <c r="NW383" t="n">
        <v>0</v>
      </c>
      <c r="NX383" t="n">
        <v>12</v>
      </c>
      <c r="NY383" t="n">
        <v>21</v>
      </c>
      <c r="NZ383" t="n">
        <v>33</v>
      </c>
      <c r="OA383" t="n">
        <v>49</v>
      </c>
      <c r="OB383" t="n">
        <v>34</v>
      </c>
      <c r="OD383" t="n">
        <v>254</v>
      </c>
      <c r="OE383" t="n">
        <v>133</v>
      </c>
      <c r="OF383" t="n">
        <v>25</v>
      </c>
      <c r="OG383" t="n">
        <v>43</v>
      </c>
      <c r="OH383" t="n">
        <v>7</v>
      </c>
      <c r="OI383" t="n">
        <v>1265</v>
      </c>
      <c r="OJ383" t="n">
        <v>1363</v>
      </c>
      <c r="OK383" t="n">
        <v>1088</v>
      </c>
      <c r="OL383" t="n">
        <v>5</v>
      </c>
      <c r="OM383" t="n">
        <v>1</v>
      </c>
      <c r="ON383" t="n">
        <v>134</v>
      </c>
      <c r="OO383" t="n">
        <v>39130</v>
      </c>
      <c r="OP383" t="n">
        <v>344723</v>
      </c>
      <c r="OV383" t="n">
        <v>1130</v>
      </c>
      <c r="PI383" t="n">
        <v>384984</v>
      </c>
      <c r="PM383">
        <f>IFERROR(VLOOKUP($A383&amp;"",Key!$A:$C,3,FALSE),"")</f>
        <v/>
      </c>
    </row>
    <row r="384">
      <c r="A384" t="inlineStr">
        <is>
          <t>722A00</t>
        </is>
      </c>
      <c r="B384" t="inlineStr">
        <is>
          <t>All other food and drinking places</t>
        </is>
      </c>
      <c r="C384" t="n">
        <v>4</v>
      </c>
      <c r="D384" t="n">
        <v>7</v>
      </c>
      <c r="E384" t="n">
        <v>1</v>
      </c>
      <c r="F384" t="n">
        <v>1</v>
      </c>
      <c r="G384" t="n">
        <v>2</v>
      </c>
      <c r="H384" t="n">
        <v>0</v>
      </c>
      <c r="I384" t="n">
        <v>13</v>
      </c>
      <c r="J384" t="n">
        <v>0</v>
      </c>
      <c r="K384" t="n">
        <v>4</v>
      </c>
      <c r="L384" t="n">
        <v>3</v>
      </c>
      <c r="P384" t="n">
        <v>0</v>
      </c>
      <c r="V384" t="n">
        <v>1</v>
      </c>
      <c r="W384" t="n">
        <v>23</v>
      </c>
      <c r="X384" t="n">
        <v>79</v>
      </c>
      <c r="Y384" t="n">
        <v>29</v>
      </c>
      <c r="AA384" t="n">
        <v>0</v>
      </c>
      <c r="AB384" t="n">
        <v>0</v>
      </c>
      <c r="AC384" t="n">
        <v>24</v>
      </c>
      <c r="AD384" t="n">
        <v>2</v>
      </c>
      <c r="AE384" t="n">
        <v>6</v>
      </c>
      <c r="AF384" t="n">
        <v>1</v>
      </c>
      <c r="AG384" t="n">
        <v>15</v>
      </c>
      <c r="AH384" t="n">
        <v>4</v>
      </c>
      <c r="AI384" t="n">
        <v>1</v>
      </c>
      <c r="AK384" t="n">
        <v>40</v>
      </c>
      <c r="AL384" t="n">
        <v>11</v>
      </c>
      <c r="AM384" t="n">
        <v>5</v>
      </c>
      <c r="AO384" t="n">
        <v>2</v>
      </c>
      <c r="AP384" t="n">
        <v>0</v>
      </c>
      <c r="AR384" t="n">
        <v>5</v>
      </c>
      <c r="AT384" t="n">
        <v>9</v>
      </c>
      <c r="AU384" t="n">
        <v>0</v>
      </c>
      <c r="AV384" t="n">
        <v>3</v>
      </c>
      <c r="BC384" t="n">
        <v>10</v>
      </c>
      <c r="BD384" t="n">
        <v>0</v>
      </c>
      <c r="BG384" t="n">
        <v>0</v>
      </c>
      <c r="BI384" t="n">
        <v>0</v>
      </c>
      <c r="BJ384" t="n">
        <v>0</v>
      </c>
      <c r="BK384" t="n">
        <v>1</v>
      </c>
      <c r="BL384" t="n">
        <v>1</v>
      </c>
      <c r="BN384" t="n">
        <v>0</v>
      </c>
      <c r="BO384" t="n">
        <v>0</v>
      </c>
      <c r="BP384" t="n">
        <v>0</v>
      </c>
      <c r="BQ384" t="n">
        <v>8</v>
      </c>
      <c r="BR384" t="n">
        <v>5</v>
      </c>
      <c r="BT384" t="n">
        <v>0</v>
      </c>
      <c r="BV384" t="n">
        <v>0</v>
      </c>
      <c r="BW384" t="n">
        <v>0</v>
      </c>
      <c r="BX384" t="n">
        <v>7</v>
      </c>
      <c r="BY384" t="n">
        <v>5</v>
      </c>
      <c r="BZ384" t="n">
        <v>4</v>
      </c>
      <c r="CB384" t="n">
        <v>2</v>
      </c>
      <c r="CD384" t="n">
        <v>0</v>
      </c>
      <c r="CF384" t="n">
        <v>0</v>
      </c>
      <c r="CG384" t="n">
        <v>2</v>
      </c>
      <c r="CI384" t="n">
        <v>0</v>
      </c>
      <c r="CJ384" t="n">
        <v>3</v>
      </c>
      <c r="CL384" t="n">
        <v>1</v>
      </c>
      <c r="CO384" t="n">
        <v>3</v>
      </c>
      <c r="CQ384" t="n">
        <v>1</v>
      </c>
      <c r="CS384" t="n">
        <v>0</v>
      </c>
      <c r="CT384" t="n">
        <v>0</v>
      </c>
      <c r="CU384" t="n">
        <v>0</v>
      </c>
      <c r="CZ384" t="n">
        <v>4</v>
      </c>
      <c r="DA384" t="n">
        <v>0</v>
      </c>
      <c r="DB384" t="n">
        <v>0</v>
      </c>
      <c r="DC384" t="n">
        <v>0</v>
      </c>
      <c r="DG384" t="n">
        <v>2</v>
      </c>
      <c r="DH384" t="n">
        <v>0</v>
      </c>
      <c r="DM384" t="n">
        <v>0</v>
      </c>
      <c r="DO384" t="n">
        <v>0</v>
      </c>
      <c r="DR384" t="n">
        <v>2</v>
      </c>
      <c r="DS384" t="n">
        <v>0</v>
      </c>
      <c r="DU384" t="n">
        <v>0</v>
      </c>
      <c r="DW384" t="n">
        <v>0</v>
      </c>
      <c r="DX384" t="n">
        <v>0</v>
      </c>
      <c r="DZ384" t="n">
        <v>0</v>
      </c>
      <c r="EP384" t="n">
        <v>0</v>
      </c>
      <c r="EQ384" t="n">
        <v>1</v>
      </c>
      <c r="EX384" t="n">
        <v>0</v>
      </c>
      <c r="EZ384" t="n">
        <v>0</v>
      </c>
      <c r="FB384" t="n">
        <v>6</v>
      </c>
      <c r="FC384" t="n">
        <v>3</v>
      </c>
      <c r="FE384" t="n">
        <v>1</v>
      </c>
      <c r="FF384" t="n">
        <v>2</v>
      </c>
      <c r="FG384" t="n">
        <v>1</v>
      </c>
      <c r="FJ384" t="n">
        <v>1</v>
      </c>
      <c r="FK384" t="n">
        <v>2</v>
      </c>
      <c r="FP384" t="n">
        <v>3</v>
      </c>
      <c r="FS384" t="n">
        <v>0</v>
      </c>
      <c r="FV384" t="n">
        <v>1</v>
      </c>
      <c r="FW384" t="n">
        <v>1</v>
      </c>
      <c r="FX384" t="n">
        <v>2</v>
      </c>
      <c r="FY384" t="n">
        <v>10</v>
      </c>
      <c r="GC384" t="n">
        <v>0</v>
      </c>
      <c r="GD384" t="n">
        <v>2</v>
      </c>
      <c r="GG384" t="n">
        <v>1</v>
      </c>
      <c r="GH384" t="n">
        <v>3</v>
      </c>
      <c r="GJ384" t="n">
        <v>3</v>
      </c>
      <c r="GU384" t="n">
        <v>3</v>
      </c>
      <c r="GW384" t="n">
        <v>5</v>
      </c>
      <c r="GX384" t="n">
        <v>5</v>
      </c>
      <c r="GZ384" t="n">
        <v>14</v>
      </c>
      <c r="HA384" t="n">
        <v>0</v>
      </c>
      <c r="HE384" t="n">
        <v>0</v>
      </c>
      <c r="HF384" t="n">
        <v>0</v>
      </c>
      <c r="HG384" t="n">
        <v>3</v>
      </c>
      <c r="HI384" t="n">
        <v>0</v>
      </c>
      <c r="HL384" t="n">
        <v>0</v>
      </c>
      <c r="HM384" t="n">
        <v>1</v>
      </c>
      <c r="HN384" t="n">
        <v>1</v>
      </c>
      <c r="HO384" t="n">
        <v>0</v>
      </c>
      <c r="HP384" t="n">
        <v>0</v>
      </c>
      <c r="HQ384" t="n">
        <v>1</v>
      </c>
      <c r="HR384" t="n">
        <v>1</v>
      </c>
      <c r="HS384" t="n">
        <v>1</v>
      </c>
      <c r="HT384" t="n">
        <v>0</v>
      </c>
      <c r="HU384" t="n">
        <v>2</v>
      </c>
      <c r="HV384" t="n">
        <v>1</v>
      </c>
      <c r="HW384" t="n">
        <v>12</v>
      </c>
      <c r="HX384" t="n">
        <v>0</v>
      </c>
      <c r="HY384" t="n">
        <v>1</v>
      </c>
      <c r="HZ384" t="n">
        <v>0</v>
      </c>
      <c r="IA384" t="n">
        <v>0</v>
      </c>
      <c r="IB384" t="n">
        <v>34</v>
      </c>
      <c r="IC384" t="n">
        <v>1</v>
      </c>
      <c r="ID384" t="n">
        <v>24</v>
      </c>
      <c r="IE384" t="n">
        <v>3</v>
      </c>
      <c r="IF384" t="n">
        <v>0</v>
      </c>
      <c r="IG384" t="n">
        <v>1</v>
      </c>
      <c r="IK384" t="n">
        <v>2</v>
      </c>
      <c r="IL384" t="n">
        <v>12</v>
      </c>
      <c r="IM384" t="n">
        <v>5</v>
      </c>
      <c r="JA384" t="n">
        <v>3</v>
      </c>
      <c r="JD384" t="n">
        <v>39</v>
      </c>
      <c r="JE384" t="n">
        <v>0</v>
      </c>
      <c r="JG384" t="n">
        <v>22</v>
      </c>
      <c r="JH384" t="n">
        <v>0</v>
      </c>
      <c r="JJ384" t="n">
        <v>0</v>
      </c>
      <c r="JK384" t="n">
        <v>209</v>
      </c>
      <c r="JL384" t="n">
        <v>92</v>
      </c>
      <c r="JM384" t="n">
        <v>191</v>
      </c>
      <c r="JN384" t="n">
        <v>251</v>
      </c>
      <c r="JO384" t="n">
        <v>268</v>
      </c>
      <c r="JQ384" t="n">
        <v>506</v>
      </c>
      <c r="JS384" t="n">
        <v>472</v>
      </c>
      <c r="JT384" t="n">
        <v>1</v>
      </c>
      <c r="JV384" t="n">
        <v>387</v>
      </c>
      <c r="JW384" t="n">
        <v>569</v>
      </c>
      <c r="JX384" t="n">
        <v>853</v>
      </c>
      <c r="JY384" t="n">
        <v>532</v>
      </c>
      <c r="JZ384" t="n">
        <v>151</v>
      </c>
      <c r="KA384" t="n">
        <v>696</v>
      </c>
      <c r="KB384" t="n">
        <v>102</v>
      </c>
      <c r="KC384" t="n">
        <v>807</v>
      </c>
      <c r="KD384" t="n">
        <v>309</v>
      </c>
      <c r="KE384" t="n">
        <v>7193</v>
      </c>
      <c r="KF384" t="n">
        <v>0</v>
      </c>
      <c r="KH384" t="n">
        <v>615</v>
      </c>
      <c r="KI384" t="n">
        <v>0</v>
      </c>
      <c r="KJ384" t="n">
        <v>0</v>
      </c>
      <c r="KK384" t="n">
        <v>39</v>
      </c>
      <c r="KL384" t="n">
        <v>976</v>
      </c>
      <c r="KM384" t="n">
        <v>279</v>
      </c>
      <c r="KN384" t="n">
        <v>2</v>
      </c>
      <c r="KO384" t="n">
        <v>3</v>
      </c>
      <c r="KP384" t="n">
        <v>4</v>
      </c>
      <c r="KQ384" t="n">
        <v>1</v>
      </c>
      <c r="KR384" t="n">
        <v>17</v>
      </c>
      <c r="KS384" t="n">
        <v>94</v>
      </c>
      <c r="KT384" t="n">
        <v>2</v>
      </c>
      <c r="KU384" t="n">
        <v>0</v>
      </c>
      <c r="KW384" t="n">
        <v>18</v>
      </c>
      <c r="KX384" t="n">
        <v>117</v>
      </c>
      <c r="KY384" t="n">
        <v>15</v>
      </c>
      <c r="KZ384" t="n">
        <v>152</v>
      </c>
      <c r="LA384" t="n">
        <v>22</v>
      </c>
      <c r="LB384" t="n">
        <v>0</v>
      </c>
      <c r="LC384" t="n">
        <v>301</v>
      </c>
      <c r="LD384" t="n">
        <v>395</v>
      </c>
      <c r="LE384" t="n">
        <v>244</v>
      </c>
      <c r="LF384" t="n">
        <v>58</v>
      </c>
      <c r="LH384" t="n">
        <v>27</v>
      </c>
      <c r="LI384" t="n">
        <v>12</v>
      </c>
      <c r="LJ384" t="n">
        <v>31</v>
      </c>
      <c r="LL384" t="n">
        <v>3</v>
      </c>
      <c r="LM384" t="n">
        <v>1211</v>
      </c>
      <c r="LN384" t="n">
        <v>25</v>
      </c>
      <c r="LO384" t="n">
        <v>47</v>
      </c>
      <c r="LP384" t="n">
        <v>31</v>
      </c>
      <c r="LQ384" t="n">
        <v>674</v>
      </c>
      <c r="LR384" t="n">
        <v>700</v>
      </c>
      <c r="LS384" t="n">
        <v>33</v>
      </c>
      <c r="LT384" t="n">
        <v>997</v>
      </c>
      <c r="LU384" t="n">
        <v>371</v>
      </c>
      <c r="LV384" t="n">
        <v>1096</v>
      </c>
      <c r="LW384" t="n">
        <v>971</v>
      </c>
      <c r="LX384" t="n">
        <v>2162</v>
      </c>
      <c r="LY384" t="n">
        <v>199</v>
      </c>
      <c r="LZ384" t="n">
        <v>1767</v>
      </c>
      <c r="MA384" t="n">
        <v>492</v>
      </c>
      <c r="MB384" t="n">
        <v>372</v>
      </c>
      <c r="MC384" t="n">
        <v>29</v>
      </c>
      <c r="MD384" t="n">
        <v>5</v>
      </c>
      <c r="ME384" t="n">
        <v>745</v>
      </c>
      <c r="MF384" t="n">
        <v>2542</v>
      </c>
      <c r="MG384" t="n">
        <v>674</v>
      </c>
      <c r="MH384" t="n">
        <v>106</v>
      </c>
      <c r="MI384" t="n">
        <v>657</v>
      </c>
      <c r="MJ384" t="n">
        <v>156</v>
      </c>
      <c r="MK384" t="n">
        <v>509</v>
      </c>
      <c r="ML384" t="n">
        <v>925</v>
      </c>
      <c r="MM384" t="n">
        <v>233</v>
      </c>
      <c r="MN384" t="n">
        <v>1991</v>
      </c>
      <c r="MO384" t="n">
        <v>21</v>
      </c>
      <c r="MP384" t="n">
        <v>278</v>
      </c>
      <c r="MQ384" t="n">
        <v>859</v>
      </c>
      <c r="MR384" t="n">
        <v>17</v>
      </c>
      <c r="MS384" t="n">
        <v>3715</v>
      </c>
      <c r="MT384" t="n">
        <v>10</v>
      </c>
      <c r="MU384" t="n">
        <v>751</v>
      </c>
      <c r="MV384" t="n">
        <v>9891</v>
      </c>
      <c r="MW384" t="n">
        <v>1</v>
      </c>
      <c r="MX384" t="n">
        <v>18</v>
      </c>
      <c r="MY384" t="n">
        <v>2</v>
      </c>
      <c r="MZ384" t="n">
        <v>2942</v>
      </c>
      <c r="NA384" t="n">
        <v>5731</v>
      </c>
      <c r="NB384" t="n">
        <v>585</v>
      </c>
      <c r="NC384" t="n">
        <v>21</v>
      </c>
      <c r="ND384" t="n">
        <v>205</v>
      </c>
      <c r="NE384" t="n">
        <v>13</v>
      </c>
      <c r="NG384" t="n">
        <v>133</v>
      </c>
      <c r="NI384" t="n">
        <v>215</v>
      </c>
      <c r="NK384" t="n">
        <v>118</v>
      </c>
      <c r="NL384" t="n">
        <v>746</v>
      </c>
      <c r="NM384" t="n">
        <v>174</v>
      </c>
      <c r="NN384" t="n">
        <v>7556</v>
      </c>
      <c r="NO384" t="n">
        <v>756</v>
      </c>
      <c r="NP384" t="n">
        <v>1279</v>
      </c>
      <c r="NQ384" t="n">
        <v>371</v>
      </c>
      <c r="NR384" t="n">
        <v>37</v>
      </c>
      <c r="NT384" t="n">
        <v>72</v>
      </c>
      <c r="NV384" t="n">
        <v>606</v>
      </c>
      <c r="NW384" t="n">
        <v>0</v>
      </c>
      <c r="NX384" t="n">
        <v>0</v>
      </c>
      <c r="NY384" t="n">
        <v>183</v>
      </c>
      <c r="NZ384" t="n">
        <v>216</v>
      </c>
      <c r="OA384" t="n">
        <v>37</v>
      </c>
      <c r="OB384" t="n">
        <v>102</v>
      </c>
      <c r="OD384" t="n">
        <v>37</v>
      </c>
      <c r="OE384" t="n">
        <v>38</v>
      </c>
      <c r="OF384" t="n">
        <v>5</v>
      </c>
      <c r="OG384" t="n">
        <v>81</v>
      </c>
      <c r="OH384" t="n">
        <v>20</v>
      </c>
      <c r="OI384" t="n">
        <v>1888</v>
      </c>
      <c r="OJ384" t="n">
        <v>1420</v>
      </c>
      <c r="OK384" t="n">
        <v>1068</v>
      </c>
      <c r="OL384" t="n">
        <v>0</v>
      </c>
      <c r="ON384" t="n">
        <v>139</v>
      </c>
      <c r="OO384" t="n">
        <v>79708</v>
      </c>
      <c r="OP384" t="n">
        <v>107894</v>
      </c>
      <c r="OV384" t="n">
        <v>400</v>
      </c>
      <c r="PI384" t="n">
        <v>188002</v>
      </c>
      <c r="PM384">
        <f>IFERROR(VLOOKUP($A384&amp;"",Key!$A:$C,3,FALSE),"")</f>
        <v/>
      </c>
    </row>
    <row r="385">
      <c r="A385" t="n">
        <v>811100</v>
      </c>
      <c r="B385" t="inlineStr">
        <is>
          <t>Automotive repair and maintenance (including car washes)</t>
        </is>
      </c>
      <c r="C385" t="n">
        <v>11</v>
      </c>
      <c r="D385" t="n">
        <v>25</v>
      </c>
      <c r="E385" t="n">
        <v>3</v>
      </c>
      <c r="F385" t="n">
        <v>3</v>
      </c>
      <c r="H385" t="n">
        <v>8</v>
      </c>
      <c r="I385" t="n">
        <v>20</v>
      </c>
      <c r="K385" t="n">
        <v>3</v>
      </c>
      <c r="L385" t="n">
        <v>7</v>
      </c>
      <c r="M385" t="n">
        <v>5</v>
      </c>
      <c r="P385" t="n">
        <v>2</v>
      </c>
      <c r="Q385" t="n">
        <v>8</v>
      </c>
      <c r="R385" t="n">
        <v>2</v>
      </c>
      <c r="S385" t="n">
        <v>3</v>
      </c>
      <c r="T385" t="n">
        <v>3</v>
      </c>
      <c r="U385" t="n">
        <v>6</v>
      </c>
      <c r="V385" t="n">
        <v>27</v>
      </c>
      <c r="W385" t="n">
        <v>30</v>
      </c>
      <c r="X385" t="n">
        <v>68</v>
      </c>
      <c r="Y385" t="n">
        <v>14</v>
      </c>
      <c r="Z385" t="n">
        <v>0</v>
      </c>
      <c r="AA385" t="n">
        <v>10</v>
      </c>
      <c r="AB385" t="n">
        <v>3</v>
      </c>
      <c r="AC385" t="n">
        <v>151</v>
      </c>
      <c r="AD385" t="n">
        <v>33</v>
      </c>
      <c r="AE385" t="n">
        <v>57</v>
      </c>
      <c r="AF385" t="n">
        <v>22</v>
      </c>
      <c r="AG385" t="n">
        <v>95</v>
      </c>
      <c r="AH385" t="n">
        <v>29</v>
      </c>
      <c r="AI385" t="n">
        <v>54</v>
      </c>
      <c r="AJ385" t="n">
        <v>77</v>
      </c>
      <c r="AK385" t="n">
        <v>67</v>
      </c>
      <c r="AL385" t="n">
        <v>154</v>
      </c>
      <c r="AM385" t="n">
        <v>33</v>
      </c>
      <c r="AN385" t="n">
        <v>18</v>
      </c>
      <c r="AO385" t="n">
        <v>13</v>
      </c>
      <c r="AP385" t="n">
        <v>12</v>
      </c>
      <c r="AQ385" t="n">
        <v>15</v>
      </c>
      <c r="AR385" t="n">
        <v>45</v>
      </c>
      <c r="AS385" t="n">
        <v>22</v>
      </c>
      <c r="AT385" t="n">
        <v>49</v>
      </c>
      <c r="AU385" t="n">
        <v>11</v>
      </c>
      <c r="AV385" t="n">
        <v>15</v>
      </c>
      <c r="AW385" t="n">
        <v>10</v>
      </c>
      <c r="AX385" t="n">
        <v>3</v>
      </c>
      <c r="AY385" t="n">
        <v>5</v>
      </c>
      <c r="AZ385" t="n">
        <v>7</v>
      </c>
      <c r="BA385" t="n">
        <v>10</v>
      </c>
      <c r="BB385" t="n">
        <v>8</v>
      </c>
      <c r="BC385" t="n">
        <v>92</v>
      </c>
      <c r="BD385" t="n">
        <v>23</v>
      </c>
      <c r="BE385" t="n">
        <v>7</v>
      </c>
      <c r="BF385" t="n">
        <v>3</v>
      </c>
      <c r="BG385" t="n">
        <v>21</v>
      </c>
      <c r="BH385" t="n">
        <v>8</v>
      </c>
      <c r="BI385" t="n">
        <v>8</v>
      </c>
      <c r="BJ385" t="n">
        <v>11</v>
      </c>
      <c r="BK385" t="n">
        <v>26</v>
      </c>
      <c r="BL385" t="n">
        <v>20</v>
      </c>
      <c r="BM385" t="n">
        <v>11</v>
      </c>
      <c r="BN385" t="n">
        <v>20</v>
      </c>
      <c r="BO385" t="n">
        <v>11</v>
      </c>
      <c r="BP385" t="n">
        <v>10</v>
      </c>
      <c r="BQ385" t="n">
        <v>33</v>
      </c>
      <c r="BR385" t="n">
        <v>25</v>
      </c>
      <c r="BS385" t="n">
        <v>4</v>
      </c>
      <c r="BT385" t="n">
        <v>5</v>
      </c>
      <c r="BU385" t="n">
        <v>7</v>
      </c>
      <c r="BV385" t="n">
        <v>5</v>
      </c>
      <c r="BW385" t="n">
        <v>10</v>
      </c>
      <c r="BX385" t="n">
        <v>41</v>
      </c>
      <c r="BY385" t="n">
        <v>41</v>
      </c>
      <c r="BZ385" t="n">
        <v>34</v>
      </c>
      <c r="CA385" t="n">
        <v>3</v>
      </c>
      <c r="CB385" t="n">
        <v>18</v>
      </c>
      <c r="CC385" t="n">
        <v>8</v>
      </c>
      <c r="CD385" t="n">
        <v>4</v>
      </c>
      <c r="CE385" t="n">
        <v>7</v>
      </c>
      <c r="CF385" t="n">
        <v>10</v>
      </c>
      <c r="CG385" t="n">
        <v>13</v>
      </c>
      <c r="CH385" t="n">
        <v>2</v>
      </c>
      <c r="CI385" t="n">
        <v>19</v>
      </c>
      <c r="CJ385" t="n">
        <v>14</v>
      </c>
      <c r="CK385" t="n">
        <v>2</v>
      </c>
      <c r="CL385" t="n">
        <v>17</v>
      </c>
      <c r="CM385" t="n">
        <v>3</v>
      </c>
      <c r="CN385" t="n">
        <v>1</v>
      </c>
      <c r="CO385" t="n">
        <v>13</v>
      </c>
      <c r="CP385" t="n">
        <v>2</v>
      </c>
      <c r="CQ385" t="n">
        <v>13</v>
      </c>
      <c r="CR385" t="n">
        <v>3</v>
      </c>
      <c r="CS385" t="n">
        <v>8</v>
      </c>
      <c r="CT385" t="n">
        <v>7</v>
      </c>
      <c r="CU385" t="n">
        <v>4</v>
      </c>
      <c r="CV385" t="n">
        <v>9</v>
      </c>
      <c r="CW385" t="n">
        <v>8</v>
      </c>
      <c r="CX385" t="n">
        <v>3</v>
      </c>
      <c r="CY385" t="n">
        <v>6</v>
      </c>
      <c r="CZ385" t="n">
        <v>15</v>
      </c>
      <c r="DA385" t="n">
        <v>2</v>
      </c>
      <c r="DB385" t="n">
        <v>13</v>
      </c>
      <c r="DC385" t="n">
        <v>13</v>
      </c>
      <c r="DD385" t="n">
        <v>2</v>
      </c>
      <c r="DE385" t="n">
        <v>2</v>
      </c>
      <c r="DF385" t="n">
        <v>1</v>
      </c>
      <c r="DG385" t="n">
        <v>13</v>
      </c>
      <c r="DH385" t="n">
        <v>9</v>
      </c>
      <c r="DI385" t="n">
        <v>0</v>
      </c>
      <c r="DJ385" t="n">
        <v>0</v>
      </c>
      <c r="DK385" t="n">
        <v>1</v>
      </c>
      <c r="DL385" t="n">
        <v>0</v>
      </c>
      <c r="DM385" t="n">
        <v>4</v>
      </c>
      <c r="DN385" t="n">
        <v>0</v>
      </c>
      <c r="DO385" t="n">
        <v>58</v>
      </c>
      <c r="DP385" t="n">
        <v>4</v>
      </c>
      <c r="DQ385" t="n">
        <v>12</v>
      </c>
      <c r="DR385" t="n">
        <v>10</v>
      </c>
      <c r="DS385" t="n">
        <v>13</v>
      </c>
      <c r="DT385" t="n">
        <v>0</v>
      </c>
      <c r="DU385" t="n">
        <v>1</v>
      </c>
      <c r="DV385" t="n">
        <v>15</v>
      </c>
      <c r="DW385" t="n">
        <v>1</v>
      </c>
      <c r="DX385" t="n">
        <v>4</v>
      </c>
      <c r="DY385" t="n">
        <v>1</v>
      </c>
      <c r="DZ385" t="n">
        <v>3</v>
      </c>
      <c r="EA385" t="n">
        <v>0</v>
      </c>
      <c r="EB385" t="n">
        <v>0</v>
      </c>
      <c r="EC385" t="n">
        <v>0</v>
      </c>
      <c r="ED385" t="n">
        <v>3</v>
      </c>
      <c r="EE385" t="n">
        <v>0</v>
      </c>
      <c r="EF385" t="n">
        <v>5</v>
      </c>
      <c r="EG385" t="n">
        <v>2</v>
      </c>
      <c r="EH385" t="n">
        <v>2</v>
      </c>
      <c r="EI385" t="n">
        <v>4</v>
      </c>
      <c r="EJ385" t="n">
        <v>2</v>
      </c>
      <c r="EK385" t="n">
        <v>4</v>
      </c>
      <c r="EL385" t="n">
        <v>0</v>
      </c>
      <c r="EM385" t="n">
        <v>3</v>
      </c>
      <c r="EN385" t="n">
        <v>5</v>
      </c>
      <c r="EO385" t="n">
        <v>1</v>
      </c>
      <c r="EP385" t="n">
        <v>2</v>
      </c>
      <c r="EQ385" t="n">
        <v>3</v>
      </c>
      <c r="ER385" t="n">
        <v>31</v>
      </c>
      <c r="ES385" t="n">
        <v>2</v>
      </c>
      <c r="ET385" t="n">
        <v>5</v>
      </c>
      <c r="EU385" t="n">
        <v>3</v>
      </c>
      <c r="EW385" t="n">
        <v>3</v>
      </c>
      <c r="EX385" t="n">
        <v>24</v>
      </c>
      <c r="EY385" t="n">
        <v>8</v>
      </c>
      <c r="EZ385" t="n">
        <v>19</v>
      </c>
      <c r="FA385" t="n">
        <v>20</v>
      </c>
      <c r="FB385" t="n">
        <v>27</v>
      </c>
      <c r="FC385" t="n">
        <v>24</v>
      </c>
      <c r="FD385" t="n">
        <v>18</v>
      </c>
      <c r="FE385" t="n">
        <v>15</v>
      </c>
      <c r="FF385" t="n">
        <v>50</v>
      </c>
      <c r="FG385" t="n">
        <v>11</v>
      </c>
      <c r="FH385" t="n">
        <v>5</v>
      </c>
      <c r="FI385" t="n">
        <v>8</v>
      </c>
      <c r="FJ385" t="n">
        <v>6</v>
      </c>
      <c r="FK385" t="n">
        <v>22</v>
      </c>
      <c r="FL385" t="n">
        <v>2</v>
      </c>
      <c r="FM385" t="n">
        <v>3</v>
      </c>
      <c r="FN385" t="n">
        <v>1</v>
      </c>
      <c r="FO385" t="n">
        <v>1</v>
      </c>
      <c r="FP385" t="n">
        <v>7</v>
      </c>
      <c r="FQ385" t="n">
        <v>4</v>
      </c>
      <c r="FR385" t="n">
        <v>1</v>
      </c>
      <c r="FS385" t="n">
        <v>2</v>
      </c>
      <c r="FT385" t="n">
        <v>2</v>
      </c>
      <c r="FU385" t="n">
        <v>4</v>
      </c>
      <c r="FV385" t="n">
        <v>8</v>
      </c>
      <c r="FW385" t="n">
        <v>3</v>
      </c>
      <c r="FX385" t="n">
        <v>20</v>
      </c>
      <c r="FY385" t="n">
        <v>13</v>
      </c>
      <c r="FZ385" t="n">
        <v>3</v>
      </c>
      <c r="GA385" t="n">
        <v>3</v>
      </c>
      <c r="GB385" t="n">
        <v>3</v>
      </c>
      <c r="GC385" t="n">
        <v>3</v>
      </c>
      <c r="GD385" t="n">
        <v>4</v>
      </c>
      <c r="GE385" t="n">
        <v>0</v>
      </c>
      <c r="GF385" t="n">
        <v>2</v>
      </c>
      <c r="GG385" t="n">
        <v>7</v>
      </c>
      <c r="GH385" t="n">
        <v>13</v>
      </c>
      <c r="GI385" t="n">
        <v>11</v>
      </c>
      <c r="GJ385" t="n">
        <v>12</v>
      </c>
      <c r="GK385" t="n">
        <v>7</v>
      </c>
      <c r="GL385" t="n">
        <v>5</v>
      </c>
      <c r="GM385" t="n">
        <v>1</v>
      </c>
      <c r="GN385" t="n">
        <v>3</v>
      </c>
      <c r="GO385" t="n">
        <v>3</v>
      </c>
      <c r="GP385" t="n">
        <v>21</v>
      </c>
      <c r="GQ385" t="n">
        <v>15</v>
      </c>
      <c r="GR385" t="n">
        <v>17</v>
      </c>
      <c r="GS385" t="n">
        <v>13</v>
      </c>
      <c r="GT385" t="n">
        <v>12</v>
      </c>
      <c r="GU385" t="n">
        <v>25</v>
      </c>
      <c r="GV385" t="n">
        <v>8</v>
      </c>
      <c r="GW385" t="n">
        <v>25</v>
      </c>
      <c r="GX385" t="n">
        <v>60</v>
      </c>
      <c r="GY385" t="n">
        <v>8</v>
      </c>
      <c r="GZ385" t="n">
        <v>30</v>
      </c>
      <c r="HA385" t="n">
        <v>13</v>
      </c>
      <c r="HB385" t="n">
        <v>20</v>
      </c>
      <c r="HC385" t="n">
        <v>3</v>
      </c>
      <c r="HD385" t="n">
        <v>3</v>
      </c>
      <c r="HE385" t="n">
        <v>10</v>
      </c>
      <c r="HF385" t="n">
        <v>16</v>
      </c>
      <c r="HG385" t="n">
        <v>22</v>
      </c>
      <c r="HH385" t="n">
        <v>7</v>
      </c>
      <c r="HI385" t="n">
        <v>6</v>
      </c>
      <c r="HJ385" t="n">
        <v>3</v>
      </c>
      <c r="HK385" t="n">
        <v>17</v>
      </c>
      <c r="HL385" t="n">
        <v>2</v>
      </c>
      <c r="HM385" t="n">
        <v>8</v>
      </c>
      <c r="HN385" t="n">
        <v>4</v>
      </c>
      <c r="HO385" t="n">
        <v>2</v>
      </c>
      <c r="HP385" t="n">
        <v>1</v>
      </c>
      <c r="HQ385" t="n">
        <v>3</v>
      </c>
      <c r="HR385" t="n">
        <v>0</v>
      </c>
      <c r="HS385" t="n">
        <v>0</v>
      </c>
      <c r="HT385" t="n">
        <v>19</v>
      </c>
      <c r="HU385" t="n">
        <v>36</v>
      </c>
      <c r="HV385" t="n">
        <v>69</v>
      </c>
      <c r="HW385" t="n">
        <v>75</v>
      </c>
      <c r="HX385" t="n">
        <v>14</v>
      </c>
      <c r="HY385" t="n">
        <v>3</v>
      </c>
      <c r="HZ385" t="n">
        <v>7</v>
      </c>
      <c r="IA385" t="n">
        <v>3</v>
      </c>
      <c r="IB385" t="n">
        <v>71</v>
      </c>
      <c r="IC385" t="n">
        <v>2</v>
      </c>
      <c r="ID385" t="n">
        <v>85</v>
      </c>
      <c r="IE385" t="n">
        <v>17</v>
      </c>
      <c r="IF385" t="n">
        <v>8</v>
      </c>
      <c r="IG385" t="n">
        <v>20</v>
      </c>
      <c r="IH385" t="n">
        <v>30</v>
      </c>
      <c r="II385" t="n">
        <v>17</v>
      </c>
      <c r="IJ385" t="n">
        <v>7</v>
      </c>
      <c r="IK385" t="n">
        <v>47</v>
      </c>
      <c r="IL385" t="n">
        <v>114</v>
      </c>
      <c r="IM385" t="n">
        <v>83</v>
      </c>
      <c r="IN385" t="n">
        <v>10</v>
      </c>
      <c r="IO385" t="n">
        <v>7</v>
      </c>
      <c r="IP385" t="n">
        <v>35</v>
      </c>
      <c r="IQ385" t="n">
        <v>3</v>
      </c>
      <c r="IR385" t="n">
        <v>19</v>
      </c>
      <c r="IS385" t="n">
        <v>19</v>
      </c>
      <c r="IT385" t="n">
        <v>6</v>
      </c>
      <c r="IU385" t="n">
        <v>7</v>
      </c>
      <c r="IV385" t="n">
        <v>5</v>
      </c>
      <c r="IW385" t="n">
        <v>17</v>
      </c>
      <c r="IX385" t="n">
        <v>9</v>
      </c>
      <c r="IY385" t="n">
        <v>1</v>
      </c>
      <c r="IZ385" t="n">
        <v>28</v>
      </c>
      <c r="JA385" t="n">
        <v>28</v>
      </c>
      <c r="JB385" t="n">
        <v>16</v>
      </c>
      <c r="JC385" t="n">
        <v>2</v>
      </c>
      <c r="JD385" t="n">
        <v>7</v>
      </c>
      <c r="JE385" t="n">
        <v>5</v>
      </c>
      <c r="JF385" t="n">
        <v>11</v>
      </c>
      <c r="JG385" t="n">
        <v>73</v>
      </c>
      <c r="JH385" t="n">
        <v>16</v>
      </c>
      <c r="JI385" t="n">
        <v>3</v>
      </c>
      <c r="JJ385" t="n">
        <v>10</v>
      </c>
      <c r="JK385" t="n">
        <v>151</v>
      </c>
      <c r="JL385" t="n">
        <v>30</v>
      </c>
      <c r="JM385" t="n">
        <v>143</v>
      </c>
      <c r="JN385" t="n">
        <v>245</v>
      </c>
      <c r="JO385" t="n">
        <v>458</v>
      </c>
      <c r="JP385" t="n">
        <v>73</v>
      </c>
      <c r="JQ385" t="n">
        <v>424</v>
      </c>
      <c r="JR385" t="n">
        <v>137</v>
      </c>
      <c r="JS385" t="n">
        <v>805</v>
      </c>
      <c r="JT385" t="n">
        <v>66</v>
      </c>
      <c r="JV385" t="n">
        <v>211</v>
      </c>
      <c r="JW385" t="n">
        <v>333</v>
      </c>
      <c r="JX385" t="n">
        <v>337</v>
      </c>
      <c r="JY385" t="n">
        <v>185</v>
      </c>
      <c r="JZ385" t="n">
        <v>74</v>
      </c>
      <c r="KA385" t="n">
        <v>278</v>
      </c>
      <c r="KB385" t="n">
        <v>41</v>
      </c>
      <c r="KC385" t="n">
        <v>141</v>
      </c>
      <c r="KD385" t="n">
        <v>92</v>
      </c>
      <c r="KF385" t="n">
        <v>7</v>
      </c>
      <c r="KH385" t="n">
        <v>4538</v>
      </c>
      <c r="KI385" t="n">
        <v>537</v>
      </c>
      <c r="KJ385" t="n">
        <v>98</v>
      </c>
      <c r="KK385" t="n">
        <v>431</v>
      </c>
      <c r="KL385" t="n">
        <v>0</v>
      </c>
      <c r="KM385" t="n">
        <v>145</v>
      </c>
      <c r="KN385" t="n">
        <v>14</v>
      </c>
      <c r="KO385" t="n">
        <v>12</v>
      </c>
      <c r="KP385" t="n">
        <v>13</v>
      </c>
      <c r="KQ385" t="n">
        <v>3</v>
      </c>
      <c r="KR385" t="n">
        <v>195</v>
      </c>
      <c r="KS385" t="n">
        <v>44</v>
      </c>
      <c r="KT385" t="n">
        <v>1</v>
      </c>
      <c r="KU385" t="n">
        <v>14</v>
      </c>
      <c r="KV385" t="n">
        <v>19</v>
      </c>
      <c r="KW385" t="n">
        <v>323</v>
      </c>
      <c r="KX385" t="n">
        <v>26</v>
      </c>
      <c r="KY385" t="n">
        <v>40</v>
      </c>
      <c r="KZ385" t="n">
        <v>195</v>
      </c>
      <c r="LA385" t="n">
        <v>173</v>
      </c>
      <c r="LB385" t="n">
        <v>0</v>
      </c>
      <c r="LC385" t="n">
        <v>114</v>
      </c>
      <c r="LD385" t="n">
        <v>630</v>
      </c>
      <c r="LE385" t="n">
        <v>258</v>
      </c>
      <c r="LF385" t="n">
        <v>56</v>
      </c>
      <c r="LG385" t="n">
        <v>3</v>
      </c>
      <c r="LH385" t="n">
        <v>569</v>
      </c>
      <c r="LI385" t="n">
        <v>6</v>
      </c>
      <c r="LJ385" t="n">
        <v>23</v>
      </c>
      <c r="LL385" t="n">
        <v>0</v>
      </c>
      <c r="LM385" t="n">
        <v>1633</v>
      </c>
      <c r="LN385" t="n">
        <v>890</v>
      </c>
      <c r="LO385" t="n">
        <v>409</v>
      </c>
      <c r="LP385" t="n">
        <v>35</v>
      </c>
      <c r="LQ385" t="n">
        <v>29</v>
      </c>
      <c r="LR385" t="n">
        <v>125</v>
      </c>
      <c r="LS385" t="n">
        <v>62</v>
      </c>
      <c r="LT385" t="n">
        <v>79</v>
      </c>
      <c r="LU385" t="n">
        <v>24</v>
      </c>
      <c r="LV385" t="n">
        <v>52</v>
      </c>
      <c r="LW385" t="n">
        <v>170</v>
      </c>
      <c r="LX385" t="n">
        <v>32</v>
      </c>
      <c r="LY385" t="n">
        <v>39</v>
      </c>
      <c r="LZ385" t="n">
        <v>72</v>
      </c>
      <c r="MA385" t="n">
        <v>54</v>
      </c>
      <c r="MB385" t="n">
        <v>9</v>
      </c>
      <c r="MC385" t="n">
        <v>5</v>
      </c>
      <c r="MD385" t="n">
        <v>13</v>
      </c>
      <c r="ME385" t="n">
        <v>51</v>
      </c>
      <c r="MF385" t="n">
        <v>954</v>
      </c>
      <c r="MG385" t="n">
        <v>63</v>
      </c>
      <c r="MH385" t="n">
        <v>976</v>
      </c>
      <c r="MI385" t="n">
        <v>118</v>
      </c>
      <c r="MJ385" t="n">
        <v>46</v>
      </c>
      <c r="MK385" t="n">
        <v>63</v>
      </c>
      <c r="ML385" t="n">
        <v>44</v>
      </c>
      <c r="MM385" t="n">
        <v>60</v>
      </c>
      <c r="MN385" t="n">
        <v>48</v>
      </c>
      <c r="MO385" t="n">
        <v>706</v>
      </c>
      <c r="MP385" t="n">
        <v>1</v>
      </c>
      <c r="MQ385" t="n">
        <v>58</v>
      </c>
      <c r="MR385" t="n">
        <v>61</v>
      </c>
      <c r="MS385" t="n">
        <v>268</v>
      </c>
      <c r="MT385" t="n">
        <v>29</v>
      </c>
      <c r="MU385" t="n">
        <v>30</v>
      </c>
      <c r="MV385" t="n">
        <v>117</v>
      </c>
      <c r="MW385" t="n">
        <v>110</v>
      </c>
      <c r="MX385" t="n">
        <v>22</v>
      </c>
      <c r="MY385" t="n">
        <v>68</v>
      </c>
      <c r="MZ385" t="n">
        <v>1351</v>
      </c>
      <c r="NA385" t="n">
        <v>88</v>
      </c>
      <c r="NB385" t="n">
        <v>23</v>
      </c>
      <c r="NC385" t="n">
        <v>22</v>
      </c>
      <c r="ND385" t="n">
        <v>19</v>
      </c>
      <c r="NE385" t="n">
        <v>15</v>
      </c>
      <c r="NF385" t="n">
        <v>10</v>
      </c>
      <c r="NG385" t="n">
        <v>8</v>
      </c>
      <c r="NH385" t="n">
        <v>4</v>
      </c>
      <c r="NI385" t="n">
        <v>15</v>
      </c>
      <c r="NJ385" t="n">
        <v>11</v>
      </c>
      <c r="NK385" t="n">
        <v>20</v>
      </c>
      <c r="NL385" t="n">
        <v>16</v>
      </c>
      <c r="NM385" t="n">
        <v>84</v>
      </c>
      <c r="NN385" t="n">
        <v>337</v>
      </c>
      <c r="NO385" t="n">
        <v>461</v>
      </c>
      <c r="NP385" t="n">
        <v>593</v>
      </c>
      <c r="NQ385" t="n">
        <v>83</v>
      </c>
      <c r="NR385" t="n">
        <v>115</v>
      </c>
      <c r="NS385" t="n">
        <v>21</v>
      </c>
      <c r="NT385" t="n">
        <v>51</v>
      </c>
      <c r="NU385" t="n">
        <v>19</v>
      </c>
      <c r="NV385" t="n">
        <v>46</v>
      </c>
      <c r="NW385" t="n">
        <v>3</v>
      </c>
      <c r="NX385" t="n">
        <v>19</v>
      </c>
      <c r="NY385" t="n">
        <v>64</v>
      </c>
      <c r="OA385" t="n">
        <v>12</v>
      </c>
      <c r="OB385" t="n">
        <v>45</v>
      </c>
      <c r="OD385" t="n">
        <v>0</v>
      </c>
      <c r="OE385" t="n">
        <v>52</v>
      </c>
      <c r="OF385" t="n">
        <v>5</v>
      </c>
      <c r="OI385" t="n">
        <v>827</v>
      </c>
      <c r="OJ385" t="n">
        <v>29</v>
      </c>
      <c r="OK385" t="n">
        <v>448</v>
      </c>
      <c r="OL385" t="n">
        <v>11</v>
      </c>
      <c r="ON385" t="n">
        <v>13</v>
      </c>
      <c r="OO385" t="n">
        <v>29356</v>
      </c>
      <c r="OP385" t="n">
        <v>164881</v>
      </c>
      <c r="OV385" t="n">
        <v>49</v>
      </c>
      <c r="PI385" t="n">
        <v>194285</v>
      </c>
      <c r="PM385">
        <f>IFERROR(VLOOKUP($A385&amp;"",Key!$A:$C,3,FALSE),"")</f>
        <v/>
      </c>
    </row>
    <row r="386">
      <c r="A386" t="n">
        <v>811200</v>
      </c>
      <c r="B386" t="inlineStr">
        <is>
          <t>Electronic and precision equipment repair and maintenance</t>
        </is>
      </c>
      <c r="C386" t="n">
        <v>17</v>
      </c>
      <c r="D386" t="n">
        <v>39</v>
      </c>
      <c r="E386" t="n">
        <v>5</v>
      </c>
      <c r="F386" t="n">
        <v>4</v>
      </c>
      <c r="G386" t="n">
        <v>4</v>
      </c>
      <c r="H386" t="n">
        <v>12</v>
      </c>
      <c r="I386" t="n">
        <v>33</v>
      </c>
      <c r="K386" t="n">
        <v>5</v>
      </c>
      <c r="L386" t="n">
        <v>12</v>
      </c>
      <c r="M386" t="n">
        <v>5</v>
      </c>
      <c r="P386" t="n">
        <v>9</v>
      </c>
      <c r="Q386" t="n">
        <v>7</v>
      </c>
      <c r="R386" t="n">
        <v>3</v>
      </c>
      <c r="S386" t="n">
        <v>4</v>
      </c>
      <c r="T386" t="n">
        <v>6</v>
      </c>
      <c r="U386" t="n">
        <v>12</v>
      </c>
      <c r="V386" t="n">
        <v>100</v>
      </c>
      <c r="W386" t="n">
        <v>180</v>
      </c>
      <c r="X386" t="n">
        <v>131</v>
      </c>
      <c r="Y386" t="n">
        <v>169</v>
      </c>
      <c r="Z386" t="n">
        <v>108</v>
      </c>
      <c r="AA386" t="n">
        <v>7</v>
      </c>
      <c r="AB386" t="n">
        <v>4</v>
      </c>
      <c r="AC386" t="n">
        <v>176</v>
      </c>
      <c r="AD386" t="n">
        <v>36</v>
      </c>
      <c r="AE386" t="n">
        <v>57</v>
      </c>
      <c r="AF386" t="n">
        <v>26</v>
      </c>
      <c r="AG386" t="n">
        <v>132</v>
      </c>
      <c r="AH386" t="n">
        <v>28</v>
      </c>
      <c r="AI386" t="n">
        <v>74</v>
      </c>
      <c r="AJ386" t="n">
        <v>87</v>
      </c>
      <c r="AK386" t="n">
        <v>83</v>
      </c>
      <c r="AL386" t="n">
        <v>190</v>
      </c>
      <c r="AM386" t="n">
        <v>20</v>
      </c>
      <c r="AN386" t="n">
        <v>11</v>
      </c>
      <c r="AO386" t="n">
        <v>14</v>
      </c>
      <c r="AP386" t="n">
        <v>15</v>
      </c>
      <c r="AQ386" t="n">
        <v>8</v>
      </c>
      <c r="AR386" t="n">
        <v>26</v>
      </c>
      <c r="AS386" t="n">
        <v>9</v>
      </c>
      <c r="AT386" t="n">
        <v>35</v>
      </c>
      <c r="AU386" t="n">
        <v>5</v>
      </c>
      <c r="AV386" t="n">
        <v>13</v>
      </c>
      <c r="AW386" t="n">
        <v>3</v>
      </c>
      <c r="AX386" t="n">
        <v>1</v>
      </c>
      <c r="AY386" t="n">
        <v>3</v>
      </c>
      <c r="AZ386" t="n">
        <v>3</v>
      </c>
      <c r="BA386" t="n">
        <v>4</v>
      </c>
      <c r="BB386" t="n">
        <v>3</v>
      </c>
      <c r="BC386" t="n">
        <v>57</v>
      </c>
      <c r="BD386" t="n">
        <v>10</v>
      </c>
      <c r="BE386" t="n">
        <v>2</v>
      </c>
      <c r="BF386" t="n">
        <v>1</v>
      </c>
      <c r="BG386" t="n">
        <v>9</v>
      </c>
      <c r="BH386" t="n">
        <v>3</v>
      </c>
      <c r="BI386" t="n">
        <v>4</v>
      </c>
      <c r="BJ386" t="n">
        <v>4</v>
      </c>
      <c r="BK386" t="n">
        <v>23</v>
      </c>
      <c r="BL386" t="n">
        <v>9</v>
      </c>
      <c r="BM386" t="n">
        <v>7</v>
      </c>
      <c r="BN386" t="n">
        <v>14</v>
      </c>
      <c r="BO386" t="n">
        <v>13</v>
      </c>
      <c r="BP386" t="n">
        <v>11</v>
      </c>
      <c r="BQ386" t="n">
        <v>32</v>
      </c>
      <c r="BR386" t="n">
        <v>30</v>
      </c>
      <c r="BS386" t="n">
        <v>4</v>
      </c>
      <c r="BT386" t="n">
        <v>4</v>
      </c>
      <c r="BU386" t="n">
        <v>6</v>
      </c>
      <c r="BV386" t="n">
        <v>10</v>
      </c>
      <c r="BW386" t="n">
        <v>9</v>
      </c>
      <c r="BX386" t="n">
        <v>36</v>
      </c>
      <c r="BY386" t="n">
        <v>32</v>
      </c>
      <c r="BZ386" t="n">
        <v>27</v>
      </c>
      <c r="CA386" t="n">
        <v>10</v>
      </c>
      <c r="CB386" t="n">
        <v>17</v>
      </c>
      <c r="CC386" t="n">
        <v>6</v>
      </c>
      <c r="CD386" t="n">
        <v>3</v>
      </c>
      <c r="CE386" t="n">
        <v>5</v>
      </c>
      <c r="CF386" t="n">
        <v>12</v>
      </c>
      <c r="CG386" t="n">
        <v>10</v>
      </c>
      <c r="CH386" t="n">
        <v>1</v>
      </c>
      <c r="CI386" t="n">
        <v>12</v>
      </c>
      <c r="CJ386" t="n">
        <v>11</v>
      </c>
      <c r="CK386" t="n">
        <v>3</v>
      </c>
      <c r="CL386" t="n">
        <v>18</v>
      </c>
      <c r="CM386" t="n">
        <v>3</v>
      </c>
      <c r="CN386" t="n">
        <v>0</v>
      </c>
      <c r="CO386" t="n">
        <v>11</v>
      </c>
      <c r="CP386" t="n">
        <v>1</v>
      </c>
      <c r="CQ386" t="n">
        <v>13</v>
      </c>
      <c r="CR386" t="n">
        <v>2</v>
      </c>
      <c r="CS386" t="n">
        <v>7</v>
      </c>
      <c r="CT386" t="n">
        <v>7</v>
      </c>
      <c r="CU386" t="n">
        <v>2</v>
      </c>
      <c r="CV386" t="n">
        <v>6</v>
      </c>
      <c r="CW386" t="n">
        <v>6</v>
      </c>
      <c r="CX386" t="n">
        <v>1</v>
      </c>
      <c r="CY386" t="n">
        <v>2</v>
      </c>
      <c r="CZ386" t="n">
        <v>11</v>
      </c>
      <c r="DA386" t="n">
        <v>1</v>
      </c>
      <c r="DB386" t="n">
        <v>8</v>
      </c>
      <c r="DC386" t="n">
        <v>12</v>
      </c>
      <c r="DD386" t="n">
        <v>1</v>
      </c>
      <c r="DE386" t="n">
        <v>4</v>
      </c>
      <c r="DF386" t="n">
        <v>1</v>
      </c>
      <c r="DG386" t="n">
        <v>13</v>
      </c>
      <c r="DH386" t="n">
        <v>4</v>
      </c>
      <c r="DI386" t="n">
        <v>0</v>
      </c>
      <c r="DJ386" t="n">
        <v>0</v>
      </c>
      <c r="DK386" t="n">
        <v>0</v>
      </c>
      <c r="DL386" t="n">
        <v>1</v>
      </c>
      <c r="DM386" t="n">
        <v>3</v>
      </c>
      <c r="DN386" t="n">
        <v>0</v>
      </c>
      <c r="DO386" t="n">
        <v>27</v>
      </c>
      <c r="DP386" t="n">
        <v>3</v>
      </c>
      <c r="DQ386" t="n">
        <v>5</v>
      </c>
      <c r="DR386" t="n">
        <v>8</v>
      </c>
      <c r="DS386" t="n">
        <v>12</v>
      </c>
      <c r="DU386" t="n">
        <v>1</v>
      </c>
      <c r="DV386" t="n">
        <v>7</v>
      </c>
      <c r="DW386" t="n">
        <v>12</v>
      </c>
      <c r="DX386" t="n">
        <v>3</v>
      </c>
      <c r="DY386" t="n">
        <v>1</v>
      </c>
      <c r="DZ386" t="n">
        <v>2</v>
      </c>
      <c r="EA386" t="n">
        <v>0</v>
      </c>
      <c r="EB386" t="n">
        <v>0</v>
      </c>
      <c r="ED386" t="n">
        <v>2</v>
      </c>
      <c r="EG386" t="n">
        <v>1</v>
      </c>
      <c r="EH386" t="n">
        <v>1</v>
      </c>
      <c r="EI386" t="n">
        <v>1</v>
      </c>
      <c r="EJ386" t="n">
        <v>1</v>
      </c>
      <c r="EK386" t="n">
        <v>2</v>
      </c>
      <c r="EL386" t="n">
        <v>0</v>
      </c>
      <c r="EM386" t="n">
        <v>1</v>
      </c>
      <c r="EN386" t="n">
        <v>2</v>
      </c>
      <c r="EO386" t="n">
        <v>0</v>
      </c>
      <c r="EP386" t="n">
        <v>1</v>
      </c>
      <c r="EQ386" t="n">
        <v>2</v>
      </c>
      <c r="ER386" t="n">
        <v>21</v>
      </c>
      <c r="ES386" t="n">
        <v>1</v>
      </c>
      <c r="ET386" t="n">
        <v>2</v>
      </c>
      <c r="EU386" t="n">
        <v>1</v>
      </c>
      <c r="EW386" t="n">
        <v>1</v>
      </c>
      <c r="EX386" t="n">
        <v>17</v>
      </c>
      <c r="EY386" t="n">
        <v>8</v>
      </c>
      <c r="EZ386" t="n">
        <v>14</v>
      </c>
      <c r="FA386" t="n">
        <v>9</v>
      </c>
      <c r="FB386" t="n">
        <v>15</v>
      </c>
      <c r="FC386" t="n">
        <v>14</v>
      </c>
      <c r="FD386" t="n">
        <v>8</v>
      </c>
      <c r="FE386" t="n">
        <v>13</v>
      </c>
      <c r="FF386" t="n">
        <v>32</v>
      </c>
      <c r="FG386" t="n">
        <v>9</v>
      </c>
      <c r="FH386" t="n">
        <v>13</v>
      </c>
      <c r="FI386" t="n">
        <v>2</v>
      </c>
      <c r="FJ386" t="n">
        <v>3</v>
      </c>
      <c r="FK386" t="n">
        <v>14</v>
      </c>
      <c r="FM386" t="n">
        <v>1</v>
      </c>
      <c r="FP386" t="n">
        <v>11</v>
      </c>
      <c r="FQ386" t="n">
        <v>2</v>
      </c>
      <c r="FR386" t="n">
        <v>5</v>
      </c>
      <c r="FS386" t="n">
        <v>1</v>
      </c>
      <c r="FT386" t="n">
        <v>0</v>
      </c>
      <c r="FU386" t="n">
        <v>2</v>
      </c>
      <c r="FV386" t="n">
        <v>4</v>
      </c>
      <c r="FW386" t="n">
        <v>2</v>
      </c>
      <c r="FX386" t="n">
        <v>27</v>
      </c>
      <c r="FY386" t="n">
        <v>25</v>
      </c>
      <c r="FZ386" t="n">
        <v>5</v>
      </c>
      <c r="GA386" t="n">
        <v>1</v>
      </c>
      <c r="GB386" t="n">
        <v>9</v>
      </c>
      <c r="GC386" t="n">
        <v>5</v>
      </c>
      <c r="GD386" t="n">
        <v>10</v>
      </c>
      <c r="GE386" t="n">
        <v>1</v>
      </c>
      <c r="GF386" t="n">
        <v>0</v>
      </c>
      <c r="GG386" t="n">
        <v>13</v>
      </c>
      <c r="GH386" t="n">
        <v>19</v>
      </c>
      <c r="GI386" t="n">
        <v>5</v>
      </c>
      <c r="GJ386" t="n">
        <v>5</v>
      </c>
      <c r="GK386" t="n">
        <v>3</v>
      </c>
      <c r="GL386" t="n">
        <v>2</v>
      </c>
      <c r="GM386" t="n">
        <v>0</v>
      </c>
      <c r="GN386" t="n">
        <v>1</v>
      </c>
      <c r="GO386" t="n">
        <v>1</v>
      </c>
      <c r="GP386" t="n">
        <v>8</v>
      </c>
      <c r="GQ386" t="n">
        <v>7</v>
      </c>
      <c r="GR386" t="n">
        <v>13</v>
      </c>
      <c r="GS386" t="n">
        <v>5</v>
      </c>
      <c r="GT386" t="n">
        <v>5</v>
      </c>
      <c r="GU386" t="n">
        <v>11</v>
      </c>
      <c r="GV386" t="n">
        <v>3</v>
      </c>
      <c r="GW386" t="n">
        <v>16</v>
      </c>
      <c r="GX386" t="n">
        <v>36</v>
      </c>
      <c r="GY386" t="n">
        <v>5</v>
      </c>
      <c r="GZ386" t="n">
        <v>21</v>
      </c>
      <c r="HA386" t="n">
        <v>5</v>
      </c>
      <c r="HB386" t="n">
        <v>9</v>
      </c>
      <c r="HC386" t="n">
        <v>1</v>
      </c>
      <c r="HD386" t="n">
        <v>1</v>
      </c>
      <c r="HE386" t="n">
        <v>4</v>
      </c>
      <c r="HF386" t="n">
        <v>6</v>
      </c>
      <c r="HG386" t="n">
        <v>9</v>
      </c>
      <c r="HH386" t="n">
        <v>4</v>
      </c>
      <c r="HI386" t="n">
        <v>3</v>
      </c>
      <c r="HK386" t="n">
        <v>5</v>
      </c>
      <c r="HL386" t="n">
        <v>1</v>
      </c>
      <c r="HM386" t="n">
        <v>3</v>
      </c>
      <c r="HN386" t="n">
        <v>4</v>
      </c>
      <c r="HO386" t="n">
        <v>1</v>
      </c>
      <c r="HP386" t="n">
        <v>2</v>
      </c>
      <c r="HQ386" t="n">
        <v>0</v>
      </c>
      <c r="HR386" t="n">
        <v>3</v>
      </c>
      <c r="HT386" t="n">
        <v>8</v>
      </c>
      <c r="HU386" t="n">
        <v>34</v>
      </c>
      <c r="HV386" t="n">
        <v>39</v>
      </c>
      <c r="HW386" t="n">
        <v>31</v>
      </c>
      <c r="HX386" t="n">
        <v>17</v>
      </c>
      <c r="HY386" t="n">
        <v>5</v>
      </c>
      <c r="HZ386" t="n">
        <v>6</v>
      </c>
      <c r="IA386" t="n">
        <v>4</v>
      </c>
      <c r="IB386" t="n">
        <v>50</v>
      </c>
      <c r="IC386" t="n">
        <v>2</v>
      </c>
      <c r="ID386" t="n">
        <v>55</v>
      </c>
      <c r="IE386" t="n">
        <v>16</v>
      </c>
      <c r="IF386" t="n">
        <v>8</v>
      </c>
      <c r="IG386" t="n">
        <v>14</v>
      </c>
      <c r="IH386" t="n">
        <v>25</v>
      </c>
      <c r="II386" t="n">
        <v>7</v>
      </c>
      <c r="IJ386" t="n">
        <v>3</v>
      </c>
      <c r="IK386" t="n">
        <v>30</v>
      </c>
      <c r="IL386" t="n">
        <v>70</v>
      </c>
      <c r="IM386" t="n">
        <v>46</v>
      </c>
      <c r="IN386" t="n">
        <v>4</v>
      </c>
      <c r="IO386" t="n">
        <v>3</v>
      </c>
      <c r="IP386" t="n">
        <v>24</v>
      </c>
      <c r="IQ386" t="n">
        <v>2</v>
      </c>
      <c r="IR386" t="n">
        <v>8</v>
      </c>
      <c r="IS386" t="n">
        <v>8</v>
      </c>
      <c r="IT386" t="n">
        <v>2</v>
      </c>
      <c r="IU386" t="n">
        <v>6</v>
      </c>
      <c r="IV386" t="n">
        <v>2</v>
      </c>
      <c r="IW386" t="n">
        <v>11</v>
      </c>
      <c r="IX386" t="n">
        <v>7</v>
      </c>
      <c r="IY386" t="n">
        <v>0</v>
      </c>
      <c r="IZ386" t="n">
        <v>17</v>
      </c>
      <c r="JA386" t="n">
        <v>17</v>
      </c>
      <c r="JB386" t="n">
        <v>6</v>
      </c>
      <c r="JD386" t="n">
        <v>3</v>
      </c>
      <c r="JE386" t="n">
        <v>2</v>
      </c>
      <c r="JF386" t="n">
        <v>5</v>
      </c>
      <c r="JG386" t="n">
        <v>77</v>
      </c>
      <c r="JH386" t="n">
        <v>14</v>
      </c>
      <c r="JI386" t="n">
        <v>1</v>
      </c>
      <c r="JJ386" t="n">
        <v>14</v>
      </c>
      <c r="JK386" t="n">
        <v>159</v>
      </c>
      <c r="JL386" t="n">
        <v>351</v>
      </c>
      <c r="JM386" t="n">
        <v>190</v>
      </c>
      <c r="JN386" t="n">
        <v>232</v>
      </c>
      <c r="JO386" t="n">
        <v>642</v>
      </c>
      <c r="JP386" t="n">
        <v>92</v>
      </c>
      <c r="JQ386" t="n">
        <v>386</v>
      </c>
      <c r="JR386" t="n">
        <v>184</v>
      </c>
      <c r="JS386" t="n">
        <v>650</v>
      </c>
      <c r="JT386" t="n">
        <v>100</v>
      </c>
      <c r="JV386" t="n">
        <v>586</v>
      </c>
      <c r="JW386" t="n">
        <v>400</v>
      </c>
      <c r="JX386" t="n">
        <v>359</v>
      </c>
      <c r="JY386" t="n">
        <v>198</v>
      </c>
      <c r="JZ386" t="n">
        <v>84</v>
      </c>
      <c r="KA386" t="n">
        <v>301</v>
      </c>
      <c r="KB386" t="n">
        <v>68</v>
      </c>
      <c r="KC386" t="n">
        <v>308</v>
      </c>
      <c r="KD386" t="n">
        <v>125</v>
      </c>
      <c r="KE386" t="n">
        <v>326</v>
      </c>
      <c r="KF386" t="n">
        <v>24</v>
      </c>
      <c r="KG386" t="n">
        <v>9</v>
      </c>
      <c r="KH386" t="n">
        <v>330</v>
      </c>
      <c r="KI386" t="n">
        <v>213</v>
      </c>
      <c r="KJ386" t="n">
        <v>11</v>
      </c>
      <c r="KK386" t="n">
        <v>388</v>
      </c>
      <c r="KL386" t="n">
        <v>31</v>
      </c>
      <c r="KM386" t="n">
        <v>209</v>
      </c>
      <c r="KN386" t="n">
        <v>18</v>
      </c>
      <c r="KO386" t="n">
        <v>13</v>
      </c>
      <c r="KP386" t="n">
        <v>17</v>
      </c>
      <c r="KQ386" t="n">
        <v>5</v>
      </c>
      <c r="KR386" t="n">
        <v>261</v>
      </c>
      <c r="KS386" t="n">
        <v>59</v>
      </c>
      <c r="KT386" t="n">
        <v>1</v>
      </c>
      <c r="KU386" t="n">
        <v>14</v>
      </c>
      <c r="KV386" t="n">
        <v>32</v>
      </c>
      <c r="KW386" t="n">
        <v>415</v>
      </c>
      <c r="KX386" t="n">
        <v>284</v>
      </c>
      <c r="KY386" t="n">
        <v>51</v>
      </c>
      <c r="KZ386" t="n">
        <v>224</v>
      </c>
      <c r="LA386" t="n">
        <v>179</v>
      </c>
      <c r="LB386" t="n">
        <v>0</v>
      </c>
      <c r="LC386" t="n">
        <v>230</v>
      </c>
      <c r="LD386" t="n">
        <v>395</v>
      </c>
      <c r="LE386" t="n">
        <v>271</v>
      </c>
      <c r="LF386" t="n">
        <v>59</v>
      </c>
      <c r="LH386" t="n">
        <v>537</v>
      </c>
      <c r="LI386" t="n">
        <v>6</v>
      </c>
      <c r="LJ386" t="n">
        <v>15</v>
      </c>
      <c r="LL386" t="n">
        <v>0</v>
      </c>
      <c r="LM386" t="n">
        <v>181</v>
      </c>
      <c r="LN386" t="n">
        <v>1126</v>
      </c>
      <c r="LO386" t="n">
        <v>507</v>
      </c>
      <c r="LP386" t="n">
        <v>74</v>
      </c>
      <c r="LQ386" t="n">
        <v>40</v>
      </c>
      <c r="LR386" t="n">
        <v>177</v>
      </c>
      <c r="LS386" t="n">
        <v>90</v>
      </c>
      <c r="LT386" t="n">
        <v>287</v>
      </c>
      <c r="LU386" t="n">
        <v>58</v>
      </c>
      <c r="LV386" t="n">
        <v>75</v>
      </c>
      <c r="LW386" t="n">
        <v>251</v>
      </c>
      <c r="LX386" t="n">
        <v>42</v>
      </c>
      <c r="LY386" t="n">
        <v>341</v>
      </c>
      <c r="LZ386" t="n">
        <v>386</v>
      </c>
      <c r="MA386" t="n">
        <v>73</v>
      </c>
      <c r="MB386" t="n">
        <v>21</v>
      </c>
      <c r="MC386" t="n">
        <v>6</v>
      </c>
      <c r="MD386" t="n">
        <v>18</v>
      </c>
      <c r="ME386" t="n">
        <v>74</v>
      </c>
      <c r="MF386" t="n">
        <v>1208</v>
      </c>
      <c r="MG386" t="n">
        <v>179</v>
      </c>
      <c r="MH386" t="n">
        <v>992</v>
      </c>
      <c r="MI386" t="n">
        <v>204</v>
      </c>
      <c r="MJ386" t="n">
        <v>80</v>
      </c>
      <c r="MK386" t="n">
        <v>99</v>
      </c>
      <c r="ML386" t="n">
        <v>69</v>
      </c>
      <c r="MM386" t="n">
        <v>398</v>
      </c>
      <c r="MN386" t="n">
        <v>71</v>
      </c>
      <c r="MO386" t="n">
        <v>852</v>
      </c>
      <c r="MP386" t="n">
        <v>168</v>
      </c>
      <c r="MQ386" t="n">
        <v>831</v>
      </c>
      <c r="MR386" t="n">
        <v>49</v>
      </c>
      <c r="MS386" t="n">
        <v>522</v>
      </c>
      <c r="MT386" t="n">
        <v>326</v>
      </c>
      <c r="MU386" t="n">
        <v>46</v>
      </c>
      <c r="MV386" t="n">
        <v>198</v>
      </c>
      <c r="MW386" t="n">
        <v>145</v>
      </c>
      <c r="MX386" t="n">
        <v>50</v>
      </c>
      <c r="MY386" t="n">
        <v>111</v>
      </c>
      <c r="MZ386" t="n">
        <v>2090</v>
      </c>
      <c r="NA386" t="n">
        <v>171</v>
      </c>
      <c r="NB386" t="n">
        <v>41</v>
      </c>
      <c r="NC386" t="n">
        <v>38</v>
      </c>
      <c r="ND386" t="n">
        <v>44</v>
      </c>
      <c r="NE386" t="n">
        <v>22</v>
      </c>
      <c r="NF386" t="n">
        <v>31</v>
      </c>
      <c r="NG386" t="n">
        <v>27</v>
      </c>
      <c r="NH386" t="n">
        <v>39</v>
      </c>
      <c r="NI386" t="n">
        <v>48</v>
      </c>
      <c r="NJ386" t="n">
        <v>35</v>
      </c>
      <c r="NK386" t="n">
        <v>48</v>
      </c>
      <c r="NL386" t="n">
        <v>122</v>
      </c>
      <c r="NM386" t="n">
        <v>242</v>
      </c>
      <c r="NN386" t="n">
        <v>326</v>
      </c>
      <c r="NO386" t="n">
        <v>807</v>
      </c>
      <c r="NP386" t="n">
        <v>941</v>
      </c>
      <c r="NQ386" t="n">
        <v>146</v>
      </c>
      <c r="NR386" t="n">
        <v>302</v>
      </c>
      <c r="NS386" t="n">
        <v>36</v>
      </c>
      <c r="NT386" t="n">
        <v>143</v>
      </c>
      <c r="NU386" t="n">
        <v>51</v>
      </c>
      <c r="NV386" t="n">
        <v>165</v>
      </c>
      <c r="NW386" t="n">
        <v>5</v>
      </c>
      <c r="NX386" t="n">
        <v>245</v>
      </c>
      <c r="NY386" t="n">
        <v>139</v>
      </c>
      <c r="NZ386" t="n">
        <v>4</v>
      </c>
      <c r="OA386" t="n">
        <v>19</v>
      </c>
      <c r="OB386" t="n">
        <v>102</v>
      </c>
      <c r="OD386" t="n">
        <v>7089</v>
      </c>
      <c r="OE386" t="n">
        <v>197</v>
      </c>
      <c r="OF386" t="n">
        <v>4</v>
      </c>
      <c r="OG386" t="n">
        <v>25</v>
      </c>
      <c r="OH386" t="n">
        <v>387</v>
      </c>
      <c r="OI386" t="n">
        <v>3180</v>
      </c>
      <c r="OJ386" t="n">
        <v>1596</v>
      </c>
      <c r="OK386" t="n">
        <v>3005</v>
      </c>
      <c r="OL386" t="n">
        <v>7</v>
      </c>
      <c r="ON386" t="n">
        <v>62</v>
      </c>
      <c r="OO386" t="n">
        <v>46322</v>
      </c>
      <c r="OP386" t="n">
        <v>4114</v>
      </c>
      <c r="OV386" t="n">
        <v>4</v>
      </c>
      <c r="PI386" t="n">
        <v>50441</v>
      </c>
      <c r="PM386">
        <f>IFERROR(VLOOKUP($A386&amp;"",Key!$A:$C,3,FALSE),"")</f>
        <v/>
      </c>
    </row>
    <row r="387">
      <c r="A387" t="n">
        <v>811300</v>
      </c>
      <c r="B387" t="inlineStr">
        <is>
          <t>Commercial and industrial machinery and equipment repair and maintenance</t>
        </is>
      </c>
      <c r="C387" t="n">
        <v>2</v>
      </c>
      <c r="D387" t="n">
        <v>5</v>
      </c>
      <c r="E387" t="n">
        <v>1</v>
      </c>
      <c r="F387" t="n">
        <v>1</v>
      </c>
      <c r="G387" t="n">
        <v>8</v>
      </c>
      <c r="H387" t="n">
        <v>1</v>
      </c>
      <c r="I387" t="n">
        <v>4</v>
      </c>
      <c r="K387" t="n">
        <v>1</v>
      </c>
      <c r="L387" t="n">
        <v>2</v>
      </c>
      <c r="M387" t="n">
        <v>13</v>
      </c>
      <c r="P387" t="n">
        <v>1</v>
      </c>
      <c r="U387" t="n">
        <v>1</v>
      </c>
      <c r="V387" t="n">
        <v>9</v>
      </c>
      <c r="W387" t="n">
        <v>13</v>
      </c>
      <c r="X387" t="n">
        <v>201</v>
      </c>
      <c r="Z387" t="n">
        <v>41</v>
      </c>
      <c r="AA387" t="n">
        <v>10</v>
      </c>
      <c r="AB387" t="n">
        <v>8</v>
      </c>
      <c r="AC387" t="n">
        <v>387</v>
      </c>
      <c r="AD387" t="n">
        <v>85</v>
      </c>
      <c r="AE387" t="n">
        <v>146</v>
      </c>
      <c r="AF387" t="n">
        <v>57</v>
      </c>
      <c r="AG387" t="n">
        <v>291</v>
      </c>
      <c r="AH387" t="n">
        <v>73</v>
      </c>
      <c r="AI387" t="n">
        <v>141</v>
      </c>
      <c r="AJ387" t="n">
        <v>183</v>
      </c>
      <c r="AK387" t="n">
        <v>190</v>
      </c>
      <c r="AL387" t="n">
        <v>385</v>
      </c>
      <c r="AM387" t="n">
        <v>82</v>
      </c>
      <c r="AN387" t="n">
        <v>45</v>
      </c>
      <c r="AO387" t="n">
        <v>34</v>
      </c>
      <c r="AP387" t="n">
        <v>31</v>
      </c>
      <c r="AQ387" t="n">
        <v>38</v>
      </c>
      <c r="AR387" t="n">
        <v>116</v>
      </c>
      <c r="AS387" t="n">
        <v>54</v>
      </c>
      <c r="AT387" t="n">
        <v>123</v>
      </c>
      <c r="AU387" t="n">
        <v>29</v>
      </c>
      <c r="AV387" t="n">
        <v>39</v>
      </c>
      <c r="AW387" t="n">
        <v>26</v>
      </c>
      <c r="AX387" t="n">
        <v>8</v>
      </c>
      <c r="AY387" t="n">
        <v>14</v>
      </c>
      <c r="AZ387" t="n">
        <v>18</v>
      </c>
      <c r="BA387" t="n">
        <v>24</v>
      </c>
      <c r="BB387" t="n">
        <v>20</v>
      </c>
      <c r="BC387" t="n">
        <v>230</v>
      </c>
      <c r="BD387" t="n">
        <v>58</v>
      </c>
      <c r="BE387" t="n">
        <v>19</v>
      </c>
      <c r="BF387" t="n">
        <v>7</v>
      </c>
      <c r="BG387" t="n">
        <v>53</v>
      </c>
      <c r="BH387" t="n">
        <v>19</v>
      </c>
      <c r="BI387" t="n">
        <v>21</v>
      </c>
      <c r="BJ387" t="n">
        <v>27</v>
      </c>
      <c r="BK387" t="n">
        <v>65</v>
      </c>
      <c r="BL387" t="n">
        <v>51</v>
      </c>
      <c r="BM387" t="n">
        <v>27</v>
      </c>
      <c r="BN387" t="n">
        <v>52</v>
      </c>
      <c r="BO387" t="n">
        <v>28</v>
      </c>
      <c r="BP387" t="n">
        <v>27</v>
      </c>
      <c r="BQ387" t="n">
        <v>83</v>
      </c>
      <c r="BR387" t="n">
        <v>64</v>
      </c>
      <c r="BS387" t="n">
        <v>10</v>
      </c>
      <c r="BT387" t="n">
        <v>11</v>
      </c>
      <c r="BU387" t="n">
        <v>18</v>
      </c>
      <c r="BV387" t="n">
        <v>14</v>
      </c>
      <c r="BW387" t="n">
        <v>25</v>
      </c>
      <c r="BX387" t="n">
        <v>102</v>
      </c>
      <c r="BY387" t="n">
        <v>104</v>
      </c>
      <c r="BZ387" t="n">
        <v>86</v>
      </c>
      <c r="CA387" t="n">
        <v>9</v>
      </c>
      <c r="CB387" t="n">
        <v>46</v>
      </c>
      <c r="CC387" t="n">
        <v>20</v>
      </c>
      <c r="CD387" t="n">
        <v>11</v>
      </c>
      <c r="CE387" t="n">
        <v>19</v>
      </c>
      <c r="CF387" t="n">
        <v>27</v>
      </c>
      <c r="CG387" t="n">
        <v>32</v>
      </c>
      <c r="CH387" t="n">
        <v>4</v>
      </c>
      <c r="CI387" t="n">
        <v>49</v>
      </c>
      <c r="CJ387" t="n">
        <v>37</v>
      </c>
      <c r="CK387" t="n">
        <v>5</v>
      </c>
      <c r="CL387" t="n">
        <v>44</v>
      </c>
      <c r="CM387" t="n">
        <v>9</v>
      </c>
      <c r="CN387" t="n">
        <v>2</v>
      </c>
      <c r="CO387" t="n">
        <v>32</v>
      </c>
      <c r="CP387" t="n">
        <v>5</v>
      </c>
      <c r="CQ387" t="n">
        <v>33</v>
      </c>
      <c r="CR387" t="n">
        <v>9</v>
      </c>
      <c r="CS387" t="n">
        <v>20</v>
      </c>
      <c r="CT387" t="n">
        <v>17</v>
      </c>
      <c r="CU387" t="n">
        <v>12</v>
      </c>
      <c r="CV387" t="n">
        <v>24</v>
      </c>
      <c r="CW387" t="n">
        <v>20</v>
      </c>
      <c r="CX387" t="n">
        <v>8</v>
      </c>
      <c r="CY387" t="n">
        <v>16</v>
      </c>
      <c r="CZ387" t="n">
        <v>37</v>
      </c>
      <c r="DA387" t="n">
        <v>7</v>
      </c>
      <c r="DB387" t="n">
        <v>34</v>
      </c>
      <c r="DC387" t="n">
        <v>33</v>
      </c>
      <c r="DD387" t="n">
        <v>7</v>
      </c>
      <c r="DE387" t="n">
        <v>7</v>
      </c>
      <c r="DF387" t="n">
        <v>3</v>
      </c>
      <c r="DG387" t="n">
        <v>32</v>
      </c>
      <c r="DH387" t="n">
        <v>22</v>
      </c>
      <c r="DI387" t="n">
        <v>0</v>
      </c>
      <c r="DJ387" t="n">
        <v>0</v>
      </c>
      <c r="DK387" t="n">
        <v>2</v>
      </c>
      <c r="DL387" t="n">
        <v>0</v>
      </c>
      <c r="DM387" t="n">
        <v>10</v>
      </c>
      <c r="DN387" t="n">
        <v>1</v>
      </c>
      <c r="DO387" t="n">
        <v>145</v>
      </c>
      <c r="DP387" t="n">
        <v>11</v>
      </c>
      <c r="DQ387" t="n">
        <v>32</v>
      </c>
      <c r="DR387" t="n">
        <v>26</v>
      </c>
      <c r="DS387" t="n">
        <v>33</v>
      </c>
      <c r="DT387" t="n">
        <v>0</v>
      </c>
      <c r="DU387" t="n">
        <v>3</v>
      </c>
      <c r="DV387" t="n">
        <v>42</v>
      </c>
      <c r="DW387" t="n">
        <v>4</v>
      </c>
      <c r="DX387" t="n">
        <v>10</v>
      </c>
      <c r="DY387" t="n">
        <v>2</v>
      </c>
      <c r="DZ387" t="n">
        <v>6</v>
      </c>
      <c r="EA387" t="n">
        <v>0</v>
      </c>
      <c r="EB387" t="n">
        <v>0</v>
      </c>
      <c r="EC387" t="n">
        <v>1</v>
      </c>
      <c r="ED387" t="n">
        <v>9</v>
      </c>
      <c r="EE387" t="n">
        <v>0</v>
      </c>
      <c r="EF387" t="n">
        <v>14</v>
      </c>
      <c r="EG387" t="n">
        <v>5</v>
      </c>
      <c r="EH387" t="n">
        <v>6</v>
      </c>
      <c r="EI387" t="n">
        <v>9</v>
      </c>
      <c r="EJ387" t="n">
        <v>6</v>
      </c>
      <c r="EK387" t="n">
        <v>10</v>
      </c>
      <c r="EL387" t="n">
        <v>0</v>
      </c>
      <c r="EM387" t="n">
        <v>7</v>
      </c>
      <c r="EN387" t="n">
        <v>13</v>
      </c>
      <c r="EO387" t="n">
        <v>4</v>
      </c>
      <c r="EP387" t="n">
        <v>6</v>
      </c>
      <c r="EQ387" t="n">
        <v>8</v>
      </c>
      <c r="ER387" t="n">
        <v>78</v>
      </c>
      <c r="ES387" t="n">
        <v>6</v>
      </c>
      <c r="ET387" t="n">
        <v>11</v>
      </c>
      <c r="EU387" t="n">
        <v>8</v>
      </c>
      <c r="EV387" t="n">
        <v>0</v>
      </c>
      <c r="EW387" t="n">
        <v>9</v>
      </c>
      <c r="EX387" t="n">
        <v>61</v>
      </c>
      <c r="EY387" t="n">
        <v>19</v>
      </c>
      <c r="EZ387" t="n">
        <v>48</v>
      </c>
      <c r="FA387" t="n">
        <v>51</v>
      </c>
      <c r="FB387" t="n">
        <v>68</v>
      </c>
      <c r="FC387" t="n">
        <v>61</v>
      </c>
      <c r="FD387" t="n">
        <v>43</v>
      </c>
      <c r="FE387" t="n">
        <v>37</v>
      </c>
      <c r="FF387" t="n">
        <v>123</v>
      </c>
      <c r="FG387" t="n">
        <v>27</v>
      </c>
      <c r="FH387" t="n">
        <v>14</v>
      </c>
      <c r="FI387" t="n">
        <v>23</v>
      </c>
      <c r="FJ387" t="n">
        <v>16</v>
      </c>
      <c r="FK387" t="n">
        <v>50</v>
      </c>
      <c r="FL387" t="n">
        <v>7</v>
      </c>
      <c r="FM387" t="n">
        <v>8</v>
      </c>
      <c r="FN387" t="n">
        <v>4</v>
      </c>
      <c r="FO387" t="n">
        <v>4</v>
      </c>
      <c r="FP387" t="n">
        <v>17</v>
      </c>
      <c r="FQ387" t="n">
        <v>11</v>
      </c>
      <c r="FR387" t="n">
        <v>3</v>
      </c>
      <c r="FS387" t="n">
        <v>5</v>
      </c>
      <c r="FT387" t="n">
        <v>6</v>
      </c>
      <c r="FU387" t="n">
        <v>9</v>
      </c>
      <c r="FV387" t="n">
        <v>20</v>
      </c>
      <c r="FW387" t="n">
        <v>7</v>
      </c>
      <c r="FX387" t="n">
        <v>51</v>
      </c>
      <c r="FY387" t="n">
        <v>34</v>
      </c>
      <c r="FZ387" t="n">
        <v>9</v>
      </c>
      <c r="GA387" t="n">
        <v>8</v>
      </c>
      <c r="GB387" t="n">
        <v>9</v>
      </c>
      <c r="GC387" t="n">
        <v>9</v>
      </c>
      <c r="GD387" t="n">
        <v>11</v>
      </c>
      <c r="GE387" t="n">
        <v>0</v>
      </c>
      <c r="GF387" t="n">
        <v>5</v>
      </c>
      <c r="GG387" t="n">
        <v>19</v>
      </c>
      <c r="GH387" t="n">
        <v>34</v>
      </c>
      <c r="GI387" t="n">
        <v>28</v>
      </c>
      <c r="GJ387" t="n">
        <v>29</v>
      </c>
      <c r="GK387" t="n">
        <v>19</v>
      </c>
      <c r="GL387" t="n">
        <v>13</v>
      </c>
      <c r="GM387" t="n">
        <v>2</v>
      </c>
      <c r="GN387" t="n">
        <v>7</v>
      </c>
      <c r="GO387" t="n">
        <v>8</v>
      </c>
      <c r="GP387" t="n">
        <v>58</v>
      </c>
      <c r="GQ387" t="n">
        <v>38</v>
      </c>
      <c r="GR387" t="n">
        <v>42</v>
      </c>
      <c r="GS387" t="n">
        <v>32</v>
      </c>
      <c r="GT387" t="n">
        <v>29</v>
      </c>
      <c r="GU387" t="n">
        <v>63</v>
      </c>
      <c r="GV387" t="n">
        <v>19</v>
      </c>
      <c r="GW387" t="n">
        <v>63</v>
      </c>
      <c r="GX387" t="n">
        <v>150</v>
      </c>
      <c r="GY387" t="n">
        <v>21</v>
      </c>
      <c r="GZ387" t="n">
        <v>75</v>
      </c>
      <c r="HA387" t="n">
        <v>33</v>
      </c>
      <c r="HB387" t="n">
        <v>51</v>
      </c>
      <c r="HC387" t="n">
        <v>9</v>
      </c>
      <c r="HD387" t="n">
        <v>10</v>
      </c>
      <c r="HE387" t="n">
        <v>24</v>
      </c>
      <c r="HF387" t="n">
        <v>39</v>
      </c>
      <c r="HG387" t="n">
        <v>54</v>
      </c>
      <c r="HH387" t="n">
        <v>19</v>
      </c>
      <c r="HI387" t="n">
        <v>16</v>
      </c>
      <c r="HJ387" t="n">
        <v>10</v>
      </c>
      <c r="HK387" t="n">
        <v>43</v>
      </c>
      <c r="HL387" t="n">
        <v>6</v>
      </c>
      <c r="HM387" t="n">
        <v>20</v>
      </c>
      <c r="HN387" t="n">
        <v>11</v>
      </c>
      <c r="HO387" t="n">
        <v>6</v>
      </c>
      <c r="HP387" t="n">
        <v>3</v>
      </c>
      <c r="HQ387" t="n">
        <v>7</v>
      </c>
      <c r="HR387" t="n">
        <v>0</v>
      </c>
      <c r="HS387" t="n">
        <v>2</v>
      </c>
      <c r="HT387" t="n">
        <v>46</v>
      </c>
      <c r="HU387" t="n">
        <v>91</v>
      </c>
      <c r="HV387" t="n">
        <v>172</v>
      </c>
      <c r="HW387" t="n">
        <v>186</v>
      </c>
      <c r="HX387" t="n">
        <v>35</v>
      </c>
      <c r="HY387" t="n">
        <v>8</v>
      </c>
      <c r="HZ387" t="n">
        <v>17</v>
      </c>
      <c r="IA387" t="n">
        <v>9</v>
      </c>
      <c r="IB387" t="n">
        <v>178</v>
      </c>
      <c r="IC387" t="n">
        <v>7</v>
      </c>
      <c r="ID387" t="n">
        <v>219</v>
      </c>
      <c r="IE387" t="n">
        <v>43</v>
      </c>
      <c r="IF387" t="n">
        <v>21</v>
      </c>
      <c r="IG387" t="n">
        <v>51</v>
      </c>
      <c r="IH387" t="n">
        <v>151</v>
      </c>
      <c r="II387" t="n">
        <v>43</v>
      </c>
      <c r="IJ387" t="n">
        <v>18</v>
      </c>
      <c r="IK387" t="n">
        <v>118</v>
      </c>
      <c r="IL387" t="n">
        <v>285</v>
      </c>
      <c r="IM387" t="n">
        <v>206</v>
      </c>
      <c r="IN387" t="n">
        <v>24</v>
      </c>
      <c r="IO387" t="n">
        <v>17</v>
      </c>
      <c r="IP387" t="n">
        <v>88</v>
      </c>
      <c r="IQ387" t="n">
        <v>8</v>
      </c>
      <c r="IR387" t="n">
        <v>48</v>
      </c>
      <c r="IS387" t="n">
        <v>49</v>
      </c>
      <c r="IT387" t="n">
        <v>15</v>
      </c>
      <c r="IU387" t="n">
        <v>18</v>
      </c>
      <c r="IV387" t="n">
        <v>13</v>
      </c>
      <c r="IW387" t="n">
        <v>43</v>
      </c>
      <c r="IX387" t="n">
        <v>23</v>
      </c>
      <c r="IY387" t="n">
        <v>4</v>
      </c>
      <c r="IZ387" t="n">
        <v>71</v>
      </c>
      <c r="JA387" t="n">
        <v>70</v>
      </c>
      <c r="JB387" t="n">
        <v>39</v>
      </c>
      <c r="JC387" t="n">
        <v>7</v>
      </c>
      <c r="JD387" t="n">
        <v>16</v>
      </c>
      <c r="JE387" t="n">
        <v>13</v>
      </c>
      <c r="JF387" t="n">
        <v>28</v>
      </c>
      <c r="JG387" t="n">
        <v>181</v>
      </c>
      <c r="JH387" t="n">
        <v>41</v>
      </c>
      <c r="JI387" t="n">
        <v>8</v>
      </c>
      <c r="JJ387" t="n">
        <v>25</v>
      </c>
      <c r="JK387" t="n">
        <v>504</v>
      </c>
      <c r="JL387" t="n">
        <v>69</v>
      </c>
      <c r="JM387" t="n">
        <v>343</v>
      </c>
      <c r="JN387" t="n">
        <v>603</v>
      </c>
      <c r="JO387" t="n">
        <v>1098</v>
      </c>
      <c r="JP387" t="n">
        <v>185</v>
      </c>
      <c r="JQ387" t="n">
        <v>831</v>
      </c>
      <c r="JR387" t="n">
        <v>347</v>
      </c>
      <c r="JS387" t="n">
        <v>1273</v>
      </c>
      <c r="JT387" t="n">
        <v>166</v>
      </c>
      <c r="JV387" t="n">
        <v>563</v>
      </c>
      <c r="JW387" t="n">
        <v>845</v>
      </c>
      <c r="JX387" t="n">
        <v>870</v>
      </c>
      <c r="JY387" t="n">
        <v>468</v>
      </c>
      <c r="JZ387" t="n">
        <v>188</v>
      </c>
      <c r="KA387" t="n">
        <v>708</v>
      </c>
      <c r="KB387" t="n">
        <v>104</v>
      </c>
      <c r="KC387" t="n">
        <v>340</v>
      </c>
      <c r="KD387" t="n">
        <v>240</v>
      </c>
      <c r="KE387" t="n">
        <v>30</v>
      </c>
      <c r="KF387" t="n">
        <v>1</v>
      </c>
      <c r="KH387" t="n">
        <v>615</v>
      </c>
      <c r="KI387" t="n">
        <v>57</v>
      </c>
      <c r="KJ387" t="n">
        <v>36</v>
      </c>
      <c r="KK387" t="n">
        <v>103</v>
      </c>
      <c r="KL387" t="n">
        <v>6</v>
      </c>
      <c r="KM387" t="n">
        <v>365</v>
      </c>
      <c r="KN387" t="n">
        <v>36</v>
      </c>
      <c r="KO387" t="n">
        <v>31</v>
      </c>
      <c r="KP387" t="n">
        <v>34</v>
      </c>
      <c r="KQ387" t="n">
        <v>9</v>
      </c>
      <c r="KR387" t="n">
        <v>492</v>
      </c>
      <c r="KS387" t="n">
        <v>111</v>
      </c>
      <c r="KT387" t="n">
        <v>2</v>
      </c>
      <c r="KU387" t="n">
        <v>36</v>
      </c>
      <c r="KV387" t="n">
        <v>48</v>
      </c>
      <c r="KW387" t="n">
        <v>811</v>
      </c>
      <c r="KX387" t="n">
        <v>64</v>
      </c>
      <c r="KY387" t="n">
        <v>107</v>
      </c>
      <c r="KZ387" t="n">
        <v>493</v>
      </c>
      <c r="LA387" t="n">
        <v>428</v>
      </c>
      <c r="LB387" t="n">
        <v>0</v>
      </c>
      <c r="LC387" t="n">
        <v>287</v>
      </c>
      <c r="LD387" t="n">
        <v>1586</v>
      </c>
      <c r="LE387" t="n">
        <v>698</v>
      </c>
      <c r="LF387" t="n">
        <v>152</v>
      </c>
      <c r="LH387" t="n">
        <v>1430</v>
      </c>
      <c r="LI387" t="n">
        <v>16</v>
      </c>
      <c r="LJ387" t="n">
        <v>55</v>
      </c>
      <c r="LL387" t="n">
        <v>0</v>
      </c>
      <c r="LM387" t="n">
        <v>322</v>
      </c>
      <c r="LN387" t="n">
        <v>2237</v>
      </c>
      <c r="LO387" t="n">
        <v>1026</v>
      </c>
      <c r="LP387" t="n">
        <v>88</v>
      </c>
      <c r="LR387" t="n">
        <v>313</v>
      </c>
      <c r="LS387" t="n">
        <v>157</v>
      </c>
      <c r="LT387" t="n">
        <v>437</v>
      </c>
      <c r="LU387" t="n">
        <v>54</v>
      </c>
      <c r="LV387" t="n">
        <v>124</v>
      </c>
      <c r="LW387" t="n">
        <v>432</v>
      </c>
      <c r="LX387" t="n">
        <v>71</v>
      </c>
      <c r="LY387" t="n">
        <v>95</v>
      </c>
      <c r="LZ387" t="n">
        <v>180</v>
      </c>
      <c r="MA387" t="n">
        <v>135</v>
      </c>
      <c r="MB387" t="n">
        <v>26</v>
      </c>
      <c r="MC387" t="n">
        <v>13</v>
      </c>
      <c r="MD387" t="n">
        <v>32</v>
      </c>
      <c r="ME387" t="n">
        <v>120</v>
      </c>
      <c r="MF387" t="n">
        <v>2335</v>
      </c>
      <c r="MG387" t="n">
        <v>155</v>
      </c>
      <c r="MH387" t="n">
        <v>2464</v>
      </c>
      <c r="MI387" t="n">
        <v>286</v>
      </c>
      <c r="MJ387" t="n">
        <v>116</v>
      </c>
      <c r="MK387" t="n">
        <v>160</v>
      </c>
      <c r="ML387" t="n">
        <v>99</v>
      </c>
      <c r="MM387" t="n">
        <v>154</v>
      </c>
      <c r="MN387" t="n">
        <v>117</v>
      </c>
      <c r="MO387" t="n">
        <v>1693</v>
      </c>
      <c r="MP387" t="n">
        <v>2</v>
      </c>
      <c r="MQ387" t="n">
        <v>251</v>
      </c>
      <c r="MR387" t="n">
        <v>144</v>
      </c>
      <c r="MS387" t="n">
        <v>675</v>
      </c>
      <c r="MT387" t="n">
        <v>73</v>
      </c>
      <c r="MU387" t="n">
        <v>77</v>
      </c>
      <c r="MV387" t="n">
        <v>297</v>
      </c>
      <c r="MW387" t="n">
        <v>277</v>
      </c>
      <c r="MX387" t="n">
        <v>57</v>
      </c>
      <c r="MY387" t="n">
        <v>172</v>
      </c>
      <c r="MZ387" t="n">
        <v>3418</v>
      </c>
      <c r="NA387" t="n">
        <v>224</v>
      </c>
      <c r="NB387" t="n">
        <v>58</v>
      </c>
      <c r="NC387" t="n">
        <v>56</v>
      </c>
      <c r="ND387" t="n">
        <v>47</v>
      </c>
      <c r="NE387" t="n">
        <v>38</v>
      </c>
      <c r="NF387" t="n">
        <v>28</v>
      </c>
      <c r="NG387" t="n">
        <v>21</v>
      </c>
      <c r="NH387" t="n">
        <v>12</v>
      </c>
      <c r="NI387" t="n">
        <v>39</v>
      </c>
      <c r="NJ387" t="n">
        <v>28</v>
      </c>
      <c r="NK387" t="n">
        <v>52</v>
      </c>
      <c r="NL387" t="n">
        <v>80</v>
      </c>
      <c r="NM387" t="n">
        <v>211</v>
      </c>
      <c r="NN387" t="n">
        <v>877</v>
      </c>
      <c r="NO387" t="n">
        <v>1162</v>
      </c>
      <c r="NP387" t="n">
        <v>1495</v>
      </c>
      <c r="NQ387" t="n">
        <v>209</v>
      </c>
      <c r="NR387" t="n">
        <v>290</v>
      </c>
      <c r="NS387" t="n">
        <v>53</v>
      </c>
      <c r="NT387" t="n">
        <v>128</v>
      </c>
      <c r="NU387" t="n">
        <v>49</v>
      </c>
      <c r="NV387" t="n">
        <v>116</v>
      </c>
      <c r="NW387" t="n">
        <v>7</v>
      </c>
      <c r="NX387" t="n">
        <v>49</v>
      </c>
      <c r="NY387" t="n">
        <v>165</v>
      </c>
      <c r="NZ387" t="n">
        <v>16</v>
      </c>
      <c r="OA387" t="n">
        <v>30</v>
      </c>
      <c r="OB387" t="n">
        <v>112</v>
      </c>
      <c r="OD387" t="n">
        <v>685</v>
      </c>
      <c r="OE387" t="n">
        <v>8143</v>
      </c>
      <c r="OF387" t="n">
        <v>0</v>
      </c>
      <c r="OI387" t="n">
        <v>647</v>
      </c>
      <c r="OJ387" t="n">
        <v>561</v>
      </c>
      <c r="OK387" t="n">
        <v>1382</v>
      </c>
      <c r="OL387" t="n">
        <v>12</v>
      </c>
      <c r="ON387" t="n">
        <v>95</v>
      </c>
      <c r="OO387" t="n">
        <v>64081</v>
      </c>
      <c r="OV387" t="n">
        <v>17</v>
      </c>
      <c r="PI387" t="n">
        <v>64098</v>
      </c>
      <c r="PM387">
        <f>IFERROR(VLOOKUP($A387&amp;"",Key!$A:$C,3,FALSE),"")</f>
        <v/>
      </c>
    </row>
    <row r="388">
      <c r="A388" t="n">
        <v>811400</v>
      </c>
      <c r="B388" t="inlineStr">
        <is>
          <t>Personal and household goods repair and maintenance</t>
        </is>
      </c>
      <c r="M388" t="n">
        <v>6</v>
      </c>
      <c r="N388" t="n">
        <v>1</v>
      </c>
      <c r="P388" t="n">
        <v>22</v>
      </c>
      <c r="Q388" t="n">
        <v>40</v>
      </c>
      <c r="T388" t="n">
        <v>1</v>
      </c>
      <c r="U388" t="n">
        <v>1</v>
      </c>
      <c r="V388" t="n">
        <v>88</v>
      </c>
      <c r="W388" t="n">
        <v>3</v>
      </c>
      <c r="X388" t="n">
        <v>97</v>
      </c>
      <c r="Y388" t="n">
        <v>498</v>
      </c>
      <c r="Z388" t="n">
        <v>1</v>
      </c>
      <c r="AA388" t="n">
        <v>69</v>
      </c>
      <c r="AB388" t="n">
        <v>565</v>
      </c>
      <c r="AC388" t="n">
        <v>163</v>
      </c>
      <c r="AD388" t="n">
        <v>36</v>
      </c>
      <c r="AE388" t="n">
        <v>55</v>
      </c>
      <c r="AF388" t="n">
        <v>23</v>
      </c>
      <c r="AG388" t="n">
        <v>116</v>
      </c>
      <c r="AH388" t="n">
        <v>31</v>
      </c>
      <c r="AI388" t="n">
        <v>54</v>
      </c>
      <c r="AJ388" t="n">
        <v>79</v>
      </c>
      <c r="AK388" t="n">
        <v>77</v>
      </c>
      <c r="AL388" t="n">
        <v>152</v>
      </c>
      <c r="AM388" t="n">
        <v>8</v>
      </c>
      <c r="AN388" t="n">
        <v>3</v>
      </c>
      <c r="AO388" t="n">
        <v>3</v>
      </c>
      <c r="AP388" t="n">
        <v>2</v>
      </c>
      <c r="AQ388" t="n">
        <v>5</v>
      </c>
      <c r="AR388" t="n">
        <v>9</v>
      </c>
      <c r="AS388" t="n">
        <v>5</v>
      </c>
      <c r="AT388" t="n">
        <v>12</v>
      </c>
      <c r="AU388" t="n">
        <v>3</v>
      </c>
      <c r="AV388" t="n">
        <v>4</v>
      </c>
      <c r="AW388" t="n">
        <v>5</v>
      </c>
      <c r="AX388" t="n">
        <v>0</v>
      </c>
      <c r="AY388" t="n">
        <v>1</v>
      </c>
      <c r="AZ388" t="n">
        <v>1</v>
      </c>
      <c r="BA388" t="n">
        <v>1</v>
      </c>
      <c r="BB388" t="n">
        <v>1</v>
      </c>
      <c r="BC388" t="n">
        <v>24</v>
      </c>
      <c r="BD388" t="n">
        <v>5</v>
      </c>
      <c r="BE388" t="n">
        <v>1</v>
      </c>
      <c r="BF388" t="n">
        <v>1</v>
      </c>
      <c r="BG388" t="n">
        <v>5</v>
      </c>
      <c r="BH388" t="n">
        <v>2</v>
      </c>
      <c r="BI388" t="n">
        <v>2</v>
      </c>
      <c r="BJ388" t="n">
        <v>2</v>
      </c>
      <c r="BK388" t="n">
        <v>6</v>
      </c>
      <c r="BL388" t="n">
        <v>4</v>
      </c>
      <c r="BM388" t="n">
        <v>1</v>
      </c>
      <c r="BN388" t="n">
        <v>7</v>
      </c>
      <c r="BO388" t="n">
        <v>2</v>
      </c>
      <c r="BP388" t="n">
        <v>4</v>
      </c>
      <c r="BQ388" t="n">
        <v>8</v>
      </c>
      <c r="BR388" t="n">
        <v>6</v>
      </c>
      <c r="BS388" t="n">
        <v>0</v>
      </c>
      <c r="BT388" t="n">
        <v>1</v>
      </c>
      <c r="BU388" t="n">
        <v>2</v>
      </c>
      <c r="BV388" t="n">
        <v>1</v>
      </c>
      <c r="BW388" t="n">
        <v>2</v>
      </c>
      <c r="BX388" t="n">
        <v>10</v>
      </c>
      <c r="BY388" t="n">
        <v>9</v>
      </c>
      <c r="BZ388" t="n">
        <v>8</v>
      </c>
      <c r="CA388" t="n">
        <v>3</v>
      </c>
      <c r="CB388" t="n">
        <v>4</v>
      </c>
      <c r="CC388" t="n">
        <v>2</v>
      </c>
      <c r="CD388" t="n">
        <v>1</v>
      </c>
      <c r="CE388" t="n">
        <v>4</v>
      </c>
      <c r="CF388" t="n">
        <v>2</v>
      </c>
      <c r="CG388" t="n">
        <v>3</v>
      </c>
      <c r="CI388" t="n">
        <v>4</v>
      </c>
      <c r="CJ388" t="n">
        <v>4</v>
      </c>
      <c r="CK388" t="n">
        <v>0</v>
      </c>
      <c r="CL388" t="n">
        <v>4</v>
      </c>
      <c r="CM388" t="n">
        <v>0</v>
      </c>
      <c r="CO388" t="n">
        <v>3</v>
      </c>
      <c r="CQ388" t="n">
        <v>3</v>
      </c>
      <c r="CR388" t="n">
        <v>1</v>
      </c>
      <c r="CS388" t="n">
        <v>2</v>
      </c>
      <c r="CT388" t="n">
        <v>2</v>
      </c>
      <c r="CU388" t="n">
        <v>1</v>
      </c>
      <c r="CV388" t="n">
        <v>2</v>
      </c>
      <c r="CW388" t="n">
        <v>2</v>
      </c>
      <c r="CX388" t="n">
        <v>1</v>
      </c>
      <c r="CY388" t="n">
        <v>1</v>
      </c>
      <c r="CZ388" t="n">
        <v>3</v>
      </c>
      <c r="DA388" t="n">
        <v>0</v>
      </c>
      <c r="DB388" t="n">
        <v>3</v>
      </c>
      <c r="DC388" t="n">
        <v>3</v>
      </c>
      <c r="DG388" t="n">
        <v>3</v>
      </c>
      <c r="DH388" t="n">
        <v>2</v>
      </c>
      <c r="DJ388" t="n">
        <v>0</v>
      </c>
      <c r="DL388" t="n">
        <v>0</v>
      </c>
      <c r="DM388" t="n">
        <v>1</v>
      </c>
      <c r="DO388" t="n">
        <v>15</v>
      </c>
      <c r="DP388" t="n">
        <v>1</v>
      </c>
      <c r="DQ388" t="n">
        <v>2</v>
      </c>
      <c r="DR388" t="n">
        <v>2</v>
      </c>
      <c r="DS388" t="n">
        <v>3</v>
      </c>
      <c r="DU388" t="n">
        <v>0</v>
      </c>
      <c r="DW388" t="n">
        <v>0</v>
      </c>
      <c r="DX388" t="n">
        <v>0</v>
      </c>
      <c r="DZ388" t="n">
        <v>0</v>
      </c>
      <c r="ED388" t="n">
        <v>0</v>
      </c>
      <c r="EG388" t="n">
        <v>0</v>
      </c>
      <c r="EH388" t="n">
        <v>0</v>
      </c>
      <c r="EI388" t="n">
        <v>1</v>
      </c>
      <c r="EJ388" t="n">
        <v>0</v>
      </c>
      <c r="EK388" t="n">
        <v>1</v>
      </c>
      <c r="EL388" t="n">
        <v>0</v>
      </c>
      <c r="EM388" t="n">
        <v>0</v>
      </c>
      <c r="EN388" t="n">
        <v>1</v>
      </c>
      <c r="EO388" t="n">
        <v>0</v>
      </c>
      <c r="EP388" t="n">
        <v>0</v>
      </c>
      <c r="EQ388" t="n">
        <v>1</v>
      </c>
      <c r="ER388" t="n">
        <v>7</v>
      </c>
      <c r="ES388" t="n">
        <v>0</v>
      </c>
      <c r="ET388" t="n">
        <v>1</v>
      </c>
      <c r="EU388" t="n">
        <v>0</v>
      </c>
      <c r="EW388" t="n">
        <v>0</v>
      </c>
      <c r="EX388" t="n">
        <v>6</v>
      </c>
      <c r="EY388" t="n">
        <v>1</v>
      </c>
      <c r="EZ388" t="n">
        <v>5</v>
      </c>
      <c r="FA388" t="n">
        <v>4</v>
      </c>
      <c r="FB388" t="n">
        <v>7</v>
      </c>
      <c r="FC388" t="n">
        <v>6</v>
      </c>
      <c r="FD388" t="n">
        <v>3</v>
      </c>
      <c r="FE388" t="n">
        <v>3</v>
      </c>
      <c r="FF388" t="n">
        <v>11</v>
      </c>
      <c r="FG388" t="n">
        <v>3</v>
      </c>
      <c r="FH388" t="n">
        <v>1</v>
      </c>
      <c r="FI388" t="n">
        <v>1</v>
      </c>
      <c r="FJ388" t="n">
        <v>1</v>
      </c>
      <c r="FK388" t="n">
        <v>6</v>
      </c>
      <c r="FP388" t="n">
        <v>1</v>
      </c>
      <c r="FQ388" t="n">
        <v>0</v>
      </c>
      <c r="FR388" t="n">
        <v>0</v>
      </c>
      <c r="FS388" t="n">
        <v>0</v>
      </c>
      <c r="FU388" t="n">
        <v>0</v>
      </c>
      <c r="FV388" t="n">
        <v>1</v>
      </c>
      <c r="FW388" t="n">
        <v>0</v>
      </c>
      <c r="FX388" t="n">
        <v>5</v>
      </c>
      <c r="FY388" t="n">
        <v>3</v>
      </c>
      <c r="GA388" t="n">
        <v>0</v>
      </c>
      <c r="GB388" t="n">
        <v>0</v>
      </c>
      <c r="GD388" t="n">
        <v>1</v>
      </c>
      <c r="GG388" t="n">
        <v>2</v>
      </c>
      <c r="GH388" t="n">
        <v>1</v>
      </c>
      <c r="GI388" t="n">
        <v>3</v>
      </c>
      <c r="GJ388" t="n">
        <v>3</v>
      </c>
      <c r="GK388" t="n">
        <v>2</v>
      </c>
      <c r="GL388" t="n">
        <v>1</v>
      </c>
      <c r="GM388" t="n">
        <v>0</v>
      </c>
      <c r="GN388" t="n">
        <v>1</v>
      </c>
      <c r="GO388" t="n">
        <v>1</v>
      </c>
      <c r="GP388" t="n">
        <v>3</v>
      </c>
      <c r="GQ388" t="n">
        <v>3</v>
      </c>
      <c r="GR388" t="n">
        <v>4</v>
      </c>
      <c r="GS388" t="n">
        <v>3</v>
      </c>
      <c r="GT388" t="n">
        <v>3</v>
      </c>
      <c r="GU388" t="n">
        <v>6</v>
      </c>
      <c r="GV388" t="n">
        <v>2</v>
      </c>
      <c r="GW388" t="n">
        <v>6</v>
      </c>
      <c r="GX388" t="n">
        <v>15</v>
      </c>
      <c r="GY388" t="n">
        <v>2</v>
      </c>
      <c r="GZ388" t="n">
        <v>7</v>
      </c>
      <c r="HA388" t="n">
        <v>3</v>
      </c>
      <c r="HB388" t="n">
        <v>4</v>
      </c>
      <c r="HC388" t="n">
        <v>1</v>
      </c>
      <c r="HD388" t="n">
        <v>0</v>
      </c>
      <c r="HE388" t="n">
        <v>2</v>
      </c>
      <c r="HF388" t="n">
        <v>3</v>
      </c>
      <c r="HG388" t="n">
        <v>6</v>
      </c>
      <c r="HH388" t="n">
        <v>1</v>
      </c>
      <c r="HI388" t="n">
        <v>1</v>
      </c>
      <c r="HK388" t="n">
        <v>2</v>
      </c>
      <c r="HL388" t="n">
        <v>0</v>
      </c>
      <c r="HM388" t="n">
        <v>1</v>
      </c>
      <c r="HN388" t="n">
        <v>0</v>
      </c>
      <c r="HO388" t="n">
        <v>0</v>
      </c>
      <c r="HQ388" t="n">
        <v>0</v>
      </c>
      <c r="HT388" t="n">
        <v>4</v>
      </c>
      <c r="HU388" t="n">
        <v>9</v>
      </c>
      <c r="HV388" t="n">
        <v>17</v>
      </c>
      <c r="HW388" t="n">
        <v>19</v>
      </c>
      <c r="HX388" t="n">
        <v>3</v>
      </c>
      <c r="HZ388" t="n">
        <v>1</v>
      </c>
      <c r="IA388" t="n">
        <v>0</v>
      </c>
      <c r="IB388" t="n">
        <v>18</v>
      </c>
      <c r="IC388" t="n">
        <v>0</v>
      </c>
      <c r="ID388" t="n">
        <v>22</v>
      </c>
      <c r="IE388" t="n">
        <v>4</v>
      </c>
      <c r="IF388" t="n">
        <v>1</v>
      </c>
      <c r="IG388" t="n">
        <v>5</v>
      </c>
      <c r="IH388" t="n">
        <v>15</v>
      </c>
      <c r="II388" t="n">
        <v>4</v>
      </c>
      <c r="IJ388" t="n">
        <v>2</v>
      </c>
      <c r="IK388" t="n">
        <v>12</v>
      </c>
      <c r="IL388" t="n">
        <v>29</v>
      </c>
      <c r="IM388" t="n">
        <v>21</v>
      </c>
      <c r="IN388" t="n">
        <v>2</v>
      </c>
      <c r="IO388" t="n">
        <v>2</v>
      </c>
      <c r="IP388" t="n">
        <v>9</v>
      </c>
      <c r="IQ388" t="n">
        <v>0</v>
      </c>
      <c r="IR388" t="n">
        <v>4</v>
      </c>
      <c r="IS388" t="n">
        <v>4</v>
      </c>
      <c r="IT388" t="n">
        <v>1</v>
      </c>
      <c r="IU388" t="n">
        <v>2</v>
      </c>
      <c r="IV388" t="n">
        <v>1</v>
      </c>
      <c r="IW388" t="n">
        <v>4</v>
      </c>
      <c r="IX388" t="n">
        <v>2</v>
      </c>
      <c r="IY388" t="n">
        <v>0</v>
      </c>
      <c r="IZ388" t="n">
        <v>7</v>
      </c>
      <c r="JA388" t="n">
        <v>6</v>
      </c>
      <c r="JB388" t="n">
        <v>3</v>
      </c>
      <c r="JD388" t="n">
        <v>2</v>
      </c>
      <c r="JE388" t="n">
        <v>1</v>
      </c>
      <c r="JF388" t="n">
        <v>3</v>
      </c>
      <c r="JG388" t="n">
        <v>19</v>
      </c>
      <c r="JH388" t="n">
        <v>4</v>
      </c>
      <c r="JI388" t="n">
        <v>0</v>
      </c>
      <c r="JJ388" t="n">
        <v>2</v>
      </c>
      <c r="JK388" t="n">
        <v>170</v>
      </c>
      <c r="JL388" t="n">
        <v>30</v>
      </c>
      <c r="JM388" t="n">
        <v>157</v>
      </c>
      <c r="JN388" t="n">
        <v>343</v>
      </c>
      <c r="JO388" t="n">
        <v>487</v>
      </c>
      <c r="JP388" t="n">
        <v>82</v>
      </c>
      <c r="JQ388" t="n">
        <v>369</v>
      </c>
      <c r="JR388" t="n">
        <v>156</v>
      </c>
      <c r="JS388" t="n">
        <v>570</v>
      </c>
      <c r="JT388" t="n">
        <v>75</v>
      </c>
      <c r="JV388" t="n">
        <v>278</v>
      </c>
      <c r="JW388" t="n">
        <v>371</v>
      </c>
      <c r="JX388" t="n">
        <v>417</v>
      </c>
      <c r="JY388" t="n">
        <v>209</v>
      </c>
      <c r="JZ388" t="n">
        <v>92</v>
      </c>
      <c r="KA388" t="n">
        <v>313</v>
      </c>
      <c r="KB388" t="n">
        <v>50</v>
      </c>
      <c r="KC388" t="n">
        <v>152</v>
      </c>
      <c r="KD388" t="n">
        <v>109</v>
      </c>
      <c r="KF388" t="n">
        <v>11</v>
      </c>
      <c r="KG388" t="n">
        <v>396</v>
      </c>
      <c r="KH388" t="n">
        <v>838</v>
      </c>
      <c r="KI388" t="n">
        <v>385</v>
      </c>
      <c r="KJ388" t="n">
        <v>2</v>
      </c>
      <c r="KK388" t="n">
        <v>587</v>
      </c>
      <c r="KL388" t="n">
        <v>4</v>
      </c>
      <c r="KM388" t="n">
        <v>162</v>
      </c>
      <c r="KN388" t="n">
        <v>16</v>
      </c>
      <c r="KO388" t="n">
        <v>14</v>
      </c>
      <c r="KP388" t="n">
        <v>15</v>
      </c>
      <c r="KQ388" t="n">
        <v>3</v>
      </c>
      <c r="KR388" t="n">
        <v>220</v>
      </c>
      <c r="KS388" t="n">
        <v>49</v>
      </c>
      <c r="KU388" t="n">
        <v>17</v>
      </c>
      <c r="KV388" t="n">
        <v>21</v>
      </c>
      <c r="KW388" t="n">
        <v>415</v>
      </c>
      <c r="KX388" t="n">
        <v>157</v>
      </c>
      <c r="KY388" t="n">
        <v>49</v>
      </c>
      <c r="KZ388" t="n">
        <v>216</v>
      </c>
      <c r="LA388" t="n">
        <v>195</v>
      </c>
      <c r="LB388" t="n">
        <v>0</v>
      </c>
      <c r="LC388" t="n">
        <v>113</v>
      </c>
      <c r="LD388" t="n">
        <v>191</v>
      </c>
      <c r="LE388" t="n">
        <v>315</v>
      </c>
      <c r="LF388" t="n">
        <v>69</v>
      </c>
      <c r="LH388" t="n">
        <v>581</v>
      </c>
      <c r="LI388" t="n">
        <v>7</v>
      </c>
      <c r="LJ388" t="n">
        <v>5</v>
      </c>
      <c r="LL388" t="n">
        <v>0</v>
      </c>
      <c r="LM388" t="n">
        <v>2714</v>
      </c>
      <c r="LN388" t="n">
        <v>998</v>
      </c>
      <c r="LO388" t="n">
        <v>466</v>
      </c>
      <c r="LP388" t="n">
        <v>33</v>
      </c>
      <c r="LQ388" t="n">
        <v>32</v>
      </c>
      <c r="LR388" t="n">
        <v>321</v>
      </c>
      <c r="LS388" t="n">
        <v>68</v>
      </c>
      <c r="LT388" t="n">
        <v>407</v>
      </c>
      <c r="LU388" t="n">
        <v>143</v>
      </c>
      <c r="LV388" t="n">
        <v>58</v>
      </c>
      <c r="LW388" t="n">
        <v>260</v>
      </c>
      <c r="LX388" t="n">
        <v>236</v>
      </c>
      <c r="LY388" t="n">
        <v>115</v>
      </c>
      <c r="LZ388" t="n">
        <v>135</v>
      </c>
      <c r="MA388" t="n">
        <v>59</v>
      </c>
      <c r="MB388" t="n">
        <v>9</v>
      </c>
      <c r="MC388" t="n">
        <v>3</v>
      </c>
      <c r="MD388" t="n">
        <v>15</v>
      </c>
      <c r="ME388" t="n">
        <v>65</v>
      </c>
      <c r="MF388" t="n">
        <v>1206</v>
      </c>
      <c r="MG388" t="n">
        <v>151</v>
      </c>
      <c r="MH388" t="n">
        <v>1694</v>
      </c>
      <c r="MI388" t="n">
        <v>333</v>
      </c>
      <c r="MJ388" t="n">
        <v>1482</v>
      </c>
      <c r="MK388" t="n">
        <v>104</v>
      </c>
      <c r="ML388" t="n">
        <v>238</v>
      </c>
      <c r="MM388" t="n">
        <v>733</v>
      </c>
      <c r="MN388" t="n">
        <v>144</v>
      </c>
      <c r="MO388" t="n">
        <v>1138</v>
      </c>
      <c r="MP388" t="n">
        <v>485</v>
      </c>
      <c r="MQ388" t="n">
        <v>133</v>
      </c>
      <c r="MR388" t="n">
        <v>10</v>
      </c>
      <c r="MS388" t="n">
        <v>301</v>
      </c>
      <c r="MT388" t="n">
        <v>34</v>
      </c>
      <c r="MU388" t="n">
        <v>34</v>
      </c>
      <c r="MV388" t="n">
        <v>127</v>
      </c>
      <c r="MW388" t="n">
        <v>124</v>
      </c>
      <c r="MX388" t="n">
        <v>24</v>
      </c>
      <c r="MY388" t="n">
        <v>75</v>
      </c>
      <c r="MZ388" t="n">
        <v>1581</v>
      </c>
      <c r="NA388" t="n">
        <v>109</v>
      </c>
      <c r="NB388" t="n">
        <v>28</v>
      </c>
      <c r="NC388" t="n">
        <v>27</v>
      </c>
      <c r="ND388" t="n">
        <v>28</v>
      </c>
      <c r="NE388" t="n">
        <v>18</v>
      </c>
      <c r="NF388" t="n">
        <v>15</v>
      </c>
      <c r="NG388" t="n">
        <v>88</v>
      </c>
      <c r="NH388" t="n">
        <v>9</v>
      </c>
      <c r="NI388" t="n">
        <v>24</v>
      </c>
      <c r="NJ388" t="n">
        <v>13</v>
      </c>
      <c r="NK388" t="n">
        <v>23</v>
      </c>
      <c r="NL388" t="n">
        <v>38</v>
      </c>
      <c r="NM388" t="n">
        <v>115</v>
      </c>
      <c r="NN388" t="n">
        <v>279</v>
      </c>
      <c r="NO388" t="n">
        <v>524</v>
      </c>
      <c r="NP388" t="n">
        <v>825</v>
      </c>
      <c r="NQ388" t="n">
        <v>91</v>
      </c>
      <c r="NR388" t="n">
        <v>132</v>
      </c>
      <c r="NS388" t="n">
        <v>23</v>
      </c>
      <c r="NT388" t="n">
        <v>59</v>
      </c>
      <c r="NU388" t="n">
        <v>62</v>
      </c>
      <c r="NV388" t="n">
        <v>63</v>
      </c>
      <c r="NW388" t="n">
        <v>3</v>
      </c>
      <c r="NX388" t="n">
        <v>31</v>
      </c>
      <c r="NY388" t="n">
        <v>74</v>
      </c>
      <c r="NZ388" t="n">
        <v>6</v>
      </c>
      <c r="OA388" t="n">
        <v>16</v>
      </c>
      <c r="OB388" t="n">
        <v>65</v>
      </c>
      <c r="OD388" t="n">
        <v>108</v>
      </c>
      <c r="OE388" t="n">
        <v>6</v>
      </c>
      <c r="OF388" t="n">
        <v>35</v>
      </c>
      <c r="OG388" t="n">
        <v>48</v>
      </c>
      <c r="OI388" t="n">
        <v>567</v>
      </c>
      <c r="OJ388" t="n">
        <v>496</v>
      </c>
      <c r="OK388" t="n">
        <v>2800</v>
      </c>
      <c r="OL388" t="n">
        <v>73</v>
      </c>
      <c r="OM388" t="n">
        <v>793</v>
      </c>
      <c r="ON388" t="n">
        <v>1218</v>
      </c>
      <c r="OO388" t="n">
        <v>37588</v>
      </c>
      <c r="OP388" t="n">
        <v>22333</v>
      </c>
      <c r="OV388" t="n">
        <v>5</v>
      </c>
      <c r="PI388" t="n">
        <v>59925</v>
      </c>
      <c r="PM388">
        <f>IFERROR(VLOOKUP($A388&amp;"",Key!$A:$C,3,FALSE),"")</f>
        <v/>
      </c>
    </row>
    <row r="389">
      <c r="A389" t="n">
        <v>812100</v>
      </c>
      <c r="B389" t="inlineStr">
        <is>
          <t>Personal care services</t>
        </is>
      </c>
      <c r="NV389" t="n">
        <v>562</v>
      </c>
      <c r="OK389" t="n">
        <v>30</v>
      </c>
      <c r="OO389" t="n">
        <v>592</v>
      </c>
      <c r="OP389" t="n">
        <v>79038</v>
      </c>
      <c r="PI389" t="n">
        <v>79630</v>
      </c>
      <c r="PM389">
        <f>IFERROR(VLOOKUP($A389&amp;"",Key!$A:$C,3,FALSE),"")</f>
        <v/>
      </c>
    </row>
    <row r="390">
      <c r="A390" t="n">
        <v>812200</v>
      </c>
      <c r="B390" t="inlineStr">
        <is>
          <t>Death care services</t>
        </is>
      </c>
      <c r="OP390" t="n">
        <v>21338</v>
      </c>
      <c r="PI390" t="n">
        <v>21338</v>
      </c>
      <c r="PM390">
        <f>IFERROR(VLOOKUP($A390&amp;"",Key!$A:$C,3,FALSE),"")</f>
        <v/>
      </c>
    </row>
    <row r="391">
      <c r="A391" t="n">
        <v>812300</v>
      </c>
      <c r="B391" t="inlineStr">
        <is>
          <t>Dry-cleaning and laundry services</t>
        </is>
      </c>
      <c r="O391" t="n">
        <v>14</v>
      </c>
      <c r="P391" t="n">
        <v>0</v>
      </c>
      <c r="Y391" t="n">
        <v>3</v>
      </c>
      <c r="AM391" t="n">
        <v>1</v>
      </c>
      <c r="AO391" t="n">
        <v>0</v>
      </c>
      <c r="AQ391" t="n">
        <v>1</v>
      </c>
      <c r="AR391" t="n">
        <v>59</v>
      </c>
      <c r="AT391" t="n">
        <v>4</v>
      </c>
      <c r="AV391" t="n">
        <v>3</v>
      </c>
      <c r="BC391" t="n">
        <v>22</v>
      </c>
      <c r="BE391" t="n">
        <v>0</v>
      </c>
      <c r="BI391" t="n">
        <v>16</v>
      </c>
      <c r="BJ391" t="n">
        <v>1</v>
      </c>
      <c r="BL391" t="n">
        <v>3</v>
      </c>
      <c r="BX391" t="n">
        <v>0</v>
      </c>
      <c r="BZ391" t="n">
        <v>85</v>
      </c>
      <c r="CK391" t="n">
        <v>4</v>
      </c>
      <c r="CM391" t="n">
        <v>16</v>
      </c>
      <c r="EQ391" t="n">
        <v>0</v>
      </c>
      <c r="ET391" t="n">
        <v>10</v>
      </c>
      <c r="EZ391" t="n">
        <v>1</v>
      </c>
      <c r="FC391" t="n">
        <v>1</v>
      </c>
      <c r="FE391" t="n">
        <v>14</v>
      </c>
      <c r="FK391" t="n">
        <v>11</v>
      </c>
      <c r="FY391" t="n">
        <v>1</v>
      </c>
      <c r="FZ391" t="n">
        <v>12</v>
      </c>
      <c r="GB391" t="n">
        <v>0</v>
      </c>
      <c r="GH391" t="n">
        <v>1</v>
      </c>
      <c r="GZ391" t="n">
        <v>2</v>
      </c>
      <c r="HL391" t="n">
        <v>2</v>
      </c>
      <c r="HM391" t="n">
        <v>2</v>
      </c>
      <c r="HN391" t="n">
        <v>2</v>
      </c>
      <c r="HO391" t="n">
        <v>1</v>
      </c>
      <c r="HQ391" t="n">
        <v>1</v>
      </c>
      <c r="HU391" t="n">
        <v>0</v>
      </c>
      <c r="ID391" t="n">
        <v>1</v>
      </c>
      <c r="IQ391" t="n">
        <v>1</v>
      </c>
      <c r="JG391" t="n">
        <v>4</v>
      </c>
      <c r="JK391" t="n">
        <v>7</v>
      </c>
      <c r="JL391" t="n">
        <v>239</v>
      </c>
      <c r="JM391" t="n">
        <v>125</v>
      </c>
      <c r="JN391" t="n">
        <v>94</v>
      </c>
      <c r="JO391" t="n">
        <v>477</v>
      </c>
      <c r="JQ391" t="n">
        <v>46</v>
      </c>
      <c r="JS391" t="n">
        <v>35</v>
      </c>
      <c r="JT391" t="n">
        <v>37</v>
      </c>
      <c r="JV391" t="n">
        <v>539</v>
      </c>
      <c r="JW391" t="n">
        <v>56</v>
      </c>
      <c r="JX391" t="n">
        <v>57</v>
      </c>
      <c r="JY391" t="n">
        <v>22</v>
      </c>
      <c r="JZ391" t="n">
        <v>5</v>
      </c>
      <c r="KA391" t="n">
        <v>258</v>
      </c>
      <c r="KC391" t="n">
        <v>28</v>
      </c>
      <c r="KD391" t="n">
        <v>10</v>
      </c>
      <c r="KE391" t="n">
        <v>1</v>
      </c>
      <c r="KF391" t="n">
        <v>25</v>
      </c>
      <c r="KH391" t="n">
        <v>5</v>
      </c>
      <c r="KI391" t="n">
        <v>72</v>
      </c>
      <c r="KK391" t="n">
        <v>670</v>
      </c>
      <c r="KL391" t="n">
        <v>7</v>
      </c>
      <c r="KS391" t="n">
        <v>7</v>
      </c>
      <c r="KW391" t="n">
        <v>4</v>
      </c>
      <c r="KX391" t="n">
        <v>16</v>
      </c>
      <c r="KY391" t="n">
        <v>1</v>
      </c>
      <c r="LM391" t="n">
        <v>667</v>
      </c>
      <c r="LO391" t="n">
        <v>52</v>
      </c>
      <c r="LP391" t="n">
        <v>5</v>
      </c>
      <c r="LR391" t="n">
        <v>26</v>
      </c>
      <c r="LS391" t="n">
        <v>4</v>
      </c>
      <c r="LT391" t="n">
        <v>32</v>
      </c>
      <c r="LU391" t="n">
        <v>16</v>
      </c>
      <c r="LV391" t="n">
        <v>28</v>
      </c>
      <c r="LW391" t="n">
        <v>3</v>
      </c>
      <c r="LX391" t="n">
        <v>29</v>
      </c>
      <c r="LY391" t="n">
        <v>12</v>
      </c>
      <c r="LZ391" t="n">
        <v>291</v>
      </c>
      <c r="MA391" t="n">
        <v>28</v>
      </c>
      <c r="MC391" t="n">
        <v>33</v>
      </c>
      <c r="MD391" t="n">
        <v>20</v>
      </c>
      <c r="ME391" t="n">
        <v>26</v>
      </c>
      <c r="MG391" t="n">
        <v>29</v>
      </c>
      <c r="MH391" t="n">
        <v>66</v>
      </c>
      <c r="MI391" t="n">
        <v>28</v>
      </c>
      <c r="MJ391" t="n">
        <v>1</v>
      </c>
      <c r="MK391" t="n">
        <v>9</v>
      </c>
      <c r="ML391" t="n">
        <v>31</v>
      </c>
      <c r="MM391" t="n">
        <v>12</v>
      </c>
      <c r="MN391" t="n">
        <v>36</v>
      </c>
      <c r="MO391" t="n">
        <v>15</v>
      </c>
      <c r="MP391" t="n">
        <v>7</v>
      </c>
      <c r="MQ391" t="n">
        <v>46</v>
      </c>
      <c r="MR391" t="n">
        <v>5</v>
      </c>
      <c r="MS391" t="n">
        <v>276</v>
      </c>
      <c r="MT391" t="n">
        <v>236</v>
      </c>
      <c r="MU391" t="n">
        <v>63</v>
      </c>
      <c r="MV391" t="n">
        <v>294</v>
      </c>
      <c r="MW391" t="n">
        <v>35</v>
      </c>
      <c r="MX391" t="n">
        <v>27</v>
      </c>
      <c r="MY391" t="n">
        <v>16</v>
      </c>
      <c r="MZ391" t="n">
        <v>2859</v>
      </c>
      <c r="NA391" t="n">
        <v>526</v>
      </c>
      <c r="NB391" t="n">
        <v>90</v>
      </c>
      <c r="NC391" t="n">
        <v>129</v>
      </c>
      <c r="ND391" t="n">
        <v>58</v>
      </c>
      <c r="NE391" t="n">
        <v>45</v>
      </c>
      <c r="NG391" t="n">
        <v>2</v>
      </c>
      <c r="NI391" t="n">
        <v>4</v>
      </c>
      <c r="NJ391" t="n">
        <v>1</v>
      </c>
      <c r="NK391" t="n">
        <v>8</v>
      </c>
      <c r="NL391" t="n">
        <v>31</v>
      </c>
      <c r="NM391" t="n">
        <v>106</v>
      </c>
      <c r="NN391" t="n">
        <v>276</v>
      </c>
      <c r="NO391" t="n">
        <v>167</v>
      </c>
      <c r="NP391" t="n">
        <v>505</v>
      </c>
      <c r="NQ391" t="n">
        <v>201</v>
      </c>
      <c r="NR391" t="n">
        <v>144</v>
      </c>
      <c r="NS391" t="n">
        <v>96</v>
      </c>
      <c r="NT391" t="n">
        <v>15</v>
      </c>
      <c r="NU391" t="n">
        <v>9</v>
      </c>
      <c r="NV391" t="n">
        <v>819</v>
      </c>
      <c r="NX391" t="n">
        <v>568</v>
      </c>
      <c r="NY391" t="n">
        <v>314</v>
      </c>
      <c r="NZ391" t="n">
        <v>36</v>
      </c>
      <c r="OA391" t="n">
        <v>8</v>
      </c>
      <c r="OB391" t="n">
        <v>19</v>
      </c>
      <c r="OD391" t="n">
        <v>153</v>
      </c>
      <c r="OE391" t="n">
        <v>11</v>
      </c>
      <c r="OF391" t="n">
        <v>19</v>
      </c>
      <c r="OI391" t="n">
        <v>410</v>
      </c>
      <c r="OJ391" t="n">
        <v>621</v>
      </c>
      <c r="OK391" t="n">
        <v>1185</v>
      </c>
      <c r="OL391" t="n">
        <v>2</v>
      </c>
      <c r="OM391" t="n">
        <v>15</v>
      </c>
      <c r="ON391" t="n">
        <v>12</v>
      </c>
      <c r="OO391" t="n">
        <v>15104</v>
      </c>
      <c r="OP391" t="n">
        <v>14091</v>
      </c>
      <c r="PI391" t="n">
        <v>29195</v>
      </c>
      <c r="PM391">
        <f>IFERROR(VLOOKUP($A391&amp;"",Key!$A:$C,3,FALSE),"")</f>
        <v/>
      </c>
    </row>
    <row r="392">
      <c r="A392" t="n">
        <v>812900</v>
      </c>
      <c r="B392" t="inlineStr">
        <is>
          <t>Other personal services</t>
        </is>
      </c>
      <c r="JK392" t="n">
        <v>181</v>
      </c>
      <c r="JL392" t="n">
        <v>127</v>
      </c>
      <c r="JM392" t="n">
        <v>269</v>
      </c>
      <c r="JN392" t="n">
        <v>202</v>
      </c>
      <c r="JO392" t="n">
        <v>213</v>
      </c>
      <c r="JQ392" t="n">
        <v>331</v>
      </c>
      <c r="JS392" t="n">
        <v>1160</v>
      </c>
      <c r="JT392" t="n">
        <v>72</v>
      </c>
      <c r="JV392" t="n">
        <v>20</v>
      </c>
      <c r="JX392" t="n">
        <v>0</v>
      </c>
      <c r="JY392" t="n">
        <v>17</v>
      </c>
      <c r="JZ392" t="n">
        <v>32</v>
      </c>
      <c r="KB392" t="n">
        <v>1</v>
      </c>
      <c r="KC392" t="n">
        <v>22</v>
      </c>
      <c r="KD392" t="n">
        <v>253</v>
      </c>
      <c r="KE392" t="n">
        <v>1</v>
      </c>
      <c r="KH392" t="n">
        <v>3</v>
      </c>
      <c r="KN392" t="n">
        <v>0</v>
      </c>
      <c r="KO392" t="n">
        <v>1</v>
      </c>
      <c r="KP392" t="n">
        <v>0</v>
      </c>
      <c r="KQ392" t="n">
        <v>12</v>
      </c>
      <c r="KR392" t="n">
        <v>2</v>
      </c>
      <c r="KV392" t="n">
        <v>2</v>
      </c>
      <c r="KW392" t="n">
        <v>60</v>
      </c>
      <c r="KX392" t="n">
        <v>321</v>
      </c>
      <c r="KY392" t="n">
        <v>13</v>
      </c>
      <c r="KZ392" t="n">
        <v>4</v>
      </c>
      <c r="LB392" t="n">
        <v>0</v>
      </c>
      <c r="LC392" t="n">
        <v>47</v>
      </c>
      <c r="LD392" t="n">
        <v>37</v>
      </c>
      <c r="LE392" t="n">
        <v>42</v>
      </c>
      <c r="LF392" t="n">
        <v>7</v>
      </c>
      <c r="LH392" t="n">
        <v>6</v>
      </c>
      <c r="LI392" t="n">
        <v>1</v>
      </c>
      <c r="LM392" t="n">
        <v>133</v>
      </c>
      <c r="LR392" t="n">
        <v>86</v>
      </c>
      <c r="LS392" t="n">
        <v>3</v>
      </c>
      <c r="LT392" t="n">
        <v>4</v>
      </c>
      <c r="LU392" t="n">
        <v>1</v>
      </c>
      <c r="LV392" t="n">
        <v>569</v>
      </c>
      <c r="LW392" t="n">
        <v>409</v>
      </c>
      <c r="LX392" t="n">
        <v>22</v>
      </c>
      <c r="LY392" t="n">
        <v>826</v>
      </c>
      <c r="LZ392" t="n">
        <v>453</v>
      </c>
      <c r="MA392" t="n">
        <v>160</v>
      </c>
      <c r="MB392" t="n">
        <v>109</v>
      </c>
      <c r="MC392" t="n">
        <v>131</v>
      </c>
      <c r="ME392" t="n">
        <v>28</v>
      </c>
      <c r="MF392" t="n">
        <v>11</v>
      </c>
      <c r="MH392" t="n">
        <v>0</v>
      </c>
      <c r="MI392" t="n">
        <v>1</v>
      </c>
      <c r="MJ392" t="n">
        <v>45</v>
      </c>
      <c r="MK392" t="n">
        <v>44</v>
      </c>
      <c r="ML392" t="n">
        <v>1</v>
      </c>
      <c r="MN392" t="n">
        <v>31</v>
      </c>
      <c r="MO392" t="n">
        <v>0</v>
      </c>
      <c r="MQ392" t="n">
        <v>1</v>
      </c>
      <c r="MR392" t="n">
        <v>2</v>
      </c>
      <c r="MS392" t="n">
        <v>28</v>
      </c>
      <c r="MT392" t="n">
        <v>4</v>
      </c>
      <c r="MU392" t="n">
        <v>2</v>
      </c>
      <c r="MW392" t="n">
        <v>6</v>
      </c>
      <c r="MX392" t="n">
        <v>4</v>
      </c>
      <c r="MZ392" t="n">
        <v>2</v>
      </c>
      <c r="NA392" t="n">
        <v>9</v>
      </c>
      <c r="NC392" t="n">
        <v>38</v>
      </c>
      <c r="ND392" t="n">
        <v>0</v>
      </c>
      <c r="NE392" t="n">
        <v>0</v>
      </c>
      <c r="NF392" t="n">
        <v>129</v>
      </c>
      <c r="NG392" t="n">
        <v>2</v>
      </c>
      <c r="NH392" t="n">
        <v>0</v>
      </c>
      <c r="NI392" t="n">
        <v>4</v>
      </c>
      <c r="NJ392" t="n">
        <v>0</v>
      </c>
      <c r="NK392" t="n">
        <v>9</v>
      </c>
      <c r="NL392" t="n">
        <v>49</v>
      </c>
      <c r="NM392" t="n">
        <v>38</v>
      </c>
      <c r="NN392" t="n">
        <v>65</v>
      </c>
      <c r="NP392" t="n">
        <v>2</v>
      </c>
      <c r="NU392" t="n">
        <v>2</v>
      </c>
      <c r="NY392" t="n">
        <v>0</v>
      </c>
      <c r="OB392" t="n">
        <v>1</v>
      </c>
      <c r="OD392" t="n">
        <v>0</v>
      </c>
      <c r="OF392" t="n">
        <v>11</v>
      </c>
      <c r="OI392" t="n">
        <v>31</v>
      </c>
      <c r="OK392" t="n">
        <v>2563</v>
      </c>
      <c r="ON392" t="n">
        <v>31</v>
      </c>
      <c r="OO392" t="n">
        <v>9564</v>
      </c>
      <c r="OP392" t="n">
        <v>71772</v>
      </c>
      <c r="PI392" t="n">
        <v>81336</v>
      </c>
      <c r="PM392">
        <f>IFERROR(VLOOKUP($A392&amp;"",Key!$A:$C,3,FALSE),"")</f>
        <v/>
      </c>
    </row>
    <row r="393">
      <c r="A393" t="n">
        <v>813100</v>
      </c>
      <c r="B393" t="inlineStr">
        <is>
          <t>Religious organizations</t>
        </is>
      </c>
      <c r="OP393" t="n">
        <v>100202</v>
      </c>
      <c r="PI393" t="n">
        <v>100202</v>
      </c>
      <c r="PM393">
        <f>IFERROR(VLOOKUP($A393&amp;"",Key!$A:$C,3,FALSE),"")</f>
        <v/>
      </c>
    </row>
    <row r="394">
      <c r="A394" t="inlineStr">
        <is>
          <t>813A00</t>
        </is>
      </c>
      <c r="B394" t="inlineStr">
        <is>
          <t>Grantmaking, giving, and social advocacy organizations</t>
        </is>
      </c>
      <c r="OA394" t="n">
        <v>0</v>
      </c>
      <c r="OB394" t="n">
        <v>225</v>
      </c>
      <c r="OO394" t="n">
        <v>225</v>
      </c>
      <c r="OP394" t="n">
        <v>58233</v>
      </c>
      <c r="PI394" t="n">
        <v>58458</v>
      </c>
      <c r="PM394">
        <f>IFERROR(VLOOKUP($A394&amp;"",Key!$A:$C,3,FALSE),"")</f>
        <v/>
      </c>
    </row>
    <row r="395">
      <c r="A395" t="inlineStr">
        <is>
          <t>813B00</t>
        </is>
      </c>
      <c r="B395" t="inlineStr">
        <is>
          <t>Civic, social, professional, and similar organizations</t>
        </is>
      </c>
      <c r="C395" t="n">
        <v>42</v>
      </c>
      <c r="D395" t="n">
        <v>10</v>
      </c>
      <c r="E395" t="n">
        <v>3</v>
      </c>
      <c r="F395" t="n">
        <v>3</v>
      </c>
      <c r="G395" t="n">
        <v>3</v>
      </c>
      <c r="H395" t="n">
        <v>5</v>
      </c>
      <c r="I395" t="n">
        <v>25</v>
      </c>
      <c r="J395" t="n">
        <v>2</v>
      </c>
      <c r="K395" t="n">
        <v>11</v>
      </c>
      <c r="L395" t="n">
        <v>4</v>
      </c>
      <c r="P395" t="n">
        <v>15</v>
      </c>
      <c r="Q395" t="n">
        <v>8</v>
      </c>
      <c r="R395" t="n">
        <v>1</v>
      </c>
      <c r="S395" t="n">
        <v>1</v>
      </c>
      <c r="T395" t="n">
        <v>2</v>
      </c>
      <c r="U395" t="n">
        <v>1</v>
      </c>
      <c r="V395" t="n">
        <v>7</v>
      </c>
      <c r="W395" t="n">
        <v>37</v>
      </c>
      <c r="X395" t="n">
        <v>140</v>
      </c>
      <c r="Y395" t="n">
        <v>82</v>
      </c>
      <c r="Z395" t="n">
        <v>3</v>
      </c>
      <c r="AA395" t="n">
        <v>9</v>
      </c>
      <c r="AB395" t="n">
        <v>1</v>
      </c>
      <c r="AC395" t="n">
        <v>53</v>
      </c>
      <c r="AD395" t="n">
        <v>29</v>
      </c>
      <c r="AE395" t="n">
        <v>67</v>
      </c>
      <c r="AF395" t="n">
        <v>24</v>
      </c>
      <c r="AG395" t="n">
        <v>233</v>
      </c>
      <c r="AH395" t="n">
        <v>9</v>
      </c>
      <c r="AI395" t="n">
        <v>35</v>
      </c>
      <c r="AJ395" t="n">
        <v>21</v>
      </c>
      <c r="AK395" t="n">
        <v>288</v>
      </c>
      <c r="AL395" t="n">
        <v>58</v>
      </c>
      <c r="AM395" t="n">
        <v>7</v>
      </c>
      <c r="AN395" t="n">
        <v>2</v>
      </c>
      <c r="AO395" t="n">
        <v>2</v>
      </c>
      <c r="AP395" t="n">
        <v>4</v>
      </c>
      <c r="AQ395" t="n">
        <v>1</v>
      </c>
      <c r="AR395" t="n">
        <v>6</v>
      </c>
      <c r="AS395" t="n">
        <v>1</v>
      </c>
      <c r="AT395" t="n">
        <v>8</v>
      </c>
      <c r="AU395" t="n">
        <v>0</v>
      </c>
      <c r="AV395" t="n">
        <v>3</v>
      </c>
      <c r="AW395" t="n">
        <v>1</v>
      </c>
      <c r="AX395" t="n">
        <v>0</v>
      </c>
      <c r="AY395" t="n">
        <v>1</v>
      </c>
      <c r="AZ395" t="n">
        <v>0</v>
      </c>
      <c r="BA395" t="n">
        <v>1</v>
      </c>
      <c r="BB395" t="n">
        <v>1</v>
      </c>
      <c r="BC395" t="n">
        <v>8</v>
      </c>
      <c r="BD395" t="n">
        <v>2</v>
      </c>
      <c r="BE395" t="n">
        <v>1</v>
      </c>
      <c r="BF395" t="n">
        <v>0</v>
      </c>
      <c r="BG395" t="n">
        <v>2</v>
      </c>
      <c r="BI395" t="n">
        <v>1</v>
      </c>
      <c r="BJ395" t="n">
        <v>1</v>
      </c>
      <c r="BK395" t="n">
        <v>2</v>
      </c>
      <c r="BL395" t="n">
        <v>3</v>
      </c>
      <c r="BM395" t="n">
        <v>1</v>
      </c>
      <c r="BN395" t="n">
        <v>1</v>
      </c>
      <c r="BO395" t="n">
        <v>1</v>
      </c>
      <c r="BP395" t="n">
        <v>1</v>
      </c>
      <c r="BQ395" t="n">
        <v>6</v>
      </c>
      <c r="BR395" t="n">
        <v>5</v>
      </c>
      <c r="BS395" t="n">
        <v>1</v>
      </c>
      <c r="BT395" t="n">
        <v>1</v>
      </c>
      <c r="BU395" t="n">
        <v>1</v>
      </c>
      <c r="BV395" t="n">
        <v>1</v>
      </c>
      <c r="BW395" t="n">
        <v>1</v>
      </c>
      <c r="BX395" t="n">
        <v>4</v>
      </c>
      <c r="BY395" t="n">
        <v>4</v>
      </c>
      <c r="BZ395" t="n">
        <v>2</v>
      </c>
      <c r="CB395" t="n">
        <v>2</v>
      </c>
      <c r="CC395" t="n">
        <v>0</v>
      </c>
      <c r="CD395" t="n">
        <v>1</v>
      </c>
      <c r="CF395" t="n">
        <v>1</v>
      </c>
      <c r="CG395" t="n">
        <v>2</v>
      </c>
      <c r="CH395" t="n">
        <v>1</v>
      </c>
      <c r="CI395" t="n">
        <v>1</v>
      </c>
      <c r="CJ395" t="n">
        <v>0</v>
      </c>
      <c r="CK395" t="n">
        <v>1</v>
      </c>
      <c r="CL395" t="n">
        <v>3</v>
      </c>
      <c r="CM395" t="n">
        <v>0</v>
      </c>
      <c r="CO395" t="n">
        <v>3</v>
      </c>
      <c r="CP395" t="n">
        <v>1</v>
      </c>
      <c r="CQ395" t="n">
        <v>2</v>
      </c>
      <c r="CR395" t="n">
        <v>0</v>
      </c>
      <c r="CS395" t="n">
        <v>1</v>
      </c>
      <c r="CT395" t="n">
        <v>1</v>
      </c>
      <c r="CU395" t="n">
        <v>1</v>
      </c>
      <c r="CV395" t="n">
        <v>1</v>
      </c>
      <c r="CX395" t="n">
        <v>0</v>
      </c>
      <c r="CY395" t="n">
        <v>0</v>
      </c>
      <c r="CZ395" t="n">
        <v>3</v>
      </c>
      <c r="DA395" t="n">
        <v>1</v>
      </c>
      <c r="DB395" t="n">
        <v>1</v>
      </c>
      <c r="DC395" t="n">
        <v>2</v>
      </c>
      <c r="DE395" t="n">
        <v>1</v>
      </c>
      <c r="DF395" t="n">
        <v>0</v>
      </c>
      <c r="DG395" t="n">
        <v>2</v>
      </c>
      <c r="DH395" t="n">
        <v>1</v>
      </c>
      <c r="DM395" t="n">
        <v>0</v>
      </c>
      <c r="DO395" t="n">
        <v>0</v>
      </c>
      <c r="DR395" t="n">
        <v>1</v>
      </c>
      <c r="DS395" t="n">
        <v>0</v>
      </c>
      <c r="DU395" t="n">
        <v>0</v>
      </c>
      <c r="DV395" t="n">
        <v>0</v>
      </c>
      <c r="DW395" t="n">
        <v>0</v>
      </c>
      <c r="DX395" t="n">
        <v>0</v>
      </c>
      <c r="DY395" t="n">
        <v>0</v>
      </c>
      <c r="DZ395" t="n">
        <v>0</v>
      </c>
      <c r="ED395" t="n">
        <v>1</v>
      </c>
      <c r="EI395" t="n">
        <v>0</v>
      </c>
      <c r="EK395" t="n">
        <v>0</v>
      </c>
      <c r="EM395" t="n">
        <v>0</v>
      </c>
      <c r="EN395" t="n">
        <v>0</v>
      </c>
      <c r="EP395" t="n">
        <v>1</v>
      </c>
      <c r="EU395" t="n">
        <v>1</v>
      </c>
      <c r="EW395" t="n">
        <v>2</v>
      </c>
      <c r="EX395" t="n">
        <v>1</v>
      </c>
      <c r="FA395" t="n">
        <v>4</v>
      </c>
      <c r="FB395" t="n">
        <v>2</v>
      </c>
      <c r="FC395" t="n">
        <v>3</v>
      </c>
      <c r="FD395" t="n">
        <v>3</v>
      </c>
      <c r="FF395" t="n">
        <v>2</v>
      </c>
      <c r="FG395" t="n">
        <v>2</v>
      </c>
      <c r="FJ395" t="n">
        <v>3</v>
      </c>
      <c r="FK395" t="n">
        <v>2</v>
      </c>
      <c r="FL395" t="n">
        <v>1</v>
      </c>
      <c r="FP395" t="n">
        <v>4</v>
      </c>
      <c r="FQ395" t="n">
        <v>2</v>
      </c>
      <c r="FR395" t="n">
        <v>0</v>
      </c>
      <c r="FS395" t="n">
        <v>1</v>
      </c>
      <c r="FT395" t="n">
        <v>1</v>
      </c>
      <c r="FU395" t="n">
        <v>1</v>
      </c>
      <c r="FV395" t="n">
        <v>5</v>
      </c>
      <c r="FW395" t="n">
        <v>1</v>
      </c>
      <c r="FX395" t="n">
        <v>3</v>
      </c>
      <c r="FY395" t="n">
        <v>4</v>
      </c>
      <c r="FZ395" t="n">
        <v>0</v>
      </c>
      <c r="GA395" t="n">
        <v>0</v>
      </c>
      <c r="GB395" t="n">
        <v>1</v>
      </c>
      <c r="GC395" t="n">
        <v>1</v>
      </c>
      <c r="GD395" t="n">
        <v>1</v>
      </c>
      <c r="GE395" t="n">
        <v>0</v>
      </c>
      <c r="GF395" t="n">
        <v>0</v>
      </c>
      <c r="GG395" t="n">
        <v>1</v>
      </c>
      <c r="GH395" t="n">
        <v>4</v>
      </c>
      <c r="GI395" t="n">
        <v>0</v>
      </c>
      <c r="GJ395" t="n">
        <v>1</v>
      </c>
      <c r="GK395" t="n">
        <v>1</v>
      </c>
      <c r="GL395" t="n">
        <v>0</v>
      </c>
      <c r="GM395" t="n">
        <v>0</v>
      </c>
      <c r="GO395" t="n">
        <v>0</v>
      </c>
      <c r="GP395" t="n">
        <v>2</v>
      </c>
      <c r="GQ395" t="n">
        <v>1</v>
      </c>
      <c r="GR395" t="n">
        <v>2</v>
      </c>
      <c r="GS395" t="n">
        <v>1</v>
      </c>
      <c r="GT395" t="n">
        <v>1</v>
      </c>
      <c r="GU395" t="n">
        <v>5</v>
      </c>
      <c r="GV395" t="n">
        <v>1</v>
      </c>
      <c r="GW395" t="n">
        <v>7</v>
      </c>
      <c r="GX395" t="n">
        <v>5</v>
      </c>
      <c r="GY395" t="n">
        <v>1</v>
      </c>
      <c r="GZ395" t="n">
        <v>12</v>
      </c>
      <c r="HA395" t="n">
        <v>1</v>
      </c>
      <c r="HB395" t="n">
        <v>1</v>
      </c>
      <c r="HC395" t="n">
        <v>1</v>
      </c>
      <c r="HE395" t="n">
        <v>3</v>
      </c>
      <c r="HF395" t="n">
        <v>7</v>
      </c>
      <c r="HG395" t="n">
        <v>3</v>
      </c>
      <c r="HH395" t="n">
        <v>1</v>
      </c>
      <c r="HI395" t="n">
        <v>1</v>
      </c>
      <c r="HK395" t="n">
        <v>0</v>
      </c>
      <c r="HL395" t="n">
        <v>0</v>
      </c>
      <c r="HM395" t="n">
        <v>1</v>
      </c>
      <c r="HN395" t="n">
        <v>1</v>
      </c>
      <c r="HO395" t="n">
        <v>1</v>
      </c>
      <c r="HQ395" t="n">
        <v>1</v>
      </c>
      <c r="HR395" t="n">
        <v>0</v>
      </c>
      <c r="HS395" t="n">
        <v>0</v>
      </c>
      <c r="HT395" t="n">
        <v>1</v>
      </c>
      <c r="HU395" t="n">
        <v>2</v>
      </c>
      <c r="HV395" t="n">
        <v>3</v>
      </c>
      <c r="HW395" t="n">
        <v>11</v>
      </c>
      <c r="HX395" t="n">
        <v>2</v>
      </c>
      <c r="HY395" t="n">
        <v>1</v>
      </c>
      <c r="HZ395" t="n">
        <v>1</v>
      </c>
      <c r="IA395" t="n">
        <v>0</v>
      </c>
      <c r="IB395" t="n">
        <v>13</v>
      </c>
      <c r="IC395" t="n">
        <v>0</v>
      </c>
      <c r="ID395" t="n">
        <v>23</v>
      </c>
      <c r="IE395" t="n">
        <v>3</v>
      </c>
      <c r="IF395" t="n">
        <v>1</v>
      </c>
      <c r="IG395" t="n">
        <v>0</v>
      </c>
      <c r="IJ395" t="n">
        <v>0</v>
      </c>
      <c r="IK395" t="n">
        <v>2</v>
      </c>
      <c r="IL395" t="n">
        <v>0</v>
      </c>
      <c r="IM395" t="n">
        <v>4</v>
      </c>
      <c r="IQ395" t="n">
        <v>2</v>
      </c>
      <c r="IR395" t="n">
        <v>0</v>
      </c>
      <c r="IS395" t="n">
        <v>0</v>
      </c>
      <c r="IU395" t="n">
        <v>1</v>
      </c>
      <c r="IW395" t="n">
        <v>1</v>
      </c>
      <c r="IZ395" t="n">
        <v>1</v>
      </c>
      <c r="JA395" t="n">
        <v>7</v>
      </c>
      <c r="JB395" t="n">
        <v>1</v>
      </c>
      <c r="JD395" t="n">
        <v>2</v>
      </c>
      <c r="JE395" t="n">
        <v>2</v>
      </c>
      <c r="JG395" t="n">
        <v>23</v>
      </c>
      <c r="JH395" t="n">
        <v>1</v>
      </c>
      <c r="JI395" t="n">
        <v>1</v>
      </c>
      <c r="JJ395" t="n">
        <v>3</v>
      </c>
      <c r="JK395" t="n">
        <v>130</v>
      </c>
      <c r="JM395" t="n">
        <v>114</v>
      </c>
      <c r="JN395" t="n">
        <v>124</v>
      </c>
      <c r="JO395" t="n">
        <v>123</v>
      </c>
      <c r="JQ395" t="n">
        <v>321</v>
      </c>
      <c r="JS395" t="n">
        <v>111</v>
      </c>
      <c r="JV395" t="n">
        <v>76</v>
      </c>
      <c r="JW395" t="n">
        <v>38</v>
      </c>
      <c r="JX395" t="n">
        <v>19</v>
      </c>
      <c r="JY395" t="n">
        <v>72</v>
      </c>
      <c r="JZ395" t="n">
        <v>21</v>
      </c>
      <c r="KA395" t="n">
        <v>97</v>
      </c>
      <c r="KB395" t="n">
        <v>32</v>
      </c>
      <c r="KC395" t="n">
        <v>109</v>
      </c>
      <c r="KD395" t="n">
        <v>55</v>
      </c>
      <c r="KE395" t="n">
        <v>52</v>
      </c>
      <c r="KF395" t="n">
        <v>39</v>
      </c>
      <c r="KH395" t="n">
        <v>111</v>
      </c>
      <c r="KI395" t="n">
        <v>33</v>
      </c>
      <c r="KJ395" t="n">
        <v>2</v>
      </c>
      <c r="KK395" t="n">
        <v>40</v>
      </c>
      <c r="KL395" t="n">
        <v>9</v>
      </c>
      <c r="KM395" t="n">
        <v>27</v>
      </c>
      <c r="KN395" t="n">
        <v>6</v>
      </c>
      <c r="KO395" t="n">
        <v>6</v>
      </c>
      <c r="KP395" t="n">
        <v>15</v>
      </c>
      <c r="KQ395" t="n">
        <v>4</v>
      </c>
      <c r="KR395" t="n">
        <v>25</v>
      </c>
      <c r="KS395" t="n">
        <v>21</v>
      </c>
      <c r="KT395" t="n">
        <v>3</v>
      </c>
      <c r="KU395" t="n">
        <v>0</v>
      </c>
      <c r="KV395" t="n">
        <v>2</v>
      </c>
      <c r="KW395" t="n">
        <v>24</v>
      </c>
      <c r="KX395" t="n">
        <v>116</v>
      </c>
      <c r="KY395" t="n">
        <v>5</v>
      </c>
      <c r="KZ395" t="n">
        <v>61</v>
      </c>
      <c r="LA395" t="n">
        <v>5</v>
      </c>
      <c r="LB395" t="n">
        <v>0</v>
      </c>
      <c r="LC395" t="n">
        <v>1161</v>
      </c>
      <c r="LD395" t="n">
        <v>1933</v>
      </c>
      <c r="LE395" t="n">
        <v>1372</v>
      </c>
      <c r="LF395" t="n">
        <v>371</v>
      </c>
      <c r="LG395" t="n">
        <v>230</v>
      </c>
      <c r="LH395" t="n">
        <v>2689</v>
      </c>
      <c r="LI395" t="n">
        <v>1</v>
      </c>
      <c r="LJ395" t="n">
        <v>151</v>
      </c>
      <c r="LK395" t="n">
        <v>2221</v>
      </c>
      <c r="LL395" t="n">
        <v>16393</v>
      </c>
      <c r="LM395" t="n">
        <v>728</v>
      </c>
      <c r="LN395" t="n">
        <v>44</v>
      </c>
      <c r="LO395" t="n">
        <v>103</v>
      </c>
      <c r="LP395" t="n">
        <v>7</v>
      </c>
      <c r="LQ395" t="n">
        <v>1566</v>
      </c>
      <c r="LR395" t="n">
        <v>144</v>
      </c>
      <c r="LS395" t="n">
        <v>75</v>
      </c>
      <c r="LT395" t="n">
        <v>249</v>
      </c>
      <c r="LU395" t="n">
        <v>27</v>
      </c>
      <c r="LV395" t="n">
        <v>84</v>
      </c>
      <c r="LW395" t="n">
        <v>137</v>
      </c>
      <c r="LX395" t="n">
        <v>75</v>
      </c>
      <c r="LY395" t="n">
        <v>25</v>
      </c>
      <c r="LZ395" t="n">
        <v>357</v>
      </c>
      <c r="MA395" t="n">
        <v>30</v>
      </c>
      <c r="MB395" t="n">
        <v>10</v>
      </c>
      <c r="MC395" t="n">
        <v>5</v>
      </c>
      <c r="MD395" t="n">
        <v>25</v>
      </c>
      <c r="ME395" t="n">
        <v>11</v>
      </c>
      <c r="MF395" t="n">
        <v>354</v>
      </c>
      <c r="MG395" t="n">
        <v>92</v>
      </c>
      <c r="MH395" t="n">
        <v>65</v>
      </c>
      <c r="MI395" t="n">
        <v>14</v>
      </c>
      <c r="MJ395" t="n">
        <v>13</v>
      </c>
      <c r="MK395" t="n">
        <v>27</v>
      </c>
      <c r="ML395" t="n">
        <v>19</v>
      </c>
      <c r="MM395" t="n">
        <v>19</v>
      </c>
      <c r="MN395" t="n">
        <v>22</v>
      </c>
      <c r="MO395" t="n">
        <v>25</v>
      </c>
      <c r="MP395" t="n">
        <v>4</v>
      </c>
      <c r="MQ395" t="n">
        <v>5</v>
      </c>
      <c r="MR395" t="n">
        <v>47</v>
      </c>
      <c r="MS395" t="n">
        <v>312</v>
      </c>
      <c r="MT395" t="n">
        <v>84</v>
      </c>
      <c r="MU395" t="n">
        <v>61</v>
      </c>
      <c r="MV395" t="n">
        <v>64</v>
      </c>
      <c r="MW395" t="n">
        <v>14</v>
      </c>
      <c r="MX395" t="n">
        <v>28</v>
      </c>
      <c r="MY395" t="n">
        <v>62</v>
      </c>
      <c r="MZ395" t="n">
        <v>300</v>
      </c>
      <c r="NA395" t="n">
        <v>102</v>
      </c>
      <c r="NB395" t="n">
        <v>14</v>
      </c>
      <c r="NC395" t="n">
        <v>60</v>
      </c>
      <c r="ND395" t="n">
        <v>1</v>
      </c>
      <c r="NE395" t="n">
        <v>1</v>
      </c>
      <c r="NG395" t="n">
        <v>3</v>
      </c>
      <c r="NH395" t="n">
        <v>1</v>
      </c>
      <c r="NI395" t="n">
        <v>132</v>
      </c>
      <c r="NJ395" t="n">
        <v>0</v>
      </c>
      <c r="NK395" t="n">
        <v>2</v>
      </c>
      <c r="NM395" t="n">
        <v>8</v>
      </c>
      <c r="NN395" t="n">
        <v>10</v>
      </c>
      <c r="NO395" t="n">
        <v>171</v>
      </c>
      <c r="NP395" t="n">
        <v>90</v>
      </c>
      <c r="NQ395" t="n">
        <v>24</v>
      </c>
      <c r="NR395" t="n">
        <v>15</v>
      </c>
      <c r="NS395" t="n">
        <v>11</v>
      </c>
      <c r="NT395" t="n">
        <v>22</v>
      </c>
      <c r="NU395" t="n">
        <v>2</v>
      </c>
      <c r="NV395" t="n">
        <v>282</v>
      </c>
      <c r="NX395" t="n">
        <v>9</v>
      </c>
      <c r="NY395" t="n">
        <v>17</v>
      </c>
      <c r="NZ395" t="n">
        <v>21</v>
      </c>
      <c r="OA395" t="n">
        <v>26</v>
      </c>
      <c r="OB395" t="n">
        <v>32</v>
      </c>
      <c r="OF395" t="n">
        <v>2</v>
      </c>
      <c r="OG395" t="n">
        <v>2</v>
      </c>
      <c r="OH395" t="n">
        <v>2</v>
      </c>
      <c r="OL395" t="n">
        <v>3</v>
      </c>
      <c r="ON395" t="n">
        <v>15</v>
      </c>
      <c r="OO395" t="n">
        <v>36567</v>
      </c>
      <c r="OP395" t="n">
        <v>58624</v>
      </c>
      <c r="OV395" t="n">
        <v>0</v>
      </c>
      <c r="PI395" t="n">
        <v>95191</v>
      </c>
      <c r="PM395">
        <f>IFERROR(VLOOKUP($A395&amp;"",Key!$A:$C,3,FALSE),"")</f>
        <v/>
      </c>
    </row>
    <row r="396">
      <c r="A396" t="n">
        <v>814000</v>
      </c>
      <c r="B396" t="inlineStr">
        <is>
          <t>Private households</t>
        </is>
      </c>
      <c r="OP396" t="n">
        <v>18684</v>
      </c>
      <c r="PI396" t="n">
        <v>18684</v>
      </c>
      <c r="PM396">
        <f>IFERROR(VLOOKUP($A396&amp;"",Key!$A:$C,3,FALSE),"")</f>
        <v/>
      </c>
    </row>
    <row r="397">
      <c r="A397" t="inlineStr">
        <is>
          <t>S00500</t>
        </is>
      </c>
      <c r="B397" t="inlineStr">
        <is>
          <t>Federal general government (defense)</t>
        </is>
      </c>
      <c r="OW397" t="n">
        <v>599358</v>
      </c>
      <c r="PI397" t="n">
        <v>599358</v>
      </c>
      <c r="PM397">
        <f>IFERROR(VLOOKUP($A397&amp;"",Key!$A:$C,3,FALSE),"")</f>
        <v/>
      </c>
    </row>
    <row r="398">
      <c r="A398" t="inlineStr">
        <is>
          <t>S00600</t>
        </is>
      </c>
      <c r="B398" t="inlineStr">
        <is>
          <t>Federal general government (nondefense)</t>
        </is>
      </c>
      <c r="PA398" t="n">
        <v>379143</v>
      </c>
      <c r="PI398" t="n">
        <v>379143</v>
      </c>
      <c r="PM398">
        <f>IFERROR(VLOOKUP($A398&amp;"",Key!$A:$C,3,FALSE),"")</f>
        <v/>
      </c>
    </row>
    <row r="399">
      <c r="A399" t="n">
        <v>491000</v>
      </c>
      <c r="B399" t="inlineStr">
        <is>
          <t>Postal service</t>
        </is>
      </c>
      <c r="C399" t="n">
        <v>1</v>
      </c>
      <c r="D399" t="n">
        <v>3</v>
      </c>
      <c r="E399" t="n">
        <v>1</v>
      </c>
      <c r="H399" t="n">
        <v>0</v>
      </c>
      <c r="I399" t="n">
        <v>6</v>
      </c>
      <c r="K399" t="n">
        <v>0</v>
      </c>
      <c r="O399" t="n">
        <v>4</v>
      </c>
      <c r="Q399" t="n">
        <v>1</v>
      </c>
      <c r="S399" t="n">
        <v>2</v>
      </c>
      <c r="U399" t="n">
        <v>0</v>
      </c>
      <c r="X399" t="n">
        <v>230</v>
      </c>
      <c r="Y399" t="n">
        <v>72</v>
      </c>
      <c r="Z399" t="n">
        <v>10</v>
      </c>
      <c r="AC399" t="n">
        <v>7</v>
      </c>
      <c r="AD399" t="n">
        <v>2</v>
      </c>
      <c r="BC399" t="n">
        <v>2</v>
      </c>
      <c r="BD399" t="n">
        <v>4</v>
      </c>
      <c r="BE399" t="n">
        <v>2</v>
      </c>
      <c r="BF399" t="n">
        <v>1</v>
      </c>
      <c r="BG399" t="n">
        <v>11</v>
      </c>
      <c r="BH399" t="n">
        <v>4</v>
      </c>
      <c r="BI399" t="n">
        <v>2</v>
      </c>
      <c r="BJ399" t="n">
        <v>2</v>
      </c>
      <c r="BK399" t="n">
        <v>2</v>
      </c>
      <c r="BL399" t="n">
        <v>3</v>
      </c>
      <c r="BM399" t="n">
        <v>3</v>
      </c>
      <c r="BN399" t="n">
        <v>6</v>
      </c>
      <c r="BO399" t="n">
        <v>3</v>
      </c>
      <c r="BP399" t="n">
        <v>9</v>
      </c>
      <c r="BQ399" t="n">
        <v>4</v>
      </c>
      <c r="BR399" t="n">
        <v>24</v>
      </c>
      <c r="BS399" t="n">
        <v>6</v>
      </c>
      <c r="BT399" t="n">
        <v>4</v>
      </c>
      <c r="BU399" t="n">
        <v>4</v>
      </c>
      <c r="BV399" t="n">
        <v>3</v>
      </c>
      <c r="BW399" t="n">
        <v>4</v>
      </c>
      <c r="BX399" t="n">
        <v>4</v>
      </c>
      <c r="BY399" t="n">
        <v>7</v>
      </c>
      <c r="BZ399" t="n">
        <v>4</v>
      </c>
      <c r="CA399" t="n">
        <v>10</v>
      </c>
      <c r="CB399" t="n">
        <v>4</v>
      </c>
      <c r="CC399" t="n">
        <v>3</v>
      </c>
      <c r="CD399" t="n">
        <v>3</v>
      </c>
      <c r="CE399" t="n">
        <v>12</v>
      </c>
      <c r="CF399" t="n">
        <v>3</v>
      </c>
      <c r="CG399" t="n">
        <v>19</v>
      </c>
      <c r="CH399" t="n">
        <v>12</v>
      </c>
      <c r="CI399" t="n">
        <v>30</v>
      </c>
      <c r="CJ399" t="n">
        <v>4</v>
      </c>
      <c r="CK399" t="n">
        <v>7</v>
      </c>
      <c r="CL399" t="n">
        <v>36</v>
      </c>
      <c r="CO399" t="n">
        <v>14</v>
      </c>
      <c r="CP399" t="n">
        <v>4</v>
      </c>
      <c r="CQ399" t="n">
        <v>1</v>
      </c>
      <c r="CS399" t="n">
        <v>1</v>
      </c>
      <c r="CT399" t="n">
        <v>2</v>
      </c>
      <c r="CU399" t="n">
        <v>12</v>
      </c>
      <c r="CV399" t="n">
        <v>2</v>
      </c>
      <c r="CW399" t="n">
        <v>31</v>
      </c>
      <c r="CX399" t="n">
        <v>1</v>
      </c>
      <c r="CY399" t="n">
        <v>1</v>
      </c>
      <c r="CZ399" t="n">
        <v>36</v>
      </c>
      <c r="DA399" t="n">
        <v>7</v>
      </c>
      <c r="DB399" t="n">
        <v>23</v>
      </c>
      <c r="DC399" t="n">
        <v>19</v>
      </c>
      <c r="DD399" t="n">
        <v>2</v>
      </c>
      <c r="DE399" t="n">
        <v>6</v>
      </c>
      <c r="DF399" t="n">
        <v>1</v>
      </c>
      <c r="DG399" t="n">
        <v>19</v>
      </c>
      <c r="DH399" t="n">
        <v>3</v>
      </c>
      <c r="DI399" t="n">
        <v>0</v>
      </c>
      <c r="DJ399" t="n">
        <v>0</v>
      </c>
      <c r="DK399" t="n">
        <v>2</v>
      </c>
      <c r="DL399" t="n">
        <v>0</v>
      </c>
      <c r="DM399" t="n">
        <v>0</v>
      </c>
      <c r="DN399" t="n">
        <v>3</v>
      </c>
      <c r="DO399" t="n">
        <v>4</v>
      </c>
      <c r="DP399" t="n">
        <v>3</v>
      </c>
      <c r="DQ399" t="n">
        <v>11</v>
      </c>
      <c r="DR399" t="n">
        <v>7</v>
      </c>
      <c r="DS399" t="n">
        <v>6</v>
      </c>
      <c r="DT399" t="n">
        <v>3</v>
      </c>
      <c r="DU399" t="n">
        <v>5</v>
      </c>
      <c r="DV399" t="n">
        <v>10</v>
      </c>
      <c r="DW399" t="n">
        <v>8</v>
      </c>
      <c r="DX399" t="n">
        <v>10</v>
      </c>
      <c r="DY399" t="n">
        <v>3</v>
      </c>
      <c r="DZ399" t="n">
        <v>6</v>
      </c>
      <c r="EA399" t="n">
        <v>4</v>
      </c>
      <c r="EB399" t="n">
        <v>2</v>
      </c>
      <c r="EC399" t="n">
        <v>0</v>
      </c>
      <c r="ED399" t="n">
        <v>18</v>
      </c>
      <c r="EE399" t="n">
        <v>10</v>
      </c>
      <c r="EF399" t="n">
        <v>8</v>
      </c>
      <c r="EG399" t="n">
        <v>5</v>
      </c>
      <c r="EH399" t="n">
        <v>6</v>
      </c>
      <c r="EI399" t="n">
        <v>39</v>
      </c>
      <c r="EJ399" t="n">
        <v>10</v>
      </c>
      <c r="EL399" t="n">
        <v>0</v>
      </c>
      <c r="EM399" t="n">
        <v>6</v>
      </c>
      <c r="EN399" t="n">
        <v>39</v>
      </c>
      <c r="EP399" t="n">
        <v>8</v>
      </c>
      <c r="GH399" t="n">
        <v>17</v>
      </c>
      <c r="HM399" t="n">
        <v>1</v>
      </c>
      <c r="IB399" t="n">
        <v>55</v>
      </c>
      <c r="ID399" t="n">
        <v>43</v>
      </c>
      <c r="IK399" t="n">
        <v>8</v>
      </c>
      <c r="IL399" t="n">
        <v>54</v>
      </c>
      <c r="IN399" t="n">
        <v>1</v>
      </c>
      <c r="JK399" t="n">
        <v>747</v>
      </c>
      <c r="JL399" t="n">
        <v>1846</v>
      </c>
      <c r="JM399" t="n">
        <v>2949</v>
      </c>
      <c r="JN399" t="n">
        <v>1644</v>
      </c>
      <c r="JO399" t="n">
        <v>3896</v>
      </c>
      <c r="JP399" t="n">
        <v>3015</v>
      </c>
      <c r="JQ399" t="n">
        <v>1801</v>
      </c>
      <c r="JR399" t="n">
        <v>720</v>
      </c>
      <c r="JS399" t="n">
        <v>4003</v>
      </c>
      <c r="JT399" t="n">
        <v>397</v>
      </c>
      <c r="JV399" t="n">
        <v>972</v>
      </c>
      <c r="JW399" t="n">
        <v>653</v>
      </c>
      <c r="JX399" t="n">
        <v>368</v>
      </c>
      <c r="JY399" t="n">
        <v>459</v>
      </c>
      <c r="JZ399" t="n">
        <v>547</v>
      </c>
      <c r="KA399" t="n">
        <v>268</v>
      </c>
      <c r="KB399" t="n">
        <v>438</v>
      </c>
      <c r="KC399" t="n">
        <v>2117</v>
      </c>
      <c r="KD399" t="n">
        <v>640</v>
      </c>
      <c r="KE399" t="n">
        <v>3</v>
      </c>
      <c r="KG399" t="n">
        <v>2480</v>
      </c>
      <c r="KH399" t="n">
        <v>3029</v>
      </c>
      <c r="KI399" t="n">
        <v>342</v>
      </c>
      <c r="KJ399" t="n">
        <v>29</v>
      </c>
      <c r="KK399" t="n">
        <v>169</v>
      </c>
      <c r="KL399" t="n">
        <v>602</v>
      </c>
      <c r="KM399" t="n">
        <v>691</v>
      </c>
      <c r="KN399" t="n">
        <v>101</v>
      </c>
      <c r="KO399" t="n">
        <v>118</v>
      </c>
      <c r="KP399" t="n">
        <v>219</v>
      </c>
      <c r="KQ399" t="n">
        <v>73</v>
      </c>
      <c r="KR399" t="n">
        <v>34</v>
      </c>
      <c r="KS399" t="n">
        <v>173</v>
      </c>
      <c r="KT399" t="n">
        <v>21</v>
      </c>
      <c r="KU399" t="n">
        <v>0</v>
      </c>
      <c r="KW399" t="n">
        <v>33</v>
      </c>
      <c r="KX399" t="n">
        <v>156</v>
      </c>
      <c r="KY399" t="n">
        <v>20</v>
      </c>
      <c r="KZ399" t="n">
        <v>796</v>
      </c>
      <c r="LA399" t="n">
        <v>420</v>
      </c>
      <c r="LB399" t="n">
        <v>0</v>
      </c>
      <c r="LC399" t="n">
        <v>731</v>
      </c>
      <c r="LD399" t="n">
        <v>694</v>
      </c>
      <c r="LE399" t="n">
        <v>1671</v>
      </c>
      <c r="LF399" t="n">
        <v>237</v>
      </c>
      <c r="LG399" t="n">
        <v>68</v>
      </c>
      <c r="LH399" t="n">
        <v>5</v>
      </c>
      <c r="LI399" t="n">
        <v>32</v>
      </c>
      <c r="LL399" t="n">
        <v>0</v>
      </c>
      <c r="LM399" t="n">
        <v>615</v>
      </c>
      <c r="LN399" t="n">
        <v>145</v>
      </c>
      <c r="LO399" t="n">
        <v>350</v>
      </c>
      <c r="LP399" t="n">
        <v>56</v>
      </c>
      <c r="LQ399" t="n">
        <v>784</v>
      </c>
      <c r="LR399" t="n">
        <v>367</v>
      </c>
      <c r="LS399" t="n">
        <v>84</v>
      </c>
      <c r="LT399" t="n">
        <v>395</v>
      </c>
      <c r="LU399" t="n">
        <v>43</v>
      </c>
      <c r="LV399" t="n">
        <v>325</v>
      </c>
      <c r="LW399" t="n">
        <v>288</v>
      </c>
      <c r="LX399" t="n">
        <v>701</v>
      </c>
      <c r="LY399" t="n">
        <v>64</v>
      </c>
      <c r="LZ399" t="n">
        <v>217</v>
      </c>
      <c r="MA399" t="n">
        <v>333</v>
      </c>
      <c r="MB399" t="n">
        <v>59</v>
      </c>
      <c r="MC399" t="n">
        <v>57</v>
      </c>
      <c r="MD399" t="n">
        <v>15</v>
      </c>
      <c r="ME399" t="n">
        <v>108</v>
      </c>
      <c r="MF399" t="n">
        <v>242</v>
      </c>
      <c r="MG399" t="n">
        <v>157</v>
      </c>
      <c r="MH399" t="n">
        <v>30</v>
      </c>
      <c r="MI399" t="n">
        <v>43</v>
      </c>
      <c r="MJ399" t="n">
        <v>14</v>
      </c>
      <c r="MK399" t="n">
        <v>539</v>
      </c>
      <c r="ML399" t="n">
        <v>109</v>
      </c>
      <c r="MM399" t="n">
        <v>64</v>
      </c>
      <c r="MN399" t="n">
        <v>143</v>
      </c>
      <c r="MO399" t="n">
        <v>130</v>
      </c>
      <c r="MP399" t="n">
        <v>13</v>
      </c>
      <c r="MQ399" t="n">
        <v>413</v>
      </c>
      <c r="MR399" t="n">
        <v>144</v>
      </c>
      <c r="MS399" t="n">
        <v>378</v>
      </c>
      <c r="MT399" t="n">
        <v>106</v>
      </c>
      <c r="MU399" t="n">
        <v>96</v>
      </c>
      <c r="MV399" t="n">
        <v>137</v>
      </c>
      <c r="MW399" t="n">
        <v>44</v>
      </c>
      <c r="MX399" t="n">
        <v>44</v>
      </c>
      <c r="MY399" t="n">
        <v>213</v>
      </c>
      <c r="MZ399" t="n">
        <v>2225</v>
      </c>
      <c r="NA399" t="n">
        <v>106</v>
      </c>
      <c r="NB399" t="n">
        <v>148</v>
      </c>
      <c r="NC399" t="n">
        <v>266</v>
      </c>
      <c r="ND399" t="n">
        <v>10</v>
      </c>
      <c r="NE399" t="n">
        <v>300</v>
      </c>
      <c r="NF399" t="n">
        <v>23</v>
      </c>
      <c r="NG399" t="n">
        <v>11</v>
      </c>
      <c r="NH399" t="n">
        <v>9</v>
      </c>
      <c r="NI399" t="n">
        <v>21</v>
      </c>
      <c r="NJ399" t="n">
        <v>89</v>
      </c>
      <c r="NK399" t="n">
        <v>6</v>
      </c>
      <c r="NL399" t="n">
        <v>2</v>
      </c>
      <c r="NM399" t="n">
        <v>72</v>
      </c>
      <c r="NN399" t="n">
        <v>755</v>
      </c>
      <c r="NO399" t="n">
        <v>2939</v>
      </c>
      <c r="NP399" t="n">
        <v>2456</v>
      </c>
      <c r="NQ399" t="n">
        <v>37</v>
      </c>
      <c r="NR399" t="n">
        <v>37</v>
      </c>
      <c r="NS399" t="n">
        <v>20</v>
      </c>
      <c r="NT399" t="n">
        <v>25</v>
      </c>
      <c r="NU399" t="n">
        <v>6</v>
      </c>
      <c r="NV399" t="n">
        <v>109</v>
      </c>
      <c r="NW399" t="n">
        <v>0</v>
      </c>
      <c r="NX399" t="n">
        <v>20</v>
      </c>
      <c r="NY399" t="n">
        <v>123</v>
      </c>
      <c r="NZ399" t="n">
        <v>252</v>
      </c>
      <c r="OA399" t="n">
        <v>101</v>
      </c>
      <c r="OB399" t="n">
        <v>46</v>
      </c>
      <c r="OD399" t="n">
        <v>1</v>
      </c>
      <c r="OE399" t="n">
        <v>107</v>
      </c>
      <c r="OF399" t="n">
        <v>0</v>
      </c>
      <c r="OG399" t="n">
        <v>21</v>
      </c>
      <c r="OH399" t="n">
        <v>61</v>
      </c>
      <c r="OI399" t="n">
        <v>324</v>
      </c>
      <c r="OJ399" t="n">
        <v>233</v>
      </c>
      <c r="OK399" t="n">
        <v>1471</v>
      </c>
      <c r="OL399" t="n">
        <v>8</v>
      </c>
      <c r="ON399" t="n">
        <v>98</v>
      </c>
      <c r="OO399" t="n">
        <v>62229</v>
      </c>
      <c r="OP399" t="n">
        <v>6914</v>
      </c>
      <c r="OV399" t="n">
        <v>710</v>
      </c>
      <c r="PI399" t="n">
        <v>69853</v>
      </c>
      <c r="PM399">
        <f>IFERROR(VLOOKUP($A399&amp;"",Key!$A:$C,3,FALSE),"")</f>
        <v/>
      </c>
    </row>
    <row r="400">
      <c r="A400" t="inlineStr">
        <is>
          <t>S00102</t>
        </is>
      </c>
      <c r="B400" t="inlineStr">
        <is>
          <t>Other federal government enterprises</t>
        </is>
      </c>
      <c r="JV400" t="n">
        <v>4</v>
      </c>
      <c r="LC400" t="n">
        <v>284</v>
      </c>
      <c r="LD400" t="n">
        <v>72</v>
      </c>
      <c r="LE400" t="n">
        <v>835</v>
      </c>
      <c r="LF400" t="n">
        <v>35</v>
      </c>
      <c r="LM400" t="n">
        <v>2</v>
      </c>
      <c r="LN400" t="n">
        <v>0</v>
      </c>
      <c r="LO400" t="n">
        <v>0</v>
      </c>
      <c r="LV400" t="n">
        <v>2</v>
      </c>
      <c r="OO400" t="n">
        <v>1233</v>
      </c>
      <c r="PI400" t="n">
        <v>1233</v>
      </c>
      <c r="PM400">
        <f>IFERROR(VLOOKUP($A400&amp;"",Key!$A:$C,3,FALSE),"")</f>
        <v/>
      </c>
    </row>
    <row r="401">
      <c r="A401" t="inlineStr">
        <is>
          <t>GSLGE</t>
        </is>
      </c>
      <c r="B401" t="inlineStr">
        <is>
          <t>State and local government (educational services)</t>
        </is>
      </c>
      <c r="PE401" t="n">
        <v>832472</v>
      </c>
      <c r="PI401" t="n">
        <v>832472</v>
      </c>
      <c r="PM401">
        <f>IFERROR(VLOOKUP($A401&amp;"",Key!$A:$C,3,FALSE),"")</f>
        <v/>
      </c>
    </row>
    <row r="402">
      <c r="A402" t="inlineStr">
        <is>
          <t>GSLGH</t>
        </is>
      </c>
      <c r="B402" t="inlineStr">
        <is>
          <t>State and local government (hospitals and health services)</t>
        </is>
      </c>
      <c r="PE402" t="n">
        <v>68698</v>
      </c>
      <c r="PI402" t="n">
        <v>68698</v>
      </c>
      <c r="PM402">
        <f>IFERROR(VLOOKUP($A402&amp;"",Key!$A:$C,3,FALSE),"")</f>
        <v/>
      </c>
    </row>
    <row r="403">
      <c r="A403" t="inlineStr">
        <is>
          <t>GSLGO</t>
        </is>
      </c>
      <c r="B403" t="inlineStr">
        <is>
          <t>State and local government (other services)</t>
        </is>
      </c>
      <c r="PE403" t="n">
        <v>836043</v>
      </c>
      <c r="PI403" t="n">
        <v>836043</v>
      </c>
      <c r="PM403">
        <f>IFERROR(VLOOKUP($A403&amp;"",Key!$A:$C,3,FALSE),"")</f>
        <v/>
      </c>
    </row>
    <row r="404">
      <c r="A404" t="inlineStr">
        <is>
          <t>S00203</t>
        </is>
      </c>
      <c r="B404" t="inlineStr">
        <is>
          <t>Other state and local government enterprises</t>
        </is>
      </c>
      <c r="M404" t="n">
        <v>0</v>
      </c>
      <c r="N404" t="n">
        <v>1</v>
      </c>
      <c r="X404" t="n">
        <v>176</v>
      </c>
      <c r="Y404" t="n">
        <v>25</v>
      </c>
      <c r="Z404" t="n">
        <v>176</v>
      </c>
      <c r="AM404" t="n">
        <v>13</v>
      </c>
      <c r="AN404" t="n">
        <v>18</v>
      </c>
      <c r="AO404" t="n">
        <v>14</v>
      </c>
      <c r="AP404" t="n">
        <v>14</v>
      </c>
      <c r="AQ404" t="n">
        <v>16</v>
      </c>
      <c r="AR404" t="n">
        <v>61</v>
      </c>
      <c r="AS404" t="n">
        <v>3</v>
      </c>
      <c r="AT404" t="n">
        <v>28</v>
      </c>
      <c r="AU404" t="n">
        <v>4</v>
      </c>
      <c r="AV404" t="n">
        <v>11</v>
      </c>
      <c r="AW404" t="n">
        <v>7</v>
      </c>
      <c r="AX404" t="n">
        <v>2</v>
      </c>
      <c r="AY404" t="n">
        <v>5</v>
      </c>
      <c r="AZ404" t="n">
        <v>4</v>
      </c>
      <c r="BA404" t="n">
        <v>17</v>
      </c>
      <c r="BB404" t="n">
        <v>8</v>
      </c>
      <c r="BC404" t="n">
        <v>85</v>
      </c>
      <c r="BD404" t="n">
        <v>15</v>
      </c>
      <c r="BE404" t="n">
        <v>5</v>
      </c>
      <c r="BF404" t="n">
        <v>1</v>
      </c>
      <c r="BG404" t="n">
        <v>15</v>
      </c>
      <c r="BH404" t="n">
        <v>5</v>
      </c>
      <c r="BI404" t="n">
        <v>7</v>
      </c>
      <c r="BJ404" t="n">
        <v>11</v>
      </c>
      <c r="BK404" t="n">
        <v>20</v>
      </c>
      <c r="BL404" t="n">
        <v>15</v>
      </c>
      <c r="BM404" t="n">
        <v>9</v>
      </c>
      <c r="BN404" t="n">
        <v>10</v>
      </c>
      <c r="BO404" t="n">
        <v>8</v>
      </c>
      <c r="BP404" t="n">
        <v>9</v>
      </c>
      <c r="BQ404" t="n">
        <v>19</v>
      </c>
      <c r="BR404" t="n">
        <v>20</v>
      </c>
      <c r="BS404" t="n">
        <v>6</v>
      </c>
      <c r="BT404" t="n">
        <v>4</v>
      </c>
      <c r="BU404" t="n">
        <v>5</v>
      </c>
      <c r="BV404" t="n">
        <v>7</v>
      </c>
      <c r="BW404" t="n">
        <v>5</v>
      </c>
      <c r="BX404" t="n">
        <v>24</v>
      </c>
      <c r="BY404" t="n">
        <v>24</v>
      </c>
      <c r="BZ404" t="n">
        <v>57</v>
      </c>
      <c r="CA404" t="n">
        <v>6</v>
      </c>
      <c r="CB404" t="n">
        <v>13</v>
      </c>
      <c r="CC404" t="n">
        <v>5</v>
      </c>
      <c r="CD404" t="n">
        <v>3</v>
      </c>
      <c r="CE404" t="n">
        <v>9</v>
      </c>
      <c r="CF404" t="n">
        <v>9</v>
      </c>
      <c r="CG404" t="n">
        <v>10</v>
      </c>
      <c r="CH404" t="n">
        <v>1</v>
      </c>
      <c r="CI404" t="n">
        <v>12</v>
      </c>
      <c r="CJ404" t="n">
        <v>12</v>
      </c>
      <c r="CK404" t="n">
        <v>1</v>
      </c>
      <c r="CL404" t="n">
        <v>24</v>
      </c>
      <c r="CM404" t="n">
        <v>3</v>
      </c>
      <c r="CN404" t="n">
        <v>0</v>
      </c>
      <c r="CO404" t="n">
        <v>11</v>
      </c>
      <c r="CP404" t="n">
        <v>6</v>
      </c>
      <c r="CQ404" t="n">
        <v>13</v>
      </c>
      <c r="CR404" t="n">
        <v>5</v>
      </c>
      <c r="CS404" t="n">
        <v>6</v>
      </c>
      <c r="CT404" t="n">
        <v>4</v>
      </c>
      <c r="CU404" t="n">
        <v>5</v>
      </c>
      <c r="CV404" t="n">
        <v>7</v>
      </c>
      <c r="CW404" t="n">
        <v>7</v>
      </c>
      <c r="CX404" t="n">
        <v>2</v>
      </c>
      <c r="CY404" t="n">
        <v>4</v>
      </c>
      <c r="CZ404" t="n">
        <v>14</v>
      </c>
      <c r="DA404" t="n">
        <v>3</v>
      </c>
      <c r="DB404" t="n">
        <v>11</v>
      </c>
      <c r="DC404" t="n">
        <v>10</v>
      </c>
      <c r="DD404" t="n">
        <v>1</v>
      </c>
      <c r="DE404" t="n">
        <v>3</v>
      </c>
      <c r="DF404" t="n">
        <v>2</v>
      </c>
      <c r="DG404" t="n">
        <v>15</v>
      </c>
      <c r="DH404" t="n">
        <v>7</v>
      </c>
      <c r="DI404" t="n">
        <v>0</v>
      </c>
      <c r="DJ404" t="n">
        <v>0</v>
      </c>
      <c r="DK404" t="n">
        <v>0</v>
      </c>
      <c r="DL404" t="n">
        <v>0</v>
      </c>
      <c r="DM404" t="n">
        <v>2</v>
      </c>
      <c r="DN404" t="n">
        <v>0</v>
      </c>
      <c r="DO404" t="n">
        <v>36</v>
      </c>
      <c r="DP404" t="n">
        <v>1</v>
      </c>
      <c r="DQ404" t="n">
        <v>2</v>
      </c>
      <c r="DR404" t="n">
        <v>5</v>
      </c>
      <c r="DS404" t="n">
        <v>42</v>
      </c>
      <c r="DT404" t="n">
        <v>0</v>
      </c>
      <c r="DU404" t="n">
        <v>0</v>
      </c>
      <c r="DV404" t="n">
        <v>0</v>
      </c>
      <c r="DW404" t="n">
        <v>5</v>
      </c>
      <c r="DX404" t="n">
        <v>4</v>
      </c>
      <c r="DY404" t="n">
        <v>0</v>
      </c>
      <c r="DZ404" t="n">
        <v>2</v>
      </c>
      <c r="EA404" t="n">
        <v>0</v>
      </c>
      <c r="EB404" t="n">
        <v>0</v>
      </c>
      <c r="EC404" t="n">
        <v>0</v>
      </c>
      <c r="ED404" t="n">
        <v>7</v>
      </c>
      <c r="EE404" t="n">
        <v>0</v>
      </c>
      <c r="EF404" t="n">
        <v>3</v>
      </c>
      <c r="EG404" t="n">
        <v>0</v>
      </c>
      <c r="EH404" t="n">
        <v>2</v>
      </c>
      <c r="EI404" t="n">
        <v>4</v>
      </c>
      <c r="EJ404" t="n">
        <v>1</v>
      </c>
      <c r="EK404" t="n">
        <v>4</v>
      </c>
      <c r="EL404" t="n">
        <v>0</v>
      </c>
      <c r="EM404" t="n">
        <v>2</v>
      </c>
      <c r="EN404" t="n">
        <v>4</v>
      </c>
      <c r="EO404" t="n">
        <v>6</v>
      </c>
      <c r="EP404" t="n">
        <v>5</v>
      </c>
      <c r="EQ404" t="n">
        <v>3</v>
      </c>
      <c r="ER404" t="n">
        <v>24</v>
      </c>
      <c r="ES404" t="n">
        <v>2</v>
      </c>
      <c r="ET404" t="n">
        <v>7</v>
      </c>
      <c r="EU404" t="n">
        <v>4</v>
      </c>
      <c r="EW404" t="n">
        <v>5</v>
      </c>
      <c r="EX404" t="n">
        <v>17</v>
      </c>
      <c r="EY404" t="n">
        <v>6</v>
      </c>
      <c r="EZ404" t="n">
        <v>12</v>
      </c>
      <c r="FA404" t="n">
        <v>24</v>
      </c>
      <c r="FB404" t="n">
        <v>12</v>
      </c>
      <c r="FC404" t="n">
        <v>23</v>
      </c>
      <c r="FD404" t="n">
        <v>12</v>
      </c>
      <c r="FE404" t="n">
        <v>16</v>
      </c>
      <c r="FF404" t="n">
        <v>59</v>
      </c>
      <c r="FG404" t="n">
        <v>16</v>
      </c>
      <c r="FI404" t="n">
        <v>67</v>
      </c>
      <c r="FJ404" t="n">
        <v>6</v>
      </c>
      <c r="FK404" t="n">
        <v>19</v>
      </c>
      <c r="FL404" t="n">
        <v>6</v>
      </c>
      <c r="FM404" t="n">
        <v>4</v>
      </c>
      <c r="FN404" t="n">
        <v>3</v>
      </c>
      <c r="FO404" t="n">
        <v>4</v>
      </c>
      <c r="FP404" t="n">
        <v>12</v>
      </c>
      <c r="FQ404" t="n">
        <v>6</v>
      </c>
      <c r="FR404" t="n">
        <v>1</v>
      </c>
      <c r="FS404" t="n">
        <v>3</v>
      </c>
      <c r="FT404" t="n">
        <v>2</v>
      </c>
      <c r="FU404" t="n">
        <v>4</v>
      </c>
      <c r="FV404" t="n">
        <v>13</v>
      </c>
      <c r="FW404" t="n">
        <v>6</v>
      </c>
      <c r="FX404" t="n">
        <v>20</v>
      </c>
      <c r="FY404" t="n">
        <v>21</v>
      </c>
      <c r="FZ404" t="n">
        <v>4</v>
      </c>
      <c r="GA404" t="n">
        <v>2</v>
      </c>
      <c r="GB404" t="n">
        <v>6</v>
      </c>
      <c r="GC404" t="n">
        <v>3</v>
      </c>
      <c r="GD404" t="n">
        <v>6</v>
      </c>
      <c r="GE404" t="n">
        <v>0</v>
      </c>
      <c r="GF404" t="n">
        <v>3</v>
      </c>
      <c r="GG404" t="n">
        <v>13</v>
      </c>
      <c r="GH404" t="n">
        <v>17</v>
      </c>
      <c r="GI404" t="n">
        <v>15</v>
      </c>
      <c r="GJ404" t="n">
        <v>11</v>
      </c>
      <c r="GK404" t="n">
        <v>9</v>
      </c>
      <c r="GL404" t="n">
        <v>21</v>
      </c>
      <c r="GM404" t="n">
        <v>2</v>
      </c>
      <c r="GN404" t="n">
        <v>6</v>
      </c>
      <c r="GO404" t="n">
        <v>8</v>
      </c>
      <c r="GP404" t="n">
        <v>40</v>
      </c>
      <c r="GQ404" t="n">
        <v>35</v>
      </c>
      <c r="GR404" t="n">
        <v>49</v>
      </c>
      <c r="GS404" t="n">
        <v>34</v>
      </c>
      <c r="GT404" t="n">
        <v>30</v>
      </c>
      <c r="GU404" t="n">
        <v>65</v>
      </c>
      <c r="GV404" t="n">
        <v>17</v>
      </c>
      <c r="GW404" t="n">
        <v>86</v>
      </c>
      <c r="GX404" t="n">
        <v>96</v>
      </c>
      <c r="GY404" t="n">
        <v>13</v>
      </c>
      <c r="GZ404" t="n">
        <v>44</v>
      </c>
      <c r="HA404" t="n">
        <v>23</v>
      </c>
      <c r="HB404" t="n">
        <v>34</v>
      </c>
      <c r="HC404" t="n">
        <v>5</v>
      </c>
      <c r="HD404" t="n">
        <v>13</v>
      </c>
      <c r="HE404" t="n">
        <v>21</v>
      </c>
      <c r="HF404" t="n">
        <v>34</v>
      </c>
      <c r="HG404" t="n">
        <v>65</v>
      </c>
      <c r="HH404" t="n">
        <v>39</v>
      </c>
      <c r="HI404" t="n">
        <v>10</v>
      </c>
      <c r="HJ404" t="n">
        <v>10</v>
      </c>
      <c r="HK404" t="n">
        <v>21</v>
      </c>
      <c r="HL404" t="n">
        <v>4</v>
      </c>
      <c r="HM404" t="n">
        <v>15</v>
      </c>
      <c r="HN404" t="n">
        <v>12</v>
      </c>
      <c r="HO404" t="n">
        <v>10</v>
      </c>
      <c r="HP404" t="n">
        <v>3</v>
      </c>
      <c r="HQ404" t="n">
        <v>6</v>
      </c>
      <c r="HR404" t="n">
        <v>0</v>
      </c>
      <c r="HS404" t="n">
        <v>1</v>
      </c>
      <c r="HT404" t="n">
        <v>11</v>
      </c>
      <c r="HU404" t="n">
        <v>45</v>
      </c>
      <c r="HV404" t="n">
        <v>67</v>
      </c>
      <c r="HW404" t="n">
        <v>45</v>
      </c>
      <c r="HX404" t="n">
        <v>18</v>
      </c>
      <c r="HY404" t="n">
        <v>3</v>
      </c>
      <c r="HZ404" t="n">
        <v>8</v>
      </c>
      <c r="IA404" t="n">
        <v>8</v>
      </c>
      <c r="IB404" t="n">
        <v>54</v>
      </c>
      <c r="IC404" t="n">
        <v>3</v>
      </c>
      <c r="ID404" t="n">
        <v>290</v>
      </c>
      <c r="IE404" t="n">
        <v>8</v>
      </c>
      <c r="IF404" t="n">
        <v>16</v>
      </c>
      <c r="IG404" t="n">
        <v>32</v>
      </c>
      <c r="IH404" t="n">
        <v>35</v>
      </c>
      <c r="II404" t="n">
        <v>26</v>
      </c>
      <c r="IJ404" t="n">
        <v>10</v>
      </c>
      <c r="IK404" t="n">
        <v>111</v>
      </c>
      <c r="IL404" t="n">
        <v>788</v>
      </c>
      <c r="IM404" t="n">
        <v>125</v>
      </c>
      <c r="IN404" t="n">
        <v>22</v>
      </c>
      <c r="IO404" t="n">
        <v>14</v>
      </c>
      <c r="IP404" t="n">
        <v>54</v>
      </c>
      <c r="IQ404" t="n">
        <v>6</v>
      </c>
      <c r="IR404" t="n">
        <v>30</v>
      </c>
      <c r="IS404" t="n">
        <v>12</v>
      </c>
      <c r="IT404" t="n">
        <v>16</v>
      </c>
      <c r="IU404" t="n">
        <v>23</v>
      </c>
      <c r="IV404" t="n">
        <v>15</v>
      </c>
      <c r="IW404" t="n">
        <v>28</v>
      </c>
      <c r="IX404" t="n">
        <v>16</v>
      </c>
      <c r="IY404" t="n">
        <v>3</v>
      </c>
      <c r="IZ404" t="n">
        <v>76</v>
      </c>
      <c r="JA404" t="n">
        <v>29</v>
      </c>
      <c r="JB404" t="n">
        <v>20</v>
      </c>
      <c r="JC404" t="n">
        <v>8</v>
      </c>
      <c r="JD404" t="n">
        <v>10</v>
      </c>
      <c r="JE404" t="n">
        <v>8</v>
      </c>
      <c r="JF404" t="n">
        <v>7</v>
      </c>
      <c r="JG404" t="n">
        <v>73</v>
      </c>
      <c r="JH404" t="n">
        <v>18</v>
      </c>
      <c r="JI404" t="n">
        <v>7</v>
      </c>
      <c r="JJ404" t="n">
        <v>14</v>
      </c>
      <c r="JK404" t="n">
        <v>142</v>
      </c>
      <c r="JL404" t="n">
        <v>70</v>
      </c>
      <c r="JM404" t="n">
        <v>537</v>
      </c>
      <c r="JN404" t="n">
        <v>102</v>
      </c>
      <c r="JO404" t="n">
        <v>284</v>
      </c>
      <c r="JP404" t="n">
        <v>40</v>
      </c>
      <c r="JQ404" t="n">
        <v>231</v>
      </c>
      <c r="JR404" t="n">
        <v>24</v>
      </c>
      <c r="JS404" t="n">
        <v>243</v>
      </c>
      <c r="JT404" t="n">
        <v>34</v>
      </c>
      <c r="JV404" t="n">
        <v>607</v>
      </c>
      <c r="JW404" t="n">
        <v>344</v>
      </c>
      <c r="JX404" t="n">
        <v>190</v>
      </c>
      <c r="JY404" t="n">
        <v>112</v>
      </c>
      <c r="JZ404" t="n">
        <v>124</v>
      </c>
      <c r="KA404" t="n">
        <v>314</v>
      </c>
      <c r="KB404" t="n">
        <v>107</v>
      </c>
      <c r="KC404" t="n">
        <v>81</v>
      </c>
      <c r="KD404" t="n">
        <v>207</v>
      </c>
      <c r="KE404" t="n">
        <v>4</v>
      </c>
      <c r="KH404" t="n">
        <v>420</v>
      </c>
      <c r="KI404" t="n">
        <v>6</v>
      </c>
      <c r="KJ404" t="n">
        <v>7</v>
      </c>
      <c r="KK404" t="n">
        <v>63</v>
      </c>
      <c r="KL404" t="n">
        <v>52</v>
      </c>
      <c r="KM404" t="n">
        <v>185</v>
      </c>
      <c r="KN404" t="n">
        <v>6</v>
      </c>
      <c r="KO404" t="n">
        <v>5</v>
      </c>
      <c r="KP404" t="n">
        <v>18</v>
      </c>
      <c r="KQ404" t="n">
        <v>2</v>
      </c>
      <c r="KR404" t="n">
        <v>39</v>
      </c>
      <c r="KS404" t="n">
        <v>49</v>
      </c>
      <c r="KT404" t="n">
        <v>2</v>
      </c>
      <c r="KU404" t="n">
        <v>5</v>
      </c>
      <c r="KV404" t="n">
        <v>14</v>
      </c>
      <c r="KW404" t="n">
        <v>9</v>
      </c>
      <c r="KX404" t="n">
        <v>10</v>
      </c>
      <c r="KY404" t="n">
        <v>59</v>
      </c>
      <c r="KZ404" t="n">
        <v>59</v>
      </c>
      <c r="LA404" t="n">
        <v>30</v>
      </c>
      <c r="LC404" t="n">
        <v>257</v>
      </c>
      <c r="LD404" t="n">
        <v>402</v>
      </c>
      <c r="LE404" t="n">
        <v>153</v>
      </c>
      <c r="LF404" t="n">
        <v>37</v>
      </c>
      <c r="LH404" t="n">
        <v>69</v>
      </c>
      <c r="LI404" t="n">
        <v>29</v>
      </c>
      <c r="LM404" t="n">
        <v>2086</v>
      </c>
      <c r="LN404" t="n">
        <v>975</v>
      </c>
      <c r="LO404" t="n">
        <v>66</v>
      </c>
      <c r="LP404" t="n">
        <v>22</v>
      </c>
      <c r="LQ404" t="n">
        <v>29</v>
      </c>
      <c r="LR404" t="n">
        <v>558</v>
      </c>
      <c r="LS404" t="n">
        <v>37</v>
      </c>
      <c r="LT404" t="n">
        <v>92</v>
      </c>
      <c r="LU404" t="n">
        <v>142</v>
      </c>
      <c r="LV404" t="n">
        <v>71</v>
      </c>
      <c r="LW404" t="n">
        <v>106</v>
      </c>
      <c r="LX404" t="n">
        <v>204</v>
      </c>
      <c r="LY404" t="n">
        <v>37</v>
      </c>
      <c r="LZ404" t="n">
        <v>337</v>
      </c>
      <c r="MA404" t="n">
        <v>34</v>
      </c>
      <c r="MB404" t="n">
        <v>9</v>
      </c>
      <c r="MC404" t="n">
        <v>3</v>
      </c>
      <c r="MD404" t="n">
        <v>23</v>
      </c>
      <c r="ME404" t="n">
        <v>192</v>
      </c>
      <c r="MF404" t="n">
        <v>580</v>
      </c>
      <c r="MG404" t="n">
        <v>106</v>
      </c>
      <c r="MH404" t="n">
        <v>312</v>
      </c>
      <c r="MI404" t="n">
        <v>260</v>
      </c>
      <c r="MJ404" t="n">
        <v>115</v>
      </c>
      <c r="MK404" t="n">
        <v>79</v>
      </c>
      <c r="ML404" t="n">
        <v>240</v>
      </c>
      <c r="MM404" t="n">
        <v>25</v>
      </c>
      <c r="MN404" t="n">
        <v>148</v>
      </c>
      <c r="MO404" t="n">
        <v>702</v>
      </c>
      <c r="MP404" t="n">
        <v>17</v>
      </c>
      <c r="MQ404" t="n">
        <v>14</v>
      </c>
      <c r="MR404" t="n">
        <v>103</v>
      </c>
      <c r="MS404" t="n">
        <v>369</v>
      </c>
      <c r="MT404" t="n">
        <v>38</v>
      </c>
      <c r="MU404" t="n">
        <v>80</v>
      </c>
      <c r="MV404" t="n">
        <v>125</v>
      </c>
      <c r="MW404" t="n">
        <v>28</v>
      </c>
      <c r="MX404" t="n">
        <v>39</v>
      </c>
      <c r="MY404" t="n">
        <v>22</v>
      </c>
      <c r="MZ404" t="n">
        <v>758</v>
      </c>
      <c r="NA404" t="n">
        <v>430</v>
      </c>
      <c r="NB404" t="n">
        <v>67</v>
      </c>
      <c r="NC404" t="n">
        <v>159</v>
      </c>
      <c r="ND404" t="n">
        <v>188</v>
      </c>
      <c r="NE404" t="n">
        <v>30</v>
      </c>
      <c r="NF404" t="n">
        <v>9</v>
      </c>
      <c r="NG404" t="n">
        <v>18</v>
      </c>
      <c r="NH404" t="n">
        <v>5</v>
      </c>
      <c r="NI404" t="n">
        <v>35</v>
      </c>
      <c r="NJ404" t="n">
        <v>26</v>
      </c>
      <c r="NK404" t="n">
        <v>32</v>
      </c>
      <c r="NM404" t="n">
        <v>176</v>
      </c>
      <c r="NN404" t="n">
        <v>804</v>
      </c>
      <c r="NO404" t="n">
        <v>753</v>
      </c>
      <c r="NP404" t="n">
        <v>618</v>
      </c>
      <c r="NQ404" t="n">
        <v>66</v>
      </c>
      <c r="NR404" t="n">
        <v>205</v>
      </c>
      <c r="NS404" t="n">
        <v>15</v>
      </c>
      <c r="NT404" t="n">
        <v>42</v>
      </c>
      <c r="NU404" t="n">
        <v>26</v>
      </c>
      <c r="NV404" t="n">
        <v>180</v>
      </c>
      <c r="NW404" t="n">
        <v>6</v>
      </c>
      <c r="NX404" t="n">
        <v>180</v>
      </c>
      <c r="NY404" t="n">
        <v>91</v>
      </c>
      <c r="NZ404" t="n">
        <v>26</v>
      </c>
      <c r="OA404" t="n">
        <v>8</v>
      </c>
      <c r="OB404" t="n">
        <v>359</v>
      </c>
      <c r="OD404" t="n">
        <v>1280</v>
      </c>
      <c r="OE404" t="n">
        <v>740</v>
      </c>
      <c r="OF404" t="n">
        <v>258</v>
      </c>
      <c r="OI404" t="n">
        <v>2040</v>
      </c>
      <c r="OJ404" t="n">
        <v>1387</v>
      </c>
      <c r="OK404" t="n">
        <v>2950</v>
      </c>
      <c r="OL404" t="n">
        <v>10</v>
      </c>
      <c r="ON404" t="n">
        <v>1377</v>
      </c>
      <c r="OO404" t="n">
        <v>34550</v>
      </c>
      <c r="OP404" t="n">
        <v>72509</v>
      </c>
      <c r="PI404" t="n">
        <v>107059</v>
      </c>
      <c r="PM404">
        <f>IFERROR(VLOOKUP($A404&amp;"",Key!$A:$C,3,FALSE),"")</f>
        <v/>
      </c>
    </row>
    <row r="405">
      <c r="A405" t="inlineStr">
        <is>
          <t>S00401</t>
        </is>
      </c>
      <c r="B405" t="inlineStr">
        <is>
          <t>Scrap</t>
        </is>
      </c>
      <c r="AR405" t="n">
        <v>169</v>
      </c>
      <c r="BC405" t="n">
        <v>30485</v>
      </c>
      <c r="BD405" t="n">
        <v>1830</v>
      </c>
      <c r="BE405" t="n">
        <v>3107</v>
      </c>
      <c r="BF405" t="n">
        <v>13</v>
      </c>
      <c r="BG405" t="n">
        <v>1727</v>
      </c>
      <c r="BH405" t="n">
        <v>56</v>
      </c>
      <c r="BI405" t="n">
        <v>1423</v>
      </c>
      <c r="BJ405" t="n">
        <v>699</v>
      </c>
      <c r="BK405" t="n">
        <v>3895</v>
      </c>
      <c r="BL405" t="n">
        <v>412</v>
      </c>
      <c r="BN405" t="n">
        <v>3</v>
      </c>
      <c r="BQ405" t="n">
        <v>52</v>
      </c>
      <c r="BR405" t="n">
        <v>185</v>
      </c>
      <c r="BW405" t="n">
        <v>1</v>
      </c>
      <c r="CB405" t="n">
        <v>865</v>
      </c>
      <c r="CX405" t="n">
        <v>4</v>
      </c>
      <c r="CY405" t="n">
        <v>9</v>
      </c>
      <c r="DG405" t="n">
        <v>1</v>
      </c>
      <c r="GP405" t="n">
        <v>2</v>
      </c>
      <c r="GT405" t="n">
        <v>1</v>
      </c>
      <c r="HQ405" t="n">
        <v>35</v>
      </c>
      <c r="HT405" t="n">
        <v>216</v>
      </c>
      <c r="HU405" t="n">
        <v>779</v>
      </c>
      <c r="HV405" t="n">
        <v>2355</v>
      </c>
      <c r="HY405" t="n">
        <v>386</v>
      </c>
      <c r="IA405" t="n">
        <v>244</v>
      </c>
      <c r="IZ405" t="n">
        <v>78</v>
      </c>
      <c r="JB405" t="n">
        <v>6</v>
      </c>
      <c r="JF405" t="n">
        <v>8</v>
      </c>
      <c r="JG405" t="n">
        <v>47</v>
      </c>
      <c r="JH405" t="n">
        <v>29</v>
      </c>
      <c r="JJ405" t="n">
        <v>4</v>
      </c>
      <c r="OO405" t="n">
        <v>49124</v>
      </c>
      <c r="OP405" t="n">
        <v>-12990</v>
      </c>
      <c r="OQ405" t="n">
        <v>-9109</v>
      </c>
      <c r="OU405" t="n">
        <v>172</v>
      </c>
      <c r="OV405" t="n">
        <v>19710</v>
      </c>
      <c r="PB405" t="n">
        <v>0</v>
      </c>
      <c r="PI405" t="n">
        <v>46908</v>
      </c>
      <c r="PM405">
        <f>IFERROR(VLOOKUP($A405&amp;"",Key!$A:$C,3,FALSE),"")</f>
        <v/>
      </c>
    </row>
    <row r="406">
      <c r="A406" t="inlineStr">
        <is>
          <t>S00402</t>
        </is>
      </c>
      <c r="B406" t="inlineStr">
        <is>
          <t>Used and secondhand goods</t>
        </is>
      </c>
      <c r="G406" t="n">
        <v>-18</v>
      </c>
      <c r="N406" t="n">
        <v>229</v>
      </c>
      <c r="V406" t="n">
        <v>1292</v>
      </c>
      <c r="X406" t="n">
        <v>6961</v>
      </c>
      <c r="Z406" t="n">
        <v>1063</v>
      </c>
      <c r="AJ406" t="n">
        <v>1773</v>
      </c>
      <c r="AK406" t="n">
        <v>1417</v>
      </c>
      <c r="GC406" t="n">
        <v>3</v>
      </c>
      <c r="GH406" t="n">
        <v>136</v>
      </c>
      <c r="JH406" t="n">
        <v>2</v>
      </c>
      <c r="JV406" t="n">
        <v>54</v>
      </c>
      <c r="KC406" t="n">
        <v>275</v>
      </c>
      <c r="KE406" t="n">
        <v>13</v>
      </c>
      <c r="KG406" t="n">
        <v>-183</v>
      </c>
      <c r="KH406" t="n">
        <v>1024</v>
      </c>
      <c r="KI406" t="n">
        <v>6</v>
      </c>
      <c r="KJ406" t="n">
        <v>159</v>
      </c>
      <c r="KK406" t="n">
        <v>4368</v>
      </c>
      <c r="KL406" t="n">
        <v>1738</v>
      </c>
      <c r="KM406" t="n">
        <v>0</v>
      </c>
      <c r="KS406" t="n">
        <v>182</v>
      </c>
      <c r="KU406" t="n">
        <v>1</v>
      </c>
      <c r="LP406" t="n">
        <v>16</v>
      </c>
      <c r="MF406" t="n">
        <v>739</v>
      </c>
      <c r="MR406" t="n">
        <v>851</v>
      </c>
      <c r="MY406" t="n">
        <v>0</v>
      </c>
      <c r="NF406" t="n">
        <v>-139</v>
      </c>
      <c r="NJ406" t="n">
        <v>39</v>
      </c>
      <c r="NL406" t="n">
        <v>461</v>
      </c>
      <c r="NM406" t="n">
        <v>652</v>
      </c>
      <c r="NR406" t="n">
        <v>10586</v>
      </c>
      <c r="NW406" t="n">
        <v>0</v>
      </c>
      <c r="NX406" t="n">
        <v>16</v>
      </c>
      <c r="NZ406" t="n">
        <v>142</v>
      </c>
      <c r="OA406" t="n">
        <v>1</v>
      </c>
      <c r="OD406" t="n">
        <v>-43</v>
      </c>
      <c r="OO406" t="n">
        <v>33816</v>
      </c>
      <c r="OP406" t="n">
        <v>222777</v>
      </c>
      <c r="OQ406" t="n">
        <v>-97599</v>
      </c>
      <c r="OS406" t="n">
        <v>1883</v>
      </c>
      <c r="OT406" t="n">
        <v>-2586</v>
      </c>
      <c r="OU406" t="n">
        <v>3969</v>
      </c>
      <c r="OV406" t="n">
        <v>15515</v>
      </c>
      <c r="OX406" t="n">
        <v>0</v>
      </c>
      <c r="OZ406" t="n">
        <v>-4</v>
      </c>
      <c r="PB406" t="n">
        <v>-4</v>
      </c>
      <c r="PD406" t="n">
        <v>-2683</v>
      </c>
      <c r="PF406" t="n">
        <v>-14497</v>
      </c>
      <c r="PH406" t="n">
        <v>3909</v>
      </c>
      <c r="PI406" t="n">
        <v>164495</v>
      </c>
      <c r="PM406">
        <f>IFERROR(VLOOKUP($A406&amp;"",Key!$A:$C,3,FALSE),"")</f>
        <v/>
      </c>
    </row>
    <row r="407">
      <c r="A407" t="inlineStr">
        <is>
          <t>S00300</t>
        </is>
      </c>
      <c r="B407" t="inlineStr">
        <is>
          <t>Noncomparable imports</t>
        </is>
      </c>
      <c r="C407" t="n">
        <v>111</v>
      </c>
      <c r="D407" t="n">
        <v>371</v>
      </c>
      <c r="I407" t="n">
        <v>181</v>
      </c>
      <c r="J407" t="n">
        <v>172</v>
      </c>
      <c r="K407" t="n">
        <v>133</v>
      </c>
      <c r="L407" t="n">
        <v>119</v>
      </c>
      <c r="M407" t="n">
        <v>2</v>
      </c>
      <c r="N407" t="n">
        <v>1</v>
      </c>
      <c r="O407" t="n">
        <v>46</v>
      </c>
      <c r="P407" t="n">
        <v>512</v>
      </c>
      <c r="Q407" t="n">
        <v>4</v>
      </c>
      <c r="R407" t="n">
        <v>9</v>
      </c>
      <c r="S407" t="n">
        <v>5</v>
      </c>
      <c r="T407" t="n">
        <v>0</v>
      </c>
      <c r="U407" t="n">
        <v>1</v>
      </c>
      <c r="V407" t="n">
        <v>74</v>
      </c>
      <c r="W407" t="n">
        <v>343</v>
      </c>
      <c r="X407" t="n">
        <v>1797</v>
      </c>
      <c r="Y407" t="n">
        <v>90</v>
      </c>
      <c r="Z407" t="n">
        <v>13</v>
      </c>
      <c r="AA407" t="n">
        <v>75</v>
      </c>
      <c r="AE407" t="n">
        <v>153</v>
      </c>
      <c r="AF407" t="n">
        <v>126</v>
      </c>
      <c r="AG407" t="n">
        <v>446</v>
      </c>
      <c r="AI407" t="n">
        <v>130</v>
      </c>
      <c r="AJ407" t="n">
        <v>223</v>
      </c>
      <c r="AK407" t="n">
        <v>366</v>
      </c>
      <c r="AL407" t="n">
        <v>263</v>
      </c>
      <c r="AM407" t="n">
        <v>68</v>
      </c>
      <c r="AN407" t="n">
        <v>44</v>
      </c>
      <c r="AO407" t="n">
        <v>50</v>
      </c>
      <c r="AP407" t="n">
        <v>30</v>
      </c>
      <c r="AQ407" t="n">
        <v>21</v>
      </c>
      <c r="AR407" t="n">
        <v>101</v>
      </c>
      <c r="AS407" t="n">
        <v>22</v>
      </c>
      <c r="AT407" t="n">
        <v>10</v>
      </c>
      <c r="AU407" t="n">
        <v>10</v>
      </c>
      <c r="AV407" t="n">
        <v>34</v>
      </c>
      <c r="AW407" t="n">
        <v>11</v>
      </c>
      <c r="AX407" t="n">
        <v>14</v>
      </c>
      <c r="AY407" t="n">
        <v>9</v>
      </c>
      <c r="AZ407" t="n">
        <v>8</v>
      </c>
      <c r="BA407" t="n">
        <v>14</v>
      </c>
      <c r="BB407" t="n">
        <v>15</v>
      </c>
      <c r="BC407" t="n">
        <v>326</v>
      </c>
      <c r="BD407" t="n">
        <v>35</v>
      </c>
      <c r="BF407" t="n">
        <v>6</v>
      </c>
      <c r="BG407" t="n">
        <v>29</v>
      </c>
      <c r="BH407" t="n">
        <v>82</v>
      </c>
      <c r="BI407" t="n">
        <v>67</v>
      </c>
      <c r="BJ407" t="n">
        <v>47</v>
      </c>
      <c r="BK407" t="n">
        <v>48</v>
      </c>
      <c r="BM407" t="n">
        <v>23</v>
      </c>
      <c r="BN407" t="n">
        <v>28</v>
      </c>
      <c r="BO407" t="n">
        <v>36</v>
      </c>
      <c r="BP407" t="n">
        <v>32</v>
      </c>
      <c r="BQ407" t="n">
        <v>166</v>
      </c>
      <c r="BR407" t="n">
        <v>111</v>
      </c>
      <c r="BS407" t="n">
        <v>29</v>
      </c>
      <c r="BT407" t="n">
        <v>12</v>
      </c>
      <c r="BU407" t="n">
        <v>71</v>
      </c>
      <c r="BV407" t="n">
        <v>20</v>
      </c>
      <c r="BW407" t="n">
        <v>23</v>
      </c>
      <c r="BY407" t="n">
        <v>32</v>
      </c>
      <c r="CA407" t="n">
        <v>22</v>
      </c>
      <c r="CB407" t="n">
        <v>90</v>
      </c>
      <c r="CC407" t="n">
        <v>17</v>
      </c>
      <c r="CE407" t="n">
        <v>13</v>
      </c>
      <c r="CF407" t="n">
        <v>46</v>
      </c>
      <c r="CG407" t="n">
        <v>130</v>
      </c>
      <c r="CH407" t="n">
        <v>35</v>
      </c>
      <c r="CI407" t="n">
        <v>161</v>
      </c>
      <c r="CJ407" t="n">
        <v>161</v>
      </c>
      <c r="CK407" t="n">
        <v>31</v>
      </c>
      <c r="CL407" t="n">
        <v>102</v>
      </c>
      <c r="CM407" t="n">
        <v>15</v>
      </c>
      <c r="CN407" t="n">
        <v>5</v>
      </c>
      <c r="CO407" t="n">
        <v>83</v>
      </c>
      <c r="CP407" t="n">
        <v>17</v>
      </c>
      <c r="CQ407" t="n">
        <v>145</v>
      </c>
      <c r="CR407" t="n">
        <v>15</v>
      </c>
      <c r="CS407" t="n">
        <v>14</v>
      </c>
      <c r="CT407" t="n">
        <v>21</v>
      </c>
      <c r="CU407" t="n">
        <v>28</v>
      </c>
      <c r="CV407" t="n">
        <v>22</v>
      </c>
      <c r="CW407" t="n">
        <v>48</v>
      </c>
      <c r="CX407" t="n">
        <v>10</v>
      </c>
      <c r="CY407" t="n">
        <v>15</v>
      </c>
      <c r="CZ407" t="n">
        <v>162</v>
      </c>
      <c r="DA407" t="n">
        <v>30</v>
      </c>
      <c r="DB407" t="n">
        <v>55</v>
      </c>
      <c r="DC407" t="n">
        <v>94</v>
      </c>
      <c r="DD407" t="n">
        <v>12</v>
      </c>
      <c r="DE407" t="n">
        <v>15</v>
      </c>
      <c r="DF407" t="n">
        <v>6</v>
      </c>
      <c r="DG407" t="n">
        <v>99</v>
      </c>
      <c r="DH407" t="n">
        <v>53</v>
      </c>
      <c r="DI407" t="n">
        <v>2</v>
      </c>
      <c r="DJ407" t="n">
        <v>4</v>
      </c>
      <c r="DK407" t="n">
        <v>12</v>
      </c>
      <c r="DL407" t="n">
        <v>81</v>
      </c>
      <c r="DM407" t="n">
        <v>356</v>
      </c>
      <c r="DN407" t="n">
        <v>22</v>
      </c>
      <c r="DO407" t="n">
        <v>127</v>
      </c>
      <c r="DP407" t="n">
        <v>64</v>
      </c>
      <c r="DQ407" t="n">
        <v>66</v>
      </c>
      <c r="DR407" t="n">
        <v>255</v>
      </c>
      <c r="DS407" t="n">
        <v>192</v>
      </c>
      <c r="DT407" t="n">
        <v>4</v>
      </c>
      <c r="DU407" t="n">
        <v>53</v>
      </c>
      <c r="DV407" t="n">
        <v>48</v>
      </c>
      <c r="DW407" t="n">
        <v>79</v>
      </c>
      <c r="DX407" t="n">
        <v>88</v>
      </c>
      <c r="DY407" t="n">
        <v>42</v>
      </c>
      <c r="DZ407" t="n">
        <v>18</v>
      </c>
      <c r="EA407" t="n">
        <v>11</v>
      </c>
      <c r="EB407" t="n">
        <v>5</v>
      </c>
      <c r="EC407" t="n">
        <v>7</v>
      </c>
      <c r="ED407" t="n">
        <v>35</v>
      </c>
      <c r="EE407" t="n">
        <v>8</v>
      </c>
      <c r="EF407" t="n">
        <v>42</v>
      </c>
      <c r="EG407" t="n">
        <v>14</v>
      </c>
      <c r="EH407" t="n">
        <v>30</v>
      </c>
      <c r="EI407" t="n">
        <v>32</v>
      </c>
      <c r="EJ407" t="n">
        <v>37</v>
      </c>
      <c r="EK407" t="n">
        <v>18</v>
      </c>
      <c r="EL407" t="n">
        <v>2</v>
      </c>
      <c r="EM407" t="n">
        <v>48</v>
      </c>
      <c r="EN407" t="n">
        <v>58</v>
      </c>
      <c r="EO407" t="n">
        <v>8</v>
      </c>
      <c r="EP407" t="n">
        <v>31</v>
      </c>
      <c r="EQ407" t="n">
        <v>237</v>
      </c>
      <c r="ER407" t="n">
        <v>333</v>
      </c>
      <c r="ES407" t="n">
        <v>66</v>
      </c>
      <c r="EX407" t="n">
        <v>149</v>
      </c>
      <c r="EY407" t="n">
        <v>45</v>
      </c>
      <c r="EZ407" t="n">
        <v>120</v>
      </c>
      <c r="FA407" t="n">
        <v>182</v>
      </c>
      <c r="FB407" t="n">
        <v>107</v>
      </c>
      <c r="FC407" t="n">
        <v>146</v>
      </c>
      <c r="FD407" t="n">
        <v>79</v>
      </c>
      <c r="FE407" t="n">
        <v>305</v>
      </c>
      <c r="FF407" t="n">
        <v>569</v>
      </c>
      <c r="FG407" t="n">
        <v>143</v>
      </c>
      <c r="FI407" t="n">
        <v>0</v>
      </c>
      <c r="FJ407" t="n">
        <v>90</v>
      </c>
      <c r="FL407" t="n">
        <v>16</v>
      </c>
      <c r="FP407" t="n">
        <v>25</v>
      </c>
      <c r="FQ407" t="n">
        <v>44</v>
      </c>
      <c r="FR407" t="n">
        <v>16</v>
      </c>
      <c r="FS407" t="n">
        <v>17</v>
      </c>
      <c r="FU407" t="n">
        <v>27</v>
      </c>
      <c r="FV407" t="n">
        <v>41</v>
      </c>
      <c r="FW407" t="n">
        <v>3</v>
      </c>
      <c r="FX407" t="n">
        <v>139</v>
      </c>
      <c r="FY407" t="n">
        <v>165</v>
      </c>
      <c r="FZ407" t="n">
        <v>19</v>
      </c>
      <c r="GA407" t="n">
        <v>19</v>
      </c>
      <c r="GB407" t="n">
        <v>12</v>
      </c>
      <c r="GC407" t="n">
        <v>40</v>
      </c>
      <c r="GD407" t="n">
        <v>36</v>
      </c>
      <c r="GE407" t="n">
        <v>3</v>
      </c>
      <c r="GF407" t="n">
        <v>8</v>
      </c>
      <c r="GG407" t="n">
        <v>44</v>
      </c>
      <c r="GH407" t="n">
        <v>69</v>
      </c>
      <c r="GI407" t="n">
        <v>70</v>
      </c>
      <c r="GJ407" t="n">
        <v>125</v>
      </c>
      <c r="GK407" t="n">
        <v>39</v>
      </c>
      <c r="GL407" t="n">
        <v>22</v>
      </c>
      <c r="GM407" t="n">
        <v>19</v>
      </c>
      <c r="GN407" t="n">
        <v>71</v>
      </c>
      <c r="GO407" t="n">
        <v>30</v>
      </c>
      <c r="GP407" t="n">
        <v>55</v>
      </c>
      <c r="GQ407" t="n">
        <v>120</v>
      </c>
      <c r="GR407" t="n">
        <v>101</v>
      </c>
      <c r="GS407" t="n">
        <v>169</v>
      </c>
      <c r="GT407" t="n">
        <v>98</v>
      </c>
      <c r="GU407" t="n">
        <v>104</v>
      </c>
      <c r="GV407" t="n">
        <v>17</v>
      </c>
      <c r="GW407" t="n">
        <v>34</v>
      </c>
      <c r="GX407" t="n">
        <v>171</v>
      </c>
      <c r="GY407" t="n">
        <v>14</v>
      </c>
      <c r="GZ407" t="n">
        <v>101</v>
      </c>
      <c r="HA407" t="n">
        <v>49</v>
      </c>
      <c r="HB407" t="n">
        <v>132</v>
      </c>
      <c r="HC407" t="n">
        <v>35</v>
      </c>
      <c r="HD407" t="n">
        <v>12</v>
      </c>
      <c r="HE407" t="n">
        <v>63</v>
      </c>
      <c r="HF407" t="n">
        <v>64</v>
      </c>
      <c r="HG407" t="n">
        <v>145</v>
      </c>
      <c r="HH407" t="n">
        <v>79</v>
      </c>
      <c r="HI407" t="n">
        <v>45</v>
      </c>
      <c r="HJ407" t="n">
        <v>22</v>
      </c>
      <c r="HK407" t="n">
        <v>145</v>
      </c>
      <c r="HL407" t="n">
        <v>15</v>
      </c>
      <c r="HM407" t="n">
        <v>36</v>
      </c>
      <c r="HN407" t="n">
        <v>5</v>
      </c>
      <c r="HO407" t="n">
        <v>23</v>
      </c>
      <c r="HP407" t="n">
        <v>7</v>
      </c>
      <c r="HQ407" t="n">
        <v>19</v>
      </c>
      <c r="HR407" t="n">
        <v>15</v>
      </c>
      <c r="HT407" t="n">
        <v>20</v>
      </c>
      <c r="HU407" t="n">
        <v>146</v>
      </c>
      <c r="HV407" t="n">
        <v>10</v>
      </c>
      <c r="HW407" t="n">
        <v>309</v>
      </c>
      <c r="HX407" t="n">
        <v>71</v>
      </c>
      <c r="HY407" t="n">
        <v>5</v>
      </c>
      <c r="HZ407" t="n">
        <v>42</v>
      </c>
      <c r="IA407" t="n">
        <v>8</v>
      </c>
      <c r="IB407" t="n">
        <v>302</v>
      </c>
      <c r="ID407" t="n">
        <v>5608</v>
      </c>
      <c r="IE407" t="n">
        <v>63</v>
      </c>
      <c r="IG407" t="n">
        <v>10</v>
      </c>
      <c r="IH407" t="n">
        <v>513</v>
      </c>
      <c r="II407" t="n">
        <v>23</v>
      </c>
      <c r="IJ407" t="n">
        <v>23</v>
      </c>
      <c r="IK407" t="n">
        <v>108</v>
      </c>
      <c r="IL407" t="n">
        <v>580</v>
      </c>
      <c r="IM407" t="n">
        <v>292</v>
      </c>
      <c r="IN407" t="n">
        <v>38</v>
      </c>
      <c r="IO407" t="n">
        <v>51</v>
      </c>
      <c r="IP407" t="n">
        <v>290</v>
      </c>
      <c r="IR407" t="n">
        <v>140</v>
      </c>
      <c r="IS407" t="n">
        <v>92</v>
      </c>
      <c r="IT407" t="n">
        <v>30</v>
      </c>
      <c r="IU407" t="n">
        <v>52</v>
      </c>
      <c r="IV407" t="n">
        <v>30</v>
      </c>
      <c r="IW407" t="n">
        <v>139</v>
      </c>
      <c r="IX407" t="n">
        <v>66</v>
      </c>
      <c r="IY407" t="n">
        <v>11</v>
      </c>
      <c r="IZ407" t="n">
        <v>82</v>
      </c>
      <c r="JA407" t="n">
        <v>121</v>
      </c>
      <c r="JB407" t="n">
        <v>62</v>
      </c>
      <c r="JF407" t="n">
        <v>51</v>
      </c>
      <c r="JG407" t="n">
        <v>344</v>
      </c>
      <c r="JH407" t="n">
        <v>58</v>
      </c>
      <c r="JI407" t="n">
        <v>19</v>
      </c>
      <c r="JJ407" t="n">
        <v>72</v>
      </c>
      <c r="JK407" t="n">
        <v>575</v>
      </c>
      <c r="JL407" t="n">
        <v>990</v>
      </c>
      <c r="JM407" t="n">
        <v>1190</v>
      </c>
      <c r="JN407" t="n">
        <v>1134</v>
      </c>
      <c r="JO407" t="n">
        <v>1011</v>
      </c>
      <c r="JP407" t="n">
        <v>434</v>
      </c>
      <c r="JQ407" t="n">
        <v>796</v>
      </c>
      <c r="JR407" t="n">
        <v>858</v>
      </c>
      <c r="JS407" t="n">
        <v>857</v>
      </c>
      <c r="JT407" t="n">
        <v>397</v>
      </c>
      <c r="JV407" t="n">
        <v>120</v>
      </c>
      <c r="JW407" t="n">
        <v>512</v>
      </c>
      <c r="JX407" t="n">
        <v>1016</v>
      </c>
      <c r="JZ407" t="n">
        <v>177</v>
      </c>
      <c r="KA407" t="n">
        <v>107</v>
      </c>
      <c r="KB407" t="n">
        <v>284</v>
      </c>
      <c r="KC407" t="n">
        <v>2601</v>
      </c>
      <c r="KD407" t="n">
        <v>139</v>
      </c>
      <c r="KE407" t="n">
        <v>15226</v>
      </c>
      <c r="KF407" t="n">
        <v>138</v>
      </c>
      <c r="KG407" t="n">
        <v>1681</v>
      </c>
      <c r="KH407" t="n">
        <v>947</v>
      </c>
      <c r="KI407" t="n">
        <v>15</v>
      </c>
      <c r="KJ407" t="n">
        <v>47</v>
      </c>
      <c r="KK407" t="n">
        <v>455</v>
      </c>
      <c r="KL407" t="n">
        <v>92</v>
      </c>
      <c r="KM407" t="n">
        <v>108</v>
      </c>
      <c r="KN407" t="n">
        <v>101</v>
      </c>
      <c r="KO407" t="n">
        <v>8</v>
      </c>
      <c r="KP407" t="n">
        <v>87</v>
      </c>
      <c r="KQ407" t="n">
        <v>34</v>
      </c>
      <c r="KR407" t="n">
        <v>663</v>
      </c>
      <c r="KS407" t="n">
        <v>274</v>
      </c>
      <c r="KT407" t="n">
        <v>45</v>
      </c>
      <c r="KU407" t="n">
        <v>49</v>
      </c>
      <c r="KV407" t="n">
        <v>159</v>
      </c>
      <c r="KW407" t="n">
        <v>2872</v>
      </c>
      <c r="KX407" t="n">
        <v>3886</v>
      </c>
      <c r="KY407" t="n">
        <v>442</v>
      </c>
      <c r="KZ407" t="n">
        <v>525</v>
      </c>
      <c r="LA407" t="n">
        <v>240</v>
      </c>
      <c r="LB407" t="n">
        <v>11</v>
      </c>
      <c r="LC407" t="n">
        <v>1719</v>
      </c>
      <c r="LD407" t="n">
        <v>2573</v>
      </c>
      <c r="LE407" t="n">
        <v>779</v>
      </c>
      <c r="LF407" t="n">
        <v>32051</v>
      </c>
      <c r="LG407" t="n">
        <v>255</v>
      </c>
      <c r="LH407" t="n">
        <v>547</v>
      </c>
      <c r="LI407" t="n">
        <v>577</v>
      </c>
      <c r="LJ407" t="n">
        <v>249</v>
      </c>
      <c r="LL407" t="n">
        <v>98</v>
      </c>
      <c r="LM407" t="n">
        <v>1316</v>
      </c>
      <c r="LN407" t="n">
        <v>49</v>
      </c>
      <c r="LO407" t="n">
        <v>468</v>
      </c>
      <c r="LP407" t="n">
        <v>126</v>
      </c>
      <c r="LQ407" t="n">
        <v>912</v>
      </c>
      <c r="LR407" t="n">
        <v>278</v>
      </c>
      <c r="LS407" t="n">
        <v>514</v>
      </c>
      <c r="LT407" t="n">
        <v>1859</v>
      </c>
      <c r="LU407" t="n">
        <v>161</v>
      </c>
      <c r="LV407" t="n">
        <v>150</v>
      </c>
      <c r="LW407" t="n">
        <v>1180</v>
      </c>
      <c r="LX407" t="n">
        <v>702</v>
      </c>
      <c r="LY407" t="n">
        <v>261</v>
      </c>
      <c r="LZ407" t="n">
        <v>321</v>
      </c>
      <c r="MA407" t="n">
        <v>260</v>
      </c>
      <c r="MB407" t="n">
        <v>11</v>
      </c>
      <c r="MC407" t="n">
        <v>42</v>
      </c>
      <c r="MD407" t="n">
        <v>117</v>
      </c>
      <c r="ME407" t="n">
        <v>218</v>
      </c>
      <c r="MF407" t="n">
        <v>2114</v>
      </c>
      <c r="MG407" t="n">
        <v>665</v>
      </c>
      <c r="MH407" t="n">
        <v>286</v>
      </c>
      <c r="MI407" t="n">
        <v>48</v>
      </c>
      <c r="MJ407" t="n">
        <v>31</v>
      </c>
      <c r="MK407" t="n">
        <v>294</v>
      </c>
      <c r="ML407" t="n">
        <v>34</v>
      </c>
      <c r="MM407" t="n">
        <v>5</v>
      </c>
      <c r="MN407" t="n">
        <v>29</v>
      </c>
      <c r="MO407" t="n">
        <v>108</v>
      </c>
      <c r="MQ407" t="n">
        <v>429</v>
      </c>
      <c r="MR407" t="n">
        <v>106</v>
      </c>
      <c r="NA407" t="n">
        <v>268</v>
      </c>
      <c r="NB407" t="n">
        <v>25</v>
      </c>
      <c r="NF407" t="n">
        <v>32</v>
      </c>
      <c r="NG407" t="n">
        <v>51</v>
      </c>
      <c r="NH407" t="n">
        <v>171</v>
      </c>
      <c r="NI407" t="n">
        <v>88</v>
      </c>
      <c r="NK407" t="n">
        <v>36</v>
      </c>
      <c r="NL407" t="n">
        <v>67</v>
      </c>
      <c r="NM407" t="n">
        <v>131</v>
      </c>
      <c r="NN407" t="n">
        <v>666</v>
      </c>
      <c r="NO407" t="n">
        <v>1074</v>
      </c>
      <c r="NP407" t="n">
        <v>764</v>
      </c>
      <c r="NQ407" t="n">
        <v>103</v>
      </c>
      <c r="NR407" t="n">
        <v>102</v>
      </c>
      <c r="NS407" t="n">
        <v>48</v>
      </c>
      <c r="NT407" t="n">
        <v>51</v>
      </c>
      <c r="NU407" t="n">
        <v>58</v>
      </c>
      <c r="NV407" t="n">
        <v>53</v>
      </c>
      <c r="NW407" t="n">
        <v>4276</v>
      </c>
      <c r="NX407" t="n">
        <v>10</v>
      </c>
      <c r="NY407" t="n">
        <v>30</v>
      </c>
      <c r="OD407" t="n">
        <v>11756</v>
      </c>
      <c r="OE407" t="n">
        <v>2797</v>
      </c>
      <c r="OF407" t="n">
        <v>8</v>
      </c>
      <c r="OO407" t="n">
        <v>142489</v>
      </c>
      <c r="OP407" t="n">
        <v>110221</v>
      </c>
      <c r="OR407" t="n">
        <v>7711</v>
      </c>
      <c r="PI407" t="n">
        <v>260421</v>
      </c>
      <c r="PM407">
        <f>IFERROR(VLOOKUP($A407&amp;"",Key!$A:$C,3,FALSE),"")</f>
        <v/>
      </c>
    </row>
    <row r="408">
      <c r="A408" t="inlineStr">
        <is>
          <t>S00900</t>
        </is>
      </c>
      <c r="B408" t="inlineStr">
        <is>
          <t>Rest of the world adjustment</t>
        </is>
      </c>
      <c r="OP408" t="n">
        <v>-200997</v>
      </c>
      <c r="OV408" t="n">
        <v>204439</v>
      </c>
      <c r="PI408" t="n">
        <v>3441</v>
      </c>
      <c r="PM408">
        <f>IFERROR(VLOOKUP($A408&amp;"",Key!$A:$C,3,FALSE),"")</f>
        <v/>
      </c>
    </row>
    <row r="409">
      <c r="A409" t="inlineStr">
        <is>
          <t>T005</t>
        </is>
      </c>
      <c r="B409" t="inlineStr">
        <is>
          <t>Total intermediate inputs</t>
        </is>
      </c>
      <c r="C409" t="n">
        <v>20547</v>
      </c>
      <c r="D409" t="n">
        <v>48075</v>
      </c>
      <c r="E409" t="n">
        <v>10655</v>
      </c>
      <c r="F409" t="n">
        <v>11723</v>
      </c>
      <c r="G409" t="n">
        <v>9635</v>
      </c>
      <c r="H409" t="n">
        <v>17494</v>
      </c>
      <c r="I409" t="n">
        <v>28922</v>
      </c>
      <c r="J409" t="n">
        <v>60750</v>
      </c>
      <c r="K409" t="n">
        <v>38756</v>
      </c>
      <c r="L409" t="n">
        <v>10239</v>
      </c>
      <c r="M409" t="n">
        <v>8139</v>
      </c>
      <c r="N409" t="n">
        <v>2043</v>
      </c>
      <c r="O409" t="n">
        <v>5093</v>
      </c>
      <c r="P409" t="n">
        <v>92883</v>
      </c>
      <c r="Q409" t="n">
        <v>17700</v>
      </c>
      <c r="R409" t="n">
        <v>6540</v>
      </c>
      <c r="S409" t="n">
        <v>9136</v>
      </c>
      <c r="T409" t="n">
        <v>7490</v>
      </c>
      <c r="U409" t="n">
        <v>8720</v>
      </c>
      <c r="V409" t="n">
        <v>13877</v>
      </c>
      <c r="W409" t="n">
        <v>39126</v>
      </c>
      <c r="X409" t="n">
        <v>130971</v>
      </c>
      <c r="Y409" t="n">
        <v>24038</v>
      </c>
      <c r="Z409" t="n">
        <v>5398</v>
      </c>
      <c r="AA409" t="n">
        <v>15711</v>
      </c>
      <c r="AB409" t="n">
        <v>41235</v>
      </c>
      <c r="AC409" t="n">
        <v>98982</v>
      </c>
      <c r="AD409" t="n">
        <v>36118</v>
      </c>
      <c r="AE409" t="n">
        <v>79023</v>
      </c>
      <c r="AF409" t="n">
        <v>34123</v>
      </c>
      <c r="AG409" t="n">
        <v>141915</v>
      </c>
      <c r="AH409" t="n">
        <v>27220</v>
      </c>
      <c r="AI409" t="n">
        <v>48243</v>
      </c>
      <c r="AJ409" t="n">
        <v>32647</v>
      </c>
      <c r="AK409" t="n">
        <v>118749</v>
      </c>
      <c r="AL409" t="n">
        <v>63781</v>
      </c>
      <c r="AM409" t="n">
        <v>23712</v>
      </c>
      <c r="AN409" t="n">
        <v>15793</v>
      </c>
      <c r="AO409" t="n">
        <v>16379</v>
      </c>
      <c r="AP409" t="n">
        <v>16883</v>
      </c>
      <c r="AQ409" t="n">
        <v>4131</v>
      </c>
      <c r="AR409" t="n">
        <v>14406</v>
      </c>
      <c r="AS409" t="n">
        <v>3796</v>
      </c>
      <c r="AT409" t="n">
        <v>20217</v>
      </c>
      <c r="AU409" t="n">
        <v>3164</v>
      </c>
      <c r="AV409" t="n">
        <v>6440</v>
      </c>
      <c r="AW409" t="n">
        <v>4076</v>
      </c>
      <c r="AX409" t="n">
        <v>1679</v>
      </c>
      <c r="AY409" t="n">
        <v>2790</v>
      </c>
      <c r="AZ409" t="n">
        <v>2352</v>
      </c>
      <c r="BA409" t="n">
        <v>3091</v>
      </c>
      <c r="BB409" t="n">
        <v>2691</v>
      </c>
      <c r="BC409" t="n">
        <v>66944</v>
      </c>
      <c r="BD409" t="n">
        <v>16165</v>
      </c>
      <c r="BE409" t="n">
        <v>5098</v>
      </c>
      <c r="BF409" t="n">
        <v>2119</v>
      </c>
      <c r="BG409" t="n">
        <v>20420</v>
      </c>
      <c r="BH409" t="n">
        <v>7187</v>
      </c>
      <c r="BI409" t="n">
        <v>17999</v>
      </c>
      <c r="BJ409" t="n">
        <v>9534</v>
      </c>
      <c r="BK409" t="n">
        <v>10059</v>
      </c>
      <c r="BL409" t="n">
        <v>7582</v>
      </c>
      <c r="BM409" t="n">
        <v>4914</v>
      </c>
      <c r="BN409" t="n">
        <v>8434</v>
      </c>
      <c r="BO409" t="n">
        <v>6626</v>
      </c>
      <c r="BP409" t="n">
        <v>5053</v>
      </c>
      <c r="BQ409" t="n">
        <v>30718</v>
      </c>
      <c r="BR409" t="n">
        <v>25612</v>
      </c>
      <c r="BS409" t="n">
        <v>4184</v>
      </c>
      <c r="BT409" t="n">
        <v>4757</v>
      </c>
      <c r="BU409" t="n">
        <v>11788</v>
      </c>
      <c r="BV409" t="n">
        <v>5665</v>
      </c>
      <c r="BW409" t="n">
        <v>5403</v>
      </c>
      <c r="BX409" t="n">
        <v>18507</v>
      </c>
      <c r="BY409" t="n">
        <v>17627</v>
      </c>
      <c r="BZ409" t="n">
        <v>13458</v>
      </c>
      <c r="CA409" t="n">
        <v>3112</v>
      </c>
      <c r="CB409" t="n">
        <v>14318</v>
      </c>
      <c r="CC409" t="n">
        <v>3137</v>
      </c>
      <c r="CD409" t="n">
        <v>3159</v>
      </c>
      <c r="CE409" t="n">
        <v>6781</v>
      </c>
      <c r="CF409" t="n">
        <v>8254</v>
      </c>
      <c r="CG409" t="n">
        <v>15334</v>
      </c>
      <c r="CH409" t="n">
        <v>5180</v>
      </c>
      <c r="CI409" t="n">
        <v>20080</v>
      </c>
      <c r="CJ409" t="n">
        <v>11428</v>
      </c>
      <c r="CK409" t="n">
        <v>3615</v>
      </c>
      <c r="CL409" t="n">
        <v>19590</v>
      </c>
      <c r="CM409" t="n">
        <v>2692</v>
      </c>
      <c r="CN409" t="n">
        <v>872</v>
      </c>
      <c r="CO409" t="n">
        <v>11856</v>
      </c>
      <c r="CP409" t="n">
        <v>2574</v>
      </c>
      <c r="CQ409" t="n">
        <v>20287</v>
      </c>
      <c r="CR409" t="n">
        <v>3497</v>
      </c>
      <c r="CS409" t="n">
        <v>3574</v>
      </c>
      <c r="CT409" t="n">
        <v>4526</v>
      </c>
      <c r="CU409" t="n">
        <v>4484</v>
      </c>
      <c r="CV409" t="n">
        <v>5365</v>
      </c>
      <c r="CW409" t="n">
        <v>7484</v>
      </c>
      <c r="CX409" t="n">
        <v>1864</v>
      </c>
      <c r="CY409" t="n">
        <v>2768</v>
      </c>
      <c r="CZ409" t="n">
        <v>19556</v>
      </c>
      <c r="DA409" t="n">
        <v>5992</v>
      </c>
      <c r="DB409" t="n">
        <v>10431</v>
      </c>
      <c r="DC409" t="n">
        <v>18849</v>
      </c>
      <c r="DD409" t="n">
        <v>1905</v>
      </c>
      <c r="DE409" t="n">
        <v>4193</v>
      </c>
      <c r="DF409" t="n">
        <v>1599</v>
      </c>
      <c r="DG409" t="n">
        <v>13678</v>
      </c>
      <c r="DH409" t="n">
        <v>7350</v>
      </c>
      <c r="DI409" t="n">
        <v>6143</v>
      </c>
      <c r="DJ409" t="n">
        <v>1576</v>
      </c>
      <c r="DK409" t="n">
        <v>3045</v>
      </c>
      <c r="DL409" t="n">
        <v>2771</v>
      </c>
      <c r="DM409" t="n">
        <v>8916</v>
      </c>
      <c r="DN409" t="n">
        <v>1699</v>
      </c>
      <c r="DO409" t="n">
        <v>15700</v>
      </c>
      <c r="DP409" t="n">
        <v>6136</v>
      </c>
      <c r="DQ409" t="n">
        <v>9007</v>
      </c>
      <c r="DR409" t="n">
        <v>12034</v>
      </c>
      <c r="DS409" t="n">
        <v>14446</v>
      </c>
      <c r="DT409" t="n">
        <v>823</v>
      </c>
      <c r="DU409" t="n">
        <v>2796</v>
      </c>
      <c r="DV409" t="n">
        <v>2709</v>
      </c>
      <c r="DW409" t="n">
        <v>3903</v>
      </c>
      <c r="DX409" t="n">
        <v>4730</v>
      </c>
      <c r="DY409" t="n">
        <v>3164</v>
      </c>
      <c r="DZ409" t="n">
        <v>4393</v>
      </c>
      <c r="EA409" t="n">
        <v>1090</v>
      </c>
      <c r="EB409" t="n">
        <v>482</v>
      </c>
      <c r="EC409" t="n">
        <v>636</v>
      </c>
      <c r="ED409" t="n">
        <v>6317</v>
      </c>
      <c r="EE409" t="n">
        <v>1671</v>
      </c>
      <c r="EF409" t="n">
        <v>9828</v>
      </c>
      <c r="EG409" t="n">
        <v>2408</v>
      </c>
      <c r="EH409" t="n">
        <v>6343</v>
      </c>
      <c r="EI409" t="n">
        <v>6644</v>
      </c>
      <c r="EJ409" t="n">
        <v>5520</v>
      </c>
      <c r="EK409" t="n">
        <v>4853</v>
      </c>
      <c r="EL409" t="n">
        <v>634</v>
      </c>
      <c r="EM409" t="n">
        <v>7503</v>
      </c>
      <c r="EN409" t="n">
        <v>6470</v>
      </c>
      <c r="EO409" t="n">
        <v>1564</v>
      </c>
      <c r="EP409" t="n">
        <v>6237</v>
      </c>
      <c r="EQ409" t="n">
        <v>28051</v>
      </c>
      <c r="ER409" t="n">
        <v>157114</v>
      </c>
      <c r="ES409" t="n">
        <v>20600</v>
      </c>
      <c r="ET409" t="n">
        <v>10773</v>
      </c>
      <c r="EU409" t="n">
        <v>8164</v>
      </c>
      <c r="EV409" t="n">
        <v>4197</v>
      </c>
      <c r="EW409" t="n">
        <v>11640</v>
      </c>
      <c r="EX409" t="n">
        <v>31083</v>
      </c>
      <c r="EY409" t="n">
        <v>17682</v>
      </c>
      <c r="EZ409" t="n">
        <v>29474</v>
      </c>
      <c r="FA409" t="n">
        <v>23691</v>
      </c>
      <c r="FB409" t="n">
        <v>26731</v>
      </c>
      <c r="FC409" t="n">
        <v>47759</v>
      </c>
      <c r="FD409" t="n">
        <v>21086</v>
      </c>
      <c r="FE409" t="n">
        <v>75146</v>
      </c>
      <c r="FF409" t="n">
        <v>28302</v>
      </c>
      <c r="FG409" t="n">
        <v>19624</v>
      </c>
      <c r="FH409" t="n">
        <v>9725</v>
      </c>
      <c r="FI409" t="n">
        <v>7025</v>
      </c>
      <c r="FJ409" t="n">
        <v>9665</v>
      </c>
      <c r="FK409" t="n">
        <v>13298</v>
      </c>
      <c r="FL409" t="n">
        <v>7735</v>
      </c>
      <c r="FM409" t="n">
        <v>3869</v>
      </c>
      <c r="FN409" t="n">
        <v>4256</v>
      </c>
      <c r="FO409" t="n">
        <v>6010</v>
      </c>
      <c r="FP409" t="n">
        <v>8330</v>
      </c>
      <c r="FQ409" t="n">
        <v>8098</v>
      </c>
      <c r="FR409" t="n">
        <v>2477</v>
      </c>
      <c r="FS409" t="n">
        <v>2992</v>
      </c>
      <c r="FT409" t="n">
        <v>2402</v>
      </c>
      <c r="FU409" t="n">
        <v>4272</v>
      </c>
      <c r="FV409" t="n">
        <v>11911</v>
      </c>
      <c r="FW409" t="n">
        <v>6904</v>
      </c>
      <c r="FX409" t="n">
        <v>15485</v>
      </c>
      <c r="FY409" t="n">
        <v>14540</v>
      </c>
      <c r="FZ409" t="n">
        <v>2267</v>
      </c>
      <c r="GA409" t="n">
        <v>2465</v>
      </c>
      <c r="GB409" t="n">
        <v>2552</v>
      </c>
      <c r="GC409" t="n">
        <v>5033</v>
      </c>
      <c r="GD409" t="n">
        <v>5504</v>
      </c>
      <c r="GE409" t="n">
        <v>713</v>
      </c>
      <c r="GF409" t="n">
        <v>1893</v>
      </c>
      <c r="GG409" t="n">
        <v>7790</v>
      </c>
      <c r="GH409" t="n">
        <v>13999</v>
      </c>
      <c r="GI409" t="n">
        <v>16958</v>
      </c>
      <c r="GJ409" t="n">
        <v>26923</v>
      </c>
      <c r="GK409" t="n">
        <v>12912</v>
      </c>
      <c r="GL409" t="n">
        <v>7503</v>
      </c>
      <c r="GM409" t="n">
        <v>8064</v>
      </c>
      <c r="GN409" t="n">
        <v>29303</v>
      </c>
      <c r="GO409" t="n">
        <v>7148</v>
      </c>
      <c r="GP409" t="n">
        <v>27224</v>
      </c>
      <c r="GQ409" t="n">
        <v>23190</v>
      </c>
      <c r="GR409" t="n">
        <v>25513</v>
      </c>
      <c r="GS409" t="n">
        <v>39784</v>
      </c>
      <c r="GT409" t="n">
        <v>16624</v>
      </c>
      <c r="GU409" t="n">
        <v>35245</v>
      </c>
      <c r="GV409" t="n">
        <v>5797</v>
      </c>
      <c r="GW409" t="n">
        <v>49784</v>
      </c>
      <c r="GX409" t="n">
        <v>123898</v>
      </c>
      <c r="GY409" t="n">
        <v>10766</v>
      </c>
      <c r="GZ409" t="n">
        <v>28176</v>
      </c>
      <c r="HA409" t="n">
        <v>17962</v>
      </c>
      <c r="HB409" t="n">
        <v>25905</v>
      </c>
      <c r="HC409" t="n">
        <v>10425</v>
      </c>
      <c r="HD409" t="n">
        <v>5905</v>
      </c>
      <c r="HE409" t="n">
        <v>14974</v>
      </c>
      <c r="HF409" t="n">
        <v>22783</v>
      </c>
      <c r="HG409" t="n">
        <v>31568</v>
      </c>
      <c r="HH409" t="n">
        <v>17524</v>
      </c>
      <c r="HI409" t="n">
        <v>12792</v>
      </c>
      <c r="HJ409" t="n">
        <v>7416</v>
      </c>
      <c r="HK409" t="n">
        <v>15789</v>
      </c>
      <c r="HL409" t="n">
        <v>5454</v>
      </c>
      <c r="HM409" t="n">
        <v>8881</v>
      </c>
      <c r="HN409" t="n">
        <v>4824</v>
      </c>
      <c r="HO409" t="n">
        <v>6186</v>
      </c>
      <c r="HP409" t="n">
        <v>2225</v>
      </c>
      <c r="HQ409" t="n">
        <v>4848</v>
      </c>
      <c r="HR409" t="n">
        <v>3668</v>
      </c>
      <c r="HS409" t="n">
        <v>2594</v>
      </c>
      <c r="HT409" t="n">
        <v>4828</v>
      </c>
      <c r="HU409" t="n">
        <v>25038</v>
      </c>
      <c r="HV409" t="n">
        <v>22022</v>
      </c>
      <c r="HW409" t="n">
        <v>48072</v>
      </c>
      <c r="HX409" t="n">
        <v>14600</v>
      </c>
      <c r="HY409" t="n">
        <v>4347</v>
      </c>
      <c r="HZ409" t="n">
        <v>7583</v>
      </c>
      <c r="IA409" t="n">
        <v>2911</v>
      </c>
      <c r="IB409" t="n">
        <v>41981</v>
      </c>
      <c r="IC409" t="n">
        <v>1340</v>
      </c>
      <c r="ID409" t="n">
        <v>397458</v>
      </c>
      <c r="IE409" t="n">
        <v>10304</v>
      </c>
      <c r="IF409" t="n">
        <v>6893</v>
      </c>
      <c r="IG409" t="n">
        <v>13483</v>
      </c>
      <c r="IH409" t="n">
        <v>31466</v>
      </c>
      <c r="II409" t="n">
        <v>6077</v>
      </c>
      <c r="IJ409" t="n">
        <v>4431</v>
      </c>
      <c r="IK409" t="n">
        <v>17113</v>
      </c>
      <c r="IL409" t="n">
        <v>85424</v>
      </c>
      <c r="IM409" t="n">
        <v>66124</v>
      </c>
      <c r="IN409" t="n">
        <v>10003</v>
      </c>
      <c r="IO409" t="n">
        <v>7585</v>
      </c>
      <c r="IP409" t="n">
        <v>71951</v>
      </c>
      <c r="IQ409" t="n">
        <v>8183</v>
      </c>
      <c r="IR409" t="n">
        <v>13945</v>
      </c>
      <c r="IS409" t="n">
        <v>9686</v>
      </c>
      <c r="IT409" t="n">
        <v>9047</v>
      </c>
      <c r="IU409" t="n">
        <v>17278</v>
      </c>
      <c r="IV409" t="n">
        <v>8934</v>
      </c>
      <c r="IW409" t="n">
        <v>19559</v>
      </c>
      <c r="IX409" t="n">
        <v>20144</v>
      </c>
      <c r="IY409" t="n">
        <v>2939</v>
      </c>
      <c r="IZ409" t="n">
        <v>27676</v>
      </c>
      <c r="JA409" t="n">
        <v>27720</v>
      </c>
      <c r="JB409" t="n">
        <v>12198</v>
      </c>
      <c r="JC409" t="n">
        <v>2612</v>
      </c>
      <c r="JD409" t="n">
        <v>7152</v>
      </c>
      <c r="JE409" t="n">
        <v>7631</v>
      </c>
      <c r="JF409" t="n">
        <v>7802</v>
      </c>
      <c r="JG409" t="n">
        <v>67072</v>
      </c>
      <c r="JH409" t="n">
        <v>13019</v>
      </c>
      <c r="JI409" t="n">
        <v>3253</v>
      </c>
      <c r="JJ409" t="n">
        <v>12100</v>
      </c>
      <c r="JK409" t="n">
        <v>69921</v>
      </c>
      <c r="JL409" t="n">
        <v>84999</v>
      </c>
      <c r="JM409" t="n">
        <v>118713</v>
      </c>
      <c r="JN409" t="n">
        <v>76097</v>
      </c>
      <c r="JO409" t="n">
        <v>133509</v>
      </c>
      <c r="JP409" t="n">
        <v>107527</v>
      </c>
      <c r="JQ409" t="n">
        <v>80140</v>
      </c>
      <c r="JR409" t="n">
        <v>26450</v>
      </c>
      <c r="JS409" t="n">
        <v>159868</v>
      </c>
      <c r="JT409" t="n">
        <v>20508</v>
      </c>
      <c r="JU409" t="n">
        <v>0</v>
      </c>
      <c r="JV409" t="n">
        <v>119953</v>
      </c>
      <c r="JW409" t="n">
        <v>87171</v>
      </c>
      <c r="JX409" t="n">
        <v>81822</v>
      </c>
      <c r="JY409" t="n">
        <v>38880</v>
      </c>
      <c r="JZ409" t="n">
        <v>37824</v>
      </c>
      <c r="KA409" t="n">
        <v>45675</v>
      </c>
      <c r="KB409" t="n">
        <v>70828</v>
      </c>
      <c r="KC409" t="n">
        <v>113633</v>
      </c>
      <c r="KD409" t="n">
        <v>72234</v>
      </c>
      <c r="KE409" t="n">
        <v>107619</v>
      </c>
      <c r="KF409" t="n">
        <v>35235</v>
      </c>
      <c r="KG409" t="n">
        <v>41020</v>
      </c>
      <c r="KH409" t="n">
        <v>189187</v>
      </c>
      <c r="KI409" t="n">
        <v>34893</v>
      </c>
      <c r="KJ409" t="n">
        <v>7067</v>
      </c>
      <c r="KK409" t="n">
        <v>73182</v>
      </c>
      <c r="KL409" t="n">
        <v>40528</v>
      </c>
      <c r="KM409" t="n">
        <v>62718</v>
      </c>
      <c r="KN409" t="n">
        <v>8175</v>
      </c>
      <c r="KO409" t="n">
        <v>10613</v>
      </c>
      <c r="KP409" t="n">
        <v>20427</v>
      </c>
      <c r="KQ409" t="n">
        <v>4469</v>
      </c>
      <c r="KR409" t="n">
        <v>105590</v>
      </c>
      <c r="KS409" t="n">
        <v>48433</v>
      </c>
      <c r="KT409" t="n">
        <v>4577</v>
      </c>
      <c r="KU409" t="n">
        <v>52005</v>
      </c>
      <c r="KV409" t="n">
        <v>47205</v>
      </c>
      <c r="KW409" t="n">
        <v>158076</v>
      </c>
      <c r="KX409" t="n">
        <v>119187</v>
      </c>
      <c r="KY409" t="n">
        <v>23453</v>
      </c>
      <c r="KZ409" t="n">
        <v>79853</v>
      </c>
      <c r="LA409" t="n">
        <v>70686</v>
      </c>
      <c r="LB409" t="n">
        <v>533</v>
      </c>
      <c r="LC409" t="n">
        <v>190188</v>
      </c>
      <c r="LD409" t="n">
        <v>218868</v>
      </c>
      <c r="LE409" t="n">
        <v>172095</v>
      </c>
      <c r="LF409" t="n">
        <v>93795</v>
      </c>
      <c r="LG409" t="n">
        <v>37055</v>
      </c>
      <c r="LH409" t="n">
        <v>273841</v>
      </c>
      <c r="LI409" t="n">
        <v>163355</v>
      </c>
      <c r="LJ409" t="n">
        <v>150527</v>
      </c>
      <c r="LK409" t="n">
        <v>212560</v>
      </c>
      <c r="LL409" t="n">
        <v>25763</v>
      </c>
      <c r="LM409" t="n">
        <v>747583</v>
      </c>
      <c r="LN409" t="n">
        <v>30603</v>
      </c>
      <c r="LO409" t="n">
        <v>39248</v>
      </c>
      <c r="LP409" t="n">
        <v>11728</v>
      </c>
      <c r="LQ409" t="n">
        <v>54885</v>
      </c>
      <c r="LR409" t="n">
        <v>88283</v>
      </c>
      <c r="LS409" t="n">
        <v>38249</v>
      </c>
      <c r="LT409" t="n">
        <v>93822</v>
      </c>
      <c r="LU409" t="n">
        <v>17586</v>
      </c>
      <c r="LV409" t="n">
        <v>46338</v>
      </c>
      <c r="LW409" t="n">
        <v>120683</v>
      </c>
      <c r="LX409" t="n">
        <v>79697</v>
      </c>
      <c r="LY409" t="n">
        <v>22011</v>
      </c>
      <c r="LZ409" t="n">
        <v>134462</v>
      </c>
      <c r="MA409" t="n">
        <v>40413</v>
      </c>
      <c r="MB409" t="n">
        <v>11146</v>
      </c>
      <c r="MC409" t="n">
        <v>5189</v>
      </c>
      <c r="MD409" t="n">
        <v>12908</v>
      </c>
      <c r="ME409" t="n">
        <v>32612</v>
      </c>
      <c r="MF409" t="n">
        <v>198490</v>
      </c>
      <c r="MG409" t="n">
        <v>137429</v>
      </c>
      <c r="MH409" t="n">
        <v>93637</v>
      </c>
      <c r="MI409" t="n">
        <v>23607</v>
      </c>
      <c r="MJ409" t="n">
        <v>16310</v>
      </c>
      <c r="MK409" t="n">
        <v>37389</v>
      </c>
      <c r="ML409" t="n">
        <v>32962</v>
      </c>
      <c r="MM409" t="n">
        <v>23171</v>
      </c>
      <c r="MN409" t="n">
        <v>25368</v>
      </c>
      <c r="MO409" t="n">
        <v>62457</v>
      </c>
      <c r="MP409" t="n">
        <v>11064</v>
      </c>
      <c r="MQ409" t="n">
        <v>65336</v>
      </c>
      <c r="MR409" t="n">
        <v>35482</v>
      </c>
      <c r="MS409" t="n">
        <v>186753</v>
      </c>
      <c r="MT409" t="n">
        <v>30505</v>
      </c>
      <c r="MU409" t="n">
        <v>26134</v>
      </c>
      <c r="MV409" t="n">
        <v>62354</v>
      </c>
      <c r="MW409" t="n">
        <v>15463</v>
      </c>
      <c r="MX409" t="n">
        <v>24955</v>
      </c>
      <c r="MY409" t="n">
        <v>16518</v>
      </c>
      <c r="MZ409" t="n">
        <v>360018</v>
      </c>
      <c r="NA409" t="n">
        <v>77963</v>
      </c>
      <c r="NB409" t="n">
        <v>18554</v>
      </c>
      <c r="NC409" t="n">
        <v>42097</v>
      </c>
      <c r="ND409" t="n">
        <v>24149</v>
      </c>
      <c r="NE409" t="n">
        <v>30061</v>
      </c>
      <c r="NF409" t="n">
        <v>11300</v>
      </c>
      <c r="NG409" t="n">
        <v>13225</v>
      </c>
      <c r="NH409" t="n">
        <v>13691</v>
      </c>
      <c r="NI409" t="n">
        <v>25272</v>
      </c>
      <c r="NJ409" t="n">
        <v>8708</v>
      </c>
      <c r="NK409" t="n">
        <v>7949</v>
      </c>
      <c r="NL409" t="n">
        <v>16151</v>
      </c>
      <c r="NM409" t="n">
        <v>42447</v>
      </c>
      <c r="NN409" t="n">
        <v>106617</v>
      </c>
      <c r="NO409" t="n">
        <v>152514</v>
      </c>
      <c r="NP409" t="n">
        <v>184662</v>
      </c>
      <c r="NQ409" t="n">
        <v>39256</v>
      </c>
      <c r="NR409" t="n">
        <v>60503</v>
      </c>
      <c r="NS409" t="n">
        <v>7818</v>
      </c>
      <c r="NT409" t="n">
        <v>18084</v>
      </c>
      <c r="NU409" t="n">
        <v>11545</v>
      </c>
      <c r="NV409" t="n">
        <v>36157</v>
      </c>
      <c r="NW409" t="n">
        <v>9564</v>
      </c>
      <c r="NX409" t="n">
        <v>9885</v>
      </c>
      <c r="NY409" t="n">
        <v>32512</v>
      </c>
      <c r="NZ409" t="n">
        <v>31179</v>
      </c>
      <c r="OA409" t="n">
        <v>20445</v>
      </c>
      <c r="OB409" t="n">
        <v>38024</v>
      </c>
      <c r="OC409" t="n">
        <v>0</v>
      </c>
      <c r="OD409" t="n">
        <v>218671</v>
      </c>
      <c r="OE409" t="n">
        <v>108827</v>
      </c>
      <c r="OF409" t="n">
        <v>12702</v>
      </c>
      <c r="OG409" t="n">
        <v>9310</v>
      </c>
      <c r="OH409" t="n">
        <v>8492</v>
      </c>
      <c r="OI409" t="n">
        <v>211797</v>
      </c>
      <c r="OJ409" t="n">
        <v>155740</v>
      </c>
      <c r="OK409" t="n">
        <v>356474</v>
      </c>
      <c r="OL409" t="n">
        <v>26997</v>
      </c>
      <c r="OM409" t="n">
        <v>33921</v>
      </c>
      <c r="ON409" t="n">
        <v>148806</v>
      </c>
      <c r="OO409" t="n">
        <v>14856027</v>
      </c>
      <c r="OP409" t="n">
        <v>13290625</v>
      </c>
      <c r="OQ409" t="n">
        <v>1159953</v>
      </c>
      <c r="OR409" t="n">
        <v>906246</v>
      </c>
      <c r="OS409" t="n">
        <v>773891</v>
      </c>
      <c r="OT409" t="n">
        <v>594900</v>
      </c>
      <c r="OU409" t="n">
        <v>32674</v>
      </c>
      <c r="OV409" t="n">
        <v>2082977</v>
      </c>
      <c r="OW409" t="n">
        <v>599358</v>
      </c>
      <c r="OX409" t="n">
        <v>77264</v>
      </c>
      <c r="OY409" t="n">
        <v>63714</v>
      </c>
      <c r="OZ409" t="n">
        <v>7956</v>
      </c>
      <c r="PA409" t="n">
        <v>379143</v>
      </c>
      <c r="PB409" t="n">
        <v>19195</v>
      </c>
      <c r="PC409" t="n">
        <v>109261</v>
      </c>
      <c r="PD409" t="n">
        <v>10161</v>
      </c>
      <c r="PE409" t="n">
        <v>1737213</v>
      </c>
      <c r="PF409" t="n">
        <v>44204</v>
      </c>
      <c r="PG409" t="n">
        <v>44768</v>
      </c>
      <c r="PH409" t="n">
        <v>304902</v>
      </c>
      <c r="PI409" t="n">
        <v>37094434</v>
      </c>
    </row>
    <row r="410">
      <c r="A410" t="inlineStr">
        <is>
          <t>V00100</t>
        </is>
      </c>
      <c r="B410" t="inlineStr">
        <is>
          <t>Compensation of employees</t>
        </is>
      </c>
      <c r="C410" t="n">
        <v>1062</v>
      </c>
      <c r="D410" t="n">
        <v>3149</v>
      </c>
      <c r="E410" t="n">
        <v>2497</v>
      </c>
      <c r="F410" t="n">
        <v>5182</v>
      </c>
      <c r="G410" t="n">
        <v>5456</v>
      </c>
      <c r="H410" t="n">
        <v>4823</v>
      </c>
      <c r="I410" t="n">
        <v>2179</v>
      </c>
      <c r="J410" t="n">
        <v>1231</v>
      </c>
      <c r="K410" t="n">
        <v>2521</v>
      </c>
      <c r="L410" t="n">
        <v>2761</v>
      </c>
      <c r="M410" t="n">
        <v>8288</v>
      </c>
      <c r="N410" t="n">
        <v>895</v>
      </c>
      <c r="O410" t="n">
        <v>16148</v>
      </c>
      <c r="P410" t="n">
        <v>29293</v>
      </c>
      <c r="Q410" t="n">
        <v>5561</v>
      </c>
      <c r="R410" t="n">
        <v>1562</v>
      </c>
      <c r="S410" t="n">
        <v>2866</v>
      </c>
      <c r="T410" t="n">
        <v>3221</v>
      </c>
      <c r="U410" t="n">
        <v>4414</v>
      </c>
      <c r="V410" t="n">
        <v>6659</v>
      </c>
      <c r="W410" t="n">
        <v>23306</v>
      </c>
      <c r="X410" t="n">
        <v>60608</v>
      </c>
      <c r="Y410" t="n">
        <v>16820</v>
      </c>
      <c r="Z410" t="n">
        <v>4150</v>
      </c>
      <c r="AA410" t="n">
        <v>20279</v>
      </c>
      <c r="AB410" t="n">
        <v>34543</v>
      </c>
      <c r="AC410" t="n">
        <v>61068</v>
      </c>
      <c r="AD410" t="n">
        <v>27928</v>
      </c>
      <c r="AE410" t="n">
        <v>54088</v>
      </c>
      <c r="AF410" t="n">
        <v>25691</v>
      </c>
      <c r="AG410" t="n">
        <v>52475</v>
      </c>
      <c r="AH410" t="n">
        <v>23542</v>
      </c>
      <c r="AI410" t="n">
        <v>42882</v>
      </c>
      <c r="AJ410" t="n">
        <v>38811</v>
      </c>
      <c r="AK410" t="n">
        <v>94603</v>
      </c>
      <c r="AL410" t="n">
        <v>44513</v>
      </c>
      <c r="AM410" t="n">
        <v>5479</v>
      </c>
      <c r="AN410" t="n">
        <v>4885</v>
      </c>
      <c r="AO410" t="n">
        <v>5811</v>
      </c>
      <c r="AP410" t="n">
        <v>6087</v>
      </c>
      <c r="AQ410" t="n">
        <v>2719</v>
      </c>
      <c r="AR410" t="n">
        <v>6235</v>
      </c>
      <c r="AS410" t="n">
        <v>1426</v>
      </c>
      <c r="AT410" t="n">
        <v>7003</v>
      </c>
      <c r="AU410" t="n">
        <v>1876</v>
      </c>
      <c r="AV410" t="n">
        <v>3575</v>
      </c>
      <c r="AW410" t="n">
        <v>1290</v>
      </c>
      <c r="AX410" t="n">
        <v>776</v>
      </c>
      <c r="AY410" t="n">
        <v>1699</v>
      </c>
      <c r="AZ410" t="n">
        <v>571</v>
      </c>
      <c r="BA410" t="n">
        <v>1435</v>
      </c>
      <c r="BB410" t="n">
        <v>864</v>
      </c>
      <c r="BC410" t="n">
        <v>9112</v>
      </c>
      <c r="BD410" t="n">
        <v>4560</v>
      </c>
      <c r="BE410" t="n">
        <v>378</v>
      </c>
      <c r="BF410" t="n">
        <v>489</v>
      </c>
      <c r="BG410" t="n">
        <v>3665</v>
      </c>
      <c r="BH410" t="n">
        <v>798</v>
      </c>
      <c r="BI410" t="n">
        <v>2489</v>
      </c>
      <c r="BJ410" t="n">
        <v>2057</v>
      </c>
      <c r="BK410" t="n">
        <v>4608</v>
      </c>
      <c r="BL410" t="n">
        <v>3607</v>
      </c>
      <c r="BM410" t="n">
        <v>675</v>
      </c>
      <c r="BN410" t="n">
        <v>3145</v>
      </c>
      <c r="BO410" t="n">
        <v>3491</v>
      </c>
      <c r="BP410" t="n">
        <v>2858</v>
      </c>
      <c r="BQ410" t="n">
        <v>11440</v>
      </c>
      <c r="BR410" t="n">
        <v>13208</v>
      </c>
      <c r="BS410" t="n">
        <v>1850</v>
      </c>
      <c r="BT410" t="n">
        <v>2549</v>
      </c>
      <c r="BU410" t="n">
        <v>3908</v>
      </c>
      <c r="BV410" t="n">
        <v>1987</v>
      </c>
      <c r="BW410" t="n">
        <v>2849</v>
      </c>
      <c r="BX410" t="n">
        <v>16680</v>
      </c>
      <c r="BY410" t="n">
        <v>5736</v>
      </c>
      <c r="BZ410" t="n">
        <v>8249</v>
      </c>
      <c r="CA410" t="n">
        <v>836</v>
      </c>
      <c r="CB410" t="n">
        <v>7179</v>
      </c>
      <c r="CC410" t="n">
        <v>2122</v>
      </c>
      <c r="CD410" t="n">
        <v>2316</v>
      </c>
      <c r="CE410" t="n">
        <v>3885</v>
      </c>
      <c r="CF410" t="n">
        <v>4378</v>
      </c>
      <c r="CG410" t="n">
        <v>5737</v>
      </c>
      <c r="CH410" t="n">
        <v>2002</v>
      </c>
      <c r="CI410" t="n">
        <v>6412</v>
      </c>
      <c r="CJ410" t="n">
        <v>5349</v>
      </c>
      <c r="CK410" t="n">
        <v>4183</v>
      </c>
      <c r="CL410" t="n">
        <v>7868</v>
      </c>
      <c r="CM410" t="n">
        <v>2153</v>
      </c>
      <c r="CN410" t="n">
        <v>704</v>
      </c>
      <c r="CO410" t="n">
        <v>5428</v>
      </c>
      <c r="CP410" t="n">
        <v>1003</v>
      </c>
      <c r="CQ410" t="n">
        <v>6400</v>
      </c>
      <c r="CR410" t="n">
        <v>2057</v>
      </c>
      <c r="CS410" t="n">
        <v>2714</v>
      </c>
      <c r="CT410" t="n">
        <v>4659</v>
      </c>
      <c r="CU410" t="n">
        <v>3127</v>
      </c>
      <c r="CV410" t="n">
        <v>2869</v>
      </c>
      <c r="CW410" t="n">
        <v>2892</v>
      </c>
      <c r="CX410" t="n">
        <v>940</v>
      </c>
      <c r="CY410" t="n">
        <v>1025</v>
      </c>
      <c r="CZ410" t="n">
        <v>4853</v>
      </c>
      <c r="DA410" t="n">
        <v>1972</v>
      </c>
      <c r="DB410" t="n">
        <v>2679</v>
      </c>
      <c r="DC410" t="n">
        <v>6402</v>
      </c>
      <c r="DD410" t="n">
        <v>769</v>
      </c>
      <c r="DE410" t="n">
        <v>1783</v>
      </c>
      <c r="DF410" t="n">
        <v>793</v>
      </c>
      <c r="DG410" t="n">
        <v>4891</v>
      </c>
      <c r="DH410" t="n">
        <v>3117</v>
      </c>
      <c r="DI410" t="n">
        <v>7655</v>
      </c>
      <c r="DJ410" t="n">
        <v>2274</v>
      </c>
      <c r="DK410" t="n">
        <v>3272</v>
      </c>
      <c r="DL410" t="n">
        <v>2971</v>
      </c>
      <c r="DM410" t="n">
        <v>12673</v>
      </c>
      <c r="DN410" t="n">
        <v>2233</v>
      </c>
      <c r="DO410" t="n">
        <v>26798</v>
      </c>
      <c r="DP410" t="n">
        <v>8431</v>
      </c>
      <c r="DQ410" t="n">
        <v>16720</v>
      </c>
      <c r="DR410" t="n">
        <v>11072</v>
      </c>
      <c r="DS410" t="n">
        <v>23071</v>
      </c>
      <c r="DT410" t="n">
        <v>1467</v>
      </c>
      <c r="DU410" t="n">
        <v>8013</v>
      </c>
      <c r="DV410" t="n">
        <v>1559</v>
      </c>
      <c r="DW410" t="n">
        <v>4816</v>
      </c>
      <c r="DX410" t="n">
        <v>6764</v>
      </c>
      <c r="DY410" t="n">
        <v>3723</v>
      </c>
      <c r="DZ410" t="n">
        <v>5166</v>
      </c>
      <c r="EA410" t="n">
        <v>1159</v>
      </c>
      <c r="EB410" t="n">
        <v>869</v>
      </c>
      <c r="EC410" t="n">
        <v>803</v>
      </c>
      <c r="ED410" t="n">
        <v>3406</v>
      </c>
      <c r="EE410" t="n">
        <v>1002</v>
      </c>
      <c r="EF410" t="n">
        <v>4761</v>
      </c>
      <c r="EG410" t="n">
        <v>2472</v>
      </c>
      <c r="EH410" t="n">
        <v>3097</v>
      </c>
      <c r="EI410" t="n">
        <v>3309</v>
      </c>
      <c r="EJ410" t="n">
        <v>4911</v>
      </c>
      <c r="EK410" t="n">
        <v>1839</v>
      </c>
      <c r="EL410" t="n">
        <v>1086</v>
      </c>
      <c r="EM410" t="n">
        <v>2330</v>
      </c>
      <c r="EN410" t="n">
        <v>3960</v>
      </c>
      <c r="EO410" t="n">
        <v>715</v>
      </c>
      <c r="EP410" t="n">
        <v>2767</v>
      </c>
      <c r="EQ410" t="n">
        <v>6382</v>
      </c>
      <c r="ER410" t="n">
        <v>14210</v>
      </c>
      <c r="ES410" t="n">
        <v>2619</v>
      </c>
      <c r="ET410" t="n">
        <v>3658</v>
      </c>
      <c r="EU410" t="n">
        <v>2103</v>
      </c>
      <c r="EV410" t="n">
        <v>1318</v>
      </c>
      <c r="EW410" t="n">
        <v>2885</v>
      </c>
      <c r="EX410" t="n">
        <v>5110</v>
      </c>
      <c r="EY410" t="n">
        <v>4364</v>
      </c>
      <c r="EZ410" t="n">
        <v>7132</v>
      </c>
      <c r="FA410" t="n">
        <v>4702</v>
      </c>
      <c r="FB410" t="n">
        <v>6486</v>
      </c>
      <c r="FC410" t="n">
        <v>9975</v>
      </c>
      <c r="FD410" t="n">
        <v>4394</v>
      </c>
      <c r="FE410" t="n">
        <v>29130</v>
      </c>
      <c r="FF410" t="n">
        <v>9060</v>
      </c>
      <c r="FG410" t="n">
        <v>9554</v>
      </c>
      <c r="FH410" t="n">
        <v>9833</v>
      </c>
      <c r="FI410" t="n">
        <v>1973</v>
      </c>
      <c r="FJ410" t="n">
        <v>1480</v>
      </c>
      <c r="FK410" t="n">
        <v>10395</v>
      </c>
      <c r="FL410" t="n">
        <v>2055</v>
      </c>
      <c r="FM410" t="n">
        <v>2188</v>
      </c>
      <c r="FN410" t="n">
        <v>1840</v>
      </c>
      <c r="FO410" t="n">
        <v>1457</v>
      </c>
      <c r="FP410" t="n">
        <v>6033</v>
      </c>
      <c r="FQ410" t="n">
        <v>2962</v>
      </c>
      <c r="FR410" t="n">
        <v>1502</v>
      </c>
      <c r="FS410" t="n">
        <v>1514</v>
      </c>
      <c r="FT410" t="n">
        <v>638</v>
      </c>
      <c r="FU410" t="n">
        <v>2698</v>
      </c>
      <c r="FV410" t="n">
        <v>4556</v>
      </c>
      <c r="FW410" t="n">
        <v>2055</v>
      </c>
      <c r="FX410" t="n">
        <v>15116</v>
      </c>
      <c r="FY410" t="n">
        <v>11166</v>
      </c>
      <c r="FZ410" t="n">
        <v>1477</v>
      </c>
      <c r="GA410" t="n">
        <v>2289</v>
      </c>
      <c r="GB410" t="n">
        <v>2680</v>
      </c>
      <c r="GC410" t="n">
        <v>1723</v>
      </c>
      <c r="GD410" t="n">
        <v>3403</v>
      </c>
      <c r="GE410" t="n">
        <v>1139</v>
      </c>
      <c r="GF410" t="n">
        <v>791</v>
      </c>
      <c r="GG410" t="n">
        <v>5201</v>
      </c>
      <c r="GH410" t="n">
        <v>8819</v>
      </c>
      <c r="GI410" t="n">
        <v>2252</v>
      </c>
      <c r="GJ410" t="n">
        <v>2497</v>
      </c>
      <c r="GK410" t="n">
        <v>1576</v>
      </c>
      <c r="GL410" t="n">
        <v>1565</v>
      </c>
      <c r="GM410" t="n">
        <v>538</v>
      </c>
      <c r="GN410" t="n">
        <v>716</v>
      </c>
      <c r="GO410" t="n">
        <v>1262</v>
      </c>
      <c r="GP410" t="n">
        <v>4924</v>
      </c>
      <c r="GQ410" t="n">
        <v>5260</v>
      </c>
      <c r="GR410" t="n">
        <v>4977</v>
      </c>
      <c r="GS410" t="n">
        <v>3433</v>
      </c>
      <c r="GT410" t="n">
        <v>2428</v>
      </c>
      <c r="GU410" t="n">
        <v>4483</v>
      </c>
      <c r="GV410" t="n">
        <v>1312</v>
      </c>
      <c r="GW410" t="n">
        <v>9788</v>
      </c>
      <c r="GX410" t="n">
        <v>15290</v>
      </c>
      <c r="GY410" t="n">
        <v>2049</v>
      </c>
      <c r="GZ410" t="n">
        <v>10867</v>
      </c>
      <c r="HA410" t="n">
        <v>4624</v>
      </c>
      <c r="HB410" t="n">
        <v>3548</v>
      </c>
      <c r="HC410" t="n">
        <v>1465</v>
      </c>
      <c r="HD410" t="n">
        <v>2398</v>
      </c>
      <c r="HE410" t="n">
        <v>3198</v>
      </c>
      <c r="HF410" t="n">
        <v>4562</v>
      </c>
      <c r="HG410" t="n">
        <v>7570</v>
      </c>
      <c r="HH410" t="n">
        <v>4290</v>
      </c>
      <c r="HI410" t="n">
        <v>3727</v>
      </c>
      <c r="HJ410" t="n">
        <v>1208</v>
      </c>
      <c r="HK410" t="n">
        <v>1673</v>
      </c>
      <c r="HL410" t="n">
        <v>1394</v>
      </c>
      <c r="HM410" t="n">
        <v>3137</v>
      </c>
      <c r="HN410" t="n">
        <v>1823</v>
      </c>
      <c r="HO410" t="n">
        <v>1884</v>
      </c>
      <c r="HP410" t="n">
        <v>941</v>
      </c>
      <c r="HQ410" t="n">
        <v>3122</v>
      </c>
      <c r="HR410" t="n">
        <v>6329</v>
      </c>
      <c r="HS410" t="n">
        <v>1556</v>
      </c>
      <c r="HT410" t="n">
        <v>546</v>
      </c>
      <c r="HU410" t="n">
        <v>6588</v>
      </c>
      <c r="HV410" t="n">
        <v>3313</v>
      </c>
      <c r="HW410" t="n">
        <v>11028</v>
      </c>
      <c r="HX410" t="n">
        <v>4281</v>
      </c>
      <c r="HY410" t="n">
        <v>1063</v>
      </c>
      <c r="HZ410" t="n">
        <v>2476</v>
      </c>
      <c r="IA410" t="n">
        <v>1091</v>
      </c>
      <c r="IB410" t="n">
        <v>24702</v>
      </c>
      <c r="IC410" t="n">
        <v>1531</v>
      </c>
      <c r="ID410" t="n">
        <v>14705</v>
      </c>
      <c r="IE410" t="n">
        <v>1601</v>
      </c>
      <c r="IF410" t="n">
        <v>1314</v>
      </c>
      <c r="IG410" t="n">
        <v>1810</v>
      </c>
      <c r="IH410" t="n">
        <v>4508</v>
      </c>
      <c r="II410" t="n">
        <v>2454</v>
      </c>
      <c r="IJ410" t="n">
        <v>1359</v>
      </c>
      <c r="IK410" t="n">
        <v>4986</v>
      </c>
      <c r="IL410" t="n">
        <v>6309</v>
      </c>
      <c r="IM410" t="n">
        <v>7285</v>
      </c>
      <c r="IN410" t="n">
        <v>3752</v>
      </c>
      <c r="IO410" t="n">
        <v>3941</v>
      </c>
      <c r="IP410" t="n">
        <v>31768</v>
      </c>
      <c r="IQ410" t="n">
        <v>3391</v>
      </c>
      <c r="IR410" t="n">
        <v>4648</v>
      </c>
      <c r="IS410" t="n">
        <v>2291</v>
      </c>
      <c r="IT410" t="n">
        <v>1607</v>
      </c>
      <c r="IU410" t="n">
        <v>3705</v>
      </c>
      <c r="IV410" t="n">
        <v>2209</v>
      </c>
      <c r="IW410" t="n">
        <v>5616</v>
      </c>
      <c r="IX410" t="n">
        <v>4343</v>
      </c>
      <c r="IY410" t="n">
        <v>753</v>
      </c>
      <c r="IZ410" t="n">
        <v>6756</v>
      </c>
      <c r="JA410" t="n">
        <v>6831</v>
      </c>
      <c r="JB410" t="n">
        <v>3541</v>
      </c>
      <c r="JC410" t="n">
        <v>1372</v>
      </c>
      <c r="JD410" t="n">
        <v>1959</v>
      </c>
      <c r="JE410" t="n">
        <v>2214</v>
      </c>
      <c r="JF410" t="n">
        <v>2279</v>
      </c>
      <c r="JG410" t="n">
        <v>19074</v>
      </c>
      <c r="JH410" t="n">
        <v>4568</v>
      </c>
      <c r="JI410" t="n">
        <v>1635</v>
      </c>
      <c r="JJ410" t="n">
        <v>3682</v>
      </c>
      <c r="JK410" t="n">
        <v>28670</v>
      </c>
      <c r="JL410" t="n">
        <v>81746</v>
      </c>
      <c r="JM410" t="n">
        <v>45681</v>
      </c>
      <c r="JN410" t="n">
        <v>63904</v>
      </c>
      <c r="JO410" t="n">
        <v>76780</v>
      </c>
      <c r="JP410" t="n">
        <v>43090</v>
      </c>
      <c r="JQ410" t="n">
        <v>55047</v>
      </c>
      <c r="JR410" t="n">
        <v>16763</v>
      </c>
      <c r="JS410" t="n">
        <v>97018</v>
      </c>
      <c r="JT410" t="n">
        <v>24242</v>
      </c>
      <c r="JV410" t="n">
        <v>118071</v>
      </c>
      <c r="JW410" t="n">
        <v>96461</v>
      </c>
      <c r="JX410" t="n">
        <v>93086</v>
      </c>
      <c r="JY410" t="n">
        <v>52804</v>
      </c>
      <c r="JZ410" t="n">
        <v>50169</v>
      </c>
      <c r="KA410" t="n">
        <v>24942</v>
      </c>
      <c r="KB410" t="n">
        <v>37806</v>
      </c>
      <c r="KC410" t="n">
        <v>42272</v>
      </c>
      <c r="KD410" t="n">
        <v>91257</v>
      </c>
      <c r="KE410" t="n">
        <v>57095</v>
      </c>
      <c r="KF410" t="n">
        <v>21893</v>
      </c>
      <c r="KG410" t="n">
        <v>7144</v>
      </c>
      <c r="KH410" t="n">
        <v>96307</v>
      </c>
      <c r="KI410" t="n">
        <v>21954</v>
      </c>
      <c r="KJ410" t="n">
        <v>7617</v>
      </c>
      <c r="KK410" t="n">
        <v>47282</v>
      </c>
      <c r="KL410" t="n">
        <v>38870</v>
      </c>
      <c r="KM410" t="n">
        <v>53892</v>
      </c>
      <c r="KN410" t="n">
        <v>9580</v>
      </c>
      <c r="KO410" t="n">
        <v>10016</v>
      </c>
      <c r="KP410" t="n">
        <v>5911</v>
      </c>
      <c r="KQ410" t="n">
        <v>2805</v>
      </c>
      <c r="KR410" t="n">
        <v>71879</v>
      </c>
      <c r="KS410" t="n">
        <v>33679</v>
      </c>
      <c r="KT410" t="n">
        <v>1757</v>
      </c>
      <c r="KU410" t="n">
        <v>17950</v>
      </c>
      <c r="KV410" t="n">
        <v>10426</v>
      </c>
      <c r="KW410" t="n">
        <v>61328</v>
      </c>
      <c r="KX410" t="n">
        <v>12221</v>
      </c>
      <c r="KY410" t="n">
        <v>10248</v>
      </c>
      <c r="KZ410" t="n">
        <v>42813</v>
      </c>
      <c r="LA410" t="n">
        <v>52084</v>
      </c>
      <c r="LB410" t="n">
        <v>6076</v>
      </c>
      <c r="LC410" t="n">
        <v>97437</v>
      </c>
      <c r="LD410" t="n">
        <v>165916</v>
      </c>
      <c r="LE410" t="n">
        <v>153414</v>
      </c>
      <c r="LF410" t="n">
        <v>97818</v>
      </c>
      <c r="LG410" t="n">
        <v>34310</v>
      </c>
      <c r="LH410" t="n">
        <v>116031</v>
      </c>
      <c r="LI410" t="n">
        <v>120664</v>
      </c>
      <c r="LJ410" t="n">
        <v>2059</v>
      </c>
      <c r="LL410" t="n">
        <v>18920</v>
      </c>
      <c r="LM410" t="n">
        <v>93508</v>
      </c>
      <c r="LN410" t="n">
        <v>11024</v>
      </c>
      <c r="LO410" t="n">
        <v>13103</v>
      </c>
      <c r="LP410" t="n">
        <v>9111</v>
      </c>
      <c r="LQ410" t="n">
        <v>2990</v>
      </c>
      <c r="LR410" t="n">
        <v>131525</v>
      </c>
      <c r="LS410" t="n">
        <v>99401</v>
      </c>
      <c r="LT410" t="n">
        <v>140481</v>
      </c>
      <c r="LU410" t="n">
        <v>24875</v>
      </c>
      <c r="LV410" t="n">
        <v>88558</v>
      </c>
      <c r="LW410" t="n">
        <v>149700</v>
      </c>
      <c r="LX410" t="n">
        <v>125104</v>
      </c>
      <c r="LY410" t="n">
        <v>27523</v>
      </c>
      <c r="LZ410" t="n">
        <v>97150</v>
      </c>
      <c r="MA410" t="n">
        <v>45888</v>
      </c>
      <c r="MB410" t="n">
        <v>11468</v>
      </c>
      <c r="MC410" t="n">
        <v>2172</v>
      </c>
      <c r="MD410" t="n">
        <v>19253</v>
      </c>
      <c r="ME410" t="n">
        <v>27448</v>
      </c>
      <c r="MF410" t="n">
        <v>324518</v>
      </c>
      <c r="MG410" t="n">
        <v>176327</v>
      </c>
      <c r="MH410" t="n">
        <v>75161</v>
      </c>
      <c r="MI410" t="n">
        <v>38562</v>
      </c>
      <c r="MJ410" t="n">
        <v>8062</v>
      </c>
      <c r="MK410" t="n">
        <v>33176</v>
      </c>
      <c r="ML410" t="n">
        <v>17878</v>
      </c>
      <c r="MM410" t="n">
        <v>37273</v>
      </c>
      <c r="MN410" t="n">
        <v>22892</v>
      </c>
      <c r="MO410" t="n">
        <v>30195</v>
      </c>
      <c r="MP410" t="n">
        <v>34563</v>
      </c>
      <c r="MQ410" t="n">
        <v>121810</v>
      </c>
      <c r="MR410" t="n">
        <v>36048</v>
      </c>
      <c r="MS410" t="n">
        <v>279251</v>
      </c>
      <c r="MT410" t="n">
        <v>57872</v>
      </c>
      <c r="MU410" t="n">
        <v>43302</v>
      </c>
      <c r="MV410" t="n">
        <v>73909</v>
      </c>
      <c r="MW410" t="n">
        <v>20867</v>
      </c>
      <c r="MX410" t="n">
        <v>52907</v>
      </c>
      <c r="MY410" t="n">
        <v>17101</v>
      </c>
      <c r="MZ410" t="n">
        <v>396274</v>
      </c>
      <c r="NA410" t="n">
        <v>98255</v>
      </c>
      <c r="NB410" t="n">
        <v>33285</v>
      </c>
      <c r="NC410" t="n">
        <v>68790</v>
      </c>
      <c r="ND410" t="n">
        <v>25402</v>
      </c>
      <c r="NE410" t="n">
        <v>19894</v>
      </c>
      <c r="NF410" t="n">
        <v>7264</v>
      </c>
      <c r="NG410" t="n">
        <v>25961</v>
      </c>
      <c r="NH410" t="n">
        <v>9125</v>
      </c>
      <c r="NI410" t="n">
        <v>10192</v>
      </c>
      <c r="NJ410" t="n">
        <v>6975</v>
      </c>
      <c r="NK410" t="n">
        <v>8012</v>
      </c>
      <c r="NL410" t="n">
        <v>9103</v>
      </c>
      <c r="NM410" t="n">
        <v>37082</v>
      </c>
      <c r="NN410" t="n">
        <v>82723</v>
      </c>
      <c r="NO410" t="n">
        <v>153383</v>
      </c>
      <c r="NP410" t="n">
        <v>92629</v>
      </c>
      <c r="NQ410" t="n">
        <v>52024</v>
      </c>
      <c r="NR410" t="n">
        <v>45483</v>
      </c>
      <c r="NS410" t="n">
        <v>8659</v>
      </c>
      <c r="NT410" t="n">
        <v>15059</v>
      </c>
      <c r="NU410" t="n">
        <v>6344</v>
      </c>
      <c r="NV410" t="n">
        <v>29909</v>
      </c>
      <c r="NW410" t="n">
        <v>7741</v>
      </c>
      <c r="NX410" t="n">
        <v>13444</v>
      </c>
      <c r="NY410" t="n">
        <v>18426</v>
      </c>
      <c r="NZ410" t="n">
        <v>57158</v>
      </c>
      <c r="OA410" t="n">
        <v>29428</v>
      </c>
      <c r="OB410" t="n">
        <v>55157</v>
      </c>
      <c r="OC410" t="n">
        <v>18684</v>
      </c>
      <c r="OD410" t="n">
        <v>246097</v>
      </c>
      <c r="OE410" t="n">
        <v>184220</v>
      </c>
      <c r="OF410" t="n">
        <v>54249</v>
      </c>
      <c r="OG410" t="n">
        <v>1997</v>
      </c>
      <c r="OH410" t="n">
        <v>2973</v>
      </c>
      <c r="OI410" t="n">
        <v>731648</v>
      </c>
      <c r="OJ410" t="n">
        <v>139316</v>
      </c>
      <c r="OK410" t="n">
        <v>467952</v>
      </c>
      <c r="OL410" t="n">
        <v>26850</v>
      </c>
      <c r="OM410" t="n">
        <v>10203</v>
      </c>
      <c r="ON410" t="n">
        <v>69979</v>
      </c>
      <c r="OO410" t="n">
        <v>10434980</v>
      </c>
    </row>
    <row r="411">
      <c r="A411" t="inlineStr">
        <is>
          <t>T00OTOP</t>
        </is>
      </c>
      <c r="B411" t="inlineStr">
        <is>
          <t>Other taxes on production</t>
        </is>
      </c>
      <c r="C411" t="n">
        <v>1112</v>
      </c>
      <c r="D411" t="n">
        <v>1293</v>
      </c>
      <c r="E411" t="n">
        <v>489</v>
      </c>
      <c r="F411" t="n">
        <v>826</v>
      </c>
      <c r="G411" t="n">
        <v>362</v>
      </c>
      <c r="H411" t="n">
        <v>544</v>
      </c>
      <c r="I411" t="n">
        <v>853</v>
      </c>
      <c r="J411" t="n">
        <v>1890</v>
      </c>
      <c r="K411" t="n">
        <v>1051</v>
      </c>
      <c r="L411" t="n">
        <v>985</v>
      </c>
      <c r="M411" t="n">
        <v>424</v>
      </c>
      <c r="N411" t="n">
        <v>198</v>
      </c>
      <c r="O411" t="n">
        <v>561</v>
      </c>
      <c r="P411" t="n">
        <v>23283</v>
      </c>
      <c r="Q411" t="n">
        <v>1044</v>
      </c>
      <c r="R411" t="n">
        <v>381</v>
      </c>
      <c r="S411" t="n">
        <v>411</v>
      </c>
      <c r="T411" t="n">
        <v>447</v>
      </c>
      <c r="U411" t="n">
        <v>500</v>
      </c>
      <c r="V411" t="n">
        <v>538</v>
      </c>
      <c r="W411" t="n">
        <v>1488</v>
      </c>
      <c r="X411" t="n">
        <v>26174</v>
      </c>
      <c r="Y411" t="n">
        <v>5232</v>
      </c>
      <c r="Z411" t="n">
        <v>1033</v>
      </c>
      <c r="AA411" t="n">
        <v>198</v>
      </c>
      <c r="AB411" t="n">
        <v>408</v>
      </c>
      <c r="AC411" t="n">
        <v>1008</v>
      </c>
      <c r="AD411" t="n">
        <v>404</v>
      </c>
      <c r="AE411" t="n">
        <v>679</v>
      </c>
      <c r="AF411" t="n">
        <v>541</v>
      </c>
      <c r="AG411" t="n">
        <v>1484</v>
      </c>
      <c r="AH411" t="n">
        <v>293</v>
      </c>
      <c r="AI411" t="n">
        <v>627</v>
      </c>
      <c r="AJ411" t="n">
        <v>591</v>
      </c>
      <c r="AK411" t="n">
        <v>1308</v>
      </c>
      <c r="AL411" t="n">
        <v>718</v>
      </c>
      <c r="AM411" t="n">
        <v>197</v>
      </c>
      <c r="AN411" t="n">
        <v>147</v>
      </c>
      <c r="AO411" t="n">
        <v>158</v>
      </c>
      <c r="AP411" t="n">
        <v>148</v>
      </c>
      <c r="AQ411" t="n">
        <v>91</v>
      </c>
      <c r="AR411" t="n">
        <v>292</v>
      </c>
      <c r="AS411" t="n">
        <v>94</v>
      </c>
      <c r="AT411" t="n">
        <v>356</v>
      </c>
      <c r="AU411" t="n">
        <v>73</v>
      </c>
      <c r="AV411" t="n">
        <v>142</v>
      </c>
      <c r="AW411" t="n">
        <v>91</v>
      </c>
      <c r="AX411" t="n">
        <v>53</v>
      </c>
      <c r="AY411" t="n">
        <v>56</v>
      </c>
      <c r="AZ411" t="n">
        <v>49</v>
      </c>
      <c r="BA411" t="n">
        <v>69</v>
      </c>
      <c r="BB411" t="n">
        <v>57</v>
      </c>
      <c r="BC411" t="n">
        <v>982</v>
      </c>
      <c r="BD411" t="n">
        <v>240</v>
      </c>
      <c r="BE411" t="n">
        <v>61</v>
      </c>
      <c r="BF411" t="n">
        <v>31</v>
      </c>
      <c r="BG411" t="n">
        <v>280</v>
      </c>
      <c r="BH411" t="n">
        <v>109</v>
      </c>
      <c r="BI411" t="n">
        <v>220</v>
      </c>
      <c r="BJ411" t="n">
        <v>153</v>
      </c>
      <c r="BK411" t="n">
        <v>198</v>
      </c>
      <c r="BL411" t="n">
        <v>139</v>
      </c>
      <c r="BM411" t="n">
        <v>58</v>
      </c>
      <c r="BN411" t="n">
        <v>103</v>
      </c>
      <c r="BO411" t="n">
        <v>89</v>
      </c>
      <c r="BP411" t="n">
        <v>83</v>
      </c>
      <c r="BQ411" t="n">
        <v>411</v>
      </c>
      <c r="BR411" t="n">
        <v>360</v>
      </c>
      <c r="BS411" t="n">
        <v>59</v>
      </c>
      <c r="BT411" t="n">
        <v>67</v>
      </c>
      <c r="BU411" t="n">
        <v>141</v>
      </c>
      <c r="BV411" t="n">
        <v>76</v>
      </c>
      <c r="BW411" t="n">
        <v>76</v>
      </c>
      <c r="BX411" t="n">
        <v>313</v>
      </c>
      <c r="BY411" t="n">
        <v>260</v>
      </c>
      <c r="BZ411" t="n">
        <v>216</v>
      </c>
      <c r="CA411" t="n">
        <v>46</v>
      </c>
      <c r="CB411" t="n">
        <v>216</v>
      </c>
      <c r="CC411" t="n">
        <v>50</v>
      </c>
      <c r="CD411" t="n">
        <v>47</v>
      </c>
      <c r="CE411" t="n">
        <v>95</v>
      </c>
      <c r="CF411" t="n">
        <v>113</v>
      </c>
      <c r="CG411" t="n">
        <v>227</v>
      </c>
      <c r="CH411" t="n">
        <v>69</v>
      </c>
      <c r="CI411" t="n">
        <v>302</v>
      </c>
      <c r="CJ411" t="n">
        <v>164</v>
      </c>
      <c r="CK411" t="n">
        <v>71</v>
      </c>
      <c r="CL411" t="n">
        <v>240</v>
      </c>
      <c r="CM411" t="n">
        <v>43</v>
      </c>
      <c r="CN411" t="n">
        <v>15</v>
      </c>
      <c r="CO411" t="n">
        <v>188</v>
      </c>
      <c r="CP411" t="n">
        <v>42</v>
      </c>
      <c r="CQ411" t="n">
        <v>318</v>
      </c>
      <c r="CR411" t="n">
        <v>56</v>
      </c>
      <c r="CS411" t="n">
        <v>63</v>
      </c>
      <c r="CT411" t="n">
        <v>86</v>
      </c>
      <c r="CU411" t="n">
        <v>73</v>
      </c>
      <c r="CV411" t="n">
        <v>84</v>
      </c>
      <c r="CW411" t="n">
        <v>118</v>
      </c>
      <c r="CX411" t="n">
        <v>30</v>
      </c>
      <c r="CY411" t="n">
        <v>47</v>
      </c>
      <c r="CZ411" t="n">
        <v>239</v>
      </c>
      <c r="DA411" t="n">
        <v>83</v>
      </c>
      <c r="DB411" t="n">
        <v>171</v>
      </c>
      <c r="DC411" t="n">
        <v>278</v>
      </c>
      <c r="DD411" t="n">
        <v>32</v>
      </c>
      <c r="DE411" t="n">
        <v>62</v>
      </c>
      <c r="DF411" t="n">
        <v>24</v>
      </c>
      <c r="DG411" t="n">
        <v>220</v>
      </c>
      <c r="DH411" t="n">
        <v>106</v>
      </c>
      <c r="DI411" t="n">
        <v>416</v>
      </c>
      <c r="DJ411" t="n">
        <v>106</v>
      </c>
      <c r="DK411" t="n">
        <v>219</v>
      </c>
      <c r="DL411" t="n">
        <v>164</v>
      </c>
      <c r="DM411" t="n">
        <v>675</v>
      </c>
      <c r="DN411" t="n">
        <v>135</v>
      </c>
      <c r="DO411" t="n">
        <v>1420</v>
      </c>
      <c r="DP411" t="n">
        <v>367</v>
      </c>
      <c r="DQ411" t="n">
        <v>703</v>
      </c>
      <c r="DR411" t="n">
        <v>832</v>
      </c>
      <c r="DS411" t="n">
        <v>1206</v>
      </c>
      <c r="DT411" t="n">
        <v>75</v>
      </c>
      <c r="DU411" t="n">
        <v>257</v>
      </c>
      <c r="DV411" t="n">
        <v>140</v>
      </c>
      <c r="DW411" t="n">
        <v>275</v>
      </c>
      <c r="DX411" t="n">
        <v>370</v>
      </c>
      <c r="DY411" t="n">
        <v>226</v>
      </c>
      <c r="DZ411" t="n">
        <v>302</v>
      </c>
      <c r="EA411" t="n">
        <v>71</v>
      </c>
      <c r="EB411" t="n">
        <v>45</v>
      </c>
      <c r="EC411" t="n">
        <v>13</v>
      </c>
      <c r="ED411" t="n">
        <v>116</v>
      </c>
      <c r="EE411" t="n">
        <v>33</v>
      </c>
      <c r="EF411" t="n">
        <v>173</v>
      </c>
      <c r="EG411" t="n">
        <v>45</v>
      </c>
      <c r="EH411" t="n">
        <v>89</v>
      </c>
      <c r="EI411" t="n">
        <v>114</v>
      </c>
      <c r="EJ411" t="n">
        <v>96</v>
      </c>
      <c r="EK411" t="n">
        <v>68</v>
      </c>
      <c r="EL411" t="n">
        <v>14</v>
      </c>
      <c r="EM411" t="n">
        <v>102</v>
      </c>
      <c r="EN411" t="n">
        <v>130</v>
      </c>
      <c r="EO411" t="n">
        <v>30</v>
      </c>
      <c r="EP411" t="n">
        <v>99</v>
      </c>
      <c r="EQ411" t="n">
        <v>376</v>
      </c>
      <c r="ER411" t="n">
        <v>1366</v>
      </c>
      <c r="ES411" t="n">
        <v>128</v>
      </c>
      <c r="ET411" t="n">
        <v>76</v>
      </c>
      <c r="EU411" t="n">
        <v>53</v>
      </c>
      <c r="EV411" t="n">
        <v>27</v>
      </c>
      <c r="EW411" t="n">
        <v>85</v>
      </c>
      <c r="EX411" t="n">
        <v>203</v>
      </c>
      <c r="EY411" t="n">
        <v>122</v>
      </c>
      <c r="EZ411" t="n">
        <v>210</v>
      </c>
      <c r="FA411" t="n">
        <v>161</v>
      </c>
      <c r="FB411" t="n">
        <v>192</v>
      </c>
      <c r="FC411" t="n">
        <v>337</v>
      </c>
      <c r="FD411" t="n">
        <v>143</v>
      </c>
      <c r="FE411" t="n">
        <v>1185</v>
      </c>
      <c r="FF411" t="n">
        <v>311</v>
      </c>
      <c r="FG411" t="n">
        <v>293</v>
      </c>
      <c r="FH411" t="n">
        <v>163</v>
      </c>
      <c r="FI411" t="n">
        <v>78</v>
      </c>
      <c r="FJ411" t="n">
        <v>105</v>
      </c>
      <c r="FK411" t="n">
        <v>219</v>
      </c>
      <c r="FL411" t="n">
        <v>95</v>
      </c>
      <c r="FM411" t="n">
        <v>57</v>
      </c>
      <c r="FN411" t="n">
        <v>63</v>
      </c>
      <c r="FO411" t="n">
        <v>72</v>
      </c>
      <c r="FP411" t="n">
        <v>74</v>
      </c>
      <c r="FQ411" t="n">
        <v>63</v>
      </c>
      <c r="FR411" t="n">
        <v>17</v>
      </c>
      <c r="FS411" t="n">
        <v>24</v>
      </c>
      <c r="FT411" t="n">
        <v>16</v>
      </c>
      <c r="FU411" t="n">
        <v>35</v>
      </c>
      <c r="FV411" t="n">
        <v>97</v>
      </c>
      <c r="FW411" t="n">
        <v>49</v>
      </c>
      <c r="FX411" t="n">
        <v>418</v>
      </c>
      <c r="FY411" t="n">
        <v>345</v>
      </c>
      <c r="FZ411" t="n">
        <v>50</v>
      </c>
      <c r="GA411" t="n">
        <v>63</v>
      </c>
      <c r="GB411" t="n">
        <v>59</v>
      </c>
      <c r="GC411" t="n">
        <v>79</v>
      </c>
      <c r="GD411" t="n">
        <v>103</v>
      </c>
      <c r="GE411" t="n">
        <v>15</v>
      </c>
      <c r="GF411" t="n">
        <v>29</v>
      </c>
      <c r="GG411" t="n">
        <v>142</v>
      </c>
      <c r="GH411" t="n">
        <v>260</v>
      </c>
      <c r="GI411" t="n">
        <v>176</v>
      </c>
      <c r="GJ411" t="n">
        <v>214</v>
      </c>
      <c r="GK411" t="n">
        <v>114</v>
      </c>
      <c r="GL411" t="n">
        <v>67</v>
      </c>
      <c r="GM411" t="n">
        <v>67</v>
      </c>
      <c r="GN411" t="n">
        <v>239</v>
      </c>
      <c r="GO411" t="n">
        <v>72</v>
      </c>
      <c r="GP411" t="n">
        <v>251</v>
      </c>
      <c r="GQ411" t="n">
        <v>225</v>
      </c>
      <c r="GR411" t="n">
        <v>247</v>
      </c>
      <c r="GS411" t="n">
        <v>330</v>
      </c>
      <c r="GT411" t="n">
        <v>176</v>
      </c>
      <c r="GU411" t="n">
        <v>303</v>
      </c>
      <c r="GV411" t="n">
        <v>53</v>
      </c>
      <c r="GW411" t="n">
        <v>483</v>
      </c>
      <c r="GX411" t="n">
        <v>1002</v>
      </c>
      <c r="GY411" t="n">
        <v>86</v>
      </c>
      <c r="GZ411" t="n">
        <v>326</v>
      </c>
      <c r="HA411" t="n">
        <v>189</v>
      </c>
      <c r="HB411" t="n">
        <v>298</v>
      </c>
      <c r="HC411" t="n">
        <v>88</v>
      </c>
      <c r="HD411" t="n">
        <v>83</v>
      </c>
      <c r="HE411" t="n">
        <v>155</v>
      </c>
      <c r="HF411" t="n">
        <v>209</v>
      </c>
      <c r="HG411" t="n">
        <v>297</v>
      </c>
      <c r="HH411" t="n">
        <v>219</v>
      </c>
      <c r="HI411" t="n">
        <v>158</v>
      </c>
      <c r="HJ411" t="n">
        <v>145</v>
      </c>
      <c r="HK411" t="n">
        <v>512</v>
      </c>
      <c r="HL411" t="n">
        <v>87</v>
      </c>
      <c r="HM411" t="n">
        <v>163</v>
      </c>
      <c r="HN411" t="n">
        <v>81</v>
      </c>
      <c r="HO411" t="n">
        <v>116</v>
      </c>
      <c r="HP411" t="n">
        <v>41</v>
      </c>
      <c r="HQ411" t="n">
        <v>107</v>
      </c>
      <c r="HR411" t="n">
        <v>191</v>
      </c>
      <c r="HS411" t="n">
        <v>90</v>
      </c>
      <c r="HT411" t="n">
        <v>64</v>
      </c>
      <c r="HU411" t="n">
        <v>342</v>
      </c>
      <c r="HV411" t="n">
        <v>305</v>
      </c>
      <c r="HW411" t="n">
        <v>602</v>
      </c>
      <c r="HX411" t="n">
        <v>194</v>
      </c>
      <c r="HY411" t="n">
        <v>52</v>
      </c>
      <c r="HZ411" t="n">
        <v>102</v>
      </c>
      <c r="IA411" t="n">
        <v>42</v>
      </c>
      <c r="IB411" t="n">
        <v>693</v>
      </c>
      <c r="IC411" t="n">
        <v>28</v>
      </c>
      <c r="ID411" t="n">
        <v>3189</v>
      </c>
      <c r="IE411" t="n">
        <v>104</v>
      </c>
      <c r="IF411" t="n">
        <v>85</v>
      </c>
      <c r="IG411" t="n">
        <v>140</v>
      </c>
      <c r="IH411" t="n">
        <v>903</v>
      </c>
      <c r="II411" t="n">
        <v>191</v>
      </c>
      <c r="IJ411" t="n">
        <v>121</v>
      </c>
      <c r="IK411" t="n">
        <v>560</v>
      </c>
      <c r="IL411" t="n">
        <v>2040</v>
      </c>
      <c r="IM411" t="n">
        <v>1508</v>
      </c>
      <c r="IN411" t="n">
        <v>260</v>
      </c>
      <c r="IO411" t="n">
        <v>251</v>
      </c>
      <c r="IP411" t="n">
        <v>3213</v>
      </c>
      <c r="IQ411" t="n">
        <v>312</v>
      </c>
      <c r="IR411" t="n">
        <v>617</v>
      </c>
      <c r="IS411" t="n">
        <v>303</v>
      </c>
      <c r="IT411" t="n">
        <v>256</v>
      </c>
      <c r="IU411" t="n">
        <v>478</v>
      </c>
      <c r="IV411" t="n">
        <v>259</v>
      </c>
      <c r="IW411" t="n">
        <v>708</v>
      </c>
      <c r="IX411" t="n">
        <v>792</v>
      </c>
      <c r="IY411" t="n">
        <v>71</v>
      </c>
      <c r="IZ411" t="n">
        <v>746</v>
      </c>
      <c r="JA411" t="n">
        <v>254</v>
      </c>
      <c r="JB411" t="n">
        <v>127</v>
      </c>
      <c r="JC411" t="n">
        <v>29</v>
      </c>
      <c r="JD411" t="n">
        <v>63</v>
      </c>
      <c r="JE411" t="n">
        <v>70</v>
      </c>
      <c r="JF411" t="n">
        <v>71</v>
      </c>
      <c r="JG411" t="n">
        <v>669</v>
      </c>
      <c r="JH411" t="n">
        <v>125</v>
      </c>
      <c r="JI411" t="n">
        <v>33</v>
      </c>
      <c r="JJ411" t="n">
        <v>123</v>
      </c>
      <c r="JK411" t="n">
        <v>965</v>
      </c>
      <c r="JL411" t="n">
        <v>1238</v>
      </c>
      <c r="JM411" t="n">
        <v>1569</v>
      </c>
      <c r="JN411" t="n">
        <v>1088</v>
      </c>
      <c r="JO411" t="n">
        <v>1749</v>
      </c>
      <c r="JP411" t="n">
        <v>1340</v>
      </c>
      <c r="JQ411" t="n">
        <v>1123</v>
      </c>
      <c r="JR411" t="n">
        <v>966</v>
      </c>
      <c r="JS411" t="n">
        <v>2325</v>
      </c>
      <c r="JT411" t="n">
        <v>296</v>
      </c>
      <c r="JU411" t="n">
        <v>0</v>
      </c>
      <c r="JV411" t="n">
        <v>3108</v>
      </c>
      <c r="JW411" t="n">
        <v>3223</v>
      </c>
      <c r="JX411" t="n">
        <v>2493</v>
      </c>
      <c r="JY411" t="n">
        <v>1921</v>
      </c>
      <c r="JZ411" t="n">
        <v>1479</v>
      </c>
      <c r="KA411" t="n">
        <v>1419</v>
      </c>
      <c r="KB411" t="n">
        <v>1833</v>
      </c>
      <c r="KC411" t="n">
        <v>3840</v>
      </c>
      <c r="KD411" t="n">
        <v>2810</v>
      </c>
      <c r="KE411" t="n">
        <v>3542</v>
      </c>
      <c r="KF411" t="n">
        <v>1436</v>
      </c>
      <c r="KG411" t="n">
        <v>807</v>
      </c>
      <c r="KH411" t="n">
        <v>3965</v>
      </c>
      <c r="KI411" t="n">
        <v>861</v>
      </c>
      <c r="KJ411" t="n">
        <v>3256</v>
      </c>
      <c r="KK411" t="n">
        <v>1290</v>
      </c>
      <c r="KL411" t="n">
        <v>933</v>
      </c>
      <c r="KM411" t="n">
        <v>771</v>
      </c>
      <c r="KN411" t="n">
        <v>295</v>
      </c>
      <c r="KO411" t="n">
        <v>311</v>
      </c>
      <c r="KP411" t="n">
        <v>418</v>
      </c>
      <c r="KQ411" t="n">
        <v>123</v>
      </c>
      <c r="KR411" t="n">
        <v>3677</v>
      </c>
      <c r="KS411" t="n">
        <v>2627</v>
      </c>
      <c r="KT411" t="n">
        <v>975</v>
      </c>
      <c r="KU411" t="n">
        <v>209</v>
      </c>
      <c r="KV411" t="n">
        <v>654</v>
      </c>
      <c r="KW411" t="n">
        <v>1608</v>
      </c>
      <c r="KX411" t="n">
        <v>1171</v>
      </c>
      <c r="KY411" t="n">
        <v>119</v>
      </c>
      <c r="KZ411" t="n">
        <v>1696</v>
      </c>
      <c r="LA411" t="n">
        <v>1808</v>
      </c>
      <c r="LB411" t="n">
        <v>94</v>
      </c>
      <c r="LC411" t="n">
        <v>5896</v>
      </c>
      <c r="LD411" t="n">
        <v>11505</v>
      </c>
      <c r="LE411" t="n">
        <v>3013</v>
      </c>
      <c r="LF411" t="n">
        <v>1290</v>
      </c>
      <c r="LG411" t="n">
        <v>595</v>
      </c>
      <c r="LH411" t="n">
        <v>3740</v>
      </c>
      <c r="LI411" t="n">
        <v>2373</v>
      </c>
      <c r="LJ411" t="n">
        <v>701</v>
      </c>
      <c r="LK411" t="n">
        <v>178599</v>
      </c>
      <c r="LL411" t="n">
        <v>75504</v>
      </c>
      <c r="LM411" t="n">
        <v>27704</v>
      </c>
      <c r="LN411" t="n">
        <v>1616</v>
      </c>
      <c r="LO411" t="n">
        <v>2234</v>
      </c>
      <c r="LP411" t="n">
        <v>641</v>
      </c>
      <c r="LQ411" t="n">
        <v>4292</v>
      </c>
      <c r="LR411" t="n">
        <v>1243</v>
      </c>
      <c r="LS411" t="n">
        <v>646</v>
      </c>
      <c r="LT411" t="n">
        <v>1122</v>
      </c>
      <c r="LU411" t="n">
        <v>207</v>
      </c>
      <c r="LV411" t="n">
        <v>1175</v>
      </c>
      <c r="LW411" t="n">
        <v>2363</v>
      </c>
      <c r="LX411" t="n">
        <v>1813</v>
      </c>
      <c r="LY411" t="n">
        <v>390</v>
      </c>
      <c r="LZ411" t="n">
        <v>1553</v>
      </c>
      <c r="MA411" t="n">
        <v>893</v>
      </c>
      <c r="MB411" t="n">
        <v>254</v>
      </c>
      <c r="MC411" t="n">
        <v>56</v>
      </c>
      <c r="MD411" t="n">
        <v>285</v>
      </c>
      <c r="ME411" t="n">
        <v>619</v>
      </c>
      <c r="MF411" t="n">
        <v>7648</v>
      </c>
      <c r="MG411" t="n">
        <v>1547</v>
      </c>
      <c r="MH411" t="n">
        <v>805</v>
      </c>
      <c r="MI411" t="n">
        <v>271</v>
      </c>
      <c r="MJ411" t="n">
        <v>145</v>
      </c>
      <c r="MK411" t="n">
        <v>384</v>
      </c>
      <c r="ML411" t="n">
        <v>258</v>
      </c>
      <c r="MM411" t="n">
        <v>285</v>
      </c>
      <c r="MN411" t="n">
        <v>241</v>
      </c>
      <c r="MO411" t="n">
        <v>1896</v>
      </c>
      <c r="MP411" t="n">
        <v>1206</v>
      </c>
      <c r="MQ411" t="n">
        <v>5200</v>
      </c>
      <c r="MR411" t="n">
        <v>1954</v>
      </c>
      <c r="MS411" t="n">
        <v>4095</v>
      </c>
      <c r="MT411" t="n">
        <v>966</v>
      </c>
      <c r="MU411" t="n">
        <v>641</v>
      </c>
      <c r="MV411" t="n">
        <v>960</v>
      </c>
      <c r="MW411" t="n">
        <v>408</v>
      </c>
      <c r="MX411" t="n">
        <v>725</v>
      </c>
      <c r="MY411" t="n">
        <v>300</v>
      </c>
      <c r="MZ411" t="n">
        <v>11590</v>
      </c>
      <c r="NA411" t="n">
        <v>2678</v>
      </c>
      <c r="NB411" t="n">
        <v>760</v>
      </c>
      <c r="NC411" t="n">
        <v>606</v>
      </c>
      <c r="ND411" t="n">
        <v>285</v>
      </c>
      <c r="NE411" t="n">
        <v>259</v>
      </c>
      <c r="NF411" t="n">
        <v>346</v>
      </c>
      <c r="NG411" t="n">
        <v>676</v>
      </c>
      <c r="NH411" t="n">
        <v>596</v>
      </c>
      <c r="NI411" t="n">
        <v>685</v>
      </c>
      <c r="NJ411" t="n">
        <v>265</v>
      </c>
      <c r="NK411" t="n">
        <v>602</v>
      </c>
      <c r="NL411" t="n">
        <v>737</v>
      </c>
      <c r="NM411" t="n">
        <v>2310</v>
      </c>
      <c r="NN411" t="n">
        <v>5831</v>
      </c>
      <c r="NO411" t="n">
        <v>1911</v>
      </c>
      <c r="NP411" t="n">
        <v>1751</v>
      </c>
      <c r="NQ411" t="n">
        <v>540</v>
      </c>
      <c r="NR411" t="n">
        <v>2155</v>
      </c>
      <c r="NS411" t="n">
        <v>345</v>
      </c>
      <c r="NT411" t="n">
        <v>814</v>
      </c>
      <c r="NU411" t="n">
        <v>438</v>
      </c>
      <c r="NV411" t="n">
        <v>1515</v>
      </c>
      <c r="NW411" t="n">
        <v>391</v>
      </c>
      <c r="NX411" t="n">
        <v>479</v>
      </c>
      <c r="NY411" t="n">
        <v>1367</v>
      </c>
      <c r="NZ411" t="n">
        <v>234</v>
      </c>
      <c r="OA411" t="n">
        <v>918</v>
      </c>
      <c r="OB411" t="n">
        <v>1637</v>
      </c>
      <c r="OC411" t="n">
        <v>0</v>
      </c>
      <c r="OO411" t="n">
        <v>608532</v>
      </c>
    </row>
    <row r="412">
      <c r="A412" t="inlineStr">
        <is>
          <t>V00300</t>
        </is>
      </c>
      <c r="B412" t="inlineStr">
        <is>
          <t>Gross operating surplus</t>
        </is>
      </c>
      <c r="C412" t="n">
        <v>15495</v>
      </c>
      <c r="D412" t="n">
        <v>14896</v>
      </c>
      <c r="E412" t="n">
        <v>5165</v>
      </c>
      <c r="F412" t="n">
        <v>12227</v>
      </c>
      <c r="G412" t="n">
        <v>4415</v>
      </c>
      <c r="H412" t="n">
        <v>4298</v>
      </c>
      <c r="I412" t="n">
        <v>6583</v>
      </c>
      <c r="J412" t="n">
        <v>24181</v>
      </c>
      <c r="K412" t="n">
        <v>2239</v>
      </c>
      <c r="L412" t="n">
        <v>19081</v>
      </c>
      <c r="M412" t="n">
        <v>1916</v>
      </c>
      <c r="N412" t="n">
        <v>5344</v>
      </c>
      <c r="O412" t="n">
        <v>3848</v>
      </c>
      <c r="P412" t="n">
        <v>100192</v>
      </c>
      <c r="Q412" t="n">
        <v>11518</v>
      </c>
      <c r="R412" t="n">
        <v>4873</v>
      </c>
      <c r="S412" t="n">
        <v>3212</v>
      </c>
      <c r="T412" t="n">
        <v>5303</v>
      </c>
      <c r="U412" t="n">
        <v>4575</v>
      </c>
      <c r="V412" t="n">
        <v>5888</v>
      </c>
      <c r="W412" t="n">
        <v>15832</v>
      </c>
      <c r="X412" t="n">
        <v>148096</v>
      </c>
      <c r="Y412" t="n">
        <v>18036</v>
      </c>
      <c r="Z412" t="n">
        <v>4230</v>
      </c>
      <c r="AA412" t="n">
        <v>8837</v>
      </c>
      <c r="AB412" t="n">
        <v>18600</v>
      </c>
      <c r="AC412" t="n">
        <v>39466</v>
      </c>
      <c r="AD412" t="n">
        <v>15823</v>
      </c>
      <c r="AE412" t="n">
        <v>26452</v>
      </c>
      <c r="AF412" t="n">
        <v>14739</v>
      </c>
      <c r="AG412" t="n">
        <v>54293</v>
      </c>
      <c r="AH412" t="n">
        <v>12468</v>
      </c>
      <c r="AI412" t="n">
        <v>22411</v>
      </c>
      <c r="AJ412" t="n">
        <v>30037</v>
      </c>
      <c r="AK412" t="n">
        <v>39980</v>
      </c>
      <c r="AL412" t="n">
        <v>26576</v>
      </c>
      <c r="AM412" t="n">
        <v>3580</v>
      </c>
      <c r="AN412" t="n">
        <v>3722</v>
      </c>
      <c r="AO412" t="n">
        <v>3266</v>
      </c>
      <c r="AP412" t="n">
        <v>2088</v>
      </c>
      <c r="AQ412" t="n">
        <v>1196</v>
      </c>
      <c r="AR412" t="n">
        <v>5437</v>
      </c>
      <c r="AS412" t="n">
        <v>3038</v>
      </c>
      <c r="AT412" t="n">
        <v>4092</v>
      </c>
      <c r="AU412" t="n">
        <v>1311</v>
      </c>
      <c r="AV412" t="n">
        <v>2380</v>
      </c>
      <c r="AW412" t="n">
        <v>2653</v>
      </c>
      <c r="AX412" t="n">
        <v>2328</v>
      </c>
      <c r="AY412" t="n">
        <v>481</v>
      </c>
      <c r="AZ412" t="n">
        <v>1389</v>
      </c>
      <c r="BA412" t="n">
        <v>1698</v>
      </c>
      <c r="BB412" t="n">
        <v>1455</v>
      </c>
      <c r="BC412" t="n">
        <v>11070</v>
      </c>
      <c r="BD412" t="n">
        <v>1976</v>
      </c>
      <c r="BE412" t="n">
        <v>351</v>
      </c>
      <c r="BF412" t="n">
        <v>156</v>
      </c>
      <c r="BG412" t="n">
        <v>2568</v>
      </c>
      <c r="BH412" t="n">
        <v>2157</v>
      </c>
      <c r="BI412" t="n">
        <v>1214</v>
      </c>
      <c r="BJ412" t="n">
        <v>2306</v>
      </c>
      <c r="BK412" t="n">
        <v>2223</v>
      </c>
      <c r="BL412" t="n">
        <v>1441</v>
      </c>
      <c r="BM412" t="n">
        <v>1144</v>
      </c>
      <c r="BN412" t="n">
        <v>1278</v>
      </c>
      <c r="BO412" t="n">
        <v>1025</v>
      </c>
      <c r="BP412" t="n">
        <v>1457</v>
      </c>
      <c r="BQ412" t="n">
        <v>4156</v>
      </c>
      <c r="BR412" t="n">
        <v>4299</v>
      </c>
      <c r="BS412" t="n">
        <v>1051</v>
      </c>
      <c r="BT412" t="n">
        <v>1018</v>
      </c>
      <c r="BU412" t="n">
        <v>2118</v>
      </c>
      <c r="BV412" t="n">
        <v>922</v>
      </c>
      <c r="BW412" t="n">
        <v>875</v>
      </c>
      <c r="BX412" t="n">
        <v>2440</v>
      </c>
      <c r="BY412" t="n">
        <v>5946</v>
      </c>
      <c r="BZ412" t="n">
        <v>4006</v>
      </c>
      <c r="CA412" t="n">
        <v>857</v>
      </c>
      <c r="CB412" t="n">
        <v>4356</v>
      </c>
      <c r="CC412" t="n">
        <v>889</v>
      </c>
      <c r="CD412" t="n">
        <v>674</v>
      </c>
      <c r="CE412" t="n">
        <v>2281</v>
      </c>
      <c r="CF412" t="n">
        <v>1129</v>
      </c>
      <c r="CG412" t="n">
        <v>3770</v>
      </c>
      <c r="CH412" t="n">
        <v>697</v>
      </c>
      <c r="CI412" t="n">
        <v>5691</v>
      </c>
      <c r="CJ412" t="n">
        <v>645</v>
      </c>
      <c r="CK412" t="n">
        <v>959</v>
      </c>
      <c r="CL412" t="n">
        <v>3747</v>
      </c>
      <c r="CM412" t="n">
        <v>25</v>
      </c>
      <c r="CN412" t="n">
        <v>54</v>
      </c>
      <c r="CO412" t="n">
        <v>2378</v>
      </c>
      <c r="CP412" t="n">
        <v>833</v>
      </c>
      <c r="CQ412" t="n">
        <v>6250</v>
      </c>
      <c r="CR412" t="n">
        <v>418</v>
      </c>
      <c r="CS412" t="n">
        <v>244</v>
      </c>
      <c r="CT412" t="n">
        <v>194</v>
      </c>
      <c r="CU412" t="n">
        <v>207</v>
      </c>
      <c r="CV412" t="n">
        <v>666</v>
      </c>
      <c r="CW412" t="n">
        <v>2503</v>
      </c>
      <c r="CX412" t="n">
        <v>341</v>
      </c>
      <c r="CY412" t="n">
        <v>1137</v>
      </c>
      <c r="CZ412" t="n">
        <v>1007</v>
      </c>
      <c r="DA412" t="n">
        <v>1113</v>
      </c>
      <c r="DB412" t="n">
        <v>4231</v>
      </c>
      <c r="DC412" t="n">
        <v>4818</v>
      </c>
      <c r="DD412" t="n">
        <v>648</v>
      </c>
      <c r="DE412" t="n">
        <v>967</v>
      </c>
      <c r="DF412" t="n">
        <v>236</v>
      </c>
      <c r="DG412" t="n">
        <v>4325</v>
      </c>
      <c r="DH412" t="n">
        <v>1078</v>
      </c>
      <c r="DI412" t="n">
        <v>4822</v>
      </c>
      <c r="DJ412" t="n">
        <v>1342</v>
      </c>
      <c r="DK412" t="n">
        <v>2215</v>
      </c>
      <c r="DL412" t="n">
        <v>2002</v>
      </c>
      <c r="DM412" t="n">
        <v>7477</v>
      </c>
      <c r="DN412" t="n">
        <v>1381</v>
      </c>
      <c r="DO412" t="n">
        <v>20266</v>
      </c>
      <c r="DP412" t="n">
        <v>5078</v>
      </c>
      <c r="DQ412" t="n">
        <v>3628</v>
      </c>
      <c r="DR412" t="n">
        <v>9488</v>
      </c>
      <c r="DS412" t="n">
        <v>15138</v>
      </c>
      <c r="DT412" t="n">
        <v>829</v>
      </c>
      <c r="DU412" t="n">
        <v>405</v>
      </c>
      <c r="DV412" t="n">
        <v>1497</v>
      </c>
      <c r="DW412" t="n">
        <v>3048</v>
      </c>
      <c r="DX412" t="n">
        <v>4026</v>
      </c>
      <c r="DY412" t="n">
        <v>2412</v>
      </c>
      <c r="DZ412" t="n">
        <v>3338</v>
      </c>
      <c r="EA412" t="n">
        <v>791</v>
      </c>
      <c r="EB412" t="n">
        <v>471</v>
      </c>
      <c r="EC412" t="n">
        <v>48</v>
      </c>
      <c r="ED412" t="n">
        <v>2112</v>
      </c>
      <c r="EE412" t="n">
        <v>889</v>
      </c>
      <c r="EF412" t="n">
        <v>4282</v>
      </c>
      <c r="EG412" t="n">
        <v>420</v>
      </c>
      <c r="EH412" t="n">
        <v>761</v>
      </c>
      <c r="EI412" t="n">
        <v>2026</v>
      </c>
      <c r="EJ412" t="n">
        <v>139</v>
      </c>
      <c r="EK412" t="n">
        <v>742</v>
      </c>
      <c r="EL412" t="n">
        <v>689</v>
      </c>
      <c r="EM412" t="n">
        <v>1476</v>
      </c>
      <c r="EN412" t="n">
        <v>3754</v>
      </c>
      <c r="EO412" t="n">
        <v>1131</v>
      </c>
      <c r="EP412" t="n">
        <v>1731</v>
      </c>
      <c r="EQ412" t="n">
        <v>5192</v>
      </c>
      <c r="ER412" t="n">
        <v>40156</v>
      </c>
      <c r="ES412" t="n">
        <v>2845</v>
      </c>
      <c r="ET412" t="n">
        <v>385</v>
      </c>
      <c r="EU412" t="n">
        <v>721</v>
      </c>
      <c r="EV412" t="n">
        <v>24</v>
      </c>
      <c r="EW412" t="n">
        <v>3094</v>
      </c>
      <c r="EX412" t="n">
        <v>3493</v>
      </c>
      <c r="EY412" t="n">
        <v>1857</v>
      </c>
      <c r="EZ412" t="n">
        <v>5151</v>
      </c>
      <c r="FA412" t="n">
        <v>3241</v>
      </c>
      <c r="FB412" t="n">
        <v>4501</v>
      </c>
      <c r="FC412" t="n">
        <v>7606</v>
      </c>
      <c r="FD412" t="n">
        <v>1829</v>
      </c>
      <c r="FE412" t="n">
        <v>44108</v>
      </c>
      <c r="FF412" t="n">
        <v>8994</v>
      </c>
      <c r="FG412" t="n">
        <v>7669</v>
      </c>
      <c r="FH412" t="n">
        <v>81</v>
      </c>
      <c r="FI412" t="n">
        <v>430</v>
      </c>
      <c r="FJ412" t="n">
        <v>1550</v>
      </c>
      <c r="FK412" t="n">
        <v>1610</v>
      </c>
      <c r="FL412" t="n">
        <v>581</v>
      </c>
      <c r="FM412" t="n">
        <v>1466</v>
      </c>
      <c r="FN412" t="n">
        <v>1488</v>
      </c>
      <c r="FO412" t="n">
        <v>1229</v>
      </c>
      <c r="FP412" t="n">
        <v>623</v>
      </c>
      <c r="FQ412" t="n">
        <v>1182</v>
      </c>
      <c r="FR412" t="n">
        <v>91</v>
      </c>
      <c r="FS412" t="n">
        <v>380</v>
      </c>
      <c r="FT412" t="n">
        <v>320</v>
      </c>
      <c r="FU412" t="n">
        <v>288</v>
      </c>
      <c r="FV412" t="n">
        <v>2456</v>
      </c>
      <c r="FW412" t="n">
        <v>1181</v>
      </c>
      <c r="FX412" t="n">
        <v>11929</v>
      </c>
      <c r="FY412" t="n">
        <v>9031</v>
      </c>
      <c r="FZ412" t="n">
        <v>966</v>
      </c>
      <c r="GA412" t="n">
        <v>1651</v>
      </c>
      <c r="GB412" t="n">
        <v>380</v>
      </c>
      <c r="GC412" t="n">
        <v>1115</v>
      </c>
      <c r="GD412" t="n">
        <v>1276</v>
      </c>
      <c r="GE412" t="n">
        <v>149</v>
      </c>
      <c r="GF412" t="n">
        <v>138</v>
      </c>
      <c r="GG412" t="n">
        <v>594</v>
      </c>
      <c r="GH412" t="n">
        <v>3783</v>
      </c>
      <c r="GI412" t="n">
        <v>3862</v>
      </c>
      <c r="GJ412" t="n">
        <v>1890</v>
      </c>
      <c r="GK412" t="n">
        <v>1779</v>
      </c>
      <c r="GL412" t="n">
        <v>602</v>
      </c>
      <c r="GM412" t="n">
        <v>803</v>
      </c>
      <c r="GN412" t="n">
        <v>2402</v>
      </c>
      <c r="GO412" t="n">
        <v>1657</v>
      </c>
      <c r="GP412" t="n">
        <v>4606</v>
      </c>
      <c r="GQ412" t="n">
        <v>3799</v>
      </c>
      <c r="GR412" t="n">
        <v>2779</v>
      </c>
      <c r="GS412" t="n">
        <v>4238</v>
      </c>
      <c r="GT412" t="n">
        <v>4642</v>
      </c>
      <c r="GU412" t="n">
        <v>3688</v>
      </c>
      <c r="GV412" t="n">
        <v>609</v>
      </c>
      <c r="GW412" t="n">
        <v>7504</v>
      </c>
      <c r="GX412" t="n">
        <v>8436</v>
      </c>
      <c r="GY412" t="n">
        <v>917</v>
      </c>
      <c r="GZ412" t="n">
        <v>3742</v>
      </c>
      <c r="HA412" t="n">
        <v>3600</v>
      </c>
      <c r="HB412" t="n">
        <v>9025</v>
      </c>
      <c r="HC412" t="n">
        <v>1793</v>
      </c>
      <c r="HD412" t="n">
        <v>3401</v>
      </c>
      <c r="HE412" t="n">
        <v>3400</v>
      </c>
      <c r="HF412" t="n">
        <v>2254</v>
      </c>
      <c r="HG412" t="n">
        <v>5427</v>
      </c>
      <c r="HH412" t="n">
        <v>7523</v>
      </c>
      <c r="HI412" t="n">
        <v>4507</v>
      </c>
      <c r="HJ412" t="n">
        <v>3398</v>
      </c>
      <c r="HK412" t="n">
        <v>29452</v>
      </c>
      <c r="HL412" t="n">
        <v>150</v>
      </c>
      <c r="HM412" t="n">
        <v>1092</v>
      </c>
      <c r="HN412" t="n">
        <v>307</v>
      </c>
      <c r="HO412" t="n">
        <v>1567</v>
      </c>
      <c r="HP412" t="n">
        <v>299</v>
      </c>
      <c r="HQ412" t="n">
        <v>987</v>
      </c>
      <c r="HR412" t="n">
        <v>680</v>
      </c>
      <c r="HS412" t="n">
        <v>588</v>
      </c>
      <c r="HT412" t="n">
        <v>1387</v>
      </c>
      <c r="HU412" t="n">
        <v>5773</v>
      </c>
      <c r="HV412" t="n">
        <v>7194</v>
      </c>
      <c r="HW412" t="n">
        <v>4946</v>
      </c>
      <c r="HX412" t="n">
        <v>2385</v>
      </c>
      <c r="HY412" t="n">
        <v>225</v>
      </c>
      <c r="HZ412" t="n">
        <v>1220</v>
      </c>
      <c r="IA412" t="n">
        <v>558</v>
      </c>
      <c r="IB412" t="n">
        <v>13301</v>
      </c>
      <c r="IC412" t="n">
        <v>298</v>
      </c>
      <c r="ID412" t="n">
        <v>78929</v>
      </c>
      <c r="IE412" t="n">
        <v>1194</v>
      </c>
      <c r="IF412" t="n">
        <v>2541</v>
      </c>
      <c r="IG412" t="n">
        <v>4567</v>
      </c>
      <c r="IH412" t="n">
        <v>17305</v>
      </c>
      <c r="II412" t="n">
        <v>873</v>
      </c>
      <c r="IJ412" t="n">
        <v>1058</v>
      </c>
      <c r="IK412" t="n">
        <v>8826</v>
      </c>
      <c r="IL412" t="n">
        <v>22500</v>
      </c>
      <c r="IM412" t="n">
        <v>13728</v>
      </c>
      <c r="IN412" t="n">
        <v>1119</v>
      </c>
      <c r="IO412" t="n">
        <v>3231</v>
      </c>
      <c r="IP412" t="n">
        <v>75346</v>
      </c>
      <c r="IQ412" t="n">
        <v>5736</v>
      </c>
      <c r="IR412" t="n">
        <v>16555</v>
      </c>
      <c r="IS412" t="n">
        <v>4861</v>
      </c>
      <c r="IT412" t="n">
        <v>3989</v>
      </c>
      <c r="IU412" t="n">
        <v>6356</v>
      </c>
      <c r="IV412" t="n">
        <v>3635</v>
      </c>
      <c r="IW412" t="n">
        <v>13663</v>
      </c>
      <c r="IX412" t="n">
        <v>17723</v>
      </c>
      <c r="IY412" t="n">
        <v>514</v>
      </c>
      <c r="IZ412" t="n">
        <v>7688</v>
      </c>
      <c r="JA412" t="n">
        <v>4390</v>
      </c>
      <c r="JB412" t="n">
        <v>2931</v>
      </c>
      <c r="JC412" t="n">
        <v>452</v>
      </c>
      <c r="JD412" t="n">
        <v>691</v>
      </c>
      <c r="JE412" t="n">
        <v>1015</v>
      </c>
      <c r="JF412" t="n">
        <v>980</v>
      </c>
      <c r="JG412" t="n">
        <v>12796</v>
      </c>
      <c r="JH412" t="n">
        <v>2024</v>
      </c>
      <c r="JI412" t="n">
        <v>437</v>
      </c>
      <c r="JJ412" t="n">
        <v>2352</v>
      </c>
      <c r="JK412" t="n">
        <v>33161</v>
      </c>
      <c r="JL412" t="n">
        <v>33508</v>
      </c>
      <c r="JM412" t="n">
        <v>62785</v>
      </c>
      <c r="JN412" t="n">
        <v>32627</v>
      </c>
      <c r="JO412" t="n">
        <v>58493</v>
      </c>
      <c r="JP412" t="n">
        <v>59997</v>
      </c>
      <c r="JQ412" t="n">
        <v>36990</v>
      </c>
      <c r="JR412" t="n">
        <v>17682</v>
      </c>
      <c r="JS412" t="n">
        <v>77766</v>
      </c>
      <c r="JT412" t="n">
        <v>6829</v>
      </c>
      <c r="JV412" t="n">
        <v>68657</v>
      </c>
      <c r="JW412" t="n">
        <v>40131</v>
      </c>
      <c r="JX412" t="n">
        <v>18546</v>
      </c>
      <c r="JY412" t="n">
        <v>27879</v>
      </c>
      <c r="JZ412" t="n">
        <v>13624</v>
      </c>
      <c r="KA412" t="n">
        <v>21627</v>
      </c>
      <c r="KB412" t="n">
        <v>13408</v>
      </c>
      <c r="KC412" t="n">
        <v>116764</v>
      </c>
      <c r="KD412" t="n">
        <v>18998</v>
      </c>
      <c r="KE412" t="n">
        <v>46346</v>
      </c>
      <c r="KF412" t="n">
        <v>22481</v>
      </c>
      <c r="KG412" t="n">
        <v>5828</v>
      </c>
      <c r="KH412" t="n">
        <v>77160</v>
      </c>
      <c r="KI412" t="n">
        <v>19576</v>
      </c>
      <c r="KJ412" t="n">
        <v>30054</v>
      </c>
      <c r="KK412" t="n">
        <v>19739</v>
      </c>
      <c r="KL412" t="n">
        <v>16597</v>
      </c>
      <c r="KM412" t="n">
        <v>6319</v>
      </c>
      <c r="KN412" t="n">
        <v>7987</v>
      </c>
      <c r="KO412" t="n">
        <v>6702</v>
      </c>
      <c r="KP412" t="n">
        <v>11737</v>
      </c>
      <c r="KQ412" t="n">
        <v>3445</v>
      </c>
      <c r="KR412" t="n">
        <v>99964</v>
      </c>
      <c r="KS412" t="n">
        <v>45022</v>
      </c>
      <c r="KT412" t="n">
        <v>10907</v>
      </c>
      <c r="KU412" t="n">
        <v>22637</v>
      </c>
      <c r="KV412" t="n">
        <v>49756</v>
      </c>
      <c r="KW412" t="n">
        <v>109598</v>
      </c>
      <c r="KX412" t="n">
        <v>116524</v>
      </c>
      <c r="KY412" t="n">
        <v>10336</v>
      </c>
      <c r="KZ412" t="n">
        <v>50886</v>
      </c>
      <c r="LA412" t="n">
        <v>55437</v>
      </c>
      <c r="LB412" t="n">
        <v>1740</v>
      </c>
      <c r="LC412" t="n">
        <v>105317</v>
      </c>
      <c r="LD412" t="n">
        <v>260765</v>
      </c>
      <c r="LE412" t="n">
        <v>20528</v>
      </c>
      <c r="LF412" t="n">
        <v>6083</v>
      </c>
      <c r="LG412" t="n">
        <v>16487</v>
      </c>
      <c r="LH412" t="n">
        <v>174298</v>
      </c>
      <c r="LI412" t="n">
        <v>76517</v>
      </c>
      <c r="LJ412" t="n">
        <v>4036</v>
      </c>
      <c r="LK412" t="n">
        <v>1164524</v>
      </c>
      <c r="LL412" t="n">
        <v>376515</v>
      </c>
      <c r="LM412" t="n">
        <v>396339</v>
      </c>
      <c r="LN412" t="n">
        <v>20862</v>
      </c>
      <c r="LO412" t="n">
        <v>33201</v>
      </c>
      <c r="LP412" t="n">
        <v>5895</v>
      </c>
      <c r="LQ412" t="n">
        <v>95037</v>
      </c>
      <c r="LR412" t="n">
        <v>118269</v>
      </c>
      <c r="LS412" t="n">
        <v>14390</v>
      </c>
      <c r="LT412" t="n">
        <v>34127</v>
      </c>
      <c r="LU412" t="n">
        <v>6412</v>
      </c>
      <c r="LV412" t="n">
        <v>34999</v>
      </c>
      <c r="LW412" t="n">
        <v>56463</v>
      </c>
      <c r="LX412" t="n">
        <v>45077</v>
      </c>
      <c r="LY412" t="n">
        <v>3399</v>
      </c>
      <c r="LZ412" t="n">
        <v>22155</v>
      </c>
      <c r="MA412" t="n">
        <v>41656</v>
      </c>
      <c r="MB412" t="n">
        <v>12365</v>
      </c>
      <c r="MC412" t="n">
        <v>5073</v>
      </c>
      <c r="MD412" t="n">
        <v>10043</v>
      </c>
      <c r="ME412" t="n">
        <v>27553</v>
      </c>
      <c r="MF412" t="n">
        <v>36459</v>
      </c>
      <c r="MG412" t="n">
        <v>70536</v>
      </c>
      <c r="MH412" t="n">
        <v>23875</v>
      </c>
      <c r="MI412" t="n">
        <v>2442</v>
      </c>
      <c r="MJ412" t="n">
        <v>5037</v>
      </c>
      <c r="MK412" t="n">
        <v>8578</v>
      </c>
      <c r="ML412" t="n">
        <v>7663</v>
      </c>
      <c r="MM412" t="n">
        <v>5324</v>
      </c>
      <c r="MN412" t="n">
        <v>6684</v>
      </c>
      <c r="MO412" t="n">
        <v>19317</v>
      </c>
      <c r="MP412" t="n">
        <v>1265</v>
      </c>
      <c r="MQ412" t="n">
        <v>41574</v>
      </c>
      <c r="MR412" t="n">
        <v>1090</v>
      </c>
      <c r="MS412" t="n">
        <v>24262</v>
      </c>
      <c r="MT412" t="n">
        <v>40384</v>
      </c>
      <c r="MU412" t="n">
        <v>33720</v>
      </c>
      <c r="MV412" t="n">
        <v>25868</v>
      </c>
      <c r="MW412" t="n">
        <v>18285</v>
      </c>
      <c r="MX412" t="n">
        <v>11531</v>
      </c>
      <c r="MY412" t="n">
        <v>833</v>
      </c>
      <c r="MZ412" t="n">
        <v>76051</v>
      </c>
      <c r="NA412" t="n">
        <v>7290</v>
      </c>
      <c r="NB412" t="n">
        <v>2136</v>
      </c>
      <c r="NC412" t="n">
        <v>6311</v>
      </c>
      <c r="ND412" t="n">
        <v>2826</v>
      </c>
      <c r="NE412" t="n">
        <v>2828</v>
      </c>
      <c r="NF412" t="n">
        <v>8020</v>
      </c>
      <c r="NG412" t="n">
        <v>9100</v>
      </c>
      <c r="NH412" t="n">
        <v>21794</v>
      </c>
      <c r="NI412" t="n">
        <v>15172</v>
      </c>
      <c r="NJ412" t="n">
        <v>4580</v>
      </c>
      <c r="NK412" t="n">
        <v>4595</v>
      </c>
      <c r="NL412" t="n">
        <v>9413</v>
      </c>
      <c r="NM412" t="n">
        <v>5216</v>
      </c>
      <c r="NN412" t="n">
        <v>63036</v>
      </c>
      <c r="NO412" t="n">
        <v>39297</v>
      </c>
      <c r="NP412" t="n">
        <v>38095</v>
      </c>
      <c r="NQ412" t="n">
        <v>9080</v>
      </c>
      <c r="NR412" t="n">
        <v>23211</v>
      </c>
      <c r="NS412" t="n">
        <v>4176</v>
      </c>
      <c r="NT412" t="n">
        <v>8394</v>
      </c>
      <c r="NU412" t="n">
        <v>5625</v>
      </c>
      <c r="NV412" t="n">
        <v>11995</v>
      </c>
      <c r="NW412" t="n">
        <v>5520</v>
      </c>
      <c r="NX412" t="n">
        <v>4365</v>
      </c>
      <c r="NY412" t="n">
        <v>15077</v>
      </c>
      <c r="NZ412" t="n">
        <v>11860</v>
      </c>
      <c r="OA412" t="n">
        <v>8858</v>
      </c>
      <c r="OB412" t="n">
        <v>4905</v>
      </c>
      <c r="OD412" t="n">
        <v>159521</v>
      </c>
      <c r="OE412" t="n">
        <v>112305</v>
      </c>
      <c r="OF412" t="n">
        <v>2781</v>
      </c>
      <c r="OG412" t="n">
        <v>4566</v>
      </c>
      <c r="OH412" t="n">
        <v>4080</v>
      </c>
      <c r="OI412" t="n">
        <v>76537</v>
      </c>
      <c r="OJ412" t="n">
        <v>17879</v>
      </c>
      <c r="OK412" t="n">
        <v>111540</v>
      </c>
      <c r="OL412" t="n">
        <v>-36919</v>
      </c>
      <c r="OM412" t="n">
        <v>19288</v>
      </c>
      <c r="ON412" t="n">
        <v>74058</v>
      </c>
      <c r="OO412" t="n">
        <v>7873026</v>
      </c>
    </row>
    <row r="413">
      <c r="A413" t="inlineStr">
        <is>
          <t>VABAS</t>
        </is>
      </c>
      <c r="B413" t="inlineStr">
        <is>
          <t>Value added (basic value)</t>
        </is>
      </c>
      <c r="C413" t="n">
        <v>17670</v>
      </c>
      <c r="D413" t="n">
        <v>19338</v>
      </c>
      <c r="E413" t="n">
        <v>8151</v>
      </c>
      <c r="F413" t="n">
        <v>18235</v>
      </c>
      <c r="G413" t="n">
        <v>10233</v>
      </c>
      <c r="H413" t="n">
        <v>9665</v>
      </c>
      <c r="I413" t="n">
        <v>9616</v>
      </c>
      <c r="J413" t="n">
        <v>27302</v>
      </c>
      <c r="K413" t="n">
        <v>5812</v>
      </c>
      <c r="L413" t="n">
        <v>22827</v>
      </c>
      <c r="M413" t="n">
        <v>10628</v>
      </c>
      <c r="N413" t="n">
        <v>6436</v>
      </c>
      <c r="O413" t="n">
        <v>20557</v>
      </c>
      <c r="P413" t="n">
        <v>152768</v>
      </c>
      <c r="Q413" t="n">
        <v>18123</v>
      </c>
      <c r="R413" t="n">
        <v>6815</v>
      </c>
      <c r="S413" t="n">
        <v>6489</v>
      </c>
      <c r="T413" t="n">
        <v>8971</v>
      </c>
      <c r="U413" t="n">
        <v>9488</v>
      </c>
      <c r="V413" t="n">
        <v>13085</v>
      </c>
      <c r="W413" t="n">
        <v>40626</v>
      </c>
      <c r="X413" t="n">
        <v>234877</v>
      </c>
      <c r="Y413" t="n">
        <v>40088</v>
      </c>
      <c r="Z413" t="n">
        <v>9414</v>
      </c>
      <c r="AA413" t="n">
        <v>29314</v>
      </c>
      <c r="AB413" t="n">
        <v>53551</v>
      </c>
      <c r="AC413" t="n">
        <v>101542</v>
      </c>
      <c r="AD413" t="n">
        <v>44155</v>
      </c>
      <c r="AE413" t="n">
        <v>81219</v>
      </c>
      <c r="AF413" t="n">
        <v>40970</v>
      </c>
      <c r="AG413" t="n">
        <v>108252</v>
      </c>
      <c r="AH413" t="n">
        <v>36302</v>
      </c>
      <c r="AI413" t="n">
        <v>65920</v>
      </c>
      <c r="AJ413" t="n">
        <v>69439</v>
      </c>
      <c r="AK413" t="n">
        <v>135891</v>
      </c>
      <c r="AL413" t="n">
        <v>71807</v>
      </c>
      <c r="AM413" t="n">
        <v>9256</v>
      </c>
      <c r="AN413" t="n">
        <v>8754</v>
      </c>
      <c r="AO413" t="n">
        <v>9235</v>
      </c>
      <c r="AP413" t="n">
        <v>8323</v>
      </c>
      <c r="AQ413" t="n">
        <v>4006</v>
      </c>
      <c r="AR413" t="n">
        <v>11964</v>
      </c>
      <c r="AS413" t="n">
        <v>4559</v>
      </c>
      <c r="AT413" t="n">
        <v>11451</v>
      </c>
      <c r="AU413" t="n">
        <v>3261</v>
      </c>
      <c r="AV413" t="n">
        <v>6097</v>
      </c>
      <c r="AW413" t="n">
        <v>4034</v>
      </c>
      <c r="AX413" t="n">
        <v>3157</v>
      </c>
      <c r="AY413" t="n">
        <v>2236</v>
      </c>
      <c r="AZ413" t="n">
        <v>2009</v>
      </c>
      <c r="BA413" t="n">
        <v>3202</v>
      </c>
      <c r="BB413" t="n">
        <v>2376</v>
      </c>
      <c r="BC413" t="n">
        <v>21164</v>
      </c>
      <c r="BD413" t="n">
        <v>6776</v>
      </c>
      <c r="BE413" t="n">
        <v>791</v>
      </c>
      <c r="BF413" t="n">
        <v>676</v>
      </c>
      <c r="BG413" t="n">
        <v>6513</v>
      </c>
      <c r="BH413" t="n">
        <v>3064</v>
      </c>
      <c r="BI413" t="n">
        <v>3923</v>
      </c>
      <c r="BJ413" t="n">
        <v>4516</v>
      </c>
      <c r="BK413" t="n">
        <v>7030</v>
      </c>
      <c r="BL413" t="n">
        <v>5186</v>
      </c>
      <c r="BM413" t="n">
        <v>1876</v>
      </c>
      <c r="BN413" t="n">
        <v>4526</v>
      </c>
      <c r="BO413" t="n">
        <v>4605</v>
      </c>
      <c r="BP413" t="n">
        <v>4398</v>
      </c>
      <c r="BQ413" t="n">
        <v>16007</v>
      </c>
      <c r="BR413" t="n">
        <v>17867</v>
      </c>
      <c r="BS413" t="n">
        <v>2960</v>
      </c>
      <c r="BT413" t="n">
        <v>3634</v>
      </c>
      <c r="BU413" t="n">
        <v>6167</v>
      </c>
      <c r="BV413" t="n">
        <v>2985</v>
      </c>
      <c r="BW413" t="n">
        <v>3800</v>
      </c>
      <c r="BX413" t="n">
        <v>19433</v>
      </c>
      <c r="BY413" t="n">
        <v>11942</v>
      </c>
      <c r="BZ413" t="n">
        <v>12471</v>
      </c>
      <c r="CA413" t="n">
        <v>1739</v>
      </c>
      <c r="CB413" t="n">
        <v>11751</v>
      </c>
      <c r="CC413" t="n">
        <v>3061</v>
      </c>
      <c r="CD413" t="n">
        <v>3036</v>
      </c>
      <c r="CE413" t="n">
        <v>6261</v>
      </c>
      <c r="CF413" t="n">
        <v>5621</v>
      </c>
      <c r="CG413" t="n">
        <v>9733</v>
      </c>
      <c r="CH413" t="n">
        <v>2768</v>
      </c>
      <c r="CI413" t="n">
        <v>12405</v>
      </c>
      <c r="CJ413" t="n">
        <v>6158</v>
      </c>
      <c r="CK413" t="n">
        <v>5213</v>
      </c>
      <c r="CL413" t="n">
        <v>11854</v>
      </c>
      <c r="CM413" t="n">
        <v>2220</v>
      </c>
      <c r="CN413" t="n">
        <v>773</v>
      </c>
      <c r="CO413" t="n">
        <v>7994</v>
      </c>
      <c r="CP413" t="n">
        <v>1878</v>
      </c>
      <c r="CQ413" t="n">
        <v>12968</v>
      </c>
      <c r="CR413" t="n">
        <v>2531</v>
      </c>
      <c r="CS413" t="n">
        <v>3021</v>
      </c>
      <c r="CT413" t="n">
        <v>4939</v>
      </c>
      <c r="CU413" t="n">
        <v>3407</v>
      </c>
      <c r="CV413" t="n">
        <v>3619</v>
      </c>
      <c r="CW413" t="n">
        <v>5513</v>
      </c>
      <c r="CX413" t="n">
        <v>1311</v>
      </c>
      <c r="CY413" t="n">
        <v>2208</v>
      </c>
      <c r="CZ413" t="n">
        <v>6098</v>
      </c>
      <c r="DA413" t="n">
        <v>3167</v>
      </c>
      <c r="DB413" t="n">
        <v>7082</v>
      </c>
      <c r="DC413" t="n">
        <v>11499</v>
      </c>
      <c r="DD413" t="n">
        <v>1450</v>
      </c>
      <c r="DE413" t="n">
        <v>2813</v>
      </c>
      <c r="DF413" t="n">
        <v>1053</v>
      </c>
      <c r="DG413" t="n">
        <v>9436</v>
      </c>
      <c r="DH413" t="n">
        <v>4301</v>
      </c>
      <c r="DI413" t="n">
        <v>12892</v>
      </c>
      <c r="DJ413" t="n">
        <v>3722</v>
      </c>
      <c r="DK413" t="n">
        <v>5706</v>
      </c>
      <c r="DL413" t="n">
        <v>5137</v>
      </c>
      <c r="DM413" t="n">
        <v>20825</v>
      </c>
      <c r="DN413" t="n">
        <v>3749</v>
      </c>
      <c r="DO413" t="n">
        <v>48484</v>
      </c>
      <c r="DP413" t="n">
        <v>13876</v>
      </c>
      <c r="DQ413" t="n">
        <v>21051</v>
      </c>
      <c r="DR413" t="n">
        <v>21391</v>
      </c>
      <c r="DS413" t="n">
        <v>39415</v>
      </c>
      <c r="DT413" t="n">
        <v>2371</v>
      </c>
      <c r="DU413" t="n">
        <v>8675</v>
      </c>
      <c r="DV413" t="n">
        <v>3196</v>
      </c>
      <c r="DW413" t="n">
        <v>8139</v>
      </c>
      <c r="DX413" t="n">
        <v>11160</v>
      </c>
      <c r="DY413" t="n">
        <v>6362</v>
      </c>
      <c r="DZ413" t="n">
        <v>8807</v>
      </c>
      <c r="EA413" t="n">
        <v>2021</v>
      </c>
      <c r="EB413" t="n">
        <v>1386</v>
      </c>
      <c r="EC413" t="n">
        <v>864</v>
      </c>
      <c r="ED413" t="n">
        <v>5634</v>
      </c>
      <c r="EE413" t="n">
        <v>1923</v>
      </c>
      <c r="EF413" t="n">
        <v>9217</v>
      </c>
      <c r="EG413" t="n">
        <v>2937</v>
      </c>
      <c r="EH413" t="n">
        <v>3947</v>
      </c>
      <c r="EI413" t="n">
        <v>5449</v>
      </c>
      <c r="EJ413" t="n">
        <v>5146</v>
      </c>
      <c r="EK413" t="n">
        <v>2649</v>
      </c>
      <c r="EL413" t="n">
        <v>1789</v>
      </c>
      <c r="EM413" t="n">
        <v>3908</v>
      </c>
      <c r="EN413" t="n">
        <v>7844</v>
      </c>
      <c r="EO413" t="n">
        <v>1876</v>
      </c>
      <c r="EP413" t="n">
        <v>4598</v>
      </c>
      <c r="EQ413" t="n">
        <v>11949</v>
      </c>
      <c r="ER413" t="n">
        <v>55732</v>
      </c>
      <c r="ES413" t="n">
        <v>5592</v>
      </c>
      <c r="ET413" t="n">
        <v>4119</v>
      </c>
      <c r="EU413" t="n">
        <v>2878</v>
      </c>
      <c r="EV413" t="n">
        <v>1368</v>
      </c>
      <c r="EW413" t="n">
        <v>6064</v>
      </c>
      <c r="EX413" t="n">
        <v>8805</v>
      </c>
      <c r="EY413" t="n">
        <v>6344</v>
      </c>
      <c r="EZ413" t="n">
        <v>12493</v>
      </c>
      <c r="FA413" t="n">
        <v>8104</v>
      </c>
      <c r="FB413" t="n">
        <v>11179</v>
      </c>
      <c r="FC413" t="n">
        <v>17918</v>
      </c>
      <c r="FD413" t="n">
        <v>6366</v>
      </c>
      <c r="FE413" t="n">
        <v>74423</v>
      </c>
      <c r="FF413" t="n">
        <v>18364</v>
      </c>
      <c r="FG413" t="n">
        <v>17515</v>
      </c>
      <c r="FH413" t="n">
        <v>10078</v>
      </c>
      <c r="FI413" t="n">
        <v>2481</v>
      </c>
      <c r="FJ413" t="n">
        <v>3135</v>
      </c>
      <c r="FK413" t="n">
        <v>12224</v>
      </c>
      <c r="FL413" t="n">
        <v>2732</v>
      </c>
      <c r="FM413" t="n">
        <v>3710</v>
      </c>
      <c r="FN413" t="n">
        <v>3391</v>
      </c>
      <c r="FO413" t="n">
        <v>2758</v>
      </c>
      <c r="FP413" t="n">
        <v>6730</v>
      </c>
      <c r="FQ413" t="n">
        <v>4206</v>
      </c>
      <c r="FR413" t="n">
        <v>1610</v>
      </c>
      <c r="FS413" t="n">
        <v>1919</v>
      </c>
      <c r="FT413" t="n">
        <v>975</v>
      </c>
      <c r="FU413" t="n">
        <v>3021</v>
      </c>
      <c r="FV413" t="n">
        <v>7109</v>
      </c>
      <c r="FW413" t="n">
        <v>3285</v>
      </c>
      <c r="FX413" t="n">
        <v>27463</v>
      </c>
      <c r="FY413" t="n">
        <v>20542</v>
      </c>
      <c r="FZ413" t="n">
        <v>2493</v>
      </c>
      <c r="GA413" t="n">
        <v>4002</v>
      </c>
      <c r="GB413" t="n">
        <v>3119</v>
      </c>
      <c r="GC413" t="n">
        <v>2918</v>
      </c>
      <c r="GD413" t="n">
        <v>4783</v>
      </c>
      <c r="GE413" t="n">
        <v>1303</v>
      </c>
      <c r="GF413" t="n">
        <v>958</v>
      </c>
      <c r="GG413" t="n">
        <v>5937</v>
      </c>
      <c r="GH413" t="n">
        <v>12862</v>
      </c>
      <c r="GI413" t="n">
        <v>6290</v>
      </c>
      <c r="GJ413" t="n">
        <v>4602</v>
      </c>
      <c r="GK413" t="n">
        <v>3468</v>
      </c>
      <c r="GL413" t="n">
        <v>2234</v>
      </c>
      <c r="GM413" t="n">
        <v>1407</v>
      </c>
      <c r="GN413" t="n">
        <v>3357</v>
      </c>
      <c r="GO413" t="n">
        <v>2992</v>
      </c>
      <c r="GP413" t="n">
        <v>9781</v>
      </c>
      <c r="GQ413" t="n">
        <v>9284</v>
      </c>
      <c r="GR413" t="n">
        <v>8003</v>
      </c>
      <c r="GS413" t="n">
        <v>8001</v>
      </c>
      <c r="GT413" t="n">
        <v>7247</v>
      </c>
      <c r="GU413" t="n">
        <v>8474</v>
      </c>
      <c r="GV413" t="n">
        <v>1975</v>
      </c>
      <c r="GW413" t="n">
        <v>17776</v>
      </c>
      <c r="GX413" t="n">
        <v>24729</v>
      </c>
      <c r="GY413" t="n">
        <v>3052</v>
      </c>
      <c r="GZ413" t="n">
        <v>14935</v>
      </c>
      <c r="HA413" t="n">
        <v>8414</v>
      </c>
      <c r="HB413" t="n">
        <v>12871</v>
      </c>
      <c r="HC413" t="n">
        <v>3345</v>
      </c>
      <c r="HD413" t="n">
        <v>5883</v>
      </c>
      <c r="HE413" t="n">
        <v>6753</v>
      </c>
      <c r="HF413" t="n">
        <v>7026</v>
      </c>
      <c r="HG413" t="n">
        <v>13294</v>
      </c>
      <c r="HH413" t="n">
        <v>12032</v>
      </c>
      <c r="HI413" t="n">
        <v>8392</v>
      </c>
      <c r="HJ413" t="n">
        <v>4751</v>
      </c>
      <c r="HK413" t="n">
        <v>31636</v>
      </c>
      <c r="HL413" t="n">
        <v>1631</v>
      </c>
      <c r="HM413" t="n">
        <v>4391</v>
      </c>
      <c r="HN413" t="n">
        <v>2211</v>
      </c>
      <c r="HO413" t="n">
        <v>3566</v>
      </c>
      <c r="HP413" t="n">
        <v>1281</v>
      </c>
      <c r="HQ413" t="n">
        <v>4216</v>
      </c>
      <c r="HR413" t="n">
        <v>7199</v>
      </c>
      <c r="HS413" t="n">
        <v>2235</v>
      </c>
      <c r="HT413" t="n">
        <v>1996</v>
      </c>
      <c r="HU413" t="n">
        <v>12703</v>
      </c>
      <c r="HV413" t="n">
        <v>10812</v>
      </c>
      <c r="HW413" t="n">
        <v>16577</v>
      </c>
      <c r="HX413" t="n">
        <v>6859</v>
      </c>
      <c r="HY413" t="n">
        <v>1340</v>
      </c>
      <c r="HZ413" t="n">
        <v>3798</v>
      </c>
      <c r="IA413" t="n">
        <v>1692</v>
      </c>
      <c r="IB413" t="n">
        <v>38696</v>
      </c>
      <c r="IC413" t="n">
        <v>1856</v>
      </c>
      <c r="ID413" t="n">
        <v>96823</v>
      </c>
      <c r="IE413" t="n">
        <v>2898</v>
      </c>
      <c r="IF413" t="n">
        <v>3940</v>
      </c>
      <c r="IG413" t="n">
        <v>6517</v>
      </c>
      <c r="IH413" t="n">
        <v>22717</v>
      </c>
      <c r="II413" t="n">
        <v>3518</v>
      </c>
      <c r="IJ413" t="n">
        <v>2539</v>
      </c>
      <c r="IK413" t="n">
        <v>14372</v>
      </c>
      <c r="IL413" t="n">
        <v>30849</v>
      </c>
      <c r="IM413" t="n">
        <v>22522</v>
      </c>
      <c r="IN413" t="n">
        <v>5130</v>
      </c>
      <c r="IO413" t="n">
        <v>7423</v>
      </c>
      <c r="IP413" t="n">
        <v>110326</v>
      </c>
      <c r="IQ413" t="n">
        <v>9439</v>
      </c>
      <c r="IR413" t="n">
        <v>21821</v>
      </c>
      <c r="IS413" t="n">
        <v>7455</v>
      </c>
      <c r="IT413" t="n">
        <v>5853</v>
      </c>
      <c r="IU413" t="n">
        <v>10540</v>
      </c>
      <c r="IV413" t="n">
        <v>6104</v>
      </c>
      <c r="IW413" t="n">
        <v>19987</v>
      </c>
      <c r="IX413" t="n">
        <v>22858</v>
      </c>
      <c r="IY413" t="n">
        <v>1337</v>
      </c>
      <c r="IZ413" t="n">
        <v>15190</v>
      </c>
      <c r="JA413" t="n">
        <v>11476</v>
      </c>
      <c r="JB413" t="n">
        <v>6599</v>
      </c>
      <c r="JC413" t="n">
        <v>1853</v>
      </c>
      <c r="JD413" t="n">
        <v>2713</v>
      </c>
      <c r="JE413" t="n">
        <v>3300</v>
      </c>
      <c r="JF413" t="n">
        <v>3329</v>
      </c>
      <c r="JG413" t="n">
        <v>32539</v>
      </c>
      <c r="JH413" t="n">
        <v>6716</v>
      </c>
      <c r="JI413" t="n">
        <v>2105</v>
      </c>
      <c r="JJ413" t="n">
        <v>6157</v>
      </c>
      <c r="JK413" t="n">
        <v>62796</v>
      </c>
      <c r="JL413" t="n">
        <v>116492</v>
      </c>
      <c r="JM413" t="n">
        <v>110034</v>
      </c>
      <c r="JN413" t="n">
        <v>97618</v>
      </c>
      <c r="JO413" t="n">
        <v>137022</v>
      </c>
      <c r="JP413" t="n">
        <v>104428</v>
      </c>
      <c r="JQ413" t="n">
        <v>93160</v>
      </c>
      <c r="JR413" t="n">
        <v>35411</v>
      </c>
      <c r="JS413" t="n">
        <v>177109</v>
      </c>
      <c r="JT413" t="n">
        <v>31367</v>
      </c>
      <c r="JU413" t="n">
        <v>0</v>
      </c>
      <c r="JV413" t="n">
        <v>189835</v>
      </c>
      <c r="JW413" t="n">
        <v>139814</v>
      </c>
      <c r="JX413" t="n">
        <v>114125</v>
      </c>
      <c r="JY413" t="n">
        <v>82604</v>
      </c>
      <c r="JZ413" t="n">
        <v>65272</v>
      </c>
      <c r="KA413" t="n">
        <v>47988</v>
      </c>
      <c r="KB413" t="n">
        <v>53047</v>
      </c>
      <c r="KC413" t="n">
        <v>162877</v>
      </c>
      <c r="KD413" t="n">
        <v>113065</v>
      </c>
      <c r="KE413" t="n">
        <v>106983</v>
      </c>
      <c r="KF413" t="n">
        <v>45810</v>
      </c>
      <c r="KG413" t="n">
        <v>13780</v>
      </c>
      <c r="KH413" t="n">
        <v>177432</v>
      </c>
      <c r="KI413" t="n">
        <v>42391</v>
      </c>
      <c r="KJ413" t="n">
        <v>40928</v>
      </c>
      <c r="KK413" t="n">
        <v>68311</v>
      </c>
      <c r="KL413" t="n">
        <v>56400</v>
      </c>
      <c r="KM413" t="n">
        <v>60983</v>
      </c>
      <c r="KN413" t="n">
        <v>17862</v>
      </c>
      <c r="KO413" t="n">
        <v>17029</v>
      </c>
      <c r="KP413" t="n">
        <v>18067</v>
      </c>
      <c r="KQ413" t="n">
        <v>6373</v>
      </c>
      <c r="KR413" t="n">
        <v>175519</v>
      </c>
      <c r="KS413" t="n">
        <v>81328</v>
      </c>
      <c r="KT413" t="n">
        <v>13639</v>
      </c>
      <c r="KU413" t="n">
        <v>40796</v>
      </c>
      <c r="KV413" t="n">
        <v>60835</v>
      </c>
      <c r="KW413" t="n">
        <v>172534</v>
      </c>
      <c r="KX413" t="n">
        <v>129917</v>
      </c>
      <c r="KY413" t="n">
        <v>20703</v>
      </c>
      <c r="KZ413" t="n">
        <v>95395</v>
      </c>
      <c r="LA413" t="n">
        <v>109329</v>
      </c>
      <c r="LB413" t="n">
        <v>7910</v>
      </c>
      <c r="LC413" t="n">
        <v>208650</v>
      </c>
      <c r="LD413" t="n">
        <v>438187</v>
      </c>
      <c r="LE413" t="n">
        <v>176955</v>
      </c>
      <c r="LF413" t="n">
        <v>105192</v>
      </c>
      <c r="LG413" t="n">
        <v>51392</v>
      </c>
      <c r="LH413" t="n">
        <v>294069</v>
      </c>
      <c r="LI413" t="n">
        <v>199554</v>
      </c>
      <c r="LJ413" t="n">
        <v>6796</v>
      </c>
      <c r="LK413" t="n">
        <v>1343122</v>
      </c>
      <c r="LL413" t="n">
        <v>470939</v>
      </c>
      <c r="LM413" t="n">
        <v>517552</v>
      </c>
      <c r="LN413" t="n">
        <v>33503</v>
      </c>
      <c r="LO413" t="n">
        <v>48538</v>
      </c>
      <c r="LP413" t="n">
        <v>15647</v>
      </c>
      <c r="LQ413" t="n">
        <v>102319</v>
      </c>
      <c r="LR413" t="n">
        <v>251036</v>
      </c>
      <c r="LS413" t="n">
        <v>114436</v>
      </c>
      <c r="LT413" t="n">
        <v>175730</v>
      </c>
      <c r="LU413" t="n">
        <v>31495</v>
      </c>
      <c r="LV413" t="n">
        <v>124732</v>
      </c>
      <c r="LW413" t="n">
        <v>208525</v>
      </c>
      <c r="LX413" t="n">
        <v>171994</v>
      </c>
      <c r="LY413" t="n">
        <v>31312</v>
      </c>
      <c r="LZ413" t="n">
        <v>120857</v>
      </c>
      <c r="MA413" t="n">
        <v>88436</v>
      </c>
      <c r="MB413" t="n">
        <v>24087</v>
      </c>
      <c r="MC413" t="n">
        <v>7301</v>
      </c>
      <c r="MD413" t="n">
        <v>29581</v>
      </c>
      <c r="ME413" t="n">
        <v>55620</v>
      </c>
      <c r="MF413" t="n">
        <v>368625</v>
      </c>
      <c r="MG413" t="n">
        <v>248410</v>
      </c>
      <c r="MH413" t="n">
        <v>99841</v>
      </c>
      <c r="MI413" t="n">
        <v>41275</v>
      </c>
      <c r="MJ413" t="n">
        <v>13244</v>
      </c>
      <c r="MK413" t="n">
        <v>42138</v>
      </c>
      <c r="ML413" t="n">
        <v>25800</v>
      </c>
      <c r="MM413" t="n">
        <v>42882</v>
      </c>
      <c r="MN413" t="n">
        <v>29818</v>
      </c>
      <c r="MO413" t="n">
        <v>51408</v>
      </c>
      <c r="MP413" t="n">
        <v>37035</v>
      </c>
      <c r="MQ413" t="n">
        <v>168584</v>
      </c>
      <c r="MR413" t="n">
        <v>39092</v>
      </c>
      <c r="MS413" t="n">
        <v>307608</v>
      </c>
      <c r="MT413" t="n">
        <v>99222</v>
      </c>
      <c r="MU413" t="n">
        <v>77662</v>
      </c>
      <c r="MV413" t="n">
        <v>100737</v>
      </c>
      <c r="MW413" t="n">
        <v>39559</v>
      </c>
      <c r="MX413" t="n">
        <v>65163</v>
      </c>
      <c r="MY413" t="n">
        <v>18234</v>
      </c>
      <c r="MZ413" t="n">
        <v>483915</v>
      </c>
      <c r="NA413" t="n">
        <v>108223</v>
      </c>
      <c r="NB413" t="n">
        <v>36181</v>
      </c>
      <c r="NC413" t="n">
        <v>75706</v>
      </c>
      <c r="ND413" t="n">
        <v>28514</v>
      </c>
      <c r="NE413" t="n">
        <v>22982</v>
      </c>
      <c r="NF413" t="n">
        <v>15631</v>
      </c>
      <c r="NG413" t="n">
        <v>35737</v>
      </c>
      <c r="NH413" t="n">
        <v>31515</v>
      </c>
      <c r="NI413" t="n">
        <v>26049</v>
      </c>
      <c r="NJ413" t="n">
        <v>11820</v>
      </c>
      <c r="NK413" t="n">
        <v>13209</v>
      </c>
      <c r="NL413" t="n">
        <v>19253</v>
      </c>
      <c r="NM413" t="n">
        <v>44608</v>
      </c>
      <c r="NN413" t="n">
        <v>151590</v>
      </c>
      <c r="NO413" t="n">
        <v>194591</v>
      </c>
      <c r="NP413" t="n">
        <v>132474</v>
      </c>
      <c r="NQ413" t="n">
        <v>61643</v>
      </c>
      <c r="NR413" t="n">
        <v>70849</v>
      </c>
      <c r="NS413" t="n">
        <v>13179</v>
      </c>
      <c r="NT413" t="n">
        <v>24267</v>
      </c>
      <c r="NU413" t="n">
        <v>12407</v>
      </c>
      <c r="NV413" t="n">
        <v>43418</v>
      </c>
      <c r="NW413" t="n">
        <v>13652</v>
      </c>
      <c r="NX413" t="n">
        <v>18288</v>
      </c>
      <c r="NY413" t="n">
        <v>34869</v>
      </c>
      <c r="NZ413" t="n">
        <v>69252</v>
      </c>
      <c r="OA413" t="n">
        <v>39204</v>
      </c>
      <c r="OB413" t="n">
        <v>61699</v>
      </c>
      <c r="OC413" t="n">
        <v>18684</v>
      </c>
      <c r="OD413" t="n">
        <v>405619</v>
      </c>
      <c r="OE413" t="n">
        <v>296526</v>
      </c>
      <c r="OF413" t="n">
        <v>57030</v>
      </c>
      <c r="OG413" t="n">
        <v>6563</v>
      </c>
      <c r="OH413" t="n">
        <v>7053</v>
      </c>
      <c r="OI413" t="n">
        <v>808185</v>
      </c>
      <c r="OJ413" t="n">
        <v>157195</v>
      </c>
      <c r="OK413" t="n">
        <v>579493</v>
      </c>
      <c r="OL413" t="n">
        <v>-10069</v>
      </c>
      <c r="OM413" t="n">
        <v>29491</v>
      </c>
      <c r="ON413" t="n">
        <v>144037</v>
      </c>
      <c r="OO413" t="n">
        <v>18916538</v>
      </c>
    </row>
    <row r="414">
      <c r="A414" t="inlineStr">
        <is>
          <t>T018</t>
        </is>
      </c>
      <c r="B414" t="inlineStr">
        <is>
          <t>Total industry output (basic value)</t>
        </is>
      </c>
      <c r="C414" t="n">
        <v>38216</v>
      </c>
      <c r="D414" t="n">
        <v>67413</v>
      </c>
      <c r="E414" t="n">
        <v>18806</v>
      </c>
      <c r="F414" t="n">
        <v>29958</v>
      </c>
      <c r="G414" t="n">
        <v>19868</v>
      </c>
      <c r="H414" t="n">
        <v>27160</v>
      </c>
      <c r="I414" t="n">
        <v>38538</v>
      </c>
      <c r="J414" t="n">
        <v>88052</v>
      </c>
      <c r="K414" t="n">
        <v>44568</v>
      </c>
      <c r="L414" t="n">
        <v>33065</v>
      </c>
      <c r="M414" t="n">
        <v>18766</v>
      </c>
      <c r="N414" t="n">
        <v>8480</v>
      </c>
      <c r="O414" t="n">
        <v>25650</v>
      </c>
      <c r="P414" t="n">
        <v>245652</v>
      </c>
      <c r="Q414" t="n">
        <v>35823</v>
      </c>
      <c r="R414" t="n">
        <v>13355</v>
      </c>
      <c r="S414" t="n">
        <v>15624</v>
      </c>
      <c r="T414" t="n">
        <v>16462</v>
      </c>
      <c r="U414" t="n">
        <v>18208</v>
      </c>
      <c r="V414" t="n">
        <v>26962</v>
      </c>
      <c r="W414" t="n">
        <v>79752</v>
      </c>
      <c r="X414" t="n">
        <v>365849</v>
      </c>
      <c r="Y414" t="n">
        <v>64126</v>
      </c>
      <c r="Z414" t="n">
        <v>14813</v>
      </c>
      <c r="AA414" t="n">
        <v>45025</v>
      </c>
      <c r="AB414" t="n">
        <v>94786</v>
      </c>
      <c r="AC414" t="n">
        <v>200524</v>
      </c>
      <c r="AD414" t="n">
        <v>80273</v>
      </c>
      <c r="AE414" t="n">
        <v>160242</v>
      </c>
      <c r="AF414" t="n">
        <v>75093</v>
      </c>
      <c r="AG414" t="n">
        <v>250167</v>
      </c>
      <c r="AH414" t="n">
        <v>63523</v>
      </c>
      <c r="AI414" t="n">
        <v>114163</v>
      </c>
      <c r="AJ414" t="n">
        <v>102085</v>
      </c>
      <c r="AK414" t="n">
        <v>254640</v>
      </c>
      <c r="AL414" t="n">
        <v>135588</v>
      </c>
      <c r="AM414" t="n">
        <v>32968</v>
      </c>
      <c r="AN414" t="n">
        <v>24547</v>
      </c>
      <c r="AO414" t="n">
        <v>25614</v>
      </c>
      <c r="AP414" t="n">
        <v>25206</v>
      </c>
      <c r="AQ414" t="n">
        <v>8137</v>
      </c>
      <c r="AR414" t="n">
        <v>26370</v>
      </c>
      <c r="AS414" t="n">
        <v>8355</v>
      </c>
      <c r="AT414" t="n">
        <v>31668</v>
      </c>
      <c r="AU414" t="n">
        <v>6424</v>
      </c>
      <c r="AV414" t="n">
        <v>12537</v>
      </c>
      <c r="AW414" t="n">
        <v>8110</v>
      </c>
      <c r="AX414" t="n">
        <v>4835</v>
      </c>
      <c r="AY414" t="n">
        <v>5026</v>
      </c>
      <c r="AZ414" t="n">
        <v>4361</v>
      </c>
      <c r="BA414" t="n">
        <v>6293</v>
      </c>
      <c r="BB414" t="n">
        <v>5067</v>
      </c>
      <c r="BC414" t="n">
        <v>88108</v>
      </c>
      <c r="BD414" t="n">
        <v>22941</v>
      </c>
      <c r="BE414" t="n">
        <v>5889</v>
      </c>
      <c r="BF414" t="n">
        <v>2796</v>
      </c>
      <c r="BG414" t="n">
        <v>26934</v>
      </c>
      <c r="BH414" t="n">
        <v>10252</v>
      </c>
      <c r="BI414" t="n">
        <v>21923</v>
      </c>
      <c r="BJ414" t="n">
        <v>14050</v>
      </c>
      <c r="BK414" t="n">
        <v>17089</v>
      </c>
      <c r="BL414" t="n">
        <v>12768</v>
      </c>
      <c r="BM414" t="n">
        <v>6790</v>
      </c>
      <c r="BN414" t="n">
        <v>12960</v>
      </c>
      <c r="BO414" t="n">
        <v>11231</v>
      </c>
      <c r="BP414" t="n">
        <v>9451</v>
      </c>
      <c r="BQ414" t="n">
        <v>46725</v>
      </c>
      <c r="BR414" t="n">
        <v>43479</v>
      </c>
      <c r="BS414" t="n">
        <v>7144</v>
      </c>
      <c r="BT414" t="n">
        <v>8392</v>
      </c>
      <c r="BU414" t="n">
        <v>17955</v>
      </c>
      <c r="BV414" t="n">
        <v>8650</v>
      </c>
      <c r="BW414" t="n">
        <v>9202</v>
      </c>
      <c r="BX414" t="n">
        <v>37941</v>
      </c>
      <c r="BY414" t="n">
        <v>29569</v>
      </c>
      <c r="BZ414" t="n">
        <v>25930</v>
      </c>
      <c r="CA414" t="n">
        <v>4851</v>
      </c>
      <c r="CB414" t="n">
        <v>26070</v>
      </c>
      <c r="CC414" t="n">
        <v>6198</v>
      </c>
      <c r="CD414" t="n">
        <v>6195</v>
      </c>
      <c r="CE414" t="n">
        <v>13043</v>
      </c>
      <c r="CF414" t="n">
        <v>13875</v>
      </c>
      <c r="CG414" t="n">
        <v>25067</v>
      </c>
      <c r="CH414" t="n">
        <v>7948</v>
      </c>
      <c r="CI414" t="n">
        <v>32486</v>
      </c>
      <c r="CJ414" t="n">
        <v>17586</v>
      </c>
      <c r="CK414" t="n">
        <v>8827</v>
      </c>
      <c r="CL414" t="n">
        <v>31444</v>
      </c>
      <c r="CM414" t="n">
        <v>4912</v>
      </c>
      <c r="CN414" t="n">
        <v>1645</v>
      </c>
      <c r="CO414" t="n">
        <v>19850</v>
      </c>
      <c r="CP414" t="n">
        <v>4453</v>
      </c>
      <c r="CQ414" t="n">
        <v>33255</v>
      </c>
      <c r="CR414" t="n">
        <v>6028</v>
      </c>
      <c r="CS414" t="n">
        <v>6595</v>
      </c>
      <c r="CT414" t="n">
        <v>9465</v>
      </c>
      <c r="CU414" t="n">
        <v>7891</v>
      </c>
      <c r="CV414" t="n">
        <v>8983</v>
      </c>
      <c r="CW414" t="n">
        <v>12997</v>
      </c>
      <c r="CX414" t="n">
        <v>3175</v>
      </c>
      <c r="CY414" t="n">
        <v>4976</v>
      </c>
      <c r="CZ414" t="n">
        <v>25654</v>
      </c>
      <c r="DA414" t="n">
        <v>9160</v>
      </c>
      <c r="DB414" t="n">
        <v>17513</v>
      </c>
      <c r="DC414" t="n">
        <v>30348</v>
      </c>
      <c r="DD414" t="n">
        <v>3355</v>
      </c>
      <c r="DE414" t="n">
        <v>7006</v>
      </c>
      <c r="DF414" t="n">
        <v>2653</v>
      </c>
      <c r="DG414" t="n">
        <v>23115</v>
      </c>
      <c r="DH414" t="n">
        <v>11651</v>
      </c>
      <c r="DI414" t="n">
        <v>19035</v>
      </c>
      <c r="DJ414" t="n">
        <v>5298</v>
      </c>
      <c r="DK414" t="n">
        <v>8751</v>
      </c>
      <c r="DL414" t="n">
        <v>7908</v>
      </c>
      <c r="DM414" t="n">
        <v>29741</v>
      </c>
      <c r="DN414" t="n">
        <v>5448</v>
      </c>
      <c r="DO414" t="n">
        <v>64183</v>
      </c>
      <c r="DP414" t="n">
        <v>20012</v>
      </c>
      <c r="DQ414" t="n">
        <v>30058</v>
      </c>
      <c r="DR414" t="n">
        <v>33425</v>
      </c>
      <c r="DS414" t="n">
        <v>53861</v>
      </c>
      <c r="DT414" t="n">
        <v>3195</v>
      </c>
      <c r="DU414" t="n">
        <v>11471</v>
      </c>
      <c r="DV414" t="n">
        <v>5904</v>
      </c>
      <c r="DW414" t="n">
        <v>12042</v>
      </c>
      <c r="DX414" t="n">
        <v>15890</v>
      </c>
      <c r="DY414" t="n">
        <v>9526</v>
      </c>
      <c r="DZ414" t="n">
        <v>13200</v>
      </c>
      <c r="EA414" t="n">
        <v>3111</v>
      </c>
      <c r="EB414" t="n">
        <v>1867</v>
      </c>
      <c r="EC414" t="n">
        <v>1500</v>
      </c>
      <c r="ED414" t="n">
        <v>11951</v>
      </c>
      <c r="EE414" t="n">
        <v>3595</v>
      </c>
      <c r="EF414" t="n">
        <v>19044</v>
      </c>
      <c r="EG414" t="n">
        <v>5345</v>
      </c>
      <c r="EH414" t="n">
        <v>10290</v>
      </c>
      <c r="EI414" t="n">
        <v>12093</v>
      </c>
      <c r="EJ414" t="n">
        <v>10666</v>
      </c>
      <c r="EK414" t="n">
        <v>7502</v>
      </c>
      <c r="EL414" t="n">
        <v>2423</v>
      </c>
      <c r="EM414" t="n">
        <v>11411</v>
      </c>
      <c r="EN414" t="n">
        <v>14313</v>
      </c>
      <c r="EO414" t="n">
        <v>3439</v>
      </c>
      <c r="EP414" t="n">
        <v>10835</v>
      </c>
      <c r="EQ414" t="n">
        <v>40000</v>
      </c>
      <c r="ER414" t="n">
        <v>212846</v>
      </c>
      <c r="ES414" t="n">
        <v>26192</v>
      </c>
      <c r="ET414" t="n">
        <v>14892</v>
      </c>
      <c r="EU414" t="n">
        <v>11042</v>
      </c>
      <c r="EV414" t="n">
        <v>5565</v>
      </c>
      <c r="EW414" t="n">
        <v>17704</v>
      </c>
      <c r="EX414" t="n">
        <v>39889</v>
      </c>
      <c r="EY414" t="n">
        <v>24026</v>
      </c>
      <c r="EZ414" t="n">
        <v>41967</v>
      </c>
      <c r="FA414" t="n">
        <v>31795</v>
      </c>
      <c r="FB414" t="n">
        <v>37909</v>
      </c>
      <c r="FC414" t="n">
        <v>65677</v>
      </c>
      <c r="FD414" t="n">
        <v>27452</v>
      </c>
      <c r="FE414" t="n">
        <v>149569</v>
      </c>
      <c r="FF414" t="n">
        <v>46666</v>
      </c>
      <c r="FG414" t="n">
        <v>37139</v>
      </c>
      <c r="FH414" t="n">
        <v>19803</v>
      </c>
      <c r="FI414" t="n">
        <v>9506</v>
      </c>
      <c r="FJ414" t="n">
        <v>12800</v>
      </c>
      <c r="FK414" t="n">
        <v>25522</v>
      </c>
      <c r="FL414" t="n">
        <v>10467</v>
      </c>
      <c r="FM414" t="n">
        <v>7579</v>
      </c>
      <c r="FN414" t="n">
        <v>7647</v>
      </c>
      <c r="FO414" t="n">
        <v>8768</v>
      </c>
      <c r="FP414" t="n">
        <v>15060</v>
      </c>
      <c r="FQ414" t="n">
        <v>12304</v>
      </c>
      <c r="FR414" t="n">
        <v>4086</v>
      </c>
      <c r="FS414" t="n">
        <v>4910</v>
      </c>
      <c r="FT414" t="n">
        <v>3377</v>
      </c>
      <c r="FU414" t="n">
        <v>7293</v>
      </c>
      <c r="FV414" t="n">
        <v>19020</v>
      </c>
      <c r="FW414" t="n">
        <v>10189</v>
      </c>
      <c r="FX414" t="n">
        <v>42948</v>
      </c>
      <c r="FY414" t="n">
        <v>35082</v>
      </c>
      <c r="FZ414" t="n">
        <v>4760</v>
      </c>
      <c r="GA414" t="n">
        <v>6467</v>
      </c>
      <c r="GB414" t="n">
        <v>5671</v>
      </c>
      <c r="GC414" t="n">
        <v>7951</v>
      </c>
      <c r="GD414" t="n">
        <v>10286</v>
      </c>
      <c r="GE414" t="n">
        <v>2016</v>
      </c>
      <c r="GF414" t="n">
        <v>2851</v>
      </c>
      <c r="GG414" t="n">
        <v>13727</v>
      </c>
      <c r="GH414" t="n">
        <v>26862</v>
      </c>
      <c r="GI414" t="n">
        <v>23248</v>
      </c>
      <c r="GJ414" t="n">
        <v>31524</v>
      </c>
      <c r="GK414" t="n">
        <v>16381</v>
      </c>
      <c r="GL414" t="n">
        <v>9737</v>
      </c>
      <c r="GM414" t="n">
        <v>9471</v>
      </c>
      <c r="GN414" t="n">
        <v>32660</v>
      </c>
      <c r="GO414" t="n">
        <v>10140</v>
      </c>
      <c r="GP414" t="n">
        <v>37006</v>
      </c>
      <c r="GQ414" t="n">
        <v>32474</v>
      </c>
      <c r="GR414" t="n">
        <v>33515</v>
      </c>
      <c r="GS414" t="n">
        <v>47785</v>
      </c>
      <c r="GT414" t="n">
        <v>23871</v>
      </c>
      <c r="GU414" t="n">
        <v>43719</v>
      </c>
      <c r="GV414" t="n">
        <v>7772</v>
      </c>
      <c r="GW414" t="n">
        <v>67560</v>
      </c>
      <c r="GX414" t="n">
        <v>148627</v>
      </c>
      <c r="GY414" t="n">
        <v>13818</v>
      </c>
      <c r="GZ414" t="n">
        <v>43112</v>
      </c>
      <c r="HA414" t="n">
        <v>26376</v>
      </c>
      <c r="HB414" t="n">
        <v>38776</v>
      </c>
      <c r="HC414" t="n">
        <v>13770</v>
      </c>
      <c r="HD414" t="n">
        <v>11788</v>
      </c>
      <c r="HE414" t="n">
        <v>21727</v>
      </c>
      <c r="HF414" t="n">
        <v>29809</v>
      </c>
      <c r="HG414" t="n">
        <v>44863</v>
      </c>
      <c r="HH414" t="n">
        <v>29556</v>
      </c>
      <c r="HI414" t="n">
        <v>21184</v>
      </c>
      <c r="HJ414" t="n">
        <v>12167</v>
      </c>
      <c r="HK414" t="n">
        <v>47425</v>
      </c>
      <c r="HL414" t="n">
        <v>7085</v>
      </c>
      <c r="HM414" t="n">
        <v>13273</v>
      </c>
      <c r="HN414" t="n">
        <v>7035</v>
      </c>
      <c r="HO414" t="n">
        <v>9751</v>
      </c>
      <c r="HP414" t="n">
        <v>3506</v>
      </c>
      <c r="HQ414" t="n">
        <v>9064</v>
      </c>
      <c r="HR414" t="n">
        <v>10867</v>
      </c>
      <c r="HS414" t="n">
        <v>4829</v>
      </c>
      <c r="HT414" t="n">
        <v>6825</v>
      </c>
      <c r="HU414" t="n">
        <v>37741</v>
      </c>
      <c r="HV414" t="n">
        <v>32834</v>
      </c>
      <c r="HW414" t="n">
        <v>64649</v>
      </c>
      <c r="HX414" t="n">
        <v>21459</v>
      </c>
      <c r="HY414" t="n">
        <v>5687</v>
      </c>
      <c r="HZ414" t="n">
        <v>11382</v>
      </c>
      <c r="IA414" t="n">
        <v>4603</v>
      </c>
      <c r="IB414" t="n">
        <v>80677</v>
      </c>
      <c r="IC414" t="n">
        <v>3196</v>
      </c>
      <c r="ID414" t="n">
        <v>494281</v>
      </c>
      <c r="IE414" t="n">
        <v>13203</v>
      </c>
      <c r="IF414" t="n">
        <v>10833</v>
      </c>
      <c r="IG414" t="n">
        <v>20000</v>
      </c>
      <c r="IH414" t="n">
        <v>54183</v>
      </c>
      <c r="II414" t="n">
        <v>9594</v>
      </c>
      <c r="IJ414" t="n">
        <v>6970</v>
      </c>
      <c r="IK414" t="n">
        <v>31485</v>
      </c>
      <c r="IL414" t="n">
        <v>116273</v>
      </c>
      <c r="IM414" t="n">
        <v>88646</v>
      </c>
      <c r="IN414" t="n">
        <v>15134</v>
      </c>
      <c r="IO414" t="n">
        <v>15008</v>
      </c>
      <c r="IP414" t="n">
        <v>182277</v>
      </c>
      <c r="IQ414" t="n">
        <v>17621</v>
      </c>
      <c r="IR414" t="n">
        <v>35766</v>
      </c>
      <c r="IS414" t="n">
        <v>17141</v>
      </c>
      <c r="IT414" t="n">
        <v>14900</v>
      </c>
      <c r="IU414" t="n">
        <v>27818</v>
      </c>
      <c r="IV414" t="n">
        <v>15038</v>
      </c>
      <c r="IW414" t="n">
        <v>39545</v>
      </c>
      <c r="IX414" t="n">
        <v>43002</v>
      </c>
      <c r="IY414" t="n">
        <v>4276</v>
      </c>
      <c r="IZ414" t="n">
        <v>42866</v>
      </c>
      <c r="JA414" t="n">
        <v>39196</v>
      </c>
      <c r="JB414" t="n">
        <v>18797</v>
      </c>
      <c r="JC414" t="n">
        <v>4465</v>
      </c>
      <c r="JD414" t="n">
        <v>9865</v>
      </c>
      <c r="JE414" t="n">
        <v>10931</v>
      </c>
      <c r="JF414" t="n">
        <v>11131</v>
      </c>
      <c r="JG414" t="n">
        <v>99611</v>
      </c>
      <c r="JH414" t="n">
        <v>19736</v>
      </c>
      <c r="JI414" t="n">
        <v>5359</v>
      </c>
      <c r="JJ414" t="n">
        <v>18257</v>
      </c>
      <c r="JK414" t="n">
        <v>132717</v>
      </c>
      <c r="JL414" t="n">
        <v>201491</v>
      </c>
      <c r="JM414" t="n">
        <v>228747</v>
      </c>
      <c r="JN414" t="n">
        <v>173715</v>
      </c>
      <c r="JO414" t="n">
        <v>270531</v>
      </c>
      <c r="JP414" t="n">
        <v>211954</v>
      </c>
      <c r="JQ414" t="n">
        <v>173300</v>
      </c>
      <c r="JR414" t="n">
        <v>61861</v>
      </c>
      <c r="JS414" t="n">
        <v>336977</v>
      </c>
      <c r="JT414" t="n">
        <v>51875</v>
      </c>
      <c r="JU414" t="n">
        <v>0</v>
      </c>
      <c r="JV414" t="n">
        <v>309788</v>
      </c>
      <c r="JW414" t="n">
        <v>226985</v>
      </c>
      <c r="JX414" t="n">
        <v>195946</v>
      </c>
      <c r="JY414" t="n">
        <v>121484</v>
      </c>
      <c r="JZ414" t="n">
        <v>103096</v>
      </c>
      <c r="KA414" t="n">
        <v>93663</v>
      </c>
      <c r="KB414" t="n">
        <v>123876</v>
      </c>
      <c r="KC414" t="n">
        <v>276509</v>
      </c>
      <c r="KD414" t="n">
        <v>185299</v>
      </c>
      <c r="KE414" t="n">
        <v>214601</v>
      </c>
      <c r="KF414" t="n">
        <v>81045</v>
      </c>
      <c r="KG414" t="n">
        <v>54799</v>
      </c>
      <c r="KH414" t="n">
        <v>366619</v>
      </c>
      <c r="KI414" t="n">
        <v>77284</v>
      </c>
      <c r="KJ414" t="n">
        <v>47995</v>
      </c>
      <c r="KK414" t="n">
        <v>141492</v>
      </c>
      <c r="KL414" t="n">
        <v>96928</v>
      </c>
      <c r="KM414" t="n">
        <v>123701</v>
      </c>
      <c r="KN414" t="n">
        <v>26038</v>
      </c>
      <c r="KO414" t="n">
        <v>27642</v>
      </c>
      <c r="KP414" t="n">
        <v>38494</v>
      </c>
      <c r="KQ414" t="n">
        <v>10842</v>
      </c>
      <c r="KR414" t="n">
        <v>281109</v>
      </c>
      <c r="KS414" t="n">
        <v>129761</v>
      </c>
      <c r="KT414" t="n">
        <v>18217</v>
      </c>
      <c r="KU414" t="n">
        <v>92801</v>
      </c>
      <c r="KV414" t="n">
        <v>108040</v>
      </c>
      <c r="KW414" t="n">
        <v>330610</v>
      </c>
      <c r="KX414" t="n">
        <v>249104</v>
      </c>
      <c r="KY414" t="n">
        <v>44156</v>
      </c>
      <c r="KZ414" t="n">
        <v>175248</v>
      </c>
      <c r="LA414" t="n">
        <v>180015</v>
      </c>
      <c r="LB414" t="n">
        <v>8443</v>
      </c>
      <c r="LC414" t="n">
        <v>398838</v>
      </c>
      <c r="LD414" t="n">
        <v>657055</v>
      </c>
      <c r="LE414" t="n">
        <v>349050</v>
      </c>
      <c r="LF414" t="n">
        <v>198987</v>
      </c>
      <c r="LG414" t="n">
        <v>88447</v>
      </c>
      <c r="LH414" t="n">
        <v>567910</v>
      </c>
      <c r="LI414" t="n">
        <v>362909</v>
      </c>
      <c r="LJ414" t="n">
        <v>157323</v>
      </c>
      <c r="LK414" t="n">
        <v>1555683</v>
      </c>
      <c r="LL414" t="n">
        <v>496703</v>
      </c>
      <c r="LM414" t="n">
        <v>1265134</v>
      </c>
      <c r="LN414" t="n">
        <v>64106</v>
      </c>
      <c r="LO414" t="n">
        <v>87786</v>
      </c>
      <c r="LP414" t="n">
        <v>27375</v>
      </c>
      <c r="LQ414" t="n">
        <v>157204</v>
      </c>
      <c r="LR414" t="n">
        <v>339319</v>
      </c>
      <c r="LS414" t="n">
        <v>152686</v>
      </c>
      <c r="LT414" t="n">
        <v>269552</v>
      </c>
      <c r="LU414" t="n">
        <v>49081</v>
      </c>
      <c r="LV414" t="n">
        <v>171070</v>
      </c>
      <c r="LW414" t="n">
        <v>329208</v>
      </c>
      <c r="LX414" t="n">
        <v>251691</v>
      </c>
      <c r="LY414" t="n">
        <v>53324</v>
      </c>
      <c r="LZ414" t="n">
        <v>255320</v>
      </c>
      <c r="MA414" t="n">
        <v>128849</v>
      </c>
      <c r="MB414" t="n">
        <v>35233</v>
      </c>
      <c r="MC414" t="n">
        <v>12489</v>
      </c>
      <c r="MD414" t="n">
        <v>42489</v>
      </c>
      <c r="ME414" t="n">
        <v>88232</v>
      </c>
      <c r="MF414" t="n">
        <v>567114</v>
      </c>
      <c r="MG414" t="n">
        <v>385839</v>
      </c>
      <c r="MH414" t="n">
        <v>193478</v>
      </c>
      <c r="MI414" t="n">
        <v>64882</v>
      </c>
      <c r="MJ414" t="n">
        <v>29554</v>
      </c>
      <c r="MK414" t="n">
        <v>79528</v>
      </c>
      <c r="ML414" t="n">
        <v>58762</v>
      </c>
      <c r="MM414" t="n">
        <v>66053</v>
      </c>
      <c r="MN414" t="n">
        <v>55186</v>
      </c>
      <c r="MO414" t="n">
        <v>113865</v>
      </c>
      <c r="MP414" t="n">
        <v>48099</v>
      </c>
      <c r="MQ414" t="n">
        <v>233920</v>
      </c>
      <c r="MR414" t="n">
        <v>74574</v>
      </c>
      <c r="MS414" t="n">
        <v>494361</v>
      </c>
      <c r="MT414" t="n">
        <v>129727</v>
      </c>
      <c r="MU414" t="n">
        <v>103796</v>
      </c>
      <c r="MV414" t="n">
        <v>163091</v>
      </c>
      <c r="MW414" t="n">
        <v>55022</v>
      </c>
      <c r="MX414" t="n">
        <v>90118</v>
      </c>
      <c r="MY414" t="n">
        <v>34752</v>
      </c>
      <c r="MZ414" t="n">
        <v>843933</v>
      </c>
      <c r="NA414" t="n">
        <v>186186</v>
      </c>
      <c r="NB414" t="n">
        <v>54735</v>
      </c>
      <c r="NC414" t="n">
        <v>117803</v>
      </c>
      <c r="ND414" t="n">
        <v>52663</v>
      </c>
      <c r="NE414" t="n">
        <v>53043</v>
      </c>
      <c r="NF414" t="n">
        <v>26930</v>
      </c>
      <c r="NG414" t="n">
        <v>48962</v>
      </c>
      <c r="NH414" t="n">
        <v>45205</v>
      </c>
      <c r="NI414" t="n">
        <v>51321</v>
      </c>
      <c r="NJ414" t="n">
        <v>20528</v>
      </c>
      <c r="NK414" t="n">
        <v>21158</v>
      </c>
      <c r="NL414" t="n">
        <v>35404</v>
      </c>
      <c r="NM414" t="n">
        <v>87055</v>
      </c>
      <c r="NN414" t="n">
        <v>258207</v>
      </c>
      <c r="NO414" t="n">
        <v>347105</v>
      </c>
      <c r="NP414" t="n">
        <v>317136</v>
      </c>
      <c r="NQ414" t="n">
        <v>100899</v>
      </c>
      <c r="NR414" t="n">
        <v>131352</v>
      </c>
      <c r="NS414" t="n">
        <v>20997</v>
      </c>
      <c r="NT414" t="n">
        <v>42351</v>
      </c>
      <c r="NU414" t="n">
        <v>23952</v>
      </c>
      <c r="NV414" t="n">
        <v>79575</v>
      </c>
      <c r="NW414" t="n">
        <v>23216</v>
      </c>
      <c r="NX414" t="n">
        <v>28173</v>
      </c>
      <c r="NY414" t="n">
        <v>67381</v>
      </c>
      <c r="NZ414" t="n">
        <v>100432</v>
      </c>
      <c r="OA414" t="n">
        <v>59649</v>
      </c>
      <c r="OB414" t="n">
        <v>99722</v>
      </c>
      <c r="OC414" t="n">
        <v>18684</v>
      </c>
      <c r="OD414" t="n">
        <v>624290</v>
      </c>
      <c r="OE414" t="n">
        <v>405353</v>
      </c>
      <c r="OF414" t="n">
        <v>69731</v>
      </c>
      <c r="OG414" t="n">
        <v>15873</v>
      </c>
      <c r="OH414" t="n">
        <v>15546</v>
      </c>
      <c r="OI414" t="n">
        <v>1019982</v>
      </c>
      <c r="OJ414" t="n">
        <v>312935</v>
      </c>
      <c r="OK414" t="n">
        <v>935967</v>
      </c>
      <c r="OL414" t="n">
        <v>16928</v>
      </c>
      <c r="OM414" t="n">
        <v>63412</v>
      </c>
      <c r="ON414" t="n">
        <v>292843</v>
      </c>
      <c r="OO414" t="n">
        <v>33772564</v>
      </c>
    </row>
    <row r="415">
      <c r="A415" t="inlineStr">
        <is>
          <t>T00TOP</t>
        </is>
      </c>
      <c r="B415" t="inlineStr">
        <is>
          <t>Plus: Taxes on products and imports</t>
        </is>
      </c>
      <c r="M415" t="n">
        <v>37</v>
      </c>
      <c r="N415" t="n">
        <v>449</v>
      </c>
      <c r="P415" t="n">
        <v>8342</v>
      </c>
      <c r="Q415" t="n">
        <v>1094</v>
      </c>
      <c r="R415" t="n">
        <v>258</v>
      </c>
      <c r="S415" t="n">
        <v>316</v>
      </c>
      <c r="T415" t="n">
        <v>289</v>
      </c>
      <c r="U415" t="n">
        <v>423</v>
      </c>
      <c r="V415" t="n">
        <v>48</v>
      </c>
      <c r="W415" t="n">
        <v>166</v>
      </c>
      <c r="X415" t="n">
        <v>23580</v>
      </c>
      <c r="Y415" t="n">
        <v>5427</v>
      </c>
      <c r="Z415" t="n">
        <v>325</v>
      </c>
      <c r="AC415" t="n">
        <v>605</v>
      </c>
      <c r="AD415" t="n">
        <v>290</v>
      </c>
      <c r="AG415" t="n">
        <v>962</v>
      </c>
      <c r="AM415" t="n">
        <v>47</v>
      </c>
      <c r="AN415" t="n">
        <v>24</v>
      </c>
      <c r="AO415" t="n">
        <v>38</v>
      </c>
      <c r="AP415" t="n">
        <v>11</v>
      </c>
      <c r="AQ415" t="n">
        <v>14</v>
      </c>
      <c r="AR415" t="n">
        <v>5</v>
      </c>
      <c r="AS415" t="n">
        <v>7</v>
      </c>
      <c r="AT415" t="n">
        <v>30</v>
      </c>
      <c r="AU415" t="n">
        <v>27</v>
      </c>
      <c r="AV415" t="n">
        <v>9</v>
      </c>
      <c r="AW415" t="n">
        <v>7</v>
      </c>
      <c r="AX415" t="n">
        <v>12</v>
      </c>
      <c r="AY415" t="n">
        <v>1</v>
      </c>
      <c r="AZ415" t="n">
        <v>2</v>
      </c>
      <c r="BA415" t="n">
        <v>4</v>
      </c>
      <c r="BB415" t="n">
        <v>19</v>
      </c>
      <c r="BC415" t="n">
        <v>14</v>
      </c>
      <c r="BD415" t="n">
        <v>14</v>
      </c>
      <c r="BE415" t="n">
        <v>6</v>
      </c>
      <c r="BF415" t="n">
        <v>0</v>
      </c>
      <c r="BG415" t="n">
        <v>32</v>
      </c>
      <c r="BH415" t="n">
        <v>3</v>
      </c>
      <c r="BI415" t="n">
        <v>19</v>
      </c>
      <c r="BJ415" t="n">
        <v>7</v>
      </c>
      <c r="BK415" t="n">
        <v>27</v>
      </c>
      <c r="BL415" t="n">
        <v>15</v>
      </c>
      <c r="BM415" t="n">
        <v>1</v>
      </c>
      <c r="BN415" t="n">
        <v>2</v>
      </c>
      <c r="BO415" t="n">
        <v>0</v>
      </c>
      <c r="BP415" t="n">
        <v>18</v>
      </c>
      <c r="BQ415" t="n">
        <v>55</v>
      </c>
      <c r="BR415" t="n">
        <v>38</v>
      </c>
      <c r="BS415" t="n">
        <v>4</v>
      </c>
      <c r="BT415" t="n">
        <v>1</v>
      </c>
      <c r="BU415" t="n">
        <v>3</v>
      </c>
      <c r="BV415" t="n">
        <v>2</v>
      </c>
      <c r="BW415" t="n">
        <v>3</v>
      </c>
      <c r="BX415" t="n">
        <v>2</v>
      </c>
      <c r="BY415" t="n">
        <v>16</v>
      </c>
      <c r="BZ415" t="n">
        <v>4</v>
      </c>
      <c r="CA415" t="n">
        <v>7</v>
      </c>
      <c r="CB415" t="n">
        <v>18</v>
      </c>
      <c r="CC415" t="n">
        <v>1</v>
      </c>
      <c r="CD415" t="n">
        <v>4</v>
      </c>
      <c r="CE415" t="n">
        <v>440</v>
      </c>
      <c r="CF415" t="n">
        <v>9</v>
      </c>
      <c r="CG415" t="n">
        <v>4</v>
      </c>
      <c r="CH415" t="n">
        <v>0</v>
      </c>
      <c r="CI415" t="n">
        <v>16</v>
      </c>
      <c r="CJ415" t="n">
        <v>4</v>
      </c>
      <c r="CK415" t="n">
        <v>11</v>
      </c>
      <c r="CL415" t="n">
        <v>13</v>
      </c>
      <c r="CM415" t="n">
        <v>0</v>
      </c>
      <c r="CN415" t="n">
        <v>0</v>
      </c>
      <c r="CO415" t="n">
        <v>3</v>
      </c>
      <c r="CP415" t="n">
        <v>9</v>
      </c>
      <c r="CQ415" t="n">
        <v>17</v>
      </c>
      <c r="CR415" t="n">
        <v>9</v>
      </c>
      <c r="CS415" t="n">
        <v>2</v>
      </c>
      <c r="CT415" t="n">
        <v>10</v>
      </c>
      <c r="CU415" t="n">
        <v>4</v>
      </c>
      <c r="CV415" t="n">
        <v>12</v>
      </c>
      <c r="CW415" t="n">
        <v>4</v>
      </c>
      <c r="CX415" t="n">
        <v>0</v>
      </c>
      <c r="CY415" t="n">
        <v>0</v>
      </c>
      <c r="CZ415" t="n">
        <v>2</v>
      </c>
      <c r="DA415" t="n">
        <v>2</v>
      </c>
      <c r="DB415" t="n">
        <v>18</v>
      </c>
      <c r="DC415" t="n">
        <v>39</v>
      </c>
      <c r="DD415" t="n">
        <v>7</v>
      </c>
      <c r="DE415" t="n">
        <v>5</v>
      </c>
      <c r="DF415" t="n">
        <v>1</v>
      </c>
      <c r="DG415" t="n">
        <v>14</v>
      </c>
      <c r="DH415" t="n">
        <v>22</v>
      </c>
      <c r="DI415" t="n">
        <v>18</v>
      </c>
      <c r="DJ415" t="n">
        <v>3</v>
      </c>
      <c r="DK415" t="n">
        <v>12</v>
      </c>
      <c r="DL415" t="n">
        <v>5</v>
      </c>
      <c r="DM415" t="n">
        <v>1</v>
      </c>
      <c r="DN415" t="n">
        <v>8</v>
      </c>
      <c r="DO415" t="n">
        <v>59</v>
      </c>
      <c r="DP415" t="n">
        <v>42</v>
      </c>
      <c r="DQ415" t="n">
        <v>39</v>
      </c>
      <c r="DR415" t="n">
        <v>104</v>
      </c>
      <c r="DS415" t="n">
        <v>19</v>
      </c>
      <c r="DT415" t="n">
        <v>4</v>
      </c>
      <c r="DU415" t="n">
        <v>7</v>
      </c>
      <c r="DV415" t="n">
        <v>10</v>
      </c>
      <c r="DW415" t="n">
        <v>4</v>
      </c>
      <c r="DX415" t="n">
        <v>19</v>
      </c>
      <c r="DY415" t="n">
        <v>6</v>
      </c>
      <c r="DZ415" t="n">
        <v>6</v>
      </c>
      <c r="EA415" t="n">
        <v>12</v>
      </c>
      <c r="EB415" t="n">
        <v>1</v>
      </c>
      <c r="EC415" t="n">
        <v>3</v>
      </c>
      <c r="ED415" t="n">
        <v>24</v>
      </c>
      <c r="EE415" t="n">
        <v>10</v>
      </c>
      <c r="EF415" t="n">
        <v>14</v>
      </c>
      <c r="EG415" t="n">
        <v>3</v>
      </c>
      <c r="EH415" t="n">
        <v>4</v>
      </c>
      <c r="EI415" t="n">
        <v>14</v>
      </c>
      <c r="EJ415" t="n">
        <v>5</v>
      </c>
      <c r="EK415" t="n">
        <v>6</v>
      </c>
      <c r="EL415" t="n">
        <v>0</v>
      </c>
      <c r="EM415" t="n">
        <v>7</v>
      </c>
      <c r="EN415" t="n">
        <v>16</v>
      </c>
      <c r="EO415" t="n">
        <v>5</v>
      </c>
      <c r="EP415" t="n">
        <v>1</v>
      </c>
      <c r="EQ415" t="n">
        <v>26</v>
      </c>
      <c r="ER415" t="n">
        <v>0</v>
      </c>
      <c r="ES415" t="n">
        <v>3</v>
      </c>
      <c r="ET415" t="n">
        <v>6</v>
      </c>
      <c r="EU415" t="n">
        <v>2</v>
      </c>
      <c r="EV415" t="n">
        <v>0</v>
      </c>
      <c r="EW415" t="n">
        <v>3</v>
      </c>
      <c r="EX415" t="n">
        <v>10</v>
      </c>
      <c r="EY415" t="n">
        <v>24</v>
      </c>
      <c r="EZ415" t="n">
        <v>13</v>
      </c>
      <c r="FA415" t="n">
        <v>0</v>
      </c>
      <c r="FB415" t="n">
        <v>12</v>
      </c>
      <c r="FC415" t="n">
        <v>91</v>
      </c>
      <c r="FD415" t="n">
        <v>23</v>
      </c>
      <c r="FE415" t="n">
        <v>29</v>
      </c>
      <c r="FF415" t="n">
        <v>24</v>
      </c>
      <c r="FG415" t="n">
        <v>8</v>
      </c>
      <c r="FH415" t="n">
        <v>0</v>
      </c>
      <c r="FI415" t="n">
        <v>0</v>
      </c>
      <c r="FJ415" t="n">
        <v>2</v>
      </c>
      <c r="FK415" t="n">
        <v>0</v>
      </c>
      <c r="FL415" t="n">
        <v>18</v>
      </c>
      <c r="FM415" t="n">
        <v>1</v>
      </c>
      <c r="FN415" t="n">
        <v>17</v>
      </c>
      <c r="FO415" t="n">
        <v>1</v>
      </c>
      <c r="FP415" t="n">
        <v>1</v>
      </c>
      <c r="FQ415" t="n">
        <v>9</v>
      </c>
      <c r="FR415" t="n">
        <v>3</v>
      </c>
      <c r="FS415" t="n">
        <v>3</v>
      </c>
      <c r="FT415" t="n">
        <v>6</v>
      </c>
      <c r="FU415" t="n">
        <v>7</v>
      </c>
      <c r="FV415" t="n">
        <v>11</v>
      </c>
      <c r="FW415" t="n">
        <v>3</v>
      </c>
      <c r="FX415" t="n">
        <v>21</v>
      </c>
      <c r="FY415" t="n">
        <v>51</v>
      </c>
      <c r="FZ415" t="n">
        <v>10</v>
      </c>
      <c r="GA415" t="n">
        <v>13</v>
      </c>
      <c r="GB415" t="n">
        <v>1</v>
      </c>
      <c r="GC415" t="n">
        <v>5</v>
      </c>
      <c r="GD415" t="n">
        <v>108</v>
      </c>
      <c r="GE415" t="n">
        <v>2</v>
      </c>
      <c r="GF415" t="n">
        <v>3</v>
      </c>
      <c r="GG415" t="n">
        <v>2</v>
      </c>
      <c r="GH415" t="n">
        <v>12</v>
      </c>
      <c r="GI415" t="n">
        <v>41</v>
      </c>
      <c r="GJ415" t="n">
        <v>167</v>
      </c>
      <c r="GK415" t="n">
        <v>36</v>
      </c>
      <c r="GL415" t="n">
        <v>10</v>
      </c>
      <c r="GM415" t="n">
        <v>23</v>
      </c>
      <c r="GN415" t="n">
        <v>526</v>
      </c>
      <c r="GO415" t="n">
        <v>2</v>
      </c>
      <c r="GP415" t="n">
        <v>49</v>
      </c>
      <c r="GQ415" t="n">
        <v>3</v>
      </c>
      <c r="GR415" t="n">
        <v>12</v>
      </c>
      <c r="GS415" t="n">
        <v>94</v>
      </c>
      <c r="GT415" t="n">
        <v>7</v>
      </c>
      <c r="GU415" t="n">
        <v>145</v>
      </c>
      <c r="GV415" t="n">
        <v>18</v>
      </c>
      <c r="GW415" t="n">
        <v>6</v>
      </c>
      <c r="GX415" t="n">
        <v>66</v>
      </c>
      <c r="GY415" t="n">
        <v>19</v>
      </c>
      <c r="GZ415" t="n">
        <v>90</v>
      </c>
      <c r="HA415" t="n">
        <v>192</v>
      </c>
      <c r="HB415" t="n">
        <v>214</v>
      </c>
      <c r="HC415" t="n">
        <v>29</v>
      </c>
      <c r="HD415" t="n">
        <v>8</v>
      </c>
      <c r="HE415" t="n">
        <v>40</v>
      </c>
      <c r="HF415" t="n">
        <v>23</v>
      </c>
      <c r="HG415" t="n">
        <v>174</v>
      </c>
      <c r="HH415" t="n">
        <v>2913</v>
      </c>
      <c r="HI415" t="n">
        <v>890</v>
      </c>
      <c r="HJ415" t="n">
        <v>4121</v>
      </c>
      <c r="HK415" t="n">
        <v>13345</v>
      </c>
      <c r="HL415" t="n">
        <v>0</v>
      </c>
      <c r="HM415" t="n">
        <v>2</v>
      </c>
      <c r="HN415" t="n">
        <v>2</v>
      </c>
      <c r="HO415" t="n">
        <v>6</v>
      </c>
      <c r="HP415" t="n">
        <v>2</v>
      </c>
      <c r="HQ415" t="n">
        <v>4</v>
      </c>
      <c r="HR415" t="n">
        <v>10</v>
      </c>
      <c r="HS415" t="n">
        <v>5</v>
      </c>
      <c r="HT415" t="n">
        <v>0</v>
      </c>
      <c r="HU415" t="n">
        <v>1</v>
      </c>
      <c r="HV415" t="n">
        <v>2</v>
      </c>
      <c r="HW415" t="n">
        <v>90</v>
      </c>
      <c r="HX415" t="n">
        <v>9</v>
      </c>
      <c r="HY415" t="n">
        <v>5</v>
      </c>
      <c r="HZ415" t="n">
        <v>9</v>
      </c>
      <c r="IA415" t="n">
        <v>2</v>
      </c>
      <c r="IB415" t="n">
        <v>55</v>
      </c>
      <c r="IC415" t="n">
        <v>1</v>
      </c>
      <c r="ID415" t="n">
        <v>397</v>
      </c>
      <c r="IE415" t="n">
        <v>26</v>
      </c>
      <c r="IF415" t="n">
        <v>51</v>
      </c>
      <c r="IG415" t="n">
        <v>4</v>
      </c>
      <c r="IH415" t="n">
        <v>29</v>
      </c>
      <c r="II415" t="n">
        <v>5</v>
      </c>
      <c r="IJ415" t="n">
        <v>12</v>
      </c>
      <c r="IK415" t="n">
        <v>20</v>
      </c>
      <c r="IL415" t="n">
        <v>88</v>
      </c>
      <c r="IM415" t="n">
        <v>71</v>
      </c>
      <c r="IN415" t="n">
        <v>21</v>
      </c>
      <c r="IO415" t="n">
        <v>0</v>
      </c>
      <c r="IP415" t="n">
        <v>4151</v>
      </c>
      <c r="IQ415" t="n">
        <v>1</v>
      </c>
      <c r="IR415" t="n">
        <v>216</v>
      </c>
      <c r="IS415" t="n">
        <v>18</v>
      </c>
      <c r="IT415" t="n">
        <v>6</v>
      </c>
      <c r="IU415" t="n">
        <v>49</v>
      </c>
      <c r="IV415" t="n">
        <v>7</v>
      </c>
      <c r="IW415" t="n">
        <v>88</v>
      </c>
      <c r="IX415" t="n">
        <v>255</v>
      </c>
      <c r="IY415" t="n">
        <v>10</v>
      </c>
      <c r="IZ415" t="n">
        <v>76</v>
      </c>
      <c r="JA415" t="n">
        <v>38</v>
      </c>
      <c r="JB415" t="n">
        <v>12</v>
      </c>
      <c r="JC415" t="n">
        <v>1</v>
      </c>
      <c r="JD415" t="n">
        <v>0</v>
      </c>
      <c r="JE415" t="n">
        <v>5</v>
      </c>
      <c r="JF415" t="n">
        <v>0</v>
      </c>
      <c r="JG415" t="n">
        <v>29</v>
      </c>
      <c r="JH415" t="n">
        <v>309</v>
      </c>
      <c r="JI415" t="n">
        <v>4</v>
      </c>
      <c r="JJ415" t="n">
        <v>18</v>
      </c>
      <c r="JK415" t="n">
        <v>5256</v>
      </c>
      <c r="JL415" t="n">
        <v>7063</v>
      </c>
      <c r="JM415" t="n">
        <v>6991</v>
      </c>
      <c r="JN415" t="n">
        <v>7743</v>
      </c>
      <c r="JO415" t="n">
        <v>16113</v>
      </c>
      <c r="JP415" t="n">
        <v>2783</v>
      </c>
      <c r="JQ415" t="n">
        <v>2363</v>
      </c>
      <c r="JR415" t="n">
        <v>88362</v>
      </c>
      <c r="JS415" t="n">
        <v>35487</v>
      </c>
      <c r="JT415" t="n">
        <v>33</v>
      </c>
      <c r="JU415" t="n">
        <v>38513</v>
      </c>
      <c r="JV415" t="n">
        <v>45947</v>
      </c>
      <c r="JW415" t="n">
        <v>22253</v>
      </c>
      <c r="JX415" t="n">
        <v>37990</v>
      </c>
      <c r="JY415" t="n">
        <v>21701</v>
      </c>
      <c r="JZ415" t="n">
        <v>6833</v>
      </c>
      <c r="KA415" t="n">
        <v>12963</v>
      </c>
      <c r="KB415" t="n">
        <v>17160</v>
      </c>
      <c r="KC415" t="n">
        <v>20524</v>
      </c>
      <c r="KD415" t="n">
        <v>24926</v>
      </c>
      <c r="KE415" t="n">
        <v>21938</v>
      </c>
      <c r="KF415" t="n">
        <v>787</v>
      </c>
      <c r="KG415" t="n">
        <v>224</v>
      </c>
      <c r="KH415" t="n">
        <v>535</v>
      </c>
      <c r="KI415" t="n">
        <v>1017</v>
      </c>
      <c r="KJ415" t="n">
        <v>77</v>
      </c>
      <c r="KK415" t="n">
        <v>153</v>
      </c>
      <c r="KL415" t="n">
        <v>132</v>
      </c>
      <c r="KM415" t="n">
        <v>133</v>
      </c>
      <c r="KN415" t="n">
        <v>66</v>
      </c>
      <c r="KO415" t="n">
        <v>38</v>
      </c>
      <c r="KP415" t="n">
        <v>85</v>
      </c>
      <c r="KQ415" t="n">
        <v>19</v>
      </c>
      <c r="KR415" t="n">
        <v>958</v>
      </c>
      <c r="KS415" t="n">
        <v>2624</v>
      </c>
      <c r="KT415" t="n">
        <v>134</v>
      </c>
      <c r="KU415" t="n">
        <v>2011</v>
      </c>
      <c r="KV415" t="n">
        <v>775</v>
      </c>
      <c r="KW415" t="n">
        <v>17233</v>
      </c>
      <c r="KX415" t="n">
        <v>12438</v>
      </c>
      <c r="KY415" t="n">
        <v>4886</v>
      </c>
      <c r="KZ415" t="n">
        <v>990</v>
      </c>
      <c r="LA415" t="n">
        <v>525</v>
      </c>
      <c r="LB415" t="n">
        <v>14</v>
      </c>
      <c r="LC415" t="n">
        <v>2524</v>
      </c>
      <c r="LD415" t="n">
        <v>46</v>
      </c>
      <c r="LE415" t="n">
        <v>1182</v>
      </c>
      <c r="LF415" t="n">
        <v>99</v>
      </c>
      <c r="LG415" t="n">
        <v>3405</v>
      </c>
      <c r="LH415" t="n">
        <v>20469</v>
      </c>
      <c r="LI415" t="n">
        <v>0</v>
      </c>
      <c r="LJ415" t="n">
        <v>38</v>
      </c>
      <c r="LM415" t="n">
        <v>1309</v>
      </c>
      <c r="LN415" t="n">
        <v>4637</v>
      </c>
      <c r="LO415" t="n">
        <v>5531</v>
      </c>
      <c r="LP415" t="n">
        <v>2082</v>
      </c>
      <c r="LQ415" t="n">
        <v>2</v>
      </c>
      <c r="LR415" t="n">
        <v>15394</v>
      </c>
      <c r="LS415" t="n">
        <v>1360</v>
      </c>
      <c r="LT415" t="n">
        <v>2828</v>
      </c>
      <c r="LU415" t="n">
        <v>524</v>
      </c>
      <c r="LV415" t="n">
        <v>449</v>
      </c>
      <c r="LW415" t="n">
        <v>1363</v>
      </c>
      <c r="LX415" t="n">
        <v>938</v>
      </c>
      <c r="LY415" t="n">
        <v>106</v>
      </c>
      <c r="LZ415" t="n">
        <v>87</v>
      </c>
      <c r="MA415" t="n">
        <v>830</v>
      </c>
      <c r="MB415" t="n">
        <v>934</v>
      </c>
      <c r="MC415" t="n">
        <v>443</v>
      </c>
      <c r="MD415" t="n">
        <v>123</v>
      </c>
      <c r="ME415" t="n">
        <v>120</v>
      </c>
      <c r="MF415" t="n">
        <v>1509</v>
      </c>
      <c r="MG415" t="n">
        <v>781</v>
      </c>
      <c r="MH415" t="n">
        <v>2489</v>
      </c>
      <c r="MI415" t="n">
        <v>214</v>
      </c>
      <c r="MJ415" t="n">
        <v>102</v>
      </c>
      <c r="MK415" t="n">
        <v>806</v>
      </c>
      <c r="ML415" t="n">
        <v>340</v>
      </c>
      <c r="MM415" t="n">
        <v>1118</v>
      </c>
      <c r="MN415" t="n">
        <v>450</v>
      </c>
      <c r="MO415" t="n">
        <v>1751</v>
      </c>
      <c r="MP415" t="n">
        <v>4</v>
      </c>
      <c r="MQ415" t="n">
        <v>459</v>
      </c>
      <c r="MR415" t="n">
        <v>414</v>
      </c>
      <c r="MS415" t="n">
        <v>308</v>
      </c>
      <c r="MT415" t="n">
        <v>4</v>
      </c>
      <c r="MU415" t="n">
        <v>679</v>
      </c>
      <c r="MV415" t="n">
        <v>241</v>
      </c>
      <c r="MW415" t="n">
        <v>54</v>
      </c>
      <c r="MX415" t="n">
        <v>129</v>
      </c>
      <c r="MY415" t="n">
        <v>59</v>
      </c>
      <c r="MZ415" t="n">
        <v>2616</v>
      </c>
      <c r="NA415" t="n">
        <v>2532</v>
      </c>
      <c r="NB415" t="n">
        <v>431</v>
      </c>
      <c r="NC415" t="n">
        <v>408</v>
      </c>
      <c r="ND415" t="n">
        <v>383</v>
      </c>
      <c r="NE415" t="n">
        <v>162</v>
      </c>
      <c r="NF415" t="n">
        <v>972</v>
      </c>
      <c r="NG415" t="n">
        <v>1899</v>
      </c>
      <c r="NH415" t="n">
        <v>1247</v>
      </c>
      <c r="NI415" t="n">
        <v>1462</v>
      </c>
      <c r="NJ415" t="n">
        <v>472</v>
      </c>
      <c r="NK415" t="n">
        <v>2811</v>
      </c>
      <c r="NL415" t="n">
        <v>1393</v>
      </c>
      <c r="NM415" t="n">
        <v>5677</v>
      </c>
      <c r="NN415" t="n">
        <v>24709</v>
      </c>
      <c r="NO415" t="n">
        <v>24646</v>
      </c>
      <c r="NP415" t="n">
        <v>23633</v>
      </c>
      <c r="NQ415" t="n">
        <v>4112</v>
      </c>
      <c r="NR415" t="n">
        <v>6420</v>
      </c>
      <c r="NS415" t="n">
        <v>466</v>
      </c>
      <c r="NT415" t="n">
        <v>741</v>
      </c>
      <c r="NU415" t="n">
        <v>990</v>
      </c>
      <c r="NV415" t="n">
        <v>1407</v>
      </c>
      <c r="NW415" t="n">
        <v>482</v>
      </c>
      <c r="NX415" t="n">
        <v>1220</v>
      </c>
      <c r="NY415" t="n">
        <v>1338</v>
      </c>
      <c r="OA415" t="n">
        <v>10</v>
      </c>
      <c r="OB415" t="n">
        <v>323</v>
      </c>
      <c r="ON415" t="n">
        <v>538</v>
      </c>
      <c r="OO415" t="n">
        <v>755440</v>
      </c>
    </row>
    <row r="416">
      <c r="A416" t="inlineStr">
        <is>
          <t>T00SUB</t>
        </is>
      </c>
      <c r="B416" t="inlineStr">
        <is>
          <t>Less: Subsidies</t>
        </is>
      </c>
      <c r="D416" t="n">
        <v>9531</v>
      </c>
      <c r="H416" t="n">
        <v>585</v>
      </c>
      <c r="X416" t="n">
        <v>0</v>
      </c>
      <c r="EL416" t="n">
        <v>264</v>
      </c>
      <c r="HQ416" t="n">
        <v>27</v>
      </c>
      <c r="ID416" t="n">
        <v>0</v>
      </c>
      <c r="IR416" t="n">
        <v>14</v>
      </c>
      <c r="JV416" t="n">
        <v>0</v>
      </c>
      <c r="KE416" t="n">
        <v>238</v>
      </c>
      <c r="KF416" t="n">
        <v>2263</v>
      </c>
      <c r="KG416" t="n">
        <v>47</v>
      </c>
      <c r="KH416" t="n">
        <v>0</v>
      </c>
      <c r="KV416" t="n">
        <v>11</v>
      </c>
      <c r="LD416" t="n">
        <v>546</v>
      </c>
      <c r="LK416" t="n">
        <v>2441</v>
      </c>
      <c r="LL416" t="n">
        <v>16307</v>
      </c>
      <c r="LM416" t="n">
        <v>1417</v>
      </c>
      <c r="MZ416" t="n">
        <v>375</v>
      </c>
      <c r="OH416" t="n">
        <v>6339</v>
      </c>
      <c r="OL416" t="n">
        <v>0</v>
      </c>
      <c r="ON416" t="n">
        <v>19471</v>
      </c>
      <c r="OO416" t="n">
        <v>59875</v>
      </c>
    </row>
    <row r="417">
      <c r="A417" t="inlineStr">
        <is>
          <t>VAPRO</t>
        </is>
      </c>
      <c r="B417" t="inlineStr">
        <is>
          <t>Value added (producer value)</t>
        </is>
      </c>
      <c r="C417" t="n">
        <v>17670</v>
      </c>
      <c r="D417" t="n">
        <v>9807</v>
      </c>
      <c r="E417" t="n">
        <v>8151</v>
      </c>
      <c r="F417" t="n">
        <v>18235</v>
      </c>
      <c r="G417" t="n">
        <v>10233</v>
      </c>
      <c r="H417" t="n">
        <v>9081</v>
      </c>
      <c r="I417" t="n">
        <v>9616</v>
      </c>
      <c r="J417" t="n">
        <v>27302</v>
      </c>
      <c r="K417" t="n">
        <v>5812</v>
      </c>
      <c r="L417" t="n">
        <v>22827</v>
      </c>
      <c r="M417" t="n">
        <v>10665</v>
      </c>
      <c r="N417" t="n">
        <v>6886</v>
      </c>
      <c r="O417" t="n">
        <v>20557</v>
      </c>
      <c r="P417" t="n">
        <v>161111</v>
      </c>
      <c r="Q417" t="n">
        <v>19217</v>
      </c>
      <c r="R417" t="n">
        <v>7073</v>
      </c>
      <c r="S417" t="n">
        <v>6804</v>
      </c>
      <c r="T417" t="n">
        <v>9260</v>
      </c>
      <c r="U417" t="n">
        <v>9911</v>
      </c>
      <c r="V417" t="n">
        <v>13134</v>
      </c>
      <c r="W417" t="n">
        <v>40792</v>
      </c>
      <c r="X417" t="n">
        <v>258457</v>
      </c>
      <c r="Y417" t="n">
        <v>45515</v>
      </c>
      <c r="Z417" t="n">
        <v>9739</v>
      </c>
      <c r="AA417" t="n">
        <v>29314</v>
      </c>
      <c r="AB417" t="n">
        <v>53551</v>
      </c>
      <c r="AC417" t="n">
        <v>102147</v>
      </c>
      <c r="AD417" t="n">
        <v>44445</v>
      </c>
      <c r="AE417" t="n">
        <v>81219</v>
      </c>
      <c r="AF417" t="n">
        <v>40970</v>
      </c>
      <c r="AG417" t="n">
        <v>109213</v>
      </c>
      <c r="AH417" t="n">
        <v>36302</v>
      </c>
      <c r="AI417" t="n">
        <v>65920</v>
      </c>
      <c r="AJ417" t="n">
        <v>69439</v>
      </c>
      <c r="AK417" t="n">
        <v>135891</v>
      </c>
      <c r="AL417" t="n">
        <v>71807</v>
      </c>
      <c r="AM417" t="n">
        <v>9303</v>
      </c>
      <c r="AN417" t="n">
        <v>8778</v>
      </c>
      <c r="AO417" t="n">
        <v>9273</v>
      </c>
      <c r="AP417" t="n">
        <v>8333</v>
      </c>
      <c r="AQ417" t="n">
        <v>4020</v>
      </c>
      <c r="AR417" t="n">
        <v>11968</v>
      </c>
      <c r="AS417" t="n">
        <v>4566</v>
      </c>
      <c r="AT417" t="n">
        <v>11481</v>
      </c>
      <c r="AU417" t="n">
        <v>3288</v>
      </c>
      <c r="AV417" t="n">
        <v>6106</v>
      </c>
      <c r="AW417" t="n">
        <v>4041</v>
      </c>
      <c r="AX417" t="n">
        <v>3168</v>
      </c>
      <c r="AY417" t="n">
        <v>2237</v>
      </c>
      <c r="AZ417" t="n">
        <v>2011</v>
      </c>
      <c r="BA417" t="n">
        <v>3207</v>
      </c>
      <c r="BB417" t="n">
        <v>2395</v>
      </c>
      <c r="BC417" t="n">
        <v>21178</v>
      </c>
      <c r="BD417" t="n">
        <v>6790</v>
      </c>
      <c r="BE417" t="n">
        <v>797</v>
      </c>
      <c r="BF417" t="n">
        <v>676</v>
      </c>
      <c r="BG417" t="n">
        <v>6545</v>
      </c>
      <c r="BH417" t="n">
        <v>3068</v>
      </c>
      <c r="BI417" t="n">
        <v>3942</v>
      </c>
      <c r="BJ417" t="n">
        <v>4523</v>
      </c>
      <c r="BK417" t="n">
        <v>7057</v>
      </c>
      <c r="BL417" t="n">
        <v>5201</v>
      </c>
      <c r="BM417" t="n">
        <v>1877</v>
      </c>
      <c r="BN417" t="n">
        <v>4529</v>
      </c>
      <c r="BO417" t="n">
        <v>4605</v>
      </c>
      <c r="BP417" t="n">
        <v>4416</v>
      </c>
      <c r="BQ417" t="n">
        <v>16061</v>
      </c>
      <c r="BR417" t="n">
        <v>17906</v>
      </c>
      <c r="BS417" t="n">
        <v>2965</v>
      </c>
      <c r="BT417" t="n">
        <v>3635</v>
      </c>
      <c r="BU417" t="n">
        <v>6170</v>
      </c>
      <c r="BV417" t="n">
        <v>2986</v>
      </c>
      <c r="BW417" t="n">
        <v>3802</v>
      </c>
      <c r="BX417" t="n">
        <v>19435</v>
      </c>
      <c r="BY417" t="n">
        <v>11958</v>
      </c>
      <c r="BZ417" t="n">
        <v>12476</v>
      </c>
      <c r="CA417" t="n">
        <v>1746</v>
      </c>
      <c r="CB417" t="n">
        <v>11769</v>
      </c>
      <c r="CC417" t="n">
        <v>3062</v>
      </c>
      <c r="CD417" t="n">
        <v>3040</v>
      </c>
      <c r="CE417" t="n">
        <v>6702</v>
      </c>
      <c r="CF417" t="n">
        <v>5630</v>
      </c>
      <c r="CG417" t="n">
        <v>9737</v>
      </c>
      <c r="CH417" t="n">
        <v>2768</v>
      </c>
      <c r="CI417" t="n">
        <v>12421</v>
      </c>
      <c r="CJ417" t="n">
        <v>6162</v>
      </c>
      <c r="CK417" t="n">
        <v>5224</v>
      </c>
      <c r="CL417" t="n">
        <v>11868</v>
      </c>
      <c r="CM417" t="n">
        <v>2221</v>
      </c>
      <c r="CN417" t="n">
        <v>774</v>
      </c>
      <c r="CO417" t="n">
        <v>7997</v>
      </c>
      <c r="CP417" t="n">
        <v>1887</v>
      </c>
      <c r="CQ417" t="n">
        <v>12984</v>
      </c>
      <c r="CR417" t="n">
        <v>2540</v>
      </c>
      <c r="CS417" t="n">
        <v>3023</v>
      </c>
      <c r="CT417" t="n">
        <v>4949</v>
      </c>
      <c r="CU417" t="n">
        <v>3411</v>
      </c>
      <c r="CV417" t="n">
        <v>3631</v>
      </c>
      <c r="CW417" t="n">
        <v>5517</v>
      </c>
      <c r="CX417" t="n">
        <v>1311</v>
      </c>
      <c r="CY417" t="n">
        <v>2208</v>
      </c>
      <c r="CZ417" t="n">
        <v>6100</v>
      </c>
      <c r="DA417" t="n">
        <v>3170</v>
      </c>
      <c r="DB417" t="n">
        <v>7100</v>
      </c>
      <c r="DC417" t="n">
        <v>11538</v>
      </c>
      <c r="DD417" t="n">
        <v>1457</v>
      </c>
      <c r="DE417" t="n">
        <v>2818</v>
      </c>
      <c r="DF417" t="n">
        <v>1054</v>
      </c>
      <c r="DG417" t="n">
        <v>9450</v>
      </c>
      <c r="DH417" t="n">
        <v>4324</v>
      </c>
      <c r="DI417" t="n">
        <v>12910</v>
      </c>
      <c r="DJ417" t="n">
        <v>3724</v>
      </c>
      <c r="DK417" t="n">
        <v>5718</v>
      </c>
      <c r="DL417" t="n">
        <v>5142</v>
      </c>
      <c r="DM417" t="n">
        <v>20825</v>
      </c>
      <c r="DN417" t="n">
        <v>3756</v>
      </c>
      <c r="DO417" t="n">
        <v>48543</v>
      </c>
      <c r="DP417" t="n">
        <v>13917</v>
      </c>
      <c r="DQ417" t="n">
        <v>21090</v>
      </c>
      <c r="DR417" t="n">
        <v>21495</v>
      </c>
      <c r="DS417" t="n">
        <v>39434</v>
      </c>
      <c r="DT417" t="n">
        <v>2375</v>
      </c>
      <c r="DU417" t="n">
        <v>8682</v>
      </c>
      <c r="DV417" t="n">
        <v>3206</v>
      </c>
      <c r="DW417" t="n">
        <v>8143</v>
      </c>
      <c r="DX417" t="n">
        <v>11179</v>
      </c>
      <c r="DY417" t="n">
        <v>6368</v>
      </c>
      <c r="DZ417" t="n">
        <v>8813</v>
      </c>
      <c r="EA417" t="n">
        <v>2032</v>
      </c>
      <c r="EB417" t="n">
        <v>1387</v>
      </c>
      <c r="EC417" t="n">
        <v>866</v>
      </c>
      <c r="ED417" t="n">
        <v>5658</v>
      </c>
      <c r="EE417" t="n">
        <v>1933</v>
      </c>
      <c r="EF417" t="n">
        <v>9231</v>
      </c>
      <c r="EG417" t="n">
        <v>2940</v>
      </c>
      <c r="EH417" t="n">
        <v>3951</v>
      </c>
      <c r="EI417" t="n">
        <v>5463</v>
      </c>
      <c r="EJ417" t="n">
        <v>5151</v>
      </c>
      <c r="EK417" t="n">
        <v>2655</v>
      </c>
      <c r="EL417" t="n">
        <v>1525</v>
      </c>
      <c r="EM417" t="n">
        <v>3915</v>
      </c>
      <c r="EN417" t="n">
        <v>7860</v>
      </c>
      <c r="EO417" t="n">
        <v>1881</v>
      </c>
      <c r="EP417" t="n">
        <v>4599</v>
      </c>
      <c r="EQ417" t="n">
        <v>11976</v>
      </c>
      <c r="ER417" t="n">
        <v>55732</v>
      </c>
      <c r="ES417" t="n">
        <v>5595</v>
      </c>
      <c r="ET417" t="n">
        <v>4125</v>
      </c>
      <c r="EU417" t="n">
        <v>2880</v>
      </c>
      <c r="EV417" t="n">
        <v>1368</v>
      </c>
      <c r="EW417" t="n">
        <v>6067</v>
      </c>
      <c r="EX417" t="n">
        <v>8815</v>
      </c>
      <c r="EY417" t="n">
        <v>6368</v>
      </c>
      <c r="EZ417" t="n">
        <v>12506</v>
      </c>
      <c r="FA417" t="n">
        <v>8104</v>
      </c>
      <c r="FB417" t="n">
        <v>11191</v>
      </c>
      <c r="FC417" t="n">
        <v>18009</v>
      </c>
      <c r="FD417" t="n">
        <v>6389</v>
      </c>
      <c r="FE417" t="n">
        <v>74452</v>
      </c>
      <c r="FF417" t="n">
        <v>18388</v>
      </c>
      <c r="FG417" t="n">
        <v>17523</v>
      </c>
      <c r="FH417" t="n">
        <v>10078</v>
      </c>
      <c r="FI417" t="n">
        <v>2481</v>
      </c>
      <c r="FJ417" t="n">
        <v>3137</v>
      </c>
      <c r="FK417" t="n">
        <v>12224</v>
      </c>
      <c r="FL417" t="n">
        <v>2750</v>
      </c>
      <c r="FM417" t="n">
        <v>3711</v>
      </c>
      <c r="FN417" t="n">
        <v>3408</v>
      </c>
      <c r="FO417" t="n">
        <v>2759</v>
      </c>
      <c r="FP417" t="n">
        <v>6731</v>
      </c>
      <c r="FQ417" t="n">
        <v>4216</v>
      </c>
      <c r="FR417" t="n">
        <v>1613</v>
      </c>
      <c r="FS417" t="n">
        <v>1921</v>
      </c>
      <c r="FT417" t="n">
        <v>981</v>
      </c>
      <c r="FU417" t="n">
        <v>3028</v>
      </c>
      <c r="FV417" t="n">
        <v>7120</v>
      </c>
      <c r="FW417" t="n">
        <v>3288</v>
      </c>
      <c r="FX417" t="n">
        <v>27484</v>
      </c>
      <c r="FY417" t="n">
        <v>20593</v>
      </c>
      <c r="FZ417" t="n">
        <v>2503</v>
      </c>
      <c r="GA417" t="n">
        <v>4016</v>
      </c>
      <c r="GB417" t="n">
        <v>3120</v>
      </c>
      <c r="GC417" t="n">
        <v>2922</v>
      </c>
      <c r="GD417" t="n">
        <v>4890</v>
      </c>
      <c r="GE417" t="n">
        <v>1305</v>
      </c>
      <c r="GF417" t="n">
        <v>961</v>
      </c>
      <c r="GG417" t="n">
        <v>5939</v>
      </c>
      <c r="GH417" t="n">
        <v>12875</v>
      </c>
      <c r="GI417" t="n">
        <v>6330</v>
      </c>
      <c r="GJ417" t="n">
        <v>4769</v>
      </c>
      <c r="GK417" t="n">
        <v>3504</v>
      </c>
      <c r="GL417" t="n">
        <v>2244</v>
      </c>
      <c r="GM417" t="n">
        <v>1430</v>
      </c>
      <c r="GN417" t="n">
        <v>3883</v>
      </c>
      <c r="GO417" t="n">
        <v>2993</v>
      </c>
      <c r="GP417" t="n">
        <v>9830</v>
      </c>
      <c r="GQ417" t="n">
        <v>9287</v>
      </c>
      <c r="GR417" t="n">
        <v>8015</v>
      </c>
      <c r="GS417" t="n">
        <v>8096</v>
      </c>
      <c r="GT417" t="n">
        <v>7254</v>
      </c>
      <c r="GU417" t="n">
        <v>8618</v>
      </c>
      <c r="GV417" t="n">
        <v>1993</v>
      </c>
      <c r="GW417" t="n">
        <v>17782</v>
      </c>
      <c r="GX417" t="n">
        <v>24794</v>
      </c>
      <c r="GY417" t="n">
        <v>3071</v>
      </c>
      <c r="GZ417" t="n">
        <v>15025</v>
      </c>
      <c r="HA417" t="n">
        <v>8606</v>
      </c>
      <c r="HB417" t="n">
        <v>13086</v>
      </c>
      <c r="HC417" t="n">
        <v>3374</v>
      </c>
      <c r="HD417" t="n">
        <v>5891</v>
      </c>
      <c r="HE417" t="n">
        <v>6793</v>
      </c>
      <c r="HF417" t="n">
        <v>7049</v>
      </c>
      <c r="HG417" t="n">
        <v>13468</v>
      </c>
      <c r="HH417" t="n">
        <v>14945</v>
      </c>
      <c r="HI417" t="n">
        <v>9282</v>
      </c>
      <c r="HJ417" t="n">
        <v>8872</v>
      </c>
      <c r="HK417" t="n">
        <v>44981</v>
      </c>
      <c r="HL417" t="n">
        <v>1632</v>
      </c>
      <c r="HM417" t="n">
        <v>4394</v>
      </c>
      <c r="HN417" t="n">
        <v>2213</v>
      </c>
      <c r="HO417" t="n">
        <v>3572</v>
      </c>
      <c r="HP417" t="n">
        <v>1283</v>
      </c>
      <c r="HQ417" t="n">
        <v>4193</v>
      </c>
      <c r="HR417" t="n">
        <v>7209</v>
      </c>
      <c r="HS417" t="n">
        <v>2240</v>
      </c>
      <c r="HT417" t="n">
        <v>1997</v>
      </c>
      <c r="HU417" t="n">
        <v>12704</v>
      </c>
      <c r="HV417" t="n">
        <v>10814</v>
      </c>
      <c r="HW417" t="n">
        <v>16667</v>
      </c>
      <c r="HX417" t="n">
        <v>6868</v>
      </c>
      <c r="HY417" t="n">
        <v>1345</v>
      </c>
      <c r="HZ417" t="n">
        <v>3807</v>
      </c>
      <c r="IA417" t="n">
        <v>1694</v>
      </c>
      <c r="IB417" t="n">
        <v>38751</v>
      </c>
      <c r="IC417" t="n">
        <v>1857</v>
      </c>
      <c r="ID417" t="n">
        <v>97220</v>
      </c>
      <c r="IE417" t="n">
        <v>2924</v>
      </c>
      <c r="IF417" t="n">
        <v>3991</v>
      </c>
      <c r="IG417" t="n">
        <v>6521</v>
      </c>
      <c r="IH417" t="n">
        <v>22746</v>
      </c>
      <c r="II417" t="n">
        <v>3522</v>
      </c>
      <c r="IJ417" t="n">
        <v>2551</v>
      </c>
      <c r="IK417" t="n">
        <v>14392</v>
      </c>
      <c r="IL417" t="n">
        <v>30937</v>
      </c>
      <c r="IM417" t="n">
        <v>22592</v>
      </c>
      <c r="IN417" t="n">
        <v>5151</v>
      </c>
      <c r="IO417" t="n">
        <v>7423</v>
      </c>
      <c r="IP417" t="n">
        <v>114477</v>
      </c>
      <c r="IQ417" t="n">
        <v>9440</v>
      </c>
      <c r="IR417" t="n">
        <v>22023</v>
      </c>
      <c r="IS417" t="n">
        <v>7473</v>
      </c>
      <c r="IT417" t="n">
        <v>5859</v>
      </c>
      <c r="IU417" t="n">
        <v>10589</v>
      </c>
      <c r="IV417" t="n">
        <v>6110</v>
      </c>
      <c r="IW417" t="n">
        <v>20074</v>
      </c>
      <c r="IX417" t="n">
        <v>23113</v>
      </c>
      <c r="IY417" t="n">
        <v>1347</v>
      </c>
      <c r="IZ417" t="n">
        <v>15266</v>
      </c>
      <c r="JA417" t="n">
        <v>11513</v>
      </c>
      <c r="JB417" t="n">
        <v>6611</v>
      </c>
      <c r="JC417" t="n">
        <v>1854</v>
      </c>
      <c r="JD417" t="n">
        <v>2713</v>
      </c>
      <c r="JE417" t="n">
        <v>3304</v>
      </c>
      <c r="JF417" t="n">
        <v>3329</v>
      </c>
      <c r="JG417" t="n">
        <v>32568</v>
      </c>
      <c r="JH417" t="n">
        <v>7025</v>
      </c>
      <c r="JI417" t="n">
        <v>2110</v>
      </c>
      <c r="JJ417" t="n">
        <v>6174</v>
      </c>
      <c r="JK417" t="n">
        <v>68051</v>
      </c>
      <c r="JL417" t="n">
        <v>123555</v>
      </c>
      <c r="JM417" t="n">
        <v>117026</v>
      </c>
      <c r="JN417" t="n">
        <v>105361</v>
      </c>
      <c r="JO417" t="n">
        <v>153136</v>
      </c>
      <c r="JP417" t="n">
        <v>107211</v>
      </c>
      <c r="JQ417" t="n">
        <v>95524</v>
      </c>
      <c r="JR417" t="n">
        <v>123774</v>
      </c>
      <c r="JS417" t="n">
        <v>212596</v>
      </c>
      <c r="JT417" t="n">
        <v>31400</v>
      </c>
      <c r="JU417" t="n">
        <v>38513</v>
      </c>
      <c r="JV417" t="n">
        <v>235782</v>
      </c>
      <c r="JW417" t="n">
        <v>162067</v>
      </c>
      <c r="JX417" t="n">
        <v>152115</v>
      </c>
      <c r="JY417" t="n">
        <v>104305</v>
      </c>
      <c r="JZ417" t="n">
        <v>72105</v>
      </c>
      <c r="KA417" t="n">
        <v>60950</v>
      </c>
      <c r="KB417" t="n">
        <v>70208</v>
      </c>
      <c r="KC417" t="n">
        <v>183401</v>
      </c>
      <c r="KD417" t="n">
        <v>137990</v>
      </c>
      <c r="KE417" t="n">
        <v>128682</v>
      </c>
      <c r="KF417" t="n">
        <v>44334</v>
      </c>
      <c r="KG417" t="n">
        <v>13957</v>
      </c>
      <c r="KH417" t="n">
        <v>177967</v>
      </c>
      <c r="KI417" t="n">
        <v>43408</v>
      </c>
      <c r="KJ417" t="n">
        <v>41004</v>
      </c>
      <c r="KK417" t="n">
        <v>68464</v>
      </c>
      <c r="KL417" t="n">
        <v>56532</v>
      </c>
      <c r="KM417" t="n">
        <v>61116</v>
      </c>
      <c r="KN417" t="n">
        <v>17928</v>
      </c>
      <c r="KO417" t="n">
        <v>17067</v>
      </c>
      <c r="KP417" t="n">
        <v>18152</v>
      </c>
      <c r="KQ417" t="n">
        <v>6392</v>
      </c>
      <c r="KR417" t="n">
        <v>176477</v>
      </c>
      <c r="KS417" t="n">
        <v>83952</v>
      </c>
      <c r="KT417" t="n">
        <v>13773</v>
      </c>
      <c r="KU417" t="n">
        <v>42807</v>
      </c>
      <c r="KV417" t="n">
        <v>61599</v>
      </c>
      <c r="KW417" t="n">
        <v>189767</v>
      </c>
      <c r="KX417" t="n">
        <v>142354</v>
      </c>
      <c r="KY417" t="n">
        <v>25589</v>
      </c>
      <c r="KZ417" t="n">
        <v>96385</v>
      </c>
      <c r="LA417" t="n">
        <v>109854</v>
      </c>
      <c r="LB417" t="n">
        <v>7924</v>
      </c>
      <c r="LC417" t="n">
        <v>211174</v>
      </c>
      <c r="LD417" t="n">
        <v>437687</v>
      </c>
      <c r="LE417" t="n">
        <v>178136</v>
      </c>
      <c r="LF417" t="n">
        <v>105291</v>
      </c>
      <c r="LG417" t="n">
        <v>54796</v>
      </c>
      <c r="LH417" t="n">
        <v>314538</v>
      </c>
      <c r="LI417" t="n">
        <v>199554</v>
      </c>
      <c r="LJ417" t="n">
        <v>6835</v>
      </c>
      <c r="LK417" t="n">
        <v>1340682</v>
      </c>
      <c r="LL417" t="n">
        <v>454633</v>
      </c>
      <c r="LM417" t="n">
        <v>517444</v>
      </c>
      <c r="LN417" t="n">
        <v>38140</v>
      </c>
      <c r="LO417" t="n">
        <v>54069</v>
      </c>
      <c r="LP417" t="n">
        <v>17729</v>
      </c>
      <c r="LQ417" t="n">
        <v>102321</v>
      </c>
      <c r="LR417" t="n">
        <v>266430</v>
      </c>
      <c r="LS417" t="n">
        <v>115796</v>
      </c>
      <c r="LT417" t="n">
        <v>178559</v>
      </c>
      <c r="LU417" t="n">
        <v>32019</v>
      </c>
      <c r="LV417" t="n">
        <v>125181</v>
      </c>
      <c r="LW417" t="n">
        <v>209889</v>
      </c>
      <c r="LX417" t="n">
        <v>172932</v>
      </c>
      <c r="LY417" t="n">
        <v>31418</v>
      </c>
      <c r="LZ417" t="n">
        <v>120944</v>
      </c>
      <c r="MA417" t="n">
        <v>89266</v>
      </c>
      <c r="MB417" t="n">
        <v>25021</v>
      </c>
      <c r="MC417" t="n">
        <v>7744</v>
      </c>
      <c r="MD417" t="n">
        <v>29704</v>
      </c>
      <c r="ME417" t="n">
        <v>55740</v>
      </c>
      <c r="MF417" t="n">
        <v>370134</v>
      </c>
      <c r="MG417" t="n">
        <v>249191</v>
      </c>
      <c r="MH417" t="n">
        <v>102331</v>
      </c>
      <c r="MI417" t="n">
        <v>41489</v>
      </c>
      <c r="MJ417" t="n">
        <v>13346</v>
      </c>
      <c r="MK417" t="n">
        <v>42944</v>
      </c>
      <c r="ML417" t="n">
        <v>26140</v>
      </c>
      <c r="MM417" t="n">
        <v>44000</v>
      </c>
      <c r="MN417" t="n">
        <v>30268</v>
      </c>
      <c r="MO417" t="n">
        <v>53159</v>
      </c>
      <c r="MP417" t="n">
        <v>37038</v>
      </c>
      <c r="MQ417" t="n">
        <v>169043</v>
      </c>
      <c r="MR417" t="n">
        <v>39506</v>
      </c>
      <c r="MS417" t="n">
        <v>307916</v>
      </c>
      <c r="MT417" t="n">
        <v>99226</v>
      </c>
      <c r="MU417" t="n">
        <v>78341</v>
      </c>
      <c r="MV417" t="n">
        <v>100978</v>
      </c>
      <c r="MW417" t="n">
        <v>39613</v>
      </c>
      <c r="MX417" t="n">
        <v>65291</v>
      </c>
      <c r="MY417" t="n">
        <v>18293</v>
      </c>
      <c r="MZ417" t="n">
        <v>486155</v>
      </c>
      <c r="NA417" t="n">
        <v>110755</v>
      </c>
      <c r="NB417" t="n">
        <v>36612</v>
      </c>
      <c r="NC417" t="n">
        <v>76113</v>
      </c>
      <c r="ND417" t="n">
        <v>28896</v>
      </c>
      <c r="NE417" t="n">
        <v>23144</v>
      </c>
      <c r="NF417" t="n">
        <v>16602</v>
      </c>
      <c r="NG417" t="n">
        <v>37635</v>
      </c>
      <c r="NH417" t="n">
        <v>32762</v>
      </c>
      <c r="NI417" t="n">
        <v>27511</v>
      </c>
      <c r="NJ417" t="n">
        <v>12292</v>
      </c>
      <c r="NK417" t="n">
        <v>16020</v>
      </c>
      <c r="NL417" t="n">
        <v>20646</v>
      </c>
      <c r="NM417" t="n">
        <v>50285</v>
      </c>
      <c r="NN417" t="n">
        <v>176299</v>
      </c>
      <c r="NO417" t="n">
        <v>219237</v>
      </c>
      <c r="NP417" t="n">
        <v>156107</v>
      </c>
      <c r="NQ417" t="n">
        <v>65755</v>
      </c>
      <c r="NR417" t="n">
        <v>77269</v>
      </c>
      <c r="NS417" t="n">
        <v>13645</v>
      </c>
      <c r="NT417" t="n">
        <v>25008</v>
      </c>
      <c r="NU417" t="n">
        <v>13397</v>
      </c>
      <c r="NV417" t="n">
        <v>44825</v>
      </c>
      <c r="NW417" t="n">
        <v>14134</v>
      </c>
      <c r="NX417" t="n">
        <v>19508</v>
      </c>
      <c r="NY417" t="n">
        <v>36207</v>
      </c>
      <c r="NZ417" t="n">
        <v>69252</v>
      </c>
      <c r="OA417" t="n">
        <v>39214</v>
      </c>
      <c r="OB417" t="n">
        <v>62022</v>
      </c>
      <c r="OC417" t="n">
        <v>18684</v>
      </c>
      <c r="OD417" t="n">
        <v>405619</v>
      </c>
      <c r="OE417" t="n">
        <v>296526</v>
      </c>
      <c r="OF417" t="n">
        <v>57030</v>
      </c>
      <c r="OG417" t="n">
        <v>6563</v>
      </c>
      <c r="OH417" t="n">
        <v>714</v>
      </c>
      <c r="OI417" t="n">
        <v>808185</v>
      </c>
      <c r="OJ417" t="n">
        <v>157195</v>
      </c>
      <c r="OK417" t="n">
        <v>579493</v>
      </c>
      <c r="OL417" t="n">
        <v>-10069</v>
      </c>
      <c r="OM417" t="n">
        <v>29491</v>
      </c>
      <c r="ON417" t="n">
        <v>125103</v>
      </c>
      <c r="OO417" t="n">
        <v>19612103</v>
      </c>
    </row>
    <row r="419">
      <c r="A419" t="inlineStr">
        <is>
          <t>Note.  Detail may not add to total due to rounding.</t>
        </is>
      </c>
    </row>
    <row r="438">
      <c r="A438" s="5" t="inlineStr">
        <is>
          <t>EPS ISIC (industry)</t>
        </is>
      </c>
      <c r="C438">
        <f>IFERROR(VLOOKUP(C$6&amp;"",Key!$A:$C,3,FALSE),"")</f>
        <v/>
      </c>
      <c r="D438">
        <f>IFERROR(VLOOKUP(D$6&amp;"",Key!$A:$C,3,FALSE),"")</f>
        <v/>
      </c>
      <c r="E438">
        <f>IFERROR(VLOOKUP(E$6&amp;"",Key!$A:$C,3,FALSE),"")</f>
        <v/>
      </c>
      <c r="F438">
        <f>IFERROR(VLOOKUP(F$6&amp;"",Key!$A:$C,3,FALSE),"")</f>
        <v/>
      </c>
      <c r="G438">
        <f>IFERROR(VLOOKUP(G$6&amp;"",Key!$A:$C,3,FALSE),"")</f>
        <v/>
      </c>
      <c r="H438">
        <f>IFERROR(VLOOKUP(H$6&amp;"",Key!$A:$C,3,FALSE),"")</f>
        <v/>
      </c>
      <c r="I438">
        <f>IFERROR(VLOOKUP(I$6&amp;"",Key!$A:$C,3,FALSE),"")</f>
        <v/>
      </c>
      <c r="J438">
        <f>IFERROR(VLOOKUP(J$6&amp;"",Key!$A:$C,3,FALSE),"")</f>
        <v/>
      </c>
      <c r="K438">
        <f>IFERROR(VLOOKUP(K$6&amp;"",Key!$A:$C,3,FALSE),"")</f>
        <v/>
      </c>
      <c r="L438">
        <f>IFERROR(VLOOKUP(L$6&amp;"",Key!$A:$C,3,FALSE),"")</f>
        <v/>
      </c>
      <c r="M438">
        <f>IFERROR(VLOOKUP(M$6&amp;"",Key!$A:$C,3,FALSE),"")</f>
        <v/>
      </c>
      <c r="N438">
        <f>IFERROR(VLOOKUP(N$6&amp;"",Key!$A:$C,3,FALSE),"")</f>
        <v/>
      </c>
      <c r="O438">
        <f>IFERROR(VLOOKUP(O$6&amp;"",Key!$A:$C,3,FALSE),"")</f>
        <v/>
      </c>
      <c r="P438">
        <f>IFERROR(VLOOKUP(P$6&amp;"",Key!$A:$C,3,FALSE),"")</f>
        <v/>
      </c>
      <c r="Q438">
        <f>IFERROR(VLOOKUP(Q$6&amp;"",Key!$A:$C,3,FALSE),"")</f>
        <v/>
      </c>
      <c r="R438">
        <f>IFERROR(VLOOKUP(R$6&amp;"",Key!$A:$C,3,FALSE),"")</f>
        <v/>
      </c>
      <c r="S438">
        <f>IFERROR(VLOOKUP(S$6&amp;"",Key!$A:$C,3,FALSE),"")</f>
        <v/>
      </c>
      <c r="T438">
        <f>IFERROR(VLOOKUP(T$6&amp;"",Key!$A:$C,3,FALSE),"")</f>
        <v/>
      </c>
      <c r="U438">
        <f>IFERROR(VLOOKUP(U$6&amp;"",Key!$A:$C,3,FALSE),"")</f>
        <v/>
      </c>
      <c r="V438">
        <f>IFERROR(VLOOKUP(V$6&amp;"",Key!$A:$C,3,FALSE),"")</f>
        <v/>
      </c>
      <c r="W438">
        <f>IFERROR(VLOOKUP(W$6&amp;"",Key!$A:$C,3,FALSE),"")</f>
        <v/>
      </c>
      <c r="X438">
        <f>IFERROR(VLOOKUP(X$6&amp;"",Key!$A:$C,3,FALSE),"")</f>
        <v/>
      </c>
      <c r="Y438">
        <f>IFERROR(VLOOKUP(Y$6&amp;"",Key!$A:$C,3,FALSE),"")</f>
        <v/>
      </c>
      <c r="Z438">
        <f>IFERROR(VLOOKUP(Z$6&amp;"",Key!$A:$C,3,FALSE),"")</f>
        <v/>
      </c>
      <c r="AA438">
        <f>IFERROR(VLOOKUP(AA$6&amp;"",Key!$A:$C,3,FALSE),"")</f>
        <v/>
      </c>
      <c r="AB438">
        <f>IFERROR(VLOOKUP(AB$6&amp;"",Key!$A:$C,3,FALSE),"")</f>
        <v/>
      </c>
      <c r="AC438">
        <f>IFERROR(VLOOKUP(AC$6&amp;"",Key!$A:$C,3,FALSE),"")</f>
        <v/>
      </c>
      <c r="AD438">
        <f>IFERROR(VLOOKUP(AD$6&amp;"",Key!$A:$C,3,FALSE),"")</f>
        <v/>
      </c>
      <c r="AE438">
        <f>IFERROR(VLOOKUP(AE$6&amp;"",Key!$A:$C,3,FALSE),"")</f>
        <v/>
      </c>
      <c r="AF438">
        <f>IFERROR(VLOOKUP(AF$6&amp;"",Key!$A:$C,3,FALSE),"")</f>
        <v/>
      </c>
      <c r="AG438">
        <f>IFERROR(VLOOKUP(AG$6&amp;"",Key!$A:$C,3,FALSE),"")</f>
        <v/>
      </c>
      <c r="AH438">
        <f>IFERROR(VLOOKUP(AH$6&amp;"",Key!$A:$C,3,FALSE),"")</f>
        <v/>
      </c>
      <c r="AI438">
        <f>IFERROR(VLOOKUP(AI$6&amp;"",Key!$A:$C,3,FALSE),"")</f>
        <v/>
      </c>
      <c r="AJ438">
        <f>IFERROR(VLOOKUP(AJ$6&amp;"",Key!$A:$C,3,FALSE),"")</f>
        <v/>
      </c>
      <c r="AK438">
        <f>IFERROR(VLOOKUP(AK$6&amp;"",Key!$A:$C,3,FALSE),"")</f>
        <v/>
      </c>
      <c r="AL438">
        <f>IFERROR(VLOOKUP(AL$6&amp;"",Key!$A:$C,3,FALSE),"")</f>
        <v/>
      </c>
      <c r="AM438">
        <f>IFERROR(VLOOKUP(AM$6&amp;"",Key!$A:$C,3,FALSE),"")</f>
        <v/>
      </c>
      <c r="AN438">
        <f>IFERROR(VLOOKUP(AN$6&amp;"",Key!$A:$C,3,FALSE),"")</f>
        <v/>
      </c>
      <c r="AO438">
        <f>IFERROR(VLOOKUP(AO$6&amp;"",Key!$A:$C,3,FALSE),"")</f>
        <v/>
      </c>
      <c r="AP438">
        <f>IFERROR(VLOOKUP(AP$6&amp;"",Key!$A:$C,3,FALSE),"")</f>
        <v/>
      </c>
      <c r="AQ438">
        <f>IFERROR(VLOOKUP(AQ$6&amp;"",Key!$A:$C,3,FALSE),"")</f>
        <v/>
      </c>
      <c r="AR438">
        <f>IFERROR(VLOOKUP(AR$6&amp;"",Key!$A:$C,3,FALSE),"")</f>
        <v/>
      </c>
      <c r="AS438">
        <f>IFERROR(VLOOKUP(AS$6&amp;"",Key!$A:$C,3,FALSE),"")</f>
        <v/>
      </c>
      <c r="AT438">
        <f>IFERROR(VLOOKUP(AT$6&amp;"",Key!$A:$C,3,FALSE),"")</f>
        <v/>
      </c>
      <c r="AU438">
        <f>IFERROR(VLOOKUP(AU$6&amp;"",Key!$A:$C,3,FALSE),"")</f>
        <v/>
      </c>
      <c r="AV438">
        <f>IFERROR(VLOOKUP(AV$6&amp;"",Key!$A:$C,3,FALSE),"")</f>
        <v/>
      </c>
      <c r="AW438">
        <f>IFERROR(VLOOKUP(AW$6&amp;"",Key!$A:$C,3,FALSE),"")</f>
        <v/>
      </c>
      <c r="AX438">
        <f>IFERROR(VLOOKUP(AX$6&amp;"",Key!$A:$C,3,FALSE),"")</f>
        <v/>
      </c>
      <c r="AY438">
        <f>IFERROR(VLOOKUP(AY$6&amp;"",Key!$A:$C,3,FALSE),"")</f>
        <v/>
      </c>
      <c r="AZ438">
        <f>IFERROR(VLOOKUP(AZ$6&amp;"",Key!$A:$C,3,FALSE),"")</f>
        <v/>
      </c>
      <c r="BA438">
        <f>IFERROR(VLOOKUP(BA$6&amp;"",Key!$A:$C,3,FALSE),"")</f>
        <v/>
      </c>
      <c r="BB438">
        <f>IFERROR(VLOOKUP(BB$6&amp;"",Key!$A:$C,3,FALSE),"")</f>
        <v/>
      </c>
      <c r="BC438">
        <f>IFERROR(VLOOKUP(BC$6&amp;"",Key!$A:$C,3,FALSE),"")</f>
        <v/>
      </c>
      <c r="BD438">
        <f>IFERROR(VLOOKUP(BD$6&amp;"",Key!$A:$C,3,FALSE),"")</f>
        <v/>
      </c>
      <c r="BE438">
        <f>IFERROR(VLOOKUP(BE$6&amp;"",Key!$A:$C,3,FALSE),"")</f>
        <v/>
      </c>
      <c r="BF438">
        <f>IFERROR(VLOOKUP(BF$6&amp;"",Key!$A:$C,3,FALSE),"")</f>
        <v/>
      </c>
      <c r="BG438">
        <f>IFERROR(VLOOKUP(BG$6&amp;"",Key!$A:$C,3,FALSE),"")</f>
        <v/>
      </c>
      <c r="BH438">
        <f>IFERROR(VLOOKUP(BH$6&amp;"",Key!$A:$C,3,FALSE),"")</f>
        <v/>
      </c>
      <c r="BI438">
        <f>IFERROR(VLOOKUP(BI$6&amp;"",Key!$A:$C,3,FALSE),"")</f>
        <v/>
      </c>
      <c r="BJ438">
        <f>IFERROR(VLOOKUP(BJ$6&amp;"",Key!$A:$C,3,FALSE),"")</f>
        <v/>
      </c>
      <c r="BK438">
        <f>IFERROR(VLOOKUP(BK$6&amp;"",Key!$A:$C,3,FALSE),"")</f>
        <v/>
      </c>
      <c r="BL438">
        <f>IFERROR(VLOOKUP(BL$6&amp;"",Key!$A:$C,3,FALSE),"")</f>
        <v/>
      </c>
      <c r="BM438">
        <f>IFERROR(VLOOKUP(BM$6&amp;"",Key!$A:$C,3,FALSE),"")</f>
        <v/>
      </c>
      <c r="BN438">
        <f>IFERROR(VLOOKUP(BN$6&amp;"",Key!$A:$C,3,FALSE),"")</f>
        <v/>
      </c>
      <c r="BO438">
        <f>IFERROR(VLOOKUP(BO$6&amp;"",Key!$A:$C,3,FALSE),"")</f>
        <v/>
      </c>
      <c r="BP438">
        <f>IFERROR(VLOOKUP(BP$6&amp;"",Key!$A:$C,3,FALSE),"")</f>
        <v/>
      </c>
      <c r="BQ438">
        <f>IFERROR(VLOOKUP(BQ$6&amp;"",Key!$A:$C,3,FALSE),"")</f>
        <v/>
      </c>
      <c r="BR438">
        <f>IFERROR(VLOOKUP(BR$6&amp;"",Key!$A:$C,3,FALSE),"")</f>
        <v/>
      </c>
      <c r="BS438">
        <f>IFERROR(VLOOKUP(BS$6&amp;"",Key!$A:$C,3,FALSE),"")</f>
        <v/>
      </c>
      <c r="BT438">
        <f>IFERROR(VLOOKUP(BT$6&amp;"",Key!$A:$C,3,FALSE),"")</f>
        <v/>
      </c>
      <c r="BU438">
        <f>IFERROR(VLOOKUP(BU$6&amp;"",Key!$A:$C,3,FALSE),"")</f>
        <v/>
      </c>
      <c r="BV438">
        <f>IFERROR(VLOOKUP(BV$6&amp;"",Key!$A:$C,3,FALSE),"")</f>
        <v/>
      </c>
      <c r="BW438">
        <f>IFERROR(VLOOKUP(BW$6&amp;"",Key!$A:$C,3,FALSE),"")</f>
        <v/>
      </c>
      <c r="BX438">
        <f>IFERROR(VLOOKUP(BX$6&amp;"",Key!$A:$C,3,FALSE),"")</f>
        <v/>
      </c>
      <c r="BY438">
        <f>IFERROR(VLOOKUP(BY$6&amp;"",Key!$A:$C,3,FALSE),"")</f>
        <v/>
      </c>
      <c r="BZ438">
        <f>IFERROR(VLOOKUP(BZ$6&amp;"",Key!$A:$C,3,FALSE),"")</f>
        <v/>
      </c>
      <c r="CA438">
        <f>IFERROR(VLOOKUP(CA$6&amp;"",Key!$A:$C,3,FALSE),"")</f>
        <v/>
      </c>
      <c r="CB438">
        <f>IFERROR(VLOOKUP(CB$6&amp;"",Key!$A:$C,3,FALSE),"")</f>
        <v/>
      </c>
      <c r="CC438">
        <f>IFERROR(VLOOKUP(CC$6&amp;"",Key!$A:$C,3,FALSE),"")</f>
        <v/>
      </c>
      <c r="CD438">
        <f>IFERROR(VLOOKUP(CD$6&amp;"",Key!$A:$C,3,FALSE),"")</f>
        <v/>
      </c>
      <c r="CE438">
        <f>IFERROR(VLOOKUP(CE$6&amp;"",Key!$A:$C,3,FALSE),"")</f>
        <v/>
      </c>
      <c r="CF438">
        <f>IFERROR(VLOOKUP(CF$6&amp;"",Key!$A:$C,3,FALSE),"")</f>
        <v/>
      </c>
      <c r="CG438">
        <f>IFERROR(VLOOKUP(CG$6&amp;"",Key!$A:$C,3,FALSE),"")</f>
        <v/>
      </c>
      <c r="CH438">
        <f>IFERROR(VLOOKUP(CH$6&amp;"",Key!$A:$C,3,FALSE),"")</f>
        <v/>
      </c>
      <c r="CI438">
        <f>IFERROR(VLOOKUP(CI$6&amp;"",Key!$A:$C,3,FALSE),"")</f>
        <v/>
      </c>
      <c r="CJ438">
        <f>IFERROR(VLOOKUP(CJ$6&amp;"",Key!$A:$C,3,FALSE),"")</f>
        <v/>
      </c>
      <c r="CK438">
        <f>IFERROR(VLOOKUP(CK$6&amp;"",Key!$A:$C,3,FALSE),"")</f>
        <v/>
      </c>
      <c r="CL438">
        <f>IFERROR(VLOOKUP(CL$6&amp;"",Key!$A:$C,3,FALSE),"")</f>
        <v/>
      </c>
      <c r="CM438">
        <f>IFERROR(VLOOKUP(CM$6&amp;"",Key!$A:$C,3,FALSE),"")</f>
        <v/>
      </c>
      <c r="CN438">
        <f>IFERROR(VLOOKUP(CN$6&amp;"",Key!$A:$C,3,FALSE),"")</f>
        <v/>
      </c>
      <c r="CO438">
        <f>IFERROR(VLOOKUP(CO$6&amp;"",Key!$A:$C,3,FALSE),"")</f>
        <v/>
      </c>
      <c r="CP438">
        <f>IFERROR(VLOOKUP(CP$6&amp;"",Key!$A:$C,3,FALSE),"")</f>
        <v/>
      </c>
      <c r="CQ438">
        <f>IFERROR(VLOOKUP(CQ$6&amp;"",Key!$A:$C,3,FALSE),"")</f>
        <v/>
      </c>
      <c r="CR438">
        <f>IFERROR(VLOOKUP(CR$6&amp;"",Key!$A:$C,3,FALSE),"")</f>
        <v/>
      </c>
      <c r="CS438">
        <f>IFERROR(VLOOKUP(CS$6&amp;"",Key!$A:$C,3,FALSE),"")</f>
        <v/>
      </c>
      <c r="CT438">
        <f>IFERROR(VLOOKUP(CT$6&amp;"",Key!$A:$C,3,FALSE),"")</f>
        <v/>
      </c>
      <c r="CU438">
        <f>IFERROR(VLOOKUP(CU$6&amp;"",Key!$A:$C,3,FALSE),"")</f>
        <v/>
      </c>
      <c r="CV438">
        <f>IFERROR(VLOOKUP(CV$6&amp;"",Key!$A:$C,3,FALSE),"")</f>
        <v/>
      </c>
      <c r="CW438">
        <f>IFERROR(VLOOKUP(CW$6&amp;"",Key!$A:$C,3,FALSE),"")</f>
        <v/>
      </c>
      <c r="CX438">
        <f>IFERROR(VLOOKUP(CX$6&amp;"",Key!$A:$C,3,FALSE),"")</f>
        <v/>
      </c>
      <c r="CY438">
        <f>IFERROR(VLOOKUP(CY$6&amp;"",Key!$A:$C,3,FALSE),"")</f>
        <v/>
      </c>
      <c r="CZ438">
        <f>IFERROR(VLOOKUP(CZ$6&amp;"",Key!$A:$C,3,FALSE),"")</f>
        <v/>
      </c>
      <c r="DA438">
        <f>IFERROR(VLOOKUP(DA$6&amp;"",Key!$A:$C,3,FALSE),"")</f>
        <v/>
      </c>
      <c r="DB438">
        <f>IFERROR(VLOOKUP(DB$6&amp;"",Key!$A:$C,3,FALSE),"")</f>
        <v/>
      </c>
      <c r="DC438">
        <f>IFERROR(VLOOKUP(DC$6&amp;"",Key!$A:$C,3,FALSE),"")</f>
        <v/>
      </c>
      <c r="DD438">
        <f>IFERROR(VLOOKUP(DD$6&amp;"",Key!$A:$C,3,FALSE),"")</f>
        <v/>
      </c>
      <c r="DE438">
        <f>IFERROR(VLOOKUP(DE$6&amp;"",Key!$A:$C,3,FALSE),"")</f>
        <v/>
      </c>
      <c r="DF438">
        <f>IFERROR(VLOOKUP(DF$6&amp;"",Key!$A:$C,3,FALSE),"")</f>
        <v/>
      </c>
      <c r="DG438">
        <f>IFERROR(VLOOKUP(DG$6&amp;"",Key!$A:$C,3,FALSE),"")</f>
        <v/>
      </c>
      <c r="DH438">
        <f>IFERROR(VLOOKUP(DH$6&amp;"",Key!$A:$C,3,FALSE),"")</f>
        <v/>
      </c>
      <c r="DI438">
        <f>IFERROR(VLOOKUP(DI$6&amp;"",Key!$A:$C,3,FALSE),"")</f>
        <v/>
      </c>
      <c r="DJ438">
        <f>IFERROR(VLOOKUP(DJ$6&amp;"",Key!$A:$C,3,FALSE),"")</f>
        <v/>
      </c>
      <c r="DK438">
        <f>IFERROR(VLOOKUP(DK$6&amp;"",Key!$A:$C,3,FALSE),"")</f>
        <v/>
      </c>
      <c r="DL438">
        <f>IFERROR(VLOOKUP(DL$6&amp;"",Key!$A:$C,3,FALSE),"")</f>
        <v/>
      </c>
      <c r="DM438">
        <f>IFERROR(VLOOKUP(DM$6&amp;"",Key!$A:$C,3,FALSE),"")</f>
        <v/>
      </c>
      <c r="DN438">
        <f>IFERROR(VLOOKUP(DN$6&amp;"",Key!$A:$C,3,FALSE),"")</f>
        <v/>
      </c>
      <c r="DO438">
        <f>IFERROR(VLOOKUP(DO$6&amp;"",Key!$A:$C,3,FALSE),"")</f>
        <v/>
      </c>
      <c r="DP438">
        <f>IFERROR(VLOOKUP(DP$6&amp;"",Key!$A:$C,3,FALSE),"")</f>
        <v/>
      </c>
      <c r="DQ438">
        <f>IFERROR(VLOOKUP(DQ$6&amp;"",Key!$A:$C,3,FALSE),"")</f>
        <v/>
      </c>
      <c r="DR438">
        <f>IFERROR(VLOOKUP(DR$6&amp;"",Key!$A:$C,3,FALSE),"")</f>
        <v/>
      </c>
      <c r="DS438">
        <f>IFERROR(VLOOKUP(DS$6&amp;"",Key!$A:$C,3,FALSE),"")</f>
        <v/>
      </c>
      <c r="DT438">
        <f>IFERROR(VLOOKUP(DT$6&amp;"",Key!$A:$C,3,FALSE),"")</f>
        <v/>
      </c>
      <c r="DU438">
        <f>IFERROR(VLOOKUP(DU$6&amp;"",Key!$A:$C,3,FALSE),"")</f>
        <v/>
      </c>
      <c r="DV438">
        <f>IFERROR(VLOOKUP(DV$6&amp;"",Key!$A:$C,3,FALSE),"")</f>
        <v/>
      </c>
      <c r="DW438">
        <f>IFERROR(VLOOKUP(DW$6&amp;"",Key!$A:$C,3,FALSE),"")</f>
        <v/>
      </c>
      <c r="DX438">
        <f>IFERROR(VLOOKUP(DX$6&amp;"",Key!$A:$C,3,FALSE),"")</f>
        <v/>
      </c>
      <c r="DY438">
        <f>IFERROR(VLOOKUP(DY$6&amp;"",Key!$A:$C,3,FALSE),"")</f>
        <v/>
      </c>
      <c r="DZ438">
        <f>IFERROR(VLOOKUP(DZ$6&amp;"",Key!$A:$C,3,FALSE),"")</f>
        <v/>
      </c>
      <c r="EA438">
        <f>IFERROR(VLOOKUP(EA$6&amp;"",Key!$A:$C,3,FALSE),"")</f>
        <v/>
      </c>
      <c r="EB438">
        <f>IFERROR(VLOOKUP(EB$6&amp;"",Key!$A:$C,3,FALSE),"")</f>
        <v/>
      </c>
      <c r="EC438">
        <f>IFERROR(VLOOKUP(EC$6&amp;"",Key!$A:$C,3,FALSE),"")</f>
        <v/>
      </c>
      <c r="ED438">
        <f>IFERROR(VLOOKUP(ED$6&amp;"",Key!$A:$C,3,FALSE),"")</f>
        <v/>
      </c>
      <c r="EE438">
        <f>IFERROR(VLOOKUP(EE$6&amp;"",Key!$A:$C,3,FALSE),"")</f>
        <v/>
      </c>
      <c r="EF438">
        <f>IFERROR(VLOOKUP(EF$6&amp;"",Key!$A:$C,3,FALSE),"")</f>
        <v/>
      </c>
      <c r="EG438">
        <f>IFERROR(VLOOKUP(EG$6&amp;"",Key!$A:$C,3,FALSE),"")</f>
        <v/>
      </c>
      <c r="EH438">
        <f>IFERROR(VLOOKUP(EH$6&amp;"",Key!$A:$C,3,FALSE),"")</f>
        <v/>
      </c>
      <c r="EI438">
        <f>IFERROR(VLOOKUP(EI$6&amp;"",Key!$A:$C,3,FALSE),"")</f>
        <v/>
      </c>
      <c r="EJ438">
        <f>IFERROR(VLOOKUP(EJ$6&amp;"",Key!$A:$C,3,FALSE),"")</f>
        <v/>
      </c>
      <c r="EK438">
        <f>IFERROR(VLOOKUP(EK$6&amp;"",Key!$A:$C,3,FALSE),"")</f>
        <v/>
      </c>
      <c r="EL438">
        <f>IFERROR(VLOOKUP(EL$6&amp;"",Key!$A:$C,3,FALSE),"")</f>
        <v/>
      </c>
      <c r="EM438">
        <f>IFERROR(VLOOKUP(EM$6&amp;"",Key!$A:$C,3,FALSE),"")</f>
        <v/>
      </c>
      <c r="EN438">
        <f>IFERROR(VLOOKUP(EN$6&amp;"",Key!$A:$C,3,FALSE),"")</f>
        <v/>
      </c>
      <c r="EO438">
        <f>IFERROR(VLOOKUP(EO$6&amp;"",Key!$A:$C,3,FALSE),"")</f>
        <v/>
      </c>
      <c r="EP438">
        <f>IFERROR(VLOOKUP(EP$6&amp;"",Key!$A:$C,3,FALSE),"")</f>
        <v/>
      </c>
      <c r="EQ438">
        <f>IFERROR(VLOOKUP(EQ$6&amp;"",Key!$A:$C,3,FALSE),"")</f>
        <v/>
      </c>
      <c r="ER438">
        <f>IFERROR(VLOOKUP(ER$6&amp;"",Key!$A:$C,3,FALSE),"")</f>
        <v/>
      </c>
      <c r="ES438">
        <f>IFERROR(VLOOKUP(ES$6&amp;"",Key!$A:$C,3,FALSE),"")</f>
        <v/>
      </c>
      <c r="ET438">
        <f>IFERROR(VLOOKUP(ET$6&amp;"",Key!$A:$C,3,FALSE),"")</f>
        <v/>
      </c>
      <c r="EU438">
        <f>IFERROR(VLOOKUP(EU$6&amp;"",Key!$A:$C,3,FALSE),"")</f>
        <v/>
      </c>
      <c r="EV438">
        <f>IFERROR(VLOOKUP(EV$6&amp;"",Key!$A:$C,3,FALSE),"")</f>
        <v/>
      </c>
      <c r="EW438">
        <f>IFERROR(VLOOKUP(EW$6&amp;"",Key!$A:$C,3,FALSE),"")</f>
        <v/>
      </c>
      <c r="EX438">
        <f>IFERROR(VLOOKUP(EX$6&amp;"",Key!$A:$C,3,FALSE),"")</f>
        <v/>
      </c>
      <c r="EY438">
        <f>IFERROR(VLOOKUP(EY$6&amp;"",Key!$A:$C,3,FALSE),"")</f>
        <v/>
      </c>
      <c r="EZ438">
        <f>IFERROR(VLOOKUP(EZ$6&amp;"",Key!$A:$C,3,FALSE),"")</f>
        <v/>
      </c>
      <c r="FA438">
        <f>IFERROR(VLOOKUP(FA$6&amp;"",Key!$A:$C,3,FALSE),"")</f>
        <v/>
      </c>
      <c r="FB438">
        <f>IFERROR(VLOOKUP(FB$6&amp;"",Key!$A:$C,3,FALSE),"")</f>
        <v/>
      </c>
      <c r="FC438">
        <f>IFERROR(VLOOKUP(FC$6&amp;"",Key!$A:$C,3,FALSE),"")</f>
        <v/>
      </c>
      <c r="FD438">
        <f>IFERROR(VLOOKUP(FD$6&amp;"",Key!$A:$C,3,FALSE),"")</f>
        <v/>
      </c>
      <c r="FE438">
        <f>IFERROR(VLOOKUP(FE$6&amp;"",Key!$A:$C,3,FALSE),"")</f>
        <v/>
      </c>
      <c r="FF438">
        <f>IFERROR(VLOOKUP(FF$6&amp;"",Key!$A:$C,3,FALSE),"")</f>
        <v/>
      </c>
      <c r="FG438">
        <f>IFERROR(VLOOKUP(FG$6&amp;"",Key!$A:$C,3,FALSE),"")</f>
        <v/>
      </c>
      <c r="FH438">
        <f>IFERROR(VLOOKUP(FH$6&amp;"",Key!$A:$C,3,FALSE),"")</f>
        <v/>
      </c>
      <c r="FI438">
        <f>IFERROR(VLOOKUP(FI$6&amp;"",Key!$A:$C,3,FALSE),"")</f>
        <v/>
      </c>
      <c r="FJ438">
        <f>IFERROR(VLOOKUP(FJ$6&amp;"",Key!$A:$C,3,FALSE),"")</f>
        <v/>
      </c>
      <c r="FK438">
        <f>IFERROR(VLOOKUP(FK$6&amp;"",Key!$A:$C,3,FALSE),"")</f>
        <v/>
      </c>
      <c r="FL438">
        <f>IFERROR(VLOOKUP(FL$6&amp;"",Key!$A:$C,3,FALSE),"")</f>
        <v/>
      </c>
      <c r="FM438">
        <f>IFERROR(VLOOKUP(FM$6&amp;"",Key!$A:$C,3,FALSE),"")</f>
        <v/>
      </c>
      <c r="FN438">
        <f>IFERROR(VLOOKUP(FN$6&amp;"",Key!$A:$C,3,FALSE),"")</f>
        <v/>
      </c>
      <c r="FO438">
        <f>IFERROR(VLOOKUP(FO$6&amp;"",Key!$A:$C,3,FALSE),"")</f>
        <v/>
      </c>
      <c r="FP438">
        <f>IFERROR(VLOOKUP(FP$6&amp;"",Key!$A:$C,3,FALSE),"")</f>
        <v/>
      </c>
      <c r="FQ438">
        <f>IFERROR(VLOOKUP(FQ$6&amp;"",Key!$A:$C,3,FALSE),"")</f>
        <v/>
      </c>
      <c r="FR438">
        <f>IFERROR(VLOOKUP(FR$6&amp;"",Key!$A:$C,3,FALSE),"")</f>
        <v/>
      </c>
      <c r="FS438">
        <f>IFERROR(VLOOKUP(FS$6&amp;"",Key!$A:$C,3,FALSE),"")</f>
        <v/>
      </c>
      <c r="FT438">
        <f>IFERROR(VLOOKUP(FT$6&amp;"",Key!$A:$C,3,FALSE),"")</f>
        <v/>
      </c>
      <c r="FU438">
        <f>IFERROR(VLOOKUP(FU$6&amp;"",Key!$A:$C,3,FALSE),"")</f>
        <v/>
      </c>
      <c r="FV438">
        <f>IFERROR(VLOOKUP(FV$6&amp;"",Key!$A:$C,3,FALSE),"")</f>
        <v/>
      </c>
      <c r="FW438">
        <f>IFERROR(VLOOKUP(FW$6&amp;"",Key!$A:$C,3,FALSE),"")</f>
        <v/>
      </c>
      <c r="FX438">
        <f>IFERROR(VLOOKUP(FX$6&amp;"",Key!$A:$C,3,FALSE),"")</f>
        <v/>
      </c>
      <c r="FY438">
        <f>IFERROR(VLOOKUP(FY$6&amp;"",Key!$A:$C,3,FALSE),"")</f>
        <v/>
      </c>
      <c r="FZ438">
        <f>IFERROR(VLOOKUP(FZ$6&amp;"",Key!$A:$C,3,FALSE),"")</f>
        <v/>
      </c>
      <c r="GA438">
        <f>IFERROR(VLOOKUP(GA$6&amp;"",Key!$A:$C,3,FALSE),"")</f>
        <v/>
      </c>
      <c r="GB438">
        <f>IFERROR(VLOOKUP(GB$6&amp;"",Key!$A:$C,3,FALSE),"")</f>
        <v/>
      </c>
      <c r="GC438">
        <f>IFERROR(VLOOKUP(GC$6&amp;"",Key!$A:$C,3,FALSE),"")</f>
        <v/>
      </c>
      <c r="GD438">
        <f>IFERROR(VLOOKUP(GD$6&amp;"",Key!$A:$C,3,FALSE),"")</f>
        <v/>
      </c>
      <c r="GE438">
        <f>IFERROR(VLOOKUP(GE$6&amp;"",Key!$A:$C,3,FALSE),"")</f>
        <v/>
      </c>
      <c r="GF438">
        <f>IFERROR(VLOOKUP(GF$6&amp;"",Key!$A:$C,3,FALSE),"")</f>
        <v/>
      </c>
      <c r="GG438">
        <f>IFERROR(VLOOKUP(GG$6&amp;"",Key!$A:$C,3,FALSE),"")</f>
        <v/>
      </c>
      <c r="GH438">
        <f>IFERROR(VLOOKUP(GH$6&amp;"",Key!$A:$C,3,FALSE),"")</f>
        <v/>
      </c>
      <c r="GI438">
        <f>IFERROR(VLOOKUP(GI$6&amp;"",Key!$A:$C,3,FALSE),"")</f>
        <v/>
      </c>
      <c r="GJ438">
        <f>IFERROR(VLOOKUP(GJ$6&amp;"",Key!$A:$C,3,FALSE),"")</f>
        <v/>
      </c>
      <c r="GK438">
        <f>IFERROR(VLOOKUP(GK$6&amp;"",Key!$A:$C,3,FALSE),"")</f>
        <v/>
      </c>
      <c r="GL438">
        <f>IFERROR(VLOOKUP(GL$6&amp;"",Key!$A:$C,3,FALSE),"")</f>
        <v/>
      </c>
      <c r="GM438">
        <f>IFERROR(VLOOKUP(GM$6&amp;"",Key!$A:$C,3,FALSE),"")</f>
        <v/>
      </c>
      <c r="GN438">
        <f>IFERROR(VLOOKUP(GN$6&amp;"",Key!$A:$C,3,FALSE),"")</f>
        <v/>
      </c>
      <c r="GO438">
        <f>IFERROR(VLOOKUP(GO$6&amp;"",Key!$A:$C,3,FALSE),"")</f>
        <v/>
      </c>
      <c r="GP438">
        <f>IFERROR(VLOOKUP(GP$6&amp;"",Key!$A:$C,3,FALSE),"")</f>
        <v/>
      </c>
      <c r="GQ438">
        <f>IFERROR(VLOOKUP(GQ$6&amp;"",Key!$A:$C,3,FALSE),"")</f>
        <v/>
      </c>
      <c r="GR438">
        <f>IFERROR(VLOOKUP(GR$6&amp;"",Key!$A:$C,3,FALSE),"")</f>
        <v/>
      </c>
      <c r="GS438">
        <f>IFERROR(VLOOKUP(GS$6&amp;"",Key!$A:$C,3,FALSE),"")</f>
        <v/>
      </c>
      <c r="GT438">
        <f>IFERROR(VLOOKUP(GT$6&amp;"",Key!$A:$C,3,FALSE),"")</f>
        <v/>
      </c>
      <c r="GU438">
        <f>IFERROR(VLOOKUP(GU$6&amp;"",Key!$A:$C,3,FALSE),"")</f>
        <v/>
      </c>
      <c r="GV438">
        <f>IFERROR(VLOOKUP(GV$6&amp;"",Key!$A:$C,3,FALSE),"")</f>
        <v/>
      </c>
      <c r="GW438">
        <f>IFERROR(VLOOKUP(GW$6&amp;"",Key!$A:$C,3,FALSE),"")</f>
        <v/>
      </c>
      <c r="GX438">
        <f>IFERROR(VLOOKUP(GX$6&amp;"",Key!$A:$C,3,FALSE),"")</f>
        <v/>
      </c>
      <c r="GY438">
        <f>IFERROR(VLOOKUP(GY$6&amp;"",Key!$A:$C,3,FALSE),"")</f>
        <v/>
      </c>
      <c r="GZ438">
        <f>IFERROR(VLOOKUP(GZ$6&amp;"",Key!$A:$C,3,FALSE),"")</f>
        <v/>
      </c>
      <c r="HA438">
        <f>IFERROR(VLOOKUP(HA$6&amp;"",Key!$A:$C,3,FALSE),"")</f>
        <v/>
      </c>
      <c r="HB438">
        <f>IFERROR(VLOOKUP(HB$6&amp;"",Key!$A:$C,3,FALSE),"")</f>
        <v/>
      </c>
      <c r="HC438">
        <f>IFERROR(VLOOKUP(HC$6&amp;"",Key!$A:$C,3,FALSE),"")</f>
        <v/>
      </c>
      <c r="HD438">
        <f>IFERROR(VLOOKUP(HD$6&amp;"",Key!$A:$C,3,FALSE),"")</f>
        <v/>
      </c>
      <c r="HE438">
        <f>IFERROR(VLOOKUP(HE$6&amp;"",Key!$A:$C,3,FALSE),"")</f>
        <v/>
      </c>
      <c r="HF438">
        <f>IFERROR(VLOOKUP(HF$6&amp;"",Key!$A:$C,3,FALSE),"")</f>
        <v/>
      </c>
      <c r="HG438">
        <f>IFERROR(VLOOKUP(HG$6&amp;"",Key!$A:$C,3,FALSE),"")</f>
        <v/>
      </c>
      <c r="HH438">
        <f>IFERROR(VLOOKUP(HH$6&amp;"",Key!$A:$C,3,FALSE),"")</f>
        <v/>
      </c>
      <c r="HI438">
        <f>IFERROR(VLOOKUP(HI$6&amp;"",Key!$A:$C,3,FALSE),"")</f>
        <v/>
      </c>
      <c r="HJ438">
        <f>IFERROR(VLOOKUP(HJ$6&amp;"",Key!$A:$C,3,FALSE),"")</f>
        <v/>
      </c>
      <c r="HK438">
        <f>IFERROR(VLOOKUP(HK$6&amp;"",Key!$A:$C,3,FALSE),"")</f>
        <v/>
      </c>
      <c r="HL438">
        <f>IFERROR(VLOOKUP(HL$6&amp;"",Key!$A:$C,3,FALSE),"")</f>
        <v/>
      </c>
      <c r="HM438">
        <f>IFERROR(VLOOKUP(HM$6&amp;"",Key!$A:$C,3,FALSE),"")</f>
        <v/>
      </c>
      <c r="HN438">
        <f>IFERROR(VLOOKUP(HN$6&amp;"",Key!$A:$C,3,FALSE),"")</f>
        <v/>
      </c>
      <c r="HO438">
        <f>IFERROR(VLOOKUP(HO$6&amp;"",Key!$A:$C,3,FALSE),"")</f>
        <v/>
      </c>
      <c r="HP438">
        <f>IFERROR(VLOOKUP(HP$6&amp;"",Key!$A:$C,3,FALSE),"")</f>
        <v/>
      </c>
      <c r="HQ438">
        <f>IFERROR(VLOOKUP(HQ$6&amp;"",Key!$A:$C,3,FALSE),"")</f>
        <v/>
      </c>
      <c r="HR438">
        <f>IFERROR(VLOOKUP(HR$6&amp;"",Key!$A:$C,3,FALSE),"")</f>
        <v/>
      </c>
      <c r="HS438">
        <f>IFERROR(VLOOKUP(HS$6&amp;"",Key!$A:$C,3,FALSE),"")</f>
        <v/>
      </c>
      <c r="HT438">
        <f>IFERROR(VLOOKUP(HT$6&amp;"",Key!$A:$C,3,FALSE),"")</f>
        <v/>
      </c>
      <c r="HU438">
        <f>IFERROR(VLOOKUP(HU$6&amp;"",Key!$A:$C,3,FALSE),"")</f>
        <v/>
      </c>
      <c r="HV438">
        <f>IFERROR(VLOOKUP(HV$6&amp;"",Key!$A:$C,3,FALSE),"")</f>
        <v/>
      </c>
      <c r="HW438">
        <f>IFERROR(VLOOKUP(HW$6&amp;"",Key!$A:$C,3,FALSE),"")</f>
        <v/>
      </c>
      <c r="HX438">
        <f>IFERROR(VLOOKUP(HX$6&amp;"",Key!$A:$C,3,FALSE),"")</f>
        <v/>
      </c>
      <c r="HY438">
        <f>IFERROR(VLOOKUP(HY$6&amp;"",Key!$A:$C,3,FALSE),"")</f>
        <v/>
      </c>
      <c r="HZ438">
        <f>IFERROR(VLOOKUP(HZ$6&amp;"",Key!$A:$C,3,FALSE),"")</f>
        <v/>
      </c>
      <c r="IA438">
        <f>IFERROR(VLOOKUP(IA$6&amp;"",Key!$A:$C,3,FALSE),"")</f>
        <v/>
      </c>
      <c r="IB438">
        <f>IFERROR(VLOOKUP(IB$6&amp;"",Key!$A:$C,3,FALSE),"")</f>
        <v/>
      </c>
      <c r="IC438">
        <f>IFERROR(VLOOKUP(IC$6&amp;"",Key!$A:$C,3,FALSE),"")</f>
        <v/>
      </c>
      <c r="ID438">
        <f>IFERROR(VLOOKUP(ID$6&amp;"",Key!$A:$C,3,FALSE),"")</f>
        <v/>
      </c>
      <c r="IE438">
        <f>IFERROR(VLOOKUP(IE$6&amp;"",Key!$A:$C,3,FALSE),"")</f>
        <v/>
      </c>
      <c r="IF438">
        <f>IFERROR(VLOOKUP(IF$6&amp;"",Key!$A:$C,3,FALSE),"")</f>
        <v/>
      </c>
      <c r="IG438">
        <f>IFERROR(VLOOKUP(IG$6&amp;"",Key!$A:$C,3,FALSE),"")</f>
        <v/>
      </c>
      <c r="IH438">
        <f>IFERROR(VLOOKUP(IH$6&amp;"",Key!$A:$C,3,FALSE),"")</f>
        <v/>
      </c>
      <c r="II438">
        <f>IFERROR(VLOOKUP(II$6&amp;"",Key!$A:$C,3,FALSE),"")</f>
        <v/>
      </c>
      <c r="IJ438">
        <f>IFERROR(VLOOKUP(IJ$6&amp;"",Key!$A:$C,3,FALSE),"")</f>
        <v/>
      </c>
      <c r="IK438">
        <f>IFERROR(VLOOKUP(IK$6&amp;"",Key!$A:$C,3,FALSE),"")</f>
        <v/>
      </c>
      <c r="IL438">
        <f>IFERROR(VLOOKUP(IL$6&amp;"",Key!$A:$C,3,FALSE),"")</f>
        <v/>
      </c>
      <c r="IM438">
        <f>IFERROR(VLOOKUP(IM$6&amp;"",Key!$A:$C,3,FALSE),"")</f>
        <v/>
      </c>
      <c r="IN438">
        <f>IFERROR(VLOOKUP(IN$6&amp;"",Key!$A:$C,3,FALSE),"")</f>
        <v/>
      </c>
      <c r="IO438">
        <f>IFERROR(VLOOKUP(IO$6&amp;"",Key!$A:$C,3,FALSE),"")</f>
        <v/>
      </c>
      <c r="IP438">
        <f>IFERROR(VLOOKUP(IP$6&amp;"",Key!$A:$C,3,FALSE),"")</f>
        <v/>
      </c>
      <c r="IQ438">
        <f>IFERROR(VLOOKUP(IQ$6&amp;"",Key!$A:$C,3,FALSE),"")</f>
        <v/>
      </c>
      <c r="IR438">
        <f>IFERROR(VLOOKUP(IR$6&amp;"",Key!$A:$C,3,FALSE),"")</f>
        <v/>
      </c>
      <c r="IS438">
        <f>IFERROR(VLOOKUP(IS$6&amp;"",Key!$A:$C,3,FALSE),"")</f>
        <v/>
      </c>
      <c r="IT438">
        <f>IFERROR(VLOOKUP(IT$6&amp;"",Key!$A:$C,3,FALSE),"")</f>
        <v/>
      </c>
      <c r="IU438">
        <f>IFERROR(VLOOKUP(IU$6&amp;"",Key!$A:$C,3,FALSE),"")</f>
        <v/>
      </c>
      <c r="IV438">
        <f>IFERROR(VLOOKUP(IV$6&amp;"",Key!$A:$C,3,FALSE),"")</f>
        <v/>
      </c>
      <c r="IW438">
        <f>IFERROR(VLOOKUP(IW$6&amp;"",Key!$A:$C,3,FALSE),"")</f>
        <v/>
      </c>
      <c r="IX438">
        <f>IFERROR(VLOOKUP(IX$6&amp;"",Key!$A:$C,3,FALSE),"")</f>
        <v/>
      </c>
      <c r="IY438">
        <f>IFERROR(VLOOKUP(IY$6&amp;"",Key!$A:$C,3,FALSE),"")</f>
        <v/>
      </c>
      <c r="IZ438">
        <f>IFERROR(VLOOKUP(IZ$6&amp;"",Key!$A:$C,3,FALSE),"")</f>
        <v/>
      </c>
      <c r="JA438">
        <f>IFERROR(VLOOKUP(JA$6&amp;"",Key!$A:$C,3,FALSE),"")</f>
        <v/>
      </c>
      <c r="JB438">
        <f>IFERROR(VLOOKUP(JB$6&amp;"",Key!$A:$C,3,FALSE),"")</f>
        <v/>
      </c>
      <c r="JC438">
        <f>IFERROR(VLOOKUP(JC$6&amp;"",Key!$A:$C,3,FALSE),"")</f>
        <v/>
      </c>
      <c r="JD438">
        <f>IFERROR(VLOOKUP(JD$6&amp;"",Key!$A:$C,3,FALSE),"")</f>
        <v/>
      </c>
      <c r="JE438">
        <f>IFERROR(VLOOKUP(JE$6&amp;"",Key!$A:$C,3,FALSE),"")</f>
        <v/>
      </c>
      <c r="JF438">
        <f>IFERROR(VLOOKUP(JF$6&amp;"",Key!$A:$C,3,FALSE),"")</f>
        <v/>
      </c>
      <c r="JG438">
        <f>IFERROR(VLOOKUP(JG$6&amp;"",Key!$A:$C,3,FALSE),"")</f>
        <v/>
      </c>
      <c r="JH438">
        <f>IFERROR(VLOOKUP(JH$6&amp;"",Key!$A:$C,3,FALSE),"")</f>
        <v/>
      </c>
      <c r="JI438">
        <f>IFERROR(VLOOKUP(JI$6&amp;"",Key!$A:$C,3,FALSE),"")</f>
        <v/>
      </c>
      <c r="JJ438">
        <f>IFERROR(VLOOKUP(JJ$6&amp;"",Key!$A:$C,3,FALSE),"")</f>
        <v/>
      </c>
      <c r="JK438">
        <f>IFERROR(VLOOKUP(JK$6&amp;"",Key!$A:$C,3,FALSE),"")</f>
        <v/>
      </c>
      <c r="JL438">
        <f>IFERROR(VLOOKUP(JL$6&amp;"",Key!$A:$C,3,FALSE),"")</f>
        <v/>
      </c>
      <c r="JM438">
        <f>IFERROR(VLOOKUP(JM$6&amp;"",Key!$A:$C,3,FALSE),"")</f>
        <v/>
      </c>
      <c r="JN438">
        <f>IFERROR(VLOOKUP(JN$6&amp;"",Key!$A:$C,3,FALSE),"")</f>
        <v/>
      </c>
      <c r="JO438">
        <f>IFERROR(VLOOKUP(JO$6&amp;"",Key!$A:$C,3,FALSE),"")</f>
        <v/>
      </c>
      <c r="JP438">
        <f>IFERROR(VLOOKUP(JP$6&amp;"",Key!$A:$C,3,FALSE),"")</f>
        <v/>
      </c>
      <c r="JQ438">
        <f>IFERROR(VLOOKUP(JQ$6&amp;"",Key!$A:$C,3,FALSE),"")</f>
        <v/>
      </c>
      <c r="JR438">
        <f>IFERROR(VLOOKUP(JR$6&amp;"",Key!$A:$C,3,FALSE),"")</f>
        <v/>
      </c>
      <c r="JS438">
        <f>IFERROR(VLOOKUP(JS$6&amp;"",Key!$A:$C,3,FALSE),"")</f>
        <v/>
      </c>
      <c r="JT438">
        <f>IFERROR(VLOOKUP(JT$6&amp;"",Key!$A:$C,3,FALSE),"")</f>
        <v/>
      </c>
      <c r="JU438">
        <f>IFERROR(VLOOKUP(JU$6&amp;"",Key!$A:$C,3,FALSE),"")</f>
        <v/>
      </c>
      <c r="JV438">
        <f>IFERROR(VLOOKUP(JV$6&amp;"",Key!$A:$C,3,FALSE),"")</f>
        <v/>
      </c>
      <c r="JW438">
        <f>IFERROR(VLOOKUP(JW$6&amp;"",Key!$A:$C,3,FALSE),"")</f>
        <v/>
      </c>
      <c r="JX438">
        <f>IFERROR(VLOOKUP(JX$6&amp;"",Key!$A:$C,3,FALSE),"")</f>
        <v/>
      </c>
      <c r="JY438">
        <f>IFERROR(VLOOKUP(JY$6&amp;"",Key!$A:$C,3,FALSE),"")</f>
        <v/>
      </c>
      <c r="JZ438">
        <f>IFERROR(VLOOKUP(JZ$6&amp;"",Key!$A:$C,3,FALSE),"")</f>
        <v/>
      </c>
      <c r="KA438">
        <f>IFERROR(VLOOKUP(KA$6&amp;"",Key!$A:$C,3,FALSE),"")</f>
        <v/>
      </c>
      <c r="KB438">
        <f>IFERROR(VLOOKUP(KB$6&amp;"",Key!$A:$C,3,FALSE),"")</f>
        <v/>
      </c>
      <c r="KC438">
        <f>IFERROR(VLOOKUP(KC$6&amp;"",Key!$A:$C,3,FALSE),"")</f>
        <v/>
      </c>
      <c r="KD438">
        <f>IFERROR(VLOOKUP(KD$6&amp;"",Key!$A:$C,3,FALSE),"")</f>
        <v/>
      </c>
      <c r="KE438">
        <f>IFERROR(VLOOKUP(KE$6&amp;"",Key!$A:$C,3,FALSE),"")</f>
        <v/>
      </c>
      <c r="KF438">
        <f>IFERROR(VLOOKUP(KF$6&amp;"",Key!$A:$C,3,FALSE),"")</f>
        <v/>
      </c>
      <c r="KG438">
        <f>IFERROR(VLOOKUP(KG$6&amp;"",Key!$A:$C,3,FALSE),"")</f>
        <v/>
      </c>
      <c r="KH438">
        <f>IFERROR(VLOOKUP(KH$6&amp;"",Key!$A:$C,3,FALSE),"")</f>
        <v/>
      </c>
      <c r="KI438">
        <f>IFERROR(VLOOKUP(KI$6&amp;"",Key!$A:$C,3,FALSE),"")</f>
        <v/>
      </c>
      <c r="KJ438">
        <f>IFERROR(VLOOKUP(KJ$6&amp;"",Key!$A:$C,3,FALSE),"")</f>
        <v/>
      </c>
      <c r="KK438">
        <f>IFERROR(VLOOKUP(KK$6&amp;"",Key!$A:$C,3,FALSE),"")</f>
        <v/>
      </c>
      <c r="KL438">
        <f>IFERROR(VLOOKUP(KL$6&amp;"",Key!$A:$C,3,FALSE),"")</f>
        <v/>
      </c>
      <c r="KM438">
        <f>IFERROR(VLOOKUP(KM$6&amp;"",Key!$A:$C,3,FALSE),"")</f>
        <v/>
      </c>
      <c r="KN438">
        <f>IFERROR(VLOOKUP(KN$6&amp;"",Key!$A:$C,3,FALSE),"")</f>
        <v/>
      </c>
      <c r="KO438">
        <f>IFERROR(VLOOKUP(KO$6&amp;"",Key!$A:$C,3,FALSE),"")</f>
        <v/>
      </c>
      <c r="KP438">
        <f>IFERROR(VLOOKUP(KP$6&amp;"",Key!$A:$C,3,FALSE),"")</f>
        <v/>
      </c>
      <c r="KQ438">
        <f>IFERROR(VLOOKUP(KQ$6&amp;"",Key!$A:$C,3,FALSE),"")</f>
        <v/>
      </c>
      <c r="KR438">
        <f>IFERROR(VLOOKUP(KR$6&amp;"",Key!$A:$C,3,FALSE),"")</f>
        <v/>
      </c>
      <c r="KS438">
        <f>IFERROR(VLOOKUP(KS$6&amp;"",Key!$A:$C,3,FALSE),"")</f>
        <v/>
      </c>
      <c r="KT438">
        <f>IFERROR(VLOOKUP(KT$6&amp;"",Key!$A:$C,3,FALSE),"")</f>
        <v/>
      </c>
      <c r="KU438">
        <f>IFERROR(VLOOKUP(KU$6&amp;"",Key!$A:$C,3,FALSE),"")</f>
        <v/>
      </c>
      <c r="KV438">
        <f>IFERROR(VLOOKUP(KV$6&amp;"",Key!$A:$C,3,FALSE),"")</f>
        <v/>
      </c>
      <c r="KW438">
        <f>IFERROR(VLOOKUP(KW$6&amp;"",Key!$A:$C,3,FALSE),"")</f>
        <v/>
      </c>
      <c r="KX438">
        <f>IFERROR(VLOOKUP(KX$6&amp;"",Key!$A:$C,3,FALSE),"")</f>
        <v/>
      </c>
      <c r="KY438">
        <f>IFERROR(VLOOKUP(KY$6&amp;"",Key!$A:$C,3,FALSE),"")</f>
        <v/>
      </c>
      <c r="KZ438">
        <f>IFERROR(VLOOKUP(KZ$6&amp;"",Key!$A:$C,3,FALSE),"")</f>
        <v/>
      </c>
      <c r="LA438">
        <f>IFERROR(VLOOKUP(LA$6&amp;"",Key!$A:$C,3,FALSE),"")</f>
        <v/>
      </c>
      <c r="LB438">
        <f>IFERROR(VLOOKUP(LB$6&amp;"",Key!$A:$C,3,FALSE),"")</f>
        <v/>
      </c>
      <c r="LC438">
        <f>IFERROR(VLOOKUP(LC$6&amp;"",Key!$A:$C,3,FALSE),"")</f>
        <v/>
      </c>
      <c r="LD438">
        <f>IFERROR(VLOOKUP(LD$6&amp;"",Key!$A:$C,3,FALSE),"")</f>
        <v/>
      </c>
      <c r="LE438">
        <f>IFERROR(VLOOKUP(LE$6&amp;"",Key!$A:$C,3,FALSE),"")</f>
        <v/>
      </c>
      <c r="LF438">
        <f>IFERROR(VLOOKUP(LF$6&amp;"",Key!$A:$C,3,FALSE),"")</f>
        <v/>
      </c>
      <c r="LG438">
        <f>IFERROR(VLOOKUP(LG$6&amp;"",Key!$A:$C,3,FALSE),"")</f>
        <v/>
      </c>
      <c r="LH438">
        <f>IFERROR(VLOOKUP(LH$6&amp;"",Key!$A:$C,3,FALSE),"")</f>
        <v/>
      </c>
      <c r="LI438">
        <f>IFERROR(VLOOKUP(LI$6&amp;"",Key!$A:$C,3,FALSE),"")</f>
        <v/>
      </c>
      <c r="LJ438">
        <f>IFERROR(VLOOKUP(LJ$6&amp;"",Key!$A:$C,3,FALSE),"")</f>
        <v/>
      </c>
      <c r="LK438">
        <f>IFERROR(VLOOKUP(LK$6&amp;"",Key!$A:$C,3,FALSE),"")</f>
        <v/>
      </c>
      <c r="LL438">
        <f>IFERROR(VLOOKUP(LL$6&amp;"",Key!$A:$C,3,FALSE),"")</f>
        <v/>
      </c>
      <c r="LM438">
        <f>IFERROR(VLOOKUP(LM$6&amp;"",Key!$A:$C,3,FALSE),"")</f>
        <v/>
      </c>
      <c r="LN438">
        <f>IFERROR(VLOOKUP(LN$6&amp;"",Key!$A:$C,3,FALSE),"")</f>
        <v/>
      </c>
      <c r="LO438">
        <f>IFERROR(VLOOKUP(LO$6&amp;"",Key!$A:$C,3,FALSE),"")</f>
        <v/>
      </c>
      <c r="LP438">
        <f>IFERROR(VLOOKUP(LP$6&amp;"",Key!$A:$C,3,FALSE),"")</f>
        <v/>
      </c>
      <c r="LQ438">
        <f>IFERROR(VLOOKUP(LQ$6&amp;"",Key!$A:$C,3,FALSE),"")</f>
        <v/>
      </c>
      <c r="LR438">
        <f>IFERROR(VLOOKUP(LR$6&amp;"",Key!$A:$C,3,FALSE),"")</f>
        <v/>
      </c>
      <c r="LS438">
        <f>IFERROR(VLOOKUP(LS$6&amp;"",Key!$A:$C,3,FALSE),"")</f>
        <v/>
      </c>
      <c r="LT438">
        <f>IFERROR(VLOOKUP(LT$6&amp;"",Key!$A:$C,3,FALSE),"")</f>
        <v/>
      </c>
      <c r="LU438">
        <f>IFERROR(VLOOKUP(LU$6&amp;"",Key!$A:$C,3,FALSE),"")</f>
        <v/>
      </c>
      <c r="LV438">
        <f>IFERROR(VLOOKUP(LV$6&amp;"",Key!$A:$C,3,FALSE),"")</f>
        <v/>
      </c>
      <c r="LW438">
        <f>IFERROR(VLOOKUP(LW$6&amp;"",Key!$A:$C,3,FALSE),"")</f>
        <v/>
      </c>
      <c r="LX438">
        <f>IFERROR(VLOOKUP(LX$6&amp;"",Key!$A:$C,3,FALSE),"")</f>
        <v/>
      </c>
      <c r="LY438">
        <f>IFERROR(VLOOKUP(LY$6&amp;"",Key!$A:$C,3,FALSE),"")</f>
        <v/>
      </c>
      <c r="LZ438">
        <f>IFERROR(VLOOKUP(LZ$6&amp;"",Key!$A:$C,3,FALSE),"")</f>
        <v/>
      </c>
      <c r="MA438">
        <f>IFERROR(VLOOKUP(MA$6&amp;"",Key!$A:$C,3,FALSE),"")</f>
        <v/>
      </c>
      <c r="MB438">
        <f>IFERROR(VLOOKUP(MB$6&amp;"",Key!$A:$C,3,FALSE),"")</f>
        <v/>
      </c>
      <c r="MC438">
        <f>IFERROR(VLOOKUP(MC$6&amp;"",Key!$A:$C,3,FALSE),"")</f>
        <v/>
      </c>
      <c r="MD438">
        <f>IFERROR(VLOOKUP(MD$6&amp;"",Key!$A:$C,3,FALSE),"")</f>
        <v/>
      </c>
      <c r="ME438">
        <f>IFERROR(VLOOKUP(ME$6&amp;"",Key!$A:$C,3,FALSE),"")</f>
        <v/>
      </c>
      <c r="MF438">
        <f>IFERROR(VLOOKUP(MF$6&amp;"",Key!$A:$C,3,FALSE),"")</f>
        <v/>
      </c>
      <c r="MG438">
        <f>IFERROR(VLOOKUP(MG$6&amp;"",Key!$A:$C,3,FALSE),"")</f>
        <v/>
      </c>
      <c r="MH438">
        <f>IFERROR(VLOOKUP(MH$6&amp;"",Key!$A:$C,3,FALSE),"")</f>
        <v/>
      </c>
      <c r="MI438">
        <f>IFERROR(VLOOKUP(MI$6&amp;"",Key!$A:$C,3,FALSE),"")</f>
        <v/>
      </c>
      <c r="MJ438">
        <f>IFERROR(VLOOKUP(MJ$6&amp;"",Key!$A:$C,3,FALSE),"")</f>
        <v/>
      </c>
      <c r="MK438">
        <f>IFERROR(VLOOKUP(MK$6&amp;"",Key!$A:$C,3,FALSE),"")</f>
        <v/>
      </c>
      <c r="ML438">
        <f>IFERROR(VLOOKUP(ML$6&amp;"",Key!$A:$C,3,FALSE),"")</f>
        <v/>
      </c>
      <c r="MM438">
        <f>IFERROR(VLOOKUP(MM$6&amp;"",Key!$A:$C,3,FALSE),"")</f>
        <v/>
      </c>
      <c r="MN438">
        <f>IFERROR(VLOOKUP(MN$6&amp;"",Key!$A:$C,3,FALSE),"")</f>
        <v/>
      </c>
      <c r="MO438">
        <f>IFERROR(VLOOKUP(MO$6&amp;"",Key!$A:$C,3,FALSE),"")</f>
        <v/>
      </c>
      <c r="MP438">
        <f>IFERROR(VLOOKUP(MP$6&amp;"",Key!$A:$C,3,FALSE),"")</f>
        <v/>
      </c>
      <c r="MQ438">
        <f>IFERROR(VLOOKUP(MQ$6&amp;"",Key!$A:$C,3,FALSE),"")</f>
        <v/>
      </c>
      <c r="MR438">
        <f>IFERROR(VLOOKUP(MR$6&amp;"",Key!$A:$C,3,FALSE),"")</f>
        <v/>
      </c>
      <c r="MS438">
        <f>IFERROR(VLOOKUP(MS$6&amp;"",Key!$A:$C,3,FALSE),"")</f>
        <v/>
      </c>
      <c r="MT438">
        <f>IFERROR(VLOOKUP(MT$6&amp;"",Key!$A:$C,3,FALSE),"")</f>
        <v/>
      </c>
      <c r="MU438">
        <f>IFERROR(VLOOKUP(MU$6&amp;"",Key!$A:$C,3,FALSE),"")</f>
        <v/>
      </c>
      <c r="MV438">
        <f>IFERROR(VLOOKUP(MV$6&amp;"",Key!$A:$C,3,FALSE),"")</f>
        <v/>
      </c>
      <c r="MW438">
        <f>IFERROR(VLOOKUP(MW$6&amp;"",Key!$A:$C,3,FALSE),"")</f>
        <v/>
      </c>
      <c r="MX438">
        <f>IFERROR(VLOOKUP(MX$6&amp;"",Key!$A:$C,3,FALSE),"")</f>
        <v/>
      </c>
      <c r="MY438">
        <f>IFERROR(VLOOKUP(MY$6&amp;"",Key!$A:$C,3,FALSE),"")</f>
        <v/>
      </c>
      <c r="MZ438">
        <f>IFERROR(VLOOKUP(MZ$6&amp;"",Key!$A:$C,3,FALSE),"")</f>
        <v/>
      </c>
      <c r="NA438">
        <f>IFERROR(VLOOKUP(NA$6&amp;"",Key!$A:$C,3,FALSE),"")</f>
        <v/>
      </c>
      <c r="NB438">
        <f>IFERROR(VLOOKUP(NB$6&amp;"",Key!$A:$C,3,FALSE),"")</f>
        <v/>
      </c>
      <c r="NC438">
        <f>IFERROR(VLOOKUP(NC$6&amp;"",Key!$A:$C,3,FALSE),"")</f>
        <v/>
      </c>
      <c r="ND438">
        <f>IFERROR(VLOOKUP(ND$6&amp;"",Key!$A:$C,3,FALSE),"")</f>
        <v/>
      </c>
      <c r="NE438">
        <f>IFERROR(VLOOKUP(NE$6&amp;"",Key!$A:$C,3,FALSE),"")</f>
        <v/>
      </c>
      <c r="NF438">
        <f>IFERROR(VLOOKUP(NF$6&amp;"",Key!$A:$C,3,FALSE),"")</f>
        <v/>
      </c>
      <c r="NG438">
        <f>IFERROR(VLOOKUP(NG$6&amp;"",Key!$A:$C,3,FALSE),"")</f>
        <v/>
      </c>
      <c r="NH438">
        <f>IFERROR(VLOOKUP(NH$6&amp;"",Key!$A:$C,3,FALSE),"")</f>
        <v/>
      </c>
      <c r="NI438">
        <f>IFERROR(VLOOKUP(NI$6&amp;"",Key!$A:$C,3,FALSE),"")</f>
        <v/>
      </c>
      <c r="NJ438">
        <f>IFERROR(VLOOKUP(NJ$6&amp;"",Key!$A:$C,3,FALSE),"")</f>
        <v/>
      </c>
      <c r="NK438">
        <f>IFERROR(VLOOKUP(NK$6&amp;"",Key!$A:$C,3,FALSE),"")</f>
        <v/>
      </c>
      <c r="NL438">
        <f>IFERROR(VLOOKUP(NL$6&amp;"",Key!$A:$C,3,FALSE),"")</f>
        <v/>
      </c>
      <c r="NM438">
        <f>IFERROR(VLOOKUP(NM$6&amp;"",Key!$A:$C,3,FALSE),"")</f>
        <v/>
      </c>
      <c r="NN438">
        <f>IFERROR(VLOOKUP(NN$6&amp;"",Key!$A:$C,3,FALSE),"")</f>
        <v/>
      </c>
      <c r="NO438">
        <f>IFERROR(VLOOKUP(NO$6&amp;"",Key!$A:$C,3,FALSE),"")</f>
        <v/>
      </c>
      <c r="NP438">
        <f>IFERROR(VLOOKUP(NP$6&amp;"",Key!$A:$C,3,FALSE),"")</f>
        <v/>
      </c>
      <c r="NQ438">
        <f>IFERROR(VLOOKUP(NQ$6&amp;"",Key!$A:$C,3,FALSE),"")</f>
        <v/>
      </c>
      <c r="NR438">
        <f>IFERROR(VLOOKUP(NR$6&amp;"",Key!$A:$C,3,FALSE),"")</f>
        <v/>
      </c>
      <c r="NS438">
        <f>IFERROR(VLOOKUP(NS$6&amp;"",Key!$A:$C,3,FALSE),"")</f>
        <v/>
      </c>
      <c r="NT438">
        <f>IFERROR(VLOOKUP(NT$6&amp;"",Key!$A:$C,3,FALSE),"")</f>
        <v/>
      </c>
      <c r="NU438">
        <f>IFERROR(VLOOKUP(NU$6&amp;"",Key!$A:$C,3,FALSE),"")</f>
        <v/>
      </c>
      <c r="NV438">
        <f>IFERROR(VLOOKUP(NV$6&amp;"",Key!$A:$C,3,FALSE),"")</f>
        <v/>
      </c>
      <c r="NW438">
        <f>IFERROR(VLOOKUP(NW$6&amp;"",Key!$A:$C,3,FALSE),"")</f>
        <v/>
      </c>
      <c r="NX438">
        <f>IFERROR(VLOOKUP(NX$6&amp;"",Key!$A:$C,3,FALSE),"")</f>
        <v/>
      </c>
      <c r="NY438">
        <f>IFERROR(VLOOKUP(NY$6&amp;"",Key!$A:$C,3,FALSE),"")</f>
        <v/>
      </c>
      <c r="NZ438">
        <f>IFERROR(VLOOKUP(NZ$6&amp;"",Key!$A:$C,3,FALSE),"")</f>
        <v/>
      </c>
      <c r="OA438">
        <f>IFERROR(VLOOKUP(OA$6&amp;"",Key!$A:$C,3,FALSE),"")</f>
        <v/>
      </c>
      <c r="OB438">
        <f>IFERROR(VLOOKUP(OB$6&amp;"",Key!$A:$C,3,FALSE),"")</f>
        <v/>
      </c>
      <c r="OC438">
        <f>IFERROR(VLOOKUP(OC$6&amp;"",Key!$A:$C,3,FALSE),"")</f>
        <v/>
      </c>
      <c r="OD438">
        <f>IFERROR(VLOOKUP(OD$6&amp;"",Key!$A:$C,3,FALSE),"")</f>
        <v/>
      </c>
      <c r="OE438">
        <f>IFERROR(VLOOKUP(OE$6&amp;"",Key!$A:$C,3,FALSE),"")</f>
        <v/>
      </c>
      <c r="OF438">
        <f>IFERROR(VLOOKUP(OF$6&amp;"",Key!$A:$C,3,FALSE),"")</f>
        <v/>
      </c>
      <c r="OG438">
        <f>IFERROR(VLOOKUP(OG$6&amp;"",Key!$A:$C,3,FALSE),"")</f>
        <v/>
      </c>
      <c r="OH438">
        <f>IFERROR(VLOOKUP(OH$6&amp;"",Key!$A:$C,3,FALSE),"")</f>
        <v/>
      </c>
      <c r="OI438">
        <f>IFERROR(VLOOKUP(OI$6&amp;"",Key!$A:$C,3,FALSE),"")</f>
        <v/>
      </c>
      <c r="OJ438">
        <f>IFERROR(VLOOKUP(OJ$6&amp;"",Key!$A:$C,3,FALSE),"")</f>
        <v/>
      </c>
      <c r="OK438">
        <f>IFERROR(VLOOKUP(OK$6&amp;"",Key!$A:$C,3,FALSE),"")</f>
        <v/>
      </c>
      <c r="OL438">
        <f>IFERROR(VLOOKUP(OL$6&amp;"",Key!$A:$C,3,FALSE),"")</f>
        <v/>
      </c>
      <c r="OM438">
        <f>IFERROR(VLOOKUP(OM$6&amp;"",Key!$A:$C,3,FALSE),"")</f>
        <v/>
      </c>
      <c r="ON438">
        <f>IFERROR(VLOOKUP(ON$6&amp;"",Key!$A:$C,3,FALSE),"")</f>
        <v/>
      </c>
      <c r="OO438">
        <f>IFERROR(VLOOKUP(OO$6&amp;"",Key!$A:$C,3,FALSE),"")</f>
        <v/>
      </c>
      <c r="OP438">
        <f>IFERROR(VLOOKUP(OP$6&amp;"",Key!$A:$C,3,FALSE),"")</f>
        <v/>
      </c>
      <c r="OQ438">
        <f>IFERROR(VLOOKUP(OQ$6&amp;"",Key!$A:$C,3,FALSE),"")</f>
        <v/>
      </c>
      <c r="OR438">
        <f>IFERROR(VLOOKUP(OR$6&amp;"",Key!$A:$C,3,FALSE),"")</f>
        <v/>
      </c>
      <c r="OS438">
        <f>IFERROR(VLOOKUP(OS$6&amp;"",Key!$A:$C,3,FALSE),"")</f>
        <v/>
      </c>
      <c r="OT438">
        <f>IFERROR(VLOOKUP(OT$6&amp;"",Key!$A:$C,3,FALSE),"")</f>
        <v/>
      </c>
      <c r="OU438">
        <f>IFERROR(VLOOKUP(OU$6&amp;"",Key!$A:$C,3,FALSE),"")</f>
        <v/>
      </c>
      <c r="OV438">
        <f>IFERROR(VLOOKUP(OV$6&amp;"",Key!$A:$C,3,FALSE),"")</f>
        <v/>
      </c>
      <c r="OW438">
        <f>IFERROR(VLOOKUP(OW$6&amp;"",Key!$A:$C,3,FALSE),"")</f>
        <v/>
      </c>
      <c r="OX438">
        <f>IFERROR(VLOOKUP(OX$6&amp;"",Key!$A:$C,3,FALSE),"")</f>
        <v/>
      </c>
      <c r="OY438">
        <f>IFERROR(VLOOKUP(OY$6&amp;"",Key!$A:$C,3,FALSE),"")</f>
        <v/>
      </c>
      <c r="OZ438">
        <f>IFERROR(VLOOKUP(OZ$6&amp;"",Key!$A:$C,3,FALSE),"")</f>
        <v/>
      </c>
      <c r="PA438">
        <f>IFERROR(VLOOKUP(PA$6&amp;"",Key!$A:$C,3,FALSE),"")</f>
        <v/>
      </c>
      <c r="PB438">
        <f>IFERROR(VLOOKUP(PB$6&amp;"",Key!$A:$C,3,FALSE),"")</f>
        <v/>
      </c>
      <c r="PC438">
        <f>IFERROR(VLOOKUP(PC$6&amp;"",Key!$A:$C,3,FALSE),"")</f>
        <v/>
      </c>
      <c r="PD438">
        <f>IFERROR(VLOOKUP(PD$6&amp;"",Key!$A:$C,3,FALSE),"")</f>
        <v/>
      </c>
      <c r="PE438">
        <f>IFERROR(VLOOKUP(PE$6&amp;"",Key!$A:$C,3,FALSE),"")</f>
        <v/>
      </c>
      <c r="PF438">
        <f>IFERROR(VLOOKUP(PF$6&amp;"",Key!$A:$C,3,FALSE),"")</f>
        <v/>
      </c>
      <c r="PG438">
        <f>IFERROR(VLOOKUP(PG$6&amp;"",Key!$A:$C,3,FALSE),"")</f>
        <v/>
      </c>
      <c r="PH438">
        <f>IFERROR(VLOOKUP(PH$6&amp;"",Key!$A:$C,3,FALSE),"")</f>
        <v/>
      </c>
      <c r="PI438">
        <f>IFERROR(VLOOKUP(PI$6&amp;"",Key!$A:$C,3,FALSE),"")</f>
        <v/>
      </c>
      <c r="PJ438">
        <f>IFERROR(VLOOKUP(PJ$6&amp;"",Key!$A:$C,3,FALSE),"")</f>
        <v/>
      </c>
      <c r="PK438">
        <f>IFERROR(VLOOKUP(PK$6&amp;"",Key!$A:$C,3,FALSE),"")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18" customWidth="1" min="3" max="3"/>
    <col width="16" customWidth="1" min="6" max="6"/>
    <col width="28" customWidth="1" min="7" max="7"/>
  </cols>
  <sheetData>
    <row r="1">
      <c r="A1" s="1" t="inlineStr">
        <is>
          <t>BEA detail code</t>
        </is>
      </c>
      <c r="B1" s="1" t="inlineStr">
        <is>
          <t>Description (from BEA)</t>
        </is>
      </c>
      <c r="C1" s="1" t="inlineStr">
        <is>
          <t>EPS ISIC code (editable)</t>
        </is>
      </c>
      <c r="E1" s="1" t="inlineStr">
        <is>
          <t>#</t>
        </is>
      </c>
      <c r="F1" s="1" t="inlineStr">
        <is>
          <t>EPS ISIC code (canonical order)</t>
        </is>
      </c>
      <c r="G1" s="1" t="inlineStr">
        <is>
          <t>OECD source (blank = carve child)</t>
        </is>
      </c>
      <c r="I1" s="1" t="inlineStr">
        <is>
          <t>Carve parent (OECD)</t>
        </is>
      </c>
      <c r="J1" s="1" t="inlineStr">
        <is>
          <t>Child 1</t>
        </is>
      </c>
      <c r="K1" s="1" t="inlineStr">
        <is>
          <t>Child 2</t>
        </is>
      </c>
    </row>
    <row r="2">
      <c r="A2" t="inlineStr">
        <is>
          <t>1111A0</t>
        </is>
      </c>
      <c r="B2" t="inlineStr">
        <is>
          <t>Oilseed farming</t>
        </is>
      </c>
      <c r="C2" t="inlineStr">
        <is>
          <t>ISIC 01</t>
        </is>
      </c>
      <c r="E2" t="n">
        <v>1</v>
      </c>
      <c r="F2" t="inlineStr">
        <is>
          <t>ISIC 01</t>
        </is>
      </c>
      <c r="G2" t="inlineStr">
        <is>
          <t>A01</t>
        </is>
      </c>
      <c r="I2" t="inlineStr">
        <is>
          <t>C23</t>
        </is>
      </c>
      <c r="J2" t="inlineStr">
        <is>
          <t>ISIC 231</t>
        </is>
      </c>
      <c r="K2" t="inlineStr">
        <is>
          <t>ISIC 239</t>
        </is>
      </c>
    </row>
    <row r="3">
      <c r="A3" t="inlineStr">
        <is>
          <t>1111B0</t>
        </is>
      </c>
      <c r="B3" t="inlineStr">
        <is>
          <t>Grain farming</t>
        </is>
      </c>
      <c r="C3" t="inlineStr">
        <is>
          <t>ISIC 01</t>
        </is>
      </c>
      <c r="E3" t="n">
        <v>2</v>
      </c>
      <c r="F3" t="inlineStr">
        <is>
          <t>ISIC 02</t>
        </is>
      </c>
      <c r="G3" t="inlineStr">
        <is>
          <t>A02</t>
        </is>
      </c>
      <c r="I3" t="inlineStr">
        <is>
          <t>D</t>
        </is>
      </c>
      <c r="J3" t="inlineStr">
        <is>
          <t>ISIC 351</t>
        </is>
      </c>
      <c r="K3" t="inlineStr">
        <is>
          <t>ISIC 352T353</t>
        </is>
      </c>
    </row>
    <row r="4">
      <c r="A4" t="inlineStr">
        <is>
          <t>111200</t>
        </is>
      </c>
      <c r="B4" t="inlineStr">
        <is>
          <t>Vegetable and melon farming</t>
        </is>
      </c>
      <c r="C4" t="inlineStr">
        <is>
          <t>ISIC 01</t>
        </is>
      </c>
      <c r="E4" t="n">
        <v>3</v>
      </c>
      <c r="F4" t="inlineStr">
        <is>
          <t>ISIC 03</t>
        </is>
      </c>
      <c r="G4" t="inlineStr">
        <is>
          <t>A03</t>
        </is>
      </c>
    </row>
    <row r="5">
      <c r="A5" t="inlineStr">
        <is>
          <t>111300</t>
        </is>
      </c>
      <c r="B5" t="inlineStr">
        <is>
          <t>Fruit and tree nut farming</t>
        </is>
      </c>
      <c r="C5" t="inlineStr">
        <is>
          <t>ISIC 01</t>
        </is>
      </c>
      <c r="E5" t="n">
        <v>4</v>
      </c>
      <c r="F5" t="inlineStr">
        <is>
          <t>ISIC 05</t>
        </is>
      </c>
      <c r="G5" t="inlineStr">
        <is>
          <t>B05</t>
        </is>
      </c>
    </row>
    <row r="6">
      <c r="A6" t="inlineStr">
        <is>
          <t>111400</t>
        </is>
      </c>
      <c r="B6" t="inlineStr">
        <is>
          <t>Greenhouse, nursery, and floriculture production</t>
        </is>
      </c>
      <c r="C6" t="inlineStr">
        <is>
          <t>ISIC 01</t>
        </is>
      </c>
      <c r="E6" t="n">
        <v>5</v>
      </c>
      <c r="F6" t="inlineStr">
        <is>
          <t>ISIC 06</t>
        </is>
      </c>
      <c r="G6" t="inlineStr">
        <is>
          <t>B06</t>
        </is>
      </c>
    </row>
    <row r="7">
      <c r="A7" t="inlineStr">
        <is>
          <t>111900</t>
        </is>
      </c>
      <c r="B7" t="inlineStr">
        <is>
          <t>Other crop farming</t>
        </is>
      </c>
      <c r="C7" t="inlineStr">
        <is>
          <t>ISIC 01</t>
        </is>
      </c>
      <c r="E7" t="n">
        <v>6</v>
      </c>
      <c r="F7" t="inlineStr">
        <is>
          <t>ISIC 07</t>
        </is>
      </c>
      <c r="G7" t="inlineStr">
        <is>
          <t>B07</t>
        </is>
      </c>
    </row>
    <row r="8">
      <c r="A8" t="inlineStr">
        <is>
          <t>112120</t>
        </is>
      </c>
      <c r="B8" t="inlineStr">
        <is>
          <t>Dairy cattle and milk production</t>
        </is>
      </c>
      <c r="C8" t="inlineStr">
        <is>
          <t>ISIC 01</t>
        </is>
      </c>
      <c r="E8" t="n">
        <v>7</v>
      </c>
      <c r="F8" t="inlineStr">
        <is>
          <t>ISIC 08</t>
        </is>
      </c>
      <c r="G8" t="inlineStr">
        <is>
          <t>B08</t>
        </is>
      </c>
    </row>
    <row r="9">
      <c r="A9" t="inlineStr">
        <is>
          <t>1121A0</t>
        </is>
      </c>
      <c r="B9" t="inlineStr">
        <is>
          <t>Beef cattle ranching and farming, including feedlots and dual-purpose ranching and farming</t>
        </is>
      </c>
      <c r="C9" t="inlineStr">
        <is>
          <t>ISIC 01</t>
        </is>
      </c>
      <c r="E9" t="n">
        <v>8</v>
      </c>
      <c r="F9" t="inlineStr">
        <is>
          <t>ISIC 09</t>
        </is>
      </c>
      <c r="G9" t="inlineStr">
        <is>
          <t>B09</t>
        </is>
      </c>
    </row>
    <row r="10">
      <c r="A10" t="inlineStr">
        <is>
          <t>112300</t>
        </is>
      </c>
      <c r="B10" t="inlineStr">
        <is>
          <t>Poultry and egg production</t>
        </is>
      </c>
      <c r="C10" t="inlineStr">
        <is>
          <t>ISIC 01</t>
        </is>
      </c>
      <c r="E10" t="n">
        <v>9</v>
      </c>
      <c r="F10" t="inlineStr">
        <is>
          <t>ISIC 10T12</t>
        </is>
      </c>
      <c r="G10" t="inlineStr">
        <is>
          <t>C10T12</t>
        </is>
      </c>
    </row>
    <row r="11">
      <c r="A11" t="inlineStr">
        <is>
          <t>112A00</t>
        </is>
      </c>
      <c r="B11" t="inlineStr">
        <is>
          <t>Animal production, except cattle and poultry and eggs</t>
        </is>
      </c>
      <c r="C11" t="inlineStr">
        <is>
          <t>ISIC 01</t>
        </is>
      </c>
      <c r="E11" t="n">
        <v>10</v>
      </c>
      <c r="F11" t="inlineStr">
        <is>
          <t>ISIC 13T15</t>
        </is>
      </c>
      <c r="G11" t="inlineStr">
        <is>
          <t>C13T15</t>
        </is>
      </c>
    </row>
    <row r="12">
      <c r="A12" t="inlineStr">
        <is>
          <t>113000</t>
        </is>
      </c>
      <c r="B12" t="inlineStr">
        <is>
          <t>Forestry and logging</t>
        </is>
      </c>
      <c r="C12" t="inlineStr">
        <is>
          <t>ISIC 02</t>
        </is>
      </c>
      <c r="E12" t="n">
        <v>11</v>
      </c>
      <c r="F12" t="inlineStr">
        <is>
          <t>ISIC 16</t>
        </is>
      </c>
      <c r="G12" t="inlineStr">
        <is>
          <t>C16</t>
        </is>
      </c>
    </row>
    <row r="13">
      <c r="A13" t="inlineStr">
        <is>
          <t>114000</t>
        </is>
      </c>
      <c r="B13" t="inlineStr">
        <is>
          <t>Fishing, hunting and trapping</t>
        </is>
      </c>
      <c r="C13" t="inlineStr">
        <is>
          <t>ISIC 03</t>
        </is>
      </c>
      <c r="E13" t="n">
        <v>12</v>
      </c>
      <c r="F13" t="inlineStr">
        <is>
          <t>ISIC 17T18</t>
        </is>
      </c>
      <c r="G13" t="inlineStr">
        <is>
          <t>C17_18</t>
        </is>
      </c>
    </row>
    <row r="14">
      <c r="A14" t="inlineStr">
        <is>
          <t>115000</t>
        </is>
      </c>
      <c r="B14" t="inlineStr">
        <is>
          <t>Support activities for agriculture and forestry</t>
        </is>
      </c>
      <c r="C14" t="inlineStr">
        <is>
          <t>ISIC 01</t>
        </is>
      </c>
      <c r="E14" t="n">
        <v>13</v>
      </c>
      <c r="F14" t="inlineStr">
        <is>
          <t>ISIC 19</t>
        </is>
      </c>
      <c r="G14" t="inlineStr">
        <is>
          <t>C19</t>
        </is>
      </c>
    </row>
    <row r="15">
      <c r="A15" t="inlineStr">
        <is>
          <t>211000</t>
        </is>
      </c>
      <c r="B15" t="inlineStr">
        <is>
          <t>Oil and gas extraction</t>
        </is>
      </c>
      <c r="C15" t="inlineStr">
        <is>
          <t>ISIC 06</t>
        </is>
      </c>
      <c r="E15" t="n">
        <v>14</v>
      </c>
      <c r="F15" t="inlineStr">
        <is>
          <t>ISIC 20</t>
        </is>
      </c>
      <c r="G15" t="inlineStr">
        <is>
          <t>C20</t>
        </is>
      </c>
    </row>
    <row r="16">
      <c r="A16" t="inlineStr">
        <is>
          <t>212100</t>
        </is>
      </c>
      <c r="B16" t="inlineStr">
        <is>
          <t>Coal mining</t>
        </is>
      </c>
      <c r="C16" t="inlineStr">
        <is>
          <t>ISIC 05</t>
        </is>
      </c>
      <c r="E16" t="n">
        <v>15</v>
      </c>
      <c r="F16" t="inlineStr">
        <is>
          <t>ISIC 21</t>
        </is>
      </c>
      <c r="G16" t="inlineStr">
        <is>
          <t>C21</t>
        </is>
      </c>
    </row>
    <row r="17">
      <c r="A17" t="inlineStr">
        <is>
          <t>212230</t>
        </is>
      </c>
      <c r="B17" t="inlineStr">
        <is>
          <t>Copper, nickel, lead, and zinc mining</t>
        </is>
      </c>
      <c r="C17" t="inlineStr">
        <is>
          <t>ISIC 07</t>
        </is>
      </c>
      <c r="E17" t="n">
        <v>16</v>
      </c>
      <c r="F17" t="inlineStr">
        <is>
          <t>ISIC 22</t>
        </is>
      </c>
      <c r="G17" t="inlineStr">
        <is>
          <t>C22</t>
        </is>
      </c>
    </row>
    <row r="18">
      <c r="A18" t="inlineStr">
        <is>
          <t>2122A0</t>
        </is>
      </c>
      <c r="B18" t="inlineStr">
        <is>
          <t>Iron, gold, silver, and other metal ore mining</t>
        </is>
      </c>
      <c r="C18" t="inlineStr">
        <is>
          <t>ISIC 07</t>
        </is>
      </c>
      <c r="E18" t="n">
        <v>17</v>
      </c>
      <c r="F18" t="inlineStr">
        <is>
          <t>ISIC 231</t>
        </is>
      </c>
      <c r="G18" t="inlineStr"/>
    </row>
    <row r="19">
      <c r="A19" t="inlineStr">
        <is>
          <t>212310</t>
        </is>
      </c>
      <c r="B19" t="inlineStr">
        <is>
          <t>Stone mining and quarrying</t>
        </is>
      </c>
      <c r="C19" t="inlineStr">
        <is>
          <t>ISIC 08</t>
        </is>
      </c>
      <c r="E19" t="n">
        <v>18</v>
      </c>
      <c r="F19" t="inlineStr">
        <is>
          <t>ISIC 239</t>
        </is>
      </c>
      <c r="G19" t="inlineStr"/>
    </row>
    <row r="20">
      <c r="A20" t="inlineStr">
        <is>
          <t>2123A0</t>
        </is>
      </c>
      <c r="B20" t="inlineStr">
        <is>
          <t>Other nonmetallic mineral mining and quarrying</t>
        </is>
      </c>
      <c r="C20" t="inlineStr">
        <is>
          <t>ISIC 08</t>
        </is>
      </c>
      <c r="E20" t="n">
        <v>19</v>
      </c>
      <c r="F20" t="inlineStr">
        <is>
          <t>ISIC 241</t>
        </is>
      </c>
      <c r="G20" t="inlineStr">
        <is>
          <t>C24A</t>
        </is>
      </c>
    </row>
    <row r="21">
      <c r="A21" t="inlineStr">
        <is>
          <t>213111</t>
        </is>
      </c>
      <c r="B21" t="inlineStr">
        <is>
          <t>Drilling oil and gas wells</t>
        </is>
      </c>
      <c r="C21" t="inlineStr">
        <is>
          <t>ISIC 09</t>
        </is>
      </c>
      <c r="E21" t="n">
        <v>20</v>
      </c>
      <c r="F21" t="inlineStr">
        <is>
          <t>ISIC 242</t>
        </is>
      </c>
      <c r="G21" t="inlineStr">
        <is>
          <t>C24B</t>
        </is>
      </c>
    </row>
    <row r="22">
      <c r="A22" t="inlineStr">
        <is>
          <t>21311A</t>
        </is>
      </c>
      <c r="B22" t="inlineStr">
        <is>
          <t>Other support activities for mining</t>
        </is>
      </c>
      <c r="C22" t="inlineStr">
        <is>
          <t>ISIC 09</t>
        </is>
      </c>
      <c r="E22" t="n">
        <v>21</v>
      </c>
      <c r="F22" t="inlineStr">
        <is>
          <t>ISIC 25</t>
        </is>
      </c>
      <c r="G22" t="inlineStr">
        <is>
          <t>C25</t>
        </is>
      </c>
    </row>
    <row r="23">
      <c r="A23" t="inlineStr">
        <is>
          <t>221100</t>
        </is>
      </c>
      <c r="B23" t="inlineStr">
        <is>
          <t>Electric power generation, transmission, and distribution</t>
        </is>
      </c>
      <c r="C23" t="inlineStr">
        <is>
          <t>ISIC 351</t>
        </is>
      </c>
      <c r="E23" t="n">
        <v>22</v>
      </c>
      <c r="F23" t="inlineStr">
        <is>
          <t>ISIC 26</t>
        </is>
      </c>
      <c r="G23" t="inlineStr">
        <is>
          <t>C26</t>
        </is>
      </c>
    </row>
    <row r="24">
      <c r="A24" t="inlineStr">
        <is>
          <t>221200</t>
        </is>
      </c>
      <c r="B24" t="inlineStr">
        <is>
          <t>Natural gas distribution</t>
        </is>
      </c>
      <c r="C24" t="inlineStr">
        <is>
          <t>ISIC 352T353</t>
        </is>
      </c>
      <c r="E24" t="n">
        <v>23</v>
      </c>
      <c r="F24" t="inlineStr">
        <is>
          <t>ISIC 27</t>
        </is>
      </c>
      <c r="G24" t="inlineStr">
        <is>
          <t>C27</t>
        </is>
      </c>
    </row>
    <row r="25">
      <c r="A25" t="inlineStr">
        <is>
          <t>221300</t>
        </is>
      </c>
      <c r="B25" t="inlineStr">
        <is>
          <t>Water, sewage and other systems</t>
        </is>
      </c>
      <c r="C25" t="inlineStr">
        <is>
          <t>ISIC 36T39</t>
        </is>
      </c>
      <c r="E25" t="n">
        <v>24</v>
      </c>
      <c r="F25" t="inlineStr">
        <is>
          <t>ISIC 28</t>
        </is>
      </c>
      <c r="G25" t="inlineStr">
        <is>
          <t>C28</t>
        </is>
      </c>
    </row>
    <row r="26">
      <c r="A26" t="inlineStr">
        <is>
          <t>230301</t>
        </is>
      </c>
      <c r="B26" t="inlineStr">
        <is>
          <t>Nonresidential maintenance and repair</t>
        </is>
      </c>
      <c r="C26" t="inlineStr">
        <is>
          <t>ISIC 41T43</t>
        </is>
      </c>
      <c r="E26" t="n">
        <v>25</v>
      </c>
      <c r="F26" t="inlineStr">
        <is>
          <t>ISIC 29</t>
        </is>
      </c>
      <c r="G26" t="inlineStr">
        <is>
          <t>C29</t>
        </is>
      </c>
    </row>
    <row r="27">
      <c r="A27" t="inlineStr">
        <is>
          <t>230302</t>
        </is>
      </c>
      <c r="B27" t="inlineStr">
        <is>
          <t>Residential maintenance and repair</t>
        </is>
      </c>
      <c r="C27" t="inlineStr">
        <is>
          <t>ISIC 41T43</t>
        </is>
      </c>
      <c r="E27" t="n">
        <v>26</v>
      </c>
      <c r="F27" t="inlineStr">
        <is>
          <t>ISIC 301</t>
        </is>
      </c>
      <c r="G27" t="inlineStr">
        <is>
          <t>C301</t>
        </is>
      </c>
    </row>
    <row r="28">
      <c r="A28" t="inlineStr">
        <is>
          <t>233210</t>
        </is>
      </c>
      <c r="B28" t="inlineStr">
        <is>
          <t>Health care structures</t>
        </is>
      </c>
      <c r="C28" t="inlineStr">
        <is>
          <t>ISIC 41T43</t>
        </is>
      </c>
      <c r="E28" t="n">
        <v>27</v>
      </c>
      <c r="F28" t="inlineStr">
        <is>
          <t>ISIC 302T309</t>
        </is>
      </c>
      <c r="G28" t="inlineStr">
        <is>
          <t>C302T309</t>
        </is>
      </c>
    </row>
    <row r="29">
      <c r="A29" t="inlineStr">
        <is>
          <t>233230</t>
        </is>
      </c>
      <c r="B29" t="inlineStr">
        <is>
          <t>Manufacturing structures</t>
        </is>
      </c>
      <c r="C29" t="inlineStr">
        <is>
          <t>ISIC 41T43</t>
        </is>
      </c>
      <c r="E29" t="n">
        <v>28</v>
      </c>
      <c r="F29" t="inlineStr">
        <is>
          <t>ISIC 31T33</t>
        </is>
      </c>
      <c r="G29" t="inlineStr">
        <is>
          <t>C31T33</t>
        </is>
      </c>
    </row>
    <row r="30">
      <c r="A30" t="inlineStr">
        <is>
          <t>233240</t>
        </is>
      </c>
      <c r="B30" t="inlineStr">
        <is>
          <t>Power and communication structures</t>
        </is>
      </c>
      <c r="C30" t="inlineStr">
        <is>
          <t>ISIC 41T43</t>
        </is>
      </c>
      <c r="E30" t="n">
        <v>29</v>
      </c>
      <c r="F30" t="inlineStr">
        <is>
          <t>ISIC 351</t>
        </is>
      </c>
      <c r="G30" t="inlineStr"/>
    </row>
    <row r="31">
      <c r="A31" t="inlineStr">
        <is>
          <t>233262</t>
        </is>
      </c>
      <c r="B31" t="inlineStr">
        <is>
          <t>Educational and vocational structures</t>
        </is>
      </c>
      <c r="C31" t="inlineStr">
        <is>
          <t>ISIC 41T43</t>
        </is>
      </c>
      <c r="E31" t="n">
        <v>30</v>
      </c>
      <c r="F31" t="inlineStr">
        <is>
          <t>ISIC 352T353</t>
        </is>
      </c>
      <c r="G31" t="inlineStr"/>
    </row>
    <row r="32">
      <c r="A32" t="inlineStr">
        <is>
          <t>2332A0</t>
        </is>
      </c>
      <c r="B32" t="inlineStr">
        <is>
          <t>Office and commercial structures</t>
        </is>
      </c>
      <c r="C32" t="inlineStr">
        <is>
          <t>ISIC 41T43</t>
        </is>
      </c>
      <c r="E32" t="n">
        <v>31</v>
      </c>
      <c r="F32" t="inlineStr">
        <is>
          <t>ISIC 36T39</t>
        </is>
      </c>
      <c r="G32" t="inlineStr">
        <is>
          <t>E</t>
        </is>
      </c>
    </row>
    <row r="33">
      <c r="A33" t="inlineStr">
        <is>
          <t>2332C0</t>
        </is>
      </c>
      <c r="B33" t="inlineStr">
        <is>
          <t>Transportation structures and highways and streets</t>
        </is>
      </c>
      <c r="C33" t="inlineStr">
        <is>
          <t>ISIC 41T43</t>
        </is>
      </c>
      <c r="E33" t="n">
        <v>32</v>
      </c>
      <c r="F33" t="inlineStr">
        <is>
          <t>ISIC 41T43</t>
        </is>
      </c>
      <c r="G33" t="inlineStr">
        <is>
          <t>F</t>
        </is>
      </c>
    </row>
    <row r="34">
      <c r="A34" t="inlineStr">
        <is>
          <t>2332D0</t>
        </is>
      </c>
      <c r="B34" t="inlineStr">
        <is>
          <t>Other nonresidential structures</t>
        </is>
      </c>
      <c r="C34" t="inlineStr">
        <is>
          <t>ISIC 41T43</t>
        </is>
      </c>
      <c r="E34" t="n">
        <v>33</v>
      </c>
      <c r="F34" t="inlineStr">
        <is>
          <t>ISIC 45T47</t>
        </is>
      </c>
      <c r="G34" t="inlineStr">
        <is>
          <t>G</t>
        </is>
      </c>
    </row>
    <row r="35">
      <c r="A35" t="inlineStr">
        <is>
          <t>233411</t>
        </is>
      </c>
      <c r="B35" t="inlineStr">
        <is>
          <t>Single-family residential structures</t>
        </is>
      </c>
      <c r="C35" t="inlineStr">
        <is>
          <t>ISIC 41T43</t>
        </is>
      </c>
      <c r="E35" t="n">
        <v>34</v>
      </c>
      <c r="F35" t="inlineStr">
        <is>
          <t>ISIC 49</t>
        </is>
      </c>
      <c r="G35" t="inlineStr">
        <is>
          <t>H49</t>
        </is>
      </c>
    </row>
    <row r="36">
      <c r="A36" t="inlineStr">
        <is>
          <t>233412</t>
        </is>
      </c>
      <c r="B36" t="inlineStr">
        <is>
          <t>Multifamily residential structures</t>
        </is>
      </c>
      <c r="C36" t="inlineStr">
        <is>
          <t>ISIC 41T43</t>
        </is>
      </c>
      <c r="E36" t="n">
        <v>35</v>
      </c>
      <c r="F36" t="inlineStr">
        <is>
          <t>ISIC 50</t>
        </is>
      </c>
      <c r="G36" t="inlineStr">
        <is>
          <t>H50</t>
        </is>
      </c>
    </row>
    <row r="37">
      <c r="A37" t="inlineStr">
        <is>
          <t>2334A0</t>
        </is>
      </c>
      <c r="B37" t="inlineStr">
        <is>
          <t>Other residential structures</t>
        </is>
      </c>
      <c r="C37" t="inlineStr">
        <is>
          <t>ISIC 41T43</t>
        </is>
      </c>
      <c r="E37" t="n">
        <v>36</v>
      </c>
      <c r="F37" t="inlineStr">
        <is>
          <t>ISIC 51</t>
        </is>
      </c>
      <c r="G37" t="inlineStr">
        <is>
          <t>H51</t>
        </is>
      </c>
    </row>
    <row r="38">
      <c r="A38" t="inlineStr">
        <is>
          <t>311111</t>
        </is>
      </c>
      <c r="B38" t="inlineStr">
        <is>
          <t>Dog and cat food manufacturing</t>
        </is>
      </c>
      <c r="C38" t="inlineStr">
        <is>
          <t>ISIC 10T12</t>
        </is>
      </c>
      <c r="E38" t="n">
        <v>37</v>
      </c>
      <c r="F38" t="inlineStr">
        <is>
          <t>ISIC 52</t>
        </is>
      </c>
      <c r="G38" t="inlineStr">
        <is>
          <t>H52</t>
        </is>
      </c>
    </row>
    <row r="39">
      <c r="A39" t="inlineStr">
        <is>
          <t>311119</t>
        </is>
      </c>
      <c r="B39" t="inlineStr">
        <is>
          <t>Other animal food manufacturing</t>
        </is>
      </c>
      <c r="C39" t="inlineStr">
        <is>
          <t>ISIC 10T12</t>
        </is>
      </c>
      <c r="E39" t="n">
        <v>38</v>
      </c>
      <c r="F39" t="inlineStr">
        <is>
          <t>ISIC 53</t>
        </is>
      </c>
      <c r="G39" t="inlineStr">
        <is>
          <t>H53</t>
        </is>
      </c>
    </row>
    <row r="40">
      <c r="A40" t="inlineStr">
        <is>
          <t>311210</t>
        </is>
      </c>
      <c r="B40" t="inlineStr">
        <is>
          <t>Flour milling and malt manufacturing</t>
        </is>
      </c>
      <c r="C40" t="inlineStr">
        <is>
          <t>ISIC 10T12</t>
        </is>
      </c>
      <c r="E40" t="n">
        <v>39</v>
      </c>
      <c r="F40" t="inlineStr">
        <is>
          <t>ISIC 55T56</t>
        </is>
      </c>
      <c r="G40" t="inlineStr">
        <is>
          <t>I</t>
        </is>
      </c>
    </row>
    <row r="41">
      <c r="A41" t="inlineStr">
        <is>
          <t>311221</t>
        </is>
      </c>
      <c r="B41" t="inlineStr">
        <is>
          <t>Wet corn milling</t>
        </is>
      </c>
      <c r="C41" t="inlineStr">
        <is>
          <t>ISIC 10T12</t>
        </is>
      </c>
      <c r="E41" t="n">
        <v>40</v>
      </c>
      <c r="F41" t="inlineStr">
        <is>
          <t>ISIC 58T60</t>
        </is>
      </c>
      <c r="G41" t="inlineStr">
        <is>
          <t>J58T60</t>
        </is>
      </c>
    </row>
    <row r="42">
      <c r="A42" t="inlineStr">
        <is>
          <t>311224</t>
        </is>
      </c>
      <c r="B42" t="inlineStr">
        <is>
          <t>Soybean and other oilseed processing</t>
        </is>
      </c>
      <c r="C42" t="inlineStr">
        <is>
          <t>ISIC 10T12</t>
        </is>
      </c>
      <c r="E42" t="n">
        <v>41</v>
      </c>
      <c r="F42" t="inlineStr">
        <is>
          <t>ISIC 61</t>
        </is>
      </c>
      <c r="G42" t="inlineStr">
        <is>
          <t>J61</t>
        </is>
      </c>
    </row>
    <row r="43">
      <c r="A43" t="inlineStr">
        <is>
          <t>311225</t>
        </is>
      </c>
      <c r="B43" t="inlineStr">
        <is>
          <t>Fats and oils refining and blending</t>
        </is>
      </c>
      <c r="C43" t="inlineStr">
        <is>
          <t>ISIC 10T12</t>
        </is>
      </c>
      <c r="E43" t="n">
        <v>42</v>
      </c>
      <c r="F43" t="inlineStr">
        <is>
          <t>ISIC 62T63</t>
        </is>
      </c>
      <c r="G43" t="inlineStr">
        <is>
          <t>J62_63</t>
        </is>
      </c>
    </row>
    <row r="44">
      <c r="A44" t="inlineStr">
        <is>
          <t>311230</t>
        </is>
      </c>
      <c r="B44" t="inlineStr">
        <is>
          <t>Breakfast cereal manufacturing</t>
        </is>
      </c>
      <c r="C44" t="inlineStr">
        <is>
          <t>ISIC 10T12</t>
        </is>
      </c>
      <c r="E44" t="n">
        <v>43</v>
      </c>
      <c r="F44" t="inlineStr">
        <is>
          <t>ISIC 64T66</t>
        </is>
      </c>
      <c r="G44" t="inlineStr">
        <is>
          <t>K</t>
        </is>
      </c>
    </row>
    <row r="45">
      <c r="A45" t="inlineStr">
        <is>
          <t>311300</t>
        </is>
      </c>
      <c r="B45" t="inlineStr">
        <is>
          <t>Sugar and confectionery product manufacturing</t>
        </is>
      </c>
      <c r="C45" t="inlineStr">
        <is>
          <t>ISIC 10T12</t>
        </is>
      </c>
      <c r="E45" t="n">
        <v>44</v>
      </c>
      <c r="F45" t="inlineStr">
        <is>
          <t>ISIC 68</t>
        </is>
      </c>
      <c r="G45" t="inlineStr">
        <is>
          <t>L</t>
        </is>
      </c>
    </row>
    <row r="46">
      <c r="A46" t="inlineStr">
        <is>
          <t>311410</t>
        </is>
      </c>
      <c r="B46" t="inlineStr">
        <is>
          <t>Frozen food manufacturing</t>
        </is>
      </c>
      <c r="C46" t="inlineStr">
        <is>
          <t>ISIC 10T12</t>
        </is>
      </c>
      <c r="E46" t="n">
        <v>45</v>
      </c>
      <c r="F46" t="inlineStr">
        <is>
          <t>ISIC 69T75</t>
        </is>
      </c>
      <c r="G46" t="inlineStr">
        <is>
          <t>M</t>
        </is>
      </c>
    </row>
    <row r="47">
      <c r="A47" t="inlineStr">
        <is>
          <t>311420</t>
        </is>
      </c>
      <c r="B47" t="inlineStr">
        <is>
          <t>Fruit and vegetable canning, pickling, and drying</t>
        </is>
      </c>
      <c r="C47" t="inlineStr">
        <is>
          <t>ISIC 10T12</t>
        </is>
      </c>
      <c r="E47" t="n">
        <v>46</v>
      </c>
      <c r="F47" t="inlineStr">
        <is>
          <t>ISIC 77T82</t>
        </is>
      </c>
      <c r="G47" t="inlineStr">
        <is>
          <t>N</t>
        </is>
      </c>
    </row>
    <row r="48">
      <c r="A48" t="inlineStr">
        <is>
          <t>311513</t>
        </is>
      </c>
      <c r="B48" t="inlineStr">
        <is>
          <t>Cheese manufacturing</t>
        </is>
      </c>
      <c r="C48" t="inlineStr">
        <is>
          <t>ISIC 10T12</t>
        </is>
      </c>
      <c r="E48" t="n">
        <v>47</v>
      </c>
      <c r="F48" t="inlineStr">
        <is>
          <t>ISIC 84</t>
        </is>
      </c>
      <c r="G48" t="inlineStr">
        <is>
          <t>O</t>
        </is>
      </c>
    </row>
    <row r="49">
      <c r="A49" t="inlineStr">
        <is>
          <t>311514</t>
        </is>
      </c>
      <c r="B49" t="inlineStr">
        <is>
          <t>Dry, condensed, and evaporated dairy product manufacturing</t>
        </is>
      </c>
      <c r="C49" t="inlineStr">
        <is>
          <t>ISIC 10T12</t>
        </is>
      </c>
      <c r="E49" t="n">
        <v>48</v>
      </c>
      <c r="F49" t="inlineStr">
        <is>
          <t>ISIC 85</t>
        </is>
      </c>
      <c r="G49" t="inlineStr">
        <is>
          <t>P</t>
        </is>
      </c>
    </row>
    <row r="50">
      <c r="A50" t="inlineStr">
        <is>
          <t>31151A</t>
        </is>
      </c>
      <c r="B50" t="inlineStr">
        <is>
          <t>Fluid milk and butter manufacturing</t>
        </is>
      </c>
      <c r="C50" t="inlineStr">
        <is>
          <t>ISIC 10T12</t>
        </is>
      </c>
      <c r="E50" t="n">
        <v>49</v>
      </c>
      <c r="F50" t="inlineStr">
        <is>
          <t>ISIC 86T88</t>
        </is>
      </c>
      <c r="G50" t="inlineStr">
        <is>
          <t>Q</t>
        </is>
      </c>
    </row>
    <row r="51">
      <c r="A51" t="inlineStr">
        <is>
          <t>311520</t>
        </is>
      </c>
      <c r="B51" t="inlineStr">
        <is>
          <t>Ice cream and frozen dessert manufacturing</t>
        </is>
      </c>
      <c r="C51" t="inlineStr">
        <is>
          <t>ISIC 10T12</t>
        </is>
      </c>
      <c r="E51" t="n">
        <v>50</v>
      </c>
      <c r="F51" t="inlineStr">
        <is>
          <t>ISIC 90T93</t>
        </is>
      </c>
      <c r="G51" t="inlineStr">
        <is>
          <t>R</t>
        </is>
      </c>
    </row>
    <row r="52">
      <c r="A52" t="inlineStr">
        <is>
          <t>311615</t>
        </is>
      </c>
      <c r="B52" t="inlineStr">
        <is>
          <t>Poultry processing</t>
        </is>
      </c>
      <c r="C52" t="inlineStr">
        <is>
          <t>ISIC 10T12</t>
        </is>
      </c>
      <c r="E52" t="n">
        <v>51</v>
      </c>
      <c r="F52" t="inlineStr">
        <is>
          <t>ISIC 94T96</t>
        </is>
      </c>
      <c r="G52" t="inlineStr">
        <is>
          <t>S</t>
        </is>
      </c>
    </row>
    <row r="53">
      <c r="A53" t="inlineStr">
        <is>
          <t>31161A</t>
        </is>
      </c>
      <c r="B53" t="inlineStr">
        <is>
          <t>Animal (except poultry) slaughtering, rendering, and processing</t>
        </is>
      </c>
      <c r="C53" t="inlineStr">
        <is>
          <t>ISIC 10T12</t>
        </is>
      </c>
      <c r="E53" t="n">
        <v>52</v>
      </c>
      <c r="F53" t="inlineStr">
        <is>
          <t>ISIC 97T98</t>
        </is>
      </c>
      <c r="G53" t="inlineStr">
        <is>
          <t>T</t>
        </is>
      </c>
    </row>
    <row r="54">
      <c r="A54" t="inlineStr">
        <is>
          <t>311700</t>
        </is>
      </c>
      <c r="B54" t="inlineStr">
        <is>
          <t>Seafood product preparation and packaging</t>
        </is>
      </c>
      <c r="C54" t="inlineStr">
        <is>
          <t>ISIC 10T12</t>
        </is>
      </c>
    </row>
    <row r="55">
      <c r="A55" t="inlineStr">
        <is>
          <t>311810</t>
        </is>
      </c>
      <c r="B55" t="inlineStr">
        <is>
          <t>Bread and bakery product manufacturing</t>
        </is>
      </c>
      <c r="C55" t="inlineStr">
        <is>
          <t>ISIC 10T12</t>
        </is>
      </c>
    </row>
    <row r="56">
      <c r="A56" t="inlineStr">
        <is>
          <t>3118A0</t>
        </is>
      </c>
      <c r="B56" t="inlineStr">
        <is>
          <t>Cookie, cracker, pasta, and tortilla manufacturing</t>
        </is>
      </c>
      <c r="C56" t="inlineStr">
        <is>
          <t>ISIC 10T12</t>
        </is>
      </c>
    </row>
    <row r="57">
      <c r="A57" t="inlineStr">
        <is>
          <t>311910</t>
        </is>
      </c>
      <c r="B57" t="inlineStr">
        <is>
          <t>Snack food manufacturing</t>
        </is>
      </c>
      <c r="C57" t="inlineStr">
        <is>
          <t>ISIC 10T12</t>
        </is>
      </c>
    </row>
    <row r="58">
      <c r="A58" t="inlineStr">
        <is>
          <t>311920</t>
        </is>
      </c>
      <c r="B58" t="inlineStr">
        <is>
          <t>Coffee and tea manufacturing</t>
        </is>
      </c>
      <c r="C58" t="inlineStr">
        <is>
          <t>ISIC 10T12</t>
        </is>
      </c>
    </row>
    <row r="59">
      <c r="A59" t="inlineStr">
        <is>
          <t>311930</t>
        </is>
      </c>
      <c r="B59" t="inlineStr">
        <is>
          <t>Flavoring syrup and concentrate manufacturing</t>
        </is>
      </c>
      <c r="C59" t="inlineStr">
        <is>
          <t>ISIC 10T12</t>
        </is>
      </c>
    </row>
    <row r="60">
      <c r="A60" t="inlineStr">
        <is>
          <t>311940</t>
        </is>
      </c>
      <c r="B60" t="inlineStr">
        <is>
          <t>Seasoning and dressing manufacturing</t>
        </is>
      </c>
      <c r="C60" t="inlineStr">
        <is>
          <t>ISIC 10T12</t>
        </is>
      </c>
    </row>
    <row r="61">
      <c r="A61" t="inlineStr">
        <is>
          <t>311990</t>
        </is>
      </c>
      <c r="B61" t="inlineStr">
        <is>
          <t>All other food manufacturing</t>
        </is>
      </c>
      <c r="C61" t="inlineStr">
        <is>
          <t>ISIC 10T12</t>
        </is>
      </c>
    </row>
    <row r="62">
      <c r="A62" t="inlineStr">
        <is>
          <t>312110</t>
        </is>
      </c>
      <c r="B62" t="inlineStr">
        <is>
          <t>Soft drink and ice manufacturing</t>
        </is>
      </c>
      <c r="C62" t="inlineStr">
        <is>
          <t>ISIC 10T12</t>
        </is>
      </c>
    </row>
    <row r="63">
      <c r="A63" t="inlineStr">
        <is>
          <t>312120</t>
        </is>
      </c>
      <c r="B63" t="inlineStr">
        <is>
          <t>Breweries</t>
        </is>
      </c>
      <c r="C63" t="inlineStr">
        <is>
          <t>ISIC 10T12</t>
        </is>
      </c>
    </row>
    <row r="64">
      <c r="A64" t="inlineStr">
        <is>
          <t>312130</t>
        </is>
      </c>
      <c r="B64" t="inlineStr">
        <is>
          <t>Wineries</t>
        </is>
      </c>
      <c r="C64" t="inlineStr">
        <is>
          <t>ISIC 10T12</t>
        </is>
      </c>
    </row>
    <row r="65">
      <c r="A65" t="inlineStr">
        <is>
          <t>312140</t>
        </is>
      </c>
      <c r="B65" t="inlineStr">
        <is>
          <t>Distilleries</t>
        </is>
      </c>
      <c r="C65" t="inlineStr">
        <is>
          <t>ISIC 10T12</t>
        </is>
      </c>
    </row>
    <row r="66">
      <c r="A66" t="inlineStr">
        <is>
          <t>312200</t>
        </is>
      </c>
      <c r="B66" t="inlineStr">
        <is>
          <t>Tobacco manufacturing</t>
        </is>
      </c>
      <c r="C66" t="inlineStr">
        <is>
          <t>ISIC 10T12</t>
        </is>
      </c>
    </row>
    <row r="67">
      <c r="A67" t="inlineStr">
        <is>
          <t>313100</t>
        </is>
      </c>
      <c r="B67" t="inlineStr">
        <is>
          <t>Fiber, yarn, and thread mills</t>
        </is>
      </c>
      <c r="C67" t="inlineStr">
        <is>
          <t>ISIC 13T15</t>
        </is>
      </c>
    </row>
    <row r="68">
      <c r="A68" t="inlineStr">
        <is>
          <t>313200</t>
        </is>
      </c>
      <c r="B68" t="inlineStr">
        <is>
          <t>Fabric mills</t>
        </is>
      </c>
      <c r="C68" t="inlineStr">
        <is>
          <t>ISIC 13T15</t>
        </is>
      </c>
    </row>
    <row r="69">
      <c r="A69" t="inlineStr">
        <is>
          <t>313300</t>
        </is>
      </c>
      <c r="B69" t="inlineStr">
        <is>
          <t>Textile and fabric finishing and fabric coating mills</t>
        </is>
      </c>
      <c r="C69" t="inlineStr">
        <is>
          <t>ISIC 13T15</t>
        </is>
      </c>
    </row>
    <row r="70">
      <c r="A70" t="inlineStr">
        <is>
          <t>314110</t>
        </is>
      </c>
      <c r="B70" t="inlineStr">
        <is>
          <t>Carpet and rug mills</t>
        </is>
      </c>
      <c r="C70" t="inlineStr">
        <is>
          <t>ISIC 13T15</t>
        </is>
      </c>
    </row>
    <row r="71">
      <c r="A71" t="inlineStr">
        <is>
          <t>314120</t>
        </is>
      </c>
      <c r="B71" t="inlineStr">
        <is>
          <t>Curtain and linen mills</t>
        </is>
      </c>
      <c r="C71" t="inlineStr">
        <is>
          <t>ISIC 13T15</t>
        </is>
      </c>
    </row>
    <row r="72">
      <c r="A72" t="inlineStr">
        <is>
          <t>314900</t>
        </is>
      </c>
      <c r="B72" t="inlineStr">
        <is>
          <t>Other textile product mills</t>
        </is>
      </c>
      <c r="C72" t="inlineStr">
        <is>
          <t>ISIC 13T15</t>
        </is>
      </c>
    </row>
    <row r="73">
      <c r="A73" t="inlineStr">
        <is>
          <t>315000</t>
        </is>
      </c>
      <c r="B73" t="inlineStr">
        <is>
          <t>Apparel manufacturing</t>
        </is>
      </c>
      <c r="C73" t="inlineStr">
        <is>
          <t>ISIC 13T15</t>
        </is>
      </c>
    </row>
    <row r="74">
      <c r="A74" t="inlineStr">
        <is>
          <t>316000</t>
        </is>
      </c>
      <c r="B74" t="inlineStr">
        <is>
          <t>Leather and allied product manufacturing</t>
        </is>
      </c>
      <c r="C74" t="inlineStr">
        <is>
          <t>ISIC 13T15</t>
        </is>
      </c>
    </row>
    <row r="75">
      <c r="A75" t="inlineStr">
        <is>
          <t>321100</t>
        </is>
      </c>
      <c r="B75" t="inlineStr">
        <is>
          <t>Sawmills and wood preservation</t>
        </is>
      </c>
      <c r="C75" t="inlineStr">
        <is>
          <t>ISIC 16</t>
        </is>
      </c>
    </row>
    <row r="76">
      <c r="A76" t="inlineStr">
        <is>
          <t>321200</t>
        </is>
      </c>
      <c r="B76" t="inlineStr">
        <is>
          <t>Veneer, plywood, and engineered wood product manufacturing</t>
        </is>
      </c>
      <c r="C76" t="inlineStr">
        <is>
          <t>ISIC 16</t>
        </is>
      </c>
    </row>
    <row r="77">
      <c r="A77" t="inlineStr">
        <is>
          <t>321910</t>
        </is>
      </c>
      <c r="B77" t="inlineStr">
        <is>
          <t>Millwork</t>
        </is>
      </c>
      <c r="C77" t="inlineStr">
        <is>
          <t>ISIC 16</t>
        </is>
      </c>
    </row>
    <row r="78">
      <c r="A78" t="inlineStr">
        <is>
          <t>3219A0</t>
        </is>
      </c>
      <c r="B78" t="inlineStr">
        <is>
          <t>All other wood product manufacturing</t>
        </is>
      </c>
      <c r="C78" t="inlineStr">
        <is>
          <t>ISIC 16</t>
        </is>
      </c>
    </row>
    <row r="79">
      <c r="A79" t="inlineStr">
        <is>
          <t>322110</t>
        </is>
      </c>
      <c r="B79" t="inlineStr">
        <is>
          <t>Pulp mills</t>
        </is>
      </c>
      <c r="C79" t="inlineStr">
        <is>
          <t>ISIC 17T18</t>
        </is>
      </c>
    </row>
    <row r="80">
      <c r="A80" t="inlineStr">
        <is>
          <t>322120</t>
        </is>
      </c>
      <c r="B80" t="inlineStr">
        <is>
          <t>Paper mills</t>
        </is>
      </c>
      <c r="C80" t="inlineStr">
        <is>
          <t>ISIC 17T18</t>
        </is>
      </c>
    </row>
    <row r="81">
      <c r="A81" t="inlineStr">
        <is>
          <t>322130</t>
        </is>
      </c>
      <c r="B81" t="inlineStr">
        <is>
          <t>Paperboard mills</t>
        </is>
      </c>
      <c r="C81" t="inlineStr">
        <is>
          <t>ISIC 17T18</t>
        </is>
      </c>
    </row>
    <row r="82">
      <c r="A82" t="inlineStr">
        <is>
          <t>322210</t>
        </is>
      </c>
      <c r="B82" t="inlineStr">
        <is>
          <t>Paperboard container manufacturing</t>
        </is>
      </c>
      <c r="C82" t="inlineStr">
        <is>
          <t>ISIC 17T18</t>
        </is>
      </c>
    </row>
    <row r="83">
      <c r="A83" t="inlineStr">
        <is>
          <t>322220</t>
        </is>
      </c>
      <c r="B83" t="inlineStr">
        <is>
          <t>Paper bag and coated and treated paper manufacturing</t>
        </is>
      </c>
      <c r="C83" t="inlineStr">
        <is>
          <t>ISIC 17T18</t>
        </is>
      </c>
    </row>
    <row r="84">
      <c r="A84" t="inlineStr">
        <is>
          <t>322230</t>
        </is>
      </c>
      <c r="B84" t="inlineStr">
        <is>
          <t>Stationery product manufacturing</t>
        </is>
      </c>
      <c r="C84" t="inlineStr">
        <is>
          <t>ISIC 17T18</t>
        </is>
      </c>
    </row>
    <row r="85">
      <c r="A85" t="inlineStr">
        <is>
          <t>322291</t>
        </is>
      </c>
      <c r="B85" t="inlineStr">
        <is>
          <t>Sanitary paper product manufacturing</t>
        </is>
      </c>
      <c r="C85" t="inlineStr">
        <is>
          <t>ISIC 17T18</t>
        </is>
      </c>
    </row>
    <row r="86">
      <c r="A86" t="inlineStr">
        <is>
          <t>322299</t>
        </is>
      </c>
      <c r="B86" t="inlineStr">
        <is>
          <t>All other converted paper product manufacturing</t>
        </is>
      </c>
      <c r="C86" t="inlineStr">
        <is>
          <t>ISIC 17T18</t>
        </is>
      </c>
    </row>
    <row r="87">
      <c r="A87" t="inlineStr">
        <is>
          <t>323110</t>
        </is>
      </c>
      <c r="B87" t="inlineStr">
        <is>
          <t>Printing</t>
        </is>
      </c>
      <c r="C87" t="inlineStr">
        <is>
          <t>ISIC 17T18</t>
        </is>
      </c>
    </row>
    <row r="88">
      <c r="A88" t="inlineStr">
        <is>
          <t>323120</t>
        </is>
      </c>
      <c r="B88" t="inlineStr">
        <is>
          <t>Support activities for printing</t>
        </is>
      </c>
      <c r="C88" t="inlineStr">
        <is>
          <t>ISIC 17T18</t>
        </is>
      </c>
    </row>
    <row r="89">
      <c r="A89" t="inlineStr">
        <is>
          <t>324110</t>
        </is>
      </c>
      <c r="B89" t="inlineStr">
        <is>
          <t>Petroleum refineries</t>
        </is>
      </c>
      <c r="C89" t="inlineStr">
        <is>
          <t>ISIC 19</t>
        </is>
      </c>
    </row>
    <row r="90">
      <c r="A90" t="inlineStr">
        <is>
          <t>324121</t>
        </is>
      </c>
      <c r="B90" t="inlineStr">
        <is>
          <t>Asphalt paving mixture and block manufacturing</t>
        </is>
      </c>
      <c r="C90" t="inlineStr">
        <is>
          <t>ISIC 19</t>
        </is>
      </c>
    </row>
    <row r="91">
      <c r="A91" t="inlineStr">
        <is>
          <t>324122</t>
        </is>
      </c>
      <c r="B91" t="inlineStr">
        <is>
          <t>Asphalt shingle and coating materials manufacturing</t>
        </is>
      </c>
      <c r="C91" t="inlineStr">
        <is>
          <t>ISIC 19</t>
        </is>
      </c>
    </row>
    <row r="92">
      <c r="A92" t="inlineStr">
        <is>
          <t>324190</t>
        </is>
      </c>
      <c r="B92" t="inlineStr">
        <is>
          <t>Other petroleum and coal products manufacturing</t>
        </is>
      </c>
      <c r="C92" t="inlineStr">
        <is>
          <t>ISIC 241</t>
        </is>
      </c>
    </row>
    <row r="93">
      <c r="A93" t="inlineStr">
        <is>
          <t>325110</t>
        </is>
      </c>
      <c r="B93" t="inlineStr">
        <is>
          <t>Petrochemical manufacturing</t>
        </is>
      </c>
      <c r="C93" t="inlineStr">
        <is>
          <t>ISIC 20</t>
        </is>
      </c>
    </row>
    <row r="94">
      <c r="A94" t="inlineStr">
        <is>
          <t>325120</t>
        </is>
      </c>
      <c r="B94" t="inlineStr">
        <is>
          <t>Industrial gas manufacturing</t>
        </is>
      </c>
      <c r="C94" t="inlineStr">
        <is>
          <t>ISIC 20</t>
        </is>
      </c>
    </row>
    <row r="95">
      <c r="A95" t="inlineStr">
        <is>
          <t>325130</t>
        </is>
      </c>
      <c r="B95" t="inlineStr">
        <is>
          <t>Synthetic dye and pigment manufacturing</t>
        </is>
      </c>
      <c r="C95" t="inlineStr">
        <is>
          <t>ISIC 20</t>
        </is>
      </c>
    </row>
    <row r="96">
      <c r="A96" t="inlineStr">
        <is>
          <t>325180</t>
        </is>
      </c>
      <c r="B96" t="inlineStr">
        <is>
          <t>Other basic inorganic chemical manufacturing</t>
        </is>
      </c>
      <c r="C96" t="inlineStr">
        <is>
          <t>ISIC 20</t>
        </is>
      </c>
    </row>
    <row r="97">
      <c r="A97" t="inlineStr">
        <is>
          <t>325190</t>
        </is>
      </c>
      <c r="B97" t="inlineStr">
        <is>
          <t>Other basic organic chemical manufacturing</t>
        </is>
      </c>
      <c r="C97" t="inlineStr">
        <is>
          <t>ISIC 20</t>
        </is>
      </c>
    </row>
    <row r="98">
      <c r="A98" t="inlineStr">
        <is>
          <t>325211</t>
        </is>
      </c>
      <c r="B98" t="inlineStr">
        <is>
          <t>Plastics material and resin manufacturing</t>
        </is>
      </c>
      <c r="C98" t="inlineStr">
        <is>
          <t>ISIC 20</t>
        </is>
      </c>
    </row>
    <row r="99">
      <c r="A99" t="inlineStr">
        <is>
          <t>3252A0</t>
        </is>
      </c>
      <c r="B99" t="inlineStr">
        <is>
          <t>Synthetic rubber and artificial and synthetic fibers and filaments manufacturing</t>
        </is>
      </c>
      <c r="C99" t="inlineStr">
        <is>
          <t>ISIC 20</t>
        </is>
      </c>
    </row>
    <row r="100">
      <c r="A100" t="inlineStr">
        <is>
          <t>325310</t>
        </is>
      </c>
      <c r="B100" t="inlineStr">
        <is>
          <t>Fertilizer manufacturing</t>
        </is>
      </c>
      <c r="C100" t="inlineStr">
        <is>
          <t>ISIC 20</t>
        </is>
      </c>
    </row>
    <row r="101">
      <c r="A101" t="inlineStr">
        <is>
          <t>325320</t>
        </is>
      </c>
      <c r="B101" t="inlineStr">
        <is>
          <t>Pesticide and other agricultural chemical manufacturing</t>
        </is>
      </c>
      <c r="C101" t="inlineStr">
        <is>
          <t>ISIC 20</t>
        </is>
      </c>
    </row>
    <row r="102">
      <c r="A102" t="inlineStr">
        <is>
          <t>325411</t>
        </is>
      </c>
      <c r="B102" t="inlineStr">
        <is>
          <t>Medicinal and botanical manufacturing</t>
        </is>
      </c>
      <c r="C102" t="inlineStr">
        <is>
          <t>ISIC 21</t>
        </is>
      </c>
    </row>
    <row r="103">
      <c r="A103" t="inlineStr">
        <is>
          <t>325412</t>
        </is>
      </c>
      <c r="B103" t="inlineStr">
        <is>
          <t>Pharmaceutical preparation manufacturing</t>
        </is>
      </c>
      <c r="C103" t="inlineStr">
        <is>
          <t>ISIC 21</t>
        </is>
      </c>
    </row>
    <row r="104">
      <c r="A104" t="inlineStr">
        <is>
          <t>325413</t>
        </is>
      </c>
      <c r="B104" t="inlineStr">
        <is>
          <t>In-vitro diagnostic substance manufacturing</t>
        </is>
      </c>
      <c r="C104" t="inlineStr">
        <is>
          <t>ISIC 21</t>
        </is>
      </c>
    </row>
    <row r="105">
      <c r="A105" t="inlineStr">
        <is>
          <t>325414</t>
        </is>
      </c>
      <c r="B105" t="inlineStr">
        <is>
          <t>Biological product (except diagnostic) manufacturing</t>
        </is>
      </c>
      <c r="C105" t="inlineStr">
        <is>
          <t>ISIC 21</t>
        </is>
      </c>
    </row>
    <row r="106">
      <c r="A106" t="inlineStr">
        <is>
          <t>325510</t>
        </is>
      </c>
      <c r="B106" t="inlineStr">
        <is>
          <t>Paint and coating manufacturing</t>
        </is>
      </c>
      <c r="C106" t="inlineStr">
        <is>
          <t>ISIC 20</t>
        </is>
      </c>
    </row>
    <row r="107">
      <c r="A107" t="inlineStr">
        <is>
          <t>325520</t>
        </is>
      </c>
      <c r="B107" t="inlineStr">
        <is>
          <t>Adhesive manufacturing</t>
        </is>
      </c>
      <c r="C107" t="inlineStr">
        <is>
          <t>ISIC 20</t>
        </is>
      </c>
    </row>
    <row r="108">
      <c r="A108" t="inlineStr">
        <is>
          <t>325610</t>
        </is>
      </c>
      <c r="B108" t="inlineStr">
        <is>
          <t>Soap and cleaning compound manufacturing</t>
        </is>
      </c>
      <c r="C108" t="inlineStr">
        <is>
          <t>ISIC 20</t>
        </is>
      </c>
    </row>
    <row r="109">
      <c r="A109" t="inlineStr">
        <is>
          <t>325620</t>
        </is>
      </c>
      <c r="B109" t="inlineStr">
        <is>
          <t>Toilet preparation manufacturing</t>
        </is>
      </c>
      <c r="C109" t="inlineStr">
        <is>
          <t>ISIC 20</t>
        </is>
      </c>
    </row>
    <row r="110">
      <c r="A110" t="inlineStr">
        <is>
          <t>325910</t>
        </is>
      </c>
      <c r="B110" t="inlineStr">
        <is>
          <t>Printing ink manufacturing</t>
        </is>
      </c>
      <c r="C110" t="inlineStr">
        <is>
          <t>ISIC 20</t>
        </is>
      </c>
    </row>
    <row r="111">
      <c r="A111" t="inlineStr">
        <is>
          <t>3259A0</t>
        </is>
      </c>
      <c r="B111" t="inlineStr">
        <is>
          <t>All other chemical product and preparation manufacturing</t>
        </is>
      </c>
      <c r="C111" t="inlineStr">
        <is>
          <t>ISIC 20</t>
        </is>
      </c>
    </row>
    <row r="112">
      <c r="A112" t="inlineStr">
        <is>
          <t>326110</t>
        </is>
      </c>
      <c r="B112" t="inlineStr">
        <is>
          <t>Plastics packaging materials and unlaminated film and sheet manufacturing</t>
        </is>
      </c>
      <c r="C112" t="inlineStr">
        <is>
          <t>ISIC 22</t>
        </is>
      </c>
    </row>
    <row r="113">
      <c r="A113" t="inlineStr">
        <is>
          <t>326120</t>
        </is>
      </c>
      <c r="B113" t="inlineStr">
        <is>
          <t>Plastics pipe, pipe fitting, and unlaminated profile shape manufacturing</t>
        </is>
      </c>
      <c r="C113" t="inlineStr">
        <is>
          <t>ISIC 22</t>
        </is>
      </c>
    </row>
    <row r="114">
      <c r="A114" t="inlineStr">
        <is>
          <t>326130</t>
        </is>
      </c>
      <c r="B114" t="inlineStr">
        <is>
          <t>Laminated plastics plate, sheet (except packaging), and shape manufacturing</t>
        </is>
      </c>
      <c r="C114" t="inlineStr">
        <is>
          <t>ISIC 22</t>
        </is>
      </c>
    </row>
    <row r="115">
      <c r="A115" t="inlineStr">
        <is>
          <t>326140</t>
        </is>
      </c>
      <c r="B115" t="inlineStr">
        <is>
          <t>Polystyrene foam product manufacturing</t>
        </is>
      </c>
      <c r="C115" t="inlineStr">
        <is>
          <t>ISIC 22</t>
        </is>
      </c>
    </row>
    <row r="116">
      <c r="A116" t="inlineStr">
        <is>
          <t>326150</t>
        </is>
      </c>
      <c r="B116" t="inlineStr">
        <is>
          <t>Urethane and other foam product (except polystyrene) manufacturing</t>
        </is>
      </c>
      <c r="C116" t="inlineStr">
        <is>
          <t>ISIC 22</t>
        </is>
      </c>
    </row>
    <row r="117">
      <c r="A117" t="inlineStr">
        <is>
          <t>326160</t>
        </is>
      </c>
      <c r="B117" t="inlineStr">
        <is>
          <t>Plastics bottle manufacturing</t>
        </is>
      </c>
      <c r="C117" t="inlineStr">
        <is>
          <t>ISIC 22</t>
        </is>
      </c>
    </row>
    <row r="118">
      <c r="A118" t="inlineStr">
        <is>
          <t>326190</t>
        </is>
      </c>
      <c r="B118" t="inlineStr">
        <is>
          <t>Other plastics product manufacturing</t>
        </is>
      </c>
      <c r="C118" t="inlineStr">
        <is>
          <t>ISIC 22</t>
        </is>
      </c>
    </row>
    <row r="119">
      <c r="A119" t="inlineStr">
        <is>
          <t>326210</t>
        </is>
      </c>
      <c r="B119" t="inlineStr">
        <is>
          <t>Tire manufacturing</t>
        </is>
      </c>
      <c r="C119" t="inlineStr">
        <is>
          <t>ISIC 22</t>
        </is>
      </c>
    </row>
    <row r="120">
      <c r="A120" t="inlineStr">
        <is>
          <t>326220</t>
        </is>
      </c>
      <c r="B120" t="inlineStr">
        <is>
          <t>Rubber and plastics hoses and belting manufacturing</t>
        </is>
      </c>
      <c r="C120" t="inlineStr">
        <is>
          <t>ISIC 22</t>
        </is>
      </c>
    </row>
    <row r="121">
      <c r="A121" t="inlineStr">
        <is>
          <t>326290</t>
        </is>
      </c>
      <c r="B121" t="inlineStr">
        <is>
          <t>Other rubber product manufacturing</t>
        </is>
      </c>
      <c r="C121" t="inlineStr">
        <is>
          <t>ISIC 22</t>
        </is>
      </c>
    </row>
    <row r="122">
      <c r="A122" t="inlineStr">
        <is>
          <t>327100</t>
        </is>
      </c>
      <c r="B122" t="inlineStr">
        <is>
          <t>Clay product and refractory manufacturing</t>
        </is>
      </c>
      <c r="C122" t="inlineStr">
        <is>
          <t>ISIC 239</t>
        </is>
      </c>
    </row>
    <row r="123">
      <c r="A123" t="inlineStr">
        <is>
          <t>327200</t>
        </is>
      </c>
      <c r="B123" t="inlineStr">
        <is>
          <t>Glass and glass product manufacturing</t>
        </is>
      </c>
      <c r="C123" t="inlineStr">
        <is>
          <t>ISIC 231</t>
        </is>
      </c>
    </row>
    <row r="124">
      <c r="A124" t="inlineStr">
        <is>
          <t>327310</t>
        </is>
      </c>
      <c r="B124" t="inlineStr">
        <is>
          <t>Cement manufacturing</t>
        </is>
      </c>
      <c r="C124" t="inlineStr">
        <is>
          <t>ISIC 239</t>
        </is>
      </c>
    </row>
    <row r="125">
      <c r="A125" t="inlineStr">
        <is>
          <t>327320</t>
        </is>
      </c>
      <c r="B125" t="inlineStr">
        <is>
          <t>Ready-mix concrete manufacturing</t>
        </is>
      </c>
      <c r="C125" t="inlineStr">
        <is>
          <t>ISIC 239</t>
        </is>
      </c>
    </row>
    <row r="126">
      <c r="A126" t="inlineStr">
        <is>
          <t>327330</t>
        </is>
      </c>
      <c r="B126" t="inlineStr">
        <is>
          <t>Concrete pipe, brick, and block manufacturing</t>
        </is>
      </c>
      <c r="C126" t="inlineStr">
        <is>
          <t>ISIC 239</t>
        </is>
      </c>
    </row>
    <row r="127">
      <c r="A127" t="inlineStr">
        <is>
          <t>327390</t>
        </is>
      </c>
      <c r="B127" t="inlineStr">
        <is>
          <t>Other concrete product manufacturing</t>
        </is>
      </c>
      <c r="C127" t="inlineStr">
        <is>
          <t>ISIC 239</t>
        </is>
      </c>
    </row>
    <row r="128">
      <c r="A128" t="inlineStr">
        <is>
          <t>327400</t>
        </is>
      </c>
      <c r="B128" t="inlineStr">
        <is>
          <t>Lime and gypsum product manufacturing</t>
        </is>
      </c>
      <c r="C128" t="inlineStr">
        <is>
          <t>ISIC 239</t>
        </is>
      </c>
    </row>
    <row r="129">
      <c r="A129" t="inlineStr">
        <is>
          <t>327910</t>
        </is>
      </c>
      <c r="B129" t="inlineStr">
        <is>
          <t>Abrasive product manufacturing</t>
        </is>
      </c>
      <c r="C129" t="inlineStr">
        <is>
          <t>ISIC 239</t>
        </is>
      </c>
    </row>
    <row r="130">
      <c r="A130" t="inlineStr">
        <is>
          <t>327991</t>
        </is>
      </c>
      <c r="B130" t="inlineStr">
        <is>
          <t>Cut stone and stone product manufacturing</t>
        </is>
      </c>
      <c r="C130" t="inlineStr">
        <is>
          <t>ISIC 239</t>
        </is>
      </c>
    </row>
    <row r="131">
      <c r="A131" t="inlineStr">
        <is>
          <t>327992</t>
        </is>
      </c>
      <c r="B131" t="inlineStr">
        <is>
          <t>Ground or treated mineral and earth manufacturing</t>
        </is>
      </c>
      <c r="C131" t="inlineStr">
        <is>
          <t>ISIC 239</t>
        </is>
      </c>
    </row>
    <row r="132">
      <c r="A132" t="inlineStr">
        <is>
          <t>327993</t>
        </is>
      </c>
      <c r="B132" t="inlineStr">
        <is>
          <t>Mineral wool manufacturing</t>
        </is>
      </c>
      <c r="C132" t="inlineStr">
        <is>
          <t>ISIC 239</t>
        </is>
      </c>
    </row>
    <row r="133">
      <c r="A133" t="inlineStr">
        <is>
          <t>327999</t>
        </is>
      </c>
      <c r="B133" t="inlineStr">
        <is>
          <t>Miscellaneous nonmetallic mineral products</t>
        </is>
      </c>
      <c r="C133" t="inlineStr">
        <is>
          <t>ISIC 239</t>
        </is>
      </c>
    </row>
    <row r="134">
      <c r="A134" t="inlineStr">
        <is>
          <t>331110</t>
        </is>
      </c>
      <c r="B134" t="inlineStr">
        <is>
          <t>Iron and steel mills and ferroalloy manufacturing</t>
        </is>
      </c>
      <c r="C134" t="inlineStr">
        <is>
          <t>ISIC 241</t>
        </is>
      </c>
    </row>
    <row r="135">
      <c r="A135" t="inlineStr">
        <is>
          <t>331200</t>
        </is>
      </c>
      <c r="B135" t="inlineStr">
        <is>
          <t>Steel product manufacturing from purchased steel</t>
        </is>
      </c>
      <c r="C135" t="inlineStr">
        <is>
          <t>ISIC 241</t>
        </is>
      </c>
    </row>
    <row r="136">
      <c r="A136" t="inlineStr">
        <is>
          <t>331313</t>
        </is>
      </c>
      <c r="B136" t="inlineStr">
        <is>
          <t>Alumina refining and primary aluminum production</t>
        </is>
      </c>
      <c r="C136" t="inlineStr">
        <is>
          <t>ISIC 242</t>
        </is>
      </c>
    </row>
    <row r="137">
      <c r="A137" t="inlineStr">
        <is>
          <t>331314</t>
        </is>
      </c>
      <c r="B137" t="inlineStr">
        <is>
          <t>Secondary smelting and alloying of aluminum</t>
        </is>
      </c>
      <c r="C137" t="inlineStr">
        <is>
          <t>ISIC 242</t>
        </is>
      </c>
    </row>
    <row r="138">
      <c r="A138" t="inlineStr">
        <is>
          <t>33131B</t>
        </is>
      </c>
      <c r="B138" t="inlineStr">
        <is>
          <t>Aluminum product manufacturing from purchased aluminum</t>
        </is>
      </c>
      <c r="C138" t="inlineStr">
        <is>
          <t>ISIC 242</t>
        </is>
      </c>
    </row>
    <row r="139">
      <c r="A139" t="inlineStr">
        <is>
          <t>331410</t>
        </is>
      </c>
      <c r="B139" t="inlineStr">
        <is>
          <t>Nonferrous metal (except aluminum) smelting and refining</t>
        </is>
      </c>
      <c r="C139" t="inlineStr">
        <is>
          <t>ISIC 242</t>
        </is>
      </c>
    </row>
    <row r="140">
      <c r="A140" t="inlineStr">
        <is>
          <t>331420</t>
        </is>
      </c>
      <c r="B140" t="inlineStr">
        <is>
          <t>Copper rolling, drawing, extruding and alloying</t>
        </is>
      </c>
      <c r="C140" t="inlineStr">
        <is>
          <t>ISIC 242</t>
        </is>
      </c>
    </row>
    <row r="141">
      <c r="A141" t="inlineStr">
        <is>
          <t>331490</t>
        </is>
      </c>
      <c r="B141" t="inlineStr">
        <is>
          <t>Nonferrous metal (except copper and aluminum) rolling, drawing, extruding and alloying</t>
        </is>
      </c>
      <c r="C141" t="inlineStr">
        <is>
          <t>ISIC 242</t>
        </is>
      </c>
    </row>
    <row r="142">
      <c r="A142" t="inlineStr">
        <is>
          <t>331510</t>
        </is>
      </c>
      <c r="B142" t="inlineStr">
        <is>
          <t>Ferrous metal foundries</t>
        </is>
      </c>
      <c r="C142" t="inlineStr">
        <is>
          <t>ISIC 241</t>
        </is>
      </c>
    </row>
    <row r="143">
      <c r="A143" t="inlineStr">
        <is>
          <t>331520</t>
        </is>
      </c>
      <c r="B143" t="inlineStr">
        <is>
          <t>Nonferrous metal foundries</t>
        </is>
      </c>
      <c r="C143" t="inlineStr">
        <is>
          <t>ISIC 242</t>
        </is>
      </c>
    </row>
    <row r="144">
      <c r="A144" t="inlineStr">
        <is>
          <t>332114</t>
        </is>
      </c>
      <c r="B144" t="inlineStr">
        <is>
          <t>Custom roll forming</t>
        </is>
      </c>
      <c r="C144" t="inlineStr">
        <is>
          <t>ISIC 25</t>
        </is>
      </c>
    </row>
    <row r="145">
      <c r="A145" t="inlineStr">
        <is>
          <t>332119</t>
        </is>
      </c>
      <c r="B145" t="inlineStr">
        <is>
          <t>Metal crown, closure, and other metal stamping (except automotive)</t>
        </is>
      </c>
      <c r="C145" t="inlineStr">
        <is>
          <t>ISIC 25</t>
        </is>
      </c>
    </row>
    <row r="146">
      <c r="A146" t="inlineStr">
        <is>
          <t>33211A</t>
        </is>
      </c>
      <c r="B146" t="inlineStr">
        <is>
          <t>All other forging, stamping, and sintering</t>
        </is>
      </c>
      <c r="C146" t="inlineStr">
        <is>
          <t>ISIC 25</t>
        </is>
      </c>
    </row>
    <row r="147">
      <c r="A147" t="inlineStr">
        <is>
          <t>332200</t>
        </is>
      </c>
      <c r="B147" t="inlineStr">
        <is>
          <t>Cutlery and handtool manufacturing</t>
        </is>
      </c>
      <c r="C147" t="inlineStr">
        <is>
          <t>ISIC 25</t>
        </is>
      </c>
    </row>
    <row r="148">
      <c r="A148" t="inlineStr">
        <is>
          <t>332310</t>
        </is>
      </c>
      <c r="B148" t="inlineStr">
        <is>
          <t>Plate work and fabricated structural product manufacturing</t>
        </is>
      </c>
      <c r="C148" t="inlineStr">
        <is>
          <t>ISIC 25</t>
        </is>
      </c>
    </row>
    <row r="149">
      <c r="A149" t="inlineStr">
        <is>
          <t>332320</t>
        </is>
      </c>
      <c r="B149" t="inlineStr">
        <is>
          <t>Ornamental and architectural metal products manufacturing</t>
        </is>
      </c>
      <c r="C149" t="inlineStr">
        <is>
          <t>ISIC 25</t>
        </is>
      </c>
    </row>
    <row r="150">
      <c r="A150" t="inlineStr">
        <is>
          <t>332410</t>
        </is>
      </c>
      <c r="B150" t="inlineStr">
        <is>
          <t>Power boiler and heat exchanger manufacturing</t>
        </is>
      </c>
      <c r="C150" t="inlineStr">
        <is>
          <t>ISIC 25</t>
        </is>
      </c>
    </row>
    <row r="151">
      <c r="A151" t="inlineStr">
        <is>
          <t>332420</t>
        </is>
      </c>
      <c r="B151" t="inlineStr">
        <is>
          <t>Metal tank (heavy gauge) manufacturing</t>
        </is>
      </c>
      <c r="C151" t="inlineStr">
        <is>
          <t>ISIC 25</t>
        </is>
      </c>
    </row>
    <row r="152">
      <c r="A152" t="inlineStr">
        <is>
          <t>332430</t>
        </is>
      </c>
      <c r="B152" t="inlineStr">
        <is>
          <t>Metal can, box, and other metal container (light gauge) manufacturing</t>
        </is>
      </c>
      <c r="C152" t="inlineStr">
        <is>
          <t>ISIC 25</t>
        </is>
      </c>
    </row>
    <row r="153">
      <c r="A153" t="inlineStr">
        <is>
          <t>332500</t>
        </is>
      </c>
      <c r="B153" t="inlineStr">
        <is>
          <t>Hardware manufacturing</t>
        </is>
      </c>
      <c r="C153" t="inlineStr">
        <is>
          <t>ISIC 25</t>
        </is>
      </c>
    </row>
    <row r="154">
      <c r="A154" t="inlineStr">
        <is>
          <t>332600</t>
        </is>
      </c>
      <c r="B154" t="inlineStr">
        <is>
          <t>Spring and wire product manufacturing</t>
        </is>
      </c>
      <c r="C154" t="inlineStr">
        <is>
          <t>ISIC 25</t>
        </is>
      </c>
    </row>
    <row r="155">
      <c r="A155" t="inlineStr">
        <is>
          <t>332710</t>
        </is>
      </c>
      <c r="B155" t="inlineStr">
        <is>
          <t>Machine shops</t>
        </is>
      </c>
      <c r="C155" t="inlineStr">
        <is>
          <t>ISIC 25</t>
        </is>
      </c>
    </row>
    <row r="156">
      <c r="A156" t="inlineStr">
        <is>
          <t>332720</t>
        </is>
      </c>
      <c r="B156" t="inlineStr">
        <is>
          <t>Turned product and screw, nut, and bolt manufacturing</t>
        </is>
      </c>
      <c r="C156" t="inlineStr">
        <is>
          <t>ISIC 25</t>
        </is>
      </c>
    </row>
    <row r="157">
      <c r="A157" t="inlineStr">
        <is>
          <t>332800</t>
        </is>
      </c>
      <c r="B157" t="inlineStr">
        <is>
          <t>Coating, engraving, heat treating and allied activities</t>
        </is>
      </c>
      <c r="C157" t="inlineStr">
        <is>
          <t>ISIC 25</t>
        </is>
      </c>
    </row>
    <row r="158">
      <c r="A158" t="inlineStr">
        <is>
          <t>332913</t>
        </is>
      </c>
      <c r="B158" t="inlineStr">
        <is>
          <t>Plumbing fixture fitting and trim manufacturing</t>
        </is>
      </c>
      <c r="C158" t="inlineStr">
        <is>
          <t>ISIC 25</t>
        </is>
      </c>
    </row>
    <row r="159">
      <c r="A159" t="inlineStr">
        <is>
          <t>33291A</t>
        </is>
      </c>
      <c r="B159" t="inlineStr">
        <is>
          <t>Valve and fittings other than plumbing</t>
        </is>
      </c>
      <c r="C159" t="inlineStr">
        <is>
          <t>ISIC 25</t>
        </is>
      </c>
    </row>
    <row r="160">
      <c r="A160" t="inlineStr">
        <is>
          <t>332991</t>
        </is>
      </c>
      <c r="B160" t="inlineStr">
        <is>
          <t>Ball and roller bearing manufacturing</t>
        </is>
      </c>
      <c r="C160" t="inlineStr">
        <is>
          <t>ISIC 25</t>
        </is>
      </c>
    </row>
    <row r="161">
      <c r="A161" t="inlineStr">
        <is>
          <t>332996</t>
        </is>
      </c>
      <c r="B161" t="inlineStr">
        <is>
          <t>Fabricated pipe and pipe fitting manufacturing</t>
        </is>
      </c>
      <c r="C161" t="inlineStr">
        <is>
          <t>ISIC 25</t>
        </is>
      </c>
    </row>
    <row r="162">
      <c r="A162" t="inlineStr">
        <is>
          <t>332999</t>
        </is>
      </c>
      <c r="B162" t="inlineStr">
        <is>
          <t>Other fabricated metal manufacturing</t>
        </is>
      </c>
      <c r="C162" t="inlineStr">
        <is>
          <t>ISIC 25</t>
        </is>
      </c>
    </row>
    <row r="163">
      <c r="A163" t="inlineStr">
        <is>
          <t>33299A</t>
        </is>
      </c>
      <c r="B163" t="inlineStr">
        <is>
          <t>Ammunition, arms, ordnance, and accessories manufacturing</t>
        </is>
      </c>
      <c r="C163" t="inlineStr">
        <is>
          <t>ISIC 25</t>
        </is>
      </c>
    </row>
    <row r="164">
      <c r="A164" t="inlineStr">
        <is>
          <t>333111</t>
        </is>
      </c>
      <c r="B164" t="inlineStr">
        <is>
          <t>Farm machinery and equipment manufacturing</t>
        </is>
      </c>
      <c r="C164" t="inlineStr">
        <is>
          <t>ISIC 28</t>
        </is>
      </c>
    </row>
    <row r="165">
      <c r="A165" t="inlineStr">
        <is>
          <t>333112</t>
        </is>
      </c>
      <c r="B165" t="inlineStr">
        <is>
          <t>Lawn and garden equipment manufacturing</t>
        </is>
      </c>
      <c r="C165" t="inlineStr">
        <is>
          <t>ISIC 28</t>
        </is>
      </c>
    </row>
    <row r="166">
      <c r="A166" t="inlineStr">
        <is>
          <t>333120</t>
        </is>
      </c>
      <c r="B166" t="inlineStr">
        <is>
          <t>Construction machinery manufacturing</t>
        </is>
      </c>
      <c r="C166" t="inlineStr">
        <is>
          <t>ISIC 28</t>
        </is>
      </c>
    </row>
    <row r="167">
      <c r="A167" t="inlineStr">
        <is>
          <t>333130</t>
        </is>
      </c>
      <c r="B167" t="inlineStr">
        <is>
          <t>Mining and oil and gas field machinery manufacturing</t>
        </is>
      </c>
      <c r="C167" t="inlineStr">
        <is>
          <t>ISIC 28</t>
        </is>
      </c>
    </row>
    <row r="168">
      <c r="A168" t="inlineStr">
        <is>
          <t>333242</t>
        </is>
      </c>
      <c r="B168" t="inlineStr">
        <is>
          <t>Semiconductor machinery manufacturing</t>
        </is>
      </c>
      <c r="C168" t="inlineStr">
        <is>
          <t>ISIC 28</t>
        </is>
      </c>
    </row>
    <row r="169">
      <c r="A169" t="inlineStr">
        <is>
          <t>33329A</t>
        </is>
      </c>
      <c r="B169" t="inlineStr">
        <is>
          <t>Other industrial machinery manufacturing</t>
        </is>
      </c>
      <c r="C169" t="inlineStr">
        <is>
          <t>ISIC 28</t>
        </is>
      </c>
    </row>
    <row r="170">
      <c r="A170" t="inlineStr">
        <is>
          <t>333314</t>
        </is>
      </c>
      <c r="B170" t="inlineStr">
        <is>
          <t>Optical instrument and lens manufacturing</t>
        </is>
      </c>
      <c r="C170" t="inlineStr">
        <is>
          <t>ISIC 28</t>
        </is>
      </c>
    </row>
    <row r="171">
      <c r="A171" t="inlineStr">
        <is>
          <t>333316</t>
        </is>
      </c>
      <c r="B171" t="inlineStr">
        <is>
          <t>Photographic and photocopying equipment manufacturing</t>
        </is>
      </c>
      <c r="C171" t="inlineStr">
        <is>
          <t>ISIC 28</t>
        </is>
      </c>
    </row>
    <row r="172">
      <c r="A172" t="inlineStr">
        <is>
          <t>333318</t>
        </is>
      </c>
      <c r="B172" t="inlineStr">
        <is>
          <t>Other commercial and service industry machinery manufacturing</t>
        </is>
      </c>
      <c r="C172" t="inlineStr">
        <is>
          <t>ISIC 28</t>
        </is>
      </c>
    </row>
    <row r="173">
      <c r="A173" t="inlineStr">
        <is>
          <t>333413</t>
        </is>
      </c>
      <c r="B173" t="inlineStr">
        <is>
          <t>Industrial and commercial fan and blower and air purification equipment manufacturing</t>
        </is>
      </c>
      <c r="C173" t="inlineStr">
        <is>
          <t>ISIC 28</t>
        </is>
      </c>
    </row>
    <row r="174">
      <c r="A174" t="inlineStr">
        <is>
          <t>333414</t>
        </is>
      </c>
      <c r="B174" t="inlineStr">
        <is>
          <t>Heating equipment (except warm air furnaces) manufacturing</t>
        </is>
      </c>
      <c r="C174" t="inlineStr">
        <is>
          <t>ISIC 28</t>
        </is>
      </c>
    </row>
    <row r="175">
      <c r="A175" t="inlineStr">
        <is>
          <t>333415</t>
        </is>
      </c>
      <c r="B175" t="inlineStr">
        <is>
          <t>Air conditioning, refrigeration, and warm air heating equipment manufacturing</t>
        </is>
      </c>
      <c r="C175" t="inlineStr">
        <is>
          <t>ISIC 28</t>
        </is>
      </c>
    </row>
    <row r="176">
      <c r="A176" t="inlineStr">
        <is>
          <t>333511</t>
        </is>
      </c>
      <c r="B176" t="inlineStr">
        <is>
          <t>Industrial mold manufacturing</t>
        </is>
      </c>
      <c r="C176" t="inlineStr">
        <is>
          <t>ISIC 28</t>
        </is>
      </c>
    </row>
    <row r="177">
      <c r="A177" t="inlineStr">
        <is>
          <t>333514</t>
        </is>
      </c>
      <c r="B177" t="inlineStr">
        <is>
          <t>Special tool, die, jig, and fixture manufacturing</t>
        </is>
      </c>
      <c r="C177" t="inlineStr">
        <is>
          <t>ISIC 28</t>
        </is>
      </c>
    </row>
    <row r="178">
      <c r="A178" t="inlineStr">
        <is>
          <t>333517</t>
        </is>
      </c>
      <c r="B178" t="inlineStr">
        <is>
          <t>Machine tool manufacturing</t>
        </is>
      </c>
      <c r="C178" t="inlineStr">
        <is>
          <t>ISIC 28</t>
        </is>
      </c>
    </row>
    <row r="179">
      <c r="A179" t="inlineStr">
        <is>
          <t>33351B</t>
        </is>
      </c>
      <c r="B179" t="inlineStr">
        <is>
          <t>Cutting and machine tool accessory, rolling mill, and other metalworking machinery manufacturing</t>
        </is>
      </c>
      <c r="C179" t="inlineStr">
        <is>
          <t>ISIC 28</t>
        </is>
      </c>
    </row>
    <row r="180">
      <c r="A180" t="inlineStr">
        <is>
          <t>333611</t>
        </is>
      </c>
      <c r="B180" t="inlineStr">
        <is>
          <t>Turbine and turbine generator set units manufacturing</t>
        </is>
      </c>
      <c r="C180" t="inlineStr">
        <is>
          <t>ISIC 28</t>
        </is>
      </c>
    </row>
    <row r="181">
      <c r="A181" t="inlineStr">
        <is>
          <t>333612</t>
        </is>
      </c>
      <c r="B181" t="inlineStr">
        <is>
          <t>Speed changer, industrial high-speed drive, and gear manufacturing</t>
        </is>
      </c>
      <c r="C181" t="inlineStr">
        <is>
          <t>ISIC 28</t>
        </is>
      </c>
    </row>
    <row r="182">
      <c r="A182" t="inlineStr">
        <is>
          <t>333613</t>
        </is>
      </c>
      <c r="B182" t="inlineStr">
        <is>
          <t>Mechanical power transmission equipment manufacturing</t>
        </is>
      </c>
      <c r="C182" t="inlineStr">
        <is>
          <t>ISIC 28</t>
        </is>
      </c>
    </row>
    <row r="183">
      <c r="A183" t="inlineStr">
        <is>
          <t>333618</t>
        </is>
      </c>
      <c r="B183" t="inlineStr">
        <is>
          <t>Other engine equipment manufacturing</t>
        </is>
      </c>
      <c r="C183" t="inlineStr">
        <is>
          <t>ISIC 28</t>
        </is>
      </c>
    </row>
    <row r="184">
      <c r="A184" t="inlineStr">
        <is>
          <t>333912</t>
        </is>
      </c>
      <c r="B184" t="inlineStr">
        <is>
          <t>Air and gas compressor manufacturing</t>
        </is>
      </c>
      <c r="C184" t="inlineStr">
        <is>
          <t>ISIC 28</t>
        </is>
      </c>
    </row>
    <row r="185">
      <c r="A185" t="inlineStr">
        <is>
          <t>333914</t>
        </is>
      </c>
      <c r="B185" t="inlineStr">
        <is>
          <t>Measuring, dispensing, and other pumping equipment manufacturing</t>
        </is>
      </c>
      <c r="C185" t="inlineStr">
        <is>
          <t>ISIC 28</t>
        </is>
      </c>
    </row>
    <row r="186">
      <c r="A186" t="inlineStr">
        <is>
          <t>33391A</t>
        </is>
      </c>
      <c r="B186" t="inlineStr"/>
      <c r="C186" t="inlineStr">
        <is>
          <t>ISIC 28</t>
        </is>
      </c>
    </row>
    <row r="187">
      <c r="A187" t="inlineStr">
        <is>
          <t>333920</t>
        </is>
      </c>
      <c r="B187" t="inlineStr">
        <is>
          <t>Material handling equipment manufacturing</t>
        </is>
      </c>
      <c r="C187" t="inlineStr">
        <is>
          <t>ISIC 28</t>
        </is>
      </c>
    </row>
    <row r="188">
      <c r="A188" t="inlineStr">
        <is>
          <t>333991</t>
        </is>
      </c>
      <c r="B188" t="inlineStr">
        <is>
          <t>Power-driven handtool manufacturing</t>
        </is>
      </c>
      <c r="C188" t="inlineStr">
        <is>
          <t>ISIC 28</t>
        </is>
      </c>
    </row>
    <row r="189">
      <c r="A189" t="inlineStr">
        <is>
          <t>333993</t>
        </is>
      </c>
      <c r="B189" t="inlineStr">
        <is>
          <t>Packaging machinery manufacturing</t>
        </is>
      </c>
      <c r="C189" t="inlineStr">
        <is>
          <t>ISIC 28</t>
        </is>
      </c>
    </row>
    <row r="190">
      <c r="A190" t="inlineStr">
        <is>
          <t>333994</t>
        </is>
      </c>
      <c r="B190" t="inlineStr">
        <is>
          <t>Industrial process furnace and oven manufacturing</t>
        </is>
      </c>
      <c r="C190" t="inlineStr">
        <is>
          <t>ISIC 28</t>
        </is>
      </c>
    </row>
    <row r="191">
      <c r="A191" t="inlineStr">
        <is>
          <t>33399A</t>
        </is>
      </c>
      <c r="B191" t="inlineStr">
        <is>
          <t>Other general purpose machinery manufacturing</t>
        </is>
      </c>
      <c r="C191" t="inlineStr">
        <is>
          <t>ISIC 28</t>
        </is>
      </c>
    </row>
    <row r="192">
      <c r="A192" t="inlineStr">
        <is>
          <t>33399B</t>
        </is>
      </c>
      <c r="B192" t="inlineStr">
        <is>
          <t>Fluid power process machinery</t>
        </is>
      </c>
      <c r="C192" t="inlineStr">
        <is>
          <t>ISIC 28</t>
        </is>
      </c>
    </row>
    <row r="193">
      <c r="A193" t="inlineStr">
        <is>
          <t>334111</t>
        </is>
      </c>
      <c r="B193" t="inlineStr">
        <is>
          <t>Electronic computer manufacturing</t>
        </is>
      </c>
      <c r="C193" t="inlineStr">
        <is>
          <t>ISIC 26</t>
        </is>
      </c>
    </row>
    <row r="194">
      <c r="A194" t="inlineStr">
        <is>
          <t>334112</t>
        </is>
      </c>
      <c r="B194" t="inlineStr">
        <is>
          <t>Computer storage device manufacturing</t>
        </is>
      </c>
      <c r="C194" t="inlineStr">
        <is>
          <t>ISIC 26</t>
        </is>
      </c>
    </row>
    <row r="195">
      <c r="A195" t="inlineStr">
        <is>
          <t>334118</t>
        </is>
      </c>
      <c r="B195" t="inlineStr">
        <is>
          <t>Computer terminals and other computer peripheral equipment manufacturing</t>
        </is>
      </c>
      <c r="C195" t="inlineStr">
        <is>
          <t>ISIC 26</t>
        </is>
      </c>
    </row>
    <row r="196">
      <c r="A196" t="inlineStr">
        <is>
          <t>334210</t>
        </is>
      </c>
      <c r="B196" t="inlineStr">
        <is>
          <t>Telephone apparatus manufacturing</t>
        </is>
      </c>
      <c r="C196" t="inlineStr">
        <is>
          <t>ISIC 26</t>
        </is>
      </c>
    </row>
    <row r="197">
      <c r="A197" t="inlineStr">
        <is>
          <t>334220</t>
        </is>
      </c>
      <c r="B197" t="inlineStr">
        <is>
          <t>Broadcast and wireless communications equipment</t>
        </is>
      </c>
      <c r="C197" t="inlineStr">
        <is>
          <t>ISIC 26</t>
        </is>
      </c>
    </row>
    <row r="198">
      <c r="A198" t="inlineStr">
        <is>
          <t>334290</t>
        </is>
      </c>
      <c r="B198" t="inlineStr">
        <is>
          <t>Other communications equipment manufacturing</t>
        </is>
      </c>
      <c r="C198" t="inlineStr">
        <is>
          <t>ISIC 26</t>
        </is>
      </c>
    </row>
    <row r="199">
      <c r="A199" t="inlineStr">
        <is>
          <t>334300</t>
        </is>
      </c>
      <c r="B199" t="inlineStr">
        <is>
          <t>Audio and video equipment manufacturing</t>
        </is>
      </c>
      <c r="C199" t="inlineStr">
        <is>
          <t>ISIC 26</t>
        </is>
      </c>
    </row>
    <row r="200">
      <c r="A200" t="inlineStr">
        <is>
          <t>334413</t>
        </is>
      </c>
      <c r="B200" t="inlineStr">
        <is>
          <t>Semiconductor and related device manufacturing</t>
        </is>
      </c>
      <c r="C200" t="inlineStr">
        <is>
          <t>ISIC 26</t>
        </is>
      </c>
    </row>
    <row r="201">
      <c r="A201" t="inlineStr">
        <is>
          <t>334418</t>
        </is>
      </c>
      <c r="B201" t="inlineStr">
        <is>
          <t>Printed circuit assembly (electronic assembly) manufacturing</t>
        </is>
      </c>
      <c r="C201" t="inlineStr">
        <is>
          <t>ISIC 26</t>
        </is>
      </c>
    </row>
    <row r="202">
      <c r="A202" t="inlineStr">
        <is>
          <t>33441A</t>
        </is>
      </c>
      <c r="B202" t="inlineStr">
        <is>
          <t>Other electronic component manufacturing</t>
        </is>
      </c>
      <c r="C202" t="inlineStr">
        <is>
          <t>ISIC 26</t>
        </is>
      </c>
    </row>
    <row r="203">
      <c r="A203" t="inlineStr">
        <is>
          <t>334510</t>
        </is>
      </c>
      <c r="B203" t="inlineStr">
        <is>
          <t>Electromedical and electrotherapeutic apparatus manufacturing</t>
        </is>
      </c>
      <c r="C203" t="inlineStr">
        <is>
          <t>ISIC 26</t>
        </is>
      </c>
    </row>
    <row r="204">
      <c r="A204" t="inlineStr">
        <is>
          <t>334511</t>
        </is>
      </c>
      <c r="B204" t="inlineStr">
        <is>
          <t>Search, detection, and navigation instruments manufacturing</t>
        </is>
      </c>
      <c r="C204" t="inlineStr">
        <is>
          <t>ISIC 26</t>
        </is>
      </c>
    </row>
    <row r="205">
      <c r="A205" t="inlineStr">
        <is>
          <t>334512</t>
        </is>
      </c>
      <c r="B205" t="inlineStr">
        <is>
          <t>Automatic environmental control manufacturing</t>
        </is>
      </c>
      <c r="C205" t="inlineStr">
        <is>
          <t>ISIC 26</t>
        </is>
      </c>
    </row>
    <row r="206">
      <c r="A206" t="inlineStr">
        <is>
          <t>334513</t>
        </is>
      </c>
      <c r="B206" t="inlineStr">
        <is>
          <t>Industrial process variable instruments manufacturing</t>
        </is>
      </c>
      <c r="C206" t="inlineStr">
        <is>
          <t>ISIC 26</t>
        </is>
      </c>
    </row>
    <row r="207">
      <c r="A207" t="inlineStr">
        <is>
          <t>334514</t>
        </is>
      </c>
      <c r="B207" t="inlineStr">
        <is>
          <t>Totalizing fluid meter and counting device manufacturing</t>
        </is>
      </c>
      <c r="C207" t="inlineStr">
        <is>
          <t>ISIC 26</t>
        </is>
      </c>
    </row>
    <row r="208">
      <c r="A208" t="inlineStr">
        <is>
          <t>334515</t>
        </is>
      </c>
      <c r="B208" t="inlineStr">
        <is>
          <t>Electricity and signal testing instruments manufacturing</t>
        </is>
      </c>
      <c r="C208" t="inlineStr">
        <is>
          <t>ISIC 26</t>
        </is>
      </c>
    </row>
    <row r="209">
      <c r="A209" t="inlineStr">
        <is>
          <t>334516</t>
        </is>
      </c>
      <c r="B209" t="inlineStr">
        <is>
          <t>Analytical laboratory instrument manufacturing</t>
        </is>
      </c>
      <c r="C209" t="inlineStr">
        <is>
          <t>ISIC 26</t>
        </is>
      </c>
    </row>
    <row r="210">
      <c r="A210" t="inlineStr">
        <is>
          <t>334517</t>
        </is>
      </c>
      <c r="B210" t="inlineStr">
        <is>
          <t>Irradiation apparatus manufacturing</t>
        </is>
      </c>
      <c r="C210" t="inlineStr">
        <is>
          <t>ISIC 26</t>
        </is>
      </c>
    </row>
    <row r="211">
      <c r="A211" t="inlineStr">
        <is>
          <t>33451A</t>
        </is>
      </c>
      <c r="B211" t="inlineStr">
        <is>
          <t>Watch, clock, and other measuring and controlling device manufacturing</t>
        </is>
      </c>
      <c r="C211" t="inlineStr">
        <is>
          <t>ISIC 26</t>
        </is>
      </c>
    </row>
    <row r="212">
      <c r="A212" t="inlineStr">
        <is>
          <t>334610</t>
        </is>
      </c>
      <c r="B212" t="inlineStr">
        <is>
          <t>Manufacturing and reproducing magnetic and optical media</t>
        </is>
      </c>
      <c r="C212" t="inlineStr">
        <is>
          <t>ISIC 26</t>
        </is>
      </c>
    </row>
    <row r="213">
      <c r="A213" t="inlineStr">
        <is>
          <t>335110</t>
        </is>
      </c>
      <c r="B213" t="inlineStr">
        <is>
          <t>Electric lamp bulb and part manufacturing</t>
        </is>
      </c>
      <c r="C213" t="inlineStr">
        <is>
          <t>ISIC 27</t>
        </is>
      </c>
    </row>
    <row r="214">
      <c r="A214" t="inlineStr">
        <is>
          <t>335120</t>
        </is>
      </c>
      <c r="B214" t="inlineStr">
        <is>
          <t>Lighting fixture manufacturing</t>
        </is>
      </c>
      <c r="C214" t="inlineStr">
        <is>
          <t>ISIC 27</t>
        </is>
      </c>
    </row>
    <row r="215">
      <c r="A215" t="inlineStr">
        <is>
          <t>335210</t>
        </is>
      </c>
      <c r="B215" t="inlineStr">
        <is>
          <t>Small electrical appliance manufacturing</t>
        </is>
      </c>
      <c r="C215" t="inlineStr">
        <is>
          <t>ISIC 27</t>
        </is>
      </c>
    </row>
    <row r="216">
      <c r="A216" t="inlineStr">
        <is>
          <t>335220</t>
        </is>
      </c>
      <c r="B216" t="inlineStr">
        <is>
          <t>Major household appliance manufacturing</t>
        </is>
      </c>
      <c r="C216" t="inlineStr">
        <is>
          <t>ISIC 27</t>
        </is>
      </c>
    </row>
    <row r="217">
      <c r="A217" t="inlineStr">
        <is>
          <t>335221</t>
        </is>
      </c>
      <c r="B217" t="inlineStr"/>
      <c r="C217" t="inlineStr">
        <is>
          <t>ISIC 27</t>
        </is>
      </c>
    </row>
    <row r="218">
      <c r="A218" t="inlineStr">
        <is>
          <t>335222</t>
        </is>
      </c>
      <c r="B218" t="inlineStr"/>
      <c r="C218" t="inlineStr">
        <is>
          <t>ISIC 27</t>
        </is>
      </c>
    </row>
    <row r="219">
      <c r="A219" t="inlineStr">
        <is>
          <t>335224</t>
        </is>
      </c>
      <c r="B219" t="inlineStr"/>
      <c r="C219" t="inlineStr">
        <is>
          <t>ISIC 27</t>
        </is>
      </c>
    </row>
    <row r="220">
      <c r="A220" t="inlineStr">
        <is>
          <t>335228</t>
        </is>
      </c>
      <c r="B220" t="inlineStr"/>
      <c r="C220" t="inlineStr">
        <is>
          <t>ISIC 27</t>
        </is>
      </c>
    </row>
    <row r="221">
      <c r="A221" t="inlineStr">
        <is>
          <t>335311</t>
        </is>
      </c>
      <c r="B221" t="inlineStr">
        <is>
          <t>Power, distribution, and specialty transformer manufacturing</t>
        </is>
      </c>
      <c r="C221" t="inlineStr">
        <is>
          <t>ISIC 27</t>
        </is>
      </c>
    </row>
    <row r="222">
      <c r="A222" t="inlineStr">
        <is>
          <t>335312</t>
        </is>
      </c>
      <c r="B222" t="inlineStr">
        <is>
          <t>Motor and generator manufacturing</t>
        </is>
      </c>
      <c r="C222" t="inlineStr">
        <is>
          <t>ISIC 27</t>
        </is>
      </c>
    </row>
    <row r="223">
      <c r="A223" t="inlineStr">
        <is>
          <t>335313</t>
        </is>
      </c>
      <c r="B223" t="inlineStr">
        <is>
          <t>Switchgear and switchboard apparatus manufacturing</t>
        </is>
      </c>
      <c r="C223" t="inlineStr">
        <is>
          <t>ISIC 27</t>
        </is>
      </c>
    </row>
    <row r="224">
      <c r="A224" t="inlineStr">
        <is>
          <t>335314</t>
        </is>
      </c>
      <c r="B224" t="inlineStr">
        <is>
          <t>Relay and industrial control manufacturing</t>
        </is>
      </c>
      <c r="C224" t="inlineStr">
        <is>
          <t>ISIC 27</t>
        </is>
      </c>
    </row>
    <row r="225">
      <c r="A225" t="inlineStr">
        <is>
          <t>335911</t>
        </is>
      </c>
      <c r="B225" t="inlineStr">
        <is>
          <t>Storage battery manufacturing</t>
        </is>
      </c>
      <c r="C225" t="inlineStr">
        <is>
          <t>ISIC 27</t>
        </is>
      </c>
    </row>
    <row r="226">
      <c r="A226" t="inlineStr">
        <is>
          <t>335912</t>
        </is>
      </c>
      <c r="B226" t="inlineStr">
        <is>
          <t>Primary battery manufacturing</t>
        </is>
      </c>
      <c r="C226" t="inlineStr">
        <is>
          <t>ISIC 27</t>
        </is>
      </c>
    </row>
    <row r="227">
      <c r="A227" t="inlineStr">
        <is>
          <t>335920</t>
        </is>
      </c>
      <c r="B227" t="inlineStr">
        <is>
          <t>Communication and energy wire and cable manufacturing</t>
        </is>
      </c>
      <c r="C227" t="inlineStr">
        <is>
          <t>ISIC 27</t>
        </is>
      </c>
    </row>
    <row r="228">
      <c r="A228" t="inlineStr">
        <is>
          <t>335930</t>
        </is>
      </c>
      <c r="B228" t="inlineStr">
        <is>
          <t>Wiring device manufacturing</t>
        </is>
      </c>
      <c r="C228" t="inlineStr">
        <is>
          <t>ISIC 27</t>
        </is>
      </c>
    </row>
    <row r="229">
      <c r="A229" t="inlineStr">
        <is>
          <t>335991</t>
        </is>
      </c>
      <c r="B229" t="inlineStr">
        <is>
          <t>Carbon and graphite product manufacturing</t>
        </is>
      </c>
      <c r="C229" t="inlineStr">
        <is>
          <t>ISIC 27</t>
        </is>
      </c>
    </row>
    <row r="230">
      <c r="A230" t="inlineStr">
        <is>
          <t>335999</t>
        </is>
      </c>
      <c r="B230" t="inlineStr">
        <is>
          <t>All other miscellaneous electrical equipment and component manufacturing</t>
        </is>
      </c>
      <c r="C230" t="inlineStr">
        <is>
          <t>ISIC 27</t>
        </is>
      </c>
    </row>
    <row r="231">
      <c r="A231" t="inlineStr">
        <is>
          <t>336111</t>
        </is>
      </c>
      <c r="B231" t="inlineStr">
        <is>
          <t>Automobile manufacturing</t>
        </is>
      </c>
      <c r="C231" t="inlineStr">
        <is>
          <t>ISIC 29</t>
        </is>
      </c>
    </row>
    <row r="232">
      <c r="A232" t="inlineStr">
        <is>
          <t>336112</t>
        </is>
      </c>
      <c r="B232" t="inlineStr">
        <is>
          <t>Light truck and utility vehicle manufacturing</t>
        </is>
      </c>
      <c r="C232" t="inlineStr">
        <is>
          <t>ISIC 29</t>
        </is>
      </c>
    </row>
    <row r="233">
      <c r="A233" t="inlineStr">
        <is>
          <t>336120</t>
        </is>
      </c>
      <c r="B233" t="inlineStr">
        <is>
          <t>Heavy duty truck manufacturing</t>
        </is>
      </c>
      <c r="C233" t="inlineStr">
        <is>
          <t>ISIC 29</t>
        </is>
      </c>
    </row>
    <row r="234">
      <c r="A234" t="inlineStr">
        <is>
          <t>336211</t>
        </is>
      </c>
      <c r="B234" t="inlineStr">
        <is>
          <t>Motor vehicle body manufacturing</t>
        </is>
      </c>
      <c r="C234" t="inlineStr">
        <is>
          <t>ISIC 29</t>
        </is>
      </c>
    </row>
    <row r="235">
      <c r="A235" t="inlineStr">
        <is>
          <t>336212</t>
        </is>
      </c>
      <c r="B235" t="inlineStr">
        <is>
          <t>Truck trailer manufacturing</t>
        </is>
      </c>
      <c r="C235" t="inlineStr">
        <is>
          <t>ISIC 29</t>
        </is>
      </c>
    </row>
    <row r="236">
      <c r="A236" t="inlineStr">
        <is>
          <t>336213</t>
        </is>
      </c>
      <c r="B236" t="inlineStr">
        <is>
          <t>Motor home manufacturing</t>
        </is>
      </c>
      <c r="C236" t="inlineStr">
        <is>
          <t>ISIC 29</t>
        </is>
      </c>
    </row>
    <row r="237">
      <c r="A237" t="inlineStr">
        <is>
          <t>336214</t>
        </is>
      </c>
      <c r="B237" t="inlineStr">
        <is>
          <t>Travel trailer and camper manufacturing</t>
        </is>
      </c>
      <c r="C237" t="inlineStr">
        <is>
          <t>ISIC 29</t>
        </is>
      </c>
    </row>
    <row r="238">
      <c r="A238" t="inlineStr">
        <is>
          <t>336310</t>
        </is>
      </c>
      <c r="B238" t="inlineStr">
        <is>
          <t>Motor vehicle gasoline engine and engine parts manufacturing</t>
        </is>
      </c>
      <c r="C238" t="inlineStr">
        <is>
          <t>ISIC 29</t>
        </is>
      </c>
    </row>
    <row r="239">
      <c r="A239" t="inlineStr">
        <is>
          <t>336320</t>
        </is>
      </c>
      <c r="B239" t="inlineStr">
        <is>
          <t>Motor vehicle electrical and electronic equipment manufacturing</t>
        </is>
      </c>
      <c r="C239" t="inlineStr">
        <is>
          <t>ISIC 29</t>
        </is>
      </c>
    </row>
    <row r="240">
      <c r="A240" t="inlineStr">
        <is>
          <t>336350</t>
        </is>
      </c>
      <c r="B240" t="inlineStr">
        <is>
          <t>Motor vehicle transmission and power train parts manufacturing</t>
        </is>
      </c>
      <c r="C240" t="inlineStr">
        <is>
          <t>ISIC 29</t>
        </is>
      </c>
    </row>
    <row r="241">
      <c r="A241" t="inlineStr">
        <is>
          <t>336360</t>
        </is>
      </c>
      <c r="B241" t="inlineStr">
        <is>
          <t>Motor vehicle seating and interior trim manufacturing</t>
        </is>
      </c>
      <c r="C241" t="inlineStr">
        <is>
          <t>ISIC 29</t>
        </is>
      </c>
    </row>
    <row r="242">
      <c r="A242" t="inlineStr">
        <is>
          <t>336370</t>
        </is>
      </c>
      <c r="B242" t="inlineStr">
        <is>
          <t>Motor vehicle metal stamping</t>
        </is>
      </c>
      <c r="C242" t="inlineStr">
        <is>
          <t>ISIC 29</t>
        </is>
      </c>
    </row>
    <row r="243">
      <c r="A243" t="inlineStr">
        <is>
          <t>336390</t>
        </is>
      </c>
      <c r="B243" t="inlineStr">
        <is>
          <t>Other motor vehicle parts manufacturing</t>
        </is>
      </c>
      <c r="C243" t="inlineStr">
        <is>
          <t>ISIC 29</t>
        </is>
      </c>
    </row>
    <row r="244">
      <c r="A244" t="inlineStr">
        <is>
          <t>3363A0</t>
        </is>
      </c>
      <c r="B244" t="inlineStr">
        <is>
          <t>Motor vehicle steering, suspension component (except spring), and brake systems manufacturing</t>
        </is>
      </c>
      <c r="C244" t="inlineStr">
        <is>
          <t>ISIC 29</t>
        </is>
      </c>
    </row>
    <row r="245">
      <c r="A245" t="inlineStr">
        <is>
          <t>336411</t>
        </is>
      </c>
      <c r="B245" t="inlineStr">
        <is>
          <t>Aircraft manufacturing</t>
        </is>
      </c>
      <c r="C245" t="inlineStr">
        <is>
          <t>ISIC 302T309</t>
        </is>
      </c>
    </row>
    <row r="246">
      <c r="A246" t="inlineStr">
        <is>
          <t>336412</t>
        </is>
      </c>
      <c r="B246" t="inlineStr">
        <is>
          <t>Aircraft engine and engine parts manufacturing</t>
        </is>
      </c>
      <c r="C246" t="inlineStr">
        <is>
          <t>ISIC 302T309</t>
        </is>
      </c>
    </row>
    <row r="247">
      <c r="A247" t="inlineStr">
        <is>
          <t>336413</t>
        </is>
      </c>
      <c r="B247" t="inlineStr">
        <is>
          <t>Other aircraft parts and auxiliary equipment manufacturing</t>
        </is>
      </c>
      <c r="C247" t="inlineStr">
        <is>
          <t>ISIC 302T309</t>
        </is>
      </c>
    </row>
    <row r="248">
      <c r="A248" t="inlineStr">
        <is>
          <t>336414</t>
        </is>
      </c>
      <c r="B248" t="inlineStr">
        <is>
          <t>Guided missile and space vehicle manufacturing</t>
        </is>
      </c>
      <c r="C248" t="inlineStr">
        <is>
          <t>ISIC 302T309</t>
        </is>
      </c>
    </row>
    <row r="249">
      <c r="A249" t="inlineStr">
        <is>
          <t>33641A</t>
        </is>
      </c>
      <c r="B249" t="inlineStr">
        <is>
          <t>Propulsion units and parts for space vehicles and guided missiles</t>
        </is>
      </c>
      <c r="C249" t="inlineStr">
        <is>
          <t>ISIC 302T309</t>
        </is>
      </c>
    </row>
    <row r="250">
      <c r="A250" t="inlineStr">
        <is>
          <t>336500</t>
        </is>
      </c>
      <c r="B250" t="inlineStr">
        <is>
          <t>Railroad rolling stock manufacturing</t>
        </is>
      </c>
      <c r="C250" t="inlineStr">
        <is>
          <t>ISIC 302T309</t>
        </is>
      </c>
    </row>
    <row r="251">
      <c r="A251" t="inlineStr">
        <is>
          <t>336611</t>
        </is>
      </c>
      <c r="B251" t="inlineStr">
        <is>
          <t>Ship building and repairing</t>
        </is>
      </c>
      <c r="C251" t="inlineStr">
        <is>
          <t>ISIC 301</t>
        </is>
      </c>
    </row>
    <row r="252">
      <c r="A252" t="inlineStr">
        <is>
          <t>336612</t>
        </is>
      </c>
      <c r="B252" t="inlineStr">
        <is>
          <t>Boat building</t>
        </is>
      </c>
      <c r="C252" t="inlineStr">
        <is>
          <t>ISIC 301</t>
        </is>
      </c>
    </row>
    <row r="253">
      <c r="A253" t="inlineStr">
        <is>
          <t>336991</t>
        </is>
      </c>
      <c r="B253" t="inlineStr">
        <is>
          <t>Motorcycle, bicycle, and parts manufacturing</t>
        </is>
      </c>
      <c r="C253" t="inlineStr">
        <is>
          <t>ISIC 302T309</t>
        </is>
      </c>
    </row>
    <row r="254">
      <c r="A254" t="inlineStr">
        <is>
          <t>336992</t>
        </is>
      </c>
      <c r="B254" t="inlineStr">
        <is>
          <t>Military armored vehicle, tank, and tank component manufacturing</t>
        </is>
      </c>
      <c r="C254" t="inlineStr">
        <is>
          <t>ISIC 302T309</t>
        </is>
      </c>
    </row>
    <row r="255">
      <c r="A255" t="inlineStr">
        <is>
          <t>336999</t>
        </is>
      </c>
      <c r="B255" t="inlineStr">
        <is>
          <t>All other transportation equipment manufacturing</t>
        </is>
      </c>
      <c r="C255" t="inlineStr">
        <is>
          <t>ISIC 302T309</t>
        </is>
      </c>
    </row>
    <row r="256">
      <c r="A256" t="inlineStr">
        <is>
          <t>337110</t>
        </is>
      </c>
      <c r="B256" t="inlineStr">
        <is>
          <t>Wood kitchen cabinet and countertop manufacturing</t>
        </is>
      </c>
      <c r="C256" t="inlineStr">
        <is>
          <t>ISIC 31T33</t>
        </is>
      </c>
    </row>
    <row r="257">
      <c r="A257" t="inlineStr">
        <is>
          <t>337121</t>
        </is>
      </c>
      <c r="B257" t="inlineStr">
        <is>
          <t>Upholstered household furniture manufacturing</t>
        </is>
      </c>
      <c r="C257" t="inlineStr">
        <is>
          <t>ISIC 31T33</t>
        </is>
      </c>
    </row>
    <row r="258">
      <c r="A258" t="inlineStr">
        <is>
          <t>337122</t>
        </is>
      </c>
      <c r="B258" t="inlineStr">
        <is>
          <t>Nonupholstered wood household furniture manufacturing</t>
        </is>
      </c>
      <c r="C258" t="inlineStr">
        <is>
          <t>ISIC 31T33</t>
        </is>
      </c>
    </row>
    <row r="259">
      <c r="A259" t="inlineStr">
        <is>
          <t>337127</t>
        </is>
      </c>
      <c r="B259" t="inlineStr">
        <is>
          <t>Institutional furniture manufacturing</t>
        </is>
      </c>
      <c r="C259" t="inlineStr">
        <is>
          <t>ISIC 31T33</t>
        </is>
      </c>
    </row>
    <row r="260">
      <c r="A260" t="inlineStr">
        <is>
          <t>33712N</t>
        </is>
      </c>
      <c r="B260" t="inlineStr">
        <is>
          <t>Other household nonupholstered furniture</t>
        </is>
      </c>
      <c r="C260" t="inlineStr">
        <is>
          <t>ISIC 31T33</t>
        </is>
      </c>
    </row>
    <row r="261">
      <c r="A261" t="inlineStr">
        <is>
          <t>337215</t>
        </is>
      </c>
      <c r="B261" t="inlineStr">
        <is>
          <t>Showcase, partition, shelving, and locker manufacturing</t>
        </is>
      </c>
      <c r="C261" t="inlineStr">
        <is>
          <t>ISIC 31T33</t>
        </is>
      </c>
    </row>
    <row r="262">
      <c r="A262" t="inlineStr">
        <is>
          <t>33721A</t>
        </is>
      </c>
      <c r="B262" t="inlineStr">
        <is>
          <t>Office furniture and custom architectural woodwork and millwork manufacturing</t>
        </is>
      </c>
      <c r="C262" t="inlineStr">
        <is>
          <t>ISIC 31T33</t>
        </is>
      </c>
    </row>
    <row r="263">
      <c r="A263" t="inlineStr">
        <is>
          <t>337900</t>
        </is>
      </c>
      <c r="B263" t="inlineStr">
        <is>
          <t>Other furniture related product manufacturing</t>
        </is>
      </c>
      <c r="C263" t="inlineStr">
        <is>
          <t>ISIC 31T33</t>
        </is>
      </c>
    </row>
    <row r="264">
      <c r="A264" t="inlineStr">
        <is>
          <t>339112</t>
        </is>
      </c>
      <c r="B264" t="inlineStr">
        <is>
          <t>Surgical and medical instrument manufacturing</t>
        </is>
      </c>
      <c r="C264" t="inlineStr">
        <is>
          <t>ISIC 31T33</t>
        </is>
      </c>
    </row>
    <row r="265">
      <c r="A265" t="inlineStr">
        <is>
          <t>339113</t>
        </is>
      </c>
      <c r="B265" t="inlineStr">
        <is>
          <t>Surgical appliance and supplies manufacturing</t>
        </is>
      </c>
      <c r="C265" t="inlineStr">
        <is>
          <t>ISIC 31T33</t>
        </is>
      </c>
    </row>
    <row r="266">
      <c r="A266" t="inlineStr">
        <is>
          <t>339114</t>
        </is>
      </c>
      <c r="B266" t="inlineStr">
        <is>
          <t>Dental equipment and supplies manufacturing</t>
        </is>
      </c>
      <c r="C266" t="inlineStr">
        <is>
          <t>ISIC 31T33</t>
        </is>
      </c>
    </row>
    <row r="267">
      <c r="A267" t="inlineStr">
        <is>
          <t>339115</t>
        </is>
      </c>
      <c r="B267" t="inlineStr">
        <is>
          <t>Ophthalmic goods manufacturing</t>
        </is>
      </c>
      <c r="C267" t="inlineStr">
        <is>
          <t>ISIC 31T33</t>
        </is>
      </c>
    </row>
    <row r="268">
      <c r="A268" t="inlineStr">
        <is>
          <t>339116</t>
        </is>
      </c>
      <c r="B268" t="inlineStr">
        <is>
          <t>Dental laboratories</t>
        </is>
      </c>
      <c r="C268" t="inlineStr">
        <is>
          <t>ISIC 31T33</t>
        </is>
      </c>
    </row>
    <row r="269">
      <c r="A269" t="inlineStr">
        <is>
          <t>339910</t>
        </is>
      </c>
      <c r="B269" t="inlineStr">
        <is>
          <t>Jewelry and silverware manufacturing</t>
        </is>
      </c>
      <c r="C269" t="inlineStr">
        <is>
          <t>ISIC 31T33</t>
        </is>
      </c>
    </row>
    <row r="270">
      <c r="A270" t="inlineStr">
        <is>
          <t>339920</t>
        </is>
      </c>
      <c r="B270" t="inlineStr">
        <is>
          <t>Sporting and athletic goods manufacturing</t>
        </is>
      </c>
      <c r="C270" t="inlineStr">
        <is>
          <t>ISIC 31T33</t>
        </is>
      </c>
    </row>
    <row r="271">
      <c r="A271" t="inlineStr">
        <is>
          <t>339930</t>
        </is>
      </c>
      <c r="B271" t="inlineStr">
        <is>
          <t>Doll, toy, and game manufacturing</t>
        </is>
      </c>
      <c r="C271" t="inlineStr">
        <is>
          <t>ISIC 31T33</t>
        </is>
      </c>
    </row>
    <row r="272">
      <c r="A272" t="inlineStr">
        <is>
          <t>339940</t>
        </is>
      </c>
      <c r="B272" t="inlineStr">
        <is>
          <t>Office supplies (except paper) manufacturing</t>
        </is>
      </c>
      <c r="C272" t="inlineStr">
        <is>
          <t>ISIC 31T33</t>
        </is>
      </c>
    </row>
    <row r="273">
      <c r="A273" t="inlineStr">
        <is>
          <t>339950</t>
        </is>
      </c>
      <c r="B273" t="inlineStr">
        <is>
          <t>Sign manufacturing</t>
        </is>
      </c>
      <c r="C273" t="inlineStr">
        <is>
          <t>ISIC 31T33</t>
        </is>
      </c>
    </row>
    <row r="274">
      <c r="A274" t="inlineStr">
        <is>
          <t>339990</t>
        </is>
      </c>
      <c r="B274" t="inlineStr">
        <is>
          <t>All other miscellaneous manufacturing</t>
        </is>
      </c>
      <c r="C274" t="inlineStr">
        <is>
          <t>ISIC 31T33</t>
        </is>
      </c>
    </row>
    <row r="275">
      <c r="A275" t="inlineStr">
        <is>
          <t>4200ID</t>
        </is>
      </c>
      <c r="B275" t="inlineStr">
        <is>
          <t>Customs duties</t>
        </is>
      </c>
      <c r="C275" t="inlineStr">
        <is>
          <t>ISIC 45T47</t>
        </is>
      </c>
    </row>
    <row r="276">
      <c r="A276" t="inlineStr">
        <is>
          <t>423100</t>
        </is>
      </c>
      <c r="B276" t="inlineStr">
        <is>
          <t>Motor vehicle and motor vehicle parts and supplies</t>
        </is>
      </c>
      <c r="C276" t="inlineStr">
        <is>
          <t>ISIC 45T47</t>
        </is>
      </c>
    </row>
    <row r="277">
      <c r="A277" t="inlineStr">
        <is>
          <t>423400</t>
        </is>
      </c>
      <c r="B277" t="inlineStr">
        <is>
          <t>Professional and commercial equipment and supplies</t>
        </is>
      </c>
      <c r="C277" t="inlineStr">
        <is>
          <t>ISIC 45T47</t>
        </is>
      </c>
    </row>
    <row r="278">
      <c r="A278" t="inlineStr">
        <is>
          <t>423600</t>
        </is>
      </c>
      <c r="B278" t="inlineStr">
        <is>
          <t>Household appliances and electrical and electronic goods</t>
        </is>
      </c>
      <c r="C278" t="inlineStr">
        <is>
          <t>ISIC 45T47</t>
        </is>
      </c>
    </row>
    <row r="279">
      <c r="A279" t="inlineStr">
        <is>
          <t>423800</t>
        </is>
      </c>
      <c r="B279" t="inlineStr">
        <is>
          <t>Machinery, equipment, and supplies</t>
        </is>
      </c>
      <c r="C279" t="inlineStr">
        <is>
          <t>ISIC 45T47</t>
        </is>
      </c>
    </row>
    <row r="280">
      <c r="A280" t="inlineStr">
        <is>
          <t>423A00</t>
        </is>
      </c>
      <c r="B280" t="inlineStr">
        <is>
          <t>Other durable goods merchant wholesalers</t>
        </is>
      </c>
      <c r="C280" t="inlineStr">
        <is>
          <t>ISIC 45T47</t>
        </is>
      </c>
    </row>
    <row r="281">
      <c r="A281" t="inlineStr">
        <is>
          <t>424200</t>
        </is>
      </c>
      <c r="B281" t="inlineStr">
        <is>
          <t>Drugs and druggists’ sundries</t>
        </is>
      </c>
      <c r="C281" t="inlineStr">
        <is>
          <t>ISIC 45T47</t>
        </is>
      </c>
    </row>
    <row r="282">
      <c r="A282" t="inlineStr">
        <is>
          <t>424400</t>
        </is>
      </c>
      <c r="B282" t="inlineStr">
        <is>
          <t>Grocery and related product wholesalers</t>
        </is>
      </c>
      <c r="C282" t="inlineStr">
        <is>
          <t>ISIC 45T47</t>
        </is>
      </c>
    </row>
    <row r="283">
      <c r="A283" t="inlineStr">
        <is>
          <t>424700</t>
        </is>
      </c>
      <c r="B283" t="inlineStr">
        <is>
          <t>Petroleum and petroleum products</t>
        </is>
      </c>
      <c r="C283" t="inlineStr">
        <is>
          <t>ISIC 45T47</t>
        </is>
      </c>
    </row>
    <row r="284">
      <c r="A284" t="inlineStr">
        <is>
          <t>424A00</t>
        </is>
      </c>
      <c r="B284" t="inlineStr">
        <is>
          <t>Other nondurable goods merchant wholesalers</t>
        </is>
      </c>
      <c r="C284" t="inlineStr">
        <is>
          <t>ISIC 45T47</t>
        </is>
      </c>
    </row>
    <row r="285">
      <c r="A285" t="inlineStr">
        <is>
          <t>425000</t>
        </is>
      </c>
      <c r="B285" t="inlineStr">
        <is>
          <t>Wholesale electronic markets and agents and brokers</t>
        </is>
      </c>
      <c r="C285" t="inlineStr">
        <is>
          <t>ISIC 45T47</t>
        </is>
      </c>
    </row>
    <row r="286">
      <c r="A286" t="inlineStr">
        <is>
          <t>441000</t>
        </is>
      </c>
      <c r="B286" t="inlineStr">
        <is>
          <t>Motor vehicle and parts dealers</t>
        </is>
      </c>
      <c r="C286" t="inlineStr">
        <is>
          <t>ISIC 45T47</t>
        </is>
      </c>
    </row>
    <row r="287">
      <c r="A287" t="inlineStr">
        <is>
          <t>444000</t>
        </is>
      </c>
      <c r="B287" t="inlineStr">
        <is>
          <t>Building material and garden equipment and supplies dealers</t>
        </is>
      </c>
      <c r="C287" t="inlineStr">
        <is>
          <t>ISIC 45T47</t>
        </is>
      </c>
    </row>
    <row r="288">
      <c r="A288" t="inlineStr">
        <is>
          <t>445000</t>
        </is>
      </c>
      <c r="B288" t="inlineStr">
        <is>
          <t>Food and beverage stores</t>
        </is>
      </c>
      <c r="C288" t="inlineStr">
        <is>
          <t>ISIC 45T47</t>
        </is>
      </c>
    </row>
    <row r="289">
      <c r="A289" t="inlineStr">
        <is>
          <t>446000</t>
        </is>
      </c>
      <c r="B289" t="inlineStr">
        <is>
          <t>Health and personal care stores</t>
        </is>
      </c>
      <c r="C289" t="inlineStr">
        <is>
          <t>ISIC 45T47</t>
        </is>
      </c>
    </row>
    <row r="290">
      <c r="A290" t="inlineStr">
        <is>
          <t>447000</t>
        </is>
      </c>
      <c r="B290" t="inlineStr">
        <is>
          <t>Gasoline stations</t>
        </is>
      </c>
      <c r="C290" t="inlineStr">
        <is>
          <t>ISIC 45T47</t>
        </is>
      </c>
    </row>
    <row r="291">
      <c r="A291" t="inlineStr">
        <is>
          <t>448000</t>
        </is>
      </c>
      <c r="B291" t="inlineStr">
        <is>
          <t>Clothing and clothing accessories stores</t>
        </is>
      </c>
      <c r="C291" t="inlineStr">
        <is>
          <t>ISIC 45T47</t>
        </is>
      </c>
    </row>
    <row r="292">
      <c r="A292" t="inlineStr">
        <is>
          <t>452000</t>
        </is>
      </c>
      <c r="B292" t="inlineStr">
        <is>
          <t>General merchandise stores</t>
        </is>
      </c>
      <c r="C292" t="inlineStr">
        <is>
          <t>ISIC 45T47</t>
        </is>
      </c>
    </row>
    <row r="293">
      <c r="A293" t="inlineStr">
        <is>
          <t>454000</t>
        </is>
      </c>
      <c r="B293" t="inlineStr">
        <is>
          <t>Nonstore retailers</t>
        </is>
      </c>
      <c r="C293" t="inlineStr">
        <is>
          <t>ISIC 45T47</t>
        </is>
      </c>
    </row>
    <row r="294">
      <c r="A294" t="inlineStr">
        <is>
          <t>481000</t>
        </is>
      </c>
      <c r="B294" t="inlineStr">
        <is>
          <t>Air transportation</t>
        </is>
      </c>
      <c r="C294" t="inlineStr">
        <is>
          <t>ISIC 51</t>
        </is>
      </c>
    </row>
    <row r="295">
      <c r="A295" t="inlineStr">
        <is>
          <t>482000</t>
        </is>
      </c>
      <c r="B295" t="inlineStr">
        <is>
          <t>Rail transportation</t>
        </is>
      </c>
      <c r="C295" t="inlineStr">
        <is>
          <t>ISIC 49</t>
        </is>
      </c>
    </row>
    <row r="296">
      <c r="A296" t="inlineStr">
        <is>
          <t>483000</t>
        </is>
      </c>
      <c r="B296" t="inlineStr">
        <is>
          <t>Water transportation</t>
        </is>
      </c>
      <c r="C296" t="inlineStr">
        <is>
          <t>ISIC 50</t>
        </is>
      </c>
    </row>
    <row r="297">
      <c r="A297" t="inlineStr">
        <is>
          <t>484000</t>
        </is>
      </c>
      <c r="B297" t="inlineStr">
        <is>
          <t>Truck transportation</t>
        </is>
      </c>
      <c r="C297" t="inlineStr">
        <is>
          <t>ISIC 49</t>
        </is>
      </c>
    </row>
    <row r="298">
      <c r="A298" t="inlineStr">
        <is>
          <t>485000</t>
        </is>
      </c>
      <c r="B298" t="inlineStr">
        <is>
          <t>Transit and ground passenger transportation</t>
        </is>
      </c>
      <c r="C298" t="inlineStr">
        <is>
          <t>ISIC 49</t>
        </is>
      </c>
    </row>
    <row r="299">
      <c r="A299" t="inlineStr">
        <is>
          <t>486000</t>
        </is>
      </c>
      <c r="B299" t="inlineStr">
        <is>
          <t>Pipeline transportation</t>
        </is>
      </c>
      <c r="C299" t="inlineStr">
        <is>
          <t>ISIC 352T353</t>
        </is>
      </c>
    </row>
    <row r="300">
      <c r="A300" t="inlineStr">
        <is>
          <t>48A000</t>
        </is>
      </c>
      <c r="B300" t="inlineStr">
        <is>
          <t>Scenic and sightseeing transportation and support activities for transportation</t>
        </is>
      </c>
      <c r="C300" t="inlineStr">
        <is>
          <t>ISIC 52</t>
        </is>
      </c>
    </row>
    <row r="301">
      <c r="A301" t="inlineStr">
        <is>
          <t>491000</t>
        </is>
      </c>
      <c r="B301" t="inlineStr">
        <is>
          <t>Postal service</t>
        </is>
      </c>
      <c r="C301" t="inlineStr">
        <is>
          <t>ISIC 84</t>
        </is>
      </c>
    </row>
    <row r="302">
      <c r="A302" t="inlineStr">
        <is>
          <t>492000</t>
        </is>
      </c>
      <c r="B302" t="inlineStr">
        <is>
          <t>Couriers and messengers</t>
        </is>
      </c>
      <c r="C302" t="inlineStr">
        <is>
          <t>ISIC 53</t>
        </is>
      </c>
    </row>
    <row r="303">
      <c r="A303" t="inlineStr">
        <is>
          <t>493000</t>
        </is>
      </c>
      <c r="B303" t="inlineStr">
        <is>
          <t>Warehousing and storage</t>
        </is>
      </c>
      <c r="C303" t="inlineStr">
        <is>
          <t>ISIC 52</t>
        </is>
      </c>
    </row>
    <row r="304">
      <c r="A304" t="inlineStr">
        <is>
          <t>4B0000</t>
        </is>
      </c>
      <c r="B304" t="inlineStr">
        <is>
          <t>All other retail</t>
        </is>
      </c>
      <c r="C304" t="inlineStr">
        <is>
          <t>ISIC 45T47</t>
        </is>
      </c>
    </row>
    <row r="305">
      <c r="A305" t="inlineStr">
        <is>
          <t>511110</t>
        </is>
      </c>
      <c r="B305" t="inlineStr">
        <is>
          <t>Newspaper publishers</t>
        </is>
      </c>
      <c r="C305" t="inlineStr">
        <is>
          <t>ISIC 58T60</t>
        </is>
      </c>
    </row>
    <row r="306">
      <c r="A306" t="inlineStr">
        <is>
          <t>511120</t>
        </is>
      </c>
      <c r="B306" t="inlineStr">
        <is>
          <t>Periodical Publishers</t>
        </is>
      </c>
      <c r="C306" t="inlineStr">
        <is>
          <t>ISIC 58T60</t>
        </is>
      </c>
    </row>
    <row r="307">
      <c r="A307" t="inlineStr">
        <is>
          <t>511130</t>
        </is>
      </c>
      <c r="B307" t="inlineStr">
        <is>
          <t>Book publishers</t>
        </is>
      </c>
      <c r="C307" t="inlineStr">
        <is>
          <t>ISIC 58T60</t>
        </is>
      </c>
    </row>
    <row r="308">
      <c r="A308" t="inlineStr">
        <is>
          <t>5111A0</t>
        </is>
      </c>
      <c r="B308" t="inlineStr">
        <is>
          <t>Directory, mailing list, and other publishers</t>
        </is>
      </c>
      <c r="C308" t="inlineStr">
        <is>
          <t>ISIC 58T60</t>
        </is>
      </c>
    </row>
    <row r="309">
      <c r="A309" t="inlineStr">
        <is>
          <t>511200</t>
        </is>
      </c>
      <c r="B309" t="inlineStr">
        <is>
          <t>Software publishers</t>
        </is>
      </c>
      <c r="C309" t="inlineStr">
        <is>
          <t>ISIC 58T60</t>
        </is>
      </c>
    </row>
    <row r="310">
      <c r="A310" t="inlineStr">
        <is>
          <t>512100</t>
        </is>
      </c>
      <c r="B310" t="inlineStr">
        <is>
          <t>Motion picture and video industries</t>
        </is>
      </c>
      <c r="C310" t="inlineStr">
        <is>
          <t>ISIC 58T60</t>
        </is>
      </c>
    </row>
    <row r="311">
      <c r="A311" t="inlineStr">
        <is>
          <t>512200</t>
        </is>
      </c>
      <c r="B311" t="inlineStr">
        <is>
          <t>Sound recording industries</t>
        </is>
      </c>
      <c r="C311" t="inlineStr">
        <is>
          <t>ISIC 58T60</t>
        </is>
      </c>
    </row>
    <row r="312">
      <c r="A312" t="inlineStr">
        <is>
          <t>515100</t>
        </is>
      </c>
      <c r="B312" t="inlineStr">
        <is>
          <t>Radio and television broadcasting</t>
        </is>
      </c>
      <c r="C312" t="inlineStr">
        <is>
          <t>ISIC 58T60</t>
        </is>
      </c>
    </row>
    <row r="313">
      <c r="A313" t="inlineStr">
        <is>
          <t>515200</t>
        </is>
      </c>
      <c r="B313" t="inlineStr">
        <is>
          <t>Cable and other subscription programming</t>
        </is>
      </c>
      <c r="C313" t="inlineStr">
        <is>
          <t>ISIC 58T60</t>
        </is>
      </c>
    </row>
    <row r="314">
      <c r="A314" t="inlineStr">
        <is>
          <t>517110</t>
        </is>
      </c>
      <c r="B314" t="inlineStr">
        <is>
          <t>Wired telecommunications carriers</t>
        </is>
      </c>
      <c r="C314" t="inlineStr">
        <is>
          <t>ISIC 61</t>
        </is>
      </c>
    </row>
    <row r="315">
      <c r="A315" t="inlineStr">
        <is>
          <t>517210</t>
        </is>
      </c>
      <c r="B315" t="inlineStr">
        <is>
          <t>Wireless telecommunications carriers (except satellite)</t>
        </is>
      </c>
      <c r="C315" t="inlineStr">
        <is>
          <t>ISIC 61</t>
        </is>
      </c>
    </row>
    <row r="316">
      <c r="A316" t="inlineStr">
        <is>
          <t>517A00</t>
        </is>
      </c>
      <c r="B316" t="inlineStr">
        <is>
          <t>Satellite, telecommunications resellers, and all other telecommunications</t>
        </is>
      </c>
      <c r="C316" t="inlineStr">
        <is>
          <t>ISIC 61</t>
        </is>
      </c>
    </row>
    <row r="317">
      <c r="A317" t="inlineStr">
        <is>
          <t>518200</t>
        </is>
      </c>
      <c r="B317" t="inlineStr">
        <is>
          <t>Data processing, hosting, and related services</t>
        </is>
      </c>
      <c r="C317" t="inlineStr">
        <is>
          <t>ISIC 62T63</t>
        </is>
      </c>
    </row>
    <row r="318">
      <c r="A318" t="inlineStr">
        <is>
          <t>519130</t>
        </is>
      </c>
      <c r="B318" t="inlineStr">
        <is>
          <t>Internet publishing and broadcasting and Web search portals</t>
        </is>
      </c>
      <c r="C318" t="inlineStr">
        <is>
          <t>ISIC 62T63</t>
        </is>
      </c>
    </row>
    <row r="319">
      <c r="A319" t="inlineStr">
        <is>
          <t>5191A0</t>
        </is>
      </c>
      <c r="B319" t="inlineStr">
        <is>
          <t>News syndicates, libraries, archives and all other information services</t>
        </is>
      </c>
      <c r="C319" t="inlineStr">
        <is>
          <t>ISIC 62T63</t>
        </is>
      </c>
    </row>
    <row r="320">
      <c r="A320" t="inlineStr">
        <is>
          <t>522A00</t>
        </is>
      </c>
      <c r="B320" t="inlineStr">
        <is>
          <t>Nondepository credit intermediation and related activities</t>
        </is>
      </c>
      <c r="C320" t="inlineStr">
        <is>
          <t>ISIC 64T66</t>
        </is>
      </c>
    </row>
    <row r="321">
      <c r="A321" t="inlineStr">
        <is>
          <t>523900</t>
        </is>
      </c>
      <c r="B321" t="inlineStr">
        <is>
          <t>Other financial investment activities</t>
        </is>
      </c>
      <c r="C321" t="inlineStr">
        <is>
          <t>ISIC 64T66</t>
        </is>
      </c>
    </row>
    <row r="322">
      <c r="A322" t="inlineStr">
        <is>
          <t>523A00</t>
        </is>
      </c>
      <c r="B322" t="inlineStr">
        <is>
          <t>Securities and commodity contracts intermediation and brokerage</t>
        </is>
      </c>
      <c r="C322" t="inlineStr">
        <is>
          <t>ISIC 64T66</t>
        </is>
      </c>
    </row>
    <row r="323">
      <c r="A323" t="inlineStr">
        <is>
          <t>524113</t>
        </is>
      </c>
      <c r="B323" t="inlineStr">
        <is>
          <t>Direct life insurance carriers</t>
        </is>
      </c>
      <c r="C323" t="inlineStr">
        <is>
          <t>ISIC 64T66</t>
        </is>
      </c>
    </row>
    <row r="324">
      <c r="A324" t="inlineStr">
        <is>
          <t>5241XX</t>
        </is>
      </c>
      <c r="B324" t="inlineStr">
        <is>
          <t>Insurance carriers, except direct life</t>
        </is>
      </c>
      <c r="C324" t="inlineStr">
        <is>
          <t>ISIC 64T66</t>
        </is>
      </c>
    </row>
    <row r="325">
      <c r="A325" t="inlineStr">
        <is>
          <t>524200</t>
        </is>
      </c>
      <c r="B325" t="inlineStr">
        <is>
          <t>Insurance agencies, brokerages, and related activities</t>
        </is>
      </c>
      <c r="C325" t="inlineStr">
        <is>
          <t>ISIC 64T66</t>
        </is>
      </c>
    </row>
    <row r="326">
      <c r="A326" t="inlineStr">
        <is>
          <t>525000</t>
        </is>
      </c>
      <c r="B326" t="inlineStr">
        <is>
          <t>Funds, trusts, and other financial vehicles</t>
        </is>
      </c>
      <c r="C326" t="inlineStr">
        <is>
          <t>ISIC 64T66</t>
        </is>
      </c>
    </row>
    <row r="327">
      <c r="A327" t="inlineStr">
        <is>
          <t>52A000</t>
        </is>
      </c>
      <c r="B327" t="inlineStr">
        <is>
          <t>Monetary authorities and depository credit intermediation</t>
        </is>
      </c>
      <c r="C327" t="inlineStr">
        <is>
          <t>ISIC 64T66</t>
        </is>
      </c>
    </row>
    <row r="328">
      <c r="A328" t="inlineStr">
        <is>
          <t>531HSO</t>
        </is>
      </c>
      <c r="B328" t="inlineStr">
        <is>
          <t>Owner-occupied housing</t>
        </is>
      </c>
      <c r="C328" t="inlineStr">
        <is>
          <t>ISIC 68</t>
        </is>
      </c>
    </row>
    <row r="329">
      <c r="A329" t="inlineStr">
        <is>
          <t>531HST</t>
        </is>
      </c>
      <c r="B329" t="inlineStr">
        <is>
          <t>Tenant-occupied housing</t>
        </is>
      </c>
      <c r="C329" t="inlineStr">
        <is>
          <t>ISIC 68</t>
        </is>
      </c>
    </row>
    <row r="330">
      <c r="A330" t="inlineStr">
        <is>
          <t>531ORE</t>
        </is>
      </c>
      <c r="B330" t="inlineStr">
        <is>
          <t>Other real estate</t>
        </is>
      </c>
      <c r="C330" t="inlineStr">
        <is>
          <t>ISIC 68</t>
        </is>
      </c>
    </row>
    <row r="331">
      <c r="A331" t="inlineStr">
        <is>
          <t>532100</t>
        </is>
      </c>
      <c r="B331" t="inlineStr">
        <is>
          <t>Automotive equipment rental and leasing</t>
        </is>
      </c>
      <c r="C331" t="inlineStr">
        <is>
          <t>ISIC 68</t>
        </is>
      </c>
    </row>
    <row r="332">
      <c r="A332" t="inlineStr">
        <is>
          <t>532400</t>
        </is>
      </c>
      <c r="B332" t="inlineStr">
        <is>
          <t>Commercial and industrial machinery and equipment rental and leasing</t>
        </is>
      </c>
      <c r="C332" t="inlineStr">
        <is>
          <t>ISIC 68</t>
        </is>
      </c>
    </row>
    <row r="333">
      <c r="A333" t="inlineStr">
        <is>
          <t>532A00</t>
        </is>
      </c>
      <c r="B333" t="inlineStr">
        <is>
          <t>General and consumer goods rental</t>
        </is>
      </c>
      <c r="C333" t="inlineStr">
        <is>
          <t>ISIC 68</t>
        </is>
      </c>
    </row>
    <row r="334">
      <c r="A334" t="inlineStr">
        <is>
          <t>533000</t>
        </is>
      </c>
      <c r="B334" t="inlineStr">
        <is>
          <t>Lessors of nonfinancial intangible assets</t>
        </is>
      </c>
      <c r="C334" t="inlineStr">
        <is>
          <t>ISIC 68</t>
        </is>
      </c>
    </row>
    <row r="335">
      <c r="A335" t="inlineStr">
        <is>
          <t>541100</t>
        </is>
      </c>
      <c r="B335" t="inlineStr">
        <is>
          <t>Legal services</t>
        </is>
      </c>
      <c r="C335" t="inlineStr">
        <is>
          <t>ISIC 69T75</t>
        </is>
      </c>
    </row>
    <row r="336">
      <c r="A336" t="inlineStr">
        <is>
          <t>541200</t>
        </is>
      </c>
      <c r="B336" t="inlineStr">
        <is>
          <t>Accounting, tax preparation, bookkeeping, and payroll services</t>
        </is>
      </c>
      <c r="C336" t="inlineStr">
        <is>
          <t>ISIC 69T75</t>
        </is>
      </c>
    </row>
    <row r="337">
      <c r="A337" t="inlineStr">
        <is>
          <t>541300</t>
        </is>
      </c>
      <c r="B337" t="inlineStr">
        <is>
          <t>Architectural, engineering, and related services</t>
        </is>
      </c>
      <c r="C337" t="inlineStr">
        <is>
          <t>ISIC 69T75</t>
        </is>
      </c>
    </row>
    <row r="338">
      <c r="A338" t="inlineStr">
        <is>
          <t>541400</t>
        </is>
      </c>
      <c r="B338" t="inlineStr">
        <is>
          <t>Specialized design services</t>
        </is>
      </c>
      <c r="C338" t="inlineStr">
        <is>
          <t>ISIC 69T75</t>
        </is>
      </c>
    </row>
    <row r="339">
      <c r="A339" t="inlineStr">
        <is>
          <t>541511</t>
        </is>
      </c>
      <c r="B339" t="inlineStr">
        <is>
          <t>Custom computer programming services</t>
        </is>
      </c>
      <c r="C339" t="inlineStr">
        <is>
          <t>ISIC 62T63</t>
        </is>
      </c>
    </row>
    <row r="340">
      <c r="A340" t="inlineStr">
        <is>
          <t>541512</t>
        </is>
      </c>
      <c r="B340" t="inlineStr">
        <is>
          <t>Computer systems design services</t>
        </is>
      </c>
      <c r="C340" t="inlineStr">
        <is>
          <t>ISIC 62T63</t>
        </is>
      </c>
    </row>
    <row r="341">
      <c r="A341" t="inlineStr">
        <is>
          <t>54151A</t>
        </is>
      </c>
      <c r="B341" t="inlineStr">
        <is>
          <t>Other computer related services, including facilities management</t>
        </is>
      </c>
      <c r="C341" t="inlineStr">
        <is>
          <t>ISIC 62T63</t>
        </is>
      </c>
    </row>
    <row r="342">
      <c r="A342" t="inlineStr">
        <is>
          <t>541610</t>
        </is>
      </c>
      <c r="B342" t="inlineStr">
        <is>
          <t>Management consulting services</t>
        </is>
      </c>
      <c r="C342" t="inlineStr">
        <is>
          <t>ISIC 69T75</t>
        </is>
      </c>
    </row>
    <row r="343">
      <c r="A343" t="inlineStr">
        <is>
          <t>5416A0</t>
        </is>
      </c>
      <c r="B343" t="inlineStr">
        <is>
          <t>Environmental and other technical consulting services</t>
        </is>
      </c>
      <c r="C343" t="inlineStr">
        <is>
          <t>ISIC 69T75</t>
        </is>
      </c>
    </row>
    <row r="344">
      <c r="A344" t="inlineStr">
        <is>
          <t>541700</t>
        </is>
      </c>
      <c r="B344" t="inlineStr">
        <is>
          <t>Scientific research and development services</t>
        </is>
      </c>
      <c r="C344" t="inlineStr">
        <is>
          <t>ISIC 69T75</t>
        </is>
      </c>
    </row>
    <row r="345">
      <c r="A345" t="inlineStr">
        <is>
          <t>541800</t>
        </is>
      </c>
      <c r="B345" t="inlineStr">
        <is>
          <t>Advertising, public relations, and related services</t>
        </is>
      </c>
      <c r="C345" t="inlineStr">
        <is>
          <t>ISIC 69T75</t>
        </is>
      </c>
    </row>
    <row r="346">
      <c r="A346" t="inlineStr">
        <is>
          <t>541920</t>
        </is>
      </c>
      <c r="B346" t="inlineStr">
        <is>
          <t>Photographic services</t>
        </is>
      </c>
      <c r="C346" t="inlineStr">
        <is>
          <t>ISIC 69T75</t>
        </is>
      </c>
    </row>
    <row r="347">
      <c r="A347" t="inlineStr">
        <is>
          <t>541940</t>
        </is>
      </c>
      <c r="B347" t="inlineStr">
        <is>
          <t>Veterinary services</t>
        </is>
      </c>
      <c r="C347" t="inlineStr">
        <is>
          <t>ISIC 69T75</t>
        </is>
      </c>
    </row>
    <row r="348">
      <c r="A348" t="inlineStr">
        <is>
          <t>5419A0</t>
        </is>
      </c>
      <c r="B348" t="inlineStr">
        <is>
          <t>All other miscellaneous professional, scientific, and technical services</t>
        </is>
      </c>
      <c r="C348" t="inlineStr">
        <is>
          <t>ISIC 69T75</t>
        </is>
      </c>
    </row>
    <row r="349">
      <c r="A349" t="inlineStr">
        <is>
          <t>550000</t>
        </is>
      </c>
      <c r="B349" t="inlineStr">
        <is>
          <t>Management of companies and enterprises</t>
        </is>
      </c>
      <c r="C349" t="inlineStr">
        <is>
          <t>ISIC 69T75</t>
        </is>
      </c>
    </row>
    <row r="350">
      <c r="A350" t="inlineStr">
        <is>
          <t>561100</t>
        </is>
      </c>
      <c r="B350" t="inlineStr">
        <is>
          <t>Office administrative services</t>
        </is>
      </c>
      <c r="C350" t="inlineStr">
        <is>
          <t>ISIC 77T82</t>
        </is>
      </c>
    </row>
    <row r="351">
      <c r="A351" t="inlineStr">
        <is>
          <t>561200</t>
        </is>
      </c>
      <c r="B351" t="inlineStr">
        <is>
          <t>Facilities support services</t>
        </is>
      </c>
      <c r="C351" t="inlineStr">
        <is>
          <t>ISIC 77T82</t>
        </is>
      </c>
    </row>
    <row r="352">
      <c r="A352" t="inlineStr">
        <is>
          <t>561300</t>
        </is>
      </c>
      <c r="B352" t="inlineStr">
        <is>
          <t>Employment services</t>
        </is>
      </c>
      <c r="C352" t="inlineStr">
        <is>
          <t>ISIC 77T82</t>
        </is>
      </c>
    </row>
    <row r="353">
      <c r="A353" t="inlineStr">
        <is>
          <t>561400</t>
        </is>
      </c>
      <c r="B353" t="inlineStr">
        <is>
          <t>Business support services</t>
        </is>
      </c>
      <c r="C353" t="inlineStr">
        <is>
          <t>ISIC 77T82</t>
        </is>
      </c>
    </row>
    <row r="354">
      <c r="A354" t="inlineStr">
        <is>
          <t>561500</t>
        </is>
      </c>
      <c r="B354" t="inlineStr">
        <is>
          <t>Travel arrangement and reservation services</t>
        </is>
      </c>
      <c r="C354" t="inlineStr">
        <is>
          <t>ISIC 77T82</t>
        </is>
      </c>
    </row>
    <row r="355">
      <c r="A355" t="inlineStr">
        <is>
          <t>561600</t>
        </is>
      </c>
      <c r="B355" t="inlineStr">
        <is>
          <t>Investigation and security services</t>
        </is>
      </c>
      <c r="C355" t="inlineStr">
        <is>
          <t>ISIC 77T82</t>
        </is>
      </c>
    </row>
    <row r="356">
      <c r="A356" t="inlineStr">
        <is>
          <t>561700</t>
        </is>
      </c>
      <c r="B356" t="inlineStr">
        <is>
          <t>Services to buildings and dwellings</t>
        </is>
      </c>
      <c r="C356" t="inlineStr">
        <is>
          <t>ISIC 77T82</t>
        </is>
      </c>
    </row>
    <row r="357">
      <c r="A357" t="inlineStr">
        <is>
          <t>561900</t>
        </is>
      </c>
      <c r="B357" t="inlineStr">
        <is>
          <t>Other support services</t>
        </is>
      </c>
      <c r="C357" t="inlineStr">
        <is>
          <t>ISIC 77T82</t>
        </is>
      </c>
    </row>
    <row r="358">
      <c r="A358" t="inlineStr">
        <is>
          <t>562000</t>
        </is>
      </c>
      <c r="B358" t="inlineStr">
        <is>
          <t>Waste management and remediation services</t>
        </is>
      </c>
      <c r="C358" t="inlineStr">
        <is>
          <t>ISIC 36T39</t>
        </is>
      </c>
    </row>
    <row r="359">
      <c r="A359" t="inlineStr">
        <is>
          <t>611100</t>
        </is>
      </c>
      <c r="B359" t="inlineStr">
        <is>
          <t>Elementary and secondary schools</t>
        </is>
      </c>
      <c r="C359" t="inlineStr">
        <is>
          <t>ISIC 85</t>
        </is>
      </c>
    </row>
    <row r="360">
      <c r="A360" t="inlineStr">
        <is>
          <t>611A00</t>
        </is>
      </c>
      <c r="B360" t="inlineStr">
        <is>
          <t>Junior colleges, colleges, universities, and professional schools</t>
        </is>
      </c>
      <c r="C360" t="inlineStr">
        <is>
          <t>ISIC 85</t>
        </is>
      </c>
    </row>
    <row r="361">
      <c r="A361" t="inlineStr">
        <is>
          <t>611B00</t>
        </is>
      </c>
      <c r="B361" t="inlineStr">
        <is>
          <t>Other educational services</t>
        </is>
      </c>
      <c r="C361" t="inlineStr">
        <is>
          <t>ISIC 85</t>
        </is>
      </c>
    </row>
    <row r="362">
      <c r="A362" t="inlineStr">
        <is>
          <t>621100</t>
        </is>
      </c>
      <c r="B362" t="inlineStr">
        <is>
          <t>Offices of physicians</t>
        </is>
      </c>
      <c r="C362" t="inlineStr">
        <is>
          <t>ISIC 86T88</t>
        </is>
      </c>
    </row>
    <row r="363">
      <c r="A363" t="inlineStr">
        <is>
          <t>621200</t>
        </is>
      </c>
      <c r="B363" t="inlineStr">
        <is>
          <t>Offices of dentists</t>
        </is>
      </c>
      <c r="C363" t="inlineStr">
        <is>
          <t>ISIC 86T88</t>
        </is>
      </c>
    </row>
    <row r="364">
      <c r="A364" t="inlineStr">
        <is>
          <t>621300</t>
        </is>
      </c>
      <c r="B364" t="inlineStr">
        <is>
          <t>Offices of other health practitioners</t>
        </is>
      </c>
      <c r="C364" t="inlineStr">
        <is>
          <t>ISIC 86T88</t>
        </is>
      </c>
    </row>
    <row r="365">
      <c r="A365" t="inlineStr">
        <is>
          <t>621400</t>
        </is>
      </c>
      <c r="B365" t="inlineStr">
        <is>
          <t>Outpatient care centers</t>
        </is>
      </c>
      <c r="C365" t="inlineStr">
        <is>
          <t>ISIC 86T88</t>
        </is>
      </c>
    </row>
    <row r="366">
      <c r="A366" t="inlineStr">
        <is>
          <t>621500</t>
        </is>
      </c>
      <c r="B366" t="inlineStr">
        <is>
          <t>Medical and diagnostic laboratories</t>
        </is>
      </c>
      <c r="C366" t="inlineStr">
        <is>
          <t>ISIC 86T88</t>
        </is>
      </c>
    </row>
    <row r="367">
      <c r="A367" t="inlineStr">
        <is>
          <t>621600</t>
        </is>
      </c>
      <c r="B367" t="inlineStr">
        <is>
          <t>Home health care services</t>
        </is>
      </c>
      <c r="C367" t="inlineStr">
        <is>
          <t>ISIC 86T88</t>
        </is>
      </c>
    </row>
    <row r="368">
      <c r="A368" t="inlineStr">
        <is>
          <t>621900</t>
        </is>
      </c>
      <c r="B368" t="inlineStr">
        <is>
          <t>Other ambulatory health care services</t>
        </is>
      </c>
      <c r="C368" t="inlineStr">
        <is>
          <t>ISIC 86T88</t>
        </is>
      </c>
    </row>
    <row r="369">
      <c r="A369" t="inlineStr">
        <is>
          <t>622000</t>
        </is>
      </c>
      <c r="B369" t="inlineStr">
        <is>
          <t>Hospitals</t>
        </is>
      </c>
      <c r="C369" t="inlineStr">
        <is>
          <t>ISIC 86T88</t>
        </is>
      </c>
    </row>
    <row r="370">
      <c r="A370" t="inlineStr">
        <is>
          <t>623A00</t>
        </is>
      </c>
      <c r="B370" t="inlineStr">
        <is>
          <t>Nursing and community care facilities</t>
        </is>
      </c>
      <c r="C370" t="inlineStr">
        <is>
          <t>ISIC 86T88</t>
        </is>
      </c>
    </row>
    <row r="371">
      <c r="A371" t="inlineStr">
        <is>
          <t>623B00</t>
        </is>
      </c>
      <c r="B371" t="inlineStr">
        <is>
          <t>Residential mental health, substance abuse, and other residential care facilities</t>
        </is>
      </c>
      <c r="C371" t="inlineStr">
        <is>
          <t>ISIC 86T88</t>
        </is>
      </c>
    </row>
    <row r="372">
      <c r="A372" t="inlineStr">
        <is>
          <t>624100</t>
        </is>
      </c>
      <c r="B372" t="inlineStr">
        <is>
          <t>Individual and family services</t>
        </is>
      </c>
      <c r="C372" t="inlineStr">
        <is>
          <t>ISIC 86T88</t>
        </is>
      </c>
    </row>
    <row r="373">
      <c r="A373" t="inlineStr">
        <is>
          <t>624400</t>
        </is>
      </c>
      <c r="B373" t="inlineStr">
        <is>
          <t>Child day care services</t>
        </is>
      </c>
      <c r="C373" t="inlineStr">
        <is>
          <t>ISIC 86T88</t>
        </is>
      </c>
    </row>
    <row r="374">
      <c r="A374" t="inlineStr">
        <is>
          <t>624A00</t>
        </is>
      </c>
      <c r="B374" t="inlineStr">
        <is>
          <t>Community food, housing, and other relief services, including rehabilitation services</t>
        </is>
      </c>
      <c r="C374" t="inlineStr">
        <is>
          <t>ISIC 86T88</t>
        </is>
      </c>
    </row>
    <row r="375">
      <c r="A375" t="inlineStr">
        <is>
          <t>711100</t>
        </is>
      </c>
      <c r="B375" t="inlineStr">
        <is>
          <t>Performing arts companies</t>
        </is>
      </c>
      <c r="C375" t="inlineStr">
        <is>
          <t>ISIC 90T93</t>
        </is>
      </c>
    </row>
    <row r="376">
      <c r="A376" t="inlineStr">
        <is>
          <t>711200</t>
        </is>
      </c>
      <c r="B376" t="inlineStr">
        <is>
          <t>Spectator sports</t>
        </is>
      </c>
      <c r="C376" t="inlineStr">
        <is>
          <t>ISIC 90T93</t>
        </is>
      </c>
    </row>
    <row r="377">
      <c r="A377" t="inlineStr">
        <is>
          <t>711500</t>
        </is>
      </c>
      <c r="B377" t="inlineStr">
        <is>
          <t>Independent artists, writers, and performers</t>
        </is>
      </c>
      <c r="C377" t="inlineStr">
        <is>
          <t>ISIC 90T93</t>
        </is>
      </c>
    </row>
    <row r="378">
      <c r="A378" t="inlineStr">
        <is>
          <t>711A00</t>
        </is>
      </c>
      <c r="B378" t="inlineStr">
        <is>
          <t>Promoters of performing arts and sports and agents for public figures</t>
        </is>
      </c>
      <c r="C378" t="inlineStr">
        <is>
          <t>ISIC 90T93</t>
        </is>
      </c>
    </row>
    <row r="379">
      <c r="A379" t="inlineStr">
        <is>
          <t>712000</t>
        </is>
      </c>
      <c r="B379" t="inlineStr">
        <is>
          <t>Museums, historical sites, zoos, and parks</t>
        </is>
      </c>
      <c r="C379" t="inlineStr">
        <is>
          <t>ISIC 90T93</t>
        </is>
      </c>
    </row>
    <row r="380">
      <c r="A380" t="inlineStr">
        <is>
          <t>713100</t>
        </is>
      </c>
      <c r="B380" t="inlineStr">
        <is>
          <t>Amusement parks and arcades</t>
        </is>
      </c>
      <c r="C380" t="inlineStr">
        <is>
          <t>ISIC 90T93</t>
        </is>
      </c>
    </row>
    <row r="381">
      <c r="A381" t="inlineStr">
        <is>
          <t>713200</t>
        </is>
      </c>
      <c r="B381" t="inlineStr">
        <is>
          <t>Gambling industries (except casino hotels)</t>
        </is>
      </c>
      <c r="C381" t="inlineStr">
        <is>
          <t>ISIC 90T93</t>
        </is>
      </c>
    </row>
    <row r="382">
      <c r="A382" t="inlineStr">
        <is>
          <t>713900</t>
        </is>
      </c>
      <c r="B382" t="inlineStr">
        <is>
          <t>Other amusement and recreation industries</t>
        </is>
      </c>
      <c r="C382" t="inlineStr">
        <is>
          <t>ISIC 90T93</t>
        </is>
      </c>
    </row>
    <row r="383">
      <c r="A383" t="inlineStr">
        <is>
          <t>721000</t>
        </is>
      </c>
      <c r="B383" t="inlineStr">
        <is>
          <t>Accommodation</t>
        </is>
      </c>
      <c r="C383" t="inlineStr">
        <is>
          <t>ISIC 55T56</t>
        </is>
      </c>
    </row>
    <row r="384">
      <c r="A384" t="inlineStr">
        <is>
          <t>722110</t>
        </is>
      </c>
      <c r="B384" t="inlineStr">
        <is>
          <t>Full-service restaurants</t>
        </is>
      </c>
      <c r="C384" t="inlineStr">
        <is>
          <t>ISIC 55T56</t>
        </is>
      </c>
    </row>
    <row r="385">
      <c r="A385" t="inlineStr">
        <is>
          <t>722211</t>
        </is>
      </c>
      <c r="B385" t="inlineStr">
        <is>
          <t>Limited-service restaurants</t>
        </is>
      </c>
      <c r="C385" t="inlineStr">
        <is>
          <t>ISIC 55T56</t>
        </is>
      </c>
    </row>
    <row r="386">
      <c r="A386" t="inlineStr">
        <is>
          <t>722A00</t>
        </is>
      </c>
      <c r="B386" t="inlineStr">
        <is>
          <t>All other food and drinking places</t>
        </is>
      </c>
      <c r="C386" t="inlineStr">
        <is>
          <t>ISIC 55T56</t>
        </is>
      </c>
    </row>
    <row r="387">
      <c r="A387" t="inlineStr">
        <is>
          <t>811100</t>
        </is>
      </c>
      <c r="B387" t="inlineStr">
        <is>
          <t>Automotive repair and maintenance (including car washes)</t>
        </is>
      </c>
      <c r="C387" t="inlineStr">
        <is>
          <t>ISIC 45T47</t>
        </is>
      </c>
    </row>
    <row r="388">
      <c r="A388" t="inlineStr">
        <is>
          <t>811200</t>
        </is>
      </c>
      <c r="B388" t="inlineStr">
        <is>
          <t>Electronic and precision equipment repair and maintenance</t>
        </is>
      </c>
      <c r="C388" t="inlineStr">
        <is>
          <t>ISIC 94T96</t>
        </is>
      </c>
    </row>
    <row r="389">
      <c r="A389" t="inlineStr">
        <is>
          <t>811300</t>
        </is>
      </c>
      <c r="B389" t="inlineStr">
        <is>
          <t>Commercial and industrial machinery and equipment repair and maintenance</t>
        </is>
      </c>
      <c r="C389" t="inlineStr">
        <is>
          <t>ISIC 31T33</t>
        </is>
      </c>
    </row>
    <row r="390">
      <c r="A390" t="inlineStr">
        <is>
          <t>811400</t>
        </is>
      </c>
      <c r="B390" t="inlineStr">
        <is>
          <t>Personal and household goods repair and maintenance</t>
        </is>
      </c>
      <c r="C390" t="inlineStr">
        <is>
          <t>ISIC 94T96</t>
        </is>
      </c>
    </row>
    <row r="391">
      <c r="A391" t="inlineStr">
        <is>
          <t>812100</t>
        </is>
      </c>
      <c r="B391" t="inlineStr">
        <is>
          <t>Personal care services</t>
        </is>
      </c>
      <c r="C391" t="inlineStr">
        <is>
          <t>ISIC 94T96</t>
        </is>
      </c>
    </row>
    <row r="392">
      <c r="A392" t="inlineStr">
        <is>
          <t>812200</t>
        </is>
      </c>
      <c r="B392" t="inlineStr">
        <is>
          <t>Death care services</t>
        </is>
      </c>
      <c r="C392" t="inlineStr">
        <is>
          <t>ISIC 94T96</t>
        </is>
      </c>
    </row>
    <row r="393">
      <c r="A393" t="inlineStr">
        <is>
          <t>812300</t>
        </is>
      </c>
      <c r="B393" t="inlineStr">
        <is>
          <t>Dry-cleaning and laundry services</t>
        </is>
      </c>
      <c r="C393" t="inlineStr">
        <is>
          <t>ISIC 94T96</t>
        </is>
      </c>
    </row>
    <row r="394">
      <c r="A394" t="inlineStr">
        <is>
          <t>812900</t>
        </is>
      </c>
      <c r="B394" t="inlineStr">
        <is>
          <t>Other personal services</t>
        </is>
      </c>
      <c r="C394" t="inlineStr">
        <is>
          <t>ISIC 94T96</t>
        </is>
      </c>
    </row>
    <row r="395">
      <c r="A395" t="inlineStr">
        <is>
          <t>813100</t>
        </is>
      </c>
      <c r="B395" t="inlineStr">
        <is>
          <t>Religious organizations</t>
        </is>
      </c>
      <c r="C395" t="inlineStr">
        <is>
          <t>ISIC 94T96</t>
        </is>
      </c>
    </row>
    <row r="396">
      <c r="A396" t="inlineStr">
        <is>
          <t>813A00</t>
        </is>
      </c>
      <c r="B396" t="inlineStr">
        <is>
          <t>Grantmaking, giving, and social advocacy organizations</t>
        </is>
      </c>
      <c r="C396" t="inlineStr">
        <is>
          <t>ISIC 94T96</t>
        </is>
      </c>
    </row>
    <row r="397">
      <c r="A397" t="inlineStr">
        <is>
          <t>813B00</t>
        </is>
      </c>
      <c r="B397" t="inlineStr">
        <is>
          <t>Civic, social, professional, and similar organizations</t>
        </is>
      </c>
      <c r="C397" t="inlineStr">
        <is>
          <t>ISIC 94T96</t>
        </is>
      </c>
    </row>
    <row r="398">
      <c r="A398" t="inlineStr">
        <is>
          <t>814000</t>
        </is>
      </c>
      <c r="B398" t="inlineStr">
        <is>
          <t>Private households</t>
        </is>
      </c>
      <c r="C398" t="inlineStr">
        <is>
          <t>ISIC 97T98</t>
        </is>
      </c>
    </row>
    <row r="399">
      <c r="A399" t="inlineStr">
        <is>
          <t>GSLGE</t>
        </is>
      </c>
      <c r="B399" t="inlineStr">
        <is>
          <t>State and local government (educational services)</t>
        </is>
      </c>
      <c r="C399" t="inlineStr">
        <is>
          <t>ISIC 84</t>
        </is>
      </c>
    </row>
    <row r="400">
      <c r="A400" t="inlineStr">
        <is>
          <t>GSLGH</t>
        </is>
      </c>
      <c r="B400" t="inlineStr">
        <is>
          <t>State and local government (hospitals and health services)</t>
        </is>
      </c>
      <c r="C400" t="inlineStr">
        <is>
          <t>ISIC 84</t>
        </is>
      </c>
    </row>
    <row r="401">
      <c r="A401" t="inlineStr">
        <is>
          <t>GSLGO</t>
        </is>
      </c>
      <c r="B401" t="inlineStr">
        <is>
          <t>State and local government (other services)</t>
        </is>
      </c>
      <c r="C401" t="inlineStr">
        <is>
          <t>ISIC 84</t>
        </is>
      </c>
    </row>
    <row r="402">
      <c r="A402" t="inlineStr">
        <is>
          <t>S00101</t>
        </is>
      </c>
      <c r="B402" t="inlineStr">
        <is>
          <t>Federal electric utilities</t>
        </is>
      </c>
      <c r="C402" t="inlineStr">
        <is>
          <t>ISIC 84</t>
        </is>
      </c>
    </row>
    <row r="403">
      <c r="A403" t="inlineStr">
        <is>
          <t>S00102</t>
        </is>
      </c>
      <c r="B403" t="inlineStr">
        <is>
          <t>Other federal government enterprises</t>
        </is>
      </c>
      <c r="C403" t="inlineStr">
        <is>
          <t>ISIC 84</t>
        </is>
      </c>
    </row>
    <row r="404">
      <c r="A404" t="inlineStr">
        <is>
          <t>S00201</t>
        </is>
      </c>
      <c r="B404" t="inlineStr">
        <is>
          <t>State and local government passenger transit</t>
        </is>
      </c>
      <c r="C404" t="inlineStr">
        <is>
          <t>ISIC 84</t>
        </is>
      </c>
    </row>
    <row r="405">
      <c r="A405" t="inlineStr">
        <is>
          <t>S00202</t>
        </is>
      </c>
      <c r="B405" t="inlineStr">
        <is>
          <t>State and local government electric utilities</t>
        </is>
      </c>
      <c r="C405" t="inlineStr">
        <is>
          <t>ISIC 84</t>
        </is>
      </c>
    </row>
    <row r="406">
      <c r="A406" t="inlineStr">
        <is>
          <t>S00203</t>
        </is>
      </c>
      <c r="B406" t="inlineStr">
        <is>
          <t>Other state and local government enterprises</t>
        </is>
      </c>
      <c r="C406" t="inlineStr">
        <is>
          <t>ISIC 84</t>
        </is>
      </c>
    </row>
    <row r="407">
      <c r="A407" t="inlineStr">
        <is>
          <t>S00401</t>
        </is>
      </c>
      <c r="B407" t="inlineStr">
        <is>
          <t>Scrap</t>
        </is>
      </c>
      <c r="C407" t="inlineStr">
        <is>
          <t>ISIC 45T47</t>
        </is>
      </c>
    </row>
    <row r="408">
      <c r="A408" t="inlineStr">
        <is>
          <t>S00402</t>
        </is>
      </c>
      <c r="B408" t="inlineStr">
        <is>
          <t>Used and secondhand goods</t>
        </is>
      </c>
      <c r="C408" t="inlineStr">
        <is>
          <t>ISIC 45T47</t>
        </is>
      </c>
    </row>
    <row r="409">
      <c r="A409" t="inlineStr">
        <is>
          <t>S00500</t>
        </is>
      </c>
      <c r="B409" t="inlineStr">
        <is>
          <t>Federal general government (defense)</t>
        </is>
      </c>
      <c r="C409" t="inlineStr">
        <is>
          <t>ISIC 84</t>
        </is>
      </c>
    </row>
    <row r="410">
      <c r="A410" t="inlineStr">
        <is>
          <t>S00600</t>
        </is>
      </c>
      <c r="B410" t="inlineStr">
        <is>
          <t>Federal general government (nondefense)</t>
        </is>
      </c>
      <c r="C410" t="inlineStr">
        <is>
          <t>ISIC 84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Purchases by category counterpart (rows = categories; unnormalized)</t>
        </is>
      </c>
    </row>
    <row r="2">
      <c r="A2" s="1" t="inlineStr">
        <is>
          <t>Category</t>
        </is>
      </c>
      <c r="B2" s="1" t="inlineStr">
        <is>
          <t>Counterpart ISIC</t>
        </is>
      </c>
      <c r="C2" s="1" t="inlineStr">
        <is>
          <t>ISIC 01</t>
        </is>
      </c>
      <c r="D2" s="1" t="inlineStr">
        <is>
          <t>ISIC 02</t>
        </is>
      </c>
      <c r="E2" s="1" t="inlineStr">
        <is>
          <t>ISIC 03</t>
        </is>
      </c>
      <c r="F2" s="1" t="inlineStr">
        <is>
          <t>ISIC 05</t>
        </is>
      </c>
      <c r="G2" s="1" t="inlineStr">
        <is>
          <t>ISIC 06</t>
        </is>
      </c>
      <c r="H2" s="1" t="inlineStr">
        <is>
          <t>ISIC 07</t>
        </is>
      </c>
      <c r="I2" s="1" t="inlineStr">
        <is>
          <t>ISIC 08</t>
        </is>
      </c>
      <c r="J2" s="1" t="inlineStr">
        <is>
          <t>ISIC 09</t>
        </is>
      </c>
      <c r="K2" s="1" t="inlineStr">
        <is>
          <t>ISIC 10T12</t>
        </is>
      </c>
      <c r="L2" s="1" t="inlineStr">
        <is>
          <t>ISIC 13T15</t>
        </is>
      </c>
      <c r="M2" s="1" t="inlineStr">
        <is>
          <t>ISIC 16</t>
        </is>
      </c>
      <c r="N2" s="1" t="inlineStr">
        <is>
          <t>ISIC 17T18</t>
        </is>
      </c>
      <c r="O2" s="1" t="inlineStr">
        <is>
          <t>ISIC 19</t>
        </is>
      </c>
      <c r="P2" s="1" t="inlineStr">
        <is>
          <t>ISIC 20</t>
        </is>
      </c>
      <c r="Q2" s="1" t="inlineStr">
        <is>
          <t>ISIC 21</t>
        </is>
      </c>
      <c r="R2" s="1" t="inlineStr">
        <is>
          <t>ISIC 22</t>
        </is>
      </c>
      <c r="S2" s="1" t="inlineStr">
        <is>
          <t>ISIC 231</t>
        </is>
      </c>
      <c r="T2" s="1" t="inlineStr">
        <is>
          <t>ISIC 239</t>
        </is>
      </c>
      <c r="U2" s="1" t="inlineStr">
        <is>
          <t>ISIC 241</t>
        </is>
      </c>
      <c r="V2" s="1" t="inlineStr">
        <is>
          <t>ISIC 242</t>
        </is>
      </c>
      <c r="W2" s="1" t="inlineStr">
        <is>
          <t>ISIC 25</t>
        </is>
      </c>
      <c r="X2" s="1" t="inlineStr">
        <is>
          <t>ISIC 26</t>
        </is>
      </c>
      <c r="Y2" s="1" t="inlineStr">
        <is>
          <t>ISIC 27</t>
        </is>
      </c>
      <c r="Z2" s="1" t="inlineStr">
        <is>
          <t>ISIC 28</t>
        </is>
      </c>
      <c r="AA2" s="1" t="inlineStr">
        <is>
          <t>ISIC 29</t>
        </is>
      </c>
      <c r="AB2" s="1" t="inlineStr">
        <is>
          <t>ISIC 301</t>
        </is>
      </c>
      <c r="AC2" s="1" t="inlineStr">
        <is>
          <t>ISIC 302T309</t>
        </is>
      </c>
      <c r="AD2" s="1" t="inlineStr">
        <is>
          <t>ISIC 31T33</t>
        </is>
      </c>
      <c r="AE2" s="1" t="inlineStr">
        <is>
          <t>ISIC 351</t>
        </is>
      </c>
      <c r="AF2" s="1" t="inlineStr">
        <is>
          <t>ISIC 352T353</t>
        </is>
      </c>
      <c r="AG2" s="1" t="inlineStr">
        <is>
          <t>ISIC 36T39</t>
        </is>
      </c>
      <c r="AH2" s="1" t="inlineStr">
        <is>
          <t>ISIC 41T43</t>
        </is>
      </c>
      <c r="AI2" s="1" t="inlineStr">
        <is>
          <t>ISIC 45T47</t>
        </is>
      </c>
      <c r="AJ2" s="1" t="inlineStr">
        <is>
          <t>ISIC 49</t>
        </is>
      </c>
      <c r="AK2" s="1" t="inlineStr">
        <is>
          <t>ISIC 50</t>
        </is>
      </c>
      <c r="AL2" s="1" t="inlineStr">
        <is>
          <t>ISIC 51</t>
        </is>
      </c>
      <c r="AM2" s="1" t="inlineStr">
        <is>
          <t>ISIC 52</t>
        </is>
      </c>
      <c r="AN2" s="1" t="inlineStr">
        <is>
          <t>ISIC 53</t>
        </is>
      </c>
      <c r="AO2" s="1" t="inlineStr">
        <is>
          <t>ISIC 55T56</t>
        </is>
      </c>
      <c r="AP2" s="1" t="inlineStr">
        <is>
          <t>ISIC 58T60</t>
        </is>
      </c>
      <c r="AQ2" s="1" t="inlineStr">
        <is>
          <t>ISIC 61</t>
        </is>
      </c>
      <c r="AR2" s="1" t="inlineStr">
        <is>
          <t>ISIC 62T63</t>
        </is>
      </c>
      <c r="AS2" s="1" t="inlineStr">
        <is>
          <t>ISIC 64T66</t>
        </is>
      </c>
      <c r="AT2" s="1" t="inlineStr">
        <is>
          <t>ISIC 68</t>
        </is>
      </c>
      <c r="AU2" s="1" t="inlineStr">
        <is>
          <t>ISIC 69T75</t>
        </is>
      </c>
      <c r="AV2" s="1" t="inlineStr">
        <is>
          <t>ISIC 77T82</t>
        </is>
      </c>
      <c r="AW2" s="1" t="inlineStr">
        <is>
          <t>ISIC 84</t>
        </is>
      </c>
      <c r="AX2" s="1" t="inlineStr">
        <is>
          <t>ISIC 85</t>
        </is>
      </c>
      <c r="AY2" s="1" t="inlineStr">
        <is>
          <t>ISIC 86T88</t>
        </is>
      </c>
      <c r="AZ2" s="1" t="inlineStr">
        <is>
          <t>ISIC 90T93</t>
        </is>
      </c>
      <c r="BA2" s="1" t="inlineStr">
        <is>
          <t>ISIC 94T96</t>
        </is>
      </c>
      <c r="BB2" s="1" t="inlineStr">
        <is>
          <t>ISIC 97T98</t>
        </is>
      </c>
      <c r="BC2" s="1" t="inlineStr">
        <is>
          <t>row total</t>
        </is>
      </c>
    </row>
    <row r="3">
      <c r="A3" t="inlineStr">
        <is>
          <t>agriculture and forestry 01T03</t>
        </is>
      </c>
      <c r="B3" t="inlineStr">
        <is>
          <t>ISIC 01</t>
        </is>
      </c>
      <c r="C3">
        <f>SUMPRODUCT(('BEA Use 2017'!$PM$7:$PM$408=C$2)*('BEA Use 2017'!$C$438:$PK$438=$B3)*'BEA Use 2017'!$C$7:$PK$408)</f>
        <v/>
      </c>
      <c r="D3">
        <f>SUMPRODUCT(('BEA Use 2017'!$PM$7:$PM$408=D$2)*('BEA Use 2017'!$C$438:$PK$438=$B3)*'BEA Use 2017'!$C$7:$PK$408)</f>
        <v/>
      </c>
      <c r="E3">
        <f>SUMPRODUCT(('BEA Use 2017'!$PM$7:$PM$408=E$2)*('BEA Use 2017'!$C$438:$PK$438=$B3)*'BEA Use 2017'!$C$7:$PK$408)</f>
        <v/>
      </c>
      <c r="F3">
        <f>SUMPRODUCT(('BEA Use 2017'!$PM$7:$PM$408=F$2)*('BEA Use 2017'!$C$438:$PK$438=$B3)*'BEA Use 2017'!$C$7:$PK$408)</f>
        <v/>
      </c>
      <c r="G3">
        <f>SUMPRODUCT(('BEA Use 2017'!$PM$7:$PM$408=G$2)*('BEA Use 2017'!$C$438:$PK$438=$B3)*'BEA Use 2017'!$C$7:$PK$408)</f>
        <v/>
      </c>
      <c r="H3">
        <f>SUMPRODUCT(('BEA Use 2017'!$PM$7:$PM$408=H$2)*('BEA Use 2017'!$C$438:$PK$438=$B3)*'BEA Use 2017'!$C$7:$PK$408)</f>
        <v/>
      </c>
      <c r="I3">
        <f>SUMPRODUCT(('BEA Use 2017'!$PM$7:$PM$408=I$2)*('BEA Use 2017'!$C$438:$PK$438=$B3)*'BEA Use 2017'!$C$7:$PK$408)</f>
        <v/>
      </c>
      <c r="J3">
        <f>SUMPRODUCT(('BEA Use 2017'!$PM$7:$PM$408=J$2)*('BEA Use 2017'!$C$438:$PK$438=$B3)*'BEA Use 2017'!$C$7:$PK$408)</f>
        <v/>
      </c>
      <c r="K3">
        <f>SUMPRODUCT(('BEA Use 2017'!$PM$7:$PM$408=K$2)*('BEA Use 2017'!$C$438:$PK$438=$B3)*'BEA Use 2017'!$C$7:$PK$408)</f>
        <v/>
      </c>
      <c r="L3">
        <f>SUMPRODUCT(('BEA Use 2017'!$PM$7:$PM$408=L$2)*('BEA Use 2017'!$C$438:$PK$438=$B3)*'BEA Use 2017'!$C$7:$PK$408)</f>
        <v/>
      </c>
      <c r="M3">
        <f>SUMPRODUCT(('BEA Use 2017'!$PM$7:$PM$408=M$2)*('BEA Use 2017'!$C$438:$PK$438=$B3)*'BEA Use 2017'!$C$7:$PK$408)</f>
        <v/>
      </c>
      <c r="N3">
        <f>SUMPRODUCT(('BEA Use 2017'!$PM$7:$PM$408=N$2)*('BEA Use 2017'!$C$438:$PK$438=$B3)*'BEA Use 2017'!$C$7:$PK$408)</f>
        <v/>
      </c>
      <c r="O3">
        <f>SUMPRODUCT(('BEA Use 2017'!$PM$7:$PM$408=O$2)*('BEA Use 2017'!$C$438:$PK$438=$B3)*'BEA Use 2017'!$C$7:$PK$408)</f>
        <v/>
      </c>
      <c r="P3">
        <f>SUMPRODUCT(('BEA Use 2017'!$PM$7:$PM$408=P$2)*('BEA Use 2017'!$C$438:$PK$438=$B3)*'BEA Use 2017'!$C$7:$PK$408)</f>
        <v/>
      </c>
      <c r="Q3">
        <f>SUMPRODUCT(('BEA Use 2017'!$PM$7:$PM$408=Q$2)*('BEA Use 2017'!$C$438:$PK$438=$B3)*'BEA Use 2017'!$C$7:$PK$408)</f>
        <v/>
      </c>
      <c r="R3">
        <f>SUMPRODUCT(('BEA Use 2017'!$PM$7:$PM$408=R$2)*('BEA Use 2017'!$C$438:$PK$438=$B3)*'BEA Use 2017'!$C$7:$PK$408)</f>
        <v/>
      </c>
      <c r="S3">
        <f>SUMPRODUCT(('BEA Use 2017'!$PM$7:$PM$408=S$2)*('BEA Use 2017'!$C$438:$PK$438=$B3)*'BEA Use 2017'!$C$7:$PK$408)</f>
        <v/>
      </c>
      <c r="T3">
        <f>SUMPRODUCT(('BEA Use 2017'!$PM$7:$PM$408=T$2)*('BEA Use 2017'!$C$438:$PK$438=$B3)*'BEA Use 2017'!$C$7:$PK$408)</f>
        <v/>
      </c>
      <c r="U3">
        <f>SUMPRODUCT(('BEA Use 2017'!$PM$7:$PM$408=U$2)*('BEA Use 2017'!$C$438:$PK$438=$B3)*'BEA Use 2017'!$C$7:$PK$408)</f>
        <v/>
      </c>
      <c r="V3">
        <f>SUMPRODUCT(('BEA Use 2017'!$PM$7:$PM$408=V$2)*('BEA Use 2017'!$C$438:$PK$438=$B3)*'BEA Use 2017'!$C$7:$PK$408)</f>
        <v/>
      </c>
      <c r="W3">
        <f>SUMPRODUCT(('BEA Use 2017'!$PM$7:$PM$408=W$2)*('BEA Use 2017'!$C$438:$PK$438=$B3)*'BEA Use 2017'!$C$7:$PK$408)</f>
        <v/>
      </c>
      <c r="X3">
        <f>SUMPRODUCT(('BEA Use 2017'!$PM$7:$PM$408=X$2)*('BEA Use 2017'!$C$438:$PK$438=$B3)*'BEA Use 2017'!$C$7:$PK$408)</f>
        <v/>
      </c>
      <c r="Y3">
        <f>SUMPRODUCT(('BEA Use 2017'!$PM$7:$PM$408=Y$2)*('BEA Use 2017'!$C$438:$PK$438=$B3)*'BEA Use 2017'!$C$7:$PK$408)</f>
        <v/>
      </c>
      <c r="Z3">
        <f>SUMPRODUCT(('BEA Use 2017'!$PM$7:$PM$408=Z$2)*('BEA Use 2017'!$C$438:$PK$438=$B3)*'BEA Use 2017'!$C$7:$PK$408)</f>
        <v/>
      </c>
      <c r="AA3">
        <f>SUMPRODUCT(('BEA Use 2017'!$PM$7:$PM$408=AA$2)*('BEA Use 2017'!$C$438:$PK$438=$B3)*'BEA Use 2017'!$C$7:$PK$408)</f>
        <v/>
      </c>
      <c r="AB3">
        <f>SUMPRODUCT(('BEA Use 2017'!$PM$7:$PM$408=AB$2)*('BEA Use 2017'!$C$438:$PK$438=$B3)*'BEA Use 2017'!$C$7:$PK$408)</f>
        <v/>
      </c>
      <c r="AC3">
        <f>SUMPRODUCT(('BEA Use 2017'!$PM$7:$PM$408=AC$2)*('BEA Use 2017'!$C$438:$PK$438=$B3)*'BEA Use 2017'!$C$7:$PK$408)</f>
        <v/>
      </c>
      <c r="AD3">
        <f>SUMPRODUCT(('BEA Use 2017'!$PM$7:$PM$408=AD$2)*('BEA Use 2017'!$C$438:$PK$438=$B3)*'BEA Use 2017'!$C$7:$PK$408)</f>
        <v/>
      </c>
      <c r="AE3">
        <f>SUMPRODUCT(('BEA Use 2017'!$PM$7:$PM$408=AE$2)*('BEA Use 2017'!$C$438:$PK$438=$B3)*'BEA Use 2017'!$C$7:$PK$408)</f>
        <v/>
      </c>
      <c r="AF3">
        <f>SUMPRODUCT(('BEA Use 2017'!$PM$7:$PM$408=AF$2)*('BEA Use 2017'!$C$438:$PK$438=$B3)*'BEA Use 2017'!$C$7:$PK$408)</f>
        <v/>
      </c>
      <c r="AG3">
        <f>SUMPRODUCT(('BEA Use 2017'!$PM$7:$PM$408=AG$2)*('BEA Use 2017'!$C$438:$PK$438=$B3)*'BEA Use 2017'!$C$7:$PK$408)</f>
        <v/>
      </c>
      <c r="AH3">
        <f>SUMPRODUCT(('BEA Use 2017'!$PM$7:$PM$408=AH$2)*('BEA Use 2017'!$C$438:$PK$438=$B3)*'BEA Use 2017'!$C$7:$PK$408)</f>
        <v/>
      </c>
      <c r="AI3">
        <f>SUMPRODUCT(('BEA Use 2017'!$PM$7:$PM$408=AI$2)*('BEA Use 2017'!$C$438:$PK$438=$B3)*'BEA Use 2017'!$C$7:$PK$408)</f>
        <v/>
      </c>
      <c r="AJ3">
        <f>SUMPRODUCT(('BEA Use 2017'!$PM$7:$PM$408=AJ$2)*('BEA Use 2017'!$C$438:$PK$438=$B3)*'BEA Use 2017'!$C$7:$PK$408)</f>
        <v/>
      </c>
      <c r="AK3">
        <f>SUMPRODUCT(('BEA Use 2017'!$PM$7:$PM$408=AK$2)*('BEA Use 2017'!$C$438:$PK$438=$B3)*'BEA Use 2017'!$C$7:$PK$408)</f>
        <v/>
      </c>
      <c r="AL3">
        <f>SUMPRODUCT(('BEA Use 2017'!$PM$7:$PM$408=AL$2)*('BEA Use 2017'!$C$438:$PK$438=$B3)*'BEA Use 2017'!$C$7:$PK$408)</f>
        <v/>
      </c>
      <c r="AM3">
        <f>SUMPRODUCT(('BEA Use 2017'!$PM$7:$PM$408=AM$2)*('BEA Use 2017'!$C$438:$PK$438=$B3)*'BEA Use 2017'!$C$7:$PK$408)</f>
        <v/>
      </c>
      <c r="AN3">
        <f>SUMPRODUCT(('BEA Use 2017'!$PM$7:$PM$408=AN$2)*('BEA Use 2017'!$C$438:$PK$438=$B3)*'BEA Use 2017'!$C$7:$PK$408)</f>
        <v/>
      </c>
      <c r="AO3">
        <f>SUMPRODUCT(('BEA Use 2017'!$PM$7:$PM$408=AO$2)*('BEA Use 2017'!$C$438:$PK$438=$B3)*'BEA Use 2017'!$C$7:$PK$408)</f>
        <v/>
      </c>
      <c r="AP3">
        <f>SUMPRODUCT(('BEA Use 2017'!$PM$7:$PM$408=AP$2)*('BEA Use 2017'!$C$438:$PK$438=$B3)*'BEA Use 2017'!$C$7:$PK$408)</f>
        <v/>
      </c>
      <c r="AQ3">
        <f>SUMPRODUCT(('BEA Use 2017'!$PM$7:$PM$408=AQ$2)*('BEA Use 2017'!$C$438:$PK$438=$B3)*'BEA Use 2017'!$C$7:$PK$408)</f>
        <v/>
      </c>
      <c r="AR3">
        <f>SUMPRODUCT(('BEA Use 2017'!$PM$7:$PM$408=AR$2)*('BEA Use 2017'!$C$438:$PK$438=$B3)*'BEA Use 2017'!$C$7:$PK$408)</f>
        <v/>
      </c>
      <c r="AS3">
        <f>SUMPRODUCT(('BEA Use 2017'!$PM$7:$PM$408=AS$2)*('BEA Use 2017'!$C$438:$PK$438=$B3)*'BEA Use 2017'!$C$7:$PK$408)</f>
        <v/>
      </c>
      <c r="AT3">
        <f>SUMPRODUCT(('BEA Use 2017'!$PM$7:$PM$408=AT$2)*('BEA Use 2017'!$C$438:$PK$438=$B3)*'BEA Use 2017'!$C$7:$PK$408)</f>
        <v/>
      </c>
      <c r="AU3">
        <f>SUMPRODUCT(('BEA Use 2017'!$PM$7:$PM$408=AU$2)*('BEA Use 2017'!$C$438:$PK$438=$B3)*'BEA Use 2017'!$C$7:$PK$408)</f>
        <v/>
      </c>
      <c r="AV3">
        <f>SUMPRODUCT(('BEA Use 2017'!$PM$7:$PM$408=AV$2)*('BEA Use 2017'!$C$438:$PK$438=$B3)*'BEA Use 2017'!$C$7:$PK$408)</f>
        <v/>
      </c>
      <c r="AW3">
        <f>SUMPRODUCT(('BEA Use 2017'!$PM$7:$PM$408=AW$2)*('BEA Use 2017'!$C$438:$PK$438=$B3)*'BEA Use 2017'!$C$7:$PK$408)</f>
        <v/>
      </c>
      <c r="AX3">
        <f>SUMPRODUCT(('BEA Use 2017'!$PM$7:$PM$408=AX$2)*('BEA Use 2017'!$C$438:$PK$438=$B3)*'BEA Use 2017'!$C$7:$PK$408)</f>
        <v/>
      </c>
      <c r="AY3">
        <f>SUMPRODUCT(('BEA Use 2017'!$PM$7:$PM$408=AY$2)*('BEA Use 2017'!$C$438:$PK$438=$B3)*'BEA Use 2017'!$C$7:$PK$408)</f>
        <v/>
      </c>
      <c r="AZ3">
        <f>SUMPRODUCT(('BEA Use 2017'!$PM$7:$PM$408=AZ$2)*('BEA Use 2017'!$C$438:$PK$438=$B3)*'BEA Use 2017'!$C$7:$PK$408)</f>
        <v/>
      </c>
      <c r="BA3">
        <f>SUMPRODUCT(('BEA Use 2017'!$PM$7:$PM$408=BA$2)*('BEA Use 2017'!$C$438:$PK$438=$B3)*'BEA Use 2017'!$C$7:$PK$408)</f>
        <v/>
      </c>
      <c r="BB3">
        <f>SUMPRODUCT(('BEA Use 2017'!$PM$7:$PM$408=BB$2)*('BEA Use 2017'!$C$438:$PK$438=$B3)*'BEA Use 2017'!$C$7:$PK$408)</f>
        <v/>
      </c>
      <c r="BC3">
        <f>SUM(C3:BB3)</f>
        <v/>
      </c>
    </row>
    <row r="4">
      <c r="A4" t="inlineStr">
        <is>
          <t>coal mining 05</t>
        </is>
      </c>
      <c r="B4" t="inlineStr">
        <is>
          <t>ISIC 05</t>
        </is>
      </c>
      <c r="C4">
        <f>SUMPRODUCT(('BEA Use 2017'!$PM$7:$PM$408=C$2)*('BEA Use 2017'!$C$438:$PK$438=$B4)*'BEA Use 2017'!$C$7:$PK$408)</f>
        <v/>
      </c>
      <c r="D4">
        <f>SUMPRODUCT(('BEA Use 2017'!$PM$7:$PM$408=D$2)*('BEA Use 2017'!$C$438:$PK$438=$B4)*'BEA Use 2017'!$C$7:$PK$408)</f>
        <v/>
      </c>
      <c r="E4">
        <f>SUMPRODUCT(('BEA Use 2017'!$PM$7:$PM$408=E$2)*('BEA Use 2017'!$C$438:$PK$438=$B4)*'BEA Use 2017'!$C$7:$PK$408)</f>
        <v/>
      </c>
      <c r="F4">
        <f>SUMPRODUCT(('BEA Use 2017'!$PM$7:$PM$408=F$2)*('BEA Use 2017'!$C$438:$PK$438=$B4)*'BEA Use 2017'!$C$7:$PK$408)</f>
        <v/>
      </c>
      <c r="G4">
        <f>SUMPRODUCT(('BEA Use 2017'!$PM$7:$PM$408=G$2)*('BEA Use 2017'!$C$438:$PK$438=$B4)*'BEA Use 2017'!$C$7:$PK$408)</f>
        <v/>
      </c>
      <c r="H4">
        <f>SUMPRODUCT(('BEA Use 2017'!$PM$7:$PM$408=H$2)*('BEA Use 2017'!$C$438:$PK$438=$B4)*'BEA Use 2017'!$C$7:$PK$408)</f>
        <v/>
      </c>
      <c r="I4">
        <f>SUMPRODUCT(('BEA Use 2017'!$PM$7:$PM$408=I$2)*('BEA Use 2017'!$C$438:$PK$438=$B4)*'BEA Use 2017'!$C$7:$PK$408)</f>
        <v/>
      </c>
      <c r="J4">
        <f>SUMPRODUCT(('BEA Use 2017'!$PM$7:$PM$408=J$2)*('BEA Use 2017'!$C$438:$PK$438=$B4)*'BEA Use 2017'!$C$7:$PK$408)</f>
        <v/>
      </c>
      <c r="K4">
        <f>SUMPRODUCT(('BEA Use 2017'!$PM$7:$PM$408=K$2)*('BEA Use 2017'!$C$438:$PK$438=$B4)*'BEA Use 2017'!$C$7:$PK$408)</f>
        <v/>
      </c>
      <c r="L4">
        <f>SUMPRODUCT(('BEA Use 2017'!$PM$7:$PM$408=L$2)*('BEA Use 2017'!$C$438:$PK$438=$B4)*'BEA Use 2017'!$C$7:$PK$408)</f>
        <v/>
      </c>
      <c r="M4">
        <f>SUMPRODUCT(('BEA Use 2017'!$PM$7:$PM$408=M$2)*('BEA Use 2017'!$C$438:$PK$438=$B4)*'BEA Use 2017'!$C$7:$PK$408)</f>
        <v/>
      </c>
      <c r="N4">
        <f>SUMPRODUCT(('BEA Use 2017'!$PM$7:$PM$408=N$2)*('BEA Use 2017'!$C$438:$PK$438=$B4)*'BEA Use 2017'!$C$7:$PK$408)</f>
        <v/>
      </c>
      <c r="O4">
        <f>SUMPRODUCT(('BEA Use 2017'!$PM$7:$PM$408=O$2)*('BEA Use 2017'!$C$438:$PK$438=$B4)*'BEA Use 2017'!$C$7:$PK$408)</f>
        <v/>
      </c>
      <c r="P4">
        <f>SUMPRODUCT(('BEA Use 2017'!$PM$7:$PM$408=P$2)*('BEA Use 2017'!$C$438:$PK$438=$B4)*'BEA Use 2017'!$C$7:$PK$408)</f>
        <v/>
      </c>
      <c r="Q4">
        <f>SUMPRODUCT(('BEA Use 2017'!$PM$7:$PM$408=Q$2)*('BEA Use 2017'!$C$438:$PK$438=$B4)*'BEA Use 2017'!$C$7:$PK$408)</f>
        <v/>
      </c>
      <c r="R4">
        <f>SUMPRODUCT(('BEA Use 2017'!$PM$7:$PM$408=R$2)*('BEA Use 2017'!$C$438:$PK$438=$B4)*'BEA Use 2017'!$C$7:$PK$408)</f>
        <v/>
      </c>
      <c r="S4">
        <f>SUMPRODUCT(('BEA Use 2017'!$PM$7:$PM$408=S$2)*('BEA Use 2017'!$C$438:$PK$438=$B4)*'BEA Use 2017'!$C$7:$PK$408)</f>
        <v/>
      </c>
      <c r="T4">
        <f>SUMPRODUCT(('BEA Use 2017'!$PM$7:$PM$408=T$2)*('BEA Use 2017'!$C$438:$PK$438=$B4)*'BEA Use 2017'!$C$7:$PK$408)</f>
        <v/>
      </c>
      <c r="U4">
        <f>SUMPRODUCT(('BEA Use 2017'!$PM$7:$PM$408=U$2)*('BEA Use 2017'!$C$438:$PK$438=$B4)*'BEA Use 2017'!$C$7:$PK$408)</f>
        <v/>
      </c>
      <c r="V4">
        <f>SUMPRODUCT(('BEA Use 2017'!$PM$7:$PM$408=V$2)*('BEA Use 2017'!$C$438:$PK$438=$B4)*'BEA Use 2017'!$C$7:$PK$408)</f>
        <v/>
      </c>
      <c r="W4">
        <f>SUMPRODUCT(('BEA Use 2017'!$PM$7:$PM$408=W$2)*('BEA Use 2017'!$C$438:$PK$438=$B4)*'BEA Use 2017'!$C$7:$PK$408)</f>
        <v/>
      </c>
      <c r="X4">
        <f>SUMPRODUCT(('BEA Use 2017'!$PM$7:$PM$408=X$2)*('BEA Use 2017'!$C$438:$PK$438=$B4)*'BEA Use 2017'!$C$7:$PK$408)</f>
        <v/>
      </c>
      <c r="Y4">
        <f>SUMPRODUCT(('BEA Use 2017'!$PM$7:$PM$408=Y$2)*('BEA Use 2017'!$C$438:$PK$438=$B4)*'BEA Use 2017'!$C$7:$PK$408)</f>
        <v/>
      </c>
      <c r="Z4">
        <f>SUMPRODUCT(('BEA Use 2017'!$PM$7:$PM$408=Z$2)*('BEA Use 2017'!$C$438:$PK$438=$B4)*'BEA Use 2017'!$C$7:$PK$408)</f>
        <v/>
      </c>
      <c r="AA4">
        <f>SUMPRODUCT(('BEA Use 2017'!$PM$7:$PM$408=AA$2)*('BEA Use 2017'!$C$438:$PK$438=$B4)*'BEA Use 2017'!$C$7:$PK$408)</f>
        <v/>
      </c>
      <c r="AB4">
        <f>SUMPRODUCT(('BEA Use 2017'!$PM$7:$PM$408=AB$2)*('BEA Use 2017'!$C$438:$PK$438=$B4)*'BEA Use 2017'!$C$7:$PK$408)</f>
        <v/>
      </c>
      <c r="AC4">
        <f>SUMPRODUCT(('BEA Use 2017'!$PM$7:$PM$408=AC$2)*('BEA Use 2017'!$C$438:$PK$438=$B4)*'BEA Use 2017'!$C$7:$PK$408)</f>
        <v/>
      </c>
      <c r="AD4">
        <f>SUMPRODUCT(('BEA Use 2017'!$PM$7:$PM$408=AD$2)*('BEA Use 2017'!$C$438:$PK$438=$B4)*'BEA Use 2017'!$C$7:$PK$408)</f>
        <v/>
      </c>
      <c r="AE4">
        <f>SUMPRODUCT(('BEA Use 2017'!$PM$7:$PM$408=AE$2)*('BEA Use 2017'!$C$438:$PK$438=$B4)*'BEA Use 2017'!$C$7:$PK$408)</f>
        <v/>
      </c>
      <c r="AF4">
        <f>SUMPRODUCT(('BEA Use 2017'!$PM$7:$PM$408=AF$2)*('BEA Use 2017'!$C$438:$PK$438=$B4)*'BEA Use 2017'!$C$7:$PK$408)</f>
        <v/>
      </c>
      <c r="AG4">
        <f>SUMPRODUCT(('BEA Use 2017'!$PM$7:$PM$408=AG$2)*('BEA Use 2017'!$C$438:$PK$438=$B4)*'BEA Use 2017'!$C$7:$PK$408)</f>
        <v/>
      </c>
      <c r="AH4">
        <f>SUMPRODUCT(('BEA Use 2017'!$PM$7:$PM$408=AH$2)*('BEA Use 2017'!$C$438:$PK$438=$B4)*'BEA Use 2017'!$C$7:$PK$408)</f>
        <v/>
      </c>
      <c r="AI4">
        <f>SUMPRODUCT(('BEA Use 2017'!$PM$7:$PM$408=AI$2)*('BEA Use 2017'!$C$438:$PK$438=$B4)*'BEA Use 2017'!$C$7:$PK$408)</f>
        <v/>
      </c>
      <c r="AJ4">
        <f>SUMPRODUCT(('BEA Use 2017'!$PM$7:$PM$408=AJ$2)*('BEA Use 2017'!$C$438:$PK$438=$B4)*'BEA Use 2017'!$C$7:$PK$408)</f>
        <v/>
      </c>
      <c r="AK4">
        <f>SUMPRODUCT(('BEA Use 2017'!$PM$7:$PM$408=AK$2)*('BEA Use 2017'!$C$438:$PK$438=$B4)*'BEA Use 2017'!$C$7:$PK$408)</f>
        <v/>
      </c>
      <c r="AL4">
        <f>SUMPRODUCT(('BEA Use 2017'!$PM$7:$PM$408=AL$2)*('BEA Use 2017'!$C$438:$PK$438=$B4)*'BEA Use 2017'!$C$7:$PK$408)</f>
        <v/>
      </c>
      <c r="AM4">
        <f>SUMPRODUCT(('BEA Use 2017'!$PM$7:$PM$408=AM$2)*('BEA Use 2017'!$C$438:$PK$438=$B4)*'BEA Use 2017'!$C$7:$PK$408)</f>
        <v/>
      </c>
      <c r="AN4">
        <f>SUMPRODUCT(('BEA Use 2017'!$PM$7:$PM$408=AN$2)*('BEA Use 2017'!$C$438:$PK$438=$B4)*'BEA Use 2017'!$C$7:$PK$408)</f>
        <v/>
      </c>
      <c r="AO4">
        <f>SUMPRODUCT(('BEA Use 2017'!$PM$7:$PM$408=AO$2)*('BEA Use 2017'!$C$438:$PK$438=$B4)*'BEA Use 2017'!$C$7:$PK$408)</f>
        <v/>
      </c>
      <c r="AP4">
        <f>SUMPRODUCT(('BEA Use 2017'!$PM$7:$PM$408=AP$2)*('BEA Use 2017'!$C$438:$PK$438=$B4)*'BEA Use 2017'!$C$7:$PK$408)</f>
        <v/>
      </c>
      <c r="AQ4">
        <f>SUMPRODUCT(('BEA Use 2017'!$PM$7:$PM$408=AQ$2)*('BEA Use 2017'!$C$438:$PK$438=$B4)*'BEA Use 2017'!$C$7:$PK$408)</f>
        <v/>
      </c>
      <c r="AR4">
        <f>SUMPRODUCT(('BEA Use 2017'!$PM$7:$PM$408=AR$2)*('BEA Use 2017'!$C$438:$PK$438=$B4)*'BEA Use 2017'!$C$7:$PK$408)</f>
        <v/>
      </c>
      <c r="AS4">
        <f>SUMPRODUCT(('BEA Use 2017'!$PM$7:$PM$408=AS$2)*('BEA Use 2017'!$C$438:$PK$438=$B4)*'BEA Use 2017'!$C$7:$PK$408)</f>
        <v/>
      </c>
      <c r="AT4">
        <f>SUMPRODUCT(('BEA Use 2017'!$PM$7:$PM$408=AT$2)*('BEA Use 2017'!$C$438:$PK$438=$B4)*'BEA Use 2017'!$C$7:$PK$408)</f>
        <v/>
      </c>
      <c r="AU4">
        <f>SUMPRODUCT(('BEA Use 2017'!$PM$7:$PM$408=AU$2)*('BEA Use 2017'!$C$438:$PK$438=$B4)*'BEA Use 2017'!$C$7:$PK$408)</f>
        <v/>
      </c>
      <c r="AV4">
        <f>SUMPRODUCT(('BEA Use 2017'!$PM$7:$PM$408=AV$2)*('BEA Use 2017'!$C$438:$PK$438=$B4)*'BEA Use 2017'!$C$7:$PK$408)</f>
        <v/>
      </c>
      <c r="AW4">
        <f>SUMPRODUCT(('BEA Use 2017'!$PM$7:$PM$408=AW$2)*('BEA Use 2017'!$C$438:$PK$438=$B4)*'BEA Use 2017'!$C$7:$PK$408)</f>
        <v/>
      </c>
      <c r="AX4">
        <f>SUMPRODUCT(('BEA Use 2017'!$PM$7:$PM$408=AX$2)*('BEA Use 2017'!$C$438:$PK$438=$B4)*'BEA Use 2017'!$C$7:$PK$408)</f>
        <v/>
      </c>
      <c r="AY4">
        <f>SUMPRODUCT(('BEA Use 2017'!$PM$7:$PM$408=AY$2)*('BEA Use 2017'!$C$438:$PK$438=$B4)*'BEA Use 2017'!$C$7:$PK$408)</f>
        <v/>
      </c>
      <c r="AZ4">
        <f>SUMPRODUCT(('BEA Use 2017'!$PM$7:$PM$408=AZ$2)*('BEA Use 2017'!$C$438:$PK$438=$B4)*'BEA Use 2017'!$C$7:$PK$408)</f>
        <v/>
      </c>
      <c r="BA4">
        <f>SUMPRODUCT(('BEA Use 2017'!$PM$7:$PM$408=BA$2)*('BEA Use 2017'!$C$438:$PK$438=$B4)*'BEA Use 2017'!$C$7:$PK$408)</f>
        <v/>
      </c>
      <c r="BB4">
        <f>SUMPRODUCT(('BEA Use 2017'!$PM$7:$PM$408=BB$2)*('BEA Use 2017'!$C$438:$PK$438=$B4)*'BEA Use 2017'!$C$7:$PK$408)</f>
        <v/>
      </c>
      <c r="BC4">
        <f>SUM(C4:BB4)</f>
        <v/>
      </c>
    </row>
    <row r="5">
      <c r="A5" t="inlineStr">
        <is>
          <t>oil and gas extraction 06</t>
        </is>
      </c>
      <c r="B5" t="inlineStr">
        <is>
          <t>ISIC 06</t>
        </is>
      </c>
      <c r="C5">
        <f>SUMPRODUCT(('BEA Use 2017'!$PM$7:$PM$408=C$2)*('BEA Use 2017'!$C$438:$PK$438=$B5)*'BEA Use 2017'!$C$7:$PK$408)</f>
        <v/>
      </c>
      <c r="D5">
        <f>SUMPRODUCT(('BEA Use 2017'!$PM$7:$PM$408=D$2)*('BEA Use 2017'!$C$438:$PK$438=$B5)*'BEA Use 2017'!$C$7:$PK$408)</f>
        <v/>
      </c>
      <c r="E5">
        <f>SUMPRODUCT(('BEA Use 2017'!$PM$7:$PM$408=E$2)*('BEA Use 2017'!$C$438:$PK$438=$B5)*'BEA Use 2017'!$C$7:$PK$408)</f>
        <v/>
      </c>
      <c r="F5">
        <f>SUMPRODUCT(('BEA Use 2017'!$PM$7:$PM$408=F$2)*('BEA Use 2017'!$C$438:$PK$438=$B5)*'BEA Use 2017'!$C$7:$PK$408)</f>
        <v/>
      </c>
      <c r="G5">
        <f>SUMPRODUCT(('BEA Use 2017'!$PM$7:$PM$408=G$2)*('BEA Use 2017'!$C$438:$PK$438=$B5)*'BEA Use 2017'!$C$7:$PK$408)</f>
        <v/>
      </c>
      <c r="H5">
        <f>SUMPRODUCT(('BEA Use 2017'!$PM$7:$PM$408=H$2)*('BEA Use 2017'!$C$438:$PK$438=$B5)*'BEA Use 2017'!$C$7:$PK$408)</f>
        <v/>
      </c>
      <c r="I5">
        <f>SUMPRODUCT(('BEA Use 2017'!$PM$7:$PM$408=I$2)*('BEA Use 2017'!$C$438:$PK$438=$B5)*'BEA Use 2017'!$C$7:$PK$408)</f>
        <v/>
      </c>
      <c r="J5">
        <f>SUMPRODUCT(('BEA Use 2017'!$PM$7:$PM$408=J$2)*('BEA Use 2017'!$C$438:$PK$438=$B5)*'BEA Use 2017'!$C$7:$PK$408)</f>
        <v/>
      </c>
      <c r="K5">
        <f>SUMPRODUCT(('BEA Use 2017'!$PM$7:$PM$408=K$2)*('BEA Use 2017'!$C$438:$PK$438=$B5)*'BEA Use 2017'!$C$7:$PK$408)</f>
        <v/>
      </c>
      <c r="L5">
        <f>SUMPRODUCT(('BEA Use 2017'!$PM$7:$PM$408=L$2)*('BEA Use 2017'!$C$438:$PK$438=$B5)*'BEA Use 2017'!$C$7:$PK$408)</f>
        <v/>
      </c>
      <c r="M5">
        <f>SUMPRODUCT(('BEA Use 2017'!$PM$7:$PM$408=M$2)*('BEA Use 2017'!$C$438:$PK$438=$B5)*'BEA Use 2017'!$C$7:$PK$408)</f>
        <v/>
      </c>
      <c r="N5">
        <f>SUMPRODUCT(('BEA Use 2017'!$PM$7:$PM$408=N$2)*('BEA Use 2017'!$C$438:$PK$438=$B5)*'BEA Use 2017'!$C$7:$PK$408)</f>
        <v/>
      </c>
      <c r="O5">
        <f>SUMPRODUCT(('BEA Use 2017'!$PM$7:$PM$408=O$2)*('BEA Use 2017'!$C$438:$PK$438=$B5)*'BEA Use 2017'!$C$7:$PK$408)</f>
        <v/>
      </c>
      <c r="P5">
        <f>SUMPRODUCT(('BEA Use 2017'!$PM$7:$PM$408=P$2)*('BEA Use 2017'!$C$438:$PK$438=$B5)*'BEA Use 2017'!$C$7:$PK$408)</f>
        <v/>
      </c>
      <c r="Q5">
        <f>SUMPRODUCT(('BEA Use 2017'!$PM$7:$PM$408=Q$2)*('BEA Use 2017'!$C$438:$PK$438=$B5)*'BEA Use 2017'!$C$7:$PK$408)</f>
        <v/>
      </c>
      <c r="R5">
        <f>SUMPRODUCT(('BEA Use 2017'!$PM$7:$PM$408=R$2)*('BEA Use 2017'!$C$438:$PK$438=$B5)*'BEA Use 2017'!$C$7:$PK$408)</f>
        <v/>
      </c>
      <c r="S5">
        <f>SUMPRODUCT(('BEA Use 2017'!$PM$7:$PM$408=S$2)*('BEA Use 2017'!$C$438:$PK$438=$B5)*'BEA Use 2017'!$C$7:$PK$408)</f>
        <v/>
      </c>
      <c r="T5">
        <f>SUMPRODUCT(('BEA Use 2017'!$PM$7:$PM$408=T$2)*('BEA Use 2017'!$C$438:$PK$438=$B5)*'BEA Use 2017'!$C$7:$PK$408)</f>
        <v/>
      </c>
      <c r="U5">
        <f>SUMPRODUCT(('BEA Use 2017'!$PM$7:$PM$408=U$2)*('BEA Use 2017'!$C$438:$PK$438=$B5)*'BEA Use 2017'!$C$7:$PK$408)</f>
        <v/>
      </c>
      <c r="V5">
        <f>SUMPRODUCT(('BEA Use 2017'!$PM$7:$PM$408=V$2)*('BEA Use 2017'!$C$438:$PK$438=$B5)*'BEA Use 2017'!$C$7:$PK$408)</f>
        <v/>
      </c>
      <c r="W5">
        <f>SUMPRODUCT(('BEA Use 2017'!$PM$7:$PM$408=W$2)*('BEA Use 2017'!$C$438:$PK$438=$B5)*'BEA Use 2017'!$C$7:$PK$408)</f>
        <v/>
      </c>
      <c r="X5">
        <f>SUMPRODUCT(('BEA Use 2017'!$PM$7:$PM$408=X$2)*('BEA Use 2017'!$C$438:$PK$438=$B5)*'BEA Use 2017'!$C$7:$PK$408)</f>
        <v/>
      </c>
      <c r="Y5">
        <f>SUMPRODUCT(('BEA Use 2017'!$PM$7:$PM$408=Y$2)*('BEA Use 2017'!$C$438:$PK$438=$B5)*'BEA Use 2017'!$C$7:$PK$408)</f>
        <v/>
      </c>
      <c r="Z5">
        <f>SUMPRODUCT(('BEA Use 2017'!$PM$7:$PM$408=Z$2)*('BEA Use 2017'!$C$438:$PK$438=$B5)*'BEA Use 2017'!$C$7:$PK$408)</f>
        <v/>
      </c>
      <c r="AA5">
        <f>SUMPRODUCT(('BEA Use 2017'!$PM$7:$PM$408=AA$2)*('BEA Use 2017'!$C$438:$PK$438=$B5)*'BEA Use 2017'!$C$7:$PK$408)</f>
        <v/>
      </c>
      <c r="AB5">
        <f>SUMPRODUCT(('BEA Use 2017'!$PM$7:$PM$408=AB$2)*('BEA Use 2017'!$C$438:$PK$438=$B5)*'BEA Use 2017'!$C$7:$PK$408)</f>
        <v/>
      </c>
      <c r="AC5">
        <f>SUMPRODUCT(('BEA Use 2017'!$PM$7:$PM$408=AC$2)*('BEA Use 2017'!$C$438:$PK$438=$B5)*'BEA Use 2017'!$C$7:$PK$408)</f>
        <v/>
      </c>
      <c r="AD5">
        <f>SUMPRODUCT(('BEA Use 2017'!$PM$7:$PM$408=AD$2)*('BEA Use 2017'!$C$438:$PK$438=$B5)*'BEA Use 2017'!$C$7:$PK$408)</f>
        <v/>
      </c>
      <c r="AE5">
        <f>SUMPRODUCT(('BEA Use 2017'!$PM$7:$PM$408=AE$2)*('BEA Use 2017'!$C$438:$PK$438=$B5)*'BEA Use 2017'!$C$7:$PK$408)</f>
        <v/>
      </c>
      <c r="AF5">
        <f>SUMPRODUCT(('BEA Use 2017'!$PM$7:$PM$408=AF$2)*('BEA Use 2017'!$C$438:$PK$438=$B5)*'BEA Use 2017'!$C$7:$PK$408)</f>
        <v/>
      </c>
      <c r="AG5">
        <f>SUMPRODUCT(('BEA Use 2017'!$PM$7:$PM$408=AG$2)*('BEA Use 2017'!$C$438:$PK$438=$B5)*'BEA Use 2017'!$C$7:$PK$408)</f>
        <v/>
      </c>
      <c r="AH5">
        <f>SUMPRODUCT(('BEA Use 2017'!$PM$7:$PM$408=AH$2)*('BEA Use 2017'!$C$438:$PK$438=$B5)*'BEA Use 2017'!$C$7:$PK$408)</f>
        <v/>
      </c>
      <c r="AI5">
        <f>SUMPRODUCT(('BEA Use 2017'!$PM$7:$PM$408=AI$2)*('BEA Use 2017'!$C$438:$PK$438=$B5)*'BEA Use 2017'!$C$7:$PK$408)</f>
        <v/>
      </c>
      <c r="AJ5">
        <f>SUMPRODUCT(('BEA Use 2017'!$PM$7:$PM$408=AJ$2)*('BEA Use 2017'!$C$438:$PK$438=$B5)*'BEA Use 2017'!$C$7:$PK$408)</f>
        <v/>
      </c>
      <c r="AK5">
        <f>SUMPRODUCT(('BEA Use 2017'!$PM$7:$PM$408=AK$2)*('BEA Use 2017'!$C$438:$PK$438=$B5)*'BEA Use 2017'!$C$7:$PK$408)</f>
        <v/>
      </c>
      <c r="AL5">
        <f>SUMPRODUCT(('BEA Use 2017'!$PM$7:$PM$408=AL$2)*('BEA Use 2017'!$C$438:$PK$438=$B5)*'BEA Use 2017'!$C$7:$PK$408)</f>
        <v/>
      </c>
      <c r="AM5">
        <f>SUMPRODUCT(('BEA Use 2017'!$PM$7:$PM$408=AM$2)*('BEA Use 2017'!$C$438:$PK$438=$B5)*'BEA Use 2017'!$C$7:$PK$408)</f>
        <v/>
      </c>
      <c r="AN5">
        <f>SUMPRODUCT(('BEA Use 2017'!$PM$7:$PM$408=AN$2)*('BEA Use 2017'!$C$438:$PK$438=$B5)*'BEA Use 2017'!$C$7:$PK$408)</f>
        <v/>
      </c>
      <c r="AO5">
        <f>SUMPRODUCT(('BEA Use 2017'!$PM$7:$PM$408=AO$2)*('BEA Use 2017'!$C$438:$PK$438=$B5)*'BEA Use 2017'!$C$7:$PK$408)</f>
        <v/>
      </c>
      <c r="AP5">
        <f>SUMPRODUCT(('BEA Use 2017'!$PM$7:$PM$408=AP$2)*('BEA Use 2017'!$C$438:$PK$438=$B5)*'BEA Use 2017'!$C$7:$PK$408)</f>
        <v/>
      </c>
      <c r="AQ5">
        <f>SUMPRODUCT(('BEA Use 2017'!$PM$7:$PM$408=AQ$2)*('BEA Use 2017'!$C$438:$PK$438=$B5)*'BEA Use 2017'!$C$7:$PK$408)</f>
        <v/>
      </c>
      <c r="AR5">
        <f>SUMPRODUCT(('BEA Use 2017'!$PM$7:$PM$408=AR$2)*('BEA Use 2017'!$C$438:$PK$438=$B5)*'BEA Use 2017'!$C$7:$PK$408)</f>
        <v/>
      </c>
      <c r="AS5">
        <f>SUMPRODUCT(('BEA Use 2017'!$PM$7:$PM$408=AS$2)*('BEA Use 2017'!$C$438:$PK$438=$B5)*'BEA Use 2017'!$C$7:$PK$408)</f>
        <v/>
      </c>
      <c r="AT5">
        <f>SUMPRODUCT(('BEA Use 2017'!$PM$7:$PM$408=AT$2)*('BEA Use 2017'!$C$438:$PK$438=$B5)*'BEA Use 2017'!$C$7:$PK$408)</f>
        <v/>
      </c>
      <c r="AU5">
        <f>SUMPRODUCT(('BEA Use 2017'!$PM$7:$PM$408=AU$2)*('BEA Use 2017'!$C$438:$PK$438=$B5)*'BEA Use 2017'!$C$7:$PK$408)</f>
        <v/>
      </c>
      <c r="AV5">
        <f>SUMPRODUCT(('BEA Use 2017'!$PM$7:$PM$408=AV$2)*('BEA Use 2017'!$C$438:$PK$438=$B5)*'BEA Use 2017'!$C$7:$PK$408)</f>
        <v/>
      </c>
      <c r="AW5">
        <f>SUMPRODUCT(('BEA Use 2017'!$PM$7:$PM$408=AW$2)*('BEA Use 2017'!$C$438:$PK$438=$B5)*'BEA Use 2017'!$C$7:$PK$408)</f>
        <v/>
      </c>
      <c r="AX5">
        <f>SUMPRODUCT(('BEA Use 2017'!$PM$7:$PM$408=AX$2)*('BEA Use 2017'!$C$438:$PK$438=$B5)*'BEA Use 2017'!$C$7:$PK$408)</f>
        <v/>
      </c>
      <c r="AY5">
        <f>SUMPRODUCT(('BEA Use 2017'!$PM$7:$PM$408=AY$2)*('BEA Use 2017'!$C$438:$PK$438=$B5)*'BEA Use 2017'!$C$7:$PK$408)</f>
        <v/>
      </c>
      <c r="AZ5">
        <f>SUMPRODUCT(('BEA Use 2017'!$PM$7:$PM$408=AZ$2)*('BEA Use 2017'!$C$438:$PK$438=$B5)*'BEA Use 2017'!$C$7:$PK$408)</f>
        <v/>
      </c>
      <c r="BA5">
        <f>SUMPRODUCT(('BEA Use 2017'!$PM$7:$PM$408=BA$2)*('BEA Use 2017'!$C$438:$PK$438=$B5)*'BEA Use 2017'!$C$7:$PK$408)</f>
        <v/>
      </c>
      <c r="BB5">
        <f>SUMPRODUCT(('BEA Use 2017'!$PM$7:$PM$408=BB$2)*('BEA Use 2017'!$C$438:$PK$438=$B5)*'BEA Use 2017'!$C$7:$PK$408)</f>
        <v/>
      </c>
      <c r="BC5">
        <f>SUM(C5:BB5)</f>
        <v/>
      </c>
    </row>
    <row r="6">
      <c r="A6" t="inlineStr">
        <is>
          <t>other mining and quarrying 07T08</t>
        </is>
      </c>
      <c r="B6" t="inlineStr">
        <is>
          <t>ISIC 08</t>
        </is>
      </c>
      <c r="C6">
        <f>SUMPRODUCT(('BEA Use 2017'!$PM$7:$PM$408=C$2)*('BEA Use 2017'!$C$438:$PK$438=$B6)*'BEA Use 2017'!$C$7:$PK$408)</f>
        <v/>
      </c>
      <c r="D6">
        <f>SUMPRODUCT(('BEA Use 2017'!$PM$7:$PM$408=D$2)*('BEA Use 2017'!$C$438:$PK$438=$B6)*'BEA Use 2017'!$C$7:$PK$408)</f>
        <v/>
      </c>
      <c r="E6">
        <f>SUMPRODUCT(('BEA Use 2017'!$PM$7:$PM$408=E$2)*('BEA Use 2017'!$C$438:$PK$438=$B6)*'BEA Use 2017'!$C$7:$PK$408)</f>
        <v/>
      </c>
      <c r="F6">
        <f>SUMPRODUCT(('BEA Use 2017'!$PM$7:$PM$408=F$2)*('BEA Use 2017'!$C$438:$PK$438=$B6)*'BEA Use 2017'!$C$7:$PK$408)</f>
        <v/>
      </c>
      <c r="G6">
        <f>SUMPRODUCT(('BEA Use 2017'!$PM$7:$PM$408=G$2)*('BEA Use 2017'!$C$438:$PK$438=$B6)*'BEA Use 2017'!$C$7:$PK$408)</f>
        <v/>
      </c>
      <c r="H6">
        <f>SUMPRODUCT(('BEA Use 2017'!$PM$7:$PM$408=H$2)*('BEA Use 2017'!$C$438:$PK$438=$B6)*'BEA Use 2017'!$C$7:$PK$408)</f>
        <v/>
      </c>
      <c r="I6">
        <f>SUMPRODUCT(('BEA Use 2017'!$PM$7:$PM$408=I$2)*('BEA Use 2017'!$C$438:$PK$438=$B6)*'BEA Use 2017'!$C$7:$PK$408)</f>
        <v/>
      </c>
      <c r="J6">
        <f>SUMPRODUCT(('BEA Use 2017'!$PM$7:$PM$408=J$2)*('BEA Use 2017'!$C$438:$PK$438=$B6)*'BEA Use 2017'!$C$7:$PK$408)</f>
        <v/>
      </c>
      <c r="K6">
        <f>SUMPRODUCT(('BEA Use 2017'!$PM$7:$PM$408=K$2)*('BEA Use 2017'!$C$438:$PK$438=$B6)*'BEA Use 2017'!$C$7:$PK$408)</f>
        <v/>
      </c>
      <c r="L6">
        <f>SUMPRODUCT(('BEA Use 2017'!$PM$7:$PM$408=L$2)*('BEA Use 2017'!$C$438:$PK$438=$B6)*'BEA Use 2017'!$C$7:$PK$408)</f>
        <v/>
      </c>
      <c r="M6">
        <f>SUMPRODUCT(('BEA Use 2017'!$PM$7:$PM$408=M$2)*('BEA Use 2017'!$C$438:$PK$438=$B6)*'BEA Use 2017'!$C$7:$PK$408)</f>
        <v/>
      </c>
      <c r="N6">
        <f>SUMPRODUCT(('BEA Use 2017'!$PM$7:$PM$408=N$2)*('BEA Use 2017'!$C$438:$PK$438=$B6)*'BEA Use 2017'!$C$7:$PK$408)</f>
        <v/>
      </c>
      <c r="O6">
        <f>SUMPRODUCT(('BEA Use 2017'!$PM$7:$PM$408=O$2)*('BEA Use 2017'!$C$438:$PK$438=$B6)*'BEA Use 2017'!$C$7:$PK$408)</f>
        <v/>
      </c>
      <c r="P6">
        <f>SUMPRODUCT(('BEA Use 2017'!$PM$7:$PM$408=P$2)*('BEA Use 2017'!$C$438:$PK$438=$B6)*'BEA Use 2017'!$C$7:$PK$408)</f>
        <v/>
      </c>
      <c r="Q6">
        <f>SUMPRODUCT(('BEA Use 2017'!$PM$7:$PM$408=Q$2)*('BEA Use 2017'!$C$438:$PK$438=$B6)*'BEA Use 2017'!$C$7:$PK$408)</f>
        <v/>
      </c>
      <c r="R6">
        <f>SUMPRODUCT(('BEA Use 2017'!$PM$7:$PM$408=R$2)*('BEA Use 2017'!$C$438:$PK$438=$B6)*'BEA Use 2017'!$C$7:$PK$408)</f>
        <v/>
      </c>
      <c r="S6">
        <f>SUMPRODUCT(('BEA Use 2017'!$PM$7:$PM$408=S$2)*('BEA Use 2017'!$C$438:$PK$438=$B6)*'BEA Use 2017'!$C$7:$PK$408)</f>
        <v/>
      </c>
      <c r="T6">
        <f>SUMPRODUCT(('BEA Use 2017'!$PM$7:$PM$408=T$2)*('BEA Use 2017'!$C$438:$PK$438=$B6)*'BEA Use 2017'!$C$7:$PK$408)</f>
        <v/>
      </c>
      <c r="U6">
        <f>SUMPRODUCT(('BEA Use 2017'!$PM$7:$PM$408=U$2)*('BEA Use 2017'!$C$438:$PK$438=$B6)*'BEA Use 2017'!$C$7:$PK$408)</f>
        <v/>
      </c>
      <c r="V6">
        <f>SUMPRODUCT(('BEA Use 2017'!$PM$7:$PM$408=V$2)*('BEA Use 2017'!$C$438:$PK$438=$B6)*'BEA Use 2017'!$C$7:$PK$408)</f>
        <v/>
      </c>
      <c r="W6">
        <f>SUMPRODUCT(('BEA Use 2017'!$PM$7:$PM$408=W$2)*('BEA Use 2017'!$C$438:$PK$438=$B6)*'BEA Use 2017'!$C$7:$PK$408)</f>
        <v/>
      </c>
      <c r="X6">
        <f>SUMPRODUCT(('BEA Use 2017'!$PM$7:$PM$408=X$2)*('BEA Use 2017'!$C$438:$PK$438=$B6)*'BEA Use 2017'!$C$7:$PK$408)</f>
        <v/>
      </c>
      <c r="Y6">
        <f>SUMPRODUCT(('BEA Use 2017'!$PM$7:$PM$408=Y$2)*('BEA Use 2017'!$C$438:$PK$438=$B6)*'BEA Use 2017'!$C$7:$PK$408)</f>
        <v/>
      </c>
      <c r="Z6">
        <f>SUMPRODUCT(('BEA Use 2017'!$PM$7:$PM$408=Z$2)*('BEA Use 2017'!$C$438:$PK$438=$B6)*'BEA Use 2017'!$C$7:$PK$408)</f>
        <v/>
      </c>
      <c r="AA6">
        <f>SUMPRODUCT(('BEA Use 2017'!$PM$7:$PM$408=AA$2)*('BEA Use 2017'!$C$438:$PK$438=$B6)*'BEA Use 2017'!$C$7:$PK$408)</f>
        <v/>
      </c>
      <c r="AB6">
        <f>SUMPRODUCT(('BEA Use 2017'!$PM$7:$PM$408=AB$2)*('BEA Use 2017'!$C$438:$PK$438=$B6)*'BEA Use 2017'!$C$7:$PK$408)</f>
        <v/>
      </c>
      <c r="AC6">
        <f>SUMPRODUCT(('BEA Use 2017'!$PM$7:$PM$408=AC$2)*('BEA Use 2017'!$C$438:$PK$438=$B6)*'BEA Use 2017'!$C$7:$PK$408)</f>
        <v/>
      </c>
      <c r="AD6">
        <f>SUMPRODUCT(('BEA Use 2017'!$PM$7:$PM$408=AD$2)*('BEA Use 2017'!$C$438:$PK$438=$B6)*'BEA Use 2017'!$C$7:$PK$408)</f>
        <v/>
      </c>
      <c r="AE6">
        <f>SUMPRODUCT(('BEA Use 2017'!$PM$7:$PM$408=AE$2)*('BEA Use 2017'!$C$438:$PK$438=$B6)*'BEA Use 2017'!$C$7:$PK$408)</f>
        <v/>
      </c>
      <c r="AF6">
        <f>SUMPRODUCT(('BEA Use 2017'!$PM$7:$PM$408=AF$2)*('BEA Use 2017'!$C$438:$PK$438=$B6)*'BEA Use 2017'!$C$7:$PK$408)</f>
        <v/>
      </c>
      <c r="AG6">
        <f>SUMPRODUCT(('BEA Use 2017'!$PM$7:$PM$408=AG$2)*('BEA Use 2017'!$C$438:$PK$438=$B6)*'BEA Use 2017'!$C$7:$PK$408)</f>
        <v/>
      </c>
      <c r="AH6">
        <f>SUMPRODUCT(('BEA Use 2017'!$PM$7:$PM$408=AH$2)*('BEA Use 2017'!$C$438:$PK$438=$B6)*'BEA Use 2017'!$C$7:$PK$408)</f>
        <v/>
      </c>
      <c r="AI6">
        <f>SUMPRODUCT(('BEA Use 2017'!$PM$7:$PM$408=AI$2)*('BEA Use 2017'!$C$438:$PK$438=$B6)*'BEA Use 2017'!$C$7:$PK$408)</f>
        <v/>
      </c>
      <c r="AJ6">
        <f>SUMPRODUCT(('BEA Use 2017'!$PM$7:$PM$408=AJ$2)*('BEA Use 2017'!$C$438:$PK$438=$B6)*'BEA Use 2017'!$C$7:$PK$408)</f>
        <v/>
      </c>
      <c r="AK6">
        <f>SUMPRODUCT(('BEA Use 2017'!$PM$7:$PM$408=AK$2)*('BEA Use 2017'!$C$438:$PK$438=$B6)*'BEA Use 2017'!$C$7:$PK$408)</f>
        <v/>
      </c>
      <c r="AL6">
        <f>SUMPRODUCT(('BEA Use 2017'!$PM$7:$PM$408=AL$2)*('BEA Use 2017'!$C$438:$PK$438=$B6)*'BEA Use 2017'!$C$7:$PK$408)</f>
        <v/>
      </c>
      <c r="AM6">
        <f>SUMPRODUCT(('BEA Use 2017'!$PM$7:$PM$408=AM$2)*('BEA Use 2017'!$C$438:$PK$438=$B6)*'BEA Use 2017'!$C$7:$PK$408)</f>
        <v/>
      </c>
      <c r="AN6">
        <f>SUMPRODUCT(('BEA Use 2017'!$PM$7:$PM$408=AN$2)*('BEA Use 2017'!$C$438:$PK$438=$B6)*'BEA Use 2017'!$C$7:$PK$408)</f>
        <v/>
      </c>
      <c r="AO6">
        <f>SUMPRODUCT(('BEA Use 2017'!$PM$7:$PM$408=AO$2)*('BEA Use 2017'!$C$438:$PK$438=$B6)*'BEA Use 2017'!$C$7:$PK$408)</f>
        <v/>
      </c>
      <c r="AP6">
        <f>SUMPRODUCT(('BEA Use 2017'!$PM$7:$PM$408=AP$2)*('BEA Use 2017'!$C$438:$PK$438=$B6)*'BEA Use 2017'!$C$7:$PK$408)</f>
        <v/>
      </c>
      <c r="AQ6">
        <f>SUMPRODUCT(('BEA Use 2017'!$PM$7:$PM$408=AQ$2)*('BEA Use 2017'!$C$438:$PK$438=$B6)*'BEA Use 2017'!$C$7:$PK$408)</f>
        <v/>
      </c>
      <c r="AR6">
        <f>SUMPRODUCT(('BEA Use 2017'!$PM$7:$PM$408=AR$2)*('BEA Use 2017'!$C$438:$PK$438=$B6)*'BEA Use 2017'!$C$7:$PK$408)</f>
        <v/>
      </c>
      <c r="AS6">
        <f>SUMPRODUCT(('BEA Use 2017'!$PM$7:$PM$408=AS$2)*('BEA Use 2017'!$C$438:$PK$438=$B6)*'BEA Use 2017'!$C$7:$PK$408)</f>
        <v/>
      </c>
      <c r="AT6">
        <f>SUMPRODUCT(('BEA Use 2017'!$PM$7:$PM$408=AT$2)*('BEA Use 2017'!$C$438:$PK$438=$B6)*'BEA Use 2017'!$C$7:$PK$408)</f>
        <v/>
      </c>
      <c r="AU6">
        <f>SUMPRODUCT(('BEA Use 2017'!$PM$7:$PM$408=AU$2)*('BEA Use 2017'!$C$438:$PK$438=$B6)*'BEA Use 2017'!$C$7:$PK$408)</f>
        <v/>
      </c>
      <c r="AV6">
        <f>SUMPRODUCT(('BEA Use 2017'!$PM$7:$PM$408=AV$2)*('BEA Use 2017'!$C$438:$PK$438=$B6)*'BEA Use 2017'!$C$7:$PK$408)</f>
        <v/>
      </c>
      <c r="AW6">
        <f>SUMPRODUCT(('BEA Use 2017'!$PM$7:$PM$408=AW$2)*('BEA Use 2017'!$C$438:$PK$438=$B6)*'BEA Use 2017'!$C$7:$PK$408)</f>
        <v/>
      </c>
      <c r="AX6">
        <f>SUMPRODUCT(('BEA Use 2017'!$PM$7:$PM$408=AX$2)*('BEA Use 2017'!$C$438:$PK$438=$B6)*'BEA Use 2017'!$C$7:$PK$408)</f>
        <v/>
      </c>
      <c r="AY6">
        <f>SUMPRODUCT(('BEA Use 2017'!$PM$7:$PM$408=AY$2)*('BEA Use 2017'!$C$438:$PK$438=$B6)*'BEA Use 2017'!$C$7:$PK$408)</f>
        <v/>
      </c>
      <c r="AZ6">
        <f>SUMPRODUCT(('BEA Use 2017'!$PM$7:$PM$408=AZ$2)*('BEA Use 2017'!$C$438:$PK$438=$B6)*'BEA Use 2017'!$C$7:$PK$408)</f>
        <v/>
      </c>
      <c r="BA6">
        <f>SUMPRODUCT(('BEA Use 2017'!$PM$7:$PM$408=BA$2)*('BEA Use 2017'!$C$438:$PK$438=$B6)*'BEA Use 2017'!$C$7:$PK$408)</f>
        <v/>
      </c>
      <c r="BB6">
        <f>SUMPRODUCT(('BEA Use 2017'!$PM$7:$PM$408=BB$2)*('BEA Use 2017'!$C$438:$PK$438=$B6)*'BEA Use 2017'!$C$7:$PK$408)</f>
        <v/>
      </c>
      <c r="BC6">
        <f>SUM(C6:BB6)</f>
        <v/>
      </c>
    </row>
    <row r="7">
      <c r="A7" t="inlineStr">
        <is>
          <t>food beverage and tobacco 10T12</t>
        </is>
      </c>
      <c r="B7" t="inlineStr">
        <is>
          <t>ISIC 10T12</t>
        </is>
      </c>
      <c r="C7">
        <f>SUMPRODUCT(('BEA Use 2017'!$PM$7:$PM$408=C$2)*('BEA Use 2017'!$C$438:$PK$438=$B7)*'BEA Use 2017'!$C$7:$PK$408)</f>
        <v/>
      </c>
      <c r="D7">
        <f>SUMPRODUCT(('BEA Use 2017'!$PM$7:$PM$408=D$2)*('BEA Use 2017'!$C$438:$PK$438=$B7)*'BEA Use 2017'!$C$7:$PK$408)</f>
        <v/>
      </c>
      <c r="E7">
        <f>SUMPRODUCT(('BEA Use 2017'!$PM$7:$PM$408=E$2)*('BEA Use 2017'!$C$438:$PK$438=$B7)*'BEA Use 2017'!$C$7:$PK$408)</f>
        <v/>
      </c>
      <c r="F7">
        <f>SUMPRODUCT(('BEA Use 2017'!$PM$7:$PM$408=F$2)*('BEA Use 2017'!$C$438:$PK$438=$B7)*'BEA Use 2017'!$C$7:$PK$408)</f>
        <v/>
      </c>
      <c r="G7">
        <f>SUMPRODUCT(('BEA Use 2017'!$PM$7:$PM$408=G$2)*('BEA Use 2017'!$C$438:$PK$438=$B7)*'BEA Use 2017'!$C$7:$PK$408)</f>
        <v/>
      </c>
      <c r="H7">
        <f>SUMPRODUCT(('BEA Use 2017'!$PM$7:$PM$408=H$2)*('BEA Use 2017'!$C$438:$PK$438=$B7)*'BEA Use 2017'!$C$7:$PK$408)</f>
        <v/>
      </c>
      <c r="I7">
        <f>SUMPRODUCT(('BEA Use 2017'!$PM$7:$PM$408=I$2)*('BEA Use 2017'!$C$438:$PK$438=$B7)*'BEA Use 2017'!$C$7:$PK$408)</f>
        <v/>
      </c>
      <c r="J7">
        <f>SUMPRODUCT(('BEA Use 2017'!$PM$7:$PM$408=J$2)*('BEA Use 2017'!$C$438:$PK$438=$B7)*'BEA Use 2017'!$C$7:$PK$408)</f>
        <v/>
      </c>
      <c r="K7">
        <f>SUMPRODUCT(('BEA Use 2017'!$PM$7:$PM$408=K$2)*('BEA Use 2017'!$C$438:$PK$438=$B7)*'BEA Use 2017'!$C$7:$PK$408)</f>
        <v/>
      </c>
      <c r="L7">
        <f>SUMPRODUCT(('BEA Use 2017'!$PM$7:$PM$408=L$2)*('BEA Use 2017'!$C$438:$PK$438=$B7)*'BEA Use 2017'!$C$7:$PK$408)</f>
        <v/>
      </c>
      <c r="M7">
        <f>SUMPRODUCT(('BEA Use 2017'!$PM$7:$PM$408=M$2)*('BEA Use 2017'!$C$438:$PK$438=$B7)*'BEA Use 2017'!$C$7:$PK$408)</f>
        <v/>
      </c>
      <c r="N7">
        <f>SUMPRODUCT(('BEA Use 2017'!$PM$7:$PM$408=N$2)*('BEA Use 2017'!$C$438:$PK$438=$B7)*'BEA Use 2017'!$C$7:$PK$408)</f>
        <v/>
      </c>
      <c r="O7">
        <f>SUMPRODUCT(('BEA Use 2017'!$PM$7:$PM$408=O$2)*('BEA Use 2017'!$C$438:$PK$438=$B7)*'BEA Use 2017'!$C$7:$PK$408)</f>
        <v/>
      </c>
      <c r="P7">
        <f>SUMPRODUCT(('BEA Use 2017'!$PM$7:$PM$408=P$2)*('BEA Use 2017'!$C$438:$PK$438=$B7)*'BEA Use 2017'!$C$7:$PK$408)</f>
        <v/>
      </c>
      <c r="Q7">
        <f>SUMPRODUCT(('BEA Use 2017'!$PM$7:$PM$408=Q$2)*('BEA Use 2017'!$C$438:$PK$438=$B7)*'BEA Use 2017'!$C$7:$PK$408)</f>
        <v/>
      </c>
      <c r="R7">
        <f>SUMPRODUCT(('BEA Use 2017'!$PM$7:$PM$408=R$2)*('BEA Use 2017'!$C$438:$PK$438=$B7)*'BEA Use 2017'!$C$7:$PK$408)</f>
        <v/>
      </c>
      <c r="S7">
        <f>SUMPRODUCT(('BEA Use 2017'!$PM$7:$PM$408=S$2)*('BEA Use 2017'!$C$438:$PK$438=$B7)*'BEA Use 2017'!$C$7:$PK$408)</f>
        <v/>
      </c>
      <c r="T7">
        <f>SUMPRODUCT(('BEA Use 2017'!$PM$7:$PM$408=T$2)*('BEA Use 2017'!$C$438:$PK$438=$B7)*'BEA Use 2017'!$C$7:$PK$408)</f>
        <v/>
      </c>
      <c r="U7">
        <f>SUMPRODUCT(('BEA Use 2017'!$PM$7:$PM$408=U$2)*('BEA Use 2017'!$C$438:$PK$438=$B7)*'BEA Use 2017'!$C$7:$PK$408)</f>
        <v/>
      </c>
      <c r="V7">
        <f>SUMPRODUCT(('BEA Use 2017'!$PM$7:$PM$408=V$2)*('BEA Use 2017'!$C$438:$PK$438=$B7)*'BEA Use 2017'!$C$7:$PK$408)</f>
        <v/>
      </c>
      <c r="W7">
        <f>SUMPRODUCT(('BEA Use 2017'!$PM$7:$PM$408=W$2)*('BEA Use 2017'!$C$438:$PK$438=$B7)*'BEA Use 2017'!$C$7:$PK$408)</f>
        <v/>
      </c>
      <c r="X7">
        <f>SUMPRODUCT(('BEA Use 2017'!$PM$7:$PM$408=X$2)*('BEA Use 2017'!$C$438:$PK$438=$B7)*'BEA Use 2017'!$C$7:$PK$408)</f>
        <v/>
      </c>
      <c r="Y7">
        <f>SUMPRODUCT(('BEA Use 2017'!$PM$7:$PM$408=Y$2)*('BEA Use 2017'!$C$438:$PK$438=$B7)*'BEA Use 2017'!$C$7:$PK$408)</f>
        <v/>
      </c>
      <c r="Z7">
        <f>SUMPRODUCT(('BEA Use 2017'!$PM$7:$PM$408=Z$2)*('BEA Use 2017'!$C$438:$PK$438=$B7)*'BEA Use 2017'!$C$7:$PK$408)</f>
        <v/>
      </c>
      <c r="AA7">
        <f>SUMPRODUCT(('BEA Use 2017'!$PM$7:$PM$408=AA$2)*('BEA Use 2017'!$C$438:$PK$438=$B7)*'BEA Use 2017'!$C$7:$PK$408)</f>
        <v/>
      </c>
      <c r="AB7">
        <f>SUMPRODUCT(('BEA Use 2017'!$PM$7:$PM$408=AB$2)*('BEA Use 2017'!$C$438:$PK$438=$B7)*'BEA Use 2017'!$C$7:$PK$408)</f>
        <v/>
      </c>
      <c r="AC7">
        <f>SUMPRODUCT(('BEA Use 2017'!$PM$7:$PM$408=AC$2)*('BEA Use 2017'!$C$438:$PK$438=$B7)*'BEA Use 2017'!$C$7:$PK$408)</f>
        <v/>
      </c>
      <c r="AD7">
        <f>SUMPRODUCT(('BEA Use 2017'!$PM$7:$PM$408=AD$2)*('BEA Use 2017'!$C$438:$PK$438=$B7)*'BEA Use 2017'!$C$7:$PK$408)</f>
        <v/>
      </c>
      <c r="AE7">
        <f>SUMPRODUCT(('BEA Use 2017'!$PM$7:$PM$408=AE$2)*('BEA Use 2017'!$C$438:$PK$438=$B7)*'BEA Use 2017'!$C$7:$PK$408)</f>
        <v/>
      </c>
      <c r="AF7">
        <f>SUMPRODUCT(('BEA Use 2017'!$PM$7:$PM$408=AF$2)*('BEA Use 2017'!$C$438:$PK$438=$B7)*'BEA Use 2017'!$C$7:$PK$408)</f>
        <v/>
      </c>
      <c r="AG7">
        <f>SUMPRODUCT(('BEA Use 2017'!$PM$7:$PM$408=AG$2)*('BEA Use 2017'!$C$438:$PK$438=$B7)*'BEA Use 2017'!$C$7:$PK$408)</f>
        <v/>
      </c>
      <c r="AH7">
        <f>SUMPRODUCT(('BEA Use 2017'!$PM$7:$PM$408=AH$2)*('BEA Use 2017'!$C$438:$PK$438=$B7)*'BEA Use 2017'!$C$7:$PK$408)</f>
        <v/>
      </c>
      <c r="AI7">
        <f>SUMPRODUCT(('BEA Use 2017'!$PM$7:$PM$408=AI$2)*('BEA Use 2017'!$C$438:$PK$438=$B7)*'BEA Use 2017'!$C$7:$PK$408)</f>
        <v/>
      </c>
      <c r="AJ7">
        <f>SUMPRODUCT(('BEA Use 2017'!$PM$7:$PM$408=AJ$2)*('BEA Use 2017'!$C$438:$PK$438=$B7)*'BEA Use 2017'!$C$7:$PK$408)</f>
        <v/>
      </c>
      <c r="AK7">
        <f>SUMPRODUCT(('BEA Use 2017'!$PM$7:$PM$408=AK$2)*('BEA Use 2017'!$C$438:$PK$438=$B7)*'BEA Use 2017'!$C$7:$PK$408)</f>
        <v/>
      </c>
      <c r="AL7">
        <f>SUMPRODUCT(('BEA Use 2017'!$PM$7:$PM$408=AL$2)*('BEA Use 2017'!$C$438:$PK$438=$B7)*'BEA Use 2017'!$C$7:$PK$408)</f>
        <v/>
      </c>
      <c r="AM7">
        <f>SUMPRODUCT(('BEA Use 2017'!$PM$7:$PM$408=AM$2)*('BEA Use 2017'!$C$438:$PK$438=$B7)*'BEA Use 2017'!$C$7:$PK$408)</f>
        <v/>
      </c>
      <c r="AN7">
        <f>SUMPRODUCT(('BEA Use 2017'!$PM$7:$PM$408=AN$2)*('BEA Use 2017'!$C$438:$PK$438=$B7)*'BEA Use 2017'!$C$7:$PK$408)</f>
        <v/>
      </c>
      <c r="AO7">
        <f>SUMPRODUCT(('BEA Use 2017'!$PM$7:$PM$408=AO$2)*('BEA Use 2017'!$C$438:$PK$438=$B7)*'BEA Use 2017'!$C$7:$PK$408)</f>
        <v/>
      </c>
      <c r="AP7">
        <f>SUMPRODUCT(('BEA Use 2017'!$PM$7:$PM$408=AP$2)*('BEA Use 2017'!$C$438:$PK$438=$B7)*'BEA Use 2017'!$C$7:$PK$408)</f>
        <v/>
      </c>
      <c r="AQ7">
        <f>SUMPRODUCT(('BEA Use 2017'!$PM$7:$PM$408=AQ$2)*('BEA Use 2017'!$C$438:$PK$438=$B7)*'BEA Use 2017'!$C$7:$PK$408)</f>
        <v/>
      </c>
      <c r="AR7">
        <f>SUMPRODUCT(('BEA Use 2017'!$PM$7:$PM$408=AR$2)*('BEA Use 2017'!$C$438:$PK$438=$B7)*'BEA Use 2017'!$C$7:$PK$408)</f>
        <v/>
      </c>
      <c r="AS7">
        <f>SUMPRODUCT(('BEA Use 2017'!$PM$7:$PM$408=AS$2)*('BEA Use 2017'!$C$438:$PK$438=$B7)*'BEA Use 2017'!$C$7:$PK$408)</f>
        <v/>
      </c>
      <c r="AT7">
        <f>SUMPRODUCT(('BEA Use 2017'!$PM$7:$PM$408=AT$2)*('BEA Use 2017'!$C$438:$PK$438=$B7)*'BEA Use 2017'!$C$7:$PK$408)</f>
        <v/>
      </c>
      <c r="AU7">
        <f>SUMPRODUCT(('BEA Use 2017'!$PM$7:$PM$408=AU$2)*('BEA Use 2017'!$C$438:$PK$438=$B7)*'BEA Use 2017'!$C$7:$PK$408)</f>
        <v/>
      </c>
      <c r="AV7">
        <f>SUMPRODUCT(('BEA Use 2017'!$PM$7:$PM$408=AV$2)*('BEA Use 2017'!$C$438:$PK$438=$B7)*'BEA Use 2017'!$C$7:$PK$408)</f>
        <v/>
      </c>
      <c r="AW7">
        <f>SUMPRODUCT(('BEA Use 2017'!$PM$7:$PM$408=AW$2)*('BEA Use 2017'!$C$438:$PK$438=$B7)*'BEA Use 2017'!$C$7:$PK$408)</f>
        <v/>
      </c>
      <c r="AX7">
        <f>SUMPRODUCT(('BEA Use 2017'!$PM$7:$PM$408=AX$2)*('BEA Use 2017'!$C$438:$PK$438=$B7)*'BEA Use 2017'!$C$7:$PK$408)</f>
        <v/>
      </c>
      <c r="AY7">
        <f>SUMPRODUCT(('BEA Use 2017'!$PM$7:$PM$408=AY$2)*('BEA Use 2017'!$C$438:$PK$438=$B7)*'BEA Use 2017'!$C$7:$PK$408)</f>
        <v/>
      </c>
      <c r="AZ7">
        <f>SUMPRODUCT(('BEA Use 2017'!$PM$7:$PM$408=AZ$2)*('BEA Use 2017'!$C$438:$PK$438=$B7)*'BEA Use 2017'!$C$7:$PK$408)</f>
        <v/>
      </c>
      <c r="BA7">
        <f>SUMPRODUCT(('BEA Use 2017'!$PM$7:$PM$408=BA$2)*('BEA Use 2017'!$C$438:$PK$438=$B7)*'BEA Use 2017'!$C$7:$PK$408)</f>
        <v/>
      </c>
      <c r="BB7">
        <f>SUMPRODUCT(('BEA Use 2017'!$PM$7:$PM$408=BB$2)*('BEA Use 2017'!$C$438:$PK$438=$B7)*'BEA Use 2017'!$C$7:$PK$408)</f>
        <v/>
      </c>
      <c r="BC7">
        <f>SUM(C7:BB7)</f>
        <v/>
      </c>
    </row>
    <row r="8">
      <c r="A8" t="inlineStr">
        <is>
          <t>textiles apparel and leather 13T15</t>
        </is>
      </c>
      <c r="B8" t="inlineStr">
        <is>
          <t>ISIC 13T15</t>
        </is>
      </c>
      <c r="C8">
        <f>SUMPRODUCT(('BEA Use 2017'!$PM$7:$PM$408=C$2)*('BEA Use 2017'!$C$438:$PK$438=$B8)*'BEA Use 2017'!$C$7:$PK$408)</f>
        <v/>
      </c>
      <c r="D8">
        <f>SUMPRODUCT(('BEA Use 2017'!$PM$7:$PM$408=D$2)*('BEA Use 2017'!$C$438:$PK$438=$B8)*'BEA Use 2017'!$C$7:$PK$408)</f>
        <v/>
      </c>
      <c r="E8">
        <f>SUMPRODUCT(('BEA Use 2017'!$PM$7:$PM$408=E$2)*('BEA Use 2017'!$C$438:$PK$438=$B8)*'BEA Use 2017'!$C$7:$PK$408)</f>
        <v/>
      </c>
      <c r="F8">
        <f>SUMPRODUCT(('BEA Use 2017'!$PM$7:$PM$408=F$2)*('BEA Use 2017'!$C$438:$PK$438=$B8)*'BEA Use 2017'!$C$7:$PK$408)</f>
        <v/>
      </c>
      <c r="G8">
        <f>SUMPRODUCT(('BEA Use 2017'!$PM$7:$PM$408=G$2)*('BEA Use 2017'!$C$438:$PK$438=$B8)*'BEA Use 2017'!$C$7:$PK$408)</f>
        <v/>
      </c>
      <c r="H8">
        <f>SUMPRODUCT(('BEA Use 2017'!$PM$7:$PM$408=H$2)*('BEA Use 2017'!$C$438:$PK$438=$B8)*'BEA Use 2017'!$C$7:$PK$408)</f>
        <v/>
      </c>
      <c r="I8">
        <f>SUMPRODUCT(('BEA Use 2017'!$PM$7:$PM$408=I$2)*('BEA Use 2017'!$C$438:$PK$438=$B8)*'BEA Use 2017'!$C$7:$PK$408)</f>
        <v/>
      </c>
      <c r="J8">
        <f>SUMPRODUCT(('BEA Use 2017'!$PM$7:$PM$408=J$2)*('BEA Use 2017'!$C$438:$PK$438=$B8)*'BEA Use 2017'!$C$7:$PK$408)</f>
        <v/>
      </c>
      <c r="K8">
        <f>SUMPRODUCT(('BEA Use 2017'!$PM$7:$PM$408=K$2)*('BEA Use 2017'!$C$438:$PK$438=$B8)*'BEA Use 2017'!$C$7:$PK$408)</f>
        <v/>
      </c>
      <c r="L8">
        <f>SUMPRODUCT(('BEA Use 2017'!$PM$7:$PM$408=L$2)*('BEA Use 2017'!$C$438:$PK$438=$B8)*'BEA Use 2017'!$C$7:$PK$408)</f>
        <v/>
      </c>
      <c r="M8">
        <f>SUMPRODUCT(('BEA Use 2017'!$PM$7:$PM$408=M$2)*('BEA Use 2017'!$C$438:$PK$438=$B8)*'BEA Use 2017'!$C$7:$PK$408)</f>
        <v/>
      </c>
      <c r="N8">
        <f>SUMPRODUCT(('BEA Use 2017'!$PM$7:$PM$408=N$2)*('BEA Use 2017'!$C$438:$PK$438=$B8)*'BEA Use 2017'!$C$7:$PK$408)</f>
        <v/>
      </c>
      <c r="O8">
        <f>SUMPRODUCT(('BEA Use 2017'!$PM$7:$PM$408=O$2)*('BEA Use 2017'!$C$438:$PK$438=$B8)*'BEA Use 2017'!$C$7:$PK$408)</f>
        <v/>
      </c>
      <c r="P8">
        <f>SUMPRODUCT(('BEA Use 2017'!$PM$7:$PM$408=P$2)*('BEA Use 2017'!$C$438:$PK$438=$B8)*'BEA Use 2017'!$C$7:$PK$408)</f>
        <v/>
      </c>
      <c r="Q8">
        <f>SUMPRODUCT(('BEA Use 2017'!$PM$7:$PM$408=Q$2)*('BEA Use 2017'!$C$438:$PK$438=$B8)*'BEA Use 2017'!$C$7:$PK$408)</f>
        <v/>
      </c>
      <c r="R8">
        <f>SUMPRODUCT(('BEA Use 2017'!$PM$7:$PM$408=R$2)*('BEA Use 2017'!$C$438:$PK$438=$B8)*'BEA Use 2017'!$C$7:$PK$408)</f>
        <v/>
      </c>
      <c r="S8">
        <f>SUMPRODUCT(('BEA Use 2017'!$PM$7:$PM$408=S$2)*('BEA Use 2017'!$C$438:$PK$438=$B8)*'BEA Use 2017'!$C$7:$PK$408)</f>
        <v/>
      </c>
      <c r="T8">
        <f>SUMPRODUCT(('BEA Use 2017'!$PM$7:$PM$408=T$2)*('BEA Use 2017'!$C$438:$PK$438=$B8)*'BEA Use 2017'!$C$7:$PK$408)</f>
        <v/>
      </c>
      <c r="U8">
        <f>SUMPRODUCT(('BEA Use 2017'!$PM$7:$PM$408=U$2)*('BEA Use 2017'!$C$438:$PK$438=$B8)*'BEA Use 2017'!$C$7:$PK$408)</f>
        <v/>
      </c>
      <c r="V8">
        <f>SUMPRODUCT(('BEA Use 2017'!$PM$7:$PM$408=V$2)*('BEA Use 2017'!$C$438:$PK$438=$B8)*'BEA Use 2017'!$C$7:$PK$408)</f>
        <v/>
      </c>
      <c r="W8">
        <f>SUMPRODUCT(('BEA Use 2017'!$PM$7:$PM$408=W$2)*('BEA Use 2017'!$C$438:$PK$438=$B8)*'BEA Use 2017'!$C$7:$PK$408)</f>
        <v/>
      </c>
      <c r="X8">
        <f>SUMPRODUCT(('BEA Use 2017'!$PM$7:$PM$408=X$2)*('BEA Use 2017'!$C$438:$PK$438=$B8)*'BEA Use 2017'!$C$7:$PK$408)</f>
        <v/>
      </c>
      <c r="Y8">
        <f>SUMPRODUCT(('BEA Use 2017'!$PM$7:$PM$408=Y$2)*('BEA Use 2017'!$C$438:$PK$438=$B8)*'BEA Use 2017'!$C$7:$PK$408)</f>
        <v/>
      </c>
      <c r="Z8">
        <f>SUMPRODUCT(('BEA Use 2017'!$PM$7:$PM$408=Z$2)*('BEA Use 2017'!$C$438:$PK$438=$B8)*'BEA Use 2017'!$C$7:$PK$408)</f>
        <v/>
      </c>
      <c r="AA8">
        <f>SUMPRODUCT(('BEA Use 2017'!$PM$7:$PM$408=AA$2)*('BEA Use 2017'!$C$438:$PK$438=$B8)*'BEA Use 2017'!$C$7:$PK$408)</f>
        <v/>
      </c>
      <c r="AB8">
        <f>SUMPRODUCT(('BEA Use 2017'!$PM$7:$PM$408=AB$2)*('BEA Use 2017'!$C$438:$PK$438=$B8)*'BEA Use 2017'!$C$7:$PK$408)</f>
        <v/>
      </c>
      <c r="AC8">
        <f>SUMPRODUCT(('BEA Use 2017'!$PM$7:$PM$408=AC$2)*('BEA Use 2017'!$C$438:$PK$438=$B8)*'BEA Use 2017'!$C$7:$PK$408)</f>
        <v/>
      </c>
      <c r="AD8">
        <f>SUMPRODUCT(('BEA Use 2017'!$PM$7:$PM$408=AD$2)*('BEA Use 2017'!$C$438:$PK$438=$B8)*'BEA Use 2017'!$C$7:$PK$408)</f>
        <v/>
      </c>
      <c r="AE8">
        <f>SUMPRODUCT(('BEA Use 2017'!$PM$7:$PM$408=AE$2)*('BEA Use 2017'!$C$438:$PK$438=$B8)*'BEA Use 2017'!$C$7:$PK$408)</f>
        <v/>
      </c>
      <c r="AF8">
        <f>SUMPRODUCT(('BEA Use 2017'!$PM$7:$PM$408=AF$2)*('BEA Use 2017'!$C$438:$PK$438=$B8)*'BEA Use 2017'!$C$7:$PK$408)</f>
        <v/>
      </c>
      <c r="AG8">
        <f>SUMPRODUCT(('BEA Use 2017'!$PM$7:$PM$408=AG$2)*('BEA Use 2017'!$C$438:$PK$438=$B8)*'BEA Use 2017'!$C$7:$PK$408)</f>
        <v/>
      </c>
      <c r="AH8">
        <f>SUMPRODUCT(('BEA Use 2017'!$PM$7:$PM$408=AH$2)*('BEA Use 2017'!$C$438:$PK$438=$B8)*'BEA Use 2017'!$C$7:$PK$408)</f>
        <v/>
      </c>
      <c r="AI8">
        <f>SUMPRODUCT(('BEA Use 2017'!$PM$7:$PM$408=AI$2)*('BEA Use 2017'!$C$438:$PK$438=$B8)*'BEA Use 2017'!$C$7:$PK$408)</f>
        <v/>
      </c>
      <c r="AJ8">
        <f>SUMPRODUCT(('BEA Use 2017'!$PM$7:$PM$408=AJ$2)*('BEA Use 2017'!$C$438:$PK$438=$B8)*'BEA Use 2017'!$C$7:$PK$408)</f>
        <v/>
      </c>
      <c r="AK8">
        <f>SUMPRODUCT(('BEA Use 2017'!$PM$7:$PM$408=AK$2)*('BEA Use 2017'!$C$438:$PK$438=$B8)*'BEA Use 2017'!$C$7:$PK$408)</f>
        <v/>
      </c>
      <c r="AL8">
        <f>SUMPRODUCT(('BEA Use 2017'!$PM$7:$PM$408=AL$2)*('BEA Use 2017'!$C$438:$PK$438=$B8)*'BEA Use 2017'!$C$7:$PK$408)</f>
        <v/>
      </c>
      <c r="AM8">
        <f>SUMPRODUCT(('BEA Use 2017'!$PM$7:$PM$408=AM$2)*('BEA Use 2017'!$C$438:$PK$438=$B8)*'BEA Use 2017'!$C$7:$PK$408)</f>
        <v/>
      </c>
      <c r="AN8">
        <f>SUMPRODUCT(('BEA Use 2017'!$PM$7:$PM$408=AN$2)*('BEA Use 2017'!$C$438:$PK$438=$B8)*'BEA Use 2017'!$C$7:$PK$408)</f>
        <v/>
      </c>
      <c r="AO8">
        <f>SUMPRODUCT(('BEA Use 2017'!$PM$7:$PM$408=AO$2)*('BEA Use 2017'!$C$438:$PK$438=$B8)*'BEA Use 2017'!$C$7:$PK$408)</f>
        <v/>
      </c>
      <c r="AP8">
        <f>SUMPRODUCT(('BEA Use 2017'!$PM$7:$PM$408=AP$2)*('BEA Use 2017'!$C$438:$PK$438=$B8)*'BEA Use 2017'!$C$7:$PK$408)</f>
        <v/>
      </c>
      <c r="AQ8">
        <f>SUMPRODUCT(('BEA Use 2017'!$PM$7:$PM$408=AQ$2)*('BEA Use 2017'!$C$438:$PK$438=$B8)*'BEA Use 2017'!$C$7:$PK$408)</f>
        <v/>
      </c>
      <c r="AR8">
        <f>SUMPRODUCT(('BEA Use 2017'!$PM$7:$PM$408=AR$2)*('BEA Use 2017'!$C$438:$PK$438=$B8)*'BEA Use 2017'!$C$7:$PK$408)</f>
        <v/>
      </c>
      <c r="AS8">
        <f>SUMPRODUCT(('BEA Use 2017'!$PM$7:$PM$408=AS$2)*('BEA Use 2017'!$C$438:$PK$438=$B8)*'BEA Use 2017'!$C$7:$PK$408)</f>
        <v/>
      </c>
      <c r="AT8">
        <f>SUMPRODUCT(('BEA Use 2017'!$PM$7:$PM$408=AT$2)*('BEA Use 2017'!$C$438:$PK$438=$B8)*'BEA Use 2017'!$C$7:$PK$408)</f>
        <v/>
      </c>
      <c r="AU8">
        <f>SUMPRODUCT(('BEA Use 2017'!$PM$7:$PM$408=AU$2)*('BEA Use 2017'!$C$438:$PK$438=$B8)*'BEA Use 2017'!$C$7:$PK$408)</f>
        <v/>
      </c>
      <c r="AV8">
        <f>SUMPRODUCT(('BEA Use 2017'!$PM$7:$PM$408=AV$2)*('BEA Use 2017'!$C$438:$PK$438=$B8)*'BEA Use 2017'!$C$7:$PK$408)</f>
        <v/>
      </c>
      <c r="AW8">
        <f>SUMPRODUCT(('BEA Use 2017'!$PM$7:$PM$408=AW$2)*('BEA Use 2017'!$C$438:$PK$438=$B8)*'BEA Use 2017'!$C$7:$PK$408)</f>
        <v/>
      </c>
      <c r="AX8">
        <f>SUMPRODUCT(('BEA Use 2017'!$PM$7:$PM$408=AX$2)*('BEA Use 2017'!$C$438:$PK$438=$B8)*'BEA Use 2017'!$C$7:$PK$408)</f>
        <v/>
      </c>
      <c r="AY8">
        <f>SUMPRODUCT(('BEA Use 2017'!$PM$7:$PM$408=AY$2)*('BEA Use 2017'!$C$438:$PK$438=$B8)*'BEA Use 2017'!$C$7:$PK$408)</f>
        <v/>
      </c>
      <c r="AZ8">
        <f>SUMPRODUCT(('BEA Use 2017'!$PM$7:$PM$408=AZ$2)*('BEA Use 2017'!$C$438:$PK$438=$B8)*'BEA Use 2017'!$C$7:$PK$408)</f>
        <v/>
      </c>
      <c r="BA8">
        <f>SUMPRODUCT(('BEA Use 2017'!$PM$7:$PM$408=BA$2)*('BEA Use 2017'!$C$438:$PK$438=$B8)*'BEA Use 2017'!$C$7:$PK$408)</f>
        <v/>
      </c>
      <c r="BB8">
        <f>SUMPRODUCT(('BEA Use 2017'!$PM$7:$PM$408=BB$2)*('BEA Use 2017'!$C$438:$PK$438=$B8)*'BEA Use 2017'!$C$7:$PK$408)</f>
        <v/>
      </c>
      <c r="BC8">
        <f>SUM(C8:BB8)</f>
        <v/>
      </c>
    </row>
    <row r="9">
      <c r="A9" t="inlineStr">
        <is>
          <t>wood products 16</t>
        </is>
      </c>
      <c r="B9" t="inlineStr">
        <is>
          <t>ISIC 16</t>
        </is>
      </c>
      <c r="C9">
        <f>SUMPRODUCT(('BEA Use 2017'!$PM$7:$PM$408=C$2)*('BEA Use 2017'!$C$438:$PK$438=$B9)*'BEA Use 2017'!$C$7:$PK$408)</f>
        <v/>
      </c>
      <c r="D9">
        <f>SUMPRODUCT(('BEA Use 2017'!$PM$7:$PM$408=D$2)*('BEA Use 2017'!$C$438:$PK$438=$B9)*'BEA Use 2017'!$C$7:$PK$408)</f>
        <v/>
      </c>
      <c r="E9">
        <f>SUMPRODUCT(('BEA Use 2017'!$PM$7:$PM$408=E$2)*('BEA Use 2017'!$C$438:$PK$438=$B9)*'BEA Use 2017'!$C$7:$PK$408)</f>
        <v/>
      </c>
      <c r="F9">
        <f>SUMPRODUCT(('BEA Use 2017'!$PM$7:$PM$408=F$2)*('BEA Use 2017'!$C$438:$PK$438=$B9)*'BEA Use 2017'!$C$7:$PK$408)</f>
        <v/>
      </c>
      <c r="G9">
        <f>SUMPRODUCT(('BEA Use 2017'!$PM$7:$PM$408=G$2)*('BEA Use 2017'!$C$438:$PK$438=$B9)*'BEA Use 2017'!$C$7:$PK$408)</f>
        <v/>
      </c>
      <c r="H9">
        <f>SUMPRODUCT(('BEA Use 2017'!$PM$7:$PM$408=H$2)*('BEA Use 2017'!$C$438:$PK$438=$B9)*'BEA Use 2017'!$C$7:$PK$408)</f>
        <v/>
      </c>
      <c r="I9">
        <f>SUMPRODUCT(('BEA Use 2017'!$PM$7:$PM$408=I$2)*('BEA Use 2017'!$C$438:$PK$438=$B9)*'BEA Use 2017'!$C$7:$PK$408)</f>
        <v/>
      </c>
      <c r="J9">
        <f>SUMPRODUCT(('BEA Use 2017'!$PM$7:$PM$408=J$2)*('BEA Use 2017'!$C$438:$PK$438=$B9)*'BEA Use 2017'!$C$7:$PK$408)</f>
        <v/>
      </c>
      <c r="K9">
        <f>SUMPRODUCT(('BEA Use 2017'!$PM$7:$PM$408=K$2)*('BEA Use 2017'!$C$438:$PK$438=$B9)*'BEA Use 2017'!$C$7:$PK$408)</f>
        <v/>
      </c>
      <c r="L9">
        <f>SUMPRODUCT(('BEA Use 2017'!$PM$7:$PM$408=L$2)*('BEA Use 2017'!$C$438:$PK$438=$B9)*'BEA Use 2017'!$C$7:$PK$408)</f>
        <v/>
      </c>
      <c r="M9">
        <f>SUMPRODUCT(('BEA Use 2017'!$PM$7:$PM$408=M$2)*('BEA Use 2017'!$C$438:$PK$438=$B9)*'BEA Use 2017'!$C$7:$PK$408)</f>
        <v/>
      </c>
      <c r="N9">
        <f>SUMPRODUCT(('BEA Use 2017'!$PM$7:$PM$408=N$2)*('BEA Use 2017'!$C$438:$PK$438=$B9)*'BEA Use 2017'!$C$7:$PK$408)</f>
        <v/>
      </c>
      <c r="O9">
        <f>SUMPRODUCT(('BEA Use 2017'!$PM$7:$PM$408=O$2)*('BEA Use 2017'!$C$438:$PK$438=$B9)*'BEA Use 2017'!$C$7:$PK$408)</f>
        <v/>
      </c>
      <c r="P9">
        <f>SUMPRODUCT(('BEA Use 2017'!$PM$7:$PM$408=P$2)*('BEA Use 2017'!$C$438:$PK$438=$B9)*'BEA Use 2017'!$C$7:$PK$408)</f>
        <v/>
      </c>
      <c r="Q9">
        <f>SUMPRODUCT(('BEA Use 2017'!$PM$7:$PM$408=Q$2)*('BEA Use 2017'!$C$438:$PK$438=$B9)*'BEA Use 2017'!$C$7:$PK$408)</f>
        <v/>
      </c>
      <c r="R9">
        <f>SUMPRODUCT(('BEA Use 2017'!$PM$7:$PM$408=R$2)*('BEA Use 2017'!$C$438:$PK$438=$B9)*'BEA Use 2017'!$C$7:$PK$408)</f>
        <v/>
      </c>
      <c r="S9">
        <f>SUMPRODUCT(('BEA Use 2017'!$PM$7:$PM$408=S$2)*('BEA Use 2017'!$C$438:$PK$438=$B9)*'BEA Use 2017'!$C$7:$PK$408)</f>
        <v/>
      </c>
      <c r="T9">
        <f>SUMPRODUCT(('BEA Use 2017'!$PM$7:$PM$408=T$2)*('BEA Use 2017'!$C$438:$PK$438=$B9)*'BEA Use 2017'!$C$7:$PK$408)</f>
        <v/>
      </c>
      <c r="U9">
        <f>SUMPRODUCT(('BEA Use 2017'!$PM$7:$PM$408=U$2)*('BEA Use 2017'!$C$438:$PK$438=$B9)*'BEA Use 2017'!$C$7:$PK$408)</f>
        <v/>
      </c>
      <c r="V9">
        <f>SUMPRODUCT(('BEA Use 2017'!$PM$7:$PM$408=V$2)*('BEA Use 2017'!$C$438:$PK$438=$B9)*'BEA Use 2017'!$C$7:$PK$408)</f>
        <v/>
      </c>
      <c r="W9">
        <f>SUMPRODUCT(('BEA Use 2017'!$PM$7:$PM$408=W$2)*('BEA Use 2017'!$C$438:$PK$438=$B9)*'BEA Use 2017'!$C$7:$PK$408)</f>
        <v/>
      </c>
      <c r="X9">
        <f>SUMPRODUCT(('BEA Use 2017'!$PM$7:$PM$408=X$2)*('BEA Use 2017'!$C$438:$PK$438=$B9)*'BEA Use 2017'!$C$7:$PK$408)</f>
        <v/>
      </c>
      <c r="Y9">
        <f>SUMPRODUCT(('BEA Use 2017'!$PM$7:$PM$408=Y$2)*('BEA Use 2017'!$C$438:$PK$438=$B9)*'BEA Use 2017'!$C$7:$PK$408)</f>
        <v/>
      </c>
      <c r="Z9">
        <f>SUMPRODUCT(('BEA Use 2017'!$PM$7:$PM$408=Z$2)*('BEA Use 2017'!$C$438:$PK$438=$B9)*'BEA Use 2017'!$C$7:$PK$408)</f>
        <v/>
      </c>
      <c r="AA9">
        <f>SUMPRODUCT(('BEA Use 2017'!$PM$7:$PM$408=AA$2)*('BEA Use 2017'!$C$438:$PK$438=$B9)*'BEA Use 2017'!$C$7:$PK$408)</f>
        <v/>
      </c>
      <c r="AB9">
        <f>SUMPRODUCT(('BEA Use 2017'!$PM$7:$PM$408=AB$2)*('BEA Use 2017'!$C$438:$PK$438=$B9)*'BEA Use 2017'!$C$7:$PK$408)</f>
        <v/>
      </c>
      <c r="AC9">
        <f>SUMPRODUCT(('BEA Use 2017'!$PM$7:$PM$408=AC$2)*('BEA Use 2017'!$C$438:$PK$438=$B9)*'BEA Use 2017'!$C$7:$PK$408)</f>
        <v/>
      </c>
      <c r="AD9">
        <f>SUMPRODUCT(('BEA Use 2017'!$PM$7:$PM$408=AD$2)*('BEA Use 2017'!$C$438:$PK$438=$B9)*'BEA Use 2017'!$C$7:$PK$408)</f>
        <v/>
      </c>
      <c r="AE9">
        <f>SUMPRODUCT(('BEA Use 2017'!$PM$7:$PM$408=AE$2)*('BEA Use 2017'!$C$438:$PK$438=$B9)*'BEA Use 2017'!$C$7:$PK$408)</f>
        <v/>
      </c>
      <c r="AF9">
        <f>SUMPRODUCT(('BEA Use 2017'!$PM$7:$PM$408=AF$2)*('BEA Use 2017'!$C$438:$PK$438=$B9)*'BEA Use 2017'!$C$7:$PK$408)</f>
        <v/>
      </c>
      <c r="AG9">
        <f>SUMPRODUCT(('BEA Use 2017'!$PM$7:$PM$408=AG$2)*('BEA Use 2017'!$C$438:$PK$438=$B9)*'BEA Use 2017'!$C$7:$PK$408)</f>
        <v/>
      </c>
      <c r="AH9">
        <f>SUMPRODUCT(('BEA Use 2017'!$PM$7:$PM$408=AH$2)*('BEA Use 2017'!$C$438:$PK$438=$B9)*'BEA Use 2017'!$C$7:$PK$408)</f>
        <v/>
      </c>
      <c r="AI9">
        <f>SUMPRODUCT(('BEA Use 2017'!$PM$7:$PM$408=AI$2)*('BEA Use 2017'!$C$438:$PK$438=$B9)*'BEA Use 2017'!$C$7:$PK$408)</f>
        <v/>
      </c>
      <c r="AJ9">
        <f>SUMPRODUCT(('BEA Use 2017'!$PM$7:$PM$408=AJ$2)*('BEA Use 2017'!$C$438:$PK$438=$B9)*'BEA Use 2017'!$C$7:$PK$408)</f>
        <v/>
      </c>
      <c r="AK9">
        <f>SUMPRODUCT(('BEA Use 2017'!$PM$7:$PM$408=AK$2)*('BEA Use 2017'!$C$438:$PK$438=$B9)*'BEA Use 2017'!$C$7:$PK$408)</f>
        <v/>
      </c>
      <c r="AL9">
        <f>SUMPRODUCT(('BEA Use 2017'!$PM$7:$PM$408=AL$2)*('BEA Use 2017'!$C$438:$PK$438=$B9)*'BEA Use 2017'!$C$7:$PK$408)</f>
        <v/>
      </c>
      <c r="AM9">
        <f>SUMPRODUCT(('BEA Use 2017'!$PM$7:$PM$408=AM$2)*('BEA Use 2017'!$C$438:$PK$438=$B9)*'BEA Use 2017'!$C$7:$PK$408)</f>
        <v/>
      </c>
      <c r="AN9">
        <f>SUMPRODUCT(('BEA Use 2017'!$PM$7:$PM$408=AN$2)*('BEA Use 2017'!$C$438:$PK$438=$B9)*'BEA Use 2017'!$C$7:$PK$408)</f>
        <v/>
      </c>
      <c r="AO9">
        <f>SUMPRODUCT(('BEA Use 2017'!$PM$7:$PM$408=AO$2)*('BEA Use 2017'!$C$438:$PK$438=$B9)*'BEA Use 2017'!$C$7:$PK$408)</f>
        <v/>
      </c>
      <c r="AP9">
        <f>SUMPRODUCT(('BEA Use 2017'!$PM$7:$PM$408=AP$2)*('BEA Use 2017'!$C$438:$PK$438=$B9)*'BEA Use 2017'!$C$7:$PK$408)</f>
        <v/>
      </c>
      <c r="AQ9">
        <f>SUMPRODUCT(('BEA Use 2017'!$PM$7:$PM$408=AQ$2)*('BEA Use 2017'!$C$438:$PK$438=$B9)*'BEA Use 2017'!$C$7:$PK$408)</f>
        <v/>
      </c>
      <c r="AR9">
        <f>SUMPRODUCT(('BEA Use 2017'!$PM$7:$PM$408=AR$2)*('BEA Use 2017'!$C$438:$PK$438=$B9)*'BEA Use 2017'!$C$7:$PK$408)</f>
        <v/>
      </c>
      <c r="AS9">
        <f>SUMPRODUCT(('BEA Use 2017'!$PM$7:$PM$408=AS$2)*('BEA Use 2017'!$C$438:$PK$438=$B9)*'BEA Use 2017'!$C$7:$PK$408)</f>
        <v/>
      </c>
      <c r="AT9">
        <f>SUMPRODUCT(('BEA Use 2017'!$PM$7:$PM$408=AT$2)*('BEA Use 2017'!$C$438:$PK$438=$B9)*'BEA Use 2017'!$C$7:$PK$408)</f>
        <v/>
      </c>
      <c r="AU9">
        <f>SUMPRODUCT(('BEA Use 2017'!$PM$7:$PM$408=AU$2)*('BEA Use 2017'!$C$438:$PK$438=$B9)*'BEA Use 2017'!$C$7:$PK$408)</f>
        <v/>
      </c>
      <c r="AV9">
        <f>SUMPRODUCT(('BEA Use 2017'!$PM$7:$PM$408=AV$2)*('BEA Use 2017'!$C$438:$PK$438=$B9)*'BEA Use 2017'!$C$7:$PK$408)</f>
        <v/>
      </c>
      <c r="AW9">
        <f>SUMPRODUCT(('BEA Use 2017'!$PM$7:$PM$408=AW$2)*('BEA Use 2017'!$C$438:$PK$438=$B9)*'BEA Use 2017'!$C$7:$PK$408)</f>
        <v/>
      </c>
      <c r="AX9">
        <f>SUMPRODUCT(('BEA Use 2017'!$PM$7:$PM$408=AX$2)*('BEA Use 2017'!$C$438:$PK$438=$B9)*'BEA Use 2017'!$C$7:$PK$408)</f>
        <v/>
      </c>
      <c r="AY9">
        <f>SUMPRODUCT(('BEA Use 2017'!$PM$7:$PM$408=AY$2)*('BEA Use 2017'!$C$438:$PK$438=$B9)*'BEA Use 2017'!$C$7:$PK$408)</f>
        <v/>
      </c>
      <c r="AZ9">
        <f>SUMPRODUCT(('BEA Use 2017'!$PM$7:$PM$408=AZ$2)*('BEA Use 2017'!$C$438:$PK$438=$B9)*'BEA Use 2017'!$C$7:$PK$408)</f>
        <v/>
      </c>
      <c r="BA9">
        <f>SUMPRODUCT(('BEA Use 2017'!$PM$7:$PM$408=BA$2)*('BEA Use 2017'!$C$438:$PK$438=$B9)*'BEA Use 2017'!$C$7:$PK$408)</f>
        <v/>
      </c>
      <c r="BB9">
        <f>SUMPRODUCT(('BEA Use 2017'!$PM$7:$PM$408=BB$2)*('BEA Use 2017'!$C$438:$PK$438=$B9)*'BEA Use 2017'!$C$7:$PK$408)</f>
        <v/>
      </c>
      <c r="BC9">
        <f>SUM(C9:BB9)</f>
        <v/>
      </c>
    </row>
    <row r="10">
      <c r="A10" t="inlineStr">
        <is>
          <t>pulp paper and printing 17T18</t>
        </is>
      </c>
      <c r="B10" t="inlineStr">
        <is>
          <t>ISIC 17T18</t>
        </is>
      </c>
      <c r="C10">
        <f>SUMPRODUCT(('BEA Use 2017'!$PM$7:$PM$408=C$2)*('BEA Use 2017'!$C$438:$PK$438=$B10)*'BEA Use 2017'!$C$7:$PK$408)</f>
        <v/>
      </c>
      <c r="D10">
        <f>SUMPRODUCT(('BEA Use 2017'!$PM$7:$PM$408=D$2)*('BEA Use 2017'!$C$438:$PK$438=$B10)*'BEA Use 2017'!$C$7:$PK$408)</f>
        <v/>
      </c>
      <c r="E10">
        <f>SUMPRODUCT(('BEA Use 2017'!$PM$7:$PM$408=E$2)*('BEA Use 2017'!$C$438:$PK$438=$B10)*'BEA Use 2017'!$C$7:$PK$408)</f>
        <v/>
      </c>
      <c r="F10">
        <f>SUMPRODUCT(('BEA Use 2017'!$PM$7:$PM$408=F$2)*('BEA Use 2017'!$C$438:$PK$438=$B10)*'BEA Use 2017'!$C$7:$PK$408)</f>
        <v/>
      </c>
      <c r="G10">
        <f>SUMPRODUCT(('BEA Use 2017'!$PM$7:$PM$408=G$2)*('BEA Use 2017'!$C$438:$PK$438=$B10)*'BEA Use 2017'!$C$7:$PK$408)</f>
        <v/>
      </c>
      <c r="H10">
        <f>SUMPRODUCT(('BEA Use 2017'!$PM$7:$PM$408=H$2)*('BEA Use 2017'!$C$438:$PK$438=$B10)*'BEA Use 2017'!$C$7:$PK$408)</f>
        <v/>
      </c>
      <c r="I10">
        <f>SUMPRODUCT(('BEA Use 2017'!$PM$7:$PM$408=I$2)*('BEA Use 2017'!$C$438:$PK$438=$B10)*'BEA Use 2017'!$C$7:$PK$408)</f>
        <v/>
      </c>
      <c r="J10">
        <f>SUMPRODUCT(('BEA Use 2017'!$PM$7:$PM$408=J$2)*('BEA Use 2017'!$C$438:$PK$438=$B10)*'BEA Use 2017'!$C$7:$PK$408)</f>
        <v/>
      </c>
      <c r="K10">
        <f>SUMPRODUCT(('BEA Use 2017'!$PM$7:$PM$408=K$2)*('BEA Use 2017'!$C$438:$PK$438=$B10)*'BEA Use 2017'!$C$7:$PK$408)</f>
        <v/>
      </c>
      <c r="L10">
        <f>SUMPRODUCT(('BEA Use 2017'!$PM$7:$PM$408=L$2)*('BEA Use 2017'!$C$438:$PK$438=$B10)*'BEA Use 2017'!$C$7:$PK$408)</f>
        <v/>
      </c>
      <c r="M10">
        <f>SUMPRODUCT(('BEA Use 2017'!$PM$7:$PM$408=M$2)*('BEA Use 2017'!$C$438:$PK$438=$B10)*'BEA Use 2017'!$C$7:$PK$408)</f>
        <v/>
      </c>
      <c r="N10">
        <f>SUMPRODUCT(('BEA Use 2017'!$PM$7:$PM$408=N$2)*('BEA Use 2017'!$C$438:$PK$438=$B10)*'BEA Use 2017'!$C$7:$PK$408)</f>
        <v/>
      </c>
      <c r="O10">
        <f>SUMPRODUCT(('BEA Use 2017'!$PM$7:$PM$408=O$2)*('BEA Use 2017'!$C$438:$PK$438=$B10)*'BEA Use 2017'!$C$7:$PK$408)</f>
        <v/>
      </c>
      <c r="P10">
        <f>SUMPRODUCT(('BEA Use 2017'!$PM$7:$PM$408=P$2)*('BEA Use 2017'!$C$438:$PK$438=$B10)*'BEA Use 2017'!$C$7:$PK$408)</f>
        <v/>
      </c>
      <c r="Q10">
        <f>SUMPRODUCT(('BEA Use 2017'!$PM$7:$PM$408=Q$2)*('BEA Use 2017'!$C$438:$PK$438=$B10)*'BEA Use 2017'!$C$7:$PK$408)</f>
        <v/>
      </c>
      <c r="R10">
        <f>SUMPRODUCT(('BEA Use 2017'!$PM$7:$PM$408=R$2)*('BEA Use 2017'!$C$438:$PK$438=$B10)*'BEA Use 2017'!$C$7:$PK$408)</f>
        <v/>
      </c>
      <c r="S10">
        <f>SUMPRODUCT(('BEA Use 2017'!$PM$7:$PM$408=S$2)*('BEA Use 2017'!$C$438:$PK$438=$B10)*'BEA Use 2017'!$C$7:$PK$408)</f>
        <v/>
      </c>
      <c r="T10">
        <f>SUMPRODUCT(('BEA Use 2017'!$PM$7:$PM$408=T$2)*('BEA Use 2017'!$C$438:$PK$438=$B10)*'BEA Use 2017'!$C$7:$PK$408)</f>
        <v/>
      </c>
      <c r="U10">
        <f>SUMPRODUCT(('BEA Use 2017'!$PM$7:$PM$408=U$2)*('BEA Use 2017'!$C$438:$PK$438=$B10)*'BEA Use 2017'!$C$7:$PK$408)</f>
        <v/>
      </c>
      <c r="V10">
        <f>SUMPRODUCT(('BEA Use 2017'!$PM$7:$PM$408=V$2)*('BEA Use 2017'!$C$438:$PK$438=$B10)*'BEA Use 2017'!$C$7:$PK$408)</f>
        <v/>
      </c>
      <c r="W10">
        <f>SUMPRODUCT(('BEA Use 2017'!$PM$7:$PM$408=W$2)*('BEA Use 2017'!$C$438:$PK$438=$B10)*'BEA Use 2017'!$C$7:$PK$408)</f>
        <v/>
      </c>
      <c r="X10">
        <f>SUMPRODUCT(('BEA Use 2017'!$PM$7:$PM$408=X$2)*('BEA Use 2017'!$C$438:$PK$438=$B10)*'BEA Use 2017'!$C$7:$PK$408)</f>
        <v/>
      </c>
      <c r="Y10">
        <f>SUMPRODUCT(('BEA Use 2017'!$PM$7:$PM$408=Y$2)*('BEA Use 2017'!$C$438:$PK$438=$B10)*'BEA Use 2017'!$C$7:$PK$408)</f>
        <v/>
      </c>
      <c r="Z10">
        <f>SUMPRODUCT(('BEA Use 2017'!$PM$7:$PM$408=Z$2)*('BEA Use 2017'!$C$438:$PK$438=$B10)*'BEA Use 2017'!$C$7:$PK$408)</f>
        <v/>
      </c>
      <c r="AA10">
        <f>SUMPRODUCT(('BEA Use 2017'!$PM$7:$PM$408=AA$2)*('BEA Use 2017'!$C$438:$PK$438=$B10)*'BEA Use 2017'!$C$7:$PK$408)</f>
        <v/>
      </c>
      <c r="AB10">
        <f>SUMPRODUCT(('BEA Use 2017'!$PM$7:$PM$408=AB$2)*('BEA Use 2017'!$C$438:$PK$438=$B10)*'BEA Use 2017'!$C$7:$PK$408)</f>
        <v/>
      </c>
      <c r="AC10">
        <f>SUMPRODUCT(('BEA Use 2017'!$PM$7:$PM$408=AC$2)*('BEA Use 2017'!$C$438:$PK$438=$B10)*'BEA Use 2017'!$C$7:$PK$408)</f>
        <v/>
      </c>
      <c r="AD10">
        <f>SUMPRODUCT(('BEA Use 2017'!$PM$7:$PM$408=AD$2)*('BEA Use 2017'!$C$438:$PK$438=$B10)*'BEA Use 2017'!$C$7:$PK$408)</f>
        <v/>
      </c>
      <c r="AE10">
        <f>SUMPRODUCT(('BEA Use 2017'!$PM$7:$PM$408=AE$2)*('BEA Use 2017'!$C$438:$PK$438=$B10)*'BEA Use 2017'!$C$7:$PK$408)</f>
        <v/>
      </c>
      <c r="AF10">
        <f>SUMPRODUCT(('BEA Use 2017'!$PM$7:$PM$408=AF$2)*('BEA Use 2017'!$C$438:$PK$438=$B10)*'BEA Use 2017'!$C$7:$PK$408)</f>
        <v/>
      </c>
      <c r="AG10">
        <f>SUMPRODUCT(('BEA Use 2017'!$PM$7:$PM$408=AG$2)*('BEA Use 2017'!$C$438:$PK$438=$B10)*'BEA Use 2017'!$C$7:$PK$408)</f>
        <v/>
      </c>
      <c r="AH10">
        <f>SUMPRODUCT(('BEA Use 2017'!$PM$7:$PM$408=AH$2)*('BEA Use 2017'!$C$438:$PK$438=$B10)*'BEA Use 2017'!$C$7:$PK$408)</f>
        <v/>
      </c>
      <c r="AI10">
        <f>SUMPRODUCT(('BEA Use 2017'!$PM$7:$PM$408=AI$2)*('BEA Use 2017'!$C$438:$PK$438=$B10)*'BEA Use 2017'!$C$7:$PK$408)</f>
        <v/>
      </c>
      <c r="AJ10">
        <f>SUMPRODUCT(('BEA Use 2017'!$PM$7:$PM$408=AJ$2)*('BEA Use 2017'!$C$438:$PK$438=$B10)*'BEA Use 2017'!$C$7:$PK$408)</f>
        <v/>
      </c>
      <c r="AK10">
        <f>SUMPRODUCT(('BEA Use 2017'!$PM$7:$PM$408=AK$2)*('BEA Use 2017'!$C$438:$PK$438=$B10)*'BEA Use 2017'!$C$7:$PK$408)</f>
        <v/>
      </c>
      <c r="AL10">
        <f>SUMPRODUCT(('BEA Use 2017'!$PM$7:$PM$408=AL$2)*('BEA Use 2017'!$C$438:$PK$438=$B10)*'BEA Use 2017'!$C$7:$PK$408)</f>
        <v/>
      </c>
      <c r="AM10">
        <f>SUMPRODUCT(('BEA Use 2017'!$PM$7:$PM$408=AM$2)*('BEA Use 2017'!$C$438:$PK$438=$B10)*'BEA Use 2017'!$C$7:$PK$408)</f>
        <v/>
      </c>
      <c r="AN10">
        <f>SUMPRODUCT(('BEA Use 2017'!$PM$7:$PM$408=AN$2)*('BEA Use 2017'!$C$438:$PK$438=$B10)*'BEA Use 2017'!$C$7:$PK$408)</f>
        <v/>
      </c>
      <c r="AO10">
        <f>SUMPRODUCT(('BEA Use 2017'!$PM$7:$PM$408=AO$2)*('BEA Use 2017'!$C$438:$PK$438=$B10)*'BEA Use 2017'!$C$7:$PK$408)</f>
        <v/>
      </c>
      <c r="AP10">
        <f>SUMPRODUCT(('BEA Use 2017'!$PM$7:$PM$408=AP$2)*('BEA Use 2017'!$C$438:$PK$438=$B10)*'BEA Use 2017'!$C$7:$PK$408)</f>
        <v/>
      </c>
      <c r="AQ10">
        <f>SUMPRODUCT(('BEA Use 2017'!$PM$7:$PM$408=AQ$2)*('BEA Use 2017'!$C$438:$PK$438=$B10)*'BEA Use 2017'!$C$7:$PK$408)</f>
        <v/>
      </c>
      <c r="AR10">
        <f>SUMPRODUCT(('BEA Use 2017'!$PM$7:$PM$408=AR$2)*('BEA Use 2017'!$C$438:$PK$438=$B10)*'BEA Use 2017'!$C$7:$PK$408)</f>
        <v/>
      </c>
      <c r="AS10">
        <f>SUMPRODUCT(('BEA Use 2017'!$PM$7:$PM$408=AS$2)*('BEA Use 2017'!$C$438:$PK$438=$B10)*'BEA Use 2017'!$C$7:$PK$408)</f>
        <v/>
      </c>
      <c r="AT10">
        <f>SUMPRODUCT(('BEA Use 2017'!$PM$7:$PM$408=AT$2)*('BEA Use 2017'!$C$438:$PK$438=$B10)*'BEA Use 2017'!$C$7:$PK$408)</f>
        <v/>
      </c>
      <c r="AU10">
        <f>SUMPRODUCT(('BEA Use 2017'!$PM$7:$PM$408=AU$2)*('BEA Use 2017'!$C$438:$PK$438=$B10)*'BEA Use 2017'!$C$7:$PK$408)</f>
        <v/>
      </c>
      <c r="AV10">
        <f>SUMPRODUCT(('BEA Use 2017'!$PM$7:$PM$408=AV$2)*('BEA Use 2017'!$C$438:$PK$438=$B10)*'BEA Use 2017'!$C$7:$PK$408)</f>
        <v/>
      </c>
      <c r="AW10">
        <f>SUMPRODUCT(('BEA Use 2017'!$PM$7:$PM$408=AW$2)*('BEA Use 2017'!$C$438:$PK$438=$B10)*'BEA Use 2017'!$C$7:$PK$408)</f>
        <v/>
      </c>
      <c r="AX10">
        <f>SUMPRODUCT(('BEA Use 2017'!$PM$7:$PM$408=AX$2)*('BEA Use 2017'!$C$438:$PK$438=$B10)*'BEA Use 2017'!$C$7:$PK$408)</f>
        <v/>
      </c>
      <c r="AY10">
        <f>SUMPRODUCT(('BEA Use 2017'!$PM$7:$PM$408=AY$2)*('BEA Use 2017'!$C$438:$PK$438=$B10)*'BEA Use 2017'!$C$7:$PK$408)</f>
        <v/>
      </c>
      <c r="AZ10">
        <f>SUMPRODUCT(('BEA Use 2017'!$PM$7:$PM$408=AZ$2)*('BEA Use 2017'!$C$438:$PK$438=$B10)*'BEA Use 2017'!$C$7:$PK$408)</f>
        <v/>
      </c>
      <c r="BA10">
        <f>SUMPRODUCT(('BEA Use 2017'!$PM$7:$PM$408=BA$2)*('BEA Use 2017'!$C$438:$PK$438=$B10)*'BEA Use 2017'!$C$7:$PK$408)</f>
        <v/>
      </c>
      <c r="BB10">
        <f>SUMPRODUCT(('BEA Use 2017'!$PM$7:$PM$408=BB$2)*('BEA Use 2017'!$C$438:$PK$438=$B10)*'BEA Use 2017'!$C$7:$PK$408)</f>
        <v/>
      </c>
      <c r="BC10">
        <f>SUM(C10:BB10)</f>
        <v/>
      </c>
    </row>
    <row r="11">
      <c r="A11" t="inlineStr">
        <is>
          <t>refined petroleum and coke 19</t>
        </is>
      </c>
      <c r="B11" t="inlineStr">
        <is>
          <t>ISIC 19</t>
        </is>
      </c>
      <c r="C11">
        <f>SUMPRODUCT(('BEA Use 2017'!$PM$7:$PM$408=C$2)*('BEA Use 2017'!$C$438:$PK$438=$B11)*'BEA Use 2017'!$C$7:$PK$408)</f>
        <v/>
      </c>
      <c r="D11">
        <f>SUMPRODUCT(('BEA Use 2017'!$PM$7:$PM$408=D$2)*('BEA Use 2017'!$C$438:$PK$438=$B11)*'BEA Use 2017'!$C$7:$PK$408)</f>
        <v/>
      </c>
      <c r="E11">
        <f>SUMPRODUCT(('BEA Use 2017'!$PM$7:$PM$408=E$2)*('BEA Use 2017'!$C$438:$PK$438=$B11)*'BEA Use 2017'!$C$7:$PK$408)</f>
        <v/>
      </c>
      <c r="F11">
        <f>SUMPRODUCT(('BEA Use 2017'!$PM$7:$PM$408=F$2)*('BEA Use 2017'!$C$438:$PK$438=$B11)*'BEA Use 2017'!$C$7:$PK$408)</f>
        <v/>
      </c>
      <c r="G11">
        <f>SUMPRODUCT(('BEA Use 2017'!$PM$7:$PM$408=G$2)*('BEA Use 2017'!$C$438:$PK$438=$B11)*'BEA Use 2017'!$C$7:$PK$408)</f>
        <v/>
      </c>
      <c r="H11">
        <f>SUMPRODUCT(('BEA Use 2017'!$PM$7:$PM$408=H$2)*('BEA Use 2017'!$C$438:$PK$438=$B11)*'BEA Use 2017'!$C$7:$PK$408)</f>
        <v/>
      </c>
      <c r="I11">
        <f>SUMPRODUCT(('BEA Use 2017'!$PM$7:$PM$408=I$2)*('BEA Use 2017'!$C$438:$PK$438=$B11)*'BEA Use 2017'!$C$7:$PK$408)</f>
        <v/>
      </c>
      <c r="J11">
        <f>SUMPRODUCT(('BEA Use 2017'!$PM$7:$PM$408=J$2)*('BEA Use 2017'!$C$438:$PK$438=$B11)*'BEA Use 2017'!$C$7:$PK$408)</f>
        <v/>
      </c>
      <c r="K11">
        <f>SUMPRODUCT(('BEA Use 2017'!$PM$7:$PM$408=K$2)*('BEA Use 2017'!$C$438:$PK$438=$B11)*'BEA Use 2017'!$C$7:$PK$408)</f>
        <v/>
      </c>
      <c r="L11">
        <f>SUMPRODUCT(('BEA Use 2017'!$PM$7:$PM$408=L$2)*('BEA Use 2017'!$C$438:$PK$438=$B11)*'BEA Use 2017'!$C$7:$PK$408)</f>
        <v/>
      </c>
      <c r="M11">
        <f>SUMPRODUCT(('BEA Use 2017'!$PM$7:$PM$408=M$2)*('BEA Use 2017'!$C$438:$PK$438=$B11)*'BEA Use 2017'!$C$7:$PK$408)</f>
        <v/>
      </c>
      <c r="N11">
        <f>SUMPRODUCT(('BEA Use 2017'!$PM$7:$PM$408=N$2)*('BEA Use 2017'!$C$438:$PK$438=$B11)*'BEA Use 2017'!$C$7:$PK$408)</f>
        <v/>
      </c>
      <c r="O11">
        <f>SUMPRODUCT(('BEA Use 2017'!$PM$7:$PM$408=O$2)*('BEA Use 2017'!$C$438:$PK$438=$B11)*'BEA Use 2017'!$C$7:$PK$408)</f>
        <v/>
      </c>
      <c r="P11">
        <f>SUMPRODUCT(('BEA Use 2017'!$PM$7:$PM$408=P$2)*('BEA Use 2017'!$C$438:$PK$438=$B11)*'BEA Use 2017'!$C$7:$PK$408)</f>
        <v/>
      </c>
      <c r="Q11">
        <f>SUMPRODUCT(('BEA Use 2017'!$PM$7:$PM$408=Q$2)*('BEA Use 2017'!$C$438:$PK$438=$B11)*'BEA Use 2017'!$C$7:$PK$408)</f>
        <v/>
      </c>
      <c r="R11">
        <f>SUMPRODUCT(('BEA Use 2017'!$PM$7:$PM$408=R$2)*('BEA Use 2017'!$C$438:$PK$438=$B11)*'BEA Use 2017'!$C$7:$PK$408)</f>
        <v/>
      </c>
      <c r="S11">
        <f>SUMPRODUCT(('BEA Use 2017'!$PM$7:$PM$408=S$2)*('BEA Use 2017'!$C$438:$PK$438=$B11)*'BEA Use 2017'!$C$7:$PK$408)</f>
        <v/>
      </c>
      <c r="T11">
        <f>SUMPRODUCT(('BEA Use 2017'!$PM$7:$PM$408=T$2)*('BEA Use 2017'!$C$438:$PK$438=$B11)*'BEA Use 2017'!$C$7:$PK$408)</f>
        <v/>
      </c>
      <c r="U11">
        <f>SUMPRODUCT(('BEA Use 2017'!$PM$7:$PM$408=U$2)*('BEA Use 2017'!$C$438:$PK$438=$B11)*'BEA Use 2017'!$C$7:$PK$408)</f>
        <v/>
      </c>
      <c r="V11">
        <f>SUMPRODUCT(('BEA Use 2017'!$PM$7:$PM$408=V$2)*('BEA Use 2017'!$C$438:$PK$438=$B11)*'BEA Use 2017'!$C$7:$PK$408)</f>
        <v/>
      </c>
      <c r="W11">
        <f>SUMPRODUCT(('BEA Use 2017'!$PM$7:$PM$408=W$2)*('BEA Use 2017'!$C$438:$PK$438=$B11)*'BEA Use 2017'!$C$7:$PK$408)</f>
        <v/>
      </c>
      <c r="X11">
        <f>SUMPRODUCT(('BEA Use 2017'!$PM$7:$PM$408=X$2)*('BEA Use 2017'!$C$438:$PK$438=$B11)*'BEA Use 2017'!$C$7:$PK$408)</f>
        <v/>
      </c>
      <c r="Y11">
        <f>SUMPRODUCT(('BEA Use 2017'!$PM$7:$PM$408=Y$2)*('BEA Use 2017'!$C$438:$PK$438=$B11)*'BEA Use 2017'!$C$7:$PK$408)</f>
        <v/>
      </c>
      <c r="Z11">
        <f>SUMPRODUCT(('BEA Use 2017'!$PM$7:$PM$408=Z$2)*('BEA Use 2017'!$C$438:$PK$438=$B11)*'BEA Use 2017'!$C$7:$PK$408)</f>
        <v/>
      </c>
      <c r="AA11">
        <f>SUMPRODUCT(('BEA Use 2017'!$PM$7:$PM$408=AA$2)*('BEA Use 2017'!$C$438:$PK$438=$B11)*'BEA Use 2017'!$C$7:$PK$408)</f>
        <v/>
      </c>
      <c r="AB11">
        <f>SUMPRODUCT(('BEA Use 2017'!$PM$7:$PM$408=AB$2)*('BEA Use 2017'!$C$438:$PK$438=$B11)*'BEA Use 2017'!$C$7:$PK$408)</f>
        <v/>
      </c>
      <c r="AC11">
        <f>SUMPRODUCT(('BEA Use 2017'!$PM$7:$PM$408=AC$2)*('BEA Use 2017'!$C$438:$PK$438=$B11)*'BEA Use 2017'!$C$7:$PK$408)</f>
        <v/>
      </c>
      <c r="AD11">
        <f>SUMPRODUCT(('BEA Use 2017'!$PM$7:$PM$408=AD$2)*('BEA Use 2017'!$C$438:$PK$438=$B11)*'BEA Use 2017'!$C$7:$PK$408)</f>
        <v/>
      </c>
      <c r="AE11">
        <f>SUMPRODUCT(('BEA Use 2017'!$PM$7:$PM$408=AE$2)*('BEA Use 2017'!$C$438:$PK$438=$B11)*'BEA Use 2017'!$C$7:$PK$408)</f>
        <v/>
      </c>
      <c r="AF11">
        <f>SUMPRODUCT(('BEA Use 2017'!$PM$7:$PM$408=AF$2)*('BEA Use 2017'!$C$438:$PK$438=$B11)*'BEA Use 2017'!$C$7:$PK$408)</f>
        <v/>
      </c>
      <c r="AG11">
        <f>SUMPRODUCT(('BEA Use 2017'!$PM$7:$PM$408=AG$2)*('BEA Use 2017'!$C$438:$PK$438=$B11)*'BEA Use 2017'!$C$7:$PK$408)</f>
        <v/>
      </c>
      <c r="AH11">
        <f>SUMPRODUCT(('BEA Use 2017'!$PM$7:$PM$408=AH$2)*('BEA Use 2017'!$C$438:$PK$438=$B11)*'BEA Use 2017'!$C$7:$PK$408)</f>
        <v/>
      </c>
      <c r="AI11">
        <f>SUMPRODUCT(('BEA Use 2017'!$PM$7:$PM$408=AI$2)*('BEA Use 2017'!$C$438:$PK$438=$B11)*'BEA Use 2017'!$C$7:$PK$408)</f>
        <v/>
      </c>
      <c r="AJ11">
        <f>SUMPRODUCT(('BEA Use 2017'!$PM$7:$PM$408=AJ$2)*('BEA Use 2017'!$C$438:$PK$438=$B11)*'BEA Use 2017'!$C$7:$PK$408)</f>
        <v/>
      </c>
      <c r="AK11">
        <f>SUMPRODUCT(('BEA Use 2017'!$PM$7:$PM$408=AK$2)*('BEA Use 2017'!$C$438:$PK$438=$B11)*'BEA Use 2017'!$C$7:$PK$408)</f>
        <v/>
      </c>
      <c r="AL11">
        <f>SUMPRODUCT(('BEA Use 2017'!$PM$7:$PM$408=AL$2)*('BEA Use 2017'!$C$438:$PK$438=$B11)*'BEA Use 2017'!$C$7:$PK$408)</f>
        <v/>
      </c>
      <c r="AM11">
        <f>SUMPRODUCT(('BEA Use 2017'!$PM$7:$PM$408=AM$2)*('BEA Use 2017'!$C$438:$PK$438=$B11)*'BEA Use 2017'!$C$7:$PK$408)</f>
        <v/>
      </c>
      <c r="AN11">
        <f>SUMPRODUCT(('BEA Use 2017'!$PM$7:$PM$408=AN$2)*('BEA Use 2017'!$C$438:$PK$438=$B11)*'BEA Use 2017'!$C$7:$PK$408)</f>
        <v/>
      </c>
      <c r="AO11">
        <f>SUMPRODUCT(('BEA Use 2017'!$PM$7:$PM$408=AO$2)*('BEA Use 2017'!$C$438:$PK$438=$B11)*'BEA Use 2017'!$C$7:$PK$408)</f>
        <v/>
      </c>
      <c r="AP11">
        <f>SUMPRODUCT(('BEA Use 2017'!$PM$7:$PM$408=AP$2)*('BEA Use 2017'!$C$438:$PK$438=$B11)*'BEA Use 2017'!$C$7:$PK$408)</f>
        <v/>
      </c>
      <c r="AQ11">
        <f>SUMPRODUCT(('BEA Use 2017'!$PM$7:$PM$408=AQ$2)*('BEA Use 2017'!$C$438:$PK$438=$B11)*'BEA Use 2017'!$C$7:$PK$408)</f>
        <v/>
      </c>
      <c r="AR11">
        <f>SUMPRODUCT(('BEA Use 2017'!$PM$7:$PM$408=AR$2)*('BEA Use 2017'!$C$438:$PK$438=$B11)*'BEA Use 2017'!$C$7:$PK$408)</f>
        <v/>
      </c>
      <c r="AS11">
        <f>SUMPRODUCT(('BEA Use 2017'!$PM$7:$PM$408=AS$2)*('BEA Use 2017'!$C$438:$PK$438=$B11)*'BEA Use 2017'!$C$7:$PK$408)</f>
        <v/>
      </c>
      <c r="AT11">
        <f>SUMPRODUCT(('BEA Use 2017'!$PM$7:$PM$408=AT$2)*('BEA Use 2017'!$C$438:$PK$438=$B11)*'BEA Use 2017'!$C$7:$PK$408)</f>
        <v/>
      </c>
      <c r="AU11">
        <f>SUMPRODUCT(('BEA Use 2017'!$PM$7:$PM$408=AU$2)*('BEA Use 2017'!$C$438:$PK$438=$B11)*'BEA Use 2017'!$C$7:$PK$408)</f>
        <v/>
      </c>
      <c r="AV11">
        <f>SUMPRODUCT(('BEA Use 2017'!$PM$7:$PM$408=AV$2)*('BEA Use 2017'!$C$438:$PK$438=$B11)*'BEA Use 2017'!$C$7:$PK$408)</f>
        <v/>
      </c>
      <c r="AW11">
        <f>SUMPRODUCT(('BEA Use 2017'!$PM$7:$PM$408=AW$2)*('BEA Use 2017'!$C$438:$PK$438=$B11)*'BEA Use 2017'!$C$7:$PK$408)</f>
        <v/>
      </c>
      <c r="AX11">
        <f>SUMPRODUCT(('BEA Use 2017'!$PM$7:$PM$408=AX$2)*('BEA Use 2017'!$C$438:$PK$438=$B11)*'BEA Use 2017'!$C$7:$PK$408)</f>
        <v/>
      </c>
      <c r="AY11">
        <f>SUMPRODUCT(('BEA Use 2017'!$PM$7:$PM$408=AY$2)*('BEA Use 2017'!$C$438:$PK$438=$B11)*'BEA Use 2017'!$C$7:$PK$408)</f>
        <v/>
      </c>
      <c r="AZ11">
        <f>SUMPRODUCT(('BEA Use 2017'!$PM$7:$PM$408=AZ$2)*('BEA Use 2017'!$C$438:$PK$438=$B11)*'BEA Use 2017'!$C$7:$PK$408)</f>
        <v/>
      </c>
      <c r="BA11">
        <f>SUMPRODUCT(('BEA Use 2017'!$PM$7:$PM$408=BA$2)*('BEA Use 2017'!$C$438:$PK$438=$B11)*'BEA Use 2017'!$C$7:$PK$408)</f>
        <v/>
      </c>
      <c r="BB11">
        <f>SUMPRODUCT(('BEA Use 2017'!$PM$7:$PM$408=BB$2)*('BEA Use 2017'!$C$438:$PK$438=$B11)*'BEA Use 2017'!$C$7:$PK$408)</f>
        <v/>
      </c>
      <c r="BC11">
        <f>SUM(C11:BB11)</f>
        <v/>
      </c>
    </row>
    <row r="12">
      <c r="A12" t="inlineStr">
        <is>
          <t>chemicals 20</t>
        </is>
      </c>
      <c r="B12" t="inlineStr">
        <is>
          <t>ISIC 20</t>
        </is>
      </c>
      <c r="C12">
        <f>SUMPRODUCT(('BEA Use 2017'!$PM$7:$PM$408=C$2)*('BEA Use 2017'!$C$438:$PK$438=$B12)*'BEA Use 2017'!$C$7:$PK$408)</f>
        <v/>
      </c>
      <c r="D12">
        <f>SUMPRODUCT(('BEA Use 2017'!$PM$7:$PM$408=D$2)*('BEA Use 2017'!$C$438:$PK$438=$B12)*'BEA Use 2017'!$C$7:$PK$408)</f>
        <v/>
      </c>
      <c r="E12">
        <f>SUMPRODUCT(('BEA Use 2017'!$PM$7:$PM$408=E$2)*('BEA Use 2017'!$C$438:$PK$438=$B12)*'BEA Use 2017'!$C$7:$PK$408)</f>
        <v/>
      </c>
      <c r="F12">
        <f>SUMPRODUCT(('BEA Use 2017'!$PM$7:$PM$408=F$2)*('BEA Use 2017'!$C$438:$PK$438=$B12)*'BEA Use 2017'!$C$7:$PK$408)</f>
        <v/>
      </c>
      <c r="G12">
        <f>SUMPRODUCT(('BEA Use 2017'!$PM$7:$PM$408=G$2)*('BEA Use 2017'!$C$438:$PK$438=$B12)*'BEA Use 2017'!$C$7:$PK$408)</f>
        <v/>
      </c>
      <c r="H12">
        <f>SUMPRODUCT(('BEA Use 2017'!$PM$7:$PM$408=H$2)*('BEA Use 2017'!$C$438:$PK$438=$B12)*'BEA Use 2017'!$C$7:$PK$408)</f>
        <v/>
      </c>
      <c r="I12">
        <f>SUMPRODUCT(('BEA Use 2017'!$PM$7:$PM$408=I$2)*('BEA Use 2017'!$C$438:$PK$438=$B12)*'BEA Use 2017'!$C$7:$PK$408)</f>
        <v/>
      </c>
      <c r="J12">
        <f>SUMPRODUCT(('BEA Use 2017'!$PM$7:$PM$408=J$2)*('BEA Use 2017'!$C$438:$PK$438=$B12)*'BEA Use 2017'!$C$7:$PK$408)</f>
        <v/>
      </c>
      <c r="K12">
        <f>SUMPRODUCT(('BEA Use 2017'!$PM$7:$PM$408=K$2)*('BEA Use 2017'!$C$438:$PK$438=$B12)*'BEA Use 2017'!$C$7:$PK$408)</f>
        <v/>
      </c>
      <c r="L12">
        <f>SUMPRODUCT(('BEA Use 2017'!$PM$7:$PM$408=L$2)*('BEA Use 2017'!$C$438:$PK$438=$B12)*'BEA Use 2017'!$C$7:$PK$408)</f>
        <v/>
      </c>
      <c r="M12">
        <f>SUMPRODUCT(('BEA Use 2017'!$PM$7:$PM$408=M$2)*('BEA Use 2017'!$C$438:$PK$438=$B12)*'BEA Use 2017'!$C$7:$PK$408)</f>
        <v/>
      </c>
      <c r="N12">
        <f>SUMPRODUCT(('BEA Use 2017'!$PM$7:$PM$408=N$2)*('BEA Use 2017'!$C$438:$PK$438=$B12)*'BEA Use 2017'!$C$7:$PK$408)</f>
        <v/>
      </c>
      <c r="O12">
        <f>SUMPRODUCT(('BEA Use 2017'!$PM$7:$PM$408=O$2)*('BEA Use 2017'!$C$438:$PK$438=$B12)*'BEA Use 2017'!$C$7:$PK$408)</f>
        <v/>
      </c>
      <c r="P12">
        <f>SUMPRODUCT(('BEA Use 2017'!$PM$7:$PM$408=P$2)*('BEA Use 2017'!$C$438:$PK$438=$B12)*'BEA Use 2017'!$C$7:$PK$408)</f>
        <v/>
      </c>
      <c r="Q12">
        <f>SUMPRODUCT(('BEA Use 2017'!$PM$7:$PM$408=Q$2)*('BEA Use 2017'!$C$438:$PK$438=$B12)*'BEA Use 2017'!$C$7:$PK$408)</f>
        <v/>
      </c>
      <c r="R12">
        <f>SUMPRODUCT(('BEA Use 2017'!$PM$7:$PM$408=R$2)*('BEA Use 2017'!$C$438:$PK$438=$B12)*'BEA Use 2017'!$C$7:$PK$408)</f>
        <v/>
      </c>
      <c r="S12">
        <f>SUMPRODUCT(('BEA Use 2017'!$PM$7:$PM$408=S$2)*('BEA Use 2017'!$C$438:$PK$438=$B12)*'BEA Use 2017'!$C$7:$PK$408)</f>
        <v/>
      </c>
      <c r="T12">
        <f>SUMPRODUCT(('BEA Use 2017'!$PM$7:$PM$408=T$2)*('BEA Use 2017'!$C$438:$PK$438=$B12)*'BEA Use 2017'!$C$7:$PK$408)</f>
        <v/>
      </c>
      <c r="U12">
        <f>SUMPRODUCT(('BEA Use 2017'!$PM$7:$PM$408=U$2)*('BEA Use 2017'!$C$438:$PK$438=$B12)*'BEA Use 2017'!$C$7:$PK$408)</f>
        <v/>
      </c>
      <c r="V12">
        <f>SUMPRODUCT(('BEA Use 2017'!$PM$7:$PM$408=V$2)*('BEA Use 2017'!$C$438:$PK$438=$B12)*'BEA Use 2017'!$C$7:$PK$408)</f>
        <v/>
      </c>
      <c r="W12">
        <f>SUMPRODUCT(('BEA Use 2017'!$PM$7:$PM$408=W$2)*('BEA Use 2017'!$C$438:$PK$438=$B12)*'BEA Use 2017'!$C$7:$PK$408)</f>
        <v/>
      </c>
      <c r="X12">
        <f>SUMPRODUCT(('BEA Use 2017'!$PM$7:$PM$408=X$2)*('BEA Use 2017'!$C$438:$PK$438=$B12)*'BEA Use 2017'!$C$7:$PK$408)</f>
        <v/>
      </c>
      <c r="Y12">
        <f>SUMPRODUCT(('BEA Use 2017'!$PM$7:$PM$408=Y$2)*('BEA Use 2017'!$C$438:$PK$438=$B12)*'BEA Use 2017'!$C$7:$PK$408)</f>
        <v/>
      </c>
      <c r="Z12">
        <f>SUMPRODUCT(('BEA Use 2017'!$PM$7:$PM$408=Z$2)*('BEA Use 2017'!$C$438:$PK$438=$B12)*'BEA Use 2017'!$C$7:$PK$408)</f>
        <v/>
      </c>
      <c r="AA12">
        <f>SUMPRODUCT(('BEA Use 2017'!$PM$7:$PM$408=AA$2)*('BEA Use 2017'!$C$438:$PK$438=$B12)*'BEA Use 2017'!$C$7:$PK$408)</f>
        <v/>
      </c>
      <c r="AB12">
        <f>SUMPRODUCT(('BEA Use 2017'!$PM$7:$PM$408=AB$2)*('BEA Use 2017'!$C$438:$PK$438=$B12)*'BEA Use 2017'!$C$7:$PK$408)</f>
        <v/>
      </c>
      <c r="AC12">
        <f>SUMPRODUCT(('BEA Use 2017'!$PM$7:$PM$408=AC$2)*('BEA Use 2017'!$C$438:$PK$438=$B12)*'BEA Use 2017'!$C$7:$PK$408)</f>
        <v/>
      </c>
      <c r="AD12">
        <f>SUMPRODUCT(('BEA Use 2017'!$PM$7:$PM$408=AD$2)*('BEA Use 2017'!$C$438:$PK$438=$B12)*'BEA Use 2017'!$C$7:$PK$408)</f>
        <v/>
      </c>
      <c r="AE12">
        <f>SUMPRODUCT(('BEA Use 2017'!$PM$7:$PM$408=AE$2)*('BEA Use 2017'!$C$438:$PK$438=$B12)*'BEA Use 2017'!$C$7:$PK$408)</f>
        <v/>
      </c>
      <c r="AF12">
        <f>SUMPRODUCT(('BEA Use 2017'!$PM$7:$PM$408=AF$2)*('BEA Use 2017'!$C$438:$PK$438=$B12)*'BEA Use 2017'!$C$7:$PK$408)</f>
        <v/>
      </c>
      <c r="AG12">
        <f>SUMPRODUCT(('BEA Use 2017'!$PM$7:$PM$408=AG$2)*('BEA Use 2017'!$C$438:$PK$438=$B12)*'BEA Use 2017'!$C$7:$PK$408)</f>
        <v/>
      </c>
      <c r="AH12">
        <f>SUMPRODUCT(('BEA Use 2017'!$PM$7:$PM$408=AH$2)*('BEA Use 2017'!$C$438:$PK$438=$B12)*'BEA Use 2017'!$C$7:$PK$408)</f>
        <v/>
      </c>
      <c r="AI12">
        <f>SUMPRODUCT(('BEA Use 2017'!$PM$7:$PM$408=AI$2)*('BEA Use 2017'!$C$438:$PK$438=$B12)*'BEA Use 2017'!$C$7:$PK$408)</f>
        <v/>
      </c>
      <c r="AJ12">
        <f>SUMPRODUCT(('BEA Use 2017'!$PM$7:$PM$408=AJ$2)*('BEA Use 2017'!$C$438:$PK$438=$B12)*'BEA Use 2017'!$C$7:$PK$408)</f>
        <v/>
      </c>
      <c r="AK12">
        <f>SUMPRODUCT(('BEA Use 2017'!$PM$7:$PM$408=AK$2)*('BEA Use 2017'!$C$438:$PK$438=$B12)*'BEA Use 2017'!$C$7:$PK$408)</f>
        <v/>
      </c>
      <c r="AL12">
        <f>SUMPRODUCT(('BEA Use 2017'!$PM$7:$PM$408=AL$2)*('BEA Use 2017'!$C$438:$PK$438=$B12)*'BEA Use 2017'!$C$7:$PK$408)</f>
        <v/>
      </c>
      <c r="AM12">
        <f>SUMPRODUCT(('BEA Use 2017'!$PM$7:$PM$408=AM$2)*('BEA Use 2017'!$C$438:$PK$438=$B12)*'BEA Use 2017'!$C$7:$PK$408)</f>
        <v/>
      </c>
      <c r="AN12">
        <f>SUMPRODUCT(('BEA Use 2017'!$PM$7:$PM$408=AN$2)*('BEA Use 2017'!$C$438:$PK$438=$B12)*'BEA Use 2017'!$C$7:$PK$408)</f>
        <v/>
      </c>
      <c r="AO12">
        <f>SUMPRODUCT(('BEA Use 2017'!$PM$7:$PM$408=AO$2)*('BEA Use 2017'!$C$438:$PK$438=$B12)*'BEA Use 2017'!$C$7:$PK$408)</f>
        <v/>
      </c>
      <c r="AP12">
        <f>SUMPRODUCT(('BEA Use 2017'!$PM$7:$PM$408=AP$2)*('BEA Use 2017'!$C$438:$PK$438=$B12)*'BEA Use 2017'!$C$7:$PK$408)</f>
        <v/>
      </c>
      <c r="AQ12">
        <f>SUMPRODUCT(('BEA Use 2017'!$PM$7:$PM$408=AQ$2)*('BEA Use 2017'!$C$438:$PK$438=$B12)*'BEA Use 2017'!$C$7:$PK$408)</f>
        <v/>
      </c>
      <c r="AR12">
        <f>SUMPRODUCT(('BEA Use 2017'!$PM$7:$PM$408=AR$2)*('BEA Use 2017'!$C$438:$PK$438=$B12)*'BEA Use 2017'!$C$7:$PK$408)</f>
        <v/>
      </c>
      <c r="AS12">
        <f>SUMPRODUCT(('BEA Use 2017'!$PM$7:$PM$408=AS$2)*('BEA Use 2017'!$C$438:$PK$438=$B12)*'BEA Use 2017'!$C$7:$PK$408)</f>
        <v/>
      </c>
      <c r="AT12">
        <f>SUMPRODUCT(('BEA Use 2017'!$PM$7:$PM$408=AT$2)*('BEA Use 2017'!$C$438:$PK$438=$B12)*'BEA Use 2017'!$C$7:$PK$408)</f>
        <v/>
      </c>
      <c r="AU12">
        <f>SUMPRODUCT(('BEA Use 2017'!$PM$7:$PM$408=AU$2)*('BEA Use 2017'!$C$438:$PK$438=$B12)*'BEA Use 2017'!$C$7:$PK$408)</f>
        <v/>
      </c>
      <c r="AV12">
        <f>SUMPRODUCT(('BEA Use 2017'!$PM$7:$PM$408=AV$2)*('BEA Use 2017'!$C$438:$PK$438=$B12)*'BEA Use 2017'!$C$7:$PK$408)</f>
        <v/>
      </c>
      <c r="AW12">
        <f>SUMPRODUCT(('BEA Use 2017'!$PM$7:$PM$408=AW$2)*('BEA Use 2017'!$C$438:$PK$438=$B12)*'BEA Use 2017'!$C$7:$PK$408)</f>
        <v/>
      </c>
      <c r="AX12">
        <f>SUMPRODUCT(('BEA Use 2017'!$PM$7:$PM$408=AX$2)*('BEA Use 2017'!$C$438:$PK$438=$B12)*'BEA Use 2017'!$C$7:$PK$408)</f>
        <v/>
      </c>
      <c r="AY12">
        <f>SUMPRODUCT(('BEA Use 2017'!$PM$7:$PM$408=AY$2)*('BEA Use 2017'!$C$438:$PK$438=$B12)*'BEA Use 2017'!$C$7:$PK$408)</f>
        <v/>
      </c>
      <c r="AZ12">
        <f>SUMPRODUCT(('BEA Use 2017'!$PM$7:$PM$408=AZ$2)*('BEA Use 2017'!$C$438:$PK$438=$B12)*'BEA Use 2017'!$C$7:$PK$408)</f>
        <v/>
      </c>
      <c r="BA12">
        <f>SUMPRODUCT(('BEA Use 2017'!$PM$7:$PM$408=BA$2)*('BEA Use 2017'!$C$438:$PK$438=$B12)*'BEA Use 2017'!$C$7:$PK$408)</f>
        <v/>
      </c>
      <c r="BB12">
        <f>SUMPRODUCT(('BEA Use 2017'!$PM$7:$PM$408=BB$2)*('BEA Use 2017'!$C$438:$PK$438=$B12)*'BEA Use 2017'!$C$7:$PK$408)</f>
        <v/>
      </c>
      <c r="BC12">
        <f>SUM(C12:BB12)</f>
        <v/>
      </c>
    </row>
    <row r="13">
      <c r="A13" t="inlineStr">
        <is>
          <t>rubber and plastic products 22</t>
        </is>
      </c>
      <c r="B13" t="inlineStr">
        <is>
          <t>ISIC 22</t>
        </is>
      </c>
      <c r="C13">
        <f>SUMPRODUCT(('BEA Use 2017'!$PM$7:$PM$408=C$2)*('BEA Use 2017'!$C$438:$PK$438=$B13)*'BEA Use 2017'!$C$7:$PK$408)</f>
        <v/>
      </c>
      <c r="D13">
        <f>SUMPRODUCT(('BEA Use 2017'!$PM$7:$PM$408=D$2)*('BEA Use 2017'!$C$438:$PK$438=$B13)*'BEA Use 2017'!$C$7:$PK$408)</f>
        <v/>
      </c>
      <c r="E13">
        <f>SUMPRODUCT(('BEA Use 2017'!$PM$7:$PM$408=E$2)*('BEA Use 2017'!$C$438:$PK$438=$B13)*'BEA Use 2017'!$C$7:$PK$408)</f>
        <v/>
      </c>
      <c r="F13">
        <f>SUMPRODUCT(('BEA Use 2017'!$PM$7:$PM$408=F$2)*('BEA Use 2017'!$C$438:$PK$438=$B13)*'BEA Use 2017'!$C$7:$PK$408)</f>
        <v/>
      </c>
      <c r="G13">
        <f>SUMPRODUCT(('BEA Use 2017'!$PM$7:$PM$408=G$2)*('BEA Use 2017'!$C$438:$PK$438=$B13)*'BEA Use 2017'!$C$7:$PK$408)</f>
        <v/>
      </c>
      <c r="H13">
        <f>SUMPRODUCT(('BEA Use 2017'!$PM$7:$PM$408=H$2)*('BEA Use 2017'!$C$438:$PK$438=$B13)*'BEA Use 2017'!$C$7:$PK$408)</f>
        <v/>
      </c>
      <c r="I13">
        <f>SUMPRODUCT(('BEA Use 2017'!$PM$7:$PM$408=I$2)*('BEA Use 2017'!$C$438:$PK$438=$B13)*'BEA Use 2017'!$C$7:$PK$408)</f>
        <v/>
      </c>
      <c r="J13">
        <f>SUMPRODUCT(('BEA Use 2017'!$PM$7:$PM$408=J$2)*('BEA Use 2017'!$C$438:$PK$438=$B13)*'BEA Use 2017'!$C$7:$PK$408)</f>
        <v/>
      </c>
      <c r="K13">
        <f>SUMPRODUCT(('BEA Use 2017'!$PM$7:$PM$408=K$2)*('BEA Use 2017'!$C$438:$PK$438=$B13)*'BEA Use 2017'!$C$7:$PK$408)</f>
        <v/>
      </c>
      <c r="L13">
        <f>SUMPRODUCT(('BEA Use 2017'!$PM$7:$PM$408=L$2)*('BEA Use 2017'!$C$438:$PK$438=$B13)*'BEA Use 2017'!$C$7:$PK$408)</f>
        <v/>
      </c>
      <c r="M13">
        <f>SUMPRODUCT(('BEA Use 2017'!$PM$7:$PM$408=M$2)*('BEA Use 2017'!$C$438:$PK$438=$B13)*'BEA Use 2017'!$C$7:$PK$408)</f>
        <v/>
      </c>
      <c r="N13">
        <f>SUMPRODUCT(('BEA Use 2017'!$PM$7:$PM$408=N$2)*('BEA Use 2017'!$C$438:$PK$438=$B13)*'BEA Use 2017'!$C$7:$PK$408)</f>
        <v/>
      </c>
      <c r="O13">
        <f>SUMPRODUCT(('BEA Use 2017'!$PM$7:$PM$408=O$2)*('BEA Use 2017'!$C$438:$PK$438=$B13)*'BEA Use 2017'!$C$7:$PK$408)</f>
        <v/>
      </c>
      <c r="P13">
        <f>SUMPRODUCT(('BEA Use 2017'!$PM$7:$PM$408=P$2)*('BEA Use 2017'!$C$438:$PK$438=$B13)*'BEA Use 2017'!$C$7:$PK$408)</f>
        <v/>
      </c>
      <c r="Q13">
        <f>SUMPRODUCT(('BEA Use 2017'!$PM$7:$PM$408=Q$2)*('BEA Use 2017'!$C$438:$PK$438=$B13)*'BEA Use 2017'!$C$7:$PK$408)</f>
        <v/>
      </c>
      <c r="R13">
        <f>SUMPRODUCT(('BEA Use 2017'!$PM$7:$PM$408=R$2)*('BEA Use 2017'!$C$438:$PK$438=$B13)*'BEA Use 2017'!$C$7:$PK$408)</f>
        <v/>
      </c>
      <c r="S13">
        <f>SUMPRODUCT(('BEA Use 2017'!$PM$7:$PM$408=S$2)*('BEA Use 2017'!$C$438:$PK$438=$B13)*'BEA Use 2017'!$C$7:$PK$408)</f>
        <v/>
      </c>
      <c r="T13">
        <f>SUMPRODUCT(('BEA Use 2017'!$PM$7:$PM$408=T$2)*('BEA Use 2017'!$C$438:$PK$438=$B13)*'BEA Use 2017'!$C$7:$PK$408)</f>
        <v/>
      </c>
      <c r="U13">
        <f>SUMPRODUCT(('BEA Use 2017'!$PM$7:$PM$408=U$2)*('BEA Use 2017'!$C$438:$PK$438=$B13)*'BEA Use 2017'!$C$7:$PK$408)</f>
        <v/>
      </c>
      <c r="V13">
        <f>SUMPRODUCT(('BEA Use 2017'!$PM$7:$PM$408=V$2)*('BEA Use 2017'!$C$438:$PK$438=$B13)*'BEA Use 2017'!$C$7:$PK$408)</f>
        <v/>
      </c>
      <c r="W13">
        <f>SUMPRODUCT(('BEA Use 2017'!$PM$7:$PM$408=W$2)*('BEA Use 2017'!$C$438:$PK$438=$B13)*'BEA Use 2017'!$C$7:$PK$408)</f>
        <v/>
      </c>
      <c r="X13">
        <f>SUMPRODUCT(('BEA Use 2017'!$PM$7:$PM$408=X$2)*('BEA Use 2017'!$C$438:$PK$438=$B13)*'BEA Use 2017'!$C$7:$PK$408)</f>
        <v/>
      </c>
      <c r="Y13">
        <f>SUMPRODUCT(('BEA Use 2017'!$PM$7:$PM$408=Y$2)*('BEA Use 2017'!$C$438:$PK$438=$B13)*'BEA Use 2017'!$C$7:$PK$408)</f>
        <v/>
      </c>
      <c r="Z13">
        <f>SUMPRODUCT(('BEA Use 2017'!$PM$7:$PM$408=Z$2)*('BEA Use 2017'!$C$438:$PK$438=$B13)*'BEA Use 2017'!$C$7:$PK$408)</f>
        <v/>
      </c>
      <c r="AA13">
        <f>SUMPRODUCT(('BEA Use 2017'!$PM$7:$PM$408=AA$2)*('BEA Use 2017'!$C$438:$PK$438=$B13)*'BEA Use 2017'!$C$7:$PK$408)</f>
        <v/>
      </c>
      <c r="AB13">
        <f>SUMPRODUCT(('BEA Use 2017'!$PM$7:$PM$408=AB$2)*('BEA Use 2017'!$C$438:$PK$438=$B13)*'BEA Use 2017'!$C$7:$PK$408)</f>
        <v/>
      </c>
      <c r="AC13">
        <f>SUMPRODUCT(('BEA Use 2017'!$PM$7:$PM$408=AC$2)*('BEA Use 2017'!$C$438:$PK$438=$B13)*'BEA Use 2017'!$C$7:$PK$408)</f>
        <v/>
      </c>
      <c r="AD13">
        <f>SUMPRODUCT(('BEA Use 2017'!$PM$7:$PM$408=AD$2)*('BEA Use 2017'!$C$438:$PK$438=$B13)*'BEA Use 2017'!$C$7:$PK$408)</f>
        <v/>
      </c>
      <c r="AE13">
        <f>SUMPRODUCT(('BEA Use 2017'!$PM$7:$PM$408=AE$2)*('BEA Use 2017'!$C$438:$PK$438=$B13)*'BEA Use 2017'!$C$7:$PK$408)</f>
        <v/>
      </c>
      <c r="AF13">
        <f>SUMPRODUCT(('BEA Use 2017'!$PM$7:$PM$408=AF$2)*('BEA Use 2017'!$C$438:$PK$438=$B13)*'BEA Use 2017'!$C$7:$PK$408)</f>
        <v/>
      </c>
      <c r="AG13">
        <f>SUMPRODUCT(('BEA Use 2017'!$PM$7:$PM$408=AG$2)*('BEA Use 2017'!$C$438:$PK$438=$B13)*'BEA Use 2017'!$C$7:$PK$408)</f>
        <v/>
      </c>
      <c r="AH13">
        <f>SUMPRODUCT(('BEA Use 2017'!$PM$7:$PM$408=AH$2)*('BEA Use 2017'!$C$438:$PK$438=$B13)*'BEA Use 2017'!$C$7:$PK$408)</f>
        <v/>
      </c>
      <c r="AI13">
        <f>SUMPRODUCT(('BEA Use 2017'!$PM$7:$PM$408=AI$2)*('BEA Use 2017'!$C$438:$PK$438=$B13)*'BEA Use 2017'!$C$7:$PK$408)</f>
        <v/>
      </c>
      <c r="AJ13">
        <f>SUMPRODUCT(('BEA Use 2017'!$PM$7:$PM$408=AJ$2)*('BEA Use 2017'!$C$438:$PK$438=$B13)*'BEA Use 2017'!$C$7:$PK$408)</f>
        <v/>
      </c>
      <c r="AK13">
        <f>SUMPRODUCT(('BEA Use 2017'!$PM$7:$PM$408=AK$2)*('BEA Use 2017'!$C$438:$PK$438=$B13)*'BEA Use 2017'!$C$7:$PK$408)</f>
        <v/>
      </c>
      <c r="AL13">
        <f>SUMPRODUCT(('BEA Use 2017'!$PM$7:$PM$408=AL$2)*('BEA Use 2017'!$C$438:$PK$438=$B13)*'BEA Use 2017'!$C$7:$PK$408)</f>
        <v/>
      </c>
      <c r="AM13">
        <f>SUMPRODUCT(('BEA Use 2017'!$PM$7:$PM$408=AM$2)*('BEA Use 2017'!$C$438:$PK$438=$B13)*'BEA Use 2017'!$C$7:$PK$408)</f>
        <v/>
      </c>
      <c r="AN13">
        <f>SUMPRODUCT(('BEA Use 2017'!$PM$7:$PM$408=AN$2)*('BEA Use 2017'!$C$438:$PK$438=$B13)*'BEA Use 2017'!$C$7:$PK$408)</f>
        <v/>
      </c>
      <c r="AO13">
        <f>SUMPRODUCT(('BEA Use 2017'!$PM$7:$PM$408=AO$2)*('BEA Use 2017'!$C$438:$PK$438=$B13)*'BEA Use 2017'!$C$7:$PK$408)</f>
        <v/>
      </c>
      <c r="AP13">
        <f>SUMPRODUCT(('BEA Use 2017'!$PM$7:$PM$408=AP$2)*('BEA Use 2017'!$C$438:$PK$438=$B13)*'BEA Use 2017'!$C$7:$PK$408)</f>
        <v/>
      </c>
      <c r="AQ13">
        <f>SUMPRODUCT(('BEA Use 2017'!$PM$7:$PM$408=AQ$2)*('BEA Use 2017'!$C$438:$PK$438=$B13)*'BEA Use 2017'!$C$7:$PK$408)</f>
        <v/>
      </c>
      <c r="AR13">
        <f>SUMPRODUCT(('BEA Use 2017'!$PM$7:$PM$408=AR$2)*('BEA Use 2017'!$C$438:$PK$438=$B13)*'BEA Use 2017'!$C$7:$PK$408)</f>
        <v/>
      </c>
      <c r="AS13">
        <f>SUMPRODUCT(('BEA Use 2017'!$PM$7:$PM$408=AS$2)*('BEA Use 2017'!$C$438:$PK$438=$B13)*'BEA Use 2017'!$C$7:$PK$408)</f>
        <v/>
      </c>
      <c r="AT13">
        <f>SUMPRODUCT(('BEA Use 2017'!$PM$7:$PM$408=AT$2)*('BEA Use 2017'!$C$438:$PK$438=$B13)*'BEA Use 2017'!$C$7:$PK$408)</f>
        <v/>
      </c>
      <c r="AU13">
        <f>SUMPRODUCT(('BEA Use 2017'!$PM$7:$PM$408=AU$2)*('BEA Use 2017'!$C$438:$PK$438=$B13)*'BEA Use 2017'!$C$7:$PK$408)</f>
        <v/>
      </c>
      <c r="AV13">
        <f>SUMPRODUCT(('BEA Use 2017'!$PM$7:$PM$408=AV$2)*('BEA Use 2017'!$C$438:$PK$438=$B13)*'BEA Use 2017'!$C$7:$PK$408)</f>
        <v/>
      </c>
      <c r="AW13">
        <f>SUMPRODUCT(('BEA Use 2017'!$PM$7:$PM$408=AW$2)*('BEA Use 2017'!$C$438:$PK$438=$B13)*'BEA Use 2017'!$C$7:$PK$408)</f>
        <v/>
      </c>
      <c r="AX13">
        <f>SUMPRODUCT(('BEA Use 2017'!$PM$7:$PM$408=AX$2)*('BEA Use 2017'!$C$438:$PK$438=$B13)*'BEA Use 2017'!$C$7:$PK$408)</f>
        <v/>
      </c>
      <c r="AY13">
        <f>SUMPRODUCT(('BEA Use 2017'!$PM$7:$PM$408=AY$2)*('BEA Use 2017'!$C$438:$PK$438=$B13)*'BEA Use 2017'!$C$7:$PK$408)</f>
        <v/>
      </c>
      <c r="AZ13">
        <f>SUMPRODUCT(('BEA Use 2017'!$PM$7:$PM$408=AZ$2)*('BEA Use 2017'!$C$438:$PK$438=$B13)*'BEA Use 2017'!$C$7:$PK$408)</f>
        <v/>
      </c>
      <c r="BA13">
        <f>SUMPRODUCT(('BEA Use 2017'!$PM$7:$PM$408=BA$2)*('BEA Use 2017'!$C$438:$PK$438=$B13)*'BEA Use 2017'!$C$7:$PK$408)</f>
        <v/>
      </c>
      <c r="BB13">
        <f>SUMPRODUCT(('BEA Use 2017'!$PM$7:$PM$408=BB$2)*('BEA Use 2017'!$C$438:$PK$438=$B13)*'BEA Use 2017'!$C$7:$PK$408)</f>
        <v/>
      </c>
      <c r="BC13">
        <f>SUM(C13:BB13)</f>
        <v/>
      </c>
    </row>
    <row r="14">
      <c r="A14" t="inlineStr">
        <is>
          <t>glass and glass products 231</t>
        </is>
      </c>
      <c r="B14" t="inlineStr">
        <is>
          <t>ISIC 231</t>
        </is>
      </c>
      <c r="C14">
        <f>SUMPRODUCT(('BEA Use 2017'!$PM$7:$PM$408=C$2)*('BEA Use 2017'!$C$438:$PK$438=$B14)*'BEA Use 2017'!$C$7:$PK$408)</f>
        <v/>
      </c>
      <c r="D14">
        <f>SUMPRODUCT(('BEA Use 2017'!$PM$7:$PM$408=D$2)*('BEA Use 2017'!$C$438:$PK$438=$B14)*'BEA Use 2017'!$C$7:$PK$408)</f>
        <v/>
      </c>
      <c r="E14">
        <f>SUMPRODUCT(('BEA Use 2017'!$PM$7:$PM$408=E$2)*('BEA Use 2017'!$C$438:$PK$438=$B14)*'BEA Use 2017'!$C$7:$PK$408)</f>
        <v/>
      </c>
      <c r="F14">
        <f>SUMPRODUCT(('BEA Use 2017'!$PM$7:$PM$408=F$2)*('BEA Use 2017'!$C$438:$PK$438=$B14)*'BEA Use 2017'!$C$7:$PK$408)</f>
        <v/>
      </c>
      <c r="G14">
        <f>SUMPRODUCT(('BEA Use 2017'!$PM$7:$PM$408=G$2)*('BEA Use 2017'!$C$438:$PK$438=$B14)*'BEA Use 2017'!$C$7:$PK$408)</f>
        <v/>
      </c>
      <c r="H14">
        <f>SUMPRODUCT(('BEA Use 2017'!$PM$7:$PM$408=H$2)*('BEA Use 2017'!$C$438:$PK$438=$B14)*'BEA Use 2017'!$C$7:$PK$408)</f>
        <v/>
      </c>
      <c r="I14">
        <f>SUMPRODUCT(('BEA Use 2017'!$PM$7:$PM$408=I$2)*('BEA Use 2017'!$C$438:$PK$438=$B14)*'BEA Use 2017'!$C$7:$PK$408)</f>
        <v/>
      </c>
      <c r="J14">
        <f>SUMPRODUCT(('BEA Use 2017'!$PM$7:$PM$408=J$2)*('BEA Use 2017'!$C$438:$PK$438=$B14)*'BEA Use 2017'!$C$7:$PK$408)</f>
        <v/>
      </c>
      <c r="K14">
        <f>SUMPRODUCT(('BEA Use 2017'!$PM$7:$PM$408=K$2)*('BEA Use 2017'!$C$438:$PK$438=$B14)*'BEA Use 2017'!$C$7:$PK$408)</f>
        <v/>
      </c>
      <c r="L14">
        <f>SUMPRODUCT(('BEA Use 2017'!$PM$7:$PM$408=L$2)*('BEA Use 2017'!$C$438:$PK$438=$B14)*'BEA Use 2017'!$C$7:$PK$408)</f>
        <v/>
      </c>
      <c r="M14">
        <f>SUMPRODUCT(('BEA Use 2017'!$PM$7:$PM$408=M$2)*('BEA Use 2017'!$C$438:$PK$438=$B14)*'BEA Use 2017'!$C$7:$PK$408)</f>
        <v/>
      </c>
      <c r="N14">
        <f>SUMPRODUCT(('BEA Use 2017'!$PM$7:$PM$408=N$2)*('BEA Use 2017'!$C$438:$PK$438=$B14)*'BEA Use 2017'!$C$7:$PK$408)</f>
        <v/>
      </c>
      <c r="O14">
        <f>SUMPRODUCT(('BEA Use 2017'!$PM$7:$PM$408=O$2)*('BEA Use 2017'!$C$438:$PK$438=$B14)*'BEA Use 2017'!$C$7:$PK$408)</f>
        <v/>
      </c>
      <c r="P14">
        <f>SUMPRODUCT(('BEA Use 2017'!$PM$7:$PM$408=P$2)*('BEA Use 2017'!$C$438:$PK$438=$B14)*'BEA Use 2017'!$C$7:$PK$408)</f>
        <v/>
      </c>
      <c r="Q14">
        <f>SUMPRODUCT(('BEA Use 2017'!$PM$7:$PM$408=Q$2)*('BEA Use 2017'!$C$438:$PK$438=$B14)*'BEA Use 2017'!$C$7:$PK$408)</f>
        <v/>
      </c>
      <c r="R14">
        <f>SUMPRODUCT(('BEA Use 2017'!$PM$7:$PM$408=R$2)*('BEA Use 2017'!$C$438:$PK$438=$B14)*'BEA Use 2017'!$C$7:$PK$408)</f>
        <v/>
      </c>
      <c r="S14">
        <f>SUMPRODUCT(('BEA Use 2017'!$PM$7:$PM$408=S$2)*('BEA Use 2017'!$C$438:$PK$438=$B14)*'BEA Use 2017'!$C$7:$PK$408)</f>
        <v/>
      </c>
      <c r="T14">
        <f>SUMPRODUCT(('BEA Use 2017'!$PM$7:$PM$408=T$2)*('BEA Use 2017'!$C$438:$PK$438=$B14)*'BEA Use 2017'!$C$7:$PK$408)</f>
        <v/>
      </c>
      <c r="U14">
        <f>SUMPRODUCT(('BEA Use 2017'!$PM$7:$PM$408=U$2)*('BEA Use 2017'!$C$438:$PK$438=$B14)*'BEA Use 2017'!$C$7:$PK$408)</f>
        <v/>
      </c>
      <c r="V14">
        <f>SUMPRODUCT(('BEA Use 2017'!$PM$7:$PM$408=V$2)*('BEA Use 2017'!$C$438:$PK$438=$B14)*'BEA Use 2017'!$C$7:$PK$408)</f>
        <v/>
      </c>
      <c r="W14">
        <f>SUMPRODUCT(('BEA Use 2017'!$PM$7:$PM$408=W$2)*('BEA Use 2017'!$C$438:$PK$438=$B14)*'BEA Use 2017'!$C$7:$PK$408)</f>
        <v/>
      </c>
      <c r="X14">
        <f>SUMPRODUCT(('BEA Use 2017'!$PM$7:$PM$408=X$2)*('BEA Use 2017'!$C$438:$PK$438=$B14)*'BEA Use 2017'!$C$7:$PK$408)</f>
        <v/>
      </c>
      <c r="Y14">
        <f>SUMPRODUCT(('BEA Use 2017'!$PM$7:$PM$408=Y$2)*('BEA Use 2017'!$C$438:$PK$438=$B14)*'BEA Use 2017'!$C$7:$PK$408)</f>
        <v/>
      </c>
      <c r="Z14">
        <f>SUMPRODUCT(('BEA Use 2017'!$PM$7:$PM$408=Z$2)*('BEA Use 2017'!$C$438:$PK$438=$B14)*'BEA Use 2017'!$C$7:$PK$408)</f>
        <v/>
      </c>
      <c r="AA14">
        <f>SUMPRODUCT(('BEA Use 2017'!$PM$7:$PM$408=AA$2)*('BEA Use 2017'!$C$438:$PK$438=$B14)*'BEA Use 2017'!$C$7:$PK$408)</f>
        <v/>
      </c>
      <c r="AB14">
        <f>SUMPRODUCT(('BEA Use 2017'!$PM$7:$PM$408=AB$2)*('BEA Use 2017'!$C$438:$PK$438=$B14)*'BEA Use 2017'!$C$7:$PK$408)</f>
        <v/>
      </c>
      <c r="AC14">
        <f>SUMPRODUCT(('BEA Use 2017'!$PM$7:$PM$408=AC$2)*('BEA Use 2017'!$C$438:$PK$438=$B14)*'BEA Use 2017'!$C$7:$PK$408)</f>
        <v/>
      </c>
      <c r="AD14">
        <f>SUMPRODUCT(('BEA Use 2017'!$PM$7:$PM$408=AD$2)*('BEA Use 2017'!$C$438:$PK$438=$B14)*'BEA Use 2017'!$C$7:$PK$408)</f>
        <v/>
      </c>
      <c r="AE14">
        <f>SUMPRODUCT(('BEA Use 2017'!$PM$7:$PM$408=AE$2)*('BEA Use 2017'!$C$438:$PK$438=$B14)*'BEA Use 2017'!$C$7:$PK$408)</f>
        <v/>
      </c>
      <c r="AF14">
        <f>SUMPRODUCT(('BEA Use 2017'!$PM$7:$PM$408=AF$2)*('BEA Use 2017'!$C$438:$PK$438=$B14)*'BEA Use 2017'!$C$7:$PK$408)</f>
        <v/>
      </c>
      <c r="AG14">
        <f>SUMPRODUCT(('BEA Use 2017'!$PM$7:$PM$408=AG$2)*('BEA Use 2017'!$C$438:$PK$438=$B14)*'BEA Use 2017'!$C$7:$PK$408)</f>
        <v/>
      </c>
      <c r="AH14">
        <f>SUMPRODUCT(('BEA Use 2017'!$PM$7:$PM$408=AH$2)*('BEA Use 2017'!$C$438:$PK$438=$B14)*'BEA Use 2017'!$C$7:$PK$408)</f>
        <v/>
      </c>
      <c r="AI14">
        <f>SUMPRODUCT(('BEA Use 2017'!$PM$7:$PM$408=AI$2)*('BEA Use 2017'!$C$438:$PK$438=$B14)*'BEA Use 2017'!$C$7:$PK$408)</f>
        <v/>
      </c>
      <c r="AJ14">
        <f>SUMPRODUCT(('BEA Use 2017'!$PM$7:$PM$408=AJ$2)*('BEA Use 2017'!$C$438:$PK$438=$B14)*'BEA Use 2017'!$C$7:$PK$408)</f>
        <v/>
      </c>
      <c r="AK14">
        <f>SUMPRODUCT(('BEA Use 2017'!$PM$7:$PM$408=AK$2)*('BEA Use 2017'!$C$438:$PK$438=$B14)*'BEA Use 2017'!$C$7:$PK$408)</f>
        <v/>
      </c>
      <c r="AL14">
        <f>SUMPRODUCT(('BEA Use 2017'!$PM$7:$PM$408=AL$2)*('BEA Use 2017'!$C$438:$PK$438=$B14)*'BEA Use 2017'!$C$7:$PK$408)</f>
        <v/>
      </c>
      <c r="AM14">
        <f>SUMPRODUCT(('BEA Use 2017'!$PM$7:$PM$408=AM$2)*('BEA Use 2017'!$C$438:$PK$438=$B14)*'BEA Use 2017'!$C$7:$PK$408)</f>
        <v/>
      </c>
      <c r="AN14">
        <f>SUMPRODUCT(('BEA Use 2017'!$PM$7:$PM$408=AN$2)*('BEA Use 2017'!$C$438:$PK$438=$B14)*'BEA Use 2017'!$C$7:$PK$408)</f>
        <v/>
      </c>
      <c r="AO14">
        <f>SUMPRODUCT(('BEA Use 2017'!$PM$7:$PM$408=AO$2)*('BEA Use 2017'!$C$438:$PK$438=$B14)*'BEA Use 2017'!$C$7:$PK$408)</f>
        <v/>
      </c>
      <c r="AP14">
        <f>SUMPRODUCT(('BEA Use 2017'!$PM$7:$PM$408=AP$2)*('BEA Use 2017'!$C$438:$PK$438=$B14)*'BEA Use 2017'!$C$7:$PK$408)</f>
        <v/>
      </c>
      <c r="AQ14">
        <f>SUMPRODUCT(('BEA Use 2017'!$PM$7:$PM$408=AQ$2)*('BEA Use 2017'!$C$438:$PK$438=$B14)*'BEA Use 2017'!$C$7:$PK$408)</f>
        <v/>
      </c>
      <c r="AR14">
        <f>SUMPRODUCT(('BEA Use 2017'!$PM$7:$PM$408=AR$2)*('BEA Use 2017'!$C$438:$PK$438=$B14)*'BEA Use 2017'!$C$7:$PK$408)</f>
        <v/>
      </c>
      <c r="AS14">
        <f>SUMPRODUCT(('BEA Use 2017'!$PM$7:$PM$408=AS$2)*('BEA Use 2017'!$C$438:$PK$438=$B14)*'BEA Use 2017'!$C$7:$PK$408)</f>
        <v/>
      </c>
      <c r="AT14">
        <f>SUMPRODUCT(('BEA Use 2017'!$PM$7:$PM$408=AT$2)*('BEA Use 2017'!$C$438:$PK$438=$B14)*'BEA Use 2017'!$C$7:$PK$408)</f>
        <v/>
      </c>
      <c r="AU14">
        <f>SUMPRODUCT(('BEA Use 2017'!$PM$7:$PM$408=AU$2)*('BEA Use 2017'!$C$438:$PK$438=$B14)*'BEA Use 2017'!$C$7:$PK$408)</f>
        <v/>
      </c>
      <c r="AV14">
        <f>SUMPRODUCT(('BEA Use 2017'!$PM$7:$PM$408=AV$2)*('BEA Use 2017'!$C$438:$PK$438=$B14)*'BEA Use 2017'!$C$7:$PK$408)</f>
        <v/>
      </c>
      <c r="AW14">
        <f>SUMPRODUCT(('BEA Use 2017'!$PM$7:$PM$408=AW$2)*('BEA Use 2017'!$C$438:$PK$438=$B14)*'BEA Use 2017'!$C$7:$PK$408)</f>
        <v/>
      </c>
      <c r="AX14">
        <f>SUMPRODUCT(('BEA Use 2017'!$PM$7:$PM$408=AX$2)*('BEA Use 2017'!$C$438:$PK$438=$B14)*'BEA Use 2017'!$C$7:$PK$408)</f>
        <v/>
      </c>
      <c r="AY14">
        <f>SUMPRODUCT(('BEA Use 2017'!$PM$7:$PM$408=AY$2)*('BEA Use 2017'!$C$438:$PK$438=$B14)*'BEA Use 2017'!$C$7:$PK$408)</f>
        <v/>
      </c>
      <c r="AZ14">
        <f>SUMPRODUCT(('BEA Use 2017'!$PM$7:$PM$408=AZ$2)*('BEA Use 2017'!$C$438:$PK$438=$B14)*'BEA Use 2017'!$C$7:$PK$408)</f>
        <v/>
      </c>
      <c r="BA14">
        <f>SUMPRODUCT(('BEA Use 2017'!$PM$7:$PM$408=BA$2)*('BEA Use 2017'!$C$438:$PK$438=$B14)*'BEA Use 2017'!$C$7:$PK$408)</f>
        <v/>
      </c>
      <c r="BB14">
        <f>SUMPRODUCT(('BEA Use 2017'!$PM$7:$PM$408=BB$2)*('BEA Use 2017'!$C$438:$PK$438=$B14)*'BEA Use 2017'!$C$7:$PK$408)</f>
        <v/>
      </c>
      <c r="BC14">
        <f>SUM(C14:BB14)</f>
        <v/>
      </c>
    </row>
    <row r="15">
      <c r="A15" t="inlineStr">
        <is>
          <t>cement and other nonmetallic minerals 239</t>
        </is>
      </c>
      <c r="B15" t="inlineStr">
        <is>
          <t>ISIC 239</t>
        </is>
      </c>
      <c r="C15">
        <f>SUMPRODUCT(('BEA Use 2017'!$PM$7:$PM$408=C$2)*('BEA Use 2017'!$C$438:$PK$438=$B15)*'BEA Use 2017'!$C$7:$PK$408)</f>
        <v/>
      </c>
      <c r="D15">
        <f>SUMPRODUCT(('BEA Use 2017'!$PM$7:$PM$408=D$2)*('BEA Use 2017'!$C$438:$PK$438=$B15)*'BEA Use 2017'!$C$7:$PK$408)</f>
        <v/>
      </c>
      <c r="E15">
        <f>SUMPRODUCT(('BEA Use 2017'!$PM$7:$PM$408=E$2)*('BEA Use 2017'!$C$438:$PK$438=$B15)*'BEA Use 2017'!$C$7:$PK$408)</f>
        <v/>
      </c>
      <c r="F15">
        <f>SUMPRODUCT(('BEA Use 2017'!$PM$7:$PM$408=F$2)*('BEA Use 2017'!$C$438:$PK$438=$B15)*'BEA Use 2017'!$C$7:$PK$408)</f>
        <v/>
      </c>
      <c r="G15">
        <f>SUMPRODUCT(('BEA Use 2017'!$PM$7:$PM$408=G$2)*('BEA Use 2017'!$C$438:$PK$438=$B15)*'BEA Use 2017'!$C$7:$PK$408)</f>
        <v/>
      </c>
      <c r="H15">
        <f>SUMPRODUCT(('BEA Use 2017'!$PM$7:$PM$408=H$2)*('BEA Use 2017'!$C$438:$PK$438=$B15)*'BEA Use 2017'!$C$7:$PK$408)</f>
        <v/>
      </c>
      <c r="I15">
        <f>SUMPRODUCT(('BEA Use 2017'!$PM$7:$PM$408=I$2)*('BEA Use 2017'!$C$438:$PK$438=$B15)*'BEA Use 2017'!$C$7:$PK$408)</f>
        <v/>
      </c>
      <c r="J15">
        <f>SUMPRODUCT(('BEA Use 2017'!$PM$7:$PM$408=J$2)*('BEA Use 2017'!$C$438:$PK$438=$B15)*'BEA Use 2017'!$C$7:$PK$408)</f>
        <v/>
      </c>
      <c r="K15">
        <f>SUMPRODUCT(('BEA Use 2017'!$PM$7:$PM$408=K$2)*('BEA Use 2017'!$C$438:$PK$438=$B15)*'BEA Use 2017'!$C$7:$PK$408)</f>
        <v/>
      </c>
      <c r="L15">
        <f>SUMPRODUCT(('BEA Use 2017'!$PM$7:$PM$408=L$2)*('BEA Use 2017'!$C$438:$PK$438=$B15)*'BEA Use 2017'!$C$7:$PK$408)</f>
        <v/>
      </c>
      <c r="M15">
        <f>SUMPRODUCT(('BEA Use 2017'!$PM$7:$PM$408=M$2)*('BEA Use 2017'!$C$438:$PK$438=$B15)*'BEA Use 2017'!$C$7:$PK$408)</f>
        <v/>
      </c>
      <c r="N15">
        <f>SUMPRODUCT(('BEA Use 2017'!$PM$7:$PM$408=N$2)*('BEA Use 2017'!$C$438:$PK$438=$B15)*'BEA Use 2017'!$C$7:$PK$408)</f>
        <v/>
      </c>
      <c r="O15">
        <f>SUMPRODUCT(('BEA Use 2017'!$PM$7:$PM$408=O$2)*('BEA Use 2017'!$C$438:$PK$438=$B15)*'BEA Use 2017'!$C$7:$PK$408)</f>
        <v/>
      </c>
      <c r="P15">
        <f>SUMPRODUCT(('BEA Use 2017'!$PM$7:$PM$408=P$2)*('BEA Use 2017'!$C$438:$PK$438=$B15)*'BEA Use 2017'!$C$7:$PK$408)</f>
        <v/>
      </c>
      <c r="Q15">
        <f>SUMPRODUCT(('BEA Use 2017'!$PM$7:$PM$408=Q$2)*('BEA Use 2017'!$C$438:$PK$438=$B15)*'BEA Use 2017'!$C$7:$PK$408)</f>
        <v/>
      </c>
      <c r="R15">
        <f>SUMPRODUCT(('BEA Use 2017'!$PM$7:$PM$408=R$2)*('BEA Use 2017'!$C$438:$PK$438=$B15)*'BEA Use 2017'!$C$7:$PK$408)</f>
        <v/>
      </c>
      <c r="S15">
        <f>SUMPRODUCT(('BEA Use 2017'!$PM$7:$PM$408=S$2)*('BEA Use 2017'!$C$438:$PK$438=$B15)*'BEA Use 2017'!$C$7:$PK$408)</f>
        <v/>
      </c>
      <c r="T15">
        <f>SUMPRODUCT(('BEA Use 2017'!$PM$7:$PM$408=T$2)*('BEA Use 2017'!$C$438:$PK$438=$B15)*'BEA Use 2017'!$C$7:$PK$408)</f>
        <v/>
      </c>
      <c r="U15">
        <f>SUMPRODUCT(('BEA Use 2017'!$PM$7:$PM$408=U$2)*('BEA Use 2017'!$C$438:$PK$438=$B15)*'BEA Use 2017'!$C$7:$PK$408)</f>
        <v/>
      </c>
      <c r="V15">
        <f>SUMPRODUCT(('BEA Use 2017'!$PM$7:$PM$408=V$2)*('BEA Use 2017'!$C$438:$PK$438=$B15)*'BEA Use 2017'!$C$7:$PK$408)</f>
        <v/>
      </c>
      <c r="W15">
        <f>SUMPRODUCT(('BEA Use 2017'!$PM$7:$PM$408=W$2)*('BEA Use 2017'!$C$438:$PK$438=$B15)*'BEA Use 2017'!$C$7:$PK$408)</f>
        <v/>
      </c>
      <c r="X15">
        <f>SUMPRODUCT(('BEA Use 2017'!$PM$7:$PM$408=X$2)*('BEA Use 2017'!$C$438:$PK$438=$B15)*'BEA Use 2017'!$C$7:$PK$408)</f>
        <v/>
      </c>
      <c r="Y15">
        <f>SUMPRODUCT(('BEA Use 2017'!$PM$7:$PM$408=Y$2)*('BEA Use 2017'!$C$438:$PK$438=$B15)*'BEA Use 2017'!$C$7:$PK$408)</f>
        <v/>
      </c>
      <c r="Z15">
        <f>SUMPRODUCT(('BEA Use 2017'!$PM$7:$PM$408=Z$2)*('BEA Use 2017'!$C$438:$PK$438=$B15)*'BEA Use 2017'!$C$7:$PK$408)</f>
        <v/>
      </c>
      <c r="AA15">
        <f>SUMPRODUCT(('BEA Use 2017'!$PM$7:$PM$408=AA$2)*('BEA Use 2017'!$C$438:$PK$438=$B15)*'BEA Use 2017'!$C$7:$PK$408)</f>
        <v/>
      </c>
      <c r="AB15">
        <f>SUMPRODUCT(('BEA Use 2017'!$PM$7:$PM$408=AB$2)*('BEA Use 2017'!$C$438:$PK$438=$B15)*'BEA Use 2017'!$C$7:$PK$408)</f>
        <v/>
      </c>
      <c r="AC15">
        <f>SUMPRODUCT(('BEA Use 2017'!$PM$7:$PM$408=AC$2)*('BEA Use 2017'!$C$438:$PK$438=$B15)*'BEA Use 2017'!$C$7:$PK$408)</f>
        <v/>
      </c>
      <c r="AD15">
        <f>SUMPRODUCT(('BEA Use 2017'!$PM$7:$PM$408=AD$2)*('BEA Use 2017'!$C$438:$PK$438=$B15)*'BEA Use 2017'!$C$7:$PK$408)</f>
        <v/>
      </c>
      <c r="AE15">
        <f>SUMPRODUCT(('BEA Use 2017'!$PM$7:$PM$408=AE$2)*('BEA Use 2017'!$C$438:$PK$438=$B15)*'BEA Use 2017'!$C$7:$PK$408)</f>
        <v/>
      </c>
      <c r="AF15">
        <f>SUMPRODUCT(('BEA Use 2017'!$PM$7:$PM$408=AF$2)*('BEA Use 2017'!$C$438:$PK$438=$B15)*'BEA Use 2017'!$C$7:$PK$408)</f>
        <v/>
      </c>
      <c r="AG15">
        <f>SUMPRODUCT(('BEA Use 2017'!$PM$7:$PM$408=AG$2)*('BEA Use 2017'!$C$438:$PK$438=$B15)*'BEA Use 2017'!$C$7:$PK$408)</f>
        <v/>
      </c>
      <c r="AH15">
        <f>SUMPRODUCT(('BEA Use 2017'!$PM$7:$PM$408=AH$2)*('BEA Use 2017'!$C$438:$PK$438=$B15)*'BEA Use 2017'!$C$7:$PK$408)</f>
        <v/>
      </c>
      <c r="AI15">
        <f>SUMPRODUCT(('BEA Use 2017'!$PM$7:$PM$408=AI$2)*('BEA Use 2017'!$C$438:$PK$438=$B15)*'BEA Use 2017'!$C$7:$PK$408)</f>
        <v/>
      </c>
      <c r="AJ15">
        <f>SUMPRODUCT(('BEA Use 2017'!$PM$7:$PM$408=AJ$2)*('BEA Use 2017'!$C$438:$PK$438=$B15)*'BEA Use 2017'!$C$7:$PK$408)</f>
        <v/>
      </c>
      <c r="AK15">
        <f>SUMPRODUCT(('BEA Use 2017'!$PM$7:$PM$408=AK$2)*('BEA Use 2017'!$C$438:$PK$438=$B15)*'BEA Use 2017'!$C$7:$PK$408)</f>
        <v/>
      </c>
      <c r="AL15">
        <f>SUMPRODUCT(('BEA Use 2017'!$PM$7:$PM$408=AL$2)*('BEA Use 2017'!$C$438:$PK$438=$B15)*'BEA Use 2017'!$C$7:$PK$408)</f>
        <v/>
      </c>
      <c r="AM15">
        <f>SUMPRODUCT(('BEA Use 2017'!$PM$7:$PM$408=AM$2)*('BEA Use 2017'!$C$438:$PK$438=$B15)*'BEA Use 2017'!$C$7:$PK$408)</f>
        <v/>
      </c>
      <c r="AN15">
        <f>SUMPRODUCT(('BEA Use 2017'!$PM$7:$PM$408=AN$2)*('BEA Use 2017'!$C$438:$PK$438=$B15)*'BEA Use 2017'!$C$7:$PK$408)</f>
        <v/>
      </c>
      <c r="AO15">
        <f>SUMPRODUCT(('BEA Use 2017'!$PM$7:$PM$408=AO$2)*('BEA Use 2017'!$C$438:$PK$438=$B15)*'BEA Use 2017'!$C$7:$PK$408)</f>
        <v/>
      </c>
      <c r="AP15">
        <f>SUMPRODUCT(('BEA Use 2017'!$PM$7:$PM$408=AP$2)*('BEA Use 2017'!$C$438:$PK$438=$B15)*'BEA Use 2017'!$C$7:$PK$408)</f>
        <v/>
      </c>
      <c r="AQ15">
        <f>SUMPRODUCT(('BEA Use 2017'!$PM$7:$PM$408=AQ$2)*('BEA Use 2017'!$C$438:$PK$438=$B15)*'BEA Use 2017'!$C$7:$PK$408)</f>
        <v/>
      </c>
      <c r="AR15">
        <f>SUMPRODUCT(('BEA Use 2017'!$PM$7:$PM$408=AR$2)*('BEA Use 2017'!$C$438:$PK$438=$B15)*'BEA Use 2017'!$C$7:$PK$408)</f>
        <v/>
      </c>
      <c r="AS15">
        <f>SUMPRODUCT(('BEA Use 2017'!$PM$7:$PM$408=AS$2)*('BEA Use 2017'!$C$438:$PK$438=$B15)*'BEA Use 2017'!$C$7:$PK$408)</f>
        <v/>
      </c>
      <c r="AT15">
        <f>SUMPRODUCT(('BEA Use 2017'!$PM$7:$PM$408=AT$2)*('BEA Use 2017'!$C$438:$PK$438=$B15)*'BEA Use 2017'!$C$7:$PK$408)</f>
        <v/>
      </c>
      <c r="AU15">
        <f>SUMPRODUCT(('BEA Use 2017'!$PM$7:$PM$408=AU$2)*('BEA Use 2017'!$C$438:$PK$438=$B15)*'BEA Use 2017'!$C$7:$PK$408)</f>
        <v/>
      </c>
      <c r="AV15">
        <f>SUMPRODUCT(('BEA Use 2017'!$PM$7:$PM$408=AV$2)*('BEA Use 2017'!$C$438:$PK$438=$B15)*'BEA Use 2017'!$C$7:$PK$408)</f>
        <v/>
      </c>
      <c r="AW15">
        <f>SUMPRODUCT(('BEA Use 2017'!$PM$7:$PM$408=AW$2)*('BEA Use 2017'!$C$438:$PK$438=$B15)*'BEA Use 2017'!$C$7:$PK$408)</f>
        <v/>
      </c>
      <c r="AX15">
        <f>SUMPRODUCT(('BEA Use 2017'!$PM$7:$PM$408=AX$2)*('BEA Use 2017'!$C$438:$PK$438=$B15)*'BEA Use 2017'!$C$7:$PK$408)</f>
        <v/>
      </c>
      <c r="AY15">
        <f>SUMPRODUCT(('BEA Use 2017'!$PM$7:$PM$408=AY$2)*('BEA Use 2017'!$C$438:$PK$438=$B15)*'BEA Use 2017'!$C$7:$PK$408)</f>
        <v/>
      </c>
      <c r="AZ15">
        <f>SUMPRODUCT(('BEA Use 2017'!$PM$7:$PM$408=AZ$2)*('BEA Use 2017'!$C$438:$PK$438=$B15)*'BEA Use 2017'!$C$7:$PK$408)</f>
        <v/>
      </c>
      <c r="BA15">
        <f>SUMPRODUCT(('BEA Use 2017'!$PM$7:$PM$408=BA$2)*('BEA Use 2017'!$C$438:$PK$438=$B15)*'BEA Use 2017'!$C$7:$PK$408)</f>
        <v/>
      </c>
      <c r="BB15">
        <f>SUMPRODUCT(('BEA Use 2017'!$PM$7:$PM$408=BB$2)*('BEA Use 2017'!$C$438:$PK$438=$B15)*'BEA Use 2017'!$C$7:$PK$408)</f>
        <v/>
      </c>
      <c r="BC15">
        <f>SUM(C15:BB15)</f>
        <v/>
      </c>
    </row>
    <row r="16">
      <c r="A16" t="inlineStr">
        <is>
          <t>iron and steel 241</t>
        </is>
      </c>
      <c r="B16" t="inlineStr">
        <is>
          <t>ISIC 241</t>
        </is>
      </c>
      <c r="C16">
        <f>SUMPRODUCT(('BEA Use 2017'!$PM$7:$PM$408=C$2)*('BEA Use 2017'!$C$438:$PK$438=$B16)*'BEA Use 2017'!$C$7:$PK$408)</f>
        <v/>
      </c>
      <c r="D16">
        <f>SUMPRODUCT(('BEA Use 2017'!$PM$7:$PM$408=D$2)*('BEA Use 2017'!$C$438:$PK$438=$B16)*'BEA Use 2017'!$C$7:$PK$408)</f>
        <v/>
      </c>
      <c r="E16">
        <f>SUMPRODUCT(('BEA Use 2017'!$PM$7:$PM$408=E$2)*('BEA Use 2017'!$C$438:$PK$438=$B16)*'BEA Use 2017'!$C$7:$PK$408)</f>
        <v/>
      </c>
      <c r="F16">
        <f>SUMPRODUCT(('BEA Use 2017'!$PM$7:$PM$408=F$2)*('BEA Use 2017'!$C$438:$PK$438=$B16)*'BEA Use 2017'!$C$7:$PK$408)</f>
        <v/>
      </c>
      <c r="G16">
        <f>SUMPRODUCT(('BEA Use 2017'!$PM$7:$PM$408=G$2)*('BEA Use 2017'!$C$438:$PK$438=$B16)*'BEA Use 2017'!$C$7:$PK$408)</f>
        <v/>
      </c>
      <c r="H16">
        <f>SUMPRODUCT(('BEA Use 2017'!$PM$7:$PM$408=H$2)*('BEA Use 2017'!$C$438:$PK$438=$B16)*'BEA Use 2017'!$C$7:$PK$408)</f>
        <v/>
      </c>
      <c r="I16">
        <f>SUMPRODUCT(('BEA Use 2017'!$PM$7:$PM$408=I$2)*('BEA Use 2017'!$C$438:$PK$438=$B16)*'BEA Use 2017'!$C$7:$PK$408)</f>
        <v/>
      </c>
      <c r="J16">
        <f>SUMPRODUCT(('BEA Use 2017'!$PM$7:$PM$408=J$2)*('BEA Use 2017'!$C$438:$PK$438=$B16)*'BEA Use 2017'!$C$7:$PK$408)</f>
        <v/>
      </c>
      <c r="K16">
        <f>SUMPRODUCT(('BEA Use 2017'!$PM$7:$PM$408=K$2)*('BEA Use 2017'!$C$438:$PK$438=$B16)*'BEA Use 2017'!$C$7:$PK$408)</f>
        <v/>
      </c>
      <c r="L16">
        <f>SUMPRODUCT(('BEA Use 2017'!$PM$7:$PM$408=L$2)*('BEA Use 2017'!$C$438:$PK$438=$B16)*'BEA Use 2017'!$C$7:$PK$408)</f>
        <v/>
      </c>
      <c r="M16">
        <f>SUMPRODUCT(('BEA Use 2017'!$PM$7:$PM$408=M$2)*('BEA Use 2017'!$C$438:$PK$438=$B16)*'BEA Use 2017'!$C$7:$PK$408)</f>
        <v/>
      </c>
      <c r="N16">
        <f>SUMPRODUCT(('BEA Use 2017'!$PM$7:$PM$408=N$2)*('BEA Use 2017'!$C$438:$PK$438=$B16)*'BEA Use 2017'!$C$7:$PK$408)</f>
        <v/>
      </c>
      <c r="O16">
        <f>SUMPRODUCT(('BEA Use 2017'!$PM$7:$PM$408=O$2)*('BEA Use 2017'!$C$438:$PK$438=$B16)*'BEA Use 2017'!$C$7:$PK$408)</f>
        <v/>
      </c>
      <c r="P16">
        <f>SUMPRODUCT(('BEA Use 2017'!$PM$7:$PM$408=P$2)*('BEA Use 2017'!$C$438:$PK$438=$B16)*'BEA Use 2017'!$C$7:$PK$408)</f>
        <v/>
      </c>
      <c r="Q16">
        <f>SUMPRODUCT(('BEA Use 2017'!$PM$7:$PM$408=Q$2)*('BEA Use 2017'!$C$438:$PK$438=$B16)*'BEA Use 2017'!$C$7:$PK$408)</f>
        <v/>
      </c>
      <c r="R16">
        <f>SUMPRODUCT(('BEA Use 2017'!$PM$7:$PM$408=R$2)*('BEA Use 2017'!$C$438:$PK$438=$B16)*'BEA Use 2017'!$C$7:$PK$408)</f>
        <v/>
      </c>
      <c r="S16">
        <f>SUMPRODUCT(('BEA Use 2017'!$PM$7:$PM$408=S$2)*('BEA Use 2017'!$C$438:$PK$438=$B16)*'BEA Use 2017'!$C$7:$PK$408)</f>
        <v/>
      </c>
      <c r="T16">
        <f>SUMPRODUCT(('BEA Use 2017'!$PM$7:$PM$408=T$2)*('BEA Use 2017'!$C$438:$PK$438=$B16)*'BEA Use 2017'!$C$7:$PK$408)</f>
        <v/>
      </c>
      <c r="U16">
        <f>SUMPRODUCT(('BEA Use 2017'!$PM$7:$PM$408=U$2)*('BEA Use 2017'!$C$438:$PK$438=$B16)*'BEA Use 2017'!$C$7:$PK$408)</f>
        <v/>
      </c>
      <c r="V16">
        <f>SUMPRODUCT(('BEA Use 2017'!$PM$7:$PM$408=V$2)*('BEA Use 2017'!$C$438:$PK$438=$B16)*'BEA Use 2017'!$C$7:$PK$408)</f>
        <v/>
      </c>
      <c r="W16">
        <f>SUMPRODUCT(('BEA Use 2017'!$PM$7:$PM$408=W$2)*('BEA Use 2017'!$C$438:$PK$438=$B16)*'BEA Use 2017'!$C$7:$PK$408)</f>
        <v/>
      </c>
      <c r="X16">
        <f>SUMPRODUCT(('BEA Use 2017'!$PM$7:$PM$408=X$2)*('BEA Use 2017'!$C$438:$PK$438=$B16)*'BEA Use 2017'!$C$7:$PK$408)</f>
        <v/>
      </c>
      <c r="Y16">
        <f>SUMPRODUCT(('BEA Use 2017'!$PM$7:$PM$408=Y$2)*('BEA Use 2017'!$C$438:$PK$438=$B16)*'BEA Use 2017'!$C$7:$PK$408)</f>
        <v/>
      </c>
      <c r="Z16">
        <f>SUMPRODUCT(('BEA Use 2017'!$PM$7:$PM$408=Z$2)*('BEA Use 2017'!$C$438:$PK$438=$B16)*'BEA Use 2017'!$C$7:$PK$408)</f>
        <v/>
      </c>
      <c r="AA16">
        <f>SUMPRODUCT(('BEA Use 2017'!$PM$7:$PM$408=AA$2)*('BEA Use 2017'!$C$438:$PK$438=$B16)*'BEA Use 2017'!$C$7:$PK$408)</f>
        <v/>
      </c>
      <c r="AB16">
        <f>SUMPRODUCT(('BEA Use 2017'!$PM$7:$PM$408=AB$2)*('BEA Use 2017'!$C$438:$PK$438=$B16)*'BEA Use 2017'!$C$7:$PK$408)</f>
        <v/>
      </c>
      <c r="AC16">
        <f>SUMPRODUCT(('BEA Use 2017'!$PM$7:$PM$408=AC$2)*('BEA Use 2017'!$C$438:$PK$438=$B16)*'BEA Use 2017'!$C$7:$PK$408)</f>
        <v/>
      </c>
      <c r="AD16">
        <f>SUMPRODUCT(('BEA Use 2017'!$PM$7:$PM$408=AD$2)*('BEA Use 2017'!$C$438:$PK$438=$B16)*'BEA Use 2017'!$C$7:$PK$408)</f>
        <v/>
      </c>
      <c r="AE16">
        <f>SUMPRODUCT(('BEA Use 2017'!$PM$7:$PM$408=AE$2)*('BEA Use 2017'!$C$438:$PK$438=$B16)*'BEA Use 2017'!$C$7:$PK$408)</f>
        <v/>
      </c>
      <c r="AF16">
        <f>SUMPRODUCT(('BEA Use 2017'!$PM$7:$PM$408=AF$2)*('BEA Use 2017'!$C$438:$PK$438=$B16)*'BEA Use 2017'!$C$7:$PK$408)</f>
        <v/>
      </c>
      <c r="AG16">
        <f>SUMPRODUCT(('BEA Use 2017'!$PM$7:$PM$408=AG$2)*('BEA Use 2017'!$C$438:$PK$438=$B16)*'BEA Use 2017'!$C$7:$PK$408)</f>
        <v/>
      </c>
      <c r="AH16">
        <f>SUMPRODUCT(('BEA Use 2017'!$PM$7:$PM$408=AH$2)*('BEA Use 2017'!$C$438:$PK$438=$B16)*'BEA Use 2017'!$C$7:$PK$408)</f>
        <v/>
      </c>
      <c r="AI16">
        <f>SUMPRODUCT(('BEA Use 2017'!$PM$7:$PM$408=AI$2)*('BEA Use 2017'!$C$438:$PK$438=$B16)*'BEA Use 2017'!$C$7:$PK$408)</f>
        <v/>
      </c>
      <c r="AJ16">
        <f>SUMPRODUCT(('BEA Use 2017'!$PM$7:$PM$408=AJ$2)*('BEA Use 2017'!$C$438:$PK$438=$B16)*'BEA Use 2017'!$C$7:$PK$408)</f>
        <v/>
      </c>
      <c r="AK16">
        <f>SUMPRODUCT(('BEA Use 2017'!$PM$7:$PM$408=AK$2)*('BEA Use 2017'!$C$438:$PK$438=$B16)*'BEA Use 2017'!$C$7:$PK$408)</f>
        <v/>
      </c>
      <c r="AL16">
        <f>SUMPRODUCT(('BEA Use 2017'!$PM$7:$PM$408=AL$2)*('BEA Use 2017'!$C$438:$PK$438=$B16)*'BEA Use 2017'!$C$7:$PK$408)</f>
        <v/>
      </c>
      <c r="AM16">
        <f>SUMPRODUCT(('BEA Use 2017'!$PM$7:$PM$408=AM$2)*('BEA Use 2017'!$C$438:$PK$438=$B16)*'BEA Use 2017'!$C$7:$PK$408)</f>
        <v/>
      </c>
      <c r="AN16">
        <f>SUMPRODUCT(('BEA Use 2017'!$PM$7:$PM$408=AN$2)*('BEA Use 2017'!$C$438:$PK$438=$B16)*'BEA Use 2017'!$C$7:$PK$408)</f>
        <v/>
      </c>
      <c r="AO16">
        <f>SUMPRODUCT(('BEA Use 2017'!$PM$7:$PM$408=AO$2)*('BEA Use 2017'!$C$438:$PK$438=$B16)*'BEA Use 2017'!$C$7:$PK$408)</f>
        <v/>
      </c>
      <c r="AP16">
        <f>SUMPRODUCT(('BEA Use 2017'!$PM$7:$PM$408=AP$2)*('BEA Use 2017'!$C$438:$PK$438=$B16)*'BEA Use 2017'!$C$7:$PK$408)</f>
        <v/>
      </c>
      <c r="AQ16">
        <f>SUMPRODUCT(('BEA Use 2017'!$PM$7:$PM$408=AQ$2)*('BEA Use 2017'!$C$438:$PK$438=$B16)*'BEA Use 2017'!$C$7:$PK$408)</f>
        <v/>
      </c>
      <c r="AR16">
        <f>SUMPRODUCT(('BEA Use 2017'!$PM$7:$PM$408=AR$2)*('BEA Use 2017'!$C$438:$PK$438=$B16)*'BEA Use 2017'!$C$7:$PK$408)</f>
        <v/>
      </c>
      <c r="AS16">
        <f>SUMPRODUCT(('BEA Use 2017'!$PM$7:$PM$408=AS$2)*('BEA Use 2017'!$C$438:$PK$438=$B16)*'BEA Use 2017'!$C$7:$PK$408)</f>
        <v/>
      </c>
      <c r="AT16">
        <f>SUMPRODUCT(('BEA Use 2017'!$PM$7:$PM$408=AT$2)*('BEA Use 2017'!$C$438:$PK$438=$B16)*'BEA Use 2017'!$C$7:$PK$408)</f>
        <v/>
      </c>
      <c r="AU16">
        <f>SUMPRODUCT(('BEA Use 2017'!$PM$7:$PM$408=AU$2)*('BEA Use 2017'!$C$438:$PK$438=$B16)*'BEA Use 2017'!$C$7:$PK$408)</f>
        <v/>
      </c>
      <c r="AV16">
        <f>SUMPRODUCT(('BEA Use 2017'!$PM$7:$PM$408=AV$2)*('BEA Use 2017'!$C$438:$PK$438=$B16)*'BEA Use 2017'!$C$7:$PK$408)</f>
        <v/>
      </c>
      <c r="AW16">
        <f>SUMPRODUCT(('BEA Use 2017'!$PM$7:$PM$408=AW$2)*('BEA Use 2017'!$C$438:$PK$438=$B16)*'BEA Use 2017'!$C$7:$PK$408)</f>
        <v/>
      </c>
      <c r="AX16">
        <f>SUMPRODUCT(('BEA Use 2017'!$PM$7:$PM$408=AX$2)*('BEA Use 2017'!$C$438:$PK$438=$B16)*'BEA Use 2017'!$C$7:$PK$408)</f>
        <v/>
      </c>
      <c r="AY16">
        <f>SUMPRODUCT(('BEA Use 2017'!$PM$7:$PM$408=AY$2)*('BEA Use 2017'!$C$438:$PK$438=$B16)*'BEA Use 2017'!$C$7:$PK$408)</f>
        <v/>
      </c>
      <c r="AZ16">
        <f>SUMPRODUCT(('BEA Use 2017'!$PM$7:$PM$408=AZ$2)*('BEA Use 2017'!$C$438:$PK$438=$B16)*'BEA Use 2017'!$C$7:$PK$408)</f>
        <v/>
      </c>
      <c r="BA16">
        <f>SUMPRODUCT(('BEA Use 2017'!$PM$7:$PM$408=BA$2)*('BEA Use 2017'!$C$438:$PK$438=$B16)*'BEA Use 2017'!$C$7:$PK$408)</f>
        <v/>
      </c>
      <c r="BB16">
        <f>SUMPRODUCT(('BEA Use 2017'!$PM$7:$PM$408=BB$2)*('BEA Use 2017'!$C$438:$PK$438=$B16)*'BEA Use 2017'!$C$7:$PK$408)</f>
        <v/>
      </c>
      <c r="BC16">
        <f>SUM(C16:BB16)</f>
        <v/>
      </c>
    </row>
    <row r="17">
      <c r="A17" t="inlineStr">
        <is>
          <t>other metals 242</t>
        </is>
      </c>
      <c r="B17" t="inlineStr">
        <is>
          <t>ISIC 242</t>
        </is>
      </c>
      <c r="C17">
        <f>SUMPRODUCT(('BEA Use 2017'!$PM$7:$PM$408=C$2)*('BEA Use 2017'!$C$438:$PK$438=$B17)*'BEA Use 2017'!$C$7:$PK$408)</f>
        <v/>
      </c>
      <c r="D17">
        <f>SUMPRODUCT(('BEA Use 2017'!$PM$7:$PM$408=D$2)*('BEA Use 2017'!$C$438:$PK$438=$B17)*'BEA Use 2017'!$C$7:$PK$408)</f>
        <v/>
      </c>
      <c r="E17">
        <f>SUMPRODUCT(('BEA Use 2017'!$PM$7:$PM$408=E$2)*('BEA Use 2017'!$C$438:$PK$438=$B17)*'BEA Use 2017'!$C$7:$PK$408)</f>
        <v/>
      </c>
      <c r="F17">
        <f>SUMPRODUCT(('BEA Use 2017'!$PM$7:$PM$408=F$2)*('BEA Use 2017'!$C$438:$PK$438=$B17)*'BEA Use 2017'!$C$7:$PK$408)</f>
        <v/>
      </c>
      <c r="G17">
        <f>SUMPRODUCT(('BEA Use 2017'!$PM$7:$PM$408=G$2)*('BEA Use 2017'!$C$438:$PK$438=$B17)*'BEA Use 2017'!$C$7:$PK$408)</f>
        <v/>
      </c>
      <c r="H17">
        <f>SUMPRODUCT(('BEA Use 2017'!$PM$7:$PM$408=H$2)*('BEA Use 2017'!$C$438:$PK$438=$B17)*'BEA Use 2017'!$C$7:$PK$408)</f>
        <v/>
      </c>
      <c r="I17">
        <f>SUMPRODUCT(('BEA Use 2017'!$PM$7:$PM$408=I$2)*('BEA Use 2017'!$C$438:$PK$438=$B17)*'BEA Use 2017'!$C$7:$PK$408)</f>
        <v/>
      </c>
      <c r="J17">
        <f>SUMPRODUCT(('BEA Use 2017'!$PM$7:$PM$408=J$2)*('BEA Use 2017'!$C$438:$PK$438=$B17)*'BEA Use 2017'!$C$7:$PK$408)</f>
        <v/>
      </c>
      <c r="K17">
        <f>SUMPRODUCT(('BEA Use 2017'!$PM$7:$PM$408=K$2)*('BEA Use 2017'!$C$438:$PK$438=$B17)*'BEA Use 2017'!$C$7:$PK$408)</f>
        <v/>
      </c>
      <c r="L17">
        <f>SUMPRODUCT(('BEA Use 2017'!$PM$7:$PM$408=L$2)*('BEA Use 2017'!$C$438:$PK$438=$B17)*'BEA Use 2017'!$C$7:$PK$408)</f>
        <v/>
      </c>
      <c r="M17">
        <f>SUMPRODUCT(('BEA Use 2017'!$PM$7:$PM$408=M$2)*('BEA Use 2017'!$C$438:$PK$438=$B17)*'BEA Use 2017'!$C$7:$PK$408)</f>
        <v/>
      </c>
      <c r="N17">
        <f>SUMPRODUCT(('BEA Use 2017'!$PM$7:$PM$408=N$2)*('BEA Use 2017'!$C$438:$PK$438=$B17)*'BEA Use 2017'!$C$7:$PK$408)</f>
        <v/>
      </c>
      <c r="O17">
        <f>SUMPRODUCT(('BEA Use 2017'!$PM$7:$PM$408=O$2)*('BEA Use 2017'!$C$438:$PK$438=$B17)*'BEA Use 2017'!$C$7:$PK$408)</f>
        <v/>
      </c>
      <c r="P17">
        <f>SUMPRODUCT(('BEA Use 2017'!$PM$7:$PM$408=P$2)*('BEA Use 2017'!$C$438:$PK$438=$B17)*'BEA Use 2017'!$C$7:$PK$408)</f>
        <v/>
      </c>
      <c r="Q17">
        <f>SUMPRODUCT(('BEA Use 2017'!$PM$7:$PM$408=Q$2)*('BEA Use 2017'!$C$438:$PK$438=$B17)*'BEA Use 2017'!$C$7:$PK$408)</f>
        <v/>
      </c>
      <c r="R17">
        <f>SUMPRODUCT(('BEA Use 2017'!$PM$7:$PM$408=R$2)*('BEA Use 2017'!$C$438:$PK$438=$B17)*'BEA Use 2017'!$C$7:$PK$408)</f>
        <v/>
      </c>
      <c r="S17">
        <f>SUMPRODUCT(('BEA Use 2017'!$PM$7:$PM$408=S$2)*('BEA Use 2017'!$C$438:$PK$438=$B17)*'BEA Use 2017'!$C$7:$PK$408)</f>
        <v/>
      </c>
      <c r="T17">
        <f>SUMPRODUCT(('BEA Use 2017'!$PM$7:$PM$408=T$2)*('BEA Use 2017'!$C$438:$PK$438=$B17)*'BEA Use 2017'!$C$7:$PK$408)</f>
        <v/>
      </c>
      <c r="U17">
        <f>SUMPRODUCT(('BEA Use 2017'!$PM$7:$PM$408=U$2)*('BEA Use 2017'!$C$438:$PK$438=$B17)*'BEA Use 2017'!$C$7:$PK$408)</f>
        <v/>
      </c>
      <c r="V17">
        <f>SUMPRODUCT(('BEA Use 2017'!$PM$7:$PM$408=V$2)*('BEA Use 2017'!$C$438:$PK$438=$B17)*'BEA Use 2017'!$C$7:$PK$408)</f>
        <v/>
      </c>
      <c r="W17">
        <f>SUMPRODUCT(('BEA Use 2017'!$PM$7:$PM$408=W$2)*('BEA Use 2017'!$C$438:$PK$438=$B17)*'BEA Use 2017'!$C$7:$PK$408)</f>
        <v/>
      </c>
      <c r="X17">
        <f>SUMPRODUCT(('BEA Use 2017'!$PM$7:$PM$408=X$2)*('BEA Use 2017'!$C$438:$PK$438=$B17)*'BEA Use 2017'!$C$7:$PK$408)</f>
        <v/>
      </c>
      <c r="Y17">
        <f>SUMPRODUCT(('BEA Use 2017'!$PM$7:$PM$408=Y$2)*('BEA Use 2017'!$C$438:$PK$438=$B17)*'BEA Use 2017'!$C$7:$PK$408)</f>
        <v/>
      </c>
      <c r="Z17">
        <f>SUMPRODUCT(('BEA Use 2017'!$PM$7:$PM$408=Z$2)*('BEA Use 2017'!$C$438:$PK$438=$B17)*'BEA Use 2017'!$C$7:$PK$408)</f>
        <v/>
      </c>
      <c r="AA17">
        <f>SUMPRODUCT(('BEA Use 2017'!$PM$7:$PM$408=AA$2)*('BEA Use 2017'!$C$438:$PK$438=$B17)*'BEA Use 2017'!$C$7:$PK$408)</f>
        <v/>
      </c>
      <c r="AB17">
        <f>SUMPRODUCT(('BEA Use 2017'!$PM$7:$PM$408=AB$2)*('BEA Use 2017'!$C$438:$PK$438=$B17)*'BEA Use 2017'!$C$7:$PK$408)</f>
        <v/>
      </c>
      <c r="AC17">
        <f>SUMPRODUCT(('BEA Use 2017'!$PM$7:$PM$408=AC$2)*('BEA Use 2017'!$C$438:$PK$438=$B17)*'BEA Use 2017'!$C$7:$PK$408)</f>
        <v/>
      </c>
      <c r="AD17">
        <f>SUMPRODUCT(('BEA Use 2017'!$PM$7:$PM$408=AD$2)*('BEA Use 2017'!$C$438:$PK$438=$B17)*'BEA Use 2017'!$C$7:$PK$408)</f>
        <v/>
      </c>
      <c r="AE17">
        <f>SUMPRODUCT(('BEA Use 2017'!$PM$7:$PM$408=AE$2)*('BEA Use 2017'!$C$438:$PK$438=$B17)*'BEA Use 2017'!$C$7:$PK$408)</f>
        <v/>
      </c>
      <c r="AF17">
        <f>SUMPRODUCT(('BEA Use 2017'!$PM$7:$PM$408=AF$2)*('BEA Use 2017'!$C$438:$PK$438=$B17)*'BEA Use 2017'!$C$7:$PK$408)</f>
        <v/>
      </c>
      <c r="AG17">
        <f>SUMPRODUCT(('BEA Use 2017'!$PM$7:$PM$408=AG$2)*('BEA Use 2017'!$C$438:$PK$438=$B17)*'BEA Use 2017'!$C$7:$PK$408)</f>
        <v/>
      </c>
      <c r="AH17">
        <f>SUMPRODUCT(('BEA Use 2017'!$PM$7:$PM$408=AH$2)*('BEA Use 2017'!$C$438:$PK$438=$B17)*'BEA Use 2017'!$C$7:$PK$408)</f>
        <v/>
      </c>
      <c r="AI17">
        <f>SUMPRODUCT(('BEA Use 2017'!$PM$7:$PM$408=AI$2)*('BEA Use 2017'!$C$438:$PK$438=$B17)*'BEA Use 2017'!$C$7:$PK$408)</f>
        <v/>
      </c>
      <c r="AJ17">
        <f>SUMPRODUCT(('BEA Use 2017'!$PM$7:$PM$408=AJ$2)*('BEA Use 2017'!$C$438:$PK$438=$B17)*'BEA Use 2017'!$C$7:$PK$408)</f>
        <v/>
      </c>
      <c r="AK17">
        <f>SUMPRODUCT(('BEA Use 2017'!$PM$7:$PM$408=AK$2)*('BEA Use 2017'!$C$438:$PK$438=$B17)*'BEA Use 2017'!$C$7:$PK$408)</f>
        <v/>
      </c>
      <c r="AL17">
        <f>SUMPRODUCT(('BEA Use 2017'!$PM$7:$PM$408=AL$2)*('BEA Use 2017'!$C$438:$PK$438=$B17)*'BEA Use 2017'!$C$7:$PK$408)</f>
        <v/>
      </c>
      <c r="AM17">
        <f>SUMPRODUCT(('BEA Use 2017'!$PM$7:$PM$408=AM$2)*('BEA Use 2017'!$C$438:$PK$438=$B17)*'BEA Use 2017'!$C$7:$PK$408)</f>
        <v/>
      </c>
      <c r="AN17">
        <f>SUMPRODUCT(('BEA Use 2017'!$PM$7:$PM$408=AN$2)*('BEA Use 2017'!$C$438:$PK$438=$B17)*'BEA Use 2017'!$C$7:$PK$408)</f>
        <v/>
      </c>
      <c r="AO17">
        <f>SUMPRODUCT(('BEA Use 2017'!$PM$7:$PM$408=AO$2)*('BEA Use 2017'!$C$438:$PK$438=$B17)*'BEA Use 2017'!$C$7:$PK$408)</f>
        <v/>
      </c>
      <c r="AP17">
        <f>SUMPRODUCT(('BEA Use 2017'!$PM$7:$PM$408=AP$2)*('BEA Use 2017'!$C$438:$PK$438=$B17)*'BEA Use 2017'!$C$7:$PK$408)</f>
        <v/>
      </c>
      <c r="AQ17">
        <f>SUMPRODUCT(('BEA Use 2017'!$PM$7:$PM$408=AQ$2)*('BEA Use 2017'!$C$438:$PK$438=$B17)*'BEA Use 2017'!$C$7:$PK$408)</f>
        <v/>
      </c>
      <c r="AR17">
        <f>SUMPRODUCT(('BEA Use 2017'!$PM$7:$PM$408=AR$2)*('BEA Use 2017'!$C$438:$PK$438=$B17)*'BEA Use 2017'!$C$7:$PK$408)</f>
        <v/>
      </c>
      <c r="AS17">
        <f>SUMPRODUCT(('BEA Use 2017'!$PM$7:$PM$408=AS$2)*('BEA Use 2017'!$C$438:$PK$438=$B17)*'BEA Use 2017'!$C$7:$PK$408)</f>
        <v/>
      </c>
      <c r="AT17">
        <f>SUMPRODUCT(('BEA Use 2017'!$PM$7:$PM$408=AT$2)*('BEA Use 2017'!$C$438:$PK$438=$B17)*'BEA Use 2017'!$C$7:$PK$408)</f>
        <v/>
      </c>
      <c r="AU17">
        <f>SUMPRODUCT(('BEA Use 2017'!$PM$7:$PM$408=AU$2)*('BEA Use 2017'!$C$438:$PK$438=$B17)*'BEA Use 2017'!$C$7:$PK$408)</f>
        <v/>
      </c>
      <c r="AV17">
        <f>SUMPRODUCT(('BEA Use 2017'!$PM$7:$PM$408=AV$2)*('BEA Use 2017'!$C$438:$PK$438=$B17)*'BEA Use 2017'!$C$7:$PK$408)</f>
        <v/>
      </c>
      <c r="AW17">
        <f>SUMPRODUCT(('BEA Use 2017'!$PM$7:$PM$408=AW$2)*('BEA Use 2017'!$C$438:$PK$438=$B17)*'BEA Use 2017'!$C$7:$PK$408)</f>
        <v/>
      </c>
      <c r="AX17">
        <f>SUMPRODUCT(('BEA Use 2017'!$PM$7:$PM$408=AX$2)*('BEA Use 2017'!$C$438:$PK$438=$B17)*'BEA Use 2017'!$C$7:$PK$408)</f>
        <v/>
      </c>
      <c r="AY17">
        <f>SUMPRODUCT(('BEA Use 2017'!$PM$7:$PM$408=AY$2)*('BEA Use 2017'!$C$438:$PK$438=$B17)*'BEA Use 2017'!$C$7:$PK$408)</f>
        <v/>
      </c>
      <c r="AZ17">
        <f>SUMPRODUCT(('BEA Use 2017'!$PM$7:$PM$408=AZ$2)*('BEA Use 2017'!$C$438:$PK$438=$B17)*'BEA Use 2017'!$C$7:$PK$408)</f>
        <v/>
      </c>
      <c r="BA17">
        <f>SUMPRODUCT(('BEA Use 2017'!$PM$7:$PM$408=BA$2)*('BEA Use 2017'!$C$438:$PK$438=$B17)*'BEA Use 2017'!$C$7:$PK$408)</f>
        <v/>
      </c>
      <c r="BB17">
        <f>SUMPRODUCT(('BEA Use 2017'!$PM$7:$PM$408=BB$2)*('BEA Use 2017'!$C$438:$PK$438=$B17)*'BEA Use 2017'!$C$7:$PK$408)</f>
        <v/>
      </c>
      <c r="BC17">
        <f>SUM(C17:BB17)</f>
        <v/>
      </c>
    </row>
    <row r="18">
      <c r="A18" t="inlineStr">
        <is>
          <t>metal products except machinery and vehicles 25</t>
        </is>
      </c>
      <c r="B18" t="inlineStr">
        <is>
          <t>ISIC 25</t>
        </is>
      </c>
      <c r="C18">
        <f>SUMPRODUCT(('BEA Use 2017'!$PM$7:$PM$408=C$2)*('BEA Use 2017'!$C$438:$PK$438=$B18)*'BEA Use 2017'!$C$7:$PK$408)</f>
        <v/>
      </c>
      <c r="D18">
        <f>SUMPRODUCT(('BEA Use 2017'!$PM$7:$PM$408=D$2)*('BEA Use 2017'!$C$438:$PK$438=$B18)*'BEA Use 2017'!$C$7:$PK$408)</f>
        <v/>
      </c>
      <c r="E18">
        <f>SUMPRODUCT(('BEA Use 2017'!$PM$7:$PM$408=E$2)*('BEA Use 2017'!$C$438:$PK$438=$B18)*'BEA Use 2017'!$C$7:$PK$408)</f>
        <v/>
      </c>
      <c r="F18">
        <f>SUMPRODUCT(('BEA Use 2017'!$PM$7:$PM$408=F$2)*('BEA Use 2017'!$C$438:$PK$438=$B18)*'BEA Use 2017'!$C$7:$PK$408)</f>
        <v/>
      </c>
      <c r="G18">
        <f>SUMPRODUCT(('BEA Use 2017'!$PM$7:$PM$408=G$2)*('BEA Use 2017'!$C$438:$PK$438=$B18)*'BEA Use 2017'!$C$7:$PK$408)</f>
        <v/>
      </c>
      <c r="H18">
        <f>SUMPRODUCT(('BEA Use 2017'!$PM$7:$PM$408=H$2)*('BEA Use 2017'!$C$438:$PK$438=$B18)*'BEA Use 2017'!$C$7:$PK$408)</f>
        <v/>
      </c>
      <c r="I18">
        <f>SUMPRODUCT(('BEA Use 2017'!$PM$7:$PM$408=I$2)*('BEA Use 2017'!$C$438:$PK$438=$B18)*'BEA Use 2017'!$C$7:$PK$408)</f>
        <v/>
      </c>
      <c r="J18">
        <f>SUMPRODUCT(('BEA Use 2017'!$PM$7:$PM$408=J$2)*('BEA Use 2017'!$C$438:$PK$438=$B18)*'BEA Use 2017'!$C$7:$PK$408)</f>
        <v/>
      </c>
      <c r="K18">
        <f>SUMPRODUCT(('BEA Use 2017'!$PM$7:$PM$408=K$2)*('BEA Use 2017'!$C$438:$PK$438=$B18)*'BEA Use 2017'!$C$7:$PK$408)</f>
        <v/>
      </c>
      <c r="L18">
        <f>SUMPRODUCT(('BEA Use 2017'!$PM$7:$PM$408=L$2)*('BEA Use 2017'!$C$438:$PK$438=$B18)*'BEA Use 2017'!$C$7:$PK$408)</f>
        <v/>
      </c>
      <c r="M18">
        <f>SUMPRODUCT(('BEA Use 2017'!$PM$7:$PM$408=M$2)*('BEA Use 2017'!$C$438:$PK$438=$B18)*'BEA Use 2017'!$C$7:$PK$408)</f>
        <v/>
      </c>
      <c r="N18">
        <f>SUMPRODUCT(('BEA Use 2017'!$PM$7:$PM$408=N$2)*('BEA Use 2017'!$C$438:$PK$438=$B18)*'BEA Use 2017'!$C$7:$PK$408)</f>
        <v/>
      </c>
      <c r="O18">
        <f>SUMPRODUCT(('BEA Use 2017'!$PM$7:$PM$408=O$2)*('BEA Use 2017'!$C$438:$PK$438=$B18)*'BEA Use 2017'!$C$7:$PK$408)</f>
        <v/>
      </c>
      <c r="P18">
        <f>SUMPRODUCT(('BEA Use 2017'!$PM$7:$PM$408=P$2)*('BEA Use 2017'!$C$438:$PK$438=$B18)*'BEA Use 2017'!$C$7:$PK$408)</f>
        <v/>
      </c>
      <c r="Q18">
        <f>SUMPRODUCT(('BEA Use 2017'!$PM$7:$PM$408=Q$2)*('BEA Use 2017'!$C$438:$PK$438=$B18)*'BEA Use 2017'!$C$7:$PK$408)</f>
        <v/>
      </c>
      <c r="R18">
        <f>SUMPRODUCT(('BEA Use 2017'!$PM$7:$PM$408=R$2)*('BEA Use 2017'!$C$438:$PK$438=$B18)*'BEA Use 2017'!$C$7:$PK$408)</f>
        <v/>
      </c>
      <c r="S18">
        <f>SUMPRODUCT(('BEA Use 2017'!$PM$7:$PM$408=S$2)*('BEA Use 2017'!$C$438:$PK$438=$B18)*'BEA Use 2017'!$C$7:$PK$408)</f>
        <v/>
      </c>
      <c r="T18">
        <f>SUMPRODUCT(('BEA Use 2017'!$PM$7:$PM$408=T$2)*('BEA Use 2017'!$C$438:$PK$438=$B18)*'BEA Use 2017'!$C$7:$PK$408)</f>
        <v/>
      </c>
      <c r="U18">
        <f>SUMPRODUCT(('BEA Use 2017'!$PM$7:$PM$408=U$2)*('BEA Use 2017'!$C$438:$PK$438=$B18)*'BEA Use 2017'!$C$7:$PK$408)</f>
        <v/>
      </c>
      <c r="V18">
        <f>SUMPRODUCT(('BEA Use 2017'!$PM$7:$PM$408=V$2)*('BEA Use 2017'!$C$438:$PK$438=$B18)*'BEA Use 2017'!$C$7:$PK$408)</f>
        <v/>
      </c>
      <c r="W18">
        <f>SUMPRODUCT(('BEA Use 2017'!$PM$7:$PM$408=W$2)*('BEA Use 2017'!$C$438:$PK$438=$B18)*'BEA Use 2017'!$C$7:$PK$408)</f>
        <v/>
      </c>
      <c r="X18">
        <f>SUMPRODUCT(('BEA Use 2017'!$PM$7:$PM$408=X$2)*('BEA Use 2017'!$C$438:$PK$438=$B18)*'BEA Use 2017'!$C$7:$PK$408)</f>
        <v/>
      </c>
      <c r="Y18">
        <f>SUMPRODUCT(('BEA Use 2017'!$PM$7:$PM$408=Y$2)*('BEA Use 2017'!$C$438:$PK$438=$B18)*'BEA Use 2017'!$C$7:$PK$408)</f>
        <v/>
      </c>
      <c r="Z18">
        <f>SUMPRODUCT(('BEA Use 2017'!$PM$7:$PM$408=Z$2)*('BEA Use 2017'!$C$438:$PK$438=$B18)*'BEA Use 2017'!$C$7:$PK$408)</f>
        <v/>
      </c>
      <c r="AA18">
        <f>SUMPRODUCT(('BEA Use 2017'!$PM$7:$PM$408=AA$2)*('BEA Use 2017'!$C$438:$PK$438=$B18)*'BEA Use 2017'!$C$7:$PK$408)</f>
        <v/>
      </c>
      <c r="AB18">
        <f>SUMPRODUCT(('BEA Use 2017'!$PM$7:$PM$408=AB$2)*('BEA Use 2017'!$C$438:$PK$438=$B18)*'BEA Use 2017'!$C$7:$PK$408)</f>
        <v/>
      </c>
      <c r="AC18">
        <f>SUMPRODUCT(('BEA Use 2017'!$PM$7:$PM$408=AC$2)*('BEA Use 2017'!$C$438:$PK$438=$B18)*'BEA Use 2017'!$C$7:$PK$408)</f>
        <v/>
      </c>
      <c r="AD18">
        <f>SUMPRODUCT(('BEA Use 2017'!$PM$7:$PM$408=AD$2)*('BEA Use 2017'!$C$438:$PK$438=$B18)*'BEA Use 2017'!$C$7:$PK$408)</f>
        <v/>
      </c>
      <c r="AE18">
        <f>SUMPRODUCT(('BEA Use 2017'!$PM$7:$PM$408=AE$2)*('BEA Use 2017'!$C$438:$PK$438=$B18)*'BEA Use 2017'!$C$7:$PK$408)</f>
        <v/>
      </c>
      <c r="AF18">
        <f>SUMPRODUCT(('BEA Use 2017'!$PM$7:$PM$408=AF$2)*('BEA Use 2017'!$C$438:$PK$438=$B18)*'BEA Use 2017'!$C$7:$PK$408)</f>
        <v/>
      </c>
      <c r="AG18">
        <f>SUMPRODUCT(('BEA Use 2017'!$PM$7:$PM$408=AG$2)*('BEA Use 2017'!$C$438:$PK$438=$B18)*'BEA Use 2017'!$C$7:$PK$408)</f>
        <v/>
      </c>
      <c r="AH18">
        <f>SUMPRODUCT(('BEA Use 2017'!$PM$7:$PM$408=AH$2)*('BEA Use 2017'!$C$438:$PK$438=$B18)*'BEA Use 2017'!$C$7:$PK$408)</f>
        <v/>
      </c>
      <c r="AI18">
        <f>SUMPRODUCT(('BEA Use 2017'!$PM$7:$PM$408=AI$2)*('BEA Use 2017'!$C$438:$PK$438=$B18)*'BEA Use 2017'!$C$7:$PK$408)</f>
        <v/>
      </c>
      <c r="AJ18">
        <f>SUMPRODUCT(('BEA Use 2017'!$PM$7:$PM$408=AJ$2)*('BEA Use 2017'!$C$438:$PK$438=$B18)*'BEA Use 2017'!$C$7:$PK$408)</f>
        <v/>
      </c>
      <c r="AK18">
        <f>SUMPRODUCT(('BEA Use 2017'!$PM$7:$PM$408=AK$2)*('BEA Use 2017'!$C$438:$PK$438=$B18)*'BEA Use 2017'!$C$7:$PK$408)</f>
        <v/>
      </c>
      <c r="AL18">
        <f>SUMPRODUCT(('BEA Use 2017'!$PM$7:$PM$408=AL$2)*('BEA Use 2017'!$C$438:$PK$438=$B18)*'BEA Use 2017'!$C$7:$PK$408)</f>
        <v/>
      </c>
      <c r="AM18">
        <f>SUMPRODUCT(('BEA Use 2017'!$PM$7:$PM$408=AM$2)*('BEA Use 2017'!$C$438:$PK$438=$B18)*'BEA Use 2017'!$C$7:$PK$408)</f>
        <v/>
      </c>
      <c r="AN18">
        <f>SUMPRODUCT(('BEA Use 2017'!$PM$7:$PM$408=AN$2)*('BEA Use 2017'!$C$438:$PK$438=$B18)*'BEA Use 2017'!$C$7:$PK$408)</f>
        <v/>
      </c>
      <c r="AO18">
        <f>SUMPRODUCT(('BEA Use 2017'!$PM$7:$PM$408=AO$2)*('BEA Use 2017'!$C$438:$PK$438=$B18)*'BEA Use 2017'!$C$7:$PK$408)</f>
        <v/>
      </c>
      <c r="AP18">
        <f>SUMPRODUCT(('BEA Use 2017'!$PM$7:$PM$408=AP$2)*('BEA Use 2017'!$C$438:$PK$438=$B18)*'BEA Use 2017'!$C$7:$PK$408)</f>
        <v/>
      </c>
      <c r="AQ18">
        <f>SUMPRODUCT(('BEA Use 2017'!$PM$7:$PM$408=AQ$2)*('BEA Use 2017'!$C$438:$PK$438=$B18)*'BEA Use 2017'!$C$7:$PK$408)</f>
        <v/>
      </c>
      <c r="AR18">
        <f>SUMPRODUCT(('BEA Use 2017'!$PM$7:$PM$408=AR$2)*('BEA Use 2017'!$C$438:$PK$438=$B18)*'BEA Use 2017'!$C$7:$PK$408)</f>
        <v/>
      </c>
      <c r="AS18">
        <f>SUMPRODUCT(('BEA Use 2017'!$PM$7:$PM$408=AS$2)*('BEA Use 2017'!$C$438:$PK$438=$B18)*'BEA Use 2017'!$C$7:$PK$408)</f>
        <v/>
      </c>
      <c r="AT18">
        <f>SUMPRODUCT(('BEA Use 2017'!$PM$7:$PM$408=AT$2)*('BEA Use 2017'!$C$438:$PK$438=$B18)*'BEA Use 2017'!$C$7:$PK$408)</f>
        <v/>
      </c>
      <c r="AU18">
        <f>SUMPRODUCT(('BEA Use 2017'!$PM$7:$PM$408=AU$2)*('BEA Use 2017'!$C$438:$PK$438=$B18)*'BEA Use 2017'!$C$7:$PK$408)</f>
        <v/>
      </c>
      <c r="AV18">
        <f>SUMPRODUCT(('BEA Use 2017'!$PM$7:$PM$408=AV$2)*('BEA Use 2017'!$C$438:$PK$438=$B18)*'BEA Use 2017'!$C$7:$PK$408)</f>
        <v/>
      </c>
      <c r="AW18">
        <f>SUMPRODUCT(('BEA Use 2017'!$PM$7:$PM$408=AW$2)*('BEA Use 2017'!$C$438:$PK$438=$B18)*'BEA Use 2017'!$C$7:$PK$408)</f>
        <v/>
      </c>
      <c r="AX18">
        <f>SUMPRODUCT(('BEA Use 2017'!$PM$7:$PM$408=AX$2)*('BEA Use 2017'!$C$438:$PK$438=$B18)*'BEA Use 2017'!$C$7:$PK$408)</f>
        <v/>
      </c>
      <c r="AY18">
        <f>SUMPRODUCT(('BEA Use 2017'!$PM$7:$PM$408=AY$2)*('BEA Use 2017'!$C$438:$PK$438=$B18)*'BEA Use 2017'!$C$7:$PK$408)</f>
        <v/>
      </c>
      <c r="AZ18">
        <f>SUMPRODUCT(('BEA Use 2017'!$PM$7:$PM$408=AZ$2)*('BEA Use 2017'!$C$438:$PK$438=$B18)*'BEA Use 2017'!$C$7:$PK$408)</f>
        <v/>
      </c>
      <c r="BA18">
        <f>SUMPRODUCT(('BEA Use 2017'!$PM$7:$PM$408=BA$2)*('BEA Use 2017'!$C$438:$PK$438=$B18)*'BEA Use 2017'!$C$7:$PK$408)</f>
        <v/>
      </c>
      <c r="BB18">
        <f>SUMPRODUCT(('BEA Use 2017'!$PM$7:$PM$408=BB$2)*('BEA Use 2017'!$C$438:$PK$438=$B18)*'BEA Use 2017'!$C$7:$PK$408)</f>
        <v/>
      </c>
      <c r="BC18">
        <f>SUM(C18:BB18)</f>
        <v/>
      </c>
    </row>
    <row r="19">
      <c r="A19" t="inlineStr">
        <is>
          <t>computers and electronics 26</t>
        </is>
      </c>
      <c r="B19" t="inlineStr">
        <is>
          <t>ISIC 26</t>
        </is>
      </c>
      <c r="C19">
        <f>SUMPRODUCT(('BEA Use 2017'!$PM$7:$PM$408=C$2)*('BEA Use 2017'!$C$438:$PK$438=$B19)*'BEA Use 2017'!$C$7:$PK$408)</f>
        <v/>
      </c>
      <c r="D19">
        <f>SUMPRODUCT(('BEA Use 2017'!$PM$7:$PM$408=D$2)*('BEA Use 2017'!$C$438:$PK$438=$B19)*'BEA Use 2017'!$C$7:$PK$408)</f>
        <v/>
      </c>
      <c r="E19">
        <f>SUMPRODUCT(('BEA Use 2017'!$PM$7:$PM$408=E$2)*('BEA Use 2017'!$C$438:$PK$438=$B19)*'BEA Use 2017'!$C$7:$PK$408)</f>
        <v/>
      </c>
      <c r="F19">
        <f>SUMPRODUCT(('BEA Use 2017'!$PM$7:$PM$408=F$2)*('BEA Use 2017'!$C$438:$PK$438=$B19)*'BEA Use 2017'!$C$7:$PK$408)</f>
        <v/>
      </c>
      <c r="G19">
        <f>SUMPRODUCT(('BEA Use 2017'!$PM$7:$PM$408=G$2)*('BEA Use 2017'!$C$438:$PK$438=$B19)*'BEA Use 2017'!$C$7:$PK$408)</f>
        <v/>
      </c>
      <c r="H19">
        <f>SUMPRODUCT(('BEA Use 2017'!$PM$7:$PM$408=H$2)*('BEA Use 2017'!$C$438:$PK$438=$B19)*'BEA Use 2017'!$C$7:$PK$408)</f>
        <v/>
      </c>
      <c r="I19">
        <f>SUMPRODUCT(('BEA Use 2017'!$PM$7:$PM$408=I$2)*('BEA Use 2017'!$C$438:$PK$438=$B19)*'BEA Use 2017'!$C$7:$PK$408)</f>
        <v/>
      </c>
      <c r="J19">
        <f>SUMPRODUCT(('BEA Use 2017'!$PM$7:$PM$408=J$2)*('BEA Use 2017'!$C$438:$PK$438=$B19)*'BEA Use 2017'!$C$7:$PK$408)</f>
        <v/>
      </c>
      <c r="K19">
        <f>SUMPRODUCT(('BEA Use 2017'!$PM$7:$PM$408=K$2)*('BEA Use 2017'!$C$438:$PK$438=$B19)*'BEA Use 2017'!$C$7:$PK$408)</f>
        <v/>
      </c>
      <c r="L19">
        <f>SUMPRODUCT(('BEA Use 2017'!$PM$7:$PM$408=L$2)*('BEA Use 2017'!$C$438:$PK$438=$B19)*'BEA Use 2017'!$C$7:$PK$408)</f>
        <v/>
      </c>
      <c r="M19">
        <f>SUMPRODUCT(('BEA Use 2017'!$PM$7:$PM$408=M$2)*('BEA Use 2017'!$C$438:$PK$438=$B19)*'BEA Use 2017'!$C$7:$PK$408)</f>
        <v/>
      </c>
      <c r="N19">
        <f>SUMPRODUCT(('BEA Use 2017'!$PM$7:$PM$408=N$2)*('BEA Use 2017'!$C$438:$PK$438=$B19)*'BEA Use 2017'!$C$7:$PK$408)</f>
        <v/>
      </c>
      <c r="O19">
        <f>SUMPRODUCT(('BEA Use 2017'!$PM$7:$PM$408=O$2)*('BEA Use 2017'!$C$438:$PK$438=$B19)*'BEA Use 2017'!$C$7:$PK$408)</f>
        <v/>
      </c>
      <c r="P19">
        <f>SUMPRODUCT(('BEA Use 2017'!$PM$7:$PM$408=P$2)*('BEA Use 2017'!$C$438:$PK$438=$B19)*'BEA Use 2017'!$C$7:$PK$408)</f>
        <v/>
      </c>
      <c r="Q19">
        <f>SUMPRODUCT(('BEA Use 2017'!$PM$7:$PM$408=Q$2)*('BEA Use 2017'!$C$438:$PK$438=$B19)*'BEA Use 2017'!$C$7:$PK$408)</f>
        <v/>
      </c>
      <c r="R19">
        <f>SUMPRODUCT(('BEA Use 2017'!$PM$7:$PM$408=R$2)*('BEA Use 2017'!$C$438:$PK$438=$B19)*'BEA Use 2017'!$C$7:$PK$408)</f>
        <v/>
      </c>
      <c r="S19">
        <f>SUMPRODUCT(('BEA Use 2017'!$PM$7:$PM$408=S$2)*('BEA Use 2017'!$C$438:$PK$438=$B19)*'BEA Use 2017'!$C$7:$PK$408)</f>
        <v/>
      </c>
      <c r="T19">
        <f>SUMPRODUCT(('BEA Use 2017'!$PM$7:$PM$408=T$2)*('BEA Use 2017'!$C$438:$PK$438=$B19)*'BEA Use 2017'!$C$7:$PK$408)</f>
        <v/>
      </c>
      <c r="U19">
        <f>SUMPRODUCT(('BEA Use 2017'!$PM$7:$PM$408=U$2)*('BEA Use 2017'!$C$438:$PK$438=$B19)*'BEA Use 2017'!$C$7:$PK$408)</f>
        <v/>
      </c>
      <c r="V19">
        <f>SUMPRODUCT(('BEA Use 2017'!$PM$7:$PM$408=V$2)*('BEA Use 2017'!$C$438:$PK$438=$B19)*'BEA Use 2017'!$C$7:$PK$408)</f>
        <v/>
      </c>
      <c r="W19">
        <f>SUMPRODUCT(('BEA Use 2017'!$PM$7:$PM$408=W$2)*('BEA Use 2017'!$C$438:$PK$438=$B19)*'BEA Use 2017'!$C$7:$PK$408)</f>
        <v/>
      </c>
      <c r="X19">
        <f>SUMPRODUCT(('BEA Use 2017'!$PM$7:$PM$408=X$2)*('BEA Use 2017'!$C$438:$PK$438=$B19)*'BEA Use 2017'!$C$7:$PK$408)</f>
        <v/>
      </c>
      <c r="Y19">
        <f>SUMPRODUCT(('BEA Use 2017'!$PM$7:$PM$408=Y$2)*('BEA Use 2017'!$C$438:$PK$438=$B19)*'BEA Use 2017'!$C$7:$PK$408)</f>
        <v/>
      </c>
      <c r="Z19">
        <f>SUMPRODUCT(('BEA Use 2017'!$PM$7:$PM$408=Z$2)*('BEA Use 2017'!$C$438:$PK$438=$B19)*'BEA Use 2017'!$C$7:$PK$408)</f>
        <v/>
      </c>
      <c r="AA19">
        <f>SUMPRODUCT(('BEA Use 2017'!$PM$7:$PM$408=AA$2)*('BEA Use 2017'!$C$438:$PK$438=$B19)*'BEA Use 2017'!$C$7:$PK$408)</f>
        <v/>
      </c>
      <c r="AB19">
        <f>SUMPRODUCT(('BEA Use 2017'!$PM$7:$PM$408=AB$2)*('BEA Use 2017'!$C$438:$PK$438=$B19)*'BEA Use 2017'!$C$7:$PK$408)</f>
        <v/>
      </c>
      <c r="AC19">
        <f>SUMPRODUCT(('BEA Use 2017'!$PM$7:$PM$408=AC$2)*('BEA Use 2017'!$C$438:$PK$438=$B19)*'BEA Use 2017'!$C$7:$PK$408)</f>
        <v/>
      </c>
      <c r="AD19">
        <f>SUMPRODUCT(('BEA Use 2017'!$PM$7:$PM$408=AD$2)*('BEA Use 2017'!$C$438:$PK$438=$B19)*'BEA Use 2017'!$C$7:$PK$408)</f>
        <v/>
      </c>
      <c r="AE19">
        <f>SUMPRODUCT(('BEA Use 2017'!$PM$7:$PM$408=AE$2)*('BEA Use 2017'!$C$438:$PK$438=$B19)*'BEA Use 2017'!$C$7:$PK$408)</f>
        <v/>
      </c>
      <c r="AF19">
        <f>SUMPRODUCT(('BEA Use 2017'!$PM$7:$PM$408=AF$2)*('BEA Use 2017'!$C$438:$PK$438=$B19)*'BEA Use 2017'!$C$7:$PK$408)</f>
        <v/>
      </c>
      <c r="AG19">
        <f>SUMPRODUCT(('BEA Use 2017'!$PM$7:$PM$408=AG$2)*('BEA Use 2017'!$C$438:$PK$438=$B19)*'BEA Use 2017'!$C$7:$PK$408)</f>
        <v/>
      </c>
      <c r="AH19">
        <f>SUMPRODUCT(('BEA Use 2017'!$PM$7:$PM$408=AH$2)*('BEA Use 2017'!$C$438:$PK$438=$B19)*'BEA Use 2017'!$C$7:$PK$408)</f>
        <v/>
      </c>
      <c r="AI19">
        <f>SUMPRODUCT(('BEA Use 2017'!$PM$7:$PM$408=AI$2)*('BEA Use 2017'!$C$438:$PK$438=$B19)*'BEA Use 2017'!$C$7:$PK$408)</f>
        <v/>
      </c>
      <c r="AJ19">
        <f>SUMPRODUCT(('BEA Use 2017'!$PM$7:$PM$408=AJ$2)*('BEA Use 2017'!$C$438:$PK$438=$B19)*'BEA Use 2017'!$C$7:$PK$408)</f>
        <v/>
      </c>
      <c r="AK19">
        <f>SUMPRODUCT(('BEA Use 2017'!$PM$7:$PM$408=AK$2)*('BEA Use 2017'!$C$438:$PK$438=$B19)*'BEA Use 2017'!$C$7:$PK$408)</f>
        <v/>
      </c>
      <c r="AL19">
        <f>SUMPRODUCT(('BEA Use 2017'!$PM$7:$PM$408=AL$2)*('BEA Use 2017'!$C$438:$PK$438=$B19)*'BEA Use 2017'!$C$7:$PK$408)</f>
        <v/>
      </c>
      <c r="AM19">
        <f>SUMPRODUCT(('BEA Use 2017'!$PM$7:$PM$408=AM$2)*('BEA Use 2017'!$C$438:$PK$438=$B19)*'BEA Use 2017'!$C$7:$PK$408)</f>
        <v/>
      </c>
      <c r="AN19">
        <f>SUMPRODUCT(('BEA Use 2017'!$PM$7:$PM$408=AN$2)*('BEA Use 2017'!$C$438:$PK$438=$B19)*'BEA Use 2017'!$C$7:$PK$408)</f>
        <v/>
      </c>
      <c r="AO19">
        <f>SUMPRODUCT(('BEA Use 2017'!$PM$7:$PM$408=AO$2)*('BEA Use 2017'!$C$438:$PK$438=$B19)*'BEA Use 2017'!$C$7:$PK$408)</f>
        <v/>
      </c>
      <c r="AP19">
        <f>SUMPRODUCT(('BEA Use 2017'!$PM$7:$PM$408=AP$2)*('BEA Use 2017'!$C$438:$PK$438=$B19)*'BEA Use 2017'!$C$7:$PK$408)</f>
        <v/>
      </c>
      <c r="AQ19">
        <f>SUMPRODUCT(('BEA Use 2017'!$PM$7:$PM$408=AQ$2)*('BEA Use 2017'!$C$438:$PK$438=$B19)*'BEA Use 2017'!$C$7:$PK$408)</f>
        <v/>
      </c>
      <c r="AR19">
        <f>SUMPRODUCT(('BEA Use 2017'!$PM$7:$PM$408=AR$2)*('BEA Use 2017'!$C$438:$PK$438=$B19)*'BEA Use 2017'!$C$7:$PK$408)</f>
        <v/>
      </c>
      <c r="AS19">
        <f>SUMPRODUCT(('BEA Use 2017'!$PM$7:$PM$408=AS$2)*('BEA Use 2017'!$C$438:$PK$438=$B19)*'BEA Use 2017'!$C$7:$PK$408)</f>
        <v/>
      </c>
      <c r="AT19">
        <f>SUMPRODUCT(('BEA Use 2017'!$PM$7:$PM$408=AT$2)*('BEA Use 2017'!$C$438:$PK$438=$B19)*'BEA Use 2017'!$C$7:$PK$408)</f>
        <v/>
      </c>
      <c r="AU19">
        <f>SUMPRODUCT(('BEA Use 2017'!$PM$7:$PM$408=AU$2)*('BEA Use 2017'!$C$438:$PK$438=$B19)*'BEA Use 2017'!$C$7:$PK$408)</f>
        <v/>
      </c>
      <c r="AV19">
        <f>SUMPRODUCT(('BEA Use 2017'!$PM$7:$PM$408=AV$2)*('BEA Use 2017'!$C$438:$PK$438=$B19)*'BEA Use 2017'!$C$7:$PK$408)</f>
        <v/>
      </c>
      <c r="AW19">
        <f>SUMPRODUCT(('BEA Use 2017'!$PM$7:$PM$408=AW$2)*('BEA Use 2017'!$C$438:$PK$438=$B19)*'BEA Use 2017'!$C$7:$PK$408)</f>
        <v/>
      </c>
      <c r="AX19">
        <f>SUMPRODUCT(('BEA Use 2017'!$PM$7:$PM$408=AX$2)*('BEA Use 2017'!$C$438:$PK$438=$B19)*'BEA Use 2017'!$C$7:$PK$408)</f>
        <v/>
      </c>
      <c r="AY19">
        <f>SUMPRODUCT(('BEA Use 2017'!$PM$7:$PM$408=AY$2)*('BEA Use 2017'!$C$438:$PK$438=$B19)*'BEA Use 2017'!$C$7:$PK$408)</f>
        <v/>
      </c>
      <c r="AZ19">
        <f>SUMPRODUCT(('BEA Use 2017'!$PM$7:$PM$408=AZ$2)*('BEA Use 2017'!$C$438:$PK$438=$B19)*'BEA Use 2017'!$C$7:$PK$408)</f>
        <v/>
      </c>
      <c r="BA19">
        <f>SUMPRODUCT(('BEA Use 2017'!$PM$7:$PM$408=BA$2)*('BEA Use 2017'!$C$438:$PK$438=$B19)*'BEA Use 2017'!$C$7:$PK$408)</f>
        <v/>
      </c>
      <c r="BB19">
        <f>SUMPRODUCT(('BEA Use 2017'!$PM$7:$PM$408=BB$2)*('BEA Use 2017'!$C$438:$PK$438=$B19)*'BEA Use 2017'!$C$7:$PK$408)</f>
        <v/>
      </c>
      <c r="BC19">
        <f>SUM(C19:BB19)</f>
        <v/>
      </c>
    </row>
    <row r="20">
      <c r="A20" t="inlineStr">
        <is>
          <t>appliances and electrical equipment 27</t>
        </is>
      </c>
      <c r="B20" t="inlineStr">
        <is>
          <t>ISIC 27</t>
        </is>
      </c>
      <c r="C20">
        <f>SUMPRODUCT(('BEA Use 2017'!$PM$7:$PM$408=C$2)*('BEA Use 2017'!$C$438:$PK$438=$B20)*'BEA Use 2017'!$C$7:$PK$408)</f>
        <v/>
      </c>
      <c r="D20">
        <f>SUMPRODUCT(('BEA Use 2017'!$PM$7:$PM$408=D$2)*('BEA Use 2017'!$C$438:$PK$438=$B20)*'BEA Use 2017'!$C$7:$PK$408)</f>
        <v/>
      </c>
      <c r="E20">
        <f>SUMPRODUCT(('BEA Use 2017'!$PM$7:$PM$408=E$2)*('BEA Use 2017'!$C$438:$PK$438=$B20)*'BEA Use 2017'!$C$7:$PK$408)</f>
        <v/>
      </c>
      <c r="F20">
        <f>SUMPRODUCT(('BEA Use 2017'!$PM$7:$PM$408=F$2)*('BEA Use 2017'!$C$438:$PK$438=$B20)*'BEA Use 2017'!$C$7:$PK$408)</f>
        <v/>
      </c>
      <c r="G20">
        <f>SUMPRODUCT(('BEA Use 2017'!$PM$7:$PM$408=G$2)*('BEA Use 2017'!$C$438:$PK$438=$B20)*'BEA Use 2017'!$C$7:$PK$408)</f>
        <v/>
      </c>
      <c r="H20">
        <f>SUMPRODUCT(('BEA Use 2017'!$PM$7:$PM$408=H$2)*('BEA Use 2017'!$C$438:$PK$438=$B20)*'BEA Use 2017'!$C$7:$PK$408)</f>
        <v/>
      </c>
      <c r="I20">
        <f>SUMPRODUCT(('BEA Use 2017'!$PM$7:$PM$408=I$2)*('BEA Use 2017'!$C$438:$PK$438=$B20)*'BEA Use 2017'!$C$7:$PK$408)</f>
        <v/>
      </c>
      <c r="J20">
        <f>SUMPRODUCT(('BEA Use 2017'!$PM$7:$PM$408=J$2)*('BEA Use 2017'!$C$438:$PK$438=$B20)*'BEA Use 2017'!$C$7:$PK$408)</f>
        <v/>
      </c>
      <c r="K20">
        <f>SUMPRODUCT(('BEA Use 2017'!$PM$7:$PM$408=K$2)*('BEA Use 2017'!$C$438:$PK$438=$B20)*'BEA Use 2017'!$C$7:$PK$408)</f>
        <v/>
      </c>
      <c r="L20">
        <f>SUMPRODUCT(('BEA Use 2017'!$PM$7:$PM$408=L$2)*('BEA Use 2017'!$C$438:$PK$438=$B20)*'BEA Use 2017'!$C$7:$PK$408)</f>
        <v/>
      </c>
      <c r="M20">
        <f>SUMPRODUCT(('BEA Use 2017'!$PM$7:$PM$408=M$2)*('BEA Use 2017'!$C$438:$PK$438=$B20)*'BEA Use 2017'!$C$7:$PK$408)</f>
        <v/>
      </c>
      <c r="N20">
        <f>SUMPRODUCT(('BEA Use 2017'!$PM$7:$PM$408=N$2)*('BEA Use 2017'!$C$438:$PK$438=$B20)*'BEA Use 2017'!$C$7:$PK$408)</f>
        <v/>
      </c>
      <c r="O20">
        <f>SUMPRODUCT(('BEA Use 2017'!$PM$7:$PM$408=O$2)*('BEA Use 2017'!$C$438:$PK$438=$B20)*'BEA Use 2017'!$C$7:$PK$408)</f>
        <v/>
      </c>
      <c r="P20">
        <f>SUMPRODUCT(('BEA Use 2017'!$PM$7:$PM$408=P$2)*('BEA Use 2017'!$C$438:$PK$438=$B20)*'BEA Use 2017'!$C$7:$PK$408)</f>
        <v/>
      </c>
      <c r="Q20">
        <f>SUMPRODUCT(('BEA Use 2017'!$PM$7:$PM$408=Q$2)*('BEA Use 2017'!$C$438:$PK$438=$B20)*'BEA Use 2017'!$C$7:$PK$408)</f>
        <v/>
      </c>
      <c r="R20">
        <f>SUMPRODUCT(('BEA Use 2017'!$PM$7:$PM$408=R$2)*('BEA Use 2017'!$C$438:$PK$438=$B20)*'BEA Use 2017'!$C$7:$PK$408)</f>
        <v/>
      </c>
      <c r="S20">
        <f>SUMPRODUCT(('BEA Use 2017'!$PM$7:$PM$408=S$2)*('BEA Use 2017'!$C$438:$PK$438=$B20)*'BEA Use 2017'!$C$7:$PK$408)</f>
        <v/>
      </c>
      <c r="T20">
        <f>SUMPRODUCT(('BEA Use 2017'!$PM$7:$PM$408=T$2)*('BEA Use 2017'!$C$438:$PK$438=$B20)*'BEA Use 2017'!$C$7:$PK$408)</f>
        <v/>
      </c>
      <c r="U20">
        <f>SUMPRODUCT(('BEA Use 2017'!$PM$7:$PM$408=U$2)*('BEA Use 2017'!$C$438:$PK$438=$B20)*'BEA Use 2017'!$C$7:$PK$408)</f>
        <v/>
      </c>
      <c r="V20">
        <f>SUMPRODUCT(('BEA Use 2017'!$PM$7:$PM$408=V$2)*('BEA Use 2017'!$C$438:$PK$438=$B20)*'BEA Use 2017'!$C$7:$PK$408)</f>
        <v/>
      </c>
      <c r="W20">
        <f>SUMPRODUCT(('BEA Use 2017'!$PM$7:$PM$408=W$2)*('BEA Use 2017'!$C$438:$PK$438=$B20)*'BEA Use 2017'!$C$7:$PK$408)</f>
        <v/>
      </c>
      <c r="X20">
        <f>SUMPRODUCT(('BEA Use 2017'!$PM$7:$PM$408=X$2)*('BEA Use 2017'!$C$438:$PK$438=$B20)*'BEA Use 2017'!$C$7:$PK$408)</f>
        <v/>
      </c>
      <c r="Y20">
        <f>SUMPRODUCT(('BEA Use 2017'!$PM$7:$PM$408=Y$2)*('BEA Use 2017'!$C$438:$PK$438=$B20)*'BEA Use 2017'!$C$7:$PK$408)</f>
        <v/>
      </c>
      <c r="Z20">
        <f>SUMPRODUCT(('BEA Use 2017'!$PM$7:$PM$408=Z$2)*('BEA Use 2017'!$C$438:$PK$438=$B20)*'BEA Use 2017'!$C$7:$PK$408)</f>
        <v/>
      </c>
      <c r="AA20">
        <f>SUMPRODUCT(('BEA Use 2017'!$PM$7:$PM$408=AA$2)*('BEA Use 2017'!$C$438:$PK$438=$B20)*'BEA Use 2017'!$C$7:$PK$408)</f>
        <v/>
      </c>
      <c r="AB20">
        <f>SUMPRODUCT(('BEA Use 2017'!$PM$7:$PM$408=AB$2)*('BEA Use 2017'!$C$438:$PK$438=$B20)*'BEA Use 2017'!$C$7:$PK$408)</f>
        <v/>
      </c>
      <c r="AC20">
        <f>SUMPRODUCT(('BEA Use 2017'!$PM$7:$PM$408=AC$2)*('BEA Use 2017'!$C$438:$PK$438=$B20)*'BEA Use 2017'!$C$7:$PK$408)</f>
        <v/>
      </c>
      <c r="AD20">
        <f>SUMPRODUCT(('BEA Use 2017'!$PM$7:$PM$408=AD$2)*('BEA Use 2017'!$C$438:$PK$438=$B20)*'BEA Use 2017'!$C$7:$PK$408)</f>
        <v/>
      </c>
      <c r="AE20">
        <f>SUMPRODUCT(('BEA Use 2017'!$PM$7:$PM$408=AE$2)*('BEA Use 2017'!$C$438:$PK$438=$B20)*'BEA Use 2017'!$C$7:$PK$408)</f>
        <v/>
      </c>
      <c r="AF20">
        <f>SUMPRODUCT(('BEA Use 2017'!$PM$7:$PM$408=AF$2)*('BEA Use 2017'!$C$438:$PK$438=$B20)*'BEA Use 2017'!$C$7:$PK$408)</f>
        <v/>
      </c>
      <c r="AG20">
        <f>SUMPRODUCT(('BEA Use 2017'!$PM$7:$PM$408=AG$2)*('BEA Use 2017'!$C$438:$PK$438=$B20)*'BEA Use 2017'!$C$7:$PK$408)</f>
        <v/>
      </c>
      <c r="AH20">
        <f>SUMPRODUCT(('BEA Use 2017'!$PM$7:$PM$408=AH$2)*('BEA Use 2017'!$C$438:$PK$438=$B20)*'BEA Use 2017'!$C$7:$PK$408)</f>
        <v/>
      </c>
      <c r="AI20">
        <f>SUMPRODUCT(('BEA Use 2017'!$PM$7:$PM$408=AI$2)*('BEA Use 2017'!$C$438:$PK$438=$B20)*'BEA Use 2017'!$C$7:$PK$408)</f>
        <v/>
      </c>
      <c r="AJ20">
        <f>SUMPRODUCT(('BEA Use 2017'!$PM$7:$PM$408=AJ$2)*('BEA Use 2017'!$C$438:$PK$438=$B20)*'BEA Use 2017'!$C$7:$PK$408)</f>
        <v/>
      </c>
      <c r="AK20">
        <f>SUMPRODUCT(('BEA Use 2017'!$PM$7:$PM$408=AK$2)*('BEA Use 2017'!$C$438:$PK$438=$B20)*'BEA Use 2017'!$C$7:$PK$408)</f>
        <v/>
      </c>
      <c r="AL20">
        <f>SUMPRODUCT(('BEA Use 2017'!$PM$7:$PM$408=AL$2)*('BEA Use 2017'!$C$438:$PK$438=$B20)*'BEA Use 2017'!$C$7:$PK$408)</f>
        <v/>
      </c>
      <c r="AM20">
        <f>SUMPRODUCT(('BEA Use 2017'!$PM$7:$PM$408=AM$2)*('BEA Use 2017'!$C$438:$PK$438=$B20)*'BEA Use 2017'!$C$7:$PK$408)</f>
        <v/>
      </c>
      <c r="AN20">
        <f>SUMPRODUCT(('BEA Use 2017'!$PM$7:$PM$408=AN$2)*('BEA Use 2017'!$C$438:$PK$438=$B20)*'BEA Use 2017'!$C$7:$PK$408)</f>
        <v/>
      </c>
      <c r="AO20">
        <f>SUMPRODUCT(('BEA Use 2017'!$PM$7:$PM$408=AO$2)*('BEA Use 2017'!$C$438:$PK$438=$B20)*'BEA Use 2017'!$C$7:$PK$408)</f>
        <v/>
      </c>
      <c r="AP20">
        <f>SUMPRODUCT(('BEA Use 2017'!$PM$7:$PM$408=AP$2)*('BEA Use 2017'!$C$438:$PK$438=$B20)*'BEA Use 2017'!$C$7:$PK$408)</f>
        <v/>
      </c>
      <c r="AQ20">
        <f>SUMPRODUCT(('BEA Use 2017'!$PM$7:$PM$408=AQ$2)*('BEA Use 2017'!$C$438:$PK$438=$B20)*'BEA Use 2017'!$C$7:$PK$408)</f>
        <v/>
      </c>
      <c r="AR20">
        <f>SUMPRODUCT(('BEA Use 2017'!$PM$7:$PM$408=AR$2)*('BEA Use 2017'!$C$438:$PK$438=$B20)*'BEA Use 2017'!$C$7:$PK$408)</f>
        <v/>
      </c>
      <c r="AS20">
        <f>SUMPRODUCT(('BEA Use 2017'!$PM$7:$PM$408=AS$2)*('BEA Use 2017'!$C$438:$PK$438=$B20)*'BEA Use 2017'!$C$7:$PK$408)</f>
        <v/>
      </c>
      <c r="AT20">
        <f>SUMPRODUCT(('BEA Use 2017'!$PM$7:$PM$408=AT$2)*('BEA Use 2017'!$C$438:$PK$438=$B20)*'BEA Use 2017'!$C$7:$PK$408)</f>
        <v/>
      </c>
      <c r="AU20">
        <f>SUMPRODUCT(('BEA Use 2017'!$PM$7:$PM$408=AU$2)*('BEA Use 2017'!$C$438:$PK$438=$B20)*'BEA Use 2017'!$C$7:$PK$408)</f>
        <v/>
      </c>
      <c r="AV20">
        <f>SUMPRODUCT(('BEA Use 2017'!$PM$7:$PM$408=AV$2)*('BEA Use 2017'!$C$438:$PK$438=$B20)*'BEA Use 2017'!$C$7:$PK$408)</f>
        <v/>
      </c>
      <c r="AW20">
        <f>SUMPRODUCT(('BEA Use 2017'!$PM$7:$PM$408=AW$2)*('BEA Use 2017'!$C$438:$PK$438=$B20)*'BEA Use 2017'!$C$7:$PK$408)</f>
        <v/>
      </c>
      <c r="AX20">
        <f>SUMPRODUCT(('BEA Use 2017'!$PM$7:$PM$408=AX$2)*('BEA Use 2017'!$C$438:$PK$438=$B20)*'BEA Use 2017'!$C$7:$PK$408)</f>
        <v/>
      </c>
      <c r="AY20">
        <f>SUMPRODUCT(('BEA Use 2017'!$PM$7:$PM$408=AY$2)*('BEA Use 2017'!$C$438:$PK$438=$B20)*'BEA Use 2017'!$C$7:$PK$408)</f>
        <v/>
      </c>
      <c r="AZ20">
        <f>SUMPRODUCT(('BEA Use 2017'!$PM$7:$PM$408=AZ$2)*('BEA Use 2017'!$C$438:$PK$438=$B20)*'BEA Use 2017'!$C$7:$PK$408)</f>
        <v/>
      </c>
      <c r="BA20">
        <f>SUMPRODUCT(('BEA Use 2017'!$PM$7:$PM$408=BA$2)*('BEA Use 2017'!$C$438:$PK$438=$B20)*'BEA Use 2017'!$C$7:$PK$408)</f>
        <v/>
      </c>
      <c r="BB20">
        <f>SUMPRODUCT(('BEA Use 2017'!$PM$7:$PM$408=BB$2)*('BEA Use 2017'!$C$438:$PK$438=$B20)*'BEA Use 2017'!$C$7:$PK$408)</f>
        <v/>
      </c>
      <c r="BC20">
        <f>SUM(C20:BB20)</f>
        <v/>
      </c>
    </row>
    <row r="21">
      <c r="A21" t="inlineStr">
        <is>
          <t>other machinery 28</t>
        </is>
      </c>
      <c r="B21" t="inlineStr">
        <is>
          <t>ISIC 28</t>
        </is>
      </c>
      <c r="C21">
        <f>SUMPRODUCT(('BEA Use 2017'!$PM$7:$PM$408=C$2)*('BEA Use 2017'!$C$438:$PK$438=$B21)*'BEA Use 2017'!$C$7:$PK$408)</f>
        <v/>
      </c>
      <c r="D21">
        <f>SUMPRODUCT(('BEA Use 2017'!$PM$7:$PM$408=D$2)*('BEA Use 2017'!$C$438:$PK$438=$B21)*'BEA Use 2017'!$C$7:$PK$408)</f>
        <v/>
      </c>
      <c r="E21">
        <f>SUMPRODUCT(('BEA Use 2017'!$PM$7:$PM$408=E$2)*('BEA Use 2017'!$C$438:$PK$438=$B21)*'BEA Use 2017'!$C$7:$PK$408)</f>
        <v/>
      </c>
      <c r="F21">
        <f>SUMPRODUCT(('BEA Use 2017'!$PM$7:$PM$408=F$2)*('BEA Use 2017'!$C$438:$PK$438=$B21)*'BEA Use 2017'!$C$7:$PK$408)</f>
        <v/>
      </c>
      <c r="G21">
        <f>SUMPRODUCT(('BEA Use 2017'!$PM$7:$PM$408=G$2)*('BEA Use 2017'!$C$438:$PK$438=$B21)*'BEA Use 2017'!$C$7:$PK$408)</f>
        <v/>
      </c>
      <c r="H21">
        <f>SUMPRODUCT(('BEA Use 2017'!$PM$7:$PM$408=H$2)*('BEA Use 2017'!$C$438:$PK$438=$B21)*'BEA Use 2017'!$C$7:$PK$408)</f>
        <v/>
      </c>
      <c r="I21">
        <f>SUMPRODUCT(('BEA Use 2017'!$PM$7:$PM$408=I$2)*('BEA Use 2017'!$C$438:$PK$438=$B21)*'BEA Use 2017'!$C$7:$PK$408)</f>
        <v/>
      </c>
      <c r="J21">
        <f>SUMPRODUCT(('BEA Use 2017'!$PM$7:$PM$408=J$2)*('BEA Use 2017'!$C$438:$PK$438=$B21)*'BEA Use 2017'!$C$7:$PK$408)</f>
        <v/>
      </c>
      <c r="K21">
        <f>SUMPRODUCT(('BEA Use 2017'!$PM$7:$PM$408=K$2)*('BEA Use 2017'!$C$438:$PK$438=$B21)*'BEA Use 2017'!$C$7:$PK$408)</f>
        <v/>
      </c>
      <c r="L21">
        <f>SUMPRODUCT(('BEA Use 2017'!$PM$7:$PM$408=L$2)*('BEA Use 2017'!$C$438:$PK$438=$B21)*'BEA Use 2017'!$C$7:$PK$408)</f>
        <v/>
      </c>
      <c r="M21">
        <f>SUMPRODUCT(('BEA Use 2017'!$PM$7:$PM$408=M$2)*('BEA Use 2017'!$C$438:$PK$438=$B21)*'BEA Use 2017'!$C$7:$PK$408)</f>
        <v/>
      </c>
      <c r="N21">
        <f>SUMPRODUCT(('BEA Use 2017'!$PM$7:$PM$408=N$2)*('BEA Use 2017'!$C$438:$PK$438=$B21)*'BEA Use 2017'!$C$7:$PK$408)</f>
        <v/>
      </c>
      <c r="O21">
        <f>SUMPRODUCT(('BEA Use 2017'!$PM$7:$PM$408=O$2)*('BEA Use 2017'!$C$438:$PK$438=$B21)*'BEA Use 2017'!$C$7:$PK$408)</f>
        <v/>
      </c>
      <c r="P21">
        <f>SUMPRODUCT(('BEA Use 2017'!$PM$7:$PM$408=P$2)*('BEA Use 2017'!$C$438:$PK$438=$B21)*'BEA Use 2017'!$C$7:$PK$408)</f>
        <v/>
      </c>
      <c r="Q21">
        <f>SUMPRODUCT(('BEA Use 2017'!$PM$7:$PM$408=Q$2)*('BEA Use 2017'!$C$438:$PK$438=$B21)*'BEA Use 2017'!$C$7:$PK$408)</f>
        <v/>
      </c>
      <c r="R21">
        <f>SUMPRODUCT(('BEA Use 2017'!$PM$7:$PM$408=R$2)*('BEA Use 2017'!$C$438:$PK$438=$B21)*'BEA Use 2017'!$C$7:$PK$408)</f>
        <v/>
      </c>
      <c r="S21">
        <f>SUMPRODUCT(('BEA Use 2017'!$PM$7:$PM$408=S$2)*('BEA Use 2017'!$C$438:$PK$438=$B21)*'BEA Use 2017'!$C$7:$PK$408)</f>
        <v/>
      </c>
      <c r="T21">
        <f>SUMPRODUCT(('BEA Use 2017'!$PM$7:$PM$408=T$2)*('BEA Use 2017'!$C$438:$PK$438=$B21)*'BEA Use 2017'!$C$7:$PK$408)</f>
        <v/>
      </c>
      <c r="U21">
        <f>SUMPRODUCT(('BEA Use 2017'!$PM$7:$PM$408=U$2)*('BEA Use 2017'!$C$438:$PK$438=$B21)*'BEA Use 2017'!$C$7:$PK$408)</f>
        <v/>
      </c>
      <c r="V21">
        <f>SUMPRODUCT(('BEA Use 2017'!$PM$7:$PM$408=V$2)*('BEA Use 2017'!$C$438:$PK$438=$B21)*'BEA Use 2017'!$C$7:$PK$408)</f>
        <v/>
      </c>
      <c r="W21">
        <f>SUMPRODUCT(('BEA Use 2017'!$PM$7:$PM$408=W$2)*('BEA Use 2017'!$C$438:$PK$438=$B21)*'BEA Use 2017'!$C$7:$PK$408)</f>
        <v/>
      </c>
      <c r="X21">
        <f>SUMPRODUCT(('BEA Use 2017'!$PM$7:$PM$408=X$2)*('BEA Use 2017'!$C$438:$PK$438=$B21)*'BEA Use 2017'!$C$7:$PK$408)</f>
        <v/>
      </c>
      <c r="Y21">
        <f>SUMPRODUCT(('BEA Use 2017'!$PM$7:$PM$408=Y$2)*('BEA Use 2017'!$C$438:$PK$438=$B21)*'BEA Use 2017'!$C$7:$PK$408)</f>
        <v/>
      </c>
      <c r="Z21">
        <f>SUMPRODUCT(('BEA Use 2017'!$PM$7:$PM$408=Z$2)*('BEA Use 2017'!$C$438:$PK$438=$B21)*'BEA Use 2017'!$C$7:$PK$408)</f>
        <v/>
      </c>
      <c r="AA21">
        <f>SUMPRODUCT(('BEA Use 2017'!$PM$7:$PM$408=AA$2)*('BEA Use 2017'!$C$438:$PK$438=$B21)*'BEA Use 2017'!$C$7:$PK$408)</f>
        <v/>
      </c>
      <c r="AB21">
        <f>SUMPRODUCT(('BEA Use 2017'!$PM$7:$PM$408=AB$2)*('BEA Use 2017'!$C$438:$PK$438=$B21)*'BEA Use 2017'!$C$7:$PK$408)</f>
        <v/>
      </c>
      <c r="AC21">
        <f>SUMPRODUCT(('BEA Use 2017'!$PM$7:$PM$408=AC$2)*('BEA Use 2017'!$C$438:$PK$438=$B21)*'BEA Use 2017'!$C$7:$PK$408)</f>
        <v/>
      </c>
      <c r="AD21">
        <f>SUMPRODUCT(('BEA Use 2017'!$PM$7:$PM$408=AD$2)*('BEA Use 2017'!$C$438:$PK$438=$B21)*'BEA Use 2017'!$C$7:$PK$408)</f>
        <v/>
      </c>
      <c r="AE21">
        <f>SUMPRODUCT(('BEA Use 2017'!$PM$7:$PM$408=AE$2)*('BEA Use 2017'!$C$438:$PK$438=$B21)*'BEA Use 2017'!$C$7:$PK$408)</f>
        <v/>
      </c>
      <c r="AF21">
        <f>SUMPRODUCT(('BEA Use 2017'!$PM$7:$PM$408=AF$2)*('BEA Use 2017'!$C$438:$PK$438=$B21)*'BEA Use 2017'!$C$7:$PK$408)</f>
        <v/>
      </c>
      <c r="AG21">
        <f>SUMPRODUCT(('BEA Use 2017'!$PM$7:$PM$408=AG$2)*('BEA Use 2017'!$C$438:$PK$438=$B21)*'BEA Use 2017'!$C$7:$PK$408)</f>
        <v/>
      </c>
      <c r="AH21">
        <f>SUMPRODUCT(('BEA Use 2017'!$PM$7:$PM$408=AH$2)*('BEA Use 2017'!$C$438:$PK$438=$B21)*'BEA Use 2017'!$C$7:$PK$408)</f>
        <v/>
      </c>
      <c r="AI21">
        <f>SUMPRODUCT(('BEA Use 2017'!$PM$7:$PM$408=AI$2)*('BEA Use 2017'!$C$438:$PK$438=$B21)*'BEA Use 2017'!$C$7:$PK$408)</f>
        <v/>
      </c>
      <c r="AJ21">
        <f>SUMPRODUCT(('BEA Use 2017'!$PM$7:$PM$408=AJ$2)*('BEA Use 2017'!$C$438:$PK$438=$B21)*'BEA Use 2017'!$C$7:$PK$408)</f>
        <v/>
      </c>
      <c r="AK21">
        <f>SUMPRODUCT(('BEA Use 2017'!$PM$7:$PM$408=AK$2)*('BEA Use 2017'!$C$438:$PK$438=$B21)*'BEA Use 2017'!$C$7:$PK$408)</f>
        <v/>
      </c>
      <c r="AL21">
        <f>SUMPRODUCT(('BEA Use 2017'!$PM$7:$PM$408=AL$2)*('BEA Use 2017'!$C$438:$PK$438=$B21)*'BEA Use 2017'!$C$7:$PK$408)</f>
        <v/>
      </c>
      <c r="AM21">
        <f>SUMPRODUCT(('BEA Use 2017'!$PM$7:$PM$408=AM$2)*('BEA Use 2017'!$C$438:$PK$438=$B21)*'BEA Use 2017'!$C$7:$PK$408)</f>
        <v/>
      </c>
      <c r="AN21">
        <f>SUMPRODUCT(('BEA Use 2017'!$PM$7:$PM$408=AN$2)*('BEA Use 2017'!$C$438:$PK$438=$B21)*'BEA Use 2017'!$C$7:$PK$408)</f>
        <v/>
      </c>
      <c r="AO21">
        <f>SUMPRODUCT(('BEA Use 2017'!$PM$7:$PM$408=AO$2)*('BEA Use 2017'!$C$438:$PK$438=$B21)*'BEA Use 2017'!$C$7:$PK$408)</f>
        <v/>
      </c>
      <c r="AP21">
        <f>SUMPRODUCT(('BEA Use 2017'!$PM$7:$PM$408=AP$2)*('BEA Use 2017'!$C$438:$PK$438=$B21)*'BEA Use 2017'!$C$7:$PK$408)</f>
        <v/>
      </c>
      <c r="AQ21">
        <f>SUMPRODUCT(('BEA Use 2017'!$PM$7:$PM$408=AQ$2)*('BEA Use 2017'!$C$438:$PK$438=$B21)*'BEA Use 2017'!$C$7:$PK$408)</f>
        <v/>
      </c>
      <c r="AR21">
        <f>SUMPRODUCT(('BEA Use 2017'!$PM$7:$PM$408=AR$2)*('BEA Use 2017'!$C$438:$PK$438=$B21)*'BEA Use 2017'!$C$7:$PK$408)</f>
        <v/>
      </c>
      <c r="AS21">
        <f>SUMPRODUCT(('BEA Use 2017'!$PM$7:$PM$408=AS$2)*('BEA Use 2017'!$C$438:$PK$438=$B21)*'BEA Use 2017'!$C$7:$PK$408)</f>
        <v/>
      </c>
      <c r="AT21">
        <f>SUMPRODUCT(('BEA Use 2017'!$PM$7:$PM$408=AT$2)*('BEA Use 2017'!$C$438:$PK$438=$B21)*'BEA Use 2017'!$C$7:$PK$408)</f>
        <v/>
      </c>
      <c r="AU21">
        <f>SUMPRODUCT(('BEA Use 2017'!$PM$7:$PM$408=AU$2)*('BEA Use 2017'!$C$438:$PK$438=$B21)*'BEA Use 2017'!$C$7:$PK$408)</f>
        <v/>
      </c>
      <c r="AV21">
        <f>SUMPRODUCT(('BEA Use 2017'!$PM$7:$PM$408=AV$2)*('BEA Use 2017'!$C$438:$PK$438=$B21)*'BEA Use 2017'!$C$7:$PK$408)</f>
        <v/>
      </c>
      <c r="AW21">
        <f>SUMPRODUCT(('BEA Use 2017'!$PM$7:$PM$408=AW$2)*('BEA Use 2017'!$C$438:$PK$438=$B21)*'BEA Use 2017'!$C$7:$PK$408)</f>
        <v/>
      </c>
      <c r="AX21">
        <f>SUMPRODUCT(('BEA Use 2017'!$PM$7:$PM$408=AX$2)*('BEA Use 2017'!$C$438:$PK$438=$B21)*'BEA Use 2017'!$C$7:$PK$408)</f>
        <v/>
      </c>
      <c r="AY21">
        <f>SUMPRODUCT(('BEA Use 2017'!$PM$7:$PM$408=AY$2)*('BEA Use 2017'!$C$438:$PK$438=$B21)*'BEA Use 2017'!$C$7:$PK$408)</f>
        <v/>
      </c>
      <c r="AZ21">
        <f>SUMPRODUCT(('BEA Use 2017'!$PM$7:$PM$408=AZ$2)*('BEA Use 2017'!$C$438:$PK$438=$B21)*'BEA Use 2017'!$C$7:$PK$408)</f>
        <v/>
      </c>
      <c r="BA21">
        <f>SUMPRODUCT(('BEA Use 2017'!$PM$7:$PM$408=BA$2)*('BEA Use 2017'!$C$438:$PK$438=$B21)*'BEA Use 2017'!$C$7:$PK$408)</f>
        <v/>
      </c>
      <c r="BB21">
        <f>SUMPRODUCT(('BEA Use 2017'!$PM$7:$PM$408=BB$2)*('BEA Use 2017'!$C$438:$PK$438=$B21)*'BEA Use 2017'!$C$7:$PK$408)</f>
        <v/>
      </c>
      <c r="BC21">
        <f>SUM(C21:BB21)</f>
        <v/>
      </c>
    </row>
    <row r="22">
      <c r="A22" t="inlineStr">
        <is>
          <t>road vehicles 29</t>
        </is>
      </c>
      <c r="B22" t="inlineStr">
        <is>
          <t>ISIC 29</t>
        </is>
      </c>
      <c r="C22">
        <f>SUMPRODUCT(('BEA Use 2017'!$PM$7:$PM$408=C$2)*('BEA Use 2017'!$C$438:$PK$438=$B22)*'BEA Use 2017'!$C$7:$PK$408)</f>
        <v/>
      </c>
      <c r="D22">
        <f>SUMPRODUCT(('BEA Use 2017'!$PM$7:$PM$408=D$2)*('BEA Use 2017'!$C$438:$PK$438=$B22)*'BEA Use 2017'!$C$7:$PK$408)</f>
        <v/>
      </c>
      <c r="E22">
        <f>SUMPRODUCT(('BEA Use 2017'!$PM$7:$PM$408=E$2)*('BEA Use 2017'!$C$438:$PK$438=$B22)*'BEA Use 2017'!$C$7:$PK$408)</f>
        <v/>
      </c>
      <c r="F22">
        <f>SUMPRODUCT(('BEA Use 2017'!$PM$7:$PM$408=F$2)*('BEA Use 2017'!$C$438:$PK$438=$B22)*'BEA Use 2017'!$C$7:$PK$408)</f>
        <v/>
      </c>
      <c r="G22">
        <f>SUMPRODUCT(('BEA Use 2017'!$PM$7:$PM$408=G$2)*('BEA Use 2017'!$C$438:$PK$438=$B22)*'BEA Use 2017'!$C$7:$PK$408)</f>
        <v/>
      </c>
      <c r="H22">
        <f>SUMPRODUCT(('BEA Use 2017'!$PM$7:$PM$408=H$2)*('BEA Use 2017'!$C$438:$PK$438=$B22)*'BEA Use 2017'!$C$7:$PK$408)</f>
        <v/>
      </c>
      <c r="I22">
        <f>SUMPRODUCT(('BEA Use 2017'!$PM$7:$PM$408=I$2)*('BEA Use 2017'!$C$438:$PK$438=$B22)*'BEA Use 2017'!$C$7:$PK$408)</f>
        <v/>
      </c>
      <c r="J22">
        <f>SUMPRODUCT(('BEA Use 2017'!$PM$7:$PM$408=J$2)*('BEA Use 2017'!$C$438:$PK$438=$B22)*'BEA Use 2017'!$C$7:$PK$408)</f>
        <v/>
      </c>
      <c r="K22">
        <f>SUMPRODUCT(('BEA Use 2017'!$PM$7:$PM$408=K$2)*('BEA Use 2017'!$C$438:$PK$438=$B22)*'BEA Use 2017'!$C$7:$PK$408)</f>
        <v/>
      </c>
      <c r="L22">
        <f>SUMPRODUCT(('BEA Use 2017'!$PM$7:$PM$408=L$2)*('BEA Use 2017'!$C$438:$PK$438=$B22)*'BEA Use 2017'!$C$7:$PK$408)</f>
        <v/>
      </c>
      <c r="M22">
        <f>SUMPRODUCT(('BEA Use 2017'!$PM$7:$PM$408=M$2)*('BEA Use 2017'!$C$438:$PK$438=$B22)*'BEA Use 2017'!$C$7:$PK$408)</f>
        <v/>
      </c>
      <c r="N22">
        <f>SUMPRODUCT(('BEA Use 2017'!$PM$7:$PM$408=N$2)*('BEA Use 2017'!$C$438:$PK$438=$B22)*'BEA Use 2017'!$C$7:$PK$408)</f>
        <v/>
      </c>
      <c r="O22">
        <f>SUMPRODUCT(('BEA Use 2017'!$PM$7:$PM$408=O$2)*('BEA Use 2017'!$C$438:$PK$438=$B22)*'BEA Use 2017'!$C$7:$PK$408)</f>
        <v/>
      </c>
      <c r="P22">
        <f>SUMPRODUCT(('BEA Use 2017'!$PM$7:$PM$408=P$2)*('BEA Use 2017'!$C$438:$PK$438=$B22)*'BEA Use 2017'!$C$7:$PK$408)</f>
        <v/>
      </c>
      <c r="Q22">
        <f>SUMPRODUCT(('BEA Use 2017'!$PM$7:$PM$408=Q$2)*('BEA Use 2017'!$C$438:$PK$438=$B22)*'BEA Use 2017'!$C$7:$PK$408)</f>
        <v/>
      </c>
      <c r="R22">
        <f>SUMPRODUCT(('BEA Use 2017'!$PM$7:$PM$408=R$2)*('BEA Use 2017'!$C$438:$PK$438=$B22)*'BEA Use 2017'!$C$7:$PK$408)</f>
        <v/>
      </c>
      <c r="S22">
        <f>SUMPRODUCT(('BEA Use 2017'!$PM$7:$PM$408=S$2)*('BEA Use 2017'!$C$438:$PK$438=$B22)*'BEA Use 2017'!$C$7:$PK$408)</f>
        <v/>
      </c>
      <c r="T22">
        <f>SUMPRODUCT(('BEA Use 2017'!$PM$7:$PM$408=T$2)*('BEA Use 2017'!$C$438:$PK$438=$B22)*'BEA Use 2017'!$C$7:$PK$408)</f>
        <v/>
      </c>
      <c r="U22">
        <f>SUMPRODUCT(('BEA Use 2017'!$PM$7:$PM$408=U$2)*('BEA Use 2017'!$C$438:$PK$438=$B22)*'BEA Use 2017'!$C$7:$PK$408)</f>
        <v/>
      </c>
      <c r="V22">
        <f>SUMPRODUCT(('BEA Use 2017'!$PM$7:$PM$408=V$2)*('BEA Use 2017'!$C$438:$PK$438=$B22)*'BEA Use 2017'!$C$7:$PK$408)</f>
        <v/>
      </c>
      <c r="W22">
        <f>SUMPRODUCT(('BEA Use 2017'!$PM$7:$PM$408=W$2)*('BEA Use 2017'!$C$438:$PK$438=$B22)*'BEA Use 2017'!$C$7:$PK$408)</f>
        <v/>
      </c>
      <c r="X22">
        <f>SUMPRODUCT(('BEA Use 2017'!$PM$7:$PM$408=X$2)*('BEA Use 2017'!$C$438:$PK$438=$B22)*'BEA Use 2017'!$C$7:$PK$408)</f>
        <v/>
      </c>
      <c r="Y22">
        <f>SUMPRODUCT(('BEA Use 2017'!$PM$7:$PM$408=Y$2)*('BEA Use 2017'!$C$438:$PK$438=$B22)*'BEA Use 2017'!$C$7:$PK$408)</f>
        <v/>
      </c>
      <c r="Z22">
        <f>SUMPRODUCT(('BEA Use 2017'!$PM$7:$PM$408=Z$2)*('BEA Use 2017'!$C$438:$PK$438=$B22)*'BEA Use 2017'!$C$7:$PK$408)</f>
        <v/>
      </c>
      <c r="AA22">
        <f>SUMPRODUCT(('BEA Use 2017'!$PM$7:$PM$408=AA$2)*('BEA Use 2017'!$C$438:$PK$438=$B22)*'BEA Use 2017'!$C$7:$PK$408)</f>
        <v/>
      </c>
      <c r="AB22">
        <f>SUMPRODUCT(('BEA Use 2017'!$PM$7:$PM$408=AB$2)*('BEA Use 2017'!$C$438:$PK$438=$B22)*'BEA Use 2017'!$C$7:$PK$408)</f>
        <v/>
      </c>
      <c r="AC22">
        <f>SUMPRODUCT(('BEA Use 2017'!$PM$7:$PM$408=AC$2)*('BEA Use 2017'!$C$438:$PK$438=$B22)*'BEA Use 2017'!$C$7:$PK$408)</f>
        <v/>
      </c>
      <c r="AD22">
        <f>SUMPRODUCT(('BEA Use 2017'!$PM$7:$PM$408=AD$2)*('BEA Use 2017'!$C$438:$PK$438=$B22)*'BEA Use 2017'!$C$7:$PK$408)</f>
        <v/>
      </c>
      <c r="AE22">
        <f>SUMPRODUCT(('BEA Use 2017'!$PM$7:$PM$408=AE$2)*('BEA Use 2017'!$C$438:$PK$438=$B22)*'BEA Use 2017'!$C$7:$PK$408)</f>
        <v/>
      </c>
      <c r="AF22">
        <f>SUMPRODUCT(('BEA Use 2017'!$PM$7:$PM$408=AF$2)*('BEA Use 2017'!$C$438:$PK$438=$B22)*'BEA Use 2017'!$C$7:$PK$408)</f>
        <v/>
      </c>
      <c r="AG22">
        <f>SUMPRODUCT(('BEA Use 2017'!$PM$7:$PM$408=AG$2)*('BEA Use 2017'!$C$438:$PK$438=$B22)*'BEA Use 2017'!$C$7:$PK$408)</f>
        <v/>
      </c>
      <c r="AH22">
        <f>SUMPRODUCT(('BEA Use 2017'!$PM$7:$PM$408=AH$2)*('BEA Use 2017'!$C$438:$PK$438=$B22)*'BEA Use 2017'!$C$7:$PK$408)</f>
        <v/>
      </c>
      <c r="AI22">
        <f>SUMPRODUCT(('BEA Use 2017'!$PM$7:$PM$408=AI$2)*('BEA Use 2017'!$C$438:$PK$438=$B22)*'BEA Use 2017'!$C$7:$PK$408)</f>
        <v/>
      </c>
      <c r="AJ22">
        <f>SUMPRODUCT(('BEA Use 2017'!$PM$7:$PM$408=AJ$2)*('BEA Use 2017'!$C$438:$PK$438=$B22)*'BEA Use 2017'!$C$7:$PK$408)</f>
        <v/>
      </c>
      <c r="AK22">
        <f>SUMPRODUCT(('BEA Use 2017'!$PM$7:$PM$408=AK$2)*('BEA Use 2017'!$C$438:$PK$438=$B22)*'BEA Use 2017'!$C$7:$PK$408)</f>
        <v/>
      </c>
      <c r="AL22">
        <f>SUMPRODUCT(('BEA Use 2017'!$PM$7:$PM$408=AL$2)*('BEA Use 2017'!$C$438:$PK$438=$B22)*'BEA Use 2017'!$C$7:$PK$408)</f>
        <v/>
      </c>
      <c r="AM22">
        <f>SUMPRODUCT(('BEA Use 2017'!$PM$7:$PM$408=AM$2)*('BEA Use 2017'!$C$438:$PK$438=$B22)*'BEA Use 2017'!$C$7:$PK$408)</f>
        <v/>
      </c>
      <c r="AN22">
        <f>SUMPRODUCT(('BEA Use 2017'!$PM$7:$PM$408=AN$2)*('BEA Use 2017'!$C$438:$PK$438=$B22)*'BEA Use 2017'!$C$7:$PK$408)</f>
        <v/>
      </c>
      <c r="AO22">
        <f>SUMPRODUCT(('BEA Use 2017'!$PM$7:$PM$408=AO$2)*('BEA Use 2017'!$C$438:$PK$438=$B22)*'BEA Use 2017'!$C$7:$PK$408)</f>
        <v/>
      </c>
      <c r="AP22">
        <f>SUMPRODUCT(('BEA Use 2017'!$PM$7:$PM$408=AP$2)*('BEA Use 2017'!$C$438:$PK$438=$B22)*'BEA Use 2017'!$C$7:$PK$408)</f>
        <v/>
      </c>
      <c r="AQ22">
        <f>SUMPRODUCT(('BEA Use 2017'!$PM$7:$PM$408=AQ$2)*('BEA Use 2017'!$C$438:$PK$438=$B22)*'BEA Use 2017'!$C$7:$PK$408)</f>
        <v/>
      </c>
      <c r="AR22">
        <f>SUMPRODUCT(('BEA Use 2017'!$PM$7:$PM$408=AR$2)*('BEA Use 2017'!$C$438:$PK$438=$B22)*'BEA Use 2017'!$C$7:$PK$408)</f>
        <v/>
      </c>
      <c r="AS22">
        <f>SUMPRODUCT(('BEA Use 2017'!$PM$7:$PM$408=AS$2)*('BEA Use 2017'!$C$438:$PK$438=$B22)*'BEA Use 2017'!$C$7:$PK$408)</f>
        <v/>
      </c>
      <c r="AT22">
        <f>SUMPRODUCT(('BEA Use 2017'!$PM$7:$PM$408=AT$2)*('BEA Use 2017'!$C$438:$PK$438=$B22)*'BEA Use 2017'!$C$7:$PK$408)</f>
        <v/>
      </c>
      <c r="AU22">
        <f>SUMPRODUCT(('BEA Use 2017'!$PM$7:$PM$408=AU$2)*('BEA Use 2017'!$C$438:$PK$438=$B22)*'BEA Use 2017'!$C$7:$PK$408)</f>
        <v/>
      </c>
      <c r="AV22">
        <f>SUMPRODUCT(('BEA Use 2017'!$PM$7:$PM$408=AV$2)*('BEA Use 2017'!$C$438:$PK$438=$B22)*'BEA Use 2017'!$C$7:$PK$408)</f>
        <v/>
      </c>
      <c r="AW22">
        <f>SUMPRODUCT(('BEA Use 2017'!$PM$7:$PM$408=AW$2)*('BEA Use 2017'!$C$438:$PK$438=$B22)*'BEA Use 2017'!$C$7:$PK$408)</f>
        <v/>
      </c>
      <c r="AX22">
        <f>SUMPRODUCT(('BEA Use 2017'!$PM$7:$PM$408=AX$2)*('BEA Use 2017'!$C$438:$PK$438=$B22)*'BEA Use 2017'!$C$7:$PK$408)</f>
        <v/>
      </c>
      <c r="AY22">
        <f>SUMPRODUCT(('BEA Use 2017'!$PM$7:$PM$408=AY$2)*('BEA Use 2017'!$C$438:$PK$438=$B22)*'BEA Use 2017'!$C$7:$PK$408)</f>
        <v/>
      </c>
      <c r="AZ22">
        <f>SUMPRODUCT(('BEA Use 2017'!$PM$7:$PM$408=AZ$2)*('BEA Use 2017'!$C$438:$PK$438=$B22)*'BEA Use 2017'!$C$7:$PK$408)</f>
        <v/>
      </c>
      <c r="BA22">
        <f>SUMPRODUCT(('BEA Use 2017'!$PM$7:$PM$408=BA$2)*('BEA Use 2017'!$C$438:$PK$438=$B22)*'BEA Use 2017'!$C$7:$PK$408)</f>
        <v/>
      </c>
      <c r="BB22">
        <f>SUMPRODUCT(('BEA Use 2017'!$PM$7:$PM$408=BB$2)*('BEA Use 2017'!$C$438:$PK$438=$B22)*'BEA Use 2017'!$C$7:$PK$408)</f>
        <v/>
      </c>
      <c r="BC22">
        <f>SUM(C22:BB22)</f>
        <v/>
      </c>
    </row>
    <row r="23">
      <c r="A23" t="inlineStr">
        <is>
          <t>nonroad vehicles 30</t>
        </is>
      </c>
      <c r="B23" t="inlineStr">
        <is>
          <t>ISIC 302T309</t>
        </is>
      </c>
      <c r="C23">
        <f>SUMPRODUCT(('BEA Use 2017'!$PM$7:$PM$408=C$2)*('BEA Use 2017'!$C$438:$PK$438=$B23)*'BEA Use 2017'!$C$7:$PK$408)</f>
        <v/>
      </c>
      <c r="D23">
        <f>SUMPRODUCT(('BEA Use 2017'!$PM$7:$PM$408=D$2)*('BEA Use 2017'!$C$438:$PK$438=$B23)*'BEA Use 2017'!$C$7:$PK$408)</f>
        <v/>
      </c>
      <c r="E23">
        <f>SUMPRODUCT(('BEA Use 2017'!$PM$7:$PM$408=E$2)*('BEA Use 2017'!$C$438:$PK$438=$B23)*'BEA Use 2017'!$C$7:$PK$408)</f>
        <v/>
      </c>
      <c r="F23">
        <f>SUMPRODUCT(('BEA Use 2017'!$PM$7:$PM$408=F$2)*('BEA Use 2017'!$C$438:$PK$438=$B23)*'BEA Use 2017'!$C$7:$PK$408)</f>
        <v/>
      </c>
      <c r="G23">
        <f>SUMPRODUCT(('BEA Use 2017'!$PM$7:$PM$408=G$2)*('BEA Use 2017'!$C$438:$PK$438=$B23)*'BEA Use 2017'!$C$7:$PK$408)</f>
        <v/>
      </c>
      <c r="H23">
        <f>SUMPRODUCT(('BEA Use 2017'!$PM$7:$PM$408=H$2)*('BEA Use 2017'!$C$438:$PK$438=$B23)*'BEA Use 2017'!$C$7:$PK$408)</f>
        <v/>
      </c>
      <c r="I23">
        <f>SUMPRODUCT(('BEA Use 2017'!$PM$7:$PM$408=I$2)*('BEA Use 2017'!$C$438:$PK$438=$B23)*'BEA Use 2017'!$C$7:$PK$408)</f>
        <v/>
      </c>
      <c r="J23">
        <f>SUMPRODUCT(('BEA Use 2017'!$PM$7:$PM$408=J$2)*('BEA Use 2017'!$C$438:$PK$438=$B23)*'BEA Use 2017'!$C$7:$PK$408)</f>
        <v/>
      </c>
      <c r="K23">
        <f>SUMPRODUCT(('BEA Use 2017'!$PM$7:$PM$408=K$2)*('BEA Use 2017'!$C$438:$PK$438=$B23)*'BEA Use 2017'!$C$7:$PK$408)</f>
        <v/>
      </c>
      <c r="L23">
        <f>SUMPRODUCT(('BEA Use 2017'!$PM$7:$PM$408=L$2)*('BEA Use 2017'!$C$438:$PK$438=$B23)*'BEA Use 2017'!$C$7:$PK$408)</f>
        <v/>
      </c>
      <c r="M23">
        <f>SUMPRODUCT(('BEA Use 2017'!$PM$7:$PM$408=M$2)*('BEA Use 2017'!$C$438:$PK$438=$B23)*'BEA Use 2017'!$C$7:$PK$408)</f>
        <v/>
      </c>
      <c r="N23">
        <f>SUMPRODUCT(('BEA Use 2017'!$PM$7:$PM$408=N$2)*('BEA Use 2017'!$C$438:$PK$438=$B23)*'BEA Use 2017'!$C$7:$PK$408)</f>
        <v/>
      </c>
      <c r="O23">
        <f>SUMPRODUCT(('BEA Use 2017'!$PM$7:$PM$408=O$2)*('BEA Use 2017'!$C$438:$PK$438=$B23)*'BEA Use 2017'!$C$7:$PK$408)</f>
        <v/>
      </c>
      <c r="P23">
        <f>SUMPRODUCT(('BEA Use 2017'!$PM$7:$PM$408=P$2)*('BEA Use 2017'!$C$438:$PK$438=$B23)*'BEA Use 2017'!$C$7:$PK$408)</f>
        <v/>
      </c>
      <c r="Q23">
        <f>SUMPRODUCT(('BEA Use 2017'!$PM$7:$PM$408=Q$2)*('BEA Use 2017'!$C$438:$PK$438=$B23)*'BEA Use 2017'!$C$7:$PK$408)</f>
        <v/>
      </c>
      <c r="R23">
        <f>SUMPRODUCT(('BEA Use 2017'!$PM$7:$PM$408=R$2)*('BEA Use 2017'!$C$438:$PK$438=$B23)*'BEA Use 2017'!$C$7:$PK$408)</f>
        <v/>
      </c>
      <c r="S23">
        <f>SUMPRODUCT(('BEA Use 2017'!$PM$7:$PM$408=S$2)*('BEA Use 2017'!$C$438:$PK$438=$B23)*'BEA Use 2017'!$C$7:$PK$408)</f>
        <v/>
      </c>
      <c r="T23">
        <f>SUMPRODUCT(('BEA Use 2017'!$PM$7:$PM$408=T$2)*('BEA Use 2017'!$C$438:$PK$438=$B23)*'BEA Use 2017'!$C$7:$PK$408)</f>
        <v/>
      </c>
      <c r="U23">
        <f>SUMPRODUCT(('BEA Use 2017'!$PM$7:$PM$408=U$2)*('BEA Use 2017'!$C$438:$PK$438=$B23)*'BEA Use 2017'!$C$7:$PK$408)</f>
        <v/>
      </c>
      <c r="V23">
        <f>SUMPRODUCT(('BEA Use 2017'!$PM$7:$PM$408=V$2)*('BEA Use 2017'!$C$438:$PK$438=$B23)*'BEA Use 2017'!$C$7:$PK$408)</f>
        <v/>
      </c>
      <c r="W23">
        <f>SUMPRODUCT(('BEA Use 2017'!$PM$7:$PM$408=W$2)*('BEA Use 2017'!$C$438:$PK$438=$B23)*'BEA Use 2017'!$C$7:$PK$408)</f>
        <v/>
      </c>
      <c r="X23">
        <f>SUMPRODUCT(('BEA Use 2017'!$PM$7:$PM$408=X$2)*('BEA Use 2017'!$C$438:$PK$438=$B23)*'BEA Use 2017'!$C$7:$PK$408)</f>
        <v/>
      </c>
      <c r="Y23">
        <f>SUMPRODUCT(('BEA Use 2017'!$PM$7:$PM$408=Y$2)*('BEA Use 2017'!$C$438:$PK$438=$B23)*'BEA Use 2017'!$C$7:$PK$408)</f>
        <v/>
      </c>
      <c r="Z23">
        <f>SUMPRODUCT(('BEA Use 2017'!$PM$7:$PM$408=Z$2)*('BEA Use 2017'!$C$438:$PK$438=$B23)*'BEA Use 2017'!$C$7:$PK$408)</f>
        <v/>
      </c>
      <c r="AA23">
        <f>SUMPRODUCT(('BEA Use 2017'!$PM$7:$PM$408=AA$2)*('BEA Use 2017'!$C$438:$PK$438=$B23)*'BEA Use 2017'!$C$7:$PK$408)</f>
        <v/>
      </c>
      <c r="AB23">
        <f>SUMPRODUCT(('BEA Use 2017'!$PM$7:$PM$408=AB$2)*('BEA Use 2017'!$C$438:$PK$438=$B23)*'BEA Use 2017'!$C$7:$PK$408)</f>
        <v/>
      </c>
      <c r="AC23">
        <f>SUMPRODUCT(('BEA Use 2017'!$PM$7:$PM$408=AC$2)*('BEA Use 2017'!$C$438:$PK$438=$B23)*'BEA Use 2017'!$C$7:$PK$408)</f>
        <v/>
      </c>
      <c r="AD23">
        <f>SUMPRODUCT(('BEA Use 2017'!$PM$7:$PM$408=AD$2)*('BEA Use 2017'!$C$438:$PK$438=$B23)*'BEA Use 2017'!$C$7:$PK$408)</f>
        <v/>
      </c>
      <c r="AE23">
        <f>SUMPRODUCT(('BEA Use 2017'!$PM$7:$PM$408=AE$2)*('BEA Use 2017'!$C$438:$PK$438=$B23)*'BEA Use 2017'!$C$7:$PK$408)</f>
        <v/>
      </c>
      <c r="AF23">
        <f>SUMPRODUCT(('BEA Use 2017'!$PM$7:$PM$408=AF$2)*('BEA Use 2017'!$C$438:$PK$438=$B23)*'BEA Use 2017'!$C$7:$PK$408)</f>
        <v/>
      </c>
      <c r="AG23">
        <f>SUMPRODUCT(('BEA Use 2017'!$PM$7:$PM$408=AG$2)*('BEA Use 2017'!$C$438:$PK$438=$B23)*'BEA Use 2017'!$C$7:$PK$408)</f>
        <v/>
      </c>
      <c r="AH23">
        <f>SUMPRODUCT(('BEA Use 2017'!$PM$7:$PM$408=AH$2)*('BEA Use 2017'!$C$438:$PK$438=$B23)*'BEA Use 2017'!$C$7:$PK$408)</f>
        <v/>
      </c>
      <c r="AI23">
        <f>SUMPRODUCT(('BEA Use 2017'!$PM$7:$PM$408=AI$2)*('BEA Use 2017'!$C$438:$PK$438=$B23)*'BEA Use 2017'!$C$7:$PK$408)</f>
        <v/>
      </c>
      <c r="AJ23">
        <f>SUMPRODUCT(('BEA Use 2017'!$PM$7:$PM$408=AJ$2)*('BEA Use 2017'!$C$438:$PK$438=$B23)*'BEA Use 2017'!$C$7:$PK$408)</f>
        <v/>
      </c>
      <c r="AK23">
        <f>SUMPRODUCT(('BEA Use 2017'!$PM$7:$PM$408=AK$2)*('BEA Use 2017'!$C$438:$PK$438=$B23)*'BEA Use 2017'!$C$7:$PK$408)</f>
        <v/>
      </c>
      <c r="AL23">
        <f>SUMPRODUCT(('BEA Use 2017'!$PM$7:$PM$408=AL$2)*('BEA Use 2017'!$C$438:$PK$438=$B23)*'BEA Use 2017'!$C$7:$PK$408)</f>
        <v/>
      </c>
      <c r="AM23">
        <f>SUMPRODUCT(('BEA Use 2017'!$PM$7:$PM$408=AM$2)*('BEA Use 2017'!$C$438:$PK$438=$B23)*'BEA Use 2017'!$C$7:$PK$408)</f>
        <v/>
      </c>
      <c r="AN23">
        <f>SUMPRODUCT(('BEA Use 2017'!$PM$7:$PM$408=AN$2)*('BEA Use 2017'!$C$438:$PK$438=$B23)*'BEA Use 2017'!$C$7:$PK$408)</f>
        <v/>
      </c>
      <c r="AO23">
        <f>SUMPRODUCT(('BEA Use 2017'!$PM$7:$PM$408=AO$2)*('BEA Use 2017'!$C$438:$PK$438=$B23)*'BEA Use 2017'!$C$7:$PK$408)</f>
        <v/>
      </c>
      <c r="AP23">
        <f>SUMPRODUCT(('BEA Use 2017'!$PM$7:$PM$408=AP$2)*('BEA Use 2017'!$C$438:$PK$438=$B23)*'BEA Use 2017'!$C$7:$PK$408)</f>
        <v/>
      </c>
      <c r="AQ23">
        <f>SUMPRODUCT(('BEA Use 2017'!$PM$7:$PM$408=AQ$2)*('BEA Use 2017'!$C$438:$PK$438=$B23)*'BEA Use 2017'!$C$7:$PK$408)</f>
        <v/>
      </c>
      <c r="AR23">
        <f>SUMPRODUCT(('BEA Use 2017'!$PM$7:$PM$408=AR$2)*('BEA Use 2017'!$C$438:$PK$438=$B23)*'BEA Use 2017'!$C$7:$PK$408)</f>
        <v/>
      </c>
      <c r="AS23">
        <f>SUMPRODUCT(('BEA Use 2017'!$PM$7:$PM$408=AS$2)*('BEA Use 2017'!$C$438:$PK$438=$B23)*'BEA Use 2017'!$C$7:$PK$408)</f>
        <v/>
      </c>
      <c r="AT23">
        <f>SUMPRODUCT(('BEA Use 2017'!$PM$7:$PM$408=AT$2)*('BEA Use 2017'!$C$438:$PK$438=$B23)*'BEA Use 2017'!$C$7:$PK$408)</f>
        <v/>
      </c>
      <c r="AU23">
        <f>SUMPRODUCT(('BEA Use 2017'!$PM$7:$PM$408=AU$2)*('BEA Use 2017'!$C$438:$PK$438=$B23)*'BEA Use 2017'!$C$7:$PK$408)</f>
        <v/>
      </c>
      <c r="AV23">
        <f>SUMPRODUCT(('BEA Use 2017'!$PM$7:$PM$408=AV$2)*('BEA Use 2017'!$C$438:$PK$438=$B23)*'BEA Use 2017'!$C$7:$PK$408)</f>
        <v/>
      </c>
      <c r="AW23">
        <f>SUMPRODUCT(('BEA Use 2017'!$PM$7:$PM$408=AW$2)*('BEA Use 2017'!$C$438:$PK$438=$B23)*'BEA Use 2017'!$C$7:$PK$408)</f>
        <v/>
      </c>
      <c r="AX23">
        <f>SUMPRODUCT(('BEA Use 2017'!$PM$7:$PM$408=AX$2)*('BEA Use 2017'!$C$438:$PK$438=$B23)*'BEA Use 2017'!$C$7:$PK$408)</f>
        <v/>
      </c>
      <c r="AY23">
        <f>SUMPRODUCT(('BEA Use 2017'!$PM$7:$PM$408=AY$2)*('BEA Use 2017'!$C$438:$PK$438=$B23)*'BEA Use 2017'!$C$7:$PK$408)</f>
        <v/>
      </c>
      <c r="AZ23">
        <f>SUMPRODUCT(('BEA Use 2017'!$PM$7:$PM$408=AZ$2)*('BEA Use 2017'!$C$438:$PK$438=$B23)*'BEA Use 2017'!$C$7:$PK$408)</f>
        <v/>
      </c>
      <c r="BA23">
        <f>SUMPRODUCT(('BEA Use 2017'!$PM$7:$PM$408=BA$2)*('BEA Use 2017'!$C$438:$PK$438=$B23)*'BEA Use 2017'!$C$7:$PK$408)</f>
        <v/>
      </c>
      <c r="BB23">
        <f>SUMPRODUCT(('BEA Use 2017'!$PM$7:$PM$408=BB$2)*('BEA Use 2017'!$C$438:$PK$438=$B23)*'BEA Use 2017'!$C$7:$PK$408)</f>
        <v/>
      </c>
      <c r="BC23">
        <f>SUM(C23:BB23)</f>
        <v/>
      </c>
    </row>
    <row r="24">
      <c r="A24" t="inlineStr">
        <is>
          <t>other manufacturing 31T33</t>
        </is>
      </c>
      <c r="B24" t="inlineStr">
        <is>
          <t>ISIC 31T33</t>
        </is>
      </c>
      <c r="C24">
        <f>SUMPRODUCT(('BEA Use 2017'!$PM$7:$PM$408=C$2)*('BEA Use 2017'!$C$438:$PK$438=$B24)*'BEA Use 2017'!$C$7:$PK$408)</f>
        <v/>
      </c>
      <c r="D24">
        <f>SUMPRODUCT(('BEA Use 2017'!$PM$7:$PM$408=D$2)*('BEA Use 2017'!$C$438:$PK$438=$B24)*'BEA Use 2017'!$C$7:$PK$408)</f>
        <v/>
      </c>
      <c r="E24">
        <f>SUMPRODUCT(('BEA Use 2017'!$PM$7:$PM$408=E$2)*('BEA Use 2017'!$C$438:$PK$438=$B24)*'BEA Use 2017'!$C$7:$PK$408)</f>
        <v/>
      </c>
      <c r="F24">
        <f>SUMPRODUCT(('BEA Use 2017'!$PM$7:$PM$408=F$2)*('BEA Use 2017'!$C$438:$PK$438=$B24)*'BEA Use 2017'!$C$7:$PK$408)</f>
        <v/>
      </c>
      <c r="G24">
        <f>SUMPRODUCT(('BEA Use 2017'!$PM$7:$PM$408=G$2)*('BEA Use 2017'!$C$438:$PK$438=$B24)*'BEA Use 2017'!$C$7:$PK$408)</f>
        <v/>
      </c>
      <c r="H24">
        <f>SUMPRODUCT(('BEA Use 2017'!$PM$7:$PM$408=H$2)*('BEA Use 2017'!$C$438:$PK$438=$B24)*'BEA Use 2017'!$C$7:$PK$408)</f>
        <v/>
      </c>
      <c r="I24">
        <f>SUMPRODUCT(('BEA Use 2017'!$PM$7:$PM$408=I$2)*('BEA Use 2017'!$C$438:$PK$438=$B24)*'BEA Use 2017'!$C$7:$PK$408)</f>
        <v/>
      </c>
      <c r="J24">
        <f>SUMPRODUCT(('BEA Use 2017'!$PM$7:$PM$408=J$2)*('BEA Use 2017'!$C$438:$PK$438=$B24)*'BEA Use 2017'!$C$7:$PK$408)</f>
        <v/>
      </c>
      <c r="K24">
        <f>SUMPRODUCT(('BEA Use 2017'!$PM$7:$PM$408=K$2)*('BEA Use 2017'!$C$438:$PK$438=$B24)*'BEA Use 2017'!$C$7:$PK$408)</f>
        <v/>
      </c>
      <c r="L24">
        <f>SUMPRODUCT(('BEA Use 2017'!$PM$7:$PM$408=L$2)*('BEA Use 2017'!$C$438:$PK$438=$B24)*'BEA Use 2017'!$C$7:$PK$408)</f>
        <v/>
      </c>
      <c r="M24">
        <f>SUMPRODUCT(('BEA Use 2017'!$PM$7:$PM$408=M$2)*('BEA Use 2017'!$C$438:$PK$438=$B24)*'BEA Use 2017'!$C$7:$PK$408)</f>
        <v/>
      </c>
      <c r="N24">
        <f>SUMPRODUCT(('BEA Use 2017'!$PM$7:$PM$408=N$2)*('BEA Use 2017'!$C$438:$PK$438=$B24)*'BEA Use 2017'!$C$7:$PK$408)</f>
        <v/>
      </c>
      <c r="O24">
        <f>SUMPRODUCT(('BEA Use 2017'!$PM$7:$PM$408=O$2)*('BEA Use 2017'!$C$438:$PK$438=$B24)*'BEA Use 2017'!$C$7:$PK$408)</f>
        <v/>
      </c>
      <c r="P24">
        <f>SUMPRODUCT(('BEA Use 2017'!$PM$7:$PM$408=P$2)*('BEA Use 2017'!$C$438:$PK$438=$B24)*'BEA Use 2017'!$C$7:$PK$408)</f>
        <v/>
      </c>
      <c r="Q24">
        <f>SUMPRODUCT(('BEA Use 2017'!$PM$7:$PM$408=Q$2)*('BEA Use 2017'!$C$438:$PK$438=$B24)*'BEA Use 2017'!$C$7:$PK$408)</f>
        <v/>
      </c>
      <c r="R24">
        <f>SUMPRODUCT(('BEA Use 2017'!$PM$7:$PM$408=R$2)*('BEA Use 2017'!$C$438:$PK$438=$B24)*'BEA Use 2017'!$C$7:$PK$408)</f>
        <v/>
      </c>
      <c r="S24">
        <f>SUMPRODUCT(('BEA Use 2017'!$PM$7:$PM$408=S$2)*('BEA Use 2017'!$C$438:$PK$438=$B24)*'BEA Use 2017'!$C$7:$PK$408)</f>
        <v/>
      </c>
      <c r="T24">
        <f>SUMPRODUCT(('BEA Use 2017'!$PM$7:$PM$408=T$2)*('BEA Use 2017'!$C$438:$PK$438=$B24)*'BEA Use 2017'!$C$7:$PK$408)</f>
        <v/>
      </c>
      <c r="U24">
        <f>SUMPRODUCT(('BEA Use 2017'!$PM$7:$PM$408=U$2)*('BEA Use 2017'!$C$438:$PK$438=$B24)*'BEA Use 2017'!$C$7:$PK$408)</f>
        <v/>
      </c>
      <c r="V24">
        <f>SUMPRODUCT(('BEA Use 2017'!$PM$7:$PM$408=V$2)*('BEA Use 2017'!$C$438:$PK$438=$B24)*'BEA Use 2017'!$C$7:$PK$408)</f>
        <v/>
      </c>
      <c r="W24">
        <f>SUMPRODUCT(('BEA Use 2017'!$PM$7:$PM$408=W$2)*('BEA Use 2017'!$C$438:$PK$438=$B24)*'BEA Use 2017'!$C$7:$PK$408)</f>
        <v/>
      </c>
      <c r="X24">
        <f>SUMPRODUCT(('BEA Use 2017'!$PM$7:$PM$408=X$2)*('BEA Use 2017'!$C$438:$PK$438=$B24)*'BEA Use 2017'!$C$7:$PK$408)</f>
        <v/>
      </c>
      <c r="Y24">
        <f>SUMPRODUCT(('BEA Use 2017'!$PM$7:$PM$408=Y$2)*('BEA Use 2017'!$C$438:$PK$438=$B24)*'BEA Use 2017'!$C$7:$PK$408)</f>
        <v/>
      </c>
      <c r="Z24">
        <f>SUMPRODUCT(('BEA Use 2017'!$PM$7:$PM$408=Z$2)*('BEA Use 2017'!$C$438:$PK$438=$B24)*'BEA Use 2017'!$C$7:$PK$408)</f>
        <v/>
      </c>
      <c r="AA24">
        <f>SUMPRODUCT(('BEA Use 2017'!$PM$7:$PM$408=AA$2)*('BEA Use 2017'!$C$438:$PK$438=$B24)*'BEA Use 2017'!$C$7:$PK$408)</f>
        <v/>
      </c>
      <c r="AB24">
        <f>SUMPRODUCT(('BEA Use 2017'!$PM$7:$PM$408=AB$2)*('BEA Use 2017'!$C$438:$PK$438=$B24)*'BEA Use 2017'!$C$7:$PK$408)</f>
        <v/>
      </c>
      <c r="AC24">
        <f>SUMPRODUCT(('BEA Use 2017'!$PM$7:$PM$408=AC$2)*('BEA Use 2017'!$C$438:$PK$438=$B24)*'BEA Use 2017'!$C$7:$PK$408)</f>
        <v/>
      </c>
      <c r="AD24">
        <f>SUMPRODUCT(('BEA Use 2017'!$PM$7:$PM$408=AD$2)*('BEA Use 2017'!$C$438:$PK$438=$B24)*'BEA Use 2017'!$C$7:$PK$408)</f>
        <v/>
      </c>
      <c r="AE24">
        <f>SUMPRODUCT(('BEA Use 2017'!$PM$7:$PM$408=AE$2)*('BEA Use 2017'!$C$438:$PK$438=$B24)*'BEA Use 2017'!$C$7:$PK$408)</f>
        <v/>
      </c>
      <c r="AF24">
        <f>SUMPRODUCT(('BEA Use 2017'!$PM$7:$PM$408=AF$2)*('BEA Use 2017'!$C$438:$PK$438=$B24)*'BEA Use 2017'!$C$7:$PK$408)</f>
        <v/>
      </c>
      <c r="AG24">
        <f>SUMPRODUCT(('BEA Use 2017'!$PM$7:$PM$408=AG$2)*('BEA Use 2017'!$C$438:$PK$438=$B24)*'BEA Use 2017'!$C$7:$PK$408)</f>
        <v/>
      </c>
      <c r="AH24">
        <f>SUMPRODUCT(('BEA Use 2017'!$PM$7:$PM$408=AH$2)*('BEA Use 2017'!$C$438:$PK$438=$B24)*'BEA Use 2017'!$C$7:$PK$408)</f>
        <v/>
      </c>
      <c r="AI24">
        <f>SUMPRODUCT(('BEA Use 2017'!$PM$7:$PM$408=AI$2)*('BEA Use 2017'!$C$438:$PK$438=$B24)*'BEA Use 2017'!$C$7:$PK$408)</f>
        <v/>
      </c>
      <c r="AJ24">
        <f>SUMPRODUCT(('BEA Use 2017'!$PM$7:$PM$408=AJ$2)*('BEA Use 2017'!$C$438:$PK$438=$B24)*'BEA Use 2017'!$C$7:$PK$408)</f>
        <v/>
      </c>
      <c r="AK24">
        <f>SUMPRODUCT(('BEA Use 2017'!$PM$7:$PM$408=AK$2)*('BEA Use 2017'!$C$438:$PK$438=$B24)*'BEA Use 2017'!$C$7:$PK$408)</f>
        <v/>
      </c>
      <c r="AL24">
        <f>SUMPRODUCT(('BEA Use 2017'!$PM$7:$PM$408=AL$2)*('BEA Use 2017'!$C$438:$PK$438=$B24)*'BEA Use 2017'!$C$7:$PK$408)</f>
        <v/>
      </c>
      <c r="AM24">
        <f>SUMPRODUCT(('BEA Use 2017'!$PM$7:$PM$408=AM$2)*('BEA Use 2017'!$C$438:$PK$438=$B24)*'BEA Use 2017'!$C$7:$PK$408)</f>
        <v/>
      </c>
      <c r="AN24">
        <f>SUMPRODUCT(('BEA Use 2017'!$PM$7:$PM$408=AN$2)*('BEA Use 2017'!$C$438:$PK$438=$B24)*'BEA Use 2017'!$C$7:$PK$408)</f>
        <v/>
      </c>
      <c r="AO24">
        <f>SUMPRODUCT(('BEA Use 2017'!$PM$7:$PM$408=AO$2)*('BEA Use 2017'!$C$438:$PK$438=$B24)*'BEA Use 2017'!$C$7:$PK$408)</f>
        <v/>
      </c>
      <c r="AP24">
        <f>SUMPRODUCT(('BEA Use 2017'!$PM$7:$PM$408=AP$2)*('BEA Use 2017'!$C$438:$PK$438=$B24)*'BEA Use 2017'!$C$7:$PK$408)</f>
        <v/>
      </c>
      <c r="AQ24">
        <f>SUMPRODUCT(('BEA Use 2017'!$PM$7:$PM$408=AQ$2)*('BEA Use 2017'!$C$438:$PK$438=$B24)*'BEA Use 2017'!$C$7:$PK$408)</f>
        <v/>
      </c>
      <c r="AR24">
        <f>SUMPRODUCT(('BEA Use 2017'!$PM$7:$PM$408=AR$2)*('BEA Use 2017'!$C$438:$PK$438=$B24)*'BEA Use 2017'!$C$7:$PK$408)</f>
        <v/>
      </c>
      <c r="AS24">
        <f>SUMPRODUCT(('BEA Use 2017'!$PM$7:$PM$408=AS$2)*('BEA Use 2017'!$C$438:$PK$438=$B24)*'BEA Use 2017'!$C$7:$PK$408)</f>
        <v/>
      </c>
      <c r="AT24">
        <f>SUMPRODUCT(('BEA Use 2017'!$PM$7:$PM$408=AT$2)*('BEA Use 2017'!$C$438:$PK$438=$B24)*'BEA Use 2017'!$C$7:$PK$408)</f>
        <v/>
      </c>
      <c r="AU24">
        <f>SUMPRODUCT(('BEA Use 2017'!$PM$7:$PM$408=AU$2)*('BEA Use 2017'!$C$438:$PK$438=$B24)*'BEA Use 2017'!$C$7:$PK$408)</f>
        <v/>
      </c>
      <c r="AV24">
        <f>SUMPRODUCT(('BEA Use 2017'!$PM$7:$PM$408=AV$2)*('BEA Use 2017'!$C$438:$PK$438=$B24)*'BEA Use 2017'!$C$7:$PK$408)</f>
        <v/>
      </c>
      <c r="AW24">
        <f>SUMPRODUCT(('BEA Use 2017'!$PM$7:$PM$408=AW$2)*('BEA Use 2017'!$C$438:$PK$438=$B24)*'BEA Use 2017'!$C$7:$PK$408)</f>
        <v/>
      </c>
      <c r="AX24">
        <f>SUMPRODUCT(('BEA Use 2017'!$PM$7:$PM$408=AX$2)*('BEA Use 2017'!$C$438:$PK$438=$B24)*'BEA Use 2017'!$C$7:$PK$408)</f>
        <v/>
      </c>
      <c r="AY24">
        <f>SUMPRODUCT(('BEA Use 2017'!$PM$7:$PM$408=AY$2)*('BEA Use 2017'!$C$438:$PK$438=$B24)*'BEA Use 2017'!$C$7:$PK$408)</f>
        <v/>
      </c>
      <c r="AZ24">
        <f>SUMPRODUCT(('BEA Use 2017'!$PM$7:$PM$408=AZ$2)*('BEA Use 2017'!$C$438:$PK$438=$B24)*'BEA Use 2017'!$C$7:$PK$408)</f>
        <v/>
      </c>
      <c r="BA24">
        <f>SUMPRODUCT(('BEA Use 2017'!$PM$7:$PM$408=BA$2)*('BEA Use 2017'!$C$438:$PK$438=$B24)*'BEA Use 2017'!$C$7:$PK$408)</f>
        <v/>
      </c>
      <c r="BB24">
        <f>SUMPRODUCT(('BEA Use 2017'!$PM$7:$PM$408=BB$2)*('BEA Use 2017'!$C$438:$PK$438=$B24)*'BEA Use 2017'!$C$7:$PK$408)</f>
        <v/>
      </c>
      <c r="BC24">
        <f>SUM(C24:BB24)</f>
        <v/>
      </c>
    </row>
    <row r="25">
      <c r="A25" t="inlineStr">
        <is>
          <t>energy pipelines and gas processing 352T353</t>
        </is>
      </c>
      <c r="B25" t="inlineStr">
        <is>
          <t>ISIC 352T353</t>
        </is>
      </c>
      <c r="C25">
        <f>SUMPRODUCT(('BEA Use 2017'!$PM$7:$PM$408=C$2)*('BEA Use 2017'!$C$438:$PK$438=$B25)*'BEA Use 2017'!$C$7:$PK$408)</f>
        <v/>
      </c>
      <c r="D25">
        <f>SUMPRODUCT(('BEA Use 2017'!$PM$7:$PM$408=D$2)*('BEA Use 2017'!$C$438:$PK$438=$B25)*'BEA Use 2017'!$C$7:$PK$408)</f>
        <v/>
      </c>
      <c r="E25">
        <f>SUMPRODUCT(('BEA Use 2017'!$PM$7:$PM$408=E$2)*('BEA Use 2017'!$C$438:$PK$438=$B25)*'BEA Use 2017'!$C$7:$PK$408)</f>
        <v/>
      </c>
      <c r="F25">
        <f>SUMPRODUCT(('BEA Use 2017'!$PM$7:$PM$408=F$2)*('BEA Use 2017'!$C$438:$PK$438=$B25)*'BEA Use 2017'!$C$7:$PK$408)</f>
        <v/>
      </c>
      <c r="G25">
        <f>SUMPRODUCT(('BEA Use 2017'!$PM$7:$PM$408=G$2)*('BEA Use 2017'!$C$438:$PK$438=$B25)*'BEA Use 2017'!$C$7:$PK$408)</f>
        <v/>
      </c>
      <c r="H25">
        <f>SUMPRODUCT(('BEA Use 2017'!$PM$7:$PM$408=H$2)*('BEA Use 2017'!$C$438:$PK$438=$B25)*'BEA Use 2017'!$C$7:$PK$408)</f>
        <v/>
      </c>
      <c r="I25">
        <f>SUMPRODUCT(('BEA Use 2017'!$PM$7:$PM$408=I$2)*('BEA Use 2017'!$C$438:$PK$438=$B25)*'BEA Use 2017'!$C$7:$PK$408)</f>
        <v/>
      </c>
      <c r="J25">
        <f>SUMPRODUCT(('BEA Use 2017'!$PM$7:$PM$408=J$2)*('BEA Use 2017'!$C$438:$PK$438=$B25)*'BEA Use 2017'!$C$7:$PK$408)</f>
        <v/>
      </c>
      <c r="K25">
        <f>SUMPRODUCT(('BEA Use 2017'!$PM$7:$PM$408=K$2)*('BEA Use 2017'!$C$438:$PK$438=$B25)*'BEA Use 2017'!$C$7:$PK$408)</f>
        <v/>
      </c>
      <c r="L25">
        <f>SUMPRODUCT(('BEA Use 2017'!$PM$7:$PM$408=L$2)*('BEA Use 2017'!$C$438:$PK$438=$B25)*'BEA Use 2017'!$C$7:$PK$408)</f>
        <v/>
      </c>
      <c r="M25">
        <f>SUMPRODUCT(('BEA Use 2017'!$PM$7:$PM$408=M$2)*('BEA Use 2017'!$C$438:$PK$438=$B25)*'BEA Use 2017'!$C$7:$PK$408)</f>
        <v/>
      </c>
      <c r="N25">
        <f>SUMPRODUCT(('BEA Use 2017'!$PM$7:$PM$408=N$2)*('BEA Use 2017'!$C$438:$PK$438=$B25)*'BEA Use 2017'!$C$7:$PK$408)</f>
        <v/>
      </c>
      <c r="O25">
        <f>SUMPRODUCT(('BEA Use 2017'!$PM$7:$PM$408=O$2)*('BEA Use 2017'!$C$438:$PK$438=$B25)*'BEA Use 2017'!$C$7:$PK$408)</f>
        <v/>
      </c>
      <c r="P25">
        <f>SUMPRODUCT(('BEA Use 2017'!$PM$7:$PM$408=P$2)*('BEA Use 2017'!$C$438:$PK$438=$B25)*'BEA Use 2017'!$C$7:$PK$408)</f>
        <v/>
      </c>
      <c r="Q25">
        <f>SUMPRODUCT(('BEA Use 2017'!$PM$7:$PM$408=Q$2)*('BEA Use 2017'!$C$438:$PK$438=$B25)*'BEA Use 2017'!$C$7:$PK$408)</f>
        <v/>
      </c>
      <c r="R25">
        <f>SUMPRODUCT(('BEA Use 2017'!$PM$7:$PM$408=R$2)*('BEA Use 2017'!$C$438:$PK$438=$B25)*'BEA Use 2017'!$C$7:$PK$408)</f>
        <v/>
      </c>
      <c r="S25">
        <f>SUMPRODUCT(('BEA Use 2017'!$PM$7:$PM$408=S$2)*('BEA Use 2017'!$C$438:$PK$438=$B25)*'BEA Use 2017'!$C$7:$PK$408)</f>
        <v/>
      </c>
      <c r="T25">
        <f>SUMPRODUCT(('BEA Use 2017'!$PM$7:$PM$408=T$2)*('BEA Use 2017'!$C$438:$PK$438=$B25)*'BEA Use 2017'!$C$7:$PK$408)</f>
        <v/>
      </c>
      <c r="U25">
        <f>SUMPRODUCT(('BEA Use 2017'!$PM$7:$PM$408=U$2)*('BEA Use 2017'!$C$438:$PK$438=$B25)*'BEA Use 2017'!$C$7:$PK$408)</f>
        <v/>
      </c>
      <c r="V25">
        <f>SUMPRODUCT(('BEA Use 2017'!$PM$7:$PM$408=V$2)*('BEA Use 2017'!$C$438:$PK$438=$B25)*'BEA Use 2017'!$C$7:$PK$408)</f>
        <v/>
      </c>
      <c r="W25">
        <f>SUMPRODUCT(('BEA Use 2017'!$PM$7:$PM$408=W$2)*('BEA Use 2017'!$C$438:$PK$438=$B25)*'BEA Use 2017'!$C$7:$PK$408)</f>
        <v/>
      </c>
      <c r="X25">
        <f>SUMPRODUCT(('BEA Use 2017'!$PM$7:$PM$408=X$2)*('BEA Use 2017'!$C$438:$PK$438=$B25)*'BEA Use 2017'!$C$7:$PK$408)</f>
        <v/>
      </c>
      <c r="Y25">
        <f>SUMPRODUCT(('BEA Use 2017'!$PM$7:$PM$408=Y$2)*('BEA Use 2017'!$C$438:$PK$438=$B25)*'BEA Use 2017'!$C$7:$PK$408)</f>
        <v/>
      </c>
      <c r="Z25">
        <f>SUMPRODUCT(('BEA Use 2017'!$PM$7:$PM$408=Z$2)*('BEA Use 2017'!$C$438:$PK$438=$B25)*'BEA Use 2017'!$C$7:$PK$408)</f>
        <v/>
      </c>
      <c r="AA25">
        <f>SUMPRODUCT(('BEA Use 2017'!$PM$7:$PM$408=AA$2)*('BEA Use 2017'!$C$438:$PK$438=$B25)*'BEA Use 2017'!$C$7:$PK$408)</f>
        <v/>
      </c>
      <c r="AB25">
        <f>SUMPRODUCT(('BEA Use 2017'!$PM$7:$PM$408=AB$2)*('BEA Use 2017'!$C$438:$PK$438=$B25)*'BEA Use 2017'!$C$7:$PK$408)</f>
        <v/>
      </c>
      <c r="AC25">
        <f>SUMPRODUCT(('BEA Use 2017'!$PM$7:$PM$408=AC$2)*('BEA Use 2017'!$C$438:$PK$438=$B25)*'BEA Use 2017'!$C$7:$PK$408)</f>
        <v/>
      </c>
      <c r="AD25">
        <f>SUMPRODUCT(('BEA Use 2017'!$PM$7:$PM$408=AD$2)*('BEA Use 2017'!$C$438:$PK$438=$B25)*'BEA Use 2017'!$C$7:$PK$408)</f>
        <v/>
      </c>
      <c r="AE25">
        <f>SUMPRODUCT(('BEA Use 2017'!$PM$7:$PM$408=AE$2)*('BEA Use 2017'!$C$438:$PK$438=$B25)*'BEA Use 2017'!$C$7:$PK$408)</f>
        <v/>
      </c>
      <c r="AF25">
        <f>SUMPRODUCT(('BEA Use 2017'!$PM$7:$PM$408=AF$2)*('BEA Use 2017'!$C$438:$PK$438=$B25)*'BEA Use 2017'!$C$7:$PK$408)</f>
        <v/>
      </c>
      <c r="AG25">
        <f>SUMPRODUCT(('BEA Use 2017'!$PM$7:$PM$408=AG$2)*('BEA Use 2017'!$C$438:$PK$438=$B25)*'BEA Use 2017'!$C$7:$PK$408)</f>
        <v/>
      </c>
      <c r="AH25">
        <f>SUMPRODUCT(('BEA Use 2017'!$PM$7:$PM$408=AH$2)*('BEA Use 2017'!$C$438:$PK$438=$B25)*'BEA Use 2017'!$C$7:$PK$408)</f>
        <v/>
      </c>
      <c r="AI25">
        <f>SUMPRODUCT(('BEA Use 2017'!$PM$7:$PM$408=AI$2)*('BEA Use 2017'!$C$438:$PK$438=$B25)*'BEA Use 2017'!$C$7:$PK$408)</f>
        <v/>
      </c>
      <c r="AJ25">
        <f>SUMPRODUCT(('BEA Use 2017'!$PM$7:$PM$408=AJ$2)*('BEA Use 2017'!$C$438:$PK$438=$B25)*'BEA Use 2017'!$C$7:$PK$408)</f>
        <v/>
      </c>
      <c r="AK25">
        <f>SUMPRODUCT(('BEA Use 2017'!$PM$7:$PM$408=AK$2)*('BEA Use 2017'!$C$438:$PK$438=$B25)*'BEA Use 2017'!$C$7:$PK$408)</f>
        <v/>
      </c>
      <c r="AL25">
        <f>SUMPRODUCT(('BEA Use 2017'!$PM$7:$PM$408=AL$2)*('BEA Use 2017'!$C$438:$PK$438=$B25)*'BEA Use 2017'!$C$7:$PK$408)</f>
        <v/>
      </c>
      <c r="AM25">
        <f>SUMPRODUCT(('BEA Use 2017'!$PM$7:$PM$408=AM$2)*('BEA Use 2017'!$C$438:$PK$438=$B25)*'BEA Use 2017'!$C$7:$PK$408)</f>
        <v/>
      </c>
      <c r="AN25">
        <f>SUMPRODUCT(('BEA Use 2017'!$PM$7:$PM$408=AN$2)*('BEA Use 2017'!$C$438:$PK$438=$B25)*'BEA Use 2017'!$C$7:$PK$408)</f>
        <v/>
      </c>
      <c r="AO25">
        <f>SUMPRODUCT(('BEA Use 2017'!$PM$7:$PM$408=AO$2)*('BEA Use 2017'!$C$438:$PK$438=$B25)*'BEA Use 2017'!$C$7:$PK$408)</f>
        <v/>
      </c>
      <c r="AP25">
        <f>SUMPRODUCT(('BEA Use 2017'!$PM$7:$PM$408=AP$2)*('BEA Use 2017'!$C$438:$PK$438=$B25)*'BEA Use 2017'!$C$7:$PK$408)</f>
        <v/>
      </c>
      <c r="AQ25">
        <f>SUMPRODUCT(('BEA Use 2017'!$PM$7:$PM$408=AQ$2)*('BEA Use 2017'!$C$438:$PK$438=$B25)*'BEA Use 2017'!$C$7:$PK$408)</f>
        <v/>
      </c>
      <c r="AR25">
        <f>SUMPRODUCT(('BEA Use 2017'!$PM$7:$PM$408=AR$2)*('BEA Use 2017'!$C$438:$PK$438=$B25)*'BEA Use 2017'!$C$7:$PK$408)</f>
        <v/>
      </c>
      <c r="AS25">
        <f>SUMPRODUCT(('BEA Use 2017'!$PM$7:$PM$408=AS$2)*('BEA Use 2017'!$C$438:$PK$438=$B25)*'BEA Use 2017'!$C$7:$PK$408)</f>
        <v/>
      </c>
      <c r="AT25">
        <f>SUMPRODUCT(('BEA Use 2017'!$PM$7:$PM$408=AT$2)*('BEA Use 2017'!$C$438:$PK$438=$B25)*'BEA Use 2017'!$C$7:$PK$408)</f>
        <v/>
      </c>
      <c r="AU25">
        <f>SUMPRODUCT(('BEA Use 2017'!$PM$7:$PM$408=AU$2)*('BEA Use 2017'!$C$438:$PK$438=$B25)*'BEA Use 2017'!$C$7:$PK$408)</f>
        <v/>
      </c>
      <c r="AV25">
        <f>SUMPRODUCT(('BEA Use 2017'!$PM$7:$PM$408=AV$2)*('BEA Use 2017'!$C$438:$PK$438=$B25)*'BEA Use 2017'!$C$7:$PK$408)</f>
        <v/>
      </c>
      <c r="AW25">
        <f>SUMPRODUCT(('BEA Use 2017'!$PM$7:$PM$408=AW$2)*('BEA Use 2017'!$C$438:$PK$438=$B25)*'BEA Use 2017'!$C$7:$PK$408)</f>
        <v/>
      </c>
      <c r="AX25">
        <f>SUMPRODUCT(('BEA Use 2017'!$PM$7:$PM$408=AX$2)*('BEA Use 2017'!$C$438:$PK$438=$B25)*'BEA Use 2017'!$C$7:$PK$408)</f>
        <v/>
      </c>
      <c r="AY25">
        <f>SUMPRODUCT(('BEA Use 2017'!$PM$7:$PM$408=AY$2)*('BEA Use 2017'!$C$438:$PK$438=$B25)*'BEA Use 2017'!$C$7:$PK$408)</f>
        <v/>
      </c>
      <c r="AZ25">
        <f>SUMPRODUCT(('BEA Use 2017'!$PM$7:$PM$408=AZ$2)*('BEA Use 2017'!$C$438:$PK$438=$B25)*'BEA Use 2017'!$C$7:$PK$408)</f>
        <v/>
      </c>
      <c r="BA25">
        <f>SUMPRODUCT(('BEA Use 2017'!$PM$7:$PM$408=BA$2)*('BEA Use 2017'!$C$438:$PK$438=$B25)*'BEA Use 2017'!$C$7:$PK$408)</f>
        <v/>
      </c>
      <c r="BB25">
        <f>SUMPRODUCT(('BEA Use 2017'!$PM$7:$PM$408=BB$2)*('BEA Use 2017'!$C$438:$PK$438=$B25)*'BEA Use 2017'!$C$7:$PK$408)</f>
        <v/>
      </c>
      <c r="BC25">
        <f>SUM(C25:BB25)</f>
        <v/>
      </c>
    </row>
    <row r="26">
      <c r="A26" t="inlineStr">
        <is>
          <t>water and waste 36T39</t>
        </is>
      </c>
      <c r="B26" t="inlineStr">
        <is>
          <t>ISIC 36T39</t>
        </is>
      </c>
      <c r="C26">
        <f>SUMPRODUCT(('BEA Use 2017'!$PM$7:$PM$408=C$2)*('BEA Use 2017'!$C$438:$PK$438=$B26)*'BEA Use 2017'!$C$7:$PK$408)</f>
        <v/>
      </c>
      <c r="D26">
        <f>SUMPRODUCT(('BEA Use 2017'!$PM$7:$PM$408=D$2)*('BEA Use 2017'!$C$438:$PK$438=$B26)*'BEA Use 2017'!$C$7:$PK$408)</f>
        <v/>
      </c>
      <c r="E26">
        <f>SUMPRODUCT(('BEA Use 2017'!$PM$7:$PM$408=E$2)*('BEA Use 2017'!$C$438:$PK$438=$B26)*'BEA Use 2017'!$C$7:$PK$408)</f>
        <v/>
      </c>
      <c r="F26">
        <f>SUMPRODUCT(('BEA Use 2017'!$PM$7:$PM$408=F$2)*('BEA Use 2017'!$C$438:$PK$438=$B26)*'BEA Use 2017'!$C$7:$PK$408)</f>
        <v/>
      </c>
      <c r="G26">
        <f>SUMPRODUCT(('BEA Use 2017'!$PM$7:$PM$408=G$2)*('BEA Use 2017'!$C$438:$PK$438=$B26)*'BEA Use 2017'!$C$7:$PK$408)</f>
        <v/>
      </c>
      <c r="H26">
        <f>SUMPRODUCT(('BEA Use 2017'!$PM$7:$PM$408=H$2)*('BEA Use 2017'!$C$438:$PK$438=$B26)*'BEA Use 2017'!$C$7:$PK$408)</f>
        <v/>
      </c>
      <c r="I26">
        <f>SUMPRODUCT(('BEA Use 2017'!$PM$7:$PM$408=I$2)*('BEA Use 2017'!$C$438:$PK$438=$B26)*'BEA Use 2017'!$C$7:$PK$408)</f>
        <v/>
      </c>
      <c r="J26">
        <f>SUMPRODUCT(('BEA Use 2017'!$PM$7:$PM$408=J$2)*('BEA Use 2017'!$C$438:$PK$438=$B26)*'BEA Use 2017'!$C$7:$PK$408)</f>
        <v/>
      </c>
      <c r="K26">
        <f>SUMPRODUCT(('BEA Use 2017'!$PM$7:$PM$408=K$2)*('BEA Use 2017'!$C$438:$PK$438=$B26)*'BEA Use 2017'!$C$7:$PK$408)</f>
        <v/>
      </c>
      <c r="L26">
        <f>SUMPRODUCT(('BEA Use 2017'!$PM$7:$PM$408=L$2)*('BEA Use 2017'!$C$438:$PK$438=$B26)*'BEA Use 2017'!$C$7:$PK$408)</f>
        <v/>
      </c>
      <c r="M26">
        <f>SUMPRODUCT(('BEA Use 2017'!$PM$7:$PM$408=M$2)*('BEA Use 2017'!$C$438:$PK$438=$B26)*'BEA Use 2017'!$C$7:$PK$408)</f>
        <v/>
      </c>
      <c r="N26">
        <f>SUMPRODUCT(('BEA Use 2017'!$PM$7:$PM$408=N$2)*('BEA Use 2017'!$C$438:$PK$438=$B26)*'BEA Use 2017'!$C$7:$PK$408)</f>
        <v/>
      </c>
      <c r="O26">
        <f>SUMPRODUCT(('BEA Use 2017'!$PM$7:$PM$408=O$2)*('BEA Use 2017'!$C$438:$PK$438=$B26)*'BEA Use 2017'!$C$7:$PK$408)</f>
        <v/>
      </c>
      <c r="P26">
        <f>SUMPRODUCT(('BEA Use 2017'!$PM$7:$PM$408=P$2)*('BEA Use 2017'!$C$438:$PK$438=$B26)*'BEA Use 2017'!$C$7:$PK$408)</f>
        <v/>
      </c>
      <c r="Q26">
        <f>SUMPRODUCT(('BEA Use 2017'!$PM$7:$PM$408=Q$2)*('BEA Use 2017'!$C$438:$PK$438=$B26)*'BEA Use 2017'!$C$7:$PK$408)</f>
        <v/>
      </c>
      <c r="R26">
        <f>SUMPRODUCT(('BEA Use 2017'!$PM$7:$PM$408=R$2)*('BEA Use 2017'!$C$438:$PK$438=$B26)*'BEA Use 2017'!$C$7:$PK$408)</f>
        <v/>
      </c>
      <c r="S26">
        <f>SUMPRODUCT(('BEA Use 2017'!$PM$7:$PM$408=S$2)*('BEA Use 2017'!$C$438:$PK$438=$B26)*'BEA Use 2017'!$C$7:$PK$408)</f>
        <v/>
      </c>
      <c r="T26">
        <f>SUMPRODUCT(('BEA Use 2017'!$PM$7:$PM$408=T$2)*('BEA Use 2017'!$C$438:$PK$438=$B26)*'BEA Use 2017'!$C$7:$PK$408)</f>
        <v/>
      </c>
      <c r="U26">
        <f>SUMPRODUCT(('BEA Use 2017'!$PM$7:$PM$408=U$2)*('BEA Use 2017'!$C$438:$PK$438=$B26)*'BEA Use 2017'!$C$7:$PK$408)</f>
        <v/>
      </c>
      <c r="V26">
        <f>SUMPRODUCT(('BEA Use 2017'!$PM$7:$PM$408=V$2)*('BEA Use 2017'!$C$438:$PK$438=$B26)*'BEA Use 2017'!$C$7:$PK$408)</f>
        <v/>
      </c>
      <c r="W26">
        <f>SUMPRODUCT(('BEA Use 2017'!$PM$7:$PM$408=W$2)*('BEA Use 2017'!$C$438:$PK$438=$B26)*'BEA Use 2017'!$C$7:$PK$408)</f>
        <v/>
      </c>
      <c r="X26">
        <f>SUMPRODUCT(('BEA Use 2017'!$PM$7:$PM$408=X$2)*('BEA Use 2017'!$C$438:$PK$438=$B26)*'BEA Use 2017'!$C$7:$PK$408)</f>
        <v/>
      </c>
      <c r="Y26">
        <f>SUMPRODUCT(('BEA Use 2017'!$PM$7:$PM$408=Y$2)*('BEA Use 2017'!$C$438:$PK$438=$B26)*'BEA Use 2017'!$C$7:$PK$408)</f>
        <v/>
      </c>
      <c r="Z26">
        <f>SUMPRODUCT(('BEA Use 2017'!$PM$7:$PM$408=Z$2)*('BEA Use 2017'!$C$438:$PK$438=$B26)*'BEA Use 2017'!$C$7:$PK$408)</f>
        <v/>
      </c>
      <c r="AA26">
        <f>SUMPRODUCT(('BEA Use 2017'!$PM$7:$PM$408=AA$2)*('BEA Use 2017'!$C$438:$PK$438=$B26)*'BEA Use 2017'!$C$7:$PK$408)</f>
        <v/>
      </c>
      <c r="AB26">
        <f>SUMPRODUCT(('BEA Use 2017'!$PM$7:$PM$408=AB$2)*('BEA Use 2017'!$C$438:$PK$438=$B26)*'BEA Use 2017'!$C$7:$PK$408)</f>
        <v/>
      </c>
      <c r="AC26">
        <f>SUMPRODUCT(('BEA Use 2017'!$PM$7:$PM$408=AC$2)*('BEA Use 2017'!$C$438:$PK$438=$B26)*'BEA Use 2017'!$C$7:$PK$408)</f>
        <v/>
      </c>
      <c r="AD26">
        <f>SUMPRODUCT(('BEA Use 2017'!$PM$7:$PM$408=AD$2)*('BEA Use 2017'!$C$438:$PK$438=$B26)*'BEA Use 2017'!$C$7:$PK$408)</f>
        <v/>
      </c>
      <c r="AE26">
        <f>SUMPRODUCT(('BEA Use 2017'!$PM$7:$PM$408=AE$2)*('BEA Use 2017'!$C$438:$PK$438=$B26)*'BEA Use 2017'!$C$7:$PK$408)</f>
        <v/>
      </c>
      <c r="AF26">
        <f>SUMPRODUCT(('BEA Use 2017'!$PM$7:$PM$408=AF$2)*('BEA Use 2017'!$C$438:$PK$438=$B26)*'BEA Use 2017'!$C$7:$PK$408)</f>
        <v/>
      </c>
      <c r="AG26">
        <f>SUMPRODUCT(('BEA Use 2017'!$PM$7:$PM$408=AG$2)*('BEA Use 2017'!$C$438:$PK$438=$B26)*'BEA Use 2017'!$C$7:$PK$408)</f>
        <v/>
      </c>
      <c r="AH26">
        <f>SUMPRODUCT(('BEA Use 2017'!$PM$7:$PM$408=AH$2)*('BEA Use 2017'!$C$438:$PK$438=$B26)*'BEA Use 2017'!$C$7:$PK$408)</f>
        <v/>
      </c>
      <c r="AI26">
        <f>SUMPRODUCT(('BEA Use 2017'!$PM$7:$PM$408=AI$2)*('BEA Use 2017'!$C$438:$PK$438=$B26)*'BEA Use 2017'!$C$7:$PK$408)</f>
        <v/>
      </c>
      <c r="AJ26">
        <f>SUMPRODUCT(('BEA Use 2017'!$PM$7:$PM$408=AJ$2)*('BEA Use 2017'!$C$438:$PK$438=$B26)*'BEA Use 2017'!$C$7:$PK$408)</f>
        <v/>
      </c>
      <c r="AK26">
        <f>SUMPRODUCT(('BEA Use 2017'!$PM$7:$PM$408=AK$2)*('BEA Use 2017'!$C$438:$PK$438=$B26)*'BEA Use 2017'!$C$7:$PK$408)</f>
        <v/>
      </c>
      <c r="AL26">
        <f>SUMPRODUCT(('BEA Use 2017'!$PM$7:$PM$408=AL$2)*('BEA Use 2017'!$C$438:$PK$438=$B26)*'BEA Use 2017'!$C$7:$PK$408)</f>
        <v/>
      </c>
      <c r="AM26">
        <f>SUMPRODUCT(('BEA Use 2017'!$PM$7:$PM$408=AM$2)*('BEA Use 2017'!$C$438:$PK$438=$B26)*'BEA Use 2017'!$C$7:$PK$408)</f>
        <v/>
      </c>
      <c r="AN26">
        <f>SUMPRODUCT(('BEA Use 2017'!$PM$7:$PM$408=AN$2)*('BEA Use 2017'!$C$438:$PK$438=$B26)*'BEA Use 2017'!$C$7:$PK$408)</f>
        <v/>
      </c>
      <c r="AO26">
        <f>SUMPRODUCT(('BEA Use 2017'!$PM$7:$PM$408=AO$2)*('BEA Use 2017'!$C$438:$PK$438=$B26)*'BEA Use 2017'!$C$7:$PK$408)</f>
        <v/>
      </c>
      <c r="AP26">
        <f>SUMPRODUCT(('BEA Use 2017'!$PM$7:$PM$408=AP$2)*('BEA Use 2017'!$C$438:$PK$438=$B26)*'BEA Use 2017'!$C$7:$PK$408)</f>
        <v/>
      </c>
      <c r="AQ26">
        <f>SUMPRODUCT(('BEA Use 2017'!$PM$7:$PM$408=AQ$2)*('BEA Use 2017'!$C$438:$PK$438=$B26)*'BEA Use 2017'!$C$7:$PK$408)</f>
        <v/>
      </c>
      <c r="AR26">
        <f>SUMPRODUCT(('BEA Use 2017'!$PM$7:$PM$408=AR$2)*('BEA Use 2017'!$C$438:$PK$438=$B26)*'BEA Use 2017'!$C$7:$PK$408)</f>
        <v/>
      </c>
      <c r="AS26">
        <f>SUMPRODUCT(('BEA Use 2017'!$PM$7:$PM$408=AS$2)*('BEA Use 2017'!$C$438:$PK$438=$B26)*'BEA Use 2017'!$C$7:$PK$408)</f>
        <v/>
      </c>
      <c r="AT26">
        <f>SUMPRODUCT(('BEA Use 2017'!$PM$7:$PM$408=AT$2)*('BEA Use 2017'!$C$438:$PK$438=$B26)*'BEA Use 2017'!$C$7:$PK$408)</f>
        <v/>
      </c>
      <c r="AU26">
        <f>SUMPRODUCT(('BEA Use 2017'!$PM$7:$PM$408=AU$2)*('BEA Use 2017'!$C$438:$PK$438=$B26)*'BEA Use 2017'!$C$7:$PK$408)</f>
        <v/>
      </c>
      <c r="AV26">
        <f>SUMPRODUCT(('BEA Use 2017'!$PM$7:$PM$408=AV$2)*('BEA Use 2017'!$C$438:$PK$438=$B26)*'BEA Use 2017'!$C$7:$PK$408)</f>
        <v/>
      </c>
      <c r="AW26">
        <f>SUMPRODUCT(('BEA Use 2017'!$PM$7:$PM$408=AW$2)*('BEA Use 2017'!$C$438:$PK$438=$B26)*'BEA Use 2017'!$C$7:$PK$408)</f>
        <v/>
      </c>
      <c r="AX26">
        <f>SUMPRODUCT(('BEA Use 2017'!$PM$7:$PM$408=AX$2)*('BEA Use 2017'!$C$438:$PK$438=$B26)*'BEA Use 2017'!$C$7:$PK$408)</f>
        <v/>
      </c>
      <c r="AY26">
        <f>SUMPRODUCT(('BEA Use 2017'!$PM$7:$PM$408=AY$2)*('BEA Use 2017'!$C$438:$PK$438=$B26)*'BEA Use 2017'!$C$7:$PK$408)</f>
        <v/>
      </c>
      <c r="AZ26">
        <f>SUMPRODUCT(('BEA Use 2017'!$PM$7:$PM$408=AZ$2)*('BEA Use 2017'!$C$438:$PK$438=$B26)*'BEA Use 2017'!$C$7:$PK$408)</f>
        <v/>
      </c>
      <c r="BA26">
        <f>SUMPRODUCT(('BEA Use 2017'!$PM$7:$PM$408=BA$2)*('BEA Use 2017'!$C$438:$PK$438=$B26)*'BEA Use 2017'!$C$7:$PK$408)</f>
        <v/>
      </c>
      <c r="BB26">
        <f>SUMPRODUCT(('BEA Use 2017'!$PM$7:$PM$408=BB$2)*('BEA Use 2017'!$C$438:$PK$438=$B26)*'BEA Use 2017'!$C$7:$PK$408)</f>
        <v/>
      </c>
      <c r="BC26">
        <f>SUM(C26:BB26)</f>
        <v/>
      </c>
    </row>
    <row r="27">
      <c r="A27" t="inlineStr">
        <is>
          <t>construction 41T43</t>
        </is>
      </c>
      <c r="B27" t="inlineStr">
        <is>
          <t>ISIC 41T43</t>
        </is>
      </c>
      <c r="C27">
        <f>SUMPRODUCT(('BEA Use 2017'!$PM$7:$PM$408=C$2)*('BEA Use 2017'!$C$438:$PK$438=$B27)*'BEA Use 2017'!$C$7:$PK$408)</f>
        <v/>
      </c>
      <c r="D27">
        <f>SUMPRODUCT(('BEA Use 2017'!$PM$7:$PM$408=D$2)*('BEA Use 2017'!$C$438:$PK$438=$B27)*'BEA Use 2017'!$C$7:$PK$408)</f>
        <v/>
      </c>
      <c r="E27">
        <f>SUMPRODUCT(('BEA Use 2017'!$PM$7:$PM$408=E$2)*('BEA Use 2017'!$C$438:$PK$438=$B27)*'BEA Use 2017'!$C$7:$PK$408)</f>
        <v/>
      </c>
      <c r="F27">
        <f>SUMPRODUCT(('BEA Use 2017'!$PM$7:$PM$408=F$2)*('BEA Use 2017'!$C$438:$PK$438=$B27)*'BEA Use 2017'!$C$7:$PK$408)</f>
        <v/>
      </c>
      <c r="G27">
        <f>SUMPRODUCT(('BEA Use 2017'!$PM$7:$PM$408=G$2)*('BEA Use 2017'!$C$438:$PK$438=$B27)*'BEA Use 2017'!$C$7:$PK$408)</f>
        <v/>
      </c>
      <c r="H27">
        <f>SUMPRODUCT(('BEA Use 2017'!$PM$7:$PM$408=H$2)*('BEA Use 2017'!$C$438:$PK$438=$B27)*'BEA Use 2017'!$C$7:$PK$408)</f>
        <v/>
      </c>
      <c r="I27">
        <f>SUMPRODUCT(('BEA Use 2017'!$PM$7:$PM$408=I$2)*('BEA Use 2017'!$C$438:$PK$438=$B27)*'BEA Use 2017'!$C$7:$PK$408)</f>
        <v/>
      </c>
      <c r="J27">
        <f>SUMPRODUCT(('BEA Use 2017'!$PM$7:$PM$408=J$2)*('BEA Use 2017'!$C$438:$PK$438=$B27)*'BEA Use 2017'!$C$7:$PK$408)</f>
        <v/>
      </c>
      <c r="K27">
        <f>SUMPRODUCT(('BEA Use 2017'!$PM$7:$PM$408=K$2)*('BEA Use 2017'!$C$438:$PK$438=$B27)*'BEA Use 2017'!$C$7:$PK$408)</f>
        <v/>
      </c>
      <c r="L27">
        <f>SUMPRODUCT(('BEA Use 2017'!$PM$7:$PM$408=L$2)*('BEA Use 2017'!$C$438:$PK$438=$B27)*'BEA Use 2017'!$C$7:$PK$408)</f>
        <v/>
      </c>
      <c r="M27">
        <f>SUMPRODUCT(('BEA Use 2017'!$PM$7:$PM$408=M$2)*('BEA Use 2017'!$C$438:$PK$438=$B27)*'BEA Use 2017'!$C$7:$PK$408)</f>
        <v/>
      </c>
      <c r="N27">
        <f>SUMPRODUCT(('BEA Use 2017'!$PM$7:$PM$408=N$2)*('BEA Use 2017'!$C$438:$PK$438=$B27)*'BEA Use 2017'!$C$7:$PK$408)</f>
        <v/>
      </c>
      <c r="O27">
        <f>SUMPRODUCT(('BEA Use 2017'!$PM$7:$PM$408=O$2)*('BEA Use 2017'!$C$438:$PK$438=$B27)*'BEA Use 2017'!$C$7:$PK$408)</f>
        <v/>
      </c>
      <c r="P27">
        <f>SUMPRODUCT(('BEA Use 2017'!$PM$7:$PM$408=P$2)*('BEA Use 2017'!$C$438:$PK$438=$B27)*'BEA Use 2017'!$C$7:$PK$408)</f>
        <v/>
      </c>
      <c r="Q27">
        <f>SUMPRODUCT(('BEA Use 2017'!$PM$7:$PM$408=Q$2)*('BEA Use 2017'!$C$438:$PK$438=$B27)*'BEA Use 2017'!$C$7:$PK$408)</f>
        <v/>
      </c>
      <c r="R27">
        <f>SUMPRODUCT(('BEA Use 2017'!$PM$7:$PM$408=R$2)*('BEA Use 2017'!$C$438:$PK$438=$B27)*'BEA Use 2017'!$C$7:$PK$408)</f>
        <v/>
      </c>
      <c r="S27">
        <f>SUMPRODUCT(('BEA Use 2017'!$PM$7:$PM$408=S$2)*('BEA Use 2017'!$C$438:$PK$438=$B27)*'BEA Use 2017'!$C$7:$PK$408)</f>
        <v/>
      </c>
      <c r="T27">
        <f>SUMPRODUCT(('BEA Use 2017'!$PM$7:$PM$408=T$2)*('BEA Use 2017'!$C$438:$PK$438=$B27)*'BEA Use 2017'!$C$7:$PK$408)</f>
        <v/>
      </c>
      <c r="U27">
        <f>SUMPRODUCT(('BEA Use 2017'!$PM$7:$PM$408=U$2)*('BEA Use 2017'!$C$438:$PK$438=$B27)*'BEA Use 2017'!$C$7:$PK$408)</f>
        <v/>
      </c>
      <c r="V27">
        <f>SUMPRODUCT(('BEA Use 2017'!$PM$7:$PM$408=V$2)*('BEA Use 2017'!$C$438:$PK$438=$B27)*'BEA Use 2017'!$C$7:$PK$408)</f>
        <v/>
      </c>
      <c r="W27">
        <f>SUMPRODUCT(('BEA Use 2017'!$PM$7:$PM$408=W$2)*('BEA Use 2017'!$C$438:$PK$438=$B27)*'BEA Use 2017'!$C$7:$PK$408)</f>
        <v/>
      </c>
      <c r="X27">
        <f>SUMPRODUCT(('BEA Use 2017'!$PM$7:$PM$408=X$2)*('BEA Use 2017'!$C$438:$PK$438=$B27)*'BEA Use 2017'!$C$7:$PK$408)</f>
        <v/>
      </c>
      <c r="Y27">
        <f>SUMPRODUCT(('BEA Use 2017'!$PM$7:$PM$408=Y$2)*('BEA Use 2017'!$C$438:$PK$438=$B27)*'BEA Use 2017'!$C$7:$PK$408)</f>
        <v/>
      </c>
      <c r="Z27">
        <f>SUMPRODUCT(('BEA Use 2017'!$PM$7:$PM$408=Z$2)*('BEA Use 2017'!$C$438:$PK$438=$B27)*'BEA Use 2017'!$C$7:$PK$408)</f>
        <v/>
      </c>
      <c r="AA27">
        <f>SUMPRODUCT(('BEA Use 2017'!$PM$7:$PM$408=AA$2)*('BEA Use 2017'!$C$438:$PK$438=$B27)*'BEA Use 2017'!$C$7:$PK$408)</f>
        <v/>
      </c>
      <c r="AB27">
        <f>SUMPRODUCT(('BEA Use 2017'!$PM$7:$PM$408=AB$2)*('BEA Use 2017'!$C$438:$PK$438=$B27)*'BEA Use 2017'!$C$7:$PK$408)</f>
        <v/>
      </c>
      <c r="AC27">
        <f>SUMPRODUCT(('BEA Use 2017'!$PM$7:$PM$408=AC$2)*('BEA Use 2017'!$C$438:$PK$438=$B27)*'BEA Use 2017'!$C$7:$PK$408)</f>
        <v/>
      </c>
      <c r="AD27">
        <f>SUMPRODUCT(('BEA Use 2017'!$PM$7:$PM$408=AD$2)*('BEA Use 2017'!$C$438:$PK$438=$B27)*'BEA Use 2017'!$C$7:$PK$408)</f>
        <v/>
      </c>
      <c r="AE27">
        <f>SUMPRODUCT(('BEA Use 2017'!$PM$7:$PM$408=AE$2)*('BEA Use 2017'!$C$438:$PK$438=$B27)*'BEA Use 2017'!$C$7:$PK$408)</f>
        <v/>
      </c>
      <c r="AF27">
        <f>SUMPRODUCT(('BEA Use 2017'!$PM$7:$PM$408=AF$2)*('BEA Use 2017'!$C$438:$PK$438=$B27)*'BEA Use 2017'!$C$7:$PK$408)</f>
        <v/>
      </c>
      <c r="AG27">
        <f>SUMPRODUCT(('BEA Use 2017'!$PM$7:$PM$408=AG$2)*('BEA Use 2017'!$C$438:$PK$438=$B27)*'BEA Use 2017'!$C$7:$PK$408)</f>
        <v/>
      </c>
      <c r="AH27">
        <f>SUMPRODUCT(('BEA Use 2017'!$PM$7:$PM$408=AH$2)*('BEA Use 2017'!$C$438:$PK$438=$B27)*'BEA Use 2017'!$C$7:$PK$408)</f>
        <v/>
      </c>
      <c r="AI27">
        <f>SUMPRODUCT(('BEA Use 2017'!$PM$7:$PM$408=AI$2)*('BEA Use 2017'!$C$438:$PK$438=$B27)*'BEA Use 2017'!$C$7:$PK$408)</f>
        <v/>
      </c>
      <c r="AJ27">
        <f>SUMPRODUCT(('BEA Use 2017'!$PM$7:$PM$408=AJ$2)*('BEA Use 2017'!$C$438:$PK$438=$B27)*'BEA Use 2017'!$C$7:$PK$408)</f>
        <v/>
      </c>
      <c r="AK27">
        <f>SUMPRODUCT(('BEA Use 2017'!$PM$7:$PM$408=AK$2)*('BEA Use 2017'!$C$438:$PK$438=$B27)*'BEA Use 2017'!$C$7:$PK$408)</f>
        <v/>
      </c>
      <c r="AL27">
        <f>SUMPRODUCT(('BEA Use 2017'!$PM$7:$PM$408=AL$2)*('BEA Use 2017'!$C$438:$PK$438=$B27)*'BEA Use 2017'!$C$7:$PK$408)</f>
        <v/>
      </c>
      <c r="AM27">
        <f>SUMPRODUCT(('BEA Use 2017'!$PM$7:$PM$408=AM$2)*('BEA Use 2017'!$C$438:$PK$438=$B27)*'BEA Use 2017'!$C$7:$PK$408)</f>
        <v/>
      </c>
      <c r="AN27">
        <f>SUMPRODUCT(('BEA Use 2017'!$PM$7:$PM$408=AN$2)*('BEA Use 2017'!$C$438:$PK$438=$B27)*'BEA Use 2017'!$C$7:$PK$408)</f>
        <v/>
      </c>
      <c r="AO27">
        <f>SUMPRODUCT(('BEA Use 2017'!$PM$7:$PM$408=AO$2)*('BEA Use 2017'!$C$438:$PK$438=$B27)*'BEA Use 2017'!$C$7:$PK$408)</f>
        <v/>
      </c>
      <c r="AP27">
        <f>SUMPRODUCT(('BEA Use 2017'!$PM$7:$PM$408=AP$2)*('BEA Use 2017'!$C$438:$PK$438=$B27)*'BEA Use 2017'!$C$7:$PK$408)</f>
        <v/>
      </c>
      <c r="AQ27">
        <f>SUMPRODUCT(('BEA Use 2017'!$PM$7:$PM$408=AQ$2)*('BEA Use 2017'!$C$438:$PK$438=$B27)*'BEA Use 2017'!$C$7:$PK$408)</f>
        <v/>
      </c>
      <c r="AR27">
        <f>SUMPRODUCT(('BEA Use 2017'!$PM$7:$PM$408=AR$2)*('BEA Use 2017'!$C$438:$PK$438=$B27)*'BEA Use 2017'!$C$7:$PK$408)</f>
        <v/>
      </c>
      <c r="AS27">
        <f>SUMPRODUCT(('BEA Use 2017'!$PM$7:$PM$408=AS$2)*('BEA Use 2017'!$C$438:$PK$438=$B27)*'BEA Use 2017'!$C$7:$PK$408)</f>
        <v/>
      </c>
      <c r="AT27">
        <f>SUMPRODUCT(('BEA Use 2017'!$PM$7:$PM$408=AT$2)*('BEA Use 2017'!$C$438:$PK$438=$B27)*'BEA Use 2017'!$C$7:$PK$408)</f>
        <v/>
      </c>
      <c r="AU27">
        <f>SUMPRODUCT(('BEA Use 2017'!$PM$7:$PM$408=AU$2)*('BEA Use 2017'!$C$438:$PK$438=$B27)*'BEA Use 2017'!$C$7:$PK$408)</f>
        <v/>
      </c>
      <c r="AV27">
        <f>SUMPRODUCT(('BEA Use 2017'!$PM$7:$PM$408=AV$2)*('BEA Use 2017'!$C$438:$PK$438=$B27)*'BEA Use 2017'!$C$7:$PK$408)</f>
        <v/>
      </c>
      <c r="AW27">
        <f>SUMPRODUCT(('BEA Use 2017'!$PM$7:$PM$408=AW$2)*('BEA Use 2017'!$C$438:$PK$438=$B27)*'BEA Use 2017'!$C$7:$PK$408)</f>
        <v/>
      </c>
      <c r="AX27">
        <f>SUMPRODUCT(('BEA Use 2017'!$PM$7:$PM$408=AX$2)*('BEA Use 2017'!$C$438:$PK$438=$B27)*'BEA Use 2017'!$C$7:$PK$408)</f>
        <v/>
      </c>
      <c r="AY27">
        <f>SUMPRODUCT(('BEA Use 2017'!$PM$7:$PM$408=AY$2)*('BEA Use 2017'!$C$438:$PK$438=$B27)*'BEA Use 2017'!$C$7:$PK$408)</f>
        <v/>
      </c>
      <c r="AZ27">
        <f>SUMPRODUCT(('BEA Use 2017'!$PM$7:$PM$408=AZ$2)*('BEA Use 2017'!$C$438:$PK$438=$B27)*'BEA Use 2017'!$C$7:$PK$408)</f>
        <v/>
      </c>
      <c r="BA27">
        <f>SUMPRODUCT(('BEA Use 2017'!$PM$7:$PM$408=BA$2)*('BEA Use 2017'!$C$438:$PK$438=$B27)*'BEA Use 2017'!$C$7:$PK$408)</f>
        <v/>
      </c>
      <c r="BB27">
        <f>SUMPRODUCT(('BEA Use 2017'!$PM$7:$PM$408=BB$2)*('BEA Use 2017'!$C$438:$PK$438=$B27)*'BEA Use 2017'!$C$7:$PK$408)</f>
        <v/>
      </c>
      <c r="BC27">
        <f>SUM(C27:BB27)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Row sums of output tab (must be 1)</t>
        </is>
      </c>
    </row>
    <row r="2">
      <c r="A2" t="inlineStr">
        <is>
          <t>agriculture and forestry 01T03</t>
        </is>
      </c>
      <c r="B2">
        <f>SUM('FoGPbEaIC-isic'!B2:BA2)</f>
        <v/>
      </c>
      <c r="C2" s="1">
        <f>IF(ABS(B2-1)&lt;0.000000001,"PASS","FAIL")</f>
        <v/>
      </c>
    </row>
    <row r="3">
      <c r="A3" t="inlineStr">
        <is>
          <t>coal mining 05</t>
        </is>
      </c>
      <c r="B3">
        <f>SUM('FoGPbEaIC-isic'!B3:BA3)</f>
        <v/>
      </c>
      <c r="C3" s="1">
        <f>IF(ABS(B3-1)&lt;0.000000001,"PASS","FAIL")</f>
        <v/>
      </c>
    </row>
    <row r="4">
      <c r="A4" t="inlineStr">
        <is>
          <t>oil and gas extraction 06</t>
        </is>
      </c>
      <c r="B4">
        <f>SUM('FoGPbEaIC-isic'!B4:BA4)</f>
        <v/>
      </c>
      <c r="C4" s="1">
        <f>IF(ABS(B4-1)&lt;0.000000001,"PASS","FAIL")</f>
        <v/>
      </c>
    </row>
    <row r="5">
      <c r="A5" t="inlineStr">
        <is>
          <t>other mining and quarrying 07T08</t>
        </is>
      </c>
      <c r="B5">
        <f>SUM('FoGPbEaIC-isic'!B5:BA5)</f>
        <v/>
      </c>
      <c r="C5" s="1">
        <f>IF(ABS(B5-1)&lt;0.000000001,"PASS","FAIL")</f>
        <v/>
      </c>
    </row>
    <row r="6">
      <c r="A6" t="inlineStr">
        <is>
          <t>food beverage and tobacco 10T12</t>
        </is>
      </c>
      <c r="B6">
        <f>SUM('FoGPbEaIC-isic'!B6:BA6)</f>
        <v/>
      </c>
      <c r="C6" s="1">
        <f>IF(ABS(B6-1)&lt;0.000000001,"PASS","FAIL")</f>
        <v/>
      </c>
    </row>
    <row r="7">
      <c r="A7" t="inlineStr">
        <is>
          <t>textiles apparel and leather 13T15</t>
        </is>
      </c>
      <c r="B7">
        <f>SUM('FoGPbEaIC-isic'!B7:BA7)</f>
        <v/>
      </c>
      <c r="C7" s="1">
        <f>IF(ABS(B7-1)&lt;0.000000001,"PASS","FAIL")</f>
        <v/>
      </c>
    </row>
    <row r="8">
      <c r="A8" t="inlineStr">
        <is>
          <t>wood products 16</t>
        </is>
      </c>
      <c r="B8">
        <f>SUM('FoGPbEaIC-isic'!B8:BA8)</f>
        <v/>
      </c>
      <c r="C8" s="1">
        <f>IF(ABS(B8-1)&lt;0.000000001,"PASS","FAIL")</f>
        <v/>
      </c>
    </row>
    <row r="9">
      <c r="A9" t="inlineStr">
        <is>
          <t>pulp paper and printing 17T18</t>
        </is>
      </c>
      <c r="B9">
        <f>SUM('FoGPbEaIC-isic'!B9:BA9)</f>
        <v/>
      </c>
      <c r="C9" s="1">
        <f>IF(ABS(B9-1)&lt;0.000000001,"PASS","FAIL")</f>
        <v/>
      </c>
    </row>
    <row r="10">
      <c r="A10" t="inlineStr">
        <is>
          <t>refined petroleum and coke 19</t>
        </is>
      </c>
      <c r="B10">
        <f>SUM('FoGPbEaIC-isic'!B10:BA10)</f>
        <v/>
      </c>
      <c r="C10" s="1">
        <f>IF(ABS(B10-1)&lt;0.000000001,"PASS","FAIL")</f>
        <v/>
      </c>
    </row>
    <row r="11">
      <c r="A11" t="inlineStr">
        <is>
          <t>chemicals 20</t>
        </is>
      </c>
      <c r="B11">
        <f>SUM('FoGPbEaIC-isic'!B11:BA11)</f>
        <v/>
      </c>
      <c r="C11" s="1">
        <f>IF(ABS(B11-1)&lt;0.000000001,"PASS","FAIL")</f>
        <v/>
      </c>
    </row>
    <row r="12">
      <c r="A12" t="inlineStr">
        <is>
          <t>rubber and plastic products 22</t>
        </is>
      </c>
      <c r="B12">
        <f>SUM('FoGPbEaIC-isic'!B12:BA12)</f>
        <v/>
      </c>
      <c r="C12" s="1">
        <f>IF(ABS(B12-1)&lt;0.000000001,"PASS","FAIL")</f>
        <v/>
      </c>
    </row>
    <row r="13">
      <c r="A13" t="inlineStr">
        <is>
          <t>glass and glass products 231</t>
        </is>
      </c>
      <c r="B13">
        <f>SUM('FoGPbEaIC-isic'!B13:BA13)</f>
        <v/>
      </c>
      <c r="C13" s="1">
        <f>IF(ABS(B13-1)&lt;0.000000001,"PASS","FAIL")</f>
        <v/>
      </c>
    </row>
    <row r="14">
      <c r="A14" t="inlineStr">
        <is>
          <t>cement and other nonmetallic minerals 239</t>
        </is>
      </c>
      <c r="B14">
        <f>SUM('FoGPbEaIC-isic'!B14:BA14)</f>
        <v/>
      </c>
      <c r="C14" s="1">
        <f>IF(ABS(B14-1)&lt;0.000000001,"PASS","FAIL")</f>
        <v/>
      </c>
    </row>
    <row r="15">
      <c r="A15" t="inlineStr">
        <is>
          <t>iron and steel 241</t>
        </is>
      </c>
      <c r="B15">
        <f>SUM('FoGPbEaIC-isic'!B15:BA15)</f>
        <v/>
      </c>
      <c r="C15" s="1">
        <f>IF(ABS(B15-1)&lt;0.000000001,"PASS","FAIL")</f>
        <v/>
      </c>
    </row>
    <row r="16">
      <c r="A16" t="inlineStr">
        <is>
          <t>other metals 242</t>
        </is>
      </c>
      <c r="B16">
        <f>SUM('FoGPbEaIC-isic'!B16:BA16)</f>
        <v/>
      </c>
      <c r="C16" s="1">
        <f>IF(ABS(B16-1)&lt;0.000000001,"PASS","FAIL")</f>
        <v/>
      </c>
    </row>
    <row r="17">
      <c r="A17" t="inlineStr">
        <is>
          <t>metal products except machinery and vehicles 25</t>
        </is>
      </c>
      <c r="B17">
        <f>SUM('FoGPbEaIC-isic'!B17:BA17)</f>
        <v/>
      </c>
      <c r="C17" s="1">
        <f>IF(ABS(B17-1)&lt;0.000000001,"PASS","FAIL")</f>
        <v/>
      </c>
    </row>
    <row r="18">
      <c r="A18" t="inlineStr">
        <is>
          <t>computers and electronics 26</t>
        </is>
      </c>
      <c r="B18">
        <f>SUM('FoGPbEaIC-isic'!B18:BA18)</f>
        <v/>
      </c>
      <c r="C18" s="1">
        <f>IF(ABS(B18-1)&lt;0.000000001,"PASS","FAIL")</f>
        <v/>
      </c>
    </row>
    <row r="19">
      <c r="A19" t="inlineStr">
        <is>
          <t>appliances and electrical equipment 27</t>
        </is>
      </c>
      <c r="B19">
        <f>SUM('FoGPbEaIC-isic'!B19:BA19)</f>
        <v/>
      </c>
      <c r="C19" s="1">
        <f>IF(ABS(B19-1)&lt;0.000000001,"PASS","FAIL")</f>
        <v/>
      </c>
    </row>
    <row r="20">
      <c r="A20" t="inlineStr">
        <is>
          <t>other machinery 28</t>
        </is>
      </c>
      <c r="B20">
        <f>SUM('FoGPbEaIC-isic'!B20:BA20)</f>
        <v/>
      </c>
      <c r="C20" s="1">
        <f>IF(ABS(B20-1)&lt;0.000000001,"PASS","FAIL")</f>
        <v/>
      </c>
    </row>
    <row r="21">
      <c r="A21" t="inlineStr">
        <is>
          <t>road vehicles 29</t>
        </is>
      </c>
      <c r="B21">
        <f>SUM('FoGPbEaIC-isic'!B21:BA21)</f>
        <v/>
      </c>
      <c r="C21" s="1">
        <f>IF(ABS(B21-1)&lt;0.000000001,"PASS","FAIL")</f>
        <v/>
      </c>
    </row>
    <row r="22">
      <c r="A22" t="inlineStr">
        <is>
          <t>nonroad vehicles 30</t>
        </is>
      </c>
      <c r="B22">
        <f>SUM('FoGPbEaIC-isic'!B22:BA22)</f>
        <v/>
      </c>
      <c r="C22" s="1">
        <f>IF(ABS(B22-1)&lt;0.000000001,"PASS","FAIL")</f>
        <v/>
      </c>
    </row>
    <row r="23">
      <c r="A23" t="inlineStr">
        <is>
          <t>other manufacturing 31T33</t>
        </is>
      </c>
      <c r="B23">
        <f>SUM('FoGPbEaIC-isic'!B23:BA23)</f>
        <v/>
      </c>
      <c r="C23" s="1">
        <f>IF(ABS(B23-1)&lt;0.000000001,"PASS","FAIL")</f>
        <v/>
      </c>
    </row>
    <row r="24">
      <c r="A24" t="inlineStr">
        <is>
          <t>energy pipelines and gas processing 352T353</t>
        </is>
      </c>
      <c r="B24">
        <f>SUM('FoGPbEaIC-isic'!B24:BA24)</f>
        <v/>
      </c>
      <c r="C24" s="1">
        <f>IF(ABS(B24-1)&lt;0.000000001,"PASS","FAIL")</f>
        <v/>
      </c>
    </row>
    <row r="25">
      <c r="A25" t="inlineStr">
        <is>
          <t>water and waste 36T39</t>
        </is>
      </c>
      <c r="B25">
        <f>SUM('FoGPbEaIC-isic'!B25:BA25)</f>
        <v/>
      </c>
      <c r="C25" s="1">
        <f>IF(ABS(B25-1)&lt;0.000000001,"PASS","FAIL")</f>
        <v/>
      </c>
    </row>
    <row r="26">
      <c r="A26" t="inlineStr">
        <is>
          <t>construction 41T43</t>
        </is>
      </c>
      <c r="B26">
        <f>SUM('FoGPbEaIC-isic'!B26:BA26)</f>
        <v/>
      </c>
      <c r="C26" s="1">
        <f>IF(ABS(B26-1)&lt;0.000000001,"PASS","FAIL")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dimensionless (% of output purchased)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agriculture and forestry 01T03</t>
        </is>
      </c>
      <c r="B2">
        <f>Calculations!C3/Calculations!$BC$3</f>
        <v/>
      </c>
      <c r="C2">
        <f>Calculations!D3/Calculations!$BC$3</f>
        <v/>
      </c>
      <c r="D2">
        <f>Calculations!E3/Calculations!$BC$3</f>
        <v/>
      </c>
      <c r="E2">
        <f>Calculations!F3/Calculations!$BC$3</f>
        <v/>
      </c>
      <c r="F2">
        <f>Calculations!G3/Calculations!$BC$3</f>
        <v/>
      </c>
      <c r="G2">
        <f>Calculations!H3/Calculations!$BC$3</f>
        <v/>
      </c>
      <c r="H2">
        <f>Calculations!I3/Calculations!$BC$3</f>
        <v/>
      </c>
      <c r="I2">
        <f>Calculations!J3/Calculations!$BC$3</f>
        <v/>
      </c>
      <c r="J2">
        <f>Calculations!K3/Calculations!$BC$3</f>
        <v/>
      </c>
      <c r="K2">
        <f>Calculations!L3/Calculations!$BC$3</f>
        <v/>
      </c>
      <c r="L2">
        <f>Calculations!M3/Calculations!$BC$3</f>
        <v/>
      </c>
      <c r="M2">
        <f>Calculations!N3/Calculations!$BC$3</f>
        <v/>
      </c>
      <c r="N2">
        <f>Calculations!O3/Calculations!$BC$3</f>
        <v/>
      </c>
      <c r="O2">
        <f>Calculations!P3/Calculations!$BC$3</f>
        <v/>
      </c>
      <c r="P2">
        <f>Calculations!Q3/Calculations!$BC$3</f>
        <v/>
      </c>
      <c r="Q2">
        <f>Calculations!R3/Calculations!$BC$3</f>
        <v/>
      </c>
      <c r="R2">
        <f>Calculations!S3/Calculations!$BC$3</f>
        <v/>
      </c>
      <c r="S2">
        <f>Calculations!T3/Calculations!$BC$3</f>
        <v/>
      </c>
      <c r="T2">
        <f>Calculations!U3/Calculations!$BC$3</f>
        <v/>
      </c>
      <c r="U2">
        <f>Calculations!V3/Calculations!$BC$3</f>
        <v/>
      </c>
      <c r="V2">
        <f>Calculations!W3/Calculations!$BC$3</f>
        <v/>
      </c>
      <c r="W2">
        <f>Calculations!X3/Calculations!$BC$3</f>
        <v/>
      </c>
      <c r="X2">
        <f>Calculations!Y3/Calculations!$BC$3</f>
        <v/>
      </c>
      <c r="Y2">
        <f>Calculations!Z3/Calculations!$BC$3</f>
        <v/>
      </c>
      <c r="Z2">
        <f>Calculations!AA3/Calculations!$BC$3</f>
        <v/>
      </c>
      <c r="AA2">
        <f>Calculations!AB3/Calculations!$BC$3</f>
        <v/>
      </c>
      <c r="AB2">
        <f>Calculations!AC3/Calculations!$BC$3</f>
        <v/>
      </c>
      <c r="AC2">
        <f>Calculations!AD3/Calculations!$BC$3</f>
        <v/>
      </c>
      <c r="AD2">
        <f>Calculations!AE3/Calculations!$BC$3</f>
        <v/>
      </c>
      <c r="AE2">
        <f>Calculations!AF3/Calculations!$BC$3</f>
        <v/>
      </c>
      <c r="AF2">
        <f>Calculations!AG3/Calculations!$BC$3</f>
        <v/>
      </c>
      <c r="AG2">
        <f>Calculations!AH3/Calculations!$BC$3</f>
        <v/>
      </c>
      <c r="AH2">
        <f>Calculations!AI3/Calculations!$BC$3</f>
        <v/>
      </c>
      <c r="AI2">
        <f>Calculations!AJ3/Calculations!$BC$3</f>
        <v/>
      </c>
      <c r="AJ2">
        <f>Calculations!AK3/Calculations!$BC$3</f>
        <v/>
      </c>
      <c r="AK2">
        <f>Calculations!AL3/Calculations!$BC$3</f>
        <v/>
      </c>
      <c r="AL2">
        <f>Calculations!AM3/Calculations!$BC$3</f>
        <v/>
      </c>
      <c r="AM2">
        <f>Calculations!AN3/Calculations!$BC$3</f>
        <v/>
      </c>
      <c r="AN2">
        <f>Calculations!AO3/Calculations!$BC$3</f>
        <v/>
      </c>
      <c r="AO2">
        <f>Calculations!AP3/Calculations!$BC$3</f>
        <v/>
      </c>
      <c r="AP2">
        <f>Calculations!AQ3/Calculations!$BC$3</f>
        <v/>
      </c>
      <c r="AQ2">
        <f>Calculations!AR3/Calculations!$BC$3</f>
        <v/>
      </c>
      <c r="AR2">
        <f>Calculations!AS3/Calculations!$BC$3</f>
        <v/>
      </c>
      <c r="AS2">
        <f>Calculations!AT3/Calculations!$BC$3</f>
        <v/>
      </c>
      <c r="AT2">
        <f>Calculations!AU3/Calculations!$BC$3</f>
        <v/>
      </c>
      <c r="AU2">
        <f>Calculations!AV3/Calculations!$BC$3</f>
        <v/>
      </c>
      <c r="AV2">
        <f>Calculations!AW3/Calculations!$BC$3</f>
        <v/>
      </c>
      <c r="AW2">
        <f>Calculations!AX3/Calculations!$BC$3</f>
        <v/>
      </c>
      <c r="AX2">
        <f>Calculations!AY3/Calculations!$BC$3</f>
        <v/>
      </c>
      <c r="AY2">
        <f>Calculations!AZ3/Calculations!$BC$3</f>
        <v/>
      </c>
      <c r="AZ2">
        <f>Calculations!BA3/Calculations!$BC$3</f>
        <v/>
      </c>
      <c r="BA2">
        <f>Calculations!BB3/Calculations!$BC$3</f>
        <v/>
      </c>
    </row>
    <row r="3">
      <c r="A3" t="inlineStr">
        <is>
          <t>coal mining 05</t>
        </is>
      </c>
      <c r="B3">
        <f>Calculations!C4/Calculations!$BC$4</f>
        <v/>
      </c>
      <c r="C3">
        <f>Calculations!D4/Calculations!$BC$4</f>
        <v/>
      </c>
      <c r="D3">
        <f>Calculations!E4/Calculations!$BC$4</f>
        <v/>
      </c>
      <c r="E3">
        <f>Calculations!F4/Calculations!$BC$4</f>
        <v/>
      </c>
      <c r="F3">
        <f>Calculations!G4/Calculations!$BC$4</f>
        <v/>
      </c>
      <c r="G3">
        <f>Calculations!H4/Calculations!$BC$4</f>
        <v/>
      </c>
      <c r="H3">
        <f>Calculations!I4/Calculations!$BC$4</f>
        <v/>
      </c>
      <c r="I3">
        <f>Calculations!J4/Calculations!$BC$4</f>
        <v/>
      </c>
      <c r="J3">
        <f>Calculations!K4/Calculations!$BC$4</f>
        <v/>
      </c>
      <c r="K3">
        <f>Calculations!L4/Calculations!$BC$4</f>
        <v/>
      </c>
      <c r="L3">
        <f>Calculations!M4/Calculations!$BC$4</f>
        <v/>
      </c>
      <c r="M3">
        <f>Calculations!N4/Calculations!$BC$4</f>
        <v/>
      </c>
      <c r="N3">
        <f>Calculations!O4/Calculations!$BC$4</f>
        <v/>
      </c>
      <c r="O3">
        <f>Calculations!P4/Calculations!$BC$4</f>
        <v/>
      </c>
      <c r="P3">
        <f>Calculations!Q4/Calculations!$BC$4</f>
        <v/>
      </c>
      <c r="Q3">
        <f>Calculations!R4/Calculations!$BC$4</f>
        <v/>
      </c>
      <c r="R3">
        <f>Calculations!S4/Calculations!$BC$4</f>
        <v/>
      </c>
      <c r="S3">
        <f>Calculations!T4/Calculations!$BC$4</f>
        <v/>
      </c>
      <c r="T3">
        <f>Calculations!U4/Calculations!$BC$4</f>
        <v/>
      </c>
      <c r="U3">
        <f>Calculations!V4/Calculations!$BC$4</f>
        <v/>
      </c>
      <c r="V3">
        <f>Calculations!W4/Calculations!$BC$4</f>
        <v/>
      </c>
      <c r="W3">
        <f>Calculations!X4/Calculations!$BC$4</f>
        <v/>
      </c>
      <c r="X3">
        <f>Calculations!Y4/Calculations!$BC$4</f>
        <v/>
      </c>
      <c r="Y3">
        <f>Calculations!Z4/Calculations!$BC$4</f>
        <v/>
      </c>
      <c r="Z3">
        <f>Calculations!AA4/Calculations!$BC$4</f>
        <v/>
      </c>
      <c r="AA3">
        <f>Calculations!AB4/Calculations!$BC$4</f>
        <v/>
      </c>
      <c r="AB3">
        <f>Calculations!AC4/Calculations!$BC$4</f>
        <v/>
      </c>
      <c r="AC3">
        <f>Calculations!AD4/Calculations!$BC$4</f>
        <v/>
      </c>
      <c r="AD3">
        <f>Calculations!AE4/Calculations!$BC$4</f>
        <v/>
      </c>
      <c r="AE3">
        <f>Calculations!AF4/Calculations!$BC$4</f>
        <v/>
      </c>
      <c r="AF3">
        <f>Calculations!AG4/Calculations!$BC$4</f>
        <v/>
      </c>
      <c r="AG3">
        <f>Calculations!AH4/Calculations!$BC$4</f>
        <v/>
      </c>
      <c r="AH3">
        <f>Calculations!AI4/Calculations!$BC$4</f>
        <v/>
      </c>
      <c r="AI3">
        <f>Calculations!AJ4/Calculations!$BC$4</f>
        <v/>
      </c>
      <c r="AJ3">
        <f>Calculations!AK4/Calculations!$BC$4</f>
        <v/>
      </c>
      <c r="AK3">
        <f>Calculations!AL4/Calculations!$BC$4</f>
        <v/>
      </c>
      <c r="AL3">
        <f>Calculations!AM4/Calculations!$BC$4</f>
        <v/>
      </c>
      <c r="AM3">
        <f>Calculations!AN4/Calculations!$BC$4</f>
        <v/>
      </c>
      <c r="AN3">
        <f>Calculations!AO4/Calculations!$BC$4</f>
        <v/>
      </c>
      <c r="AO3">
        <f>Calculations!AP4/Calculations!$BC$4</f>
        <v/>
      </c>
      <c r="AP3">
        <f>Calculations!AQ4/Calculations!$BC$4</f>
        <v/>
      </c>
      <c r="AQ3">
        <f>Calculations!AR4/Calculations!$BC$4</f>
        <v/>
      </c>
      <c r="AR3">
        <f>Calculations!AS4/Calculations!$BC$4</f>
        <v/>
      </c>
      <c r="AS3">
        <f>Calculations!AT4/Calculations!$BC$4</f>
        <v/>
      </c>
      <c r="AT3">
        <f>Calculations!AU4/Calculations!$BC$4</f>
        <v/>
      </c>
      <c r="AU3">
        <f>Calculations!AV4/Calculations!$BC$4</f>
        <v/>
      </c>
      <c r="AV3">
        <f>Calculations!AW4/Calculations!$BC$4</f>
        <v/>
      </c>
      <c r="AW3">
        <f>Calculations!AX4/Calculations!$BC$4</f>
        <v/>
      </c>
      <c r="AX3">
        <f>Calculations!AY4/Calculations!$BC$4</f>
        <v/>
      </c>
      <c r="AY3">
        <f>Calculations!AZ4/Calculations!$BC$4</f>
        <v/>
      </c>
      <c r="AZ3">
        <f>Calculations!BA4/Calculations!$BC$4</f>
        <v/>
      </c>
      <c r="BA3">
        <f>Calculations!BB4/Calculations!$BC$4</f>
        <v/>
      </c>
    </row>
    <row r="4">
      <c r="A4" t="inlineStr">
        <is>
          <t>oil and gas extraction 06</t>
        </is>
      </c>
      <c r="B4">
        <f>Calculations!C5/Calculations!$BC$5</f>
        <v/>
      </c>
      <c r="C4">
        <f>Calculations!D5/Calculations!$BC$5</f>
        <v/>
      </c>
      <c r="D4">
        <f>Calculations!E5/Calculations!$BC$5</f>
        <v/>
      </c>
      <c r="E4">
        <f>Calculations!F5/Calculations!$BC$5</f>
        <v/>
      </c>
      <c r="F4">
        <f>Calculations!G5/Calculations!$BC$5</f>
        <v/>
      </c>
      <c r="G4">
        <f>Calculations!H5/Calculations!$BC$5</f>
        <v/>
      </c>
      <c r="H4">
        <f>Calculations!I5/Calculations!$BC$5</f>
        <v/>
      </c>
      <c r="I4">
        <f>Calculations!J5/Calculations!$BC$5</f>
        <v/>
      </c>
      <c r="J4">
        <f>Calculations!K5/Calculations!$BC$5</f>
        <v/>
      </c>
      <c r="K4">
        <f>Calculations!L5/Calculations!$BC$5</f>
        <v/>
      </c>
      <c r="L4">
        <f>Calculations!M5/Calculations!$BC$5</f>
        <v/>
      </c>
      <c r="M4">
        <f>Calculations!N5/Calculations!$BC$5</f>
        <v/>
      </c>
      <c r="N4">
        <f>Calculations!O5/Calculations!$BC$5</f>
        <v/>
      </c>
      <c r="O4">
        <f>Calculations!P5/Calculations!$BC$5</f>
        <v/>
      </c>
      <c r="P4">
        <f>Calculations!Q5/Calculations!$BC$5</f>
        <v/>
      </c>
      <c r="Q4">
        <f>Calculations!R5/Calculations!$BC$5</f>
        <v/>
      </c>
      <c r="R4">
        <f>Calculations!S5/Calculations!$BC$5</f>
        <v/>
      </c>
      <c r="S4">
        <f>Calculations!T5/Calculations!$BC$5</f>
        <v/>
      </c>
      <c r="T4">
        <f>Calculations!U5/Calculations!$BC$5</f>
        <v/>
      </c>
      <c r="U4">
        <f>Calculations!V5/Calculations!$BC$5</f>
        <v/>
      </c>
      <c r="V4">
        <f>Calculations!W5/Calculations!$BC$5</f>
        <v/>
      </c>
      <c r="W4">
        <f>Calculations!X5/Calculations!$BC$5</f>
        <v/>
      </c>
      <c r="X4">
        <f>Calculations!Y5/Calculations!$BC$5</f>
        <v/>
      </c>
      <c r="Y4">
        <f>Calculations!Z5/Calculations!$BC$5</f>
        <v/>
      </c>
      <c r="Z4">
        <f>Calculations!AA5/Calculations!$BC$5</f>
        <v/>
      </c>
      <c r="AA4">
        <f>Calculations!AB5/Calculations!$BC$5</f>
        <v/>
      </c>
      <c r="AB4">
        <f>Calculations!AC5/Calculations!$BC$5</f>
        <v/>
      </c>
      <c r="AC4">
        <f>Calculations!AD5/Calculations!$BC$5</f>
        <v/>
      </c>
      <c r="AD4">
        <f>Calculations!AE5/Calculations!$BC$5</f>
        <v/>
      </c>
      <c r="AE4">
        <f>Calculations!AF5/Calculations!$BC$5</f>
        <v/>
      </c>
      <c r="AF4">
        <f>Calculations!AG5/Calculations!$BC$5</f>
        <v/>
      </c>
      <c r="AG4">
        <f>Calculations!AH5/Calculations!$BC$5</f>
        <v/>
      </c>
      <c r="AH4">
        <f>Calculations!AI5/Calculations!$BC$5</f>
        <v/>
      </c>
      <c r="AI4">
        <f>Calculations!AJ5/Calculations!$BC$5</f>
        <v/>
      </c>
      <c r="AJ4">
        <f>Calculations!AK5/Calculations!$BC$5</f>
        <v/>
      </c>
      <c r="AK4">
        <f>Calculations!AL5/Calculations!$BC$5</f>
        <v/>
      </c>
      <c r="AL4">
        <f>Calculations!AM5/Calculations!$BC$5</f>
        <v/>
      </c>
      <c r="AM4">
        <f>Calculations!AN5/Calculations!$BC$5</f>
        <v/>
      </c>
      <c r="AN4">
        <f>Calculations!AO5/Calculations!$BC$5</f>
        <v/>
      </c>
      <c r="AO4">
        <f>Calculations!AP5/Calculations!$BC$5</f>
        <v/>
      </c>
      <c r="AP4">
        <f>Calculations!AQ5/Calculations!$BC$5</f>
        <v/>
      </c>
      <c r="AQ4">
        <f>Calculations!AR5/Calculations!$BC$5</f>
        <v/>
      </c>
      <c r="AR4">
        <f>Calculations!AS5/Calculations!$BC$5</f>
        <v/>
      </c>
      <c r="AS4">
        <f>Calculations!AT5/Calculations!$BC$5</f>
        <v/>
      </c>
      <c r="AT4">
        <f>Calculations!AU5/Calculations!$BC$5</f>
        <v/>
      </c>
      <c r="AU4">
        <f>Calculations!AV5/Calculations!$BC$5</f>
        <v/>
      </c>
      <c r="AV4">
        <f>Calculations!AW5/Calculations!$BC$5</f>
        <v/>
      </c>
      <c r="AW4">
        <f>Calculations!AX5/Calculations!$BC$5</f>
        <v/>
      </c>
      <c r="AX4">
        <f>Calculations!AY5/Calculations!$BC$5</f>
        <v/>
      </c>
      <c r="AY4">
        <f>Calculations!AZ5/Calculations!$BC$5</f>
        <v/>
      </c>
      <c r="AZ4">
        <f>Calculations!BA5/Calculations!$BC$5</f>
        <v/>
      </c>
      <c r="BA4">
        <f>Calculations!BB5/Calculations!$BC$5</f>
        <v/>
      </c>
    </row>
    <row r="5">
      <c r="A5" t="inlineStr">
        <is>
          <t>other mining and quarrying 07T08</t>
        </is>
      </c>
      <c r="B5">
        <f>Calculations!C6/Calculations!$BC$6</f>
        <v/>
      </c>
      <c r="C5">
        <f>Calculations!D6/Calculations!$BC$6</f>
        <v/>
      </c>
      <c r="D5">
        <f>Calculations!E6/Calculations!$BC$6</f>
        <v/>
      </c>
      <c r="E5">
        <f>Calculations!F6/Calculations!$BC$6</f>
        <v/>
      </c>
      <c r="F5">
        <f>Calculations!G6/Calculations!$BC$6</f>
        <v/>
      </c>
      <c r="G5">
        <f>Calculations!H6/Calculations!$BC$6</f>
        <v/>
      </c>
      <c r="H5">
        <f>Calculations!I6/Calculations!$BC$6</f>
        <v/>
      </c>
      <c r="I5">
        <f>Calculations!J6/Calculations!$BC$6</f>
        <v/>
      </c>
      <c r="J5">
        <f>Calculations!K6/Calculations!$BC$6</f>
        <v/>
      </c>
      <c r="K5">
        <f>Calculations!L6/Calculations!$BC$6</f>
        <v/>
      </c>
      <c r="L5">
        <f>Calculations!M6/Calculations!$BC$6</f>
        <v/>
      </c>
      <c r="M5">
        <f>Calculations!N6/Calculations!$BC$6</f>
        <v/>
      </c>
      <c r="N5">
        <f>Calculations!O6/Calculations!$BC$6</f>
        <v/>
      </c>
      <c r="O5">
        <f>Calculations!P6/Calculations!$BC$6</f>
        <v/>
      </c>
      <c r="P5">
        <f>Calculations!Q6/Calculations!$BC$6</f>
        <v/>
      </c>
      <c r="Q5">
        <f>Calculations!R6/Calculations!$BC$6</f>
        <v/>
      </c>
      <c r="R5">
        <f>Calculations!S6/Calculations!$BC$6</f>
        <v/>
      </c>
      <c r="S5">
        <f>Calculations!T6/Calculations!$BC$6</f>
        <v/>
      </c>
      <c r="T5">
        <f>Calculations!U6/Calculations!$BC$6</f>
        <v/>
      </c>
      <c r="U5">
        <f>Calculations!V6/Calculations!$BC$6</f>
        <v/>
      </c>
      <c r="V5">
        <f>Calculations!W6/Calculations!$BC$6</f>
        <v/>
      </c>
      <c r="W5">
        <f>Calculations!X6/Calculations!$BC$6</f>
        <v/>
      </c>
      <c r="X5">
        <f>Calculations!Y6/Calculations!$BC$6</f>
        <v/>
      </c>
      <c r="Y5">
        <f>Calculations!Z6/Calculations!$BC$6</f>
        <v/>
      </c>
      <c r="Z5">
        <f>Calculations!AA6/Calculations!$BC$6</f>
        <v/>
      </c>
      <c r="AA5">
        <f>Calculations!AB6/Calculations!$BC$6</f>
        <v/>
      </c>
      <c r="AB5">
        <f>Calculations!AC6/Calculations!$BC$6</f>
        <v/>
      </c>
      <c r="AC5">
        <f>Calculations!AD6/Calculations!$BC$6</f>
        <v/>
      </c>
      <c r="AD5">
        <f>Calculations!AE6/Calculations!$BC$6</f>
        <v/>
      </c>
      <c r="AE5">
        <f>Calculations!AF6/Calculations!$BC$6</f>
        <v/>
      </c>
      <c r="AF5">
        <f>Calculations!AG6/Calculations!$BC$6</f>
        <v/>
      </c>
      <c r="AG5">
        <f>Calculations!AH6/Calculations!$BC$6</f>
        <v/>
      </c>
      <c r="AH5">
        <f>Calculations!AI6/Calculations!$BC$6</f>
        <v/>
      </c>
      <c r="AI5">
        <f>Calculations!AJ6/Calculations!$BC$6</f>
        <v/>
      </c>
      <c r="AJ5">
        <f>Calculations!AK6/Calculations!$BC$6</f>
        <v/>
      </c>
      <c r="AK5">
        <f>Calculations!AL6/Calculations!$BC$6</f>
        <v/>
      </c>
      <c r="AL5">
        <f>Calculations!AM6/Calculations!$BC$6</f>
        <v/>
      </c>
      <c r="AM5">
        <f>Calculations!AN6/Calculations!$BC$6</f>
        <v/>
      </c>
      <c r="AN5">
        <f>Calculations!AO6/Calculations!$BC$6</f>
        <v/>
      </c>
      <c r="AO5">
        <f>Calculations!AP6/Calculations!$BC$6</f>
        <v/>
      </c>
      <c r="AP5">
        <f>Calculations!AQ6/Calculations!$BC$6</f>
        <v/>
      </c>
      <c r="AQ5">
        <f>Calculations!AR6/Calculations!$BC$6</f>
        <v/>
      </c>
      <c r="AR5">
        <f>Calculations!AS6/Calculations!$BC$6</f>
        <v/>
      </c>
      <c r="AS5">
        <f>Calculations!AT6/Calculations!$BC$6</f>
        <v/>
      </c>
      <c r="AT5">
        <f>Calculations!AU6/Calculations!$BC$6</f>
        <v/>
      </c>
      <c r="AU5">
        <f>Calculations!AV6/Calculations!$BC$6</f>
        <v/>
      </c>
      <c r="AV5">
        <f>Calculations!AW6/Calculations!$BC$6</f>
        <v/>
      </c>
      <c r="AW5">
        <f>Calculations!AX6/Calculations!$BC$6</f>
        <v/>
      </c>
      <c r="AX5">
        <f>Calculations!AY6/Calculations!$BC$6</f>
        <v/>
      </c>
      <c r="AY5">
        <f>Calculations!AZ6/Calculations!$BC$6</f>
        <v/>
      </c>
      <c r="AZ5">
        <f>Calculations!BA6/Calculations!$BC$6</f>
        <v/>
      </c>
      <c r="BA5">
        <f>Calculations!BB6/Calculations!$BC$6</f>
        <v/>
      </c>
    </row>
    <row r="6">
      <c r="A6" t="inlineStr">
        <is>
          <t>food beverage and tobacco 10T12</t>
        </is>
      </c>
      <c r="B6">
        <f>Calculations!C7/Calculations!$BC$7</f>
        <v/>
      </c>
      <c r="C6">
        <f>Calculations!D7/Calculations!$BC$7</f>
        <v/>
      </c>
      <c r="D6">
        <f>Calculations!E7/Calculations!$BC$7</f>
        <v/>
      </c>
      <c r="E6">
        <f>Calculations!F7/Calculations!$BC$7</f>
        <v/>
      </c>
      <c r="F6">
        <f>Calculations!G7/Calculations!$BC$7</f>
        <v/>
      </c>
      <c r="G6">
        <f>Calculations!H7/Calculations!$BC$7</f>
        <v/>
      </c>
      <c r="H6">
        <f>Calculations!I7/Calculations!$BC$7</f>
        <v/>
      </c>
      <c r="I6">
        <f>Calculations!J7/Calculations!$BC$7</f>
        <v/>
      </c>
      <c r="J6">
        <f>Calculations!K7/Calculations!$BC$7</f>
        <v/>
      </c>
      <c r="K6">
        <f>Calculations!L7/Calculations!$BC$7</f>
        <v/>
      </c>
      <c r="L6">
        <f>Calculations!M7/Calculations!$BC$7</f>
        <v/>
      </c>
      <c r="M6">
        <f>Calculations!N7/Calculations!$BC$7</f>
        <v/>
      </c>
      <c r="N6">
        <f>Calculations!O7/Calculations!$BC$7</f>
        <v/>
      </c>
      <c r="O6">
        <f>Calculations!P7/Calculations!$BC$7</f>
        <v/>
      </c>
      <c r="P6">
        <f>Calculations!Q7/Calculations!$BC$7</f>
        <v/>
      </c>
      <c r="Q6">
        <f>Calculations!R7/Calculations!$BC$7</f>
        <v/>
      </c>
      <c r="R6">
        <f>Calculations!S7/Calculations!$BC$7</f>
        <v/>
      </c>
      <c r="S6">
        <f>Calculations!T7/Calculations!$BC$7</f>
        <v/>
      </c>
      <c r="T6">
        <f>Calculations!U7/Calculations!$BC$7</f>
        <v/>
      </c>
      <c r="U6">
        <f>Calculations!V7/Calculations!$BC$7</f>
        <v/>
      </c>
      <c r="V6">
        <f>Calculations!W7/Calculations!$BC$7</f>
        <v/>
      </c>
      <c r="W6">
        <f>Calculations!X7/Calculations!$BC$7</f>
        <v/>
      </c>
      <c r="X6">
        <f>Calculations!Y7/Calculations!$BC$7</f>
        <v/>
      </c>
      <c r="Y6">
        <f>Calculations!Z7/Calculations!$BC$7</f>
        <v/>
      </c>
      <c r="Z6">
        <f>Calculations!AA7/Calculations!$BC$7</f>
        <v/>
      </c>
      <c r="AA6">
        <f>Calculations!AB7/Calculations!$BC$7</f>
        <v/>
      </c>
      <c r="AB6">
        <f>Calculations!AC7/Calculations!$BC$7</f>
        <v/>
      </c>
      <c r="AC6">
        <f>Calculations!AD7/Calculations!$BC$7</f>
        <v/>
      </c>
      <c r="AD6">
        <f>Calculations!AE7/Calculations!$BC$7</f>
        <v/>
      </c>
      <c r="AE6">
        <f>Calculations!AF7/Calculations!$BC$7</f>
        <v/>
      </c>
      <c r="AF6">
        <f>Calculations!AG7/Calculations!$BC$7</f>
        <v/>
      </c>
      <c r="AG6">
        <f>Calculations!AH7/Calculations!$BC$7</f>
        <v/>
      </c>
      <c r="AH6">
        <f>Calculations!AI7/Calculations!$BC$7</f>
        <v/>
      </c>
      <c r="AI6">
        <f>Calculations!AJ7/Calculations!$BC$7</f>
        <v/>
      </c>
      <c r="AJ6">
        <f>Calculations!AK7/Calculations!$BC$7</f>
        <v/>
      </c>
      <c r="AK6">
        <f>Calculations!AL7/Calculations!$BC$7</f>
        <v/>
      </c>
      <c r="AL6">
        <f>Calculations!AM7/Calculations!$BC$7</f>
        <v/>
      </c>
      <c r="AM6">
        <f>Calculations!AN7/Calculations!$BC$7</f>
        <v/>
      </c>
      <c r="AN6">
        <f>Calculations!AO7/Calculations!$BC$7</f>
        <v/>
      </c>
      <c r="AO6">
        <f>Calculations!AP7/Calculations!$BC$7</f>
        <v/>
      </c>
      <c r="AP6">
        <f>Calculations!AQ7/Calculations!$BC$7</f>
        <v/>
      </c>
      <c r="AQ6">
        <f>Calculations!AR7/Calculations!$BC$7</f>
        <v/>
      </c>
      <c r="AR6">
        <f>Calculations!AS7/Calculations!$BC$7</f>
        <v/>
      </c>
      <c r="AS6">
        <f>Calculations!AT7/Calculations!$BC$7</f>
        <v/>
      </c>
      <c r="AT6">
        <f>Calculations!AU7/Calculations!$BC$7</f>
        <v/>
      </c>
      <c r="AU6">
        <f>Calculations!AV7/Calculations!$BC$7</f>
        <v/>
      </c>
      <c r="AV6">
        <f>Calculations!AW7/Calculations!$BC$7</f>
        <v/>
      </c>
      <c r="AW6">
        <f>Calculations!AX7/Calculations!$BC$7</f>
        <v/>
      </c>
      <c r="AX6">
        <f>Calculations!AY7/Calculations!$BC$7</f>
        <v/>
      </c>
      <c r="AY6">
        <f>Calculations!AZ7/Calculations!$BC$7</f>
        <v/>
      </c>
      <c r="AZ6">
        <f>Calculations!BA7/Calculations!$BC$7</f>
        <v/>
      </c>
      <c r="BA6">
        <f>Calculations!BB7/Calculations!$BC$7</f>
        <v/>
      </c>
    </row>
    <row r="7">
      <c r="A7" t="inlineStr">
        <is>
          <t>textiles apparel and leather 13T15</t>
        </is>
      </c>
      <c r="B7">
        <f>Calculations!C8/Calculations!$BC$8</f>
        <v/>
      </c>
      <c r="C7">
        <f>Calculations!D8/Calculations!$BC$8</f>
        <v/>
      </c>
      <c r="D7">
        <f>Calculations!E8/Calculations!$BC$8</f>
        <v/>
      </c>
      <c r="E7">
        <f>Calculations!F8/Calculations!$BC$8</f>
        <v/>
      </c>
      <c r="F7">
        <f>Calculations!G8/Calculations!$BC$8</f>
        <v/>
      </c>
      <c r="G7">
        <f>Calculations!H8/Calculations!$BC$8</f>
        <v/>
      </c>
      <c r="H7">
        <f>Calculations!I8/Calculations!$BC$8</f>
        <v/>
      </c>
      <c r="I7">
        <f>Calculations!J8/Calculations!$BC$8</f>
        <v/>
      </c>
      <c r="J7">
        <f>Calculations!K8/Calculations!$BC$8</f>
        <v/>
      </c>
      <c r="K7">
        <f>Calculations!L8/Calculations!$BC$8</f>
        <v/>
      </c>
      <c r="L7">
        <f>Calculations!M8/Calculations!$BC$8</f>
        <v/>
      </c>
      <c r="M7">
        <f>Calculations!N8/Calculations!$BC$8</f>
        <v/>
      </c>
      <c r="N7">
        <f>Calculations!O8/Calculations!$BC$8</f>
        <v/>
      </c>
      <c r="O7">
        <f>Calculations!P8/Calculations!$BC$8</f>
        <v/>
      </c>
      <c r="P7">
        <f>Calculations!Q8/Calculations!$BC$8</f>
        <v/>
      </c>
      <c r="Q7">
        <f>Calculations!R8/Calculations!$BC$8</f>
        <v/>
      </c>
      <c r="R7">
        <f>Calculations!S8/Calculations!$BC$8</f>
        <v/>
      </c>
      <c r="S7">
        <f>Calculations!T8/Calculations!$BC$8</f>
        <v/>
      </c>
      <c r="T7">
        <f>Calculations!U8/Calculations!$BC$8</f>
        <v/>
      </c>
      <c r="U7">
        <f>Calculations!V8/Calculations!$BC$8</f>
        <v/>
      </c>
      <c r="V7">
        <f>Calculations!W8/Calculations!$BC$8</f>
        <v/>
      </c>
      <c r="W7">
        <f>Calculations!X8/Calculations!$BC$8</f>
        <v/>
      </c>
      <c r="X7">
        <f>Calculations!Y8/Calculations!$BC$8</f>
        <v/>
      </c>
      <c r="Y7">
        <f>Calculations!Z8/Calculations!$BC$8</f>
        <v/>
      </c>
      <c r="Z7">
        <f>Calculations!AA8/Calculations!$BC$8</f>
        <v/>
      </c>
      <c r="AA7">
        <f>Calculations!AB8/Calculations!$BC$8</f>
        <v/>
      </c>
      <c r="AB7">
        <f>Calculations!AC8/Calculations!$BC$8</f>
        <v/>
      </c>
      <c r="AC7">
        <f>Calculations!AD8/Calculations!$BC$8</f>
        <v/>
      </c>
      <c r="AD7">
        <f>Calculations!AE8/Calculations!$BC$8</f>
        <v/>
      </c>
      <c r="AE7">
        <f>Calculations!AF8/Calculations!$BC$8</f>
        <v/>
      </c>
      <c r="AF7">
        <f>Calculations!AG8/Calculations!$BC$8</f>
        <v/>
      </c>
      <c r="AG7">
        <f>Calculations!AH8/Calculations!$BC$8</f>
        <v/>
      </c>
      <c r="AH7">
        <f>Calculations!AI8/Calculations!$BC$8</f>
        <v/>
      </c>
      <c r="AI7">
        <f>Calculations!AJ8/Calculations!$BC$8</f>
        <v/>
      </c>
      <c r="AJ7">
        <f>Calculations!AK8/Calculations!$BC$8</f>
        <v/>
      </c>
      <c r="AK7">
        <f>Calculations!AL8/Calculations!$BC$8</f>
        <v/>
      </c>
      <c r="AL7">
        <f>Calculations!AM8/Calculations!$BC$8</f>
        <v/>
      </c>
      <c r="AM7">
        <f>Calculations!AN8/Calculations!$BC$8</f>
        <v/>
      </c>
      <c r="AN7">
        <f>Calculations!AO8/Calculations!$BC$8</f>
        <v/>
      </c>
      <c r="AO7">
        <f>Calculations!AP8/Calculations!$BC$8</f>
        <v/>
      </c>
      <c r="AP7">
        <f>Calculations!AQ8/Calculations!$BC$8</f>
        <v/>
      </c>
      <c r="AQ7">
        <f>Calculations!AR8/Calculations!$BC$8</f>
        <v/>
      </c>
      <c r="AR7">
        <f>Calculations!AS8/Calculations!$BC$8</f>
        <v/>
      </c>
      <c r="AS7">
        <f>Calculations!AT8/Calculations!$BC$8</f>
        <v/>
      </c>
      <c r="AT7">
        <f>Calculations!AU8/Calculations!$BC$8</f>
        <v/>
      </c>
      <c r="AU7">
        <f>Calculations!AV8/Calculations!$BC$8</f>
        <v/>
      </c>
      <c r="AV7">
        <f>Calculations!AW8/Calculations!$BC$8</f>
        <v/>
      </c>
      <c r="AW7">
        <f>Calculations!AX8/Calculations!$BC$8</f>
        <v/>
      </c>
      <c r="AX7">
        <f>Calculations!AY8/Calculations!$BC$8</f>
        <v/>
      </c>
      <c r="AY7">
        <f>Calculations!AZ8/Calculations!$BC$8</f>
        <v/>
      </c>
      <c r="AZ7">
        <f>Calculations!BA8/Calculations!$BC$8</f>
        <v/>
      </c>
      <c r="BA7">
        <f>Calculations!BB8/Calculations!$BC$8</f>
        <v/>
      </c>
    </row>
    <row r="8">
      <c r="A8" t="inlineStr">
        <is>
          <t>wood products 16</t>
        </is>
      </c>
      <c r="B8">
        <f>Calculations!C9/Calculations!$BC$9</f>
        <v/>
      </c>
      <c r="C8">
        <f>Calculations!D9/Calculations!$BC$9</f>
        <v/>
      </c>
      <c r="D8">
        <f>Calculations!E9/Calculations!$BC$9</f>
        <v/>
      </c>
      <c r="E8">
        <f>Calculations!F9/Calculations!$BC$9</f>
        <v/>
      </c>
      <c r="F8">
        <f>Calculations!G9/Calculations!$BC$9</f>
        <v/>
      </c>
      <c r="G8">
        <f>Calculations!H9/Calculations!$BC$9</f>
        <v/>
      </c>
      <c r="H8">
        <f>Calculations!I9/Calculations!$BC$9</f>
        <v/>
      </c>
      <c r="I8">
        <f>Calculations!J9/Calculations!$BC$9</f>
        <v/>
      </c>
      <c r="J8">
        <f>Calculations!K9/Calculations!$BC$9</f>
        <v/>
      </c>
      <c r="K8">
        <f>Calculations!L9/Calculations!$BC$9</f>
        <v/>
      </c>
      <c r="L8">
        <f>Calculations!M9/Calculations!$BC$9</f>
        <v/>
      </c>
      <c r="M8">
        <f>Calculations!N9/Calculations!$BC$9</f>
        <v/>
      </c>
      <c r="N8">
        <f>Calculations!O9/Calculations!$BC$9</f>
        <v/>
      </c>
      <c r="O8">
        <f>Calculations!P9/Calculations!$BC$9</f>
        <v/>
      </c>
      <c r="P8">
        <f>Calculations!Q9/Calculations!$BC$9</f>
        <v/>
      </c>
      <c r="Q8">
        <f>Calculations!R9/Calculations!$BC$9</f>
        <v/>
      </c>
      <c r="R8">
        <f>Calculations!S9/Calculations!$BC$9</f>
        <v/>
      </c>
      <c r="S8">
        <f>Calculations!T9/Calculations!$BC$9</f>
        <v/>
      </c>
      <c r="T8">
        <f>Calculations!U9/Calculations!$BC$9</f>
        <v/>
      </c>
      <c r="U8">
        <f>Calculations!V9/Calculations!$BC$9</f>
        <v/>
      </c>
      <c r="V8">
        <f>Calculations!W9/Calculations!$BC$9</f>
        <v/>
      </c>
      <c r="W8">
        <f>Calculations!X9/Calculations!$BC$9</f>
        <v/>
      </c>
      <c r="X8">
        <f>Calculations!Y9/Calculations!$BC$9</f>
        <v/>
      </c>
      <c r="Y8">
        <f>Calculations!Z9/Calculations!$BC$9</f>
        <v/>
      </c>
      <c r="Z8">
        <f>Calculations!AA9/Calculations!$BC$9</f>
        <v/>
      </c>
      <c r="AA8">
        <f>Calculations!AB9/Calculations!$BC$9</f>
        <v/>
      </c>
      <c r="AB8">
        <f>Calculations!AC9/Calculations!$BC$9</f>
        <v/>
      </c>
      <c r="AC8">
        <f>Calculations!AD9/Calculations!$BC$9</f>
        <v/>
      </c>
      <c r="AD8">
        <f>Calculations!AE9/Calculations!$BC$9</f>
        <v/>
      </c>
      <c r="AE8">
        <f>Calculations!AF9/Calculations!$BC$9</f>
        <v/>
      </c>
      <c r="AF8">
        <f>Calculations!AG9/Calculations!$BC$9</f>
        <v/>
      </c>
      <c r="AG8">
        <f>Calculations!AH9/Calculations!$BC$9</f>
        <v/>
      </c>
      <c r="AH8">
        <f>Calculations!AI9/Calculations!$BC$9</f>
        <v/>
      </c>
      <c r="AI8">
        <f>Calculations!AJ9/Calculations!$BC$9</f>
        <v/>
      </c>
      <c r="AJ8">
        <f>Calculations!AK9/Calculations!$BC$9</f>
        <v/>
      </c>
      <c r="AK8">
        <f>Calculations!AL9/Calculations!$BC$9</f>
        <v/>
      </c>
      <c r="AL8">
        <f>Calculations!AM9/Calculations!$BC$9</f>
        <v/>
      </c>
      <c r="AM8">
        <f>Calculations!AN9/Calculations!$BC$9</f>
        <v/>
      </c>
      <c r="AN8">
        <f>Calculations!AO9/Calculations!$BC$9</f>
        <v/>
      </c>
      <c r="AO8">
        <f>Calculations!AP9/Calculations!$BC$9</f>
        <v/>
      </c>
      <c r="AP8">
        <f>Calculations!AQ9/Calculations!$BC$9</f>
        <v/>
      </c>
      <c r="AQ8">
        <f>Calculations!AR9/Calculations!$BC$9</f>
        <v/>
      </c>
      <c r="AR8">
        <f>Calculations!AS9/Calculations!$BC$9</f>
        <v/>
      </c>
      <c r="AS8">
        <f>Calculations!AT9/Calculations!$BC$9</f>
        <v/>
      </c>
      <c r="AT8">
        <f>Calculations!AU9/Calculations!$BC$9</f>
        <v/>
      </c>
      <c r="AU8">
        <f>Calculations!AV9/Calculations!$BC$9</f>
        <v/>
      </c>
      <c r="AV8">
        <f>Calculations!AW9/Calculations!$BC$9</f>
        <v/>
      </c>
      <c r="AW8">
        <f>Calculations!AX9/Calculations!$BC$9</f>
        <v/>
      </c>
      <c r="AX8">
        <f>Calculations!AY9/Calculations!$BC$9</f>
        <v/>
      </c>
      <c r="AY8">
        <f>Calculations!AZ9/Calculations!$BC$9</f>
        <v/>
      </c>
      <c r="AZ8">
        <f>Calculations!BA9/Calculations!$BC$9</f>
        <v/>
      </c>
      <c r="BA8">
        <f>Calculations!BB9/Calculations!$BC$9</f>
        <v/>
      </c>
    </row>
    <row r="9">
      <c r="A9" t="inlineStr">
        <is>
          <t>pulp paper and printing 17T18</t>
        </is>
      </c>
      <c r="B9">
        <f>Calculations!C10/Calculations!$BC$10</f>
        <v/>
      </c>
      <c r="C9">
        <f>Calculations!D10/Calculations!$BC$10</f>
        <v/>
      </c>
      <c r="D9">
        <f>Calculations!E10/Calculations!$BC$10</f>
        <v/>
      </c>
      <c r="E9">
        <f>Calculations!F10/Calculations!$BC$10</f>
        <v/>
      </c>
      <c r="F9">
        <f>Calculations!G10/Calculations!$BC$10</f>
        <v/>
      </c>
      <c r="G9">
        <f>Calculations!H10/Calculations!$BC$10</f>
        <v/>
      </c>
      <c r="H9">
        <f>Calculations!I10/Calculations!$BC$10</f>
        <v/>
      </c>
      <c r="I9">
        <f>Calculations!J10/Calculations!$BC$10</f>
        <v/>
      </c>
      <c r="J9">
        <f>Calculations!K10/Calculations!$BC$10</f>
        <v/>
      </c>
      <c r="K9">
        <f>Calculations!L10/Calculations!$BC$10</f>
        <v/>
      </c>
      <c r="L9">
        <f>Calculations!M10/Calculations!$BC$10</f>
        <v/>
      </c>
      <c r="M9">
        <f>Calculations!N10/Calculations!$BC$10</f>
        <v/>
      </c>
      <c r="N9">
        <f>Calculations!O10/Calculations!$BC$10</f>
        <v/>
      </c>
      <c r="O9">
        <f>Calculations!P10/Calculations!$BC$10</f>
        <v/>
      </c>
      <c r="P9">
        <f>Calculations!Q10/Calculations!$BC$10</f>
        <v/>
      </c>
      <c r="Q9">
        <f>Calculations!R10/Calculations!$BC$10</f>
        <v/>
      </c>
      <c r="R9">
        <f>Calculations!S10/Calculations!$BC$10</f>
        <v/>
      </c>
      <c r="S9">
        <f>Calculations!T10/Calculations!$BC$10</f>
        <v/>
      </c>
      <c r="T9">
        <f>Calculations!U10/Calculations!$BC$10</f>
        <v/>
      </c>
      <c r="U9">
        <f>Calculations!V10/Calculations!$BC$10</f>
        <v/>
      </c>
      <c r="V9">
        <f>Calculations!W10/Calculations!$BC$10</f>
        <v/>
      </c>
      <c r="W9">
        <f>Calculations!X10/Calculations!$BC$10</f>
        <v/>
      </c>
      <c r="X9">
        <f>Calculations!Y10/Calculations!$BC$10</f>
        <v/>
      </c>
      <c r="Y9">
        <f>Calculations!Z10/Calculations!$BC$10</f>
        <v/>
      </c>
      <c r="Z9">
        <f>Calculations!AA10/Calculations!$BC$10</f>
        <v/>
      </c>
      <c r="AA9">
        <f>Calculations!AB10/Calculations!$BC$10</f>
        <v/>
      </c>
      <c r="AB9">
        <f>Calculations!AC10/Calculations!$BC$10</f>
        <v/>
      </c>
      <c r="AC9">
        <f>Calculations!AD10/Calculations!$BC$10</f>
        <v/>
      </c>
      <c r="AD9">
        <f>Calculations!AE10/Calculations!$BC$10</f>
        <v/>
      </c>
      <c r="AE9">
        <f>Calculations!AF10/Calculations!$BC$10</f>
        <v/>
      </c>
      <c r="AF9">
        <f>Calculations!AG10/Calculations!$BC$10</f>
        <v/>
      </c>
      <c r="AG9">
        <f>Calculations!AH10/Calculations!$BC$10</f>
        <v/>
      </c>
      <c r="AH9">
        <f>Calculations!AI10/Calculations!$BC$10</f>
        <v/>
      </c>
      <c r="AI9">
        <f>Calculations!AJ10/Calculations!$BC$10</f>
        <v/>
      </c>
      <c r="AJ9">
        <f>Calculations!AK10/Calculations!$BC$10</f>
        <v/>
      </c>
      <c r="AK9">
        <f>Calculations!AL10/Calculations!$BC$10</f>
        <v/>
      </c>
      <c r="AL9">
        <f>Calculations!AM10/Calculations!$BC$10</f>
        <v/>
      </c>
      <c r="AM9">
        <f>Calculations!AN10/Calculations!$BC$10</f>
        <v/>
      </c>
      <c r="AN9">
        <f>Calculations!AO10/Calculations!$BC$10</f>
        <v/>
      </c>
      <c r="AO9">
        <f>Calculations!AP10/Calculations!$BC$10</f>
        <v/>
      </c>
      <c r="AP9">
        <f>Calculations!AQ10/Calculations!$BC$10</f>
        <v/>
      </c>
      <c r="AQ9">
        <f>Calculations!AR10/Calculations!$BC$10</f>
        <v/>
      </c>
      <c r="AR9">
        <f>Calculations!AS10/Calculations!$BC$10</f>
        <v/>
      </c>
      <c r="AS9">
        <f>Calculations!AT10/Calculations!$BC$10</f>
        <v/>
      </c>
      <c r="AT9">
        <f>Calculations!AU10/Calculations!$BC$10</f>
        <v/>
      </c>
      <c r="AU9">
        <f>Calculations!AV10/Calculations!$BC$10</f>
        <v/>
      </c>
      <c r="AV9">
        <f>Calculations!AW10/Calculations!$BC$10</f>
        <v/>
      </c>
      <c r="AW9">
        <f>Calculations!AX10/Calculations!$BC$10</f>
        <v/>
      </c>
      <c r="AX9">
        <f>Calculations!AY10/Calculations!$BC$10</f>
        <v/>
      </c>
      <c r="AY9">
        <f>Calculations!AZ10/Calculations!$BC$10</f>
        <v/>
      </c>
      <c r="AZ9">
        <f>Calculations!BA10/Calculations!$BC$10</f>
        <v/>
      </c>
      <c r="BA9">
        <f>Calculations!BB10/Calculations!$BC$10</f>
        <v/>
      </c>
    </row>
    <row r="10">
      <c r="A10" t="inlineStr">
        <is>
          <t>refined petroleum and coke 19</t>
        </is>
      </c>
      <c r="B10">
        <f>Calculations!C11/Calculations!$BC$11</f>
        <v/>
      </c>
      <c r="C10">
        <f>Calculations!D11/Calculations!$BC$11</f>
        <v/>
      </c>
      <c r="D10">
        <f>Calculations!E11/Calculations!$BC$11</f>
        <v/>
      </c>
      <c r="E10">
        <f>Calculations!F11/Calculations!$BC$11</f>
        <v/>
      </c>
      <c r="F10">
        <f>Calculations!G11/Calculations!$BC$11</f>
        <v/>
      </c>
      <c r="G10">
        <f>Calculations!H11/Calculations!$BC$11</f>
        <v/>
      </c>
      <c r="H10">
        <f>Calculations!I11/Calculations!$BC$11</f>
        <v/>
      </c>
      <c r="I10">
        <f>Calculations!J11/Calculations!$BC$11</f>
        <v/>
      </c>
      <c r="J10">
        <f>Calculations!K11/Calculations!$BC$11</f>
        <v/>
      </c>
      <c r="K10">
        <f>Calculations!L11/Calculations!$BC$11</f>
        <v/>
      </c>
      <c r="L10">
        <f>Calculations!M11/Calculations!$BC$11</f>
        <v/>
      </c>
      <c r="M10">
        <f>Calculations!N11/Calculations!$BC$11</f>
        <v/>
      </c>
      <c r="N10">
        <f>Calculations!O11/Calculations!$BC$11</f>
        <v/>
      </c>
      <c r="O10">
        <f>Calculations!P11/Calculations!$BC$11</f>
        <v/>
      </c>
      <c r="P10">
        <f>Calculations!Q11/Calculations!$BC$11</f>
        <v/>
      </c>
      <c r="Q10">
        <f>Calculations!R11/Calculations!$BC$11</f>
        <v/>
      </c>
      <c r="R10">
        <f>Calculations!S11/Calculations!$BC$11</f>
        <v/>
      </c>
      <c r="S10">
        <f>Calculations!T11/Calculations!$BC$11</f>
        <v/>
      </c>
      <c r="T10">
        <f>Calculations!U11/Calculations!$BC$11</f>
        <v/>
      </c>
      <c r="U10">
        <f>Calculations!V11/Calculations!$BC$11</f>
        <v/>
      </c>
      <c r="V10">
        <f>Calculations!W11/Calculations!$BC$11</f>
        <v/>
      </c>
      <c r="W10">
        <f>Calculations!X11/Calculations!$BC$11</f>
        <v/>
      </c>
      <c r="X10">
        <f>Calculations!Y11/Calculations!$BC$11</f>
        <v/>
      </c>
      <c r="Y10">
        <f>Calculations!Z11/Calculations!$BC$11</f>
        <v/>
      </c>
      <c r="Z10">
        <f>Calculations!AA11/Calculations!$BC$11</f>
        <v/>
      </c>
      <c r="AA10">
        <f>Calculations!AB11/Calculations!$BC$11</f>
        <v/>
      </c>
      <c r="AB10">
        <f>Calculations!AC11/Calculations!$BC$11</f>
        <v/>
      </c>
      <c r="AC10">
        <f>Calculations!AD11/Calculations!$BC$11</f>
        <v/>
      </c>
      <c r="AD10">
        <f>Calculations!AE11/Calculations!$BC$11</f>
        <v/>
      </c>
      <c r="AE10">
        <f>Calculations!AF11/Calculations!$BC$11</f>
        <v/>
      </c>
      <c r="AF10">
        <f>Calculations!AG11/Calculations!$BC$11</f>
        <v/>
      </c>
      <c r="AG10">
        <f>Calculations!AH11/Calculations!$BC$11</f>
        <v/>
      </c>
      <c r="AH10">
        <f>Calculations!AI11/Calculations!$BC$11</f>
        <v/>
      </c>
      <c r="AI10">
        <f>Calculations!AJ11/Calculations!$BC$11</f>
        <v/>
      </c>
      <c r="AJ10">
        <f>Calculations!AK11/Calculations!$BC$11</f>
        <v/>
      </c>
      <c r="AK10">
        <f>Calculations!AL11/Calculations!$BC$11</f>
        <v/>
      </c>
      <c r="AL10">
        <f>Calculations!AM11/Calculations!$BC$11</f>
        <v/>
      </c>
      <c r="AM10">
        <f>Calculations!AN11/Calculations!$BC$11</f>
        <v/>
      </c>
      <c r="AN10">
        <f>Calculations!AO11/Calculations!$BC$11</f>
        <v/>
      </c>
      <c r="AO10">
        <f>Calculations!AP11/Calculations!$BC$11</f>
        <v/>
      </c>
      <c r="AP10">
        <f>Calculations!AQ11/Calculations!$BC$11</f>
        <v/>
      </c>
      <c r="AQ10">
        <f>Calculations!AR11/Calculations!$BC$11</f>
        <v/>
      </c>
      <c r="AR10">
        <f>Calculations!AS11/Calculations!$BC$11</f>
        <v/>
      </c>
      <c r="AS10">
        <f>Calculations!AT11/Calculations!$BC$11</f>
        <v/>
      </c>
      <c r="AT10">
        <f>Calculations!AU11/Calculations!$BC$11</f>
        <v/>
      </c>
      <c r="AU10">
        <f>Calculations!AV11/Calculations!$BC$11</f>
        <v/>
      </c>
      <c r="AV10">
        <f>Calculations!AW11/Calculations!$BC$11</f>
        <v/>
      </c>
      <c r="AW10">
        <f>Calculations!AX11/Calculations!$BC$11</f>
        <v/>
      </c>
      <c r="AX10">
        <f>Calculations!AY11/Calculations!$BC$11</f>
        <v/>
      </c>
      <c r="AY10">
        <f>Calculations!AZ11/Calculations!$BC$11</f>
        <v/>
      </c>
      <c r="AZ10">
        <f>Calculations!BA11/Calculations!$BC$11</f>
        <v/>
      </c>
      <c r="BA10">
        <f>Calculations!BB11/Calculations!$BC$11</f>
        <v/>
      </c>
    </row>
    <row r="11">
      <c r="A11" t="inlineStr">
        <is>
          <t>chemicals 20</t>
        </is>
      </c>
      <c r="B11">
        <f>Calculations!C12/Calculations!$BC$12</f>
        <v/>
      </c>
      <c r="C11">
        <f>Calculations!D12/Calculations!$BC$12</f>
        <v/>
      </c>
      <c r="D11">
        <f>Calculations!E12/Calculations!$BC$12</f>
        <v/>
      </c>
      <c r="E11">
        <f>Calculations!F12/Calculations!$BC$12</f>
        <v/>
      </c>
      <c r="F11">
        <f>Calculations!G12/Calculations!$BC$12</f>
        <v/>
      </c>
      <c r="G11">
        <f>Calculations!H12/Calculations!$BC$12</f>
        <v/>
      </c>
      <c r="H11">
        <f>Calculations!I12/Calculations!$BC$12</f>
        <v/>
      </c>
      <c r="I11">
        <f>Calculations!J12/Calculations!$BC$12</f>
        <v/>
      </c>
      <c r="J11">
        <f>Calculations!K12/Calculations!$BC$12</f>
        <v/>
      </c>
      <c r="K11">
        <f>Calculations!L12/Calculations!$BC$12</f>
        <v/>
      </c>
      <c r="L11">
        <f>Calculations!M12/Calculations!$BC$12</f>
        <v/>
      </c>
      <c r="M11">
        <f>Calculations!N12/Calculations!$BC$12</f>
        <v/>
      </c>
      <c r="N11">
        <f>Calculations!O12/Calculations!$BC$12</f>
        <v/>
      </c>
      <c r="O11">
        <f>Calculations!P12/Calculations!$BC$12</f>
        <v/>
      </c>
      <c r="P11">
        <f>Calculations!Q12/Calculations!$BC$12</f>
        <v/>
      </c>
      <c r="Q11">
        <f>Calculations!R12/Calculations!$BC$12</f>
        <v/>
      </c>
      <c r="R11">
        <f>Calculations!S12/Calculations!$BC$12</f>
        <v/>
      </c>
      <c r="S11">
        <f>Calculations!T12/Calculations!$BC$12</f>
        <v/>
      </c>
      <c r="T11">
        <f>Calculations!U12/Calculations!$BC$12</f>
        <v/>
      </c>
      <c r="U11">
        <f>Calculations!V12/Calculations!$BC$12</f>
        <v/>
      </c>
      <c r="V11">
        <f>Calculations!W12/Calculations!$BC$12</f>
        <v/>
      </c>
      <c r="W11">
        <f>Calculations!X12/Calculations!$BC$12</f>
        <v/>
      </c>
      <c r="X11">
        <f>Calculations!Y12/Calculations!$BC$12</f>
        <v/>
      </c>
      <c r="Y11">
        <f>Calculations!Z12/Calculations!$BC$12</f>
        <v/>
      </c>
      <c r="Z11">
        <f>Calculations!AA12/Calculations!$BC$12</f>
        <v/>
      </c>
      <c r="AA11">
        <f>Calculations!AB12/Calculations!$BC$12</f>
        <v/>
      </c>
      <c r="AB11">
        <f>Calculations!AC12/Calculations!$BC$12</f>
        <v/>
      </c>
      <c r="AC11">
        <f>Calculations!AD12/Calculations!$BC$12</f>
        <v/>
      </c>
      <c r="AD11">
        <f>Calculations!AE12/Calculations!$BC$12</f>
        <v/>
      </c>
      <c r="AE11">
        <f>Calculations!AF12/Calculations!$BC$12</f>
        <v/>
      </c>
      <c r="AF11">
        <f>Calculations!AG12/Calculations!$BC$12</f>
        <v/>
      </c>
      <c r="AG11">
        <f>Calculations!AH12/Calculations!$BC$12</f>
        <v/>
      </c>
      <c r="AH11">
        <f>Calculations!AI12/Calculations!$BC$12</f>
        <v/>
      </c>
      <c r="AI11">
        <f>Calculations!AJ12/Calculations!$BC$12</f>
        <v/>
      </c>
      <c r="AJ11">
        <f>Calculations!AK12/Calculations!$BC$12</f>
        <v/>
      </c>
      <c r="AK11">
        <f>Calculations!AL12/Calculations!$BC$12</f>
        <v/>
      </c>
      <c r="AL11">
        <f>Calculations!AM12/Calculations!$BC$12</f>
        <v/>
      </c>
      <c r="AM11">
        <f>Calculations!AN12/Calculations!$BC$12</f>
        <v/>
      </c>
      <c r="AN11">
        <f>Calculations!AO12/Calculations!$BC$12</f>
        <v/>
      </c>
      <c r="AO11">
        <f>Calculations!AP12/Calculations!$BC$12</f>
        <v/>
      </c>
      <c r="AP11">
        <f>Calculations!AQ12/Calculations!$BC$12</f>
        <v/>
      </c>
      <c r="AQ11">
        <f>Calculations!AR12/Calculations!$BC$12</f>
        <v/>
      </c>
      <c r="AR11">
        <f>Calculations!AS12/Calculations!$BC$12</f>
        <v/>
      </c>
      <c r="AS11">
        <f>Calculations!AT12/Calculations!$BC$12</f>
        <v/>
      </c>
      <c r="AT11">
        <f>Calculations!AU12/Calculations!$BC$12</f>
        <v/>
      </c>
      <c r="AU11">
        <f>Calculations!AV12/Calculations!$BC$12</f>
        <v/>
      </c>
      <c r="AV11">
        <f>Calculations!AW12/Calculations!$BC$12</f>
        <v/>
      </c>
      <c r="AW11">
        <f>Calculations!AX12/Calculations!$BC$12</f>
        <v/>
      </c>
      <c r="AX11">
        <f>Calculations!AY12/Calculations!$BC$12</f>
        <v/>
      </c>
      <c r="AY11">
        <f>Calculations!AZ12/Calculations!$BC$12</f>
        <v/>
      </c>
      <c r="AZ11">
        <f>Calculations!BA12/Calculations!$BC$12</f>
        <v/>
      </c>
      <c r="BA11">
        <f>Calculations!BB12/Calculations!$BC$12</f>
        <v/>
      </c>
    </row>
    <row r="12">
      <c r="A12" t="inlineStr">
        <is>
          <t>rubber and plastic products 22</t>
        </is>
      </c>
      <c r="B12">
        <f>Calculations!C13/Calculations!$BC$13</f>
        <v/>
      </c>
      <c r="C12">
        <f>Calculations!D13/Calculations!$BC$13</f>
        <v/>
      </c>
      <c r="D12">
        <f>Calculations!E13/Calculations!$BC$13</f>
        <v/>
      </c>
      <c r="E12">
        <f>Calculations!F13/Calculations!$BC$13</f>
        <v/>
      </c>
      <c r="F12">
        <f>Calculations!G13/Calculations!$BC$13</f>
        <v/>
      </c>
      <c r="G12">
        <f>Calculations!H13/Calculations!$BC$13</f>
        <v/>
      </c>
      <c r="H12">
        <f>Calculations!I13/Calculations!$BC$13</f>
        <v/>
      </c>
      <c r="I12">
        <f>Calculations!J13/Calculations!$BC$13</f>
        <v/>
      </c>
      <c r="J12">
        <f>Calculations!K13/Calculations!$BC$13</f>
        <v/>
      </c>
      <c r="K12">
        <f>Calculations!L13/Calculations!$BC$13</f>
        <v/>
      </c>
      <c r="L12">
        <f>Calculations!M13/Calculations!$BC$13</f>
        <v/>
      </c>
      <c r="M12">
        <f>Calculations!N13/Calculations!$BC$13</f>
        <v/>
      </c>
      <c r="N12">
        <f>Calculations!O13/Calculations!$BC$13</f>
        <v/>
      </c>
      <c r="O12">
        <f>Calculations!P13/Calculations!$BC$13</f>
        <v/>
      </c>
      <c r="P12">
        <f>Calculations!Q13/Calculations!$BC$13</f>
        <v/>
      </c>
      <c r="Q12">
        <f>Calculations!R13/Calculations!$BC$13</f>
        <v/>
      </c>
      <c r="R12">
        <f>Calculations!S13/Calculations!$BC$13</f>
        <v/>
      </c>
      <c r="S12">
        <f>Calculations!T13/Calculations!$BC$13</f>
        <v/>
      </c>
      <c r="T12">
        <f>Calculations!U13/Calculations!$BC$13</f>
        <v/>
      </c>
      <c r="U12">
        <f>Calculations!V13/Calculations!$BC$13</f>
        <v/>
      </c>
      <c r="V12">
        <f>Calculations!W13/Calculations!$BC$13</f>
        <v/>
      </c>
      <c r="W12">
        <f>Calculations!X13/Calculations!$BC$13</f>
        <v/>
      </c>
      <c r="X12">
        <f>Calculations!Y13/Calculations!$BC$13</f>
        <v/>
      </c>
      <c r="Y12">
        <f>Calculations!Z13/Calculations!$BC$13</f>
        <v/>
      </c>
      <c r="Z12">
        <f>Calculations!AA13/Calculations!$BC$13</f>
        <v/>
      </c>
      <c r="AA12">
        <f>Calculations!AB13/Calculations!$BC$13</f>
        <v/>
      </c>
      <c r="AB12">
        <f>Calculations!AC13/Calculations!$BC$13</f>
        <v/>
      </c>
      <c r="AC12">
        <f>Calculations!AD13/Calculations!$BC$13</f>
        <v/>
      </c>
      <c r="AD12">
        <f>Calculations!AE13/Calculations!$BC$13</f>
        <v/>
      </c>
      <c r="AE12">
        <f>Calculations!AF13/Calculations!$BC$13</f>
        <v/>
      </c>
      <c r="AF12">
        <f>Calculations!AG13/Calculations!$BC$13</f>
        <v/>
      </c>
      <c r="AG12">
        <f>Calculations!AH13/Calculations!$BC$13</f>
        <v/>
      </c>
      <c r="AH12">
        <f>Calculations!AI13/Calculations!$BC$13</f>
        <v/>
      </c>
      <c r="AI12">
        <f>Calculations!AJ13/Calculations!$BC$13</f>
        <v/>
      </c>
      <c r="AJ12">
        <f>Calculations!AK13/Calculations!$BC$13</f>
        <v/>
      </c>
      <c r="AK12">
        <f>Calculations!AL13/Calculations!$BC$13</f>
        <v/>
      </c>
      <c r="AL12">
        <f>Calculations!AM13/Calculations!$BC$13</f>
        <v/>
      </c>
      <c r="AM12">
        <f>Calculations!AN13/Calculations!$BC$13</f>
        <v/>
      </c>
      <c r="AN12">
        <f>Calculations!AO13/Calculations!$BC$13</f>
        <v/>
      </c>
      <c r="AO12">
        <f>Calculations!AP13/Calculations!$BC$13</f>
        <v/>
      </c>
      <c r="AP12">
        <f>Calculations!AQ13/Calculations!$BC$13</f>
        <v/>
      </c>
      <c r="AQ12">
        <f>Calculations!AR13/Calculations!$BC$13</f>
        <v/>
      </c>
      <c r="AR12">
        <f>Calculations!AS13/Calculations!$BC$13</f>
        <v/>
      </c>
      <c r="AS12">
        <f>Calculations!AT13/Calculations!$BC$13</f>
        <v/>
      </c>
      <c r="AT12">
        <f>Calculations!AU13/Calculations!$BC$13</f>
        <v/>
      </c>
      <c r="AU12">
        <f>Calculations!AV13/Calculations!$BC$13</f>
        <v/>
      </c>
      <c r="AV12">
        <f>Calculations!AW13/Calculations!$BC$13</f>
        <v/>
      </c>
      <c r="AW12">
        <f>Calculations!AX13/Calculations!$BC$13</f>
        <v/>
      </c>
      <c r="AX12">
        <f>Calculations!AY13/Calculations!$BC$13</f>
        <v/>
      </c>
      <c r="AY12">
        <f>Calculations!AZ13/Calculations!$BC$13</f>
        <v/>
      </c>
      <c r="AZ12">
        <f>Calculations!BA13/Calculations!$BC$13</f>
        <v/>
      </c>
      <c r="BA12">
        <f>Calculations!BB13/Calculations!$BC$13</f>
        <v/>
      </c>
    </row>
    <row r="13">
      <c r="A13" t="inlineStr">
        <is>
          <t>glass and glass products 231</t>
        </is>
      </c>
      <c r="B13">
        <f>Calculations!C14/Calculations!$BC$14</f>
        <v/>
      </c>
      <c r="C13">
        <f>Calculations!D14/Calculations!$BC$14</f>
        <v/>
      </c>
      <c r="D13">
        <f>Calculations!E14/Calculations!$BC$14</f>
        <v/>
      </c>
      <c r="E13">
        <f>Calculations!F14/Calculations!$BC$14</f>
        <v/>
      </c>
      <c r="F13">
        <f>Calculations!G14/Calculations!$BC$14</f>
        <v/>
      </c>
      <c r="G13">
        <f>Calculations!H14/Calculations!$BC$14</f>
        <v/>
      </c>
      <c r="H13">
        <f>Calculations!I14/Calculations!$BC$14</f>
        <v/>
      </c>
      <c r="I13">
        <f>Calculations!J14/Calculations!$BC$14</f>
        <v/>
      </c>
      <c r="J13">
        <f>Calculations!K14/Calculations!$BC$14</f>
        <v/>
      </c>
      <c r="K13">
        <f>Calculations!L14/Calculations!$BC$14</f>
        <v/>
      </c>
      <c r="L13">
        <f>Calculations!M14/Calculations!$BC$14</f>
        <v/>
      </c>
      <c r="M13">
        <f>Calculations!N14/Calculations!$BC$14</f>
        <v/>
      </c>
      <c r="N13">
        <f>Calculations!O14/Calculations!$BC$14</f>
        <v/>
      </c>
      <c r="O13">
        <f>Calculations!P14/Calculations!$BC$14</f>
        <v/>
      </c>
      <c r="P13">
        <f>Calculations!Q14/Calculations!$BC$14</f>
        <v/>
      </c>
      <c r="Q13">
        <f>Calculations!R14/Calculations!$BC$14</f>
        <v/>
      </c>
      <c r="R13">
        <f>Calculations!S14/Calculations!$BC$14</f>
        <v/>
      </c>
      <c r="S13">
        <f>Calculations!T14/Calculations!$BC$14</f>
        <v/>
      </c>
      <c r="T13">
        <f>Calculations!U14/Calculations!$BC$14</f>
        <v/>
      </c>
      <c r="U13">
        <f>Calculations!V14/Calculations!$BC$14</f>
        <v/>
      </c>
      <c r="V13">
        <f>Calculations!W14/Calculations!$BC$14</f>
        <v/>
      </c>
      <c r="W13">
        <f>Calculations!X14/Calculations!$BC$14</f>
        <v/>
      </c>
      <c r="X13">
        <f>Calculations!Y14/Calculations!$BC$14</f>
        <v/>
      </c>
      <c r="Y13">
        <f>Calculations!Z14/Calculations!$BC$14</f>
        <v/>
      </c>
      <c r="Z13">
        <f>Calculations!AA14/Calculations!$BC$14</f>
        <v/>
      </c>
      <c r="AA13">
        <f>Calculations!AB14/Calculations!$BC$14</f>
        <v/>
      </c>
      <c r="AB13">
        <f>Calculations!AC14/Calculations!$BC$14</f>
        <v/>
      </c>
      <c r="AC13">
        <f>Calculations!AD14/Calculations!$BC$14</f>
        <v/>
      </c>
      <c r="AD13">
        <f>Calculations!AE14/Calculations!$BC$14</f>
        <v/>
      </c>
      <c r="AE13">
        <f>Calculations!AF14/Calculations!$BC$14</f>
        <v/>
      </c>
      <c r="AF13">
        <f>Calculations!AG14/Calculations!$BC$14</f>
        <v/>
      </c>
      <c r="AG13">
        <f>Calculations!AH14/Calculations!$BC$14</f>
        <v/>
      </c>
      <c r="AH13">
        <f>Calculations!AI14/Calculations!$BC$14</f>
        <v/>
      </c>
      <c r="AI13">
        <f>Calculations!AJ14/Calculations!$BC$14</f>
        <v/>
      </c>
      <c r="AJ13">
        <f>Calculations!AK14/Calculations!$BC$14</f>
        <v/>
      </c>
      <c r="AK13">
        <f>Calculations!AL14/Calculations!$BC$14</f>
        <v/>
      </c>
      <c r="AL13">
        <f>Calculations!AM14/Calculations!$BC$14</f>
        <v/>
      </c>
      <c r="AM13">
        <f>Calculations!AN14/Calculations!$BC$14</f>
        <v/>
      </c>
      <c r="AN13">
        <f>Calculations!AO14/Calculations!$BC$14</f>
        <v/>
      </c>
      <c r="AO13">
        <f>Calculations!AP14/Calculations!$BC$14</f>
        <v/>
      </c>
      <c r="AP13">
        <f>Calculations!AQ14/Calculations!$BC$14</f>
        <v/>
      </c>
      <c r="AQ13">
        <f>Calculations!AR14/Calculations!$BC$14</f>
        <v/>
      </c>
      <c r="AR13">
        <f>Calculations!AS14/Calculations!$BC$14</f>
        <v/>
      </c>
      <c r="AS13">
        <f>Calculations!AT14/Calculations!$BC$14</f>
        <v/>
      </c>
      <c r="AT13">
        <f>Calculations!AU14/Calculations!$BC$14</f>
        <v/>
      </c>
      <c r="AU13">
        <f>Calculations!AV14/Calculations!$BC$14</f>
        <v/>
      </c>
      <c r="AV13">
        <f>Calculations!AW14/Calculations!$BC$14</f>
        <v/>
      </c>
      <c r="AW13">
        <f>Calculations!AX14/Calculations!$BC$14</f>
        <v/>
      </c>
      <c r="AX13">
        <f>Calculations!AY14/Calculations!$BC$14</f>
        <v/>
      </c>
      <c r="AY13">
        <f>Calculations!AZ14/Calculations!$BC$14</f>
        <v/>
      </c>
      <c r="AZ13">
        <f>Calculations!BA14/Calculations!$BC$14</f>
        <v/>
      </c>
      <c r="BA13">
        <f>Calculations!BB14/Calculations!$BC$14</f>
        <v/>
      </c>
    </row>
    <row r="14">
      <c r="A14" t="inlineStr">
        <is>
          <t>cement and other nonmetallic minerals 239</t>
        </is>
      </c>
      <c r="B14">
        <f>Calculations!C15/Calculations!$BC$15</f>
        <v/>
      </c>
      <c r="C14">
        <f>Calculations!D15/Calculations!$BC$15</f>
        <v/>
      </c>
      <c r="D14">
        <f>Calculations!E15/Calculations!$BC$15</f>
        <v/>
      </c>
      <c r="E14">
        <f>Calculations!F15/Calculations!$BC$15</f>
        <v/>
      </c>
      <c r="F14">
        <f>Calculations!G15/Calculations!$BC$15</f>
        <v/>
      </c>
      <c r="G14">
        <f>Calculations!H15/Calculations!$BC$15</f>
        <v/>
      </c>
      <c r="H14">
        <f>Calculations!I15/Calculations!$BC$15</f>
        <v/>
      </c>
      <c r="I14">
        <f>Calculations!J15/Calculations!$BC$15</f>
        <v/>
      </c>
      <c r="J14">
        <f>Calculations!K15/Calculations!$BC$15</f>
        <v/>
      </c>
      <c r="K14">
        <f>Calculations!L15/Calculations!$BC$15</f>
        <v/>
      </c>
      <c r="L14">
        <f>Calculations!M15/Calculations!$BC$15</f>
        <v/>
      </c>
      <c r="M14">
        <f>Calculations!N15/Calculations!$BC$15</f>
        <v/>
      </c>
      <c r="N14">
        <f>Calculations!O15/Calculations!$BC$15</f>
        <v/>
      </c>
      <c r="O14">
        <f>Calculations!P15/Calculations!$BC$15</f>
        <v/>
      </c>
      <c r="P14">
        <f>Calculations!Q15/Calculations!$BC$15</f>
        <v/>
      </c>
      <c r="Q14">
        <f>Calculations!R15/Calculations!$BC$15</f>
        <v/>
      </c>
      <c r="R14">
        <f>Calculations!S15/Calculations!$BC$15</f>
        <v/>
      </c>
      <c r="S14">
        <f>Calculations!T15/Calculations!$BC$15</f>
        <v/>
      </c>
      <c r="T14">
        <f>Calculations!U15/Calculations!$BC$15</f>
        <v/>
      </c>
      <c r="U14">
        <f>Calculations!V15/Calculations!$BC$15</f>
        <v/>
      </c>
      <c r="V14">
        <f>Calculations!W15/Calculations!$BC$15</f>
        <v/>
      </c>
      <c r="W14">
        <f>Calculations!X15/Calculations!$BC$15</f>
        <v/>
      </c>
      <c r="X14">
        <f>Calculations!Y15/Calculations!$BC$15</f>
        <v/>
      </c>
      <c r="Y14">
        <f>Calculations!Z15/Calculations!$BC$15</f>
        <v/>
      </c>
      <c r="Z14">
        <f>Calculations!AA15/Calculations!$BC$15</f>
        <v/>
      </c>
      <c r="AA14">
        <f>Calculations!AB15/Calculations!$BC$15</f>
        <v/>
      </c>
      <c r="AB14">
        <f>Calculations!AC15/Calculations!$BC$15</f>
        <v/>
      </c>
      <c r="AC14">
        <f>Calculations!AD15/Calculations!$BC$15</f>
        <v/>
      </c>
      <c r="AD14">
        <f>Calculations!AE15/Calculations!$BC$15</f>
        <v/>
      </c>
      <c r="AE14">
        <f>Calculations!AF15/Calculations!$BC$15</f>
        <v/>
      </c>
      <c r="AF14">
        <f>Calculations!AG15/Calculations!$BC$15</f>
        <v/>
      </c>
      <c r="AG14">
        <f>Calculations!AH15/Calculations!$BC$15</f>
        <v/>
      </c>
      <c r="AH14">
        <f>Calculations!AI15/Calculations!$BC$15</f>
        <v/>
      </c>
      <c r="AI14">
        <f>Calculations!AJ15/Calculations!$BC$15</f>
        <v/>
      </c>
      <c r="AJ14">
        <f>Calculations!AK15/Calculations!$BC$15</f>
        <v/>
      </c>
      <c r="AK14">
        <f>Calculations!AL15/Calculations!$BC$15</f>
        <v/>
      </c>
      <c r="AL14">
        <f>Calculations!AM15/Calculations!$BC$15</f>
        <v/>
      </c>
      <c r="AM14">
        <f>Calculations!AN15/Calculations!$BC$15</f>
        <v/>
      </c>
      <c r="AN14">
        <f>Calculations!AO15/Calculations!$BC$15</f>
        <v/>
      </c>
      <c r="AO14">
        <f>Calculations!AP15/Calculations!$BC$15</f>
        <v/>
      </c>
      <c r="AP14">
        <f>Calculations!AQ15/Calculations!$BC$15</f>
        <v/>
      </c>
      <c r="AQ14">
        <f>Calculations!AR15/Calculations!$BC$15</f>
        <v/>
      </c>
      <c r="AR14">
        <f>Calculations!AS15/Calculations!$BC$15</f>
        <v/>
      </c>
      <c r="AS14">
        <f>Calculations!AT15/Calculations!$BC$15</f>
        <v/>
      </c>
      <c r="AT14">
        <f>Calculations!AU15/Calculations!$BC$15</f>
        <v/>
      </c>
      <c r="AU14">
        <f>Calculations!AV15/Calculations!$BC$15</f>
        <v/>
      </c>
      <c r="AV14">
        <f>Calculations!AW15/Calculations!$BC$15</f>
        <v/>
      </c>
      <c r="AW14">
        <f>Calculations!AX15/Calculations!$BC$15</f>
        <v/>
      </c>
      <c r="AX14">
        <f>Calculations!AY15/Calculations!$BC$15</f>
        <v/>
      </c>
      <c r="AY14">
        <f>Calculations!AZ15/Calculations!$BC$15</f>
        <v/>
      </c>
      <c r="AZ14">
        <f>Calculations!BA15/Calculations!$BC$15</f>
        <v/>
      </c>
      <c r="BA14">
        <f>Calculations!BB15/Calculations!$BC$15</f>
        <v/>
      </c>
    </row>
    <row r="15">
      <c r="A15" t="inlineStr">
        <is>
          <t>iron and steel 241</t>
        </is>
      </c>
      <c r="B15">
        <f>Calculations!C16/Calculations!$BC$16</f>
        <v/>
      </c>
      <c r="C15">
        <f>Calculations!D16/Calculations!$BC$16</f>
        <v/>
      </c>
      <c r="D15">
        <f>Calculations!E16/Calculations!$BC$16</f>
        <v/>
      </c>
      <c r="E15">
        <f>Calculations!F16/Calculations!$BC$16</f>
        <v/>
      </c>
      <c r="F15">
        <f>Calculations!G16/Calculations!$BC$16</f>
        <v/>
      </c>
      <c r="G15">
        <f>Calculations!H16/Calculations!$BC$16</f>
        <v/>
      </c>
      <c r="H15">
        <f>Calculations!I16/Calculations!$BC$16</f>
        <v/>
      </c>
      <c r="I15">
        <f>Calculations!J16/Calculations!$BC$16</f>
        <v/>
      </c>
      <c r="J15">
        <f>Calculations!K16/Calculations!$BC$16</f>
        <v/>
      </c>
      <c r="K15">
        <f>Calculations!L16/Calculations!$BC$16</f>
        <v/>
      </c>
      <c r="L15">
        <f>Calculations!M16/Calculations!$BC$16</f>
        <v/>
      </c>
      <c r="M15">
        <f>Calculations!N16/Calculations!$BC$16</f>
        <v/>
      </c>
      <c r="N15">
        <f>Calculations!O16/Calculations!$BC$16</f>
        <v/>
      </c>
      <c r="O15">
        <f>Calculations!P16/Calculations!$BC$16</f>
        <v/>
      </c>
      <c r="P15">
        <f>Calculations!Q16/Calculations!$BC$16</f>
        <v/>
      </c>
      <c r="Q15">
        <f>Calculations!R16/Calculations!$BC$16</f>
        <v/>
      </c>
      <c r="R15">
        <f>Calculations!S16/Calculations!$BC$16</f>
        <v/>
      </c>
      <c r="S15">
        <f>Calculations!T16/Calculations!$BC$16</f>
        <v/>
      </c>
      <c r="T15">
        <f>Calculations!U16/Calculations!$BC$16</f>
        <v/>
      </c>
      <c r="U15">
        <f>Calculations!V16/Calculations!$BC$16</f>
        <v/>
      </c>
      <c r="V15">
        <f>Calculations!W16/Calculations!$BC$16</f>
        <v/>
      </c>
      <c r="W15">
        <f>Calculations!X16/Calculations!$BC$16</f>
        <v/>
      </c>
      <c r="X15">
        <f>Calculations!Y16/Calculations!$BC$16</f>
        <v/>
      </c>
      <c r="Y15">
        <f>Calculations!Z16/Calculations!$BC$16</f>
        <v/>
      </c>
      <c r="Z15">
        <f>Calculations!AA16/Calculations!$BC$16</f>
        <v/>
      </c>
      <c r="AA15">
        <f>Calculations!AB16/Calculations!$BC$16</f>
        <v/>
      </c>
      <c r="AB15">
        <f>Calculations!AC16/Calculations!$BC$16</f>
        <v/>
      </c>
      <c r="AC15">
        <f>Calculations!AD16/Calculations!$BC$16</f>
        <v/>
      </c>
      <c r="AD15">
        <f>Calculations!AE16/Calculations!$BC$16</f>
        <v/>
      </c>
      <c r="AE15">
        <f>Calculations!AF16/Calculations!$BC$16</f>
        <v/>
      </c>
      <c r="AF15">
        <f>Calculations!AG16/Calculations!$BC$16</f>
        <v/>
      </c>
      <c r="AG15">
        <f>Calculations!AH16/Calculations!$BC$16</f>
        <v/>
      </c>
      <c r="AH15">
        <f>Calculations!AI16/Calculations!$BC$16</f>
        <v/>
      </c>
      <c r="AI15">
        <f>Calculations!AJ16/Calculations!$BC$16</f>
        <v/>
      </c>
      <c r="AJ15">
        <f>Calculations!AK16/Calculations!$BC$16</f>
        <v/>
      </c>
      <c r="AK15">
        <f>Calculations!AL16/Calculations!$BC$16</f>
        <v/>
      </c>
      <c r="AL15">
        <f>Calculations!AM16/Calculations!$BC$16</f>
        <v/>
      </c>
      <c r="AM15">
        <f>Calculations!AN16/Calculations!$BC$16</f>
        <v/>
      </c>
      <c r="AN15">
        <f>Calculations!AO16/Calculations!$BC$16</f>
        <v/>
      </c>
      <c r="AO15">
        <f>Calculations!AP16/Calculations!$BC$16</f>
        <v/>
      </c>
      <c r="AP15">
        <f>Calculations!AQ16/Calculations!$BC$16</f>
        <v/>
      </c>
      <c r="AQ15">
        <f>Calculations!AR16/Calculations!$BC$16</f>
        <v/>
      </c>
      <c r="AR15">
        <f>Calculations!AS16/Calculations!$BC$16</f>
        <v/>
      </c>
      <c r="AS15">
        <f>Calculations!AT16/Calculations!$BC$16</f>
        <v/>
      </c>
      <c r="AT15">
        <f>Calculations!AU16/Calculations!$BC$16</f>
        <v/>
      </c>
      <c r="AU15">
        <f>Calculations!AV16/Calculations!$BC$16</f>
        <v/>
      </c>
      <c r="AV15">
        <f>Calculations!AW16/Calculations!$BC$16</f>
        <v/>
      </c>
      <c r="AW15">
        <f>Calculations!AX16/Calculations!$BC$16</f>
        <v/>
      </c>
      <c r="AX15">
        <f>Calculations!AY16/Calculations!$BC$16</f>
        <v/>
      </c>
      <c r="AY15">
        <f>Calculations!AZ16/Calculations!$BC$16</f>
        <v/>
      </c>
      <c r="AZ15">
        <f>Calculations!BA16/Calculations!$BC$16</f>
        <v/>
      </c>
      <c r="BA15">
        <f>Calculations!BB16/Calculations!$BC$16</f>
        <v/>
      </c>
    </row>
    <row r="16">
      <c r="A16" t="inlineStr">
        <is>
          <t>other metals 242</t>
        </is>
      </c>
      <c r="B16">
        <f>Calculations!C17/Calculations!$BC$17</f>
        <v/>
      </c>
      <c r="C16">
        <f>Calculations!D17/Calculations!$BC$17</f>
        <v/>
      </c>
      <c r="D16">
        <f>Calculations!E17/Calculations!$BC$17</f>
        <v/>
      </c>
      <c r="E16">
        <f>Calculations!F17/Calculations!$BC$17</f>
        <v/>
      </c>
      <c r="F16">
        <f>Calculations!G17/Calculations!$BC$17</f>
        <v/>
      </c>
      <c r="G16">
        <f>Calculations!H17/Calculations!$BC$17</f>
        <v/>
      </c>
      <c r="H16">
        <f>Calculations!I17/Calculations!$BC$17</f>
        <v/>
      </c>
      <c r="I16">
        <f>Calculations!J17/Calculations!$BC$17</f>
        <v/>
      </c>
      <c r="J16">
        <f>Calculations!K17/Calculations!$BC$17</f>
        <v/>
      </c>
      <c r="K16">
        <f>Calculations!L17/Calculations!$BC$17</f>
        <v/>
      </c>
      <c r="L16">
        <f>Calculations!M17/Calculations!$BC$17</f>
        <v/>
      </c>
      <c r="M16">
        <f>Calculations!N17/Calculations!$BC$17</f>
        <v/>
      </c>
      <c r="N16">
        <f>Calculations!O17/Calculations!$BC$17</f>
        <v/>
      </c>
      <c r="O16">
        <f>Calculations!P17/Calculations!$BC$17</f>
        <v/>
      </c>
      <c r="P16">
        <f>Calculations!Q17/Calculations!$BC$17</f>
        <v/>
      </c>
      <c r="Q16">
        <f>Calculations!R17/Calculations!$BC$17</f>
        <v/>
      </c>
      <c r="R16">
        <f>Calculations!S17/Calculations!$BC$17</f>
        <v/>
      </c>
      <c r="S16">
        <f>Calculations!T17/Calculations!$BC$17</f>
        <v/>
      </c>
      <c r="T16">
        <f>Calculations!U17/Calculations!$BC$17</f>
        <v/>
      </c>
      <c r="U16">
        <f>Calculations!V17/Calculations!$BC$17</f>
        <v/>
      </c>
      <c r="V16">
        <f>Calculations!W17/Calculations!$BC$17</f>
        <v/>
      </c>
      <c r="W16">
        <f>Calculations!X17/Calculations!$BC$17</f>
        <v/>
      </c>
      <c r="X16">
        <f>Calculations!Y17/Calculations!$BC$17</f>
        <v/>
      </c>
      <c r="Y16">
        <f>Calculations!Z17/Calculations!$BC$17</f>
        <v/>
      </c>
      <c r="Z16">
        <f>Calculations!AA17/Calculations!$BC$17</f>
        <v/>
      </c>
      <c r="AA16">
        <f>Calculations!AB17/Calculations!$BC$17</f>
        <v/>
      </c>
      <c r="AB16">
        <f>Calculations!AC17/Calculations!$BC$17</f>
        <v/>
      </c>
      <c r="AC16">
        <f>Calculations!AD17/Calculations!$BC$17</f>
        <v/>
      </c>
      <c r="AD16">
        <f>Calculations!AE17/Calculations!$BC$17</f>
        <v/>
      </c>
      <c r="AE16">
        <f>Calculations!AF17/Calculations!$BC$17</f>
        <v/>
      </c>
      <c r="AF16">
        <f>Calculations!AG17/Calculations!$BC$17</f>
        <v/>
      </c>
      <c r="AG16">
        <f>Calculations!AH17/Calculations!$BC$17</f>
        <v/>
      </c>
      <c r="AH16">
        <f>Calculations!AI17/Calculations!$BC$17</f>
        <v/>
      </c>
      <c r="AI16">
        <f>Calculations!AJ17/Calculations!$BC$17</f>
        <v/>
      </c>
      <c r="AJ16">
        <f>Calculations!AK17/Calculations!$BC$17</f>
        <v/>
      </c>
      <c r="AK16">
        <f>Calculations!AL17/Calculations!$BC$17</f>
        <v/>
      </c>
      <c r="AL16">
        <f>Calculations!AM17/Calculations!$BC$17</f>
        <v/>
      </c>
      <c r="AM16">
        <f>Calculations!AN17/Calculations!$BC$17</f>
        <v/>
      </c>
      <c r="AN16">
        <f>Calculations!AO17/Calculations!$BC$17</f>
        <v/>
      </c>
      <c r="AO16">
        <f>Calculations!AP17/Calculations!$BC$17</f>
        <v/>
      </c>
      <c r="AP16">
        <f>Calculations!AQ17/Calculations!$BC$17</f>
        <v/>
      </c>
      <c r="AQ16">
        <f>Calculations!AR17/Calculations!$BC$17</f>
        <v/>
      </c>
      <c r="AR16">
        <f>Calculations!AS17/Calculations!$BC$17</f>
        <v/>
      </c>
      <c r="AS16">
        <f>Calculations!AT17/Calculations!$BC$17</f>
        <v/>
      </c>
      <c r="AT16">
        <f>Calculations!AU17/Calculations!$BC$17</f>
        <v/>
      </c>
      <c r="AU16">
        <f>Calculations!AV17/Calculations!$BC$17</f>
        <v/>
      </c>
      <c r="AV16">
        <f>Calculations!AW17/Calculations!$BC$17</f>
        <v/>
      </c>
      <c r="AW16">
        <f>Calculations!AX17/Calculations!$BC$17</f>
        <v/>
      </c>
      <c r="AX16">
        <f>Calculations!AY17/Calculations!$BC$17</f>
        <v/>
      </c>
      <c r="AY16">
        <f>Calculations!AZ17/Calculations!$BC$17</f>
        <v/>
      </c>
      <c r="AZ16">
        <f>Calculations!BA17/Calculations!$BC$17</f>
        <v/>
      </c>
      <c r="BA16">
        <f>Calculations!BB17/Calculations!$BC$17</f>
        <v/>
      </c>
    </row>
    <row r="17">
      <c r="A17" t="inlineStr">
        <is>
          <t>metal products except machinery and vehicles 25</t>
        </is>
      </c>
      <c r="B17">
        <f>Calculations!C18/Calculations!$BC$18</f>
        <v/>
      </c>
      <c r="C17">
        <f>Calculations!D18/Calculations!$BC$18</f>
        <v/>
      </c>
      <c r="D17">
        <f>Calculations!E18/Calculations!$BC$18</f>
        <v/>
      </c>
      <c r="E17">
        <f>Calculations!F18/Calculations!$BC$18</f>
        <v/>
      </c>
      <c r="F17">
        <f>Calculations!G18/Calculations!$BC$18</f>
        <v/>
      </c>
      <c r="G17">
        <f>Calculations!H18/Calculations!$BC$18</f>
        <v/>
      </c>
      <c r="H17">
        <f>Calculations!I18/Calculations!$BC$18</f>
        <v/>
      </c>
      <c r="I17">
        <f>Calculations!J18/Calculations!$BC$18</f>
        <v/>
      </c>
      <c r="J17">
        <f>Calculations!K18/Calculations!$BC$18</f>
        <v/>
      </c>
      <c r="K17">
        <f>Calculations!L18/Calculations!$BC$18</f>
        <v/>
      </c>
      <c r="L17">
        <f>Calculations!M18/Calculations!$BC$18</f>
        <v/>
      </c>
      <c r="M17">
        <f>Calculations!N18/Calculations!$BC$18</f>
        <v/>
      </c>
      <c r="N17">
        <f>Calculations!O18/Calculations!$BC$18</f>
        <v/>
      </c>
      <c r="O17">
        <f>Calculations!P18/Calculations!$BC$18</f>
        <v/>
      </c>
      <c r="P17">
        <f>Calculations!Q18/Calculations!$BC$18</f>
        <v/>
      </c>
      <c r="Q17">
        <f>Calculations!R18/Calculations!$BC$18</f>
        <v/>
      </c>
      <c r="R17">
        <f>Calculations!S18/Calculations!$BC$18</f>
        <v/>
      </c>
      <c r="S17">
        <f>Calculations!T18/Calculations!$BC$18</f>
        <v/>
      </c>
      <c r="T17">
        <f>Calculations!U18/Calculations!$BC$18</f>
        <v/>
      </c>
      <c r="U17">
        <f>Calculations!V18/Calculations!$BC$18</f>
        <v/>
      </c>
      <c r="V17">
        <f>Calculations!W18/Calculations!$BC$18</f>
        <v/>
      </c>
      <c r="W17">
        <f>Calculations!X18/Calculations!$BC$18</f>
        <v/>
      </c>
      <c r="X17">
        <f>Calculations!Y18/Calculations!$BC$18</f>
        <v/>
      </c>
      <c r="Y17">
        <f>Calculations!Z18/Calculations!$BC$18</f>
        <v/>
      </c>
      <c r="Z17">
        <f>Calculations!AA18/Calculations!$BC$18</f>
        <v/>
      </c>
      <c r="AA17">
        <f>Calculations!AB18/Calculations!$BC$18</f>
        <v/>
      </c>
      <c r="AB17">
        <f>Calculations!AC18/Calculations!$BC$18</f>
        <v/>
      </c>
      <c r="AC17">
        <f>Calculations!AD18/Calculations!$BC$18</f>
        <v/>
      </c>
      <c r="AD17">
        <f>Calculations!AE18/Calculations!$BC$18</f>
        <v/>
      </c>
      <c r="AE17">
        <f>Calculations!AF18/Calculations!$BC$18</f>
        <v/>
      </c>
      <c r="AF17">
        <f>Calculations!AG18/Calculations!$BC$18</f>
        <v/>
      </c>
      <c r="AG17">
        <f>Calculations!AH18/Calculations!$BC$18</f>
        <v/>
      </c>
      <c r="AH17">
        <f>Calculations!AI18/Calculations!$BC$18</f>
        <v/>
      </c>
      <c r="AI17">
        <f>Calculations!AJ18/Calculations!$BC$18</f>
        <v/>
      </c>
      <c r="AJ17">
        <f>Calculations!AK18/Calculations!$BC$18</f>
        <v/>
      </c>
      <c r="AK17">
        <f>Calculations!AL18/Calculations!$BC$18</f>
        <v/>
      </c>
      <c r="AL17">
        <f>Calculations!AM18/Calculations!$BC$18</f>
        <v/>
      </c>
      <c r="AM17">
        <f>Calculations!AN18/Calculations!$BC$18</f>
        <v/>
      </c>
      <c r="AN17">
        <f>Calculations!AO18/Calculations!$BC$18</f>
        <v/>
      </c>
      <c r="AO17">
        <f>Calculations!AP18/Calculations!$BC$18</f>
        <v/>
      </c>
      <c r="AP17">
        <f>Calculations!AQ18/Calculations!$BC$18</f>
        <v/>
      </c>
      <c r="AQ17">
        <f>Calculations!AR18/Calculations!$BC$18</f>
        <v/>
      </c>
      <c r="AR17">
        <f>Calculations!AS18/Calculations!$BC$18</f>
        <v/>
      </c>
      <c r="AS17">
        <f>Calculations!AT18/Calculations!$BC$18</f>
        <v/>
      </c>
      <c r="AT17">
        <f>Calculations!AU18/Calculations!$BC$18</f>
        <v/>
      </c>
      <c r="AU17">
        <f>Calculations!AV18/Calculations!$BC$18</f>
        <v/>
      </c>
      <c r="AV17">
        <f>Calculations!AW18/Calculations!$BC$18</f>
        <v/>
      </c>
      <c r="AW17">
        <f>Calculations!AX18/Calculations!$BC$18</f>
        <v/>
      </c>
      <c r="AX17">
        <f>Calculations!AY18/Calculations!$BC$18</f>
        <v/>
      </c>
      <c r="AY17">
        <f>Calculations!AZ18/Calculations!$BC$18</f>
        <v/>
      </c>
      <c r="AZ17">
        <f>Calculations!BA18/Calculations!$BC$18</f>
        <v/>
      </c>
      <c r="BA17">
        <f>Calculations!BB18/Calculations!$BC$18</f>
        <v/>
      </c>
    </row>
    <row r="18">
      <c r="A18" t="inlineStr">
        <is>
          <t>computers and electronics 26</t>
        </is>
      </c>
      <c r="B18">
        <f>Calculations!C19/Calculations!$BC$19</f>
        <v/>
      </c>
      <c r="C18">
        <f>Calculations!D19/Calculations!$BC$19</f>
        <v/>
      </c>
      <c r="D18">
        <f>Calculations!E19/Calculations!$BC$19</f>
        <v/>
      </c>
      <c r="E18">
        <f>Calculations!F19/Calculations!$BC$19</f>
        <v/>
      </c>
      <c r="F18">
        <f>Calculations!G19/Calculations!$BC$19</f>
        <v/>
      </c>
      <c r="G18">
        <f>Calculations!H19/Calculations!$BC$19</f>
        <v/>
      </c>
      <c r="H18">
        <f>Calculations!I19/Calculations!$BC$19</f>
        <v/>
      </c>
      <c r="I18">
        <f>Calculations!J19/Calculations!$BC$19</f>
        <v/>
      </c>
      <c r="J18">
        <f>Calculations!K19/Calculations!$BC$19</f>
        <v/>
      </c>
      <c r="K18">
        <f>Calculations!L19/Calculations!$BC$19</f>
        <v/>
      </c>
      <c r="L18">
        <f>Calculations!M19/Calculations!$BC$19</f>
        <v/>
      </c>
      <c r="M18">
        <f>Calculations!N19/Calculations!$BC$19</f>
        <v/>
      </c>
      <c r="N18">
        <f>Calculations!O19/Calculations!$BC$19</f>
        <v/>
      </c>
      <c r="O18">
        <f>Calculations!P19/Calculations!$BC$19</f>
        <v/>
      </c>
      <c r="P18">
        <f>Calculations!Q19/Calculations!$BC$19</f>
        <v/>
      </c>
      <c r="Q18">
        <f>Calculations!R19/Calculations!$BC$19</f>
        <v/>
      </c>
      <c r="R18">
        <f>Calculations!S19/Calculations!$BC$19</f>
        <v/>
      </c>
      <c r="S18">
        <f>Calculations!T19/Calculations!$BC$19</f>
        <v/>
      </c>
      <c r="T18">
        <f>Calculations!U19/Calculations!$BC$19</f>
        <v/>
      </c>
      <c r="U18">
        <f>Calculations!V19/Calculations!$BC$19</f>
        <v/>
      </c>
      <c r="V18">
        <f>Calculations!W19/Calculations!$BC$19</f>
        <v/>
      </c>
      <c r="W18">
        <f>Calculations!X19/Calculations!$BC$19</f>
        <v/>
      </c>
      <c r="X18">
        <f>Calculations!Y19/Calculations!$BC$19</f>
        <v/>
      </c>
      <c r="Y18">
        <f>Calculations!Z19/Calculations!$BC$19</f>
        <v/>
      </c>
      <c r="Z18">
        <f>Calculations!AA19/Calculations!$BC$19</f>
        <v/>
      </c>
      <c r="AA18">
        <f>Calculations!AB19/Calculations!$BC$19</f>
        <v/>
      </c>
      <c r="AB18">
        <f>Calculations!AC19/Calculations!$BC$19</f>
        <v/>
      </c>
      <c r="AC18">
        <f>Calculations!AD19/Calculations!$BC$19</f>
        <v/>
      </c>
      <c r="AD18">
        <f>Calculations!AE19/Calculations!$BC$19</f>
        <v/>
      </c>
      <c r="AE18">
        <f>Calculations!AF19/Calculations!$BC$19</f>
        <v/>
      </c>
      <c r="AF18">
        <f>Calculations!AG19/Calculations!$BC$19</f>
        <v/>
      </c>
      <c r="AG18">
        <f>Calculations!AH19/Calculations!$BC$19</f>
        <v/>
      </c>
      <c r="AH18">
        <f>Calculations!AI19/Calculations!$BC$19</f>
        <v/>
      </c>
      <c r="AI18">
        <f>Calculations!AJ19/Calculations!$BC$19</f>
        <v/>
      </c>
      <c r="AJ18">
        <f>Calculations!AK19/Calculations!$BC$19</f>
        <v/>
      </c>
      <c r="AK18">
        <f>Calculations!AL19/Calculations!$BC$19</f>
        <v/>
      </c>
      <c r="AL18">
        <f>Calculations!AM19/Calculations!$BC$19</f>
        <v/>
      </c>
      <c r="AM18">
        <f>Calculations!AN19/Calculations!$BC$19</f>
        <v/>
      </c>
      <c r="AN18">
        <f>Calculations!AO19/Calculations!$BC$19</f>
        <v/>
      </c>
      <c r="AO18">
        <f>Calculations!AP19/Calculations!$BC$19</f>
        <v/>
      </c>
      <c r="AP18">
        <f>Calculations!AQ19/Calculations!$BC$19</f>
        <v/>
      </c>
      <c r="AQ18">
        <f>Calculations!AR19/Calculations!$BC$19</f>
        <v/>
      </c>
      <c r="AR18">
        <f>Calculations!AS19/Calculations!$BC$19</f>
        <v/>
      </c>
      <c r="AS18">
        <f>Calculations!AT19/Calculations!$BC$19</f>
        <v/>
      </c>
      <c r="AT18">
        <f>Calculations!AU19/Calculations!$BC$19</f>
        <v/>
      </c>
      <c r="AU18">
        <f>Calculations!AV19/Calculations!$BC$19</f>
        <v/>
      </c>
      <c r="AV18">
        <f>Calculations!AW19/Calculations!$BC$19</f>
        <v/>
      </c>
      <c r="AW18">
        <f>Calculations!AX19/Calculations!$BC$19</f>
        <v/>
      </c>
      <c r="AX18">
        <f>Calculations!AY19/Calculations!$BC$19</f>
        <v/>
      </c>
      <c r="AY18">
        <f>Calculations!AZ19/Calculations!$BC$19</f>
        <v/>
      </c>
      <c r="AZ18">
        <f>Calculations!BA19/Calculations!$BC$19</f>
        <v/>
      </c>
      <c r="BA18">
        <f>Calculations!BB19/Calculations!$BC$19</f>
        <v/>
      </c>
    </row>
    <row r="19">
      <c r="A19" t="inlineStr">
        <is>
          <t>appliances and electrical equipment 27</t>
        </is>
      </c>
      <c r="B19">
        <f>Calculations!C20/Calculations!$BC$20</f>
        <v/>
      </c>
      <c r="C19">
        <f>Calculations!D20/Calculations!$BC$20</f>
        <v/>
      </c>
      <c r="D19">
        <f>Calculations!E20/Calculations!$BC$20</f>
        <v/>
      </c>
      <c r="E19">
        <f>Calculations!F20/Calculations!$BC$20</f>
        <v/>
      </c>
      <c r="F19">
        <f>Calculations!G20/Calculations!$BC$20</f>
        <v/>
      </c>
      <c r="G19">
        <f>Calculations!H20/Calculations!$BC$20</f>
        <v/>
      </c>
      <c r="H19">
        <f>Calculations!I20/Calculations!$BC$20</f>
        <v/>
      </c>
      <c r="I19">
        <f>Calculations!J20/Calculations!$BC$20</f>
        <v/>
      </c>
      <c r="J19">
        <f>Calculations!K20/Calculations!$BC$20</f>
        <v/>
      </c>
      <c r="K19">
        <f>Calculations!L20/Calculations!$BC$20</f>
        <v/>
      </c>
      <c r="L19">
        <f>Calculations!M20/Calculations!$BC$20</f>
        <v/>
      </c>
      <c r="M19">
        <f>Calculations!N20/Calculations!$BC$20</f>
        <v/>
      </c>
      <c r="N19">
        <f>Calculations!O20/Calculations!$BC$20</f>
        <v/>
      </c>
      <c r="O19">
        <f>Calculations!P20/Calculations!$BC$20</f>
        <v/>
      </c>
      <c r="P19">
        <f>Calculations!Q20/Calculations!$BC$20</f>
        <v/>
      </c>
      <c r="Q19">
        <f>Calculations!R20/Calculations!$BC$20</f>
        <v/>
      </c>
      <c r="R19">
        <f>Calculations!S20/Calculations!$BC$20</f>
        <v/>
      </c>
      <c r="S19">
        <f>Calculations!T20/Calculations!$BC$20</f>
        <v/>
      </c>
      <c r="T19">
        <f>Calculations!U20/Calculations!$BC$20</f>
        <v/>
      </c>
      <c r="U19">
        <f>Calculations!V20/Calculations!$BC$20</f>
        <v/>
      </c>
      <c r="V19">
        <f>Calculations!W20/Calculations!$BC$20</f>
        <v/>
      </c>
      <c r="W19">
        <f>Calculations!X20/Calculations!$BC$20</f>
        <v/>
      </c>
      <c r="X19">
        <f>Calculations!Y20/Calculations!$BC$20</f>
        <v/>
      </c>
      <c r="Y19">
        <f>Calculations!Z20/Calculations!$BC$20</f>
        <v/>
      </c>
      <c r="Z19">
        <f>Calculations!AA20/Calculations!$BC$20</f>
        <v/>
      </c>
      <c r="AA19">
        <f>Calculations!AB20/Calculations!$BC$20</f>
        <v/>
      </c>
      <c r="AB19">
        <f>Calculations!AC20/Calculations!$BC$20</f>
        <v/>
      </c>
      <c r="AC19">
        <f>Calculations!AD20/Calculations!$BC$20</f>
        <v/>
      </c>
      <c r="AD19">
        <f>Calculations!AE20/Calculations!$BC$20</f>
        <v/>
      </c>
      <c r="AE19">
        <f>Calculations!AF20/Calculations!$BC$20</f>
        <v/>
      </c>
      <c r="AF19">
        <f>Calculations!AG20/Calculations!$BC$20</f>
        <v/>
      </c>
      <c r="AG19">
        <f>Calculations!AH20/Calculations!$BC$20</f>
        <v/>
      </c>
      <c r="AH19">
        <f>Calculations!AI20/Calculations!$BC$20</f>
        <v/>
      </c>
      <c r="AI19">
        <f>Calculations!AJ20/Calculations!$BC$20</f>
        <v/>
      </c>
      <c r="AJ19">
        <f>Calculations!AK20/Calculations!$BC$20</f>
        <v/>
      </c>
      <c r="AK19">
        <f>Calculations!AL20/Calculations!$BC$20</f>
        <v/>
      </c>
      <c r="AL19">
        <f>Calculations!AM20/Calculations!$BC$20</f>
        <v/>
      </c>
      <c r="AM19">
        <f>Calculations!AN20/Calculations!$BC$20</f>
        <v/>
      </c>
      <c r="AN19">
        <f>Calculations!AO20/Calculations!$BC$20</f>
        <v/>
      </c>
      <c r="AO19">
        <f>Calculations!AP20/Calculations!$BC$20</f>
        <v/>
      </c>
      <c r="AP19">
        <f>Calculations!AQ20/Calculations!$BC$20</f>
        <v/>
      </c>
      <c r="AQ19">
        <f>Calculations!AR20/Calculations!$BC$20</f>
        <v/>
      </c>
      <c r="AR19">
        <f>Calculations!AS20/Calculations!$BC$20</f>
        <v/>
      </c>
      <c r="AS19">
        <f>Calculations!AT20/Calculations!$BC$20</f>
        <v/>
      </c>
      <c r="AT19">
        <f>Calculations!AU20/Calculations!$BC$20</f>
        <v/>
      </c>
      <c r="AU19">
        <f>Calculations!AV20/Calculations!$BC$20</f>
        <v/>
      </c>
      <c r="AV19">
        <f>Calculations!AW20/Calculations!$BC$20</f>
        <v/>
      </c>
      <c r="AW19">
        <f>Calculations!AX20/Calculations!$BC$20</f>
        <v/>
      </c>
      <c r="AX19">
        <f>Calculations!AY20/Calculations!$BC$20</f>
        <v/>
      </c>
      <c r="AY19">
        <f>Calculations!AZ20/Calculations!$BC$20</f>
        <v/>
      </c>
      <c r="AZ19">
        <f>Calculations!BA20/Calculations!$BC$20</f>
        <v/>
      </c>
      <c r="BA19">
        <f>Calculations!BB20/Calculations!$BC$20</f>
        <v/>
      </c>
    </row>
    <row r="20">
      <c r="A20" t="inlineStr">
        <is>
          <t>other machinery 28</t>
        </is>
      </c>
      <c r="B20">
        <f>Calculations!C21/Calculations!$BC$21</f>
        <v/>
      </c>
      <c r="C20">
        <f>Calculations!D21/Calculations!$BC$21</f>
        <v/>
      </c>
      <c r="D20">
        <f>Calculations!E21/Calculations!$BC$21</f>
        <v/>
      </c>
      <c r="E20">
        <f>Calculations!F21/Calculations!$BC$21</f>
        <v/>
      </c>
      <c r="F20">
        <f>Calculations!G21/Calculations!$BC$21</f>
        <v/>
      </c>
      <c r="G20">
        <f>Calculations!H21/Calculations!$BC$21</f>
        <v/>
      </c>
      <c r="H20">
        <f>Calculations!I21/Calculations!$BC$21</f>
        <v/>
      </c>
      <c r="I20">
        <f>Calculations!J21/Calculations!$BC$21</f>
        <v/>
      </c>
      <c r="J20">
        <f>Calculations!K21/Calculations!$BC$21</f>
        <v/>
      </c>
      <c r="K20">
        <f>Calculations!L21/Calculations!$BC$21</f>
        <v/>
      </c>
      <c r="L20">
        <f>Calculations!M21/Calculations!$BC$21</f>
        <v/>
      </c>
      <c r="M20">
        <f>Calculations!N21/Calculations!$BC$21</f>
        <v/>
      </c>
      <c r="N20">
        <f>Calculations!O21/Calculations!$BC$21</f>
        <v/>
      </c>
      <c r="O20">
        <f>Calculations!P21/Calculations!$BC$21</f>
        <v/>
      </c>
      <c r="P20">
        <f>Calculations!Q21/Calculations!$BC$21</f>
        <v/>
      </c>
      <c r="Q20">
        <f>Calculations!R21/Calculations!$BC$21</f>
        <v/>
      </c>
      <c r="R20">
        <f>Calculations!S21/Calculations!$BC$21</f>
        <v/>
      </c>
      <c r="S20">
        <f>Calculations!T21/Calculations!$BC$21</f>
        <v/>
      </c>
      <c r="T20">
        <f>Calculations!U21/Calculations!$BC$21</f>
        <v/>
      </c>
      <c r="U20">
        <f>Calculations!V21/Calculations!$BC$21</f>
        <v/>
      </c>
      <c r="V20">
        <f>Calculations!W21/Calculations!$BC$21</f>
        <v/>
      </c>
      <c r="W20">
        <f>Calculations!X21/Calculations!$BC$21</f>
        <v/>
      </c>
      <c r="X20">
        <f>Calculations!Y21/Calculations!$BC$21</f>
        <v/>
      </c>
      <c r="Y20">
        <f>Calculations!Z21/Calculations!$BC$21</f>
        <v/>
      </c>
      <c r="Z20">
        <f>Calculations!AA21/Calculations!$BC$21</f>
        <v/>
      </c>
      <c r="AA20">
        <f>Calculations!AB21/Calculations!$BC$21</f>
        <v/>
      </c>
      <c r="AB20">
        <f>Calculations!AC21/Calculations!$BC$21</f>
        <v/>
      </c>
      <c r="AC20">
        <f>Calculations!AD21/Calculations!$BC$21</f>
        <v/>
      </c>
      <c r="AD20">
        <f>Calculations!AE21/Calculations!$BC$21</f>
        <v/>
      </c>
      <c r="AE20">
        <f>Calculations!AF21/Calculations!$BC$21</f>
        <v/>
      </c>
      <c r="AF20">
        <f>Calculations!AG21/Calculations!$BC$21</f>
        <v/>
      </c>
      <c r="AG20">
        <f>Calculations!AH21/Calculations!$BC$21</f>
        <v/>
      </c>
      <c r="AH20">
        <f>Calculations!AI21/Calculations!$BC$21</f>
        <v/>
      </c>
      <c r="AI20">
        <f>Calculations!AJ21/Calculations!$BC$21</f>
        <v/>
      </c>
      <c r="AJ20">
        <f>Calculations!AK21/Calculations!$BC$21</f>
        <v/>
      </c>
      <c r="AK20">
        <f>Calculations!AL21/Calculations!$BC$21</f>
        <v/>
      </c>
      <c r="AL20">
        <f>Calculations!AM21/Calculations!$BC$21</f>
        <v/>
      </c>
      <c r="AM20">
        <f>Calculations!AN21/Calculations!$BC$21</f>
        <v/>
      </c>
      <c r="AN20">
        <f>Calculations!AO21/Calculations!$BC$21</f>
        <v/>
      </c>
      <c r="AO20">
        <f>Calculations!AP21/Calculations!$BC$21</f>
        <v/>
      </c>
      <c r="AP20">
        <f>Calculations!AQ21/Calculations!$BC$21</f>
        <v/>
      </c>
      <c r="AQ20">
        <f>Calculations!AR21/Calculations!$BC$21</f>
        <v/>
      </c>
      <c r="AR20">
        <f>Calculations!AS21/Calculations!$BC$21</f>
        <v/>
      </c>
      <c r="AS20">
        <f>Calculations!AT21/Calculations!$BC$21</f>
        <v/>
      </c>
      <c r="AT20">
        <f>Calculations!AU21/Calculations!$BC$21</f>
        <v/>
      </c>
      <c r="AU20">
        <f>Calculations!AV21/Calculations!$BC$21</f>
        <v/>
      </c>
      <c r="AV20">
        <f>Calculations!AW21/Calculations!$BC$21</f>
        <v/>
      </c>
      <c r="AW20">
        <f>Calculations!AX21/Calculations!$BC$21</f>
        <v/>
      </c>
      <c r="AX20">
        <f>Calculations!AY21/Calculations!$BC$21</f>
        <v/>
      </c>
      <c r="AY20">
        <f>Calculations!AZ21/Calculations!$BC$21</f>
        <v/>
      </c>
      <c r="AZ20">
        <f>Calculations!BA21/Calculations!$BC$21</f>
        <v/>
      </c>
      <c r="BA20">
        <f>Calculations!BB21/Calculations!$BC$21</f>
        <v/>
      </c>
    </row>
    <row r="21">
      <c r="A21" t="inlineStr">
        <is>
          <t>road vehicles 29</t>
        </is>
      </c>
      <c r="B21">
        <f>Calculations!C22/Calculations!$BC$22</f>
        <v/>
      </c>
      <c r="C21">
        <f>Calculations!D22/Calculations!$BC$22</f>
        <v/>
      </c>
      <c r="D21">
        <f>Calculations!E22/Calculations!$BC$22</f>
        <v/>
      </c>
      <c r="E21">
        <f>Calculations!F22/Calculations!$BC$22</f>
        <v/>
      </c>
      <c r="F21">
        <f>Calculations!G22/Calculations!$BC$22</f>
        <v/>
      </c>
      <c r="G21">
        <f>Calculations!H22/Calculations!$BC$22</f>
        <v/>
      </c>
      <c r="H21">
        <f>Calculations!I22/Calculations!$BC$22</f>
        <v/>
      </c>
      <c r="I21">
        <f>Calculations!J22/Calculations!$BC$22</f>
        <v/>
      </c>
      <c r="J21">
        <f>Calculations!K22/Calculations!$BC$22</f>
        <v/>
      </c>
      <c r="K21">
        <f>Calculations!L22/Calculations!$BC$22</f>
        <v/>
      </c>
      <c r="L21">
        <f>Calculations!M22/Calculations!$BC$22</f>
        <v/>
      </c>
      <c r="M21">
        <f>Calculations!N22/Calculations!$BC$22</f>
        <v/>
      </c>
      <c r="N21">
        <f>Calculations!O22/Calculations!$BC$22</f>
        <v/>
      </c>
      <c r="O21">
        <f>Calculations!P22/Calculations!$BC$22</f>
        <v/>
      </c>
      <c r="P21">
        <f>Calculations!Q22/Calculations!$BC$22</f>
        <v/>
      </c>
      <c r="Q21">
        <f>Calculations!R22/Calculations!$BC$22</f>
        <v/>
      </c>
      <c r="R21">
        <f>Calculations!S22/Calculations!$BC$22</f>
        <v/>
      </c>
      <c r="S21">
        <f>Calculations!T22/Calculations!$BC$22</f>
        <v/>
      </c>
      <c r="T21">
        <f>Calculations!U22/Calculations!$BC$22</f>
        <v/>
      </c>
      <c r="U21">
        <f>Calculations!V22/Calculations!$BC$22</f>
        <v/>
      </c>
      <c r="V21">
        <f>Calculations!W22/Calculations!$BC$22</f>
        <v/>
      </c>
      <c r="W21">
        <f>Calculations!X22/Calculations!$BC$22</f>
        <v/>
      </c>
      <c r="X21">
        <f>Calculations!Y22/Calculations!$BC$22</f>
        <v/>
      </c>
      <c r="Y21">
        <f>Calculations!Z22/Calculations!$BC$22</f>
        <v/>
      </c>
      <c r="Z21">
        <f>Calculations!AA22/Calculations!$BC$22</f>
        <v/>
      </c>
      <c r="AA21">
        <f>Calculations!AB22/Calculations!$BC$22</f>
        <v/>
      </c>
      <c r="AB21">
        <f>Calculations!AC22/Calculations!$BC$22</f>
        <v/>
      </c>
      <c r="AC21">
        <f>Calculations!AD22/Calculations!$BC$22</f>
        <v/>
      </c>
      <c r="AD21">
        <f>Calculations!AE22/Calculations!$BC$22</f>
        <v/>
      </c>
      <c r="AE21">
        <f>Calculations!AF22/Calculations!$BC$22</f>
        <v/>
      </c>
      <c r="AF21">
        <f>Calculations!AG22/Calculations!$BC$22</f>
        <v/>
      </c>
      <c r="AG21">
        <f>Calculations!AH22/Calculations!$BC$22</f>
        <v/>
      </c>
      <c r="AH21">
        <f>Calculations!AI22/Calculations!$BC$22</f>
        <v/>
      </c>
      <c r="AI21">
        <f>Calculations!AJ22/Calculations!$BC$22</f>
        <v/>
      </c>
      <c r="AJ21">
        <f>Calculations!AK22/Calculations!$BC$22</f>
        <v/>
      </c>
      <c r="AK21">
        <f>Calculations!AL22/Calculations!$BC$22</f>
        <v/>
      </c>
      <c r="AL21">
        <f>Calculations!AM22/Calculations!$BC$22</f>
        <v/>
      </c>
      <c r="AM21">
        <f>Calculations!AN22/Calculations!$BC$22</f>
        <v/>
      </c>
      <c r="AN21">
        <f>Calculations!AO22/Calculations!$BC$22</f>
        <v/>
      </c>
      <c r="AO21">
        <f>Calculations!AP22/Calculations!$BC$22</f>
        <v/>
      </c>
      <c r="AP21">
        <f>Calculations!AQ22/Calculations!$BC$22</f>
        <v/>
      </c>
      <c r="AQ21">
        <f>Calculations!AR22/Calculations!$BC$22</f>
        <v/>
      </c>
      <c r="AR21">
        <f>Calculations!AS22/Calculations!$BC$22</f>
        <v/>
      </c>
      <c r="AS21">
        <f>Calculations!AT22/Calculations!$BC$22</f>
        <v/>
      </c>
      <c r="AT21">
        <f>Calculations!AU22/Calculations!$BC$22</f>
        <v/>
      </c>
      <c r="AU21">
        <f>Calculations!AV22/Calculations!$BC$22</f>
        <v/>
      </c>
      <c r="AV21">
        <f>Calculations!AW22/Calculations!$BC$22</f>
        <v/>
      </c>
      <c r="AW21">
        <f>Calculations!AX22/Calculations!$BC$22</f>
        <v/>
      </c>
      <c r="AX21">
        <f>Calculations!AY22/Calculations!$BC$22</f>
        <v/>
      </c>
      <c r="AY21">
        <f>Calculations!AZ22/Calculations!$BC$22</f>
        <v/>
      </c>
      <c r="AZ21">
        <f>Calculations!BA22/Calculations!$BC$22</f>
        <v/>
      </c>
      <c r="BA21">
        <f>Calculations!BB22/Calculations!$BC$22</f>
        <v/>
      </c>
    </row>
    <row r="22">
      <c r="A22" t="inlineStr">
        <is>
          <t>nonroad vehicles 30</t>
        </is>
      </c>
      <c r="B22">
        <f>Calculations!C23/Calculations!$BC$23</f>
        <v/>
      </c>
      <c r="C22">
        <f>Calculations!D23/Calculations!$BC$23</f>
        <v/>
      </c>
      <c r="D22">
        <f>Calculations!E23/Calculations!$BC$23</f>
        <v/>
      </c>
      <c r="E22">
        <f>Calculations!F23/Calculations!$BC$23</f>
        <v/>
      </c>
      <c r="F22">
        <f>Calculations!G23/Calculations!$BC$23</f>
        <v/>
      </c>
      <c r="G22">
        <f>Calculations!H23/Calculations!$BC$23</f>
        <v/>
      </c>
      <c r="H22">
        <f>Calculations!I23/Calculations!$BC$23</f>
        <v/>
      </c>
      <c r="I22">
        <f>Calculations!J23/Calculations!$BC$23</f>
        <v/>
      </c>
      <c r="J22">
        <f>Calculations!K23/Calculations!$BC$23</f>
        <v/>
      </c>
      <c r="K22">
        <f>Calculations!L23/Calculations!$BC$23</f>
        <v/>
      </c>
      <c r="L22">
        <f>Calculations!M23/Calculations!$BC$23</f>
        <v/>
      </c>
      <c r="M22">
        <f>Calculations!N23/Calculations!$BC$23</f>
        <v/>
      </c>
      <c r="N22">
        <f>Calculations!O23/Calculations!$BC$23</f>
        <v/>
      </c>
      <c r="O22">
        <f>Calculations!P23/Calculations!$BC$23</f>
        <v/>
      </c>
      <c r="P22">
        <f>Calculations!Q23/Calculations!$BC$23</f>
        <v/>
      </c>
      <c r="Q22">
        <f>Calculations!R23/Calculations!$BC$23</f>
        <v/>
      </c>
      <c r="R22">
        <f>Calculations!S23/Calculations!$BC$23</f>
        <v/>
      </c>
      <c r="S22">
        <f>Calculations!T23/Calculations!$BC$23</f>
        <v/>
      </c>
      <c r="T22">
        <f>Calculations!U23/Calculations!$BC$23</f>
        <v/>
      </c>
      <c r="U22">
        <f>Calculations!V23/Calculations!$BC$23</f>
        <v/>
      </c>
      <c r="V22">
        <f>Calculations!W23/Calculations!$BC$23</f>
        <v/>
      </c>
      <c r="W22">
        <f>Calculations!X23/Calculations!$BC$23</f>
        <v/>
      </c>
      <c r="X22">
        <f>Calculations!Y23/Calculations!$BC$23</f>
        <v/>
      </c>
      <c r="Y22">
        <f>Calculations!Z23/Calculations!$BC$23</f>
        <v/>
      </c>
      <c r="Z22">
        <f>Calculations!AA23/Calculations!$BC$23</f>
        <v/>
      </c>
      <c r="AA22">
        <f>Calculations!AB23/Calculations!$BC$23</f>
        <v/>
      </c>
      <c r="AB22">
        <f>Calculations!AC23/Calculations!$BC$23</f>
        <v/>
      </c>
      <c r="AC22">
        <f>Calculations!AD23/Calculations!$BC$23</f>
        <v/>
      </c>
      <c r="AD22">
        <f>Calculations!AE23/Calculations!$BC$23</f>
        <v/>
      </c>
      <c r="AE22">
        <f>Calculations!AF23/Calculations!$BC$23</f>
        <v/>
      </c>
      <c r="AF22">
        <f>Calculations!AG23/Calculations!$BC$23</f>
        <v/>
      </c>
      <c r="AG22">
        <f>Calculations!AH23/Calculations!$BC$23</f>
        <v/>
      </c>
      <c r="AH22">
        <f>Calculations!AI23/Calculations!$BC$23</f>
        <v/>
      </c>
      <c r="AI22">
        <f>Calculations!AJ23/Calculations!$BC$23</f>
        <v/>
      </c>
      <c r="AJ22">
        <f>Calculations!AK23/Calculations!$BC$23</f>
        <v/>
      </c>
      <c r="AK22">
        <f>Calculations!AL23/Calculations!$BC$23</f>
        <v/>
      </c>
      <c r="AL22">
        <f>Calculations!AM23/Calculations!$BC$23</f>
        <v/>
      </c>
      <c r="AM22">
        <f>Calculations!AN23/Calculations!$BC$23</f>
        <v/>
      </c>
      <c r="AN22">
        <f>Calculations!AO23/Calculations!$BC$23</f>
        <v/>
      </c>
      <c r="AO22">
        <f>Calculations!AP23/Calculations!$BC$23</f>
        <v/>
      </c>
      <c r="AP22">
        <f>Calculations!AQ23/Calculations!$BC$23</f>
        <v/>
      </c>
      <c r="AQ22">
        <f>Calculations!AR23/Calculations!$BC$23</f>
        <v/>
      </c>
      <c r="AR22">
        <f>Calculations!AS23/Calculations!$BC$23</f>
        <v/>
      </c>
      <c r="AS22">
        <f>Calculations!AT23/Calculations!$BC$23</f>
        <v/>
      </c>
      <c r="AT22">
        <f>Calculations!AU23/Calculations!$BC$23</f>
        <v/>
      </c>
      <c r="AU22">
        <f>Calculations!AV23/Calculations!$BC$23</f>
        <v/>
      </c>
      <c r="AV22">
        <f>Calculations!AW23/Calculations!$BC$23</f>
        <v/>
      </c>
      <c r="AW22">
        <f>Calculations!AX23/Calculations!$BC$23</f>
        <v/>
      </c>
      <c r="AX22">
        <f>Calculations!AY23/Calculations!$BC$23</f>
        <v/>
      </c>
      <c r="AY22">
        <f>Calculations!AZ23/Calculations!$BC$23</f>
        <v/>
      </c>
      <c r="AZ22">
        <f>Calculations!BA23/Calculations!$BC$23</f>
        <v/>
      </c>
      <c r="BA22">
        <f>Calculations!BB23/Calculations!$BC$23</f>
        <v/>
      </c>
    </row>
    <row r="23">
      <c r="A23" t="inlineStr">
        <is>
          <t>other manufacturing 31T33</t>
        </is>
      </c>
      <c r="B23">
        <f>Calculations!C24/Calculations!$BC$24</f>
        <v/>
      </c>
      <c r="C23">
        <f>Calculations!D24/Calculations!$BC$24</f>
        <v/>
      </c>
      <c r="D23">
        <f>Calculations!E24/Calculations!$BC$24</f>
        <v/>
      </c>
      <c r="E23">
        <f>Calculations!F24/Calculations!$BC$24</f>
        <v/>
      </c>
      <c r="F23">
        <f>Calculations!G24/Calculations!$BC$24</f>
        <v/>
      </c>
      <c r="G23">
        <f>Calculations!H24/Calculations!$BC$24</f>
        <v/>
      </c>
      <c r="H23">
        <f>Calculations!I24/Calculations!$BC$24</f>
        <v/>
      </c>
      <c r="I23">
        <f>Calculations!J24/Calculations!$BC$24</f>
        <v/>
      </c>
      <c r="J23">
        <f>Calculations!K24/Calculations!$BC$24</f>
        <v/>
      </c>
      <c r="K23">
        <f>Calculations!L24/Calculations!$BC$24</f>
        <v/>
      </c>
      <c r="L23">
        <f>Calculations!M24/Calculations!$BC$24</f>
        <v/>
      </c>
      <c r="M23">
        <f>Calculations!N24/Calculations!$BC$24</f>
        <v/>
      </c>
      <c r="N23">
        <f>Calculations!O24/Calculations!$BC$24</f>
        <v/>
      </c>
      <c r="O23">
        <f>Calculations!P24/Calculations!$BC$24</f>
        <v/>
      </c>
      <c r="P23">
        <f>Calculations!Q24/Calculations!$BC$24</f>
        <v/>
      </c>
      <c r="Q23">
        <f>Calculations!R24/Calculations!$BC$24</f>
        <v/>
      </c>
      <c r="R23">
        <f>Calculations!S24/Calculations!$BC$24</f>
        <v/>
      </c>
      <c r="S23">
        <f>Calculations!T24/Calculations!$BC$24</f>
        <v/>
      </c>
      <c r="T23">
        <f>Calculations!U24/Calculations!$BC$24</f>
        <v/>
      </c>
      <c r="U23">
        <f>Calculations!V24/Calculations!$BC$24</f>
        <v/>
      </c>
      <c r="V23">
        <f>Calculations!W24/Calculations!$BC$24</f>
        <v/>
      </c>
      <c r="W23">
        <f>Calculations!X24/Calculations!$BC$24</f>
        <v/>
      </c>
      <c r="X23">
        <f>Calculations!Y24/Calculations!$BC$24</f>
        <v/>
      </c>
      <c r="Y23">
        <f>Calculations!Z24/Calculations!$BC$24</f>
        <v/>
      </c>
      <c r="Z23">
        <f>Calculations!AA24/Calculations!$BC$24</f>
        <v/>
      </c>
      <c r="AA23">
        <f>Calculations!AB24/Calculations!$BC$24</f>
        <v/>
      </c>
      <c r="AB23">
        <f>Calculations!AC24/Calculations!$BC$24</f>
        <v/>
      </c>
      <c r="AC23">
        <f>Calculations!AD24/Calculations!$BC$24</f>
        <v/>
      </c>
      <c r="AD23">
        <f>Calculations!AE24/Calculations!$BC$24</f>
        <v/>
      </c>
      <c r="AE23">
        <f>Calculations!AF24/Calculations!$BC$24</f>
        <v/>
      </c>
      <c r="AF23">
        <f>Calculations!AG24/Calculations!$BC$24</f>
        <v/>
      </c>
      <c r="AG23">
        <f>Calculations!AH24/Calculations!$BC$24</f>
        <v/>
      </c>
      <c r="AH23">
        <f>Calculations!AI24/Calculations!$BC$24</f>
        <v/>
      </c>
      <c r="AI23">
        <f>Calculations!AJ24/Calculations!$BC$24</f>
        <v/>
      </c>
      <c r="AJ23">
        <f>Calculations!AK24/Calculations!$BC$24</f>
        <v/>
      </c>
      <c r="AK23">
        <f>Calculations!AL24/Calculations!$BC$24</f>
        <v/>
      </c>
      <c r="AL23">
        <f>Calculations!AM24/Calculations!$BC$24</f>
        <v/>
      </c>
      <c r="AM23">
        <f>Calculations!AN24/Calculations!$BC$24</f>
        <v/>
      </c>
      <c r="AN23">
        <f>Calculations!AO24/Calculations!$BC$24</f>
        <v/>
      </c>
      <c r="AO23">
        <f>Calculations!AP24/Calculations!$BC$24</f>
        <v/>
      </c>
      <c r="AP23">
        <f>Calculations!AQ24/Calculations!$BC$24</f>
        <v/>
      </c>
      <c r="AQ23">
        <f>Calculations!AR24/Calculations!$BC$24</f>
        <v/>
      </c>
      <c r="AR23">
        <f>Calculations!AS24/Calculations!$BC$24</f>
        <v/>
      </c>
      <c r="AS23">
        <f>Calculations!AT24/Calculations!$BC$24</f>
        <v/>
      </c>
      <c r="AT23">
        <f>Calculations!AU24/Calculations!$BC$24</f>
        <v/>
      </c>
      <c r="AU23">
        <f>Calculations!AV24/Calculations!$BC$24</f>
        <v/>
      </c>
      <c r="AV23">
        <f>Calculations!AW24/Calculations!$BC$24</f>
        <v/>
      </c>
      <c r="AW23">
        <f>Calculations!AX24/Calculations!$BC$24</f>
        <v/>
      </c>
      <c r="AX23">
        <f>Calculations!AY24/Calculations!$BC$24</f>
        <v/>
      </c>
      <c r="AY23">
        <f>Calculations!AZ24/Calculations!$BC$24</f>
        <v/>
      </c>
      <c r="AZ23">
        <f>Calculations!BA24/Calculations!$BC$24</f>
        <v/>
      </c>
      <c r="BA23">
        <f>Calculations!BB24/Calculations!$BC$24</f>
        <v/>
      </c>
    </row>
    <row r="24">
      <c r="A24" t="inlineStr">
        <is>
          <t>energy pipelines and gas processing 352T353</t>
        </is>
      </c>
      <c r="B24">
        <f>Calculations!C25/Calculations!$BC$25</f>
        <v/>
      </c>
      <c r="C24">
        <f>Calculations!D25/Calculations!$BC$25</f>
        <v/>
      </c>
      <c r="D24">
        <f>Calculations!E25/Calculations!$BC$25</f>
        <v/>
      </c>
      <c r="E24">
        <f>Calculations!F25/Calculations!$BC$25</f>
        <v/>
      </c>
      <c r="F24">
        <f>Calculations!G25/Calculations!$BC$25</f>
        <v/>
      </c>
      <c r="G24">
        <f>Calculations!H25/Calculations!$BC$25</f>
        <v/>
      </c>
      <c r="H24">
        <f>Calculations!I25/Calculations!$BC$25</f>
        <v/>
      </c>
      <c r="I24">
        <f>Calculations!J25/Calculations!$BC$25</f>
        <v/>
      </c>
      <c r="J24">
        <f>Calculations!K25/Calculations!$BC$25</f>
        <v/>
      </c>
      <c r="K24">
        <f>Calculations!L25/Calculations!$BC$25</f>
        <v/>
      </c>
      <c r="L24">
        <f>Calculations!M25/Calculations!$BC$25</f>
        <v/>
      </c>
      <c r="M24">
        <f>Calculations!N25/Calculations!$BC$25</f>
        <v/>
      </c>
      <c r="N24">
        <f>Calculations!O25/Calculations!$BC$25</f>
        <v/>
      </c>
      <c r="O24">
        <f>Calculations!P25/Calculations!$BC$25</f>
        <v/>
      </c>
      <c r="P24">
        <f>Calculations!Q25/Calculations!$BC$25</f>
        <v/>
      </c>
      <c r="Q24">
        <f>Calculations!R25/Calculations!$BC$25</f>
        <v/>
      </c>
      <c r="R24">
        <f>Calculations!S25/Calculations!$BC$25</f>
        <v/>
      </c>
      <c r="S24">
        <f>Calculations!T25/Calculations!$BC$25</f>
        <v/>
      </c>
      <c r="T24">
        <f>Calculations!U25/Calculations!$BC$25</f>
        <v/>
      </c>
      <c r="U24">
        <f>Calculations!V25/Calculations!$BC$25</f>
        <v/>
      </c>
      <c r="V24">
        <f>Calculations!W25/Calculations!$BC$25</f>
        <v/>
      </c>
      <c r="W24">
        <f>Calculations!X25/Calculations!$BC$25</f>
        <v/>
      </c>
      <c r="X24">
        <f>Calculations!Y25/Calculations!$BC$25</f>
        <v/>
      </c>
      <c r="Y24">
        <f>Calculations!Z25/Calculations!$BC$25</f>
        <v/>
      </c>
      <c r="Z24">
        <f>Calculations!AA25/Calculations!$BC$25</f>
        <v/>
      </c>
      <c r="AA24">
        <f>Calculations!AB25/Calculations!$BC$25</f>
        <v/>
      </c>
      <c r="AB24">
        <f>Calculations!AC25/Calculations!$BC$25</f>
        <v/>
      </c>
      <c r="AC24">
        <f>Calculations!AD25/Calculations!$BC$25</f>
        <v/>
      </c>
      <c r="AD24">
        <f>Calculations!AE25/Calculations!$BC$25</f>
        <v/>
      </c>
      <c r="AE24">
        <f>Calculations!AF25/Calculations!$BC$25</f>
        <v/>
      </c>
      <c r="AF24">
        <f>Calculations!AG25/Calculations!$BC$25</f>
        <v/>
      </c>
      <c r="AG24">
        <f>Calculations!AH25/Calculations!$BC$25</f>
        <v/>
      </c>
      <c r="AH24">
        <f>Calculations!AI25/Calculations!$BC$25</f>
        <v/>
      </c>
      <c r="AI24">
        <f>Calculations!AJ25/Calculations!$BC$25</f>
        <v/>
      </c>
      <c r="AJ24">
        <f>Calculations!AK25/Calculations!$BC$25</f>
        <v/>
      </c>
      <c r="AK24">
        <f>Calculations!AL25/Calculations!$BC$25</f>
        <v/>
      </c>
      <c r="AL24">
        <f>Calculations!AM25/Calculations!$BC$25</f>
        <v/>
      </c>
      <c r="AM24">
        <f>Calculations!AN25/Calculations!$BC$25</f>
        <v/>
      </c>
      <c r="AN24">
        <f>Calculations!AO25/Calculations!$BC$25</f>
        <v/>
      </c>
      <c r="AO24">
        <f>Calculations!AP25/Calculations!$BC$25</f>
        <v/>
      </c>
      <c r="AP24">
        <f>Calculations!AQ25/Calculations!$BC$25</f>
        <v/>
      </c>
      <c r="AQ24">
        <f>Calculations!AR25/Calculations!$BC$25</f>
        <v/>
      </c>
      <c r="AR24">
        <f>Calculations!AS25/Calculations!$BC$25</f>
        <v/>
      </c>
      <c r="AS24">
        <f>Calculations!AT25/Calculations!$BC$25</f>
        <v/>
      </c>
      <c r="AT24">
        <f>Calculations!AU25/Calculations!$BC$25</f>
        <v/>
      </c>
      <c r="AU24">
        <f>Calculations!AV25/Calculations!$BC$25</f>
        <v/>
      </c>
      <c r="AV24">
        <f>Calculations!AW25/Calculations!$BC$25</f>
        <v/>
      </c>
      <c r="AW24">
        <f>Calculations!AX25/Calculations!$BC$25</f>
        <v/>
      </c>
      <c r="AX24">
        <f>Calculations!AY25/Calculations!$BC$25</f>
        <v/>
      </c>
      <c r="AY24">
        <f>Calculations!AZ25/Calculations!$BC$25</f>
        <v/>
      </c>
      <c r="AZ24">
        <f>Calculations!BA25/Calculations!$BC$25</f>
        <v/>
      </c>
      <c r="BA24">
        <f>Calculations!BB25/Calculations!$BC$25</f>
        <v/>
      </c>
    </row>
    <row r="25">
      <c r="A25" t="inlineStr">
        <is>
          <t>water and waste 36T39</t>
        </is>
      </c>
      <c r="B25">
        <f>Calculations!C26/Calculations!$BC$26</f>
        <v/>
      </c>
      <c r="C25">
        <f>Calculations!D26/Calculations!$BC$26</f>
        <v/>
      </c>
      <c r="D25">
        <f>Calculations!E26/Calculations!$BC$26</f>
        <v/>
      </c>
      <c r="E25">
        <f>Calculations!F26/Calculations!$BC$26</f>
        <v/>
      </c>
      <c r="F25">
        <f>Calculations!G26/Calculations!$BC$26</f>
        <v/>
      </c>
      <c r="G25">
        <f>Calculations!H26/Calculations!$BC$26</f>
        <v/>
      </c>
      <c r="H25">
        <f>Calculations!I26/Calculations!$BC$26</f>
        <v/>
      </c>
      <c r="I25">
        <f>Calculations!J26/Calculations!$BC$26</f>
        <v/>
      </c>
      <c r="J25">
        <f>Calculations!K26/Calculations!$BC$26</f>
        <v/>
      </c>
      <c r="K25">
        <f>Calculations!L26/Calculations!$BC$26</f>
        <v/>
      </c>
      <c r="L25">
        <f>Calculations!M26/Calculations!$BC$26</f>
        <v/>
      </c>
      <c r="M25">
        <f>Calculations!N26/Calculations!$BC$26</f>
        <v/>
      </c>
      <c r="N25">
        <f>Calculations!O26/Calculations!$BC$26</f>
        <v/>
      </c>
      <c r="O25">
        <f>Calculations!P26/Calculations!$BC$26</f>
        <v/>
      </c>
      <c r="P25">
        <f>Calculations!Q26/Calculations!$BC$26</f>
        <v/>
      </c>
      <c r="Q25">
        <f>Calculations!R26/Calculations!$BC$26</f>
        <v/>
      </c>
      <c r="R25">
        <f>Calculations!S26/Calculations!$BC$26</f>
        <v/>
      </c>
      <c r="S25">
        <f>Calculations!T26/Calculations!$BC$26</f>
        <v/>
      </c>
      <c r="T25">
        <f>Calculations!U26/Calculations!$BC$26</f>
        <v/>
      </c>
      <c r="U25">
        <f>Calculations!V26/Calculations!$BC$26</f>
        <v/>
      </c>
      <c r="V25">
        <f>Calculations!W26/Calculations!$BC$26</f>
        <v/>
      </c>
      <c r="W25">
        <f>Calculations!X26/Calculations!$BC$26</f>
        <v/>
      </c>
      <c r="X25">
        <f>Calculations!Y26/Calculations!$BC$26</f>
        <v/>
      </c>
      <c r="Y25">
        <f>Calculations!Z26/Calculations!$BC$26</f>
        <v/>
      </c>
      <c r="Z25">
        <f>Calculations!AA26/Calculations!$BC$26</f>
        <v/>
      </c>
      <c r="AA25">
        <f>Calculations!AB26/Calculations!$BC$26</f>
        <v/>
      </c>
      <c r="AB25">
        <f>Calculations!AC26/Calculations!$BC$26</f>
        <v/>
      </c>
      <c r="AC25">
        <f>Calculations!AD26/Calculations!$BC$26</f>
        <v/>
      </c>
      <c r="AD25">
        <f>Calculations!AE26/Calculations!$BC$26</f>
        <v/>
      </c>
      <c r="AE25">
        <f>Calculations!AF26/Calculations!$BC$26</f>
        <v/>
      </c>
      <c r="AF25">
        <f>Calculations!AG26/Calculations!$BC$26</f>
        <v/>
      </c>
      <c r="AG25">
        <f>Calculations!AH26/Calculations!$BC$26</f>
        <v/>
      </c>
      <c r="AH25">
        <f>Calculations!AI26/Calculations!$BC$26</f>
        <v/>
      </c>
      <c r="AI25">
        <f>Calculations!AJ26/Calculations!$BC$26</f>
        <v/>
      </c>
      <c r="AJ25">
        <f>Calculations!AK26/Calculations!$BC$26</f>
        <v/>
      </c>
      <c r="AK25">
        <f>Calculations!AL26/Calculations!$BC$26</f>
        <v/>
      </c>
      <c r="AL25">
        <f>Calculations!AM26/Calculations!$BC$26</f>
        <v/>
      </c>
      <c r="AM25">
        <f>Calculations!AN26/Calculations!$BC$26</f>
        <v/>
      </c>
      <c r="AN25">
        <f>Calculations!AO26/Calculations!$BC$26</f>
        <v/>
      </c>
      <c r="AO25">
        <f>Calculations!AP26/Calculations!$BC$26</f>
        <v/>
      </c>
      <c r="AP25">
        <f>Calculations!AQ26/Calculations!$BC$26</f>
        <v/>
      </c>
      <c r="AQ25">
        <f>Calculations!AR26/Calculations!$BC$26</f>
        <v/>
      </c>
      <c r="AR25">
        <f>Calculations!AS26/Calculations!$BC$26</f>
        <v/>
      </c>
      <c r="AS25">
        <f>Calculations!AT26/Calculations!$BC$26</f>
        <v/>
      </c>
      <c r="AT25">
        <f>Calculations!AU26/Calculations!$BC$26</f>
        <v/>
      </c>
      <c r="AU25">
        <f>Calculations!AV26/Calculations!$BC$26</f>
        <v/>
      </c>
      <c r="AV25">
        <f>Calculations!AW26/Calculations!$BC$26</f>
        <v/>
      </c>
      <c r="AW25">
        <f>Calculations!AX26/Calculations!$BC$26</f>
        <v/>
      </c>
      <c r="AX25">
        <f>Calculations!AY26/Calculations!$BC$26</f>
        <v/>
      </c>
      <c r="AY25">
        <f>Calculations!AZ26/Calculations!$BC$26</f>
        <v/>
      </c>
      <c r="AZ25">
        <f>Calculations!BA26/Calculations!$BC$26</f>
        <v/>
      </c>
      <c r="BA25">
        <f>Calculations!BB26/Calculations!$BC$26</f>
        <v/>
      </c>
    </row>
    <row r="26">
      <c r="A26" t="inlineStr">
        <is>
          <t>construction 41T43</t>
        </is>
      </c>
      <c r="B26">
        <f>Calculations!C27/Calculations!$BC$27</f>
        <v/>
      </c>
      <c r="C26">
        <f>Calculations!D27/Calculations!$BC$27</f>
        <v/>
      </c>
      <c r="D26">
        <f>Calculations!E27/Calculations!$BC$27</f>
        <v/>
      </c>
      <c r="E26">
        <f>Calculations!F27/Calculations!$BC$27</f>
        <v/>
      </c>
      <c r="F26">
        <f>Calculations!G27/Calculations!$BC$27</f>
        <v/>
      </c>
      <c r="G26">
        <f>Calculations!H27/Calculations!$BC$27</f>
        <v/>
      </c>
      <c r="H26">
        <f>Calculations!I27/Calculations!$BC$27</f>
        <v/>
      </c>
      <c r="I26">
        <f>Calculations!J27/Calculations!$BC$27</f>
        <v/>
      </c>
      <c r="J26">
        <f>Calculations!K27/Calculations!$BC$27</f>
        <v/>
      </c>
      <c r="K26">
        <f>Calculations!L27/Calculations!$BC$27</f>
        <v/>
      </c>
      <c r="L26">
        <f>Calculations!M27/Calculations!$BC$27</f>
        <v/>
      </c>
      <c r="M26">
        <f>Calculations!N27/Calculations!$BC$27</f>
        <v/>
      </c>
      <c r="N26">
        <f>Calculations!O27/Calculations!$BC$27</f>
        <v/>
      </c>
      <c r="O26">
        <f>Calculations!P27/Calculations!$BC$27</f>
        <v/>
      </c>
      <c r="P26">
        <f>Calculations!Q27/Calculations!$BC$27</f>
        <v/>
      </c>
      <c r="Q26">
        <f>Calculations!R27/Calculations!$BC$27</f>
        <v/>
      </c>
      <c r="R26">
        <f>Calculations!S27/Calculations!$BC$27</f>
        <v/>
      </c>
      <c r="S26">
        <f>Calculations!T27/Calculations!$BC$27</f>
        <v/>
      </c>
      <c r="T26">
        <f>Calculations!U27/Calculations!$BC$27</f>
        <v/>
      </c>
      <c r="U26">
        <f>Calculations!V27/Calculations!$BC$27</f>
        <v/>
      </c>
      <c r="V26">
        <f>Calculations!W27/Calculations!$BC$27</f>
        <v/>
      </c>
      <c r="W26">
        <f>Calculations!X27/Calculations!$BC$27</f>
        <v/>
      </c>
      <c r="X26">
        <f>Calculations!Y27/Calculations!$BC$27</f>
        <v/>
      </c>
      <c r="Y26">
        <f>Calculations!Z27/Calculations!$BC$27</f>
        <v/>
      </c>
      <c r="Z26">
        <f>Calculations!AA27/Calculations!$BC$27</f>
        <v/>
      </c>
      <c r="AA26">
        <f>Calculations!AB27/Calculations!$BC$27</f>
        <v/>
      </c>
      <c r="AB26">
        <f>Calculations!AC27/Calculations!$BC$27</f>
        <v/>
      </c>
      <c r="AC26">
        <f>Calculations!AD27/Calculations!$BC$27</f>
        <v/>
      </c>
      <c r="AD26">
        <f>Calculations!AE27/Calculations!$BC$27</f>
        <v/>
      </c>
      <c r="AE26">
        <f>Calculations!AF27/Calculations!$BC$27</f>
        <v/>
      </c>
      <c r="AF26">
        <f>Calculations!AG27/Calculations!$BC$27</f>
        <v/>
      </c>
      <c r="AG26">
        <f>Calculations!AH27/Calculations!$BC$27</f>
        <v/>
      </c>
      <c r="AH26">
        <f>Calculations!AI27/Calculations!$BC$27</f>
        <v/>
      </c>
      <c r="AI26">
        <f>Calculations!AJ27/Calculations!$BC$27</f>
        <v/>
      </c>
      <c r="AJ26">
        <f>Calculations!AK27/Calculations!$BC$27</f>
        <v/>
      </c>
      <c r="AK26">
        <f>Calculations!AL27/Calculations!$BC$27</f>
        <v/>
      </c>
      <c r="AL26">
        <f>Calculations!AM27/Calculations!$BC$27</f>
        <v/>
      </c>
      <c r="AM26">
        <f>Calculations!AN27/Calculations!$BC$27</f>
        <v/>
      </c>
      <c r="AN26">
        <f>Calculations!AO27/Calculations!$BC$27</f>
        <v/>
      </c>
      <c r="AO26">
        <f>Calculations!AP27/Calculations!$BC$27</f>
        <v/>
      </c>
      <c r="AP26">
        <f>Calculations!AQ27/Calculations!$BC$27</f>
        <v/>
      </c>
      <c r="AQ26">
        <f>Calculations!AR27/Calculations!$BC$27</f>
        <v/>
      </c>
      <c r="AR26">
        <f>Calculations!AS27/Calculations!$BC$27</f>
        <v/>
      </c>
      <c r="AS26">
        <f>Calculations!AT27/Calculations!$BC$27</f>
        <v/>
      </c>
      <c r="AT26">
        <f>Calculations!AU27/Calculations!$BC$27</f>
        <v/>
      </c>
      <c r="AU26">
        <f>Calculations!AV27/Calculations!$BC$27</f>
        <v/>
      </c>
      <c r="AV26">
        <f>Calculations!AW27/Calculations!$BC$27</f>
        <v/>
      </c>
      <c r="AW26">
        <f>Calculations!AX27/Calculations!$BC$27</f>
        <v/>
      </c>
      <c r="AX26">
        <f>Calculations!AY27/Calculations!$BC$27</f>
        <v/>
      </c>
      <c r="AY26">
        <f>Calculations!AZ27/Calculations!$BC$27</f>
        <v/>
      </c>
      <c r="AZ26">
        <f>Calculations!BA27/Calculations!$BC$27</f>
        <v/>
      </c>
      <c r="BA26">
        <f>Calculations!BB27/Calculations!$BC$27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2026-07-21T14:40:44Z</dcterms:created>
  <dcterms:modified xmlns:dcterms="http://purl.org/dc/terms/" xmlns:xsi="http://www.w3.org/2001/XMLSchema-instance" xsi:type="dcterms:W3CDTF">2026-07-21T14:40:46Z</dcterms:modified>
</cp:coreProperties>
</file>