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C:\Users\RobbieOrvis\Models\EPS Structure Research\eps-us-4.0.5 - IO\InputData\io-model\TIOT\"/>
    </mc:Choice>
  </mc:AlternateContent>
  <xr:revisionPtr revIDLastSave="0" documentId="13_ncr:9_{A58EF12B-641B-4DC4-95DD-ADE4103A59B4}" xr6:coauthVersionLast="47" xr6:coauthVersionMax="47" xr10:uidLastSave="{00000000-0000-0000-0000-000000000000}"/>
  <bookViews>
    <workbookView xWindow="-110" yWindow="-110" windowWidth="38620" windowHeight="21100" tabRatio="721" xr2:uid="{00000000-000D-0000-FFFF-FFFF00000000}"/>
  </bookViews>
  <sheets>
    <sheet name="About" sheetId="1" r:id="rId1"/>
    <sheet name="OECD_TTL" sheetId="18" r:id="rId2"/>
    <sheet name="Calculated IO Table" sheetId="19" r:id="rId3"/>
    <sheet name="TIOT" sheetId="2" r:id="rId4"/>
    <sheet name="NAICS to ISIC Key" sheetId="6" r:id="rId5"/>
    <sheet name="ISIC Code Meanings" sheetId="5" r:id="rId6"/>
  </sheets>
  <definedNames>
    <definedName name="_xlnm._FilterDatabase" localSheetId="4" hidden="1">'NAICS to ISIC Key'!#REF!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R151" i="19" l="1"/>
  <c r="AQ151" i="19"/>
  <c r="AP151" i="19"/>
  <c r="AO151" i="19"/>
  <c r="AN151" i="19"/>
  <c r="AM151" i="19"/>
  <c r="AL151" i="19"/>
  <c r="AK151" i="19"/>
  <c r="AJ43" i="2" s="1"/>
  <c r="AJ151" i="19"/>
  <c r="AI43" i="2" s="1"/>
  <c r="AI151" i="19"/>
  <c r="AH43" i="2" s="1"/>
  <c r="AH151" i="19"/>
  <c r="AG43" i="2" s="1"/>
  <c r="AG151" i="19"/>
  <c r="AF151" i="19"/>
  <c r="AE151" i="19"/>
  <c r="AD151" i="19"/>
  <c r="AC151" i="19"/>
  <c r="AB43" i="2" s="1"/>
  <c r="AB151" i="19"/>
  <c r="AA43" i="2" s="1"/>
  <c r="AA151" i="19"/>
  <c r="Z43" i="2" s="1"/>
  <c r="Z151" i="19"/>
  <c r="Y43" i="2" s="1"/>
  <c r="Y151" i="19"/>
  <c r="X43" i="2" s="1"/>
  <c r="X151" i="19"/>
  <c r="W43" i="2" s="1"/>
  <c r="W151" i="19"/>
  <c r="V43" i="2" s="1"/>
  <c r="V151" i="19"/>
  <c r="U151" i="19"/>
  <c r="T151" i="19"/>
  <c r="S151" i="19"/>
  <c r="R151" i="19"/>
  <c r="Q151" i="19"/>
  <c r="P151" i="19"/>
  <c r="O151" i="19"/>
  <c r="N43" i="2" s="1"/>
  <c r="N151" i="19"/>
  <c r="M151" i="19"/>
  <c r="L43" i="2" s="1"/>
  <c r="L151" i="19"/>
  <c r="K151" i="19"/>
  <c r="J151" i="19"/>
  <c r="I43" i="2" s="1"/>
  <c r="I151" i="19"/>
  <c r="H43" i="2" s="1"/>
  <c r="H151" i="19"/>
  <c r="G43" i="2" s="1"/>
  <c r="G151" i="19"/>
  <c r="F43" i="2" s="1"/>
  <c r="F151" i="19"/>
  <c r="E43" i="2" s="1"/>
  <c r="E151" i="19"/>
  <c r="D43" i="2" s="1"/>
  <c r="D151" i="19"/>
  <c r="C43" i="2" s="1"/>
  <c r="C151" i="19"/>
  <c r="B43" i="2" s="1"/>
  <c r="AR150" i="19"/>
  <c r="AQ42" i="2" s="1"/>
  <c r="AQ150" i="19"/>
  <c r="AP42" i="2" s="1"/>
  <c r="AP150" i="19"/>
  <c r="AO150" i="19"/>
  <c r="AN150" i="19"/>
  <c r="AM150" i="19"/>
  <c r="AL150" i="19"/>
  <c r="AK150" i="19"/>
  <c r="AJ150" i="19"/>
  <c r="AI150" i="19"/>
  <c r="AH150" i="19"/>
  <c r="AG42" i="2" s="1"/>
  <c r="AG150" i="19"/>
  <c r="AF42" i="2" s="1"/>
  <c r="AF150" i="19"/>
  <c r="AE42" i="2" s="1"/>
  <c r="AE150" i="19"/>
  <c r="AD42" i="2" s="1"/>
  <c r="AD150" i="19"/>
  <c r="AC42" i="2" s="1"/>
  <c r="AC150" i="19"/>
  <c r="AB42" i="2" s="1"/>
  <c r="AB150" i="19"/>
  <c r="AA42" i="2" s="1"/>
  <c r="AA150" i="19"/>
  <c r="Z42" i="2" s="1"/>
  <c r="Z150" i="19"/>
  <c r="Y42" i="2" s="1"/>
  <c r="Y150" i="19"/>
  <c r="X42" i="2" s="1"/>
  <c r="X150" i="19"/>
  <c r="W42" i="2" s="1"/>
  <c r="W150" i="19"/>
  <c r="V42" i="2" s="1"/>
  <c r="V150" i="19"/>
  <c r="U42" i="2" s="1"/>
  <c r="U150" i="19"/>
  <c r="T42" i="2" s="1"/>
  <c r="T150" i="19"/>
  <c r="S150" i="19"/>
  <c r="R150" i="19"/>
  <c r="Q150" i="19"/>
  <c r="P150" i="19"/>
  <c r="O150" i="19"/>
  <c r="N150" i="19"/>
  <c r="M150" i="19"/>
  <c r="L42" i="2" s="1"/>
  <c r="L150" i="19"/>
  <c r="K150" i="19"/>
  <c r="J150" i="19"/>
  <c r="I150" i="19"/>
  <c r="H150" i="19"/>
  <c r="G150" i="19"/>
  <c r="F150" i="19"/>
  <c r="E150" i="19"/>
  <c r="D42" i="2" s="1"/>
  <c r="D150" i="19"/>
  <c r="C42" i="2" s="1"/>
  <c r="C150" i="19"/>
  <c r="B42" i="2" s="1"/>
  <c r="AR149" i="19"/>
  <c r="AQ41" i="2" s="1"/>
  <c r="AQ149" i="19"/>
  <c r="AP41" i="2" s="1"/>
  <c r="AP149" i="19"/>
  <c r="AO41" i="2" s="1"/>
  <c r="AO149" i="19"/>
  <c r="AN41" i="2" s="1"/>
  <c r="AN149" i="19"/>
  <c r="AM41" i="2" s="1"/>
  <c r="AM149" i="19"/>
  <c r="AL149" i="19"/>
  <c r="AK149" i="19"/>
  <c r="AJ149" i="19"/>
  <c r="AI149" i="19"/>
  <c r="AH149" i="19"/>
  <c r="AG41" i="2" s="1"/>
  <c r="AG149" i="19"/>
  <c r="AF41" i="2" s="1"/>
  <c r="AF149" i="19"/>
  <c r="AE41" i="2" s="1"/>
  <c r="AE149" i="19"/>
  <c r="AD41" i="2" s="1"/>
  <c r="AD149" i="19"/>
  <c r="AC149" i="19"/>
  <c r="AB41" i="2" s="1"/>
  <c r="AB149" i="19"/>
  <c r="AA41" i="2" s="1"/>
  <c r="AA149" i="19"/>
  <c r="Z41" i="2" s="1"/>
  <c r="Z149" i="19"/>
  <c r="Y41" i="2" s="1"/>
  <c r="Y149" i="19"/>
  <c r="X41" i="2" s="1"/>
  <c r="X149" i="19"/>
  <c r="W41" i="2" s="1"/>
  <c r="W149" i="19"/>
  <c r="V41" i="2" s="1"/>
  <c r="V149" i="19"/>
  <c r="U41" i="2" s="1"/>
  <c r="U149" i="19"/>
  <c r="T41" i="2" s="1"/>
  <c r="T149" i="19"/>
  <c r="S41" i="2" s="1"/>
  <c r="S149" i="19"/>
  <c r="R41" i="2" s="1"/>
  <c r="R149" i="19"/>
  <c r="Q149" i="19"/>
  <c r="P149" i="19"/>
  <c r="O149" i="19"/>
  <c r="N41" i="2" s="1"/>
  <c r="N149" i="19"/>
  <c r="M149" i="19"/>
  <c r="L149" i="19"/>
  <c r="K149" i="19"/>
  <c r="J149" i="19"/>
  <c r="I41" i="2" s="1"/>
  <c r="I149" i="19"/>
  <c r="H149" i="19"/>
  <c r="G41" i="2" s="1"/>
  <c r="G149" i="19"/>
  <c r="F41" i="2" s="1"/>
  <c r="F149" i="19"/>
  <c r="E149" i="19"/>
  <c r="D41" i="2" s="1"/>
  <c r="D149" i="19"/>
  <c r="C41" i="2" s="1"/>
  <c r="C149" i="19"/>
  <c r="B41" i="2" s="1"/>
  <c r="AR148" i="19"/>
  <c r="AQ40" i="2" s="1"/>
  <c r="AQ148" i="19"/>
  <c r="AP40" i="2" s="1"/>
  <c r="AP148" i="19"/>
  <c r="AO40" i="2" s="1"/>
  <c r="AO148" i="19"/>
  <c r="AN40" i="2" s="1"/>
  <c r="AN148" i="19"/>
  <c r="AM40" i="2" s="1"/>
  <c r="AM148" i="19"/>
  <c r="AL40" i="2" s="1"/>
  <c r="AL148" i="19"/>
  <c r="AK148" i="19"/>
  <c r="AJ148" i="19"/>
  <c r="AI148" i="19"/>
  <c r="AH148" i="19"/>
  <c r="AG148" i="19"/>
  <c r="AF148" i="19"/>
  <c r="AE148" i="19"/>
  <c r="AD40" i="2" s="1"/>
  <c r="AD148" i="19"/>
  <c r="AC148" i="19"/>
  <c r="AB40" i="2" s="1"/>
  <c r="AB148" i="19"/>
  <c r="AA148" i="19"/>
  <c r="Z148" i="19"/>
  <c r="Y148" i="19"/>
  <c r="X40" i="2" s="1"/>
  <c r="X148" i="19"/>
  <c r="W40" i="2" s="1"/>
  <c r="W148" i="19"/>
  <c r="V40" i="2" s="1"/>
  <c r="V148" i="19"/>
  <c r="U40" i="2" s="1"/>
  <c r="U148" i="19"/>
  <c r="T40" i="2" s="1"/>
  <c r="T148" i="19"/>
  <c r="S40" i="2" s="1"/>
  <c r="S148" i="19"/>
  <c r="R40" i="2" s="1"/>
  <c r="R148" i="19"/>
  <c r="Q40" i="2" s="1"/>
  <c r="Q148" i="19"/>
  <c r="P40" i="2" s="1"/>
  <c r="P148" i="19"/>
  <c r="O148" i="19"/>
  <c r="N148" i="19"/>
  <c r="M148" i="19"/>
  <c r="L148" i="19"/>
  <c r="K148" i="19"/>
  <c r="J148" i="19"/>
  <c r="I40" i="2" s="1"/>
  <c r="I148" i="19"/>
  <c r="H40" i="2" s="1"/>
  <c r="H148" i="19"/>
  <c r="G40" i="2" s="1"/>
  <c r="G148" i="19"/>
  <c r="F40" i="2" s="1"/>
  <c r="F148" i="19"/>
  <c r="E40" i="2" s="1"/>
  <c r="E148" i="19"/>
  <c r="D40" i="2" s="1"/>
  <c r="D148" i="19"/>
  <c r="C40" i="2" s="1"/>
  <c r="C148" i="19"/>
  <c r="B40" i="2" s="1"/>
  <c r="AR147" i="19"/>
  <c r="AQ39" i="2" s="1"/>
  <c r="AQ147" i="19"/>
  <c r="AP39" i="2" s="1"/>
  <c r="AP147" i="19"/>
  <c r="AO39" i="2" s="1"/>
  <c r="AO147" i="19"/>
  <c r="AN39" i="2" s="1"/>
  <c r="AN147" i="19"/>
  <c r="AM39" i="2" s="1"/>
  <c r="AM147" i="19"/>
  <c r="AL39" i="2" s="1"/>
  <c r="AL147" i="19"/>
  <c r="AK147" i="19"/>
  <c r="AJ39" i="2" s="1"/>
  <c r="AJ147" i="19"/>
  <c r="AI147" i="19"/>
  <c r="AH147" i="19"/>
  <c r="AG147" i="19"/>
  <c r="AF39" i="2" s="1"/>
  <c r="AF147" i="19"/>
  <c r="AE147" i="19"/>
  <c r="AD147" i="19"/>
  <c r="AC147" i="19"/>
  <c r="AB39" i="2" s="1"/>
  <c r="AB147" i="19"/>
  <c r="AA147" i="19"/>
  <c r="Z147" i="19"/>
  <c r="Y147" i="19"/>
  <c r="X147" i="19"/>
  <c r="W39" i="2" s="1"/>
  <c r="W147" i="19"/>
  <c r="V39" i="2" s="1"/>
  <c r="V147" i="19"/>
  <c r="U147" i="19"/>
  <c r="T147" i="19"/>
  <c r="S147" i="19"/>
  <c r="R39" i="2" s="1"/>
  <c r="R147" i="19"/>
  <c r="Q39" i="2" s="1"/>
  <c r="Q147" i="19"/>
  <c r="P39" i="2" s="1"/>
  <c r="P147" i="19"/>
  <c r="O39" i="2" s="1"/>
  <c r="O147" i="19"/>
  <c r="N39" i="2" s="1"/>
  <c r="N147" i="19"/>
  <c r="M147" i="19"/>
  <c r="L147" i="19"/>
  <c r="K147" i="19"/>
  <c r="J147" i="19"/>
  <c r="I147" i="19"/>
  <c r="H147" i="19"/>
  <c r="G147" i="19"/>
  <c r="F147" i="19"/>
  <c r="E147" i="19"/>
  <c r="D39" i="2" s="1"/>
  <c r="D147" i="19"/>
  <c r="C39" i="2" s="1"/>
  <c r="C147" i="19"/>
  <c r="B39" i="2" s="1"/>
  <c r="AR146" i="19"/>
  <c r="AQ38" i="2" s="1"/>
  <c r="AQ146" i="19"/>
  <c r="AP38" i="2" s="1"/>
  <c r="AP146" i="19"/>
  <c r="AO38" i="2" s="1"/>
  <c r="AO146" i="19"/>
  <c r="AN38" i="2" s="1"/>
  <c r="AN146" i="19"/>
  <c r="AM38" i="2" s="1"/>
  <c r="AM146" i="19"/>
  <c r="AL38" i="2" s="1"/>
  <c r="AL146" i="19"/>
  <c r="AK38" i="2" s="1"/>
  <c r="AK146" i="19"/>
  <c r="AJ38" i="2" s="1"/>
  <c r="AJ146" i="19"/>
  <c r="AI38" i="2" s="1"/>
  <c r="AI146" i="19"/>
  <c r="AH38" i="2" s="1"/>
  <c r="AH146" i="19"/>
  <c r="AG38" i="2" s="1"/>
  <c r="AG146" i="19"/>
  <c r="AF146" i="19"/>
  <c r="AE146" i="19"/>
  <c r="AD146" i="19"/>
  <c r="AC146" i="19"/>
  <c r="AB146" i="19"/>
  <c r="AA38" i="2" s="1"/>
  <c r="AA146" i="19"/>
  <c r="Z38" i="2" s="1"/>
  <c r="Z146" i="19"/>
  <c r="Y38" i="2" s="1"/>
  <c r="Y146" i="19"/>
  <c r="X38" i="2" s="1"/>
  <c r="X146" i="19"/>
  <c r="W38" i="2" s="1"/>
  <c r="W146" i="19"/>
  <c r="V38" i="2" s="1"/>
  <c r="V146" i="19"/>
  <c r="U38" i="2" s="1"/>
  <c r="U146" i="19"/>
  <c r="T38" i="2" s="1"/>
  <c r="T146" i="19"/>
  <c r="S146" i="19"/>
  <c r="R38" i="2" s="1"/>
  <c r="R146" i="19"/>
  <c r="Q38" i="2" s="1"/>
  <c r="Q146" i="19"/>
  <c r="P38" i="2" s="1"/>
  <c r="P146" i="19"/>
  <c r="O38" i="2" s="1"/>
  <c r="O146" i="19"/>
  <c r="N38" i="2" s="1"/>
  <c r="N146" i="19"/>
  <c r="M38" i="2" s="1"/>
  <c r="M146" i="19"/>
  <c r="L38" i="2" s="1"/>
  <c r="L146" i="19"/>
  <c r="K146" i="19"/>
  <c r="J38" i="2" s="1"/>
  <c r="J146" i="19"/>
  <c r="I146" i="19"/>
  <c r="H38" i="2" s="1"/>
  <c r="H146" i="19"/>
  <c r="G146" i="19"/>
  <c r="F146" i="19"/>
  <c r="E38" i="2" s="1"/>
  <c r="E146" i="19"/>
  <c r="D38" i="2" s="1"/>
  <c r="D146" i="19"/>
  <c r="C146" i="19"/>
  <c r="B38" i="2" s="1"/>
  <c r="AR145" i="19"/>
  <c r="AQ145" i="19"/>
  <c r="AP37" i="2" s="1"/>
  <c r="AP145" i="19"/>
  <c r="AO145" i="19"/>
  <c r="AN145" i="19"/>
  <c r="AM37" i="2" s="1"/>
  <c r="AM145" i="19"/>
  <c r="AL37" i="2" s="1"/>
  <c r="AL145" i="19"/>
  <c r="AK37" i="2" s="1"/>
  <c r="AK145" i="19"/>
  <c r="AJ37" i="2" s="1"/>
  <c r="AJ145" i="19"/>
  <c r="AI37" i="2" s="1"/>
  <c r="AI145" i="19"/>
  <c r="AH37" i="2" s="1"/>
  <c r="AH145" i="19"/>
  <c r="AG37" i="2" s="1"/>
  <c r="AG145" i="19"/>
  <c r="AF37" i="2" s="1"/>
  <c r="AF145" i="19"/>
  <c r="AE145" i="19"/>
  <c r="AD145" i="19"/>
  <c r="AC145" i="19"/>
  <c r="AB145" i="19"/>
  <c r="AA145" i="19"/>
  <c r="Z145" i="19"/>
  <c r="Y145" i="19"/>
  <c r="X37" i="2" s="1"/>
  <c r="X145" i="19"/>
  <c r="W37" i="2" s="1"/>
  <c r="W145" i="19"/>
  <c r="V37" i="2" s="1"/>
  <c r="V145" i="19"/>
  <c r="U145" i="19"/>
  <c r="T37" i="2" s="1"/>
  <c r="T145" i="19"/>
  <c r="S37" i="2" s="1"/>
  <c r="S145" i="19"/>
  <c r="R37" i="2" s="1"/>
  <c r="R145" i="19"/>
  <c r="Q37" i="2" s="1"/>
  <c r="Q145" i="19"/>
  <c r="P37" i="2" s="1"/>
  <c r="P145" i="19"/>
  <c r="O37" i="2" s="1"/>
  <c r="O145" i="19"/>
  <c r="N37" i="2" s="1"/>
  <c r="N145" i="19"/>
  <c r="M37" i="2" s="1"/>
  <c r="M145" i="19"/>
  <c r="L37" i="2" s="1"/>
  <c r="L145" i="19"/>
  <c r="K37" i="2" s="1"/>
  <c r="K145" i="19"/>
  <c r="J37" i="2" s="1"/>
  <c r="J145" i="19"/>
  <c r="I145" i="19"/>
  <c r="H145" i="19"/>
  <c r="G145" i="19"/>
  <c r="F145" i="19"/>
  <c r="E145" i="19"/>
  <c r="D145" i="19"/>
  <c r="C145" i="19"/>
  <c r="B37" i="2" s="1"/>
  <c r="AR144" i="19"/>
  <c r="AQ36" i="2" s="1"/>
  <c r="AQ144" i="19"/>
  <c r="AP36" i="2" s="1"/>
  <c r="AP144" i="19"/>
  <c r="AO144" i="19"/>
  <c r="AN144" i="19"/>
  <c r="AM144" i="19"/>
  <c r="AL36" i="2" s="1"/>
  <c r="AL144" i="19"/>
  <c r="AK36" i="2" s="1"/>
  <c r="AK144" i="19"/>
  <c r="AJ36" i="2" s="1"/>
  <c r="AJ144" i="19"/>
  <c r="AI36" i="2" s="1"/>
  <c r="AI144" i="19"/>
  <c r="AH36" i="2" s="1"/>
  <c r="AH144" i="19"/>
  <c r="AG36" i="2" s="1"/>
  <c r="AG144" i="19"/>
  <c r="AF36" i="2" s="1"/>
  <c r="AF144" i="19"/>
  <c r="AE36" i="2" s="1"/>
  <c r="AE144" i="19"/>
  <c r="AD36" i="2" s="1"/>
  <c r="AD144" i="19"/>
  <c r="AC144" i="19"/>
  <c r="AB36" i="2" s="1"/>
  <c r="AB144" i="19"/>
  <c r="AA144" i="19"/>
  <c r="Z36" i="2" s="1"/>
  <c r="Z144" i="19"/>
  <c r="Y144" i="19"/>
  <c r="X144" i="19"/>
  <c r="W144" i="19"/>
  <c r="V144" i="19"/>
  <c r="U36" i="2" s="1"/>
  <c r="U144" i="19"/>
  <c r="T36" i="2" s="1"/>
  <c r="T144" i="19"/>
  <c r="S36" i="2" s="1"/>
  <c r="S144" i="19"/>
  <c r="R36" i="2" s="1"/>
  <c r="R144" i="19"/>
  <c r="Q36" i="2" s="1"/>
  <c r="Q144" i="19"/>
  <c r="P144" i="19"/>
  <c r="O144" i="19"/>
  <c r="N36" i="2" s="1"/>
  <c r="N144" i="19"/>
  <c r="M36" i="2" s="1"/>
  <c r="M144" i="19"/>
  <c r="L36" i="2" s="1"/>
  <c r="L144" i="19"/>
  <c r="K36" i="2" s="1"/>
  <c r="K144" i="19"/>
  <c r="J36" i="2" s="1"/>
  <c r="J144" i="19"/>
  <c r="I36" i="2" s="1"/>
  <c r="I144" i="19"/>
  <c r="H36" i="2" s="1"/>
  <c r="H144" i="19"/>
  <c r="G144" i="19"/>
  <c r="F144" i="19"/>
  <c r="E144" i="19"/>
  <c r="D144" i="19"/>
  <c r="C144" i="19"/>
  <c r="AR143" i="19"/>
  <c r="AQ35" i="2" s="1"/>
  <c r="AQ143" i="19"/>
  <c r="AP143" i="19"/>
  <c r="AO35" i="2" s="1"/>
  <c r="AO143" i="19"/>
  <c r="AN143" i="19"/>
  <c r="AM35" i="2" s="1"/>
  <c r="AM143" i="19"/>
  <c r="AL35" i="2" s="1"/>
  <c r="AL143" i="19"/>
  <c r="AK35" i="2" s="1"/>
  <c r="AK143" i="19"/>
  <c r="AJ35" i="2" s="1"/>
  <c r="AJ143" i="19"/>
  <c r="AI35" i="2" s="1"/>
  <c r="AI143" i="19"/>
  <c r="AH35" i="2" s="1"/>
  <c r="AH143" i="19"/>
  <c r="AG35" i="2" s="1"/>
  <c r="AG143" i="19"/>
  <c r="AF35" i="2" s="1"/>
  <c r="AF143" i="19"/>
  <c r="AE35" i="2" s="1"/>
  <c r="AE143" i="19"/>
  <c r="AD35" i="2" s="1"/>
  <c r="AD143" i="19"/>
  <c r="AC35" i="2" s="1"/>
  <c r="AC143" i="19"/>
  <c r="AB35" i="2" s="1"/>
  <c r="AB143" i="19"/>
  <c r="AA143" i="19"/>
  <c r="Z35" i="2" s="1"/>
  <c r="Z143" i="19"/>
  <c r="Y143" i="19"/>
  <c r="X35" i="2" s="1"/>
  <c r="X143" i="19"/>
  <c r="W143" i="19"/>
  <c r="V143" i="19"/>
  <c r="U143" i="19"/>
  <c r="T35" i="2" s="1"/>
  <c r="T143" i="19"/>
  <c r="S35" i="2" s="1"/>
  <c r="S143" i="19"/>
  <c r="R143" i="19"/>
  <c r="Q35" i="2" s="1"/>
  <c r="Q143" i="19"/>
  <c r="P35" i="2" s="1"/>
  <c r="P143" i="19"/>
  <c r="O35" i="2" s="1"/>
  <c r="O143" i="19"/>
  <c r="N35" i="2" s="1"/>
  <c r="N143" i="19"/>
  <c r="M35" i="2" s="1"/>
  <c r="M143" i="19"/>
  <c r="L35" i="2" s="1"/>
  <c r="L143" i="19"/>
  <c r="K35" i="2" s="1"/>
  <c r="K143" i="19"/>
  <c r="J35" i="2" s="1"/>
  <c r="J143" i="19"/>
  <c r="I35" i="2" s="1"/>
  <c r="I143" i="19"/>
  <c r="H35" i="2" s="1"/>
  <c r="H143" i="19"/>
  <c r="G35" i="2" s="1"/>
  <c r="G143" i="19"/>
  <c r="F35" i="2" s="1"/>
  <c r="F143" i="19"/>
  <c r="E143" i="19"/>
  <c r="D143" i="19"/>
  <c r="C143" i="19"/>
  <c r="AR142" i="19"/>
  <c r="AQ142" i="19"/>
  <c r="AP142" i="19"/>
  <c r="AO34" i="2" s="1"/>
  <c r="AO142" i="19"/>
  <c r="AN142" i="19"/>
  <c r="AM142" i="19"/>
  <c r="AL142" i="19"/>
  <c r="AK142" i="19"/>
  <c r="AJ142" i="19"/>
  <c r="AI142" i="19"/>
  <c r="AH142" i="19"/>
  <c r="AG34" i="2" s="1"/>
  <c r="AG142" i="19"/>
  <c r="AF34" i="2" s="1"/>
  <c r="AF142" i="19"/>
  <c r="AE34" i="2" s="1"/>
  <c r="AE142" i="19"/>
  <c r="AD34" i="2" s="1"/>
  <c r="AD142" i="19"/>
  <c r="AC34" i="2" s="1"/>
  <c r="AC142" i="19"/>
  <c r="AB34" i="2" s="1"/>
  <c r="AB142" i="19"/>
  <c r="AA34" i="2" s="1"/>
  <c r="AA142" i="19"/>
  <c r="Z34" i="2" s="1"/>
  <c r="Z142" i="19"/>
  <c r="Y142" i="19"/>
  <c r="X142" i="19"/>
  <c r="W142" i="19"/>
  <c r="V142" i="19"/>
  <c r="U142" i="19"/>
  <c r="T142" i="19"/>
  <c r="S142" i="19"/>
  <c r="R34" i="2" s="1"/>
  <c r="R142" i="19"/>
  <c r="Q34" i="2" s="1"/>
  <c r="Q142" i="19"/>
  <c r="P34" i="2" s="1"/>
  <c r="P142" i="19"/>
  <c r="O34" i="2" s="1"/>
  <c r="O142" i="19"/>
  <c r="N34" i="2" s="1"/>
  <c r="N142" i="19"/>
  <c r="M34" i="2" s="1"/>
  <c r="M142" i="19"/>
  <c r="L34" i="2" s="1"/>
  <c r="L142" i="19"/>
  <c r="K34" i="2" s="1"/>
  <c r="K142" i="19"/>
  <c r="J34" i="2" s="1"/>
  <c r="J142" i="19"/>
  <c r="I34" i="2" s="1"/>
  <c r="I142" i="19"/>
  <c r="H34" i="2" s="1"/>
  <c r="H142" i="19"/>
  <c r="G34" i="2" s="1"/>
  <c r="G142" i="19"/>
  <c r="F34" i="2" s="1"/>
  <c r="F142" i="19"/>
  <c r="E34" i="2" s="1"/>
  <c r="E142" i="19"/>
  <c r="D34" i="2" s="1"/>
  <c r="D142" i="19"/>
  <c r="C142" i="19"/>
  <c r="AR141" i="19"/>
  <c r="AQ141" i="19"/>
  <c r="AP141" i="19"/>
  <c r="AO141" i="19"/>
  <c r="AN141" i="19"/>
  <c r="AM141" i="19"/>
  <c r="AL141" i="19"/>
  <c r="AK141" i="19"/>
  <c r="AJ141" i="19"/>
  <c r="AI141" i="19"/>
  <c r="AH141" i="19"/>
  <c r="AG33" i="2" s="1"/>
  <c r="AG141" i="19"/>
  <c r="AF141" i="19"/>
  <c r="AE33" i="2" s="1"/>
  <c r="AE141" i="19"/>
  <c r="AD33" i="2" s="1"/>
  <c r="AD141" i="19"/>
  <c r="AC33" i="2" s="1"/>
  <c r="AC141" i="19"/>
  <c r="AB33" i="2" s="1"/>
  <c r="AB141" i="19"/>
  <c r="AA33" i="2" s="1"/>
  <c r="AA141" i="19"/>
  <c r="Z33" i="2" s="1"/>
  <c r="Z141" i="19"/>
  <c r="Y33" i="2" s="1"/>
  <c r="Y141" i="19"/>
  <c r="X33" i="2" s="1"/>
  <c r="X141" i="19"/>
  <c r="W33" i="2" s="1"/>
  <c r="W141" i="19"/>
  <c r="V33" i="2" s="1"/>
  <c r="V141" i="19"/>
  <c r="U141" i="19"/>
  <c r="T141" i="19"/>
  <c r="S141" i="19"/>
  <c r="R141" i="19"/>
  <c r="Q33" i="2" s="1"/>
  <c r="Q141" i="19"/>
  <c r="P33" i="2" s="1"/>
  <c r="P141" i="19"/>
  <c r="O33" i="2" s="1"/>
  <c r="O141" i="19"/>
  <c r="N33" i="2" s="1"/>
  <c r="N141" i="19"/>
  <c r="M33" i="2" s="1"/>
  <c r="M141" i="19"/>
  <c r="L33" i="2" s="1"/>
  <c r="L141" i="19"/>
  <c r="K33" i="2" s="1"/>
  <c r="K141" i="19"/>
  <c r="J33" i="2" s="1"/>
  <c r="J141" i="19"/>
  <c r="I33" i="2" s="1"/>
  <c r="I141" i="19"/>
  <c r="H33" i="2" s="1"/>
  <c r="H141" i="19"/>
  <c r="G33" i="2" s="1"/>
  <c r="G141" i="19"/>
  <c r="F33" i="2" s="1"/>
  <c r="F141" i="19"/>
  <c r="E33" i="2" s="1"/>
  <c r="E141" i="19"/>
  <c r="D33" i="2" s="1"/>
  <c r="D141" i="19"/>
  <c r="C33" i="2" s="1"/>
  <c r="C141" i="19"/>
  <c r="B33" i="2" s="1"/>
  <c r="AR140" i="19"/>
  <c r="AQ32" i="2" s="1"/>
  <c r="AQ140" i="19"/>
  <c r="AP140" i="19"/>
  <c r="AO140" i="19"/>
  <c r="AN140" i="19"/>
  <c r="AM140" i="19"/>
  <c r="AL140" i="19"/>
  <c r="AK140" i="19"/>
  <c r="AJ140" i="19"/>
  <c r="AI32" i="2" s="1"/>
  <c r="AI140" i="19"/>
  <c r="AH140" i="19"/>
  <c r="AG32" i="2" s="1"/>
  <c r="AG140" i="19"/>
  <c r="AF32" i="2" s="1"/>
  <c r="AF140" i="19"/>
  <c r="AE32" i="2" s="1"/>
  <c r="AE140" i="19"/>
  <c r="AD32" i="2" s="1"/>
  <c r="AD140" i="19"/>
  <c r="AC32" i="2" s="1"/>
  <c r="AC140" i="19"/>
  <c r="AB32" i="2" s="1"/>
  <c r="AB140" i="19"/>
  <c r="AA32" i="2" s="1"/>
  <c r="AA140" i="19"/>
  <c r="Z32" i="2" s="1"/>
  <c r="Z140" i="19"/>
  <c r="Y32" i="2" s="1"/>
  <c r="Y140" i="19"/>
  <c r="X32" i="2" s="1"/>
  <c r="X140" i="19"/>
  <c r="W32" i="2" s="1"/>
  <c r="W140" i="19"/>
  <c r="V32" i="2" s="1"/>
  <c r="V140" i="19"/>
  <c r="U140" i="19"/>
  <c r="T140" i="19"/>
  <c r="S140" i="19"/>
  <c r="R140" i="19"/>
  <c r="Q140" i="19"/>
  <c r="P140" i="19"/>
  <c r="O140" i="19"/>
  <c r="N32" i="2" s="1"/>
  <c r="N140" i="19"/>
  <c r="M32" i="2" s="1"/>
  <c r="M140" i="19"/>
  <c r="L32" i="2" s="1"/>
  <c r="L140" i="19"/>
  <c r="K32" i="2" s="1"/>
  <c r="K140" i="19"/>
  <c r="J32" i="2" s="1"/>
  <c r="J140" i="19"/>
  <c r="I140" i="19"/>
  <c r="H140" i="19"/>
  <c r="G140" i="19"/>
  <c r="F32" i="2" s="1"/>
  <c r="F140" i="19"/>
  <c r="E32" i="2" s="1"/>
  <c r="E140" i="19"/>
  <c r="D32" i="2" s="1"/>
  <c r="D140" i="19"/>
  <c r="C32" i="2" s="1"/>
  <c r="C140" i="19"/>
  <c r="B32" i="2" s="1"/>
  <c r="AR139" i="19"/>
  <c r="AQ31" i="2" s="1"/>
  <c r="AQ139" i="19"/>
  <c r="AP31" i="2" s="1"/>
  <c r="AP139" i="19"/>
  <c r="AO139" i="19"/>
  <c r="AN139" i="19"/>
  <c r="AM139" i="19"/>
  <c r="AL139" i="19"/>
  <c r="AK139" i="19"/>
  <c r="AJ139" i="19"/>
  <c r="AI139" i="19"/>
  <c r="AH139" i="19"/>
  <c r="AG31" i="2" s="1"/>
  <c r="AG139" i="19"/>
  <c r="AF31" i="2" s="1"/>
  <c r="AF139" i="19"/>
  <c r="AE31" i="2" s="1"/>
  <c r="AE139" i="19"/>
  <c r="AD31" i="2" s="1"/>
  <c r="AD139" i="19"/>
  <c r="AC31" i="2" s="1"/>
  <c r="AC139" i="19"/>
  <c r="AB31" i="2" s="1"/>
  <c r="AB139" i="19"/>
  <c r="AA31" i="2" s="1"/>
  <c r="AA139" i="19"/>
  <c r="Z31" i="2" s="1"/>
  <c r="Z139" i="19"/>
  <c r="Y31" i="2" s="1"/>
  <c r="Y139" i="19"/>
  <c r="X31" i="2" s="1"/>
  <c r="X139" i="19"/>
  <c r="W31" i="2" s="1"/>
  <c r="W139" i="19"/>
  <c r="V31" i="2" s="1"/>
  <c r="V139" i="19"/>
  <c r="U31" i="2" s="1"/>
  <c r="U139" i="19"/>
  <c r="T31" i="2" s="1"/>
  <c r="T139" i="19"/>
  <c r="S139" i="19"/>
  <c r="R139" i="19"/>
  <c r="Q31" i="2" s="1"/>
  <c r="Q139" i="19"/>
  <c r="P139" i="19"/>
  <c r="O139" i="19"/>
  <c r="N139" i="19"/>
  <c r="M31" i="2" s="1"/>
  <c r="M139" i="19"/>
  <c r="L31" i="2" s="1"/>
  <c r="L139" i="19"/>
  <c r="K31" i="2" s="1"/>
  <c r="K139" i="19"/>
  <c r="J31" i="2" s="1"/>
  <c r="J139" i="19"/>
  <c r="I31" i="2" s="1"/>
  <c r="I139" i="19"/>
  <c r="H31" i="2" s="1"/>
  <c r="H139" i="19"/>
  <c r="G31" i="2" s="1"/>
  <c r="G139" i="19"/>
  <c r="F139" i="19"/>
  <c r="E139" i="19"/>
  <c r="D31" i="2" s="1"/>
  <c r="D139" i="19"/>
  <c r="C31" i="2" s="1"/>
  <c r="C139" i="19"/>
  <c r="B31" i="2" s="1"/>
  <c r="AR138" i="19"/>
  <c r="AQ30" i="2" s="1"/>
  <c r="AQ138" i="19"/>
  <c r="AP30" i="2" s="1"/>
  <c r="AP138" i="19"/>
  <c r="AO30" i="2" s="1"/>
  <c r="AO138" i="19"/>
  <c r="AN30" i="2" s="1"/>
  <c r="AN138" i="19"/>
  <c r="AM138" i="19"/>
  <c r="AL138" i="19"/>
  <c r="AK138" i="19"/>
  <c r="AJ138" i="19"/>
  <c r="AI138" i="19"/>
  <c r="AH138" i="19"/>
  <c r="AG138" i="19"/>
  <c r="AF138" i="19"/>
  <c r="AE138" i="19"/>
  <c r="AD138" i="19"/>
  <c r="AC138" i="19"/>
  <c r="AB138" i="19"/>
  <c r="AA30" i="2" s="1"/>
  <c r="AA138" i="19"/>
  <c r="Z30" i="2" s="1"/>
  <c r="Z138" i="19"/>
  <c r="Y30" i="2" s="1"/>
  <c r="Y138" i="19"/>
  <c r="X30" i="2" s="1"/>
  <c r="X138" i="19"/>
  <c r="W30" i="2" s="1"/>
  <c r="W138" i="19"/>
  <c r="V30" i="2" s="1"/>
  <c r="V138" i="19"/>
  <c r="U30" i="2" s="1"/>
  <c r="U138" i="19"/>
  <c r="T30" i="2" s="1"/>
  <c r="T138" i="19"/>
  <c r="S30" i="2" s="1"/>
  <c r="S138" i="19"/>
  <c r="R30" i="2" s="1"/>
  <c r="R138" i="19"/>
  <c r="Q138" i="19"/>
  <c r="P30" i="2" s="1"/>
  <c r="P138" i="19"/>
  <c r="O138" i="19"/>
  <c r="N30" i="2" s="1"/>
  <c r="N138" i="19"/>
  <c r="M138" i="19"/>
  <c r="L138" i="19"/>
  <c r="K138" i="19"/>
  <c r="J30" i="2" s="1"/>
  <c r="J138" i="19"/>
  <c r="I30" i="2" s="1"/>
  <c r="I138" i="19"/>
  <c r="H30" i="2" s="1"/>
  <c r="H138" i="19"/>
  <c r="G30" i="2" s="1"/>
  <c r="G138" i="19"/>
  <c r="F30" i="2" s="1"/>
  <c r="F138" i="19"/>
  <c r="E30" i="2" s="1"/>
  <c r="E138" i="19"/>
  <c r="D30" i="2" s="1"/>
  <c r="D138" i="19"/>
  <c r="C30" i="2" s="1"/>
  <c r="C138" i="19"/>
  <c r="B30" i="2" s="1"/>
  <c r="AR137" i="19"/>
  <c r="AQ29" i="2" s="1"/>
  <c r="AQ137" i="19"/>
  <c r="AP29" i="2" s="1"/>
  <c r="AP137" i="19"/>
  <c r="AO29" i="2" s="1"/>
  <c r="AO137" i="19"/>
  <c r="AN29" i="2" s="1"/>
  <c r="AN137" i="19"/>
  <c r="AM29" i="2" s="1"/>
  <c r="AM137" i="19"/>
  <c r="AL29" i="2" s="1"/>
  <c r="AL137" i="19"/>
  <c r="AK137" i="19"/>
  <c r="AJ137" i="19"/>
  <c r="AI137" i="19"/>
  <c r="AH137" i="19"/>
  <c r="AG137" i="19"/>
  <c r="AF137" i="19"/>
  <c r="AE137" i="19"/>
  <c r="AD29" i="2" s="1"/>
  <c r="AD137" i="19"/>
  <c r="AC29" i="2" s="1"/>
  <c r="AC137" i="19"/>
  <c r="AB29" i="2" s="1"/>
  <c r="AB137" i="19"/>
  <c r="AA29" i="2" s="1"/>
  <c r="AA137" i="19"/>
  <c r="Z137" i="19"/>
  <c r="Y137" i="19"/>
  <c r="X29" i="2" s="1"/>
  <c r="X137" i="19"/>
  <c r="W29" i="2" s="1"/>
  <c r="W137" i="19"/>
  <c r="V29" i="2" s="1"/>
  <c r="V137" i="19"/>
  <c r="U29" i="2" s="1"/>
  <c r="U137" i="19"/>
  <c r="T29" i="2" s="1"/>
  <c r="T137" i="19"/>
  <c r="S29" i="2" s="1"/>
  <c r="S137" i="19"/>
  <c r="R29" i="2" s="1"/>
  <c r="R137" i="19"/>
  <c r="Q29" i="2" s="1"/>
  <c r="Q137" i="19"/>
  <c r="P29" i="2" s="1"/>
  <c r="P137" i="19"/>
  <c r="O137" i="19"/>
  <c r="N137" i="19"/>
  <c r="M137" i="19"/>
  <c r="L137" i="19"/>
  <c r="K137" i="19"/>
  <c r="J137" i="19"/>
  <c r="I137" i="19"/>
  <c r="H29" i="2" s="1"/>
  <c r="H137" i="19"/>
  <c r="G29" i="2" s="1"/>
  <c r="G137" i="19"/>
  <c r="F29" i="2" s="1"/>
  <c r="F137" i="19"/>
  <c r="E29" i="2" s="1"/>
  <c r="E137" i="19"/>
  <c r="D29" i="2" s="1"/>
  <c r="D137" i="19"/>
  <c r="C137" i="19"/>
  <c r="B29" i="2" s="1"/>
  <c r="AR136" i="19"/>
  <c r="AQ28" i="2" s="1"/>
  <c r="AQ136" i="19"/>
  <c r="AP28" i="2" s="1"/>
  <c r="AP136" i="19"/>
  <c r="AO28" i="2" s="1"/>
  <c r="AO136" i="19"/>
  <c r="AN28" i="2" s="1"/>
  <c r="AN136" i="19"/>
  <c r="AM28" i="2" s="1"/>
  <c r="AM136" i="19"/>
  <c r="AL28" i="2" s="1"/>
  <c r="AL136" i="19"/>
  <c r="AK28" i="2" s="1"/>
  <c r="AK136" i="19"/>
  <c r="AJ28" i="2" s="1"/>
  <c r="AJ136" i="19"/>
  <c r="AI136" i="19"/>
  <c r="AH136" i="19"/>
  <c r="AG136" i="19"/>
  <c r="AF28" i="2" s="1"/>
  <c r="AF136" i="19"/>
  <c r="AE136" i="19"/>
  <c r="AD136" i="19"/>
  <c r="AC136" i="19"/>
  <c r="AB136" i="19"/>
  <c r="AA28" i="2" s="1"/>
  <c r="AA136" i="19"/>
  <c r="Z28" i="2" s="1"/>
  <c r="Z136" i="19"/>
  <c r="Y136" i="19"/>
  <c r="X136" i="19"/>
  <c r="W136" i="19"/>
  <c r="V136" i="19"/>
  <c r="U28" i="2" s="1"/>
  <c r="U136" i="19"/>
  <c r="T28" i="2" s="1"/>
  <c r="T136" i="19"/>
  <c r="S28" i="2" s="1"/>
  <c r="S136" i="19"/>
  <c r="R28" i="2" s="1"/>
  <c r="R136" i="19"/>
  <c r="Q28" i="2" s="1"/>
  <c r="Q136" i="19"/>
  <c r="P28" i="2" s="1"/>
  <c r="P136" i="19"/>
  <c r="O28" i="2" s="1"/>
  <c r="O136" i="19"/>
  <c r="N28" i="2" s="1"/>
  <c r="N136" i="19"/>
  <c r="M28" i="2" s="1"/>
  <c r="M136" i="19"/>
  <c r="L28" i="2" s="1"/>
  <c r="L136" i="19"/>
  <c r="K136" i="19"/>
  <c r="J28" i="2" s="1"/>
  <c r="J136" i="19"/>
  <c r="I136" i="19"/>
  <c r="H136" i="19"/>
  <c r="G136" i="19"/>
  <c r="F28" i="2" s="1"/>
  <c r="F136" i="19"/>
  <c r="E28" i="2" s="1"/>
  <c r="E136" i="19"/>
  <c r="D28" i="2" s="1"/>
  <c r="D136" i="19"/>
  <c r="C28" i="2" s="1"/>
  <c r="C136" i="19"/>
  <c r="B28" i="2" s="1"/>
  <c r="AR135" i="19"/>
  <c r="AQ27" i="2" s="1"/>
  <c r="AQ135" i="19"/>
  <c r="AP27" i="2" s="1"/>
  <c r="AP135" i="19"/>
  <c r="AO27" i="2" s="1"/>
  <c r="AO135" i="19"/>
  <c r="AN27" i="2" s="1"/>
  <c r="AN135" i="19"/>
  <c r="AM27" i="2" s="1"/>
  <c r="AM135" i="19"/>
  <c r="AL27" i="2" s="1"/>
  <c r="AL135" i="19"/>
  <c r="AK27" i="2" s="1"/>
  <c r="AK135" i="19"/>
  <c r="AJ27" i="2" s="1"/>
  <c r="AJ135" i="19"/>
  <c r="AI27" i="2" s="1"/>
  <c r="AI135" i="19"/>
  <c r="AH27" i="2" s="1"/>
  <c r="AH135" i="19"/>
  <c r="AG135" i="19"/>
  <c r="AF135" i="19"/>
  <c r="AE135" i="19"/>
  <c r="AD135" i="19"/>
  <c r="AC135" i="19"/>
  <c r="AB135" i="19"/>
  <c r="AA135" i="19"/>
  <c r="Z135" i="19"/>
  <c r="Y135" i="19"/>
  <c r="X135" i="19"/>
  <c r="W27" i="2" s="1"/>
  <c r="W135" i="19"/>
  <c r="V27" i="2" s="1"/>
  <c r="V135" i="19"/>
  <c r="U27" i="2" s="1"/>
  <c r="U135" i="19"/>
  <c r="T27" i="2" s="1"/>
  <c r="T135" i="19"/>
  <c r="S27" i="2" s="1"/>
  <c r="S135" i="19"/>
  <c r="R27" i="2" s="1"/>
  <c r="R135" i="19"/>
  <c r="Q27" i="2" s="1"/>
  <c r="Q135" i="19"/>
  <c r="P27" i="2" s="1"/>
  <c r="P135" i="19"/>
  <c r="O27" i="2" s="1"/>
  <c r="O135" i="19"/>
  <c r="N27" i="2" s="1"/>
  <c r="N135" i="19"/>
  <c r="M27" i="2" s="1"/>
  <c r="M135" i="19"/>
  <c r="L27" i="2" s="1"/>
  <c r="L135" i="19"/>
  <c r="K135" i="19"/>
  <c r="J27" i="2" s="1"/>
  <c r="J135" i="19"/>
  <c r="I135" i="19"/>
  <c r="H135" i="19"/>
  <c r="G135" i="19"/>
  <c r="F135" i="19"/>
  <c r="E27" i="2" s="1"/>
  <c r="E135" i="19"/>
  <c r="D27" i="2" s="1"/>
  <c r="D135" i="19"/>
  <c r="C27" i="2" s="1"/>
  <c r="C135" i="19"/>
  <c r="B27" i="2" s="1"/>
  <c r="AR134" i="19"/>
  <c r="AQ26" i="2" s="1"/>
  <c r="AQ134" i="19"/>
  <c r="AP26" i="2" s="1"/>
  <c r="AP134" i="19"/>
  <c r="AO26" i="2" s="1"/>
  <c r="AO134" i="19"/>
  <c r="AN26" i="2" s="1"/>
  <c r="AN134" i="19"/>
  <c r="AM26" i="2" s="1"/>
  <c r="AM134" i="19"/>
  <c r="AL26" i="2" s="1"/>
  <c r="AL134" i="19"/>
  <c r="AK26" i="2" s="1"/>
  <c r="AK134" i="19"/>
  <c r="AJ26" i="2" s="1"/>
  <c r="AJ134" i="19"/>
  <c r="AI26" i="2" s="1"/>
  <c r="AI134" i="19"/>
  <c r="AH26" i="2" s="1"/>
  <c r="AH134" i="19"/>
  <c r="AG26" i="2" s="1"/>
  <c r="AG134" i="19"/>
  <c r="AF26" i="2" s="1"/>
  <c r="AF134" i="19"/>
  <c r="AE134" i="19"/>
  <c r="AD134" i="19"/>
  <c r="AC134" i="19"/>
  <c r="AB134" i="19"/>
  <c r="AA134" i="19"/>
  <c r="Z134" i="19"/>
  <c r="Y134" i="19"/>
  <c r="X134" i="19"/>
  <c r="W26" i="2" s="1"/>
  <c r="W134" i="19"/>
  <c r="V26" i="2" s="1"/>
  <c r="V134" i="19"/>
  <c r="U26" i="2" s="1"/>
  <c r="U134" i="19"/>
  <c r="T26" i="2" s="1"/>
  <c r="T134" i="19"/>
  <c r="S26" i="2" s="1"/>
  <c r="S134" i="19"/>
  <c r="R26" i="2" s="1"/>
  <c r="R134" i="19"/>
  <c r="Q26" i="2" s="1"/>
  <c r="Q134" i="19"/>
  <c r="P26" i="2" s="1"/>
  <c r="P134" i="19"/>
  <c r="O26" i="2" s="1"/>
  <c r="O134" i="19"/>
  <c r="N26" i="2" s="1"/>
  <c r="N134" i="19"/>
  <c r="M26" i="2" s="1"/>
  <c r="M134" i="19"/>
  <c r="L26" i="2" s="1"/>
  <c r="L134" i="19"/>
  <c r="K26" i="2" s="1"/>
  <c r="K134" i="19"/>
  <c r="J26" i="2" s="1"/>
  <c r="J134" i="19"/>
  <c r="I134" i="19"/>
  <c r="H134" i="19"/>
  <c r="G134" i="19"/>
  <c r="F134" i="19"/>
  <c r="E134" i="19"/>
  <c r="D134" i="19"/>
  <c r="C134" i="19"/>
  <c r="AR133" i="19"/>
  <c r="AQ133" i="19"/>
  <c r="AP133" i="19"/>
  <c r="AO133" i="19"/>
  <c r="AN25" i="2" s="1"/>
  <c r="AN133" i="19"/>
  <c r="AM25" i="2" s="1"/>
  <c r="AM133" i="19"/>
  <c r="AL25" i="2" s="1"/>
  <c r="AL133" i="19"/>
  <c r="AK25" i="2" s="1"/>
  <c r="AK133" i="19"/>
  <c r="AJ25" i="2" s="1"/>
  <c r="AJ133" i="19"/>
  <c r="AI25" i="2" s="1"/>
  <c r="AI133" i="19"/>
  <c r="AH25" i="2" s="1"/>
  <c r="AH133" i="19"/>
  <c r="AG25" i="2" s="1"/>
  <c r="AG133" i="19"/>
  <c r="AF25" i="2" s="1"/>
  <c r="AF133" i="19"/>
  <c r="AE25" i="2" s="1"/>
  <c r="AE133" i="19"/>
  <c r="AD25" i="2" s="1"/>
  <c r="AD133" i="19"/>
  <c r="AC133" i="19"/>
  <c r="AB25" i="2" s="1"/>
  <c r="AB133" i="19"/>
  <c r="AA133" i="19"/>
  <c r="Z25" i="2" s="1"/>
  <c r="Z133" i="19"/>
  <c r="Y133" i="19"/>
  <c r="X133" i="19"/>
  <c r="W25" i="2" s="1"/>
  <c r="W133" i="19"/>
  <c r="V25" i="2" s="1"/>
  <c r="V133" i="19"/>
  <c r="U25" i="2" s="1"/>
  <c r="U133" i="19"/>
  <c r="T25" i="2" s="1"/>
  <c r="T133" i="19"/>
  <c r="S25" i="2" s="1"/>
  <c r="S133" i="19"/>
  <c r="R25" i="2" s="1"/>
  <c r="R133" i="19"/>
  <c r="Q25" i="2" s="1"/>
  <c r="Q133" i="19"/>
  <c r="P25" i="2" s="1"/>
  <c r="P133" i="19"/>
  <c r="O25" i="2" s="1"/>
  <c r="O133" i="19"/>
  <c r="N25" i="2" s="1"/>
  <c r="N133" i="19"/>
  <c r="M25" i="2" s="1"/>
  <c r="M133" i="19"/>
  <c r="L25" i="2" s="1"/>
  <c r="L133" i="19"/>
  <c r="K25" i="2" s="1"/>
  <c r="K133" i="19"/>
  <c r="J25" i="2" s="1"/>
  <c r="J133" i="19"/>
  <c r="I25" i="2" s="1"/>
  <c r="I133" i="19"/>
  <c r="H25" i="2" s="1"/>
  <c r="H133" i="19"/>
  <c r="G133" i="19"/>
  <c r="F133" i="19"/>
  <c r="E133" i="19"/>
  <c r="D133" i="19"/>
  <c r="C133" i="19"/>
  <c r="AR132" i="19"/>
  <c r="AQ132" i="19"/>
  <c r="AP132" i="19"/>
  <c r="AO132" i="19"/>
  <c r="AN24" i="2" s="1"/>
  <c r="AN132" i="19"/>
  <c r="AM24" i="2" s="1"/>
  <c r="AM132" i="19"/>
  <c r="AL24" i="2" s="1"/>
  <c r="AL132" i="19"/>
  <c r="AK24" i="2" s="1"/>
  <c r="AK132" i="19"/>
  <c r="AJ24" i="2" s="1"/>
  <c r="AJ132" i="19"/>
  <c r="AI24" i="2" s="1"/>
  <c r="AI132" i="19"/>
  <c r="AH24" i="2" s="1"/>
  <c r="AH132" i="19"/>
  <c r="AG24" i="2" s="1"/>
  <c r="AG132" i="19"/>
  <c r="AF24" i="2" s="1"/>
  <c r="AF132" i="19"/>
  <c r="AE24" i="2" s="1"/>
  <c r="AE132" i="19"/>
  <c r="AD24" i="2" s="1"/>
  <c r="AD132" i="19"/>
  <c r="AC24" i="2" s="1"/>
  <c r="AC132" i="19"/>
  <c r="AB24" i="2" s="1"/>
  <c r="AB132" i="19"/>
  <c r="AA132" i="19"/>
  <c r="Z132" i="19"/>
  <c r="Y132" i="19"/>
  <c r="X132" i="19"/>
  <c r="W132" i="19"/>
  <c r="V132" i="19"/>
  <c r="U132" i="19"/>
  <c r="T24" i="2" s="1"/>
  <c r="T132" i="19"/>
  <c r="S24" i="2" s="1"/>
  <c r="S132" i="19"/>
  <c r="R24" i="2" s="1"/>
  <c r="R132" i="19"/>
  <c r="Q132" i="19"/>
  <c r="P132" i="19"/>
  <c r="O132" i="19"/>
  <c r="N132" i="19"/>
  <c r="M24" i="2" s="1"/>
  <c r="M132" i="19"/>
  <c r="L24" i="2" s="1"/>
  <c r="L132" i="19"/>
  <c r="K24" i="2" s="1"/>
  <c r="K132" i="19"/>
  <c r="J24" i="2" s="1"/>
  <c r="J132" i="19"/>
  <c r="I24" i="2" s="1"/>
  <c r="I132" i="19"/>
  <c r="H24" i="2" s="1"/>
  <c r="H132" i="19"/>
  <c r="G24" i="2" s="1"/>
  <c r="G132" i="19"/>
  <c r="F24" i="2" s="1"/>
  <c r="F132" i="19"/>
  <c r="E132" i="19"/>
  <c r="D24" i="2" s="1"/>
  <c r="D132" i="19"/>
  <c r="C132" i="19"/>
  <c r="AR131" i="19"/>
  <c r="AQ131" i="19"/>
  <c r="AP131" i="19"/>
  <c r="AO131" i="19"/>
  <c r="AN23" i="2" s="1"/>
  <c r="AN131" i="19"/>
  <c r="AM23" i="2" s="1"/>
  <c r="AM131" i="19"/>
  <c r="AL23" i="2" s="1"/>
  <c r="AL131" i="19"/>
  <c r="AK23" i="2" s="1"/>
  <c r="AK131" i="19"/>
  <c r="AJ23" i="2" s="1"/>
  <c r="AJ131" i="19"/>
  <c r="AI23" i="2" s="1"/>
  <c r="AI131" i="19"/>
  <c r="AH23" i="2" s="1"/>
  <c r="AH131" i="19"/>
  <c r="AG23" i="2" s="1"/>
  <c r="AG131" i="19"/>
  <c r="AF23" i="2" s="1"/>
  <c r="AF131" i="19"/>
  <c r="AE23" i="2" s="1"/>
  <c r="AE131" i="19"/>
  <c r="AD23" i="2" s="1"/>
  <c r="AD131" i="19"/>
  <c r="AC23" i="2" s="1"/>
  <c r="AC131" i="19"/>
  <c r="AB23" i="2" s="1"/>
  <c r="AB131" i="19"/>
  <c r="AA23" i="2" s="1"/>
  <c r="AA131" i="19"/>
  <c r="Z23" i="2" s="1"/>
  <c r="Z131" i="19"/>
  <c r="Y131" i="19"/>
  <c r="X131" i="19"/>
  <c r="W131" i="19"/>
  <c r="V131" i="19"/>
  <c r="U131" i="19"/>
  <c r="T131" i="19"/>
  <c r="S131" i="19"/>
  <c r="R131" i="19"/>
  <c r="Q131" i="19"/>
  <c r="P131" i="19"/>
  <c r="O23" i="2" s="1"/>
  <c r="O131" i="19"/>
  <c r="N23" i="2" s="1"/>
  <c r="N131" i="19"/>
  <c r="M23" i="2" s="1"/>
  <c r="M131" i="19"/>
  <c r="L23" i="2" s="1"/>
  <c r="L131" i="19"/>
  <c r="K23" i="2" s="1"/>
  <c r="K131" i="19"/>
  <c r="J23" i="2" s="1"/>
  <c r="J131" i="19"/>
  <c r="I23" i="2" s="1"/>
  <c r="I131" i="19"/>
  <c r="H23" i="2" s="1"/>
  <c r="H131" i="19"/>
  <c r="G23" i="2" s="1"/>
  <c r="G131" i="19"/>
  <c r="F23" i="2" s="1"/>
  <c r="F131" i="19"/>
  <c r="E23" i="2" s="1"/>
  <c r="E131" i="19"/>
  <c r="D23" i="2" s="1"/>
  <c r="D131" i="19"/>
  <c r="C131" i="19"/>
  <c r="AR130" i="19"/>
  <c r="AQ130" i="19"/>
  <c r="AP130" i="19"/>
  <c r="AO130" i="19"/>
  <c r="AN130" i="19"/>
  <c r="AM130" i="19"/>
  <c r="AL22" i="2" s="1"/>
  <c r="AL130" i="19"/>
  <c r="AK22" i="2" s="1"/>
  <c r="AK130" i="19"/>
  <c r="AJ22" i="2" s="1"/>
  <c r="AJ130" i="19"/>
  <c r="AI22" i="2" s="1"/>
  <c r="AI130" i="19"/>
  <c r="AH22" i="2" s="1"/>
  <c r="AH130" i="19"/>
  <c r="AG22" i="2" s="1"/>
  <c r="AG130" i="19"/>
  <c r="AF130" i="19"/>
  <c r="AE22" i="2" s="1"/>
  <c r="AE130" i="19"/>
  <c r="AD22" i="2" s="1"/>
  <c r="AD130" i="19"/>
  <c r="AC130" i="19"/>
  <c r="AB22" i="2" s="1"/>
  <c r="AB130" i="19"/>
  <c r="AA22" i="2" s="1"/>
  <c r="AA130" i="19"/>
  <c r="Z22" i="2" s="1"/>
  <c r="Z130" i="19"/>
  <c r="Y22" i="2" s="1"/>
  <c r="Y130" i="19"/>
  <c r="X22" i="2" s="1"/>
  <c r="X130" i="19"/>
  <c r="W130" i="19"/>
  <c r="V130" i="19"/>
  <c r="U130" i="19"/>
  <c r="T130" i="19"/>
  <c r="S130" i="19"/>
  <c r="R130" i="19"/>
  <c r="Q130" i="19"/>
  <c r="P130" i="19"/>
  <c r="O22" i="2" s="1"/>
  <c r="O130" i="19"/>
  <c r="N22" i="2" s="1"/>
  <c r="N130" i="19"/>
  <c r="M22" i="2" s="1"/>
  <c r="M130" i="19"/>
  <c r="L22" i="2" s="1"/>
  <c r="L130" i="19"/>
  <c r="K22" i="2" s="1"/>
  <c r="K130" i="19"/>
  <c r="J22" i="2" s="1"/>
  <c r="J130" i="19"/>
  <c r="I22" i="2" s="1"/>
  <c r="I130" i="19"/>
  <c r="H22" i="2" s="1"/>
  <c r="H130" i="19"/>
  <c r="G22" i="2" s="1"/>
  <c r="G130" i="19"/>
  <c r="F22" i="2" s="1"/>
  <c r="F130" i="19"/>
  <c r="E22" i="2" s="1"/>
  <c r="E130" i="19"/>
  <c r="D22" i="2" s="1"/>
  <c r="D130" i="19"/>
  <c r="C22" i="2" s="1"/>
  <c r="C130" i="19"/>
  <c r="B22" i="2" s="1"/>
  <c r="AR129" i="19"/>
  <c r="AQ129" i="19"/>
  <c r="AP129" i="19"/>
  <c r="AO129" i="19"/>
  <c r="AN129" i="19"/>
  <c r="AM129" i="19"/>
  <c r="AL129" i="19"/>
  <c r="AK21" i="2" s="1"/>
  <c r="AK129" i="19"/>
  <c r="AJ21" i="2" s="1"/>
  <c r="AJ129" i="19"/>
  <c r="AI21" i="2" s="1"/>
  <c r="AI129" i="19"/>
  <c r="AH21" i="2" s="1"/>
  <c r="AH129" i="19"/>
  <c r="AG21" i="2" s="1"/>
  <c r="AG129" i="19"/>
  <c r="AF21" i="2" s="1"/>
  <c r="AF129" i="19"/>
  <c r="AE129" i="19"/>
  <c r="AD129" i="19"/>
  <c r="AC129" i="19"/>
  <c r="AB21" i="2" s="1"/>
  <c r="AB129" i="19"/>
  <c r="AA21" i="2" s="1"/>
  <c r="AA129" i="19"/>
  <c r="Z21" i="2" s="1"/>
  <c r="Z129" i="19"/>
  <c r="Y21" i="2" s="1"/>
  <c r="Y129" i="19"/>
  <c r="X21" i="2" s="1"/>
  <c r="X129" i="19"/>
  <c r="W21" i="2" s="1"/>
  <c r="W129" i="19"/>
  <c r="V21" i="2" s="1"/>
  <c r="V129" i="19"/>
  <c r="U129" i="19"/>
  <c r="T129" i="19"/>
  <c r="S129" i="19"/>
  <c r="R129" i="19"/>
  <c r="Q129" i="19"/>
  <c r="P129" i="19"/>
  <c r="O129" i="19"/>
  <c r="N129" i="19"/>
  <c r="M129" i="19"/>
  <c r="L129" i="19"/>
  <c r="K21" i="2" s="1"/>
  <c r="K129" i="19"/>
  <c r="J21" i="2" s="1"/>
  <c r="J129" i="19"/>
  <c r="I21" i="2" s="1"/>
  <c r="I129" i="19"/>
  <c r="H21" i="2" s="1"/>
  <c r="H129" i="19"/>
  <c r="G21" i="2" s="1"/>
  <c r="G129" i="19"/>
  <c r="F21" i="2" s="1"/>
  <c r="F129" i="19"/>
  <c r="E21" i="2" s="1"/>
  <c r="E129" i="19"/>
  <c r="D21" i="2" s="1"/>
  <c r="D129" i="19"/>
  <c r="C21" i="2" s="1"/>
  <c r="C129" i="19"/>
  <c r="B21" i="2" s="1"/>
  <c r="AR128" i="19"/>
  <c r="AQ20" i="2" s="1"/>
  <c r="AQ128" i="19"/>
  <c r="AP20" i="2" s="1"/>
  <c r="AP128" i="19"/>
  <c r="AO128" i="19"/>
  <c r="AN20" i="2" s="1"/>
  <c r="AN128" i="19"/>
  <c r="AM128" i="19"/>
  <c r="AL128" i="19"/>
  <c r="AK128" i="19"/>
  <c r="AJ128" i="19"/>
  <c r="AI128" i="19"/>
  <c r="AH20" i="2" s="1"/>
  <c r="AH128" i="19"/>
  <c r="AG20" i="2" s="1"/>
  <c r="AG128" i="19"/>
  <c r="AF20" i="2" s="1"/>
  <c r="AF128" i="19"/>
  <c r="AE20" i="2" s="1"/>
  <c r="AE128" i="19"/>
  <c r="AD20" i="2" s="1"/>
  <c r="AD128" i="19"/>
  <c r="AC20" i="2" s="1"/>
  <c r="AC128" i="19"/>
  <c r="AB20" i="2" s="1"/>
  <c r="AB128" i="19"/>
  <c r="AA20" i="2" s="1"/>
  <c r="AA128" i="19"/>
  <c r="Z20" i="2" s="1"/>
  <c r="Z128" i="19"/>
  <c r="Y20" i="2" s="1"/>
  <c r="Y128" i="19"/>
  <c r="X20" i="2" s="1"/>
  <c r="X128" i="19"/>
  <c r="W20" i="2" s="1"/>
  <c r="W128" i="19"/>
  <c r="V20" i="2" s="1"/>
  <c r="V128" i="19"/>
  <c r="U20" i="2" s="1"/>
  <c r="U128" i="19"/>
  <c r="T20" i="2" s="1"/>
  <c r="T128" i="19"/>
  <c r="S128" i="19"/>
  <c r="R128" i="19"/>
  <c r="Q128" i="19"/>
  <c r="P128" i="19"/>
  <c r="O128" i="19"/>
  <c r="N128" i="19"/>
  <c r="M20" i="2" s="1"/>
  <c r="M128" i="19"/>
  <c r="L20" i="2" s="1"/>
  <c r="L128" i="19"/>
  <c r="K20" i="2" s="1"/>
  <c r="K128" i="19"/>
  <c r="J20" i="2" s="1"/>
  <c r="J128" i="19"/>
  <c r="I20" i="2" s="1"/>
  <c r="I128" i="19"/>
  <c r="H128" i="19"/>
  <c r="G128" i="19"/>
  <c r="F128" i="19"/>
  <c r="E128" i="19"/>
  <c r="D128" i="19"/>
  <c r="C128" i="19"/>
  <c r="B20" i="2" s="1"/>
  <c r="AR127" i="19"/>
  <c r="AQ127" i="19"/>
  <c r="AP19" i="2" s="1"/>
  <c r="AP127" i="19"/>
  <c r="AO19" i="2" s="1"/>
  <c r="AO127" i="19"/>
  <c r="AN19" i="2" s="1"/>
  <c r="AN127" i="19"/>
  <c r="AM127" i="19"/>
  <c r="AL127" i="19"/>
  <c r="AK127" i="19"/>
  <c r="AJ127" i="19"/>
  <c r="AI127" i="19"/>
  <c r="AH127" i="19"/>
  <c r="AG127" i="19"/>
  <c r="AF19" i="2" s="1"/>
  <c r="AF127" i="19"/>
  <c r="AE19" i="2" s="1"/>
  <c r="AE127" i="19"/>
  <c r="AD19" i="2" s="1"/>
  <c r="AD127" i="19"/>
  <c r="AC19" i="2" s="1"/>
  <c r="AC127" i="19"/>
  <c r="AB19" i="2" s="1"/>
  <c r="AB127" i="19"/>
  <c r="AA19" i="2" s="1"/>
  <c r="AA127" i="19"/>
  <c r="Z19" i="2" s="1"/>
  <c r="Z127" i="19"/>
  <c r="Y19" i="2" s="1"/>
  <c r="Y127" i="19"/>
  <c r="X19" i="2" s="1"/>
  <c r="X127" i="19"/>
  <c r="W19" i="2" s="1"/>
  <c r="W127" i="19"/>
  <c r="V19" i="2" s="1"/>
  <c r="V127" i="19"/>
  <c r="U19" i="2" s="1"/>
  <c r="U127" i="19"/>
  <c r="T19" i="2" s="1"/>
  <c r="T127" i="19"/>
  <c r="S19" i="2" s="1"/>
  <c r="S127" i="19"/>
  <c r="R19" i="2" s="1"/>
  <c r="R127" i="19"/>
  <c r="Q19" i="2" s="1"/>
  <c r="Q127" i="19"/>
  <c r="P19" i="2" s="1"/>
  <c r="P127" i="19"/>
  <c r="O127" i="19"/>
  <c r="N127" i="19"/>
  <c r="M127" i="19"/>
  <c r="L127" i="19"/>
  <c r="K127" i="19"/>
  <c r="J19" i="2" s="1"/>
  <c r="J127" i="19"/>
  <c r="I19" i="2" s="1"/>
  <c r="I127" i="19"/>
  <c r="H19" i="2" s="1"/>
  <c r="H127" i="19"/>
  <c r="G19" i="2" s="1"/>
  <c r="G127" i="19"/>
  <c r="F19" i="2" s="1"/>
  <c r="F127" i="19"/>
  <c r="E19" i="2" s="1"/>
  <c r="E127" i="19"/>
  <c r="D19" i="2" s="1"/>
  <c r="D127" i="19"/>
  <c r="C19" i="2" s="1"/>
  <c r="C127" i="19"/>
  <c r="B19" i="2" s="1"/>
  <c r="AR126" i="19"/>
  <c r="AQ18" i="2" s="1"/>
  <c r="AQ126" i="19"/>
  <c r="AP18" i="2" s="1"/>
  <c r="AP126" i="19"/>
  <c r="AO18" i="2" s="1"/>
  <c r="AO126" i="19"/>
  <c r="AN18" i="2" s="1"/>
  <c r="AN126" i="19"/>
  <c r="AM18" i="2" s="1"/>
  <c r="AM126" i="19"/>
  <c r="AL18" i="2" s="1"/>
  <c r="AL126" i="19"/>
  <c r="AK126" i="19"/>
  <c r="AJ126" i="19"/>
  <c r="AI126" i="19"/>
  <c r="AH126" i="19"/>
  <c r="AG126" i="19"/>
  <c r="AF126" i="19"/>
  <c r="AE126" i="19"/>
  <c r="AD18" i="2" s="1"/>
  <c r="AD126" i="19"/>
  <c r="AC18" i="2" s="1"/>
  <c r="AC126" i="19"/>
  <c r="AB18" i="2" s="1"/>
  <c r="AB126" i="19"/>
  <c r="AA18" i="2" s="1"/>
  <c r="AA126" i="19"/>
  <c r="Z126" i="19"/>
  <c r="Y18" i="2" s="1"/>
  <c r="Y126" i="19"/>
  <c r="X18" i="2" s="1"/>
  <c r="X126" i="19"/>
  <c r="W126" i="19"/>
  <c r="V18" i="2" s="1"/>
  <c r="V126" i="19"/>
  <c r="U18" i="2" s="1"/>
  <c r="U126" i="19"/>
  <c r="T18" i="2" s="1"/>
  <c r="T126" i="19"/>
  <c r="S18" i="2" s="1"/>
  <c r="S126" i="19"/>
  <c r="R18" i="2" s="1"/>
  <c r="R126" i="19"/>
  <c r="Q18" i="2" s="1"/>
  <c r="Q126" i="19"/>
  <c r="P18" i="2" s="1"/>
  <c r="P126" i="19"/>
  <c r="O126" i="19"/>
  <c r="N126" i="19"/>
  <c r="M126" i="19"/>
  <c r="L126" i="19"/>
  <c r="K126" i="19"/>
  <c r="J126" i="19"/>
  <c r="I126" i="19"/>
  <c r="H126" i="19"/>
  <c r="G18" i="2" s="1"/>
  <c r="G126" i="19"/>
  <c r="F18" i="2" s="1"/>
  <c r="F126" i="19"/>
  <c r="E126" i="19"/>
  <c r="D18" i="2" s="1"/>
  <c r="D126" i="19"/>
  <c r="C18" i="2" s="1"/>
  <c r="C126" i="19"/>
  <c r="B18" i="2" s="1"/>
  <c r="AR125" i="19"/>
  <c r="AQ17" i="2" s="1"/>
  <c r="AQ125" i="19"/>
  <c r="AP17" i="2" s="1"/>
  <c r="AP125" i="19"/>
  <c r="AO17" i="2" s="1"/>
  <c r="AO125" i="19"/>
  <c r="AN17" i="2" s="1"/>
  <c r="AN125" i="19"/>
  <c r="AM17" i="2" s="1"/>
  <c r="AM125" i="19"/>
  <c r="AL17" i="2" s="1"/>
  <c r="AL125" i="19"/>
  <c r="AK17" i="2" s="1"/>
  <c r="AK125" i="19"/>
  <c r="AJ17" i="2" s="1"/>
  <c r="AJ125" i="19"/>
  <c r="AI125" i="19"/>
  <c r="AH125" i="19"/>
  <c r="AG125" i="19"/>
  <c r="AF125" i="19"/>
  <c r="AE125" i="19"/>
  <c r="AD125" i="19"/>
  <c r="AC125" i="19"/>
  <c r="AB17" i="2" s="1"/>
  <c r="AB125" i="19"/>
  <c r="AA17" i="2" s="1"/>
  <c r="AA125" i="19"/>
  <c r="Z17" i="2" s="1"/>
  <c r="Z125" i="19"/>
  <c r="Y17" i="2" s="1"/>
  <c r="Y125" i="19"/>
  <c r="X17" i="2" s="1"/>
  <c r="X125" i="19"/>
  <c r="W17" i="2" s="1"/>
  <c r="W125" i="19"/>
  <c r="V17" i="2" s="1"/>
  <c r="V125" i="19"/>
  <c r="U17" i="2" s="1"/>
  <c r="U125" i="19"/>
  <c r="T17" i="2" s="1"/>
  <c r="T125" i="19"/>
  <c r="S17" i="2" s="1"/>
  <c r="S125" i="19"/>
  <c r="R17" i="2" s="1"/>
  <c r="R125" i="19"/>
  <c r="Q17" i="2" s="1"/>
  <c r="Q125" i="19"/>
  <c r="P17" i="2" s="1"/>
  <c r="P125" i="19"/>
  <c r="O17" i="2" s="1"/>
  <c r="O125" i="19"/>
  <c r="N17" i="2" s="1"/>
  <c r="N125" i="19"/>
  <c r="M125" i="19"/>
  <c r="L125" i="19"/>
  <c r="K125" i="19"/>
  <c r="J125" i="19"/>
  <c r="I125" i="19"/>
  <c r="H125" i="19"/>
  <c r="G125" i="19"/>
  <c r="F125" i="19"/>
  <c r="E125" i="19"/>
  <c r="D125" i="19"/>
  <c r="C125" i="19"/>
  <c r="AR124" i="19"/>
  <c r="AQ124" i="19"/>
  <c r="AP16" i="2" s="1"/>
  <c r="AP124" i="19"/>
  <c r="AO16" i="2" s="1"/>
  <c r="AO124" i="19"/>
  <c r="AN16" i="2" s="1"/>
  <c r="AN124" i="19"/>
  <c r="AM16" i="2" s="1"/>
  <c r="AM124" i="19"/>
  <c r="AL16" i="2" s="1"/>
  <c r="AL124" i="19"/>
  <c r="AK16" i="2" s="1"/>
  <c r="AK124" i="19"/>
  <c r="AJ16" i="2" s="1"/>
  <c r="AJ124" i="19"/>
  <c r="AI16" i="2" s="1"/>
  <c r="AI124" i="19"/>
  <c r="AH16" i="2" s="1"/>
  <c r="AH124" i="19"/>
  <c r="AG124" i="19"/>
  <c r="AF124" i="19"/>
  <c r="AE16" i="2" s="1"/>
  <c r="AE124" i="19"/>
  <c r="AD16" i="2" s="1"/>
  <c r="AD124" i="19"/>
  <c r="AC124" i="19"/>
  <c r="AB124" i="19"/>
  <c r="AA16" i="2" s="1"/>
  <c r="AA124" i="19"/>
  <c r="Z16" i="2" s="1"/>
  <c r="Z124" i="19"/>
  <c r="Y16" i="2" s="1"/>
  <c r="Y124" i="19"/>
  <c r="X16" i="2" s="1"/>
  <c r="X124" i="19"/>
  <c r="W16" i="2" s="1"/>
  <c r="W124" i="19"/>
  <c r="V16" i="2" s="1"/>
  <c r="V124" i="19"/>
  <c r="U16" i="2" s="1"/>
  <c r="U124" i="19"/>
  <c r="T16" i="2" s="1"/>
  <c r="T124" i="19"/>
  <c r="S16" i="2" s="1"/>
  <c r="S124" i="19"/>
  <c r="R16" i="2" s="1"/>
  <c r="R124" i="19"/>
  <c r="Q16" i="2" s="1"/>
  <c r="Q124" i="19"/>
  <c r="P16" i="2" s="1"/>
  <c r="P124" i="19"/>
  <c r="O16" i="2" s="1"/>
  <c r="O124" i="19"/>
  <c r="N16" i="2" s="1"/>
  <c r="N124" i="19"/>
  <c r="M16" i="2" s="1"/>
  <c r="M124" i="19"/>
  <c r="L16" i="2" s="1"/>
  <c r="L124" i="19"/>
  <c r="K124" i="19"/>
  <c r="J16" i="2" s="1"/>
  <c r="J124" i="19"/>
  <c r="I124" i="19"/>
  <c r="H124" i="19"/>
  <c r="G124" i="19"/>
  <c r="F124" i="19"/>
  <c r="E124" i="19"/>
  <c r="D16" i="2" s="1"/>
  <c r="D124" i="19"/>
  <c r="C16" i="2" s="1"/>
  <c r="C124" i="19"/>
  <c r="B16" i="2" s="1"/>
  <c r="AR123" i="19"/>
  <c r="AQ123" i="19"/>
  <c r="AP123" i="19"/>
  <c r="AO123" i="19"/>
  <c r="AN123" i="19"/>
  <c r="AM123" i="19"/>
  <c r="AL123" i="19"/>
  <c r="AK15" i="2" s="1"/>
  <c r="AK123" i="19"/>
  <c r="AJ15" i="2" s="1"/>
  <c r="AJ123" i="19"/>
  <c r="AI15" i="2" s="1"/>
  <c r="AI123" i="19"/>
  <c r="AH15" i="2" s="1"/>
  <c r="AH123" i="19"/>
  <c r="AG15" i="2" s="1"/>
  <c r="AG123" i="19"/>
  <c r="AF15" i="2" s="1"/>
  <c r="AF123" i="19"/>
  <c r="AE123" i="19"/>
  <c r="AD123" i="19"/>
  <c r="AC123" i="19"/>
  <c r="AB123" i="19"/>
  <c r="AA123" i="19"/>
  <c r="Z123" i="19"/>
  <c r="Y15" i="2" s="1"/>
  <c r="Y123" i="19"/>
  <c r="X123" i="19"/>
  <c r="W123" i="19"/>
  <c r="V123" i="19"/>
  <c r="U123" i="19"/>
  <c r="T15" i="2" s="1"/>
  <c r="T123" i="19"/>
  <c r="S15" i="2" s="1"/>
  <c r="S123" i="19"/>
  <c r="R15" i="2" s="1"/>
  <c r="R123" i="19"/>
  <c r="Q15" i="2" s="1"/>
  <c r="Q123" i="19"/>
  <c r="P15" i="2" s="1"/>
  <c r="P123" i="19"/>
  <c r="O15" i="2" s="1"/>
  <c r="O123" i="19"/>
  <c r="N15" i="2" s="1"/>
  <c r="N123" i="19"/>
  <c r="M15" i="2" s="1"/>
  <c r="M123" i="19"/>
  <c r="L15" i="2" s="1"/>
  <c r="L123" i="19"/>
  <c r="K15" i="2" s="1"/>
  <c r="K123" i="19"/>
  <c r="J15" i="2" s="1"/>
  <c r="J123" i="19"/>
  <c r="I15" i="2" s="1"/>
  <c r="I123" i="19"/>
  <c r="H15" i="2" s="1"/>
  <c r="H123" i="19"/>
  <c r="G123" i="19"/>
  <c r="F123" i="19"/>
  <c r="E123" i="19"/>
  <c r="D123" i="19"/>
  <c r="C123" i="19"/>
  <c r="AR122" i="19"/>
  <c r="AQ14" i="2" s="1"/>
  <c r="AQ122" i="19"/>
  <c r="AP14" i="2" s="1"/>
  <c r="AP122" i="19"/>
  <c r="AO14" i="2" s="1"/>
  <c r="AO122" i="19"/>
  <c r="AN14" i="2" s="1"/>
  <c r="AN122" i="19"/>
  <c r="AM14" i="2" s="1"/>
  <c r="AM122" i="19"/>
  <c r="AL14" i="2" s="1"/>
  <c r="AL122" i="19"/>
  <c r="AK14" i="2" s="1"/>
  <c r="AK122" i="19"/>
  <c r="AJ14" i="2" s="1"/>
  <c r="AJ122" i="19"/>
  <c r="AI14" i="2" s="1"/>
  <c r="AI122" i="19"/>
  <c r="AH14" i="2" s="1"/>
  <c r="AH122" i="19"/>
  <c r="AG14" i="2" s="1"/>
  <c r="AG122" i="19"/>
  <c r="AF14" i="2" s="1"/>
  <c r="AF122" i="19"/>
  <c r="AE14" i="2" s="1"/>
  <c r="AE122" i="19"/>
  <c r="AD14" i="2" s="1"/>
  <c r="AD122" i="19"/>
  <c r="AC122" i="19"/>
  <c r="AB14" i="2" s="1"/>
  <c r="AB122" i="19"/>
  <c r="AA122" i="19"/>
  <c r="Z122" i="19"/>
  <c r="Y122" i="19"/>
  <c r="X122" i="19"/>
  <c r="W122" i="19"/>
  <c r="V122" i="19"/>
  <c r="U122" i="19"/>
  <c r="T122" i="19"/>
  <c r="S14" i="2" s="1"/>
  <c r="S122" i="19"/>
  <c r="R14" i="2" s="1"/>
  <c r="R122" i="19"/>
  <c r="Q14" i="2" s="1"/>
  <c r="Q122" i="19"/>
  <c r="P14" i="2" s="1"/>
  <c r="P122" i="19"/>
  <c r="O14" i="2" s="1"/>
  <c r="O122" i="19"/>
  <c r="N14" i="2" s="1"/>
  <c r="N122" i="19"/>
  <c r="M14" i="2" s="1"/>
  <c r="M122" i="19"/>
  <c r="L14" i="2" s="1"/>
  <c r="L122" i="19"/>
  <c r="K14" i="2" s="1"/>
  <c r="K122" i="19"/>
  <c r="J14" i="2" s="1"/>
  <c r="J122" i="19"/>
  <c r="I14" i="2" s="1"/>
  <c r="I122" i="19"/>
  <c r="H14" i="2" s="1"/>
  <c r="H122" i="19"/>
  <c r="G122" i="19"/>
  <c r="F122" i="19"/>
  <c r="E122" i="19"/>
  <c r="D122" i="19"/>
  <c r="C122" i="19"/>
  <c r="AR121" i="19"/>
  <c r="AQ121" i="19"/>
  <c r="AP13" i="2" s="1"/>
  <c r="AP121" i="19"/>
  <c r="AO121" i="19"/>
  <c r="AN121" i="19"/>
  <c r="AM121" i="19"/>
  <c r="AL121" i="19"/>
  <c r="AK13" i="2" s="1"/>
  <c r="AK121" i="19"/>
  <c r="AJ13" i="2" s="1"/>
  <c r="AJ121" i="19"/>
  <c r="AI13" i="2" s="1"/>
  <c r="AI121" i="19"/>
  <c r="AH13" i="2" s="1"/>
  <c r="AH121" i="19"/>
  <c r="AG13" i="2" s="1"/>
  <c r="AG121" i="19"/>
  <c r="AF13" i="2" s="1"/>
  <c r="AF121" i="19"/>
  <c r="AE13" i="2" s="1"/>
  <c r="AE121" i="19"/>
  <c r="AD13" i="2" s="1"/>
  <c r="AD121" i="19"/>
  <c r="AC13" i="2" s="1"/>
  <c r="AC121" i="19"/>
  <c r="AB13" i="2" s="1"/>
  <c r="AB121" i="19"/>
  <c r="AA13" i="2" s="1"/>
  <c r="AA121" i="19"/>
  <c r="Z13" i="2" s="1"/>
  <c r="Z121" i="19"/>
  <c r="Y121" i="19"/>
  <c r="X121" i="19"/>
  <c r="W121" i="19"/>
  <c r="V121" i="19"/>
  <c r="U121" i="19"/>
  <c r="T121" i="19"/>
  <c r="S13" i="2" s="1"/>
  <c r="S121" i="19"/>
  <c r="R13" i="2" s="1"/>
  <c r="R121" i="19"/>
  <c r="Q13" i="2" s="1"/>
  <c r="Q121" i="19"/>
  <c r="P13" i="2" s="1"/>
  <c r="P121" i="19"/>
  <c r="O13" i="2" s="1"/>
  <c r="O121" i="19"/>
  <c r="N13" i="2" s="1"/>
  <c r="N121" i="19"/>
  <c r="M13" i="2" s="1"/>
  <c r="M121" i="19"/>
  <c r="L13" i="2" s="1"/>
  <c r="L121" i="19"/>
  <c r="K13" i="2" s="1"/>
  <c r="K121" i="19"/>
  <c r="J13" i="2" s="1"/>
  <c r="J121" i="19"/>
  <c r="I13" i="2" s="1"/>
  <c r="I121" i="19"/>
  <c r="H13" i="2" s="1"/>
  <c r="H121" i="19"/>
  <c r="G13" i="2" s="1"/>
  <c r="G121" i="19"/>
  <c r="F13" i="2" s="1"/>
  <c r="F121" i="19"/>
  <c r="E121" i="19"/>
  <c r="D13" i="2" s="1"/>
  <c r="D121" i="19"/>
  <c r="C121" i="19"/>
  <c r="B13" i="2" s="1"/>
  <c r="AR120" i="19"/>
  <c r="AQ120" i="19"/>
  <c r="AP120" i="19"/>
  <c r="AO120" i="19"/>
  <c r="AN120" i="19"/>
  <c r="AM12" i="2" s="1"/>
  <c r="AM120" i="19"/>
  <c r="AL120" i="19"/>
  <c r="AK12" i="2" s="1"/>
  <c r="AK120" i="19"/>
  <c r="AJ12" i="2" s="1"/>
  <c r="AJ120" i="19"/>
  <c r="AI120" i="19"/>
  <c r="AH120" i="19"/>
  <c r="AG120" i="19"/>
  <c r="AF12" i="2" s="1"/>
  <c r="AF120" i="19"/>
  <c r="AE12" i="2" s="1"/>
  <c r="AE120" i="19"/>
  <c r="AD12" i="2" s="1"/>
  <c r="AD120" i="19"/>
  <c r="AC12" i="2" s="1"/>
  <c r="AC120" i="19"/>
  <c r="AB12" i="2" s="1"/>
  <c r="AB120" i="19"/>
  <c r="AA12" i="2" s="1"/>
  <c r="AA120" i="19"/>
  <c r="Z12" i="2" s="1"/>
  <c r="Z120" i="19"/>
  <c r="Y120" i="19"/>
  <c r="X120" i="19"/>
  <c r="W120" i="19"/>
  <c r="V120" i="19"/>
  <c r="U120" i="19"/>
  <c r="T120" i="19"/>
  <c r="S120" i="19"/>
  <c r="R12" i="2" s="1"/>
  <c r="R120" i="19"/>
  <c r="Q12" i="2" s="1"/>
  <c r="Q120" i="19"/>
  <c r="P120" i="19"/>
  <c r="O12" i="2" s="1"/>
  <c r="O120" i="19"/>
  <c r="N12" i="2" s="1"/>
  <c r="N120" i="19"/>
  <c r="M12" i="2" s="1"/>
  <c r="M120" i="19"/>
  <c r="L12" i="2" s="1"/>
  <c r="L120" i="19"/>
  <c r="K12" i="2" s="1"/>
  <c r="K120" i="19"/>
  <c r="J12" i="2" s="1"/>
  <c r="J120" i="19"/>
  <c r="I12" i="2" s="1"/>
  <c r="I120" i="19"/>
  <c r="H12" i="2" s="1"/>
  <c r="H120" i="19"/>
  <c r="G12" i="2" s="1"/>
  <c r="G120" i="19"/>
  <c r="F12" i="2" s="1"/>
  <c r="F120" i="19"/>
  <c r="E12" i="2" s="1"/>
  <c r="E120" i="19"/>
  <c r="D12" i="2" s="1"/>
  <c r="D120" i="19"/>
  <c r="C120" i="19"/>
  <c r="B12" i="2" s="1"/>
  <c r="AR119" i="19"/>
  <c r="AQ11" i="2" s="1"/>
  <c r="AQ119" i="19"/>
  <c r="AP11" i="2" s="1"/>
  <c r="AP119" i="19"/>
  <c r="AO119" i="19"/>
  <c r="AN119" i="19"/>
  <c r="AM119" i="19"/>
  <c r="AL11" i="2" s="1"/>
  <c r="AL119" i="19"/>
  <c r="AK11" i="2" s="1"/>
  <c r="AK119" i="19"/>
  <c r="AJ11" i="2" s="1"/>
  <c r="AJ119" i="19"/>
  <c r="AI11" i="2" s="1"/>
  <c r="AI119" i="19"/>
  <c r="AH11" i="2" s="1"/>
  <c r="AH119" i="19"/>
  <c r="AG11" i="2" s="1"/>
  <c r="AG119" i="19"/>
  <c r="AF11" i="2" s="1"/>
  <c r="AF119" i="19"/>
  <c r="AE119" i="19"/>
  <c r="AD119" i="19"/>
  <c r="AC11" i="2" s="1"/>
  <c r="AC119" i="19"/>
  <c r="AB119" i="19"/>
  <c r="AA11" i="2" s="1"/>
  <c r="AA119" i="19"/>
  <c r="Z11" i="2" s="1"/>
  <c r="Z119" i="19"/>
  <c r="Y11" i="2" s="1"/>
  <c r="Y119" i="19"/>
  <c r="X11" i="2" s="1"/>
  <c r="X119" i="19"/>
  <c r="W119" i="19"/>
  <c r="V119" i="19"/>
  <c r="U119" i="19"/>
  <c r="T119" i="19"/>
  <c r="S119" i="19"/>
  <c r="R119" i="19"/>
  <c r="Q11" i="2" s="1"/>
  <c r="Q119" i="19"/>
  <c r="P11" i="2" s="1"/>
  <c r="P119" i="19"/>
  <c r="O11" i="2" s="1"/>
  <c r="O119" i="19"/>
  <c r="N119" i="19"/>
  <c r="M119" i="19"/>
  <c r="L119" i="19"/>
  <c r="K119" i="19"/>
  <c r="J11" i="2" s="1"/>
  <c r="J119" i="19"/>
  <c r="I11" i="2" s="1"/>
  <c r="I119" i="19"/>
  <c r="H11" i="2" s="1"/>
  <c r="H119" i="19"/>
  <c r="G11" i="2" s="1"/>
  <c r="G119" i="19"/>
  <c r="F11" i="2" s="1"/>
  <c r="F119" i="19"/>
  <c r="E11" i="2" s="1"/>
  <c r="E119" i="19"/>
  <c r="D11" i="2" s="1"/>
  <c r="D119" i="19"/>
  <c r="C11" i="2" s="1"/>
  <c r="C119" i="19"/>
  <c r="B11" i="2" s="1"/>
  <c r="AR118" i="19"/>
  <c r="AQ118" i="19"/>
  <c r="AP10" i="2" s="1"/>
  <c r="AP118" i="19"/>
  <c r="AO118" i="19"/>
  <c r="AN118" i="19"/>
  <c r="AM118" i="19"/>
  <c r="AL118" i="19"/>
  <c r="AK118" i="19"/>
  <c r="AJ118" i="19"/>
  <c r="AI10" i="2" s="1"/>
  <c r="AI118" i="19"/>
  <c r="AH10" i="2" s="1"/>
  <c r="AH118" i="19"/>
  <c r="AG10" i="2" s="1"/>
  <c r="AG118" i="19"/>
  <c r="AF10" i="2" s="1"/>
  <c r="AF118" i="19"/>
  <c r="AE10" i="2" s="1"/>
  <c r="AE118" i="19"/>
  <c r="AD10" i="2" s="1"/>
  <c r="AD118" i="19"/>
  <c r="AC10" i="2" s="1"/>
  <c r="AC118" i="19"/>
  <c r="AB10" i="2" s="1"/>
  <c r="AB118" i="19"/>
  <c r="AA10" i="2" s="1"/>
  <c r="AA118" i="19"/>
  <c r="Z10" i="2" s="1"/>
  <c r="Z118" i="19"/>
  <c r="Y10" i="2" s="1"/>
  <c r="Y118" i="19"/>
  <c r="X10" i="2" s="1"/>
  <c r="X118" i="19"/>
  <c r="W10" i="2" s="1"/>
  <c r="W118" i="19"/>
  <c r="V10" i="2" s="1"/>
  <c r="V118" i="19"/>
  <c r="U118" i="19"/>
  <c r="T118" i="19"/>
  <c r="S118" i="19"/>
  <c r="R118" i="19"/>
  <c r="Q118" i="19"/>
  <c r="P118" i="19"/>
  <c r="O118" i="19"/>
  <c r="N118" i="19"/>
  <c r="M118" i="19"/>
  <c r="L10" i="2" s="1"/>
  <c r="L118" i="19"/>
  <c r="K10" i="2" s="1"/>
  <c r="K118" i="19"/>
  <c r="J118" i="19"/>
  <c r="I118" i="19"/>
  <c r="H10" i="2" s="1"/>
  <c r="H118" i="19"/>
  <c r="G10" i="2" s="1"/>
  <c r="G118" i="19"/>
  <c r="F10" i="2" s="1"/>
  <c r="F118" i="19"/>
  <c r="E10" i="2" s="1"/>
  <c r="E118" i="19"/>
  <c r="D10" i="2" s="1"/>
  <c r="D118" i="19"/>
  <c r="C10" i="2" s="1"/>
  <c r="C118" i="19"/>
  <c r="B10" i="2" s="1"/>
  <c r="AR117" i="19"/>
  <c r="AQ9" i="2" s="1"/>
  <c r="AQ117" i="19"/>
  <c r="AP9" i="2" s="1"/>
  <c r="AP117" i="19"/>
  <c r="AO117" i="19"/>
  <c r="AN117" i="19"/>
  <c r="AM9" i="2" s="1"/>
  <c r="AM117" i="19"/>
  <c r="AL9" i="2" s="1"/>
  <c r="AL117" i="19"/>
  <c r="AK117" i="19"/>
  <c r="AJ117" i="19"/>
  <c r="AI9" i="2" s="1"/>
  <c r="AI117" i="19"/>
  <c r="AH117" i="19"/>
  <c r="AG117" i="19"/>
  <c r="AF117" i="19"/>
  <c r="AE9" i="2" s="1"/>
  <c r="AE117" i="19"/>
  <c r="AD9" i="2" s="1"/>
  <c r="AD117" i="19"/>
  <c r="AC9" i="2" s="1"/>
  <c r="AC117" i="19"/>
  <c r="AB9" i="2" s="1"/>
  <c r="AB117" i="19"/>
  <c r="AA9" i="2" s="1"/>
  <c r="AA117" i="19"/>
  <c r="Z9" i="2" s="1"/>
  <c r="Z117" i="19"/>
  <c r="Y9" i="2" s="1"/>
  <c r="Y117" i="19"/>
  <c r="X9" i="2" s="1"/>
  <c r="X117" i="19"/>
  <c r="W9" i="2" s="1"/>
  <c r="W117" i="19"/>
  <c r="V9" i="2" s="1"/>
  <c r="V117" i="19"/>
  <c r="U9" i="2" s="1"/>
  <c r="U117" i="19"/>
  <c r="T9" i="2" s="1"/>
  <c r="T117" i="19"/>
  <c r="S117" i="19"/>
  <c r="R117" i="19"/>
  <c r="Q117" i="19"/>
  <c r="P117" i="19"/>
  <c r="O117" i="19"/>
  <c r="N117" i="19"/>
  <c r="M117" i="19"/>
  <c r="L9" i="2" s="1"/>
  <c r="L117" i="19"/>
  <c r="K9" i="2" s="1"/>
  <c r="K117" i="19"/>
  <c r="J9" i="2" s="1"/>
  <c r="J117" i="19"/>
  <c r="I9" i="2" s="1"/>
  <c r="I117" i="19"/>
  <c r="H9" i="2" s="1"/>
  <c r="H117" i="19"/>
  <c r="G9" i="2" s="1"/>
  <c r="G117" i="19"/>
  <c r="F9" i="2" s="1"/>
  <c r="F117" i="19"/>
  <c r="E9" i="2" s="1"/>
  <c r="E117" i="19"/>
  <c r="D9" i="2" s="1"/>
  <c r="D117" i="19"/>
  <c r="C9" i="2" s="1"/>
  <c r="C117" i="19"/>
  <c r="B9" i="2" s="1"/>
  <c r="AR116" i="19"/>
  <c r="AQ8" i="2" s="1"/>
  <c r="AQ116" i="19"/>
  <c r="AP8" i="2" s="1"/>
  <c r="AP116" i="19"/>
  <c r="AO8" i="2" s="1"/>
  <c r="AO116" i="19"/>
  <c r="AN8" i="2" s="1"/>
  <c r="AN116" i="19"/>
  <c r="AM116" i="19"/>
  <c r="AL116" i="19"/>
  <c r="AK116" i="19"/>
  <c r="AJ8" i="2" s="1"/>
  <c r="AJ116" i="19"/>
  <c r="AI116" i="19"/>
  <c r="AH116" i="19"/>
  <c r="AG116" i="19"/>
  <c r="AF116" i="19"/>
  <c r="AE116" i="19"/>
  <c r="AD116" i="19"/>
  <c r="AC116" i="19"/>
  <c r="AB116" i="19"/>
  <c r="AA8" i="2" s="1"/>
  <c r="AA116" i="19"/>
  <c r="Z8" i="2" s="1"/>
  <c r="Z116" i="19"/>
  <c r="Y8" i="2" s="1"/>
  <c r="Y116" i="19"/>
  <c r="X8" i="2" s="1"/>
  <c r="X116" i="19"/>
  <c r="W8" i="2" s="1"/>
  <c r="W116" i="19"/>
  <c r="V8" i="2" s="1"/>
  <c r="V116" i="19"/>
  <c r="U8" i="2" s="1"/>
  <c r="U116" i="19"/>
  <c r="T8" i="2" s="1"/>
  <c r="T116" i="19"/>
  <c r="S8" i="2" s="1"/>
  <c r="S116" i="19"/>
  <c r="R8" i="2" s="1"/>
  <c r="R116" i="19"/>
  <c r="Q8" i="2" s="1"/>
  <c r="Q116" i="19"/>
  <c r="P116" i="19"/>
  <c r="O116" i="19"/>
  <c r="N8" i="2" s="1"/>
  <c r="N116" i="19"/>
  <c r="M116" i="19"/>
  <c r="L116" i="19"/>
  <c r="K116" i="19"/>
  <c r="J8" i="2" s="1"/>
  <c r="J116" i="19"/>
  <c r="I8" i="2" s="1"/>
  <c r="I116" i="19"/>
  <c r="H8" i="2" s="1"/>
  <c r="H116" i="19"/>
  <c r="G8" i="2" s="1"/>
  <c r="G116" i="19"/>
  <c r="F8" i="2" s="1"/>
  <c r="F116" i="19"/>
  <c r="E8" i="2" s="1"/>
  <c r="E116" i="19"/>
  <c r="D8" i="2" s="1"/>
  <c r="D116" i="19"/>
  <c r="C8" i="2" s="1"/>
  <c r="C116" i="19"/>
  <c r="B8" i="2" s="1"/>
  <c r="AR115" i="19"/>
  <c r="AQ7" i="2" s="1"/>
  <c r="AQ115" i="19"/>
  <c r="AP7" i="2" s="1"/>
  <c r="AP115" i="19"/>
  <c r="AO7" i="2" s="1"/>
  <c r="AO115" i="19"/>
  <c r="AN7" i="2" s="1"/>
  <c r="AN115" i="19"/>
  <c r="AM7" i="2" s="1"/>
  <c r="AM115" i="19"/>
  <c r="AL7" i="2" s="1"/>
  <c r="AL115" i="19"/>
  <c r="AK115" i="19"/>
  <c r="AJ115" i="19"/>
  <c r="AI115" i="19"/>
  <c r="AH115" i="19"/>
  <c r="AG115" i="19"/>
  <c r="AF115" i="19"/>
  <c r="AE115" i="19"/>
  <c r="AD115" i="19"/>
  <c r="AC115" i="19"/>
  <c r="AB115" i="19"/>
  <c r="AA115" i="19"/>
  <c r="Z7" i="2" s="1"/>
  <c r="Z115" i="19"/>
  <c r="Y7" i="2" s="1"/>
  <c r="Y115" i="19"/>
  <c r="X7" i="2" s="1"/>
  <c r="X115" i="19"/>
  <c r="W7" i="2" s="1"/>
  <c r="W115" i="19"/>
  <c r="V7" i="2" s="1"/>
  <c r="V115" i="19"/>
  <c r="U7" i="2" s="1"/>
  <c r="U115" i="19"/>
  <c r="T7" i="2" s="1"/>
  <c r="T115" i="19"/>
  <c r="S7" i="2" s="1"/>
  <c r="S115" i="19"/>
  <c r="R7" i="2" s="1"/>
  <c r="R115" i="19"/>
  <c r="Q7" i="2" s="1"/>
  <c r="Q115" i="19"/>
  <c r="P7" i="2" s="1"/>
  <c r="P115" i="19"/>
  <c r="O115" i="19"/>
  <c r="N7" i="2" s="1"/>
  <c r="N115" i="19"/>
  <c r="M115" i="19"/>
  <c r="L115" i="19"/>
  <c r="K115" i="19"/>
  <c r="J115" i="19"/>
  <c r="I115" i="19"/>
  <c r="H115" i="19"/>
  <c r="G115" i="19"/>
  <c r="F115" i="19"/>
  <c r="E7" i="2" s="1"/>
  <c r="E115" i="19"/>
  <c r="D7" i="2" s="1"/>
  <c r="D115" i="19"/>
  <c r="C7" i="2" s="1"/>
  <c r="C115" i="19"/>
  <c r="B7" i="2" s="1"/>
  <c r="AR114" i="19"/>
  <c r="AQ6" i="2" s="1"/>
  <c r="AQ114" i="19"/>
  <c r="AP6" i="2" s="1"/>
  <c r="AP114" i="19"/>
  <c r="AO6" i="2" s="1"/>
  <c r="AO114" i="19"/>
  <c r="AN6" i="2" s="1"/>
  <c r="AN114" i="19"/>
  <c r="AM6" i="2" s="1"/>
  <c r="AM114" i="19"/>
  <c r="AL6" i="2" s="1"/>
  <c r="AL114" i="19"/>
  <c r="AK6" i="2" s="1"/>
  <c r="AK114" i="19"/>
  <c r="AJ6" i="2" s="1"/>
  <c r="AJ114" i="19"/>
  <c r="AI6" i="2" s="1"/>
  <c r="AI114" i="19"/>
  <c r="AH6" i="2" s="1"/>
  <c r="AH114" i="19"/>
  <c r="AG114" i="19"/>
  <c r="AF114" i="19"/>
  <c r="AE114" i="19"/>
  <c r="AD114" i="19"/>
  <c r="AC6" i="2" s="1"/>
  <c r="AC114" i="19"/>
  <c r="AB6" i="2" s="1"/>
  <c r="AB114" i="19"/>
  <c r="AA114" i="19"/>
  <c r="Z6" i="2" s="1"/>
  <c r="Z114" i="19"/>
  <c r="Y6" i="2" s="1"/>
  <c r="Y114" i="19"/>
  <c r="X6" i="2" s="1"/>
  <c r="X114" i="19"/>
  <c r="W6" i="2" s="1"/>
  <c r="W114" i="19"/>
  <c r="V6" i="2" s="1"/>
  <c r="V114" i="19"/>
  <c r="U6" i="2" s="1"/>
  <c r="U114" i="19"/>
  <c r="T6" i="2" s="1"/>
  <c r="T114" i="19"/>
  <c r="S6" i="2" s="1"/>
  <c r="S114" i="19"/>
  <c r="R6" i="2" s="1"/>
  <c r="R114" i="19"/>
  <c r="Q6" i="2" s="1"/>
  <c r="Q114" i="19"/>
  <c r="P6" i="2" s="1"/>
  <c r="P114" i="19"/>
  <c r="O6" i="2" s="1"/>
  <c r="O114" i="19"/>
  <c r="N6" i="2" s="1"/>
  <c r="N114" i="19"/>
  <c r="M114" i="19"/>
  <c r="L114" i="19"/>
  <c r="K114" i="19"/>
  <c r="J6" i="2" s="1"/>
  <c r="J114" i="19"/>
  <c r="I114" i="19"/>
  <c r="H114" i="19"/>
  <c r="G114" i="19"/>
  <c r="F6" i="2" s="1"/>
  <c r="F114" i="19"/>
  <c r="E6" i="2" s="1"/>
  <c r="E114" i="19"/>
  <c r="D6" i="2" s="1"/>
  <c r="D114" i="19"/>
  <c r="C6" i="2" s="1"/>
  <c r="C114" i="19"/>
  <c r="B6" i="2" s="1"/>
  <c r="AR113" i="19"/>
  <c r="AQ5" i="2" s="1"/>
  <c r="AQ113" i="19"/>
  <c r="AP5" i="2" s="1"/>
  <c r="AP113" i="19"/>
  <c r="AO5" i="2" s="1"/>
  <c r="AO113" i="19"/>
  <c r="AN5" i="2" s="1"/>
  <c r="AN113" i="19"/>
  <c r="AM5" i="2" s="1"/>
  <c r="AM113" i="19"/>
  <c r="AL5" i="2" s="1"/>
  <c r="AL113" i="19"/>
  <c r="AK5" i="2" s="1"/>
  <c r="AK113" i="19"/>
  <c r="AJ5" i="2" s="1"/>
  <c r="AJ113" i="19"/>
  <c r="AI5" i="2" s="1"/>
  <c r="AI113" i="19"/>
  <c r="AH5" i="2" s="1"/>
  <c r="AH113" i="19"/>
  <c r="AG113" i="19"/>
  <c r="AF113" i="19"/>
  <c r="AE113" i="19"/>
  <c r="AD113" i="19"/>
  <c r="AC113" i="19"/>
  <c r="AB113" i="19"/>
  <c r="AA113" i="19"/>
  <c r="Z5" i="2" s="1"/>
  <c r="Z113" i="19"/>
  <c r="Y5" i="2" s="1"/>
  <c r="Y113" i="19"/>
  <c r="X5" i="2" s="1"/>
  <c r="X113" i="19"/>
  <c r="W113" i="19"/>
  <c r="V5" i="2" s="1"/>
  <c r="V113" i="19"/>
  <c r="U5" i="2" s="1"/>
  <c r="U113" i="19"/>
  <c r="T5" i="2" s="1"/>
  <c r="T113" i="19"/>
  <c r="S5" i="2" s="1"/>
  <c r="S113" i="19"/>
  <c r="R5" i="2" s="1"/>
  <c r="R113" i="19"/>
  <c r="Q5" i="2" s="1"/>
  <c r="Q113" i="19"/>
  <c r="P5" i="2" s="1"/>
  <c r="P113" i="19"/>
  <c r="O5" i="2" s="1"/>
  <c r="O113" i="19"/>
  <c r="N5" i="2" s="1"/>
  <c r="N113" i="19"/>
  <c r="M5" i="2" s="1"/>
  <c r="M113" i="19"/>
  <c r="L5" i="2" s="1"/>
  <c r="L113" i="19"/>
  <c r="K113" i="19"/>
  <c r="J113" i="19"/>
  <c r="I113" i="19"/>
  <c r="H5" i="2" s="1"/>
  <c r="H113" i="19"/>
  <c r="G113" i="19"/>
  <c r="F113" i="19"/>
  <c r="E5" i="2" s="1"/>
  <c r="E113" i="19"/>
  <c r="D5" i="2" s="1"/>
  <c r="D113" i="19"/>
  <c r="C5" i="2" s="1"/>
  <c r="C113" i="19"/>
  <c r="B5" i="2" s="1"/>
  <c r="AR112" i="19"/>
  <c r="AQ4" i="2" s="1"/>
  <c r="AQ112" i="19"/>
  <c r="AP4" i="2" s="1"/>
  <c r="AP112" i="19"/>
  <c r="AO4" i="2" s="1"/>
  <c r="AO112" i="19"/>
  <c r="AN112" i="19"/>
  <c r="AM112" i="19"/>
  <c r="AL4" i="2" s="1"/>
  <c r="AL112" i="19"/>
  <c r="AK4" i="2" s="1"/>
  <c r="AK112" i="19"/>
  <c r="AJ4" i="2" s="1"/>
  <c r="AJ112" i="19"/>
  <c r="AI4" i="2" s="1"/>
  <c r="AI112" i="19"/>
  <c r="AH4" i="2" s="1"/>
  <c r="AH112" i="19"/>
  <c r="AG4" i="2" s="1"/>
  <c r="AG112" i="19"/>
  <c r="AF4" i="2" s="1"/>
  <c r="AF112" i="19"/>
  <c r="AE112" i="19"/>
  <c r="AD112" i="19"/>
  <c r="AC4" i="2" s="1"/>
  <c r="AC112" i="19"/>
  <c r="AB4" i="2" s="1"/>
  <c r="AB112" i="19"/>
  <c r="AA112" i="19"/>
  <c r="Z112" i="19"/>
  <c r="Y112" i="19"/>
  <c r="X112" i="19"/>
  <c r="W112" i="19"/>
  <c r="V112" i="19"/>
  <c r="U4" i="2" s="1"/>
  <c r="U112" i="19"/>
  <c r="T4" i="2" s="1"/>
  <c r="T112" i="19"/>
  <c r="S4" i="2" s="1"/>
  <c r="S112" i="19"/>
  <c r="R4" i="2" s="1"/>
  <c r="R112" i="19"/>
  <c r="Q4" i="2" s="1"/>
  <c r="Q112" i="19"/>
  <c r="P4" i="2" s="1"/>
  <c r="P112" i="19"/>
  <c r="O4" i="2" s="1"/>
  <c r="O112" i="19"/>
  <c r="N4" i="2" s="1"/>
  <c r="N112" i="19"/>
  <c r="M4" i="2" s="1"/>
  <c r="M112" i="19"/>
  <c r="L4" i="2" s="1"/>
  <c r="L112" i="19"/>
  <c r="K4" i="2" s="1"/>
  <c r="K112" i="19"/>
  <c r="J4" i="2" s="1"/>
  <c r="J112" i="19"/>
  <c r="I112" i="19"/>
  <c r="H112" i="19"/>
  <c r="G112" i="19"/>
  <c r="F112" i="19"/>
  <c r="E112" i="19"/>
  <c r="D112" i="19"/>
  <c r="C112" i="19"/>
  <c r="AR111" i="19"/>
  <c r="AQ3" i="2" s="1"/>
  <c r="AQ111" i="19"/>
  <c r="AP3" i="2" s="1"/>
  <c r="AP111" i="19"/>
  <c r="AO3" i="2" s="1"/>
  <c r="AO111" i="19"/>
  <c r="AN3" i="2" s="1"/>
  <c r="AN111" i="19"/>
  <c r="AM3" i="2" s="1"/>
  <c r="AM111" i="19"/>
  <c r="AL3" i="2" s="1"/>
  <c r="AL111" i="19"/>
  <c r="AK3" i="2" s="1"/>
  <c r="AK111" i="19"/>
  <c r="AJ3" i="2" s="1"/>
  <c r="AJ111" i="19"/>
  <c r="AI3" i="2" s="1"/>
  <c r="AI111" i="19"/>
  <c r="AH3" i="2" s="1"/>
  <c r="AH111" i="19"/>
  <c r="AG3" i="2" s="1"/>
  <c r="AG111" i="19"/>
  <c r="AF3" i="2" s="1"/>
  <c r="AF111" i="19"/>
  <c r="AE3" i="2" s="1"/>
  <c r="AE111" i="19"/>
  <c r="AD3" i="2" s="1"/>
  <c r="AD111" i="19"/>
  <c r="AC111" i="19"/>
  <c r="AB3" i="2" s="1"/>
  <c r="AB111" i="19"/>
  <c r="AA111" i="19"/>
  <c r="Z111" i="19"/>
  <c r="Y111" i="19"/>
  <c r="X111" i="19"/>
  <c r="W3" i="2" s="1"/>
  <c r="W111" i="19"/>
  <c r="V3" i="2" s="1"/>
  <c r="V111" i="19"/>
  <c r="U3" i="2" s="1"/>
  <c r="U111" i="19"/>
  <c r="T111" i="19"/>
  <c r="S111" i="19"/>
  <c r="R111" i="19"/>
  <c r="Q111" i="19"/>
  <c r="P111" i="19"/>
  <c r="O111" i="19"/>
  <c r="N3" i="2" s="1"/>
  <c r="N111" i="19"/>
  <c r="M3" i="2" s="1"/>
  <c r="M111" i="19"/>
  <c r="L3" i="2" s="1"/>
  <c r="L111" i="19"/>
  <c r="K3" i="2" s="1"/>
  <c r="K111" i="19"/>
  <c r="J3" i="2" s="1"/>
  <c r="J111" i="19"/>
  <c r="I3" i="2" s="1"/>
  <c r="I111" i="19"/>
  <c r="H3" i="2" s="1"/>
  <c r="H111" i="19"/>
  <c r="G111" i="19"/>
  <c r="F111" i="19"/>
  <c r="E111" i="19"/>
  <c r="D111" i="19"/>
  <c r="C111" i="19"/>
  <c r="AR110" i="19"/>
  <c r="AQ110" i="19"/>
  <c r="AP110" i="19"/>
  <c r="AO2" i="2" s="1"/>
  <c r="AO110" i="19"/>
  <c r="AN2" i="2" s="1"/>
  <c r="AN110" i="19"/>
  <c r="AM2" i="2" s="1"/>
  <c r="AM110" i="19"/>
  <c r="AL2" i="2" s="1"/>
  <c r="AL110" i="19"/>
  <c r="AK2" i="2" s="1"/>
  <c r="AK110" i="19"/>
  <c r="AJ2" i="2" s="1"/>
  <c r="AJ110" i="19"/>
  <c r="AI2" i="2" s="1"/>
  <c r="AI110" i="19"/>
  <c r="AH2" i="2" s="1"/>
  <c r="AH110" i="19"/>
  <c r="AG2" i="2" s="1"/>
  <c r="AG110" i="19"/>
  <c r="AF2" i="2" s="1"/>
  <c r="AF110" i="19"/>
  <c r="AE2" i="2" s="1"/>
  <c r="AE110" i="19"/>
  <c r="AD2" i="2" s="1"/>
  <c r="AD110" i="19"/>
  <c r="AC2" i="2" s="1"/>
  <c r="AC110" i="19"/>
  <c r="AB2" i="2" s="1"/>
  <c r="AB110" i="19"/>
  <c r="AA110" i="19"/>
  <c r="Z110" i="19"/>
  <c r="Y110" i="19"/>
  <c r="X110" i="19"/>
  <c r="W110" i="19"/>
  <c r="V110" i="19"/>
  <c r="U2" i="2" s="1"/>
  <c r="U110" i="19"/>
  <c r="T110" i="19"/>
  <c r="S110" i="19"/>
  <c r="R110" i="19"/>
  <c r="Q110" i="19"/>
  <c r="P110" i="19"/>
  <c r="O110" i="19"/>
  <c r="N2" i="2" s="1"/>
  <c r="N110" i="19"/>
  <c r="M2" i="2" s="1"/>
  <c r="M110" i="19"/>
  <c r="L2" i="2" s="1"/>
  <c r="L110" i="19"/>
  <c r="K2" i="2" s="1"/>
  <c r="K110" i="19"/>
  <c r="J2" i="2" s="1"/>
  <c r="J110" i="19"/>
  <c r="I2" i="2" s="1"/>
  <c r="I110" i="19"/>
  <c r="H2" i="2" s="1"/>
  <c r="H110" i="19"/>
  <c r="G2" i="2" s="1"/>
  <c r="G110" i="19"/>
  <c r="F2" i="2" s="1"/>
  <c r="F110" i="19"/>
  <c r="E110" i="19"/>
  <c r="D110" i="19"/>
  <c r="C110" i="19"/>
  <c r="V2" i="2"/>
  <c r="W2" i="2"/>
  <c r="AQ2" i="2"/>
  <c r="B3" i="2"/>
  <c r="C3" i="2"/>
  <c r="F3" i="2"/>
  <c r="G3" i="2"/>
  <c r="O3" i="2"/>
  <c r="P3" i="2"/>
  <c r="Q3" i="2"/>
  <c r="R3" i="2"/>
  <c r="S3" i="2"/>
  <c r="T3" i="2"/>
  <c r="X3" i="2"/>
  <c r="Y3" i="2"/>
  <c r="AC3" i="2"/>
  <c r="B4" i="2"/>
  <c r="C4" i="2"/>
  <c r="D4" i="2"/>
  <c r="E4" i="2"/>
  <c r="I4" i="2"/>
  <c r="V4" i="2"/>
  <c r="W4" i="2"/>
  <c r="X4" i="2"/>
  <c r="Y4" i="2"/>
  <c r="Z4" i="2"/>
  <c r="AA4" i="2"/>
  <c r="AE4" i="2"/>
  <c r="AM4" i="2"/>
  <c r="AN4" i="2"/>
  <c r="F5" i="2"/>
  <c r="G5" i="2"/>
  <c r="W5" i="2"/>
  <c r="AA5" i="2"/>
  <c r="AB5" i="2"/>
  <c r="AC5" i="2"/>
  <c r="G6" i="2"/>
  <c r="H6" i="2"/>
  <c r="I6" i="2"/>
  <c r="L6" i="2"/>
  <c r="M6" i="2"/>
  <c r="AA6" i="2"/>
  <c r="AD6" i="2"/>
  <c r="AE6" i="2"/>
  <c r="F7" i="2"/>
  <c r="G7" i="2"/>
  <c r="H7" i="2"/>
  <c r="I7" i="2"/>
  <c r="J7" i="2"/>
  <c r="K7" i="2"/>
  <c r="O7" i="2"/>
  <c r="AA7" i="2"/>
  <c r="AE7" i="2"/>
  <c r="AF7" i="2"/>
  <c r="AG7" i="2"/>
  <c r="AJ7" i="2"/>
  <c r="AK7" i="2"/>
  <c r="K8" i="2"/>
  <c r="L8" i="2"/>
  <c r="M8" i="2"/>
  <c r="AB8" i="2"/>
  <c r="AC8" i="2"/>
  <c r="AD8" i="2"/>
  <c r="AE8" i="2"/>
  <c r="AF8" i="2"/>
  <c r="AG8" i="2"/>
  <c r="AH8" i="2"/>
  <c r="AI8" i="2"/>
  <c r="AM8" i="2"/>
  <c r="M9" i="2"/>
  <c r="N9" i="2"/>
  <c r="O9" i="2"/>
  <c r="AF9" i="2"/>
  <c r="AG9" i="2"/>
  <c r="AH9" i="2"/>
  <c r="AJ9" i="2"/>
  <c r="AK9" i="2"/>
  <c r="AO9" i="2"/>
  <c r="I10" i="2"/>
  <c r="J10" i="2"/>
  <c r="M10" i="2"/>
  <c r="N10" i="2"/>
  <c r="O10" i="2"/>
  <c r="P10" i="2"/>
  <c r="Q10" i="2"/>
  <c r="AJ10" i="2"/>
  <c r="AK10" i="2"/>
  <c r="AL10" i="2"/>
  <c r="AM10" i="2"/>
  <c r="K11" i="2"/>
  <c r="L11" i="2"/>
  <c r="M11" i="2"/>
  <c r="N11" i="2"/>
  <c r="R11" i="2"/>
  <c r="S11" i="2"/>
  <c r="AB11" i="2"/>
  <c r="AD11" i="2"/>
  <c r="AE11" i="2"/>
  <c r="AM11" i="2"/>
  <c r="AN11" i="2"/>
  <c r="AO11" i="2"/>
  <c r="C12" i="2"/>
  <c r="P12" i="2"/>
  <c r="S12" i="2"/>
  <c r="T12" i="2"/>
  <c r="U12" i="2"/>
  <c r="AG12" i="2"/>
  <c r="AH12" i="2"/>
  <c r="AI12" i="2"/>
  <c r="AO12" i="2"/>
  <c r="AP12" i="2"/>
  <c r="AQ12" i="2"/>
  <c r="T13" i="2"/>
  <c r="U13" i="2"/>
  <c r="V13" i="2"/>
  <c r="W13" i="2"/>
  <c r="AL13" i="2"/>
  <c r="AM13" i="2"/>
  <c r="AN13" i="2"/>
  <c r="AO13" i="2"/>
  <c r="AQ13" i="2"/>
  <c r="B14" i="2"/>
  <c r="C14" i="2"/>
  <c r="T14" i="2"/>
  <c r="U14" i="2"/>
  <c r="V14" i="2"/>
  <c r="W14" i="2"/>
  <c r="X14" i="2"/>
  <c r="Y14" i="2"/>
  <c r="AC14" i="2"/>
  <c r="B15" i="2"/>
  <c r="C15" i="2"/>
  <c r="D15" i="2"/>
  <c r="E15" i="2"/>
  <c r="U15" i="2"/>
  <c r="V15" i="2"/>
  <c r="W15" i="2"/>
  <c r="X15" i="2"/>
  <c r="Z15" i="2"/>
  <c r="AA15" i="2"/>
  <c r="AL15" i="2"/>
  <c r="AM15" i="2"/>
  <c r="AN15" i="2"/>
  <c r="AO15" i="2"/>
  <c r="AP15" i="2"/>
  <c r="AQ15" i="2"/>
  <c r="E16" i="2"/>
  <c r="F16" i="2"/>
  <c r="G16" i="2"/>
  <c r="AB16" i="2"/>
  <c r="AC16" i="2"/>
  <c r="AQ16" i="2"/>
  <c r="B17" i="2"/>
  <c r="C17" i="2"/>
  <c r="D17" i="2"/>
  <c r="E17" i="2"/>
  <c r="F17" i="2"/>
  <c r="G17" i="2"/>
  <c r="H17" i="2"/>
  <c r="I17" i="2"/>
  <c r="M17" i="2"/>
  <c r="AC17" i="2"/>
  <c r="AD17" i="2"/>
  <c r="AE17" i="2"/>
  <c r="AI17" i="2"/>
  <c r="E18" i="2"/>
  <c r="H18" i="2"/>
  <c r="I18" i="2"/>
  <c r="J18" i="2"/>
  <c r="K18" i="2"/>
  <c r="Z18" i="2"/>
  <c r="AE18" i="2"/>
  <c r="AF18" i="2"/>
  <c r="AG18" i="2"/>
  <c r="K19" i="2"/>
  <c r="L19" i="2"/>
  <c r="M19" i="2"/>
  <c r="AG19" i="2"/>
  <c r="AH19" i="2"/>
  <c r="AI19" i="2"/>
  <c r="E20" i="2"/>
  <c r="F20" i="2"/>
  <c r="G20" i="2"/>
  <c r="H20" i="2"/>
  <c r="N20" i="2"/>
  <c r="O20" i="2"/>
  <c r="AI20" i="2"/>
  <c r="AJ20" i="2"/>
  <c r="AK20" i="2"/>
  <c r="L21" i="2"/>
  <c r="M21" i="2"/>
  <c r="N21" i="2"/>
  <c r="O21" i="2"/>
  <c r="P21" i="2"/>
  <c r="Q21" i="2"/>
  <c r="AC21" i="2"/>
  <c r="AD21" i="2"/>
  <c r="AE21" i="2"/>
  <c r="AL21" i="2"/>
  <c r="AM21" i="2"/>
  <c r="P22" i="2"/>
  <c r="Q22" i="2"/>
  <c r="R22" i="2"/>
  <c r="S22" i="2"/>
  <c r="AF22" i="2"/>
  <c r="AM22" i="2"/>
  <c r="AN22" i="2"/>
  <c r="AO22" i="2"/>
  <c r="P23" i="2"/>
  <c r="Q23" i="2"/>
  <c r="R23" i="2"/>
  <c r="S23" i="2"/>
  <c r="T23" i="2"/>
  <c r="U23" i="2"/>
  <c r="AO23" i="2"/>
  <c r="AP23" i="2"/>
  <c r="AQ23" i="2"/>
  <c r="E24" i="2"/>
  <c r="U24" i="2"/>
  <c r="V24" i="2"/>
  <c r="W24" i="2"/>
  <c r="AO24" i="2"/>
  <c r="AP24" i="2"/>
  <c r="AQ24" i="2"/>
  <c r="B25" i="2"/>
  <c r="C25" i="2"/>
  <c r="F25" i="2"/>
  <c r="X25" i="2"/>
  <c r="Y25" i="2"/>
  <c r="AO25" i="2"/>
  <c r="AP25" i="2"/>
  <c r="AQ25" i="2"/>
  <c r="B26" i="2"/>
  <c r="C26" i="2"/>
  <c r="D26" i="2"/>
  <c r="E26" i="2"/>
  <c r="I26" i="2"/>
  <c r="X26" i="2"/>
  <c r="Y26" i="2"/>
  <c r="Z26" i="2"/>
  <c r="AA26" i="2"/>
  <c r="AE26" i="2"/>
  <c r="X27" i="2"/>
  <c r="Y27" i="2"/>
  <c r="Z27" i="2"/>
  <c r="AA27" i="2"/>
  <c r="AB27" i="2"/>
  <c r="AC27" i="2"/>
  <c r="G28" i="2"/>
  <c r="I28" i="2"/>
  <c r="V28" i="2"/>
  <c r="W28" i="2"/>
  <c r="X28" i="2"/>
  <c r="Y28" i="2"/>
  <c r="AB28" i="2"/>
  <c r="AC28" i="2"/>
  <c r="AD28" i="2"/>
  <c r="AE28" i="2"/>
  <c r="AH28" i="2"/>
  <c r="I29" i="2"/>
  <c r="J29" i="2"/>
  <c r="K29" i="2"/>
  <c r="N29" i="2"/>
  <c r="O29" i="2"/>
  <c r="Y29" i="2"/>
  <c r="Z29" i="2"/>
  <c r="AE29" i="2"/>
  <c r="AF29" i="2"/>
  <c r="AG29" i="2"/>
  <c r="AJ29" i="2"/>
  <c r="AK29" i="2"/>
  <c r="K30" i="2"/>
  <c r="L30" i="2"/>
  <c r="M30" i="2"/>
  <c r="Q30" i="2"/>
  <c r="AE30" i="2"/>
  <c r="AF30" i="2"/>
  <c r="AG30" i="2"/>
  <c r="AH30" i="2"/>
  <c r="AI30" i="2"/>
  <c r="AM30" i="2"/>
  <c r="E31" i="2"/>
  <c r="F31" i="2"/>
  <c r="N31" i="2"/>
  <c r="O31" i="2"/>
  <c r="AH31" i="2"/>
  <c r="AI31" i="2"/>
  <c r="AJ31" i="2"/>
  <c r="AK31" i="2"/>
  <c r="G32" i="2"/>
  <c r="H32" i="2"/>
  <c r="I32" i="2"/>
  <c r="O32" i="2"/>
  <c r="P32" i="2"/>
  <c r="Q32" i="2"/>
  <c r="U32" i="2"/>
  <c r="AJ32" i="2"/>
  <c r="AK32" i="2"/>
  <c r="AL32" i="2"/>
  <c r="AM32" i="2"/>
  <c r="R33" i="2"/>
  <c r="S33" i="2"/>
  <c r="AH33" i="2"/>
  <c r="AI33" i="2"/>
  <c r="AJ33" i="2"/>
  <c r="AK33" i="2"/>
  <c r="AL33" i="2"/>
  <c r="AM33" i="2"/>
  <c r="AN33" i="2"/>
  <c r="AO33" i="2"/>
  <c r="C34" i="2"/>
  <c r="S34" i="2"/>
  <c r="T34" i="2"/>
  <c r="U34" i="2"/>
  <c r="AH34" i="2"/>
  <c r="AI34" i="2"/>
  <c r="AJ34" i="2"/>
  <c r="AK34" i="2"/>
  <c r="AL34" i="2"/>
  <c r="AM34" i="2"/>
  <c r="AN34" i="2"/>
  <c r="AP34" i="2"/>
  <c r="AQ34" i="2"/>
  <c r="U35" i="2"/>
  <c r="V35" i="2"/>
  <c r="W35" i="2"/>
  <c r="AN35" i="2"/>
  <c r="AP35" i="2"/>
  <c r="B36" i="2"/>
  <c r="C36" i="2"/>
  <c r="W36" i="2"/>
  <c r="X36" i="2"/>
  <c r="Y36" i="2"/>
  <c r="AM36" i="2"/>
  <c r="AN36" i="2"/>
  <c r="AO36" i="2"/>
  <c r="C37" i="2"/>
  <c r="D37" i="2"/>
  <c r="E37" i="2"/>
  <c r="U37" i="2"/>
  <c r="Y37" i="2"/>
  <c r="Z37" i="2"/>
  <c r="AA37" i="2"/>
  <c r="AN37" i="2"/>
  <c r="AO37" i="2"/>
  <c r="AQ37" i="2"/>
  <c r="C38" i="2"/>
  <c r="F38" i="2"/>
  <c r="G38" i="2"/>
  <c r="S38" i="2"/>
  <c r="AB38" i="2"/>
  <c r="AC38" i="2"/>
  <c r="E39" i="2"/>
  <c r="F39" i="2"/>
  <c r="G39" i="2"/>
  <c r="H39" i="2"/>
  <c r="I39" i="2"/>
  <c r="S39" i="2"/>
  <c r="T39" i="2"/>
  <c r="X39" i="2"/>
  <c r="Y39" i="2"/>
  <c r="Z39" i="2"/>
  <c r="AA39" i="2"/>
  <c r="AC39" i="2"/>
  <c r="AD39" i="2"/>
  <c r="AE39" i="2"/>
  <c r="J40" i="2"/>
  <c r="K40" i="2"/>
  <c r="O40" i="2"/>
  <c r="Y40" i="2"/>
  <c r="Z40" i="2"/>
  <c r="AA40" i="2"/>
  <c r="AC40" i="2"/>
  <c r="AE40" i="2"/>
  <c r="AF40" i="2"/>
  <c r="AG40" i="2"/>
  <c r="E41" i="2"/>
  <c r="H41" i="2"/>
  <c r="J41" i="2"/>
  <c r="K41" i="2"/>
  <c r="L41" i="2"/>
  <c r="M41" i="2"/>
  <c r="Q41" i="2"/>
  <c r="AC41" i="2"/>
  <c r="AH41" i="2"/>
  <c r="AI41" i="2"/>
  <c r="E42" i="2"/>
  <c r="F42" i="2"/>
  <c r="G42" i="2"/>
  <c r="H42" i="2"/>
  <c r="I42" i="2"/>
  <c r="J42" i="2"/>
  <c r="K42" i="2"/>
  <c r="M42" i="2"/>
  <c r="N42" i="2"/>
  <c r="O42" i="2"/>
  <c r="AH42" i="2"/>
  <c r="AI42" i="2"/>
  <c r="AJ42" i="2"/>
  <c r="AK42" i="2"/>
  <c r="J43" i="2"/>
  <c r="K43" i="2"/>
  <c r="M43" i="2"/>
  <c r="O43" i="2"/>
  <c r="P43" i="2"/>
  <c r="Q43" i="2"/>
  <c r="U43" i="2"/>
  <c r="AD43" i="2"/>
  <c r="AE43" i="2"/>
  <c r="AF43" i="2"/>
  <c r="AK43" i="2"/>
  <c r="AL43" i="2"/>
  <c r="AM43" i="2"/>
  <c r="AQ43" i="2"/>
  <c r="C2" i="2"/>
  <c r="D2" i="2"/>
  <c r="E2" i="2"/>
  <c r="O2" i="2"/>
  <c r="P2" i="2"/>
  <c r="Q2" i="2"/>
  <c r="R2" i="2"/>
  <c r="S2" i="2"/>
  <c r="T2" i="2"/>
  <c r="X2" i="2"/>
  <c r="Y2" i="2"/>
  <c r="Z2" i="2"/>
  <c r="AA2" i="2"/>
  <c r="AP2" i="2"/>
  <c r="D3" i="2"/>
  <c r="E3" i="2"/>
  <c r="Z3" i="2"/>
  <c r="AA3" i="2"/>
  <c r="F4" i="2"/>
  <c r="G4" i="2"/>
  <c r="H4" i="2"/>
  <c r="AD4" i="2"/>
  <c r="I5" i="2"/>
  <c r="J5" i="2"/>
  <c r="K5" i="2"/>
  <c r="AD5" i="2"/>
  <c r="AE5" i="2"/>
  <c r="AF5" i="2"/>
  <c r="AG5" i="2"/>
  <c r="K6" i="2"/>
  <c r="AF6" i="2"/>
  <c r="AG6" i="2"/>
  <c r="L7" i="2"/>
  <c r="M7" i="2"/>
  <c r="AB7" i="2"/>
  <c r="AC7" i="2"/>
  <c r="AD7" i="2"/>
  <c r="AH7" i="2"/>
  <c r="AI7" i="2"/>
  <c r="O8" i="2"/>
  <c r="P8" i="2"/>
  <c r="AK8" i="2"/>
  <c r="AL8" i="2"/>
  <c r="P9" i="2"/>
  <c r="Q9" i="2"/>
  <c r="R9" i="2"/>
  <c r="S9" i="2"/>
  <c r="AN9" i="2"/>
  <c r="R10" i="2"/>
  <c r="S10" i="2"/>
  <c r="T10" i="2"/>
  <c r="U10" i="2"/>
  <c r="AN10" i="2"/>
  <c r="AO10" i="2"/>
  <c r="AQ10" i="2"/>
  <c r="T11" i="2"/>
  <c r="U11" i="2"/>
  <c r="V11" i="2"/>
  <c r="W11" i="2"/>
  <c r="V12" i="2"/>
  <c r="W12" i="2"/>
  <c r="X12" i="2"/>
  <c r="Y12" i="2"/>
  <c r="AL12" i="2"/>
  <c r="AN12" i="2"/>
  <c r="C13" i="2"/>
  <c r="E13" i="2"/>
  <c r="X13" i="2"/>
  <c r="Y13" i="2"/>
  <c r="D14" i="2"/>
  <c r="E14" i="2"/>
  <c r="F14" i="2"/>
  <c r="G14" i="2"/>
  <c r="Z14" i="2"/>
  <c r="AA14" i="2"/>
  <c r="F15" i="2"/>
  <c r="G15" i="2"/>
  <c r="AB15" i="2"/>
  <c r="AC15" i="2"/>
  <c r="AD15" i="2"/>
  <c r="AE15" i="2"/>
  <c r="H16" i="2"/>
  <c r="I16" i="2"/>
  <c r="K16" i="2"/>
  <c r="AF16" i="2"/>
  <c r="AG16" i="2"/>
  <c r="J17" i="2"/>
  <c r="K17" i="2"/>
  <c r="L17" i="2"/>
  <c r="AF17" i="2"/>
  <c r="AG17" i="2"/>
  <c r="AH17" i="2"/>
  <c r="L18" i="2"/>
  <c r="M18" i="2"/>
  <c r="N18" i="2"/>
  <c r="O18" i="2"/>
  <c r="W18" i="2"/>
  <c r="AH18" i="2"/>
  <c r="AI18" i="2"/>
  <c r="AJ18" i="2"/>
  <c r="AK18" i="2"/>
  <c r="N19" i="2"/>
  <c r="O19" i="2"/>
  <c r="AJ19" i="2"/>
  <c r="AK19" i="2"/>
  <c r="AL19" i="2"/>
  <c r="AM19" i="2"/>
  <c r="AQ19" i="2"/>
  <c r="C20" i="2"/>
  <c r="D20" i="2"/>
  <c r="P20" i="2"/>
  <c r="Q20" i="2"/>
  <c r="R20" i="2"/>
  <c r="S20" i="2"/>
  <c r="AL20" i="2"/>
  <c r="AM20" i="2"/>
  <c r="AO20" i="2"/>
  <c r="R21" i="2"/>
  <c r="S21" i="2"/>
  <c r="T21" i="2"/>
  <c r="U21" i="2"/>
  <c r="AN21" i="2"/>
  <c r="AO21" i="2"/>
  <c r="AP21" i="2"/>
  <c r="AQ21" i="2"/>
  <c r="T22" i="2"/>
  <c r="U22" i="2"/>
  <c r="V22" i="2"/>
  <c r="W22" i="2"/>
  <c r="AC22" i="2"/>
  <c r="AP22" i="2"/>
  <c r="AQ22" i="2"/>
  <c r="C23" i="2"/>
  <c r="V23" i="2"/>
  <c r="W23" i="2"/>
  <c r="X23" i="2"/>
  <c r="Y23" i="2"/>
  <c r="C24" i="2"/>
  <c r="N24" i="2"/>
  <c r="O24" i="2"/>
  <c r="P24" i="2"/>
  <c r="Q24" i="2"/>
  <c r="X24" i="2"/>
  <c r="Y24" i="2"/>
  <c r="Z24" i="2"/>
  <c r="AA24" i="2"/>
  <c r="D25" i="2"/>
  <c r="E25" i="2"/>
  <c r="G25" i="2"/>
  <c r="AA25" i="2"/>
  <c r="AC25" i="2"/>
  <c r="F26" i="2"/>
  <c r="G26" i="2"/>
  <c r="H26" i="2"/>
  <c r="AB26" i="2"/>
  <c r="AC26" i="2"/>
  <c r="AD26" i="2"/>
  <c r="F27" i="2"/>
  <c r="G27" i="2"/>
  <c r="H27" i="2"/>
  <c r="I27" i="2"/>
  <c r="K27" i="2"/>
  <c r="AD27" i="2"/>
  <c r="AE27" i="2"/>
  <c r="AF27" i="2"/>
  <c r="AG27" i="2"/>
  <c r="H28" i="2"/>
  <c r="K28" i="2"/>
  <c r="AG28" i="2"/>
  <c r="AI28" i="2"/>
  <c r="C29" i="2"/>
  <c r="L29" i="2"/>
  <c r="M29" i="2"/>
  <c r="AH29" i="2"/>
  <c r="AI29" i="2"/>
  <c r="O30" i="2"/>
  <c r="AB30" i="2"/>
  <c r="AC30" i="2"/>
  <c r="AD30" i="2"/>
  <c r="AJ30" i="2"/>
  <c r="AK30" i="2"/>
  <c r="AL30" i="2"/>
  <c r="P31" i="2"/>
  <c r="R31" i="2"/>
  <c r="S31" i="2"/>
  <c r="AL31" i="2"/>
  <c r="AM31" i="2"/>
  <c r="AN31" i="2"/>
  <c r="AO31" i="2"/>
  <c r="R32" i="2"/>
  <c r="S32" i="2"/>
  <c r="T32" i="2"/>
  <c r="AH32" i="2"/>
  <c r="AN32" i="2"/>
  <c r="AO32" i="2"/>
  <c r="AP32" i="2"/>
  <c r="T33" i="2"/>
  <c r="U33" i="2"/>
  <c r="AF33" i="2"/>
  <c r="AP33" i="2"/>
  <c r="AQ33" i="2"/>
  <c r="V34" i="2"/>
  <c r="W34" i="2"/>
  <c r="X34" i="2"/>
  <c r="Y34" i="2"/>
  <c r="C35" i="2"/>
  <c r="D35" i="2"/>
  <c r="E35" i="2"/>
  <c r="R35" i="2"/>
  <c r="Y35" i="2"/>
  <c r="AA35" i="2"/>
  <c r="D36" i="2"/>
  <c r="E36" i="2"/>
  <c r="F36" i="2"/>
  <c r="G36" i="2"/>
  <c r="O36" i="2"/>
  <c r="P36" i="2"/>
  <c r="V36" i="2"/>
  <c r="AA36" i="2"/>
  <c r="AC36" i="2"/>
  <c r="F37" i="2"/>
  <c r="G37" i="2"/>
  <c r="H37" i="2"/>
  <c r="I37" i="2"/>
  <c r="AB37" i="2"/>
  <c r="AC37" i="2"/>
  <c r="AD37" i="2"/>
  <c r="AE37" i="2"/>
  <c r="I38" i="2"/>
  <c r="K38" i="2"/>
  <c r="AD38" i="2"/>
  <c r="AE38" i="2"/>
  <c r="AF38" i="2"/>
  <c r="J39" i="2"/>
  <c r="K39" i="2"/>
  <c r="L39" i="2"/>
  <c r="M39" i="2"/>
  <c r="U39" i="2"/>
  <c r="AG39" i="2"/>
  <c r="AH39" i="2"/>
  <c r="AI39" i="2"/>
  <c r="AK39" i="2"/>
  <c r="L40" i="2"/>
  <c r="M40" i="2"/>
  <c r="N40" i="2"/>
  <c r="AH40" i="2"/>
  <c r="AI40" i="2"/>
  <c r="AJ40" i="2"/>
  <c r="AK40" i="2"/>
  <c r="O41" i="2"/>
  <c r="P41" i="2"/>
  <c r="AJ41" i="2"/>
  <c r="AK41" i="2"/>
  <c r="AL41" i="2"/>
  <c r="P42" i="2"/>
  <c r="Q42" i="2"/>
  <c r="R42" i="2"/>
  <c r="S42" i="2"/>
  <c r="AL42" i="2"/>
  <c r="AM42" i="2"/>
  <c r="AN42" i="2"/>
  <c r="AO42" i="2"/>
  <c r="R43" i="2"/>
  <c r="S43" i="2"/>
  <c r="T43" i="2"/>
  <c r="AC43" i="2"/>
  <c r="AN43" i="2"/>
  <c r="AO43" i="2"/>
  <c r="AP43" i="2"/>
  <c r="B23" i="2"/>
  <c r="B24" i="2"/>
  <c r="B34" i="2"/>
  <c r="B35" i="2"/>
  <c r="B2" i="2"/>
  <c r="D107" i="19" a="1"/>
  <c r="D107" i="19" s="1"/>
  <c r="E107" i="19" a="1"/>
  <c r="E107" i="19"/>
  <c r="F107" i="19" a="1"/>
  <c r="F107" i="19" s="1"/>
  <c r="G107" i="19" a="1"/>
  <c r="G107" i="19" s="1"/>
  <c r="H107" i="19" a="1"/>
  <c r="H107" i="19"/>
  <c r="I107" i="19" a="1"/>
  <c r="I107" i="19"/>
  <c r="J107" i="19" a="1"/>
  <c r="J107" i="19" s="1"/>
  <c r="K107" i="19" a="1"/>
  <c r="K107" i="19"/>
  <c r="L107" i="19" a="1"/>
  <c r="L107" i="19"/>
  <c r="M107" i="19" a="1"/>
  <c r="M107" i="19" s="1"/>
  <c r="N107" i="19" a="1"/>
  <c r="N107" i="19" s="1"/>
  <c r="O107" i="19" a="1"/>
  <c r="O107" i="19" s="1"/>
  <c r="P107" i="19" a="1"/>
  <c r="P107" i="19"/>
  <c r="Q107" i="19" a="1"/>
  <c r="Q107" i="19" s="1"/>
  <c r="R107" i="19" a="1"/>
  <c r="R107" i="19" s="1"/>
  <c r="S107" i="19" a="1"/>
  <c r="S107" i="19"/>
  <c r="T107" i="19" a="1"/>
  <c r="T107" i="19" s="1"/>
  <c r="U107" i="19" a="1"/>
  <c r="U107" i="19" s="1"/>
  <c r="V107" i="19" a="1"/>
  <c r="V107" i="19"/>
  <c r="W107" i="19" a="1"/>
  <c r="W107" i="19" s="1"/>
  <c r="X107" i="19" a="1"/>
  <c r="X107" i="19" s="1"/>
  <c r="Y107" i="19" a="1"/>
  <c r="Y107" i="19" s="1"/>
  <c r="Z107" i="19" a="1"/>
  <c r="Z107" i="19" s="1"/>
  <c r="AA107" i="19" a="1"/>
  <c r="AA107" i="19"/>
  <c r="AB107" i="19" a="1"/>
  <c r="AB107" i="19" s="1"/>
  <c r="AC107" i="19" a="1"/>
  <c r="AC107" i="19" s="1"/>
  <c r="AD107" i="19" a="1"/>
  <c r="AD107" i="19"/>
  <c r="AE107" i="19" a="1"/>
  <c r="AE107" i="19"/>
  <c r="AF107" i="19" a="1"/>
  <c r="AF107" i="19" s="1"/>
  <c r="AG107" i="19" a="1"/>
  <c r="AG107" i="19"/>
  <c r="AH107" i="19" a="1"/>
  <c r="AH107" i="19" s="1"/>
  <c r="AI107" i="19" a="1"/>
  <c r="AI107" i="19" s="1"/>
  <c r="AJ107" i="19" a="1"/>
  <c r="AJ107" i="19" s="1"/>
  <c r="AK107" i="19" a="1"/>
  <c r="AK107" i="19" s="1"/>
  <c r="AL107" i="19" a="1"/>
  <c r="AL107" i="19" s="1"/>
  <c r="AM107" i="19" a="1"/>
  <c r="AM107" i="19" s="1"/>
  <c r="AN107" i="19" a="1"/>
  <c r="AN107" i="19" s="1"/>
  <c r="AO107" i="19" a="1"/>
  <c r="AO107" i="19" s="1"/>
  <c r="AP107" i="19" a="1"/>
  <c r="AP107" i="19"/>
  <c r="AQ107" i="19" a="1"/>
  <c r="AQ107" i="19" s="1"/>
  <c r="AR107" i="19" a="1"/>
  <c r="AR107" i="19"/>
  <c r="C107" i="19" a="1"/>
  <c r="C107" i="19" s="1"/>
  <c r="D1" i="19" l="1"/>
  <c r="E1" i="19"/>
  <c r="AA96" i="19" s="1" a="1"/>
  <c r="AA96" i="19" s="1"/>
  <c r="F1" i="19"/>
  <c r="L101" i="19" s="1" a="1"/>
  <c r="L101" i="19" s="1"/>
  <c r="G1" i="19"/>
  <c r="H1" i="19"/>
  <c r="I1" i="19"/>
  <c r="J1" i="19"/>
  <c r="K1" i="19"/>
  <c r="L1" i="19"/>
  <c r="M1" i="19"/>
  <c r="N1" i="19"/>
  <c r="O1" i="19"/>
  <c r="P1" i="19"/>
  <c r="Q1" i="19"/>
  <c r="R1" i="19"/>
  <c r="S1" i="19"/>
  <c r="T1" i="19"/>
  <c r="U1" i="19"/>
  <c r="V1" i="19"/>
  <c r="W1" i="19"/>
  <c r="X1" i="19"/>
  <c r="Y1" i="19"/>
  <c r="Z1" i="19"/>
  <c r="AA1" i="19"/>
  <c r="AB1" i="19"/>
  <c r="AC1" i="19"/>
  <c r="V75" i="19" s="1" a="1"/>
  <c r="V75" i="19" s="1"/>
  <c r="AD1" i="19"/>
  <c r="AE1" i="19"/>
  <c r="AF1" i="19"/>
  <c r="AG1" i="19"/>
  <c r="AH1" i="19"/>
  <c r="AI1" i="19"/>
  <c r="AJ1" i="19"/>
  <c r="AK1" i="19"/>
  <c r="AL1" i="19"/>
  <c r="AM1" i="19"/>
  <c r="AN1" i="19"/>
  <c r="AO1" i="19"/>
  <c r="AP1" i="19"/>
  <c r="AQ1" i="19"/>
  <c r="AR1" i="19"/>
  <c r="AS1" i="19"/>
  <c r="AT1" i="19"/>
  <c r="AU1" i="19"/>
  <c r="AV1" i="19"/>
  <c r="AW1" i="19"/>
  <c r="AX1" i="19"/>
  <c r="AY1" i="19"/>
  <c r="AZ1" i="19"/>
  <c r="C1" i="19"/>
  <c r="S106" i="19" s="1" a="1"/>
  <c r="S106" i="19" s="1"/>
  <c r="A4" i="19"/>
  <c r="A5" i="19"/>
  <c r="A6" i="19"/>
  <c r="A7" i="19"/>
  <c r="A8" i="19"/>
  <c r="A9" i="19"/>
  <c r="A10" i="19"/>
  <c r="A11" i="19"/>
  <c r="A12" i="19"/>
  <c r="A13" i="19"/>
  <c r="A14" i="19"/>
  <c r="A15" i="19"/>
  <c r="A16" i="19"/>
  <c r="A17" i="19"/>
  <c r="A18" i="19"/>
  <c r="A19" i="19"/>
  <c r="A20" i="19"/>
  <c r="A21" i="19"/>
  <c r="A22" i="19"/>
  <c r="A23" i="19"/>
  <c r="A24" i="19"/>
  <c r="A25" i="19"/>
  <c r="A26" i="19"/>
  <c r="A27" i="19"/>
  <c r="A28" i="19"/>
  <c r="A29" i="19"/>
  <c r="A30" i="19"/>
  <c r="A31" i="19"/>
  <c r="A32" i="19"/>
  <c r="A33" i="19"/>
  <c r="A34" i="19"/>
  <c r="A35" i="19"/>
  <c r="A36" i="19"/>
  <c r="A37" i="19"/>
  <c r="A38" i="19"/>
  <c r="A39" i="19"/>
  <c r="A40" i="19"/>
  <c r="A41" i="19"/>
  <c r="A42" i="19"/>
  <c r="A43" i="19"/>
  <c r="A44" i="19"/>
  <c r="A45" i="19"/>
  <c r="A46" i="19"/>
  <c r="A47" i="19"/>
  <c r="A48" i="19"/>
  <c r="A49" i="19"/>
  <c r="A50" i="19"/>
  <c r="A51" i="19"/>
  <c r="A52" i="19"/>
  <c r="A53" i="19"/>
  <c r="A54" i="19"/>
  <c r="A55" i="19"/>
  <c r="A56" i="19"/>
  <c r="A57" i="19"/>
  <c r="A58" i="19"/>
  <c r="A59" i="19"/>
  <c r="A60" i="19"/>
  <c r="A61" i="19"/>
  <c r="A3" i="19"/>
  <c r="AB87" i="19" l="1" a="1"/>
  <c r="AB87" i="19" s="1"/>
  <c r="AC87" i="19" a="1"/>
  <c r="AC87" i="19" s="1"/>
  <c r="AN95" i="19" a="1"/>
  <c r="AN95" i="19" s="1"/>
  <c r="S104" i="19" a="1"/>
  <c r="S104" i="19" s="1"/>
  <c r="Y98" i="19" a="1"/>
  <c r="Y98" i="19" s="1"/>
  <c r="AJ101" i="19" a="1"/>
  <c r="AJ101" i="19" s="1"/>
  <c r="T104" i="19" a="1"/>
  <c r="T104" i="19" s="1"/>
  <c r="AH106" i="19" a="1"/>
  <c r="AH106" i="19" s="1"/>
  <c r="Q65" i="19" a="1"/>
  <c r="Q65" i="19" s="1"/>
  <c r="AM66" i="19" a="1"/>
  <c r="AM66" i="19" s="1"/>
  <c r="K70" i="19" a="1"/>
  <c r="K70" i="19" s="1"/>
  <c r="F72" i="19" a="1"/>
  <c r="F72" i="19" s="1"/>
  <c r="AE73" i="19" a="1"/>
  <c r="AE73" i="19" s="1"/>
  <c r="E76" i="19" a="1"/>
  <c r="E76" i="19" s="1"/>
  <c r="Z78" i="19" a="1"/>
  <c r="Z78" i="19" s="1"/>
  <c r="AP80" i="19" a="1"/>
  <c r="AP80" i="19" s="1"/>
  <c r="H83" i="19" a="1"/>
  <c r="H83" i="19" s="1"/>
  <c r="AJ85" i="19" a="1"/>
  <c r="AJ85" i="19" s="1"/>
  <c r="J88" i="19" a="1"/>
  <c r="J88" i="19" s="1"/>
  <c r="AC90" i="19" a="1"/>
  <c r="AC90" i="19" s="1"/>
  <c r="AA93" i="19" a="1"/>
  <c r="AA93" i="19" s="1"/>
  <c r="AP95" i="19" a="1"/>
  <c r="AP95" i="19" s="1"/>
  <c r="U104" i="19" a="1"/>
  <c r="U104" i="19" s="1"/>
  <c r="K85" i="19" a="1"/>
  <c r="K85" i="19" s="1"/>
  <c r="L85" i="19" a="1"/>
  <c r="L85" i="19" s="1"/>
  <c r="Z90" i="19" a="1"/>
  <c r="Z90" i="19" s="1"/>
  <c r="X98" i="19" a="1"/>
  <c r="X98" i="19" s="1"/>
  <c r="G72" i="19" a="1"/>
  <c r="G72" i="19" s="1"/>
  <c r="K88" i="19" a="1"/>
  <c r="K88" i="19" s="1"/>
  <c r="F91" i="19" a="1"/>
  <c r="F91" i="19" s="1"/>
  <c r="E99" i="19" a="1"/>
  <c r="E99" i="19" s="1"/>
  <c r="AK101" i="19" a="1"/>
  <c r="AK101" i="19" s="1"/>
  <c r="E105" i="19" a="1"/>
  <c r="E105" i="19" s="1"/>
  <c r="V65" i="19" a="1"/>
  <c r="V65" i="19" s="1"/>
  <c r="AO66" i="19" a="1"/>
  <c r="AO66" i="19" s="1"/>
  <c r="AG68" i="19" a="1"/>
  <c r="AG68" i="19" s="1"/>
  <c r="L70" i="19" a="1"/>
  <c r="L70" i="19" s="1"/>
  <c r="H72" i="19" a="1"/>
  <c r="H72" i="19" s="1"/>
  <c r="G76" i="19" a="1"/>
  <c r="G76" i="19" s="1"/>
  <c r="Z83" i="19" a="1"/>
  <c r="Z83" i="19" s="1"/>
  <c r="L88" i="19" a="1"/>
  <c r="L88" i="19" s="1"/>
  <c r="G91" i="19" a="1"/>
  <c r="G91" i="19" s="1"/>
  <c r="AB93" i="19" a="1"/>
  <c r="AB93" i="19" s="1"/>
  <c r="Y96" i="19" a="1"/>
  <c r="Y96" i="19" s="1"/>
  <c r="F99" i="19" a="1"/>
  <c r="F99" i="19" s="1"/>
  <c r="F105" i="19" a="1"/>
  <c r="F105" i="19" s="1"/>
  <c r="AR77" i="19" a="1"/>
  <c r="AR77" i="19" s="1"/>
  <c r="K68" i="19" a="1"/>
  <c r="K68" i="19" s="1"/>
  <c r="S80" i="19" a="1"/>
  <c r="S80" i="19" s="1"/>
  <c r="AG69" i="19" a="1"/>
  <c r="AG69" i="19" s="1"/>
  <c r="T80" i="19" a="1"/>
  <c r="T80" i="19" s="1"/>
  <c r="M68" i="19" a="1"/>
  <c r="M68" i="19" s="1"/>
  <c r="C83" i="19" a="1"/>
  <c r="C83" i="19" s="1"/>
  <c r="I70" i="19" a="1"/>
  <c r="I70" i="19" s="1"/>
  <c r="M85" i="19" a="1"/>
  <c r="M85" i="19" s="1"/>
  <c r="R68" i="19" a="1"/>
  <c r="R68" i="19" s="1"/>
  <c r="F83" i="19" a="1"/>
  <c r="F83" i="19" s="1"/>
  <c r="F76" i="19" a="1"/>
  <c r="F76" i="19" s="1"/>
  <c r="AD70" i="19" a="1"/>
  <c r="AD70" i="19" s="1"/>
  <c r="AG88" i="19" a="1"/>
  <c r="AG88" i="19" s="1"/>
  <c r="AQ66" i="19" a="1"/>
  <c r="AQ66" i="19" s="1"/>
  <c r="AC76" i="19" a="1"/>
  <c r="AC76" i="19" s="1"/>
  <c r="N99" i="19" a="1"/>
  <c r="N99" i="19" s="1"/>
  <c r="AF70" i="19" a="1"/>
  <c r="AF70" i="19" s="1"/>
  <c r="H94" i="19" a="1"/>
  <c r="H94" i="19" s="1"/>
  <c r="Q67" i="19" a="1"/>
  <c r="Q67" i="19" s="1"/>
  <c r="AE76" i="19" a="1"/>
  <c r="AE76" i="19" s="1"/>
  <c r="AE83" i="19" a="1"/>
  <c r="AE83" i="19" s="1"/>
  <c r="AI88" i="19" a="1"/>
  <c r="AI88" i="19" s="1"/>
  <c r="AG91" i="19" a="1"/>
  <c r="AG91" i="19" s="1"/>
  <c r="I94" i="19" a="1"/>
  <c r="I94" i="19" s="1"/>
  <c r="AI99" i="19" a="1"/>
  <c r="AI99" i="19" s="1"/>
  <c r="X102" i="19" a="1"/>
  <c r="X102" i="19" s="1"/>
  <c r="Z105" i="19" a="1"/>
  <c r="Z105" i="19" s="1"/>
  <c r="AN65" i="19" a="1"/>
  <c r="AN65" i="19" s="1"/>
  <c r="AH70" i="19" a="1"/>
  <c r="AH70" i="19" s="1"/>
  <c r="AA72" i="19" a="1"/>
  <c r="AA72" i="19" s="1"/>
  <c r="AG74" i="19" a="1"/>
  <c r="AG74" i="19" s="1"/>
  <c r="AG76" i="19" a="1"/>
  <c r="AG76" i="19" s="1"/>
  <c r="H79" i="19" a="1"/>
  <c r="H79" i="19" s="1"/>
  <c r="H84" i="19" a="1"/>
  <c r="H84" i="19" s="1"/>
  <c r="AJ88" i="19" a="1"/>
  <c r="AJ88" i="19" s="1"/>
  <c r="AI91" i="19" a="1"/>
  <c r="AI91" i="19" s="1"/>
  <c r="K94" i="19" a="1"/>
  <c r="K94" i="19" s="1"/>
  <c r="E97" i="19" a="1"/>
  <c r="E97" i="19" s="1"/>
  <c r="AJ99" i="19" a="1"/>
  <c r="AJ99" i="19" s="1"/>
  <c r="Y102" i="19" a="1"/>
  <c r="Y102" i="19" s="1"/>
  <c r="AA105" i="19" a="1"/>
  <c r="AA105" i="19" s="1"/>
  <c r="AD71" i="19" a="1"/>
  <c r="AD71" i="19" s="1"/>
  <c r="AB73" i="19" a="1"/>
  <c r="AB73" i="19" s="1"/>
  <c r="AC73" i="19" a="1"/>
  <c r="AC73" i="19" s="1"/>
  <c r="E78" i="19" a="1"/>
  <c r="E78" i="19" s="1"/>
  <c r="Y78" i="19" a="1"/>
  <c r="Y78" i="19" s="1"/>
  <c r="I72" i="19" a="1"/>
  <c r="I72" i="19" s="1"/>
  <c r="AI68" i="19" a="1"/>
  <c r="AI68" i="19" s="1"/>
  <c r="G105" i="19" a="1"/>
  <c r="G105" i="19" s="1"/>
  <c r="W102" i="19" a="1"/>
  <c r="W102" i="19" s="1"/>
  <c r="W81" i="19" a="1"/>
  <c r="W81" i="19" s="1"/>
  <c r="AI76" i="19" a="1"/>
  <c r="AI76" i="19" s="1"/>
  <c r="N94" i="19" a="1"/>
  <c r="N94" i="19" s="1"/>
  <c r="AP65" i="19" a="1"/>
  <c r="AP65" i="19" s="1"/>
  <c r="AC72" i="19" a="1"/>
  <c r="AC72" i="19" s="1"/>
  <c r="AI74" i="19" a="1"/>
  <c r="AI74" i="19" s="1"/>
  <c r="N77" i="19" a="1"/>
  <c r="N77" i="19" s="1"/>
  <c r="N79" i="19" a="1"/>
  <c r="N79" i="19" s="1"/>
  <c r="I84" i="19" a="1"/>
  <c r="I84" i="19" s="1"/>
  <c r="X86" i="19" a="1"/>
  <c r="X86" i="19" s="1"/>
  <c r="S89" i="19" a="1"/>
  <c r="S89" i="19" s="1"/>
  <c r="AK91" i="19" a="1"/>
  <c r="AK91" i="19" s="1"/>
  <c r="AH94" i="19" a="1"/>
  <c r="AH94" i="19" s="1"/>
  <c r="AL99" i="19" a="1"/>
  <c r="AL99" i="19" s="1"/>
  <c r="Z82" i="19" a="1"/>
  <c r="Z82" i="19" s="1"/>
  <c r="AA82" i="19" a="1"/>
  <c r="AA82" i="19" s="1"/>
  <c r="AD87" i="19" a="1"/>
  <c r="AD87" i="19" s="1"/>
  <c r="AO95" i="19" a="1"/>
  <c r="AO95" i="19" s="1"/>
  <c r="AF68" i="19" a="1"/>
  <c r="AF68" i="19" s="1"/>
  <c r="AA83" i="19" a="1"/>
  <c r="AA83" i="19" s="1"/>
  <c r="AD78" i="19" a="1"/>
  <c r="AD78" i="19" s="1"/>
  <c r="AD76" i="19" a="1"/>
  <c r="AD76" i="19" s="1"/>
  <c r="AK68" i="19" a="1"/>
  <c r="AK68" i="19" s="1"/>
  <c r="R67" i="19" a="1"/>
  <c r="R67" i="19" s="1"/>
  <c r="J79" i="19" a="1"/>
  <c r="J79" i="19" s="1"/>
  <c r="F97" i="19" a="1"/>
  <c r="F97" i="19" s="1"/>
  <c r="G71" i="19" a="1"/>
  <c r="G71" i="19" s="1"/>
  <c r="AD72" i="19" a="1"/>
  <c r="AD72" i="19" s="1"/>
  <c r="O79" i="19" a="1"/>
  <c r="O79" i="19" s="1"/>
  <c r="T89" i="19" a="1"/>
  <c r="T89" i="19" s="1"/>
  <c r="AL91" i="19" a="1"/>
  <c r="AL91" i="19" s="1"/>
  <c r="AI94" i="19" a="1"/>
  <c r="AI94" i="19" s="1"/>
  <c r="H97" i="19" a="1"/>
  <c r="H97" i="19" s="1"/>
  <c r="W100" i="19" a="1"/>
  <c r="W100" i="19" s="1"/>
  <c r="H103" i="19" a="1"/>
  <c r="H103" i="19" s="1"/>
  <c r="AI105" i="19" a="1"/>
  <c r="AI105" i="19" s="1"/>
  <c r="AF69" i="19" a="1"/>
  <c r="AF69" i="19" s="1"/>
  <c r="K101" i="19" a="1"/>
  <c r="K101" i="19" s="1"/>
  <c r="AE71" i="19" a="1"/>
  <c r="AE71" i="19" s="1"/>
  <c r="AP92" i="19" a="1"/>
  <c r="AP92" i="19" s="1"/>
  <c r="AF71" i="19" a="1"/>
  <c r="AF71" i="19" s="1"/>
  <c r="AQ92" i="19" a="1"/>
  <c r="AQ92" i="19" s="1"/>
  <c r="AG71" i="19" a="1"/>
  <c r="AG71" i="19" s="1"/>
  <c r="AR92" i="19" a="1"/>
  <c r="AR92" i="19" s="1"/>
  <c r="E72" i="19" a="1"/>
  <c r="E72" i="19" s="1"/>
  <c r="AN66" i="19" a="1"/>
  <c r="AN66" i="19" s="1"/>
  <c r="AP66" i="19" a="1"/>
  <c r="AP66" i="19" s="1"/>
  <c r="AC78" i="19" a="1"/>
  <c r="AC78" i="19" s="1"/>
  <c r="M99" i="19" a="1"/>
  <c r="M99" i="19" s="1"/>
  <c r="J72" i="19" a="1"/>
  <c r="J72" i="19" s="1"/>
  <c r="AH88" i="19" a="1"/>
  <c r="AH88" i="19" s="1"/>
  <c r="P67" i="19" a="1"/>
  <c r="P67" i="19" s="1"/>
  <c r="T86" i="19" a="1"/>
  <c r="T86" i="19" s="1"/>
  <c r="H105" i="19" a="1"/>
  <c r="H105" i="19" s="1"/>
  <c r="AG70" i="19" a="1"/>
  <c r="AG70" i="19" s="1"/>
  <c r="AO65" i="19" a="1"/>
  <c r="AO65" i="19" s="1"/>
  <c r="K69" i="19" a="1"/>
  <c r="K69" i="19" s="1"/>
  <c r="AH74" i="19" a="1"/>
  <c r="AH74" i="19" s="1"/>
  <c r="W86" i="19" a="1"/>
  <c r="W86" i="19" s="1"/>
  <c r="AJ91" i="19" a="1"/>
  <c r="AJ91" i="19" s="1"/>
  <c r="AK99" i="19" a="1"/>
  <c r="AK99" i="19" s="1"/>
  <c r="AB105" i="19" a="1"/>
  <c r="AB105" i="19" s="1"/>
  <c r="L69" i="19" a="1"/>
  <c r="L69" i="19" s="1"/>
  <c r="S67" i="19" a="1"/>
  <c r="S67" i="19" s="1"/>
  <c r="H71" i="19" a="1"/>
  <c r="H71" i="19" s="1"/>
  <c r="AJ74" i="19" a="1"/>
  <c r="AJ74" i="19" s="1"/>
  <c r="O77" i="19" a="1"/>
  <c r="O77" i="19" s="1"/>
  <c r="AP81" i="19" a="1"/>
  <c r="AP81" i="19" s="1"/>
  <c r="J84" i="19" a="1"/>
  <c r="J84" i="19" s="1"/>
  <c r="AQ65" i="19" a="1"/>
  <c r="AQ65" i="19" s="1"/>
  <c r="AG67" i="19" a="1"/>
  <c r="AG67" i="19" s="1"/>
  <c r="M69" i="19" a="1"/>
  <c r="M69" i="19" s="1"/>
  <c r="I71" i="19" a="1"/>
  <c r="I71" i="19" s="1"/>
  <c r="E73" i="19" a="1"/>
  <c r="E73" i="19" s="1"/>
  <c r="AK74" i="19" a="1"/>
  <c r="AK74" i="19" s="1"/>
  <c r="P77" i="19" a="1"/>
  <c r="P77" i="19" s="1"/>
  <c r="AI79" i="19" a="1"/>
  <c r="AI79" i="19" s="1"/>
  <c r="AQ81" i="19" a="1"/>
  <c r="AQ81" i="19" s="1"/>
  <c r="K84" i="19" a="1"/>
  <c r="K84" i="19" s="1"/>
  <c r="U89" i="19" a="1"/>
  <c r="U89" i="19" s="1"/>
  <c r="Q92" i="19" a="1"/>
  <c r="Q92" i="19" s="1"/>
  <c r="AK94" i="19" a="1"/>
  <c r="AK94" i="19" s="1"/>
  <c r="M97" i="19" a="1"/>
  <c r="M97" i="19" s="1"/>
  <c r="X100" i="19" a="1"/>
  <c r="X100" i="19" s="1"/>
  <c r="O106" i="19" a="1"/>
  <c r="O106" i="19" s="1"/>
  <c r="F90" i="19" a="1"/>
  <c r="F90" i="19" s="1"/>
  <c r="V95" i="19" a="1"/>
  <c r="V95" i="19" s="1"/>
  <c r="Q104" i="19" a="1"/>
  <c r="Q104" i="19" s="1"/>
  <c r="AL66" i="19" a="1"/>
  <c r="AL66" i="19" s="1"/>
  <c r="D81" i="19" a="1"/>
  <c r="D81" i="19" s="1"/>
  <c r="AD93" i="19" a="1"/>
  <c r="AD93" i="19" s="1"/>
  <c r="AO85" i="19" a="1"/>
  <c r="AO85" i="19" s="1"/>
  <c r="G79" i="19" a="1"/>
  <c r="G79" i="19" s="1"/>
  <c r="Z72" i="19" a="1"/>
  <c r="Z72" i="19" s="1"/>
  <c r="AB72" i="19" a="1"/>
  <c r="AB72" i="19" s="1"/>
  <c r="R89" i="19" a="1"/>
  <c r="R89" i="19" s="1"/>
  <c r="AR102" i="19" a="1"/>
  <c r="AR102" i="19" s="1"/>
  <c r="AR65" i="19" a="1"/>
  <c r="AR65" i="19" s="1"/>
  <c r="J71" i="19" a="1"/>
  <c r="J71" i="19" s="1"/>
  <c r="F73" i="19" a="1"/>
  <c r="F73" i="19" s="1"/>
  <c r="AL74" i="19" a="1"/>
  <c r="AL74" i="19" s="1"/>
  <c r="Q77" i="19" a="1"/>
  <c r="Q77" i="19" s="1"/>
  <c r="AJ79" i="19" a="1"/>
  <c r="AJ79" i="19" s="1"/>
  <c r="AR81" i="19" a="1"/>
  <c r="AR81" i="19" s="1"/>
  <c r="D87" i="19" a="1"/>
  <c r="D87" i="19" s="1"/>
  <c r="T92" i="19" a="1"/>
  <c r="T92" i="19" s="1"/>
  <c r="AM94" i="19" a="1"/>
  <c r="AM94" i="19" s="1"/>
  <c r="I103" i="19" a="1"/>
  <c r="I103" i="19" s="1"/>
  <c r="Q106" i="19" a="1"/>
  <c r="Q106" i="19" s="1"/>
  <c r="AA73" i="19" a="1"/>
  <c r="AA73" i="19" s="1"/>
  <c r="V66" i="19" a="1"/>
  <c r="V66" i="19" s="1"/>
  <c r="W75" i="19" a="1"/>
  <c r="W75" i="19" s="1"/>
  <c r="W98" i="19" a="1"/>
  <c r="W98" i="19" s="1"/>
  <c r="D78" i="19" a="1"/>
  <c r="D78" i="19" s="1"/>
  <c r="AK66" i="19" a="1"/>
  <c r="AK66" i="19" s="1"/>
  <c r="D83" i="19" a="1"/>
  <c r="D83" i="19" s="1"/>
  <c r="P65" i="19" a="1"/>
  <c r="P65" i="19" s="1"/>
  <c r="D76" i="19" a="1"/>
  <c r="D76" i="19" s="1"/>
  <c r="E74" i="19" a="1"/>
  <c r="E74" i="19" s="1"/>
  <c r="AH68" i="19" a="1"/>
  <c r="AH68" i="19" s="1"/>
  <c r="E81" i="19" a="1"/>
  <c r="E81" i="19" s="1"/>
  <c r="W65" i="19" a="1"/>
  <c r="W65" i="19" s="1"/>
  <c r="J74" i="19" a="1"/>
  <c r="J74" i="19" s="1"/>
  <c r="Z96" i="19" a="1"/>
  <c r="Z96" i="19" s="1"/>
  <c r="AJ68" i="19" a="1"/>
  <c r="AJ68" i="19" s="1"/>
  <c r="M91" i="19" a="1"/>
  <c r="M91" i="19" s="1"/>
  <c r="AM65" i="19" a="1"/>
  <c r="AM65" i="19" s="1"/>
  <c r="L74" i="19" a="1"/>
  <c r="L74" i="19" s="1"/>
  <c r="Q66" i="19" a="1"/>
  <c r="Q66" i="19" s="1"/>
  <c r="AH67" i="19" a="1"/>
  <c r="AH67" i="19" s="1"/>
  <c r="AD69" i="19" a="1"/>
  <c r="AD69" i="19" s="1"/>
  <c r="L71" i="19" a="1"/>
  <c r="L71" i="19" s="1"/>
  <c r="G73" i="19" a="1"/>
  <c r="G73" i="19" s="1"/>
  <c r="R75" i="19" a="1"/>
  <c r="R75" i="19" s="1"/>
  <c r="R77" i="19" a="1"/>
  <c r="R77" i="19" s="1"/>
  <c r="AK79" i="19" a="1"/>
  <c r="AK79" i="19" s="1"/>
  <c r="C82" i="19" a="1"/>
  <c r="C82" i="19" s="1"/>
  <c r="AC84" i="19" a="1"/>
  <c r="AC84" i="19" s="1"/>
  <c r="F87" i="19" a="1"/>
  <c r="F87" i="19" s="1"/>
  <c r="AQ89" i="19" a="1"/>
  <c r="AQ89" i="19" s="1"/>
  <c r="U92" i="19" a="1"/>
  <c r="U92" i="19" s="1"/>
  <c r="AJ97" i="19" a="1"/>
  <c r="AJ97" i="19" s="1"/>
  <c r="R106" i="19" a="1"/>
  <c r="R106" i="19" s="1"/>
  <c r="R66" i="19" a="1"/>
  <c r="R66" i="19" s="1"/>
  <c r="AI67" i="19" a="1"/>
  <c r="AI67" i="19" s="1"/>
  <c r="H73" i="19" a="1"/>
  <c r="H73" i="19" s="1"/>
  <c r="S75" i="19" a="1"/>
  <c r="S75" i="19" s="1"/>
  <c r="W82" i="19" a="1"/>
  <c r="W82" i="19" s="1"/>
  <c r="AD84" i="19" a="1"/>
  <c r="AD84" i="19" s="1"/>
  <c r="G87" i="19" a="1"/>
  <c r="G87" i="19" s="1"/>
  <c r="AR89" i="19" a="1"/>
  <c r="AR89" i="19" s="1"/>
  <c r="V92" i="19" a="1"/>
  <c r="V92" i="19" s="1"/>
  <c r="P95" i="19" a="1"/>
  <c r="P95" i="19" s="1"/>
  <c r="AE103" i="19" a="1"/>
  <c r="AE103" i="19" s="1"/>
  <c r="U66" i="19" a="1"/>
  <c r="U66" i="19" s="1"/>
  <c r="L68" i="19" a="1"/>
  <c r="L68" i="19" s="1"/>
  <c r="C78" i="19" a="1"/>
  <c r="C78" i="19" s="1"/>
  <c r="AO75" i="19" a="1"/>
  <c r="AO75" i="19" s="1"/>
  <c r="M101" i="19" a="1"/>
  <c r="M101" i="19" s="1"/>
  <c r="AP75" i="19" a="1"/>
  <c r="AP75" i="19" s="1"/>
  <c r="AA90" i="19" a="1"/>
  <c r="AA90" i="19" s="1"/>
  <c r="J70" i="19" a="1"/>
  <c r="J70" i="19" s="1"/>
  <c r="AB90" i="19" a="1"/>
  <c r="AB90" i="19" s="1"/>
  <c r="I83" i="19" a="1"/>
  <c r="I83" i="19" s="1"/>
  <c r="F74" i="19" a="1"/>
  <c r="F74" i="19" s="1"/>
  <c r="U80" i="19" a="1"/>
  <c r="U80" i="19" s="1"/>
  <c r="Q68" i="19" a="1"/>
  <c r="Q68" i="19" s="1"/>
  <c r="V80" i="19" a="1"/>
  <c r="V80" i="19" s="1"/>
  <c r="AI101" i="19" a="1"/>
  <c r="AI101" i="19" s="1"/>
  <c r="AD73" i="19" a="1"/>
  <c r="AD73" i="19" s="1"/>
  <c r="U65" i="19" a="1"/>
  <c r="U65" i="19" s="1"/>
  <c r="AK85" i="19" a="1"/>
  <c r="AK85" i="19" s="1"/>
  <c r="AB76" i="19" a="1"/>
  <c r="AB76" i="19" s="1"/>
  <c r="J91" i="19" a="1"/>
  <c r="J91" i="19" s="1"/>
  <c r="AE70" i="19" a="1"/>
  <c r="AE70" i="19" s="1"/>
  <c r="V81" i="19" a="1"/>
  <c r="V81" i="19" s="1"/>
  <c r="U102" i="19" a="1"/>
  <c r="U102" i="19" s="1"/>
  <c r="K74" i="19" a="1"/>
  <c r="K74" i="19" s="1"/>
  <c r="AO103" i="19" a="1"/>
  <c r="AO103" i="19" s="1"/>
  <c r="AC98" i="19" a="1"/>
  <c r="AC98" i="19" s="1"/>
  <c r="AP94" i="19" a="1"/>
  <c r="AP94" i="19" s="1"/>
  <c r="J90" i="19" a="1"/>
  <c r="J90" i="19" s="1"/>
  <c r="E86" i="19" a="1"/>
  <c r="E86" i="19" s="1"/>
  <c r="Q79" i="19" a="1"/>
  <c r="Q79" i="19" s="1"/>
  <c r="O74" i="19" a="1"/>
  <c r="O74" i="19" s="1"/>
  <c r="AL70" i="19" a="1"/>
  <c r="AL70" i="19" s="1"/>
  <c r="AP67" i="19" a="1"/>
  <c r="AP67" i="19" s="1"/>
  <c r="O91" i="19" a="1"/>
  <c r="O91" i="19" s="1"/>
  <c r="Y86" i="19" a="1"/>
  <c r="Y86" i="19" s="1"/>
  <c r="X80" i="19" a="1"/>
  <c r="X80" i="19" s="1"/>
  <c r="H76" i="19" a="1"/>
  <c r="H76" i="19" s="1"/>
  <c r="M71" i="19" a="1"/>
  <c r="M71" i="19" s="1"/>
  <c r="AB102" i="19" a="1"/>
  <c r="AB102" i="19" s="1"/>
  <c r="J93" i="19" a="1"/>
  <c r="J93" i="19" s="1"/>
  <c r="AK84" i="19" a="1"/>
  <c r="AK84" i="19" s="1"/>
  <c r="AI71" i="19" a="1"/>
  <c r="AI71" i="19" s="1"/>
  <c r="AO88" i="19" a="1"/>
  <c r="AO88" i="19" s="1"/>
  <c r="AE78" i="19" a="1"/>
  <c r="AE78" i="19" s="1"/>
  <c r="Q97" i="19" a="1"/>
  <c r="Q97" i="19" s="1"/>
  <c r="J87" i="19" a="1"/>
  <c r="J87" i="19" s="1"/>
  <c r="M73" i="19" a="1"/>
  <c r="M73" i="19" s="1"/>
  <c r="C65" i="19" a="1"/>
  <c r="C65" i="19" s="1"/>
  <c r="AB82" i="19" a="1"/>
  <c r="AB82" i="19" s="1"/>
  <c r="K72" i="19" a="1"/>
  <c r="K72" i="19" s="1"/>
  <c r="D102" i="19" a="1"/>
  <c r="D102" i="19" s="1"/>
  <c r="AE96" i="19" a="1"/>
  <c r="AE96" i="19" s="1"/>
  <c r="Z92" i="19" a="1"/>
  <c r="Z92" i="19" s="1"/>
  <c r="AI87" i="19" a="1"/>
  <c r="AI87" i="19" s="1"/>
  <c r="AD82" i="19" a="1"/>
  <c r="AD82" i="19" s="1"/>
  <c r="AQ74" i="19" a="1"/>
  <c r="AQ74" i="19" s="1"/>
  <c r="O71" i="19" a="1"/>
  <c r="O71" i="19" s="1"/>
  <c r="T68" i="19" a="1"/>
  <c r="T68" i="19" s="1"/>
  <c r="Y89" i="19" a="1"/>
  <c r="Y89" i="19" s="1"/>
  <c r="C86" i="19" a="1"/>
  <c r="C86" i="19" s="1"/>
  <c r="AO79" i="19" a="1"/>
  <c r="AO79" i="19" s="1"/>
  <c r="M74" i="19" a="1"/>
  <c r="M74" i="19" s="1"/>
  <c r="AL68" i="19" a="1"/>
  <c r="AL68" i="19" s="1"/>
  <c r="M103" i="19" a="1"/>
  <c r="M103" i="19" s="1"/>
  <c r="D98" i="19" a="1"/>
  <c r="D98" i="19" s="1"/>
  <c r="AH93" i="19" a="1"/>
  <c r="AH93" i="19" s="1"/>
  <c r="AA89" i="19" a="1"/>
  <c r="AA89" i="19" s="1"/>
  <c r="R85" i="19" a="1"/>
  <c r="R85" i="19" s="1"/>
  <c r="AG78" i="19" a="1"/>
  <c r="AG78" i="19" s="1"/>
  <c r="AG72" i="19" a="1"/>
  <c r="AG72" i="19" s="1"/>
  <c r="AI69" i="19" a="1"/>
  <c r="AI69" i="19" s="1"/>
  <c r="Y65" i="19" a="1"/>
  <c r="Y65" i="19" s="1"/>
  <c r="O88" i="19" a="1"/>
  <c r="O88" i="19" s="1"/>
  <c r="J83" i="19" a="1"/>
  <c r="J83" i="19" s="1"/>
  <c r="F78" i="19" a="1"/>
  <c r="F78" i="19" s="1"/>
  <c r="K73" i="19" a="1"/>
  <c r="K73" i="19" s="1"/>
  <c r="S68" i="19" a="1"/>
  <c r="S68" i="19" s="1"/>
  <c r="AA106" i="19" a="1"/>
  <c r="AA106" i="19" s="1"/>
  <c r="Q101" i="19" a="1"/>
  <c r="Q101" i="19" s="1"/>
  <c r="Y95" i="19" a="1"/>
  <c r="Y95" i="19" s="1"/>
  <c r="R91" i="19" a="1"/>
  <c r="R91" i="19" s="1"/>
  <c r="AA86" i="19" a="1"/>
  <c r="AA86" i="19" s="1"/>
  <c r="AR79" i="19" a="1"/>
  <c r="AR79" i="19" s="1"/>
  <c r="AH73" i="19" a="1"/>
  <c r="AH73" i="19" s="1"/>
  <c r="N70" i="19" a="1"/>
  <c r="N70" i="19" s="1"/>
  <c r="D66" i="19" a="1"/>
  <c r="D66" i="19" s="1"/>
  <c r="I90" i="19" a="1"/>
  <c r="I90" i="19" s="1"/>
  <c r="AG83" i="19" a="1"/>
  <c r="AG83" i="19" s="1"/>
  <c r="P79" i="19" a="1"/>
  <c r="P79" i="19" s="1"/>
  <c r="AN74" i="19" a="1"/>
  <c r="AN74" i="19" s="1"/>
  <c r="N69" i="19" a="1"/>
  <c r="N69" i="19" s="1"/>
  <c r="Q99" i="19" a="1"/>
  <c r="Q99" i="19" s="1"/>
  <c r="C89" i="19" a="1"/>
  <c r="C89" i="19" s="1"/>
  <c r="H78" i="19" a="1"/>
  <c r="H78" i="19" s="1"/>
  <c r="AN68" i="19" a="1"/>
  <c r="AN68" i="19" s="1"/>
  <c r="H87" i="19" a="1"/>
  <c r="H87" i="19" s="1"/>
  <c r="X75" i="19" a="1"/>
  <c r="X75" i="19" s="1"/>
  <c r="Y104" i="19" a="1"/>
  <c r="Y104" i="19" s="1"/>
  <c r="F100" i="19" a="1"/>
  <c r="F100" i="19" s="1"/>
  <c r="F96" i="19" a="1"/>
  <c r="F96" i="19" s="1"/>
  <c r="AR91" i="19" a="1"/>
  <c r="AR91" i="19" s="1"/>
  <c r="Q88" i="19" a="1"/>
  <c r="Q88" i="19" s="1"/>
  <c r="AH83" i="19" a="1"/>
  <c r="AH83" i="19" s="1"/>
  <c r="AL76" i="19" a="1"/>
  <c r="AL76" i="19" s="1"/>
  <c r="M72" i="19" a="1"/>
  <c r="M72" i="19" s="1"/>
  <c r="O69" i="19" a="1"/>
  <c r="O69" i="19" s="1"/>
  <c r="AO94" i="19" a="1"/>
  <c r="AO94" i="19" s="1"/>
  <c r="AE87" i="19" a="1"/>
  <c r="AE87" i="19" s="1"/>
  <c r="Z81" i="19" a="1"/>
  <c r="Z81" i="19" s="1"/>
  <c r="AJ76" i="19" a="1"/>
  <c r="AJ76" i="19" s="1"/>
  <c r="AE72" i="19" a="1"/>
  <c r="AE72" i="19" s="1"/>
  <c r="AO67" i="19" a="1"/>
  <c r="AO67" i="19" s="1"/>
  <c r="O99" i="19" a="1"/>
  <c r="O99" i="19" s="1"/>
  <c r="AN97" i="19" a="1"/>
  <c r="AN97" i="19" s="1"/>
  <c r="O97" i="19" a="1"/>
  <c r="O97" i="19" s="1"/>
  <c r="AD96" i="19" a="1"/>
  <c r="AD96" i="19" s="1"/>
  <c r="AN91" i="19" a="1"/>
  <c r="AN91" i="19" s="1"/>
  <c r="F81" i="19" a="1"/>
  <c r="F81" i="19" s="1"/>
  <c r="AI70" i="19" a="1"/>
  <c r="AI70" i="19" s="1"/>
  <c r="P85" i="19" a="1"/>
  <c r="P85" i="19" s="1"/>
  <c r="AI84" i="19" a="1"/>
  <c r="AI84" i="19" s="1"/>
  <c r="L84" i="19" a="1"/>
  <c r="L84" i="19" s="1"/>
  <c r="D82" i="19" a="1"/>
  <c r="D82" i="19" s="1"/>
  <c r="W80" i="19" a="1"/>
  <c r="W80" i="19" s="1"/>
  <c r="AM79" i="19" a="1"/>
  <c r="AM79" i="19" s="1"/>
  <c r="S66" i="19" a="1"/>
  <c r="S66" i="19" s="1"/>
  <c r="AJ67" i="19" a="1"/>
  <c r="AJ67" i="19" s="1"/>
  <c r="AE69" i="19" a="1"/>
  <c r="AE69" i="19" s="1"/>
  <c r="Y71" i="19" a="1"/>
  <c r="Y71" i="19" s="1"/>
  <c r="I73" i="19" a="1"/>
  <c r="I73" i="19" s="1"/>
  <c r="T75" i="19" a="1"/>
  <c r="T75" i="19" s="1"/>
  <c r="AP77" i="19" a="1"/>
  <c r="AP77" i="19" s="1"/>
  <c r="AL79" i="19" a="1"/>
  <c r="AL79" i="19" s="1"/>
  <c r="X82" i="19" a="1"/>
  <c r="X82" i="19" s="1"/>
  <c r="AE84" i="19" a="1"/>
  <c r="AE84" i="19" s="1"/>
  <c r="Q95" i="19" a="1"/>
  <c r="Q95" i="19" s="1"/>
  <c r="AK97" i="19" a="1"/>
  <c r="AK97" i="19" s="1"/>
  <c r="D101" i="19" a="1"/>
  <c r="D101" i="19" s="1"/>
  <c r="AF103" i="19" a="1"/>
  <c r="AF103" i="19" s="1"/>
  <c r="T66" i="19" a="1"/>
  <c r="T66" i="19" s="1"/>
  <c r="AK67" i="19" a="1"/>
  <c r="AK67" i="19" s="1"/>
  <c r="AC71" i="19" a="1"/>
  <c r="AC71" i="19" s="1"/>
  <c r="J73" i="19" a="1"/>
  <c r="J73" i="19" s="1"/>
  <c r="U75" i="19" a="1"/>
  <c r="U75" i="19" s="1"/>
  <c r="AQ77" i="19" a="1"/>
  <c r="AQ77" i="19" s="1"/>
  <c r="Q80" i="19" a="1"/>
  <c r="Q80" i="19" s="1"/>
  <c r="Y82" i="19" a="1"/>
  <c r="Y82" i="19" s="1"/>
  <c r="AG84" i="19" a="1"/>
  <c r="AG84" i="19" s="1"/>
  <c r="AA87" i="19" a="1"/>
  <c r="AA87" i="19" s="1"/>
  <c r="AO92" i="19" a="1"/>
  <c r="AO92" i="19" s="1"/>
  <c r="T95" i="19" a="1"/>
  <c r="T95" i="19" s="1"/>
  <c r="AL97" i="19" a="1"/>
  <c r="AL97" i="19" s="1"/>
  <c r="F101" i="19" a="1"/>
  <c r="F101" i="19" s="1"/>
  <c r="AR85" i="19" a="1"/>
  <c r="AR85" i="19" s="1"/>
  <c r="M88" i="19" a="1"/>
  <c r="M88" i="19" s="1"/>
  <c r="AL88" i="19" a="1"/>
  <c r="AL88" i="19" s="1"/>
  <c r="X89" i="19" a="1"/>
  <c r="X89" i="19" s="1"/>
  <c r="H90" i="19" a="1"/>
  <c r="H90" i="19" s="1"/>
  <c r="AD90" i="19" a="1"/>
  <c r="AD90" i="19" s="1"/>
  <c r="N91" i="19" a="1"/>
  <c r="N91" i="19" s="1"/>
  <c r="AM91" i="19" a="1"/>
  <c r="AM91" i="19" s="1"/>
  <c r="W92" i="19" a="1"/>
  <c r="W92" i="19" s="1"/>
  <c r="AF93" i="19" a="1"/>
  <c r="AF93" i="19" s="1"/>
  <c r="P94" i="19" a="1"/>
  <c r="P94" i="19" s="1"/>
  <c r="AN94" i="19" a="1"/>
  <c r="AN94" i="19" s="1"/>
  <c r="W95" i="19" a="1"/>
  <c r="W95" i="19" s="1"/>
  <c r="AQ95" i="19" a="1"/>
  <c r="AQ95" i="19" s="1"/>
  <c r="AC96" i="19" a="1"/>
  <c r="AC96" i="19" s="1"/>
  <c r="N97" i="19" a="1"/>
  <c r="N97" i="19" s="1"/>
  <c r="AM97" i="19" a="1"/>
  <c r="AM97" i="19" s="1"/>
  <c r="AA98" i="19" a="1"/>
  <c r="AA98" i="19" s="1"/>
  <c r="AM99" i="19" a="1"/>
  <c r="AM99" i="19" s="1"/>
  <c r="AA100" i="19" a="1"/>
  <c r="AA100" i="19" s="1"/>
  <c r="AM101" i="19" a="1"/>
  <c r="AM101" i="19" s="1"/>
  <c r="Z102" i="19" a="1"/>
  <c r="Z102" i="19" s="1"/>
  <c r="AM103" i="19" a="1"/>
  <c r="AM103" i="19" s="1"/>
  <c r="J105" i="19" a="1"/>
  <c r="J105" i="19" s="1"/>
  <c r="AJ105" i="19" a="1"/>
  <c r="AJ105" i="19" s="1"/>
  <c r="T106" i="19" a="1"/>
  <c r="T106" i="19" s="1"/>
  <c r="AN99" i="19" a="1"/>
  <c r="AN99" i="19" s="1"/>
  <c r="AB100" i="19" a="1"/>
  <c r="AB100" i="19" s="1"/>
  <c r="N101" i="19" a="1"/>
  <c r="N101" i="19" s="1"/>
  <c r="AR101" i="19" a="1"/>
  <c r="AR101" i="19" s="1"/>
  <c r="V104" i="19" a="1"/>
  <c r="V104" i="19" s="1"/>
  <c r="AK105" i="19" a="1"/>
  <c r="AK105" i="19" s="1"/>
  <c r="U106" i="19" a="1"/>
  <c r="U106" i="19" s="1"/>
  <c r="X65" i="19" a="1"/>
  <c r="X65" i="19" s="1"/>
  <c r="C66" i="19" a="1"/>
  <c r="C66" i="19" s="1"/>
  <c r="W66" i="19" a="1"/>
  <c r="W66" i="19" s="1"/>
  <c r="AR66" i="19" a="1"/>
  <c r="AR66" i="19" s="1"/>
  <c r="T67" i="19" a="1"/>
  <c r="T67" i="19" s="1"/>
  <c r="AM68" i="19" a="1"/>
  <c r="AM68" i="19" s="1"/>
  <c r="AH69" i="19" a="1"/>
  <c r="AH69" i="19" s="1"/>
  <c r="M70" i="19" a="1"/>
  <c r="M70" i="19" s="1"/>
  <c r="N71" i="19" a="1"/>
  <c r="N71" i="19" s="1"/>
  <c r="AH71" i="19" a="1"/>
  <c r="AH71" i="19" s="1"/>
  <c r="L72" i="19" a="1"/>
  <c r="L72" i="19" s="1"/>
  <c r="AF72" i="19" a="1"/>
  <c r="AF72" i="19" s="1"/>
  <c r="L73" i="19" a="1"/>
  <c r="L73" i="19" s="1"/>
  <c r="N74" i="19" a="1"/>
  <c r="N74" i="19" s="1"/>
  <c r="AP74" i="19" a="1"/>
  <c r="AP74" i="19" s="1"/>
  <c r="Z75" i="19" a="1"/>
  <c r="Z75" i="19" s="1"/>
  <c r="I76" i="19" a="1"/>
  <c r="I76" i="19" s="1"/>
  <c r="AK76" i="19" a="1"/>
  <c r="AK76" i="19" s="1"/>
  <c r="W77" i="19" a="1"/>
  <c r="W77" i="19" s="1"/>
  <c r="AF78" i="19" a="1"/>
  <c r="AF78" i="19" s="1"/>
  <c r="AQ79" i="19" a="1"/>
  <c r="AQ79" i="19" s="1"/>
  <c r="G81" i="19" a="1"/>
  <c r="G81" i="19" s="1"/>
  <c r="AA81" i="19" a="1"/>
  <c r="AA81" i="19" s="1"/>
  <c r="H82" i="19" a="1"/>
  <c r="H82" i="19" s="1"/>
  <c r="AC82" i="19" a="1"/>
  <c r="AC82" i="19" s="1"/>
  <c r="K83" i="19" a="1"/>
  <c r="K83" i="19" s="1"/>
  <c r="M84" i="19" a="1"/>
  <c r="M84" i="19" s="1"/>
  <c r="Q85" i="19" a="1"/>
  <c r="Q85" i="19" s="1"/>
  <c r="D86" i="19" a="1"/>
  <c r="D86" i="19" s="1"/>
  <c r="Z86" i="19" a="1"/>
  <c r="Z86" i="19" s="1"/>
  <c r="P88" i="19" a="1"/>
  <c r="P88" i="19" s="1"/>
  <c r="AR88" i="19" a="1"/>
  <c r="AR88" i="19" s="1"/>
  <c r="Z89" i="19" a="1"/>
  <c r="Z89" i="19" s="1"/>
  <c r="AE90" i="19" a="1"/>
  <c r="AE90" i="19" s="1"/>
  <c r="P91" i="19" a="1"/>
  <c r="P91" i="19" s="1"/>
  <c r="I93" i="19" a="1"/>
  <c r="I93" i="19" s="1"/>
  <c r="AG93" i="19" a="1"/>
  <c r="AG93" i="19" s="1"/>
  <c r="Q94" i="19" a="1"/>
  <c r="Q94" i="19" s="1"/>
  <c r="X95" i="19" a="1"/>
  <c r="X95" i="19" s="1"/>
  <c r="C96" i="19" a="1"/>
  <c r="C96" i="19" s="1"/>
  <c r="P97" i="19" a="1"/>
  <c r="P97" i="19" s="1"/>
  <c r="AO97" i="19" a="1"/>
  <c r="AO97" i="19" s="1"/>
  <c r="AB98" i="19" a="1"/>
  <c r="AB98" i="19" s="1"/>
  <c r="P99" i="19" a="1"/>
  <c r="P99" i="19" s="1"/>
  <c r="E100" i="19" a="1"/>
  <c r="E100" i="19" s="1"/>
  <c r="AC100" i="19" a="1"/>
  <c r="AC100" i="19" s="1"/>
  <c r="P101" i="19" a="1"/>
  <c r="P101" i="19" s="1"/>
  <c r="C102" i="19" a="1"/>
  <c r="C102" i="19" s="1"/>
  <c r="AA102" i="19" a="1"/>
  <c r="AA102" i="19" s="1"/>
  <c r="L103" i="19" a="1"/>
  <c r="L103" i="19" s="1"/>
  <c r="AN103" i="19" a="1"/>
  <c r="AN103" i="19" s="1"/>
  <c r="W104" i="19" a="1"/>
  <c r="W104" i="19" s="1"/>
  <c r="L105" i="19" a="1"/>
  <c r="L105" i="19" s="1"/>
  <c r="AL105" i="19" a="1"/>
  <c r="AL105" i="19" s="1"/>
  <c r="V106" i="19" a="1"/>
  <c r="V106" i="19" s="1"/>
  <c r="AQ67" i="19" a="1"/>
  <c r="AQ67" i="19" s="1"/>
  <c r="AH72" i="19" a="1"/>
  <c r="AH72" i="19" s="1"/>
  <c r="X77" i="19" a="1"/>
  <c r="X77" i="19" s="1"/>
  <c r="H81" i="19" a="1"/>
  <c r="H81" i="19" s="1"/>
  <c r="AC86" i="19" a="1"/>
  <c r="AC86" i="19" s="1"/>
  <c r="K93" i="19" a="1"/>
  <c r="K93" i="19" s="1"/>
  <c r="S99" i="19" a="1"/>
  <c r="S99" i="19" s="1"/>
  <c r="AP103" i="19" a="1"/>
  <c r="AP103" i="19" s="1"/>
  <c r="Z65" i="19" a="1"/>
  <c r="Z65" i="19" s="1"/>
  <c r="P69" i="19" a="1"/>
  <c r="P69" i="19" s="1"/>
  <c r="AJ71" i="19" a="1"/>
  <c r="AJ71" i="19" s="1"/>
  <c r="L76" i="19" a="1"/>
  <c r="L76" i="19" s="1"/>
  <c r="AD80" i="19" a="1"/>
  <c r="AD80" i="19" s="1"/>
  <c r="S85" i="19" a="1"/>
  <c r="S85" i="19" s="1"/>
  <c r="AB89" i="19" a="1"/>
  <c r="AB89" i="19" s="1"/>
  <c r="AB92" i="19" a="1"/>
  <c r="AB92" i="19" s="1"/>
  <c r="AF96" i="19" a="1"/>
  <c r="AF96" i="19" s="1"/>
  <c r="N103" i="19" a="1"/>
  <c r="N103" i="19" s="1"/>
  <c r="F66" i="19" a="1"/>
  <c r="F66" i="19" s="1"/>
  <c r="Q69" i="19" a="1"/>
  <c r="Q69" i="19" s="1"/>
  <c r="AJ73" i="19" a="1"/>
  <c r="AJ73" i="19" s="1"/>
  <c r="Z77" i="19" a="1"/>
  <c r="Z77" i="19" s="1"/>
  <c r="AE80" i="19" a="1"/>
  <c r="AE80" i="19" s="1"/>
  <c r="P83" i="19" a="1"/>
  <c r="P83" i="19" s="1"/>
  <c r="AH86" i="19" a="1"/>
  <c r="AH86" i="19" s="1"/>
  <c r="AM90" i="19" a="1"/>
  <c r="AM90" i="19" s="1"/>
  <c r="J96" i="19" a="1"/>
  <c r="J96" i="19" s="1"/>
  <c r="U99" i="19" a="1"/>
  <c r="U99" i="19" s="1"/>
  <c r="N105" i="19" a="1"/>
  <c r="N105" i="19" s="1"/>
  <c r="I67" i="19" a="1"/>
  <c r="I67" i="19" s="1"/>
  <c r="AL69" i="19" a="1"/>
  <c r="AL69" i="19" s="1"/>
  <c r="Q72" i="19" a="1"/>
  <c r="Q72" i="19" s="1"/>
  <c r="E75" i="19" a="1"/>
  <c r="E75" i="19" s="1"/>
  <c r="U79" i="19" a="1"/>
  <c r="U79" i="19" s="1"/>
  <c r="AH82" i="19" a="1"/>
  <c r="AH82" i="19" s="1"/>
  <c r="AM87" i="19" a="1"/>
  <c r="AM87" i="19" s="1"/>
  <c r="AC92" i="19" a="1"/>
  <c r="AC92" i="19" s="1"/>
  <c r="AI96" i="19" a="1"/>
  <c r="AI96" i="19" s="1"/>
  <c r="H98" i="19" a="1"/>
  <c r="H98" i="19" s="1"/>
  <c r="AL98" i="19" a="1"/>
  <c r="AL98" i="19" s="1"/>
  <c r="V99" i="19" a="1"/>
  <c r="V99" i="19" s="1"/>
  <c r="I100" i="19" a="1"/>
  <c r="I100" i="19" s="1"/>
  <c r="T101" i="19" a="1"/>
  <c r="T101" i="19" s="1"/>
  <c r="AJ102" i="19" a="1"/>
  <c r="AJ102" i="19" s="1"/>
  <c r="P103" i="19" a="1"/>
  <c r="P103" i="19" s="1"/>
  <c r="D104" i="19" a="1"/>
  <c r="D104" i="19" s="1"/>
  <c r="AF104" i="19" a="1"/>
  <c r="AF104" i="19" s="1"/>
  <c r="AP105" i="19" a="1"/>
  <c r="AP105" i="19" s="1"/>
  <c r="AE106" i="19" a="1"/>
  <c r="AE106" i="19" s="1"/>
  <c r="G65" i="19" a="1"/>
  <c r="G65" i="19" s="1"/>
  <c r="AB65" i="19" a="1"/>
  <c r="AB65" i="19" s="1"/>
  <c r="G66" i="19" a="1"/>
  <c r="G66" i="19" s="1"/>
  <c r="AA66" i="19" a="1"/>
  <c r="AA66" i="19" s="1"/>
  <c r="J67" i="19" a="1"/>
  <c r="J67" i="19" s="1"/>
  <c r="AA67" i="19" a="1"/>
  <c r="AA67" i="19" s="1"/>
  <c r="D68" i="19" a="1"/>
  <c r="D68" i="19" s="1"/>
  <c r="Y68" i="19" a="1"/>
  <c r="Y68" i="19" s="1"/>
  <c r="C69" i="19" a="1"/>
  <c r="C69" i="19" s="1"/>
  <c r="S69" i="19" a="1"/>
  <c r="S69" i="19" s="1"/>
  <c r="AP69" i="19" a="1"/>
  <c r="AP69" i="19" s="1"/>
  <c r="U70" i="19" a="1"/>
  <c r="U70" i="19" s="1"/>
  <c r="AO70" i="19" a="1"/>
  <c r="AO70" i="19" s="1"/>
  <c r="R71" i="19" a="1"/>
  <c r="R71" i="19" s="1"/>
  <c r="AL71" i="19" a="1"/>
  <c r="AL71" i="19" s="1"/>
  <c r="AK72" i="19" a="1"/>
  <c r="AK72" i="19" s="1"/>
  <c r="T73" i="19" a="1"/>
  <c r="T73" i="19" s="1"/>
  <c r="T74" i="19" a="1"/>
  <c r="T74" i="19" s="1"/>
  <c r="G75" i="19" a="1"/>
  <c r="G75" i="19" s="1"/>
  <c r="AG75" i="19" a="1"/>
  <c r="AG75" i="19" s="1"/>
  <c r="P76" i="19" a="1"/>
  <c r="P76" i="19" s="1"/>
  <c r="E77" i="19" a="1"/>
  <c r="E77" i="19" s="1"/>
  <c r="AB77" i="19" a="1"/>
  <c r="AB77" i="19" s="1"/>
  <c r="AO78" i="19" a="1"/>
  <c r="AO78" i="19" s="1"/>
  <c r="W79" i="19" a="1"/>
  <c r="W79" i="19" s="1"/>
  <c r="AG80" i="19" a="1"/>
  <c r="AG80" i="19" s="1"/>
  <c r="AH81" i="19" a="1"/>
  <c r="AH81" i="19" s="1"/>
  <c r="L82" i="19" a="1"/>
  <c r="L82" i="19" s="1"/>
  <c r="AI82" i="19" a="1"/>
  <c r="AI82" i="19" s="1"/>
  <c r="R83" i="19" a="1"/>
  <c r="R83" i="19" s="1"/>
  <c r="AM83" i="19" a="1"/>
  <c r="AM83" i="19" s="1"/>
  <c r="T84" i="19" a="1"/>
  <c r="T84" i="19" s="1"/>
  <c r="AA85" i="19" a="1"/>
  <c r="AA85" i="19" s="1"/>
  <c r="J86" i="19" a="1"/>
  <c r="J86" i="19" s="1"/>
  <c r="AI86" i="19" a="1"/>
  <c r="AI86" i="19" s="1"/>
  <c r="O87" i="19" a="1"/>
  <c r="O87" i="19" s="1"/>
  <c r="AN87" i="19" a="1"/>
  <c r="AN87" i="19" s="1"/>
  <c r="V88" i="19" a="1"/>
  <c r="V88" i="19" s="1"/>
  <c r="AH89" i="19" a="1"/>
  <c r="AH89" i="19" s="1"/>
  <c r="O90" i="19" a="1"/>
  <c r="O90" i="19" s="1"/>
  <c r="V91" i="19" a="1"/>
  <c r="V91" i="19" s="1"/>
  <c r="G92" i="19" a="1"/>
  <c r="G92" i="19" s="1"/>
  <c r="AD92" i="19" a="1"/>
  <c r="AD92" i="19" s="1"/>
  <c r="AO93" i="19" a="1"/>
  <c r="AO93" i="19" s="1"/>
  <c r="V94" i="19" a="1"/>
  <c r="V94" i="19" s="1"/>
  <c r="H95" i="19" a="1"/>
  <c r="H95" i="19" s="1"/>
  <c r="AM96" i="19" a="1"/>
  <c r="AM96" i="19" s="1"/>
  <c r="U97" i="19" a="1"/>
  <c r="U97" i="19" s="1"/>
  <c r="J98" i="19" a="1"/>
  <c r="J98" i="19" s="1"/>
  <c r="J100" i="19" a="1"/>
  <c r="J100" i="19" s="1"/>
  <c r="AL100" i="19" a="1"/>
  <c r="AL100" i="19" s="1"/>
  <c r="H102" i="19" a="1"/>
  <c r="H102" i="19" s="1"/>
  <c r="AK102" i="19" a="1"/>
  <c r="AK102" i="19" s="1"/>
  <c r="R103" i="19" a="1"/>
  <c r="R103" i="19" s="1"/>
  <c r="E104" i="19" a="1"/>
  <c r="E104" i="19" s="1"/>
  <c r="AG104" i="19" a="1"/>
  <c r="AG104" i="19" s="1"/>
  <c r="AQ105" i="19" a="1"/>
  <c r="AQ105" i="19" s="1"/>
  <c r="AF106" i="19" a="1"/>
  <c r="AF106" i="19" s="1"/>
  <c r="U68" i="19" a="1"/>
  <c r="U68" i="19" s="1"/>
  <c r="R79" i="19" a="1"/>
  <c r="R79" i="19" s="1"/>
  <c r="AG90" i="19" a="1"/>
  <c r="AG90" i="19" s="1"/>
  <c r="AC104" i="19" a="1"/>
  <c r="AC104" i="19" s="1"/>
  <c r="N78" i="19" a="1"/>
  <c r="N78" i="19" s="1"/>
  <c r="X79" i="19" a="1"/>
  <c r="X79" i="19" s="1"/>
  <c r="J80" i="19" a="1"/>
  <c r="J80" i="19" s="1"/>
  <c r="AH80" i="19" a="1"/>
  <c r="AH80" i="19" s="1"/>
  <c r="M81" i="19" a="1"/>
  <c r="M81" i="19" s="1"/>
  <c r="AI81" i="19" a="1"/>
  <c r="AI81" i="19" s="1"/>
  <c r="N82" i="19" a="1"/>
  <c r="N82" i="19" s="1"/>
  <c r="AJ82" i="19" a="1"/>
  <c r="AJ82" i="19" s="1"/>
  <c r="S83" i="19" a="1"/>
  <c r="S83" i="19" s="1"/>
  <c r="AN83" i="19" a="1"/>
  <c r="AN83" i="19" s="1"/>
  <c r="AQ84" i="19" a="1"/>
  <c r="AQ84" i="19" s="1"/>
  <c r="AB85" i="19" a="1"/>
  <c r="AB85" i="19" s="1"/>
  <c r="AO87" i="19" a="1"/>
  <c r="AO87" i="19" s="1"/>
  <c r="Z88" i="19" a="1"/>
  <c r="Z88" i="19" s="1"/>
  <c r="H89" i="19" a="1"/>
  <c r="H89" i="19" s="1"/>
  <c r="AI89" i="19" a="1"/>
  <c r="AI89" i="19" s="1"/>
  <c r="P90" i="19" a="1"/>
  <c r="P90" i="19" s="1"/>
  <c r="AO90" i="19" a="1"/>
  <c r="AO90" i="19" s="1"/>
  <c r="W91" i="19" a="1"/>
  <c r="W91" i="19" s="1"/>
  <c r="AF92" i="19" a="1"/>
  <c r="AF92" i="19" s="1"/>
  <c r="O93" i="19" a="1"/>
  <c r="O93" i="19" s="1"/>
  <c r="I95" i="19" a="1"/>
  <c r="I95" i="19" s="1"/>
  <c r="AC95" i="19" a="1"/>
  <c r="AC95" i="19" s="1"/>
  <c r="M96" i="19" a="1"/>
  <c r="M96" i="19" s="1"/>
  <c r="V97" i="19" a="1"/>
  <c r="V97" i="19" s="1"/>
  <c r="L98" i="19" a="1"/>
  <c r="L98" i="19" s="1"/>
  <c r="AM98" i="19" a="1"/>
  <c r="AM98" i="19" s="1"/>
  <c r="W99" i="19" a="1"/>
  <c r="W99" i="19" s="1"/>
  <c r="K100" i="19" a="1"/>
  <c r="K100" i="19" s="1"/>
  <c r="V101" i="19" a="1"/>
  <c r="V101" i="19" s="1"/>
  <c r="I102" i="19" a="1"/>
  <c r="I102" i="19" s="1"/>
  <c r="AL102" i="19" a="1"/>
  <c r="AL102" i="19" s="1"/>
  <c r="X103" i="19" a="1"/>
  <c r="X103" i="19" s="1"/>
  <c r="T105" i="19" a="1"/>
  <c r="T105" i="19" s="1"/>
  <c r="AR105" i="19" a="1"/>
  <c r="AR105" i="19" s="1"/>
  <c r="J106" i="19" a="1"/>
  <c r="J106" i="19" s="1"/>
  <c r="AH105" i="19" a="1"/>
  <c r="AH105" i="19" s="1"/>
  <c r="S105" i="19" a="1"/>
  <c r="S105" i="19" s="1"/>
  <c r="D105" i="19" a="1"/>
  <c r="D105" i="19" s="1"/>
  <c r="M104" i="19" a="1"/>
  <c r="M104" i="19" s="1"/>
  <c r="AL103" i="19" a="1"/>
  <c r="AL103" i="19" s="1"/>
  <c r="W103" i="19" a="1"/>
  <c r="W103" i="19" s="1"/>
  <c r="G103" i="19" a="1"/>
  <c r="G103" i="19" s="1"/>
  <c r="AH102" i="19" a="1"/>
  <c r="AH102" i="19" s="1"/>
  <c r="AQ101" i="19" a="1"/>
  <c r="AQ101" i="19" s="1"/>
  <c r="Z101" i="19" a="1"/>
  <c r="Z101" i="19" s="1"/>
  <c r="AJ100" i="19" a="1"/>
  <c r="AJ100" i="19" s="1"/>
  <c r="D100" i="19" a="1"/>
  <c r="D100" i="19" s="1"/>
  <c r="AB99" i="19" a="1"/>
  <c r="AB99" i="19" s="1"/>
  <c r="L99" i="19" a="1"/>
  <c r="L99" i="19" s="1"/>
  <c r="AK98" i="19" a="1"/>
  <c r="AK98" i="19" s="1"/>
  <c r="C98" i="19" a="1"/>
  <c r="C98" i="19" s="1"/>
  <c r="AC97" i="19" a="1"/>
  <c r="AC97" i="19" s="1"/>
  <c r="L97" i="19" a="1"/>
  <c r="L97" i="19" s="1"/>
  <c r="X96" i="19" a="1"/>
  <c r="X96" i="19" s="1"/>
  <c r="AI95" i="19" a="1"/>
  <c r="AI95" i="19" s="1"/>
  <c r="U95" i="19" a="1"/>
  <c r="U95" i="19" s="1"/>
  <c r="E95" i="19" a="1"/>
  <c r="E95" i="19" s="1"/>
  <c r="O94" i="19" a="1"/>
  <c r="O94" i="19" s="1"/>
  <c r="AN93" i="19" a="1"/>
  <c r="AN93" i="19" s="1"/>
  <c r="Y93" i="19" a="1"/>
  <c r="Y93" i="19" s="1"/>
  <c r="H93" i="19" a="1"/>
  <c r="H93" i="19" s="1"/>
  <c r="S92" i="19" a="1"/>
  <c r="S92" i="19" s="1"/>
  <c r="C92" i="19" a="1"/>
  <c r="C92" i="19" s="1"/>
  <c r="AC91" i="19" a="1"/>
  <c r="AC91" i="19" s="1"/>
  <c r="L91" i="19" a="1"/>
  <c r="L91" i="19" s="1"/>
  <c r="AL90" i="19" a="1"/>
  <c r="AL90" i="19" s="1"/>
  <c r="V90" i="19" a="1"/>
  <c r="V90" i="19" s="1"/>
  <c r="G90" i="19" a="1"/>
  <c r="G90" i="19" s="1"/>
  <c r="P89" i="19" a="1"/>
  <c r="P89" i="19" s="1"/>
  <c r="AQ88" i="19" a="1"/>
  <c r="AQ88" i="19" s="1"/>
  <c r="AA88" i="19" a="1"/>
  <c r="AA88" i="19" s="1"/>
  <c r="I88" i="19" a="1"/>
  <c r="I88" i="19" s="1"/>
  <c r="U87" i="19" a="1"/>
  <c r="U87" i="19" s="1"/>
  <c r="AG86" i="19" a="1"/>
  <c r="AG86" i="19" s="1"/>
  <c r="AQ85" i="19" a="1"/>
  <c r="AQ85" i="19" s="1"/>
  <c r="Z85" i="19" a="1"/>
  <c r="Z85" i="19" s="1"/>
  <c r="J85" i="19" a="1"/>
  <c r="J85" i="19" s="1"/>
  <c r="AJ84" i="19" a="1"/>
  <c r="AJ84" i="19" s="1"/>
  <c r="U84" i="19" a="1"/>
  <c r="U84" i="19" s="1"/>
  <c r="F84" i="19" a="1"/>
  <c r="F84" i="19" s="1"/>
  <c r="AF83" i="19" a="1"/>
  <c r="AF83" i="19" s="1"/>
  <c r="AR106" i="19" a="1"/>
  <c r="AR106" i="19" s="1"/>
  <c r="Z106" i="19" a="1"/>
  <c r="Z106" i="19" s="1"/>
  <c r="I106" i="19" a="1"/>
  <c r="I106" i="19" s="1"/>
  <c r="AG105" i="19" a="1"/>
  <c r="AG105" i="19" s="1"/>
  <c r="C105" i="19" a="1"/>
  <c r="C105" i="19" s="1"/>
  <c r="AB104" i="19" a="1"/>
  <c r="AB104" i="19" s="1"/>
  <c r="AK103" i="19" a="1"/>
  <c r="AK103" i="19" s="1"/>
  <c r="V103" i="19" a="1"/>
  <c r="V103" i="19" s="1"/>
  <c r="AG102" i="19" a="1"/>
  <c r="AG102" i="19" s="1"/>
  <c r="Q102" i="19" a="1"/>
  <c r="Q102" i="19" s="1"/>
  <c r="AP101" i="19" a="1"/>
  <c r="AP101" i="19" s="1"/>
  <c r="J101" i="19" a="1"/>
  <c r="J101" i="19" s="1"/>
  <c r="T100" i="19" a="1"/>
  <c r="T100" i="19" s="1"/>
  <c r="C100" i="19" a="1"/>
  <c r="C100" i="19" s="1"/>
  <c r="K99" i="19" a="1"/>
  <c r="K99" i="19" s="1"/>
  <c r="AJ98" i="19" a="1"/>
  <c r="AJ98" i="19" s="1"/>
  <c r="U98" i="19" a="1"/>
  <c r="U98" i="19" s="1"/>
  <c r="AR97" i="19" a="1"/>
  <c r="AR97" i="19" s="1"/>
  <c r="AB97" i="19" a="1"/>
  <c r="AB97" i="19" s="1"/>
  <c r="AL96" i="19" a="1"/>
  <c r="AL96" i="19" s="1"/>
  <c r="W96" i="19" a="1"/>
  <c r="W96" i="19" s="1"/>
  <c r="G96" i="19" a="1"/>
  <c r="G96" i="19" s="1"/>
  <c r="D95" i="19" a="1"/>
  <c r="D95" i="19" s="1"/>
  <c r="AD94" i="19" a="1"/>
  <c r="AD94" i="19" s="1"/>
  <c r="AM93" i="19" a="1"/>
  <c r="AM93" i="19" s="1"/>
  <c r="X93" i="19" a="1"/>
  <c r="X93" i="19" s="1"/>
  <c r="G93" i="19" a="1"/>
  <c r="G93" i="19" s="1"/>
  <c r="AG92" i="19" a="1"/>
  <c r="AG92" i="19" s="1"/>
  <c r="R92" i="19" a="1"/>
  <c r="R92" i="19" s="1"/>
  <c r="AB91" i="19" a="1"/>
  <c r="AB91" i="19" s="1"/>
  <c r="K91" i="19" a="1"/>
  <c r="K91" i="19" s="1"/>
  <c r="AG89" i="19" a="1"/>
  <c r="AG89" i="19" s="1"/>
  <c r="O89" i="19" a="1"/>
  <c r="O89" i="19" s="1"/>
  <c r="AP88" i="19" a="1"/>
  <c r="AP88" i="19" s="1"/>
  <c r="H88" i="19" a="1"/>
  <c r="H88" i="19" s="1"/>
  <c r="AJ87" i="19" a="1"/>
  <c r="AJ87" i="19" s="1"/>
  <c r="T87" i="19" a="1"/>
  <c r="T87" i="19" s="1"/>
  <c r="E87" i="19" a="1"/>
  <c r="E87" i="19" s="1"/>
  <c r="Q86" i="19" a="1"/>
  <c r="Q86" i="19" s="1"/>
  <c r="AP85" i="19" a="1"/>
  <c r="AP85" i="19" s="1"/>
  <c r="Y85" i="19" a="1"/>
  <c r="Y85" i="19" s="1"/>
  <c r="I85" i="19" a="1"/>
  <c r="I85" i="19" s="1"/>
  <c r="AQ106" i="19" a="1"/>
  <c r="AQ106" i="19" s="1"/>
  <c r="H106" i="19" a="1"/>
  <c r="H106" i="19" s="1"/>
  <c r="AF105" i="19" a="1"/>
  <c r="AF105" i="19" s="1"/>
  <c r="R105" i="19" a="1"/>
  <c r="R105" i="19" s="1"/>
  <c r="AR104" i="19" a="1"/>
  <c r="AR104" i="19" s="1"/>
  <c r="AA104" i="19" a="1"/>
  <c r="AA104" i="19" s="1"/>
  <c r="L104" i="19" a="1"/>
  <c r="L104" i="19" s="1"/>
  <c r="F103" i="19" a="1"/>
  <c r="F103" i="19" s="1"/>
  <c r="AF102" i="19" a="1"/>
  <c r="AF102" i="19" s="1"/>
  <c r="P102" i="19" a="1"/>
  <c r="P102" i="19" s="1"/>
  <c r="AO101" i="19" a="1"/>
  <c r="AO101" i="19" s="1"/>
  <c r="Y101" i="19" a="1"/>
  <c r="Y101" i="19" s="1"/>
  <c r="I101" i="19" a="1"/>
  <c r="I101" i="19" s="1"/>
  <c r="AI100" i="19" a="1"/>
  <c r="AI100" i="19" s="1"/>
  <c r="S100" i="19" a="1"/>
  <c r="S100" i="19" s="1"/>
  <c r="AR99" i="19" a="1"/>
  <c r="AR99" i="19" s="1"/>
  <c r="AA99" i="19" a="1"/>
  <c r="AA99" i="19" s="1"/>
  <c r="J99" i="19" a="1"/>
  <c r="J99" i="19" s="1"/>
  <c r="T98" i="19" a="1"/>
  <c r="T98" i="19" s="1"/>
  <c r="K97" i="19" a="1"/>
  <c r="K97" i="19" s="1"/>
  <c r="Y106" i="19" a="1"/>
  <c r="Y106" i="19" s="1"/>
  <c r="G106" i="19" a="1"/>
  <c r="G106" i="19" s="1"/>
  <c r="AE105" i="19" a="1"/>
  <c r="AE105" i="19" s="1"/>
  <c r="AQ104" i="19" a="1"/>
  <c r="AQ104" i="19" s="1"/>
  <c r="AJ103" i="19" a="1"/>
  <c r="AJ103" i="19" s="1"/>
  <c r="U103" i="19" a="1"/>
  <c r="U103" i="19" s="1"/>
  <c r="E103" i="19" a="1"/>
  <c r="E103" i="19" s="1"/>
  <c r="AE102" i="19" a="1"/>
  <c r="AE102" i="19" s="1"/>
  <c r="O102" i="19" a="1"/>
  <c r="O102" i="19" s="1"/>
  <c r="H101" i="19" a="1"/>
  <c r="H101" i="19" s="1"/>
  <c r="AH100" i="19" a="1"/>
  <c r="AH100" i="19" s="1"/>
  <c r="R100" i="19" a="1"/>
  <c r="R100" i="19" s="1"/>
  <c r="AQ99" i="19" a="1"/>
  <c r="AQ99" i="19" s="1"/>
  <c r="I99" i="19" a="1"/>
  <c r="I99" i="19" s="1"/>
  <c r="AI98" i="19" a="1"/>
  <c r="AI98" i="19" s="1"/>
  <c r="AQ97" i="19" a="1"/>
  <c r="AQ97" i="19" s="1"/>
  <c r="AA97" i="19" a="1"/>
  <c r="AA97" i="19" s="1"/>
  <c r="J97" i="19" a="1"/>
  <c r="J97" i="19" s="1"/>
  <c r="AK96" i="19" a="1"/>
  <c r="AK96" i="19" s="1"/>
  <c r="V96" i="19" a="1"/>
  <c r="V96" i="19" s="1"/>
  <c r="E96" i="19" a="1"/>
  <c r="E96" i="19" s="1"/>
  <c r="AG95" i="19" a="1"/>
  <c r="AG95" i="19" s="1"/>
  <c r="S95" i="19" a="1"/>
  <c r="S95" i="19" s="1"/>
  <c r="C95" i="19" a="1"/>
  <c r="C95" i="19" s="1"/>
  <c r="AB94" i="19" a="1"/>
  <c r="AB94" i="19" s="1"/>
  <c r="M94" i="19" a="1"/>
  <c r="M94" i="19" s="1"/>
  <c r="AL93" i="19" a="1"/>
  <c r="AL93" i="19" s="1"/>
  <c r="V93" i="19" a="1"/>
  <c r="V93" i="19" s="1"/>
  <c r="F93" i="19" a="1"/>
  <c r="F93" i="19" s="1"/>
  <c r="P92" i="19" a="1"/>
  <c r="P92" i="19" s="1"/>
  <c r="AQ91" i="19" a="1"/>
  <c r="AQ91" i="19" s="1"/>
  <c r="AA91" i="19" a="1"/>
  <c r="AA91" i="19" s="1"/>
  <c r="I91" i="19" a="1"/>
  <c r="I91" i="19" s="1"/>
  <c r="AJ90" i="19" a="1"/>
  <c r="AJ90" i="19" s="1"/>
  <c r="T90" i="19" a="1"/>
  <c r="T90" i="19" s="1"/>
  <c r="E90" i="19" a="1"/>
  <c r="E90" i="19" s="1"/>
  <c r="N89" i="19" a="1"/>
  <c r="N89" i="19" s="1"/>
  <c r="Y88" i="19" a="1"/>
  <c r="Y88" i="19" s="1"/>
  <c r="G88" i="19" a="1"/>
  <c r="G88" i="19" s="1"/>
  <c r="S87" i="19" a="1"/>
  <c r="S87" i="19" s="1"/>
  <c r="C87" i="19" a="1"/>
  <c r="C87" i="19" s="1"/>
  <c r="AE86" i="19" a="1"/>
  <c r="AE86" i="19" s="1"/>
  <c r="O86" i="19" a="1"/>
  <c r="O86" i="19" s="1"/>
  <c r="AN85" i="19" a="1"/>
  <c r="AN85" i="19" s="1"/>
  <c r="W85" i="19" a="1"/>
  <c r="W85" i="19" s="1"/>
  <c r="H85" i="19" a="1"/>
  <c r="H85" i="19" s="1"/>
  <c r="S84" i="19" a="1"/>
  <c r="S84" i="19" s="1"/>
  <c r="C84" i="19" a="1"/>
  <c r="C84" i="19" s="1"/>
  <c r="AD83" i="19" a="1"/>
  <c r="AD83" i="19" s="1"/>
  <c r="O83" i="19" a="1"/>
  <c r="O83" i="19" s="1"/>
  <c r="G82" i="19" a="1"/>
  <c r="G82" i="19" s="1"/>
  <c r="AG81" i="19" a="1"/>
  <c r="AG81" i="19" s="1"/>
  <c r="C81" i="19" a="1"/>
  <c r="C81" i="19" s="1"/>
  <c r="AB80" i="19" a="1"/>
  <c r="AB80" i="19" s="1"/>
  <c r="I80" i="19" a="1"/>
  <c r="I80" i="19" s="1"/>
  <c r="AG79" i="19" a="1"/>
  <c r="AG79" i="19" s="1"/>
  <c r="M79" i="19" a="1"/>
  <c r="M79" i="19" s="1"/>
  <c r="AK78" i="19" a="1"/>
  <c r="AK78" i="19" s="1"/>
  <c r="S78" i="19" a="1"/>
  <c r="S78" i="19" s="1"/>
  <c r="AO77" i="19" a="1"/>
  <c r="AO77" i="19" s="1"/>
  <c r="V77" i="19" a="1"/>
  <c r="V77" i="19" s="1"/>
  <c r="C77" i="19" a="1"/>
  <c r="C77" i="19" s="1"/>
  <c r="W76" i="19" a="1"/>
  <c r="W76" i="19" s="1"/>
  <c r="C76" i="19" a="1"/>
  <c r="C76" i="19" s="1"/>
  <c r="AC75" i="19" a="1"/>
  <c r="AC75" i="19" s="1"/>
  <c r="AD74" i="19" a="1"/>
  <c r="AD74" i="19" s="1"/>
  <c r="I74" i="19" a="1"/>
  <c r="I74" i="19" s="1"/>
  <c r="AG73" i="19" a="1"/>
  <c r="AG73" i="19" s="1"/>
  <c r="Q73" i="19" a="1"/>
  <c r="Q73" i="19" s="1"/>
  <c r="AM72" i="19" a="1"/>
  <c r="AM72" i="19" s="1"/>
  <c r="U72" i="19" a="1"/>
  <c r="U72" i="19" s="1"/>
  <c r="AR71" i="19" a="1"/>
  <c r="AR71" i="19" s="1"/>
  <c r="AB71" i="19" a="1"/>
  <c r="AB71" i="19" s="1"/>
  <c r="AK70" i="19" a="1"/>
  <c r="AK70" i="19" s="1"/>
  <c r="Q70" i="19" a="1"/>
  <c r="Q70" i="19" s="1"/>
  <c r="AO69" i="19" a="1"/>
  <c r="AO69" i="19" s="1"/>
  <c r="X69" i="19" a="1"/>
  <c r="X69" i="19" s="1"/>
  <c r="H69" i="19" a="1"/>
  <c r="H69" i="19" s="1"/>
  <c r="P68" i="19" a="1"/>
  <c r="P68" i="19" s="1"/>
  <c r="AN67" i="19" a="1"/>
  <c r="AN67" i="19" s="1"/>
  <c r="W67" i="19" a="1"/>
  <c r="W67" i="19" s="1"/>
  <c r="H67" i="19" a="1"/>
  <c r="H67" i="19" s="1"/>
  <c r="AD66" i="19" a="1"/>
  <c r="AD66" i="19" s="1"/>
  <c r="L66" i="19" a="1"/>
  <c r="L66" i="19" s="1"/>
  <c r="AK65" i="19" a="1"/>
  <c r="AK65" i="19" s="1"/>
  <c r="T65" i="19" a="1"/>
  <c r="T65" i="19" s="1"/>
  <c r="AP106" i="19" a="1"/>
  <c r="AP106" i="19" s="1"/>
  <c r="X106" i="19" a="1"/>
  <c r="X106" i="19" s="1"/>
  <c r="F106" i="19" a="1"/>
  <c r="F106" i="19" s="1"/>
  <c r="Q105" i="19" a="1"/>
  <c r="Q105" i="19" s="1"/>
  <c r="AP104" i="19" a="1"/>
  <c r="AP104" i="19" s="1"/>
  <c r="Z104" i="19" a="1"/>
  <c r="Z104" i="19" s="1"/>
  <c r="K104" i="19" a="1"/>
  <c r="K104" i="19" s="1"/>
  <c r="AI103" i="19" a="1"/>
  <c r="AI103" i="19" s="1"/>
  <c r="T103" i="19" a="1"/>
  <c r="T103" i="19" s="1"/>
  <c r="D103" i="19" a="1"/>
  <c r="D103" i="19" s="1"/>
  <c r="AD102" i="19" a="1"/>
  <c r="AD102" i="19" s="1"/>
  <c r="N102" i="19" a="1"/>
  <c r="N102" i="19" s="1"/>
  <c r="AN101" i="19" a="1"/>
  <c r="AN101" i="19" s="1"/>
  <c r="X101" i="19" a="1"/>
  <c r="X101" i="19" s="1"/>
  <c r="AG100" i="19" a="1"/>
  <c r="AG100" i="19" s="1"/>
  <c r="Q100" i="19" a="1"/>
  <c r="Q100" i="19" s="1"/>
  <c r="AP99" i="19" a="1"/>
  <c r="AP99" i="19" s="1"/>
  <c r="Z99" i="19" a="1"/>
  <c r="Z99" i="19" s="1"/>
  <c r="H99" i="19" a="1"/>
  <c r="H99" i="19" s="1"/>
  <c r="AH98" i="19" a="1"/>
  <c r="AH98" i="19" s="1"/>
  <c r="S98" i="19" a="1"/>
  <c r="S98" i="19" s="1"/>
  <c r="Z97" i="19" a="1"/>
  <c r="Z97" i="19" s="1"/>
  <c r="I97" i="19" a="1"/>
  <c r="I97" i="19" s="1"/>
  <c r="U96" i="19" a="1"/>
  <c r="U96" i="19" s="1"/>
  <c r="AF95" i="19" a="1"/>
  <c r="AF95" i="19" s="1"/>
  <c r="R95" i="19" a="1"/>
  <c r="R95" i="19" s="1"/>
  <c r="AA94" i="19" a="1"/>
  <c r="AA94" i="19" s="1"/>
  <c r="L94" i="19" a="1"/>
  <c r="L94" i="19" s="1"/>
  <c r="U93" i="19" a="1"/>
  <c r="U93" i="19" s="1"/>
  <c r="E93" i="19" a="1"/>
  <c r="E93" i="19" s="1"/>
  <c r="AE92" i="19" a="1"/>
  <c r="AE92" i="19" s="1"/>
  <c r="H91" i="19" a="1"/>
  <c r="H91" i="19" s="1"/>
  <c r="AI90" i="19" a="1"/>
  <c r="AI90" i="19" s="1"/>
  <c r="S90" i="19" a="1"/>
  <c r="S90" i="19" s="1"/>
  <c r="AE89" i="19" a="1"/>
  <c r="AE89" i="19" s="1"/>
  <c r="AN88" i="19" a="1"/>
  <c r="AN88" i="19" s="1"/>
  <c r="X88" i="19" a="1"/>
  <c r="X88" i="19" s="1"/>
  <c r="AH87" i="19" a="1"/>
  <c r="AH87" i="19" s="1"/>
  <c r="R87" i="19" a="1"/>
  <c r="R87" i="19" s="1"/>
  <c r="N86" i="19" a="1"/>
  <c r="N86" i="19" s="1"/>
  <c r="AH84" i="19" a="1"/>
  <c r="AH84" i="19" s="1"/>
  <c r="R84" i="19" a="1"/>
  <c r="R84" i="19" s="1"/>
  <c r="N83" i="19" a="1"/>
  <c r="N83" i="19" s="1"/>
  <c r="AN82" i="19" a="1"/>
  <c r="AN82" i="19" s="1"/>
  <c r="V82" i="19" a="1"/>
  <c r="V82" i="19" s="1"/>
  <c r="F82" i="19" a="1"/>
  <c r="F82" i="19" s="1"/>
  <c r="AF81" i="19" a="1"/>
  <c r="AF81" i="19" s="1"/>
  <c r="R81" i="19" a="1"/>
  <c r="R81" i="19" s="1"/>
  <c r="AR80" i="19" a="1"/>
  <c r="AR80" i="19" s="1"/>
  <c r="AA80" i="19" a="1"/>
  <c r="AA80" i="19" s="1"/>
  <c r="H80" i="19" a="1"/>
  <c r="H80" i="19" s="1"/>
  <c r="AF79" i="19" a="1"/>
  <c r="AF79" i="19" s="1"/>
  <c r="L79" i="19" a="1"/>
  <c r="L79" i="19" s="1"/>
  <c r="R78" i="19" a="1"/>
  <c r="R78" i="19" s="1"/>
  <c r="AN77" i="19" a="1"/>
  <c r="AN77" i="19" s="1"/>
  <c r="U77" i="19" a="1"/>
  <c r="U77" i="19" s="1"/>
  <c r="AR76" i="19" a="1"/>
  <c r="AR76" i="19" s="1"/>
  <c r="V76" i="19" a="1"/>
  <c r="V76" i="19" s="1"/>
  <c r="AR75" i="19" a="1"/>
  <c r="AR75" i="19" s="1"/>
  <c r="AB75" i="19" a="1"/>
  <c r="AB75" i="19" s="1"/>
  <c r="H75" i="19" a="1"/>
  <c r="H75" i="19" s="1"/>
  <c r="AC74" i="19" a="1"/>
  <c r="AC74" i="19" s="1"/>
  <c r="H74" i="19" a="1"/>
  <c r="H74" i="19" s="1"/>
  <c r="P73" i="19" a="1"/>
  <c r="P73" i="19" s="1"/>
  <c r="AL72" i="19" a="1"/>
  <c r="AL72" i="19" s="1"/>
  <c r="AQ71" i="19" a="1"/>
  <c r="AQ71" i="19" s="1"/>
  <c r="AA71" i="19" a="1"/>
  <c r="AA71" i="19" s="1"/>
  <c r="K71" i="19" a="1"/>
  <c r="K71" i="19" s="1"/>
  <c r="AJ70" i="19" a="1"/>
  <c r="AJ70" i="19" s="1"/>
  <c r="P70" i="19" a="1"/>
  <c r="P70" i="19" s="1"/>
  <c r="AN69" i="19" a="1"/>
  <c r="AN69" i="19" s="1"/>
  <c r="W69" i="19" a="1"/>
  <c r="W69" i="19" s="1"/>
  <c r="AE68" i="19" a="1"/>
  <c r="AE68" i="19" s="1"/>
  <c r="O68" i="19" a="1"/>
  <c r="O68" i="19" s="1"/>
  <c r="AM67" i="19" a="1"/>
  <c r="AM67" i="19" s="1"/>
  <c r="V67" i="19" a="1"/>
  <c r="V67" i="19" s="1"/>
  <c r="G67" i="19" a="1"/>
  <c r="G67" i="19" s="1"/>
  <c r="K66" i="19" a="1"/>
  <c r="K66" i="19" s="1"/>
  <c r="AJ65" i="19" a="1"/>
  <c r="AJ65" i="19" s="1"/>
  <c r="S65" i="19" a="1"/>
  <c r="S65" i="19" s="1"/>
  <c r="AO106" i="19" a="1"/>
  <c r="AO106" i="19" s="1"/>
  <c r="W106" i="19" a="1"/>
  <c r="W106" i="19" s="1"/>
  <c r="E106" i="19" a="1"/>
  <c r="E106" i="19" s="1"/>
  <c r="AD105" i="19" a="1"/>
  <c r="AD105" i="19" s="1"/>
  <c r="P105" i="19" a="1"/>
  <c r="P105" i="19" s="1"/>
  <c r="J104" i="19" a="1"/>
  <c r="J104" i="19" s="1"/>
  <c r="AH103" i="19" a="1"/>
  <c r="AH103" i="19" s="1"/>
  <c r="S103" i="19" a="1"/>
  <c r="S103" i="19" s="1"/>
  <c r="C103" i="19" a="1"/>
  <c r="C103" i="19" s="1"/>
  <c r="W101" i="19" a="1"/>
  <c r="W101" i="19" s="1"/>
  <c r="G101" i="19" a="1"/>
  <c r="G101" i="19" s="1"/>
  <c r="AF100" i="19" a="1"/>
  <c r="AF100" i="19" s="1"/>
  <c r="P100" i="19" a="1"/>
  <c r="P100" i="19" s="1"/>
  <c r="AO99" i="19" a="1"/>
  <c r="AO99" i="19" s="1"/>
  <c r="G99" i="19" a="1"/>
  <c r="G99" i="19" s="1"/>
  <c r="AG98" i="19" a="1"/>
  <c r="AG98" i="19" s="1"/>
  <c r="R98" i="19" a="1"/>
  <c r="R98" i="19" s="1"/>
  <c r="AP97" i="19" a="1"/>
  <c r="AP97" i="19" s="1"/>
  <c r="Y97" i="19" a="1"/>
  <c r="Y97" i="19" s="1"/>
  <c r="AJ96" i="19" a="1"/>
  <c r="AJ96" i="19" s="1"/>
  <c r="T96" i="19" a="1"/>
  <c r="T96" i="19" s="1"/>
  <c r="D96" i="19" a="1"/>
  <c r="D96" i="19" s="1"/>
  <c r="AE95" i="19" a="1"/>
  <c r="AE95" i="19" s="1"/>
  <c r="AR94" i="19" a="1"/>
  <c r="AR94" i="19" s="1"/>
  <c r="AK93" i="19" a="1"/>
  <c r="AK93" i="19" s="1"/>
  <c r="T93" i="19" a="1"/>
  <c r="T93" i="19" s="1"/>
  <c r="D93" i="19" a="1"/>
  <c r="D93" i="19" s="1"/>
  <c r="O92" i="19" a="1"/>
  <c r="O92" i="19" s="1"/>
  <c r="AP91" i="19" a="1"/>
  <c r="AP91" i="19" s="1"/>
  <c r="Z91" i="19" a="1"/>
  <c r="Z91" i="19" s="1"/>
  <c r="AH90" i="19" a="1"/>
  <c r="AH90" i="19" s="1"/>
  <c r="D90" i="19" a="1"/>
  <c r="D90" i="19" s="1"/>
  <c r="M89" i="19" a="1"/>
  <c r="M89" i="19" s="1"/>
  <c r="AM88" i="19" a="1"/>
  <c r="AM88" i="19" s="1"/>
  <c r="W88" i="19" a="1"/>
  <c r="W88" i="19" s="1"/>
  <c r="F88" i="19" a="1"/>
  <c r="F88" i="19" s="1"/>
  <c r="AG87" i="19" a="1"/>
  <c r="AG87" i="19" s="1"/>
  <c r="Q87" i="19" a="1"/>
  <c r="Q87" i="19" s="1"/>
  <c r="AR86" i="19" a="1"/>
  <c r="AR86" i="19" s="1"/>
  <c r="AD86" i="19" a="1"/>
  <c r="AD86" i="19" s="1"/>
  <c r="M86" i="19" a="1"/>
  <c r="M86" i="19" s="1"/>
  <c r="AM85" i="19" a="1"/>
  <c r="AM85" i="19" s="1"/>
  <c r="V85" i="19" a="1"/>
  <c r="V85" i="19" s="1"/>
  <c r="G85" i="19" a="1"/>
  <c r="G85" i="19" s="1"/>
  <c r="AR83" i="19" a="1"/>
  <c r="AR83" i="19" s="1"/>
  <c r="AC83" i="19" a="1"/>
  <c r="AC83" i="19" s="1"/>
  <c r="M83" i="19" a="1"/>
  <c r="M83" i="19" s="1"/>
  <c r="AM82" i="19" a="1"/>
  <c r="AM82" i="19" s="1"/>
  <c r="U82" i="19" a="1"/>
  <c r="U82" i="19" s="1"/>
  <c r="E82" i="19" a="1"/>
  <c r="E82" i="19" s="1"/>
  <c r="AE81" i="19" a="1"/>
  <c r="AE81" i="19" s="1"/>
  <c r="Q81" i="19" a="1"/>
  <c r="Q81" i="19" s="1"/>
  <c r="AQ80" i="19" a="1"/>
  <c r="AQ80" i="19" s="1"/>
  <c r="Z80" i="19" a="1"/>
  <c r="Z80" i="19" s="1"/>
  <c r="G80" i="19" a="1"/>
  <c r="G80" i="19" s="1"/>
  <c r="AE79" i="19" a="1"/>
  <c r="AE79" i="19" s="1"/>
  <c r="K79" i="19" a="1"/>
  <c r="K79" i="19" s="1"/>
  <c r="AJ78" i="19" a="1"/>
  <c r="AJ78" i="19" s="1"/>
  <c r="Q78" i="19" a="1"/>
  <c r="Q78" i="19" s="1"/>
  <c r="AM77" i="19" a="1"/>
  <c r="AM77" i="19" s="1"/>
  <c r="T77" i="19" a="1"/>
  <c r="T77" i="19" s="1"/>
  <c r="AQ76" i="19" a="1"/>
  <c r="AQ76" i="19" s="1"/>
  <c r="AQ75" i="19" a="1"/>
  <c r="AQ75" i="19" s="1"/>
  <c r="AA75" i="19" a="1"/>
  <c r="AA75" i="19" s="1"/>
  <c r="AB74" i="19" a="1"/>
  <c r="AB74" i="19" s="1"/>
  <c r="G74" i="19" a="1"/>
  <c r="G74" i="19" s="1"/>
  <c r="AF73" i="19" a="1"/>
  <c r="AF73" i="19" s="1"/>
  <c r="O73" i="19" a="1"/>
  <c r="O73" i="19" s="1"/>
  <c r="T72" i="19" a="1"/>
  <c r="T72" i="19" s="1"/>
  <c r="AP71" i="19" a="1"/>
  <c r="AP71" i="19" s="1"/>
  <c r="Z71" i="19" a="1"/>
  <c r="Z71" i="19" s="1"/>
  <c r="O70" i="19" a="1"/>
  <c r="O70" i="19" s="1"/>
  <c r="AM69" i="19" a="1"/>
  <c r="AM69" i="19" s="1"/>
  <c r="V69" i="19" a="1"/>
  <c r="V69" i="19" s="1"/>
  <c r="G69" i="19" a="1"/>
  <c r="G69" i="19" s="1"/>
  <c r="N68" i="19" a="1"/>
  <c r="N68" i="19" s="1"/>
  <c r="AL67" i="19" a="1"/>
  <c r="AL67" i="19" s="1"/>
  <c r="U67" i="19" a="1"/>
  <c r="U67" i="19" s="1"/>
  <c r="F67" i="19" a="1"/>
  <c r="F67" i="19" s="1"/>
  <c r="AC66" i="19" a="1"/>
  <c r="AC66" i="19" s="1"/>
  <c r="J66" i="19" a="1"/>
  <c r="J66" i="19" s="1"/>
  <c r="AI65" i="19" a="1"/>
  <c r="AI65" i="19" s="1"/>
  <c r="R65" i="19" a="1"/>
  <c r="R65" i="19" s="1"/>
  <c r="AM106" i="19" a="1"/>
  <c r="AM106" i="19" s="1"/>
  <c r="C106" i="19" a="1"/>
  <c r="C106" i="19" s="1"/>
  <c r="AC105" i="19" a="1"/>
  <c r="AC105" i="19" s="1"/>
  <c r="O105" i="19" a="1"/>
  <c r="O105" i="19" s="1"/>
  <c r="AN104" i="19" a="1"/>
  <c r="AN104" i="19" s="1"/>
  <c r="X104" i="19" a="1"/>
  <c r="X104" i="19" s="1"/>
  <c r="H104" i="19" a="1"/>
  <c r="H104" i="19" s="1"/>
  <c r="AG103" i="19" a="1"/>
  <c r="AG103" i="19" s="1"/>
  <c r="Q103" i="19" a="1"/>
  <c r="Q103" i="19" s="1"/>
  <c r="L102" i="19" a="1"/>
  <c r="L102" i="19" s="1"/>
  <c r="AL101" i="19" a="1"/>
  <c r="AL101" i="19" s="1"/>
  <c r="U101" i="19" a="1"/>
  <c r="U101" i="19" s="1"/>
  <c r="E101" i="19" a="1"/>
  <c r="E101" i="19" s="1"/>
  <c r="AE100" i="19" a="1"/>
  <c r="AE100" i="19" s="1"/>
  <c r="N100" i="19" a="1"/>
  <c r="N100" i="19" s="1"/>
  <c r="X99" i="19" a="1"/>
  <c r="X99" i="19" s="1"/>
  <c r="P98" i="19" a="1"/>
  <c r="P98" i="19" s="1"/>
  <c r="G97" i="19" a="1"/>
  <c r="G97" i="19" s="1"/>
  <c r="AH96" i="19" a="1"/>
  <c r="AH96" i="19" s="1"/>
  <c r="S96" i="19" a="1"/>
  <c r="S96" i="19" s="1"/>
  <c r="AR95" i="19" a="1"/>
  <c r="AR95" i="19" s="1"/>
  <c r="AQ94" i="19" a="1"/>
  <c r="AQ94" i="19" s="1"/>
  <c r="Y94" i="19" a="1"/>
  <c r="Y94" i="19" s="1"/>
  <c r="J94" i="19" a="1"/>
  <c r="J94" i="19" s="1"/>
  <c r="S93" i="19" a="1"/>
  <c r="S93" i="19" s="1"/>
  <c r="C93" i="19" a="1"/>
  <c r="C93" i="19" s="1"/>
  <c r="N92" i="19" a="1"/>
  <c r="N92" i="19" s="1"/>
  <c r="AO91" i="19" a="1"/>
  <c r="AO91" i="19" s="1"/>
  <c r="X91" i="19" a="1"/>
  <c r="X91" i="19" s="1"/>
  <c r="AF90" i="19" a="1"/>
  <c r="AF90" i="19" s="1"/>
  <c r="C90" i="19" a="1"/>
  <c r="C90" i="19" s="1"/>
  <c r="AC89" i="19" a="1"/>
  <c r="AC89" i="19" s="1"/>
  <c r="L89" i="19" a="1"/>
  <c r="L89" i="19" s="1"/>
  <c r="AK88" i="19" a="1"/>
  <c r="AK88" i="19" s="1"/>
  <c r="U88" i="19" a="1"/>
  <c r="U88" i="19" s="1"/>
  <c r="E88" i="19" a="1"/>
  <c r="E88" i="19" s="1"/>
  <c r="AF87" i="19" a="1"/>
  <c r="AF87" i="19" s="1"/>
  <c r="P87" i="19" a="1"/>
  <c r="P87" i="19" s="1"/>
  <c r="AQ86" i="19" a="1"/>
  <c r="AQ86" i="19" s="1"/>
  <c r="AB86" i="19" a="1"/>
  <c r="AB86" i="19" s="1"/>
  <c r="L86" i="19" a="1"/>
  <c r="L86" i="19" s="1"/>
  <c r="AL85" i="19" a="1"/>
  <c r="AL85" i="19" s="1"/>
  <c r="T85" i="19" a="1"/>
  <c r="T85" i="19" s="1"/>
  <c r="AF84" i="19" a="1"/>
  <c r="AF84" i="19" s="1"/>
  <c r="P84" i="19" a="1"/>
  <c r="P84" i="19" s="1"/>
  <c r="AQ83" i="19" a="1"/>
  <c r="AQ83" i="19" s="1"/>
  <c r="AB83" i="19" a="1"/>
  <c r="AB83" i="19" s="1"/>
  <c r="L83" i="19" a="1"/>
  <c r="L83" i="19" s="1"/>
  <c r="AK82" i="19" a="1"/>
  <c r="AK82" i="19" s="1"/>
  <c r="T82" i="19" a="1"/>
  <c r="T82" i="19" s="1"/>
  <c r="P81" i="19" a="1"/>
  <c r="P81" i="19" s="1"/>
  <c r="AO80" i="19" a="1"/>
  <c r="AO80" i="19" s="1"/>
  <c r="Y80" i="19" a="1"/>
  <c r="Y80" i="19" s="1"/>
  <c r="F80" i="19" a="1"/>
  <c r="F80" i="19" s="1"/>
  <c r="AC79" i="19" a="1"/>
  <c r="AC79" i="19" s="1"/>
  <c r="I79" i="19" a="1"/>
  <c r="I79" i="19" s="1"/>
  <c r="AH78" i="19" a="1"/>
  <c r="AH78" i="19" s="1"/>
  <c r="O78" i="19" a="1"/>
  <c r="O78" i="19" s="1"/>
  <c r="AK77" i="19" a="1"/>
  <c r="AK77" i="19" s="1"/>
  <c r="S77" i="19" a="1"/>
  <c r="S77" i="19" s="1"/>
  <c r="AO76" i="19" a="1"/>
  <c r="AO76" i="19" s="1"/>
  <c r="T76" i="19" a="1"/>
  <c r="T76" i="19" s="1"/>
  <c r="Y75" i="19" a="1"/>
  <c r="Y75" i="19" s="1"/>
  <c r="F75" i="19" a="1"/>
  <c r="F75" i="19" s="1"/>
  <c r="Z74" i="19" a="1"/>
  <c r="Z74" i="19" s="1"/>
  <c r="AG106" i="19" a="1"/>
  <c r="AG106" i="19" s="1"/>
  <c r="P106" i="19" a="1"/>
  <c r="P106" i="19" s="1"/>
  <c r="X105" i="19" a="1"/>
  <c r="X105" i="19" s="1"/>
  <c r="K105" i="19" a="1"/>
  <c r="K105" i="19" s="1"/>
  <c r="AI104" i="19" a="1"/>
  <c r="AI104" i="19" s="1"/>
  <c r="R104" i="19" a="1"/>
  <c r="R104" i="19" s="1"/>
  <c r="AB103" i="19" a="1"/>
  <c r="AB103" i="19" s="1"/>
  <c r="K103" i="19" a="1"/>
  <c r="K103" i="19" s="1"/>
  <c r="AN102" i="19" a="1"/>
  <c r="AN102" i="19" s="1"/>
  <c r="G102" i="19" a="1"/>
  <c r="G102" i="19" s="1"/>
  <c r="AO100" i="19" a="1"/>
  <c r="AO100" i="19" s="1"/>
  <c r="Z100" i="19" a="1"/>
  <c r="Z100" i="19" s="1"/>
  <c r="AH99" i="19" a="1"/>
  <c r="AH99" i="19" s="1"/>
  <c r="R99" i="19" a="1"/>
  <c r="R99" i="19" s="1"/>
  <c r="Z98" i="19" a="1"/>
  <c r="Z98" i="19" s="1"/>
  <c r="K98" i="19" a="1"/>
  <c r="K98" i="19" s="1"/>
  <c r="AI97" i="19" a="1"/>
  <c r="AI97" i="19" s="1"/>
  <c r="S97" i="19" a="1"/>
  <c r="S97" i="19" s="1"/>
  <c r="N96" i="19" a="1"/>
  <c r="N96" i="19" s="1"/>
  <c r="Z95" i="19" a="1"/>
  <c r="Z95" i="19" s="1"/>
  <c r="L95" i="19" a="1"/>
  <c r="L95" i="19" s="1"/>
  <c r="AL94" i="19" a="1"/>
  <c r="AL94" i="19" s="1"/>
  <c r="D94" i="19" a="1"/>
  <c r="D94" i="19" s="1"/>
  <c r="AE93" i="19" a="1"/>
  <c r="AE93" i="19" s="1"/>
  <c r="N93" i="19" a="1"/>
  <c r="N93" i="19" s="1"/>
  <c r="Y92" i="19" a="1"/>
  <c r="Y92" i="19" s="1"/>
  <c r="I92" i="19" a="1"/>
  <c r="I92" i="19" s="1"/>
  <c r="AH91" i="19" a="1"/>
  <c r="AH91" i="19" s="1"/>
  <c r="M90" i="19" a="1"/>
  <c r="M90" i="19" s="1"/>
  <c r="W89" i="19" a="1"/>
  <c r="W89" i="19" s="1"/>
  <c r="G89" i="19" a="1"/>
  <c r="G89" i="19" s="1"/>
  <c r="AF88" i="19" a="1"/>
  <c r="AF88" i="19" s="1"/>
  <c r="AP87" i="19" a="1"/>
  <c r="AP87" i="19" s="1"/>
  <c r="Z87" i="19" a="1"/>
  <c r="Z87" i="19" s="1"/>
  <c r="K87" i="19" a="1"/>
  <c r="K87" i="19" s="1"/>
  <c r="AL86" i="19" a="1"/>
  <c r="AL86" i="19" s="1"/>
  <c r="V86" i="19" a="1"/>
  <c r="V86" i="19" s="1"/>
  <c r="H86" i="19" a="1"/>
  <c r="H86" i="19" s="1"/>
  <c r="AF85" i="19" a="1"/>
  <c r="AF85" i="19" s="1"/>
  <c r="O85" i="19" a="1"/>
  <c r="O85" i="19" s="1"/>
  <c r="AP84" i="19" a="1"/>
  <c r="AP84" i="19" s="1"/>
  <c r="Z84" i="19" a="1"/>
  <c r="Z84" i="19" s="1"/>
  <c r="AL83" i="19" a="1"/>
  <c r="AL83" i="19" s="1"/>
  <c r="W83" i="19" a="1"/>
  <c r="W83" i="19" s="1"/>
  <c r="G83" i="19" a="1"/>
  <c r="G83" i="19" s="1"/>
  <c r="AE82" i="19" a="1"/>
  <c r="AE82" i="19" s="1"/>
  <c r="O82" i="19" a="1"/>
  <c r="O82" i="19" s="1"/>
  <c r="Y81" i="19" a="1"/>
  <c r="Y81" i="19" s="1"/>
  <c r="K81" i="19" a="1"/>
  <c r="K81" i="19" s="1"/>
  <c r="R80" i="19" a="1"/>
  <c r="R80" i="19" s="1"/>
  <c r="AP79" i="19" a="1"/>
  <c r="AP79" i="19" s="1"/>
  <c r="V79" i="19" a="1"/>
  <c r="V79" i="19" s="1"/>
  <c r="D79" i="19" a="1"/>
  <c r="D79" i="19" s="1"/>
  <c r="AB78" i="19" a="1"/>
  <c r="AB78" i="19" s="1"/>
  <c r="I78" i="19" a="1"/>
  <c r="I78" i="19" s="1"/>
  <c r="AE77" i="19" a="1"/>
  <c r="AE77" i="19" s="1"/>
  <c r="AH76" i="19" a="1"/>
  <c r="AH76" i="19" s="1"/>
  <c r="M76" i="19" a="1"/>
  <c r="M76" i="19" s="1"/>
  <c r="AJ75" i="19" a="1"/>
  <c r="AJ75" i="19" s="1"/>
  <c r="AO74" i="19" a="1"/>
  <c r="AO74" i="19" s="1"/>
  <c r="AM105" i="19" a="1"/>
  <c r="AM105" i="19" s="1"/>
  <c r="W105" i="19" a="1"/>
  <c r="W105" i="19" s="1"/>
  <c r="I105" i="19" a="1"/>
  <c r="I105" i="19" s="1"/>
  <c r="AH104" i="19" a="1"/>
  <c r="AH104" i="19" s="1"/>
  <c r="P104" i="19" a="1"/>
  <c r="P104" i="19" s="1"/>
  <c r="AQ103" i="19" a="1"/>
  <c r="AQ103" i="19" s="1"/>
  <c r="J103" i="19" a="1"/>
  <c r="J103" i="19" s="1"/>
  <c r="V102" i="19" a="1"/>
  <c r="V102" i="19" s="1"/>
  <c r="F102" i="19" a="1"/>
  <c r="F102" i="19" s="1"/>
  <c r="AF101" i="19" a="1"/>
  <c r="AF101" i="19" s="1"/>
  <c r="O101" i="19" a="1"/>
  <c r="O101" i="19" s="1"/>
  <c r="Y100" i="19" a="1"/>
  <c r="Y100" i="19" s="1"/>
  <c r="AF99" i="19" a="1"/>
  <c r="AF99" i="19" s="1"/>
  <c r="AP98" i="19" a="1"/>
  <c r="AP98" i="19" s="1"/>
  <c r="I98" i="19" a="1"/>
  <c r="I98" i="19" s="1"/>
  <c r="AH97" i="19" a="1"/>
  <c r="AH97" i="19" s="1"/>
  <c r="AP96" i="19" a="1"/>
  <c r="AP96" i="19" s="1"/>
  <c r="AB96" i="19" a="1"/>
  <c r="AB96" i="19" s="1"/>
  <c r="L96" i="19" a="1"/>
  <c r="L96" i="19" s="1"/>
  <c r="AM95" i="19" a="1"/>
  <c r="AM95" i="19" s="1"/>
  <c r="J95" i="19" a="1"/>
  <c r="J95" i="19" s="1"/>
  <c r="AJ94" i="19" a="1"/>
  <c r="AJ94" i="19" s="1"/>
  <c r="AR93" i="19" a="1"/>
  <c r="AR93" i="19" s="1"/>
  <c r="AC93" i="19" a="1"/>
  <c r="AC93" i="19" s="1"/>
  <c r="M93" i="19" a="1"/>
  <c r="M93" i="19" s="1"/>
  <c r="AL92" i="19" a="1"/>
  <c r="AL92" i="19" s="1"/>
  <c r="X92" i="19" a="1"/>
  <c r="X92" i="19" s="1"/>
  <c r="H92" i="19" a="1"/>
  <c r="H92" i="19" s="1"/>
  <c r="AF91" i="19" a="1"/>
  <c r="AF91" i="19" s="1"/>
  <c r="Q91" i="19" a="1"/>
  <c r="Q91" i="19" s="1"/>
  <c r="AP90" i="19" a="1"/>
  <c r="AP90" i="19" s="1"/>
  <c r="AL89" i="19" a="1"/>
  <c r="AL89" i="19" s="1"/>
  <c r="V89" i="19" a="1"/>
  <c r="V89" i="19" s="1"/>
  <c r="AD88" i="19" a="1"/>
  <c r="AD88" i="19" s="1"/>
  <c r="N88" i="19" a="1"/>
  <c r="N88" i="19" s="1"/>
  <c r="Y87" i="19" a="1"/>
  <c r="Y87" i="19" s="1"/>
  <c r="I87" i="19" a="1"/>
  <c r="I87" i="19" s="1"/>
  <c r="U86" i="19" a="1"/>
  <c r="U86" i="19" s="1"/>
  <c r="F86" i="19" a="1"/>
  <c r="F86" i="19" s="1"/>
  <c r="AE85" i="19" a="1"/>
  <c r="AE85" i="19" s="1"/>
  <c r="N85" i="19" a="1"/>
  <c r="N85" i="19" s="1"/>
  <c r="AJ83" i="19" a="1"/>
  <c r="AJ83" i="19" s="1"/>
  <c r="V83" i="19" a="1"/>
  <c r="V83" i="19" s="1"/>
  <c r="E83" i="19" a="1"/>
  <c r="E83" i="19" s="1"/>
  <c r="M82" i="19" a="1"/>
  <c r="M82" i="19" s="1"/>
  <c r="X81" i="19" a="1"/>
  <c r="X81" i="19" s="1"/>
  <c r="I81" i="19" a="1"/>
  <c r="I81" i="19" s="1"/>
  <c r="AI80" i="19" a="1"/>
  <c r="AI80" i="19" s="1"/>
  <c r="P80" i="19" a="1"/>
  <c r="P80" i="19" s="1"/>
  <c r="AN79" i="19" a="1"/>
  <c r="AN79" i="19" s="1"/>
  <c r="AR78" i="19" a="1"/>
  <c r="AR78" i="19" s="1"/>
  <c r="AA78" i="19" a="1"/>
  <c r="AA78" i="19" s="1"/>
  <c r="G78" i="19" a="1"/>
  <c r="G78" i="19" s="1"/>
  <c r="AC77" i="19" a="1"/>
  <c r="AC77" i="19" s="1"/>
  <c r="AF76" i="19" a="1"/>
  <c r="AF76" i="19" s="1"/>
  <c r="K76" i="19" a="1"/>
  <c r="K76" i="19" s="1"/>
  <c r="AI75" i="19" a="1"/>
  <c r="AI75" i="19" s="1"/>
  <c r="Q75" i="19" a="1"/>
  <c r="Q75" i="19" s="1"/>
  <c r="AM74" i="19" a="1"/>
  <c r="AM74" i="19" s="1"/>
  <c r="AM73" i="19" a="1"/>
  <c r="AM73" i="19" s="1"/>
  <c r="Y73" i="19" a="1"/>
  <c r="Y73" i="19" s="1"/>
  <c r="AO68" i="19" a="1"/>
  <c r="AO68" i="19" s="1"/>
  <c r="AR74" i="19" a="1"/>
  <c r="AR74" i="19" s="1"/>
  <c r="AI78" i="19" a="1"/>
  <c r="AI78" i="19" s="1"/>
  <c r="AI83" i="19" a="1"/>
  <c r="AI83" i="19" s="1"/>
  <c r="K90" i="19" a="1"/>
  <c r="K90" i="19" s="1"/>
  <c r="H96" i="19" a="1"/>
  <c r="H96" i="19" s="1"/>
  <c r="E102" i="19" a="1"/>
  <c r="E102" i="19" s="1"/>
  <c r="AB106" i="19" a="1"/>
  <c r="AB106" i="19" s="1"/>
  <c r="AP68" i="19" a="1"/>
  <c r="AP68" i="19" s="1"/>
  <c r="O72" i="19" a="1"/>
  <c r="O72" i="19" s="1"/>
  <c r="AN76" i="19" a="1"/>
  <c r="AN76" i="19" s="1"/>
  <c r="J81" i="19" a="1"/>
  <c r="J81" i="19" s="1"/>
  <c r="G86" i="19" a="1"/>
  <c r="G86" i="19" s="1"/>
  <c r="L90" i="19" a="1"/>
  <c r="L90" i="19" s="1"/>
  <c r="AI93" i="19" a="1"/>
  <c r="AI93" i="19" s="1"/>
  <c r="AE98" i="19" a="1"/>
  <c r="AE98" i="19" s="1"/>
  <c r="AR103" i="19" a="1"/>
  <c r="AR103" i="19" s="1"/>
  <c r="W68" i="19" a="1"/>
  <c r="W68" i="19" s="1"/>
  <c r="P72" i="19" a="1"/>
  <c r="P72" i="19" s="1"/>
  <c r="AF75" i="19" a="1"/>
  <c r="AF75" i="19" s="1"/>
  <c r="D80" i="19" a="1"/>
  <c r="D80" i="19" s="1"/>
  <c r="Q84" i="19" a="1"/>
  <c r="Q84" i="19" s="1"/>
  <c r="S88" i="19" a="1"/>
  <c r="S88" i="19" s="1"/>
  <c r="E92" i="19" a="1"/>
  <c r="E92" i="19" s="1"/>
  <c r="T97" i="19" a="1"/>
  <c r="T97" i="19" s="1"/>
  <c r="S101" i="19" a="1"/>
  <c r="S101" i="19" s="1"/>
  <c r="F65" i="19" a="1"/>
  <c r="F65" i="19" s="1"/>
  <c r="C68" i="19" a="1"/>
  <c r="C68" i="19" s="1"/>
  <c r="Q71" i="19" a="1"/>
  <c r="Q71" i="19" s="1"/>
  <c r="AK73" i="19" a="1"/>
  <c r="AK73" i="19" s="1"/>
  <c r="M78" i="19" a="1"/>
  <c r="M78" i="19" s="1"/>
  <c r="K82" i="19" a="1"/>
  <c r="K82" i="19" s="1"/>
  <c r="F89" i="19" a="1"/>
  <c r="F89" i="19" s="1"/>
  <c r="G95" i="19" a="1"/>
  <c r="G95" i="19" s="1"/>
  <c r="AB67" i="19" a="1"/>
  <c r="AB67" i="19" s="1"/>
  <c r="AP70" i="19" a="1"/>
  <c r="AP70" i="19" s="1"/>
  <c r="U74" i="19" a="1"/>
  <c r="U74" i="19" s="1"/>
  <c r="Q76" i="19" a="1"/>
  <c r="Q76" i="19" s="1"/>
  <c r="I65" i="19" a="1"/>
  <c r="I65" i="19" s="1"/>
  <c r="E68" i="19" a="1"/>
  <c r="E68" i="19" s="1"/>
  <c r="AR69" i="19" a="1"/>
  <c r="AR69" i="19" s="1"/>
  <c r="AM71" i="19" a="1"/>
  <c r="AM71" i="19" s="1"/>
  <c r="AO72" i="19" a="1"/>
  <c r="AO72" i="19" s="1"/>
  <c r="V74" i="19" a="1"/>
  <c r="V74" i="19" s="1"/>
  <c r="G77" i="19" a="1"/>
  <c r="G77" i="19" s="1"/>
  <c r="AP78" i="19" a="1"/>
  <c r="AP78" i="19" s="1"/>
  <c r="N81" i="19" a="1"/>
  <c r="N81" i="19" s="1"/>
  <c r="T83" i="19" a="1"/>
  <c r="T83" i="19" s="1"/>
  <c r="AR84" i="19" a="1"/>
  <c r="AR84" i="19" s="1"/>
  <c r="AQ87" i="19" a="1"/>
  <c r="AQ87" i="19" s="1"/>
  <c r="Y91" i="19" a="1"/>
  <c r="Y91" i="19" s="1"/>
  <c r="AP93" i="19" a="1"/>
  <c r="AP93" i="19" s="1"/>
  <c r="O96" i="19" a="1"/>
  <c r="O96" i="19" s="1"/>
  <c r="AN98" i="19" a="1"/>
  <c r="AN98" i="19" s="1"/>
  <c r="AA101" i="19" a="1"/>
  <c r="AA101" i="19" s="1"/>
  <c r="F104" i="19" a="1"/>
  <c r="F104" i="19" s="1"/>
  <c r="I66" i="19" a="1"/>
  <c r="I66" i="19" s="1"/>
  <c r="AE66" i="19" a="1"/>
  <c r="AE66" i="19" s="1"/>
  <c r="AC67" i="19" a="1"/>
  <c r="AC67" i="19" s="1"/>
  <c r="F68" i="19" a="1"/>
  <c r="F68" i="19" s="1"/>
  <c r="AA68" i="19" a="1"/>
  <c r="AA68" i="19" s="1"/>
  <c r="Y69" i="19" a="1"/>
  <c r="Y69" i="19" s="1"/>
  <c r="C70" i="19" a="1"/>
  <c r="C70" i="19" s="1"/>
  <c r="X70" i="19" a="1"/>
  <c r="X70" i="19" s="1"/>
  <c r="AQ70" i="19" a="1"/>
  <c r="AQ70" i="19" s="1"/>
  <c r="AP72" i="19" a="1"/>
  <c r="AP72" i="19" s="1"/>
  <c r="AO73" i="19" a="1"/>
  <c r="AO73" i="19" s="1"/>
  <c r="W74" i="19" a="1"/>
  <c r="W74" i="19" s="1"/>
  <c r="K75" i="19" a="1"/>
  <c r="K75" i="19" s="1"/>
  <c r="S76" i="19" a="1"/>
  <c r="S76" i="19" s="1"/>
  <c r="H77" i="19" a="1"/>
  <c r="H77" i="19" s="1"/>
  <c r="AG77" i="19" a="1"/>
  <c r="AG77" i="19" s="1"/>
  <c r="T78" i="19" a="1"/>
  <c r="T78" i="19" s="1"/>
  <c r="Z79" i="19" a="1"/>
  <c r="Z79" i="19" s="1"/>
  <c r="L80" i="19" a="1"/>
  <c r="L80" i="19" s="1"/>
  <c r="AJ80" i="19" a="1"/>
  <c r="AJ80" i="19" s="1"/>
  <c r="O81" i="19" a="1"/>
  <c r="O81" i="19" s="1"/>
  <c r="AK81" i="19" a="1"/>
  <c r="AK81" i="19" s="1"/>
  <c r="P82" i="19" a="1"/>
  <c r="P82" i="19" s="1"/>
  <c r="AO82" i="19" a="1"/>
  <c r="AO82" i="19" s="1"/>
  <c r="AP83" i="19" a="1"/>
  <c r="AP83" i="19" s="1"/>
  <c r="C85" i="19" a="1"/>
  <c r="C85" i="19" s="1"/>
  <c r="AC85" i="19" a="1"/>
  <c r="AC85" i="19" s="1"/>
  <c r="AK86" i="19" a="1"/>
  <c r="AK86" i="19" s="1"/>
  <c r="AB88" i="19" a="1"/>
  <c r="AB88" i="19" s="1"/>
  <c r="Q90" i="19" a="1"/>
  <c r="Q90" i="19" s="1"/>
  <c r="AQ90" i="19" a="1"/>
  <c r="AQ90" i="19" s="1"/>
  <c r="P93" i="19" a="1"/>
  <c r="P93" i="19" s="1"/>
  <c r="AQ93" i="19" a="1"/>
  <c r="AQ93" i="19" s="1"/>
  <c r="X94" i="19" a="1"/>
  <c r="X94" i="19" s="1"/>
  <c r="K95" i="19" a="1"/>
  <c r="K95" i="19" s="1"/>
  <c r="AH95" i="19" a="1"/>
  <c r="AH95" i="19" s="1"/>
  <c r="X97" i="19" a="1"/>
  <c r="X97" i="19" s="1"/>
  <c r="M98" i="19" a="1"/>
  <c r="M98" i="19" s="1"/>
  <c r="AO98" i="19" a="1"/>
  <c r="AO98" i="19" s="1"/>
  <c r="L100" i="19" a="1"/>
  <c r="L100" i="19" s="1"/>
  <c r="AN100" i="19" a="1"/>
  <c r="AN100" i="19" s="1"/>
  <c r="AB101" i="19" a="1"/>
  <c r="AB101" i="19" s="1"/>
  <c r="K102" i="19" a="1"/>
  <c r="K102" i="19" s="1"/>
  <c r="Y103" i="19" a="1"/>
  <c r="Y103" i="19" s="1"/>
  <c r="G104" i="19" a="1"/>
  <c r="G104" i="19" s="1"/>
  <c r="D106" i="19" a="1"/>
  <c r="D106" i="19" s="1"/>
  <c r="AI106" i="19" a="1"/>
  <c r="AI106" i="19" s="1"/>
  <c r="C67" i="19" a="1"/>
  <c r="C67" i="19" s="1"/>
  <c r="N72" i="19" a="1"/>
  <c r="N72" i="19" s="1"/>
  <c r="AM76" i="19" a="1"/>
  <c r="AM76" i="19" s="1"/>
  <c r="AC80" i="19" a="1"/>
  <c r="AC80" i="19" s="1"/>
  <c r="AL84" i="19" a="1"/>
  <c r="AL84" i="19" s="1"/>
  <c r="S91" i="19" a="1"/>
  <c r="S91" i="19" s="1"/>
  <c r="E98" i="19" a="1"/>
  <c r="E98" i="19" s="1"/>
  <c r="AC102" i="19" a="1"/>
  <c r="AC102" i="19" s="1"/>
  <c r="E66" i="19" a="1"/>
  <c r="E66" i="19" s="1"/>
  <c r="R70" i="19" a="1"/>
  <c r="R70" i="19" s="1"/>
  <c r="AI73" i="19" a="1"/>
  <c r="AI73" i="19" s="1"/>
  <c r="K78" i="19" a="1"/>
  <c r="K78" i="19" s="1"/>
  <c r="AC81" i="19" a="1"/>
  <c r="AC81" i="19" s="1"/>
  <c r="M87" i="19" a="1"/>
  <c r="M87" i="19" s="1"/>
  <c r="T91" i="19" a="1"/>
  <c r="T91" i="19" s="1"/>
  <c r="AA95" i="19" a="1"/>
  <c r="AA95" i="19" s="1"/>
  <c r="T99" i="19" a="1"/>
  <c r="T99" i="19" s="1"/>
  <c r="AC106" i="19" a="1"/>
  <c r="AC106" i="19" s="1"/>
  <c r="AQ68" i="19" a="1"/>
  <c r="AQ68" i="19" s="1"/>
  <c r="AI72" i="19" a="1"/>
  <c r="AI72" i="19" s="1"/>
  <c r="N76" i="19" a="1"/>
  <c r="N76" i="19" s="1"/>
  <c r="T79" i="19" a="1"/>
  <c r="T79" i="19" s="1"/>
  <c r="AK83" i="19" a="1"/>
  <c r="AK83" i="19" s="1"/>
  <c r="AL87" i="19" a="1"/>
  <c r="AL87" i="19" s="1"/>
  <c r="U91" i="19" a="1"/>
  <c r="U91" i="19" s="1"/>
  <c r="AG96" i="19" a="1"/>
  <c r="AG96" i="19" s="1"/>
  <c r="H100" i="19" a="1"/>
  <c r="H100" i="19" s="1"/>
  <c r="AD106" i="19" a="1"/>
  <c r="AD106" i="19" s="1"/>
  <c r="Z67" i="19" a="1"/>
  <c r="Z67" i="19" s="1"/>
  <c r="T70" i="19" a="1"/>
  <c r="T70" i="19" s="1"/>
  <c r="S73" i="19" a="1"/>
  <c r="S73" i="19" s="1"/>
  <c r="AA77" i="19" a="1"/>
  <c r="AA77" i="19" s="1"/>
  <c r="L81" i="19" a="1"/>
  <c r="L81" i="19" s="1"/>
  <c r="X85" i="19" a="1"/>
  <c r="X85" i="19" s="1"/>
  <c r="AN90" i="19" a="1"/>
  <c r="AN90" i="19" s="1"/>
  <c r="K96" i="19" a="1"/>
  <c r="K96" i="19" s="1"/>
  <c r="T69" i="19" a="1"/>
  <c r="T69" i="19" s="1"/>
  <c r="AN72" i="19" a="1"/>
  <c r="AN72" i="19" s="1"/>
  <c r="AH75" i="19" a="1"/>
  <c r="AH75" i="19" s="1"/>
  <c r="AD77" i="19" a="1"/>
  <c r="AD77" i="19" s="1"/>
  <c r="H66" i="19" a="1"/>
  <c r="H66" i="19" s="1"/>
  <c r="D69" i="19" a="1"/>
  <c r="D69" i="19" s="1"/>
  <c r="W70" i="19" a="1"/>
  <c r="W70" i="19" s="1"/>
  <c r="S72" i="19" a="1"/>
  <c r="S72" i="19" s="1"/>
  <c r="AN73" i="19" a="1"/>
  <c r="AN73" i="19" s="1"/>
  <c r="R76" i="19" a="1"/>
  <c r="R76" i="19" s="1"/>
  <c r="P78" i="19" a="1"/>
  <c r="P78" i="19" s="1"/>
  <c r="K80" i="19" a="1"/>
  <c r="K80" i="19" s="1"/>
  <c r="AL82" i="19" a="1"/>
  <c r="AL82" i="19" s="1"/>
  <c r="V84" i="19" a="1"/>
  <c r="V84" i="19" s="1"/>
  <c r="AJ86" i="19" a="1"/>
  <c r="AJ86" i="19" s="1"/>
  <c r="I89" i="19" a="1"/>
  <c r="I89" i="19" s="1"/>
  <c r="J92" i="19" a="1"/>
  <c r="J92" i="19" s="1"/>
  <c r="W94" i="19" a="1"/>
  <c r="W94" i="19" s="1"/>
  <c r="W97" i="19" a="1"/>
  <c r="W97" i="19" s="1"/>
  <c r="AM100" i="19" a="1"/>
  <c r="AM100" i="19" s="1"/>
  <c r="J102" i="19" a="1"/>
  <c r="J102" i="19" s="1"/>
  <c r="U105" i="19" a="1"/>
  <c r="U105" i="19" s="1"/>
  <c r="AD65" i="19" a="1"/>
  <c r="AD65" i="19" s="1"/>
  <c r="K65" i="19" a="1"/>
  <c r="K65" i="19" s="1"/>
  <c r="AE65" i="19" a="1"/>
  <c r="AE65" i="19" s="1"/>
  <c r="AF66" i="19" a="1"/>
  <c r="AF66" i="19" s="1"/>
  <c r="L67" i="19" a="1"/>
  <c r="L67" i="19" s="1"/>
  <c r="AD67" i="19" a="1"/>
  <c r="AD67" i="19" s="1"/>
  <c r="E69" i="19" a="1"/>
  <c r="E69" i="19" s="1"/>
  <c r="Z69" i="19" a="1"/>
  <c r="Z69" i="19" s="1"/>
  <c r="D70" i="19" a="1"/>
  <c r="D70" i="19" s="1"/>
  <c r="Y70" i="19" a="1"/>
  <c r="Y70" i="19" s="1"/>
  <c r="AR70" i="19" a="1"/>
  <c r="AR70" i="19" s="1"/>
  <c r="T71" i="19" a="1"/>
  <c r="T71" i="19" s="1"/>
  <c r="AN71" i="19" a="1"/>
  <c r="AN71" i="19" s="1"/>
  <c r="V72" i="19" a="1"/>
  <c r="V72" i="19" s="1"/>
  <c r="AQ72" i="19" a="1"/>
  <c r="AQ72" i="19" s="1"/>
  <c r="W73" i="19" a="1"/>
  <c r="W73" i="19" s="1"/>
  <c r="AP73" i="19" a="1"/>
  <c r="AP73" i="19" s="1"/>
  <c r="X74" i="19" a="1"/>
  <c r="X74" i="19" s="1"/>
  <c r="L75" i="19" a="1"/>
  <c r="L75" i="19" s="1"/>
  <c r="U76" i="19" a="1"/>
  <c r="U76" i="19" s="1"/>
  <c r="I77" i="19" a="1"/>
  <c r="I77" i="19" s="1"/>
  <c r="U78" i="19" a="1"/>
  <c r="U78" i="19" s="1"/>
  <c r="AQ78" i="19" a="1"/>
  <c r="AQ78" i="19" s="1"/>
  <c r="AA79" i="19" a="1"/>
  <c r="AA79" i="19" s="1"/>
  <c r="M80" i="19" a="1"/>
  <c r="M80" i="19" s="1"/>
  <c r="AK80" i="19" a="1"/>
  <c r="AK80" i="19" s="1"/>
  <c r="AL81" i="19" a="1"/>
  <c r="AL81" i="19" s="1"/>
  <c r="Q82" i="19" a="1"/>
  <c r="Q82" i="19" s="1"/>
  <c r="AP82" i="19" a="1"/>
  <c r="AP82" i="19" s="1"/>
  <c r="U83" i="19" a="1"/>
  <c r="U83" i="19" s="1"/>
  <c r="W84" i="19" a="1"/>
  <c r="W84" i="19" s="1"/>
  <c r="D85" i="19" a="1"/>
  <c r="D85" i="19" s="1"/>
  <c r="AD85" i="19" a="1"/>
  <c r="AD85" i="19" s="1"/>
  <c r="AM86" i="19" a="1"/>
  <c r="AM86" i="19" s="1"/>
  <c r="V87" i="19" a="1"/>
  <c r="V87" i="19" s="1"/>
  <c r="AR87" i="19" a="1"/>
  <c r="AR87" i="19" s="1"/>
  <c r="J89" i="19" a="1"/>
  <c r="J89" i="19" s="1"/>
  <c r="AK89" i="19" a="1"/>
  <c r="AK89" i="19" s="1"/>
  <c r="R90" i="19" a="1"/>
  <c r="R90" i="19" s="1"/>
  <c r="AR90" i="19" a="1"/>
  <c r="AR90" i="19" s="1"/>
  <c r="K92" i="19" a="1"/>
  <c r="K92" i="19" s="1"/>
  <c r="AI92" i="19" a="1"/>
  <c r="AI92" i="19" s="1"/>
  <c r="Q93" i="19" a="1"/>
  <c r="Q93" i="19" s="1"/>
  <c r="Z94" i="19" a="1"/>
  <c r="Z94" i="19" s="1"/>
  <c r="P96" i="19" a="1"/>
  <c r="P96" i="19" s="1"/>
  <c r="AO96" i="19" a="1"/>
  <c r="AO96" i="19" s="1"/>
  <c r="AD97" i="19" a="1"/>
  <c r="AD97" i="19" s="1"/>
  <c r="N98" i="19" a="1"/>
  <c r="N98" i="19" s="1"/>
  <c r="AQ98" i="19" a="1"/>
  <c r="AQ98" i="19" s="1"/>
  <c r="AC99" i="19" a="1"/>
  <c r="AC99" i="19" s="1"/>
  <c r="AP100" i="19" a="1"/>
  <c r="AP100" i="19" s="1"/>
  <c r="AC101" i="19" a="1"/>
  <c r="AC101" i="19" s="1"/>
  <c r="AO102" i="19" a="1"/>
  <c r="AO102" i="19" s="1"/>
  <c r="I104" i="19" a="1"/>
  <c r="I104" i="19" s="1"/>
  <c r="AK104" i="19" a="1"/>
  <c r="AK104" i="19" s="1"/>
  <c r="V105" i="19" a="1"/>
  <c r="V105" i="19" s="1"/>
  <c r="AJ106" i="19" a="1"/>
  <c r="AJ106" i="19" s="1"/>
  <c r="X66" i="19" a="1"/>
  <c r="X66" i="19" s="1"/>
  <c r="AJ69" i="19" a="1"/>
  <c r="AJ69" i="19" s="1"/>
  <c r="AD75" i="19" a="1"/>
  <c r="AD75" i="19" s="1"/>
  <c r="C80" i="19" a="1"/>
  <c r="C80" i="19" s="1"/>
  <c r="N84" i="19" a="1"/>
  <c r="N84" i="19" s="1"/>
  <c r="AA92" i="19" a="1"/>
  <c r="AA92" i="19" s="1"/>
  <c r="AD98" i="19" a="1"/>
  <c r="AD98" i="19" s="1"/>
  <c r="M105" i="19" a="1"/>
  <c r="M105" i="19" s="1"/>
  <c r="Y67" i="19" a="1"/>
  <c r="Y67" i="19" s="1"/>
  <c r="P71" i="19" a="1"/>
  <c r="P71" i="19" s="1"/>
  <c r="AE75" i="19" a="1"/>
  <c r="AE75" i="19" s="1"/>
  <c r="S79" i="19" a="1"/>
  <c r="S79" i="19" s="1"/>
  <c r="O84" i="19" a="1"/>
  <c r="O84" i="19" s="1"/>
  <c r="D89" i="19" a="1"/>
  <c r="D89" i="19" s="1"/>
  <c r="D92" i="19" a="1"/>
  <c r="D92" i="19" s="1"/>
  <c r="I96" i="19" a="1"/>
  <c r="I96" i="19" s="1"/>
  <c r="AI102" i="19" a="1"/>
  <c r="AI102" i="19" s="1"/>
  <c r="Y66" i="19" a="1"/>
  <c r="Y66" i="19" s="1"/>
  <c r="AK69" i="19" a="1"/>
  <c r="AK69" i="19" s="1"/>
  <c r="R74" i="19" a="1"/>
  <c r="R74" i="19" s="1"/>
  <c r="L78" i="19" a="1"/>
  <c r="L78" i="19" s="1"/>
  <c r="J82" i="19" a="1"/>
  <c r="J82" i="19" s="1"/>
  <c r="U85" i="19" a="1"/>
  <c r="U85" i="19" s="1"/>
  <c r="E89" i="19" a="1"/>
  <c r="E89" i="19" s="1"/>
  <c r="T94" i="19" a="1"/>
  <c r="T94" i="19" s="1"/>
  <c r="G98" i="19" a="1"/>
  <c r="G98" i="19" s="1"/>
  <c r="C104" i="19" a="1"/>
  <c r="C104" i="19" s="1"/>
  <c r="Z66" i="19" a="1"/>
  <c r="Z66" i="19" s="1"/>
  <c r="R69" i="19" a="1"/>
  <c r="R69" i="19" s="1"/>
  <c r="AJ72" i="19" a="1"/>
  <c r="AJ72" i="19" s="1"/>
  <c r="O76" i="19" a="1"/>
  <c r="O76" i="19" s="1"/>
  <c r="AF80" i="19" a="1"/>
  <c r="AF80" i="19" s="1"/>
  <c r="AO84" i="19" a="1"/>
  <c r="AO84" i="19" s="1"/>
  <c r="AF89" i="19" a="1"/>
  <c r="AF89" i="19" s="1"/>
  <c r="AB95" i="19" a="1"/>
  <c r="AB95" i="19" s="1"/>
  <c r="Z68" i="19" a="1"/>
  <c r="Z68" i="19" s="1"/>
  <c r="R72" i="19" a="1"/>
  <c r="R72" i="19" s="1"/>
  <c r="I75" i="19" a="1"/>
  <c r="I75" i="19" s="1"/>
  <c r="F77" i="19" a="1"/>
  <c r="F77" i="19" s="1"/>
  <c r="AC65" i="19" a="1"/>
  <c r="AC65" i="19" s="1"/>
  <c r="K67" i="19" a="1"/>
  <c r="K67" i="19" s="1"/>
  <c r="U69" i="19" a="1"/>
  <c r="U69" i="19" s="1"/>
  <c r="S71" i="19" a="1"/>
  <c r="S71" i="19" s="1"/>
  <c r="V73" i="19" a="1"/>
  <c r="V73" i="19" s="1"/>
  <c r="J75" i="19" a="1"/>
  <c r="J75" i="19" s="1"/>
  <c r="AF77" i="19" a="1"/>
  <c r="AF77" i="19" s="1"/>
  <c r="Y79" i="19" a="1"/>
  <c r="Y79" i="19" s="1"/>
  <c r="AJ81" i="19" a="1"/>
  <c r="AJ81" i="19" s="1"/>
  <c r="AO83" i="19" a="1"/>
  <c r="AO83" i="19" s="1"/>
  <c r="K86" i="19" a="1"/>
  <c r="K86" i="19" s="1"/>
  <c r="AJ89" i="19" a="1"/>
  <c r="AJ89" i="19" s="1"/>
  <c r="AH92" i="19" a="1"/>
  <c r="AH92" i="19" s="1"/>
  <c r="AD95" i="19" a="1"/>
  <c r="AD95" i="19" s="1"/>
  <c r="AN96" i="19" a="1"/>
  <c r="AN96" i="19" s="1"/>
  <c r="Y99" i="19" a="1"/>
  <c r="Y99" i="19" s="1"/>
  <c r="AM102" i="19" a="1"/>
  <c r="AM102" i="19" s="1"/>
  <c r="AJ104" i="19" a="1"/>
  <c r="AJ104" i="19" s="1"/>
  <c r="J65" i="19" a="1"/>
  <c r="J65" i="19" s="1"/>
  <c r="L65" i="19" a="1"/>
  <c r="L65" i="19" s="1"/>
  <c r="AF65" i="19" a="1"/>
  <c r="AF65" i="19" s="1"/>
  <c r="M66" i="19" a="1"/>
  <c r="M66" i="19" s="1"/>
  <c r="AG66" i="19" a="1"/>
  <c r="AG66" i="19" s="1"/>
  <c r="M67" i="19" a="1"/>
  <c r="M67" i="19" s="1"/>
  <c r="G68" i="19" a="1"/>
  <c r="G68" i="19" s="1"/>
  <c r="AB68" i="19" a="1"/>
  <c r="AB68" i="19" s="1"/>
  <c r="F69" i="19" a="1"/>
  <c r="F69" i="19" s="1"/>
  <c r="AA69" i="19" a="1"/>
  <c r="AA69" i="19" s="1"/>
  <c r="E70" i="19" a="1"/>
  <c r="E70" i="19" s="1"/>
  <c r="Z70" i="19" a="1"/>
  <c r="Z70" i="19" s="1"/>
  <c r="C71" i="19" a="1"/>
  <c r="C71" i="19" s="1"/>
  <c r="U71" i="19" a="1"/>
  <c r="U71" i="19" s="1"/>
  <c r="AO71" i="19" a="1"/>
  <c r="AO71" i="19" s="1"/>
  <c r="W72" i="19" a="1"/>
  <c r="W72" i="19" s="1"/>
  <c r="AR72" i="19" a="1"/>
  <c r="AR72" i="19" s="1"/>
  <c r="X73" i="19" a="1"/>
  <c r="X73" i="19" s="1"/>
  <c r="AQ73" i="19" a="1"/>
  <c r="AQ73" i="19" s="1"/>
  <c r="Y74" i="19" a="1"/>
  <c r="Y74" i="19" s="1"/>
  <c r="M75" i="19" a="1"/>
  <c r="M75" i="19" s="1"/>
  <c r="AK75" i="19" a="1"/>
  <c r="AK75" i="19" s="1"/>
  <c r="X76" i="19" a="1"/>
  <c r="X76" i="19" s="1"/>
  <c r="J77" i="19" a="1"/>
  <c r="J77" i="19" s="1"/>
  <c r="AH77" i="19" a="1"/>
  <c r="AH77" i="19" s="1"/>
  <c r="V78" i="19" a="1"/>
  <c r="V78" i="19" s="1"/>
  <c r="C79" i="19" a="1"/>
  <c r="C79" i="19" s="1"/>
  <c r="AB79" i="19" a="1"/>
  <c r="AB79" i="19" s="1"/>
  <c r="N80" i="19" a="1"/>
  <c r="N80" i="19" s="1"/>
  <c r="AL80" i="19" a="1"/>
  <c r="AL80" i="19" s="1"/>
  <c r="S81" i="19" a="1"/>
  <c r="S81" i="19" s="1"/>
  <c r="R82" i="19" a="1"/>
  <c r="R82" i="19" s="1"/>
  <c r="X84" i="19" a="1"/>
  <c r="X84" i="19" s="1"/>
  <c r="E85" i="19" a="1"/>
  <c r="E85" i="19" s="1"/>
  <c r="P86" i="19" a="1"/>
  <c r="P86" i="19" s="1"/>
  <c r="AN86" i="19" a="1"/>
  <c r="AN86" i="19" s="1"/>
  <c r="C88" i="19" a="1"/>
  <c r="C88" i="19" s="1"/>
  <c r="AC88" i="19" a="1"/>
  <c r="AC88" i="19" s="1"/>
  <c r="K89" i="19" a="1"/>
  <c r="K89" i="19" s="1"/>
  <c r="AM89" i="19" a="1"/>
  <c r="AM89" i="19" s="1"/>
  <c r="U90" i="19" a="1"/>
  <c r="U90" i="19" s="1"/>
  <c r="C91" i="19" a="1"/>
  <c r="C91" i="19" s="1"/>
  <c r="AD91" i="19" a="1"/>
  <c r="AD91" i="19" s="1"/>
  <c r="AJ92" i="19" a="1"/>
  <c r="AJ92" i="19" s="1"/>
  <c r="R93" i="19" a="1"/>
  <c r="R93" i="19" s="1"/>
  <c r="C94" i="19" a="1"/>
  <c r="C94" i="19" s="1"/>
  <c r="AC94" i="19" a="1"/>
  <c r="AC94" i="19" s="1"/>
  <c r="M95" i="19" a="1"/>
  <c r="M95" i="19" s="1"/>
  <c r="AJ95" i="19" a="1"/>
  <c r="AJ95" i="19" s="1"/>
  <c r="AQ96" i="19" a="1"/>
  <c r="AQ96" i="19" s="1"/>
  <c r="AE97" i="19" a="1"/>
  <c r="AE97" i="19" s="1"/>
  <c r="O98" i="19" a="1"/>
  <c r="O98" i="19" s="1"/>
  <c r="AR98" i="19" a="1"/>
  <c r="AR98" i="19" s="1"/>
  <c r="AD99" i="19" a="1"/>
  <c r="AD99" i="19" s="1"/>
  <c r="M100" i="19" a="1"/>
  <c r="M100" i="19" s="1"/>
  <c r="AQ100" i="19" a="1"/>
  <c r="AQ100" i="19" s="1"/>
  <c r="AD101" i="19" a="1"/>
  <c r="AD101" i="19" s="1"/>
  <c r="M102" i="19" a="1"/>
  <c r="M102" i="19" s="1"/>
  <c r="Z103" i="19" a="1"/>
  <c r="Z103" i="19" s="1"/>
  <c r="K106" i="19" a="1"/>
  <c r="K106" i="19" s="1"/>
  <c r="AK106" i="19" a="1"/>
  <c r="AK106" i="19" s="1"/>
  <c r="D65" i="19" a="1"/>
  <c r="D65" i="19" s="1"/>
  <c r="J76" i="19" a="1"/>
  <c r="J76" i="19" s="1"/>
  <c r="L87" i="19" a="1"/>
  <c r="L87" i="19" s="1"/>
  <c r="R101" i="19" a="1"/>
  <c r="R101" i="19" s="1"/>
  <c r="V68" i="19" a="1"/>
  <c r="V68" i="19" s="1"/>
  <c r="Y77" i="19" a="1"/>
  <c r="Y77" i="19" s="1"/>
  <c r="R88" i="19" a="1"/>
  <c r="R88" i="19" s="1"/>
  <c r="F98" i="19" a="1"/>
  <c r="F98" i="19" s="1"/>
  <c r="E67" i="19" a="1"/>
  <c r="E67" i="19" s="1"/>
  <c r="AP76" i="19" a="1"/>
  <c r="AP76" i="19" s="1"/>
  <c r="AN84" i="19" a="1"/>
  <c r="AN84" i="19" s="1"/>
  <c r="AJ93" i="19" a="1"/>
  <c r="AJ93" i="19" s="1"/>
  <c r="O103" i="19" a="1"/>
  <c r="O103" i="19" s="1"/>
  <c r="AN70" i="19" a="1"/>
  <c r="AN70" i="19" s="1"/>
  <c r="E80" i="19" a="1"/>
  <c r="E80" i="19" s="1"/>
  <c r="F92" i="19" a="1"/>
  <c r="F92" i="19" s="1"/>
  <c r="AQ69" i="19" a="1"/>
  <c r="AQ69" i="19" s="1"/>
  <c r="M65" i="19" a="1"/>
  <c r="M65" i="19" s="1"/>
  <c r="N67" i="19" a="1"/>
  <c r="N67" i="19" s="1"/>
  <c r="F70" i="19" a="1"/>
  <c r="F70" i="19" s="1"/>
  <c r="V71" i="19" a="1"/>
  <c r="V71" i="19" s="1"/>
  <c r="X72" i="19" a="1"/>
  <c r="X72" i="19" s="1"/>
  <c r="C73" i="19" a="1"/>
  <c r="C73" i="19" s="1"/>
  <c r="AR73" i="19" a="1"/>
  <c r="AR73" i="19" s="1"/>
  <c r="AA74" i="19" a="1"/>
  <c r="AA74" i="19" s="1"/>
  <c r="N75" i="19" a="1"/>
  <c r="N75" i="19" s="1"/>
  <c r="AL75" i="19" a="1"/>
  <c r="AL75" i="19" s="1"/>
  <c r="Y76" i="19" a="1"/>
  <c r="Y76" i="19" s="1"/>
  <c r="K77" i="19" a="1"/>
  <c r="K77" i="19" s="1"/>
  <c r="AI77" i="19" a="1"/>
  <c r="AI77" i="19" s="1"/>
  <c r="W78" i="19" a="1"/>
  <c r="W78" i="19" s="1"/>
  <c r="AD79" i="19" a="1"/>
  <c r="AD79" i="19" s="1"/>
  <c r="AM80" i="19" a="1"/>
  <c r="AM80" i="19" s="1"/>
  <c r="T81" i="19" a="1"/>
  <c r="T81" i="19" s="1"/>
  <c r="AM81" i="19" a="1"/>
  <c r="AM81" i="19" s="1"/>
  <c r="AQ82" i="19" a="1"/>
  <c r="AQ82" i="19" s="1"/>
  <c r="X83" i="19" a="1"/>
  <c r="X83" i="19" s="1"/>
  <c r="D84" i="19" a="1"/>
  <c r="D84" i="19" s="1"/>
  <c r="Y84" i="19" a="1"/>
  <c r="Y84" i="19" s="1"/>
  <c r="F85" i="19" a="1"/>
  <c r="F85" i="19" s="1"/>
  <c r="AG85" i="19" a="1"/>
  <c r="AG85" i="19" s="1"/>
  <c r="R86" i="19" a="1"/>
  <c r="R86" i="19" s="1"/>
  <c r="AO86" i="19" a="1"/>
  <c r="AO86" i="19" s="1"/>
  <c r="W87" i="19" a="1"/>
  <c r="W87" i="19" s="1"/>
  <c r="AN89" i="19" a="1"/>
  <c r="AN89" i="19" s="1"/>
  <c r="W90" i="19" a="1"/>
  <c r="W90" i="19" s="1"/>
  <c r="D91" i="19" a="1"/>
  <c r="D91" i="19" s="1"/>
  <c r="L92" i="19" a="1"/>
  <c r="L92" i="19" s="1"/>
  <c r="AK92" i="19" a="1"/>
  <c r="AK92" i="19" s="1"/>
  <c r="E94" i="19" a="1"/>
  <c r="E94" i="19" s="1"/>
  <c r="AE94" i="19" a="1"/>
  <c r="AE94" i="19" s="1"/>
  <c r="N95" i="19" a="1"/>
  <c r="N95" i="19" s="1"/>
  <c r="Q96" i="19" a="1"/>
  <c r="Q96" i="19" s="1"/>
  <c r="AR96" i="19" a="1"/>
  <c r="AR96" i="19" s="1"/>
  <c r="AE99" i="19" a="1"/>
  <c r="AE99" i="19" s="1"/>
  <c r="O100" i="19" a="1"/>
  <c r="O100" i="19" s="1"/>
  <c r="AR100" i="19" a="1"/>
  <c r="AR100" i="19" s="1"/>
  <c r="AE101" i="19" a="1"/>
  <c r="AE101" i="19" s="1"/>
  <c r="R102" i="19" a="1"/>
  <c r="R102" i="19" s="1"/>
  <c r="AP102" i="19" a="1"/>
  <c r="AP102" i="19" s="1"/>
  <c r="AA103" i="19" a="1"/>
  <c r="AA103" i="19" s="1"/>
  <c r="N104" i="19" a="1"/>
  <c r="N104" i="19" s="1"/>
  <c r="AL104" i="19" a="1"/>
  <c r="AL104" i="19" s="1"/>
  <c r="L106" i="19" a="1"/>
  <c r="L106" i="19" s="1"/>
  <c r="AL106" i="19" a="1"/>
  <c r="AL106" i="19" s="1"/>
  <c r="P74" i="19" a="1"/>
  <c r="P74" i="19" s="1"/>
  <c r="I82" i="19" a="1"/>
  <c r="I82" i="19" s="1"/>
  <c r="R97" i="19" a="1"/>
  <c r="R97" i="19" s="1"/>
  <c r="E65" i="19" a="1"/>
  <c r="E65" i="19" s="1"/>
  <c r="C75" i="19" a="1"/>
  <c r="C75" i="19" s="1"/>
  <c r="AM84" i="19" a="1"/>
  <c r="AM84" i="19" s="1"/>
  <c r="L93" i="19" a="1"/>
  <c r="L93" i="19" s="1"/>
  <c r="AD104" i="19" a="1"/>
  <c r="AD104" i="19" s="1"/>
  <c r="R73" i="19" a="1"/>
  <c r="R73" i="19" s="1"/>
  <c r="AD81" i="19" a="1"/>
  <c r="AD81" i="19" s="1"/>
  <c r="N90" i="19" a="1"/>
  <c r="N90" i="19" s="1"/>
  <c r="AK100" i="19" a="1"/>
  <c r="AK100" i="19" s="1"/>
  <c r="X68" i="19" a="1"/>
  <c r="X68" i="19" s="1"/>
  <c r="D77" i="19" a="1"/>
  <c r="D77" i="19" s="1"/>
  <c r="N87" i="19" a="1"/>
  <c r="N87" i="19" s="1"/>
  <c r="H65" i="19" a="1"/>
  <c r="H65" i="19" s="1"/>
  <c r="U73" i="19" a="1"/>
  <c r="U73" i="19" s="1"/>
  <c r="N66" i="19" a="1"/>
  <c r="N66" i="19" s="1"/>
  <c r="AC68" i="19" a="1"/>
  <c r="AC68" i="19" s="1"/>
  <c r="AA70" i="19" a="1"/>
  <c r="AA70" i="19" s="1"/>
  <c r="O66" i="19" a="1"/>
  <c r="O66" i="19" s="1"/>
  <c r="I69" i="19" a="1"/>
  <c r="I69" i="19" s="1"/>
  <c r="C72" i="19" a="1"/>
  <c r="C72" i="19" s="1"/>
  <c r="Z73" i="19" a="1"/>
  <c r="Z73" i="19" s="1"/>
  <c r="O75" i="19" a="1"/>
  <c r="O75" i="19" s="1"/>
  <c r="AJ77" i="19" a="1"/>
  <c r="AJ77" i="19" s="1"/>
  <c r="X78" i="19" a="1"/>
  <c r="X78" i="19" s="1"/>
  <c r="E79" i="19" a="1"/>
  <c r="E79" i="19" s="1"/>
  <c r="AH79" i="19" a="1"/>
  <c r="AH79" i="19" s="1"/>
  <c r="O80" i="19" a="1"/>
  <c r="O80" i="19" s="1"/>
  <c r="AN81" i="19" a="1"/>
  <c r="AN81" i="19" s="1"/>
  <c r="S82" i="19" a="1"/>
  <c r="S82" i="19" s="1"/>
  <c r="E84" i="19" a="1"/>
  <c r="E84" i="19" s="1"/>
  <c r="AA84" i="19" a="1"/>
  <c r="AA84" i="19" s="1"/>
  <c r="AH85" i="19" a="1"/>
  <c r="AH85" i="19" s="1"/>
  <c r="X87" i="19" a="1"/>
  <c r="X87" i="19" s="1"/>
  <c r="D88" i="19" a="1"/>
  <c r="D88" i="19" s="1"/>
  <c r="AE88" i="19" a="1"/>
  <c r="AE88" i="19" s="1"/>
  <c r="AO89" i="19" a="1"/>
  <c r="AO89" i="19" s="1"/>
  <c r="X90" i="19" a="1"/>
  <c r="X90" i="19" s="1"/>
  <c r="AE91" i="19" a="1"/>
  <c r="AE91" i="19" s="1"/>
  <c r="M92" i="19" a="1"/>
  <c r="M92" i="19" s="1"/>
  <c r="AM92" i="19" a="1"/>
  <c r="AM92" i="19" s="1"/>
  <c r="W93" i="19" a="1"/>
  <c r="W93" i="19" s="1"/>
  <c r="F94" i="19" a="1"/>
  <c r="F94" i="19" s="1"/>
  <c r="AF94" i="19" a="1"/>
  <c r="AF94" i="19" s="1"/>
  <c r="O95" i="19" a="1"/>
  <c r="O95" i="19" s="1"/>
  <c r="AK95" i="19" a="1"/>
  <c r="AK95" i="19" s="1"/>
  <c r="R96" i="19" a="1"/>
  <c r="R96" i="19" s="1"/>
  <c r="C97" i="19" a="1"/>
  <c r="C97" i="19" s="1"/>
  <c r="AF97" i="19" a="1"/>
  <c r="AF97" i="19" s="1"/>
  <c r="Q98" i="19" a="1"/>
  <c r="Q98" i="19" s="1"/>
  <c r="C99" i="19" a="1"/>
  <c r="C99" i="19" s="1"/>
  <c r="U100" i="19" a="1"/>
  <c r="U100" i="19" s="1"/>
  <c r="AG101" i="19" a="1"/>
  <c r="AG101" i="19" s="1"/>
  <c r="S102" i="19" a="1"/>
  <c r="S102" i="19" s="1"/>
  <c r="AC103" i="19" a="1"/>
  <c r="AC103" i="19" s="1"/>
  <c r="AM104" i="19" a="1"/>
  <c r="AM104" i="19" s="1"/>
  <c r="Y105" i="19" a="1"/>
  <c r="Y105" i="19" s="1"/>
  <c r="M106" i="19" a="1"/>
  <c r="M106" i="19" s="1"/>
  <c r="AN106" i="19" a="1"/>
  <c r="AN106" i="19" s="1"/>
  <c r="X67" i="19" a="1"/>
  <c r="X67" i="19" s="1"/>
  <c r="N73" i="19" a="1"/>
  <c r="N73" i="19" s="1"/>
  <c r="J78" i="19" a="1"/>
  <c r="J78" i="19" s="1"/>
  <c r="AB81" i="19" a="1"/>
  <c r="AB81" i="19" s="1"/>
  <c r="AK87" i="19" a="1"/>
  <c r="AK87" i="19" s="1"/>
  <c r="R94" i="19" a="1"/>
  <c r="R94" i="19" s="1"/>
  <c r="AD100" i="19" a="1"/>
  <c r="AD100" i="19" s="1"/>
  <c r="AN105" i="19" a="1"/>
  <c r="AN105" i="19" s="1"/>
  <c r="D67" i="19" a="1"/>
  <c r="D67" i="19" s="1"/>
  <c r="AM70" i="19" a="1"/>
  <c r="AM70" i="19" s="1"/>
  <c r="Q74" i="19" a="1"/>
  <c r="Q74" i="19" s="1"/>
  <c r="AL78" i="19" a="1"/>
  <c r="AL78" i="19" s="1"/>
  <c r="AF82" i="19" a="1"/>
  <c r="AF82" i="19" s="1"/>
  <c r="AF86" i="19" a="1"/>
  <c r="AF86" i="19" s="1"/>
  <c r="AK90" i="19" a="1"/>
  <c r="AK90" i="19" s="1"/>
  <c r="S94" i="19" a="1"/>
  <c r="S94" i="19" s="1"/>
  <c r="G100" i="19" a="1"/>
  <c r="G100" i="19" s="1"/>
  <c r="AO105" i="19" a="1"/>
  <c r="AO105" i="19" s="1"/>
  <c r="AR67" i="19" a="1"/>
  <c r="AR67" i="19" s="1"/>
  <c r="S70" i="19" a="1"/>
  <c r="S70" i="19" s="1"/>
  <c r="D75" i="19" a="1"/>
  <c r="D75" i="19" s="1"/>
  <c r="AM78" i="19" a="1"/>
  <c r="AM78" i="19" s="1"/>
  <c r="AG82" i="19" a="1"/>
  <c r="AG82" i="19" s="1"/>
  <c r="I86" i="19" a="1"/>
  <c r="I86" i="19" s="1"/>
  <c r="AD89" i="19" a="1"/>
  <c r="AD89" i="19" s="1"/>
  <c r="F95" i="19" a="1"/>
  <c r="F95" i="19" s="1"/>
  <c r="AF98" i="19" a="1"/>
  <c r="AF98" i="19" s="1"/>
  <c r="AE104" i="19" a="1"/>
  <c r="AE104" i="19" s="1"/>
  <c r="AA65" i="19" a="1"/>
  <c r="AA65" i="19" s="1"/>
  <c r="AR68" i="19" a="1"/>
  <c r="AR68" i="19" s="1"/>
  <c r="AK71" i="19" a="1"/>
  <c r="AK71" i="19" s="1"/>
  <c r="S74" i="19" a="1"/>
  <c r="S74" i="19" s="1"/>
  <c r="AN78" i="19" a="1"/>
  <c r="AN78" i="19" s="1"/>
  <c r="Q83" i="19" a="1"/>
  <c r="Q83" i="19" s="1"/>
  <c r="T88" i="19" a="1"/>
  <c r="T88" i="19" s="1"/>
  <c r="U94" i="19" a="1"/>
  <c r="U94" i="19" s="1"/>
  <c r="AB66" i="19" a="1"/>
  <c r="AB66" i="19" s="1"/>
  <c r="V70" i="19" a="1"/>
  <c r="V70" i="19" s="1"/>
  <c r="AL73" i="19" a="1"/>
  <c r="AL73" i="19" s="1"/>
  <c r="AG65" i="19" a="1"/>
  <c r="AG65" i="19" s="1"/>
  <c r="AH66" i="19" a="1"/>
  <c r="AH66" i="19" s="1"/>
  <c r="AE67" i="19" a="1"/>
  <c r="AE67" i="19" s="1"/>
  <c r="H68" i="19" a="1"/>
  <c r="H68" i="19" s="1"/>
  <c r="AB69" i="19" a="1"/>
  <c r="AB69" i="19" s="1"/>
  <c r="D71" i="19" a="1"/>
  <c r="D71" i="19" s="1"/>
  <c r="N65" i="19" a="1"/>
  <c r="N65" i="19" s="1"/>
  <c r="AH65" i="19" a="1"/>
  <c r="AH65" i="19" s="1"/>
  <c r="AI66" i="19" a="1"/>
  <c r="AI66" i="19" s="1"/>
  <c r="O67" i="19" a="1"/>
  <c r="O67" i="19" s="1"/>
  <c r="I68" i="19" a="1"/>
  <c r="I68" i="19" s="1"/>
  <c r="G70" i="19" a="1"/>
  <c r="G70" i="19" s="1"/>
  <c r="AB70" i="19" a="1"/>
  <c r="AB70" i="19" s="1"/>
  <c r="E71" i="19" a="1"/>
  <c r="E71" i="19" s="1"/>
  <c r="W71" i="19" a="1"/>
  <c r="W71" i="19" s="1"/>
  <c r="D73" i="19" a="1"/>
  <c r="D73" i="19" s="1"/>
  <c r="C74" i="19" a="1"/>
  <c r="C74" i="19" s="1"/>
  <c r="AE74" i="19" a="1"/>
  <c r="AE74" i="19" s="1"/>
  <c r="AM75" i="19" a="1"/>
  <c r="AM75" i="19" s="1"/>
  <c r="Z76" i="19" a="1"/>
  <c r="Z76" i="19" s="1"/>
  <c r="L77" i="19" a="1"/>
  <c r="L77" i="19" s="1"/>
  <c r="O65" i="19" a="1"/>
  <c r="O65" i="19" s="1"/>
  <c r="AL65" i="19" a="1"/>
  <c r="AL65" i="19" s="1"/>
  <c r="P66" i="19" a="1"/>
  <c r="P66" i="19" s="1"/>
  <c r="AJ66" i="19" a="1"/>
  <c r="AJ66" i="19" s="1"/>
  <c r="AF67" i="19" a="1"/>
  <c r="AF67" i="19" s="1"/>
  <c r="J68" i="19" a="1"/>
  <c r="J68" i="19" s="1"/>
  <c r="AD68" i="19" a="1"/>
  <c r="AD68" i="19" s="1"/>
  <c r="J69" i="19" a="1"/>
  <c r="J69" i="19" s="1"/>
  <c r="AC69" i="19" a="1"/>
  <c r="AC69" i="19" s="1"/>
  <c r="H70" i="19" a="1"/>
  <c r="H70" i="19" s="1"/>
  <c r="AC70" i="19" a="1"/>
  <c r="AC70" i="19" s="1"/>
  <c r="F71" i="19" a="1"/>
  <c r="F71" i="19" s="1"/>
  <c r="X71" i="19" a="1"/>
  <c r="X71" i="19" s="1"/>
  <c r="D72" i="19" a="1"/>
  <c r="D72" i="19" s="1"/>
  <c r="Y72" i="19" a="1"/>
  <c r="Y72" i="19" s="1"/>
  <c r="D74" i="19" a="1"/>
  <c r="D74" i="19" s="1"/>
  <c r="AF74" i="19" a="1"/>
  <c r="AF74" i="19" s="1"/>
  <c r="P75" i="19" a="1"/>
  <c r="P75" i="19" s="1"/>
  <c r="AN75" i="19" a="1"/>
  <c r="AN75" i="19" s="1"/>
  <c r="AA76" i="19" a="1"/>
  <c r="AA76" i="19" s="1"/>
  <c r="M77" i="19" a="1"/>
  <c r="M77" i="19" s="1"/>
  <c r="AL77" i="19" a="1"/>
  <c r="AL77" i="19" s="1"/>
  <c r="F79" i="19" a="1"/>
  <c r="F79" i="19" s="1"/>
  <c r="AN80" i="19" a="1"/>
  <c r="AN80" i="19" s="1"/>
  <c r="U81" i="19" a="1"/>
  <c r="U81" i="19" s="1"/>
  <c r="AO81" i="19" a="1"/>
  <c r="AO81" i="19" s="1"/>
  <c r="AR82" i="19" a="1"/>
  <c r="AR82" i="19" s="1"/>
  <c r="Y83" i="19" a="1"/>
  <c r="Y83" i="19" s="1"/>
  <c r="G84" i="19" a="1"/>
  <c r="G84" i="19" s="1"/>
  <c r="AB84" i="19" a="1"/>
  <c r="AB84" i="19" s="1"/>
  <c r="AI85" i="19" a="1"/>
  <c r="AI85" i="19" s="1"/>
  <c r="S86" i="19" a="1"/>
  <c r="S86" i="19" s="1"/>
  <c r="AP86" i="19" a="1"/>
  <c r="AP86" i="19" s="1"/>
  <c r="Q89" i="19" a="1"/>
  <c r="Q89" i="19" s="1"/>
  <c r="AP89" i="19" a="1"/>
  <c r="AP89" i="19" s="1"/>
  <c r="Y90" i="19" a="1"/>
  <c r="Y90" i="19" s="1"/>
  <c r="E91" i="19" a="1"/>
  <c r="E91" i="19" s="1"/>
  <c r="AN92" i="19" a="1"/>
  <c r="AN92" i="19" s="1"/>
  <c r="Z93" i="19" a="1"/>
  <c r="Z93" i="19" s="1"/>
  <c r="G94" i="19" a="1"/>
  <c r="G94" i="19" s="1"/>
  <c r="AG94" i="19" a="1"/>
  <c r="AG94" i="19" s="1"/>
  <c r="AL95" i="19" a="1"/>
  <c r="AL95" i="19" s="1"/>
  <c r="D97" i="19" a="1"/>
  <c r="D97" i="19" s="1"/>
  <c r="AG97" i="19" a="1"/>
  <c r="AG97" i="19" s="1"/>
  <c r="V98" i="19" a="1"/>
  <c r="V98" i="19" s="1"/>
  <c r="D99" i="19" a="1"/>
  <c r="D99" i="19" s="1"/>
  <c r="AG99" i="19" a="1"/>
  <c r="AG99" i="19" s="1"/>
  <c r="V100" i="19" a="1"/>
  <c r="V100" i="19" s="1"/>
  <c r="C101" i="19" a="1"/>
  <c r="C101" i="19" s="1"/>
  <c r="AH101" i="19" a="1"/>
  <c r="AH101" i="19" s="1"/>
  <c r="T102" i="19" a="1"/>
  <c r="T102" i="19" s="1"/>
  <c r="AQ102" i="19" a="1"/>
  <c r="AQ102" i="19" s="1"/>
  <c r="AD103" i="19" a="1"/>
  <c r="AD103" i="19" s="1"/>
  <c r="O104" i="19" a="1"/>
  <c r="O104" i="19" s="1"/>
  <c r="AO104" i="19" a="1"/>
  <c r="AO104" i="19" s="1"/>
  <c r="N106" i="19" a="1"/>
  <c r="N106" i="19" s="1"/>
  <c r="B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2" i="5"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<sst xmlns="http://schemas.openxmlformats.org/spreadsheetml/2006/main" count="3694" uniqueCount="1075">
  <si>
    <t>Source:</t>
  </si>
  <si>
    <t>OECD</t>
  </si>
  <si>
    <t>Notes</t>
  </si>
  <si>
    <t/>
  </si>
  <si>
    <t>ISIC 01T03</t>
  </si>
  <si>
    <t>ISIC 07T08</t>
  </si>
  <si>
    <t>ISIC 09</t>
  </si>
  <si>
    <t>ISIC 10T12</t>
  </si>
  <si>
    <t>ISIC 13T15</t>
  </si>
  <si>
    <t>ISIC 16</t>
  </si>
  <si>
    <t>ISIC 17T18</t>
  </si>
  <si>
    <t>ISIC 19</t>
  </si>
  <si>
    <t>ISIC 22</t>
  </si>
  <si>
    <t>ISIC 25</t>
  </si>
  <si>
    <t>ISIC 26</t>
  </si>
  <si>
    <t>ISIC 27</t>
  </si>
  <si>
    <t>ISIC 28</t>
  </si>
  <si>
    <t>ISIC 29</t>
  </si>
  <si>
    <t>ISIC 30</t>
  </si>
  <si>
    <t>ISIC 31T33</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</si>
  <si>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</si>
  <si>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</si>
  <si>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</si>
  <si>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</si>
  <si>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</si>
  <si>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</si>
  <si>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</si>
  <si>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</si>
  <si>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</si>
  <si>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</si>
  <si>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</si>
  <si>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</si>
  <si>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</si>
  <si>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</si>
  <si>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</si>
  <si>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Input-Output Tables 2018 Edition (ISIC Rev. 4)</t>
  </si>
  <si>
    <t>OECD Stat directly provides Leontief inverse matrices, both total and domestic-only, for</t>
  </si>
  <si>
    <t>64 countries and regions.</t>
  </si>
  <si>
    <t>If you don't have a pre-calculated Leontief inverse matrix, you can calculate one from a standard</t>
  </si>
  <si>
    <t>which can be done in Excel with the MINVERSE function.</t>
  </si>
  <si>
    <t>the diagonal and values between 0 and 0.3 elsewhere (usually between 0 and 0.1).</t>
  </si>
  <si>
    <t>as the column headings).  There should be no "total" or other special rows or columns.</t>
  </si>
  <si>
    <t>A domestic-only Leontief matrix filters out payments to foreign suppliers from the respending</t>
  </si>
  <si>
    <t>calculations.  This type of Leontief matrix must be multiplied by a change in domestic (not total)</t>
  </si>
  <si>
    <t>Conversely, a "Total" Leontief matrix must be multiplied by a change in total (not domestic)</t>
  </si>
  <si>
    <t>output by ISIC code, as it does not filter the direct output changes by which it is multiplied.</t>
  </si>
  <si>
    <t>output by ISIC code, as it cannot restore imports that were removed from the direct output changes</t>
  </si>
  <si>
    <t>by which it is multiplied.</t>
  </si>
  <si>
    <t>Meaning</t>
  </si>
  <si>
    <t>ISIC Code</t>
  </si>
  <si>
    <t>Pasted as Values</t>
  </si>
  <si>
    <t>01T03: Agriculture, forestry and fishing</t>
  </si>
  <si>
    <t>07T08: Mining and quarrying of non-energy producing products</t>
  </si>
  <si>
    <t>09: Mining support service activities</t>
  </si>
  <si>
    <t>10T12: Food products, beverages and tobacco</t>
  </si>
  <si>
    <t>13T15: Textiles, wearing apparel, leather and related products</t>
  </si>
  <si>
    <t>16: Wood and of products of wood and cork (except furniture)</t>
  </si>
  <si>
    <t>17T18: Paper products and printing</t>
  </si>
  <si>
    <t>19: Coke and refined petroleum products</t>
  </si>
  <si>
    <t>ISIC 20</t>
  </si>
  <si>
    <t>ISIC 21</t>
  </si>
  <si>
    <t>22: Rubber and plastics products</t>
  </si>
  <si>
    <t>25: Fabricated metal products, except machinery and equipment</t>
  </si>
  <si>
    <t>26: Computer, electronic and optical products</t>
  </si>
  <si>
    <t>27: Electrical equipment</t>
  </si>
  <si>
    <t>28: Machinery and equipment n.e.c.</t>
  </si>
  <si>
    <t>29: Motor vehicles, trailers and semi-trailers</t>
  </si>
  <si>
    <t>30: Other transport equipment</t>
  </si>
  <si>
    <t>31T33: Other manufacturing; repair and installation of machinery and equipment</t>
  </si>
  <si>
    <t>41T43: Construction</t>
  </si>
  <si>
    <t>45T47: Wholesale and retail trade; repair of motor vehicles</t>
  </si>
  <si>
    <t>49T53: Transportation and storage</t>
  </si>
  <si>
    <t>55T56: Accomodation and food services</t>
  </si>
  <si>
    <t>58T60: Publishing, audiovisual and broadcasting activities</t>
  </si>
  <si>
    <t>61: Telecommunications</t>
  </si>
  <si>
    <t>62T63: IT and other information services</t>
  </si>
  <si>
    <t>64T66: Financial and insurance activities</t>
  </si>
  <si>
    <t>68: Real estate activities</t>
  </si>
  <si>
    <t>69T82: Other business sector services</t>
  </si>
  <si>
    <t>84: Public administration and defence; compulsory social security</t>
  </si>
  <si>
    <t>85: Education</t>
  </si>
  <si>
    <t>86T88: Human health and social work</t>
  </si>
  <si>
    <t>90T96: Arts, entertainment, recreation and other service activities</t>
  </si>
  <si>
    <t>97T98: Private households with employed persons</t>
  </si>
  <si>
    <t>Industry Codes and Aggregations in the Industry Economic Accounts</t>
  </si>
  <si>
    <t>Estimates in the Industry Economic Accounts of the Bureau of Economic Analysis (BEA) are generally available at four levels of detail: sector (21 industry groups), summary (71 industry groups), underlying summary (138 industry groups), and detail (405 industry groups).  For most data products, estimates at the detail level are available only for estimate year 2012. This table shows the relationship between these four levels of detail as well as how each level relates to the 2012 North American Industry Classification System (NAICS) code structure.</t>
  </si>
  <si>
    <t>BEA Industry Code</t>
  </si>
  <si>
    <t>Industry Title</t>
  </si>
  <si>
    <t>Sector</t>
  </si>
  <si>
    <t>Summary</t>
  </si>
  <si>
    <t>U.Summary</t>
  </si>
  <si>
    <t>Detail</t>
  </si>
  <si>
    <t>Related 2012 NAICS Codes</t>
  </si>
  <si>
    <t>Matching OECD ISIC Code</t>
  </si>
  <si>
    <t>AGRICULTURE, FORESTRY, FISHING, AND HUNTING</t>
  </si>
  <si>
    <t>111CA</t>
  </si>
  <si>
    <t>Farms</t>
  </si>
  <si>
    <t>Crop production</t>
  </si>
  <si>
    <t>1111A0</t>
  </si>
  <si>
    <t>Oilseed farming</t>
  </si>
  <si>
    <t>11111-2</t>
  </si>
  <si>
    <t>1111B0</t>
  </si>
  <si>
    <t>Grain farming</t>
  </si>
  <si>
    <t>11113-6, 11119</t>
  </si>
  <si>
    <t>Vegetable and melon farming</t>
  </si>
  <si>
    <t>Fruit and tree nut farming</t>
  </si>
  <si>
    <t>Greenhouse, nursery, and floriculture production</t>
  </si>
  <si>
    <t>Other crop farming</t>
  </si>
  <si>
    <t>Animal production and aquaculture</t>
  </si>
  <si>
    <t>1121A0</t>
  </si>
  <si>
    <t>Beef cattle ranching and farming, including feedlots and dual-purpose ranching and farming</t>
  </si>
  <si>
    <t>11211, 11213</t>
  </si>
  <si>
    <t>Dairy cattle and milk production</t>
  </si>
  <si>
    <t>112A00</t>
  </si>
  <si>
    <t>Animal production, except cattle and poultry and eggs</t>
  </si>
  <si>
    <t>1122, 1124-5, 1129</t>
  </si>
  <si>
    <t>Poultry and egg production</t>
  </si>
  <si>
    <t>113FF</t>
  </si>
  <si>
    <t>Forestry, fishing, and related activities</t>
  </si>
  <si>
    <t>Forestry and logging</t>
  </si>
  <si>
    <t>Fishing, hunting and trapping</t>
  </si>
  <si>
    <t>Support activities for agriculture and forestry</t>
  </si>
  <si>
    <t>MINING</t>
  </si>
  <si>
    <t>Oil and gas extraction</t>
  </si>
  <si>
    <t>Mining, except oil and gas</t>
  </si>
  <si>
    <t>Coal mining</t>
  </si>
  <si>
    <t>2122A0</t>
  </si>
  <si>
    <t>Iron, gold, silver, and other metal ore mining</t>
  </si>
  <si>
    <t>21221, 21222, 21229</t>
  </si>
  <si>
    <t>Copper, nickel, lead, and zinc mining</t>
  </si>
  <si>
    <t>Stone mining and quarrying</t>
  </si>
  <si>
    <t>2123A0</t>
  </si>
  <si>
    <t>Other nonmetallic mineral mining and quarrying</t>
  </si>
  <si>
    <t>21232, 21239</t>
  </si>
  <si>
    <t>Support activities for mining</t>
  </si>
  <si>
    <t>Drilling oil and gas wells</t>
  </si>
  <si>
    <t>21311A</t>
  </si>
  <si>
    <t>Other support activities for mining</t>
  </si>
  <si>
    <t>213112-5</t>
  </si>
  <si>
    <t>UTILITIES</t>
  </si>
  <si>
    <t>Utilities</t>
  </si>
  <si>
    <t>Electric power generation, transmission, and distribution</t>
  </si>
  <si>
    <t>2212NW</t>
  </si>
  <si>
    <t>Natural gas distribution and water, sewage and other systems</t>
  </si>
  <si>
    <t>Natural gas distribution</t>
  </si>
  <si>
    <t>Water, sewage and other systems</t>
  </si>
  <si>
    <t>CONSTRUCTION</t>
  </si>
  <si>
    <t>Construction</t>
  </si>
  <si>
    <t>23EH</t>
  </si>
  <si>
    <t>Education, hospital, and health structures</t>
  </si>
  <si>
    <t>Health care structures</t>
  </si>
  <si>
    <t>†</t>
  </si>
  <si>
    <t>23*</t>
  </si>
  <si>
    <t>Educational and vocational structures</t>
  </si>
  <si>
    <t>23OC</t>
  </si>
  <si>
    <t>Office and commercial structures</t>
  </si>
  <si>
    <t>2332A0</t>
  </si>
  <si>
    <t>23PC</t>
  </si>
  <si>
    <t>Power and communication structures</t>
  </si>
  <si>
    <t>23TH</t>
  </si>
  <si>
    <t>Transportation structures and highways and streets</t>
  </si>
  <si>
    <t>2332C0</t>
  </si>
  <si>
    <t>23OT</t>
  </si>
  <si>
    <t>Other nonresidential structures</t>
  </si>
  <si>
    <t>Manufacturing structures</t>
  </si>
  <si>
    <t>2332D0</t>
  </si>
  <si>
    <t>23SF</t>
  </si>
  <si>
    <t>Single-family residential structures</t>
  </si>
  <si>
    <t>23OR</t>
  </si>
  <si>
    <t>Other residential construction</t>
  </si>
  <si>
    <t>Multifamily residential structures</t>
  </si>
  <si>
    <t>2334A0</t>
  </si>
  <si>
    <t>Other residential structures</t>
  </si>
  <si>
    <t>23MR</t>
  </si>
  <si>
    <t>Maintenance and repair construction</t>
  </si>
  <si>
    <t>Nonresidential maintenance and repair</t>
  </si>
  <si>
    <t>Residential maintenance and repair</t>
  </si>
  <si>
    <t>33DG</t>
  </si>
  <si>
    <t>DURABLE GOODS</t>
  </si>
  <si>
    <t>Wood products</t>
  </si>
  <si>
    <t>Sawmills and wood preservation</t>
  </si>
  <si>
    <t>Veneer, plywood, and engineered wood product manufacturing</t>
  </si>
  <si>
    <t>Millwork</t>
  </si>
  <si>
    <t>3219A0</t>
  </si>
  <si>
    <t>All other wood product manufacturing</t>
  </si>
  <si>
    <t>32192-9</t>
  </si>
  <si>
    <t>Nonmetallic mineral products</t>
  </si>
  <si>
    <t>Clay product and refractory manufacturing</t>
  </si>
  <si>
    <t>Glass and glass product manufacturing</t>
  </si>
  <si>
    <t>Cement manufacturing</t>
  </si>
  <si>
    <t>Ready-mix concrete manufacturing</t>
  </si>
  <si>
    <t>Concrete pipe, brick, and block manufacturing</t>
  </si>
  <si>
    <t>Other concrete product manufacturing</t>
  </si>
  <si>
    <t>Lime and gypsum product manufacturing</t>
  </si>
  <si>
    <t>Abrasive product manufacturing</t>
  </si>
  <si>
    <t>Cut stone and stone product manufacturing</t>
  </si>
  <si>
    <t>Ground or treated mineral and earth manufacturing</t>
  </si>
  <si>
    <t>Mineral wool manufacturing</t>
  </si>
  <si>
    <t>Miscellaneous nonmetallic mineral products</t>
  </si>
  <si>
    <t>Primary metals</t>
  </si>
  <si>
    <t>3311IS</t>
  </si>
  <si>
    <t>Iron and steel mills and manufacturing from purchased steel</t>
  </si>
  <si>
    <t>Iron and steel mills and ferroalloy manufacturing</t>
  </si>
  <si>
    <t>Steel product manufacturing from purchased steel</t>
  </si>
  <si>
    <t>3313NF</t>
  </si>
  <si>
    <t>Nonferrous metal production and processing and foundries</t>
  </si>
  <si>
    <t>Alumina refining and primary aluminum production</t>
  </si>
  <si>
    <t>Secondary smelting and alloying of aluminum</t>
  </si>
  <si>
    <t>‡</t>
  </si>
  <si>
    <t>33131B</t>
  </si>
  <si>
    <t>Aluminum product manufacturing from purchased aluminum</t>
  </si>
  <si>
    <t>331315, 331318</t>
  </si>
  <si>
    <t>Nonferrous metal (except aluminum) smelting and refining</t>
  </si>
  <si>
    <t>Copper rolling, drawing, extruding and alloying</t>
  </si>
  <si>
    <t>Nonferrous metal (except copper and aluminum) rolling, drawing, extruding and alloying</t>
  </si>
  <si>
    <t>Ferrous metal foundries</t>
  </si>
  <si>
    <t>Nonferrous metal foundries</t>
  </si>
  <si>
    <t>Fabricated metal products</t>
  </si>
  <si>
    <t>33211A</t>
  </si>
  <si>
    <t>All other forging, stamping, and sintering</t>
  </si>
  <si>
    <t>332111-2, 332117</t>
  </si>
  <si>
    <t>Custom roll forming</t>
  </si>
  <si>
    <t>Metal crown, closure, and other metal stamping (except automotive)</t>
  </si>
  <si>
    <t>Cutlery and handtool manufacturing</t>
  </si>
  <si>
    <t>Plate work and fabricated structural product manufacturing</t>
  </si>
  <si>
    <t>Ornamental and architectural metal products manufacturing</t>
  </si>
  <si>
    <t>Power boiler and heat exchanger manufacturing</t>
  </si>
  <si>
    <t>Metal tank (heavy gauge) manufacturing</t>
  </si>
  <si>
    <t>Metal can, box, and other metal container (light gauge) manufacturing</t>
  </si>
  <si>
    <t>Hardware manufacturing</t>
  </si>
  <si>
    <t>Spring and wire product manufacturing</t>
  </si>
  <si>
    <t>Machine shops</t>
  </si>
  <si>
    <t>Turned product and screw, nut, and bolt manufacturing</t>
  </si>
  <si>
    <t>Coating, engraving, heat treating and allied activities</t>
  </si>
  <si>
    <t>33291A</t>
  </si>
  <si>
    <t>Valve and fittings other than plumbing</t>
  </si>
  <si>
    <t>332911-2, 332919</t>
  </si>
  <si>
    <t>Plumbing fixture fitting and trim manufacturing</t>
  </si>
  <si>
    <t>Ball and roller bearing manufacturing</t>
  </si>
  <si>
    <t>33299A</t>
  </si>
  <si>
    <t>Ammunition, arms, ordnance, and accessories manufacturing</t>
  </si>
  <si>
    <t>332992-4</t>
  </si>
  <si>
    <t>Fabricated pipe and pipe fitting manufacturing</t>
  </si>
  <si>
    <t>Other fabricated metal manufacturing</t>
  </si>
  <si>
    <t>Machinery</t>
  </si>
  <si>
    <t>Agricultural implement manufacturing</t>
  </si>
  <si>
    <t>Farm machinery and equipment manufacturing</t>
  </si>
  <si>
    <t>Lawn and garden equipment manufacturing</t>
  </si>
  <si>
    <t>Construction machinery manufacturing</t>
  </si>
  <si>
    <t>Mining and oil and gas field machinery manufacturing</t>
  </si>
  <si>
    <t>3332OM</t>
  </si>
  <si>
    <t>Other machinery</t>
  </si>
  <si>
    <t>Semiconductor machinery manufacturing</t>
  </si>
  <si>
    <t>33329A</t>
  </si>
  <si>
    <t>Other industrial machinery manufacturing</t>
  </si>
  <si>
    <t>333241, 333243, 333244, 333249</t>
  </si>
  <si>
    <t>Optical instrument and lens manufacturing</t>
  </si>
  <si>
    <t>Photographic and photocopying equipment manufacturing</t>
  </si>
  <si>
    <t>Other commercial and service industry machinery manufacturing</t>
  </si>
  <si>
    <t>Industrial and commercial fan and blower and air purification equipment manufacturing</t>
  </si>
  <si>
    <t>Heating equipment (except warm air furnaces) manufacturing</t>
  </si>
  <si>
    <t>Air conditioning, refrigeration, and warm air heating equipment manufacturing</t>
  </si>
  <si>
    <t>Industrial mold manufacturing</t>
  </si>
  <si>
    <t>Machine tool manufacturing</t>
  </si>
  <si>
    <t>Special tool, die, jig, and fixture manufacturing</t>
  </si>
  <si>
    <t>33351B</t>
  </si>
  <si>
    <t>Cutting and machine tool accessory, rolling mill, and other metalworking machinery manufacturing</t>
  </si>
  <si>
    <t>333515, 333519</t>
  </si>
  <si>
    <t>Turbine and turbine generator set units manufacturing</t>
  </si>
  <si>
    <t>Speed changer, industrial high-speed drive, and gear manufacturing</t>
  </si>
  <si>
    <t>Mechanical power transmission equipment manufacturing</t>
  </si>
  <si>
    <t>Other engine equipment manufacturing</t>
  </si>
  <si>
    <t>33391A</t>
  </si>
  <si>
    <t>Pump and pumping equipment manufacturing</t>
  </si>
  <si>
    <t>333911, 333913</t>
  </si>
  <si>
    <t>Air and gas compressor manufacturing</t>
  </si>
  <si>
    <t>Material handling equipment manufacturing</t>
  </si>
  <si>
    <t>Power-driven handtool manufacturing</t>
  </si>
  <si>
    <t>33399A</t>
  </si>
  <si>
    <t>Other general purpose machinery manufacturing</t>
  </si>
  <si>
    <t>333992, 333997, 333999</t>
  </si>
  <si>
    <t>Packaging machinery manufacturing</t>
  </si>
  <si>
    <t>Industrial process furnace and oven manufacturing</t>
  </si>
  <si>
    <t>33399B</t>
  </si>
  <si>
    <t>Fluid power process machinery</t>
  </si>
  <si>
    <t>333995-6</t>
  </si>
  <si>
    <t>Computer and electronic products</t>
  </si>
  <si>
    <t>Computer and peripheral equipment manufacturing</t>
  </si>
  <si>
    <t>Electronic computer manufacturing</t>
  </si>
  <si>
    <t>Computer storage device manufacturing</t>
  </si>
  <si>
    <t>Computer terminals and other computer peripheral equipment manufacturing</t>
  </si>
  <si>
    <t>Communications equipment manufacturing</t>
  </si>
  <si>
    <t>Telephone apparatus manufacturing</t>
  </si>
  <si>
    <t>Broadcast and wireless communications equipment</t>
  </si>
  <si>
    <t>Other communications equipment manufacturing</t>
  </si>
  <si>
    <t>Semiconductor and other electronic component manufacturing</t>
  </si>
  <si>
    <t>Semiconductor and related device manufacturing</t>
  </si>
  <si>
    <t>Printed circuit assembly (electronic assembly) manufacturing</t>
  </si>
  <si>
    <t>33441A</t>
  </si>
  <si>
    <t>Other electronic component manufacturing</t>
  </si>
  <si>
    <t>334412, 334416, 334417, 334419</t>
  </si>
  <si>
    <t>Navigational, measuring, electromedical, and control instruments manufacturing</t>
  </si>
  <si>
    <t>Electromedical and electrotherapeutic apparatus manufacturing</t>
  </si>
  <si>
    <t>Search, detection, and navigation instruments manufacturing</t>
  </si>
  <si>
    <t>Automatic environmental control manufacturing</t>
  </si>
  <si>
    <t>Industrial process variable instruments manufacturing</t>
  </si>
  <si>
    <t>Totalizing fluid meter and counting device manufacturing</t>
  </si>
  <si>
    <t>Electricity and signal testing instruments manufacturing</t>
  </si>
  <si>
    <t>Analytical laboratory instrument manufacturing</t>
  </si>
  <si>
    <t>Irradiation apparatus manufacturing</t>
  </si>
  <si>
    <t>33451A</t>
  </si>
  <si>
    <t>Watch, clock, and other measuring and controlling device manufacturing</t>
  </si>
  <si>
    <t>334X</t>
  </si>
  <si>
    <t>Other computer and electronic product manufacturing</t>
  </si>
  <si>
    <t>Audio and video equipment manufacturing</t>
  </si>
  <si>
    <t>Manufacturing and reproducing magnetic and optical media</t>
  </si>
  <si>
    <t>Electrical equipment, appliances, and components</t>
  </si>
  <si>
    <t>Electric lamp bulb and part manufacturing</t>
  </si>
  <si>
    <t>Lighting fixture manufacturing</t>
  </si>
  <si>
    <t>Small electrical appliance manufacturing</t>
  </si>
  <si>
    <t>Household cooking appliance manufacturing</t>
  </si>
  <si>
    <t>Household refrigerator and home freezer manufacturing</t>
  </si>
  <si>
    <t>Household laundry equipment manufacturing</t>
  </si>
  <si>
    <t>Other major household appliance manufacturing</t>
  </si>
  <si>
    <t>Power, distribution, and specialty transformer manufacturing</t>
  </si>
  <si>
    <t>Motor and generator manufacturing</t>
  </si>
  <si>
    <t>Switchgear and switchboard apparatus manufacturing</t>
  </si>
  <si>
    <t>Relay and industrial control manufacturing</t>
  </si>
  <si>
    <t>Storage battery manufacturing</t>
  </si>
  <si>
    <t>Primary battery manufacturing</t>
  </si>
  <si>
    <t>Communication and energy wire and cable manufacturing</t>
  </si>
  <si>
    <t>Wiring device manufacturing</t>
  </si>
  <si>
    <t>Carbon and graphite product manufacturing</t>
  </si>
  <si>
    <t>All other miscellaneous electrical equipment and component manufacturing</t>
  </si>
  <si>
    <t>3361MV</t>
  </si>
  <si>
    <t>Motor vehicles, bodies and trailers, and parts</t>
  </si>
  <si>
    <t>Automobile manufacturing</t>
  </si>
  <si>
    <t>Light truck and utility vehicle manufacturing</t>
  </si>
  <si>
    <t>Heavy duty truck manufacturing</t>
  </si>
  <si>
    <t>3362BP</t>
  </si>
  <si>
    <t>Motor vehicle body, trailer, and parts manufacturing</t>
  </si>
  <si>
    <t>Motor vehicle body manufacturing</t>
  </si>
  <si>
    <t>Truck trailer manufacturing</t>
  </si>
  <si>
    <t>Motor home manufacturing</t>
  </si>
  <si>
    <t>Travel trailer and camper manufacturing</t>
  </si>
  <si>
    <t>Motor vehicle gasoline engine and engine parts manufacturing</t>
  </si>
  <si>
    <t>Motor vehicle electrical and electronic equipment manufacturing</t>
  </si>
  <si>
    <t>3363A0</t>
  </si>
  <si>
    <t>Motor vehicle steering, suspension component (except spring), and brake systems manufacturing</t>
  </si>
  <si>
    <t>33633-4</t>
  </si>
  <si>
    <t>Motor vehicle transmission and power train parts manufacturing</t>
  </si>
  <si>
    <t>Motor vehicle seating and interior trim manufacturing</t>
  </si>
  <si>
    <t>Motor vehicle metal stamping</t>
  </si>
  <si>
    <t>Other motor vehicle parts manufacturing</t>
  </si>
  <si>
    <t>3364OT</t>
  </si>
  <si>
    <t>Other transportation equipment</t>
  </si>
  <si>
    <t>Aerospace product and parts manufacturing</t>
  </si>
  <si>
    <t>Aircraft manufacturing</t>
  </si>
  <si>
    <t>Aircraft engine and engine parts manufacturing</t>
  </si>
  <si>
    <t>Other aircraft parts and auxiliary equipment manufacturing</t>
  </si>
  <si>
    <t>Guided missile and space vehicle manufacturing</t>
  </si>
  <si>
    <t>33641A</t>
  </si>
  <si>
    <t>Propulsion units and parts for space vehicles and guided missiles</t>
  </si>
  <si>
    <t>336415, 336419</t>
  </si>
  <si>
    <t>3365AO</t>
  </si>
  <si>
    <t>All other transportation equipment manufacturing</t>
  </si>
  <si>
    <t>Railroad rolling stock manufacturing</t>
  </si>
  <si>
    <t>Ship building and repairing</t>
  </si>
  <si>
    <t>Boat building</t>
  </si>
  <si>
    <t>Motorcycle, bicycle, and parts manufacturing</t>
  </si>
  <si>
    <t>Military armored vehicle, tank, and tank component manufacturing</t>
  </si>
  <si>
    <t>Furniture and related products</t>
  </si>
  <si>
    <t>Wood kitchen cabinet and countertop manufacturing</t>
  </si>
  <si>
    <t>Upholstered household furniture manufacturing</t>
  </si>
  <si>
    <t>Nonupholstered wood household furniture manufacturing</t>
  </si>
  <si>
    <t>33712N</t>
  </si>
  <si>
    <t>Other household nonupholstered furniture</t>
  </si>
  <si>
    <t>337124-5</t>
  </si>
  <si>
    <t>Institutional furniture manufacturing</t>
  </si>
  <si>
    <t>33721A</t>
  </si>
  <si>
    <t>Office furniture and custom architectural woodwork and millwork manufacturing</t>
  </si>
  <si>
    <t>337211-2, 337214</t>
  </si>
  <si>
    <t>Showcase, partition, shelving, and locker manufacturing</t>
  </si>
  <si>
    <t>Other furniture related product manufacturing</t>
  </si>
  <si>
    <t>Miscellaneous manufacturing</t>
  </si>
  <si>
    <t>Medical equipment and supplies manufacturing</t>
  </si>
  <si>
    <t>Surgical and medical instrument manufacturing</t>
  </si>
  <si>
    <t>Surgical appliance and supplies manufacturing</t>
  </si>
  <si>
    <t>Dental equipment and supplies manufacturing</t>
  </si>
  <si>
    <t>Ophthalmic goods manufacturing</t>
  </si>
  <si>
    <t>Dental laboratories</t>
  </si>
  <si>
    <t>Other miscellaneous manufacturing</t>
  </si>
  <si>
    <t>Jewelry and silverware manufacturing</t>
  </si>
  <si>
    <t>Sporting and athletic goods manufacturing</t>
  </si>
  <si>
    <t>Doll, toy, and game manufacturing</t>
  </si>
  <si>
    <t>Office supplies (except paper) manufacturing</t>
  </si>
  <si>
    <t>Sign manufacturing</t>
  </si>
  <si>
    <t>All other miscellaneous manufacturing</t>
  </si>
  <si>
    <t>31ND</t>
  </si>
  <si>
    <t>NONDURABLE GOODS</t>
  </si>
  <si>
    <t>311FT</t>
  </si>
  <si>
    <t>Food and beverage and tobacco products</t>
  </si>
  <si>
    <t>Food manufacturing</t>
  </si>
  <si>
    <t>Dog and cat food manufacturing</t>
  </si>
  <si>
    <t>Other animal food manufacturing</t>
  </si>
  <si>
    <t>Flour milling and malt manufacturing</t>
  </si>
  <si>
    <t>Wet corn milling</t>
  </si>
  <si>
    <t>Soybean and other oilseed processing</t>
  </si>
  <si>
    <t>Fats and oils refining and blending</t>
  </si>
  <si>
    <t>Breakfast cereal manufacturing</t>
  </si>
  <si>
    <t>Sugar and confectionery product manufacturing</t>
  </si>
  <si>
    <t>Frozen food manufacturing</t>
  </si>
  <si>
    <t>Fruit and vegetable canning, pickling, and drying</t>
  </si>
  <si>
    <t>31151A</t>
  </si>
  <si>
    <t>Fluid milk and butter manufacturing</t>
  </si>
  <si>
    <t>311511-2</t>
  </si>
  <si>
    <t>Cheese manufacturing</t>
  </si>
  <si>
    <t>Dry, condensed, and evaporated dairy product manufacturing</t>
  </si>
  <si>
    <t>Ice cream and frozen dessert manufacturing</t>
  </si>
  <si>
    <t>31161A</t>
  </si>
  <si>
    <t>Animal (except poultry) slaughtering, rendering, and processing</t>
  </si>
  <si>
    <t>311611-3</t>
  </si>
  <si>
    <t>Poultry processing</t>
  </si>
  <si>
    <t>Seafood product preparation and packaging</t>
  </si>
  <si>
    <t>Bread and bakery product manufacturing</t>
  </si>
  <si>
    <t>3118A0</t>
  </si>
  <si>
    <t>Cookie, cracker, pasta, and tortilla manufacturing</t>
  </si>
  <si>
    <t>31182-3</t>
  </si>
  <si>
    <t>Snack food manufacturing</t>
  </si>
  <si>
    <t>Coffee and tea manufacturing</t>
  </si>
  <si>
    <t>Flavoring syrup and concentrate manufacturing</t>
  </si>
  <si>
    <t>Seasoning and dressing manufacturing</t>
  </si>
  <si>
    <t>All other food manufacturing</t>
  </si>
  <si>
    <t>Beverage manufacturing</t>
  </si>
  <si>
    <t>Soft drink and ice manufacturing</t>
  </si>
  <si>
    <t>Breweries</t>
  </si>
  <si>
    <t>Wineries</t>
  </si>
  <si>
    <t>Distilleries</t>
  </si>
  <si>
    <t>Tobacco manufacturing</t>
  </si>
  <si>
    <t>313TT</t>
  </si>
  <si>
    <t>Textile mills and textile product mills</t>
  </si>
  <si>
    <t>Fiber, yarn, and thread mills</t>
  </si>
  <si>
    <t>Fabric mills</t>
  </si>
  <si>
    <t>Textile and fabric finishing and fabric coating mills</t>
  </si>
  <si>
    <t>Carpet and rug mills</t>
  </si>
  <si>
    <t>Curtain and linen mills</t>
  </si>
  <si>
    <t>Other textile product mills</t>
  </si>
  <si>
    <t>315AL</t>
  </si>
  <si>
    <t>Apparel and leather and allied products</t>
  </si>
  <si>
    <t>Apparel manufacturing</t>
  </si>
  <si>
    <t>Leather and allied product manufacturing</t>
  </si>
  <si>
    <t>Paper products</t>
  </si>
  <si>
    <t>Pulp mills</t>
  </si>
  <si>
    <t>Paper mills</t>
  </si>
  <si>
    <t>Paperboard mills</t>
  </si>
  <si>
    <t>Paperboard container manufacturing</t>
  </si>
  <si>
    <t>Paper bag and coated and treated paper manufacturing</t>
  </si>
  <si>
    <t>Stationery product manufacturing</t>
  </si>
  <si>
    <t>Sanitary paper product manufacturing</t>
  </si>
  <si>
    <t>All other converted paper product manufacturing</t>
  </si>
  <si>
    <t>Printing and related support activities</t>
  </si>
  <si>
    <t>Printing</t>
  </si>
  <si>
    <t xml:space="preserve">32311
</t>
  </si>
  <si>
    <t>Support activities for printing</t>
  </si>
  <si>
    <t>Petroleum and coal products</t>
  </si>
  <si>
    <t>Petroleum refineries</t>
  </si>
  <si>
    <t>Asphalt paving mixture and block manufacturing</t>
  </si>
  <si>
    <t>Asphalt shingle and coating materials manufacturing</t>
  </si>
  <si>
    <t>Other petroleum and coal products manufacturing</t>
  </si>
  <si>
    <t>Chemical products</t>
  </si>
  <si>
    <t>Basic chemical manufacturing</t>
  </si>
  <si>
    <t>Petrochemical manufacturing</t>
  </si>
  <si>
    <t>Industrial gas manufacturing</t>
  </si>
  <si>
    <t>Synthetic dye and pigment manufacturing</t>
  </si>
  <si>
    <t>Other basic inorganic chemical manufacturing</t>
  </si>
  <si>
    <t>Other basic organic chemical manufacturing</t>
  </si>
  <si>
    <t>Resin, rubber, and artificial fibers manufacturing</t>
  </si>
  <si>
    <t>Plastics material and resin manufacturing</t>
  </si>
  <si>
    <t>3252A0</t>
  </si>
  <si>
    <t>Synthetic rubber and artificial and synthetic fibers and filaments manufacturing</t>
  </si>
  <si>
    <t>325212, 32522</t>
  </si>
  <si>
    <t>Pharmaceutical and medicine manufacturing</t>
  </si>
  <si>
    <t>Medicinal and botanical manufacturing</t>
  </si>
  <si>
    <t>Pharmaceutical preparation manufacturing</t>
  </si>
  <si>
    <t>In-vitro diagnostic substance manufacturing</t>
  </si>
  <si>
    <t>Biological product (except diagnostic) manufacturing</t>
  </si>
  <si>
    <t>325X</t>
  </si>
  <si>
    <t>Other chemical manufacturing</t>
  </si>
  <si>
    <t>Fertilizer manufacturing</t>
  </si>
  <si>
    <t>Pesticide and other agricultural chemical manufacturing</t>
  </si>
  <si>
    <t>Paint and coating manufacturing</t>
  </si>
  <si>
    <t>Adhesive manufacturing</t>
  </si>
  <si>
    <t>Soap and cleaning compound manufacturing</t>
  </si>
  <si>
    <t>Toilet preparation manufacturing</t>
  </si>
  <si>
    <t>Printing ink manufacturing</t>
  </si>
  <si>
    <t>3259A0</t>
  </si>
  <si>
    <t>All other chemical product and preparation manufacturing</t>
  </si>
  <si>
    <t>32592, 32599</t>
  </si>
  <si>
    <t>Plastics and rubber products</t>
  </si>
  <si>
    <t>Plastics packaging materials and unlaminated film and sheet manufacturing</t>
  </si>
  <si>
    <t>Plastics pipe, pipe fitting, and unlaminated profile shape manufacturing</t>
  </si>
  <si>
    <t>Laminated plastics plate, sheet (except packaging), and shape manufacturing</t>
  </si>
  <si>
    <t>Polystyrene foam product manufacturing</t>
  </si>
  <si>
    <t>Urethane and other foam product (except polystyrene) manufacturing</t>
  </si>
  <si>
    <t>Plastics bottle manufacturing</t>
  </si>
  <si>
    <t>Other plastics product manufacturing</t>
  </si>
  <si>
    <t>Tire manufacturing</t>
  </si>
  <si>
    <t>Rubber and plastics hoses and belting manufacturing</t>
  </si>
  <si>
    <t>Other rubber product manufacturing</t>
  </si>
  <si>
    <t>WHOLESALE TRADE</t>
  </si>
  <si>
    <t>Wholesale trade</t>
  </si>
  <si>
    <t>Motor vehicle and motor vehicle parts and supplies</t>
  </si>
  <si>
    <t>Professional and commercial equipment and supplies</t>
  </si>
  <si>
    <t>Household appliances and electrical and electronic goods</t>
  </si>
  <si>
    <t>Machinery, equipment, and supplies</t>
  </si>
  <si>
    <t>423X</t>
  </si>
  <si>
    <t>Other durable goods merchant wholesalers</t>
  </si>
  <si>
    <t>423A00</t>
  </si>
  <si>
    <t>4232, 4233, 4235, 4237, 4239</t>
  </si>
  <si>
    <t>Drugs and druggists' sundries</t>
  </si>
  <si>
    <t>Grocery and related product wholesalers</t>
  </si>
  <si>
    <t>Petroleum and petroleum products</t>
  </si>
  <si>
    <t>424X</t>
  </si>
  <si>
    <t>Other nondurable goods merchant wholesalers</t>
  </si>
  <si>
    <t>424A00</t>
  </si>
  <si>
    <t>4241, 4243, 4245, 4246, 4248, 4249</t>
  </si>
  <si>
    <t>Wholesale electronic markets and agents and brokers</t>
  </si>
  <si>
    <t>42ID</t>
  </si>
  <si>
    <t>Customs duties</t>
  </si>
  <si>
    <t>4200ID</t>
  </si>
  <si>
    <t>n.a.</t>
  </si>
  <si>
    <t>44RT</t>
  </si>
  <si>
    <t>RETAIL TRADE</t>
  </si>
  <si>
    <t>Motor vehicle and parts dealers</t>
  </si>
  <si>
    <t>Food and beverage stores</t>
  </si>
  <si>
    <t>General merchandise stores</t>
  </si>
  <si>
    <t>4A0</t>
  </si>
  <si>
    <t>Other retail</t>
  </si>
  <si>
    <t>Building material and garden equipment and supplies dealers</t>
  </si>
  <si>
    <t>Health and personal care stores</t>
  </si>
  <si>
    <t>Gasoline stations</t>
  </si>
  <si>
    <t>Clothing and clothing accessories stores</t>
  </si>
  <si>
    <t>Nonstore retailers</t>
  </si>
  <si>
    <t>4A0X</t>
  </si>
  <si>
    <t>All other retail</t>
  </si>
  <si>
    <t>4B0000</t>
  </si>
  <si>
    <t>442, 443, 451, 453</t>
  </si>
  <si>
    <t>48TW</t>
  </si>
  <si>
    <t>TRANSPORTATION AND WAREHOUSING, EXCLUDING POSTAL SERVICE</t>
  </si>
  <si>
    <t xml:space="preserve">Air transportation  </t>
  </si>
  <si>
    <t>Air transportation</t>
  </si>
  <si>
    <t xml:space="preserve">Rail transportation </t>
  </si>
  <si>
    <t>Rail transportation</t>
  </si>
  <si>
    <t>Water transportation</t>
  </si>
  <si>
    <t>Truck transportation</t>
  </si>
  <si>
    <t xml:space="preserve">Transit and ground passenger transportation </t>
  </si>
  <si>
    <t>Transit and ground passenger transportation</t>
  </si>
  <si>
    <t>Pipeline transportation</t>
  </si>
  <si>
    <t>487OS</t>
  </si>
  <si>
    <t>Other transportation and support activities</t>
  </si>
  <si>
    <t>48A</t>
  </si>
  <si>
    <t>Scenic and sightseeing transportation and support activities</t>
  </si>
  <si>
    <t>48A000</t>
  </si>
  <si>
    <t>487, 488</t>
  </si>
  <si>
    <t>Couriers and messengers</t>
  </si>
  <si>
    <t>Warehousing and storage</t>
  </si>
  <si>
    <t>INFORMATION</t>
  </si>
  <si>
    <t>Publishing industries, except internet (includes software)</t>
  </si>
  <si>
    <t>Newspaper, periodical, book, and directory publishers</t>
  </si>
  <si>
    <t>Newspaper publishers</t>
  </si>
  <si>
    <t>Periodical publishers</t>
  </si>
  <si>
    <t>Book publishers</t>
  </si>
  <si>
    <t>5111A0</t>
  </si>
  <si>
    <t>Directory, mailing list, and other publishers</t>
  </si>
  <si>
    <t>51114, 51119</t>
  </si>
  <si>
    <t>Software publishers</t>
  </si>
  <si>
    <t>Motion picture and sound recording industries</t>
  </si>
  <si>
    <t>Motion picture and video industries</t>
  </si>
  <si>
    <t>Sound recording industries</t>
  </si>
  <si>
    <t>Broadcasting and telecommunications</t>
  </si>
  <si>
    <t>Broadcasting (except Internet)</t>
  </si>
  <si>
    <t>Radio and television broadcasting</t>
  </si>
  <si>
    <t>Cable and other subscription programming</t>
  </si>
  <si>
    <t>Wired telecommunications carriers</t>
  </si>
  <si>
    <t>Wireless telecommunications carriers (except satellite)</t>
  </si>
  <si>
    <t>5174OT</t>
  </si>
  <si>
    <t>Other telecommunications, including satellite</t>
  </si>
  <si>
    <t>517A00</t>
  </si>
  <si>
    <t>Satellite, telecommunications resellers, and all other telecommunications</t>
  </si>
  <si>
    <t>5174-9</t>
  </si>
  <si>
    <t>Data processing, internet publishing, and other information services</t>
  </si>
  <si>
    <t>Data processing, hosting, and related services</t>
  </si>
  <si>
    <t>Other information services</t>
  </si>
  <si>
    <t>Internet publishing and broadcasting and Web search portals</t>
  </si>
  <si>
    <t>5191A0</t>
  </si>
  <si>
    <t>News syndicates, libraries, archives and all other information services</t>
  </si>
  <si>
    <t>51911-2, 51919</t>
  </si>
  <si>
    <t>FINANCE AND INSURANCE</t>
  </si>
  <si>
    <t>521CI</t>
  </si>
  <si>
    <t>Federal Reserve banks, credit intermediation, and related activities</t>
  </si>
  <si>
    <t>52A000</t>
  </si>
  <si>
    <t>Monetary authorities and depository credit intermediation</t>
  </si>
  <si>
    <t>521, 5221</t>
  </si>
  <si>
    <t>522A00</t>
  </si>
  <si>
    <t>Nondepository credit intermediation and related activities</t>
  </si>
  <si>
    <t>5222-3</t>
  </si>
  <si>
    <t>Securities, commodity contracts, and investments</t>
  </si>
  <si>
    <t>523A00</t>
  </si>
  <si>
    <t>Securities and commodity contracts intermediation and brokerage</t>
  </si>
  <si>
    <t>5231-2</t>
  </si>
  <si>
    <t>Other financial investment activities</t>
  </si>
  <si>
    <t>Insurance carriers and related activities</t>
  </si>
  <si>
    <t>Direct life insurance carriers</t>
  </si>
  <si>
    <t>5241X</t>
  </si>
  <si>
    <t>Insurance carriers, except direct life</t>
  </si>
  <si>
    <t>5241XX</t>
  </si>
  <si>
    <t>524114, 52412, 52413</t>
  </si>
  <si>
    <t>Agencies, brokerages, and other insurance related activities</t>
  </si>
  <si>
    <t>Insurance agencies, brokerages, and related activities</t>
  </si>
  <si>
    <t>Funds, trusts, and other financial vehicles</t>
  </si>
  <si>
    <t>REAL ESTATE AND RENTAL AND LEASING</t>
  </si>
  <si>
    <t>HS</t>
  </si>
  <si>
    <t>Housing</t>
  </si>
  <si>
    <t>HSO</t>
  </si>
  <si>
    <t>Owner-occupied housing</t>
  </si>
  <si>
    <t>531HSO</t>
  </si>
  <si>
    <t>HST</t>
  </si>
  <si>
    <t>Tenant-occupied housing</t>
  </si>
  <si>
    <t>531HST</t>
  </si>
  <si>
    <t>ORE</t>
  </si>
  <si>
    <t>Other real estate</t>
  </si>
  <si>
    <t>531ORE</t>
  </si>
  <si>
    <t>532RL</t>
  </si>
  <si>
    <t>Rental and leasing services and lessors of intangible assets</t>
  </si>
  <si>
    <t>Automotive equipment rental and leasing</t>
  </si>
  <si>
    <t>532A00</t>
  </si>
  <si>
    <t>General and consumer goods rental</t>
  </si>
  <si>
    <t>5322-3</t>
  </si>
  <si>
    <t>Commercial and industrial machinery and equipment rental and leasing</t>
  </si>
  <si>
    <t>Lessors of nonfinancial intangible assets</t>
  </si>
  <si>
    <t>PROFESSIONAL AND TECHNICAL SERVICES</t>
  </si>
  <si>
    <t>Legal services</t>
  </si>
  <si>
    <t>5412OP</t>
  </si>
  <si>
    <t>Miscellaneous professional, scientific, and technical services</t>
  </si>
  <si>
    <t>Accounting, tax preparation, bookkeeping, and payroll services</t>
  </si>
  <si>
    <t>Architectural, engineering, and related services</t>
  </si>
  <si>
    <t>Management, scientific, and technical consulting services</t>
  </si>
  <si>
    <t>Management consulting services</t>
  </si>
  <si>
    <t>5416A0</t>
  </si>
  <si>
    <t>Environmental and other technical consulting services</t>
  </si>
  <si>
    <t>54162, 54169</t>
  </si>
  <si>
    <t>Scientific research and development services</t>
  </si>
  <si>
    <t>Advertising, public relations, and related services</t>
  </si>
  <si>
    <t>541X</t>
  </si>
  <si>
    <t>Specialized design services and other professional, scientific, and technical services</t>
  </si>
  <si>
    <t>Specialized design services</t>
  </si>
  <si>
    <t>5419A0</t>
  </si>
  <si>
    <t>All other miscellaneous professional, scientific, and technical services</t>
  </si>
  <si>
    <t>54191, 54193, 54199</t>
  </si>
  <si>
    <t>Photographic services</t>
  </si>
  <si>
    <t>Veterinary services</t>
  </si>
  <si>
    <t>Computer systems design and related services</t>
  </si>
  <si>
    <t>Custom computer programming services</t>
  </si>
  <si>
    <t>Computer systems design services</t>
  </si>
  <si>
    <t>54151A</t>
  </si>
  <si>
    <t>Other computer related services, including facilities management</t>
  </si>
  <si>
    <t>541513, 541519</t>
  </si>
  <si>
    <t>MANAGEMENT OF COMPANIES AND ENTREPRISES</t>
  </si>
  <si>
    <t>Management of companies and enterprises</t>
  </si>
  <si>
    <t>ADMINISTRATIVE AND WASTE SERVICES</t>
  </si>
  <si>
    <t>Administrative and support services</t>
  </si>
  <si>
    <t>Employment services</t>
  </si>
  <si>
    <t>Services to buildings and dwellings</t>
  </si>
  <si>
    <t>561X</t>
  </si>
  <si>
    <t>Other administrative and support services</t>
  </si>
  <si>
    <t>Office administrative services</t>
  </si>
  <si>
    <t>Facilities support services</t>
  </si>
  <si>
    <t>Business support services</t>
  </si>
  <si>
    <t>Travel arrangement and reservation services</t>
  </si>
  <si>
    <t>Investigation and security services</t>
  </si>
  <si>
    <t>Other support services</t>
  </si>
  <si>
    <t>Waste management and remediation services</t>
  </si>
  <si>
    <t>EDUCATIONAL SERVICES</t>
  </si>
  <si>
    <t>Educational services</t>
  </si>
  <si>
    <t>Elementary and secondary schools</t>
  </si>
  <si>
    <t>611A00</t>
  </si>
  <si>
    <t>Junior colleges, colleges, universities, and professional schools</t>
  </si>
  <si>
    <t>6112-3</t>
  </si>
  <si>
    <t>611B00</t>
  </si>
  <si>
    <t>Other educational services</t>
  </si>
  <si>
    <t>6114-7</t>
  </si>
  <si>
    <t>HEALTH CARE AND SOCIAL ASSISTANCE</t>
  </si>
  <si>
    <t>Ambulatory health care services</t>
  </si>
  <si>
    <t>Offices of physicians</t>
  </si>
  <si>
    <t>Offices of dentists</t>
  </si>
  <si>
    <t>Offices of other health practitioners</t>
  </si>
  <si>
    <t>Outpatient care centers</t>
  </si>
  <si>
    <t>6215OH</t>
  </si>
  <si>
    <t>Other ambulatory health care services</t>
  </si>
  <si>
    <t>Medical and diagnostic laboratories</t>
  </si>
  <si>
    <t>Home health care services</t>
  </si>
  <si>
    <t>Hospitals</t>
  </si>
  <si>
    <t>Nursing and residential care facilities</t>
  </si>
  <si>
    <t>623A00</t>
  </si>
  <si>
    <t>Nursing and community care facilities</t>
  </si>
  <si>
    <t>6231, 6233</t>
  </si>
  <si>
    <t>623B00</t>
  </si>
  <si>
    <t>Residential mental health, substance abuse, and other residential care facilities</t>
  </si>
  <si>
    <t>6232, 6239</t>
  </si>
  <si>
    <t>Social assistance</t>
  </si>
  <si>
    <t>Individual and family services</t>
  </si>
  <si>
    <t>624A00</t>
  </si>
  <si>
    <t>Community food, housing, and other relief services, including vocational rehabilitation services</t>
  </si>
  <si>
    <t>6242-3</t>
  </si>
  <si>
    <t>Child day care services</t>
  </si>
  <si>
    <t>ARTS, ENTERTAINMENT, AND RECREATION</t>
  </si>
  <si>
    <t>711AS</t>
  </si>
  <si>
    <t>Performing arts, spectator sports, museums, and related activities</t>
  </si>
  <si>
    <t>Performing arts companies</t>
  </si>
  <si>
    <t>Spectator sports</t>
  </si>
  <si>
    <t>711A00</t>
  </si>
  <si>
    <t>Promoters of performing arts and sports and agents for public figures</t>
  </si>
  <si>
    <t>7113-4</t>
  </si>
  <si>
    <t>Independent artists, writers, and performers</t>
  </si>
  <si>
    <t>Museums, historical sites, zoos, and parks</t>
  </si>
  <si>
    <t>Amusements, gambling, and recreation industries</t>
  </si>
  <si>
    <t>Amusement parks and arcades</t>
  </si>
  <si>
    <t>Gambling industries (except casino hotels)</t>
  </si>
  <si>
    <t>Other amusement and recreation industries</t>
  </si>
  <si>
    <t>ACCOMMODATION AND FOOD SERVICES</t>
  </si>
  <si>
    <t>Accommodation</t>
  </si>
  <si>
    <t>Food services and drinking places</t>
  </si>
  <si>
    <t>Full-service restaurants</t>
  </si>
  <si>
    <t>Limited-service restaurants</t>
  </si>
  <si>
    <t>722A00</t>
  </si>
  <si>
    <t>All other food and drinking places</t>
  </si>
  <si>
    <t>7223-4, 722514-5</t>
  </si>
  <si>
    <t>OTHER SERVICES, EXCEPT GOVERNMENT</t>
  </si>
  <si>
    <t>Other services, except government</t>
  </si>
  <si>
    <t>Repair and maintenance</t>
  </si>
  <si>
    <t>Automotive repair and maintenance (including car washes)</t>
  </si>
  <si>
    <t>Electronic and precision equipment repair and maintenance</t>
  </si>
  <si>
    <t>Commercial and industrial machinery and equipment repair and maintenance</t>
  </si>
  <si>
    <t>Personal and household goods repair and maintenance</t>
  </si>
  <si>
    <t>Personal and laundry services</t>
  </si>
  <si>
    <t>Personal care services</t>
  </si>
  <si>
    <t>Death care services</t>
  </si>
  <si>
    <t>Dry-cleaning and laundry services</t>
  </si>
  <si>
    <t>Other personal services</t>
  </si>
  <si>
    <t>Religious, grantmaking, civic, professional, and similar organizations</t>
  </si>
  <si>
    <t>Religious organizations</t>
  </si>
  <si>
    <t>813A00</t>
  </si>
  <si>
    <t>Grantmaking, giving, and social advocacy organizations</t>
  </si>
  <si>
    <t>8132, 8133</t>
  </si>
  <si>
    <t>813B00</t>
  </si>
  <si>
    <t>Civic, social, professional, and similar organizations</t>
  </si>
  <si>
    <t>8134, 8139</t>
  </si>
  <si>
    <t>Private households</t>
  </si>
  <si>
    <t>G</t>
  </si>
  <si>
    <t>GOVERNMENT</t>
  </si>
  <si>
    <t>GFGD</t>
  </si>
  <si>
    <t>Federal general government (defense)</t>
  </si>
  <si>
    <t>S00500</t>
  </si>
  <si>
    <t>GFGN</t>
  </si>
  <si>
    <t>Federal general government (nondefense)</t>
  </si>
  <si>
    <t>S00600</t>
  </si>
  <si>
    <t>GFE</t>
  </si>
  <si>
    <t>Federal government enterprises</t>
  </si>
  <si>
    <t>Postal service</t>
  </si>
  <si>
    <t>S00101</t>
  </si>
  <si>
    <t>Federal electric utilities</t>
  </si>
  <si>
    <t>**</t>
  </si>
  <si>
    <t>S00102</t>
  </si>
  <si>
    <t>Other federal government enterprises</t>
  </si>
  <si>
    <t>GSLG</t>
  </si>
  <si>
    <t>State and local general government</t>
  </si>
  <si>
    <t>GSLGE</t>
  </si>
  <si>
    <t>State and local government (educational services)</t>
  </si>
  <si>
    <t>GSLGH</t>
  </si>
  <si>
    <t>State and local government (hospitals and health services)</t>
  </si>
  <si>
    <t>GSLGO</t>
  </si>
  <si>
    <t>State and local government (other services)</t>
  </si>
  <si>
    <t>GSLE</t>
  </si>
  <si>
    <t>State and local government enterprises</t>
  </si>
  <si>
    <t>S00201</t>
  </si>
  <si>
    <t>State and local government passenger transit</t>
  </si>
  <si>
    <t>S00202</t>
  </si>
  <si>
    <t>State and local government electric utilities</t>
  </si>
  <si>
    <t>S00203</t>
  </si>
  <si>
    <t>Other state and local government enterprises</t>
  </si>
  <si>
    <t>Used</t>
  </si>
  <si>
    <t>SCRAP, USED AND SECONDHAND GOODS</t>
  </si>
  <si>
    <t>Scrap, used and secondhand goods</t>
  </si>
  <si>
    <t xml:space="preserve">S004 </t>
  </si>
  <si>
    <t>S00401</t>
  </si>
  <si>
    <t>Scrap</t>
  </si>
  <si>
    <t>††</t>
  </si>
  <si>
    <t>S00402</t>
  </si>
  <si>
    <t>Used and secondhand goods</t>
  </si>
  <si>
    <t>Other</t>
  </si>
  <si>
    <t>NONCOMPARABLE IMPORTS AND REST-OF-THE-WORLD ADJUSTMENT</t>
  </si>
  <si>
    <t>Noncomparable imports and rest-of-the-world adjustment</t>
  </si>
  <si>
    <t xml:space="preserve">S003 </t>
  </si>
  <si>
    <t>Noncomparable imports</t>
  </si>
  <si>
    <t>S00300</t>
  </si>
  <si>
    <t xml:space="preserve">S009 </t>
  </si>
  <si>
    <t>Rest of the world adjustment</t>
  </si>
  <si>
    <t>S00900</t>
  </si>
  <si>
    <t>n.a. Not applicable.</t>
  </si>
  <si>
    <t>Note. An asterisk following a (NAICS) code indicates that the NAICS industry is included in more than one I-O industry.</t>
  </si>
  <si>
    <t>† Construction data published by BEA at the detail level do not align with 2012 NAICS industries.  In NAICS, industries are classified based on their production processes, whereas BEA construction is classified by type of structure.  For example, activity by the 2012 NAICS Roofing contractors industry would be split among many BEA construction categories because roofs are built on many types of structures.</t>
  </si>
  <si>
    <t>‡ Primary output of the "secondary smelting and alloying of aluminum" and "alumina refining and primary aluminum production" industries is treated as being identical and is reported as "alumina refining and primary aluminum production" for both industries.  As a result, "secondary smelting and alloying of aluminum" appears as an industry at the detail level but not as a commodity.</t>
  </si>
  <si>
    <t>** Where possible, the output of government enterprises is classified into the same commodity as the primary output of a comparable private industry.  All output of federal government electric utilities; state and local government passenger transit; and state and local electric utilities is classified in this way, with the result that these government enterprise categories appear as industries at the detail level but not as commodities.</t>
  </si>
  <si>
    <t>†† The scrap; used and secondhand goods; noncomparable imports; and rest of the world adjustment lines identify special commodities which may appear in the commodity dimension of the make and use tables but which do not appear in the industry dimension.</t>
  </si>
  <si>
    <t>Compensation of employees</t>
  </si>
  <si>
    <t>Other taxes on production</t>
  </si>
  <si>
    <t>All of the pale orange-colored tabs are used only to create the BEA-derived Leontief</t>
  </si>
  <si>
    <t>Most Data</t>
  </si>
  <si>
    <t>https://stats.oecd.org/Index.aspx?DataSetCode=IOTSI4_2018</t>
  </si>
  <si>
    <t>U.S. Bureau of Economic Analysis</t>
  </si>
  <si>
    <t>https://www.bea.gov/industry/input-output-accounts-data</t>
  </si>
  <si>
    <t>Input-Output Accounts Data</t>
  </si>
  <si>
    <t>The result is the Leontief Inverse Matrix.  It should generally have values between 1 and 1.3 along</t>
  </si>
  <si>
    <t>20: Chemicals</t>
  </si>
  <si>
    <t>21: Pharmaceuticals</t>
  </si>
  <si>
    <t>In the original OECD data, chemicals and pharmaceuticals are grouped into ISIC 20T21.</t>
  </si>
  <si>
    <t>We separate them out for use in the EPS.</t>
  </si>
  <si>
    <t>For the U.S., we use the BEA "Requirements" table (which contains Leontief-style multipliers),</t>
  </si>
  <si>
    <t>reallocated into OECD's ISIC code categories using output-weighted averaging.</t>
  </si>
  <si>
    <t>Note that if your input-output table is more disaggregated than the OECD's ISIC codes,</t>
  </si>
  <si>
    <t>1. Ensure your input-output table is square (the row headings are the same entities</t>
  </si>
  <si>
    <t>Each row of the table should show the dollar value of the outputs of the industry in that row</t>
  </si>
  <si>
    <t>that is purchased by the industry in each column.</t>
  </si>
  <si>
    <t>you cannot sum up the cash flows prior to transforming it into a Leontief Inverse Matrix.</t>
  </si>
  <si>
    <t>You will get the wrong multipliers if you do that.  You must first transform the I/O table</t>
  </si>
  <si>
    <t xml:space="preserve">used to consolidate the BEA Leontief multipliers into ISIC codes on the </t>
  </si>
  <si>
    <t>into a Leontief Matrix (using the procedure below) while preserving all of its original</t>
  </si>
  <si>
    <t>rows and columns.  Then, you can consolidate the resulting Leontief</t>
  </si>
  <si>
    <t>3. Create an identity matrix (I) with the same dimensions as your input-output table.</t>
  </si>
  <si>
    <t>4. Subtract your input-output table from the identity matrix (I - A).</t>
  </si>
  <si>
    <t>5. Invert the matrix you just obtained (I-A)^-1.  This requries a matrix inversion operation,</t>
  </si>
  <si>
    <t>multipliers into OECD ISIC codes using weighted averaging.  To do this, follow the procedure</t>
  </si>
  <si>
    <t>"Weighted Avg BEA Multipliers" tab as a guide.</t>
  </si>
  <si>
    <t>2. Divide each cell by the total output of the industry specified in the column.  Now each cell</t>
  </si>
  <si>
    <r>
      <t xml:space="preserve">contains the </t>
    </r>
    <r>
      <rPr>
        <b/>
        <sz val="11"/>
        <color theme="1"/>
        <rFont val="Calibri"/>
        <family val="2"/>
        <scheme val="minor"/>
      </rPr>
      <t>direct purchases per dollar of output</t>
    </r>
    <r>
      <rPr>
        <sz val="11"/>
        <color theme="1"/>
        <rFont val="Calibri"/>
        <family val="2"/>
        <scheme val="minor"/>
      </rPr>
      <t xml:space="preserve"> purchased by the industry in the column from</t>
    </r>
  </si>
  <si>
    <t>the industry in the row.  This is the "A" matrix.</t>
  </si>
  <si>
    <t>input-output table using the following steps:</t>
  </si>
  <si>
    <t>Read all of the directions below before you begin creating your own Leontief inverse matrix.</t>
  </si>
  <si>
    <t>An identity matrix has 1s along the diagonal (matching row and column headers) and zeroes elsewhere.</t>
  </si>
  <si>
    <t>before creating a Leontief Inverse Matrix.</t>
  </si>
  <si>
    <t>if you try to sum smaller categories from a highly disaggregated I/O table into an OECD ISIC code</t>
  </si>
  <si>
    <t>"'Industry-by-Industry Total Requirements" table, 405-industry breakdown</t>
  </si>
  <si>
    <t>"Use of Commodities by Industry" table, 405-industry breakdown</t>
  </si>
  <si>
    <t>Some data sources may provide the "A" matrix directly, in which case, skip steps 1 and 2.</t>
  </si>
  <si>
    <t>A result above 1.5 along the diagonal may be an error, which can arise (for example)</t>
  </si>
  <si>
    <t>For details on how this is done, see the "Weighted Avg BEA Multipliers" tab.</t>
  </si>
  <si>
    <t>ISIC 06</t>
  </si>
  <si>
    <t>ISIC 05</t>
  </si>
  <si>
    <t>05: Coal mining</t>
  </si>
  <si>
    <t>In the original OECD data, coal mining and oil and gas extraction are grouped into ISIC 05T06.</t>
  </si>
  <si>
    <t>06: Oil and gas extraction</t>
  </si>
  <si>
    <t>Splitting OECD Joined ISIC Codes</t>
  </si>
  <si>
    <t>231: Glass</t>
  </si>
  <si>
    <t>239: Cement and other nometallic minerals</t>
  </si>
  <si>
    <t>241: Iron and steel</t>
  </si>
  <si>
    <t>242: Other metals</t>
  </si>
  <si>
    <t>351: Electricity generation and distribution</t>
  </si>
  <si>
    <t>352T353: Energy pipelines and gas processing</t>
  </si>
  <si>
    <t>36T39: Water and waste</t>
  </si>
  <si>
    <t>ISIC 231</t>
  </si>
  <si>
    <t>ISIC 239</t>
  </si>
  <si>
    <t>ISIC 241</t>
  </si>
  <si>
    <t>ISIC 242</t>
  </si>
  <si>
    <t>ISIC 351</t>
  </si>
  <si>
    <t>ISIC 352T353</t>
  </si>
  <si>
    <t>ISIC 36T39</t>
  </si>
  <si>
    <t>In the original OECD data, all nonmetallic minerals are grouped into ISIC 23.</t>
  </si>
  <si>
    <t>In the original OECD data, all metals are grouped into ISIC 24.</t>
  </si>
  <si>
    <t>In the original OECD data, all utilities are grouped into ISIC 35T39.</t>
  </si>
  <si>
    <t>ISIC Code Splits</t>
  </si>
  <si>
    <t>The OECD tables group several industries that are broken out in the EPS.</t>
  </si>
  <si>
    <t>Therefore, we calculate these rows and columns using a separate data source.</t>
  </si>
  <si>
    <t>Inverse Matrix for use in splitting apart ISIC codes and are not otherwise used.</t>
  </si>
  <si>
    <t>Variable: LEONTFT</t>
  </si>
  <si>
    <t>A01</t>
  </si>
  <si>
    <t>A02</t>
  </si>
  <si>
    <t>A03</t>
  </si>
  <si>
    <t>B05</t>
  </si>
  <si>
    <t>B06</t>
  </si>
  <si>
    <t>B07</t>
  </si>
  <si>
    <t>B08</t>
  </si>
  <si>
    <t>B09</t>
  </si>
  <si>
    <t>C10T12</t>
  </si>
  <si>
    <t>C13T15</t>
  </si>
  <si>
    <t>C16</t>
  </si>
  <si>
    <t>C17_18</t>
  </si>
  <si>
    <t>C19</t>
  </si>
  <si>
    <t>C20</t>
  </si>
  <si>
    <t>C21</t>
  </si>
  <si>
    <t>C22</t>
  </si>
  <si>
    <t>C23</t>
  </si>
  <si>
    <t>C24A</t>
  </si>
  <si>
    <t>C24B</t>
  </si>
  <si>
    <t>C25</t>
  </si>
  <si>
    <t>C26</t>
  </si>
  <si>
    <t>C27</t>
  </si>
  <si>
    <t>C28</t>
  </si>
  <si>
    <t>C29</t>
  </si>
  <si>
    <t>C301</t>
  </si>
  <si>
    <t>C302T309</t>
  </si>
  <si>
    <t>C31T33</t>
  </si>
  <si>
    <t>D</t>
  </si>
  <si>
    <t>E</t>
  </si>
  <si>
    <t>F</t>
  </si>
  <si>
    <t>H49</t>
  </si>
  <si>
    <t>H50</t>
  </si>
  <si>
    <t>H51</t>
  </si>
  <si>
    <t>H52</t>
  </si>
  <si>
    <t>H53</t>
  </si>
  <si>
    <t>I</t>
  </si>
  <si>
    <t>J58T60</t>
  </si>
  <si>
    <t>J61</t>
  </si>
  <si>
    <t>J62_63</t>
  </si>
  <si>
    <t>K</t>
  </si>
  <si>
    <t>L</t>
  </si>
  <si>
    <t>M</t>
  </si>
  <si>
    <t>N</t>
  </si>
  <si>
    <t>O</t>
  </si>
  <si>
    <t>P</t>
  </si>
  <si>
    <t>Q</t>
  </si>
  <si>
    <t>R</t>
  </si>
  <si>
    <t>S</t>
  </si>
  <si>
    <t>T</t>
  </si>
  <si>
    <t>HFCE</t>
  </si>
  <si>
    <t>NPISH</t>
  </si>
  <si>
    <t>GGFC</t>
  </si>
  <si>
    <t>GFCF</t>
  </si>
  <si>
    <t>INVNT</t>
  </si>
  <si>
    <t>DPABR</t>
  </si>
  <si>
    <t>CONS_NONRES</t>
  </si>
  <si>
    <t>EXPO</t>
  </si>
  <si>
    <t>IMPO</t>
  </si>
  <si>
    <t>TOTAL</t>
  </si>
  <si>
    <t>TTL_A01</t>
  </si>
  <si>
    <t>TTL_A02</t>
  </si>
  <si>
    <t>TTL_A03</t>
  </si>
  <si>
    <t>TTL_B05</t>
  </si>
  <si>
    <t>TTL_B06</t>
  </si>
  <si>
    <t>TTL_B07</t>
  </si>
  <si>
    <t>TTL_B08</t>
  </si>
  <si>
    <t>TTL_B09</t>
  </si>
  <si>
    <t>TTL_C10T12</t>
  </si>
  <si>
    <t>TTL_C13T15</t>
  </si>
  <si>
    <t>TTL_C16</t>
  </si>
  <si>
    <t>TTL_C17_18</t>
  </si>
  <si>
    <t>TTL_C19</t>
  </si>
  <si>
    <t>TTL_C20</t>
  </si>
  <si>
    <t>TTL_C21</t>
  </si>
  <si>
    <t>TTL_C22</t>
  </si>
  <si>
    <t>TTL_C23</t>
  </si>
  <si>
    <t>TTL_C24A</t>
  </si>
  <si>
    <t>TTL_C24B</t>
  </si>
  <si>
    <t>TTL_C25</t>
  </si>
  <si>
    <t>TTL_C26</t>
  </si>
  <si>
    <t>TTL_C27</t>
  </si>
  <si>
    <t>TTL_C28</t>
  </si>
  <si>
    <t>TTL_C29</t>
  </si>
  <si>
    <t>TTL_C301</t>
  </si>
  <si>
    <t>TTL_C302T309</t>
  </si>
  <si>
    <t>TTL_C31T33</t>
  </si>
  <si>
    <t>TTL_D</t>
  </si>
  <si>
    <t>TTL_E</t>
  </si>
  <si>
    <t>TTL_F</t>
  </si>
  <si>
    <t>TTL_G</t>
  </si>
  <si>
    <t>TTL_H49</t>
  </si>
  <si>
    <t>TTL_H50</t>
  </si>
  <si>
    <t>TTL_H51</t>
  </si>
  <si>
    <t>TTL_H52</t>
  </si>
  <si>
    <t>TTL_H53</t>
  </si>
  <si>
    <t>TTL_I</t>
  </si>
  <si>
    <t>TTL_J58T60</t>
  </si>
  <si>
    <t>TTL_J61</t>
  </si>
  <si>
    <t>TTL_J62_63</t>
  </si>
  <si>
    <t>TTL_K</t>
  </si>
  <si>
    <t>TTL_L</t>
  </si>
  <si>
    <t>TTL_M</t>
  </si>
  <si>
    <t>TTL_N</t>
  </si>
  <si>
    <t>TTL_O</t>
  </si>
  <si>
    <t>TTL_P</t>
  </si>
  <si>
    <t>TTL_Q</t>
  </si>
  <si>
    <t>TTL_R</t>
  </si>
  <si>
    <t>TTL_S</t>
  </si>
  <si>
    <t>TTL_T</t>
  </si>
  <si>
    <t>IMP_OTHER</t>
  </si>
  <si>
    <t>TXS_INT_FNL</t>
  </si>
  <si>
    <t>TTL_INT_FNL</t>
  </si>
  <si>
    <t>VALU</t>
  </si>
  <si>
    <t>LABR</t>
  </si>
  <si>
    <t>OTXS</t>
  </si>
  <si>
    <t>CFC</t>
  </si>
  <si>
    <t>NOPS</t>
  </si>
  <si>
    <t>OUTPUT</t>
  </si>
  <si>
    <t>Total Input Output Table</t>
  </si>
  <si>
    <t>OECD Code</t>
  </si>
  <si>
    <t>ISIC mapping</t>
  </si>
  <si>
    <t>Row / Ligne</t>
  </si>
  <si>
    <t>Row Name en</t>
  </si>
  <si>
    <t>Column / Colonne</t>
  </si>
  <si>
    <t>Column Name en</t>
  </si>
  <si>
    <t>Agriculture and hunting</t>
  </si>
  <si>
    <t>Fishing and aquaculture</t>
  </si>
  <si>
    <t>Mining of coal and lignite</t>
  </si>
  <si>
    <t>Extraction of crude petroleum and natural gas</t>
  </si>
  <si>
    <t>Mining of metal ores</t>
  </si>
  <si>
    <t>Other mining and quarrying</t>
  </si>
  <si>
    <t>Mining support service activities</t>
  </si>
  <si>
    <t>Food products, beverages and tobacco</t>
  </si>
  <si>
    <t>Textiles, textile products, leather and footwear</t>
  </si>
  <si>
    <t>Wood and products of wood and cork</t>
  </si>
  <si>
    <t>Paper products; printing and reproduction of recorded media</t>
  </si>
  <si>
    <t>Coke and refined petroleum products</t>
  </si>
  <si>
    <t>Chemical and chemical products</t>
  </si>
  <si>
    <t>Pharmaceuticals, medicinal chemical and botanical products</t>
  </si>
  <si>
    <t>Rubber and plastics products</t>
  </si>
  <si>
    <t>Other non-metallic mineral products</t>
  </si>
  <si>
    <t>Basic iron and steel</t>
  </si>
  <si>
    <t>24A</t>
  </si>
  <si>
    <t>Basic precious and other non-ferrous metals</t>
  </si>
  <si>
    <t>24B</t>
  </si>
  <si>
    <t>Computer, electronic and optical equipment</t>
  </si>
  <si>
    <t>Electrical equipment</t>
  </si>
  <si>
    <t xml:space="preserve">Machinery and equipment, nec </t>
  </si>
  <si>
    <t>Motor vehicles, trailers and semi-trailers</t>
  </si>
  <si>
    <t>Building of ships and boats</t>
  </si>
  <si>
    <t>Manufacture of other transport equipment</t>
  </si>
  <si>
    <t>Furniture; jewellery, musical instruments, toys, etc.; repair and installation of machinery and equipment</t>
  </si>
  <si>
    <t>Electricity, gas, steam and air conditioning supply</t>
  </si>
  <si>
    <t>Water supply; sewerage, waste management and remediation activities</t>
  </si>
  <si>
    <t>Wholesale and retail trade; repair of motor vehicles</t>
  </si>
  <si>
    <t>Land transport and transport via pipelines</t>
  </si>
  <si>
    <t>Water transport</t>
  </si>
  <si>
    <t>Air transport</t>
  </si>
  <si>
    <t>Warehousing and support activities for transportation</t>
  </si>
  <si>
    <t>Postal and courier activities</t>
  </si>
  <si>
    <t>Accommodation and food service activities</t>
  </si>
  <si>
    <t>Publishing, audiovisual and broadcasting activities</t>
  </si>
  <si>
    <t>Telecommunications</t>
  </si>
  <si>
    <t>IT and other information services</t>
  </si>
  <si>
    <t>Financial and insurance activities</t>
  </si>
  <si>
    <t>Real estate activities</t>
  </si>
  <si>
    <t>Professional, scientific and technical activities</t>
  </si>
  <si>
    <t>Public administration and defence; compulsory social security</t>
  </si>
  <si>
    <t>Education</t>
  </si>
  <si>
    <t>Human health and social work activities</t>
  </si>
  <si>
    <t>Arts, entertainment and recreation</t>
  </si>
  <si>
    <t>Other service activities</t>
  </si>
  <si>
    <t>Activities of households as employers; undifferentiated goods- and services-producing activities of households for own use</t>
  </si>
  <si>
    <t>IMP_OHTER</t>
  </si>
  <si>
    <t>Other imports</t>
  </si>
  <si>
    <t>Household final consumption expenditure (excluding direct purchases)</t>
  </si>
  <si>
    <t>Taxes less subsidies on intermediate and final products</t>
  </si>
  <si>
    <t>Final consumption expenditure of non-profit institutions serving households</t>
  </si>
  <si>
    <t>Total intermediate consumption at purchasers’ prices</t>
  </si>
  <si>
    <t>Final consumption expenditure of general government</t>
  </si>
  <si>
    <t>Value added at basic prices</t>
  </si>
  <si>
    <t>Gross fixed capital formation</t>
  </si>
  <si>
    <t>Changes in inventories and Acquisitions less disposals of valuables</t>
  </si>
  <si>
    <t>Direct purchases abroad (part of imports and household consumption)</t>
  </si>
  <si>
    <t>Consumption of fixed capital</t>
  </si>
  <si>
    <t>Direct purchases by non-residents (exports)</t>
  </si>
  <si>
    <t>Net operating surplus</t>
  </si>
  <si>
    <t>Exports 
(cross border)</t>
  </si>
  <si>
    <t>Output at basic prices</t>
  </si>
  <si>
    <t>Imports (cross border)</t>
  </si>
  <si>
    <t>OECD TTL Tables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</si>
</sst>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7" formatCode="0.0000"/>
  </numFmts>
  <fonts count="32" x14ac:knownFonts="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color theme="1"/>
      <name val="Calibri"/>
      <family val="2"/>
      <scheme val="minor"/>
    </font>
    <font>
      <sz val="10"/>
      <color theme="1"/>
      <name val="Calibri"/>
      <family val="2"/>
    </font>
    <font>
      <b/>
      <sz val="8"/>
      <color theme="1"/>
      <name val="Calibri"/>
      <family val="2"/>
    </font>
    <font>
      <sz val="8"/>
      <color theme="1"/>
      <name val="Calibri"/>
      <family val="2"/>
    </font>
    <font>
      <b/>
      <sz val="8"/>
      <name val="Calibri"/>
      <family val="2"/>
      <scheme val="minor"/>
    </font>
    <font>
      <sz val="8"/>
      <name val="Calibri"/>
      <family val="2"/>
      <scheme val="minor"/>
    </font>
    <font>
      <i/>
      <sz val="11"/>
      <color theme="1"/>
      <name val="Calibri"/>
      <family val="2"/>
      <scheme val="minor"/>
    </font>
    <font>
      <u/>
      <sz val="10"/>
      <color indexed="12"/>
      <name val="Arial"/>
      <family val="2"/>
    </font>
    <font>
      <i/>
      <sz val="8"/>
      <color theme="1"/>
      <name val="Calibri"/>
      <family val="2"/>
    </font>
    <font>
      <sz val="10"/>
      <color theme="1"/>
      <name val="Arial"/>
      <family val="2"/>
    </font>
    <font>
      <b/>
      <sz val="18"/>
      <color theme="3"/>
      <name val="Calibri Light"/>
      <family val="2"/>
      <scheme val="major"/>
    </font>
    <font>
      <b/>
      <sz val="15"/>
      <color theme="3"/>
      <name val="Arial"/>
      <family val="2"/>
    </font>
    <font>
      <b/>
      <sz val="13"/>
      <color theme="3"/>
      <name val="Arial"/>
      <family val="2"/>
    </font>
    <font>
      <b/>
      <sz val="11"/>
      <color theme="3"/>
      <name val="Arial"/>
      <family val="2"/>
    </font>
    <font>
      <sz val="10"/>
      <color rgb="FF006100"/>
      <name val="Arial"/>
      <family val="2"/>
    </font>
    <font>
      <sz val="10"/>
      <color rgb="FF9C0006"/>
      <name val="Arial"/>
      <family val="2"/>
    </font>
    <font>
      <sz val="10"/>
      <color rgb="FF9C6500"/>
      <name val="Arial"/>
      <family val="2"/>
    </font>
    <font>
      <sz val="10"/>
      <color rgb="FF3F3F76"/>
      <name val="Arial"/>
      <family val="2"/>
    </font>
    <font>
      <b/>
      <sz val="10"/>
      <color rgb="FF3F3F3F"/>
      <name val="Arial"/>
      <family val="2"/>
    </font>
    <font>
      <b/>
      <sz val="10"/>
      <color rgb="FFFA7D00"/>
      <name val="Arial"/>
      <family val="2"/>
    </font>
    <font>
      <sz val="10"/>
      <color rgb="FFFA7D00"/>
      <name val="Arial"/>
      <family val="2"/>
    </font>
    <font>
      <b/>
      <sz val="10"/>
      <color theme="0"/>
      <name val="Arial"/>
      <family val="2"/>
    </font>
    <font>
      <sz val="10"/>
      <color rgb="FFFF0000"/>
      <name val="Arial"/>
      <family val="2"/>
    </font>
    <font>
      <i/>
      <sz val="10"/>
      <color rgb="FF7F7F7F"/>
      <name val="Arial"/>
      <family val="2"/>
    </font>
    <font>
      <b/>
      <sz val="10"/>
      <color theme="1"/>
      <name val="Arial"/>
      <family val="2"/>
    </font>
    <font>
      <sz val="10"/>
      <color theme="0"/>
      <name val="Arial"/>
      <family val="2"/>
    </font>
    <font>
      <u/>
      <sz val="10"/>
      <color theme="10"/>
      <name val="Arial"/>
      <family val="2"/>
    </font>
    <font>
      <sz val="10"/>
      <color theme="1"/>
      <name val="Aptos"/>
      <family val="2"/>
    </font>
  </fonts>
  <fills count="36">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4" tint="0.399975585192419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8">
    <border>
      <left/>
      <right/>
      <top/>
      <bottom/>
      <diagonal/>
    </border>
    <border>
      <left/>
      <right/>
      <top/>
      <bottom style="medium">
        <color indexed="64"/>
      </bottom>
      <diagonal/>
    </border>
    <border>
      <left style="thin">
        <color indexed="64"/>
      </left>
      <right/>
      <top/>
      <bottom/>
      <diagonal/>
    </border>
    <border>
      <left/>
      <right style="thin">
        <color indexed="64"/>
      </right>
      <top/>
      <bottom/>
      <diagonal/>
    </border>
    <border>
      <left/>
      <right/>
      <top/>
      <bottom style="thin">
        <color indexed="64"/>
      </bottom>
      <diagonal/>
    </border>
    <border>
      <left style="thin">
        <color indexed="64"/>
      </left>
      <right/>
      <top/>
      <bottom style="thin">
        <color indexed="64"/>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indexed="64"/>
      </left>
      <right style="medium">
        <color indexed="64"/>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3">
    <xf numFmtId="0" fontId="0" fillId="0" borderId="0"/>
    <xf numFmtId="0" fontId="2" fillId="0" borderId="0" applyNumberFormat="0" applyFill="0" applyBorder="0" applyAlignment="0" applyProtection="0"/>
    <xf numFmtId="0" fontId="3" fillId="0" borderId="0"/>
    <xf numFmtId="0" fontId="5" fillId="0" borderId="0"/>
    <xf numFmtId="0" fontId="4" fillId="0" borderId="0"/>
    <xf numFmtId="0" fontId="4" fillId="0" borderId="0"/>
    <xf numFmtId="0" fontId="4" fillId="0" borderId="0"/>
    <xf numFmtId="43" fontId="5" fillId="0" borderId="0" applyFont="0" applyFill="0" applyBorder="0" applyAlignment="0" applyProtection="0"/>
    <xf numFmtId="0" fontId="11" fillId="0" borderId="0" applyNumberFormat="0" applyFill="0" applyBorder="0" applyAlignment="0" applyProtection="0">
      <alignment vertical="top"/>
      <protection locked="0"/>
    </xf>
    <xf numFmtId="0" fontId="13" fillId="0" borderId="0"/>
    <xf numFmtId="0" fontId="14" fillId="0" borderId="0" applyNumberFormat="0" applyFill="0" applyBorder="0" applyAlignment="0" applyProtection="0"/>
    <xf numFmtId="0" fontId="15" fillId="0" borderId="9" applyNumberFormat="0" applyFill="0" applyAlignment="0" applyProtection="0"/>
    <xf numFmtId="0" fontId="16" fillId="0" borderId="10" applyNumberFormat="0" applyFill="0" applyAlignment="0" applyProtection="0"/>
    <xf numFmtId="0" fontId="17" fillId="0" borderId="11" applyNumberFormat="0" applyFill="0" applyAlignment="0" applyProtection="0"/>
    <xf numFmtId="0" fontId="17" fillId="0" borderId="0" applyNumberFormat="0" applyFill="0" applyBorder="0" applyAlignment="0" applyProtection="0"/>
    <xf numFmtId="0" fontId="18" fillId="5" borderId="0" applyNumberFormat="0" applyBorder="0" applyAlignment="0" applyProtection="0"/>
    <xf numFmtId="0" fontId="19" fillId="6" borderId="0" applyNumberFormat="0" applyBorder="0" applyAlignment="0" applyProtection="0"/>
    <xf numFmtId="0" fontId="20" fillId="7" borderId="0" applyNumberFormat="0" applyBorder="0" applyAlignment="0" applyProtection="0"/>
    <xf numFmtId="0" fontId="21" fillId="8" borderId="12" applyNumberFormat="0" applyAlignment="0" applyProtection="0"/>
    <xf numFmtId="0" fontId="22" fillId="9" borderId="13" applyNumberFormat="0" applyAlignment="0" applyProtection="0"/>
    <xf numFmtId="0" fontId="23" fillId="9" borderId="12" applyNumberFormat="0" applyAlignment="0" applyProtection="0"/>
    <xf numFmtId="0" fontId="24" fillId="0" borderId="14" applyNumberFormat="0" applyFill="0" applyAlignment="0" applyProtection="0"/>
    <xf numFmtId="0" fontId="25" fillId="10" borderId="15" applyNumberFormat="0" applyAlignment="0" applyProtection="0"/>
    <xf numFmtId="0" fontId="26" fillId="0" borderId="0" applyNumberFormat="0" applyFill="0" applyBorder="0" applyAlignment="0" applyProtection="0"/>
    <xf numFmtId="0" fontId="13" fillId="11" borderId="16" applyNumberFormat="0" applyFont="0" applyAlignment="0" applyProtection="0"/>
    <xf numFmtId="0" fontId="27" fillId="0" borderId="0" applyNumberFormat="0" applyFill="0" applyBorder="0" applyAlignment="0" applyProtection="0"/>
    <xf numFmtId="0" fontId="28" fillId="0" borderId="17" applyNumberFormat="0" applyFill="0" applyAlignment="0" applyProtection="0"/>
    <xf numFmtId="0" fontId="29" fillId="12" borderId="0" applyNumberFormat="0" applyBorder="0" applyAlignment="0" applyProtection="0"/>
    <xf numFmtId="0" fontId="13" fillId="13" borderId="0" applyNumberFormat="0" applyBorder="0" applyAlignment="0" applyProtection="0"/>
    <xf numFmtId="0" fontId="13" fillId="14" borderId="0" applyNumberFormat="0" applyBorder="0" applyAlignment="0" applyProtection="0"/>
    <xf numFmtId="0" fontId="29" fillId="15" borderId="0" applyNumberFormat="0" applyBorder="0" applyAlignment="0" applyProtection="0"/>
    <xf numFmtId="0" fontId="29"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29" fillId="19" borderId="0" applyNumberFormat="0" applyBorder="0" applyAlignment="0" applyProtection="0"/>
    <xf numFmtId="0" fontId="29" fillId="20" borderId="0" applyNumberFormat="0" applyBorder="0" applyAlignment="0" applyProtection="0"/>
    <xf numFmtId="0" fontId="13" fillId="21" borderId="0" applyNumberFormat="0" applyBorder="0" applyAlignment="0" applyProtection="0"/>
    <xf numFmtId="0" fontId="13" fillId="22" borderId="0" applyNumberFormat="0" applyBorder="0" applyAlignment="0" applyProtection="0"/>
    <xf numFmtId="0" fontId="29" fillId="23" borderId="0" applyNumberFormat="0" applyBorder="0" applyAlignment="0" applyProtection="0"/>
    <xf numFmtId="0" fontId="29" fillId="24" borderId="0" applyNumberFormat="0" applyBorder="0" applyAlignment="0" applyProtection="0"/>
    <xf numFmtId="0" fontId="13" fillId="25" borderId="0" applyNumberFormat="0" applyBorder="0" applyAlignment="0" applyProtection="0"/>
    <xf numFmtId="0" fontId="13" fillId="26" borderId="0" applyNumberFormat="0" applyBorder="0" applyAlignment="0" applyProtection="0"/>
    <xf numFmtId="0" fontId="29" fillId="27" borderId="0" applyNumberFormat="0" applyBorder="0" applyAlignment="0" applyProtection="0"/>
    <xf numFmtId="0" fontId="29" fillId="28" borderId="0" applyNumberFormat="0" applyBorder="0" applyAlignment="0" applyProtection="0"/>
    <xf numFmtId="0" fontId="13" fillId="29" borderId="0" applyNumberFormat="0" applyBorder="0" applyAlignment="0" applyProtection="0"/>
    <xf numFmtId="0" fontId="13"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13" fillId="33" borderId="0" applyNumberFormat="0" applyBorder="0" applyAlignment="0" applyProtection="0"/>
    <xf numFmtId="0" fontId="13" fillId="34" borderId="0" applyNumberFormat="0" applyBorder="0" applyAlignment="0" applyProtection="0"/>
    <xf numFmtId="0" fontId="29" fillId="35" borderId="0" applyNumberFormat="0" applyBorder="0" applyAlignment="0" applyProtection="0"/>
    <xf numFmtId="0" fontId="4" fillId="0" borderId="0"/>
    <xf numFmtId="0" fontId="30" fillId="0" borderId="0" applyNumberFormat="0" applyFill="0" applyBorder="0" applyAlignment="0" applyProtection="0"/>
  </cellStyleXfs>
  <cellXfs count="52">
    <xf numFmtId="0" fontId="0" fillId="0" borderId="0" xfId="0"/>
    <xf numFmtId="0" fontId="1" fillId="0" borderId="0" xfId="0" applyFont="1"/>
    <xf numFmtId="0" fontId="0" fillId="0" borderId="0" xfId="0" applyAlignment="1">
      <alignment horizontal="left"/>
    </xf>
    <xf numFmtId="0" fontId="2" fillId="0" borderId="0" xfId="1"/>
    <xf numFmtId="0" fontId="0" fillId="0" borderId="0" xfId="0" applyAlignment="1">
      <alignment horizontal="right"/>
    </xf>
    <xf numFmtId="0" fontId="0" fillId="2" borderId="0" xfId="0" applyFill="1"/>
    <xf numFmtId="0" fontId="6" fillId="3" borderId="0" xfId="3" applyFont="1" applyFill="1"/>
    <xf numFmtId="0" fontId="7" fillId="0" borderId="0" xfId="3" applyFont="1"/>
    <xf numFmtId="0" fontId="9" fillId="0" borderId="0" xfId="2" applyFont="1"/>
    <xf numFmtId="0" fontId="9" fillId="0" borderId="0" xfId="3" applyFont="1" applyAlignment="1">
      <alignment vertical="center" wrapText="1"/>
    </xf>
    <xf numFmtId="0" fontId="9" fillId="0" borderId="1" xfId="3" applyFont="1" applyBorder="1" applyAlignment="1">
      <alignment horizontal="center" vertical="center" wrapText="1"/>
    </xf>
    <xf numFmtId="0" fontId="9" fillId="0" borderId="1" xfId="3" applyFont="1" applyBorder="1" applyAlignment="1">
      <alignment horizontal="center" vertical="center"/>
    </xf>
    <xf numFmtId="0" fontId="9" fillId="0" borderId="1" xfId="3" applyFont="1" applyBorder="1" applyAlignment="1">
      <alignment horizontal="left" vertical="center" wrapText="1"/>
    </xf>
    <xf numFmtId="0" fontId="8" fillId="2" borderId="0" xfId="2" applyFont="1" applyFill="1"/>
    <xf numFmtId="0" fontId="8" fillId="0" borderId="0" xfId="3" applyFont="1" applyAlignment="1">
      <alignment horizontal="left" vertical="center"/>
    </xf>
    <xf numFmtId="0" fontId="9" fillId="0" borderId="0" xfId="3" applyFont="1" applyAlignment="1">
      <alignment horizontal="left" vertical="center"/>
    </xf>
    <xf numFmtId="0" fontId="9" fillId="0" borderId="2" xfId="3" applyFont="1" applyBorder="1" applyAlignment="1">
      <alignment horizontal="center" vertical="center" wrapText="1"/>
    </xf>
    <xf numFmtId="0" fontId="8" fillId="0" borderId="0" xfId="4" applyFont="1" applyAlignment="1">
      <alignment horizontal="left" vertical="center"/>
    </xf>
    <xf numFmtId="0" fontId="9" fillId="0" borderId="2" xfId="3" applyFont="1" applyBorder="1" applyAlignment="1">
      <alignment horizontal="left" vertical="center"/>
    </xf>
    <xf numFmtId="0" fontId="9" fillId="0" borderId="0" xfId="3" applyFont="1" applyAlignment="1">
      <alignment horizontal="left" vertical="center" wrapText="1"/>
    </xf>
    <xf numFmtId="0" fontId="9" fillId="0" borderId="2" xfId="3" applyFont="1" applyBorder="1" applyAlignment="1">
      <alignment horizontal="left" vertical="center" wrapText="1"/>
    </xf>
    <xf numFmtId="0" fontId="9" fillId="0" borderId="0" xfId="3" applyFont="1" applyAlignment="1">
      <alignment horizontal="center" vertical="center" wrapText="1"/>
    </xf>
    <xf numFmtId="0" fontId="9" fillId="0" borderId="0" xfId="3" applyFont="1" applyAlignment="1">
      <alignment vertical="center"/>
    </xf>
    <xf numFmtId="49" fontId="9" fillId="0" borderId="0" xfId="3" applyNumberFormat="1" applyFont="1" applyAlignment="1">
      <alignment horizontal="left" vertical="center"/>
    </xf>
    <xf numFmtId="0" fontId="8" fillId="0" borderId="0" xfId="3" applyFont="1" applyAlignment="1">
      <alignment vertical="center"/>
    </xf>
    <xf numFmtId="0" fontId="8" fillId="0" borderId="3" xfId="3" applyFont="1" applyBorder="1" applyAlignment="1">
      <alignment vertical="center"/>
    </xf>
    <xf numFmtId="49" fontId="7" fillId="0" borderId="0" xfId="3" applyNumberFormat="1" applyFont="1"/>
    <xf numFmtId="0" fontId="8" fillId="0" borderId="0" xfId="3" applyFont="1" applyAlignment="1">
      <alignment horizontal="left" vertical="center" wrapText="1"/>
    </xf>
    <xf numFmtId="0" fontId="9" fillId="0" borderId="2" xfId="3" applyFont="1" applyBorder="1" applyAlignment="1">
      <alignment vertical="center"/>
    </xf>
    <xf numFmtId="0" fontId="8" fillId="0" borderId="3" xfId="3" applyFont="1" applyBorder="1" applyAlignment="1">
      <alignment horizontal="left" vertical="center"/>
    </xf>
    <xf numFmtId="3" fontId="9" fillId="0" borderId="2" xfId="3" applyNumberFormat="1" applyFont="1" applyBorder="1" applyAlignment="1">
      <alignment horizontal="left" vertical="center"/>
    </xf>
    <xf numFmtId="0" fontId="9" fillId="0" borderId="4" xfId="3" applyFont="1" applyBorder="1" applyAlignment="1">
      <alignment horizontal="left" vertical="center"/>
    </xf>
    <xf numFmtId="0" fontId="9" fillId="0" borderId="4" xfId="3" applyFont="1" applyBorder="1" applyAlignment="1">
      <alignment horizontal="left" vertical="center" wrapText="1"/>
    </xf>
    <xf numFmtId="0" fontId="9" fillId="0" borderId="5" xfId="3" applyFont="1" applyBorder="1" applyAlignment="1">
      <alignment horizontal="left" vertical="center" wrapText="1"/>
    </xf>
    <xf numFmtId="0" fontId="9" fillId="0" borderId="5" xfId="3" applyFont="1" applyBorder="1" applyAlignment="1">
      <alignment vertical="center"/>
    </xf>
    <xf numFmtId="0" fontId="1" fillId="4" borderId="0" xfId="0" applyFont="1" applyFill="1"/>
    <xf numFmtId="0" fontId="0" fillId="4" borderId="0" xfId="0" applyFill="1"/>
    <xf numFmtId="0" fontId="0" fillId="2" borderId="0" xfId="0" applyFill="1" applyAlignment="1">
      <alignment horizontal="right"/>
    </xf>
    <xf numFmtId="0" fontId="10" fillId="0" borderId="0" xfId="0" applyFont="1"/>
    <xf numFmtId="0" fontId="1" fillId="3" borderId="0" xfId="0" applyFont="1" applyFill="1"/>
    <xf numFmtId="0" fontId="12" fillId="0" borderId="0" xfId="3" applyFont="1"/>
    <xf numFmtId="0" fontId="1" fillId="2" borderId="0" xfId="0" applyFont="1" applyFill="1"/>
    <xf numFmtId="0" fontId="7" fillId="2" borderId="6" xfId="3" applyFont="1" applyFill="1" applyBorder="1"/>
    <xf numFmtId="0" fontId="7" fillId="2" borderId="8" xfId="3" applyFont="1" applyFill="1" applyBorder="1"/>
    <xf numFmtId="0" fontId="7" fillId="2" borderId="7" xfId="3" applyFont="1" applyFill="1" applyBorder="1"/>
    <xf numFmtId="167" fontId="0" fillId="0" borderId="0" xfId="0" applyNumberFormat="1"/>
    <xf numFmtId="0" fontId="31" fillId="0" borderId="0" xfId="9" applyFont="1" applyAlignment="1">
      <alignment horizontal="left" vertical="top"/>
    </xf>
    <xf numFmtId="0" fontId="9" fillId="0" borderId="0" xfId="4" applyFont="1" applyAlignment="1">
      <alignment horizontal="left" vertical="center" wrapText="1"/>
    </xf>
    <xf numFmtId="0" fontId="8" fillId="0" borderId="0" xfId="3" applyFont="1" applyAlignment="1">
      <alignment horizontal="center" vertical="center"/>
    </xf>
    <xf numFmtId="0" fontId="9" fillId="0" borderId="0" xfId="3" applyFont="1" applyAlignment="1">
      <alignment horizontal="left" vertical="center" wrapText="1"/>
    </xf>
    <xf numFmtId="0" fontId="9" fillId="0" borderId="0" xfId="4" applyFont="1" applyAlignment="1">
      <alignment horizontal="center" vertical="center"/>
    </xf>
    <xf numFmtId="0" fontId="9" fillId="0" borderId="1" xfId="4" applyFont="1" applyBorder="1" applyAlignment="1">
      <alignment horizontal="center" vertical="center"/>
    </xf>
  </cellXfs>
  <cellStyles count="53">
    <cellStyle name="20% - Accent1 2" xfId="28" xr:uid="{99284EB1-EA3F-47AA-B36D-31F897D8CCCB}"/>
    <cellStyle name="20% - Accent2 2" xfId="32" xr:uid="{396C0766-01D2-4953-A3EB-CD7417921769}"/>
    <cellStyle name="20% - Accent3 2" xfId="36" xr:uid="{D3DFC8C4-6F0F-4FCB-8458-EEBFE21F96A0}"/>
    <cellStyle name="20% - Accent4 2" xfId="40" xr:uid="{B9E0EBB2-1D32-4757-B397-43F5871FCD4D}"/>
    <cellStyle name="20% - Accent5 2" xfId="44" xr:uid="{4D36C362-68B6-4DC9-BBA4-CC3840A21163}"/>
    <cellStyle name="20% - Accent6 2" xfId="48" xr:uid="{D1801D1C-8D8C-4254-A8E2-5B570333B812}"/>
    <cellStyle name="40% - Accent1 2" xfId="29" xr:uid="{25B18C9B-4701-48CC-84D5-E8F870D406E7}"/>
    <cellStyle name="40% - Accent2 2" xfId="33" xr:uid="{3270B7B7-FD3E-4650-9B86-6C4B6469CBBF}"/>
    <cellStyle name="40% - Accent3 2" xfId="37" xr:uid="{8B2AAB6A-4489-4216-AED4-75B018C6F5CC}"/>
    <cellStyle name="40% - Accent4 2" xfId="41" xr:uid="{AD1CF313-0EC0-48ED-B9CF-56B6262FA533}"/>
    <cellStyle name="40% - Accent5 2" xfId="45" xr:uid="{D9A1FA80-564C-499A-9304-59AB4B1DA14E}"/>
    <cellStyle name="40% - Accent6 2" xfId="49" xr:uid="{1981F1B8-82FB-4B1C-AB0D-178630A1627B}"/>
    <cellStyle name="60% - Accent1 2" xfId="30" xr:uid="{9B643686-1A29-4BCF-A63F-2B6A3DEDF64D}"/>
    <cellStyle name="60% - Accent2 2" xfId="34" xr:uid="{DF4B3CE4-C464-4B16-B960-F00AA136B65C}"/>
    <cellStyle name="60% - Accent3 2" xfId="38" xr:uid="{C4F6312B-A853-42CF-9423-9731D753E530}"/>
    <cellStyle name="60% - Accent4 2" xfId="42" xr:uid="{12C9A18F-C489-4BDC-A659-C55776E377C3}"/>
    <cellStyle name="60% - Accent5 2" xfId="46" xr:uid="{105099D8-FBEA-4C59-9DBF-EEBC6643D19C}"/>
    <cellStyle name="60% - Accent6 2" xfId="50" xr:uid="{8282B0E2-16FE-4A36-9DF5-E4764E0B8EB0}"/>
    <cellStyle name="Accent1 2" xfId="27" xr:uid="{B08F922F-A53B-4242-A2F5-709293F4EEEF}"/>
    <cellStyle name="Accent2 2" xfId="31" xr:uid="{EF0555EB-B724-4DA8-8508-7F8BAC47957D}"/>
    <cellStyle name="Accent3 2" xfId="35" xr:uid="{BEE335A4-673D-4919-B3EF-5F3766AA2E4F}"/>
    <cellStyle name="Accent4 2" xfId="39" xr:uid="{510F96B9-84F7-49CE-A3A0-7772DFB175F5}"/>
    <cellStyle name="Accent5 2" xfId="43" xr:uid="{7D92D9EF-6CD0-4C50-A3A4-CF397127997B}"/>
    <cellStyle name="Accent6 2" xfId="47" xr:uid="{FAAE1A0B-34AA-45C0-8809-CC09CC24F8CD}"/>
    <cellStyle name="Bad 2" xfId="16" xr:uid="{5B5B8BEA-7E2B-4917-92A0-6DF35740599F}"/>
    <cellStyle name="Calculation 2" xfId="20" xr:uid="{8DC0CD9A-D155-4FC5-A1AF-AF7A3C9EB9F5}"/>
    <cellStyle name="Check Cell 2" xfId="22" xr:uid="{57CFA094-F208-46B2-80D8-E5F14D9B06CF}"/>
    <cellStyle name="Comma 2" xfId="7" xr:uid="{72A45ABC-F0F0-4429-88EA-A7AE9B764D0C}"/>
    <cellStyle name="Explanatory Text 2" xfId="25" xr:uid="{39647D39-4B4D-430E-A53F-FFA0243F4910}"/>
    <cellStyle name="Good 2" xfId="15" xr:uid="{BF6F21AA-7B44-43B2-A17D-A747AFFC6976}"/>
    <cellStyle name="Heading 1 2" xfId="11" xr:uid="{5A584535-5F72-4F92-BC02-09746B8B33C4}"/>
    <cellStyle name="Heading 2 2" xfId="12" xr:uid="{4D80A7AC-03D8-4B3E-AC2E-A87BAF9ECC86}"/>
    <cellStyle name="Heading 3 2" xfId="13" xr:uid="{082DF7D0-0118-4B2F-8798-231E9FA80FEF}"/>
    <cellStyle name="Heading 4 2" xfId="14" xr:uid="{8B41F69B-E886-474D-B1CC-59F28D0BF160}"/>
    <cellStyle name="Hyperlink" xfId="1" builtinId="8"/>
    <cellStyle name="Hyperlink 2" xfId="8" xr:uid="{0167757D-C98A-4BFE-9E39-68A48410D30B}"/>
    <cellStyle name="Hyperlink 3" xfId="52" xr:uid="{B858E12B-AD09-4EDB-9FC4-6C313E0B0EBB}"/>
    <cellStyle name="Input 2" xfId="18" xr:uid="{AF8D7895-C2DE-43D1-A30A-79DBEE1F6B40}"/>
    <cellStyle name="Linked Cell 2" xfId="21" xr:uid="{3B224C8E-31E0-4F46-826C-44CD575E4F35}"/>
    <cellStyle name="Neutral 2" xfId="17" xr:uid="{C7E7F332-3A41-4856-B1DF-8AED1A613DFB}"/>
    <cellStyle name="Normal" xfId="0" builtinId="0"/>
    <cellStyle name="Normal 2" xfId="2" xr:uid="{3ADF3FF5-E4D2-4BC8-9960-7408DCCB591E}"/>
    <cellStyle name="Normal 2 2" xfId="5" xr:uid="{7000A92B-F51B-4AA6-B3F5-B9AA6FF10876}"/>
    <cellStyle name="Normal 3" xfId="3" xr:uid="{3E9C4D3A-8A63-4683-99D5-D62ABB76A498}"/>
    <cellStyle name="Normal 3 2" xfId="4" xr:uid="{5117CF18-2AD2-4280-8A7F-EBEBA64C91B0}"/>
    <cellStyle name="Normal 4" xfId="51" xr:uid="{188984B5-08A8-486C-A544-74B1B53B306F}"/>
    <cellStyle name="Normal 4 2 2" xfId="6" xr:uid="{E2F97DE2-18D1-4CAD-B54E-1764F74EA1AD}"/>
    <cellStyle name="Normal 5" xfId="9" xr:uid="{5FC6006A-6277-4A7D-89A2-9ED89DC7F2E2}"/>
    <cellStyle name="Note 2" xfId="24" xr:uid="{452368A3-EDFB-4956-9F3C-F4D3A9D69B70}"/>
    <cellStyle name="Output 2" xfId="19" xr:uid="{F771EF37-8AF8-4D6C-AC37-4A4A2B013A19}"/>
    <cellStyle name="Title 2" xfId="10" xr:uid="{75BDD257-476E-4890-8372-9AAFB07C1092}"/>
    <cellStyle name="Total 2" xfId="26" xr:uid="{010148AC-2454-4094-88B2-E599971FAFE2}"/>
    <cellStyle name="Warning Text 2" xfId="23" xr:uid="{27A9BA0C-4F21-4886-87F7-08A645203F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781C8A1-177F-4F58-84CC-4EE621093DE2}">
  <we:reference id="WA200009404" version="1.0.0.8" store="Omex" storeType="OMEX"/>
  <we:alternateReferences>
    <we:reference id="WA200009404" version="1.0.0.8" store="WA200009404" storeType="OMEX"/>
  </we:alternateReferences>
  <we:properties>
    <we:property name="claude.fileId" value="&quot;29f968f6-1200-4830-a7d9-956488bb232c&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ts.oecd.org/Index.aspx?DataSetCode=IOTSI4_2018" TargetMode="External"/><Relationship Id="rId1" Type="http://schemas.openxmlformats.org/officeDocument/2006/relationships/hyperlink" Target="https://www.bea.gov/industry/input-output-accounts-data"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G76"/>
  <sheetViews>
    <sheetView tabSelected="1" workbookViewId="0">
      <selection activeCell="G4" sqref="G4"/>
    </sheetView>
  </sheetViews>
  <sheetFormatPr defaultRowHeight="15" x14ac:dyDescent="0.25"/>
  <cols>
    <col min="2" max="2" width="83.5703125" customWidth="1"/>
  </cols>
  <sheetData>
    <row r="1" spans="1:7" x14ac:dyDescent="0.25">
      <c r="A1" s="1" t="s">
        <v>1002</v>
      </c>
    </row>
    <row r="3" spans="1:7" x14ac:dyDescent="0.25">
      <c r="A3" s="1" t="s">
        <v>0</v>
      </c>
      <c r="B3" s="39" t="s">
        <v>817</v>
      </c>
    </row>
    <row r="4" spans="1:7" x14ac:dyDescent="0.25">
      <c r="B4" t="s">
        <v>1</v>
      </c>
      <c r="G4" s="5" t="s">
        <v>1074</v>
      </c>
    </row>
    <row r="5" spans="1:7" x14ac:dyDescent="0.25">
      <c r="B5" s="2">
        <v>2018</v>
      </c>
    </row>
    <row r="6" spans="1:7" x14ac:dyDescent="0.25">
      <c r="B6" t="s">
        <v>35</v>
      </c>
    </row>
    <row r="7" spans="1:7" x14ac:dyDescent="0.25">
      <c r="B7" s="3" t="s">
        <v>818</v>
      </c>
    </row>
    <row r="8" spans="1:7" x14ac:dyDescent="0.25">
      <c r="B8" t="s">
        <v>883</v>
      </c>
    </row>
    <row r="10" spans="1:7" x14ac:dyDescent="0.25">
      <c r="B10" s="39" t="s">
        <v>879</v>
      </c>
    </row>
    <row r="11" spans="1:7" x14ac:dyDescent="0.25">
      <c r="B11" t="s">
        <v>819</v>
      </c>
    </row>
    <row r="12" spans="1:7" x14ac:dyDescent="0.25">
      <c r="B12" s="2">
        <v>2012</v>
      </c>
    </row>
    <row r="13" spans="1:7" x14ac:dyDescent="0.25">
      <c r="B13" t="s">
        <v>821</v>
      </c>
    </row>
    <row r="14" spans="1:7" x14ac:dyDescent="0.25">
      <c r="B14" s="3" t="s">
        <v>820</v>
      </c>
    </row>
    <row r="15" spans="1:7" x14ac:dyDescent="0.25">
      <c r="B15" t="s">
        <v>851</v>
      </c>
    </row>
    <row r="16" spans="1:7" x14ac:dyDescent="0.25">
      <c r="B16" t="s">
        <v>852</v>
      </c>
    </row>
    <row r="18" spans="1:2" x14ac:dyDescent="0.25">
      <c r="A18" s="1" t="s">
        <v>2</v>
      </c>
    </row>
    <row r="19" spans="1:2" x14ac:dyDescent="0.25">
      <c r="A19" t="s">
        <v>36</v>
      </c>
    </row>
    <row r="20" spans="1:2" x14ac:dyDescent="0.25">
      <c r="A20" t="s">
        <v>37</v>
      </c>
    </row>
    <row r="22" spans="1:2" x14ac:dyDescent="0.25">
      <c r="A22" t="s">
        <v>42</v>
      </c>
    </row>
    <row r="23" spans="1:2" x14ac:dyDescent="0.25">
      <c r="A23" t="s">
        <v>43</v>
      </c>
    </row>
    <row r="24" spans="1:2" x14ac:dyDescent="0.25">
      <c r="A24" t="s">
        <v>45</v>
      </c>
    </row>
    <row r="25" spans="1:2" x14ac:dyDescent="0.25">
      <c r="A25" t="s">
        <v>44</v>
      </c>
    </row>
    <row r="26" spans="1:2" x14ac:dyDescent="0.25">
      <c r="A26" t="s">
        <v>46</v>
      </c>
    </row>
    <row r="27" spans="1:2" x14ac:dyDescent="0.25">
      <c r="A27" t="s">
        <v>47</v>
      </c>
    </row>
    <row r="29" spans="1:2" x14ac:dyDescent="0.25">
      <c r="A29" s="35" t="s">
        <v>861</v>
      </c>
      <c r="B29" s="36"/>
    </row>
    <row r="30" spans="1:2" x14ac:dyDescent="0.25">
      <c r="A30" t="s">
        <v>880</v>
      </c>
    </row>
    <row r="31" spans="1:2" x14ac:dyDescent="0.25">
      <c r="A31" t="s">
        <v>881</v>
      </c>
    </row>
    <row r="32" spans="1:2" x14ac:dyDescent="0.25">
      <c r="A32" t="s">
        <v>827</v>
      </c>
    </row>
    <row r="33" spans="1:2" x14ac:dyDescent="0.25">
      <c r="A33" t="s">
        <v>828</v>
      </c>
    </row>
    <row r="34" spans="1:2" x14ac:dyDescent="0.25">
      <c r="A34" t="s">
        <v>855</v>
      </c>
    </row>
    <row r="36" spans="1:2" x14ac:dyDescent="0.25">
      <c r="A36" s="38" t="s">
        <v>816</v>
      </c>
    </row>
    <row r="37" spans="1:2" x14ac:dyDescent="0.25">
      <c r="A37" s="38" t="s">
        <v>882</v>
      </c>
    </row>
    <row r="39" spans="1:2" x14ac:dyDescent="0.25">
      <c r="A39" s="35" t="s">
        <v>38</v>
      </c>
      <c r="B39" s="36"/>
    </row>
    <row r="40" spans="1:2" x14ac:dyDescent="0.25">
      <c r="A40" s="35" t="s">
        <v>846</v>
      </c>
      <c r="B40" s="36"/>
    </row>
    <row r="42" spans="1:2" x14ac:dyDescent="0.25">
      <c r="A42" s="41" t="s">
        <v>847</v>
      </c>
      <c r="B42" s="41"/>
    </row>
    <row r="44" spans="1:2" x14ac:dyDescent="0.25">
      <c r="A44" t="s">
        <v>830</v>
      </c>
    </row>
    <row r="45" spans="1:2" x14ac:dyDescent="0.25">
      <c r="A45" t="s">
        <v>41</v>
      </c>
    </row>
    <row r="46" spans="1:2" x14ac:dyDescent="0.25">
      <c r="A46" t="s">
        <v>831</v>
      </c>
    </row>
    <row r="47" spans="1:2" x14ac:dyDescent="0.25">
      <c r="A47" t="s">
        <v>832</v>
      </c>
    </row>
    <row r="49" spans="1:1" x14ac:dyDescent="0.25">
      <c r="A49" s="38" t="s">
        <v>829</v>
      </c>
    </row>
    <row r="50" spans="1:1" x14ac:dyDescent="0.25">
      <c r="A50" s="38" t="s">
        <v>833</v>
      </c>
    </row>
    <row r="51" spans="1:1" x14ac:dyDescent="0.25">
      <c r="A51" s="38" t="s">
        <v>834</v>
      </c>
    </row>
    <row r="52" spans="1:1" x14ac:dyDescent="0.25">
      <c r="A52" s="38" t="s">
        <v>836</v>
      </c>
    </row>
    <row r="53" spans="1:1" x14ac:dyDescent="0.25">
      <c r="A53" s="38" t="s">
        <v>837</v>
      </c>
    </row>
    <row r="54" spans="1:1" x14ac:dyDescent="0.25">
      <c r="A54" s="38" t="s">
        <v>841</v>
      </c>
    </row>
    <row r="55" spans="1:1" x14ac:dyDescent="0.25">
      <c r="A55" s="38" t="s">
        <v>835</v>
      </c>
    </row>
    <row r="56" spans="1:1" x14ac:dyDescent="0.25">
      <c r="A56" s="38" t="s">
        <v>842</v>
      </c>
    </row>
    <row r="58" spans="1:1" x14ac:dyDescent="0.25">
      <c r="A58" t="s">
        <v>843</v>
      </c>
    </row>
    <row r="59" spans="1:1" x14ac:dyDescent="0.25">
      <c r="A59" t="s">
        <v>844</v>
      </c>
    </row>
    <row r="60" spans="1:1" x14ac:dyDescent="0.25">
      <c r="A60" t="s">
        <v>845</v>
      </c>
    </row>
    <row r="62" spans="1:1" x14ac:dyDescent="0.25">
      <c r="A62" s="38" t="s">
        <v>853</v>
      </c>
    </row>
    <row r="64" spans="1:1" x14ac:dyDescent="0.25">
      <c r="A64" t="s">
        <v>838</v>
      </c>
    </row>
    <row r="65" spans="1:1" x14ac:dyDescent="0.25">
      <c r="A65" t="s">
        <v>848</v>
      </c>
    </row>
    <row r="67" spans="1:1" x14ac:dyDescent="0.25">
      <c r="A67" t="s">
        <v>839</v>
      </c>
    </row>
    <row r="69" spans="1:1" x14ac:dyDescent="0.25">
      <c r="A69" t="s">
        <v>840</v>
      </c>
    </row>
    <row r="70" spans="1:1" x14ac:dyDescent="0.25">
      <c r="A70" t="s">
        <v>39</v>
      </c>
    </row>
    <row r="72" spans="1:1" x14ac:dyDescent="0.25">
      <c r="A72" t="s">
        <v>822</v>
      </c>
    </row>
    <row r="73" spans="1:1" x14ac:dyDescent="0.25">
      <c r="A73" t="s">
        <v>40</v>
      </c>
    </row>
    <row r="74" spans="1:1" x14ac:dyDescent="0.25">
      <c r="A74" s="38" t="s">
        <v>854</v>
      </c>
    </row>
    <row r="75" spans="1:1" x14ac:dyDescent="0.25">
      <c r="A75" s="38" t="s">
        <v>850</v>
      </c>
    </row>
    <row r="76" spans="1:1" x14ac:dyDescent="0.25">
      <c r="A76" s="38" t="s">
        <v>849</v>
      </c>
    </row>
  </sheetData>
  <hyperlinks>
    <hyperlink ref="B14" r:id="rId1" xr:uid="{82F50444-5B85-42B6-BA9D-35FB858C2B1B}"/>
    <hyperlink ref="B7" r:id="rId2" xr:uid="{DC0582D8-222E-4AC1-B84A-B2E8AD5DE0A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5D1B7-1AC1-4070-AA1C-B6148C6C301E}">
  <dimension ref="A1:BI60"/>
  <sheetViews>
    <sheetView workbookViewId="0">
      <selection activeCell="D20" sqref="A1:BI60"/>
    </sheetView>
  </sheetViews>
  <sheetFormatPr defaultRowHeight="15" x14ac:dyDescent="0.25"/>
  <sheetData>
    <row r="1" spans="1:61" x14ac:dyDescent="0.25">
      <c r="B1" t="s">
        <v>884</v>
      </c>
      <c r="C1" t="s">
        <v>885</v>
      </c>
      <c r="D1" t="s">
        <v>886</v>
      </c>
      <c r="E1" t="s">
        <v>887</v>
      </c>
      <c r="F1" t="s">
        <v>888</v>
      </c>
      <c r="G1" t="s">
        <v>889</v>
      </c>
      <c r="H1" t="s">
        <v>890</v>
      </c>
      <c r="I1" t="s">
        <v>891</v>
      </c>
      <c r="J1" t="s">
        <v>892</v>
      </c>
      <c r="K1" t="s">
        <v>893</v>
      </c>
      <c r="L1" t="s">
        <v>894</v>
      </c>
      <c r="M1" t="s">
        <v>895</v>
      </c>
      <c r="N1" t="s">
        <v>896</v>
      </c>
      <c r="O1" t="s">
        <v>897</v>
      </c>
      <c r="P1" t="s">
        <v>898</v>
      </c>
      <c r="Q1" t="s">
        <v>899</v>
      </c>
      <c r="R1" t="s">
        <v>900</v>
      </c>
      <c r="S1" t="s">
        <v>901</v>
      </c>
      <c r="T1" t="s">
        <v>902</v>
      </c>
      <c r="U1" t="s">
        <v>903</v>
      </c>
      <c r="V1" t="s">
        <v>904</v>
      </c>
      <c r="W1" t="s">
        <v>905</v>
      </c>
      <c r="X1" t="s">
        <v>906</v>
      </c>
      <c r="Y1" t="s">
        <v>907</v>
      </c>
      <c r="Z1" t="s">
        <v>908</v>
      </c>
      <c r="AA1" t="s">
        <v>909</v>
      </c>
      <c r="AB1" t="s">
        <v>910</v>
      </c>
      <c r="AC1" t="s">
        <v>911</v>
      </c>
      <c r="AD1" t="s">
        <v>912</v>
      </c>
      <c r="AE1" t="s">
        <v>913</v>
      </c>
      <c r="AF1" t="s">
        <v>758</v>
      </c>
      <c r="AG1" t="s">
        <v>914</v>
      </c>
      <c r="AH1" t="s">
        <v>915</v>
      </c>
      <c r="AI1" t="s">
        <v>916</v>
      </c>
      <c r="AJ1" t="s">
        <v>917</v>
      </c>
      <c r="AK1" t="s">
        <v>918</v>
      </c>
      <c r="AL1" t="s">
        <v>919</v>
      </c>
      <c r="AM1" t="s">
        <v>920</v>
      </c>
      <c r="AN1" t="s">
        <v>921</v>
      </c>
      <c r="AO1" t="s">
        <v>922</v>
      </c>
      <c r="AP1" t="s">
        <v>923</v>
      </c>
      <c r="AQ1" t="s">
        <v>924</v>
      </c>
      <c r="AR1" t="s">
        <v>925</v>
      </c>
      <c r="AS1" t="s">
        <v>926</v>
      </c>
      <c r="AT1" t="s">
        <v>927</v>
      </c>
      <c r="AU1" t="s">
        <v>928</v>
      </c>
      <c r="AV1" t="s">
        <v>929</v>
      </c>
      <c r="AW1" t="s">
        <v>930</v>
      </c>
      <c r="AX1" t="s">
        <v>931</v>
      </c>
      <c r="AY1" t="s">
        <v>932</v>
      </c>
      <c r="AZ1" t="s">
        <v>933</v>
      </c>
      <c r="BA1" t="s">
        <v>934</v>
      </c>
      <c r="BB1" t="s">
        <v>935</v>
      </c>
      <c r="BC1" t="s">
        <v>936</v>
      </c>
      <c r="BD1" t="s">
        <v>937</v>
      </c>
      <c r="BE1" t="s">
        <v>938</v>
      </c>
      <c r="BF1" t="s">
        <v>939</v>
      </c>
      <c r="BG1" t="s">
        <v>940</v>
      </c>
      <c r="BH1" t="s">
        <v>941</v>
      </c>
      <c r="BI1" t="s">
        <v>942</v>
      </c>
    </row>
    <row r="2" spans="1:61" x14ac:dyDescent="0.25">
      <c r="A2" t="s">
        <v>943</v>
      </c>
      <c r="B2">
        <v>74779.370999999999</v>
      </c>
      <c r="C2">
        <v>729.47400000000005</v>
      </c>
      <c r="D2">
        <v>48.606000000000002</v>
      </c>
      <c r="E2">
        <v>3.371</v>
      </c>
      <c r="F2">
        <v>32.701000000000001</v>
      </c>
      <c r="G2">
        <v>1.71</v>
      </c>
      <c r="H2">
        <v>8.4380000000000006</v>
      </c>
      <c r="I2">
        <v>2.6850000000000001</v>
      </c>
      <c r="J2">
        <v>244020.024</v>
      </c>
      <c r="K2">
        <v>1261.74</v>
      </c>
      <c r="L2">
        <v>765.63300000000004</v>
      </c>
      <c r="M2">
        <v>104.3</v>
      </c>
      <c r="N2">
        <v>10.731999999999999</v>
      </c>
      <c r="O2">
        <v>986.88800000000003</v>
      </c>
      <c r="P2">
        <v>750.97799999999995</v>
      </c>
      <c r="Q2">
        <v>567.62199999999996</v>
      </c>
      <c r="R2">
        <v>9.34</v>
      </c>
      <c r="S2">
        <v>2.31</v>
      </c>
      <c r="T2">
        <v>2.5139999999999998</v>
      </c>
      <c r="U2">
        <v>8.9550000000000001</v>
      </c>
      <c r="V2">
        <v>8.1379999999999999</v>
      </c>
      <c r="W2">
        <v>3.681</v>
      </c>
      <c r="X2">
        <v>35.537999999999997</v>
      </c>
      <c r="Y2">
        <v>33.354999999999997</v>
      </c>
      <c r="Z2">
        <v>1.405</v>
      </c>
      <c r="AA2">
        <v>8.1519999999999992</v>
      </c>
      <c r="AB2">
        <v>179.08</v>
      </c>
      <c r="AC2">
        <v>162.94499999999999</v>
      </c>
      <c r="AD2">
        <v>55.649000000000001</v>
      </c>
      <c r="AE2">
        <v>689.94399999999996</v>
      </c>
      <c r="AF2">
        <v>9434.5759999999991</v>
      </c>
      <c r="AG2">
        <v>113.14700000000001</v>
      </c>
      <c r="AH2">
        <v>14.435</v>
      </c>
      <c r="AI2">
        <v>4.1360000000000001</v>
      </c>
      <c r="AJ2">
        <v>65.436000000000007</v>
      </c>
      <c r="AK2">
        <v>7.2850000000000001</v>
      </c>
      <c r="AL2">
        <v>52185.807000000001</v>
      </c>
      <c r="AM2">
        <v>78.16</v>
      </c>
      <c r="AN2">
        <v>19.382000000000001</v>
      </c>
      <c r="AO2">
        <v>17.161999999999999</v>
      </c>
      <c r="AP2">
        <v>74.635999999999996</v>
      </c>
      <c r="AQ2">
        <v>395.05799999999999</v>
      </c>
      <c r="AR2">
        <v>1051.5730000000001</v>
      </c>
      <c r="AS2">
        <v>1513.491</v>
      </c>
      <c r="AT2">
        <v>2681.5439999999999</v>
      </c>
      <c r="AU2">
        <v>1303.299</v>
      </c>
      <c r="AV2">
        <v>5182.2259999999997</v>
      </c>
      <c r="AW2">
        <v>586.57600000000002</v>
      </c>
      <c r="AX2">
        <v>834.92</v>
      </c>
      <c r="AY2">
        <v>0</v>
      </c>
      <c r="AZ2">
        <v>212576.90599999999</v>
      </c>
      <c r="BA2">
        <v>517.39</v>
      </c>
      <c r="BB2">
        <v>0.47299999999999998</v>
      </c>
      <c r="BC2">
        <v>98.44</v>
      </c>
      <c r="BD2">
        <v>208.61799999999999</v>
      </c>
      <c r="BE2">
        <v>1567.22</v>
      </c>
      <c r="BF2">
        <v>426.017</v>
      </c>
      <c r="BG2">
        <v>65992.047999999995</v>
      </c>
      <c r="BH2">
        <v>-51305.832000000002</v>
      </c>
      <c r="BI2">
        <v>630919.40500000003</v>
      </c>
    </row>
    <row r="3" spans="1:61" x14ac:dyDescent="0.25">
      <c r="A3" t="s">
        <v>944</v>
      </c>
      <c r="B3">
        <v>653.61500000000001</v>
      </c>
      <c r="C3">
        <v>2244.1030000000001</v>
      </c>
      <c r="D3">
        <v>0.90500000000000003</v>
      </c>
      <c r="E3">
        <v>10.943</v>
      </c>
      <c r="F3">
        <v>19.422999999999998</v>
      </c>
      <c r="G3">
        <v>1.665</v>
      </c>
      <c r="H3">
        <v>2.56</v>
      </c>
      <c r="I3">
        <v>7.5999999999999998E-2</v>
      </c>
      <c r="J3">
        <v>767.45299999999997</v>
      </c>
      <c r="K3">
        <v>12.704000000000001</v>
      </c>
      <c r="L3">
        <v>7209.6220000000003</v>
      </c>
      <c r="M3">
        <v>661.86699999999996</v>
      </c>
      <c r="N3">
        <v>0.79100000000000004</v>
      </c>
      <c r="O3">
        <v>47.506999999999998</v>
      </c>
      <c r="P3">
        <v>8.7729999999999997</v>
      </c>
      <c r="Q3">
        <v>242.50700000000001</v>
      </c>
      <c r="R3">
        <v>11.813000000000001</v>
      </c>
      <c r="S3">
        <v>2.5230000000000001</v>
      </c>
      <c r="T3">
        <v>2.073</v>
      </c>
      <c r="U3">
        <v>2.4500000000000002</v>
      </c>
      <c r="V3">
        <v>0.28599999999999998</v>
      </c>
      <c r="W3">
        <v>0.44400000000000001</v>
      </c>
      <c r="X3">
        <v>2.9630000000000001</v>
      </c>
      <c r="Y3">
        <v>2.6629999999999998</v>
      </c>
      <c r="Z3">
        <v>0.55200000000000005</v>
      </c>
      <c r="AA3">
        <v>0.80300000000000005</v>
      </c>
      <c r="AB3">
        <v>297.69200000000001</v>
      </c>
      <c r="AC3">
        <v>208.09299999999999</v>
      </c>
      <c r="AD3">
        <v>1.2090000000000001</v>
      </c>
      <c r="AE3">
        <v>209.583</v>
      </c>
      <c r="AF3">
        <v>448.72899999999998</v>
      </c>
      <c r="AG3">
        <v>3.2669999999999999</v>
      </c>
      <c r="AH3">
        <v>0.48299999999999998</v>
      </c>
      <c r="AI3">
        <v>0.252</v>
      </c>
      <c r="AJ3">
        <v>2.069</v>
      </c>
      <c r="AK3">
        <v>0.42</v>
      </c>
      <c r="AL3">
        <v>336.25799999999998</v>
      </c>
      <c r="AM3">
        <v>7.1120000000000001</v>
      </c>
      <c r="AN3">
        <v>4.0119999999999996</v>
      </c>
      <c r="AO3">
        <v>5.3719999999999999</v>
      </c>
      <c r="AP3">
        <v>3.4470000000000001</v>
      </c>
      <c r="AQ3">
        <v>42.151000000000003</v>
      </c>
      <c r="AR3">
        <v>14.444000000000001</v>
      </c>
      <c r="AS3">
        <v>25.652000000000001</v>
      </c>
      <c r="AT3">
        <v>245.703</v>
      </c>
      <c r="AU3">
        <v>49.752000000000002</v>
      </c>
      <c r="AV3">
        <v>66.658000000000001</v>
      </c>
      <c r="AW3">
        <v>37.576999999999998</v>
      </c>
      <c r="AX3">
        <v>34.299999999999997</v>
      </c>
      <c r="AY3">
        <v>0</v>
      </c>
      <c r="AZ3">
        <v>14849.906999999999</v>
      </c>
      <c r="BA3">
        <v>150.64500000000001</v>
      </c>
      <c r="BB3">
        <v>6.7000000000000004E-2</v>
      </c>
      <c r="BC3">
        <v>48.963000000000001</v>
      </c>
      <c r="BD3">
        <v>5.5469999999999997</v>
      </c>
      <c r="BE3">
        <v>22.263000000000002</v>
      </c>
      <c r="BF3">
        <v>2.5000000000000001E-2</v>
      </c>
      <c r="BG3">
        <v>1290.846</v>
      </c>
      <c r="BH3">
        <v>-3873.05</v>
      </c>
      <c r="BI3">
        <v>26450.532999999999</v>
      </c>
    </row>
    <row r="4" spans="1:61" x14ac:dyDescent="0.25">
      <c r="A4" t="s">
        <v>945</v>
      </c>
      <c r="B4">
        <v>23.876000000000001</v>
      </c>
      <c r="C4">
        <v>1.913</v>
      </c>
      <c r="D4">
        <v>92.259</v>
      </c>
      <c r="E4">
        <v>0.14499999999999999</v>
      </c>
      <c r="F4">
        <v>1.3620000000000001</v>
      </c>
      <c r="G4">
        <v>0.20899999999999999</v>
      </c>
      <c r="H4">
        <v>0.23899999999999999</v>
      </c>
      <c r="I4">
        <v>2.1000000000000001E-2</v>
      </c>
      <c r="J4">
        <v>8300.5460000000003</v>
      </c>
      <c r="K4">
        <v>0.37</v>
      </c>
      <c r="L4">
        <v>0.309</v>
      </c>
      <c r="M4">
        <v>0.45900000000000002</v>
      </c>
      <c r="N4">
        <v>0.97799999999999998</v>
      </c>
      <c r="O4">
        <v>2.9889999999999999</v>
      </c>
      <c r="P4">
        <v>1.752</v>
      </c>
      <c r="Q4">
        <v>0.70499999999999996</v>
      </c>
      <c r="R4">
        <v>0.38200000000000001</v>
      </c>
      <c r="S4">
        <v>0.22600000000000001</v>
      </c>
      <c r="T4">
        <v>0.215</v>
      </c>
      <c r="U4">
        <v>0.64700000000000002</v>
      </c>
      <c r="V4">
        <v>0.218</v>
      </c>
      <c r="W4">
        <v>0.20200000000000001</v>
      </c>
      <c r="X4">
        <v>0.63200000000000001</v>
      </c>
      <c r="Y4">
        <v>0.46500000000000002</v>
      </c>
      <c r="Z4">
        <v>0.27100000000000002</v>
      </c>
      <c r="AA4">
        <v>0.23599999999999999</v>
      </c>
      <c r="AB4">
        <v>0.52400000000000002</v>
      </c>
      <c r="AC4">
        <v>0.46100000000000002</v>
      </c>
      <c r="AD4">
        <v>0.27400000000000002</v>
      </c>
      <c r="AE4">
        <v>2.6890000000000001</v>
      </c>
      <c r="AF4">
        <v>179.46</v>
      </c>
      <c r="AG4">
        <v>2.0430000000000001</v>
      </c>
      <c r="AH4">
        <v>4.1710000000000003</v>
      </c>
      <c r="AI4">
        <v>0.24299999999999999</v>
      </c>
      <c r="AJ4">
        <v>2.9510000000000001</v>
      </c>
      <c r="AK4">
        <v>9.0999999999999998E-2</v>
      </c>
      <c r="AL4">
        <v>3857.3409999999999</v>
      </c>
      <c r="AM4">
        <v>3.3260000000000001</v>
      </c>
      <c r="AN4">
        <v>0.93300000000000005</v>
      </c>
      <c r="AO4">
        <v>2.532</v>
      </c>
      <c r="AP4">
        <v>5.6349999999999998</v>
      </c>
      <c r="AQ4">
        <v>15.058</v>
      </c>
      <c r="AR4">
        <v>6.2089999999999996</v>
      </c>
      <c r="AS4">
        <v>3.42</v>
      </c>
      <c r="AT4">
        <v>171.36799999999999</v>
      </c>
      <c r="AU4">
        <v>26.86</v>
      </c>
      <c r="AV4">
        <v>122.22799999999999</v>
      </c>
      <c r="AW4">
        <v>6.8780000000000001</v>
      </c>
      <c r="AX4">
        <v>13.061</v>
      </c>
      <c r="AY4">
        <v>0</v>
      </c>
      <c r="AZ4">
        <v>6908.5739999999996</v>
      </c>
      <c r="BA4">
        <v>42.877000000000002</v>
      </c>
      <c r="BB4">
        <v>8.0000000000000002E-3</v>
      </c>
      <c r="BC4">
        <v>4.2750000000000004</v>
      </c>
      <c r="BD4">
        <v>7.2249999999999996</v>
      </c>
      <c r="BE4">
        <v>96.870999999999995</v>
      </c>
      <c r="BF4">
        <v>10.609</v>
      </c>
      <c r="BG4">
        <v>2385.951</v>
      </c>
      <c r="BH4">
        <v>-15796.516</v>
      </c>
      <c r="BI4">
        <v>6519.2550000000001</v>
      </c>
    </row>
    <row r="5" spans="1:61" x14ac:dyDescent="0.25">
      <c r="A5" t="s">
        <v>946</v>
      </c>
      <c r="B5">
        <v>51.576000000000001</v>
      </c>
      <c r="C5">
        <v>2.3620000000000001</v>
      </c>
      <c r="D5">
        <v>0.152</v>
      </c>
      <c r="E5">
        <v>418.91699999999997</v>
      </c>
      <c r="F5">
        <v>479.78399999999999</v>
      </c>
      <c r="G5">
        <v>40.781999999999996</v>
      </c>
      <c r="H5">
        <v>40.222000000000001</v>
      </c>
      <c r="I5">
        <v>38.481000000000002</v>
      </c>
      <c r="J5">
        <v>138.84399999999999</v>
      </c>
      <c r="K5">
        <v>11.553000000000001</v>
      </c>
      <c r="L5">
        <v>8.1319999999999997</v>
      </c>
      <c r="M5">
        <v>95.254999999999995</v>
      </c>
      <c r="N5">
        <v>2046.4570000000001</v>
      </c>
      <c r="O5">
        <v>293.82600000000002</v>
      </c>
      <c r="P5">
        <v>6.1609999999999996</v>
      </c>
      <c r="Q5">
        <v>31.045999999999999</v>
      </c>
      <c r="R5">
        <v>466.82600000000002</v>
      </c>
      <c r="S5">
        <v>1924.3879999999999</v>
      </c>
      <c r="T5">
        <v>306.99200000000002</v>
      </c>
      <c r="U5">
        <v>10.866</v>
      </c>
      <c r="V5">
        <v>2.089</v>
      </c>
      <c r="W5">
        <v>5.181</v>
      </c>
      <c r="X5">
        <v>14.052</v>
      </c>
      <c r="Y5">
        <v>16.93</v>
      </c>
      <c r="Z5">
        <v>1.96</v>
      </c>
      <c r="AA5">
        <v>12.526</v>
      </c>
      <c r="AB5">
        <v>6.0039999999999996</v>
      </c>
      <c r="AC5">
        <v>12957.678</v>
      </c>
      <c r="AD5">
        <v>10.055999999999999</v>
      </c>
      <c r="AE5">
        <v>717.79899999999998</v>
      </c>
      <c r="AF5">
        <v>130.59899999999999</v>
      </c>
      <c r="AG5">
        <v>31.914999999999999</v>
      </c>
      <c r="AH5">
        <v>0.51400000000000001</v>
      </c>
      <c r="AI5">
        <v>1.3160000000000001</v>
      </c>
      <c r="AJ5">
        <v>17.128</v>
      </c>
      <c r="AK5">
        <v>1.6759999999999999</v>
      </c>
      <c r="AL5">
        <v>47.220999999999997</v>
      </c>
      <c r="AM5">
        <v>5.173</v>
      </c>
      <c r="AN5">
        <v>15.351000000000001</v>
      </c>
      <c r="AO5">
        <v>4.4889999999999999</v>
      </c>
      <c r="AP5">
        <v>21.678999999999998</v>
      </c>
      <c r="AQ5">
        <v>490.661</v>
      </c>
      <c r="AR5">
        <v>48.844999999999999</v>
      </c>
      <c r="AS5">
        <v>22.126999999999999</v>
      </c>
      <c r="AT5">
        <v>405.15499999999997</v>
      </c>
      <c r="AU5">
        <v>128.50800000000001</v>
      </c>
      <c r="AV5">
        <v>83.48</v>
      </c>
      <c r="AW5">
        <v>6.3879999999999999</v>
      </c>
      <c r="AX5">
        <v>50.899000000000001</v>
      </c>
      <c r="AY5">
        <v>0</v>
      </c>
      <c r="AZ5">
        <v>18.116</v>
      </c>
      <c r="BA5">
        <v>0.70899999999999996</v>
      </c>
      <c r="BB5">
        <v>3.3000000000000002E-2</v>
      </c>
      <c r="BC5">
        <v>5851.9960000000001</v>
      </c>
      <c r="BD5">
        <v>0.34</v>
      </c>
      <c r="BE5">
        <v>3.8090000000000002</v>
      </c>
      <c r="BF5">
        <v>0.01</v>
      </c>
      <c r="BG5">
        <v>13417.78</v>
      </c>
      <c r="BH5">
        <v>-461.32</v>
      </c>
      <c r="BI5">
        <v>40501.495000000003</v>
      </c>
    </row>
    <row r="6" spans="1:61" x14ac:dyDescent="0.25">
      <c r="A6" t="s">
        <v>947</v>
      </c>
      <c r="B6">
        <v>1337.6690000000001</v>
      </c>
      <c r="C6">
        <v>80.349999999999994</v>
      </c>
      <c r="D6">
        <v>34.975999999999999</v>
      </c>
      <c r="E6">
        <v>608.57399999999996</v>
      </c>
      <c r="F6">
        <v>44951.12</v>
      </c>
      <c r="G6">
        <v>457.20499999999998</v>
      </c>
      <c r="H6">
        <v>800.07</v>
      </c>
      <c r="I6">
        <v>833.57899999999995</v>
      </c>
      <c r="J6">
        <v>2743.2080000000001</v>
      </c>
      <c r="K6">
        <v>118.636</v>
      </c>
      <c r="L6">
        <v>278.17</v>
      </c>
      <c r="M6">
        <v>1531.424</v>
      </c>
      <c r="N6">
        <v>460643.67800000001</v>
      </c>
      <c r="O6">
        <v>13736.477999999999</v>
      </c>
      <c r="P6">
        <v>199.208</v>
      </c>
      <c r="Q6">
        <v>773.971</v>
      </c>
      <c r="R6">
        <v>3251.7939999999999</v>
      </c>
      <c r="S6">
        <v>3524.1190000000001</v>
      </c>
      <c r="T6">
        <v>2182.6709999999998</v>
      </c>
      <c r="U6">
        <v>1054.1010000000001</v>
      </c>
      <c r="V6">
        <v>75.212999999999994</v>
      </c>
      <c r="W6">
        <v>125.611</v>
      </c>
      <c r="X6">
        <v>371.03899999999999</v>
      </c>
      <c r="Y6">
        <v>864.44200000000001</v>
      </c>
      <c r="Z6">
        <v>31.587</v>
      </c>
      <c r="AA6">
        <v>242.47300000000001</v>
      </c>
      <c r="AB6">
        <v>376.68799999999999</v>
      </c>
      <c r="AC6">
        <v>97219.222999999998</v>
      </c>
      <c r="AD6">
        <v>479.41699999999997</v>
      </c>
      <c r="AE6">
        <v>3239.6219999999998</v>
      </c>
      <c r="AF6">
        <v>9710.0589999999993</v>
      </c>
      <c r="AG6">
        <v>7263.4859999999999</v>
      </c>
      <c r="AH6">
        <v>701.68700000000001</v>
      </c>
      <c r="AI6">
        <v>2661</v>
      </c>
      <c r="AJ6">
        <v>1246.527</v>
      </c>
      <c r="AK6">
        <v>305.47300000000001</v>
      </c>
      <c r="AL6">
        <v>1202.682</v>
      </c>
      <c r="AM6">
        <v>303.54399999999998</v>
      </c>
      <c r="AN6">
        <v>266.14800000000002</v>
      </c>
      <c r="AO6">
        <v>375.68099999999998</v>
      </c>
      <c r="AP6">
        <v>1055.6869999999999</v>
      </c>
      <c r="AQ6">
        <v>2669.84</v>
      </c>
      <c r="AR6">
        <v>2106.7959999999998</v>
      </c>
      <c r="AS6">
        <v>1946.8219999999999</v>
      </c>
      <c r="AT6">
        <v>6811.5569999999998</v>
      </c>
      <c r="AU6">
        <v>1427.3720000000001</v>
      </c>
      <c r="AV6">
        <v>1911.932</v>
      </c>
      <c r="AW6">
        <v>254.96899999999999</v>
      </c>
      <c r="AX6">
        <v>600.47699999999998</v>
      </c>
      <c r="AY6">
        <v>0</v>
      </c>
      <c r="AZ6">
        <v>15958.877</v>
      </c>
      <c r="BA6">
        <v>3.6619999999999999</v>
      </c>
      <c r="BB6">
        <v>0.41299999999999998</v>
      </c>
      <c r="BC6">
        <v>23691.18</v>
      </c>
      <c r="BD6">
        <v>10.843</v>
      </c>
      <c r="BE6">
        <v>29.63</v>
      </c>
      <c r="BF6">
        <v>115.74</v>
      </c>
      <c r="BG6">
        <v>177625.11900000001</v>
      </c>
      <c r="BH6">
        <v>-188381.39</v>
      </c>
      <c r="BI6">
        <v>714042.12800000003</v>
      </c>
    </row>
    <row r="7" spans="1:61" x14ac:dyDescent="0.25">
      <c r="A7" t="s">
        <v>948</v>
      </c>
      <c r="B7">
        <v>21.135999999999999</v>
      </c>
      <c r="C7">
        <v>0.53300000000000003</v>
      </c>
      <c r="D7">
        <v>0.107</v>
      </c>
      <c r="E7">
        <v>46.164999999999999</v>
      </c>
      <c r="F7">
        <v>391.47399999999999</v>
      </c>
      <c r="G7">
        <v>873.27599999999995</v>
      </c>
      <c r="H7">
        <v>175.26599999999999</v>
      </c>
      <c r="I7">
        <v>58.338999999999999</v>
      </c>
      <c r="J7">
        <v>87.68</v>
      </c>
      <c r="K7">
        <v>4.093</v>
      </c>
      <c r="L7">
        <v>3.2909999999999999</v>
      </c>
      <c r="M7">
        <v>8.0370000000000008</v>
      </c>
      <c r="N7">
        <v>445.07100000000003</v>
      </c>
      <c r="O7">
        <v>517.91999999999996</v>
      </c>
      <c r="P7">
        <v>11.419</v>
      </c>
      <c r="Q7">
        <v>21.192</v>
      </c>
      <c r="R7">
        <v>691.06299999999999</v>
      </c>
      <c r="S7">
        <v>8228.6010000000006</v>
      </c>
      <c r="T7">
        <v>11291.735000000001</v>
      </c>
      <c r="U7">
        <v>586.57299999999998</v>
      </c>
      <c r="V7">
        <v>34.598999999999997</v>
      </c>
      <c r="W7">
        <v>72.131</v>
      </c>
      <c r="X7">
        <v>130.60499999999999</v>
      </c>
      <c r="Y7">
        <v>156.905</v>
      </c>
      <c r="Z7">
        <v>3.4529999999999998</v>
      </c>
      <c r="AA7">
        <v>35.249000000000002</v>
      </c>
      <c r="AB7">
        <v>67.325999999999993</v>
      </c>
      <c r="AC7">
        <v>303.58999999999997</v>
      </c>
      <c r="AD7">
        <v>21.123999999999999</v>
      </c>
      <c r="AE7">
        <v>1234.9639999999999</v>
      </c>
      <c r="AF7">
        <v>91.334000000000003</v>
      </c>
      <c r="AG7">
        <v>17.811</v>
      </c>
      <c r="AH7">
        <v>0.48499999999999999</v>
      </c>
      <c r="AI7">
        <v>1.429</v>
      </c>
      <c r="AJ7">
        <v>9.1010000000000009</v>
      </c>
      <c r="AK7">
        <v>1.014</v>
      </c>
      <c r="AL7">
        <v>31.867000000000001</v>
      </c>
      <c r="AM7">
        <v>6.1109999999999998</v>
      </c>
      <c r="AN7">
        <v>8.343</v>
      </c>
      <c r="AO7">
        <v>9.8279999999999994</v>
      </c>
      <c r="AP7">
        <v>21.693000000000001</v>
      </c>
      <c r="AQ7">
        <v>190.596</v>
      </c>
      <c r="AR7">
        <v>66.025000000000006</v>
      </c>
      <c r="AS7">
        <v>30.670999999999999</v>
      </c>
      <c r="AT7">
        <v>105.289</v>
      </c>
      <c r="AU7">
        <v>21.494</v>
      </c>
      <c r="AV7">
        <v>30.898</v>
      </c>
      <c r="AW7">
        <v>5.3040000000000003</v>
      </c>
      <c r="AX7">
        <v>21.158999999999999</v>
      </c>
      <c r="AY7">
        <v>0</v>
      </c>
      <c r="AZ7">
        <v>18.254999999999999</v>
      </c>
      <c r="BA7">
        <v>0.442</v>
      </c>
      <c r="BB7">
        <v>0.14899999999999999</v>
      </c>
      <c r="BC7">
        <v>2085.3980000000001</v>
      </c>
      <c r="BD7">
        <v>0.90900000000000003</v>
      </c>
      <c r="BE7">
        <v>12.042999999999999</v>
      </c>
      <c r="BF7">
        <v>7.0000000000000001E-3</v>
      </c>
      <c r="BG7">
        <v>9919.6640000000007</v>
      </c>
      <c r="BH7">
        <v>-3762.4059999999999</v>
      </c>
      <c r="BI7">
        <v>34467.828000000001</v>
      </c>
    </row>
    <row r="8" spans="1:61" x14ac:dyDescent="0.25">
      <c r="A8" t="s">
        <v>949</v>
      </c>
      <c r="B8">
        <v>657.84799999999996</v>
      </c>
      <c r="C8">
        <v>11.285</v>
      </c>
      <c r="D8">
        <v>3.0640000000000001</v>
      </c>
      <c r="E8">
        <v>78.102999999999994</v>
      </c>
      <c r="F8">
        <v>1284.8309999999999</v>
      </c>
      <c r="G8">
        <v>160.47999999999999</v>
      </c>
      <c r="H8">
        <v>1619.92</v>
      </c>
      <c r="I8">
        <v>145.08099999999999</v>
      </c>
      <c r="J8">
        <v>641.96100000000001</v>
      </c>
      <c r="K8">
        <v>43.045999999999999</v>
      </c>
      <c r="L8">
        <v>26.571999999999999</v>
      </c>
      <c r="M8">
        <v>262.97699999999998</v>
      </c>
      <c r="N8">
        <v>957.26300000000003</v>
      </c>
      <c r="O8">
        <v>2588.614</v>
      </c>
      <c r="P8">
        <v>100.173</v>
      </c>
      <c r="Q8">
        <v>341.82900000000001</v>
      </c>
      <c r="R8">
        <v>10621.361999999999</v>
      </c>
      <c r="S8">
        <v>1700.2159999999999</v>
      </c>
      <c r="T8">
        <v>655.11599999999999</v>
      </c>
      <c r="U8">
        <v>196.93600000000001</v>
      </c>
      <c r="V8">
        <v>29.023</v>
      </c>
      <c r="W8">
        <v>47.667999999999999</v>
      </c>
      <c r="X8">
        <v>90.372</v>
      </c>
      <c r="Y8">
        <v>114.291</v>
      </c>
      <c r="Z8">
        <v>5.0869999999999997</v>
      </c>
      <c r="AA8">
        <v>21.408999999999999</v>
      </c>
      <c r="AB8">
        <v>174.77799999999999</v>
      </c>
      <c r="AC8">
        <v>779.71299999999997</v>
      </c>
      <c r="AD8">
        <v>133.34</v>
      </c>
      <c r="AE8">
        <v>20343.021000000001</v>
      </c>
      <c r="AF8">
        <v>315.39</v>
      </c>
      <c r="AG8">
        <v>58.430999999999997</v>
      </c>
      <c r="AH8">
        <v>4.1509999999999998</v>
      </c>
      <c r="AI8">
        <v>2.464</v>
      </c>
      <c r="AJ8">
        <v>33.276000000000003</v>
      </c>
      <c r="AK8">
        <v>2.734</v>
      </c>
      <c r="AL8">
        <v>155.17099999999999</v>
      </c>
      <c r="AM8">
        <v>23.324999999999999</v>
      </c>
      <c r="AN8">
        <v>19.451000000000001</v>
      </c>
      <c r="AO8">
        <v>9.8239999999999998</v>
      </c>
      <c r="AP8">
        <v>30.602</v>
      </c>
      <c r="AQ8">
        <v>1663.7270000000001</v>
      </c>
      <c r="AR8">
        <v>163.81899999999999</v>
      </c>
      <c r="AS8">
        <v>492.267</v>
      </c>
      <c r="AT8">
        <v>1005.297</v>
      </c>
      <c r="AU8">
        <v>99.174999999999997</v>
      </c>
      <c r="AV8">
        <v>215.87899999999999</v>
      </c>
      <c r="AW8">
        <v>21.187000000000001</v>
      </c>
      <c r="AX8">
        <v>74.716999999999999</v>
      </c>
      <c r="AY8">
        <v>0</v>
      </c>
      <c r="AZ8">
        <v>835.75099999999998</v>
      </c>
      <c r="BA8">
        <v>1.2709999999999999</v>
      </c>
      <c r="BB8">
        <v>8.6999999999999994E-2</v>
      </c>
      <c r="BC8">
        <v>7637.6149999999998</v>
      </c>
      <c r="BD8">
        <v>3.524</v>
      </c>
      <c r="BE8">
        <v>11.454000000000001</v>
      </c>
      <c r="BF8">
        <v>1.3169999999999999</v>
      </c>
      <c r="BG8">
        <v>2273.556</v>
      </c>
      <c r="BH8">
        <v>-6083.5959999999995</v>
      </c>
      <c r="BI8">
        <v>52907.245000000003</v>
      </c>
    </row>
    <row r="9" spans="1:61" x14ac:dyDescent="0.25">
      <c r="A9" t="s">
        <v>950</v>
      </c>
      <c r="B9">
        <v>55.881999999999998</v>
      </c>
      <c r="C9">
        <v>3.645</v>
      </c>
      <c r="D9">
        <v>2.903</v>
      </c>
      <c r="E9">
        <v>134.428</v>
      </c>
      <c r="F9">
        <v>12123.063</v>
      </c>
      <c r="G9">
        <v>123.964</v>
      </c>
      <c r="H9">
        <v>308.36399999999998</v>
      </c>
      <c r="I9">
        <v>687.27200000000005</v>
      </c>
      <c r="J9">
        <v>69.293000000000006</v>
      </c>
      <c r="K9">
        <v>2.968</v>
      </c>
      <c r="L9">
        <v>10.614000000000001</v>
      </c>
      <c r="M9">
        <v>36.926000000000002</v>
      </c>
      <c r="N9">
        <v>877.19600000000003</v>
      </c>
      <c r="O9">
        <v>46.042000000000002</v>
      </c>
      <c r="P9">
        <v>7.3159999999999998</v>
      </c>
      <c r="Q9">
        <v>25.535</v>
      </c>
      <c r="R9">
        <v>197.43700000000001</v>
      </c>
      <c r="S9">
        <v>66.587999999999994</v>
      </c>
      <c r="T9">
        <v>43.762999999999998</v>
      </c>
      <c r="U9">
        <v>120.43</v>
      </c>
      <c r="V9">
        <v>12.298</v>
      </c>
      <c r="W9">
        <v>12.56</v>
      </c>
      <c r="X9">
        <v>81.173000000000002</v>
      </c>
      <c r="Y9">
        <v>95.852000000000004</v>
      </c>
      <c r="Z9">
        <v>5.5049999999999999</v>
      </c>
      <c r="AA9">
        <v>27.148</v>
      </c>
      <c r="AB9">
        <v>26.295999999999999</v>
      </c>
      <c r="AC9">
        <v>371.08300000000003</v>
      </c>
      <c r="AD9">
        <v>19.824000000000002</v>
      </c>
      <c r="AE9">
        <v>1911.021</v>
      </c>
      <c r="AF9">
        <v>234.33699999999999</v>
      </c>
      <c r="AG9">
        <v>54.741</v>
      </c>
      <c r="AH9">
        <v>3.407</v>
      </c>
      <c r="AI9">
        <v>7.8540000000000001</v>
      </c>
      <c r="AJ9">
        <v>40.488999999999997</v>
      </c>
      <c r="AK9">
        <v>7.2389999999999999</v>
      </c>
      <c r="AL9">
        <v>69.438000000000002</v>
      </c>
      <c r="AM9">
        <v>22.666</v>
      </c>
      <c r="AN9">
        <v>40.65</v>
      </c>
      <c r="AO9">
        <v>15.644</v>
      </c>
      <c r="AP9">
        <v>64.399000000000001</v>
      </c>
      <c r="AQ9">
        <v>1231.444</v>
      </c>
      <c r="AR9">
        <v>156.05699999999999</v>
      </c>
      <c r="AS9">
        <v>63.82</v>
      </c>
      <c r="AT9">
        <v>650.56200000000001</v>
      </c>
      <c r="AU9">
        <v>115.548</v>
      </c>
      <c r="AV9">
        <v>146.81399999999999</v>
      </c>
      <c r="AW9">
        <v>16.077000000000002</v>
      </c>
      <c r="AX9">
        <v>28.731000000000002</v>
      </c>
      <c r="AY9">
        <v>0</v>
      </c>
      <c r="AZ9">
        <v>316.96600000000001</v>
      </c>
      <c r="BA9">
        <v>2.3929999999999998</v>
      </c>
      <c r="BB9">
        <v>0.23899999999999999</v>
      </c>
      <c r="BC9">
        <v>44724.572</v>
      </c>
      <c r="BD9">
        <v>9.3689999999999998</v>
      </c>
      <c r="BE9">
        <v>6.6120000000000001</v>
      </c>
      <c r="BF9">
        <v>0.71599999999999997</v>
      </c>
      <c r="BG9">
        <v>1828.4760000000001</v>
      </c>
      <c r="BH9">
        <v>-3726.442</v>
      </c>
      <c r="BI9">
        <v>63639.207000000002</v>
      </c>
    </row>
    <row r="10" spans="1:61" x14ac:dyDescent="0.25">
      <c r="A10" t="s">
        <v>951</v>
      </c>
      <c r="B10">
        <v>23749.496999999999</v>
      </c>
      <c r="C10">
        <v>21.376999999999999</v>
      </c>
      <c r="D10">
        <v>104.292</v>
      </c>
      <c r="E10">
        <v>7.9409999999999998</v>
      </c>
      <c r="F10">
        <v>139.048</v>
      </c>
      <c r="G10">
        <v>10.164999999999999</v>
      </c>
      <c r="H10">
        <v>19.262</v>
      </c>
      <c r="I10">
        <v>6.9290000000000003</v>
      </c>
      <c r="J10">
        <v>73351.165999999997</v>
      </c>
      <c r="K10">
        <v>164.63300000000001</v>
      </c>
      <c r="L10">
        <v>68.484999999999999</v>
      </c>
      <c r="M10">
        <v>327.96</v>
      </c>
      <c r="N10">
        <v>160.63300000000001</v>
      </c>
      <c r="O10">
        <v>1908.4860000000001</v>
      </c>
      <c r="P10">
        <v>838.38</v>
      </c>
      <c r="Q10">
        <v>376.82799999999997</v>
      </c>
      <c r="R10">
        <v>78.061999999999998</v>
      </c>
      <c r="S10">
        <v>47.314</v>
      </c>
      <c r="T10">
        <v>38.912999999999997</v>
      </c>
      <c r="U10">
        <v>121.907</v>
      </c>
      <c r="V10">
        <v>67.322999999999993</v>
      </c>
      <c r="W10">
        <v>40.203000000000003</v>
      </c>
      <c r="X10">
        <v>128.333</v>
      </c>
      <c r="Y10">
        <v>179.42</v>
      </c>
      <c r="Z10">
        <v>9.7759999999999998</v>
      </c>
      <c r="AA10">
        <v>68.081000000000003</v>
      </c>
      <c r="AB10">
        <v>169.90100000000001</v>
      </c>
      <c r="AC10">
        <v>71.938999999999993</v>
      </c>
      <c r="AD10">
        <v>77.558999999999997</v>
      </c>
      <c r="AE10">
        <v>463.24700000000001</v>
      </c>
      <c r="AF10">
        <v>8331.5509999999995</v>
      </c>
      <c r="AG10">
        <v>193.76400000000001</v>
      </c>
      <c r="AH10">
        <v>66.606999999999999</v>
      </c>
      <c r="AI10">
        <v>46.558</v>
      </c>
      <c r="AJ10">
        <v>132.102</v>
      </c>
      <c r="AK10">
        <v>32.533999999999999</v>
      </c>
      <c r="AL10">
        <v>96328.35</v>
      </c>
      <c r="AM10">
        <v>554.37800000000004</v>
      </c>
      <c r="AN10">
        <v>183.999</v>
      </c>
      <c r="AO10">
        <v>288.43799999999999</v>
      </c>
      <c r="AP10">
        <v>469.10399999999998</v>
      </c>
      <c r="AQ10">
        <v>1077.8399999999999</v>
      </c>
      <c r="AR10">
        <v>824.71100000000001</v>
      </c>
      <c r="AS10">
        <v>790.39400000000001</v>
      </c>
      <c r="AT10">
        <v>3978.8870000000002</v>
      </c>
      <c r="AU10">
        <v>3191.1590000000001</v>
      </c>
      <c r="AV10">
        <v>7598.6440000000002</v>
      </c>
      <c r="AW10">
        <v>1038.856</v>
      </c>
      <c r="AX10">
        <v>854.46500000000003</v>
      </c>
      <c r="AY10">
        <v>0</v>
      </c>
      <c r="AZ10">
        <v>968789.27</v>
      </c>
      <c r="BA10">
        <v>984.67200000000003</v>
      </c>
      <c r="BB10">
        <v>3.673</v>
      </c>
      <c r="BC10">
        <v>1049.8869999999999</v>
      </c>
      <c r="BD10">
        <v>448.55599999999998</v>
      </c>
      <c r="BE10">
        <v>4784.0540000000001</v>
      </c>
      <c r="BF10">
        <v>2628.502</v>
      </c>
      <c r="BG10">
        <v>63542.457000000002</v>
      </c>
      <c r="BH10">
        <v>-145888.799</v>
      </c>
      <c r="BI10">
        <v>1125141.6740000001</v>
      </c>
    </row>
    <row r="11" spans="1:61" x14ac:dyDescent="0.25">
      <c r="A11" t="s">
        <v>952</v>
      </c>
      <c r="B11">
        <v>423.68299999999999</v>
      </c>
      <c r="C11">
        <v>12.743</v>
      </c>
      <c r="D11">
        <v>13.901</v>
      </c>
      <c r="E11">
        <v>12.378</v>
      </c>
      <c r="F11">
        <v>188.667</v>
      </c>
      <c r="G11">
        <v>19.021000000000001</v>
      </c>
      <c r="H11">
        <v>15.731999999999999</v>
      </c>
      <c r="I11">
        <v>8.359</v>
      </c>
      <c r="J11">
        <v>397.39100000000002</v>
      </c>
      <c r="K11">
        <v>7337.3670000000002</v>
      </c>
      <c r="L11">
        <v>106.907</v>
      </c>
      <c r="M11">
        <v>763.49800000000005</v>
      </c>
      <c r="N11">
        <v>93.228999999999999</v>
      </c>
      <c r="O11">
        <v>981.66300000000001</v>
      </c>
      <c r="P11">
        <v>201.119</v>
      </c>
      <c r="Q11">
        <v>1050.2940000000001</v>
      </c>
      <c r="R11">
        <v>196.72</v>
      </c>
      <c r="S11">
        <v>47.963000000000001</v>
      </c>
      <c r="T11">
        <v>30.207999999999998</v>
      </c>
      <c r="U11">
        <v>189.43899999999999</v>
      </c>
      <c r="V11">
        <v>83.141000000000005</v>
      </c>
      <c r="W11">
        <v>57.98</v>
      </c>
      <c r="X11">
        <v>199.721</v>
      </c>
      <c r="Y11">
        <v>1639.653</v>
      </c>
      <c r="Z11">
        <v>32.225999999999999</v>
      </c>
      <c r="AA11">
        <v>159.67599999999999</v>
      </c>
      <c r="AB11">
        <v>1657.1279999999999</v>
      </c>
      <c r="AC11">
        <v>45.134999999999998</v>
      </c>
      <c r="AD11">
        <v>62.756</v>
      </c>
      <c r="AE11">
        <v>847.62099999999998</v>
      </c>
      <c r="AF11">
        <v>2868.6880000000001</v>
      </c>
      <c r="AG11">
        <v>93.391999999999996</v>
      </c>
      <c r="AH11">
        <v>7.01</v>
      </c>
      <c r="AI11">
        <v>18.702999999999999</v>
      </c>
      <c r="AJ11">
        <v>66.775000000000006</v>
      </c>
      <c r="AK11">
        <v>36.353000000000002</v>
      </c>
      <c r="AL11">
        <v>1408.6279999999999</v>
      </c>
      <c r="AM11">
        <v>161.29499999999999</v>
      </c>
      <c r="AN11">
        <v>54.847999999999999</v>
      </c>
      <c r="AO11">
        <v>74.25</v>
      </c>
      <c r="AP11">
        <v>156.54</v>
      </c>
      <c r="AQ11">
        <v>447.16500000000002</v>
      </c>
      <c r="AR11">
        <v>727.69500000000005</v>
      </c>
      <c r="AS11">
        <v>997.59100000000001</v>
      </c>
      <c r="AT11">
        <v>2368.7080000000001</v>
      </c>
      <c r="AU11">
        <v>576.60199999999998</v>
      </c>
      <c r="AV11">
        <v>2824.933</v>
      </c>
      <c r="AW11">
        <v>416.88499999999999</v>
      </c>
      <c r="AX11">
        <v>956.03899999999999</v>
      </c>
      <c r="AY11">
        <v>0</v>
      </c>
      <c r="AZ11">
        <v>187948.66099999999</v>
      </c>
      <c r="BA11">
        <v>55.914999999999999</v>
      </c>
      <c r="BB11">
        <v>2.504</v>
      </c>
      <c r="BC11">
        <v>4284.1750000000002</v>
      </c>
      <c r="BD11">
        <v>591.69600000000003</v>
      </c>
      <c r="BE11">
        <v>1847.9829999999999</v>
      </c>
      <c r="BF11">
        <v>370.50200000000001</v>
      </c>
      <c r="BG11">
        <v>14412.892</v>
      </c>
      <c r="BH11">
        <v>-168328.40900000001</v>
      </c>
      <c r="BI11">
        <v>72323.338000000003</v>
      </c>
    </row>
    <row r="12" spans="1:61" x14ac:dyDescent="0.25">
      <c r="A12" t="s">
        <v>953</v>
      </c>
      <c r="B12">
        <v>1370.992</v>
      </c>
      <c r="C12">
        <v>250.22200000000001</v>
      </c>
      <c r="D12">
        <v>6.42</v>
      </c>
      <c r="E12">
        <v>80.037999999999997</v>
      </c>
      <c r="F12">
        <v>413.41699999999997</v>
      </c>
      <c r="G12">
        <v>59.920999999999999</v>
      </c>
      <c r="H12">
        <v>65.010999999999996</v>
      </c>
      <c r="I12">
        <v>21.885000000000002</v>
      </c>
      <c r="J12">
        <v>2620.5259999999998</v>
      </c>
      <c r="K12">
        <v>158.071</v>
      </c>
      <c r="L12">
        <v>35331.089999999997</v>
      </c>
      <c r="M12">
        <v>4414.5469999999996</v>
      </c>
      <c r="N12">
        <v>52.924999999999997</v>
      </c>
      <c r="O12">
        <v>1134.51</v>
      </c>
      <c r="P12">
        <v>180.322</v>
      </c>
      <c r="Q12">
        <v>786.79499999999996</v>
      </c>
      <c r="R12">
        <v>1204.8389999999999</v>
      </c>
      <c r="S12">
        <v>124.72</v>
      </c>
      <c r="T12">
        <v>167.017</v>
      </c>
      <c r="U12">
        <v>1237.4100000000001</v>
      </c>
      <c r="V12">
        <v>204.245</v>
      </c>
      <c r="W12">
        <v>288.45600000000002</v>
      </c>
      <c r="X12">
        <v>728.74</v>
      </c>
      <c r="Y12">
        <v>2710.93</v>
      </c>
      <c r="Z12">
        <v>307.637</v>
      </c>
      <c r="AA12">
        <v>400.221</v>
      </c>
      <c r="AB12">
        <v>16380.022000000001</v>
      </c>
      <c r="AC12">
        <v>545.32000000000005</v>
      </c>
      <c r="AD12">
        <v>131.39699999999999</v>
      </c>
      <c r="AE12">
        <v>56706.307999999997</v>
      </c>
      <c r="AF12">
        <v>7515.6329999999998</v>
      </c>
      <c r="AG12">
        <v>455.58100000000002</v>
      </c>
      <c r="AH12">
        <v>13.071</v>
      </c>
      <c r="AI12">
        <v>30.556999999999999</v>
      </c>
      <c r="AJ12">
        <v>705.15800000000002</v>
      </c>
      <c r="AK12">
        <v>22.385000000000002</v>
      </c>
      <c r="AL12">
        <v>2462.48</v>
      </c>
      <c r="AM12">
        <v>553.07100000000003</v>
      </c>
      <c r="AN12">
        <v>147.40799999999999</v>
      </c>
      <c r="AO12">
        <v>165.69499999999999</v>
      </c>
      <c r="AP12">
        <v>336.02</v>
      </c>
      <c r="AQ12">
        <v>7227.9759999999997</v>
      </c>
      <c r="AR12">
        <v>2783.5340000000001</v>
      </c>
      <c r="AS12">
        <v>1946.8920000000001</v>
      </c>
      <c r="AT12">
        <v>1349.059</v>
      </c>
      <c r="AU12">
        <v>1106.6320000000001</v>
      </c>
      <c r="AV12">
        <v>2128.7049999999999</v>
      </c>
      <c r="AW12">
        <v>417.82400000000001</v>
      </c>
      <c r="AX12">
        <v>2058.027</v>
      </c>
      <c r="AY12">
        <v>0</v>
      </c>
      <c r="AZ12">
        <v>13170.584999999999</v>
      </c>
      <c r="BA12">
        <v>1.262</v>
      </c>
      <c r="BB12">
        <v>13.303000000000001</v>
      </c>
      <c r="BC12">
        <v>23976.196</v>
      </c>
      <c r="BD12">
        <v>2004.7280000000001</v>
      </c>
      <c r="BE12">
        <v>185.78299999999999</v>
      </c>
      <c r="BF12">
        <v>138.72900000000001</v>
      </c>
      <c r="BG12">
        <v>6137.6109999999999</v>
      </c>
      <c r="BH12">
        <v>-32413.007000000001</v>
      </c>
      <c r="BI12">
        <v>172724.85</v>
      </c>
    </row>
    <row r="13" spans="1:61" x14ac:dyDescent="0.25">
      <c r="A13" t="s">
        <v>954</v>
      </c>
      <c r="B13">
        <v>859.99199999999996</v>
      </c>
      <c r="C13">
        <v>19.611000000000001</v>
      </c>
      <c r="D13">
        <v>9.3239999999999998</v>
      </c>
      <c r="E13">
        <v>16.102</v>
      </c>
      <c r="F13">
        <v>541.07600000000002</v>
      </c>
      <c r="G13">
        <v>43.628999999999998</v>
      </c>
      <c r="H13">
        <v>32.552</v>
      </c>
      <c r="I13">
        <v>19.372</v>
      </c>
      <c r="J13">
        <v>15327.946</v>
      </c>
      <c r="K13">
        <v>562.34699999999998</v>
      </c>
      <c r="L13">
        <v>773.94299999999998</v>
      </c>
      <c r="M13">
        <v>51164.288999999997</v>
      </c>
      <c r="N13">
        <v>178.81200000000001</v>
      </c>
      <c r="O13">
        <v>1875.671</v>
      </c>
      <c r="P13">
        <v>2136.6149999999998</v>
      </c>
      <c r="Q13">
        <v>1634.0070000000001</v>
      </c>
      <c r="R13">
        <v>1226.7909999999999</v>
      </c>
      <c r="S13">
        <v>164.81899999999999</v>
      </c>
      <c r="T13">
        <v>175.34700000000001</v>
      </c>
      <c r="U13">
        <v>1127.231</v>
      </c>
      <c r="V13">
        <v>562.90599999999995</v>
      </c>
      <c r="W13">
        <v>430.81</v>
      </c>
      <c r="X13">
        <v>1086.086</v>
      </c>
      <c r="Y13">
        <v>1628.998</v>
      </c>
      <c r="Z13">
        <v>39.774999999999999</v>
      </c>
      <c r="AA13">
        <v>395.315</v>
      </c>
      <c r="AB13">
        <v>1772.799</v>
      </c>
      <c r="AC13">
        <v>338.53300000000002</v>
      </c>
      <c r="AD13">
        <v>261.24799999999999</v>
      </c>
      <c r="AE13">
        <v>2434.654</v>
      </c>
      <c r="AF13">
        <v>21436.153999999999</v>
      </c>
      <c r="AG13">
        <v>736.798</v>
      </c>
      <c r="AH13">
        <v>64.025000000000006</v>
      </c>
      <c r="AI13">
        <v>95.046999999999997</v>
      </c>
      <c r="AJ13">
        <v>637.625</v>
      </c>
      <c r="AK13">
        <v>617.28800000000001</v>
      </c>
      <c r="AL13">
        <v>4624.9979999999996</v>
      </c>
      <c r="AM13">
        <v>26113.503000000001</v>
      </c>
      <c r="AN13">
        <v>1820.5029999999999</v>
      </c>
      <c r="AO13">
        <v>4495.7820000000002</v>
      </c>
      <c r="AP13">
        <v>10753.951999999999</v>
      </c>
      <c r="AQ13">
        <v>3422.1219999999998</v>
      </c>
      <c r="AR13">
        <v>12625.146000000001</v>
      </c>
      <c r="AS13">
        <v>10049.4</v>
      </c>
      <c r="AT13">
        <v>19370.123</v>
      </c>
      <c r="AU13">
        <v>12128.673000000001</v>
      </c>
      <c r="AV13">
        <v>11480.726000000001</v>
      </c>
      <c r="AW13">
        <v>1600.0429999999999</v>
      </c>
      <c r="AX13">
        <v>3824.6529999999998</v>
      </c>
      <c r="AY13">
        <v>0</v>
      </c>
      <c r="AZ13">
        <v>62578.521999999997</v>
      </c>
      <c r="BA13">
        <v>6.2750000000000004</v>
      </c>
      <c r="BB13">
        <v>9.3140000000000001</v>
      </c>
      <c r="BC13">
        <v>1503.2909999999999</v>
      </c>
      <c r="BD13">
        <v>122.61799999999999</v>
      </c>
      <c r="BE13">
        <v>609.33000000000004</v>
      </c>
      <c r="BF13">
        <v>542.30600000000004</v>
      </c>
      <c r="BG13">
        <v>25795.812000000002</v>
      </c>
      <c r="BH13">
        <v>-32256.013999999999</v>
      </c>
      <c r="BI13">
        <v>291648.61800000002</v>
      </c>
    </row>
    <row r="14" spans="1:61" x14ac:dyDescent="0.25">
      <c r="A14" t="s">
        <v>955</v>
      </c>
      <c r="B14">
        <v>18880.967000000001</v>
      </c>
      <c r="C14">
        <v>1075.67</v>
      </c>
      <c r="D14">
        <v>442.77100000000002</v>
      </c>
      <c r="E14">
        <v>1003.4690000000001</v>
      </c>
      <c r="F14">
        <v>14180.75</v>
      </c>
      <c r="G14">
        <v>1733.1679999999999</v>
      </c>
      <c r="H14">
        <v>1658.855</v>
      </c>
      <c r="I14">
        <v>982.89099999999996</v>
      </c>
      <c r="J14">
        <v>12056.271000000001</v>
      </c>
      <c r="K14">
        <v>800.58299999999997</v>
      </c>
      <c r="L14">
        <v>2071.0880000000002</v>
      </c>
      <c r="M14">
        <v>3917.3719999999998</v>
      </c>
      <c r="N14">
        <v>50623.341</v>
      </c>
      <c r="O14">
        <v>33416.160000000003</v>
      </c>
      <c r="P14">
        <v>2196.087</v>
      </c>
      <c r="Q14">
        <v>5031.45</v>
      </c>
      <c r="R14">
        <v>4540.25</v>
      </c>
      <c r="S14">
        <v>5811.7830000000004</v>
      </c>
      <c r="T14">
        <v>1555.2909999999999</v>
      </c>
      <c r="U14">
        <v>2732.0569999999998</v>
      </c>
      <c r="V14">
        <v>547.27599999999995</v>
      </c>
      <c r="W14">
        <v>1067.2460000000001</v>
      </c>
      <c r="X14">
        <v>1951.0409999999999</v>
      </c>
      <c r="Y14">
        <v>5691.009</v>
      </c>
      <c r="Z14">
        <v>143.69800000000001</v>
      </c>
      <c r="AA14">
        <v>919.14599999999996</v>
      </c>
      <c r="AB14">
        <v>2395.1489999999999</v>
      </c>
      <c r="AC14">
        <v>18336.156999999999</v>
      </c>
      <c r="AD14">
        <v>3791.7220000000002</v>
      </c>
      <c r="AE14">
        <v>24550.46</v>
      </c>
      <c r="AF14">
        <v>70445.985000000001</v>
      </c>
      <c r="AG14">
        <v>91732.472999999998</v>
      </c>
      <c r="AH14">
        <v>9336.0759999999991</v>
      </c>
      <c r="AI14">
        <v>35815.629999999997</v>
      </c>
      <c r="AJ14">
        <v>10061.641</v>
      </c>
      <c r="AK14">
        <v>3205.2339999999999</v>
      </c>
      <c r="AL14">
        <v>10769.028</v>
      </c>
      <c r="AM14">
        <v>2880.0329999999999</v>
      </c>
      <c r="AN14">
        <v>2887.3229999999999</v>
      </c>
      <c r="AO14">
        <v>3566.6750000000002</v>
      </c>
      <c r="AP14">
        <v>10978.578</v>
      </c>
      <c r="AQ14">
        <v>9663.7749999999996</v>
      </c>
      <c r="AR14">
        <v>14560.748</v>
      </c>
      <c r="AS14">
        <v>19093.436000000002</v>
      </c>
      <c r="AT14">
        <v>52970.665000000001</v>
      </c>
      <c r="AU14">
        <v>9819.3860000000004</v>
      </c>
      <c r="AV14">
        <v>20134.588</v>
      </c>
      <c r="AW14">
        <v>2733.415</v>
      </c>
      <c r="AX14">
        <v>6876.7290000000003</v>
      </c>
      <c r="AY14">
        <v>0</v>
      </c>
      <c r="AZ14">
        <v>224441.465</v>
      </c>
      <c r="BA14">
        <v>39.838000000000001</v>
      </c>
      <c r="BB14">
        <v>2.6320000000000001</v>
      </c>
      <c r="BC14">
        <v>1203.289</v>
      </c>
      <c r="BD14">
        <v>698.76099999999997</v>
      </c>
      <c r="BE14">
        <v>942.66300000000001</v>
      </c>
      <c r="BF14">
        <v>1527.212</v>
      </c>
      <c r="BG14">
        <v>128511.31299999999</v>
      </c>
      <c r="BH14">
        <v>-87903.112999999998</v>
      </c>
      <c r="BI14">
        <v>881098.65500000003</v>
      </c>
    </row>
    <row r="15" spans="1:61" x14ac:dyDescent="0.25">
      <c r="A15" t="s">
        <v>956</v>
      </c>
      <c r="B15">
        <v>41043.896999999997</v>
      </c>
      <c r="C15">
        <v>162.57900000000001</v>
      </c>
      <c r="D15">
        <v>33.893000000000001</v>
      </c>
      <c r="E15">
        <v>438.07100000000003</v>
      </c>
      <c r="F15">
        <v>5444.4970000000003</v>
      </c>
      <c r="G15">
        <v>845.67899999999997</v>
      </c>
      <c r="H15">
        <v>805.92100000000005</v>
      </c>
      <c r="I15">
        <v>313.68700000000001</v>
      </c>
      <c r="J15">
        <v>14636.553</v>
      </c>
      <c r="K15">
        <v>6038.723</v>
      </c>
      <c r="L15">
        <v>4306.1729999999998</v>
      </c>
      <c r="M15">
        <v>14427.173000000001</v>
      </c>
      <c r="N15">
        <v>9899.5679999999993</v>
      </c>
      <c r="O15">
        <v>108012.79700000001</v>
      </c>
      <c r="P15">
        <v>16207.235000000001</v>
      </c>
      <c r="Q15">
        <v>60101.81</v>
      </c>
      <c r="R15">
        <v>5944.5010000000002</v>
      </c>
      <c r="S15">
        <v>1896.454</v>
      </c>
      <c r="T15">
        <v>1689.857</v>
      </c>
      <c r="U15">
        <v>5400.3530000000001</v>
      </c>
      <c r="V15">
        <v>2889.1080000000002</v>
      </c>
      <c r="W15">
        <v>2413.6909999999998</v>
      </c>
      <c r="X15">
        <v>3762.8670000000002</v>
      </c>
      <c r="Y15">
        <v>11824.421</v>
      </c>
      <c r="Z15">
        <v>541.38699999999994</v>
      </c>
      <c r="AA15">
        <v>1642.7380000000001</v>
      </c>
      <c r="AB15">
        <v>7251.3090000000002</v>
      </c>
      <c r="AC15">
        <v>1251.327</v>
      </c>
      <c r="AD15">
        <v>2269.4839999999999</v>
      </c>
      <c r="AE15">
        <v>16103.591</v>
      </c>
      <c r="AF15">
        <v>12992.512000000001</v>
      </c>
      <c r="AG15">
        <v>2839.3130000000001</v>
      </c>
      <c r="AH15">
        <v>277.79700000000003</v>
      </c>
      <c r="AI15">
        <v>930.94299999999998</v>
      </c>
      <c r="AJ15">
        <v>1169.173</v>
      </c>
      <c r="AK15">
        <v>145.36000000000001</v>
      </c>
      <c r="AL15">
        <v>7424.7719999999999</v>
      </c>
      <c r="AM15">
        <v>4124.9070000000002</v>
      </c>
      <c r="AN15">
        <v>312.66300000000001</v>
      </c>
      <c r="AO15">
        <v>1323.1279999999999</v>
      </c>
      <c r="AP15">
        <v>1198.396</v>
      </c>
      <c r="AQ15">
        <v>8926.7330000000002</v>
      </c>
      <c r="AR15">
        <v>12721.694</v>
      </c>
      <c r="AS15">
        <v>9685.5830000000005</v>
      </c>
      <c r="AT15">
        <v>8061.4880000000003</v>
      </c>
      <c r="AU15">
        <v>5205.3059999999996</v>
      </c>
      <c r="AV15">
        <v>32254.053</v>
      </c>
      <c r="AW15">
        <v>1201.0160000000001</v>
      </c>
      <c r="AX15">
        <v>8737.0640000000003</v>
      </c>
      <c r="AY15">
        <v>0</v>
      </c>
      <c r="AZ15">
        <v>178995.791</v>
      </c>
      <c r="BA15">
        <v>105.756</v>
      </c>
      <c r="BB15">
        <v>7.3769999999999998</v>
      </c>
      <c r="BC15">
        <v>6263.7129999999997</v>
      </c>
      <c r="BD15">
        <v>584.77800000000002</v>
      </c>
      <c r="BE15">
        <v>393.78699999999998</v>
      </c>
      <c r="BF15">
        <v>597.49900000000002</v>
      </c>
      <c r="BG15">
        <v>124289.89200000001</v>
      </c>
      <c r="BH15">
        <v>-140620.99600000001</v>
      </c>
      <c r="BI15">
        <v>637748.84400000004</v>
      </c>
    </row>
    <row r="16" spans="1:61" x14ac:dyDescent="0.25">
      <c r="A16" t="s">
        <v>957</v>
      </c>
      <c r="B16">
        <v>2723.098</v>
      </c>
      <c r="C16">
        <v>13.066000000000001</v>
      </c>
      <c r="D16">
        <v>4.4980000000000002</v>
      </c>
      <c r="E16">
        <v>30.817</v>
      </c>
      <c r="F16">
        <v>439.21199999999999</v>
      </c>
      <c r="G16">
        <v>56.670999999999999</v>
      </c>
      <c r="H16">
        <v>46.03</v>
      </c>
      <c r="I16">
        <v>22.34</v>
      </c>
      <c r="J16">
        <v>1702.7460000000001</v>
      </c>
      <c r="K16">
        <v>295.95499999999998</v>
      </c>
      <c r="L16">
        <v>271.363</v>
      </c>
      <c r="M16">
        <v>749.38699999999994</v>
      </c>
      <c r="N16">
        <v>553.18700000000001</v>
      </c>
      <c r="O16">
        <v>4891.8580000000002</v>
      </c>
      <c r="P16">
        <v>10582.433000000001</v>
      </c>
      <c r="Q16">
        <v>2659.7950000000001</v>
      </c>
      <c r="R16">
        <v>331.46100000000001</v>
      </c>
      <c r="S16">
        <v>184.33699999999999</v>
      </c>
      <c r="T16">
        <v>115.992</v>
      </c>
      <c r="U16">
        <v>435.27699999999999</v>
      </c>
      <c r="V16">
        <v>316.98700000000002</v>
      </c>
      <c r="W16">
        <v>168.10300000000001</v>
      </c>
      <c r="X16">
        <v>433.17700000000002</v>
      </c>
      <c r="Y16">
        <v>855.31600000000003</v>
      </c>
      <c r="Z16">
        <v>42.27</v>
      </c>
      <c r="AA16">
        <v>238.80500000000001</v>
      </c>
      <c r="AB16">
        <v>478.899</v>
      </c>
      <c r="AC16">
        <v>136.95699999999999</v>
      </c>
      <c r="AD16">
        <v>159.08699999999999</v>
      </c>
      <c r="AE16">
        <v>1413.297</v>
      </c>
      <c r="AF16">
        <v>1952.7270000000001</v>
      </c>
      <c r="AG16">
        <v>289.928</v>
      </c>
      <c r="AH16">
        <v>26.984000000000002</v>
      </c>
      <c r="AI16">
        <v>87.216999999999999</v>
      </c>
      <c r="AJ16">
        <v>96.423000000000002</v>
      </c>
      <c r="AK16">
        <v>20.785</v>
      </c>
      <c r="AL16">
        <v>616.16399999999999</v>
      </c>
      <c r="AM16">
        <v>357.34</v>
      </c>
      <c r="AN16">
        <v>169.964</v>
      </c>
      <c r="AO16">
        <v>334.11900000000003</v>
      </c>
      <c r="AP16">
        <v>224.77500000000001</v>
      </c>
      <c r="AQ16">
        <v>606.57799999999997</v>
      </c>
      <c r="AR16">
        <v>3871.6529999999998</v>
      </c>
      <c r="AS16">
        <v>639.94600000000003</v>
      </c>
      <c r="AT16">
        <v>3831.3719999999998</v>
      </c>
      <c r="AU16">
        <v>802.14599999999996</v>
      </c>
      <c r="AV16">
        <v>64412.474999999999</v>
      </c>
      <c r="AW16">
        <v>210.02099999999999</v>
      </c>
      <c r="AX16">
        <v>711.096</v>
      </c>
      <c r="AY16">
        <v>0</v>
      </c>
      <c r="AZ16">
        <v>301992.772</v>
      </c>
      <c r="BA16">
        <v>229.21199999999999</v>
      </c>
      <c r="BB16">
        <v>8.2669999999999995</v>
      </c>
      <c r="BC16">
        <v>35980.947999999997</v>
      </c>
      <c r="BD16">
        <v>472.70600000000002</v>
      </c>
      <c r="BE16">
        <v>267.541</v>
      </c>
      <c r="BF16">
        <v>309.26400000000001</v>
      </c>
      <c r="BG16">
        <v>56665.652999999998</v>
      </c>
      <c r="BH16">
        <v>-145051.111</v>
      </c>
      <c r="BI16">
        <v>360489.386</v>
      </c>
    </row>
    <row r="17" spans="1:61" x14ac:dyDescent="0.25">
      <c r="A17" t="s">
        <v>958</v>
      </c>
      <c r="B17">
        <v>4036.6129999999998</v>
      </c>
      <c r="C17">
        <v>98.394000000000005</v>
      </c>
      <c r="D17">
        <v>27.766999999999999</v>
      </c>
      <c r="E17">
        <v>220.71299999999999</v>
      </c>
      <c r="F17">
        <v>3102.6089999999999</v>
      </c>
      <c r="G17">
        <v>211.654</v>
      </c>
      <c r="H17">
        <v>205.92</v>
      </c>
      <c r="I17">
        <v>93.067999999999998</v>
      </c>
      <c r="J17">
        <v>25704.024000000001</v>
      </c>
      <c r="K17">
        <v>1433.346</v>
      </c>
      <c r="L17">
        <v>1463.9690000000001</v>
      </c>
      <c r="M17">
        <v>5860.5550000000003</v>
      </c>
      <c r="N17">
        <v>607.71100000000001</v>
      </c>
      <c r="O17">
        <v>6763.7879999999996</v>
      </c>
      <c r="P17">
        <v>4573.9849999999997</v>
      </c>
      <c r="Q17">
        <v>33281.432999999997</v>
      </c>
      <c r="R17">
        <v>1688.232</v>
      </c>
      <c r="S17">
        <v>405.15899999999999</v>
      </c>
      <c r="T17">
        <v>561.59100000000001</v>
      </c>
      <c r="U17">
        <v>4576.0249999999996</v>
      </c>
      <c r="V17">
        <v>3282.5729999999999</v>
      </c>
      <c r="W17">
        <v>3501.7979999999998</v>
      </c>
      <c r="X17">
        <v>7505.95</v>
      </c>
      <c r="Y17">
        <v>32779.131000000001</v>
      </c>
      <c r="Z17">
        <v>286.42599999999999</v>
      </c>
      <c r="AA17">
        <v>4010.8009999999999</v>
      </c>
      <c r="AB17">
        <v>6108.5429999999997</v>
      </c>
      <c r="AC17">
        <v>360.73500000000001</v>
      </c>
      <c r="AD17">
        <v>1202.923</v>
      </c>
      <c r="AE17">
        <v>31786.685000000001</v>
      </c>
      <c r="AF17">
        <v>40855.997000000003</v>
      </c>
      <c r="AG17">
        <v>6389.47</v>
      </c>
      <c r="AH17">
        <v>119.842</v>
      </c>
      <c r="AI17">
        <v>171.315</v>
      </c>
      <c r="AJ17">
        <v>1163.0550000000001</v>
      </c>
      <c r="AK17">
        <v>258.40800000000002</v>
      </c>
      <c r="AL17">
        <v>3902.547</v>
      </c>
      <c r="AM17">
        <v>1559.1990000000001</v>
      </c>
      <c r="AN17">
        <v>660.38900000000001</v>
      </c>
      <c r="AO17">
        <v>575.69500000000005</v>
      </c>
      <c r="AP17">
        <v>1608.9690000000001</v>
      </c>
      <c r="AQ17">
        <v>6937.0069999999996</v>
      </c>
      <c r="AR17">
        <v>5270.9870000000001</v>
      </c>
      <c r="AS17">
        <v>6369.3639999999996</v>
      </c>
      <c r="AT17">
        <v>4727.509</v>
      </c>
      <c r="AU17">
        <v>2602.0300000000002</v>
      </c>
      <c r="AV17">
        <v>8169.0829999999996</v>
      </c>
      <c r="AW17">
        <v>748.13800000000003</v>
      </c>
      <c r="AX17">
        <v>1960.829</v>
      </c>
      <c r="AY17">
        <v>0</v>
      </c>
      <c r="AZ17">
        <v>77485.129000000001</v>
      </c>
      <c r="BA17">
        <v>3.1080000000000001</v>
      </c>
      <c r="BB17">
        <v>15.452999999999999</v>
      </c>
      <c r="BC17">
        <v>5501.1030000000001</v>
      </c>
      <c r="BD17">
        <v>487.24299999999999</v>
      </c>
      <c r="BE17">
        <v>59.03</v>
      </c>
      <c r="BF17">
        <v>20.102</v>
      </c>
      <c r="BG17">
        <v>27434.314999999999</v>
      </c>
      <c r="BH17">
        <v>-87139.551999999996</v>
      </c>
      <c r="BI17">
        <v>303657.886</v>
      </c>
    </row>
    <row r="18" spans="1:61" x14ac:dyDescent="0.25">
      <c r="A18" t="s">
        <v>959</v>
      </c>
      <c r="B18">
        <v>1193.4159999999999</v>
      </c>
      <c r="C18">
        <v>26.673999999999999</v>
      </c>
      <c r="D18">
        <v>2.3860000000000001</v>
      </c>
      <c r="E18">
        <v>45.262</v>
      </c>
      <c r="F18">
        <v>1386.0540000000001</v>
      </c>
      <c r="G18">
        <v>193.56100000000001</v>
      </c>
      <c r="H18">
        <v>241.96700000000001</v>
      </c>
      <c r="I18">
        <v>47.837000000000003</v>
      </c>
      <c r="J18">
        <v>4499.598</v>
      </c>
      <c r="K18">
        <v>98.475999999999999</v>
      </c>
      <c r="L18">
        <v>621.91800000000001</v>
      </c>
      <c r="M18">
        <v>164.36500000000001</v>
      </c>
      <c r="N18">
        <v>219.91399999999999</v>
      </c>
      <c r="O18">
        <v>1269.096</v>
      </c>
      <c r="P18">
        <v>936.60199999999998</v>
      </c>
      <c r="Q18">
        <v>1500.953</v>
      </c>
      <c r="R18">
        <v>17029.310000000001</v>
      </c>
      <c r="S18">
        <v>1423.2719999999999</v>
      </c>
      <c r="T18">
        <v>433.52499999999998</v>
      </c>
      <c r="U18">
        <v>1480.0070000000001</v>
      </c>
      <c r="V18">
        <v>925.60400000000004</v>
      </c>
      <c r="W18">
        <v>674.16</v>
      </c>
      <c r="X18">
        <v>978.94799999999998</v>
      </c>
      <c r="Y18">
        <v>4301.2759999999998</v>
      </c>
      <c r="Z18">
        <v>134.578</v>
      </c>
      <c r="AA18">
        <v>388.87</v>
      </c>
      <c r="AB18">
        <v>1041.5260000000001</v>
      </c>
      <c r="AC18">
        <v>357.03399999999999</v>
      </c>
      <c r="AD18">
        <v>283.67200000000003</v>
      </c>
      <c r="AE18">
        <v>109929.792</v>
      </c>
      <c r="AF18">
        <v>4009.683</v>
      </c>
      <c r="AG18">
        <v>373.51400000000001</v>
      </c>
      <c r="AH18">
        <v>62.307000000000002</v>
      </c>
      <c r="AI18">
        <v>41.972000000000001</v>
      </c>
      <c r="AJ18">
        <v>232.739</v>
      </c>
      <c r="AK18">
        <v>29.248000000000001</v>
      </c>
      <c r="AL18">
        <v>2390.2330000000002</v>
      </c>
      <c r="AM18">
        <v>75.637</v>
      </c>
      <c r="AN18">
        <v>96.796000000000006</v>
      </c>
      <c r="AO18">
        <v>61.783999999999999</v>
      </c>
      <c r="AP18">
        <v>379.78100000000001</v>
      </c>
      <c r="AQ18">
        <v>16235.993</v>
      </c>
      <c r="AR18">
        <v>2068.2080000000001</v>
      </c>
      <c r="AS18">
        <v>1046.482</v>
      </c>
      <c r="AT18">
        <v>1963.37</v>
      </c>
      <c r="AU18">
        <v>1713.2070000000001</v>
      </c>
      <c r="AV18">
        <v>1970.3789999999999</v>
      </c>
      <c r="AW18">
        <v>250.55199999999999</v>
      </c>
      <c r="AX18">
        <v>874.24599999999998</v>
      </c>
      <c r="AY18">
        <v>0</v>
      </c>
      <c r="AZ18">
        <v>27427.439999999999</v>
      </c>
      <c r="BA18">
        <v>0.98799999999999999</v>
      </c>
      <c r="BB18">
        <v>2.3780000000000001</v>
      </c>
      <c r="BC18">
        <v>1169.0820000000001</v>
      </c>
      <c r="BD18">
        <v>88.587000000000003</v>
      </c>
      <c r="BE18">
        <v>44.857999999999997</v>
      </c>
      <c r="BF18">
        <v>2.2320000000000002</v>
      </c>
      <c r="BG18">
        <v>9806.6929999999993</v>
      </c>
      <c r="BH18">
        <v>-34192.42</v>
      </c>
      <c r="BI18">
        <v>190055.622</v>
      </c>
    </row>
    <row r="19" spans="1:61" x14ac:dyDescent="0.25">
      <c r="A19" t="s">
        <v>960</v>
      </c>
      <c r="B19">
        <v>319.56299999999999</v>
      </c>
      <c r="C19">
        <v>17.78</v>
      </c>
      <c r="D19">
        <v>2.605</v>
      </c>
      <c r="E19">
        <v>151.80600000000001</v>
      </c>
      <c r="F19">
        <v>5988.6220000000003</v>
      </c>
      <c r="G19">
        <v>196.648</v>
      </c>
      <c r="H19">
        <v>51.676000000000002</v>
      </c>
      <c r="I19">
        <v>78.808999999999997</v>
      </c>
      <c r="J19">
        <v>481.12799999999999</v>
      </c>
      <c r="K19">
        <v>49.002000000000002</v>
      </c>
      <c r="L19">
        <v>294.88900000000001</v>
      </c>
      <c r="M19">
        <v>194.44399999999999</v>
      </c>
      <c r="N19">
        <v>358.74299999999999</v>
      </c>
      <c r="O19">
        <v>383.34899999999999</v>
      </c>
      <c r="P19">
        <v>74.582999999999998</v>
      </c>
      <c r="Q19">
        <v>1314.6569999999999</v>
      </c>
      <c r="R19">
        <v>1208.057</v>
      </c>
      <c r="S19">
        <v>39805.828000000001</v>
      </c>
      <c r="T19">
        <v>2027.0160000000001</v>
      </c>
      <c r="U19">
        <v>52182.606</v>
      </c>
      <c r="V19">
        <v>1411.8679999999999</v>
      </c>
      <c r="W19">
        <v>2898.357</v>
      </c>
      <c r="X19">
        <v>24647.156999999999</v>
      </c>
      <c r="Y19">
        <v>28170.859</v>
      </c>
      <c r="Z19">
        <v>1299.356</v>
      </c>
      <c r="AA19">
        <v>8395.1239999999998</v>
      </c>
      <c r="AB19">
        <v>2810.393</v>
      </c>
      <c r="AC19">
        <v>557.49699999999996</v>
      </c>
      <c r="AD19">
        <v>1662.12</v>
      </c>
      <c r="AE19">
        <v>36786.550000000003</v>
      </c>
      <c r="AF19">
        <v>3043.1619999999998</v>
      </c>
      <c r="AG19">
        <v>545.16099999999994</v>
      </c>
      <c r="AH19">
        <v>64.316000000000003</v>
      </c>
      <c r="AI19">
        <v>129.06100000000001</v>
      </c>
      <c r="AJ19">
        <v>305.077</v>
      </c>
      <c r="AK19">
        <v>18.204000000000001</v>
      </c>
      <c r="AL19">
        <v>134.66300000000001</v>
      </c>
      <c r="AM19">
        <v>32.652999999999999</v>
      </c>
      <c r="AN19">
        <v>33.338000000000001</v>
      </c>
      <c r="AO19">
        <v>34.447000000000003</v>
      </c>
      <c r="AP19">
        <v>104.27200000000001</v>
      </c>
      <c r="AQ19">
        <v>2000.501</v>
      </c>
      <c r="AR19">
        <v>1651.1780000000001</v>
      </c>
      <c r="AS19">
        <v>419.00799999999998</v>
      </c>
      <c r="AT19">
        <v>849.78200000000004</v>
      </c>
      <c r="AU19">
        <v>306.38299999999998</v>
      </c>
      <c r="AV19">
        <v>278.37200000000001</v>
      </c>
      <c r="AW19">
        <v>111.794</v>
      </c>
      <c r="AX19">
        <v>222.08799999999999</v>
      </c>
      <c r="AY19">
        <v>0</v>
      </c>
      <c r="AZ19">
        <v>1165.425</v>
      </c>
      <c r="BA19">
        <v>0.51500000000000001</v>
      </c>
      <c r="BB19">
        <v>0.502</v>
      </c>
      <c r="BC19">
        <v>829.06700000000001</v>
      </c>
      <c r="BD19">
        <v>23.137</v>
      </c>
      <c r="BE19">
        <v>6.9</v>
      </c>
      <c r="BF19">
        <v>5.875</v>
      </c>
      <c r="BG19">
        <v>18199.361000000001</v>
      </c>
      <c r="BH19">
        <v>-45869.811000000002</v>
      </c>
      <c r="BI19">
        <v>198465.524</v>
      </c>
    </row>
    <row r="20" spans="1:61" x14ac:dyDescent="0.25">
      <c r="A20" t="s">
        <v>961</v>
      </c>
      <c r="B20">
        <v>243.55799999999999</v>
      </c>
      <c r="C20">
        <v>12.98</v>
      </c>
      <c r="D20">
        <v>0.499</v>
      </c>
      <c r="E20">
        <v>20.001000000000001</v>
      </c>
      <c r="F20">
        <v>1321.4829999999999</v>
      </c>
      <c r="G20">
        <v>81.546000000000006</v>
      </c>
      <c r="H20">
        <v>28.004999999999999</v>
      </c>
      <c r="I20">
        <v>14.196</v>
      </c>
      <c r="J20">
        <v>1755.296</v>
      </c>
      <c r="K20">
        <v>97.927000000000007</v>
      </c>
      <c r="L20">
        <v>286.74799999999999</v>
      </c>
      <c r="M20">
        <v>470.06299999999999</v>
      </c>
      <c r="N20">
        <v>154.34399999999999</v>
      </c>
      <c r="O20">
        <v>2716.1129999999998</v>
      </c>
      <c r="P20">
        <v>370.36599999999999</v>
      </c>
      <c r="Q20">
        <v>1337.2470000000001</v>
      </c>
      <c r="R20">
        <v>657.42399999999998</v>
      </c>
      <c r="S20">
        <v>7932.2709999999997</v>
      </c>
      <c r="T20">
        <v>48288.124000000003</v>
      </c>
      <c r="U20">
        <v>30864.16</v>
      </c>
      <c r="V20">
        <v>4702.0020000000004</v>
      </c>
      <c r="W20">
        <v>9493.8160000000007</v>
      </c>
      <c r="X20">
        <v>12837.789000000001</v>
      </c>
      <c r="Y20">
        <v>19403.186000000002</v>
      </c>
      <c r="Z20">
        <v>449.82900000000001</v>
      </c>
      <c r="AA20">
        <v>5298.2539999999999</v>
      </c>
      <c r="AB20">
        <v>5723.9009999999998</v>
      </c>
      <c r="AC20">
        <v>338.96800000000002</v>
      </c>
      <c r="AD20">
        <v>2004.8779999999999</v>
      </c>
      <c r="AE20">
        <v>11663.454</v>
      </c>
      <c r="AF20">
        <v>3461.88</v>
      </c>
      <c r="AG20">
        <v>181.44499999999999</v>
      </c>
      <c r="AH20">
        <v>23.254000000000001</v>
      </c>
      <c r="AI20">
        <v>12.849</v>
      </c>
      <c r="AJ20">
        <v>109.76300000000001</v>
      </c>
      <c r="AK20">
        <v>3.87</v>
      </c>
      <c r="AL20">
        <v>392.33499999999998</v>
      </c>
      <c r="AM20">
        <v>114.26600000000001</v>
      </c>
      <c r="AN20">
        <v>47.54</v>
      </c>
      <c r="AO20">
        <v>47.591999999999999</v>
      </c>
      <c r="AP20">
        <v>126.282</v>
      </c>
      <c r="AQ20">
        <v>1373.769</v>
      </c>
      <c r="AR20">
        <v>992.05600000000004</v>
      </c>
      <c r="AS20">
        <v>241.69499999999999</v>
      </c>
      <c r="AT20">
        <v>669.08399999999995</v>
      </c>
      <c r="AU20">
        <v>117.73399999999999</v>
      </c>
      <c r="AV20">
        <v>659.529</v>
      </c>
      <c r="AW20">
        <v>105.188</v>
      </c>
      <c r="AX20">
        <v>311.55900000000003</v>
      </c>
      <c r="AY20">
        <v>0</v>
      </c>
      <c r="AZ20">
        <v>3053.8539999999998</v>
      </c>
      <c r="BA20">
        <v>0.87</v>
      </c>
      <c r="BB20">
        <v>15.09</v>
      </c>
      <c r="BC20">
        <v>1982.825</v>
      </c>
      <c r="BD20">
        <v>91.578000000000003</v>
      </c>
      <c r="BE20">
        <v>11.68</v>
      </c>
      <c r="BF20">
        <v>1.9419999999999999</v>
      </c>
      <c r="BG20">
        <v>36090.175999999999</v>
      </c>
      <c r="BH20">
        <v>-57062.620999999999</v>
      </c>
      <c r="BI20">
        <v>161745.51300000001</v>
      </c>
    </row>
    <row r="21" spans="1:61" x14ac:dyDescent="0.25">
      <c r="A21" t="s">
        <v>962</v>
      </c>
      <c r="B21">
        <v>2593.9250000000002</v>
      </c>
      <c r="C21">
        <v>150.24799999999999</v>
      </c>
      <c r="D21">
        <v>12.856999999999999</v>
      </c>
      <c r="E21">
        <v>548.51599999999996</v>
      </c>
      <c r="F21">
        <v>9468.4</v>
      </c>
      <c r="G21">
        <v>509.38900000000001</v>
      </c>
      <c r="H21">
        <v>291.91000000000003</v>
      </c>
      <c r="I21">
        <v>410.77199999999999</v>
      </c>
      <c r="J21">
        <v>11160.544</v>
      </c>
      <c r="K21">
        <v>333.05599999999998</v>
      </c>
      <c r="L21">
        <v>2601.8910000000001</v>
      </c>
      <c r="M21">
        <v>1143.6199999999999</v>
      </c>
      <c r="N21">
        <v>756.73500000000001</v>
      </c>
      <c r="O21">
        <v>3105.0309999999999</v>
      </c>
      <c r="P21">
        <v>892.39099999999996</v>
      </c>
      <c r="Q21">
        <v>3230.163</v>
      </c>
      <c r="R21">
        <v>1949.779</v>
      </c>
      <c r="S21">
        <v>5956.0749999999998</v>
      </c>
      <c r="T21">
        <v>2012.289</v>
      </c>
      <c r="U21">
        <v>52075.118999999999</v>
      </c>
      <c r="V21">
        <v>3228.913</v>
      </c>
      <c r="W21">
        <v>4387.8789999999999</v>
      </c>
      <c r="X21">
        <v>34413.534</v>
      </c>
      <c r="Y21">
        <v>40233.067999999999</v>
      </c>
      <c r="Z21">
        <v>2185.895</v>
      </c>
      <c r="AA21">
        <v>9997.1560000000009</v>
      </c>
      <c r="AB21">
        <v>7574.4530000000004</v>
      </c>
      <c r="AC21">
        <v>1134.72</v>
      </c>
      <c r="AD21">
        <v>994.48500000000001</v>
      </c>
      <c r="AE21">
        <v>83611.445000000007</v>
      </c>
      <c r="AF21">
        <v>15400.085999999999</v>
      </c>
      <c r="AG21">
        <v>1157.6079999999999</v>
      </c>
      <c r="AH21">
        <v>110.11</v>
      </c>
      <c r="AI21">
        <v>80.733000000000004</v>
      </c>
      <c r="AJ21">
        <v>863.70399999999995</v>
      </c>
      <c r="AK21">
        <v>62.987000000000002</v>
      </c>
      <c r="AL21">
        <v>3322.1419999999998</v>
      </c>
      <c r="AM21">
        <v>545.43700000000001</v>
      </c>
      <c r="AN21">
        <v>855.00099999999998</v>
      </c>
      <c r="AO21">
        <v>601.33500000000004</v>
      </c>
      <c r="AP21">
        <v>548.16499999999996</v>
      </c>
      <c r="AQ21">
        <v>12450.017</v>
      </c>
      <c r="AR21">
        <v>6518.4589999999998</v>
      </c>
      <c r="AS21">
        <v>5632.3310000000001</v>
      </c>
      <c r="AT21">
        <v>18866.607</v>
      </c>
      <c r="AU21">
        <v>2200.0439999999999</v>
      </c>
      <c r="AV21">
        <v>3031.6770000000001</v>
      </c>
      <c r="AW21">
        <v>624.84500000000003</v>
      </c>
      <c r="AX21">
        <v>2042.2460000000001</v>
      </c>
      <c r="AY21">
        <v>0</v>
      </c>
      <c r="AZ21">
        <v>66980.899999999994</v>
      </c>
      <c r="BA21">
        <v>4.891</v>
      </c>
      <c r="BB21">
        <v>7.3230000000000004</v>
      </c>
      <c r="BC21">
        <v>59986.923999999999</v>
      </c>
      <c r="BD21">
        <v>4797.0469999999996</v>
      </c>
      <c r="BE21">
        <v>77.113</v>
      </c>
      <c r="BF21">
        <v>8.8260000000000005</v>
      </c>
      <c r="BG21">
        <v>30298.788</v>
      </c>
      <c r="BH21">
        <v>-70495.259999999995</v>
      </c>
      <c r="BI21">
        <v>453544.34600000002</v>
      </c>
    </row>
    <row r="22" spans="1:61" x14ac:dyDescent="0.25">
      <c r="A22" t="s">
        <v>963</v>
      </c>
      <c r="B22">
        <v>603.53499999999997</v>
      </c>
      <c r="C22">
        <v>28.856000000000002</v>
      </c>
      <c r="D22">
        <v>5.2229999999999999</v>
      </c>
      <c r="E22">
        <v>44.018000000000001</v>
      </c>
      <c r="F22">
        <v>1253.6990000000001</v>
      </c>
      <c r="G22">
        <v>59.871000000000002</v>
      </c>
      <c r="H22">
        <v>43.72</v>
      </c>
      <c r="I22">
        <v>44.978999999999999</v>
      </c>
      <c r="J22">
        <v>1238.7809999999999</v>
      </c>
      <c r="K22">
        <v>104.223</v>
      </c>
      <c r="L22">
        <v>959.60799999999995</v>
      </c>
      <c r="M22">
        <v>601.42200000000003</v>
      </c>
      <c r="N22">
        <v>420.96300000000002</v>
      </c>
      <c r="O22">
        <v>1128.9690000000001</v>
      </c>
      <c r="P22">
        <v>399.71100000000001</v>
      </c>
      <c r="Q22">
        <v>701.84299999999996</v>
      </c>
      <c r="R22">
        <v>290.28800000000001</v>
      </c>
      <c r="S22">
        <v>234.42</v>
      </c>
      <c r="T22">
        <v>225.76599999999999</v>
      </c>
      <c r="U22">
        <v>1467.962</v>
      </c>
      <c r="V22">
        <v>44933.597000000002</v>
      </c>
      <c r="W22">
        <v>4838.3559999999998</v>
      </c>
      <c r="X22">
        <v>7382.91</v>
      </c>
      <c r="Y22">
        <v>8624.1980000000003</v>
      </c>
      <c r="Z22">
        <v>530.58600000000001</v>
      </c>
      <c r="AA22">
        <v>2232.328</v>
      </c>
      <c r="AB22">
        <v>2305.8240000000001</v>
      </c>
      <c r="AC22">
        <v>1126.4870000000001</v>
      </c>
      <c r="AD22">
        <v>234.03</v>
      </c>
      <c r="AE22">
        <v>8393.5470000000005</v>
      </c>
      <c r="AF22">
        <v>14262.8</v>
      </c>
      <c r="AG22">
        <v>704.95600000000002</v>
      </c>
      <c r="AH22">
        <v>91.686000000000007</v>
      </c>
      <c r="AI22">
        <v>323.79700000000003</v>
      </c>
      <c r="AJ22">
        <v>676.25</v>
      </c>
      <c r="AK22">
        <v>259.346</v>
      </c>
      <c r="AL22">
        <v>1507.0340000000001</v>
      </c>
      <c r="AM22">
        <v>3354.6149999999998</v>
      </c>
      <c r="AN22">
        <v>16974.082999999999</v>
      </c>
      <c r="AO22">
        <v>13010.855</v>
      </c>
      <c r="AP22">
        <v>3565.4520000000002</v>
      </c>
      <c r="AQ22">
        <v>2329.1309999999999</v>
      </c>
      <c r="AR22">
        <v>11668.486000000001</v>
      </c>
      <c r="AS22">
        <v>5386.2669999999998</v>
      </c>
      <c r="AT22">
        <v>10351.799999999999</v>
      </c>
      <c r="AU22">
        <v>4637.9489999999996</v>
      </c>
      <c r="AV22">
        <v>16838.786</v>
      </c>
      <c r="AW22">
        <v>1052.0139999999999</v>
      </c>
      <c r="AX22">
        <v>2427.453</v>
      </c>
      <c r="AY22">
        <v>0</v>
      </c>
      <c r="AZ22">
        <v>148081.109</v>
      </c>
      <c r="BA22">
        <v>224.67400000000001</v>
      </c>
      <c r="BB22">
        <v>42.566000000000003</v>
      </c>
      <c r="BC22">
        <v>321369.03700000001</v>
      </c>
      <c r="BD22">
        <v>23867.343000000001</v>
      </c>
      <c r="BE22">
        <v>351.7</v>
      </c>
      <c r="BF22">
        <v>324.05399999999997</v>
      </c>
      <c r="BG22">
        <v>104845.106</v>
      </c>
      <c r="BH22">
        <v>-309436.00699999998</v>
      </c>
      <c r="BI22">
        <v>489552.06199999998</v>
      </c>
    </row>
    <row r="23" spans="1:61" x14ac:dyDescent="0.25">
      <c r="A23" t="s">
        <v>964</v>
      </c>
      <c r="B23">
        <v>368.97800000000001</v>
      </c>
      <c r="C23">
        <v>12.151</v>
      </c>
      <c r="D23">
        <v>4.8140000000000001</v>
      </c>
      <c r="E23">
        <v>57.076000000000001</v>
      </c>
      <c r="F23">
        <v>687.39</v>
      </c>
      <c r="G23">
        <v>94.796000000000006</v>
      </c>
      <c r="H23">
        <v>81.536000000000001</v>
      </c>
      <c r="I23">
        <v>65.381</v>
      </c>
      <c r="J23">
        <v>652.971</v>
      </c>
      <c r="K23">
        <v>37.472000000000001</v>
      </c>
      <c r="L23">
        <v>88.727000000000004</v>
      </c>
      <c r="M23">
        <v>295.01400000000001</v>
      </c>
      <c r="N23">
        <v>118.58499999999999</v>
      </c>
      <c r="O23">
        <v>374.49700000000001</v>
      </c>
      <c r="P23">
        <v>142.65600000000001</v>
      </c>
      <c r="Q23">
        <v>383.89100000000002</v>
      </c>
      <c r="R23">
        <v>214.178</v>
      </c>
      <c r="S23">
        <v>282.61500000000001</v>
      </c>
      <c r="T23">
        <v>531.55100000000004</v>
      </c>
      <c r="U23">
        <v>1640.6559999999999</v>
      </c>
      <c r="V23">
        <v>3976.2460000000001</v>
      </c>
      <c r="W23">
        <v>11269.101000000001</v>
      </c>
      <c r="X23">
        <v>7124.3040000000001</v>
      </c>
      <c r="Y23">
        <v>14651.880999999999</v>
      </c>
      <c r="Z23">
        <v>247.56200000000001</v>
      </c>
      <c r="AA23">
        <v>2262.2420000000002</v>
      </c>
      <c r="AB23">
        <v>1490.5229999999999</v>
      </c>
      <c r="AC23">
        <v>3365.9369999999999</v>
      </c>
      <c r="AD23">
        <v>289.649</v>
      </c>
      <c r="AE23">
        <v>19669.504000000001</v>
      </c>
      <c r="AF23">
        <v>8767.1749999999993</v>
      </c>
      <c r="AG23">
        <v>890.09199999999998</v>
      </c>
      <c r="AH23">
        <v>81.569000000000003</v>
      </c>
      <c r="AI23">
        <v>95.792000000000002</v>
      </c>
      <c r="AJ23">
        <v>321.54700000000003</v>
      </c>
      <c r="AK23">
        <v>54.826000000000001</v>
      </c>
      <c r="AL23">
        <v>1057.1389999999999</v>
      </c>
      <c r="AM23">
        <v>648.25599999999997</v>
      </c>
      <c r="AN23">
        <v>3656.5839999999998</v>
      </c>
      <c r="AO23">
        <v>1470.018</v>
      </c>
      <c r="AP23">
        <v>476.29899999999998</v>
      </c>
      <c r="AQ23">
        <v>2223.5479999999998</v>
      </c>
      <c r="AR23">
        <v>4167.384</v>
      </c>
      <c r="AS23">
        <v>2742.7730000000001</v>
      </c>
      <c r="AT23">
        <v>5400.3209999999999</v>
      </c>
      <c r="AU23">
        <v>1160.047</v>
      </c>
      <c r="AV23">
        <v>3034.0059999999999</v>
      </c>
      <c r="AW23">
        <v>711.48199999999997</v>
      </c>
      <c r="AX23">
        <v>1030.203</v>
      </c>
      <c r="AY23">
        <v>0</v>
      </c>
      <c r="AZ23">
        <v>93189.697</v>
      </c>
      <c r="BA23">
        <v>3.7639999999999998</v>
      </c>
      <c r="BB23">
        <v>3.7120000000000002</v>
      </c>
      <c r="BC23">
        <v>78334.900999999998</v>
      </c>
      <c r="BD23">
        <v>6662.5839999999998</v>
      </c>
      <c r="BE23">
        <v>176.51900000000001</v>
      </c>
      <c r="BF23">
        <v>128.74299999999999</v>
      </c>
      <c r="BG23">
        <v>26803.274000000001</v>
      </c>
      <c r="BH23">
        <v>-156930.905</v>
      </c>
      <c r="BI23">
        <v>156843.236</v>
      </c>
    </row>
    <row r="24" spans="1:61" x14ac:dyDescent="0.25">
      <c r="A24" t="s">
        <v>965</v>
      </c>
      <c r="B24">
        <v>1415.4849999999999</v>
      </c>
      <c r="C24">
        <v>179.48</v>
      </c>
      <c r="D24">
        <v>18.399999999999999</v>
      </c>
      <c r="E24">
        <v>611.93899999999996</v>
      </c>
      <c r="F24">
        <v>10125.901</v>
      </c>
      <c r="G24">
        <v>591.19200000000001</v>
      </c>
      <c r="H24">
        <v>400.642</v>
      </c>
      <c r="I24">
        <v>416.12299999999999</v>
      </c>
      <c r="J24">
        <v>3051.1089999999999</v>
      </c>
      <c r="K24">
        <v>192.214</v>
      </c>
      <c r="L24">
        <v>508.685</v>
      </c>
      <c r="M24">
        <v>1077.414</v>
      </c>
      <c r="N24">
        <v>1022.0170000000001</v>
      </c>
      <c r="O24">
        <v>1282.635</v>
      </c>
      <c r="P24">
        <v>406.17</v>
      </c>
      <c r="Q24">
        <v>1141.5260000000001</v>
      </c>
      <c r="R24">
        <v>1507.672</v>
      </c>
      <c r="S24">
        <v>995.20500000000004</v>
      </c>
      <c r="T24">
        <v>432.44099999999997</v>
      </c>
      <c r="U24">
        <v>3656.6379999999999</v>
      </c>
      <c r="V24">
        <v>1296.722</v>
      </c>
      <c r="W24">
        <v>2056.489</v>
      </c>
      <c r="X24">
        <v>36281.256999999998</v>
      </c>
      <c r="Y24">
        <v>15709.651</v>
      </c>
      <c r="Z24">
        <v>908.90499999999997</v>
      </c>
      <c r="AA24">
        <v>3370.6480000000001</v>
      </c>
      <c r="AB24">
        <v>2880.799</v>
      </c>
      <c r="AC24">
        <v>2066.29</v>
      </c>
      <c r="AD24">
        <v>740.88599999999997</v>
      </c>
      <c r="AE24">
        <v>16418.013999999999</v>
      </c>
      <c r="AF24">
        <v>10886.948</v>
      </c>
      <c r="AG24">
        <v>1209.0219999999999</v>
      </c>
      <c r="AH24">
        <v>56.567999999999998</v>
      </c>
      <c r="AI24">
        <v>148.255</v>
      </c>
      <c r="AJ24">
        <v>612.08000000000004</v>
      </c>
      <c r="AK24">
        <v>112.30500000000001</v>
      </c>
      <c r="AL24">
        <v>770.81100000000004</v>
      </c>
      <c r="AM24">
        <v>619.62400000000002</v>
      </c>
      <c r="AN24">
        <v>847.72299999999996</v>
      </c>
      <c r="AO24">
        <v>882.62300000000005</v>
      </c>
      <c r="AP24">
        <v>1616.3140000000001</v>
      </c>
      <c r="AQ24">
        <v>1395.058</v>
      </c>
      <c r="AR24">
        <v>4358.6679999999997</v>
      </c>
      <c r="AS24">
        <v>4507.5659999999998</v>
      </c>
      <c r="AT24">
        <v>6021.9030000000002</v>
      </c>
      <c r="AU24">
        <v>1400.2860000000001</v>
      </c>
      <c r="AV24">
        <v>3512.5659999999998</v>
      </c>
      <c r="AW24">
        <v>525.10799999999995</v>
      </c>
      <c r="AX24">
        <v>712.15200000000004</v>
      </c>
      <c r="AY24">
        <v>0</v>
      </c>
      <c r="AZ24">
        <v>28891.330999999998</v>
      </c>
      <c r="BA24">
        <v>37.808999999999997</v>
      </c>
      <c r="BB24">
        <v>7.7229999999999999</v>
      </c>
      <c r="BC24">
        <v>291879.32199999999</v>
      </c>
      <c r="BD24">
        <v>24556.084999999999</v>
      </c>
      <c r="BE24">
        <v>78.44</v>
      </c>
      <c r="BF24">
        <v>20.617999999999999</v>
      </c>
      <c r="BG24">
        <v>101570.72199999999</v>
      </c>
      <c r="BH24">
        <v>-151184.90599999999</v>
      </c>
      <c r="BI24">
        <v>446815.27100000001</v>
      </c>
    </row>
    <row r="25" spans="1:61" x14ac:dyDescent="0.25">
      <c r="A25" t="s">
        <v>966</v>
      </c>
      <c r="B25">
        <v>227.3</v>
      </c>
      <c r="C25">
        <v>84.742000000000004</v>
      </c>
      <c r="D25">
        <v>3.089</v>
      </c>
      <c r="E25">
        <v>18.632000000000001</v>
      </c>
      <c r="F25">
        <v>579.52</v>
      </c>
      <c r="G25">
        <v>70.888999999999996</v>
      </c>
      <c r="H25">
        <v>46.651000000000003</v>
      </c>
      <c r="I25">
        <v>29.001000000000001</v>
      </c>
      <c r="J25">
        <v>360.01499999999999</v>
      </c>
      <c r="K25">
        <v>20.669</v>
      </c>
      <c r="L25">
        <v>64.53</v>
      </c>
      <c r="M25">
        <v>76.691000000000003</v>
      </c>
      <c r="N25">
        <v>75.715000000000003</v>
      </c>
      <c r="O25">
        <v>154.678</v>
      </c>
      <c r="P25">
        <v>51.862000000000002</v>
      </c>
      <c r="Q25">
        <v>215.11799999999999</v>
      </c>
      <c r="R25">
        <v>190.99100000000001</v>
      </c>
      <c r="S25">
        <v>111.705</v>
      </c>
      <c r="T25">
        <v>108.925</v>
      </c>
      <c r="U25">
        <v>518.08699999999999</v>
      </c>
      <c r="V25">
        <v>385.66500000000002</v>
      </c>
      <c r="W25">
        <v>419.9</v>
      </c>
      <c r="X25">
        <v>1765.7429999999999</v>
      </c>
      <c r="Y25">
        <v>130625.74</v>
      </c>
      <c r="Z25">
        <v>58.883000000000003</v>
      </c>
      <c r="AA25">
        <v>1456.932</v>
      </c>
      <c r="AB25">
        <v>355.88400000000001</v>
      </c>
      <c r="AC25">
        <v>233.239</v>
      </c>
      <c r="AD25">
        <v>214.55600000000001</v>
      </c>
      <c r="AE25">
        <v>2025.627</v>
      </c>
      <c r="AF25">
        <v>40004.593000000001</v>
      </c>
      <c r="AG25">
        <v>5590.3329999999996</v>
      </c>
      <c r="AH25">
        <v>105.768</v>
      </c>
      <c r="AI25">
        <v>291.43700000000001</v>
      </c>
      <c r="AJ25">
        <v>589.51</v>
      </c>
      <c r="AK25">
        <v>97.495999999999995</v>
      </c>
      <c r="AL25">
        <v>203.64400000000001</v>
      </c>
      <c r="AM25">
        <v>138.55699999999999</v>
      </c>
      <c r="AN25">
        <v>273.12</v>
      </c>
      <c r="AO25">
        <v>312.09500000000003</v>
      </c>
      <c r="AP25">
        <v>400.95499999999998</v>
      </c>
      <c r="AQ25">
        <v>594.86599999999999</v>
      </c>
      <c r="AR25">
        <v>1342.0229999999999</v>
      </c>
      <c r="AS25">
        <v>2645.3670000000002</v>
      </c>
      <c r="AT25">
        <v>2026.893</v>
      </c>
      <c r="AU25">
        <v>530.24800000000005</v>
      </c>
      <c r="AV25">
        <v>824.15</v>
      </c>
      <c r="AW25">
        <v>183.01400000000001</v>
      </c>
      <c r="AX25">
        <v>249.55699999999999</v>
      </c>
      <c r="AY25">
        <v>0</v>
      </c>
      <c r="AZ25">
        <v>309620.84299999999</v>
      </c>
      <c r="BA25">
        <v>8.7100000000000009</v>
      </c>
      <c r="BB25">
        <v>1.288</v>
      </c>
      <c r="BC25">
        <v>414936.96</v>
      </c>
      <c r="BD25">
        <v>35267.476000000002</v>
      </c>
      <c r="BE25">
        <v>283.67</v>
      </c>
      <c r="BF25">
        <v>323.59300000000002</v>
      </c>
      <c r="BG25">
        <v>91544.523000000001</v>
      </c>
      <c r="BH25">
        <v>-315406.71399999998</v>
      </c>
      <c r="BI25">
        <v>733534.951</v>
      </c>
    </row>
    <row r="26" spans="1:61" x14ac:dyDescent="0.25">
      <c r="A26" t="s">
        <v>967</v>
      </c>
      <c r="B26">
        <v>6.1550000000000002</v>
      </c>
      <c r="C26">
        <v>0.54500000000000004</v>
      </c>
      <c r="D26">
        <v>7.3639999999999999</v>
      </c>
      <c r="E26">
        <v>0.68300000000000005</v>
      </c>
      <c r="F26">
        <v>96.004000000000005</v>
      </c>
      <c r="G26">
        <v>2.1509999999999998</v>
      </c>
      <c r="H26">
        <v>1.41</v>
      </c>
      <c r="I26">
        <v>0.33100000000000002</v>
      </c>
      <c r="J26">
        <v>16.946999999999999</v>
      </c>
      <c r="K26">
        <v>0.73599999999999999</v>
      </c>
      <c r="L26">
        <v>1.833</v>
      </c>
      <c r="M26">
        <v>3.1680000000000001</v>
      </c>
      <c r="N26">
        <v>11.914999999999999</v>
      </c>
      <c r="O26">
        <v>5.05</v>
      </c>
      <c r="P26">
        <v>2.1040000000000001</v>
      </c>
      <c r="Q26">
        <v>11.436999999999999</v>
      </c>
      <c r="R26">
        <v>2.0030000000000001</v>
      </c>
      <c r="S26">
        <v>2.7490000000000001</v>
      </c>
      <c r="T26">
        <v>1.57</v>
      </c>
      <c r="U26">
        <v>21.683</v>
      </c>
      <c r="V26">
        <v>8.8420000000000005</v>
      </c>
      <c r="W26">
        <v>6.0460000000000003</v>
      </c>
      <c r="X26">
        <v>77.218000000000004</v>
      </c>
      <c r="Y26">
        <v>147.48400000000001</v>
      </c>
      <c r="Z26">
        <v>4228.33</v>
      </c>
      <c r="AA26">
        <v>1792.5129999999999</v>
      </c>
      <c r="AB26">
        <v>103.80800000000001</v>
      </c>
      <c r="AC26">
        <v>7.1790000000000003</v>
      </c>
      <c r="AD26">
        <v>3.024</v>
      </c>
      <c r="AE26">
        <v>105.13800000000001</v>
      </c>
      <c r="AF26">
        <v>112.599</v>
      </c>
      <c r="AG26">
        <v>124.48</v>
      </c>
      <c r="AH26">
        <v>865.94200000000001</v>
      </c>
      <c r="AI26">
        <v>368.49700000000001</v>
      </c>
      <c r="AJ26">
        <v>129.27500000000001</v>
      </c>
      <c r="AK26">
        <v>1.7869999999999999</v>
      </c>
      <c r="AL26">
        <v>8.2850000000000001</v>
      </c>
      <c r="AM26">
        <v>2.3340000000000001</v>
      </c>
      <c r="AN26">
        <v>3.327</v>
      </c>
      <c r="AO26">
        <v>2.508</v>
      </c>
      <c r="AP26">
        <v>12.173999999999999</v>
      </c>
      <c r="AQ26">
        <v>66.637</v>
      </c>
      <c r="AR26">
        <v>32.515999999999998</v>
      </c>
      <c r="AS26">
        <v>63.695</v>
      </c>
      <c r="AT26">
        <v>2994.5680000000002</v>
      </c>
      <c r="AU26">
        <v>18.204000000000001</v>
      </c>
      <c r="AV26">
        <v>19.23</v>
      </c>
      <c r="AW26">
        <v>12.654999999999999</v>
      </c>
      <c r="AX26">
        <v>24.779</v>
      </c>
      <c r="AY26">
        <v>0</v>
      </c>
      <c r="AZ26">
        <v>11424.576999999999</v>
      </c>
      <c r="BA26">
        <v>0.128</v>
      </c>
      <c r="BB26">
        <v>0.08</v>
      </c>
      <c r="BC26">
        <v>24955.499</v>
      </c>
      <c r="BD26">
        <v>2082.3530000000001</v>
      </c>
      <c r="BE26">
        <v>0.89300000000000002</v>
      </c>
      <c r="BF26">
        <v>0.10199999999999999</v>
      </c>
      <c r="BG26">
        <v>2049.0830000000001</v>
      </c>
      <c r="BH26">
        <v>-3781.9949999999999</v>
      </c>
      <c r="BI26">
        <v>48269.633999999998</v>
      </c>
    </row>
    <row r="27" spans="1:61" x14ac:dyDescent="0.25">
      <c r="A27" t="s">
        <v>968</v>
      </c>
      <c r="B27">
        <v>64.863</v>
      </c>
      <c r="C27">
        <v>19.082000000000001</v>
      </c>
      <c r="D27">
        <v>15.834</v>
      </c>
      <c r="E27">
        <v>15.662000000000001</v>
      </c>
      <c r="F27">
        <v>126.468</v>
      </c>
      <c r="G27">
        <v>13.411</v>
      </c>
      <c r="H27">
        <v>6.0540000000000003</v>
      </c>
      <c r="I27">
        <v>8.4250000000000007</v>
      </c>
      <c r="J27">
        <v>194.589</v>
      </c>
      <c r="K27">
        <v>8.3759999999999994</v>
      </c>
      <c r="L27">
        <v>25.582000000000001</v>
      </c>
      <c r="M27">
        <v>33.859000000000002</v>
      </c>
      <c r="N27">
        <v>121.71299999999999</v>
      </c>
      <c r="O27">
        <v>80.891000000000005</v>
      </c>
      <c r="P27">
        <v>24.888999999999999</v>
      </c>
      <c r="Q27">
        <v>65.400999999999996</v>
      </c>
      <c r="R27">
        <v>29.718</v>
      </c>
      <c r="S27">
        <v>40.280999999999999</v>
      </c>
      <c r="T27">
        <v>23.378</v>
      </c>
      <c r="U27">
        <v>296.63099999999997</v>
      </c>
      <c r="V27">
        <v>128.09100000000001</v>
      </c>
      <c r="W27">
        <v>127.511</v>
      </c>
      <c r="X27">
        <v>515.01599999999996</v>
      </c>
      <c r="Y27">
        <v>7127.2309999999998</v>
      </c>
      <c r="Z27">
        <v>902.18600000000004</v>
      </c>
      <c r="AA27">
        <v>60844.875999999997</v>
      </c>
      <c r="AB27">
        <v>784.56399999999996</v>
      </c>
      <c r="AC27">
        <v>66.384</v>
      </c>
      <c r="AD27">
        <v>21.34</v>
      </c>
      <c r="AE27">
        <v>640.23900000000003</v>
      </c>
      <c r="AF27">
        <v>3470.0839999999998</v>
      </c>
      <c r="AG27">
        <v>3987.55</v>
      </c>
      <c r="AH27">
        <v>270.87400000000002</v>
      </c>
      <c r="AI27">
        <v>4226.4059999999999</v>
      </c>
      <c r="AJ27">
        <v>315.32299999999998</v>
      </c>
      <c r="AK27">
        <v>19.062999999999999</v>
      </c>
      <c r="AL27">
        <v>80.731999999999999</v>
      </c>
      <c r="AM27">
        <v>40.96</v>
      </c>
      <c r="AN27">
        <v>71.519000000000005</v>
      </c>
      <c r="AO27">
        <v>173.38200000000001</v>
      </c>
      <c r="AP27">
        <v>135.18700000000001</v>
      </c>
      <c r="AQ27">
        <v>197.67400000000001</v>
      </c>
      <c r="AR27">
        <v>530.37400000000002</v>
      </c>
      <c r="AS27">
        <v>1038.539</v>
      </c>
      <c r="AT27">
        <v>11506.186</v>
      </c>
      <c r="AU27">
        <v>141.88999999999999</v>
      </c>
      <c r="AV27">
        <v>848.97900000000004</v>
      </c>
      <c r="AW27">
        <v>52.203000000000003</v>
      </c>
      <c r="AX27">
        <v>204.352</v>
      </c>
      <c r="AY27">
        <v>0</v>
      </c>
      <c r="AZ27">
        <v>38464.680999999997</v>
      </c>
      <c r="BA27">
        <v>24.312999999999999</v>
      </c>
      <c r="BB27">
        <v>1.274</v>
      </c>
      <c r="BC27">
        <v>134290.87100000001</v>
      </c>
      <c r="BD27">
        <v>10775.906000000001</v>
      </c>
      <c r="BE27">
        <v>4.617</v>
      </c>
      <c r="BF27">
        <v>6.8129999999999997</v>
      </c>
      <c r="BG27">
        <v>91144.845000000001</v>
      </c>
      <c r="BH27">
        <v>-68672.936000000002</v>
      </c>
      <c r="BI27">
        <v>305724.20699999999</v>
      </c>
    </row>
    <row r="28" spans="1:61" x14ac:dyDescent="0.25">
      <c r="A28" t="s">
        <v>969</v>
      </c>
      <c r="B28">
        <v>2849.4830000000002</v>
      </c>
      <c r="C28">
        <v>127.875</v>
      </c>
      <c r="D28">
        <v>33.618000000000002</v>
      </c>
      <c r="E28">
        <v>162.71799999999999</v>
      </c>
      <c r="F28">
        <v>4331.1379999999999</v>
      </c>
      <c r="G28">
        <v>218.102</v>
      </c>
      <c r="H28">
        <v>300.77</v>
      </c>
      <c r="I28">
        <v>168.18299999999999</v>
      </c>
      <c r="J28">
        <v>3289.364</v>
      </c>
      <c r="K28">
        <v>343.91699999999997</v>
      </c>
      <c r="L28">
        <v>558.02300000000002</v>
      </c>
      <c r="M28">
        <v>1123.9459999999999</v>
      </c>
      <c r="N28">
        <v>852.58199999999999</v>
      </c>
      <c r="O28">
        <v>1517.4259999999999</v>
      </c>
      <c r="P28">
        <v>684.12800000000004</v>
      </c>
      <c r="Q28">
        <v>926.83100000000002</v>
      </c>
      <c r="R28">
        <v>790.76700000000005</v>
      </c>
      <c r="S28">
        <v>947.495</v>
      </c>
      <c r="T28">
        <v>714.64499999999998</v>
      </c>
      <c r="U28">
        <v>1547.9549999999999</v>
      </c>
      <c r="V28">
        <v>965.31500000000005</v>
      </c>
      <c r="W28">
        <v>528.726</v>
      </c>
      <c r="X28">
        <v>1815.587</v>
      </c>
      <c r="Y28">
        <v>2797.6889999999999</v>
      </c>
      <c r="Z28">
        <v>141.249</v>
      </c>
      <c r="AA28">
        <v>1134.0530000000001</v>
      </c>
      <c r="AB28">
        <v>6242.38</v>
      </c>
      <c r="AC28">
        <v>2220.4740000000002</v>
      </c>
      <c r="AD28">
        <v>720.88300000000004</v>
      </c>
      <c r="AE28">
        <v>6636.77</v>
      </c>
      <c r="AF28">
        <v>9581.3070000000007</v>
      </c>
      <c r="AG28">
        <v>3159.8969999999999</v>
      </c>
      <c r="AH28">
        <v>346.31299999999999</v>
      </c>
      <c r="AI28">
        <v>2010.6780000000001</v>
      </c>
      <c r="AJ28">
        <v>1215.5440000000001</v>
      </c>
      <c r="AK28">
        <v>236.90899999999999</v>
      </c>
      <c r="AL28">
        <v>3322.1190000000001</v>
      </c>
      <c r="AM28">
        <v>969.10900000000004</v>
      </c>
      <c r="AN28">
        <v>1691.6659999999999</v>
      </c>
      <c r="AO28">
        <v>1552.7570000000001</v>
      </c>
      <c r="AP28">
        <v>3219.89</v>
      </c>
      <c r="AQ28">
        <v>3862.0709999999999</v>
      </c>
      <c r="AR28">
        <v>5984.7</v>
      </c>
      <c r="AS28">
        <v>5310.9440000000004</v>
      </c>
      <c r="AT28">
        <v>10821.14</v>
      </c>
      <c r="AU28">
        <v>6782.924</v>
      </c>
      <c r="AV28">
        <v>27187.794999999998</v>
      </c>
      <c r="AW28">
        <v>2152.0830000000001</v>
      </c>
      <c r="AX28">
        <v>2312.8710000000001</v>
      </c>
      <c r="AY28">
        <v>0</v>
      </c>
      <c r="AZ28">
        <v>198600.049</v>
      </c>
      <c r="BA28">
        <v>41.683999999999997</v>
      </c>
      <c r="BB28">
        <v>1595.3119999999999</v>
      </c>
      <c r="BC28">
        <v>86421.153999999995</v>
      </c>
      <c r="BD28">
        <v>7117.3190000000004</v>
      </c>
      <c r="BE28">
        <v>1447.1189999999999</v>
      </c>
      <c r="BF28">
        <v>470.61200000000002</v>
      </c>
      <c r="BG28">
        <v>52252.892999999996</v>
      </c>
      <c r="BH28">
        <v>-174416.25099999999</v>
      </c>
      <c r="BI28">
        <v>309942.70199999999</v>
      </c>
    </row>
    <row r="29" spans="1:61" x14ac:dyDescent="0.25">
      <c r="A29" t="s">
        <v>970</v>
      </c>
      <c r="B29">
        <v>8360.4940000000006</v>
      </c>
      <c r="C29">
        <v>167.648</v>
      </c>
      <c r="D29">
        <v>53.058</v>
      </c>
      <c r="E29">
        <v>872.86300000000006</v>
      </c>
      <c r="F29">
        <v>20522.71</v>
      </c>
      <c r="G29">
        <v>1221.0260000000001</v>
      </c>
      <c r="H29">
        <v>1205.0160000000001</v>
      </c>
      <c r="I29">
        <v>213.7</v>
      </c>
      <c r="J29">
        <v>17573.347000000002</v>
      </c>
      <c r="K29">
        <v>1556.7729999999999</v>
      </c>
      <c r="L29">
        <v>1633.201</v>
      </c>
      <c r="M29">
        <v>7720.4709999999995</v>
      </c>
      <c r="N29">
        <v>6339.9709999999995</v>
      </c>
      <c r="O29">
        <v>10336.796</v>
      </c>
      <c r="P29">
        <v>2040.1859999999999</v>
      </c>
      <c r="Q29">
        <v>5018.2669999999998</v>
      </c>
      <c r="R29">
        <v>5501.1459999999997</v>
      </c>
      <c r="S29">
        <v>6171.4080000000004</v>
      </c>
      <c r="T29">
        <v>3177.5390000000002</v>
      </c>
      <c r="U29">
        <v>4994.884</v>
      </c>
      <c r="V29">
        <v>1528.373</v>
      </c>
      <c r="W29">
        <v>1019.92</v>
      </c>
      <c r="X29">
        <v>3026.2350000000001</v>
      </c>
      <c r="Y29">
        <v>6586.2870000000003</v>
      </c>
      <c r="Z29">
        <v>219.23699999999999</v>
      </c>
      <c r="AA29">
        <v>1655.116</v>
      </c>
      <c r="AB29">
        <v>1754.92</v>
      </c>
      <c r="AC29">
        <v>44904.245000000003</v>
      </c>
      <c r="AD29">
        <v>2852.6590000000001</v>
      </c>
      <c r="AE29">
        <v>5415.5680000000002</v>
      </c>
      <c r="AF29">
        <v>54294.487999999998</v>
      </c>
      <c r="AG29">
        <v>8268.3430000000008</v>
      </c>
      <c r="AH29">
        <v>77.027000000000001</v>
      </c>
      <c r="AI29">
        <v>168.35300000000001</v>
      </c>
      <c r="AJ29">
        <v>3199.0920000000001</v>
      </c>
      <c r="AK29">
        <v>840.91600000000005</v>
      </c>
      <c r="AL29">
        <v>31262.679</v>
      </c>
      <c r="AM29">
        <v>3720.3339999999998</v>
      </c>
      <c r="AN29">
        <v>7186.6959999999999</v>
      </c>
      <c r="AO29">
        <v>3407.2640000000001</v>
      </c>
      <c r="AP29">
        <v>11196.049000000001</v>
      </c>
      <c r="AQ29">
        <v>35956.288</v>
      </c>
      <c r="AR29">
        <v>11442.055</v>
      </c>
      <c r="AS29">
        <v>7140.8130000000001</v>
      </c>
      <c r="AT29">
        <v>41295.351999999999</v>
      </c>
      <c r="AU29">
        <v>24799.293000000001</v>
      </c>
      <c r="AV29">
        <v>36041.989000000001</v>
      </c>
      <c r="AW29">
        <v>5773.6570000000002</v>
      </c>
      <c r="AX29">
        <v>8793.8230000000003</v>
      </c>
      <c r="AY29">
        <v>0</v>
      </c>
      <c r="AZ29">
        <v>216579.788</v>
      </c>
      <c r="BA29">
        <v>48.722000000000001</v>
      </c>
      <c r="BB29">
        <v>1.6160000000000001</v>
      </c>
      <c r="BC29">
        <v>711.49099999999999</v>
      </c>
      <c r="BD29">
        <v>49.948</v>
      </c>
      <c r="BE29">
        <v>91.444000000000003</v>
      </c>
      <c r="BF29">
        <v>17.327999999999999</v>
      </c>
      <c r="BG29">
        <v>8822.18</v>
      </c>
      <c r="BH29">
        <v>-6590.4030000000002</v>
      </c>
      <c r="BI29">
        <v>688239.69</v>
      </c>
    </row>
    <row r="30" spans="1:61" x14ac:dyDescent="0.25">
      <c r="A30" t="s">
        <v>971</v>
      </c>
      <c r="B30">
        <v>628.625</v>
      </c>
      <c r="C30">
        <v>7.0890000000000004</v>
      </c>
      <c r="D30">
        <v>5.84</v>
      </c>
      <c r="E30">
        <v>40.167999999999999</v>
      </c>
      <c r="F30">
        <v>871.64200000000005</v>
      </c>
      <c r="G30">
        <v>103.139</v>
      </c>
      <c r="H30">
        <v>57.814999999999998</v>
      </c>
      <c r="I30">
        <v>48.418999999999997</v>
      </c>
      <c r="J30">
        <v>1503.5039999999999</v>
      </c>
      <c r="K30">
        <v>72.593000000000004</v>
      </c>
      <c r="L30">
        <v>170.785</v>
      </c>
      <c r="M30">
        <v>2052.2600000000002</v>
      </c>
      <c r="N30">
        <v>443.608</v>
      </c>
      <c r="O30">
        <v>518.26800000000003</v>
      </c>
      <c r="P30">
        <v>190.39699999999999</v>
      </c>
      <c r="Q30">
        <v>282.26799999999997</v>
      </c>
      <c r="R30">
        <v>320.47699999999998</v>
      </c>
      <c r="S30">
        <v>3484.6680000000001</v>
      </c>
      <c r="T30">
        <v>1991.4880000000001</v>
      </c>
      <c r="U30">
        <v>522.44500000000005</v>
      </c>
      <c r="V30">
        <v>83.277000000000001</v>
      </c>
      <c r="W30">
        <v>73.024000000000001</v>
      </c>
      <c r="X30">
        <v>335.077</v>
      </c>
      <c r="Y30">
        <v>379.38600000000002</v>
      </c>
      <c r="Z30">
        <v>21.372</v>
      </c>
      <c r="AA30">
        <v>228.399</v>
      </c>
      <c r="AB30">
        <v>132.06399999999999</v>
      </c>
      <c r="AC30">
        <v>858.88300000000004</v>
      </c>
      <c r="AD30">
        <v>10465.754999999999</v>
      </c>
      <c r="AE30">
        <v>1223.1510000000001</v>
      </c>
      <c r="AF30">
        <v>4989.2749999999996</v>
      </c>
      <c r="AG30">
        <v>288.10700000000003</v>
      </c>
      <c r="AH30">
        <v>18.79</v>
      </c>
      <c r="AI30">
        <v>29.863</v>
      </c>
      <c r="AJ30">
        <v>235.03100000000001</v>
      </c>
      <c r="AK30">
        <v>81.085999999999999</v>
      </c>
      <c r="AL30">
        <v>2385.81</v>
      </c>
      <c r="AM30">
        <v>189.80699999999999</v>
      </c>
      <c r="AN30">
        <v>147.822</v>
      </c>
      <c r="AO30">
        <v>191.25899999999999</v>
      </c>
      <c r="AP30">
        <v>802.54499999999996</v>
      </c>
      <c r="AQ30">
        <v>4283.473</v>
      </c>
      <c r="AR30">
        <v>1513.6130000000001</v>
      </c>
      <c r="AS30">
        <v>1022.1950000000001</v>
      </c>
      <c r="AT30">
        <v>17352.999</v>
      </c>
      <c r="AU30">
        <v>2686.8180000000002</v>
      </c>
      <c r="AV30">
        <v>7093.625</v>
      </c>
      <c r="AW30">
        <v>412.03300000000002</v>
      </c>
      <c r="AX30">
        <v>625.66899999999998</v>
      </c>
      <c r="AY30">
        <v>0</v>
      </c>
      <c r="AZ30">
        <v>60579.697999999997</v>
      </c>
      <c r="BA30">
        <v>272.69900000000001</v>
      </c>
      <c r="BB30">
        <v>22028.503000000001</v>
      </c>
      <c r="BC30">
        <v>635.16499999999996</v>
      </c>
      <c r="BD30">
        <v>4.4790000000000001</v>
      </c>
      <c r="BE30">
        <v>33.706000000000003</v>
      </c>
      <c r="BF30">
        <v>1.4790000000000001</v>
      </c>
      <c r="BG30">
        <v>99.191999999999993</v>
      </c>
      <c r="BH30">
        <v>-868.048</v>
      </c>
      <c r="BI30">
        <v>154252.579</v>
      </c>
    </row>
    <row r="31" spans="1:61" x14ac:dyDescent="0.25">
      <c r="A31" t="s">
        <v>972</v>
      </c>
      <c r="B31">
        <v>3152.7979999999998</v>
      </c>
      <c r="C31">
        <v>333.78199999999998</v>
      </c>
      <c r="D31">
        <v>22.305</v>
      </c>
      <c r="E31">
        <v>198.03700000000001</v>
      </c>
      <c r="F31">
        <v>2447.1489999999999</v>
      </c>
      <c r="G31">
        <v>172.09</v>
      </c>
      <c r="H31">
        <v>163.41800000000001</v>
      </c>
      <c r="I31">
        <v>217.655</v>
      </c>
      <c r="J31">
        <v>1208.203</v>
      </c>
      <c r="K31">
        <v>95.935000000000002</v>
      </c>
      <c r="L31">
        <v>203.02</v>
      </c>
      <c r="M31">
        <v>390.733</v>
      </c>
      <c r="N31">
        <v>552.75199999999995</v>
      </c>
      <c r="O31">
        <v>526.149</v>
      </c>
      <c r="P31">
        <v>198.869</v>
      </c>
      <c r="Q31">
        <v>356.55</v>
      </c>
      <c r="R31">
        <v>519.81299999999999</v>
      </c>
      <c r="S31">
        <v>401.06</v>
      </c>
      <c r="T31">
        <v>266.58600000000001</v>
      </c>
      <c r="U31">
        <v>1129.6949999999999</v>
      </c>
      <c r="V31">
        <v>161.99700000000001</v>
      </c>
      <c r="W31">
        <v>177.477</v>
      </c>
      <c r="X31">
        <v>604.23299999999995</v>
      </c>
      <c r="Y31">
        <v>899.57100000000003</v>
      </c>
      <c r="Z31">
        <v>75.864000000000004</v>
      </c>
      <c r="AA31">
        <v>293.70800000000003</v>
      </c>
      <c r="AB31">
        <v>759.61</v>
      </c>
      <c r="AC31">
        <v>4569.2889999999998</v>
      </c>
      <c r="AD31">
        <v>1669.57</v>
      </c>
      <c r="AE31">
        <v>146538.10699999999</v>
      </c>
      <c r="AF31">
        <v>18858.338</v>
      </c>
      <c r="AG31">
        <v>2542.21</v>
      </c>
      <c r="AH31">
        <v>80.006</v>
      </c>
      <c r="AI31">
        <v>101.732</v>
      </c>
      <c r="AJ31">
        <v>3367.4639999999999</v>
      </c>
      <c r="AK31">
        <v>327.584</v>
      </c>
      <c r="AL31">
        <v>5224.0410000000002</v>
      </c>
      <c r="AM31">
        <v>1066.9839999999999</v>
      </c>
      <c r="AN31">
        <v>4097.9430000000002</v>
      </c>
      <c r="AO31">
        <v>893.02</v>
      </c>
      <c r="AP31">
        <v>6224.326</v>
      </c>
      <c r="AQ31">
        <v>135513.68799999999</v>
      </c>
      <c r="AR31">
        <v>12293.169</v>
      </c>
      <c r="AS31">
        <v>4574.0219999999999</v>
      </c>
      <c r="AT31">
        <v>66646.437000000005</v>
      </c>
      <c r="AU31">
        <v>11902.602999999999</v>
      </c>
      <c r="AV31">
        <v>13986.228999999999</v>
      </c>
      <c r="AW31">
        <v>1517.5640000000001</v>
      </c>
      <c r="AX31">
        <v>2319.201</v>
      </c>
      <c r="AY31">
        <v>0</v>
      </c>
      <c r="AZ31">
        <v>467.11799999999999</v>
      </c>
      <c r="BA31">
        <v>229.946</v>
      </c>
      <c r="BB31">
        <v>1.054</v>
      </c>
      <c r="BC31">
        <v>1706056.388</v>
      </c>
      <c r="BD31">
        <v>19.100999999999999</v>
      </c>
      <c r="BE31">
        <v>593.34400000000005</v>
      </c>
      <c r="BF31">
        <v>1.6E-2</v>
      </c>
      <c r="BG31">
        <v>4.681</v>
      </c>
      <c r="BH31">
        <v>-2845.9870000000001</v>
      </c>
      <c r="BI31">
        <v>2164368.247</v>
      </c>
    </row>
    <row r="32" spans="1:61" x14ac:dyDescent="0.25">
      <c r="A32" t="s">
        <v>973</v>
      </c>
      <c r="B32">
        <v>75344.558999999994</v>
      </c>
      <c r="C32">
        <v>2035.0429999999999</v>
      </c>
      <c r="D32">
        <v>418.25799999999998</v>
      </c>
      <c r="E32">
        <v>1715.9739999999999</v>
      </c>
      <c r="F32">
        <v>30933.679</v>
      </c>
      <c r="G32">
        <v>2686.15</v>
      </c>
      <c r="H32">
        <v>2527.893</v>
      </c>
      <c r="I32">
        <v>1459.4280000000001</v>
      </c>
      <c r="J32">
        <v>179532.25899999999</v>
      </c>
      <c r="K32">
        <v>9301.6569999999992</v>
      </c>
      <c r="L32">
        <v>20170.798999999999</v>
      </c>
      <c r="M32">
        <v>31865.455999999998</v>
      </c>
      <c r="N32">
        <v>44209.561000000002</v>
      </c>
      <c r="O32">
        <v>67113.491999999998</v>
      </c>
      <c r="P32">
        <v>22439.632000000001</v>
      </c>
      <c r="Q32">
        <v>43412.055</v>
      </c>
      <c r="R32">
        <v>18308.292000000001</v>
      </c>
      <c r="S32">
        <v>21464.174999999999</v>
      </c>
      <c r="T32">
        <v>9421.0400000000009</v>
      </c>
      <c r="U32">
        <v>44736.709000000003</v>
      </c>
      <c r="V32">
        <v>30909.687999999998</v>
      </c>
      <c r="W32">
        <v>13539.884</v>
      </c>
      <c r="X32">
        <v>49867.226999999999</v>
      </c>
      <c r="Y32">
        <v>123937.78200000001</v>
      </c>
      <c r="Z32">
        <v>3385.1190000000001</v>
      </c>
      <c r="AA32">
        <v>28098.134999999998</v>
      </c>
      <c r="AB32">
        <v>26092.55</v>
      </c>
      <c r="AC32">
        <v>19383.903999999999</v>
      </c>
      <c r="AD32">
        <v>7193.4290000000001</v>
      </c>
      <c r="AE32">
        <v>162263.489</v>
      </c>
      <c r="AF32">
        <v>239406.946</v>
      </c>
      <c r="AG32">
        <v>76689.354999999996</v>
      </c>
      <c r="AH32">
        <v>4939.5200000000004</v>
      </c>
      <c r="AI32">
        <v>17227.485000000001</v>
      </c>
      <c r="AJ32">
        <v>14712.415999999999</v>
      </c>
      <c r="AK32">
        <v>3982.6770000000001</v>
      </c>
      <c r="AL32">
        <v>97597.313999999998</v>
      </c>
      <c r="AM32">
        <v>34885.071000000004</v>
      </c>
      <c r="AN32">
        <v>20783.990000000002</v>
      </c>
      <c r="AO32">
        <v>21017.282999999999</v>
      </c>
      <c r="AP32">
        <v>28172.328000000001</v>
      </c>
      <c r="AQ32">
        <v>45932.057000000001</v>
      </c>
      <c r="AR32">
        <v>56579.334999999999</v>
      </c>
      <c r="AS32">
        <v>73735.256999999998</v>
      </c>
      <c r="AT32">
        <v>92757.922000000006</v>
      </c>
      <c r="AU32">
        <v>34958.642</v>
      </c>
      <c r="AV32">
        <v>140399.23000000001</v>
      </c>
      <c r="AW32">
        <v>10923.342000000001</v>
      </c>
      <c r="AX32">
        <v>20137.036</v>
      </c>
      <c r="AY32">
        <v>0</v>
      </c>
      <c r="AZ32">
        <v>1994587.088</v>
      </c>
      <c r="BA32">
        <v>2352.4259999999999</v>
      </c>
      <c r="BB32">
        <v>2369.6799999999998</v>
      </c>
      <c r="BC32">
        <v>722161.07499999995</v>
      </c>
      <c r="BD32">
        <v>6013.6040000000003</v>
      </c>
      <c r="BE32">
        <v>7830.1610000000001</v>
      </c>
      <c r="BF32">
        <v>7472.991</v>
      </c>
      <c r="BG32">
        <v>401364.77399999998</v>
      </c>
      <c r="BH32">
        <v>-389392.18800000002</v>
      </c>
      <c r="BI32">
        <v>4883364.1349999998</v>
      </c>
    </row>
    <row r="33" spans="1:61" x14ac:dyDescent="0.25">
      <c r="A33" t="s">
        <v>974</v>
      </c>
      <c r="B33">
        <v>10998.664000000001</v>
      </c>
      <c r="C33">
        <v>944.18100000000004</v>
      </c>
      <c r="D33">
        <v>61.414999999999999</v>
      </c>
      <c r="E33">
        <v>1084.402</v>
      </c>
      <c r="F33">
        <v>17277.491999999998</v>
      </c>
      <c r="G33">
        <v>938.25699999999995</v>
      </c>
      <c r="H33">
        <v>1676.425</v>
      </c>
      <c r="I33">
        <v>628.90200000000004</v>
      </c>
      <c r="J33">
        <v>31665.116999999998</v>
      </c>
      <c r="K33">
        <v>1202.6030000000001</v>
      </c>
      <c r="L33">
        <v>6565.67</v>
      </c>
      <c r="M33">
        <v>6964.0739999999996</v>
      </c>
      <c r="N33">
        <v>23987.277999999998</v>
      </c>
      <c r="O33">
        <v>10126.575000000001</v>
      </c>
      <c r="P33">
        <v>3056.2080000000001</v>
      </c>
      <c r="Q33">
        <v>5944.5889999999999</v>
      </c>
      <c r="R33">
        <v>7512.1880000000001</v>
      </c>
      <c r="S33">
        <v>6759.1220000000003</v>
      </c>
      <c r="T33">
        <v>3031.306</v>
      </c>
      <c r="U33">
        <v>10304.744000000001</v>
      </c>
      <c r="V33">
        <v>4111.67</v>
      </c>
      <c r="W33">
        <v>2588.3760000000002</v>
      </c>
      <c r="X33">
        <v>8829.6290000000008</v>
      </c>
      <c r="Y33">
        <v>15931.721</v>
      </c>
      <c r="Z33">
        <v>518.94200000000001</v>
      </c>
      <c r="AA33">
        <v>5386.5209999999997</v>
      </c>
      <c r="AB33">
        <v>5588.2489999999998</v>
      </c>
      <c r="AC33">
        <v>8656.8259999999991</v>
      </c>
      <c r="AD33">
        <v>2427.873</v>
      </c>
      <c r="AE33">
        <v>39910.951000000001</v>
      </c>
      <c r="AF33">
        <v>97535.710999999996</v>
      </c>
      <c r="AG33">
        <v>32356.094000000001</v>
      </c>
      <c r="AH33">
        <v>709.71799999999996</v>
      </c>
      <c r="AI33">
        <v>1827.414</v>
      </c>
      <c r="AJ33">
        <v>12919.152</v>
      </c>
      <c r="AK33">
        <v>6239.6350000000002</v>
      </c>
      <c r="AL33">
        <v>14273.130999999999</v>
      </c>
      <c r="AM33">
        <v>9038.9529999999995</v>
      </c>
      <c r="AN33">
        <v>3526.1109999999999</v>
      </c>
      <c r="AO33">
        <v>3001.154</v>
      </c>
      <c r="AP33">
        <v>8886.4120000000003</v>
      </c>
      <c r="AQ33">
        <v>10290.606</v>
      </c>
      <c r="AR33">
        <v>15191.19</v>
      </c>
      <c r="AS33">
        <v>13302.258</v>
      </c>
      <c r="AT33">
        <v>28456.699000000001</v>
      </c>
      <c r="AU33">
        <v>12897.499</v>
      </c>
      <c r="AV33">
        <v>25952.707999999999</v>
      </c>
      <c r="AW33">
        <v>2346.4450000000002</v>
      </c>
      <c r="AX33">
        <v>5390.5190000000002</v>
      </c>
      <c r="AY33">
        <v>0</v>
      </c>
      <c r="AZ33">
        <v>188802.886</v>
      </c>
      <c r="BA33">
        <v>248.827</v>
      </c>
      <c r="BB33">
        <v>882.30100000000004</v>
      </c>
      <c r="BC33">
        <v>69242.06</v>
      </c>
      <c r="BD33">
        <v>711.66800000000001</v>
      </c>
      <c r="BE33">
        <v>11083.621999999999</v>
      </c>
      <c r="BF33">
        <v>9101.1170000000002</v>
      </c>
      <c r="BG33">
        <v>46791.413</v>
      </c>
      <c r="BH33">
        <v>-68091.462</v>
      </c>
      <c r="BI33">
        <v>807593.81099999999</v>
      </c>
    </row>
    <row r="34" spans="1:61" x14ac:dyDescent="0.25">
      <c r="A34" t="s">
        <v>975</v>
      </c>
      <c r="B34">
        <v>643.70600000000002</v>
      </c>
      <c r="C34">
        <v>214.15</v>
      </c>
      <c r="D34">
        <v>27.309000000000001</v>
      </c>
      <c r="E34">
        <v>52.037999999999997</v>
      </c>
      <c r="F34">
        <v>2906.9830000000002</v>
      </c>
      <c r="G34">
        <v>61.356000000000002</v>
      </c>
      <c r="H34">
        <v>164.60900000000001</v>
      </c>
      <c r="I34">
        <v>35.590000000000003</v>
      </c>
      <c r="J34">
        <v>2227.7310000000002</v>
      </c>
      <c r="K34">
        <v>157.81</v>
      </c>
      <c r="L34">
        <v>496.42899999999997</v>
      </c>
      <c r="M34">
        <v>582.57100000000003</v>
      </c>
      <c r="N34">
        <v>2915.8110000000001</v>
      </c>
      <c r="O34">
        <v>984.41600000000005</v>
      </c>
      <c r="P34">
        <v>243.596</v>
      </c>
      <c r="Q34">
        <v>584.22199999999998</v>
      </c>
      <c r="R34">
        <v>423.35300000000001</v>
      </c>
      <c r="S34">
        <v>586.92999999999995</v>
      </c>
      <c r="T34">
        <v>386.197</v>
      </c>
      <c r="U34">
        <v>864.05</v>
      </c>
      <c r="V34">
        <v>544.10699999999997</v>
      </c>
      <c r="W34">
        <v>341.10300000000001</v>
      </c>
      <c r="X34">
        <v>819.28599999999994</v>
      </c>
      <c r="Y34">
        <v>1646.11</v>
      </c>
      <c r="Z34">
        <v>51.514000000000003</v>
      </c>
      <c r="AA34">
        <v>514.97900000000004</v>
      </c>
      <c r="AB34">
        <v>462.04</v>
      </c>
      <c r="AC34">
        <v>659.154</v>
      </c>
      <c r="AD34">
        <v>93.906000000000006</v>
      </c>
      <c r="AE34">
        <v>2626.08</v>
      </c>
      <c r="AF34">
        <v>15564.322</v>
      </c>
      <c r="AG34">
        <v>2330.4589999999998</v>
      </c>
      <c r="AH34">
        <v>7774.1509999999998</v>
      </c>
      <c r="AI34">
        <v>209.69200000000001</v>
      </c>
      <c r="AJ34">
        <v>5368.2939999999999</v>
      </c>
      <c r="AK34">
        <v>178.51400000000001</v>
      </c>
      <c r="AL34">
        <v>813.92899999999997</v>
      </c>
      <c r="AM34">
        <v>395.22300000000001</v>
      </c>
      <c r="AN34">
        <v>306.17899999999997</v>
      </c>
      <c r="AO34">
        <v>275.39100000000002</v>
      </c>
      <c r="AP34">
        <v>381.52199999999999</v>
      </c>
      <c r="AQ34">
        <v>470.50299999999999</v>
      </c>
      <c r="AR34">
        <v>1457.845</v>
      </c>
      <c r="AS34">
        <v>1164.578</v>
      </c>
      <c r="AT34">
        <v>2298.8719999999998</v>
      </c>
      <c r="AU34">
        <v>443.98500000000001</v>
      </c>
      <c r="AV34">
        <v>1410.1310000000001</v>
      </c>
      <c r="AW34">
        <v>206.815</v>
      </c>
      <c r="AX34">
        <v>266.42099999999999</v>
      </c>
      <c r="AY34">
        <v>0</v>
      </c>
      <c r="AZ34">
        <v>26841.136999999999</v>
      </c>
      <c r="BA34">
        <v>15.619</v>
      </c>
      <c r="BB34">
        <v>38.307000000000002</v>
      </c>
      <c r="BC34">
        <v>11342.763999999999</v>
      </c>
      <c r="BD34">
        <v>128.922</v>
      </c>
      <c r="BE34">
        <v>2511.4290000000001</v>
      </c>
      <c r="BF34">
        <v>1783.8620000000001</v>
      </c>
      <c r="BG34">
        <v>6847.5339999999997</v>
      </c>
      <c r="BH34">
        <v>-47118.608</v>
      </c>
      <c r="BI34">
        <v>66024.932000000001</v>
      </c>
    </row>
    <row r="35" spans="1:61" x14ac:dyDescent="0.25">
      <c r="A35" t="s">
        <v>976</v>
      </c>
      <c r="B35">
        <v>1118.1089999999999</v>
      </c>
      <c r="C35">
        <v>372.02199999999999</v>
      </c>
      <c r="D35">
        <v>7.9530000000000003</v>
      </c>
      <c r="E35">
        <v>40.993000000000002</v>
      </c>
      <c r="F35">
        <v>4757.2529999999997</v>
      </c>
      <c r="G35">
        <v>55.414999999999999</v>
      </c>
      <c r="H35">
        <v>100.06699999999999</v>
      </c>
      <c r="I35">
        <v>56.319000000000003</v>
      </c>
      <c r="J35">
        <v>2824.261</v>
      </c>
      <c r="K35">
        <v>199.596</v>
      </c>
      <c r="L35">
        <v>1374.71</v>
      </c>
      <c r="M35">
        <v>785.77300000000002</v>
      </c>
      <c r="N35">
        <v>2062.3440000000001</v>
      </c>
      <c r="O35">
        <v>1053.4639999999999</v>
      </c>
      <c r="P35">
        <v>597.85799999999995</v>
      </c>
      <c r="Q35">
        <v>763.46799999999996</v>
      </c>
      <c r="R35">
        <v>465.34</v>
      </c>
      <c r="S35">
        <v>333.92599999999999</v>
      </c>
      <c r="T35">
        <v>306.92399999999998</v>
      </c>
      <c r="U35">
        <v>832.48400000000004</v>
      </c>
      <c r="V35">
        <v>721.06100000000004</v>
      </c>
      <c r="W35">
        <v>501.96600000000001</v>
      </c>
      <c r="X35">
        <v>1264.0319999999999</v>
      </c>
      <c r="Y35">
        <v>2020.7660000000001</v>
      </c>
      <c r="Z35">
        <v>59.917999999999999</v>
      </c>
      <c r="AA35">
        <v>638.57899999999995</v>
      </c>
      <c r="AB35">
        <v>759.17700000000002</v>
      </c>
      <c r="AC35">
        <v>696.45100000000002</v>
      </c>
      <c r="AD35">
        <v>223.35400000000001</v>
      </c>
      <c r="AE35">
        <v>4333.9449999999997</v>
      </c>
      <c r="AF35">
        <v>17689.739000000001</v>
      </c>
      <c r="AG35">
        <v>1255.979</v>
      </c>
      <c r="AH35">
        <v>102.80200000000001</v>
      </c>
      <c r="AI35">
        <v>9253.4889999999996</v>
      </c>
      <c r="AJ35">
        <v>5193.54</v>
      </c>
      <c r="AK35">
        <v>2321.2399999999998</v>
      </c>
      <c r="AL35">
        <v>2235.9189999999999</v>
      </c>
      <c r="AM35">
        <v>1728.38</v>
      </c>
      <c r="AN35">
        <v>1377.2329999999999</v>
      </c>
      <c r="AO35">
        <v>2423.7979999999998</v>
      </c>
      <c r="AP35">
        <v>10130.198</v>
      </c>
      <c r="AQ35">
        <v>4155.1480000000001</v>
      </c>
      <c r="AR35">
        <v>9079.4419999999991</v>
      </c>
      <c r="AS35">
        <v>9140.2669999999998</v>
      </c>
      <c r="AT35">
        <v>16561.376</v>
      </c>
      <c r="AU35">
        <v>3480.442</v>
      </c>
      <c r="AV35">
        <v>6620.2020000000002</v>
      </c>
      <c r="AW35">
        <v>1119.7080000000001</v>
      </c>
      <c r="AX35">
        <v>2124.9580000000001</v>
      </c>
      <c r="AY35">
        <v>0</v>
      </c>
      <c r="AZ35">
        <v>122025.927</v>
      </c>
      <c r="BA35">
        <v>36.518000000000001</v>
      </c>
      <c r="BB35">
        <v>47.633000000000003</v>
      </c>
      <c r="BC35">
        <v>14566.221</v>
      </c>
      <c r="BD35">
        <v>56.537999999999997</v>
      </c>
      <c r="BE35">
        <v>7526.8890000000001</v>
      </c>
      <c r="BF35">
        <v>4601.9250000000002</v>
      </c>
      <c r="BG35">
        <v>25954.127</v>
      </c>
      <c r="BH35">
        <v>-57542.76</v>
      </c>
      <c r="BI35">
        <v>252594.408</v>
      </c>
    </row>
    <row r="36" spans="1:61" x14ac:dyDescent="0.25">
      <c r="A36" t="s">
        <v>977</v>
      </c>
      <c r="B36">
        <v>3443.8789999999999</v>
      </c>
      <c r="C36">
        <v>323.31700000000001</v>
      </c>
      <c r="D36">
        <v>62.542000000000002</v>
      </c>
      <c r="E36">
        <v>524.21699999999998</v>
      </c>
      <c r="F36">
        <v>6972.3459999999995</v>
      </c>
      <c r="G36">
        <v>412.11799999999999</v>
      </c>
      <c r="H36">
        <v>463.33699999999999</v>
      </c>
      <c r="I36">
        <v>364.726</v>
      </c>
      <c r="J36">
        <v>12023.179</v>
      </c>
      <c r="K36">
        <v>535.20299999999997</v>
      </c>
      <c r="L36">
        <v>1957.808</v>
      </c>
      <c r="M36">
        <v>2776.1329999999998</v>
      </c>
      <c r="N36">
        <v>7215.0780000000004</v>
      </c>
      <c r="O36">
        <v>3454.1709999999998</v>
      </c>
      <c r="P36">
        <v>1355.3779999999999</v>
      </c>
      <c r="Q36">
        <v>1759.192</v>
      </c>
      <c r="R36">
        <v>1904.924</v>
      </c>
      <c r="S36">
        <v>1542.8979999999999</v>
      </c>
      <c r="T36">
        <v>805.90599999999995</v>
      </c>
      <c r="U36">
        <v>2796.567</v>
      </c>
      <c r="V36">
        <v>1091.087</v>
      </c>
      <c r="W36">
        <v>821.40099999999995</v>
      </c>
      <c r="X36">
        <v>2525.114</v>
      </c>
      <c r="Y36">
        <v>6910.5060000000003</v>
      </c>
      <c r="Z36">
        <v>151.83199999999999</v>
      </c>
      <c r="AA36">
        <v>1578.2670000000001</v>
      </c>
      <c r="AB36">
        <v>1710.42</v>
      </c>
      <c r="AC36">
        <v>2311.2620000000002</v>
      </c>
      <c r="AD36">
        <v>1134.3409999999999</v>
      </c>
      <c r="AE36">
        <v>9702.6509999999998</v>
      </c>
      <c r="AF36">
        <v>122384.40399999999</v>
      </c>
      <c r="AG36">
        <v>35682.442999999999</v>
      </c>
      <c r="AH36">
        <v>7042.0510000000004</v>
      </c>
      <c r="AI36">
        <v>19094.440999999999</v>
      </c>
      <c r="AJ36">
        <v>46374.858999999997</v>
      </c>
      <c r="AK36">
        <v>3006.9609999999998</v>
      </c>
      <c r="AL36">
        <v>4745.9470000000001</v>
      </c>
      <c r="AM36">
        <v>2553.6709999999998</v>
      </c>
      <c r="AN36">
        <v>2438.5430000000001</v>
      </c>
      <c r="AO36">
        <v>2018.3409999999999</v>
      </c>
      <c r="AP36">
        <v>3639.8919999999998</v>
      </c>
      <c r="AQ36">
        <v>3027.6179999999999</v>
      </c>
      <c r="AR36">
        <v>8491.8970000000008</v>
      </c>
      <c r="AS36">
        <v>7371.9359999999997</v>
      </c>
      <c r="AT36">
        <v>15255.355</v>
      </c>
      <c r="AU36">
        <v>2027.9059999999999</v>
      </c>
      <c r="AV36">
        <v>4218.2219999999998</v>
      </c>
      <c r="AW36">
        <v>1200.6220000000001</v>
      </c>
      <c r="AX36">
        <v>1920.9970000000001</v>
      </c>
      <c r="AY36">
        <v>0</v>
      </c>
      <c r="AZ36">
        <v>51141.273999999998</v>
      </c>
      <c r="BA36">
        <v>209.428</v>
      </c>
      <c r="BB36">
        <v>88.731999999999999</v>
      </c>
      <c r="BC36">
        <v>13800.681</v>
      </c>
      <c r="BD36">
        <v>159.41399999999999</v>
      </c>
      <c r="BE36">
        <v>699.02300000000002</v>
      </c>
      <c r="BF36">
        <v>238.107</v>
      </c>
      <c r="BG36">
        <v>9310.6779999999999</v>
      </c>
      <c r="BH36">
        <v>-18375.624</v>
      </c>
      <c r="BI36">
        <v>428397.61900000001</v>
      </c>
    </row>
    <row r="37" spans="1:61" x14ac:dyDescent="0.25">
      <c r="A37" t="s">
        <v>978</v>
      </c>
      <c r="B37">
        <v>588.25199999999995</v>
      </c>
      <c r="C37">
        <v>23.126999999999999</v>
      </c>
      <c r="D37">
        <v>4.3540000000000001</v>
      </c>
      <c r="E37">
        <v>41.164999999999999</v>
      </c>
      <c r="F37">
        <v>609.47500000000002</v>
      </c>
      <c r="G37">
        <v>25.669</v>
      </c>
      <c r="H37">
        <v>32.270000000000003</v>
      </c>
      <c r="I37">
        <v>39.435000000000002</v>
      </c>
      <c r="J37">
        <v>588.37</v>
      </c>
      <c r="K37">
        <v>84.073999999999998</v>
      </c>
      <c r="L37">
        <v>122.04</v>
      </c>
      <c r="M37">
        <v>387.363</v>
      </c>
      <c r="N37">
        <v>74.84</v>
      </c>
      <c r="O37">
        <v>221.76</v>
      </c>
      <c r="P37">
        <v>241.655</v>
      </c>
      <c r="Q37">
        <v>164.48500000000001</v>
      </c>
      <c r="R37">
        <v>98.686999999999998</v>
      </c>
      <c r="S37">
        <v>55.383000000000003</v>
      </c>
      <c r="T37">
        <v>37.457999999999998</v>
      </c>
      <c r="U37">
        <v>230.89400000000001</v>
      </c>
      <c r="V37">
        <v>99.367000000000004</v>
      </c>
      <c r="W37">
        <v>76.409000000000006</v>
      </c>
      <c r="X37">
        <v>397.87099999999998</v>
      </c>
      <c r="Y37">
        <v>465.04500000000002</v>
      </c>
      <c r="Z37">
        <v>16.824000000000002</v>
      </c>
      <c r="AA37">
        <v>131.67500000000001</v>
      </c>
      <c r="AB37">
        <v>208.63800000000001</v>
      </c>
      <c r="AC37">
        <v>612.70500000000004</v>
      </c>
      <c r="AD37">
        <v>161.131</v>
      </c>
      <c r="AE37">
        <v>1038.8230000000001</v>
      </c>
      <c r="AF37">
        <v>33906.254000000001</v>
      </c>
      <c r="AG37">
        <v>1048.8699999999999</v>
      </c>
      <c r="AH37">
        <v>34.759</v>
      </c>
      <c r="AI37">
        <v>148.52799999999999</v>
      </c>
      <c r="AJ37">
        <v>1536.5619999999999</v>
      </c>
      <c r="AK37">
        <v>22027.843000000001</v>
      </c>
      <c r="AL37">
        <v>2962.3029999999999</v>
      </c>
      <c r="AM37">
        <v>4634.6809999999996</v>
      </c>
      <c r="AN37">
        <v>4489.0839999999998</v>
      </c>
      <c r="AO37">
        <v>2147.1860000000001</v>
      </c>
      <c r="AP37">
        <v>25884.514999999999</v>
      </c>
      <c r="AQ37">
        <v>6265.9160000000002</v>
      </c>
      <c r="AR37">
        <v>9280.0810000000001</v>
      </c>
      <c r="AS37">
        <v>5080.0479999999998</v>
      </c>
      <c r="AT37">
        <v>23849.406999999999</v>
      </c>
      <c r="AU37">
        <v>4244.4690000000001</v>
      </c>
      <c r="AV37">
        <v>7397.2030000000004</v>
      </c>
      <c r="AW37">
        <v>1155.731</v>
      </c>
      <c r="AX37">
        <v>3868.55</v>
      </c>
      <c r="AY37">
        <v>0</v>
      </c>
      <c r="AZ37">
        <v>22759.62</v>
      </c>
      <c r="BA37">
        <v>0.7</v>
      </c>
      <c r="BB37">
        <v>0.36</v>
      </c>
      <c r="BC37">
        <v>76.093000000000004</v>
      </c>
      <c r="BD37">
        <v>155.16</v>
      </c>
      <c r="BE37">
        <v>259.06700000000001</v>
      </c>
      <c r="BF37">
        <v>161.69300000000001</v>
      </c>
      <c r="BG37">
        <v>17471.953000000001</v>
      </c>
      <c r="BH37">
        <v>-1426.625</v>
      </c>
      <c r="BI37">
        <v>206299.25399999999</v>
      </c>
    </row>
    <row r="38" spans="1:61" x14ac:dyDescent="0.25">
      <c r="A38" t="s">
        <v>979</v>
      </c>
      <c r="B38">
        <v>513.11300000000006</v>
      </c>
      <c r="C38">
        <v>73.465000000000003</v>
      </c>
      <c r="D38">
        <v>5.1420000000000003</v>
      </c>
      <c r="E38">
        <v>54.024999999999999</v>
      </c>
      <c r="F38">
        <v>1731.8219999999999</v>
      </c>
      <c r="G38">
        <v>177.91300000000001</v>
      </c>
      <c r="H38">
        <v>93.742000000000004</v>
      </c>
      <c r="I38">
        <v>71.215000000000003</v>
      </c>
      <c r="J38">
        <v>1749.9349999999999</v>
      </c>
      <c r="K38">
        <v>151.38800000000001</v>
      </c>
      <c r="L38">
        <v>223.27600000000001</v>
      </c>
      <c r="M38">
        <v>414.762</v>
      </c>
      <c r="N38">
        <v>341.065</v>
      </c>
      <c r="O38">
        <v>778.13199999999995</v>
      </c>
      <c r="P38">
        <v>501.83</v>
      </c>
      <c r="Q38">
        <v>536.51499999999999</v>
      </c>
      <c r="R38">
        <v>250.59399999999999</v>
      </c>
      <c r="S38">
        <v>226.62899999999999</v>
      </c>
      <c r="T38">
        <v>138.99100000000001</v>
      </c>
      <c r="U38">
        <v>701.15200000000004</v>
      </c>
      <c r="V38">
        <v>284.66899999999998</v>
      </c>
      <c r="W38">
        <v>251.18700000000001</v>
      </c>
      <c r="X38">
        <v>723.04499999999996</v>
      </c>
      <c r="Y38">
        <v>760.904</v>
      </c>
      <c r="Z38">
        <v>40.28</v>
      </c>
      <c r="AA38">
        <v>317.31099999999998</v>
      </c>
      <c r="AB38">
        <v>407.43099999999998</v>
      </c>
      <c r="AC38">
        <v>651.80700000000002</v>
      </c>
      <c r="AD38">
        <v>403.43400000000003</v>
      </c>
      <c r="AE38">
        <v>3672.3009999999999</v>
      </c>
      <c r="AF38">
        <v>20436.293000000001</v>
      </c>
      <c r="AG38">
        <v>2960.5520000000001</v>
      </c>
      <c r="AH38">
        <v>258.178</v>
      </c>
      <c r="AI38">
        <v>1322.116</v>
      </c>
      <c r="AJ38">
        <v>1696.64</v>
      </c>
      <c r="AK38">
        <v>436.18400000000003</v>
      </c>
      <c r="AL38">
        <v>7322.1310000000003</v>
      </c>
      <c r="AM38">
        <v>5116.3239999999996</v>
      </c>
      <c r="AN38">
        <v>1870.105</v>
      </c>
      <c r="AO38">
        <v>4124.6239999999998</v>
      </c>
      <c r="AP38">
        <v>12936.647000000001</v>
      </c>
      <c r="AQ38">
        <v>7054.8590000000004</v>
      </c>
      <c r="AR38">
        <v>14834.041999999999</v>
      </c>
      <c r="AS38">
        <v>10786.49</v>
      </c>
      <c r="AT38">
        <v>26209.044999999998</v>
      </c>
      <c r="AU38">
        <v>10463.174999999999</v>
      </c>
      <c r="AV38">
        <v>21061.46</v>
      </c>
      <c r="AW38">
        <v>7489.1580000000004</v>
      </c>
      <c r="AX38">
        <v>5638.107</v>
      </c>
      <c r="AY38">
        <v>0</v>
      </c>
      <c r="AZ38">
        <v>1159020.5060000001</v>
      </c>
      <c r="BA38">
        <v>10132.047</v>
      </c>
      <c r="BB38">
        <v>6059.0069999999996</v>
      </c>
      <c r="BC38">
        <v>4780.7539999999999</v>
      </c>
      <c r="BD38">
        <v>3.069</v>
      </c>
      <c r="BE38">
        <v>64724.756999999998</v>
      </c>
      <c r="BF38">
        <v>37958.256999999998</v>
      </c>
      <c r="BG38">
        <v>1285.829</v>
      </c>
      <c r="BH38">
        <v>-65171.375</v>
      </c>
      <c r="BI38">
        <v>1397056.0560000001</v>
      </c>
    </row>
    <row r="39" spans="1:61" x14ac:dyDescent="0.25">
      <c r="A39" t="s">
        <v>980</v>
      </c>
      <c r="B39">
        <v>1213.7560000000001</v>
      </c>
      <c r="C39">
        <v>52.918999999999997</v>
      </c>
      <c r="D39">
        <v>8.0860000000000003</v>
      </c>
      <c r="E39">
        <v>49.759</v>
      </c>
      <c r="F39">
        <v>1572.2190000000001</v>
      </c>
      <c r="G39">
        <v>90.680999999999997</v>
      </c>
      <c r="H39">
        <v>79.912999999999997</v>
      </c>
      <c r="I39">
        <v>72.36</v>
      </c>
      <c r="J39">
        <v>5862.3670000000002</v>
      </c>
      <c r="K39">
        <v>272.58300000000003</v>
      </c>
      <c r="L39">
        <v>481.23599999999999</v>
      </c>
      <c r="M39">
        <v>1474.723</v>
      </c>
      <c r="N39">
        <v>741.73900000000003</v>
      </c>
      <c r="O39">
        <v>1840.7919999999999</v>
      </c>
      <c r="P39">
        <v>1405.0730000000001</v>
      </c>
      <c r="Q39">
        <v>978.23199999999997</v>
      </c>
      <c r="R39">
        <v>488.12599999999998</v>
      </c>
      <c r="S39">
        <v>480.72699999999998</v>
      </c>
      <c r="T39">
        <v>262.435</v>
      </c>
      <c r="U39">
        <v>1071.654</v>
      </c>
      <c r="V39">
        <v>824.19600000000003</v>
      </c>
      <c r="W39">
        <v>511.38600000000002</v>
      </c>
      <c r="X39">
        <v>1292.297</v>
      </c>
      <c r="Y39">
        <v>2226.4270000000001</v>
      </c>
      <c r="Z39">
        <v>96.727999999999994</v>
      </c>
      <c r="AA39">
        <v>971.56600000000003</v>
      </c>
      <c r="AB39">
        <v>924.44500000000005</v>
      </c>
      <c r="AC39">
        <v>929.75900000000001</v>
      </c>
      <c r="AD39">
        <v>373.74599999999998</v>
      </c>
      <c r="AE39">
        <v>4924.84</v>
      </c>
      <c r="AF39">
        <v>34667.557000000001</v>
      </c>
      <c r="AG39">
        <v>2086.0630000000001</v>
      </c>
      <c r="AH39">
        <v>157.34</v>
      </c>
      <c r="AI39">
        <v>645.05399999999997</v>
      </c>
      <c r="AJ39">
        <v>1148.2149999999999</v>
      </c>
      <c r="AK39">
        <v>559.91</v>
      </c>
      <c r="AL39">
        <v>10531.558000000001</v>
      </c>
      <c r="AM39">
        <v>145399.65900000001</v>
      </c>
      <c r="AN39">
        <v>22631.153999999999</v>
      </c>
      <c r="AO39">
        <v>17404.273000000001</v>
      </c>
      <c r="AP39">
        <v>17233.762999999999</v>
      </c>
      <c r="AQ39">
        <v>14938.837</v>
      </c>
      <c r="AR39">
        <v>56452.7</v>
      </c>
      <c r="AS39">
        <v>11243.683000000001</v>
      </c>
      <c r="AT39">
        <v>26058.748</v>
      </c>
      <c r="AU39">
        <v>23209.093000000001</v>
      </c>
      <c r="AV39">
        <v>13311.236000000001</v>
      </c>
      <c r="AW39">
        <v>11046.427</v>
      </c>
      <c r="AX39">
        <v>8661.5820000000003</v>
      </c>
      <c r="AY39">
        <v>0</v>
      </c>
      <c r="AZ39">
        <v>204261.69399999999</v>
      </c>
      <c r="BA39">
        <v>8897.1479999999992</v>
      </c>
      <c r="BB39">
        <v>27759.187000000002</v>
      </c>
      <c r="BC39">
        <v>230929.03200000001</v>
      </c>
      <c r="BD39">
        <v>94.453000000000003</v>
      </c>
      <c r="BE39">
        <v>681.99599999999998</v>
      </c>
      <c r="BF39">
        <v>1323.3579999999999</v>
      </c>
      <c r="BG39">
        <v>64766.144</v>
      </c>
      <c r="BH39">
        <v>-30495.331999999999</v>
      </c>
      <c r="BI39">
        <v>957179.30099999998</v>
      </c>
    </row>
    <row r="40" spans="1:61" x14ac:dyDescent="0.25">
      <c r="A40" t="s">
        <v>981</v>
      </c>
      <c r="B40">
        <v>673.79100000000005</v>
      </c>
      <c r="C40">
        <v>67.435000000000002</v>
      </c>
      <c r="D40">
        <v>11.401999999999999</v>
      </c>
      <c r="E40">
        <v>110.074</v>
      </c>
      <c r="F40">
        <v>3120.75</v>
      </c>
      <c r="G40">
        <v>73.847999999999999</v>
      </c>
      <c r="H40">
        <v>104.666</v>
      </c>
      <c r="I40">
        <v>92.36</v>
      </c>
      <c r="J40">
        <v>1554.8630000000001</v>
      </c>
      <c r="K40">
        <v>167.64699999999999</v>
      </c>
      <c r="L40">
        <v>255.38399999999999</v>
      </c>
      <c r="M40">
        <v>581.01599999999996</v>
      </c>
      <c r="N40">
        <v>332.255</v>
      </c>
      <c r="O40">
        <v>519.96900000000005</v>
      </c>
      <c r="P40">
        <v>643.52300000000002</v>
      </c>
      <c r="Q40">
        <v>394.18</v>
      </c>
      <c r="R40">
        <v>271.56400000000002</v>
      </c>
      <c r="S40">
        <v>163.69499999999999</v>
      </c>
      <c r="T40">
        <v>138.63300000000001</v>
      </c>
      <c r="U40">
        <v>667.29300000000001</v>
      </c>
      <c r="V40">
        <v>452.55900000000003</v>
      </c>
      <c r="W40">
        <v>253.42599999999999</v>
      </c>
      <c r="X40">
        <v>996.89800000000002</v>
      </c>
      <c r="Y40">
        <v>1551.9449999999999</v>
      </c>
      <c r="Z40">
        <v>38.978999999999999</v>
      </c>
      <c r="AA40">
        <v>355.89600000000002</v>
      </c>
      <c r="AB40">
        <v>551.61500000000001</v>
      </c>
      <c r="AC40">
        <v>757.34799999999996</v>
      </c>
      <c r="AD40">
        <v>344.55200000000002</v>
      </c>
      <c r="AE40">
        <v>4020.4940000000001</v>
      </c>
      <c r="AF40">
        <v>27724.862000000001</v>
      </c>
      <c r="AG40">
        <v>2647.2689999999998</v>
      </c>
      <c r="AH40">
        <v>214.33600000000001</v>
      </c>
      <c r="AI40">
        <v>573.14599999999996</v>
      </c>
      <c r="AJ40">
        <v>1596.8340000000001</v>
      </c>
      <c r="AK40">
        <v>987.17</v>
      </c>
      <c r="AL40">
        <v>6745.8</v>
      </c>
      <c r="AM40">
        <v>6641.9690000000001</v>
      </c>
      <c r="AN40">
        <v>64333.088000000003</v>
      </c>
      <c r="AO40">
        <v>9596.8240000000005</v>
      </c>
      <c r="AP40">
        <v>23135.345000000001</v>
      </c>
      <c r="AQ40">
        <v>14122.992</v>
      </c>
      <c r="AR40">
        <v>14845.937</v>
      </c>
      <c r="AS40">
        <v>11998.218999999999</v>
      </c>
      <c r="AT40">
        <v>33588.334999999999</v>
      </c>
      <c r="AU40">
        <v>6274.09</v>
      </c>
      <c r="AV40">
        <v>14857.47</v>
      </c>
      <c r="AW40">
        <v>2454.1590000000001</v>
      </c>
      <c r="AX40">
        <v>4752.8969999999999</v>
      </c>
      <c r="AY40">
        <v>0</v>
      </c>
      <c r="AZ40">
        <v>378636.99699999997</v>
      </c>
      <c r="BA40">
        <v>76.557000000000002</v>
      </c>
      <c r="BB40">
        <v>3.1059999999999999</v>
      </c>
      <c r="BC40">
        <v>12570.157999999999</v>
      </c>
      <c r="BD40">
        <v>8.8710000000000004</v>
      </c>
      <c r="BE40">
        <v>3043.6590000000001</v>
      </c>
      <c r="BF40">
        <v>2966.13</v>
      </c>
      <c r="BG40">
        <v>14961.365</v>
      </c>
      <c r="BH40">
        <v>-4383.2309999999998</v>
      </c>
      <c r="BI40">
        <v>674242.41799999995</v>
      </c>
    </row>
    <row r="41" spans="1:61" x14ac:dyDescent="0.25">
      <c r="A41" t="s">
        <v>982</v>
      </c>
      <c r="B41">
        <v>1618.865</v>
      </c>
      <c r="C41">
        <v>114.4</v>
      </c>
      <c r="D41">
        <v>17.414999999999999</v>
      </c>
      <c r="E41">
        <v>257.37700000000001</v>
      </c>
      <c r="F41">
        <v>7482.1589999999997</v>
      </c>
      <c r="G41">
        <v>241.73</v>
      </c>
      <c r="H41">
        <v>317.18400000000003</v>
      </c>
      <c r="I41">
        <v>265.27199999999999</v>
      </c>
      <c r="J41">
        <v>10395.611999999999</v>
      </c>
      <c r="K41">
        <v>575.39499999999998</v>
      </c>
      <c r="L41">
        <v>820.52300000000002</v>
      </c>
      <c r="M41">
        <v>2754.6210000000001</v>
      </c>
      <c r="N41">
        <v>1695.838</v>
      </c>
      <c r="O41">
        <v>3474.1729999999998</v>
      </c>
      <c r="P41">
        <v>3897.9609999999998</v>
      </c>
      <c r="Q41">
        <v>1888.77</v>
      </c>
      <c r="R41">
        <v>1261.25</v>
      </c>
      <c r="S41">
        <v>975.28300000000002</v>
      </c>
      <c r="T41">
        <v>598.80600000000004</v>
      </c>
      <c r="U41">
        <v>2841.18</v>
      </c>
      <c r="V41">
        <v>2418.252</v>
      </c>
      <c r="W41">
        <v>1358.31</v>
      </c>
      <c r="X41">
        <v>3537.0390000000002</v>
      </c>
      <c r="Y41">
        <v>4893.7539999999999</v>
      </c>
      <c r="Z41">
        <v>224.37</v>
      </c>
      <c r="AA41">
        <v>1953.6579999999999</v>
      </c>
      <c r="AB41">
        <v>2141.9459999999999</v>
      </c>
      <c r="AC41">
        <v>5245.2430000000004</v>
      </c>
      <c r="AD41">
        <v>1531.0809999999999</v>
      </c>
      <c r="AE41">
        <v>13624.433000000001</v>
      </c>
      <c r="AF41">
        <v>95925.051000000007</v>
      </c>
      <c r="AG41">
        <v>6016.6729999999998</v>
      </c>
      <c r="AH41">
        <v>643.14300000000003</v>
      </c>
      <c r="AI41">
        <v>2077.4050000000002</v>
      </c>
      <c r="AJ41">
        <v>6079.098</v>
      </c>
      <c r="AK41">
        <v>3186.7379999999998</v>
      </c>
      <c r="AL41">
        <v>14110.519</v>
      </c>
      <c r="AM41">
        <v>27639.244999999999</v>
      </c>
      <c r="AN41">
        <v>38020.527999999998</v>
      </c>
      <c r="AO41">
        <v>208842.057</v>
      </c>
      <c r="AP41">
        <v>115636.833</v>
      </c>
      <c r="AQ41">
        <v>42932.148999999998</v>
      </c>
      <c r="AR41">
        <v>80702.52</v>
      </c>
      <c r="AS41">
        <v>45895.68</v>
      </c>
      <c r="AT41">
        <v>99569.948000000004</v>
      </c>
      <c r="AU41">
        <v>27274.952000000001</v>
      </c>
      <c r="AV41">
        <v>40867.978999999999</v>
      </c>
      <c r="AW41">
        <v>7362.1570000000002</v>
      </c>
      <c r="AX41">
        <v>10976.257</v>
      </c>
      <c r="AY41">
        <v>0</v>
      </c>
      <c r="AZ41">
        <v>42268.531000000003</v>
      </c>
      <c r="BA41">
        <v>1233.114</v>
      </c>
      <c r="BB41">
        <v>8528.6710000000003</v>
      </c>
      <c r="BC41">
        <v>344953.37</v>
      </c>
      <c r="BD41">
        <v>97.198999999999998</v>
      </c>
      <c r="BE41">
        <v>216.488</v>
      </c>
      <c r="BF41">
        <v>333.11200000000002</v>
      </c>
      <c r="BG41">
        <v>74364.528000000006</v>
      </c>
      <c r="BH41">
        <v>-86678.468999999997</v>
      </c>
      <c r="BI41">
        <v>1337497.3740000001</v>
      </c>
    </row>
    <row r="42" spans="1:61" x14ac:dyDescent="0.25">
      <c r="A42" t="s">
        <v>983</v>
      </c>
      <c r="B42">
        <v>19425.22</v>
      </c>
      <c r="C42">
        <v>787.10400000000004</v>
      </c>
      <c r="D42">
        <v>158.62700000000001</v>
      </c>
      <c r="E42">
        <v>840.44899999999996</v>
      </c>
      <c r="F42">
        <v>36205.125999999997</v>
      </c>
      <c r="G42">
        <v>1253.5730000000001</v>
      </c>
      <c r="H42">
        <v>980.08299999999997</v>
      </c>
      <c r="I42">
        <v>1494.7550000000001</v>
      </c>
      <c r="J42">
        <v>27472.102999999999</v>
      </c>
      <c r="K42">
        <v>1923.431</v>
      </c>
      <c r="L42">
        <v>2800.393</v>
      </c>
      <c r="M42">
        <v>7815.19</v>
      </c>
      <c r="N42">
        <v>8857.6090000000004</v>
      </c>
      <c r="O42">
        <v>9048.0059999999994</v>
      </c>
      <c r="P42">
        <v>5711.6869999999999</v>
      </c>
      <c r="Q42">
        <v>5888.4250000000002</v>
      </c>
      <c r="R42">
        <v>4189</v>
      </c>
      <c r="S42">
        <v>3111.6579999999999</v>
      </c>
      <c r="T42">
        <v>2656.4009999999998</v>
      </c>
      <c r="U42">
        <v>7752.5</v>
      </c>
      <c r="V42">
        <v>3757.72</v>
      </c>
      <c r="W42">
        <v>3195.99</v>
      </c>
      <c r="X42">
        <v>9228.4349999999995</v>
      </c>
      <c r="Y42">
        <v>11653.311</v>
      </c>
      <c r="Z42">
        <v>518.18700000000001</v>
      </c>
      <c r="AA42">
        <v>4477.6869999999999</v>
      </c>
      <c r="AB42">
        <v>5263.5550000000003</v>
      </c>
      <c r="AC42">
        <v>13956.844999999999</v>
      </c>
      <c r="AD42">
        <v>3963.2069999999999</v>
      </c>
      <c r="AE42">
        <v>37851.917999999998</v>
      </c>
      <c r="AF42">
        <v>199344.67</v>
      </c>
      <c r="AG42">
        <v>29789.238000000001</v>
      </c>
      <c r="AH42">
        <v>2408.8829999999998</v>
      </c>
      <c r="AI42">
        <v>6772.6909999999998</v>
      </c>
      <c r="AJ42">
        <v>12670.669</v>
      </c>
      <c r="AK42">
        <v>3253.2420000000002</v>
      </c>
      <c r="AL42">
        <v>33108.828000000001</v>
      </c>
      <c r="AM42">
        <v>14301.657999999999</v>
      </c>
      <c r="AN42">
        <v>19391.003000000001</v>
      </c>
      <c r="AO42">
        <v>21556.067999999999</v>
      </c>
      <c r="AP42">
        <v>752650.92299999995</v>
      </c>
      <c r="AQ42">
        <v>346285.717</v>
      </c>
      <c r="AR42">
        <v>80746.599000000002</v>
      </c>
      <c r="AS42">
        <v>66138.201000000001</v>
      </c>
      <c r="AT42">
        <v>110278.988</v>
      </c>
      <c r="AU42">
        <v>25494.822</v>
      </c>
      <c r="AV42">
        <v>43829.495000000003</v>
      </c>
      <c r="AW42">
        <v>11366.291999999999</v>
      </c>
      <c r="AX42">
        <v>20847.145</v>
      </c>
      <c r="AY42">
        <v>0</v>
      </c>
      <c r="AZ42">
        <v>1345886.5490000001</v>
      </c>
      <c r="BA42">
        <v>1739.569</v>
      </c>
      <c r="BB42">
        <v>14.115</v>
      </c>
      <c r="BC42">
        <v>11743.482</v>
      </c>
      <c r="BD42">
        <v>716.06600000000003</v>
      </c>
      <c r="BE42">
        <v>2975.2</v>
      </c>
      <c r="BF42">
        <v>2697.8560000000002</v>
      </c>
      <c r="BG42">
        <v>236611.12100000001</v>
      </c>
      <c r="BH42">
        <v>-116762.851</v>
      </c>
      <c r="BI42">
        <v>3528094.4350000001</v>
      </c>
    </row>
    <row r="43" spans="1:61" x14ac:dyDescent="0.25">
      <c r="A43" t="s">
        <v>984</v>
      </c>
      <c r="B43">
        <v>1707.991</v>
      </c>
      <c r="C43">
        <v>245.35599999999999</v>
      </c>
      <c r="D43">
        <v>20.914000000000001</v>
      </c>
      <c r="E43">
        <v>301.92500000000001</v>
      </c>
      <c r="F43">
        <v>10654.571</v>
      </c>
      <c r="G43">
        <v>280.28699999999998</v>
      </c>
      <c r="H43">
        <v>440.06799999999998</v>
      </c>
      <c r="I43">
        <v>330.31400000000002</v>
      </c>
      <c r="J43">
        <v>11874.18</v>
      </c>
      <c r="K43">
        <v>1132.923</v>
      </c>
      <c r="L43">
        <v>1205.6959999999999</v>
      </c>
      <c r="M43">
        <v>3479.18</v>
      </c>
      <c r="N43">
        <v>1764.624</v>
      </c>
      <c r="O43">
        <v>2595.9940000000001</v>
      </c>
      <c r="P43">
        <v>2500.6889999999999</v>
      </c>
      <c r="Q43">
        <v>2388.6379999999999</v>
      </c>
      <c r="R43">
        <v>1505.32</v>
      </c>
      <c r="S43">
        <v>1049.7850000000001</v>
      </c>
      <c r="T43">
        <v>861.11099999999999</v>
      </c>
      <c r="U43">
        <v>4971.1170000000002</v>
      </c>
      <c r="V43">
        <v>1945.8920000000001</v>
      </c>
      <c r="W43">
        <v>1328.537</v>
      </c>
      <c r="X43">
        <v>3694.4639999999999</v>
      </c>
      <c r="Y43">
        <v>6195.6930000000002</v>
      </c>
      <c r="Z43">
        <v>442.13299999999998</v>
      </c>
      <c r="AA43">
        <v>1717.768</v>
      </c>
      <c r="AB43">
        <v>4049.0529999999999</v>
      </c>
      <c r="AC43">
        <v>3372.92</v>
      </c>
      <c r="AD43">
        <v>1687.9960000000001</v>
      </c>
      <c r="AE43">
        <v>25548.641</v>
      </c>
      <c r="AF43">
        <v>376893.75</v>
      </c>
      <c r="AG43">
        <v>12220.973</v>
      </c>
      <c r="AH43">
        <v>767.25300000000004</v>
      </c>
      <c r="AI43">
        <v>1733.443</v>
      </c>
      <c r="AJ43">
        <v>16903.152999999998</v>
      </c>
      <c r="AK43">
        <v>4150.7960000000003</v>
      </c>
      <c r="AL43">
        <v>119564.34600000001</v>
      </c>
      <c r="AM43">
        <v>21692.138999999999</v>
      </c>
      <c r="AN43">
        <v>28738.795999999998</v>
      </c>
      <c r="AO43">
        <v>37047.339</v>
      </c>
      <c r="AP43">
        <v>99905.269</v>
      </c>
      <c r="AQ43">
        <v>262865.21299999999</v>
      </c>
      <c r="AR43">
        <v>86533.686000000002</v>
      </c>
      <c r="AS43">
        <v>61750.635000000002</v>
      </c>
      <c r="AT43">
        <v>96712.198000000004</v>
      </c>
      <c r="AU43">
        <v>47885.627999999997</v>
      </c>
      <c r="AV43">
        <v>89528.054999999993</v>
      </c>
      <c r="AW43">
        <v>18454.156999999999</v>
      </c>
      <c r="AX43">
        <v>27859.048999999999</v>
      </c>
      <c r="AY43">
        <v>0</v>
      </c>
      <c r="AZ43">
        <v>2657368.9539999999</v>
      </c>
      <c r="BA43">
        <v>6799.2380000000003</v>
      </c>
      <c r="BB43">
        <v>0.66600000000000004</v>
      </c>
      <c r="BC43">
        <v>316520.99099999998</v>
      </c>
      <c r="BD43">
        <v>2.4910000000000001</v>
      </c>
      <c r="BE43">
        <v>13109.861000000001</v>
      </c>
      <c r="BF43">
        <v>8428.5139999999992</v>
      </c>
      <c r="BG43">
        <v>3519.529</v>
      </c>
      <c r="BH43">
        <v>-14230.043</v>
      </c>
      <c r="BI43">
        <v>4502019.8569999998</v>
      </c>
    </row>
    <row r="44" spans="1:61" x14ac:dyDescent="0.25">
      <c r="A44" t="s">
        <v>985</v>
      </c>
      <c r="B44">
        <v>19668.580000000002</v>
      </c>
      <c r="C44">
        <v>382.161</v>
      </c>
      <c r="D44">
        <v>85.492000000000004</v>
      </c>
      <c r="E44">
        <v>1132.2049999999999</v>
      </c>
      <c r="F44">
        <v>40124.417999999998</v>
      </c>
      <c r="G44">
        <v>1596.4970000000001</v>
      </c>
      <c r="H44">
        <v>1500.299</v>
      </c>
      <c r="I44">
        <v>2932.2089999999998</v>
      </c>
      <c r="J44">
        <v>50838.658000000003</v>
      </c>
      <c r="K44">
        <v>2661.6350000000002</v>
      </c>
      <c r="L44">
        <v>2875.5279999999998</v>
      </c>
      <c r="M44">
        <v>8964.1020000000008</v>
      </c>
      <c r="N44">
        <v>7395.7020000000002</v>
      </c>
      <c r="O44">
        <v>14173.735000000001</v>
      </c>
      <c r="P44">
        <v>13758.048000000001</v>
      </c>
      <c r="Q44">
        <v>9640.6450000000004</v>
      </c>
      <c r="R44">
        <v>5909.7629999999999</v>
      </c>
      <c r="S44">
        <v>4454.0190000000002</v>
      </c>
      <c r="T44">
        <v>2374.4879999999998</v>
      </c>
      <c r="U44">
        <v>12565.121999999999</v>
      </c>
      <c r="V44">
        <v>11891.73</v>
      </c>
      <c r="W44">
        <v>4647.5720000000001</v>
      </c>
      <c r="X44">
        <v>13880.231</v>
      </c>
      <c r="Y44">
        <v>32805.955000000002</v>
      </c>
      <c r="Z44">
        <v>1153.0060000000001</v>
      </c>
      <c r="AA44">
        <v>8581.6589999999997</v>
      </c>
      <c r="AB44">
        <v>8175.4880000000003</v>
      </c>
      <c r="AC44">
        <v>19542.671999999999</v>
      </c>
      <c r="AD44">
        <v>5262.29</v>
      </c>
      <c r="AE44">
        <v>93195.14</v>
      </c>
      <c r="AF44">
        <v>348215.511</v>
      </c>
      <c r="AG44">
        <v>17091.815999999999</v>
      </c>
      <c r="AH44">
        <v>1638.7909999999999</v>
      </c>
      <c r="AI44">
        <v>4549.78</v>
      </c>
      <c r="AJ44">
        <v>19497.722000000002</v>
      </c>
      <c r="AK44">
        <v>3020.7530000000002</v>
      </c>
      <c r="AL44">
        <v>67992.808000000005</v>
      </c>
      <c r="AM44">
        <v>58849.161</v>
      </c>
      <c r="AN44">
        <v>51989.186000000002</v>
      </c>
      <c r="AO44">
        <v>69095.769</v>
      </c>
      <c r="AP44">
        <v>237439.467</v>
      </c>
      <c r="AQ44">
        <v>244060.739</v>
      </c>
      <c r="AR44">
        <v>444580.27</v>
      </c>
      <c r="AS44">
        <v>134170.87599999999</v>
      </c>
      <c r="AT44">
        <v>229815.921</v>
      </c>
      <c r="AU44">
        <v>65800.543000000005</v>
      </c>
      <c r="AV44">
        <v>113965.489</v>
      </c>
      <c r="AW44">
        <v>25382.383000000002</v>
      </c>
      <c r="AX44">
        <v>41459.142</v>
      </c>
      <c r="AY44">
        <v>0</v>
      </c>
      <c r="AZ44">
        <v>120167.64</v>
      </c>
      <c r="BA44">
        <v>3532.627</v>
      </c>
      <c r="BB44">
        <v>4352.6570000000002</v>
      </c>
      <c r="BC44">
        <v>470079.84700000001</v>
      </c>
      <c r="BD44">
        <v>253.58500000000001</v>
      </c>
      <c r="BE44">
        <v>1294.5650000000001</v>
      </c>
      <c r="BF44">
        <v>1445.095</v>
      </c>
      <c r="BG44">
        <v>235958.16099999999</v>
      </c>
      <c r="BH44">
        <v>-159180.76300000001</v>
      </c>
      <c r="BI44">
        <v>3258688.59</v>
      </c>
    </row>
    <row r="45" spans="1:61" x14ac:dyDescent="0.25">
      <c r="A45" t="s">
        <v>986</v>
      </c>
      <c r="B45">
        <v>7917.6319999999996</v>
      </c>
      <c r="C45">
        <v>600.25199999999995</v>
      </c>
      <c r="D45">
        <v>69.191000000000003</v>
      </c>
      <c r="E45">
        <v>1057.8320000000001</v>
      </c>
      <c r="F45">
        <v>43533.790999999997</v>
      </c>
      <c r="G45">
        <v>1570.904</v>
      </c>
      <c r="H45">
        <v>1722.461</v>
      </c>
      <c r="I45">
        <v>2223.2469999999998</v>
      </c>
      <c r="J45">
        <v>24854.637999999999</v>
      </c>
      <c r="K45">
        <v>1357.595</v>
      </c>
      <c r="L45">
        <v>2031.877</v>
      </c>
      <c r="M45">
        <v>6530.5709999999999</v>
      </c>
      <c r="N45">
        <v>3555.9630000000002</v>
      </c>
      <c r="O45">
        <v>7313.232</v>
      </c>
      <c r="P45">
        <v>7882.3810000000003</v>
      </c>
      <c r="Q45">
        <v>6082.4309999999996</v>
      </c>
      <c r="R45">
        <v>3879.317</v>
      </c>
      <c r="S45">
        <v>1991.489</v>
      </c>
      <c r="T45">
        <v>1453.691</v>
      </c>
      <c r="U45">
        <v>8273.9210000000003</v>
      </c>
      <c r="V45">
        <v>4482.0969999999998</v>
      </c>
      <c r="W45">
        <v>3012.0120000000002</v>
      </c>
      <c r="X45">
        <v>10261.731</v>
      </c>
      <c r="Y45">
        <v>18635.348000000002</v>
      </c>
      <c r="Z45">
        <v>771.529</v>
      </c>
      <c r="AA45">
        <v>6189.8810000000003</v>
      </c>
      <c r="AB45">
        <v>5489.5460000000003</v>
      </c>
      <c r="AC45">
        <v>10517.942999999999</v>
      </c>
      <c r="AD45">
        <v>5761.42</v>
      </c>
      <c r="AE45">
        <v>48871.771999999997</v>
      </c>
      <c r="AF45">
        <v>197105.40299999999</v>
      </c>
      <c r="AG45">
        <v>25515.673999999999</v>
      </c>
      <c r="AH45">
        <v>3551.933</v>
      </c>
      <c r="AI45">
        <v>9661.7980000000007</v>
      </c>
      <c r="AJ45">
        <v>21180.953000000001</v>
      </c>
      <c r="AK45">
        <v>6642.741</v>
      </c>
      <c r="AL45">
        <v>45269.273999999998</v>
      </c>
      <c r="AM45">
        <v>35360.625</v>
      </c>
      <c r="AN45">
        <v>39642.756999999998</v>
      </c>
      <c r="AO45">
        <v>50595.8</v>
      </c>
      <c r="AP45">
        <v>108312.201</v>
      </c>
      <c r="AQ45">
        <v>126246.107</v>
      </c>
      <c r="AR45">
        <v>121034.66899999999</v>
      </c>
      <c r="AS45">
        <v>169971.446</v>
      </c>
      <c r="AT45">
        <v>150563.49600000001</v>
      </c>
      <c r="AU45">
        <v>59042.788999999997</v>
      </c>
      <c r="AV45">
        <v>92881.414000000004</v>
      </c>
      <c r="AW45">
        <v>18610.177</v>
      </c>
      <c r="AX45">
        <v>20158.957999999999</v>
      </c>
      <c r="AY45">
        <v>0</v>
      </c>
      <c r="AZ45">
        <v>212607.62400000001</v>
      </c>
      <c r="BA45">
        <v>1651.5920000000001</v>
      </c>
      <c r="BB45">
        <v>5773.8879999999999</v>
      </c>
      <c r="BC45">
        <v>12635.786</v>
      </c>
      <c r="BD45">
        <v>15.462999999999999</v>
      </c>
      <c r="BE45">
        <v>2148.3420000000001</v>
      </c>
      <c r="BF45">
        <v>2241.268</v>
      </c>
      <c r="BG45">
        <v>80974.565000000002</v>
      </c>
      <c r="BH45">
        <v>-17944.535</v>
      </c>
      <c r="BI45">
        <v>1849347.9029999999</v>
      </c>
    </row>
    <row r="46" spans="1:61" x14ac:dyDescent="0.25">
      <c r="A46" t="s">
        <v>987</v>
      </c>
      <c r="B46">
        <v>4952.4210000000003</v>
      </c>
      <c r="C46">
        <v>330.86599999999999</v>
      </c>
      <c r="D46">
        <v>28.302</v>
      </c>
      <c r="E46">
        <v>360.46499999999997</v>
      </c>
      <c r="F46">
        <v>6327.2039999999997</v>
      </c>
      <c r="G46">
        <v>435.67899999999997</v>
      </c>
      <c r="H46">
        <v>402.77600000000001</v>
      </c>
      <c r="I46">
        <v>292.68099999999998</v>
      </c>
      <c r="J46">
        <v>10027.239</v>
      </c>
      <c r="K46">
        <v>662.048</v>
      </c>
      <c r="L46">
        <v>1495.431</v>
      </c>
      <c r="M46">
        <v>3466.2550000000001</v>
      </c>
      <c r="N46">
        <v>2119.2759999999998</v>
      </c>
      <c r="O46">
        <v>3463.8670000000002</v>
      </c>
      <c r="P46">
        <v>2207.8690000000001</v>
      </c>
      <c r="Q46">
        <v>2066.9119999999998</v>
      </c>
      <c r="R46">
        <v>1681.0640000000001</v>
      </c>
      <c r="S46">
        <v>2376.5369999999998</v>
      </c>
      <c r="T46">
        <v>1581.8589999999999</v>
      </c>
      <c r="U46">
        <v>3327.9340000000002</v>
      </c>
      <c r="V46">
        <v>798.64599999999996</v>
      </c>
      <c r="W46">
        <v>829.28599999999994</v>
      </c>
      <c r="X46">
        <v>2454.6779999999999</v>
      </c>
      <c r="Y46">
        <v>4935.7860000000001</v>
      </c>
      <c r="Z46">
        <v>184.834</v>
      </c>
      <c r="AA46">
        <v>1396.9870000000001</v>
      </c>
      <c r="AB46">
        <v>1518.3119999999999</v>
      </c>
      <c r="AC46">
        <v>11308.466</v>
      </c>
      <c r="AD46">
        <v>4377.518</v>
      </c>
      <c r="AE46">
        <v>15205.121999999999</v>
      </c>
      <c r="AF46">
        <v>60124.250999999997</v>
      </c>
      <c r="AG46">
        <v>11586.259</v>
      </c>
      <c r="AH46">
        <v>460.87799999999999</v>
      </c>
      <c r="AI46">
        <v>1014.691</v>
      </c>
      <c r="AJ46">
        <v>4294.5540000000001</v>
      </c>
      <c r="AK46">
        <v>1153.2739999999999</v>
      </c>
      <c r="AL46">
        <v>17021.848000000002</v>
      </c>
      <c r="AM46">
        <v>5293.848</v>
      </c>
      <c r="AN46">
        <v>8104.36</v>
      </c>
      <c r="AO46">
        <v>5667.9989999999998</v>
      </c>
      <c r="AP46">
        <v>35371.925999999999</v>
      </c>
      <c r="AQ46">
        <v>59049.739000000001</v>
      </c>
      <c r="AR46">
        <v>23779.965</v>
      </c>
      <c r="AS46">
        <v>14878.723</v>
      </c>
      <c r="AT46">
        <v>110663.542</v>
      </c>
      <c r="AU46">
        <v>17143.632000000001</v>
      </c>
      <c r="AV46">
        <v>51441.366999999998</v>
      </c>
      <c r="AW46">
        <v>6689.8720000000003</v>
      </c>
      <c r="AX46">
        <v>7541.2160000000003</v>
      </c>
      <c r="AY46">
        <v>0</v>
      </c>
      <c r="AZ46">
        <v>452385.02399999998</v>
      </c>
      <c r="BA46">
        <v>9350.9699999999993</v>
      </c>
      <c r="BB46">
        <v>2423018.773</v>
      </c>
      <c r="BC46">
        <v>10118.177</v>
      </c>
      <c r="BD46">
        <v>12.615</v>
      </c>
      <c r="BE46">
        <v>420.90699999999998</v>
      </c>
      <c r="BF46">
        <v>577.00099999999998</v>
      </c>
      <c r="BG46">
        <v>3245.8119999999999</v>
      </c>
      <c r="BH46">
        <v>-2662.4670000000001</v>
      </c>
      <c r="BI46">
        <v>3428365.0759999999</v>
      </c>
    </row>
    <row r="47" spans="1:61" x14ac:dyDescent="0.25">
      <c r="A47" t="s">
        <v>988</v>
      </c>
      <c r="B47">
        <v>319.34899999999999</v>
      </c>
      <c r="C47">
        <v>27.254000000000001</v>
      </c>
      <c r="D47">
        <v>2.9460000000000002</v>
      </c>
      <c r="E47">
        <v>18.221</v>
      </c>
      <c r="F47">
        <v>740.02</v>
      </c>
      <c r="G47">
        <v>47.747</v>
      </c>
      <c r="H47">
        <v>44.558999999999997</v>
      </c>
      <c r="I47">
        <v>30.994</v>
      </c>
      <c r="J47">
        <v>844.92</v>
      </c>
      <c r="K47">
        <v>50.6</v>
      </c>
      <c r="L47">
        <v>79.462999999999994</v>
      </c>
      <c r="M47">
        <v>318.96499999999997</v>
      </c>
      <c r="N47">
        <v>274.43200000000002</v>
      </c>
      <c r="O47">
        <v>297.61099999999999</v>
      </c>
      <c r="P47">
        <v>316.52499999999998</v>
      </c>
      <c r="Q47">
        <v>166.815</v>
      </c>
      <c r="R47">
        <v>106.68899999999999</v>
      </c>
      <c r="S47">
        <v>110.91800000000001</v>
      </c>
      <c r="T47">
        <v>84.751000000000005</v>
      </c>
      <c r="U47">
        <v>278.49599999999998</v>
      </c>
      <c r="V47">
        <v>160.101</v>
      </c>
      <c r="W47">
        <v>124.556</v>
      </c>
      <c r="X47">
        <v>339.17700000000002</v>
      </c>
      <c r="Y47">
        <v>374.02199999999999</v>
      </c>
      <c r="Z47">
        <v>26.437000000000001</v>
      </c>
      <c r="AA47">
        <v>213.74299999999999</v>
      </c>
      <c r="AB47">
        <v>201.91399999999999</v>
      </c>
      <c r="AC47">
        <v>359.21100000000001</v>
      </c>
      <c r="AD47">
        <v>174.524</v>
      </c>
      <c r="AE47">
        <v>2710.547</v>
      </c>
      <c r="AF47">
        <v>5766.9390000000003</v>
      </c>
      <c r="AG47">
        <v>815.52800000000002</v>
      </c>
      <c r="AH47">
        <v>78.320999999999998</v>
      </c>
      <c r="AI47">
        <v>404.06400000000002</v>
      </c>
      <c r="AJ47">
        <v>695.09199999999998</v>
      </c>
      <c r="AK47">
        <v>141.85499999999999</v>
      </c>
      <c r="AL47">
        <v>1559.441</v>
      </c>
      <c r="AM47">
        <v>1212.8900000000001</v>
      </c>
      <c r="AN47">
        <v>1795.6780000000001</v>
      </c>
      <c r="AO47">
        <v>3041.76</v>
      </c>
      <c r="AP47">
        <v>7300.3220000000001</v>
      </c>
      <c r="AQ47">
        <v>4392.0129999999999</v>
      </c>
      <c r="AR47">
        <v>7865.9780000000001</v>
      </c>
      <c r="AS47">
        <v>5182.0249999999996</v>
      </c>
      <c r="AT47">
        <v>18978.626</v>
      </c>
      <c r="AU47">
        <v>23436.017</v>
      </c>
      <c r="AV47">
        <v>6362.1850000000004</v>
      </c>
      <c r="AW47">
        <v>1607.44</v>
      </c>
      <c r="AX47">
        <v>2097.92</v>
      </c>
      <c r="AY47">
        <v>0</v>
      </c>
      <c r="AZ47">
        <v>622794.96299999999</v>
      </c>
      <c r="BA47">
        <v>98561.792000000001</v>
      </c>
      <c r="BB47">
        <v>836334.05599999998</v>
      </c>
      <c r="BC47">
        <v>32421.710999999999</v>
      </c>
      <c r="BD47">
        <v>13.754</v>
      </c>
      <c r="BE47">
        <v>1982.5050000000001</v>
      </c>
      <c r="BF47">
        <v>27158.550999999999</v>
      </c>
      <c r="BG47">
        <v>2223.2350000000001</v>
      </c>
      <c r="BH47">
        <v>-5497.6260000000002</v>
      </c>
      <c r="BI47">
        <v>1717572.541</v>
      </c>
    </row>
    <row r="48" spans="1:61" x14ac:dyDescent="0.25">
      <c r="A48" t="s">
        <v>989</v>
      </c>
      <c r="B48">
        <v>188.274</v>
      </c>
      <c r="C48">
        <v>21.081</v>
      </c>
      <c r="D48">
        <v>3.0979999999999999</v>
      </c>
      <c r="E48">
        <v>40.088999999999999</v>
      </c>
      <c r="F48">
        <v>323.62099999999998</v>
      </c>
      <c r="G48">
        <v>19.977</v>
      </c>
      <c r="H48">
        <v>7.0679999999999996</v>
      </c>
      <c r="I48">
        <v>12.705</v>
      </c>
      <c r="J48">
        <v>593.63099999999997</v>
      </c>
      <c r="K48">
        <v>30.484000000000002</v>
      </c>
      <c r="L48">
        <v>35.267000000000003</v>
      </c>
      <c r="M48">
        <v>125.23699999999999</v>
      </c>
      <c r="N48">
        <v>80.004999999999995</v>
      </c>
      <c r="O48">
        <v>148.24199999999999</v>
      </c>
      <c r="P48">
        <v>189</v>
      </c>
      <c r="Q48">
        <v>151.01300000000001</v>
      </c>
      <c r="R48">
        <v>126.45099999999999</v>
      </c>
      <c r="S48">
        <v>38.201000000000001</v>
      </c>
      <c r="T48">
        <v>37.381999999999998</v>
      </c>
      <c r="U48">
        <v>263.35399999999998</v>
      </c>
      <c r="V48">
        <v>96.460999999999999</v>
      </c>
      <c r="W48">
        <v>64.593000000000004</v>
      </c>
      <c r="X48">
        <v>157.51400000000001</v>
      </c>
      <c r="Y48">
        <v>267.58999999999997</v>
      </c>
      <c r="Z48">
        <v>16.646000000000001</v>
      </c>
      <c r="AA48">
        <v>68.239000000000004</v>
      </c>
      <c r="AB48">
        <v>117.261</v>
      </c>
      <c r="AC48">
        <v>138.33600000000001</v>
      </c>
      <c r="AD48">
        <v>93.754999999999995</v>
      </c>
      <c r="AE48">
        <v>726.18600000000004</v>
      </c>
      <c r="AF48">
        <v>3527.77</v>
      </c>
      <c r="AG48">
        <v>550.57799999999997</v>
      </c>
      <c r="AH48">
        <v>14.641</v>
      </c>
      <c r="AI48">
        <v>66.363</v>
      </c>
      <c r="AJ48">
        <v>149.547</v>
      </c>
      <c r="AK48">
        <v>91.619</v>
      </c>
      <c r="AL48">
        <v>1232.425</v>
      </c>
      <c r="AM48">
        <v>482.76799999999997</v>
      </c>
      <c r="AN48">
        <v>281.12700000000001</v>
      </c>
      <c r="AO48">
        <v>576.14800000000002</v>
      </c>
      <c r="AP48">
        <v>2469.7350000000001</v>
      </c>
      <c r="AQ48">
        <v>1058.0550000000001</v>
      </c>
      <c r="AR48">
        <v>2513.7860000000001</v>
      </c>
      <c r="AS48">
        <v>1220.604</v>
      </c>
      <c r="AT48">
        <v>17879.329000000002</v>
      </c>
      <c r="AU48">
        <v>3047.3180000000002</v>
      </c>
      <c r="AV48">
        <v>209597.44099999999</v>
      </c>
      <c r="AW48">
        <v>433.33300000000003</v>
      </c>
      <c r="AX48">
        <v>1539.7570000000001</v>
      </c>
      <c r="AY48">
        <v>0</v>
      </c>
      <c r="AZ48">
        <v>2395441.4010000001</v>
      </c>
      <c r="BA48">
        <v>168672.16800000001</v>
      </c>
      <c r="BB48">
        <v>211617.01699999999</v>
      </c>
      <c r="BC48">
        <v>554.10599999999999</v>
      </c>
      <c r="BD48">
        <v>10.567</v>
      </c>
      <c r="BE48">
        <v>2920.8960000000002</v>
      </c>
      <c r="BF48">
        <v>1768.922</v>
      </c>
      <c r="BG48">
        <v>281.79399999999998</v>
      </c>
      <c r="BH48">
        <v>-3649.83</v>
      </c>
      <c r="BI48">
        <v>3028530.1439999999</v>
      </c>
    </row>
    <row r="49" spans="1:61" x14ac:dyDescent="0.25">
      <c r="A49" t="s">
        <v>990</v>
      </c>
      <c r="B49">
        <v>177.756</v>
      </c>
      <c r="C49">
        <v>22.85</v>
      </c>
      <c r="D49">
        <v>2.4470000000000001</v>
      </c>
      <c r="E49">
        <v>12.807</v>
      </c>
      <c r="F49">
        <v>310.21800000000002</v>
      </c>
      <c r="G49">
        <v>15.673999999999999</v>
      </c>
      <c r="H49">
        <v>18.385999999999999</v>
      </c>
      <c r="I49">
        <v>14.538</v>
      </c>
      <c r="J49">
        <v>843.24599999999998</v>
      </c>
      <c r="K49">
        <v>40.953000000000003</v>
      </c>
      <c r="L49">
        <v>53.165999999999997</v>
      </c>
      <c r="M49">
        <v>162.249</v>
      </c>
      <c r="N49">
        <v>80.034999999999997</v>
      </c>
      <c r="O49">
        <v>199.881</v>
      </c>
      <c r="P49">
        <v>101.58799999999999</v>
      </c>
      <c r="Q49">
        <v>147.43199999999999</v>
      </c>
      <c r="R49">
        <v>81.997</v>
      </c>
      <c r="S49">
        <v>48.774000000000001</v>
      </c>
      <c r="T49">
        <v>39.6</v>
      </c>
      <c r="U49">
        <v>220.68100000000001</v>
      </c>
      <c r="V49">
        <v>96.474999999999994</v>
      </c>
      <c r="W49">
        <v>56.624000000000002</v>
      </c>
      <c r="X49">
        <v>201.73400000000001</v>
      </c>
      <c r="Y49">
        <v>412.69299999999998</v>
      </c>
      <c r="Z49">
        <v>23.861000000000001</v>
      </c>
      <c r="AA49">
        <v>101.178</v>
      </c>
      <c r="AB49">
        <v>208.126</v>
      </c>
      <c r="AC49">
        <v>151.441</v>
      </c>
      <c r="AD49">
        <v>138.50299999999999</v>
      </c>
      <c r="AE49">
        <v>935.90599999999995</v>
      </c>
      <c r="AF49">
        <v>7028.3450000000003</v>
      </c>
      <c r="AG49">
        <v>530.69299999999998</v>
      </c>
      <c r="AH49">
        <v>60.753999999999998</v>
      </c>
      <c r="AI49">
        <v>130.25299999999999</v>
      </c>
      <c r="AJ49">
        <v>285.18099999999998</v>
      </c>
      <c r="AK49">
        <v>100.905</v>
      </c>
      <c r="AL49">
        <v>3606.3330000000001</v>
      </c>
      <c r="AM49">
        <v>9889.125</v>
      </c>
      <c r="AN49">
        <v>869.85900000000004</v>
      </c>
      <c r="AO49">
        <v>906.05399999999997</v>
      </c>
      <c r="AP49">
        <v>2624.5680000000002</v>
      </c>
      <c r="AQ49">
        <v>3303.9560000000001</v>
      </c>
      <c r="AR49">
        <v>5338.4589999999998</v>
      </c>
      <c r="AS49">
        <v>2799.721</v>
      </c>
      <c r="AT49">
        <v>10253.17</v>
      </c>
      <c r="AU49">
        <v>4464.3879999999999</v>
      </c>
      <c r="AV49">
        <v>3322.7579999999998</v>
      </c>
      <c r="AW49">
        <v>28369.194</v>
      </c>
      <c r="AX49">
        <v>10171.387000000001</v>
      </c>
      <c r="AY49">
        <v>0</v>
      </c>
      <c r="AZ49">
        <v>239174.728</v>
      </c>
      <c r="BA49">
        <v>61462.305</v>
      </c>
      <c r="BB49">
        <v>19207.669000000002</v>
      </c>
      <c r="BC49">
        <v>6852.2449999999999</v>
      </c>
      <c r="BD49">
        <v>4.42</v>
      </c>
      <c r="BE49">
        <v>6170.9080000000004</v>
      </c>
      <c r="BF49">
        <v>4299.6940000000004</v>
      </c>
      <c r="BG49">
        <v>2241.1660000000002</v>
      </c>
      <c r="BH49">
        <v>-7828.2640000000001</v>
      </c>
      <c r="BI49">
        <v>430560.79399999999</v>
      </c>
    </row>
    <row r="50" spans="1:61" x14ac:dyDescent="0.25">
      <c r="A50" t="s">
        <v>991</v>
      </c>
      <c r="B50">
        <v>396.50799999999998</v>
      </c>
      <c r="C50">
        <v>26.073</v>
      </c>
      <c r="D50">
        <v>11.244999999999999</v>
      </c>
      <c r="E50">
        <v>23.315999999999999</v>
      </c>
      <c r="F50">
        <v>548.91099999999994</v>
      </c>
      <c r="G50">
        <v>37.847999999999999</v>
      </c>
      <c r="H50">
        <v>41.529000000000003</v>
      </c>
      <c r="I50">
        <v>31.628</v>
      </c>
      <c r="J50">
        <v>1162.8440000000001</v>
      </c>
      <c r="K50">
        <v>91.36</v>
      </c>
      <c r="L50">
        <v>127.917</v>
      </c>
      <c r="M50">
        <v>193.42699999999999</v>
      </c>
      <c r="N50">
        <v>242.76400000000001</v>
      </c>
      <c r="O50">
        <v>283.78199999999998</v>
      </c>
      <c r="P50">
        <v>168.119</v>
      </c>
      <c r="Q50">
        <v>171.17699999999999</v>
      </c>
      <c r="R50">
        <v>151.13200000000001</v>
      </c>
      <c r="S50">
        <v>114.70399999999999</v>
      </c>
      <c r="T50">
        <v>56.868000000000002</v>
      </c>
      <c r="U50">
        <v>331.50099999999998</v>
      </c>
      <c r="V50">
        <v>144.084</v>
      </c>
      <c r="W50">
        <v>68.096999999999994</v>
      </c>
      <c r="X50">
        <v>238.31399999999999</v>
      </c>
      <c r="Y50">
        <v>352.94</v>
      </c>
      <c r="Z50">
        <v>19.337</v>
      </c>
      <c r="AA50">
        <v>112.319</v>
      </c>
      <c r="AB50">
        <v>207.81399999999999</v>
      </c>
      <c r="AC50">
        <v>223.64400000000001</v>
      </c>
      <c r="AD50">
        <v>239.34399999999999</v>
      </c>
      <c r="AE50">
        <v>1108.2070000000001</v>
      </c>
      <c r="AF50">
        <v>6762.223</v>
      </c>
      <c r="AG50">
        <v>724.505</v>
      </c>
      <c r="AH50">
        <v>76.917000000000002</v>
      </c>
      <c r="AI50">
        <v>145.02600000000001</v>
      </c>
      <c r="AJ50">
        <v>479.41500000000002</v>
      </c>
      <c r="AK50">
        <v>120.714</v>
      </c>
      <c r="AL50">
        <v>5650.4960000000001</v>
      </c>
      <c r="AM50">
        <v>1367.817</v>
      </c>
      <c r="AN50">
        <v>963.45899999999995</v>
      </c>
      <c r="AO50">
        <v>1476.152</v>
      </c>
      <c r="AP50">
        <v>6611.116</v>
      </c>
      <c r="AQ50">
        <v>4153.7780000000002</v>
      </c>
      <c r="AR50">
        <v>4963.6059999999998</v>
      </c>
      <c r="AS50">
        <v>4158.2259999999997</v>
      </c>
      <c r="AT50">
        <v>6398.3010000000004</v>
      </c>
      <c r="AU50">
        <v>2690.1759999999999</v>
      </c>
      <c r="AV50">
        <v>15395.919</v>
      </c>
      <c r="AW50">
        <v>1379.9590000000001</v>
      </c>
      <c r="AX50">
        <v>12321.034</v>
      </c>
      <c r="AY50">
        <v>0</v>
      </c>
      <c r="AZ50">
        <v>370374.196</v>
      </c>
      <c r="BA50">
        <v>147737.45699999999</v>
      </c>
      <c r="BB50">
        <v>303.01299999999998</v>
      </c>
      <c r="BC50">
        <v>1759.3889999999999</v>
      </c>
      <c r="BD50">
        <v>4.3099999999999996</v>
      </c>
      <c r="BE50">
        <v>3284.748</v>
      </c>
      <c r="BF50">
        <v>2473.4740000000002</v>
      </c>
      <c r="BG50">
        <v>898.46699999999998</v>
      </c>
      <c r="BH50">
        <v>-3989.1869999999999</v>
      </c>
      <c r="BI50">
        <v>605611.45799999998</v>
      </c>
    </row>
    <row r="51" spans="1:61" x14ac:dyDescent="0.25">
      <c r="A51" t="s">
        <v>992</v>
      </c>
      <c r="B51">
        <v>0</v>
      </c>
      <c r="C51">
        <v>0</v>
      </c>
      <c r="D51">
        <v>0</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25206.276999999998</v>
      </c>
      <c r="BA51">
        <v>0</v>
      </c>
      <c r="BB51">
        <v>0</v>
      </c>
      <c r="BC51">
        <v>0</v>
      </c>
      <c r="BD51">
        <v>0</v>
      </c>
      <c r="BE51">
        <v>0</v>
      </c>
      <c r="BF51">
        <v>0</v>
      </c>
      <c r="BG51">
        <v>0</v>
      </c>
      <c r="BH51">
        <v>0</v>
      </c>
      <c r="BI51">
        <v>25206.276999999998</v>
      </c>
    </row>
    <row r="52" spans="1:61" x14ac:dyDescent="0.25">
      <c r="A52" t="s">
        <v>993</v>
      </c>
      <c r="B52">
        <v>103.58499999999999</v>
      </c>
      <c r="C52">
        <v>5.9710000000000001</v>
      </c>
      <c r="D52">
        <v>2.6970000000000001</v>
      </c>
      <c r="E52">
        <v>13.215999999999999</v>
      </c>
      <c r="F52">
        <v>387.10500000000002</v>
      </c>
      <c r="G52">
        <v>17.602</v>
      </c>
      <c r="H52">
        <v>17.305</v>
      </c>
      <c r="I52">
        <v>11.516</v>
      </c>
      <c r="J52">
        <v>3.125</v>
      </c>
      <c r="K52">
        <v>94.778999999999996</v>
      </c>
      <c r="L52">
        <v>59.960999999999999</v>
      </c>
      <c r="M52">
        <v>144.77099999999999</v>
      </c>
      <c r="N52">
        <v>2681.6089999999999</v>
      </c>
      <c r="O52">
        <v>438.06400000000002</v>
      </c>
      <c r="P52">
        <v>107.67</v>
      </c>
      <c r="Q52">
        <v>287.73700000000002</v>
      </c>
      <c r="R52">
        <v>101.08199999999999</v>
      </c>
      <c r="S52">
        <v>111.80200000000001</v>
      </c>
      <c r="T52">
        <v>67.048000000000002</v>
      </c>
      <c r="U52">
        <v>197.69300000000001</v>
      </c>
      <c r="V52">
        <v>352.24099999999999</v>
      </c>
      <c r="W52">
        <v>152.672</v>
      </c>
      <c r="X52">
        <v>333.48599999999999</v>
      </c>
      <c r="Y52">
        <v>2418.6439999999998</v>
      </c>
      <c r="Z52">
        <v>20.071999999999999</v>
      </c>
      <c r="AA52">
        <v>274.85599999999999</v>
      </c>
      <c r="AB52">
        <v>225.643</v>
      </c>
      <c r="AC52">
        <v>641.75199999999995</v>
      </c>
      <c r="AD52">
        <v>47.097999999999999</v>
      </c>
      <c r="AE52">
        <v>929.53499999999997</v>
      </c>
      <c r="AF52">
        <v>1695.923</v>
      </c>
      <c r="AG52">
        <v>553.18799999999999</v>
      </c>
      <c r="AH52">
        <v>52.798999999999999</v>
      </c>
      <c r="AI52">
        <v>167.04</v>
      </c>
      <c r="AJ52">
        <v>109.99299999999999</v>
      </c>
      <c r="AK52">
        <v>29.364000000000001</v>
      </c>
      <c r="AL52">
        <v>209.24100000000001</v>
      </c>
      <c r="AM52">
        <v>150.87899999999999</v>
      </c>
      <c r="AN52">
        <v>209.71299999999999</v>
      </c>
      <c r="AO52">
        <v>254.07599999999999</v>
      </c>
      <c r="AP52">
        <v>470.54199999999997</v>
      </c>
      <c r="AQ52">
        <v>381.44900000000001</v>
      </c>
      <c r="AR52">
        <v>561.61800000000005</v>
      </c>
      <c r="AS52">
        <v>398.56</v>
      </c>
      <c r="AT52">
        <v>770.255</v>
      </c>
      <c r="AU52">
        <v>280.16000000000003</v>
      </c>
      <c r="AV52">
        <v>1061.376</v>
      </c>
      <c r="AW52">
        <v>87.492999999999995</v>
      </c>
      <c r="AX52">
        <v>154.488</v>
      </c>
      <c r="AY52">
        <v>0</v>
      </c>
      <c r="AZ52">
        <v>16461.628000000001</v>
      </c>
      <c r="BA52">
        <v>4.3529999999999998</v>
      </c>
      <c r="BB52">
        <v>32.154000000000003</v>
      </c>
      <c r="BC52">
        <v>11429.66</v>
      </c>
      <c r="BD52">
        <v>982.322</v>
      </c>
      <c r="BE52">
        <v>11153.968000000001</v>
      </c>
      <c r="BF52">
        <v>0</v>
      </c>
      <c r="BG52">
        <v>0</v>
      </c>
      <c r="BH52">
        <v>0</v>
      </c>
      <c r="BI52">
        <v>57912.58</v>
      </c>
    </row>
    <row r="53" spans="1:61" x14ac:dyDescent="0.25">
      <c r="A53" t="s">
        <v>994</v>
      </c>
      <c r="B53">
        <v>5697.7089999999998</v>
      </c>
      <c r="C53">
        <v>299.35399999999998</v>
      </c>
      <c r="D53">
        <v>99.992000000000004</v>
      </c>
      <c r="E53">
        <v>494.88600000000002</v>
      </c>
      <c r="F53">
        <v>6984.6139999999996</v>
      </c>
      <c r="G53">
        <v>654.755</v>
      </c>
      <c r="H53">
        <v>684.673</v>
      </c>
      <c r="I53">
        <v>410.87599999999998</v>
      </c>
      <c r="J53">
        <v>8234.2610000000004</v>
      </c>
      <c r="K53">
        <v>805.35699999999997</v>
      </c>
      <c r="L53">
        <v>1019.207</v>
      </c>
      <c r="M53">
        <v>2937.1950000000002</v>
      </c>
      <c r="N53">
        <v>1786.1790000000001</v>
      </c>
      <c r="O53">
        <v>5598.5749999999998</v>
      </c>
      <c r="P53">
        <v>1477.972</v>
      </c>
      <c r="Q53">
        <v>3308.1460000000002</v>
      </c>
      <c r="R53">
        <v>3256.91</v>
      </c>
      <c r="S53">
        <v>3992.2829999999999</v>
      </c>
      <c r="T53">
        <v>1992.9390000000001</v>
      </c>
      <c r="U53">
        <v>2712.761</v>
      </c>
      <c r="V53">
        <v>1027.7349999999999</v>
      </c>
      <c r="W53">
        <v>1029.9549999999999</v>
      </c>
      <c r="X53">
        <v>3424.165</v>
      </c>
      <c r="Y53">
        <v>7930.0389999999998</v>
      </c>
      <c r="Z53">
        <v>260.733</v>
      </c>
      <c r="AA53">
        <v>1541.6669999999999</v>
      </c>
      <c r="AB53">
        <v>2561.5140000000001</v>
      </c>
      <c r="AC53">
        <v>838.173</v>
      </c>
      <c r="AD53">
        <v>1371.6780000000001</v>
      </c>
      <c r="AE53">
        <v>21540.720000000001</v>
      </c>
      <c r="AF53">
        <v>28427.473000000002</v>
      </c>
      <c r="AG53">
        <v>20801.212</v>
      </c>
      <c r="AH53">
        <v>216.74700000000001</v>
      </c>
      <c r="AI53">
        <v>629.12400000000002</v>
      </c>
      <c r="AJ53">
        <v>3357.2579999999998</v>
      </c>
      <c r="AK53">
        <v>1147.72</v>
      </c>
      <c r="AL53">
        <v>8866.2639999999992</v>
      </c>
      <c r="AM53">
        <v>3072.431</v>
      </c>
      <c r="AN53">
        <v>2427.9879999999998</v>
      </c>
      <c r="AO53">
        <v>2706.3249999999998</v>
      </c>
      <c r="AP53">
        <v>-2688.42</v>
      </c>
      <c r="AQ53">
        <v>5350.2259999999997</v>
      </c>
      <c r="AR53">
        <v>8998.7939999999999</v>
      </c>
      <c r="AS53">
        <v>8958.7639999999992</v>
      </c>
      <c r="AT53">
        <v>22327.087</v>
      </c>
      <c r="AU53">
        <v>6136.1210000000001</v>
      </c>
      <c r="AV53">
        <v>13458.004999999999</v>
      </c>
      <c r="AW53">
        <v>1827.4069999999999</v>
      </c>
      <c r="AX53">
        <v>3836.3159999999998</v>
      </c>
      <c r="AY53">
        <v>0</v>
      </c>
      <c r="AZ53">
        <v>548370.41700000002</v>
      </c>
      <c r="BA53">
        <v>6439.6170000000002</v>
      </c>
      <c r="BB53">
        <v>318.08600000000001</v>
      </c>
      <c r="BC53">
        <v>84528.566000000006</v>
      </c>
      <c r="BD53">
        <v>6958.39</v>
      </c>
      <c r="BE53">
        <v>0</v>
      </c>
      <c r="BF53">
        <v>8879.9069999999992</v>
      </c>
      <c r="BG53">
        <v>18600.23</v>
      </c>
      <c r="BH53">
        <v>0</v>
      </c>
      <c r="BI53">
        <v>907927.07799999998</v>
      </c>
    </row>
    <row r="54" spans="1:61" x14ac:dyDescent="0.25">
      <c r="A54" t="s">
        <v>995</v>
      </c>
      <c r="B54">
        <v>349409.61200000002</v>
      </c>
      <c r="C54">
        <v>12864.641</v>
      </c>
      <c r="D54">
        <v>2122.556</v>
      </c>
      <c r="E54">
        <v>14122.989</v>
      </c>
      <c r="F54">
        <v>366442.98700000002</v>
      </c>
      <c r="G54">
        <v>18860.695</v>
      </c>
      <c r="H54">
        <v>20144.262999999999</v>
      </c>
      <c r="I54">
        <v>15868.944</v>
      </c>
      <c r="J54">
        <v>834723.56499999994</v>
      </c>
      <c r="K54">
        <v>42756.625999999997</v>
      </c>
      <c r="L54">
        <v>104966.583</v>
      </c>
      <c r="M54">
        <v>182397.13200000001</v>
      </c>
      <c r="N54">
        <v>651015.13699999999</v>
      </c>
      <c r="O54">
        <v>333732.08</v>
      </c>
      <c r="P54">
        <v>113221.13099999999</v>
      </c>
      <c r="Q54">
        <v>210138.05100000001</v>
      </c>
      <c r="R54">
        <v>112645.54</v>
      </c>
      <c r="S54">
        <v>141909.50700000001</v>
      </c>
      <c r="T54">
        <v>105387.97100000001</v>
      </c>
      <c r="U54">
        <v>276140.99200000003</v>
      </c>
      <c r="V54">
        <v>138061.77499999999</v>
      </c>
      <c r="W54">
        <v>80959.868000000002</v>
      </c>
      <c r="X54">
        <v>262793.66100000002</v>
      </c>
      <c r="Y54">
        <v>584578.26599999995</v>
      </c>
      <c r="Z54">
        <v>20878.127</v>
      </c>
      <c r="AA54">
        <v>172155.56899999999</v>
      </c>
      <c r="AB54">
        <v>138167.52299999999</v>
      </c>
      <c r="AC54">
        <v>295851.37599999999</v>
      </c>
      <c r="AD54">
        <v>67838.755000000005</v>
      </c>
      <c r="AE54">
        <v>1106453.1129999999</v>
      </c>
      <c r="AF54">
        <v>2318219.5469999998</v>
      </c>
      <c r="AG54">
        <v>422551.70199999999</v>
      </c>
      <c r="AH54">
        <v>44099.192000000003</v>
      </c>
      <c r="AI54">
        <v>125557.13499999999</v>
      </c>
      <c r="AJ54">
        <v>203870.476</v>
      </c>
      <c r="AK54">
        <v>69589.763000000006</v>
      </c>
      <c r="AL54">
        <v>702904.272</v>
      </c>
      <c r="AM54">
        <v>437978.23200000002</v>
      </c>
      <c r="AN54">
        <v>356784.467</v>
      </c>
      <c r="AO54">
        <v>497679.674</v>
      </c>
      <c r="AP54">
        <v>1552316.9069999999</v>
      </c>
      <c r="AQ54">
        <v>1469828.118</v>
      </c>
      <c r="AR54">
        <v>1175395.2490000001</v>
      </c>
      <c r="AS54">
        <v>754788.77099999995</v>
      </c>
      <c r="AT54">
        <v>1444747.344</v>
      </c>
      <c r="AU54">
        <v>477697.41600000003</v>
      </c>
      <c r="AV54">
        <v>1189029.9820000001</v>
      </c>
      <c r="AW54">
        <v>182297.61900000001</v>
      </c>
      <c r="AX54">
        <v>261511.09899999999</v>
      </c>
      <c r="AY54">
        <v>0</v>
      </c>
      <c r="AZ54">
        <v>16668000.051999999</v>
      </c>
      <c r="BA54">
        <v>532199.21100000001</v>
      </c>
      <c r="BB54">
        <v>3570521.4929999998</v>
      </c>
      <c r="BC54">
        <v>5670529.8969999999</v>
      </c>
      <c r="BD54">
        <v>137463.28700000001</v>
      </c>
      <c r="BE54">
        <v>158081.065</v>
      </c>
      <c r="BF54">
        <v>133911.62299999999</v>
      </c>
      <c r="BG54">
        <v>2542727.3289999999</v>
      </c>
      <c r="BH54">
        <v>-3611167.057</v>
      </c>
      <c r="BI54">
        <v>46265722.902000003</v>
      </c>
    </row>
    <row r="55" spans="1:61" x14ac:dyDescent="0.25">
      <c r="A55" t="s">
        <v>996</v>
      </c>
      <c r="B55">
        <v>281509.73</v>
      </c>
      <c r="C55">
        <v>13585.888999999999</v>
      </c>
      <c r="D55">
        <v>4396.6989999999996</v>
      </c>
      <c r="E55">
        <v>26378.506000000001</v>
      </c>
      <c r="F55">
        <v>347599.13199999998</v>
      </c>
      <c r="G55">
        <v>15607.133</v>
      </c>
      <c r="H55">
        <v>32762.977999999999</v>
      </c>
      <c r="I55">
        <v>47770.256999999998</v>
      </c>
      <c r="J55">
        <v>290417.94300000003</v>
      </c>
      <c r="K55">
        <v>29566.705000000002</v>
      </c>
      <c r="L55">
        <v>67758.248999999996</v>
      </c>
      <c r="M55">
        <v>109251.454</v>
      </c>
      <c r="N55">
        <v>230083.43100000001</v>
      </c>
      <c r="O55">
        <v>304016.71000000002</v>
      </c>
      <c r="P55">
        <v>247268.22200000001</v>
      </c>
      <c r="Q55">
        <v>93519.804999999993</v>
      </c>
      <c r="R55">
        <v>77410.063999999998</v>
      </c>
      <c r="S55">
        <v>56556.002999999997</v>
      </c>
      <c r="T55">
        <v>56357.536999999997</v>
      </c>
      <c r="U55">
        <v>177403.31200000001</v>
      </c>
      <c r="V55">
        <v>351490.26400000002</v>
      </c>
      <c r="W55">
        <v>75883.356</v>
      </c>
      <c r="X55">
        <v>184021.587</v>
      </c>
      <c r="Y55">
        <v>148956.61900000001</v>
      </c>
      <c r="Z55">
        <v>27391.502</v>
      </c>
      <c r="AA55">
        <v>133568.62899999999</v>
      </c>
      <c r="AB55">
        <v>171775.155</v>
      </c>
      <c r="AC55">
        <v>392388.23300000001</v>
      </c>
      <c r="AD55">
        <v>86413.803</v>
      </c>
      <c r="AE55">
        <v>1057914.9280000001</v>
      </c>
      <c r="AF55">
        <v>2565144.08</v>
      </c>
      <c r="AG55">
        <v>385042.02399999998</v>
      </c>
      <c r="AH55">
        <v>21925.733</v>
      </c>
      <c r="AI55">
        <v>127037.245</v>
      </c>
      <c r="AJ55">
        <v>224527.095</v>
      </c>
      <c r="AK55">
        <v>136709.46799999999</v>
      </c>
      <c r="AL55">
        <v>694151.59600000002</v>
      </c>
      <c r="AM55">
        <v>519200.96399999998</v>
      </c>
      <c r="AN55">
        <v>317457.86800000002</v>
      </c>
      <c r="AO55">
        <v>839817.55900000001</v>
      </c>
      <c r="AP55">
        <v>1975777.111</v>
      </c>
      <c r="AQ55">
        <v>3031953.1290000002</v>
      </c>
      <c r="AR55">
        <v>2083293.0049999999</v>
      </c>
      <c r="AS55">
        <v>1094558.92</v>
      </c>
      <c r="AT55">
        <v>1983617.0689999999</v>
      </c>
      <c r="AU55">
        <v>1239874.817</v>
      </c>
      <c r="AV55">
        <v>1839499.737</v>
      </c>
      <c r="AW55">
        <v>248263.114</v>
      </c>
      <c r="AX55">
        <v>344100.27100000001</v>
      </c>
      <c r="AY55">
        <v>25206.276999999998</v>
      </c>
      <c r="AZ55">
        <v>0</v>
      </c>
      <c r="BA55">
        <v>0</v>
      </c>
      <c r="BB55">
        <v>0</v>
      </c>
      <c r="BC55">
        <v>0</v>
      </c>
      <c r="BD55">
        <v>0</v>
      </c>
      <c r="BE55">
        <v>0</v>
      </c>
      <c r="BF55">
        <v>0</v>
      </c>
      <c r="BG55">
        <v>0</v>
      </c>
      <c r="BH55">
        <v>0</v>
      </c>
      <c r="BI55">
        <v>24836180.921999998</v>
      </c>
    </row>
    <row r="56" spans="1:61" x14ac:dyDescent="0.25">
      <c r="A56" t="s">
        <v>997</v>
      </c>
      <c r="B56">
        <v>82680.194000000003</v>
      </c>
      <c r="C56">
        <v>10324.343000000001</v>
      </c>
      <c r="D56">
        <v>1059.7470000000001</v>
      </c>
      <c r="E56">
        <v>7210.54</v>
      </c>
      <c r="F56">
        <v>70417.945000000007</v>
      </c>
      <c r="G56">
        <v>3922.471</v>
      </c>
      <c r="H56">
        <v>10753.598</v>
      </c>
      <c r="I56">
        <v>36927.175000000003</v>
      </c>
      <c r="J56">
        <v>134889.81599999999</v>
      </c>
      <c r="K56">
        <v>21515.633999999998</v>
      </c>
      <c r="L56">
        <v>35910.131999999998</v>
      </c>
      <c r="M56">
        <v>62292.446000000004</v>
      </c>
      <c r="N56">
        <v>51456.063999999998</v>
      </c>
      <c r="O56">
        <v>94325.267000000007</v>
      </c>
      <c r="P56">
        <v>75120.589000000007</v>
      </c>
      <c r="Q56">
        <v>61123.749000000003</v>
      </c>
      <c r="R56">
        <v>38847.550999999999</v>
      </c>
      <c r="S56">
        <v>35246.981</v>
      </c>
      <c r="T56">
        <v>21287.201000000001</v>
      </c>
      <c r="U56">
        <v>120294.261</v>
      </c>
      <c r="V56">
        <v>183991.61499999999</v>
      </c>
      <c r="W56">
        <v>45019.855000000003</v>
      </c>
      <c r="X56">
        <v>109805.84600000001</v>
      </c>
      <c r="Y56">
        <v>76126.258000000002</v>
      </c>
      <c r="Z56">
        <v>16016.342000000001</v>
      </c>
      <c r="AA56">
        <v>70340.532999999996</v>
      </c>
      <c r="AB56">
        <v>115185.253</v>
      </c>
      <c r="AC56">
        <v>103237.81200000001</v>
      </c>
      <c r="AD56">
        <v>48897.557000000001</v>
      </c>
      <c r="AE56">
        <v>695412.70400000003</v>
      </c>
      <c r="AF56">
        <v>1511280.7819999999</v>
      </c>
      <c r="AG56">
        <v>220515.52600000001</v>
      </c>
      <c r="AH56">
        <v>14940.66</v>
      </c>
      <c r="AI56">
        <v>127037.245</v>
      </c>
      <c r="AJ56">
        <v>217027.77499999999</v>
      </c>
      <c r="AK56">
        <v>109785.815</v>
      </c>
      <c r="AL56">
        <v>500176.28</v>
      </c>
      <c r="AM56">
        <v>246020.28</v>
      </c>
      <c r="AN56">
        <v>96190.676000000007</v>
      </c>
      <c r="AO56">
        <v>537667.57400000002</v>
      </c>
      <c r="AP56">
        <v>982921.647</v>
      </c>
      <c r="AQ56">
        <v>149822.85200000001</v>
      </c>
      <c r="AR56">
        <v>1488775.4620000001</v>
      </c>
      <c r="AS56">
        <v>623844.97</v>
      </c>
      <c r="AT56">
        <v>1388979.081</v>
      </c>
      <c r="AU56">
        <v>1089261.1580000001</v>
      </c>
      <c r="AV56">
        <v>1580872.8670000001</v>
      </c>
      <c r="AW56">
        <v>158722.49600000001</v>
      </c>
      <c r="AX56">
        <v>273791.51199999999</v>
      </c>
      <c r="AY56">
        <v>25206.276999999998</v>
      </c>
      <c r="AZ56">
        <v>0</v>
      </c>
      <c r="BA56">
        <v>0</v>
      </c>
      <c r="BB56">
        <v>0</v>
      </c>
      <c r="BC56">
        <v>0</v>
      </c>
      <c r="BD56">
        <v>0</v>
      </c>
      <c r="BE56">
        <v>0</v>
      </c>
      <c r="BF56">
        <v>0</v>
      </c>
      <c r="BG56">
        <v>0</v>
      </c>
      <c r="BH56">
        <v>0</v>
      </c>
      <c r="BI56">
        <v>13782480.416999999</v>
      </c>
    </row>
    <row r="57" spans="1:61" x14ac:dyDescent="0.25">
      <c r="A57" t="s">
        <v>998</v>
      </c>
      <c r="B57">
        <v>8049.3050000000003</v>
      </c>
      <c r="C57">
        <v>1254.8610000000001</v>
      </c>
      <c r="D57">
        <v>225.351</v>
      </c>
      <c r="E57">
        <v>6348.0389999999998</v>
      </c>
      <c r="F57">
        <v>45093.411</v>
      </c>
      <c r="G57">
        <v>2133.3290000000002</v>
      </c>
      <c r="H57">
        <v>2873.105</v>
      </c>
      <c r="I57">
        <v>-299.21600000000001</v>
      </c>
      <c r="J57">
        <v>7325.7790000000005</v>
      </c>
      <c r="K57">
        <v>1931.165</v>
      </c>
      <c r="L57">
        <v>5462.7420000000002</v>
      </c>
      <c r="M57">
        <v>5095.3490000000002</v>
      </c>
      <c r="N57">
        <v>-17158.011999999999</v>
      </c>
      <c r="O57">
        <v>10095.431</v>
      </c>
      <c r="P57">
        <v>749.202</v>
      </c>
      <c r="Q57">
        <v>-2825.65</v>
      </c>
      <c r="R57">
        <v>2330.9589999999998</v>
      </c>
      <c r="S57">
        <v>-7770.2730000000001</v>
      </c>
      <c r="T57">
        <v>8583.8539999999994</v>
      </c>
      <c r="U57">
        <v>1276.854</v>
      </c>
      <c r="V57">
        <v>10926.929</v>
      </c>
      <c r="W57">
        <v>2601.5300000000002</v>
      </c>
      <c r="X57">
        <v>6332.6409999999996</v>
      </c>
      <c r="Y57">
        <v>2892.1480000000001</v>
      </c>
      <c r="Z57">
        <v>-674.25199999999995</v>
      </c>
      <c r="AA57">
        <v>28816.172999999999</v>
      </c>
      <c r="AB57">
        <v>1954.6559999999999</v>
      </c>
      <c r="AC57">
        <v>51786.434000000001</v>
      </c>
      <c r="AD57">
        <v>6905.3609999999999</v>
      </c>
      <c r="AE57">
        <v>26667.804</v>
      </c>
      <c r="AF57">
        <v>137864.54</v>
      </c>
      <c r="AG57">
        <v>2004.3230000000001</v>
      </c>
      <c r="AH57">
        <v>-1627.32</v>
      </c>
      <c r="AI57">
        <v>-61993.957000000002</v>
      </c>
      <c r="AJ57">
        <v>-33727.836000000003</v>
      </c>
      <c r="AK57">
        <v>14265.33</v>
      </c>
      <c r="AL57">
        <v>12796.838</v>
      </c>
      <c r="AM57">
        <v>8125.3360000000002</v>
      </c>
      <c r="AN57">
        <v>-9653.7890000000007</v>
      </c>
      <c r="AO57">
        <v>9987.9009999999998</v>
      </c>
      <c r="AP57">
        <v>31405.027999999998</v>
      </c>
      <c r="AQ57">
        <v>390367.98200000002</v>
      </c>
      <c r="AR57">
        <v>23090.121999999999</v>
      </c>
      <c r="AS57">
        <v>39689.783000000003</v>
      </c>
      <c r="AT57">
        <v>744.39599999999996</v>
      </c>
      <c r="AU57">
        <v>10993.023999999999</v>
      </c>
      <c r="AV57">
        <v>-39555.173999999999</v>
      </c>
      <c r="AW57">
        <v>-1425.0160000000001</v>
      </c>
      <c r="AX57">
        <v>-11224.369000000001</v>
      </c>
      <c r="AY57">
        <v>0</v>
      </c>
      <c r="AZ57">
        <v>0</v>
      </c>
      <c r="BA57">
        <v>0</v>
      </c>
      <c r="BB57">
        <v>0</v>
      </c>
      <c r="BC57">
        <v>0</v>
      </c>
      <c r="BD57">
        <v>0</v>
      </c>
      <c r="BE57">
        <v>0</v>
      </c>
      <c r="BF57">
        <v>0</v>
      </c>
      <c r="BG57">
        <v>0</v>
      </c>
      <c r="BH57">
        <v>0</v>
      </c>
      <c r="BI57">
        <v>741112.152</v>
      </c>
    </row>
    <row r="58" spans="1:61" x14ac:dyDescent="0.25">
      <c r="A58" t="s">
        <v>999</v>
      </c>
      <c r="B58">
        <v>95413.47</v>
      </c>
      <c r="C58">
        <v>2194.3159999999998</v>
      </c>
      <c r="D58">
        <v>910.05600000000004</v>
      </c>
      <c r="E58">
        <v>4799.3010000000004</v>
      </c>
      <c r="F58">
        <v>347599.13199999998</v>
      </c>
      <c r="G58">
        <v>5382.9319999999998</v>
      </c>
      <c r="H58">
        <v>7783.55</v>
      </c>
      <c r="I58">
        <v>18318.967000000001</v>
      </c>
      <c r="J58">
        <v>30289.616000000002</v>
      </c>
      <c r="K58">
        <v>5395.8180000000002</v>
      </c>
      <c r="L58">
        <v>5845.6189999999997</v>
      </c>
      <c r="M58">
        <v>15069.933000000001</v>
      </c>
      <c r="N58">
        <v>86179.202000000005</v>
      </c>
      <c r="O58">
        <v>113977.798</v>
      </c>
      <c r="P58">
        <v>48578.934000000001</v>
      </c>
      <c r="Q58">
        <v>16261.736000000001</v>
      </c>
      <c r="R58">
        <v>15802.004999999999</v>
      </c>
      <c r="S58">
        <v>17391.401000000002</v>
      </c>
      <c r="T58">
        <v>12022.798000000001</v>
      </c>
      <c r="U58">
        <v>24529.96</v>
      </c>
      <c r="V58">
        <v>136748.55100000001</v>
      </c>
      <c r="W58">
        <v>9739.5110000000004</v>
      </c>
      <c r="X58">
        <v>27081.938999999998</v>
      </c>
      <c r="Y58">
        <v>58226.178999999996</v>
      </c>
      <c r="Z58">
        <v>4975.3440000000001</v>
      </c>
      <c r="AA58">
        <v>17302.062000000002</v>
      </c>
      <c r="AB58">
        <v>20996.494999999999</v>
      </c>
      <c r="AC58">
        <v>105265.508</v>
      </c>
      <c r="AD58">
        <v>13113.016</v>
      </c>
      <c r="AE58">
        <v>63988.086000000003</v>
      </c>
      <c r="AF58">
        <v>231664.81299999999</v>
      </c>
      <c r="AG58">
        <v>78706.778000000006</v>
      </c>
      <c r="AH58">
        <v>9782.6810000000005</v>
      </c>
      <c r="AI58">
        <v>46891.502</v>
      </c>
      <c r="AJ58">
        <v>19716.749</v>
      </c>
      <c r="AK58">
        <v>9030.8410000000003</v>
      </c>
      <c r="AL58">
        <v>46664.557000000001</v>
      </c>
      <c r="AM58">
        <v>156390.28700000001</v>
      </c>
      <c r="AN58">
        <v>97312.418000000005</v>
      </c>
      <c r="AO58">
        <v>172165.68599999999</v>
      </c>
      <c r="AP58">
        <v>231377.29399999999</v>
      </c>
      <c r="AQ58">
        <v>793013.59</v>
      </c>
      <c r="AR58">
        <v>188270.454</v>
      </c>
      <c r="AS58">
        <v>143297.68100000001</v>
      </c>
      <c r="AT58">
        <v>579957.52599999995</v>
      </c>
      <c r="AU58">
        <v>149257.24600000001</v>
      </c>
      <c r="AV58">
        <v>134730.03400000001</v>
      </c>
      <c r="AW58">
        <v>44603.084999999999</v>
      </c>
      <c r="AX58">
        <v>32312.865000000002</v>
      </c>
      <c r="AY58">
        <v>0</v>
      </c>
      <c r="AZ58">
        <v>0</v>
      </c>
      <c r="BA58">
        <v>0</v>
      </c>
      <c r="BB58">
        <v>0</v>
      </c>
      <c r="BC58">
        <v>0</v>
      </c>
      <c r="BD58">
        <v>0</v>
      </c>
      <c r="BE58">
        <v>0</v>
      </c>
      <c r="BF58">
        <v>0</v>
      </c>
      <c r="BG58">
        <v>0</v>
      </c>
      <c r="BH58">
        <v>0</v>
      </c>
      <c r="BI58">
        <v>4496329.324</v>
      </c>
    </row>
    <row r="59" spans="1:61" x14ac:dyDescent="0.25">
      <c r="A59" t="s">
        <v>1000</v>
      </c>
      <c r="B59">
        <v>95366.760999999999</v>
      </c>
      <c r="C59">
        <v>-187.631</v>
      </c>
      <c r="D59">
        <v>2201.5439999999999</v>
      </c>
      <c r="E59">
        <v>8020.625</v>
      </c>
      <c r="F59">
        <v>-115511.356</v>
      </c>
      <c r="G59">
        <v>4168.402</v>
      </c>
      <c r="H59">
        <v>11352.725</v>
      </c>
      <c r="I59">
        <v>-7176.6689999999999</v>
      </c>
      <c r="J59">
        <v>117912.73299999999</v>
      </c>
      <c r="K59">
        <v>724.08699999999999</v>
      </c>
      <c r="L59">
        <v>20539.756000000001</v>
      </c>
      <c r="M59">
        <v>26793.725999999999</v>
      </c>
      <c r="N59">
        <v>109606.17600000001</v>
      </c>
      <c r="O59">
        <v>85618.214000000007</v>
      </c>
      <c r="P59">
        <v>122819.49800000001</v>
      </c>
      <c r="Q59">
        <v>18959.97</v>
      </c>
      <c r="R59">
        <v>20429.55</v>
      </c>
      <c r="S59">
        <v>11687.894</v>
      </c>
      <c r="T59">
        <v>14463.683000000001</v>
      </c>
      <c r="U59">
        <v>31302.237000000001</v>
      </c>
      <c r="V59">
        <v>19823.169999999998</v>
      </c>
      <c r="W59">
        <v>18522.458999999999</v>
      </c>
      <c r="X59">
        <v>40801.161</v>
      </c>
      <c r="Y59">
        <v>11712.034</v>
      </c>
      <c r="Z59">
        <v>7074.0690000000004</v>
      </c>
      <c r="AA59">
        <v>17109.861000000001</v>
      </c>
      <c r="AB59">
        <v>33638.750999999997</v>
      </c>
      <c r="AC59">
        <v>132098.47899999999</v>
      </c>
      <c r="AD59">
        <v>17497.868999999999</v>
      </c>
      <c r="AE59">
        <v>271846.33299999998</v>
      </c>
      <c r="AF59">
        <v>684333.94499999995</v>
      </c>
      <c r="AG59">
        <v>83815.396999999997</v>
      </c>
      <c r="AH59">
        <v>-1170.288</v>
      </c>
      <c r="AI59">
        <v>15102.455</v>
      </c>
      <c r="AJ59">
        <v>21510.406999999999</v>
      </c>
      <c r="AK59">
        <v>3627.4830000000002</v>
      </c>
      <c r="AL59">
        <v>134513.921</v>
      </c>
      <c r="AM59">
        <v>108665.061</v>
      </c>
      <c r="AN59">
        <v>133608.56299999999</v>
      </c>
      <c r="AO59">
        <v>119996.398</v>
      </c>
      <c r="AP59">
        <v>730073.14300000004</v>
      </c>
      <c r="AQ59">
        <v>1698748.7050000001</v>
      </c>
      <c r="AR59">
        <v>383156.967</v>
      </c>
      <c r="AS59">
        <v>287726.48499999999</v>
      </c>
      <c r="AT59">
        <v>13936.066000000001</v>
      </c>
      <c r="AU59">
        <v>-9636.6110000000008</v>
      </c>
      <c r="AV59">
        <v>163452.011</v>
      </c>
      <c r="AW59">
        <v>46362.548999999999</v>
      </c>
      <c r="AX59">
        <v>49220.262999999999</v>
      </c>
      <c r="AY59">
        <v>0</v>
      </c>
      <c r="AZ59">
        <v>0</v>
      </c>
      <c r="BA59">
        <v>0</v>
      </c>
      <c r="BB59">
        <v>0</v>
      </c>
      <c r="BC59">
        <v>0</v>
      </c>
      <c r="BD59">
        <v>0</v>
      </c>
      <c r="BE59">
        <v>0</v>
      </c>
      <c r="BF59">
        <v>0</v>
      </c>
      <c r="BG59">
        <v>0</v>
      </c>
      <c r="BH59">
        <v>0</v>
      </c>
      <c r="BI59">
        <v>5816259.0290000001</v>
      </c>
    </row>
    <row r="60" spans="1:61" x14ac:dyDescent="0.25">
      <c r="A60" t="s">
        <v>1001</v>
      </c>
      <c r="B60">
        <v>630919.34199999995</v>
      </c>
      <c r="C60">
        <v>26450.53</v>
      </c>
      <c r="D60">
        <v>6519.2550000000001</v>
      </c>
      <c r="E60">
        <v>40501.495000000003</v>
      </c>
      <c r="F60">
        <v>714042.12</v>
      </c>
      <c r="G60">
        <v>34467.828999999998</v>
      </c>
      <c r="H60">
        <v>52907.241000000002</v>
      </c>
      <c r="I60">
        <v>63639.201000000001</v>
      </c>
      <c r="J60">
        <v>1125141.5079999999</v>
      </c>
      <c r="K60">
        <v>72323.331000000006</v>
      </c>
      <c r="L60">
        <v>172724.83300000001</v>
      </c>
      <c r="M60">
        <v>291648.58600000001</v>
      </c>
      <c r="N60">
        <v>881098.56900000002</v>
      </c>
      <c r="O60">
        <v>637748.79099999997</v>
      </c>
      <c r="P60">
        <v>360489.353</v>
      </c>
      <c r="Q60">
        <v>303657.85600000003</v>
      </c>
      <c r="R60">
        <v>190055.60399999999</v>
      </c>
      <c r="S60">
        <v>198465.51</v>
      </c>
      <c r="T60">
        <v>161745.508</v>
      </c>
      <c r="U60">
        <v>453544.304</v>
      </c>
      <c r="V60">
        <v>489552.03899999999</v>
      </c>
      <c r="W60">
        <v>156843.223</v>
      </c>
      <c r="X60">
        <v>446815.24699999997</v>
      </c>
      <c r="Y60">
        <v>733534.88500000001</v>
      </c>
      <c r="Z60">
        <v>48269.629000000001</v>
      </c>
      <c r="AA60">
        <v>305724.19799999997</v>
      </c>
      <c r="AB60">
        <v>309942.679</v>
      </c>
      <c r="AC60">
        <v>688239.60900000005</v>
      </c>
      <c r="AD60">
        <v>154252.55799999999</v>
      </c>
      <c r="AE60">
        <v>2164368.0410000002</v>
      </c>
      <c r="AF60">
        <v>4883363.6279999996</v>
      </c>
      <c r="AG60">
        <v>807593.72600000002</v>
      </c>
      <c r="AH60">
        <v>66024.925000000003</v>
      </c>
      <c r="AI60">
        <v>252594.38</v>
      </c>
      <c r="AJ60">
        <v>428397.571</v>
      </c>
      <c r="AK60">
        <v>206299.231</v>
      </c>
      <c r="AL60">
        <v>1397055.868</v>
      </c>
      <c r="AM60">
        <v>957179.196</v>
      </c>
      <c r="AN60">
        <v>674242.33400000003</v>
      </c>
      <c r="AO60">
        <v>1337497.233</v>
      </c>
      <c r="AP60">
        <v>3528094.0189999999</v>
      </c>
      <c r="AQ60">
        <v>4501781.2470000004</v>
      </c>
      <c r="AR60">
        <v>3258688.2540000002</v>
      </c>
      <c r="AS60">
        <v>1849347.6910000001</v>
      </c>
      <c r="AT60">
        <v>3428364.4139999999</v>
      </c>
      <c r="AU60">
        <v>1717572.233</v>
      </c>
      <c r="AV60">
        <v>3028529.719</v>
      </c>
      <c r="AW60">
        <v>430560.73300000001</v>
      </c>
      <c r="AX60">
        <v>605611.37</v>
      </c>
      <c r="AY60">
        <v>25206.276999999998</v>
      </c>
      <c r="AZ60">
        <v>0</v>
      </c>
      <c r="BA60">
        <v>0</v>
      </c>
      <c r="BB60">
        <v>0</v>
      </c>
      <c r="BC60">
        <v>0</v>
      </c>
      <c r="BD60">
        <v>0</v>
      </c>
      <c r="BE60">
        <v>0</v>
      </c>
      <c r="BF60">
        <v>0</v>
      </c>
      <c r="BG60">
        <v>0</v>
      </c>
      <c r="BH60">
        <v>0</v>
      </c>
      <c r="BI60">
        <v>45299636.923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4F488-599F-499A-A987-57625251C6B6}">
  <dimension ref="A1:BJ151"/>
  <sheetViews>
    <sheetView topLeftCell="A103" workbookViewId="0">
      <selection activeCell="J125" sqref="J125"/>
    </sheetView>
  </sheetViews>
  <sheetFormatPr defaultRowHeight="15" x14ac:dyDescent="0.25"/>
  <cols>
    <col min="1" max="1" width="9.7109375" bestFit="1" customWidth="1"/>
    <col min="2" max="2" width="13.140625" bestFit="1" customWidth="1"/>
    <col min="3" max="3" width="12" bestFit="1" customWidth="1"/>
    <col min="52" max="52" width="12" bestFit="1" customWidth="1"/>
  </cols>
  <sheetData>
    <row r="1" spans="1:62" x14ac:dyDescent="0.25">
      <c r="C1" t="str">
        <f>INDEX('ISIC Code Meanings'!$L$2:$L$51,MATCH(C2,'ISIC Code Meanings'!$J$2:$J$51,0),1)</f>
        <v>ISIC 01T03</v>
      </c>
      <c r="D1" t="str">
        <f>INDEX('ISIC Code Meanings'!$L$2:$L$51,MATCH(D2,'ISIC Code Meanings'!$J$2:$J$51,0),1)</f>
        <v>ISIC 01T03</v>
      </c>
      <c r="E1" t="str">
        <f>INDEX('ISIC Code Meanings'!$L$2:$L$51,MATCH(E2,'ISIC Code Meanings'!$J$2:$J$51,0),1)</f>
        <v>ISIC 01T03</v>
      </c>
      <c r="F1" t="str">
        <f>INDEX('ISIC Code Meanings'!$L$2:$L$51,MATCH(F2,'ISIC Code Meanings'!$J$2:$J$51,0),1)</f>
        <v>ISIC 05</v>
      </c>
      <c r="G1" t="str">
        <f>INDEX('ISIC Code Meanings'!$L$2:$L$51,MATCH(G2,'ISIC Code Meanings'!$J$2:$J$51,0),1)</f>
        <v>ISIC 06</v>
      </c>
      <c r="H1" t="str">
        <f>INDEX('ISIC Code Meanings'!$L$2:$L$51,MATCH(H2,'ISIC Code Meanings'!$J$2:$J$51,0),1)</f>
        <v>ISIC 07T08</v>
      </c>
      <c r="I1" t="str">
        <f>INDEX('ISIC Code Meanings'!$L$2:$L$51,MATCH(I2,'ISIC Code Meanings'!$J$2:$J$51,0),1)</f>
        <v>ISIC 07T08</v>
      </c>
      <c r="J1" t="str">
        <f>INDEX('ISIC Code Meanings'!$L$2:$L$51,MATCH(J2,'ISIC Code Meanings'!$J$2:$J$51,0),1)</f>
        <v>ISIC 09</v>
      </c>
      <c r="K1" t="str">
        <f>INDEX('ISIC Code Meanings'!$L$2:$L$51,MATCH(K2,'ISIC Code Meanings'!$J$2:$J$51,0),1)</f>
        <v>ISIC 10T12</v>
      </c>
      <c r="L1" t="str">
        <f>INDEX('ISIC Code Meanings'!$L$2:$L$51,MATCH(L2,'ISIC Code Meanings'!$J$2:$J$51,0),1)</f>
        <v>ISIC 13T15</v>
      </c>
      <c r="M1" t="str">
        <f>INDEX('ISIC Code Meanings'!$L$2:$L$51,MATCH(M2,'ISIC Code Meanings'!$J$2:$J$51,0),1)</f>
        <v>ISIC 16</v>
      </c>
      <c r="N1" t="str">
        <f>INDEX('ISIC Code Meanings'!$L$2:$L$51,MATCH(N2,'ISIC Code Meanings'!$J$2:$J$51,0),1)</f>
        <v>ISIC 17T18</v>
      </c>
      <c r="O1" t="str">
        <f>INDEX('ISIC Code Meanings'!$L$2:$L$51,MATCH(O2,'ISIC Code Meanings'!$J$2:$J$51,0),1)</f>
        <v>ISIC 19</v>
      </c>
      <c r="P1" t="str">
        <f>INDEX('ISIC Code Meanings'!$L$2:$L$51,MATCH(P2,'ISIC Code Meanings'!$J$2:$J$51,0),1)</f>
        <v>ISIC 20</v>
      </c>
      <c r="Q1" t="str">
        <f>INDEX('ISIC Code Meanings'!$L$2:$L$51,MATCH(Q2,'ISIC Code Meanings'!$J$2:$J$51,0),1)</f>
        <v>ISIC 21</v>
      </c>
      <c r="R1" t="str">
        <f>INDEX('ISIC Code Meanings'!$L$2:$L$51,MATCH(R2,'ISIC Code Meanings'!$J$2:$J$51,0),1)</f>
        <v>ISIC 22</v>
      </c>
      <c r="S1" t="str">
        <f>INDEX('ISIC Code Meanings'!$L$2:$L$51,MATCH(S2,'ISIC Code Meanings'!$J$2:$J$51,0),1)</f>
        <v>ISIC 231</v>
      </c>
      <c r="T1" t="str">
        <f>INDEX('ISIC Code Meanings'!$L$2:$L$51,MATCH(T2,'ISIC Code Meanings'!$J$2:$J$51,0),1)</f>
        <v>ISIC 241</v>
      </c>
      <c r="U1" t="str">
        <f>INDEX('ISIC Code Meanings'!$L$2:$L$51,MATCH(U2,'ISIC Code Meanings'!$J$2:$J$51,0),1)</f>
        <v>ISIC 242</v>
      </c>
      <c r="V1" t="str">
        <f>INDEX('ISIC Code Meanings'!$L$2:$L$51,MATCH(V2,'ISIC Code Meanings'!$J$2:$J$51,0),1)</f>
        <v>ISIC 25</v>
      </c>
      <c r="W1" t="str">
        <f>INDEX('ISIC Code Meanings'!$L$2:$L$51,MATCH(W2,'ISIC Code Meanings'!$J$2:$J$51,0),1)</f>
        <v>ISIC 26</v>
      </c>
      <c r="X1" t="str">
        <f>INDEX('ISIC Code Meanings'!$L$2:$L$51,MATCH(X2,'ISIC Code Meanings'!$J$2:$J$51,0),1)</f>
        <v>ISIC 27</v>
      </c>
      <c r="Y1" t="str">
        <f>INDEX('ISIC Code Meanings'!$L$2:$L$51,MATCH(Y2,'ISIC Code Meanings'!$J$2:$J$51,0),1)</f>
        <v>ISIC 28</v>
      </c>
      <c r="Z1" t="str">
        <f>INDEX('ISIC Code Meanings'!$L$2:$L$51,MATCH(Z2,'ISIC Code Meanings'!$J$2:$J$51,0),1)</f>
        <v>ISIC 29</v>
      </c>
      <c r="AA1" t="str">
        <f>INDEX('ISIC Code Meanings'!$L$2:$L$51,MATCH(AA2,'ISIC Code Meanings'!$J$2:$J$51,0),1)</f>
        <v>ISIC 30</v>
      </c>
      <c r="AB1" t="str">
        <f>INDEX('ISIC Code Meanings'!$L$2:$L$51,MATCH(AB2,'ISIC Code Meanings'!$J$2:$J$51,0),1)</f>
        <v>ISIC 30</v>
      </c>
      <c r="AC1" t="str">
        <f>INDEX('ISIC Code Meanings'!$L$2:$L$51,MATCH(AC2,'ISIC Code Meanings'!$J$2:$J$51,0),1)</f>
        <v>ISIC 31T33</v>
      </c>
      <c r="AD1" t="str">
        <f>INDEX('ISIC Code Meanings'!$L$2:$L$51,MATCH(AD2,'ISIC Code Meanings'!$J$2:$J$51,0),1)</f>
        <v>ISIC 351</v>
      </c>
      <c r="AE1" t="str">
        <f>INDEX('ISIC Code Meanings'!$L$2:$L$51,MATCH(AE2,'ISIC Code Meanings'!$J$2:$J$51,0),1)</f>
        <v>ISIC 36T39</v>
      </c>
      <c r="AF1" t="str">
        <f>INDEX('ISIC Code Meanings'!$L$2:$L$51,MATCH(AF2,'ISIC Code Meanings'!$J$2:$J$51,0),1)</f>
        <v>ISIC 41T43</v>
      </c>
      <c r="AG1" t="str">
        <f>INDEX('ISIC Code Meanings'!$L$2:$L$51,MATCH(AG2,'ISIC Code Meanings'!$J$2:$J$51,0),1)</f>
        <v>ISIC 45T47</v>
      </c>
      <c r="AH1" t="str">
        <f>INDEX('ISIC Code Meanings'!$L$2:$L$51,MATCH(AH2,'ISIC Code Meanings'!$J$2:$J$51,0),1)</f>
        <v>ISIC 49T53</v>
      </c>
      <c r="AI1" t="str">
        <f>INDEX('ISIC Code Meanings'!$L$2:$L$51,MATCH(AI2,'ISIC Code Meanings'!$J$2:$J$51,0),1)</f>
        <v>ISIC 49T53</v>
      </c>
      <c r="AJ1" t="str">
        <f>INDEX('ISIC Code Meanings'!$L$2:$L$51,MATCH(AJ2,'ISIC Code Meanings'!$J$2:$J$51,0),1)</f>
        <v>ISIC 49T53</v>
      </c>
      <c r="AK1" t="str">
        <f>INDEX('ISIC Code Meanings'!$L$2:$L$51,MATCH(AK2,'ISIC Code Meanings'!$J$2:$J$51,0),1)</f>
        <v>ISIC 49T53</v>
      </c>
      <c r="AL1" t="str">
        <f>INDEX('ISIC Code Meanings'!$L$2:$L$51,MATCH(AL2,'ISIC Code Meanings'!$J$2:$J$51,0),1)</f>
        <v>ISIC 49T53</v>
      </c>
      <c r="AM1" t="str">
        <f>INDEX('ISIC Code Meanings'!$L$2:$L$51,MATCH(AM2,'ISIC Code Meanings'!$J$2:$J$51,0),1)</f>
        <v>ISIC 55T56</v>
      </c>
      <c r="AN1" t="str">
        <f>INDEX('ISIC Code Meanings'!$L$2:$L$51,MATCH(AN2,'ISIC Code Meanings'!$J$2:$J$51,0),1)</f>
        <v>ISIC 58T60</v>
      </c>
      <c r="AO1" t="str">
        <f>INDEX('ISIC Code Meanings'!$L$2:$L$51,MATCH(AO2,'ISIC Code Meanings'!$J$2:$J$51,0),1)</f>
        <v>ISIC 61</v>
      </c>
      <c r="AP1" t="str">
        <f>INDEX('ISIC Code Meanings'!$L$2:$L$51,MATCH(AP2,'ISIC Code Meanings'!$J$2:$J$51,0),1)</f>
        <v>ISIC 62T63</v>
      </c>
      <c r="AQ1" t="str">
        <f>INDEX('ISIC Code Meanings'!$L$2:$L$51,MATCH(AQ2,'ISIC Code Meanings'!$J$2:$J$51,0),1)</f>
        <v>ISIC 64T66</v>
      </c>
      <c r="AR1" t="str">
        <f>INDEX('ISIC Code Meanings'!$L$2:$L$51,MATCH(AR2,'ISIC Code Meanings'!$J$2:$J$51,0),1)</f>
        <v>ISIC 68</v>
      </c>
      <c r="AS1" t="str">
        <f>INDEX('ISIC Code Meanings'!$L$2:$L$51,MATCH(AS2,'ISIC Code Meanings'!$J$2:$J$51,0),1)</f>
        <v>ISIC 69T82</v>
      </c>
      <c r="AT1" t="str">
        <f>INDEX('ISIC Code Meanings'!$L$2:$L$51,MATCH(AT2,'ISIC Code Meanings'!$J$2:$J$51,0),1)</f>
        <v>ISIC 69T82</v>
      </c>
      <c r="AU1" t="str">
        <f>INDEX('ISIC Code Meanings'!$L$2:$L$51,MATCH(AU2,'ISIC Code Meanings'!$J$2:$J$51,0),1)</f>
        <v>ISIC 84</v>
      </c>
      <c r="AV1" t="str">
        <f>INDEX('ISIC Code Meanings'!$L$2:$L$51,MATCH(AV2,'ISIC Code Meanings'!$J$2:$J$51,0),1)</f>
        <v>ISIC 85</v>
      </c>
      <c r="AW1" t="str">
        <f>INDEX('ISIC Code Meanings'!$L$2:$L$51,MATCH(AW2,'ISIC Code Meanings'!$J$2:$J$51,0),1)</f>
        <v>ISIC 86T88</v>
      </c>
      <c r="AX1" t="str">
        <f>INDEX('ISIC Code Meanings'!$L$2:$L$51,MATCH(AX2,'ISIC Code Meanings'!$J$2:$J$51,0),1)</f>
        <v>ISIC 90T96</v>
      </c>
      <c r="AY1" t="str">
        <f>INDEX('ISIC Code Meanings'!$L$2:$L$51,MATCH(AY2,'ISIC Code Meanings'!$J$2:$J$51,0),1)</f>
        <v>ISIC 90T96</v>
      </c>
      <c r="AZ1" t="str">
        <f>INDEX('ISIC Code Meanings'!$L$2:$L$51,MATCH(AZ2,'ISIC Code Meanings'!$J$2:$J$51,0),1)</f>
        <v>ISIC 97T98</v>
      </c>
    </row>
    <row r="2" spans="1:62" x14ac:dyDescent="0.25">
      <c r="C2" t="s">
        <v>884</v>
      </c>
      <c r="D2" t="s">
        <v>885</v>
      </c>
      <c r="E2" t="s">
        <v>886</v>
      </c>
      <c r="F2" t="s">
        <v>887</v>
      </c>
      <c r="G2" t="s">
        <v>888</v>
      </c>
      <c r="H2" t="s">
        <v>889</v>
      </c>
      <c r="I2" t="s">
        <v>890</v>
      </c>
      <c r="J2" t="s">
        <v>891</v>
      </c>
      <c r="K2" t="s">
        <v>892</v>
      </c>
      <c r="L2" t="s">
        <v>893</v>
      </c>
      <c r="M2" t="s">
        <v>894</v>
      </c>
      <c r="N2" t="s">
        <v>895</v>
      </c>
      <c r="O2" t="s">
        <v>896</v>
      </c>
      <c r="P2" t="s">
        <v>897</v>
      </c>
      <c r="Q2" t="s">
        <v>898</v>
      </c>
      <c r="R2" t="s">
        <v>899</v>
      </c>
      <c r="S2" t="s">
        <v>900</v>
      </c>
      <c r="T2" t="s">
        <v>901</v>
      </c>
      <c r="U2" t="s">
        <v>902</v>
      </c>
      <c r="V2" t="s">
        <v>903</v>
      </c>
      <c r="W2" t="s">
        <v>904</v>
      </c>
      <c r="X2" t="s">
        <v>905</v>
      </c>
      <c r="Y2" t="s">
        <v>906</v>
      </c>
      <c r="Z2" t="s">
        <v>907</v>
      </c>
      <c r="AA2" t="s">
        <v>908</v>
      </c>
      <c r="AB2" t="s">
        <v>909</v>
      </c>
      <c r="AC2" t="s">
        <v>910</v>
      </c>
      <c r="AD2" t="s">
        <v>911</v>
      </c>
      <c r="AE2" t="s">
        <v>912</v>
      </c>
      <c r="AF2" t="s">
        <v>913</v>
      </c>
      <c r="AG2" t="s">
        <v>758</v>
      </c>
      <c r="AH2" t="s">
        <v>914</v>
      </c>
      <c r="AI2" t="s">
        <v>915</v>
      </c>
      <c r="AJ2" t="s">
        <v>916</v>
      </c>
      <c r="AK2" t="s">
        <v>917</v>
      </c>
      <c r="AL2" t="s">
        <v>918</v>
      </c>
      <c r="AM2" t="s">
        <v>919</v>
      </c>
      <c r="AN2" t="s">
        <v>920</v>
      </c>
      <c r="AO2" t="s">
        <v>921</v>
      </c>
      <c r="AP2" t="s">
        <v>922</v>
      </c>
      <c r="AQ2" t="s">
        <v>923</v>
      </c>
      <c r="AR2" t="s">
        <v>924</v>
      </c>
      <c r="AS2" t="s">
        <v>925</v>
      </c>
      <c r="AT2" t="s">
        <v>926</v>
      </c>
      <c r="AU2" t="s">
        <v>927</v>
      </c>
      <c r="AV2" t="s">
        <v>928</v>
      </c>
      <c r="AW2" t="s">
        <v>929</v>
      </c>
      <c r="AX2" t="s">
        <v>930</v>
      </c>
      <c r="AY2" t="s">
        <v>931</v>
      </c>
      <c r="AZ2" t="s">
        <v>932</v>
      </c>
      <c r="BA2" t="s">
        <v>933</v>
      </c>
      <c r="BB2" t="s">
        <v>934</v>
      </c>
      <c r="BC2" t="s">
        <v>935</v>
      </c>
      <c r="BD2" t="s">
        <v>936</v>
      </c>
      <c r="BE2" t="s">
        <v>937</v>
      </c>
      <c r="BF2" t="s">
        <v>938</v>
      </c>
      <c r="BG2" t="s">
        <v>939</v>
      </c>
      <c r="BH2" t="s">
        <v>940</v>
      </c>
      <c r="BI2" t="s">
        <v>941</v>
      </c>
      <c r="BJ2" t="s">
        <v>942</v>
      </c>
    </row>
    <row r="3" spans="1:62" x14ac:dyDescent="0.25">
      <c r="A3" t="str">
        <f>INDEX('ISIC Code Meanings'!$L$2:$L$51,MATCH('Calculated IO Table'!B3,'ISIC Code Meanings'!$K$2:$K$51,0),1)</f>
        <v>ISIC 01T03</v>
      </c>
      <c r="B3" t="s">
        <v>943</v>
      </c>
      <c r="C3">
        <v>74779.370999999999</v>
      </c>
      <c r="D3">
        <v>729.47400000000005</v>
      </c>
      <c r="E3">
        <v>48.606000000000002</v>
      </c>
      <c r="F3">
        <v>3.371</v>
      </c>
      <c r="G3">
        <v>32.701000000000001</v>
      </c>
      <c r="H3">
        <v>1.71</v>
      </c>
      <c r="I3">
        <v>8.4380000000000006</v>
      </c>
      <c r="J3">
        <v>2.6850000000000001</v>
      </c>
      <c r="K3">
        <v>244020.024</v>
      </c>
      <c r="L3">
        <v>1261.74</v>
      </c>
      <c r="M3">
        <v>765.63300000000004</v>
      </c>
      <c r="N3">
        <v>104.3</v>
      </c>
      <c r="O3">
        <v>10.731999999999999</v>
      </c>
      <c r="P3">
        <v>986.88800000000003</v>
      </c>
      <c r="Q3">
        <v>750.97799999999995</v>
      </c>
      <c r="R3">
        <v>567.62199999999996</v>
      </c>
      <c r="S3">
        <v>9.34</v>
      </c>
      <c r="T3">
        <v>2.31</v>
      </c>
      <c r="U3">
        <v>2.5139999999999998</v>
      </c>
      <c r="V3">
        <v>8.9550000000000001</v>
      </c>
      <c r="W3">
        <v>8.1379999999999999</v>
      </c>
      <c r="X3">
        <v>3.681</v>
      </c>
      <c r="Y3">
        <v>35.537999999999997</v>
      </c>
      <c r="Z3">
        <v>33.354999999999997</v>
      </c>
      <c r="AA3">
        <v>1.405</v>
      </c>
      <c r="AB3">
        <v>8.1519999999999992</v>
      </c>
      <c r="AC3">
        <v>179.08</v>
      </c>
      <c r="AD3">
        <v>162.94499999999999</v>
      </c>
      <c r="AE3">
        <v>55.649000000000001</v>
      </c>
      <c r="AF3">
        <v>689.94399999999996</v>
      </c>
      <c r="AG3">
        <v>9434.5759999999991</v>
      </c>
      <c r="AH3">
        <v>113.14700000000001</v>
      </c>
      <c r="AI3">
        <v>14.435</v>
      </c>
      <c r="AJ3">
        <v>4.1360000000000001</v>
      </c>
      <c r="AK3">
        <v>65.436000000000007</v>
      </c>
      <c r="AL3">
        <v>7.2850000000000001</v>
      </c>
      <c r="AM3">
        <v>52185.807000000001</v>
      </c>
      <c r="AN3">
        <v>78.16</v>
      </c>
      <c r="AO3">
        <v>19.382000000000001</v>
      </c>
      <c r="AP3">
        <v>17.161999999999999</v>
      </c>
      <c r="AQ3">
        <v>74.635999999999996</v>
      </c>
      <c r="AR3">
        <v>395.05799999999999</v>
      </c>
      <c r="AS3">
        <v>1051.5730000000001</v>
      </c>
      <c r="AT3">
        <v>1513.491</v>
      </c>
      <c r="AU3">
        <v>2681.5439999999999</v>
      </c>
      <c r="AV3">
        <v>1303.299</v>
      </c>
      <c r="AW3">
        <v>5182.2259999999997</v>
      </c>
      <c r="AX3">
        <v>586.57600000000002</v>
      </c>
      <c r="AY3">
        <v>834.92</v>
      </c>
      <c r="AZ3">
        <v>0</v>
      </c>
      <c r="BA3">
        <v>212576.90599999999</v>
      </c>
      <c r="BB3">
        <v>517.39</v>
      </c>
      <c r="BC3">
        <v>0.47299999999999998</v>
      </c>
      <c r="BD3">
        <v>98.44</v>
      </c>
      <c r="BE3">
        <v>208.61799999999999</v>
      </c>
      <c r="BF3">
        <v>1567.22</v>
      </c>
      <c r="BG3">
        <v>426.017</v>
      </c>
      <c r="BH3">
        <v>65992.047999999995</v>
      </c>
      <c r="BI3">
        <v>-51305.832000000002</v>
      </c>
      <c r="BJ3">
        <v>630919.40500000003</v>
      </c>
    </row>
    <row r="4" spans="1:62" x14ac:dyDescent="0.25">
      <c r="A4" t="str">
        <f>INDEX('ISIC Code Meanings'!$L$2:$L$51,MATCH('Calculated IO Table'!B4,'ISIC Code Meanings'!$K$2:$K$51,0),1)</f>
        <v>ISIC 01T03</v>
      </c>
      <c r="B4" t="s">
        <v>944</v>
      </c>
      <c r="C4">
        <v>653.61500000000001</v>
      </c>
      <c r="D4">
        <v>2244.1030000000001</v>
      </c>
      <c r="E4">
        <v>0.90500000000000003</v>
      </c>
      <c r="F4">
        <v>10.943</v>
      </c>
      <c r="G4">
        <v>19.422999999999998</v>
      </c>
      <c r="H4">
        <v>1.665</v>
      </c>
      <c r="I4">
        <v>2.56</v>
      </c>
      <c r="J4">
        <v>7.5999999999999998E-2</v>
      </c>
      <c r="K4">
        <v>767.45299999999997</v>
      </c>
      <c r="L4">
        <v>12.704000000000001</v>
      </c>
      <c r="M4">
        <v>7209.6220000000003</v>
      </c>
      <c r="N4">
        <v>661.86699999999996</v>
      </c>
      <c r="O4">
        <v>0.79100000000000004</v>
      </c>
      <c r="P4">
        <v>47.506999999999998</v>
      </c>
      <c r="Q4">
        <v>8.7729999999999997</v>
      </c>
      <c r="R4">
        <v>242.50700000000001</v>
      </c>
      <c r="S4">
        <v>11.813000000000001</v>
      </c>
      <c r="T4">
        <v>2.5230000000000001</v>
      </c>
      <c r="U4">
        <v>2.073</v>
      </c>
      <c r="V4">
        <v>2.4500000000000002</v>
      </c>
      <c r="W4">
        <v>0.28599999999999998</v>
      </c>
      <c r="X4">
        <v>0.44400000000000001</v>
      </c>
      <c r="Y4">
        <v>2.9630000000000001</v>
      </c>
      <c r="Z4">
        <v>2.6629999999999998</v>
      </c>
      <c r="AA4">
        <v>0.55200000000000005</v>
      </c>
      <c r="AB4">
        <v>0.80300000000000005</v>
      </c>
      <c r="AC4">
        <v>297.69200000000001</v>
      </c>
      <c r="AD4">
        <v>208.09299999999999</v>
      </c>
      <c r="AE4">
        <v>1.2090000000000001</v>
      </c>
      <c r="AF4">
        <v>209.583</v>
      </c>
      <c r="AG4">
        <v>448.72899999999998</v>
      </c>
      <c r="AH4">
        <v>3.2669999999999999</v>
      </c>
      <c r="AI4">
        <v>0.48299999999999998</v>
      </c>
      <c r="AJ4">
        <v>0.252</v>
      </c>
      <c r="AK4">
        <v>2.069</v>
      </c>
      <c r="AL4">
        <v>0.42</v>
      </c>
      <c r="AM4">
        <v>336.25799999999998</v>
      </c>
      <c r="AN4">
        <v>7.1120000000000001</v>
      </c>
      <c r="AO4">
        <v>4.0119999999999996</v>
      </c>
      <c r="AP4">
        <v>5.3719999999999999</v>
      </c>
      <c r="AQ4">
        <v>3.4470000000000001</v>
      </c>
      <c r="AR4">
        <v>42.151000000000003</v>
      </c>
      <c r="AS4">
        <v>14.444000000000001</v>
      </c>
      <c r="AT4">
        <v>25.652000000000001</v>
      </c>
      <c r="AU4">
        <v>245.703</v>
      </c>
      <c r="AV4">
        <v>49.752000000000002</v>
      </c>
      <c r="AW4">
        <v>66.658000000000001</v>
      </c>
      <c r="AX4">
        <v>37.576999999999998</v>
      </c>
      <c r="AY4">
        <v>34.299999999999997</v>
      </c>
      <c r="AZ4">
        <v>0</v>
      </c>
      <c r="BA4">
        <v>14849.906999999999</v>
      </c>
      <c r="BB4">
        <v>150.64500000000001</v>
      </c>
      <c r="BC4">
        <v>6.7000000000000004E-2</v>
      </c>
      <c r="BD4">
        <v>48.963000000000001</v>
      </c>
      <c r="BE4">
        <v>5.5469999999999997</v>
      </c>
      <c r="BF4">
        <v>22.263000000000002</v>
      </c>
      <c r="BG4">
        <v>2.5000000000000001E-2</v>
      </c>
      <c r="BH4">
        <v>1290.846</v>
      </c>
      <c r="BI4">
        <v>-3873.05</v>
      </c>
      <c r="BJ4">
        <v>26450.532999999999</v>
      </c>
    </row>
    <row r="5" spans="1:62" x14ac:dyDescent="0.25">
      <c r="A5" t="str">
        <f>INDEX('ISIC Code Meanings'!$L$2:$L$51,MATCH('Calculated IO Table'!B5,'ISIC Code Meanings'!$K$2:$K$51,0),1)</f>
        <v>ISIC 01T03</v>
      </c>
      <c r="B5" t="s">
        <v>945</v>
      </c>
      <c r="C5">
        <v>23.876000000000001</v>
      </c>
      <c r="D5">
        <v>1.913</v>
      </c>
      <c r="E5">
        <v>92.259</v>
      </c>
      <c r="F5">
        <v>0.14499999999999999</v>
      </c>
      <c r="G5">
        <v>1.3620000000000001</v>
      </c>
      <c r="H5">
        <v>0.20899999999999999</v>
      </c>
      <c r="I5">
        <v>0.23899999999999999</v>
      </c>
      <c r="J5">
        <v>2.1000000000000001E-2</v>
      </c>
      <c r="K5">
        <v>8300.5460000000003</v>
      </c>
      <c r="L5">
        <v>0.37</v>
      </c>
      <c r="M5">
        <v>0.309</v>
      </c>
      <c r="N5">
        <v>0.45900000000000002</v>
      </c>
      <c r="O5">
        <v>0.97799999999999998</v>
      </c>
      <c r="P5">
        <v>2.9889999999999999</v>
      </c>
      <c r="Q5">
        <v>1.752</v>
      </c>
      <c r="R5">
        <v>0.70499999999999996</v>
      </c>
      <c r="S5">
        <v>0.38200000000000001</v>
      </c>
      <c r="T5">
        <v>0.22600000000000001</v>
      </c>
      <c r="U5">
        <v>0.215</v>
      </c>
      <c r="V5">
        <v>0.64700000000000002</v>
      </c>
      <c r="W5">
        <v>0.218</v>
      </c>
      <c r="X5">
        <v>0.20200000000000001</v>
      </c>
      <c r="Y5">
        <v>0.63200000000000001</v>
      </c>
      <c r="Z5">
        <v>0.46500000000000002</v>
      </c>
      <c r="AA5">
        <v>0.27100000000000002</v>
      </c>
      <c r="AB5">
        <v>0.23599999999999999</v>
      </c>
      <c r="AC5">
        <v>0.52400000000000002</v>
      </c>
      <c r="AD5">
        <v>0.46100000000000002</v>
      </c>
      <c r="AE5">
        <v>0.27400000000000002</v>
      </c>
      <c r="AF5">
        <v>2.6890000000000001</v>
      </c>
      <c r="AG5">
        <v>179.46</v>
      </c>
      <c r="AH5">
        <v>2.0430000000000001</v>
      </c>
      <c r="AI5">
        <v>4.1710000000000003</v>
      </c>
      <c r="AJ5">
        <v>0.24299999999999999</v>
      </c>
      <c r="AK5">
        <v>2.9510000000000001</v>
      </c>
      <c r="AL5">
        <v>9.0999999999999998E-2</v>
      </c>
      <c r="AM5">
        <v>3857.3409999999999</v>
      </c>
      <c r="AN5">
        <v>3.3260000000000001</v>
      </c>
      <c r="AO5">
        <v>0.93300000000000005</v>
      </c>
      <c r="AP5">
        <v>2.532</v>
      </c>
      <c r="AQ5">
        <v>5.6349999999999998</v>
      </c>
      <c r="AR5">
        <v>15.058</v>
      </c>
      <c r="AS5">
        <v>6.2089999999999996</v>
      </c>
      <c r="AT5">
        <v>3.42</v>
      </c>
      <c r="AU5">
        <v>171.36799999999999</v>
      </c>
      <c r="AV5">
        <v>26.86</v>
      </c>
      <c r="AW5">
        <v>122.22799999999999</v>
      </c>
      <c r="AX5">
        <v>6.8780000000000001</v>
      </c>
      <c r="AY5">
        <v>13.061</v>
      </c>
      <c r="AZ5">
        <v>0</v>
      </c>
      <c r="BA5">
        <v>6908.5739999999996</v>
      </c>
      <c r="BB5">
        <v>42.877000000000002</v>
      </c>
      <c r="BC5">
        <v>8.0000000000000002E-3</v>
      </c>
      <c r="BD5">
        <v>4.2750000000000004</v>
      </c>
      <c r="BE5">
        <v>7.2249999999999996</v>
      </c>
      <c r="BF5">
        <v>96.870999999999995</v>
      </c>
      <c r="BG5">
        <v>10.609</v>
      </c>
      <c r="BH5">
        <v>2385.951</v>
      </c>
      <c r="BI5">
        <v>-15796.516</v>
      </c>
      <c r="BJ5">
        <v>6519.2550000000001</v>
      </c>
    </row>
    <row r="6" spans="1:62" x14ac:dyDescent="0.25">
      <c r="A6" t="str">
        <f>INDEX('ISIC Code Meanings'!$L$2:$L$51,MATCH('Calculated IO Table'!B6,'ISIC Code Meanings'!$K$2:$K$51,0),1)</f>
        <v>ISIC 05</v>
      </c>
      <c r="B6" t="s">
        <v>946</v>
      </c>
      <c r="C6">
        <v>51.576000000000001</v>
      </c>
      <c r="D6">
        <v>2.3620000000000001</v>
      </c>
      <c r="E6">
        <v>0.152</v>
      </c>
      <c r="F6">
        <v>418.91699999999997</v>
      </c>
      <c r="G6">
        <v>479.78399999999999</v>
      </c>
      <c r="H6">
        <v>40.781999999999996</v>
      </c>
      <c r="I6">
        <v>40.222000000000001</v>
      </c>
      <c r="J6">
        <v>38.481000000000002</v>
      </c>
      <c r="K6">
        <v>138.84399999999999</v>
      </c>
      <c r="L6">
        <v>11.553000000000001</v>
      </c>
      <c r="M6">
        <v>8.1319999999999997</v>
      </c>
      <c r="N6">
        <v>95.254999999999995</v>
      </c>
      <c r="O6">
        <v>2046.4570000000001</v>
      </c>
      <c r="P6">
        <v>293.82600000000002</v>
      </c>
      <c r="Q6">
        <v>6.1609999999999996</v>
      </c>
      <c r="R6">
        <v>31.045999999999999</v>
      </c>
      <c r="S6">
        <v>466.82600000000002</v>
      </c>
      <c r="T6">
        <v>1924.3879999999999</v>
      </c>
      <c r="U6">
        <v>306.99200000000002</v>
      </c>
      <c r="V6">
        <v>10.866</v>
      </c>
      <c r="W6">
        <v>2.089</v>
      </c>
      <c r="X6">
        <v>5.181</v>
      </c>
      <c r="Y6">
        <v>14.052</v>
      </c>
      <c r="Z6">
        <v>16.93</v>
      </c>
      <c r="AA6">
        <v>1.96</v>
      </c>
      <c r="AB6">
        <v>12.526</v>
      </c>
      <c r="AC6">
        <v>6.0039999999999996</v>
      </c>
      <c r="AD6">
        <v>12957.678</v>
      </c>
      <c r="AE6">
        <v>10.055999999999999</v>
      </c>
      <c r="AF6">
        <v>717.79899999999998</v>
      </c>
      <c r="AG6">
        <v>130.59899999999999</v>
      </c>
      <c r="AH6">
        <v>31.914999999999999</v>
      </c>
      <c r="AI6">
        <v>0.51400000000000001</v>
      </c>
      <c r="AJ6">
        <v>1.3160000000000001</v>
      </c>
      <c r="AK6">
        <v>17.128</v>
      </c>
      <c r="AL6">
        <v>1.6759999999999999</v>
      </c>
      <c r="AM6">
        <v>47.220999999999997</v>
      </c>
      <c r="AN6">
        <v>5.173</v>
      </c>
      <c r="AO6">
        <v>15.351000000000001</v>
      </c>
      <c r="AP6">
        <v>4.4889999999999999</v>
      </c>
      <c r="AQ6">
        <v>21.678999999999998</v>
      </c>
      <c r="AR6">
        <v>490.661</v>
      </c>
      <c r="AS6">
        <v>48.844999999999999</v>
      </c>
      <c r="AT6">
        <v>22.126999999999999</v>
      </c>
      <c r="AU6">
        <v>405.15499999999997</v>
      </c>
      <c r="AV6">
        <v>128.50800000000001</v>
      </c>
      <c r="AW6">
        <v>83.48</v>
      </c>
      <c r="AX6">
        <v>6.3879999999999999</v>
      </c>
      <c r="AY6">
        <v>50.899000000000001</v>
      </c>
      <c r="AZ6">
        <v>0</v>
      </c>
      <c r="BA6">
        <v>18.116</v>
      </c>
      <c r="BB6">
        <v>0.70899999999999996</v>
      </c>
      <c r="BC6">
        <v>3.3000000000000002E-2</v>
      </c>
      <c r="BD6">
        <v>5851.9960000000001</v>
      </c>
      <c r="BE6">
        <v>0.34</v>
      </c>
      <c r="BF6">
        <v>3.8090000000000002</v>
      </c>
      <c r="BG6">
        <v>0.01</v>
      </c>
      <c r="BH6">
        <v>13417.78</v>
      </c>
      <c r="BI6">
        <v>-461.32</v>
      </c>
      <c r="BJ6">
        <v>40501.495000000003</v>
      </c>
    </row>
    <row r="7" spans="1:62" x14ac:dyDescent="0.25">
      <c r="A7" t="str">
        <f>INDEX('ISIC Code Meanings'!$L$2:$L$51,MATCH('Calculated IO Table'!B7,'ISIC Code Meanings'!$K$2:$K$51,0),1)</f>
        <v>ISIC 06</v>
      </c>
      <c r="B7" t="s">
        <v>947</v>
      </c>
      <c r="C7">
        <v>1337.6690000000001</v>
      </c>
      <c r="D7">
        <v>80.349999999999994</v>
      </c>
      <c r="E7">
        <v>34.975999999999999</v>
      </c>
      <c r="F7">
        <v>608.57399999999996</v>
      </c>
      <c r="G7">
        <v>44951.12</v>
      </c>
      <c r="H7">
        <v>457.20499999999998</v>
      </c>
      <c r="I7">
        <v>800.07</v>
      </c>
      <c r="J7">
        <v>833.57899999999995</v>
      </c>
      <c r="K7">
        <v>2743.2080000000001</v>
      </c>
      <c r="L7">
        <v>118.636</v>
      </c>
      <c r="M7">
        <v>278.17</v>
      </c>
      <c r="N7">
        <v>1531.424</v>
      </c>
      <c r="O7">
        <v>460643.67800000001</v>
      </c>
      <c r="P7">
        <v>13736.477999999999</v>
      </c>
      <c r="Q7">
        <v>199.208</v>
      </c>
      <c r="R7">
        <v>773.971</v>
      </c>
      <c r="S7">
        <v>3251.7939999999999</v>
      </c>
      <c r="T7">
        <v>3524.1190000000001</v>
      </c>
      <c r="U7">
        <v>2182.6709999999998</v>
      </c>
      <c r="V7">
        <v>1054.1010000000001</v>
      </c>
      <c r="W7">
        <v>75.212999999999994</v>
      </c>
      <c r="X7">
        <v>125.611</v>
      </c>
      <c r="Y7">
        <v>371.03899999999999</v>
      </c>
      <c r="Z7">
        <v>864.44200000000001</v>
      </c>
      <c r="AA7">
        <v>31.587</v>
      </c>
      <c r="AB7">
        <v>242.47300000000001</v>
      </c>
      <c r="AC7">
        <v>376.68799999999999</v>
      </c>
      <c r="AD7">
        <v>97219.222999999998</v>
      </c>
      <c r="AE7">
        <v>479.41699999999997</v>
      </c>
      <c r="AF7">
        <v>3239.6219999999998</v>
      </c>
      <c r="AG7">
        <v>9710.0589999999993</v>
      </c>
      <c r="AH7">
        <v>7263.4859999999999</v>
      </c>
      <c r="AI7">
        <v>701.68700000000001</v>
      </c>
      <c r="AJ7">
        <v>2661</v>
      </c>
      <c r="AK7">
        <v>1246.527</v>
      </c>
      <c r="AL7">
        <v>305.47300000000001</v>
      </c>
      <c r="AM7">
        <v>1202.682</v>
      </c>
      <c r="AN7">
        <v>303.54399999999998</v>
      </c>
      <c r="AO7">
        <v>266.14800000000002</v>
      </c>
      <c r="AP7">
        <v>375.68099999999998</v>
      </c>
      <c r="AQ7">
        <v>1055.6869999999999</v>
      </c>
      <c r="AR7">
        <v>2669.84</v>
      </c>
      <c r="AS7">
        <v>2106.7959999999998</v>
      </c>
      <c r="AT7">
        <v>1946.8219999999999</v>
      </c>
      <c r="AU7">
        <v>6811.5569999999998</v>
      </c>
      <c r="AV7">
        <v>1427.3720000000001</v>
      </c>
      <c r="AW7">
        <v>1911.932</v>
      </c>
      <c r="AX7">
        <v>254.96899999999999</v>
      </c>
      <c r="AY7">
        <v>600.47699999999998</v>
      </c>
      <c r="AZ7">
        <v>0</v>
      </c>
      <c r="BA7">
        <v>15958.877</v>
      </c>
      <c r="BB7">
        <v>3.6619999999999999</v>
      </c>
      <c r="BC7">
        <v>0.41299999999999998</v>
      </c>
      <c r="BD7">
        <v>23691.18</v>
      </c>
      <c r="BE7">
        <v>10.843</v>
      </c>
      <c r="BF7">
        <v>29.63</v>
      </c>
      <c r="BG7">
        <v>115.74</v>
      </c>
      <c r="BH7">
        <v>177625.11900000001</v>
      </c>
      <c r="BI7">
        <v>-188381.39</v>
      </c>
      <c r="BJ7">
        <v>714042.12800000003</v>
      </c>
    </row>
    <row r="8" spans="1:62" x14ac:dyDescent="0.25">
      <c r="A8" t="str">
        <f>INDEX('ISIC Code Meanings'!$L$2:$L$51,MATCH('Calculated IO Table'!B8,'ISIC Code Meanings'!$K$2:$K$51,0),1)</f>
        <v>ISIC 07T08</v>
      </c>
      <c r="B8" t="s">
        <v>948</v>
      </c>
      <c r="C8">
        <v>21.135999999999999</v>
      </c>
      <c r="D8">
        <v>0.53300000000000003</v>
      </c>
      <c r="E8">
        <v>0.107</v>
      </c>
      <c r="F8">
        <v>46.164999999999999</v>
      </c>
      <c r="G8">
        <v>391.47399999999999</v>
      </c>
      <c r="H8">
        <v>873.27599999999995</v>
      </c>
      <c r="I8">
        <v>175.26599999999999</v>
      </c>
      <c r="J8">
        <v>58.338999999999999</v>
      </c>
      <c r="K8">
        <v>87.68</v>
      </c>
      <c r="L8">
        <v>4.093</v>
      </c>
      <c r="M8">
        <v>3.2909999999999999</v>
      </c>
      <c r="N8">
        <v>8.0370000000000008</v>
      </c>
      <c r="O8">
        <v>445.07100000000003</v>
      </c>
      <c r="P8">
        <v>517.91999999999996</v>
      </c>
      <c r="Q8">
        <v>11.419</v>
      </c>
      <c r="R8">
        <v>21.192</v>
      </c>
      <c r="S8">
        <v>691.06299999999999</v>
      </c>
      <c r="T8">
        <v>8228.6010000000006</v>
      </c>
      <c r="U8">
        <v>11291.735000000001</v>
      </c>
      <c r="V8">
        <v>586.57299999999998</v>
      </c>
      <c r="W8">
        <v>34.598999999999997</v>
      </c>
      <c r="X8">
        <v>72.131</v>
      </c>
      <c r="Y8">
        <v>130.60499999999999</v>
      </c>
      <c r="Z8">
        <v>156.905</v>
      </c>
      <c r="AA8">
        <v>3.4529999999999998</v>
      </c>
      <c r="AB8">
        <v>35.249000000000002</v>
      </c>
      <c r="AC8">
        <v>67.325999999999993</v>
      </c>
      <c r="AD8">
        <v>303.58999999999997</v>
      </c>
      <c r="AE8">
        <v>21.123999999999999</v>
      </c>
      <c r="AF8">
        <v>1234.9639999999999</v>
      </c>
      <c r="AG8">
        <v>91.334000000000003</v>
      </c>
      <c r="AH8">
        <v>17.811</v>
      </c>
      <c r="AI8">
        <v>0.48499999999999999</v>
      </c>
      <c r="AJ8">
        <v>1.429</v>
      </c>
      <c r="AK8">
        <v>9.1010000000000009</v>
      </c>
      <c r="AL8">
        <v>1.014</v>
      </c>
      <c r="AM8">
        <v>31.867000000000001</v>
      </c>
      <c r="AN8">
        <v>6.1109999999999998</v>
      </c>
      <c r="AO8">
        <v>8.343</v>
      </c>
      <c r="AP8">
        <v>9.8279999999999994</v>
      </c>
      <c r="AQ8">
        <v>21.693000000000001</v>
      </c>
      <c r="AR8">
        <v>190.596</v>
      </c>
      <c r="AS8">
        <v>66.025000000000006</v>
      </c>
      <c r="AT8">
        <v>30.670999999999999</v>
      </c>
      <c r="AU8">
        <v>105.289</v>
      </c>
      <c r="AV8">
        <v>21.494</v>
      </c>
      <c r="AW8">
        <v>30.898</v>
      </c>
      <c r="AX8">
        <v>5.3040000000000003</v>
      </c>
      <c r="AY8">
        <v>21.158999999999999</v>
      </c>
      <c r="AZ8">
        <v>0</v>
      </c>
      <c r="BA8">
        <v>18.254999999999999</v>
      </c>
      <c r="BB8">
        <v>0.442</v>
      </c>
      <c r="BC8">
        <v>0.14899999999999999</v>
      </c>
      <c r="BD8">
        <v>2085.3980000000001</v>
      </c>
      <c r="BE8">
        <v>0.90900000000000003</v>
      </c>
      <c r="BF8">
        <v>12.042999999999999</v>
      </c>
      <c r="BG8">
        <v>7.0000000000000001E-3</v>
      </c>
      <c r="BH8">
        <v>9919.6640000000007</v>
      </c>
      <c r="BI8">
        <v>-3762.4059999999999</v>
      </c>
      <c r="BJ8">
        <v>34467.828000000001</v>
      </c>
    </row>
    <row r="9" spans="1:62" x14ac:dyDescent="0.25">
      <c r="A9" t="str">
        <f>INDEX('ISIC Code Meanings'!$L$2:$L$51,MATCH('Calculated IO Table'!B9,'ISIC Code Meanings'!$K$2:$K$51,0),1)</f>
        <v>ISIC 07T08</v>
      </c>
      <c r="B9" t="s">
        <v>949</v>
      </c>
      <c r="C9">
        <v>657.84799999999996</v>
      </c>
      <c r="D9">
        <v>11.285</v>
      </c>
      <c r="E9">
        <v>3.0640000000000001</v>
      </c>
      <c r="F9">
        <v>78.102999999999994</v>
      </c>
      <c r="G9">
        <v>1284.8309999999999</v>
      </c>
      <c r="H9">
        <v>160.47999999999999</v>
      </c>
      <c r="I9">
        <v>1619.92</v>
      </c>
      <c r="J9">
        <v>145.08099999999999</v>
      </c>
      <c r="K9">
        <v>641.96100000000001</v>
      </c>
      <c r="L9">
        <v>43.045999999999999</v>
      </c>
      <c r="M9">
        <v>26.571999999999999</v>
      </c>
      <c r="N9">
        <v>262.97699999999998</v>
      </c>
      <c r="O9">
        <v>957.26300000000003</v>
      </c>
      <c r="P9">
        <v>2588.614</v>
      </c>
      <c r="Q9">
        <v>100.173</v>
      </c>
      <c r="R9">
        <v>341.82900000000001</v>
      </c>
      <c r="S9">
        <v>10621.361999999999</v>
      </c>
      <c r="T9">
        <v>1700.2159999999999</v>
      </c>
      <c r="U9">
        <v>655.11599999999999</v>
      </c>
      <c r="V9">
        <v>196.93600000000001</v>
      </c>
      <c r="W9">
        <v>29.023</v>
      </c>
      <c r="X9">
        <v>47.667999999999999</v>
      </c>
      <c r="Y9">
        <v>90.372</v>
      </c>
      <c r="Z9">
        <v>114.291</v>
      </c>
      <c r="AA9">
        <v>5.0869999999999997</v>
      </c>
      <c r="AB9">
        <v>21.408999999999999</v>
      </c>
      <c r="AC9">
        <v>174.77799999999999</v>
      </c>
      <c r="AD9">
        <v>779.71299999999997</v>
      </c>
      <c r="AE9">
        <v>133.34</v>
      </c>
      <c r="AF9">
        <v>20343.021000000001</v>
      </c>
      <c r="AG9">
        <v>315.39</v>
      </c>
      <c r="AH9">
        <v>58.430999999999997</v>
      </c>
      <c r="AI9">
        <v>4.1509999999999998</v>
      </c>
      <c r="AJ9">
        <v>2.464</v>
      </c>
      <c r="AK9">
        <v>33.276000000000003</v>
      </c>
      <c r="AL9">
        <v>2.734</v>
      </c>
      <c r="AM9">
        <v>155.17099999999999</v>
      </c>
      <c r="AN9">
        <v>23.324999999999999</v>
      </c>
      <c r="AO9">
        <v>19.451000000000001</v>
      </c>
      <c r="AP9">
        <v>9.8239999999999998</v>
      </c>
      <c r="AQ9">
        <v>30.602</v>
      </c>
      <c r="AR9">
        <v>1663.7270000000001</v>
      </c>
      <c r="AS9">
        <v>163.81899999999999</v>
      </c>
      <c r="AT9">
        <v>492.267</v>
      </c>
      <c r="AU9">
        <v>1005.297</v>
      </c>
      <c r="AV9">
        <v>99.174999999999997</v>
      </c>
      <c r="AW9">
        <v>215.87899999999999</v>
      </c>
      <c r="AX9">
        <v>21.187000000000001</v>
      </c>
      <c r="AY9">
        <v>74.716999999999999</v>
      </c>
      <c r="AZ9">
        <v>0</v>
      </c>
      <c r="BA9">
        <v>835.75099999999998</v>
      </c>
      <c r="BB9">
        <v>1.2709999999999999</v>
      </c>
      <c r="BC9">
        <v>8.6999999999999994E-2</v>
      </c>
      <c r="BD9">
        <v>7637.6149999999998</v>
      </c>
      <c r="BE9">
        <v>3.524</v>
      </c>
      <c r="BF9">
        <v>11.454000000000001</v>
      </c>
      <c r="BG9">
        <v>1.3169999999999999</v>
      </c>
      <c r="BH9">
        <v>2273.556</v>
      </c>
      <c r="BI9">
        <v>-6083.5959999999995</v>
      </c>
      <c r="BJ9">
        <v>52907.245000000003</v>
      </c>
    </row>
    <row r="10" spans="1:62" x14ac:dyDescent="0.25">
      <c r="A10" t="str">
        <f>INDEX('ISIC Code Meanings'!$L$2:$L$51,MATCH('Calculated IO Table'!B10,'ISIC Code Meanings'!$K$2:$K$51,0),1)</f>
        <v>ISIC 09</v>
      </c>
      <c r="B10" t="s">
        <v>950</v>
      </c>
      <c r="C10">
        <v>55.881999999999998</v>
      </c>
      <c r="D10">
        <v>3.645</v>
      </c>
      <c r="E10">
        <v>2.903</v>
      </c>
      <c r="F10">
        <v>134.428</v>
      </c>
      <c r="G10">
        <v>12123.063</v>
      </c>
      <c r="H10">
        <v>123.964</v>
      </c>
      <c r="I10">
        <v>308.36399999999998</v>
      </c>
      <c r="J10">
        <v>687.27200000000005</v>
      </c>
      <c r="K10">
        <v>69.293000000000006</v>
      </c>
      <c r="L10">
        <v>2.968</v>
      </c>
      <c r="M10">
        <v>10.614000000000001</v>
      </c>
      <c r="N10">
        <v>36.926000000000002</v>
      </c>
      <c r="O10">
        <v>877.19600000000003</v>
      </c>
      <c r="P10">
        <v>46.042000000000002</v>
      </c>
      <c r="Q10">
        <v>7.3159999999999998</v>
      </c>
      <c r="R10">
        <v>25.535</v>
      </c>
      <c r="S10">
        <v>197.43700000000001</v>
      </c>
      <c r="T10">
        <v>66.587999999999994</v>
      </c>
      <c r="U10">
        <v>43.762999999999998</v>
      </c>
      <c r="V10">
        <v>120.43</v>
      </c>
      <c r="W10">
        <v>12.298</v>
      </c>
      <c r="X10">
        <v>12.56</v>
      </c>
      <c r="Y10">
        <v>81.173000000000002</v>
      </c>
      <c r="Z10">
        <v>95.852000000000004</v>
      </c>
      <c r="AA10">
        <v>5.5049999999999999</v>
      </c>
      <c r="AB10">
        <v>27.148</v>
      </c>
      <c r="AC10">
        <v>26.295999999999999</v>
      </c>
      <c r="AD10">
        <v>371.08300000000003</v>
      </c>
      <c r="AE10">
        <v>19.824000000000002</v>
      </c>
      <c r="AF10">
        <v>1911.021</v>
      </c>
      <c r="AG10">
        <v>234.33699999999999</v>
      </c>
      <c r="AH10">
        <v>54.741</v>
      </c>
      <c r="AI10">
        <v>3.407</v>
      </c>
      <c r="AJ10">
        <v>7.8540000000000001</v>
      </c>
      <c r="AK10">
        <v>40.488999999999997</v>
      </c>
      <c r="AL10">
        <v>7.2389999999999999</v>
      </c>
      <c r="AM10">
        <v>69.438000000000002</v>
      </c>
      <c r="AN10">
        <v>22.666</v>
      </c>
      <c r="AO10">
        <v>40.65</v>
      </c>
      <c r="AP10">
        <v>15.644</v>
      </c>
      <c r="AQ10">
        <v>64.399000000000001</v>
      </c>
      <c r="AR10">
        <v>1231.444</v>
      </c>
      <c r="AS10">
        <v>156.05699999999999</v>
      </c>
      <c r="AT10">
        <v>63.82</v>
      </c>
      <c r="AU10">
        <v>650.56200000000001</v>
      </c>
      <c r="AV10">
        <v>115.548</v>
      </c>
      <c r="AW10">
        <v>146.81399999999999</v>
      </c>
      <c r="AX10">
        <v>16.077000000000002</v>
      </c>
      <c r="AY10">
        <v>28.731000000000002</v>
      </c>
      <c r="AZ10">
        <v>0</v>
      </c>
      <c r="BA10">
        <v>316.96600000000001</v>
      </c>
      <c r="BB10">
        <v>2.3929999999999998</v>
      </c>
      <c r="BC10">
        <v>0.23899999999999999</v>
      </c>
      <c r="BD10">
        <v>44724.572</v>
      </c>
      <c r="BE10">
        <v>9.3689999999999998</v>
      </c>
      <c r="BF10">
        <v>6.6120000000000001</v>
      </c>
      <c r="BG10">
        <v>0.71599999999999997</v>
      </c>
      <c r="BH10">
        <v>1828.4760000000001</v>
      </c>
      <c r="BI10">
        <v>-3726.442</v>
      </c>
      <c r="BJ10">
        <v>63639.207000000002</v>
      </c>
    </row>
    <row r="11" spans="1:62" x14ac:dyDescent="0.25">
      <c r="A11" t="str">
        <f>INDEX('ISIC Code Meanings'!$L$2:$L$51,MATCH('Calculated IO Table'!B11,'ISIC Code Meanings'!$K$2:$K$51,0),1)</f>
        <v>ISIC 10T12</v>
      </c>
      <c r="B11" t="s">
        <v>951</v>
      </c>
      <c r="C11">
        <v>23749.496999999999</v>
      </c>
      <c r="D11">
        <v>21.376999999999999</v>
      </c>
      <c r="E11">
        <v>104.292</v>
      </c>
      <c r="F11">
        <v>7.9409999999999998</v>
      </c>
      <c r="G11">
        <v>139.048</v>
      </c>
      <c r="H11">
        <v>10.164999999999999</v>
      </c>
      <c r="I11">
        <v>19.262</v>
      </c>
      <c r="J11">
        <v>6.9290000000000003</v>
      </c>
      <c r="K11">
        <v>73351.165999999997</v>
      </c>
      <c r="L11">
        <v>164.63300000000001</v>
      </c>
      <c r="M11">
        <v>68.484999999999999</v>
      </c>
      <c r="N11">
        <v>327.96</v>
      </c>
      <c r="O11">
        <v>160.63300000000001</v>
      </c>
      <c r="P11">
        <v>1908.4860000000001</v>
      </c>
      <c r="Q11">
        <v>838.38</v>
      </c>
      <c r="R11">
        <v>376.82799999999997</v>
      </c>
      <c r="S11">
        <v>78.061999999999998</v>
      </c>
      <c r="T11">
        <v>47.314</v>
      </c>
      <c r="U11">
        <v>38.912999999999997</v>
      </c>
      <c r="V11">
        <v>121.907</v>
      </c>
      <c r="W11">
        <v>67.322999999999993</v>
      </c>
      <c r="X11">
        <v>40.203000000000003</v>
      </c>
      <c r="Y11">
        <v>128.333</v>
      </c>
      <c r="Z11">
        <v>179.42</v>
      </c>
      <c r="AA11">
        <v>9.7759999999999998</v>
      </c>
      <c r="AB11">
        <v>68.081000000000003</v>
      </c>
      <c r="AC11">
        <v>169.90100000000001</v>
      </c>
      <c r="AD11">
        <v>71.938999999999993</v>
      </c>
      <c r="AE11">
        <v>77.558999999999997</v>
      </c>
      <c r="AF11">
        <v>463.24700000000001</v>
      </c>
      <c r="AG11">
        <v>8331.5509999999995</v>
      </c>
      <c r="AH11">
        <v>193.76400000000001</v>
      </c>
      <c r="AI11">
        <v>66.606999999999999</v>
      </c>
      <c r="AJ11">
        <v>46.558</v>
      </c>
      <c r="AK11">
        <v>132.102</v>
      </c>
      <c r="AL11">
        <v>32.533999999999999</v>
      </c>
      <c r="AM11">
        <v>96328.35</v>
      </c>
      <c r="AN11">
        <v>554.37800000000004</v>
      </c>
      <c r="AO11">
        <v>183.999</v>
      </c>
      <c r="AP11">
        <v>288.43799999999999</v>
      </c>
      <c r="AQ11">
        <v>469.10399999999998</v>
      </c>
      <c r="AR11">
        <v>1077.8399999999999</v>
      </c>
      <c r="AS11">
        <v>824.71100000000001</v>
      </c>
      <c r="AT11">
        <v>790.39400000000001</v>
      </c>
      <c r="AU11">
        <v>3978.8870000000002</v>
      </c>
      <c r="AV11">
        <v>3191.1590000000001</v>
      </c>
      <c r="AW11">
        <v>7598.6440000000002</v>
      </c>
      <c r="AX11">
        <v>1038.856</v>
      </c>
      <c r="AY11">
        <v>854.46500000000003</v>
      </c>
      <c r="AZ11">
        <v>0</v>
      </c>
      <c r="BA11">
        <v>968789.27</v>
      </c>
      <c r="BB11">
        <v>984.67200000000003</v>
      </c>
      <c r="BC11">
        <v>3.673</v>
      </c>
      <c r="BD11">
        <v>1049.8869999999999</v>
      </c>
      <c r="BE11">
        <v>448.55599999999998</v>
      </c>
      <c r="BF11">
        <v>4784.0540000000001</v>
      </c>
      <c r="BG11">
        <v>2628.502</v>
      </c>
      <c r="BH11">
        <v>63542.457000000002</v>
      </c>
      <c r="BI11">
        <v>-145888.799</v>
      </c>
      <c r="BJ11">
        <v>1125141.6740000001</v>
      </c>
    </row>
    <row r="12" spans="1:62" x14ac:dyDescent="0.25">
      <c r="A12" t="str">
        <f>INDEX('ISIC Code Meanings'!$L$2:$L$51,MATCH('Calculated IO Table'!B12,'ISIC Code Meanings'!$K$2:$K$51,0),1)</f>
        <v>ISIC 13T15</v>
      </c>
      <c r="B12" t="s">
        <v>952</v>
      </c>
      <c r="C12">
        <v>423.68299999999999</v>
      </c>
      <c r="D12">
        <v>12.743</v>
      </c>
      <c r="E12">
        <v>13.901</v>
      </c>
      <c r="F12">
        <v>12.378</v>
      </c>
      <c r="G12">
        <v>188.667</v>
      </c>
      <c r="H12">
        <v>19.021000000000001</v>
      </c>
      <c r="I12">
        <v>15.731999999999999</v>
      </c>
      <c r="J12">
        <v>8.359</v>
      </c>
      <c r="K12">
        <v>397.39100000000002</v>
      </c>
      <c r="L12">
        <v>7337.3670000000002</v>
      </c>
      <c r="M12">
        <v>106.907</v>
      </c>
      <c r="N12">
        <v>763.49800000000005</v>
      </c>
      <c r="O12">
        <v>93.228999999999999</v>
      </c>
      <c r="P12">
        <v>981.66300000000001</v>
      </c>
      <c r="Q12">
        <v>201.119</v>
      </c>
      <c r="R12">
        <v>1050.2940000000001</v>
      </c>
      <c r="S12">
        <v>196.72</v>
      </c>
      <c r="T12">
        <v>47.963000000000001</v>
      </c>
      <c r="U12">
        <v>30.207999999999998</v>
      </c>
      <c r="V12">
        <v>189.43899999999999</v>
      </c>
      <c r="W12">
        <v>83.141000000000005</v>
      </c>
      <c r="X12">
        <v>57.98</v>
      </c>
      <c r="Y12">
        <v>199.721</v>
      </c>
      <c r="Z12">
        <v>1639.653</v>
      </c>
      <c r="AA12">
        <v>32.225999999999999</v>
      </c>
      <c r="AB12">
        <v>159.67599999999999</v>
      </c>
      <c r="AC12">
        <v>1657.1279999999999</v>
      </c>
      <c r="AD12">
        <v>45.134999999999998</v>
      </c>
      <c r="AE12">
        <v>62.756</v>
      </c>
      <c r="AF12">
        <v>847.62099999999998</v>
      </c>
      <c r="AG12">
        <v>2868.6880000000001</v>
      </c>
      <c r="AH12">
        <v>93.391999999999996</v>
      </c>
      <c r="AI12">
        <v>7.01</v>
      </c>
      <c r="AJ12">
        <v>18.702999999999999</v>
      </c>
      <c r="AK12">
        <v>66.775000000000006</v>
      </c>
      <c r="AL12">
        <v>36.353000000000002</v>
      </c>
      <c r="AM12">
        <v>1408.6279999999999</v>
      </c>
      <c r="AN12">
        <v>161.29499999999999</v>
      </c>
      <c r="AO12">
        <v>54.847999999999999</v>
      </c>
      <c r="AP12">
        <v>74.25</v>
      </c>
      <c r="AQ12">
        <v>156.54</v>
      </c>
      <c r="AR12">
        <v>447.16500000000002</v>
      </c>
      <c r="AS12">
        <v>727.69500000000005</v>
      </c>
      <c r="AT12">
        <v>997.59100000000001</v>
      </c>
      <c r="AU12">
        <v>2368.7080000000001</v>
      </c>
      <c r="AV12">
        <v>576.60199999999998</v>
      </c>
      <c r="AW12">
        <v>2824.933</v>
      </c>
      <c r="AX12">
        <v>416.88499999999999</v>
      </c>
      <c r="AY12">
        <v>956.03899999999999</v>
      </c>
      <c r="AZ12">
        <v>0</v>
      </c>
      <c r="BA12">
        <v>187948.66099999999</v>
      </c>
      <c r="BB12">
        <v>55.914999999999999</v>
      </c>
      <c r="BC12">
        <v>2.504</v>
      </c>
      <c r="BD12">
        <v>4284.1750000000002</v>
      </c>
      <c r="BE12">
        <v>591.69600000000003</v>
      </c>
      <c r="BF12">
        <v>1847.9829999999999</v>
      </c>
      <c r="BG12">
        <v>370.50200000000001</v>
      </c>
      <c r="BH12">
        <v>14412.892</v>
      </c>
      <c r="BI12">
        <v>-168328.40900000001</v>
      </c>
      <c r="BJ12">
        <v>72323.338000000003</v>
      </c>
    </row>
    <row r="13" spans="1:62" x14ac:dyDescent="0.25">
      <c r="A13" t="str">
        <f>INDEX('ISIC Code Meanings'!$L$2:$L$51,MATCH('Calculated IO Table'!B13,'ISIC Code Meanings'!$K$2:$K$51,0),1)</f>
        <v>ISIC 16</v>
      </c>
      <c r="B13" t="s">
        <v>953</v>
      </c>
      <c r="C13">
        <v>1370.992</v>
      </c>
      <c r="D13">
        <v>250.22200000000001</v>
      </c>
      <c r="E13">
        <v>6.42</v>
      </c>
      <c r="F13">
        <v>80.037999999999997</v>
      </c>
      <c r="G13">
        <v>413.41699999999997</v>
      </c>
      <c r="H13">
        <v>59.920999999999999</v>
      </c>
      <c r="I13">
        <v>65.010999999999996</v>
      </c>
      <c r="J13">
        <v>21.885000000000002</v>
      </c>
      <c r="K13">
        <v>2620.5259999999998</v>
      </c>
      <c r="L13">
        <v>158.071</v>
      </c>
      <c r="M13">
        <v>35331.089999999997</v>
      </c>
      <c r="N13">
        <v>4414.5469999999996</v>
      </c>
      <c r="O13">
        <v>52.924999999999997</v>
      </c>
      <c r="P13">
        <v>1134.51</v>
      </c>
      <c r="Q13">
        <v>180.322</v>
      </c>
      <c r="R13">
        <v>786.79499999999996</v>
      </c>
      <c r="S13">
        <v>1204.8389999999999</v>
      </c>
      <c r="T13">
        <v>124.72</v>
      </c>
      <c r="U13">
        <v>167.017</v>
      </c>
      <c r="V13">
        <v>1237.4100000000001</v>
      </c>
      <c r="W13">
        <v>204.245</v>
      </c>
      <c r="X13">
        <v>288.45600000000002</v>
      </c>
      <c r="Y13">
        <v>728.74</v>
      </c>
      <c r="Z13">
        <v>2710.93</v>
      </c>
      <c r="AA13">
        <v>307.637</v>
      </c>
      <c r="AB13">
        <v>400.221</v>
      </c>
      <c r="AC13">
        <v>16380.022000000001</v>
      </c>
      <c r="AD13">
        <v>545.32000000000005</v>
      </c>
      <c r="AE13">
        <v>131.39699999999999</v>
      </c>
      <c r="AF13">
        <v>56706.307999999997</v>
      </c>
      <c r="AG13">
        <v>7515.6329999999998</v>
      </c>
      <c r="AH13">
        <v>455.58100000000002</v>
      </c>
      <c r="AI13">
        <v>13.071</v>
      </c>
      <c r="AJ13">
        <v>30.556999999999999</v>
      </c>
      <c r="AK13">
        <v>705.15800000000002</v>
      </c>
      <c r="AL13">
        <v>22.385000000000002</v>
      </c>
      <c r="AM13">
        <v>2462.48</v>
      </c>
      <c r="AN13">
        <v>553.07100000000003</v>
      </c>
      <c r="AO13">
        <v>147.40799999999999</v>
      </c>
      <c r="AP13">
        <v>165.69499999999999</v>
      </c>
      <c r="AQ13">
        <v>336.02</v>
      </c>
      <c r="AR13">
        <v>7227.9759999999997</v>
      </c>
      <c r="AS13">
        <v>2783.5340000000001</v>
      </c>
      <c r="AT13">
        <v>1946.8920000000001</v>
      </c>
      <c r="AU13">
        <v>1349.059</v>
      </c>
      <c r="AV13">
        <v>1106.6320000000001</v>
      </c>
      <c r="AW13">
        <v>2128.7049999999999</v>
      </c>
      <c r="AX13">
        <v>417.82400000000001</v>
      </c>
      <c r="AY13">
        <v>2058.027</v>
      </c>
      <c r="AZ13">
        <v>0</v>
      </c>
      <c r="BA13">
        <v>13170.584999999999</v>
      </c>
      <c r="BB13">
        <v>1.262</v>
      </c>
      <c r="BC13">
        <v>13.303000000000001</v>
      </c>
      <c r="BD13">
        <v>23976.196</v>
      </c>
      <c r="BE13">
        <v>2004.7280000000001</v>
      </c>
      <c r="BF13">
        <v>185.78299999999999</v>
      </c>
      <c r="BG13">
        <v>138.72900000000001</v>
      </c>
      <c r="BH13">
        <v>6137.6109999999999</v>
      </c>
      <c r="BI13">
        <v>-32413.007000000001</v>
      </c>
      <c r="BJ13">
        <v>172724.85</v>
      </c>
    </row>
    <row r="14" spans="1:62" x14ac:dyDescent="0.25">
      <c r="A14" t="str">
        <f>INDEX('ISIC Code Meanings'!$L$2:$L$51,MATCH('Calculated IO Table'!B14,'ISIC Code Meanings'!$K$2:$K$51,0),1)</f>
        <v>ISIC 17T18</v>
      </c>
      <c r="B14" t="s">
        <v>954</v>
      </c>
      <c r="C14">
        <v>859.99199999999996</v>
      </c>
      <c r="D14">
        <v>19.611000000000001</v>
      </c>
      <c r="E14">
        <v>9.3239999999999998</v>
      </c>
      <c r="F14">
        <v>16.102</v>
      </c>
      <c r="G14">
        <v>541.07600000000002</v>
      </c>
      <c r="H14">
        <v>43.628999999999998</v>
      </c>
      <c r="I14">
        <v>32.552</v>
      </c>
      <c r="J14">
        <v>19.372</v>
      </c>
      <c r="K14">
        <v>15327.946</v>
      </c>
      <c r="L14">
        <v>562.34699999999998</v>
      </c>
      <c r="M14">
        <v>773.94299999999998</v>
      </c>
      <c r="N14">
        <v>51164.288999999997</v>
      </c>
      <c r="O14">
        <v>178.81200000000001</v>
      </c>
      <c r="P14">
        <v>1875.671</v>
      </c>
      <c r="Q14">
        <v>2136.6149999999998</v>
      </c>
      <c r="R14">
        <v>1634.0070000000001</v>
      </c>
      <c r="S14">
        <v>1226.7909999999999</v>
      </c>
      <c r="T14">
        <v>164.81899999999999</v>
      </c>
      <c r="U14">
        <v>175.34700000000001</v>
      </c>
      <c r="V14">
        <v>1127.231</v>
      </c>
      <c r="W14">
        <v>562.90599999999995</v>
      </c>
      <c r="X14">
        <v>430.81</v>
      </c>
      <c r="Y14">
        <v>1086.086</v>
      </c>
      <c r="Z14">
        <v>1628.998</v>
      </c>
      <c r="AA14">
        <v>39.774999999999999</v>
      </c>
      <c r="AB14">
        <v>395.315</v>
      </c>
      <c r="AC14">
        <v>1772.799</v>
      </c>
      <c r="AD14">
        <v>338.53300000000002</v>
      </c>
      <c r="AE14">
        <v>261.24799999999999</v>
      </c>
      <c r="AF14">
        <v>2434.654</v>
      </c>
      <c r="AG14">
        <v>21436.153999999999</v>
      </c>
      <c r="AH14">
        <v>736.798</v>
      </c>
      <c r="AI14">
        <v>64.025000000000006</v>
      </c>
      <c r="AJ14">
        <v>95.046999999999997</v>
      </c>
      <c r="AK14">
        <v>637.625</v>
      </c>
      <c r="AL14">
        <v>617.28800000000001</v>
      </c>
      <c r="AM14">
        <v>4624.9979999999996</v>
      </c>
      <c r="AN14">
        <v>26113.503000000001</v>
      </c>
      <c r="AO14">
        <v>1820.5029999999999</v>
      </c>
      <c r="AP14">
        <v>4495.7820000000002</v>
      </c>
      <c r="AQ14">
        <v>10753.951999999999</v>
      </c>
      <c r="AR14">
        <v>3422.1219999999998</v>
      </c>
      <c r="AS14">
        <v>12625.146000000001</v>
      </c>
      <c r="AT14">
        <v>10049.4</v>
      </c>
      <c r="AU14">
        <v>19370.123</v>
      </c>
      <c r="AV14">
        <v>12128.673000000001</v>
      </c>
      <c r="AW14">
        <v>11480.726000000001</v>
      </c>
      <c r="AX14">
        <v>1600.0429999999999</v>
      </c>
      <c r="AY14">
        <v>3824.6529999999998</v>
      </c>
      <c r="AZ14">
        <v>0</v>
      </c>
      <c r="BA14">
        <v>62578.521999999997</v>
      </c>
      <c r="BB14">
        <v>6.2750000000000004</v>
      </c>
      <c r="BC14">
        <v>9.3140000000000001</v>
      </c>
      <c r="BD14">
        <v>1503.2909999999999</v>
      </c>
      <c r="BE14">
        <v>122.61799999999999</v>
      </c>
      <c r="BF14">
        <v>609.33000000000004</v>
      </c>
      <c r="BG14">
        <v>542.30600000000004</v>
      </c>
      <c r="BH14">
        <v>25795.812000000002</v>
      </c>
      <c r="BI14">
        <v>-32256.013999999999</v>
      </c>
      <c r="BJ14">
        <v>291648.61800000002</v>
      </c>
    </row>
    <row r="15" spans="1:62" x14ac:dyDescent="0.25">
      <c r="A15" t="str">
        <f>INDEX('ISIC Code Meanings'!$L$2:$L$51,MATCH('Calculated IO Table'!B15,'ISIC Code Meanings'!$K$2:$K$51,0),1)</f>
        <v>ISIC 19</v>
      </c>
      <c r="B15" t="s">
        <v>955</v>
      </c>
      <c r="C15">
        <v>18880.967000000001</v>
      </c>
      <c r="D15">
        <v>1075.67</v>
      </c>
      <c r="E15">
        <v>442.77100000000002</v>
      </c>
      <c r="F15">
        <v>1003.4690000000001</v>
      </c>
      <c r="G15">
        <v>14180.75</v>
      </c>
      <c r="H15">
        <v>1733.1679999999999</v>
      </c>
      <c r="I15">
        <v>1658.855</v>
      </c>
      <c r="J15">
        <v>982.89099999999996</v>
      </c>
      <c r="K15">
        <v>12056.271000000001</v>
      </c>
      <c r="L15">
        <v>800.58299999999997</v>
      </c>
      <c r="M15">
        <v>2071.0880000000002</v>
      </c>
      <c r="N15">
        <v>3917.3719999999998</v>
      </c>
      <c r="O15">
        <v>50623.341</v>
      </c>
      <c r="P15">
        <v>33416.160000000003</v>
      </c>
      <c r="Q15">
        <v>2196.087</v>
      </c>
      <c r="R15">
        <v>5031.45</v>
      </c>
      <c r="S15">
        <v>4540.25</v>
      </c>
      <c r="T15">
        <v>5811.7830000000004</v>
      </c>
      <c r="U15">
        <v>1555.2909999999999</v>
      </c>
      <c r="V15">
        <v>2732.0569999999998</v>
      </c>
      <c r="W15">
        <v>547.27599999999995</v>
      </c>
      <c r="X15">
        <v>1067.2460000000001</v>
      </c>
      <c r="Y15">
        <v>1951.0409999999999</v>
      </c>
      <c r="Z15">
        <v>5691.009</v>
      </c>
      <c r="AA15">
        <v>143.69800000000001</v>
      </c>
      <c r="AB15">
        <v>919.14599999999996</v>
      </c>
      <c r="AC15">
        <v>2395.1489999999999</v>
      </c>
      <c r="AD15">
        <v>18336.156999999999</v>
      </c>
      <c r="AE15">
        <v>3791.7220000000002</v>
      </c>
      <c r="AF15">
        <v>24550.46</v>
      </c>
      <c r="AG15">
        <v>70445.985000000001</v>
      </c>
      <c r="AH15">
        <v>91732.472999999998</v>
      </c>
      <c r="AI15">
        <v>9336.0759999999991</v>
      </c>
      <c r="AJ15">
        <v>35815.629999999997</v>
      </c>
      <c r="AK15">
        <v>10061.641</v>
      </c>
      <c r="AL15">
        <v>3205.2339999999999</v>
      </c>
      <c r="AM15">
        <v>10769.028</v>
      </c>
      <c r="AN15">
        <v>2880.0329999999999</v>
      </c>
      <c r="AO15">
        <v>2887.3229999999999</v>
      </c>
      <c r="AP15">
        <v>3566.6750000000002</v>
      </c>
      <c r="AQ15">
        <v>10978.578</v>
      </c>
      <c r="AR15">
        <v>9663.7749999999996</v>
      </c>
      <c r="AS15">
        <v>14560.748</v>
      </c>
      <c r="AT15">
        <v>19093.436000000002</v>
      </c>
      <c r="AU15">
        <v>52970.665000000001</v>
      </c>
      <c r="AV15">
        <v>9819.3860000000004</v>
      </c>
      <c r="AW15">
        <v>20134.588</v>
      </c>
      <c r="AX15">
        <v>2733.415</v>
      </c>
      <c r="AY15">
        <v>6876.7290000000003</v>
      </c>
      <c r="AZ15">
        <v>0</v>
      </c>
      <c r="BA15">
        <v>224441.465</v>
      </c>
      <c r="BB15">
        <v>39.838000000000001</v>
      </c>
      <c r="BC15">
        <v>2.6320000000000001</v>
      </c>
      <c r="BD15">
        <v>1203.289</v>
      </c>
      <c r="BE15">
        <v>698.76099999999997</v>
      </c>
      <c r="BF15">
        <v>942.66300000000001</v>
      </c>
      <c r="BG15">
        <v>1527.212</v>
      </c>
      <c r="BH15">
        <v>128511.31299999999</v>
      </c>
      <c r="BI15">
        <v>-87903.112999999998</v>
      </c>
      <c r="BJ15">
        <v>881098.65500000003</v>
      </c>
    </row>
    <row r="16" spans="1:62" x14ac:dyDescent="0.25">
      <c r="A16" t="str">
        <f>INDEX('ISIC Code Meanings'!$L$2:$L$51,MATCH('Calculated IO Table'!B16,'ISIC Code Meanings'!$K$2:$K$51,0),1)</f>
        <v>ISIC 20</v>
      </c>
      <c r="B16" t="s">
        <v>956</v>
      </c>
      <c r="C16">
        <v>41043.896999999997</v>
      </c>
      <c r="D16">
        <v>162.57900000000001</v>
      </c>
      <c r="E16">
        <v>33.893000000000001</v>
      </c>
      <c r="F16">
        <v>438.07100000000003</v>
      </c>
      <c r="G16">
        <v>5444.4970000000003</v>
      </c>
      <c r="H16">
        <v>845.67899999999997</v>
      </c>
      <c r="I16">
        <v>805.92100000000005</v>
      </c>
      <c r="J16">
        <v>313.68700000000001</v>
      </c>
      <c r="K16">
        <v>14636.553</v>
      </c>
      <c r="L16">
        <v>6038.723</v>
      </c>
      <c r="M16">
        <v>4306.1729999999998</v>
      </c>
      <c r="N16">
        <v>14427.173000000001</v>
      </c>
      <c r="O16">
        <v>9899.5679999999993</v>
      </c>
      <c r="P16">
        <v>108012.79700000001</v>
      </c>
      <c r="Q16">
        <v>16207.235000000001</v>
      </c>
      <c r="R16">
        <v>60101.81</v>
      </c>
      <c r="S16">
        <v>5944.5010000000002</v>
      </c>
      <c r="T16">
        <v>1896.454</v>
      </c>
      <c r="U16">
        <v>1689.857</v>
      </c>
      <c r="V16">
        <v>5400.3530000000001</v>
      </c>
      <c r="W16">
        <v>2889.1080000000002</v>
      </c>
      <c r="X16">
        <v>2413.6909999999998</v>
      </c>
      <c r="Y16">
        <v>3762.8670000000002</v>
      </c>
      <c r="Z16">
        <v>11824.421</v>
      </c>
      <c r="AA16">
        <v>541.38699999999994</v>
      </c>
      <c r="AB16">
        <v>1642.7380000000001</v>
      </c>
      <c r="AC16">
        <v>7251.3090000000002</v>
      </c>
      <c r="AD16">
        <v>1251.327</v>
      </c>
      <c r="AE16">
        <v>2269.4839999999999</v>
      </c>
      <c r="AF16">
        <v>16103.591</v>
      </c>
      <c r="AG16">
        <v>12992.512000000001</v>
      </c>
      <c r="AH16">
        <v>2839.3130000000001</v>
      </c>
      <c r="AI16">
        <v>277.79700000000003</v>
      </c>
      <c r="AJ16">
        <v>930.94299999999998</v>
      </c>
      <c r="AK16">
        <v>1169.173</v>
      </c>
      <c r="AL16">
        <v>145.36000000000001</v>
      </c>
      <c r="AM16">
        <v>7424.7719999999999</v>
      </c>
      <c r="AN16">
        <v>4124.9070000000002</v>
      </c>
      <c r="AO16">
        <v>312.66300000000001</v>
      </c>
      <c r="AP16">
        <v>1323.1279999999999</v>
      </c>
      <c r="AQ16">
        <v>1198.396</v>
      </c>
      <c r="AR16">
        <v>8926.7330000000002</v>
      </c>
      <c r="AS16">
        <v>12721.694</v>
      </c>
      <c r="AT16">
        <v>9685.5830000000005</v>
      </c>
      <c r="AU16">
        <v>8061.4880000000003</v>
      </c>
      <c r="AV16">
        <v>5205.3059999999996</v>
      </c>
      <c r="AW16">
        <v>32254.053</v>
      </c>
      <c r="AX16">
        <v>1201.0160000000001</v>
      </c>
      <c r="AY16">
        <v>8737.0640000000003</v>
      </c>
      <c r="AZ16">
        <v>0</v>
      </c>
      <c r="BA16">
        <v>178995.791</v>
      </c>
      <c r="BB16">
        <v>105.756</v>
      </c>
      <c r="BC16">
        <v>7.3769999999999998</v>
      </c>
      <c r="BD16">
        <v>6263.7129999999997</v>
      </c>
      <c r="BE16">
        <v>584.77800000000002</v>
      </c>
      <c r="BF16">
        <v>393.78699999999998</v>
      </c>
      <c r="BG16">
        <v>597.49900000000002</v>
      </c>
      <c r="BH16">
        <v>124289.89200000001</v>
      </c>
      <c r="BI16">
        <v>-140620.99600000001</v>
      </c>
      <c r="BJ16">
        <v>637748.84400000004</v>
      </c>
    </row>
    <row r="17" spans="1:62" x14ac:dyDescent="0.25">
      <c r="A17" t="str">
        <f>INDEX('ISIC Code Meanings'!$L$2:$L$51,MATCH('Calculated IO Table'!B17,'ISIC Code Meanings'!$K$2:$K$51,0),1)</f>
        <v>ISIC 21</v>
      </c>
      <c r="B17" t="s">
        <v>957</v>
      </c>
      <c r="C17">
        <v>2723.098</v>
      </c>
      <c r="D17">
        <v>13.066000000000001</v>
      </c>
      <c r="E17">
        <v>4.4980000000000002</v>
      </c>
      <c r="F17">
        <v>30.817</v>
      </c>
      <c r="G17">
        <v>439.21199999999999</v>
      </c>
      <c r="H17">
        <v>56.670999999999999</v>
      </c>
      <c r="I17">
        <v>46.03</v>
      </c>
      <c r="J17">
        <v>22.34</v>
      </c>
      <c r="K17">
        <v>1702.7460000000001</v>
      </c>
      <c r="L17">
        <v>295.95499999999998</v>
      </c>
      <c r="M17">
        <v>271.363</v>
      </c>
      <c r="N17">
        <v>749.38699999999994</v>
      </c>
      <c r="O17">
        <v>553.18700000000001</v>
      </c>
      <c r="P17">
        <v>4891.8580000000002</v>
      </c>
      <c r="Q17">
        <v>10582.433000000001</v>
      </c>
      <c r="R17">
        <v>2659.7950000000001</v>
      </c>
      <c r="S17">
        <v>331.46100000000001</v>
      </c>
      <c r="T17">
        <v>184.33699999999999</v>
      </c>
      <c r="U17">
        <v>115.992</v>
      </c>
      <c r="V17">
        <v>435.27699999999999</v>
      </c>
      <c r="W17">
        <v>316.98700000000002</v>
      </c>
      <c r="X17">
        <v>168.10300000000001</v>
      </c>
      <c r="Y17">
        <v>433.17700000000002</v>
      </c>
      <c r="Z17">
        <v>855.31600000000003</v>
      </c>
      <c r="AA17">
        <v>42.27</v>
      </c>
      <c r="AB17">
        <v>238.80500000000001</v>
      </c>
      <c r="AC17">
        <v>478.899</v>
      </c>
      <c r="AD17">
        <v>136.95699999999999</v>
      </c>
      <c r="AE17">
        <v>159.08699999999999</v>
      </c>
      <c r="AF17">
        <v>1413.297</v>
      </c>
      <c r="AG17">
        <v>1952.7270000000001</v>
      </c>
      <c r="AH17">
        <v>289.928</v>
      </c>
      <c r="AI17">
        <v>26.984000000000002</v>
      </c>
      <c r="AJ17">
        <v>87.216999999999999</v>
      </c>
      <c r="AK17">
        <v>96.423000000000002</v>
      </c>
      <c r="AL17">
        <v>20.785</v>
      </c>
      <c r="AM17">
        <v>616.16399999999999</v>
      </c>
      <c r="AN17">
        <v>357.34</v>
      </c>
      <c r="AO17">
        <v>169.964</v>
      </c>
      <c r="AP17">
        <v>334.11900000000003</v>
      </c>
      <c r="AQ17">
        <v>224.77500000000001</v>
      </c>
      <c r="AR17">
        <v>606.57799999999997</v>
      </c>
      <c r="AS17">
        <v>3871.6529999999998</v>
      </c>
      <c r="AT17">
        <v>639.94600000000003</v>
      </c>
      <c r="AU17">
        <v>3831.3719999999998</v>
      </c>
      <c r="AV17">
        <v>802.14599999999996</v>
      </c>
      <c r="AW17">
        <v>64412.474999999999</v>
      </c>
      <c r="AX17">
        <v>210.02099999999999</v>
      </c>
      <c r="AY17">
        <v>711.096</v>
      </c>
      <c r="AZ17">
        <v>0</v>
      </c>
      <c r="BA17">
        <v>301992.772</v>
      </c>
      <c r="BB17">
        <v>229.21199999999999</v>
      </c>
      <c r="BC17">
        <v>8.2669999999999995</v>
      </c>
      <c r="BD17">
        <v>35980.947999999997</v>
      </c>
      <c r="BE17">
        <v>472.70600000000002</v>
      </c>
      <c r="BF17">
        <v>267.541</v>
      </c>
      <c r="BG17">
        <v>309.26400000000001</v>
      </c>
      <c r="BH17">
        <v>56665.652999999998</v>
      </c>
      <c r="BI17">
        <v>-145051.111</v>
      </c>
      <c r="BJ17">
        <v>360489.386</v>
      </c>
    </row>
    <row r="18" spans="1:62" x14ac:dyDescent="0.25">
      <c r="A18" t="str">
        <f>INDEX('ISIC Code Meanings'!$L$2:$L$51,MATCH('Calculated IO Table'!B18,'ISIC Code Meanings'!$K$2:$K$51,0),1)</f>
        <v>ISIC 22</v>
      </c>
      <c r="B18" t="s">
        <v>958</v>
      </c>
      <c r="C18">
        <v>4036.6129999999998</v>
      </c>
      <c r="D18">
        <v>98.394000000000005</v>
      </c>
      <c r="E18">
        <v>27.766999999999999</v>
      </c>
      <c r="F18">
        <v>220.71299999999999</v>
      </c>
      <c r="G18">
        <v>3102.6089999999999</v>
      </c>
      <c r="H18">
        <v>211.654</v>
      </c>
      <c r="I18">
        <v>205.92</v>
      </c>
      <c r="J18">
        <v>93.067999999999998</v>
      </c>
      <c r="K18">
        <v>25704.024000000001</v>
      </c>
      <c r="L18">
        <v>1433.346</v>
      </c>
      <c r="M18">
        <v>1463.9690000000001</v>
      </c>
      <c r="N18">
        <v>5860.5550000000003</v>
      </c>
      <c r="O18">
        <v>607.71100000000001</v>
      </c>
      <c r="P18">
        <v>6763.7879999999996</v>
      </c>
      <c r="Q18">
        <v>4573.9849999999997</v>
      </c>
      <c r="R18">
        <v>33281.432999999997</v>
      </c>
      <c r="S18">
        <v>1688.232</v>
      </c>
      <c r="T18">
        <v>405.15899999999999</v>
      </c>
      <c r="U18">
        <v>561.59100000000001</v>
      </c>
      <c r="V18">
        <v>4576.0249999999996</v>
      </c>
      <c r="W18">
        <v>3282.5729999999999</v>
      </c>
      <c r="X18">
        <v>3501.7979999999998</v>
      </c>
      <c r="Y18">
        <v>7505.95</v>
      </c>
      <c r="Z18">
        <v>32779.131000000001</v>
      </c>
      <c r="AA18">
        <v>286.42599999999999</v>
      </c>
      <c r="AB18">
        <v>4010.8009999999999</v>
      </c>
      <c r="AC18">
        <v>6108.5429999999997</v>
      </c>
      <c r="AD18">
        <v>360.73500000000001</v>
      </c>
      <c r="AE18">
        <v>1202.923</v>
      </c>
      <c r="AF18">
        <v>31786.685000000001</v>
      </c>
      <c r="AG18">
        <v>40855.997000000003</v>
      </c>
      <c r="AH18">
        <v>6389.47</v>
      </c>
      <c r="AI18">
        <v>119.842</v>
      </c>
      <c r="AJ18">
        <v>171.315</v>
      </c>
      <c r="AK18">
        <v>1163.0550000000001</v>
      </c>
      <c r="AL18">
        <v>258.40800000000002</v>
      </c>
      <c r="AM18">
        <v>3902.547</v>
      </c>
      <c r="AN18">
        <v>1559.1990000000001</v>
      </c>
      <c r="AO18">
        <v>660.38900000000001</v>
      </c>
      <c r="AP18">
        <v>575.69500000000005</v>
      </c>
      <c r="AQ18">
        <v>1608.9690000000001</v>
      </c>
      <c r="AR18">
        <v>6937.0069999999996</v>
      </c>
      <c r="AS18">
        <v>5270.9870000000001</v>
      </c>
      <c r="AT18">
        <v>6369.3639999999996</v>
      </c>
      <c r="AU18">
        <v>4727.509</v>
      </c>
      <c r="AV18">
        <v>2602.0300000000002</v>
      </c>
      <c r="AW18">
        <v>8169.0829999999996</v>
      </c>
      <c r="AX18">
        <v>748.13800000000003</v>
      </c>
      <c r="AY18">
        <v>1960.829</v>
      </c>
      <c r="AZ18">
        <v>0</v>
      </c>
      <c r="BA18">
        <v>77485.129000000001</v>
      </c>
      <c r="BB18">
        <v>3.1080000000000001</v>
      </c>
      <c r="BC18">
        <v>15.452999999999999</v>
      </c>
      <c r="BD18">
        <v>5501.1030000000001</v>
      </c>
      <c r="BE18">
        <v>487.24299999999999</v>
      </c>
      <c r="BF18">
        <v>59.03</v>
      </c>
      <c r="BG18">
        <v>20.102</v>
      </c>
      <c r="BH18">
        <v>27434.314999999999</v>
      </c>
      <c r="BI18">
        <v>-87139.551999999996</v>
      </c>
      <c r="BJ18">
        <v>303657.886</v>
      </c>
    </row>
    <row r="19" spans="1:62" x14ac:dyDescent="0.25">
      <c r="A19" t="str">
        <f>INDEX('ISIC Code Meanings'!$L$2:$L$51,MATCH('Calculated IO Table'!B19,'ISIC Code Meanings'!$K$2:$K$51,0),1)</f>
        <v>ISIC 231</v>
      </c>
      <c r="B19" t="s">
        <v>959</v>
      </c>
      <c r="C19">
        <v>1193.4159999999999</v>
      </c>
      <c r="D19">
        <v>26.673999999999999</v>
      </c>
      <c r="E19">
        <v>2.3860000000000001</v>
      </c>
      <c r="F19">
        <v>45.262</v>
      </c>
      <c r="G19">
        <v>1386.0540000000001</v>
      </c>
      <c r="H19">
        <v>193.56100000000001</v>
      </c>
      <c r="I19">
        <v>241.96700000000001</v>
      </c>
      <c r="J19">
        <v>47.837000000000003</v>
      </c>
      <c r="K19">
        <v>4499.598</v>
      </c>
      <c r="L19">
        <v>98.475999999999999</v>
      </c>
      <c r="M19">
        <v>621.91800000000001</v>
      </c>
      <c r="N19">
        <v>164.36500000000001</v>
      </c>
      <c r="O19">
        <v>219.91399999999999</v>
      </c>
      <c r="P19">
        <v>1269.096</v>
      </c>
      <c r="Q19">
        <v>936.60199999999998</v>
      </c>
      <c r="R19">
        <v>1500.953</v>
      </c>
      <c r="S19">
        <v>17029.310000000001</v>
      </c>
      <c r="T19">
        <v>1423.2719999999999</v>
      </c>
      <c r="U19">
        <v>433.52499999999998</v>
      </c>
      <c r="V19">
        <v>1480.0070000000001</v>
      </c>
      <c r="W19">
        <v>925.60400000000004</v>
      </c>
      <c r="X19">
        <v>674.16</v>
      </c>
      <c r="Y19">
        <v>978.94799999999998</v>
      </c>
      <c r="Z19">
        <v>4301.2759999999998</v>
      </c>
      <c r="AA19">
        <v>134.578</v>
      </c>
      <c r="AB19">
        <v>388.87</v>
      </c>
      <c r="AC19">
        <v>1041.5260000000001</v>
      </c>
      <c r="AD19">
        <v>357.03399999999999</v>
      </c>
      <c r="AE19">
        <v>283.67200000000003</v>
      </c>
      <c r="AF19">
        <v>109929.792</v>
      </c>
      <c r="AG19">
        <v>4009.683</v>
      </c>
      <c r="AH19">
        <v>373.51400000000001</v>
      </c>
      <c r="AI19">
        <v>62.307000000000002</v>
      </c>
      <c r="AJ19">
        <v>41.972000000000001</v>
      </c>
      <c r="AK19">
        <v>232.739</v>
      </c>
      <c r="AL19">
        <v>29.248000000000001</v>
      </c>
      <c r="AM19">
        <v>2390.2330000000002</v>
      </c>
      <c r="AN19">
        <v>75.637</v>
      </c>
      <c r="AO19">
        <v>96.796000000000006</v>
      </c>
      <c r="AP19">
        <v>61.783999999999999</v>
      </c>
      <c r="AQ19">
        <v>379.78100000000001</v>
      </c>
      <c r="AR19">
        <v>16235.993</v>
      </c>
      <c r="AS19">
        <v>2068.2080000000001</v>
      </c>
      <c r="AT19">
        <v>1046.482</v>
      </c>
      <c r="AU19">
        <v>1963.37</v>
      </c>
      <c r="AV19">
        <v>1713.2070000000001</v>
      </c>
      <c r="AW19">
        <v>1970.3789999999999</v>
      </c>
      <c r="AX19">
        <v>250.55199999999999</v>
      </c>
      <c r="AY19">
        <v>874.24599999999998</v>
      </c>
      <c r="AZ19">
        <v>0</v>
      </c>
      <c r="BA19">
        <v>27427.439999999999</v>
      </c>
      <c r="BB19">
        <v>0.98799999999999999</v>
      </c>
      <c r="BC19">
        <v>2.3780000000000001</v>
      </c>
      <c r="BD19">
        <v>1169.0820000000001</v>
      </c>
      <c r="BE19">
        <v>88.587000000000003</v>
      </c>
      <c r="BF19">
        <v>44.857999999999997</v>
      </c>
      <c r="BG19">
        <v>2.2320000000000002</v>
      </c>
      <c r="BH19">
        <v>9806.6929999999993</v>
      </c>
      <c r="BI19">
        <v>-34192.42</v>
      </c>
      <c r="BJ19">
        <v>190055.622</v>
      </c>
    </row>
    <row r="20" spans="1:62" x14ac:dyDescent="0.25">
      <c r="A20" t="str">
        <f>INDEX('ISIC Code Meanings'!$L$2:$L$51,MATCH('Calculated IO Table'!B20,'ISIC Code Meanings'!$K$2:$K$51,0),1)</f>
        <v>ISIC 241</v>
      </c>
      <c r="B20" t="s">
        <v>960</v>
      </c>
      <c r="C20">
        <v>319.56299999999999</v>
      </c>
      <c r="D20">
        <v>17.78</v>
      </c>
      <c r="E20">
        <v>2.605</v>
      </c>
      <c r="F20">
        <v>151.80600000000001</v>
      </c>
      <c r="G20">
        <v>5988.6220000000003</v>
      </c>
      <c r="H20">
        <v>196.648</v>
      </c>
      <c r="I20">
        <v>51.676000000000002</v>
      </c>
      <c r="J20">
        <v>78.808999999999997</v>
      </c>
      <c r="K20">
        <v>481.12799999999999</v>
      </c>
      <c r="L20">
        <v>49.002000000000002</v>
      </c>
      <c r="M20">
        <v>294.88900000000001</v>
      </c>
      <c r="N20">
        <v>194.44399999999999</v>
      </c>
      <c r="O20">
        <v>358.74299999999999</v>
      </c>
      <c r="P20">
        <v>383.34899999999999</v>
      </c>
      <c r="Q20">
        <v>74.582999999999998</v>
      </c>
      <c r="R20">
        <v>1314.6569999999999</v>
      </c>
      <c r="S20">
        <v>1208.057</v>
      </c>
      <c r="T20">
        <v>39805.828000000001</v>
      </c>
      <c r="U20">
        <v>2027.0160000000001</v>
      </c>
      <c r="V20">
        <v>52182.606</v>
      </c>
      <c r="W20">
        <v>1411.8679999999999</v>
      </c>
      <c r="X20">
        <v>2898.357</v>
      </c>
      <c r="Y20">
        <v>24647.156999999999</v>
      </c>
      <c r="Z20">
        <v>28170.859</v>
      </c>
      <c r="AA20">
        <v>1299.356</v>
      </c>
      <c r="AB20">
        <v>8395.1239999999998</v>
      </c>
      <c r="AC20">
        <v>2810.393</v>
      </c>
      <c r="AD20">
        <v>557.49699999999996</v>
      </c>
      <c r="AE20">
        <v>1662.12</v>
      </c>
      <c r="AF20">
        <v>36786.550000000003</v>
      </c>
      <c r="AG20">
        <v>3043.1619999999998</v>
      </c>
      <c r="AH20">
        <v>545.16099999999994</v>
      </c>
      <c r="AI20">
        <v>64.316000000000003</v>
      </c>
      <c r="AJ20">
        <v>129.06100000000001</v>
      </c>
      <c r="AK20">
        <v>305.077</v>
      </c>
      <c r="AL20">
        <v>18.204000000000001</v>
      </c>
      <c r="AM20">
        <v>134.66300000000001</v>
      </c>
      <c r="AN20">
        <v>32.652999999999999</v>
      </c>
      <c r="AO20">
        <v>33.338000000000001</v>
      </c>
      <c r="AP20">
        <v>34.447000000000003</v>
      </c>
      <c r="AQ20">
        <v>104.27200000000001</v>
      </c>
      <c r="AR20">
        <v>2000.501</v>
      </c>
      <c r="AS20">
        <v>1651.1780000000001</v>
      </c>
      <c r="AT20">
        <v>419.00799999999998</v>
      </c>
      <c r="AU20">
        <v>849.78200000000004</v>
      </c>
      <c r="AV20">
        <v>306.38299999999998</v>
      </c>
      <c r="AW20">
        <v>278.37200000000001</v>
      </c>
      <c r="AX20">
        <v>111.794</v>
      </c>
      <c r="AY20">
        <v>222.08799999999999</v>
      </c>
      <c r="AZ20">
        <v>0</v>
      </c>
      <c r="BA20">
        <v>1165.425</v>
      </c>
      <c r="BB20">
        <v>0.51500000000000001</v>
      </c>
      <c r="BC20">
        <v>0.502</v>
      </c>
      <c r="BD20">
        <v>829.06700000000001</v>
      </c>
      <c r="BE20">
        <v>23.137</v>
      </c>
      <c r="BF20">
        <v>6.9</v>
      </c>
      <c r="BG20">
        <v>5.875</v>
      </c>
      <c r="BH20">
        <v>18199.361000000001</v>
      </c>
      <c r="BI20">
        <v>-45869.811000000002</v>
      </c>
      <c r="BJ20">
        <v>198465.524</v>
      </c>
    </row>
    <row r="21" spans="1:62" x14ac:dyDescent="0.25">
      <c r="A21" t="str">
        <f>INDEX('ISIC Code Meanings'!$L$2:$L$51,MATCH('Calculated IO Table'!B21,'ISIC Code Meanings'!$K$2:$K$51,0),1)</f>
        <v>ISIC 242</v>
      </c>
      <c r="B21" t="s">
        <v>961</v>
      </c>
      <c r="C21">
        <v>243.55799999999999</v>
      </c>
      <c r="D21">
        <v>12.98</v>
      </c>
      <c r="E21">
        <v>0.499</v>
      </c>
      <c r="F21">
        <v>20.001000000000001</v>
      </c>
      <c r="G21">
        <v>1321.4829999999999</v>
      </c>
      <c r="H21">
        <v>81.546000000000006</v>
      </c>
      <c r="I21">
        <v>28.004999999999999</v>
      </c>
      <c r="J21">
        <v>14.196</v>
      </c>
      <c r="K21">
        <v>1755.296</v>
      </c>
      <c r="L21">
        <v>97.927000000000007</v>
      </c>
      <c r="M21">
        <v>286.74799999999999</v>
      </c>
      <c r="N21">
        <v>470.06299999999999</v>
      </c>
      <c r="O21">
        <v>154.34399999999999</v>
      </c>
      <c r="P21">
        <v>2716.1129999999998</v>
      </c>
      <c r="Q21">
        <v>370.36599999999999</v>
      </c>
      <c r="R21">
        <v>1337.2470000000001</v>
      </c>
      <c r="S21">
        <v>657.42399999999998</v>
      </c>
      <c r="T21">
        <v>7932.2709999999997</v>
      </c>
      <c r="U21">
        <v>48288.124000000003</v>
      </c>
      <c r="V21">
        <v>30864.16</v>
      </c>
      <c r="W21">
        <v>4702.0020000000004</v>
      </c>
      <c r="X21">
        <v>9493.8160000000007</v>
      </c>
      <c r="Y21">
        <v>12837.789000000001</v>
      </c>
      <c r="Z21">
        <v>19403.186000000002</v>
      </c>
      <c r="AA21">
        <v>449.82900000000001</v>
      </c>
      <c r="AB21">
        <v>5298.2539999999999</v>
      </c>
      <c r="AC21">
        <v>5723.9009999999998</v>
      </c>
      <c r="AD21">
        <v>338.96800000000002</v>
      </c>
      <c r="AE21">
        <v>2004.8779999999999</v>
      </c>
      <c r="AF21">
        <v>11663.454</v>
      </c>
      <c r="AG21">
        <v>3461.88</v>
      </c>
      <c r="AH21">
        <v>181.44499999999999</v>
      </c>
      <c r="AI21">
        <v>23.254000000000001</v>
      </c>
      <c r="AJ21">
        <v>12.849</v>
      </c>
      <c r="AK21">
        <v>109.76300000000001</v>
      </c>
      <c r="AL21">
        <v>3.87</v>
      </c>
      <c r="AM21">
        <v>392.33499999999998</v>
      </c>
      <c r="AN21">
        <v>114.26600000000001</v>
      </c>
      <c r="AO21">
        <v>47.54</v>
      </c>
      <c r="AP21">
        <v>47.591999999999999</v>
      </c>
      <c r="AQ21">
        <v>126.282</v>
      </c>
      <c r="AR21">
        <v>1373.769</v>
      </c>
      <c r="AS21">
        <v>992.05600000000004</v>
      </c>
      <c r="AT21">
        <v>241.69499999999999</v>
      </c>
      <c r="AU21">
        <v>669.08399999999995</v>
      </c>
      <c r="AV21">
        <v>117.73399999999999</v>
      </c>
      <c r="AW21">
        <v>659.529</v>
      </c>
      <c r="AX21">
        <v>105.188</v>
      </c>
      <c r="AY21">
        <v>311.55900000000003</v>
      </c>
      <c r="AZ21">
        <v>0</v>
      </c>
      <c r="BA21">
        <v>3053.8539999999998</v>
      </c>
      <c r="BB21">
        <v>0.87</v>
      </c>
      <c r="BC21">
        <v>15.09</v>
      </c>
      <c r="BD21">
        <v>1982.825</v>
      </c>
      <c r="BE21">
        <v>91.578000000000003</v>
      </c>
      <c r="BF21">
        <v>11.68</v>
      </c>
      <c r="BG21">
        <v>1.9419999999999999</v>
      </c>
      <c r="BH21">
        <v>36090.175999999999</v>
      </c>
      <c r="BI21">
        <v>-57062.620999999999</v>
      </c>
      <c r="BJ21">
        <v>161745.51300000001</v>
      </c>
    </row>
    <row r="22" spans="1:62" x14ac:dyDescent="0.25">
      <c r="A22" t="str">
        <f>INDEX('ISIC Code Meanings'!$L$2:$L$51,MATCH('Calculated IO Table'!B22,'ISIC Code Meanings'!$K$2:$K$51,0),1)</f>
        <v>ISIC 25</v>
      </c>
      <c r="B22" t="s">
        <v>962</v>
      </c>
      <c r="C22">
        <v>2593.9250000000002</v>
      </c>
      <c r="D22">
        <v>150.24799999999999</v>
      </c>
      <c r="E22">
        <v>12.856999999999999</v>
      </c>
      <c r="F22">
        <v>548.51599999999996</v>
      </c>
      <c r="G22">
        <v>9468.4</v>
      </c>
      <c r="H22">
        <v>509.38900000000001</v>
      </c>
      <c r="I22">
        <v>291.91000000000003</v>
      </c>
      <c r="J22">
        <v>410.77199999999999</v>
      </c>
      <c r="K22">
        <v>11160.544</v>
      </c>
      <c r="L22">
        <v>333.05599999999998</v>
      </c>
      <c r="M22">
        <v>2601.8910000000001</v>
      </c>
      <c r="N22">
        <v>1143.6199999999999</v>
      </c>
      <c r="O22">
        <v>756.73500000000001</v>
      </c>
      <c r="P22">
        <v>3105.0309999999999</v>
      </c>
      <c r="Q22">
        <v>892.39099999999996</v>
      </c>
      <c r="R22">
        <v>3230.163</v>
      </c>
      <c r="S22">
        <v>1949.779</v>
      </c>
      <c r="T22">
        <v>5956.0749999999998</v>
      </c>
      <c r="U22">
        <v>2012.289</v>
      </c>
      <c r="V22">
        <v>52075.118999999999</v>
      </c>
      <c r="W22">
        <v>3228.913</v>
      </c>
      <c r="X22">
        <v>4387.8789999999999</v>
      </c>
      <c r="Y22">
        <v>34413.534</v>
      </c>
      <c r="Z22">
        <v>40233.067999999999</v>
      </c>
      <c r="AA22">
        <v>2185.895</v>
      </c>
      <c r="AB22">
        <v>9997.1560000000009</v>
      </c>
      <c r="AC22">
        <v>7574.4530000000004</v>
      </c>
      <c r="AD22">
        <v>1134.72</v>
      </c>
      <c r="AE22">
        <v>994.48500000000001</v>
      </c>
      <c r="AF22">
        <v>83611.445000000007</v>
      </c>
      <c r="AG22">
        <v>15400.085999999999</v>
      </c>
      <c r="AH22">
        <v>1157.6079999999999</v>
      </c>
      <c r="AI22">
        <v>110.11</v>
      </c>
      <c r="AJ22">
        <v>80.733000000000004</v>
      </c>
      <c r="AK22">
        <v>863.70399999999995</v>
      </c>
      <c r="AL22">
        <v>62.987000000000002</v>
      </c>
      <c r="AM22">
        <v>3322.1419999999998</v>
      </c>
      <c r="AN22">
        <v>545.43700000000001</v>
      </c>
      <c r="AO22">
        <v>855.00099999999998</v>
      </c>
      <c r="AP22">
        <v>601.33500000000004</v>
      </c>
      <c r="AQ22">
        <v>548.16499999999996</v>
      </c>
      <c r="AR22">
        <v>12450.017</v>
      </c>
      <c r="AS22">
        <v>6518.4589999999998</v>
      </c>
      <c r="AT22">
        <v>5632.3310000000001</v>
      </c>
      <c r="AU22">
        <v>18866.607</v>
      </c>
      <c r="AV22">
        <v>2200.0439999999999</v>
      </c>
      <c r="AW22">
        <v>3031.6770000000001</v>
      </c>
      <c r="AX22">
        <v>624.84500000000003</v>
      </c>
      <c r="AY22">
        <v>2042.2460000000001</v>
      </c>
      <c r="AZ22">
        <v>0</v>
      </c>
      <c r="BA22">
        <v>66980.899999999994</v>
      </c>
      <c r="BB22">
        <v>4.891</v>
      </c>
      <c r="BC22">
        <v>7.3230000000000004</v>
      </c>
      <c r="BD22">
        <v>59986.923999999999</v>
      </c>
      <c r="BE22">
        <v>4797.0469999999996</v>
      </c>
      <c r="BF22">
        <v>77.113</v>
      </c>
      <c r="BG22">
        <v>8.8260000000000005</v>
      </c>
      <c r="BH22">
        <v>30298.788</v>
      </c>
      <c r="BI22">
        <v>-70495.259999999995</v>
      </c>
      <c r="BJ22">
        <v>453544.34600000002</v>
      </c>
    </row>
    <row r="23" spans="1:62" x14ac:dyDescent="0.25">
      <c r="A23" t="str">
        <f>INDEX('ISIC Code Meanings'!$L$2:$L$51,MATCH('Calculated IO Table'!B23,'ISIC Code Meanings'!$K$2:$K$51,0),1)</f>
        <v>ISIC 26</v>
      </c>
      <c r="B23" t="s">
        <v>963</v>
      </c>
      <c r="C23">
        <v>603.53499999999997</v>
      </c>
      <c r="D23">
        <v>28.856000000000002</v>
      </c>
      <c r="E23">
        <v>5.2229999999999999</v>
      </c>
      <c r="F23">
        <v>44.018000000000001</v>
      </c>
      <c r="G23">
        <v>1253.6990000000001</v>
      </c>
      <c r="H23">
        <v>59.871000000000002</v>
      </c>
      <c r="I23">
        <v>43.72</v>
      </c>
      <c r="J23">
        <v>44.978999999999999</v>
      </c>
      <c r="K23">
        <v>1238.7809999999999</v>
      </c>
      <c r="L23">
        <v>104.223</v>
      </c>
      <c r="M23">
        <v>959.60799999999995</v>
      </c>
      <c r="N23">
        <v>601.42200000000003</v>
      </c>
      <c r="O23">
        <v>420.96300000000002</v>
      </c>
      <c r="P23">
        <v>1128.9690000000001</v>
      </c>
      <c r="Q23">
        <v>399.71100000000001</v>
      </c>
      <c r="R23">
        <v>701.84299999999996</v>
      </c>
      <c r="S23">
        <v>290.28800000000001</v>
      </c>
      <c r="T23">
        <v>234.42</v>
      </c>
      <c r="U23">
        <v>225.76599999999999</v>
      </c>
      <c r="V23">
        <v>1467.962</v>
      </c>
      <c r="W23">
        <v>44933.597000000002</v>
      </c>
      <c r="X23">
        <v>4838.3559999999998</v>
      </c>
      <c r="Y23">
        <v>7382.91</v>
      </c>
      <c r="Z23">
        <v>8624.1980000000003</v>
      </c>
      <c r="AA23">
        <v>530.58600000000001</v>
      </c>
      <c r="AB23">
        <v>2232.328</v>
      </c>
      <c r="AC23">
        <v>2305.8240000000001</v>
      </c>
      <c r="AD23">
        <v>1126.4870000000001</v>
      </c>
      <c r="AE23">
        <v>234.03</v>
      </c>
      <c r="AF23">
        <v>8393.5470000000005</v>
      </c>
      <c r="AG23">
        <v>14262.8</v>
      </c>
      <c r="AH23">
        <v>704.95600000000002</v>
      </c>
      <c r="AI23">
        <v>91.686000000000007</v>
      </c>
      <c r="AJ23">
        <v>323.79700000000003</v>
      </c>
      <c r="AK23">
        <v>676.25</v>
      </c>
      <c r="AL23">
        <v>259.346</v>
      </c>
      <c r="AM23">
        <v>1507.0340000000001</v>
      </c>
      <c r="AN23">
        <v>3354.6149999999998</v>
      </c>
      <c r="AO23">
        <v>16974.082999999999</v>
      </c>
      <c r="AP23">
        <v>13010.855</v>
      </c>
      <c r="AQ23">
        <v>3565.4520000000002</v>
      </c>
      <c r="AR23">
        <v>2329.1309999999999</v>
      </c>
      <c r="AS23">
        <v>11668.486000000001</v>
      </c>
      <c r="AT23">
        <v>5386.2669999999998</v>
      </c>
      <c r="AU23">
        <v>10351.799999999999</v>
      </c>
      <c r="AV23">
        <v>4637.9489999999996</v>
      </c>
      <c r="AW23">
        <v>16838.786</v>
      </c>
      <c r="AX23">
        <v>1052.0139999999999</v>
      </c>
      <c r="AY23">
        <v>2427.453</v>
      </c>
      <c r="AZ23">
        <v>0</v>
      </c>
      <c r="BA23">
        <v>148081.109</v>
      </c>
      <c r="BB23">
        <v>224.67400000000001</v>
      </c>
      <c r="BC23">
        <v>42.566000000000003</v>
      </c>
      <c r="BD23">
        <v>321369.03700000001</v>
      </c>
      <c r="BE23">
        <v>23867.343000000001</v>
      </c>
      <c r="BF23">
        <v>351.7</v>
      </c>
      <c r="BG23">
        <v>324.05399999999997</v>
      </c>
      <c r="BH23">
        <v>104845.106</v>
      </c>
      <c r="BI23">
        <v>-309436.00699999998</v>
      </c>
      <c r="BJ23">
        <v>489552.06199999998</v>
      </c>
    </row>
    <row r="24" spans="1:62" x14ac:dyDescent="0.25">
      <c r="A24" t="str">
        <f>INDEX('ISIC Code Meanings'!$L$2:$L$51,MATCH('Calculated IO Table'!B24,'ISIC Code Meanings'!$K$2:$K$51,0),1)</f>
        <v>ISIC 27</v>
      </c>
      <c r="B24" t="s">
        <v>964</v>
      </c>
      <c r="C24">
        <v>368.97800000000001</v>
      </c>
      <c r="D24">
        <v>12.151</v>
      </c>
      <c r="E24">
        <v>4.8140000000000001</v>
      </c>
      <c r="F24">
        <v>57.076000000000001</v>
      </c>
      <c r="G24">
        <v>687.39</v>
      </c>
      <c r="H24">
        <v>94.796000000000006</v>
      </c>
      <c r="I24">
        <v>81.536000000000001</v>
      </c>
      <c r="J24">
        <v>65.381</v>
      </c>
      <c r="K24">
        <v>652.971</v>
      </c>
      <c r="L24">
        <v>37.472000000000001</v>
      </c>
      <c r="M24">
        <v>88.727000000000004</v>
      </c>
      <c r="N24">
        <v>295.01400000000001</v>
      </c>
      <c r="O24">
        <v>118.58499999999999</v>
      </c>
      <c r="P24">
        <v>374.49700000000001</v>
      </c>
      <c r="Q24">
        <v>142.65600000000001</v>
      </c>
      <c r="R24">
        <v>383.89100000000002</v>
      </c>
      <c r="S24">
        <v>214.178</v>
      </c>
      <c r="T24">
        <v>282.61500000000001</v>
      </c>
      <c r="U24">
        <v>531.55100000000004</v>
      </c>
      <c r="V24">
        <v>1640.6559999999999</v>
      </c>
      <c r="W24">
        <v>3976.2460000000001</v>
      </c>
      <c r="X24">
        <v>11269.101000000001</v>
      </c>
      <c r="Y24">
        <v>7124.3040000000001</v>
      </c>
      <c r="Z24">
        <v>14651.880999999999</v>
      </c>
      <c r="AA24">
        <v>247.56200000000001</v>
      </c>
      <c r="AB24">
        <v>2262.2420000000002</v>
      </c>
      <c r="AC24">
        <v>1490.5229999999999</v>
      </c>
      <c r="AD24">
        <v>3365.9369999999999</v>
      </c>
      <c r="AE24">
        <v>289.649</v>
      </c>
      <c r="AF24">
        <v>19669.504000000001</v>
      </c>
      <c r="AG24">
        <v>8767.1749999999993</v>
      </c>
      <c r="AH24">
        <v>890.09199999999998</v>
      </c>
      <c r="AI24">
        <v>81.569000000000003</v>
      </c>
      <c r="AJ24">
        <v>95.792000000000002</v>
      </c>
      <c r="AK24">
        <v>321.54700000000003</v>
      </c>
      <c r="AL24">
        <v>54.826000000000001</v>
      </c>
      <c r="AM24">
        <v>1057.1389999999999</v>
      </c>
      <c r="AN24">
        <v>648.25599999999997</v>
      </c>
      <c r="AO24">
        <v>3656.5839999999998</v>
      </c>
      <c r="AP24">
        <v>1470.018</v>
      </c>
      <c r="AQ24">
        <v>476.29899999999998</v>
      </c>
      <c r="AR24">
        <v>2223.5479999999998</v>
      </c>
      <c r="AS24">
        <v>4167.384</v>
      </c>
      <c r="AT24">
        <v>2742.7730000000001</v>
      </c>
      <c r="AU24">
        <v>5400.3209999999999</v>
      </c>
      <c r="AV24">
        <v>1160.047</v>
      </c>
      <c r="AW24">
        <v>3034.0059999999999</v>
      </c>
      <c r="AX24">
        <v>711.48199999999997</v>
      </c>
      <c r="AY24">
        <v>1030.203</v>
      </c>
      <c r="AZ24">
        <v>0</v>
      </c>
      <c r="BA24">
        <v>93189.697</v>
      </c>
      <c r="BB24">
        <v>3.7639999999999998</v>
      </c>
      <c r="BC24">
        <v>3.7120000000000002</v>
      </c>
      <c r="BD24">
        <v>78334.900999999998</v>
      </c>
      <c r="BE24">
        <v>6662.5839999999998</v>
      </c>
      <c r="BF24">
        <v>176.51900000000001</v>
      </c>
      <c r="BG24">
        <v>128.74299999999999</v>
      </c>
      <c r="BH24">
        <v>26803.274000000001</v>
      </c>
      <c r="BI24">
        <v>-156930.905</v>
      </c>
      <c r="BJ24">
        <v>156843.236</v>
      </c>
    </row>
    <row r="25" spans="1:62" x14ac:dyDescent="0.25">
      <c r="A25" t="str">
        <f>INDEX('ISIC Code Meanings'!$L$2:$L$51,MATCH('Calculated IO Table'!B25,'ISIC Code Meanings'!$K$2:$K$51,0),1)</f>
        <v>ISIC 28</v>
      </c>
      <c r="B25" t="s">
        <v>965</v>
      </c>
      <c r="C25">
        <v>1415.4849999999999</v>
      </c>
      <c r="D25">
        <v>179.48</v>
      </c>
      <c r="E25">
        <v>18.399999999999999</v>
      </c>
      <c r="F25">
        <v>611.93899999999996</v>
      </c>
      <c r="G25">
        <v>10125.901</v>
      </c>
      <c r="H25">
        <v>591.19200000000001</v>
      </c>
      <c r="I25">
        <v>400.642</v>
      </c>
      <c r="J25">
        <v>416.12299999999999</v>
      </c>
      <c r="K25">
        <v>3051.1089999999999</v>
      </c>
      <c r="L25">
        <v>192.214</v>
      </c>
      <c r="M25">
        <v>508.685</v>
      </c>
      <c r="N25">
        <v>1077.414</v>
      </c>
      <c r="O25">
        <v>1022.0170000000001</v>
      </c>
      <c r="P25">
        <v>1282.635</v>
      </c>
      <c r="Q25">
        <v>406.17</v>
      </c>
      <c r="R25">
        <v>1141.5260000000001</v>
      </c>
      <c r="S25">
        <v>1507.672</v>
      </c>
      <c r="T25">
        <v>995.20500000000004</v>
      </c>
      <c r="U25">
        <v>432.44099999999997</v>
      </c>
      <c r="V25">
        <v>3656.6379999999999</v>
      </c>
      <c r="W25">
        <v>1296.722</v>
      </c>
      <c r="X25">
        <v>2056.489</v>
      </c>
      <c r="Y25">
        <v>36281.256999999998</v>
      </c>
      <c r="Z25">
        <v>15709.651</v>
      </c>
      <c r="AA25">
        <v>908.90499999999997</v>
      </c>
      <c r="AB25">
        <v>3370.6480000000001</v>
      </c>
      <c r="AC25">
        <v>2880.799</v>
      </c>
      <c r="AD25">
        <v>2066.29</v>
      </c>
      <c r="AE25">
        <v>740.88599999999997</v>
      </c>
      <c r="AF25">
        <v>16418.013999999999</v>
      </c>
      <c r="AG25">
        <v>10886.948</v>
      </c>
      <c r="AH25">
        <v>1209.0219999999999</v>
      </c>
      <c r="AI25">
        <v>56.567999999999998</v>
      </c>
      <c r="AJ25">
        <v>148.255</v>
      </c>
      <c r="AK25">
        <v>612.08000000000004</v>
      </c>
      <c r="AL25">
        <v>112.30500000000001</v>
      </c>
      <c r="AM25">
        <v>770.81100000000004</v>
      </c>
      <c r="AN25">
        <v>619.62400000000002</v>
      </c>
      <c r="AO25">
        <v>847.72299999999996</v>
      </c>
      <c r="AP25">
        <v>882.62300000000005</v>
      </c>
      <c r="AQ25">
        <v>1616.3140000000001</v>
      </c>
      <c r="AR25">
        <v>1395.058</v>
      </c>
      <c r="AS25">
        <v>4358.6679999999997</v>
      </c>
      <c r="AT25">
        <v>4507.5659999999998</v>
      </c>
      <c r="AU25">
        <v>6021.9030000000002</v>
      </c>
      <c r="AV25">
        <v>1400.2860000000001</v>
      </c>
      <c r="AW25">
        <v>3512.5659999999998</v>
      </c>
      <c r="AX25">
        <v>525.10799999999995</v>
      </c>
      <c r="AY25">
        <v>712.15200000000004</v>
      </c>
      <c r="AZ25">
        <v>0</v>
      </c>
      <c r="BA25">
        <v>28891.330999999998</v>
      </c>
      <c r="BB25">
        <v>37.808999999999997</v>
      </c>
      <c r="BC25">
        <v>7.7229999999999999</v>
      </c>
      <c r="BD25">
        <v>291879.32199999999</v>
      </c>
      <c r="BE25">
        <v>24556.084999999999</v>
      </c>
      <c r="BF25">
        <v>78.44</v>
      </c>
      <c r="BG25">
        <v>20.617999999999999</v>
      </c>
      <c r="BH25">
        <v>101570.72199999999</v>
      </c>
      <c r="BI25">
        <v>-151184.90599999999</v>
      </c>
      <c r="BJ25">
        <v>446815.27100000001</v>
      </c>
    </row>
    <row r="26" spans="1:62" x14ac:dyDescent="0.25">
      <c r="A26" t="str">
        <f>INDEX('ISIC Code Meanings'!$L$2:$L$51,MATCH('Calculated IO Table'!B26,'ISIC Code Meanings'!$K$2:$K$51,0),1)</f>
        <v>ISIC 29</v>
      </c>
      <c r="B26" t="s">
        <v>966</v>
      </c>
      <c r="C26">
        <v>227.3</v>
      </c>
      <c r="D26">
        <v>84.742000000000004</v>
      </c>
      <c r="E26">
        <v>3.089</v>
      </c>
      <c r="F26">
        <v>18.632000000000001</v>
      </c>
      <c r="G26">
        <v>579.52</v>
      </c>
      <c r="H26">
        <v>70.888999999999996</v>
      </c>
      <c r="I26">
        <v>46.651000000000003</v>
      </c>
      <c r="J26">
        <v>29.001000000000001</v>
      </c>
      <c r="K26">
        <v>360.01499999999999</v>
      </c>
      <c r="L26">
        <v>20.669</v>
      </c>
      <c r="M26">
        <v>64.53</v>
      </c>
      <c r="N26">
        <v>76.691000000000003</v>
      </c>
      <c r="O26">
        <v>75.715000000000003</v>
      </c>
      <c r="P26">
        <v>154.678</v>
      </c>
      <c r="Q26">
        <v>51.862000000000002</v>
      </c>
      <c r="R26">
        <v>215.11799999999999</v>
      </c>
      <c r="S26">
        <v>190.99100000000001</v>
      </c>
      <c r="T26">
        <v>111.705</v>
      </c>
      <c r="U26">
        <v>108.925</v>
      </c>
      <c r="V26">
        <v>518.08699999999999</v>
      </c>
      <c r="W26">
        <v>385.66500000000002</v>
      </c>
      <c r="X26">
        <v>419.9</v>
      </c>
      <c r="Y26">
        <v>1765.7429999999999</v>
      </c>
      <c r="Z26">
        <v>130625.74</v>
      </c>
      <c r="AA26">
        <v>58.883000000000003</v>
      </c>
      <c r="AB26">
        <v>1456.932</v>
      </c>
      <c r="AC26">
        <v>355.88400000000001</v>
      </c>
      <c r="AD26">
        <v>233.239</v>
      </c>
      <c r="AE26">
        <v>214.55600000000001</v>
      </c>
      <c r="AF26">
        <v>2025.627</v>
      </c>
      <c r="AG26">
        <v>40004.593000000001</v>
      </c>
      <c r="AH26">
        <v>5590.3329999999996</v>
      </c>
      <c r="AI26">
        <v>105.768</v>
      </c>
      <c r="AJ26">
        <v>291.43700000000001</v>
      </c>
      <c r="AK26">
        <v>589.51</v>
      </c>
      <c r="AL26">
        <v>97.495999999999995</v>
      </c>
      <c r="AM26">
        <v>203.64400000000001</v>
      </c>
      <c r="AN26">
        <v>138.55699999999999</v>
      </c>
      <c r="AO26">
        <v>273.12</v>
      </c>
      <c r="AP26">
        <v>312.09500000000003</v>
      </c>
      <c r="AQ26">
        <v>400.95499999999998</v>
      </c>
      <c r="AR26">
        <v>594.86599999999999</v>
      </c>
      <c r="AS26">
        <v>1342.0229999999999</v>
      </c>
      <c r="AT26">
        <v>2645.3670000000002</v>
      </c>
      <c r="AU26">
        <v>2026.893</v>
      </c>
      <c r="AV26">
        <v>530.24800000000005</v>
      </c>
      <c r="AW26">
        <v>824.15</v>
      </c>
      <c r="AX26">
        <v>183.01400000000001</v>
      </c>
      <c r="AY26">
        <v>249.55699999999999</v>
      </c>
      <c r="AZ26">
        <v>0</v>
      </c>
      <c r="BA26">
        <v>309620.84299999999</v>
      </c>
      <c r="BB26">
        <v>8.7100000000000009</v>
      </c>
      <c r="BC26">
        <v>1.288</v>
      </c>
      <c r="BD26">
        <v>414936.96</v>
      </c>
      <c r="BE26">
        <v>35267.476000000002</v>
      </c>
      <c r="BF26">
        <v>283.67</v>
      </c>
      <c r="BG26">
        <v>323.59300000000002</v>
      </c>
      <c r="BH26">
        <v>91544.523000000001</v>
      </c>
      <c r="BI26">
        <v>-315406.71399999998</v>
      </c>
      <c r="BJ26">
        <v>733534.951</v>
      </c>
    </row>
    <row r="27" spans="1:62" x14ac:dyDescent="0.25">
      <c r="A27" t="str">
        <f>INDEX('ISIC Code Meanings'!$L$2:$L$51,MATCH('Calculated IO Table'!B27,'ISIC Code Meanings'!$K$2:$K$51,0),1)</f>
        <v>ISIC 30</v>
      </c>
      <c r="B27" t="s">
        <v>967</v>
      </c>
      <c r="C27">
        <v>6.1550000000000002</v>
      </c>
      <c r="D27">
        <v>0.54500000000000004</v>
      </c>
      <c r="E27">
        <v>7.3639999999999999</v>
      </c>
      <c r="F27">
        <v>0.68300000000000005</v>
      </c>
      <c r="G27">
        <v>96.004000000000005</v>
      </c>
      <c r="H27">
        <v>2.1509999999999998</v>
      </c>
      <c r="I27">
        <v>1.41</v>
      </c>
      <c r="J27">
        <v>0.33100000000000002</v>
      </c>
      <c r="K27">
        <v>16.946999999999999</v>
      </c>
      <c r="L27">
        <v>0.73599999999999999</v>
      </c>
      <c r="M27">
        <v>1.833</v>
      </c>
      <c r="N27">
        <v>3.1680000000000001</v>
      </c>
      <c r="O27">
        <v>11.914999999999999</v>
      </c>
      <c r="P27">
        <v>5.05</v>
      </c>
      <c r="Q27">
        <v>2.1040000000000001</v>
      </c>
      <c r="R27">
        <v>11.436999999999999</v>
      </c>
      <c r="S27">
        <v>2.0030000000000001</v>
      </c>
      <c r="T27">
        <v>2.7490000000000001</v>
      </c>
      <c r="U27">
        <v>1.57</v>
      </c>
      <c r="V27">
        <v>21.683</v>
      </c>
      <c r="W27">
        <v>8.8420000000000005</v>
      </c>
      <c r="X27">
        <v>6.0460000000000003</v>
      </c>
      <c r="Y27">
        <v>77.218000000000004</v>
      </c>
      <c r="Z27">
        <v>147.48400000000001</v>
      </c>
      <c r="AA27">
        <v>4228.33</v>
      </c>
      <c r="AB27">
        <v>1792.5129999999999</v>
      </c>
      <c r="AC27">
        <v>103.80800000000001</v>
      </c>
      <c r="AD27">
        <v>7.1790000000000003</v>
      </c>
      <c r="AE27">
        <v>3.024</v>
      </c>
      <c r="AF27">
        <v>105.13800000000001</v>
      </c>
      <c r="AG27">
        <v>112.599</v>
      </c>
      <c r="AH27">
        <v>124.48</v>
      </c>
      <c r="AI27">
        <v>865.94200000000001</v>
      </c>
      <c r="AJ27">
        <v>368.49700000000001</v>
      </c>
      <c r="AK27">
        <v>129.27500000000001</v>
      </c>
      <c r="AL27">
        <v>1.7869999999999999</v>
      </c>
      <c r="AM27">
        <v>8.2850000000000001</v>
      </c>
      <c r="AN27">
        <v>2.3340000000000001</v>
      </c>
      <c r="AO27">
        <v>3.327</v>
      </c>
      <c r="AP27">
        <v>2.508</v>
      </c>
      <c r="AQ27">
        <v>12.173999999999999</v>
      </c>
      <c r="AR27">
        <v>66.637</v>
      </c>
      <c r="AS27">
        <v>32.515999999999998</v>
      </c>
      <c r="AT27">
        <v>63.695</v>
      </c>
      <c r="AU27">
        <v>2994.5680000000002</v>
      </c>
      <c r="AV27">
        <v>18.204000000000001</v>
      </c>
      <c r="AW27">
        <v>19.23</v>
      </c>
      <c r="AX27">
        <v>12.654999999999999</v>
      </c>
      <c r="AY27">
        <v>24.779</v>
      </c>
      <c r="AZ27">
        <v>0</v>
      </c>
      <c r="BA27">
        <v>11424.576999999999</v>
      </c>
      <c r="BB27">
        <v>0.128</v>
      </c>
      <c r="BC27">
        <v>0.08</v>
      </c>
      <c r="BD27">
        <v>24955.499</v>
      </c>
      <c r="BE27">
        <v>2082.3530000000001</v>
      </c>
      <c r="BF27">
        <v>0.89300000000000002</v>
      </c>
      <c r="BG27">
        <v>0.10199999999999999</v>
      </c>
      <c r="BH27">
        <v>2049.0830000000001</v>
      </c>
      <c r="BI27">
        <v>-3781.9949999999999</v>
      </c>
      <c r="BJ27">
        <v>48269.633999999998</v>
      </c>
    </row>
    <row r="28" spans="1:62" x14ac:dyDescent="0.25">
      <c r="A28" t="str">
        <f>INDEX('ISIC Code Meanings'!$L$2:$L$51,MATCH('Calculated IO Table'!B28,'ISIC Code Meanings'!$K$2:$K$51,0),1)</f>
        <v>ISIC 30</v>
      </c>
      <c r="B28" t="s">
        <v>968</v>
      </c>
      <c r="C28">
        <v>64.863</v>
      </c>
      <c r="D28">
        <v>19.082000000000001</v>
      </c>
      <c r="E28">
        <v>15.834</v>
      </c>
      <c r="F28">
        <v>15.662000000000001</v>
      </c>
      <c r="G28">
        <v>126.468</v>
      </c>
      <c r="H28">
        <v>13.411</v>
      </c>
      <c r="I28">
        <v>6.0540000000000003</v>
      </c>
      <c r="J28">
        <v>8.4250000000000007</v>
      </c>
      <c r="K28">
        <v>194.589</v>
      </c>
      <c r="L28">
        <v>8.3759999999999994</v>
      </c>
      <c r="M28">
        <v>25.582000000000001</v>
      </c>
      <c r="N28">
        <v>33.859000000000002</v>
      </c>
      <c r="O28">
        <v>121.71299999999999</v>
      </c>
      <c r="P28">
        <v>80.891000000000005</v>
      </c>
      <c r="Q28">
        <v>24.888999999999999</v>
      </c>
      <c r="R28">
        <v>65.400999999999996</v>
      </c>
      <c r="S28">
        <v>29.718</v>
      </c>
      <c r="T28">
        <v>40.280999999999999</v>
      </c>
      <c r="U28">
        <v>23.378</v>
      </c>
      <c r="V28">
        <v>296.63099999999997</v>
      </c>
      <c r="W28">
        <v>128.09100000000001</v>
      </c>
      <c r="X28">
        <v>127.511</v>
      </c>
      <c r="Y28">
        <v>515.01599999999996</v>
      </c>
      <c r="Z28">
        <v>7127.2309999999998</v>
      </c>
      <c r="AA28">
        <v>902.18600000000004</v>
      </c>
      <c r="AB28">
        <v>60844.875999999997</v>
      </c>
      <c r="AC28">
        <v>784.56399999999996</v>
      </c>
      <c r="AD28">
        <v>66.384</v>
      </c>
      <c r="AE28">
        <v>21.34</v>
      </c>
      <c r="AF28">
        <v>640.23900000000003</v>
      </c>
      <c r="AG28">
        <v>3470.0839999999998</v>
      </c>
      <c r="AH28">
        <v>3987.55</v>
      </c>
      <c r="AI28">
        <v>270.87400000000002</v>
      </c>
      <c r="AJ28">
        <v>4226.4059999999999</v>
      </c>
      <c r="AK28">
        <v>315.32299999999998</v>
      </c>
      <c r="AL28">
        <v>19.062999999999999</v>
      </c>
      <c r="AM28">
        <v>80.731999999999999</v>
      </c>
      <c r="AN28">
        <v>40.96</v>
      </c>
      <c r="AO28">
        <v>71.519000000000005</v>
      </c>
      <c r="AP28">
        <v>173.38200000000001</v>
      </c>
      <c r="AQ28">
        <v>135.18700000000001</v>
      </c>
      <c r="AR28">
        <v>197.67400000000001</v>
      </c>
      <c r="AS28">
        <v>530.37400000000002</v>
      </c>
      <c r="AT28">
        <v>1038.539</v>
      </c>
      <c r="AU28">
        <v>11506.186</v>
      </c>
      <c r="AV28">
        <v>141.88999999999999</v>
      </c>
      <c r="AW28">
        <v>848.97900000000004</v>
      </c>
      <c r="AX28">
        <v>52.203000000000003</v>
      </c>
      <c r="AY28">
        <v>204.352</v>
      </c>
      <c r="AZ28">
        <v>0</v>
      </c>
      <c r="BA28">
        <v>38464.680999999997</v>
      </c>
      <c r="BB28">
        <v>24.312999999999999</v>
      </c>
      <c r="BC28">
        <v>1.274</v>
      </c>
      <c r="BD28">
        <v>134290.87100000001</v>
      </c>
      <c r="BE28">
        <v>10775.906000000001</v>
      </c>
      <c r="BF28">
        <v>4.617</v>
      </c>
      <c r="BG28">
        <v>6.8129999999999997</v>
      </c>
      <c r="BH28">
        <v>91144.845000000001</v>
      </c>
      <c r="BI28">
        <v>-68672.936000000002</v>
      </c>
      <c r="BJ28">
        <v>305724.20699999999</v>
      </c>
    </row>
    <row r="29" spans="1:62" x14ac:dyDescent="0.25">
      <c r="A29" t="str">
        <f>INDEX('ISIC Code Meanings'!$L$2:$L$51,MATCH('Calculated IO Table'!B29,'ISIC Code Meanings'!$K$2:$K$51,0),1)</f>
        <v>ISIC 31T33</v>
      </c>
      <c r="B29" t="s">
        <v>969</v>
      </c>
      <c r="C29">
        <v>2849.4830000000002</v>
      </c>
      <c r="D29">
        <v>127.875</v>
      </c>
      <c r="E29">
        <v>33.618000000000002</v>
      </c>
      <c r="F29">
        <v>162.71799999999999</v>
      </c>
      <c r="G29">
        <v>4331.1379999999999</v>
      </c>
      <c r="H29">
        <v>218.102</v>
      </c>
      <c r="I29">
        <v>300.77</v>
      </c>
      <c r="J29">
        <v>168.18299999999999</v>
      </c>
      <c r="K29">
        <v>3289.364</v>
      </c>
      <c r="L29">
        <v>343.91699999999997</v>
      </c>
      <c r="M29">
        <v>558.02300000000002</v>
      </c>
      <c r="N29">
        <v>1123.9459999999999</v>
      </c>
      <c r="O29">
        <v>852.58199999999999</v>
      </c>
      <c r="P29">
        <v>1517.4259999999999</v>
      </c>
      <c r="Q29">
        <v>684.12800000000004</v>
      </c>
      <c r="R29">
        <v>926.83100000000002</v>
      </c>
      <c r="S29">
        <v>790.76700000000005</v>
      </c>
      <c r="T29">
        <v>947.495</v>
      </c>
      <c r="U29">
        <v>714.64499999999998</v>
      </c>
      <c r="V29">
        <v>1547.9549999999999</v>
      </c>
      <c r="W29">
        <v>965.31500000000005</v>
      </c>
      <c r="X29">
        <v>528.726</v>
      </c>
      <c r="Y29">
        <v>1815.587</v>
      </c>
      <c r="Z29">
        <v>2797.6889999999999</v>
      </c>
      <c r="AA29">
        <v>141.249</v>
      </c>
      <c r="AB29">
        <v>1134.0530000000001</v>
      </c>
      <c r="AC29">
        <v>6242.38</v>
      </c>
      <c r="AD29">
        <v>2220.4740000000002</v>
      </c>
      <c r="AE29">
        <v>720.88300000000004</v>
      </c>
      <c r="AF29">
        <v>6636.77</v>
      </c>
      <c r="AG29">
        <v>9581.3070000000007</v>
      </c>
      <c r="AH29">
        <v>3159.8969999999999</v>
      </c>
      <c r="AI29">
        <v>346.31299999999999</v>
      </c>
      <c r="AJ29">
        <v>2010.6780000000001</v>
      </c>
      <c r="AK29">
        <v>1215.5440000000001</v>
      </c>
      <c r="AL29">
        <v>236.90899999999999</v>
      </c>
      <c r="AM29">
        <v>3322.1190000000001</v>
      </c>
      <c r="AN29">
        <v>969.10900000000004</v>
      </c>
      <c r="AO29">
        <v>1691.6659999999999</v>
      </c>
      <c r="AP29">
        <v>1552.7570000000001</v>
      </c>
      <c r="AQ29">
        <v>3219.89</v>
      </c>
      <c r="AR29">
        <v>3862.0709999999999</v>
      </c>
      <c r="AS29">
        <v>5984.7</v>
      </c>
      <c r="AT29">
        <v>5310.9440000000004</v>
      </c>
      <c r="AU29">
        <v>10821.14</v>
      </c>
      <c r="AV29">
        <v>6782.924</v>
      </c>
      <c r="AW29">
        <v>27187.794999999998</v>
      </c>
      <c r="AX29">
        <v>2152.0830000000001</v>
      </c>
      <c r="AY29">
        <v>2312.8710000000001</v>
      </c>
      <c r="AZ29">
        <v>0</v>
      </c>
      <c r="BA29">
        <v>198600.049</v>
      </c>
      <c r="BB29">
        <v>41.683999999999997</v>
      </c>
      <c r="BC29">
        <v>1595.3119999999999</v>
      </c>
      <c r="BD29">
        <v>86421.153999999995</v>
      </c>
      <c r="BE29">
        <v>7117.3190000000004</v>
      </c>
      <c r="BF29">
        <v>1447.1189999999999</v>
      </c>
      <c r="BG29">
        <v>470.61200000000002</v>
      </c>
      <c r="BH29">
        <v>52252.892999999996</v>
      </c>
      <c r="BI29">
        <v>-174416.25099999999</v>
      </c>
      <c r="BJ29">
        <v>309942.70199999999</v>
      </c>
    </row>
    <row r="30" spans="1:62" x14ac:dyDescent="0.25">
      <c r="A30" t="str">
        <f>INDEX('ISIC Code Meanings'!$L$2:$L$51,MATCH('Calculated IO Table'!B30,'ISIC Code Meanings'!$K$2:$K$51,0),1)</f>
        <v>ISIC 351</v>
      </c>
      <c r="B30" t="s">
        <v>970</v>
      </c>
      <c r="C30">
        <v>8360.4940000000006</v>
      </c>
      <c r="D30">
        <v>167.648</v>
      </c>
      <c r="E30">
        <v>53.058</v>
      </c>
      <c r="F30">
        <v>872.86300000000006</v>
      </c>
      <c r="G30">
        <v>20522.71</v>
      </c>
      <c r="H30">
        <v>1221.0260000000001</v>
      </c>
      <c r="I30">
        <v>1205.0160000000001</v>
      </c>
      <c r="J30">
        <v>213.7</v>
      </c>
      <c r="K30">
        <v>17573.347000000002</v>
      </c>
      <c r="L30">
        <v>1556.7729999999999</v>
      </c>
      <c r="M30">
        <v>1633.201</v>
      </c>
      <c r="N30">
        <v>7720.4709999999995</v>
      </c>
      <c r="O30">
        <v>6339.9709999999995</v>
      </c>
      <c r="P30">
        <v>10336.796</v>
      </c>
      <c r="Q30">
        <v>2040.1859999999999</v>
      </c>
      <c r="R30">
        <v>5018.2669999999998</v>
      </c>
      <c r="S30">
        <v>5501.1459999999997</v>
      </c>
      <c r="T30">
        <v>6171.4080000000004</v>
      </c>
      <c r="U30">
        <v>3177.5390000000002</v>
      </c>
      <c r="V30">
        <v>4994.884</v>
      </c>
      <c r="W30">
        <v>1528.373</v>
      </c>
      <c r="X30">
        <v>1019.92</v>
      </c>
      <c r="Y30">
        <v>3026.2350000000001</v>
      </c>
      <c r="Z30">
        <v>6586.2870000000003</v>
      </c>
      <c r="AA30">
        <v>219.23699999999999</v>
      </c>
      <c r="AB30">
        <v>1655.116</v>
      </c>
      <c r="AC30">
        <v>1754.92</v>
      </c>
      <c r="AD30">
        <v>44904.245000000003</v>
      </c>
      <c r="AE30">
        <v>2852.6590000000001</v>
      </c>
      <c r="AF30">
        <v>5415.5680000000002</v>
      </c>
      <c r="AG30">
        <v>54294.487999999998</v>
      </c>
      <c r="AH30">
        <v>8268.3430000000008</v>
      </c>
      <c r="AI30">
        <v>77.027000000000001</v>
      </c>
      <c r="AJ30">
        <v>168.35300000000001</v>
      </c>
      <c r="AK30">
        <v>3199.0920000000001</v>
      </c>
      <c r="AL30">
        <v>840.91600000000005</v>
      </c>
      <c r="AM30">
        <v>31262.679</v>
      </c>
      <c r="AN30">
        <v>3720.3339999999998</v>
      </c>
      <c r="AO30">
        <v>7186.6959999999999</v>
      </c>
      <c r="AP30">
        <v>3407.2640000000001</v>
      </c>
      <c r="AQ30">
        <v>11196.049000000001</v>
      </c>
      <c r="AR30">
        <v>35956.288</v>
      </c>
      <c r="AS30">
        <v>11442.055</v>
      </c>
      <c r="AT30">
        <v>7140.8130000000001</v>
      </c>
      <c r="AU30">
        <v>41295.351999999999</v>
      </c>
      <c r="AV30">
        <v>24799.293000000001</v>
      </c>
      <c r="AW30">
        <v>36041.989000000001</v>
      </c>
      <c r="AX30">
        <v>5773.6570000000002</v>
      </c>
      <c r="AY30">
        <v>8793.8230000000003</v>
      </c>
      <c r="AZ30">
        <v>0</v>
      </c>
      <c r="BA30">
        <v>216579.788</v>
      </c>
      <c r="BB30">
        <v>48.722000000000001</v>
      </c>
      <c r="BC30">
        <v>1.6160000000000001</v>
      </c>
      <c r="BD30">
        <v>711.49099999999999</v>
      </c>
      <c r="BE30">
        <v>49.948</v>
      </c>
      <c r="BF30">
        <v>91.444000000000003</v>
      </c>
      <c r="BG30">
        <v>17.327999999999999</v>
      </c>
      <c r="BH30">
        <v>8822.18</v>
      </c>
      <c r="BI30">
        <v>-6590.4030000000002</v>
      </c>
      <c r="BJ30">
        <v>688239.69</v>
      </c>
    </row>
    <row r="31" spans="1:62" x14ac:dyDescent="0.25">
      <c r="A31" t="str">
        <f>INDEX('ISIC Code Meanings'!$L$2:$L$51,MATCH('Calculated IO Table'!B31,'ISIC Code Meanings'!$K$2:$K$51,0),1)</f>
        <v>ISIC 36T39</v>
      </c>
      <c r="B31" t="s">
        <v>971</v>
      </c>
      <c r="C31">
        <v>628.625</v>
      </c>
      <c r="D31">
        <v>7.0890000000000004</v>
      </c>
      <c r="E31">
        <v>5.84</v>
      </c>
      <c r="F31">
        <v>40.167999999999999</v>
      </c>
      <c r="G31">
        <v>871.64200000000005</v>
      </c>
      <c r="H31">
        <v>103.139</v>
      </c>
      <c r="I31">
        <v>57.814999999999998</v>
      </c>
      <c r="J31">
        <v>48.418999999999997</v>
      </c>
      <c r="K31">
        <v>1503.5039999999999</v>
      </c>
      <c r="L31">
        <v>72.593000000000004</v>
      </c>
      <c r="M31">
        <v>170.785</v>
      </c>
      <c r="N31">
        <v>2052.2600000000002</v>
      </c>
      <c r="O31">
        <v>443.608</v>
      </c>
      <c r="P31">
        <v>518.26800000000003</v>
      </c>
      <c r="Q31">
        <v>190.39699999999999</v>
      </c>
      <c r="R31">
        <v>282.26799999999997</v>
      </c>
      <c r="S31">
        <v>320.47699999999998</v>
      </c>
      <c r="T31">
        <v>3484.6680000000001</v>
      </c>
      <c r="U31">
        <v>1991.4880000000001</v>
      </c>
      <c r="V31">
        <v>522.44500000000005</v>
      </c>
      <c r="W31">
        <v>83.277000000000001</v>
      </c>
      <c r="X31">
        <v>73.024000000000001</v>
      </c>
      <c r="Y31">
        <v>335.077</v>
      </c>
      <c r="Z31">
        <v>379.38600000000002</v>
      </c>
      <c r="AA31">
        <v>21.372</v>
      </c>
      <c r="AB31">
        <v>228.399</v>
      </c>
      <c r="AC31">
        <v>132.06399999999999</v>
      </c>
      <c r="AD31">
        <v>858.88300000000004</v>
      </c>
      <c r="AE31">
        <v>10465.754999999999</v>
      </c>
      <c r="AF31">
        <v>1223.1510000000001</v>
      </c>
      <c r="AG31">
        <v>4989.2749999999996</v>
      </c>
      <c r="AH31">
        <v>288.10700000000003</v>
      </c>
      <c r="AI31">
        <v>18.79</v>
      </c>
      <c r="AJ31">
        <v>29.863</v>
      </c>
      <c r="AK31">
        <v>235.03100000000001</v>
      </c>
      <c r="AL31">
        <v>81.085999999999999</v>
      </c>
      <c r="AM31">
        <v>2385.81</v>
      </c>
      <c r="AN31">
        <v>189.80699999999999</v>
      </c>
      <c r="AO31">
        <v>147.822</v>
      </c>
      <c r="AP31">
        <v>191.25899999999999</v>
      </c>
      <c r="AQ31">
        <v>802.54499999999996</v>
      </c>
      <c r="AR31">
        <v>4283.473</v>
      </c>
      <c r="AS31">
        <v>1513.6130000000001</v>
      </c>
      <c r="AT31">
        <v>1022.1950000000001</v>
      </c>
      <c r="AU31">
        <v>17352.999</v>
      </c>
      <c r="AV31">
        <v>2686.8180000000002</v>
      </c>
      <c r="AW31">
        <v>7093.625</v>
      </c>
      <c r="AX31">
        <v>412.03300000000002</v>
      </c>
      <c r="AY31">
        <v>625.66899999999998</v>
      </c>
      <c r="AZ31">
        <v>0</v>
      </c>
      <c r="BA31">
        <v>60579.697999999997</v>
      </c>
      <c r="BB31">
        <v>272.69900000000001</v>
      </c>
      <c r="BC31">
        <v>22028.503000000001</v>
      </c>
      <c r="BD31">
        <v>635.16499999999996</v>
      </c>
      <c r="BE31">
        <v>4.4790000000000001</v>
      </c>
      <c r="BF31">
        <v>33.706000000000003</v>
      </c>
      <c r="BG31">
        <v>1.4790000000000001</v>
      </c>
      <c r="BH31">
        <v>99.191999999999993</v>
      </c>
      <c r="BI31">
        <v>-868.048</v>
      </c>
      <c r="BJ31">
        <v>154252.579</v>
      </c>
    </row>
    <row r="32" spans="1:62" x14ac:dyDescent="0.25">
      <c r="A32" t="str">
        <f>INDEX('ISIC Code Meanings'!$L$2:$L$51,MATCH('Calculated IO Table'!B32,'ISIC Code Meanings'!$K$2:$K$51,0),1)</f>
        <v>ISIC 41T43</v>
      </c>
      <c r="B32" t="s">
        <v>972</v>
      </c>
      <c r="C32">
        <v>3152.7979999999998</v>
      </c>
      <c r="D32">
        <v>333.78199999999998</v>
      </c>
      <c r="E32">
        <v>22.305</v>
      </c>
      <c r="F32">
        <v>198.03700000000001</v>
      </c>
      <c r="G32">
        <v>2447.1489999999999</v>
      </c>
      <c r="H32">
        <v>172.09</v>
      </c>
      <c r="I32">
        <v>163.41800000000001</v>
      </c>
      <c r="J32">
        <v>217.655</v>
      </c>
      <c r="K32">
        <v>1208.203</v>
      </c>
      <c r="L32">
        <v>95.935000000000002</v>
      </c>
      <c r="M32">
        <v>203.02</v>
      </c>
      <c r="N32">
        <v>390.733</v>
      </c>
      <c r="O32">
        <v>552.75199999999995</v>
      </c>
      <c r="P32">
        <v>526.149</v>
      </c>
      <c r="Q32">
        <v>198.869</v>
      </c>
      <c r="R32">
        <v>356.55</v>
      </c>
      <c r="S32">
        <v>519.81299999999999</v>
      </c>
      <c r="T32">
        <v>401.06</v>
      </c>
      <c r="U32">
        <v>266.58600000000001</v>
      </c>
      <c r="V32">
        <v>1129.6949999999999</v>
      </c>
      <c r="W32">
        <v>161.99700000000001</v>
      </c>
      <c r="X32">
        <v>177.477</v>
      </c>
      <c r="Y32">
        <v>604.23299999999995</v>
      </c>
      <c r="Z32">
        <v>899.57100000000003</v>
      </c>
      <c r="AA32">
        <v>75.864000000000004</v>
      </c>
      <c r="AB32">
        <v>293.70800000000003</v>
      </c>
      <c r="AC32">
        <v>759.61</v>
      </c>
      <c r="AD32">
        <v>4569.2889999999998</v>
      </c>
      <c r="AE32">
        <v>1669.57</v>
      </c>
      <c r="AF32">
        <v>146538.10699999999</v>
      </c>
      <c r="AG32">
        <v>18858.338</v>
      </c>
      <c r="AH32">
        <v>2542.21</v>
      </c>
      <c r="AI32">
        <v>80.006</v>
      </c>
      <c r="AJ32">
        <v>101.732</v>
      </c>
      <c r="AK32">
        <v>3367.4639999999999</v>
      </c>
      <c r="AL32">
        <v>327.584</v>
      </c>
      <c r="AM32">
        <v>5224.0410000000002</v>
      </c>
      <c r="AN32">
        <v>1066.9839999999999</v>
      </c>
      <c r="AO32">
        <v>4097.9430000000002</v>
      </c>
      <c r="AP32">
        <v>893.02</v>
      </c>
      <c r="AQ32">
        <v>6224.326</v>
      </c>
      <c r="AR32">
        <v>135513.68799999999</v>
      </c>
      <c r="AS32">
        <v>12293.169</v>
      </c>
      <c r="AT32">
        <v>4574.0219999999999</v>
      </c>
      <c r="AU32">
        <v>66646.437000000005</v>
      </c>
      <c r="AV32">
        <v>11902.602999999999</v>
      </c>
      <c r="AW32">
        <v>13986.228999999999</v>
      </c>
      <c r="AX32">
        <v>1517.5640000000001</v>
      </c>
      <c r="AY32">
        <v>2319.201</v>
      </c>
      <c r="AZ32">
        <v>0</v>
      </c>
      <c r="BA32">
        <v>467.11799999999999</v>
      </c>
      <c r="BB32">
        <v>229.946</v>
      </c>
      <c r="BC32">
        <v>1.054</v>
      </c>
      <c r="BD32">
        <v>1706056.388</v>
      </c>
      <c r="BE32">
        <v>19.100999999999999</v>
      </c>
      <c r="BF32">
        <v>593.34400000000005</v>
      </c>
      <c r="BG32">
        <v>1.6E-2</v>
      </c>
      <c r="BH32">
        <v>4.681</v>
      </c>
      <c r="BI32">
        <v>-2845.9870000000001</v>
      </c>
      <c r="BJ32">
        <v>2164368.247</v>
      </c>
    </row>
    <row r="33" spans="1:62" x14ac:dyDescent="0.25">
      <c r="A33" t="str">
        <f>INDEX('ISIC Code Meanings'!$L$2:$L$51,MATCH('Calculated IO Table'!B33,'ISIC Code Meanings'!$K$2:$K$51,0),1)</f>
        <v>ISIC 45T47</v>
      </c>
      <c r="B33" t="s">
        <v>973</v>
      </c>
      <c r="C33">
        <v>75344.558999999994</v>
      </c>
      <c r="D33">
        <v>2035.0429999999999</v>
      </c>
      <c r="E33">
        <v>418.25799999999998</v>
      </c>
      <c r="F33">
        <v>1715.9739999999999</v>
      </c>
      <c r="G33">
        <v>30933.679</v>
      </c>
      <c r="H33">
        <v>2686.15</v>
      </c>
      <c r="I33">
        <v>2527.893</v>
      </c>
      <c r="J33">
        <v>1459.4280000000001</v>
      </c>
      <c r="K33">
        <v>179532.25899999999</v>
      </c>
      <c r="L33">
        <v>9301.6569999999992</v>
      </c>
      <c r="M33">
        <v>20170.798999999999</v>
      </c>
      <c r="N33">
        <v>31865.455999999998</v>
      </c>
      <c r="O33">
        <v>44209.561000000002</v>
      </c>
      <c r="P33">
        <v>67113.491999999998</v>
      </c>
      <c r="Q33">
        <v>22439.632000000001</v>
      </c>
      <c r="R33">
        <v>43412.055</v>
      </c>
      <c r="S33">
        <v>18308.292000000001</v>
      </c>
      <c r="T33">
        <v>21464.174999999999</v>
      </c>
      <c r="U33">
        <v>9421.0400000000009</v>
      </c>
      <c r="V33">
        <v>44736.709000000003</v>
      </c>
      <c r="W33">
        <v>30909.687999999998</v>
      </c>
      <c r="X33">
        <v>13539.884</v>
      </c>
      <c r="Y33">
        <v>49867.226999999999</v>
      </c>
      <c r="Z33">
        <v>123937.78200000001</v>
      </c>
      <c r="AA33">
        <v>3385.1190000000001</v>
      </c>
      <c r="AB33">
        <v>28098.134999999998</v>
      </c>
      <c r="AC33">
        <v>26092.55</v>
      </c>
      <c r="AD33">
        <v>19383.903999999999</v>
      </c>
      <c r="AE33">
        <v>7193.4290000000001</v>
      </c>
      <c r="AF33">
        <v>162263.489</v>
      </c>
      <c r="AG33">
        <v>239406.946</v>
      </c>
      <c r="AH33">
        <v>76689.354999999996</v>
      </c>
      <c r="AI33">
        <v>4939.5200000000004</v>
      </c>
      <c r="AJ33">
        <v>17227.485000000001</v>
      </c>
      <c r="AK33">
        <v>14712.415999999999</v>
      </c>
      <c r="AL33">
        <v>3982.6770000000001</v>
      </c>
      <c r="AM33">
        <v>97597.313999999998</v>
      </c>
      <c r="AN33">
        <v>34885.071000000004</v>
      </c>
      <c r="AO33">
        <v>20783.990000000002</v>
      </c>
      <c r="AP33">
        <v>21017.282999999999</v>
      </c>
      <c r="AQ33">
        <v>28172.328000000001</v>
      </c>
      <c r="AR33">
        <v>45932.057000000001</v>
      </c>
      <c r="AS33">
        <v>56579.334999999999</v>
      </c>
      <c r="AT33">
        <v>73735.256999999998</v>
      </c>
      <c r="AU33">
        <v>92757.922000000006</v>
      </c>
      <c r="AV33">
        <v>34958.642</v>
      </c>
      <c r="AW33">
        <v>140399.23000000001</v>
      </c>
      <c r="AX33">
        <v>10923.342000000001</v>
      </c>
      <c r="AY33">
        <v>20137.036</v>
      </c>
      <c r="AZ33">
        <v>0</v>
      </c>
      <c r="BA33">
        <v>1994587.088</v>
      </c>
      <c r="BB33">
        <v>2352.4259999999999</v>
      </c>
      <c r="BC33">
        <v>2369.6799999999998</v>
      </c>
      <c r="BD33">
        <v>722161.07499999995</v>
      </c>
      <c r="BE33">
        <v>6013.6040000000003</v>
      </c>
      <c r="BF33">
        <v>7830.1610000000001</v>
      </c>
      <c r="BG33">
        <v>7472.991</v>
      </c>
      <c r="BH33">
        <v>401364.77399999998</v>
      </c>
      <c r="BI33">
        <v>-389392.18800000002</v>
      </c>
      <c r="BJ33">
        <v>4883364.1349999998</v>
      </c>
    </row>
    <row r="34" spans="1:62" x14ac:dyDescent="0.25">
      <c r="A34" t="str">
        <f>INDEX('ISIC Code Meanings'!$L$2:$L$51,MATCH('Calculated IO Table'!B34,'ISIC Code Meanings'!$K$2:$K$51,0),1)</f>
        <v>ISIC 49T53</v>
      </c>
      <c r="B34" t="s">
        <v>974</v>
      </c>
      <c r="C34">
        <v>10998.664000000001</v>
      </c>
      <c r="D34">
        <v>944.18100000000004</v>
      </c>
      <c r="E34">
        <v>61.414999999999999</v>
      </c>
      <c r="F34">
        <v>1084.402</v>
      </c>
      <c r="G34">
        <v>17277.491999999998</v>
      </c>
      <c r="H34">
        <v>938.25699999999995</v>
      </c>
      <c r="I34">
        <v>1676.425</v>
      </c>
      <c r="J34">
        <v>628.90200000000004</v>
      </c>
      <c r="K34">
        <v>31665.116999999998</v>
      </c>
      <c r="L34">
        <v>1202.6030000000001</v>
      </c>
      <c r="M34">
        <v>6565.67</v>
      </c>
      <c r="N34">
        <v>6964.0739999999996</v>
      </c>
      <c r="O34">
        <v>23987.277999999998</v>
      </c>
      <c r="P34">
        <v>10126.575000000001</v>
      </c>
      <c r="Q34">
        <v>3056.2080000000001</v>
      </c>
      <c r="R34">
        <v>5944.5889999999999</v>
      </c>
      <c r="S34">
        <v>7512.1880000000001</v>
      </c>
      <c r="T34">
        <v>6759.1220000000003</v>
      </c>
      <c r="U34">
        <v>3031.306</v>
      </c>
      <c r="V34">
        <v>10304.744000000001</v>
      </c>
      <c r="W34">
        <v>4111.67</v>
      </c>
      <c r="X34">
        <v>2588.3760000000002</v>
      </c>
      <c r="Y34">
        <v>8829.6290000000008</v>
      </c>
      <c r="Z34">
        <v>15931.721</v>
      </c>
      <c r="AA34">
        <v>518.94200000000001</v>
      </c>
      <c r="AB34">
        <v>5386.5209999999997</v>
      </c>
      <c r="AC34">
        <v>5588.2489999999998</v>
      </c>
      <c r="AD34">
        <v>8656.8259999999991</v>
      </c>
      <c r="AE34">
        <v>2427.873</v>
      </c>
      <c r="AF34">
        <v>39910.951000000001</v>
      </c>
      <c r="AG34">
        <v>97535.710999999996</v>
      </c>
      <c r="AH34">
        <v>32356.094000000001</v>
      </c>
      <c r="AI34">
        <v>709.71799999999996</v>
      </c>
      <c r="AJ34">
        <v>1827.414</v>
      </c>
      <c r="AK34">
        <v>12919.152</v>
      </c>
      <c r="AL34">
        <v>6239.6350000000002</v>
      </c>
      <c r="AM34">
        <v>14273.130999999999</v>
      </c>
      <c r="AN34">
        <v>9038.9529999999995</v>
      </c>
      <c r="AO34">
        <v>3526.1109999999999</v>
      </c>
      <c r="AP34">
        <v>3001.154</v>
      </c>
      <c r="AQ34">
        <v>8886.4120000000003</v>
      </c>
      <c r="AR34">
        <v>10290.606</v>
      </c>
      <c r="AS34">
        <v>15191.19</v>
      </c>
      <c r="AT34">
        <v>13302.258</v>
      </c>
      <c r="AU34">
        <v>28456.699000000001</v>
      </c>
      <c r="AV34">
        <v>12897.499</v>
      </c>
      <c r="AW34">
        <v>25952.707999999999</v>
      </c>
      <c r="AX34">
        <v>2346.4450000000002</v>
      </c>
      <c r="AY34">
        <v>5390.5190000000002</v>
      </c>
      <c r="AZ34">
        <v>0</v>
      </c>
      <c r="BA34">
        <v>188802.886</v>
      </c>
      <c r="BB34">
        <v>248.827</v>
      </c>
      <c r="BC34">
        <v>882.30100000000004</v>
      </c>
      <c r="BD34">
        <v>69242.06</v>
      </c>
      <c r="BE34">
        <v>711.66800000000001</v>
      </c>
      <c r="BF34">
        <v>11083.621999999999</v>
      </c>
      <c r="BG34">
        <v>9101.1170000000002</v>
      </c>
      <c r="BH34">
        <v>46791.413</v>
      </c>
      <c r="BI34">
        <v>-68091.462</v>
      </c>
      <c r="BJ34">
        <v>807593.81099999999</v>
      </c>
    </row>
    <row r="35" spans="1:62" x14ac:dyDescent="0.25">
      <c r="A35" t="str">
        <f>INDEX('ISIC Code Meanings'!$L$2:$L$51,MATCH('Calculated IO Table'!B35,'ISIC Code Meanings'!$K$2:$K$51,0),1)</f>
        <v>ISIC 49T53</v>
      </c>
      <c r="B35" t="s">
        <v>975</v>
      </c>
      <c r="C35">
        <v>643.70600000000002</v>
      </c>
      <c r="D35">
        <v>214.15</v>
      </c>
      <c r="E35">
        <v>27.309000000000001</v>
      </c>
      <c r="F35">
        <v>52.037999999999997</v>
      </c>
      <c r="G35">
        <v>2906.9830000000002</v>
      </c>
      <c r="H35">
        <v>61.356000000000002</v>
      </c>
      <c r="I35">
        <v>164.60900000000001</v>
      </c>
      <c r="J35">
        <v>35.590000000000003</v>
      </c>
      <c r="K35">
        <v>2227.7310000000002</v>
      </c>
      <c r="L35">
        <v>157.81</v>
      </c>
      <c r="M35">
        <v>496.42899999999997</v>
      </c>
      <c r="N35">
        <v>582.57100000000003</v>
      </c>
      <c r="O35">
        <v>2915.8110000000001</v>
      </c>
      <c r="P35">
        <v>984.41600000000005</v>
      </c>
      <c r="Q35">
        <v>243.596</v>
      </c>
      <c r="R35">
        <v>584.22199999999998</v>
      </c>
      <c r="S35">
        <v>423.35300000000001</v>
      </c>
      <c r="T35">
        <v>586.92999999999995</v>
      </c>
      <c r="U35">
        <v>386.197</v>
      </c>
      <c r="V35">
        <v>864.05</v>
      </c>
      <c r="W35">
        <v>544.10699999999997</v>
      </c>
      <c r="X35">
        <v>341.10300000000001</v>
      </c>
      <c r="Y35">
        <v>819.28599999999994</v>
      </c>
      <c r="Z35">
        <v>1646.11</v>
      </c>
      <c r="AA35">
        <v>51.514000000000003</v>
      </c>
      <c r="AB35">
        <v>514.97900000000004</v>
      </c>
      <c r="AC35">
        <v>462.04</v>
      </c>
      <c r="AD35">
        <v>659.154</v>
      </c>
      <c r="AE35">
        <v>93.906000000000006</v>
      </c>
      <c r="AF35">
        <v>2626.08</v>
      </c>
      <c r="AG35">
        <v>15564.322</v>
      </c>
      <c r="AH35">
        <v>2330.4589999999998</v>
      </c>
      <c r="AI35">
        <v>7774.1509999999998</v>
      </c>
      <c r="AJ35">
        <v>209.69200000000001</v>
      </c>
      <c r="AK35">
        <v>5368.2939999999999</v>
      </c>
      <c r="AL35">
        <v>178.51400000000001</v>
      </c>
      <c r="AM35">
        <v>813.92899999999997</v>
      </c>
      <c r="AN35">
        <v>395.22300000000001</v>
      </c>
      <c r="AO35">
        <v>306.17899999999997</v>
      </c>
      <c r="AP35">
        <v>275.39100000000002</v>
      </c>
      <c r="AQ35">
        <v>381.52199999999999</v>
      </c>
      <c r="AR35">
        <v>470.50299999999999</v>
      </c>
      <c r="AS35">
        <v>1457.845</v>
      </c>
      <c r="AT35">
        <v>1164.578</v>
      </c>
      <c r="AU35">
        <v>2298.8719999999998</v>
      </c>
      <c r="AV35">
        <v>443.98500000000001</v>
      </c>
      <c r="AW35">
        <v>1410.1310000000001</v>
      </c>
      <c r="AX35">
        <v>206.815</v>
      </c>
      <c r="AY35">
        <v>266.42099999999999</v>
      </c>
      <c r="AZ35">
        <v>0</v>
      </c>
      <c r="BA35">
        <v>26841.136999999999</v>
      </c>
      <c r="BB35">
        <v>15.619</v>
      </c>
      <c r="BC35">
        <v>38.307000000000002</v>
      </c>
      <c r="BD35">
        <v>11342.763999999999</v>
      </c>
      <c r="BE35">
        <v>128.922</v>
      </c>
      <c r="BF35">
        <v>2511.4290000000001</v>
      </c>
      <c r="BG35">
        <v>1783.8620000000001</v>
      </c>
      <c r="BH35">
        <v>6847.5339999999997</v>
      </c>
      <c r="BI35">
        <v>-47118.608</v>
      </c>
      <c r="BJ35">
        <v>66024.932000000001</v>
      </c>
    </row>
    <row r="36" spans="1:62" x14ac:dyDescent="0.25">
      <c r="A36" t="str">
        <f>INDEX('ISIC Code Meanings'!$L$2:$L$51,MATCH('Calculated IO Table'!B36,'ISIC Code Meanings'!$K$2:$K$51,0),1)</f>
        <v>ISIC 49T53</v>
      </c>
      <c r="B36" t="s">
        <v>976</v>
      </c>
      <c r="C36">
        <v>1118.1089999999999</v>
      </c>
      <c r="D36">
        <v>372.02199999999999</v>
      </c>
      <c r="E36">
        <v>7.9530000000000003</v>
      </c>
      <c r="F36">
        <v>40.993000000000002</v>
      </c>
      <c r="G36">
        <v>4757.2529999999997</v>
      </c>
      <c r="H36">
        <v>55.414999999999999</v>
      </c>
      <c r="I36">
        <v>100.06699999999999</v>
      </c>
      <c r="J36">
        <v>56.319000000000003</v>
      </c>
      <c r="K36">
        <v>2824.261</v>
      </c>
      <c r="L36">
        <v>199.596</v>
      </c>
      <c r="M36">
        <v>1374.71</v>
      </c>
      <c r="N36">
        <v>785.77300000000002</v>
      </c>
      <c r="O36">
        <v>2062.3440000000001</v>
      </c>
      <c r="P36">
        <v>1053.4639999999999</v>
      </c>
      <c r="Q36">
        <v>597.85799999999995</v>
      </c>
      <c r="R36">
        <v>763.46799999999996</v>
      </c>
      <c r="S36">
        <v>465.34</v>
      </c>
      <c r="T36">
        <v>333.92599999999999</v>
      </c>
      <c r="U36">
        <v>306.92399999999998</v>
      </c>
      <c r="V36">
        <v>832.48400000000004</v>
      </c>
      <c r="W36">
        <v>721.06100000000004</v>
      </c>
      <c r="X36">
        <v>501.96600000000001</v>
      </c>
      <c r="Y36">
        <v>1264.0319999999999</v>
      </c>
      <c r="Z36">
        <v>2020.7660000000001</v>
      </c>
      <c r="AA36">
        <v>59.917999999999999</v>
      </c>
      <c r="AB36">
        <v>638.57899999999995</v>
      </c>
      <c r="AC36">
        <v>759.17700000000002</v>
      </c>
      <c r="AD36">
        <v>696.45100000000002</v>
      </c>
      <c r="AE36">
        <v>223.35400000000001</v>
      </c>
      <c r="AF36">
        <v>4333.9449999999997</v>
      </c>
      <c r="AG36">
        <v>17689.739000000001</v>
      </c>
      <c r="AH36">
        <v>1255.979</v>
      </c>
      <c r="AI36">
        <v>102.80200000000001</v>
      </c>
      <c r="AJ36">
        <v>9253.4889999999996</v>
      </c>
      <c r="AK36">
        <v>5193.54</v>
      </c>
      <c r="AL36">
        <v>2321.2399999999998</v>
      </c>
      <c r="AM36">
        <v>2235.9189999999999</v>
      </c>
      <c r="AN36">
        <v>1728.38</v>
      </c>
      <c r="AO36">
        <v>1377.2329999999999</v>
      </c>
      <c r="AP36">
        <v>2423.7979999999998</v>
      </c>
      <c r="AQ36">
        <v>10130.198</v>
      </c>
      <c r="AR36">
        <v>4155.1480000000001</v>
      </c>
      <c r="AS36">
        <v>9079.4419999999991</v>
      </c>
      <c r="AT36">
        <v>9140.2669999999998</v>
      </c>
      <c r="AU36">
        <v>16561.376</v>
      </c>
      <c r="AV36">
        <v>3480.442</v>
      </c>
      <c r="AW36">
        <v>6620.2020000000002</v>
      </c>
      <c r="AX36">
        <v>1119.7080000000001</v>
      </c>
      <c r="AY36">
        <v>2124.9580000000001</v>
      </c>
      <c r="AZ36">
        <v>0</v>
      </c>
      <c r="BA36">
        <v>122025.927</v>
      </c>
      <c r="BB36">
        <v>36.518000000000001</v>
      </c>
      <c r="BC36">
        <v>47.633000000000003</v>
      </c>
      <c r="BD36">
        <v>14566.221</v>
      </c>
      <c r="BE36">
        <v>56.537999999999997</v>
      </c>
      <c r="BF36">
        <v>7526.8890000000001</v>
      </c>
      <c r="BG36">
        <v>4601.9250000000002</v>
      </c>
      <c r="BH36">
        <v>25954.127</v>
      </c>
      <c r="BI36">
        <v>-57542.76</v>
      </c>
      <c r="BJ36">
        <v>252594.408</v>
      </c>
    </row>
    <row r="37" spans="1:62" x14ac:dyDescent="0.25">
      <c r="A37" t="str">
        <f>INDEX('ISIC Code Meanings'!$L$2:$L$51,MATCH('Calculated IO Table'!B37,'ISIC Code Meanings'!$K$2:$K$51,0),1)</f>
        <v>ISIC 49T53</v>
      </c>
      <c r="B37" t="s">
        <v>977</v>
      </c>
      <c r="C37">
        <v>3443.8789999999999</v>
      </c>
      <c r="D37">
        <v>323.31700000000001</v>
      </c>
      <c r="E37">
        <v>62.542000000000002</v>
      </c>
      <c r="F37">
        <v>524.21699999999998</v>
      </c>
      <c r="G37">
        <v>6972.3459999999995</v>
      </c>
      <c r="H37">
        <v>412.11799999999999</v>
      </c>
      <c r="I37">
        <v>463.33699999999999</v>
      </c>
      <c r="J37">
        <v>364.726</v>
      </c>
      <c r="K37">
        <v>12023.179</v>
      </c>
      <c r="L37">
        <v>535.20299999999997</v>
      </c>
      <c r="M37">
        <v>1957.808</v>
      </c>
      <c r="N37">
        <v>2776.1329999999998</v>
      </c>
      <c r="O37">
        <v>7215.0780000000004</v>
      </c>
      <c r="P37">
        <v>3454.1709999999998</v>
      </c>
      <c r="Q37">
        <v>1355.3779999999999</v>
      </c>
      <c r="R37">
        <v>1759.192</v>
      </c>
      <c r="S37">
        <v>1904.924</v>
      </c>
      <c r="T37">
        <v>1542.8979999999999</v>
      </c>
      <c r="U37">
        <v>805.90599999999995</v>
      </c>
      <c r="V37">
        <v>2796.567</v>
      </c>
      <c r="W37">
        <v>1091.087</v>
      </c>
      <c r="X37">
        <v>821.40099999999995</v>
      </c>
      <c r="Y37">
        <v>2525.114</v>
      </c>
      <c r="Z37">
        <v>6910.5060000000003</v>
      </c>
      <c r="AA37">
        <v>151.83199999999999</v>
      </c>
      <c r="AB37">
        <v>1578.2670000000001</v>
      </c>
      <c r="AC37">
        <v>1710.42</v>
      </c>
      <c r="AD37">
        <v>2311.2620000000002</v>
      </c>
      <c r="AE37">
        <v>1134.3409999999999</v>
      </c>
      <c r="AF37">
        <v>9702.6509999999998</v>
      </c>
      <c r="AG37">
        <v>122384.40399999999</v>
      </c>
      <c r="AH37">
        <v>35682.442999999999</v>
      </c>
      <c r="AI37">
        <v>7042.0510000000004</v>
      </c>
      <c r="AJ37">
        <v>19094.440999999999</v>
      </c>
      <c r="AK37">
        <v>46374.858999999997</v>
      </c>
      <c r="AL37">
        <v>3006.9609999999998</v>
      </c>
      <c r="AM37">
        <v>4745.9470000000001</v>
      </c>
      <c r="AN37">
        <v>2553.6709999999998</v>
      </c>
      <c r="AO37">
        <v>2438.5430000000001</v>
      </c>
      <c r="AP37">
        <v>2018.3409999999999</v>
      </c>
      <c r="AQ37">
        <v>3639.8919999999998</v>
      </c>
      <c r="AR37">
        <v>3027.6179999999999</v>
      </c>
      <c r="AS37">
        <v>8491.8970000000008</v>
      </c>
      <c r="AT37">
        <v>7371.9359999999997</v>
      </c>
      <c r="AU37">
        <v>15255.355</v>
      </c>
      <c r="AV37">
        <v>2027.9059999999999</v>
      </c>
      <c r="AW37">
        <v>4218.2219999999998</v>
      </c>
      <c r="AX37">
        <v>1200.6220000000001</v>
      </c>
      <c r="AY37">
        <v>1920.9970000000001</v>
      </c>
      <c r="AZ37">
        <v>0</v>
      </c>
      <c r="BA37">
        <v>51141.273999999998</v>
      </c>
      <c r="BB37">
        <v>209.428</v>
      </c>
      <c r="BC37">
        <v>88.731999999999999</v>
      </c>
      <c r="BD37">
        <v>13800.681</v>
      </c>
      <c r="BE37">
        <v>159.41399999999999</v>
      </c>
      <c r="BF37">
        <v>699.02300000000002</v>
      </c>
      <c r="BG37">
        <v>238.107</v>
      </c>
      <c r="BH37">
        <v>9310.6779999999999</v>
      </c>
      <c r="BI37">
        <v>-18375.624</v>
      </c>
      <c r="BJ37">
        <v>428397.61900000001</v>
      </c>
    </row>
    <row r="38" spans="1:62" x14ac:dyDescent="0.25">
      <c r="A38" t="str">
        <f>INDEX('ISIC Code Meanings'!$L$2:$L$51,MATCH('Calculated IO Table'!B38,'ISIC Code Meanings'!$K$2:$K$51,0),1)</f>
        <v>ISIC 49T53</v>
      </c>
      <c r="B38" t="s">
        <v>978</v>
      </c>
      <c r="C38">
        <v>588.25199999999995</v>
      </c>
      <c r="D38">
        <v>23.126999999999999</v>
      </c>
      <c r="E38">
        <v>4.3540000000000001</v>
      </c>
      <c r="F38">
        <v>41.164999999999999</v>
      </c>
      <c r="G38">
        <v>609.47500000000002</v>
      </c>
      <c r="H38">
        <v>25.669</v>
      </c>
      <c r="I38">
        <v>32.270000000000003</v>
      </c>
      <c r="J38">
        <v>39.435000000000002</v>
      </c>
      <c r="K38">
        <v>588.37</v>
      </c>
      <c r="L38">
        <v>84.073999999999998</v>
      </c>
      <c r="M38">
        <v>122.04</v>
      </c>
      <c r="N38">
        <v>387.363</v>
      </c>
      <c r="O38">
        <v>74.84</v>
      </c>
      <c r="P38">
        <v>221.76</v>
      </c>
      <c r="Q38">
        <v>241.655</v>
      </c>
      <c r="R38">
        <v>164.48500000000001</v>
      </c>
      <c r="S38">
        <v>98.686999999999998</v>
      </c>
      <c r="T38">
        <v>55.383000000000003</v>
      </c>
      <c r="U38">
        <v>37.457999999999998</v>
      </c>
      <c r="V38">
        <v>230.89400000000001</v>
      </c>
      <c r="W38">
        <v>99.367000000000004</v>
      </c>
      <c r="X38">
        <v>76.409000000000006</v>
      </c>
      <c r="Y38">
        <v>397.87099999999998</v>
      </c>
      <c r="Z38">
        <v>465.04500000000002</v>
      </c>
      <c r="AA38">
        <v>16.824000000000002</v>
      </c>
      <c r="AB38">
        <v>131.67500000000001</v>
      </c>
      <c r="AC38">
        <v>208.63800000000001</v>
      </c>
      <c r="AD38">
        <v>612.70500000000004</v>
      </c>
      <c r="AE38">
        <v>161.131</v>
      </c>
      <c r="AF38">
        <v>1038.8230000000001</v>
      </c>
      <c r="AG38">
        <v>33906.254000000001</v>
      </c>
      <c r="AH38">
        <v>1048.8699999999999</v>
      </c>
      <c r="AI38">
        <v>34.759</v>
      </c>
      <c r="AJ38">
        <v>148.52799999999999</v>
      </c>
      <c r="AK38">
        <v>1536.5619999999999</v>
      </c>
      <c r="AL38">
        <v>22027.843000000001</v>
      </c>
      <c r="AM38">
        <v>2962.3029999999999</v>
      </c>
      <c r="AN38">
        <v>4634.6809999999996</v>
      </c>
      <c r="AO38">
        <v>4489.0839999999998</v>
      </c>
      <c r="AP38">
        <v>2147.1860000000001</v>
      </c>
      <c r="AQ38">
        <v>25884.514999999999</v>
      </c>
      <c r="AR38">
        <v>6265.9160000000002</v>
      </c>
      <c r="AS38">
        <v>9280.0810000000001</v>
      </c>
      <c r="AT38">
        <v>5080.0479999999998</v>
      </c>
      <c r="AU38">
        <v>23849.406999999999</v>
      </c>
      <c r="AV38">
        <v>4244.4690000000001</v>
      </c>
      <c r="AW38">
        <v>7397.2030000000004</v>
      </c>
      <c r="AX38">
        <v>1155.731</v>
      </c>
      <c r="AY38">
        <v>3868.55</v>
      </c>
      <c r="AZ38">
        <v>0</v>
      </c>
      <c r="BA38">
        <v>22759.62</v>
      </c>
      <c r="BB38">
        <v>0.7</v>
      </c>
      <c r="BC38">
        <v>0.36</v>
      </c>
      <c r="BD38">
        <v>76.093000000000004</v>
      </c>
      <c r="BE38">
        <v>155.16</v>
      </c>
      <c r="BF38">
        <v>259.06700000000001</v>
      </c>
      <c r="BG38">
        <v>161.69300000000001</v>
      </c>
      <c r="BH38">
        <v>17471.953000000001</v>
      </c>
      <c r="BI38">
        <v>-1426.625</v>
      </c>
      <c r="BJ38">
        <v>206299.25399999999</v>
      </c>
    </row>
    <row r="39" spans="1:62" x14ac:dyDescent="0.25">
      <c r="A39" t="str">
        <f>INDEX('ISIC Code Meanings'!$L$2:$L$51,MATCH('Calculated IO Table'!B39,'ISIC Code Meanings'!$K$2:$K$51,0),1)</f>
        <v>ISIC 55T56</v>
      </c>
      <c r="B39" t="s">
        <v>979</v>
      </c>
      <c r="C39">
        <v>513.11300000000006</v>
      </c>
      <c r="D39">
        <v>73.465000000000003</v>
      </c>
      <c r="E39">
        <v>5.1420000000000003</v>
      </c>
      <c r="F39">
        <v>54.024999999999999</v>
      </c>
      <c r="G39">
        <v>1731.8219999999999</v>
      </c>
      <c r="H39">
        <v>177.91300000000001</v>
      </c>
      <c r="I39">
        <v>93.742000000000004</v>
      </c>
      <c r="J39">
        <v>71.215000000000003</v>
      </c>
      <c r="K39">
        <v>1749.9349999999999</v>
      </c>
      <c r="L39">
        <v>151.38800000000001</v>
      </c>
      <c r="M39">
        <v>223.27600000000001</v>
      </c>
      <c r="N39">
        <v>414.762</v>
      </c>
      <c r="O39">
        <v>341.065</v>
      </c>
      <c r="P39">
        <v>778.13199999999995</v>
      </c>
      <c r="Q39">
        <v>501.83</v>
      </c>
      <c r="R39">
        <v>536.51499999999999</v>
      </c>
      <c r="S39">
        <v>250.59399999999999</v>
      </c>
      <c r="T39">
        <v>226.62899999999999</v>
      </c>
      <c r="U39">
        <v>138.99100000000001</v>
      </c>
      <c r="V39">
        <v>701.15200000000004</v>
      </c>
      <c r="W39">
        <v>284.66899999999998</v>
      </c>
      <c r="X39">
        <v>251.18700000000001</v>
      </c>
      <c r="Y39">
        <v>723.04499999999996</v>
      </c>
      <c r="Z39">
        <v>760.904</v>
      </c>
      <c r="AA39">
        <v>40.28</v>
      </c>
      <c r="AB39">
        <v>317.31099999999998</v>
      </c>
      <c r="AC39">
        <v>407.43099999999998</v>
      </c>
      <c r="AD39">
        <v>651.80700000000002</v>
      </c>
      <c r="AE39">
        <v>403.43400000000003</v>
      </c>
      <c r="AF39">
        <v>3672.3009999999999</v>
      </c>
      <c r="AG39">
        <v>20436.293000000001</v>
      </c>
      <c r="AH39">
        <v>2960.5520000000001</v>
      </c>
      <c r="AI39">
        <v>258.178</v>
      </c>
      <c r="AJ39">
        <v>1322.116</v>
      </c>
      <c r="AK39">
        <v>1696.64</v>
      </c>
      <c r="AL39">
        <v>436.18400000000003</v>
      </c>
      <c r="AM39">
        <v>7322.1310000000003</v>
      </c>
      <c r="AN39">
        <v>5116.3239999999996</v>
      </c>
      <c r="AO39">
        <v>1870.105</v>
      </c>
      <c r="AP39">
        <v>4124.6239999999998</v>
      </c>
      <c r="AQ39">
        <v>12936.647000000001</v>
      </c>
      <c r="AR39">
        <v>7054.8590000000004</v>
      </c>
      <c r="AS39">
        <v>14834.041999999999</v>
      </c>
      <c r="AT39">
        <v>10786.49</v>
      </c>
      <c r="AU39">
        <v>26209.044999999998</v>
      </c>
      <c r="AV39">
        <v>10463.174999999999</v>
      </c>
      <c r="AW39">
        <v>21061.46</v>
      </c>
      <c r="AX39">
        <v>7489.1580000000004</v>
      </c>
      <c r="AY39">
        <v>5638.107</v>
      </c>
      <c r="AZ39">
        <v>0</v>
      </c>
      <c r="BA39">
        <v>1159020.5060000001</v>
      </c>
      <c r="BB39">
        <v>10132.047</v>
      </c>
      <c r="BC39">
        <v>6059.0069999999996</v>
      </c>
      <c r="BD39">
        <v>4780.7539999999999</v>
      </c>
      <c r="BE39">
        <v>3.069</v>
      </c>
      <c r="BF39">
        <v>64724.756999999998</v>
      </c>
      <c r="BG39">
        <v>37958.256999999998</v>
      </c>
      <c r="BH39">
        <v>1285.829</v>
      </c>
      <c r="BI39">
        <v>-65171.375</v>
      </c>
      <c r="BJ39">
        <v>1397056.0560000001</v>
      </c>
    </row>
    <row r="40" spans="1:62" x14ac:dyDescent="0.25">
      <c r="A40" t="str">
        <f>INDEX('ISIC Code Meanings'!$L$2:$L$51,MATCH('Calculated IO Table'!B40,'ISIC Code Meanings'!$K$2:$K$51,0),1)</f>
        <v>ISIC 58T60</v>
      </c>
      <c r="B40" t="s">
        <v>980</v>
      </c>
      <c r="C40">
        <v>1213.7560000000001</v>
      </c>
      <c r="D40">
        <v>52.918999999999997</v>
      </c>
      <c r="E40">
        <v>8.0860000000000003</v>
      </c>
      <c r="F40">
        <v>49.759</v>
      </c>
      <c r="G40">
        <v>1572.2190000000001</v>
      </c>
      <c r="H40">
        <v>90.680999999999997</v>
      </c>
      <c r="I40">
        <v>79.912999999999997</v>
      </c>
      <c r="J40">
        <v>72.36</v>
      </c>
      <c r="K40">
        <v>5862.3670000000002</v>
      </c>
      <c r="L40">
        <v>272.58300000000003</v>
      </c>
      <c r="M40">
        <v>481.23599999999999</v>
      </c>
      <c r="N40">
        <v>1474.723</v>
      </c>
      <c r="O40">
        <v>741.73900000000003</v>
      </c>
      <c r="P40">
        <v>1840.7919999999999</v>
      </c>
      <c r="Q40">
        <v>1405.0730000000001</v>
      </c>
      <c r="R40">
        <v>978.23199999999997</v>
      </c>
      <c r="S40">
        <v>488.12599999999998</v>
      </c>
      <c r="T40">
        <v>480.72699999999998</v>
      </c>
      <c r="U40">
        <v>262.435</v>
      </c>
      <c r="V40">
        <v>1071.654</v>
      </c>
      <c r="W40">
        <v>824.19600000000003</v>
      </c>
      <c r="X40">
        <v>511.38600000000002</v>
      </c>
      <c r="Y40">
        <v>1292.297</v>
      </c>
      <c r="Z40">
        <v>2226.4270000000001</v>
      </c>
      <c r="AA40">
        <v>96.727999999999994</v>
      </c>
      <c r="AB40">
        <v>971.56600000000003</v>
      </c>
      <c r="AC40">
        <v>924.44500000000005</v>
      </c>
      <c r="AD40">
        <v>929.75900000000001</v>
      </c>
      <c r="AE40">
        <v>373.74599999999998</v>
      </c>
      <c r="AF40">
        <v>4924.84</v>
      </c>
      <c r="AG40">
        <v>34667.557000000001</v>
      </c>
      <c r="AH40">
        <v>2086.0630000000001</v>
      </c>
      <c r="AI40">
        <v>157.34</v>
      </c>
      <c r="AJ40">
        <v>645.05399999999997</v>
      </c>
      <c r="AK40">
        <v>1148.2149999999999</v>
      </c>
      <c r="AL40">
        <v>559.91</v>
      </c>
      <c r="AM40">
        <v>10531.558000000001</v>
      </c>
      <c r="AN40">
        <v>145399.65900000001</v>
      </c>
      <c r="AO40">
        <v>22631.153999999999</v>
      </c>
      <c r="AP40">
        <v>17404.273000000001</v>
      </c>
      <c r="AQ40">
        <v>17233.762999999999</v>
      </c>
      <c r="AR40">
        <v>14938.837</v>
      </c>
      <c r="AS40">
        <v>56452.7</v>
      </c>
      <c r="AT40">
        <v>11243.683000000001</v>
      </c>
      <c r="AU40">
        <v>26058.748</v>
      </c>
      <c r="AV40">
        <v>23209.093000000001</v>
      </c>
      <c r="AW40">
        <v>13311.236000000001</v>
      </c>
      <c r="AX40">
        <v>11046.427</v>
      </c>
      <c r="AY40">
        <v>8661.5820000000003</v>
      </c>
      <c r="AZ40">
        <v>0</v>
      </c>
      <c r="BA40">
        <v>204261.69399999999</v>
      </c>
      <c r="BB40">
        <v>8897.1479999999992</v>
      </c>
      <c r="BC40">
        <v>27759.187000000002</v>
      </c>
      <c r="BD40">
        <v>230929.03200000001</v>
      </c>
      <c r="BE40">
        <v>94.453000000000003</v>
      </c>
      <c r="BF40">
        <v>681.99599999999998</v>
      </c>
      <c r="BG40">
        <v>1323.3579999999999</v>
      </c>
      <c r="BH40">
        <v>64766.144</v>
      </c>
      <c r="BI40">
        <v>-30495.331999999999</v>
      </c>
      <c r="BJ40">
        <v>957179.30099999998</v>
      </c>
    </row>
    <row r="41" spans="1:62" x14ac:dyDescent="0.25">
      <c r="A41" t="str">
        <f>INDEX('ISIC Code Meanings'!$L$2:$L$51,MATCH('Calculated IO Table'!B41,'ISIC Code Meanings'!$K$2:$K$51,0),1)</f>
        <v>ISIC 61</v>
      </c>
      <c r="B41" t="s">
        <v>981</v>
      </c>
      <c r="C41">
        <v>673.79100000000005</v>
      </c>
      <c r="D41">
        <v>67.435000000000002</v>
      </c>
      <c r="E41">
        <v>11.401999999999999</v>
      </c>
      <c r="F41">
        <v>110.074</v>
      </c>
      <c r="G41">
        <v>3120.75</v>
      </c>
      <c r="H41">
        <v>73.847999999999999</v>
      </c>
      <c r="I41">
        <v>104.666</v>
      </c>
      <c r="J41">
        <v>92.36</v>
      </c>
      <c r="K41">
        <v>1554.8630000000001</v>
      </c>
      <c r="L41">
        <v>167.64699999999999</v>
      </c>
      <c r="M41">
        <v>255.38399999999999</v>
      </c>
      <c r="N41">
        <v>581.01599999999996</v>
      </c>
      <c r="O41">
        <v>332.255</v>
      </c>
      <c r="P41">
        <v>519.96900000000005</v>
      </c>
      <c r="Q41">
        <v>643.52300000000002</v>
      </c>
      <c r="R41">
        <v>394.18</v>
      </c>
      <c r="S41">
        <v>271.56400000000002</v>
      </c>
      <c r="T41">
        <v>163.69499999999999</v>
      </c>
      <c r="U41">
        <v>138.63300000000001</v>
      </c>
      <c r="V41">
        <v>667.29300000000001</v>
      </c>
      <c r="W41">
        <v>452.55900000000003</v>
      </c>
      <c r="X41">
        <v>253.42599999999999</v>
      </c>
      <c r="Y41">
        <v>996.89800000000002</v>
      </c>
      <c r="Z41">
        <v>1551.9449999999999</v>
      </c>
      <c r="AA41">
        <v>38.978999999999999</v>
      </c>
      <c r="AB41">
        <v>355.89600000000002</v>
      </c>
      <c r="AC41">
        <v>551.61500000000001</v>
      </c>
      <c r="AD41">
        <v>757.34799999999996</v>
      </c>
      <c r="AE41">
        <v>344.55200000000002</v>
      </c>
      <c r="AF41">
        <v>4020.4940000000001</v>
      </c>
      <c r="AG41">
        <v>27724.862000000001</v>
      </c>
      <c r="AH41">
        <v>2647.2689999999998</v>
      </c>
      <c r="AI41">
        <v>214.33600000000001</v>
      </c>
      <c r="AJ41">
        <v>573.14599999999996</v>
      </c>
      <c r="AK41">
        <v>1596.8340000000001</v>
      </c>
      <c r="AL41">
        <v>987.17</v>
      </c>
      <c r="AM41">
        <v>6745.8</v>
      </c>
      <c r="AN41">
        <v>6641.9690000000001</v>
      </c>
      <c r="AO41">
        <v>64333.088000000003</v>
      </c>
      <c r="AP41">
        <v>9596.8240000000005</v>
      </c>
      <c r="AQ41">
        <v>23135.345000000001</v>
      </c>
      <c r="AR41">
        <v>14122.992</v>
      </c>
      <c r="AS41">
        <v>14845.937</v>
      </c>
      <c r="AT41">
        <v>11998.218999999999</v>
      </c>
      <c r="AU41">
        <v>33588.334999999999</v>
      </c>
      <c r="AV41">
        <v>6274.09</v>
      </c>
      <c r="AW41">
        <v>14857.47</v>
      </c>
      <c r="AX41">
        <v>2454.1590000000001</v>
      </c>
      <c r="AY41">
        <v>4752.8969999999999</v>
      </c>
      <c r="AZ41">
        <v>0</v>
      </c>
      <c r="BA41">
        <v>378636.99699999997</v>
      </c>
      <c r="BB41">
        <v>76.557000000000002</v>
      </c>
      <c r="BC41">
        <v>3.1059999999999999</v>
      </c>
      <c r="BD41">
        <v>12570.157999999999</v>
      </c>
      <c r="BE41">
        <v>8.8710000000000004</v>
      </c>
      <c r="BF41">
        <v>3043.6590000000001</v>
      </c>
      <c r="BG41">
        <v>2966.13</v>
      </c>
      <c r="BH41">
        <v>14961.365</v>
      </c>
      <c r="BI41">
        <v>-4383.2309999999998</v>
      </c>
      <c r="BJ41">
        <v>674242.41799999995</v>
      </c>
    </row>
    <row r="42" spans="1:62" x14ac:dyDescent="0.25">
      <c r="A42" t="str">
        <f>INDEX('ISIC Code Meanings'!$L$2:$L$51,MATCH('Calculated IO Table'!B42,'ISIC Code Meanings'!$K$2:$K$51,0),1)</f>
        <v>ISIC 62T63</v>
      </c>
      <c r="B42" t="s">
        <v>982</v>
      </c>
      <c r="C42">
        <v>1618.865</v>
      </c>
      <c r="D42">
        <v>114.4</v>
      </c>
      <c r="E42">
        <v>17.414999999999999</v>
      </c>
      <c r="F42">
        <v>257.37700000000001</v>
      </c>
      <c r="G42">
        <v>7482.1589999999997</v>
      </c>
      <c r="H42">
        <v>241.73</v>
      </c>
      <c r="I42">
        <v>317.18400000000003</v>
      </c>
      <c r="J42">
        <v>265.27199999999999</v>
      </c>
      <c r="K42">
        <v>10395.611999999999</v>
      </c>
      <c r="L42">
        <v>575.39499999999998</v>
      </c>
      <c r="M42">
        <v>820.52300000000002</v>
      </c>
      <c r="N42">
        <v>2754.6210000000001</v>
      </c>
      <c r="O42">
        <v>1695.838</v>
      </c>
      <c r="P42">
        <v>3474.1729999999998</v>
      </c>
      <c r="Q42">
        <v>3897.9609999999998</v>
      </c>
      <c r="R42">
        <v>1888.77</v>
      </c>
      <c r="S42">
        <v>1261.25</v>
      </c>
      <c r="T42">
        <v>975.28300000000002</v>
      </c>
      <c r="U42">
        <v>598.80600000000004</v>
      </c>
      <c r="V42">
        <v>2841.18</v>
      </c>
      <c r="W42">
        <v>2418.252</v>
      </c>
      <c r="X42">
        <v>1358.31</v>
      </c>
      <c r="Y42">
        <v>3537.0390000000002</v>
      </c>
      <c r="Z42">
        <v>4893.7539999999999</v>
      </c>
      <c r="AA42">
        <v>224.37</v>
      </c>
      <c r="AB42">
        <v>1953.6579999999999</v>
      </c>
      <c r="AC42">
        <v>2141.9459999999999</v>
      </c>
      <c r="AD42">
        <v>5245.2430000000004</v>
      </c>
      <c r="AE42">
        <v>1531.0809999999999</v>
      </c>
      <c r="AF42">
        <v>13624.433000000001</v>
      </c>
      <c r="AG42">
        <v>95925.051000000007</v>
      </c>
      <c r="AH42">
        <v>6016.6729999999998</v>
      </c>
      <c r="AI42">
        <v>643.14300000000003</v>
      </c>
      <c r="AJ42">
        <v>2077.4050000000002</v>
      </c>
      <c r="AK42">
        <v>6079.098</v>
      </c>
      <c r="AL42">
        <v>3186.7379999999998</v>
      </c>
      <c r="AM42">
        <v>14110.519</v>
      </c>
      <c r="AN42">
        <v>27639.244999999999</v>
      </c>
      <c r="AO42">
        <v>38020.527999999998</v>
      </c>
      <c r="AP42">
        <v>208842.057</v>
      </c>
      <c r="AQ42">
        <v>115636.833</v>
      </c>
      <c r="AR42">
        <v>42932.148999999998</v>
      </c>
      <c r="AS42">
        <v>80702.52</v>
      </c>
      <c r="AT42">
        <v>45895.68</v>
      </c>
      <c r="AU42">
        <v>99569.948000000004</v>
      </c>
      <c r="AV42">
        <v>27274.952000000001</v>
      </c>
      <c r="AW42">
        <v>40867.978999999999</v>
      </c>
      <c r="AX42">
        <v>7362.1570000000002</v>
      </c>
      <c r="AY42">
        <v>10976.257</v>
      </c>
      <c r="AZ42">
        <v>0</v>
      </c>
      <c r="BA42">
        <v>42268.531000000003</v>
      </c>
      <c r="BB42">
        <v>1233.114</v>
      </c>
      <c r="BC42">
        <v>8528.6710000000003</v>
      </c>
      <c r="BD42">
        <v>344953.37</v>
      </c>
      <c r="BE42">
        <v>97.198999999999998</v>
      </c>
      <c r="BF42">
        <v>216.488</v>
      </c>
      <c r="BG42">
        <v>333.11200000000002</v>
      </c>
      <c r="BH42">
        <v>74364.528000000006</v>
      </c>
      <c r="BI42">
        <v>-86678.468999999997</v>
      </c>
      <c r="BJ42">
        <v>1337497.3740000001</v>
      </c>
    </row>
    <row r="43" spans="1:62" x14ac:dyDescent="0.25">
      <c r="A43" t="str">
        <f>INDEX('ISIC Code Meanings'!$L$2:$L$51,MATCH('Calculated IO Table'!B43,'ISIC Code Meanings'!$K$2:$K$51,0),1)</f>
        <v>ISIC 64T66</v>
      </c>
      <c r="B43" t="s">
        <v>983</v>
      </c>
      <c r="C43">
        <v>19425.22</v>
      </c>
      <c r="D43">
        <v>787.10400000000004</v>
      </c>
      <c r="E43">
        <v>158.62700000000001</v>
      </c>
      <c r="F43">
        <v>840.44899999999996</v>
      </c>
      <c r="G43">
        <v>36205.125999999997</v>
      </c>
      <c r="H43">
        <v>1253.5730000000001</v>
      </c>
      <c r="I43">
        <v>980.08299999999997</v>
      </c>
      <c r="J43">
        <v>1494.7550000000001</v>
      </c>
      <c r="K43">
        <v>27472.102999999999</v>
      </c>
      <c r="L43">
        <v>1923.431</v>
      </c>
      <c r="M43">
        <v>2800.393</v>
      </c>
      <c r="N43">
        <v>7815.19</v>
      </c>
      <c r="O43">
        <v>8857.6090000000004</v>
      </c>
      <c r="P43">
        <v>9048.0059999999994</v>
      </c>
      <c r="Q43">
        <v>5711.6869999999999</v>
      </c>
      <c r="R43">
        <v>5888.4250000000002</v>
      </c>
      <c r="S43">
        <v>4189</v>
      </c>
      <c r="T43">
        <v>3111.6579999999999</v>
      </c>
      <c r="U43">
        <v>2656.4009999999998</v>
      </c>
      <c r="V43">
        <v>7752.5</v>
      </c>
      <c r="W43">
        <v>3757.72</v>
      </c>
      <c r="X43">
        <v>3195.99</v>
      </c>
      <c r="Y43">
        <v>9228.4349999999995</v>
      </c>
      <c r="Z43">
        <v>11653.311</v>
      </c>
      <c r="AA43">
        <v>518.18700000000001</v>
      </c>
      <c r="AB43">
        <v>4477.6869999999999</v>
      </c>
      <c r="AC43">
        <v>5263.5550000000003</v>
      </c>
      <c r="AD43">
        <v>13956.844999999999</v>
      </c>
      <c r="AE43">
        <v>3963.2069999999999</v>
      </c>
      <c r="AF43">
        <v>37851.917999999998</v>
      </c>
      <c r="AG43">
        <v>199344.67</v>
      </c>
      <c r="AH43">
        <v>29789.238000000001</v>
      </c>
      <c r="AI43">
        <v>2408.8829999999998</v>
      </c>
      <c r="AJ43">
        <v>6772.6909999999998</v>
      </c>
      <c r="AK43">
        <v>12670.669</v>
      </c>
      <c r="AL43">
        <v>3253.2420000000002</v>
      </c>
      <c r="AM43">
        <v>33108.828000000001</v>
      </c>
      <c r="AN43">
        <v>14301.657999999999</v>
      </c>
      <c r="AO43">
        <v>19391.003000000001</v>
      </c>
      <c r="AP43">
        <v>21556.067999999999</v>
      </c>
      <c r="AQ43">
        <v>752650.92299999995</v>
      </c>
      <c r="AR43">
        <v>346285.717</v>
      </c>
      <c r="AS43">
        <v>80746.599000000002</v>
      </c>
      <c r="AT43">
        <v>66138.201000000001</v>
      </c>
      <c r="AU43">
        <v>110278.988</v>
      </c>
      <c r="AV43">
        <v>25494.822</v>
      </c>
      <c r="AW43">
        <v>43829.495000000003</v>
      </c>
      <c r="AX43">
        <v>11366.291999999999</v>
      </c>
      <c r="AY43">
        <v>20847.145</v>
      </c>
      <c r="AZ43">
        <v>0</v>
      </c>
      <c r="BA43">
        <v>1345886.5490000001</v>
      </c>
      <c r="BB43">
        <v>1739.569</v>
      </c>
      <c r="BC43">
        <v>14.115</v>
      </c>
      <c r="BD43">
        <v>11743.482</v>
      </c>
      <c r="BE43">
        <v>716.06600000000003</v>
      </c>
      <c r="BF43">
        <v>2975.2</v>
      </c>
      <c r="BG43">
        <v>2697.8560000000002</v>
      </c>
      <c r="BH43">
        <v>236611.12100000001</v>
      </c>
      <c r="BI43">
        <v>-116762.851</v>
      </c>
      <c r="BJ43">
        <v>3528094.4350000001</v>
      </c>
    </row>
    <row r="44" spans="1:62" x14ac:dyDescent="0.25">
      <c r="A44" t="str">
        <f>INDEX('ISIC Code Meanings'!$L$2:$L$51,MATCH('Calculated IO Table'!B44,'ISIC Code Meanings'!$K$2:$K$51,0),1)</f>
        <v>ISIC 68</v>
      </c>
      <c r="B44" t="s">
        <v>984</v>
      </c>
      <c r="C44">
        <v>1707.991</v>
      </c>
      <c r="D44">
        <v>245.35599999999999</v>
      </c>
      <c r="E44">
        <v>20.914000000000001</v>
      </c>
      <c r="F44">
        <v>301.92500000000001</v>
      </c>
      <c r="G44">
        <v>10654.571</v>
      </c>
      <c r="H44">
        <v>280.28699999999998</v>
      </c>
      <c r="I44">
        <v>440.06799999999998</v>
      </c>
      <c r="J44">
        <v>330.31400000000002</v>
      </c>
      <c r="K44">
        <v>11874.18</v>
      </c>
      <c r="L44">
        <v>1132.923</v>
      </c>
      <c r="M44">
        <v>1205.6959999999999</v>
      </c>
      <c r="N44">
        <v>3479.18</v>
      </c>
      <c r="O44">
        <v>1764.624</v>
      </c>
      <c r="P44">
        <v>2595.9940000000001</v>
      </c>
      <c r="Q44">
        <v>2500.6889999999999</v>
      </c>
      <c r="R44">
        <v>2388.6379999999999</v>
      </c>
      <c r="S44">
        <v>1505.32</v>
      </c>
      <c r="T44">
        <v>1049.7850000000001</v>
      </c>
      <c r="U44">
        <v>861.11099999999999</v>
      </c>
      <c r="V44">
        <v>4971.1170000000002</v>
      </c>
      <c r="W44">
        <v>1945.8920000000001</v>
      </c>
      <c r="X44">
        <v>1328.537</v>
      </c>
      <c r="Y44">
        <v>3694.4639999999999</v>
      </c>
      <c r="Z44">
        <v>6195.6930000000002</v>
      </c>
      <c r="AA44">
        <v>442.13299999999998</v>
      </c>
      <c r="AB44">
        <v>1717.768</v>
      </c>
      <c r="AC44">
        <v>4049.0529999999999</v>
      </c>
      <c r="AD44">
        <v>3372.92</v>
      </c>
      <c r="AE44">
        <v>1687.9960000000001</v>
      </c>
      <c r="AF44">
        <v>25548.641</v>
      </c>
      <c r="AG44">
        <v>376893.75</v>
      </c>
      <c r="AH44">
        <v>12220.973</v>
      </c>
      <c r="AI44">
        <v>767.25300000000004</v>
      </c>
      <c r="AJ44">
        <v>1733.443</v>
      </c>
      <c r="AK44">
        <v>16903.152999999998</v>
      </c>
      <c r="AL44">
        <v>4150.7960000000003</v>
      </c>
      <c r="AM44">
        <v>119564.34600000001</v>
      </c>
      <c r="AN44">
        <v>21692.138999999999</v>
      </c>
      <c r="AO44">
        <v>28738.795999999998</v>
      </c>
      <c r="AP44">
        <v>37047.339</v>
      </c>
      <c r="AQ44">
        <v>99905.269</v>
      </c>
      <c r="AR44">
        <v>262865.21299999999</v>
      </c>
      <c r="AS44">
        <v>86533.686000000002</v>
      </c>
      <c r="AT44">
        <v>61750.635000000002</v>
      </c>
      <c r="AU44">
        <v>96712.198000000004</v>
      </c>
      <c r="AV44">
        <v>47885.627999999997</v>
      </c>
      <c r="AW44">
        <v>89528.054999999993</v>
      </c>
      <c r="AX44">
        <v>18454.156999999999</v>
      </c>
      <c r="AY44">
        <v>27859.048999999999</v>
      </c>
      <c r="AZ44">
        <v>0</v>
      </c>
      <c r="BA44">
        <v>2657368.9539999999</v>
      </c>
      <c r="BB44">
        <v>6799.2380000000003</v>
      </c>
      <c r="BC44">
        <v>0.66600000000000004</v>
      </c>
      <c r="BD44">
        <v>316520.99099999998</v>
      </c>
      <c r="BE44">
        <v>2.4910000000000001</v>
      </c>
      <c r="BF44">
        <v>13109.861000000001</v>
      </c>
      <c r="BG44">
        <v>8428.5139999999992</v>
      </c>
      <c r="BH44">
        <v>3519.529</v>
      </c>
      <c r="BI44">
        <v>-14230.043</v>
      </c>
      <c r="BJ44">
        <v>4502019.8569999998</v>
      </c>
    </row>
    <row r="45" spans="1:62" x14ac:dyDescent="0.25">
      <c r="A45" t="str">
        <f>INDEX('ISIC Code Meanings'!$L$2:$L$51,MATCH('Calculated IO Table'!B45,'ISIC Code Meanings'!$K$2:$K$51,0),1)</f>
        <v>ISIC 69T82</v>
      </c>
      <c r="B45" t="s">
        <v>985</v>
      </c>
      <c r="C45">
        <v>19668.580000000002</v>
      </c>
      <c r="D45">
        <v>382.161</v>
      </c>
      <c r="E45">
        <v>85.492000000000004</v>
      </c>
      <c r="F45">
        <v>1132.2049999999999</v>
      </c>
      <c r="G45">
        <v>40124.417999999998</v>
      </c>
      <c r="H45">
        <v>1596.4970000000001</v>
      </c>
      <c r="I45">
        <v>1500.299</v>
      </c>
      <c r="J45">
        <v>2932.2089999999998</v>
      </c>
      <c r="K45">
        <v>50838.658000000003</v>
      </c>
      <c r="L45">
        <v>2661.6350000000002</v>
      </c>
      <c r="M45">
        <v>2875.5279999999998</v>
      </c>
      <c r="N45">
        <v>8964.1020000000008</v>
      </c>
      <c r="O45">
        <v>7395.7020000000002</v>
      </c>
      <c r="P45">
        <v>14173.735000000001</v>
      </c>
      <c r="Q45">
        <v>13758.048000000001</v>
      </c>
      <c r="R45">
        <v>9640.6450000000004</v>
      </c>
      <c r="S45">
        <v>5909.7629999999999</v>
      </c>
      <c r="T45">
        <v>4454.0190000000002</v>
      </c>
      <c r="U45">
        <v>2374.4879999999998</v>
      </c>
      <c r="V45">
        <v>12565.121999999999</v>
      </c>
      <c r="W45">
        <v>11891.73</v>
      </c>
      <c r="X45">
        <v>4647.5720000000001</v>
      </c>
      <c r="Y45">
        <v>13880.231</v>
      </c>
      <c r="Z45">
        <v>32805.955000000002</v>
      </c>
      <c r="AA45">
        <v>1153.0060000000001</v>
      </c>
      <c r="AB45">
        <v>8581.6589999999997</v>
      </c>
      <c r="AC45">
        <v>8175.4880000000003</v>
      </c>
      <c r="AD45">
        <v>19542.671999999999</v>
      </c>
      <c r="AE45">
        <v>5262.29</v>
      </c>
      <c r="AF45">
        <v>93195.14</v>
      </c>
      <c r="AG45">
        <v>348215.511</v>
      </c>
      <c r="AH45">
        <v>17091.815999999999</v>
      </c>
      <c r="AI45">
        <v>1638.7909999999999</v>
      </c>
      <c r="AJ45">
        <v>4549.78</v>
      </c>
      <c r="AK45">
        <v>19497.722000000002</v>
      </c>
      <c r="AL45">
        <v>3020.7530000000002</v>
      </c>
      <c r="AM45">
        <v>67992.808000000005</v>
      </c>
      <c r="AN45">
        <v>58849.161</v>
      </c>
      <c r="AO45">
        <v>51989.186000000002</v>
      </c>
      <c r="AP45">
        <v>69095.769</v>
      </c>
      <c r="AQ45">
        <v>237439.467</v>
      </c>
      <c r="AR45">
        <v>244060.739</v>
      </c>
      <c r="AS45">
        <v>444580.27</v>
      </c>
      <c r="AT45">
        <v>134170.87599999999</v>
      </c>
      <c r="AU45">
        <v>229815.921</v>
      </c>
      <c r="AV45">
        <v>65800.543000000005</v>
      </c>
      <c r="AW45">
        <v>113965.489</v>
      </c>
      <c r="AX45">
        <v>25382.383000000002</v>
      </c>
      <c r="AY45">
        <v>41459.142</v>
      </c>
      <c r="AZ45">
        <v>0</v>
      </c>
      <c r="BA45">
        <v>120167.64</v>
      </c>
      <c r="BB45">
        <v>3532.627</v>
      </c>
      <c r="BC45">
        <v>4352.6570000000002</v>
      </c>
      <c r="BD45">
        <v>470079.84700000001</v>
      </c>
      <c r="BE45">
        <v>253.58500000000001</v>
      </c>
      <c r="BF45">
        <v>1294.5650000000001</v>
      </c>
      <c r="BG45">
        <v>1445.095</v>
      </c>
      <c r="BH45">
        <v>235958.16099999999</v>
      </c>
      <c r="BI45">
        <v>-159180.76300000001</v>
      </c>
      <c r="BJ45">
        <v>3258688.59</v>
      </c>
    </row>
    <row r="46" spans="1:62" x14ac:dyDescent="0.25">
      <c r="A46" t="str">
        <f>INDEX('ISIC Code Meanings'!$L$2:$L$51,MATCH('Calculated IO Table'!B46,'ISIC Code Meanings'!$K$2:$K$51,0),1)</f>
        <v>ISIC 69T82</v>
      </c>
      <c r="B46" t="s">
        <v>986</v>
      </c>
      <c r="C46">
        <v>7917.6319999999996</v>
      </c>
      <c r="D46">
        <v>600.25199999999995</v>
      </c>
      <c r="E46">
        <v>69.191000000000003</v>
      </c>
      <c r="F46">
        <v>1057.8320000000001</v>
      </c>
      <c r="G46">
        <v>43533.790999999997</v>
      </c>
      <c r="H46">
        <v>1570.904</v>
      </c>
      <c r="I46">
        <v>1722.461</v>
      </c>
      <c r="J46">
        <v>2223.2469999999998</v>
      </c>
      <c r="K46">
        <v>24854.637999999999</v>
      </c>
      <c r="L46">
        <v>1357.595</v>
      </c>
      <c r="M46">
        <v>2031.877</v>
      </c>
      <c r="N46">
        <v>6530.5709999999999</v>
      </c>
      <c r="O46">
        <v>3555.9630000000002</v>
      </c>
      <c r="P46">
        <v>7313.232</v>
      </c>
      <c r="Q46">
        <v>7882.3810000000003</v>
      </c>
      <c r="R46">
        <v>6082.4309999999996</v>
      </c>
      <c r="S46">
        <v>3879.317</v>
      </c>
      <c r="T46">
        <v>1991.489</v>
      </c>
      <c r="U46">
        <v>1453.691</v>
      </c>
      <c r="V46">
        <v>8273.9210000000003</v>
      </c>
      <c r="W46">
        <v>4482.0969999999998</v>
      </c>
      <c r="X46">
        <v>3012.0120000000002</v>
      </c>
      <c r="Y46">
        <v>10261.731</v>
      </c>
      <c r="Z46">
        <v>18635.348000000002</v>
      </c>
      <c r="AA46">
        <v>771.529</v>
      </c>
      <c r="AB46">
        <v>6189.8810000000003</v>
      </c>
      <c r="AC46">
        <v>5489.5460000000003</v>
      </c>
      <c r="AD46">
        <v>10517.942999999999</v>
      </c>
      <c r="AE46">
        <v>5761.42</v>
      </c>
      <c r="AF46">
        <v>48871.771999999997</v>
      </c>
      <c r="AG46">
        <v>197105.40299999999</v>
      </c>
      <c r="AH46">
        <v>25515.673999999999</v>
      </c>
      <c r="AI46">
        <v>3551.933</v>
      </c>
      <c r="AJ46">
        <v>9661.7980000000007</v>
      </c>
      <c r="AK46">
        <v>21180.953000000001</v>
      </c>
      <c r="AL46">
        <v>6642.741</v>
      </c>
      <c r="AM46">
        <v>45269.273999999998</v>
      </c>
      <c r="AN46">
        <v>35360.625</v>
      </c>
      <c r="AO46">
        <v>39642.756999999998</v>
      </c>
      <c r="AP46">
        <v>50595.8</v>
      </c>
      <c r="AQ46">
        <v>108312.201</v>
      </c>
      <c r="AR46">
        <v>126246.107</v>
      </c>
      <c r="AS46">
        <v>121034.66899999999</v>
      </c>
      <c r="AT46">
        <v>169971.446</v>
      </c>
      <c r="AU46">
        <v>150563.49600000001</v>
      </c>
      <c r="AV46">
        <v>59042.788999999997</v>
      </c>
      <c r="AW46">
        <v>92881.414000000004</v>
      </c>
      <c r="AX46">
        <v>18610.177</v>
      </c>
      <c r="AY46">
        <v>20158.957999999999</v>
      </c>
      <c r="AZ46">
        <v>0</v>
      </c>
      <c r="BA46">
        <v>212607.62400000001</v>
      </c>
      <c r="BB46">
        <v>1651.5920000000001</v>
      </c>
      <c r="BC46">
        <v>5773.8879999999999</v>
      </c>
      <c r="BD46">
        <v>12635.786</v>
      </c>
      <c r="BE46">
        <v>15.462999999999999</v>
      </c>
      <c r="BF46">
        <v>2148.3420000000001</v>
      </c>
      <c r="BG46">
        <v>2241.268</v>
      </c>
      <c r="BH46">
        <v>80974.565000000002</v>
      </c>
      <c r="BI46">
        <v>-17944.535</v>
      </c>
      <c r="BJ46">
        <v>1849347.9029999999</v>
      </c>
    </row>
    <row r="47" spans="1:62" x14ac:dyDescent="0.25">
      <c r="A47" t="str">
        <f>INDEX('ISIC Code Meanings'!$L$2:$L$51,MATCH('Calculated IO Table'!B47,'ISIC Code Meanings'!$K$2:$K$51,0),1)</f>
        <v>ISIC 84</v>
      </c>
      <c r="B47" t="s">
        <v>987</v>
      </c>
      <c r="C47">
        <v>4952.4210000000003</v>
      </c>
      <c r="D47">
        <v>330.86599999999999</v>
      </c>
      <c r="E47">
        <v>28.302</v>
      </c>
      <c r="F47">
        <v>360.46499999999997</v>
      </c>
      <c r="G47">
        <v>6327.2039999999997</v>
      </c>
      <c r="H47">
        <v>435.67899999999997</v>
      </c>
      <c r="I47">
        <v>402.77600000000001</v>
      </c>
      <c r="J47">
        <v>292.68099999999998</v>
      </c>
      <c r="K47">
        <v>10027.239</v>
      </c>
      <c r="L47">
        <v>662.048</v>
      </c>
      <c r="M47">
        <v>1495.431</v>
      </c>
      <c r="N47">
        <v>3466.2550000000001</v>
      </c>
      <c r="O47">
        <v>2119.2759999999998</v>
      </c>
      <c r="P47">
        <v>3463.8670000000002</v>
      </c>
      <c r="Q47">
        <v>2207.8690000000001</v>
      </c>
      <c r="R47">
        <v>2066.9119999999998</v>
      </c>
      <c r="S47">
        <v>1681.0640000000001</v>
      </c>
      <c r="T47">
        <v>2376.5369999999998</v>
      </c>
      <c r="U47">
        <v>1581.8589999999999</v>
      </c>
      <c r="V47">
        <v>3327.9340000000002</v>
      </c>
      <c r="W47">
        <v>798.64599999999996</v>
      </c>
      <c r="X47">
        <v>829.28599999999994</v>
      </c>
      <c r="Y47">
        <v>2454.6779999999999</v>
      </c>
      <c r="Z47">
        <v>4935.7860000000001</v>
      </c>
      <c r="AA47">
        <v>184.834</v>
      </c>
      <c r="AB47">
        <v>1396.9870000000001</v>
      </c>
      <c r="AC47">
        <v>1518.3119999999999</v>
      </c>
      <c r="AD47">
        <v>11308.466</v>
      </c>
      <c r="AE47">
        <v>4377.518</v>
      </c>
      <c r="AF47">
        <v>15205.121999999999</v>
      </c>
      <c r="AG47">
        <v>60124.250999999997</v>
      </c>
      <c r="AH47">
        <v>11586.259</v>
      </c>
      <c r="AI47">
        <v>460.87799999999999</v>
      </c>
      <c r="AJ47">
        <v>1014.691</v>
      </c>
      <c r="AK47">
        <v>4294.5540000000001</v>
      </c>
      <c r="AL47">
        <v>1153.2739999999999</v>
      </c>
      <c r="AM47">
        <v>17021.848000000002</v>
      </c>
      <c r="AN47">
        <v>5293.848</v>
      </c>
      <c r="AO47">
        <v>8104.36</v>
      </c>
      <c r="AP47">
        <v>5667.9989999999998</v>
      </c>
      <c r="AQ47">
        <v>35371.925999999999</v>
      </c>
      <c r="AR47">
        <v>59049.739000000001</v>
      </c>
      <c r="AS47">
        <v>23779.965</v>
      </c>
      <c r="AT47">
        <v>14878.723</v>
      </c>
      <c r="AU47">
        <v>110663.542</v>
      </c>
      <c r="AV47">
        <v>17143.632000000001</v>
      </c>
      <c r="AW47">
        <v>51441.366999999998</v>
      </c>
      <c r="AX47">
        <v>6689.8720000000003</v>
      </c>
      <c r="AY47">
        <v>7541.2160000000003</v>
      </c>
      <c r="AZ47">
        <v>0</v>
      </c>
      <c r="BA47">
        <v>452385.02399999998</v>
      </c>
      <c r="BB47">
        <v>9350.9699999999993</v>
      </c>
      <c r="BC47">
        <v>2423018.773</v>
      </c>
      <c r="BD47">
        <v>10118.177</v>
      </c>
      <c r="BE47">
        <v>12.615</v>
      </c>
      <c r="BF47">
        <v>420.90699999999998</v>
      </c>
      <c r="BG47">
        <v>577.00099999999998</v>
      </c>
      <c r="BH47">
        <v>3245.8119999999999</v>
      </c>
      <c r="BI47">
        <v>-2662.4670000000001</v>
      </c>
      <c r="BJ47">
        <v>3428365.0759999999</v>
      </c>
    </row>
    <row r="48" spans="1:62" x14ac:dyDescent="0.25">
      <c r="A48" t="str">
        <f>INDEX('ISIC Code Meanings'!$L$2:$L$51,MATCH('Calculated IO Table'!B48,'ISIC Code Meanings'!$K$2:$K$51,0),1)</f>
        <v>ISIC 85</v>
      </c>
      <c r="B48" t="s">
        <v>988</v>
      </c>
      <c r="C48">
        <v>319.34899999999999</v>
      </c>
      <c r="D48">
        <v>27.254000000000001</v>
      </c>
      <c r="E48">
        <v>2.9460000000000002</v>
      </c>
      <c r="F48">
        <v>18.221</v>
      </c>
      <c r="G48">
        <v>740.02</v>
      </c>
      <c r="H48">
        <v>47.747</v>
      </c>
      <c r="I48">
        <v>44.558999999999997</v>
      </c>
      <c r="J48">
        <v>30.994</v>
      </c>
      <c r="K48">
        <v>844.92</v>
      </c>
      <c r="L48">
        <v>50.6</v>
      </c>
      <c r="M48">
        <v>79.462999999999994</v>
      </c>
      <c r="N48">
        <v>318.96499999999997</v>
      </c>
      <c r="O48">
        <v>274.43200000000002</v>
      </c>
      <c r="P48">
        <v>297.61099999999999</v>
      </c>
      <c r="Q48">
        <v>316.52499999999998</v>
      </c>
      <c r="R48">
        <v>166.815</v>
      </c>
      <c r="S48">
        <v>106.68899999999999</v>
      </c>
      <c r="T48">
        <v>110.91800000000001</v>
      </c>
      <c r="U48">
        <v>84.751000000000005</v>
      </c>
      <c r="V48">
        <v>278.49599999999998</v>
      </c>
      <c r="W48">
        <v>160.101</v>
      </c>
      <c r="X48">
        <v>124.556</v>
      </c>
      <c r="Y48">
        <v>339.17700000000002</v>
      </c>
      <c r="Z48">
        <v>374.02199999999999</v>
      </c>
      <c r="AA48">
        <v>26.437000000000001</v>
      </c>
      <c r="AB48">
        <v>213.74299999999999</v>
      </c>
      <c r="AC48">
        <v>201.91399999999999</v>
      </c>
      <c r="AD48">
        <v>359.21100000000001</v>
      </c>
      <c r="AE48">
        <v>174.524</v>
      </c>
      <c r="AF48">
        <v>2710.547</v>
      </c>
      <c r="AG48">
        <v>5766.9390000000003</v>
      </c>
      <c r="AH48">
        <v>815.52800000000002</v>
      </c>
      <c r="AI48">
        <v>78.320999999999998</v>
      </c>
      <c r="AJ48">
        <v>404.06400000000002</v>
      </c>
      <c r="AK48">
        <v>695.09199999999998</v>
      </c>
      <c r="AL48">
        <v>141.85499999999999</v>
      </c>
      <c r="AM48">
        <v>1559.441</v>
      </c>
      <c r="AN48">
        <v>1212.8900000000001</v>
      </c>
      <c r="AO48">
        <v>1795.6780000000001</v>
      </c>
      <c r="AP48">
        <v>3041.76</v>
      </c>
      <c r="AQ48">
        <v>7300.3220000000001</v>
      </c>
      <c r="AR48">
        <v>4392.0129999999999</v>
      </c>
      <c r="AS48">
        <v>7865.9780000000001</v>
      </c>
      <c r="AT48">
        <v>5182.0249999999996</v>
      </c>
      <c r="AU48">
        <v>18978.626</v>
      </c>
      <c r="AV48">
        <v>23436.017</v>
      </c>
      <c r="AW48">
        <v>6362.1850000000004</v>
      </c>
      <c r="AX48">
        <v>1607.44</v>
      </c>
      <c r="AY48">
        <v>2097.92</v>
      </c>
      <c r="AZ48">
        <v>0</v>
      </c>
      <c r="BA48">
        <v>622794.96299999999</v>
      </c>
      <c r="BB48">
        <v>98561.792000000001</v>
      </c>
      <c r="BC48">
        <v>836334.05599999998</v>
      </c>
      <c r="BD48">
        <v>32421.710999999999</v>
      </c>
      <c r="BE48">
        <v>13.754</v>
      </c>
      <c r="BF48">
        <v>1982.5050000000001</v>
      </c>
      <c r="BG48">
        <v>27158.550999999999</v>
      </c>
      <c r="BH48">
        <v>2223.2350000000001</v>
      </c>
      <c r="BI48">
        <v>-5497.6260000000002</v>
      </c>
      <c r="BJ48">
        <v>1717572.541</v>
      </c>
    </row>
    <row r="49" spans="1:62" x14ac:dyDescent="0.25">
      <c r="A49" t="str">
        <f>INDEX('ISIC Code Meanings'!$L$2:$L$51,MATCH('Calculated IO Table'!B49,'ISIC Code Meanings'!$K$2:$K$51,0),1)</f>
        <v>ISIC 86T88</v>
      </c>
      <c r="B49" t="s">
        <v>989</v>
      </c>
      <c r="C49">
        <v>188.274</v>
      </c>
      <c r="D49">
        <v>21.081</v>
      </c>
      <c r="E49">
        <v>3.0979999999999999</v>
      </c>
      <c r="F49">
        <v>40.088999999999999</v>
      </c>
      <c r="G49">
        <v>323.62099999999998</v>
      </c>
      <c r="H49">
        <v>19.977</v>
      </c>
      <c r="I49">
        <v>7.0679999999999996</v>
      </c>
      <c r="J49">
        <v>12.705</v>
      </c>
      <c r="K49">
        <v>593.63099999999997</v>
      </c>
      <c r="L49">
        <v>30.484000000000002</v>
      </c>
      <c r="M49">
        <v>35.267000000000003</v>
      </c>
      <c r="N49">
        <v>125.23699999999999</v>
      </c>
      <c r="O49">
        <v>80.004999999999995</v>
      </c>
      <c r="P49">
        <v>148.24199999999999</v>
      </c>
      <c r="Q49">
        <v>189</v>
      </c>
      <c r="R49">
        <v>151.01300000000001</v>
      </c>
      <c r="S49">
        <v>126.45099999999999</v>
      </c>
      <c r="T49">
        <v>38.201000000000001</v>
      </c>
      <c r="U49">
        <v>37.381999999999998</v>
      </c>
      <c r="V49">
        <v>263.35399999999998</v>
      </c>
      <c r="W49">
        <v>96.460999999999999</v>
      </c>
      <c r="X49">
        <v>64.593000000000004</v>
      </c>
      <c r="Y49">
        <v>157.51400000000001</v>
      </c>
      <c r="Z49">
        <v>267.58999999999997</v>
      </c>
      <c r="AA49">
        <v>16.646000000000001</v>
      </c>
      <c r="AB49">
        <v>68.239000000000004</v>
      </c>
      <c r="AC49">
        <v>117.261</v>
      </c>
      <c r="AD49">
        <v>138.33600000000001</v>
      </c>
      <c r="AE49">
        <v>93.754999999999995</v>
      </c>
      <c r="AF49">
        <v>726.18600000000004</v>
      </c>
      <c r="AG49">
        <v>3527.77</v>
      </c>
      <c r="AH49">
        <v>550.57799999999997</v>
      </c>
      <c r="AI49">
        <v>14.641</v>
      </c>
      <c r="AJ49">
        <v>66.363</v>
      </c>
      <c r="AK49">
        <v>149.547</v>
      </c>
      <c r="AL49">
        <v>91.619</v>
      </c>
      <c r="AM49">
        <v>1232.425</v>
      </c>
      <c r="AN49">
        <v>482.76799999999997</v>
      </c>
      <c r="AO49">
        <v>281.12700000000001</v>
      </c>
      <c r="AP49">
        <v>576.14800000000002</v>
      </c>
      <c r="AQ49">
        <v>2469.7350000000001</v>
      </c>
      <c r="AR49">
        <v>1058.0550000000001</v>
      </c>
      <c r="AS49">
        <v>2513.7860000000001</v>
      </c>
      <c r="AT49">
        <v>1220.604</v>
      </c>
      <c r="AU49">
        <v>17879.329000000002</v>
      </c>
      <c r="AV49">
        <v>3047.3180000000002</v>
      </c>
      <c r="AW49">
        <v>209597.44099999999</v>
      </c>
      <c r="AX49">
        <v>433.33300000000003</v>
      </c>
      <c r="AY49">
        <v>1539.7570000000001</v>
      </c>
      <c r="AZ49">
        <v>0</v>
      </c>
      <c r="BA49">
        <v>2395441.4010000001</v>
      </c>
      <c r="BB49">
        <v>168672.16800000001</v>
      </c>
      <c r="BC49">
        <v>211617.01699999999</v>
      </c>
      <c r="BD49">
        <v>554.10599999999999</v>
      </c>
      <c r="BE49">
        <v>10.567</v>
      </c>
      <c r="BF49">
        <v>2920.8960000000002</v>
      </c>
      <c r="BG49">
        <v>1768.922</v>
      </c>
      <c r="BH49">
        <v>281.79399999999998</v>
      </c>
      <c r="BI49">
        <v>-3649.83</v>
      </c>
      <c r="BJ49">
        <v>3028530.1439999999</v>
      </c>
    </row>
    <row r="50" spans="1:62" x14ac:dyDescent="0.25">
      <c r="A50" t="str">
        <f>INDEX('ISIC Code Meanings'!$L$2:$L$51,MATCH('Calculated IO Table'!B50,'ISIC Code Meanings'!$K$2:$K$51,0),1)</f>
        <v>ISIC 90T96</v>
      </c>
      <c r="B50" t="s">
        <v>990</v>
      </c>
      <c r="C50">
        <v>177.756</v>
      </c>
      <c r="D50">
        <v>22.85</v>
      </c>
      <c r="E50">
        <v>2.4470000000000001</v>
      </c>
      <c r="F50">
        <v>12.807</v>
      </c>
      <c r="G50">
        <v>310.21800000000002</v>
      </c>
      <c r="H50">
        <v>15.673999999999999</v>
      </c>
      <c r="I50">
        <v>18.385999999999999</v>
      </c>
      <c r="J50">
        <v>14.538</v>
      </c>
      <c r="K50">
        <v>843.24599999999998</v>
      </c>
      <c r="L50">
        <v>40.953000000000003</v>
      </c>
      <c r="M50">
        <v>53.165999999999997</v>
      </c>
      <c r="N50">
        <v>162.249</v>
      </c>
      <c r="O50">
        <v>80.034999999999997</v>
      </c>
      <c r="P50">
        <v>199.881</v>
      </c>
      <c r="Q50">
        <v>101.58799999999999</v>
      </c>
      <c r="R50">
        <v>147.43199999999999</v>
      </c>
      <c r="S50">
        <v>81.997</v>
      </c>
      <c r="T50">
        <v>48.774000000000001</v>
      </c>
      <c r="U50">
        <v>39.6</v>
      </c>
      <c r="V50">
        <v>220.68100000000001</v>
      </c>
      <c r="W50">
        <v>96.474999999999994</v>
      </c>
      <c r="X50">
        <v>56.624000000000002</v>
      </c>
      <c r="Y50">
        <v>201.73400000000001</v>
      </c>
      <c r="Z50">
        <v>412.69299999999998</v>
      </c>
      <c r="AA50">
        <v>23.861000000000001</v>
      </c>
      <c r="AB50">
        <v>101.178</v>
      </c>
      <c r="AC50">
        <v>208.126</v>
      </c>
      <c r="AD50">
        <v>151.441</v>
      </c>
      <c r="AE50">
        <v>138.50299999999999</v>
      </c>
      <c r="AF50">
        <v>935.90599999999995</v>
      </c>
      <c r="AG50">
        <v>7028.3450000000003</v>
      </c>
      <c r="AH50">
        <v>530.69299999999998</v>
      </c>
      <c r="AI50">
        <v>60.753999999999998</v>
      </c>
      <c r="AJ50">
        <v>130.25299999999999</v>
      </c>
      <c r="AK50">
        <v>285.18099999999998</v>
      </c>
      <c r="AL50">
        <v>100.905</v>
      </c>
      <c r="AM50">
        <v>3606.3330000000001</v>
      </c>
      <c r="AN50">
        <v>9889.125</v>
      </c>
      <c r="AO50">
        <v>869.85900000000004</v>
      </c>
      <c r="AP50">
        <v>906.05399999999997</v>
      </c>
      <c r="AQ50">
        <v>2624.5680000000002</v>
      </c>
      <c r="AR50">
        <v>3303.9560000000001</v>
      </c>
      <c r="AS50">
        <v>5338.4589999999998</v>
      </c>
      <c r="AT50">
        <v>2799.721</v>
      </c>
      <c r="AU50">
        <v>10253.17</v>
      </c>
      <c r="AV50">
        <v>4464.3879999999999</v>
      </c>
      <c r="AW50">
        <v>3322.7579999999998</v>
      </c>
      <c r="AX50">
        <v>28369.194</v>
      </c>
      <c r="AY50">
        <v>10171.387000000001</v>
      </c>
      <c r="AZ50">
        <v>0</v>
      </c>
      <c r="BA50">
        <v>239174.728</v>
      </c>
      <c r="BB50">
        <v>61462.305</v>
      </c>
      <c r="BC50">
        <v>19207.669000000002</v>
      </c>
      <c r="BD50">
        <v>6852.2449999999999</v>
      </c>
      <c r="BE50">
        <v>4.42</v>
      </c>
      <c r="BF50">
        <v>6170.9080000000004</v>
      </c>
      <c r="BG50">
        <v>4299.6940000000004</v>
      </c>
      <c r="BH50">
        <v>2241.1660000000002</v>
      </c>
      <c r="BI50">
        <v>-7828.2640000000001</v>
      </c>
      <c r="BJ50">
        <v>430560.79399999999</v>
      </c>
    </row>
    <row r="51" spans="1:62" x14ac:dyDescent="0.25">
      <c r="A51" t="str">
        <f>INDEX('ISIC Code Meanings'!$L$2:$L$51,MATCH('Calculated IO Table'!B51,'ISIC Code Meanings'!$K$2:$K$51,0),1)</f>
        <v>ISIC 90T96</v>
      </c>
      <c r="B51" t="s">
        <v>991</v>
      </c>
      <c r="C51">
        <v>396.50799999999998</v>
      </c>
      <c r="D51">
        <v>26.073</v>
      </c>
      <c r="E51">
        <v>11.244999999999999</v>
      </c>
      <c r="F51">
        <v>23.315999999999999</v>
      </c>
      <c r="G51">
        <v>548.91099999999994</v>
      </c>
      <c r="H51">
        <v>37.847999999999999</v>
      </c>
      <c r="I51">
        <v>41.529000000000003</v>
      </c>
      <c r="J51">
        <v>31.628</v>
      </c>
      <c r="K51">
        <v>1162.8440000000001</v>
      </c>
      <c r="L51">
        <v>91.36</v>
      </c>
      <c r="M51">
        <v>127.917</v>
      </c>
      <c r="N51">
        <v>193.42699999999999</v>
      </c>
      <c r="O51">
        <v>242.76400000000001</v>
      </c>
      <c r="P51">
        <v>283.78199999999998</v>
      </c>
      <c r="Q51">
        <v>168.119</v>
      </c>
      <c r="R51">
        <v>171.17699999999999</v>
      </c>
      <c r="S51">
        <v>151.13200000000001</v>
      </c>
      <c r="T51">
        <v>114.70399999999999</v>
      </c>
      <c r="U51">
        <v>56.868000000000002</v>
      </c>
      <c r="V51">
        <v>331.50099999999998</v>
      </c>
      <c r="W51">
        <v>144.084</v>
      </c>
      <c r="X51">
        <v>68.096999999999994</v>
      </c>
      <c r="Y51">
        <v>238.31399999999999</v>
      </c>
      <c r="Z51">
        <v>352.94</v>
      </c>
      <c r="AA51">
        <v>19.337</v>
      </c>
      <c r="AB51">
        <v>112.319</v>
      </c>
      <c r="AC51">
        <v>207.81399999999999</v>
      </c>
      <c r="AD51">
        <v>223.64400000000001</v>
      </c>
      <c r="AE51">
        <v>239.34399999999999</v>
      </c>
      <c r="AF51">
        <v>1108.2070000000001</v>
      </c>
      <c r="AG51">
        <v>6762.223</v>
      </c>
      <c r="AH51">
        <v>724.505</v>
      </c>
      <c r="AI51">
        <v>76.917000000000002</v>
      </c>
      <c r="AJ51">
        <v>145.02600000000001</v>
      </c>
      <c r="AK51">
        <v>479.41500000000002</v>
      </c>
      <c r="AL51">
        <v>120.714</v>
      </c>
      <c r="AM51">
        <v>5650.4960000000001</v>
      </c>
      <c r="AN51">
        <v>1367.817</v>
      </c>
      <c r="AO51">
        <v>963.45899999999995</v>
      </c>
      <c r="AP51">
        <v>1476.152</v>
      </c>
      <c r="AQ51">
        <v>6611.116</v>
      </c>
      <c r="AR51">
        <v>4153.7780000000002</v>
      </c>
      <c r="AS51">
        <v>4963.6059999999998</v>
      </c>
      <c r="AT51">
        <v>4158.2259999999997</v>
      </c>
      <c r="AU51">
        <v>6398.3010000000004</v>
      </c>
      <c r="AV51">
        <v>2690.1759999999999</v>
      </c>
      <c r="AW51">
        <v>15395.919</v>
      </c>
      <c r="AX51">
        <v>1379.9590000000001</v>
      </c>
      <c r="AY51">
        <v>12321.034</v>
      </c>
      <c r="AZ51">
        <v>0</v>
      </c>
      <c r="BA51">
        <v>370374.196</v>
      </c>
      <c r="BB51">
        <v>147737.45699999999</v>
      </c>
      <c r="BC51">
        <v>303.01299999999998</v>
      </c>
      <c r="BD51">
        <v>1759.3889999999999</v>
      </c>
      <c r="BE51">
        <v>4.3099999999999996</v>
      </c>
      <c r="BF51">
        <v>3284.748</v>
      </c>
      <c r="BG51">
        <v>2473.4740000000002</v>
      </c>
      <c r="BH51">
        <v>898.46699999999998</v>
      </c>
      <c r="BI51">
        <v>-3989.1869999999999</v>
      </c>
      <c r="BJ51">
        <v>605611.45799999998</v>
      </c>
    </row>
    <row r="52" spans="1:62" x14ac:dyDescent="0.25">
      <c r="A52" t="str">
        <f>INDEX('ISIC Code Meanings'!$L$2:$L$51,MATCH('Calculated IO Table'!B52,'ISIC Code Meanings'!$K$2:$K$51,0),1)</f>
        <v>ISIC 97T98</v>
      </c>
      <c r="B52" t="s">
        <v>992</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25206.276999999998</v>
      </c>
      <c r="BB52">
        <v>0</v>
      </c>
      <c r="BC52">
        <v>0</v>
      </c>
      <c r="BD52">
        <v>0</v>
      </c>
      <c r="BE52">
        <v>0</v>
      </c>
      <c r="BF52">
        <v>0</v>
      </c>
      <c r="BG52">
        <v>0</v>
      </c>
      <c r="BH52">
        <v>0</v>
      </c>
      <c r="BI52">
        <v>0</v>
      </c>
      <c r="BJ52">
        <v>25206.276999999998</v>
      </c>
    </row>
    <row r="53" spans="1:62" x14ac:dyDescent="0.25">
      <c r="A53" t="e">
        <f>INDEX('ISIC Code Meanings'!$L$2:$L$51,MATCH('Calculated IO Table'!B53,'ISIC Code Meanings'!$K$2:$K$51,0),1)</f>
        <v>#N/A</v>
      </c>
      <c r="B53" t="s">
        <v>993</v>
      </c>
      <c r="C53">
        <v>103.58499999999999</v>
      </c>
      <c r="D53">
        <v>5.9710000000000001</v>
      </c>
      <c r="E53">
        <v>2.6970000000000001</v>
      </c>
      <c r="F53">
        <v>13.215999999999999</v>
      </c>
      <c r="G53">
        <v>387.10500000000002</v>
      </c>
      <c r="H53">
        <v>17.602</v>
      </c>
      <c r="I53">
        <v>17.305</v>
      </c>
      <c r="J53">
        <v>11.516</v>
      </c>
      <c r="K53">
        <v>3.125</v>
      </c>
      <c r="L53">
        <v>94.778999999999996</v>
      </c>
      <c r="M53">
        <v>59.960999999999999</v>
      </c>
      <c r="N53">
        <v>144.77099999999999</v>
      </c>
      <c r="O53">
        <v>2681.6089999999999</v>
      </c>
      <c r="P53">
        <v>438.06400000000002</v>
      </c>
      <c r="Q53">
        <v>107.67</v>
      </c>
      <c r="R53">
        <v>287.73700000000002</v>
      </c>
      <c r="S53">
        <v>101.08199999999999</v>
      </c>
      <c r="T53">
        <v>111.80200000000001</v>
      </c>
      <c r="U53">
        <v>67.048000000000002</v>
      </c>
      <c r="V53">
        <v>197.69300000000001</v>
      </c>
      <c r="W53">
        <v>352.24099999999999</v>
      </c>
      <c r="X53">
        <v>152.672</v>
      </c>
      <c r="Y53">
        <v>333.48599999999999</v>
      </c>
      <c r="Z53">
        <v>2418.6439999999998</v>
      </c>
      <c r="AA53">
        <v>20.071999999999999</v>
      </c>
      <c r="AB53">
        <v>274.85599999999999</v>
      </c>
      <c r="AC53">
        <v>225.643</v>
      </c>
      <c r="AD53">
        <v>641.75199999999995</v>
      </c>
      <c r="AE53">
        <v>47.097999999999999</v>
      </c>
      <c r="AF53">
        <v>929.53499999999997</v>
      </c>
      <c r="AG53">
        <v>1695.923</v>
      </c>
      <c r="AH53">
        <v>553.18799999999999</v>
      </c>
      <c r="AI53">
        <v>52.798999999999999</v>
      </c>
      <c r="AJ53">
        <v>167.04</v>
      </c>
      <c r="AK53">
        <v>109.99299999999999</v>
      </c>
      <c r="AL53">
        <v>29.364000000000001</v>
      </c>
      <c r="AM53">
        <v>209.24100000000001</v>
      </c>
      <c r="AN53">
        <v>150.87899999999999</v>
      </c>
      <c r="AO53">
        <v>209.71299999999999</v>
      </c>
      <c r="AP53">
        <v>254.07599999999999</v>
      </c>
      <c r="AQ53">
        <v>470.54199999999997</v>
      </c>
      <c r="AR53">
        <v>381.44900000000001</v>
      </c>
      <c r="AS53">
        <v>561.61800000000005</v>
      </c>
      <c r="AT53">
        <v>398.56</v>
      </c>
      <c r="AU53">
        <v>770.255</v>
      </c>
      <c r="AV53">
        <v>280.16000000000003</v>
      </c>
      <c r="AW53">
        <v>1061.376</v>
      </c>
      <c r="AX53">
        <v>87.492999999999995</v>
      </c>
      <c r="AY53">
        <v>154.488</v>
      </c>
      <c r="AZ53">
        <v>0</v>
      </c>
      <c r="BA53">
        <v>16461.628000000001</v>
      </c>
      <c r="BB53">
        <v>4.3529999999999998</v>
      </c>
      <c r="BC53">
        <v>32.154000000000003</v>
      </c>
      <c r="BD53">
        <v>11429.66</v>
      </c>
      <c r="BE53">
        <v>982.322</v>
      </c>
      <c r="BF53">
        <v>11153.968000000001</v>
      </c>
      <c r="BG53">
        <v>0</v>
      </c>
      <c r="BH53">
        <v>0</v>
      </c>
      <c r="BI53">
        <v>0</v>
      </c>
      <c r="BJ53">
        <v>57912.58</v>
      </c>
    </row>
    <row r="54" spans="1:62" x14ac:dyDescent="0.25">
      <c r="A54" t="e">
        <f>INDEX('ISIC Code Meanings'!$L$2:$L$51,MATCH('Calculated IO Table'!B54,'ISIC Code Meanings'!$K$2:$K$51,0),1)</f>
        <v>#N/A</v>
      </c>
      <c r="B54" t="s">
        <v>994</v>
      </c>
      <c r="C54">
        <v>5697.7089999999998</v>
      </c>
      <c r="D54">
        <v>299.35399999999998</v>
      </c>
      <c r="E54">
        <v>99.992000000000004</v>
      </c>
      <c r="F54">
        <v>494.88600000000002</v>
      </c>
      <c r="G54">
        <v>6984.6139999999996</v>
      </c>
      <c r="H54">
        <v>654.755</v>
      </c>
      <c r="I54">
        <v>684.673</v>
      </c>
      <c r="J54">
        <v>410.87599999999998</v>
      </c>
      <c r="K54">
        <v>8234.2610000000004</v>
      </c>
      <c r="L54">
        <v>805.35699999999997</v>
      </c>
      <c r="M54">
        <v>1019.207</v>
      </c>
      <c r="N54">
        <v>2937.1950000000002</v>
      </c>
      <c r="O54">
        <v>1786.1790000000001</v>
      </c>
      <c r="P54">
        <v>5598.5749999999998</v>
      </c>
      <c r="Q54">
        <v>1477.972</v>
      </c>
      <c r="R54">
        <v>3308.1460000000002</v>
      </c>
      <c r="S54">
        <v>3256.91</v>
      </c>
      <c r="T54">
        <v>3992.2829999999999</v>
      </c>
      <c r="U54">
        <v>1992.9390000000001</v>
      </c>
      <c r="V54">
        <v>2712.761</v>
      </c>
      <c r="W54">
        <v>1027.7349999999999</v>
      </c>
      <c r="X54">
        <v>1029.9549999999999</v>
      </c>
      <c r="Y54">
        <v>3424.165</v>
      </c>
      <c r="Z54">
        <v>7930.0389999999998</v>
      </c>
      <c r="AA54">
        <v>260.733</v>
      </c>
      <c r="AB54">
        <v>1541.6669999999999</v>
      </c>
      <c r="AC54">
        <v>2561.5140000000001</v>
      </c>
      <c r="AD54">
        <v>838.173</v>
      </c>
      <c r="AE54">
        <v>1371.6780000000001</v>
      </c>
      <c r="AF54">
        <v>21540.720000000001</v>
      </c>
      <c r="AG54">
        <v>28427.473000000002</v>
      </c>
      <c r="AH54">
        <v>20801.212</v>
      </c>
      <c r="AI54">
        <v>216.74700000000001</v>
      </c>
      <c r="AJ54">
        <v>629.12400000000002</v>
      </c>
      <c r="AK54">
        <v>3357.2579999999998</v>
      </c>
      <c r="AL54">
        <v>1147.72</v>
      </c>
      <c r="AM54">
        <v>8866.2639999999992</v>
      </c>
      <c r="AN54">
        <v>3072.431</v>
      </c>
      <c r="AO54">
        <v>2427.9879999999998</v>
      </c>
      <c r="AP54">
        <v>2706.3249999999998</v>
      </c>
      <c r="AQ54">
        <v>-2688.42</v>
      </c>
      <c r="AR54">
        <v>5350.2259999999997</v>
      </c>
      <c r="AS54">
        <v>8998.7939999999999</v>
      </c>
      <c r="AT54">
        <v>8958.7639999999992</v>
      </c>
      <c r="AU54">
        <v>22327.087</v>
      </c>
      <c r="AV54">
        <v>6136.1210000000001</v>
      </c>
      <c r="AW54">
        <v>13458.004999999999</v>
      </c>
      <c r="AX54">
        <v>1827.4069999999999</v>
      </c>
      <c r="AY54">
        <v>3836.3159999999998</v>
      </c>
      <c r="AZ54">
        <v>0</v>
      </c>
      <c r="BA54">
        <v>548370.41700000002</v>
      </c>
      <c r="BB54">
        <v>6439.6170000000002</v>
      </c>
      <c r="BC54">
        <v>318.08600000000001</v>
      </c>
      <c r="BD54">
        <v>84528.566000000006</v>
      </c>
      <c r="BE54">
        <v>6958.39</v>
      </c>
      <c r="BF54">
        <v>0</v>
      </c>
      <c r="BG54">
        <v>8879.9069999999992</v>
      </c>
      <c r="BH54">
        <v>18600.23</v>
      </c>
      <c r="BI54">
        <v>0</v>
      </c>
      <c r="BJ54">
        <v>907927.07799999998</v>
      </c>
    </row>
    <row r="55" spans="1:62" x14ac:dyDescent="0.25">
      <c r="A55" t="e">
        <f>INDEX('ISIC Code Meanings'!$L$2:$L$51,MATCH('Calculated IO Table'!B55,'ISIC Code Meanings'!$K$2:$K$51,0),1)</f>
        <v>#N/A</v>
      </c>
      <c r="B55" t="s">
        <v>995</v>
      </c>
      <c r="C55">
        <v>349409.61200000002</v>
      </c>
      <c r="D55">
        <v>12864.641</v>
      </c>
      <c r="E55">
        <v>2122.556</v>
      </c>
      <c r="F55">
        <v>14122.989</v>
      </c>
      <c r="G55">
        <v>366442.98700000002</v>
      </c>
      <c r="H55">
        <v>18860.695</v>
      </c>
      <c r="I55">
        <v>20144.262999999999</v>
      </c>
      <c r="J55">
        <v>15868.944</v>
      </c>
      <c r="K55">
        <v>834723.56499999994</v>
      </c>
      <c r="L55">
        <v>42756.625999999997</v>
      </c>
      <c r="M55">
        <v>104966.583</v>
      </c>
      <c r="N55">
        <v>182397.13200000001</v>
      </c>
      <c r="O55">
        <v>651015.13699999999</v>
      </c>
      <c r="P55">
        <v>333732.08</v>
      </c>
      <c r="Q55">
        <v>113221.13099999999</v>
      </c>
      <c r="R55">
        <v>210138.05100000001</v>
      </c>
      <c r="S55">
        <v>112645.54</v>
      </c>
      <c r="T55">
        <v>141909.50700000001</v>
      </c>
      <c r="U55">
        <v>105387.97100000001</v>
      </c>
      <c r="V55">
        <v>276140.99200000003</v>
      </c>
      <c r="W55">
        <v>138061.77499999999</v>
      </c>
      <c r="X55">
        <v>80959.868000000002</v>
      </c>
      <c r="Y55">
        <v>262793.66100000002</v>
      </c>
      <c r="Z55">
        <v>584578.26599999995</v>
      </c>
      <c r="AA55">
        <v>20878.127</v>
      </c>
      <c r="AB55">
        <v>172155.56899999999</v>
      </c>
      <c r="AC55">
        <v>138167.52299999999</v>
      </c>
      <c r="AD55">
        <v>295851.37599999999</v>
      </c>
      <c r="AE55">
        <v>67838.755000000005</v>
      </c>
      <c r="AF55">
        <v>1106453.1129999999</v>
      </c>
      <c r="AG55">
        <v>2318219.5469999998</v>
      </c>
      <c r="AH55">
        <v>422551.70199999999</v>
      </c>
      <c r="AI55">
        <v>44099.192000000003</v>
      </c>
      <c r="AJ55">
        <v>125557.13499999999</v>
      </c>
      <c r="AK55">
        <v>203870.476</v>
      </c>
      <c r="AL55">
        <v>69589.763000000006</v>
      </c>
      <c r="AM55">
        <v>702904.272</v>
      </c>
      <c r="AN55">
        <v>437978.23200000002</v>
      </c>
      <c r="AO55">
        <v>356784.467</v>
      </c>
      <c r="AP55">
        <v>497679.674</v>
      </c>
      <c r="AQ55">
        <v>1552316.9069999999</v>
      </c>
      <c r="AR55">
        <v>1469828.118</v>
      </c>
      <c r="AS55">
        <v>1175395.2490000001</v>
      </c>
      <c r="AT55">
        <v>754788.77099999995</v>
      </c>
      <c r="AU55">
        <v>1444747.344</v>
      </c>
      <c r="AV55">
        <v>477697.41600000003</v>
      </c>
      <c r="AW55">
        <v>1189029.9820000001</v>
      </c>
      <c r="AX55">
        <v>182297.61900000001</v>
      </c>
      <c r="AY55">
        <v>261511.09899999999</v>
      </c>
      <c r="AZ55">
        <v>0</v>
      </c>
      <c r="BA55">
        <v>16668000.051999999</v>
      </c>
      <c r="BB55">
        <v>532199.21100000001</v>
      </c>
      <c r="BC55">
        <v>3570521.4929999998</v>
      </c>
      <c r="BD55">
        <v>5670529.8969999999</v>
      </c>
      <c r="BE55">
        <v>137463.28700000001</v>
      </c>
      <c r="BF55">
        <v>158081.065</v>
      </c>
      <c r="BG55">
        <v>133911.62299999999</v>
      </c>
      <c r="BH55">
        <v>2542727.3289999999</v>
      </c>
      <c r="BI55">
        <v>-3611167.057</v>
      </c>
      <c r="BJ55">
        <v>46265722.902000003</v>
      </c>
    </row>
    <row r="56" spans="1:62" x14ac:dyDescent="0.25">
      <c r="A56" t="e">
        <f>INDEX('ISIC Code Meanings'!$L$2:$L$51,MATCH('Calculated IO Table'!B56,'ISIC Code Meanings'!$K$2:$K$51,0),1)</f>
        <v>#N/A</v>
      </c>
      <c r="B56" t="s">
        <v>996</v>
      </c>
      <c r="C56">
        <v>281509.73</v>
      </c>
      <c r="D56">
        <v>13585.888999999999</v>
      </c>
      <c r="E56">
        <v>4396.6989999999996</v>
      </c>
      <c r="F56">
        <v>26378.506000000001</v>
      </c>
      <c r="G56">
        <v>347599.13199999998</v>
      </c>
      <c r="H56">
        <v>15607.133</v>
      </c>
      <c r="I56">
        <v>32762.977999999999</v>
      </c>
      <c r="J56">
        <v>47770.256999999998</v>
      </c>
      <c r="K56">
        <v>290417.94300000003</v>
      </c>
      <c r="L56">
        <v>29566.705000000002</v>
      </c>
      <c r="M56">
        <v>67758.248999999996</v>
      </c>
      <c r="N56">
        <v>109251.454</v>
      </c>
      <c r="O56">
        <v>230083.43100000001</v>
      </c>
      <c r="P56">
        <v>304016.71000000002</v>
      </c>
      <c r="Q56">
        <v>247268.22200000001</v>
      </c>
      <c r="R56">
        <v>93519.804999999993</v>
      </c>
      <c r="S56">
        <v>77410.063999999998</v>
      </c>
      <c r="T56">
        <v>56556.002999999997</v>
      </c>
      <c r="U56">
        <v>56357.536999999997</v>
      </c>
      <c r="V56">
        <v>177403.31200000001</v>
      </c>
      <c r="W56">
        <v>351490.26400000002</v>
      </c>
      <c r="X56">
        <v>75883.356</v>
      </c>
      <c r="Y56">
        <v>184021.587</v>
      </c>
      <c r="Z56">
        <v>148956.61900000001</v>
      </c>
      <c r="AA56">
        <v>27391.502</v>
      </c>
      <c r="AB56">
        <v>133568.62899999999</v>
      </c>
      <c r="AC56">
        <v>171775.155</v>
      </c>
      <c r="AD56">
        <v>392388.23300000001</v>
      </c>
      <c r="AE56">
        <v>86413.803</v>
      </c>
      <c r="AF56">
        <v>1057914.9280000001</v>
      </c>
      <c r="AG56">
        <v>2565144.08</v>
      </c>
      <c r="AH56">
        <v>385042.02399999998</v>
      </c>
      <c r="AI56">
        <v>21925.733</v>
      </c>
      <c r="AJ56">
        <v>127037.245</v>
      </c>
      <c r="AK56">
        <v>224527.095</v>
      </c>
      <c r="AL56">
        <v>136709.46799999999</v>
      </c>
      <c r="AM56">
        <v>694151.59600000002</v>
      </c>
      <c r="AN56">
        <v>519200.96399999998</v>
      </c>
      <c r="AO56">
        <v>317457.86800000002</v>
      </c>
      <c r="AP56">
        <v>839817.55900000001</v>
      </c>
      <c r="AQ56">
        <v>1975777.111</v>
      </c>
      <c r="AR56">
        <v>3031953.1290000002</v>
      </c>
      <c r="AS56">
        <v>2083293.0049999999</v>
      </c>
      <c r="AT56">
        <v>1094558.92</v>
      </c>
      <c r="AU56">
        <v>1983617.0689999999</v>
      </c>
      <c r="AV56">
        <v>1239874.817</v>
      </c>
      <c r="AW56">
        <v>1839499.737</v>
      </c>
      <c r="AX56">
        <v>248263.114</v>
      </c>
      <c r="AY56">
        <v>344100.27100000001</v>
      </c>
      <c r="AZ56">
        <v>25206.276999999998</v>
      </c>
      <c r="BA56">
        <v>0</v>
      </c>
      <c r="BB56">
        <v>0</v>
      </c>
      <c r="BC56">
        <v>0</v>
      </c>
      <c r="BD56">
        <v>0</v>
      </c>
      <c r="BE56">
        <v>0</v>
      </c>
      <c r="BF56">
        <v>0</v>
      </c>
      <c r="BG56">
        <v>0</v>
      </c>
      <c r="BH56">
        <v>0</v>
      </c>
      <c r="BI56">
        <v>0</v>
      </c>
      <c r="BJ56">
        <v>24836180.921999998</v>
      </c>
    </row>
    <row r="57" spans="1:62" x14ac:dyDescent="0.25">
      <c r="A57" t="e">
        <f>INDEX('ISIC Code Meanings'!$L$2:$L$51,MATCH('Calculated IO Table'!B57,'ISIC Code Meanings'!$K$2:$K$51,0),1)</f>
        <v>#N/A</v>
      </c>
      <c r="B57" t="s">
        <v>997</v>
      </c>
      <c r="C57">
        <v>82680.194000000003</v>
      </c>
      <c r="D57">
        <v>10324.343000000001</v>
      </c>
      <c r="E57">
        <v>1059.7470000000001</v>
      </c>
      <c r="F57">
        <v>7210.54</v>
      </c>
      <c r="G57">
        <v>70417.945000000007</v>
      </c>
      <c r="H57">
        <v>3922.471</v>
      </c>
      <c r="I57">
        <v>10753.598</v>
      </c>
      <c r="J57">
        <v>36927.175000000003</v>
      </c>
      <c r="K57">
        <v>134889.81599999999</v>
      </c>
      <c r="L57">
        <v>21515.633999999998</v>
      </c>
      <c r="M57">
        <v>35910.131999999998</v>
      </c>
      <c r="N57">
        <v>62292.446000000004</v>
      </c>
      <c r="O57">
        <v>51456.063999999998</v>
      </c>
      <c r="P57">
        <v>94325.267000000007</v>
      </c>
      <c r="Q57">
        <v>75120.589000000007</v>
      </c>
      <c r="R57">
        <v>61123.749000000003</v>
      </c>
      <c r="S57">
        <v>38847.550999999999</v>
      </c>
      <c r="T57">
        <v>35246.981</v>
      </c>
      <c r="U57">
        <v>21287.201000000001</v>
      </c>
      <c r="V57">
        <v>120294.261</v>
      </c>
      <c r="W57">
        <v>183991.61499999999</v>
      </c>
      <c r="X57">
        <v>45019.855000000003</v>
      </c>
      <c r="Y57">
        <v>109805.84600000001</v>
      </c>
      <c r="Z57">
        <v>76126.258000000002</v>
      </c>
      <c r="AA57">
        <v>16016.342000000001</v>
      </c>
      <c r="AB57">
        <v>70340.532999999996</v>
      </c>
      <c r="AC57">
        <v>115185.253</v>
      </c>
      <c r="AD57">
        <v>103237.81200000001</v>
      </c>
      <c r="AE57">
        <v>48897.557000000001</v>
      </c>
      <c r="AF57">
        <v>695412.70400000003</v>
      </c>
      <c r="AG57">
        <v>1511280.7819999999</v>
      </c>
      <c r="AH57">
        <v>220515.52600000001</v>
      </c>
      <c r="AI57">
        <v>14940.66</v>
      </c>
      <c r="AJ57">
        <v>127037.245</v>
      </c>
      <c r="AK57">
        <v>217027.77499999999</v>
      </c>
      <c r="AL57">
        <v>109785.815</v>
      </c>
      <c r="AM57">
        <v>500176.28</v>
      </c>
      <c r="AN57">
        <v>246020.28</v>
      </c>
      <c r="AO57">
        <v>96190.676000000007</v>
      </c>
      <c r="AP57">
        <v>537667.57400000002</v>
      </c>
      <c r="AQ57">
        <v>982921.647</v>
      </c>
      <c r="AR57">
        <v>149822.85200000001</v>
      </c>
      <c r="AS57">
        <v>1488775.4620000001</v>
      </c>
      <c r="AT57">
        <v>623844.97</v>
      </c>
      <c r="AU57">
        <v>1388979.081</v>
      </c>
      <c r="AV57">
        <v>1089261.1580000001</v>
      </c>
      <c r="AW57">
        <v>1580872.8670000001</v>
      </c>
      <c r="AX57">
        <v>158722.49600000001</v>
      </c>
      <c r="AY57">
        <v>273791.51199999999</v>
      </c>
      <c r="AZ57">
        <v>25206.276999999998</v>
      </c>
      <c r="BA57">
        <v>0</v>
      </c>
      <c r="BB57">
        <v>0</v>
      </c>
      <c r="BC57">
        <v>0</v>
      </c>
      <c r="BD57">
        <v>0</v>
      </c>
      <c r="BE57">
        <v>0</v>
      </c>
      <c r="BF57">
        <v>0</v>
      </c>
      <c r="BG57">
        <v>0</v>
      </c>
      <c r="BH57">
        <v>0</v>
      </c>
      <c r="BI57">
        <v>0</v>
      </c>
      <c r="BJ57">
        <v>13782480.416999999</v>
      </c>
    </row>
    <row r="58" spans="1:62" x14ac:dyDescent="0.25">
      <c r="A58" t="e">
        <f>INDEX('ISIC Code Meanings'!$L$2:$L$51,MATCH('Calculated IO Table'!B58,'ISIC Code Meanings'!$K$2:$K$51,0),1)</f>
        <v>#N/A</v>
      </c>
      <c r="B58" t="s">
        <v>998</v>
      </c>
      <c r="C58">
        <v>8049.3050000000003</v>
      </c>
      <c r="D58">
        <v>1254.8610000000001</v>
      </c>
      <c r="E58">
        <v>225.351</v>
      </c>
      <c r="F58">
        <v>6348.0389999999998</v>
      </c>
      <c r="G58">
        <v>45093.411</v>
      </c>
      <c r="H58">
        <v>2133.3290000000002</v>
      </c>
      <c r="I58">
        <v>2873.105</v>
      </c>
      <c r="J58">
        <v>-299.21600000000001</v>
      </c>
      <c r="K58">
        <v>7325.7790000000005</v>
      </c>
      <c r="L58">
        <v>1931.165</v>
      </c>
      <c r="M58">
        <v>5462.7420000000002</v>
      </c>
      <c r="N58">
        <v>5095.3490000000002</v>
      </c>
      <c r="O58">
        <v>-17158.011999999999</v>
      </c>
      <c r="P58">
        <v>10095.431</v>
      </c>
      <c r="Q58">
        <v>749.202</v>
      </c>
      <c r="R58">
        <v>-2825.65</v>
      </c>
      <c r="S58">
        <v>2330.9589999999998</v>
      </c>
      <c r="T58">
        <v>-7770.2730000000001</v>
      </c>
      <c r="U58">
        <v>8583.8539999999994</v>
      </c>
      <c r="V58">
        <v>1276.854</v>
      </c>
      <c r="W58">
        <v>10926.929</v>
      </c>
      <c r="X58">
        <v>2601.5300000000002</v>
      </c>
      <c r="Y58">
        <v>6332.6409999999996</v>
      </c>
      <c r="Z58">
        <v>2892.1480000000001</v>
      </c>
      <c r="AA58">
        <v>-674.25199999999995</v>
      </c>
      <c r="AB58">
        <v>28816.172999999999</v>
      </c>
      <c r="AC58">
        <v>1954.6559999999999</v>
      </c>
      <c r="AD58">
        <v>51786.434000000001</v>
      </c>
      <c r="AE58">
        <v>6905.3609999999999</v>
      </c>
      <c r="AF58">
        <v>26667.804</v>
      </c>
      <c r="AG58">
        <v>137864.54</v>
      </c>
      <c r="AH58">
        <v>2004.3230000000001</v>
      </c>
      <c r="AI58">
        <v>-1627.32</v>
      </c>
      <c r="AJ58">
        <v>-61993.957000000002</v>
      </c>
      <c r="AK58">
        <v>-33727.836000000003</v>
      </c>
      <c r="AL58">
        <v>14265.33</v>
      </c>
      <c r="AM58">
        <v>12796.838</v>
      </c>
      <c r="AN58">
        <v>8125.3360000000002</v>
      </c>
      <c r="AO58">
        <v>-9653.7890000000007</v>
      </c>
      <c r="AP58">
        <v>9987.9009999999998</v>
      </c>
      <c r="AQ58">
        <v>31405.027999999998</v>
      </c>
      <c r="AR58">
        <v>390367.98200000002</v>
      </c>
      <c r="AS58">
        <v>23090.121999999999</v>
      </c>
      <c r="AT58">
        <v>39689.783000000003</v>
      </c>
      <c r="AU58">
        <v>744.39599999999996</v>
      </c>
      <c r="AV58">
        <v>10993.023999999999</v>
      </c>
      <c r="AW58">
        <v>-39555.173999999999</v>
      </c>
      <c r="AX58">
        <v>-1425.0160000000001</v>
      </c>
      <c r="AY58">
        <v>-11224.369000000001</v>
      </c>
      <c r="AZ58">
        <v>0</v>
      </c>
      <c r="BA58">
        <v>0</v>
      </c>
      <c r="BB58">
        <v>0</v>
      </c>
      <c r="BC58">
        <v>0</v>
      </c>
      <c r="BD58">
        <v>0</v>
      </c>
      <c r="BE58">
        <v>0</v>
      </c>
      <c r="BF58">
        <v>0</v>
      </c>
      <c r="BG58">
        <v>0</v>
      </c>
      <c r="BH58">
        <v>0</v>
      </c>
      <c r="BI58">
        <v>0</v>
      </c>
      <c r="BJ58">
        <v>741112.152</v>
      </c>
    </row>
    <row r="59" spans="1:62" x14ac:dyDescent="0.25">
      <c r="A59" t="e">
        <f>INDEX('ISIC Code Meanings'!$L$2:$L$51,MATCH('Calculated IO Table'!B59,'ISIC Code Meanings'!$K$2:$K$51,0),1)</f>
        <v>#N/A</v>
      </c>
      <c r="B59" t="s">
        <v>999</v>
      </c>
      <c r="C59">
        <v>95413.47</v>
      </c>
      <c r="D59">
        <v>2194.3159999999998</v>
      </c>
      <c r="E59">
        <v>910.05600000000004</v>
      </c>
      <c r="F59">
        <v>4799.3010000000004</v>
      </c>
      <c r="G59">
        <v>347599.13199999998</v>
      </c>
      <c r="H59">
        <v>5382.9319999999998</v>
      </c>
      <c r="I59">
        <v>7783.55</v>
      </c>
      <c r="J59">
        <v>18318.967000000001</v>
      </c>
      <c r="K59">
        <v>30289.616000000002</v>
      </c>
      <c r="L59">
        <v>5395.8180000000002</v>
      </c>
      <c r="M59">
        <v>5845.6189999999997</v>
      </c>
      <c r="N59">
        <v>15069.933000000001</v>
      </c>
      <c r="O59">
        <v>86179.202000000005</v>
      </c>
      <c r="P59">
        <v>113977.798</v>
      </c>
      <c r="Q59">
        <v>48578.934000000001</v>
      </c>
      <c r="R59">
        <v>16261.736000000001</v>
      </c>
      <c r="S59">
        <v>15802.004999999999</v>
      </c>
      <c r="T59">
        <v>17391.401000000002</v>
      </c>
      <c r="U59">
        <v>12022.798000000001</v>
      </c>
      <c r="V59">
        <v>24529.96</v>
      </c>
      <c r="W59">
        <v>136748.55100000001</v>
      </c>
      <c r="X59">
        <v>9739.5110000000004</v>
      </c>
      <c r="Y59">
        <v>27081.938999999998</v>
      </c>
      <c r="Z59">
        <v>58226.178999999996</v>
      </c>
      <c r="AA59">
        <v>4975.3440000000001</v>
      </c>
      <c r="AB59">
        <v>17302.062000000002</v>
      </c>
      <c r="AC59">
        <v>20996.494999999999</v>
      </c>
      <c r="AD59">
        <v>105265.508</v>
      </c>
      <c r="AE59">
        <v>13113.016</v>
      </c>
      <c r="AF59">
        <v>63988.086000000003</v>
      </c>
      <c r="AG59">
        <v>231664.81299999999</v>
      </c>
      <c r="AH59">
        <v>78706.778000000006</v>
      </c>
      <c r="AI59">
        <v>9782.6810000000005</v>
      </c>
      <c r="AJ59">
        <v>46891.502</v>
      </c>
      <c r="AK59">
        <v>19716.749</v>
      </c>
      <c r="AL59">
        <v>9030.8410000000003</v>
      </c>
      <c r="AM59">
        <v>46664.557000000001</v>
      </c>
      <c r="AN59">
        <v>156390.28700000001</v>
      </c>
      <c r="AO59">
        <v>97312.418000000005</v>
      </c>
      <c r="AP59">
        <v>172165.68599999999</v>
      </c>
      <c r="AQ59">
        <v>231377.29399999999</v>
      </c>
      <c r="AR59">
        <v>793013.59</v>
      </c>
      <c r="AS59">
        <v>188270.454</v>
      </c>
      <c r="AT59">
        <v>143297.68100000001</v>
      </c>
      <c r="AU59">
        <v>579957.52599999995</v>
      </c>
      <c r="AV59">
        <v>149257.24600000001</v>
      </c>
      <c r="AW59">
        <v>134730.03400000001</v>
      </c>
      <c r="AX59">
        <v>44603.084999999999</v>
      </c>
      <c r="AY59">
        <v>32312.865000000002</v>
      </c>
      <c r="AZ59">
        <v>0</v>
      </c>
      <c r="BA59">
        <v>0</v>
      </c>
      <c r="BB59">
        <v>0</v>
      </c>
      <c r="BC59">
        <v>0</v>
      </c>
      <c r="BD59">
        <v>0</v>
      </c>
      <c r="BE59">
        <v>0</v>
      </c>
      <c r="BF59">
        <v>0</v>
      </c>
      <c r="BG59">
        <v>0</v>
      </c>
      <c r="BH59">
        <v>0</v>
      </c>
      <c r="BI59">
        <v>0</v>
      </c>
      <c r="BJ59">
        <v>4496329.324</v>
      </c>
    </row>
    <row r="60" spans="1:62" x14ac:dyDescent="0.25">
      <c r="A60" t="e">
        <f>INDEX('ISIC Code Meanings'!$L$2:$L$51,MATCH('Calculated IO Table'!B60,'ISIC Code Meanings'!$K$2:$K$51,0),1)</f>
        <v>#N/A</v>
      </c>
      <c r="B60" t="s">
        <v>1000</v>
      </c>
      <c r="C60">
        <v>95366.760999999999</v>
      </c>
      <c r="D60">
        <v>-187.631</v>
      </c>
      <c r="E60">
        <v>2201.5439999999999</v>
      </c>
      <c r="F60">
        <v>8020.625</v>
      </c>
      <c r="G60">
        <v>-115511.356</v>
      </c>
      <c r="H60">
        <v>4168.402</v>
      </c>
      <c r="I60">
        <v>11352.725</v>
      </c>
      <c r="J60">
        <v>-7176.6689999999999</v>
      </c>
      <c r="K60">
        <v>117912.73299999999</v>
      </c>
      <c r="L60">
        <v>724.08699999999999</v>
      </c>
      <c r="M60">
        <v>20539.756000000001</v>
      </c>
      <c r="N60">
        <v>26793.725999999999</v>
      </c>
      <c r="O60">
        <v>109606.17600000001</v>
      </c>
      <c r="P60">
        <v>85618.214000000007</v>
      </c>
      <c r="Q60">
        <v>122819.49800000001</v>
      </c>
      <c r="R60">
        <v>18959.97</v>
      </c>
      <c r="S60">
        <v>20429.55</v>
      </c>
      <c r="T60">
        <v>11687.894</v>
      </c>
      <c r="U60">
        <v>14463.683000000001</v>
      </c>
      <c r="V60">
        <v>31302.237000000001</v>
      </c>
      <c r="W60">
        <v>19823.169999999998</v>
      </c>
      <c r="X60">
        <v>18522.458999999999</v>
      </c>
      <c r="Y60">
        <v>40801.161</v>
      </c>
      <c r="Z60">
        <v>11712.034</v>
      </c>
      <c r="AA60">
        <v>7074.0690000000004</v>
      </c>
      <c r="AB60">
        <v>17109.861000000001</v>
      </c>
      <c r="AC60">
        <v>33638.750999999997</v>
      </c>
      <c r="AD60">
        <v>132098.47899999999</v>
      </c>
      <c r="AE60">
        <v>17497.868999999999</v>
      </c>
      <c r="AF60">
        <v>271846.33299999998</v>
      </c>
      <c r="AG60">
        <v>684333.94499999995</v>
      </c>
      <c r="AH60">
        <v>83815.396999999997</v>
      </c>
      <c r="AI60">
        <v>-1170.288</v>
      </c>
      <c r="AJ60">
        <v>15102.455</v>
      </c>
      <c r="AK60">
        <v>21510.406999999999</v>
      </c>
      <c r="AL60">
        <v>3627.4830000000002</v>
      </c>
      <c r="AM60">
        <v>134513.921</v>
      </c>
      <c r="AN60">
        <v>108665.061</v>
      </c>
      <c r="AO60">
        <v>133608.56299999999</v>
      </c>
      <c r="AP60">
        <v>119996.398</v>
      </c>
      <c r="AQ60">
        <v>730073.14300000004</v>
      </c>
      <c r="AR60">
        <v>1698748.7050000001</v>
      </c>
      <c r="AS60">
        <v>383156.967</v>
      </c>
      <c r="AT60">
        <v>287726.48499999999</v>
      </c>
      <c r="AU60">
        <v>13936.066000000001</v>
      </c>
      <c r="AV60">
        <v>-9636.6110000000008</v>
      </c>
      <c r="AW60">
        <v>163452.011</v>
      </c>
      <c r="AX60">
        <v>46362.548999999999</v>
      </c>
      <c r="AY60">
        <v>49220.262999999999</v>
      </c>
      <c r="AZ60">
        <v>0</v>
      </c>
      <c r="BA60">
        <v>0</v>
      </c>
      <c r="BB60">
        <v>0</v>
      </c>
      <c r="BC60">
        <v>0</v>
      </c>
      <c r="BD60">
        <v>0</v>
      </c>
      <c r="BE60">
        <v>0</v>
      </c>
      <c r="BF60">
        <v>0</v>
      </c>
      <c r="BG60">
        <v>0</v>
      </c>
      <c r="BH60">
        <v>0</v>
      </c>
      <c r="BI60">
        <v>0</v>
      </c>
      <c r="BJ60">
        <v>5816259.0290000001</v>
      </c>
    </row>
    <row r="61" spans="1:62" x14ac:dyDescent="0.25">
      <c r="A61" t="e">
        <f>INDEX('ISIC Code Meanings'!$L$2:$L$51,MATCH('Calculated IO Table'!B61,'ISIC Code Meanings'!$K$2:$K$51,0),1)</f>
        <v>#N/A</v>
      </c>
      <c r="B61" t="s">
        <v>1001</v>
      </c>
      <c r="C61">
        <v>630919.34199999995</v>
      </c>
      <c r="D61">
        <v>26450.53</v>
      </c>
      <c r="E61">
        <v>6519.2550000000001</v>
      </c>
      <c r="F61">
        <v>40501.495000000003</v>
      </c>
      <c r="G61">
        <v>714042.12</v>
      </c>
      <c r="H61">
        <v>34467.828999999998</v>
      </c>
      <c r="I61">
        <v>52907.241000000002</v>
      </c>
      <c r="J61">
        <v>63639.201000000001</v>
      </c>
      <c r="K61">
        <v>1125141.5079999999</v>
      </c>
      <c r="L61">
        <v>72323.331000000006</v>
      </c>
      <c r="M61">
        <v>172724.83300000001</v>
      </c>
      <c r="N61">
        <v>291648.58600000001</v>
      </c>
      <c r="O61">
        <v>881098.56900000002</v>
      </c>
      <c r="P61">
        <v>637748.79099999997</v>
      </c>
      <c r="Q61">
        <v>360489.353</v>
      </c>
      <c r="R61">
        <v>303657.85600000003</v>
      </c>
      <c r="S61">
        <v>190055.60399999999</v>
      </c>
      <c r="T61">
        <v>198465.51</v>
      </c>
      <c r="U61">
        <v>161745.508</v>
      </c>
      <c r="V61">
        <v>453544.304</v>
      </c>
      <c r="W61">
        <v>489552.03899999999</v>
      </c>
      <c r="X61">
        <v>156843.223</v>
      </c>
      <c r="Y61">
        <v>446815.24699999997</v>
      </c>
      <c r="Z61">
        <v>733534.88500000001</v>
      </c>
      <c r="AA61">
        <v>48269.629000000001</v>
      </c>
      <c r="AB61">
        <v>305724.19799999997</v>
      </c>
      <c r="AC61">
        <v>309942.679</v>
      </c>
      <c r="AD61">
        <v>688239.60900000005</v>
      </c>
      <c r="AE61">
        <v>154252.55799999999</v>
      </c>
      <c r="AF61">
        <v>2164368.0410000002</v>
      </c>
      <c r="AG61">
        <v>4883363.6279999996</v>
      </c>
      <c r="AH61">
        <v>807593.72600000002</v>
      </c>
      <c r="AI61">
        <v>66024.925000000003</v>
      </c>
      <c r="AJ61">
        <v>252594.38</v>
      </c>
      <c r="AK61">
        <v>428397.571</v>
      </c>
      <c r="AL61">
        <v>206299.231</v>
      </c>
      <c r="AM61">
        <v>1397055.868</v>
      </c>
      <c r="AN61">
        <v>957179.196</v>
      </c>
      <c r="AO61">
        <v>674242.33400000003</v>
      </c>
      <c r="AP61">
        <v>1337497.233</v>
      </c>
      <c r="AQ61">
        <v>3528094.0189999999</v>
      </c>
      <c r="AR61">
        <v>4501781.2470000004</v>
      </c>
      <c r="AS61">
        <v>3258688.2540000002</v>
      </c>
      <c r="AT61">
        <v>1849347.6910000001</v>
      </c>
      <c r="AU61">
        <v>3428364.4139999999</v>
      </c>
      <c r="AV61">
        <v>1717572.233</v>
      </c>
      <c r="AW61">
        <v>3028529.719</v>
      </c>
      <c r="AX61">
        <v>430560.73300000001</v>
      </c>
      <c r="AY61">
        <v>605611.37</v>
      </c>
      <c r="AZ61">
        <v>25206.276999999998</v>
      </c>
      <c r="BA61">
        <v>0</v>
      </c>
      <c r="BB61">
        <v>0</v>
      </c>
      <c r="BC61">
        <v>0</v>
      </c>
      <c r="BD61">
        <v>0</v>
      </c>
      <c r="BE61">
        <v>0</v>
      </c>
      <c r="BF61">
        <v>0</v>
      </c>
      <c r="BG61">
        <v>0</v>
      </c>
      <c r="BH61">
        <v>0</v>
      </c>
      <c r="BI61">
        <v>0</v>
      </c>
      <c r="BJ61">
        <v>45299636.923</v>
      </c>
    </row>
    <row r="64" spans="1:62" x14ac:dyDescent="0.25">
      <c r="C64" t="s">
        <v>4</v>
      </c>
      <c r="D64" t="s">
        <v>857</v>
      </c>
      <c r="E64" t="s">
        <v>856</v>
      </c>
      <c r="F64" t="s">
        <v>5</v>
      </c>
      <c r="G64" t="s">
        <v>6</v>
      </c>
      <c r="H64" t="s">
        <v>7</v>
      </c>
      <c r="I64" t="s">
        <v>8</v>
      </c>
      <c r="J64" t="s">
        <v>9</v>
      </c>
      <c r="K64" t="s">
        <v>10</v>
      </c>
      <c r="L64" t="s">
        <v>11</v>
      </c>
      <c r="M64" t="s">
        <v>59</v>
      </c>
      <c r="N64" t="s">
        <v>60</v>
      </c>
      <c r="O64" t="s">
        <v>12</v>
      </c>
      <c r="P64" t="s">
        <v>869</v>
      </c>
      <c r="Q64" t="s">
        <v>870</v>
      </c>
      <c r="R64" t="s">
        <v>871</v>
      </c>
      <c r="S64" t="s">
        <v>872</v>
      </c>
      <c r="T64" t="s">
        <v>13</v>
      </c>
      <c r="U64" t="s">
        <v>14</v>
      </c>
      <c r="V64" t="s">
        <v>15</v>
      </c>
      <c r="W64" t="s">
        <v>16</v>
      </c>
      <c r="X64" t="s">
        <v>17</v>
      </c>
      <c r="Y64" t="s">
        <v>18</v>
      </c>
      <c r="Z64" t="s">
        <v>19</v>
      </c>
      <c r="AA64" t="s">
        <v>873</v>
      </c>
      <c r="AB64" t="s">
        <v>874</v>
      </c>
      <c r="AC64" t="s">
        <v>875</v>
      </c>
      <c r="AD64" t="s">
        <v>20</v>
      </c>
      <c r="AE64" t="s">
        <v>21</v>
      </c>
      <c r="AF64" t="s">
        <v>22</v>
      </c>
      <c r="AG64" t="s">
        <v>23</v>
      </c>
      <c r="AH64" t="s">
        <v>24</v>
      </c>
      <c r="AI64" t="s">
        <v>25</v>
      </c>
      <c r="AJ64" t="s">
        <v>26</v>
      </c>
      <c r="AK64" t="s">
        <v>27</v>
      </c>
      <c r="AL64" t="s">
        <v>28</v>
      </c>
      <c r="AM64" t="s">
        <v>29</v>
      </c>
      <c r="AN64" t="s">
        <v>30</v>
      </c>
      <c r="AO64" t="s">
        <v>31</v>
      </c>
      <c r="AP64" t="s">
        <v>32</v>
      </c>
      <c r="AQ64" t="s">
        <v>33</v>
      </c>
      <c r="AR64" t="s">
        <v>34</v>
      </c>
    </row>
    <row r="65" spans="2:44" x14ac:dyDescent="0.25">
      <c r="B65" t="s">
        <v>4</v>
      </c>
      <c r="C65" cm="1">
        <f t="array" ref="C65">SUMPRODUCT(IF($A$3:$A$52=$B65,IF($C$1:$AZ$1=C$64,$C$3:$AZ$52)))</f>
        <v>78574.122000000018</v>
      </c>
      <c r="D65" cm="1">
        <f t="array" ref="D65">SUMPRODUCT(IF($A$3:$A$52=$B65,IF($C$1:$AZ$1=D$64,$C$3:$AZ$52)))</f>
        <v>14.459</v>
      </c>
      <c r="E65" cm="1">
        <f t="array" ref="E65">SUMPRODUCT(IF($A$3:$A$52=$B65,IF($C$1:$AZ$1=E$64,$C$3:$AZ$52)))</f>
        <v>53.485999999999997</v>
      </c>
      <c r="F65" cm="1">
        <f t="array" ref="F65">SUMPRODUCT(IF($A$3:$A$52=$B65,IF($C$1:$AZ$1=F$64,$C$3:$AZ$52)))</f>
        <v>14.821</v>
      </c>
      <c r="G65" cm="1">
        <f t="array" ref="G65">SUMPRODUCT(IF($A$3:$A$52=$B65,IF($C$1:$AZ$1=G$64,$C$3:$AZ$52)))</f>
        <v>2.782</v>
      </c>
      <c r="H65" cm="1">
        <f t="array" ref="H65">SUMPRODUCT(IF($A$3:$A$52=$B65,IF($C$1:$AZ$1=H$64,$C$3:$AZ$52)))</f>
        <v>253088.02300000002</v>
      </c>
      <c r="I65" cm="1">
        <f t="array" ref="I65">SUMPRODUCT(IF($A$3:$A$52=$B65,IF($C$1:$AZ$1=I$64,$C$3:$AZ$52)))</f>
        <v>1274.8139999999999</v>
      </c>
      <c r="J65" cm="1">
        <f t="array" ref="J65">SUMPRODUCT(IF($A$3:$A$52=$B65,IF($C$1:$AZ$1=J$64,$C$3:$AZ$52)))</f>
        <v>7975.5640000000003</v>
      </c>
      <c r="K65" cm="1">
        <f t="array" ref="K65">SUMPRODUCT(IF($A$3:$A$52=$B65,IF($C$1:$AZ$1=K$64,$C$3:$AZ$52)))</f>
        <v>766.62599999999986</v>
      </c>
      <c r="L65" cm="1">
        <f t="array" ref="L65">SUMPRODUCT(IF($A$3:$A$52=$B65,IF($C$1:$AZ$1=L$64,$C$3:$AZ$52)))</f>
        <v>12.500999999999999</v>
      </c>
      <c r="M65" cm="1">
        <f t="array" ref="M65">SUMPRODUCT(IF($A$3:$A$52=$B65,IF($C$1:$AZ$1=M$64,$C$3:$AZ$52)))</f>
        <v>1037.384</v>
      </c>
      <c r="N65" cm="1">
        <f t="array" ref="N65">SUMPRODUCT(IF($A$3:$A$52=$B65,IF($C$1:$AZ$1=N$64,$C$3:$AZ$52)))</f>
        <v>761.50299999999993</v>
      </c>
      <c r="O65" cm="1">
        <f t="array" ref="O65">SUMPRODUCT(IF($A$3:$A$52=$B65,IF($C$1:$AZ$1=O$64,$C$3:$AZ$52)))</f>
        <v>810.83399999999995</v>
      </c>
      <c r="P65" cm="1">
        <f t="array" ref="P65">SUMPRODUCT(IF($A$3:$A$52=$B65,IF($C$1:$AZ$1=P$64,$C$3:$AZ$52)))</f>
        <v>21.535</v>
      </c>
      <c r="Q65" cm="1">
        <f t="array" ref="Q65">SUMPRODUCT(IF($A$3:$A$52=$B65,IF($C$1:$AZ$1=Q$64,$C$3:$AZ$52)))</f>
        <v>0</v>
      </c>
      <c r="R65" cm="1">
        <f t="array" ref="R65">SUMPRODUCT(IF($A$3:$A$52=$B65,IF($C$1:$AZ$1=R$64,$C$3:$AZ$52)))</f>
        <v>5.0590000000000002</v>
      </c>
      <c r="S65" cm="1">
        <f t="array" ref="S65">SUMPRODUCT(IF($A$3:$A$52=$B65,IF($C$1:$AZ$1=S$64,$C$3:$AZ$52)))</f>
        <v>4.8019999999999996</v>
      </c>
      <c r="T65" cm="1">
        <f t="array" ref="T65">SUMPRODUCT(IF($A$3:$A$52=$B65,IF($C$1:$AZ$1=T$64,$C$3:$AZ$52)))</f>
        <v>12.052000000000001</v>
      </c>
      <c r="U65" cm="1">
        <f t="array" ref="U65">SUMPRODUCT(IF($A$3:$A$52=$B65,IF($C$1:$AZ$1=U$64,$C$3:$AZ$52)))</f>
        <v>8.6419999999999995</v>
      </c>
      <c r="V65" cm="1">
        <f t="array" ref="V65">SUMPRODUCT(IF($A$3:$A$52=$B65,IF($C$1:$AZ$1=V$64,$C$3:$AZ$52)))</f>
        <v>4.327</v>
      </c>
      <c r="W65" cm="1">
        <f t="array" ref="W65">SUMPRODUCT(IF($A$3:$A$52=$B65,IF($C$1:$AZ$1=W$64,$C$3:$AZ$52)))</f>
        <v>39.132999999999996</v>
      </c>
      <c r="X65" cm="1">
        <f t="array" ref="X65">SUMPRODUCT(IF($A$3:$A$52=$B65,IF($C$1:$AZ$1=X$64,$C$3:$AZ$52)))</f>
        <v>36.482999999999997</v>
      </c>
      <c r="Y65" cm="1">
        <f t="array" ref="Y65">SUMPRODUCT(IF($A$3:$A$52=$B65,IF($C$1:$AZ$1=Y$64,$C$3:$AZ$52)))</f>
        <v>11.419</v>
      </c>
      <c r="Z65" cm="1">
        <f t="array" ref="Z65">SUMPRODUCT(IF($A$3:$A$52=$B65,IF($C$1:$AZ$1=Z$64,$C$3:$AZ$52)))</f>
        <v>477.29600000000005</v>
      </c>
      <c r="AA65" cm="1">
        <f t="array" ref="AA65">SUMPRODUCT(IF($A$3:$A$52=$B65,IF($C$1:$AZ$1=AA$64,$C$3:$AZ$52)))</f>
        <v>371.49900000000002</v>
      </c>
      <c r="AB65" cm="1">
        <f t="array" ref="AB65">SUMPRODUCT(IF($A$3:$A$52=$B65,IF($C$1:$AZ$1=AB$64,$C$3:$AZ$52)))</f>
        <v>0</v>
      </c>
      <c r="AC65" cm="1">
        <f t="array" ref="AC65">SUMPRODUCT(IF($A$3:$A$52=$B65,IF($C$1:$AZ$1=AC$64,$C$3:$AZ$52)))</f>
        <v>57.132000000000005</v>
      </c>
      <c r="AD65" cm="1">
        <f t="array" ref="AD65">SUMPRODUCT(IF($A$3:$A$52=$B65,IF($C$1:$AZ$1=AD$64,$C$3:$AZ$52)))</f>
        <v>902.21599999999989</v>
      </c>
      <c r="AE65" cm="1">
        <f t="array" ref="AE65">SUMPRODUCT(IF($A$3:$A$52=$B65,IF($C$1:$AZ$1=AE$64,$C$3:$AZ$52)))</f>
        <v>10062.764999999998</v>
      </c>
      <c r="AF65" cm="1">
        <f t="array" ref="AF65">SUMPRODUCT(IF($A$3:$A$52=$B65,IF($C$1:$AZ$1=AF$64,$C$3:$AZ$52)))</f>
        <v>220.429</v>
      </c>
      <c r="AG65" cm="1">
        <f t="array" ref="AG65">SUMPRODUCT(IF($A$3:$A$52=$B65,IF($C$1:$AZ$1=AG$64,$C$3:$AZ$52)))</f>
        <v>56379.406000000003</v>
      </c>
      <c r="AH65" cm="1">
        <f t="array" ref="AH65">SUMPRODUCT(IF($A$3:$A$52=$B65,IF($C$1:$AZ$1=AH$64,$C$3:$AZ$52)))</f>
        <v>88.597999999999985</v>
      </c>
      <c r="AI65" cm="1">
        <f t="array" ref="AI65">SUMPRODUCT(IF($A$3:$A$52=$B65,IF($C$1:$AZ$1=AI$64,$C$3:$AZ$52)))</f>
        <v>24.327000000000002</v>
      </c>
      <c r="AJ65" cm="1">
        <f t="array" ref="AJ65">SUMPRODUCT(IF($A$3:$A$52=$B65,IF($C$1:$AZ$1=AJ$64,$C$3:$AZ$52)))</f>
        <v>25.065999999999999</v>
      </c>
      <c r="AK65" cm="1">
        <f t="array" ref="AK65">SUMPRODUCT(IF($A$3:$A$52=$B65,IF($C$1:$AZ$1=AK$64,$C$3:$AZ$52)))</f>
        <v>83.718000000000004</v>
      </c>
      <c r="AL65" cm="1">
        <f t="array" ref="AL65">SUMPRODUCT(IF($A$3:$A$52=$B65,IF($C$1:$AZ$1=AL$64,$C$3:$AZ$52)))</f>
        <v>452.267</v>
      </c>
      <c r="AM65" cm="1">
        <f t="array" ref="AM65">SUMPRODUCT(IF($A$3:$A$52=$B65,IF($C$1:$AZ$1=AM$64,$C$3:$AZ$52)))</f>
        <v>2614.7890000000002</v>
      </c>
      <c r="AN65" cm="1">
        <f t="array" ref="AN65">SUMPRODUCT(IF($A$3:$A$52=$B65,IF($C$1:$AZ$1=AN$64,$C$3:$AZ$52)))</f>
        <v>3098.6149999999998</v>
      </c>
      <c r="AO65" cm="1">
        <f t="array" ref="AO65">SUMPRODUCT(IF($A$3:$A$52=$B65,IF($C$1:$AZ$1=AO$64,$C$3:$AZ$52)))</f>
        <v>1379.9109999999998</v>
      </c>
      <c r="AP65" cm="1">
        <f t="array" ref="AP65">SUMPRODUCT(IF($A$3:$A$52=$B65,IF($C$1:$AZ$1=AP$64,$C$3:$AZ$52)))</f>
        <v>5371.1120000000001</v>
      </c>
      <c r="AQ65" cm="1">
        <f t="array" ref="AQ65">SUMPRODUCT(IF($A$3:$A$52=$B65,IF($C$1:$AZ$1=AQ$64,$C$3:$AZ$52)))</f>
        <v>1513.3119999999999</v>
      </c>
      <c r="AR65" cm="1">
        <f t="array" ref="AR65">SUMPRODUCT(IF($A$3:$A$52=$B65,IF($C$1:$AZ$1=AR$64,$C$3:$AZ$52)))</f>
        <v>0</v>
      </c>
    </row>
    <row r="66" spans="2:44" x14ac:dyDescent="0.25">
      <c r="B66" t="s">
        <v>857</v>
      </c>
      <c r="C66" cm="1">
        <f t="array" ref="C66">SUMPRODUCT(IF($A$3:$A$52=$B66,IF($C$1:$AZ$1=C$64,$C$3:$AZ$52)))</f>
        <v>54.09</v>
      </c>
      <c r="D66" cm="1">
        <f t="array" ref="D66">SUMPRODUCT(IF($A$3:$A$52=$B66,IF($C$1:$AZ$1=D$64,$C$3:$AZ$52)))</f>
        <v>418.91699999999997</v>
      </c>
      <c r="E66" cm="1">
        <f t="array" ref="E66">SUMPRODUCT(IF($A$3:$A$52=$B66,IF($C$1:$AZ$1=E$64,$C$3:$AZ$52)))</f>
        <v>479.78399999999999</v>
      </c>
      <c r="F66" cm="1">
        <f t="array" ref="F66">SUMPRODUCT(IF($A$3:$A$52=$B66,IF($C$1:$AZ$1=F$64,$C$3:$AZ$52)))</f>
        <v>81.003999999999991</v>
      </c>
      <c r="G66" cm="1">
        <f t="array" ref="G66">SUMPRODUCT(IF($A$3:$A$52=$B66,IF($C$1:$AZ$1=G$64,$C$3:$AZ$52)))</f>
        <v>38.481000000000002</v>
      </c>
      <c r="H66" cm="1">
        <f t="array" ref="H66">SUMPRODUCT(IF($A$3:$A$52=$B66,IF($C$1:$AZ$1=H$64,$C$3:$AZ$52)))</f>
        <v>138.84399999999999</v>
      </c>
      <c r="I66" cm="1">
        <f t="array" ref="I66">SUMPRODUCT(IF($A$3:$A$52=$B66,IF($C$1:$AZ$1=I$64,$C$3:$AZ$52)))</f>
        <v>11.553000000000001</v>
      </c>
      <c r="J66" cm="1">
        <f t="array" ref="J66">SUMPRODUCT(IF($A$3:$A$52=$B66,IF($C$1:$AZ$1=J$64,$C$3:$AZ$52)))</f>
        <v>8.1319999999999997</v>
      </c>
      <c r="K66" cm="1">
        <f t="array" ref="K66">SUMPRODUCT(IF($A$3:$A$52=$B66,IF($C$1:$AZ$1=K$64,$C$3:$AZ$52)))</f>
        <v>95.254999999999995</v>
      </c>
      <c r="L66" cm="1">
        <f t="array" ref="L66">SUMPRODUCT(IF($A$3:$A$52=$B66,IF($C$1:$AZ$1=L$64,$C$3:$AZ$52)))</f>
        <v>2046.4570000000001</v>
      </c>
      <c r="M66" cm="1">
        <f t="array" ref="M66">SUMPRODUCT(IF($A$3:$A$52=$B66,IF($C$1:$AZ$1=M$64,$C$3:$AZ$52)))</f>
        <v>293.82600000000002</v>
      </c>
      <c r="N66" cm="1">
        <f t="array" ref="N66">SUMPRODUCT(IF($A$3:$A$52=$B66,IF($C$1:$AZ$1=N$64,$C$3:$AZ$52)))</f>
        <v>6.1609999999999996</v>
      </c>
      <c r="O66" cm="1">
        <f t="array" ref="O66">SUMPRODUCT(IF($A$3:$A$52=$B66,IF($C$1:$AZ$1=O$64,$C$3:$AZ$52)))</f>
        <v>31.045999999999999</v>
      </c>
      <c r="P66" cm="1">
        <f t="array" ref="P66">SUMPRODUCT(IF($A$3:$A$52=$B66,IF($C$1:$AZ$1=P$64,$C$3:$AZ$52)))</f>
        <v>466.82600000000002</v>
      </c>
      <c r="Q66" cm="1">
        <f t="array" ref="Q66">SUMPRODUCT(IF($A$3:$A$52=$B66,IF($C$1:$AZ$1=Q$64,$C$3:$AZ$52)))</f>
        <v>0</v>
      </c>
      <c r="R66" cm="1">
        <f t="array" ref="R66">SUMPRODUCT(IF($A$3:$A$52=$B66,IF($C$1:$AZ$1=R$64,$C$3:$AZ$52)))</f>
        <v>1924.3879999999999</v>
      </c>
      <c r="S66" cm="1">
        <f t="array" ref="S66">SUMPRODUCT(IF($A$3:$A$52=$B66,IF($C$1:$AZ$1=S$64,$C$3:$AZ$52)))</f>
        <v>306.99200000000002</v>
      </c>
      <c r="T66" cm="1">
        <f t="array" ref="T66">SUMPRODUCT(IF($A$3:$A$52=$B66,IF($C$1:$AZ$1=T$64,$C$3:$AZ$52)))</f>
        <v>10.866</v>
      </c>
      <c r="U66" cm="1">
        <f t="array" ref="U66">SUMPRODUCT(IF($A$3:$A$52=$B66,IF($C$1:$AZ$1=U$64,$C$3:$AZ$52)))</f>
        <v>2.089</v>
      </c>
      <c r="V66" cm="1">
        <f t="array" ref="V66">SUMPRODUCT(IF($A$3:$A$52=$B66,IF($C$1:$AZ$1=V$64,$C$3:$AZ$52)))</f>
        <v>5.181</v>
      </c>
      <c r="W66" cm="1">
        <f t="array" ref="W66">SUMPRODUCT(IF($A$3:$A$52=$B66,IF($C$1:$AZ$1=W$64,$C$3:$AZ$52)))</f>
        <v>14.052</v>
      </c>
      <c r="X66" cm="1">
        <f t="array" ref="X66">SUMPRODUCT(IF($A$3:$A$52=$B66,IF($C$1:$AZ$1=X$64,$C$3:$AZ$52)))</f>
        <v>16.93</v>
      </c>
      <c r="Y66" cm="1">
        <f t="array" ref="Y66">SUMPRODUCT(IF($A$3:$A$52=$B66,IF($C$1:$AZ$1=Y$64,$C$3:$AZ$52)))</f>
        <v>14.486000000000001</v>
      </c>
      <c r="Z66" cm="1">
        <f t="array" ref="Z66">SUMPRODUCT(IF($A$3:$A$52=$B66,IF($C$1:$AZ$1=Z$64,$C$3:$AZ$52)))</f>
        <v>6.0039999999999996</v>
      </c>
      <c r="AA66" cm="1">
        <f t="array" ref="AA66">SUMPRODUCT(IF($A$3:$A$52=$B66,IF($C$1:$AZ$1=AA$64,$C$3:$AZ$52)))</f>
        <v>12957.678</v>
      </c>
      <c r="AB66" cm="1">
        <f t="array" ref="AB66">SUMPRODUCT(IF($A$3:$A$52=$B66,IF($C$1:$AZ$1=AB$64,$C$3:$AZ$52)))</f>
        <v>0</v>
      </c>
      <c r="AC66" cm="1">
        <f t="array" ref="AC66">SUMPRODUCT(IF($A$3:$A$52=$B66,IF($C$1:$AZ$1=AC$64,$C$3:$AZ$52)))</f>
        <v>10.055999999999999</v>
      </c>
      <c r="AD66" cm="1">
        <f t="array" ref="AD66">SUMPRODUCT(IF($A$3:$A$52=$B66,IF($C$1:$AZ$1=AD$64,$C$3:$AZ$52)))</f>
        <v>717.79899999999998</v>
      </c>
      <c r="AE66" cm="1">
        <f t="array" ref="AE66">SUMPRODUCT(IF($A$3:$A$52=$B66,IF($C$1:$AZ$1=AE$64,$C$3:$AZ$52)))</f>
        <v>130.59899999999999</v>
      </c>
      <c r="AF66" cm="1">
        <f t="array" ref="AF66">SUMPRODUCT(IF($A$3:$A$52=$B66,IF($C$1:$AZ$1=AF$64,$C$3:$AZ$52)))</f>
        <v>52.549000000000007</v>
      </c>
      <c r="AG66" cm="1">
        <f t="array" ref="AG66">SUMPRODUCT(IF($A$3:$A$52=$B66,IF($C$1:$AZ$1=AG$64,$C$3:$AZ$52)))</f>
        <v>47.220999999999997</v>
      </c>
      <c r="AH66" cm="1">
        <f t="array" ref="AH66">SUMPRODUCT(IF($A$3:$A$52=$B66,IF($C$1:$AZ$1=AH$64,$C$3:$AZ$52)))</f>
        <v>5.173</v>
      </c>
      <c r="AI66" cm="1">
        <f t="array" ref="AI66">SUMPRODUCT(IF($A$3:$A$52=$B66,IF($C$1:$AZ$1=AI$64,$C$3:$AZ$52)))</f>
        <v>15.351000000000001</v>
      </c>
      <c r="AJ66" cm="1">
        <f t="array" ref="AJ66">SUMPRODUCT(IF($A$3:$A$52=$B66,IF($C$1:$AZ$1=AJ$64,$C$3:$AZ$52)))</f>
        <v>4.4889999999999999</v>
      </c>
      <c r="AK66" cm="1">
        <f t="array" ref="AK66">SUMPRODUCT(IF($A$3:$A$52=$B66,IF($C$1:$AZ$1=AK$64,$C$3:$AZ$52)))</f>
        <v>21.678999999999998</v>
      </c>
      <c r="AL66" cm="1">
        <f t="array" ref="AL66">SUMPRODUCT(IF($A$3:$A$52=$B66,IF($C$1:$AZ$1=AL$64,$C$3:$AZ$52)))</f>
        <v>490.661</v>
      </c>
      <c r="AM66" cm="1">
        <f t="array" ref="AM66">SUMPRODUCT(IF($A$3:$A$52=$B66,IF($C$1:$AZ$1=AM$64,$C$3:$AZ$52)))</f>
        <v>70.971999999999994</v>
      </c>
      <c r="AN66" cm="1">
        <f t="array" ref="AN66">SUMPRODUCT(IF($A$3:$A$52=$B66,IF($C$1:$AZ$1=AN$64,$C$3:$AZ$52)))</f>
        <v>405.15499999999997</v>
      </c>
      <c r="AO66" cm="1">
        <f t="array" ref="AO66">SUMPRODUCT(IF($A$3:$A$52=$B66,IF($C$1:$AZ$1=AO$64,$C$3:$AZ$52)))</f>
        <v>128.50800000000001</v>
      </c>
      <c r="AP66" cm="1">
        <f t="array" ref="AP66">SUMPRODUCT(IF($A$3:$A$52=$B66,IF($C$1:$AZ$1=AP$64,$C$3:$AZ$52)))</f>
        <v>83.48</v>
      </c>
      <c r="AQ66" cm="1">
        <f t="array" ref="AQ66">SUMPRODUCT(IF($A$3:$A$52=$B66,IF($C$1:$AZ$1=AQ$64,$C$3:$AZ$52)))</f>
        <v>57.286999999999999</v>
      </c>
      <c r="AR66" cm="1">
        <f t="array" ref="AR66">SUMPRODUCT(IF($A$3:$A$52=$B66,IF($C$1:$AZ$1=AR$64,$C$3:$AZ$52)))</f>
        <v>0</v>
      </c>
    </row>
    <row r="67" spans="2:44" x14ac:dyDescent="0.25">
      <c r="B67" t="s">
        <v>856</v>
      </c>
      <c r="C67" cm="1">
        <f t="array" ref="C67">SUMPRODUCT(IF($A$3:$A$52=$B67,IF($C$1:$AZ$1=C$64,$C$3:$AZ$52)))</f>
        <v>1452.9949999999999</v>
      </c>
      <c r="D67" cm="1">
        <f t="array" ref="D67">SUMPRODUCT(IF($A$3:$A$52=$B67,IF($C$1:$AZ$1=D$64,$C$3:$AZ$52)))</f>
        <v>608.57399999999996</v>
      </c>
      <c r="E67" cm="1">
        <f t="array" ref="E67">SUMPRODUCT(IF($A$3:$A$52=$B67,IF($C$1:$AZ$1=E$64,$C$3:$AZ$52)))</f>
        <v>44951.12</v>
      </c>
      <c r="F67" cm="1">
        <f t="array" ref="F67">SUMPRODUCT(IF($A$3:$A$52=$B67,IF($C$1:$AZ$1=F$64,$C$3:$AZ$52)))</f>
        <v>1257.2750000000001</v>
      </c>
      <c r="G67" cm="1">
        <f t="array" ref="G67">SUMPRODUCT(IF($A$3:$A$52=$B67,IF($C$1:$AZ$1=G$64,$C$3:$AZ$52)))</f>
        <v>833.57899999999995</v>
      </c>
      <c r="H67" cm="1">
        <f t="array" ref="H67">SUMPRODUCT(IF($A$3:$A$52=$B67,IF($C$1:$AZ$1=H$64,$C$3:$AZ$52)))</f>
        <v>2743.2080000000001</v>
      </c>
      <c r="I67" cm="1">
        <f t="array" ref="I67">SUMPRODUCT(IF($A$3:$A$52=$B67,IF($C$1:$AZ$1=I$64,$C$3:$AZ$52)))</f>
        <v>118.636</v>
      </c>
      <c r="J67" cm="1">
        <f t="array" ref="J67">SUMPRODUCT(IF($A$3:$A$52=$B67,IF($C$1:$AZ$1=J$64,$C$3:$AZ$52)))</f>
        <v>278.17</v>
      </c>
      <c r="K67" cm="1">
        <f t="array" ref="K67">SUMPRODUCT(IF($A$3:$A$52=$B67,IF($C$1:$AZ$1=K$64,$C$3:$AZ$52)))</f>
        <v>1531.424</v>
      </c>
      <c r="L67" cm="1">
        <f t="array" ref="L67">SUMPRODUCT(IF($A$3:$A$52=$B67,IF($C$1:$AZ$1=L$64,$C$3:$AZ$52)))</f>
        <v>460643.67800000001</v>
      </c>
      <c r="M67" cm="1">
        <f t="array" ref="M67">SUMPRODUCT(IF($A$3:$A$52=$B67,IF($C$1:$AZ$1=M$64,$C$3:$AZ$52)))</f>
        <v>13736.477999999999</v>
      </c>
      <c r="N67" cm="1">
        <f t="array" ref="N67">SUMPRODUCT(IF($A$3:$A$52=$B67,IF($C$1:$AZ$1=N$64,$C$3:$AZ$52)))</f>
        <v>199.208</v>
      </c>
      <c r="O67" cm="1">
        <f t="array" ref="O67">SUMPRODUCT(IF($A$3:$A$52=$B67,IF($C$1:$AZ$1=O$64,$C$3:$AZ$52)))</f>
        <v>773.971</v>
      </c>
      <c r="P67" cm="1">
        <f t="array" ref="P67">SUMPRODUCT(IF($A$3:$A$52=$B67,IF($C$1:$AZ$1=P$64,$C$3:$AZ$52)))</f>
        <v>3251.7939999999999</v>
      </c>
      <c r="Q67" cm="1">
        <f t="array" ref="Q67">SUMPRODUCT(IF($A$3:$A$52=$B67,IF($C$1:$AZ$1=Q$64,$C$3:$AZ$52)))</f>
        <v>0</v>
      </c>
      <c r="R67" cm="1">
        <f t="array" ref="R67">SUMPRODUCT(IF($A$3:$A$52=$B67,IF($C$1:$AZ$1=R$64,$C$3:$AZ$52)))</f>
        <v>3524.1190000000001</v>
      </c>
      <c r="S67" cm="1">
        <f t="array" ref="S67">SUMPRODUCT(IF($A$3:$A$52=$B67,IF($C$1:$AZ$1=S$64,$C$3:$AZ$52)))</f>
        <v>2182.6709999999998</v>
      </c>
      <c r="T67" cm="1">
        <f t="array" ref="T67">SUMPRODUCT(IF($A$3:$A$52=$B67,IF($C$1:$AZ$1=T$64,$C$3:$AZ$52)))</f>
        <v>1054.1010000000001</v>
      </c>
      <c r="U67" cm="1">
        <f t="array" ref="U67">SUMPRODUCT(IF($A$3:$A$52=$B67,IF($C$1:$AZ$1=U$64,$C$3:$AZ$52)))</f>
        <v>75.212999999999994</v>
      </c>
      <c r="V67" cm="1">
        <f t="array" ref="V67">SUMPRODUCT(IF($A$3:$A$52=$B67,IF($C$1:$AZ$1=V$64,$C$3:$AZ$52)))</f>
        <v>125.611</v>
      </c>
      <c r="W67" cm="1">
        <f t="array" ref="W67">SUMPRODUCT(IF($A$3:$A$52=$B67,IF($C$1:$AZ$1=W$64,$C$3:$AZ$52)))</f>
        <v>371.03899999999999</v>
      </c>
      <c r="X67" cm="1">
        <f t="array" ref="X67">SUMPRODUCT(IF($A$3:$A$52=$B67,IF($C$1:$AZ$1=X$64,$C$3:$AZ$52)))</f>
        <v>864.44200000000001</v>
      </c>
      <c r="Y67" cm="1">
        <f t="array" ref="Y67">SUMPRODUCT(IF($A$3:$A$52=$B67,IF($C$1:$AZ$1=Y$64,$C$3:$AZ$52)))</f>
        <v>274.06</v>
      </c>
      <c r="Z67" cm="1">
        <f t="array" ref="Z67">SUMPRODUCT(IF($A$3:$A$52=$B67,IF($C$1:$AZ$1=Z$64,$C$3:$AZ$52)))</f>
        <v>376.68799999999999</v>
      </c>
      <c r="AA67" cm="1">
        <f t="array" ref="AA67">SUMPRODUCT(IF($A$3:$A$52=$B67,IF($C$1:$AZ$1=AA$64,$C$3:$AZ$52)))</f>
        <v>97219.222999999998</v>
      </c>
      <c r="AB67" cm="1">
        <f t="array" ref="AB67">SUMPRODUCT(IF($A$3:$A$52=$B67,IF($C$1:$AZ$1=AB$64,$C$3:$AZ$52)))</f>
        <v>0</v>
      </c>
      <c r="AC67" cm="1">
        <f t="array" ref="AC67">SUMPRODUCT(IF($A$3:$A$52=$B67,IF($C$1:$AZ$1=AC$64,$C$3:$AZ$52)))</f>
        <v>479.41699999999997</v>
      </c>
      <c r="AD67" cm="1">
        <f t="array" ref="AD67">SUMPRODUCT(IF($A$3:$A$52=$B67,IF($C$1:$AZ$1=AD$64,$C$3:$AZ$52)))</f>
        <v>3239.6219999999998</v>
      </c>
      <c r="AE67" cm="1">
        <f t="array" ref="AE67">SUMPRODUCT(IF($A$3:$A$52=$B67,IF($C$1:$AZ$1=AE$64,$C$3:$AZ$52)))</f>
        <v>9710.0589999999993</v>
      </c>
      <c r="AF67" cm="1">
        <f t="array" ref="AF67">SUMPRODUCT(IF($A$3:$A$52=$B67,IF($C$1:$AZ$1=AF$64,$C$3:$AZ$52)))</f>
        <v>12178.172999999999</v>
      </c>
      <c r="AG67" cm="1">
        <f t="array" ref="AG67">SUMPRODUCT(IF($A$3:$A$52=$B67,IF($C$1:$AZ$1=AG$64,$C$3:$AZ$52)))</f>
        <v>1202.682</v>
      </c>
      <c r="AH67" cm="1">
        <f t="array" ref="AH67">SUMPRODUCT(IF($A$3:$A$52=$B67,IF($C$1:$AZ$1=AH$64,$C$3:$AZ$52)))</f>
        <v>303.54399999999998</v>
      </c>
      <c r="AI67" cm="1">
        <f t="array" ref="AI67">SUMPRODUCT(IF($A$3:$A$52=$B67,IF($C$1:$AZ$1=AI$64,$C$3:$AZ$52)))</f>
        <v>266.14800000000002</v>
      </c>
      <c r="AJ67" cm="1">
        <f t="array" ref="AJ67">SUMPRODUCT(IF($A$3:$A$52=$B67,IF($C$1:$AZ$1=AJ$64,$C$3:$AZ$52)))</f>
        <v>375.68099999999998</v>
      </c>
      <c r="AK67" cm="1">
        <f t="array" ref="AK67">SUMPRODUCT(IF($A$3:$A$52=$B67,IF($C$1:$AZ$1=AK$64,$C$3:$AZ$52)))</f>
        <v>1055.6869999999999</v>
      </c>
      <c r="AL67" cm="1">
        <f t="array" ref="AL67">SUMPRODUCT(IF($A$3:$A$52=$B67,IF($C$1:$AZ$1=AL$64,$C$3:$AZ$52)))</f>
        <v>2669.84</v>
      </c>
      <c r="AM67" cm="1">
        <f t="array" ref="AM67">SUMPRODUCT(IF($A$3:$A$52=$B67,IF($C$1:$AZ$1=AM$64,$C$3:$AZ$52)))</f>
        <v>4053.6179999999995</v>
      </c>
      <c r="AN67" cm="1">
        <f t="array" ref="AN67">SUMPRODUCT(IF($A$3:$A$52=$B67,IF($C$1:$AZ$1=AN$64,$C$3:$AZ$52)))</f>
        <v>6811.5569999999998</v>
      </c>
      <c r="AO67" cm="1">
        <f t="array" ref="AO67">SUMPRODUCT(IF($A$3:$A$52=$B67,IF($C$1:$AZ$1=AO$64,$C$3:$AZ$52)))</f>
        <v>1427.3720000000001</v>
      </c>
      <c r="AP67" cm="1">
        <f t="array" ref="AP67">SUMPRODUCT(IF($A$3:$A$52=$B67,IF($C$1:$AZ$1=AP$64,$C$3:$AZ$52)))</f>
        <v>1911.932</v>
      </c>
      <c r="AQ67" cm="1">
        <f t="array" ref="AQ67">SUMPRODUCT(IF($A$3:$A$52=$B67,IF($C$1:$AZ$1=AQ$64,$C$3:$AZ$52)))</f>
        <v>855.44599999999991</v>
      </c>
      <c r="AR67" cm="1">
        <f t="array" ref="AR67">SUMPRODUCT(IF($A$3:$A$52=$B67,IF($C$1:$AZ$1=AR$64,$C$3:$AZ$52)))</f>
        <v>0</v>
      </c>
    </row>
    <row r="68" spans="2:44" x14ac:dyDescent="0.25">
      <c r="B68" t="s">
        <v>5</v>
      </c>
      <c r="C68" cm="1">
        <f t="array" ref="C68">SUMPRODUCT(IF($A$3:$A$52=$B68,IF($C$1:$AZ$1=C$64,$C$3:$AZ$52)))</f>
        <v>693.97299999999984</v>
      </c>
      <c r="D68" cm="1">
        <f t="array" ref="D68">SUMPRODUCT(IF($A$3:$A$52=$B68,IF($C$1:$AZ$1=D$64,$C$3:$AZ$52)))</f>
        <v>124.268</v>
      </c>
      <c r="E68" cm="1">
        <f t="array" ref="E68">SUMPRODUCT(IF($A$3:$A$52=$B68,IF($C$1:$AZ$1=E$64,$C$3:$AZ$52)))</f>
        <v>1676.3049999999998</v>
      </c>
      <c r="F68" cm="1">
        <f t="array" ref="F68">SUMPRODUCT(IF($A$3:$A$52=$B68,IF($C$1:$AZ$1=F$64,$C$3:$AZ$52)))</f>
        <v>2828.942</v>
      </c>
      <c r="G68" cm="1">
        <f t="array" ref="G68">SUMPRODUCT(IF($A$3:$A$52=$B68,IF($C$1:$AZ$1=G$64,$C$3:$AZ$52)))</f>
        <v>203.42</v>
      </c>
      <c r="H68" cm="1">
        <f t="array" ref="H68">SUMPRODUCT(IF($A$3:$A$52=$B68,IF($C$1:$AZ$1=H$64,$C$3:$AZ$52)))</f>
        <v>729.64100000000008</v>
      </c>
      <c r="I68" cm="1">
        <f t="array" ref="I68">SUMPRODUCT(IF($A$3:$A$52=$B68,IF($C$1:$AZ$1=I$64,$C$3:$AZ$52)))</f>
        <v>47.138999999999996</v>
      </c>
      <c r="J68" cm="1">
        <f t="array" ref="J68">SUMPRODUCT(IF($A$3:$A$52=$B68,IF($C$1:$AZ$1=J$64,$C$3:$AZ$52)))</f>
        <v>29.863</v>
      </c>
      <c r="K68" cm="1">
        <f t="array" ref="K68">SUMPRODUCT(IF($A$3:$A$52=$B68,IF($C$1:$AZ$1=K$64,$C$3:$AZ$52)))</f>
        <v>271.01399999999995</v>
      </c>
      <c r="L68" cm="1">
        <f t="array" ref="L68">SUMPRODUCT(IF($A$3:$A$52=$B68,IF($C$1:$AZ$1=L$64,$C$3:$AZ$52)))</f>
        <v>1402.3340000000001</v>
      </c>
      <c r="M68" cm="1">
        <f t="array" ref="M68">SUMPRODUCT(IF($A$3:$A$52=$B68,IF($C$1:$AZ$1=M$64,$C$3:$AZ$52)))</f>
        <v>3106.5340000000001</v>
      </c>
      <c r="N68" cm="1">
        <f t="array" ref="N68">SUMPRODUCT(IF($A$3:$A$52=$B68,IF($C$1:$AZ$1=N$64,$C$3:$AZ$52)))</f>
        <v>111.592</v>
      </c>
      <c r="O68" cm="1">
        <f t="array" ref="O68">SUMPRODUCT(IF($A$3:$A$52=$B68,IF($C$1:$AZ$1=O$64,$C$3:$AZ$52)))</f>
        <v>363.02100000000002</v>
      </c>
      <c r="P68" cm="1">
        <f t="array" ref="P68">SUMPRODUCT(IF($A$3:$A$52=$B68,IF($C$1:$AZ$1=P$64,$C$3:$AZ$52)))</f>
        <v>11312.424999999999</v>
      </c>
      <c r="Q68" cm="1">
        <f t="array" ref="Q68">SUMPRODUCT(IF($A$3:$A$52=$B68,IF($C$1:$AZ$1=Q$64,$C$3:$AZ$52)))</f>
        <v>0</v>
      </c>
      <c r="R68" cm="1">
        <f t="array" ref="R68">SUMPRODUCT(IF($A$3:$A$52=$B68,IF($C$1:$AZ$1=R$64,$C$3:$AZ$52)))</f>
        <v>9928.8170000000009</v>
      </c>
      <c r="S68" cm="1">
        <f t="array" ref="S68">SUMPRODUCT(IF($A$3:$A$52=$B68,IF($C$1:$AZ$1=S$64,$C$3:$AZ$52)))</f>
        <v>11946.851000000001</v>
      </c>
      <c r="T68" cm="1">
        <f t="array" ref="T68">SUMPRODUCT(IF($A$3:$A$52=$B68,IF($C$1:$AZ$1=T$64,$C$3:$AZ$52)))</f>
        <v>783.50900000000001</v>
      </c>
      <c r="U68" cm="1">
        <f t="array" ref="U68">SUMPRODUCT(IF($A$3:$A$52=$B68,IF($C$1:$AZ$1=U$64,$C$3:$AZ$52)))</f>
        <v>63.622</v>
      </c>
      <c r="V68" cm="1">
        <f t="array" ref="V68">SUMPRODUCT(IF($A$3:$A$52=$B68,IF($C$1:$AZ$1=V$64,$C$3:$AZ$52)))</f>
        <v>119.79900000000001</v>
      </c>
      <c r="W68" cm="1">
        <f t="array" ref="W68">SUMPRODUCT(IF($A$3:$A$52=$B68,IF($C$1:$AZ$1=W$64,$C$3:$AZ$52)))</f>
        <v>220.97699999999998</v>
      </c>
      <c r="X68" cm="1">
        <f t="array" ref="X68">SUMPRODUCT(IF($A$3:$A$52=$B68,IF($C$1:$AZ$1=X$64,$C$3:$AZ$52)))</f>
        <v>271.19600000000003</v>
      </c>
      <c r="Y68" cm="1">
        <f t="array" ref="Y68">SUMPRODUCT(IF($A$3:$A$52=$B68,IF($C$1:$AZ$1=Y$64,$C$3:$AZ$52)))</f>
        <v>65.198000000000008</v>
      </c>
      <c r="Z68" cm="1">
        <f t="array" ref="Z68">SUMPRODUCT(IF($A$3:$A$52=$B68,IF($C$1:$AZ$1=Z$64,$C$3:$AZ$52)))</f>
        <v>242.10399999999998</v>
      </c>
      <c r="AA68" cm="1">
        <f t="array" ref="AA68">SUMPRODUCT(IF($A$3:$A$52=$B68,IF($C$1:$AZ$1=AA$64,$C$3:$AZ$52)))</f>
        <v>1083.3029999999999</v>
      </c>
      <c r="AB68" cm="1">
        <f t="array" ref="AB68">SUMPRODUCT(IF($A$3:$A$52=$B68,IF($C$1:$AZ$1=AB$64,$C$3:$AZ$52)))</f>
        <v>0</v>
      </c>
      <c r="AC68" cm="1">
        <f t="array" ref="AC68">SUMPRODUCT(IF($A$3:$A$52=$B68,IF($C$1:$AZ$1=AC$64,$C$3:$AZ$52)))</f>
        <v>154.464</v>
      </c>
      <c r="AD68" cm="1">
        <f t="array" ref="AD68">SUMPRODUCT(IF($A$3:$A$52=$B68,IF($C$1:$AZ$1=AD$64,$C$3:$AZ$52)))</f>
        <v>21577.985000000001</v>
      </c>
      <c r="AE68" cm="1">
        <f t="array" ref="AE68">SUMPRODUCT(IF($A$3:$A$52=$B68,IF($C$1:$AZ$1=AE$64,$C$3:$AZ$52)))</f>
        <v>406.72399999999999</v>
      </c>
      <c r="AF68" cm="1">
        <f t="array" ref="AF68">SUMPRODUCT(IF($A$3:$A$52=$B68,IF($C$1:$AZ$1=AF$64,$C$3:$AZ$52)))</f>
        <v>130.89600000000002</v>
      </c>
      <c r="AG68" cm="1">
        <f t="array" ref="AG68">SUMPRODUCT(IF($A$3:$A$52=$B68,IF($C$1:$AZ$1=AG$64,$C$3:$AZ$52)))</f>
        <v>187.03799999999998</v>
      </c>
      <c r="AH68" cm="1">
        <f t="array" ref="AH68">SUMPRODUCT(IF($A$3:$A$52=$B68,IF($C$1:$AZ$1=AH$64,$C$3:$AZ$52)))</f>
        <v>29.436</v>
      </c>
      <c r="AI68" cm="1">
        <f t="array" ref="AI68">SUMPRODUCT(IF($A$3:$A$52=$B68,IF($C$1:$AZ$1=AI$64,$C$3:$AZ$52)))</f>
        <v>27.794</v>
      </c>
      <c r="AJ68" cm="1">
        <f t="array" ref="AJ68">SUMPRODUCT(IF($A$3:$A$52=$B68,IF($C$1:$AZ$1=AJ$64,$C$3:$AZ$52)))</f>
        <v>19.652000000000001</v>
      </c>
      <c r="AK68" cm="1">
        <f t="array" ref="AK68">SUMPRODUCT(IF($A$3:$A$52=$B68,IF($C$1:$AZ$1=AK$64,$C$3:$AZ$52)))</f>
        <v>52.295000000000002</v>
      </c>
      <c r="AL68" cm="1">
        <f t="array" ref="AL68">SUMPRODUCT(IF($A$3:$A$52=$B68,IF($C$1:$AZ$1=AL$64,$C$3:$AZ$52)))</f>
        <v>1854.3230000000001</v>
      </c>
      <c r="AM68" cm="1">
        <f t="array" ref="AM68">SUMPRODUCT(IF($A$3:$A$52=$B68,IF($C$1:$AZ$1=AM$64,$C$3:$AZ$52)))</f>
        <v>752.78199999999993</v>
      </c>
      <c r="AN68" cm="1">
        <f t="array" ref="AN68">SUMPRODUCT(IF($A$3:$A$52=$B68,IF($C$1:$AZ$1=AN$64,$C$3:$AZ$52)))</f>
        <v>1110.586</v>
      </c>
      <c r="AO68" cm="1">
        <f t="array" ref="AO68">SUMPRODUCT(IF($A$3:$A$52=$B68,IF($C$1:$AZ$1=AO$64,$C$3:$AZ$52)))</f>
        <v>120.669</v>
      </c>
      <c r="AP68" cm="1">
        <f t="array" ref="AP68">SUMPRODUCT(IF($A$3:$A$52=$B68,IF($C$1:$AZ$1=AP$64,$C$3:$AZ$52)))</f>
        <v>246.77699999999999</v>
      </c>
      <c r="AQ68" cm="1">
        <f t="array" ref="AQ68">SUMPRODUCT(IF($A$3:$A$52=$B68,IF($C$1:$AZ$1=AQ$64,$C$3:$AZ$52)))</f>
        <v>122.367</v>
      </c>
      <c r="AR68" cm="1">
        <f t="array" ref="AR68">SUMPRODUCT(IF($A$3:$A$52=$B68,IF($C$1:$AZ$1=AR$64,$C$3:$AZ$52)))</f>
        <v>0</v>
      </c>
    </row>
    <row r="69" spans="2:44" x14ac:dyDescent="0.25">
      <c r="B69" t="s">
        <v>6</v>
      </c>
      <c r="C69" cm="1">
        <f t="array" ref="C69">SUMPRODUCT(IF($A$3:$A$52=$B69,IF($C$1:$AZ$1=C$64,$C$3:$AZ$52)))</f>
        <v>62.43</v>
      </c>
      <c r="D69" cm="1">
        <f t="array" ref="D69">SUMPRODUCT(IF($A$3:$A$52=$B69,IF($C$1:$AZ$1=D$64,$C$3:$AZ$52)))</f>
        <v>134.428</v>
      </c>
      <c r="E69" cm="1">
        <f t="array" ref="E69">SUMPRODUCT(IF($A$3:$A$52=$B69,IF($C$1:$AZ$1=E$64,$C$3:$AZ$52)))</f>
        <v>12123.063</v>
      </c>
      <c r="F69" cm="1">
        <f t="array" ref="F69">SUMPRODUCT(IF($A$3:$A$52=$B69,IF($C$1:$AZ$1=F$64,$C$3:$AZ$52)))</f>
        <v>432.32799999999997</v>
      </c>
      <c r="G69" cm="1">
        <f t="array" ref="G69">SUMPRODUCT(IF($A$3:$A$52=$B69,IF($C$1:$AZ$1=G$64,$C$3:$AZ$52)))</f>
        <v>687.27200000000005</v>
      </c>
      <c r="H69" cm="1">
        <f t="array" ref="H69">SUMPRODUCT(IF($A$3:$A$52=$B69,IF($C$1:$AZ$1=H$64,$C$3:$AZ$52)))</f>
        <v>69.293000000000006</v>
      </c>
      <c r="I69" cm="1">
        <f t="array" ref="I69">SUMPRODUCT(IF($A$3:$A$52=$B69,IF($C$1:$AZ$1=I$64,$C$3:$AZ$52)))</f>
        <v>2.968</v>
      </c>
      <c r="J69" cm="1">
        <f t="array" ref="J69">SUMPRODUCT(IF($A$3:$A$52=$B69,IF($C$1:$AZ$1=J$64,$C$3:$AZ$52)))</f>
        <v>10.614000000000001</v>
      </c>
      <c r="K69" cm="1">
        <f t="array" ref="K69">SUMPRODUCT(IF($A$3:$A$52=$B69,IF($C$1:$AZ$1=K$64,$C$3:$AZ$52)))</f>
        <v>36.926000000000002</v>
      </c>
      <c r="L69" cm="1">
        <f t="array" ref="L69">SUMPRODUCT(IF($A$3:$A$52=$B69,IF($C$1:$AZ$1=L$64,$C$3:$AZ$52)))</f>
        <v>877.19600000000003</v>
      </c>
      <c r="M69" cm="1">
        <f t="array" ref="M69">SUMPRODUCT(IF($A$3:$A$52=$B69,IF($C$1:$AZ$1=M$64,$C$3:$AZ$52)))</f>
        <v>46.042000000000002</v>
      </c>
      <c r="N69" cm="1">
        <f t="array" ref="N69">SUMPRODUCT(IF($A$3:$A$52=$B69,IF($C$1:$AZ$1=N$64,$C$3:$AZ$52)))</f>
        <v>7.3159999999999998</v>
      </c>
      <c r="O69" cm="1">
        <f t="array" ref="O69">SUMPRODUCT(IF($A$3:$A$52=$B69,IF($C$1:$AZ$1=O$64,$C$3:$AZ$52)))</f>
        <v>25.535</v>
      </c>
      <c r="P69" cm="1">
        <f t="array" ref="P69">SUMPRODUCT(IF($A$3:$A$52=$B69,IF($C$1:$AZ$1=P$64,$C$3:$AZ$52)))</f>
        <v>197.43700000000001</v>
      </c>
      <c r="Q69" cm="1">
        <f t="array" ref="Q69">SUMPRODUCT(IF($A$3:$A$52=$B69,IF($C$1:$AZ$1=Q$64,$C$3:$AZ$52)))</f>
        <v>0</v>
      </c>
      <c r="R69" cm="1">
        <f t="array" ref="R69">SUMPRODUCT(IF($A$3:$A$52=$B69,IF($C$1:$AZ$1=R$64,$C$3:$AZ$52)))</f>
        <v>66.587999999999994</v>
      </c>
      <c r="S69" cm="1">
        <f t="array" ref="S69">SUMPRODUCT(IF($A$3:$A$52=$B69,IF($C$1:$AZ$1=S$64,$C$3:$AZ$52)))</f>
        <v>43.762999999999998</v>
      </c>
      <c r="T69" cm="1">
        <f t="array" ref="T69">SUMPRODUCT(IF($A$3:$A$52=$B69,IF($C$1:$AZ$1=T$64,$C$3:$AZ$52)))</f>
        <v>120.43</v>
      </c>
      <c r="U69" cm="1">
        <f t="array" ref="U69">SUMPRODUCT(IF($A$3:$A$52=$B69,IF($C$1:$AZ$1=U$64,$C$3:$AZ$52)))</f>
        <v>12.298</v>
      </c>
      <c r="V69" cm="1">
        <f t="array" ref="V69">SUMPRODUCT(IF($A$3:$A$52=$B69,IF($C$1:$AZ$1=V$64,$C$3:$AZ$52)))</f>
        <v>12.56</v>
      </c>
      <c r="W69" cm="1">
        <f t="array" ref="W69">SUMPRODUCT(IF($A$3:$A$52=$B69,IF($C$1:$AZ$1=W$64,$C$3:$AZ$52)))</f>
        <v>81.173000000000002</v>
      </c>
      <c r="X69" cm="1">
        <f t="array" ref="X69">SUMPRODUCT(IF($A$3:$A$52=$B69,IF($C$1:$AZ$1=X$64,$C$3:$AZ$52)))</f>
        <v>95.852000000000004</v>
      </c>
      <c r="Y69" cm="1">
        <f t="array" ref="Y69">SUMPRODUCT(IF($A$3:$A$52=$B69,IF($C$1:$AZ$1=Y$64,$C$3:$AZ$52)))</f>
        <v>32.652999999999999</v>
      </c>
      <c r="Z69" cm="1">
        <f t="array" ref="Z69">SUMPRODUCT(IF($A$3:$A$52=$B69,IF($C$1:$AZ$1=Z$64,$C$3:$AZ$52)))</f>
        <v>26.295999999999999</v>
      </c>
      <c r="AA69" cm="1">
        <f t="array" ref="AA69">SUMPRODUCT(IF($A$3:$A$52=$B69,IF($C$1:$AZ$1=AA$64,$C$3:$AZ$52)))</f>
        <v>371.08300000000003</v>
      </c>
      <c r="AB69" cm="1">
        <f t="array" ref="AB69">SUMPRODUCT(IF($A$3:$A$52=$B69,IF($C$1:$AZ$1=AB$64,$C$3:$AZ$52)))</f>
        <v>0</v>
      </c>
      <c r="AC69" cm="1">
        <f t="array" ref="AC69">SUMPRODUCT(IF($A$3:$A$52=$B69,IF($C$1:$AZ$1=AC$64,$C$3:$AZ$52)))</f>
        <v>19.824000000000002</v>
      </c>
      <c r="AD69" cm="1">
        <f t="array" ref="AD69">SUMPRODUCT(IF($A$3:$A$52=$B69,IF($C$1:$AZ$1=AD$64,$C$3:$AZ$52)))</f>
        <v>1911.021</v>
      </c>
      <c r="AE69" cm="1">
        <f t="array" ref="AE69">SUMPRODUCT(IF($A$3:$A$52=$B69,IF($C$1:$AZ$1=AE$64,$C$3:$AZ$52)))</f>
        <v>234.33699999999999</v>
      </c>
      <c r="AF69" cm="1">
        <f t="array" ref="AF69">SUMPRODUCT(IF($A$3:$A$52=$B69,IF($C$1:$AZ$1=AF$64,$C$3:$AZ$52)))</f>
        <v>113.72999999999999</v>
      </c>
      <c r="AG69" cm="1">
        <f t="array" ref="AG69">SUMPRODUCT(IF($A$3:$A$52=$B69,IF($C$1:$AZ$1=AG$64,$C$3:$AZ$52)))</f>
        <v>69.438000000000002</v>
      </c>
      <c r="AH69" cm="1">
        <f t="array" ref="AH69">SUMPRODUCT(IF($A$3:$A$52=$B69,IF($C$1:$AZ$1=AH$64,$C$3:$AZ$52)))</f>
        <v>22.666</v>
      </c>
      <c r="AI69" cm="1">
        <f t="array" ref="AI69">SUMPRODUCT(IF($A$3:$A$52=$B69,IF($C$1:$AZ$1=AI$64,$C$3:$AZ$52)))</f>
        <v>40.65</v>
      </c>
      <c r="AJ69" cm="1">
        <f t="array" ref="AJ69">SUMPRODUCT(IF($A$3:$A$52=$B69,IF($C$1:$AZ$1=AJ$64,$C$3:$AZ$52)))</f>
        <v>15.644</v>
      </c>
      <c r="AK69" cm="1">
        <f t="array" ref="AK69">SUMPRODUCT(IF($A$3:$A$52=$B69,IF($C$1:$AZ$1=AK$64,$C$3:$AZ$52)))</f>
        <v>64.399000000000001</v>
      </c>
      <c r="AL69" cm="1">
        <f t="array" ref="AL69">SUMPRODUCT(IF($A$3:$A$52=$B69,IF($C$1:$AZ$1=AL$64,$C$3:$AZ$52)))</f>
        <v>1231.444</v>
      </c>
      <c r="AM69" cm="1">
        <f t="array" ref="AM69">SUMPRODUCT(IF($A$3:$A$52=$B69,IF($C$1:$AZ$1=AM$64,$C$3:$AZ$52)))</f>
        <v>219.87699999999998</v>
      </c>
      <c r="AN69" cm="1">
        <f t="array" ref="AN69">SUMPRODUCT(IF($A$3:$A$52=$B69,IF($C$1:$AZ$1=AN$64,$C$3:$AZ$52)))</f>
        <v>650.56200000000001</v>
      </c>
      <c r="AO69" cm="1">
        <f t="array" ref="AO69">SUMPRODUCT(IF($A$3:$A$52=$B69,IF($C$1:$AZ$1=AO$64,$C$3:$AZ$52)))</f>
        <v>115.548</v>
      </c>
      <c r="AP69" cm="1">
        <f t="array" ref="AP69">SUMPRODUCT(IF($A$3:$A$52=$B69,IF($C$1:$AZ$1=AP$64,$C$3:$AZ$52)))</f>
        <v>146.81399999999999</v>
      </c>
      <c r="AQ69" cm="1">
        <f t="array" ref="AQ69">SUMPRODUCT(IF($A$3:$A$52=$B69,IF($C$1:$AZ$1=AQ$64,$C$3:$AZ$52)))</f>
        <v>44.808000000000007</v>
      </c>
      <c r="AR69" cm="1">
        <f t="array" ref="AR69">SUMPRODUCT(IF($A$3:$A$52=$B69,IF($C$1:$AZ$1=AR$64,$C$3:$AZ$52)))</f>
        <v>0</v>
      </c>
    </row>
    <row r="70" spans="2:44" x14ac:dyDescent="0.25">
      <c r="B70" t="s">
        <v>7</v>
      </c>
      <c r="C70" cm="1">
        <f t="array" ref="C70">SUMPRODUCT(IF($A$3:$A$52=$B70,IF($C$1:$AZ$1=C$64,$C$3:$AZ$52)))</f>
        <v>23875.166000000001</v>
      </c>
      <c r="D70" cm="1">
        <f t="array" ref="D70">SUMPRODUCT(IF($A$3:$A$52=$B70,IF($C$1:$AZ$1=D$64,$C$3:$AZ$52)))</f>
        <v>7.9409999999999998</v>
      </c>
      <c r="E70" cm="1">
        <f t="array" ref="E70">SUMPRODUCT(IF($A$3:$A$52=$B70,IF($C$1:$AZ$1=E$64,$C$3:$AZ$52)))</f>
        <v>139.048</v>
      </c>
      <c r="F70" cm="1">
        <f t="array" ref="F70">SUMPRODUCT(IF($A$3:$A$52=$B70,IF($C$1:$AZ$1=F$64,$C$3:$AZ$52)))</f>
        <v>29.427</v>
      </c>
      <c r="G70" cm="1">
        <f t="array" ref="G70">SUMPRODUCT(IF($A$3:$A$52=$B70,IF($C$1:$AZ$1=G$64,$C$3:$AZ$52)))</f>
        <v>6.9290000000000003</v>
      </c>
      <c r="H70" cm="1">
        <f t="array" ref="H70">SUMPRODUCT(IF($A$3:$A$52=$B70,IF($C$1:$AZ$1=H$64,$C$3:$AZ$52)))</f>
        <v>73351.165999999997</v>
      </c>
      <c r="I70" cm="1">
        <f t="array" ref="I70">SUMPRODUCT(IF($A$3:$A$52=$B70,IF($C$1:$AZ$1=I$64,$C$3:$AZ$52)))</f>
        <v>164.63300000000001</v>
      </c>
      <c r="J70" cm="1">
        <f t="array" ref="J70">SUMPRODUCT(IF($A$3:$A$52=$B70,IF($C$1:$AZ$1=J$64,$C$3:$AZ$52)))</f>
        <v>68.484999999999999</v>
      </c>
      <c r="K70" cm="1">
        <f t="array" ref="K70">SUMPRODUCT(IF($A$3:$A$52=$B70,IF($C$1:$AZ$1=K$64,$C$3:$AZ$52)))</f>
        <v>327.96</v>
      </c>
      <c r="L70" cm="1">
        <f t="array" ref="L70">SUMPRODUCT(IF($A$3:$A$52=$B70,IF($C$1:$AZ$1=L$64,$C$3:$AZ$52)))</f>
        <v>160.63300000000001</v>
      </c>
      <c r="M70" cm="1">
        <f t="array" ref="M70">SUMPRODUCT(IF($A$3:$A$52=$B70,IF($C$1:$AZ$1=M$64,$C$3:$AZ$52)))</f>
        <v>1908.4860000000001</v>
      </c>
      <c r="N70" cm="1">
        <f t="array" ref="N70">SUMPRODUCT(IF($A$3:$A$52=$B70,IF($C$1:$AZ$1=N$64,$C$3:$AZ$52)))</f>
        <v>838.38</v>
      </c>
      <c r="O70" cm="1">
        <f t="array" ref="O70">SUMPRODUCT(IF($A$3:$A$52=$B70,IF($C$1:$AZ$1=O$64,$C$3:$AZ$52)))</f>
        <v>376.82799999999997</v>
      </c>
      <c r="P70" cm="1">
        <f t="array" ref="P70">SUMPRODUCT(IF($A$3:$A$52=$B70,IF($C$1:$AZ$1=P$64,$C$3:$AZ$52)))</f>
        <v>78.061999999999998</v>
      </c>
      <c r="Q70" cm="1">
        <f t="array" ref="Q70">SUMPRODUCT(IF($A$3:$A$52=$B70,IF($C$1:$AZ$1=Q$64,$C$3:$AZ$52)))</f>
        <v>0</v>
      </c>
      <c r="R70" cm="1">
        <f t="array" ref="R70">SUMPRODUCT(IF($A$3:$A$52=$B70,IF($C$1:$AZ$1=R$64,$C$3:$AZ$52)))</f>
        <v>47.314</v>
      </c>
      <c r="S70" cm="1">
        <f t="array" ref="S70">SUMPRODUCT(IF($A$3:$A$52=$B70,IF($C$1:$AZ$1=S$64,$C$3:$AZ$52)))</f>
        <v>38.912999999999997</v>
      </c>
      <c r="T70" cm="1">
        <f t="array" ref="T70">SUMPRODUCT(IF($A$3:$A$52=$B70,IF($C$1:$AZ$1=T$64,$C$3:$AZ$52)))</f>
        <v>121.907</v>
      </c>
      <c r="U70" cm="1">
        <f t="array" ref="U70">SUMPRODUCT(IF($A$3:$A$52=$B70,IF($C$1:$AZ$1=U$64,$C$3:$AZ$52)))</f>
        <v>67.322999999999993</v>
      </c>
      <c r="V70" cm="1">
        <f t="array" ref="V70">SUMPRODUCT(IF($A$3:$A$52=$B70,IF($C$1:$AZ$1=V$64,$C$3:$AZ$52)))</f>
        <v>40.203000000000003</v>
      </c>
      <c r="W70" cm="1">
        <f t="array" ref="W70">SUMPRODUCT(IF($A$3:$A$52=$B70,IF($C$1:$AZ$1=W$64,$C$3:$AZ$52)))</f>
        <v>128.333</v>
      </c>
      <c r="X70" cm="1">
        <f t="array" ref="X70">SUMPRODUCT(IF($A$3:$A$52=$B70,IF($C$1:$AZ$1=X$64,$C$3:$AZ$52)))</f>
        <v>179.42</v>
      </c>
      <c r="Y70" cm="1">
        <f t="array" ref="Y70">SUMPRODUCT(IF($A$3:$A$52=$B70,IF($C$1:$AZ$1=Y$64,$C$3:$AZ$52)))</f>
        <v>77.856999999999999</v>
      </c>
      <c r="Z70" cm="1">
        <f t="array" ref="Z70">SUMPRODUCT(IF($A$3:$A$52=$B70,IF($C$1:$AZ$1=Z$64,$C$3:$AZ$52)))</f>
        <v>169.90100000000001</v>
      </c>
      <c r="AA70" cm="1">
        <f t="array" ref="AA70">SUMPRODUCT(IF($A$3:$A$52=$B70,IF($C$1:$AZ$1=AA$64,$C$3:$AZ$52)))</f>
        <v>71.938999999999993</v>
      </c>
      <c r="AB70" cm="1">
        <f t="array" ref="AB70">SUMPRODUCT(IF($A$3:$A$52=$B70,IF($C$1:$AZ$1=AB$64,$C$3:$AZ$52)))</f>
        <v>0</v>
      </c>
      <c r="AC70" cm="1">
        <f t="array" ref="AC70">SUMPRODUCT(IF($A$3:$A$52=$B70,IF($C$1:$AZ$1=AC$64,$C$3:$AZ$52)))</f>
        <v>77.558999999999997</v>
      </c>
      <c r="AD70" cm="1">
        <f t="array" ref="AD70">SUMPRODUCT(IF($A$3:$A$52=$B70,IF($C$1:$AZ$1=AD$64,$C$3:$AZ$52)))</f>
        <v>463.24700000000001</v>
      </c>
      <c r="AE70" cm="1">
        <f t="array" ref="AE70">SUMPRODUCT(IF($A$3:$A$52=$B70,IF($C$1:$AZ$1=AE$64,$C$3:$AZ$52)))</f>
        <v>8331.5509999999995</v>
      </c>
      <c r="AF70" cm="1">
        <f t="array" ref="AF70">SUMPRODUCT(IF($A$3:$A$52=$B70,IF($C$1:$AZ$1=AF$64,$C$3:$AZ$52)))</f>
        <v>471.56499999999994</v>
      </c>
      <c r="AG70" cm="1">
        <f t="array" ref="AG70">SUMPRODUCT(IF($A$3:$A$52=$B70,IF($C$1:$AZ$1=AG$64,$C$3:$AZ$52)))</f>
        <v>96328.35</v>
      </c>
      <c r="AH70" cm="1">
        <f t="array" ref="AH70">SUMPRODUCT(IF($A$3:$A$52=$B70,IF($C$1:$AZ$1=AH$64,$C$3:$AZ$52)))</f>
        <v>554.37800000000004</v>
      </c>
      <c r="AI70" cm="1">
        <f t="array" ref="AI70">SUMPRODUCT(IF($A$3:$A$52=$B70,IF($C$1:$AZ$1=AI$64,$C$3:$AZ$52)))</f>
        <v>183.999</v>
      </c>
      <c r="AJ70" cm="1">
        <f t="array" ref="AJ70">SUMPRODUCT(IF($A$3:$A$52=$B70,IF($C$1:$AZ$1=AJ$64,$C$3:$AZ$52)))</f>
        <v>288.43799999999999</v>
      </c>
      <c r="AK70" cm="1">
        <f t="array" ref="AK70">SUMPRODUCT(IF($A$3:$A$52=$B70,IF($C$1:$AZ$1=AK$64,$C$3:$AZ$52)))</f>
        <v>469.10399999999998</v>
      </c>
      <c r="AL70" cm="1">
        <f t="array" ref="AL70">SUMPRODUCT(IF($A$3:$A$52=$B70,IF($C$1:$AZ$1=AL$64,$C$3:$AZ$52)))</f>
        <v>1077.8399999999999</v>
      </c>
      <c r="AM70" cm="1">
        <f t="array" ref="AM70">SUMPRODUCT(IF($A$3:$A$52=$B70,IF($C$1:$AZ$1=AM$64,$C$3:$AZ$52)))</f>
        <v>1615.105</v>
      </c>
      <c r="AN70" cm="1">
        <f t="array" ref="AN70">SUMPRODUCT(IF($A$3:$A$52=$B70,IF($C$1:$AZ$1=AN$64,$C$3:$AZ$52)))</f>
        <v>3978.8870000000002</v>
      </c>
      <c r="AO70" cm="1">
        <f t="array" ref="AO70">SUMPRODUCT(IF($A$3:$A$52=$B70,IF($C$1:$AZ$1=AO$64,$C$3:$AZ$52)))</f>
        <v>3191.1590000000001</v>
      </c>
      <c r="AP70" cm="1">
        <f t="array" ref="AP70">SUMPRODUCT(IF($A$3:$A$52=$B70,IF($C$1:$AZ$1=AP$64,$C$3:$AZ$52)))</f>
        <v>7598.6440000000002</v>
      </c>
      <c r="AQ70" cm="1">
        <f t="array" ref="AQ70">SUMPRODUCT(IF($A$3:$A$52=$B70,IF($C$1:$AZ$1=AQ$64,$C$3:$AZ$52)))</f>
        <v>1893.3209999999999</v>
      </c>
      <c r="AR70" cm="1">
        <f t="array" ref="AR70">SUMPRODUCT(IF($A$3:$A$52=$B70,IF($C$1:$AZ$1=AR$64,$C$3:$AZ$52)))</f>
        <v>0</v>
      </c>
    </row>
    <row r="71" spans="2:44" x14ac:dyDescent="0.25">
      <c r="B71" t="s">
        <v>8</v>
      </c>
      <c r="C71" cm="1">
        <f t="array" ref="C71">SUMPRODUCT(IF($A$3:$A$52=$B71,IF($C$1:$AZ$1=C$64,$C$3:$AZ$52)))</f>
        <v>450.327</v>
      </c>
      <c r="D71" cm="1">
        <f t="array" ref="D71">SUMPRODUCT(IF($A$3:$A$52=$B71,IF($C$1:$AZ$1=D$64,$C$3:$AZ$52)))</f>
        <v>12.378</v>
      </c>
      <c r="E71" cm="1">
        <f t="array" ref="E71">SUMPRODUCT(IF($A$3:$A$52=$B71,IF($C$1:$AZ$1=E$64,$C$3:$AZ$52)))</f>
        <v>188.667</v>
      </c>
      <c r="F71" cm="1">
        <f t="array" ref="F71">SUMPRODUCT(IF($A$3:$A$52=$B71,IF($C$1:$AZ$1=F$64,$C$3:$AZ$52)))</f>
        <v>34.753</v>
      </c>
      <c r="G71" cm="1">
        <f t="array" ref="G71">SUMPRODUCT(IF($A$3:$A$52=$B71,IF($C$1:$AZ$1=G$64,$C$3:$AZ$52)))</f>
        <v>8.359</v>
      </c>
      <c r="H71" cm="1">
        <f t="array" ref="H71">SUMPRODUCT(IF($A$3:$A$52=$B71,IF($C$1:$AZ$1=H$64,$C$3:$AZ$52)))</f>
        <v>397.39100000000002</v>
      </c>
      <c r="I71" cm="1">
        <f t="array" ref="I71">SUMPRODUCT(IF($A$3:$A$52=$B71,IF($C$1:$AZ$1=I$64,$C$3:$AZ$52)))</f>
        <v>7337.3670000000002</v>
      </c>
      <c r="J71" cm="1">
        <f t="array" ref="J71">SUMPRODUCT(IF($A$3:$A$52=$B71,IF($C$1:$AZ$1=J$64,$C$3:$AZ$52)))</f>
        <v>106.907</v>
      </c>
      <c r="K71" cm="1">
        <f t="array" ref="K71">SUMPRODUCT(IF($A$3:$A$52=$B71,IF($C$1:$AZ$1=K$64,$C$3:$AZ$52)))</f>
        <v>763.49800000000005</v>
      </c>
      <c r="L71" cm="1">
        <f t="array" ref="L71">SUMPRODUCT(IF($A$3:$A$52=$B71,IF($C$1:$AZ$1=L$64,$C$3:$AZ$52)))</f>
        <v>93.228999999999999</v>
      </c>
      <c r="M71" cm="1">
        <f t="array" ref="M71">SUMPRODUCT(IF($A$3:$A$52=$B71,IF($C$1:$AZ$1=M$64,$C$3:$AZ$52)))</f>
        <v>981.66300000000001</v>
      </c>
      <c r="N71" cm="1">
        <f t="array" ref="N71">SUMPRODUCT(IF($A$3:$A$52=$B71,IF($C$1:$AZ$1=N$64,$C$3:$AZ$52)))</f>
        <v>201.119</v>
      </c>
      <c r="O71" cm="1">
        <f t="array" ref="O71">SUMPRODUCT(IF($A$3:$A$52=$B71,IF($C$1:$AZ$1=O$64,$C$3:$AZ$52)))</f>
        <v>1050.2940000000001</v>
      </c>
      <c r="P71" cm="1">
        <f t="array" ref="P71">SUMPRODUCT(IF($A$3:$A$52=$B71,IF($C$1:$AZ$1=P$64,$C$3:$AZ$52)))</f>
        <v>196.72</v>
      </c>
      <c r="Q71" cm="1">
        <f t="array" ref="Q71">SUMPRODUCT(IF($A$3:$A$52=$B71,IF($C$1:$AZ$1=Q$64,$C$3:$AZ$52)))</f>
        <v>0</v>
      </c>
      <c r="R71" cm="1">
        <f t="array" ref="R71">SUMPRODUCT(IF($A$3:$A$52=$B71,IF($C$1:$AZ$1=R$64,$C$3:$AZ$52)))</f>
        <v>47.963000000000001</v>
      </c>
      <c r="S71" cm="1">
        <f t="array" ref="S71">SUMPRODUCT(IF($A$3:$A$52=$B71,IF($C$1:$AZ$1=S$64,$C$3:$AZ$52)))</f>
        <v>30.207999999999998</v>
      </c>
      <c r="T71" cm="1">
        <f t="array" ref="T71">SUMPRODUCT(IF($A$3:$A$52=$B71,IF($C$1:$AZ$1=T$64,$C$3:$AZ$52)))</f>
        <v>189.43899999999999</v>
      </c>
      <c r="U71" cm="1">
        <f t="array" ref="U71">SUMPRODUCT(IF($A$3:$A$52=$B71,IF($C$1:$AZ$1=U$64,$C$3:$AZ$52)))</f>
        <v>83.141000000000005</v>
      </c>
      <c r="V71" cm="1">
        <f t="array" ref="V71">SUMPRODUCT(IF($A$3:$A$52=$B71,IF($C$1:$AZ$1=V$64,$C$3:$AZ$52)))</f>
        <v>57.98</v>
      </c>
      <c r="W71" cm="1">
        <f t="array" ref="W71">SUMPRODUCT(IF($A$3:$A$52=$B71,IF($C$1:$AZ$1=W$64,$C$3:$AZ$52)))</f>
        <v>199.721</v>
      </c>
      <c r="X71" cm="1">
        <f t="array" ref="X71">SUMPRODUCT(IF($A$3:$A$52=$B71,IF($C$1:$AZ$1=X$64,$C$3:$AZ$52)))</f>
        <v>1639.653</v>
      </c>
      <c r="Y71" cm="1">
        <f t="array" ref="Y71">SUMPRODUCT(IF($A$3:$A$52=$B71,IF($C$1:$AZ$1=Y$64,$C$3:$AZ$52)))</f>
        <v>191.90199999999999</v>
      </c>
      <c r="Z71" cm="1">
        <f t="array" ref="Z71">SUMPRODUCT(IF($A$3:$A$52=$B71,IF($C$1:$AZ$1=Z$64,$C$3:$AZ$52)))</f>
        <v>1657.1279999999999</v>
      </c>
      <c r="AA71" cm="1">
        <f t="array" ref="AA71">SUMPRODUCT(IF($A$3:$A$52=$B71,IF($C$1:$AZ$1=AA$64,$C$3:$AZ$52)))</f>
        <v>45.134999999999998</v>
      </c>
      <c r="AB71" cm="1">
        <f t="array" ref="AB71">SUMPRODUCT(IF($A$3:$A$52=$B71,IF($C$1:$AZ$1=AB$64,$C$3:$AZ$52)))</f>
        <v>0</v>
      </c>
      <c r="AC71" cm="1">
        <f t="array" ref="AC71">SUMPRODUCT(IF($A$3:$A$52=$B71,IF($C$1:$AZ$1=AC$64,$C$3:$AZ$52)))</f>
        <v>62.756</v>
      </c>
      <c r="AD71" cm="1">
        <f t="array" ref="AD71">SUMPRODUCT(IF($A$3:$A$52=$B71,IF($C$1:$AZ$1=AD$64,$C$3:$AZ$52)))</f>
        <v>847.62099999999998</v>
      </c>
      <c r="AE71" cm="1">
        <f t="array" ref="AE71">SUMPRODUCT(IF($A$3:$A$52=$B71,IF($C$1:$AZ$1=AE$64,$C$3:$AZ$52)))</f>
        <v>2868.6880000000001</v>
      </c>
      <c r="AF71" cm="1">
        <f t="array" ref="AF71">SUMPRODUCT(IF($A$3:$A$52=$B71,IF($C$1:$AZ$1=AF$64,$C$3:$AZ$52)))</f>
        <v>222.233</v>
      </c>
      <c r="AG71" cm="1">
        <f t="array" ref="AG71">SUMPRODUCT(IF($A$3:$A$52=$B71,IF($C$1:$AZ$1=AG$64,$C$3:$AZ$52)))</f>
        <v>1408.6279999999999</v>
      </c>
      <c r="AH71" cm="1">
        <f t="array" ref="AH71">SUMPRODUCT(IF($A$3:$A$52=$B71,IF($C$1:$AZ$1=AH$64,$C$3:$AZ$52)))</f>
        <v>161.29499999999999</v>
      </c>
      <c r="AI71" cm="1">
        <f t="array" ref="AI71">SUMPRODUCT(IF($A$3:$A$52=$B71,IF($C$1:$AZ$1=AI$64,$C$3:$AZ$52)))</f>
        <v>54.847999999999999</v>
      </c>
      <c r="AJ71" cm="1">
        <f t="array" ref="AJ71">SUMPRODUCT(IF($A$3:$A$52=$B71,IF($C$1:$AZ$1=AJ$64,$C$3:$AZ$52)))</f>
        <v>74.25</v>
      </c>
      <c r="AK71" cm="1">
        <f t="array" ref="AK71">SUMPRODUCT(IF($A$3:$A$52=$B71,IF($C$1:$AZ$1=AK$64,$C$3:$AZ$52)))</f>
        <v>156.54</v>
      </c>
      <c r="AL71" cm="1">
        <f t="array" ref="AL71">SUMPRODUCT(IF($A$3:$A$52=$B71,IF($C$1:$AZ$1=AL$64,$C$3:$AZ$52)))</f>
        <v>447.16500000000002</v>
      </c>
      <c r="AM71" cm="1">
        <f t="array" ref="AM71">SUMPRODUCT(IF($A$3:$A$52=$B71,IF($C$1:$AZ$1=AM$64,$C$3:$AZ$52)))</f>
        <v>1725.2860000000001</v>
      </c>
      <c r="AN71" cm="1">
        <f t="array" ref="AN71">SUMPRODUCT(IF($A$3:$A$52=$B71,IF($C$1:$AZ$1=AN$64,$C$3:$AZ$52)))</f>
        <v>2368.7080000000001</v>
      </c>
      <c r="AO71" cm="1">
        <f t="array" ref="AO71">SUMPRODUCT(IF($A$3:$A$52=$B71,IF($C$1:$AZ$1=AO$64,$C$3:$AZ$52)))</f>
        <v>576.60199999999998</v>
      </c>
      <c r="AP71" cm="1">
        <f t="array" ref="AP71">SUMPRODUCT(IF($A$3:$A$52=$B71,IF($C$1:$AZ$1=AP$64,$C$3:$AZ$52)))</f>
        <v>2824.933</v>
      </c>
      <c r="AQ71" cm="1">
        <f t="array" ref="AQ71">SUMPRODUCT(IF($A$3:$A$52=$B71,IF($C$1:$AZ$1=AQ$64,$C$3:$AZ$52)))</f>
        <v>1372.924</v>
      </c>
      <c r="AR71" cm="1">
        <f t="array" ref="AR71">SUMPRODUCT(IF($A$3:$A$52=$B71,IF($C$1:$AZ$1=AR$64,$C$3:$AZ$52)))</f>
        <v>0</v>
      </c>
    </row>
    <row r="72" spans="2:44" x14ac:dyDescent="0.25">
      <c r="B72" t="s">
        <v>9</v>
      </c>
      <c r="C72" cm="1">
        <f t="array" ref="C72">SUMPRODUCT(IF($A$3:$A$52=$B72,IF($C$1:$AZ$1=C$64,$C$3:$AZ$52)))</f>
        <v>1627.634</v>
      </c>
      <c r="D72" cm="1">
        <f t="array" ref="D72">SUMPRODUCT(IF($A$3:$A$52=$B72,IF($C$1:$AZ$1=D$64,$C$3:$AZ$52)))</f>
        <v>80.037999999999997</v>
      </c>
      <c r="E72" cm="1">
        <f t="array" ref="E72">SUMPRODUCT(IF($A$3:$A$52=$B72,IF($C$1:$AZ$1=E$64,$C$3:$AZ$52)))</f>
        <v>413.41699999999997</v>
      </c>
      <c r="F72" cm="1">
        <f t="array" ref="F72">SUMPRODUCT(IF($A$3:$A$52=$B72,IF($C$1:$AZ$1=F$64,$C$3:$AZ$52)))</f>
        <v>124.93199999999999</v>
      </c>
      <c r="G72" cm="1">
        <f t="array" ref="G72">SUMPRODUCT(IF($A$3:$A$52=$B72,IF($C$1:$AZ$1=G$64,$C$3:$AZ$52)))</f>
        <v>21.885000000000002</v>
      </c>
      <c r="H72" cm="1">
        <f t="array" ref="H72">SUMPRODUCT(IF($A$3:$A$52=$B72,IF($C$1:$AZ$1=H$64,$C$3:$AZ$52)))</f>
        <v>2620.5259999999998</v>
      </c>
      <c r="I72" cm="1">
        <f t="array" ref="I72">SUMPRODUCT(IF($A$3:$A$52=$B72,IF($C$1:$AZ$1=I$64,$C$3:$AZ$52)))</f>
        <v>158.071</v>
      </c>
      <c r="J72" cm="1">
        <f t="array" ref="J72">SUMPRODUCT(IF($A$3:$A$52=$B72,IF($C$1:$AZ$1=J$64,$C$3:$AZ$52)))</f>
        <v>35331.089999999997</v>
      </c>
      <c r="K72" cm="1">
        <f t="array" ref="K72">SUMPRODUCT(IF($A$3:$A$52=$B72,IF($C$1:$AZ$1=K$64,$C$3:$AZ$52)))</f>
        <v>4414.5469999999996</v>
      </c>
      <c r="L72" cm="1">
        <f t="array" ref="L72">SUMPRODUCT(IF($A$3:$A$52=$B72,IF($C$1:$AZ$1=L$64,$C$3:$AZ$52)))</f>
        <v>52.924999999999997</v>
      </c>
      <c r="M72" cm="1">
        <f t="array" ref="M72">SUMPRODUCT(IF($A$3:$A$52=$B72,IF($C$1:$AZ$1=M$64,$C$3:$AZ$52)))</f>
        <v>1134.51</v>
      </c>
      <c r="N72" cm="1">
        <f t="array" ref="N72">SUMPRODUCT(IF($A$3:$A$52=$B72,IF($C$1:$AZ$1=N$64,$C$3:$AZ$52)))</f>
        <v>180.322</v>
      </c>
      <c r="O72" cm="1">
        <f t="array" ref="O72">SUMPRODUCT(IF($A$3:$A$52=$B72,IF($C$1:$AZ$1=O$64,$C$3:$AZ$52)))</f>
        <v>786.79499999999996</v>
      </c>
      <c r="P72" cm="1">
        <f t="array" ref="P72">SUMPRODUCT(IF($A$3:$A$52=$B72,IF($C$1:$AZ$1=P$64,$C$3:$AZ$52)))</f>
        <v>1204.8389999999999</v>
      </c>
      <c r="Q72" cm="1">
        <f t="array" ref="Q72">SUMPRODUCT(IF($A$3:$A$52=$B72,IF($C$1:$AZ$1=Q$64,$C$3:$AZ$52)))</f>
        <v>0</v>
      </c>
      <c r="R72" cm="1">
        <f t="array" ref="R72">SUMPRODUCT(IF($A$3:$A$52=$B72,IF($C$1:$AZ$1=R$64,$C$3:$AZ$52)))</f>
        <v>124.72</v>
      </c>
      <c r="S72" cm="1">
        <f t="array" ref="S72">SUMPRODUCT(IF($A$3:$A$52=$B72,IF($C$1:$AZ$1=S$64,$C$3:$AZ$52)))</f>
        <v>167.017</v>
      </c>
      <c r="T72" cm="1">
        <f t="array" ref="T72">SUMPRODUCT(IF($A$3:$A$52=$B72,IF($C$1:$AZ$1=T$64,$C$3:$AZ$52)))</f>
        <v>1237.4100000000001</v>
      </c>
      <c r="U72" cm="1">
        <f t="array" ref="U72">SUMPRODUCT(IF($A$3:$A$52=$B72,IF($C$1:$AZ$1=U$64,$C$3:$AZ$52)))</f>
        <v>204.245</v>
      </c>
      <c r="V72" cm="1">
        <f t="array" ref="V72">SUMPRODUCT(IF($A$3:$A$52=$B72,IF($C$1:$AZ$1=V$64,$C$3:$AZ$52)))</f>
        <v>288.45600000000002</v>
      </c>
      <c r="W72" cm="1">
        <f t="array" ref="W72">SUMPRODUCT(IF($A$3:$A$52=$B72,IF($C$1:$AZ$1=W$64,$C$3:$AZ$52)))</f>
        <v>728.74</v>
      </c>
      <c r="X72" cm="1">
        <f t="array" ref="X72">SUMPRODUCT(IF($A$3:$A$52=$B72,IF($C$1:$AZ$1=X$64,$C$3:$AZ$52)))</f>
        <v>2710.93</v>
      </c>
      <c r="Y72" cm="1">
        <f t="array" ref="Y72">SUMPRODUCT(IF($A$3:$A$52=$B72,IF($C$1:$AZ$1=Y$64,$C$3:$AZ$52)))</f>
        <v>707.85799999999995</v>
      </c>
      <c r="Z72" cm="1">
        <f t="array" ref="Z72">SUMPRODUCT(IF($A$3:$A$52=$B72,IF($C$1:$AZ$1=Z$64,$C$3:$AZ$52)))</f>
        <v>16380.022000000001</v>
      </c>
      <c r="AA72" cm="1">
        <f t="array" ref="AA72">SUMPRODUCT(IF($A$3:$A$52=$B72,IF($C$1:$AZ$1=AA$64,$C$3:$AZ$52)))</f>
        <v>545.32000000000005</v>
      </c>
      <c r="AB72" cm="1">
        <f t="array" ref="AB72">SUMPRODUCT(IF($A$3:$A$52=$B72,IF($C$1:$AZ$1=AB$64,$C$3:$AZ$52)))</f>
        <v>0</v>
      </c>
      <c r="AC72" cm="1">
        <f t="array" ref="AC72">SUMPRODUCT(IF($A$3:$A$52=$B72,IF($C$1:$AZ$1=AC$64,$C$3:$AZ$52)))</f>
        <v>131.39699999999999</v>
      </c>
      <c r="AD72" cm="1">
        <f t="array" ref="AD72">SUMPRODUCT(IF($A$3:$A$52=$B72,IF($C$1:$AZ$1=AD$64,$C$3:$AZ$52)))</f>
        <v>56706.307999999997</v>
      </c>
      <c r="AE72" cm="1">
        <f t="array" ref="AE72">SUMPRODUCT(IF($A$3:$A$52=$B72,IF($C$1:$AZ$1=AE$64,$C$3:$AZ$52)))</f>
        <v>7515.6329999999998</v>
      </c>
      <c r="AF72" cm="1">
        <f t="array" ref="AF72">SUMPRODUCT(IF($A$3:$A$52=$B72,IF($C$1:$AZ$1=AF$64,$C$3:$AZ$52)))</f>
        <v>1226.7520000000002</v>
      </c>
      <c r="AG72" cm="1">
        <f t="array" ref="AG72">SUMPRODUCT(IF($A$3:$A$52=$B72,IF($C$1:$AZ$1=AG$64,$C$3:$AZ$52)))</f>
        <v>2462.48</v>
      </c>
      <c r="AH72" cm="1">
        <f t="array" ref="AH72">SUMPRODUCT(IF($A$3:$A$52=$B72,IF($C$1:$AZ$1=AH$64,$C$3:$AZ$52)))</f>
        <v>553.07100000000003</v>
      </c>
      <c r="AI72" cm="1">
        <f t="array" ref="AI72">SUMPRODUCT(IF($A$3:$A$52=$B72,IF($C$1:$AZ$1=AI$64,$C$3:$AZ$52)))</f>
        <v>147.40799999999999</v>
      </c>
      <c r="AJ72" cm="1">
        <f t="array" ref="AJ72">SUMPRODUCT(IF($A$3:$A$52=$B72,IF($C$1:$AZ$1=AJ$64,$C$3:$AZ$52)))</f>
        <v>165.69499999999999</v>
      </c>
      <c r="AK72" cm="1">
        <f t="array" ref="AK72">SUMPRODUCT(IF($A$3:$A$52=$B72,IF($C$1:$AZ$1=AK$64,$C$3:$AZ$52)))</f>
        <v>336.02</v>
      </c>
      <c r="AL72" cm="1">
        <f t="array" ref="AL72">SUMPRODUCT(IF($A$3:$A$52=$B72,IF($C$1:$AZ$1=AL$64,$C$3:$AZ$52)))</f>
        <v>7227.9759999999997</v>
      </c>
      <c r="AM72" cm="1">
        <f t="array" ref="AM72">SUMPRODUCT(IF($A$3:$A$52=$B72,IF($C$1:$AZ$1=AM$64,$C$3:$AZ$52)))</f>
        <v>4730.4260000000004</v>
      </c>
      <c r="AN72" cm="1">
        <f t="array" ref="AN72">SUMPRODUCT(IF($A$3:$A$52=$B72,IF($C$1:$AZ$1=AN$64,$C$3:$AZ$52)))</f>
        <v>1349.059</v>
      </c>
      <c r="AO72" cm="1">
        <f t="array" ref="AO72">SUMPRODUCT(IF($A$3:$A$52=$B72,IF($C$1:$AZ$1=AO$64,$C$3:$AZ$52)))</f>
        <v>1106.6320000000001</v>
      </c>
      <c r="AP72" cm="1">
        <f t="array" ref="AP72">SUMPRODUCT(IF($A$3:$A$52=$B72,IF($C$1:$AZ$1=AP$64,$C$3:$AZ$52)))</f>
        <v>2128.7049999999999</v>
      </c>
      <c r="AQ72" cm="1">
        <f t="array" ref="AQ72">SUMPRODUCT(IF($A$3:$A$52=$B72,IF($C$1:$AZ$1=AQ$64,$C$3:$AZ$52)))</f>
        <v>2475.8510000000001</v>
      </c>
      <c r="AR72" cm="1">
        <f t="array" ref="AR72">SUMPRODUCT(IF($A$3:$A$52=$B72,IF($C$1:$AZ$1=AR$64,$C$3:$AZ$52)))</f>
        <v>0</v>
      </c>
    </row>
    <row r="73" spans="2:44" x14ac:dyDescent="0.25">
      <c r="B73" t="s">
        <v>10</v>
      </c>
      <c r="C73" cm="1">
        <f t="array" ref="C73">SUMPRODUCT(IF($A$3:$A$52=$B73,IF($C$1:$AZ$1=C$64,$C$3:$AZ$52)))</f>
        <v>888.92699999999991</v>
      </c>
      <c r="D73" cm="1">
        <f t="array" ref="D73">SUMPRODUCT(IF($A$3:$A$52=$B73,IF($C$1:$AZ$1=D$64,$C$3:$AZ$52)))</f>
        <v>16.102</v>
      </c>
      <c r="E73" cm="1">
        <f t="array" ref="E73">SUMPRODUCT(IF($A$3:$A$52=$B73,IF($C$1:$AZ$1=E$64,$C$3:$AZ$52)))</f>
        <v>541.07600000000002</v>
      </c>
      <c r="F73" cm="1">
        <f t="array" ref="F73">SUMPRODUCT(IF($A$3:$A$52=$B73,IF($C$1:$AZ$1=F$64,$C$3:$AZ$52)))</f>
        <v>76.180999999999997</v>
      </c>
      <c r="G73" cm="1">
        <f t="array" ref="G73">SUMPRODUCT(IF($A$3:$A$52=$B73,IF($C$1:$AZ$1=G$64,$C$3:$AZ$52)))</f>
        <v>19.372</v>
      </c>
      <c r="H73" cm="1">
        <f t="array" ref="H73">SUMPRODUCT(IF($A$3:$A$52=$B73,IF($C$1:$AZ$1=H$64,$C$3:$AZ$52)))</f>
        <v>15327.946</v>
      </c>
      <c r="I73" cm="1">
        <f t="array" ref="I73">SUMPRODUCT(IF($A$3:$A$52=$B73,IF($C$1:$AZ$1=I$64,$C$3:$AZ$52)))</f>
        <v>562.34699999999998</v>
      </c>
      <c r="J73" cm="1">
        <f t="array" ref="J73">SUMPRODUCT(IF($A$3:$A$52=$B73,IF($C$1:$AZ$1=J$64,$C$3:$AZ$52)))</f>
        <v>773.94299999999998</v>
      </c>
      <c r="K73" cm="1">
        <f t="array" ref="K73">SUMPRODUCT(IF($A$3:$A$52=$B73,IF($C$1:$AZ$1=K$64,$C$3:$AZ$52)))</f>
        <v>51164.288999999997</v>
      </c>
      <c r="L73" cm="1">
        <f t="array" ref="L73">SUMPRODUCT(IF($A$3:$A$52=$B73,IF($C$1:$AZ$1=L$64,$C$3:$AZ$52)))</f>
        <v>178.81200000000001</v>
      </c>
      <c r="M73" cm="1">
        <f t="array" ref="M73">SUMPRODUCT(IF($A$3:$A$52=$B73,IF($C$1:$AZ$1=M$64,$C$3:$AZ$52)))</f>
        <v>1875.671</v>
      </c>
      <c r="N73" cm="1">
        <f t="array" ref="N73">SUMPRODUCT(IF($A$3:$A$52=$B73,IF($C$1:$AZ$1=N$64,$C$3:$AZ$52)))</f>
        <v>2136.6149999999998</v>
      </c>
      <c r="O73" cm="1">
        <f t="array" ref="O73">SUMPRODUCT(IF($A$3:$A$52=$B73,IF($C$1:$AZ$1=O$64,$C$3:$AZ$52)))</f>
        <v>1634.0070000000001</v>
      </c>
      <c r="P73" cm="1">
        <f t="array" ref="P73">SUMPRODUCT(IF($A$3:$A$52=$B73,IF($C$1:$AZ$1=P$64,$C$3:$AZ$52)))</f>
        <v>1226.7909999999999</v>
      </c>
      <c r="Q73" cm="1">
        <f t="array" ref="Q73">SUMPRODUCT(IF($A$3:$A$52=$B73,IF($C$1:$AZ$1=Q$64,$C$3:$AZ$52)))</f>
        <v>0</v>
      </c>
      <c r="R73" cm="1">
        <f t="array" ref="R73">SUMPRODUCT(IF($A$3:$A$52=$B73,IF($C$1:$AZ$1=R$64,$C$3:$AZ$52)))</f>
        <v>164.81899999999999</v>
      </c>
      <c r="S73" cm="1">
        <f t="array" ref="S73">SUMPRODUCT(IF($A$3:$A$52=$B73,IF($C$1:$AZ$1=S$64,$C$3:$AZ$52)))</f>
        <v>175.34700000000001</v>
      </c>
      <c r="T73" cm="1">
        <f t="array" ref="T73">SUMPRODUCT(IF($A$3:$A$52=$B73,IF($C$1:$AZ$1=T$64,$C$3:$AZ$52)))</f>
        <v>1127.231</v>
      </c>
      <c r="U73" cm="1">
        <f t="array" ref="U73">SUMPRODUCT(IF($A$3:$A$52=$B73,IF($C$1:$AZ$1=U$64,$C$3:$AZ$52)))</f>
        <v>562.90599999999995</v>
      </c>
      <c r="V73" cm="1">
        <f t="array" ref="V73">SUMPRODUCT(IF($A$3:$A$52=$B73,IF($C$1:$AZ$1=V$64,$C$3:$AZ$52)))</f>
        <v>430.81</v>
      </c>
      <c r="W73" cm="1">
        <f t="array" ref="W73">SUMPRODUCT(IF($A$3:$A$52=$B73,IF($C$1:$AZ$1=W$64,$C$3:$AZ$52)))</f>
        <v>1086.086</v>
      </c>
      <c r="X73" cm="1">
        <f t="array" ref="X73">SUMPRODUCT(IF($A$3:$A$52=$B73,IF($C$1:$AZ$1=X$64,$C$3:$AZ$52)))</f>
        <v>1628.998</v>
      </c>
      <c r="Y73" cm="1">
        <f t="array" ref="Y73">SUMPRODUCT(IF($A$3:$A$52=$B73,IF($C$1:$AZ$1=Y$64,$C$3:$AZ$52)))</f>
        <v>435.09</v>
      </c>
      <c r="Z73" cm="1">
        <f t="array" ref="Z73">SUMPRODUCT(IF($A$3:$A$52=$B73,IF($C$1:$AZ$1=Z$64,$C$3:$AZ$52)))</f>
        <v>1772.799</v>
      </c>
      <c r="AA73" cm="1">
        <f t="array" ref="AA73">SUMPRODUCT(IF($A$3:$A$52=$B73,IF($C$1:$AZ$1=AA$64,$C$3:$AZ$52)))</f>
        <v>338.53300000000002</v>
      </c>
      <c r="AB73" cm="1">
        <f t="array" ref="AB73">SUMPRODUCT(IF($A$3:$A$52=$B73,IF($C$1:$AZ$1=AB$64,$C$3:$AZ$52)))</f>
        <v>0</v>
      </c>
      <c r="AC73" cm="1">
        <f t="array" ref="AC73">SUMPRODUCT(IF($A$3:$A$52=$B73,IF($C$1:$AZ$1=AC$64,$C$3:$AZ$52)))</f>
        <v>261.24799999999999</v>
      </c>
      <c r="AD73" cm="1">
        <f t="array" ref="AD73">SUMPRODUCT(IF($A$3:$A$52=$B73,IF($C$1:$AZ$1=AD$64,$C$3:$AZ$52)))</f>
        <v>2434.654</v>
      </c>
      <c r="AE73" cm="1">
        <f t="array" ref="AE73">SUMPRODUCT(IF($A$3:$A$52=$B73,IF($C$1:$AZ$1=AE$64,$C$3:$AZ$52)))</f>
        <v>21436.153999999999</v>
      </c>
      <c r="AF73" cm="1">
        <f t="array" ref="AF73">SUMPRODUCT(IF($A$3:$A$52=$B73,IF($C$1:$AZ$1=AF$64,$C$3:$AZ$52)))</f>
        <v>2150.7829999999999</v>
      </c>
      <c r="AG73" cm="1">
        <f t="array" ref="AG73">SUMPRODUCT(IF($A$3:$A$52=$B73,IF($C$1:$AZ$1=AG$64,$C$3:$AZ$52)))</f>
        <v>4624.9979999999996</v>
      </c>
      <c r="AH73" cm="1">
        <f t="array" ref="AH73">SUMPRODUCT(IF($A$3:$A$52=$B73,IF($C$1:$AZ$1=AH$64,$C$3:$AZ$52)))</f>
        <v>26113.503000000001</v>
      </c>
      <c r="AI73" cm="1">
        <f t="array" ref="AI73">SUMPRODUCT(IF($A$3:$A$52=$B73,IF($C$1:$AZ$1=AI$64,$C$3:$AZ$52)))</f>
        <v>1820.5029999999999</v>
      </c>
      <c r="AJ73" cm="1">
        <f t="array" ref="AJ73">SUMPRODUCT(IF($A$3:$A$52=$B73,IF($C$1:$AZ$1=AJ$64,$C$3:$AZ$52)))</f>
        <v>4495.7820000000002</v>
      </c>
      <c r="AK73" cm="1">
        <f t="array" ref="AK73">SUMPRODUCT(IF($A$3:$A$52=$B73,IF($C$1:$AZ$1=AK$64,$C$3:$AZ$52)))</f>
        <v>10753.951999999999</v>
      </c>
      <c r="AL73" cm="1">
        <f t="array" ref="AL73">SUMPRODUCT(IF($A$3:$A$52=$B73,IF($C$1:$AZ$1=AL$64,$C$3:$AZ$52)))</f>
        <v>3422.1219999999998</v>
      </c>
      <c r="AM73" cm="1">
        <f t="array" ref="AM73">SUMPRODUCT(IF($A$3:$A$52=$B73,IF($C$1:$AZ$1=AM$64,$C$3:$AZ$52)))</f>
        <v>22674.546000000002</v>
      </c>
      <c r="AN73" cm="1">
        <f t="array" ref="AN73">SUMPRODUCT(IF($A$3:$A$52=$B73,IF($C$1:$AZ$1=AN$64,$C$3:$AZ$52)))</f>
        <v>19370.123</v>
      </c>
      <c r="AO73" cm="1">
        <f t="array" ref="AO73">SUMPRODUCT(IF($A$3:$A$52=$B73,IF($C$1:$AZ$1=AO$64,$C$3:$AZ$52)))</f>
        <v>12128.673000000001</v>
      </c>
      <c r="AP73" cm="1">
        <f t="array" ref="AP73">SUMPRODUCT(IF($A$3:$A$52=$B73,IF($C$1:$AZ$1=AP$64,$C$3:$AZ$52)))</f>
        <v>11480.726000000001</v>
      </c>
      <c r="AQ73" cm="1">
        <f t="array" ref="AQ73">SUMPRODUCT(IF($A$3:$A$52=$B73,IF($C$1:$AZ$1=AQ$64,$C$3:$AZ$52)))</f>
        <v>5424.6959999999999</v>
      </c>
      <c r="AR73" cm="1">
        <f t="array" ref="AR73">SUMPRODUCT(IF($A$3:$A$52=$B73,IF($C$1:$AZ$1=AR$64,$C$3:$AZ$52)))</f>
        <v>0</v>
      </c>
    </row>
    <row r="74" spans="2:44" x14ac:dyDescent="0.25">
      <c r="B74" t="s">
        <v>11</v>
      </c>
      <c r="C74" cm="1">
        <f t="array" ref="C74">SUMPRODUCT(IF($A$3:$A$52=$B74,IF($C$1:$AZ$1=C$64,$C$3:$AZ$52)))</f>
        <v>20399.408000000003</v>
      </c>
      <c r="D74" cm="1">
        <f t="array" ref="D74">SUMPRODUCT(IF($A$3:$A$52=$B74,IF($C$1:$AZ$1=D$64,$C$3:$AZ$52)))</f>
        <v>1003.4690000000001</v>
      </c>
      <c r="E74" cm="1">
        <f t="array" ref="E74">SUMPRODUCT(IF($A$3:$A$52=$B74,IF($C$1:$AZ$1=E$64,$C$3:$AZ$52)))</f>
        <v>14180.75</v>
      </c>
      <c r="F74" cm="1">
        <f t="array" ref="F74">SUMPRODUCT(IF($A$3:$A$52=$B74,IF($C$1:$AZ$1=F$64,$C$3:$AZ$52)))</f>
        <v>3392.0230000000001</v>
      </c>
      <c r="G74" cm="1">
        <f t="array" ref="G74">SUMPRODUCT(IF($A$3:$A$52=$B74,IF($C$1:$AZ$1=G$64,$C$3:$AZ$52)))</f>
        <v>982.89099999999996</v>
      </c>
      <c r="H74" cm="1">
        <f t="array" ref="H74">SUMPRODUCT(IF($A$3:$A$52=$B74,IF($C$1:$AZ$1=H$64,$C$3:$AZ$52)))</f>
        <v>12056.271000000001</v>
      </c>
      <c r="I74" cm="1">
        <f t="array" ref="I74">SUMPRODUCT(IF($A$3:$A$52=$B74,IF($C$1:$AZ$1=I$64,$C$3:$AZ$52)))</f>
        <v>800.58299999999997</v>
      </c>
      <c r="J74" cm="1">
        <f t="array" ref="J74">SUMPRODUCT(IF($A$3:$A$52=$B74,IF($C$1:$AZ$1=J$64,$C$3:$AZ$52)))</f>
        <v>2071.0880000000002</v>
      </c>
      <c r="K74" cm="1">
        <f t="array" ref="K74">SUMPRODUCT(IF($A$3:$A$52=$B74,IF($C$1:$AZ$1=K$64,$C$3:$AZ$52)))</f>
        <v>3917.3719999999998</v>
      </c>
      <c r="L74" cm="1">
        <f t="array" ref="L74">SUMPRODUCT(IF($A$3:$A$52=$B74,IF($C$1:$AZ$1=L$64,$C$3:$AZ$52)))</f>
        <v>50623.341</v>
      </c>
      <c r="M74" cm="1">
        <f t="array" ref="M74">SUMPRODUCT(IF($A$3:$A$52=$B74,IF($C$1:$AZ$1=M$64,$C$3:$AZ$52)))</f>
        <v>33416.160000000003</v>
      </c>
      <c r="N74" cm="1">
        <f t="array" ref="N74">SUMPRODUCT(IF($A$3:$A$52=$B74,IF($C$1:$AZ$1=N$64,$C$3:$AZ$52)))</f>
        <v>2196.087</v>
      </c>
      <c r="O74" cm="1">
        <f t="array" ref="O74">SUMPRODUCT(IF($A$3:$A$52=$B74,IF($C$1:$AZ$1=O$64,$C$3:$AZ$52)))</f>
        <v>5031.45</v>
      </c>
      <c r="P74" cm="1">
        <f t="array" ref="P74">SUMPRODUCT(IF($A$3:$A$52=$B74,IF($C$1:$AZ$1=P$64,$C$3:$AZ$52)))</f>
        <v>4540.25</v>
      </c>
      <c r="Q74" cm="1">
        <f t="array" ref="Q74">SUMPRODUCT(IF($A$3:$A$52=$B74,IF($C$1:$AZ$1=Q$64,$C$3:$AZ$52)))</f>
        <v>0</v>
      </c>
      <c r="R74" cm="1">
        <f t="array" ref="R74">SUMPRODUCT(IF($A$3:$A$52=$B74,IF($C$1:$AZ$1=R$64,$C$3:$AZ$52)))</f>
        <v>5811.7830000000004</v>
      </c>
      <c r="S74" cm="1">
        <f t="array" ref="S74">SUMPRODUCT(IF($A$3:$A$52=$B74,IF($C$1:$AZ$1=S$64,$C$3:$AZ$52)))</f>
        <v>1555.2909999999999</v>
      </c>
      <c r="T74" cm="1">
        <f t="array" ref="T74">SUMPRODUCT(IF($A$3:$A$52=$B74,IF($C$1:$AZ$1=T$64,$C$3:$AZ$52)))</f>
        <v>2732.0569999999998</v>
      </c>
      <c r="U74" cm="1">
        <f t="array" ref="U74">SUMPRODUCT(IF($A$3:$A$52=$B74,IF($C$1:$AZ$1=U$64,$C$3:$AZ$52)))</f>
        <v>547.27599999999995</v>
      </c>
      <c r="V74" cm="1">
        <f t="array" ref="V74">SUMPRODUCT(IF($A$3:$A$52=$B74,IF($C$1:$AZ$1=V$64,$C$3:$AZ$52)))</f>
        <v>1067.2460000000001</v>
      </c>
      <c r="W74" cm="1">
        <f t="array" ref="W74">SUMPRODUCT(IF($A$3:$A$52=$B74,IF($C$1:$AZ$1=W$64,$C$3:$AZ$52)))</f>
        <v>1951.0409999999999</v>
      </c>
      <c r="X74" cm="1">
        <f t="array" ref="X74">SUMPRODUCT(IF($A$3:$A$52=$B74,IF($C$1:$AZ$1=X$64,$C$3:$AZ$52)))</f>
        <v>5691.009</v>
      </c>
      <c r="Y74" cm="1">
        <f t="array" ref="Y74">SUMPRODUCT(IF($A$3:$A$52=$B74,IF($C$1:$AZ$1=Y$64,$C$3:$AZ$52)))</f>
        <v>1062.8440000000001</v>
      </c>
      <c r="Z74" cm="1">
        <f t="array" ref="Z74">SUMPRODUCT(IF($A$3:$A$52=$B74,IF($C$1:$AZ$1=Z$64,$C$3:$AZ$52)))</f>
        <v>2395.1489999999999</v>
      </c>
      <c r="AA74" cm="1">
        <f t="array" ref="AA74">SUMPRODUCT(IF($A$3:$A$52=$B74,IF($C$1:$AZ$1=AA$64,$C$3:$AZ$52)))</f>
        <v>18336.156999999999</v>
      </c>
      <c r="AB74" cm="1">
        <f t="array" ref="AB74">SUMPRODUCT(IF($A$3:$A$52=$B74,IF($C$1:$AZ$1=AB$64,$C$3:$AZ$52)))</f>
        <v>0</v>
      </c>
      <c r="AC74" cm="1">
        <f t="array" ref="AC74">SUMPRODUCT(IF($A$3:$A$52=$B74,IF($C$1:$AZ$1=AC$64,$C$3:$AZ$52)))</f>
        <v>3791.7220000000002</v>
      </c>
      <c r="AD74" cm="1">
        <f t="array" ref="AD74">SUMPRODUCT(IF($A$3:$A$52=$B74,IF($C$1:$AZ$1=AD$64,$C$3:$AZ$52)))</f>
        <v>24550.46</v>
      </c>
      <c r="AE74" cm="1">
        <f t="array" ref="AE74">SUMPRODUCT(IF($A$3:$A$52=$B74,IF($C$1:$AZ$1=AE$64,$C$3:$AZ$52)))</f>
        <v>70445.985000000001</v>
      </c>
      <c r="AF74" cm="1">
        <f t="array" ref="AF74">SUMPRODUCT(IF($A$3:$A$52=$B74,IF($C$1:$AZ$1=AF$64,$C$3:$AZ$52)))</f>
        <v>150151.054</v>
      </c>
      <c r="AG74" cm="1">
        <f t="array" ref="AG74">SUMPRODUCT(IF($A$3:$A$52=$B74,IF($C$1:$AZ$1=AG$64,$C$3:$AZ$52)))</f>
        <v>10769.028</v>
      </c>
      <c r="AH74" cm="1">
        <f t="array" ref="AH74">SUMPRODUCT(IF($A$3:$A$52=$B74,IF($C$1:$AZ$1=AH$64,$C$3:$AZ$52)))</f>
        <v>2880.0329999999999</v>
      </c>
      <c r="AI74" cm="1">
        <f t="array" ref="AI74">SUMPRODUCT(IF($A$3:$A$52=$B74,IF($C$1:$AZ$1=AI$64,$C$3:$AZ$52)))</f>
        <v>2887.3229999999999</v>
      </c>
      <c r="AJ74" cm="1">
        <f t="array" ref="AJ74">SUMPRODUCT(IF($A$3:$A$52=$B74,IF($C$1:$AZ$1=AJ$64,$C$3:$AZ$52)))</f>
        <v>3566.6750000000002</v>
      </c>
      <c r="AK74" cm="1">
        <f t="array" ref="AK74">SUMPRODUCT(IF($A$3:$A$52=$B74,IF($C$1:$AZ$1=AK$64,$C$3:$AZ$52)))</f>
        <v>10978.578</v>
      </c>
      <c r="AL74" cm="1">
        <f t="array" ref="AL74">SUMPRODUCT(IF($A$3:$A$52=$B74,IF($C$1:$AZ$1=AL$64,$C$3:$AZ$52)))</f>
        <v>9663.7749999999996</v>
      </c>
      <c r="AM74" cm="1">
        <f t="array" ref="AM74">SUMPRODUCT(IF($A$3:$A$52=$B74,IF($C$1:$AZ$1=AM$64,$C$3:$AZ$52)))</f>
        <v>33654.184000000001</v>
      </c>
      <c r="AN74" cm="1">
        <f t="array" ref="AN74">SUMPRODUCT(IF($A$3:$A$52=$B74,IF($C$1:$AZ$1=AN$64,$C$3:$AZ$52)))</f>
        <v>52970.665000000001</v>
      </c>
      <c r="AO74" cm="1">
        <f t="array" ref="AO74">SUMPRODUCT(IF($A$3:$A$52=$B74,IF($C$1:$AZ$1=AO$64,$C$3:$AZ$52)))</f>
        <v>9819.3860000000004</v>
      </c>
      <c r="AP74" cm="1">
        <f t="array" ref="AP74">SUMPRODUCT(IF($A$3:$A$52=$B74,IF($C$1:$AZ$1=AP$64,$C$3:$AZ$52)))</f>
        <v>20134.588</v>
      </c>
      <c r="AQ74" cm="1">
        <f t="array" ref="AQ74">SUMPRODUCT(IF($A$3:$A$52=$B74,IF($C$1:$AZ$1=AQ$64,$C$3:$AZ$52)))</f>
        <v>9610.1440000000002</v>
      </c>
      <c r="AR74" cm="1">
        <f t="array" ref="AR74">SUMPRODUCT(IF($A$3:$A$52=$B74,IF($C$1:$AZ$1=AR$64,$C$3:$AZ$52)))</f>
        <v>0</v>
      </c>
    </row>
    <row r="75" spans="2:44" x14ac:dyDescent="0.25">
      <c r="B75" t="s">
        <v>59</v>
      </c>
      <c r="C75" cm="1">
        <f t="array" ref="C75">SUMPRODUCT(IF($A$3:$A$52=$B75,IF($C$1:$AZ$1=C$64,$C$3:$AZ$52)))</f>
        <v>41240.368999999992</v>
      </c>
      <c r="D75" cm="1">
        <f t="array" ref="D75">SUMPRODUCT(IF($A$3:$A$52=$B75,IF($C$1:$AZ$1=D$64,$C$3:$AZ$52)))</f>
        <v>438.07100000000003</v>
      </c>
      <c r="E75" cm="1">
        <f t="array" ref="E75">SUMPRODUCT(IF($A$3:$A$52=$B75,IF($C$1:$AZ$1=E$64,$C$3:$AZ$52)))</f>
        <v>5444.4970000000003</v>
      </c>
      <c r="F75" cm="1">
        <f t="array" ref="F75">SUMPRODUCT(IF($A$3:$A$52=$B75,IF($C$1:$AZ$1=F$64,$C$3:$AZ$52)))</f>
        <v>1651.6</v>
      </c>
      <c r="G75" cm="1">
        <f t="array" ref="G75">SUMPRODUCT(IF($A$3:$A$52=$B75,IF($C$1:$AZ$1=G$64,$C$3:$AZ$52)))</f>
        <v>313.68700000000001</v>
      </c>
      <c r="H75" cm="1">
        <f t="array" ref="H75">SUMPRODUCT(IF($A$3:$A$52=$B75,IF($C$1:$AZ$1=H$64,$C$3:$AZ$52)))</f>
        <v>14636.553</v>
      </c>
      <c r="I75" cm="1">
        <f t="array" ref="I75">SUMPRODUCT(IF($A$3:$A$52=$B75,IF($C$1:$AZ$1=I$64,$C$3:$AZ$52)))</f>
        <v>6038.723</v>
      </c>
      <c r="J75" cm="1">
        <f t="array" ref="J75">SUMPRODUCT(IF($A$3:$A$52=$B75,IF($C$1:$AZ$1=J$64,$C$3:$AZ$52)))</f>
        <v>4306.1729999999998</v>
      </c>
      <c r="K75" cm="1">
        <f t="array" ref="K75">SUMPRODUCT(IF($A$3:$A$52=$B75,IF($C$1:$AZ$1=K$64,$C$3:$AZ$52)))</f>
        <v>14427.173000000001</v>
      </c>
      <c r="L75" cm="1">
        <f t="array" ref="L75">SUMPRODUCT(IF($A$3:$A$52=$B75,IF($C$1:$AZ$1=L$64,$C$3:$AZ$52)))</f>
        <v>9899.5679999999993</v>
      </c>
      <c r="M75" cm="1">
        <f t="array" ref="M75">SUMPRODUCT(IF($A$3:$A$52=$B75,IF($C$1:$AZ$1=M$64,$C$3:$AZ$52)))</f>
        <v>108012.79700000001</v>
      </c>
      <c r="N75" cm="1">
        <f t="array" ref="N75">SUMPRODUCT(IF($A$3:$A$52=$B75,IF($C$1:$AZ$1=N$64,$C$3:$AZ$52)))</f>
        <v>16207.235000000001</v>
      </c>
      <c r="O75" cm="1">
        <f t="array" ref="O75">SUMPRODUCT(IF($A$3:$A$52=$B75,IF($C$1:$AZ$1=O$64,$C$3:$AZ$52)))</f>
        <v>60101.81</v>
      </c>
      <c r="P75" cm="1">
        <f t="array" ref="P75">SUMPRODUCT(IF($A$3:$A$52=$B75,IF($C$1:$AZ$1=P$64,$C$3:$AZ$52)))</f>
        <v>5944.5010000000002</v>
      </c>
      <c r="Q75" cm="1">
        <f t="array" ref="Q75">SUMPRODUCT(IF($A$3:$A$52=$B75,IF($C$1:$AZ$1=Q$64,$C$3:$AZ$52)))</f>
        <v>0</v>
      </c>
      <c r="R75" cm="1">
        <f t="array" ref="R75">SUMPRODUCT(IF($A$3:$A$52=$B75,IF($C$1:$AZ$1=R$64,$C$3:$AZ$52)))</f>
        <v>1896.454</v>
      </c>
      <c r="S75" cm="1">
        <f t="array" ref="S75">SUMPRODUCT(IF($A$3:$A$52=$B75,IF($C$1:$AZ$1=S$64,$C$3:$AZ$52)))</f>
        <v>1689.857</v>
      </c>
      <c r="T75" cm="1">
        <f t="array" ref="T75">SUMPRODUCT(IF($A$3:$A$52=$B75,IF($C$1:$AZ$1=T$64,$C$3:$AZ$52)))</f>
        <v>5400.3530000000001</v>
      </c>
      <c r="U75" cm="1">
        <f t="array" ref="U75">SUMPRODUCT(IF($A$3:$A$52=$B75,IF($C$1:$AZ$1=U$64,$C$3:$AZ$52)))</f>
        <v>2889.1080000000002</v>
      </c>
      <c r="V75" cm="1">
        <f t="array" ref="V75">SUMPRODUCT(IF($A$3:$A$52=$B75,IF($C$1:$AZ$1=V$64,$C$3:$AZ$52)))</f>
        <v>2413.6909999999998</v>
      </c>
      <c r="W75" cm="1">
        <f t="array" ref="W75">SUMPRODUCT(IF($A$3:$A$52=$B75,IF($C$1:$AZ$1=W$64,$C$3:$AZ$52)))</f>
        <v>3762.8670000000002</v>
      </c>
      <c r="X75" cm="1">
        <f t="array" ref="X75">SUMPRODUCT(IF($A$3:$A$52=$B75,IF($C$1:$AZ$1=X$64,$C$3:$AZ$52)))</f>
        <v>11824.421</v>
      </c>
      <c r="Y75" cm="1">
        <f t="array" ref="Y75">SUMPRODUCT(IF($A$3:$A$52=$B75,IF($C$1:$AZ$1=Y$64,$C$3:$AZ$52)))</f>
        <v>2184.125</v>
      </c>
      <c r="Z75" cm="1">
        <f t="array" ref="Z75">SUMPRODUCT(IF($A$3:$A$52=$B75,IF($C$1:$AZ$1=Z$64,$C$3:$AZ$52)))</f>
        <v>7251.3090000000002</v>
      </c>
      <c r="AA75" cm="1">
        <f t="array" ref="AA75">SUMPRODUCT(IF($A$3:$A$52=$B75,IF($C$1:$AZ$1=AA$64,$C$3:$AZ$52)))</f>
        <v>1251.327</v>
      </c>
      <c r="AB75" cm="1">
        <f t="array" ref="AB75">SUMPRODUCT(IF($A$3:$A$52=$B75,IF($C$1:$AZ$1=AB$64,$C$3:$AZ$52)))</f>
        <v>0</v>
      </c>
      <c r="AC75" cm="1">
        <f t="array" ref="AC75">SUMPRODUCT(IF($A$3:$A$52=$B75,IF($C$1:$AZ$1=AC$64,$C$3:$AZ$52)))</f>
        <v>2269.4839999999999</v>
      </c>
      <c r="AD75" cm="1">
        <f t="array" ref="AD75">SUMPRODUCT(IF($A$3:$A$52=$B75,IF($C$1:$AZ$1=AD$64,$C$3:$AZ$52)))</f>
        <v>16103.591</v>
      </c>
      <c r="AE75" cm="1">
        <f t="array" ref="AE75">SUMPRODUCT(IF($A$3:$A$52=$B75,IF($C$1:$AZ$1=AE$64,$C$3:$AZ$52)))</f>
        <v>12992.512000000001</v>
      </c>
      <c r="AF75" cm="1">
        <f t="array" ref="AF75">SUMPRODUCT(IF($A$3:$A$52=$B75,IF($C$1:$AZ$1=AF$64,$C$3:$AZ$52)))</f>
        <v>5362.5859999999993</v>
      </c>
      <c r="AG75" cm="1">
        <f t="array" ref="AG75">SUMPRODUCT(IF($A$3:$A$52=$B75,IF($C$1:$AZ$1=AG$64,$C$3:$AZ$52)))</f>
        <v>7424.7719999999999</v>
      </c>
      <c r="AH75" cm="1">
        <f t="array" ref="AH75">SUMPRODUCT(IF($A$3:$A$52=$B75,IF($C$1:$AZ$1=AH$64,$C$3:$AZ$52)))</f>
        <v>4124.9070000000002</v>
      </c>
      <c r="AI75" cm="1">
        <f t="array" ref="AI75">SUMPRODUCT(IF($A$3:$A$52=$B75,IF($C$1:$AZ$1=AI$64,$C$3:$AZ$52)))</f>
        <v>312.66300000000001</v>
      </c>
      <c r="AJ75" cm="1">
        <f t="array" ref="AJ75">SUMPRODUCT(IF($A$3:$A$52=$B75,IF($C$1:$AZ$1=AJ$64,$C$3:$AZ$52)))</f>
        <v>1323.1279999999999</v>
      </c>
      <c r="AK75" cm="1">
        <f t="array" ref="AK75">SUMPRODUCT(IF($A$3:$A$52=$B75,IF($C$1:$AZ$1=AK$64,$C$3:$AZ$52)))</f>
        <v>1198.396</v>
      </c>
      <c r="AL75" cm="1">
        <f t="array" ref="AL75">SUMPRODUCT(IF($A$3:$A$52=$B75,IF($C$1:$AZ$1=AL$64,$C$3:$AZ$52)))</f>
        <v>8926.7330000000002</v>
      </c>
      <c r="AM75" cm="1">
        <f t="array" ref="AM75">SUMPRODUCT(IF($A$3:$A$52=$B75,IF($C$1:$AZ$1=AM$64,$C$3:$AZ$52)))</f>
        <v>22407.277000000002</v>
      </c>
      <c r="AN75" cm="1">
        <f t="array" ref="AN75">SUMPRODUCT(IF($A$3:$A$52=$B75,IF($C$1:$AZ$1=AN$64,$C$3:$AZ$52)))</f>
        <v>8061.4880000000003</v>
      </c>
      <c r="AO75" cm="1">
        <f t="array" ref="AO75">SUMPRODUCT(IF($A$3:$A$52=$B75,IF($C$1:$AZ$1=AO$64,$C$3:$AZ$52)))</f>
        <v>5205.3059999999996</v>
      </c>
      <c r="AP75" cm="1">
        <f t="array" ref="AP75">SUMPRODUCT(IF($A$3:$A$52=$B75,IF($C$1:$AZ$1=AP$64,$C$3:$AZ$52)))</f>
        <v>32254.053</v>
      </c>
      <c r="AQ75" cm="1">
        <f t="array" ref="AQ75">SUMPRODUCT(IF($A$3:$A$52=$B75,IF($C$1:$AZ$1=AQ$64,$C$3:$AZ$52)))</f>
        <v>9938.08</v>
      </c>
      <c r="AR75" cm="1">
        <f t="array" ref="AR75">SUMPRODUCT(IF($A$3:$A$52=$B75,IF($C$1:$AZ$1=AR$64,$C$3:$AZ$52)))</f>
        <v>0</v>
      </c>
    </row>
    <row r="76" spans="2:44" x14ac:dyDescent="0.25">
      <c r="B76" t="s">
        <v>60</v>
      </c>
      <c r="C76" cm="1">
        <f t="array" ref="C76">SUMPRODUCT(IF($A$3:$A$52=$B76,IF($C$1:$AZ$1=C$64,$C$3:$AZ$52)))</f>
        <v>2740.6619999999998</v>
      </c>
      <c r="D76" cm="1">
        <f t="array" ref="D76">SUMPRODUCT(IF($A$3:$A$52=$B76,IF($C$1:$AZ$1=D$64,$C$3:$AZ$52)))</f>
        <v>30.817</v>
      </c>
      <c r="E76" cm="1">
        <f t="array" ref="E76">SUMPRODUCT(IF($A$3:$A$52=$B76,IF($C$1:$AZ$1=E$64,$C$3:$AZ$52)))</f>
        <v>439.21199999999999</v>
      </c>
      <c r="F76" cm="1">
        <f t="array" ref="F76">SUMPRODUCT(IF($A$3:$A$52=$B76,IF($C$1:$AZ$1=F$64,$C$3:$AZ$52)))</f>
        <v>102.70099999999999</v>
      </c>
      <c r="G76" cm="1">
        <f t="array" ref="G76">SUMPRODUCT(IF($A$3:$A$52=$B76,IF($C$1:$AZ$1=G$64,$C$3:$AZ$52)))</f>
        <v>22.34</v>
      </c>
      <c r="H76" cm="1">
        <f t="array" ref="H76">SUMPRODUCT(IF($A$3:$A$52=$B76,IF($C$1:$AZ$1=H$64,$C$3:$AZ$52)))</f>
        <v>1702.7460000000001</v>
      </c>
      <c r="I76" cm="1">
        <f t="array" ref="I76">SUMPRODUCT(IF($A$3:$A$52=$B76,IF($C$1:$AZ$1=I$64,$C$3:$AZ$52)))</f>
        <v>295.95499999999998</v>
      </c>
      <c r="J76" cm="1">
        <f t="array" ref="J76">SUMPRODUCT(IF($A$3:$A$52=$B76,IF($C$1:$AZ$1=J$64,$C$3:$AZ$52)))</f>
        <v>271.363</v>
      </c>
      <c r="K76" cm="1">
        <f t="array" ref="K76">SUMPRODUCT(IF($A$3:$A$52=$B76,IF($C$1:$AZ$1=K$64,$C$3:$AZ$52)))</f>
        <v>749.38699999999994</v>
      </c>
      <c r="L76" cm="1">
        <f t="array" ref="L76">SUMPRODUCT(IF($A$3:$A$52=$B76,IF($C$1:$AZ$1=L$64,$C$3:$AZ$52)))</f>
        <v>553.18700000000001</v>
      </c>
      <c r="M76" cm="1">
        <f t="array" ref="M76">SUMPRODUCT(IF($A$3:$A$52=$B76,IF($C$1:$AZ$1=M$64,$C$3:$AZ$52)))</f>
        <v>4891.8580000000002</v>
      </c>
      <c r="N76" cm="1">
        <f t="array" ref="N76">SUMPRODUCT(IF($A$3:$A$52=$B76,IF($C$1:$AZ$1=N$64,$C$3:$AZ$52)))</f>
        <v>10582.433000000001</v>
      </c>
      <c r="O76" cm="1">
        <f t="array" ref="O76">SUMPRODUCT(IF($A$3:$A$52=$B76,IF($C$1:$AZ$1=O$64,$C$3:$AZ$52)))</f>
        <v>2659.7950000000001</v>
      </c>
      <c r="P76" cm="1">
        <f t="array" ref="P76">SUMPRODUCT(IF($A$3:$A$52=$B76,IF($C$1:$AZ$1=P$64,$C$3:$AZ$52)))</f>
        <v>331.46100000000001</v>
      </c>
      <c r="Q76" cm="1">
        <f t="array" ref="Q76">SUMPRODUCT(IF($A$3:$A$52=$B76,IF($C$1:$AZ$1=Q$64,$C$3:$AZ$52)))</f>
        <v>0</v>
      </c>
      <c r="R76" cm="1">
        <f t="array" ref="R76">SUMPRODUCT(IF($A$3:$A$52=$B76,IF($C$1:$AZ$1=R$64,$C$3:$AZ$52)))</f>
        <v>184.33699999999999</v>
      </c>
      <c r="S76" cm="1">
        <f t="array" ref="S76">SUMPRODUCT(IF($A$3:$A$52=$B76,IF($C$1:$AZ$1=S$64,$C$3:$AZ$52)))</f>
        <v>115.992</v>
      </c>
      <c r="T76" cm="1">
        <f t="array" ref="T76">SUMPRODUCT(IF($A$3:$A$52=$B76,IF($C$1:$AZ$1=T$64,$C$3:$AZ$52)))</f>
        <v>435.27699999999999</v>
      </c>
      <c r="U76" cm="1">
        <f t="array" ref="U76">SUMPRODUCT(IF($A$3:$A$52=$B76,IF($C$1:$AZ$1=U$64,$C$3:$AZ$52)))</f>
        <v>316.98700000000002</v>
      </c>
      <c r="V76" cm="1">
        <f t="array" ref="V76">SUMPRODUCT(IF($A$3:$A$52=$B76,IF($C$1:$AZ$1=V$64,$C$3:$AZ$52)))</f>
        <v>168.10300000000001</v>
      </c>
      <c r="W76" cm="1">
        <f t="array" ref="W76">SUMPRODUCT(IF($A$3:$A$52=$B76,IF($C$1:$AZ$1=W$64,$C$3:$AZ$52)))</f>
        <v>433.17700000000002</v>
      </c>
      <c r="X76" cm="1">
        <f t="array" ref="X76">SUMPRODUCT(IF($A$3:$A$52=$B76,IF($C$1:$AZ$1=X$64,$C$3:$AZ$52)))</f>
        <v>855.31600000000003</v>
      </c>
      <c r="Y76" cm="1">
        <f t="array" ref="Y76">SUMPRODUCT(IF($A$3:$A$52=$B76,IF($C$1:$AZ$1=Y$64,$C$3:$AZ$52)))</f>
        <v>281.07499999999999</v>
      </c>
      <c r="Z76" cm="1">
        <f t="array" ref="Z76">SUMPRODUCT(IF($A$3:$A$52=$B76,IF($C$1:$AZ$1=Z$64,$C$3:$AZ$52)))</f>
        <v>478.899</v>
      </c>
      <c r="AA76" cm="1">
        <f t="array" ref="AA76">SUMPRODUCT(IF($A$3:$A$52=$B76,IF($C$1:$AZ$1=AA$64,$C$3:$AZ$52)))</f>
        <v>136.95699999999999</v>
      </c>
      <c r="AB76" cm="1">
        <f t="array" ref="AB76">SUMPRODUCT(IF($A$3:$A$52=$B76,IF($C$1:$AZ$1=AB$64,$C$3:$AZ$52)))</f>
        <v>0</v>
      </c>
      <c r="AC76" cm="1">
        <f t="array" ref="AC76">SUMPRODUCT(IF($A$3:$A$52=$B76,IF($C$1:$AZ$1=AC$64,$C$3:$AZ$52)))</f>
        <v>159.08699999999999</v>
      </c>
      <c r="AD76" cm="1">
        <f t="array" ref="AD76">SUMPRODUCT(IF($A$3:$A$52=$B76,IF($C$1:$AZ$1=AD$64,$C$3:$AZ$52)))</f>
        <v>1413.297</v>
      </c>
      <c r="AE76" cm="1">
        <f t="array" ref="AE76">SUMPRODUCT(IF($A$3:$A$52=$B76,IF($C$1:$AZ$1=AE$64,$C$3:$AZ$52)))</f>
        <v>1952.7270000000001</v>
      </c>
      <c r="AF76" cm="1">
        <f t="array" ref="AF76">SUMPRODUCT(IF($A$3:$A$52=$B76,IF($C$1:$AZ$1=AF$64,$C$3:$AZ$52)))</f>
        <v>521.33699999999999</v>
      </c>
      <c r="AG76" cm="1">
        <f t="array" ref="AG76">SUMPRODUCT(IF($A$3:$A$52=$B76,IF($C$1:$AZ$1=AG$64,$C$3:$AZ$52)))</f>
        <v>616.16399999999999</v>
      </c>
      <c r="AH76" cm="1">
        <f t="array" ref="AH76">SUMPRODUCT(IF($A$3:$A$52=$B76,IF($C$1:$AZ$1=AH$64,$C$3:$AZ$52)))</f>
        <v>357.34</v>
      </c>
      <c r="AI76" cm="1">
        <f t="array" ref="AI76">SUMPRODUCT(IF($A$3:$A$52=$B76,IF($C$1:$AZ$1=AI$64,$C$3:$AZ$52)))</f>
        <v>169.964</v>
      </c>
      <c r="AJ76" cm="1">
        <f t="array" ref="AJ76">SUMPRODUCT(IF($A$3:$A$52=$B76,IF($C$1:$AZ$1=AJ$64,$C$3:$AZ$52)))</f>
        <v>334.11900000000003</v>
      </c>
      <c r="AK76" cm="1">
        <f t="array" ref="AK76">SUMPRODUCT(IF($A$3:$A$52=$B76,IF($C$1:$AZ$1=AK$64,$C$3:$AZ$52)))</f>
        <v>224.77500000000001</v>
      </c>
      <c r="AL76" cm="1">
        <f t="array" ref="AL76">SUMPRODUCT(IF($A$3:$A$52=$B76,IF($C$1:$AZ$1=AL$64,$C$3:$AZ$52)))</f>
        <v>606.57799999999997</v>
      </c>
      <c r="AM76" cm="1">
        <f t="array" ref="AM76">SUMPRODUCT(IF($A$3:$A$52=$B76,IF($C$1:$AZ$1=AM$64,$C$3:$AZ$52)))</f>
        <v>4511.5990000000002</v>
      </c>
      <c r="AN76" cm="1">
        <f t="array" ref="AN76">SUMPRODUCT(IF($A$3:$A$52=$B76,IF($C$1:$AZ$1=AN$64,$C$3:$AZ$52)))</f>
        <v>3831.3719999999998</v>
      </c>
      <c r="AO76" cm="1">
        <f t="array" ref="AO76">SUMPRODUCT(IF($A$3:$A$52=$B76,IF($C$1:$AZ$1=AO$64,$C$3:$AZ$52)))</f>
        <v>802.14599999999996</v>
      </c>
      <c r="AP76" cm="1">
        <f t="array" ref="AP76">SUMPRODUCT(IF($A$3:$A$52=$B76,IF($C$1:$AZ$1=AP$64,$C$3:$AZ$52)))</f>
        <v>64412.474999999999</v>
      </c>
      <c r="AQ76" cm="1">
        <f t="array" ref="AQ76">SUMPRODUCT(IF($A$3:$A$52=$B76,IF($C$1:$AZ$1=AQ$64,$C$3:$AZ$52)))</f>
        <v>921.11699999999996</v>
      </c>
      <c r="AR76" cm="1">
        <f t="array" ref="AR76">SUMPRODUCT(IF($A$3:$A$52=$B76,IF($C$1:$AZ$1=AR$64,$C$3:$AZ$52)))</f>
        <v>0</v>
      </c>
    </row>
    <row r="77" spans="2:44" x14ac:dyDescent="0.25">
      <c r="B77" t="s">
        <v>12</v>
      </c>
      <c r="C77" cm="1">
        <f t="array" ref="C77">SUMPRODUCT(IF($A$3:$A$52=$B77,IF($C$1:$AZ$1=C$64,$C$3:$AZ$52)))</f>
        <v>4162.7739999999994</v>
      </c>
      <c r="D77" cm="1">
        <f t="array" ref="D77">SUMPRODUCT(IF($A$3:$A$52=$B77,IF($C$1:$AZ$1=D$64,$C$3:$AZ$52)))</f>
        <v>220.71299999999999</v>
      </c>
      <c r="E77" cm="1">
        <f t="array" ref="E77">SUMPRODUCT(IF($A$3:$A$52=$B77,IF($C$1:$AZ$1=E$64,$C$3:$AZ$52)))</f>
        <v>3102.6089999999999</v>
      </c>
      <c r="F77" cm="1">
        <f t="array" ref="F77">SUMPRODUCT(IF($A$3:$A$52=$B77,IF($C$1:$AZ$1=F$64,$C$3:$AZ$52)))</f>
        <v>417.57399999999996</v>
      </c>
      <c r="G77" cm="1">
        <f t="array" ref="G77">SUMPRODUCT(IF($A$3:$A$52=$B77,IF($C$1:$AZ$1=G$64,$C$3:$AZ$52)))</f>
        <v>93.067999999999998</v>
      </c>
      <c r="H77" cm="1">
        <f t="array" ref="H77">SUMPRODUCT(IF($A$3:$A$52=$B77,IF($C$1:$AZ$1=H$64,$C$3:$AZ$52)))</f>
        <v>25704.024000000001</v>
      </c>
      <c r="I77" cm="1">
        <f t="array" ref="I77">SUMPRODUCT(IF($A$3:$A$52=$B77,IF($C$1:$AZ$1=I$64,$C$3:$AZ$52)))</f>
        <v>1433.346</v>
      </c>
      <c r="J77" cm="1">
        <f t="array" ref="J77">SUMPRODUCT(IF($A$3:$A$52=$B77,IF($C$1:$AZ$1=J$64,$C$3:$AZ$52)))</f>
        <v>1463.9690000000001</v>
      </c>
      <c r="K77" cm="1">
        <f t="array" ref="K77">SUMPRODUCT(IF($A$3:$A$52=$B77,IF($C$1:$AZ$1=K$64,$C$3:$AZ$52)))</f>
        <v>5860.5550000000003</v>
      </c>
      <c r="L77" cm="1">
        <f t="array" ref="L77">SUMPRODUCT(IF($A$3:$A$52=$B77,IF($C$1:$AZ$1=L$64,$C$3:$AZ$52)))</f>
        <v>607.71100000000001</v>
      </c>
      <c r="M77" cm="1">
        <f t="array" ref="M77">SUMPRODUCT(IF($A$3:$A$52=$B77,IF($C$1:$AZ$1=M$64,$C$3:$AZ$52)))</f>
        <v>6763.7879999999996</v>
      </c>
      <c r="N77" cm="1">
        <f t="array" ref="N77">SUMPRODUCT(IF($A$3:$A$52=$B77,IF($C$1:$AZ$1=N$64,$C$3:$AZ$52)))</f>
        <v>4573.9849999999997</v>
      </c>
      <c r="O77" cm="1">
        <f t="array" ref="O77">SUMPRODUCT(IF($A$3:$A$52=$B77,IF($C$1:$AZ$1=O$64,$C$3:$AZ$52)))</f>
        <v>33281.432999999997</v>
      </c>
      <c r="P77" cm="1">
        <f t="array" ref="P77">SUMPRODUCT(IF($A$3:$A$52=$B77,IF($C$1:$AZ$1=P$64,$C$3:$AZ$52)))</f>
        <v>1688.232</v>
      </c>
      <c r="Q77" cm="1">
        <f t="array" ref="Q77">SUMPRODUCT(IF($A$3:$A$52=$B77,IF($C$1:$AZ$1=Q$64,$C$3:$AZ$52)))</f>
        <v>0</v>
      </c>
      <c r="R77" cm="1">
        <f t="array" ref="R77">SUMPRODUCT(IF($A$3:$A$52=$B77,IF($C$1:$AZ$1=R$64,$C$3:$AZ$52)))</f>
        <v>405.15899999999999</v>
      </c>
      <c r="S77" cm="1">
        <f t="array" ref="S77">SUMPRODUCT(IF($A$3:$A$52=$B77,IF($C$1:$AZ$1=S$64,$C$3:$AZ$52)))</f>
        <v>561.59100000000001</v>
      </c>
      <c r="T77" cm="1">
        <f t="array" ref="T77">SUMPRODUCT(IF($A$3:$A$52=$B77,IF($C$1:$AZ$1=T$64,$C$3:$AZ$52)))</f>
        <v>4576.0249999999996</v>
      </c>
      <c r="U77" cm="1">
        <f t="array" ref="U77">SUMPRODUCT(IF($A$3:$A$52=$B77,IF($C$1:$AZ$1=U$64,$C$3:$AZ$52)))</f>
        <v>3282.5729999999999</v>
      </c>
      <c r="V77" cm="1">
        <f t="array" ref="V77">SUMPRODUCT(IF($A$3:$A$52=$B77,IF($C$1:$AZ$1=V$64,$C$3:$AZ$52)))</f>
        <v>3501.7979999999998</v>
      </c>
      <c r="W77" cm="1">
        <f t="array" ref="W77">SUMPRODUCT(IF($A$3:$A$52=$B77,IF($C$1:$AZ$1=W$64,$C$3:$AZ$52)))</f>
        <v>7505.95</v>
      </c>
      <c r="X77" cm="1">
        <f t="array" ref="X77">SUMPRODUCT(IF($A$3:$A$52=$B77,IF($C$1:$AZ$1=X$64,$C$3:$AZ$52)))</f>
        <v>32779.131000000001</v>
      </c>
      <c r="Y77" cm="1">
        <f t="array" ref="Y77">SUMPRODUCT(IF($A$3:$A$52=$B77,IF($C$1:$AZ$1=Y$64,$C$3:$AZ$52)))</f>
        <v>4297.2269999999999</v>
      </c>
      <c r="Z77" cm="1">
        <f t="array" ref="Z77">SUMPRODUCT(IF($A$3:$A$52=$B77,IF($C$1:$AZ$1=Z$64,$C$3:$AZ$52)))</f>
        <v>6108.5429999999997</v>
      </c>
      <c r="AA77" cm="1">
        <f t="array" ref="AA77">SUMPRODUCT(IF($A$3:$A$52=$B77,IF($C$1:$AZ$1=AA$64,$C$3:$AZ$52)))</f>
        <v>360.73500000000001</v>
      </c>
      <c r="AB77" cm="1">
        <f t="array" ref="AB77">SUMPRODUCT(IF($A$3:$A$52=$B77,IF($C$1:$AZ$1=AB$64,$C$3:$AZ$52)))</f>
        <v>0</v>
      </c>
      <c r="AC77" cm="1">
        <f t="array" ref="AC77">SUMPRODUCT(IF($A$3:$A$52=$B77,IF($C$1:$AZ$1=AC$64,$C$3:$AZ$52)))</f>
        <v>1202.923</v>
      </c>
      <c r="AD77" cm="1">
        <f t="array" ref="AD77">SUMPRODUCT(IF($A$3:$A$52=$B77,IF($C$1:$AZ$1=AD$64,$C$3:$AZ$52)))</f>
        <v>31786.685000000001</v>
      </c>
      <c r="AE77" cm="1">
        <f t="array" ref="AE77">SUMPRODUCT(IF($A$3:$A$52=$B77,IF($C$1:$AZ$1=AE$64,$C$3:$AZ$52)))</f>
        <v>40855.997000000003</v>
      </c>
      <c r="AF77" cm="1">
        <f t="array" ref="AF77">SUMPRODUCT(IF($A$3:$A$52=$B77,IF($C$1:$AZ$1=AF$64,$C$3:$AZ$52)))</f>
        <v>8102.09</v>
      </c>
      <c r="AG77" cm="1">
        <f t="array" ref="AG77">SUMPRODUCT(IF($A$3:$A$52=$B77,IF($C$1:$AZ$1=AG$64,$C$3:$AZ$52)))</f>
        <v>3902.547</v>
      </c>
      <c r="AH77" cm="1">
        <f t="array" ref="AH77">SUMPRODUCT(IF($A$3:$A$52=$B77,IF($C$1:$AZ$1=AH$64,$C$3:$AZ$52)))</f>
        <v>1559.1990000000001</v>
      </c>
      <c r="AI77" cm="1">
        <f t="array" ref="AI77">SUMPRODUCT(IF($A$3:$A$52=$B77,IF($C$1:$AZ$1=AI$64,$C$3:$AZ$52)))</f>
        <v>660.38900000000001</v>
      </c>
      <c r="AJ77" cm="1">
        <f t="array" ref="AJ77">SUMPRODUCT(IF($A$3:$A$52=$B77,IF($C$1:$AZ$1=AJ$64,$C$3:$AZ$52)))</f>
        <v>575.69500000000005</v>
      </c>
      <c r="AK77" cm="1">
        <f t="array" ref="AK77">SUMPRODUCT(IF($A$3:$A$52=$B77,IF($C$1:$AZ$1=AK$64,$C$3:$AZ$52)))</f>
        <v>1608.9690000000001</v>
      </c>
      <c r="AL77" cm="1">
        <f t="array" ref="AL77">SUMPRODUCT(IF($A$3:$A$52=$B77,IF($C$1:$AZ$1=AL$64,$C$3:$AZ$52)))</f>
        <v>6937.0069999999996</v>
      </c>
      <c r="AM77" cm="1">
        <f t="array" ref="AM77">SUMPRODUCT(IF($A$3:$A$52=$B77,IF($C$1:$AZ$1=AM$64,$C$3:$AZ$52)))</f>
        <v>11640.350999999999</v>
      </c>
      <c r="AN77" cm="1">
        <f t="array" ref="AN77">SUMPRODUCT(IF($A$3:$A$52=$B77,IF($C$1:$AZ$1=AN$64,$C$3:$AZ$52)))</f>
        <v>4727.509</v>
      </c>
      <c r="AO77" cm="1">
        <f t="array" ref="AO77">SUMPRODUCT(IF($A$3:$A$52=$B77,IF($C$1:$AZ$1=AO$64,$C$3:$AZ$52)))</f>
        <v>2602.0300000000002</v>
      </c>
      <c r="AP77" cm="1">
        <f t="array" ref="AP77">SUMPRODUCT(IF($A$3:$A$52=$B77,IF($C$1:$AZ$1=AP$64,$C$3:$AZ$52)))</f>
        <v>8169.0829999999996</v>
      </c>
      <c r="AQ77" cm="1">
        <f t="array" ref="AQ77">SUMPRODUCT(IF($A$3:$A$52=$B77,IF($C$1:$AZ$1=AQ$64,$C$3:$AZ$52)))</f>
        <v>2708.9670000000001</v>
      </c>
      <c r="AR77" cm="1">
        <f t="array" ref="AR77">SUMPRODUCT(IF($A$3:$A$52=$B77,IF($C$1:$AZ$1=AR$64,$C$3:$AZ$52)))</f>
        <v>0</v>
      </c>
    </row>
    <row r="78" spans="2:44" x14ac:dyDescent="0.25">
      <c r="B78" t="s">
        <v>869</v>
      </c>
      <c r="C78" cm="1">
        <f t="array" ref="C78">SUMPRODUCT(IF($A$3:$A$52=$B78,IF($C$1:$AZ$1=C$64,$C$3:$AZ$52)))</f>
        <v>1222.4759999999999</v>
      </c>
      <c r="D78" cm="1">
        <f t="array" ref="D78">SUMPRODUCT(IF($A$3:$A$52=$B78,IF($C$1:$AZ$1=D$64,$C$3:$AZ$52)))</f>
        <v>45.262</v>
      </c>
      <c r="E78" cm="1">
        <f t="array" ref="E78">SUMPRODUCT(IF($A$3:$A$52=$B78,IF($C$1:$AZ$1=E$64,$C$3:$AZ$52)))</f>
        <v>1386.0540000000001</v>
      </c>
      <c r="F78" cm="1">
        <f t="array" ref="F78">SUMPRODUCT(IF($A$3:$A$52=$B78,IF($C$1:$AZ$1=F$64,$C$3:$AZ$52)))</f>
        <v>435.52800000000002</v>
      </c>
      <c r="G78" cm="1">
        <f t="array" ref="G78">SUMPRODUCT(IF($A$3:$A$52=$B78,IF($C$1:$AZ$1=G$64,$C$3:$AZ$52)))</f>
        <v>47.837000000000003</v>
      </c>
      <c r="H78" cm="1">
        <f t="array" ref="H78">SUMPRODUCT(IF($A$3:$A$52=$B78,IF($C$1:$AZ$1=H$64,$C$3:$AZ$52)))</f>
        <v>4499.598</v>
      </c>
      <c r="I78" cm="1">
        <f t="array" ref="I78">SUMPRODUCT(IF($A$3:$A$52=$B78,IF($C$1:$AZ$1=I$64,$C$3:$AZ$52)))</f>
        <v>98.475999999999999</v>
      </c>
      <c r="J78" cm="1">
        <f t="array" ref="J78">SUMPRODUCT(IF($A$3:$A$52=$B78,IF($C$1:$AZ$1=J$64,$C$3:$AZ$52)))</f>
        <v>621.91800000000001</v>
      </c>
      <c r="K78" cm="1">
        <f t="array" ref="K78">SUMPRODUCT(IF($A$3:$A$52=$B78,IF($C$1:$AZ$1=K$64,$C$3:$AZ$52)))</f>
        <v>164.36500000000001</v>
      </c>
      <c r="L78" cm="1">
        <f t="array" ref="L78">SUMPRODUCT(IF($A$3:$A$52=$B78,IF($C$1:$AZ$1=L$64,$C$3:$AZ$52)))</f>
        <v>219.91399999999999</v>
      </c>
      <c r="M78" cm="1">
        <f t="array" ref="M78">SUMPRODUCT(IF($A$3:$A$52=$B78,IF($C$1:$AZ$1=M$64,$C$3:$AZ$52)))</f>
        <v>1269.096</v>
      </c>
      <c r="N78" cm="1">
        <f t="array" ref="N78">SUMPRODUCT(IF($A$3:$A$52=$B78,IF($C$1:$AZ$1=N$64,$C$3:$AZ$52)))</f>
        <v>936.60199999999998</v>
      </c>
      <c r="O78" cm="1">
        <f t="array" ref="O78">SUMPRODUCT(IF($A$3:$A$52=$B78,IF($C$1:$AZ$1=O$64,$C$3:$AZ$52)))</f>
        <v>1500.953</v>
      </c>
      <c r="P78" cm="1">
        <f t="array" ref="P78">SUMPRODUCT(IF($A$3:$A$52=$B78,IF($C$1:$AZ$1=P$64,$C$3:$AZ$52)))</f>
        <v>17029.310000000001</v>
      </c>
      <c r="Q78" cm="1">
        <f t="array" ref="Q78">SUMPRODUCT(IF($A$3:$A$52=$B78,IF($C$1:$AZ$1=Q$64,$C$3:$AZ$52)))</f>
        <v>0</v>
      </c>
      <c r="R78" cm="1">
        <f t="array" ref="R78">SUMPRODUCT(IF($A$3:$A$52=$B78,IF($C$1:$AZ$1=R$64,$C$3:$AZ$52)))</f>
        <v>1423.2719999999999</v>
      </c>
      <c r="S78" cm="1">
        <f t="array" ref="S78">SUMPRODUCT(IF($A$3:$A$52=$B78,IF($C$1:$AZ$1=S$64,$C$3:$AZ$52)))</f>
        <v>433.52499999999998</v>
      </c>
      <c r="T78" cm="1">
        <f t="array" ref="T78">SUMPRODUCT(IF($A$3:$A$52=$B78,IF($C$1:$AZ$1=T$64,$C$3:$AZ$52)))</f>
        <v>1480.0070000000001</v>
      </c>
      <c r="U78" cm="1">
        <f t="array" ref="U78">SUMPRODUCT(IF($A$3:$A$52=$B78,IF($C$1:$AZ$1=U$64,$C$3:$AZ$52)))</f>
        <v>925.60400000000004</v>
      </c>
      <c r="V78" cm="1">
        <f t="array" ref="V78">SUMPRODUCT(IF($A$3:$A$52=$B78,IF($C$1:$AZ$1=V$64,$C$3:$AZ$52)))</f>
        <v>674.16</v>
      </c>
      <c r="W78" cm="1">
        <f t="array" ref="W78">SUMPRODUCT(IF($A$3:$A$52=$B78,IF($C$1:$AZ$1=W$64,$C$3:$AZ$52)))</f>
        <v>978.94799999999998</v>
      </c>
      <c r="X78" cm="1">
        <f t="array" ref="X78">SUMPRODUCT(IF($A$3:$A$52=$B78,IF($C$1:$AZ$1=X$64,$C$3:$AZ$52)))</f>
        <v>4301.2759999999998</v>
      </c>
      <c r="Y78" cm="1">
        <f t="array" ref="Y78">SUMPRODUCT(IF($A$3:$A$52=$B78,IF($C$1:$AZ$1=Y$64,$C$3:$AZ$52)))</f>
        <v>523.44799999999998</v>
      </c>
      <c r="Z78" cm="1">
        <f t="array" ref="Z78">SUMPRODUCT(IF($A$3:$A$52=$B78,IF($C$1:$AZ$1=Z$64,$C$3:$AZ$52)))</f>
        <v>1041.5260000000001</v>
      </c>
      <c r="AA78" cm="1">
        <f t="array" ref="AA78">SUMPRODUCT(IF($A$3:$A$52=$B78,IF($C$1:$AZ$1=AA$64,$C$3:$AZ$52)))</f>
        <v>357.03399999999999</v>
      </c>
      <c r="AB78" cm="1">
        <f t="array" ref="AB78">SUMPRODUCT(IF($A$3:$A$52=$B78,IF($C$1:$AZ$1=AB$64,$C$3:$AZ$52)))</f>
        <v>0</v>
      </c>
      <c r="AC78" cm="1">
        <f t="array" ref="AC78">SUMPRODUCT(IF($A$3:$A$52=$B78,IF($C$1:$AZ$1=AC$64,$C$3:$AZ$52)))</f>
        <v>283.67200000000003</v>
      </c>
      <c r="AD78" cm="1">
        <f t="array" ref="AD78">SUMPRODUCT(IF($A$3:$A$52=$B78,IF($C$1:$AZ$1=AD$64,$C$3:$AZ$52)))</f>
        <v>109929.792</v>
      </c>
      <c r="AE78" cm="1">
        <f t="array" ref="AE78">SUMPRODUCT(IF($A$3:$A$52=$B78,IF($C$1:$AZ$1=AE$64,$C$3:$AZ$52)))</f>
        <v>4009.683</v>
      </c>
      <c r="AF78" cm="1">
        <f t="array" ref="AF78">SUMPRODUCT(IF($A$3:$A$52=$B78,IF($C$1:$AZ$1=AF$64,$C$3:$AZ$52)))</f>
        <v>739.78000000000009</v>
      </c>
      <c r="AG78" cm="1">
        <f t="array" ref="AG78">SUMPRODUCT(IF($A$3:$A$52=$B78,IF($C$1:$AZ$1=AG$64,$C$3:$AZ$52)))</f>
        <v>2390.2330000000002</v>
      </c>
      <c r="AH78" cm="1">
        <f t="array" ref="AH78">SUMPRODUCT(IF($A$3:$A$52=$B78,IF($C$1:$AZ$1=AH$64,$C$3:$AZ$52)))</f>
        <v>75.637</v>
      </c>
      <c r="AI78" cm="1">
        <f t="array" ref="AI78">SUMPRODUCT(IF($A$3:$A$52=$B78,IF($C$1:$AZ$1=AI$64,$C$3:$AZ$52)))</f>
        <v>96.796000000000006</v>
      </c>
      <c r="AJ78" cm="1">
        <f t="array" ref="AJ78">SUMPRODUCT(IF($A$3:$A$52=$B78,IF($C$1:$AZ$1=AJ$64,$C$3:$AZ$52)))</f>
        <v>61.783999999999999</v>
      </c>
      <c r="AK78" cm="1">
        <f t="array" ref="AK78">SUMPRODUCT(IF($A$3:$A$52=$B78,IF($C$1:$AZ$1=AK$64,$C$3:$AZ$52)))</f>
        <v>379.78100000000001</v>
      </c>
      <c r="AL78" cm="1">
        <f t="array" ref="AL78">SUMPRODUCT(IF($A$3:$A$52=$B78,IF($C$1:$AZ$1=AL$64,$C$3:$AZ$52)))</f>
        <v>16235.993</v>
      </c>
      <c r="AM78" cm="1">
        <f t="array" ref="AM78">SUMPRODUCT(IF($A$3:$A$52=$B78,IF($C$1:$AZ$1=AM$64,$C$3:$AZ$52)))</f>
        <v>3114.69</v>
      </c>
      <c r="AN78" cm="1">
        <f t="array" ref="AN78">SUMPRODUCT(IF($A$3:$A$52=$B78,IF($C$1:$AZ$1=AN$64,$C$3:$AZ$52)))</f>
        <v>1963.37</v>
      </c>
      <c r="AO78" cm="1">
        <f t="array" ref="AO78">SUMPRODUCT(IF($A$3:$A$52=$B78,IF($C$1:$AZ$1=AO$64,$C$3:$AZ$52)))</f>
        <v>1713.2070000000001</v>
      </c>
      <c r="AP78" cm="1">
        <f t="array" ref="AP78">SUMPRODUCT(IF($A$3:$A$52=$B78,IF($C$1:$AZ$1=AP$64,$C$3:$AZ$52)))</f>
        <v>1970.3789999999999</v>
      </c>
      <c r="AQ78" cm="1">
        <f t="array" ref="AQ78">SUMPRODUCT(IF($A$3:$A$52=$B78,IF($C$1:$AZ$1=AQ$64,$C$3:$AZ$52)))</f>
        <v>1124.798</v>
      </c>
      <c r="AR78" cm="1">
        <f t="array" ref="AR78">SUMPRODUCT(IF($A$3:$A$52=$B78,IF($C$1:$AZ$1=AR$64,$C$3:$AZ$52)))</f>
        <v>0</v>
      </c>
    </row>
    <row r="79" spans="2:44" x14ac:dyDescent="0.25">
      <c r="B79" t="s">
        <v>870</v>
      </c>
      <c r="C79" cm="1">
        <f t="array" ref="C79">SUMPRODUCT(IF($A$3:$A$52=$B79,IF($C$1:$AZ$1=C$64,$C$3:$AZ$52)))</f>
        <v>0</v>
      </c>
      <c r="D79" cm="1">
        <f t="array" ref="D79">SUMPRODUCT(IF($A$3:$A$52=$B79,IF($C$1:$AZ$1=D$64,$C$3:$AZ$52)))</f>
        <v>0</v>
      </c>
      <c r="E79" cm="1">
        <f t="array" ref="E79">SUMPRODUCT(IF($A$3:$A$52=$B79,IF($C$1:$AZ$1=E$64,$C$3:$AZ$52)))</f>
        <v>0</v>
      </c>
      <c r="F79" cm="1">
        <f t="array" ref="F79">SUMPRODUCT(IF($A$3:$A$52=$B79,IF($C$1:$AZ$1=F$64,$C$3:$AZ$52)))</f>
        <v>0</v>
      </c>
      <c r="G79" cm="1">
        <f t="array" ref="G79">SUMPRODUCT(IF($A$3:$A$52=$B79,IF($C$1:$AZ$1=G$64,$C$3:$AZ$52)))</f>
        <v>0</v>
      </c>
      <c r="H79" cm="1">
        <f t="array" ref="H79">SUMPRODUCT(IF($A$3:$A$52=$B79,IF($C$1:$AZ$1=H$64,$C$3:$AZ$52)))</f>
        <v>0</v>
      </c>
      <c r="I79" cm="1">
        <f t="array" ref="I79">SUMPRODUCT(IF($A$3:$A$52=$B79,IF($C$1:$AZ$1=I$64,$C$3:$AZ$52)))</f>
        <v>0</v>
      </c>
      <c r="J79" cm="1">
        <f t="array" ref="J79">SUMPRODUCT(IF($A$3:$A$52=$B79,IF($C$1:$AZ$1=J$64,$C$3:$AZ$52)))</f>
        <v>0</v>
      </c>
      <c r="K79" cm="1">
        <f t="array" ref="K79">SUMPRODUCT(IF($A$3:$A$52=$B79,IF($C$1:$AZ$1=K$64,$C$3:$AZ$52)))</f>
        <v>0</v>
      </c>
      <c r="L79" cm="1">
        <f t="array" ref="L79">SUMPRODUCT(IF($A$3:$A$52=$B79,IF($C$1:$AZ$1=L$64,$C$3:$AZ$52)))</f>
        <v>0</v>
      </c>
      <c r="M79" cm="1">
        <f t="array" ref="M79">SUMPRODUCT(IF($A$3:$A$52=$B79,IF($C$1:$AZ$1=M$64,$C$3:$AZ$52)))</f>
        <v>0</v>
      </c>
      <c r="N79" cm="1">
        <f t="array" ref="N79">SUMPRODUCT(IF($A$3:$A$52=$B79,IF($C$1:$AZ$1=N$64,$C$3:$AZ$52)))</f>
        <v>0</v>
      </c>
      <c r="O79" cm="1">
        <f t="array" ref="O79">SUMPRODUCT(IF($A$3:$A$52=$B79,IF($C$1:$AZ$1=O$64,$C$3:$AZ$52)))</f>
        <v>0</v>
      </c>
      <c r="P79" cm="1">
        <f t="array" ref="P79">SUMPRODUCT(IF($A$3:$A$52=$B79,IF($C$1:$AZ$1=P$64,$C$3:$AZ$52)))</f>
        <v>0</v>
      </c>
      <c r="Q79" cm="1">
        <f t="array" ref="Q79">SUMPRODUCT(IF($A$3:$A$52=$B79,IF($C$1:$AZ$1=Q$64,$C$3:$AZ$52)))</f>
        <v>0</v>
      </c>
      <c r="R79" cm="1">
        <f t="array" ref="R79">SUMPRODUCT(IF($A$3:$A$52=$B79,IF($C$1:$AZ$1=R$64,$C$3:$AZ$52)))</f>
        <v>0</v>
      </c>
      <c r="S79" cm="1">
        <f t="array" ref="S79">SUMPRODUCT(IF($A$3:$A$52=$B79,IF($C$1:$AZ$1=S$64,$C$3:$AZ$52)))</f>
        <v>0</v>
      </c>
      <c r="T79" cm="1">
        <f t="array" ref="T79">SUMPRODUCT(IF($A$3:$A$52=$B79,IF($C$1:$AZ$1=T$64,$C$3:$AZ$52)))</f>
        <v>0</v>
      </c>
      <c r="U79" cm="1">
        <f t="array" ref="U79">SUMPRODUCT(IF($A$3:$A$52=$B79,IF($C$1:$AZ$1=U$64,$C$3:$AZ$52)))</f>
        <v>0</v>
      </c>
      <c r="V79" cm="1">
        <f t="array" ref="V79">SUMPRODUCT(IF($A$3:$A$52=$B79,IF($C$1:$AZ$1=V$64,$C$3:$AZ$52)))</f>
        <v>0</v>
      </c>
      <c r="W79" cm="1">
        <f t="array" ref="W79">SUMPRODUCT(IF($A$3:$A$52=$B79,IF($C$1:$AZ$1=W$64,$C$3:$AZ$52)))</f>
        <v>0</v>
      </c>
      <c r="X79" cm="1">
        <f t="array" ref="X79">SUMPRODUCT(IF($A$3:$A$52=$B79,IF($C$1:$AZ$1=X$64,$C$3:$AZ$52)))</f>
        <v>0</v>
      </c>
      <c r="Y79" cm="1">
        <f t="array" ref="Y79">SUMPRODUCT(IF($A$3:$A$52=$B79,IF($C$1:$AZ$1=Y$64,$C$3:$AZ$52)))</f>
        <v>0</v>
      </c>
      <c r="Z79" cm="1">
        <f t="array" ref="Z79">SUMPRODUCT(IF($A$3:$A$52=$B79,IF($C$1:$AZ$1=Z$64,$C$3:$AZ$52)))</f>
        <v>0</v>
      </c>
      <c r="AA79" cm="1">
        <f t="array" ref="AA79">SUMPRODUCT(IF($A$3:$A$52=$B79,IF($C$1:$AZ$1=AA$64,$C$3:$AZ$52)))</f>
        <v>0</v>
      </c>
      <c r="AB79" cm="1">
        <f t="array" ref="AB79">SUMPRODUCT(IF($A$3:$A$52=$B79,IF($C$1:$AZ$1=AB$64,$C$3:$AZ$52)))</f>
        <v>0</v>
      </c>
      <c r="AC79" cm="1">
        <f t="array" ref="AC79">SUMPRODUCT(IF($A$3:$A$52=$B79,IF($C$1:$AZ$1=AC$64,$C$3:$AZ$52)))</f>
        <v>0</v>
      </c>
      <c r="AD79" cm="1">
        <f t="array" ref="AD79">SUMPRODUCT(IF($A$3:$A$52=$B79,IF($C$1:$AZ$1=AD$64,$C$3:$AZ$52)))</f>
        <v>0</v>
      </c>
      <c r="AE79" cm="1">
        <f t="array" ref="AE79">SUMPRODUCT(IF($A$3:$A$52=$B79,IF($C$1:$AZ$1=AE$64,$C$3:$AZ$52)))</f>
        <v>0</v>
      </c>
      <c r="AF79" cm="1">
        <f t="array" ref="AF79">SUMPRODUCT(IF($A$3:$A$52=$B79,IF($C$1:$AZ$1=AF$64,$C$3:$AZ$52)))</f>
        <v>0</v>
      </c>
      <c r="AG79" cm="1">
        <f t="array" ref="AG79">SUMPRODUCT(IF($A$3:$A$52=$B79,IF($C$1:$AZ$1=AG$64,$C$3:$AZ$52)))</f>
        <v>0</v>
      </c>
      <c r="AH79" cm="1">
        <f t="array" ref="AH79">SUMPRODUCT(IF($A$3:$A$52=$B79,IF($C$1:$AZ$1=AH$64,$C$3:$AZ$52)))</f>
        <v>0</v>
      </c>
      <c r="AI79" cm="1">
        <f t="array" ref="AI79">SUMPRODUCT(IF($A$3:$A$52=$B79,IF($C$1:$AZ$1=AI$64,$C$3:$AZ$52)))</f>
        <v>0</v>
      </c>
      <c r="AJ79" cm="1">
        <f t="array" ref="AJ79">SUMPRODUCT(IF($A$3:$A$52=$B79,IF($C$1:$AZ$1=AJ$64,$C$3:$AZ$52)))</f>
        <v>0</v>
      </c>
      <c r="AK79" cm="1">
        <f t="array" ref="AK79">SUMPRODUCT(IF($A$3:$A$52=$B79,IF($C$1:$AZ$1=AK$64,$C$3:$AZ$52)))</f>
        <v>0</v>
      </c>
      <c r="AL79" cm="1">
        <f t="array" ref="AL79">SUMPRODUCT(IF($A$3:$A$52=$B79,IF($C$1:$AZ$1=AL$64,$C$3:$AZ$52)))</f>
        <v>0</v>
      </c>
      <c r="AM79" cm="1">
        <f t="array" ref="AM79">SUMPRODUCT(IF($A$3:$A$52=$B79,IF($C$1:$AZ$1=AM$64,$C$3:$AZ$52)))</f>
        <v>0</v>
      </c>
      <c r="AN79" cm="1">
        <f t="array" ref="AN79">SUMPRODUCT(IF($A$3:$A$52=$B79,IF($C$1:$AZ$1=AN$64,$C$3:$AZ$52)))</f>
        <v>0</v>
      </c>
      <c r="AO79" cm="1">
        <f t="array" ref="AO79">SUMPRODUCT(IF($A$3:$A$52=$B79,IF($C$1:$AZ$1=AO$64,$C$3:$AZ$52)))</f>
        <v>0</v>
      </c>
      <c r="AP79" cm="1">
        <f t="array" ref="AP79">SUMPRODUCT(IF($A$3:$A$52=$B79,IF($C$1:$AZ$1=AP$64,$C$3:$AZ$52)))</f>
        <v>0</v>
      </c>
      <c r="AQ79" cm="1">
        <f t="array" ref="AQ79">SUMPRODUCT(IF($A$3:$A$52=$B79,IF($C$1:$AZ$1=AQ$64,$C$3:$AZ$52)))</f>
        <v>0</v>
      </c>
      <c r="AR79" cm="1">
        <f t="array" ref="AR79">SUMPRODUCT(IF($A$3:$A$52=$B79,IF($C$1:$AZ$1=AR$64,$C$3:$AZ$52)))</f>
        <v>0</v>
      </c>
    </row>
    <row r="80" spans="2:44" x14ac:dyDescent="0.25">
      <c r="B80" t="s">
        <v>871</v>
      </c>
      <c r="C80" cm="1">
        <f t="array" ref="C80">SUMPRODUCT(IF($A$3:$A$52=$B80,IF($C$1:$AZ$1=C$64,$C$3:$AZ$52)))</f>
        <v>339.94799999999998</v>
      </c>
      <c r="D80" cm="1">
        <f t="array" ref="D80">SUMPRODUCT(IF($A$3:$A$52=$B80,IF($C$1:$AZ$1=D$64,$C$3:$AZ$52)))</f>
        <v>151.80600000000001</v>
      </c>
      <c r="E80" cm="1">
        <f t="array" ref="E80">SUMPRODUCT(IF($A$3:$A$52=$B80,IF($C$1:$AZ$1=E$64,$C$3:$AZ$52)))</f>
        <v>5988.6220000000003</v>
      </c>
      <c r="F80" cm="1">
        <f t="array" ref="F80">SUMPRODUCT(IF($A$3:$A$52=$B80,IF($C$1:$AZ$1=F$64,$C$3:$AZ$52)))</f>
        <v>248.32400000000001</v>
      </c>
      <c r="G80" cm="1">
        <f t="array" ref="G80">SUMPRODUCT(IF($A$3:$A$52=$B80,IF($C$1:$AZ$1=G$64,$C$3:$AZ$52)))</f>
        <v>78.808999999999997</v>
      </c>
      <c r="H80" cm="1">
        <f t="array" ref="H80">SUMPRODUCT(IF($A$3:$A$52=$B80,IF($C$1:$AZ$1=H$64,$C$3:$AZ$52)))</f>
        <v>481.12799999999999</v>
      </c>
      <c r="I80" cm="1">
        <f t="array" ref="I80">SUMPRODUCT(IF($A$3:$A$52=$B80,IF($C$1:$AZ$1=I$64,$C$3:$AZ$52)))</f>
        <v>49.002000000000002</v>
      </c>
      <c r="J80" cm="1">
        <f t="array" ref="J80">SUMPRODUCT(IF($A$3:$A$52=$B80,IF($C$1:$AZ$1=J$64,$C$3:$AZ$52)))</f>
        <v>294.88900000000001</v>
      </c>
      <c r="K80" cm="1">
        <f t="array" ref="K80">SUMPRODUCT(IF($A$3:$A$52=$B80,IF($C$1:$AZ$1=K$64,$C$3:$AZ$52)))</f>
        <v>194.44399999999999</v>
      </c>
      <c r="L80" cm="1">
        <f t="array" ref="L80">SUMPRODUCT(IF($A$3:$A$52=$B80,IF($C$1:$AZ$1=L$64,$C$3:$AZ$52)))</f>
        <v>358.74299999999999</v>
      </c>
      <c r="M80" cm="1">
        <f t="array" ref="M80">SUMPRODUCT(IF($A$3:$A$52=$B80,IF($C$1:$AZ$1=M$64,$C$3:$AZ$52)))</f>
        <v>383.34899999999999</v>
      </c>
      <c r="N80" cm="1">
        <f t="array" ref="N80">SUMPRODUCT(IF($A$3:$A$52=$B80,IF($C$1:$AZ$1=N$64,$C$3:$AZ$52)))</f>
        <v>74.582999999999998</v>
      </c>
      <c r="O80" cm="1">
        <f t="array" ref="O80">SUMPRODUCT(IF($A$3:$A$52=$B80,IF($C$1:$AZ$1=O$64,$C$3:$AZ$52)))</f>
        <v>1314.6569999999999</v>
      </c>
      <c r="P80" cm="1">
        <f t="array" ref="P80">SUMPRODUCT(IF($A$3:$A$52=$B80,IF($C$1:$AZ$1=P$64,$C$3:$AZ$52)))</f>
        <v>1208.057</v>
      </c>
      <c r="Q80" cm="1">
        <f t="array" ref="Q80">SUMPRODUCT(IF($A$3:$A$52=$B80,IF($C$1:$AZ$1=Q$64,$C$3:$AZ$52)))</f>
        <v>0</v>
      </c>
      <c r="R80" cm="1">
        <f t="array" ref="R80">SUMPRODUCT(IF($A$3:$A$52=$B80,IF($C$1:$AZ$1=R$64,$C$3:$AZ$52)))</f>
        <v>39805.828000000001</v>
      </c>
      <c r="S80" cm="1">
        <f t="array" ref="S80">SUMPRODUCT(IF($A$3:$A$52=$B80,IF($C$1:$AZ$1=S$64,$C$3:$AZ$52)))</f>
        <v>2027.0160000000001</v>
      </c>
      <c r="T80" cm="1">
        <f t="array" ref="T80">SUMPRODUCT(IF($A$3:$A$52=$B80,IF($C$1:$AZ$1=T$64,$C$3:$AZ$52)))</f>
        <v>52182.606</v>
      </c>
      <c r="U80" cm="1">
        <f t="array" ref="U80">SUMPRODUCT(IF($A$3:$A$52=$B80,IF($C$1:$AZ$1=U$64,$C$3:$AZ$52)))</f>
        <v>1411.8679999999999</v>
      </c>
      <c r="V80" cm="1">
        <f t="array" ref="V80">SUMPRODUCT(IF($A$3:$A$52=$B80,IF($C$1:$AZ$1=V$64,$C$3:$AZ$52)))</f>
        <v>2898.357</v>
      </c>
      <c r="W80" cm="1">
        <f t="array" ref="W80">SUMPRODUCT(IF($A$3:$A$52=$B80,IF($C$1:$AZ$1=W$64,$C$3:$AZ$52)))</f>
        <v>24647.156999999999</v>
      </c>
      <c r="X80" cm="1">
        <f t="array" ref="X80">SUMPRODUCT(IF($A$3:$A$52=$B80,IF($C$1:$AZ$1=X$64,$C$3:$AZ$52)))</f>
        <v>28170.859</v>
      </c>
      <c r="Y80" cm="1">
        <f t="array" ref="Y80">SUMPRODUCT(IF($A$3:$A$52=$B80,IF($C$1:$AZ$1=Y$64,$C$3:$AZ$52)))</f>
        <v>9694.48</v>
      </c>
      <c r="Z80" cm="1">
        <f t="array" ref="Z80">SUMPRODUCT(IF($A$3:$A$52=$B80,IF($C$1:$AZ$1=Z$64,$C$3:$AZ$52)))</f>
        <v>2810.393</v>
      </c>
      <c r="AA80" cm="1">
        <f t="array" ref="AA80">SUMPRODUCT(IF($A$3:$A$52=$B80,IF($C$1:$AZ$1=AA$64,$C$3:$AZ$52)))</f>
        <v>557.49699999999996</v>
      </c>
      <c r="AB80" cm="1">
        <f t="array" ref="AB80">SUMPRODUCT(IF($A$3:$A$52=$B80,IF($C$1:$AZ$1=AB$64,$C$3:$AZ$52)))</f>
        <v>0</v>
      </c>
      <c r="AC80" cm="1">
        <f t="array" ref="AC80">SUMPRODUCT(IF($A$3:$A$52=$B80,IF($C$1:$AZ$1=AC$64,$C$3:$AZ$52)))</f>
        <v>1662.12</v>
      </c>
      <c r="AD80" cm="1">
        <f t="array" ref="AD80">SUMPRODUCT(IF($A$3:$A$52=$B80,IF($C$1:$AZ$1=AD$64,$C$3:$AZ$52)))</f>
        <v>36786.550000000003</v>
      </c>
      <c r="AE80" cm="1">
        <f t="array" ref="AE80">SUMPRODUCT(IF($A$3:$A$52=$B80,IF($C$1:$AZ$1=AE$64,$C$3:$AZ$52)))</f>
        <v>3043.1619999999998</v>
      </c>
      <c r="AF80" cm="1">
        <f t="array" ref="AF80">SUMPRODUCT(IF($A$3:$A$52=$B80,IF($C$1:$AZ$1=AF$64,$C$3:$AZ$52)))</f>
        <v>1061.819</v>
      </c>
      <c r="AG80" cm="1">
        <f t="array" ref="AG80">SUMPRODUCT(IF($A$3:$A$52=$B80,IF($C$1:$AZ$1=AG$64,$C$3:$AZ$52)))</f>
        <v>134.66300000000001</v>
      </c>
      <c r="AH80" cm="1">
        <f t="array" ref="AH80">SUMPRODUCT(IF($A$3:$A$52=$B80,IF($C$1:$AZ$1=AH$64,$C$3:$AZ$52)))</f>
        <v>32.652999999999999</v>
      </c>
      <c r="AI80" cm="1">
        <f t="array" ref="AI80">SUMPRODUCT(IF($A$3:$A$52=$B80,IF($C$1:$AZ$1=AI$64,$C$3:$AZ$52)))</f>
        <v>33.338000000000001</v>
      </c>
      <c r="AJ80" cm="1">
        <f t="array" ref="AJ80">SUMPRODUCT(IF($A$3:$A$52=$B80,IF($C$1:$AZ$1=AJ$64,$C$3:$AZ$52)))</f>
        <v>34.447000000000003</v>
      </c>
      <c r="AK80" cm="1">
        <f t="array" ref="AK80">SUMPRODUCT(IF($A$3:$A$52=$B80,IF($C$1:$AZ$1=AK$64,$C$3:$AZ$52)))</f>
        <v>104.27200000000001</v>
      </c>
      <c r="AL80" cm="1">
        <f t="array" ref="AL80">SUMPRODUCT(IF($A$3:$A$52=$B80,IF($C$1:$AZ$1=AL$64,$C$3:$AZ$52)))</f>
        <v>2000.501</v>
      </c>
      <c r="AM80" cm="1">
        <f t="array" ref="AM80">SUMPRODUCT(IF($A$3:$A$52=$B80,IF($C$1:$AZ$1=AM$64,$C$3:$AZ$52)))</f>
        <v>2070.1860000000001</v>
      </c>
      <c r="AN80" cm="1">
        <f t="array" ref="AN80">SUMPRODUCT(IF($A$3:$A$52=$B80,IF($C$1:$AZ$1=AN$64,$C$3:$AZ$52)))</f>
        <v>849.78200000000004</v>
      </c>
      <c r="AO80" cm="1">
        <f t="array" ref="AO80">SUMPRODUCT(IF($A$3:$A$52=$B80,IF($C$1:$AZ$1=AO$64,$C$3:$AZ$52)))</f>
        <v>306.38299999999998</v>
      </c>
      <c r="AP80" cm="1">
        <f t="array" ref="AP80">SUMPRODUCT(IF($A$3:$A$52=$B80,IF($C$1:$AZ$1=AP$64,$C$3:$AZ$52)))</f>
        <v>278.37200000000001</v>
      </c>
      <c r="AQ80" cm="1">
        <f t="array" ref="AQ80">SUMPRODUCT(IF($A$3:$A$52=$B80,IF($C$1:$AZ$1=AQ$64,$C$3:$AZ$52)))</f>
        <v>333.88200000000001</v>
      </c>
      <c r="AR80" cm="1">
        <f t="array" ref="AR80">SUMPRODUCT(IF($A$3:$A$52=$B80,IF($C$1:$AZ$1=AR$64,$C$3:$AZ$52)))</f>
        <v>0</v>
      </c>
    </row>
    <row r="81" spans="2:44" x14ac:dyDescent="0.25">
      <c r="B81" t="s">
        <v>872</v>
      </c>
      <c r="C81" cm="1">
        <f t="array" ref="C81">SUMPRODUCT(IF($A$3:$A$52=$B81,IF($C$1:$AZ$1=C$64,$C$3:$AZ$52)))</f>
        <v>257.03700000000003</v>
      </c>
      <c r="D81" cm="1">
        <f t="array" ref="D81">SUMPRODUCT(IF($A$3:$A$52=$B81,IF($C$1:$AZ$1=D$64,$C$3:$AZ$52)))</f>
        <v>20.001000000000001</v>
      </c>
      <c r="E81" cm="1">
        <f t="array" ref="E81">SUMPRODUCT(IF($A$3:$A$52=$B81,IF($C$1:$AZ$1=E$64,$C$3:$AZ$52)))</f>
        <v>1321.4829999999999</v>
      </c>
      <c r="F81" cm="1">
        <f t="array" ref="F81">SUMPRODUCT(IF($A$3:$A$52=$B81,IF($C$1:$AZ$1=F$64,$C$3:$AZ$52)))</f>
        <v>109.551</v>
      </c>
      <c r="G81" cm="1">
        <f t="array" ref="G81">SUMPRODUCT(IF($A$3:$A$52=$B81,IF($C$1:$AZ$1=G$64,$C$3:$AZ$52)))</f>
        <v>14.196</v>
      </c>
      <c r="H81" cm="1">
        <f t="array" ref="H81">SUMPRODUCT(IF($A$3:$A$52=$B81,IF($C$1:$AZ$1=H$64,$C$3:$AZ$52)))</f>
        <v>1755.296</v>
      </c>
      <c r="I81" cm="1">
        <f t="array" ref="I81">SUMPRODUCT(IF($A$3:$A$52=$B81,IF($C$1:$AZ$1=I$64,$C$3:$AZ$52)))</f>
        <v>97.927000000000007</v>
      </c>
      <c r="J81" cm="1">
        <f t="array" ref="J81">SUMPRODUCT(IF($A$3:$A$52=$B81,IF($C$1:$AZ$1=J$64,$C$3:$AZ$52)))</f>
        <v>286.74799999999999</v>
      </c>
      <c r="K81" cm="1">
        <f t="array" ref="K81">SUMPRODUCT(IF($A$3:$A$52=$B81,IF($C$1:$AZ$1=K$64,$C$3:$AZ$52)))</f>
        <v>470.06299999999999</v>
      </c>
      <c r="L81" cm="1">
        <f t="array" ref="L81">SUMPRODUCT(IF($A$3:$A$52=$B81,IF($C$1:$AZ$1=L$64,$C$3:$AZ$52)))</f>
        <v>154.34399999999999</v>
      </c>
      <c r="M81" cm="1">
        <f t="array" ref="M81">SUMPRODUCT(IF($A$3:$A$52=$B81,IF($C$1:$AZ$1=M$64,$C$3:$AZ$52)))</f>
        <v>2716.1129999999998</v>
      </c>
      <c r="N81" cm="1">
        <f t="array" ref="N81">SUMPRODUCT(IF($A$3:$A$52=$B81,IF($C$1:$AZ$1=N$64,$C$3:$AZ$52)))</f>
        <v>370.36599999999999</v>
      </c>
      <c r="O81" cm="1">
        <f t="array" ref="O81">SUMPRODUCT(IF($A$3:$A$52=$B81,IF($C$1:$AZ$1=O$64,$C$3:$AZ$52)))</f>
        <v>1337.2470000000001</v>
      </c>
      <c r="P81" cm="1">
        <f t="array" ref="P81">SUMPRODUCT(IF($A$3:$A$52=$B81,IF($C$1:$AZ$1=P$64,$C$3:$AZ$52)))</f>
        <v>657.42399999999998</v>
      </c>
      <c r="Q81" cm="1">
        <f t="array" ref="Q81">SUMPRODUCT(IF($A$3:$A$52=$B81,IF($C$1:$AZ$1=Q$64,$C$3:$AZ$52)))</f>
        <v>0</v>
      </c>
      <c r="R81" cm="1">
        <f t="array" ref="R81">SUMPRODUCT(IF($A$3:$A$52=$B81,IF($C$1:$AZ$1=R$64,$C$3:$AZ$52)))</f>
        <v>7932.2709999999997</v>
      </c>
      <c r="S81" cm="1">
        <f t="array" ref="S81">SUMPRODUCT(IF($A$3:$A$52=$B81,IF($C$1:$AZ$1=S$64,$C$3:$AZ$52)))</f>
        <v>48288.124000000003</v>
      </c>
      <c r="T81" cm="1">
        <f t="array" ref="T81">SUMPRODUCT(IF($A$3:$A$52=$B81,IF($C$1:$AZ$1=T$64,$C$3:$AZ$52)))</f>
        <v>30864.16</v>
      </c>
      <c r="U81" cm="1">
        <f t="array" ref="U81">SUMPRODUCT(IF($A$3:$A$52=$B81,IF($C$1:$AZ$1=U$64,$C$3:$AZ$52)))</f>
        <v>4702.0020000000004</v>
      </c>
      <c r="V81" cm="1">
        <f t="array" ref="V81">SUMPRODUCT(IF($A$3:$A$52=$B81,IF($C$1:$AZ$1=V$64,$C$3:$AZ$52)))</f>
        <v>9493.8160000000007</v>
      </c>
      <c r="W81" cm="1">
        <f t="array" ref="W81">SUMPRODUCT(IF($A$3:$A$52=$B81,IF($C$1:$AZ$1=W$64,$C$3:$AZ$52)))</f>
        <v>12837.789000000001</v>
      </c>
      <c r="X81" cm="1">
        <f t="array" ref="X81">SUMPRODUCT(IF($A$3:$A$52=$B81,IF($C$1:$AZ$1=X$64,$C$3:$AZ$52)))</f>
        <v>19403.186000000002</v>
      </c>
      <c r="Y81" cm="1">
        <f t="array" ref="Y81">SUMPRODUCT(IF($A$3:$A$52=$B81,IF($C$1:$AZ$1=Y$64,$C$3:$AZ$52)))</f>
        <v>5748.0829999999996</v>
      </c>
      <c r="Z81" cm="1">
        <f t="array" ref="Z81">SUMPRODUCT(IF($A$3:$A$52=$B81,IF($C$1:$AZ$1=Z$64,$C$3:$AZ$52)))</f>
        <v>5723.9009999999998</v>
      </c>
      <c r="AA81" cm="1">
        <f t="array" ref="AA81">SUMPRODUCT(IF($A$3:$A$52=$B81,IF($C$1:$AZ$1=AA$64,$C$3:$AZ$52)))</f>
        <v>338.96800000000002</v>
      </c>
      <c r="AB81" cm="1">
        <f t="array" ref="AB81">SUMPRODUCT(IF($A$3:$A$52=$B81,IF($C$1:$AZ$1=AB$64,$C$3:$AZ$52)))</f>
        <v>0</v>
      </c>
      <c r="AC81" cm="1">
        <f t="array" ref="AC81">SUMPRODUCT(IF($A$3:$A$52=$B81,IF($C$1:$AZ$1=AC$64,$C$3:$AZ$52)))</f>
        <v>2004.8779999999999</v>
      </c>
      <c r="AD81" cm="1">
        <f t="array" ref="AD81">SUMPRODUCT(IF($A$3:$A$52=$B81,IF($C$1:$AZ$1=AD$64,$C$3:$AZ$52)))</f>
        <v>11663.454</v>
      </c>
      <c r="AE81" cm="1">
        <f t="array" ref="AE81">SUMPRODUCT(IF($A$3:$A$52=$B81,IF($C$1:$AZ$1=AE$64,$C$3:$AZ$52)))</f>
        <v>3461.88</v>
      </c>
      <c r="AF81" cm="1">
        <f t="array" ref="AF81">SUMPRODUCT(IF($A$3:$A$52=$B81,IF($C$1:$AZ$1=AF$64,$C$3:$AZ$52)))</f>
        <v>331.18099999999998</v>
      </c>
      <c r="AG81" cm="1">
        <f t="array" ref="AG81">SUMPRODUCT(IF($A$3:$A$52=$B81,IF($C$1:$AZ$1=AG$64,$C$3:$AZ$52)))</f>
        <v>392.33499999999998</v>
      </c>
      <c r="AH81" cm="1">
        <f t="array" ref="AH81">SUMPRODUCT(IF($A$3:$A$52=$B81,IF($C$1:$AZ$1=AH$64,$C$3:$AZ$52)))</f>
        <v>114.26600000000001</v>
      </c>
      <c r="AI81" cm="1">
        <f t="array" ref="AI81">SUMPRODUCT(IF($A$3:$A$52=$B81,IF($C$1:$AZ$1=AI$64,$C$3:$AZ$52)))</f>
        <v>47.54</v>
      </c>
      <c r="AJ81" cm="1">
        <f t="array" ref="AJ81">SUMPRODUCT(IF($A$3:$A$52=$B81,IF($C$1:$AZ$1=AJ$64,$C$3:$AZ$52)))</f>
        <v>47.591999999999999</v>
      </c>
      <c r="AK81" cm="1">
        <f t="array" ref="AK81">SUMPRODUCT(IF($A$3:$A$52=$B81,IF($C$1:$AZ$1=AK$64,$C$3:$AZ$52)))</f>
        <v>126.282</v>
      </c>
      <c r="AL81" cm="1">
        <f t="array" ref="AL81">SUMPRODUCT(IF($A$3:$A$52=$B81,IF($C$1:$AZ$1=AL$64,$C$3:$AZ$52)))</f>
        <v>1373.769</v>
      </c>
      <c r="AM81" cm="1">
        <f t="array" ref="AM81">SUMPRODUCT(IF($A$3:$A$52=$B81,IF($C$1:$AZ$1=AM$64,$C$3:$AZ$52)))</f>
        <v>1233.751</v>
      </c>
      <c r="AN81" cm="1">
        <f t="array" ref="AN81">SUMPRODUCT(IF($A$3:$A$52=$B81,IF($C$1:$AZ$1=AN$64,$C$3:$AZ$52)))</f>
        <v>669.08399999999995</v>
      </c>
      <c r="AO81" cm="1">
        <f t="array" ref="AO81">SUMPRODUCT(IF($A$3:$A$52=$B81,IF($C$1:$AZ$1=AO$64,$C$3:$AZ$52)))</f>
        <v>117.73399999999999</v>
      </c>
      <c r="AP81" cm="1">
        <f t="array" ref="AP81">SUMPRODUCT(IF($A$3:$A$52=$B81,IF($C$1:$AZ$1=AP$64,$C$3:$AZ$52)))</f>
        <v>659.529</v>
      </c>
      <c r="AQ81" cm="1">
        <f t="array" ref="AQ81">SUMPRODUCT(IF($A$3:$A$52=$B81,IF($C$1:$AZ$1=AQ$64,$C$3:$AZ$52)))</f>
        <v>416.74700000000001</v>
      </c>
      <c r="AR81" cm="1">
        <f t="array" ref="AR81">SUMPRODUCT(IF($A$3:$A$52=$B81,IF($C$1:$AZ$1=AR$64,$C$3:$AZ$52)))</f>
        <v>0</v>
      </c>
    </row>
    <row r="82" spans="2:44" x14ac:dyDescent="0.25">
      <c r="B82" t="s">
        <v>13</v>
      </c>
      <c r="C82" cm="1">
        <f t="array" ref="C82">SUMPRODUCT(IF($A$3:$A$52=$B82,IF($C$1:$AZ$1=C$64,$C$3:$AZ$52)))</f>
        <v>2757.03</v>
      </c>
      <c r="D82" cm="1">
        <f t="array" ref="D82">SUMPRODUCT(IF($A$3:$A$52=$B82,IF($C$1:$AZ$1=D$64,$C$3:$AZ$52)))</f>
        <v>548.51599999999996</v>
      </c>
      <c r="E82" cm="1">
        <f t="array" ref="E82">SUMPRODUCT(IF($A$3:$A$52=$B82,IF($C$1:$AZ$1=E$64,$C$3:$AZ$52)))</f>
        <v>9468.4</v>
      </c>
      <c r="F82" cm="1">
        <f t="array" ref="F82">SUMPRODUCT(IF($A$3:$A$52=$B82,IF($C$1:$AZ$1=F$64,$C$3:$AZ$52)))</f>
        <v>801.29899999999998</v>
      </c>
      <c r="G82" cm="1">
        <f t="array" ref="G82">SUMPRODUCT(IF($A$3:$A$52=$B82,IF($C$1:$AZ$1=G$64,$C$3:$AZ$52)))</f>
        <v>410.77199999999999</v>
      </c>
      <c r="H82" cm="1">
        <f t="array" ref="H82">SUMPRODUCT(IF($A$3:$A$52=$B82,IF($C$1:$AZ$1=H$64,$C$3:$AZ$52)))</f>
        <v>11160.544</v>
      </c>
      <c r="I82" cm="1">
        <f t="array" ref="I82">SUMPRODUCT(IF($A$3:$A$52=$B82,IF($C$1:$AZ$1=I$64,$C$3:$AZ$52)))</f>
        <v>333.05599999999998</v>
      </c>
      <c r="J82" cm="1">
        <f t="array" ref="J82">SUMPRODUCT(IF($A$3:$A$52=$B82,IF($C$1:$AZ$1=J$64,$C$3:$AZ$52)))</f>
        <v>2601.8910000000001</v>
      </c>
      <c r="K82" cm="1">
        <f t="array" ref="K82">SUMPRODUCT(IF($A$3:$A$52=$B82,IF($C$1:$AZ$1=K$64,$C$3:$AZ$52)))</f>
        <v>1143.6199999999999</v>
      </c>
      <c r="L82" cm="1">
        <f t="array" ref="L82">SUMPRODUCT(IF($A$3:$A$52=$B82,IF($C$1:$AZ$1=L$64,$C$3:$AZ$52)))</f>
        <v>756.73500000000001</v>
      </c>
      <c r="M82" cm="1">
        <f t="array" ref="M82">SUMPRODUCT(IF($A$3:$A$52=$B82,IF($C$1:$AZ$1=M$64,$C$3:$AZ$52)))</f>
        <v>3105.0309999999999</v>
      </c>
      <c r="N82" cm="1">
        <f t="array" ref="N82">SUMPRODUCT(IF($A$3:$A$52=$B82,IF($C$1:$AZ$1=N$64,$C$3:$AZ$52)))</f>
        <v>892.39099999999996</v>
      </c>
      <c r="O82" cm="1">
        <f t="array" ref="O82">SUMPRODUCT(IF($A$3:$A$52=$B82,IF($C$1:$AZ$1=O$64,$C$3:$AZ$52)))</f>
        <v>3230.163</v>
      </c>
      <c r="P82" cm="1">
        <f t="array" ref="P82">SUMPRODUCT(IF($A$3:$A$52=$B82,IF($C$1:$AZ$1=P$64,$C$3:$AZ$52)))</f>
        <v>1949.779</v>
      </c>
      <c r="Q82" cm="1">
        <f t="array" ref="Q82">SUMPRODUCT(IF($A$3:$A$52=$B82,IF($C$1:$AZ$1=Q$64,$C$3:$AZ$52)))</f>
        <v>0</v>
      </c>
      <c r="R82" cm="1">
        <f t="array" ref="R82">SUMPRODUCT(IF($A$3:$A$52=$B82,IF($C$1:$AZ$1=R$64,$C$3:$AZ$52)))</f>
        <v>5956.0749999999998</v>
      </c>
      <c r="S82" cm="1">
        <f t="array" ref="S82">SUMPRODUCT(IF($A$3:$A$52=$B82,IF($C$1:$AZ$1=S$64,$C$3:$AZ$52)))</f>
        <v>2012.289</v>
      </c>
      <c r="T82" cm="1">
        <f t="array" ref="T82">SUMPRODUCT(IF($A$3:$A$52=$B82,IF($C$1:$AZ$1=T$64,$C$3:$AZ$52)))</f>
        <v>52075.118999999999</v>
      </c>
      <c r="U82" cm="1">
        <f t="array" ref="U82">SUMPRODUCT(IF($A$3:$A$52=$B82,IF($C$1:$AZ$1=U$64,$C$3:$AZ$52)))</f>
        <v>3228.913</v>
      </c>
      <c r="V82" cm="1">
        <f t="array" ref="V82">SUMPRODUCT(IF($A$3:$A$52=$B82,IF($C$1:$AZ$1=V$64,$C$3:$AZ$52)))</f>
        <v>4387.8789999999999</v>
      </c>
      <c r="W82" cm="1">
        <f t="array" ref="W82">SUMPRODUCT(IF($A$3:$A$52=$B82,IF($C$1:$AZ$1=W$64,$C$3:$AZ$52)))</f>
        <v>34413.534</v>
      </c>
      <c r="X82" cm="1">
        <f t="array" ref="X82">SUMPRODUCT(IF($A$3:$A$52=$B82,IF($C$1:$AZ$1=X$64,$C$3:$AZ$52)))</f>
        <v>40233.067999999999</v>
      </c>
      <c r="Y82" cm="1">
        <f t="array" ref="Y82">SUMPRODUCT(IF($A$3:$A$52=$B82,IF($C$1:$AZ$1=Y$64,$C$3:$AZ$52)))</f>
        <v>12183.051000000001</v>
      </c>
      <c r="Z82" cm="1">
        <f t="array" ref="Z82">SUMPRODUCT(IF($A$3:$A$52=$B82,IF($C$1:$AZ$1=Z$64,$C$3:$AZ$52)))</f>
        <v>7574.4530000000004</v>
      </c>
      <c r="AA82" cm="1">
        <f t="array" ref="AA82">SUMPRODUCT(IF($A$3:$A$52=$B82,IF($C$1:$AZ$1=AA$64,$C$3:$AZ$52)))</f>
        <v>1134.72</v>
      </c>
      <c r="AB82" cm="1">
        <f t="array" ref="AB82">SUMPRODUCT(IF($A$3:$A$52=$B82,IF($C$1:$AZ$1=AB$64,$C$3:$AZ$52)))</f>
        <v>0</v>
      </c>
      <c r="AC82" cm="1">
        <f t="array" ref="AC82">SUMPRODUCT(IF($A$3:$A$52=$B82,IF($C$1:$AZ$1=AC$64,$C$3:$AZ$52)))</f>
        <v>994.48500000000001</v>
      </c>
      <c r="AD82" cm="1">
        <f t="array" ref="AD82">SUMPRODUCT(IF($A$3:$A$52=$B82,IF($C$1:$AZ$1=AD$64,$C$3:$AZ$52)))</f>
        <v>83611.445000000007</v>
      </c>
      <c r="AE82" cm="1">
        <f t="array" ref="AE82">SUMPRODUCT(IF($A$3:$A$52=$B82,IF($C$1:$AZ$1=AE$64,$C$3:$AZ$52)))</f>
        <v>15400.085999999999</v>
      </c>
      <c r="AF82" cm="1">
        <f t="array" ref="AF82">SUMPRODUCT(IF($A$3:$A$52=$B82,IF($C$1:$AZ$1=AF$64,$C$3:$AZ$52)))</f>
        <v>2275.1419999999998</v>
      </c>
      <c r="AG82" cm="1">
        <f t="array" ref="AG82">SUMPRODUCT(IF($A$3:$A$52=$B82,IF($C$1:$AZ$1=AG$64,$C$3:$AZ$52)))</f>
        <v>3322.1419999999998</v>
      </c>
      <c r="AH82" cm="1">
        <f t="array" ref="AH82">SUMPRODUCT(IF($A$3:$A$52=$B82,IF($C$1:$AZ$1=AH$64,$C$3:$AZ$52)))</f>
        <v>545.43700000000001</v>
      </c>
      <c r="AI82" cm="1">
        <f t="array" ref="AI82">SUMPRODUCT(IF($A$3:$A$52=$B82,IF($C$1:$AZ$1=AI$64,$C$3:$AZ$52)))</f>
        <v>855.00099999999998</v>
      </c>
      <c r="AJ82" cm="1">
        <f t="array" ref="AJ82">SUMPRODUCT(IF($A$3:$A$52=$B82,IF($C$1:$AZ$1=AJ$64,$C$3:$AZ$52)))</f>
        <v>601.33500000000004</v>
      </c>
      <c r="AK82" cm="1">
        <f t="array" ref="AK82">SUMPRODUCT(IF($A$3:$A$52=$B82,IF($C$1:$AZ$1=AK$64,$C$3:$AZ$52)))</f>
        <v>548.16499999999996</v>
      </c>
      <c r="AL82" cm="1">
        <f t="array" ref="AL82">SUMPRODUCT(IF($A$3:$A$52=$B82,IF($C$1:$AZ$1=AL$64,$C$3:$AZ$52)))</f>
        <v>12450.017</v>
      </c>
      <c r="AM82" cm="1">
        <f t="array" ref="AM82">SUMPRODUCT(IF($A$3:$A$52=$B82,IF($C$1:$AZ$1=AM$64,$C$3:$AZ$52)))</f>
        <v>12150.79</v>
      </c>
      <c r="AN82" cm="1">
        <f t="array" ref="AN82">SUMPRODUCT(IF($A$3:$A$52=$B82,IF($C$1:$AZ$1=AN$64,$C$3:$AZ$52)))</f>
        <v>18866.607</v>
      </c>
      <c r="AO82" cm="1">
        <f t="array" ref="AO82">SUMPRODUCT(IF($A$3:$A$52=$B82,IF($C$1:$AZ$1=AO$64,$C$3:$AZ$52)))</f>
        <v>2200.0439999999999</v>
      </c>
      <c r="AP82" cm="1">
        <f t="array" ref="AP82">SUMPRODUCT(IF($A$3:$A$52=$B82,IF($C$1:$AZ$1=AP$64,$C$3:$AZ$52)))</f>
        <v>3031.6770000000001</v>
      </c>
      <c r="AQ82" cm="1">
        <f t="array" ref="AQ82">SUMPRODUCT(IF($A$3:$A$52=$B82,IF($C$1:$AZ$1=AQ$64,$C$3:$AZ$52)))</f>
        <v>2667.0910000000003</v>
      </c>
      <c r="AR82" cm="1">
        <f t="array" ref="AR82">SUMPRODUCT(IF($A$3:$A$52=$B82,IF($C$1:$AZ$1=AR$64,$C$3:$AZ$52)))</f>
        <v>0</v>
      </c>
    </row>
    <row r="83" spans="2:44" x14ac:dyDescent="0.25">
      <c r="B83" t="s">
        <v>14</v>
      </c>
      <c r="C83" cm="1">
        <f t="array" ref="C83">SUMPRODUCT(IF($A$3:$A$52=$B83,IF($C$1:$AZ$1=C$64,$C$3:$AZ$52)))</f>
        <v>637.61399999999992</v>
      </c>
      <c r="D83" cm="1">
        <f t="array" ref="D83">SUMPRODUCT(IF($A$3:$A$52=$B83,IF($C$1:$AZ$1=D$64,$C$3:$AZ$52)))</f>
        <v>44.018000000000001</v>
      </c>
      <c r="E83" cm="1">
        <f t="array" ref="E83">SUMPRODUCT(IF($A$3:$A$52=$B83,IF($C$1:$AZ$1=E$64,$C$3:$AZ$52)))</f>
        <v>1253.6990000000001</v>
      </c>
      <c r="F83" cm="1">
        <f t="array" ref="F83">SUMPRODUCT(IF($A$3:$A$52=$B83,IF($C$1:$AZ$1=F$64,$C$3:$AZ$52)))</f>
        <v>103.59100000000001</v>
      </c>
      <c r="G83" cm="1">
        <f t="array" ref="G83">SUMPRODUCT(IF($A$3:$A$52=$B83,IF($C$1:$AZ$1=G$64,$C$3:$AZ$52)))</f>
        <v>44.978999999999999</v>
      </c>
      <c r="H83" cm="1">
        <f t="array" ref="H83">SUMPRODUCT(IF($A$3:$A$52=$B83,IF($C$1:$AZ$1=H$64,$C$3:$AZ$52)))</f>
        <v>1238.7809999999999</v>
      </c>
      <c r="I83" cm="1">
        <f t="array" ref="I83">SUMPRODUCT(IF($A$3:$A$52=$B83,IF($C$1:$AZ$1=I$64,$C$3:$AZ$52)))</f>
        <v>104.223</v>
      </c>
      <c r="J83" cm="1">
        <f t="array" ref="J83">SUMPRODUCT(IF($A$3:$A$52=$B83,IF($C$1:$AZ$1=J$64,$C$3:$AZ$52)))</f>
        <v>959.60799999999995</v>
      </c>
      <c r="K83" cm="1">
        <f t="array" ref="K83">SUMPRODUCT(IF($A$3:$A$52=$B83,IF($C$1:$AZ$1=K$64,$C$3:$AZ$52)))</f>
        <v>601.42200000000003</v>
      </c>
      <c r="L83" cm="1">
        <f t="array" ref="L83">SUMPRODUCT(IF($A$3:$A$52=$B83,IF($C$1:$AZ$1=L$64,$C$3:$AZ$52)))</f>
        <v>420.96300000000002</v>
      </c>
      <c r="M83" cm="1">
        <f t="array" ref="M83">SUMPRODUCT(IF($A$3:$A$52=$B83,IF($C$1:$AZ$1=M$64,$C$3:$AZ$52)))</f>
        <v>1128.9690000000001</v>
      </c>
      <c r="N83" cm="1">
        <f t="array" ref="N83">SUMPRODUCT(IF($A$3:$A$52=$B83,IF($C$1:$AZ$1=N$64,$C$3:$AZ$52)))</f>
        <v>399.71100000000001</v>
      </c>
      <c r="O83" cm="1">
        <f t="array" ref="O83">SUMPRODUCT(IF($A$3:$A$52=$B83,IF($C$1:$AZ$1=O$64,$C$3:$AZ$52)))</f>
        <v>701.84299999999996</v>
      </c>
      <c r="P83" cm="1">
        <f t="array" ref="P83">SUMPRODUCT(IF($A$3:$A$52=$B83,IF($C$1:$AZ$1=P$64,$C$3:$AZ$52)))</f>
        <v>290.28800000000001</v>
      </c>
      <c r="Q83" cm="1">
        <f t="array" ref="Q83">SUMPRODUCT(IF($A$3:$A$52=$B83,IF($C$1:$AZ$1=Q$64,$C$3:$AZ$52)))</f>
        <v>0</v>
      </c>
      <c r="R83" cm="1">
        <f t="array" ref="R83">SUMPRODUCT(IF($A$3:$A$52=$B83,IF($C$1:$AZ$1=R$64,$C$3:$AZ$52)))</f>
        <v>234.42</v>
      </c>
      <c r="S83" cm="1">
        <f t="array" ref="S83">SUMPRODUCT(IF($A$3:$A$52=$B83,IF($C$1:$AZ$1=S$64,$C$3:$AZ$52)))</f>
        <v>225.76599999999999</v>
      </c>
      <c r="T83" cm="1">
        <f t="array" ref="T83">SUMPRODUCT(IF($A$3:$A$52=$B83,IF($C$1:$AZ$1=T$64,$C$3:$AZ$52)))</f>
        <v>1467.962</v>
      </c>
      <c r="U83" cm="1">
        <f t="array" ref="U83">SUMPRODUCT(IF($A$3:$A$52=$B83,IF($C$1:$AZ$1=U$64,$C$3:$AZ$52)))</f>
        <v>44933.597000000002</v>
      </c>
      <c r="V83" cm="1">
        <f t="array" ref="V83">SUMPRODUCT(IF($A$3:$A$52=$B83,IF($C$1:$AZ$1=V$64,$C$3:$AZ$52)))</f>
        <v>4838.3559999999998</v>
      </c>
      <c r="W83" cm="1">
        <f t="array" ref="W83">SUMPRODUCT(IF($A$3:$A$52=$B83,IF($C$1:$AZ$1=W$64,$C$3:$AZ$52)))</f>
        <v>7382.91</v>
      </c>
      <c r="X83" cm="1">
        <f t="array" ref="X83">SUMPRODUCT(IF($A$3:$A$52=$B83,IF($C$1:$AZ$1=X$64,$C$3:$AZ$52)))</f>
        <v>8624.1980000000003</v>
      </c>
      <c r="Y83" cm="1">
        <f t="array" ref="Y83">SUMPRODUCT(IF($A$3:$A$52=$B83,IF($C$1:$AZ$1=Y$64,$C$3:$AZ$52)))</f>
        <v>2762.9139999999998</v>
      </c>
      <c r="Z83" cm="1">
        <f t="array" ref="Z83">SUMPRODUCT(IF($A$3:$A$52=$B83,IF($C$1:$AZ$1=Z$64,$C$3:$AZ$52)))</f>
        <v>2305.8240000000001</v>
      </c>
      <c r="AA83" cm="1">
        <f t="array" ref="AA83">SUMPRODUCT(IF($A$3:$A$52=$B83,IF($C$1:$AZ$1=AA$64,$C$3:$AZ$52)))</f>
        <v>1126.4870000000001</v>
      </c>
      <c r="AB83" cm="1">
        <f t="array" ref="AB83">SUMPRODUCT(IF($A$3:$A$52=$B83,IF($C$1:$AZ$1=AB$64,$C$3:$AZ$52)))</f>
        <v>0</v>
      </c>
      <c r="AC83" cm="1">
        <f t="array" ref="AC83">SUMPRODUCT(IF($A$3:$A$52=$B83,IF($C$1:$AZ$1=AC$64,$C$3:$AZ$52)))</f>
        <v>234.03</v>
      </c>
      <c r="AD83" cm="1">
        <f t="array" ref="AD83">SUMPRODUCT(IF($A$3:$A$52=$B83,IF($C$1:$AZ$1=AD$64,$C$3:$AZ$52)))</f>
        <v>8393.5470000000005</v>
      </c>
      <c r="AE83" cm="1">
        <f t="array" ref="AE83">SUMPRODUCT(IF($A$3:$A$52=$B83,IF($C$1:$AZ$1=AE$64,$C$3:$AZ$52)))</f>
        <v>14262.8</v>
      </c>
      <c r="AF83" cm="1">
        <f t="array" ref="AF83">SUMPRODUCT(IF($A$3:$A$52=$B83,IF($C$1:$AZ$1=AF$64,$C$3:$AZ$52)))</f>
        <v>2056.0349999999999</v>
      </c>
      <c r="AG83" cm="1">
        <f t="array" ref="AG83">SUMPRODUCT(IF($A$3:$A$52=$B83,IF($C$1:$AZ$1=AG$64,$C$3:$AZ$52)))</f>
        <v>1507.0340000000001</v>
      </c>
      <c r="AH83" cm="1">
        <f t="array" ref="AH83">SUMPRODUCT(IF($A$3:$A$52=$B83,IF($C$1:$AZ$1=AH$64,$C$3:$AZ$52)))</f>
        <v>3354.6149999999998</v>
      </c>
      <c r="AI83" cm="1">
        <f t="array" ref="AI83">SUMPRODUCT(IF($A$3:$A$52=$B83,IF($C$1:$AZ$1=AI$64,$C$3:$AZ$52)))</f>
        <v>16974.082999999999</v>
      </c>
      <c r="AJ83" cm="1">
        <f t="array" ref="AJ83">SUMPRODUCT(IF($A$3:$A$52=$B83,IF($C$1:$AZ$1=AJ$64,$C$3:$AZ$52)))</f>
        <v>13010.855</v>
      </c>
      <c r="AK83" cm="1">
        <f t="array" ref="AK83">SUMPRODUCT(IF($A$3:$A$52=$B83,IF($C$1:$AZ$1=AK$64,$C$3:$AZ$52)))</f>
        <v>3565.4520000000002</v>
      </c>
      <c r="AL83" cm="1">
        <f t="array" ref="AL83">SUMPRODUCT(IF($A$3:$A$52=$B83,IF($C$1:$AZ$1=AL$64,$C$3:$AZ$52)))</f>
        <v>2329.1309999999999</v>
      </c>
      <c r="AM83" cm="1">
        <f t="array" ref="AM83">SUMPRODUCT(IF($A$3:$A$52=$B83,IF($C$1:$AZ$1=AM$64,$C$3:$AZ$52)))</f>
        <v>17054.753000000001</v>
      </c>
      <c r="AN83" cm="1">
        <f t="array" ref="AN83">SUMPRODUCT(IF($A$3:$A$52=$B83,IF($C$1:$AZ$1=AN$64,$C$3:$AZ$52)))</f>
        <v>10351.799999999999</v>
      </c>
      <c r="AO83" cm="1">
        <f t="array" ref="AO83">SUMPRODUCT(IF($A$3:$A$52=$B83,IF($C$1:$AZ$1=AO$64,$C$3:$AZ$52)))</f>
        <v>4637.9489999999996</v>
      </c>
      <c r="AP83" cm="1">
        <f t="array" ref="AP83">SUMPRODUCT(IF($A$3:$A$52=$B83,IF($C$1:$AZ$1=AP$64,$C$3:$AZ$52)))</f>
        <v>16838.786</v>
      </c>
      <c r="AQ83" cm="1">
        <f t="array" ref="AQ83">SUMPRODUCT(IF($A$3:$A$52=$B83,IF($C$1:$AZ$1=AQ$64,$C$3:$AZ$52)))</f>
        <v>3479.4669999999996</v>
      </c>
      <c r="AR83" cm="1">
        <f t="array" ref="AR83">SUMPRODUCT(IF($A$3:$A$52=$B83,IF($C$1:$AZ$1=AR$64,$C$3:$AZ$52)))</f>
        <v>0</v>
      </c>
    </row>
    <row r="84" spans="2:44" x14ac:dyDescent="0.25">
      <c r="B84" t="s">
        <v>15</v>
      </c>
      <c r="C84" cm="1">
        <f t="array" ref="C84">SUMPRODUCT(IF($A$3:$A$52=$B84,IF($C$1:$AZ$1=C$64,$C$3:$AZ$52)))</f>
        <v>385.94300000000004</v>
      </c>
      <c r="D84" cm="1">
        <f t="array" ref="D84">SUMPRODUCT(IF($A$3:$A$52=$B84,IF($C$1:$AZ$1=D$64,$C$3:$AZ$52)))</f>
        <v>57.076000000000001</v>
      </c>
      <c r="E84" cm="1">
        <f t="array" ref="E84">SUMPRODUCT(IF($A$3:$A$52=$B84,IF($C$1:$AZ$1=E$64,$C$3:$AZ$52)))</f>
        <v>687.39</v>
      </c>
      <c r="F84" cm="1">
        <f t="array" ref="F84">SUMPRODUCT(IF($A$3:$A$52=$B84,IF($C$1:$AZ$1=F$64,$C$3:$AZ$52)))</f>
        <v>176.33199999999999</v>
      </c>
      <c r="G84" cm="1">
        <f t="array" ref="G84">SUMPRODUCT(IF($A$3:$A$52=$B84,IF($C$1:$AZ$1=G$64,$C$3:$AZ$52)))</f>
        <v>65.381</v>
      </c>
      <c r="H84" cm="1">
        <f t="array" ref="H84">SUMPRODUCT(IF($A$3:$A$52=$B84,IF($C$1:$AZ$1=H$64,$C$3:$AZ$52)))</f>
        <v>652.971</v>
      </c>
      <c r="I84" cm="1">
        <f t="array" ref="I84">SUMPRODUCT(IF($A$3:$A$52=$B84,IF($C$1:$AZ$1=I$64,$C$3:$AZ$52)))</f>
        <v>37.472000000000001</v>
      </c>
      <c r="J84" cm="1">
        <f t="array" ref="J84">SUMPRODUCT(IF($A$3:$A$52=$B84,IF($C$1:$AZ$1=J$64,$C$3:$AZ$52)))</f>
        <v>88.727000000000004</v>
      </c>
      <c r="K84" cm="1">
        <f t="array" ref="K84">SUMPRODUCT(IF($A$3:$A$52=$B84,IF($C$1:$AZ$1=K$64,$C$3:$AZ$52)))</f>
        <v>295.01400000000001</v>
      </c>
      <c r="L84" cm="1">
        <f t="array" ref="L84">SUMPRODUCT(IF($A$3:$A$52=$B84,IF($C$1:$AZ$1=L$64,$C$3:$AZ$52)))</f>
        <v>118.58499999999999</v>
      </c>
      <c r="M84" cm="1">
        <f t="array" ref="M84">SUMPRODUCT(IF($A$3:$A$52=$B84,IF($C$1:$AZ$1=M$64,$C$3:$AZ$52)))</f>
        <v>374.49700000000001</v>
      </c>
      <c r="N84" cm="1">
        <f t="array" ref="N84">SUMPRODUCT(IF($A$3:$A$52=$B84,IF($C$1:$AZ$1=N$64,$C$3:$AZ$52)))</f>
        <v>142.65600000000001</v>
      </c>
      <c r="O84" cm="1">
        <f t="array" ref="O84">SUMPRODUCT(IF($A$3:$A$52=$B84,IF($C$1:$AZ$1=O$64,$C$3:$AZ$52)))</f>
        <v>383.89100000000002</v>
      </c>
      <c r="P84" cm="1">
        <f t="array" ref="P84">SUMPRODUCT(IF($A$3:$A$52=$B84,IF($C$1:$AZ$1=P$64,$C$3:$AZ$52)))</f>
        <v>214.178</v>
      </c>
      <c r="Q84" cm="1">
        <f t="array" ref="Q84">SUMPRODUCT(IF($A$3:$A$52=$B84,IF($C$1:$AZ$1=Q$64,$C$3:$AZ$52)))</f>
        <v>0</v>
      </c>
      <c r="R84" cm="1">
        <f t="array" ref="R84">SUMPRODUCT(IF($A$3:$A$52=$B84,IF($C$1:$AZ$1=R$64,$C$3:$AZ$52)))</f>
        <v>282.61500000000001</v>
      </c>
      <c r="S84" cm="1">
        <f t="array" ref="S84">SUMPRODUCT(IF($A$3:$A$52=$B84,IF($C$1:$AZ$1=S$64,$C$3:$AZ$52)))</f>
        <v>531.55100000000004</v>
      </c>
      <c r="T84" cm="1">
        <f t="array" ref="T84">SUMPRODUCT(IF($A$3:$A$52=$B84,IF($C$1:$AZ$1=T$64,$C$3:$AZ$52)))</f>
        <v>1640.6559999999999</v>
      </c>
      <c r="U84" cm="1">
        <f t="array" ref="U84">SUMPRODUCT(IF($A$3:$A$52=$B84,IF($C$1:$AZ$1=U$64,$C$3:$AZ$52)))</f>
        <v>3976.2460000000001</v>
      </c>
      <c r="V84" cm="1">
        <f t="array" ref="V84">SUMPRODUCT(IF($A$3:$A$52=$B84,IF($C$1:$AZ$1=V$64,$C$3:$AZ$52)))</f>
        <v>11269.101000000001</v>
      </c>
      <c r="W84" cm="1">
        <f t="array" ref="W84">SUMPRODUCT(IF($A$3:$A$52=$B84,IF($C$1:$AZ$1=W$64,$C$3:$AZ$52)))</f>
        <v>7124.3040000000001</v>
      </c>
      <c r="X84" cm="1">
        <f t="array" ref="X84">SUMPRODUCT(IF($A$3:$A$52=$B84,IF($C$1:$AZ$1=X$64,$C$3:$AZ$52)))</f>
        <v>14651.880999999999</v>
      </c>
      <c r="Y84" cm="1">
        <f t="array" ref="Y84">SUMPRODUCT(IF($A$3:$A$52=$B84,IF($C$1:$AZ$1=Y$64,$C$3:$AZ$52)))</f>
        <v>2509.8040000000001</v>
      </c>
      <c r="Z84" cm="1">
        <f t="array" ref="Z84">SUMPRODUCT(IF($A$3:$A$52=$B84,IF($C$1:$AZ$1=Z$64,$C$3:$AZ$52)))</f>
        <v>1490.5229999999999</v>
      </c>
      <c r="AA84" cm="1">
        <f t="array" ref="AA84">SUMPRODUCT(IF($A$3:$A$52=$B84,IF($C$1:$AZ$1=AA$64,$C$3:$AZ$52)))</f>
        <v>3365.9369999999999</v>
      </c>
      <c r="AB84" cm="1">
        <f t="array" ref="AB84">SUMPRODUCT(IF($A$3:$A$52=$B84,IF($C$1:$AZ$1=AB$64,$C$3:$AZ$52)))</f>
        <v>0</v>
      </c>
      <c r="AC84" cm="1">
        <f t="array" ref="AC84">SUMPRODUCT(IF($A$3:$A$52=$B84,IF($C$1:$AZ$1=AC$64,$C$3:$AZ$52)))</f>
        <v>289.649</v>
      </c>
      <c r="AD84" cm="1">
        <f t="array" ref="AD84">SUMPRODUCT(IF($A$3:$A$52=$B84,IF($C$1:$AZ$1=AD$64,$C$3:$AZ$52)))</f>
        <v>19669.504000000001</v>
      </c>
      <c r="AE84" cm="1">
        <f t="array" ref="AE84">SUMPRODUCT(IF($A$3:$A$52=$B84,IF($C$1:$AZ$1=AE$64,$C$3:$AZ$52)))</f>
        <v>8767.1749999999993</v>
      </c>
      <c r="AF84" cm="1">
        <f t="array" ref="AF84">SUMPRODUCT(IF($A$3:$A$52=$B84,IF($C$1:$AZ$1=AF$64,$C$3:$AZ$52)))</f>
        <v>1443.826</v>
      </c>
      <c r="AG84" cm="1">
        <f t="array" ref="AG84">SUMPRODUCT(IF($A$3:$A$52=$B84,IF($C$1:$AZ$1=AG$64,$C$3:$AZ$52)))</f>
        <v>1057.1389999999999</v>
      </c>
      <c r="AH84" cm="1">
        <f t="array" ref="AH84">SUMPRODUCT(IF($A$3:$A$52=$B84,IF($C$1:$AZ$1=AH$64,$C$3:$AZ$52)))</f>
        <v>648.25599999999997</v>
      </c>
      <c r="AI84" cm="1">
        <f t="array" ref="AI84">SUMPRODUCT(IF($A$3:$A$52=$B84,IF($C$1:$AZ$1=AI$64,$C$3:$AZ$52)))</f>
        <v>3656.5839999999998</v>
      </c>
      <c r="AJ84" cm="1">
        <f t="array" ref="AJ84">SUMPRODUCT(IF($A$3:$A$52=$B84,IF($C$1:$AZ$1=AJ$64,$C$3:$AZ$52)))</f>
        <v>1470.018</v>
      </c>
      <c r="AK84" cm="1">
        <f t="array" ref="AK84">SUMPRODUCT(IF($A$3:$A$52=$B84,IF($C$1:$AZ$1=AK$64,$C$3:$AZ$52)))</f>
        <v>476.29899999999998</v>
      </c>
      <c r="AL84" cm="1">
        <f t="array" ref="AL84">SUMPRODUCT(IF($A$3:$A$52=$B84,IF($C$1:$AZ$1=AL$64,$C$3:$AZ$52)))</f>
        <v>2223.5479999999998</v>
      </c>
      <c r="AM84" cm="1">
        <f t="array" ref="AM84">SUMPRODUCT(IF($A$3:$A$52=$B84,IF($C$1:$AZ$1=AM$64,$C$3:$AZ$52)))</f>
        <v>6910.1570000000002</v>
      </c>
      <c r="AN84" cm="1">
        <f t="array" ref="AN84">SUMPRODUCT(IF($A$3:$A$52=$B84,IF($C$1:$AZ$1=AN$64,$C$3:$AZ$52)))</f>
        <v>5400.3209999999999</v>
      </c>
      <c r="AO84" cm="1">
        <f t="array" ref="AO84">SUMPRODUCT(IF($A$3:$A$52=$B84,IF($C$1:$AZ$1=AO$64,$C$3:$AZ$52)))</f>
        <v>1160.047</v>
      </c>
      <c r="AP84" cm="1">
        <f t="array" ref="AP84">SUMPRODUCT(IF($A$3:$A$52=$B84,IF($C$1:$AZ$1=AP$64,$C$3:$AZ$52)))</f>
        <v>3034.0059999999999</v>
      </c>
      <c r="AQ84" cm="1">
        <f t="array" ref="AQ84">SUMPRODUCT(IF($A$3:$A$52=$B84,IF($C$1:$AZ$1=AQ$64,$C$3:$AZ$52)))</f>
        <v>1741.6849999999999</v>
      </c>
      <c r="AR84" cm="1">
        <f t="array" ref="AR84">SUMPRODUCT(IF($A$3:$A$52=$B84,IF($C$1:$AZ$1=AR$64,$C$3:$AZ$52)))</f>
        <v>0</v>
      </c>
    </row>
    <row r="85" spans="2:44" x14ac:dyDescent="0.25">
      <c r="B85" t="s">
        <v>16</v>
      </c>
      <c r="C85" cm="1">
        <f t="array" ref="C85">SUMPRODUCT(IF($A$3:$A$52=$B85,IF($C$1:$AZ$1=C$64,$C$3:$AZ$52)))</f>
        <v>1613.365</v>
      </c>
      <c r="D85" cm="1">
        <f t="array" ref="D85">SUMPRODUCT(IF($A$3:$A$52=$B85,IF($C$1:$AZ$1=D$64,$C$3:$AZ$52)))</f>
        <v>611.93899999999996</v>
      </c>
      <c r="E85" cm="1">
        <f t="array" ref="E85">SUMPRODUCT(IF($A$3:$A$52=$B85,IF($C$1:$AZ$1=E$64,$C$3:$AZ$52)))</f>
        <v>10125.901</v>
      </c>
      <c r="F85" cm="1">
        <f t="array" ref="F85">SUMPRODUCT(IF($A$3:$A$52=$B85,IF($C$1:$AZ$1=F$64,$C$3:$AZ$52)))</f>
        <v>991.83400000000006</v>
      </c>
      <c r="G85" cm="1">
        <f t="array" ref="G85">SUMPRODUCT(IF($A$3:$A$52=$B85,IF($C$1:$AZ$1=G$64,$C$3:$AZ$52)))</f>
        <v>416.12299999999999</v>
      </c>
      <c r="H85" cm="1">
        <f t="array" ref="H85">SUMPRODUCT(IF($A$3:$A$52=$B85,IF($C$1:$AZ$1=H$64,$C$3:$AZ$52)))</f>
        <v>3051.1089999999999</v>
      </c>
      <c r="I85" cm="1">
        <f t="array" ref="I85">SUMPRODUCT(IF($A$3:$A$52=$B85,IF($C$1:$AZ$1=I$64,$C$3:$AZ$52)))</f>
        <v>192.214</v>
      </c>
      <c r="J85" cm="1">
        <f t="array" ref="J85">SUMPRODUCT(IF($A$3:$A$52=$B85,IF($C$1:$AZ$1=J$64,$C$3:$AZ$52)))</f>
        <v>508.685</v>
      </c>
      <c r="K85" cm="1">
        <f t="array" ref="K85">SUMPRODUCT(IF($A$3:$A$52=$B85,IF($C$1:$AZ$1=K$64,$C$3:$AZ$52)))</f>
        <v>1077.414</v>
      </c>
      <c r="L85" cm="1">
        <f t="array" ref="L85">SUMPRODUCT(IF($A$3:$A$52=$B85,IF($C$1:$AZ$1=L$64,$C$3:$AZ$52)))</f>
        <v>1022.0170000000001</v>
      </c>
      <c r="M85" cm="1">
        <f t="array" ref="M85">SUMPRODUCT(IF($A$3:$A$52=$B85,IF($C$1:$AZ$1=M$64,$C$3:$AZ$52)))</f>
        <v>1282.635</v>
      </c>
      <c r="N85" cm="1">
        <f t="array" ref="N85">SUMPRODUCT(IF($A$3:$A$52=$B85,IF($C$1:$AZ$1=N$64,$C$3:$AZ$52)))</f>
        <v>406.17</v>
      </c>
      <c r="O85" cm="1">
        <f t="array" ref="O85">SUMPRODUCT(IF($A$3:$A$52=$B85,IF($C$1:$AZ$1=O$64,$C$3:$AZ$52)))</f>
        <v>1141.5260000000001</v>
      </c>
      <c r="P85" cm="1">
        <f t="array" ref="P85">SUMPRODUCT(IF($A$3:$A$52=$B85,IF($C$1:$AZ$1=P$64,$C$3:$AZ$52)))</f>
        <v>1507.672</v>
      </c>
      <c r="Q85" cm="1">
        <f t="array" ref="Q85">SUMPRODUCT(IF($A$3:$A$52=$B85,IF($C$1:$AZ$1=Q$64,$C$3:$AZ$52)))</f>
        <v>0</v>
      </c>
      <c r="R85" cm="1">
        <f t="array" ref="R85">SUMPRODUCT(IF($A$3:$A$52=$B85,IF($C$1:$AZ$1=R$64,$C$3:$AZ$52)))</f>
        <v>995.20500000000004</v>
      </c>
      <c r="S85" cm="1">
        <f t="array" ref="S85">SUMPRODUCT(IF($A$3:$A$52=$B85,IF($C$1:$AZ$1=S$64,$C$3:$AZ$52)))</f>
        <v>432.44099999999997</v>
      </c>
      <c r="T85" cm="1">
        <f t="array" ref="T85">SUMPRODUCT(IF($A$3:$A$52=$B85,IF($C$1:$AZ$1=T$64,$C$3:$AZ$52)))</f>
        <v>3656.6379999999999</v>
      </c>
      <c r="U85" cm="1">
        <f t="array" ref="U85">SUMPRODUCT(IF($A$3:$A$52=$B85,IF($C$1:$AZ$1=U$64,$C$3:$AZ$52)))</f>
        <v>1296.722</v>
      </c>
      <c r="V85" cm="1">
        <f t="array" ref="V85">SUMPRODUCT(IF($A$3:$A$52=$B85,IF($C$1:$AZ$1=V$64,$C$3:$AZ$52)))</f>
        <v>2056.489</v>
      </c>
      <c r="W85" cm="1">
        <f t="array" ref="W85">SUMPRODUCT(IF($A$3:$A$52=$B85,IF($C$1:$AZ$1=W$64,$C$3:$AZ$52)))</f>
        <v>36281.256999999998</v>
      </c>
      <c r="X85" cm="1">
        <f t="array" ref="X85">SUMPRODUCT(IF($A$3:$A$52=$B85,IF($C$1:$AZ$1=X$64,$C$3:$AZ$52)))</f>
        <v>15709.651</v>
      </c>
      <c r="Y85" cm="1">
        <f t="array" ref="Y85">SUMPRODUCT(IF($A$3:$A$52=$B85,IF($C$1:$AZ$1=Y$64,$C$3:$AZ$52)))</f>
        <v>4279.5529999999999</v>
      </c>
      <c r="Z85" cm="1">
        <f t="array" ref="Z85">SUMPRODUCT(IF($A$3:$A$52=$B85,IF($C$1:$AZ$1=Z$64,$C$3:$AZ$52)))</f>
        <v>2880.799</v>
      </c>
      <c r="AA85" cm="1">
        <f t="array" ref="AA85">SUMPRODUCT(IF($A$3:$A$52=$B85,IF($C$1:$AZ$1=AA$64,$C$3:$AZ$52)))</f>
        <v>2066.29</v>
      </c>
      <c r="AB85" cm="1">
        <f t="array" ref="AB85">SUMPRODUCT(IF($A$3:$A$52=$B85,IF($C$1:$AZ$1=AB$64,$C$3:$AZ$52)))</f>
        <v>0</v>
      </c>
      <c r="AC85" cm="1">
        <f t="array" ref="AC85">SUMPRODUCT(IF($A$3:$A$52=$B85,IF($C$1:$AZ$1=AC$64,$C$3:$AZ$52)))</f>
        <v>740.88599999999997</v>
      </c>
      <c r="AD85" cm="1">
        <f t="array" ref="AD85">SUMPRODUCT(IF($A$3:$A$52=$B85,IF($C$1:$AZ$1=AD$64,$C$3:$AZ$52)))</f>
        <v>16418.013999999999</v>
      </c>
      <c r="AE85" cm="1">
        <f t="array" ref="AE85">SUMPRODUCT(IF($A$3:$A$52=$B85,IF($C$1:$AZ$1=AE$64,$C$3:$AZ$52)))</f>
        <v>10886.948</v>
      </c>
      <c r="AF85" cm="1">
        <f t="array" ref="AF85">SUMPRODUCT(IF($A$3:$A$52=$B85,IF($C$1:$AZ$1=AF$64,$C$3:$AZ$52)))</f>
        <v>2138.2299999999996</v>
      </c>
      <c r="AG85" cm="1">
        <f t="array" ref="AG85">SUMPRODUCT(IF($A$3:$A$52=$B85,IF($C$1:$AZ$1=AG$64,$C$3:$AZ$52)))</f>
        <v>770.81100000000004</v>
      </c>
      <c r="AH85" cm="1">
        <f t="array" ref="AH85">SUMPRODUCT(IF($A$3:$A$52=$B85,IF($C$1:$AZ$1=AH$64,$C$3:$AZ$52)))</f>
        <v>619.62400000000002</v>
      </c>
      <c r="AI85" cm="1">
        <f t="array" ref="AI85">SUMPRODUCT(IF($A$3:$A$52=$B85,IF($C$1:$AZ$1=AI$64,$C$3:$AZ$52)))</f>
        <v>847.72299999999996</v>
      </c>
      <c r="AJ85" cm="1">
        <f t="array" ref="AJ85">SUMPRODUCT(IF($A$3:$A$52=$B85,IF($C$1:$AZ$1=AJ$64,$C$3:$AZ$52)))</f>
        <v>882.62300000000005</v>
      </c>
      <c r="AK85" cm="1">
        <f t="array" ref="AK85">SUMPRODUCT(IF($A$3:$A$52=$B85,IF($C$1:$AZ$1=AK$64,$C$3:$AZ$52)))</f>
        <v>1616.3140000000001</v>
      </c>
      <c r="AL85" cm="1">
        <f t="array" ref="AL85">SUMPRODUCT(IF($A$3:$A$52=$B85,IF($C$1:$AZ$1=AL$64,$C$3:$AZ$52)))</f>
        <v>1395.058</v>
      </c>
      <c r="AM85" cm="1">
        <f t="array" ref="AM85">SUMPRODUCT(IF($A$3:$A$52=$B85,IF($C$1:$AZ$1=AM$64,$C$3:$AZ$52)))</f>
        <v>8866.2340000000004</v>
      </c>
      <c r="AN85" cm="1">
        <f t="array" ref="AN85">SUMPRODUCT(IF($A$3:$A$52=$B85,IF($C$1:$AZ$1=AN$64,$C$3:$AZ$52)))</f>
        <v>6021.9030000000002</v>
      </c>
      <c r="AO85" cm="1">
        <f t="array" ref="AO85">SUMPRODUCT(IF($A$3:$A$52=$B85,IF($C$1:$AZ$1=AO$64,$C$3:$AZ$52)))</f>
        <v>1400.2860000000001</v>
      </c>
      <c r="AP85" cm="1">
        <f t="array" ref="AP85">SUMPRODUCT(IF($A$3:$A$52=$B85,IF($C$1:$AZ$1=AP$64,$C$3:$AZ$52)))</f>
        <v>3512.5659999999998</v>
      </c>
      <c r="AQ85" cm="1">
        <f t="array" ref="AQ85">SUMPRODUCT(IF($A$3:$A$52=$B85,IF($C$1:$AZ$1=AQ$64,$C$3:$AZ$52)))</f>
        <v>1237.26</v>
      </c>
      <c r="AR85" cm="1">
        <f t="array" ref="AR85">SUMPRODUCT(IF($A$3:$A$52=$B85,IF($C$1:$AZ$1=AR$64,$C$3:$AZ$52)))</f>
        <v>0</v>
      </c>
    </row>
    <row r="86" spans="2:44" x14ac:dyDescent="0.25">
      <c r="B86" t="s">
        <v>17</v>
      </c>
      <c r="C86" cm="1">
        <f t="array" ref="C86">SUMPRODUCT(IF($A$3:$A$52=$B86,IF($C$1:$AZ$1=C$64,$C$3:$AZ$52)))</f>
        <v>315.13100000000003</v>
      </c>
      <c r="D86" cm="1">
        <f t="array" ref="D86">SUMPRODUCT(IF($A$3:$A$52=$B86,IF($C$1:$AZ$1=D$64,$C$3:$AZ$52)))</f>
        <v>18.632000000000001</v>
      </c>
      <c r="E86" cm="1">
        <f t="array" ref="E86">SUMPRODUCT(IF($A$3:$A$52=$B86,IF($C$1:$AZ$1=E$64,$C$3:$AZ$52)))</f>
        <v>579.52</v>
      </c>
      <c r="F86" cm="1">
        <f t="array" ref="F86">SUMPRODUCT(IF($A$3:$A$52=$B86,IF($C$1:$AZ$1=F$64,$C$3:$AZ$52)))</f>
        <v>117.53999999999999</v>
      </c>
      <c r="G86" cm="1">
        <f t="array" ref="G86">SUMPRODUCT(IF($A$3:$A$52=$B86,IF($C$1:$AZ$1=G$64,$C$3:$AZ$52)))</f>
        <v>29.001000000000001</v>
      </c>
      <c r="H86" cm="1">
        <f t="array" ref="H86">SUMPRODUCT(IF($A$3:$A$52=$B86,IF($C$1:$AZ$1=H$64,$C$3:$AZ$52)))</f>
        <v>360.01499999999999</v>
      </c>
      <c r="I86" cm="1">
        <f t="array" ref="I86">SUMPRODUCT(IF($A$3:$A$52=$B86,IF($C$1:$AZ$1=I$64,$C$3:$AZ$52)))</f>
        <v>20.669</v>
      </c>
      <c r="J86" cm="1">
        <f t="array" ref="J86">SUMPRODUCT(IF($A$3:$A$52=$B86,IF($C$1:$AZ$1=J$64,$C$3:$AZ$52)))</f>
        <v>64.53</v>
      </c>
      <c r="K86" cm="1">
        <f t="array" ref="K86">SUMPRODUCT(IF($A$3:$A$52=$B86,IF($C$1:$AZ$1=K$64,$C$3:$AZ$52)))</f>
        <v>76.691000000000003</v>
      </c>
      <c r="L86" cm="1">
        <f t="array" ref="L86">SUMPRODUCT(IF($A$3:$A$52=$B86,IF($C$1:$AZ$1=L$64,$C$3:$AZ$52)))</f>
        <v>75.715000000000003</v>
      </c>
      <c r="M86" cm="1">
        <f t="array" ref="M86">SUMPRODUCT(IF($A$3:$A$52=$B86,IF($C$1:$AZ$1=M$64,$C$3:$AZ$52)))</f>
        <v>154.678</v>
      </c>
      <c r="N86" cm="1">
        <f t="array" ref="N86">SUMPRODUCT(IF($A$3:$A$52=$B86,IF($C$1:$AZ$1=N$64,$C$3:$AZ$52)))</f>
        <v>51.862000000000002</v>
      </c>
      <c r="O86" cm="1">
        <f t="array" ref="O86">SUMPRODUCT(IF($A$3:$A$52=$B86,IF($C$1:$AZ$1=O$64,$C$3:$AZ$52)))</f>
        <v>215.11799999999999</v>
      </c>
      <c r="P86" cm="1">
        <f t="array" ref="P86">SUMPRODUCT(IF($A$3:$A$52=$B86,IF($C$1:$AZ$1=P$64,$C$3:$AZ$52)))</f>
        <v>190.99100000000001</v>
      </c>
      <c r="Q86" cm="1">
        <f t="array" ref="Q86">SUMPRODUCT(IF($A$3:$A$52=$B86,IF($C$1:$AZ$1=Q$64,$C$3:$AZ$52)))</f>
        <v>0</v>
      </c>
      <c r="R86" cm="1">
        <f t="array" ref="R86">SUMPRODUCT(IF($A$3:$A$52=$B86,IF($C$1:$AZ$1=R$64,$C$3:$AZ$52)))</f>
        <v>111.705</v>
      </c>
      <c r="S86" cm="1">
        <f t="array" ref="S86">SUMPRODUCT(IF($A$3:$A$52=$B86,IF($C$1:$AZ$1=S$64,$C$3:$AZ$52)))</f>
        <v>108.925</v>
      </c>
      <c r="T86" cm="1">
        <f t="array" ref="T86">SUMPRODUCT(IF($A$3:$A$52=$B86,IF($C$1:$AZ$1=T$64,$C$3:$AZ$52)))</f>
        <v>518.08699999999999</v>
      </c>
      <c r="U86" cm="1">
        <f t="array" ref="U86">SUMPRODUCT(IF($A$3:$A$52=$B86,IF($C$1:$AZ$1=U$64,$C$3:$AZ$52)))</f>
        <v>385.66500000000002</v>
      </c>
      <c r="V86" cm="1">
        <f t="array" ref="V86">SUMPRODUCT(IF($A$3:$A$52=$B86,IF($C$1:$AZ$1=V$64,$C$3:$AZ$52)))</f>
        <v>419.9</v>
      </c>
      <c r="W86" cm="1">
        <f t="array" ref="W86">SUMPRODUCT(IF($A$3:$A$52=$B86,IF($C$1:$AZ$1=W$64,$C$3:$AZ$52)))</f>
        <v>1765.7429999999999</v>
      </c>
      <c r="X86" cm="1">
        <f t="array" ref="X86">SUMPRODUCT(IF($A$3:$A$52=$B86,IF($C$1:$AZ$1=X$64,$C$3:$AZ$52)))</f>
        <v>130625.74</v>
      </c>
      <c r="Y86" cm="1">
        <f t="array" ref="Y86">SUMPRODUCT(IF($A$3:$A$52=$B86,IF($C$1:$AZ$1=Y$64,$C$3:$AZ$52)))</f>
        <v>1515.8150000000001</v>
      </c>
      <c r="Z86" cm="1">
        <f t="array" ref="Z86">SUMPRODUCT(IF($A$3:$A$52=$B86,IF($C$1:$AZ$1=Z$64,$C$3:$AZ$52)))</f>
        <v>355.88400000000001</v>
      </c>
      <c r="AA86" cm="1">
        <f t="array" ref="AA86">SUMPRODUCT(IF($A$3:$A$52=$B86,IF($C$1:$AZ$1=AA$64,$C$3:$AZ$52)))</f>
        <v>233.239</v>
      </c>
      <c r="AB86" cm="1">
        <f t="array" ref="AB86">SUMPRODUCT(IF($A$3:$A$52=$B86,IF($C$1:$AZ$1=AB$64,$C$3:$AZ$52)))</f>
        <v>0</v>
      </c>
      <c r="AC86" cm="1">
        <f t="array" ref="AC86">SUMPRODUCT(IF($A$3:$A$52=$B86,IF($C$1:$AZ$1=AC$64,$C$3:$AZ$52)))</f>
        <v>214.55600000000001</v>
      </c>
      <c r="AD86" cm="1">
        <f t="array" ref="AD86">SUMPRODUCT(IF($A$3:$A$52=$B86,IF($C$1:$AZ$1=AD$64,$C$3:$AZ$52)))</f>
        <v>2025.627</v>
      </c>
      <c r="AE86" cm="1">
        <f t="array" ref="AE86">SUMPRODUCT(IF($A$3:$A$52=$B86,IF($C$1:$AZ$1=AE$64,$C$3:$AZ$52)))</f>
        <v>40004.593000000001</v>
      </c>
      <c r="AF86" cm="1">
        <f t="array" ref="AF86">SUMPRODUCT(IF($A$3:$A$52=$B86,IF($C$1:$AZ$1=AF$64,$C$3:$AZ$52)))</f>
        <v>6674.5439999999999</v>
      </c>
      <c r="AG86" cm="1">
        <f t="array" ref="AG86">SUMPRODUCT(IF($A$3:$A$52=$B86,IF($C$1:$AZ$1=AG$64,$C$3:$AZ$52)))</f>
        <v>203.64400000000001</v>
      </c>
      <c r="AH86" cm="1">
        <f t="array" ref="AH86">SUMPRODUCT(IF($A$3:$A$52=$B86,IF($C$1:$AZ$1=AH$64,$C$3:$AZ$52)))</f>
        <v>138.55699999999999</v>
      </c>
      <c r="AI86" cm="1">
        <f t="array" ref="AI86">SUMPRODUCT(IF($A$3:$A$52=$B86,IF($C$1:$AZ$1=AI$64,$C$3:$AZ$52)))</f>
        <v>273.12</v>
      </c>
      <c r="AJ86" cm="1">
        <f t="array" ref="AJ86">SUMPRODUCT(IF($A$3:$A$52=$B86,IF($C$1:$AZ$1=AJ$64,$C$3:$AZ$52)))</f>
        <v>312.09500000000003</v>
      </c>
      <c r="AK86" cm="1">
        <f t="array" ref="AK86">SUMPRODUCT(IF($A$3:$A$52=$B86,IF($C$1:$AZ$1=AK$64,$C$3:$AZ$52)))</f>
        <v>400.95499999999998</v>
      </c>
      <c r="AL86" cm="1">
        <f t="array" ref="AL86">SUMPRODUCT(IF($A$3:$A$52=$B86,IF($C$1:$AZ$1=AL$64,$C$3:$AZ$52)))</f>
        <v>594.86599999999999</v>
      </c>
      <c r="AM86" cm="1">
        <f t="array" ref="AM86">SUMPRODUCT(IF($A$3:$A$52=$B86,IF($C$1:$AZ$1=AM$64,$C$3:$AZ$52)))</f>
        <v>3987.3900000000003</v>
      </c>
      <c r="AN86" cm="1">
        <f t="array" ref="AN86">SUMPRODUCT(IF($A$3:$A$52=$B86,IF($C$1:$AZ$1=AN$64,$C$3:$AZ$52)))</f>
        <v>2026.893</v>
      </c>
      <c r="AO86" cm="1">
        <f t="array" ref="AO86">SUMPRODUCT(IF($A$3:$A$52=$B86,IF($C$1:$AZ$1=AO$64,$C$3:$AZ$52)))</f>
        <v>530.24800000000005</v>
      </c>
      <c r="AP86" cm="1">
        <f t="array" ref="AP86">SUMPRODUCT(IF($A$3:$A$52=$B86,IF($C$1:$AZ$1=AP$64,$C$3:$AZ$52)))</f>
        <v>824.15</v>
      </c>
      <c r="AQ86" cm="1">
        <f t="array" ref="AQ86">SUMPRODUCT(IF($A$3:$A$52=$B86,IF($C$1:$AZ$1=AQ$64,$C$3:$AZ$52)))</f>
        <v>432.57100000000003</v>
      </c>
      <c r="AR86" cm="1">
        <f t="array" ref="AR86">SUMPRODUCT(IF($A$3:$A$52=$B86,IF($C$1:$AZ$1=AR$64,$C$3:$AZ$52)))</f>
        <v>0</v>
      </c>
    </row>
    <row r="87" spans="2:44" x14ac:dyDescent="0.25">
      <c r="B87" t="s">
        <v>18</v>
      </c>
      <c r="C87" cm="1">
        <f t="array" ref="C87">SUMPRODUCT(IF($A$3:$A$52=$B87,IF($C$1:$AZ$1=C$64,$C$3:$AZ$52)))</f>
        <v>113.84299999999999</v>
      </c>
      <c r="D87" cm="1">
        <f t="array" ref="D87">SUMPRODUCT(IF($A$3:$A$52=$B87,IF($C$1:$AZ$1=D$64,$C$3:$AZ$52)))</f>
        <v>16.345000000000002</v>
      </c>
      <c r="E87" cm="1">
        <f t="array" ref="E87">SUMPRODUCT(IF($A$3:$A$52=$B87,IF($C$1:$AZ$1=E$64,$C$3:$AZ$52)))</f>
        <v>222.47200000000001</v>
      </c>
      <c r="F87" cm="1">
        <f t="array" ref="F87">SUMPRODUCT(IF($A$3:$A$52=$B87,IF($C$1:$AZ$1=F$64,$C$3:$AZ$52)))</f>
        <v>23.026000000000003</v>
      </c>
      <c r="G87" cm="1">
        <f t="array" ref="G87">SUMPRODUCT(IF($A$3:$A$52=$B87,IF($C$1:$AZ$1=G$64,$C$3:$AZ$52)))</f>
        <v>8.7560000000000002</v>
      </c>
      <c r="H87" cm="1">
        <f t="array" ref="H87">SUMPRODUCT(IF($A$3:$A$52=$B87,IF($C$1:$AZ$1=H$64,$C$3:$AZ$52)))</f>
        <v>211.536</v>
      </c>
      <c r="I87" cm="1">
        <f t="array" ref="I87">SUMPRODUCT(IF($A$3:$A$52=$B87,IF($C$1:$AZ$1=I$64,$C$3:$AZ$52)))</f>
        <v>9.1120000000000001</v>
      </c>
      <c r="J87" cm="1">
        <f t="array" ref="J87">SUMPRODUCT(IF($A$3:$A$52=$B87,IF($C$1:$AZ$1=J$64,$C$3:$AZ$52)))</f>
        <v>27.414999999999999</v>
      </c>
      <c r="K87" cm="1">
        <f t="array" ref="K87">SUMPRODUCT(IF($A$3:$A$52=$B87,IF($C$1:$AZ$1=K$64,$C$3:$AZ$52)))</f>
        <v>37.027000000000001</v>
      </c>
      <c r="L87" cm="1">
        <f t="array" ref="L87">SUMPRODUCT(IF($A$3:$A$52=$B87,IF($C$1:$AZ$1=L$64,$C$3:$AZ$52)))</f>
        <v>133.62799999999999</v>
      </c>
      <c r="M87" cm="1">
        <f t="array" ref="M87">SUMPRODUCT(IF($A$3:$A$52=$B87,IF($C$1:$AZ$1=M$64,$C$3:$AZ$52)))</f>
        <v>85.941000000000003</v>
      </c>
      <c r="N87" cm="1">
        <f t="array" ref="N87">SUMPRODUCT(IF($A$3:$A$52=$B87,IF($C$1:$AZ$1=N$64,$C$3:$AZ$52)))</f>
        <v>26.992999999999999</v>
      </c>
      <c r="O87" cm="1">
        <f t="array" ref="O87">SUMPRODUCT(IF($A$3:$A$52=$B87,IF($C$1:$AZ$1=O$64,$C$3:$AZ$52)))</f>
        <v>76.837999999999994</v>
      </c>
      <c r="P87" cm="1">
        <f t="array" ref="P87">SUMPRODUCT(IF($A$3:$A$52=$B87,IF($C$1:$AZ$1=P$64,$C$3:$AZ$52)))</f>
        <v>31.721</v>
      </c>
      <c r="Q87" cm="1">
        <f t="array" ref="Q87">SUMPRODUCT(IF($A$3:$A$52=$B87,IF($C$1:$AZ$1=Q$64,$C$3:$AZ$52)))</f>
        <v>0</v>
      </c>
      <c r="R87" cm="1">
        <f t="array" ref="R87">SUMPRODUCT(IF($A$3:$A$52=$B87,IF($C$1:$AZ$1=R$64,$C$3:$AZ$52)))</f>
        <v>43.03</v>
      </c>
      <c r="S87" cm="1">
        <f t="array" ref="S87">SUMPRODUCT(IF($A$3:$A$52=$B87,IF($C$1:$AZ$1=S$64,$C$3:$AZ$52)))</f>
        <v>24.948</v>
      </c>
      <c r="T87" cm="1">
        <f t="array" ref="T87">SUMPRODUCT(IF($A$3:$A$52=$B87,IF($C$1:$AZ$1=T$64,$C$3:$AZ$52)))</f>
        <v>318.31399999999996</v>
      </c>
      <c r="U87" cm="1">
        <f t="array" ref="U87">SUMPRODUCT(IF($A$3:$A$52=$B87,IF($C$1:$AZ$1=U$64,$C$3:$AZ$52)))</f>
        <v>136.93300000000002</v>
      </c>
      <c r="V87" cm="1">
        <f t="array" ref="V87">SUMPRODUCT(IF($A$3:$A$52=$B87,IF($C$1:$AZ$1=V$64,$C$3:$AZ$52)))</f>
        <v>133.55699999999999</v>
      </c>
      <c r="W87" cm="1">
        <f t="array" ref="W87">SUMPRODUCT(IF($A$3:$A$52=$B87,IF($C$1:$AZ$1=W$64,$C$3:$AZ$52)))</f>
        <v>592.23399999999992</v>
      </c>
      <c r="X87" cm="1">
        <f t="array" ref="X87">SUMPRODUCT(IF($A$3:$A$52=$B87,IF($C$1:$AZ$1=X$64,$C$3:$AZ$52)))</f>
        <v>7274.7150000000001</v>
      </c>
      <c r="Y87" cm="1">
        <f t="array" ref="Y87">SUMPRODUCT(IF($A$3:$A$52=$B87,IF($C$1:$AZ$1=Y$64,$C$3:$AZ$52)))</f>
        <v>67767.904999999999</v>
      </c>
      <c r="Z87" cm="1">
        <f t="array" ref="Z87">SUMPRODUCT(IF($A$3:$A$52=$B87,IF($C$1:$AZ$1=Z$64,$C$3:$AZ$52)))</f>
        <v>888.37199999999996</v>
      </c>
      <c r="AA87" cm="1">
        <f t="array" ref="AA87">SUMPRODUCT(IF($A$3:$A$52=$B87,IF($C$1:$AZ$1=AA$64,$C$3:$AZ$52)))</f>
        <v>73.563000000000002</v>
      </c>
      <c r="AB87" cm="1">
        <f t="array" ref="AB87">SUMPRODUCT(IF($A$3:$A$52=$B87,IF($C$1:$AZ$1=AB$64,$C$3:$AZ$52)))</f>
        <v>0</v>
      </c>
      <c r="AC87" cm="1">
        <f t="array" ref="AC87">SUMPRODUCT(IF($A$3:$A$52=$B87,IF($C$1:$AZ$1=AC$64,$C$3:$AZ$52)))</f>
        <v>24.364000000000001</v>
      </c>
      <c r="AD87" cm="1">
        <f t="array" ref="AD87">SUMPRODUCT(IF($A$3:$A$52=$B87,IF($C$1:$AZ$1=AD$64,$C$3:$AZ$52)))</f>
        <v>745.37700000000007</v>
      </c>
      <c r="AE87" cm="1">
        <f t="array" ref="AE87">SUMPRODUCT(IF($A$3:$A$52=$B87,IF($C$1:$AZ$1=AE$64,$C$3:$AZ$52)))</f>
        <v>3582.683</v>
      </c>
      <c r="AF87" cm="1">
        <f t="array" ref="AF87">SUMPRODUCT(IF($A$3:$A$52=$B87,IF($C$1:$AZ$1=AF$64,$C$3:$AZ$52)))</f>
        <v>10309.197000000002</v>
      </c>
      <c r="AG87" cm="1">
        <f t="array" ref="AG87">SUMPRODUCT(IF($A$3:$A$52=$B87,IF($C$1:$AZ$1=AG$64,$C$3:$AZ$52)))</f>
        <v>89.016999999999996</v>
      </c>
      <c r="AH87" cm="1">
        <f t="array" ref="AH87">SUMPRODUCT(IF($A$3:$A$52=$B87,IF($C$1:$AZ$1=AH$64,$C$3:$AZ$52)))</f>
        <v>43.294000000000004</v>
      </c>
      <c r="AI87" cm="1">
        <f t="array" ref="AI87">SUMPRODUCT(IF($A$3:$A$52=$B87,IF($C$1:$AZ$1=AI$64,$C$3:$AZ$52)))</f>
        <v>74.846000000000004</v>
      </c>
      <c r="AJ87" cm="1">
        <f t="array" ref="AJ87">SUMPRODUCT(IF($A$3:$A$52=$B87,IF($C$1:$AZ$1=AJ$64,$C$3:$AZ$52)))</f>
        <v>175.89000000000001</v>
      </c>
      <c r="AK87" cm="1">
        <f t="array" ref="AK87">SUMPRODUCT(IF($A$3:$A$52=$B87,IF($C$1:$AZ$1=AK$64,$C$3:$AZ$52)))</f>
        <v>147.36100000000002</v>
      </c>
      <c r="AL87" cm="1">
        <f t="array" ref="AL87">SUMPRODUCT(IF($A$3:$A$52=$B87,IF($C$1:$AZ$1=AL$64,$C$3:$AZ$52)))</f>
        <v>264.31100000000004</v>
      </c>
      <c r="AM87" cm="1">
        <f t="array" ref="AM87">SUMPRODUCT(IF($A$3:$A$52=$B87,IF($C$1:$AZ$1=AM$64,$C$3:$AZ$52)))</f>
        <v>1665.124</v>
      </c>
      <c r="AN87" cm="1">
        <f t="array" ref="AN87">SUMPRODUCT(IF($A$3:$A$52=$B87,IF($C$1:$AZ$1=AN$64,$C$3:$AZ$52)))</f>
        <v>14500.754000000001</v>
      </c>
      <c r="AO87" cm="1">
        <f t="array" ref="AO87">SUMPRODUCT(IF($A$3:$A$52=$B87,IF($C$1:$AZ$1=AO$64,$C$3:$AZ$52)))</f>
        <v>160.09399999999999</v>
      </c>
      <c r="AP87" cm="1">
        <f t="array" ref="AP87">SUMPRODUCT(IF($A$3:$A$52=$B87,IF($C$1:$AZ$1=AP$64,$C$3:$AZ$52)))</f>
        <v>868.20900000000006</v>
      </c>
      <c r="AQ87" cm="1">
        <f t="array" ref="AQ87">SUMPRODUCT(IF($A$3:$A$52=$B87,IF($C$1:$AZ$1=AQ$64,$C$3:$AZ$52)))</f>
        <v>293.98900000000003</v>
      </c>
      <c r="AR87" cm="1">
        <f t="array" ref="AR87">SUMPRODUCT(IF($A$3:$A$52=$B87,IF($C$1:$AZ$1=AR$64,$C$3:$AZ$52)))</f>
        <v>0</v>
      </c>
    </row>
    <row r="88" spans="2:44" x14ac:dyDescent="0.25">
      <c r="B88" t="s">
        <v>19</v>
      </c>
      <c r="C88" cm="1">
        <f t="array" ref="C88">SUMPRODUCT(IF($A$3:$A$52=$B88,IF($C$1:$AZ$1=C$64,$C$3:$AZ$52)))</f>
        <v>3010.9760000000001</v>
      </c>
      <c r="D88" cm="1">
        <f t="array" ref="D88">SUMPRODUCT(IF($A$3:$A$52=$B88,IF($C$1:$AZ$1=D$64,$C$3:$AZ$52)))</f>
        <v>162.71799999999999</v>
      </c>
      <c r="E88" cm="1">
        <f t="array" ref="E88">SUMPRODUCT(IF($A$3:$A$52=$B88,IF($C$1:$AZ$1=E$64,$C$3:$AZ$52)))</f>
        <v>4331.1379999999999</v>
      </c>
      <c r="F88" cm="1">
        <f t="array" ref="F88">SUMPRODUCT(IF($A$3:$A$52=$B88,IF($C$1:$AZ$1=F$64,$C$3:$AZ$52)))</f>
        <v>518.87199999999996</v>
      </c>
      <c r="G88" cm="1">
        <f t="array" ref="G88">SUMPRODUCT(IF($A$3:$A$52=$B88,IF($C$1:$AZ$1=G$64,$C$3:$AZ$52)))</f>
        <v>168.18299999999999</v>
      </c>
      <c r="H88" cm="1">
        <f t="array" ref="H88">SUMPRODUCT(IF($A$3:$A$52=$B88,IF($C$1:$AZ$1=H$64,$C$3:$AZ$52)))</f>
        <v>3289.364</v>
      </c>
      <c r="I88" cm="1">
        <f t="array" ref="I88">SUMPRODUCT(IF($A$3:$A$52=$B88,IF($C$1:$AZ$1=I$64,$C$3:$AZ$52)))</f>
        <v>343.91699999999997</v>
      </c>
      <c r="J88" cm="1">
        <f t="array" ref="J88">SUMPRODUCT(IF($A$3:$A$52=$B88,IF($C$1:$AZ$1=J$64,$C$3:$AZ$52)))</f>
        <v>558.02300000000002</v>
      </c>
      <c r="K88" cm="1">
        <f t="array" ref="K88">SUMPRODUCT(IF($A$3:$A$52=$B88,IF($C$1:$AZ$1=K$64,$C$3:$AZ$52)))</f>
        <v>1123.9459999999999</v>
      </c>
      <c r="L88" cm="1">
        <f t="array" ref="L88">SUMPRODUCT(IF($A$3:$A$52=$B88,IF($C$1:$AZ$1=L$64,$C$3:$AZ$52)))</f>
        <v>852.58199999999999</v>
      </c>
      <c r="M88" cm="1">
        <f t="array" ref="M88">SUMPRODUCT(IF($A$3:$A$52=$B88,IF($C$1:$AZ$1=M$64,$C$3:$AZ$52)))</f>
        <v>1517.4259999999999</v>
      </c>
      <c r="N88" cm="1">
        <f t="array" ref="N88">SUMPRODUCT(IF($A$3:$A$52=$B88,IF($C$1:$AZ$1=N$64,$C$3:$AZ$52)))</f>
        <v>684.12800000000004</v>
      </c>
      <c r="O88" cm="1">
        <f t="array" ref="O88">SUMPRODUCT(IF($A$3:$A$52=$B88,IF($C$1:$AZ$1=O$64,$C$3:$AZ$52)))</f>
        <v>926.83100000000002</v>
      </c>
      <c r="P88" cm="1">
        <f t="array" ref="P88">SUMPRODUCT(IF($A$3:$A$52=$B88,IF($C$1:$AZ$1=P$64,$C$3:$AZ$52)))</f>
        <v>790.76700000000005</v>
      </c>
      <c r="Q88" cm="1">
        <f t="array" ref="Q88">SUMPRODUCT(IF($A$3:$A$52=$B88,IF($C$1:$AZ$1=Q$64,$C$3:$AZ$52)))</f>
        <v>0</v>
      </c>
      <c r="R88" cm="1">
        <f t="array" ref="R88">SUMPRODUCT(IF($A$3:$A$52=$B88,IF($C$1:$AZ$1=R$64,$C$3:$AZ$52)))</f>
        <v>947.495</v>
      </c>
      <c r="S88" cm="1">
        <f t="array" ref="S88">SUMPRODUCT(IF($A$3:$A$52=$B88,IF($C$1:$AZ$1=S$64,$C$3:$AZ$52)))</f>
        <v>714.64499999999998</v>
      </c>
      <c r="T88" cm="1">
        <f t="array" ref="T88">SUMPRODUCT(IF($A$3:$A$52=$B88,IF($C$1:$AZ$1=T$64,$C$3:$AZ$52)))</f>
        <v>1547.9549999999999</v>
      </c>
      <c r="U88" cm="1">
        <f t="array" ref="U88">SUMPRODUCT(IF($A$3:$A$52=$B88,IF($C$1:$AZ$1=U$64,$C$3:$AZ$52)))</f>
        <v>965.31500000000005</v>
      </c>
      <c r="V88" cm="1">
        <f t="array" ref="V88">SUMPRODUCT(IF($A$3:$A$52=$B88,IF($C$1:$AZ$1=V$64,$C$3:$AZ$52)))</f>
        <v>528.726</v>
      </c>
      <c r="W88" cm="1">
        <f t="array" ref="W88">SUMPRODUCT(IF($A$3:$A$52=$B88,IF($C$1:$AZ$1=W$64,$C$3:$AZ$52)))</f>
        <v>1815.587</v>
      </c>
      <c r="X88" cm="1">
        <f t="array" ref="X88">SUMPRODUCT(IF($A$3:$A$52=$B88,IF($C$1:$AZ$1=X$64,$C$3:$AZ$52)))</f>
        <v>2797.6889999999999</v>
      </c>
      <c r="Y88" cm="1">
        <f t="array" ref="Y88">SUMPRODUCT(IF($A$3:$A$52=$B88,IF($C$1:$AZ$1=Y$64,$C$3:$AZ$52)))</f>
        <v>1275.3020000000001</v>
      </c>
      <c r="Z88" cm="1">
        <f t="array" ref="Z88">SUMPRODUCT(IF($A$3:$A$52=$B88,IF($C$1:$AZ$1=Z$64,$C$3:$AZ$52)))</f>
        <v>6242.38</v>
      </c>
      <c r="AA88" cm="1">
        <f t="array" ref="AA88">SUMPRODUCT(IF($A$3:$A$52=$B88,IF($C$1:$AZ$1=AA$64,$C$3:$AZ$52)))</f>
        <v>2220.4740000000002</v>
      </c>
      <c r="AB88" cm="1">
        <f t="array" ref="AB88">SUMPRODUCT(IF($A$3:$A$52=$B88,IF($C$1:$AZ$1=AB$64,$C$3:$AZ$52)))</f>
        <v>0</v>
      </c>
      <c r="AC88" cm="1">
        <f t="array" ref="AC88">SUMPRODUCT(IF($A$3:$A$52=$B88,IF($C$1:$AZ$1=AC$64,$C$3:$AZ$52)))</f>
        <v>720.88300000000004</v>
      </c>
      <c r="AD88" cm="1">
        <f t="array" ref="AD88">SUMPRODUCT(IF($A$3:$A$52=$B88,IF($C$1:$AZ$1=AD$64,$C$3:$AZ$52)))</f>
        <v>6636.77</v>
      </c>
      <c r="AE88" cm="1">
        <f t="array" ref="AE88">SUMPRODUCT(IF($A$3:$A$52=$B88,IF($C$1:$AZ$1=AE$64,$C$3:$AZ$52)))</f>
        <v>9581.3070000000007</v>
      </c>
      <c r="AF88" cm="1">
        <f t="array" ref="AF88">SUMPRODUCT(IF($A$3:$A$52=$B88,IF($C$1:$AZ$1=AF$64,$C$3:$AZ$52)))</f>
        <v>6969.3409999999994</v>
      </c>
      <c r="AG88" cm="1">
        <f t="array" ref="AG88">SUMPRODUCT(IF($A$3:$A$52=$B88,IF($C$1:$AZ$1=AG$64,$C$3:$AZ$52)))</f>
        <v>3322.1190000000001</v>
      </c>
      <c r="AH88" cm="1">
        <f t="array" ref="AH88">SUMPRODUCT(IF($A$3:$A$52=$B88,IF($C$1:$AZ$1=AH$64,$C$3:$AZ$52)))</f>
        <v>969.10900000000004</v>
      </c>
      <c r="AI88" cm="1">
        <f t="array" ref="AI88">SUMPRODUCT(IF($A$3:$A$52=$B88,IF($C$1:$AZ$1=AI$64,$C$3:$AZ$52)))</f>
        <v>1691.6659999999999</v>
      </c>
      <c r="AJ88" cm="1">
        <f t="array" ref="AJ88">SUMPRODUCT(IF($A$3:$A$52=$B88,IF($C$1:$AZ$1=AJ$64,$C$3:$AZ$52)))</f>
        <v>1552.7570000000001</v>
      </c>
      <c r="AK88" cm="1">
        <f t="array" ref="AK88">SUMPRODUCT(IF($A$3:$A$52=$B88,IF($C$1:$AZ$1=AK$64,$C$3:$AZ$52)))</f>
        <v>3219.89</v>
      </c>
      <c r="AL88" cm="1">
        <f t="array" ref="AL88">SUMPRODUCT(IF($A$3:$A$52=$B88,IF($C$1:$AZ$1=AL$64,$C$3:$AZ$52)))</f>
        <v>3862.0709999999999</v>
      </c>
      <c r="AM88" cm="1">
        <f t="array" ref="AM88">SUMPRODUCT(IF($A$3:$A$52=$B88,IF($C$1:$AZ$1=AM$64,$C$3:$AZ$52)))</f>
        <v>11295.644</v>
      </c>
      <c r="AN88" cm="1">
        <f t="array" ref="AN88">SUMPRODUCT(IF($A$3:$A$52=$B88,IF($C$1:$AZ$1=AN$64,$C$3:$AZ$52)))</f>
        <v>10821.14</v>
      </c>
      <c r="AO88" cm="1">
        <f t="array" ref="AO88">SUMPRODUCT(IF($A$3:$A$52=$B88,IF($C$1:$AZ$1=AO$64,$C$3:$AZ$52)))</f>
        <v>6782.924</v>
      </c>
      <c r="AP88" cm="1">
        <f t="array" ref="AP88">SUMPRODUCT(IF($A$3:$A$52=$B88,IF($C$1:$AZ$1=AP$64,$C$3:$AZ$52)))</f>
        <v>27187.794999999998</v>
      </c>
      <c r="AQ88" cm="1">
        <f t="array" ref="AQ88">SUMPRODUCT(IF($A$3:$A$52=$B88,IF($C$1:$AZ$1=AQ$64,$C$3:$AZ$52)))</f>
        <v>4464.9539999999997</v>
      </c>
      <c r="AR88" cm="1">
        <f t="array" ref="AR88">SUMPRODUCT(IF($A$3:$A$52=$B88,IF($C$1:$AZ$1=AR$64,$C$3:$AZ$52)))</f>
        <v>0</v>
      </c>
    </row>
    <row r="89" spans="2:44" x14ac:dyDescent="0.25">
      <c r="B89" t="s">
        <v>873</v>
      </c>
      <c r="C89" cm="1">
        <f t="array" ref="C89">SUMPRODUCT(IF($A$3:$A$52=$B89,IF($C$1:$AZ$1=C$64,$C$3:$AZ$52)))</f>
        <v>8581.2000000000007</v>
      </c>
      <c r="D89" cm="1">
        <f t="array" ref="D89">SUMPRODUCT(IF($A$3:$A$52=$B89,IF($C$1:$AZ$1=D$64,$C$3:$AZ$52)))</f>
        <v>872.86300000000006</v>
      </c>
      <c r="E89" cm="1">
        <f t="array" ref="E89">SUMPRODUCT(IF($A$3:$A$52=$B89,IF($C$1:$AZ$1=E$64,$C$3:$AZ$52)))</f>
        <v>20522.71</v>
      </c>
      <c r="F89" cm="1">
        <f t="array" ref="F89">SUMPRODUCT(IF($A$3:$A$52=$B89,IF($C$1:$AZ$1=F$64,$C$3:$AZ$52)))</f>
        <v>2426.0420000000004</v>
      </c>
      <c r="G89" cm="1">
        <f t="array" ref="G89">SUMPRODUCT(IF($A$3:$A$52=$B89,IF($C$1:$AZ$1=G$64,$C$3:$AZ$52)))</f>
        <v>213.7</v>
      </c>
      <c r="H89" cm="1">
        <f t="array" ref="H89">SUMPRODUCT(IF($A$3:$A$52=$B89,IF($C$1:$AZ$1=H$64,$C$3:$AZ$52)))</f>
        <v>17573.347000000002</v>
      </c>
      <c r="I89" cm="1">
        <f t="array" ref="I89">SUMPRODUCT(IF($A$3:$A$52=$B89,IF($C$1:$AZ$1=I$64,$C$3:$AZ$52)))</f>
        <v>1556.7729999999999</v>
      </c>
      <c r="J89" cm="1">
        <f t="array" ref="J89">SUMPRODUCT(IF($A$3:$A$52=$B89,IF($C$1:$AZ$1=J$64,$C$3:$AZ$52)))</f>
        <v>1633.201</v>
      </c>
      <c r="K89" cm="1">
        <f t="array" ref="K89">SUMPRODUCT(IF($A$3:$A$52=$B89,IF($C$1:$AZ$1=K$64,$C$3:$AZ$52)))</f>
        <v>7720.4709999999995</v>
      </c>
      <c r="L89" cm="1">
        <f t="array" ref="L89">SUMPRODUCT(IF($A$3:$A$52=$B89,IF($C$1:$AZ$1=L$64,$C$3:$AZ$52)))</f>
        <v>6339.9709999999995</v>
      </c>
      <c r="M89" cm="1">
        <f t="array" ref="M89">SUMPRODUCT(IF($A$3:$A$52=$B89,IF($C$1:$AZ$1=M$64,$C$3:$AZ$52)))</f>
        <v>10336.796</v>
      </c>
      <c r="N89" cm="1">
        <f t="array" ref="N89">SUMPRODUCT(IF($A$3:$A$52=$B89,IF($C$1:$AZ$1=N$64,$C$3:$AZ$52)))</f>
        <v>2040.1859999999999</v>
      </c>
      <c r="O89" cm="1">
        <f t="array" ref="O89">SUMPRODUCT(IF($A$3:$A$52=$B89,IF($C$1:$AZ$1=O$64,$C$3:$AZ$52)))</f>
        <v>5018.2669999999998</v>
      </c>
      <c r="P89" cm="1">
        <f t="array" ref="P89">SUMPRODUCT(IF($A$3:$A$52=$B89,IF($C$1:$AZ$1=P$64,$C$3:$AZ$52)))</f>
        <v>5501.1459999999997</v>
      </c>
      <c r="Q89" cm="1">
        <f t="array" ref="Q89">SUMPRODUCT(IF($A$3:$A$52=$B89,IF($C$1:$AZ$1=Q$64,$C$3:$AZ$52)))</f>
        <v>0</v>
      </c>
      <c r="R89" cm="1">
        <f t="array" ref="R89">SUMPRODUCT(IF($A$3:$A$52=$B89,IF($C$1:$AZ$1=R$64,$C$3:$AZ$52)))</f>
        <v>6171.4080000000004</v>
      </c>
      <c r="S89" cm="1">
        <f t="array" ref="S89">SUMPRODUCT(IF($A$3:$A$52=$B89,IF($C$1:$AZ$1=S$64,$C$3:$AZ$52)))</f>
        <v>3177.5390000000002</v>
      </c>
      <c r="T89" cm="1">
        <f t="array" ref="T89">SUMPRODUCT(IF($A$3:$A$52=$B89,IF($C$1:$AZ$1=T$64,$C$3:$AZ$52)))</f>
        <v>4994.884</v>
      </c>
      <c r="U89" cm="1">
        <f t="array" ref="U89">SUMPRODUCT(IF($A$3:$A$52=$B89,IF($C$1:$AZ$1=U$64,$C$3:$AZ$52)))</f>
        <v>1528.373</v>
      </c>
      <c r="V89" cm="1">
        <f t="array" ref="V89">SUMPRODUCT(IF($A$3:$A$52=$B89,IF($C$1:$AZ$1=V$64,$C$3:$AZ$52)))</f>
        <v>1019.92</v>
      </c>
      <c r="W89" cm="1">
        <f t="array" ref="W89">SUMPRODUCT(IF($A$3:$A$52=$B89,IF($C$1:$AZ$1=W$64,$C$3:$AZ$52)))</f>
        <v>3026.2350000000001</v>
      </c>
      <c r="X89" cm="1">
        <f t="array" ref="X89">SUMPRODUCT(IF($A$3:$A$52=$B89,IF($C$1:$AZ$1=X$64,$C$3:$AZ$52)))</f>
        <v>6586.2870000000003</v>
      </c>
      <c r="Y89" cm="1">
        <f t="array" ref="Y89">SUMPRODUCT(IF($A$3:$A$52=$B89,IF($C$1:$AZ$1=Y$64,$C$3:$AZ$52)))</f>
        <v>1874.3530000000001</v>
      </c>
      <c r="Z89" cm="1">
        <f t="array" ref="Z89">SUMPRODUCT(IF($A$3:$A$52=$B89,IF($C$1:$AZ$1=Z$64,$C$3:$AZ$52)))</f>
        <v>1754.92</v>
      </c>
      <c r="AA89" cm="1">
        <f t="array" ref="AA89">SUMPRODUCT(IF($A$3:$A$52=$B89,IF($C$1:$AZ$1=AA$64,$C$3:$AZ$52)))</f>
        <v>44904.245000000003</v>
      </c>
      <c r="AB89" cm="1">
        <f t="array" ref="AB89">SUMPRODUCT(IF($A$3:$A$52=$B89,IF($C$1:$AZ$1=AB$64,$C$3:$AZ$52)))</f>
        <v>0</v>
      </c>
      <c r="AC89" cm="1">
        <f t="array" ref="AC89">SUMPRODUCT(IF($A$3:$A$52=$B89,IF($C$1:$AZ$1=AC$64,$C$3:$AZ$52)))</f>
        <v>2852.6590000000001</v>
      </c>
      <c r="AD89" cm="1">
        <f t="array" ref="AD89">SUMPRODUCT(IF($A$3:$A$52=$B89,IF($C$1:$AZ$1=AD$64,$C$3:$AZ$52)))</f>
        <v>5415.5680000000002</v>
      </c>
      <c r="AE89" cm="1">
        <f t="array" ref="AE89">SUMPRODUCT(IF($A$3:$A$52=$B89,IF($C$1:$AZ$1=AE$64,$C$3:$AZ$52)))</f>
        <v>54294.487999999998</v>
      </c>
      <c r="AF89" cm="1">
        <f t="array" ref="AF89">SUMPRODUCT(IF($A$3:$A$52=$B89,IF($C$1:$AZ$1=AF$64,$C$3:$AZ$52)))</f>
        <v>12553.731</v>
      </c>
      <c r="AG89" cm="1">
        <f t="array" ref="AG89">SUMPRODUCT(IF($A$3:$A$52=$B89,IF($C$1:$AZ$1=AG$64,$C$3:$AZ$52)))</f>
        <v>31262.679</v>
      </c>
      <c r="AH89" cm="1">
        <f t="array" ref="AH89">SUMPRODUCT(IF($A$3:$A$52=$B89,IF($C$1:$AZ$1=AH$64,$C$3:$AZ$52)))</f>
        <v>3720.3339999999998</v>
      </c>
      <c r="AI89" cm="1">
        <f t="array" ref="AI89">SUMPRODUCT(IF($A$3:$A$52=$B89,IF($C$1:$AZ$1=AI$64,$C$3:$AZ$52)))</f>
        <v>7186.6959999999999</v>
      </c>
      <c r="AJ89" cm="1">
        <f t="array" ref="AJ89">SUMPRODUCT(IF($A$3:$A$52=$B89,IF($C$1:$AZ$1=AJ$64,$C$3:$AZ$52)))</f>
        <v>3407.2640000000001</v>
      </c>
      <c r="AK89" cm="1">
        <f t="array" ref="AK89">SUMPRODUCT(IF($A$3:$A$52=$B89,IF($C$1:$AZ$1=AK$64,$C$3:$AZ$52)))</f>
        <v>11196.049000000001</v>
      </c>
      <c r="AL89" cm="1">
        <f t="array" ref="AL89">SUMPRODUCT(IF($A$3:$A$52=$B89,IF($C$1:$AZ$1=AL$64,$C$3:$AZ$52)))</f>
        <v>35956.288</v>
      </c>
      <c r="AM89" cm="1">
        <f t="array" ref="AM89">SUMPRODUCT(IF($A$3:$A$52=$B89,IF($C$1:$AZ$1=AM$64,$C$3:$AZ$52)))</f>
        <v>18582.868000000002</v>
      </c>
      <c r="AN89" cm="1">
        <f t="array" ref="AN89">SUMPRODUCT(IF($A$3:$A$52=$B89,IF($C$1:$AZ$1=AN$64,$C$3:$AZ$52)))</f>
        <v>41295.351999999999</v>
      </c>
      <c r="AO89" cm="1">
        <f t="array" ref="AO89">SUMPRODUCT(IF($A$3:$A$52=$B89,IF($C$1:$AZ$1=AO$64,$C$3:$AZ$52)))</f>
        <v>24799.293000000001</v>
      </c>
      <c r="AP89" cm="1">
        <f t="array" ref="AP89">SUMPRODUCT(IF($A$3:$A$52=$B89,IF($C$1:$AZ$1=AP$64,$C$3:$AZ$52)))</f>
        <v>36041.989000000001</v>
      </c>
      <c r="AQ89" cm="1">
        <f t="array" ref="AQ89">SUMPRODUCT(IF($A$3:$A$52=$B89,IF($C$1:$AZ$1=AQ$64,$C$3:$AZ$52)))</f>
        <v>14567.48</v>
      </c>
      <c r="AR89" cm="1">
        <f t="array" ref="AR89">SUMPRODUCT(IF($A$3:$A$52=$B89,IF($C$1:$AZ$1=AR$64,$C$3:$AZ$52)))</f>
        <v>0</v>
      </c>
    </row>
    <row r="90" spans="2:44" x14ac:dyDescent="0.25">
      <c r="B90" t="s">
        <v>874</v>
      </c>
      <c r="C90" cm="1">
        <f t="array" ref="C90">SUMPRODUCT(IF($A$3:$A$52=$B90,IF($C$1:$AZ$1=C$64,$C$3:$AZ$52)))</f>
        <v>0</v>
      </c>
      <c r="D90" cm="1">
        <f t="array" ref="D90">SUMPRODUCT(IF($A$3:$A$52=$B90,IF($C$1:$AZ$1=D$64,$C$3:$AZ$52)))</f>
        <v>0</v>
      </c>
      <c r="E90" cm="1">
        <f t="array" ref="E90">SUMPRODUCT(IF($A$3:$A$52=$B90,IF($C$1:$AZ$1=E$64,$C$3:$AZ$52)))</f>
        <v>0</v>
      </c>
      <c r="F90" cm="1">
        <f t="array" ref="F90">SUMPRODUCT(IF($A$3:$A$52=$B90,IF($C$1:$AZ$1=F$64,$C$3:$AZ$52)))</f>
        <v>0</v>
      </c>
      <c r="G90" cm="1">
        <f t="array" ref="G90">SUMPRODUCT(IF($A$3:$A$52=$B90,IF($C$1:$AZ$1=G$64,$C$3:$AZ$52)))</f>
        <v>0</v>
      </c>
      <c r="H90" cm="1">
        <f t="array" ref="H90">SUMPRODUCT(IF($A$3:$A$52=$B90,IF($C$1:$AZ$1=H$64,$C$3:$AZ$52)))</f>
        <v>0</v>
      </c>
      <c r="I90" cm="1">
        <f t="array" ref="I90">SUMPRODUCT(IF($A$3:$A$52=$B90,IF($C$1:$AZ$1=I$64,$C$3:$AZ$52)))</f>
        <v>0</v>
      </c>
      <c r="J90" cm="1">
        <f t="array" ref="J90">SUMPRODUCT(IF($A$3:$A$52=$B90,IF($C$1:$AZ$1=J$64,$C$3:$AZ$52)))</f>
        <v>0</v>
      </c>
      <c r="K90" cm="1">
        <f t="array" ref="K90">SUMPRODUCT(IF($A$3:$A$52=$B90,IF($C$1:$AZ$1=K$64,$C$3:$AZ$52)))</f>
        <v>0</v>
      </c>
      <c r="L90" cm="1">
        <f t="array" ref="L90">SUMPRODUCT(IF($A$3:$A$52=$B90,IF($C$1:$AZ$1=L$64,$C$3:$AZ$52)))</f>
        <v>0</v>
      </c>
      <c r="M90" cm="1">
        <f t="array" ref="M90">SUMPRODUCT(IF($A$3:$A$52=$B90,IF($C$1:$AZ$1=M$64,$C$3:$AZ$52)))</f>
        <v>0</v>
      </c>
      <c r="N90" cm="1">
        <f t="array" ref="N90">SUMPRODUCT(IF($A$3:$A$52=$B90,IF($C$1:$AZ$1=N$64,$C$3:$AZ$52)))</f>
        <v>0</v>
      </c>
      <c r="O90" cm="1">
        <f t="array" ref="O90">SUMPRODUCT(IF($A$3:$A$52=$B90,IF($C$1:$AZ$1=O$64,$C$3:$AZ$52)))</f>
        <v>0</v>
      </c>
      <c r="P90" cm="1">
        <f t="array" ref="P90">SUMPRODUCT(IF($A$3:$A$52=$B90,IF($C$1:$AZ$1=P$64,$C$3:$AZ$52)))</f>
        <v>0</v>
      </c>
      <c r="Q90" cm="1">
        <f t="array" ref="Q90">SUMPRODUCT(IF($A$3:$A$52=$B90,IF($C$1:$AZ$1=Q$64,$C$3:$AZ$52)))</f>
        <v>0</v>
      </c>
      <c r="R90" cm="1">
        <f t="array" ref="R90">SUMPRODUCT(IF($A$3:$A$52=$B90,IF($C$1:$AZ$1=R$64,$C$3:$AZ$52)))</f>
        <v>0</v>
      </c>
      <c r="S90" cm="1">
        <f t="array" ref="S90">SUMPRODUCT(IF($A$3:$A$52=$B90,IF($C$1:$AZ$1=S$64,$C$3:$AZ$52)))</f>
        <v>0</v>
      </c>
      <c r="T90" cm="1">
        <f t="array" ref="T90">SUMPRODUCT(IF($A$3:$A$52=$B90,IF($C$1:$AZ$1=T$64,$C$3:$AZ$52)))</f>
        <v>0</v>
      </c>
      <c r="U90" cm="1">
        <f t="array" ref="U90">SUMPRODUCT(IF($A$3:$A$52=$B90,IF($C$1:$AZ$1=U$64,$C$3:$AZ$52)))</f>
        <v>0</v>
      </c>
      <c r="V90" cm="1">
        <f t="array" ref="V90">SUMPRODUCT(IF($A$3:$A$52=$B90,IF($C$1:$AZ$1=V$64,$C$3:$AZ$52)))</f>
        <v>0</v>
      </c>
      <c r="W90" cm="1">
        <f t="array" ref="W90">SUMPRODUCT(IF($A$3:$A$52=$B90,IF($C$1:$AZ$1=W$64,$C$3:$AZ$52)))</f>
        <v>0</v>
      </c>
      <c r="X90" cm="1">
        <f t="array" ref="X90">SUMPRODUCT(IF($A$3:$A$52=$B90,IF($C$1:$AZ$1=X$64,$C$3:$AZ$52)))</f>
        <v>0</v>
      </c>
      <c r="Y90" cm="1">
        <f t="array" ref="Y90">SUMPRODUCT(IF($A$3:$A$52=$B90,IF($C$1:$AZ$1=Y$64,$C$3:$AZ$52)))</f>
        <v>0</v>
      </c>
      <c r="Z90" cm="1">
        <f t="array" ref="Z90">SUMPRODUCT(IF($A$3:$A$52=$B90,IF($C$1:$AZ$1=Z$64,$C$3:$AZ$52)))</f>
        <v>0</v>
      </c>
      <c r="AA90" cm="1">
        <f t="array" ref="AA90">SUMPRODUCT(IF($A$3:$A$52=$B90,IF($C$1:$AZ$1=AA$64,$C$3:$AZ$52)))</f>
        <v>0</v>
      </c>
      <c r="AB90" cm="1">
        <f t="array" ref="AB90">SUMPRODUCT(IF($A$3:$A$52=$B90,IF($C$1:$AZ$1=AB$64,$C$3:$AZ$52)))</f>
        <v>0</v>
      </c>
      <c r="AC90" cm="1">
        <f t="array" ref="AC90">SUMPRODUCT(IF($A$3:$A$52=$B90,IF($C$1:$AZ$1=AC$64,$C$3:$AZ$52)))</f>
        <v>0</v>
      </c>
      <c r="AD90" cm="1">
        <f t="array" ref="AD90">SUMPRODUCT(IF($A$3:$A$52=$B90,IF($C$1:$AZ$1=AD$64,$C$3:$AZ$52)))</f>
        <v>0</v>
      </c>
      <c r="AE90" cm="1">
        <f t="array" ref="AE90">SUMPRODUCT(IF($A$3:$A$52=$B90,IF($C$1:$AZ$1=AE$64,$C$3:$AZ$52)))</f>
        <v>0</v>
      </c>
      <c r="AF90" cm="1">
        <f t="array" ref="AF90">SUMPRODUCT(IF($A$3:$A$52=$B90,IF($C$1:$AZ$1=AF$64,$C$3:$AZ$52)))</f>
        <v>0</v>
      </c>
      <c r="AG90" cm="1">
        <f t="array" ref="AG90">SUMPRODUCT(IF($A$3:$A$52=$B90,IF($C$1:$AZ$1=AG$64,$C$3:$AZ$52)))</f>
        <v>0</v>
      </c>
      <c r="AH90" cm="1">
        <f t="array" ref="AH90">SUMPRODUCT(IF($A$3:$A$52=$B90,IF($C$1:$AZ$1=AH$64,$C$3:$AZ$52)))</f>
        <v>0</v>
      </c>
      <c r="AI90" cm="1">
        <f t="array" ref="AI90">SUMPRODUCT(IF($A$3:$A$52=$B90,IF($C$1:$AZ$1=AI$64,$C$3:$AZ$52)))</f>
        <v>0</v>
      </c>
      <c r="AJ90" cm="1">
        <f t="array" ref="AJ90">SUMPRODUCT(IF($A$3:$A$52=$B90,IF($C$1:$AZ$1=AJ$64,$C$3:$AZ$52)))</f>
        <v>0</v>
      </c>
      <c r="AK90" cm="1">
        <f t="array" ref="AK90">SUMPRODUCT(IF($A$3:$A$52=$B90,IF($C$1:$AZ$1=AK$64,$C$3:$AZ$52)))</f>
        <v>0</v>
      </c>
      <c r="AL90" cm="1">
        <f t="array" ref="AL90">SUMPRODUCT(IF($A$3:$A$52=$B90,IF($C$1:$AZ$1=AL$64,$C$3:$AZ$52)))</f>
        <v>0</v>
      </c>
      <c r="AM90" cm="1">
        <f t="array" ref="AM90">SUMPRODUCT(IF($A$3:$A$52=$B90,IF($C$1:$AZ$1=AM$64,$C$3:$AZ$52)))</f>
        <v>0</v>
      </c>
      <c r="AN90" cm="1">
        <f t="array" ref="AN90">SUMPRODUCT(IF($A$3:$A$52=$B90,IF($C$1:$AZ$1=AN$64,$C$3:$AZ$52)))</f>
        <v>0</v>
      </c>
      <c r="AO90" cm="1">
        <f t="array" ref="AO90">SUMPRODUCT(IF($A$3:$A$52=$B90,IF($C$1:$AZ$1=AO$64,$C$3:$AZ$52)))</f>
        <v>0</v>
      </c>
      <c r="AP90" cm="1">
        <f t="array" ref="AP90">SUMPRODUCT(IF($A$3:$A$52=$B90,IF($C$1:$AZ$1=AP$64,$C$3:$AZ$52)))</f>
        <v>0</v>
      </c>
      <c r="AQ90" cm="1">
        <f t="array" ref="AQ90">SUMPRODUCT(IF($A$3:$A$52=$B90,IF($C$1:$AZ$1=AQ$64,$C$3:$AZ$52)))</f>
        <v>0</v>
      </c>
      <c r="AR90" cm="1">
        <f t="array" ref="AR90">SUMPRODUCT(IF($A$3:$A$52=$B90,IF($C$1:$AZ$1=AR$64,$C$3:$AZ$52)))</f>
        <v>0</v>
      </c>
    </row>
    <row r="91" spans="2:44" x14ac:dyDescent="0.25">
      <c r="B91" t="s">
        <v>875</v>
      </c>
      <c r="C91" cm="1">
        <f t="array" ref="C91">SUMPRODUCT(IF($A$3:$A$52=$B91,IF($C$1:$AZ$1=C$64,$C$3:$AZ$52)))</f>
        <v>641.55400000000009</v>
      </c>
      <c r="D91" cm="1">
        <f t="array" ref="D91">SUMPRODUCT(IF($A$3:$A$52=$B91,IF($C$1:$AZ$1=D$64,$C$3:$AZ$52)))</f>
        <v>40.167999999999999</v>
      </c>
      <c r="E91" cm="1">
        <f t="array" ref="E91">SUMPRODUCT(IF($A$3:$A$52=$B91,IF($C$1:$AZ$1=E$64,$C$3:$AZ$52)))</f>
        <v>871.64200000000005</v>
      </c>
      <c r="F91" cm="1">
        <f t="array" ref="F91">SUMPRODUCT(IF($A$3:$A$52=$B91,IF($C$1:$AZ$1=F$64,$C$3:$AZ$52)))</f>
        <v>160.95400000000001</v>
      </c>
      <c r="G91" cm="1">
        <f t="array" ref="G91">SUMPRODUCT(IF($A$3:$A$52=$B91,IF($C$1:$AZ$1=G$64,$C$3:$AZ$52)))</f>
        <v>48.418999999999997</v>
      </c>
      <c r="H91" cm="1">
        <f t="array" ref="H91">SUMPRODUCT(IF($A$3:$A$52=$B91,IF($C$1:$AZ$1=H$64,$C$3:$AZ$52)))</f>
        <v>1503.5039999999999</v>
      </c>
      <c r="I91" cm="1">
        <f t="array" ref="I91">SUMPRODUCT(IF($A$3:$A$52=$B91,IF($C$1:$AZ$1=I$64,$C$3:$AZ$52)))</f>
        <v>72.593000000000004</v>
      </c>
      <c r="J91" cm="1">
        <f t="array" ref="J91">SUMPRODUCT(IF($A$3:$A$52=$B91,IF($C$1:$AZ$1=J$64,$C$3:$AZ$52)))</f>
        <v>170.785</v>
      </c>
      <c r="K91" cm="1">
        <f t="array" ref="K91">SUMPRODUCT(IF($A$3:$A$52=$B91,IF($C$1:$AZ$1=K$64,$C$3:$AZ$52)))</f>
        <v>2052.2600000000002</v>
      </c>
      <c r="L91" cm="1">
        <f t="array" ref="L91">SUMPRODUCT(IF($A$3:$A$52=$B91,IF($C$1:$AZ$1=L$64,$C$3:$AZ$52)))</f>
        <v>443.608</v>
      </c>
      <c r="M91" cm="1">
        <f t="array" ref="M91">SUMPRODUCT(IF($A$3:$A$52=$B91,IF($C$1:$AZ$1=M$64,$C$3:$AZ$52)))</f>
        <v>518.26800000000003</v>
      </c>
      <c r="N91" cm="1">
        <f t="array" ref="N91">SUMPRODUCT(IF($A$3:$A$52=$B91,IF($C$1:$AZ$1=N$64,$C$3:$AZ$52)))</f>
        <v>190.39699999999999</v>
      </c>
      <c r="O91" cm="1">
        <f t="array" ref="O91">SUMPRODUCT(IF($A$3:$A$52=$B91,IF($C$1:$AZ$1=O$64,$C$3:$AZ$52)))</f>
        <v>282.26799999999997</v>
      </c>
      <c r="P91" cm="1">
        <f t="array" ref="P91">SUMPRODUCT(IF($A$3:$A$52=$B91,IF($C$1:$AZ$1=P$64,$C$3:$AZ$52)))</f>
        <v>320.47699999999998</v>
      </c>
      <c r="Q91" cm="1">
        <f t="array" ref="Q91">SUMPRODUCT(IF($A$3:$A$52=$B91,IF($C$1:$AZ$1=Q$64,$C$3:$AZ$52)))</f>
        <v>0</v>
      </c>
      <c r="R91" cm="1">
        <f t="array" ref="R91">SUMPRODUCT(IF($A$3:$A$52=$B91,IF($C$1:$AZ$1=R$64,$C$3:$AZ$52)))</f>
        <v>3484.6680000000001</v>
      </c>
      <c r="S91" cm="1">
        <f t="array" ref="S91">SUMPRODUCT(IF($A$3:$A$52=$B91,IF($C$1:$AZ$1=S$64,$C$3:$AZ$52)))</f>
        <v>1991.4880000000001</v>
      </c>
      <c r="T91" cm="1">
        <f t="array" ref="T91">SUMPRODUCT(IF($A$3:$A$52=$B91,IF($C$1:$AZ$1=T$64,$C$3:$AZ$52)))</f>
        <v>522.44500000000005</v>
      </c>
      <c r="U91" cm="1">
        <f t="array" ref="U91">SUMPRODUCT(IF($A$3:$A$52=$B91,IF($C$1:$AZ$1=U$64,$C$3:$AZ$52)))</f>
        <v>83.277000000000001</v>
      </c>
      <c r="V91" cm="1">
        <f t="array" ref="V91">SUMPRODUCT(IF($A$3:$A$52=$B91,IF($C$1:$AZ$1=V$64,$C$3:$AZ$52)))</f>
        <v>73.024000000000001</v>
      </c>
      <c r="W91" cm="1">
        <f t="array" ref="W91">SUMPRODUCT(IF($A$3:$A$52=$B91,IF($C$1:$AZ$1=W$64,$C$3:$AZ$52)))</f>
        <v>335.077</v>
      </c>
      <c r="X91" cm="1">
        <f t="array" ref="X91">SUMPRODUCT(IF($A$3:$A$52=$B91,IF($C$1:$AZ$1=X$64,$C$3:$AZ$52)))</f>
        <v>379.38600000000002</v>
      </c>
      <c r="Y91" cm="1">
        <f t="array" ref="Y91">SUMPRODUCT(IF($A$3:$A$52=$B91,IF($C$1:$AZ$1=Y$64,$C$3:$AZ$52)))</f>
        <v>249.77100000000002</v>
      </c>
      <c r="Z91" cm="1">
        <f t="array" ref="Z91">SUMPRODUCT(IF($A$3:$A$52=$B91,IF($C$1:$AZ$1=Z$64,$C$3:$AZ$52)))</f>
        <v>132.06399999999999</v>
      </c>
      <c r="AA91" cm="1">
        <f t="array" ref="AA91">SUMPRODUCT(IF($A$3:$A$52=$B91,IF($C$1:$AZ$1=AA$64,$C$3:$AZ$52)))</f>
        <v>858.88300000000004</v>
      </c>
      <c r="AB91" cm="1">
        <f t="array" ref="AB91">SUMPRODUCT(IF($A$3:$A$52=$B91,IF($C$1:$AZ$1=AB$64,$C$3:$AZ$52)))</f>
        <v>0</v>
      </c>
      <c r="AC91" cm="1">
        <f t="array" ref="AC91">SUMPRODUCT(IF($A$3:$A$52=$B91,IF($C$1:$AZ$1=AC$64,$C$3:$AZ$52)))</f>
        <v>10465.754999999999</v>
      </c>
      <c r="AD91" cm="1">
        <f t="array" ref="AD91">SUMPRODUCT(IF($A$3:$A$52=$B91,IF($C$1:$AZ$1=AD$64,$C$3:$AZ$52)))</f>
        <v>1223.1510000000001</v>
      </c>
      <c r="AE91" cm="1">
        <f t="array" ref="AE91">SUMPRODUCT(IF($A$3:$A$52=$B91,IF($C$1:$AZ$1=AE$64,$C$3:$AZ$52)))</f>
        <v>4989.2749999999996</v>
      </c>
      <c r="AF91" cm="1">
        <f t="array" ref="AF91">SUMPRODUCT(IF($A$3:$A$52=$B91,IF($C$1:$AZ$1=AF$64,$C$3:$AZ$52)))</f>
        <v>652.87700000000007</v>
      </c>
      <c r="AG91" cm="1">
        <f t="array" ref="AG91">SUMPRODUCT(IF($A$3:$A$52=$B91,IF($C$1:$AZ$1=AG$64,$C$3:$AZ$52)))</f>
        <v>2385.81</v>
      </c>
      <c r="AH91" cm="1">
        <f t="array" ref="AH91">SUMPRODUCT(IF($A$3:$A$52=$B91,IF($C$1:$AZ$1=AH$64,$C$3:$AZ$52)))</f>
        <v>189.80699999999999</v>
      </c>
      <c r="AI91" cm="1">
        <f t="array" ref="AI91">SUMPRODUCT(IF($A$3:$A$52=$B91,IF($C$1:$AZ$1=AI$64,$C$3:$AZ$52)))</f>
        <v>147.822</v>
      </c>
      <c r="AJ91" cm="1">
        <f t="array" ref="AJ91">SUMPRODUCT(IF($A$3:$A$52=$B91,IF($C$1:$AZ$1=AJ$64,$C$3:$AZ$52)))</f>
        <v>191.25899999999999</v>
      </c>
      <c r="AK91" cm="1">
        <f t="array" ref="AK91">SUMPRODUCT(IF($A$3:$A$52=$B91,IF($C$1:$AZ$1=AK$64,$C$3:$AZ$52)))</f>
        <v>802.54499999999996</v>
      </c>
      <c r="AL91" cm="1">
        <f t="array" ref="AL91">SUMPRODUCT(IF($A$3:$A$52=$B91,IF($C$1:$AZ$1=AL$64,$C$3:$AZ$52)))</f>
        <v>4283.473</v>
      </c>
      <c r="AM91" cm="1">
        <f t="array" ref="AM91">SUMPRODUCT(IF($A$3:$A$52=$B91,IF($C$1:$AZ$1=AM$64,$C$3:$AZ$52)))</f>
        <v>2535.808</v>
      </c>
      <c r="AN91" cm="1">
        <f t="array" ref="AN91">SUMPRODUCT(IF($A$3:$A$52=$B91,IF($C$1:$AZ$1=AN$64,$C$3:$AZ$52)))</f>
        <v>17352.999</v>
      </c>
      <c r="AO91" cm="1">
        <f t="array" ref="AO91">SUMPRODUCT(IF($A$3:$A$52=$B91,IF($C$1:$AZ$1=AO$64,$C$3:$AZ$52)))</f>
        <v>2686.8180000000002</v>
      </c>
      <c r="AP91" cm="1">
        <f t="array" ref="AP91">SUMPRODUCT(IF($A$3:$A$52=$B91,IF($C$1:$AZ$1=AP$64,$C$3:$AZ$52)))</f>
        <v>7093.625</v>
      </c>
      <c r="AQ91" cm="1">
        <f t="array" ref="AQ91">SUMPRODUCT(IF($A$3:$A$52=$B91,IF($C$1:$AZ$1=AQ$64,$C$3:$AZ$52)))</f>
        <v>1037.702</v>
      </c>
      <c r="AR91" cm="1">
        <f t="array" ref="AR91">SUMPRODUCT(IF($A$3:$A$52=$B91,IF($C$1:$AZ$1=AR$64,$C$3:$AZ$52)))</f>
        <v>0</v>
      </c>
    </row>
    <row r="92" spans="2:44" x14ac:dyDescent="0.25">
      <c r="B92" t="s">
        <v>20</v>
      </c>
      <c r="C92" cm="1">
        <f t="array" ref="C92">SUMPRODUCT(IF($A$3:$A$52=$B92,IF($C$1:$AZ$1=C$64,$C$3:$AZ$52)))</f>
        <v>3508.8849999999998</v>
      </c>
      <c r="D92" cm="1">
        <f t="array" ref="D92">SUMPRODUCT(IF($A$3:$A$52=$B92,IF($C$1:$AZ$1=D$64,$C$3:$AZ$52)))</f>
        <v>198.03700000000001</v>
      </c>
      <c r="E92" cm="1">
        <f t="array" ref="E92">SUMPRODUCT(IF($A$3:$A$52=$B92,IF($C$1:$AZ$1=E$64,$C$3:$AZ$52)))</f>
        <v>2447.1489999999999</v>
      </c>
      <c r="F92" cm="1">
        <f t="array" ref="F92">SUMPRODUCT(IF($A$3:$A$52=$B92,IF($C$1:$AZ$1=F$64,$C$3:$AZ$52)))</f>
        <v>335.50800000000004</v>
      </c>
      <c r="G92" cm="1">
        <f t="array" ref="G92">SUMPRODUCT(IF($A$3:$A$52=$B92,IF($C$1:$AZ$1=G$64,$C$3:$AZ$52)))</f>
        <v>217.655</v>
      </c>
      <c r="H92" cm="1">
        <f t="array" ref="H92">SUMPRODUCT(IF($A$3:$A$52=$B92,IF($C$1:$AZ$1=H$64,$C$3:$AZ$52)))</f>
        <v>1208.203</v>
      </c>
      <c r="I92" cm="1">
        <f t="array" ref="I92">SUMPRODUCT(IF($A$3:$A$52=$B92,IF($C$1:$AZ$1=I$64,$C$3:$AZ$52)))</f>
        <v>95.935000000000002</v>
      </c>
      <c r="J92" cm="1">
        <f t="array" ref="J92">SUMPRODUCT(IF($A$3:$A$52=$B92,IF($C$1:$AZ$1=J$64,$C$3:$AZ$52)))</f>
        <v>203.02</v>
      </c>
      <c r="K92" cm="1">
        <f t="array" ref="K92">SUMPRODUCT(IF($A$3:$A$52=$B92,IF($C$1:$AZ$1=K$64,$C$3:$AZ$52)))</f>
        <v>390.733</v>
      </c>
      <c r="L92" cm="1">
        <f t="array" ref="L92">SUMPRODUCT(IF($A$3:$A$52=$B92,IF($C$1:$AZ$1=L$64,$C$3:$AZ$52)))</f>
        <v>552.75199999999995</v>
      </c>
      <c r="M92" cm="1">
        <f t="array" ref="M92">SUMPRODUCT(IF($A$3:$A$52=$B92,IF($C$1:$AZ$1=M$64,$C$3:$AZ$52)))</f>
        <v>526.149</v>
      </c>
      <c r="N92" cm="1">
        <f t="array" ref="N92">SUMPRODUCT(IF($A$3:$A$52=$B92,IF($C$1:$AZ$1=N$64,$C$3:$AZ$52)))</f>
        <v>198.869</v>
      </c>
      <c r="O92" cm="1">
        <f t="array" ref="O92">SUMPRODUCT(IF($A$3:$A$52=$B92,IF($C$1:$AZ$1=O$64,$C$3:$AZ$52)))</f>
        <v>356.55</v>
      </c>
      <c r="P92" cm="1">
        <f t="array" ref="P92">SUMPRODUCT(IF($A$3:$A$52=$B92,IF($C$1:$AZ$1=P$64,$C$3:$AZ$52)))</f>
        <v>519.81299999999999</v>
      </c>
      <c r="Q92" cm="1">
        <f t="array" ref="Q92">SUMPRODUCT(IF($A$3:$A$52=$B92,IF($C$1:$AZ$1=Q$64,$C$3:$AZ$52)))</f>
        <v>0</v>
      </c>
      <c r="R92" cm="1">
        <f t="array" ref="R92">SUMPRODUCT(IF($A$3:$A$52=$B92,IF($C$1:$AZ$1=R$64,$C$3:$AZ$52)))</f>
        <v>401.06</v>
      </c>
      <c r="S92" cm="1">
        <f t="array" ref="S92">SUMPRODUCT(IF($A$3:$A$52=$B92,IF($C$1:$AZ$1=S$64,$C$3:$AZ$52)))</f>
        <v>266.58600000000001</v>
      </c>
      <c r="T92" cm="1">
        <f t="array" ref="T92">SUMPRODUCT(IF($A$3:$A$52=$B92,IF($C$1:$AZ$1=T$64,$C$3:$AZ$52)))</f>
        <v>1129.6949999999999</v>
      </c>
      <c r="U92" cm="1">
        <f t="array" ref="U92">SUMPRODUCT(IF($A$3:$A$52=$B92,IF($C$1:$AZ$1=U$64,$C$3:$AZ$52)))</f>
        <v>161.99700000000001</v>
      </c>
      <c r="V92" cm="1">
        <f t="array" ref="V92">SUMPRODUCT(IF($A$3:$A$52=$B92,IF($C$1:$AZ$1=V$64,$C$3:$AZ$52)))</f>
        <v>177.477</v>
      </c>
      <c r="W92" cm="1">
        <f t="array" ref="W92">SUMPRODUCT(IF($A$3:$A$52=$B92,IF($C$1:$AZ$1=W$64,$C$3:$AZ$52)))</f>
        <v>604.23299999999995</v>
      </c>
      <c r="X92" cm="1">
        <f t="array" ref="X92">SUMPRODUCT(IF($A$3:$A$52=$B92,IF($C$1:$AZ$1=X$64,$C$3:$AZ$52)))</f>
        <v>899.57100000000003</v>
      </c>
      <c r="Y92" cm="1">
        <f t="array" ref="Y92">SUMPRODUCT(IF($A$3:$A$52=$B92,IF($C$1:$AZ$1=Y$64,$C$3:$AZ$52)))</f>
        <v>369.572</v>
      </c>
      <c r="Z92" cm="1">
        <f t="array" ref="Z92">SUMPRODUCT(IF($A$3:$A$52=$B92,IF($C$1:$AZ$1=Z$64,$C$3:$AZ$52)))</f>
        <v>759.61</v>
      </c>
      <c r="AA92" cm="1">
        <f t="array" ref="AA92">SUMPRODUCT(IF($A$3:$A$52=$B92,IF($C$1:$AZ$1=AA$64,$C$3:$AZ$52)))</f>
        <v>4569.2889999999998</v>
      </c>
      <c r="AB92" cm="1">
        <f t="array" ref="AB92">SUMPRODUCT(IF($A$3:$A$52=$B92,IF($C$1:$AZ$1=AB$64,$C$3:$AZ$52)))</f>
        <v>0</v>
      </c>
      <c r="AC92" cm="1">
        <f t="array" ref="AC92">SUMPRODUCT(IF($A$3:$A$52=$B92,IF($C$1:$AZ$1=AC$64,$C$3:$AZ$52)))</f>
        <v>1669.57</v>
      </c>
      <c r="AD92" cm="1">
        <f t="array" ref="AD92">SUMPRODUCT(IF($A$3:$A$52=$B92,IF($C$1:$AZ$1=AD$64,$C$3:$AZ$52)))</f>
        <v>146538.10699999999</v>
      </c>
      <c r="AE92" cm="1">
        <f t="array" ref="AE92">SUMPRODUCT(IF($A$3:$A$52=$B92,IF($C$1:$AZ$1=AE$64,$C$3:$AZ$52)))</f>
        <v>18858.338</v>
      </c>
      <c r="AF92" cm="1">
        <f t="array" ref="AF92">SUMPRODUCT(IF($A$3:$A$52=$B92,IF($C$1:$AZ$1=AF$64,$C$3:$AZ$52)))</f>
        <v>6418.9960000000001</v>
      </c>
      <c r="AG92" cm="1">
        <f t="array" ref="AG92">SUMPRODUCT(IF($A$3:$A$52=$B92,IF($C$1:$AZ$1=AG$64,$C$3:$AZ$52)))</f>
        <v>5224.0410000000002</v>
      </c>
      <c r="AH92" cm="1">
        <f t="array" ref="AH92">SUMPRODUCT(IF($A$3:$A$52=$B92,IF($C$1:$AZ$1=AH$64,$C$3:$AZ$52)))</f>
        <v>1066.9839999999999</v>
      </c>
      <c r="AI92" cm="1">
        <f t="array" ref="AI92">SUMPRODUCT(IF($A$3:$A$52=$B92,IF($C$1:$AZ$1=AI$64,$C$3:$AZ$52)))</f>
        <v>4097.9430000000002</v>
      </c>
      <c r="AJ92" cm="1">
        <f t="array" ref="AJ92">SUMPRODUCT(IF($A$3:$A$52=$B92,IF($C$1:$AZ$1=AJ$64,$C$3:$AZ$52)))</f>
        <v>893.02</v>
      </c>
      <c r="AK92" cm="1">
        <f t="array" ref="AK92">SUMPRODUCT(IF($A$3:$A$52=$B92,IF($C$1:$AZ$1=AK$64,$C$3:$AZ$52)))</f>
        <v>6224.326</v>
      </c>
      <c r="AL92" cm="1">
        <f t="array" ref="AL92">SUMPRODUCT(IF($A$3:$A$52=$B92,IF($C$1:$AZ$1=AL$64,$C$3:$AZ$52)))</f>
        <v>135513.68799999999</v>
      </c>
      <c r="AM92" cm="1">
        <f t="array" ref="AM92">SUMPRODUCT(IF($A$3:$A$52=$B92,IF($C$1:$AZ$1=AM$64,$C$3:$AZ$52)))</f>
        <v>16867.190999999999</v>
      </c>
      <c r="AN92" cm="1">
        <f t="array" ref="AN92">SUMPRODUCT(IF($A$3:$A$52=$B92,IF($C$1:$AZ$1=AN$64,$C$3:$AZ$52)))</f>
        <v>66646.437000000005</v>
      </c>
      <c r="AO92" cm="1">
        <f t="array" ref="AO92">SUMPRODUCT(IF($A$3:$A$52=$B92,IF($C$1:$AZ$1=AO$64,$C$3:$AZ$52)))</f>
        <v>11902.602999999999</v>
      </c>
      <c r="AP92" cm="1">
        <f t="array" ref="AP92">SUMPRODUCT(IF($A$3:$A$52=$B92,IF($C$1:$AZ$1=AP$64,$C$3:$AZ$52)))</f>
        <v>13986.228999999999</v>
      </c>
      <c r="AQ92" cm="1">
        <f t="array" ref="AQ92">SUMPRODUCT(IF($A$3:$A$52=$B92,IF($C$1:$AZ$1=AQ$64,$C$3:$AZ$52)))</f>
        <v>3836.7650000000003</v>
      </c>
      <c r="AR92" cm="1">
        <f t="array" ref="AR92">SUMPRODUCT(IF($A$3:$A$52=$B92,IF($C$1:$AZ$1=AR$64,$C$3:$AZ$52)))</f>
        <v>0</v>
      </c>
    </row>
    <row r="93" spans="2:44" x14ac:dyDescent="0.25">
      <c r="B93" t="s">
        <v>21</v>
      </c>
      <c r="C93" cm="1">
        <f t="array" ref="C93">SUMPRODUCT(IF($A$3:$A$52=$B93,IF($C$1:$AZ$1=C$64,$C$3:$AZ$52)))</f>
        <v>77797.86</v>
      </c>
      <c r="D93" cm="1">
        <f t="array" ref="D93">SUMPRODUCT(IF($A$3:$A$52=$B93,IF($C$1:$AZ$1=D$64,$C$3:$AZ$52)))</f>
        <v>1715.9739999999999</v>
      </c>
      <c r="E93" cm="1">
        <f t="array" ref="E93">SUMPRODUCT(IF($A$3:$A$52=$B93,IF($C$1:$AZ$1=E$64,$C$3:$AZ$52)))</f>
        <v>30933.679</v>
      </c>
      <c r="F93" cm="1">
        <f t="array" ref="F93">SUMPRODUCT(IF($A$3:$A$52=$B93,IF($C$1:$AZ$1=F$64,$C$3:$AZ$52)))</f>
        <v>5214.0429999999997</v>
      </c>
      <c r="G93" cm="1">
        <f t="array" ref="G93">SUMPRODUCT(IF($A$3:$A$52=$B93,IF($C$1:$AZ$1=G$64,$C$3:$AZ$52)))</f>
        <v>1459.4280000000001</v>
      </c>
      <c r="H93" cm="1">
        <f t="array" ref="H93">SUMPRODUCT(IF($A$3:$A$52=$B93,IF($C$1:$AZ$1=H$64,$C$3:$AZ$52)))</f>
        <v>179532.25899999999</v>
      </c>
      <c r="I93" cm="1">
        <f t="array" ref="I93">SUMPRODUCT(IF($A$3:$A$52=$B93,IF($C$1:$AZ$1=I$64,$C$3:$AZ$52)))</f>
        <v>9301.6569999999992</v>
      </c>
      <c r="J93" cm="1">
        <f t="array" ref="J93">SUMPRODUCT(IF($A$3:$A$52=$B93,IF($C$1:$AZ$1=J$64,$C$3:$AZ$52)))</f>
        <v>20170.798999999999</v>
      </c>
      <c r="K93" cm="1">
        <f t="array" ref="K93">SUMPRODUCT(IF($A$3:$A$52=$B93,IF($C$1:$AZ$1=K$64,$C$3:$AZ$52)))</f>
        <v>31865.455999999998</v>
      </c>
      <c r="L93" cm="1">
        <f t="array" ref="L93">SUMPRODUCT(IF($A$3:$A$52=$B93,IF($C$1:$AZ$1=L$64,$C$3:$AZ$52)))</f>
        <v>44209.561000000002</v>
      </c>
      <c r="M93" cm="1">
        <f t="array" ref="M93">SUMPRODUCT(IF($A$3:$A$52=$B93,IF($C$1:$AZ$1=M$64,$C$3:$AZ$52)))</f>
        <v>67113.491999999998</v>
      </c>
      <c r="N93" cm="1">
        <f t="array" ref="N93">SUMPRODUCT(IF($A$3:$A$52=$B93,IF($C$1:$AZ$1=N$64,$C$3:$AZ$52)))</f>
        <v>22439.632000000001</v>
      </c>
      <c r="O93" cm="1">
        <f t="array" ref="O93">SUMPRODUCT(IF($A$3:$A$52=$B93,IF($C$1:$AZ$1=O$64,$C$3:$AZ$52)))</f>
        <v>43412.055</v>
      </c>
      <c r="P93" cm="1">
        <f t="array" ref="P93">SUMPRODUCT(IF($A$3:$A$52=$B93,IF($C$1:$AZ$1=P$64,$C$3:$AZ$52)))</f>
        <v>18308.292000000001</v>
      </c>
      <c r="Q93" cm="1">
        <f t="array" ref="Q93">SUMPRODUCT(IF($A$3:$A$52=$B93,IF($C$1:$AZ$1=Q$64,$C$3:$AZ$52)))</f>
        <v>0</v>
      </c>
      <c r="R93" cm="1">
        <f t="array" ref="R93">SUMPRODUCT(IF($A$3:$A$52=$B93,IF($C$1:$AZ$1=R$64,$C$3:$AZ$52)))</f>
        <v>21464.174999999999</v>
      </c>
      <c r="S93" cm="1">
        <f t="array" ref="S93">SUMPRODUCT(IF($A$3:$A$52=$B93,IF($C$1:$AZ$1=S$64,$C$3:$AZ$52)))</f>
        <v>9421.0400000000009</v>
      </c>
      <c r="T93" cm="1">
        <f t="array" ref="T93">SUMPRODUCT(IF($A$3:$A$52=$B93,IF($C$1:$AZ$1=T$64,$C$3:$AZ$52)))</f>
        <v>44736.709000000003</v>
      </c>
      <c r="U93" cm="1">
        <f t="array" ref="U93">SUMPRODUCT(IF($A$3:$A$52=$B93,IF($C$1:$AZ$1=U$64,$C$3:$AZ$52)))</f>
        <v>30909.687999999998</v>
      </c>
      <c r="V93" cm="1">
        <f t="array" ref="V93">SUMPRODUCT(IF($A$3:$A$52=$B93,IF($C$1:$AZ$1=V$64,$C$3:$AZ$52)))</f>
        <v>13539.884</v>
      </c>
      <c r="W93" cm="1">
        <f t="array" ref="W93">SUMPRODUCT(IF($A$3:$A$52=$B93,IF($C$1:$AZ$1=W$64,$C$3:$AZ$52)))</f>
        <v>49867.226999999999</v>
      </c>
      <c r="X93" cm="1">
        <f t="array" ref="X93">SUMPRODUCT(IF($A$3:$A$52=$B93,IF($C$1:$AZ$1=X$64,$C$3:$AZ$52)))</f>
        <v>123937.78200000001</v>
      </c>
      <c r="Y93" cm="1">
        <f t="array" ref="Y93">SUMPRODUCT(IF($A$3:$A$52=$B93,IF($C$1:$AZ$1=Y$64,$C$3:$AZ$52)))</f>
        <v>31483.253999999997</v>
      </c>
      <c r="Z93" cm="1">
        <f t="array" ref="Z93">SUMPRODUCT(IF($A$3:$A$52=$B93,IF($C$1:$AZ$1=Z$64,$C$3:$AZ$52)))</f>
        <v>26092.55</v>
      </c>
      <c r="AA93" cm="1">
        <f t="array" ref="AA93">SUMPRODUCT(IF($A$3:$A$52=$B93,IF($C$1:$AZ$1=AA$64,$C$3:$AZ$52)))</f>
        <v>19383.903999999999</v>
      </c>
      <c r="AB93" cm="1">
        <f t="array" ref="AB93">SUMPRODUCT(IF($A$3:$A$52=$B93,IF($C$1:$AZ$1=AB$64,$C$3:$AZ$52)))</f>
        <v>0</v>
      </c>
      <c r="AC93" cm="1">
        <f t="array" ref="AC93">SUMPRODUCT(IF($A$3:$A$52=$B93,IF($C$1:$AZ$1=AC$64,$C$3:$AZ$52)))</f>
        <v>7193.4290000000001</v>
      </c>
      <c r="AD93" cm="1">
        <f t="array" ref="AD93">SUMPRODUCT(IF($A$3:$A$52=$B93,IF($C$1:$AZ$1=AD$64,$C$3:$AZ$52)))</f>
        <v>162263.489</v>
      </c>
      <c r="AE93" cm="1">
        <f t="array" ref="AE93">SUMPRODUCT(IF($A$3:$A$52=$B93,IF($C$1:$AZ$1=AE$64,$C$3:$AZ$52)))</f>
        <v>239406.946</v>
      </c>
      <c r="AF93" cm="1">
        <f t="array" ref="AF93">SUMPRODUCT(IF($A$3:$A$52=$B93,IF($C$1:$AZ$1=AF$64,$C$3:$AZ$52)))</f>
        <v>117551.45299999999</v>
      </c>
      <c r="AG93" cm="1">
        <f t="array" ref="AG93">SUMPRODUCT(IF($A$3:$A$52=$B93,IF($C$1:$AZ$1=AG$64,$C$3:$AZ$52)))</f>
        <v>97597.313999999998</v>
      </c>
      <c r="AH93" cm="1">
        <f t="array" ref="AH93">SUMPRODUCT(IF($A$3:$A$52=$B93,IF($C$1:$AZ$1=AH$64,$C$3:$AZ$52)))</f>
        <v>34885.071000000004</v>
      </c>
      <c r="AI93" cm="1">
        <f t="array" ref="AI93">SUMPRODUCT(IF($A$3:$A$52=$B93,IF($C$1:$AZ$1=AI$64,$C$3:$AZ$52)))</f>
        <v>20783.990000000002</v>
      </c>
      <c r="AJ93" cm="1">
        <f t="array" ref="AJ93">SUMPRODUCT(IF($A$3:$A$52=$B93,IF($C$1:$AZ$1=AJ$64,$C$3:$AZ$52)))</f>
        <v>21017.282999999999</v>
      </c>
      <c r="AK93" cm="1">
        <f t="array" ref="AK93">SUMPRODUCT(IF($A$3:$A$52=$B93,IF($C$1:$AZ$1=AK$64,$C$3:$AZ$52)))</f>
        <v>28172.328000000001</v>
      </c>
      <c r="AL93" cm="1">
        <f t="array" ref="AL93">SUMPRODUCT(IF($A$3:$A$52=$B93,IF($C$1:$AZ$1=AL$64,$C$3:$AZ$52)))</f>
        <v>45932.057000000001</v>
      </c>
      <c r="AM93" cm="1">
        <f t="array" ref="AM93">SUMPRODUCT(IF($A$3:$A$52=$B93,IF($C$1:$AZ$1=AM$64,$C$3:$AZ$52)))</f>
        <v>130314.592</v>
      </c>
      <c r="AN93" cm="1">
        <f t="array" ref="AN93">SUMPRODUCT(IF($A$3:$A$52=$B93,IF($C$1:$AZ$1=AN$64,$C$3:$AZ$52)))</f>
        <v>92757.922000000006</v>
      </c>
      <c r="AO93" cm="1">
        <f t="array" ref="AO93">SUMPRODUCT(IF($A$3:$A$52=$B93,IF($C$1:$AZ$1=AO$64,$C$3:$AZ$52)))</f>
        <v>34958.642</v>
      </c>
      <c r="AP93" cm="1">
        <f t="array" ref="AP93">SUMPRODUCT(IF($A$3:$A$52=$B93,IF($C$1:$AZ$1=AP$64,$C$3:$AZ$52)))</f>
        <v>140399.23000000001</v>
      </c>
      <c r="AQ93" cm="1">
        <f t="array" ref="AQ93">SUMPRODUCT(IF($A$3:$A$52=$B93,IF($C$1:$AZ$1=AQ$64,$C$3:$AZ$52)))</f>
        <v>31060.378000000001</v>
      </c>
      <c r="AR93" cm="1">
        <f t="array" ref="AR93">SUMPRODUCT(IF($A$3:$A$52=$B93,IF($C$1:$AZ$1=AR$64,$C$3:$AZ$52)))</f>
        <v>0</v>
      </c>
    </row>
    <row r="94" spans="2:44" x14ac:dyDescent="0.25">
      <c r="B94" t="s">
        <v>22</v>
      </c>
      <c r="C94" cm="1">
        <f t="array" ref="C94">SUMPRODUCT(IF($A$3:$A$52=$B94,IF($C$1:$AZ$1=C$64,$C$3:$AZ$52)))</f>
        <v>18832.980000000003</v>
      </c>
      <c r="D94" cm="1">
        <f t="array" ref="D94">SUMPRODUCT(IF($A$3:$A$52=$B94,IF($C$1:$AZ$1=D$64,$C$3:$AZ$52)))</f>
        <v>1742.8150000000001</v>
      </c>
      <c r="E94" cm="1">
        <f t="array" ref="E94">SUMPRODUCT(IF($A$3:$A$52=$B94,IF($C$1:$AZ$1=E$64,$C$3:$AZ$52)))</f>
        <v>32523.548999999999</v>
      </c>
      <c r="F94" cm="1">
        <f t="array" ref="F94">SUMPRODUCT(IF($A$3:$A$52=$B94,IF($C$1:$AZ$1=F$64,$C$3:$AZ$52)))</f>
        <v>3929.5229999999997</v>
      </c>
      <c r="G94" cm="1">
        <f t="array" ref="G94">SUMPRODUCT(IF($A$3:$A$52=$B94,IF($C$1:$AZ$1=G$64,$C$3:$AZ$52)))</f>
        <v>1124.972</v>
      </c>
      <c r="H94" cm="1">
        <f t="array" ref="H94">SUMPRODUCT(IF($A$3:$A$52=$B94,IF($C$1:$AZ$1=H$64,$C$3:$AZ$52)))</f>
        <v>49328.658000000003</v>
      </c>
      <c r="I94" cm="1">
        <f t="array" ref="I94">SUMPRODUCT(IF($A$3:$A$52=$B94,IF($C$1:$AZ$1=I$64,$C$3:$AZ$52)))</f>
        <v>2179.2860000000001</v>
      </c>
      <c r="J94" cm="1">
        <f t="array" ref="J94">SUMPRODUCT(IF($A$3:$A$52=$B94,IF($C$1:$AZ$1=J$64,$C$3:$AZ$52)))</f>
        <v>10516.657000000003</v>
      </c>
      <c r="K94" cm="1">
        <f t="array" ref="K94">SUMPRODUCT(IF($A$3:$A$52=$B94,IF($C$1:$AZ$1=K$64,$C$3:$AZ$52)))</f>
        <v>11495.913999999999</v>
      </c>
      <c r="L94" cm="1">
        <f t="array" ref="L94">SUMPRODUCT(IF($A$3:$A$52=$B94,IF($C$1:$AZ$1=L$64,$C$3:$AZ$52)))</f>
        <v>36255.350999999995</v>
      </c>
      <c r="M94" cm="1">
        <f t="array" ref="M94">SUMPRODUCT(IF($A$3:$A$52=$B94,IF($C$1:$AZ$1=M$64,$C$3:$AZ$52)))</f>
        <v>15840.386</v>
      </c>
      <c r="N94" cm="1">
        <f t="array" ref="N94">SUMPRODUCT(IF($A$3:$A$52=$B94,IF($C$1:$AZ$1=N$64,$C$3:$AZ$52)))</f>
        <v>5494.6949999999997</v>
      </c>
      <c r="O94" cm="1">
        <f t="array" ref="O94">SUMPRODUCT(IF($A$3:$A$52=$B94,IF($C$1:$AZ$1=O$64,$C$3:$AZ$52)))</f>
        <v>9215.9560000000001</v>
      </c>
      <c r="P94" cm="1">
        <f t="array" ref="P94">SUMPRODUCT(IF($A$3:$A$52=$B94,IF($C$1:$AZ$1=P$64,$C$3:$AZ$52)))</f>
        <v>10404.492</v>
      </c>
      <c r="Q94" cm="1">
        <f t="array" ref="Q94">SUMPRODUCT(IF($A$3:$A$52=$B94,IF($C$1:$AZ$1=Q$64,$C$3:$AZ$52)))</f>
        <v>0</v>
      </c>
      <c r="R94" cm="1">
        <f t="array" ref="R94">SUMPRODUCT(IF($A$3:$A$52=$B94,IF($C$1:$AZ$1=R$64,$C$3:$AZ$52)))</f>
        <v>9278.259</v>
      </c>
      <c r="S94" cm="1">
        <f t="array" ref="S94">SUMPRODUCT(IF($A$3:$A$52=$B94,IF($C$1:$AZ$1=S$64,$C$3:$AZ$52)))</f>
        <v>4567.7910000000002</v>
      </c>
      <c r="T94" cm="1">
        <f t="array" ref="T94">SUMPRODUCT(IF($A$3:$A$52=$B94,IF($C$1:$AZ$1=T$64,$C$3:$AZ$52)))</f>
        <v>15028.739000000001</v>
      </c>
      <c r="U94" cm="1">
        <f t="array" ref="U94">SUMPRODUCT(IF($A$3:$A$52=$B94,IF($C$1:$AZ$1=U$64,$C$3:$AZ$52)))</f>
        <v>6567.2919999999995</v>
      </c>
      <c r="V94" cm="1">
        <f t="array" ref="V94">SUMPRODUCT(IF($A$3:$A$52=$B94,IF($C$1:$AZ$1=V$64,$C$3:$AZ$52)))</f>
        <v>4329.2550000000001</v>
      </c>
      <c r="W94" cm="1">
        <f t="array" ref="W94">SUMPRODUCT(IF($A$3:$A$52=$B94,IF($C$1:$AZ$1=W$64,$C$3:$AZ$52)))</f>
        <v>13835.931999999999</v>
      </c>
      <c r="X94" cm="1">
        <f t="array" ref="X94">SUMPRODUCT(IF($A$3:$A$52=$B94,IF($C$1:$AZ$1=X$64,$C$3:$AZ$52)))</f>
        <v>26974.147999999997</v>
      </c>
      <c r="Y94" cm="1">
        <f t="array" ref="Y94">SUMPRODUCT(IF($A$3:$A$52=$B94,IF($C$1:$AZ$1=Y$64,$C$3:$AZ$52)))</f>
        <v>9049.0509999999995</v>
      </c>
      <c r="Z94" cm="1">
        <f t="array" ref="Z94">SUMPRODUCT(IF($A$3:$A$52=$B94,IF($C$1:$AZ$1=Z$64,$C$3:$AZ$52)))</f>
        <v>8728.5239999999994</v>
      </c>
      <c r="AA94" cm="1">
        <f t="array" ref="AA94">SUMPRODUCT(IF($A$3:$A$52=$B94,IF($C$1:$AZ$1=AA$64,$C$3:$AZ$52)))</f>
        <v>12936.398000000001</v>
      </c>
      <c r="AB94" cm="1">
        <f t="array" ref="AB94">SUMPRODUCT(IF($A$3:$A$52=$B94,IF($C$1:$AZ$1=AB$64,$C$3:$AZ$52)))</f>
        <v>0</v>
      </c>
      <c r="AC94" cm="1">
        <f t="array" ref="AC94">SUMPRODUCT(IF($A$3:$A$52=$B94,IF($C$1:$AZ$1=AC$64,$C$3:$AZ$52)))</f>
        <v>4040.6049999999996</v>
      </c>
      <c r="AD94" cm="1">
        <f t="array" ref="AD94">SUMPRODUCT(IF($A$3:$A$52=$B94,IF($C$1:$AZ$1=AD$64,$C$3:$AZ$52)))</f>
        <v>57612.45</v>
      </c>
      <c r="AE94" cm="1">
        <f t="array" ref="AE94">SUMPRODUCT(IF($A$3:$A$52=$B94,IF($C$1:$AZ$1=AE$64,$C$3:$AZ$52)))</f>
        <v>287080.43</v>
      </c>
      <c r="AF94" cm="1">
        <f t="array" ref="AF94">SUMPRODUCT(IF($A$3:$A$52=$B94,IF($C$1:$AZ$1=AF$64,$C$3:$AZ$52)))</f>
        <v>224037.49</v>
      </c>
      <c r="AG94" cm="1">
        <f t="array" ref="AG94">SUMPRODUCT(IF($A$3:$A$52=$B94,IF($C$1:$AZ$1=AG$64,$C$3:$AZ$52)))</f>
        <v>25031.228999999999</v>
      </c>
      <c r="AH94" cm="1">
        <f t="array" ref="AH94">SUMPRODUCT(IF($A$3:$A$52=$B94,IF($C$1:$AZ$1=AH$64,$C$3:$AZ$52)))</f>
        <v>18350.907999999999</v>
      </c>
      <c r="AI94" cm="1">
        <f t="array" ref="AI94">SUMPRODUCT(IF($A$3:$A$52=$B94,IF($C$1:$AZ$1=AI$64,$C$3:$AZ$52)))</f>
        <v>12137.150000000001</v>
      </c>
      <c r="AJ94" cm="1">
        <f t="array" ref="AJ94">SUMPRODUCT(IF($A$3:$A$52=$B94,IF($C$1:$AZ$1=AJ$64,$C$3:$AZ$52)))</f>
        <v>9865.869999999999</v>
      </c>
      <c r="AK94" cm="1">
        <f t="array" ref="AK94">SUMPRODUCT(IF($A$3:$A$52=$B94,IF($C$1:$AZ$1=AK$64,$C$3:$AZ$52)))</f>
        <v>48922.539000000004</v>
      </c>
      <c r="AL94" cm="1">
        <f t="array" ref="AL94">SUMPRODUCT(IF($A$3:$A$52=$B94,IF($C$1:$AZ$1=AL$64,$C$3:$AZ$52)))</f>
        <v>24209.791000000001</v>
      </c>
      <c r="AM94" cm="1">
        <f t="array" ref="AM94">SUMPRODUCT(IF($A$3:$A$52=$B94,IF($C$1:$AZ$1=AM$64,$C$3:$AZ$52)))</f>
        <v>79559.542000000001</v>
      </c>
      <c r="AN94" cm="1">
        <f t="array" ref="AN94">SUMPRODUCT(IF($A$3:$A$52=$B94,IF($C$1:$AZ$1=AN$64,$C$3:$AZ$52)))</f>
        <v>86421.709000000003</v>
      </c>
      <c r="AO94" cm="1">
        <f t="array" ref="AO94">SUMPRODUCT(IF($A$3:$A$52=$B94,IF($C$1:$AZ$1=AO$64,$C$3:$AZ$52)))</f>
        <v>23094.300999999999</v>
      </c>
      <c r="AP94" cm="1">
        <f t="array" ref="AP94">SUMPRODUCT(IF($A$3:$A$52=$B94,IF($C$1:$AZ$1=AP$64,$C$3:$AZ$52)))</f>
        <v>45598.466</v>
      </c>
      <c r="AQ94" cm="1">
        <f t="array" ref="AQ94">SUMPRODUCT(IF($A$3:$A$52=$B94,IF($C$1:$AZ$1=AQ$64,$C$3:$AZ$52)))</f>
        <v>19600.766</v>
      </c>
      <c r="AR94" cm="1">
        <f t="array" ref="AR94">SUMPRODUCT(IF($A$3:$A$52=$B94,IF($C$1:$AZ$1=AR$64,$C$3:$AZ$52)))</f>
        <v>0</v>
      </c>
    </row>
    <row r="95" spans="2:44" x14ac:dyDescent="0.25">
      <c r="B95" t="s">
        <v>23</v>
      </c>
      <c r="C95" cm="1">
        <f t="array" ref="C95">SUMPRODUCT(IF($A$3:$A$52=$B95,IF($C$1:$AZ$1=C$64,$C$3:$AZ$52)))</f>
        <v>591.72000000000014</v>
      </c>
      <c r="D95" cm="1">
        <f t="array" ref="D95">SUMPRODUCT(IF($A$3:$A$52=$B95,IF($C$1:$AZ$1=D$64,$C$3:$AZ$52)))</f>
        <v>54.024999999999999</v>
      </c>
      <c r="E95" cm="1">
        <f t="array" ref="E95">SUMPRODUCT(IF($A$3:$A$52=$B95,IF($C$1:$AZ$1=E$64,$C$3:$AZ$52)))</f>
        <v>1731.8219999999999</v>
      </c>
      <c r="F95" cm="1">
        <f t="array" ref="F95">SUMPRODUCT(IF($A$3:$A$52=$B95,IF($C$1:$AZ$1=F$64,$C$3:$AZ$52)))</f>
        <v>271.65500000000003</v>
      </c>
      <c r="G95" cm="1">
        <f t="array" ref="G95">SUMPRODUCT(IF($A$3:$A$52=$B95,IF($C$1:$AZ$1=G$64,$C$3:$AZ$52)))</f>
        <v>71.215000000000003</v>
      </c>
      <c r="H95" cm="1">
        <f t="array" ref="H95">SUMPRODUCT(IF($A$3:$A$52=$B95,IF($C$1:$AZ$1=H$64,$C$3:$AZ$52)))</f>
        <v>1749.9349999999999</v>
      </c>
      <c r="I95" cm="1">
        <f t="array" ref="I95">SUMPRODUCT(IF($A$3:$A$52=$B95,IF($C$1:$AZ$1=I$64,$C$3:$AZ$52)))</f>
        <v>151.38800000000001</v>
      </c>
      <c r="J95" cm="1">
        <f t="array" ref="J95">SUMPRODUCT(IF($A$3:$A$52=$B95,IF($C$1:$AZ$1=J$64,$C$3:$AZ$52)))</f>
        <v>223.27600000000001</v>
      </c>
      <c r="K95" cm="1">
        <f t="array" ref="K95">SUMPRODUCT(IF($A$3:$A$52=$B95,IF($C$1:$AZ$1=K$64,$C$3:$AZ$52)))</f>
        <v>414.762</v>
      </c>
      <c r="L95" cm="1">
        <f t="array" ref="L95">SUMPRODUCT(IF($A$3:$A$52=$B95,IF($C$1:$AZ$1=L$64,$C$3:$AZ$52)))</f>
        <v>341.065</v>
      </c>
      <c r="M95" cm="1">
        <f t="array" ref="M95">SUMPRODUCT(IF($A$3:$A$52=$B95,IF($C$1:$AZ$1=M$64,$C$3:$AZ$52)))</f>
        <v>778.13199999999995</v>
      </c>
      <c r="N95" cm="1">
        <f t="array" ref="N95">SUMPRODUCT(IF($A$3:$A$52=$B95,IF($C$1:$AZ$1=N$64,$C$3:$AZ$52)))</f>
        <v>501.83</v>
      </c>
      <c r="O95" cm="1">
        <f t="array" ref="O95">SUMPRODUCT(IF($A$3:$A$52=$B95,IF($C$1:$AZ$1=O$64,$C$3:$AZ$52)))</f>
        <v>536.51499999999999</v>
      </c>
      <c r="P95" cm="1">
        <f t="array" ref="P95">SUMPRODUCT(IF($A$3:$A$52=$B95,IF($C$1:$AZ$1=P$64,$C$3:$AZ$52)))</f>
        <v>250.59399999999999</v>
      </c>
      <c r="Q95" cm="1">
        <f t="array" ref="Q95">SUMPRODUCT(IF($A$3:$A$52=$B95,IF($C$1:$AZ$1=Q$64,$C$3:$AZ$52)))</f>
        <v>0</v>
      </c>
      <c r="R95" cm="1">
        <f t="array" ref="R95">SUMPRODUCT(IF($A$3:$A$52=$B95,IF($C$1:$AZ$1=R$64,$C$3:$AZ$52)))</f>
        <v>226.62899999999999</v>
      </c>
      <c r="S95" cm="1">
        <f t="array" ref="S95">SUMPRODUCT(IF($A$3:$A$52=$B95,IF($C$1:$AZ$1=S$64,$C$3:$AZ$52)))</f>
        <v>138.99100000000001</v>
      </c>
      <c r="T95" cm="1">
        <f t="array" ref="T95">SUMPRODUCT(IF($A$3:$A$52=$B95,IF($C$1:$AZ$1=T$64,$C$3:$AZ$52)))</f>
        <v>701.15200000000004</v>
      </c>
      <c r="U95" cm="1">
        <f t="array" ref="U95">SUMPRODUCT(IF($A$3:$A$52=$B95,IF($C$1:$AZ$1=U$64,$C$3:$AZ$52)))</f>
        <v>284.66899999999998</v>
      </c>
      <c r="V95" cm="1">
        <f t="array" ref="V95">SUMPRODUCT(IF($A$3:$A$52=$B95,IF($C$1:$AZ$1=V$64,$C$3:$AZ$52)))</f>
        <v>251.18700000000001</v>
      </c>
      <c r="W95" cm="1">
        <f t="array" ref="W95">SUMPRODUCT(IF($A$3:$A$52=$B95,IF($C$1:$AZ$1=W$64,$C$3:$AZ$52)))</f>
        <v>723.04499999999996</v>
      </c>
      <c r="X95" cm="1">
        <f t="array" ref="X95">SUMPRODUCT(IF($A$3:$A$52=$B95,IF($C$1:$AZ$1=X$64,$C$3:$AZ$52)))</f>
        <v>760.904</v>
      </c>
      <c r="Y95" cm="1">
        <f t="array" ref="Y95">SUMPRODUCT(IF($A$3:$A$52=$B95,IF($C$1:$AZ$1=Y$64,$C$3:$AZ$52)))</f>
        <v>357.59100000000001</v>
      </c>
      <c r="Z95" cm="1">
        <f t="array" ref="Z95">SUMPRODUCT(IF($A$3:$A$52=$B95,IF($C$1:$AZ$1=Z$64,$C$3:$AZ$52)))</f>
        <v>407.43099999999998</v>
      </c>
      <c r="AA95" cm="1">
        <f t="array" ref="AA95">SUMPRODUCT(IF($A$3:$A$52=$B95,IF($C$1:$AZ$1=AA$64,$C$3:$AZ$52)))</f>
        <v>651.80700000000002</v>
      </c>
      <c r="AB95" cm="1">
        <f t="array" ref="AB95">SUMPRODUCT(IF($A$3:$A$52=$B95,IF($C$1:$AZ$1=AB$64,$C$3:$AZ$52)))</f>
        <v>0</v>
      </c>
      <c r="AC95" cm="1">
        <f t="array" ref="AC95">SUMPRODUCT(IF($A$3:$A$52=$B95,IF($C$1:$AZ$1=AC$64,$C$3:$AZ$52)))</f>
        <v>403.43400000000003</v>
      </c>
      <c r="AD95" cm="1">
        <f t="array" ref="AD95">SUMPRODUCT(IF($A$3:$A$52=$B95,IF($C$1:$AZ$1=AD$64,$C$3:$AZ$52)))</f>
        <v>3672.3009999999999</v>
      </c>
      <c r="AE95" cm="1">
        <f t="array" ref="AE95">SUMPRODUCT(IF($A$3:$A$52=$B95,IF($C$1:$AZ$1=AE$64,$C$3:$AZ$52)))</f>
        <v>20436.293000000001</v>
      </c>
      <c r="AF95" cm="1">
        <f t="array" ref="AF95">SUMPRODUCT(IF($A$3:$A$52=$B95,IF($C$1:$AZ$1=AF$64,$C$3:$AZ$52)))</f>
        <v>6673.67</v>
      </c>
      <c r="AG95" cm="1">
        <f t="array" ref="AG95">SUMPRODUCT(IF($A$3:$A$52=$B95,IF($C$1:$AZ$1=AG$64,$C$3:$AZ$52)))</f>
        <v>7322.1310000000003</v>
      </c>
      <c r="AH95" cm="1">
        <f t="array" ref="AH95">SUMPRODUCT(IF($A$3:$A$52=$B95,IF($C$1:$AZ$1=AH$64,$C$3:$AZ$52)))</f>
        <v>5116.3239999999996</v>
      </c>
      <c r="AI95" cm="1">
        <f t="array" ref="AI95">SUMPRODUCT(IF($A$3:$A$52=$B95,IF($C$1:$AZ$1=AI$64,$C$3:$AZ$52)))</f>
        <v>1870.105</v>
      </c>
      <c r="AJ95" cm="1">
        <f t="array" ref="AJ95">SUMPRODUCT(IF($A$3:$A$52=$B95,IF($C$1:$AZ$1=AJ$64,$C$3:$AZ$52)))</f>
        <v>4124.6239999999998</v>
      </c>
      <c r="AK95" cm="1">
        <f t="array" ref="AK95">SUMPRODUCT(IF($A$3:$A$52=$B95,IF($C$1:$AZ$1=AK$64,$C$3:$AZ$52)))</f>
        <v>12936.647000000001</v>
      </c>
      <c r="AL95" cm="1">
        <f t="array" ref="AL95">SUMPRODUCT(IF($A$3:$A$52=$B95,IF($C$1:$AZ$1=AL$64,$C$3:$AZ$52)))</f>
        <v>7054.8590000000004</v>
      </c>
      <c r="AM95" cm="1">
        <f t="array" ref="AM95">SUMPRODUCT(IF($A$3:$A$52=$B95,IF($C$1:$AZ$1=AM$64,$C$3:$AZ$52)))</f>
        <v>25620.531999999999</v>
      </c>
      <c r="AN95" cm="1">
        <f t="array" ref="AN95">SUMPRODUCT(IF($A$3:$A$52=$B95,IF($C$1:$AZ$1=AN$64,$C$3:$AZ$52)))</f>
        <v>26209.044999999998</v>
      </c>
      <c r="AO95" cm="1">
        <f t="array" ref="AO95">SUMPRODUCT(IF($A$3:$A$52=$B95,IF($C$1:$AZ$1=AO$64,$C$3:$AZ$52)))</f>
        <v>10463.174999999999</v>
      </c>
      <c r="AP95" cm="1">
        <f t="array" ref="AP95">SUMPRODUCT(IF($A$3:$A$52=$B95,IF($C$1:$AZ$1=AP$64,$C$3:$AZ$52)))</f>
        <v>21061.46</v>
      </c>
      <c r="AQ95" cm="1">
        <f t="array" ref="AQ95">SUMPRODUCT(IF($A$3:$A$52=$B95,IF($C$1:$AZ$1=AQ$64,$C$3:$AZ$52)))</f>
        <v>13127.264999999999</v>
      </c>
      <c r="AR95" cm="1">
        <f t="array" ref="AR95">SUMPRODUCT(IF($A$3:$A$52=$B95,IF($C$1:$AZ$1=AR$64,$C$3:$AZ$52)))</f>
        <v>0</v>
      </c>
    </row>
    <row r="96" spans="2:44" x14ac:dyDescent="0.25">
      <c r="B96" t="s">
        <v>24</v>
      </c>
      <c r="C96" cm="1">
        <f t="array" ref="C96">SUMPRODUCT(IF($A$3:$A$52=$B96,IF($C$1:$AZ$1=C$64,$C$3:$AZ$52)))</f>
        <v>1274.7610000000002</v>
      </c>
      <c r="D96" cm="1">
        <f t="array" ref="D96">SUMPRODUCT(IF($A$3:$A$52=$B96,IF($C$1:$AZ$1=D$64,$C$3:$AZ$52)))</f>
        <v>49.759</v>
      </c>
      <c r="E96" cm="1">
        <f t="array" ref="E96">SUMPRODUCT(IF($A$3:$A$52=$B96,IF($C$1:$AZ$1=E$64,$C$3:$AZ$52)))</f>
        <v>1572.2190000000001</v>
      </c>
      <c r="F96" cm="1">
        <f t="array" ref="F96">SUMPRODUCT(IF($A$3:$A$52=$B96,IF($C$1:$AZ$1=F$64,$C$3:$AZ$52)))</f>
        <v>170.59399999999999</v>
      </c>
      <c r="G96" cm="1">
        <f t="array" ref="G96">SUMPRODUCT(IF($A$3:$A$52=$B96,IF($C$1:$AZ$1=G$64,$C$3:$AZ$52)))</f>
        <v>72.36</v>
      </c>
      <c r="H96" cm="1">
        <f t="array" ref="H96">SUMPRODUCT(IF($A$3:$A$52=$B96,IF($C$1:$AZ$1=H$64,$C$3:$AZ$52)))</f>
        <v>5862.3670000000002</v>
      </c>
      <c r="I96" cm="1">
        <f t="array" ref="I96">SUMPRODUCT(IF($A$3:$A$52=$B96,IF($C$1:$AZ$1=I$64,$C$3:$AZ$52)))</f>
        <v>272.58300000000003</v>
      </c>
      <c r="J96" cm="1">
        <f t="array" ref="J96">SUMPRODUCT(IF($A$3:$A$52=$B96,IF($C$1:$AZ$1=J$64,$C$3:$AZ$52)))</f>
        <v>481.23599999999999</v>
      </c>
      <c r="K96" cm="1">
        <f t="array" ref="K96">SUMPRODUCT(IF($A$3:$A$52=$B96,IF($C$1:$AZ$1=K$64,$C$3:$AZ$52)))</f>
        <v>1474.723</v>
      </c>
      <c r="L96" cm="1">
        <f t="array" ref="L96">SUMPRODUCT(IF($A$3:$A$52=$B96,IF($C$1:$AZ$1=L$64,$C$3:$AZ$52)))</f>
        <v>741.73900000000003</v>
      </c>
      <c r="M96" cm="1">
        <f t="array" ref="M96">SUMPRODUCT(IF($A$3:$A$52=$B96,IF($C$1:$AZ$1=M$64,$C$3:$AZ$52)))</f>
        <v>1840.7919999999999</v>
      </c>
      <c r="N96" cm="1">
        <f t="array" ref="N96">SUMPRODUCT(IF($A$3:$A$52=$B96,IF($C$1:$AZ$1=N$64,$C$3:$AZ$52)))</f>
        <v>1405.0730000000001</v>
      </c>
      <c r="O96" cm="1">
        <f t="array" ref="O96">SUMPRODUCT(IF($A$3:$A$52=$B96,IF($C$1:$AZ$1=O$64,$C$3:$AZ$52)))</f>
        <v>978.23199999999997</v>
      </c>
      <c r="P96" cm="1">
        <f t="array" ref="P96">SUMPRODUCT(IF($A$3:$A$52=$B96,IF($C$1:$AZ$1=P$64,$C$3:$AZ$52)))</f>
        <v>488.12599999999998</v>
      </c>
      <c r="Q96" cm="1">
        <f t="array" ref="Q96">SUMPRODUCT(IF($A$3:$A$52=$B96,IF($C$1:$AZ$1=Q$64,$C$3:$AZ$52)))</f>
        <v>0</v>
      </c>
      <c r="R96" cm="1">
        <f t="array" ref="R96">SUMPRODUCT(IF($A$3:$A$52=$B96,IF($C$1:$AZ$1=R$64,$C$3:$AZ$52)))</f>
        <v>480.72699999999998</v>
      </c>
      <c r="S96" cm="1">
        <f t="array" ref="S96">SUMPRODUCT(IF($A$3:$A$52=$B96,IF($C$1:$AZ$1=S$64,$C$3:$AZ$52)))</f>
        <v>262.435</v>
      </c>
      <c r="T96" cm="1">
        <f t="array" ref="T96">SUMPRODUCT(IF($A$3:$A$52=$B96,IF($C$1:$AZ$1=T$64,$C$3:$AZ$52)))</f>
        <v>1071.654</v>
      </c>
      <c r="U96" cm="1">
        <f t="array" ref="U96">SUMPRODUCT(IF($A$3:$A$52=$B96,IF($C$1:$AZ$1=U$64,$C$3:$AZ$52)))</f>
        <v>824.19600000000003</v>
      </c>
      <c r="V96" cm="1">
        <f t="array" ref="V96">SUMPRODUCT(IF($A$3:$A$52=$B96,IF($C$1:$AZ$1=V$64,$C$3:$AZ$52)))</f>
        <v>511.38600000000002</v>
      </c>
      <c r="W96" cm="1">
        <f t="array" ref="W96">SUMPRODUCT(IF($A$3:$A$52=$B96,IF($C$1:$AZ$1=W$64,$C$3:$AZ$52)))</f>
        <v>1292.297</v>
      </c>
      <c r="X96" cm="1">
        <f t="array" ref="X96">SUMPRODUCT(IF($A$3:$A$52=$B96,IF($C$1:$AZ$1=X$64,$C$3:$AZ$52)))</f>
        <v>2226.4270000000001</v>
      </c>
      <c r="Y96" cm="1">
        <f t="array" ref="Y96">SUMPRODUCT(IF($A$3:$A$52=$B96,IF($C$1:$AZ$1=Y$64,$C$3:$AZ$52)))</f>
        <v>1068.2940000000001</v>
      </c>
      <c r="Z96" cm="1">
        <f t="array" ref="Z96">SUMPRODUCT(IF($A$3:$A$52=$B96,IF($C$1:$AZ$1=Z$64,$C$3:$AZ$52)))</f>
        <v>924.44500000000005</v>
      </c>
      <c r="AA96" cm="1">
        <f t="array" ref="AA96">SUMPRODUCT(IF($A$3:$A$52=$B96,IF($C$1:$AZ$1=AA$64,$C$3:$AZ$52)))</f>
        <v>929.75900000000001</v>
      </c>
      <c r="AB96" cm="1">
        <f t="array" ref="AB96">SUMPRODUCT(IF($A$3:$A$52=$B96,IF($C$1:$AZ$1=AB$64,$C$3:$AZ$52)))</f>
        <v>0</v>
      </c>
      <c r="AC96" cm="1">
        <f t="array" ref="AC96">SUMPRODUCT(IF($A$3:$A$52=$B96,IF($C$1:$AZ$1=AC$64,$C$3:$AZ$52)))</f>
        <v>373.74599999999998</v>
      </c>
      <c r="AD96" cm="1">
        <f t="array" ref="AD96">SUMPRODUCT(IF($A$3:$A$52=$B96,IF($C$1:$AZ$1=AD$64,$C$3:$AZ$52)))</f>
        <v>4924.84</v>
      </c>
      <c r="AE96" cm="1">
        <f t="array" ref="AE96">SUMPRODUCT(IF($A$3:$A$52=$B96,IF($C$1:$AZ$1=AE$64,$C$3:$AZ$52)))</f>
        <v>34667.557000000001</v>
      </c>
      <c r="AF96" cm="1">
        <f t="array" ref="AF96">SUMPRODUCT(IF($A$3:$A$52=$B96,IF($C$1:$AZ$1=AF$64,$C$3:$AZ$52)))</f>
        <v>4596.5820000000003</v>
      </c>
      <c r="AG96" cm="1">
        <f t="array" ref="AG96">SUMPRODUCT(IF($A$3:$A$52=$B96,IF($C$1:$AZ$1=AG$64,$C$3:$AZ$52)))</f>
        <v>10531.558000000001</v>
      </c>
      <c r="AH96" cm="1">
        <f t="array" ref="AH96">SUMPRODUCT(IF($A$3:$A$52=$B96,IF($C$1:$AZ$1=AH$64,$C$3:$AZ$52)))</f>
        <v>145399.65900000001</v>
      </c>
      <c r="AI96" cm="1">
        <f t="array" ref="AI96">SUMPRODUCT(IF($A$3:$A$52=$B96,IF($C$1:$AZ$1=AI$64,$C$3:$AZ$52)))</f>
        <v>22631.153999999999</v>
      </c>
      <c r="AJ96" cm="1">
        <f t="array" ref="AJ96">SUMPRODUCT(IF($A$3:$A$52=$B96,IF($C$1:$AZ$1=AJ$64,$C$3:$AZ$52)))</f>
        <v>17404.273000000001</v>
      </c>
      <c r="AK96" cm="1">
        <f t="array" ref="AK96">SUMPRODUCT(IF($A$3:$A$52=$B96,IF($C$1:$AZ$1=AK$64,$C$3:$AZ$52)))</f>
        <v>17233.762999999999</v>
      </c>
      <c r="AL96" cm="1">
        <f t="array" ref="AL96">SUMPRODUCT(IF($A$3:$A$52=$B96,IF($C$1:$AZ$1=AL$64,$C$3:$AZ$52)))</f>
        <v>14938.837</v>
      </c>
      <c r="AM96" cm="1">
        <f t="array" ref="AM96">SUMPRODUCT(IF($A$3:$A$52=$B96,IF($C$1:$AZ$1=AM$64,$C$3:$AZ$52)))</f>
        <v>67696.383000000002</v>
      </c>
      <c r="AN96" cm="1">
        <f t="array" ref="AN96">SUMPRODUCT(IF($A$3:$A$52=$B96,IF($C$1:$AZ$1=AN$64,$C$3:$AZ$52)))</f>
        <v>26058.748</v>
      </c>
      <c r="AO96" cm="1">
        <f t="array" ref="AO96">SUMPRODUCT(IF($A$3:$A$52=$B96,IF($C$1:$AZ$1=AO$64,$C$3:$AZ$52)))</f>
        <v>23209.093000000001</v>
      </c>
      <c r="AP96" cm="1">
        <f t="array" ref="AP96">SUMPRODUCT(IF($A$3:$A$52=$B96,IF($C$1:$AZ$1=AP$64,$C$3:$AZ$52)))</f>
        <v>13311.236000000001</v>
      </c>
      <c r="AQ96" cm="1">
        <f t="array" ref="AQ96">SUMPRODUCT(IF($A$3:$A$52=$B96,IF($C$1:$AZ$1=AQ$64,$C$3:$AZ$52)))</f>
        <v>19708.008999999998</v>
      </c>
      <c r="AR96" cm="1">
        <f t="array" ref="AR96">SUMPRODUCT(IF($A$3:$A$52=$B96,IF($C$1:$AZ$1=AR$64,$C$3:$AZ$52)))</f>
        <v>0</v>
      </c>
    </row>
    <row r="97" spans="2:44" x14ac:dyDescent="0.25">
      <c r="B97" t="s">
        <v>25</v>
      </c>
      <c r="C97" cm="1">
        <f t="array" ref="C97">SUMPRODUCT(IF($A$3:$A$52=$B97,IF($C$1:$AZ$1=C$64,$C$3:$AZ$52)))</f>
        <v>752.62800000000016</v>
      </c>
      <c r="D97" cm="1">
        <f t="array" ref="D97">SUMPRODUCT(IF($A$3:$A$52=$B97,IF($C$1:$AZ$1=D$64,$C$3:$AZ$52)))</f>
        <v>110.074</v>
      </c>
      <c r="E97" cm="1">
        <f t="array" ref="E97">SUMPRODUCT(IF($A$3:$A$52=$B97,IF($C$1:$AZ$1=E$64,$C$3:$AZ$52)))</f>
        <v>3120.75</v>
      </c>
      <c r="F97" cm="1">
        <f t="array" ref="F97">SUMPRODUCT(IF($A$3:$A$52=$B97,IF($C$1:$AZ$1=F$64,$C$3:$AZ$52)))</f>
        <v>178.51400000000001</v>
      </c>
      <c r="G97" cm="1">
        <f t="array" ref="G97">SUMPRODUCT(IF($A$3:$A$52=$B97,IF($C$1:$AZ$1=G$64,$C$3:$AZ$52)))</f>
        <v>92.36</v>
      </c>
      <c r="H97" cm="1">
        <f t="array" ref="H97">SUMPRODUCT(IF($A$3:$A$52=$B97,IF($C$1:$AZ$1=H$64,$C$3:$AZ$52)))</f>
        <v>1554.8630000000001</v>
      </c>
      <c r="I97" cm="1">
        <f t="array" ref="I97">SUMPRODUCT(IF($A$3:$A$52=$B97,IF($C$1:$AZ$1=I$64,$C$3:$AZ$52)))</f>
        <v>167.64699999999999</v>
      </c>
      <c r="J97" cm="1">
        <f t="array" ref="J97">SUMPRODUCT(IF($A$3:$A$52=$B97,IF($C$1:$AZ$1=J$64,$C$3:$AZ$52)))</f>
        <v>255.38399999999999</v>
      </c>
      <c r="K97" cm="1">
        <f t="array" ref="K97">SUMPRODUCT(IF($A$3:$A$52=$B97,IF($C$1:$AZ$1=K$64,$C$3:$AZ$52)))</f>
        <v>581.01599999999996</v>
      </c>
      <c r="L97" cm="1">
        <f t="array" ref="L97">SUMPRODUCT(IF($A$3:$A$52=$B97,IF($C$1:$AZ$1=L$64,$C$3:$AZ$52)))</f>
        <v>332.255</v>
      </c>
      <c r="M97" cm="1">
        <f t="array" ref="M97">SUMPRODUCT(IF($A$3:$A$52=$B97,IF($C$1:$AZ$1=M$64,$C$3:$AZ$52)))</f>
        <v>519.96900000000005</v>
      </c>
      <c r="N97" cm="1">
        <f t="array" ref="N97">SUMPRODUCT(IF($A$3:$A$52=$B97,IF($C$1:$AZ$1=N$64,$C$3:$AZ$52)))</f>
        <v>643.52300000000002</v>
      </c>
      <c r="O97" cm="1">
        <f t="array" ref="O97">SUMPRODUCT(IF($A$3:$A$52=$B97,IF($C$1:$AZ$1=O$64,$C$3:$AZ$52)))</f>
        <v>394.18</v>
      </c>
      <c r="P97" cm="1">
        <f t="array" ref="P97">SUMPRODUCT(IF($A$3:$A$52=$B97,IF($C$1:$AZ$1=P$64,$C$3:$AZ$52)))</f>
        <v>271.56400000000002</v>
      </c>
      <c r="Q97" cm="1">
        <f t="array" ref="Q97">SUMPRODUCT(IF($A$3:$A$52=$B97,IF($C$1:$AZ$1=Q$64,$C$3:$AZ$52)))</f>
        <v>0</v>
      </c>
      <c r="R97" cm="1">
        <f t="array" ref="R97">SUMPRODUCT(IF($A$3:$A$52=$B97,IF($C$1:$AZ$1=R$64,$C$3:$AZ$52)))</f>
        <v>163.69499999999999</v>
      </c>
      <c r="S97" cm="1">
        <f t="array" ref="S97">SUMPRODUCT(IF($A$3:$A$52=$B97,IF($C$1:$AZ$1=S$64,$C$3:$AZ$52)))</f>
        <v>138.63300000000001</v>
      </c>
      <c r="T97" cm="1">
        <f t="array" ref="T97">SUMPRODUCT(IF($A$3:$A$52=$B97,IF($C$1:$AZ$1=T$64,$C$3:$AZ$52)))</f>
        <v>667.29300000000001</v>
      </c>
      <c r="U97" cm="1">
        <f t="array" ref="U97">SUMPRODUCT(IF($A$3:$A$52=$B97,IF($C$1:$AZ$1=U$64,$C$3:$AZ$52)))</f>
        <v>452.55900000000003</v>
      </c>
      <c r="V97" cm="1">
        <f t="array" ref="V97">SUMPRODUCT(IF($A$3:$A$52=$B97,IF($C$1:$AZ$1=V$64,$C$3:$AZ$52)))</f>
        <v>253.42599999999999</v>
      </c>
      <c r="W97" cm="1">
        <f t="array" ref="W97">SUMPRODUCT(IF($A$3:$A$52=$B97,IF($C$1:$AZ$1=W$64,$C$3:$AZ$52)))</f>
        <v>996.89800000000002</v>
      </c>
      <c r="X97" cm="1">
        <f t="array" ref="X97">SUMPRODUCT(IF($A$3:$A$52=$B97,IF($C$1:$AZ$1=X$64,$C$3:$AZ$52)))</f>
        <v>1551.9449999999999</v>
      </c>
      <c r="Y97" cm="1">
        <f t="array" ref="Y97">SUMPRODUCT(IF($A$3:$A$52=$B97,IF($C$1:$AZ$1=Y$64,$C$3:$AZ$52)))</f>
        <v>394.875</v>
      </c>
      <c r="Z97" cm="1">
        <f t="array" ref="Z97">SUMPRODUCT(IF($A$3:$A$52=$B97,IF($C$1:$AZ$1=Z$64,$C$3:$AZ$52)))</f>
        <v>551.61500000000001</v>
      </c>
      <c r="AA97" cm="1">
        <f t="array" ref="AA97">SUMPRODUCT(IF($A$3:$A$52=$B97,IF($C$1:$AZ$1=AA$64,$C$3:$AZ$52)))</f>
        <v>757.34799999999996</v>
      </c>
      <c r="AB97" cm="1">
        <f t="array" ref="AB97">SUMPRODUCT(IF($A$3:$A$52=$B97,IF($C$1:$AZ$1=AB$64,$C$3:$AZ$52)))</f>
        <v>0</v>
      </c>
      <c r="AC97" cm="1">
        <f t="array" ref="AC97">SUMPRODUCT(IF($A$3:$A$52=$B97,IF($C$1:$AZ$1=AC$64,$C$3:$AZ$52)))</f>
        <v>344.55200000000002</v>
      </c>
      <c r="AD97" cm="1">
        <f t="array" ref="AD97">SUMPRODUCT(IF($A$3:$A$52=$B97,IF($C$1:$AZ$1=AD$64,$C$3:$AZ$52)))</f>
        <v>4020.4940000000001</v>
      </c>
      <c r="AE97" cm="1">
        <f t="array" ref="AE97">SUMPRODUCT(IF($A$3:$A$52=$B97,IF($C$1:$AZ$1=AE$64,$C$3:$AZ$52)))</f>
        <v>27724.862000000001</v>
      </c>
      <c r="AF97" cm="1">
        <f t="array" ref="AF97">SUMPRODUCT(IF($A$3:$A$52=$B97,IF($C$1:$AZ$1=AF$64,$C$3:$AZ$52)))</f>
        <v>6018.7549999999992</v>
      </c>
      <c r="AG97" cm="1">
        <f t="array" ref="AG97">SUMPRODUCT(IF($A$3:$A$52=$B97,IF($C$1:$AZ$1=AG$64,$C$3:$AZ$52)))</f>
        <v>6745.8</v>
      </c>
      <c r="AH97" cm="1">
        <f t="array" ref="AH97">SUMPRODUCT(IF($A$3:$A$52=$B97,IF($C$1:$AZ$1=AH$64,$C$3:$AZ$52)))</f>
        <v>6641.9690000000001</v>
      </c>
      <c r="AI97" cm="1">
        <f t="array" ref="AI97">SUMPRODUCT(IF($A$3:$A$52=$B97,IF($C$1:$AZ$1=AI$64,$C$3:$AZ$52)))</f>
        <v>64333.088000000003</v>
      </c>
      <c r="AJ97" cm="1">
        <f t="array" ref="AJ97">SUMPRODUCT(IF($A$3:$A$52=$B97,IF($C$1:$AZ$1=AJ$64,$C$3:$AZ$52)))</f>
        <v>9596.8240000000005</v>
      </c>
      <c r="AK97" cm="1">
        <f t="array" ref="AK97">SUMPRODUCT(IF($A$3:$A$52=$B97,IF($C$1:$AZ$1=AK$64,$C$3:$AZ$52)))</f>
        <v>23135.345000000001</v>
      </c>
      <c r="AL97" cm="1">
        <f t="array" ref="AL97">SUMPRODUCT(IF($A$3:$A$52=$B97,IF($C$1:$AZ$1=AL$64,$C$3:$AZ$52)))</f>
        <v>14122.992</v>
      </c>
      <c r="AM97" cm="1">
        <f t="array" ref="AM97">SUMPRODUCT(IF($A$3:$A$52=$B97,IF($C$1:$AZ$1=AM$64,$C$3:$AZ$52)))</f>
        <v>26844.155999999999</v>
      </c>
      <c r="AN97" cm="1">
        <f t="array" ref="AN97">SUMPRODUCT(IF($A$3:$A$52=$B97,IF($C$1:$AZ$1=AN$64,$C$3:$AZ$52)))</f>
        <v>33588.334999999999</v>
      </c>
      <c r="AO97" cm="1">
        <f t="array" ref="AO97">SUMPRODUCT(IF($A$3:$A$52=$B97,IF($C$1:$AZ$1=AO$64,$C$3:$AZ$52)))</f>
        <v>6274.09</v>
      </c>
      <c r="AP97" cm="1">
        <f t="array" ref="AP97">SUMPRODUCT(IF($A$3:$A$52=$B97,IF($C$1:$AZ$1=AP$64,$C$3:$AZ$52)))</f>
        <v>14857.47</v>
      </c>
      <c r="AQ97" cm="1">
        <f t="array" ref="AQ97">SUMPRODUCT(IF($A$3:$A$52=$B97,IF($C$1:$AZ$1=AQ$64,$C$3:$AZ$52)))</f>
        <v>7207.0560000000005</v>
      </c>
      <c r="AR97" cm="1">
        <f t="array" ref="AR97">SUMPRODUCT(IF($A$3:$A$52=$B97,IF($C$1:$AZ$1=AR$64,$C$3:$AZ$52)))</f>
        <v>0</v>
      </c>
    </row>
    <row r="98" spans="2:44" x14ac:dyDescent="0.25">
      <c r="B98" t="s">
        <v>26</v>
      </c>
      <c r="C98" cm="1">
        <f t="array" ref="C98">SUMPRODUCT(IF($A$3:$A$52=$B98,IF($C$1:$AZ$1=C$64,$C$3:$AZ$52)))</f>
        <v>1750.68</v>
      </c>
      <c r="D98" cm="1">
        <f t="array" ref="D98">SUMPRODUCT(IF($A$3:$A$52=$B98,IF($C$1:$AZ$1=D$64,$C$3:$AZ$52)))</f>
        <v>257.37700000000001</v>
      </c>
      <c r="E98" cm="1">
        <f t="array" ref="E98">SUMPRODUCT(IF($A$3:$A$52=$B98,IF($C$1:$AZ$1=E$64,$C$3:$AZ$52)))</f>
        <v>7482.1589999999997</v>
      </c>
      <c r="F98" cm="1">
        <f t="array" ref="F98">SUMPRODUCT(IF($A$3:$A$52=$B98,IF($C$1:$AZ$1=F$64,$C$3:$AZ$52)))</f>
        <v>558.91399999999999</v>
      </c>
      <c r="G98" cm="1">
        <f t="array" ref="G98">SUMPRODUCT(IF($A$3:$A$52=$B98,IF($C$1:$AZ$1=G$64,$C$3:$AZ$52)))</f>
        <v>265.27199999999999</v>
      </c>
      <c r="H98" cm="1">
        <f t="array" ref="H98">SUMPRODUCT(IF($A$3:$A$52=$B98,IF($C$1:$AZ$1=H$64,$C$3:$AZ$52)))</f>
        <v>10395.611999999999</v>
      </c>
      <c r="I98" cm="1">
        <f t="array" ref="I98">SUMPRODUCT(IF($A$3:$A$52=$B98,IF($C$1:$AZ$1=I$64,$C$3:$AZ$52)))</f>
        <v>575.39499999999998</v>
      </c>
      <c r="J98" cm="1">
        <f t="array" ref="J98">SUMPRODUCT(IF($A$3:$A$52=$B98,IF($C$1:$AZ$1=J$64,$C$3:$AZ$52)))</f>
        <v>820.52300000000002</v>
      </c>
      <c r="K98" cm="1">
        <f t="array" ref="K98">SUMPRODUCT(IF($A$3:$A$52=$B98,IF($C$1:$AZ$1=K$64,$C$3:$AZ$52)))</f>
        <v>2754.6210000000001</v>
      </c>
      <c r="L98" cm="1">
        <f t="array" ref="L98">SUMPRODUCT(IF($A$3:$A$52=$B98,IF($C$1:$AZ$1=L$64,$C$3:$AZ$52)))</f>
        <v>1695.838</v>
      </c>
      <c r="M98" cm="1">
        <f t="array" ref="M98">SUMPRODUCT(IF($A$3:$A$52=$B98,IF($C$1:$AZ$1=M$64,$C$3:$AZ$52)))</f>
        <v>3474.1729999999998</v>
      </c>
      <c r="N98" cm="1">
        <f t="array" ref="N98">SUMPRODUCT(IF($A$3:$A$52=$B98,IF($C$1:$AZ$1=N$64,$C$3:$AZ$52)))</f>
        <v>3897.9609999999998</v>
      </c>
      <c r="O98" cm="1">
        <f t="array" ref="O98">SUMPRODUCT(IF($A$3:$A$52=$B98,IF($C$1:$AZ$1=O$64,$C$3:$AZ$52)))</f>
        <v>1888.77</v>
      </c>
      <c r="P98" cm="1">
        <f t="array" ref="P98">SUMPRODUCT(IF($A$3:$A$52=$B98,IF($C$1:$AZ$1=P$64,$C$3:$AZ$52)))</f>
        <v>1261.25</v>
      </c>
      <c r="Q98" cm="1">
        <f t="array" ref="Q98">SUMPRODUCT(IF($A$3:$A$52=$B98,IF($C$1:$AZ$1=Q$64,$C$3:$AZ$52)))</f>
        <v>0</v>
      </c>
      <c r="R98" cm="1">
        <f t="array" ref="R98">SUMPRODUCT(IF($A$3:$A$52=$B98,IF($C$1:$AZ$1=R$64,$C$3:$AZ$52)))</f>
        <v>975.28300000000002</v>
      </c>
      <c r="S98" cm="1">
        <f t="array" ref="S98">SUMPRODUCT(IF($A$3:$A$52=$B98,IF($C$1:$AZ$1=S$64,$C$3:$AZ$52)))</f>
        <v>598.80600000000004</v>
      </c>
      <c r="T98" cm="1">
        <f t="array" ref="T98">SUMPRODUCT(IF($A$3:$A$52=$B98,IF($C$1:$AZ$1=T$64,$C$3:$AZ$52)))</f>
        <v>2841.18</v>
      </c>
      <c r="U98" cm="1">
        <f t="array" ref="U98">SUMPRODUCT(IF($A$3:$A$52=$B98,IF($C$1:$AZ$1=U$64,$C$3:$AZ$52)))</f>
        <v>2418.252</v>
      </c>
      <c r="V98" cm="1">
        <f t="array" ref="V98">SUMPRODUCT(IF($A$3:$A$52=$B98,IF($C$1:$AZ$1=V$64,$C$3:$AZ$52)))</f>
        <v>1358.31</v>
      </c>
      <c r="W98" cm="1">
        <f t="array" ref="W98">SUMPRODUCT(IF($A$3:$A$52=$B98,IF($C$1:$AZ$1=W$64,$C$3:$AZ$52)))</f>
        <v>3537.0390000000002</v>
      </c>
      <c r="X98" cm="1">
        <f t="array" ref="X98">SUMPRODUCT(IF($A$3:$A$52=$B98,IF($C$1:$AZ$1=X$64,$C$3:$AZ$52)))</f>
        <v>4893.7539999999999</v>
      </c>
      <c r="Y98" cm="1">
        <f t="array" ref="Y98">SUMPRODUCT(IF($A$3:$A$52=$B98,IF($C$1:$AZ$1=Y$64,$C$3:$AZ$52)))</f>
        <v>2178.0279999999998</v>
      </c>
      <c r="Z98" cm="1">
        <f t="array" ref="Z98">SUMPRODUCT(IF($A$3:$A$52=$B98,IF($C$1:$AZ$1=Z$64,$C$3:$AZ$52)))</f>
        <v>2141.9459999999999</v>
      </c>
      <c r="AA98" cm="1">
        <f t="array" ref="AA98">SUMPRODUCT(IF($A$3:$A$52=$B98,IF($C$1:$AZ$1=AA$64,$C$3:$AZ$52)))</f>
        <v>5245.2430000000004</v>
      </c>
      <c r="AB98" cm="1">
        <f t="array" ref="AB98">SUMPRODUCT(IF($A$3:$A$52=$B98,IF($C$1:$AZ$1=AB$64,$C$3:$AZ$52)))</f>
        <v>0</v>
      </c>
      <c r="AC98" cm="1">
        <f t="array" ref="AC98">SUMPRODUCT(IF($A$3:$A$52=$B98,IF($C$1:$AZ$1=AC$64,$C$3:$AZ$52)))</f>
        <v>1531.0809999999999</v>
      </c>
      <c r="AD98" cm="1">
        <f t="array" ref="AD98">SUMPRODUCT(IF($A$3:$A$52=$B98,IF($C$1:$AZ$1=AD$64,$C$3:$AZ$52)))</f>
        <v>13624.433000000001</v>
      </c>
      <c r="AE98" cm="1">
        <f t="array" ref="AE98">SUMPRODUCT(IF($A$3:$A$52=$B98,IF($C$1:$AZ$1=AE$64,$C$3:$AZ$52)))</f>
        <v>95925.051000000007</v>
      </c>
      <c r="AF98" cm="1">
        <f t="array" ref="AF98">SUMPRODUCT(IF($A$3:$A$52=$B98,IF($C$1:$AZ$1=AF$64,$C$3:$AZ$52)))</f>
        <v>18003.057000000001</v>
      </c>
      <c r="AG98" cm="1">
        <f t="array" ref="AG98">SUMPRODUCT(IF($A$3:$A$52=$B98,IF($C$1:$AZ$1=AG$64,$C$3:$AZ$52)))</f>
        <v>14110.519</v>
      </c>
      <c r="AH98" cm="1">
        <f t="array" ref="AH98">SUMPRODUCT(IF($A$3:$A$52=$B98,IF($C$1:$AZ$1=AH$64,$C$3:$AZ$52)))</f>
        <v>27639.244999999999</v>
      </c>
      <c r="AI98" cm="1">
        <f t="array" ref="AI98">SUMPRODUCT(IF($A$3:$A$52=$B98,IF($C$1:$AZ$1=AI$64,$C$3:$AZ$52)))</f>
        <v>38020.527999999998</v>
      </c>
      <c r="AJ98" cm="1">
        <f t="array" ref="AJ98">SUMPRODUCT(IF($A$3:$A$52=$B98,IF($C$1:$AZ$1=AJ$64,$C$3:$AZ$52)))</f>
        <v>208842.057</v>
      </c>
      <c r="AK98" cm="1">
        <f t="array" ref="AK98">SUMPRODUCT(IF($A$3:$A$52=$B98,IF($C$1:$AZ$1=AK$64,$C$3:$AZ$52)))</f>
        <v>115636.833</v>
      </c>
      <c r="AL98" cm="1">
        <f t="array" ref="AL98">SUMPRODUCT(IF($A$3:$A$52=$B98,IF($C$1:$AZ$1=AL$64,$C$3:$AZ$52)))</f>
        <v>42932.148999999998</v>
      </c>
      <c r="AM98" cm="1">
        <f t="array" ref="AM98">SUMPRODUCT(IF($A$3:$A$52=$B98,IF($C$1:$AZ$1=AM$64,$C$3:$AZ$52)))</f>
        <v>126598.20000000001</v>
      </c>
      <c r="AN98" cm="1">
        <f t="array" ref="AN98">SUMPRODUCT(IF($A$3:$A$52=$B98,IF($C$1:$AZ$1=AN$64,$C$3:$AZ$52)))</f>
        <v>99569.948000000004</v>
      </c>
      <c r="AO98" cm="1">
        <f t="array" ref="AO98">SUMPRODUCT(IF($A$3:$A$52=$B98,IF($C$1:$AZ$1=AO$64,$C$3:$AZ$52)))</f>
        <v>27274.952000000001</v>
      </c>
      <c r="AP98" cm="1">
        <f t="array" ref="AP98">SUMPRODUCT(IF($A$3:$A$52=$B98,IF($C$1:$AZ$1=AP$64,$C$3:$AZ$52)))</f>
        <v>40867.978999999999</v>
      </c>
      <c r="AQ98" cm="1">
        <f t="array" ref="AQ98">SUMPRODUCT(IF($A$3:$A$52=$B98,IF($C$1:$AZ$1=AQ$64,$C$3:$AZ$52)))</f>
        <v>18338.414000000001</v>
      </c>
      <c r="AR98" cm="1">
        <f t="array" ref="AR98">SUMPRODUCT(IF($A$3:$A$52=$B98,IF($C$1:$AZ$1=AR$64,$C$3:$AZ$52)))</f>
        <v>0</v>
      </c>
    </row>
    <row r="99" spans="2:44" x14ac:dyDescent="0.25">
      <c r="B99" t="s">
        <v>27</v>
      </c>
      <c r="C99" cm="1">
        <f t="array" ref="C99">SUMPRODUCT(IF($A$3:$A$52=$B99,IF($C$1:$AZ$1=C$64,$C$3:$AZ$52)))</f>
        <v>20370.951000000001</v>
      </c>
      <c r="D99" cm="1">
        <f t="array" ref="D99">SUMPRODUCT(IF($A$3:$A$52=$B99,IF($C$1:$AZ$1=D$64,$C$3:$AZ$52)))</f>
        <v>840.44899999999996</v>
      </c>
      <c r="E99" cm="1">
        <f t="array" ref="E99">SUMPRODUCT(IF($A$3:$A$52=$B99,IF($C$1:$AZ$1=E$64,$C$3:$AZ$52)))</f>
        <v>36205.125999999997</v>
      </c>
      <c r="F99" cm="1">
        <f t="array" ref="F99">SUMPRODUCT(IF($A$3:$A$52=$B99,IF($C$1:$AZ$1=F$64,$C$3:$AZ$52)))</f>
        <v>2233.6559999999999</v>
      </c>
      <c r="G99" cm="1">
        <f t="array" ref="G99">SUMPRODUCT(IF($A$3:$A$52=$B99,IF($C$1:$AZ$1=G$64,$C$3:$AZ$52)))</f>
        <v>1494.7550000000001</v>
      </c>
      <c r="H99" cm="1">
        <f t="array" ref="H99">SUMPRODUCT(IF($A$3:$A$52=$B99,IF($C$1:$AZ$1=H$64,$C$3:$AZ$52)))</f>
        <v>27472.102999999999</v>
      </c>
      <c r="I99" cm="1">
        <f t="array" ref="I99">SUMPRODUCT(IF($A$3:$A$52=$B99,IF($C$1:$AZ$1=I$64,$C$3:$AZ$52)))</f>
        <v>1923.431</v>
      </c>
      <c r="J99" cm="1">
        <f t="array" ref="J99">SUMPRODUCT(IF($A$3:$A$52=$B99,IF($C$1:$AZ$1=J$64,$C$3:$AZ$52)))</f>
        <v>2800.393</v>
      </c>
      <c r="K99" cm="1">
        <f t="array" ref="K99">SUMPRODUCT(IF($A$3:$A$52=$B99,IF($C$1:$AZ$1=K$64,$C$3:$AZ$52)))</f>
        <v>7815.19</v>
      </c>
      <c r="L99" cm="1">
        <f t="array" ref="L99">SUMPRODUCT(IF($A$3:$A$52=$B99,IF($C$1:$AZ$1=L$64,$C$3:$AZ$52)))</f>
        <v>8857.6090000000004</v>
      </c>
      <c r="M99" cm="1">
        <f t="array" ref="M99">SUMPRODUCT(IF($A$3:$A$52=$B99,IF($C$1:$AZ$1=M$64,$C$3:$AZ$52)))</f>
        <v>9048.0059999999994</v>
      </c>
      <c r="N99" cm="1">
        <f t="array" ref="N99">SUMPRODUCT(IF($A$3:$A$52=$B99,IF($C$1:$AZ$1=N$64,$C$3:$AZ$52)))</f>
        <v>5711.6869999999999</v>
      </c>
      <c r="O99" cm="1">
        <f t="array" ref="O99">SUMPRODUCT(IF($A$3:$A$52=$B99,IF($C$1:$AZ$1=O$64,$C$3:$AZ$52)))</f>
        <v>5888.4250000000002</v>
      </c>
      <c r="P99" cm="1">
        <f t="array" ref="P99">SUMPRODUCT(IF($A$3:$A$52=$B99,IF($C$1:$AZ$1=P$64,$C$3:$AZ$52)))</f>
        <v>4189</v>
      </c>
      <c r="Q99" cm="1">
        <f t="array" ref="Q99">SUMPRODUCT(IF($A$3:$A$52=$B99,IF($C$1:$AZ$1=Q$64,$C$3:$AZ$52)))</f>
        <v>0</v>
      </c>
      <c r="R99" cm="1">
        <f t="array" ref="R99">SUMPRODUCT(IF($A$3:$A$52=$B99,IF($C$1:$AZ$1=R$64,$C$3:$AZ$52)))</f>
        <v>3111.6579999999999</v>
      </c>
      <c r="S99" cm="1">
        <f t="array" ref="S99">SUMPRODUCT(IF($A$3:$A$52=$B99,IF($C$1:$AZ$1=S$64,$C$3:$AZ$52)))</f>
        <v>2656.4009999999998</v>
      </c>
      <c r="T99" cm="1">
        <f t="array" ref="T99">SUMPRODUCT(IF($A$3:$A$52=$B99,IF($C$1:$AZ$1=T$64,$C$3:$AZ$52)))</f>
        <v>7752.5</v>
      </c>
      <c r="U99" cm="1">
        <f t="array" ref="U99">SUMPRODUCT(IF($A$3:$A$52=$B99,IF($C$1:$AZ$1=U$64,$C$3:$AZ$52)))</f>
        <v>3757.72</v>
      </c>
      <c r="V99" cm="1">
        <f t="array" ref="V99">SUMPRODUCT(IF($A$3:$A$52=$B99,IF($C$1:$AZ$1=V$64,$C$3:$AZ$52)))</f>
        <v>3195.99</v>
      </c>
      <c r="W99" cm="1">
        <f t="array" ref="W99">SUMPRODUCT(IF($A$3:$A$52=$B99,IF($C$1:$AZ$1=W$64,$C$3:$AZ$52)))</f>
        <v>9228.4349999999995</v>
      </c>
      <c r="X99" cm="1">
        <f t="array" ref="X99">SUMPRODUCT(IF($A$3:$A$52=$B99,IF($C$1:$AZ$1=X$64,$C$3:$AZ$52)))</f>
        <v>11653.311</v>
      </c>
      <c r="Y99" cm="1">
        <f t="array" ref="Y99">SUMPRODUCT(IF($A$3:$A$52=$B99,IF($C$1:$AZ$1=Y$64,$C$3:$AZ$52)))</f>
        <v>4995.8739999999998</v>
      </c>
      <c r="Z99" cm="1">
        <f t="array" ref="Z99">SUMPRODUCT(IF($A$3:$A$52=$B99,IF($C$1:$AZ$1=Z$64,$C$3:$AZ$52)))</f>
        <v>5263.5550000000003</v>
      </c>
      <c r="AA99" cm="1">
        <f t="array" ref="AA99">SUMPRODUCT(IF($A$3:$A$52=$B99,IF($C$1:$AZ$1=AA$64,$C$3:$AZ$52)))</f>
        <v>13956.844999999999</v>
      </c>
      <c r="AB99" cm="1">
        <f t="array" ref="AB99">SUMPRODUCT(IF($A$3:$A$52=$B99,IF($C$1:$AZ$1=AB$64,$C$3:$AZ$52)))</f>
        <v>0</v>
      </c>
      <c r="AC99" cm="1">
        <f t="array" ref="AC99">SUMPRODUCT(IF($A$3:$A$52=$B99,IF($C$1:$AZ$1=AC$64,$C$3:$AZ$52)))</f>
        <v>3963.2069999999999</v>
      </c>
      <c r="AD99" cm="1">
        <f t="array" ref="AD99">SUMPRODUCT(IF($A$3:$A$52=$B99,IF($C$1:$AZ$1=AD$64,$C$3:$AZ$52)))</f>
        <v>37851.917999999998</v>
      </c>
      <c r="AE99" cm="1">
        <f t="array" ref="AE99">SUMPRODUCT(IF($A$3:$A$52=$B99,IF($C$1:$AZ$1=AE$64,$C$3:$AZ$52)))</f>
        <v>199344.67</v>
      </c>
      <c r="AF99" cm="1">
        <f t="array" ref="AF99">SUMPRODUCT(IF($A$3:$A$52=$B99,IF($C$1:$AZ$1=AF$64,$C$3:$AZ$52)))</f>
        <v>54894.722999999998</v>
      </c>
      <c r="AG99" cm="1">
        <f t="array" ref="AG99">SUMPRODUCT(IF($A$3:$A$52=$B99,IF($C$1:$AZ$1=AG$64,$C$3:$AZ$52)))</f>
        <v>33108.828000000001</v>
      </c>
      <c r="AH99" cm="1">
        <f t="array" ref="AH99">SUMPRODUCT(IF($A$3:$A$52=$B99,IF($C$1:$AZ$1=AH$64,$C$3:$AZ$52)))</f>
        <v>14301.657999999999</v>
      </c>
      <c r="AI99" cm="1">
        <f t="array" ref="AI99">SUMPRODUCT(IF($A$3:$A$52=$B99,IF($C$1:$AZ$1=AI$64,$C$3:$AZ$52)))</f>
        <v>19391.003000000001</v>
      </c>
      <c r="AJ99" cm="1">
        <f t="array" ref="AJ99">SUMPRODUCT(IF($A$3:$A$52=$B99,IF($C$1:$AZ$1=AJ$64,$C$3:$AZ$52)))</f>
        <v>21556.067999999999</v>
      </c>
      <c r="AK99" cm="1">
        <f t="array" ref="AK99">SUMPRODUCT(IF($A$3:$A$52=$B99,IF($C$1:$AZ$1=AK$64,$C$3:$AZ$52)))</f>
        <v>752650.92299999995</v>
      </c>
      <c r="AL99" cm="1">
        <f t="array" ref="AL99">SUMPRODUCT(IF($A$3:$A$52=$B99,IF($C$1:$AZ$1=AL$64,$C$3:$AZ$52)))</f>
        <v>346285.717</v>
      </c>
      <c r="AM99" cm="1">
        <f t="array" ref="AM99">SUMPRODUCT(IF($A$3:$A$52=$B99,IF($C$1:$AZ$1=AM$64,$C$3:$AZ$52)))</f>
        <v>146884.79999999999</v>
      </c>
      <c r="AN99" cm="1">
        <f t="array" ref="AN99">SUMPRODUCT(IF($A$3:$A$52=$B99,IF($C$1:$AZ$1=AN$64,$C$3:$AZ$52)))</f>
        <v>110278.988</v>
      </c>
      <c r="AO99" cm="1">
        <f t="array" ref="AO99">SUMPRODUCT(IF($A$3:$A$52=$B99,IF($C$1:$AZ$1=AO$64,$C$3:$AZ$52)))</f>
        <v>25494.822</v>
      </c>
      <c r="AP99" cm="1">
        <f t="array" ref="AP99">SUMPRODUCT(IF($A$3:$A$52=$B99,IF($C$1:$AZ$1=AP$64,$C$3:$AZ$52)))</f>
        <v>43829.495000000003</v>
      </c>
      <c r="AQ99" cm="1">
        <f t="array" ref="AQ99">SUMPRODUCT(IF($A$3:$A$52=$B99,IF($C$1:$AZ$1=AQ$64,$C$3:$AZ$52)))</f>
        <v>32213.436999999998</v>
      </c>
      <c r="AR99" cm="1">
        <f t="array" ref="AR99">SUMPRODUCT(IF($A$3:$A$52=$B99,IF($C$1:$AZ$1=AR$64,$C$3:$AZ$52)))</f>
        <v>0</v>
      </c>
    </row>
    <row r="100" spans="2:44" x14ac:dyDescent="0.25">
      <c r="B100" t="s">
        <v>28</v>
      </c>
      <c r="C100" cm="1">
        <f t="array" ref="C100">SUMPRODUCT(IF($A$3:$A$52=$B100,IF($C$1:$AZ$1=C$64,$C$3:$AZ$52)))</f>
        <v>1974.261</v>
      </c>
      <c r="D100" cm="1">
        <f t="array" ref="D100">SUMPRODUCT(IF($A$3:$A$52=$B100,IF($C$1:$AZ$1=D$64,$C$3:$AZ$52)))</f>
        <v>301.92500000000001</v>
      </c>
      <c r="E100" cm="1">
        <f t="array" ref="E100">SUMPRODUCT(IF($A$3:$A$52=$B100,IF($C$1:$AZ$1=E$64,$C$3:$AZ$52)))</f>
        <v>10654.571</v>
      </c>
      <c r="F100" cm="1">
        <f t="array" ref="F100">SUMPRODUCT(IF($A$3:$A$52=$B100,IF($C$1:$AZ$1=F$64,$C$3:$AZ$52)))</f>
        <v>720.35500000000002</v>
      </c>
      <c r="G100" cm="1">
        <f t="array" ref="G100">SUMPRODUCT(IF($A$3:$A$52=$B100,IF($C$1:$AZ$1=G$64,$C$3:$AZ$52)))</f>
        <v>330.31400000000002</v>
      </c>
      <c r="H100" cm="1">
        <f t="array" ref="H100">SUMPRODUCT(IF($A$3:$A$52=$B100,IF($C$1:$AZ$1=H$64,$C$3:$AZ$52)))</f>
        <v>11874.18</v>
      </c>
      <c r="I100" cm="1">
        <f t="array" ref="I100">SUMPRODUCT(IF($A$3:$A$52=$B100,IF($C$1:$AZ$1=I$64,$C$3:$AZ$52)))</f>
        <v>1132.923</v>
      </c>
      <c r="J100" cm="1">
        <f t="array" ref="J100">SUMPRODUCT(IF($A$3:$A$52=$B100,IF($C$1:$AZ$1=J$64,$C$3:$AZ$52)))</f>
        <v>1205.6959999999999</v>
      </c>
      <c r="K100" cm="1">
        <f t="array" ref="K100">SUMPRODUCT(IF($A$3:$A$52=$B100,IF($C$1:$AZ$1=K$64,$C$3:$AZ$52)))</f>
        <v>3479.18</v>
      </c>
      <c r="L100" cm="1">
        <f t="array" ref="L100">SUMPRODUCT(IF($A$3:$A$52=$B100,IF($C$1:$AZ$1=L$64,$C$3:$AZ$52)))</f>
        <v>1764.624</v>
      </c>
      <c r="M100" cm="1">
        <f t="array" ref="M100">SUMPRODUCT(IF($A$3:$A$52=$B100,IF($C$1:$AZ$1=M$64,$C$3:$AZ$52)))</f>
        <v>2595.9940000000001</v>
      </c>
      <c r="N100" cm="1">
        <f t="array" ref="N100">SUMPRODUCT(IF($A$3:$A$52=$B100,IF($C$1:$AZ$1=N$64,$C$3:$AZ$52)))</f>
        <v>2500.6889999999999</v>
      </c>
      <c r="O100" cm="1">
        <f t="array" ref="O100">SUMPRODUCT(IF($A$3:$A$52=$B100,IF($C$1:$AZ$1=O$64,$C$3:$AZ$52)))</f>
        <v>2388.6379999999999</v>
      </c>
      <c r="P100" cm="1">
        <f t="array" ref="P100">SUMPRODUCT(IF($A$3:$A$52=$B100,IF($C$1:$AZ$1=P$64,$C$3:$AZ$52)))</f>
        <v>1505.32</v>
      </c>
      <c r="Q100" cm="1">
        <f t="array" ref="Q100">SUMPRODUCT(IF($A$3:$A$52=$B100,IF($C$1:$AZ$1=Q$64,$C$3:$AZ$52)))</f>
        <v>0</v>
      </c>
      <c r="R100" cm="1">
        <f t="array" ref="R100">SUMPRODUCT(IF($A$3:$A$52=$B100,IF($C$1:$AZ$1=R$64,$C$3:$AZ$52)))</f>
        <v>1049.7850000000001</v>
      </c>
      <c r="S100" cm="1">
        <f t="array" ref="S100">SUMPRODUCT(IF($A$3:$A$52=$B100,IF($C$1:$AZ$1=S$64,$C$3:$AZ$52)))</f>
        <v>861.11099999999999</v>
      </c>
      <c r="T100" cm="1">
        <f t="array" ref="T100">SUMPRODUCT(IF($A$3:$A$52=$B100,IF($C$1:$AZ$1=T$64,$C$3:$AZ$52)))</f>
        <v>4971.1170000000002</v>
      </c>
      <c r="U100" cm="1">
        <f t="array" ref="U100">SUMPRODUCT(IF($A$3:$A$52=$B100,IF($C$1:$AZ$1=U$64,$C$3:$AZ$52)))</f>
        <v>1945.8920000000001</v>
      </c>
      <c r="V100" cm="1">
        <f t="array" ref="V100">SUMPRODUCT(IF($A$3:$A$52=$B100,IF($C$1:$AZ$1=V$64,$C$3:$AZ$52)))</f>
        <v>1328.537</v>
      </c>
      <c r="W100" cm="1">
        <f t="array" ref="W100">SUMPRODUCT(IF($A$3:$A$52=$B100,IF($C$1:$AZ$1=W$64,$C$3:$AZ$52)))</f>
        <v>3694.4639999999999</v>
      </c>
      <c r="X100" cm="1">
        <f t="array" ref="X100">SUMPRODUCT(IF($A$3:$A$52=$B100,IF($C$1:$AZ$1=X$64,$C$3:$AZ$52)))</f>
        <v>6195.6930000000002</v>
      </c>
      <c r="Y100" cm="1">
        <f t="array" ref="Y100">SUMPRODUCT(IF($A$3:$A$52=$B100,IF($C$1:$AZ$1=Y$64,$C$3:$AZ$52)))</f>
        <v>2159.9009999999998</v>
      </c>
      <c r="Z100" cm="1">
        <f t="array" ref="Z100">SUMPRODUCT(IF($A$3:$A$52=$B100,IF($C$1:$AZ$1=Z$64,$C$3:$AZ$52)))</f>
        <v>4049.0529999999999</v>
      </c>
      <c r="AA100" cm="1">
        <f t="array" ref="AA100">SUMPRODUCT(IF($A$3:$A$52=$B100,IF($C$1:$AZ$1=AA$64,$C$3:$AZ$52)))</f>
        <v>3372.92</v>
      </c>
      <c r="AB100" cm="1">
        <f t="array" ref="AB100">SUMPRODUCT(IF($A$3:$A$52=$B100,IF($C$1:$AZ$1=AB$64,$C$3:$AZ$52)))</f>
        <v>0</v>
      </c>
      <c r="AC100" cm="1">
        <f t="array" ref="AC100">SUMPRODUCT(IF($A$3:$A$52=$B100,IF($C$1:$AZ$1=AC$64,$C$3:$AZ$52)))</f>
        <v>1687.9960000000001</v>
      </c>
      <c r="AD100" cm="1">
        <f t="array" ref="AD100">SUMPRODUCT(IF($A$3:$A$52=$B100,IF($C$1:$AZ$1=AD$64,$C$3:$AZ$52)))</f>
        <v>25548.641</v>
      </c>
      <c r="AE100" cm="1">
        <f t="array" ref="AE100">SUMPRODUCT(IF($A$3:$A$52=$B100,IF($C$1:$AZ$1=AE$64,$C$3:$AZ$52)))</f>
        <v>376893.75</v>
      </c>
      <c r="AF100" cm="1">
        <f t="array" ref="AF100">SUMPRODUCT(IF($A$3:$A$52=$B100,IF($C$1:$AZ$1=AF$64,$C$3:$AZ$52)))</f>
        <v>35775.618000000002</v>
      </c>
      <c r="AG100" cm="1">
        <f t="array" ref="AG100">SUMPRODUCT(IF($A$3:$A$52=$B100,IF($C$1:$AZ$1=AG$64,$C$3:$AZ$52)))</f>
        <v>119564.34600000001</v>
      </c>
      <c r="AH100" cm="1">
        <f t="array" ref="AH100">SUMPRODUCT(IF($A$3:$A$52=$B100,IF($C$1:$AZ$1=AH$64,$C$3:$AZ$52)))</f>
        <v>21692.138999999999</v>
      </c>
      <c r="AI100" cm="1">
        <f t="array" ref="AI100">SUMPRODUCT(IF($A$3:$A$52=$B100,IF($C$1:$AZ$1=AI$64,$C$3:$AZ$52)))</f>
        <v>28738.795999999998</v>
      </c>
      <c r="AJ100" cm="1">
        <f t="array" ref="AJ100">SUMPRODUCT(IF($A$3:$A$52=$B100,IF($C$1:$AZ$1=AJ$64,$C$3:$AZ$52)))</f>
        <v>37047.339</v>
      </c>
      <c r="AK100" cm="1">
        <f t="array" ref="AK100">SUMPRODUCT(IF($A$3:$A$52=$B100,IF($C$1:$AZ$1=AK$64,$C$3:$AZ$52)))</f>
        <v>99905.269</v>
      </c>
      <c r="AL100" cm="1">
        <f t="array" ref="AL100">SUMPRODUCT(IF($A$3:$A$52=$B100,IF($C$1:$AZ$1=AL$64,$C$3:$AZ$52)))</f>
        <v>262865.21299999999</v>
      </c>
      <c r="AM100" cm="1">
        <f t="array" ref="AM100">SUMPRODUCT(IF($A$3:$A$52=$B100,IF($C$1:$AZ$1=AM$64,$C$3:$AZ$52)))</f>
        <v>148284.321</v>
      </c>
      <c r="AN100" cm="1">
        <f t="array" ref="AN100">SUMPRODUCT(IF($A$3:$A$52=$B100,IF($C$1:$AZ$1=AN$64,$C$3:$AZ$52)))</f>
        <v>96712.198000000004</v>
      </c>
      <c r="AO100" cm="1">
        <f t="array" ref="AO100">SUMPRODUCT(IF($A$3:$A$52=$B100,IF($C$1:$AZ$1=AO$64,$C$3:$AZ$52)))</f>
        <v>47885.627999999997</v>
      </c>
      <c r="AP100" cm="1">
        <f t="array" ref="AP100">SUMPRODUCT(IF($A$3:$A$52=$B100,IF($C$1:$AZ$1=AP$64,$C$3:$AZ$52)))</f>
        <v>89528.054999999993</v>
      </c>
      <c r="AQ100" cm="1">
        <f t="array" ref="AQ100">SUMPRODUCT(IF($A$3:$A$52=$B100,IF($C$1:$AZ$1=AQ$64,$C$3:$AZ$52)))</f>
        <v>46313.205999999998</v>
      </c>
      <c r="AR100" cm="1">
        <f t="array" ref="AR100">SUMPRODUCT(IF($A$3:$A$52=$B100,IF($C$1:$AZ$1=AR$64,$C$3:$AZ$52)))</f>
        <v>0</v>
      </c>
    </row>
    <row r="101" spans="2:44" x14ac:dyDescent="0.25">
      <c r="B101" t="s">
        <v>29</v>
      </c>
      <c r="C101" cm="1">
        <f t="array" ref="C101">SUMPRODUCT(IF($A$3:$A$52=$B101,IF($C$1:$AZ$1=C$64,$C$3:$AZ$52)))</f>
        <v>28723.307999999997</v>
      </c>
      <c r="D101" cm="1">
        <f t="array" ref="D101">SUMPRODUCT(IF($A$3:$A$52=$B101,IF($C$1:$AZ$1=D$64,$C$3:$AZ$52)))</f>
        <v>2190.0370000000003</v>
      </c>
      <c r="E101" cm="1">
        <f t="array" ref="E101">SUMPRODUCT(IF($A$3:$A$52=$B101,IF($C$1:$AZ$1=E$64,$C$3:$AZ$52)))</f>
        <v>83658.209000000003</v>
      </c>
      <c r="F101" cm="1">
        <f t="array" ref="F101">SUMPRODUCT(IF($A$3:$A$52=$B101,IF($C$1:$AZ$1=F$64,$C$3:$AZ$52)))</f>
        <v>6390.161000000001</v>
      </c>
      <c r="G101" cm="1">
        <f t="array" ref="G101">SUMPRODUCT(IF($A$3:$A$52=$B101,IF($C$1:$AZ$1=G$64,$C$3:$AZ$52)))</f>
        <v>5155.4560000000001</v>
      </c>
      <c r="H101" cm="1">
        <f t="array" ref="H101">SUMPRODUCT(IF($A$3:$A$52=$B101,IF($C$1:$AZ$1=H$64,$C$3:$AZ$52)))</f>
        <v>75693.296000000002</v>
      </c>
      <c r="I101" cm="1">
        <f t="array" ref="I101">SUMPRODUCT(IF($A$3:$A$52=$B101,IF($C$1:$AZ$1=I$64,$C$3:$AZ$52)))</f>
        <v>4019.2300000000005</v>
      </c>
      <c r="J101" cm="1">
        <f t="array" ref="J101">SUMPRODUCT(IF($A$3:$A$52=$B101,IF($C$1:$AZ$1=J$64,$C$3:$AZ$52)))</f>
        <v>4907.4049999999997</v>
      </c>
      <c r="K101" cm="1">
        <f t="array" ref="K101">SUMPRODUCT(IF($A$3:$A$52=$B101,IF($C$1:$AZ$1=K$64,$C$3:$AZ$52)))</f>
        <v>15494.673000000001</v>
      </c>
      <c r="L101" cm="1">
        <f t="array" ref="L101">SUMPRODUCT(IF($A$3:$A$52=$B101,IF($C$1:$AZ$1=L$64,$C$3:$AZ$52)))</f>
        <v>10951.665000000001</v>
      </c>
      <c r="M101" cm="1">
        <f t="array" ref="M101">SUMPRODUCT(IF($A$3:$A$52=$B101,IF($C$1:$AZ$1=M$64,$C$3:$AZ$52)))</f>
        <v>21486.967000000001</v>
      </c>
      <c r="N101" cm="1">
        <f t="array" ref="N101">SUMPRODUCT(IF($A$3:$A$52=$B101,IF($C$1:$AZ$1=N$64,$C$3:$AZ$52)))</f>
        <v>21640.429</v>
      </c>
      <c r="O101" cm="1">
        <f t="array" ref="O101">SUMPRODUCT(IF($A$3:$A$52=$B101,IF($C$1:$AZ$1=O$64,$C$3:$AZ$52)))</f>
        <v>15723.076000000001</v>
      </c>
      <c r="P101" cm="1">
        <f t="array" ref="P101">SUMPRODUCT(IF($A$3:$A$52=$B101,IF($C$1:$AZ$1=P$64,$C$3:$AZ$52)))</f>
        <v>9789.08</v>
      </c>
      <c r="Q101" cm="1">
        <f t="array" ref="Q101">SUMPRODUCT(IF($A$3:$A$52=$B101,IF($C$1:$AZ$1=Q$64,$C$3:$AZ$52)))</f>
        <v>0</v>
      </c>
      <c r="R101" cm="1">
        <f t="array" ref="R101">SUMPRODUCT(IF($A$3:$A$52=$B101,IF($C$1:$AZ$1=R$64,$C$3:$AZ$52)))</f>
        <v>6445.5079999999998</v>
      </c>
      <c r="S101" cm="1">
        <f t="array" ref="S101">SUMPRODUCT(IF($A$3:$A$52=$B101,IF($C$1:$AZ$1=S$64,$C$3:$AZ$52)))</f>
        <v>3828.1790000000001</v>
      </c>
      <c r="T101" cm="1">
        <f t="array" ref="T101">SUMPRODUCT(IF($A$3:$A$52=$B101,IF($C$1:$AZ$1=T$64,$C$3:$AZ$52)))</f>
        <v>20839.042999999998</v>
      </c>
      <c r="U101" cm="1">
        <f t="array" ref="U101">SUMPRODUCT(IF($A$3:$A$52=$B101,IF($C$1:$AZ$1=U$64,$C$3:$AZ$52)))</f>
        <v>16373.826999999999</v>
      </c>
      <c r="V101" cm="1">
        <f t="array" ref="V101">SUMPRODUCT(IF($A$3:$A$52=$B101,IF($C$1:$AZ$1=V$64,$C$3:$AZ$52)))</f>
        <v>7659.5840000000007</v>
      </c>
      <c r="W101" cm="1">
        <f t="array" ref="W101">SUMPRODUCT(IF($A$3:$A$52=$B101,IF($C$1:$AZ$1=W$64,$C$3:$AZ$52)))</f>
        <v>24141.962</v>
      </c>
      <c r="X101" cm="1">
        <f t="array" ref="X101">SUMPRODUCT(IF($A$3:$A$52=$B101,IF($C$1:$AZ$1=X$64,$C$3:$AZ$52)))</f>
        <v>51441.303</v>
      </c>
      <c r="Y101" cm="1">
        <f t="array" ref="Y101">SUMPRODUCT(IF($A$3:$A$52=$B101,IF($C$1:$AZ$1=Y$64,$C$3:$AZ$52)))</f>
        <v>16696.075000000001</v>
      </c>
      <c r="Z101" cm="1">
        <f t="array" ref="Z101">SUMPRODUCT(IF($A$3:$A$52=$B101,IF($C$1:$AZ$1=Z$64,$C$3:$AZ$52)))</f>
        <v>13665.034</v>
      </c>
      <c r="AA101" cm="1">
        <f t="array" ref="AA101">SUMPRODUCT(IF($A$3:$A$52=$B101,IF($C$1:$AZ$1=AA$64,$C$3:$AZ$52)))</f>
        <v>30060.614999999998</v>
      </c>
      <c r="AB101" cm="1">
        <f t="array" ref="AB101">SUMPRODUCT(IF($A$3:$A$52=$B101,IF($C$1:$AZ$1=AB$64,$C$3:$AZ$52)))</f>
        <v>0</v>
      </c>
      <c r="AC101" cm="1">
        <f t="array" ref="AC101">SUMPRODUCT(IF($A$3:$A$52=$B101,IF($C$1:$AZ$1=AC$64,$C$3:$AZ$52)))</f>
        <v>11023.71</v>
      </c>
      <c r="AD101" cm="1">
        <f t="array" ref="AD101">SUMPRODUCT(IF($A$3:$A$52=$B101,IF($C$1:$AZ$1=AD$64,$C$3:$AZ$52)))</f>
        <v>142066.91200000001</v>
      </c>
      <c r="AE101" cm="1">
        <f t="array" ref="AE101">SUMPRODUCT(IF($A$3:$A$52=$B101,IF($C$1:$AZ$1=AE$64,$C$3:$AZ$52)))</f>
        <v>545320.91399999999</v>
      </c>
      <c r="AF101" cm="1">
        <f t="array" ref="AF101">SUMPRODUCT(IF($A$3:$A$52=$B101,IF($C$1:$AZ$1=AF$64,$C$3:$AZ$52)))</f>
        <v>112351.961</v>
      </c>
      <c r="AG101" cm="1">
        <f t="array" ref="AG101">SUMPRODUCT(IF($A$3:$A$52=$B101,IF($C$1:$AZ$1=AG$64,$C$3:$AZ$52)))</f>
        <v>113262.08199999999</v>
      </c>
      <c r="AH101" cm="1">
        <f t="array" ref="AH101">SUMPRODUCT(IF($A$3:$A$52=$B101,IF($C$1:$AZ$1=AH$64,$C$3:$AZ$52)))</f>
        <v>94209.785999999993</v>
      </c>
      <c r="AI101" cm="1">
        <f t="array" ref="AI101">SUMPRODUCT(IF($A$3:$A$52=$B101,IF($C$1:$AZ$1=AI$64,$C$3:$AZ$52)))</f>
        <v>91631.942999999999</v>
      </c>
      <c r="AJ101" cm="1">
        <f t="array" ref="AJ101">SUMPRODUCT(IF($A$3:$A$52=$B101,IF($C$1:$AZ$1=AJ$64,$C$3:$AZ$52)))</f>
        <v>119691.569</v>
      </c>
      <c r="AK101" cm="1">
        <f t="array" ref="AK101">SUMPRODUCT(IF($A$3:$A$52=$B101,IF($C$1:$AZ$1=AK$64,$C$3:$AZ$52)))</f>
        <v>345751.66800000001</v>
      </c>
      <c r="AL101" cm="1">
        <f t="array" ref="AL101">SUMPRODUCT(IF($A$3:$A$52=$B101,IF($C$1:$AZ$1=AL$64,$C$3:$AZ$52)))</f>
        <v>370306.84600000002</v>
      </c>
      <c r="AM101" cm="1">
        <f t="array" ref="AM101">SUMPRODUCT(IF($A$3:$A$52=$B101,IF($C$1:$AZ$1=AM$64,$C$3:$AZ$52)))</f>
        <v>869757.26099999994</v>
      </c>
      <c r="AN101" cm="1">
        <f t="array" ref="AN101">SUMPRODUCT(IF($A$3:$A$52=$B101,IF($C$1:$AZ$1=AN$64,$C$3:$AZ$52)))</f>
        <v>380379.41700000002</v>
      </c>
      <c r="AO101" cm="1">
        <f t="array" ref="AO101">SUMPRODUCT(IF($A$3:$A$52=$B101,IF($C$1:$AZ$1=AO$64,$C$3:$AZ$52)))</f>
        <v>124843.33199999999</v>
      </c>
      <c r="AP101" cm="1">
        <f t="array" ref="AP101">SUMPRODUCT(IF($A$3:$A$52=$B101,IF($C$1:$AZ$1=AP$64,$C$3:$AZ$52)))</f>
        <v>206846.90299999999</v>
      </c>
      <c r="AQ101" cm="1">
        <f t="array" ref="AQ101">SUMPRODUCT(IF($A$3:$A$52=$B101,IF($C$1:$AZ$1=AQ$64,$C$3:$AZ$52)))</f>
        <v>105610.65999999999</v>
      </c>
      <c r="AR101" cm="1">
        <f t="array" ref="AR101">SUMPRODUCT(IF($A$3:$A$52=$B101,IF($C$1:$AZ$1=AR$64,$C$3:$AZ$52)))</f>
        <v>0</v>
      </c>
    </row>
    <row r="102" spans="2:44" x14ac:dyDescent="0.25">
      <c r="B102" t="s">
        <v>30</v>
      </c>
      <c r="C102" cm="1">
        <f t="array" ref="C102">SUMPRODUCT(IF($A$3:$A$52=$B102,IF($C$1:$AZ$1=C$64,$C$3:$AZ$52)))</f>
        <v>5311.5889999999999</v>
      </c>
      <c r="D102" cm="1">
        <f t="array" ref="D102">SUMPRODUCT(IF($A$3:$A$52=$B102,IF($C$1:$AZ$1=D$64,$C$3:$AZ$52)))</f>
        <v>360.46499999999997</v>
      </c>
      <c r="E102" cm="1">
        <f t="array" ref="E102">SUMPRODUCT(IF($A$3:$A$52=$B102,IF($C$1:$AZ$1=E$64,$C$3:$AZ$52)))</f>
        <v>6327.2039999999997</v>
      </c>
      <c r="F102" cm="1">
        <f t="array" ref="F102">SUMPRODUCT(IF($A$3:$A$52=$B102,IF($C$1:$AZ$1=F$64,$C$3:$AZ$52)))</f>
        <v>838.45499999999993</v>
      </c>
      <c r="G102" cm="1">
        <f t="array" ref="G102">SUMPRODUCT(IF($A$3:$A$52=$B102,IF($C$1:$AZ$1=G$64,$C$3:$AZ$52)))</f>
        <v>292.68099999999998</v>
      </c>
      <c r="H102" cm="1">
        <f t="array" ref="H102">SUMPRODUCT(IF($A$3:$A$52=$B102,IF($C$1:$AZ$1=H$64,$C$3:$AZ$52)))</f>
        <v>10027.239</v>
      </c>
      <c r="I102" cm="1">
        <f t="array" ref="I102">SUMPRODUCT(IF($A$3:$A$52=$B102,IF($C$1:$AZ$1=I$64,$C$3:$AZ$52)))</f>
        <v>662.048</v>
      </c>
      <c r="J102" cm="1">
        <f t="array" ref="J102">SUMPRODUCT(IF($A$3:$A$52=$B102,IF($C$1:$AZ$1=J$64,$C$3:$AZ$52)))</f>
        <v>1495.431</v>
      </c>
      <c r="K102" cm="1">
        <f t="array" ref="K102">SUMPRODUCT(IF($A$3:$A$52=$B102,IF($C$1:$AZ$1=K$64,$C$3:$AZ$52)))</f>
        <v>3466.2550000000001</v>
      </c>
      <c r="L102" cm="1">
        <f t="array" ref="L102">SUMPRODUCT(IF($A$3:$A$52=$B102,IF($C$1:$AZ$1=L$64,$C$3:$AZ$52)))</f>
        <v>2119.2759999999998</v>
      </c>
      <c r="M102" cm="1">
        <f t="array" ref="M102">SUMPRODUCT(IF($A$3:$A$52=$B102,IF($C$1:$AZ$1=M$64,$C$3:$AZ$52)))</f>
        <v>3463.8670000000002</v>
      </c>
      <c r="N102" cm="1">
        <f t="array" ref="N102">SUMPRODUCT(IF($A$3:$A$52=$B102,IF($C$1:$AZ$1=N$64,$C$3:$AZ$52)))</f>
        <v>2207.8690000000001</v>
      </c>
      <c r="O102" cm="1">
        <f t="array" ref="O102">SUMPRODUCT(IF($A$3:$A$52=$B102,IF($C$1:$AZ$1=O$64,$C$3:$AZ$52)))</f>
        <v>2066.9119999999998</v>
      </c>
      <c r="P102" cm="1">
        <f t="array" ref="P102">SUMPRODUCT(IF($A$3:$A$52=$B102,IF($C$1:$AZ$1=P$64,$C$3:$AZ$52)))</f>
        <v>1681.0640000000001</v>
      </c>
      <c r="Q102" cm="1">
        <f t="array" ref="Q102">SUMPRODUCT(IF($A$3:$A$52=$B102,IF($C$1:$AZ$1=Q$64,$C$3:$AZ$52)))</f>
        <v>0</v>
      </c>
      <c r="R102" cm="1">
        <f t="array" ref="R102">SUMPRODUCT(IF($A$3:$A$52=$B102,IF($C$1:$AZ$1=R$64,$C$3:$AZ$52)))</f>
        <v>2376.5369999999998</v>
      </c>
      <c r="S102" cm="1">
        <f t="array" ref="S102">SUMPRODUCT(IF($A$3:$A$52=$B102,IF($C$1:$AZ$1=S$64,$C$3:$AZ$52)))</f>
        <v>1581.8589999999999</v>
      </c>
      <c r="T102" cm="1">
        <f t="array" ref="T102">SUMPRODUCT(IF($A$3:$A$52=$B102,IF($C$1:$AZ$1=T$64,$C$3:$AZ$52)))</f>
        <v>3327.9340000000002</v>
      </c>
      <c r="U102" cm="1">
        <f t="array" ref="U102">SUMPRODUCT(IF($A$3:$A$52=$B102,IF($C$1:$AZ$1=U$64,$C$3:$AZ$52)))</f>
        <v>798.64599999999996</v>
      </c>
      <c r="V102" cm="1">
        <f t="array" ref="V102">SUMPRODUCT(IF($A$3:$A$52=$B102,IF($C$1:$AZ$1=V$64,$C$3:$AZ$52)))</f>
        <v>829.28599999999994</v>
      </c>
      <c r="W102" cm="1">
        <f t="array" ref="W102">SUMPRODUCT(IF($A$3:$A$52=$B102,IF($C$1:$AZ$1=W$64,$C$3:$AZ$52)))</f>
        <v>2454.6779999999999</v>
      </c>
      <c r="X102" cm="1">
        <f t="array" ref="X102">SUMPRODUCT(IF($A$3:$A$52=$B102,IF($C$1:$AZ$1=X$64,$C$3:$AZ$52)))</f>
        <v>4935.7860000000001</v>
      </c>
      <c r="Y102" cm="1">
        <f t="array" ref="Y102">SUMPRODUCT(IF($A$3:$A$52=$B102,IF($C$1:$AZ$1=Y$64,$C$3:$AZ$52)))</f>
        <v>1581.8210000000001</v>
      </c>
      <c r="Z102" cm="1">
        <f t="array" ref="Z102">SUMPRODUCT(IF($A$3:$A$52=$B102,IF($C$1:$AZ$1=Z$64,$C$3:$AZ$52)))</f>
        <v>1518.3119999999999</v>
      </c>
      <c r="AA102" cm="1">
        <f t="array" ref="AA102">SUMPRODUCT(IF($A$3:$A$52=$B102,IF($C$1:$AZ$1=AA$64,$C$3:$AZ$52)))</f>
        <v>11308.466</v>
      </c>
      <c r="AB102" cm="1">
        <f t="array" ref="AB102">SUMPRODUCT(IF($A$3:$A$52=$B102,IF($C$1:$AZ$1=AB$64,$C$3:$AZ$52)))</f>
        <v>0</v>
      </c>
      <c r="AC102" cm="1">
        <f t="array" ref="AC102">SUMPRODUCT(IF($A$3:$A$52=$B102,IF($C$1:$AZ$1=AC$64,$C$3:$AZ$52)))</f>
        <v>4377.518</v>
      </c>
      <c r="AD102" cm="1">
        <f t="array" ref="AD102">SUMPRODUCT(IF($A$3:$A$52=$B102,IF($C$1:$AZ$1=AD$64,$C$3:$AZ$52)))</f>
        <v>15205.121999999999</v>
      </c>
      <c r="AE102" cm="1">
        <f t="array" ref="AE102">SUMPRODUCT(IF($A$3:$A$52=$B102,IF($C$1:$AZ$1=AE$64,$C$3:$AZ$52)))</f>
        <v>60124.250999999997</v>
      </c>
      <c r="AF102" cm="1">
        <f t="array" ref="AF102">SUMPRODUCT(IF($A$3:$A$52=$B102,IF($C$1:$AZ$1=AF$64,$C$3:$AZ$52)))</f>
        <v>18509.656000000003</v>
      </c>
      <c r="AG102" cm="1">
        <f t="array" ref="AG102">SUMPRODUCT(IF($A$3:$A$52=$B102,IF($C$1:$AZ$1=AG$64,$C$3:$AZ$52)))</f>
        <v>17021.848000000002</v>
      </c>
      <c r="AH102" cm="1">
        <f t="array" ref="AH102">SUMPRODUCT(IF($A$3:$A$52=$B102,IF($C$1:$AZ$1=AH$64,$C$3:$AZ$52)))</f>
        <v>5293.848</v>
      </c>
      <c r="AI102" cm="1">
        <f t="array" ref="AI102">SUMPRODUCT(IF($A$3:$A$52=$B102,IF($C$1:$AZ$1=AI$64,$C$3:$AZ$52)))</f>
        <v>8104.36</v>
      </c>
      <c r="AJ102" cm="1">
        <f t="array" ref="AJ102">SUMPRODUCT(IF($A$3:$A$52=$B102,IF($C$1:$AZ$1=AJ$64,$C$3:$AZ$52)))</f>
        <v>5667.9989999999998</v>
      </c>
      <c r="AK102" cm="1">
        <f t="array" ref="AK102">SUMPRODUCT(IF($A$3:$A$52=$B102,IF($C$1:$AZ$1=AK$64,$C$3:$AZ$52)))</f>
        <v>35371.925999999999</v>
      </c>
      <c r="AL102" cm="1">
        <f t="array" ref="AL102">SUMPRODUCT(IF($A$3:$A$52=$B102,IF($C$1:$AZ$1=AL$64,$C$3:$AZ$52)))</f>
        <v>59049.739000000001</v>
      </c>
      <c r="AM102" cm="1">
        <f t="array" ref="AM102">SUMPRODUCT(IF($A$3:$A$52=$B102,IF($C$1:$AZ$1=AM$64,$C$3:$AZ$52)))</f>
        <v>38658.688000000002</v>
      </c>
      <c r="AN102" cm="1">
        <f t="array" ref="AN102">SUMPRODUCT(IF($A$3:$A$52=$B102,IF($C$1:$AZ$1=AN$64,$C$3:$AZ$52)))</f>
        <v>110663.542</v>
      </c>
      <c r="AO102" cm="1">
        <f t="array" ref="AO102">SUMPRODUCT(IF($A$3:$A$52=$B102,IF($C$1:$AZ$1=AO$64,$C$3:$AZ$52)))</f>
        <v>17143.632000000001</v>
      </c>
      <c r="AP102" cm="1">
        <f t="array" ref="AP102">SUMPRODUCT(IF($A$3:$A$52=$B102,IF($C$1:$AZ$1=AP$64,$C$3:$AZ$52)))</f>
        <v>51441.366999999998</v>
      </c>
      <c r="AQ102" cm="1">
        <f t="array" ref="AQ102">SUMPRODUCT(IF($A$3:$A$52=$B102,IF($C$1:$AZ$1=AQ$64,$C$3:$AZ$52)))</f>
        <v>14231.088</v>
      </c>
      <c r="AR102" cm="1">
        <f t="array" ref="AR102">SUMPRODUCT(IF($A$3:$A$52=$B102,IF($C$1:$AZ$1=AR$64,$C$3:$AZ$52)))</f>
        <v>0</v>
      </c>
    </row>
    <row r="103" spans="2:44" x14ac:dyDescent="0.25">
      <c r="B103" t="s">
        <v>31</v>
      </c>
      <c r="C103" cm="1">
        <f t="array" ref="C103">SUMPRODUCT(IF($A$3:$A$52=$B103,IF($C$1:$AZ$1=C$64,$C$3:$AZ$52)))</f>
        <v>349.54900000000004</v>
      </c>
      <c r="D103" cm="1">
        <f t="array" ref="D103">SUMPRODUCT(IF($A$3:$A$52=$B103,IF($C$1:$AZ$1=D$64,$C$3:$AZ$52)))</f>
        <v>18.221</v>
      </c>
      <c r="E103" cm="1">
        <f t="array" ref="E103">SUMPRODUCT(IF($A$3:$A$52=$B103,IF($C$1:$AZ$1=E$64,$C$3:$AZ$52)))</f>
        <v>740.02</v>
      </c>
      <c r="F103" cm="1">
        <f t="array" ref="F103">SUMPRODUCT(IF($A$3:$A$52=$B103,IF($C$1:$AZ$1=F$64,$C$3:$AZ$52)))</f>
        <v>92.305999999999997</v>
      </c>
      <c r="G103" cm="1">
        <f t="array" ref="G103">SUMPRODUCT(IF($A$3:$A$52=$B103,IF($C$1:$AZ$1=G$64,$C$3:$AZ$52)))</f>
        <v>30.994</v>
      </c>
      <c r="H103" cm="1">
        <f t="array" ref="H103">SUMPRODUCT(IF($A$3:$A$52=$B103,IF($C$1:$AZ$1=H$64,$C$3:$AZ$52)))</f>
        <v>844.92</v>
      </c>
      <c r="I103" cm="1">
        <f t="array" ref="I103">SUMPRODUCT(IF($A$3:$A$52=$B103,IF($C$1:$AZ$1=I$64,$C$3:$AZ$52)))</f>
        <v>50.6</v>
      </c>
      <c r="J103" cm="1">
        <f t="array" ref="J103">SUMPRODUCT(IF($A$3:$A$52=$B103,IF($C$1:$AZ$1=J$64,$C$3:$AZ$52)))</f>
        <v>79.462999999999994</v>
      </c>
      <c r="K103" cm="1">
        <f t="array" ref="K103">SUMPRODUCT(IF($A$3:$A$52=$B103,IF($C$1:$AZ$1=K$64,$C$3:$AZ$52)))</f>
        <v>318.96499999999997</v>
      </c>
      <c r="L103" cm="1">
        <f t="array" ref="L103">SUMPRODUCT(IF($A$3:$A$52=$B103,IF($C$1:$AZ$1=L$64,$C$3:$AZ$52)))</f>
        <v>274.43200000000002</v>
      </c>
      <c r="M103" cm="1">
        <f t="array" ref="M103">SUMPRODUCT(IF($A$3:$A$52=$B103,IF($C$1:$AZ$1=M$64,$C$3:$AZ$52)))</f>
        <v>297.61099999999999</v>
      </c>
      <c r="N103" cm="1">
        <f t="array" ref="N103">SUMPRODUCT(IF($A$3:$A$52=$B103,IF($C$1:$AZ$1=N$64,$C$3:$AZ$52)))</f>
        <v>316.52499999999998</v>
      </c>
      <c r="O103" cm="1">
        <f t="array" ref="O103">SUMPRODUCT(IF($A$3:$A$52=$B103,IF($C$1:$AZ$1=O$64,$C$3:$AZ$52)))</f>
        <v>166.815</v>
      </c>
      <c r="P103" cm="1">
        <f t="array" ref="P103">SUMPRODUCT(IF($A$3:$A$52=$B103,IF($C$1:$AZ$1=P$64,$C$3:$AZ$52)))</f>
        <v>106.68899999999999</v>
      </c>
      <c r="Q103" cm="1">
        <f t="array" ref="Q103">SUMPRODUCT(IF($A$3:$A$52=$B103,IF($C$1:$AZ$1=Q$64,$C$3:$AZ$52)))</f>
        <v>0</v>
      </c>
      <c r="R103" cm="1">
        <f t="array" ref="R103">SUMPRODUCT(IF($A$3:$A$52=$B103,IF($C$1:$AZ$1=R$64,$C$3:$AZ$52)))</f>
        <v>110.91800000000001</v>
      </c>
      <c r="S103" cm="1">
        <f t="array" ref="S103">SUMPRODUCT(IF($A$3:$A$52=$B103,IF($C$1:$AZ$1=S$64,$C$3:$AZ$52)))</f>
        <v>84.751000000000005</v>
      </c>
      <c r="T103" cm="1">
        <f t="array" ref="T103">SUMPRODUCT(IF($A$3:$A$52=$B103,IF($C$1:$AZ$1=T$64,$C$3:$AZ$52)))</f>
        <v>278.49599999999998</v>
      </c>
      <c r="U103" cm="1">
        <f t="array" ref="U103">SUMPRODUCT(IF($A$3:$A$52=$B103,IF($C$1:$AZ$1=U$64,$C$3:$AZ$52)))</f>
        <v>160.101</v>
      </c>
      <c r="V103" cm="1">
        <f t="array" ref="V103">SUMPRODUCT(IF($A$3:$A$52=$B103,IF($C$1:$AZ$1=V$64,$C$3:$AZ$52)))</f>
        <v>124.556</v>
      </c>
      <c r="W103" cm="1">
        <f t="array" ref="W103">SUMPRODUCT(IF($A$3:$A$52=$B103,IF($C$1:$AZ$1=W$64,$C$3:$AZ$52)))</f>
        <v>339.17700000000002</v>
      </c>
      <c r="X103" cm="1">
        <f t="array" ref="X103">SUMPRODUCT(IF($A$3:$A$52=$B103,IF($C$1:$AZ$1=X$64,$C$3:$AZ$52)))</f>
        <v>374.02199999999999</v>
      </c>
      <c r="Y103" cm="1">
        <f t="array" ref="Y103">SUMPRODUCT(IF($A$3:$A$52=$B103,IF($C$1:$AZ$1=Y$64,$C$3:$AZ$52)))</f>
        <v>240.18</v>
      </c>
      <c r="Z103" cm="1">
        <f t="array" ref="Z103">SUMPRODUCT(IF($A$3:$A$52=$B103,IF($C$1:$AZ$1=Z$64,$C$3:$AZ$52)))</f>
        <v>201.91399999999999</v>
      </c>
      <c r="AA103" cm="1">
        <f t="array" ref="AA103">SUMPRODUCT(IF($A$3:$A$52=$B103,IF($C$1:$AZ$1=AA$64,$C$3:$AZ$52)))</f>
        <v>359.21100000000001</v>
      </c>
      <c r="AB103" cm="1">
        <f t="array" ref="AB103">SUMPRODUCT(IF($A$3:$A$52=$B103,IF($C$1:$AZ$1=AB$64,$C$3:$AZ$52)))</f>
        <v>0</v>
      </c>
      <c r="AC103" cm="1">
        <f t="array" ref="AC103">SUMPRODUCT(IF($A$3:$A$52=$B103,IF($C$1:$AZ$1=AC$64,$C$3:$AZ$52)))</f>
        <v>174.524</v>
      </c>
      <c r="AD103" cm="1">
        <f t="array" ref="AD103">SUMPRODUCT(IF($A$3:$A$52=$B103,IF($C$1:$AZ$1=AD$64,$C$3:$AZ$52)))</f>
        <v>2710.547</v>
      </c>
      <c r="AE103" cm="1">
        <f t="array" ref="AE103">SUMPRODUCT(IF($A$3:$A$52=$B103,IF($C$1:$AZ$1=AE$64,$C$3:$AZ$52)))</f>
        <v>5766.9390000000003</v>
      </c>
      <c r="AF103" cm="1">
        <f t="array" ref="AF103">SUMPRODUCT(IF($A$3:$A$52=$B103,IF($C$1:$AZ$1=AF$64,$C$3:$AZ$52)))</f>
        <v>2134.86</v>
      </c>
      <c r="AG103" cm="1">
        <f t="array" ref="AG103">SUMPRODUCT(IF($A$3:$A$52=$B103,IF($C$1:$AZ$1=AG$64,$C$3:$AZ$52)))</f>
        <v>1559.441</v>
      </c>
      <c r="AH103" cm="1">
        <f t="array" ref="AH103">SUMPRODUCT(IF($A$3:$A$52=$B103,IF($C$1:$AZ$1=AH$64,$C$3:$AZ$52)))</f>
        <v>1212.8900000000001</v>
      </c>
      <c r="AI103" cm="1">
        <f t="array" ref="AI103">SUMPRODUCT(IF($A$3:$A$52=$B103,IF($C$1:$AZ$1=AI$64,$C$3:$AZ$52)))</f>
        <v>1795.6780000000001</v>
      </c>
      <c r="AJ103" cm="1">
        <f t="array" ref="AJ103">SUMPRODUCT(IF($A$3:$A$52=$B103,IF($C$1:$AZ$1=AJ$64,$C$3:$AZ$52)))</f>
        <v>3041.76</v>
      </c>
      <c r="AK103" cm="1">
        <f t="array" ref="AK103">SUMPRODUCT(IF($A$3:$A$52=$B103,IF($C$1:$AZ$1=AK$64,$C$3:$AZ$52)))</f>
        <v>7300.3220000000001</v>
      </c>
      <c r="AL103" cm="1">
        <f t="array" ref="AL103">SUMPRODUCT(IF($A$3:$A$52=$B103,IF($C$1:$AZ$1=AL$64,$C$3:$AZ$52)))</f>
        <v>4392.0129999999999</v>
      </c>
      <c r="AM103" cm="1">
        <f t="array" ref="AM103">SUMPRODUCT(IF($A$3:$A$52=$B103,IF($C$1:$AZ$1=AM$64,$C$3:$AZ$52)))</f>
        <v>13048.003000000001</v>
      </c>
      <c r="AN103" cm="1">
        <f t="array" ref="AN103">SUMPRODUCT(IF($A$3:$A$52=$B103,IF($C$1:$AZ$1=AN$64,$C$3:$AZ$52)))</f>
        <v>18978.626</v>
      </c>
      <c r="AO103" cm="1">
        <f t="array" ref="AO103">SUMPRODUCT(IF($A$3:$A$52=$B103,IF($C$1:$AZ$1=AO$64,$C$3:$AZ$52)))</f>
        <v>23436.017</v>
      </c>
      <c r="AP103" cm="1">
        <f t="array" ref="AP103">SUMPRODUCT(IF($A$3:$A$52=$B103,IF($C$1:$AZ$1=AP$64,$C$3:$AZ$52)))</f>
        <v>6362.1850000000004</v>
      </c>
      <c r="AQ103" cm="1">
        <f t="array" ref="AQ103">SUMPRODUCT(IF($A$3:$A$52=$B103,IF($C$1:$AZ$1=AQ$64,$C$3:$AZ$52)))</f>
        <v>3705.36</v>
      </c>
      <c r="AR103" cm="1">
        <f t="array" ref="AR103">SUMPRODUCT(IF($A$3:$A$52=$B103,IF($C$1:$AZ$1=AR$64,$C$3:$AZ$52)))</f>
        <v>0</v>
      </c>
    </row>
    <row r="104" spans="2:44" x14ac:dyDescent="0.25">
      <c r="B104" t="s">
        <v>32</v>
      </c>
      <c r="C104" cm="1">
        <f t="array" ref="C104">SUMPRODUCT(IF($A$3:$A$52=$B104,IF($C$1:$AZ$1=C$64,$C$3:$AZ$52)))</f>
        <v>212.453</v>
      </c>
      <c r="D104" cm="1">
        <f t="array" ref="D104">SUMPRODUCT(IF($A$3:$A$52=$B104,IF($C$1:$AZ$1=D$64,$C$3:$AZ$52)))</f>
        <v>40.088999999999999</v>
      </c>
      <c r="E104" cm="1">
        <f t="array" ref="E104">SUMPRODUCT(IF($A$3:$A$52=$B104,IF($C$1:$AZ$1=E$64,$C$3:$AZ$52)))</f>
        <v>323.62099999999998</v>
      </c>
      <c r="F104" cm="1">
        <f t="array" ref="F104">SUMPRODUCT(IF($A$3:$A$52=$B104,IF($C$1:$AZ$1=F$64,$C$3:$AZ$52)))</f>
        <v>27.045000000000002</v>
      </c>
      <c r="G104" cm="1">
        <f t="array" ref="G104">SUMPRODUCT(IF($A$3:$A$52=$B104,IF($C$1:$AZ$1=G$64,$C$3:$AZ$52)))</f>
        <v>12.705</v>
      </c>
      <c r="H104" cm="1">
        <f t="array" ref="H104">SUMPRODUCT(IF($A$3:$A$52=$B104,IF($C$1:$AZ$1=H$64,$C$3:$AZ$52)))</f>
        <v>593.63099999999997</v>
      </c>
      <c r="I104" cm="1">
        <f t="array" ref="I104">SUMPRODUCT(IF($A$3:$A$52=$B104,IF($C$1:$AZ$1=I$64,$C$3:$AZ$52)))</f>
        <v>30.484000000000002</v>
      </c>
      <c r="J104" cm="1">
        <f t="array" ref="J104">SUMPRODUCT(IF($A$3:$A$52=$B104,IF($C$1:$AZ$1=J$64,$C$3:$AZ$52)))</f>
        <v>35.267000000000003</v>
      </c>
      <c r="K104" cm="1">
        <f t="array" ref="K104">SUMPRODUCT(IF($A$3:$A$52=$B104,IF($C$1:$AZ$1=K$64,$C$3:$AZ$52)))</f>
        <v>125.23699999999999</v>
      </c>
      <c r="L104" cm="1">
        <f t="array" ref="L104">SUMPRODUCT(IF($A$3:$A$52=$B104,IF($C$1:$AZ$1=L$64,$C$3:$AZ$52)))</f>
        <v>80.004999999999995</v>
      </c>
      <c r="M104" cm="1">
        <f t="array" ref="M104">SUMPRODUCT(IF($A$3:$A$52=$B104,IF($C$1:$AZ$1=M$64,$C$3:$AZ$52)))</f>
        <v>148.24199999999999</v>
      </c>
      <c r="N104" cm="1">
        <f t="array" ref="N104">SUMPRODUCT(IF($A$3:$A$52=$B104,IF($C$1:$AZ$1=N$64,$C$3:$AZ$52)))</f>
        <v>189</v>
      </c>
      <c r="O104" cm="1">
        <f t="array" ref="O104">SUMPRODUCT(IF($A$3:$A$52=$B104,IF($C$1:$AZ$1=O$64,$C$3:$AZ$52)))</f>
        <v>151.01300000000001</v>
      </c>
      <c r="P104" cm="1">
        <f t="array" ref="P104">SUMPRODUCT(IF($A$3:$A$52=$B104,IF($C$1:$AZ$1=P$64,$C$3:$AZ$52)))</f>
        <v>126.45099999999999</v>
      </c>
      <c r="Q104" cm="1">
        <f t="array" ref="Q104">SUMPRODUCT(IF($A$3:$A$52=$B104,IF($C$1:$AZ$1=Q$64,$C$3:$AZ$52)))</f>
        <v>0</v>
      </c>
      <c r="R104" cm="1">
        <f t="array" ref="R104">SUMPRODUCT(IF($A$3:$A$52=$B104,IF($C$1:$AZ$1=R$64,$C$3:$AZ$52)))</f>
        <v>38.201000000000001</v>
      </c>
      <c r="S104" cm="1">
        <f t="array" ref="S104">SUMPRODUCT(IF($A$3:$A$52=$B104,IF($C$1:$AZ$1=S$64,$C$3:$AZ$52)))</f>
        <v>37.381999999999998</v>
      </c>
      <c r="T104" cm="1">
        <f t="array" ref="T104">SUMPRODUCT(IF($A$3:$A$52=$B104,IF($C$1:$AZ$1=T$64,$C$3:$AZ$52)))</f>
        <v>263.35399999999998</v>
      </c>
      <c r="U104" cm="1">
        <f t="array" ref="U104">SUMPRODUCT(IF($A$3:$A$52=$B104,IF($C$1:$AZ$1=U$64,$C$3:$AZ$52)))</f>
        <v>96.460999999999999</v>
      </c>
      <c r="V104" cm="1">
        <f t="array" ref="V104">SUMPRODUCT(IF($A$3:$A$52=$B104,IF($C$1:$AZ$1=V$64,$C$3:$AZ$52)))</f>
        <v>64.593000000000004</v>
      </c>
      <c r="W104" cm="1">
        <f t="array" ref="W104">SUMPRODUCT(IF($A$3:$A$52=$B104,IF($C$1:$AZ$1=W$64,$C$3:$AZ$52)))</f>
        <v>157.51400000000001</v>
      </c>
      <c r="X104" cm="1">
        <f t="array" ref="X104">SUMPRODUCT(IF($A$3:$A$52=$B104,IF($C$1:$AZ$1=X$64,$C$3:$AZ$52)))</f>
        <v>267.58999999999997</v>
      </c>
      <c r="Y104" cm="1">
        <f t="array" ref="Y104">SUMPRODUCT(IF($A$3:$A$52=$B104,IF($C$1:$AZ$1=Y$64,$C$3:$AZ$52)))</f>
        <v>84.885000000000005</v>
      </c>
      <c r="Z104" cm="1">
        <f t="array" ref="Z104">SUMPRODUCT(IF($A$3:$A$52=$B104,IF($C$1:$AZ$1=Z$64,$C$3:$AZ$52)))</f>
        <v>117.261</v>
      </c>
      <c r="AA104" cm="1">
        <f t="array" ref="AA104">SUMPRODUCT(IF($A$3:$A$52=$B104,IF($C$1:$AZ$1=AA$64,$C$3:$AZ$52)))</f>
        <v>138.33600000000001</v>
      </c>
      <c r="AB104" cm="1">
        <f t="array" ref="AB104">SUMPRODUCT(IF($A$3:$A$52=$B104,IF($C$1:$AZ$1=AB$64,$C$3:$AZ$52)))</f>
        <v>0</v>
      </c>
      <c r="AC104" cm="1">
        <f t="array" ref="AC104">SUMPRODUCT(IF($A$3:$A$52=$B104,IF($C$1:$AZ$1=AC$64,$C$3:$AZ$52)))</f>
        <v>93.754999999999995</v>
      </c>
      <c r="AD104" cm="1">
        <f t="array" ref="AD104">SUMPRODUCT(IF($A$3:$A$52=$B104,IF($C$1:$AZ$1=AD$64,$C$3:$AZ$52)))</f>
        <v>726.18600000000004</v>
      </c>
      <c r="AE104" cm="1">
        <f t="array" ref="AE104">SUMPRODUCT(IF($A$3:$A$52=$B104,IF($C$1:$AZ$1=AE$64,$C$3:$AZ$52)))</f>
        <v>3527.77</v>
      </c>
      <c r="AF104" cm="1">
        <f t="array" ref="AF104">SUMPRODUCT(IF($A$3:$A$52=$B104,IF($C$1:$AZ$1=AF$64,$C$3:$AZ$52)))</f>
        <v>872.74799999999993</v>
      </c>
      <c r="AG104" cm="1">
        <f t="array" ref="AG104">SUMPRODUCT(IF($A$3:$A$52=$B104,IF($C$1:$AZ$1=AG$64,$C$3:$AZ$52)))</f>
        <v>1232.425</v>
      </c>
      <c r="AH104" cm="1">
        <f t="array" ref="AH104">SUMPRODUCT(IF($A$3:$A$52=$B104,IF($C$1:$AZ$1=AH$64,$C$3:$AZ$52)))</f>
        <v>482.76799999999997</v>
      </c>
      <c r="AI104" cm="1">
        <f t="array" ref="AI104">SUMPRODUCT(IF($A$3:$A$52=$B104,IF($C$1:$AZ$1=AI$64,$C$3:$AZ$52)))</f>
        <v>281.12700000000001</v>
      </c>
      <c r="AJ104" cm="1">
        <f t="array" ref="AJ104">SUMPRODUCT(IF($A$3:$A$52=$B104,IF($C$1:$AZ$1=AJ$64,$C$3:$AZ$52)))</f>
        <v>576.14800000000002</v>
      </c>
      <c r="AK104" cm="1">
        <f t="array" ref="AK104">SUMPRODUCT(IF($A$3:$A$52=$B104,IF($C$1:$AZ$1=AK$64,$C$3:$AZ$52)))</f>
        <v>2469.7350000000001</v>
      </c>
      <c r="AL104" cm="1">
        <f t="array" ref="AL104">SUMPRODUCT(IF($A$3:$A$52=$B104,IF($C$1:$AZ$1=AL$64,$C$3:$AZ$52)))</f>
        <v>1058.0550000000001</v>
      </c>
      <c r="AM104" cm="1">
        <f t="array" ref="AM104">SUMPRODUCT(IF($A$3:$A$52=$B104,IF($C$1:$AZ$1=AM$64,$C$3:$AZ$52)))</f>
        <v>3734.3900000000003</v>
      </c>
      <c r="AN104" cm="1">
        <f t="array" ref="AN104">SUMPRODUCT(IF($A$3:$A$52=$B104,IF($C$1:$AZ$1=AN$64,$C$3:$AZ$52)))</f>
        <v>17879.329000000002</v>
      </c>
      <c r="AO104" cm="1">
        <f t="array" ref="AO104">SUMPRODUCT(IF($A$3:$A$52=$B104,IF($C$1:$AZ$1=AO$64,$C$3:$AZ$52)))</f>
        <v>3047.3180000000002</v>
      </c>
      <c r="AP104" cm="1">
        <f t="array" ref="AP104">SUMPRODUCT(IF($A$3:$A$52=$B104,IF($C$1:$AZ$1=AP$64,$C$3:$AZ$52)))</f>
        <v>209597.44099999999</v>
      </c>
      <c r="AQ104" cm="1">
        <f t="array" ref="AQ104">SUMPRODUCT(IF($A$3:$A$52=$B104,IF($C$1:$AZ$1=AQ$64,$C$3:$AZ$52)))</f>
        <v>1973.0900000000001</v>
      </c>
      <c r="AR104" cm="1">
        <f t="array" ref="AR104">SUMPRODUCT(IF($A$3:$A$52=$B104,IF($C$1:$AZ$1=AR$64,$C$3:$AZ$52)))</f>
        <v>0</v>
      </c>
    </row>
    <row r="105" spans="2:44" x14ac:dyDescent="0.25">
      <c r="B105" t="s">
        <v>33</v>
      </c>
      <c r="C105" cm="1">
        <f t="array" ref="C105">SUMPRODUCT(IF($A$3:$A$52=$B105,IF($C$1:$AZ$1=C$64,$C$3:$AZ$52)))</f>
        <v>636.87899999999991</v>
      </c>
      <c r="D105" cm="1">
        <f t="array" ref="D105">SUMPRODUCT(IF($A$3:$A$52=$B105,IF($C$1:$AZ$1=D$64,$C$3:$AZ$52)))</f>
        <v>36.122999999999998</v>
      </c>
      <c r="E105" cm="1">
        <f t="array" ref="E105">SUMPRODUCT(IF($A$3:$A$52=$B105,IF($C$1:$AZ$1=E$64,$C$3:$AZ$52)))</f>
        <v>859.12899999999991</v>
      </c>
      <c r="F105" cm="1">
        <f t="array" ref="F105">SUMPRODUCT(IF($A$3:$A$52=$B105,IF($C$1:$AZ$1=F$64,$C$3:$AZ$52)))</f>
        <v>113.43700000000001</v>
      </c>
      <c r="G105" cm="1">
        <f t="array" ref="G105">SUMPRODUCT(IF($A$3:$A$52=$B105,IF($C$1:$AZ$1=G$64,$C$3:$AZ$52)))</f>
        <v>46.165999999999997</v>
      </c>
      <c r="H105" cm="1">
        <f t="array" ref="H105">SUMPRODUCT(IF($A$3:$A$52=$B105,IF($C$1:$AZ$1=H$64,$C$3:$AZ$52)))</f>
        <v>2006.0900000000001</v>
      </c>
      <c r="I105" cm="1">
        <f t="array" ref="I105">SUMPRODUCT(IF($A$3:$A$52=$B105,IF($C$1:$AZ$1=I$64,$C$3:$AZ$52)))</f>
        <v>132.31299999999999</v>
      </c>
      <c r="J105" cm="1">
        <f t="array" ref="J105">SUMPRODUCT(IF($A$3:$A$52=$B105,IF($C$1:$AZ$1=J$64,$C$3:$AZ$52)))</f>
        <v>181.083</v>
      </c>
      <c r="K105" cm="1">
        <f t="array" ref="K105">SUMPRODUCT(IF($A$3:$A$52=$B105,IF($C$1:$AZ$1=K$64,$C$3:$AZ$52)))</f>
        <v>355.67599999999999</v>
      </c>
      <c r="L105" cm="1">
        <f t="array" ref="L105">SUMPRODUCT(IF($A$3:$A$52=$B105,IF($C$1:$AZ$1=L$64,$C$3:$AZ$52)))</f>
        <v>322.79899999999998</v>
      </c>
      <c r="M105" cm="1">
        <f t="array" ref="M105">SUMPRODUCT(IF($A$3:$A$52=$B105,IF($C$1:$AZ$1=M$64,$C$3:$AZ$52)))</f>
        <v>483.66300000000001</v>
      </c>
      <c r="N105" cm="1">
        <f t="array" ref="N105">SUMPRODUCT(IF($A$3:$A$52=$B105,IF($C$1:$AZ$1=N$64,$C$3:$AZ$52)))</f>
        <v>269.70699999999999</v>
      </c>
      <c r="O105" cm="1">
        <f t="array" ref="O105">SUMPRODUCT(IF($A$3:$A$52=$B105,IF($C$1:$AZ$1=O$64,$C$3:$AZ$52)))</f>
        <v>318.60899999999998</v>
      </c>
      <c r="P105" cm="1">
        <f t="array" ref="P105">SUMPRODUCT(IF($A$3:$A$52=$B105,IF($C$1:$AZ$1=P$64,$C$3:$AZ$52)))</f>
        <v>233.12900000000002</v>
      </c>
      <c r="Q105" cm="1">
        <f t="array" ref="Q105">SUMPRODUCT(IF($A$3:$A$52=$B105,IF($C$1:$AZ$1=Q$64,$C$3:$AZ$52)))</f>
        <v>0</v>
      </c>
      <c r="R105" cm="1">
        <f t="array" ref="R105">SUMPRODUCT(IF($A$3:$A$52=$B105,IF($C$1:$AZ$1=R$64,$C$3:$AZ$52)))</f>
        <v>163.47800000000001</v>
      </c>
      <c r="S105" cm="1">
        <f t="array" ref="S105">SUMPRODUCT(IF($A$3:$A$52=$B105,IF($C$1:$AZ$1=S$64,$C$3:$AZ$52)))</f>
        <v>96.468000000000004</v>
      </c>
      <c r="T105" cm="1">
        <f t="array" ref="T105">SUMPRODUCT(IF($A$3:$A$52=$B105,IF($C$1:$AZ$1=T$64,$C$3:$AZ$52)))</f>
        <v>552.18200000000002</v>
      </c>
      <c r="U105" cm="1">
        <f t="array" ref="U105">SUMPRODUCT(IF($A$3:$A$52=$B105,IF($C$1:$AZ$1=U$64,$C$3:$AZ$52)))</f>
        <v>240.559</v>
      </c>
      <c r="V105" cm="1">
        <f t="array" ref="V105">SUMPRODUCT(IF($A$3:$A$52=$B105,IF($C$1:$AZ$1=V$64,$C$3:$AZ$52)))</f>
        <v>124.721</v>
      </c>
      <c r="W105" cm="1">
        <f t="array" ref="W105">SUMPRODUCT(IF($A$3:$A$52=$B105,IF($C$1:$AZ$1=W$64,$C$3:$AZ$52)))</f>
        <v>440.048</v>
      </c>
      <c r="X105" cm="1">
        <f t="array" ref="X105">SUMPRODUCT(IF($A$3:$A$52=$B105,IF($C$1:$AZ$1=X$64,$C$3:$AZ$52)))</f>
        <v>765.63300000000004</v>
      </c>
      <c r="Y105" cm="1">
        <f t="array" ref="Y105">SUMPRODUCT(IF($A$3:$A$52=$B105,IF($C$1:$AZ$1=Y$64,$C$3:$AZ$52)))</f>
        <v>256.69499999999999</v>
      </c>
      <c r="Z105" cm="1">
        <f t="array" ref="Z105">SUMPRODUCT(IF($A$3:$A$52=$B105,IF($C$1:$AZ$1=Z$64,$C$3:$AZ$52)))</f>
        <v>415.94</v>
      </c>
      <c r="AA105" cm="1">
        <f t="array" ref="AA105">SUMPRODUCT(IF($A$3:$A$52=$B105,IF($C$1:$AZ$1=AA$64,$C$3:$AZ$52)))</f>
        <v>375.08500000000004</v>
      </c>
      <c r="AB105" cm="1">
        <f t="array" ref="AB105">SUMPRODUCT(IF($A$3:$A$52=$B105,IF($C$1:$AZ$1=AB$64,$C$3:$AZ$52)))</f>
        <v>0</v>
      </c>
      <c r="AC105" cm="1">
        <f t="array" ref="AC105">SUMPRODUCT(IF($A$3:$A$52=$B105,IF($C$1:$AZ$1=AC$64,$C$3:$AZ$52)))</f>
        <v>377.84699999999998</v>
      </c>
      <c r="AD105" cm="1">
        <f t="array" ref="AD105">SUMPRODUCT(IF($A$3:$A$52=$B105,IF($C$1:$AZ$1=AD$64,$C$3:$AZ$52)))</f>
        <v>2044.1130000000001</v>
      </c>
      <c r="AE105" cm="1">
        <f t="array" ref="AE105">SUMPRODUCT(IF($A$3:$A$52=$B105,IF($C$1:$AZ$1=AE$64,$C$3:$AZ$52)))</f>
        <v>13790.567999999999</v>
      </c>
      <c r="AF105" cm="1">
        <f t="array" ref="AF105">SUMPRODUCT(IF($A$3:$A$52=$B105,IF($C$1:$AZ$1=AF$64,$C$3:$AZ$52)))</f>
        <v>2654.3629999999998</v>
      </c>
      <c r="AG105" cm="1">
        <f t="array" ref="AG105">SUMPRODUCT(IF($A$3:$A$52=$B105,IF($C$1:$AZ$1=AG$64,$C$3:$AZ$52)))</f>
        <v>9256.8289999999997</v>
      </c>
      <c r="AH105" cm="1">
        <f t="array" ref="AH105">SUMPRODUCT(IF($A$3:$A$52=$B105,IF($C$1:$AZ$1=AH$64,$C$3:$AZ$52)))</f>
        <v>11256.941999999999</v>
      </c>
      <c r="AI105" cm="1">
        <f t="array" ref="AI105">SUMPRODUCT(IF($A$3:$A$52=$B105,IF($C$1:$AZ$1=AI$64,$C$3:$AZ$52)))</f>
        <v>1833.318</v>
      </c>
      <c r="AJ105" cm="1">
        <f t="array" ref="AJ105">SUMPRODUCT(IF($A$3:$A$52=$B105,IF($C$1:$AZ$1=AJ$64,$C$3:$AZ$52)))</f>
        <v>2382.2060000000001</v>
      </c>
      <c r="AK105" cm="1">
        <f t="array" ref="AK105">SUMPRODUCT(IF($A$3:$A$52=$B105,IF($C$1:$AZ$1=AK$64,$C$3:$AZ$52)))</f>
        <v>9235.6840000000011</v>
      </c>
      <c r="AL105" cm="1">
        <f t="array" ref="AL105">SUMPRODUCT(IF($A$3:$A$52=$B105,IF($C$1:$AZ$1=AL$64,$C$3:$AZ$52)))</f>
        <v>7457.7340000000004</v>
      </c>
      <c r="AM105" cm="1">
        <f t="array" ref="AM105">SUMPRODUCT(IF($A$3:$A$52=$B105,IF($C$1:$AZ$1=AM$64,$C$3:$AZ$52)))</f>
        <v>17260.011999999999</v>
      </c>
      <c r="AN105" cm="1">
        <f t="array" ref="AN105">SUMPRODUCT(IF($A$3:$A$52=$B105,IF($C$1:$AZ$1=AN$64,$C$3:$AZ$52)))</f>
        <v>16651.471000000001</v>
      </c>
      <c r="AO105" cm="1">
        <f t="array" ref="AO105">SUMPRODUCT(IF($A$3:$A$52=$B105,IF($C$1:$AZ$1=AO$64,$C$3:$AZ$52)))</f>
        <v>7154.5640000000003</v>
      </c>
      <c r="AP105" cm="1">
        <f t="array" ref="AP105">SUMPRODUCT(IF($A$3:$A$52=$B105,IF($C$1:$AZ$1=AP$64,$C$3:$AZ$52)))</f>
        <v>18718.677</v>
      </c>
      <c r="AQ105" cm="1">
        <f t="array" ref="AQ105">SUMPRODUCT(IF($A$3:$A$52=$B105,IF($C$1:$AZ$1=AQ$64,$C$3:$AZ$52)))</f>
        <v>52241.574000000001</v>
      </c>
      <c r="AR105" cm="1">
        <f t="array" ref="AR105">SUMPRODUCT(IF($A$3:$A$52=$B105,IF($C$1:$AZ$1=AR$64,$C$3:$AZ$52)))</f>
        <v>0</v>
      </c>
    </row>
    <row r="106" spans="2:44" x14ac:dyDescent="0.25">
      <c r="B106" t="s">
        <v>34</v>
      </c>
      <c r="C106" cm="1">
        <f t="array" ref="C106">SUMPRODUCT(IF($A$3:$A$52=$B106,IF($C$1:$AZ$1=C$64,$C$3:$AZ$52)))</f>
        <v>0</v>
      </c>
      <c r="D106" cm="1">
        <f t="array" ref="D106">SUMPRODUCT(IF($A$3:$A$52=$B106,IF($C$1:$AZ$1=D$64,$C$3:$AZ$52)))</f>
        <v>0</v>
      </c>
      <c r="E106" cm="1">
        <f t="array" ref="E106">SUMPRODUCT(IF($A$3:$A$52=$B106,IF($C$1:$AZ$1=E$64,$C$3:$AZ$52)))</f>
        <v>0</v>
      </c>
      <c r="F106" cm="1">
        <f t="array" ref="F106">SUMPRODUCT(IF($A$3:$A$52=$B106,IF($C$1:$AZ$1=F$64,$C$3:$AZ$52)))</f>
        <v>0</v>
      </c>
      <c r="G106" cm="1">
        <f t="array" ref="G106">SUMPRODUCT(IF($A$3:$A$52=$B106,IF($C$1:$AZ$1=G$64,$C$3:$AZ$52)))</f>
        <v>0</v>
      </c>
      <c r="H106" cm="1">
        <f t="array" ref="H106">SUMPRODUCT(IF($A$3:$A$52=$B106,IF($C$1:$AZ$1=H$64,$C$3:$AZ$52)))</f>
        <v>0</v>
      </c>
      <c r="I106" cm="1">
        <f t="array" ref="I106">SUMPRODUCT(IF($A$3:$A$52=$B106,IF($C$1:$AZ$1=I$64,$C$3:$AZ$52)))</f>
        <v>0</v>
      </c>
      <c r="J106" cm="1">
        <f t="array" ref="J106">SUMPRODUCT(IF($A$3:$A$52=$B106,IF($C$1:$AZ$1=J$64,$C$3:$AZ$52)))</f>
        <v>0</v>
      </c>
      <c r="K106" cm="1">
        <f t="array" ref="K106">SUMPRODUCT(IF($A$3:$A$52=$B106,IF($C$1:$AZ$1=K$64,$C$3:$AZ$52)))</f>
        <v>0</v>
      </c>
      <c r="L106" cm="1">
        <f t="array" ref="L106">SUMPRODUCT(IF($A$3:$A$52=$B106,IF($C$1:$AZ$1=L$64,$C$3:$AZ$52)))</f>
        <v>0</v>
      </c>
      <c r="M106" cm="1">
        <f t="array" ref="M106">SUMPRODUCT(IF($A$3:$A$52=$B106,IF($C$1:$AZ$1=M$64,$C$3:$AZ$52)))</f>
        <v>0</v>
      </c>
      <c r="N106" cm="1">
        <f t="array" ref="N106">SUMPRODUCT(IF($A$3:$A$52=$B106,IF($C$1:$AZ$1=N$64,$C$3:$AZ$52)))</f>
        <v>0</v>
      </c>
      <c r="O106" cm="1">
        <f t="array" ref="O106">SUMPRODUCT(IF($A$3:$A$52=$B106,IF($C$1:$AZ$1=O$64,$C$3:$AZ$52)))</f>
        <v>0</v>
      </c>
      <c r="P106" cm="1">
        <f t="array" ref="P106">SUMPRODUCT(IF($A$3:$A$52=$B106,IF($C$1:$AZ$1=P$64,$C$3:$AZ$52)))</f>
        <v>0</v>
      </c>
      <c r="Q106" cm="1">
        <f t="array" ref="Q106">SUMPRODUCT(IF($A$3:$A$52=$B106,IF($C$1:$AZ$1=Q$64,$C$3:$AZ$52)))</f>
        <v>0</v>
      </c>
      <c r="R106" cm="1">
        <f t="array" ref="R106">SUMPRODUCT(IF($A$3:$A$52=$B106,IF($C$1:$AZ$1=R$64,$C$3:$AZ$52)))</f>
        <v>0</v>
      </c>
      <c r="S106" cm="1">
        <f t="array" ref="S106">SUMPRODUCT(IF($A$3:$A$52=$B106,IF($C$1:$AZ$1=S$64,$C$3:$AZ$52)))</f>
        <v>0</v>
      </c>
      <c r="T106" cm="1">
        <f t="array" ref="T106">SUMPRODUCT(IF($A$3:$A$52=$B106,IF($C$1:$AZ$1=T$64,$C$3:$AZ$52)))</f>
        <v>0</v>
      </c>
      <c r="U106" cm="1">
        <f t="array" ref="U106">SUMPRODUCT(IF($A$3:$A$52=$B106,IF($C$1:$AZ$1=U$64,$C$3:$AZ$52)))</f>
        <v>0</v>
      </c>
      <c r="V106" cm="1">
        <f t="array" ref="V106">SUMPRODUCT(IF($A$3:$A$52=$B106,IF($C$1:$AZ$1=V$64,$C$3:$AZ$52)))</f>
        <v>0</v>
      </c>
      <c r="W106" cm="1">
        <f t="array" ref="W106">SUMPRODUCT(IF($A$3:$A$52=$B106,IF($C$1:$AZ$1=W$64,$C$3:$AZ$52)))</f>
        <v>0</v>
      </c>
      <c r="X106" cm="1">
        <f t="array" ref="X106">SUMPRODUCT(IF($A$3:$A$52=$B106,IF($C$1:$AZ$1=X$64,$C$3:$AZ$52)))</f>
        <v>0</v>
      </c>
      <c r="Y106" cm="1">
        <f t="array" ref="Y106">SUMPRODUCT(IF($A$3:$A$52=$B106,IF($C$1:$AZ$1=Y$64,$C$3:$AZ$52)))</f>
        <v>0</v>
      </c>
      <c r="Z106" cm="1">
        <f t="array" ref="Z106">SUMPRODUCT(IF($A$3:$A$52=$B106,IF($C$1:$AZ$1=Z$64,$C$3:$AZ$52)))</f>
        <v>0</v>
      </c>
      <c r="AA106" cm="1">
        <f t="array" ref="AA106">SUMPRODUCT(IF($A$3:$A$52=$B106,IF($C$1:$AZ$1=AA$64,$C$3:$AZ$52)))</f>
        <v>0</v>
      </c>
      <c r="AB106" cm="1">
        <f t="array" ref="AB106">SUMPRODUCT(IF($A$3:$A$52=$B106,IF($C$1:$AZ$1=AB$64,$C$3:$AZ$52)))</f>
        <v>0</v>
      </c>
      <c r="AC106" cm="1">
        <f t="array" ref="AC106">SUMPRODUCT(IF($A$3:$A$52=$B106,IF($C$1:$AZ$1=AC$64,$C$3:$AZ$52)))</f>
        <v>0</v>
      </c>
      <c r="AD106" cm="1">
        <f t="array" ref="AD106">SUMPRODUCT(IF($A$3:$A$52=$B106,IF($C$1:$AZ$1=AD$64,$C$3:$AZ$52)))</f>
        <v>0</v>
      </c>
      <c r="AE106" cm="1">
        <f t="array" ref="AE106">SUMPRODUCT(IF($A$3:$A$52=$B106,IF($C$1:$AZ$1=AE$64,$C$3:$AZ$52)))</f>
        <v>0</v>
      </c>
      <c r="AF106" cm="1">
        <f t="array" ref="AF106">SUMPRODUCT(IF($A$3:$A$52=$B106,IF($C$1:$AZ$1=AF$64,$C$3:$AZ$52)))</f>
        <v>0</v>
      </c>
      <c r="AG106" cm="1">
        <f t="array" ref="AG106">SUMPRODUCT(IF($A$3:$A$52=$B106,IF($C$1:$AZ$1=AG$64,$C$3:$AZ$52)))</f>
        <v>0</v>
      </c>
      <c r="AH106" cm="1">
        <f t="array" ref="AH106">SUMPRODUCT(IF($A$3:$A$52=$B106,IF($C$1:$AZ$1=AH$64,$C$3:$AZ$52)))</f>
        <v>0</v>
      </c>
      <c r="AI106" cm="1">
        <f t="array" ref="AI106">SUMPRODUCT(IF($A$3:$A$52=$B106,IF($C$1:$AZ$1=AI$64,$C$3:$AZ$52)))</f>
        <v>0</v>
      </c>
      <c r="AJ106" cm="1">
        <f t="array" ref="AJ106">SUMPRODUCT(IF($A$3:$A$52=$B106,IF($C$1:$AZ$1=AJ$64,$C$3:$AZ$52)))</f>
        <v>0</v>
      </c>
      <c r="AK106" cm="1">
        <f t="array" ref="AK106">SUMPRODUCT(IF($A$3:$A$52=$B106,IF($C$1:$AZ$1=AK$64,$C$3:$AZ$52)))</f>
        <v>0</v>
      </c>
      <c r="AL106" cm="1">
        <f t="array" ref="AL106">SUMPRODUCT(IF($A$3:$A$52=$B106,IF($C$1:$AZ$1=AL$64,$C$3:$AZ$52)))</f>
        <v>0</v>
      </c>
      <c r="AM106" cm="1">
        <f t="array" ref="AM106">SUMPRODUCT(IF($A$3:$A$52=$B106,IF($C$1:$AZ$1=AM$64,$C$3:$AZ$52)))</f>
        <v>0</v>
      </c>
      <c r="AN106" cm="1">
        <f t="array" ref="AN106">SUMPRODUCT(IF($A$3:$A$52=$B106,IF($C$1:$AZ$1=AN$64,$C$3:$AZ$52)))</f>
        <v>0</v>
      </c>
      <c r="AO106" cm="1">
        <f t="array" ref="AO106">SUMPRODUCT(IF($A$3:$A$52=$B106,IF($C$1:$AZ$1=AO$64,$C$3:$AZ$52)))</f>
        <v>0</v>
      </c>
      <c r="AP106" cm="1">
        <f t="array" ref="AP106">SUMPRODUCT(IF($A$3:$A$52=$B106,IF($C$1:$AZ$1=AP$64,$C$3:$AZ$52)))</f>
        <v>0</v>
      </c>
      <c r="AQ106" cm="1">
        <f t="array" ref="AQ106">SUMPRODUCT(IF($A$3:$A$52=$B106,IF($C$1:$AZ$1=AQ$64,$C$3:$AZ$52)))</f>
        <v>0</v>
      </c>
      <c r="AR106" cm="1">
        <f t="array" ref="AR106">SUMPRODUCT(IF($A$3:$A$52=$B106,IF($C$1:$AZ$1=AR$64,$C$3:$AZ$52)))</f>
        <v>0</v>
      </c>
    </row>
    <row r="107" spans="2:44" x14ac:dyDescent="0.25">
      <c r="B107" t="s">
        <v>1001</v>
      </c>
      <c r="C107" cm="1">
        <f t="array" ref="C107">SUMPRODUCT(IF($C$1:$AZ$1=C$64,$C$61:$AZ$61))</f>
        <v>663889.12699999998</v>
      </c>
      <c r="D107" cm="1">
        <f t="array" ref="D107">SUMPRODUCT(IF($C$1:$AZ$1=D$64,$C$61:$AZ$61))</f>
        <v>40501.495000000003</v>
      </c>
      <c r="E107" cm="1">
        <f t="array" ref="E107">SUMPRODUCT(IF($C$1:$AZ$1=E$64,$C$61:$AZ$61))</f>
        <v>714042.12</v>
      </c>
      <c r="F107" cm="1">
        <f t="array" ref="F107">SUMPRODUCT(IF($C$1:$AZ$1=F$64,$C$61:$AZ$61))</f>
        <v>87375.07</v>
      </c>
      <c r="G107" cm="1">
        <f t="array" ref="G107">SUMPRODUCT(IF($C$1:$AZ$1=G$64,$C$61:$AZ$61))</f>
        <v>63639.201000000001</v>
      </c>
      <c r="H107" cm="1">
        <f t="array" ref="H107">SUMPRODUCT(IF($C$1:$AZ$1=H$64,$C$61:$AZ$61))</f>
        <v>1125141.5079999999</v>
      </c>
      <c r="I107" cm="1">
        <f t="array" ref="I107">SUMPRODUCT(IF($C$1:$AZ$1=I$64,$C$61:$AZ$61))</f>
        <v>72323.331000000006</v>
      </c>
      <c r="J107" cm="1">
        <f t="array" ref="J107">SUMPRODUCT(IF($C$1:$AZ$1=J$64,$C$61:$AZ$61))</f>
        <v>172724.83300000001</v>
      </c>
      <c r="K107" cm="1">
        <f t="array" ref="K107">SUMPRODUCT(IF($C$1:$AZ$1=K$64,$C$61:$AZ$61))</f>
        <v>291648.58600000001</v>
      </c>
      <c r="L107" cm="1">
        <f t="array" ref="L107">SUMPRODUCT(IF($C$1:$AZ$1=L$64,$C$61:$AZ$61))</f>
        <v>881098.56900000002</v>
      </c>
      <c r="M107" cm="1">
        <f t="array" ref="M107">SUMPRODUCT(IF($C$1:$AZ$1=M$64,$C$61:$AZ$61))</f>
        <v>637748.79099999997</v>
      </c>
      <c r="N107" cm="1">
        <f t="array" ref="N107">SUMPRODUCT(IF($C$1:$AZ$1=N$64,$C$61:$AZ$61))</f>
        <v>360489.353</v>
      </c>
      <c r="O107" cm="1">
        <f t="array" ref="O107">SUMPRODUCT(IF($C$1:$AZ$1=O$64,$C$61:$AZ$61))</f>
        <v>303657.85600000003</v>
      </c>
      <c r="P107" cm="1">
        <f t="array" ref="P107">SUMPRODUCT(IF($C$1:$AZ$1=P$64,$C$61:$AZ$61))</f>
        <v>190055.60399999999</v>
      </c>
      <c r="Q107" cm="1">
        <f t="array" ref="Q107">SUMPRODUCT(IF($C$1:$AZ$1=Q$64,$C$61:$AZ$61))</f>
        <v>0</v>
      </c>
      <c r="R107" cm="1">
        <f t="array" ref="R107">SUMPRODUCT(IF($C$1:$AZ$1=R$64,$C$61:$AZ$61))</f>
        <v>198465.51</v>
      </c>
      <c r="S107" cm="1">
        <f t="array" ref="S107">SUMPRODUCT(IF($C$1:$AZ$1=S$64,$C$61:$AZ$61))</f>
        <v>161745.508</v>
      </c>
      <c r="T107" cm="1">
        <f t="array" ref="T107">SUMPRODUCT(IF($C$1:$AZ$1=T$64,$C$61:$AZ$61))</f>
        <v>453544.304</v>
      </c>
      <c r="U107" cm="1">
        <f t="array" ref="U107">SUMPRODUCT(IF($C$1:$AZ$1=U$64,$C$61:$AZ$61))</f>
        <v>489552.03899999999</v>
      </c>
      <c r="V107" cm="1">
        <f t="array" ref="V107">SUMPRODUCT(IF($C$1:$AZ$1=V$64,$C$61:$AZ$61))</f>
        <v>156843.223</v>
      </c>
      <c r="W107" cm="1">
        <f t="array" ref="W107">SUMPRODUCT(IF($C$1:$AZ$1=W$64,$C$61:$AZ$61))</f>
        <v>446815.24699999997</v>
      </c>
      <c r="X107" cm="1">
        <f t="array" ref="X107">SUMPRODUCT(IF($C$1:$AZ$1=X$64,$C$61:$AZ$61))</f>
        <v>733534.88500000001</v>
      </c>
      <c r="Y107" cm="1">
        <f t="array" ref="Y107">SUMPRODUCT(IF($C$1:$AZ$1=Y$64,$C$61:$AZ$61))</f>
        <v>353993.82699999999</v>
      </c>
      <c r="Z107" cm="1">
        <f t="array" ref="Z107">SUMPRODUCT(IF($C$1:$AZ$1=Z$64,$C$61:$AZ$61))</f>
        <v>309942.679</v>
      </c>
      <c r="AA107" cm="1">
        <f t="array" ref="AA107">SUMPRODUCT(IF($C$1:$AZ$1=AA$64,$C$61:$AZ$61))</f>
        <v>688239.60900000005</v>
      </c>
      <c r="AB107" cm="1">
        <f t="array" ref="AB107">SUMPRODUCT(IF($C$1:$AZ$1=AB$64,$C$61:$AZ$61))</f>
        <v>0</v>
      </c>
      <c r="AC107" cm="1">
        <f t="array" ref="AC107">SUMPRODUCT(IF($C$1:$AZ$1=AC$64,$C$61:$AZ$61))</f>
        <v>154252.55799999999</v>
      </c>
      <c r="AD107" cm="1">
        <f t="array" ref="AD107">SUMPRODUCT(IF($C$1:$AZ$1=AD$64,$C$61:$AZ$61))</f>
        <v>2164368.0410000002</v>
      </c>
      <c r="AE107" cm="1">
        <f t="array" ref="AE107">SUMPRODUCT(IF($C$1:$AZ$1=AE$64,$C$61:$AZ$61))</f>
        <v>4883363.6279999996</v>
      </c>
      <c r="AF107" cm="1">
        <f t="array" ref="AF107">SUMPRODUCT(IF($C$1:$AZ$1=AF$64,$C$61:$AZ$61))</f>
        <v>1760909.8329999999</v>
      </c>
      <c r="AG107" cm="1">
        <f t="array" ref="AG107">SUMPRODUCT(IF($C$1:$AZ$1=AG$64,$C$61:$AZ$61))</f>
        <v>1397055.868</v>
      </c>
      <c r="AH107" cm="1">
        <f t="array" ref="AH107">SUMPRODUCT(IF($C$1:$AZ$1=AH$64,$C$61:$AZ$61))</f>
        <v>957179.196</v>
      </c>
      <c r="AI107" cm="1">
        <f t="array" ref="AI107">SUMPRODUCT(IF($C$1:$AZ$1=AI$64,$C$61:$AZ$61))</f>
        <v>674242.33400000003</v>
      </c>
      <c r="AJ107" cm="1">
        <f t="array" ref="AJ107">SUMPRODUCT(IF($C$1:$AZ$1=AJ$64,$C$61:$AZ$61))</f>
        <v>1337497.233</v>
      </c>
      <c r="AK107" cm="1">
        <f t="array" ref="AK107">SUMPRODUCT(IF($C$1:$AZ$1=AK$64,$C$61:$AZ$61))</f>
        <v>3528094.0189999999</v>
      </c>
      <c r="AL107" cm="1">
        <f t="array" ref="AL107">SUMPRODUCT(IF($C$1:$AZ$1=AL$64,$C$61:$AZ$61))</f>
        <v>4501781.2470000004</v>
      </c>
      <c r="AM107" cm="1">
        <f t="array" ref="AM107">SUMPRODUCT(IF($C$1:$AZ$1=AM$64,$C$61:$AZ$61))</f>
        <v>5108035.9450000003</v>
      </c>
      <c r="AN107" cm="1">
        <f t="array" ref="AN107">SUMPRODUCT(IF($C$1:$AZ$1=AN$64,$C$61:$AZ$61))</f>
        <v>3428364.4139999999</v>
      </c>
      <c r="AO107" cm="1">
        <f t="array" ref="AO107">SUMPRODUCT(IF($C$1:$AZ$1=AO$64,$C$61:$AZ$61))</f>
        <v>1717572.233</v>
      </c>
      <c r="AP107" cm="1">
        <f t="array" ref="AP107">SUMPRODUCT(IF($C$1:$AZ$1=AP$64,$C$61:$AZ$61))</f>
        <v>3028529.719</v>
      </c>
      <c r="AQ107" cm="1">
        <f t="array" ref="AQ107">SUMPRODUCT(IF($C$1:$AZ$1=AQ$64,$C$61:$AZ$61))</f>
        <v>1036172.103</v>
      </c>
      <c r="AR107" cm="1">
        <f t="array" ref="AR107">SUMPRODUCT(IF($C$1:$AZ$1=AR$64,$C$61:$AZ$61))</f>
        <v>25206.276999999998</v>
      </c>
    </row>
    <row r="109" spans="2:44" x14ac:dyDescent="0.25">
      <c r="C109" t="s">
        <v>4</v>
      </c>
      <c r="D109" t="s">
        <v>857</v>
      </c>
      <c r="E109" t="s">
        <v>856</v>
      </c>
      <c r="F109" t="s">
        <v>5</v>
      </c>
      <c r="G109" t="s">
        <v>6</v>
      </c>
      <c r="H109" t="s">
        <v>7</v>
      </c>
      <c r="I109" t="s">
        <v>8</v>
      </c>
      <c r="J109" t="s">
        <v>9</v>
      </c>
      <c r="K109" t="s">
        <v>10</v>
      </c>
      <c r="L109" t="s">
        <v>11</v>
      </c>
      <c r="M109" t="s">
        <v>59</v>
      </c>
      <c r="N109" t="s">
        <v>60</v>
      </c>
      <c r="O109" t="s">
        <v>12</v>
      </c>
      <c r="P109" t="s">
        <v>869</v>
      </c>
      <c r="Q109" t="s">
        <v>870</v>
      </c>
      <c r="R109" t="s">
        <v>871</v>
      </c>
      <c r="S109" t="s">
        <v>872</v>
      </c>
      <c r="T109" t="s">
        <v>13</v>
      </c>
      <c r="U109" t="s">
        <v>14</v>
      </c>
      <c r="V109" t="s">
        <v>15</v>
      </c>
      <c r="W109" t="s">
        <v>16</v>
      </c>
      <c r="X109" t="s">
        <v>17</v>
      </c>
      <c r="Y109" t="s">
        <v>18</v>
      </c>
      <c r="Z109" t="s">
        <v>19</v>
      </c>
      <c r="AA109" t="s">
        <v>873</v>
      </c>
      <c r="AB109" t="s">
        <v>874</v>
      </c>
      <c r="AC109" t="s">
        <v>875</v>
      </c>
      <c r="AD109" t="s">
        <v>20</v>
      </c>
      <c r="AE109" t="s">
        <v>21</v>
      </c>
      <c r="AF109" t="s">
        <v>22</v>
      </c>
      <c r="AG109" t="s">
        <v>23</v>
      </c>
      <c r="AH109" t="s">
        <v>24</v>
      </c>
      <c r="AI109" t="s">
        <v>25</v>
      </c>
      <c r="AJ109" t="s">
        <v>26</v>
      </c>
      <c r="AK109" t="s">
        <v>27</v>
      </c>
      <c r="AL109" t="s">
        <v>28</v>
      </c>
      <c r="AM109" t="s">
        <v>29</v>
      </c>
      <c r="AN109" t="s">
        <v>30</v>
      </c>
      <c r="AO109" t="s">
        <v>31</v>
      </c>
      <c r="AP109" t="s">
        <v>32</v>
      </c>
      <c r="AQ109" t="s">
        <v>33</v>
      </c>
      <c r="AR109" t="s">
        <v>34</v>
      </c>
    </row>
    <row r="110" spans="2:44" x14ac:dyDescent="0.25">
      <c r="B110" t="s">
        <v>4</v>
      </c>
      <c r="C110">
        <f>IFERROR(C65/C$107,0)</f>
        <v>0.11835428357602853</v>
      </c>
      <c r="D110">
        <f t="shared" ref="D110:AR110" si="0">IFERROR(D65/D$107,0)</f>
        <v>3.5699916756159246E-4</v>
      </c>
      <c r="E110">
        <f t="shared" si="0"/>
        <v>7.490594532434585E-5</v>
      </c>
      <c r="F110">
        <f t="shared" si="0"/>
        <v>1.6962504293272667E-4</v>
      </c>
      <c r="G110">
        <f t="shared" si="0"/>
        <v>4.3715193721555369E-5</v>
      </c>
      <c r="H110">
        <f t="shared" si="0"/>
        <v>0.22493883764885514</v>
      </c>
      <c r="I110">
        <f t="shared" si="0"/>
        <v>1.7626594106955606E-2</v>
      </c>
      <c r="J110">
        <f t="shared" si="0"/>
        <v>4.6174970104038253E-2</v>
      </c>
      <c r="K110">
        <f t="shared" si="0"/>
        <v>2.6285949488539604E-3</v>
      </c>
      <c r="L110">
        <f t="shared" si="0"/>
        <v>1.4187969927346459E-5</v>
      </c>
      <c r="M110">
        <f t="shared" si="0"/>
        <v>1.6266342087036588E-3</v>
      </c>
      <c r="N110">
        <f t="shared" si="0"/>
        <v>2.1124146765022487E-3</v>
      </c>
      <c r="O110">
        <f t="shared" si="0"/>
        <v>2.6702223702718885E-3</v>
      </c>
      <c r="P110">
        <f t="shared" si="0"/>
        <v>1.1330894510219231E-4</v>
      </c>
      <c r="Q110">
        <f t="shared" si="0"/>
        <v>0</v>
      </c>
      <c r="R110">
        <f t="shared" si="0"/>
        <v>2.5490575163412525E-5</v>
      </c>
      <c r="S110">
        <f t="shared" si="0"/>
        <v>2.9688614289059572E-5</v>
      </c>
      <c r="T110">
        <f t="shared" si="0"/>
        <v>2.6572927702339752E-5</v>
      </c>
      <c r="U110">
        <f t="shared" si="0"/>
        <v>1.7652873058506451E-5</v>
      </c>
      <c r="V110">
        <f t="shared" si="0"/>
        <v>2.7588058426980936E-5</v>
      </c>
      <c r="W110">
        <f t="shared" si="0"/>
        <v>8.7582060511019212E-5</v>
      </c>
      <c r="X110">
        <f t="shared" si="0"/>
        <v>4.9735875888165834E-5</v>
      </c>
      <c r="Y110">
        <f t="shared" si="0"/>
        <v>3.2257624650612905E-5</v>
      </c>
      <c r="Z110">
        <f t="shared" si="0"/>
        <v>1.5399492626828591E-3</v>
      </c>
      <c r="AA110">
        <f t="shared" si="0"/>
        <v>5.3978148764175535E-4</v>
      </c>
      <c r="AB110">
        <f t="shared" si="0"/>
        <v>0</v>
      </c>
      <c r="AC110">
        <f t="shared" si="0"/>
        <v>3.7037959526090979E-4</v>
      </c>
      <c r="AD110">
        <f t="shared" si="0"/>
        <v>4.1684962211101131E-4</v>
      </c>
      <c r="AE110">
        <f t="shared" si="0"/>
        <v>2.0606216875398323E-3</v>
      </c>
      <c r="AF110">
        <f t="shared" si="0"/>
        <v>1.2517903862485844E-4</v>
      </c>
      <c r="AG110">
        <f t="shared" si="0"/>
        <v>4.035587072169973E-2</v>
      </c>
      <c r="AH110">
        <f t="shared" si="0"/>
        <v>9.2561560437425116E-5</v>
      </c>
      <c r="AI110">
        <f t="shared" si="0"/>
        <v>3.6080499211133782E-5</v>
      </c>
      <c r="AJ110">
        <f t="shared" si="0"/>
        <v>1.8740973350484681E-5</v>
      </c>
      <c r="AK110">
        <f t="shared" si="0"/>
        <v>2.3728959474761663E-5</v>
      </c>
      <c r="AL110">
        <f t="shared" si="0"/>
        <v>1.0046401084046276E-4</v>
      </c>
      <c r="AM110">
        <f t="shared" si="0"/>
        <v>5.1189714171050139E-4</v>
      </c>
      <c r="AN110">
        <f t="shared" si="0"/>
        <v>9.0381728014284535E-4</v>
      </c>
      <c r="AO110">
        <f t="shared" si="0"/>
        <v>8.0340784130503574E-4</v>
      </c>
      <c r="AP110">
        <f t="shared" si="0"/>
        <v>1.7735048021168189E-3</v>
      </c>
      <c r="AQ110">
        <f t="shared" si="0"/>
        <v>1.4604832494703826E-3</v>
      </c>
      <c r="AR110">
        <f t="shared" si="0"/>
        <v>0</v>
      </c>
    </row>
    <row r="111" spans="2:44" x14ac:dyDescent="0.25">
      <c r="B111" t="s">
        <v>857</v>
      </c>
      <c r="C111">
        <f t="shared" ref="C111:AR111" si="1">IFERROR(C66/C$107,0)</f>
        <v>8.1474447765733643E-5</v>
      </c>
      <c r="D111">
        <f t="shared" si="1"/>
        <v>1.0343247823321088E-2</v>
      </c>
      <c r="E111">
        <f t="shared" si="1"/>
        <v>6.7192674852290229E-4</v>
      </c>
      <c r="F111">
        <f t="shared" si="1"/>
        <v>9.2708366356673573E-4</v>
      </c>
      <c r="G111">
        <f t="shared" si="1"/>
        <v>6.0467446786454781E-4</v>
      </c>
      <c r="H111">
        <f t="shared" si="1"/>
        <v>1.2340136686166947E-4</v>
      </c>
      <c r="I111">
        <f t="shared" si="1"/>
        <v>1.5974098316904125E-4</v>
      </c>
      <c r="J111">
        <f t="shared" si="1"/>
        <v>4.70806650020035E-5</v>
      </c>
      <c r="K111">
        <f t="shared" si="1"/>
        <v>3.2660881818916137E-4</v>
      </c>
      <c r="L111">
        <f t="shared" si="1"/>
        <v>2.322619820302988E-3</v>
      </c>
      <c r="M111">
        <f t="shared" si="1"/>
        <v>4.6072372718931588E-4</v>
      </c>
      <c r="N111">
        <f t="shared" si="1"/>
        <v>1.7090657321022181E-5</v>
      </c>
      <c r="O111">
        <f t="shared" si="1"/>
        <v>1.0224006850657602E-4</v>
      </c>
      <c r="P111">
        <f t="shared" si="1"/>
        <v>2.4562601163815199E-3</v>
      </c>
      <c r="Q111">
        <f t="shared" si="1"/>
        <v>0</v>
      </c>
      <c r="R111">
        <f t="shared" si="1"/>
        <v>9.69633464272961E-3</v>
      </c>
      <c r="S111">
        <f t="shared" si="1"/>
        <v>1.8979939770568466E-3</v>
      </c>
      <c r="T111">
        <f t="shared" si="1"/>
        <v>2.395796817238829E-5</v>
      </c>
      <c r="U111">
        <f t="shared" si="1"/>
        <v>4.2671663757486671E-6</v>
      </c>
      <c r="V111">
        <f t="shared" si="1"/>
        <v>3.3032986066602318E-5</v>
      </c>
      <c r="W111">
        <f t="shared" si="1"/>
        <v>3.1449240137501399E-5</v>
      </c>
      <c r="X111">
        <f t="shared" si="1"/>
        <v>2.3080020250161654E-5</v>
      </c>
      <c r="Y111">
        <f t="shared" si="1"/>
        <v>4.092161753995784E-5</v>
      </c>
      <c r="Z111">
        <f t="shared" si="1"/>
        <v>1.9371323818234144E-5</v>
      </c>
      <c r="AA111">
        <f t="shared" si="1"/>
        <v>1.882727734724143E-2</v>
      </c>
      <c r="AB111">
        <f t="shared" si="1"/>
        <v>0</v>
      </c>
      <c r="AC111">
        <f t="shared" si="1"/>
        <v>6.5191787613661485E-5</v>
      </c>
      <c r="AD111">
        <f t="shared" si="1"/>
        <v>3.3164368832038209E-4</v>
      </c>
      <c r="AE111">
        <f t="shared" si="1"/>
        <v>2.6743656616348948E-5</v>
      </c>
      <c r="AF111">
        <f t="shared" si="1"/>
        <v>2.9841959545693564E-5</v>
      </c>
      <c r="AG111">
        <f t="shared" si="1"/>
        <v>3.3800366242762166E-5</v>
      </c>
      <c r="AH111">
        <f t="shared" si="1"/>
        <v>5.4044216815594056E-6</v>
      </c>
      <c r="AI111">
        <f t="shared" si="1"/>
        <v>2.2767778328199723E-5</v>
      </c>
      <c r="AJ111">
        <f t="shared" si="1"/>
        <v>3.356268625641336E-6</v>
      </c>
      <c r="AK111">
        <f t="shared" si="1"/>
        <v>6.1446775180171293E-6</v>
      </c>
      <c r="AL111">
        <f t="shared" si="1"/>
        <v>1.0899263493244544E-4</v>
      </c>
      <c r="AM111">
        <f t="shared" si="1"/>
        <v>1.3894185703503305E-5</v>
      </c>
      <c r="AN111">
        <f t="shared" si="1"/>
        <v>1.1817734379271853E-4</v>
      </c>
      <c r="AO111">
        <f t="shared" si="1"/>
        <v>7.4819560732849831E-5</v>
      </c>
      <c r="AP111">
        <f t="shared" si="1"/>
        <v>2.7564530562891268E-5</v>
      </c>
      <c r="AQ111">
        <f t="shared" si="1"/>
        <v>5.5287147602351539E-5</v>
      </c>
      <c r="AR111">
        <f t="shared" si="1"/>
        <v>0</v>
      </c>
    </row>
    <row r="112" spans="2:44" x14ac:dyDescent="0.25">
      <c r="B112" t="s">
        <v>856</v>
      </c>
      <c r="C112">
        <f t="shared" ref="C112:AR112" si="2">IFERROR(C67/C$107,0)</f>
        <v>2.1886109305115941E-3</v>
      </c>
      <c r="D112">
        <f t="shared" si="2"/>
        <v>1.5025963856395916E-2</v>
      </c>
      <c r="E112">
        <f t="shared" si="2"/>
        <v>6.2953037000114231E-2</v>
      </c>
      <c r="F112">
        <f t="shared" si="2"/>
        <v>1.4389401919792454E-2</v>
      </c>
      <c r="G112">
        <f t="shared" si="2"/>
        <v>1.3098514546089287E-2</v>
      </c>
      <c r="H112">
        <f t="shared" si="2"/>
        <v>2.4381004349188053E-3</v>
      </c>
      <c r="I112">
        <f t="shared" si="2"/>
        <v>1.6403558624809467E-3</v>
      </c>
      <c r="J112">
        <f t="shared" si="2"/>
        <v>1.6104806423521045E-3</v>
      </c>
      <c r="K112">
        <f t="shared" si="2"/>
        <v>5.2509220805891377E-3</v>
      </c>
      <c r="L112">
        <f t="shared" si="2"/>
        <v>0.52280606756949577</v>
      </c>
      <c r="M112">
        <f t="shared" si="2"/>
        <v>2.1539010647846135E-2</v>
      </c>
      <c r="N112">
        <f t="shared" si="2"/>
        <v>5.526043927294574E-4</v>
      </c>
      <c r="O112">
        <f t="shared" si="2"/>
        <v>2.5488258732881256E-3</v>
      </c>
      <c r="P112">
        <f t="shared" si="2"/>
        <v>1.7109698064993652E-2</v>
      </c>
      <c r="Q112">
        <f t="shared" si="2"/>
        <v>0</v>
      </c>
      <c r="R112">
        <f t="shared" si="2"/>
        <v>1.7756833416546783E-2</v>
      </c>
      <c r="S112">
        <f t="shared" si="2"/>
        <v>1.3494476767787578E-2</v>
      </c>
      <c r="T112">
        <f t="shared" si="2"/>
        <v>2.3241411934918715E-3</v>
      </c>
      <c r="U112">
        <f t="shared" si="2"/>
        <v>1.5363637368079677E-4</v>
      </c>
      <c r="V112">
        <f t="shared" si="2"/>
        <v>8.0086979594904144E-4</v>
      </c>
      <c r="W112">
        <f t="shared" si="2"/>
        <v>8.304080993010519E-4</v>
      </c>
      <c r="X112">
        <f t="shared" si="2"/>
        <v>1.1784606535788682E-3</v>
      </c>
      <c r="Y112">
        <f t="shared" si="2"/>
        <v>7.7419429124677927E-4</v>
      </c>
      <c r="Z112">
        <f t="shared" si="2"/>
        <v>1.2153473062030285E-3</v>
      </c>
      <c r="AA112">
        <f t="shared" si="2"/>
        <v>0.14125781447141325</v>
      </c>
      <c r="AB112">
        <f t="shared" si="2"/>
        <v>0</v>
      </c>
      <c r="AC112">
        <f t="shared" si="2"/>
        <v>3.1080003224322542E-3</v>
      </c>
      <c r="AD112">
        <f t="shared" si="2"/>
        <v>1.4967981131818974E-3</v>
      </c>
      <c r="AE112">
        <f t="shared" si="2"/>
        <v>1.9883956509658468E-3</v>
      </c>
      <c r="AF112">
        <f t="shared" si="2"/>
        <v>6.9158413291681587E-3</v>
      </c>
      <c r="AG112">
        <f t="shared" si="2"/>
        <v>8.6086893698942614E-4</v>
      </c>
      <c r="AH112">
        <f t="shared" si="2"/>
        <v>3.1712348248738993E-4</v>
      </c>
      <c r="AI112">
        <f t="shared" si="2"/>
        <v>3.9473641238314773E-4</v>
      </c>
      <c r="AJ112">
        <f t="shared" si="2"/>
        <v>2.8088357174193868E-4</v>
      </c>
      <c r="AK112">
        <f t="shared" si="2"/>
        <v>2.9922303496300335E-4</v>
      </c>
      <c r="AL112">
        <f t="shared" si="2"/>
        <v>5.9306302405946287E-4</v>
      </c>
      <c r="AM112">
        <f t="shared" si="2"/>
        <v>7.9357663956297771E-4</v>
      </c>
      <c r="AN112">
        <f t="shared" si="2"/>
        <v>1.9868240879483121E-3</v>
      </c>
      <c r="AO112">
        <f t="shared" si="2"/>
        <v>8.3104044917335369E-4</v>
      </c>
      <c r="AP112">
        <f t="shared" si="2"/>
        <v>6.3130699626461214E-4</v>
      </c>
      <c r="AQ112">
        <f t="shared" si="2"/>
        <v>8.2558292924819255E-4</v>
      </c>
      <c r="AR112">
        <f t="shared" si="2"/>
        <v>0</v>
      </c>
    </row>
    <row r="113" spans="2:44" x14ac:dyDescent="0.25">
      <c r="B113" t="s">
        <v>5</v>
      </c>
      <c r="C113">
        <f t="shared" ref="C113:AR113" si="3">IFERROR(C68/C$107,0)</f>
        <v>1.0453146041658247E-3</v>
      </c>
      <c r="D113">
        <f t="shared" si="3"/>
        <v>3.0682324195687094E-3</v>
      </c>
      <c r="E113">
        <f t="shared" si="3"/>
        <v>2.3476276161411877E-3</v>
      </c>
      <c r="F113">
        <f t="shared" si="3"/>
        <v>3.2376992659347799E-2</v>
      </c>
      <c r="G113">
        <f t="shared" si="3"/>
        <v>3.1964574790937427E-3</v>
      </c>
      <c r="H113">
        <f t="shared" si="3"/>
        <v>6.4848820776061895E-4</v>
      </c>
      <c r="I113">
        <f t="shared" si="3"/>
        <v>6.517813732887938E-4</v>
      </c>
      <c r="J113">
        <f t="shared" si="3"/>
        <v>1.7289349470669339E-4</v>
      </c>
      <c r="K113">
        <f t="shared" si="3"/>
        <v>9.2924846205151817E-4</v>
      </c>
      <c r="L113">
        <f t="shared" si="3"/>
        <v>1.5915744836489459E-3</v>
      </c>
      <c r="M113">
        <f t="shared" si="3"/>
        <v>4.8710935149385492E-3</v>
      </c>
      <c r="N113">
        <f t="shared" si="3"/>
        <v>3.0955699265825475E-4</v>
      </c>
      <c r="O113">
        <f t="shared" si="3"/>
        <v>1.1954935228153621E-3</v>
      </c>
      <c r="P113">
        <f t="shared" si="3"/>
        <v>5.9521659776998734E-2</v>
      </c>
      <c r="Q113">
        <f t="shared" si="3"/>
        <v>0</v>
      </c>
      <c r="R113">
        <f t="shared" si="3"/>
        <v>5.0027921728062474E-2</v>
      </c>
      <c r="S113">
        <f t="shared" si="3"/>
        <v>7.3862026511425594E-2</v>
      </c>
      <c r="T113">
        <f t="shared" si="3"/>
        <v>1.7275247271102319E-3</v>
      </c>
      <c r="U113">
        <f t="shared" si="3"/>
        <v>1.2995962621248526E-4</v>
      </c>
      <c r="V113">
        <f t="shared" si="3"/>
        <v>7.638136841908688E-4</v>
      </c>
      <c r="W113">
        <f t="shared" si="3"/>
        <v>4.9456011513411937E-4</v>
      </c>
      <c r="X113">
        <f t="shared" si="3"/>
        <v>3.6971111469361138E-4</v>
      </c>
      <c r="Y113">
        <f t="shared" si="3"/>
        <v>1.8417835291800161E-4</v>
      </c>
      <c r="Z113">
        <f t="shared" si="3"/>
        <v>7.8112508022814111E-4</v>
      </c>
      <c r="AA113">
        <f t="shared" si="3"/>
        <v>1.5740201317009637E-3</v>
      </c>
      <c r="AB113">
        <f t="shared" si="3"/>
        <v>0</v>
      </c>
      <c r="AC113">
        <f t="shared" si="3"/>
        <v>1.0013707519845475E-3</v>
      </c>
      <c r="AD113">
        <f t="shared" si="3"/>
        <v>9.9696468397446631E-3</v>
      </c>
      <c r="AE113">
        <f t="shared" si="3"/>
        <v>8.3287674435699431E-5</v>
      </c>
      <c r="AF113">
        <f t="shared" si="3"/>
        <v>7.4334300114047935E-5</v>
      </c>
      <c r="AG113">
        <f t="shared" si="3"/>
        <v>1.3388011480726267E-4</v>
      </c>
      <c r="AH113">
        <f t="shared" si="3"/>
        <v>3.0752862288494622E-5</v>
      </c>
      <c r="AI113">
        <f t="shared" si="3"/>
        <v>4.1222567315092377E-5</v>
      </c>
      <c r="AJ113">
        <f t="shared" si="3"/>
        <v>1.4693114509045119E-5</v>
      </c>
      <c r="AK113">
        <f t="shared" si="3"/>
        <v>1.4822450795917977E-5</v>
      </c>
      <c r="AL113">
        <f t="shared" si="3"/>
        <v>4.1190873084642353E-4</v>
      </c>
      <c r="AM113">
        <f t="shared" si="3"/>
        <v>1.4737210311467373E-4</v>
      </c>
      <c r="AN113">
        <f t="shared" si="3"/>
        <v>3.2394047594964915E-4</v>
      </c>
      <c r="AO113">
        <f t="shared" si="3"/>
        <v>7.0255560541540265E-5</v>
      </c>
      <c r="AP113">
        <f t="shared" si="3"/>
        <v>8.1484093899360544E-5</v>
      </c>
      <c r="AQ113">
        <f t="shared" si="3"/>
        <v>1.1809524657700614E-4</v>
      </c>
      <c r="AR113">
        <f t="shared" si="3"/>
        <v>0</v>
      </c>
    </row>
    <row r="114" spans="2:44" x14ac:dyDescent="0.25">
      <c r="B114" t="s">
        <v>6</v>
      </c>
      <c r="C114">
        <f t="shared" ref="C114:AR114" si="4">IFERROR(C69/C$107,0)</f>
        <v>9.4036786356345916E-5</v>
      </c>
      <c r="D114">
        <f t="shared" si="4"/>
        <v>3.319087357145705E-3</v>
      </c>
      <c r="E114">
        <f t="shared" si="4"/>
        <v>1.6978078267987889E-2</v>
      </c>
      <c r="F114">
        <f t="shared" si="4"/>
        <v>4.9479559787477126E-3</v>
      </c>
      <c r="G114">
        <f t="shared" si="4"/>
        <v>1.0799507052264847E-2</v>
      </c>
      <c r="H114">
        <f t="shared" si="4"/>
        <v>6.1586031185687987E-5</v>
      </c>
      <c r="I114">
        <f t="shared" si="4"/>
        <v>4.1037932835256163E-5</v>
      </c>
      <c r="J114">
        <f t="shared" si="4"/>
        <v>6.1450341654115253E-5</v>
      </c>
      <c r="K114">
        <f t="shared" si="4"/>
        <v>1.2661127731303316E-4</v>
      </c>
      <c r="L114">
        <f t="shared" si="4"/>
        <v>9.9557079180774381E-4</v>
      </c>
      <c r="M114">
        <f t="shared" si="4"/>
        <v>7.2194570416676818E-5</v>
      </c>
      <c r="N114">
        <f t="shared" si="4"/>
        <v>2.0294635442395438E-5</v>
      </c>
      <c r="O114">
        <f t="shared" si="4"/>
        <v>8.4091353131334753E-5</v>
      </c>
      <c r="P114">
        <f t="shared" si="4"/>
        <v>1.0388380865633407E-3</v>
      </c>
      <c r="Q114">
        <f t="shared" si="4"/>
        <v>0</v>
      </c>
      <c r="R114">
        <f t="shared" si="4"/>
        <v>3.3551421604690907E-4</v>
      </c>
      <c r="S114">
        <f t="shared" si="4"/>
        <v>2.7056701939444274E-4</v>
      </c>
      <c r="T114">
        <f t="shared" si="4"/>
        <v>2.6553083995957318E-4</v>
      </c>
      <c r="U114">
        <f t="shared" si="4"/>
        <v>2.5120924887006754E-5</v>
      </c>
      <c r="V114">
        <f t="shared" si="4"/>
        <v>8.0079966222066227E-5</v>
      </c>
      <c r="W114">
        <f t="shared" si="4"/>
        <v>1.8167016579002284E-4</v>
      </c>
      <c r="X114">
        <f t="shared" si="4"/>
        <v>1.3067135859530391E-4</v>
      </c>
      <c r="Y114">
        <f t="shared" si="4"/>
        <v>9.2241721491940031E-5</v>
      </c>
      <c r="Z114">
        <f t="shared" si="4"/>
        <v>8.4841494191253346E-5</v>
      </c>
      <c r="AA114">
        <f t="shared" si="4"/>
        <v>5.3917704698684384E-4</v>
      </c>
      <c r="AB114">
        <f t="shared" si="4"/>
        <v>0</v>
      </c>
      <c r="AC114">
        <f t="shared" si="4"/>
        <v>1.2851650732430644E-4</v>
      </c>
      <c r="AD114">
        <f t="shared" si="4"/>
        <v>8.8294641382574354E-4</v>
      </c>
      <c r="AE114">
        <f t="shared" si="4"/>
        <v>4.7986801281061601E-5</v>
      </c>
      <c r="AF114">
        <f t="shared" si="4"/>
        <v>6.4585930448376338E-5</v>
      </c>
      <c r="AG114">
        <f t="shared" si="4"/>
        <v>4.9703094622412053E-5</v>
      </c>
      <c r="AH114">
        <f t="shared" si="4"/>
        <v>2.3679996488348249E-5</v>
      </c>
      <c r="AI114">
        <f t="shared" si="4"/>
        <v>6.0289895709811651E-5</v>
      </c>
      <c r="AJ114">
        <f t="shared" si="4"/>
        <v>1.1696472795618859E-5</v>
      </c>
      <c r="AK114">
        <f t="shared" si="4"/>
        <v>1.8253198370902031E-5</v>
      </c>
      <c r="AL114">
        <f t="shared" si="4"/>
        <v>2.7354594380183127E-4</v>
      </c>
      <c r="AM114">
        <f t="shared" si="4"/>
        <v>4.304531181211176E-5</v>
      </c>
      <c r="AN114">
        <f t="shared" si="4"/>
        <v>1.8975870748843914E-4</v>
      </c>
      <c r="AO114">
        <f t="shared" si="4"/>
        <v>6.7274026547447109E-5</v>
      </c>
      <c r="AP114">
        <f t="shared" si="4"/>
        <v>4.8476988381172955E-5</v>
      </c>
      <c r="AQ114">
        <f t="shared" si="4"/>
        <v>4.3243781482119297E-5</v>
      </c>
      <c r="AR114">
        <f t="shared" si="4"/>
        <v>0</v>
      </c>
    </row>
    <row r="115" spans="2:44" x14ac:dyDescent="0.25">
      <c r="B115" t="s">
        <v>7</v>
      </c>
      <c r="C115">
        <f t="shared" ref="C115:AR115" si="5">IFERROR(C70/C$107,0)</f>
        <v>3.5962580239697166E-2</v>
      </c>
      <c r="D115">
        <f t="shared" si="5"/>
        <v>1.9606683654516948E-4</v>
      </c>
      <c r="E115">
        <f t="shared" si="5"/>
        <v>1.9473361039261942E-4</v>
      </c>
      <c r="F115">
        <f t="shared" si="5"/>
        <v>3.3678942975381878E-4</v>
      </c>
      <c r="G115">
        <f t="shared" si="5"/>
        <v>1.0887943109153744E-4</v>
      </c>
      <c r="H115">
        <f t="shared" si="5"/>
        <v>6.5192836170790358E-2</v>
      </c>
      <c r="I115">
        <f t="shared" si="5"/>
        <v>2.2763470338499755E-3</v>
      </c>
      <c r="J115">
        <f t="shared" si="5"/>
        <v>3.9649770568890921E-4</v>
      </c>
      <c r="K115">
        <f t="shared" si="5"/>
        <v>1.1245039946807763E-3</v>
      </c>
      <c r="L115">
        <f t="shared" si="5"/>
        <v>1.8230990907442958E-4</v>
      </c>
      <c r="M115">
        <f t="shared" si="5"/>
        <v>2.9925356612710541E-3</v>
      </c>
      <c r="N115">
        <f t="shared" si="5"/>
        <v>2.3256720150622591E-3</v>
      </c>
      <c r="O115">
        <f t="shared" si="5"/>
        <v>1.2409624600655809E-3</v>
      </c>
      <c r="P115">
        <f t="shared" si="5"/>
        <v>4.1073242965253477E-4</v>
      </c>
      <c r="Q115">
        <f t="shared" si="5"/>
        <v>0</v>
      </c>
      <c r="R115">
        <f t="shared" si="5"/>
        <v>2.3839910521480533E-4</v>
      </c>
      <c r="S115">
        <f t="shared" si="5"/>
        <v>2.4058164261353085E-4</v>
      </c>
      <c r="T115">
        <f t="shared" si="5"/>
        <v>2.6878741266255656E-4</v>
      </c>
      <c r="U115">
        <f t="shared" si="5"/>
        <v>1.3751959881020941E-4</v>
      </c>
      <c r="V115">
        <f t="shared" si="5"/>
        <v>2.5632602563899112E-4</v>
      </c>
      <c r="W115">
        <f t="shared" si="5"/>
        <v>2.872171459269831E-4</v>
      </c>
      <c r="X115">
        <f t="shared" si="5"/>
        <v>2.445964107078561E-4</v>
      </c>
      <c r="Y115">
        <f t="shared" si="5"/>
        <v>2.1993886351018207E-4</v>
      </c>
      <c r="Z115">
        <f t="shared" si="5"/>
        <v>5.481691019390073E-4</v>
      </c>
      <c r="AA115">
        <f t="shared" si="5"/>
        <v>1.0452609681172824E-4</v>
      </c>
      <c r="AB115">
        <f t="shared" si="5"/>
        <v>0</v>
      </c>
      <c r="AC115">
        <f t="shared" si="5"/>
        <v>5.0280527600715707E-4</v>
      </c>
      <c r="AD115">
        <f t="shared" si="5"/>
        <v>2.1403337659059435E-4</v>
      </c>
      <c r="AE115">
        <f t="shared" si="5"/>
        <v>1.7061090745380798E-3</v>
      </c>
      <c r="AF115">
        <f t="shared" si="5"/>
        <v>2.6779622168195366E-4</v>
      </c>
      <c r="AG115">
        <f t="shared" si="5"/>
        <v>6.8950964815674795E-2</v>
      </c>
      <c r="AH115">
        <f t="shared" si="5"/>
        <v>5.7917890643331541E-4</v>
      </c>
      <c r="AI115">
        <f t="shared" si="5"/>
        <v>2.7289742978375484E-4</v>
      </c>
      <c r="AJ115">
        <f t="shared" si="5"/>
        <v>2.156550255831445E-4</v>
      </c>
      <c r="AK115">
        <f t="shared" si="5"/>
        <v>1.3296244302836422E-4</v>
      </c>
      <c r="AL115">
        <f t="shared" si="5"/>
        <v>2.3942522767366262E-4</v>
      </c>
      <c r="AM115">
        <f t="shared" si="5"/>
        <v>3.1618904357572997E-4</v>
      </c>
      <c r="AN115">
        <f t="shared" si="5"/>
        <v>1.1605787832098295E-3</v>
      </c>
      <c r="AO115">
        <f t="shared" si="5"/>
        <v>1.8579474788237335E-3</v>
      </c>
      <c r="AP115">
        <f t="shared" si="5"/>
        <v>2.5090207807202964E-3</v>
      </c>
      <c r="AQ115">
        <f t="shared" si="5"/>
        <v>1.8272263792070071E-3</v>
      </c>
      <c r="AR115">
        <f t="shared" si="5"/>
        <v>0</v>
      </c>
    </row>
    <row r="116" spans="2:44" x14ac:dyDescent="0.25">
      <c r="B116" t="s">
        <v>8</v>
      </c>
      <c r="C116">
        <f t="shared" ref="C116:AR116" si="6">IFERROR(C71/C$107,0)</f>
        <v>6.7831657679792072E-4</v>
      </c>
      <c r="D116">
        <f t="shared" si="6"/>
        <v>3.056183481622098E-4</v>
      </c>
      <c r="E116">
        <f t="shared" si="6"/>
        <v>2.6422390880806863E-4</v>
      </c>
      <c r="F116">
        <f t="shared" si="6"/>
        <v>3.9774503184947376E-4</v>
      </c>
      <c r="G116">
        <f t="shared" si="6"/>
        <v>1.3134985777084158E-4</v>
      </c>
      <c r="H116">
        <f t="shared" si="6"/>
        <v>3.5319201822567553E-4</v>
      </c>
      <c r="I116">
        <f t="shared" si="6"/>
        <v>0.10145228239003537</v>
      </c>
      <c r="J116">
        <f t="shared" si="6"/>
        <v>6.1894400557909346E-4</v>
      </c>
      <c r="K116">
        <f t="shared" si="6"/>
        <v>2.6178697125587985E-3</v>
      </c>
      <c r="L116">
        <f t="shared" si="6"/>
        <v>1.0580995507212088E-4</v>
      </c>
      <c r="M116">
        <f t="shared" si="6"/>
        <v>1.5392628161015206E-3</v>
      </c>
      <c r="N116">
        <f t="shared" si="6"/>
        <v>5.5790552016663864E-4</v>
      </c>
      <c r="O116">
        <f t="shared" si="6"/>
        <v>3.4588072702456279E-3</v>
      </c>
      <c r="P116">
        <f t="shared" si="6"/>
        <v>1.0350655064083247E-3</v>
      </c>
      <c r="Q116">
        <f t="shared" si="6"/>
        <v>0</v>
      </c>
      <c r="R116">
        <f t="shared" si="6"/>
        <v>2.4166919481374873E-4</v>
      </c>
      <c r="S116">
        <f t="shared" si="6"/>
        <v>1.8676252820572919E-4</v>
      </c>
      <c r="T116">
        <f t="shared" si="6"/>
        <v>4.1768576593125949E-4</v>
      </c>
      <c r="U116">
        <f t="shared" si="6"/>
        <v>1.6983077053428432E-4</v>
      </c>
      <c r="V116">
        <f t="shared" si="6"/>
        <v>3.6966850649326429E-4</v>
      </c>
      <c r="W116">
        <f t="shared" si="6"/>
        <v>4.4698787998163371E-4</v>
      </c>
      <c r="X116">
        <f t="shared" si="6"/>
        <v>2.2352761041487482E-3</v>
      </c>
      <c r="Y116">
        <f t="shared" si="6"/>
        <v>5.4210549835378909E-4</v>
      </c>
      <c r="Z116">
        <f t="shared" si="6"/>
        <v>5.3465628075054479E-3</v>
      </c>
      <c r="AA116">
        <f t="shared" si="6"/>
        <v>6.5580358075555039E-5</v>
      </c>
      <c r="AB116">
        <f t="shared" si="6"/>
        <v>0</v>
      </c>
      <c r="AC116">
        <f t="shared" si="6"/>
        <v>4.0683928236703864E-4</v>
      </c>
      <c r="AD116">
        <f t="shared" si="6"/>
        <v>3.9162516907631604E-4</v>
      </c>
      <c r="AE116">
        <f t="shared" si="6"/>
        <v>5.8744099733873032E-4</v>
      </c>
      <c r="AF116">
        <f t="shared" si="6"/>
        <v>1.2620350902430336E-4</v>
      </c>
      <c r="AG116">
        <f t="shared" si="6"/>
        <v>1.0082832277971577E-3</v>
      </c>
      <c r="AH116">
        <f t="shared" si="6"/>
        <v>1.6851076650437353E-4</v>
      </c>
      <c r="AI116">
        <f t="shared" si="6"/>
        <v>8.1347606393400979E-5</v>
      </c>
      <c r="AJ116">
        <f t="shared" si="6"/>
        <v>5.5514133538398131E-5</v>
      </c>
      <c r="AK116">
        <f t="shared" si="6"/>
        <v>4.4369565878057176E-5</v>
      </c>
      <c r="AL116">
        <f t="shared" si="6"/>
        <v>9.9330681671392184E-5</v>
      </c>
      <c r="AM116">
        <f t="shared" si="6"/>
        <v>3.377591736974357E-4</v>
      </c>
      <c r="AN116">
        <f t="shared" si="6"/>
        <v>6.9091488358915165E-4</v>
      </c>
      <c r="AO116">
        <f t="shared" si="6"/>
        <v>3.3570756962743699E-4</v>
      </c>
      <c r="AP116">
        <f t="shared" si="6"/>
        <v>9.3277374241279489E-4</v>
      </c>
      <c r="AQ116">
        <f t="shared" si="6"/>
        <v>1.3249961044357512E-3</v>
      </c>
      <c r="AR116">
        <f t="shared" si="6"/>
        <v>0</v>
      </c>
    </row>
    <row r="117" spans="2:44" x14ac:dyDescent="0.25">
      <c r="B117" t="s">
        <v>9</v>
      </c>
      <c r="C117">
        <f t="shared" ref="C117:AR117" si="7">IFERROR(C72/C$107,0)</f>
        <v>2.4516653968336493E-3</v>
      </c>
      <c r="D117">
        <f t="shared" si="7"/>
        <v>1.9761739659239735E-3</v>
      </c>
      <c r="E117">
        <f t="shared" si="7"/>
        <v>5.7898125113403675E-4</v>
      </c>
      <c r="F117">
        <f t="shared" si="7"/>
        <v>1.429835764366197E-3</v>
      </c>
      <c r="G117">
        <f t="shared" si="7"/>
        <v>3.4389180970389619E-4</v>
      </c>
      <c r="H117">
        <f t="shared" si="7"/>
        <v>2.3290634834529631E-3</v>
      </c>
      <c r="I117">
        <f t="shared" si="7"/>
        <v>2.1856155933968249E-3</v>
      </c>
      <c r="J117">
        <f t="shared" si="7"/>
        <v>0.20455130502282781</v>
      </c>
      <c r="K117">
        <f t="shared" si="7"/>
        <v>1.5136528040633118E-2</v>
      </c>
      <c r="L117">
        <f t="shared" si="7"/>
        <v>6.0067059307640294E-5</v>
      </c>
      <c r="M117">
        <f t="shared" si="7"/>
        <v>1.7789292837718607E-3</v>
      </c>
      <c r="N117">
        <f t="shared" si="7"/>
        <v>5.0021449593269955E-4</v>
      </c>
      <c r="O117">
        <f t="shared" si="7"/>
        <v>2.5910576145278452E-3</v>
      </c>
      <c r="P117">
        <f t="shared" si="7"/>
        <v>6.3394026518681342E-3</v>
      </c>
      <c r="Q117">
        <f t="shared" si="7"/>
        <v>0</v>
      </c>
      <c r="R117">
        <f t="shared" si="7"/>
        <v>6.284215327892488E-4</v>
      </c>
      <c r="S117">
        <f t="shared" si="7"/>
        <v>1.0325912729520748E-3</v>
      </c>
      <c r="T117">
        <f t="shared" si="7"/>
        <v>2.7283111905204304E-3</v>
      </c>
      <c r="U117">
        <f t="shared" si="7"/>
        <v>4.1720794466959624E-4</v>
      </c>
      <c r="V117">
        <f t="shared" si="7"/>
        <v>1.8391358866681796E-3</v>
      </c>
      <c r="W117">
        <f t="shared" si="7"/>
        <v>1.6309649343725283E-3</v>
      </c>
      <c r="X117">
        <f t="shared" si="7"/>
        <v>3.6957069874052409E-3</v>
      </c>
      <c r="Y117">
        <f t="shared" si="7"/>
        <v>1.9996337393759127E-3</v>
      </c>
      <c r="Z117">
        <f t="shared" si="7"/>
        <v>5.284855268351088E-2</v>
      </c>
      <c r="AA117">
        <f t="shared" si="7"/>
        <v>7.9234033157774854E-4</v>
      </c>
      <c r="AB117">
        <f t="shared" si="7"/>
        <v>0</v>
      </c>
      <c r="AC117">
        <f t="shared" si="7"/>
        <v>8.5183028212731482E-4</v>
      </c>
      <c r="AD117">
        <f t="shared" si="7"/>
        <v>2.6199937776663924E-2</v>
      </c>
      <c r="AE117">
        <f t="shared" si="7"/>
        <v>1.539027926756717E-3</v>
      </c>
      <c r="AF117">
        <f t="shared" si="7"/>
        <v>6.9665804404648376E-4</v>
      </c>
      <c r="AG117">
        <f t="shared" si="7"/>
        <v>1.7626209920475421E-3</v>
      </c>
      <c r="AH117">
        <f t="shared" si="7"/>
        <v>5.7781343588666969E-4</v>
      </c>
      <c r="AI117">
        <f t="shared" si="7"/>
        <v>2.1862762476732879E-4</v>
      </c>
      <c r="AJ117">
        <f t="shared" si="7"/>
        <v>1.2388436843966167E-4</v>
      </c>
      <c r="AK117">
        <f t="shared" si="7"/>
        <v>9.5241226053052069E-5</v>
      </c>
      <c r="AL117">
        <f t="shared" si="7"/>
        <v>1.6055813473426197E-3</v>
      </c>
      <c r="AM117">
        <f t="shared" si="7"/>
        <v>9.2607531562701254E-4</v>
      </c>
      <c r="AN117">
        <f t="shared" si="7"/>
        <v>3.9349930085932807E-4</v>
      </c>
      <c r="AO117">
        <f t="shared" si="7"/>
        <v>6.4430012242751484E-4</v>
      </c>
      <c r="AP117">
        <f t="shared" si="7"/>
        <v>7.0288397259079367E-4</v>
      </c>
      <c r="AQ117">
        <f t="shared" si="7"/>
        <v>2.3894206308312472E-3</v>
      </c>
      <c r="AR117">
        <f t="shared" si="7"/>
        <v>0</v>
      </c>
    </row>
    <row r="118" spans="2:44" x14ac:dyDescent="0.25">
      <c r="B118" t="s">
        <v>10</v>
      </c>
      <c r="C118">
        <f t="shared" ref="C118:AR118" si="8">IFERROR(C73/C$107,0)</f>
        <v>1.3389690595128545E-3</v>
      </c>
      <c r="D118">
        <f t="shared" si="8"/>
        <v>3.9756557134495898E-4</v>
      </c>
      <c r="E118">
        <f t="shared" si="8"/>
        <v>7.577648220527944E-4</v>
      </c>
      <c r="F118">
        <f t="shared" si="8"/>
        <v>8.7188485228109104E-4</v>
      </c>
      <c r="G118">
        <f t="shared" si="8"/>
        <v>3.0440357037166447E-4</v>
      </c>
      <c r="H118">
        <f t="shared" si="8"/>
        <v>1.362312730533447E-2</v>
      </c>
      <c r="I118">
        <f t="shared" si="8"/>
        <v>7.7754576873678557E-3</v>
      </c>
      <c r="J118">
        <f t="shared" si="8"/>
        <v>4.4807859215009339E-3</v>
      </c>
      <c r="K118">
        <f t="shared" si="8"/>
        <v>0.17543129456489118</v>
      </c>
      <c r="L118">
        <f t="shared" si="8"/>
        <v>2.0294210692334017E-4</v>
      </c>
      <c r="M118">
        <f t="shared" si="8"/>
        <v>2.9410812320928418E-3</v>
      </c>
      <c r="N118">
        <f t="shared" si="8"/>
        <v>5.9269850335912687E-3</v>
      </c>
      <c r="O118">
        <f t="shared" si="8"/>
        <v>5.3810792894487137E-3</v>
      </c>
      <c r="P118">
        <f t="shared" si="8"/>
        <v>6.4549056917048335E-3</v>
      </c>
      <c r="Q118">
        <f t="shared" si="8"/>
        <v>0</v>
      </c>
      <c r="R118">
        <f t="shared" si="8"/>
        <v>8.3046671434245669E-4</v>
      </c>
      <c r="S118">
        <f t="shared" si="8"/>
        <v>1.0840919303922803E-3</v>
      </c>
      <c r="T118">
        <f t="shared" si="8"/>
        <v>2.4853823321304459E-3</v>
      </c>
      <c r="U118">
        <f t="shared" si="8"/>
        <v>1.1498389449053033E-3</v>
      </c>
      <c r="V118">
        <f t="shared" si="8"/>
        <v>2.7467555930038496E-3</v>
      </c>
      <c r="W118">
        <f t="shared" si="8"/>
        <v>2.4307272576130331E-3</v>
      </c>
      <c r="X118">
        <f t="shared" si="8"/>
        <v>2.2207505509434632E-3</v>
      </c>
      <c r="Y118">
        <f t="shared" si="8"/>
        <v>1.2290892292876057E-3</v>
      </c>
      <c r="Z118">
        <f t="shared" si="8"/>
        <v>5.7197640728916845E-3</v>
      </c>
      <c r="AA118">
        <f t="shared" si="8"/>
        <v>4.9188247170470537E-4</v>
      </c>
      <c r="AB118">
        <f t="shared" si="8"/>
        <v>0</v>
      </c>
      <c r="AC118">
        <f t="shared" si="8"/>
        <v>1.6936380400252424E-3</v>
      </c>
      <c r="AD118">
        <f t="shared" si="8"/>
        <v>1.1248798512452254E-3</v>
      </c>
      <c r="AE118">
        <f t="shared" si="8"/>
        <v>4.3896288773357757E-3</v>
      </c>
      <c r="AF118">
        <f t="shared" si="8"/>
        <v>1.2214043897612785E-3</v>
      </c>
      <c r="AG118">
        <f t="shared" si="8"/>
        <v>3.3105318877627017E-3</v>
      </c>
      <c r="AH118">
        <f t="shared" si="8"/>
        <v>2.728172855106642E-2</v>
      </c>
      <c r="AI118">
        <f t="shared" si="8"/>
        <v>2.7000722265534869E-3</v>
      </c>
      <c r="AJ118">
        <f t="shared" si="8"/>
        <v>3.3613392903370592E-3</v>
      </c>
      <c r="AK118">
        <f t="shared" si="8"/>
        <v>3.0480911058736724E-3</v>
      </c>
      <c r="AL118">
        <f t="shared" si="8"/>
        <v>7.6017065517799455E-4</v>
      </c>
      <c r="AM118">
        <f t="shared" si="8"/>
        <v>4.4389949961481726E-3</v>
      </c>
      <c r="AN118">
        <f t="shared" si="8"/>
        <v>5.6499603487017176E-3</v>
      </c>
      <c r="AO118">
        <f t="shared" si="8"/>
        <v>7.0615213537863477E-3</v>
      </c>
      <c r="AP118">
        <f t="shared" si="8"/>
        <v>3.7908579625201295E-3</v>
      </c>
      <c r="AQ118">
        <f t="shared" si="8"/>
        <v>5.2353233447359083E-3</v>
      </c>
      <c r="AR118">
        <f t="shared" si="8"/>
        <v>0</v>
      </c>
    </row>
    <row r="119" spans="2:44" x14ac:dyDescent="0.25">
      <c r="B119" t="s">
        <v>11</v>
      </c>
      <c r="C119">
        <f t="shared" ref="C119:AR119" si="9">IFERROR(C74/C$107,0)</f>
        <v>3.0727130736696043E-2</v>
      </c>
      <c r="D119">
        <f t="shared" si="9"/>
        <v>2.4776097771205728E-2</v>
      </c>
      <c r="E119">
        <f t="shared" si="9"/>
        <v>1.9859822835101102E-2</v>
      </c>
      <c r="F119">
        <f t="shared" si="9"/>
        <v>3.8821405236070194E-2</v>
      </c>
      <c r="G119">
        <f t="shared" si="9"/>
        <v>1.5444741363110451E-2</v>
      </c>
      <c r="H119">
        <f t="shared" si="9"/>
        <v>1.0715337505795761E-2</v>
      </c>
      <c r="I119">
        <f t="shared" si="9"/>
        <v>1.1069498444423141E-2</v>
      </c>
      <c r="J119">
        <f t="shared" si="9"/>
        <v>1.1990678838867367E-2</v>
      </c>
      <c r="K119">
        <f t="shared" si="9"/>
        <v>1.3431822364467078E-2</v>
      </c>
      <c r="L119">
        <f t="shared" si="9"/>
        <v>5.7454798794480844E-2</v>
      </c>
      <c r="M119">
        <f t="shared" si="9"/>
        <v>5.2397057386189549E-2</v>
      </c>
      <c r="N119">
        <f t="shared" si="9"/>
        <v>6.0919607797681611E-3</v>
      </c>
      <c r="O119">
        <f t="shared" si="9"/>
        <v>1.656947087184861E-2</v>
      </c>
      <c r="P119">
        <f t="shared" si="9"/>
        <v>2.388906143488408E-2</v>
      </c>
      <c r="Q119">
        <f t="shared" si="9"/>
        <v>0</v>
      </c>
      <c r="R119">
        <f t="shared" si="9"/>
        <v>2.928359189463197E-2</v>
      </c>
      <c r="S119">
        <f t="shared" si="9"/>
        <v>9.6156673482394317E-3</v>
      </c>
      <c r="T119">
        <f t="shared" si="9"/>
        <v>6.0237929920072368E-3</v>
      </c>
      <c r="U119">
        <f t="shared" si="9"/>
        <v>1.1179117977282084E-3</v>
      </c>
      <c r="V119">
        <f t="shared" si="9"/>
        <v>6.8045400979805173E-3</v>
      </c>
      <c r="W119">
        <f t="shared" si="9"/>
        <v>4.36654973862161E-3</v>
      </c>
      <c r="X119">
        <f t="shared" si="9"/>
        <v>7.7583344928441947E-3</v>
      </c>
      <c r="Y119">
        <f t="shared" si="9"/>
        <v>3.0024365368382542E-3</v>
      </c>
      <c r="Z119">
        <f t="shared" si="9"/>
        <v>7.7277160013190689E-3</v>
      </c>
      <c r="AA119">
        <f t="shared" si="9"/>
        <v>2.6642112369327463E-2</v>
      </c>
      <c r="AB119">
        <f t="shared" si="9"/>
        <v>0</v>
      </c>
      <c r="AC119">
        <f t="shared" si="9"/>
        <v>2.4581258483894967E-2</v>
      </c>
      <c r="AD119">
        <f t="shared" si="9"/>
        <v>1.1343015390606573E-2</v>
      </c>
      <c r="AE119">
        <f t="shared" si="9"/>
        <v>1.4425709483537155E-2</v>
      </c>
      <c r="AF119">
        <f t="shared" si="9"/>
        <v>8.526901899581818E-2</v>
      </c>
      <c r="AG119">
        <f t="shared" si="9"/>
        <v>7.7083731915580057E-3</v>
      </c>
      <c r="AH119">
        <f t="shared" si="9"/>
        <v>3.008875466616389E-3</v>
      </c>
      <c r="AI119">
        <f t="shared" si="9"/>
        <v>4.2823223259665566E-3</v>
      </c>
      <c r="AJ119">
        <f t="shared" si="9"/>
        <v>2.6666784139806892E-3</v>
      </c>
      <c r="AK119">
        <f t="shared" si="9"/>
        <v>3.1117589103001734E-3</v>
      </c>
      <c r="AL119">
        <f t="shared" si="9"/>
        <v>2.1466558390503686E-3</v>
      </c>
      <c r="AM119">
        <f t="shared" si="9"/>
        <v>6.5884783040617385E-3</v>
      </c>
      <c r="AN119">
        <f t="shared" si="9"/>
        <v>1.5450710193960146E-2</v>
      </c>
      <c r="AO119">
        <f t="shared" si="9"/>
        <v>5.7170148721192096E-3</v>
      </c>
      <c r="AP119">
        <f t="shared" si="9"/>
        <v>6.6483045795067532E-3</v>
      </c>
      <c r="AQ119">
        <f t="shared" si="9"/>
        <v>9.2746600416822849E-3</v>
      </c>
      <c r="AR119">
        <f t="shared" si="9"/>
        <v>0</v>
      </c>
    </row>
    <row r="120" spans="2:44" x14ac:dyDescent="0.25">
      <c r="B120" t="s">
        <v>59</v>
      </c>
      <c r="C120">
        <f t="shared" ref="C120:AR120" si="10">IFERROR(C75/C$107,0)</f>
        <v>6.211936198798447E-2</v>
      </c>
      <c r="D120">
        <f t="shared" si="10"/>
        <v>1.0816168637725596E-2</v>
      </c>
      <c r="E120">
        <f t="shared" si="10"/>
        <v>7.6248961335782265E-3</v>
      </c>
      <c r="F120">
        <f t="shared" si="10"/>
        <v>1.8902416902212494E-2</v>
      </c>
      <c r="G120">
        <f t="shared" si="10"/>
        <v>4.9291473662593597E-3</v>
      </c>
      <c r="H120">
        <f t="shared" si="10"/>
        <v>1.3008633043871315E-2</v>
      </c>
      <c r="I120">
        <f t="shared" si="10"/>
        <v>8.3496195715874855E-2</v>
      </c>
      <c r="J120">
        <f t="shared" si="10"/>
        <v>2.4930827404534235E-2</v>
      </c>
      <c r="K120">
        <f t="shared" si="10"/>
        <v>4.9467659685481898E-2</v>
      </c>
      <c r="L120">
        <f t="shared" si="10"/>
        <v>1.12354830075771E-2</v>
      </c>
      <c r="M120">
        <f t="shared" si="10"/>
        <v>0.16936574169060245</v>
      </c>
      <c r="N120">
        <f t="shared" si="10"/>
        <v>4.4958983851043167E-2</v>
      </c>
      <c r="O120">
        <f t="shared" si="10"/>
        <v>0.19792608296621839</v>
      </c>
      <c r="P120">
        <f t="shared" si="10"/>
        <v>3.1277693869000568E-2</v>
      </c>
      <c r="Q120">
        <f t="shared" si="10"/>
        <v>0</v>
      </c>
      <c r="R120">
        <f t="shared" si="10"/>
        <v>9.5555847461858724E-3</v>
      </c>
      <c r="S120">
        <f t="shared" si="10"/>
        <v>1.0447628629043595E-2</v>
      </c>
      <c r="T120">
        <f t="shared" si="10"/>
        <v>1.190700214372001E-2</v>
      </c>
      <c r="U120">
        <f t="shared" si="10"/>
        <v>5.9015339940193777E-3</v>
      </c>
      <c r="V120">
        <f t="shared" si="10"/>
        <v>1.5389195362301373E-2</v>
      </c>
      <c r="W120">
        <f t="shared" si="10"/>
        <v>8.4215277461200874E-3</v>
      </c>
      <c r="X120">
        <f t="shared" si="10"/>
        <v>1.6119780042908254E-2</v>
      </c>
      <c r="Y120">
        <f t="shared" si="10"/>
        <v>6.1699522234889143E-3</v>
      </c>
      <c r="Z120">
        <f t="shared" si="10"/>
        <v>2.3395645360605535E-2</v>
      </c>
      <c r="AA120">
        <f t="shared" si="10"/>
        <v>1.8181560369914715E-3</v>
      </c>
      <c r="AB120">
        <f t="shared" si="10"/>
        <v>0</v>
      </c>
      <c r="AC120">
        <f t="shared" si="10"/>
        <v>1.4712780322255661E-2</v>
      </c>
      <c r="AD120">
        <f t="shared" si="10"/>
        <v>7.4403200818654106E-3</v>
      </c>
      <c r="AE120">
        <f t="shared" si="10"/>
        <v>2.660566156799004E-3</v>
      </c>
      <c r="AF120">
        <f t="shared" si="10"/>
        <v>3.0453495684466428E-3</v>
      </c>
      <c r="AG120">
        <f t="shared" si="10"/>
        <v>5.3145848853053887E-3</v>
      </c>
      <c r="AH120">
        <f t="shared" si="10"/>
        <v>4.3094407162606154E-3</v>
      </c>
      <c r="AI120">
        <f t="shared" si="10"/>
        <v>4.6372496094260375E-4</v>
      </c>
      <c r="AJ120">
        <f t="shared" si="10"/>
        <v>9.8925662599856743E-4</v>
      </c>
      <c r="AK120">
        <f t="shared" si="10"/>
        <v>3.396723538392756E-4</v>
      </c>
      <c r="AL120">
        <f t="shared" si="10"/>
        <v>1.9829335345756304E-3</v>
      </c>
      <c r="AM120">
        <f t="shared" si="10"/>
        <v>4.3866717543233737E-3</v>
      </c>
      <c r="AN120">
        <f t="shared" si="10"/>
        <v>2.351409309663894E-3</v>
      </c>
      <c r="AO120">
        <f t="shared" si="10"/>
        <v>3.0306183926297786E-3</v>
      </c>
      <c r="AP120">
        <f t="shared" si="10"/>
        <v>1.0650069833440521E-2</v>
      </c>
      <c r="AQ120">
        <f t="shared" si="10"/>
        <v>9.5911480064234077E-3</v>
      </c>
      <c r="AR120">
        <f t="shared" si="10"/>
        <v>0</v>
      </c>
    </row>
    <row r="121" spans="2:44" x14ac:dyDescent="0.25">
      <c r="B121" t="s">
        <v>60</v>
      </c>
      <c r="C121">
        <f t="shared" ref="C121:AR121" si="11">IFERROR(C76/C$107,0)</f>
        <v>4.1281923269094294E-3</v>
      </c>
      <c r="D121">
        <f t="shared" si="11"/>
        <v>7.6088549323920012E-4</v>
      </c>
      <c r="E121">
        <f t="shared" si="11"/>
        <v>6.1510657102412949E-4</v>
      </c>
      <c r="F121">
        <f t="shared" si="11"/>
        <v>1.1754039224231808E-3</v>
      </c>
      <c r="G121">
        <f t="shared" si="11"/>
        <v>3.5104149092003841E-4</v>
      </c>
      <c r="H121">
        <f t="shared" si="11"/>
        <v>1.5133616419740158E-3</v>
      </c>
      <c r="I121">
        <f t="shared" si="11"/>
        <v>4.0921096402487317E-3</v>
      </c>
      <c r="J121">
        <f t="shared" si="11"/>
        <v>1.5710711383348102E-3</v>
      </c>
      <c r="K121">
        <f t="shared" si="11"/>
        <v>2.5694861417912031E-3</v>
      </c>
      <c r="L121">
        <f t="shared" si="11"/>
        <v>6.2783781459075326E-4</v>
      </c>
      <c r="M121">
        <f t="shared" si="11"/>
        <v>7.6705092491504232E-3</v>
      </c>
      <c r="N121">
        <f t="shared" si="11"/>
        <v>2.9355743552292934E-2</v>
      </c>
      <c r="O121">
        <f t="shared" si="11"/>
        <v>8.7591838888568061E-3</v>
      </c>
      <c r="P121">
        <f t="shared" si="11"/>
        <v>1.7440211865575931E-3</v>
      </c>
      <c r="Q121">
        <f t="shared" si="11"/>
        <v>0</v>
      </c>
      <c r="R121">
        <f t="shared" si="11"/>
        <v>9.2881125793595057E-4</v>
      </c>
      <c r="S121">
        <f t="shared" si="11"/>
        <v>7.1712656156114091E-4</v>
      </c>
      <c r="T121">
        <f t="shared" si="11"/>
        <v>9.5972322033615481E-4</v>
      </c>
      <c r="U121">
        <f t="shared" si="11"/>
        <v>6.475041971993503E-4</v>
      </c>
      <c r="V121">
        <f t="shared" si="11"/>
        <v>1.0717900128843949E-3</v>
      </c>
      <c r="W121">
        <f t="shared" si="11"/>
        <v>9.694767645205269E-4</v>
      </c>
      <c r="X121">
        <f t="shared" si="11"/>
        <v>1.1660195274830045E-3</v>
      </c>
      <c r="Y121">
        <f t="shared" si="11"/>
        <v>7.9401102098879258E-4</v>
      </c>
      <c r="Z121">
        <f t="shared" si="11"/>
        <v>1.5451211867469211E-3</v>
      </c>
      <c r="AA121">
        <f t="shared" si="11"/>
        <v>1.9899610282383498E-4</v>
      </c>
      <c r="AB121">
        <f t="shared" si="11"/>
        <v>0</v>
      </c>
      <c r="AC121">
        <f t="shared" si="11"/>
        <v>1.0313410815527609E-3</v>
      </c>
      <c r="AD121">
        <f t="shared" si="11"/>
        <v>6.5298367617136694E-4</v>
      </c>
      <c r="AE121">
        <f t="shared" si="11"/>
        <v>3.998733554887345E-4</v>
      </c>
      <c r="AF121">
        <f t="shared" si="11"/>
        <v>2.9606115556286979E-4</v>
      </c>
      <c r="AG121">
        <f t="shared" si="11"/>
        <v>4.4104463830933922E-4</v>
      </c>
      <c r="AH121">
        <f t="shared" si="11"/>
        <v>3.7332612481895183E-4</v>
      </c>
      <c r="AI121">
        <f t="shared" si="11"/>
        <v>2.5208147194151113E-4</v>
      </c>
      <c r="AJ121">
        <f t="shared" si="11"/>
        <v>2.4980911493220262E-4</v>
      </c>
      <c r="AK121">
        <f t="shared" si="11"/>
        <v>6.3710036861123689E-5</v>
      </c>
      <c r="AL121">
        <f t="shared" si="11"/>
        <v>1.3474177591463939E-4</v>
      </c>
      <c r="AM121">
        <f t="shared" si="11"/>
        <v>8.8323556227441541E-4</v>
      </c>
      <c r="AN121">
        <f t="shared" si="11"/>
        <v>1.1175509768898213E-3</v>
      </c>
      <c r="AO121">
        <f t="shared" si="11"/>
        <v>4.670231531392019E-4</v>
      </c>
      <c r="AP121">
        <f t="shared" si="11"/>
        <v>2.1268562958420813E-2</v>
      </c>
      <c r="AQ121">
        <f t="shared" si="11"/>
        <v>8.8896139679220832E-4</v>
      </c>
      <c r="AR121">
        <f t="shared" si="11"/>
        <v>0</v>
      </c>
    </row>
    <row r="122" spans="2:44" x14ac:dyDescent="0.25">
      <c r="B122" t="s">
        <v>12</v>
      </c>
      <c r="C122">
        <f t="shared" ref="C122:AR122" si="12">IFERROR(C77/C$107,0)</f>
        <v>6.2702849477454985E-3</v>
      </c>
      <c r="D122">
        <f t="shared" si="12"/>
        <v>5.4495025430542745E-3</v>
      </c>
      <c r="E122">
        <f t="shared" si="12"/>
        <v>4.3451344298848921E-3</v>
      </c>
      <c r="F122">
        <f t="shared" si="12"/>
        <v>4.7790977449288447E-3</v>
      </c>
      <c r="G122">
        <f t="shared" si="12"/>
        <v>1.4624319371954403E-3</v>
      </c>
      <c r="H122">
        <f t="shared" si="12"/>
        <v>2.2845147758960824E-2</v>
      </c>
      <c r="I122">
        <f t="shared" si="12"/>
        <v>1.9818583853666805E-2</v>
      </c>
      <c r="J122">
        <f t="shared" si="12"/>
        <v>8.4757297174518041E-3</v>
      </c>
      <c r="K122">
        <f t="shared" si="12"/>
        <v>2.0094577108630315E-2</v>
      </c>
      <c r="L122">
        <f t="shared" si="12"/>
        <v>6.8971965382910521E-4</v>
      </c>
      <c r="M122">
        <f t="shared" si="12"/>
        <v>1.0605724535195551E-2</v>
      </c>
      <c r="N122">
        <f t="shared" si="12"/>
        <v>1.2688266551938913E-2</v>
      </c>
      <c r="O122">
        <f t="shared" si="12"/>
        <v>0.10960175191383817</v>
      </c>
      <c r="P122">
        <f t="shared" si="12"/>
        <v>8.8828319947882196E-3</v>
      </c>
      <c r="Q122">
        <f t="shared" si="12"/>
        <v>0</v>
      </c>
      <c r="R122">
        <f t="shared" si="12"/>
        <v>2.0414579843117324E-3</v>
      </c>
      <c r="S122">
        <f t="shared" si="12"/>
        <v>3.4720655117049682E-3</v>
      </c>
      <c r="T122">
        <f t="shared" si="12"/>
        <v>1.0089477388740394E-2</v>
      </c>
      <c r="U122">
        <f t="shared" si="12"/>
        <v>6.7052585598565955E-3</v>
      </c>
      <c r="V122">
        <f t="shared" si="12"/>
        <v>2.2326740888256293E-2</v>
      </c>
      <c r="W122">
        <f t="shared" si="12"/>
        <v>1.6798777683609351E-2</v>
      </c>
      <c r="X122">
        <f t="shared" si="12"/>
        <v>4.4686533211027855E-2</v>
      </c>
      <c r="Y122">
        <f t="shared" si="12"/>
        <v>1.2139271004858511E-2</v>
      </c>
      <c r="Z122">
        <f t="shared" si="12"/>
        <v>1.9708621670654139E-2</v>
      </c>
      <c r="AA122">
        <f t="shared" si="12"/>
        <v>5.2414158569592004E-4</v>
      </c>
      <c r="AB122">
        <f t="shared" si="12"/>
        <v>0</v>
      </c>
      <c r="AC122">
        <f t="shared" si="12"/>
        <v>7.7983990385430109E-3</v>
      </c>
      <c r="AD122">
        <f t="shared" si="12"/>
        <v>1.4686358511056945E-2</v>
      </c>
      <c r="AE122">
        <f t="shared" si="12"/>
        <v>8.3663638656236491E-3</v>
      </c>
      <c r="AF122">
        <f t="shared" si="12"/>
        <v>4.6010816954760005E-3</v>
      </c>
      <c r="AG122">
        <f t="shared" si="12"/>
        <v>2.793407972715376E-3</v>
      </c>
      <c r="AH122">
        <f t="shared" si="12"/>
        <v>1.6289520358526472E-3</v>
      </c>
      <c r="AI122">
        <f t="shared" si="12"/>
        <v>9.7945347940730154E-4</v>
      </c>
      <c r="AJ122">
        <f t="shared" si="12"/>
        <v>4.3042705868536179E-4</v>
      </c>
      <c r="AK122">
        <f t="shared" si="12"/>
        <v>4.5604481947905825E-4</v>
      </c>
      <c r="AL122">
        <f t="shared" si="12"/>
        <v>1.5409471538899943E-3</v>
      </c>
      <c r="AM122">
        <f t="shared" si="12"/>
        <v>2.2788310664481823E-3</v>
      </c>
      <c r="AN122">
        <f t="shared" si="12"/>
        <v>1.3789400510327431E-3</v>
      </c>
      <c r="AO122">
        <f t="shared" si="12"/>
        <v>1.5149464750342178E-3</v>
      </c>
      <c r="AP122">
        <f t="shared" si="12"/>
        <v>2.6973758747519819E-3</v>
      </c>
      <c r="AQ122">
        <f t="shared" si="12"/>
        <v>2.6143987009077004E-3</v>
      </c>
      <c r="AR122">
        <f t="shared" si="12"/>
        <v>0</v>
      </c>
    </row>
    <row r="123" spans="2:44" x14ac:dyDescent="0.25">
      <c r="B123" t="s">
        <v>869</v>
      </c>
      <c r="C123">
        <f t="shared" ref="C123:AR123" si="13">IFERROR(C78/C$107,0)</f>
        <v>1.841385783081216E-3</v>
      </c>
      <c r="D123">
        <f t="shared" si="13"/>
        <v>1.1175389945482258E-3</v>
      </c>
      <c r="E123">
        <f t="shared" si="13"/>
        <v>1.9411375900346048E-3</v>
      </c>
      <c r="F123">
        <f t="shared" si="13"/>
        <v>4.9845796976185543E-3</v>
      </c>
      <c r="G123">
        <f t="shared" si="13"/>
        <v>7.5169076997054073E-4</v>
      </c>
      <c r="H123">
        <f t="shared" si="13"/>
        <v>3.9991396353319855E-3</v>
      </c>
      <c r="I123">
        <f t="shared" si="13"/>
        <v>1.361607639449018E-3</v>
      </c>
      <c r="J123">
        <f t="shared" si="13"/>
        <v>3.6006287526704392E-3</v>
      </c>
      <c r="K123">
        <f t="shared" si="13"/>
        <v>5.6357207917339259E-4</v>
      </c>
      <c r="L123">
        <f t="shared" si="13"/>
        <v>2.495906902329789E-4</v>
      </c>
      <c r="M123">
        <f t="shared" si="13"/>
        <v>1.9899622200930211E-3</v>
      </c>
      <c r="N123">
        <f t="shared" si="13"/>
        <v>2.5981405337094656E-3</v>
      </c>
      <c r="O123">
        <f t="shared" si="13"/>
        <v>4.9429085081862658E-3</v>
      </c>
      <c r="P123">
        <f t="shared" si="13"/>
        <v>8.960172518775085E-2</v>
      </c>
      <c r="Q123">
        <f t="shared" si="13"/>
        <v>0</v>
      </c>
      <c r="R123">
        <f t="shared" si="13"/>
        <v>7.171382070365777E-3</v>
      </c>
      <c r="S123">
        <f t="shared" si="13"/>
        <v>2.6802908183391405E-3</v>
      </c>
      <c r="T123">
        <f t="shared" si="13"/>
        <v>3.263202705771386E-3</v>
      </c>
      <c r="U123">
        <f t="shared" si="13"/>
        <v>1.8907162594822735E-3</v>
      </c>
      <c r="V123">
        <f t="shared" si="13"/>
        <v>4.2983049385563821E-3</v>
      </c>
      <c r="W123">
        <f t="shared" si="13"/>
        <v>2.1909458250872985E-3</v>
      </c>
      <c r="X123">
        <f t="shared" si="13"/>
        <v>5.8637647478756239E-3</v>
      </c>
      <c r="Y123">
        <f t="shared" si="13"/>
        <v>1.4786924518884336E-3</v>
      </c>
      <c r="Z123">
        <f t="shared" si="13"/>
        <v>3.3603826467538535E-3</v>
      </c>
      <c r="AA123">
        <f t="shared" si="13"/>
        <v>5.1876409804248852E-4</v>
      </c>
      <c r="AB123">
        <f t="shared" si="13"/>
        <v>0</v>
      </c>
      <c r="AC123">
        <f t="shared" si="13"/>
        <v>1.8390100214740041E-3</v>
      </c>
      <c r="AD123">
        <f t="shared" si="13"/>
        <v>5.0790711153362478E-2</v>
      </c>
      <c r="AE123">
        <f t="shared" si="13"/>
        <v>8.2109040109351454E-4</v>
      </c>
      <c r="AF123">
        <f t="shared" si="13"/>
        <v>4.2011236812714199E-4</v>
      </c>
      <c r="AG123">
        <f t="shared" si="13"/>
        <v>1.7109072405399324E-3</v>
      </c>
      <c r="AH123">
        <f t="shared" si="13"/>
        <v>7.9020731244559979E-5</v>
      </c>
      <c r="AI123">
        <f t="shared" si="13"/>
        <v>1.4356262595638204E-4</v>
      </c>
      <c r="AJ123">
        <f t="shared" si="13"/>
        <v>4.6193740424732529E-5</v>
      </c>
      <c r="AK123">
        <f t="shared" si="13"/>
        <v>1.0764480706997849E-4</v>
      </c>
      <c r="AL123">
        <f t="shared" si="13"/>
        <v>3.6065708458889937E-3</v>
      </c>
      <c r="AM123">
        <f t="shared" si="13"/>
        <v>6.0976274120561221E-4</v>
      </c>
      <c r="AN123">
        <f t="shared" si="13"/>
        <v>5.7268416157349596E-4</v>
      </c>
      <c r="AO123">
        <f t="shared" si="13"/>
        <v>9.9745848651012744E-4</v>
      </c>
      <c r="AP123">
        <f t="shared" si="13"/>
        <v>6.506057997841295E-4</v>
      </c>
      <c r="AQ123">
        <f t="shared" si="13"/>
        <v>1.0855320238244244E-3</v>
      </c>
      <c r="AR123">
        <f t="shared" si="13"/>
        <v>0</v>
      </c>
    </row>
    <row r="124" spans="2:44" x14ac:dyDescent="0.25">
      <c r="B124" t="s">
        <v>870</v>
      </c>
      <c r="C124">
        <f t="shared" ref="C124:AR124" si="14">IFERROR(C79/C$107,0)</f>
        <v>0</v>
      </c>
      <c r="D124">
        <f t="shared" si="14"/>
        <v>0</v>
      </c>
      <c r="E124">
        <f t="shared" si="14"/>
        <v>0</v>
      </c>
      <c r="F124">
        <f t="shared" si="14"/>
        <v>0</v>
      </c>
      <c r="G124">
        <f t="shared" si="14"/>
        <v>0</v>
      </c>
      <c r="H124">
        <f t="shared" si="14"/>
        <v>0</v>
      </c>
      <c r="I124">
        <f t="shared" si="14"/>
        <v>0</v>
      </c>
      <c r="J124">
        <f t="shared" si="14"/>
        <v>0</v>
      </c>
      <c r="K124">
        <f t="shared" si="14"/>
        <v>0</v>
      </c>
      <c r="L124">
        <f t="shared" si="14"/>
        <v>0</v>
      </c>
      <c r="M124">
        <f t="shared" si="14"/>
        <v>0</v>
      </c>
      <c r="N124">
        <f t="shared" si="14"/>
        <v>0</v>
      </c>
      <c r="O124">
        <f t="shared" si="14"/>
        <v>0</v>
      </c>
      <c r="P124">
        <f t="shared" si="14"/>
        <v>0</v>
      </c>
      <c r="Q124">
        <f t="shared" si="14"/>
        <v>0</v>
      </c>
      <c r="R124">
        <f t="shared" si="14"/>
        <v>0</v>
      </c>
      <c r="S124">
        <f t="shared" si="14"/>
        <v>0</v>
      </c>
      <c r="T124">
        <f t="shared" si="14"/>
        <v>0</v>
      </c>
      <c r="U124">
        <f t="shared" si="14"/>
        <v>0</v>
      </c>
      <c r="V124">
        <f t="shared" si="14"/>
        <v>0</v>
      </c>
      <c r="W124">
        <f t="shared" si="14"/>
        <v>0</v>
      </c>
      <c r="X124">
        <f t="shared" si="14"/>
        <v>0</v>
      </c>
      <c r="Y124">
        <f t="shared" si="14"/>
        <v>0</v>
      </c>
      <c r="Z124">
        <f t="shared" si="14"/>
        <v>0</v>
      </c>
      <c r="AA124">
        <f t="shared" si="14"/>
        <v>0</v>
      </c>
      <c r="AB124">
        <f t="shared" si="14"/>
        <v>0</v>
      </c>
      <c r="AC124">
        <f t="shared" si="14"/>
        <v>0</v>
      </c>
      <c r="AD124">
        <f t="shared" si="14"/>
        <v>0</v>
      </c>
      <c r="AE124">
        <f t="shared" si="14"/>
        <v>0</v>
      </c>
      <c r="AF124">
        <f t="shared" si="14"/>
        <v>0</v>
      </c>
      <c r="AG124">
        <f t="shared" si="14"/>
        <v>0</v>
      </c>
      <c r="AH124">
        <f t="shared" si="14"/>
        <v>0</v>
      </c>
      <c r="AI124">
        <f t="shared" si="14"/>
        <v>0</v>
      </c>
      <c r="AJ124">
        <f t="shared" si="14"/>
        <v>0</v>
      </c>
      <c r="AK124">
        <f t="shared" si="14"/>
        <v>0</v>
      </c>
      <c r="AL124">
        <f t="shared" si="14"/>
        <v>0</v>
      </c>
      <c r="AM124">
        <f t="shared" si="14"/>
        <v>0</v>
      </c>
      <c r="AN124">
        <f t="shared" si="14"/>
        <v>0</v>
      </c>
      <c r="AO124">
        <f t="shared" si="14"/>
        <v>0</v>
      </c>
      <c r="AP124">
        <f t="shared" si="14"/>
        <v>0</v>
      </c>
      <c r="AQ124">
        <f t="shared" si="14"/>
        <v>0</v>
      </c>
      <c r="AR124">
        <f t="shared" si="14"/>
        <v>0</v>
      </c>
    </row>
    <row r="125" spans="2:44" x14ac:dyDescent="0.25">
      <c r="B125" t="s">
        <v>871</v>
      </c>
      <c r="C125">
        <f t="shared" ref="C125:AR125" si="15">IFERROR(C80/C$107,0)</f>
        <v>5.1205538119921637E-4</v>
      </c>
      <c r="D125">
        <f t="shared" si="15"/>
        <v>3.7481579383674603E-3</v>
      </c>
      <c r="E125">
        <f t="shared" si="15"/>
        <v>8.3869310118568352E-3</v>
      </c>
      <c r="F125">
        <f t="shared" si="15"/>
        <v>2.8420463640258025E-3</v>
      </c>
      <c r="G125">
        <f t="shared" si="15"/>
        <v>1.238371927391106E-3</v>
      </c>
      <c r="H125">
        <f t="shared" si="15"/>
        <v>4.2761554575942285E-4</v>
      </c>
      <c r="I125">
        <f t="shared" si="15"/>
        <v>6.77540695685048E-4</v>
      </c>
      <c r="J125">
        <f t="shared" si="15"/>
        <v>1.7072762200904834E-3</v>
      </c>
      <c r="K125">
        <f t="shared" si="15"/>
        <v>6.6670647256283965E-4</v>
      </c>
      <c r="L125">
        <f t="shared" si="15"/>
        <v>4.0715421931413896E-4</v>
      </c>
      <c r="M125">
        <f t="shared" si="15"/>
        <v>6.0109718028458011E-4</v>
      </c>
      <c r="N125">
        <f t="shared" si="15"/>
        <v>2.0689376642976748E-4</v>
      </c>
      <c r="O125">
        <f t="shared" si="15"/>
        <v>4.3294022335453744E-3</v>
      </c>
      <c r="P125">
        <f t="shared" si="15"/>
        <v>6.3563345388121259E-3</v>
      </c>
      <c r="Q125">
        <f t="shared" si="15"/>
        <v>0</v>
      </c>
      <c r="R125">
        <f t="shared" si="15"/>
        <v>0.20056798785844451</v>
      </c>
      <c r="S125">
        <f t="shared" si="15"/>
        <v>1.2532131649677715E-2</v>
      </c>
      <c r="T125">
        <f t="shared" si="15"/>
        <v>0.11505514574823103</v>
      </c>
      <c r="U125">
        <f t="shared" si="15"/>
        <v>2.8839998356129815E-3</v>
      </c>
      <c r="V125">
        <f t="shared" si="15"/>
        <v>1.8479325689449776E-2</v>
      </c>
      <c r="W125">
        <f t="shared" si="15"/>
        <v>5.516185306004117E-2</v>
      </c>
      <c r="X125">
        <f t="shared" si="15"/>
        <v>3.8404252580298212E-2</v>
      </c>
      <c r="Y125">
        <f t="shared" si="15"/>
        <v>2.7386014276457989E-2</v>
      </c>
      <c r="Z125">
        <f t="shared" si="15"/>
        <v>9.0674605029144768E-3</v>
      </c>
      <c r="AA125">
        <f t="shared" si="15"/>
        <v>8.1003329757500179E-4</v>
      </c>
      <c r="AB125">
        <f t="shared" si="15"/>
        <v>0</v>
      </c>
      <c r="AC125">
        <f t="shared" si="15"/>
        <v>1.077531563528431E-2</v>
      </c>
      <c r="AD125">
        <f t="shared" si="15"/>
        <v>1.699643928534611E-2</v>
      </c>
      <c r="AE125">
        <f t="shared" si="15"/>
        <v>6.2316923985575464E-4</v>
      </c>
      <c r="AF125">
        <f t="shared" si="15"/>
        <v>6.0299453163426117E-4</v>
      </c>
      <c r="AG125">
        <f t="shared" si="15"/>
        <v>9.6390561812521598E-5</v>
      </c>
      <c r="AH125">
        <f t="shared" si="15"/>
        <v>3.4113779464132857E-5</v>
      </c>
      <c r="AI125">
        <f t="shared" si="15"/>
        <v>4.9445130213375183E-5</v>
      </c>
      <c r="AJ125">
        <f t="shared" si="15"/>
        <v>2.5754819636325934E-5</v>
      </c>
      <c r="AK125">
        <f t="shared" si="15"/>
        <v>2.9554767939419817E-5</v>
      </c>
      <c r="AL125">
        <f t="shared" si="15"/>
        <v>4.4437987770577244E-4</v>
      </c>
      <c r="AM125">
        <f t="shared" si="15"/>
        <v>4.0528023339898405E-4</v>
      </c>
      <c r="AN125">
        <f t="shared" si="15"/>
        <v>2.4786804942025629E-4</v>
      </c>
      <c r="AO125">
        <f t="shared" si="15"/>
        <v>1.7838143521035834E-4</v>
      </c>
      <c r="AP125">
        <f t="shared" si="15"/>
        <v>9.1916548896180738E-5</v>
      </c>
      <c r="AQ125">
        <f t="shared" si="15"/>
        <v>3.222263936978431E-4</v>
      </c>
      <c r="AR125">
        <f t="shared" si="15"/>
        <v>0</v>
      </c>
    </row>
    <row r="126" spans="2:44" x14ac:dyDescent="0.25">
      <c r="B126" t="s">
        <v>872</v>
      </c>
      <c r="C126">
        <f t="shared" ref="C126:AR126" si="16">IFERROR(C81/C$107,0)</f>
        <v>3.8716856406657201E-4</v>
      </c>
      <c r="D126">
        <f t="shared" si="16"/>
        <v>4.9383362268479224E-4</v>
      </c>
      <c r="E126">
        <f t="shared" si="16"/>
        <v>1.8507073504291315E-3</v>
      </c>
      <c r="F126">
        <f t="shared" si="16"/>
        <v>1.2538015706310736E-3</v>
      </c>
      <c r="G126">
        <f t="shared" si="16"/>
        <v>2.2307005394363766E-4</v>
      </c>
      <c r="H126">
        <f t="shared" si="16"/>
        <v>1.5600668782721687E-3</v>
      </c>
      <c r="I126">
        <f t="shared" si="16"/>
        <v>1.3540167280182379E-3</v>
      </c>
      <c r="J126">
        <f t="shared" si="16"/>
        <v>1.6601434490893384E-3</v>
      </c>
      <c r="K126">
        <f t="shared" si="16"/>
        <v>1.6117444848506824E-3</v>
      </c>
      <c r="L126">
        <f t="shared" si="16"/>
        <v>1.7517222865901622E-4</v>
      </c>
      <c r="M126">
        <f t="shared" si="16"/>
        <v>4.2589073289203616E-3</v>
      </c>
      <c r="N126">
        <f t="shared" si="16"/>
        <v>1.0273978882255643E-3</v>
      </c>
      <c r="O126">
        <f t="shared" si="16"/>
        <v>4.4037951713654985E-3</v>
      </c>
      <c r="P126">
        <f t="shared" si="16"/>
        <v>3.4591139969753272E-3</v>
      </c>
      <c r="Q126">
        <f t="shared" si="16"/>
        <v>0</v>
      </c>
      <c r="R126">
        <f t="shared" si="16"/>
        <v>3.9968007539446022E-2</v>
      </c>
      <c r="S126">
        <f t="shared" si="16"/>
        <v>0.29854383343987523</v>
      </c>
      <c r="T126">
        <f t="shared" si="16"/>
        <v>6.8051036531152201E-2</v>
      </c>
      <c r="U126">
        <f t="shared" si="16"/>
        <v>9.6047031273829506E-3</v>
      </c>
      <c r="V126">
        <f t="shared" si="16"/>
        <v>6.0530610238735023E-2</v>
      </c>
      <c r="W126">
        <f t="shared" si="16"/>
        <v>2.8731761250752486E-2</v>
      </c>
      <c r="X126">
        <f t="shared" si="16"/>
        <v>2.6451619952607981E-2</v>
      </c>
      <c r="Y126">
        <f t="shared" si="16"/>
        <v>1.6237805751341535E-2</v>
      </c>
      <c r="Z126">
        <f t="shared" si="16"/>
        <v>1.8467611554715897E-2</v>
      </c>
      <c r="AA126">
        <f t="shared" si="16"/>
        <v>4.9251451902414408E-4</v>
      </c>
      <c r="AB126">
        <f t="shared" si="16"/>
        <v>0</v>
      </c>
      <c r="AC126">
        <f t="shared" si="16"/>
        <v>1.2997372789111219E-2</v>
      </c>
      <c r="AD126">
        <f t="shared" si="16"/>
        <v>5.3888496683822543E-3</v>
      </c>
      <c r="AE126">
        <f t="shared" si="16"/>
        <v>7.0891300826963534E-4</v>
      </c>
      <c r="AF126">
        <f t="shared" si="16"/>
        <v>1.8807379787060341E-4</v>
      </c>
      <c r="AG126">
        <f t="shared" si="16"/>
        <v>2.8082985726380412E-4</v>
      </c>
      <c r="AH126">
        <f t="shared" si="16"/>
        <v>1.1937785576359309E-4</v>
      </c>
      <c r="AI126">
        <f t="shared" si="16"/>
        <v>7.0508773482028193E-5</v>
      </c>
      <c r="AJ126">
        <f t="shared" si="16"/>
        <v>3.5582877351642338E-5</v>
      </c>
      <c r="AK126">
        <f t="shared" si="16"/>
        <v>3.5793263818914117E-5</v>
      </c>
      <c r="AL126">
        <f t="shared" si="16"/>
        <v>3.0516120722558064E-4</v>
      </c>
      <c r="AM126">
        <f t="shared" si="16"/>
        <v>2.4153138569975351E-4</v>
      </c>
      <c r="AN126">
        <f t="shared" si="16"/>
        <v>1.9516128369193836E-4</v>
      </c>
      <c r="AO126">
        <f t="shared" si="16"/>
        <v>6.8546753224089875E-5</v>
      </c>
      <c r="AP126">
        <f t="shared" si="16"/>
        <v>2.1777200859622801E-4</v>
      </c>
      <c r="AQ126">
        <f t="shared" si="16"/>
        <v>4.0219862973863525E-4</v>
      </c>
      <c r="AR126">
        <f t="shared" si="16"/>
        <v>0</v>
      </c>
    </row>
    <row r="127" spans="2:44" x14ac:dyDescent="0.25">
      <c r="B127" t="s">
        <v>13</v>
      </c>
      <c r="C127">
        <f t="shared" ref="C127:AR127" si="17">IFERROR(C82/C$107,0)</f>
        <v>4.1528470461002151E-3</v>
      </c>
      <c r="D127">
        <f t="shared" si="17"/>
        <v>1.3543105013777885E-2</v>
      </c>
      <c r="E127">
        <f t="shared" si="17"/>
        <v>1.3260282180552597E-2</v>
      </c>
      <c r="F127">
        <f t="shared" si="17"/>
        <v>9.1707966585892284E-3</v>
      </c>
      <c r="G127">
        <f t="shared" si="17"/>
        <v>6.454700774763027E-3</v>
      </c>
      <c r="H127">
        <f t="shared" si="17"/>
        <v>9.9192358655743416E-3</v>
      </c>
      <c r="I127">
        <f t="shared" si="17"/>
        <v>4.6050976274862113E-3</v>
      </c>
      <c r="J127">
        <f t="shared" si="17"/>
        <v>1.5063792245785525E-2</v>
      </c>
      <c r="K127">
        <f t="shared" si="17"/>
        <v>3.9212259372997608E-3</v>
      </c>
      <c r="L127">
        <f t="shared" si="17"/>
        <v>8.588539655204002E-4</v>
      </c>
      <c r="M127">
        <f t="shared" si="17"/>
        <v>4.8687367876170543E-3</v>
      </c>
      <c r="N127">
        <f t="shared" si="17"/>
        <v>2.4754989088401728E-3</v>
      </c>
      <c r="O127">
        <f t="shared" si="17"/>
        <v>1.0637508420002807E-2</v>
      </c>
      <c r="P127">
        <f t="shared" si="17"/>
        <v>1.0258992415714298E-2</v>
      </c>
      <c r="Q127">
        <f t="shared" si="17"/>
        <v>0</v>
      </c>
      <c r="R127">
        <f t="shared" si="17"/>
        <v>3.001063005859305E-2</v>
      </c>
      <c r="S127">
        <f t="shared" si="17"/>
        <v>1.2441081207646273E-2</v>
      </c>
      <c r="T127">
        <f t="shared" si="17"/>
        <v>0.11481815236290566</v>
      </c>
      <c r="U127">
        <f t="shared" si="17"/>
        <v>6.5956481492665175E-3</v>
      </c>
      <c r="V127">
        <f t="shared" si="17"/>
        <v>2.7976210358798864E-2</v>
      </c>
      <c r="W127">
        <f t="shared" si="17"/>
        <v>7.7019605376179121E-2</v>
      </c>
      <c r="X127">
        <f t="shared" si="17"/>
        <v>5.4848199891679314E-2</v>
      </c>
      <c r="Y127">
        <f t="shared" si="17"/>
        <v>3.4415998446210197E-2</v>
      </c>
      <c r="Z127">
        <f t="shared" si="17"/>
        <v>2.4438238142737354E-2</v>
      </c>
      <c r="AA127">
        <f t="shared" si="17"/>
        <v>1.6487281248586201E-3</v>
      </c>
      <c r="AB127">
        <f t="shared" si="17"/>
        <v>0</v>
      </c>
      <c r="AC127">
        <f t="shared" si="17"/>
        <v>6.4471216094841039E-3</v>
      </c>
      <c r="AD127">
        <f t="shared" si="17"/>
        <v>3.8630881354803741E-2</v>
      </c>
      <c r="AE127">
        <f t="shared" si="17"/>
        <v>3.1535816648384967E-3</v>
      </c>
      <c r="AF127">
        <f t="shared" si="17"/>
        <v>1.2920264043979589E-3</v>
      </c>
      <c r="AG127">
        <f t="shared" si="17"/>
        <v>2.3779593043447276E-3</v>
      </c>
      <c r="AH127">
        <f t="shared" si="17"/>
        <v>5.6983791778942932E-4</v>
      </c>
      <c r="AI127">
        <f t="shared" si="17"/>
        <v>1.2680915405113081E-3</v>
      </c>
      <c r="AJ127">
        <f t="shared" si="17"/>
        <v>4.4959719180219049E-4</v>
      </c>
      <c r="AK127">
        <f t="shared" si="17"/>
        <v>1.5537142634179896E-4</v>
      </c>
      <c r="AL127">
        <f t="shared" si="17"/>
        <v>2.765575739224718E-3</v>
      </c>
      <c r="AM127">
        <f t="shared" si="17"/>
        <v>2.3787596897969754E-3</v>
      </c>
      <c r="AN127">
        <f t="shared" si="17"/>
        <v>5.5030926476067436E-3</v>
      </c>
      <c r="AO127">
        <f t="shared" si="17"/>
        <v>1.2809033342122036E-3</v>
      </c>
      <c r="AP127">
        <f t="shared" si="17"/>
        <v>1.0010392108686453E-3</v>
      </c>
      <c r="AQ127">
        <f t="shared" si="17"/>
        <v>2.5739845651876233E-3</v>
      </c>
      <c r="AR127">
        <f t="shared" si="17"/>
        <v>0</v>
      </c>
    </row>
    <row r="128" spans="2:44" x14ac:dyDescent="0.25">
      <c r="B128" t="s">
        <v>14</v>
      </c>
      <c r="C128">
        <f t="shared" ref="C128:AR128" si="18">IFERROR(C83/C$107,0)</f>
        <v>9.604224170401272E-4</v>
      </c>
      <c r="D128">
        <f t="shared" si="18"/>
        <v>1.0868240789630112E-3</v>
      </c>
      <c r="E128">
        <f t="shared" si="18"/>
        <v>1.7557773762701843E-3</v>
      </c>
      <c r="F128">
        <f t="shared" si="18"/>
        <v>1.1855898942341333E-3</v>
      </c>
      <c r="G128">
        <f t="shared" si="18"/>
        <v>7.067813437821131E-4</v>
      </c>
      <c r="H128">
        <f t="shared" si="18"/>
        <v>1.1010001774816756E-3</v>
      </c>
      <c r="I128">
        <f t="shared" si="18"/>
        <v>1.441070240528606E-3</v>
      </c>
      <c r="J128">
        <f t="shared" si="18"/>
        <v>5.5557037360111378E-3</v>
      </c>
      <c r="K128">
        <f t="shared" si="18"/>
        <v>2.0621461199198132E-3</v>
      </c>
      <c r="L128">
        <f t="shared" si="18"/>
        <v>4.7777060911331477E-4</v>
      </c>
      <c r="M128">
        <f t="shared" si="18"/>
        <v>1.7702409097942141E-3</v>
      </c>
      <c r="N128">
        <f t="shared" si="18"/>
        <v>1.1088011245646969E-3</v>
      </c>
      <c r="O128">
        <f t="shared" si="18"/>
        <v>2.3112953810752053E-3</v>
      </c>
      <c r="P128">
        <f t="shared" si="18"/>
        <v>1.5273845858288927E-3</v>
      </c>
      <c r="Q128">
        <f t="shared" si="18"/>
        <v>0</v>
      </c>
      <c r="R128">
        <f t="shared" si="18"/>
        <v>1.1811624095289905E-3</v>
      </c>
      <c r="S128">
        <f t="shared" si="18"/>
        <v>1.3958100153235785E-3</v>
      </c>
      <c r="T128">
        <f t="shared" si="18"/>
        <v>3.2366452120628992E-3</v>
      </c>
      <c r="U128">
        <f t="shared" si="18"/>
        <v>9.1785128894131734E-2</v>
      </c>
      <c r="V128">
        <f t="shared" si="18"/>
        <v>3.0848358682351227E-2</v>
      </c>
      <c r="W128">
        <f t="shared" si="18"/>
        <v>1.6523406597179081E-2</v>
      </c>
      <c r="X128">
        <f t="shared" si="18"/>
        <v>1.1757038658086453E-2</v>
      </c>
      <c r="Y128">
        <f t="shared" si="18"/>
        <v>7.8049779099679042E-3</v>
      </c>
      <c r="Z128">
        <f t="shared" si="18"/>
        <v>7.4395175502758046E-3</v>
      </c>
      <c r="AA128">
        <f t="shared" si="18"/>
        <v>1.6367657212242779E-3</v>
      </c>
      <c r="AB128">
        <f t="shared" si="18"/>
        <v>0</v>
      </c>
      <c r="AC128">
        <f t="shared" si="18"/>
        <v>1.5171871574408511E-3</v>
      </c>
      <c r="AD128">
        <f t="shared" si="18"/>
        <v>3.878059018151987E-3</v>
      </c>
      <c r="AE128">
        <f t="shared" si="18"/>
        <v>2.9206917785562047E-3</v>
      </c>
      <c r="AF128">
        <f t="shared" si="18"/>
        <v>1.1675981140369951E-3</v>
      </c>
      <c r="AG128">
        <f t="shared" si="18"/>
        <v>1.078721355758981E-3</v>
      </c>
      <c r="AH128">
        <f t="shared" si="18"/>
        <v>3.5046885828889244E-3</v>
      </c>
      <c r="AI128">
        <f t="shared" si="18"/>
        <v>2.5175047818934489E-2</v>
      </c>
      <c r="AJ128">
        <f t="shared" si="18"/>
        <v>9.7277621807237043E-3</v>
      </c>
      <c r="AK128">
        <f t="shared" si="18"/>
        <v>1.0105887146994424E-3</v>
      </c>
      <c r="AL128">
        <f t="shared" si="18"/>
        <v>5.1737987081272314E-4</v>
      </c>
      <c r="AM128">
        <f t="shared" si="18"/>
        <v>3.3388083372228499E-3</v>
      </c>
      <c r="AN128">
        <f t="shared" si="18"/>
        <v>3.01945731256794E-3</v>
      </c>
      <c r="AO128">
        <f t="shared" si="18"/>
        <v>2.7002934204980243E-3</v>
      </c>
      <c r="AP128">
        <f t="shared" si="18"/>
        <v>5.5600530826423761E-3</v>
      </c>
      <c r="AQ128">
        <f t="shared" si="18"/>
        <v>3.3580010404893131E-3</v>
      </c>
      <c r="AR128">
        <f t="shared" si="18"/>
        <v>0</v>
      </c>
    </row>
    <row r="129" spans="2:44" x14ac:dyDescent="0.25">
      <c r="B129" t="s">
        <v>15</v>
      </c>
      <c r="C129">
        <f t="shared" ref="C129:AR129" si="19">IFERROR(C84/C$107,0)</f>
        <v>5.8133652789888217E-4</v>
      </c>
      <c r="D129">
        <f t="shared" si="19"/>
        <v>1.409231930821319E-3</v>
      </c>
      <c r="E129">
        <f t="shared" si="19"/>
        <v>9.6267430274281298E-4</v>
      </c>
      <c r="F129">
        <f t="shared" si="19"/>
        <v>2.0181042487290709E-3</v>
      </c>
      <c r="G129">
        <f t="shared" si="19"/>
        <v>1.0273699067969127E-3</v>
      </c>
      <c r="H129">
        <f t="shared" si="19"/>
        <v>5.8034566795130626E-4</v>
      </c>
      <c r="I129">
        <f t="shared" si="19"/>
        <v>5.1811772884188638E-4</v>
      </c>
      <c r="J129">
        <f t="shared" si="19"/>
        <v>5.1368988731342413E-4</v>
      </c>
      <c r="K129">
        <f t="shared" si="19"/>
        <v>1.0115392776154245E-3</v>
      </c>
      <c r="L129">
        <f t="shared" si="19"/>
        <v>1.3458766609346292E-4</v>
      </c>
      <c r="M129">
        <f t="shared" si="19"/>
        <v>5.8721710693137176E-4</v>
      </c>
      <c r="N129">
        <f t="shared" si="19"/>
        <v>3.957287470845221E-4</v>
      </c>
      <c r="O129">
        <f t="shared" si="19"/>
        <v>1.2642221909121296E-3</v>
      </c>
      <c r="P129">
        <f t="shared" si="19"/>
        <v>1.1269228346458019E-3</v>
      </c>
      <c r="Q129">
        <f t="shared" si="19"/>
        <v>0</v>
      </c>
      <c r="R129">
        <f t="shared" si="19"/>
        <v>1.4240005731978318E-3</v>
      </c>
      <c r="S129">
        <f t="shared" si="19"/>
        <v>3.2863416522207222E-3</v>
      </c>
      <c r="T129">
        <f t="shared" si="19"/>
        <v>3.6174106598415132E-3</v>
      </c>
      <c r="U129">
        <f t="shared" si="19"/>
        <v>8.1222131320752202E-3</v>
      </c>
      <c r="V129">
        <f t="shared" si="19"/>
        <v>7.1849460782886371E-2</v>
      </c>
      <c r="W129">
        <f t="shared" si="19"/>
        <v>1.5944630466023468E-2</v>
      </c>
      <c r="X129">
        <f t="shared" si="19"/>
        <v>1.9974347913937315E-2</v>
      </c>
      <c r="Y129">
        <f t="shared" si="19"/>
        <v>7.089965441685513E-3</v>
      </c>
      <c r="Z129">
        <f t="shared" si="19"/>
        <v>4.8090279299676563E-3</v>
      </c>
      <c r="AA129">
        <f t="shared" si="19"/>
        <v>4.8906470304588348E-3</v>
      </c>
      <c r="AB129">
        <f t="shared" si="19"/>
        <v>0</v>
      </c>
      <c r="AC129">
        <f t="shared" si="19"/>
        <v>1.8777581633362607E-3</v>
      </c>
      <c r="AD129">
        <f t="shared" si="19"/>
        <v>9.0878739786381824E-3</v>
      </c>
      <c r="AE129">
        <f t="shared" si="19"/>
        <v>1.7953148009972441E-3</v>
      </c>
      <c r="AF129">
        <f t="shared" si="19"/>
        <v>8.199318175992036E-4</v>
      </c>
      <c r="AG129">
        <f t="shared" si="19"/>
        <v>7.5669056922782977E-4</v>
      </c>
      <c r="AH129">
        <f t="shared" si="19"/>
        <v>6.7725667535298165E-4</v>
      </c>
      <c r="AI129">
        <f t="shared" si="19"/>
        <v>5.4232489056375384E-3</v>
      </c>
      <c r="AJ129">
        <f t="shared" si="19"/>
        <v>1.0990811522673259E-3</v>
      </c>
      <c r="AK129">
        <f t="shared" si="19"/>
        <v>1.3500178777406895E-4</v>
      </c>
      <c r="AL129">
        <f t="shared" si="19"/>
        <v>4.9392626562691781E-4</v>
      </c>
      <c r="AM129">
        <f t="shared" si="19"/>
        <v>1.3528011694522247E-3</v>
      </c>
      <c r="AN129">
        <f t="shared" si="19"/>
        <v>1.5751887337143501E-3</v>
      </c>
      <c r="AO129">
        <f t="shared" si="19"/>
        <v>6.7539925117082397E-4</v>
      </c>
      <c r="AP129">
        <f t="shared" si="19"/>
        <v>1.001808230893573E-3</v>
      </c>
      <c r="AQ129">
        <f t="shared" si="19"/>
        <v>1.6808838946323185E-3</v>
      </c>
      <c r="AR129">
        <f t="shared" si="19"/>
        <v>0</v>
      </c>
    </row>
    <row r="130" spans="2:44" x14ac:dyDescent="0.25">
      <c r="B130" t="s">
        <v>16</v>
      </c>
      <c r="C130">
        <f t="shared" ref="C130:AR130" si="20">IFERROR(C85/C$107,0)</f>
        <v>2.4301723501490634E-3</v>
      </c>
      <c r="D130">
        <f t="shared" si="20"/>
        <v>1.510904720924499E-2</v>
      </c>
      <c r="E130">
        <f t="shared" si="20"/>
        <v>1.4181097608079479E-2</v>
      </c>
      <c r="F130">
        <f t="shared" si="20"/>
        <v>1.1351452994544096E-2</v>
      </c>
      <c r="G130">
        <f t="shared" si="20"/>
        <v>6.5387841685818774E-3</v>
      </c>
      <c r="H130">
        <f t="shared" si="20"/>
        <v>2.7117557909880257E-3</v>
      </c>
      <c r="I130">
        <f t="shared" si="20"/>
        <v>2.6577039157668222E-3</v>
      </c>
      <c r="J130">
        <f t="shared" si="20"/>
        <v>2.9450600192503875E-3</v>
      </c>
      <c r="K130">
        <f t="shared" si="20"/>
        <v>3.6942198649987626E-3</v>
      </c>
      <c r="L130">
        <f t="shared" si="20"/>
        <v>1.1599349221051794E-3</v>
      </c>
      <c r="M130">
        <f t="shared" si="20"/>
        <v>2.0111915821726741E-3</v>
      </c>
      <c r="N130">
        <f t="shared" si="20"/>
        <v>1.1267184359811037E-3</v>
      </c>
      <c r="O130">
        <f t="shared" si="20"/>
        <v>3.7592506745486604E-3</v>
      </c>
      <c r="P130">
        <f t="shared" si="20"/>
        <v>7.9327942363646379E-3</v>
      </c>
      <c r="Q130">
        <f t="shared" si="20"/>
        <v>0</v>
      </c>
      <c r="R130">
        <f t="shared" si="20"/>
        <v>5.0144984889314015E-3</v>
      </c>
      <c r="S130">
        <f t="shared" si="20"/>
        <v>2.6735889320648088E-3</v>
      </c>
      <c r="T130">
        <f t="shared" si="20"/>
        <v>8.0623612020932801E-3</v>
      </c>
      <c r="U130">
        <f t="shared" si="20"/>
        <v>2.6487929713229119E-3</v>
      </c>
      <c r="V130">
        <f t="shared" si="20"/>
        <v>1.3111749176437161E-2</v>
      </c>
      <c r="W130">
        <f t="shared" si="20"/>
        <v>8.1199684307102435E-2</v>
      </c>
      <c r="X130">
        <f t="shared" si="20"/>
        <v>2.1416365221675858E-2</v>
      </c>
      <c r="Y130">
        <f t="shared" si="20"/>
        <v>1.2089343580559103E-2</v>
      </c>
      <c r="Z130">
        <f t="shared" si="20"/>
        <v>9.2946186349508846E-3</v>
      </c>
      <c r="AA130">
        <f t="shared" si="20"/>
        <v>3.0022828866276422E-3</v>
      </c>
      <c r="AB130">
        <f t="shared" si="20"/>
        <v>0</v>
      </c>
      <c r="AC130">
        <f t="shared" si="20"/>
        <v>4.8030710777580751E-3</v>
      </c>
      <c r="AD130">
        <f t="shared" si="20"/>
        <v>7.5855925096798256E-3</v>
      </c>
      <c r="AE130">
        <f t="shared" si="20"/>
        <v>2.2293953162891519E-3</v>
      </c>
      <c r="AF130">
        <f t="shared" si="20"/>
        <v>1.2142756885837661E-3</v>
      </c>
      <c r="AG130">
        <f t="shared" si="20"/>
        <v>5.5173956722538177E-4</v>
      </c>
      <c r="AH130">
        <f t="shared" si="20"/>
        <v>6.4734378117428291E-4</v>
      </c>
      <c r="AI130">
        <f t="shared" si="20"/>
        <v>1.257297201987913E-3</v>
      </c>
      <c r="AJ130">
        <f t="shared" si="20"/>
        <v>6.599064119334892E-4</v>
      </c>
      <c r="AK130">
        <f t="shared" si="20"/>
        <v>4.5812668009854421E-4</v>
      </c>
      <c r="AL130">
        <f t="shared" si="20"/>
        <v>3.0989022421506389E-4</v>
      </c>
      <c r="AM130">
        <f t="shared" si="20"/>
        <v>1.7357422883209565E-3</v>
      </c>
      <c r="AN130">
        <f t="shared" si="20"/>
        <v>1.7564944308163619E-3</v>
      </c>
      <c r="AO130">
        <f t="shared" si="20"/>
        <v>8.152705156127195E-4</v>
      </c>
      <c r="AP130">
        <f t="shared" si="20"/>
        <v>1.1598255014515179E-3</v>
      </c>
      <c r="AQ130">
        <f t="shared" si="20"/>
        <v>1.1940680475934411E-3</v>
      </c>
      <c r="AR130">
        <f t="shared" si="20"/>
        <v>0</v>
      </c>
    </row>
    <row r="131" spans="2:44" x14ac:dyDescent="0.25">
      <c r="B131" t="s">
        <v>17</v>
      </c>
      <c r="C131">
        <f t="shared" ref="C131:AR131" si="21">IFERROR(C86/C$107,0)</f>
        <v>4.7467413937628782E-4</v>
      </c>
      <c r="D131">
        <f t="shared" si="21"/>
        <v>4.6003240127308879E-4</v>
      </c>
      <c r="E131">
        <f t="shared" si="21"/>
        <v>8.1160478320242506E-4</v>
      </c>
      <c r="F131">
        <f t="shared" si="21"/>
        <v>1.3452349737745558E-3</v>
      </c>
      <c r="G131">
        <f t="shared" si="21"/>
        <v>4.5570968120734265E-4</v>
      </c>
      <c r="H131">
        <f t="shared" si="21"/>
        <v>3.1997308555431947E-4</v>
      </c>
      <c r="I131">
        <f t="shared" si="21"/>
        <v>2.8578606259161375E-4</v>
      </c>
      <c r="J131">
        <f t="shared" si="21"/>
        <v>3.7360001384398501E-4</v>
      </c>
      <c r="K131">
        <f t="shared" si="21"/>
        <v>2.6295687235048005E-4</v>
      </c>
      <c r="L131">
        <f t="shared" si="21"/>
        <v>8.5932496844175451E-5</v>
      </c>
      <c r="M131">
        <f t="shared" si="21"/>
        <v>2.4253750408128959E-4</v>
      </c>
      <c r="N131">
        <f t="shared" si="21"/>
        <v>1.4386555266723787E-4</v>
      </c>
      <c r="O131">
        <f t="shared" si="21"/>
        <v>7.0842231066796434E-4</v>
      </c>
      <c r="P131">
        <f t="shared" si="21"/>
        <v>1.0049216964946744E-3</v>
      </c>
      <c r="Q131">
        <f t="shared" si="21"/>
        <v>0</v>
      </c>
      <c r="R131">
        <f t="shared" si="21"/>
        <v>5.6284338775034512E-4</v>
      </c>
      <c r="S131">
        <f t="shared" si="21"/>
        <v>6.7343446718779972E-4</v>
      </c>
      <c r="T131">
        <f t="shared" si="21"/>
        <v>1.1423073676171667E-3</v>
      </c>
      <c r="U131">
        <f t="shared" si="21"/>
        <v>7.8779163250507884E-4</v>
      </c>
      <c r="V131">
        <f t="shared" si="21"/>
        <v>2.6771956860386628E-3</v>
      </c>
      <c r="W131">
        <f t="shared" si="21"/>
        <v>3.9518414195923801E-3</v>
      </c>
      <c r="X131">
        <f t="shared" si="21"/>
        <v>0.17807706582352931</v>
      </c>
      <c r="Y131">
        <f t="shared" si="21"/>
        <v>4.2820379463848679E-3</v>
      </c>
      <c r="Z131">
        <f t="shared" si="21"/>
        <v>1.1482252174764224E-3</v>
      </c>
      <c r="AA131">
        <f t="shared" si="21"/>
        <v>3.388921488242912E-4</v>
      </c>
      <c r="AB131">
        <f t="shared" si="21"/>
        <v>0</v>
      </c>
      <c r="AC131">
        <f t="shared" si="21"/>
        <v>1.3909396562486829E-3</v>
      </c>
      <c r="AD131">
        <f t="shared" si="21"/>
        <v>9.3589766695321476E-4</v>
      </c>
      <c r="AE131">
        <f t="shared" si="21"/>
        <v>8.1920160052435086E-3</v>
      </c>
      <c r="AF131">
        <f t="shared" si="21"/>
        <v>3.7903950985547141E-3</v>
      </c>
      <c r="AG131">
        <f t="shared" si="21"/>
        <v>1.4576653995343299E-4</v>
      </c>
      <c r="AH131">
        <f t="shared" si="21"/>
        <v>1.4475554899126745E-4</v>
      </c>
      <c r="AI131">
        <f t="shared" si="21"/>
        <v>4.0507690814917E-4</v>
      </c>
      <c r="AJ131">
        <f t="shared" si="21"/>
        <v>2.3334253881032144E-4</v>
      </c>
      <c r="AK131">
        <f t="shared" si="21"/>
        <v>1.1364634781293225E-4</v>
      </c>
      <c r="AL131">
        <f t="shared" si="21"/>
        <v>1.3214013906082627E-4</v>
      </c>
      <c r="AM131">
        <f t="shared" si="21"/>
        <v>7.8061118655655824E-4</v>
      </c>
      <c r="AN131">
        <f t="shared" si="21"/>
        <v>5.9121282198678195E-4</v>
      </c>
      <c r="AO131">
        <f t="shared" si="21"/>
        <v>3.0871947613745574E-4</v>
      </c>
      <c r="AP131">
        <f t="shared" si="21"/>
        <v>2.7212874776481595E-4</v>
      </c>
      <c r="AQ131">
        <f t="shared" si="21"/>
        <v>4.1747022405601286E-4</v>
      </c>
      <c r="AR131">
        <f t="shared" si="21"/>
        <v>0</v>
      </c>
    </row>
    <row r="132" spans="2:44" x14ac:dyDescent="0.25">
      <c r="B132" t="s">
        <v>18</v>
      </c>
      <c r="C132">
        <f t="shared" ref="C132:AR132" si="22">IFERROR(C87/C$107,0)</f>
        <v>1.7147893431307846E-4</v>
      </c>
      <c r="D132">
        <f t="shared" si="22"/>
        <v>4.0356534987165291E-4</v>
      </c>
      <c r="E132">
        <f t="shared" si="22"/>
        <v>3.115670543356742E-4</v>
      </c>
      <c r="F132">
        <f t="shared" si="22"/>
        <v>2.635305470999909E-4</v>
      </c>
      <c r="G132">
        <f t="shared" si="22"/>
        <v>1.3758815105173932E-4</v>
      </c>
      <c r="H132">
        <f t="shared" si="22"/>
        <v>1.8800835139041018E-4</v>
      </c>
      <c r="I132">
        <f t="shared" si="22"/>
        <v>1.2598977223546298E-4</v>
      </c>
      <c r="J132">
        <f t="shared" si="22"/>
        <v>1.5872066294022699E-4</v>
      </c>
      <c r="K132">
        <f t="shared" si="22"/>
        <v>1.2695758449519793E-4</v>
      </c>
      <c r="L132">
        <f t="shared" si="22"/>
        <v>1.5166067078245361E-4</v>
      </c>
      <c r="M132">
        <f t="shared" si="22"/>
        <v>1.3475682151469574E-4</v>
      </c>
      <c r="N132">
        <f t="shared" si="22"/>
        <v>7.4878771801063418E-5</v>
      </c>
      <c r="O132">
        <f t="shared" si="22"/>
        <v>2.5304137035071469E-4</v>
      </c>
      <c r="P132">
        <f t="shared" si="22"/>
        <v>1.669037867465355E-4</v>
      </c>
      <c r="Q132">
        <f t="shared" si="22"/>
        <v>0</v>
      </c>
      <c r="R132">
        <f t="shared" si="22"/>
        <v>2.1681349066646392E-4</v>
      </c>
      <c r="S132">
        <f t="shared" si="22"/>
        <v>1.5424230514024539E-4</v>
      </c>
      <c r="T132">
        <f t="shared" si="22"/>
        <v>7.0183661704634691E-4</v>
      </c>
      <c r="U132">
        <f t="shared" si="22"/>
        <v>2.7971081538075268E-4</v>
      </c>
      <c r="V132">
        <f t="shared" si="22"/>
        <v>8.5153185101277847E-4</v>
      </c>
      <c r="W132">
        <f t="shared" si="22"/>
        <v>1.3254561118412325E-3</v>
      </c>
      <c r="X132">
        <f t="shared" si="22"/>
        <v>9.9173401957563349E-3</v>
      </c>
      <c r="Y132">
        <f t="shared" si="22"/>
        <v>0.19143809815644044</v>
      </c>
      <c r="Z132">
        <f t="shared" si="22"/>
        <v>2.8662461164310963E-3</v>
      </c>
      <c r="AA132">
        <f t="shared" si="22"/>
        <v>1.0688574013763279E-4</v>
      </c>
      <c r="AB132">
        <f t="shared" si="22"/>
        <v>0</v>
      </c>
      <c r="AC132">
        <f t="shared" si="22"/>
        <v>1.5794875829547024E-4</v>
      </c>
      <c r="AD132">
        <f t="shared" si="22"/>
        <v>3.4438551386834122E-4</v>
      </c>
      <c r="AE132">
        <f t="shared" si="22"/>
        <v>7.3365067050460493E-4</v>
      </c>
      <c r="AF132">
        <f t="shared" si="22"/>
        <v>5.8544718229192848E-3</v>
      </c>
      <c r="AG132">
        <f t="shared" si="22"/>
        <v>6.3717566375806525E-5</v>
      </c>
      <c r="AH132">
        <f t="shared" si="22"/>
        <v>4.52308200814678E-5</v>
      </c>
      <c r="AI132">
        <f t="shared" si="22"/>
        <v>1.1100756541934965E-4</v>
      </c>
      <c r="AJ132">
        <f t="shared" si="22"/>
        <v>1.3150681411540536E-4</v>
      </c>
      <c r="AK132">
        <f t="shared" si="22"/>
        <v>4.176787784180647E-5</v>
      </c>
      <c r="AL132">
        <f t="shared" si="22"/>
        <v>5.871253743751712E-5</v>
      </c>
      <c r="AM132">
        <f t="shared" si="22"/>
        <v>3.2598126127712671E-4</v>
      </c>
      <c r="AN132">
        <f t="shared" si="22"/>
        <v>4.2296419659430063E-3</v>
      </c>
      <c r="AO132">
        <f t="shared" si="22"/>
        <v>9.3209471441193235E-5</v>
      </c>
      <c r="AP132">
        <f t="shared" si="22"/>
        <v>2.8667673113892266E-4</v>
      </c>
      <c r="AQ132">
        <f t="shared" si="22"/>
        <v>2.8372603272064741E-4</v>
      </c>
      <c r="AR132">
        <f t="shared" si="22"/>
        <v>0</v>
      </c>
    </row>
    <row r="133" spans="2:44" x14ac:dyDescent="0.25">
      <c r="B133" t="s">
        <v>19</v>
      </c>
      <c r="C133">
        <f t="shared" ref="C133:AR133" si="23">IFERROR(C88/C$107,0)</f>
        <v>4.5353597122550857E-3</v>
      </c>
      <c r="D133">
        <f t="shared" si="23"/>
        <v>4.0175800917966109E-3</v>
      </c>
      <c r="E133">
        <f t="shared" si="23"/>
        <v>6.0656617847697838E-3</v>
      </c>
      <c r="F133">
        <f t="shared" si="23"/>
        <v>5.938444455609591E-3</v>
      </c>
      <c r="G133">
        <f t="shared" si="23"/>
        <v>2.6427578812625255E-3</v>
      </c>
      <c r="H133">
        <f t="shared" si="23"/>
        <v>2.9235113775573198E-3</v>
      </c>
      <c r="I133">
        <f t="shared" si="23"/>
        <v>4.7552704672853075E-3</v>
      </c>
      <c r="J133">
        <f t="shared" si="23"/>
        <v>3.2307051065436549E-3</v>
      </c>
      <c r="K133">
        <f t="shared" si="23"/>
        <v>3.8537680412412487E-3</v>
      </c>
      <c r="L133">
        <f t="shared" si="23"/>
        <v>9.6763521131084708E-4</v>
      </c>
      <c r="M133">
        <f t="shared" si="23"/>
        <v>2.3793475133377399E-3</v>
      </c>
      <c r="N133">
        <f t="shared" si="23"/>
        <v>1.8977758824405559E-3</v>
      </c>
      <c r="O133">
        <f t="shared" si="23"/>
        <v>3.0522213790510327E-3</v>
      </c>
      <c r="P133">
        <f t="shared" si="23"/>
        <v>4.1607139350650253E-3</v>
      </c>
      <c r="Q133">
        <f t="shared" si="23"/>
        <v>0</v>
      </c>
      <c r="R133">
        <f t="shared" si="23"/>
        <v>4.7741040748087663E-3</v>
      </c>
      <c r="S133">
        <f t="shared" si="23"/>
        <v>4.4183298122875848E-3</v>
      </c>
      <c r="T133">
        <f t="shared" si="23"/>
        <v>3.4130182792462098E-3</v>
      </c>
      <c r="U133">
        <f t="shared" si="23"/>
        <v>1.9718332742967087E-3</v>
      </c>
      <c r="V133">
        <f t="shared" si="23"/>
        <v>3.3710477882745371E-3</v>
      </c>
      <c r="W133">
        <f t="shared" si="23"/>
        <v>4.0633953567837848E-3</v>
      </c>
      <c r="X133">
        <f t="shared" si="23"/>
        <v>3.8139822075401362E-3</v>
      </c>
      <c r="Y133">
        <f t="shared" si="23"/>
        <v>3.6026108443975779E-3</v>
      </c>
      <c r="Z133">
        <f t="shared" si="23"/>
        <v>2.014043377356237E-2</v>
      </c>
      <c r="AA133">
        <f t="shared" si="23"/>
        <v>3.2263095162835941E-3</v>
      </c>
      <c r="AB133">
        <f t="shared" si="23"/>
        <v>0</v>
      </c>
      <c r="AC133">
        <f t="shared" si="23"/>
        <v>4.6733941358690469E-3</v>
      </c>
      <c r="AD133">
        <f t="shared" si="23"/>
        <v>3.0663777482750217E-3</v>
      </c>
      <c r="AE133">
        <f t="shared" si="23"/>
        <v>1.9620302172590949E-3</v>
      </c>
      <c r="AF133">
        <f t="shared" si="23"/>
        <v>3.9578068504090179E-3</v>
      </c>
      <c r="AG133">
        <f t="shared" si="23"/>
        <v>2.3779428411520049E-3</v>
      </c>
      <c r="AH133">
        <f t="shared" si="23"/>
        <v>1.012463501139446E-3</v>
      </c>
      <c r="AI133">
        <f t="shared" si="23"/>
        <v>2.5089881110906334E-3</v>
      </c>
      <c r="AJ133">
        <f t="shared" si="23"/>
        <v>1.1609422148240063E-3</v>
      </c>
      <c r="AK133">
        <f t="shared" si="23"/>
        <v>9.1264291219558911E-4</v>
      </c>
      <c r="AL133">
        <f t="shared" si="23"/>
        <v>8.5789841578235164E-4</v>
      </c>
      <c r="AM133">
        <f t="shared" si="23"/>
        <v>2.2113477903491926E-3</v>
      </c>
      <c r="AN133">
        <f t="shared" si="23"/>
        <v>3.1563564117662083E-3</v>
      </c>
      <c r="AO133">
        <f t="shared" si="23"/>
        <v>3.9491346388108497E-3</v>
      </c>
      <c r="AP133">
        <f t="shared" si="23"/>
        <v>8.9772257572487101E-3</v>
      </c>
      <c r="AQ133">
        <f t="shared" si="23"/>
        <v>4.3090853219004289E-3</v>
      </c>
      <c r="AR133">
        <f t="shared" si="23"/>
        <v>0</v>
      </c>
    </row>
    <row r="134" spans="2:44" x14ac:dyDescent="0.25">
      <c r="B134" t="s">
        <v>873</v>
      </c>
      <c r="C134">
        <f t="shared" ref="C134:AR134" si="24">IFERROR(C89/C$107,0)</f>
        <v>1.2925652267837187E-2</v>
      </c>
      <c r="D134">
        <f t="shared" si="24"/>
        <v>2.1551377301010741E-2</v>
      </c>
      <c r="E134">
        <f t="shared" si="24"/>
        <v>2.8741595803900195E-2</v>
      </c>
      <c r="F134">
        <f t="shared" si="24"/>
        <v>2.7765837555266053E-2</v>
      </c>
      <c r="G134">
        <f t="shared" si="24"/>
        <v>3.3579931338232859E-3</v>
      </c>
      <c r="H134">
        <f t="shared" si="24"/>
        <v>1.5618788281340343E-2</v>
      </c>
      <c r="I134">
        <f t="shared" si="24"/>
        <v>2.1525183899508166E-2</v>
      </c>
      <c r="J134">
        <f t="shared" si="24"/>
        <v>9.455507767085234E-3</v>
      </c>
      <c r="K134">
        <f t="shared" si="24"/>
        <v>2.647182729697856E-2</v>
      </c>
      <c r="L134">
        <f t="shared" si="24"/>
        <v>7.1955297886767983E-3</v>
      </c>
      <c r="M134">
        <f t="shared" si="24"/>
        <v>1.6208256520238547E-2</v>
      </c>
      <c r="N134">
        <f t="shared" si="24"/>
        <v>5.6594903095515273E-3</v>
      </c>
      <c r="O134">
        <f t="shared" si="24"/>
        <v>1.6526056878963143E-2</v>
      </c>
      <c r="P134">
        <f t="shared" si="24"/>
        <v>2.8944929190301592E-2</v>
      </c>
      <c r="Q134">
        <f t="shared" si="24"/>
        <v>0</v>
      </c>
      <c r="R134">
        <f t="shared" si="24"/>
        <v>3.1095619586496415E-2</v>
      </c>
      <c r="S134">
        <f t="shared" si="24"/>
        <v>1.9645299824957118E-2</v>
      </c>
      <c r="T134">
        <f t="shared" si="24"/>
        <v>1.1013001278922466E-2</v>
      </c>
      <c r="U134">
        <f t="shared" si="24"/>
        <v>3.1219827071336131E-3</v>
      </c>
      <c r="V134">
        <f t="shared" si="24"/>
        <v>6.50279929531925E-3</v>
      </c>
      <c r="W134">
        <f t="shared" si="24"/>
        <v>6.7729000304235371E-3</v>
      </c>
      <c r="X134">
        <f t="shared" si="24"/>
        <v>8.9788326836016813E-3</v>
      </c>
      <c r="Y134">
        <f t="shared" si="24"/>
        <v>5.294874817124989E-3</v>
      </c>
      <c r="Z134">
        <f t="shared" si="24"/>
        <v>5.6620792130405509E-3</v>
      </c>
      <c r="AA134">
        <f t="shared" si="24"/>
        <v>6.5245075134872099E-2</v>
      </c>
      <c r="AB134">
        <f t="shared" si="24"/>
        <v>0</v>
      </c>
      <c r="AC134">
        <f t="shared" si="24"/>
        <v>1.8493430753997613E-2</v>
      </c>
      <c r="AD134">
        <f t="shared" si="24"/>
        <v>2.5021474617125893E-3</v>
      </c>
      <c r="AE134">
        <f t="shared" si="24"/>
        <v>1.1118256213542819E-2</v>
      </c>
      <c r="AF134">
        <f t="shared" si="24"/>
        <v>7.1291163038215604E-3</v>
      </c>
      <c r="AG134">
        <f t="shared" si="24"/>
        <v>2.2377543887886951E-2</v>
      </c>
      <c r="AH134">
        <f t="shared" si="24"/>
        <v>3.8867685544640689E-3</v>
      </c>
      <c r="AI134">
        <f t="shared" si="24"/>
        <v>1.0658921336731134E-2</v>
      </c>
      <c r="AJ134">
        <f t="shared" si="24"/>
        <v>2.5474923730178663E-3</v>
      </c>
      <c r="AK134">
        <f t="shared" si="24"/>
        <v>3.173398707547312E-3</v>
      </c>
      <c r="AL134">
        <f t="shared" si="24"/>
        <v>7.9871246573700958E-3</v>
      </c>
      <c r="AM134">
        <f t="shared" si="24"/>
        <v>3.6379673518526895E-3</v>
      </c>
      <c r="AN134">
        <f t="shared" si="24"/>
        <v>1.2045204947107469E-2</v>
      </c>
      <c r="AO134">
        <f t="shared" si="24"/>
        <v>1.4438573542077051E-2</v>
      </c>
      <c r="AP134">
        <f t="shared" si="24"/>
        <v>1.190082064372174E-2</v>
      </c>
      <c r="AQ134">
        <f t="shared" si="24"/>
        <v>1.4058938624021225E-2</v>
      </c>
      <c r="AR134">
        <f t="shared" si="24"/>
        <v>0</v>
      </c>
    </row>
    <row r="135" spans="2:44" x14ac:dyDescent="0.25">
      <c r="B135" t="s">
        <v>874</v>
      </c>
      <c r="C135">
        <f t="shared" ref="C135:AR135" si="25">IFERROR(C90/C$107,0)</f>
        <v>0</v>
      </c>
      <c r="D135">
        <f t="shared" si="25"/>
        <v>0</v>
      </c>
      <c r="E135">
        <f t="shared" si="25"/>
        <v>0</v>
      </c>
      <c r="F135">
        <f t="shared" si="25"/>
        <v>0</v>
      </c>
      <c r="G135">
        <f t="shared" si="25"/>
        <v>0</v>
      </c>
      <c r="H135">
        <f t="shared" si="25"/>
        <v>0</v>
      </c>
      <c r="I135">
        <f t="shared" si="25"/>
        <v>0</v>
      </c>
      <c r="J135">
        <f t="shared" si="25"/>
        <v>0</v>
      </c>
      <c r="K135">
        <f t="shared" si="25"/>
        <v>0</v>
      </c>
      <c r="L135">
        <f t="shared" si="25"/>
        <v>0</v>
      </c>
      <c r="M135">
        <f t="shared" si="25"/>
        <v>0</v>
      </c>
      <c r="N135">
        <f t="shared" si="25"/>
        <v>0</v>
      </c>
      <c r="O135">
        <f t="shared" si="25"/>
        <v>0</v>
      </c>
      <c r="P135">
        <f t="shared" si="25"/>
        <v>0</v>
      </c>
      <c r="Q135">
        <f t="shared" si="25"/>
        <v>0</v>
      </c>
      <c r="R135">
        <f t="shared" si="25"/>
        <v>0</v>
      </c>
      <c r="S135">
        <f t="shared" si="25"/>
        <v>0</v>
      </c>
      <c r="T135">
        <f t="shared" si="25"/>
        <v>0</v>
      </c>
      <c r="U135">
        <f t="shared" si="25"/>
        <v>0</v>
      </c>
      <c r="V135">
        <f t="shared" si="25"/>
        <v>0</v>
      </c>
      <c r="W135">
        <f t="shared" si="25"/>
        <v>0</v>
      </c>
      <c r="X135">
        <f t="shared" si="25"/>
        <v>0</v>
      </c>
      <c r="Y135">
        <f t="shared" si="25"/>
        <v>0</v>
      </c>
      <c r="Z135">
        <f t="shared" si="25"/>
        <v>0</v>
      </c>
      <c r="AA135">
        <f t="shared" si="25"/>
        <v>0</v>
      </c>
      <c r="AB135">
        <f t="shared" si="25"/>
        <v>0</v>
      </c>
      <c r="AC135">
        <f t="shared" si="25"/>
        <v>0</v>
      </c>
      <c r="AD135">
        <f t="shared" si="25"/>
        <v>0</v>
      </c>
      <c r="AE135">
        <f t="shared" si="25"/>
        <v>0</v>
      </c>
      <c r="AF135">
        <f t="shared" si="25"/>
        <v>0</v>
      </c>
      <c r="AG135">
        <f t="shared" si="25"/>
        <v>0</v>
      </c>
      <c r="AH135">
        <f t="shared" si="25"/>
        <v>0</v>
      </c>
      <c r="AI135">
        <f t="shared" si="25"/>
        <v>0</v>
      </c>
      <c r="AJ135">
        <f t="shared" si="25"/>
        <v>0</v>
      </c>
      <c r="AK135">
        <f t="shared" si="25"/>
        <v>0</v>
      </c>
      <c r="AL135">
        <f t="shared" si="25"/>
        <v>0</v>
      </c>
      <c r="AM135">
        <f t="shared" si="25"/>
        <v>0</v>
      </c>
      <c r="AN135">
        <f t="shared" si="25"/>
        <v>0</v>
      </c>
      <c r="AO135">
        <f t="shared" si="25"/>
        <v>0</v>
      </c>
      <c r="AP135">
        <f t="shared" si="25"/>
        <v>0</v>
      </c>
      <c r="AQ135">
        <f t="shared" si="25"/>
        <v>0</v>
      </c>
      <c r="AR135">
        <f t="shared" si="25"/>
        <v>0</v>
      </c>
    </row>
    <row r="136" spans="2:44" x14ac:dyDescent="0.25">
      <c r="B136" t="s">
        <v>875</v>
      </c>
      <c r="C136">
        <f t="shared" ref="C136:AR136" si="26">IFERROR(C91/C$107,0)</f>
        <v>9.6635714294504495E-4</v>
      </c>
      <c r="D136">
        <f t="shared" si="26"/>
        <v>9.9176585950716133E-4</v>
      </c>
      <c r="E136">
        <f t="shared" si="26"/>
        <v>1.2207151029129768E-3</v>
      </c>
      <c r="F136">
        <f t="shared" si="26"/>
        <v>1.8421043897303888E-3</v>
      </c>
      <c r="G136">
        <f t="shared" si="26"/>
        <v>7.6083607649316649E-4</v>
      </c>
      <c r="H136">
        <f t="shared" si="26"/>
        <v>1.336279916179219E-3</v>
      </c>
      <c r="I136">
        <f t="shared" si="26"/>
        <v>1.0037286584601585E-3</v>
      </c>
      <c r="J136">
        <f t="shared" si="26"/>
        <v>9.8876922926305561E-4</v>
      </c>
      <c r="K136">
        <f t="shared" si="26"/>
        <v>7.0367562145492455E-3</v>
      </c>
      <c r="L136">
        <f t="shared" si="26"/>
        <v>5.0347147936407558E-4</v>
      </c>
      <c r="M136">
        <f t="shared" si="26"/>
        <v>8.1265226577277832E-4</v>
      </c>
      <c r="N136">
        <f t="shared" si="26"/>
        <v>5.2816261677498145E-4</v>
      </c>
      <c r="O136">
        <f t="shared" si="26"/>
        <v>9.2955935248386907E-4</v>
      </c>
      <c r="P136">
        <f t="shared" si="26"/>
        <v>1.6862275736946961E-3</v>
      </c>
      <c r="Q136">
        <f t="shared" si="26"/>
        <v>0</v>
      </c>
      <c r="R136">
        <f t="shared" si="26"/>
        <v>1.7558053285933663E-2</v>
      </c>
      <c r="S136">
        <f t="shared" si="26"/>
        <v>1.2312477945291686E-2</v>
      </c>
      <c r="T136">
        <f t="shared" si="26"/>
        <v>1.1519161312187928E-3</v>
      </c>
      <c r="U136">
        <f t="shared" si="26"/>
        <v>1.701085755257165E-4</v>
      </c>
      <c r="V136">
        <f t="shared" si="26"/>
        <v>4.6558594374205127E-4</v>
      </c>
      <c r="W136">
        <f t="shared" si="26"/>
        <v>7.4992293179288046E-4</v>
      </c>
      <c r="X136">
        <f t="shared" si="26"/>
        <v>5.1720239590241168E-4</v>
      </c>
      <c r="Y136">
        <f t="shared" si="26"/>
        <v>7.0558010041231597E-4</v>
      </c>
      <c r="Z136">
        <f t="shared" si="26"/>
        <v>4.2609169032832675E-4</v>
      </c>
      <c r="AA136">
        <f t="shared" si="26"/>
        <v>1.2479418341643281E-3</v>
      </c>
      <c r="AB136">
        <f t="shared" si="26"/>
        <v>0</v>
      </c>
      <c r="AC136">
        <f t="shared" si="26"/>
        <v>6.784817792130228E-2</v>
      </c>
      <c r="AD136">
        <f t="shared" si="26"/>
        <v>5.651307803615827E-4</v>
      </c>
      <c r="AE136">
        <f t="shared" si="26"/>
        <v>1.0216882010163509E-3</v>
      </c>
      <c r="AF136">
        <f t="shared" si="26"/>
        <v>3.7076117570864864E-4</v>
      </c>
      <c r="AG136">
        <f t="shared" si="26"/>
        <v>1.7077412970001569E-3</v>
      </c>
      <c r="AH136">
        <f t="shared" si="26"/>
        <v>1.9829829230847595E-4</v>
      </c>
      <c r="AI136">
        <f t="shared" si="26"/>
        <v>2.1924164732142138E-4</v>
      </c>
      <c r="AJ136">
        <f t="shared" si="26"/>
        <v>1.4299767900903014E-4</v>
      </c>
      <c r="AK136">
        <f t="shared" si="26"/>
        <v>2.2747267949153822E-4</v>
      </c>
      <c r="AL136">
        <f t="shared" si="26"/>
        <v>9.5150625163195526E-4</v>
      </c>
      <c r="AM136">
        <f t="shared" si="26"/>
        <v>4.9643503438580436E-4</v>
      </c>
      <c r="AN136">
        <f t="shared" si="26"/>
        <v>5.061596990430085E-3</v>
      </c>
      <c r="AO136">
        <f t="shared" si="26"/>
        <v>1.5643115022342122E-3</v>
      </c>
      <c r="AP136">
        <f t="shared" si="26"/>
        <v>2.3422669275777381E-3</v>
      </c>
      <c r="AQ136">
        <f t="shared" si="26"/>
        <v>1.0014764892777661E-3</v>
      </c>
      <c r="AR136">
        <f t="shared" si="26"/>
        <v>0</v>
      </c>
    </row>
    <row r="137" spans="2:44" x14ac:dyDescent="0.25">
      <c r="B137" t="s">
        <v>20</v>
      </c>
      <c r="C137">
        <f t="shared" ref="C137:AR137" si="27">IFERROR(C92/C$107,0)</f>
        <v>5.285347895146353E-3</v>
      </c>
      <c r="D137">
        <f t="shared" si="27"/>
        <v>4.8896219756826261E-3</v>
      </c>
      <c r="E137">
        <f t="shared" si="27"/>
        <v>3.4271773771552857E-3</v>
      </c>
      <c r="F137">
        <f t="shared" si="27"/>
        <v>3.8398595846618495E-3</v>
      </c>
      <c r="G137">
        <f t="shared" si="27"/>
        <v>3.4201403628559071E-3</v>
      </c>
      <c r="H137">
        <f t="shared" si="27"/>
        <v>1.073823151496425E-3</v>
      </c>
      <c r="I137">
        <f t="shared" si="27"/>
        <v>1.326473748837702E-3</v>
      </c>
      <c r="J137">
        <f t="shared" si="27"/>
        <v>1.1753955495212435E-3</v>
      </c>
      <c r="K137">
        <f t="shared" si="27"/>
        <v>1.3397390515721547E-3</v>
      </c>
      <c r="L137">
        <f t="shared" si="27"/>
        <v>6.2734411273343007E-4</v>
      </c>
      <c r="M137">
        <f t="shared" si="27"/>
        <v>8.2500979605933903E-4</v>
      </c>
      <c r="N137">
        <f t="shared" si="27"/>
        <v>5.5166400434578165E-4</v>
      </c>
      <c r="O137">
        <f t="shared" si="27"/>
        <v>1.1741833545712711E-3</v>
      </c>
      <c r="P137">
        <f t="shared" si="27"/>
        <v>2.7350574729698577E-3</v>
      </c>
      <c r="Q137">
        <f t="shared" si="27"/>
        <v>0</v>
      </c>
      <c r="R137">
        <f t="shared" si="27"/>
        <v>2.02080452165215E-3</v>
      </c>
      <c r="S137">
        <f t="shared" si="27"/>
        <v>1.6481817844363259E-3</v>
      </c>
      <c r="T137">
        <f t="shared" si="27"/>
        <v>2.4908150979667024E-3</v>
      </c>
      <c r="U137">
        <f t="shared" si="27"/>
        <v>3.3090864115469453E-4</v>
      </c>
      <c r="V137">
        <f t="shared" si="27"/>
        <v>1.1315567010504496E-3</v>
      </c>
      <c r="W137">
        <f t="shared" si="27"/>
        <v>1.3523106117280729E-3</v>
      </c>
      <c r="X137">
        <f t="shared" si="27"/>
        <v>1.2263506731516934E-3</v>
      </c>
      <c r="Y137">
        <f t="shared" si="27"/>
        <v>1.0440069058040382E-3</v>
      </c>
      <c r="Z137">
        <f t="shared" si="27"/>
        <v>2.4508080089221916E-3</v>
      </c>
      <c r="AA137">
        <f t="shared" si="27"/>
        <v>6.6390962395191057E-3</v>
      </c>
      <c r="AB137">
        <f t="shared" si="27"/>
        <v>0</v>
      </c>
      <c r="AC137">
        <f t="shared" si="27"/>
        <v>1.0823613051525538E-2</v>
      </c>
      <c r="AD137">
        <f t="shared" si="27"/>
        <v>6.770480076590632E-2</v>
      </c>
      <c r="AE137">
        <f t="shared" si="27"/>
        <v>3.8617517425634561E-3</v>
      </c>
      <c r="AF137">
        <f t="shared" si="27"/>
        <v>3.6452723925473138E-3</v>
      </c>
      <c r="AG137">
        <f t="shared" si="27"/>
        <v>3.7393214685670683E-3</v>
      </c>
      <c r="AH137">
        <f t="shared" si="27"/>
        <v>1.1147170816696271E-3</v>
      </c>
      <c r="AI137">
        <f t="shared" si="27"/>
        <v>6.0778488584195016E-3</v>
      </c>
      <c r="AJ137">
        <f t="shared" si="27"/>
        <v>6.6767988595906123E-4</v>
      </c>
      <c r="AK137">
        <f t="shared" si="27"/>
        <v>1.7642177239268182E-3</v>
      </c>
      <c r="AL137">
        <f t="shared" si="27"/>
        <v>3.0102237439970387E-2</v>
      </c>
      <c r="AM137">
        <f t="shared" si="27"/>
        <v>3.3020893317147553E-3</v>
      </c>
      <c r="AN137">
        <f t="shared" si="27"/>
        <v>1.9439717880585843E-2</v>
      </c>
      <c r="AO137">
        <f t="shared" si="27"/>
        <v>6.9298995240568723E-3</v>
      </c>
      <c r="AP137">
        <f t="shared" si="27"/>
        <v>4.6181580825358903E-3</v>
      </c>
      <c r="AQ137">
        <f t="shared" si="27"/>
        <v>3.702825996657816E-3</v>
      </c>
      <c r="AR137">
        <f t="shared" si="27"/>
        <v>0</v>
      </c>
    </row>
    <row r="138" spans="2:44" x14ac:dyDescent="0.25">
      <c r="B138" t="s">
        <v>21</v>
      </c>
      <c r="C138">
        <f t="shared" ref="C138:AR138" si="28">IFERROR(C93/C$107,0)</f>
        <v>0.1171850190581597</v>
      </c>
      <c r="D138">
        <f t="shared" si="28"/>
        <v>4.2368164434423962E-2</v>
      </c>
      <c r="E138">
        <f t="shared" si="28"/>
        <v>4.3321924762645653E-2</v>
      </c>
      <c r="F138">
        <f t="shared" si="28"/>
        <v>5.9674264066397878E-2</v>
      </c>
      <c r="G138">
        <f t="shared" si="28"/>
        <v>2.2932846061345116E-2</v>
      </c>
      <c r="H138">
        <f t="shared" si="28"/>
        <v>0.15956415946215363</v>
      </c>
      <c r="I138">
        <f t="shared" si="28"/>
        <v>0.12861212103187003</v>
      </c>
      <c r="J138">
        <f t="shared" si="28"/>
        <v>0.11677995948619616</v>
      </c>
      <c r="K138">
        <f t="shared" si="28"/>
        <v>0.10925976510649017</v>
      </c>
      <c r="L138">
        <f t="shared" si="28"/>
        <v>5.0175499717557706E-2</v>
      </c>
      <c r="M138">
        <f t="shared" si="28"/>
        <v>0.10523499683122096</v>
      </c>
      <c r="N138">
        <f t="shared" si="28"/>
        <v>6.2247696952092792E-2</v>
      </c>
      <c r="O138">
        <f t="shared" si="28"/>
        <v>0.14296371439835232</v>
      </c>
      <c r="P138">
        <f t="shared" si="28"/>
        <v>9.6331239988061604E-2</v>
      </c>
      <c r="Q138">
        <f t="shared" si="28"/>
        <v>0</v>
      </c>
      <c r="R138">
        <f t="shared" si="28"/>
        <v>0.10815065549676615</v>
      </c>
      <c r="S138">
        <f t="shared" si="28"/>
        <v>5.8246068880008717E-2</v>
      </c>
      <c r="T138">
        <f t="shared" si="28"/>
        <v>9.8638013101361763E-2</v>
      </c>
      <c r="U138">
        <f t="shared" si="28"/>
        <v>6.3138717720671159E-2</v>
      </c>
      <c r="V138">
        <f t="shared" si="28"/>
        <v>8.6327504249259154E-2</v>
      </c>
      <c r="W138">
        <f t="shared" si="28"/>
        <v>0.11160592064576526</v>
      </c>
      <c r="X138">
        <f t="shared" si="28"/>
        <v>0.16895962896161373</v>
      </c>
      <c r="Y138">
        <f t="shared" si="28"/>
        <v>8.8937296638226401E-2</v>
      </c>
      <c r="Z138">
        <f t="shared" si="28"/>
        <v>8.4185082493914945E-2</v>
      </c>
      <c r="AA138">
        <f t="shared" si="28"/>
        <v>2.8164470260821615E-2</v>
      </c>
      <c r="AB138">
        <f t="shared" si="28"/>
        <v>0</v>
      </c>
      <c r="AC138">
        <f t="shared" si="28"/>
        <v>4.6634098606001727E-2</v>
      </c>
      <c r="AD138">
        <f t="shared" si="28"/>
        <v>7.4970377461787696E-2</v>
      </c>
      <c r="AE138">
        <f t="shared" si="28"/>
        <v>4.9025009038298879E-2</v>
      </c>
      <c r="AF138">
        <f t="shared" si="28"/>
        <v>6.6756088697472793E-2</v>
      </c>
      <c r="AG138">
        <f t="shared" si="28"/>
        <v>6.9859277810928599E-2</v>
      </c>
      <c r="AH138">
        <f t="shared" si="28"/>
        <v>3.6445705407914031E-2</v>
      </c>
      <c r="AI138">
        <f t="shared" si="28"/>
        <v>3.0825697159502299E-2</v>
      </c>
      <c r="AJ138">
        <f t="shared" si="28"/>
        <v>1.571388895725663E-2</v>
      </c>
      <c r="AK138">
        <f t="shared" si="28"/>
        <v>7.9851409424698781E-3</v>
      </c>
      <c r="AL138">
        <f t="shared" si="28"/>
        <v>1.02030850634089E-2</v>
      </c>
      <c r="AM138">
        <f t="shared" si="28"/>
        <v>2.5511682651246495E-2</v>
      </c>
      <c r="AN138">
        <f t="shared" si="28"/>
        <v>2.7056027539317472E-2</v>
      </c>
      <c r="AO138">
        <f t="shared" si="28"/>
        <v>2.035352070109997E-2</v>
      </c>
      <c r="AP138">
        <f t="shared" si="28"/>
        <v>4.6358874776490186E-2</v>
      </c>
      <c r="AQ138">
        <f t="shared" si="28"/>
        <v>2.9976080141582425E-2</v>
      </c>
      <c r="AR138">
        <f t="shared" si="28"/>
        <v>0</v>
      </c>
    </row>
    <row r="139" spans="2:44" x14ac:dyDescent="0.25">
      <c r="B139" t="s">
        <v>22</v>
      </c>
      <c r="C139">
        <f t="shared" ref="C139:AR139" si="29">IFERROR(C94/C$107,0)</f>
        <v>2.836765844487163E-2</v>
      </c>
      <c r="D139">
        <f t="shared" si="29"/>
        <v>4.3030880711934213E-2</v>
      </c>
      <c r="E139">
        <f t="shared" si="29"/>
        <v>4.5548502096767064E-2</v>
      </c>
      <c r="F139">
        <f t="shared" si="29"/>
        <v>4.4973045515156664E-2</v>
      </c>
      <c r="G139">
        <f t="shared" si="29"/>
        <v>1.7677343246342767E-2</v>
      </c>
      <c r="H139">
        <f t="shared" si="29"/>
        <v>4.3842181316094513E-2</v>
      </c>
      <c r="I139">
        <f t="shared" si="29"/>
        <v>3.0132544641783714E-2</v>
      </c>
      <c r="J139">
        <f t="shared" si="29"/>
        <v>6.0886768956957119E-2</v>
      </c>
      <c r="K139">
        <f t="shared" si="29"/>
        <v>3.9417005779688569E-2</v>
      </c>
      <c r="L139">
        <f t="shared" si="29"/>
        <v>4.1147894543907715E-2</v>
      </c>
      <c r="M139">
        <f t="shared" si="29"/>
        <v>2.4837971037408053E-2</v>
      </c>
      <c r="N139">
        <f t="shared" si="29"/>
        <v>1.5242322565903908E-2</v>
      </c>
      <c r="O139">
        <f t="shared" si="29"/>
        <v>3.034980264103557E-2</v>
      </c>
      <c r="P139">
        <f t="shared" si="29"/>
        <v>5.4744463099335922E-2</v>
      </c>
      <c r="Q139">
        <f t="shared" si="29"/>
        <v>0</v>
      </c>
      <c r="R139">
        <f t="shared" si="29"/>
        <v>4.6749981898618051E-2</v>
      </c>
      <c r="S139">
        <f t="shared" si="29"/>
        <v>2.8240604987929557E-2</v>
      </c>
      <c r="T139">
        <f t="shared" si="29"/>
        <v>3.313620933490987E-2</v>
      </c>
      <c r="U139">
        <f t="shared" si="29"/>
        <v>1.341490071906329E-2</v>
      </c>
      <c r="V139">
        <f t="shared" si="29"/>
        <v>2.7602435841298671E-2</v>
      </c>
      <c r="W139">
        <f t="shared" si="29"/>
        <v>3.0965666666249642E-2</v>
      </c>
      <c r="X139">
        <f t="shared" si="29"/>
        <v>3.6772822331415086E-2</v>
      </c>
      <c r="Y139">
        <f t="shared" si="29"/>
        <v>2.5562736719699917E-2</v>
      </c>
      <c r="Z139">
        <f t="shared" si="29"/>
        <v>2.8161736318992065E-2</v>
      </c>
      <c r="AA139">
        <f t="shared" si="29"/>
        <v>1.879635788297096E-2</v>
      </c>
      <c r="AB139">
        <f t="shared" si="29"/>
        <v>0</v>
      </c>
      <c r="AC139">
        <f t="shared" si="29"/>
        <v>2.6194735778709094E-2</v>
      </c>
      <c r="AD139">
        <f t="shared" si="29"/>
        <v>2.6618601323174864E-2</v>
      </c>
      <c r="AE139">
        <f t="shared" si="29"/>
        <v>5.8787436666389491E-2</v>
      </c>
      <c r="AF139">
        <f t="shared" si="29"/>
        <v>0.12722825768898982</v>
      </c>
      <c r="AG139">
        <f t="shared" si="29"/>
        <v>1.7917128135923624E-2</v>
      </c>
      <c r="AH139">
        <f t="shared" si="29"/>
        <v>1.9171862569399178E-2</v>
      </c>
      <c r="AI139">
        <f t="shared" si="29"/>
        <v>1.8001168701459794E-2</v>
      </c>
      <c r="AJ139">
        <f t="shared" si="29"/>
        <v>7.3763666619862077E-3</v>
      </c>
      <c r="AK139">
        <f t="shared" si="29"/>
        <v>1.3866563287864581E-2</v>
      </c>
      <c r="AL139">
        <f t="shared" si="29"/>
        <v>5.3778248368095347E-3</v>
      </c>
      <c r="AM139">
        <f t="shared" si="29"/>
        <v>1.5575368469729905E-2</v>
      </c>
      <c r="AN139">
        <f t="shared" si="29"/>
        <v>2.5207853822974611E-2</v>
      </c>
      <c r="AO139">
        <f t="shared" si="29"/>
        <v>1.3445897969404352E-2</v>
      </c>
      <c r="AP139">
        <f t="shared" si="29"/>
        <v>1.5056304620004292E-2</v>
      </c>
      <c r="AQ139">
        <f t="shared" si="29"/>
        <v>1.8916515840612241E-2</v>
      </c>
      <c r="AR139">
        <f t="shared" si="29"/>
        <v>0</v>
      </c>
    </row>
    <row r="140" spans="2:44" x14ac:dyDescent="0.25">
      <c r="B140" t="s">
        <v>23</v>
      </c>
      <c r="C140">
        <f t="shared" ref="C140:AR140" si="30">IFERROR(C95/C$107,0)</f>
        <v>8.9129340417711065E-4</v>
      </c>
      <c r="D140">
        <f t="shared" si="30"/>
        <v>1.3339013782083845E-3</v>
      </c>
      <c r="E140">
        <f t="shared" si="30"/>
        <v>2.4253779314867305E-3</v>
      </c>
      <c r="F140">
        <f t="shared" si="30"/>
        <v>3.1090676093306706E-3</v>
      </c>
      <c r="G140">
        <f t="shared" si="30"/>
        <v>1.1190429622144377E-3</v>
      </c>
      <c r="H140">
        <f t="shared" si="30"/>
        <v>1.5553021442703721E-3</v>
      </c>
      <c r="I140">
        <f t="shared" si="30"/>
        <v>2.093211110533612E-3</v>
      </c>
      <c r="J140">
        <f t="shared" si="30"/>
        <v>1.2926687849222004E-3</v>
      </c>
      <c r="K140">
        <f t="shared" si="30"/>
        <v>1.4221293018715339E-3</v>
      </c>
      <c r="L140">
        <f t="shared" si="30"/>
        <v>3.8709062981124871E-4</v>
      </c>
      <c r="M140">
        <f t="shared" si="30"/>
        <v>1.2201230499863072E-3</v>
      </c>
      <c r="N140">
        <f t="shared" si="30"/>
        <v>1.392079948613628E-3</v>
      </c>
      <c r="O140">
        <f t="shared" si="30"/>
        <v>1.7668405061781109E-3</v>
      </c>
      <c r="P140">
        <f t="shared" si="30"/>
        <v>1.3185299182233007E-3</v>
      </c>
      <c r="Q140">
        <f t="shared" si="30"/>
        <v>0</v>
      </c>
      <c r="R140">
        <f t="shared" si="30"/>
        <v>1.1419062183650951E-3</v>
      </c>
      <c r="S140">
        <f t="shared" si="30"/>
        <v>8.5931907302179921E-4</v>
      </c>
      <c r="T140">
        <f t="shared" si="30"/>
        <v>1.5459393797171356E-3</v>
      </c>
      <c r="U140">
        <f t="shared" si="30"/>
        <v>5.8148874342651849E-4</v>
      </c>
      <c r="V140">
        <f t="shared" si="30"/>
        <v>1.6015164391259672E-3</v>
      </c>
      <c r="W140">
        <f t="shared" si="30"/>
        <v>1.6182191741545471E-3</v>
      </c>
      <c r="X140">
        <f t="shared" si="30"/>
        <v>1.0373112657075607E-3</v>
      </c>
      <c r="Y140">
        <f t="shared" si="30"/>
        <v>1.0101616828476505E-3</v>
      </c>
      <c r="Z140">
        <f t="shared" si="30"/>
        <v>1.3145366146880338E-3</v>
      </c>
      <c r="AA140">
        <f t="shared" si="30"/>
        <v>9.4706406239400257E-4</v>
      </c>
      <c r="AB140">
        <f t="shared" si="30"/>
        <v>0</v>
      </c>
      <c r="AC140">
        <f t="shared" si="30"/>
        <v>2.6154120568943826E-3</v>
      </c>
      <c r="AD140">
        <f t="shared" si="30"/>
        <v>1.6967081986219365E-3</v>
      </c>
      <c r="AE140">
        <f t="shared" si="30"/>
        <v>4.1848804546979366E-3</v>
      </c>
      <c r="AF140">
        <f t="shared" si="30"/>
        <v>3.7898987642259368E-3</v>
      </c>
      <c r="AG140">
        <f t="shared" si="30"/>
        <v>5.2411153825095277E-3</v>
      </c>
      <c r="AH140">
        <f t="shared" si="30"/>
        <v>5.3452101982375301E-3</v>
      </c>
      <c r="AI140">
        <f t="shared" si="30"/>
        <v>2.7736392476358507E-3</v>
      </c>
      <c r="AJ140">
        <f t="shared" si="30"/>
        <v>3.0838374078340988E-3</v>
      </c>
      <c r="AK140">
        <f t="shared" si="30"/>
        <v>3.6667523400260049E-3</v>
      </c>
      <c r="AL140">
        <f t="shared" si="30"/>
        <v>1.5671261247314889E-3</v>
      </c>
      <c r="AM140">
        <f t="shared" si="30"/>
        <v>5.0157305617785737E-3</v>
      </c>
      <c r="AN140">
        <f t="shared" si="30"/>
        <v>7.6447663769269305E-3</v>
      </c>
      <c r="AO140">
        <f t="shared" si="30"/>
        <v>6.0918398649962334E-3</v>
      </c>
      <c r="AP140">
        <f t="shared" si="30"/>
        <v>6.9543514359021548E-3</v>
      </c>
      <c r="AQ140">
        <f t="shared" si="30"/>
        <v>1.2669000605201585E-2</v>
      </c>
      <c r="AR140">
        <f t="shared" si="30"/>
        <v>0</v>
      </c>
    </row>
    <row r="141" spans="2:44" x14ac:dyDescent="0.25">
      <c r="B141" t="s">
        <v>24</v>
      </c>
      <c r="C141">
        <f t="shared" ref="C141:AR141" si="31">IFERROR(C96/C$107,0)</f>
        <v>1.9201414033702051E-3</v>
      </c>
      <c r="D141">
        <f t="shared" si="31"/>
        <v>1.2285719329619808E-3</v>
      </c>
      <c r="E141">
        <f t="shared" si="31"/>
        <v>2.2018575038682594E-3</v>
      </c>
      <c r="F141">
        <f t="shared" si="31"/>
        <v>1.9524333428287952E-3</v>
      </c>
      <c r="G141">
        <f t="shared" si="31"/>
        <v>1.1370350171429713E-3</v>
      </c>
      <c r="H141">
        <f t="shared" si="31"/>
        <v>5.2103375071644769E-3</v>
      </c>
      <c r="I141">
        <f t="shared" si="31"/>
        <v>3.7689497459678675E-3</v>
      </c>
      <c r="J141">
        <f t="shared" si="31"/>
        <v>2.7861425114245148E-3</v>
      </c>
      <c r="K141">
        <f t="shared" si="31"/>
        <v>5.0565066000354273E-3</v>
      </c>
      <c r="L141">
        <f t="shared" si="31"/>
        <v>8.418343033309364E-4</v>
      </c>
      <c r="M141">
        <f t="shared" si="31"/>
        <v>2.8863904188883051E-3</v>
      </c>
      <c r="N141">
        <f t="shared" si="31"/>
        <v>3.8976823817595523E-3</v>
      </c>
      <c r="O141">
        <f t="shared" si="31"/>
        <v>3.2214941279174411E-3</v>
      </c>
      <c r="P141">
        <f t="shared" si="31"/>
        <v>2.5683325812376465E-3</v>
      </c>
      <c r="Q141">
        <f t="shared" si="31"/>
        <v>0</v>
      </c>
      <c r="R141">
        <f t="shared" si="31"/>
        <v>2.4222193569048847E-3</v>
      </c>
      <c r="S141">
        <f t="shared" si="31"/>
        <v>1.6225180114430133E-3</v>
      </c>
      <c r="T141">
        <f t="shared" si="31"/>
        <v>2.3628430355064054E-3</v>
      </c>
      <c r="U141">
        <f t="shared" si="31"/>
        <v>1.6835717846943746E-3</v>
      </c>
      <c r="V141">
        <f t="shared" si="31"/>
        <v>3.260491529174965E-3</v>
      </c>
      <c r="W141">
        <f t="shared" si="31"/>
        <v>2.8922401567017253E-3</v>
      </c>
      <c r="X141">
        <f t="shared" si="31"/>
        <v>3.035202613438078E-3</v>
      </c>
      <c r="Y141">
        <f t="shared" si="31"/>
        <v>3.0178322855330471E-3</v>
      </c>
      <c r="Z141">
        <f t="shared" si="31"/>
        <v>2.9826321530891848E-3</v>
      </c>
      <c r="AA141">
        <f t="shared" si="31"/>
        <v>1.350923410744876E-3</v>
      </c>
      <c r="AB141">
        <f t="shared" si="31"/>
        <v>0</v>
      </c>
      <c r="AC141">
        <f t="shared" si="31"/>
        <v>2.4229484738917586E-3</v>
      </c>
      <c r="AD141">
        <f t="shared" si="31"/>
        <v>2.27541707635111E-3</v>
      </c>
      <c r="AE141">
        <f t="shared" si="31"/>
        <v>7.0991143893575324E-3</v>
      </c>
      <c r="AF141">
        <f t="shared" si="31"/>
        <v>2.6103448989031799E-3</v>
      </c>
      <c r="AG141">
        <f t="shared" si="31"/>
        <v>7.5383943056456211E-3</v>
      </c>
      <c r="AH141">
        <f t="shared" si="31"/>
        <v>0.15190432429749551</v>
      </c>
      <c r="AI141">
        <f t="shared" si="31"/>
        <v>3.3565311548651583E-2</v>
      </c>
      <c r="AJ141">
        <f t="shared" si="31"/>
        <v>1.3012567480952688E-2</v>
      </c>
      <c r="AK141">
        <f t="shared" si="31"/>
        <v>4.8847232832204181E-3</v>
      </c>
      <c r="AL141">
        <f t="shared" si="31"/>
        <v>3.3184280133458912E-3</v>
      </c>
      <c r="AM141">
        <f t="shared" si="31"/>
        <v>1.3252918289712623E-2</v>
      </c>
      <c r="AN141">
        <f t="shared" si="31"/>
        <v>7.6009271049445682E-3</v>
      </c>
      <c r="AO141">
        <f t="shared" si="31"/>
        <v>1.3512731839790985E-2</v>
      </c>
      <c r="AP141">
        <f t="shared" si="31"/>
        <v>4.3952799658823491E-3</v>
      </c>
      <c r="AQ141">
        <f t="shared" si="31"/>
        <v>1.9020015056321195E-2</v>
      </c>
      <c r="AR141">
        <f t="shared" si="31"/>
        <v>0</v>
      </c>
    </row>
    <row r="142" spans="2:44" x14ac:dyDescent="0.25">
      <c r="B142" t="s">
        <v>25</v>
      </c>
      <c r="C142">
        <f t="shared" ref="C142:AR142" si="32">IFERROR(C97/C$107,0)</f>
        <v>1.133665200092967E-3</v>
      </c>
      <c r="D142">
        <f t="shared" si="32"/>
        <v>2.7177762203592728E-3</v>
      </c>
      <c r="E142">
        <f t="shared" si="32"/>
        <v>4.3705404941658064E-3</v>
      </c>
      <c r="F142">
        <f t="shared" si="32"/>
        <v>2.0430770470341252E-3</v>
      </c>
      <c r="G142">
        <f t="shared" si="32"/>
        <v>1.451306718951421E-3</v>
      </c>
      <c r="H142">
        <f t="shared" si="32"/>
        <v>1.3819266189582264E-3</v>
      </c>
      <c r="I142">
        <f t="shared" si="32"/>
        <v>2.3180209993369908E-3</v>
      </c>
      <c r="J142">
        <f t="shared" si="32"/>
        <v>1.4785598316369481E-3</v>
      </c>
      <c r="K142">
        <f t="shared" si="32"/>
        <v>1.992178353986602E-3</v>
      </c>
      <c r="L142">
        <f t="shared" si="32"/>
        <v>3.7709174851695846E-4</v>
      </c>
      <c r="M142">
        <f t="shared" si="32"/>
        <v>8.1531946016656588E-4</v>
      </c>
      <c r="N142">
        <f t="shared" si="32"/>
        <v>1.7851373269268233E-3</v>
      </c>
      <c r="O142">
        <f t="shared" si="32"/>
        <v>1.2981057206700424E-3</v>
      </c>
      <c r="P142">
        <f t="shared" si="32"/>
        <v>1.4288660491168681E-3</v>
      </c>
      <c r="Q142">
        <f t="shared" si="32"/>
        <v>0</v>
      </c>
      <c r="R142">
        <f t="shared" si="32"/>
        <v>8.2480326178588912E-4</v>
      </c>
      <c r="S142">
        <f t="shared" si="32"/>
        <v>8.5710571943673397E-4</v>
      </c>
      <c r="T142">
        <f t="shared" si="32"/>
        <v>1.4712851514501657E-3</v>
      </c>
      <c r="U142">
        <f t="shared" si="32"/>
        <v>9.244349199820206E-4</v>
      </c>
      <c r="V142">
        <f t="shared" si="32"/>
        <v>1.6157918407478785E-3</v>
      </c>
      <c r="W142">
        <f t="shared" si="32"/>
        <v>2.2311190289350177E-3</v>
      </c>
      <c r="X142">
        <f t="shared" si="32"/>
        <v>2.1157071486790978E-3</v>
      </c>
      <c r="Y142">
        <f t="shared" si="32"/>
        <v>1.1154855533681382E-3</v>
      </c>
      <c r="Z142">
        <f t="shared" si="32"/>
        <v>1.7797323097926761E-3</v>
      </c>
      <c r="AA142">
        <f t="shared" si="32"/>
        <v>1.1004132719132703E-3</v>
      </c>
      <c r="AB142">
        <f t="shared" si="32"/>
        <v>0</v>
      </c>
      <c r="AC142">
        <f t="shared" si="32"/>
        <v>2.233687430972782E-3</v>
      </c>
      <c r="AD142">
        <f t="shared" si="32"/>
        <v>1.8575833332589852E-3</v>
      </c>
      <c r="AE142">
        <f t="shared" si="32"/>
        <v>5.6774109224700161E-3</v>
      </c>
      <c r="AF142">
        <f t="shared" si="32"/>
        <v>3.4179802322678037E-3</v>
      </c>
      <c r="AG142">
        <f t="shared" si="32"/>
        <v>4.8285828466238549E-3</v>
      </c>
      <c r="AH142">
        <f t="shared" si="32"/>
        <v>6.9391071470801171E-3</v>
      </c>
      <c r="AI142">
        <f t="shared" si="32"/>
        <v>9.5415379242561771E-2</v>
      </c>
      <c r="AJ142">
        <f t="shared" si="32"/>
        <v>7.1752103579865879E-3</v>
      </c>
      <c r="AK142">
        <f t="shared" si="32"/>
        <v>6.5574627193629789E-3</v>
      </c>
      <c r="AL142">
        <f t="shared" si="32"/>
        <v>3.1372008600843502E-3</v>
      </c>
      <c r="AM142">
        <f t="shared" si="32"/>
        <v>5.2552793850787977E-3</v>
      </c>
      <c r="AN142">
        <f t="shared" si="32"/>
        <v>9.7971892552726741E-3</v>
      </c>
      <c r="AO142">
        <f t="shared" si="32"/>
        <v>3.6528827605936268E-3</v>
      </c>
      <c r="AP142">
        <f t="shared" si="32"/>
        <v>4.9058359595380938E-3</v>
      </c>
      <c r="AQ142">
        <f t="shared" si="32"/>
        <v>6.9554623012273867E-3</v>
      </c>
      <c r="AR142">
        <f t="shared" si="32"/>
        <v>0</v>
      </c>
    </row>
    <row r="143" spans="2:44" x14ac:dyDescent="0.25">
      <c r="B143" t="s">
        <v>26</v>
      </c>
      <c r="C143">
        <f t="shared" ref="C143:AR143" si="33">IFERROR(C98/C$107,0)</f>
        <v>2.6370065855891027E-3</v>
      </c>
      <c r="D143">
        <f t="shared" si="33"/>
        <v>6.3547530776333072E-3</v>
      </c>
      <c r="E143">
        <f t="shared" si="33"/>
        <v>1.0478596136597657E-2</v>
      </c>
      <c r="F143">
        <f t="shared" si="33"/>
        <v>6.3967216278052758E-3</v>
      </c>
      <c r="G143">
        <f t="shared" si="33"/>
        <v>4.1683741441065547E-3</v>
      </c>
      <c r="H143">
        <f t="shared" si="33"/>
        <v>9.2393818253836916E-3</v>
      </c>
      <c r="I143">
        <f t="shared" si="33"/>
        <v>7.9558697317190768E-3</v>
      </c>
      <c r="J143">
        <f t="shared" si="33"/>
        <v>4.7504634148350863E-3</v>
      </c>
      <c r="K143">
        <f t="shared" si="33"/>
        <v>9.4450003608109387E-3</v>
      </c>
      <c r="L143">
        <f t="shared" si="33"/>
        <v>1.924685908779407E-3</v>
      </c>
      <c r="M143">
        <f t="shared" si="33"/>
        <v>5.4475571714568726E-3</v>
      </c>
      <c r="N143">
        <f t="shared" si="33"/>
        <v>1.0812971222481569E-2</v>
      </c>
      <c r="O143">
        <f t="shared" si="33"/>
        <v>6.2200597240599622E-3</v>
      </c>
      <c r="P143">
        <f t="shared" si="33"/>
        <v>6.6362157887225473E-3</v>
      </c>
      <c r="Q143">
        <f t="shared" si="33"/>
        <v>0</v>
      </c>
      <c r="R143">
        <f t="shared" si="33"/>
        <v>4.9141183271592124E-3</v>
      </c>
      <c r="S143">
        <f t="shared" si="33"/>
        <v>3.7021491811692234E-3</v>
      </c>
      <c r="T143">
        <f t="shared" si="33"/>
        <v>6.2643935221816825E-3</v>
      </c>
      <c r="U143">
        <f t="shared" si="33"/>
        <v>4.9397240892709261E-3</v>
      </c>
      <c r="V143">
        <f t="shared" si="33"/>
        <v>8.6603040540680545E-3</v>
      </c>
      <c r="W143">
        <f t="shared" si="33"/>
        <v>7.9161107946703543E-3</v>
      </c>
      <c r="X143">
        <f t="shared" si="33"/>
        <v>6.6714673017902884E-3</v>
      </c>
      <c r="Y143">
        <f t="shared" si="33"/>
        <v>6.1527287593068671E-3</v>
      </c>
      <c r="Z143">
        <f t="shared" si="33"/>
        <v>6.9107810738126838E-3</v>
      </c>
      <c r="AA143">
        <f t="shared" si="33"/>
        <v>7.6212454665625035E-3</v>
      </c>
      <c r="AB143">
        <f t="shared" si="33"/>
        <v>0</v>
      </c>
      <c r="AC143">
        <f t="shared" si="33"/>
        <v>9.9258062222864398E-3</v>
      </c>
      <c r="AD143">
        <f t="shared" si="33"/>
        <v>6.2948781084870955E-3</v>
      </c>
      <c r="AE143">
        <f t="shared" si="33"/>
        <v>1.9643233293132112E-2</v>
      </c>
      <c r="AF143">
        <f t="shared" si="33"/>
        <v>1.0223724498902268E-2</v>
      </c>
      <c r="AG143">
        <f t="shared" si="33"/>
        <v>1.0100182335728895E-2</v>
      </c>
      <c r="AH143">
        <f t="shared" si="33"/>
        <v>2.8875726839345136E-2</v>
      </c>
      <c r="AI143">
        <f t="shared" si="33"/>
        <v>5.6390004131659871E-2</v>
      </c>
      <c r="AJ143">
        <f t="shared" si="33"/>
        <v>0.15614391704689232</v>
      </c>
      <c r="AK143">
        <f t="shared" si="33"/>
        <v>3.2776006641902361E-2</v>
      </c>
      <c r="AL143">
        <f t="shared" si="33"/>
        <v>9.5367026171274093E-3</v>
      </c>
      <c r="AM143">
        <f t="shared" si="33"/>
        <v>2.4784124732700957E-2</v>
      </c>
      <c r="AN143">
        <f t="shared" si="33"/>
        <v>2.9042988427192329E-2</v>
      </c>
      <c r="AO143">
        <f t="shared" si="33"/>
        <v>1.5879944654415008E-2</v>
      </c>
      <c r="AP143">
        <f t="shared" si="33"/>
        <v>1.3494329853726622E-2</v>
      </c>
      <c r="AQ143">
        <f t="shared" si="33"/>
        <v>1.7698231738632324E-2</v>
      </c>
      <c r="AR143">
        <f t="shared" si="33"/>
        <v>0</v>
      </c>
    </row>
    <row r="144" spans="2:44" x14ac:dyDescent="0.25">
      <c r="B144" t="s">
        <v>27</v>
      </c>
      <c r="C144">
        <f t="shared" ref="C144:AR144" si="34">IFERROR(C99/C$107,0)</f>
        <v>3.0684266651651311E-2</v>
      </c>
      <c r="D144">
        <f t="shared" si="34"/>
        <v>2.075106116453232E-2</v>
      </c>
      <c r="E144">
        <f t="shared" si="34"/>
        <v>5.070446824621494E-2</v>
      </c>
      <c r="F144">
        <f t="shared" si="34"/>
        <v>2.556399668692683E-2</v>
      </c>
      <c r="G144">
        <f t="shared" si="34"/>
        <v>2.3487959881834469E-2</v>
      </c>
      <c r="H144">
        <f t="shared" si="34"/>
        <v>2.4416575874827651E-2</v>
      </c>
      <c r="I144">
        <f t="shared" si="34"/>
        <v>2.6594889552307814E-2</v>
      </c>
      <c r="J144">
        <f t="shared" si="34"/>
        <v>1.6213030583737777E-2</v>
      </c>
      <c r="K144">
        <f t="shared" si="34"/>
        <v>2.6796598286953462E-2</v>
      </c>
      <c r="L144">
        <f t="shared" si="34"/>
        <v>1.0052914976417355E-2</v>
      </c>
      <c r="M144">
        <f t="shared" si="34"/>
        <v>1.4187413802561015E-2</v>
      </c>
      <c r="N144">
        <f t="shared" si="34"/>
        <v>1.5844259899681419E-2</v>
      </c>
      <c r="O144">
        <f t="shared" si="34"/>
        <v>1.9391643863809666E-2</v>
      </c>
      <c r="P144">
        <f t="shared" si="34"/>
        <v>2.2040918088371653E-2</v>
      </c>
      <c r="Q144">
        <f t="shared" si="34"/>
        <v>0</v>
      </c>
      <c r="R144">
        <f t="shared" si="34"/>
        <v>1.5678583145252792E-2</v>
      </c>
      <c r="S144">
        <f t="shared" si="34"/>
        <v>1.6423337085812607E-2</v>
      </c>
      <c r="T144">
        <f t="shared" si="34"/>
        <v>1.7093148192199543E-2</v>
      </c>
      <c r="U144">
        <f t="shared" si="34"/>
        <v>7.6758336206214839E-3</v>
      </c>
      <c r="V144">
        <f t="shared" si="34"/>
        <v>2.0376972232966674E-2</v>
      </c>
      <c r="W144">
        <f t="shared" si="34"/>
        <v>2.0653805039020971E-2</v>
      </c>
      <c r="X144">
        <f t="shared" si="34"/>
        <v>1.5886512336765007E-2</v>
      </c>
      <c r="Y144">
        <f t="shared" si="34"/>
        <v>1.4112884516486216E-2</v>
      </c>
      <c r="Z144">
        <f t="shared" si="34"/>
        <v>1.6982349823465262E-2</v>
      </c>
      <c r="AA144">
        <f t="shared" si="34"/>
        <v>2.0279049356486542E-2</v>
      </c>
      <c r="AB144">
        <f t="shared" si="34"/>
        <v>0</v>
      </c>
      <c r="AC144">
        <f t="shared" si="34"/>
        <v>2.5692974245522724E-2</v>
      </c>
      <c r="AD144">
        <f t="shared" si="34"/>
        <v>1.7488669802438649E-2</v>
      </c>
      <c r="AE144">
        <f t="shared" si="34"/>
        <v>4.0821180887904179E-2</v>
      </c>
      <c r="AF144">
        <f t="shared" si="34"/>
        <v>3.1174068070525678E-2</v>
      </c>
      <c r="AG144">
        <f t="shared" si="34"/>
        <v>2.3699000704530165E-2</v>
      </c>
      <c r="AH144">
        <f t="shared" si="34"/>
        <v>1.4941463479112222E-2</v>
      </c>
      <c r="AI144">
        <f t="shared" si="34"/>
        <v>2.8759693691971587E-2</v>
      </c>
      <c r="AJ144">
        <f t="shared" si="34"/>
        <v>1.6116719697168897E-2</v>
      </c>
      <c r="AK144">
        <f t="shared" si="34"/>
        <v>0.21333074429046273</v>
      </c>
      <c r="AL144">
        <f t="shared" si="34"/>
        <v>7.6921933341555809E-2</v>
      </c>
      <c r="AM144">
        <f t="shared" si="34"/>
        <v>2.8755631632502145E-2</v>
      </c>
      <c r="AN144">
        <f t="shared" si="34"/>
        <v>3.2166647031356105E-2</v>
      </c>
      <c r="AO144">
        <f t="shared" si="34"/>
        <v>1.4843522449981293E-2</v>
      </c>
      <c r="AP144">
        <f t="shared" si="34"/>
        <v>1.4472202377618471E-2</v>
      </c>
      <c r="AQ144">
        <f t="shared" si="34"/>
        <v>3.1088886592037498E-2</v>
      </c>
      <c r="AR144">
        <f t="shared" si="34"/>
        <v>0</v>
      </c>
    </row>
    <row r="145" spans="2:44" x14ac:dyDescent="0.25">
      <c r="B145" t="s">
        <v>28</v>
      </c>
      <c r="C145">
        <f t="shared" ref="C145:AR145" si="35">IFERROR(C100/C$107,0)</f>
        <v>2.9737811928346285E-3</v>
      </c>
      <c r="D145">
        <f t="shared" si="35"/>
        <v>7.4546630933006296E-3</v>
      </c>
      <c r="E145">
        <f t="shared" si="35"/>
        <v>1.49214881049314E-2</v>
      </c>
      <c r="F145">
        <f t="shared" si="35"/>
        <v>8.2443996897513215E-3</v>
      </c>
      <c r="G145">
        <f t="shared" si="35"/>
        <v>5.1904171455578142E-3</v>
      </c>
      <c r="H145">
        <f t="shared" si="35"/>
        <v>1.0553499195942917E-2</v>
      </c>
      <c r="I145">
        <f t="shared" si="35"/>
        <v>1.5664696085416749E-2</v>
      </c>
      <c r="J145">
        <f t="shared" si="35"/>
        <v>6.9804438600904583E-3</v>
      </c>
      <c r="K145">
        <f t="shared" si="35"/>
        <v>1.1929356653901281E-2</v>
      </c>
      <c r="L145">
        <f t="shared" si="35"/>
        <v>2.0027543592571651E-3</v>
      </c>
      <c r="M145">
        <f t="shared" si="35"/>
        <v>4.0705588730782878E-3</v>
      </c>
      <c r="N145">
        <f t="shared" si="35"/>
        <v>6.9369288695746859E-3</v>
      </c>
      <c r="O145">
        <f t="shared" si="35"/>
        <v>7.8662150601498011E-3</v>
      </c>
      <c r="P145">
        <f t="shared" si="35"/>
        <v>7.9204189106678487E-3</v>
      </c>
      <c r="Q145">
        <f t="shared" si="35"/>
        <v>0</v>
      </c>
      <c r="R145">
        <f t="shared" si="35"/>
        <v>5.2895084894095702E-3</v>
      </c>
      <c r="S145">
        <f t="shared" si="35"/>
        <v>5.3238634608634696E-3</v>
      </c>
      <c r="T145">
        <f t="shared" si="35"/>
        <v>1.0960598460078996E-2</v>
      </c>
      <c r="U145">
        <f t="shared" si="35"/>
        <v>3.9748419881466372E-3</v>
      </c>
      <c r="V145">
        <f t="shared" si="35"/>
        <v>8.4704775545195229E-3</v>
      </c>
      <c r="W145">
        <f t="shared" si="35"/>
        <v>8.2684376256300859E-3</v>
      </c>
      <c r="X145">
        <f t="shared" si="35"/>
        <v>8.446350850784691E-3</v>
      </c>
      <c r="Y145">
        <f t="shared" si="35"/>
        <v>6.1015216516755811E-3</v>
      </c>
      <c r="Z145">
        <f t="shared" si="35"/>
        <v>1.3063876885441776E-2</v>
      </c>
      <c r="AA145">
        <f t="shared" si="35"/>
        <v>4.9007932061637558E-3</v>
      </c>
      <c r="AB145">
        <f t="shared" si="35"/>
        <v>0</v>
      </c>
      <c r="AC145">
        <f t="shared" si="35"/>
        <v>1.094306650007062E-2</v>
      </c>
      <c r="AD145">
        <f t="shared" si="35"/>
        <v>1.1804203590160108E-2</v>
      </c>
      <c r="AE145">
        <f t="shared" si="35"/>
        <v>7.7179128713451617E-2</v>
      </c>
      <c r="AF145">
        <f t="shared" si="35"/>
        <v>2.0316553028186767E-2</v>
      </c>
      <c r="AG145">
        <f t="shared" si="35"/>
        <v>8.5583081348898499E-2</v>
      </c>
      <c r="AH145">
        <f t="shared" si="35"/>
        <v>2.2662568399574784E-2</v>
      </c>
      <c r="AI145">
        <f t="shared" si="35"/>
        <v>4.2623837974552332E-2</v>
      </c>
      <c r="AJ145">
        <f t="shared" si="35"/>
        <v>2.7699002350010844E-2</v>
      </c>
      <c r="AK145">
        <f t="shared" si="35"/>
        <v>2.8317065379203549E-2</v>
      </c>
      <c r="AL145">
        <f t="shared" si="35"/>
        <v>5.8391378562690957E-2</v>
      </c>
      <c r="AM145">
        <f t="shared" si="35"/>
        <v>2.9029615804710238E-2</v>
      </c>
      <c r="AN145">
        <f t="shared" si="35"/>
        <v>2.8209427680752963E-2</v>
      </c>
      <c r="AO145">
        <f t="shared" si="35"/>
        <v>2.7879833569712811E-2</v>
      </c>
      <c r="AP145">
        <f t="shared" si="35"/>
        <v>2.9561557358453644E-2</v>
      </c>
      <c r="AQ145">
        <f t="shared" si="35"/>
        <v>4.4696441706846453E-2</v>
      </c>
      <c r="AR145">
        <f t="shared" si="35"/>
        <v>0</v>
      </c>
    </row>
    <row r="146" spans="2:44" x14ac:dyDescent="0.25">
      <c r="B146" t="s">
        <v>29</v>
      </c>
      <c r="C146">
        <f t="shared" ref="C146:AR146" si="36">IFERROR(C101/C$107,0)</f>
        <v>4.3265218289981117E-2</v>
      </c>
      <c r="D146">
        <f t="shared" si="36"/>
        <v>5.4072991626605393E-2</v>
      </c>
      <c r="E146">
        <f t="shared" si="36"/>
        <v>0.1171614484030718</v>
      </c>
      <c r="F146">
        <f t="shared" si="36"/>
        <v>7.3134831251065097E-2</v>
      </c>
      <c r="G146">
        <f t="shared" si="36"/>
        <v>8.1010696535929169E-2</v>
      </c>
      <c r="H146">
        <f t="shared" si="36"/>
        <v>6.7274467666337309E-2</v>
      </c>
      <c r="I146">
        <f t="shared" si="36"/>
        <v>5.5573076411538622E-2</v>
      </c>
      <c r="J146">
        <f t="shared" si="36"/>
        <v>2.8411693412955852E-2</v>
      </c>
      <c r="K146">
        <f t="shared" si="36"/>
        <v>5.3127886586084805E-2</v>
      </c>
      <c r="L146">
        <f t="shared" si="36"/>
        <v>1.2429557129379471E-2</v>
      </c>
      <c r="M146">
        <f t="shared" si="36"/>
        <v>3.3691897661315993E-2</v>
      </c>
      <c r="N146">
        <f t="shared" si="36"/>
        <v>6.0030702210503287E-2</v>
      </c>
      <c r="O146">
        <f t="shared" si="36"/>
        <v>5.1778920549317188E-2</v>
      </c>
      <c r="P146">
        <f t="shared" si="36"/>
        <v>5.1506400200648651E-2</v>
      </c>
      <c r="Q146">
        <f t="shared" si="36"/>
        <v>0</v>
      </c>
      <c r="R146">
        <f t="shared" si="36"/>
        <v>3.247671597951704E-2</v>
      </c>
      <c r="S146">
        <f t="shared" si="36"/>
        <v>2.366791540201537E-2</v>
      </c>
      <c r="T146">
        <f t="shared" si="36"/>
        <v>4.5947094509205873E-2</v>
      </c>
      <c r="U146">
        <f t="shared" si="36"/>
        <v>3.3446550510639377E-2</v>
      </c>
      <c r="V146">
        <f t="shared" si="36"/>
        <v>4.8835925795786543E-2</v>
      </c>
      <c r="W146">
        <f t="shared" si="36"/>
        <v>5.4031195582723707E-2</v>
      </c>
      <c r="X146">
        <f t="shared" si="36"/>
        <v>7.0127957172752595E-2</v>
      </c>
      <c r="Y146">
        <f t="shared" si="36"/>
        <v>4.7164876126498105E-2</v>
      </c>
      <c r="Z146">
        <f t="shared" si="36"/>
        <v>4.4088907162088506E-2</v>
      </c>
      <c r="AA146">
        <f t="shared" si="36"/>
        <v>4.367754283087185E-2</v>
      </c>
      <c r="AB146">
        <f t="shared" si="36"/>
        <v>0</v>
      </c>
      <c r="AC146">
        <f t="shared" si="36"/>
        <v>7.1465330254037021E-2</v>
      </c>
      <c r="AD146">
        <f t="shared" si="36"/>
        <v>6.5638980667244107E-2</v>
      </c>
      <c r="AE146">
        <f t="shared" si="36"/>
        <v>0.11166911898046353</v>
      </c>
      <c r="AF146">
        <f t="shared" si="36"/>
        <v>6.3803358294950249E-2</v>
      </c>
      <c r="AG146">
        <f t="shared" si="36"/>
        <v>8.1071977573913309E-2</v>
      </c>
      <c r="AH146">
        <f t="shared" si="36"/>
        <v>9.842439784911497E-2</v>
      </c>
      <c r="AI146">
        <f t="shared" si="36"/>
        <v>0.13590357409981318</v>
      </c>
      <c r="AJ146">
        <f t="shared" si="36"/>
        <v>8.9489208685338648E-2</v>
      </c>
      <c r="AK146">
        <f t="shared" si="36"/>
        <v>9.7999561842175509E-2</v>
      </c>
      <c r="AL146">
        <f t="shared" si="36"/>
        <v>8.2257849878150685E-2</v>
      </c>
      <c r="AM146">
        <f t="shared" si="36"/>
        <v>0.17027234545038031</v>
      </c>
      <c r="AN146">
        <f t="shared" si="36"/>
        <v>0.11095069574479606</v>
      </c>
      <c r="AO146">
        <f t="shared" si="36"/>
        <v>7.2685928196418392E-2</v>
      </c>
      <c r="AP146">
        <f t="shared" si="36"/>
        <v>6.8299446329455019E-2</v>
      </c>
      <c r="AQ146">
        <f t="shared" si="36"/>
        <v>0.1019238596505623</v>
      </c>
      <c r="AR146">
        <f t="shared" si="36"/>
        <v>0</v>
      </c>
    </row>
    <row r="147" spans="2:44" x14ac:dyDescent="0.25">
      <c r="B147" t="s">
        <v>30</v>
      </c>
      <c r="C147">
        <f t="shared" ref="C147:AR147" si="37">IFERROR(C102/C$107,0)</f>
        <v>8.0007169630901334E-3</v>
      </c>
      <c r="D147">
        <f t="shared" si="37"/>
        <v>8.9000418379617825E-3</v>
      </c>
      <c r="E147">
        <f t="shared" si="37"/>
        <v>8.8611075212201764E-3</v>
      </c>
      <c r="F147">
        <f t="shared" si="37"/>
        <v>9.5960438143282735E-3</v>
      </c>
      <c r="G147">
        <f t="shared" si="37"/>
        <v>4.5990677978499442E-3</v>
      </c>
      <c r="H147">
        <f t="shared" si="37"/>
        <v>8.9119803408763774E-3</v>
      </c>
      <c r="I147">
        <f t="shared" si="37"/>
        <v>9.1540031528691609E-3</v>
      </c>
      <c r="J147">
        <f t="shared" si="37"/>
        <v>8.6578807113392893E-3</v>
      </c>
      <c r="K147">
        <f t="shared" si="37"/>
        <v>1.1885039620936136E-2</v>
      </c>
      <c r="L147">
        <f t="shared" si="37"/>
        <v>2.4052655112188699E-3</v>
      </c>
      <c r="M147">
        <f t="shared" si="37"/>
        <v>5.4313972035424842E-3</v>
      </c>
      <c r="N147">
        <f t="shared" si="37"/>
        <v>6.1246441306132002E-3</v>
      </c>
      <c r="O147">
        <f t="shared" si="37"/>
        <v>6.806713408396059E-3</v>
      </c>
      <c r="P147">
        <f t="shared" si="37"/>
        <v>8.845116716474196E-3</v>
      </c>
      <c r="Q147">
        <f t="shared" si="37"/>
        <v>0</v>
      </c>
      <c r="R147">
        <f t="shared" si="37"/>
        <v>1.1974559206786105E-2</v>
      </c>
      <c r="S147">
        <f t="shared" si="37"/>
        <v>9.7799253874796942E-3</v>
      </c>
      <c r="T147">
        <f t="shared" si="37"/>
        <v>7.3376161284565491E-3</v>
      </c>
      <c r="U147">
        <f t="shared" si="37"/>
        <v>1.6313812146128146E-3</v>
      </c>
      <c r="V147">
        <f t="shared" si="37"/>
        <v>5.2873562793337905E-3</v>
      </c>
      <c r="W147">
        <f t="shared" si="37"/>
        <v>5.4937203161287826E-3</v>
      </c>
      <c r="X147">
        <f t="shared" si="37"/>
        <v>6.7287679167433185E-3</v>
      </c>
      <c r="Y147">
        <f t="shared" si="37"/>
        <v>4.4684988249809234E-3</v>
      </c>
      <c r="Z147">
        <f t="shared" si="37"/>
        <v>4.8986864438891938E-3</v>
      </c>
      <c r="AA147">
        <f t="shared" si="37"/>
        <v>1.6431001430491629E-2</v>
      </c>
      <c r="AB147">
        <f t="shared" si="37"/>
        <v>0</v>
      </c>
      <c r="AC147">
        <f t="shared" si="37"/>
        <v>2.8378900530129297E-2</v>
      </c>
      <c r="AD147">
        <f t="shared" si="37"/>
        <v>7.0252016810296259E-3</v>
      </c>
      <c r="AE147">
        <f t="shared" si="37"/>
        <v>1.231205693044491E-2</v>
      </c>
      <c r="AF147">
        <f t="shared" si="37"/>
        <v>1.0511416117465682E-2</v>
      </c>
      <c r="AG147">
        <f t="shared" si="37"/>
        <v>1.2184085396934177E-2</v>
      </c>
      <c r="AH147">
        <f t="shared" si="37"/>
        <v>5.5306759926696111E-3</v>
      </c>
      <c r="AI147">
        <f t="shared" si="37"/>
        <v>1.2019951271704039E-2</v>
      </c>
      <c r="AJ147">
        <f t="shared" si="37"/>
        <v>4.2377650287071661E-3</v>
      </c>
      <c r="AK147">
        <f t="shared" si="37"/>
        <v>1.00257889414256E-2</v>
      </c>
      <c r="AL147">
        <f t="shared" si="37"/>
        <v>1.3116972096178799E-2</v>
      </c>
      <c r="AM147">
        <f t="shared" si="37"/>
        <v>7.5682098591810121E-3</v>
      </c>
      <c r="AN147">
        <f t="shared" si="37"/>
        <v>3.2278815387330642E-2</v>
      </c>
      <c r="AO147">
        <f t="shared" si="37"/>
        <v>9.9813164597194557E-3</v>
      </c>
      <c r="AP147">
        <f t="shared" si="37"/>
        <v>1.6985590954341233E-2</v>
      </c>
      <c r="AQ147">
        <f t="shared" si="37"/>
        <v>1.373428985281222E-2</v>
      </c>
      <c r="AR147">
        <f t="shared" si="37"/>
        <v>0</v>
      </c>
    </row>
    <row r="148" spans="2:44" x14ac:dyDescent="0.25">
      <c r="B148" t="s">
        <v>31</v>
      </c>
      <c r="C148">
        <f t="shared" ref="C148:AR148" si="38">IFERROR(C103/C$107,0)</f>
        <v>5.2651713333452441E-4</v>
      </c>
      <c r="D148">
        <f t="shared" si="38"/>
        <v>4.4988462771559419E-4</v>
      </c>
      <c r="E148">
        <f t="shared" si="38"/>
        <v>1.0363814392349853E-3</v>
      </c>
      <c r="F148">
        <f t="shared" si="38"/>
        <v>1.0564340606536852E-3</v>
      </c>
      <c r="G148">
        <f t="shared" si="38"/>
        <v>4.8702685629255465E-4</v>
      </c>
      <c r="H148">
        <f t="shared" si="38"/>
        <v>7.5094554239838786E-4</v>
      </c>
      <c r="I148">
        <f t="shared" si="38"/>
        <v>6.9963591693529711E-4</v>
      </c>
      <c r="J148">
        <f t="shared" si="38"/>
        <v>4.6005544553052188E-4</v>
      </c>
      <c r="K148">
        <f t="shared" si="38"/>
        <v>1.0936620827642208E-3</v>
      </c>
      <c r="L148">
        <f t="shared" si="38"/>
        <v>3.114657197905403E-4</v>
      </c>
      <c r="M148">
        <f t="shared" si="38"/>
        <v>4.6665866591976026E-4</v>
      </c>
      <c r="N148">
        <f t="shared" si="38"/>
        <v>8.7804257564300374E-4</v>
      </c>
      <c r="O148">
        <f t="shared" si="38"/>
        <v>5.4935183366374026E-4</v>
      </c>
      <c r="P148">
        <f t="shared" si="38"/>
        <v>5.6135677009555584E-4</v>
      </c>
      <c r="Q148">
        <f t="shared" si="38"/>
        <v>0</v>
      </c>
      <c r="R148">
        <f t="shared" si="38"/>
        <v>5.5887796322897612E-4</v>
      </c>
      <c r="S148">
        <f t="shared" si="38"/>
        <v>5.2397745722867312E-4</v>
      </c>
      <c r="T148">
        <f t="shared" si="38"/>
        <v>6.1404365029794309E-4</v>
      </c>
      <c r="U148">
        <f t="shared" si="38"/>
        <v>3.2703571274472824E-4</v>
      </c>
      <c r="V148">
        <f t="shared" si="38"/>
        <v>7.9414333381812741E-4</v>
      </c>
      <c r="W148">
        <f t="shared" si="38"/>
        <v>7.5909898392522855E-4</v>
      </c>
      <c r="X148">
        <f t="shared" si="38"/>
        <v>5.0988986024843252E-4</v>
      </c>
      <c r="Y148">
        <f t="shared" si="38"/>
        <v>6.7848640761749787E-4</v>
      </c>
      <c r="Z148">
        <f t="shared" si="38"/>
        <v>6.5145594227763635E-4</v>
      </c>
      <c r="AA148">
        <f t="shared" si="38"/>
        <v>5.2192724060436916E-4</v>
      </c>
      <c r="AB148">
        <f t="shared" si="38"/>
        <v>0</v>
      </c>
      <c r="AC148">
        <f t="shared" si="38"/>
        <v>1.1314172177293812E-3</v>
      </c>
      <c r="AD148">
        <f t="shared" si="38"/>
        <v>1.2523503159599647E-3</v>
      </c>
      <c r="AE148">
        <f t="shared" si="38"/>
        <v>1.1809358137767579E-3</v>
      </c>
      <c r="AF148">
        <f t="shared" si="38"/>
        <v>1.2123619051879076E-3</v>
      </c>
      <c r="AG148">
        <f t="shared" si="38"/>
        <v>1.116233814065337E-3</v>
      </c>
      <c r="AH148">
        <f t="shared" si="38"/>
        <v>1.2671503988684687E-3</v>
      </c>
      <c r="AI148">
        <f t="shared" si="38"/>
        <v>2.6632531205019235E-3</v>
      </c>
      <c r="AJ148">
        <f t="shared" si="38"/>
        <v>2.2742177889799047E-3</v>
      </c>
      <c r="AK148">
        <f t="shared" si="38"/>
        <v>2.0691971247606372E-3</v>
      </c>
      <c r="AL148">
        <f t="shared" si="38"/>
        <v>9.7561670792574602E-4</v>
      </c>
      <c r="AM148">
        <f t="shared" si="38"/>
        <v>2.5544070442127635E-3</v>
      </c>
      <c r="AN148">
        <f t="shared" si="38"/>
        <v>5.5357668287826303E-3</v>
      </c>
      <c r="AO148">
        <f t="shared" si="38"/>
        <v>1.3644850882961381E-2</v>
      </c>
      <c r="AP148">
        <f t="shared" si="38"/>
        <v>2.1007503938580306E-3</v>
      </c>
      <c r="AQ148">
        <f t="shared" si="38"/>
        <v>3.5760082608593449E-3</v>
      </c>
      <c r="AR148">
        <f t="shared" si="38"/>
        <v>0</v>
      </c>
    </row>
    <row r="149" spans="2:44" x14ac:dyDescent="0.25">
      <c r="B149" t="s">
        <v>32</v>
      </c>
      <c r="C149">
        <f t="shared" ref="C149:AR149" si="39">IFERROR(C104/C$107,0)</f>
        <v>3.2001277225315969E-4</v>
      </c>
      <c r="D149">
        <f t="shared" si="39"/>
        <v>9.8981531422482043E-4</v>
      </c>
      <c r="E149">
        <f t="shared" si="39"/>
        <v>4.5322396387484815E-4</v>
      </c>
      <c r="F149">
        <f t="shared" si="39"/>
        <v>3.0952764901933695E-4</v>
      </c>
      <c r="G149">
        <f t="shared" si="39"/>
        <v>1.9964109857381772E-4</v>
      </c>
      <c r="H149">
        <f t="shared" si="39"/>
        <v>5.2760563518380128E-4</v>
      </c>
      <c r="I149">
        <f t="shared" si="39"/>
        <v>4.2149607296157308E-4</v>
      </c>
      <c r="J149">
        <f t="shared" si="39"/>
        <v>2.0418025241338632E-4</v>
      </c>
      <c r="K149">
        <f t="shared" si="39"/>
        <v>4.2941061953237101E-4</v>
      </c>
      <c r="L149">
        <f t="shared" si="39"/>
        <v>9.0801418609499522E-5</v>
      </c>
      <c r="M149">
        <f t="shared" si="39"/>
        <v>2.3244575621625914E-4</v>
      </c>
      <c r="N149">
        <f t="shared" si="39"/>
        <v>5.2428732895198709E-4</v>
      </c>
      <c r="O149">
        <f t="shared" si="39"/>
        <v>4.9731300217044274E-4</v>
      </c>
      <c r="P149">
        <f t="shared" si="39"/>
        <v>6.6533686636254094E-4</v>
      </c>
      <c r="Q149">
        <f t="shared" si="39"/>
        <v>0</v>
      </c>
      <c r="R149">
        <f t="shared" si="39"/>
        <v>1.9248180704042731E-4</v>
      </c>
      <c r="S149">
        <f t="shared" si="39"/>
        <v>2.3111615563382445E-4</v>
      </c>
      <c r="T149">
        <f t="shared" si="39"/>
        <v>5.8065771673763533E-4</v>
      </c>
      <c r="U149">
        <f t="shared" si="39"/>
        <v>1.9703931822455346E-4</v>
      </c>
      <c r="V149">
        <f t="shared" si="39"/>
        <v>4.1183162883614042E-4</v>
      </c>
      <c r="W149">
        <f t="shared" si="39"/>
        <v>3.5252601843284908E-4</v>
      </c>
      <c r="X149">
        <f t="shared" si="39"/>
        <v>3.6479519307387813E-4</v>
      </c>
      <c r="Y149">
        <f t="shared" si="39"/>
        <v>2.3979231705642147E-4</v>
      </c>
      <c r="Z149">
        <f t="shared" si="39"/>
        <v>3.7833124621085176E-4</v>
      </c>
      <c r="AA149">
        <f t="shared" si="39"/>
        <v>2.0099976547557292E-4</v>
      </c>
      <c r="AB149">
        <f t="shared" si="39"/>
        <v>0</v>
      </c>
      <c r="AC149">
        <f t="shared" si="39"/>
        <v>6.078019140531854E-4</v>
      </c>
      <c r="AD149">
        <f t="shared" si="39"/>
        <v>3.3551872243709586E-4</v>
      </c>
      <c r="AE149">
        <f t="shared" si="39"/>
        <v>7.2240575732936195E-4</v>
      </c>
      <c r="AF149">
        <f t="shared" si="39"/>
        <v>4.9562333269110659E-4</v>
      </c>
      <c r="AG149">
        <f t="shared" si="39"/>
        <v>8.8215870834451116E-4</v>
      </c>
      <c r="AH149">
        <f t="shared" si="39"/>
        <v>5.0436532889291919E-4</v>
      </c>
      <c r="AI149">
        <f t="shared" si="39"/>
        <v>4.1695246030042365E-4</v>
      </c>
      <c r="AJ149">
        <f t="shared" si="39"/>
        <v>4.3076575097482838E-4</v>
      </c>
      <c r="AK149">
        <f t="shared" si="39"/>
        <v>7.0001961022003029E-4</v>
      </c>
      <c r="AL149">
        <f t="shared" si="39"/>
        <v>2.3503030066267456E-4</v>
      </c>
      <c r="AM149">
        <f t="shared" si="39"/>
        <v>7.310813863115836E-4</v>
      </c>
      <c r="AN149">
        <f t="shared" si="39"/>
        <v>5.2151191766512143E-3</v>
      </c>
      <c r="AO149">
        <f t="shared" si="39"/>
        <v>1.7742007826229223E-3</v>
      </c>
      <c r="AP149">
        <f t="shared" si="39"/>
        <v>6.9207655346769273E-2</v>
      </c>
      <c r="AQ149">
        <f t="shared" si="39"/>
        <v>1.9042106946204863E-3</v>
      </c>
      <c r="AR149">
        <f t="shared" si="39"/>
        <v>0</v>
      </c>
    </row>
    <row r="150" spans="2:44" x14ac:dyDescent="0.25">
      <c r="B150" t="s">
        <v>33</v>
      </c>
      <c r="C150">
        <f t="shared" ref="C150:AR150" si="40">IFERROR(C105/C$107,0)</f>
        <v>9.5931530446649409E-4</v>
      </c>
      <c r="D150">
        <f t="shared" si="40"/>
        <v>8.9189300296198932E-4</v>
      </c>
      <c r="E150">
        <f t="shared" si="40"/>
        <v>1.2031909266080828E-3</v>
      </c>
      <c r="F150">
        <f t="shared" si="40"/>
        <v>1.2982764992348504E-3</v>
      </c>
      <c r="G150">
        <f t="shared" si="40"/>
        <v>7.2543336928444465E-4</v>
      </c>
      <c r="H150">
        <f t="shared" si="40"/>
        <v>1.7829668408251456E-3</v>
      </c>
      <c r="I150">
        <f t="shared" si="40"/>
        <v>1.8294649620051375E-3</v>
      </c>
      <c r="J150">
        <f t="shared" si="40"/>
        <v>1.0483900713917609E-3</v>
      </c>
      <c r="K150">
        <f t="shared" si="40"/>
        <v>1.2195361715211606E-3</v>
      </c>
      <c r="L150">
        <f t="shared" si="40"/>
        <v>3.6635969159087351E-4</v>
      </c>
      <c r="M150">
        <f t="shared" si="40"/>
        <v>7.5839108881979838E-4</v>
      </c>
      <c r="N150">
        <f t="shared" si="40"/>
        <v>7.4816911444261155E-4</v>
      </c>
      <c r="O150">
        <f t="shared" si="40"/>
        <v>1.0492368094701951E-3</v>
      </c>
      <c r="P150">
        <f t="shared" si="40"/>
        <v>1.226635758659345E-3</v>
      </c>
      <c r="Q150">
        <f t="shared" si="40"/>
        <v>0</v>
      </c>
      <c r="R150">
        <f t="shared" si="40"/>
        <v>8.2370987281366926E-4</v>
      </c>
      <c r="S150">
        <f t="shared" si="40"/>
        <v>5.9641841800020805E-4</v>
      </c>
      <c r="T150">
        <f t="shared" si="40"/>
        <v>1.2174819419626093E-3</v>
      </c>
      <c r="U150">
        <f t="shared" si="40"/>
        <v>4.9138596274950869E-4</v>
      </c>
      <c r="V150">
        <f t="shared" si="40"/>
        <v>7.9519533974381539E-4</v>
      </c>
      <c r="W150">
        <f t="shared" si="40"/>
        <v>9.848544850574448E-4</v>
      </c>
      <c r="X150">
        <f t="shared" si="40"/>
        <v>1.0437581301944489E-3</v>
      </c>
      <c r="Y150">
        <f t="shared" si="40"/>
        <v>7.2513976352474644E-4</v>
      </c>
      <c r="Z150">
        <f t="shared" si="40"/>
        <v>1.3419900781073135E-3</v>
      </c>
      <c r="AA150">
        <f t="shared" si="40"/>
        <v>5.4499188232567995E-4</v>
      </c>
      <c r="AB150">
        <f t="shared" si="40"/>
        <v>0</v>
      </c>
      <c r="AC150">
        <f t="shared" si="40"/>
        <v>2.4495347428857548E-3</v>
      </c>
      <c r="AD150">
        <f t="shared" si="40"/>
        <v>9.4443872820057029E-4</v>
      </c>
      <c r="AE150">
        <f t="shared" si="40"/>
        <v>2.8239895798314696E-3</v>
      </c>
      <c r="AF150">
        <f t="shared" si="40"/>
        <v>1.5073815537038915E-3</v>
      </c>
      <c r="AG150">
        <f t="shared" si="40"/>
        <v>6.6259547753461778E-3</v>
      </c>
      <c r="AH150">
        <f t="shared" si="40"/>
        <v>1.1760537678882022E-2</v>
      </c>
      <c r="AI150">
        <f t="shared" si="40"/>
        <v>2.7190787459513035E-3</v>
      </c>
      <c r="AJ150">
        <f t="shared" si="40"/>
        <v>1.7810922828279227E-3</v>
      </c>
      <c r="AK150">
        <f t="shared" si="40"/>
        <v>2.6177545015134704E-3</v>
      </c>
      <c r="AL150">
        <f t="shared" si="40"/>
        <v>1.6566184785122234E-3</v>
      </c>
      <c r="AM150">
        <f t="shared" si="40"/>
        <v>3.3789918837385936E-3</v>
      </c>
      <c r="AN150">
        <f t="shared" si="40"/>
        <v>4.8569723020115332E-3</v>
      </c>
      <c r="AO150">
        <f t="shared" si="40"/>
        <v>4.1655098181830009E-3</v>
      </c>
      <c r="AP150">
        <f t="shared" si="40"/>
        <v>6.1807803577310708E-3</v>
      </c>
      <c r="AQ150">
        <f t="shared" si="40"/>
        <v>5.0417854185367893E-2</v>
      </c>
      <c r="AR150">
        <f t="shared" si="40"/>
        <v>0</v>
      </c>
    </row>
    <row r="151" spans="2:44" x14ac:dyDescent="0.25">
      <c r="B151" t="s">
        <v>34</v>
      </c>
      <c r="C151">
        <f t="shared" ref="C151:AR151" si="41">IFERROR(C106/C$107,0)</f>
        <v>0</v>
      </c>
      <c r="D151">
        <f t="shared" si="41"/>
        <v>0</v>
      </c>
      <c r="E151">
        <f t="shared" si="41"/>
        <v>0</v>
      </c>
      <c r="F151">
        <f t="shared" si="41"/>
        <v>0</v>
      </c>
      <c r="G151">
        <f t="shared" si="41"/>
        <v>0</v>
      </c>
      <c r="H151">
        <f t="shared" si="41"/>
        <v>0</v>
      </c>
      <c r="I151">
        <f t="shared" si="41"/>
        <v>0</v>
      </c>
      <c r="J151">
        <f t="shared" si="41"/>
        <v>0</v>
      </c>
      <c r="K151">
        <f t="shared" si="41"/>
        <v>0</v>
      </c>
      <c r="L151">
        <f t="shared" si="41"/>
        <v>0</v>
      </c>
      <c r="M151">
        <f t="shared" si="41"/>
        <v>0</v>
      </c>
      <c r="N151">
        <f t="shared" si="41"/>
        <v>0</v>
      </c>
      <c r="O151">
        <f t="shared" si="41"/>
        <v>0</v>
      </c>
      <c r="P151">
        <f t="shared" si="41"/>
        <v>0</v>
      </c>
      <c r="Q151">
        <f t="shared" si="41"/>
        <v>0</v>
      </c>
      <c r="R151">
        <f t="shared" si="41"/>
        <v>0</v>
      </c>
      <c r="S151">
        <f t="shared" si="41"/>
        <v>0</v>
      </c>
      <c r="T151">
        <f t="shared" si="41"/>
        <v>0</v>
      </c>
      <c r="U151">
        <f t="shared" si="41"/>
        <v>0</v>
      </c>
      <c r="V151">
        <f t="shared" si="41"/>
        <v>0</v>
      </c>
      <c r="W151">
        <f t="shared" si="41"/>
        <v>0</v>
      </c>
      <c r="X151">
        <f t="shared" si="41"/>
        <v>0</v>
      </c>
      <c r="Y151">
        <f t="shared" si="41"/>
        <v>0</v>
      </c>
      <c r="Z151">
        <f t="shared" si="41"/>
        <v>0</v>
      </c>
      <c r="AA151">
        <f t="shared" si="41"/>
        <v>0</v>
      </c>
      <c r="AB151">
        <f t="shared" si="41"/>
        <v>0</v>
      </c>
      <c r="AC151">
        <f t="shared" si="41"/>
        <v>0</v>
      </c>
      <c r="AD151">
        <f t="shared" si="41"/>
        <v>0</v>
      </c>
      <c r="AE151">
        <f t="shared" si="41"/>
        <v>0</v>
      </c>
      <c r="AF151">
        <f t="shared" si="41"/>
        <v>0</v>
      </c>
      <c r="AG151">
        <f t="shared" si="41"/>
        <v>0</v>
      </c>
      <c r="AH151">
        <f t="shared" si="41"/>
        <v>0</v>
      </c>
      <c r="AI151">
        <f t="shared" si="41"/>
        <v>0</v>
      </c>
      <c r="AJ151">
        <f t="shared" si="41"/>
        <v>0</v>
      </c>
      <c r="AK151">
        <f t="shared" si="41"/>
        <v>0</v>
      </c>
      <c r="AL151">
        <f t="shared" si="41"/>
        <v>0</v>
      </c>
      <c r="AM151">
        <f t="shared" si="41"/>
        <v>0</v>
      </c>
      <c r="AN151">
        <f t="shared" si="41"/>
        <v>0</v>
      </c>
      <c r="AO151">
        <f t="shared" si="41"/>
        <v>0</v>
      </c>
      <c r="AP151">
        <f t="shared" si="41"/>
        <v>0</v>
      </c>
      <c r="AQ151">
        <f t="shared" si="41"/>
        <v>0</v>
      </c>
      <c r="AR151">
        <f t="shared" si="41"/>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Q43"/>
  <sheetViews>
    <sheetView workbookViewId="0">
      <selection activeCell="P43" sqref="P43"/>
    </sheetView>
  </sheetViews>
  <sheetFormatPr defaultRowHeight="15" x14ac:dyDescent="0.25"/>
  <cols>
    <col min="1" max="1" width="12.42578125" customWidth="1"/>
    <col min="2" max="26" width="10.140625" customWidth="1"/>
    <col min="27" max="27" width="13.42578125" customWidth="1"/>
    <col min="28" max="43" width="10.140625" customWidth="1"/>
  </cols>
  <sheetData>
    <row r="1" spans="1:43" s="4" customFormat="1" x14ac:dyDescent="0.25">
      <c r="B1" s="4" t="s">
        <v>4</v>
      </c>
      <c r="C1" s="37" t="s">
        <v>857</v>
      </c>
      <c r="D1" s="37" t="s">
        <v>856</v>
      </c>
      <c r="E1" s="4" t="s">
        <v>5</v>
      </c>
      <c r="F1" s="4" t="s">
        <v>6</v>
      </c>
      <c r="G1" s="4" t="s">
        <v>7</v>
      </c>
      <c r="H1" s="4" t="s">
        <v>8</v>
      </c>
      <c r="I1" s="4" t="s">
        <v>9</v>
      </c>
      <c r="J1" s="4" t="s">
        <v>10</v>
      </c>
      <c r="K1" s="4" t="s">
        <v>11</v>
      </c>
      <c r="L1" s="37" t="s">
        <v>59</v>
      </c>
      <c r="M1" s="37" t="s">
        <v>60</v>
      </c>
      <c r="N1" s="4" t="s">
        <v>12</v>
      </c>
      <c r="O1" s="37" t="s">
        <v>869</v>
      </c>
      <c r="P1" s="37" t="s">
        <v>870</v>
      </c>
      <c r="Q1" s="37" t="s">
        <v>871</v>
      </c>
      <c r="R1" s="37" t="s">
        <v>872</v>
      </c>
      <c r="S1" s="4" t="s">
        <v>13</v>
      </c>
      <c r="T1" s="4" t="s">
        <v>14</v>
      </c>
      <c r="U1" s="4" t="s">
        <v>15</v>
      </c>
      <c r="V1" s="4" t="s">
        <v>16</v>
      </c>
      <c r="W1" s="4" t="s">
        <v>17</v>
      </c>
      <c r="X1" s="4" t="s">
        <v>18</v>
      </c>
      <c r="Y1" s="4" t="s">
        <v>19</v>
      </c>
      <c r="Z1" s="37" t="s">
        <v>873</v>
      </c>
      <c r="AA1" s="37" t="s">
        <v>874</v>
      </c>
      <c r="AB1" s="37" t="s">
        <v>875</v>
      </c>
      <c r="AC1" s="4" t="s">
        <v>20</v>
      </c>
      <c r="AD1" s="4" t="s">
        <v>21</v>
      </c>
      <c r="AE1" s="4" t="s">
        <v>22</v>
      </c>
      <c r="AF1" s="4" t="s">
        <v>23</v>
      </c>
      <c r="AG1" s="4" t="s">
        <v>24</v>
      </c>
      <c r="AH1" s="4" t="s">
        <v>25</v>
      </c>
      <c r="AI1" s="4" t="s">
        <v>26</v>
      </c>
      <c r="AJ1" s="4" t="s">
        <v>27</v>
      </c>
      <c r="AK1" s="4" t="s">
        <v>28</v>
      </c>
      <c r="AL1" s="4" t="s">
        <v>29</v>
      </c>
      <c r="AM1" s="4" t="s">
        <v>30</v>
      </c>
      <c r="AN1" s="4" t="s">
        <v>31</v>
      </c>
      <c r="AO1" s="4" t="s">
        <v>32</v>
      </c>
      <c r="AP1" s="4" t="s">
        <v>33</v>
      </c>
      <c r="AQ1" s="4" t="s">
        <v>34</v>
      </c>
    </row>
    <row r="2" spans="1:43" x14ac:dyDescent="0.25">
      <c r="A2" t="s">
        <v>4</v>
      </c>
      <c r="B2" s="45">
        <f>'Calculated IO Table'!C110</f>
        <v>0.11835428357602853</v>
      </c>
      <c r="C2" s="45">
        <f>'Calculated IO Table'!D110</f>
        <v>3.5699916756159246E-4</v>
      </c>
      <c r="D2" s="45">
        <f>'Calculated IO Table'!E110</f>
        <v>7.490594532434585E-5</v>
      </c>
      <c r="E2" s="45">
        <f>'Calculated IO Table'!F110</f>
        <v>1.6962504293272667E-4</v>
      </c>
      <c r="F2" s="45">
        <f>'Calculated IO Table'!G110</f>
        <v>4.3715193721555369E-5</v>
      </c>
      <c r="G2" s="45">
        <f>'Calculated IO Table'!H110</f>
        <v>0.22493883764885514</v>
      </c>
      <c r="H2" s="45">
        <f>'Calculated IO Table'!I110</f>
        <v>1.7626594106955606E-2</v>
      </c>
      <c r="I2" s="45">
        <f>'Calculated IO Table'!J110</f>
        <v>4.6174970104038253E-2</v>
      </c>
      <c r="J2" s="45">
        <f>'Calculated IO Table'!K110</f>
        <v>2.6285949488539604E-3</v>
      </c>
      <c r="K2" s="45">
        <f>'Calculated IO Table'!L110</f>
        <v>1.4187969927346459E-5</v>
      </c>
      <c r="L2" s="45">
        <f>'Calculated IO Table'!M110</f>
        <v>1.6266342087036588E-3</v>
      </c>
      <c r="M2" s="45">
        <f>'Calculated IO Table'!N110</f>
        <v>2.1124146765022487E-3</v>
      </c>
      <c r="N2" s="45">
        <f>'Calculated IO Table'!O110</f>
        <v>2.6702223702718885E-3</v>
      </c>
      <c r="O2" s="45">
        <f>'Calculated IO Table'!P110</f>
        <v>1.1330894510219231E-4</v>
      </c>
      <c r="P2" s="45">
        <f>'Calculated IO Table'!Q110</f>
        <v>0</v>
      </c>
      <c r="Q2" s="45">
        <f>'Calculated IO Table'!R110</f>
        <v>2.5490575163412525E-5</v>
      </c>
      <c r="R2" s="45">
        <f>'Calculated IO Table'!S110</f>
        <v>2.9688614289059572E-5</v>
      </c>
      <c r="S2" s="45">
        <f>'Calculated IO Table'!T110</f>
        <v>2.6572927702339752E-5</v>
      </c>
      <c r="T2" s="45">
        <f>'Calculated IO Table'!U110</f>
        <v>1.7652873058506451E-5</v>
      </c>
      <c r="U2" s="45">
        <f>'Calculated IO Table'!V110</f>
        <v>2.7588058426980936E-5</v>
      </c>
      <c r="V2" s="45">
        <f>'Calculated IO Table'!W110</f>
        <v>8.7582060511019212E-5</v>
      </c>
      <c r="W2" s="45">
        <f>'Calculated IO Table'!X110</f>
        <v>4.9735875888165834E-5</v>
      </c>
      <c r="X2" s="45">
        <f>'Calculated IO Table'!Y110</f>
        <v>3.2257624650612905E-5</v>
      </c>
      <c r="Y2" s="45">
        <f>'Calculated IO Table'!Z110</f>
        <v>1.5399492626828591E-3</v>
      </c>
      <c r="Z2" s="45">
        <f>'Calculated IO Table'!AA110</f>
        <v>5.3978148764175535E-4</v>
      </c>
      <c r="AA2" s="45">
        <f>'Calculated IO Table'!AB110</f>
        <v>0</v>
      </c>
      <c r="AB2" s="45">
        <f>'Calculated IO Table'!AC110</f>
        <v>3.7037959526090979E-4</v>
      </c>
      <c r="AC2" s="45">
        <f>'Calculated IO Table'!AD110</f>
        <v>4.1684962211101131E-4</v>
      </c>
      <c r="AD2" s="45">
        <f>'Calculated IO Table'!AE110</f>
        <v>2.0606216875398323E-3</v>
      </c>
      <c r="AE2" s="45">
        <f>'Calculated IO Table'!AF110</f>
        <v>1.2517903862485844E-4</v>
      </c>
      <c r="AF2" s="45">
        <f>'Calculated IO Table'!AG110</f>
        <v>4.035587072169973E-2</v>
      </c>
      <c r="AG2" s="45">
        <f>'Calculated IO Table'!AH110</f>
        <v>9.2561560437425116E-5</v>
      </c>
      <c r="AH2" s="45">
        <f>'Calculated IO Table'!AI110</f>
        <v>3.6080499211133782E-5</v>
      </c>
      <c r="AI2" s="45">
        <f>'Calculated IO Table'!AJ110</f>
        <v>1.8740973350484681E-5</v>
      </c>
      <c r="AJ2" s="45">
        <f>'Calculated IO Table'!AK110</f>
        <v>2.3728959474761663E-5</v>
      </c>
      <c r="AK2" s="45">
        <f>'Calculated IO Table'!AL110</f>
        <v>1.0046401084046276E-4</v>
      </c>
      <c r="AL2" s="45">
        <f>'Calculated IO Table'!AM110</f>
        <v>5.1189714171050139E-4</v>
      </c>
      <c r="AM2" s="45">
        <f>'Calculated IO Table'!AN110</f>
        <v>9.0381728014284535E-4</v>
      </c>
      <c r="AN2" s="45">
        <f>'Calculated IO Table'!AO110</f>
        <v>8.0340784130503574E-4</v>
      </c>
      <c r="AO2" s="45">
        <f>'Calculated IO Table'!AP110</f>
        <v>1.7735048021168189E-3</v>
      </c>
      <c r="AP2" s="45">
        <f>'Calculated IO Table'!AQ110</f>
        <v>1.4604832494703826E-3</v>
      </c>
      <c r="AQ2" s="45">
        <f>'Calculated IO Table'!AR110</f>
        <v>0</v>
      </c>
    </row>
    <row r="3" spans="1:43" x14ac:dyDescent="0.25">
      <c r="A3" s="5" t="s">
        <v>857</v>
      </c>
      <c r="B3" s="45">
        <f>'Calculated IO Table'!C111</f>
        <v>8.1474447765733643E-5</v>
      </c>
      <c r="C3" s="45">
        <f>'Calculated IO Table'!D111</f>
        <v>1.0343247823321088E-2</v>
      </c>
      <c r="D3" s="45">
        <f>'Calculated IO Table'!E111</f>
        <v>6.7192674852290229E-4</v>
      </c>
      <c r="E3" s="45">
        <f>'Calculated IO Table'!F111</f>
        <v>9.2708366356673573E-4</v>
      </c>
      <c r="F3" s="45">
        <f>'Calculated IO Table'!G111</f>
        <v>6.0467446786454781E-4</v>
      </c>
      <c r="G3" s="45">
        <f>'Calculated IO Table'!H111</f>
        <v>1.2340136686166947E-4</v>
      </c>
      <c r="H3" s="45">
        <f>'Calculated IO Table'!I111</f>
        <v>1.5974098316904125E-4</v>
      </c>
      <c r="I3" s="45">
        <f>'Calculated IO Table'!J111</f>
        <v>4.70806650020035E-5</v>
      </c>
      <c r="J3" s="45">
        <f>'Calculated IO Table'!K111</f>
        <v>3.2660881818916137E-4</v>
      </c>
      <c r="K3" s="45">
        <f>'Calculated IO Table'!L111</f>
        <v>2.322619820302988E-3</v>
      </c>
      <c r="L3" s="45">
        <f>'Calculated IO Table'!M111</f>
        <v>4.6072372718931588E-4</v>
      </c>
      <c r="M3" s="45">
        <f>'Calculated IO Table'!N111</f>
        <v>1.7090657321022181E-5</v>
      </c>
      <c r="N3" s="45">
        <f>'Calculated IO Table'!O111</f>
        <v>1.0224006850657602E-4</v>
      </c>
      <c r="O3" s="45">
        <f>'Calculated IO Table'!P111</f>
        <v>2.4562601163815199E-3</v>
      </c>
      <c r="P3" s="45">
        <f>'Calculated IO Table'!Q111</f>
        <v>0</v>
      </c>
      <c r="Q3" s="45">
        <f>'Calculated IO Table'!R111</f>
        <v>9.69633464272961E-3</v>
      </c>
      <c r="R3" s="45">
        <f>'Calculated IO Table'!S111</f>
        <v>1.8979939770568466E-3</v>
      </c>
      <c r="S3" s="45">
        <f>'Calculated IO Table'!T111</f>
        <v>2.395796817238829E-5</v>
      </c>
      <c r="T3" s="45">
        <f>'Calculated IO Table'!U111</f>
        <v>4.2671663757486671E-6</v>
      </c>
      <c r="U3" s="45">
        <f>'Calculated IO Table'!V111</f>
        <v>3.3032986066602318E-5</v>
      </c>
      <c r="V3" s="45">
        <f>'Calculated IO Table'!W111</f>
        <v>3.1449240137501399E-5</v>
      </c>
      <c r="W3" s="45">
        <f>'Calculated IO Table'!X111</f>
        <v>2.3080020250161654E-5</v>
      </c>
      <c r="X3" s="45">
        <f>'Calculated IO Table'!Y111</f>
        <v>4.092161753995784E-5</v>
      </c>
      <c r="Y3" s="45">
        <f>'Calculated IO Table'!Z111</f>
        <v>1.9371323818234144E-5</v>
      </c>
      <c r="Z3" s="45">
        <f>'Calculated IO Table'!AA111</f>
        <v>1.882727734724143E-2</v>
      </c>
      <c r="AA3" s="45">
        <f>'Calculated IO Table'!AB111</f>
        <v>0</v>
      </c>
      <c r="AB3" s="45">
        <f>'Calculated IO Table'!AC111</f>
        <v>6.5191787613661485E-5</v>
      </c>
      <c r="AC3" s="45">
        <f>'Calculated IO Table'!AD111</f>
        <v>3.3164368832038209E-4</v>
      </c>
      <c r="AD3" s="45">
        <f>'Calculated IO Table'!AE111</f>
        <v>2.6743656616348948E-5</v>
      </c>
      <c r="AE3" s="45">
        <f>'Calculated IO Table'!AF111</f>
        <v>2.9841959545693564E-5</v>
      </c>
      <c r="AF3" s="45">
        <f>'Calculated IO Table'!AG111</f>
        <v>3.3800366242762166E-5</v>
      </c>
      <c r="AG3" s="45">
        <f>'Calculated IO Table'!AH111</f>
        <v>5.4044216815594056E-6</v>
      </c>
      <c r="AH3" s="45">
        <f>'Calculated IO Table'!AI111</f>
        <v>2.2767778328199723E-5</v>
      </c>
      <c r="AI3" s="45">
        <f>'Calculated IO Table'!AJ111</f>
        <v>3.356268625641336E-6</v>
      </c>
      <c r="AJ3" s="45">
        <f>'Calculated IO Table'!AK111</f>
        <v>6.1446775180171293E-6</v>
      </c>
      <c r="AK3" s="45">
        <f>'Calculated IO Table'!AL111</f>
        <v>1.0899263493244544E-4</v>
      </c>
      <c r="AL3" s="45">
        <f>'Calculated IO Table'!AM111</f>
        <v>1.3894185703503305E-5</v>
      </c>
      <c r="AM3" s="45">
        <f>'Calculated IO Table'!AN111</f>
        <v>1.1817734379271853E-4</v>
      </c>
      <c r="AN3" s="45">
        <f>'Calculated IO Table'!AO111</f>
        <v>7.4819560732849831E-5</v>
      </c>
      <c r="AO3" s="45">
        <f>'Calculated IO Table'!AP111</f>
        <v>2.7564530562891268E-5</v>
      </c>
      <c r="AP3" s="45">
        <f>'Calculated IO Table'!AQ111</f>
        <v>5.5287147602351539E-5</v>
      </c>
      <c r="AQ3" s="45">
        <f>'Calculated IO Table'!AR111</f>
        <v>0</v>
      </c>
    </row>
    <row r="4" spans="1:43" x14ac:dyDescent="0.25">
      <c r="A4" s="5" t="s">
        <v>856</v>
      </c>
      <c r="B4" s="45">
        <f>'Calculated IO Table'!C112</f>
        <v>2.1886109305115941E-3</v>
      </c>
      <c r="C4" s="45">
        <f>'Calculated IO Table'!D112</f>
        <v>1.5025963856395916E-2</v>
      </c>
      <c r="D4" s="45">
        <f>'Calculated IO Table'!E112</f>
        <v>6.2953037000114231E-2</v>
      </c>
      <c r="E4" s="45">
        <f>'Calculated IO Table'!F112</f>
        <v>1.4389401919792454E-2</v>
      </c>
      <c r="F4" s="45">
        <f>'Calculated IO Table'!G112</f>
        <v>1.3098514546089287E-2</v>
      </c>
      <c r="G4" s="45">
        <f>'Calculated IO Table'!H112</f>
        <v>2.4381004349188053E-3</v>
      </c>
      <c r="H4" s="45">
        <f>'Calculated IO Table'!I112</f>
        <v>1.6403558624809467E-3</v>
      </c>
      <c r="I4" s="45">
        <f>'Calculated IO Table'!J112</f>
        <v>1.6104806423521045E-3</v>
      </c>
      <c r="J4" s="45">
        <f>'Calculated IO Table'!K112</f>
        <v>5.2509220805891377E-3</v>
      </c>
      <c r="K4" s="45">
        <f>'Calculated IO Table'!L112</f>
        <v>0.52280606756949577</v>
      </c>
      <c r="L4" s="45">
        <f>'Calculated IO Table'!M112</f>
        <v>2.1539010647846135E-2</v>
      </c>
      <c r="M4" s="45">
        <f>'Calculated IO Table'!N112</f>
        <v>5.526043927294574E-4</v>
      </c>
      <c r="N4" s="45">
        <f>'Calculated IO Table'!O112</f>
        <v>2.5488258732881256E-3</v>
      </c>
      <c r="O4" s="45">
        <f>'Calculated IO Table'!P112</f>
        <v>1.7109698064993652E-2</v>
      </c>
      <c r="P4" s="45">
        <f>'Calculated IO Table'!Q112</f>
        <v>0</v>
      </c>
      <c r="Q4" s="45">
        <f>'Calculated IO Table'!R112</f>
        <v>1.7756833416546783E-2</v>
      </c>
      <c r="R4" s="45">
        <f>'Calculated IO Table'!S112</f>
        <v>1.3494476767787578E-2</v>
      </c>
      <c r="S4" s="45">
        <f>'Calculated IO Table'!T112</f>
        <v>2.3241411934918715E-3</v>
      </c>
      <c r="T4" s="45">
        <f>'Calculated IO Table'!U112</f>
        <v>1.5363637368079677E-4</v>
      </c>
      <c r="U4" s="45">
        <f>'Calculated IO Table'!V112</f>
        <v>8.0086979594904144E-4</v>
      </c>
      <c r="V4" s="45">
        <f>'Calculated IO Table'!W112</f>
        <v>8.304080993010519E-4</v>
      </c>
      <c r="W4" s="45">
        <f>'Calculated IO Table'!X112</f>
        <v>1.1784606535788682E-3</v>
      </c>
      <c r="X4" s="45">
        <f>'Calculated IO Table'!Y112</f>
        <v>7.7419429124677927E-4</v>
      </c>
      <c r="Y4" s="45">
        <f>'Calculated IO Table'!Z112</f>
        <v>1.2153473062030285E-3</v>
      </c>
      <c r="Z4" s="45">
        <f>'Calculated IO Table'!AA112</f>
        <v>0.14125781447141325</v>
      </c>
      <c r="AA4" s="45">
        <f>'Calculated IO Table'!AB112</f>
        <v>0</v>
      </c>
      <c r="AB4" s="45">
        <f>'Calculated IO Table'!AC112</f>
        <v>3.1080003224322542E-3</v>
      </c>
      <c r="AC4" s="45">
        <f>'Calculated IO Table'!AD112</f>
        <v>1.4967981131818974E-3</v>
      </c>
      <c r="AD4" s="45">
        <f>'Calculated IO Table'!AE112</f>
        <v>1.9883956509658468E-3</v>
      </c>
      <c r="AE4" s="45">
        <f>'Calculated IO Table'!AF112</f>
        <v>6.9158413291681587E-3</v>
      </c>
      <c r="AF4" s="45">
        <f>'Calculated IO Table'!AG112</f>
        <v>8.6086893698942614E-4</v>
      </c>
      <c r="AG4" s="45">
        <f>'Calculated IO Table'!AH112</f>
        <v>3.1712348248738993E-4</v>
      </c>
      <c r="AH4" s="45">
        <f>'Calculated IO Table'!AI112</f>
        <v>3.9473641238314773E-4</v>
      </c>
      <c r="AI4" s="45">
        <f>'Calculated IO Table'!AJ112</f>
        <v>2.8088357174193868E-4</v>
      </c>
      <c r="AJ4" s="45">
        <f>'Calculated IO Table'!AK112</f>
        <v>2.9922303496300335E-4</v>
      </c>
      <c r="AK4" s="45">
        <f>'Calculated IO Table'!AL112</f>
        <v>5.9306302405946287E-4</v>
      </c>
      <c r="AL4" s="45">
        <f>'Calculated IO Table'!AM112</f>
        <v>7.9357663956297771E-4</v>
      </c>
      <c r="AM4" s="45">
        <f>'Calculated IO Table'!AN112</f>
        <v>1.9868240879483121E-3</v>
      </c>
      <c r="AN4" s="45">
        <f>'Calculated IO Table'!AO112</f>
        <v>8.3104044917335369E-4</v>
      </c>
      <c r="AO4" s="45">
        <f>'Calculated IO Table'!AP112</f>
        <v>6.3130699626461214E-4</v>
      </c>
      <c r="AP4" s="45">
        <f>'Calculated IO Table'!AQ112</f>
        <v>8.2558292924819255E-4</v>
      </c>
      <c r="AQ4" s="45">
        <f>'Calculated IO Table'!AR112</f>
        <v>0</v>
      </c>
    </row>
    <row r="5" spans="1:43" x14ac:dyDescent="0.25">
      <c r="A5" t="s">
        <v>5</v>
      </c>
      <c r="B5" s="45">
        <f>'Calculated IO Table'!C113</f>
        <v>1.0453146041658247E-3</v>
      </c>
      <c r="C5" s="45">
        <f>'Calculated IO Table'!D113</f>
        <v>3.0682324195687094E-3</v>
      </c>
      <c r="D5" s="45">
        <f>'Calculated IO Table'!E113</f>
        <v>2.3476276161411877E-3</v>
      </c>
      <c r="E5" s="45">
        <f>'Calculated IO Table'!F113</f>
        <v>3.2376992659347799E-2</v>
      </c>
      <c r="F5" s="45">
        <f>'Calculated IO Table'!G113</f>
        <v>3.1964574790937427E-3</v>
      </c>
      <c r="G5" s="45">
        <f>'Calculated IO Table'!H113</f>
        <v>6.4848820776061895E-4</v>
      </c>
      <c r="H5" s="45">
        <f>'Calculated IO Table'!I113</f>
        <v>6.517813732887938E-4</v>
      </c>
      <c r="I5" s="45">
        <f>'Calculated IO Table'!J113</f>
        <v>1.7289349470669339E-4</v>
      </c>
      <c r="J5" s="45">
        <f>'Calculated IO Table'!K113</f>
        <v>9.2924846205151817E-4</v>
      </c>
      <c r="K5" s="45">
        <f>'Calculated IO Table'!L113</f>
        <v>1.5915744836489459E-3</v>
      </c>
      <c r="L5" s="45">
        <f>'Calculated IO Table'!M113</f>
        <v>4.8710935149385492E-3</v>
      </c>
      <c r="M5" s="45">
        <f>'Calculated IO Table'!N113</f>
        <v>3.0955699265825475E-4</v>
      </c>
      <c r="N5" s="45">
        <f>'Calculated IO Table'!O113</f>
        <v>1.1954935228153621E-3</v>
      </c>
      <c r="O5" s="45">
        <f>'Calculated IO Table'!P113</f>
        <v>5.9521659776998734E-2</v>
      </c>
      <c r="P5" s="45">
        <f>'Calculated IO Table'!Q113</f>
        <v>0</v>
      </c>
      <c r="Q5" s="45">
        <f>'Calculated IO Table'!R113</f>
        <v>5.0027921728062474E-2</v>
      </c>
      <c r="R5" s="45">
        <f>'Calculated IO Table'!S113</f>
        <v>7.3862026511425594E-2</v>
      </c>
      <c r="S5" s="45">
        <f>'Calculated IO Table'!T113</f>
        <v>1.7275247271102319E-3</v>
      </c>
      <c r="T5" s="45">
        <f>'Calculated IO Table'!U113</f>
        <v>1.2995962621248526E-4</v>
      </c>
      <c r="U5" s="45">
        <f>'Calculated IO Table'!V113</f>
        <v>7.638136841908688E-4</v>
      </c>
      <c r="V5" s="45">
        <f>'Calculated IO Table'!W113</f>
        <v>4.9456011513411937E-4</v>
      </c>
      <c r="W5" s="45">
        <f>'Calculated IO Table'!X113</f>
        <v>3.6971111469361138E-4</v>
      </c>
      <c r="X5" s="45">
        <f>'Calculated IO Table'!Y113</f>
        <v>1.8417835291800161E-4</v>
      </c>
      <c r="Y5" s="45">
        <f>'Calculated IO Table'!Z113</f>
        <v>7.8112508022814111E-4</v>
      </c>
      <c r="Z5" s="45">
        <f>'Calculated IO Table'!AA113</f>
        <v>1.5740201317009637E-3</v>
      </c>
      <c r="AA5" s="45">
        <f>'Calculated IO Table'!AB113</f>
        <v>0</v>
      </c>
      <c r="AB5" s="45">
        <f>'Calculated IO Table'!AC113</f>
        <v>1.0013707519845475E-3</v>
      </c>
      <c r="AC5" s="45">
        <f>'Calculated IO Table'!AD113</f>
        <v>9.9696468397446631E-3</v>
      </c>
      <c r="AD5" s="45">
        <f>'Calculated IO Table'!AE113</f>
        <v>8.3287674435699431E-5</v>
      </c>
      <c r="AE5" s="45">
        <f>'Calculated IO Table'!AF113</f>
        <v>7.4334300114047935E-5</v>
      </c>
      <c r="AF5" s="45">
        <f>'Calculated IO Table'!AG113</f>
        <v>1.3388011480726267E-4</v>
      </c>
      <c r="AG5" s="45">
        <f>'Calculated IO Table'!AH113</f>
        <v>3.0752862288494622E-5</v>
      </c>
      <c r="AH5" s="45">
        <f>'Calculated IO Table'!AI113</f>
        <v>4.1222567315092377E-5</v>
      </c>
      <c r="AI5" s="45">
        <f>'Calculated IO Table'!AJ113</f>
        <v>1.4693114509045119E-5</v>
      </c>
      <c r="AJ5" s="45">
        <f>'Calculated IO Table'!AK113</f>
        <v>1.4822450795917977E-5</v>
      </c>
      <c r="AK5" s="45">
        <f>'Calculated IO Table'!AL113</f>
        <v>4.1190873084642353E-4</v>
      </c>
      <c r="AL5" s="45">
        <f>'Calculated IO Table'!AM113</f>
        <v>1.4737210311467373E-4</v>
      </c>
      <c r="AM5" s="45">
        <f>'Calculated IO Table'!AN113</f>
        <v>3.2394047594964915E-4</v>
      </c>
      <c r="AN5" s="45">
        <f>'Calculated IO Table'!AO113</f>
        <v>7.0255560541540265E-5</v>
      </c>
      <c r="AO5" s="45">
        <f>'Calculated IO Table'!AP113</f>
        <v>8.1484093899360544E-5</v>
      </c>
      <c r="AP5" s="45">
        <f>'Calculated IO Table'!AQ113</f>
        <v>1.1809524657700614E-4</v>
      </c>
      <c r="AQ5" s="45">
        <f>'Calculated IO Table'!AR113</f>
        <v>0</v>
      </c>
    </row>
    <row r="6" spans="1:43" x14ac:dyDescent="0.25">
      <c r="A6" t="s">
        <v>6</v>
      </c>
      <c r="B6" s="45">
        <f>'Calculated IO Table'!C114</f>
        <v>9.4036786356345916E-5</v>
      </c>
      <c r="C6" s="45">
        <f>'Calculated IO Table'!D114</f>
        <v>3.319087357145705E-3</v>
      </c>
      <c r="D6" s="45">
        <f>'Calculated IO Table'!E114</f>
        <v>1.6978078267987889E-2</v>
      </c>
      <c r="E6" s="45">
        <f>'Calculated IO Table'!F114</f>
        <v>4.9479559787477126E-3</v>
      </c>
      <c r="F6" s="45">
        <f>'Calculated IO Table'!G114</f>
        <v>1.0799507052264847E-2</v>
      </c>
      <c r="G6" s="45">
        <f>'Calculated IO Table'!H114</f>
        <v>6.1586031185687987E-5</v>
      </c>
      <c r="H6" s="45">
        <f>'Calculated IO Table'!I114</f>
        <v>4.1037932835256163E-5</v>
      </c>
      <c r="I6" s="45">
        <f>'Calculated IO Table'!J114</f>
        <v>6.1450341654115253E-5</v>
      </c>
      <c r="J6" s="45">
        <f>'Calculated IO Table'!K114</f>
        <v>1.2661127731303316E-4</v>
      </c>
      <c r="K6" s="45">
        <f>'Calculated IO Table'!L114</f>
        <v>9.9557079180774381E-4</v>
      </c>
      <c r="L6" s="45">
        <f>'Calculated IO Table'!M114</f>
        <v>7.2194570416676818E-5</v>
      </c>
      <c r="M6" s="45">
        <f>'Calculated IO Table'!N114</f>
        <v>2.0294635442395438E-5</v>
      </c>
      <c r="N6" s="45">
        <f>'Calculated IO Table'!O114</f>
        <v>8.4091353131334753E-5</v>
      </c>
      <c r="O6" s="45">
        <f>'Calculated IO Table'!P114</f>
        <v>1.0388380865633407E-3</v>
      </c>
      <c r="P6" s="45">
        <f>'Calculated IO Table'!Q114</f>
        <v>0</v>
      </c>
      <c r="Q6" s="45">
        <f>'Calculated IO Table'!R114</f>
        <v>3.3551421604690907E-4</v>
      </c>
      <c r="R6" s="45">
        <f>'Calculated IO Table'!S114</f>
        <v>2.7056701939444274E-4</v>
      </c>
      <c r="S6" s="45">
        <f>'Calculated IO Table'!T114</f>
        <v>2.6553083995957318E-4</v>
      </c>
      <c r="T6" s="45">
        <f>'Calculated IO Table'!U114</f>
        <v>2.5120924887006754E-5</v>
      </c>
      <c r="U6" s="45">
        <f>'Calculated IO Table'!V114</f>
        <v>8.0079966222066227E-5</v>
      </c>
      <c r="V6" s="45">
        <f>'Calculated IO Table'!W114</f>
        <v>1.8167016579002284E-4</v>
      </c>
      <c r="W6" s="45">
        <f>'Calculated IO Table'!X114</f>
        <v>1.3067135859530391E-4</v>
      </c>
      <c r="X6" s="45">
        <f>'Calculated IO Table'!Y114</f>
        <v>9.2241721491940031E-5</v>
      </c>
      <c r="Y6" s="45">
        <f>'Calculated IO Table'!Z114</f>
        <v>8.4841494191253346E-5</v>
      </c>
      <c r="Z6" s="45">
        <f>'Calculated IO Table'!AA114</f>
        <v>5.3917704698684384E-4</v>
      </c>
      <c r="AA6" s="45">
        <f>'Calculated IO Table'!AB114</f>
        <v>0</v>
      </c>
      <c r="AB6" s="45">
        <f>'Calculated IO Table'!AC114</f>
        <v>1.2851650732430644E-4</v>
      </c>
      <c r="AC6" s="45">
        <f>'Calculated IO Table'!AD114</f>
        <v>8.8294641382574354E-4</v>
      </c>
      <c r="AD6" s="45">
        <f>'Calculated IO Table'!AE114</f>
        <v>4.7986801281061601E-5</v>
      </c>
      <c r="AE6" s="45">
        <f>'Calculated IO Table'!AF114</f>
        <v>6.4585930448376338E-5</v>
      </c>
      <c r="AF6" s="45">
        <f>'Calculated IO Table'!AG114</f>
        <v>4.9703094622412053E-5</v>
      </c>
      <c r="AG6" s="45">
        <f>'Calculated IO Table'!AH114</f>
        <v>2.3679996488348249E-5</v>
      </c>
      <c r="AH6" s="45">
        <f>'Calculated IO Table'!AI114</f>
        <v>6.0289895709811651E-5</v>
      </c>
      <c r="AI6" s="45">
        <f>'Calculated IO Table'!AJ114</f>
        <v>1.1696472795618859E-5</v>
      </c>
      <c r="AJ6" s="45">
        <f>'Calculated IO Table'!AK114</f>
        <v>1.8253198370902031E-5</v>
      </c>
      <c r="AK6" s="45">
        <f>'Calculated IO Table'!AL114</f>
        <v>2.7354594380183127E-4</v>
      </c>
      <c r="AL6" s="45">
        <f>'Calculated IO Table'!AM114</f>
        <v>4.304531181211176E-5</v>
      </c>
      <c r="AM6" s="45">
        <f>'Calculated IO Table'!AN114</f>
        <v>1.8975870748843914E-4</v>
      </c>
      <c r="AN6" s="45">
        <f>'Calculated IO Table'!AO114</f>
        <v>6.7274026547447109E-5</v>
      </c>
      <c r="AO6" s="45">
        <f>'Calculated IO Table'!AP114</f>
        <v>4.8476988381172955E-5</v>
      </c>
      <c r="AP6" s="45">
        <f>'Calculated IO Table'!AQ114</f>
        <v>4.3243781482119297E-5</v>
      </c>
      <c r="AQ6" s="45">
        <f>'Calculated IO Table'!AR114</f>
        <v>0</v>
      </c>
    </row>
    <row r="7" spans="1:43" x14ac:dyDescent="0.25">
      <c r="A7" t="s">
        <v>7</v>
      </c>
      <c r="B7" s="45">
        <f>'Calculated IO Table'!C115</f>
        <v>3.5962580239697166E-2</v>
      </c>
      <c r="C7" s="45">
        <f>'Calculated IO Table'!D115</f>
        <v>1.9606683654516948E-4</v>
      </c>
      <c r="D7" s="45">
        <f>'Calculated IO Table'!E115</f>
        <v>1.9473361039261942E-4</v>
      </c>
      <c r="E7" s="45">
        <f>'Calculated IO Table'!F115</f>
        <v>3.3678942975381878E-4</v>
      </c>
      <c r="F7" s="45">
        <f>'Calculated IO Table'!G115</f>
        <v>1.0887943109153744E-4</v>
      </c>
      <c r="G7" s="45">
        <f>'Calculated IO Table'!H115</f>
        <v>6.5192836170790358E-2</v>
      </c>
      <c r="H7" s="45">
        <f>'Calculated IO Table'!I115</f>
        <v>2.2763470338499755E-3</v>
      </c>
      <c r="I7" s="45">
        <f>'Calculated IO Table'!J115</f>
        <v>3.9649770568890921E-4</v>
      </c>
      <c r="J7" s="45">
        <f>'Calculated IO Table'!K115</f>
        <v>1.1245039946807763E-3</v>
      </c>
      <c r="K7" s="45">
        <f>'Calculated IO Table'!L115</f>
        <v>1.8230990907442958E-4</v>
      </c>
      <c r="L7" s="45">
        <f>'Calculated IO Table'!M115</f>
        <v>2.9925356612710541E-3</v>
      </c>
      <c r="M7" s="45">
        <f>'Calculated IO Table'!N115</f>
        <v>2.3256720150622591E-3</v>
      </c>
      <c r="N7" s="45">
        <f>'Calculated IO Table'!O115</f>
        <v>1.2409624600655809E-3</v>
      </c>
      <c r="O7" s="45">
        <f>'Calculated IO Table'!P115</f>
        <v>4.1073242965253477E-4</v>
      </c>
      <c r="P7" s="45">
        <f>'Calculated IO Table'!Q115</f>
        <v>0</v>
      </c>
      <c r="Q7" s="45">
        <f>'Calculated IO Table'!R115</f>
        <v>2.3839910521480533E-4</v>
      </c>
      <c r="R7" s="45">
        <f>'Calculated IO Table'!S115</f>
        <v>2.4058164261353085E-4</v>
      </c>
      <c r="S7" s="45">
        <f>'Calculated IO Table'!T115</f>
        <v>2.6878741266255656E-4</v>
      </c>
      <c r="T7" s="45">
        <f>'Calculated IO Table'!U115</f>
        <v>1.3751959881020941E-4</v>
      </c>
      <c r="U7" s="45">
        <f>'Calculated IO Table'!V115</f>
        <v>2.5632602563899112E-4</v>
      </c>
      <c r="V7" s="45">
        <f>'Calculated IO Table'!W115</f>
        <v>2.872171459269831E-4</v>
      </c>
      <c r="W7" s="45">
        <f>'Calculated IO Table'!X115</f>
        <v>2.445964107078561E-4</v>
      </c>
      <c r="X7" s="45">
        <f>'Calculated IO Table'!Y115</f>
        <v>2.1993886351018207E-4</v>
      </c>
      <c r="Y7" s="45">
        <f>'Calculated IO Table'!Z115</f>
        <v>5.481691019390073E-4</v>
      </c>
      <c r="Z7" s="45">
        <f>'Calculated IO Table'!AA115</f>
        <v>1.0452609681172824E-4</v>
      </c>
      <c r="AA7" s="45">
        <f>'Calculated IO Table'!AB115</f>
        <v>0</v>
      </c>
      <c r="AB7" s="45">
        <f>'Calculated IO Table'!AC115</f>
        <v>5.0280527600715707E-4</v>
      </c>
      <c r="AC7" s="45">
        <f>'Calculated IO Table'!AD115</f>
        <v>2.1403337659059435E-4</v>
      </c>
      <c r="AD7" s="45">
        <f>'Calculated IO Table'!AE115</f>
        <v>1.7061090745380798E-3</v>
      </c>
      <c r="AE7" s="45">
        <f>'Calculated IO Table'!AF115</f>
        <v>2.6779622168195366E-4</v>
      </c>
      <c r="AF7" s="45">
        <f>'Calculated IO Table'!AG115</f>
        <v>6.8950964815674795E-2</v>
      </c>
      <c r="AG7" s="45">
        <f>'Calculated IO Table'!AH115</f>
        <v>5.7917890643331541E-4</v>
      </c>
      <c r="AH7" s="45">
        <f>'Calculated IO Table'!AI115</f>
        <v>2.7289742978375484E-4</v>
      </c>
      <c r="AI7" s="45">
        <f>'Calculated IO Table'!AJ115</f>
        <v>2.156550255831445E-4</v>
      </c>
      <c r="AJ7" s="45">
        <f>'Calculated IO Table'!AK115</f>
        <v>1.3296244302836422E-4</v>
      </c>
      <c r="AK7" s="45">
        <f>'Calculated IO Table'!AL115</f>
        <v>2.3942522767366262E-4</v>
      </c>
      <c r="AL7" s="45">
        <f>'Calculated IO Table'!AM115</f>
        <v>3.1618904357572997E-4</v>
      </c>
      <c r="AM7" s="45">
        <f>'Calculated IO Table'!AN115</f>
        <v>1.1605787832098295E-3</v>
      </c>
      <c r="AN7" s="45">
        <f>'Calculated IO Table'!AO115</f>
        <v>1.8579474788237335E-3</v>
      </c>
      <c r="AO7" s="45">
        <f>'Calculated IO Table'!AP115</f>
        <v>2.5090207807202964E-3</v>
      </c>
      <c r="AP7" s="45">
        <f>'Calculated IO Table'!AQ115</f>
        <v>1.8272263792070071E-3</v>
      </c>
      <c r="AQ7" s="45">
        <f>'Calculated IO Table'!AR115</f>
        <v>0</v>
      </c>
    </row>
    <row r="8" spans="1:43" x14ac:dyDescent="0.25">
      <c r="A8" t="s">
        <v>8</v>
      </c>
      <c r="B8" s="45">
        <f>'Calculated IO Table'!C116</f>
        <v>6.7831657679792072E-4</v>
      </c>
      <c r="C8" s="45">
        <f>'Calculated IO Table'!D116</f>
        <v>3.056183481622098E-4</v>
      </c>
      <c r="D8" s="45">
        <f>'Calculated IO Table'!E116</f>
        <v>2.6422390880806863E-4</v>
      </c>
      <c r="E8" s="45">
        <f>'Calculated IO Table'!F116</f>
        <v>3.9774503184947376E-4</v>
      </c>
      <c r="F8" s="45">
        <f>'Calculated IO Table'!G116</f>
        <v>1.3134985777084158E-4</v>
      </c>
      <c r="G8" s="45">
        <f>'Calculated IO Table'!H116</f>
        <v>3.5319201822567553E-4</v>
      </c>
      <c r="H8" s="45">
        <f>'Calculated IO Table'!I116</f>
        <v>0.10145228239003537</v>
      </c>
      <c r="I8" s="45">
        <f>'Calculated IO Table'!J116</f>
        <v>6.1894400557909346E-4</v>
      </c>
      <c r="J8" s="45">
        <f>'Calculated IO Table'!K116</f>
        <v>2.6178697125587985E-3</v>
      </c>
      <c r="K8" s="45">
        <f>'Calculated IO Table'!L116</f>
        <v>1.0580995507212088E-4</v>
      </c>
      <c r="L8" s="45">
        <f>'Calculated IO Table'!M116</f>
        <v>1.5392628161015206E-3</v>
      </c>
      <c r="M8" s="45">
        <f>'Calculated IO Table'!N116</f>
        <v>5.5790552016663864E-4</v>
      </c>
      <c r="N8" s="45">
        <f>'Calculated IO Table'!O116</f>
        <v>3.4588072702456279E-3</v>
      </c>
      <c r="O8" s="45">
        <f>'Calculated IO Table'!P116</f>
        <v>1.0350655064083247E-3</v>
      </c>
      <c r="P8" s="45">
        <f>'Calculated IO Table'!Q116</f>
        <v>0</v>
      </c>
      <c r="Q8" s="45">
        <f>'Calculated IO Table'!R116</f>
        <v>2.4166919481374873E-4</v>
      </c>
      <c r="R8" s="45">
        <f>'Calculated IO Table'!S116</f>
        <v>1.8676252820572919E-4</v>
      </c>
      <c r="S8" s="45">
        <f>'Calculated IO Table'!T116</f>
        <v>4.1768576593125949E-4</v>
      </c>
      <c r="T8" s="45">
        <f>'Calculated IO Table'!U116</f>
        <v>1.6983077053428432E-4</v>
      </c>
      <c r="U8" s="45">
        <f>'Calculated IO Table'!V116</f>
        <v>3.6966850649326429E-4</v>
      </c>
      <c r="V8" s="45">
        <f>'Calculated IO Table'!W116</f>
        <v>4.4698787998163371E-4</v>
      </c>
      <c r="W8" s="45">
        <f>'Calculated IO Table'!X116</f>
        <v>2.2352761041487482E-3</v>
      </c>
      <c r="X8" s="45">
        <f>'Calculated IO Table'!Y116</f>
        <v>5.4210549835378909E-4</v>
      </c>
      <c r="Y8" s="45">
        <f>'Calculated IO Table'!Z116</f>
        <v>5.3465628075054479E-3</v>
      </c>
      <c r="Z8" s="45">
        <f>'Calculated IO Table'!AA116</f>
        <v>6.5580358075555039E-5</v>
      </c>
      <c r="AA8" s="45">
        <f>'Calculated IO Table'!AB116</f>
        <v>0</v>
      </c>
      <c r="AB8" s="45">
        <f>'Calculated IO Table'!AC116</f>
        <v>4.0683928236703864E-4</v>
      </c>
      <c r="AC8" s="45">
        <f>'Calculated IO Table'!AD116</f>
        <v>3.9162516907631604E-4</v>
      </c>
      <c r="AD8" s="45">
        <f>'Calculated IO Table'!AE116</f>
        <v>5.8744099733873032E-4</v>
      </c>
      <c r="AE8" s="45">
        <f>'Calculated IO Table'!AF116</f>
        <v>1.2620350902430336E-4</v>
      </c>
      <c r="AF8" s="45">
        <f>'Calculated IO Table'!AG116</f>
        <v>1.0082832277971577E-3</v>
      </c>
      <c r="AG8" s="45">
        <f>'Calculated IO Table'!AH116</f>
        <v>1.6851076650437353E-4</v>
      </c>
      <c r="AH8" s="45">
        <f>'Calculated IO Table'!AI116</f>
        <v>8.1347606393400979E-5</v>
      </c>
      <c r="AI8" s="45">
        <f>'Calculated IO Table'!AJ116</f>
        <v>5.5514133538398131E-5</v>
      </c>
      <c r="AJ8" s="45">
        <f>'Calculated IO Table'!AK116</f>
        <v>4.4369565878057176E-5</v>
      </c>
      <c r="AK8" s="45">
        <f>'Calculated IO Table'!AL116</f>
        <v>9.9330681671392184E-5</v>
      </c>
      <c r="AL8" s="45">
        <f>'Calculated IO Table'!AM116</f>
        <v>3.377591736974357E-4</v>
      </c>
      <c r="AM8" s="45">
        <f>'Calculated IO Table'!AN116</f>
        <v>6.9091488358915165E-4</v>
      </c>
      <c r="AN8" s="45">
        <f>'Calculated IO Table'!AO116</f>
        <v>3.3570756962743699E-4</v>
      </c>
      <c r="AO8" s="45">
        <f>'Calculated IO Table'!AP116</f>
        <v>9.3277374241279489E-4</v>
      </c>
      <c r="AP8" s="45">
        <f>'Calculated IO Table'!AQ116</f>
        <v>1.3249961044357512E-3</v>
      </c>
      <c r="AQ8" s="45">
        <f>'Calculated IO Table'!AR116</f>
        <v>0</v>
      </c>
    </row>
    <row r="9" spans="1:43" x14ac:dyDescent="0.25">
      <c r="A9" t="s">
        <v>9</v>
      </c>
      <c r="B9" s="45">
        <f>'Calculated IO Table'!C117</f>
        <v>2.4516653968336493E-3</v>
      </c>
      <c r="C9" s="45">
        <f>'Calculated IO Table'!D117</f>
        <v>1.9761739659239735E-3</v>
      </c>
      <c r="D9" s="45">
        <f>'Calculated IO Table'!E117</f>
        <v>5.7898125113403675E-4</v>
      </c>
      <c r="E9" s="45">
        <f>'Calculated IO Table'!F117</f>
        <v>1.429835764366197E-3</v>
      </c>
      <c r="F9" s="45">
        <f>'Calculated IO Table'!G117</f>
        <v>3.4389180970389619E-4</v>
      </c>
      <c r="G9" s="45">
        <f>'Calculated IO Table'!H117</f>
        <v>2.3290634834529631E-3</v>
      </c>
      <c r="H9" s="45">
        <f>'Calculated IO Table'!I117</f>
        <v>2.1856155933968249E-3</v>
      </c>
      <c r="I9" s="45">
        <f>'Calculated IO Table'!J117</f>
        <v>0.20455130502282781</v>
      </c>
      <c r="J9" s="45">
        <f>'Calculated IO Table'!K117</f>
        <v>1.5136528040633118E-2</v>
      </c>
      <c r="K9" s="45">
        <f>'Calculated IO Table'!L117</f>
        <v>6.0067059307640294E-5</v>
      </c>
      <c r="L9" s="45">
        <f>'Calculated IO Table'!M117</f>
        <v>1.7789292837718607E-3</v>
      </c>
      <c r="M9" s="45">
        <f>'Calculated IO Table'!N117</f>
        <v>5.0021449593269955E-4</v>
      </c>
      <c r="N9" s="45">
        <f>'Calculated IO Table'!O117</f>
        <v>2.5910576145278452E-3</v>
      </c>
      <c r="O9" s="45">
        <f>'Calculated IO Table'!P117</f>
        <v>6.3394026518681342E-3</v>
      </c>
      <c r="P9" s="45">
        <f>'Calculated IO Table'!Q117</f>
        <v>0</v>
      </c>
      <c r="Q9" s="45">
        <f>'Calculated IO Table'!R117</f>
        <v>6.284215327892488E-4</v>
      </c>
      <c r="R9" s="45">
        <f>'Calculated IO Table'!S117</f>
        <v>1.0325912729520748E-3</v>
      </c>
      <c r="S9" s="45">
        <f>'Calculated IO Table'!T117</f>
        <v>2.7283111905204304E-3</v>
      </c>
      <c r="T9" s="45">
        <f>'Calculated IO Table'!U117</f>
        <v>4.1720794466959624E-4</v>
      </c>
      <c r="U9" s="45">
        <f>'Calculated IO Table'!V117</f>
        <v>1.8391358866681796E-3</v>
      </c>
      <c r="V9" s="45">
        <f>'Calculated IO Table'!W117</f>
        <v>1.6309649343725283E-3</v>
      </c>
      <c r="W9" s="45">
        <f>'Calculated IO Table'!X117</f>
        <v>3.6957069874052409E-3</v>
      </c>
      <c r="X9" s="45">
        <f>'Calculated IO Table'!Y117</f>
        <v>1.9996337393759127E-3</v>
      </c>
      <c r="Y9" s="45">
        <f>'Calculated IO Table'!Z117</f>
        <v>5.284855268351088E-2</v>
      </c>
      <c r="Z9" s="45">
        <f>'Calculated IO Table'!AA117</f>
        <v>7.9234033157774854E-4</v>
      </c>
      <c r="AA9" s="45">
        <f>'Calculated IO Table'!AB117</f>
        <v>0</v>
      </c>
      <c r="AB9" s="45">
        <f>'Calculated IO Table'!AC117</f>
        <v>8.5183028212731482E-4</v>
      </c>
      <c r="AC9" s="45">
        <f>'Calculated IO Table'!AD117</f>
        <v>2.6199937776663924E-2</v>
      </c>
      <c r="AD9" s="45">
        <f>'Calculated IO Table'!AE117</f>
        <v>1.539027926756717E-3</v>
      </c>
      <c r="AE9" s="45">
        <f>'Calculated IO Table'!AF117</f>
        <v>6.9665804404648376E-4</v>
      </c>
      <c r="AF9" s="45">
        <f>'Calculated IO Table'!AG117</f>
        <v>1.7626209920475421E-3</v>
      </c>
      <c r="AG9" s="45">
        <f>'Calculated IO Table'!AH117</f>
        <v>5.7781343588666969E-4</v>
      </c>
      <c r="AH9" s="45">
        <f>'Calculated IO Table'!AI117</f>
        <v>2.1862762476732879E-4</v>
      </c>
      <c r="AI9" s="45">
        <f>'Calculated IO Table'!AJ117</f>
        <v>1.2388436843966167E-4</v>
      </c>
      <c r="AJ9" s="45">
        <f>'Calculated IO Table'!AK117</f>
        <v>9.5241226053052069E-5</v>
      </c>
      <c r="AK9" s="45">
        <f>'Calculated IO Table'!AL117</f>
        <v>1.6055813473426197E-3</v>
      </c>
      <c r="AL9" s="45">
        <f>'Calculated IO Table'!AM117</f>
        <v>9.2607531562701254E-4</v>
      </c>
      <c r="AM9" s="45">
        <f>'Calculated IO Table'!AN117</f>
        <v>3.9349930085932807E-4</v>
      </c>
      <c r="AN9" s="45">
        <f>'Calculated IO Table'!AO117</f>
        <v>6.4430012242751484E-4</v>
      </c>
      <c r="AO9" s="45">
        <f>'Calculated IO Table'!AP117</f>
        <v>7.0288397259079367E-4</v>
      </c>
      <c r="AP9" s="45">
        <f>'Calculated IO Table'!AQ117</f>
        <v>2.3894206308312472E-3</v>
      </c>
      <c r="AQ9" s="45">
        <f>'Calculated IO Table'!AR117</f>
        <v>0</v>
      </c>
    </row>
    <row r="10" spans="1:43" x14ac:dyDescent="0.25">
      <c r="A10" t="s">
        <v>10</v>
      </c>
      <c r="B10" s="45">
        <f>'Calculated IO Table'!C118</f>
        <v>1.3389690595128545E-3</v>
      </c>
      <c r="C10" s="45">
        <f>'Calculated IO Table'!D118</f>
        <v>3.9756557134495898E-4</v>
      </c>
      <c r="D10" s="45">
        <f>'Calculated IO Table'!E118</f>
        <v>7.577648220527944E-4</v>
      </c>
      <c r="E10" s="45">
        <f>'Calculated IO Table'!F118</f>
        <v>8.7188485228109104E-4</v>
      </c>
      <c r="F10" s="45">
        <f>'Calculated IO Table'!G118</f>
        <v>3.0440357037166447E-4</v>
      </c>
      <c r="G10" s="45">
        <f>'Calculated IO Table'!H118</f>
        <v>1.362312730533447E-2</v>
      </c>
      <c r="H10" s="45">
        <f>'Calculated IO Table'!I118</f>
        <v>7.7754576873678557E-3</v>
      </c>
      <c r="I10" s="45">
        <f>'Calculated IO Table'!J118</f>
        <v>4.4807859215009339E-3</v>
      </c>
      <c r="J10" s="45">
        <f>'Calculated IO Table'!K118</f>
        <v>0.17543129456489118</v>
      </c>
      <c r="K10" s="45">
        <f>'Calculated IO Table'!L118</f>
        <v>2.0294210692334017E-4</v>
      </c>
      <c r="L10" s="45">
        <f>'Calculated IO Table'!M118</f>
        <v>2.9410812320928418E-3</v>
      </c>
      <c r="M10" s="45">
        <f>'Calculated IO Table'!N118</f>
        <v>5.9269850335912687E-3</v>
      </c>
      <c r="N10" s="45">
        <f>'Calculated IO Table'!O118</f>
        <v>5.3810792894487137E-3</v>
      </c>
      <c r="O10" s="45">
        <f>'Calculated IO Table'!P118</f>
        <v>6.4549056917048335E-3</v>
      </c>
      <c r="P10" s="45">
        <f>'Calculated IO Table'!Q118</f>
        <v>0</v>
      </c>
      <c r="Q10" s="45">
        <f>'Calculated IO Table'!R118</f>
        <v>8.3046671434245669E-4</v>
      </c>
      <c r="R10" s="45">
        <f>'Calculated IO Table'!S118</f>
        <v>1.0840919303922803E-3</v>
      </c>
      <c r="S10" s="45">
        <f>'Calculated IO Table'!T118</f>
        <v>2.4853823321304459E-3</v>
      </c>
      <c r="T10" s="45">
        <f>'Calculated IO Table'!U118</f>
        <v>1.1498389449053033E-3</v>
      </c>
      <c r="U10" s="45">
        <f>'Calculated IO Table'!V118</f>
        <v>2.7467555930038496E-3</v>
      </c>
      <c r="V10" s="45">
        <f>'Calculated IO Table'!W118</f>
        <v>2.4307272576130331E-3</v>
      </c>
      <c r="W10" s="45">
        <f>'Calculated IO Table'!X118</f>
        <v>2.2207505509434632E-3</v>
      </c>
      <c r="X10" s="45">
        <f>'Calculated IO Table'!Y118</f>
        <v>1.2290892292876057E-3</v>
      </c>
      <c r="Y10" s="45">
        <f>'Calculated IO Table'!Z118</f>
        <v>5.7197640728916845E-3</v>
      </c>
      <c r="Z10" s="45">
        <f>'Calculated IO Table'!AA118</f>
        <v>4.9188247170470537E-4</v>
      </c>
      <c r="AA10" s="45">
        <f>'Calculated IO Table'!AB118</f>
        <v>0</v>
      </c>
      <c r="AB10" s="45">
        <f>'Calculated IO Table'!AC118</f>
        <v>1.6936380400252424E-3</v>
      </c>
      <c r="AC10" s="45">
        <f>'Calculated IO Table'!AD118</f>
        <v>1.1248798512452254E-3</v>
      </c>
      <c r="AD10" s="45">
        <f>'Calculated IO Table'!AE118</f>
        <v>4.3896288773357757E-3</v>
      </c>
      <c r="AE10" s="45">
        <f>'Calculated IO Table'!AF118</f>
        <v>1.2214043897612785E-3</v>
      </c>
      <c r="AF10" s="45">
        <f>'Calculated IO Table'!AG118</f>
        <v>3.3105318877627017E-3</v>
      </c>
      <c r="AG10" s="45">
        <f>'Calculated IO Table'!AH118</f>
        <v>2.728172855106642E-2</v>
      </c>
      <c r="AH10" s="45">
        <f>'Calculated IO Table'!AI118</f>
        <v>2.7000722265534869E-3</v>
      </c>
      <c r="AI10" s="45">
        <f>'Calculated IO Table'!AJ118</f>
        <v>3.3613392903370592E-3</v>
      </c>
      <c r="AJ10" s="45">
        <f>'Calculated IO Table'!AK118</f>
        <v>3.0480911058736724E-3</v>
      </c>
      <c r="AK10" s="45">
        <f>'Calculated IO Table'!AL118</f>
        <v>7.6017065517799455E-4</v>
      </c>
      <c r="AL10" s="45">
        <f>'Calculated IO Table'!AM118</f>
        <v>4.4389949961481726E-3</v>
      </c>
      <c r="AM10" s="45">
        <f>'Calculated IO Table'!AN118</f>
        <v>5.6499603487017176E-3</v>
      </c>
      <c r="AN10" s="45">
        <f>'Calculated IO Table'!AO118</f>
        <v>7.0615213537863477E-3</v>
      </c>
      <c r="AO10" s="45">
        <f>'Calculated IO Table'!AP118</f>
        <v>3.7908579625201295E-3</v>
      </c>
      <c r="AP10" s="45">
        <f>'Calculated IO Table'!AQ118</f>
        <v>5.2353233447359083E-3</v>
      </c>
      <c r="AQ10" s="45">
        <f>'Calculated IO Table'!AR118</f>
        <v>0</v>
      </c>
    </row>
    <row r="11" spans="1:43" x14ac:dyDescent="0.25">
      <c r="A11" t="s">
        <v>11</v>
      </c>
      <c r="B11" s="45">
        <f>'Calculated IO Table'!C119</f>
        <v>3.0727130736696043E-2</v>
      </c>
      <c r="C11" s="45">
        <f>'Calculated IO Table'!D119</f>
        <v>2.4776097771205728E-2</v>
      </c>
      <c r="D11" s="45">
        <f>'Calculated IO Table'!E119</f>
        <v>1.9859822835101102E-2</v>
      </c>
      <c r="E11" s="45">
        <f>'Calculated IO Table'!F119</f>
        <v>3.8821405236070194E-2</v>
      </c>
      <c r="F11" s="45">
        <f>'Calculated IO Table'!G119</f>
        <v>1.5444741363110451E-2</v>
      </c>
      <c r="G11" s="45">
        <f>'Calculated IO Table'!H119</f>
        <v>1.0715337505795761E-2</v>
      </c>
      <c r="H11" s="45">
        <f>'Calculated IO Table'!I119</f>
        <v>1.1069498444423141E-2</v>
      </c>
      <c r="I11" s="45">
        <f>'Calculated IO Table'!J119</f>
        <v>1.1990678838867367E-2</v>
      </c>
      <c r="J11" s="45">
        <f>'Calculated IO Table'!K119</f>
        <v>1.3431822364467078E-2</v>
      </c>
      <c r="K11" s="45">
        <f>'Calculated IO Table'!L119</f>
        <v>5.7454798794480844E-2</v>
      </c>
      <c r="L11" s="45">
        <f>'Calculated IO Table'!M119</f>
        <v>5.2397057386189549E-2</v>
      </c>
      <c r="M11" s="45">
        <f>'Calculated IO Table'!N119</f>
        <v>6.0919607797681611E-3</v>
      </c>
      <c r="N11" s="45">
        <f>'Calculated IO Table'!O119</f>
        <v>1.656947087184861E-2</v>
      </c>
      <c r="O11" s="45">
        <f>'Calculated IO Table'!P119</f>
        <v>2.388906143488408E-2</v>
      </c>
      <c r="P11" s="45">
        <f>'Calculated IO Table'!Q119</f>
        <v>0</v>
      </c>
      <c r="Q11" s="45">
        <f>'Calculated IO Table'!R119</f>
        <v>2.928359189463197E-2</v>
      </c>
      <c r="R11" s="45">
        <f>'Calculated IO Table'!S119</f>
        <v>9.6156673482394317E-3</v>
      </c>
      <c r="S11" s="45">
        <f>'Calculated IO Table'!T119</f>
        <v>6.0237929920072368E-3</v>
      </c>
      <c r="T11" s="45">
        <f>'Calculated IO Table'!U119</f>
        <v>1.1179117977282084E-3</v>
      </c>
      <c r="U11" s="45">
        <f>'Calculated IO Table'!V119</f>
        <v>6.8045400979805173E-3</v>
      </c>
      <c r="V11" s="45">
        <f>'Calculated IO Table'!W119</f>
        <v>4.36654973862161E-3</v>
      </c>
      <c r="W11" s="45">
        <f>'Calculated IO Table'!X119</f>
        <v>7.7583344928441947E-3</v>
      </c>
      <c r="X11" s="45">
        <f>'Calculated IO Table'!Y119</f>
        <v>3.0024365368382542E-3</v>
      </c>
      <c r="Y11" s="45">
        <f>'Calculated IO Table'!Z119</f>
        <v>7.7277160013190689E-3</v>
      </c>
      <c r="Z11" s="45">
        <f>'Calculated IO Table'!AA119</f>
        <v>2.6642112369327463E-2</v>
      </c>
      <c r="AA11" s="45">
        <f>'Calculated IO Table'!AB119</f>
        <v>0</v>
      </c>
      <c r="AB11" s="45">
        <f>'Calculated IO Table'!AC119</f>
        <v>2.4581258483894967E-2</v>
      </c>
      <c r="AC11" s="45">
        <f>'Calculated IO Table'!AD119</f>
        <v>1.1343015390606573E-2</v>
      </c>
      <c r="AD11" s="45">
        <f>'Calculated IO Table'!AE119</f>
        <v>1.4425709483537155E-2</v>
      </c>
      <c r="AE11" s="45">
        <f>'Calculated IO Table'!AF119</f>
        <v>8.526901899581818E-2</v>
      </c>
      <c r="AF11" s="45">
        <f>'Calculated IO Table'!AG119</f>
        <v>7.7083731915580057E-3</v>
      </c>
      <c r="AG11" s="45">
        <f>'Calculated IO Table'!AH119</f>
        <v>3.008875466616389E-3</v>
      </c>
      <c r="AH11" s="45">
        <f>'Calculated IO Table'!AI119</f>
        <v>4.2823223259665566E-3</v>
      </c>
      <c r="AI11" s="45">
        <f>'Calculated IO Table'!AJ119</f>
        <v>2.6666784139806892E-3</v>
      </c>
      <c r="AJ11" s="45">
        <f>'Calculated IO Table'!AK119</f>
        <v>3.1117589103001734E-3</v>
      </c>
      <c r="AK11" s="45">
        <f>'Calculated IO Table'!AL119</f>
        <v>2.1466558390503686E-3</v>
      </c>
      <c r="AL11" s="45">
        <f>'Calculated IO Table'!AM119</f>
        <v>6.5884783040617385E-3</v>
      </c>
      <c r="AM11" s="45">
        <f>'Calculated IO Table'!AN119</f>
        <v>1.5450710193960146E-2</v>
      </c>
      <c r="AN11" s="45">
        <f>'Calculated IO Table'!AO119</f>
        <v>5.7170148721192096E-3</v>
      </c>
      <c r="AO11" s="45">
        <f>'Calculated IO Table'!AP119</f>
        <v>6.6483045795067532E-3</v>
      </c>
      <c r="AP11" s="45">
        <f>'Calculated IO Table'!AQ119</f>
        <v>9.2746600416822849E-3</v>
      </c>
      <c r="AQ11" s="45">
        <f>'Calculated IO Table'!AR119</f>
        <v>0</v>
      </c>
    </row>
    <row r="12" spans="1:43" x14ac:dyDescent="0.25">
      <c r="A12" s="5" t="s">
        <v>59</v>
      </c>
      <c r="B12" s="45">
        <f>'Calculated IO Table'!C120</f>
        <v>6.211936198798447E-2</v>
      </c>
      <c r="C12" s="45">
        <f>'Calculated IO Table'!D120</f>
        <v>1.0816168637725596E-2</v>
      </c>
      <c r="D12" s="45">
        <f>'Calculated IO Table'!E120</f>
        <v>7.6248961335782265E-3</v>
      </c>
      <c r="E12" s="45">
        <f>'Calculated IO Table'!F120</f>
        <v>1.8902416902212494E-2</v>
      </c>
      <c r="F12" s="45">
        <f>'Calculated IO Table'!G120</f>
        <v>4.9291473662593597E-3</v>
      </c>
      <c r="G12" s="45">
        <f>'Calculated IO Table'!H120</f>
        <v>1.3008633043871315E-2</v>
      </c>
      <c r="H12" s="45">
        <f>'Calculated IO Table'!I120</f>
        <v>8.3496195715874855E-2</v>
      </c>
      <c r="I12" s="45">
        <f>'Calculated IO Table'!J120</f>
        <v>2.4930827404534235E-2</v>
      </c>
      <c r="J12" s="45">
        <f>'Calculated IO Table'!K120</f>
        <v>4.9467659685481898E-2</v>
      </c>
      <c r="K12" s="45">
        <f>'Calculated IO Table'!L120</f>
        <v>1.12354830075771E-2</v>
      </c>
      <c r="L12" s="45">
        <f>'Calculated IO Table'!M120</f>
        <v>0.16936574169060245</v>
      </c>
      <c r="M12" s="45">
        <f>'Calculated IO Table'!N120</f>
        <v>4.4958983851043167E-2</v>
      </c>
      <c r="N12" s="45">
        <f>'Calculated IO Table'!O120</f>
        <v>0.19792608296621839</v>
      </c>
      <c r="O12" s="45">
        <f>'Calculated IO Table'!P120</f>
        <v>3.1277693869000568E-2</v>
      </c>
      <c r="P12" s="45">
        <f>'Calculated IO Table'!Q120</f>
        <v>0</v>
      </c>
      <c r="Q12" s="45">
        <f>'Calculated IO Table'!R120</f>
        <v>9.5555847461858724E-3</v>
      </c>
      <c r="R12" s="45">
        <f>'Calculated IO Table'!S120</f>
        <v>1.0447628629043595E-2</v>
      </c>
      <c r="S12" s="45">
        <f>'Calculated IO Table'!T120</f>
        <v>1.190700214372001E-2</v>
      </c>
      <c r="T12" s="45">
        <f>'Calculated IO Table'!U120</f>
        <v>5.9015339940193777E-3</v>
      </c>
      <c r="U12" s="45">
        <f>'Calculated IO Table'!V120</f>
        <v>1.5389195362301373E-2</v>
      </c>
      <c r="V12" s="45">
        <f>'Calculated IO Table'!W120</f>
        <v>8.4215277461200874E-3</v>
      </c>
      <c r="W12" s="45">
        <f>'Calculated IO Table'!X120</f>
        <v>1.6119780042908254E-2</v>
      </c>
      <c r="X12" s="45">
        <f>'Calculated IO Table'!Y120</f>
        <v>6.1699522234889143E-3</v>
      </c>
      <c r="Y12" s="45">
        <f>'Calculated IO Table'!Z120</f>
        <v>2.3395645360605535E-2</v>
      </c>
      <c r="Z12" s="45">
        <f>'Calculated IO Table'!AA120</f>
        <v>1.8181560369914715E-3</v>
      </c>
      <c r="AA12" s="45">
        <f>'Calculated IO Table'!AB120</f>
        <v>0</v>
      </c>
      <c r="AB12" s="45">
        <f>'Calculated IO Table'!AC120</f>
        <v>1.4712780322255661E-2</v>
      </c>
      <c r="AC12" s="45">
        <f>'Calculated IO Table'!AD120</f>
        <v>7.4403200818654106E-3</v>
      </c>
      <c r="AD12" s="45">
        <f>'Calculated IO Table'!AE120</f>
        <v>2.660566156799004E-3</v>
      </c>
      <c r="AE12" s="45">
        <f>'Calculated IO Table'!AF120</f>
        <v>3.0453495684466428E-3</v>
      </c>
      <c r="AF12" s="45">
        <f>'Calculated IO Table'!AG120</f>
        <v>5.3145848853053887E-3</v>
      </c>
      <c r="AG12" s="45">
        <f>'Calculated IO Table'!AH120</f>
        <v>4.3094407162606154E-3</v>
      </c>
      <c r="AH12" s="45">
        <f>'Calculated IO Table'!AI120</f>
        <v>4.6372496094260375E-4</v>
      </c>
      <c r="AI12" s="45">
        <f>'Calculated IO Table'!AJ120</f>
        <v>9.8925662599856743E-4</v>
      </c>
      <c r="AJ12" s="45">
        <f>'Calculated IO Table'!AK120</f>
        <v>3.396723538392756E-4</v>
      </c>
      <c r="AK12" s="45">
        <f>'Calculated IO Table'!AL120</f>
        <v>1.9829335345756304E-3</v>
      </c>
      <c r="AL12" s="45">
        <f>'Calculated IO Table'!AM120</f>
        <v>4.3866717543233737E-3</v>
      </c>
      <c r="AM12" s="45">
        <f>'Calculated IO Table'!AN120</f>
        <v>2.351409309663894E-3</v>
      </c>
      <c r="AN12" s="45">
        <f>'Calculated IO Table'!AO120</f>
        <v>3.0306183926297786E-3</v>
      </c>
      <c r="AO12" s="45">
        <f>'Calculated IO Table'!AP120</f>
        <v>1.0650069833440521E-2</v>
      </c>
      <c r="AP12" s="45">
        <f>'Calculated IO Table'!AQ120</f>
        <v>9.5911480064234077E-3</v>
      </c>
      <c r="AQ12" s="45">
        <f>'Calculated IO Table'!AR120</f>
        <v>0</v>
      </c>
    </row>
    <row r="13" spans="1:43" x14ac:dyDescent="0.25">
      <c r="A13" s="5" t="s">
        <v>60</v>
      </c>
      <c r="B13" s="45">
        <f>'Calculated IO Table'!C121</f>
        <v>4.1281923269094294E-3</v>
      </c>
      <c r="C13" s="45">
        <f>'Calculated IO Table'!D121</f>
        <v>7.6088549323920012E-4</v>
      </c>
      <c r="D13" s="45">
        <f>'Calculated IO Table'!E121</f>
        <v>6.1510657102412949E-4</v>
      </c>
      <c r="E13" s="45">
        <f>'Calculated IO Table'!F121</f>
        <v>1.1754039224231808E-3</v>
      </c>
      <c r="F13" s="45">
        <f>'Calculated IO Table'!G121</f>
        <v>3.5104149092003841E-4</v>
      </c>
      <c r="G13" s="45">
        <f>'Calculated IO Table'!H121</f>
        <v>1.5133616419740158E-3</v>
      </c>
      <c r="H13" s="45">
        <f>'Calculated IO Table'!I121</f>
        <v>4.0921096402487317E-3</v>
      </c>
      <c r="I13" s="45">
        <f>'Calculated IO Table'!J121</f>
        <v>1.5710711383348102E-3</v>
      </c>
      <c r="J13" s="45">
        <f>'Calculated IO Table'!K121</f>
        <v>2.5694861417912031E-3</v>
      </c>
      <c r="K13" s="45">
        <f>'Calculated IO Table'!L121</f>
        <v>6.2783781459075326E-4</v>
      </c>
      <c r="L13" s="45">
        <f>'Calculated IO Table'!M121</f>
        <v>7.6705092491504232E-3</v>
      </c>
      <c r="M13" s="45">
        <f>'Calculated IO Table'!N121</f>
        <v>2.9355743552292934E-2</v>
      </c>
      <c r="N13" s="45">
        <f>'Calculated IO Table'!O121</f>
        <v>8.7591838888568061E-3</v>
      </c>
      <c r="O13" s="45">
        <f>'Calculated IO Table'!P121</f>
        <v>1.7440211865575931E-3</v>
      </c>
      <c r="P13" s="45">
        <f>'Calculated IO Table'!Q121</f>
        <v>0</v>
      </c>
      <c r="Q13" s="45">
        <f>'Calculated IO Table'!R121</f>
        <v>9.2881125793595057E-4</v>
      </c>
      <c r="R13" s="45">
        <f>'Calculated IO Table'!S121</f>
        <v>7.1712656156114091E-4</v>
      </c>
      <c r="S13" s="45">
        <f>'Calculated IO Table'!T121</f>
        <v>9.5972322033615481E-4</v>
      </c>
      <c r="T13" s="45">
        <f>'Calculated IO Table'!U121</f>
        <v>6.475041971993503E-4</v>
      </c>
      <c r="U13" s="45">
        <f>'Calculated IO Table'!V121</f>
        <v>1.0717900128843949E-3</v>
      </c>
      <c r="V13" s="45">
        <f>'Calculated IO Table'!W121</f>
        <v>9.694767645205269E-4</v>
      </c>
      <c r="W13" s="45">
        <f>'Calculated IO Table'!X121</f>
        <v>1.1660195274830045E-3</v>
      </c>
      <c r="X13" s="45">
        <f>'Calculated IO Table'!Y121</f>
        <v>7.9401102098879258E-4</v>
      </c>
      <c r="Y13" s="45">
        <f>'Calculated IO Table'!Z121</f>
        <v>1.5451211867469211E-3</v>
      </c>
      <c r="Z13" s="45">
        <f>'Calculated IO Table'!AA121</f>
        <v>1.9899610282383498E-4</v>
      </c>
      <c r="AA13" s="45">
        <f>'Calculated IO Table'!AB121</f>
        <v>0</v>
      </c>
      <c r="AB13" s="45">
        <f>'Calculated IO Table'!AC121</f>
        <v>1.0313410815527609E-3</v>
      </c>
      <c r="AC13" s="45">
        <f>'Calculated IO Table'!AD121</f>
        <v>6.5298367617136694E-4</v>
      </c>
      <c r="AD13" s="45">
        <f>'Calculated IO Table'!AE121</f>
        <v>3.998733554887345E-4</v>
      </c>
      <c r="AE13" s="45">
        <f>'Calculated IO Table'!AF121</f>
        <v>2.9606115556286979E-4</v>
      </c>
      <c r="AF13" s="45">
        <f>'Calculated IO Table'!AG121</f>
        <v>4.4104463830933922E-4</v>
      </c>
      <c r="AG13" s="45">
        <f>'Calculated IO Table'!AH121</f>
        <v>3.7332612481895183E-4</v>
      </c>
      <c r="AH13" s="45">
        <f>'Calculated IO Table'!AI121</f>
        <v>2.5208147194151113E-4</v>
      </c>
      <c r="AI13" s="45">
        <f>'Calculated IO Table'!AJ121</f>
        <v>2.4980911493220262E-4</v>
      </c>
      <c r="AJ13" s="45">
        <f>'Calculated IO Table'!AK121</f>
        <v>6.3710036861123689E-5</v>
      </c>
      <c r="AK13" s="45">
        <f>'Calculated IO Table'!AL121</f>
        <v>1.3474177591463939E-4</v>
      </c>
      <c r="AL13" s="45">
        <f>'Calculated IO Table'!AM121</f>
        <v>8.8323556227441541E-4</v>
      </c>
      <c r="AM13" s="45">
        <f>'Calculated IO Table'!AN121</f>
        <v>1.1175509768898213E-3</v>
      </c>
      <c r="AN13" s="45">
        <f>'Calculated IO Table'!AO121</f>
        <v>4.670231531392019E-4</v>
      </c>
      <c r="AO13" s="45">
        <f>'Calculated IO Table'!AP121</f>
        <v>2.1268562958420813E-2</v>
      </c>
      <c r="AP13" s="45">
        <f>'Calculated IO Table'!AQ121</f>
        <v>8.8896139679220832E-4</v>
      </c>
      <c r="AQ13" s="45">
        <f>'Calculated IO Table'!AR121</f>
        <v>0</v>
      </c>
    </row>
    <row r="14" spans="1:43" x14ac:dyDescent="0.25">
      <c r="A14" t="s">
        <v>12</v>
      </c>
      <c r="B14" s="45">
        <f>'Calculated IO Table'!C122</f>
        <v>6.2702849477454985E-3</v>
      </c>
      <c r="C14" s="45">
        <f>'Calculated IO Table'!D122</f>
        <v>5.4495025430542745E-3</v>
      </c>
      <c r="D14" s="45">
        <f>'Calculated IO Table'!E122</f>
        <v>4.3451344298848921E-3</v>
      </c>
      <c r="E14" s="45">
        <f>'Calculated IO Table'!F122</f>
        <v>4.7790977449288447E-3</v>
      </c>
      <c r="F14" s="45">
        <f>'Calculated IO Table'!G122</f>
        <v>1.4624319371954403E-3</v>
      </c>
      <c r="G14" s="45">
        <f>'Calculated IO Table'!H122</f>
        <v>2.2845147758960824E-2</v>
      </c>
      <c r="H14" s="45">
        <f>'Calculated IO Table'!I122</f>
        <v>1.9818583853666805E-2</v>
      </c>
      <c r="I14" s="45">
        <f>'Calculated IO Table'!J122</f>
        <v>8.4757297174518041E-3</v>
      </c>
      <c r="J14" s="45">
        <f>'Calculated IO Table'!K122</f>
        <v>2.0094577108630315E-2</v>
      </c>
      <c r="K14" s="45">
        <f>'Calculated IO Table'!L122</f>
        <v>6.8971965382910521E-4</v>
      </c>
      <c r="L14" s="45">
        <f>'Calculated IO Table'!M122</f>
        <v>1.0605724535195551E-2</v>
      </c>
      <c r="M14" s="45">
        <f>'Calculated IO Table'!N122</f>
        <v>1.2688266551938913E-2</v>
      </c>
      <c r="N14" s="45">
        <f>'Calculated IO Table'!O122</f>
        <v>0.10960175191383817</v>
      </c>
      <c r="O14" s="45">
        <f>'Calculated IO Table'!P122</f>
        <v>8.8828319947882196E-3</v>
      </c>
      <c r="P14" s="45">
        <f>'Calculated IO Table'!Q122</f>
        <v>0</v>
      </c>
      <c r="Q14" s="45">
        <f>'Calculated IO Table'!R122</f>
        <v>2.0414579843117324E-3</v>
      </c>
      <c r="R14" s="45">
        <f>'Calculated IO Table'!S122</f>
        <v>3.4720655117049682E-3</v>
      </c>
      <c r="S14" s="45">
        <f>'Calculated IO Table'!T122</f>
        <v>1.0089477388740394E-2</v>
      </c>
      <c r="T14" s="45">
        <f>'Calculated IO Table'!U122</f>
        <v>6.7052585598565955E-3</v>
      </c>
      <c r="U14" s="45">
        <f>'Calculated IO Table'!V122</f>
        <v>2.2326740888256293E-2</v>
      </c>
      <c r="V14" s="45">
        <f>'Calculated IO Table'!W122</f>
        <v>1.6798777683609351E-2</v>
      </c>
      <c r="W14" s="45">
        <f>'Calculated IO Table'!X122</f>
        <v>4.4686533211027855E-2</v>
      </c>
      <c r="X14" s="45">
        <f>'Calculated IO Table'!Y122</f>
        <v>1.2139271004858511E-2</v>
      </c>
      <c r="Y14" s="45">
        <f>'Calculated IO Table'!Z122</f>
        <v>1.9708621670654139E-2</v>
      </c>
      <c r="Z14" s="45">
        <f>'Calculated IO Table'!AA122</f>
        <v>5.2414158569592004E-4</v>
      </c>
      <c r="AA14" s="45">
        <f>'Calculated IO Table'!AB122</f>
        <v>0</v>
      </c>
      <c r="AB14" s="45">
        <f>'Calculated IO Table'!AC122</f>
        <v>7.7983990385430109E-3</v>
      </c>
      <c r="AC14" s="45">
        <f>'Calculated IO Table'!AD122</f>
        <v>1.4686358511056945E-2</v>
      </c>
      <c r="AD14" s="45">
        <f>'Calculated IO Table'!AE122</f>
        <v>8.3663638656236491E-3</v>
      </c>
      <c r="AE14" s="45">
        <f>'Calculated IO Table'!AF122</f>
        <v>4.6010816954760005E-3</v>
      </c>
      <c r="AF14" s="45">
        <f>'Calculated IO Table'!AG122</f>
        <v>2.793407972715376E-3</v>
      </c>
      <c r="AG14" s="45">
        <f>'Calculated IO Table'!AH122</f>
        <v>1.6289520358526472E-3</v>
      </c>
      <c r="AH14" s="45">
        <f>'Calculated IO Table'!AI122</f>
        <v>9.7945347940730154E-4</v>
      </c>
      <c r="AI14" s="45">
        <f>'Calculated IO Table'!AJ122</f>
        <v>4.3042705868536179E-4</v>
      </c>
      <c r="AJ14" s="45">
        <f>'Calculated IO Table'!AK122</f>
        <v>4.5604481947905825E-4</v>
      </c>
      <c r="AK14" s="45">
        <f>'Calculated IO Table'!AL122</f>
        <v>1.5409471538899943E-3</v>
      </c>
      <c r="AL14" s="45">
        <f>'Calculated IO Table'!AM122</f>
        <v>2.2788310664481823E-3</v>
      </c>
      <c r="AM14" s="45">
        <f>'Calculated IO Table'!AN122</f>
        <v>1.3789400510327431E-3</v>
      </c>
      <c r="AN14" s="45">
        <f>'Calculated IO Table'!AO122</f>
        <v>1.5149464750342178E-3</v>
      </c>
      <c r="AO14" s="45">
        <f>'Calculated IO Table'!AP122</f>
        <v>2.6973758747519819E-3</v>
      </c>
      <c r="AP14" s="45">
        <f>'Calculated IO Table'!AQ122</f>
        <v>2.6143987009077004E-3</v>
      </c>
      <c r="AQ14" s="45">
        <f>'Calculated IO Table'!AR122</f>
        <v>0</v>
      </c>
    </row>
    <row r="15" spans="1:43" x14ac:dyDescent="0.25">
      <c r="A15" s="5" t="s">
        <v>869</v>
      </c>
      <c r="B15" s="45">
        <f>'Calculated IO Table'!C123</f>
        <v>1.841385783081216E-3</v>
      </c>
      <c r="C15" s="45">
        <f>'Calculated IO Table'!D123</f>
        <v>1.1175389945482258E-3</v>
      </c>
      <c r="D15" s="45">
        <f>'Calculated IO Table'!E123</f>
        <v>1.9411375900346048E-3</v>
      </c>
      <c r="E15" s="45">
        <f>'Calculated IO Table'!F123</f>
        <v>4.9845796976185543E-3</v>
      </c>
      <c r="F15" s="45">
        <f>'Calculated IO Table'!G123</f>
        <v>7.5169076997054073E-4</v>
      </c>
      <c r="G15" s="45">
        <f>'Calculated IO Table'!H123</f>
        <v>3.9991396353319855E-3</v>
      </c>
      <c r="H15" s="45">
        <f>'Calculated IO Table'!I123</f>
        <v>1.361607639449018E-3</v>
      </c>
      <c r="I15" s="45">
        <f>'Calculated IO Table'!J123</f>
        <v>3.6006287526704392E-3</v>
      </c>
      <c r="J15" s="45">
        <f>'Calculated IO Table'!K123</f>
        <v>5.6357207917339259E-4</v>
      </c>
      <c r="K15" s="45">
        <f>'Calculated IO Table'!L123</f>
        <v>2.495906902329789E-4</v>
      </c>
      <c r="L15" s="45">
        <f>'Calculated IO Table'!M123</f>
        <v>1.9899622200930211E-3</v>
      </c>
      <c r="M15" s="45">
        <f>'Calculated IO Table'!N123</f>
        <v>2.5981405337094656E-3</v>
      </c>
      <c r="N15" s="45">
        <f>'Calculated IO Table'!O123</f>
        <v>4.9429085081862658E-3</v>
      </c>
      <c r="O15" s="45">
        <f>'Calculated IO Table'!P123</f>
        <v>8.960172518775085E-2</v>
      </c>
      <c r="P15" s="45">
        <f>'Calculated IO Table'!Q123</f>
        <v>0</v>
      </c>
      <c r="Q15" s="45">
        <f>'Calculated IO Table'!R123</f>
        <v>7.171382070365777E-3</v>
      </c>
      <c r="R15" s="45">
        <f>'Calculated IO Table'!S123</f>
        <v>2.6802908183391405E-3</v>
      </c>
      <c r="S15" s="45">
        <f>'Calculated IO Table'!T123</f>
        <v>3.263202705771386E-3</v>
      </c>
      <c r="T15" s="45">
        <f>'Calculated IO Table'!U123</f>
        <v>1.8907162594822735E-3</v>
      </c>
      <c r="U15" s="45">
        <f>'Calculated IO Table'!V123</f>
        <v>4.2983049385563821E-3</v>
      </c>
      <c r="V15" s="45">
        <f>'Calculated IO Table'!W123</f>
        <v>2.1909458250872985E-3</v>
      </c>
      <c r="W15" s="45">
        <f>'Calculated IO Table'!X123</f>
        <v>5.8637647478756239E-3</v>
      </c>
      <c r="X15" s="45">
        <f>'Calculated IO Table'!Y123</f>
        <v>1.4786924518884336E-3</v>
      </c>
      <c r="Y15" s="45">
        <f>'Calculated IO Table'!Z123</f>
        <v>3.3603826467538535E-3</v>
      </c>
      <c r="Z15" s="45">
        <f>'Calculated IO Table'!AA123</f>
        <v>5.1876409804248852E-4</v>
      </c>
      <c r="AA15" s="45">
        <f>'Calculated IO Table'!AB123</f>
        <v>0</v>
      </c>
      <c r="AB15" s="45">
        <f>'Calculated IO Table'!AC123</f>
        <v>1.8390100214740041E-3</v>
      </c>
      <c r="AC15" s="45">
        <f>'Calculated IO Table'!AD123</f>
        <v>5.0790711153362478E-2</v>
      </c>
      <c r="AD15" s="45">
        <f>'Calculated IO Table'!AE123</f>
        <v>8.2109040109351454E-4</v>
      </c>
      <c r="AE15" s="45">
        <f>'Calculated IO Table'!AF123</f>
        <v>4.2011236812714199E-4</v>
      </c>
      <c r="AF15" s="45">
        <f>'Calculated IO Table'!AG123</f>
        <v>1.7109072405399324E-3</v>
      </c>
      <c r="AG15" s="45">
        <f>'Calculated IO Table'!AH123</f>
        <v>7.9020731244559979E-5</v>
      </c>
      <c r="AH15" s="45">
        <f>'Calculated IO Table'!AI123</f>
        <v>1.4356262595638204E-4</v>
      </c>
      <c r="AI15" s="45">
        <f>'Calculated IO Table'!AJ123</f>
        <v>4.6193740424732529E-5</v>
      </c>
      <c r="AJ15" s="45">
        <f>'Calculated IO Table'!AK123</f>
        <v>1.0764480706997849E-4</v>
      </c>
      <c r="AK15" s="45">
        <f>'Calculated IO Table'!AL123</f>
        <v>3.6065708458889937E-3</v>
      </c>
      <c r="AL15" s="45">
        <f>'Calculated IO Table'!AM123</f>
        <v>6.0976274120561221E-4</v>
      </c>
      <c r="AM15" s="45">
        <f>'Calculated IO Table'!AN123</f>
        <v>5.7268416157349596E-4</v>
      </c>
      <c r="AN15" s="45">
        <f>'Calculated IO Table'!AO123</f>
        <v>9.9745848651012744E-4</v>
      </c>
      <c r="AO15" s="45">
        <f>'Calculated IO Table'!AP123</f>
        <v>6.506057997841295E-4</v>
      </c>
      <c r="AP15" s="45">
        <f>'Calculated IO Table'!AQ123</f>
        <v>1.0855320238244244E-3</v>
      </c>
      <c r="AQ15" s="45">
        <f>'Calculated IO Table'!AR123</f>
        <v>0</v>
      </c>
    </row>
    <row r="16" spans="1:43" x14ac:dyDescent="0.25">
      <c r="A16" s="5" t="s">
        <v>870</v>
      </c>
      <c r="B16" s="45">
        <f>'Calculated IO Table'!C124</f>
        <v>0</v>
      </c>
      <c r="C16" s="45">
        <f>'Calculated IO Table'!D124</f>
        <v>0</v>
      </c>
      <c r="D16" s="45">
        <f>'Calculated IO Table'!E124</f>
        <v>0</v>
      </c>
      <c r="E16" s="45">
        <f>'Calculated IO Table'!F124</f>
        <v>0</v>
      </c>
      <c r="F16" s="45">
        <f>'Calculated IO Table'!G124</f>
        <v>0</v>
      </c>
      <c r="G16" s="45">
        <f>'Calculated IO Table'!H124</f>
        <v>0</v>
      </c>
      <c r="H16" s="45">
        <f>'Calculated IO Table'!I124</f>
        <v>0</v>
      </c>
      <c r="I16" s="45">
        <f>'Calculated IO Table'!J124</f>
        <v>0</v>
      </c>
      <c r="J16" s="45">
        <f>'Calculated IO Table'!K124</f>
        <v>0</v>
      </c>
      <c r="K16" s="45">
        <f>'Calculated IO Table'!L124</f>
        <v>0</v>
      </c>
      <c r="L16" s="45">
        <f>'Calculated IO Table'!M124</f>
        <v>0</v>
      </c>
      <c r="M16" s="45">
        <f>'Calculated IO Table'!N124</f>
        <v>0</v>
      </c>
      <c r="N16" s="45">
        <f>'Calculated IO Table'!O124</f>
        <v>0</v>
      </c>
      <c r="O16" s="45">
        <f>'Calculated IO Table'!P124</f>
        <v>0</v>
      </c>
      <c r="P16" s="45">
        <f>'Calculated IO Table'!Q124</f>
        <v>0</v>
      </c>
      <c r="Q16" s="45">
        <f>'Calculated IO Table'!R124</f>
        <v>0</v>
      </c>
      <c r="R16" s="45">
        <f>'Calculated IO Table'!S124</f>
        <v>0</v>
      </c>
      <c r="S16" s="45">
        <f>'Calculated IO Table'!T124</f>
        <v>0</v>
      </c>
      <c r="T16" s="45">
        <f>'Calculated IO Table'!U124</f>
        <v>0</v>
      </c>
      <c r="U16" s="45">
        <f>'Calculated IO Table'!V124</f>
        <v>0</v>
      </c>
      <c r="V16" s="45">
        <f>'Calculated IO Table'!W124</f>
        <v>0</v>
      </c>
      <c r="W16" s="45">
        <f>'Calculated IO Table'!X124</f>
        <v>0</v>
      </c>
      <c r="X16" s="45">
        <f>'Calculated IO Table'!Y124</f>
        <v>0</v>
      </c>
      <c r="Y16" s="45">
        <f>'Calculated IO Table'!Z124</f>
        <v>0</v>
      </c>
      <c r="Z16" s="45">
        <f>'Calculated IO Table'!AA124</f>
        <v>0</v>
      </c>
      <c r="AA16" s="45">
        <f>'Calculated IO Table'!AB124</f>
        <v>0</v>
      </c>
      <c r="AB16" s="45">
        <f>'Calculated IO Table'!AC124</f>
        <v>0</v>
      </c>
      <c r="AC16" s="45">
        <f>'Calculated IO Table'!AD124</f>
        <v>0</v>
      </c>
      <c r="AD16" s="45">
        <f>'Calculated IO Table'!AE124</f>
        <v>0</v>
      </c>
      <c r="AE16" s="45">
        <f>'Calculated IO Table'!AF124</f>
        <v>0</v>
      </c>
      <c r="AF16" s="45">
        <f>'Calculated IO Table'!AG124</f>
        <v>0</v>
      </c>
      <c r="AG16" s="45">
        <f>'Calculated IO Table'!AH124</f>
        <v>0</v>
      </c>
      <c r="AH16" s="45">
        <f>'Calculated IO Table'!AI124</f>
        <v>0</v>
      </c>
      <c r="AI16" s="45">
        <f>'Calculated IO Table'!AJ124</f>
        <v>0</v>
      </c>
      <c r="AJ16" s="45">
        <f>'Calculated IO Table'!AK124</f>
        <v>0</v>
      </c>
      <c r="AK16" s="45">
        <f>'Calculated IO Table'!AL124</f>
        <v>0</v>
      </c>
      <c r="AL16" s="45">
        <f>'Calculated IO Table'!AM124</f>
        <v>0</v>
      </c>
      <c r="AM16" s="45">
        <f>'Calculated IO Table'!AN124</f>
        <v>0</v>
      </c>
      <c r="AN16" s="45">
        <f>'Calculated IO Table'!AO124</f>
        <v>0</v>
      </c>
      <c r="AO16" s="45">
        <f>'Calculated IO Table'!AP124</f>
        <v>0</v>
      </c>
      <c r="AP16" s="45">
        <f>'Calculated IO Table'!AQ124</f>
        <v>0</v>
      </c>
      <c r="AQ16" s="45">
        <f>'Calculated IO Table'!AR124</f>
        <v>0</v>
      </c>
    </row>
    <row r="17" spans="1:43" x14ac:dyDescent="0.25">
      <c r="A17" s="5" t="s">
        <v>871</v>
      </c>
      <c r="B17" s="45">
        <f>'Calculated IO Table'!C125</f>
        <v>5.1205538119921637E-4</v>
      </c>
      <c r="C17" s="45">
        <f>'Calculated IO Table'!D125</f>
        <v>3.7481579383674603E-3</v>
      </c>
      <c r="D17" s="45">
        <f>'Calculated IO Table'!E125</f>
        <v>8.3869310118568352E-3</v>
      </c>
      <c r="E17" s="45">
        <f>'Calculated IO Table'!F125</f>
        <v>2.8420463640258025E-3</v>
      </c>
      <c r="F17" s="45">
        <f>'Calculated IO Table'!G125</f>
        <v>1.238371927391106E-3</v>
      </c>
      <c r="G17" s="45">
        <f>'Calculated IO Table'!H125</f>
        <v>4.2761554575942285E-4</v>
      </c>
      <c r="H17" s="45">
        <f>'Calculated IO Table'!I125</f>
        <v>6.77540695685048E-4</v>
      </c>
      <c r="I17" s="45">
        <f>'Calculated IO Table'!J125</f>
        <v>1.7072762200904834E-3</v>
      </c>
      <c r="J17" s="45">
        <f>'Calculated IO Table'!K125</f>
        <v>6.6670647256283965E-4</v>
      </c>
      <c r="K17" s="45">
        <f>'Calculated IO Table'!L125</f>
        <v>4.0715421931413896E-4</v>
      </c>
      <c r="L17" s="45">
        <f>'Calculated IO Table'!M125</f>
        <v>6.0109718028458011E-4</v>
      </c>
      <c r="M17" s="45">
        <f>'Calculated IO Table'!N125</f>
        <v>2.0689376642976748E-4</v>
      </c>
      <c r="N17" s="45">
        <f>'Calculated IO Table'!O125</f>
        <v>4.3294022335453744E-3</v>
      </c>
      <c r="O17" s="45">
        <f>'Calculated IO Table'!P125</f>
        <v>6.3563345388121259E-3</v>
      </c>
      <c r="P17" s="45">
        <f>'Calculated IO Table'!Q125</f>
        <v>0</v>
      </c>
      <c r="Q17" s="45">
        <f>'Calculated IO Table'!R125</f>
        <v>0.20056798785844451</v>
      </c>
      <c r="R17" s="45">
        <f>'Calculated IO Table'!S125</f>
        <v>1.2532131649677715E-2</v>
      </c>
      <c r="S17" s="45">
        <f>'Calculated IO Table'!T125</f>
        <v>0.11505514574823103</v>
      </c>
      <c r="T17" s="45">
        <f>'Calculated IO Table'!U125</f>
        <v>2.8839998356129815E-3</v>
      </c>
      <c r="U17" s="45">
        <f>'Calculated IO Table'!V125</f>
        <v>1.8479325689449776E-2</v>
      </c>
      <c r="V17" s="45">
        <f>'Calculated IO Table'!W125</f>
        <v>5.516185306004117E-2</v>
      </c>
      <c r="W17" s="45">
        <f>'Calculated IO Table'!X125</f>
        <v>3.8404252580298212E-2</v>
      </c>
      <c r="X17" s="45">
        <f>'Calculated IO Table'!Y125</f>
        <v>2.7386014276457989E-2</v>
      </c>
      <c r="Y17" s="45">
        <f>'Calculated IO Table'!Z125</f>
        <v>9.0674605029144768E-3</v>
      </c>
      <c r="Z17" s="45">
        <f>'Calculated IO Table'!AA125</f>
        <v>8.1003329757500179E-4</v>
      </c>
      <c r="AA17" s="45">
        <f>'Calculated IO Table'!AB125</f>
        <v>0</v>
      </c>
      <c r="AB17" s="45">
        <f>'Calculated IO Table'!AC125</f>
        <v>1.077531563528431E-2</v>
      </c>
      <c r="AC17" s="45">
        <f>'Calculated IO Table'!AD125</f>
        <v>1.699643928534611E-2</v>
      </c>
      <c r="AD17" s="45">
        <f>'Calculated IO Table'!AE125</f>
        <v>6.2316923985575464E-4</v>
      </c>
      <c r="AE17" s="45">
        <f>'Calculated IO Table'!AF125</f>
        <v>6.0299453163426117E-4</v>
      </c>
      <c r="AF17" s="45">
        <f>'Calculated IO Table'!AG125</f>
        <v>9.6390561812521598E-5</v>
      </c>
      <c r="AG17" s="45">
        <f>'Calculated IO Table'!AH125</f>
        <v>3.4113779464132857E-5</v>
      </c>
      <c r="AH17" s="45">
        <f>'Calculated IO Table'!AI125</f>
        <v>4.9445130213375183E-5</v>
      </c>
      <c r="AI17" s="45">
        <f>'Calculated IO Table'!AJ125</f>
        <v>2.5754819636325934E-5</v>
      </c>
      <c r="AJ17" s="45">
        <f>'Calculated IO Table'!AK125</f>
        <v>2.9554767939419817E-5</v>
      </c>
      <c r="AK17" s="45">
        <f>'Calculated IO Table'!AL125</f>
        <v>4.4437987770577244E-4</v>
      </c>
      <c r="AL17" s="45">
        <f>'Calculated IO Table'!AM125</f>
        <v>4.0528023339898405E-4</v>
      </c>
      <c r="AM17" s="45">
        <f>'Calculated IO Table'!AN125</f>
        <v>2.4786804942025629E-4</v>
      </c>
      <c r="AN17" s="45">
        <f>'Calculated IO Table'!AO125</f>
        <v>1.7838143521035834E-4</v>
      </c>
      <c r="AO17" s="45">
        <f>'Calculated IO Table'!AP125</f>
        <v>9.1916548896180738E-5</v>
      </c>
      <c r="AP17" s="45">
        <f>'Calculated IO Table'!AQ125</f>
        <v>3.222263936978431E-4</v>
      </c>
      <c r="AQ17" s="45">
        <f>'Calculated IO Table'!AR125</f>
        <v>0</v>
      </c>
    </row>
    <row r="18" spans="1:43" x14ac:dyDescent="0.25">
      <c r="A18" s="5" t="s">
        <v>872</v>
      </c>
      <c r="B18" s="45">
        <f>'Calculated IO Table'!C126</f>
        <v>3.8716856406657201E-4</v>
      </c>
      <c r="C18" s="45">
        <f>'Calculated IO Table'!D126</f>
        <v>4.9383362268479224E-4</v>
      </c>
      <c r="D18" s="45">
        <f>'Calculated IO Table'!E126</f>
        <v>1.8507073504291315E-3</v>
      </c>
      <c r="E18" s="45">
        <f>'Calculated IO Table'!F126</f>
        <v>1.2538015706310736E-3</v>
      </c>
      <c r="F18" s="45">
        <f>'Calculated IO Table'!G126</f>
        <v>2.2307005394363766E-4</v>
      </c>
      <c r="G18" s="45">
        <f>'Calculated IO Table'!H126</f>
        <v>1.5600668782721687E-3</v>
      </c>
      <c r="H18" s="45">
        <f>'Calculated IO Table'!I126</f>
        <v>1.3540167280182379E-3</v>
      </c>
      <c r="I18" s="45">
        <f>'Calculated IO Table'!J126</f>
        <v>1.6601434490893384E-3</v>
      </c>
      <c r="J18" s="45">
        <f>'Calculated IO Table'!K126</f>
        <v>1.6117444848506824E-3</v>
      </c>
      <c r="K18" s="45">
        <f>'Calculated IO Table'!L126</f>
        <v>1.7517222865901622E-4</v>
      </c>
      <c r="L18" s="45">
        <f>'Calculated IO Table'!M126</f>
        <v>4.2589073289203616E-3</v>
      </c>
      <c r="M18" s="45">
        <f>'Calculated IO Table'!N126</f>
        <v>1.0273978882255643E-3</v>
      </c>
      <c r="N18" s="45">
        <f>'Calculated IO Table'!O126</f>
        <v>4.4037951713654985E-3</v>
      </c>
      <c r="O18" s="45">
        <f>'Calculated IO Table'!P126</f>
        <v>3.4591139969753272E-3</v>
      </c>
      <c r="P18" s="45">
        <f>'Calculated IO Table'!Q126</f>
        <v>0</v>
      </c>
      <c r="Q18" s="45">
        <f>'Calculated IO Table'!R126</f>
        <v>3.9968007539446022E-2</v>
      </c>
      <c r="R18" s="45">
        <f>'Calculated IO Table'!S126</f>
        <v>0.29854383343987523</v>
      </c>
      <c r="S18" s="45">
        <f>'Calculated IO Table'!T126</f>
        <v>6.8051036531152201E-2</v>
      </c>
      <c r="T18" s="45">
        <f>'Calculated IO Table'!U126</f>
        <v>9.6047031273829506E-3</v>
      </c>
      <c r="U18" s="45">
        <f>'Calculated IO Table'!V126</f>
        <v>6.0530610238735023E-2</v>
      </c>
      <c r="V18" s="45">
        <f>'Calculated IO Table'!W126</f>
        <v>2.8731761250752486E-2</v>
      </c>
      <c r="W18" s="45">
        <f>'Calculated IO Table'!X126</f>
        <v>2.6451619952607981E-2</v>
      </c>
      <c r="X18" s="45">
        <f>'Calculated IO Table'!Y126</f>
        <v>1.6237805751341535E-2</v>
      </c>
      <c r="Y18" s="45">
        <f>'Calculated IO Table'!Z126</f>
        <v>1.8467611554715897E-2</v>
      </c>
      <c r="Z18" s="45">
        <f>'Calculated IO Table'!AA126</f>
        <v>4.9251451902414408E-4</v>
      </c>
      <c r="AA18" s="45">
        <f>'Calculated IO Table'!AB126</f>
        <v>0</v>
      </c>
      <c r="AB18" s="45">
        <f>'Calculated IO Table'!AC126</f>
        <v>1.2997372789111219E-2</v>
      </c>
      <c r="AC18" s="45">
        <f>'Calculated IO Table'!AD126</f>
        <v>5.3888496683822543E-3</v>
      </c>
      <c r="AD18" s="45">
        <f>'Calculated IO Table'!AE126</f>
        <v>7.0891300826963534E-4</v>
      </c>
      <c r="AE18" s="45">
        <f>'Calculated IO Table'!AF126</f>
        <v>1.8807379787060341E-4</v>
      </c>
      <c r="AF18" s="45">
        <f>'Calculated IO Table'!AG126</f>
        <v>2.8082985726380412E-4</v>
      </c>
      <c r="AG18" s="45">
        <f>'Calculated IO Table'!AH126</f>
        <v>1.1937785576359309E-4</v>
      </c>
      <c r="AH18" s="45">
        <f>'Calculated IO Table'!AI126</f>
        <v>7.0508773482028193E-5</v>
      </c>
      <c r="AI18" s="45">
        <f>'Calculated IO Table'!AJ126</f>
        <v>3.5582877351642338E-5</v>
      </c>
      <c r="AJ18" s="45">
        <f>'Calculated IO Table'!AK126</f>
        <v>3.5793263818914117E-5</v>
      </c>
      <c r="AK18" s="45">
        <f>'Calculated IO Table'!AL126</f>
        <v>3.0516120722558064E-4</v>
      </c>
      <c r="AL18" s="45">
        <f>'Calculated IO Table'!AM126</f>
        <v>2.4153138569975351E-4</v>
      </c>
      <c r="AM18" s="45">
        <f>'Calculated IO Table'!AN126</f>
        <v>1.9516128369193836E-4</v>
      </c>
      <c r="AN18" s="45">
        <f>'Calculated IO Table'!AO126</f>
        <v>6.8546753224089875E-5</v>
      </c>
      <c r="AO18" s="45">
        <f>'Calculated IO Table'!AP126</f>
        <v>2.1777200859622801E-4</v>
      </c>
      <c r="AP18" s="45">
        <f>'Calculated IO Table'!AQ126</f>
        <v>4.0219862973863525E-4</v>
      </c>
      <c r="AQ18" s="45">
        <f>'Calculated IO Table'!AR126</f>
        <v>0</v>
      </c>
    </row>
    <row r="19" spans="1:43" x14ac:dyDescent="0.25">
      <c r="A19" t="s">
        <v>13</v>
      </c>
      <c r="B19" s="45">
        <f>'Calculated IO Table'!C127</f>
        <v>4.1528470461002151E-3</v>
      </c>
      <c r="C19" s="45">
        <f>'Calculated IO Table'!D127</f>
        <v>1.3543105013777885E-2</v>
      </c>
      <c r="D19" s="45">
        <f>'Calculated IO Table'!E127</f>
        <v>1.3260282180552597E-2</v>
      </c>
      <c r="E19" s="45">
        <f>'Calculated IO Table'!F127</f>
        <v>9.1707966585892284E-3</v>
      </c>
      <c r="F19" s="45">
        <f>'Calculated IO Table'!G127</f>
        <v>6.454700774763027E-3</v>
      </c>
      <c r="G19" s="45">
        <f>'Calculated IO Table'!H127</f>
        <v>9.9192358655743416E-3</v>
      </c>
      <c r="H19" s="45">
        <f>'Calculated IO Table'!I127</f>
        <v>4.6050976274862113E-3</v>
      </c>
      <c r="I19" s="45">
        <f>'Calculated IO Table'!J127</f>
        <v>1.5063792245785525E-2</v>
      </c>
      <c r="J19" s="45">
        <f>'Calculated IO Table'!K127</f>
        <v>3.9212259372997608E-3</v>
      </c>
      <c r="K19" s="45">
        <f>'Calculated IO Table'!L127</f>
        <v>8.588539655204002E-4</v>
      </c>
      <c r="L19" s="45">
        <f>'Calculated IO Table'!M127</f>
        <v>4.8687367876170543E-3</v>
      </c>
      <c r="M19" s="45">
        <f>'Calculated IO Table'!N127</f>
        <v>2.4754989088401728E-3</v>
      </c>
      <c r="N19" s="45">
        <f>'Calculated IO Table'!O127</f>
        <v>1.0637508420002807E-2</v>
      </c>
      <c r="O19" s="45">
        <f>'Calculated IO Table'!P127</f>
        <v>1.0258992415714298E-2</v>
      </c>
      <c r="P19" s="45">
        <f>'Calculated IO Table'!Q127</f>
        <v>0</v>
      </c>
      <c r="Q19" s="45">
        <f>'Calculated IO Table'!R127</f>
        <v>3.001063005859305E-2</v>
      </c>
      <c r="R19" s="45">
        <f>'Calculated IO Table'!S127</f>
        <v>1.2441081207646273E-2</v>
      </c>
      <c r="S19" s="45">
        <f>'Calculated IO Table'!T127</f>
        <v>0.11481815236290566</v>
      </c>
      <c r="T19" s="45">
        <f>'Calculated IO Table'!U127</f>
        <v>6.5956481492665175E-3</v>
      </c>
      <c r="U19" s="45">
        <f>'Calculated IO Table'!V127</f>
        <v>2.7976210358798864E-2</v>
      </c>
      <c r="V19" s="45">
        <f>'Calculated IO Table'!W127</f>
        <v>7.7019605376179121E-2</v>
      </c>
      <c r="W19" s="45">
        <f>'Calculated IO Table'!X127</f>
        <v>5.4848199891679314E-2</v>
      </c>
      <c r="X19" s="45">
        <f>'Calculated IO Table'!Y127</f>
        <v>3.4415998446210197E-2</v>
      </c>
      <c r="Y19" s="45">
        <f>'Calculated IO Table'!Z127</f>
        <v>2.4438238142737354E-2</v>
      </c>
      <c r="Z19" s="45">
        <f>'Calculated IO Table'!AA127</f>
        <v>1.6487281248586201E-3</v>
      </c>
      <c r="AA19" s="45">
        <f>'Calculated IO Table'!AB127</f>
        <v>0</v>
      </c>
      <c r="AB19" s="45">
        <f>'Calculated IO Table'!AC127</f>
        <v>6.4471216094841039E-3</v>
      </c>
      <c r="AC19" s="45">
        <f>'Calculated IO Table'!AD127</f>
        <v>3.8630881354803741E-2</v>
      </c>
      <c r="AD19" s="45">
        <f>'Calculated IO Table'!AE127</f>
        <v>3.1535816648384967E-3</v>
      </c>
      <c r="AE19" s="45">
        <f>'Calculated IO Table'!AF127</f>
        <v>1.2920264043979589E-3</v>
      </c>
      <c r="AF19" s="45">
        <f>'Calculated IO Table'!AG127</f>
        <v>2.3779593043447276E-3</v>
      </c>
      <c r="AG19" s="45">
        <f>'Calculated IO Table'!AH127</f>
        <v>5.6983791778942932E-4</v>
      </c>
      <c r="AH19" s="45">
        <f>'Calculated IO Table'!AI127</f>
        <v>1.2680915405113081E-3</v>
      </c>
      <c r="AI19" s="45">
        <f>'Calculated IO Table'!AJ127</f>
        <v>4.4959719180219049E-4</v>
      </c>
      <c r="AJ19" s="45">
        <f>'Calculated IO Table'!AK127</f>
        <v>1.5537142634179896E-4</v>
      </c>
      <c r="AK19" s="45">
        <f>'Calculated IO Table'!AL127</f>
        <v>2.765575739224718E-3</v>
      </c>
      <c r="AL19" s="45">
        <f>'Calculated IO Table'!AM127</f>
        <v>2.3787596897969754E-3</v>
      </c>
      <c r="AM19" s="45">
        <f>'Calculated IO Table'!AN127</f>
        <v>5.5030926476067436E-3</v>
      </c>
      <c r="AN19" s="45">
        <f>'Calculated IO Table'!AO127</f>
        <v>1.2809033342122036E-3</v>
      </c>
      <c r="AO19" s="45">
        <f>'Calculated IO Table'!AP127</f>
        <v>1.0010392108686453E-3</v>
      </c>
      <c r="AP19" s="45">
        <f>'Calculated IO Table'!AQ127</f>
        <v>2.5739845651876233E-3</v>
      </c>
      <c r="AQ19" s="45">
        <f>'Calculated IO Table'!AR127</f>
        <v>0</v>
      </c>
    </row>
    <row r="20" spans="1:43" x14ac:dyDescent="0.25">
      <c r="A20" t="s">
        <v>14</v>
      </c>
      <c r="B20" s="45">
        <f>'Calculated IO Table'!C128</f>
        <v>9.604224170401272E-4</v>
      </c>
      <c r="C20" s="45">
        <f>'Calculated IO Table'!D128</f>
        <v>1.0868240789630112E-3</v>
      </c>
      <c r="D20" s="45">
        <f>'Calculated IO Table'!E128</f>
        <v>1.7557773762701843E-3</v>
      </c>
      <c r="E20" s="45">
        <f>'Calculated IO Table'!F128</f>
        <v>1.1855898942341333E-3</v>
      </c>
      <c r="F20" s="45">
        <f>'Calculated IO Table'!G128</f>
        <v>7.067813437821131E-4</v>
      </c>
      <c r="G20" s="45">
        <f>'Calculated IO Table'!H128</f>
        <v>1.1010001774816756E-3</v>
      </c>
      <c r="H20" s="45">
        <f>'Calculated IO Table'!I128</f>
        <v>1.441070240528606E-3</v>
      </c>
      <c r="I20" s="45">
        <f>'Calculated IO Table'!J128</f>
        <v>5.5557037360111378E-3</v>
      </c>
      <c r="J20" s="45">
        <f>'Calculated IO Table'!K128</f>
        <v>2.0621461199198132E-3</v>
      </c>
      <c r="K20" s="45">
        <f>'Calculated IO Table'!L128</f>
        <v>4.7777060911331477E-4</v>
      </c>
      <c r="L20" s="45">
        <f>'Calculated IO Table'!M128</f>
        <v>1.7702409097942141E-3</v>
      </c>
      <c r="M20" s="45">
        <f>'Calculated IO Table'!N128</f>
        <v>1.1088011245646969E-3</v>
      </c>
      <c r="N20" s="45">
        <f>'Calculated IO Table'!O128</f>
        <v>2.3112953810752053E-3</v>
      </c>
      <c r="O20" s="45">
        <f>'Calculated IO Table'!P128</f>
        <v>1.5273845858288927E-3</v>
      </c>
      <c r="P20" s="45">
        <f>'Calculated IO Table'!Q128</f>
        <v>0</v>
      </c>
      <c r="Q20" s="45">
        <f>'Calculated IO Table'!R128</f>
        <v>1.1811624095289905E-3</v>
      </c>
      <c r="R20" s="45">
        <f>'Calculated IO Table'!S128</f>
        <v>1.3958100153235785E-3</v>
      </c>
      <c r="S20" s="45">
        <f>'Calculated IO Table'!T128</f>
        <v>3.2366452120628992E-3</v>
      </c>
      <c r="T20" s="45">
        <f>'Calculated IO Table'!U128</f>
        <v>9.1785128894131734E-2</v>
      </c>
      <c r="U20" s="45">
        <f>'Calculated IO Table'!V128</f>
        <v>3.0848358682351227E-2</v>
      </c>
      <c r="V20" s="45">
        <f>'Calculated IO Table'!W128</f>
        <v>1.6523406597179081E-2</v>
      </c>
      <c r="W20" s="45">
        <f>'Calculated IO Table'!X128</f>
        <v>1.1757038658086453E-2</v>
      </c>
      <c r="X20" s="45">
        <f>'Calculated IO Table'!Y128</f>
        <v>7.8049779099679042E-3</v>
      </c>
      <c r="Y20" s="45">
        <f>'Calculated IO Table'!Z128</f>
        <v>7.4395175502758046E-3</v>
      </c>
      <c r="Z20" s="45">
        <f>'Calculated IO Table'!AA128</f>
        <v>1.6367657212242779E-3</v>
      </c>
      <c r="AA20" s="45">
        <f>'Calculated IO Table'!AB128</f>
        <v>0</v>
      </c>
      <c r="AB20" s="45">
        <f>'Calculated IO Table'!AC128</f>
        <v>1.5171871574408511E-3</v>
      </c>
      <c r="AC20" s="45">
        <f>'Calculated IO Table'!AD128</f>
        <v>3.878059018151987E-3</v>
      </c>
      <c r="AD20" s="45">
        <f>'Calculated IO Table'!AE128</f>
        <v>2.9206917785562047E-3</v>
      </c>
      <c r="AE20" s="45">
        <f>'Calculated IO Table'!AF128</f>
        <v>1.1675981140369951E-3</v>
      </c>
      <c r="AF20" s="45">
        <f>'Calculated IO Table'!AG128</f>
        <v>1.078721355758981E-3</v>
      </c>
      <c r="AG20" s="45">
        <f>'Calculated IO Table'!AH128</f>
        <v>3.5046885828889244E-3</v>
      </c>
      <c r="AH20" s="45">
        <f>'Calculated IO Table'!AI128</f>
        <v>2.5175047818934489E-2</v>
      </c>
      <c r="AI20" s="45">
        <f>'Calculated IO Table'!AJ128</f>
        <v>9.7277621807237043E-3</v>
      </c>
      <c r="AJ20" s="45">
        <f>'Calculated IO Table'!AK128</f>
        <v>1.0105887146994424E-3</v>
      </c>
      <c r="AK20" s="45">
        <f>'Calculated IO Table'!AL128</f>
        <v>5.1737987081272314E-4</v>
      </c>
      <c r="AL20" s="45">
        <f>'Calculated IO Table'!AM128</f>
        <v>3.3388083372228499E-3</v>
      </c>
      <c r="AM20" s="45">
        <f>'Calculated IO Table'!AN128</f>
        <v>3.01945731256794E-3</v>
      </c>
      <c r="AN20" s="45">
        <f>'Calculated IO Table'!AO128</f>
        <v>2.7002934204980243E-3</v>
      </c>
      <c r="AO20" s="45">
        <f>'Calculated IO Table'!AP128</f>
        <v>5.5600530826423761E-3</v>
      </c>
      <c r="AP20" s="45">
        <f>'Calculated IO Table'!AQ128</f>
        <v>3.3580010404893131E-3</v>
      </c>
      <c r="AQ20" s="45">
        <f>'Calculated IO Table'!AR128</f>
        <v>0</v>
      </c>
    </row>
    <row r="21" spans="1:43" x14ac:dyDescent="0.25">
      <c r="A21" t="s">
        <v>15</v>
      </c>
      <c r="B21" s="45">
        <f>'Calculated IO Table'!C129</f>
        <v>5.8133652789888217E-4</v>
      </c>
      <c r="C21" s="45">
        <f>'Calculated IO Table'!D129</f>
        <v>1.409231930821319E-3</v>
      </c>
      <c r="D21" s="45">
        <f>'Calculated IO Table'!E129</f>
        <v>9.6267430274281298E-4</v>
      </c>
      <c r="E21" s="45">
        <f>'Calculated IO Table'!F129</f>
        <v>2.0181042487290709E-3</v>
      </c>
      <c r="F21" s="45">
        <f>'Calculated IO Table'!G129</f>
        <v>1.0273699067969127E-3</v>
      </c>
      <c r="G21" s="45">
        <f>'Calculated IO Table'!H129</f>
        <v>5.8034566795130626E-4</v>
      </c>
      <c r="H21" s="45">
        <f>'Calculated IO Table'!I129</f>
        <v>5.1811772884188638E-4</v>
      </c>
      <c r="I21" s="45">
        <f>'Calculated IO Table'!J129</f>
        <v>5.1368988731342413E-4</v>
      </c>
      <c r="J21" s="45">
        <f>'Calculated IO Table'!K129</f>
        <v>1.0115392776154245E-3</v>
      </c>
      <c r="K21" s="45">
        <f>'Calculated IO Table'!L129</f>
        <v>1.3458766609346292E-4</v>
      </c>
      <c r="L21" s="45">
        <f>'Calculated IO Table'!M129</f>
        <v>5.8721710693137176E-4</v>
      </c>
      <c r="M21" s="45">
        <f>'Calculated IO Table'!N129</f>
        <v>3.957287470845221E-4</v>
      </c>
      <c r="N21" s="45">
        <f>'Calculated IO Table'!O129</f>
        <v>1.2642221909121296E-3</v>
      </c>
      <c r="O21" s="45">
        <f>'Calculated IO Table'!P129</f>
        <v>1.1269228346458019E-3</v>
      </c>
      <c r="P21" s="45">
        <f>'Calculated IO Table'!Q129</f>
        <v>0</v>
      </c>
      <c r="Q21" s="45">
        <f>'Calculated IO Table'!R129</f>
        <v>1.4240005731978318E-3</v>
      </c>
      <c r="R21" s="45">
        <f>'Calculated IO Table'!S129</f>
        <v>3.2863416522207222E-3</v>
      </c>
      <c r="S21" s="45">
        <f>'Calculated IO Table'!T129</f>
        <v>3.6174106598415132E-3</v>
      </c>
      <c r="T21" s="45">
        <f>'Calculated IO Table'!U129</f>
        <v>8.1222131320752202E-3</v>
      </c>
      <c r="U21" s="45">
        <f>'Calculated IO Table'!V129</f>
        <v>7.1849460782886371E-2</v>
      </c>
      <c r="V21" s="45">
        <f>'Calculated IO Table'!W129</f>
        <v>1.5944630466023468E-2</v>
      </c>
      <c r="W21" s="45">
        <f>'Calculated IO Table'!X129</f>
        <v>1.9974347913937315E-2</v>
      </c>
      <c r="X21" s="45">
        <f>'Calculated IO Table'!Y129</f>
        <v>7.089965441685513E-3</v>
      </c>
      <c r="Y21" s="45">
        <f>'Calculated IO Table'!Z129</f>
        <v>4.8090279299676563E-3</v>
      </c>
      <c r="Z21" s="45">
        <f>'Calculated IO Table'!AA129</f>
        <v>4.8906470304588348E-3</v>
      </c>
      <c r="AA21" s="45">
        <f>'Calculated IO Table'!AB129</f>
        <v>0</v>
      </c>
      <c r="AB21" s="45">
        <f>'Calculated IO Table'!AC129</f>
        <v>1.8777581633362607E-3</v>
      </c>
      <c r="AC21" s="45">
        <f>'Calculated IO Table'!AD129</f>
        <v>9.0878739786381824E-3</v>
      </c>
      <c r="AD21" s="45">
        <f>'Calculated IO Table'!AE129</f>
        <v>1.7953148009972441E-3</v>
      </c>
      <c r="AE21" s="45">
        <f>'Calculated IO Table'!AF129</f>
        <v>8.199318175992036E-4</v>
      </c>
      <c r="AF21" s="45">
        <f>'Calculated IO Table'!AG129</f>
        <v>7.5669056922782977E-4</v>
      </c>
      <c r="AG21" s="45">
        <f>'Calculated IO Table'!AH129</f>
        <v>6.7725667535298165E-4</v>
      </c>
      <c r="AH21" s="45">
        <f>'Calculated IO Table'!AI129</f>
        <v>5.4232489056375384E-3</v>
      </c>
      <c r="AI21" s="45">
        <f>'Calculated IO Table'!AJ129</f>
        <v>1.0990811522673259E-3</v>
      </c>
      <c r="AJ21" s="45">
        <f>'Calculated IO Table'!AK129</f>
        <v>1.3500178777406895E-4</v>
      </c>
      <c r="AK21" s="45">
        <f>'Calculated IO Table'!AL129</f>
        <v>4.9392626562691781E-4</v>
      </c>
      <c r="AL21" s="45">
        <f>'Calculated IO Table'!AM129</f>
        <v>1.3528011694522247E-3</v>
      </c>
      <c r="AM21" s="45">
        <f>'Calculated IO Table'!AN129</f>
        <v>1.5751887337143501E-3</v>
      </c>
      <c r="AN21" s="45">
        <f>'Calculated IO Table'!AO129</f>
        <v>6.7539925117082397E-4</v>
      </c>
      <c r="AO21" s="45">
        <f>'Calculated IO Table'!AP129</f>
        <v>1.001808230893573E-3</v>
      </c>
      <c r="AP21" s="45">
        <f>'Calculated IO Table'!AQ129</f>
        <v>1.6808838946323185E-3</v>
      </c>
      <c r="AQ21" s="45">
        <f>'Calculated IO Table'!AR129</f>
        <v>0</v>
      </c>
    </row>
    <row r="22" spans="1:43" x14ac:dyDescent="0.25">
      <c r="A22" t="s">
        <v>16</v>
      </c>
      <c r="B22" s="45">
        <f>'Calculated IO Table'!C130</f>
        <v>2.4301723501490634E-3</v>
      </c>
      <c r="C22" s="45">
        <f>'Calculated IO Table'!D130</f>
        <v>1.510904720924499E-2</v>
      </c>
      <c r="D22" s="45">
        <f>'Calculated IO Table'!E130</f>
        <v>1.4181097608079479E-2</v>
      </c>
      <c r="E22" s="45">
        <f>'Calculated IO Table'!F130</f>
        <v>1.1351452994544096E-2</v>
      </c>
      <c r="F22" s="45">
        <f>'Calculated IO Table'!G130</f>
        <v>6.5387841685818774E-3</v>
      </c>
      <c r="G22" s="45">
        <f>'Calculated IO Table'!H130</f>
        <v>2.7117557909880257E-3</v>
      </c>
      <c r="H22" s="45">
        <f>'Calculated IO Table'!I130</f>
        <v>2.6577039157668222E-3</v>
      </c>
      <c r="I22" s="45">
        <f>'Calculated IO Table'!J130</f>
        <v>2.9450600192503875E-3</v>
      </c>
      <c r="J22" s="45">
        <f>'Calculated IO Table'!K130</f>
        <v>3.6942198649987626E-3</v>
      </c>
      <c r="K22" s="45">
        <f>'Calculated IO Table'!L130</f>
        <v>1.1599349221051794E-3</v>
      </c>
      <c r="L22" s="45">
        <f>'Calculated IO Table'!M130</f>
        <v>2.0111915821726741E-3</v>
      </c>
      <c r="M22" s="45">
        <f>'Calculated IO Table'!N130</f>
        <v>1.1267184359811037E-3</v>
      </c>
      <c r="N22" s="45">
        <f>'Calculated IO Table'!O130</f>
        <v>3.7592506745486604E-3</v>
      </c>
      <c r="O22" s="45">
        <f>'Calculated IO Table'!P130</f>
        <v>7.9327942363646379E-3</v>
      </c>
      <c r="P22" s="45">
        <f>'Calculated IO Table'!Q130</f>
        <v>0</v>
      </c>
      <c r="Q22" s="45">
        <f>'Calculated IO Table'!R130</f>
        <v>5.0144984889314015E-3</v>
      </c>
      <c r="R22" s="45">
        <f>'Calculated IO Table'!S130</f>
        <v>2.6735889320648088E-3</v>
      </c>
      <c r="S22" s="45">
        <f>'Calculated IO Table'!T130</f>
        <v>8.0623612020932801E-3</v>
      </c>
      <c r="T22" s="45">
        <f>'Calculated IO Table'!U130</f>
        <v>2.6487929713229119E-3</v>
      </c>
      <c r="U22" s="45">
        <f>'Calculated IO Table'!V130</f>
        <v>1.3111749176437161E-2</v>
      </c>
      <c r="V22" s="45">
        <f>'Calculated IO Table'!W130</f>
        <v>8.1199684307102435E-2</v>
      </c>
      <c r="W22" s="45">
        <f>'Calculated IO Table'!X130</f>
        <v>2.1416365221675858E-2</v>
      </c>
      <c r="X22" s="45">
        <f>'Calculated IO Table'!Y130</f>
        <v>1.2089343580559103E-2</v>
      </c>
      <c r="Y22" s="45">
        <f>'Calculated IO Table'!Z130</f>
        <v>9.2946186349508846E-3</v>
      </c>
      <c r="Z22" s="45">
        <f>'Calculated IO Table'!AA130</f>
        <v>3.0022828866276422E-3</v>
      </c>
      <c r="AA22" s="45">
        <f>'Calculated IO Table'!AB130</f>
        <v>0</v>
      </c>
      <c r="AB22" s="45">
        <f>'Calculated IO Table'!AC130</f>
        <v>4.8030710777580751E-3</v>
      </c>
      <c r="AC22" s="45">
        <f>'Calculated IO Table'!AD130</f>
        <v>7.5855925096798256E-3</v>
      </c>
      <c r="AD22" s="45">
        <f>'Calculated IO Table'!AE130</f>
        <v>2.2293953162891519E-3</v>
      </c>
      <c r="AE22" s="45">
        <f>'Calculated IO Table'!AF130</f>
        <v>1.2142756885837661E-3</v>
      </c>
      <c r="AF22" s="45">
        <f>'Calculated IO Table'!AG130</f>
        <v>5.5173956722538177E-4</v>
      </c>
      <c r="AG22" s="45">
        <f>'Calculated IO Table'!AH130</f>
        <v>6.4734378117428291E-4</v>
      </c>
      <c r="AH22" s="45">
        <f>'Calculated IO Table'!AI130</f>
        <v>1.257297201987913E-3</v>
      </c>
      <c r="AI22" s="45">
        <f>'Calculated IO Table'!AJ130</f>
        <v>6.599064119334892E-4</v>
      </c>
      <c r="AJ22" s="45">
        <f>'Calculated IO Table'!AK130</f>
        <v>4.5812668009854421E-4</v>
      </c>
      <c r="AK22" s="45">
        <f>'Calculated IO Table'!AL130</f>
        <v>3.0989022421506389E-4</v>
      </c>
      <c r="AL22" s="45">
        <f>'Calculated IO Table'!AM130</f>
        <v>1.7357422883209565E-3</v>
      </c>
      <c r="AM22" s="45">
        <f>'Calculated IO Table'!AN130</f>
        <v>1.7564944308163619E-3</v>
      </c>
      <c r="AN22" s="45">
        <f>'Calculated IO Table'!AO130</f>
        <v>8.152705156127195E-4</v>
      </c>
      <c r="AO22" s="45">
        <f>'Calculated IO Table'!AP130</f>
        <v>1.1598255014515179E-3</v>
      </c>
      <c r="AP22" s="45">
        <f>'Calculated IO Table'!AQ130</f>
        <v>1.1940680475934411E-3</v>
      </c>
      <c r="AQ22" s="45">
        <f>'Calculated IO Table'!AR130</f>
        <v>0</v>
      </c>
    </row>
    <row r="23" spans="1:43" x14ac:dyDescent="0.25">
      <c r="A23" t="s">
        <v>17</v>
      </c>
      <c r="B23" s="45">
        <f>'Calculated IO Table'!C131</f>
        <v>4.7467413937628782E-4</v>
      </c>
      <c r="C23" s="45">
        <f>'Calculated IO Table'!D131</f>
        <v>4.6003240127308879E-4</v>
      </c>
      <c r="D23" s="45">
        <f>'Calculated IO Table'!E131</f>
        <v>8.1160478320242506E-4</v>
      </c>
      <c r="E23" s="45">
        <f>'Calculated IO Table'!F131</f>
        <v>1.3452349737745558E-3</v>
      </c>
      <c r="F23" s="45">
        <f>'Calculated IO Table'!G131</f>
        <v>4.5570968120734265E-4</v>
      </c>
      <c r="G23" s="45">
        <f>'Calculated IO Table'!H131</f>
        <v>3.1997308555431947E-4</v>
      </c>
      <c r="H23" s="45">
        <f>'Calculated IO Table'!I131</f>
        <v>2.8578606259161375E-4</v>
      </c>
      <c r="I23" s="45">
        <f>'Calculated IO Table'!J131</f>
        <v>3.7360001384398501E-4</v>
      </c>
      <c r="J23" s="45">
        <f>'Calculated IO Table'!K131</f>
        <v>2.6295687235048005E-4</v>
      </c>
      <c r="K23" s="45">
        <f>'Calculated IO Table'!L131</f>
        <v>8.5932496844175451E-5</v>
      </c>
      <c r="L23" s="45">
        <f>'Calculated IO Table'!M131</f>
        <v>2.4253750408128959E-4</v>
      </c>
      <c r="M23" s="45">
        <f>'Calculated IO Table'!N131</f>
        <v>1.4386555266723787E-4</v>
      </c>
      <c r="N23" s="45">
        <f>'Calculated IO Table'!O131</f>
        <v>7.0842231066796434E-4</v>
      </c>
      <c r="O23" s="45">
        <f>'Calculated IO Table'!P131</f>
        <v>1.0049216964946744E-3</v>
      </c>
      <c r="P23" s="45">
        <f>'Calculated IO Table'!Q131</f>
        <v>0</v>
      </c>
      <c r="Q23" s="45">
        <f>'Calculated IO Table'!R131</f>
        <v>5.6284338775034512E-4</v>
      </c>
      <c r="R23" s="45">
        <f>'Calculated IO Table'!S131</f>
        <v>6.7343446718779972E-4</v>
      </c>
      <c r="S23" s="45">
        <f>'Calculated IO Table'!T131</f>
        <v>1.1423073676171667E-3</v>
      </c>
      <c r="T23" s="45">
        <f>'Calculated IO Table'!U131</f>
        <v>7.8779163250507884E-4</v>
      </c>
      <c r="U23" s="45">
        <f>'Calculated IO Table'!V131</f>
        <v>2.6771956860386628E-3</v>
      </c>
      <c r="V23" s="45">
        <f>'Calculated IO Table'!W131</f>
        <v>3.9518414195923801E-3</v>
      </c>
      <c r="W23" s="45">
        <f>'Calculated IO Table'!X131</f>
        <v>0.17807706582352931</v>
      </c>
      <c r="X23" s="45">
        <f>'Calculated IO Table'!Y131</f>
        <v>4.2820379463848679E-3</v>
      </c>
      <c r="Y23" s="45">
        <f>'Calculated IO Table'!Z131</f>
        <v>1.1482252174764224E-3</v>
      </c>
      <c r="Z23" s="45">
        <f>'Calculated IO Table'!AA131</f>
        <v>3.388921488242912E-4</v>
      </c>
      <c r="AA23" s="45">
        <f>'Calculated IO Table'!AB131</f>
        <v>0</v>
      </c>
      <c r="AB23" s="45">
        <f>'Calculated IO Table'!AC131</f>
        <v>1.3909396562486829E-3</v>
      </c>
      <c r="AC23" s="45">
        <f>'Calculated IO Table'!AD131</f>
        <v>9.3589766695321476E-4</v>
      </c>
      <c r="AD23" s="45">
        <f>'Calculated IO Table'!AE131</f>
        <v>8.1920160052435086E-3</v>
      </c>
      <c r="AE23" s="45">
        <f>'Calculated IO Table'!AF131</f>
        <v>3.7903950985547141E-3</v>
      </c>
      <c r="AF23" s="45">
        <f>'Calculated IO Table'!AG131</f>
        <v>1.4576653995343299E-4</v>
      </c>
      <c r="AG23" s="45">
        <f>'Calculated IO Table'!AH131</f>
        <v>1.4475554899126745E-4</v>
      </c>
      <c r="AH23" s="45">
        <f>'Calculated IO Table'!AI131</f>
        <v>4.0507690814917E-4</v>
      </c>
      <c r="AI23" s="45">
        <f>'Calculated IO Table'!AJ131</f>
        <v>2.3334253881032144E-4</v>
      </c>
      <c r="AJ23" s="45">
        <f>'Calculated IO Table'!AK131</f>
        <v>1.1364634781293225E-4</v>
      </c>
      <c r="AK23" s="45">
        <f>'Calculated IO Table'!AL131</f>
        <v>1.3214013906082627E-4</v>
      </c>
      <c r="AL23" s="45">
        <f>'Calculated IO Table'!AM131</f>
        <v>7.8061118655655824E-4</v>
      </c>
      <c r="AM23" s="45">
        <f>'Calculated IO Table'!AN131</f>
        <v>5.9121282198678195E-4</v>
      </c>
      <c r="AN23" s="45">
        <f>'Calculated IO Table'!AO131</f>
        <v>3.0871947613745574E-4</v>
      </c>
      <c r="AO23" s="45">
        <f>'Calculated IO Table'!AP131</f>
        <v>2.7212874776481595E-4</v>
      </c>
      <c r="AP23" s="45">
        <f>'Calculated IO Table'!AQ131</f>
        <v>4.1747022405601286E-4</v>
      </c>
      <c r="AQ23" s="45">
        <f>'Calculated IO Table'!AR131</f>
        <v>0</v>
      </c>
    </row>
    <row r="24" spans="1:43" x14ac:dyDescent="0.25">
      <c r="A24" t="s">
        <v>18</v>
      </c>
      <c r="B24" s="45">
        <f>'Calculated IO Table'!C132</f>
        <v>1.7147893431307846E-4</v>
      </c>
      <c r="C24" s="45">
        <f>'Calculated IO Table'!D132</f>
        <v>4.0356534987165291E-4</v>
      </c>
      <c r="D24" s="45">
        <f>'Calculated IO Table'!E132</f>
        <v>3.115670543356742E-4</v>
      </c>
      <c r="E24" s="45">
        <f>'Calculated IO Table'!F132</f>
        <v>2.635305470999909E-4</v>
      </c>
      <c r="F24" s="45">
        <f>'Calculated IO Table'!G132</f>
        <v>1.3758815105173932E-4</v>
      </c>
      <c r="G24" s="45">
        <f>'Calculated IO Table'!H132</f>
        <v>1.8800835139041018E-4</v>
      </c>
      <c r="H24" s="45">
        <f>'Calculated IO Table'!I132</f>
        <v>1.2598977223546298E-4</v>
      </c>
      <c r="I24" s="45">
        <f>'Calculated IO Table'!J132</f>
        <v>1.5872066294022699E-4</v>
      </c>
      <c r="J24" s="45">
        <f>'Calculated IO Table'!K132</f>
        <v>1.2695758449519793E-4</v>
      </c>
      <c r="K24" s="45">
        <f>'Calculated IO Table'!L132</f>
        <v>1.5166067078245361E-4</v>
      </c>
      <c r="L24" s="45">
        <f>'Calculated IO Table'!M132</f>
        <v>1.3475682151469574E-4</v>
      </c>
      <c r="M24" s="45">
        <f>'Calculated IO Table'!N132</f>
        <v>7.4878771801063418E-5</v>
      </c>
      <c r="N24" s="45">
        <f>'Calculated IO Table'!O132</f>
        <v>2.5304137035071469E-4</v>
      </c>
      <c r="O24" s="45">
        <f>'Calculated IO Table'!P132</f>
        <v>1.669037867465355E-4</v>
      </c>
      <c r="P24" s="45">
        <f>'Calculated IO Table'!Q132</f>
        <v>0</v>
      </c>
      <c r="Q24" s="45">
        <f>'Calculated IO Table'!R132</f>
        <v>2.1681349066646392E-4</v>
      </c>
      <c r="R24" s="45">
        <f>'Calculated IO Table'!S132</f>
        <v>1.5424230514024539E-4</v>
      </c>
      <c r="S24" s="45">
        <f>'Calculated IO Table'!T132</f>
        <v>7.0183661704634691E-4</v>
      </c>
      <c r="T24" s="45">
        <f>'Calculated IO Table'!U132</f>
        <v>2.7971081538075268E-4</v>
      </c>
      <c r="U24" s="45">
        <f>'Calculated IO Table'!V132</f>
        <v>8.5153185101277847E-4</v>
      </c>
      <c r="V24" s="45">
        <f>'Calculated IO Table'!W132</f>
        <v>1.3254561118412325E-3</v>
      </c>
      <c r="W24" s="45">
        <f>'Calculated IO Table'!X132</f>
        <v>9.9173401957563349E-3</v>
      </c>
      <c r="X24" s="45">
        <f>'Calculated IO Table'!Y132</f>
        <v>0.19143809815644044</v>
      </c>
      <c r="Y24" s="45">
        <f>'Calculated IO Table'!Z132</f>
        <v>2.8662461164310963E-3</v>
      </c>
      <c r="Z24" s="45">
        <f>'Calculated IO Table'!AA132</f>
        <v>1.0688574013763279E-4</v>
      </c>
      <c r="AA24" s="45">
        <f>'Calculated IO Table'!AB132</f>
        <v>0</v>
      </c>
      <c r="AB24" s="45">
        <f>'Calculated IO Table'!AC132</f>
        <v>1.5794875829547024E-4</v>
      </c>
      <c r="AC24" s="45">
        <f>'Calculated IO Table'!AD132</f>
        <v>3.4438551386834122E-4</v>
      </c>
      <c r="AD24" s="45">
        <f>'Calculated IO Table'!AE132</f>
        <v>7.3365067050460493E-4</v>
      </c>
      <c r="AE24" s="45">
        <f>'Calculated IO Table'!AF132</f>
        <v>5.8544718229192848E-3</v>
      </c>
      <c r="AF24" s="45">
        <f>'Calculated IO Table'!AG132</f>
        <v>6.3717566375806525E-5</v>
      </c>
      <c r="AG24" s="45">
        <f>'Calculated IO Table'!AH132</f>
        <v>4.52308200814678E-5</v>
      </c>
      <c r="AH24" s="45">
        <f>'Calculated IO Table'!AI132</f>
        <v>1.1100756541934965E-4</v>
      </c>
      <c r="AI24" s="45">
        <f>'Calculated IO Table'!AJ132</f>
        <v>1.3150681411540536E-4</v>
      </c>
      <c r="AJ24" s="45">
        <f>'Calculated IO Table'!AK132</f>
        <v>4.176787784180647E-5</v>
      </c>
      <c r="AK24" s="45">
        <f>'Calculated IO Table'!AL132</f>
        <v>5.871253743751712E-5</v>
      </c>
      <c r="AL24" s="45">
        <f>'Calculated IO Table'!AM132</f>
        <v>3.2598126127712671E-4</v>
      </c>
      <c r="AM24" s="45">
        <f>'Calculated IO Table'!AN132</f>
        <v>4.2296419659430063E-3</v>
      </c>
      <c r="AN24" s="45">
        <f>'Calculated IO Table'!AO132</f>
        <v>9.3209471441193235E-5</v>
      </c>
      <c r="AO24" s="45">
        <f>'Calculated IO Table'!AP132</f>
        <v>2.8667673113892266E-4</v>
      </c>
      <c r="AP24" s="45">
        <f>'Calculated IO Table'!AQ132</f>
        <v>2.8372603272064741E-4</v>
      </c>
      <c r="AQ24" s="45">
        <f>'Calculated IO Table'!AR132</f>
        <v>0</v>
      </c>
    </row>
    <row r="25" spans="1:43" x14ac:dyDescent="0.25">
      <c r="A25" t="s">
        <v>19</v>
      </c>
      <c r="B25" s="45">
        <f>'Calculated IO Table'!C133</f>
        <v>4.5353597122550857E-3</v>
      </c>
      <c r="C25" s="45">
        <f>'Calculated IO Table'!D133</f>
        <v>4.0175800917966109E-3</v>
      </c>
      <c r="D25" s="45">
        <f>'Calculated IO Table'!E133</f>
        <v>6.0656617847697838E-3</v>
      </c>
      <c r="E25" s="45">
        <f>'Calculated IO Table'!F133</f>
        <v>5.938444455609591E-3</v>
      </c>
      <c r="F25" s="45">
        <f>'Calculated IO Table'!G133</f>
        <v>2.6427578812625255E-3</v>
      </c>
      <c r="G25" s="45">
        <f>'Calculated IO Table'!H133</f>
        <v>2.9235113775573198E-3</v>
      </c>
      <c r="H25" s="45">
        <f>'Calculated IO Table'!I133</f>
        <v>4.7552704672853075E-3</v>
      </c>
      <c r="I25" s="45">
        <f>'Calculated IO Table'!J133</f>
        <v>3.2307051065436549E-3</v>
      </c>
      <c r="J25" s="45">
        <f>'Calculated IO Table'!K133</f>
        <v>3.8537680412412487E-3</v>
      </c>
      <c r="K25" s="45">
        <f>'Calculated IO Table'!L133</f>
        <v>9.6763521131084708E-4</v>
      </c>
      <c r="L25" s="45">
        <f>'Calculated IO Table'!M133</f>
        <v>2.3793475133377399E-3</v>
      </c>
      <c r="M25" s="45">
        <f>'Calculated IO Table'!N133</f>
        <v>1.8977758824405559E-3</v>
      </c>
      <c r="N25" s="45">
        <f>'Calculated IO Table'!O133</f>
        <v>3.0522213790510327E-3</v>
      </c>
      <c r="O25" s="45">
        <f>'Calculated IO Table'!P133</f>
        <v>4.1607139350650253E-3</v>
      </c>
      <c r="P25" s="45">
        <f>'Calculated IO Table'!Q133</f>
        <v>0</v>
      </c>
      <c r="Q25" s="45">
        <f>'Calculated IO Table'!R133</f>
        <v>4.7741040748087663E-3</v>
      </c>
      <c r="R25" s="45">
        <f>'Calculated IO Table'!S133</f>
        <v>4.4183298122875848E-3</v>
      </c>
      <c r="S25" s="45">
        <f>'Calculated IO Table'!T133</f>
        <v>3.4130182792462098E-3</v>
      </c>
      <c r="T25" s="45">
        <f>'Calculated IO Table'!U133</f>
        <v>1.9718332742967087E-3</v>
      </c>
      <c r="U25" s="45">
        <f>'Calculated IO Table'!V133</f>
        <v>3.3710477882745371E-3</v>
      </c>
      <c r="V25" s="45">
        <f>'Calculated IO Table'!W133</f>
        <v>4.0633953567837848E-3</v>
      </c>
      <c r="W25" s="45">
        <f>'Calculated IO Table'!X133</f>
        <v>3.8139822075401362E-3</v>
      </c>
      <c r="X25" s="45">
        <f>'Calculated IO Table'!Y133</f>
        <v>3.6026108443975779E-3</v>
      </c>
      <c r="Y25" s="45">
        <f>'Calculated IO Table'!Z133</f>
        <v>2.014043377356237E-2</v>
      </c>
      <c r="Z25" s="45">
        <f>'Calculated IO Table'!AA133</f>
        <v>3.2263095162835941E-3</v>
      </c>
      <c r="AA25" s="45">
        <f>'Calculated IO Table'!AB133</f>
        <v>0</v>
      </c>
      <c r="AB25" s="45">
        <f>'Calculated IO Table'!AC133</f>
        <v>4.6733941358690469E-3</v>
      </c>
      <c r="AC25" s="45">
        <f>'Calculated IO Table'!AD133</f>
        <v>3.0663777482750217E-3</v>
      </c>
      <c r="AD25" s="45">
        <f>'Calculated IO Table'!AE133</f>
        <v>1.9620302172590949E-3</v>
      </c>
      <c r="AE25" s="45">
        <f>'Calculated IO Table'!AF133</f>
        <v>3.9578068504090179E-3</v>
      </c>
      <c r="AF25" s="45">
        <f>'Calculated IO Table'!AG133</f>
        <v>2.3779428411520049E-3</v>
      </c>
      <c r="AG25" s="45">
        <f>'Calculated IO Table'!AH133</f>
        <v>1.012463501139446E-3</v>
      </c>
      <c r="AH25" s="45">
        <f>'Calculated IO Table'!AI133</f>
        <v>2.5089881110906334E-3</v>
      </c>
      <c r="AI25" s="45">
        <f>'Calculated IO Table'!AJ133</f>
        <v>1.1609422148240063E-3</v>
      </c>
      <c r="AJ25" s="45">
        <f>'Calculated IO Table'!AK133</f>
        <v>9.1264291219558911E-4</v>
      </c>
      <c r="AK25" s="45">
        <f>'Calculated IO Table'!AL133</f>
        <v>8.5789841578235164E-4</v>
      </c>
      <c r="AL25" s="45">
        <f>'Calculated IO Table'!AM133</f>
        <v>2.2113477903491926E-3</v>
      </c>
      <c r="AM25" s="45">
        <f>'Calculated IO Table'!AN133</f>
        <v>3.1563564117662083E-3</v>
      </c>
      <c r="AN25" s="45">
        <f>'Calculated IO Table'!AO133</f>
        <v>3.9491346388108497E-3</v>
      </c>
      <c r="AO25" s="45">
        <f>'Calculated IO Table'!AP133</f>
        <v>8.9772257572487101E-3</v>
      </c>
      <c r="AP25" s="45">
        <f>'Calculated IO Table'!AQ133</f>
        <v>4.3090853219004289E-3</v>
      </c>
      <c r="AQ25" s="45">
        <f>'Calculated IO Table'!AR133</f>
        <v>0</v>
      </c>
    </row>
    <row r="26" spans="1:43" x14ac:dyDescent="0.25">
      <c r="A26" s="5" t="s">
        <v>873</v>
      </c>
      <c r="B26" s="45">
        <f>'Calculated IO Table'!C134</f>
        <v>1.2925652267837187E-2</v>
      </c>
      <c r="C26" s="45">
        <f>'Calculated IO Table'!D134</f>
        <v>2.1551377301010741E-2</v>
      </c>
      <c r="D26" s="45">
        <f>'Calculated IO Table'!E134</f>
        <v>2.8741595803900195E-2</v>
      </c>
      <c r="E26" s="45">
        <f>'Calculated IO Table'!F134</f>
        <v>2.7765837555266053E-2</v>
      </c>
      <c r="F26" s="45">
        <f>'Calculated IO Table'!G134</f>
        <v>3.3579931338232859E-3</v>
      </c>
      <c r="G26" s="45">
        <f>'Calculated IO Table'!H134</f>
        <v>1.5618788281340343E-2</v>
      </c>
      <c r="H26" s="45">
        <f>'Calculated IO Table'!I134</f>
        <v>2.1525183899508166E-2</v>
      </c>
      <c r="I26" s="45">
        <f>'Calculated IO Table'!J134</f>
        <v>9.455507767085234E-3</v>
      </c>
      <c r="J26" s="45">
        <f>'Calculated IO Table'!K134</f>
        <v>2.647182729697856E-2</v>
      </c>
      <c r="K26" s="45">
        <f>'Calculated IO Table'!L134</f>
        <v>7.1955297886767983E-3</v>
      </c>
      <c r="L26" s="45">
        <f>'Calculated IO Table'!M134</f>
        <v>1.6208256520238547E-2</v>
      </c>
      <c r="M26" s="45">
        <f>'Calculated IO Table'!N134</f>
        <v>5.6594903095515273E-3</v>
      </c>
      <c r="N26" s="45">
        <f>'Calculated IO Table'!O134</f>
        <v>1.6526056878963143E-2</v>
      </c>
      <c r="O26" s="45">
        <f>'Calculated IO Table'!P134</f>
        <v>2.8944929190301592E-2</v>
      </c>
      <c r="P26" s="45">
        <f>'Calculated IO Table'!Q134</f>
        <v>0</v>
      </c>
      <c r="Q26" s="45">
        <f>'Calculated IO Table'!R134</f>
        <v>3.1095619586496415E-2</v>
      </c>
      <c r="R26" s="45">
        <f>'Calculated IO Table'!S134</f>
        <v>1.9645299824957118E-2</v>
      </c>
      <c r="S26" s="45">
        <f>'Calculated IO Table'!T134</f>
        <v>1.1013001278922466E-2</v>
      </c>
      <c r="T26" s="45">
        <f>'Calculated IO Table'!U134</f>
        <v>3.1219827071336131E-3</v>
      </c>
      <c r="U26" s="45">
        <f>'Calculated IO Table'!V134</f>
        <v>6.50279929531925E-3</v>
      </c>
      <c r="V26" s="45">
        <f>'Calculated IO Table'!W134</f>
        <v>6.7729000304235371E-3</v>
      </c>
      <c r="W26" s="45">
        <f>'Calculated IO Table'!X134</f>
        <v>8.9788326836016813E-3</v>
      </c>
      <c r="X26" s="45">
        <f>'Calculated IO Table'!Y134</f>
        <v>5.294874817124989E-3</v>
      </c>
      <c r="Y26" s="45">
        <f>'Calculated IO Table'!Z134</f>
        <v>5.6620792130405509E-3</v>
      </c>
      <c r="Z26" s="45">
        <f>'Calculated IO Table'!AA134</f>
        <v>6.5245075134872099E-2</v>
      </c>
      <c r="AA26" s="45">
        <f>'Calculated IO Table'!AB134</f>
        <v>0</v>
      </c>
      <c r="AB26" s="45">
        <f>'Calculated IO Table'!AC134</f>
        <v>1.8493430753997613E-2</v>
      </c>
      <c r="AC26" s="45">
        <f>'Calculated IO Table'!AD134</f>
        <v>2.5021474617125893E-3</v>
      </c>
      <c r="AD26" s="45">
        <f>'Calculated IO Table'!AE134</f>
        <v>1.1118256213542819E-2</v>
      </c>
      <c r="AE26" s="45">
        <f>'Calculated IO Table'!AF134</f>
        <v>7.1291163038215604E-3</v>
      </c>
      <c r="AF26" s="45">
        <f>'Calculated IO Table'!AG134</f>
        <v>2.2377543887886951E-2</v>
      </c>
      <c r="AG26" s="45">
        <f>'Calculated IO Table'!AH134</f>
        <v>3.8867685544640689E-3</v>
      </c>
      <c r="AH26" s="45">
        <f>'Calculated IO Table'!AI134</f>
        <v>1.0658921336731134E-2</v>
      </c>
      <c r="AI26" s="45">
        <f>'Calculated IO Table'!AJ134</f>
        <v>2.5474923730178663E-3</v>
      </c>
      <c r="AJ26" s="45">
        <f>'Calculated IO Table'!AK134</f>
        <v>3.173398707547312E-3</v>
      </c>
      <c r="AK26" s="45">
        <f>'Calculated IO Table'!AL134</f>
        <v>7.9871246573700958E-3</v>
      </c>
      <c r="AL26" s="45">
        <f>'Calculated IO Table'!AM134</f>
        <v>3.6379673518526895E-3</v>
      </c>
      <c r="AM26" s="45">
        <f>'Calculated IO Table'!AN134</f>
        <v>1.2045204947107469E-2</v>
      </c>
      <c r="AN26" s="45">
        <f>'Calculated IO Table'!AO134</f>
        <v>1.4438573542077051E-2</v>
      </c>
      <c r="AO26" s="45">
        <f>'Calculated IO Table'!AP134</f>
        <v>1.190082064372174E-2</v>
      </c>
      <c r="AP26" s="45">
        <f>'Calculated IO Table'!AQ134</f>
        <v>1.4058938624021225E-2</v>
      </c>
      <c r="AQ26" s="45">
        <f>'Calculated IO Table'!AR134</f>
        <v>0</v>
      </c>
    </row>
    <row r="27" spans="1:43" x14ac:dyDescent="0.25">
      <c r="A27" s="5" t="s">
        <v>874</v>
      </c>
      <c r="B27" s="45">
        <f>'Calculated IO Table'!C135</f>
        <v>0</v>
      </c>
      <c r="C27" s="45">
        <f>'Calculated IO Table'!D135</f>
        <v>0</v>
      </c>
      <c r="D27" s="45">
        <f>'Calculated IO Table'!E135</f>
        <v>0</v>
      </c>
      <c r="E27" s="45">
        <f>'Calculated IO Table'!F135</f>
        <v>0</v>
      </c>
      <c r="F27" s="45">
        <f>'Calculated IO Table'!G135</f>
        <v>0</v>
      </c>
      <c r="G27" s="45">
        <f>'Calculated IO Table'!H135</f>
        <v>0</v>
      </c>
      <c r="H27" s="45">
        <f>'Calculated IO Table'!I135</f>
        <v>0</v>
      </c>
      <c r="I27" s="45">
        <f>'Calculated IO Table'!J135</f>
        <v>0</v>
      </c>
      <c r="J27" s="45">
        <f>'Calculated IO Table'!K135</f>
        <v>0</v>
      </c>
      <c r="K27" s="45">
        <f>'Calculated IO Table'!L135</f>
        <v>0</v>
      </c>
      <c r="L27" s="45">
        <f>'Calculated IO Table'!M135</f>
        <v>0</v>
      </c>
      <c r="M27" s="45">
        <f>'Calculated IO Table'!N135</f>
        <v>0</v>
      </c>
      <c r="N27" s="45">
        <f>'Calculated IO Table'!O135</f>
        <v>0</v>
      </c>
      <c r="O27" s="45">
        <f>'Calculated IO Table'!P135</f>
        <v>0</v>
      </c>
      <c r="P27" s="45">
        <f>'Calculated IO Table'!Q135</f>
        <v>0</v>
      </c>
      <c r="Q27" s="45">
        <f>'Calculated IO Table'!R135</f>
        <v>0</v>
      </c>
      <c r="R27" s="45">
        <f>'Calculated IO Table'!S135</f>
        <v>0</v>
      </c>
      <c r="S27" s="45">
        <f>'Calculated IO Table'!T135</f>
        <v>0</v>
      </c>
      <c r="T27" s="45">
        <f>'Calculated IO Table'!U135</f>
        <v>0</v>
      </c>
      <c r="U27" s="45">
        <f>'Calculated IO Table'!V135</f>
        <v>0</v>
      </c>
      <c r="V27" s="45">
        <f>'Calculated IO Table'!W135</f>
        <v>0</v>
      </c>
      <c r="W27" s="45">
        <f>'Calculated IO Table'!X135</f>
        <v>0</v>
      </c>
      <c r="X27" s="45">
        <f>'Calculated IO Table'!Y135</f>
        <v>0</v>
      </c>
      <c r="Y27" s="45">
        <f>'Calculated IO Table'!Z135</f>
        <v>0</v>
      </c>
      <c r="Z27" s="45">
        <f>'Calculated IO Table'!AA135</f>
        <v>0</v>
      </c>
      <c r="AA27" s="45">
        <f>'Calculated IO Table'!AB135</f>
        <v>0</v>
      </c>
      <c r="AB27" s="45">
        <f>'Calculated IO Table'!AC135</f>
        <v>0</v>
      </c>
      <c r="AC27" s="45">
        <f>'Calculated IO Table'!AD135</f>
        <v>0</v>
      </c>
      <c r="AD27" s="45">
        <f>'Calculated IO Table'!AE135</f>
        <v>0</v>
      </c>
      <c r="AE27" s="45">
        <f>'Calculated IO Table'!AF135</f>
        <v>0</v>
      </c>
      <c r="AF27" s="45">
        <f>'Calculated IO Table'!AG135</f>
        <v>0</v>
      </c>
      <c r="AG27" s="45">
        <f>'Calculated IO Table'!AH135</f>
        <v>0</v>
      </c>
      <c r="AH27" s="45">
        <f>'Calculated IO Table'!AI135</f>
        <v>0</v>
      </c>
      <c r="AI27" s="45">
        <f>'Calculated IO Table'!AJ135</f>
        <v>0</v>
      </c>
      <c r="AJ27" s="45">
        <f>'Calculated IO Table'!AK135</f>
        <v>0</v>
      </c>
      <c r="AK27" s="45">
        <f>'Calculated IO Table'!AL135</f>
        <v>0</v>
      </c>
      <c r="AL27" s="45">
        <f>'Calculated IO Table'!AM135</f>
        <v>0</v>
      </c>
      <c r="AM27" s="45">
        <f>'Calculated IO Table'!AN135</f>
        <v>0</v>
      </c>
      <c r="AN27" s="45">
        <f>'Calculated IO Table'!AO135</f>
        <v>0</v>
      </c>
      <c r="AO27" s="45">
        <f>'Calculated IO Table'!AP135</f>
        <v>0</v>
      </c>
      <c r="AP27" s="45">
        <f>'Calculated IO Table'!AQ135</f>
        <v>0</v>
      </c>
      <c r="AQ27" s="45">
        <f>'Calculated IO Table'!AR135</f>
        <v>0</v>
      </c>
    </row>
    <row r="28" spans="1:43" x14ac:dyDescent="0.25">
      <c r="A28" s="5" t="s">
        <v>875</v>
      </c>
      <c r="B28" s="45">
        <f>'Calculated IO Table'!C136</f>
        <v>9.6635714294504495E-4</v>
      </c>
      <c r="C28" s="45">
        <f>'Calculated IO Table'!D136</f>
        <v>9.9176585950716133E-4</v>
      </c>
      <c r="D28" s="45">
        <f>'Calculated IO Table'!E136</f>
        <v>1.2207151029129768E-3</v>
      </c>
      <c r="E28" s="45">
        <f>'Calculated IO Table'!F136</f>
        <v>1.8421043897303888E-3</v>
      </c>
      <c r="F28" s="45">
        <f>'Calculated IO Table'!G136</f>
        <v>7.6083607649316649E-4</v>
      </c>
      <c r="G28" s="45">
        <f>'Calculated IO Table'!H136</f>
        <v>1.336279916179219E-3</v>
      </c>
      <c r="H28" s="45">
        <f>'Calculated IO Table'!I136</f>
        <v>1.0037286584601585E-3</v>
      </c>
      <c r="I28" s="45">
        <f>'Calculated IO Table'!J136</f>
        <v>9.8876922926305561E-4</v>
      </c>
      <c r="J28" s="45">
        <f>'Calculated IO Table'!K136</f>
        <v>7.0367562145492455E-3</v>
      </c>
      <c r="K28" s="45">
        <f>'Calculated IO Table'!L136</f>
        <v>5.0347147936407558E-4</v>
      </c>
      <c r="L28" s="45">
        <f>'Calculated IO Table'!M136</f>
        <v>8.1265226577277832E-4</v>
      </c>
      <c r="M28" s="45">
        <f>'Calculated IO Table'!N136</f>
        <v>5.2816261677498145E-4</v>
      </c>
      <c r="N28" s="45">
        <f>'Calculated IO Table'!O136</f>
        <v>9.2955935248386907E-4</v>
      </c>
      <c r="O28" s="45">
        <f>'Calculated IO Table'!P136</f>
        <v>1.6862275736946961E-3</v>
      </c>
      <c r="P28" s="45">
        <f>'Calculated IO Table'!Q136</f>
        <v>0</v>
      </c>
      <c r="Q28" s="45">
        <f>'Calculated IO Table'!R136</f>
        <v>1.7558053285933663E-2</v>
      </c>
      <c r="R28" s="45">
        <f>'Calculated IO Table'!S136</f>
        <v>1.2312477945291686E-2</v>
      </c>
      <c r="S28" s="45">
        <f>'Calculated IO Table'!T136</f>
        <v>1.1519161312187928E-3</v>
      </c>
      <c r="T28" s="45">
        <f>'Calculated IO Table'!U136</f>
        <v>1.701085755257165E-4</v>
      </c>
      <c r="U28" s="45">
        <f>'Calculated IO Table'!V136</f>
        <v>4.6558594374205127E-4</v>
      </c>
      <c r="V28" s="45">
        <f>'Calculated IO Table'!W136</f>
        <v>7.4992293179288046E-4</v>
      </c>
      <c r="W28" s="45">
        <f>'Calculated IO Table'!X136</f>
        <v>5.1720239590241168E-4</v>
      </c>
      <c r="X28" s="45">
        <f>'Calculated IO Table'!Y136</f>
        <v>7.0558010041231597E-4</v>
      </c>
      <c r="Y28" s="45">
        <f>'Calculated IO Table'!Z136</f>
        <v>4.2609169032832675E-4</v>
      </c>
      <c r="Z28" s="45">
        <f>'Calculated IO Table'!AA136</f>
        <v>1.2479418341643281E-3</v>
      </c>
      <c r="AA28" s="45">
        <f>'Calculated IO Table'!AB136</f>
        <v>0</v>
      </c>
      <c r="AB28" s="45">
        <f>'Calculated IO Table'!AC136</f>
        <v>6.784817792130228E-2</v>
      </c>
      <c r="AC28" s="45">
        <f>'Calculated IO Table'!AD136</f>
        <v>5.651307803615827E-4</v>
      </c>
      <c r="AD28" s="45">
        <f>'Calculated IO Table'!AE136</f>
        <v>1.0216882010163509E-3</v>
      </c>
      <c r="AE28" s="45">
        <f>'Calculated IO Table'!AF136</f>
        <v>3.7076117570864864E-4</v>
      </c>
      <c r="AF28" s="45">
        <f>'Calculated IO Table'!AG136</f>
        <v>1.7077412970001569E-3</v>
      </c>
      <c r="AG28" s="45">
        <f>'Calculated IO Table'!AH136</f>
        <v>1.9829829230847595E-4</v>
      </c>
      <c r="AH28" s="45">
        <f>'Calculated IO Table'!AI136</f>
        <v>2.1924164732142138E-4</v>
      </c>
      <c r="AI28" s="45">
        <f>'Calculated IO Table'!AJ136</f>
        <v>1.4299767900903014E-4</v>
      </c>
      <c r="AJ28" s="45">
        <f>'Calculated IO Table'!AK136</f>
        <v>2.2747267949153822E-4</v>
      </c>
      <c r="AK28" s="45">
        <f>'Calculated IO Table'!AL136</f>
        <v>9.5150625163195526E-4</v>
      </c>
      <c r="AL28" s="45">
        <f>'Calculated IO Table'!AM136</f>
        <v>4.9643503438580436E-4</v>
      </c>
      <c r="AM28" s="45">
        <f>'Calculated IO Table'!AN136</f>
        <v>5.061596990430085E-3</v>
      </c>
      <c r="AN28" s="45">
        <f>'Calculated IO Table'!AO136</f>
        <v>1.5643115022342122E-3</v>
      </c>
      <c r="AO28" s="45">
        <f>'Calculated IO Table'!AP136</f>
        <v>2.3422669275777381E-3</v>
      </c>
      <c r="AP28" s="45">
        <f>'Calculated IO Table'!AQ136</f>
        <v>1.0014764892777661E-3</v>
      </c>
      <c r="AQ28" s="45">
        <f>'Calculated IO Table'!AR136</f>
        <v>0</v>
      </c>
    </row>
    <row r="29" spans="1:43" x14ac:dyDescent="0.25">
      <c r="A29" t="s">
        <v>20</v>
      </c>
      <c r="B29" s="45">
        <f>'Calculated IO Table'!C137</f>
        <v>5.285347895146353E-3</v>
      </c>
      <c r="C29" s="45">
        <f>'Calculated IO Table'!D137</f>
        <v>4.8896219756826261E-3</v>
      </c>
      <c r="D29" s="45">
        <f>'Calculated IO Table'!E137</f>
        <v>3.4271773771552857E-3</v>
      </c>
      <c r="E29" s="45">
        <f>'Calculated IO Table'!F137</f>
        <v>3.8398595846618495E-3</v>
      </c>
      <c r="F29" s="45">
        <f>'Calculated IO Table'!G137</f>
        <v>3.4201403628559071E-3</v>
      </c>
      <c r="G29" s="45">
        <f>'Calculated IO Table'!H137</f>
        <v>1.073823151496425E-3</v>
      </c>
      <c r="H29" s="45">
        <f>'Calculated IO Table'!I137</f>
        <v>1.326473748837702E-3</v>
      </c>
      <c r="I29" s="45">
        <f>'Calculated IO Table'!J137</f>
        <v>1.1753955495212435E-3</v>
      </c>
      <c r="J29" s="45">
        <f>'Calculated IO Table'!K137</f>
        <v>1.3397390515721547E-3</v>
      </c>
      <c r="K29" s="45">
        <f>'Calculated IO Table'!L137</f>
        <v>6.2734411273343007E-4</v>
      </c>
      <c r="L29" s="45">
        <f>'Calculated IO Table'!M137</f>
        <v>8.2500979605933903E-4</v>
      </c>
      <c r="M29" s="45">
        <f>'Calculated IO Table'!N137</f>
        <v>5.5166400434578165E-4</v>
      </c>
      <c r="N29" s="45">
        <f>'Calculated IO Table'!O137</f>
        <v>1.1741833545712711E-3</v>
      </c>
      <c r="O29" s="45">
        <f>'Calculated IO Table'!P137</f>
        <v>2.7350574729698577E-3</v>
      </c>
      <c r="P29" s="45">
        <f>'Calculated IO Table'!Q137</f>
        <v>0</v>
      </c>
      <c r="Q29" s="45">
        <f>'Calculated IO Table'!R137</f>
        <v>2.02080452165215E-3</v>
      </c>
      <c r="R29" s="45">
        <f>'Calculated IO Table'!S137</f>
        <v>1.6481817844363259E-3</v>
      </c>
      <c r="S29" s="45">
        <f>'Calculated IO Table'!T137</f>
        <v>2.4908150979667024E-3</v>
      </c>
      <c r="T29" s="45">
        <f>'Calculated IO Table'!U137</f>
        <v>3.3090864115469453E-4</v>
      </c>
      <c r="U29" s="45">
        <f>'Calculated IO Table'!V137</f>
        <v>1.1315567010504496E-3</v>
      </c>
      <c r="V29" s="45">
        <f>'Calculated IO Table'!W137</f>
        <v>1.3523106117280729E-3</v>
      </c>
      <c r="W29" s="45">
        <f>'Calculated IO Table'!X137</f>
        <v>1.2263506731516934E-3</v>
      </c>
      <c r="X29" s="45">
        <f>'Calculated IO Table'!Y137</f>
        <v>1.0440069058040382E-3</v>
      </c>
      <c r="Y29" s="45">
        <f>'Calculated IO Table'!Z137</f>
        <v>2.4508080089221916E-3</v>
      </c>
      <c r="Z29" s="45">
        <f>'Calculated IO Table'!AA137</f>
        <v>6.6390962395191057E-3</v>
      </c>
      <c r="AA29" s="45">
        <f>'Calculated IO Table'!AB137</f>
        <v>0</v>
      </c>
      <c r="AB29" s="45">
        <f>'Calculated IO Table'!AC137</f>
        <v>1.0823613051525538E-2</v>
      </c>
      <c r="AC29" s="45">
        <f>'Calculated IO Table'!AD137</f>
        <v>6.770480076590632E-2</v>
      </c>
      <c r="AD29" s="45">
        <f>'Calculated IO Table'!AE137</f>
        <v>3.8617517425634561E-3</v>
      </c>
      <c r="AE29" s="45">
        <f>'Calculated IO Table'!AF137</f>
        <v>3.6452723925473138E-3</v>
      </c>
      <c r="AF29" s="45">
        <f>'Calculated IO Table'!AG137</f>
        <v>3.7393214685670683E-3</v>
      </c>
      <c r="AG29" s="45">
        <f>'Calculated IO Table'!AH137</f>
        <v>1.1147170816696271E-3</v>
      </c>
      <c r="AH29" s="45">
        <f>'Calculated IO Table'!AI137</f>
        <v>6.0778488584195016E-3</v>
      </c>
      <c r="AI29" s="45">
        <f>'Calculated IO Table'!AJ137</f>
        <v>6.6767988595906123E-4</v>
      </c>
      <c r="AJ29" s="45">
        <f>'Calculated IO Table'!AK137</f>
        <v>1.7642177239268182E-3</v>
      </c>
      <c r="AK29" s="45">
        <f>'Calculated IO Table'!AL137</f>
        <v>3.0102237439970387E-2</v>
      </c>
      <c r="AL29" s="45">
        <f>'Calculated IO Table'!AM137</f>
        <v>3.3020893317147553E-3</v>
      </c>
      <c r="AM29" s="45">
        <f>'Calculated IO Table'!AN137</f>
        <v>1.9439717880585843E-2</v>
      </c>
      <c r="AN29" s="45">
        <f>'Calculated IO Table'!AO137</f>
        <v>6.9298995240568723E-3</v>
      </c>
      <c r="AO29" s="45">
        <f>'Calculated IO Table'!AP137</f>
        <v>4.6181580825358903E-3</v>
      </c>
      <c r="AP29" s="45">
        <f>'Calculated IO Table'!AQ137</f>
        <v>3.702825996657816E-3</v>
      </c>
      <c r="AQ29" s="45">
        <f>'Calculated IO Table'!AR137</f>
        <v>0</v>
      </c>
    </row>
    <row r="30" spans="1:43" x14ac:dyDescent="0.25">
      <c r="A30" t="s">
        <v>21</v>
      </c>
      <c r="B30" s="45">
        <f>'Calculated IO Table'!C138</f>
        <v>0.1171850190581597</v>
      </c>
      <c r="C30" s="45">
        <f>'Calculated IO Table'!D138</f>
        <v>4.2368164434423962E-2</v>
      </c>
      <c r="D30" s="45">
        <f>'Calculated IO Table'!E138</f>
        <v>4.3321924762645653E-2</v>
      </c>
      <c r="E30" s="45">
        <f>'Calculated IO Table'!F138</f>
        <v>5.9674264066397878E-2</v>
      </c>
      <c r="F30" s="45">
        <f>'Calculated IO Table'!G138</f>
        <v>2.2932846061345116E-2</v>
      </c>
      <c r="G30" s="45">
        <f>'Calculated IO Table'!H138</f>
        <v>0.15956415946215363</v>
      </c>
      <c r="H30" s="45">
        <f>'Calculated IO Table'!I138</f>
        <v>0.12861212103187003</v>
      </c>
      <c r="I30" s="45">
        <f>'Calculated IO Table'!J138</f>
        <v>0.11677995948619616</v>
      </c>
      <c r="J30" s="45">
        <f>'Calculated IO Table'!K138</f>
        <v>0.10925976510649017</v>
      </c>
      <c r="K30" s="45">
        <f>'Calculated IO Table'!L138</f>
        <v>5.0175499717557706E-2</v>
      </c>
      <c r="L30" s="45">
        <f>'Calculated IO Table'!M138</f>
        <v>0.10523499683122096</v>
      </c>
      <c r="M30" s="45">
        <f>'Calculated IO Table'!N138</f>
        <v>6.2247696952092792E-2</v>
      </c>
      <c r="N30" s="45">
        <f>'Calculated IO Table'!O138</f>
        <v>0.14296371439835232</v>
      </c>
      <c r="O30" s="45">
        <f>'Calculated IO Table'!P138</f>
        <v>9.6331239988061604E-2</v>
      </c>
      <c r="P30" s="45">
        <f>'Calculated IO Table'!Q138</f>
        <v>0</v>
      </c>
      <c r="Q30" s="45">
        <f>'Calculated IO Table'!R138</f>
        <v>0.10815065549676615</v>
      </c>
      <c r="R30" s="45">
        <f>'Calculated IO Table'!S138</f>
        <v>5.8246068880008717E-2</v>
      </c>
      <c r="S30" s="45">
        <f>'Calculated IO Table'!T138</f>
        <v>9.8638013101361763E-2</v>
      </c>
      <c r="T30" s="45">
        <f>'Calculated IO Table'!U138</f>
        <v>6.3138717720671159E-2</v>
      </c>
      <c r="U30" s="45">
        <f>'Calculated IO Table'!V138</f>
        <v>8.6327504249259154E-2</v>
      </c>
      <c r="V30" s="45">
        <f>'Calculated IO Table'!W138</f>
        <v>0.11160592064576526</v>
      </c>
      <c r="W30" s="45">
        <f>'Calculated IO Table'!X138</f>
        <v>0.16895962896161373</v>
      </c>
      <c r="X30" s="45">
        <f>'Calculated IO Table'!Y138</f>
        <v>8.8937296638226401E-2</v>
      </c>
      <c r="Y30" s="45">
        <f>'Calculated IO Table'!Z138</f>
        <v>8.4185082493914945E-2</v>
      </c>
      <c r="Z30" s="45">
        <f>'Calculated IO Table'!AA138</f>
        <v>2.8164470260821615E-2</v>
      </c>
      <c r="AA30" s="45">
        <f>'Calculated IO Table'!AB138</f>
        <v>0</v>
      </c>
      <c r="AB30" s="45">
        <f>'Calculated IO Table'!AC138</f>
        <v>4.6634098606001727E-2</v>
      </c>
      <c r="AC30" s="45">
        <f>'Calculated IO Table'!AD138</f>
        <v>7.4970377461787696E-2</v>
      </c>
      <c r="AD30" s="45">
        <f>'Calculated IO Table'!AE138</f>
        <v>4.9025009038298879E-2</v>
      </c>
      <c r="AE30" s="45">
        <f>'Calculated IO Table'!AF138</f>
        <v>6.6756088697472793E-2</v>
      </c>
      <c r="AF30" s="45">
        <f>'Calculated IO Table'!AG138</f>
        <v>6.9859277810928599E-2</v>
      </c>
      <c r="AG30" s="45">
        <f>'Calculated IO Table'!AH138</f>
        <v>3.6445705407914031E-2</v>
      </c>
      <c r="AH30" s="45">
        <f>'Calculated IO Table'!AI138</f>
        <v>3.0825697159502299E-2</v>
      </c>
      <c r="AI30" s="45">
        <f>'Calculated IO Table'!AJ138</f>
        <v>1.571388895725663E-2</v>
      </c>
      <c r="AJ30" s="45">
        <f>'Calculated IO Table'!AK138</f>
        <v>7.9851409424698781E-3</v>
      </c>
      <c r="AK30" s="45">
        <f>'Calculated IO Table'!AL138</f>
        <v>1.02030850634089E-2</v>
      </c>
      <c r="AL30" s="45">
        <f>'Calculated IO Table'!AM138</f>
        <v>2.5511682651246495E-2</v>
      </c>
      <c r="AM30" s="45">
        <f>'Calculated IO Table'!AN138</f>
        <v>2.7056027539317472E-2</v>
      </c>
      <c r="AN30" s="45">
        <f>'Calculated IO Table'!AO138</f>
        <v>2.035352070109997E-2</v>
      </c>
      <c r="AO30" s="45">
        <f>'Calculated IO Table'!AP138</f>
        <v>4.6358874776490186E-2</v>
      </c>
      <c r="AP30" s="45">
        <f>'Calculated IO Table'!AQ138</f>
        <v>2.9976080141582425E-2</v>
      </c>
      <c r="AQ30" s="45">
        <f>'Calculated IO Table'!AR138</f>
        <v>0</v>
      </c>
    </row>
    <row r="31" spans="1:43" x14ac:dyDescent="0.25">
      <c r="A31" t="s">
        <v>22</v>
      </c>
      <c r="B31" s="45">
        <f>'Calculated IO Table'!C139</f>
        <v>2.836765844487163E-2</v>
      </c>
      <c r="C31" s="45">
        <f>'Calculated IO Table'!D139</f>
        <v>4.3030880711934213E-2</v>
      </c>
      <c r="D31" s="45">
        <f>'Calculated IO Table'!E139</f>
        <v>4.5548502096767064E-2</v>
      </c>
      <c r="E31" s="45">
        <f>'Calculated IO Table'!F139</f>
        <v>4.4973045515156664E-2</v>
      </c>
      <c r="F31" s="45">
        <f>'Calculated IO Table'!G139</f>
        <v>1.7677343246342767E-2</v>
      </c>
      <c r="G31" s="45">
        <f>'Calculated IO Table'!H139</f>
        <v>4.3842181316094513E-2</v>
      </c>
      <c r="H31" s="45">
        <f>'Calculated IO Table'!I139</f>
        <v>3.0132544641783714E-2</v>
      </c>
      <c r="I31" s="45">
        <f>'Calculated IO Table'!J139</f>
        <v>6.0886768956957119E-2</v>
      </c>
      <c r="J31" s="45">
        <f>'Calculated IO Table'!K139</f>
        <v>3.9417005779688569E-2</v>
      </c>
      <c r="K31" s="45">
        <f>'Calculated IO Table'!L139</f>
        <v>4.1147894543907715E-2</v>
      </c>
      <c r="L31" s="45">
        <f>'Calculated IO Table'!M139</f>
        <v>2.4837971037408053E-2</v>
      </c>
      <c r="M31" s="45">
        <f>'Calculated IO Table'!N139</f>
        <v>1.5242322565903908E-2</v>
      </c>
      <c r="N31" s="45">
        <f>'Calculated IO Table'!O139</f>
        <v>3.034980264103557E-2</v>
      </c>
      <c r="O31" s="45">
        <f>'Calculated IO Table'!P139</f>
        <v>5.4744463099335922E-2</v>
      </c>
      <c r="P31" s="45">
        <f>'Calculated IO Table'!Q139</f>
        <v>0</v>
      </c>
      <c r="Q31" s="45">
        <f>'Calculated IO Table'!R139</f>
        <v>4.6749981898618051E-2</v>
      </c>
      <c r="R31" s="45">
        <f>'Calculated IO Table'!S139</f>
        <v>2.8240604987929557E-2</v>
      </c>
      <c r="S31" s="45">
        <f>'Calculated IO Table'!T139</f>
        <v>3.313620933490987E-2</v>
      </c>
      <c r="T31" s="45">
        <f>'Calculated IO Table'!U139</f>
        <v>1.341490071906329E-2</v>
      </c>
      <c r="U31" s="45">
        <f>'Calculated IO Table'!V139</f>
        <v>2.7602435841298671E-2</v>
      </c>
      <c r="V31" s="45">
        <f>'Calculated IO Table'!W139</f>
        <v>3.0965666666249642E-2</v>
      </c>
      <c r="W31" s="45">
        <f>'Calculated IO Table'!X139</f>
        <v>3.6772822331415086E-2</v>
      </c>
      <c r="X31" s="45">
        <f>'Calculated IO Table'!Y139</f>
        <v>2.5562736719699917E-2</v>
      </c>
      <c r="Y31" s="45">
        <f>'Calculated IO Table'!Z139</f>
        <v>2.8161736318992065E-2</v>
      </c>
      <c r="Z31" s="45">
        <f>'Calculated IO Table'!AA139</f>
        <v>1.879635788297096E-2</v>
      </c>
      <c r="AA31" s="45">
        <f>'Calculated IO Table'!AB139</f>
        <v>0</v>
      </c>
      <c r="AB31" s="45">
        <f>'Calculated IO Table'!AC139</f>
        <v>2.6194735778709094E-2</v>
      </c>
      <c r="AC31" s="45">
        <f>'Calculated IO Table'!AD139</f>
        <v>2.6618601323174864E-2</v>
      </c>
      <c r="AD31" s="45">
        <f>'Calculated IO Table'!AE139</f>
        <v>5.8787436666389491E-2</v>
      </c>
      <c r="AE31" s="45">
        <f>'Calculated IO Table'!AF139</f>
        <v>0.12722825768898982</v>
      </c>
      <c r="AF31" s="45">
        <f>'Calculated IO Table'!AG139</f>
        <v>1.7917128135923624E-2</v>
      </c>
      <c r="AG31" s="45">
        <f>'Calculated IO Table'!AH139</f>
        <v>1.9171862569399178E-2</v>
      </c>
      <c r="AH31" s="45">
        <f>'Calculated IO Table'!AI139</f>
        <v>1.8001168701459794E-2</v>
      </c>
      <c r="AI31" s="45">
        <f>'Calculated IO Table'!AJ139</f>
        <v>7.3763666619862077E-3</v>
      </c>
      <c r="AJ31" s="45">
        <f>'Calculated IO Table'!AK139</f>
        <v>1.3866563287864581E-2</v>
      </c>
      <c r="AK31" s="45">
        <f>'Calculated IO Table'!AL139</f>
        <v>5.3778248368095347E-3</v>
      </c>
      <c r="AL31" s="45">
        <f>'Calculated IO Table'!AM139</f>
        <v>1.5575368469729905E-2</v>
      </c>
      <c r="AM31" s="45">
        <f>'Calculated IO Table'!AN139</f>
        <v>2.5207853822974611E-2</v>
      </c>
      <c r="AN31" s="45">
        <f>'Calculated IO Table'!AO139</f>
        <v>1.3445897969404352E-2</v>
      </c>
      <c r="AO31" s="45">
        <f>'Calculated IO Table'!AP139</f>
        <v>1.5056304620004292E-2</v>
      </c>
      <c r="AP31" s="45">
        <f>'Calculated IO Table'!AQ139</f>
        <v>1.8916515840612241E-2</v>
      </c>
      <c r="AQ31" s="45">
        <f>'Calculated IO Table'!AR139</f>
        <v>0</v>
      </c>
    </row>
    <row r="32" spans="1:43" x14ac:dyDescent="0.25">
      <c r="A32" t="s">
        <v>23</v>
      </c>
      <c r="B32" s="45">
        <f>'Calculated IO Table'!C140</f>
        <v>8.9129340417711065E-4</v>
      </c>
      <c r="C32" s="45">
        <f>'Calculated IO Table'!D140</f>
        <v>1.3339013782083845E-3</v>
      </c>
      <c r="D32" s="45">
        <f>'Calculated IO Table'!E140</f>
        <v>2.4253779314867305E-3</v>
      </c>
      <c r="E32" s="45">
        <f>'Calculated IO Table'!F140</f>
        <v>3.1090676093306706E-3</v>
      </c>
      <c r="F32" s="45">
        <f>'Calculated IO Table'!G140</f>
        <v>1.1190429622144377E-3</v>
      </c>
      <c r="G32" s="45">
        <f>'Calculated IO Table'!H140</f>
        <v>1.5553021442703721E-3</v>
      </c>
      <c r="H32" s="45">
        <f>'Calculated IO Table'!I140</f>
        <v>2.093211110533612E-3</v>
      </c>
      <c r="I32" s="45">
        <f>'Calculated IO Table'!J140</f>
        <v>1.2926687849222004E-3</v>
      </c>
      <c r="J32" s="45">
        <f>'Calculated IO Table'!K140</f>
        <v>1.4221293018715339E-3</v>
      </c>
      <c r="K32" s="45">
        <f>'Calculated IO Table'!L140</f>
        <v>3.8709062981124871E-4</v>
      </c>
      <c r="L32" s="45">
        <f>'Calculated IO Table'!M140</f>
        <v>1.2201230499863072E-3</v>
      </c>
      <c r="M32" s="45">
        <f>'Calculated IO Table'!N140</f>
        <v>1.392079948613628E-3</v>
      </c>
      <c r="N32" s="45">
        <f>'Calculated IO Table'!O140</f>
        <v>1.7668405061781109E-3</v>
      </c>
      <c r="O32" s="45">
        <f>'Calculated IO Table'!P140</f>
        <v>1.3185299182233007E-3</v>
      </c>
      <c r="P32" s="45">
        <f>'Calculated IO Table'!Q140</f>
        <v>0</v>
      </c>
      <c r="Q32" s="45">
        <f>'Calculated IO Table'!R140</f>
        <v>1.1419062183650951E-3</v>
      </c>
      <c r="R32" s="45">
        <f>'Calculated IO Table'!S140</f>
        <v>8.5931907302179921E-4</v>
      </c>
      <c r="S32" s="45">
        <f>'Calculated IO Table'!T140</f>
        <v>1.5459393797171356E-3</v>
      </c>
      <c r="T32" s="45">
        <f>'Calculated IO Table'!U140</f>
        <v>5.8148874342651849E-4</v>
      </c>
      <c r="U32" s="45">
        <f>'Calculated IO Table'!V140</f>
        <v>1.6015164391259672E-3</v>
      </c>
      <c r="V32" s="45">
        <f>'Calculated IO Table'!W140</f>
        <v>1.6182191741545471E-3</v>
      </c>
      <c r="W32" s="45">
        <f>'Calculated IO Table'!X140</f>
        <v>1.0373112657075607E-3</v>
      </c>
      <c r="X32" s="45">
        <f>'Calculated IO Table'!Y140</f>
        <v>1.0101616828476505E-3</v>
      </c>
      <c r="Y32" s="45">
        <f>'Calculated IO Table'!Z140</f>
        <v>1.3145366146880338E-3</v>
      </c>
      <c r="Z32" s="45">
        <f>'Calculated IO Table'!AA140</f>
        <v>9.4706406239400257E-4</v>
      </c>
      <c r="AA32" s="45">
        <f>'Calculated IO Table'!AB140</f>
        <v>0</v>
      </c>
      <c r="AB32" s="45">
        <f>'Calculated IO Table'!AC140</f>
        <v>2.6154120568943826E-3</v>
      </c>
      <c r="AC32" s="45">
        <f>'Calculated IO Table'!AD140</f>
        <v>1.6967081986219365E-3</v>
      </c>
      <c r="AD32" s="45">
        <f>'Calculated IO Table'!AE140</f>
        <v>4.1848804546979366E-3</v>
      </c>
      <c r="AE32" s="45">
        <f>'Calculated IO Table'!AF140</f>
        <v>3.7898987642259368E-3</v>
      </c>
      <c r="AF32" s="45">
        <f>'Calculated IO Table'!AG140</f>
        <v>5.2411153825095277E-3</v>
      </c>
      <c r="AG32" s="45">
        <f>'Calculated IO Table'!AH140</f>
        <v>5.3452101982375301E-3</v>
      </c>
      <c r="AH32" s="45">
        <f>'Calculated IO Table'!AI140</f>
        <v>2.7736392476358507E-3</v>
      </c>
      <c r="AI32" s="45">
        <f>'Calculated IO Table'!AJ140</f>
        <v>3.0838374078340988E-3</v>
      </c>
      <c r="AJ32" s="45">
        <f>'Calculated IO Table'!AK140</f>
        <v>3.6667523400260049E-3</v>
      </c>
      <c r="AK32" s="45">
        <f>'Calculated IO Table'!AL140</f>
        <v>1.5671261247314889E-3</v>
      </c>
      <c r="AL32" s="45">
        <f>'Calculated IO Table'!AM140</f>
        <v>5.0157305617785737E-3</v>
      </c>
      <c r="AM32" s="45">
        <f>'Calculated IO Table'!AN140</f>
        <v>7.6447663769269305E-3</v>
      </c>
      <c r="AN32" s="45">
        <f>'Calculated IO Table'!AO140</f>
        <v>6.0918398649962334E-3</v>
      </c>
      <c r="AO32" s="45">
        <f>'Calculated IO Table'!AP140</f>
        <v>6.9543514359021548E-3</v>
      </c>
      <c r="AP32" s="45">
        <f>'Calculated IO Table'!AQ140</f>
        <v>1.2669000605201585E-2</v>
      </c>
      <c r="AQ32" s="45">
        <f>'Calculated IO Table'!AR140</f>
        <v>0</v>
      </c>
    </row>
    <row r="33" spans="1:43" x14ac:dyDescent="0.25">
      <c r="A33" t="s">
        <v>24</v>
      </c>
      <c r="B33" s="45">
        <f>'Calculated IO Table'!C141</f>
        <v>1.9201414033702051E-3</v>
      </c>
      <c r="C33" s="45">
        <f>'Calculated IO Table'!D141</f>
        <v>1.2285719329619808E-3</v>
      </c>
      <c r="D33" s="45">
        <f>'Calculated IO Table'!E141</f>
        <v>2.2018575038682594E-3</v>
      </c>
      <c r="E33" s="45">
        <f>'Calculated IO Table'!F141</f>
        <v>1.9524333428287952E-3</v>
      </c>
      <c r="F33" s="45">
        <f>'Calculated IO Table'!G141</f>
        <v>1.1370350171429713E-3</v>
      </c>
      <c r="G33" s="45">
        <f>'Calculated IO Table'!H141</f>
        <v>5.2103375071644769E-3</v>
      </c>
      <c r="H33" s="45">
        <f>'Calculated IO Table'!I141</f>
        <v>3.7689497459678675E-3</v>
      </c>
      <c r="I33" s="45">
        <f>'Calculated IO Table'!J141</f>
        <v>2.7861425114245148E-3</v>
      </c>
      <c r="J33" s="45">
        <f>'Calculated IO Table'!K141</f>
        <v>5.0565066000354273E-3</v>
      </c>
      <c r="K33" s="45">
        <f>'Calculated IO Table'!L141</f>
        <v>8.418343033309364E-4</v>
      </c>
      <c r="L33" s="45">
        <f>'Calculated IO Table'!M141</f>
        <v>2.8863904188883051E-3</v>
      </c>
      <c r="M33" s="45">
        <f>'Calculated IO Table'!N141</f>
        <v>3.8976823817595523E-3</v>
      </c>
      <c r="N33" s="45">
        <f>'Calculated IO Table'!O141</f>
        <v>3.2214941279174411E-3</v>
      </c>
      <c r="O33" s="45">
        <f>'Calculated IO Table'!P141</f>
        <v>2.5683325812376465E-3</v>
      </c>
      <c r="P33" s="45">
        <f>'Calculated IO Table'!Q141</f>
        <v>0</v>
      </c>
      <c r="Q33" s="45">
        <f>'Calculated IO Table'!R141</f>
        <v>2.4222193569048847E-3</v>
      </c>
      <c r="R33" s="45">
        <f>'Calculated IO Table'!S141</f>
        <v>1.6225180114430133E-3</v>
      </c>
      <c r="S33" s="45">
        <f>'Calculated IO Table'!T141</f>
        <v>2.3628430355064054E-3</v>
      </c>
      <c r="T33" s="45">
        <f>'Calculated IO Table'!U141</f>
        <v>1.6835717846943746E-3</v>
      </c>
      <c r="U33" s="45">
        <f>'Calculated IO Table'!V141</f>
        <v>3.260491529174965E-3</v>
      </c>
      <c r="V33" s="45">
        <f>'Calculated IO Table'!W141</f>
        <v>2.8922401567017253E-3</v>
      </c>
      <c r="W33" s="45">
        <f>'Calculated IO Table'!X141</f>
        <v>3.035202613438078E-3</v>
      </c>
      <c r="X33" s="45">
        <f>'Calculated IO Table'!Y141</f>
        <v>3.0178322855330471E-3</v>
      </c>
      <c r="Y33" s="45">
        <f>'Calculated IO Table'!Z141</f>
        <v>2.9826321530891848E-3</v>
      </c>
      <c r="Z33" s="45">
        <f>'Calculated IO Table'!AA141</f>
        <v>1.350923410744876E-3</v>
      </c>
      <c r="AA33" s="45">
        <f>'Calculated IO Table'!AB141</f>
        <v>0</v>
      </c>
      <c r="AB33" s="45">
        <f>'Calculated IO Table'!AC141</f>
        <v>2.4229484738917586E-3</v>
      </c>
      <c r="AC33" s="45">
        <f>'Calculated IO Table'!AD141</f>
        <v>2.27541707635111E-3</v>
      </c>
      <c r="AD33" s="45">
        <f>'Calculated IO Table'!AE141</f>
        <v>7.0991143893575324E-3</v>
      </c>
      <c r="AE33" s="45">
        <f>'Calculated IO Table'!AF141</f>
        <v>2.6103448989031799E-3</v>
      </c>
      <c r="AF33" s="45">
        <f>'Calculated IO Table'!AG141</f>
        <v>7.5383943056456211E-3</v>
      </c>
      <c r="AG33" s="45">
        <f>'Calculated IO Table'!AH141</f>
        <v>0.15190432429749551</v>
      </c>
      <c r="AH33" s="45">
        <f>'Calculated IO Table'!AI141</f>
        <v>3.3565311548651583E-2</v>
      </c>
      <c r="AI33" s="45">
        <f>'Calculated IO Table'!AJ141</f>
        <v>1.3012567480952688E-2</v>
      </c>
      <c r="AJ33" s="45">
        <f>'Calculated IO Table'!AK141</f>
        <v>4.8847232832204181E-3</v>
      </c>
      <c r="AK33" s="45">
        <f>'Calculated IO Table'!AL141</f>
        <v>3.3184280133458912E-3</v>
      </c>
      <c r="AL33" s="45">
        <f>'Calculated IO Table'!AM141</f>
        <v>1.3252918289712623E-2</v>
      </c>
      <c r="AM33" s="45">
        <f>'Calculated IO Table'!AN141</f>
        <v>7.6009271049445682E-3</v>
      </c>
      <c r="AN33" s="45">
        <f>'Calculated IO Table'!AO141</f>
        <v>1.3512731839790985E-2</v>
      </c>
      <c r="AO33" s="45">
        <f>'Calculated IO Table'!AP141</f>
        <v>4.3952799658823491E-3</v>
      </c>
      <c r="AP33" s="45">
        <f>'Calculated IO Table'!AQ141</f>
        <v>1.9020015056321195E-2</v>
      </c>
      <c r="AQ33" s="45">
        <f>'Calculated IO Table'!AR141</f>
        <v>0</v>
      </c>
    </row>
    <row r="34" spans="1:43" x14ac:dyDescent="0.25">
      <c r="A34" t="s">
        <v>25</v>
      </c>
      <c r="B34" s="45">
        <f>'Calculated IO Table'!C142</f>
        <v>1.133665200092967E-3</v>
      </c>
      <c r="C34" s="45">
        <f>'Calculated IO Table'!D142</f>
        <v>2.7177762203592728E-3</v>
      </c>
      <c r="D34" s="45">
        <f>'Calculated IO Table'!E142</f>
        <v>4.3705404941658064E-3</v>
      </c>
      <c r="E34" s="45">
        <f>'Calculated IO Table'!F142</f>
        <v>2.0430770470341252E-3</v>
      </c>
      <c r="F34" s="45">
        <f>'Calculated IO Table'!G142</f>
        <v>1.451306718951421E-3</v>
      </c>
      <c r="G34" s="45">
        <f>'Calculated IO Table'!H142</f>
        <v>1.3819266189582264E-3</v>
      </c>
      <c r="H34" s="45">
        <f>'Calculated IO Table'!I142</f>
        <v>2.3180209993369908E-3</v>
      </c>
      <c r="I34" s="45">
        <f>'Calculated IO Table'!J142</f>
        <v>1.4785598316369481E-3</v>
      </c>
      <c r="J34" s="45">
        <f>'Calculated IO Table'!K142</f>
        <v>1.992178353986602E-3</v>
      </c>
      <c r="K34" s="45">
        <f>'Calculated IO Table'!L142</f>
        <v>3.7709174851695846E-4</v>
      </c>
      <c r="L34" s="45">
        <f>'Calculated IO Table'!M142</f>
        <v>8.1531946016656588E-4</v>
      </c>
      <c r="M34" s="45">
        <f>'Calculated IO Table'!N142</f>
        <v>1.7851373269268233E-3</v>
      </c>
      <c r="N34" s="45">
        <f>'Calculated IO Table'!O142</f>
        <v>1.2981057206700424E-3</v>
      </c>
      <c r="O34" s="45">
        <f>'Calculated IO Table'!P142</f>
        <v>1.4288660491168681E-3</v>
      </c>
      <c r="P34" s="45">
        <f>'Calculated IO Table'!Q142</f>
        <v>0</v>
      </c>
      <c r="Q34" s="45">
        <f>'Calculated IO Table'!R142</f>
        <v>8.2480326178588912E-4</v>
      </c>
      <c r="R34" s="45">
        <f>'Calculated IO Table'!S142</f>
        <v>8.5710571943673397E-4</v>
      </c>
      <c r="S34" s="45">
        <f>'Calculated IO Table'!T142</f>
        <v>1.4712851514501657E-3</v>
      </c>
      <c r="T34" s="45">
        <f>'Calculated IO Table'!U142</f>
        <v>9.244349199820206E-4</v>
      </c>
      <c r="U34" s="45">
        <f>'Calculated IO Table'!V142</f>
        <v>1.6157918407478785E-3</v>
      </c>
      <c r="V34" s="45">
        <f>'Calculated IO Table'!W142</f>
        <v>2.2311190289350177E-3</v>
      </c>
      <c r="W34" s="45">
        <f>'Calculated IO Table'!X142</f>
        <v>2.1157071486790978E-3</v>
      </c>
      <c r="X34" s="45">
        <f>'Calculated IO Table'!Y142</f>
        <v>1.1154855533681382E-3</v>
      </c>
      <c r="Y34" s="45">
        <f>'Calculated IO Table'!Z142</f>
        <v>1.7797323097926761E-3</v>
      </c>
      <c r="Z34" s="45">
        <f>'Calculated IO Table'!AA142</f>
        <v>1.1004132719132703E-3</v>
      </c>
      <c r="AA34" s="45">
        <f>'Calculated IO Table'!AB142</f>
        <v>0</v>
      </c>
      <c r="AB34" s="45">
        <f>'Calculated IO Table'!AC142</f>
        <v>2.233687430972782E-3</v>
      </c>
      <c r="AC34" s="45">
        <f>'Calculated IO Table'!AD142</f>
        <v>1.8575833332589852E-3</v>
      </c>
      <c r="AD34" s="45">
        <f>'Calculated IO Table'!AE142</f>
        <v>5.6774109224700161E-3</v>
      </c>
      <c r="AE34" s="45">
        <f>'Calculated IO Table'!AF142</f>
        <v>3.4179802322678037E-3</v>
      </c>
      <c r="AF34" s="45">
        <f>'Calculated IO Table'!AG142</f>
        <v>4.8285828466238549E-3</v>
      </c>
      <c r="AG34" s="45">
        <f>'Calculated IO Table'!AH142</f>
        <v>6.9391071470801171E-3</v>
      </c>
      <c r="AH34" s="45">
        <f>'Calculated IO Table'!AI142</f>
        <v>9.5415379242561771E-2</v>
      </c>
      <c r="AI34" s="45">
        <f>'Calculated IO Table'!AJ142</f>
        <v>7.1752103579865879E-3</v>
      </c>
      <c r="AJ34" s="45">
        <f>'Calculated IO Table'!AK142</f>
        <v>6.5574627193629789E-3</v>
      </c>
      <c r="AK34" s="45">
        <f>'Calculated IO Table'!AL142</f>
        <v>3.1372008600843502E-3</v>
      </c>
      <c r="AL34" s="45">
        <f>'Calculated IO Table'!AM142</f>
        <v>5.2552793850787977E-3</v>
      </c>
      <c r="AM34" s="45">
        <f>'Calculated IO Table'!AN142</f>
        <v>9.7971892552726741E-3</v>
      </c>
      <c r="AN34" s="45">
        <f>'Calculated IO Table'!AO142</f>
        <v>3.6528827605936268E-3</v>
      </c>
      <c r="AO34" s="45">
        <f>'Calculated IO Table'!AP142</f>
        <v>4.9058359595380938E-3</v>
      </c>
      <c r="AP34" s="45">
        <f>'Calculated IO Table'!AQ142</f>
        <v>6.9554623012273867E-3</v>
      </c>
      <c r="AQ34" s="45">
        <f>'Calculated IO Table'!AR142</f>
        <v>0</v>
      </c>
    </row>
    <row r="35" spans="1:43" x14ac:dyDescent="0.25">
      <c r="A35" t="s">
        <v>26</v>
      </c>
      <c r="B35" s="45">
        <f>'Calculated IO Table'!C143</f>
        <v>2.6370065855891027E-3</v>
      </c>
      <c r="C35" s="45">
        <f>'Calculated IO Table'!D143</f>
        <v>6.3547530776333072E-3</v>
      </c>
      <c r="D35" s="45">
        <f>'Calculated IO Table'!E143</f>
        <v>1.0478596136597657E-2</v>
      </c>
      <c r="E35" s="45">
        <f>'Calculated IO Table'!F143</f>
        <v>6.3967216278052758E-3</v>
      </c>
      <c r="F35" s="45">
        <f>'Calculated IO Table'!G143</f>
        <v>4.1683741441065547E-3</v>
      </c>
      <c r="G35" s="45">
        <f>'Calculated IO Table'!H143</f>
        <v>9.2393818253836916E-3</v>
      </c>
      <c r="H35" s="45">
        <f>'Calculated IO Table'!I143</f>
        <v>7.9558697317190768E-3</v>
      </c>
      <c r="I35" s="45">
        <f>'Calculated IO Table'!J143</f>
        <v>4.7504634148350863E-3</v>
      </c>
      <c r="J35" s="45">
        <f>'Calculated IO Table'!K143</f>
        <v>9.4450003608109387E-3</v>
      </c>
      <c r="K35" s="45">
        <f>'Calculated IO Table'!L143</f>
        <v>1.924685908779407E-3</v>
      </c>
      <c r="L35" s="45">
        <f>'Calculated IO Table'!M143</f>
        <v>5.4475571714568726E-3</v>
      </c>
      <c r="M35" s="45">
        <f>'Calculated IO Table'!N143</f>
        <v>1.0812971222481569E-2</v>
      </c>
      <c r="N35" s="45">
        <f>'Calculated IO Table'!O143</f>
        <v>6.2200597240599622E-3</v>
      </c>
      <c r="O35" s="45">
        <f>'Calculated IO Table'!P143</f>
        <v>6.6362157887225473E-3</v>
      </c>
      <c r="P35" s="45">
        <f>'Calculated IO Table'!Q143</f>
        <v>0</v>
      </c>
      <c r="Q35" s="45">
        <f>'Calculated IO Table'!R143</f>
        <v>4.9141183271592124E-3</v>
      </c>
      <c r="R35" s="45">
        <f>'Calculated IO Table'!S143</f>
        <v>3.7021491811692234E-3</v>
      </c>
      <c r="S35" s="45">
        <f>'Calculated IO Table'!T143</f>
        <v>6.2643935221816825E-3</v>
      </c>
      <c r="T35" s="45">
        <f>'Calculated IO Table'!U143</f>
        <v>4.9397240892709261E-3</v>
      </c>
      <c r="U35" s="45">
        <f>'Calculated IO Table'!V143</f>
        <v>8.6603040540680545E-3</v>
      </c>
      <c r="V35" s="45">
        <f>'Calculated IO Table'!W143</f>
        <v>7.9161107946703543E-3</v>
      </c>
      <c r="W35" s="45">
        <f>'Calculated IO Table'!X143</f>
        <v>6.6714673017902884E-3</v>
      </c>
      <c r="X35" s="45">
        <f>'Calculated IO Table'!Y143</f>
        <v>6.1527287593068671E-3</v>
      </c>
      <c r="Y35" s="45">
        <f>'Calculated IO Table'!Z143</f>
        <v>6.9107810738126838E-3</v>
      </c>
      <c r="Z35" s="45">
        <f>'Calculated IO Table'!AA143</f>
        <v>7.6212454665625035E-3</v>
      </c>
      <c r="AA35" s="45">
        <f>'Calculated IO Table'!AB143</f>
        <v>0</v>
      </c>
      <c r="AB35" s="45">
        <f>'Calculated IO Table'!AC143</f>
        <v>9.9258062222864398E-3</v>
      </c>
      <c r="AC35" s="45">
        <f>'Calculated IO Table'!AD143</f>
        <v>6.2948781084870955E-3</v>
      </c>
      <c r="AD35" s="45">
        <f>'Calculated IO Table'!AE143</f>
        <v>1.9643233293132112E-2</v>
      </c>
      <c r="AE35" s="45">
        <f>'Calculated IO Table'!AF143</f>
        <v>1.0223724498902268E-2</v>
      </c>
      <c r="AF35" s="45">
        <f>'Calculated IO Table'!AG143</f>
        <v>1.0100182335728895E-2</v>
      </c>
      <c r="AG35" s="45">
        <f>'Calculated IO Table'!AH143</f>
        <v>2.8875726839345136E-2</v>
      </c>
      <c r="AH35" s="45">
        <f>'Calculated IO Table'!AI143</f>
        <v>5.6390004131659871E-2</v>
      </c>
      <c r="AI35" s="45">
        <f>'Calculated IO Table'!AJ143</f>
        <v>0.15614391704689232</v>
      </c>
      <c r="AJ35" s="45">
        <f>'Calculated IO Table'!AK143</f>
        <v>3.2776006641902361E-2</v>
      </c>
      <c r="AK35" s="45">
        <f>'Calculated IO Table'!AL143</f>
        <v>9.5367026171274093E-3</v>
      </c>
      <c r="AL35" s="45">
        <f>'Calculated IO Table'!AM143</f>
        <v>2.4784124732700957E-2</v>
      </c>
      <c r="AM35" s="45">
        <f>'Calculated IO Table'!AN143</f>
        <v>2.9042988427192329E-2</v>
      </c>
      <c r="AN35" s="45">
        <f>'Calculated IO Table'!AO143</f>
        <v>1.5879944654415008E-2</v>
      </c>
      <c r="AO35" s="45">
        <f>'Calculated IO Table'!AP143</f>
        <v>1.3494329853726622E-2</v>
      </c>
      <c r="AP35" s="45">
        <f>'Calculated IO Table'!AQ143</f>
        <v>1.7698231738632324E-2</v>
      </c>
      <c r="AQ35" s="45">
        <f>'Calculated IO Table'!AR143</f>
        <v>0</v>
      </c>
    </row>
    <row r="36" spans="1:43" x14ac:dyDescent="0.25">
      <c r="A36" t="s">
        <v>27</v>
      </c>
      <c r="B36" s="45">
        <f>'Calculated IO Table'!C144</f>
        <v>3.0684266651651311E-2</v>
      </c>
      <c r="C36" s="45">
        <f>'Calculated IO Table'!D144</f>
        <v>2.075106116453232E-2</v>
      </c>
      <c r="D36" s="45">
        <f>'Calculated IO Table'!E144</f>
        <v>5.070446824621494E-2</v>
      </c>
      <c r="E36" s="45">
        <f>'Calculated IO Table'!F144</f>
        <v>2.556399668692683E-2</v>
      </c>
      <c r="F36" s="45">
        <f>'Calculated IO Table'!G144</f>
        <v>2.3487959881834469E-2</v>
      </c>
      <c r="G36" s="45">
        <f>'Calculated IO Table'!H144</f>
        <v>2.4416575874827651E-2</v>
      </c>
      <c r="H36" s="45">
        <f>'Calculated IO Table'!I144</f>
        <v>2.6594889552307814E-2</v>
      </c>
      <c r="I36" s="45">
        <f>'Calculated IO Table'!J144</f>
        <v>1.6213030583737777E-2</v>
      </c>
      <c r="J36" s="45">
        <f>'Calculated IO Table'!K144</f>
        <v>2.6796598286953462E-2</v>
      </c>
      <c r="K36" s="45">
        <f>'Calculated IO Table'!L144</f>
        <v>1.0052914976417355E-2</v>
      </c>
      <c r="L36" s="45">
        <f>'Calculated IO Table'!M144</f>
        <v>1.4187413802561015E-2</v>
      </c>
      <c r="M36" s="45">
        <f>'Calculated IO Table'!N144</f>
        <v>1.5844259899681419E-2</v>
      </c>
      <c r="N36" s="45">
        <f>'Calculated IO Table'!O144</f>
        <v>1.9391643863809666E-2</v>
      </c>
      <c r="O36" s="45">
        <f>'Calculated IO Table'!P144</f>
        <v>2.2040918088371653E-2</v>
      </c>
      <c r="P36" s="45">
        <f>'Calculated IO Table'!Q144</f>
        <v>0</v>
      </c>
      <c r="Q36" s="45">
        <f>'Calculated IO Table'!R144</f>
        <v>1.5678583145252792E-2</v>
      </c>
      <c r="R36" s="45">
        <f>'Calculated IO Table'!S144</f>
        <v>1.6423337085812607E-2</v>
      </c>
      <c r="S36" s="45">
        <f>'Calculated IO Table'!T144</f>
        <v>1.7093148192199543E-2</v>
      </c>
      <c r="T36" s="45">
        <f>'Calculated IO Table'!U144</f>
        <v>7.6758336206214839E-3</v>
      </c>
      <c r="U36" s="45">
        <f>'Calculated IO Table'!V144</f>
        <v>2.0376972232966674E-2</v>
      </c>
      <c r="V36" s="45">
        <f>'Calculated IO Table'!W144</f>
        <v>2.0653805039020971E-2</v>
      </c>
      <c r="W36" s="45">
        <f>'Calculated IO Table'!X144</f>
        <v>1.5886512336765007E-2</v>
      </c>
      <c r="X36" s="45">
        <f>'Calculated IO Table'!Y144</f>
        <v>1.4112884516486216E-2</v>
      </c>
      <c r="Y36" s="45">
        <f>'Calculated IO Table'!Z144</f>
        <v>1.6982349823465262E-2</v>
      </c>
      <c r="Z36" s="45">
        <f>'Calculated IO Table'!AA144</f>
        <v>2.0279049356486542E-2</v>
      </c>
      <c r="AA36" s="45">
        <f>'Calculated IO Table'!AB144</f>
        <v>0</v>
      </c>
      <c r="AB36" s="45">
        <f>'Calculated IO Table'!AC144</f>
        <v>2.5692974245522724E-2</v>
      </c>
      <c r="AC36" s="45">
        <f>'Calculated IO Table'!AD144</f>
        <v>1.7488669802438649E-2</v>
      </c>
      <c r="AD36" s="45">
        <f>'Calculated IO Table'!AE144</f>
        <v>4.0821180887904179E-2</v>
      </c>
      <c r="AE36" s="45">
        <f>'Calculated IO Table'!AF144</f>
        <v>3.1174068070525678E-2</v>
      </c>
      <c r="AF36" s="45">
        <f>'Calculated IO Table'!AG144</f>
        <v>2.3699000704530165E-2</v>
      </c>
      <c r="AG36" s="45">
        <f>'Calculated IO Table'!AH144</f>
        <v>1.4941463479112222E-2</v>
      </c>
      <c r="AH36" s="45">
        <f>'Calculated IO Table'!AI144</f>
        <v>2.8759693691971587E-2</v>
      </c>
      <c r="AI36" s="45">
        <f>'Calculated IO Table'!AJ144</f>
        <v>1.6116719697168897E-2</v>
      </c>
      <c r="AJ36" s="45">
        <f>'Calculated IO Table'!AK144</f>
        <v>0.21333074429046273</v>
      </c>
      <c r="AK36" s="45">
        <f>'Calculated IO Table'!AL144</f>
        <v>7.6921933341555809E-2</v>
      </c>
      <c r="AL36" s="45">
        <f>'Calculated IO Table'!AM144</f>
        <v>2.8755631632502145E-2</v>
      </c>
      <c r="AM36" s="45">
        <f>'Calculated IO Table'!AN144</f>
        <v>3.2166647031356105E-2</v>
      </c>
      <c r="AN36" s="45">
        <f>'Calculated IO Table'!AO144</f>
        <v>1.4843522449981293E-2</v>
      </c>
      <c r="AO36" s="45">
        <f>'Calculated IO Table'!AP144</f>
        <v>1.4472202377618471E-2</v>
      </c>
      <c r="AP36" s="45">
        <f>'Calculated IO Table'!AQ144</f>
        <v>3.1088886592037498E-2</v>
      </c>
      <c r="AQ36" s="45">
        <f>'Calculated IO Table'!AR144</f>
        <v>0</v>
      </c>
    </row>
    <row r="37" spans="1:43" x14ac:dyDescent="0.25">
      <c r="A37" t="s">
        <v>28</v>
      </c>
      <c r="B37" s="45">
        <f>'Calculated IO Table'!C145</f>
        <v>2.9737811928346285E-3</v>
      </c>
      <c r="C37" s="45">
        <f>'Calculated IO Table'!D145</f>
        <v>7.4546630933006296E-3</v>
      </c>
      <c r="D37" s="45">
        <f>'Calculated IO Table'!E145</f>
        <v>1.49214881049314E-2</v>
      </c>
      <c r="E37" s="45">
        <f>'Calculated IO Table'!F145</f>
        <v>8.2443996897513215E-3</v>
      </c>
      <c r="F37" s="45">
        <f>'Calculated IO Table'!G145</f>
        <v>5.1904171455578142E-3</v>
      </c>
      <c r="G37" s="45">
        <f>'Calculated IO Table'!H145</f>
        <v>1.0553499195942917E-2</v>
      </c>
      <c r="H37" s="45">
        <f>'Calculated IO Table'!I145</f>
        <v>1.5664696085416749E-2</v>
      </c>
      <c r="I37" s="45">
        <f>'Calculated IO Table'!J145</f>
        <v>6.9804438600904583E-3</v>
      </c>
      <c r="J37" s="45">
        <f>'Calculated IO Table'!K145</f>
        <v>1.1929356653901281E-2</v>
      </c>
      <c r="K37" s="45">
        <f>'Calculated IO Table'!L145</f>
        <v>2.0027543592571651E-3</v>
      </c>
      <c r="L37" s="45">
        <f>'Calculated IO Table'!M145</f>
        <v>4.0705588730782878E-3</v>
      </c>
      <c r="M37" s="45">
        <f>'Calculated IO Table'!N145</f>
        <v>6.9369288695746859E-3</v>
      </c>
      <c r="N37" s="45">
        <f>'Calculated IO Table'!O145</f>
        <v>7.8662150601498011E-3</v>
      </c>
      <c r="O37" s="45">
        <f>'Calculated IO Table'!P145</f>
        <v>7.9204189106678487E-3</v>
      </c>
      <c r="P37" s="45">
        <f>'Calculated IO Table'!Q145</f>
        <v>0</v>
      </c>
      <c r="Q37" s="45">
        <f>'Calculated IO Table'!R145</f>
        <v>5.2895084894095702E-3</v>
      </c>
      <c r="R37" s="45">
        <f>'Calculated IO Table'!S145</f>
        <v>5.3238634608634696E-3</v>
      </c>
      <c r="S37" s="45">
        <f>'Calculated IO Table'!T145</f>
        <v>1.0960598460078996E-2</v>
      </c>
      <c r="T37" s="45">
        <f>'Calculated IO Table'!U145</f>
        <v>3.9748419881466372E-3</v>
      </c>
      <c r="U37" s="45">
        <f>'Calculated IO Table'!V145</f>
        <v>8.4704775545195229E-3</v>
      </c>
      <c r="V37" s="45">
        <f>'Calculated IO Table'!W145</f>
        <v>8.2684376256300859E-3</v>
      </c>
      <c r="W37" s="45">
        <f>'Calculated IO Table'!X145</f>
        <v>8.446350850784691E-3</v>
      </c>
      <c r="X37" s="45">
        <f>'Calculated IO Table'!Y145</f>
        <v>6.1015216516755811E-3</v>
      </c>
      <c r="Y37" s="45">
        <f>'Calculated IO Table'!Z145</f>
        <v>1.3063876885441776E-2</v>
      </c>
      <c r="Z37" s="45">
        <f>'Calculated IO Table'!AA145</f>
        <v>4.9007932061637558E-3</v>
      </c>
      <c r="AA37" s="45">
        <f>'Calculated IO Table'!AB145</f>
        <v>0</v>
      </c>
      <c r="AB37" s="45">
        <f>'Calculated IO Table'!AC145</f>
        <v>1.094306650007062E-2</v>
      </c>
      <c r="AC37" s="45">
        <f>'Calculated IO Table'!AD145</f>
        <v>1.1804203590160108E-2</v>
      </c>
      <c r="AD37" s="45">
        <f>'Calculated IO Table'!AE145</f>
        <v>7.7179128713451617E-2</v>
      </c>
      <c r="AE37" s="45">
        <f>'Calculated IO Table'!AF145</f>
        <v>2.0316553028186767E-2</v>
      </c>
      <c r="AF37" s="45">
        <f>'Calculated IO Table'!AG145</f>
        <v>8.5583081348898499E-2</v>
      </c>
      <c r="AG37" s="45">
        <f>'Calculated IO Table'!AH145</f>
        <v>2.2662568399574784E-2</v>
      </c>
      <c r="AH37" s="45">
        <f>'Calculated IO Table'!AI145</f>
        <v>4.2623837974552332E-2</v>
      </c>
      <c r="AI37" s="45">
        <f>'Calculated IO Table'!AJ145</f>
        <v>2.7699002350010844E-2</v>
      </c>
      <c r="AJ37" s="45">
        <f>'Calculated IO Table'!AK145</f>
        <v>2.8317065379203549E-2</v>
      </c>
      <c r="AK37" s="45">
        <f>'Calculated IO Table'!AL145</f>
        <v>5.8391378562690957E-2</v>
      </c>
      <c r="AL37" s="45">
        <f>'Calculated IO Table'!AM145</f>
        <v>2.9029615804710238E-2</v>
      </c>
      <c r="AM37" s="45">
        <f>'Calculated IO Table'!AN145</f>
        <v>2.8209427680752963E-2</v>
      </c>
      <c r="AN37" s="45">
        <f>'Calculated IO Table'!AO145</f>
        <v>2.7879833569712811E-2</v>
      </c>
      <c r="AO37" s="45">
        <f>'Calculated IO Table'!AP145</f>
        <v>2.9561557358453644E-2</v>
      </c>
      <c r="AP37" s="45">
        <f>'Calculated IO Table'!AQ145</f>
        <v>4.4696441706846453E-2</v>
      </c>
      <c r="AQ37" s="45">
        <f>'Calculated IO Table'!AR145</f>
        <v>0</v>
      </c>
    </row>
    <row r="38" spans="1:43" x14ac:dyDescent="0.25">
      <c r="A38" t="s">
        <v>29</v>
      </c>
      <c r="B38" s="45">
        <f>'Calculated IO Table'!C146</f>
        <v>4.3265218289981117E-2</v>
      </c>
      <c r="C38" s="45">
        <f>'Calculated IO Table'!D146</f>
        <v>5.4072991626605393E-2</v>
      </c>
      <c r="D38" s="45">
        <f>'Calculated IO Table'!E146</f>
        <v>0.1171614484030718</v>
      </c>
      <c r="E38" s="45">
        <f>'Calculated IO Table'!F146</f>
        <v>7.3134831251065097E-2</v>
      </c>
      <c r="F38" s="45">
        <f>'Calculated IO Table'!G146</f>
        <v>8.1010696535929169E-2</v>
      </c>
      <c r="G38" s="45">
        <f>'Calculated IO Table'!H146</f>
        <v>6.7274467666337309E-2</v>
      </c>
      <c r="H38" s="45">
        <f>'Calculated IO Table'!I146</f>
        <v>5.5573076411538622E-2</v>
      </c>
      <c r="I38" s="45">
        <f>'Calculated IO Table'!J146</f>
        <v>2.8411693412955852E-2</v>
      </c>
      <c r="J38" s="45">
        <f>'Calculated IO Table'!K146</f>
        <v>5.3127886586084805E-2</v>
      </c>
      <c r="K38" s="45">
        <f>'Calculated IO Table'!L146</f>
        <v>1.2429557129379471E-2</v>
      </c>
      <c r="L38" s="45">
        <f>'Calculated IO Table'!M146</f>
        <v>3.3691897661315993E-2</v>
      </c>
      <c r="M38" s="45">
        <f>'Calculated IO Table'!N146</f>
        <v>6.0030702210503287E-2</v>
      </c>
      <c r="N38" s="45">
        <f>'Calculated IO Table'!O146</f>
        <v>5.1778920549317188E-2</v>
      </c>
      <c r="O38" s="45">
        <f>'Calculated IO Table'!P146</f>
        <v>5.1506400200648651E-2</v>
      </c>
      <c r="P38" s="45">
        <f>'Calculated IO Table'!Q146</f>
        <v>0</v>
      </c>
      <c r="Q38" s="45">
        <f>'Calculated IO Table'!R146</f>
        <v>3.247671597951704E-2</v>
      </c>
      <c r="R38" s="45">
        <f>'Calculated IO Table'!S146</f>
        <v>2.366791540201537E-2</v>
      </c>
      <c r="S38" s="45">
        <f>'Calculated IO Table'!T146</f>
        <v>4.5947094509205873E-2</v>
      </c>
      <c r="T38" s="45">
        <f>'Calculated IO Table'!U146</f>
        <v>3.3446550510639377E-2</v>
      </c>
      <c r="U38" s="45">
        <f>'Calculated IO Table'!V146</f>
        <v>4.8835925795786543E-2</v>
      </c>
      <c r="V38" s="45">
        <f>'Calculated IO Table'!W146</f>
        <v>5.4031195582723707E-2</v>
      </c>
      <c r="W38" s="45">
        <f>'Calculated IO Table'!X146</f>
        <v>7.0127957172752595E-2</v>
      </c>
      <c r="X38" s="45">
        <f>'Calculated IO Table'!Y146</f>
        <v>4.7164876126498105E-2</v>
      </c>
      <c r="Y38" s="45">
        <f>'Calculated IO Table'!Z146</f>
        <v>4.4088907162088506E-2</v>
      </c>
      <c r="Z38" s="45">
        <f>'Calculated IO Table'!AA146</f>
        <v>4.367754283087185E-2</v>
      </c>
      <c r="AA38" s="45">
        <f>'Calculated IO Table'!AB146</f>
        <v>0</v>
      </c>
      <c r="AB38" s="45">
        <f>'Calculated IO Table'!AC146</f>
        <v>7.1465330254037021E-2</v>
      </c>
      <c r="AC38" s="45">
        <f>'Calculated IO Table'!AD146</f>
        <v>6.5638980667244107E-2</v>
      </c>
      <c r="AD38" s="45">
        <f>'Calculated IO Table'!AE146</f>
        <v>0.11166911898046353</v>
      </c>
      <c r="AE38" s="45">
        <f>'Calculated IO Table'!AF146</f>
        <v>6.3803358294950249E-2</v>
      </c>
      <c r="AF38" s="45">
        <f>'Calculated IO Table'!AG146</f>
        <v>8.1071977573913309E-2</v>
      </c>
      <c r="AG38" s="45">
        <f>'Calculated IO Table'!AH146</f>
        <v>9.842439784911497E-2</v>
      </c>
      <c r="AH38" s="45">
        <f>'Calculated IO Table'!AI146</f>
        <v>0.13590357409981318</v>
      </c>
      <c r="AI38" s="45">
        <f>'Calculated IO Table'!AJ146</f>
        <v>8.9489208685338648E-2</v>
      </c>
      <c r="AJ38" s="45">
        <f>'Calculated IO Table'!AK146</f>
        <v>9.7999561842175509E-2</v>
      </c>
      <c r="AK38" s="45">
        <f>'Calculated IO Table'!AL146</f>
        <v>8.2257849878150685E-2</v>
      </c>
      <c r="AL38" s="45">
        <f>'Calculated IO Table'!AM146</f>
        <v>0.17027234545038031</v>
      </c>
      <c r="AM38" s="45">
        <f>'Calculated IO Table'!AN146</f>
        <v>0.11095069574479606</v>
      </c>
      <c r="AN38" s="45">
        <f>'Calculated IO Table'!AO146</f>
        <v>7.2685928196418392E-2</v>
      </c>
      <c r="AO38" s="45">
        <f>'Calculated IO Table'!AP146</f>
        <v>6.8299446329455019E-2</v>
      </c>
      <c r="AP38" s="45">
        <f>'Calculated IO Table'!AQ146</f>
        <v>0.1019238596505623</v>
      </c>
      <c r="AQ38" s="45">
        <f>'Calculated IO Table'!AR146</f>
        <v>0</v>
      </c>
    </row>
    <row r="39" spans="1:43" x14ac:dyDescent="0.25">
      <c r="A39" t="s">
        <v>30</v>
      </c>
      <c r="B39" s="45">
        <f>'Calculated IO Table'!C147</f>
        <v>8.0007169630901334E-3</v>
      </c>
      <c r="C39" s="45">
        <f>'Calculated IO Table'!D147</f>
        <v>8.9000418379617825E-3</v>
      </c>
      <c r="D39" s="45">
        <f>'Calculated IO Table'!E147</f>
        <v>8.8611075212201764E-3</v>
      </c>
      <c r="E39" s="45">
        <f>'Calculated IO Table'!F147</f>
        <v>9.5960438143282735E-3</v>
      </c>
      <c r="F39" s="45">
        <f>'Calculated IO Table'!G147</f>
        <v>4.5990677978499442E-3</v>
      </c>
      <c r="G39" s="45">
        <f>'Calculated IO Table'!H147</f>
        <v>8.9119803408763774E-3</v>
      </c>
      <c r="H39" s="45">
        <f>'Calculated IO Table'!I147</f>
        <v>9.1540031528691609E-3</v>
      </c>
      <c r="I39" s="45">
        <f>'Calculated IO Table'!J147</f>
        <v>8.6578807113392893E-3</v>
      </c>
      <c r="J39" s="45">
        <f>'Calculated IO Table'!K147</f>
        <v>1.1885039620936136E-2</v>
      </c>
      <c r="K39" s="45">
        <f>'Calculated IO Table'!L147</f>
        <v>2.4052655112188699E-3</v>
      </c>
      <c r="L39" s="45">
        <f>'Calculated IO Table'!M147</f>
        <v>5.4313972035424842E-3</v>
      </c>
      <c r="M39" s="45">
        <f>'Calculated IO Table'!N147</f>
        <v>6.1246441306132002E-3</v>
      </c>
      <c r="N39" s="45">
        <f>'Calculated IO Table'!O147</f>
        <v>6.806713408396059E-3</v>
      </c>
      <c r="O39" s="45">
        <f>'Calculated IO Table'!P147</f>
        <v>8.845116716474196E-3</v>
      </c>
      <c r="P39" s="45">
        <f>'Calculated IO Table'!Q147</f>
        <v>0</v>
      </c>
      <c r="Q39" s="45">
        <f>'Calculated IO Table'!R147</f>
        <v>1.1974559206786105E-2</v>
      </c>
      <c r="R39" s="45">
        <f>'Calculated IO Table'!S147</f>
        <v>9.7799253874796942E-3</v>
      </c>
      <c r="S39" s="45">
        <f>'Calculated IO Table'!T147</f>
        <v>7.3376161284565491E-3</v>
      </c>
      <c r="T39" s="45">
        <f>'Calculated IO Table'!U147</f>
        <v>1.6313812146128146E-3</v>
      </c>
      <c r="U39" s="45">
        <f>'Calculated IO Table'!V147</f>
        <v>5.2873562793337905E-3</v>
      </c>
      <c r="V39" s="45">
        <f>'Calculated IO Table'!W147</f>
        <v>5.4937203161287826E-3</v>
      </c>
      <c r="W39" s="45">
        <f>'Calculated IO Table'!X147</f>
        <v>6.7287679167433185E-3</v>
      </c>
      <c r="X39" s="45">
        <f>'Calculated IO Table'!Y147</f>
        <v>4.4684988249809234E-3</v>
      </c>
      <c r="Y39" s="45">
        <f>'Calculated IO Table'!Z147</f>
        <v>4.8986864438891938E-3</v>
      </c>
      <c r="Z39" s="45">
        <f>'Calculated IO Table'!AA147</f>
        <v>1.6431001430491629E-2</v>
      </c>
      <c r="AA39" s="45">
        <f>'Calculated IO Table'!AB147</f>
        <v>0</v>
      </c>
      <c r="AB39" s="45">
        <f>'Calculated IO Table'!AC147</f>
        <v>2.8378900530129297E-2</v>
      </c>
      <c r="AC39" s="45">
        <f>'Calculated IO Table'!AD147</f>
        <v>7.0252016810296259E-3</v>
      </c>
      <c r="AD39" s="45">
        <f>'Calculated IO Table'!AE147</f>
        <v>1.231205693044491E-2</v>
      </c>
      <c r="AE39" s="45">
        <f>'Calculated IO Table'!AF147</f>
        <v>1.0511416117465682E-2</v>
      </c>
      <c r="AF39" s="45">
        <f>'Calculated IO Table'!AG147</f>
        <v>1.2184085396934177E-2</v>
      </c>
      <c r="AG39" s="45">
        <f>'Calculated IO Table'!AH147</f>
        <v>5.5306759926696111E-3</v>
      </c>
      <c r="AH39" s="45">
        <f>'Calculated IO Table'!AI147</f>
        <v>1.2019951271704039E-2</v>
      </c>
      <c r="AI39" s="45">
        <f>'Calculated IO Table'!AJ147</f>
        <v>4.2377650287071661E-3</v>
      </c>
      <c r="AJ39" s="45">
        <f>'Calculated IO Table'!AK147</f>
        <v>1.00257889414256E-2</v>
      </c>
      <c r="AK39" s="45">
        <f>'Calculated IO Table'!AL147</f>
        <v>1.3116972096178799E-2</v>
      </c>
      <c r="AL39" s="45">
        <f>'Calculated IO Table'!AM147</f>
        <v>7.5682098591810121E-3</v>
      </c>
      <c r="AM39" s="45">
        <f>'Calculated IO Table'!AN147</f>
        <v>3.2278815387330642E-2</v>
      </c>
      <c r="AN39" s="45">
        <f>'Calculated IO Table'!AO147</f>
        <v>9.9813164597194557E-3</v>
      </c>
      <c r="AO39" s="45">
        <f>'Calculated IO Table'!AP147</f>
        <v>1.6985590954341233E-2</v>
      </c>
      <c r="AP39" s="45">
        <f>'Calculated IO Table'!AQ147</f>
        <v>1.373428985281222E-2</v>
      </c>
      <c r="AQ39" s="45">
        <f>'Calculated IO Table'!AR147</f>
        <v>0</v>
      </c>
    </row>
    <row r="40" spans="1:43" x14ac:dyDescent="0.25">
      <c r="A40" t="s">
        <v>31</v>
      </c>
      <c r="B40" s="45">
        <f>'Calculated IO Table'!C148</f>
        <v>5.2651713333452441E-4</v>
      </c>
      <c r="C40" s="45">
        <f>'Calculated IO Table'!D148</f>
        <v>4.4988462771559419E-4</v>
      </c>
      <c r="D40" s="45">
        <f>'Calculated IO Table'!E148</f>
        <v>1.0363814392349853E-3</v>
      </c>
      <c r="E40" s="45">
        <f>'Calculated IO Table'!F148</f>
        <v>1.0564340606536852E-3</v>
      </c>
      <c r="F40" s="45">
        <f>'Calculated IO Table'!G148</f>
        <v>4.8702685629255465E-4</v>
      </c>
      <c r="G40" s="45">
        <f>'Calculated IO Table'!H148</f>
        <v>7.5094554239838786E-4</v>
      </c>
      <c r="H40" s="45">
        <f>'Calculated IO Table'!I148</f>
        <v>6.9963591693529711E-4</v>
      </c>
      <c r="I40" s="45">
        <f>'Calculated IO Table'!J148</f>
        <v>4.6005544553052188E-4</v>
      </c>
      <c r="J40" s="45">
        <f>'Calculated IO Table'!K148</f>
        <v>1.0936620827642208E-3</v>
      </c>
      <c r="K40" s="45">
        <f>'Calculated IO Table'!L148</f>
        <v>3.114657197905403E-4</v>
      </c>
      <c r="L40" s="45">
        <f>'Calculated IO Table'!M148</f>
        <v>4.6665866591976026E-4</v>
      </c>
      <c r="M40" s="45">
        <f>'Calculated IO Table'!N148</f>
        <v>8.7804257564300374E-4</v>
      </c>
      <c r="N40" s="45">
        <f>'Calculated IO Table'!O148</f>
        <v>5.4935183366374026E-4</v>
      </c>
      <c r="O40" s="45">
        <f>'Calculated IO Table'!P148</f>
        <v>5.6135677009555584E-4</v>
      </c>
      <c r="P40" s="45">
        <f>'Calculated IO Table'!Q148</f>
        <v>0</v>
      </c>
      <c r="Q40" s="45">
        <f>'Calculated IO Table'!R148</f>
        <v>5.5887796322897612E-4</v>
      </c>
      <c r="R40" s="45">
        <f>'Calculated IO Table'!S148</f>
        <v>5.2397745722867312E-4</v>
      </c>
      <c r="S40" s="45">
        <f>'Calculated IO Table'!T148</f>
        <v>6.1404365029794309E-4</v>
      </c>
      <c r="T40" s="45">
        <f>'Calculated IO Table'!U148</f>
        <v>3.2703571274472824E-4</v>
      </c>
      <c r="U40" s="45">
        <f>'Calculated IO Table'!V148</f>
        <v>7.9414333381812741E-4</v>
      </c>
      <c r="V40" s="45">
        <f>'Calculated IO Table'!W148</f>
        <v>7.5909898392522855E-4</v>
      </c>
      <c r="W40" s="45">
        <f>'Calculated IO Table'!X148</f>
        <v>5.0988986024843252E-4</v>
      </c>
      <c r="X40" s="45">
        <f>'Calculated IO Table'!Y148</f>
        <v>6.7848640761749787E-4</v>
      </c>
      <c r="Y40" s="45">
        <f>'Calculated IO Table'!Z148</f>
        <v>6.5145594227763635E-4</v>
      </c>
      <c r="Z40" s="45">
        <f>'Calculated IO Table'!AA148</f>
        <v>5.2192724060436916E-4</v>
      </c>
      <c r="AA40" s="45">
        <f>'Calculated IO Table'!AB148</f>
        <v>0</v>
      </c>
      <c r="AB40" s="45">
        <f>'Calculated IO Table'!AC148</f>
        <v>1.1314172177293812E-3</v>
      </c>
      <c r="AC40" s="45">
        <f>'Calculated IO Table'!AD148</f>
        <v>1.2523503159599647E-3</v>
      </c>
      <c r="AD40" s="45">
        <f>'Calculated IO Table'!AE148</f>
        <v>1.1809358137767579E-3</v>
      </c>
      <c r="AE40" s="45">
        <f>'Calculated IO Table'!AF148</f>
        <v>1.2123619051879076E-3</v>
      </c>
      <c r="AF40" s="45">
        <f>'Calculated IO Table'!AG148</f>
        <v>1.116233814065337E-3</v>
      </c>
      <c r="AG40" s="45">
        <f>'Calculated IO Table'!AH148</f>
        <v>1.2671503988684687E-3</v>
      </c>
      <c r="AH40" s="45">
        <f>'Calculated IO Table'!AI148</f>
        <v>2.6632531205019235E-3</v>
      </c>
      <c r="AI40" s="45">
        <f>'Calculated IO Table'!AJ148</f>
        <v>2.2742177889799047E-3</v>
      </c>
      <c r="AJ40" s="45">
        <f>'Calculated IO Table'!AK148</f>
        <v>2.0691971247606372E-3</v>
      </c>
      <c r="AK40" s="45">
        <f>'Calculated IO Table'!AL148</f>
        <v>9.7561670792574602E-4</v>
      </c>
      <c r="AL40" s="45">
        <f>'Calculated IO Table'!AM148</f>
        <v>2.5544070442127635E-3</v>
      </c>
      <c r="AM40" s="45">
        <f>'Calculated IO Table'!AN148</f>
        <v>5.5357668287826303E-3</v>
      </c>
      <c r="AN40" s="45">
        <f>'Calculated IO Table'!AO148</f>
        <v>1.3644850882961381E-2</v>
      </c>
      <c r="AO40" s="45">
        <f>'Calculated IO Table'!AP148</f>
        <v>2.1007503938580306E-3</v>
      </c>
      <c r="AP40" s="45">
        <f>'Calculated IO Table'!AQ148</f>
        <v>3.5760082608593449E-3</v>
      </c>
      <c r="AQ40" s="45">
        <f>'Calculated IO Table'!AR148</f>
        <v>0</v>
      </c>
    </row>
    <row r="41" spans="1:43" x14ac:dyDescent="0.25">
      <c r="A41" t="s">
        <v>32</v>
      </c>
      <c r="B41" s="45">
        <f>'Calculated IO Table'!C149</f>
        <v>3.2001277225315969E-4</v>
      </c>
      <c r="C41" s="45">
        <f>'Calculated IO Table'!D149</f>
        <v>9.8981531422482043E-4</v>
      </c>
      <c r="D41" s="45">
        <f>'Calculated IO Table'!E149</f>
        <v>4.5322396387484815E-4</v>
      </c>
      <c r="E41" s="45">
        <f>'Calculated IO Table'!F149</f>
        <v>3.0952764901933695E-4</v>
      </c>
      <c r="F41" s="45">
        <f>'Calculated IO Table'!G149</f>
        <v>1.9964109857381772E-4</v>
      </c>
      <c r="G41" s="45">
        <f>'Calculated IO Table'!H149</f>
        <v>5.2760563518380128E-4</v>
      </c>
      <c r="H41" s="45">
        <f>'Calculated IO Table'!I149</f>
        <v>4.2149607296157308E-4</v>
      </c>
      <c r="I41" s="45">
        <f>'Calculated IO Table'!J149</f>
        <v>2.0418025241338632E-4</v>
      </c>
      <c r="J41" s="45">
        <f>'Calculated IO Table'!K149</f>
        <v>4.2941061953237101E-4</v>
      </c>
      <c r="K41" s="45">
        <f>'Calculated IO Table'!L149</f>
        <v>9.0801418609499522E-5</v>
      </c>
      <c r="L41" s="45">
        <f>'Calculated IO Table'!M149</f>
        <v>2.3244575621625914E-4</v>
      </c>
      <c r="M41" s="45">
        <f>'Calculated IO Table'!N149</f>
        <v>5.2428732895198709E-4</v>
      </c>
      <c r="N41" s="45">
        <f>'Calculated IO Table'!O149</f>
        <v>4.9731300217044274E-4</v>
      </c>
      <c r="O41" s="45">
        <f>'Calculated IO Table'!P149</f>
        <v>6.6533686636254094E-4</v>
      </c>
      <c r="P41" s="45">
        <f>'Calculated IO Table'!Q149</f>
        <v>0</v>
      </c>
      <c r="Q41" s="45">
        <f>'Calculated IO Table'!R149</f>
        <v>1.9248180704042731E-4</v>
      </c>
      <c r="R41" s="45">
        <f>'Calculated IO Table'!S149</f>
        <v>2.3111615563382445E-4</v>
      </c>
      <c r="S41" s="45">
        <f>'Calculated IO Table'!T149</f>
        <v>5.8065771673763533E-4</v>
      </c>
      <c r="T41" s="45">
        <f>'Calculated IO Table'!U149</f>
        <v>1.9703931822455346E-4</v>
      </c>
      <c r="U41" s="45">
        <f>'Calculated IO Table'!V149</f>
        <v>4.1183162883614042E-4</v>
      </c>
      <c r="V41" s="45">
        <f>'Calculated IO Table'!W149</f>
        <v>3.5252601843284908E-4</v>
      </c>
      <c r="W41" s="45">
        <f>'Calculated IO Table'!X149</f>
        <v>3.6479519307387813E-4</v>
      </c>
      <c r="X41" s="45">
        <f>'Calculated IO Table'!Y149</f>
        <v>2.3979231705642147E-4</v>
      </c>
      <c r="Y41" s="45">
        <f>'Calculated IO Table'!Z149</f>
        <v>3.7833124621085176E-4</v>
      </c>
      <c r="Z41" s="45">
        <f>'Calculated IO Table'!AA149</f>
        <v>2.0099976547557292E-4</v>
      </c>
      <c r="AA41" s="45">
        <f>'Calculated IO Table'!AB149</f>
        <v>0</v>
      </c>
      <c r="AB41" s="45">
        <f>'Calculated IO Table'!AC149</f>
        <v>6.078019140531854E-4</v>
      </c>
      <c r="AC41" s="45">
        <f>'Calculated IO Table'!AD149</f>
        <v>3.3551872243709586E-4</v>
      </c>
      <c r="AD41" s="45">
        <f>'Calculated IO Table'!AE149</f>
        <v>7.2240575732936195E-4</v>
      </c>
      <c r="AE41" s="45">
        <f>'Calculated IO Table'!AF149</f>
        <v>4.9562333269110659E-4</v>
      </c>
      <c r="AF41" s="45">
        <f>'Calculated IO Table'!AG149</f>
        <v>8.8215870834451116E-4</v>
      </c>
      <c r="AG41" s="45">
        <f>'Calculated IO Table'!AH149</f>
        <v>5.0436532889291919E-4</v>
      </c>
      <c r="AH41" s="45">
        <f>'Calculated IO Table'!AI149</f>
        <v>4.1695246030042365E-4</v>
      </c>
      <c r="AI41" s="45">
        <f>'Calculated IO Table'!AJ149</f>
        <v>4.3076575097482838E-4</v>
      </c>
      <c r="AJ41" s="45">
        <f>'Calculated IO Table'!AK149</f>
        <v>7.0001961022003029E-4</v>
      </c>
      <c r="AK41" s="45">
        <f>'Calculated IO Table'!AL149</f>
        <v>2.3503030066267456E-4</v>
      </c>
      <c r="AL41" s="45">
        <f>'Calculated IO Table'!AM149</f>
        <v>7.310813863115836E-4</v>
      </c>
      <c r="AM41" s="45">
        <f>'Calculated IO Table'!AN149</f>
        <v>5.2151191766512143E-3</v>
      </c>
      <c r="AN41" s="45">
        <f>'Calculated IO Table'!AO149</f>
        <v>1.7742007826229223E-3</v>
      </c>
      <c r="AO41" s="45">
        <f>'Calculated IO Table'!AP149</f>
        <v>6.9207655346769273E-2</v>
      </c>
      <c r="AP41" s="45">
        <f>'Calculated IO Table'!AQ149</f>
        <v>1.9042106946204863E-3</v>
      </c>
      <c r="AQ41" s="45">
        <f>'Calculated IO Table'!AR149</f>
        <v>0</v>
      </c>
    </row>
    <row r="42" spans="1:43" x14ac:dyDescent="0.25">
      <c r="A42" t="s">
        <v>33</v>
      </c>
      <c r="B42" s="45">
        <f>'Calculated IO Table'!C150</f>
        <v>9.5931530446649409E-4</v>
      </c>
      <c r="C42" s="45">
        <f>'Calculated IO Table'!D150</f>
        <v>8.9189300296198932E-4</v>
      </c>
      <c r="D42" s="45">
        <f>'Calculated IO Table'!E150</f>
        <v>1.2031909266080828E-3</v>
      </c>
      <c r="E42" s="45">
        <f>'Calculated IO Table'!F150</f>
        <v>1.2982764992348504E-3</v>
      </c>
      <c r="F42" s="45">
        <f>'Calculated IO Table'!G150</f>
        <v>7.2543336928444465E-4</v>
      </c>
      <c r="G42" s="45">
        <f>'Calculated IO Table'!H150</f>
        <v>1.7829668408251456E-3</v>
      </c>
      <c r="H42" s="45">
        <f>'Calculated IO Table'!I150</f>
        <v>1.8294649620051375E-3</v>
      </c>
      <c r="I42" s="45">
        <f>'Calculated IO Table'!J150</f>
        <v>1.0483900713917609E-3</v>
      </c>
      <c r="J42" s="45">
        <f>'Calculated IO Table'!K150</f>
        <v>1.2195361715211606E-3</v>
      </c>
      <c r="K42" s="45">
        <f>'Calculated IO Table'!L150</f>
        <v>3.6635969159087351E-4</v>
      </c>
      <c r="L42" s="45">
        <f>'Calculated IO Table'!M150</f>
        <v>7.5839108881979838E-4</v>
      </c>
      <c r="M42" s="45">
        <f>'Calculated IO Table'!N150</f>
        <v>7.4816911444261155E-4</v>
      </c>
      <c r="N42" s="45">
        <f>'Calculated IO Table'!O150</f>
        <v>1.0492368094701951E-3</v>
      </c>
      <c r="O42" s="45">
        <f>'Calculated IO Table'!P150</f>
        <v>1.226635758659345E-3</v>
      </c>
      <c r="P42" s="45">
        <f>'Calculated IO Table'!Q150</f>
        <v>0</v>
      </c>
      <c r="Q42" s="45">
        <f>'Calculated IO Table'!R150</f>
        <v>8.2370987281366926E-4</v>
      </c>
      <c r="R42" s="45">
        <f>'Calculated IO Table'!S150</f>
        <v>5.9641841800020805E-4</v>
      </c>
      <c r="S42" s="45">
        <f>'Calculated IO Table'!T150</f>
        <v>1.2174819419626093E-3</v>
      </c>
      <c r="T42" s="45">
        <f>'Calculated IO Table'!U150</f>
        <v>4.9138596274950869E-4</v>
      </c>
      <c r="U42" s="45">
        <f>'Calculated IO Table'!V150</f>
        <v>7.9519533974381539E-4</v>
      </c>
      <c r="V42" s="45">
        <f>'Calculated IO Table'!W150</f>
        <v>9.848544850574448E-4</v>
      </c>
      <c r="W42" s="45">
        <f>'Calculated IO Table'!X150</f>
        <v>1.0437581301944489E-3</v>
      </c>
      <c r="X42" s="45">
        <f>'Calculated IO Table'!Y150</f>
        <v>7.2513976352474644E-4</v>
      </c>
      <c r="Y42" s="45">
        <f>'Calculated IO Table'!Z150</f>
        <v>1.3419900781073135E-3</v>
      </c>
      <c r="Z42" s="45">
        <f>'Calculated IO Table'!AA150</f>
        <v>5.4499188232567995E-4</v>
      </c>
      <c r="AA42" s="45">
        <f>'Calculated IO Table'!AB150</f>
        <v>0</v>
      </c>
      <c r="AB42" s="45">
        <f>'Calculated IO Table'!AC150</f>
        <v>2.4495347428857548E-3</v>
      </c>
      <c r="AC42" s="45">
        <f>'Calculated IO Table'!AD150</f>
        <v>9.4443872820057029E-4</v>
      </c>
      <c r="AD42" s="45">
        <f>'Calculated IO Table'!AE150</f>
        <v>2.8239895798314696E-3</v>
      </c>
      <c r="AE42" s="45">
        <f>'Calculated IO Table'!AF150</f>
        <v>1.5073815537038915E-3</v>
      </c>
      <c r="AF42" s="45">
        <f>'Calculated IO Table'!AG150</f>
        <v>6.6259547753461778E-3</v>
      </c>
      <c r="AG42" s="45">
        <f>'Calculated IO Table'!AH150</f>
        <v>1.1760537678882022E-2</v>
      </c>
      <c r="AH42" s="45">
        <f>'Calculated IO Table'!AI150</f>
        <v>2.7190787459513035E-3</v>
      </c>
      <c r="AI42" s="45">
        <f>'Calculated IO Table'!AJ150</f>
        <v>1.7810922828279227E-3</v>
      </c>
      <c r="AJ42" s="45">
        <f>'Calculated IO Table'!AK150</f>
        <v>2.6177545015134704E-3</v>
      </c>
      <c r="AK42" s="45">
        <f>'Calculated IO Table'!AL150</f>
        <v>1.6566184785122234E-3</v>
      </c>
      <c r="AL42" s="45">
        <f>'Calculated IO Table'!AM150</f>
        <v>3.3789918837385936E-3</v>
      </c>
      <c r="AM42" s="45">
        <f>'Calculated IO Table'!AN150</f>
        <v>4.8569723020115332E-3</v>
      </c>
      <c r="AN42" s="45">
        <f>'Calculated IO Table'!AO150</f>
        <v>4.1655098181830009E-3</v>
      </c>
      <c r="AO42" s="45">
        <f>'Calculated IO Table'!AP150</f>
        <v>6.1807803577310708E-3</v>
      </c>
      <c r="AP42" s="45">
        <f>'Calculated IO Table'!AQ150</f>
        <v>5.0417854185367893E-2</v>
      </c>
      <c r="AQ42" s="45">
        <f>'Calculated IO Table'!AR150</f>
        <v>0</v>
      </c>
    </row>
    <row r="43" spans="1:43" x14ac:dyDescent="0.25">
      <c r="A43" t="s">
        <v>34</v>
      </c>
      <c r="B43" s="45">
        <f>'Calculated IO Table'!C151</f>
        <v>0</v>
      </c>
      <c r="C43" s="45">
        <f>'Calculated IO Table'!D151</f>
        <v>0</v>
      </c>
      <c r="D43" s="45">
        <f>'Calculated IO Table'!E151</f>
        <v>0</v>
      </c>
      <c r="E43" s="45">
        <f>'Calculated IO Table'!F151</f>
        <v>0</v>
      </c>
      <c r="F43" s="45">
        <f>'Calculated IO Table'!G151</f>
        <v>0</v>
      </c>
      <c r="G43" s="45">
        <f>'Calculated IO Table'!H151</f>
        <v>0</v>
      </c>
      <c r="H43" s="45">
        <f>'Calculated IO Table'!I151</f>
        <v>0</v>
      </c>
      <c r="I43" s="45">
        <f>'Calculated IO Table'!J151</f>
        <v>0</v>
      </c>
      <c r="J43" s="45">
        <f>'Calculated IO Table'!K151</f>
        <v>0</v>
      </c>
      <c r="K43" s="45">
        <f>'Calculated IO Table'!L151</f>
        <v>0</v>
      </c>
      <c r="L43" s="45">
        <f>'Calculated IO Table'!M151</f>
        <v>0</v>
      </c>
      <c r="M43" s="45">
        <f>'Calculated IO Table'!N151</f>
        <v>0</v>
      </c>
      <c r="N43" s="45">
        <f>'Calculated IO Table'!O151</f>
        <v>0</v>
      </c>
      <c r="O43" s="45">
        <f>'Calculated IO Table'!P151</f>
        <v>0</v>
      </c>
      <c r="P43" s="45">
        <f>'Calculated IO Table'!Q151</f>
        <v>0</v>
      </c>
      <c r="Q43" s="45">
        <f>'Calculated IO Table'!R151</f>
        <v>0</v>
      </c>
      <c r="R43" s="45">
        <f>'Calculated IO Table'!S151</f>
        <v>0</v>
      </c>
      <c r="S43" s="45">
        <f>'Calculated IO Table'!T151</f>
        <v>0</v>
      </c>
      <c r="T43" s="45">
        <f>'Calculated IO Table'!U151</f>
        <v>0</v>
      </c>
      <c r="U43" s="45">
        <f>'Calculated IO Table'!V151</f>
        <v>0</v>
      </c>
      <c r="V43" s="45">
        <f>'Calculated IO Table'!W151</f>
        <v>0</v>
      </c>
      <c r="W43" s="45">
        <f>'Calculated IO Table'!X151</f>
        <v>0</v>
      </c>
      <c r="X43" s="45">
        <f>'Calculated IO Table'!Y151</f>
        <v>0</v>
      </c>
      <c r="Y43" s="45">
        <f>'Calculated IO Table'!Z151</f>
        <v>0</v>
      </c>
      <c r="Z43" s="45">
        <f>'Calculated IO Table'!AA151</f>
        <v>0</v>
      </c>
      <c r="AA43" s="45">
        <f>'Calculated IO Table'!AB151</f>
        <v>0</v>
      </c>
      <c r="AB43" s="45">
        <f>'Calculated IO Table'!AC151</f>
        <v>0</v>
      </c>
      <c r="AC43" s="45">
        <f>'Calculated IO Table'!AD151</f>
        <v>0</v>
      </c>
      <c r="AD43" s="45">
        <f>'Calculated IO Table'!AE151</f>
        <v>0</v>
      </c>
      <c r="AE43" s="45">
        <f>'Calculated IO Table'!AF151</f>
        <v>0</v>
      </c>
      <c r="AF43" s="45">
        <f>'Calculated IO Table'!AG151</f>
        <v>0</v>
      </c>
      <c r="AG43" s="45">
        <f>'Calculated IO Table'!AH151</f>
        <v>0</v>
      </c>
      <c r="AH43" s="45">
        <f>'Calculated IO Table'!AI151</f>
        <v>0</v>
      </c>
      <c r="AI43" s="45">
        <f>'Calculated IO Table'!AJ151</f>
        <v>0</v>
      </c>
      <c r="AJ43" s="45">
        <f>'Calculated IO Table'!AK151</f>
        <v>0</v>
      </c>
      <c r="AK43" s="45">
        <f>'Calculated IO Table'!AL151</f>
        <v>0</v>
      </c>
      <c r="AL43" s="45">
        <f>'Calculated IO Table'!AM151</f>
        <v>0</v>
      </c>
      <c r="AM43" s="45">
        <f>'Calculated IO Table'!AN151</f>
        <v>0</v>
      </c>
      <c r="AN43" s="45">
        <f>'Calculated IO Table'!AO151</f>
        <v>0</v>
      </c>
      <c r="AO43" s="45">
        <f>'Calculated IO Table'!AP151</f>
        <v>0</v>
      </c>
      <c r="AP43" s="45">
        <f>'Calculated IO Table'!AQ151</f>
        <v>0</v>
      </c>
      <c r="AQ43" s="45">
        <f>'Calculated IO Table'!AR151</f>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501C7-DD15-4BAE-9C7A-23A9E6237CAE}">
  <sheetPr>
    <tabColor theme="5" tint="0.59999389629810485"/>
    <pageSetUpPr fitToPage="1"/>
  </sheetPr>
  <dimension ref="A1:H1031"/>
  <sheetViews>
    <sheetView zoomScale="85" zoomScaleNormal="85" workbookViewId="0">
      <pane ySplit="5" topLeftCell="A12" activePane="bottomLeft" state="frozen"/>
      <selection sqref="A1:G1"/>
      <selection pane="bottomLeft" sqref="A1:G1"/>
    </sheetView>
  </sheetViews>
  <sheetFormatPr defaultColWidth="9.140625" defaultRowHeight="11.25" x14ac:dyDescent="0.2"/>
  <cols>
    <col min="1" max="4" width="10.85546875" style="15" customWidth="1"/>
    <col min="5" max="5" width="75" style="19" bestFit="1" customWidth="1"/>
    <col min="6" max="6" width="5.85546875" style="22" bestFit="1" customWidth="1"/>
    <col min="7" max="7" width="26.42578125" style="22" bestFit="1" customWidth="1"/>
    <col min="8" max="8" width="17.140625" style="8" customWidth="1"/>
    <col min="9" max="16384" width="9.140625" style="8"/>
  </cols>
  <sheetData>
    <row r="1" spans="1:8" x14ac:dyDescent="0.2">
      <c r="A1" s="48" t="s">
        <v>84</v>
      </c>
      <c r="B1" s="48"/>
      <c r="C1" s="48"/>
      <c r="D1" s="48"/>
      <c r="E1" s="48"/>
      <c r="F1" s="48"/>
      <c r="G1" s="48"/>
    </row>
    <row r="2" spans="1:8" ht="36" customHeight="1" x14ac:dyDescent="0.2">
      <c r="A2" s="49" t="s">
        <v>85</v>
      </c>
      <c r="B2" s="49"/>
      <c r="C2" s="49"/>
      <c r="D2" s="49"/>
      <c r="E2" s="49"/>
      <c r="F2" s="49"/>
      <c r="G2" s="49"/>
    </row>
    <row r="3" spans="1:8" x14ac:dyDescent="0.2">
      <c r="A3" s="9"/>
      <c r="B3" s="9"/>
      <c r="C3" s="9"/>
      <c r="D3" s="9"/>
      <c r="E3" s="9"/>
      <c r="F3" s="9"/>
      <c r="G3" s="9"/>
    </row>
    <row r="4" spans="1:8" x14ac:dyDescent="0.2">
      <c r="A4" s="50" t="s">
        <v>86</v>
      </c>
      <c r="B4" s="50"/>
      <c r="C4" s="50"/>
      <c r="D4" s="50"/>
      <c r="E4" s="50" t="s">
        <v>87</v>
      </c>
      <c r="F4" s="9"/>
      <c r="G4" s="9"/>
    </row>
    <row r="5" spans="1:8" ht="12" thickBot="1" x14ac:dyDescent="0.25">
      <c r="A5" s="10" t="s">
        <v>88</v>
      </c>
      <c r="B5" s="10" t="s">
        <v>89</v>
      </c>
      <c r="C5" s="10" t="s">
        <v>90</v>
      </c>
      <c r="D5" s="11" t="s">
        <v>91</v>
      </c>
      <c r="E5" s="51"/>
      <c r="F5" s="12" t="s">
        <v>2</v>
      </c>
      <c r="G5" s="12" t="s">
        <v>92</v>
      </c>
      <c r="H5" s="13" t="s">
        <v>93</v>
      </c>
    </row>
    <row r="6" spans="1:8" x14ac:dyDescent="0.2">
      <c r="A6" s="14">
        <v>11</v>
      </c>
      <c r="B6" s="14" t="s">
        <v>94</v>
      </c>
      <c r="C6" s="14"/>
      <c r="E6" s="15"/>
      <c r="F6" s="16"/>
      <c r="G6" s="16"/>
    </row>
    <row r="7" spans="1:8" x14ac:dyDescent="0.2">
      <c r="A7" s="14"/>
      <c r="B7" s="14"/>
      <c r="C7" s="14"/>
      <c r="E7" s="15"/>
      <c r="F7" s="16"/>
      <c r="G7" s="16"/>
    </row>
    <row r="8" spans="1:8" x14ac:dyDescent="0.2">
      <c r="A8" s="14"/>
      <c r="B8" s="17" t="s">
        <v>95</v>
      </c>
      <c r="C8" s="17" t="s">
        <v>96</v>
      </c>
      <c r="E8" s="15"/>
      <c r="F8" s="16"/>
      <c r="G8" s="16"/>
    </row>
    <row r="9" spans="1:8" x14ac:dyDescent="0.2">
      <c r="A9" s="14"/>
      <c r="B9" s="17"/>
      <c r="C9" s="17"/>
      <c r="E9" s="15"/>
      <c r="F9" s="16"/>
      <c r="G9" s="16"/>
    </row>
    <row r="10" spans="1:8" x14ac:dyDescent="0.2">
      <c r="B10" s="17"/>
      <c r="C10" s="14">
        <v>111</v>
      </c>
      <c r="D10" s="14" t="s">
        <v>97</v>
      </c>
      <c r="E10" s="15"/>
      <c r="F10" s="18"/>
      <c r="G10" s="18"/>
    </row>
    <row r="11" spans="1:8" x14ac:dyDescent="0.2">
      <c r="B11" s="17"/>
      <c r="C11" s="14"/>
      <c r="D11" s="14" t="s">
        <v>3</v>
      </c>
      <c r="E11" s="19" t="s">
        <v>3</v>
      </c>
      <c r="F11" s="18"/>
      <c r="G11" s="18"/>
    </row>
    <row r="12" spans="1:8" x14ac:dyDescent="0.2">
      <c r="D12" s="15" t="s">
        <v>98</v>
      </c>
      <c r="E12" s="19" t="s">
        <v>99</v>
      </c>
      <c r="F12" s="20"/>
      <c r="G12" s="20" t="s">
        <v>100</v>
      </c>
      <c r="H12" s="8" t="s">
        <v>4</v>
      </c>
    </row>
    <row r="13" spans="1:8" x14ac:dyDescent="0.2">
      <c r="D13" s="15" t="s">
        <v>101</v>
      </c>
      <c r="E13" s="19" t="s">
        <v>102</v>
      </c>
      <c r="F13" s="20"/>
      <c r="G13" s="20" t="s">
        <v>103</v>
      </c>
      <c r="H13" s="8" t="s">
        <v>4</v>
      </c>
    </row>
    <row r="14" spans="1:8" x14ac:dyDescent="0.2">
      <c r="D14" s="15">
        <v>111200</v>
      </c>
      <c r="E14" s="19" t="s">
        <v>104</v>
      </c>
      <c r="F14" s="20"/>
      <c r="G14" s="20">
        <v>1112</v>
      </c>
      <c r="H14" s="8" t="s">
        <v>4</v>
      </c>
    </row>
    <row r="15" spans="1:8" x14ac:dyDescent="0.2">
      <c r="D15" s="15">
        <v>111300</v>
      </c>
      <c r="E15" s="19" t="s">
        <v>105</v>
      </c>
      <c r="F15" s="20"/>
      <c r="G15" s="20">
        <v>1113</v>
      </c>
      <c r="H15" s="8" t="s">
        <v>4</v>
      </c>
    </row>
    <row r="16" spans="1:8" x14ac:dyDescent="0.2">
      <c r="D16" s="15">
        <v>111400</v>
      </c>
      <c r="E16" s="19" t="s">
        <v>106</v>
      </c>
      <c r="F16" s="20"/>
      <c r="G16" s="20">
        <v>1114</v>
      </c>
      <c r="H16" s="8" t="s">
        <v>4</v>
      </c>
    </row>
    <row r="17" spans="2:8" x14ac:dyDescent="0.2">
      <c r="D17" s="15">
        <v>111900</v>
      </c>
      <c r="E17" s="19" t="s">
        <v>107</v>
      </c>
      <c r="F17" s="20"/>
      <c r="G17" s="20">
        <v>1119</v>
      </c>
      <c r="H17" s="8" t="s">
        <v>4</v>
      </c>
    </row>
    <row r="18" spans="2:8" x14ac:dyDescent="0.2">
      <c r="D18" s="15" t="s">
        <v>3</v>
      </c>
      <c r="E18" s="19" t="s">
        <v>3</v>
      </c>
      <c r="F18" s="20"/>
      <c r="G18" s="20"/>
      <c r="H18" s="8" t="s">
        <v>3</v>
      </c>
    </row>
    <row r="19" spans="2:8" x14ac:dyDescent="0.2">
      <c r="B19" s="17"/>
      <c r="C19" s="14">
        <v>112</v>
      </c>
      <c r="D19" s="14" t="s">
        <v>108</v>
      </c>
      <c r="F19" s="20"/>
      <c r="G19" s="18"/>
      <c r="H19" s="8" t="s">
        <v>3</v>
      </c>
    </row>
    <row r="20" spans="2:8" x14ac:dyDescent="0.2">
      <c r="C20" s="14"/>
      <c r="D20" s="14" t="s">
        <v>3</v>
      </c>
      <c r="E20" s="19" t="s">
        <v>3</v>
      </c>
      <c r="F20" s="20"/>
      <c r="G20" s="18"/>
      <c r="H20" s="8" t="s">
        <v>3</v>
      </c>
    </row>
    <row r="21" spans="2:8" x14ac:dyDescent="0.2">
      <c r="C21" s="14"/>
      <c r="D21" s="15" t="s">
        <v>109</v>
      </c>
      <c r="E21" s="19" t="s">
        <v>110</v>
      </c>
      <c r="F21" s="20"/>
      <c r="G21" s="18" t="s">
        <v>111</v>
      </c>
      <c r="H21" s="7" t="s">
        <v>4</v>
      </c>
    </row>
    <row r="22" spans="2:8" x14ac:dyDescent="0.2">
      <c r="D22" s="15">
        <v>112120</v>
      </c>
      <c r="E22" s="19" t="s">
        <v>112</v>
      </c>
      <c r="F22" s="20"/>
      <c r="G22" s="18">
        <v>11212</v>
      </c>
      <c r="H22" s="7" t="s">
        <v>4</v>
      </c>
    </row>
    <row r="23" spans="2:8" x14ac:dyDescent="0.2">
      <c r="D23" s="15" t="s">
        <v>113</v>
      </c>
      <c r="E23" s="19" t="s">
        <v>114</v>
      </c>
      <c r="F23" s="20"/>
      <c r="G23" s="20" t="s">
        <v>115</v>
      </c>
      <c r="H23" s="7" t="s">
        <v>4</v>
      </c>
    </row>
    <row r="24" spans="2:8" x14ac:dyDescent="0.2">
      <c r="D24" s="15">
        <v>112300</v>
      </c>
      <c r="E24" s="19" t="s">
        <v>116</v>
      </c>
      <c r="F24" s="20"/>
      <c r="G24" s="20">
        <v>1123</v>
      </c>
      <c r="H24" s="7" t="s">
        <v>4</v>
      </c>
    </row>
    <row r="25" spans="2:8" x14ac:dyDescent="0.2">
      <c r="D25" s="15" t="s">
        <v>3</v>
      </c>
      <c r="E25" s="19" t="s">
        <v>3</v>
      </c>
      <c r="F25" s="20"/>
      <c r="G25" s="20"/>
      <c r="H25" s="8" t="s">
        <v>3</v>
      </c>
    </row>
    <row r="26" spans="2:8" x14ac:dyDescent="0.2">
      <c r="B26" s="17" t="s">
        <v>117</v>
      </c>
      <c r="C26" s="17" t="s">
        <v>118</v>
      </c>
      <c r="F26" s="20"/>
      <c r="G26" s="18"/>
      <c r="H26" s="8" t="s">
        <v>3</v>
      </c>
    </row>
    <row r="27" spans="2:8" x14ac:dyDescent="0.2">
      <c r="B27" s="17"/>
      <c r="C27" s="17"/>
      <c r="D27" s="15" t="s">
        <v>3</v>
      </c>
      <c r="E27" s="19" t="s">
        <v>3</v>
      </c>
      <c r="F27" s="20"/>
      <c r="G27" s="18"/>
      <c r="H27" s="8" t="s">
        <v>3</v>
      </c>
    </row>
    <row r="28" spans="2:8" x14ac:dyDescent="0.2">
      <c r="B28" s="17"/>
      <c r="C28" s="17" t="s">
        <v>117</v>
      </c>
      <c r="D28" s="14" t="s">
        <v>118</v>
      </c>
      <c r="F28" s="20"/>
      <c r="G28" s="18"/>
      <c r="H28" s="8" t="s">
        <v>3</v>
      </c>
    </row>
    <row r="29" spans="2:8" x14ac:dyDescent="0.2">
      <c r="B29" s="17"/>
      <c r="C29" s="17"/>
      <c r="D29" s="14" t="s">
        <v>3</v>
      </c>
      <c r="E29" s="19" t="s">
        <v>3</v>
      </c>
      <c r="F29" s="20"/>
      <c r="G29" s="18"/>
      <c r="H29" s="8" t="s">
        <v>3</v>
      </c>
    </row>
    <row r="30" spans="2:8" x14ac:dyDescent="0.2">
      <c r="C30" s="14"/>
      <c r="D30" s="15">
        <v>113000</v>
      </c>
      <c r="E30" s="19" t="s">
        <v>119</v>
      </c>
      <c r="F30" s="20"/>
      <c r="G30" s="18">
        <v>113</v>
      </c>
      <c r="H30" s="7" t="s">
        <v>4</v>
      </c>
    </row>
    <row r="31" spans="2:8" x14ac:dyDescent="0.2">
      <c r="D31" s="15">
        <v>114000</v>
      </c>
      <c r="E31" s="19" t="s">
        <v>120</v>
      </c>
      <c r="F31" s="20"/>
      <c r="G31" s="18">
        <v>114</v>
      </c>
      <c r="H31" s="7" t="s">
        <v>4</v>
      </c>
    </row>
    <row r="32" spans="2:8" x14ac:dyDescent="0.2">
      <c r="D32" s="15">
        <v>115000</v>
      </c>
      <c r="E32" s="19" t="s">
        <v>121</v>
      </c>
      <c r="F32" s="20"/>
      <c r="G32" s="20">
        <v>115</v>
      </c>
      <c r="H32" s="7" t="s">
        <v>4</v>
      </c>
    </row>
    <row r="33" spans="1:8" x14ac:dyDescent="0.2">
      <c r="D33" s="15" t="s">
        <v>3</v>
      </c>
      <c r="E33" s="19" t="s">
        <v>3</v>
      </c>
      <c r="F33" s="20"/>
      <c r="G33" s="20"/>
      <c r="H33" s="8" t="s">
        <v>3</v>
      </c>
    </row>
    <row r="34" spans="1:8" x14ac:dyDescent="0.2">
      <c r="A34" s="14">
        <v>21</v>
      </c>
      <c r="B34" s="14" t="s">
        <v>122</v>
      </c>
      <c r="D34" s="15" t="s">
        <v>3</v>
      </c>
      <c r="E34" s="14" t="s">
        <v>3</v>
      </c>
      <c r="F34" s="20"/>
      <c r="G34" s="20"/>
      <c r="H34" s="8" t="s">
        <v>3</v>
      </c>
    </row>
    <row r="35" spans="1:8" x14ac:dyDescent="0.2">
      <c r="A35" s="14"/>
      <c r="B35" s="14"/>
      <c r="D35" s="15" t="s">
        <v>3</v>
      </c>
      <c r="E35" s="14" t="s">
        <v>3</v>
      </c>
      <c r="F35" s="20"/>
      <c r="G35" s="20"/>
      <c r="H35" s="8" t="s">
        <v>3</v>
      </c>
    </row>
    <row r="36" spans="1:8" x14ac:dyDescent="0.2">
      <c r="A36" s="14"/>
      <c r="B36" s="17">
        <v>211</v>
      </c>
      <c r="C36" s="17" t="s">
        <v>123</v>
      </c>
      <c r="E36" s="14" t="s">
        <v>3</v>
      </c>
      <c r="F36" s="20"/>
      <c r="G36" s="20"/>
      <c r="H36" s="8" t="s">
        <v>3</v>
      </c>
    </row>
    <row r="37" spans="1:8" x14ac:dyDescent="0.2">
      <c r="A37" s="14"/>
      <c r="B37" s="17"/>
      <c r="C37" s="17"/>
      <c r="D37" s="15" t="s">
        <v>3</v>
      </c>
      <c r="E37" s="14" t="s">
        <v>3</v>
      </c>
      <c r="F37" s="20"/>
      <c r="G37" s="20"/>
      <c r="H37" s="8" t="s">
        <v>3</v>
      </c>
    </row>
    <row r="38" spans="1:8" x14ac:dyDescent="0.2">
      <c r="C38" s="14">
        <v>211</v>
      </c>
      <c r="D38" s="14" t="s">
        <v>123</v>
      </c>
      <c r="F38" s="20"/>
      <c r="G38" s="20"/>
      <c r="H38" s="8" t="s">
        <v>3</v>
      </c>
    </row>
    <row r="39" spans="1:8" x14ac:dyDescent="0.2">
      <c r="C39" s="14"/>
      <c r="D39" s="14" t="s">
        <v>3</v>
      </c>
      <c r="E39" s="19" t="s">
        <v>3</v>
      </c>
      <c r="F39" s="20"/>
      <c r="G39" s="20"/>
      <c r="H39" s="8" t="s">
        <v>3</v>
      </c>
    </row>
    <row r="40" spans="1:8" x14ac:dyDescent="0.2">
      <c r="D40" s="15">
        <v>211000</v>
      </c>
      <c r="E40" s="19" t="s">
        <v>123</v>
      </c>
      <c r="F40" s="20"/>
      <c r="G40" s="18">
        <v>211</v>
      </c>
      <c r="H40" s="7" t="s">
        <v>856</v>
      </c>
    </row>
    <row r="41" spans="1:8" x14ac:dyDescent="0.2">
      <c r="D41" s="15" t="s">
        <v>3</v>
      </c>
      <c r="E41" s="19" t="s">
        <v>3</v>
      </c>
      <c r="F41" s="20"/>
      <c r="G41" s="18"/>
      <c r="H41" s="8" t="s">
        <v>3</v>
      </c>
    </row>
    <row r="42" spans="1:8" x14ac:dyDescent="0.2">
      <c r="B42" s="14">
        <v>212</v>
      </c>
      <c r="C42" s="14" t="s">
        <v>124</v>
      </c>
      <c r="F42" s="20"/>
      <c r="G42" s="18"/>
      <c r="H42" s="8" t="s">
        <v>3</v>
      </c>
    </row>
    <row r="43" spans="1:8" x14ac:dyDescent="0.2">
      <c r="B43" s="14"/>
      <c r="C43" s="14"/>
      <c r="D43" s="15" t="s">
        <v>3</v>
      </c>
      <c r="E43" s="19" t="s">
        <v>3</v>
      </c>
      <c r="F43" s="20"/>
      <c r="G43" s="18"/>
      <c r="H43" s="8" t="s">
        <v>3</v>
      </c>
    </row>
    <row r="44" spans="1:8" x14ac:dyDescent="0.2">
      <c r="B44" s="14"/>
      <c r="C44" s="14">
        <v>212</v>
      </c>
      <c r="D44" s="14" t="s">
        <v>124</v>
      </c>
      <c r="E44" s="21"/>
      <c r="F44" s="20"/>
      <c r="G44" s="18"/>
      <c r="H44" s="8" t="s">
        <v>3</v>
      </c>
    </row>
    <row r="45" spans="1:8" x14ac:dyDescent="0.2">
      <c r="B45" s="14"/>
      <c r="C45" s="14"/>
      <c r="D45" s="14" t="s">
        <v>3</v>
      </c>
      <c r="E45" s="19" t="s">
        <v>3</v>
      </c>
      <c r="F45" s="20"/>
      <c r="G45" s="18"/>
      <c r="H45" s="8" t="s">
        <v>3</v>
      </c>
    </row>
    <row r="46" spans="1:8" x14ac:dyDescent="0.2">
      <c r="D46" s="15">
        <v>212100</v>
      </c>
      <c r="E46" s="19" t="s">
        <v>125</v>
      </c>
      <c r="F46" s="20"/>
      <c r="G46" s="18">
        <v>2121</v>
      </c>
      <c r="H46" s="7" t="s">
        <v>857</v>
      </c>
    </row>
    <row r="47" spans="1:8" x14ac:dyDescent="0.2">
      <c r="D47" s="15" t="s">
        <v>126</v>
      </c>
      <c r="E47" s="19" t="s">
        <v>127</v>
      </c>
      <c r="F47" s="20"/>
      <c r="G47" s="18" t="s">
        <v>128</v>
      </c>
      <c r="H47" s="7" t="s">
        <v>5</v>
      </c>
    </row>
    <row r="48" spans="1:8" x14ac:dyDescent="0.2">
      <c r="D48" s="15">
        <v>212230</v>
      </c>
      <c r="E48" s="19" t="s">
        <v>129</v>
      </c>
      <c r="F48" s="20"/>
      <c r="G48" s="18">
        <v>21223</v>
      </c>
      <c r="H48" s="7" t="s">
        <v>5</v>
      </c>
    </row>
    <row r="49" spans="1:8" x14ac:dyDescent="0.2">
      <c r="D49" s="15">
        <v>212310</v>
      </c>
      <c r="E49" s="19" t="s">
        <v>130</v>
      </c>
      <c r="F49" s="20"/>
      <c r="G49" s="20">
        <v>21231</v>
      </c>
      <c r="H49" s="7" t="s">
        <v>5</v>
      </c>
    </row>
    <row r="50" spans="1:8" x14ac:dyDescent="0.2">
      <c r="D50" s="15" t="s">
        <v>131</v>
      </c>
      <c r="E50" s="19" t="s">
        <v>132</v>
      </c>
      <c r="F50" s="20"/>
      <c r="G50" s="20" t="s">
        <v>133</v>
      </c>
      <c r="H50" s="7" t="s">
        <v>5</v>
      </c>
    </row>
    <row r="51" spans="1:8" x14ac:dyDescent="0.2">
      <c r="D51" s="15" t="s">
        <v>3</v>
      </c>
      <c r="E51" s="19" t="s">
        <v>3</v>
      </c>
      <c r="F51" s="20"/>
      <c r="G51" s="20"/>
      <c r="H51" s="8" t="s">
        <v>3</v>
      </c>
    </row>
    <row r="52" spans="1:8" x14ac:dyDescent="0.2">
      <c r="B52" s="14">
        <v>213</v>
      </c>
      <c r="C52" s="14" t="s">
        <v>134</v>
      </c>
      <c r="F52" s="20"/>
      <c r="G52" s="18"/>
      <c r="H52" s="8" t="s">
        <v>3</v>
      </c>
    </row>
    <row r="53" spans="1:8" x14ac:dyDescent="0.2">
      <c r="B53" s="14"/>
      <c r="C53" s="14"/>
      <c r="D53" s="15" t="s">
        <v>3</v>
      </c>
      <c r="E53" s="19" t="s">
        <v>3</v>
      </c>
      <c r="F53" s="20"/>
      <c r="G53" s="18"/>
      <c r="H53" s="8" t="s">
        <v>3</v>
      </c>
    </row>
    <row r="54" spans="1:8" x14ac:dyDescent="0.2">
      <c r="C54" s="14">
        <v>213</v>
      </c>
      <c r="D54" s="14" t="s">
        <v>134</v>
      </c>
      <c r="F54" s="20"/>
      <c r="G54" s="18"/>
      <c r="H54" s="8" t="s">
        <v>3</v>
      </c>
    </row>
    <row r="55" spans="1:8" x14ac:dyDescent="0.2">
      <c r="C55" s="14"/>
      <c r="D55" s="14" t="s">
        <v>3</v>
      </c>
      <c r="E55" s="19" t="s">
        <v>3</v>
      </c>
      <c r="F55" s="20"/>
      <c r="G55" s="18"/>
      <c r="H55" s="8" t="s">
        <v>3</v>
      </c>
    </row>
    <row r="56" spans="1:8" x14ac:dyDescent="0.2">
      <c r="D56" s="15">
        <v>213111</v>
      </c>
      <c r="E56" s="19" t="s">
        <v>135</v>
      </c>
      <c r="F56" s="20"/>
      <c r="G56" s="18">
        <v>213111</v>
      </c>
      <c r="H56" s="7" t="s">
        <v>6</v>
      </c>
    </row>
    <row r="57" spans="1:8" x14ac:dyDescent="0.2">
      <c r="D57" s="15" t="s">
        <v>136</v>
      </c>
      <c r="E57" s="19" t="s">
        <v>137</v>
      </c>
      <c r="F57" s="20"/>
      <c r="G57" s="18" t="s">
        <v>138</v>
      </c>
      <c r="H57" s="7" t="s">
        <v>6</v>
      </c>
    </row>
    <row r="58" spans="1:8" x14ac:dyDescent="0.2">
      <c r="D58" s="15" t="s">
        <v>3</v>
      </c>
      <c r="E58" s="19" t="s">
        <v>3</v>
      </c>
      <c r="F58" s="20"/>
      <c r="G58" s="18"/>
      <c r="H58" s="8" t="s">
        <v>3</v>
      </c>
    </row>
    <row r="59" spans="1:8" x14ac:dyDescent="0.2">
      <c r="A59" s="14">
        <v>22</v>
      </c>
      <c r="B59" s="14" t="s">
        <v>139</v>
      </c>
      <c r="D59" s="15" t="s">
        <v>3</v>
      </c>
      <c r="E59" s="14" t="s">
        <v>3</v>
      </c>
      <c r="F59" s="20"/>
      <c r="G59" s="18"/>
      <c r="H59" s="8" t="s">
        <v>3</v>
      </c>
    </row>
    <row r="60" spans="1:8" x14ac:dyDescent="0.2">
      <c r="A60" s="14"/>
      <c r="B60" s="14"/>
      <c r="D60" s="15" t="s">
        <v>3</v>
      </c>
      <c r="E60" s="14" t="s">
        <v>3</v>
      </c>
      <c r="F60" s="20"/>
      <c r="G60" s="18"/>
      <c r="H60" s="8" t="s">
        <v>3</v>
      </c>
    </row>
    <row r="61" spans="1:8" x14ac:dyDescent="0.2">
      <c r="A61" s="14"/>
      <c r="B61" s="14">
        <v>22</v>
      </c>
      <c r="C61" s="14" t="s">
        <v>140</v>
      </c>
      <c r="D61" s="22"/>
      <c r="E61" s="14" t="s">
        <v>3</v>
      </c>
      <c r="F61" s="20"/>
      <c r="G61" s="18"/>
      <c r="H61" s="8" t="s">
        <v>3</v>
      </c>
    </row>
    <row r="62" spans="1:8" x14ac:dyDescent="0.2">
      <c r="A62" s="14"/>
      <c r="B62" s="14"/>
      <c r="D62" s="15" t="s">
        <v>3</v>
      </c>
      <c r="E62" s="14" t="s">
        <v>3</v>
      </c>
      <c r="F62" s="20"/>
      <c r="G62" s="18"/>
      <c r="H62" s="8" t="s">
        <v>3</v>
      </c>
    </row>
    <row r="63" spans="1:8" x14ac:dyDescent="0.2">
      <c r="A63" s="14"/>
      <c r="C63" s="14">
        <v>2211</v>
      </c>
      <c r="D63" s="14" t="s">
        <v>141</v>
      </c>
      <c r="E63" s="14"/>
      <c r="F63" s="20"/>
      <c r="G63" s="18"/>
      <c r="H63" s="8" t="s">
        <v>3</v>
      </c>
    </row>
    <row r="64" spans="1:8" x14ac:dyDescent="0.2">
      <c r="A64" s="14"/>
      <c r="C64" s="14"/>
      <c r="D64" s="14" t="s">
        <v>3</v>
      </c>
      <c r="E64" s="14" t="s">
        <v>3</v>
      </c>
      <c r="F64" s="20"/>
      <c r="G64" s="18"/>
      <c r="H64" s="8" t="s">
        <v>3</v>
      </c>
    </row>
    <row r="65" spans="1:8" x14ac:dyDescent="0.2">
      <c r="D65" s="15">
        <v>221100</v>
      </c>
      <c r="E65" s="19" t="s">
        <v>141</v>
      </c>
      <c r="F65" s="20"/>
      <c r="G65" s="20">
        <v>2211</v>
      </c>
      <c r="H65" s="7" t="s">
        <v>873</v>
      </c>
    </row>
    <row r="66" spans="1:8" x14ac:dyDescent="0.2">
      <c r="D66" s="15" t="s">
        <v>3</v>
      </c>
      <c r="E66" s="19" t="s">
        <v>3</v>
      </c>
      <c r="F66" s="20"/>
      <c r="G66" s="18"/>
      <c r="H66" s="8" t="s">
        <v>3</v>
      </c>
    </row>
    <row r="67" spans="1:8" x14ac:dyDescent="0.2">
      <c r="C67" s="14" t="s">
        <v>142</v>
      </c>
      <c r="D67" s="14" t="s">
        <v>143</v>
      </c>
      <c r="F67" s="20"/>
      <c r="G67" s="20"/>
      <c r="H67" s="8" t="s">
        <v>3</v>
      </c>
    </row>
    <row r="68" spans="1:8" x14ac:dyDescent="0.2">
      <c r="C68" s="14"/>
      <c r="D68" s="14" t="s">
        <v>3</v>
      </c>
      <c r="E68" s="19" t="s">
        <v>3</v>
      </c>
      <c r="F68" s="20"/>
      <c r="G68" s="20"/>
      <c r="H68" s="8" t="s">
        <v>3</v>
      </c>
    </row>
    <row r="69" spans="1:8" x14ac:dyDescent="0.2">
      <c r="D69" s="15">
        <v>221200</v>
      </c>
      <c r="E69" s="19" t="s">
        <v>144</v>
      </c>
      <c r="F69" s="20"/>
      <c r="G69" s="18">
        <v>2212</v>
      </c>
      <c r="H69" s="7" t="s">
        <v>874</v>
      </c>
    </row>
    <row r="70" spans="1:8" x14ac:dyDescent="0.2">
      <c r="D70" s="15">
        <v>221300</v>
      </c>
      <c r="E70" s="19" t="s">
        <v>145</v>
      </c>
      <c r="F70" s="20"/>
      <c r="G70" s="18">
        <v>2213</v>
      </c>
      <c r="H70" s="7" t="s">
        <v>875</v>
      </c>
    </row>
    <row r="71" spans="1:8" x14ac:dyDescent="0.2">
      <c r="D71" s="15" t="s">
        <v>3</v>
      </c>
      <c r="E71" s="19" t="s">
        <v>3</v>
      </c>
      <c r="F71" s="20"/>
      <c r="G71" s="18"/>
      <c r="H71" s="8" t="s">
        <v>3</v>
      </c>
    </row>
    <row r="72" spans="1:8" x14ac:dyDescent="0.2">
      <c r="A72" s="14">
        <v>23</v>
      </c>
      <c r="B72" s="14" t="s">
        <v>146</v>
      </c>
      <c r="C72" s="14"/>
      <c r="E72" s="15" t="s">
        <v>3</v>
      </c>
      <c r="F72" s="20"/>
      <c r="G72" s="18"/>
      <c r="H72" s="8" t="s">
        <v>3</v>
      </c>
    </row>
    <row r="73" spans="1:8" x14ac:dyDescent="0.2">
      <c r="A73" s="14"/>
      <c r="B73" s="14"/>
      <c r="C73" s="14"/>
      <c r="E73" s="15" t="s">
        <v>3</v>
      </c>
      <c r="F73" s="20"/>
      <c r="G73" s="18"/>
      <c r="H73" s="8" t="s">
        <v>3</v>
      </c>
    </row>
    <row r="74" spans="1:8" x14ac:dyDescent="0.2">
      <c r="A74" s="14"/>
      <c r="B74" s="14">
        <v>23</v>
      </c>
      <c r="C74" s="14" t="s">
        <v>147</v>
      </c>
      <c r="E74" s="15"/>
      <c r="F74" s="20"/>
      <c r="G74" s="18"/>
      <c r="H74" s="8" t="s">
        <v>3</v>
      </c>
    </row>
    <row r="75" spans="1:8" x14ac:dyDescent="0.2">
      <c r="A75" s="14"/>
      <c r="B75" s="14"/>
      <c r="C75" s="14"/>
      <c r="D75" s="15" t="s">
        <v>3</v>
      </c>
      <c r="E75" s="15" t="s">
        <v>3</v>
      </c>
      <c r="F75" s="20"/>
      <c r="G75" s="18"/>
      <c r="H75" s="8" t="s">
        <v>3</v>
      </c>
    </row>
    <row r="76" spans="1:8" x14ac:dyDescent="0.2">
      <c r="A76" s="14"/>
      <c r="B76" s="14"/>
      <c r="C76" s="14" t="s">
        <v>148</v>
      </c>
      <c r="D76" s="14" t="s">
        <v>149</v>
      </c>
      <c r="E76" s="15"/>
      <c r="F76" s="20"/>
      <c r="G76" s="18"/>
      <c r="H76" s="8" t="s">
        <v>3</v>
      </c>
    </row>
    <row r="77" spans="1:8" x14ac:dyDescent="0.2">
      <c r="A77" s="14"/>
      <c r="B77" s="14"/>
      <c r="C77" s="14"/>
      <c r="D77" s="14" t="s">
        <v>3</v>
      </c>
      <c r="E77" s="15" t="s">
        <v>3</v>
      </c>
      <c r="F77" s="20"/>
      <c r="G77" s="18"/>
      <c r="H77" s="8" t="s">
        <v>3</v>
      </c>
    </row>
    <row r="78" spans="1:8" x14ac:dyDescent="0.2">
      <c r="A78" s="14"/>
      <c r="B78" s="14"/>
      <c r="D78" s="15">
        <v>233210</v>
      </c>
      <c r="E78" s="19" t="s">
        <v>150</v>
      </c>
      <c r="F78" s="20" t="s">
        <v>151</v>
      </c>
      <c r="G78" s="18" t="s">
        <v>152</v>
      </c>
      <c r="H78" s="7" t="s">
        <v>20</v>
      </c>
    </row>
    <row r="79" spans="1:8" x14ac:dyDescent="0.2">
      <c r="A79" s="14"/>
      <c r="B79" s="14"/>
      <c r="D79" s="15">
        <v>233262</v>
      </c>
      <c r="E79" s="19" t="s">
        <v>153</v>
      </c>
      <c r="F79" s="20" t="s">
        <v>151</v>
      </c>
      <c r="G79" s="18" t="s">
        <v>152</v>
      </c>
      <c r="H79" s="7" t="s">
        <v>20</v>
      </c>
    </row>
    <row r="80" spans="1:8" x14ac:dyDescent="0.2">
      <c r="A80" s="14"/>
      <c r="B80" s="14"/>
      <c r="C80" s="14"/>
      <c r="D80" s="15" t="s">
        <v>3</v>
      </c>
      <c r="E80" s="15" t="s">
        <v>3</v>
      </c>
      <c r="F80" s="20"/>
      <c r="G80" s="18"/>
      <c r="H80" s="8" t="s">
        <v>3</v>
      </c>
    </row>
    <row r="81" spans="1:8" x14ac:dyDescent="0.2">
      <c r="A81" s="14"/>
      <c r="B81" s="14"/>
      <c r="C81" s="14" t="s">
        <v>154</v>
      </c>
      <c r="D81" s="14" t="s">
        <v>155</v>
      </c>
      <c r="E81" s="15"/>
      <c r="F81" s="20"/>
      <c r="G81" s="18"/>
      <c r="H81" s="8" t="s">
        <v>3</v>
      </c>
    </row>
    <row r="82" spans="1:8" x14ac:dyDescent="0.2">
      <c r="A82" s="14"/>
      <c r="B82" s="14"/>
      <c r="C82" s="14"/>
      <c r="D82" s="14" t="s">
        <v>3</v>
      </c>
      <c r="E82" s="15" t="s">
        <v>3</v>
      </c>
      <c r="F82" s="20"/>
      <c r="G82" s="18"/>
      <c r="H82" s="8" t="s">
        <v>3</v>
      </c>
    </row>
    <row r="83" spans="1:8" x14ac:dyDescent="0.2">
      <c r="A83" s="14"/>
      <c r="B83" s="14"/>
      <c r="D83" s="15" t="s">
        <v>156</v>
      </c>
      <c r="E83" s="19" t="s">
        <v>155</v>
      </c>
      <c r="F83" s="20" t="s">
        <v>151</v>
      </c>
      <c r="G83" s="18" t="s">
        <v>152</v>
      </c>
      <c r="H83" s="7" t="s">
        <v>20</v>
      </c>
    </row>
    <row r="84" spans="1:8" x14ac:dyDescent="0.2">
      <c r="A84" s="14"/>
      <c r="B84" s="14"/>
      <c r="C84" s="14"/>
      <c r="D84" s="15" t="s">
        <v>3</v>
      </c>
      <c r="E84" s="15" t="s">
        <v>3</v>
      </c>
      <c r="F84" s="20"/>
      <c r="G84" s="18"/>
      <c r="H84" s="8" t="s">
        <v>3</v>
      </c>
    </row>
    <row r="85" spans="1:8" x14ac:dyDescent="0.2">
      <c r="A85" s="14"/>
      <c r="B85" s="14"/>
      <c r="C85" s="14" t="s">
        <v>157</v>
      </c>
      <c r="D85" s="14" t="s">
        <v>158</v>
      </c>
      <c r="E85" s="15"/>
      <c r="F85" s="20"/>
      <c r="G85" s="18"/>
      <c r="H85" s="8" t="s">
        <v>3</v>
      </c>
    </row>
    <row r="86" spans="1:8" x14ac:dyDescent="0.2">
      <c r="A86" s="14"/>
      <c r="B86" s="14"/>
      <c r="C86" s="14"/>
      <c r="D86" s="14" t="s">
        <v>3</v>
      </c>
      <c r="E86" s="15" t="s">
        <v>3</v>
      </c>
      <c r="F86" s="20"/>
      <c r="G86" s="18"/>
      <c r="H86" s="8" t="s">
        <v>3</v>
      </c>
    </row>
    <row r="87" spans="1:8" x14ac:dyDescent="0.2">
      <c r="A87" s="14"/>
      <c r="B87" s="14"/>
      <c r="D87" s="15">
        <v>233240</v>
      </c>
      <c r="E87" s="19" t="s">
        <v>158</v>
      </c>
      <c r="F87" s="20" t="s">
        <v>151</v>
      </c>
      <c r="G87" s="18" t="s">
        <v>152</v>
      </c>
      <c r="H87" s="7" t="s">
        <v>20</v>
      </c>
    </row>
    <row r="88" spans="1:8" x14ac:dyDescent="0.2">
      <c r="A88" s="14"/>
      <c r="B88" s="14"/>
      <c r="C88" s="14"/>
      <c r="D88" s="15" t="s">
        <v>3</v>
      </c>
      <c r="E88" s="15" t="s">
        <v>3</v>
      </c>
      <c r="F88" s="20"/>
      <c r="G88" s="18"/>
      <c r="H88" s="8" t="s">
        <v>3</v>
      </c>
    </row>
    <row r="89" spans="1:8" x14ac:dyDescent="0.2">
      <c r="A89" s="14"/>
      <c r="B89" s="14"/>
      <c r="C89" s="14" t="s">
        <v>159</v>
      </c>
      <c r="D89" s="14" t="s">
        <v>160</v>
      </c>
      <c r="E89" s="15"/>
      <c r="F89" s="20"/>
      <c r="G89" s="18"/>
      <c r="H89" s="8" t="s">
        <v>3</v>
      </c>
    </row>
    <row r="90" spans="1:8" x14ac:dyDescent="0.2">
      <c r="A90" s="14"/>
      <c r="B90" s="14"/>
      <c r="C90" s="14"/>
      <c r="D90" s="14" t="s">
        <v>3</v>
      </c>
      <c r="E90" s="15" t="s">
        <v>3</v>
      </c>
      <c r="F90" s="20"/>
      <c r="G90" s="18"/>
      <c r="H90" s="8" t="s">
        <v>3</v>
      </c>
    </row>
    <row r="91" spans="1:8" x14ac:dyDescent="0.2">
      <c r="A91" s="14"/>
      <c r="B91" s="14"/>
      <c r="D91" s="23" t="s">
        <v>161</v>
      </c>
      <c r="E91" s="23" t="s">
        <v>160</v>
      </c>
      <c r="F91" s="20"/>
      <c r="G91" s="18" t="s">
        <v>152</v>
      </c>
      <c r="H91" s="7" t="s">
        <v>20</v>
      </c>
    </row>
    <row r="92" spans="1:8" x14ac:dyDescent="0.2">
      <c r="A92" s="14"/>
      <c r="B92" s="14"/>
      <c r="C92" s="14"/>
      <c r="D92" s="15" t="s">
        <v>3</v>
      </c>
      <c r="E92" s="15" t="s">
        <v>3</v>
      </c>
      <c r="F92" s="20"/>
      <c r="G92" s="18"/>
      <c r="H92" s="8" t="s">
        <v>3</v>
      </c>
    </row>
    <row r="93" spans="1:8" x14ac:dyDescent="0.2">
      <c r="A93" s="14"/>
      <c r="B93" s="14"/>
      <c r="C93" s="14" t="s">
        <v>162</v>
      </c>
      <c r="D93" s="14" t="s">
        <v>163</v>
      </c>
      <c r="E93" s="15"/>
      <c r="F93" s="20"/>
      <c r="G93" s="18"/>
      <c r="H93" s="8" t="s">
        <v>3</v>
      </c>
    </row>
    <row r="94" spans="1:8" x14ac:dyDescent="0.2">
      <c r="A94" s="14"/>
      <c r="B94" s="14"/>
      <c r="C94" s="14"/>
      <c r="D94" s="14" t="s">
        <v>3</v>
      </c>
      <c r="E94" s="15" t="s">
        <v>3</v>
      </c>
      <c r="F94" s="20"/>
      <c r="G94" s="18"/>
      <c r="H94" s="8" t="s">
        <v>3</v>
      </c>
    </row>
    <row r="95" spans="1:8" x14ac:dyDescent="0.2">
      <c r="A95" s="14"/>
      <c r="B95" s="14"/>
      <c r="D95" s="15">
        <v>233230</v>
      </c>
      <c r="E95" s="19" t="s">
        <v>164</v>
      </c>
      <c r="F95" s="20" t="s">
        <v>151</v>
      </c>
      <c r="G95" s="18" t="s">
        <v>152</v>
      </c>
      <c r="H95" s="7" t="s">
        <v>20</v>
      </c>
    </row>
    <row r="96" spans="1:8" x14ac:dyDescent="0.2">
      <c r="A96" s="14"/>
      <c r="B96" s="14"/>
      <c r="D96" s="23" t="s">
        <v>165</v>
      </c>
      <c r="E96" s="23" t="s">
        <v>163</v>
      </c>
      <c r="F96" s="20"/>
      <c r="G96" s="18" t="s">
        <v>152</v>
      </c>
      <c r="H96" s="7" t="s">
        <v>20</v>
      </c>
    </row>
    <row r="97" spans="1:8" x14ac:dyDescent="0.2">
      <c r="A97" s="14"/>
      <c r="B97" s="14"/>
      <c r="D97" s="23" t="s">
        <v>3</v>
      </c>
      <c r="E97" s="23" t="s">
        <v>3</v>
      </c>
      <c r="F97" s="20"/>
      <c r="G97" s="18"/>
      <c r="H97" s="8" t="s">
        <v>3</v>
      </c>
    </row>
    <row r="98" spans="1:8" x14ac:dyDescent="0.2">
      <c r="A98" s="14"/>
      <c r="B98" s="14"/>
      <c r="C98" s="14" t="s">
        <v>166</v>
      </c>
      <c r="D98" s="14" t="s">
        <v>167</v>
      </c>
      <c r="E98" s="15"/>
      <c r="F98" s="20"/>
      <c r="G98" s="18"/>
      <c r="H98" s="8" t="s">
        <v>3</v>
      </c>
    </row>
    <row r="99" spans="1:8" x14ac:dyDescent="0.2">
      <c r="A99" s="14"/>
      <c r="B99" s="14"/>
      <c r="C99" s="14"/>
      <c r="D99" s="14" t="s">
        <v>3</v>
      </c>
      <c r="E99" s="15" t="s">
        <v>3</v>
      </c>
      <c r="F99" s="20"/>
      <c r="G99" s="18"/>
      <c r="H99" s="8" t="s">
        <v>3</v>
      </c>
    </row>
    <row r="100" spans="1:8" x14ac:dyDescent="0.2">
      <c r="A100" s="14"/>
      <c r="B100" s="14"/>
      <c r="D100" s="15">
        <v>233411</v>
      </c>
      <c r="E100" s="19" t="s">
        <v>167</v>
      </c>
      <c r="F100" s="20" t="s">
        <v>151</v>
      </c>
      <c r="G100" s="18" t="s">
        <v>152</v>
      </c>
      <c r="H100" s="7" t="s">
        <v>20</v>
      </c>
    </row>
    <row r="101" spans="1:8" x14ac:dyDescent="0.2">
      <c r="A101" s="14"/>
      <c r="B101" s="14"/>
      <c r="D101" s="15" t="s">
        <v>3</v>
      </c>
      <c r="E101" s="19" t="s">
        <v>3</v>
      </c>
      <c r="F101" s="20"/>
      <c r="G101" s="18"/>
      <c r="H101" s="8" t="s">
        <v>3</v>
      </c>
    </row>
    <row r="102" spans="1:8" x14ac:dyDescent="0.2">
      <c r="A102" s="14"/>
      <c r="B102" s="14"/>
      <c r="C102" s="14" t="s">
        <v>168</v>
      </c>
      <c r="D102" s="14" t="s">
        <v>169</v>
      </c>
      <c r="E102" s="15"/>
      <c r="F102" s="20"/>
      <c r="G102" s="18"/>
      <c r="H102" s="8" t="s">
        <v>3</v>
      </c>
    </row>
    <row r="103" spans="1:8" x14ac:dyDescent="0.2">
      <c r="A103" s="14"/>
      <c r="B103" s="14"/>
      <c r="C103" s="14"/>
      <c r="D103" s="14" t="s">
        <v>3</v>
      </c>
      <c r="E103" s="15" t="s">
        <v>3</v>
      </c>
      <c r="F103" s="20"/>
      <c r="G103" s="18"/>
      <c r="H103" s="8" t="s">
        <v>3</v>
      </c>
    </row>
    <row r="104" spans="1:8" x14ac:dyDescent="0.2">
      <c r="A104" s="14"/>
      <c r="B104" s="14"/>
      <c r="D104" s="15">
        <v>233412</v>
      </c>
      <c r="E104" s="19" t="s">
        <v>170</v>
      </c>
      <c r="F104" s="20" t="s">
        <v>151</v>
      </c>
      <c r="G104" s="18" t="s">
        <v>152</v>
      </c>
      <c r="H104" s="7" t="s">
        <v>20</v>
      </c>
    </row>
    <row r="105" spans="1:8" x14ac:dyDescent="0.2">
      <c r="A105" s="14"/>
      <c r="B105" s="14"/>
      <c r="D105" s="15" t="s">
        <v>171</v>
      </c>
      <c r="E105" s="19" t="s">
        <v>172</v>
      </c>
      <c r="F105" s="20" t="s">
        <v>151</v>
      </c>
      <c r="G105" s="18" t="s">
        <v>152</v>
      </c>
      <c r="H105" s="7" t="s">
        <v>20</v>
      </c>
    </row>
    <row r="106" spans="1:8" x14ac:dyDescent="0.2">
      <c r="A106" s="14"/>
      <c r="B106" s="14"/>
      <c r="C106" s="14"/>
      <c r="D106" s="15" t="s">
        <v>3</v>
      </c>
      <c r="E106" s="15" t="s">
        <v>3</v>
      </c>
      <c r="F106" s="20"/>
      <c r="G106" s="18"/>
      <c r="H106" s="8" t="s">
        <v>3</v>
      </c>
    </row>
    <row r="107" spans="1:8" x14ac:dyDescent="0.2">
      <c r="A107" s="14"/>
      <c r="B107" s="14"/>
      <c r="C107" s="14" t="s">
        <v>173</v>
      </c>
      <c r="D107" s="14" t="s">
        <v>174</v>
      </c>
      <c r="E107" s="15"/>
      <c r="F107" s="20"/>
      <c r="G107" s="18"/>
      <c r="H107" s="8" t="s">
        <v>3</v>
      </c>
    </row>
    <row r="108" spans="1:8" x14ac:dyDescent="0.2">
      <c r="A108" s="14"/>
      <c r="B108" s="14"/>
      <c r="C108" s="14"/>
      <c r="D108" s="14" t="s">
        <v>3</v>
      </c>
      <c r="E108" s="15" t="s">
        <v>3</v>
      </c>
      <c r="F108" s="20"/>
      <c r="G108" s="18"/>
      <c r="H108" s="8" t="s">
        <v>3</v>
      </c>
    </row>
    <row r="109" spans="1:8" x14ac:dyDescent="0.2">
      <c r="D109" s="15">
        <v>230301</v>
      </c>
      <c r="E109" s="19" t="s">
        <v>175</v>
      </c>
      <c r="F109" s="20" t="s">
        <v>151</v>
      </c>
      <c r="G109" s="18" t="s">
        <v>152</v>
      </c>
      <c r="H109" s="7" t="s">
        <v>20</v>
      </c>
    </row>
    <row r="110" spans="1:8" x14ac:dyDescent="0.2">
      <c r="D110" s="15">
        <v>230302</v>
      </c>
      <c r="E110" s="19" t="s">
        <v>176</v>
      </c>
      <c r="F110" s="20" t="s">
        <v>151</v>
      </c>
      <c r="G110" s="18" t="s">
        <v>152</v>
      </c>
      <c r="H110" s="7" t="s">
        <v>20</v>
      </c>
    </row>
    <row r="111" spans="1:8" x14ac:dyDescent="0.2">
      <c r="D111" s="15" t="s">
        <v>3</v>
      </c>
      <c r="E111" s="19" t="s">
        <v>3</v>
      </c>
      <c r="F111" s="20"/>
      <c r="G111" s="18"/>
      <c r="H111" s="8" t="s">
        <v>3</v>
      </c>
    </row>
    <row r="112" spans="1:8" x14ac:dyDescent="0.2">
      <c r="A112" s="14" t="s">
        <v>177</v>
      </c>
      <c r="B112" s="14" t="s">
        <v>178</v>
      </c>
      <c r="D112" s="15" t="s">
        <v>3</v>
      </c>
      <c r="E112" s="14" t="s">
        <v>3</v>
      </c>
      <c r="F112" s="20"/>
      <c r="G112" s="18"/>
      <c r="H112" s="8" t="s">
        <v>3</v>
      </c>
    </row>
    <row r="113" spans="1:8" x14ac:dyDescent="0.2">
      <c r="A113" s="14"/>
      <c r="B113" s="14"/>
      <c r="D113" s="15" t="s">
        <v>3</v>
      </c>
      <c r="E113" s="14" t="s">
        <v>3</v>
      </c>
      <c r="F113" s="20"/>
      <c r="G113" s="18"/>
      <c r="H113" s="8" t="s">
        <v>3</v>
      </c>
    </row>
    <row r="114" spans="1:8" x14ac:dyDescent="0.2">
      <c r="B114" s="14">
        <v>321</v>
      </c>
      <c r="C114" s="14" t="s">
        <v>179</v>
      </c>
      <c r="E114" s="19" t="s">
        <v>3</v>
      </c>
      <c r="F114" s="20"/>
      <c r="G114" s="20"/>
      <c r="H114" s="8" t="s">
        <v>3</v>
      </c>
    </row>
    <row r="115" spans="1:8" x14ac:dyDescent="0.2">
      <c r="B115" s="14"/>
      <c r="C115" s="14"/>
      <c r="D115" s="15" t="s">
        <v>3</v>
      </c>
      <c r="E115" s="19" t="s">
        <v>3</v>
      </c>
      <c r="F115" s="20"/>
      <c r="G115" s="20"/>
      <c r="H115" s="8" t="s">
        <v>3</v>
      </c>
    </row>
    <row r="116" spans="1:8" x14ac:dyDescent="0.2">
      <c r="C116" s="14">
        <v>321</v>
      </c>
      <c r="D116" s="14" t="s">
        <v>179</v>
      </c>
      <c r="F116" s="20"/>
      <c r="G116" s="20"/>
      <c r="H116" s="8" t="s">
        <v>3</v>
      </c>
    </row>
    <row r="117" spans="1:8" x14ac:dyDescent="0.2">
      <c r="C117" s="14"/>
      <c r="D117" s="14" t="s">
        <v>3</v>
      </c>
      <c r="E117" s="19" t="s">
        <v>3</v>
      </c>
      <c r="F117" s="20"/>
      <c r="G117" s="20"/>
      <c r="H117" s="8" t="s">
        <v>3</v>
      </c>
    </row>
    <row r="118" spans="1:8" x14ac:dyDescent="0.2">
      <c r="D118" s="15">
        <v>321100</v>
      </c>
      <c r="E118" s="19" t="s">
        <v>180</v>
      </c>
      <c r="F118" s="20"/>
      <c r="G118" s="18">
        <v>3211</v>
      </c>
      <c r="H118" s="7" t="s">
        <v>9</v>
      </c>
    </row>
    <row r="119" spans="1:8" x14ac:dyDescent="0.2">
      <c r="D119" s="15">
        <v>321200</v>
      </c>
      <c r="E119" s="19" t="s">
        <v>181</v>
      </c>
      <c r="F119" s="20"/>
      <c r="G119" s="18">
        <v>3212</v>
      </c>
      <c r="H119" s="7" t="s">
        <v>9</v>
      </c>
    </row>
    <row r="120" spans="1:8" x14ac:dyDescent="0.2">
      <c r="D120" s="15">
        <v>321910</v>
      </c>
      <c r="E120" s="19" t="s">
        <v>182</v>
      </c>
      <c r="F120" s="20"/>
      <c r="G120" s="18">
        <v>32191</v>
      </c>
      <c r="H120" s="7" t="s">
        <v>9</v>
      </c>
    </row>
    <row r="121" spans="1:8" x14ac:dyDescent="0.2">
      <c r="D121" s="15" t="s">
        <v>183</v>
      </c>
      <c r="E121" s="19" t="s">
        <v>184</v>
      </c>
      <c r="F121" s="20"/>
      <c r="G121" s="18" t="s">
        <v>185</v>
      </c>
      <c r="H121" s="7" t="s">
        <v>9</v>
      </c>
    </row>
    <row r="122" spans="1:8" x14ac:dyDescent="0.2">
      <c r="D122" s="15" t="s">
        <v>3</v>
      </c>
      <c r="E122" s="19" t="s">
        <v>3</v>
      </c>
      <c r="F122" s="20"/>
      <c r="G122" s="18"/>
      <c r="H122" s="8" t="s">
        <v>3</v>
      </c>
    </row>
    <row r="123" spans="1:8" x14ac:dyDescent="0.2">
      <c r="B123" s="14">
        <v>327</v>
      </c>
      <c r="C123" s="14" t="s">
        <v>186</v>
      </c>
      <c r="F123" s="20"/>
      <c r="G123" s="18"/>
      <c r="H123" s="8" t="s">
        <v>3</v>
      </c>
    </row>
    <row r="124" spans="1:8" x14ac:dyDescent="0.2">
      <c r="B124" s="14"/>
      <c r="C124" s="14"/>
      <c r="D124" s="15" t="s">
        <v>3</v>
      </c>
      <c r="E124" s="19" t="s">
        <v>3</v>
      </c>
      <c r="F124" s="20"/>
      <c r="G124" s="18"/>
      <c r="H124" s="8" t="s">
        <v>3</v>
      </c>
    </row>
    <row r="125" spans="1:8" x14ac:dyDescent="0.2">
      <c r="C125" s="14">
        <v>327</v>
      </c>
      <c r="D125" s="14" t="s">
        <v>186</v>
      </c>
      <c r="F125" s="20"/>
      <c r="G125" s="18"/>
      <c r="H125" s="8" t="s">
        <v>3</v>
      </c>
    </row>
    <row r="126" spans="1:8" x14ac:dyDescent="0.2">
      <c r="C126" s="14"/>
      <c r="D126" s="14" t="s">
        <v>3</v>
      </c>
      <c r="E126" s="19" t="s">
        <v>3</v>
      </c>
      <c r="F126" s="20"/>
      <c r="G126" s="18"/>
      <c r="H126" s="8" t="s">
        <v>3</v>
      </c>
    </row>
    <row r="127" spans="1:8" x14ac:dyDescent="0.2">
      <c r="D127" s="15">
        <v>327100</v>
      </c>
      <c r="E127" s="19" t="s">
        <v>187</v>
      </c>
      <c r="F127" s="20"/>
      <c r="G127" s="18">
        <v>3271</v>
      </c>
      <c r="H127" s="7" t="s">
        <v>870</v>
      </c>
    </row>
    <row r="128" spans="1:8" x14ac:dyDescent="0.2">
      <c r="D128" s="15">
        <v>327200</v>
      </c>
      <c r="E128" s="19" t="s">
        <v>188</v>
      </c>
      <c r="F128" s="20"/>
      <c r="G128" s="18">
        <v>3272</v>
      </c>
      <c r="H128" s="7" t="s">
        <v>869</v>
      </c>
    </row>
    <row r="129" spans="2:8" x14ac:dyDescent="0.2">
      <c r="D129" s="15">
        <v>327310</v>
      </c>
      <c r="E129" s="19" t="s">
        <v>189</v>
      </c>
      <c r="F129" s="20"/>
      <c r="G129" s="18">
        <v>32731</v>
      </c>
      <c r="H129" s="7" t="s">
        <v>870</v>
      </c>
    </row>
    <row r="130" spans="2:8" x14ac:dyDescent="0.2">
      <c r="D130" s="15">
        <v>327320</v>
      </c>
      <c r="E130" s="19" t="s">
        <v>190</v>
      </c>
      <c r="F130" s="20"/>
      <c r="G130" s="18">
        <v>32732</v>
      </c>
      <c r="H130" s="7" t="s">
        <v>870</v>
      </c>
    </row>
    <row r="131" spans="2:8" x14ac:dyDescent="0.2">
      <c r="D131" s="15">
        <v>327330</v>
      </c>
      <c r="E131" s="19" t="s">
        <v>191</v>
      </c>
      <c r="F131" s="20"/>
      <c r="G131" s="18">
        <v>32733</v>
      </c>
      <c r="H131" s="7" t="s">
        <v>870</v>
      </c>
    </row>
    <row r="132" spans="2:8" x14ac:dyDescent="0.2">
      <c r="D132" s="15">
        <v>327390</v>
      </c>
      <c r="E132" s="19" t="s">
        <v>192</v>
      </c>
      <c r="F132" s="20"/>
      <c r="G132" s="18">
        <v>32739</v>
      </c>
      <c r="H132" s="7" t="s">
        <v>870</v>
      </c>
    </row>
    <row r="133" spans="2:8" x14ac:dyDescent="0.2">
      <c r="D133" s="15">
        <v>327400</v>
      </c>
      <c r="E133" s="19" t="s">
        <v>193</v>
      </c>
      <c r="F133" s="20"/>
      <c r="G133" s="18">
        <v>3274</v>
      </c>
      <c r="H133" s="7" t="s">
        <v>870</v>
      </c>
    </row>
    <row r="134" spans="2:8" x14ac:dyDescent="0.2">
      <c r="D134" s="15">
        <v>327910</v>
      </c>
      <c r="E134" s="19" t="s">
        <v>194</v>
      </c>
      <c r="F134" s="20"/>
      <c r="G134" s="18">
        <v>32791</v>
      </c>
      <c r="H134" s="7" t="s">
        <v>870</v>
      </c>
    </row>
    <row r="135" spans="2:8" x14ac:dyDescent="0.2">
      <c r="D135" s="15">
        <v>327991</v>
      </c>
      <c r="E135" s="19" t="s">
        <v>195</v>
      </c>
      <c r="F135" s="20"/>
      <c r="G135" s="18">
        <v>327991</v>
      </c>
      <c r="H135" s="7" t="s">
        <v>870</v>
      </c>
    </row>
    <row r="136" spans="2:8" x14ac:dyDescent="0.2">
      <c r="D136" s="15">
        <v>327992</v>
      </c>
      <c r="E136" s="19" t="s">
        <v>196</v>
      </c>
      <c r="F136" s="20"/>
      <c r="G136" s="18">
        <v>327992</v>
      </c>
      <c r="H136" s="7" t="s">
        <v>870</v>
      </c>
    </row>
    <row r="137" spans="2:8" x14ac:dyDescent="0.2">
      <c r="D137" s="15">
        <v>327993</v>
      </c>
      <c r="E137" s="19" t="s">
        <v>197</v>
      </c>
      <c r="F137" s="20"/>
      <c r="G137" s="18">
        <v>327993</v>
      </c>
      <c r="H137" s="7" t="s">
        <v>870</v>
      </c>
    </row>
    <row r="138" spans="2:8" x14ac:dyDescent="0.2">
      <c r="D138" s="15">
        <v>327999</v>
      </c>
      <c r="E138" s="19" t="s">
        <v>198</v>
      </c>
      <c r="F138" s="20"/>
      <c r="G138" s="18">
        <v>327999</v>
      </c>
      <c r="H138" s="7" t="s">
        <v>870</v>
      </c>
    </row>
    <row r="139" spans="2:8" x14ac:dyDescent="0.2">
      <c r="D139" s="15" t="s">
        <v>3</v>
      </c>
      <c r="E139" s="19" t="s">
        <v>3</v>
      </c>
      <c r="F139" s="20"/>
      <c r="G139" s="18"/>
      <c r="H139" s="8" t="s">
        <v>3</v>
      </c>
    </row>
    <row r="140" spans="2:8" x14ac:dyDescent="0.2">
      <c r="B140" s="14">
        <v>331</v>
      </c>
      <c r="C140" s="14" t="s">
        <v>199</v>
      </c>
      <c r="F140" s="20"/>
      <c r="G140" s="18"/>
      <c r="H140" s="8" t="s">
        <v>3</v>
      </c>
    </row>
    <row r="141" spans="2:8" x14ac:dyDescent="0.2">
      <c r="B141" s="14"/>
      <c r="C141" s="14"/>
      <c r="D141" s="15" t="s">
        <v>3</v>
      </c>
      <c r="E141" s="19" t="s">
        <v>3</v>
      </c>
      <c r="F141" s="20"/>
      <c r="G141" s="18"/>
      <c r="H141" s="8" t="s">
        <v>3</v>
      </c>
    </row>
    <row r="142" spans="2:8" x14ac:dyDescent="0.2">
      <c r="B142" s="14"/>
      <c r="C142" s="14" t="s">
        <v>200</v>
      </c>
      <c r="D142" s="14" t="s">
        <v>201</v>
      </c>
      <c r="F142" s="20"/>
      <c r="G142" s="18"/>
      <c r="H142" s="8" t="s">
        <v>3</v>
      </c>
    </row>
    <row r="143" spans="2:8" x14ac:dyDescent="0.2">
      <c r="B143" s="14"/>
      <c r="C143" s="14"/>
      <c r="D143" s="14" t="s">
        <v>3</v>
      </c>
      <c r="E143" s="19" t="s">
        <v>3</v>
      </c>
      <c r="F143" s="20"/>
      <c r="G143" s="18"/>
      <c r="H143" s="8" t="s">
        <v>3</v>
      </c>
    </row>
    <row r="144" spans="2:8" x14ac:dyDescent="0.2">
      <c r="D144" s="15">
        <v>331110</v>
      </c>
      <c r="E144" s="19" t="s">
        <v>202</v>
      </c>
      <c r="F144" s="20"/>
      <c r="G144" s="18">
        <v>3311</v>
      </c>
      <c r="H144" s="7" t="s">
        <v>871</v>
      </c>
    </row>
    <row r="145" spans="2:8" x14ac:dyDescent="0.2">
      <c r="D145" s="15">
        <v>331200</v>
      </c>
      <c r="E145" s="19" t="s">
        <v>203</v>
      </c>
      <c r="F145" s="20"/>
      <c r="G145" s="18">
        <v>3312</v>
      </c>
      <c r="H145" s="7" t="s">
        <v>871</v>
      </c>
    </row>
    <row r="146" spans="2:8" x14ac:dyDescent="0.2">
      <c r="D146" s="15" t="s">
        <v>3</v>
      </c>
      <c r="E146" s="19" t="s">
        <v>3</v>
      </c>
      <c r="F146" s="20"/>
      <c r="G146" s="18"/>
      <c r="H146" s="8" t="s">
        <v>3</v>
      </c>
    </row>
    <row r="147" spans="2:8" x14ac:dyDescent="0.2">
      <c r="C147" s="14" t="s">
        <v>204</v>
      </c>
      <c r="D147" s="14" t="s">
        <v>205</v>
      </c>
      <c r="F147" s="20"/>
      <c r="G147" s="18"/>
      <c r="H147" s="8" t="s">
        <v>3</v>
      </c>
    </row>
    <row r="148" spans="2:8" x14ac:dyDescent="0.2">
      <c r="C148" s="14"/>
      <c r="D148" s="15" t="s">
        <v>3</v>
      </c>
      <c r="E148" s="19" t="s">
        <v>3</v>
      </c>
      <c r="F148" s="20"/>
      <c r="G148" s="18"/>
      <c r="H148" s="8" t="s">
        <v>3</v>
      </c>
    </row>
    <row r="149" spans="2:8" x14ac:dyDescent="0.2">
      <c r="D149" s="15">
        <v>331313</v>
      </c>
      <c r="E149" s="19" t="s">
        <v>206</v>
      </c>
      <c r="F149" s="20"/>
      <c r="G149" s="18">
        <v>331313</v>
      </c>
      <c r="H149" s="7" t="s">
        <v>872</v>
      </c>
    </row>
    <row r="150" spans="2:8" x14ac:dyDescent="0.2">
      <c r="C150" s="14"/>
      <c r="D150" s="15">
        <v>331314</v>
      </c>
      <c r="E150" s="19" t="s">
        <v>207</v>
      </c>
      <c r="F150" s="20" t="s">
        <v>208</v>
      </c>
      <c r="G150" s="18">
        <v>331314</v>
      </c>
      <c r="H150" s="7" t="s">
        <v>872</v>
      </c>
    </row>
    <row r="151" spans="2:8" x14ac:dyDescent="0.2">
      <c r="D151" s="15" t="s">
        <v>209</v>
      </c>
      <c r="E151" s="19" t="s">
        <v>210</v>
      </c>
      <c r="F151" s="20"/>
      <c r="G151" s="18" t="s">
        <v>211</v>
      </c>
      <c r="H151" s="7" t="s">
        <v>872</v>
      </c>
    </row>
    <row r="152" spans="2:8" x14ac:dyDescent="0.2">
      <c r="D152" s="15">
        <v>331410</v>
      </c>
      <c r="E152" s="23" t="s">
        <v>212</v>
      </c>
      <c r="F152" s="20"/>
      <c r="G152" s="18">
        <v>331410</v>
      </c>
      <c r="H152" s="7" t="s">
        <v>872</v>
      </c>
    </row>
    <row r="153" spans="2:8" x14ac:dyDescent="0.2">
      <c r="D153" s="15">
        <v>331420</v>
      </c>
      <c r="E153" s="19" t="s">
        <v>213</v>
      </c>
      <c r="F153" s="20"/>
      <c r="G153" s="18">
        <v>33142</v>
      </c>
      <c r="H153" s="7" t="s">
        <v>872</v>
      </c>
    </row>
    <row r="154" spans="2:8" x14ac:dyDescent="0.2">
      <c r="D154" s="15">
        <v>331490</v>
      </c>
      <c r="E154" s="19" t="s">
        <v>214</v>
      </c>
      <c r="F154" s="20"/>
      <c r="G154" s="18">
        <v>33149</v>
      </c>
      <c r="H154" s="7" t="s">
        <v>872</v>
      </c>
    </row>
    <row r="155" spans="2:8" x14ac:dyDescent="0.2">
      <c r="D155" s="15">
        <v>331510</v>
      </c>
      <c r="E155" s="19" t="s">
        <v>215</v>
      </c>
      <c r="F155" s="20"/>
      <c r="G155" s="18">
        <v>33151</v>
      </c>
      <c r="H155" s="7" t="s">
        <v>871</v>
      </c>
    </row>
    <row r="156" spans="2:8" x14ac:dyDescent="0.2">
      <c r="D156" s="15">
        <v>331520</v>
      </c>
      <c r="E156" s="19" t="s">
        <v>216</v>
      </c>
      <c r="F156" s="20"/>
      <c r="G156" s="18">
        <v>33152</v>
      </c>
      <c r="H156" s="7" t="s">
        <v>872</v>
      </c>
    </row>
    <row r="157" spans="2:8" x14ac:dyDescent="0.2">
      <c r="D157" s="15" t="s">
        <v>3</v>
      </c>
      <c r="E157" s="19" t="s">
        <v>3</v>
      </c>
      <c r="F157" s="20"/>
      <c r="G157" s="18"/>
      <c r="H157" s="8" t="s">
        <v>3</v>
      </c>
    </row>
    <row r="158" spans="2:8" x14ac:dyDescent="0.2">
      <c r="B158" s="14">
        <v>332</v>
      </c>
      <c r="C158" s="24" t="s">
        <v>217</v>
      </c>
      <c r="F158" s="20"/>
      <c r="G158" s="18"/>
      <c r="H158" s="8" t="s">
        <v>3</v>
      </c>
    </row>
    <row r="159" spans="2:8" x14ac:dyDescent="0.2">
      <c r="B159" s="14"/>
      <c r="C159" s="24"/>
      <c r="D159" s="15" t="s">
        <v>3</v>
      </c>
      <c r="E159" s="19" t="s">
        <v>3</v>
      </c>
      <c r="F159" s="20"/>
      <c r="G159" s="18"/>
      <c r="H159" s="8" t="s">
        <v>3</v>
      </c>
    </row>
    <row r="160" spans="2:8" x14ac:dyDescent="0.2">
      <c r="C160" s="14">
        <v>332</v>
      </c>
      <c r="D160" s="14" t="s">
        <v>217</v>
      </c>
      <c r="F160" s="20"/>
      <c r="G160" s="18"/>
      <c r="H160" s="8" t="s">
        <v>3</v>
      </c>
    </row>
    <row r="161" spans="3:8" x14ac:dyDescent="0.2">
      <c r="C161" s="14"/>
      <c r="D161" s="14" t="s">
        <v>3</v>
      </c>
      <c r="E161" s="19" t="s">
        <v>3</v>
      </c>
      <c r="F161" s="20"/>
      <c r="G161" s="18"/>
      <c r="H161" s="8" t="s">
        <v>3</v>
      </c>
    </row>
    <row r="162" spans="3:8" x14ac:dyDescent="0.2">
      <c r="C162" s="14"/>
      <c r="D162" s="15" t="s">
        <v>218</v>
      </c>
      <c r="E162" s="19" t="s">
        <v>219</v>
      </c>
      <c r="F162" s="20"/>
      <c r="G162" s="18" t="s">
        <v>220</v>
      </c>
      <c r="H162" s="7" t="s">
        <v>13</v>
      </c>
    </row>
    <row r="163" spans="3:8" x14ac:dyDescent="0.2">
      <c r="D163" s="15">
        <v>332114</v>
      </c>
      <c r="E163" s="19" t="s">
        <v>221</v>
      </c>
      <c r="F163" s="20"/>
      <c r="G163" s="18">
        <v>332114</v>
      </c>
      <c r="H163" s="7" t="s">
        <v>13</v>
      </c>
    </row>
    <row r="164" spans="3:8" x14ac:dyDescent="0.2">
      <c r="D164" s="15">
        <v>332119</v>
      </c>
      <c r="E164" s="19" t="s">
        <v>222</v>
      </c>
      <c r="F164" s="20"/>
      <c r="G164" s="18">
        <v>332119</v>
      </c>
      <c r="H164" s="7" t="s">
        <v>13</v>
      </c>
    </row>
    <row r="165" spans="3:8" x14ac:dyDescent="0.2">
      <c r="C165" s="14"/>
      <c r="D165" s="15">
        <v>332200</v>
      </c>
      <c r="E165" s="19" t="s">
        <v>223</v>
      </c>
      <c r="F165" s="20"/>
      <c r="G165" s="18">
        <v>3322</v>
      </c>
      <c r="H165" s="7" t="s">
        <v>13</v>
      </c>
    </row>
    <row r="166" spans="3:8" x14ac:dyDescent="0.2">
      <c r="D166" s="15">
        <v>332310</v>
      </c>
      <c r="E166" s="19" t="s">
        <v>224</v>
      </c>
      <c r="F166" s="20"/>
      <c r="G166" s="18">
        <v>33231</v>
      </c>
      <c r="H166" s="7" t="s">
        <v>13</v>
      </c>
    </row>
    <row r="167" spans="3:8" x14ac:dyDescent="0.2">
      <c r="D167" s="15">
        <v>332320</v>
      </c>
      <c r="E167" s="19" t="s">
        <v>225</v>
      </c>
      <c r="F167" s="20"/>
      <c r="G167" s="18">
        <v>33232</v>
      </c>
      <c r="H167" s="7" t="s">
        <v>13</v>
      </c>
    </row>
    <row r="168" spans="3:8" x14ac:dyDescent="0.2">
      <c r="D168" s="15">
        <v>332410</v>
      </c>
      <c r="E168" s="19" t="s">
        <v>226</v>
      </c>
      <c r="F168" s="20"/>
      <c r="G168" s="18">
        <v>33241</v>
      </c>
      <c r="H168" s="7" t="s">
        <v>13</v>
      </c>
    </row>
    <row r="169" spans="3:8" x14ac:dyDescent="0.2">
      <c r="D169" s="15">
        <v>332420</v>
      </c>
      <c r="E169" s="19" t="s">
        <v>227</v>
      </c>
      <c r="F169" s="20"/>
      <c r="G169" s="18">
        <v>33242</v>
      </c>
      <c r="H169" s="7" t="s">
        <v>13</v>
      </c>
    </row>
    <row r="170" spans="3:8" x14ac:dyDescent="0.2">
      <c r="D170" s="15">
        <v>332430</v>
      </c>
      <c r="E170" s="19" t="s">
        <v>228</v>
      </c>
      <c r="F170" s="20"/>
      <c r="G170" s="18">
        <v>33243</v>
      </c>
      <c r="H170" s="7" t="s">
        <v>13</v>
      </c>
    </row>
    <row r="171" spans="3:8" x14ac:dyDescent="0.2">
      <c r="D171" s="15">
        <v>332500</v>
      </c>
      <c r="E171" s="19" t="s">
        <v>229</v>
      </c>
      <c r="F171" s="20"/>
      <c r="G171" s="18">
        <v>3325</v>
      </c>
      <c r="H171" s="7" t="s">
        <v>13</v>
      </c>
    </row>
    <row r="172" spans="3:8" x14ac:dyDescent="0.2">
      <c r="D172" s="15">
        <v>332600</v>
      </c>
      <c r="E172" s="19" t="s">
        <v>230</v>
      </c>
      <c r="F172" s="20"/>
      <c r="G172" s="18">
        <v>3326</v>
      </c>
      <c r="H172" s="7" t="s">
        <v>13</v>
      </c>
    </row>
    <row r="173" spans="3:8" x14ac:dyDescent="0.2">
      <c r="D173" s="15">
        <v>332710</v>
      </c>
      <c r="E173" s="19" t="s">
        <v>231</v>
      </c>
      <c r="F173" s="20"/>
      <c r="G173" s="18">
        <v>33271</v>
      </c>
      <c r="H173" s="7" t="s">
        <v>13</v>
      </c>
    </row>
    <row r="174" spans="3:8" x14ac:dyDescent="0.2">
      <c r="D174" s="15">
        <v>332720</v>
      </c>
      <c r="E174" s="19" t="s">
        <v>232</v>
      </c>
      <c r="F174" s="20"/>
      <c r="G174" s="18">
        <v>33272</v>
      </c>
      <c r="H174" s="7" t="s">
        <v>13</v>
      </c>
    </row>
    <row r="175" spans="3:8" x14ac:dyDescent="0.2">
      <c r="D175" s="15">
        <v>332800</v>
      </c>
      <c r="E175" s="19" t="s">
        <v>233</v>
      </c>
      <c r="F175" s="20"/>
      <c r="G175" s="18">
        <v>3328</v>
      </c>
      <c r="H175" s="7" t="s">
        <v>13</v>
      </c>
    </row>
    <row r="176" spans="3:8" x14ac:dyDescent="0.2">
      <c r="D176" s="15" t="s">
        <v>234</v>
      </c>
      <c r="E176" s="19" t="s">
        <v>235</v>
      </c>
      <c r="F176" s="20"/>
      <c r="G176" s="18" t="s">
        <v>236</v>
      </c>
      <c r="H176" s="7" t="s">
        <v>13</v>
      </c>
    </row>
    <row r="177" spans="2:8" x14ac:dyDescent="0.2">
      <c r="D177" s="15">
        <v>332913</v>
      </c>
      <c r="E177" s="19" t="s">
        <v>237</v>
      </c>
      <c r="F177" s="20"/>
      <c r="G177" s="18">
        <v>332913</v>
      </c>
      <c r="H177" s="7" t="s">
        <v>13</v>
      </c>
    </row>
    <row r="178" spans="2:8" x14ac:dyDescent="0.2">
      <c r="D178" s="15">
        <v>332991</v>
      </c>
      <c r="E178" s="19" t="s">
        <v>238</v>
      </c>
      <c r="F178" s="20"/>
      <c r="G178" s="18">
        <v>332991</v>
      </c>
      <c r="H178" s="7" t="s">
        <v>13</v>
      </c>
    </row>
    <row r="179" spans="2:8" x14ac:dyDescent="0.2">
      <c r="D179" s="15" t="s">
        <v>239</v>
      </c>
      <c r="E179" s="19" t="s">
        <v>240</v>
      </c>
      <c r="F179" s="20"/>
      <c r="G179" s="18" t="s">
        <v>241</v>
      </c>
      <c r="H179" s="7" t="s">
        <v>13</v>
      </c>
    </row>
    <row r="180" spans="2:8" x14ac:dyDescent="0.2">
      <c r="D180" s="15">
        <v>332996</v>
      </c>
      <c r="E180" s="19" t="s">
        <v>242</v>
      </c>
      <c r="F180" s="20"/>
      <c r="G180" s="18">
        <v>332996</v>
      </c>
      <c r="H180" s="7" t="s">
        <v>13</v>
      </c>
    </row>
    <row r="181" spans="2:8" x14ac:dyDescent="0.2">
      <c r="D181" s="15">
        <v>332999</v>
      </c>
      <c r="E181" s="19" t="s">
        <v>243</v>
      </c>
      <c r="F181" s="20"/>
      <c r="G181" s="18">
        <v>332999</v>
      </c>
      <c r="H181" s="7" t="s">
        <v>13</v>
      </c>
    </row>
    <row r="182" spans="2:8" x14ac:dyDescent="0.2">
      <c r="D182" s="15" t="s">
        <v>3</v>
      </c>
      <c r="E182" s="19" t="s">
        <v>3</v>
      </c>
      <c r="F182" s="20"/>
      <c r="G182" s="18"/>
      <c r="H182" s="8" t="s">
        <v>3</v>
      </c>
    </row>
    <row r="183" spans="2:8" x14ac:dyDescent="0.2">
      <c r="B183" s="14">
        <v>333</v>
      </c>
      <c r="C183" s="14" t="s">
        <v>244</v>
      </c>
      <c r="D183" s="15" t="s">
        <v>3</v>
      </c>
      <c r="E183" s="19" t="s">
        <v>3</v>
      </c>
      <c r="F183" s="20"/>
      <c r="G183" s="18"/>
      <c r="H183" s="8" t="s">
        <v>3</v>
      </c>
    </row>
    <row r="184" spans="2:8" x14ac:dyDescent="0.2">
      <c r="B184" s="14"/>
      <c r="C184" s="14"/>
      <c r="D184" s="15" t="s">
        <v>3</v>
      </c>
      <c r="E184" s="19" t="s">
        <v>3</v>
      </c>
      <c r="F184" s="20"/>
      <c r="G184" s="18"/>
      <c r="H184" s="8" t="s">
        <v>3</v>
      </c>
    </row>
    <row r="185" spans="2:8" x14ac:dyDescent="0.2">
      <c r="C185" s="14">
        <v>33311</v>
      </c>
      <c r="D185" s="14" t="s">
        <v>245</v>
      </c>
      <c r="F185" s="20"/>
      <c r="G185" s="18"/>
      <c r="H185" s="8" t="s">
        <v>3</v>
      </c>
    </row>
    <row r="186" spans="2:8" x14ac:dyDescent="0.2">
      <c r="C186" s="14"/>
      <c r="D186" s="14" t="s">
        <v>3</v>
      </c>
      <c r="E186" s="19" t="s">
        <v>3</v>
      </c>
      <c r="F186" s="20"/>
      <c r="G186" s="18"/>
      <c r="H186" s="8" t="s">
        <v>3</v>
      </c>
    </row>
    <row r="187" spans="2:8" x14ac:dyDescent="0.2">
      <c r="D187" s="15">
        <v>333111</v>
      </c>
      <c r="E187" s="19" t="s">
        <v>246</v>
      </c>
      <c r="F187" s="20"/>
      <c r="G187" s="18">
        <v>333111</v>
      </c>
      <c r="H187" s="7" t="s">
        <v>16</v>
      </c>
    </row>
    <row r="188" spans="2:8" x14ac:dyDescent="0.2">
      <c r="D188" s="15">
        <v>333112</v>
      </c>
      <c r="E188" s="19" t="s">
        <v>247</v>
      </c>
      <c r="F188" s="20"/>
      <c r="G188" s="18">
        <v>333112</v>
      </c>
      <c r="H188" s="7" t="s">
        <v>16</v>
      </c>
    </row>
    <row r="189" spans="2:8" x14ac:dyDescent="0.2">
      <c r="D189" s="15" t="s">
        <v>3</v>
      </c>
      <c r="E189" s="19" t="s">
        <v>3</v>
      </c>
      <c r="F189" s="20"/>
      <c r="G189" s="18"/>
      <c r="H189" s="8" t="s">
        <v>3</v>
      </c>
    </row>
    <row r="190" spans="2:8" x14ac:dyDescent="0.2">
      <c r="C190" s="14">
        <v>33312</v>
      </c>
      <c r="D190" s="14" t="s">
        <v>248</v>
      </c>
      <c r="F190" s="20"/>
      <c r="G190" s="18"/>
      <c r="H190" s="8" t="s">
        <v>3</v>
      </c>
    </row>
    <row r="191" spans="2:8" x14ac:dyDescent="0.2">
      <c r="D191" s="15" t="s">
        <v>3</v>
      </c>
      <c r="E191" s="19" t="s">
        <v>3</v>
      </c>
      <c r="F191" s="20"/>
      <c r="G191" s="18"/>
      <c r="H191" s="8" t="s">
        <v>3</v>
      </c>
    </row>
    <row r="192" spans="2:8" x14ac:dyDescent="0.2">
      <c r="D192" s="15">
        <v>333120</v>
      </c>
      <c r="E192" s="19" t="s">
        <v>248</v>
      </c>
      <c r="F192" s="20"/>
      <c r="G192" s="18">
        <v>33312</v>
      </c>
      <c r="H192" s="7" t="s">
        <v>16</v>
      </c>
    </row>
    <row r="193" spans="3:8" x14ac:dyDescent="0.2">
      <c r="D193" s="15" t="s">
        <v>3</v>
      </c>
      <c r="E193" s="19" t="s">
        <v>3</v>
      </c>
      <c r="F193" s="20"/>
      <c r="G193" s="18"/>
      <c r="H193" s="8" t="s">
        <v>3</v>
      </c>
    </row>
    <row r="194" spans="3:8" x14ac:dyDescent="0.2">
      <c r="C194" s="14">
        <v>33313</v>
      </c>
      <c r="D194" s="14" t="s">
        <v>249</v>
      </c>
      <c r="F194" s="20"/>
      <c r="G194" s="18"/>
      <c r="H194" s="8" t="s">
        <v>3</v>
      </c>
    </row>
    <row r="195" spans="3:8" x14ac:dyDescent="0.2">
      <c r="D195" s="15" t="s">
        <v>3</v>
      </c>
      <c r="E195" s="19" t="s">
        <v>3</v>
      </c>
      <c r="F195" s="20"/>
      <c r="G195" s="18"/>
      <c r="H195" s="8" t="s">
        <v>3</v>
      </c>
    </row>
    <row r="196" spans="3:8" x14ac:dyDescent="0.2">
      <c r="D196" s="15">
        <v>333130</v>
      </c>
      <c r="E196" s="19" t="s">
        <v>249</v>
      </c>
      <c r="F196" s="20"/>
      <c r="G196" s="18">
        <v>33313</v>
      </c>
      <c r="H196" s="7" t="s">
        <v>16</v>
      </c>
    </row>
    <row r="197" spans="3:8" x14ac:dyDescent="0.2">
      <c r="D197" s="15" t="s">
        <v>3</v>
      </c>
      <c r="E197" s="19" t="s">
        <v>3</v>
      </c>
      <c r="F197" s="20"/>
      <c r="G197" s="18"/>
      <c r="H197" s="8" t="s">
        <v>3</v>
      </c>
    </row>
    <row r="198" spans="3:8" x14ac:dyDescent="0.2">
      <c r="C198" s="14" t="s">
        <v>250</v>
      </c>
      <c r="D198" s="14" t="s">
        <v>251</v>
      </c>
      <c r="F198" s="20"/>
      <c r="G198" s="18"/>
      <c r="H198" s="8" t="s">
        <v>3</v>
      </c>
    </row>
    <row r="199" spans="3:8" x14ac:dyDescent="0.2">
      <c r="C199" s="14"/>
      <c r="D199" s="14"/>
      <c r="F199" s="20"/>
      <c r="G199" s="18"/>
      <c r="H199" s="8" t="s">
        <v>3</v>
      </c>
    </row>
    <row r="200" spans="3:8" x14ac:dyDescent="0.2">
      <c r="C200" s="14"/>
      <c r="D200" s="15">
        <v>333242</v>
      </c>
      <c r="E200" s="23" t="s">
        <v>252</v>
      </c>
      <c r="F200" s="20"/>
      <c r="G200" s="18">
        <v>333242</v>
      </c>
      <c r="H200" s="7" t="s">
        <v>16</v>
      </c>
    </row>
    <row r="201" spans="3:8" x14ac:dyDescent="0.2">
      <c r="C201" s="14"/>
      <c r="D201" s="15" t="s">
        <v>253</v>
      </c>
      <c r="E201" s="19" t="s">
        <v>254</v>
      </c>
      <c r="F201" s="20"/>
      <c r="G201" s="20" t="s">
        <v>255</v>
      </c>
      <c r="H201" s="7" t="s">
        <v>16</v>
      </c>
    </row>
    <row r="202" spans="3:8" x14ac:dyDescent="0.2">
      <c r="D202" s="15">
        <v>333314</v>
      </c>
      <c r="E202" s="19" t="s">
        <v>256</v>
      </c>
      <c r="F202" s="20"/>
      <c r="G202" s="18">
        <v>333314</v>
      </c>
      <c r="H202" s="7" t="s">
        <v>16</v>
      </c>
    </row>
    <row r="203" spans="3:8" x14ac:dyDescent="0.2">
      <c r="D203" s="15">
        <v>333316</v>
      </c>
      <c r="E203" s="23" t="s">
        <v>257</v>
      </c>
      <c r="F203" s="20"/>
      <c r="G203" s="18">
        <v>333316</v>
      </c>
      <c r="H203" s="7" t="s">
        <v>16</v>
      </c>
    </row>
    <row r="204" spans="3:8" x14ac:dyDescent="0.2">
      <c r="D204" s="15">
        <v>333318</v>
      </c>
      <c r="E204" s="19" t="s">
        <v>258</v>
      </c>
      <c r="F204" s="20"/>
      <c r="G204" s="18">
        <v>333318</v>
      </c>
      <c r="H204" s="7" t="s">
        <v>16</v>
      </c>
    </row>
    <row r="205" spans="3:8" x14ac:dyDescent="0.2">
      <c r="C205" s="14"/>
      <c r="D205" s="15">
        <v>333413</v>
      </c>
      <c r="E205" s="19" t="s">
        <v>259</v>
      </c>
      <c r="F205" s="20"/>
      <c r="G205" s="18">
        <v>333413</v>
      </c>
      <c r="H205" s="7" t="s">
        <v>16</v>
      </c>
    </row>
    <row r="206" spans="3:8" x14ac:dyDescent="0.2">
      <c r="D206" s="15">
        <v>333414</v>
      </c>
      <c r="E206" s="19" t="s">
        <v>260</v>
      </c>
      <c r="F206" s="20"/>
      <c r="G206" s="18">
        <v>333414</v>
      </c>
      <c r="H206" s="7" t="s">
        <v>16</v>
      </c>
    </row>
    <row r="207" spans="3:8" x14ac:dyDescent="0.2">
      <c r="D207" s="15">
        <v>333415</v>
      </c>
      <c r="E207" s="19" t="s">
        <v>261</v>
      </c>
      <c r="F207" s="20"/>
      <c r="G207" s="18">
        <v>333415</v>
      </c>
      <c r="H207" s="7" t="s">
        <v>16</v>
      </c>
    </row>
    <row r="208" spans="3:8" x14ac:dyDescent="0.2">
      <c r="D208" s="15">
        <v>333511</v>
      </c>
      <c r="E208" s="19" t="s">
        <v>262</v>
      </c>
      <c r="F208" s="20"/>
      <c r="G208" s="18">
        <v>333511</v>
      </c>
      <c r="H208" s="7" t="s">
        <v>16</v>
      </c>
    </row>
    <row r="209" spans="3:8" x14ac:dyDescent="0.2">
      <c r="D209" s="15">
        <v>333517</v>
      </c>
      <c r="E209" s="19" t="s">
        <v>263</v>
      </c>
      <c r="F209" s="20"/>
      <c r="G209" s="18">
        <v>333517</v>
      </c>
      <c r="H209" s="7" t="s">
        <v>16</v>
      </c>
    </row>
    <row r="210" spans="3:8" x14ac:dyDescent="0.2">
      <c r="D210" s="15">
        <v>333514</v>
      </c>
      <c r="E210" s="19" t="s">
        <v>264</v>
      </c>
      <c r="F210" s="20"/>
      <c r="G210" s="18">
        <v>333514</v>
      </c>
      <c r="H210" s="7" t="s">
        <v>16</v>
      </c>
    </row>
    <row r="211" spans="3:8" x14ac:dyDescent="0.2">
      <c r="D211" s="15" t="s">
        <v>265</v>
      </c>
      <c r="E211" s="19" t="s">
        <v>266</v>
      </c>
      <c r="F211" s="20"/>
      <c r="G211" s="18" t="s">
        <v>267</v>
      </c>
      <c r="H211" s="7" t="s">
        <v>16</v>
      </c>
    </row>
    <row r="212" spans="3:8" x14ac:dyDescent="0.2">
      <c r="D212" s="15">
        <v>333611</v>
      </c>
      <c r="E212" s="19" t="s">
        <v>268</v>
      </c>
      <c r="F212" s="20"/>
      <c r="G212" s="18">
        <v>333611</v>
      </c>
      <c r="H212" s="7" t="s">
        <v>16</v>
      </c>
    </row>
    <row r="213" spans="3:8" x14ac:dyDescent="0.2">
      <c r="D213" s="15">
        <v>333612</v>
      </c>
      <c r="E213" s="19" t="s">
        <v>269</v>
      </c>
      <c r="F213" s="20"/>
      <c r="G213" s="18">
        <v>333612</v>
      </c>
      <c r="H213" s="7" t="s">
        <v>16</v>
      </c>
    </row>
    <row r="214" spans="3:8" x14ac:dyDescent="0.2">
      <c r="D214" s="15">
        <v>333613</v>
      </c>
      <c r="E214" s="19" t="s">
        <v>270</v>
      </c>
      <c r="F214" s="20"/>
      <c r="G214" s="18">
        <v>333613</v>
      </c>
      <c r="H214" s="7" t="s">
        <v>16</v>
      </c>
    </row>
    <row r="215" spans="3:8" x14ac:dyDescent="0.2">
      <c r="D215" s="15">
        <v>333618</v>
      </c>
      <c r="E215" s="19" t="s">
        <v>271</v>
      </c>
      <c r="F215" s="20"/>
      <c r="G215" s="18">
        <v>333618</v>
      </c>
      <c r="H215" s="7" t="s">
        <v>16</v>
      </c>
    </row>
    <row r="216" spans="3:8" x14ac:dyDescent="0.2">
      <c r="C216" s="14"/>
      <c r="D216" s="15" t="s">
        <v>272</v>
      </c>
      <c r="E216" s="19" t="s">
        <v>273</v>
      </c>
      <c r="F216" s="20"/>
      <c r="G216" s="18" t="s">
        <v>274</v>
      </c>
      <c r="H216" s="7" t="s">
        <v>16</v>
      </c>
    </row>
    <row r="217" spans="3:8" x14ac:dyDescent="0.2">
      <c r="D217" s="15">
        <v>333912</v>
      </c>
      <c r="E217" s="19" t="s">
        <v>275</v>
      </c>
      <c r="F217" s="20"/>
      <c r="G217" s="18">
        <v>333912</v>
      </c>
      <c r="H217" s="7" t="s">
        <v>16</v>
      </c>
    </row>
    <row r="218" spans="3:8" x14ac:dyDescent="0.2">
      <c r="D218" s="15">
        <v>333920</v>
      </c>
      <c r="E218" s="19" t="s">
        <v>276</v>
      </c>
      <c r="F218" s="20"/>
      <c r="G218" s="20">
        <v>33392</v>
      </c>
      <c r="H218" s="7" t="s">
        <v>16</v>
      </c>
    </row>
    <row r="219" spans="3:8" x14ac:dyDescent="0.2">
      <c r="D219" s="15">
        <v>333991</v>
      </c>
      <c r="E219" s="19" t="s">
        <v>277</v>
      </c>
      <c r="F219" s="20"/>
      <c r="G219" s="18">
        <v>333991</v>
      </c>
      <c r="H219" s="7" t="s">
        <v>16</v>
      </c>
    </row>
    <row r="220" spans="3:8" x14ac:dyDescent="0.2">
      <c r="D220" s="15" t="s">
        <v>278</v>
      </c>
      <c r="E220" s="19" t="s">
        <v>279</v>
      </c>
      <c r="F220" s="20"/>
      <c r="G220" s="18" t="s">
        <v>280</v>
      </c>
      <c r="H220" s="7" t="s">
        <v>16</v>
      </c>
    </row>
    <row r="221" spans="3:8" x14ac:dyDescent="0.2">
      <c r="D221" s="15">
        <v>333993</v>
      </c>
      <c r="E221" s="19" t="s">
        <v>281</v>
      </c>
      <c r="F221" s="20"/>
      <c r="G221" s="18">
        <v>333993</v>
      </c>
      <c r="H221" s="7" t="s">
        <v>16</v>
      </c>
    </row>
    <row r="222" spans="3:8" x14ac:dyDescent="0.2">
      <c r="D222" s="15">
        <v>333994</v>
      </c>
      <c r="E222" s="19" t="s">
        <v>282</v>
      </c>
      <c r="F222" s="20"/>
      <c r="G222" s="18">
        <v>333994</v>
      </c>
      <c r="H222" s="7" t="s">
        <v>16</v>
      </c>
    </row>
    <row r="223" spans="3:8" x14ac:dyDescent="0.2">
      <c r="D223" s="15" t="s">
        <v>283</v>
      </c>
      <c r="E223" s="19" t="s">
        <v>284</v>
      </c>
      <c r="F223" s="20"/>
      <c r="G223" s="18" t="s">
        <v>285</v>
      </c>
      <c r="H223" s="7" t="s">
        <v>16</v>
      </c>
    </row>
    <row r="224" spans="3:8" x14ac:dyDescent="0.2">
      <c r="D224" s="15" t="s">
        <v>3</v>
      </c>
      <c r="E224" s="19" t="s">
        <v>3</v>
      </c>
      <c r="F224" s="20"/>
      <c r="G224" s="18"/>
      <c r="H224" s="8" t="s">
        <v>3</v>
      </c>
    </row>
    <row r="225" spans="2:8" x14ac:dyDescent="0.2">
      <c r="B225" s="14">
        <v>334</v>
      </c>
      <c r="C225" s="14" t="s">
        <v>286</v>
      </c>
      <c r="F225" s="20"/>
      <c r="G225" s="18"/>
      <c r="H225" s="8" t="s">
        <v>3</v>
      </c>
    </row>
    <row r="226" spans="2:8" x14ac:dyDescent="0.2">
      <c r="D226" s="15" t="s">
        <v>3</v>
      </c>
      <c r="E226" s="19" t="s">
        <v>3</v>
      </c>
      <c r="F226" s="20"/>
      <c r="G226" s="18"/>
      <c r="H226" s="8" t="s">
        <v>3</v>
      </c>
    </row>
    <row r="227" spans="2:8" x14ac:dyDescent="0.2">
      <c r="C227" s="14">
        <v>3341</v>
      </c>
      <c r="D227" s="14" t="s">
        <v>287</v>
      </c>
      <c r="F227" s="20"/>
      <c r="G227" s="18"/>
      <c r="H227" s="8" t="s">
        <v>3</v>
      </c>
    </row>
    <row r="228" spans="2:8" x14ac:dyDescent="0.2">
      <c r="C228" s="14"/>
      <c r="D228" s="14" t="s">
        <v>3</v>
      </c>
      <c r="E228" s="19" t="s">
        <v>3</v>
      </c>
      <c r="F228" s="20"/>
      <c r="G228" s="18"/>
      <c r="H228" s="8" t="s">
        <v>3</v>
      </c>
    </row>
    <row r="229" spans="2:8" x14ac:dyDescent="0.2">
      <c r="D229" s="15">
        <v>334111</v>
      </c>
      <c r="E229" s="19" t="s">
        <v>288</v>
      </c>
      <c r="F229" s="20"/>
      <c r="G229" s="18">
        <v>334111</v>
      </c>
      <c r="H229" s="7" t="s">
        <v>14</v>
      </c>
    </row>
    <row r="230" spans="2:8" x14ac:dyDescent="0.2">
      <c r="D230" s="15">
        <v>334112</v>
      </c>
      <c r="E230" s="19" t="s">
        <v>289</v>
      </c>
      <c r="F230" s="20"/>
      <c r="G230" s="18">
        <v>334112</v>
      </c>
      <c r="H230" s="7" t="s">
        <v>14</v>
      </c>
    </row>
    <row r="231" spans="2:8" x14ac:dyDescent="0.2">
      <c r="D231" s="15">
        <v>334118</v>
      </c>
      <c r="E231" s="19" t="s">
        <v>290</v>
      </c>
      <c r="F231" s="20"/>
      <c r="G231" s="18">
        <v>334118</v>
      </c>
      <c r="H231" s="7" t="s">
        <v>14</v>
      </c>
    </row>
    <row r="232" spans="2:8" x14ac:dyDescent="0.2">
      <c r="D232" s="15" t="s">
        <v>3</v>
      </c>
      <c r="E232" s="19" t="s">
        <v>3</v>
      </c>
      <c r="F232" s="20"/>
      <c r="G232" s="18"/>
      <c r="H232" s="8" t="s">
        <v>3</v>
      </c>
    </row>
    <row r="233" spans="2:8" x14ac:dyDescent="0.2">
      <c r="C233" s="14">
        <v>3342</v>
      </c>
      <c r="D233" s="14" t="s">
        <v>291</v>
      </c>
      <c r="F233" s="20"/>
      <c r="G233" s="18"/>
      <c r="H233" s="8" t="s">
        <v>3</v>
      </c>
    </row>
    <row r="234" spans="2:8" x14ac:dyDescent="0.2">
      <c r="C234" s="14"/>
      <c r="D234" s="14" t="s">
        <v>3</v>
      </c>
      <c r="E234" s="19" t="s">
        <v>3</v>
      </c>
      <c r="F234" s="20"/>
      <c r="G234" s="18"/>
      <c r="H234" s="8" t="s">
        <v>3</v>
      </c>
    </row>
    <row r="235" spans="2:8" x14ac:dyDescent="0.2">
      <c r="D235" s="15">
        <v>334210</v>
      </c>
      <c r="E235" s="19" t="s">
        <v>292</v>
      </c>
      <c r="F235" s="20"/>
      <c r="G235" s="18">
        <v>33421</v>
      </c>
      <c r="H235" s="7" t="s">
        <v>14</v>
      </c>
    </row>
    <row r="236" spans="2:8" x14ac:dyDescent="0.2">
      <c r="D236" s="15">
        <v>334220</v>
      </c>
      <c r="E236" s="19" t="s">
        <v>293</v>
      </c>
      <c r="F236" s="20"/>
      <c r="G236" s="18">
        <v>33422</v>
      </c>
      <c r="H236" s="7" t="s">
        <v>14</v>
      </c>
    </row>
    <row r="237" spans="2:8" x14ac:dyDescent="0.2">
      <c r="D237" s="15">
        <v>334290</v>
      </c>
      <c r="E237" s="19" t="s">
        <v>294</v>
      </c>
      <c r="F237" s="20"/>
      <c r="G237" s="18">
        <v>33429</v>
      </c>
      <c r="H237" s="7" t="s">
        <v>14</v>
      </c>
    </row>
    <row r="238" spans="2:8" x14ac:dyDescent="0.2">
      <c r="D238" s="15" t="s">
        <v>3</v>
      </c>
      <c r="E238" s="19" t="s">
        <v>3</v>
      </c>
      <c r="F238" s="20"/>
      <c r="G238" s="18"/>
      <c r="H238" s="8" t="s">
        <v>3</v>
      </c>
    </row>
    <row r="239" spans="2:8" x14ac:dyDescent="0.2">
      <c r="C239" s="14">
        <v>3344</v>
      </c>
      <c r="D239" s="14" t="s">
        <v>295</v>
      </c>
      <c r="F239" s="20"/>
      <c r="G239" s="18"/>
      <c r="H239" s="8" t="s">
        <v>3</v>
      </c>
    </row>
    <row r="240" spans="2:8" x14ac:dyDescent="0.2">
      <c r="C240" s="14"/>
      <c r="D240" s="14" t="s">
        <v>3</v>
      </c>
      <c r="E240" s="19" t="s">
        <v>3</v>
      </c>
      <c r="F240" s="20"/>
      <c r="G240" s="18"/>
      <c r="H240" s="8" t="s">
        <v>3</v>
      </c>
    </row>
    <row r="241" spans="3:8" x14ac:dyDescent="0.2">
      <c r="D241" s="15">
        <v>334413</v>
      </c>
      <c r="E241" s="19" t="s">
        <v>296</v>
      </c>
      <c r="F241" s="20"/>
      <c r="G241" s="18">
        <v>334413</v>
      </c>
      <c r="H241" s="7" t="s">
        <v>14</v>
      </c>
    </row>
    <row r="242" spans="3:8" x14ac:dyDescent="0.2">
      <c r="D242" s="15">
        <v>334418</v>
      </c>
      <c r="E242" s="19" t="s">
        <v>297</v>
      </c>
      <c r="F242" s="20"/>
      <c r="G242" s="18">
        <v>334418</v>
      </c>
      <c r="H242" s="7" t="s">
        <v>14</v>
      </c>
    </row>
    <row r="243" spans="3:8" x14ac:dyDescent="0.2">
      <c r="D243" s="15" t="s">
        <v>298</v>
      </c>
      <c r="E243" s="19" t="s">
        <v>299</v>
      </c>
      <c r="F243" s="20"/>
      <c r="G243" s="20" t="s">
        <v>300</v>
      </c>
      <c r="H243" s="7" t="s">
        <v>14</v>
      </c>
    </row>
    <row r="244" spans="3:8" x14ac:dyDescent="0.2">
      <c r="D244" s="15" t="s">
        <v>3</v>
      </c>
      <c r="E244" s="19" t="s">
        <v>3</v>
      </c>
      <c r="F244" s="20"/>
      <c r="G244" s="18"/>
      <c r="H244" s="8" t="s">
        <v>3</v>
      </c>
    </row>
    <row r="245" spans="3:8" x14ac:dyDescent="0.2">
      <c r="C245" s="14">
        <v>3345</v>
      </c>
      <c r="D245" s="14" t="s">
        <v>301</v>
      </c>
      <c r="F245" s="20"/>
      <c r="G245" s="18"/>
      <c r="H245" s="8" t="s">
        <v>3</v>
      </c>
    </row>
    <row r="246" spans="3:8" x14ac:dyDescent="0.2">
      <c r="C246" s="14"/>
      <c r="D246" s="14" t="s">
        <v>3</v>
      </c>
      <c r="E246" s="19" t="s">
        <v>3</v>
      </c>
      <c r="F246" s="20"/>
      <c r="G246" s="18"/>
      <c r="H246" s="8" t="s">
        <v>3</v>
      </c>
    </row>
    <row r="247" spans="3:8" x14ac:dyDescent="0.2">
      <c r="D247" s="15">
        <v>334510</v>
      </c>
      <c r="E247" s="19" t="s">
        <v>302</v>
      </c>
      <c r="F247" s="20"/>
      <c r="G247" s="18">
        <v>334510</v>
      </c>
      <c r="H247" s="7" t="s">
        <v>14</v>
      </c>
    </row>
    <row r="248" spans="3:8" x14ac:dyDescent="0.2">
      <c r="D248" s="15">
        <v>334511</v>
      </c>
      <c r="E248" s="19" t="s">
        <v>303</v>
      </c>
      <c r="F248" s="20"/>
      <c r="G248" s="18">
        <v>334511</v>
      </c>
      <c r="H248" s="7" t="s">
        <v>14</v>
      </c>
    </row>
    <row r="249" spans="3:8" x14ac:dyDescent="0.2">
      <c r="D249" s="15">
        <v>334512</v>
      </c>
      <c r="E249" s="19" t="s">
        <v>304</v>
      </c>
      <c r="F249" s="20"/>
      <c r="G249" s="18">
        <v>334512</v>
      </c>
      <c r="H249" s="7" t="s">
        <v>14</v>
      </c>
    </row>
    <row r="250" spans="3:8" x14ac:dyDescent="0.2">
      <c r="D250" s="15">
        <v>334513</v>
      </c>
      <c r="E250" s="19" t="s">
        <v>305</v>
      </c>
      <c r="F250" s="20"/>
      <c r="G250" s="18">
        <v>334513</v>
      </c>
      <c r="H250" s="7" t="s">
        <v>14</v>
      </c>
    </row>
    <row r="251" spans="3:8" x14ac:dyDescent="0.2">
      <c r="D251" s="15">
        <v>334514</v>
      </c>
      <c r="E251" s="19" t="s">
        <v>306</v>
      </c>
      <c r="F251" s="20"/>
      <c r="G251" s="18">
        <v>334514</v>
      </c>
      <c r="H251" s="7" t="s">
        <v>14</v>
      </c>
    </row>
    <row r="252" spans="3:8" x14ac:dyDescent="0.2">
      <c r="D252" s="15">
        <v>334515</v>
      </c>
      <c r="E252" s="19" t="s">
        <v>307</v>
      </c>
      <c r="F252" s="20"/>
      <c r="G252" s="18">
        <v>334515</v>
      </c>
      <c r="H252" s="7" t="s">
        <v>14</v>
      </c>
    </row>
    <row r="253" spans="3:8" x14ac:dyDescent="0.2">
      <c r="D253" s="15">
        <v>334516</v>
      </c>
      <c r="E253" s="19" t="s">
        <v>308</v>
      </c>
      <c r="F253" s="20"/>
      <c r="G253" s="18">
        <v>334516</v>
      </c>
      <c r="H253" s="7" t="s">
        <v>14</v>
      </c>
    </row>
    <row r="254" spans="3:8" x14ac:dyDescent="0.2">
      <c r="D254" s="15">
        <v>334517</v>
      </c>
      <c r="E254" s="19" t="s">
        <v>309</v>
      </c>
      <c r="F254" s="20"/>
      <c r="G254" s="18">
        <v>334517</v>
      </c>
      <c r="H254" s="7" t="s">
        <v>14</v>
      </c>
    </row>
    <row r="255" spans="3:8" x14ac:dyDescent="0.2">
      <c r="D255" s="15" t="s">
        <v>310</v>
      </c>
      <c r="E255" s="19" t="s">
        <v>311</v>
      </c>
      <c r="F255" s="20"/>
      <c r="G255" s="18">
        <v>334519</v>
      </c>
      <c r="H255" s="7" t="s">
        <v>14</v>
      </c>
    </row>
    <row r="256" spans="3:8" x14ac:dyDescent="0.2">
      <c r="D256" s="15" t="s">
        <v>3</v>
      </c>
      <c r="E256" s="19" t="s">
        <v>3</v>
      </c>
      <c r="F256" s="20"/>
      <c r="G256" s="18"/>
      <c r="H256" s="8" t="s">
        <v>3</v>
      </c>
    </row>
    <row r="257" spans="2:8" x14ac:dyDescent="0.2">
      <c r="C257" s="14" t="s">
        <v>312</v>
      </c>
      <c r="D257" s="14" t="s">
        <v>313</v>
      </c>
      <c r="F257" s="20"/>
      <c r="G257" s="18"/>
      <c r="H257" s="8" t="s">
        <v>3</v>
      </c>
    </row>
    <row r="258" spans="2:8" x14ac:dyDescent="0.2">
      <c r="C258" s="14"/>
      <c r="D258" s="14" t="s">
        <v>3</v>
      </c>
      <c r="E258" s="19" t="s">
        <v>3</v>
      </c>
      <c r="F258" s="20"/>
      <c r="G258" s="18"/>
      <c r="H258" s="8" t="s">
        <v>3</v>
      </c>
    </row>
    <row r="259" spans="2:8" x14ac:dyDescent="0.2">
      <c r="D259" s="15">
        <v>334300</v>
      </c>
      <c r="E259" s="19" t="s">
        <v>314</v>
      </c>
      <c r="F259" s="20"/>
      <c r="G259" s="18">
        <v>3343</v>
      </c>
      <c r="H259" s="7" t="s">
        <v>14</v>
      </c>
    </row>
    <row r="260" spans="2:8" x14ac:dyDescent="0.2">
      <c r="C260" s="14"/>
      <c r="D260" s="15">
        <v>334610</v>
      </c>
      <c r="E260" s="19" t="s">
        <v>315</v>
      </c>
      <c r="F260" s="20"/>
      <c r="G260" s="18">
        <v>33461</v>
      </c>
      <c r="H260" s="7" t="s">
        <v>14</v>
      </c>
    </row>
    <row r="261" spans="2:8" x14ac:dyDescent="0.2">
      <c r="D261" s="15" t="s">
        <v>3</v>
      </c>
      <c r="E261" s="19" t="s">
        <v>3</v>
      </c>
      <c r="F261" s="20"/>
      <c r="G261" s="18"/>
      <c r="H261" s="8" t="s">
        <v>3</v>
      </c>
    </row>
    <row r="262" spans="2:8" x14ac:dyDescent="0.2">
      <c r="B262" s="14">
        <v>335</v>
      </c>
      <c r="C262" s="14" t="s">
        <v>316</v>
      </c>
      <c r="F262" s="20"/>
      <c r="G262" s="18"/>
      <c r="H262" s="8" t="s">
        <v>3</v>
      </c>
    </row>
    <row r="263" spans="2:8" x14ac:dyDescent="0.2">
      <c r="D263" s="15" t="s">
        <v>3</v>
      </c>
      <c r="E263" s="19" t="s">
        <v>3</v>
      </c>
      <c r="F263" s="20"/>
      <c r="G263" s="18"/>
      <c r="H263" s="8" t="s">
        <v>3</v>
      </c>
    </row>
    <row r="264" spans="2:8" x14ac:dyDescent="0.2">
      <c r="C264" s="14">
        <v>335</v>
      </c>
      <c r="D264" s="14" t="s">
        <v>316</v>
      </c>
      <c r="F264" s="20"/>
      <c r="G264" s="18"/>
      <c r="H264" s="8" t="s">
        <v>3</v>
      </c>
    </row>
    <row r="265" spans="2:8" x14ac:dyDescent="0.2">
      <c r="C265" s="14"/>
      <c r="D265" s="14" t="s">
        <v>3</v>
      </c>
      <c r="E265" s="19" t="s">
        <v>3</v>
      </c>
      <c r="F265" s="20"/>
      <c r="G265" s="18"/>
      <c r="H265" s="8" t="s">
        <v>3</v>
      </c>
    </row>
    <row r="266" spans="2:8" x14ac:dyDescent="0.2">
      <c r="D266" s="15">
        <v>335110</v>
      </c>
      <c r="E266" s="19" t="s">
        <v>317</v>
      </c>
      <c r="F266" s="20"/>
      <c r="G266" s="18">
        <v>33511</v>
      </c>
      <c r="H266" s="7" t="s">
        <v>15</v>
      </c>
    </row>
    <row r="267" spans="2:8" x14ac:dyDescent="0.2">
      <c r="D267" s="15">
        <v>335120</v>
      </c>
      <c r="E267" s="19" t="s">
        <v>318</v>
      </c>
      <c r="F267" s="20"/>
      <c r="G267" s="18">
        <v>33512</v>
      </c>
      <c r="H267" s="7" t="s">
        <v>15</v>
      </c>
    </row>
    <row r="268" spans="2:8" x14ac:dyDescent="0.2">
      <c r="D268" s="15">
        <v>335210</v>
      </c>
      <c r="E268" s="19" t="s">
        <v>319</v>
      </c>
      <c r="F268" s="20"/>
      <c r="G268" s="18">
        <v>33521</v>
      </c>
      <c r="H268" s="7" t="s">
        <v>15</v>
      </c>
    </row>
    <row r="269" spans="2:8" x14ac:dyDescent="0.2">
      <c r="D269" s="15">
        <v>335221</v>
      </c>
      <c r="E269" s="19" t="s">
        <v>320</v>
      </c>
      <c r="F269" s="20"/>
      <c r="G269" s="18">
        <v>335221</v>
      </c>
      <c r="H269" s="7" t="s">
        <v>15</v>
      </c>
    </row>
    <row r="270" spans="2:8" x14ac:dyDescent="0.2">
      <c r="D270" s="15">
        <v>335222</v>
      </c>
      <c r="E270" s="19" t="s">
        <v>321</v>
      </c>
      <c r="F270" s="20"/>
      <c r="G270" s="18">
        <v>335222</v>
      </c>
      <c r="H270" s="7" t="s">
        <v>15</v>
      </c>
    </row>
    <row r="271" spans="2:8" x14ac:dyDescent="0.2">
      <c r="D271" s="15">
        <v>335224</v>
      </c>
      <c r="E271" s="19" t="s">
        <v>322</v>
      </c>
      <c r="F271" s="20"/>
      <c r="G271" s="18">
        <v>335224</v>
      </c>
      <c r="H271" s="7" t="s">
        <v>15</v>
      </c>
    </row>
    <row r="272" spans="2:8" x14ac:dyDescent="0.2">
      <c r="D272" s="15">
        <v>335228</v>
      </c>
      <c r="E272" s="19" t="s">
        <v>323</v>
      </c>
      <c r="F272" s="20"/>
      <c r="G272" s="18">
        <v>335228</v>
      </c>
      <c r="H272" s="7" t="s">
        <v>15</v>
      </c>
    </row>
    <row r="273" spans="2:8" x14ac:dyDescent="0.2">
      <c r="D273" s="15">
        <v>335311</v>
      </c>
      <c r="E273" s="19" t="s">
        <v>324</v>
      </c>
      <c r="F273" s="20"/>
      <c r="G273" s="18">
        <v>335311</v>
      </c>
      <c r="H273" s="7" t="s">
        <v>15</v>
      </c>
    </row>
    <row r="274" spans="2:8" x14ac:dyDescent="0.2">
      <c r="D274" s="15">
        <v>335312</v>
      </c>
      <c r="E274" s="19" t="s">
        <v>325</v>
      </c>
      <c r="F274" s="20"/>
      <c r="G274" s="18">
        <v>335312</v>
      </c>
      <c r="H274" s="7" t="s">
        <v>15</v>
      </c>
    </row>
    <row r="275" spans="2:8" x14ac:dyDescent="0.2">
      <c r="D275" s="15">
        <v>335313</v>
      </c>
      <c r="E275" s="19" t="s">
        <v>326</v>
      </c>
      <c r="F275" s="20"/>
      <c r="G275" s="18">
        <v>335313</v>
      </c>
      <c r="H275" s="7" t="s">
        <v>15</v>
      </c>
    </row>
    <row r="276" spans="2:8" x14ac:dyDescent="0.2">
      <c r="D276" s="15">
        <v>335314</v>
      </c>
      <c r="E276" s="19" t="s">
        <v>327</v>
      </c>
      <c r="F276" s="20"/>
      <c r="G276" s="18">
        <v>335314</v>
      </c>
      <c r="H276" s="7" t="s">
        <v>15</v>
      </c>
    </row>
    <row r="277" spans="2:8" x14ac:dyDescent="0.2">
      <c r="D277" s="15">
        <v>335911</v>
      </c>
      <c r="E277" s="19" t="s">
        <v>328</v>
      </c>
      <c r="F277" s="20"/>
      <c r="G277" s="18">
        <v>335911</v>
      </c>
      <c r="H277" s="7" t="s">
        <v>15</v>
      </c>
    </row>
    <row r="278" spans="2:8" x14ac:dyDescent="0.2">
      <c r="D278" s="15">
        <v>335912</v>
      </c>
      <c r="E278" s="19" t="s">
        <v>329</v>
      </c>
      <c r="F278" s="20"/>
      <c r="G278" s="18">
        <v>335912</v>
      </c>
      <c r="H278" s="7" t="s">
        <v>15</v>
      </c>
    </row>
    <row r="279" spans="2:8" x14ac:dyDescent="0.2">
      <c r="D279" s="15">
        <v>335920</v>
      </c>
      <c r="E279" s="19" t="s">
        <v>330</v>
      </c>
      <c r="F279" s="20"/>
      <c r="G279" s="18">
        <v>33592</v>
      </c>
      <c r="H279" s="7" t="s">
        <v>15</v>
      </c>
    </row>
    <row r="280" spans="2:8" x14ac:dyDescent="0.2">
      <c r="D280" s="15">
        <v>335930</v>
      </c>
      <c r="E280" s="19" t="s">
        <v>331</v>
      </c>
      <c r="F280" s="20"/>
      <c r="G280" s="18">
        <v>33593</v>
      </c>
      <c r="H280" s="7" t="s">
        <v>15</v>
      </c>
    </row>
    <row r="281" spans="2:8" x14ac:dyDescent="0.2">
      <c r="D281" s="15">
        <v>335991</v>
      </c>
      <c r="E281" s="19" t="s">
        <v>332</v>
      </c>
      <c r="F281" s="20"/>
      <c r="G281" s="18">
        <v>335991</v>
      </c>
      <c r="H281" s="7" t="s">
        <v>15</v>
      </c>
    </row>
    <row r="282" spans="2:8" x14ac:dyDescent="0.2">
      <c r="D282" s="15">
        <v>335999</v>
      </c>
      <c r="E282" s="19" t="s">
        <v>333</v>
      </c>
      <c r="F282" s="20"/>
      <c r="G282" s="18">
        <v>335999</v>
      </c>
      <c r="H282" s="7" t="s">
        <v>15</v>
      </c>
    </row>
    <row r="283" spans="2:8" x14ac:dyDescent="0.2">
      <c r="F283" s="20"/>
      <c r="G283" s="18"/>
      <c r="H283" s="8" t="s">
        <v>3</v>
      </c>
    </row>
    <row r="284" spans="2:8" x14ac:dyDescent="0.2">
      <c r="B284" s="14" t="s">
        <v>334</v>
      </c>
      <c r="C284" s="14" t="s">
        <v>335</v>
      </c>
      <c r="F284" s="20"/>
      <c r="G284" s="18"/>
      <c r="H284" s="8" t="s">
        <v>3</v>
      </c>
    </row>
    <row r="285" spans="2:8" x14ac:dyDescent="0.2">
      <c r="B285" s="14"/>
      <c r="C285" s="14"/>
      <c r="F285" s="20"/>
      <c r="G285" s="18"/>
      <c r="H285" s="8" t="s">
        <v>3</v>
      </c>
    </row>
    <row r="286" spans="2:8" x14ac:dyDescent="0.2">
      <c r="C286" s="14">
        <v>336111</v>
      </c>
      <c r="D286" s="14" t="s">
        <v>336</v>
      </c>
      <c r="F286" s="20"/>
      <c r="G286" s="18"/>
      <c r="H286" s="8" t="s">
        <v>3</v>
      </c>
    </row>
    <row r="287" spans="2:8" x14ac:dyDescent="0.2">
      <c r="C287" s="14"/>
      <c r="D287" s="14" t="s">
        <v>3</v>
      </c>
      <c r="E287" s="19" t="s">
        <v>3</v>
      </c>
      <c r="F287" s="20"/>
      <c r="G287" s="18"/>
      <c r="H287" s="8" t="s">
        <v>3</v>
      </c>
    </row>
    <row r="288" spans="2:8" x14ac:dyDescent="0.2">
      <c r="D288" s="15">
        <v>336111</v>
      </c>
      <c r="E288" s="19" t="s">
        <v>336</v>
      </c>
      <c r="F288" s="20"/>
      <c r="G288" s="18">
        <v>336111</v>
      </c>
      <c r="H288" s="7" t="s">
        <v>17</v>
      </c>
    </row>
    <row r="289" spans="3:8" x14ac:dyDescent="0.2">
      <c r="D289" s="15" t="s">
        <v>3</v>
      </c>
      <c r="E289" s="19" t="s">
        <v>3</v>
      </c>
      <c r="F289" s="20"/>
      <c r="G289" s="18"/>
      <c r="H289" s="8" t="s">
        <v>3</v>
      </c>
    </row>
    <row r="290" spans="3:8" x14ac:dyDescent="0.2">
      <c r="C290" s="14">
        <v>336112</v>
      </c>
      <c r="D290" s="14" t="s">
        <v>337</v>
      </c>
      <c r="F290" s="20"/>
      <c r="G290" s="18"/>
      <c r="H290" s="8" t="s">
        <v>3</v>
      </c>
    </row>
    <row r="291" spans="3:8" x14ac:dyDescent="0.2">
      <c r="D291" s="15" t="s">
        <v>3</v>
      </c>
      <c r="E291" s="19" t="s">
        <v>3</v>
      </c>
      <c r="F291" s="20"/>
      <c r="G291" s="18"/>
      <c r="H291" s="8" t="s">
        <v>3</v>
      </c>
    </row>
    <row r="292" spans="3:8" x14ac:dyDescent="0.2">
      <c r="D292" s="15">
        <v>336112</v>
      </c>
      <c r="E292" s="19" t="s">
        <v>337</v>
      </c>
      <c r="F292" s="20"/>
      <c r="G292" s="18">
        <v>336112</v>
      </c>
      <c r="H292" s="7" t="s">
        <v>17</v>
      </c>
    </row>
    <row r="293" spans="3:8" x14ac:dyDescent="0.2">
      <c r="D293" s="15" t="s">
        <v>3</v>
      </c>
      <c r="E293" s="19" t="s">
        <v>3</v>
      </c>
      <c r="F293" s="20"/>
      <c r="G293" s="18"/>
      <c r="H293" s="8" t="s">
        <v>3</v>
      </c>
    </row>
    <row r="294" spans="3:8" x14ac:dyDescent="0.2">
      <c r="C294" s="14">
        <v>33612</v>
      </c>
      <c r="D294" s="14" t="s">
        <v>338</v>
      </c>
      <c r="F294" s="20"/>
      <c r="G294" s="18"/>
      <c r="H294" s="8" t="s">
        <v>3</v>
      </c>
    </row>
    <row r="295" spans="3:8" x14ac:dyDescent="0.2">
      <c r="D295" s="15" t="s">
        <v>3</v>
      </c>
      <c r="E295" s="19" t="s">
        <v>3</v>
      </c>
      <c r="F295" s="20"/>
      <c r="G295" s="18"/>
      <c r="H295" s="8" t="s">
        <v>3</v>
      </c>
    </row>
    <row r="296" spans="3:8" x14ac:dyDescent="0.2">
      <c r="D296" s="15">
        <v>336120</v>
      </c>
      <c r="E296" s="19" t="s">
        <v>338</v>
      </c>
      <c r="F296" s="20"/>
      <c r="G296" s="18">
        <v>33612</v>
      </c>
      <c r="H296" s="7" t="s">
        <v>17</v>
      </c>
    </row>
    <row r="297" spans="3:8" x14ac:dyDescent="0.2">
      <c r="D297" s="15" t="s">
        <v>3</v>
      </c>
      <c r="E297" s="19" t="s">
        <v>3</v>
      </c>
      <c r="F297" s="20"/>
      <c r="G297" s="18"/>
      <c r="H297" s="8" t="s">
        <v>3</v>
      </c>
    </row>
    <row r="298" spans="3:8" x14ac:dyDescent="0.2">
      <c r="C298" s="14" t="s">
        <v>339</v>
      </c>
      <c r="D298" s="14" t="s">
        <v>340</v>
      </c>
      <c r="F298" s="20"/>
      <c r="G298" s="18"/>
      <c r="H298" s="8" t="s">
        <v>3</v>
      </c>
    </row>
    <row r="299" spans="3:8" x14ac:dyDescent="0.2">
      <c r="C299" s="14"/>
      <c r="D299" s="14" t="s">
        <v>3</v>
      </c>
      <c r="E299" s="19" t="s">
        <v>3</v>
      </c>
      <c r="F299" s="20"/>
      <c r="G299" s="18"/>
      <c r="H299" s="8" t="s">
        <v>3</v>
      </c>
    </row>
    <row r="300" spans="3:8" x14ac:dyDescent="0.2">
      <c r="D300" s="15">
        <v>336211</v>
      </c>
      <c r="E300" s="19" t="s">
        <v>341</v>
      </c>
      <c r="F300" s="20"/>
      <c r="G300" s="18">
        <v>336211</v>
      </c>
      <c r="H300" s="7" t="s">
        <v>17</v>
      </c>
    </row>
    <row r="301" spans="3:8" x14ac:dyDescent="0.2">
      <c r="D301" s="15">
        <v>336212</v>
      </c>
      <c r="E301" s="19" t="s">
        <v>342</v>
      </c>
      <c r="F301" s="20"/>
      <c r="G301" s="18">
        <v>336212</v>
      </c>
      <c r="H301" s="7" t="s">
        <v>17</v>
      </c>
    </row>
    <row r="302" spans="3:8" x14ac:dyDescent="0.2">
      <c r="D302" s="15">
        <v>336213</v>
      </c>
      <c r="E302" s="19" t="s">
        <v>343</v>
      </c>
      <c r="F302" s="20"/>
      <c r="G302" s="18">
        <v>336213</v>
      </c>
      <c r="H302" s="7" t="s">
        <v>17</v>
      </c>
    </row>
    <row r="303" spans="3:8" x14ac:dyDescent="0.2">
      <c r="D303" s="15">
        <v>336214</v>
      </c>
      <c r="E303" s="19" t="s">
        <v>344</v>
      </c>
      <c r="F303" s="20"/>
      <c r="G303" s="18">
        <v>336214</v>
      </c>
      <c r="H303" s="7" t="s">
        <v>17</v>
      </c>
    </row>
    <row r="304" spans="3:8" x14ac:dyDescent="0.2">
      <c r="D304" s="15">
        <v>336310</v>
      </c>
      <c r="E304" s="19" t="s">
        <v>345</v>
      </c>
      <c r="F304" s="20"/>
      <c r="G304" s="20">
        <v>33631</v>
      </c>
      <c r="H304" s="7" t="s">
        <v>17</v>
      </c>
    </row>
    <row r="305" spans="2:8" x14ac:dyDescent="0.2">
      <c r="D305" s="15">
        <v>336320</v>
      </c>
      <c r="E305" s="19" t="s">
        <v>346</v>
      </c>
      <c r="F305" s="20"/>
      <c r="G305" s="20">
        <v>33632</v>
      </c>
      <c r="H305" s="7" t="s">
        <v>17</v>
      </c>
    </row>
    <row r="306" spans="2:8" x14ac:dyDescent="0.2">
      <c r="D306" s="15" t="s">
        <v>347</v>
      </c>
      <c r="E306" s="19" t="s">
        <v>348</v>
      </c>
      <c r="F306" s="20"/>
      <c r="G306" s="20" t="s">
        <v>349</v>
      </c>
      <c r="H306" s="7" t="s">
        <v>17</v>
      </c>
    </row>
    <row r="307" spans="2:8" x14ac:dyDescent="0.2">
      <c r="D307" s="15">
        <v>336350</v>
      </c>
      <c r="E307" s="19" t="s">
        <v>350</v>
      </c>
      <c r="F307" s="20"/>
      <c r="G307" s="20">
        <v>33635</v>
      </c>
      <c r="H307" s="7" t="s">
        <v>17</v>
      </c>
    </row>
    <row r="308" spans="2:8" x14ac:dyDescent="0.2">
      <c r="D308" s="15">
        <v>336360</v>
      </c>
      <c r="E308" s="19" t="s">
        <v>351</v>
      </c>
      <c r="F308" s="20"/>
      <c r="G308" s="20">
        <v>33636</v>
      </c>
      <c r="H308" s="7" t="s">
        <v>17</v>
      </c>
    </row>
    <row r="309" spans="2:8" x14ac:dyDescent="0.2">
      <c r="D309" s="15">
        <v>336370</v>
      </c>
      <c r="E309" s="19" t="s">
        <v>352</v>
      </c>
      <c r="F309" s="20"/>
      <c r="G309" s="20">
        <v>33637</v>
      </c>
      <c r="H309" s="7" t="s">
        <v>17</v>
      </c>
    </row>
    <row r="310" spans="2:8" x14ac:dyDescent="0.2">
      <c r="D310" s="15">
        <v>336390</v>
      </c>
      <c r="E310" s="19" t="s">
        <v>353</v>
      </c>
      <c r="F310" s="20"/>
      <c r="G310" s="20">
        <v>33639</v>
      </c>
      <c r="H310" s="7" t="s">
        <v>17</v>
      </c>
    </row>
    <row r="311" spans="2:8" x14ac:dyDescent="0.2">
      <c r="D311" s="15" t="s">
        <v>3</v>
      </c>
      <c r="E311" s="19" t="s">
        <v>3</v>
      </c>
      <c r="F311" s="20"/>
      <c r="G311" s="20"/>
      <c r="H311" s="8" t="s">
        <v>3</v>
      </c>
    </row>
    <row r="312" spans="2:8" x14ac:dyDescent="0.2">
      <c r="B312" s="14" t="s">
        <v>354</v>
      </c>
      <c r="C312" s="14" t="s">
        <v>355</v>
      </c>
      <c r="F312" s="20"/>
      <c r="G312" s="20"/>
      <c r="H312" s="8" t="s">
        <v>3</v>
      </c>
    </row>
    <row r="313" spans="2:8" x14ac:dyDescent="0.2">
      <c r="D313" s="15" t="s">
        <v>3</v>
      </c>
      <c r="E313" s="19" t="s">
        <v>3</v>
      </c>
      <c r="F313" s="20"/>
      <c r="G313" s="18"/>
      <c r="H313" s="8" t="s">
        <v>3</v>
      </c>
    </row>
    <row r="314" spans="2:8" x14ac:dyDescent="0.2">
      <c r="C314" s="14">
        <v>3364</v>
      </c>
      <c r="D314" s="14" t="s">
        <v>356</v>
      </c>
      <c r="F314" s="20"/>
      <c r="G314" s="18"/>
      <c r="H314" s="8" t="s">
        <v>3</v>
      </c>
    </row>
    <row r="315" spans="2:8" x14ac:dyDescent="0.2">
      <c r="C315" s="14"/>
      <c r="D315" s="14" t="s">
        <v>3</v>
      </c>
      <c r="E315" s="19" t="s">
        <v>3</v>
      </c>
      <c r="F315" s="20"/>
      <c r="G315" s="18"/>
      <c r="H315" s="8" t="s">
        <v>3</v>
      </c>
    </row>
    <row r="316" spans="2:8" x14ac:dyDescent="0.2">
      <c r="D316" s="15">
        <v>336411</v>
      </c>
      <c r="E316" s="19" t="s">
        <v>357</v>
      </c>
      <c r="F316" s="20"/>
      <c r="G316" s="18">
        <v>336411</v>
      </c>
      <c r="H316" s="7" t="s">
        <v>18</v>
      </c>
    </row>
    <row r="317" spans="2:8" x14ac:dyDescent="0.2">
      <c r="D317" s="15">
        <v>336412</v>
      </c>
      <c r="E317" s="19" t="s">
        <v>358</v>
      </c>
      <c r="F317" s="20"/>
      <c r="G317" s="18">
        <v>336412</v>
      </c>
      <c r="H317" s="7" t="s">
        <v>18</v>
      </c>
    </row>
    <row r="318" spans="2:8" x14ac:dyDescent="0.2">
      <c r="D318" s="15">
        <v>336413</v>
      </c>
      <c r="E318" s="19" t="s">
        <v>359</v>
      </c>
      <c r="F318" s="20"/>
      <c r="G318" s="18">
        <v>336413</v>
      </c>
      <c r="H318" s="7" t="s">
        <v>18</v>
      </c>
    </row>
    <row r="319" spans="2:8" x14ac:dyDescent="0.2">
      <c r="D319" s="15">
        <v>336414</v>
      </c>
      <c r="E319" s="19" t="s">
        <v>360</v>
      </c>
      <c r="F319" s="20"/>
      <c r="G319" s="18">
        <v>336414</v>
      </c>
      <c r="H319" s="7" t="s">
        <v>18</v>
      </c>
    </row>
    <row r="320" spans="2:8" x14ac:dyDescent="0.2">
      <c r="D320" s="15" t="s">
        <v>361</v>
      </c>
      <c r="E320" s="19" t="s">
        <v>362</v>
      </c>
      <c r="F320" s="20"/>
      <c r="G320" s="18" t="s">
        <v>363</v>
      </c>
      <c r="H320" s="7" t="s">
        <v>18</v>
      </c>
    </row>
    <row r="321" spans="2:8" x14ac:dyDescent="0.2">
      <c r="D321" s="15" t="s">
        <v>3</v>
      </c>
      <c r="E321" s="19" t="s">
        <v>3</v>
      </c>
      <c r="F321" s="20"/>
      <c r="G321" s="18"/>
      <c r="H321" s="8" t="s">
        <v>3</v>
      </c>
    </row>
    <row r="322" spans="2:8" x14ac:dyDescent="0.2">
      <c r="C322" s="14" t="s">
        <v>364</v>
      </c>
      <c r="D322" s="14" t="s">
        <v>365</v>
      </c>
      <c r="F322" s="20"/>
      <c r="G322" s="18"/>
      <c r="H322" s="8" t="s">
        <v>3</v>
      </c>
    </row>
    <row r="323" spans="2:8" x14ac:dyDescent="0.2">
      <c r="C323" s="14"/>
      <c r="D323" s="14" t="s">
        <v>3</v>
      </c>
      <c r="E323" s="19" t="s">
        <v>3</v>
      </c>
      <c r="F323" s="20"/>
      <c r="G323" s="18"/>
      <c r="H323" s="8" t="s">
        <v>3</v>
      </c>
    </row>
    <row r="324" spans="2:8" x14ac:dyDescent="0.2">
      <c r="D324" s="15">
        <v>336500</v>
      </c>
      <c r="E324" s="19" t="s">
        <v>366</v>
      </c>
      <c r="F324" s="20"/>
      <c r="G324" s="18">
        <v>3365</v>
      </c>
      <c r="H324" s="7" t="s">
        <v>18</v>
      </c>
    </row>
    <row r="325" spans="2:8" x14ac:dyDescent="0.2">
      <c r="D325" s="15">
        <v>336611</v>
      </c>
      <c r="E325" s="19" t="s">
        <v>367</v>
      </c>
      <c r="F325" s="20"/>
      <c r="G325" s="18">
        <v>336611</v>
      </c>
      <c r="H325" s="7" t="s">
        <v>18</v>
      </c>
    </row>
    <row r="326" spans="2:8" x14ac:dyDescent="0.2">
      <c r="D326" s="15">
        <v>336612</v>
      </c>
      <c r="E326" s="19" t="s">
        <v>368</v>
      </c>
      <c r="F326" s="20"/>
      <c r="G326" s="18">
        <v>336612</v>
      </c>
      <c r="H326" s="7" t="s">
        <v>18</v>
      </c>
    </row>
    <row r="327" spans="2:8" x14ac:dyDescent="0.2">
      <c r="D327" s="15">
        <v>336991</v>
      </c>
      <c r="E327" s="19" t="s">
        <v>369</v>
      </c>
      <c r="F327" s="20"/>
      <c r="G327" s="18">
        <v>336991</v>
      </c>
      <c r="H327" s="7" t="s">
        <v>18</v>
      </c>
    </row>
    <row r="328" spans="2:8" x14ac:dyDescent="0.2">
      <c r="D328" s="15">
        <v>336992</v>
      </c>
      <c r="E328" s="19" t="s">
        <v>370</v>
      </c>
      <c r="F328" s="20"/>
      <c r="G328" s="18">
        <v>336992</v>
      </c>
      <c r="H328" s="7" t="s">
        <v>18</v>
      </c>
    </row>
    <row r="329" spans="2:8" x14ac:dyDescent="0.2">
      <c r="D329" s="15">
        <v>336999</v>
      </c>
      <c r="E329" s="19" t="s">
        <v>365</v>
      </c>
      <c r="F329" s="20"/>
      <c r="G329" s="18">
        <v>336999</v>
      </c>
      <c r="H329" s="7" t="s">
        <v>18</v>
      </c>
    </row>
    <row r="330" spans="2:8" x14ac:dyDescent="0.2">
      <c r="D330" s="15" t="s">
        <v>3</v>
      </c>
      <c r="E330" s="19" t="s">
        <v>3</v>
      </c>
      <c r="F330" s="20"/>
      <c r="G330" s="18"/>
      <c r="H330" s="8" t="s">
        <v>3</v>
      </c>
    </row>
    <row r="331" spans="2:8" x14ac:dyDescent="0.2">
      <c r="B331" s="14">
        <v>337</v>
      </c>
      <c r="C331" s="24" t="s">
        <v>371</v>
      </c>
      <c r="F331" s="20"/>
      <c r="G331" s="18"/>
      <c r="H331" s="8" t="s">
        <v>3</v>
      </c>
    </row>
    <row r="332" spans="2:8" x14ac:dyDescent="0.2">
      <c r="D332" s="15" t="s">
        <v>3</v>
      </c>
      <c r="E332" s="19" t="s">
        <v>3</v>
      </c>
      <c r="F332" s="20"/>
      <c r="G332" s="18"/>
      <c r="H332" s="8" t="s">
        <v>3</v>
      </c>
    </row>
    <row r="333" spans="2:8" x14ac:dyDescent="0.2">
      <c r="C333" s="14">
        <v>337</v>
      </c>
      <c r="D333" s="14" t="s">
        <v>371</v>
      </c>
      <c r="F333" s="20"/>
      <c r="G333" s="18"/>
      <c r="H333" s="8" t="s">
        <v>3</v>
      </c>
    </row>
    <row r="334" spans="2:8" x14ac:dyDescent="0.2">
      <c r="C334" s="14"/>
      <c r="D334" s="14" t="s">
        <v>3</v>
      </c>
      <c r="E334" s="19" t="s">
        <v>3</v>
      </c>
      <c r="F334" s="20"/>
      <c r="G334" s="18"/>
      <c r="H334" s="8" t="s">
        <v>3</v>
      </c>
    </row>
    <row r="335" spans="2:8" x14ac:dyDescent="0.2">
      <c r="D335" s="15">
        <v>337110</v>
      </c>
      <c r="E335" s="19" t="s">
        <v>372</v>
      </c>
      <c r="F335" s="20"/>
      <c r="G335" s="18">
        <v>33711</v>
      </c>
      <c r="H335" s="7" t="s">
        <v>19</v>
      </c>
    </row>
    <row r="336" spans="2:8" x14ac:dyDescent="0.2">
      <c r="D336" s="15">
        <v>337121</v>
      </c>
      <c r="E336" s="19" t="s">
        <v>373</v>
      </c>
      <c r="F336" s="20"/>
      <c r="G336" s="18">
        <v>337121</v>
      </c>
      <c r="H336" s="7" t="s">
        <v>19</v>
      </c>
    </row>
    <row r="337" spans="2:8" x14ac:dyDescent="0.2">
      <c r="D337" s="15">
        <v>337122</v>
      </c>
      <c r="E337" s="19" t="s">
        <v>374</v>
      </c>
      <c r="F337" s="20"/>
      <c r="G337" s="18">
        <v>337122</v>
      </c>
      <c r="H337" s="7" t="s">
        <v>19</v>
      </c>
    </row>
    <row r="338" spans="2:8" x14ac:dyDescent="0.2">
      <c r="D338" s="23" t="s">
        <v>375</v>
      </c>
      <c r="E338" s="23" t="s">
        <v>376</v>
      </c>
      <c r="F338" s="20"/>
      <c r="G338" s="18" t="s">
        <v>377</v>
      </c>
      <c r="H338" s="7" t="s">
        <v>19</v>
      </c>
    </row>
    <row r="339" spans="2:8" x14ac:dyDescent="0.2">
      <c r="D339" s="15">
        <v>337127</v>
      </c>
      <c r="E339" s="19" t="s">
        <v>378</v>
      </c>
      <c r="F339" s="20"/>
      <c r="G339" s="18">
        <v>337127</v>
      </c>
      <c r="H339" s="7" t="s">
        <v>19</v>
      </c>
    </row>
    <row r="340" spans="2:8" x14ac:dyDescent="0.2">
      <c r="D340" s="15" t="s">
        <v>379</v>
      </c>
      <c r="E340" s="19" t="s">
        <v>380</v>
      </c>
      <c r="F340" s="20"/>
      <c r="G340" s="18" t="s">
        <v>381</v>
      </c>
      <c r="H340" s="7" t="s">
        <v>19</v>
      </c>
    </row>
    <row r="341" spans="2:8" x14ac:dyDescent="0.2">
      <c r="D341" s="15">
        <v>337215</v>
      </c>
      <c r="E341" s="19" t="s">
        <v>382</v>
      </c>
      <c r="F341" s="20"/>
      <c r="G341" s="18">
        <v>337215</v>
      </c>
      <c r="H341" s="7" t="s">
        <v>19</v>
      </c>
    </row>
    <row r="342" spans="2:8" x14ac:dyDescent="0.2">
      <c r="D342" s="15">
        <v>337900</v>
      </c>
      <c r="E342" s="19" t="s">
        <v>383</v>
      </c>
      <c r="F342" s="20"/>
      <c r="G342" s="18">
        <v>3379</v>
      </c>
      <c r="H342" s="7" t="s">
        <v>19</v>
      </c>
    </row>
    <row r="343" spans="2:8" x14ac:dyDescent="0.2">
      <c r="D343" s="15" t="s">
        <v>3</v>
      </c>
      <c r="E343" s="19" t="s">
        <v>3</v>
      </c>
      <c r="F343" s="20"/>
      <c r="G343" s="18"/>
      <c r="H343" s="8" t="s">
        <v>3</v>
      </c>
    </row>
    <row r="344" spans="2:8" x14ac:dyDescent="0.2">
      <c r="B344" s="14">
        <v>339</v>
      </c>
      <c r="C344" s="24" t="s">
        <v>384</v>
      </c>
      <c r="D344" s="24"/>
      <c r="E344" s="25"/>
      <c r="F344" s="20"/>
      <c r="G344" s="18"/>
      <c r="H344" s="8" t="s">
        <v>3</v>
      </c>
    </row>
    <row r="345" spans="2:8" x14ac:dyDescent="0.2">
      <c r="D345" s="15" t="s">
        <v>3</v>
      </c>
      <c r="E345" s="19" t="s">
        <v>3</v>
      </c>
      <c r="F345" s="20"/>
      <c r="G345" s="18"/>
      <c r="H345" s="8" t="s">
        <v>3</v>
      </c>
    </row>
    <row r="346" spans="2:8" x14ac:dyDescent="0.2">
      <c r="C346" s="14">
        <v>3391</v>
      </c>
      <c r="D346" s="14" t="s">
        <v>385</v>
      </c>
      <c r="F346" s="20"/>
      <c r="G346" s="18"/>
      <c r="H346" s="8" t="s">
        <v>3</v>
      </c>
    </row>
    <row r="347" spans="2:8" x14ac:dyDescent="0.2">
      <c r="C347" s="14"/>
      <c r="D347" s="14" t="s">
        <v>3</v>
      </c>
      <c r="E347" s="19" t="s">
        <v>3</v>
      </c>
      <c r="F347" s="20"/>
      <c r="G347" s="18"/>
      <c r="H347" s="8" t="s">
        <v>3</v>
      </c>
    </row>
    <row r="348" spans="2:8" x14ac:dyDescent="0.2">
      <c r="D348" s="15">
        <v>339112</v>
      </c>
      <c r="E348" s="19" t="s">
        <v>386</v>
      </c>
      <c r="F348" s="20"/>
      <c r="G348" s="18">
        <v>339112</v>
      </c>
      <c r="H348" s="7" t="s">
        <v>19</v>
      </c>
    </row>
    <row r="349" spans="2:8" x14ac:dyDescent="0.2">
      <c r="D349" s="15">
        <v>339113</v>
      </c>
      <c r="E349" s="19" t="s">
        <v>387</v>
      </c>
      <c r="F349" s="20"/>
      <c r="G349" s="18">
        <v>339113</v>
      </c>
      <c r="H349" s="7" t="s">
        <v>19</v>
      </c>
    </row>
    <row r="350" spans="2:8" x14ac:dyDescent="0.2">
      <c r="D350" s="15">
        <v>339114</v>
      </c>
      <c r="E350" s="19" t="s">
        <v>388</v>
      </c>
      <c r="F350" s="20"/>
      <c r="G350" s="18">
        <v>339114</v>
      </c>
      <c r="H350" s="7" t="s">
        <v>19</v>
      </c>
    </row>
    <row r="351" spans="2:8" x14ac:dyDescent="0.2">
      <c r="D351" s="15">
        <v>339115</v>
      </c>
      <c r="E351" s="19" t="s">
        <v>389</v>
      </c>
      <c r="F351" s="20"/>
      <c r="G351" s="18">
        <v>339115</v>
      </c>
      <c r="H351" s="7" t="s">
        <v>19</v>
      </c>
    </row>
    <row r="352" spans="2:8" x14ac:dyDescent="0.2">
      <c r="D352" s="15">
        <v>339116</v>
      </c>
      <c r="E352" s="19" t="s">
        <v>390</v>
      </c>
      <c r="F352" s="20"/>
      <c r="G352" s="18">
        <v>339116</v>
      </c>
      <c r="H352" s="7" t="s">
        <v>19</v>
      </c>
    </row>
    <row r="353" spans="1:8" x14ac:dyDescent="0.2">
      <c r="D353" s="15" t="s">
        <v>3</v>
      </c>
      <c r="E353" s="19" t="s">
        <v>3</v>
      </c>
      <c r="F353" s="20"/>
      <c r="G353" s="18"/>
      <c r="H353" s="8" t="s">
        <v>3</v>
      </c>
    </row>
    <row r="354" spans="1:8" x14ac:dyDescent="0.2">
      <c r="C354" s="14">
        <v>3399</v>
      </c>
      <c r="D354" s="14" t="s">
        <v>391</v>
      </c>
      <c r="F354" s="20"/>
      <c r="G354" s="18"/>
      <c r="H354" s="8" t="s">
        <v>3</v>
      </c>
    </row>
    <row r="355" spans="1:8" x14ac:dyDescent="0.2">
      <c r="C355" s="14"/>
      <c r="D355" s="14" t="s">
        <v>3</v>
      </c>
      <c r="E355" s="19" t="s">
        <v>3</v>
      </c>
      <c r="F355" s="20"/>
      <c r="G355" s="18"/>
      <c r="H355" s="8" t="s">
        <v>3</v>
      </c>
    </row>
    <row r="356" spans="1:8" x14ac:dyDescent="0.2">
      <c r="D356" s="15">
        <v>339910</v>
      </c>
      <c r="E356" s="19" t="s">
        <v>392</v>
      </c>
      <c r="F356" s="20"/>
      <c r="G356" s="20">
        <v>33991</v>
      </c>
      <c r="H356" s="7" t="s">
        <v>19</v>
      </c>
    </row>
    <row r="357" spans="1:8" x14ac:dyDescent="0.2">
      <c r="D357" s="15">
        <v>339920</v>
      </c>
      <c r="E357" s="19" t="s">
        <v>393</v>
      </c>
      <c r="F357" s="20"/>
      <c r="G357" s="18">
        <v>33992</v>
      </c>
      <c r="H357" s="7" t="s">
        <v>19</v>
      </c>
    </row>
    <row r="358" spans="1:8" x14ac:dyDescent="0.2">
      <c r="D358" s="15">
        <v>339930</v>
      </c>
      <c r="E358" s="19" t="s">
        <v>394</v>
      </c>
      <c r="F358" s="20"/>
      <c r="G358" s="18">
        <v>33993</v>
      </c>
      <c r="H358" s="7" t="s">
        <v>19</v>
      </c>
    </row>
    <row r="359" spans="1:8" x14ac:dyDescent="0.2">
      <c r="D359" s="15">
        <v>339940</v>
      </c>
      <c r="E359" s="19" t="s">
        <v>395</v>
      </c>
      <c r="F359" s="20"/>
      <c r="G359" s="20">
        <v>33994</v>
      </c>
      <c r="H359" s="7" t="s">
        <v>19</v>
      </c>
    </row>
    <row r="360" spans="1:8" x14ac:dyDescent="0.2">
      <c r="D360" s="15">
        <v>339950</v>
      </c>
      <c r="E360" s="19" t="s">
        <v>396</v>
      </c>
      <c r="F360" s="20"/>
      <c r="G360" s="18">
        <v>33995</v>
      </c>
      <c r="H360" s="7" t="s">
        <v>19</v>
      </c>
    </row>
    <row r="361" spans="1:8" x14ac:dyDescent="0.2">
      <c r="D361" s="15">
        <v>339990</v>
      </c>
      <c r="E361" s="19" t="s">
        <v>397</v>
      </c>
      <c r="F361" s="20"/>
      <c r="G361" s="18">
        <v>33999</v>
      </c>
      <c r="H361" s="7" t="s">
        <v>19</v>
      </c>
    </row>
    <row r="362" spans="1:8" x14ac:dyDescent="0.2">
      <c r="D362" s="15" t="s">
        <v>3</v>
      </c>
      <c r="E362" s="19" t="s">
        <v>3</v>
      </c>
      <c r="F362" s="20"/>
      <c r="G362" s="18"/>
      <c r="H362" s="8" t="s">
        <v>3</v>
      </c>
    </row>
    <row r="363" spans="1:8" x14ac:dyDescent="0.2">
      <c r="A363" s="14" t="s">
        <v>398</v>
      </c>
      <c r="B363" s="14" t="s">
        <v>399</v>
      </c>
      <c r="D363" s="15" t="s">
        <v>3</v>
      </c>
      <c r="E363" s="19" t="s">
        <v>3</v>
      </c>
      <c r="F363" s="20"/>
      <c r="G363" s="18"/>
      <c r="H363" s="8" t="s">
        <v>3</v>
      </c>
    </row>
    <row r="364" spans="1:8" x14ac:dyDescent="0.2">
      <c r="D364" s="15" t="s">
        <v>3</v>
      </c>
      <c r="E364" s="19" t="s">
        <v>3</v>
      </c>
      <c r="F364" s="20"/>
      <c r="G364" s="18"/>
      <c r="H364" s="8" t="s">
        <v>3</v>
      </c>
    </row>
    <row r="365" spans="1:8" x14ac:dyDescent="0.2">
      <c r="B365" s="14" t="s">
        <v>400</v>
      </c>
      <c r="C365" s="14" t="s">
        <v>401</v>
      </c>
      <c r="D365" s="14"/>
      <c r="E365" s="14"/>
      <c r="F365" s="20"/>
      <c r="G365" s="18"/>
      <c r="H365" s="8" t="s">
        <v>3</v>
      </c>
    </row>
    <row r="366" spans="1:8" x14ac:dyDescent="0.2">
      <c r="B366" s="14"/>
      <c r="C366" s="14"/>
      <c r="D366" s="14" t="s">
        <v>3</v>
      </c>
      <c r="E366" s="14" t="s">
        <v>3</v>
      </c>
      <c r="F366" s="20"/>
      <c r="G366" s="18"/>
      <c r="H366" s="8" t="s">
        <v>3</v>
      </c>
    </row>
    <row r="367" spans="1:8" x14ac:dyDescent="0.2">
      <c r="C367" s="14">
        <v>311</v>
      </c>
      <c r="D367" s="14" t="s">
        <v>402</v>
      </c>
      <c r="F367" s="20"/>
      <c r="G367" s="18"/>
      <c r="H367" s="8" t="s">
        <v>3</v>
      </c>
    </row>
    <row r="368" spans="1:8" x14ac:dyDescent="0.2">
      <c r="C368" s="14"/>
      <c r="D368" s="14" t="s">
        <v>3</v>
      </c>
      <c r="E368" s="19" t="s">
        <v>3</v>
      </c>
      <c r="F368" s="20"/>
      <c r="G368" s="18"/>
      <c r="H368" s="8" t="s">
        <v>3</v>
      </c>
    </row>
    <row r="369" spans="3:8" x14ac:dyDescent="0.2">
      <c r="D369" s="15">
        <v>311111</v>
      </c>
      <c r="E369" s="19" t="s">
        <v>403</v>
      </c>
      <c r="F369" s="20"/>
      <c r="G369" s="18">
        <v>311111</v>
      </c>
      <c r="H369" s="7" t="s">
        <v>7</v>
      </c>
    </row>
    <row r="370" spans="3:8" x14ac:dyDescent="0.2">
      <c r="D370" s="15">
        <v>311119</v>
      </c>
      <c r="E370" s="19" t="s">
        <v>404</v>
      </c>
      <c r="F370" s="20"/>
      <c r="G370" s="18">
        <v>311119</v>
      </c>
      <c r="H370" s="7" t="s">
        <v>7</v>
      </c>
    </row>
    <row r="371" spans="3:8" x14ac:dyDescent="0.2">
      <c r="D371" s="15">
        <v>311210</v>
      </c>
      <c r="E371" s="19" t="s">
        <v>405</v>
      </c>
      <c r="F371" s="20"/>
      <c r="G371" s="18">
        <v>31121</v>
      </c>
      <c r="H371" s="7" t="s">
        <v>7</v>
      </c>
    </row>
    <row r="372" spans="3:8" x14ac:dyDescent="0.2">
      <c r="D372" s="15">
        <v>311221</v>
      </c>
      <c r="E372" s="19" t="s">
        <v>406</v>
      </c>
      <c r="F372" s="20"/>
      <c r="G372" s="18">
        <v>311221</v>
      </c>
      <c r="H372" s="7" t="s">
        <v>7</v>
      </c>
    </row>
    <row r="373" spans="3:8" x14ac:dyDescent="0.2">
      <c r="C373" s="22"/>
      <c r="D373" s="15">
        <v>311224</v>
      </c>
      <c r="E373" s="19" t="s">
        <v>407</v>
      </c>
      <c r="F373" s="20"/>
      <c r="G373" s="18">
        <v>311224</v>
      </c>
      <c r="H373" s="7" t="s">
        <v>7</v>
      </c>
    </row>
    <row r="374" spans="3:8" x14ac:dyDescent="0.2">
      <c r="D374" s="15">
        <v>311225</v>
      </c>
      <c r="E374" s="19" t="s">
        <v>408</v>
      </c>
      <c r="F374" s="20"/>
      <c r="G374" s="18">
        <v>311225</v>
      </c>
      <c r="H374" s="7" t="s">
        <v>7</v>
      </c>
    </row>
    <row r="375" spans="3:8" x14ac:dyDescent="0.2">
      <c r="D375" s="15">
        <v>311230</v>
      </c>
      <c r="E375" s="19" t="s">
        <v>409</v>
      </c>
      <c r="F375" s="20"/>
      <c r="G375" s="18">
        <v>31123</v>
      </c>
      <c r="H375" s="7" t="s">
        <v>7</v>
      </c>
    </row>
    <row r="376" spans="3:8" x14ac:dyDescent="0.2">
      <c r="D376" s="15">
        <v>311300</v>
      </c>
      <c r="E376" s="19" t="s">
        <v>410</v>
      </c>
      <c r="F376" s="20"/>
      <c r="G376" s="18">
        <v>3113</v>
      </c>
      <c r="H376" s="7" t="s">
        <v>7</v>
      </c>
    </row>
    <row r="377" spans="3:8" x14ac:dyDescent="0.2">
      <c r="D377" s="15">
        <v>311410</v>
      </c>
      <c r="E377" s="19" t="s">
        <v>411</v>
      </c>
      <c r="F377" s="20"/>
      <c r="G377" s="18">
        <v>31141</v>
      </c>
      <c r="H377" s="7" t="s">
        <v>7</v>
      </c>
    </row>
    <row r="378" spans="3:8" x14ac:dyDescent="0.2">
      <c r="D378" s="15">
        <v>311420</v>
      </c>
      <c r="E378" s="19" t="s">
        <v>412</v>
      </c>
      <c r="F378" s="20"/>
      <c r="G378" s="18">
        <v>31142</v>
      </c>
      <c r="H378" s="7" t="s">
        <v>7</v>
      </c>
    </row>
    <row r="379" spans="3:8" x14ac:dyDescent="0.2">
      <c r="C379" s="22"/>
      <c r="D379" s="15" t="s">
        <v>413</v>
      </c>
      <c r="E379" s="19" t="s">
        <v>414</v>
      </c>
      <c r="F379" s="20"/>
      <c r="G379" s="18" t="s">
        <v>415</v>
      </c>
      <c r="H379" s="7" t="s">
        <v>7</v>
      </c>
    </row>
    <row r="380" spans="3:8" x14ac:dyDescent="0.2">
      <c r="D380" s="15">
        <v>311513</v>
      </c>
      <c r="E380" s="19" t="s">
        <v>416</v>
      </c>
      <c r="F380" s="20"/>
      <c r="G380" s="18">
        <v>311513</v>
      </c>
      <c r="H380" s="7" t="s">
        <v>7</v>
      </c>
    </row>
    <row r="381" spans="3:8" x14ac:dyDescent="0.2">
      <c r="D381" s="15">
        <v>311514</v>
      </c>
      <c r="E381" s="19" t="s">
        <v>417</v>
      </c>
      <c r="F381" s="20"/>
      <c r="G381" s="18">
        <v>311514</v>
      </c>
      <c r="H381" s="7" t="s">
        <v>7</v>
      </c>
    </row>
    <row r="382" spans="3:8" x14ac:dyDescent="0.2">
      <c r="D382" s="15">
        <v>311520</v>
      </c>
      <c r="E382" s="19" t="s">
        <v>418</v>
      </c>
      <c r="F382" s="20"/>
      <c r="G382" s="18">
        <v>31152</v>
      </c>
      <c r="H382" s="7" t="s">
        <v>7</v>
      </c>
    </row>
    <row r="383" spans="3:8" x14ac:dyDescent="0.2">
      <c r="D383" s="15" t="s">
        <v>419</v>
      </c>
      <c r="E383" s="19" t="s">
        <v>420</v>
      </c>
      <c r="F383" s="20"/>
      <c r="G383" s="18" t="s">
        <v>421</v>
      </c>
      <c r="H383" s="7" t="s">
        <v>7</v>
      </c>
    </row>
    <row r="384" spans="3:8" x14ac:dyDescent="0.2">
      <c r="C384" s="22"/>
      <c r="D384" s="15">
        <v>311615</v>
      </c>
      <c r="E384" s="19" t="s">
        <v>422</v>
      </c>
      <c r="F384" s="20"/>
      <c r="G384" s="18">
        <v>311615</v>
      </c>
      <c r="H384" s="7" t="s">
        <v>7</v>
      </c>
    </row>
    <row r="385" spans="3:8" x14ac:dyDescent="0.2">
      <c r="D385" s="15">
        <v>311700</v>
      </c>
      <c r="E385" s="19" t="s">
        <v>423</v>
      </c>
      <c r="F385" s="20"/>
      <c r="G385" s="18">
        <v>3117</v>
      </c>
      <c r="H385" s="7" t="s">
        <v>7</v>
      </c>
    </row>
    <row r="386" spans="3:8" x14ac:dyDescent="0.2">
      <c r="D386" s="15">
        <v>311810</v>
      </c>
      <c r="E386" s="19" t="s">
        <v>424</v>
      </c>
      <c r="F386" s="20"/>
      <c r="G386" s="18">
        <v>31181</v>
      </c>
      <c r="H386" s="7" t="s">
        <v>7</v>
      </c>
    </row>
    <row r="387" spans="3:8" x14ac:dyDescent="0.2">
      <c r="D387" s="15" t="s">
        <v>425</v>
      </c>
      <c r="E387" s="19" t="s">
        <v>426</v>
      </c>
      <c r="F387" s="20"/>
      <c r="G387" s="18" t="s">
        <v>427</v>
      </c>
      <c r="H387" s="7" t="s">
        <v>7</v>
      </c>
    </row>
    <row r="388" spans="3:8" x14ac:dyDescent="0.2">
      <c r="D388" s="15">
        <v>311910</v>
      </c>
      <c r="E388" s="19" t="s">
        <v>428</v>
      </c>
      <c r="F388" s="20"/>
      <c r="G388" s="18">
        <v>31191</v>
      </c>
      <c r="H388" s="7" t="s">
        <v>7</v>
      </c>
    </row>
    <row r="389" spans="3:8" x14ac:dyDescent="0.2">
      <c r="D389" s="15">
        <v>311920</v>
      </c>
      <c r="E389" s="19" t="s">
        <v>429</v>
      </c>
      <c r="F389" s="20"/>
      <c r="G389" s="18">
        <v>31192</v>
      </c>
      <c r="H389" s="7" t="s">
        <v>7</v>
      </c>
    </row>
    <row r="390" spans="3:8" x14ac:dyDescent="0.2">
      <c r="D390" s="15">
        <v>311930</v>
      </c>
      <c r="E390" s="19" t="s">
        <v>430</v>
      </c>
      <c r="F390" s="20"/>
      <c r="G390" s="18">
        <v>31193</v>
      </c>
      <c r="H390" s="7" t="s">
        <v>7</v>
      </c>
    </row>
    <row r="391" spans="3:8" x14ac:dyDescent="0.2">
      <c r="D391" s="15">
        <v>311940</v>
      </c>
      <c r="E391" s="19" t="s">
        <v>431</v>
      </c>
      <c r="F391" s="20"/>
      <c r="G391" s="18">
        <v>31194</v>
      </c>
      <c r="H391" s="7" t="s">
        <v>7</v>
      </c>
    </row>
    <row r="392" spans="3:8" x14ac:dyDescent="0.2">
      <c r="D392" s="15">
        <v>311990</v>
      </c>
      <c r="E392" s="19" t="s">
        <v>432</v>
      </c>
      <c r="F392" s="20"/>
      <c r="G392" s="18">
        <v>31199</v>
      </c>
      <c r="H392" s="7" t="s">
        <v>7</v>
      </c>
    </row>
    <row r="393" spans="3:8" x14ac:dyDescent="0.2">
      <c r="D393" s="15" t="s">
        <v>3</v>
      </c>
      <c r="E393" s="19" t="s">
        <v>3</v>
      </c>
      <c r="F393" s="20"/>
      <c r="G393" s="18"/>
      <c r="H393" s="8" t="s">
        <v>3</v>
      </c>
    </row>
    <row r="394" spans="3:8" x14ac:dyDescent="0.2">
      <c r="C394" s="14">
        <v>3121</v>
      </c>
      <c r="D394" s="14" t="s">
        <v>433</v>
      </c>
      <c r="F394" s="20"/>
      <c r="G394" s="18"/>
      <c r="H394" s="8" t="s">
        <v>3</v>
      </c>
    </row>
    <row r="395" spans="3:8" x14ac:dyDescent="0.2">
      <c r="C395" s="14"/>
      <c r="D395" s="14" t="s">
        <v>3</v>
      </c>
      <c r="E395" s="19" t="s">
        <v>3</v>
      </c>
      <c r="F395" s="20"/>
      <c r="G395" s="18"/>
      <c r="H395" s="8" t="s">
        <v>3</v>
      </c>
    </row>
    <row r="396" spans="3:8" x14ac:dyDescent="0.2">
      <c r="D396" s="15">
        <v>312110</v>
      </c>
      <c r="E396" s="19" t="s">
        <v>434</v>
      </c>
      <c r="F396" s="20"/>
      <c r="G396" s="18">
        <v>31211</v>
      </c>
      <c r="H396" s="7" t="s">
        <v>7</v>
      </c>
    </row>
    <row r="397" spans="3:8" x14ac:dyDescent="0.2">
      <c r="D397" s="15">
        <v>312120</v>
      </c>
      <c r="E397" s="19" t="s">
        <v>435</v>
      </c>
      <c r="F397" s="20"/>
      <c r="G397" s="18">
        <v>31212</v>
      </c>
      <c r="H397" s="7" t="s">
        <v>7</v>
      </c>
    </row>
    <row r="398" spans="3:8" x14ac:dyDescent="0.2">
      <c r="D398" s="15">
        <v>312130</v>
      </c>
      <c r="E398" s="19" t="s">
        <v>436</v>
      </c>
      <c r="F398" s="20"/>
      <c r="G398" s="18">
        <v>31213</v>
      </c>
      <c r="H398" s="7" t="s">
        <v>7</v>
      </c>
    </row>
    <row r="399" spans="3:8" x14ac:dyDescent="0.2">
      <c r="D399" s="15">
        <v>312140</v>
      </c>
      <c r="E399" s="19" t="s">
        <v>437</v>
      </c>
      <c r="F399" s="20"/>
      <c r="G399" s="18">
        <v>31214</v>
      </c>
      <c r="H399" s="7" t="s">
        <v>7</v>
      </c>
    </row>
    <row r="400" spans="3:8" x14ac:dyDescent="0.2">
      <c r="D400" s="15" t="s">
        <v>3</v>
      </c>
      <c r="E400" s="19" t="s">
        <v>3</v>
      </c>
      <c r="F400" s="20"/>
      <c r="G400" s="18"/>
      <c r="H400" s="8" t="s">
        <v>3</v>
      </c>
    </row>
    <row r="401" spans="2:8" x14ac:dyDescent="0.2">
      <c r="C401" s="14">
        <v>3122</v>
      </c>
      <c r="D401" s="14" t="s">
        <v>438</v>
      </c>
      <c r="F401" s="20"/>
      <c r="G401" s="18"/>
      <c r="H401" s="8" t="s">
        <v>3</v>
      </c>
    </row>
    <row r="402" spans="2:8" x14ac:dyDescent="0.2">
      <c r="C402" s="14"/>
      <c r="D402" s="14" t="s">
        <v>3</v>
      </c>
      <c r="E402" s="19" t="s">
        <v>3</v>
      </c>
      <c r="F402" s="20"/>
      <c r="G402" s="18"/>
      <c r="H402" s="8" t="s">
        <v>3</v>
      </c>
    </row>
    <row r="403" spans="2:8" x14ac:dyDescent="0.2">
      <c r="D403" s="15">
        <v>312200</v>
      </c>
      <c r="E403" s="19" t="s">
        <v>438</v>
      </c>
      <c r="F403" s="20"/>
      <c r="G403" s="18">
        <v>3122</v>
      </c>
      <c r="H403" s="7" t="s">
        <v>7</v>
      </c>
    </row>
    <row r="404" spans="2:8" x14ac:dyDescent="0.2">
      <c r="D404" s="15" t="s">
        <v>3</v>
      </c>
      <c r="E404" s="19" t="s">
        <v>3</v>
      </c>
      <c r="F404" s="20"/>
      <c r="G404" s="18"/>
      <c r="H404" s="8" t="s">
        <v>3</v>
      </c>
    </row>
    <row r="405" spans="2:8" x14ac:dyDescent="0.2">
      <c r="B405" s="14" t="s">
        <v>439</v>
      </c>
      <c r="C405" s="14" t="s">
        <v>440</v>
      </c>
      <c r="F405" s="20"/>
      <c r="G405" s="18"/>
      <c r="H405" s="8" t="s">
        <v>3</v>
      </c>
    </row>
    <row r="406" spans="2:8" x14ac:dyDescent="0.2">
      <c r="B406" s="14"/>
      <c r="C406" s="14"/>
      <c r="D406" s="15" t="s">
        <v>3</v>
      </c>
      <c r="E406" s="19" t="s">
        <v>3</v>
      </c>
      <c r="F406" s="20"/>
      <c r="G406" s="18"/>
      <c r="H406" s="8" t="s">
        <v>3</v>
      </c>
    </row>
    <row r="407" spans="2:8" x14ac:dyDescent="0.2">
      <c r="B407" s="14"/>
      <c r="C407" s="14" t="s">
        <v>439</v>
      </c>
      <c r="D407" s="14" t="s">
        <v>440</v>
      </c>
      <c r="F407" s="20"/>
      <c r="G407" s="18"/>
      <c r="H407" s="8" t="s">
        <v>3</v>
      </c>
    </row>
    <row r="408" spans="2:8" x14ac:dyDescent="0.2">
      <c r="B408" s="14"/>
      <c r="C408" s="14"/>
      <c r="D408" s="14" t="s">
        <v>3</v>
      </c>
      <c r="E408" s="19" t="s">
        <v>3</v>
      </c>
      <c r="F408" s="20"/>
      <c r="G408" s="18"/>
      <c r="H408" s="8" t="s">
        <v>3</v>
      </c>
    </row>
    <row r="409" spans="2:8" x14ac:dyDescent="0.2">
      <c r="D409" s="15">
        <v>313100</v>
      </c>
      <c r="E409" s="19" t="s">
        <v>441</v>
      </c>
      <c r="F409" s="20"/>
      <c r="G409" s="18">
        <v>3131</v>
      </c>
      <c r="H409" s="7" t="s">
        <v>8</v>
      </c>
    </row>
    <row r="410" spans="2:8" x14ac:dyDescent="0.2">
      <c r="D410" s="15">
        <v>313200</v>
      </c>
      <c r="E410" s="19" t="s">
        <v>442</v>
      </c>
      <c r="F410" s="20"/>
      <c r="G410" s="18">
        <v>3132</v>
      </c>
      <c r="H410" s="7" t="s">
        <v>8</v>
      </c>
    </row>
    <row r="411" spans="2:8" x14ac:dyDescent="0.2">
      <c r="D411" s="15">
        <v>313300</v>
      </c>
      <c r="E411" s="19" t="s">
        <v>443</v>
      </c>
      <c r="F411" s="20"/>
      <c r="G411" s="18">
        <v>3133</v>
      </c>
      <c r="H411" s="7" t="s">
        <v>8</v>
      </c>
    </row>
    <row r="412" spans="2:8" x14ac:dyDescent="0.2">
      <c r="D412" s="15">
        <v>314110</v>
      </c>
      <c r="E412" s="19" t="s">
        <v>444</v>
      </c>
      <c r="F412" s="20"/>
      <c r="G412" s="18">
        <v>31411</v>
      </c>
      <c r="H412" s="7" t="s">
        <v>8</v>
      </c>
    </row>
    <row r="413" spans="2:8" x14ac:dyDescent="0.2">
      <c r="D413" s="15">
        <v>314120</v>
      </c>
      <c r="E413" s="19" t="s">
        <v>445</v>
      </c>
      <c r="F413" s="20"/>
      <c r="G413" s="18">
        <v>31412</v>
      </c>
      <c r="H413" s="7" t="s">
        <v>8</v>
      </c>
    </row>
    <row r="414" spans="2:8" x14ac:dyDescent="0.2">
      <c r="D414" s="15">
        <v>314900</v>
      </c>
      <c r="E414" s="19" t="s">
        <v>446</v>
      </c>
      <c r="F414" s="20"/>
      <c r="G414" s="18">
        <v>3149</v>
      </c>
      <c r="H414" s="7" t="s">
        <v>8</v>
      </c>
    </row>
    <row r="415" spans="2:8" x14ac:dyDescent="0.2">
      <c r="D415" s="15" t="s">
        <v>3</v>
      </c>
      <c r="E415" s="19" t="s">
        <v>3</v>
      </c>
      <c r="F415" s="20"/>
      <c r="G415" s="18"/>
      <c r="H415" s="8" t="s">
        <v>3</v>
      </c>
    </row>
    <row r="416" spans="2:8" x14ac:dyDescent="0.2">
      <c r="B416" s="14" t="s">
        <v>447</v>
      </c>
      <c r="C416" s="14" t="s">
        <v>448</v>
      </c>
      <c r="F416" s="20"/>
      <c r="G416" s="18"/>
      <c r="H416" s="8" t="s">
        <v>3</v>
      </c>
    </row>
    <row r="417" spans="2:8" x14ac:dyDescent="0.2">
      <c r="B417" s="14"/>
      <c r="C417" s="14"/>
      <c r="D417" s="15" t="s">
        <v>3</v>
      </c>
      <c r="E417" s="19" t="s">
        <v>3</v>
      </c>
      <c r="F417" s="20"/>
      <c r="G417" s="18"/>
      <c r="H417" s="8" t="s">
        <v>3</v>
      </c>
    </row>
    <row r="418" spans="2:8" x14ac:dyDescent="0.2">
      <c r="B418" s="14"/>
      <c r="C418" s="14" t="s">
        <v>447</v>
      </c>
      <c r="D418" s="14" t="s">
        <v>448</v>
      </c>
      <c r="F418" s="20"/>
      <c r="G418" s="18"/>
      <c r="H418" s="8" t="s">
        <v>3</v>
      </c>
    </row>
    <row r="419" spans="2:8" x14ac:dyDescent="0.2">
      <c r="B419" s="14"/>
      <c r="C419" s="14"/>
      <c r="D419" s="14" t="s">
        <v>3</v>
      </c>
      <c r="E419" s="19" t="s">
        <v>3</v>
      </c>
      <c r="F419" s="20"/>
      <c r="G419" s="18"/>
      <c r="H419" s="8" t="s">
        <v>3</v>
      </c>
    </row>
    <row r="420" spans="2:8" x14ac:dyDescent="0.2">
      <c r="D420" s="15">
        <v>315000</v>
      </c>
      <c r="E420" s="19" t="s">
        <v>449</v>
      </c>
      <c r="F420" s="20"/>
      <c r="G420" s="18">
        <v>315</v>
      </c>
      <c r="H420" s="7" t="s">
        <v>8</v>
      </c>
    </row>
    <row r="421" spans="2:8" x14ac:dyDescent="0.2">
      <c r="D421" s="15">
        <v>316000</v>
      </c>
      <c r="E421" s="19" t="s">
        <v>450</v>
      </c>
      <c r="F421" s="20"/>
      <c r="G421" s="18">
        <v>316</v>
      </c>
      <c r="H421" s="7" t="s">
        <v>8</v>
      </c>
    </row>
    <row r="422" spans="2:8" x14ac:dyDescent="0.2">
      <c r="D422" s="15" t="s">
        <v>3</v>
      </c>
      <c r="E422" s="19" t="s">
        <v>3</v>
      </c>
      <c r="F422" s="20"/>
      <c r="G422" s="18"/>
      <c r="H422" s="8" t="s">
        <v>3</v>
      </c>
    </row>
    <row r="423" spans="2:8" x14ac:dyDescent="0.2">
      <c r="B423" s="14">
        <v>322</v>
      </c>
      <c r="C423" s="14" t="s">
        <v>451</v>
      </c>
      <c r="F423" s="20"/>
      <c r="G423" s="18"/>
      <c r="H423" s="8" t="s">
        <v>3</v>
      </c>
    </row>
    <row r="424" spans="2:8" x14ac:dyDescent="0.2">
      <c r="B424" s="14"/>
      <c r="C424" s="14"/>
      <c r="D424" s="15" t="s">
        <v>3</v>
      </c>
      <c r="E424" s="19" t="s">
        <v>3</v>
      </c>
      <c r="F424" s="20"/>
      <c r="G424" s="18"/>
      <c r="H424" s="8" t="s">
        <v>3</v>
      </c>
    </row>
    <row r="425" spans="2:8" x14ac:dyDescent="0.2">
      <c r="C425" s="14">
        <v>322</v>
      </c>
      <c r="D425" s="14" t="s">
        <v>451</v>
      </c>
      <c r="F425" s="20"/>
      <c r="G425" s="18"/>
      <c r="H425" s="8" t="s">
        <v>3</v>
      </c>
    </row>
    <row r="426" spans="2:8" x14ac:dyDescent="0.2">
      <c r="C426" s="14"/>
      <c r="D426" s="14" t="s">
        <v>3</v>
      </c>
      <c r="E426" s="19" t="s">
        <v>3</v>
      </c>
      <c r="F426" s="20"/>
      <c r="G426" s="18"/>
      <c r="H426" s="8" t="s">
        <v>3</v>
      </c>
    </row>
    <row r="427" spans="2:8" x14ac:dyDescent="0.2">
      <c r="D427" s="15">
        <v>322110</v>
      </c>
      <c r="E427" s="19" t="s">
        <v>452</v>
      </c>
      <c r="F427" s="20"/>
      <c r="G427" s="18">
        <v>32211</v>
      </c>
      <c r="H427" s="7" t="s">
        <v>10</v>
      </c>
    </row>
    <row r="428" spans="2:8" x14ac:dyDescent="0.2">
      <c r="D428" s="15">
        <v>322120</v>
      </c>
      <c r="E428" s="19" t="s">
        <v>453</v>
      </c>
      <c r="F428" s="20"/>
      <c r="G428" s="18">
        <v>32212</v>
      </c>
      <c r="H428" s="7" t="s">
        <v>10</v>
      </c>
    </row>
    <row r="429" spans="2:8" x14ac:dyDescent="0.2">
      <c r="D429" s="15">
        <v>322130</v>
      </c>
      <c r="E429" s="19" t="s">
        <v>454</v>
      </c>
      <c r="F429" s="20"/>
      <c r="G429" s="18">
        <v>32213</v>
      </c>
      <c r="H429" s="7" t="s">
        <v>10</v>
      </c>
    </row>
    <row r="430" spans="2:8" x14ac:dyDescent="0.2">
      <c r="D430" s="15">
        <v>322210</v>
      </c>
      <c r="E430" s="19" t="s">
        <v>455</v>
      </c>
      <c r="F430" s="20"/>
      <c r="G430" s="20">
        <v>32221</v>
      </c>
      <c r="H430" s="7" t="s">
        <v>10</v>
      </c>
    </row>
    <row r="431" spans="2:8" x14ac:dyDescent="0.2">
      <c r="D431" s="15">
        <v>322220</v>
      </c>
      <c r="E431" s="19" t="s">
        <v>456</v>
      </c>
      <c r="F431" s="20"/>
      <c r="G431" s="18">
        <v>32222</v>
      </c>
      <c r="H431" s="7" t="s">
        <v>10</v>
      </c>
    </row>
    <row r="432" spans="2:8" x14ac:dyDescent="0.2">
      <c r="D432" s="15">
        <v>322230</v>
      </c>
      <c r="E432" s="19" t="s">
        <v>457</v>
      </c>
      <c r="F432" s="20"/>
      <c r="G432" s="18">
        <v>32223</v>
      </c>
      <c r="H432" s="7" t="s">
        <v>10</v>
      </c>
    </row>
    <row r="433" spans="2:8" x14ac:dyDescent="0.2">
      <c r="D433" s="15">
        <v>322291</v>
      </c>
      <c r="E433" s="19" t="s">
        <v>458</v>
      </c>
      <c r="F433" s="20"/>
      <c r="G433" s="18">
        <v>322291</v>
      </c>
      <c r="H433" s="7" t="s">
        <v>10</v>
      </c>
    </row>
    <row r="434" spans="2:8" x14ac:dyDescent="0.2">
      <c r="D434" s="15">
        <v>322299</v>
      </c>
      <c r="E434" s="19" t="s">
        <v>459</v>
      </c>
      <c r="F434" s="20"/>
      <c r="G434" s="18">
        <v>322299</v>
      </c>
      <c r="H434" s="7" t="s">
        <v>10</v>
      </c>
    </row>
    <row r="435" spans="2:8" x14ac:dyDescent="0.2">
      <c r="D435" s="15" t="s">
        <v>3</v>
      </c>
      <c r="E435" s="19" t="s">
        <v>3</v>
      </c>
      <c r="F435" s="20"/>
      <c r="G435" s="18"/>
      <c r="H435" s="8" t="s">
        <v>3</v>
      </c>
    </row>
    <row r="436" spans="2:8" x14ac:dyDescent="0.2">
      <c r="B436" s="14">
        <v>323</v>
      </c>
      <c r="C436" s="14" t="s">
        <v>460</v>
      </c>
      <c r="F436" s="20"/>
      <c r="G436" s="18"/>
      <c r="H436" s="8" t="s">
        <v>3</v>
      </c>
    </row>
    <row r="437" spans="2:8" x14ac:dyDescent="0.2">
      <c r="B437" s="14"/>
      <c r="C437" s="14"/>
      <c r="D437" s="15" t="s">
        <v>3</v>
      </c>
      <c r="E437" s="19" t="s">
        <v>3</v>
      </c>
      <c r="F437" s="20"/>
      <c r="G437" s="18"/>
      <c r="H437" s="8" t="s">
        <v>3</v>
      </c>
    </row>
    <row r="438" spans="2:8" x14ac:dyDescent="0.2">
      <c r="C438" s="14">
        <v>323</v>
      </c>
      <c r="D438" s="14" t="s">
        <v>460</v>
      </c>
      <c r="F438" s="20"/>
      <c r="G438" s="18"/>
      <c r="H438" s="8" t="s">
        <v>3</v>
      </c>
    </row>
    <row r="439" spans="2:8" x14ac:dyDescent="0.2">
      <c r="C439" s="14"/>
      <c r="D439" s="14" t="s">
        <v>3</v>
      </c>
      <c r="E439" s="19" t="s">
        <v>3</v>
      </c>
      <c r="F439" s="20"/>
      <c r="G439" s="18"/>
      <c r="H439" s="8" t="s">
        <v>3</v>
      </c>
    </row>
    <row r="440" spans="2:8" ht="22.5" x14ac:dyDescent="0.2">
      <c r="D440" s="15">
        <v>323110</v>
      </c>
      <c r="E440" s="19" t="s">
        <v>461</v>
      </c>
      <c r="F440" s="20"/>
      <c r="G440" s="20" t="s">
        <v>462</v>
      </c>
      <c r="H440" s="7" t="s">
        <v>10</v>
      </c>
    </row>
    <row r="441" spans="2:8" x14ac:dyDescent="0.2">
      <c r="D441" s="15">
        <v>323120</v>
      </c>
      <c r="E441" s="19" t="s">
        <v>463</v>
      </c>
      <c r="F441" s="20"/>
      <c r="G441" s="18">
        <v>32312</v>
      </c>
      <c r="H441" s="7" t="s">
        <v>10</v>
      </c>
    </row>
    <row r="442" spans="2:8" x14ac:dyDescent="0.2">
      <c r="D442" s="15" t="s">
        <v>3</v>
      </c>
      <c r="E442" s="19" t="s">
        <v>3</v>
      </c>
      <c r="F442" s="20"/>
      <c r="G442" s="18"/>
      <c r="H442" s="8" t="s">
        <v>3</v>
      </c>
    </row>
    <row r="443" spans="2:8" x14ac:dyDescent="0.2">
      <c r="B443" s="14">
        <v>324</v>
      </c>
      <c r="C443" s="24" t="s">
        <v>464</v>
      </c>
      <c r="D443" s="24"/>
      <c r="E443" s="25"/>
      <c r="F443" s="20"/>
      <c r="G443" s="18"/>
      <c r="H443" s="8" t="s">
        <v>3</v>
      </c>
    </row>
    <row r="444" spans="2:8" x14ac:dyDescent="0.2">
      <c r="B444" s="14"/>
      <c r="C444" s="14"/>
      <c r="D444" s="15" t="s">
        <v>3</v>
      </c>
      <c r="E444" s="19" t="s">
        <v>3</v>
      </c>
      <c r="F444" s="20"/>
      <c r="G444" s="18"/>
      <c r="H444" s="8" t="s">
        <v>3</v>
      </c>
    </row>
    <row r="445" spans="2:8" x14ac:dyDescent="0.2">
      <c r="C445" s="14">
        <v>324</v>
      </c>
      <c r="D445" s="14" t="s">
        <v>464</v>
      </c>
      <c r="F445" s="20"/>
      <c r="G445" s="18"/>
      <c r="H445" s="8" t="s">
        <v>3</v>
      </c>
    </row>
    <row r="446" spans="2:8" x14ac:dyDescent="0.2">
      <c r="C446" s="14"/>
      <c r="D446" s="14" t="s">
        <v>3</v>
      </c>
      <c r="E446" s="19" t="s">
        <v>3</v>
      </c>
      <c r="F446" s="20"/>
      <c r="G446" s="18"/>
      <c r="H446" s="8" t="s">
        <v>3</v>
      </c>
    </row>
    <row r="447" spans="2:8" x14ac:dyDescent="0.2">
      <c r="D447" s="15">
        <v>324110</v>
      </c>
      <c r="E447" s="19" t="s">
        <v>465</v>
      </c>
      <c r="F447" s="20"/>
      <c r="G447" s="18">
        <v>32411</v>
      </c>
      <c r="H447" s="7" t="s">
        <v>11</v>
      </c>
    </row>
    <row r="448" spans="2:8" x14ac:dyDescent="0.2">
      <c r="D448" s="15">
        <v>324121</v>
      </c>
      <c r="E448" s="19" t="s">
        <v>466</v>
      </c>
      <c r="F448" s="20"/>
      <c r="G448" s="18">
        <v>324121</v>
      </c>
      <c r="H448" s="7" t="s">
        <v>11</v>
      </c>
    </row>
    <row r="449" spans="2:8" x14ac:dyDescent="0.2">
      <c r="D449" s="15">
        <v>324122</v>
      </c>
      <c r="E449" s="19" t="s">
        <v>467</v>
      </c>
      <c r="F449" s="20"/>
      <c r="G449" s="18">
        <v>324122</v>
      </c>
      <c r="H449" s="7" t="s">
        <v>11</v>
      </c>
    </row>
    <row r="450" spans="2:8" x14ac:dyDescent="0.2">
      <c r="D450" s="15">
        <v>324190</v>
      </c>
      <c r="E450" s="19" t="s">
        <v>468</v>
      </c>
      <c r="F450" s="20"/>
      <c r="G450" s="18">
        <v>32419</v>
      </c>
      <c r="H450" s="7" t="s">
        <v>871</v>
      </c>
    </row>
    <row r="451" spans="2:8" x14ac:dyDescent="0.2">
      <c r="E451" s="19" t="s">
        <v>3</v>
      </c>
      <c r="F451" s="20"/>
      <c r="G451" s="18"/>
      <c r="H451" s="8" t="s">
        <v>3</v>
      </c>
    </row>
    <row r="452" spans="2:8" x14ac:dyDescent="0.2">
      <c r="B452" s="14">
        <v>325</v>
      </c>
      <c r="C452" s="14" t="s">
        <v>469</v>
      </c>
      <c r="F452" s="20"/>
      <c r="G452" s="18"/>
      <c r="H452" s="8" t="s">
        <v>3</v>
      </c>
    </row>
    <row r="453" spans="2:8" x14ac:dyDescent="0.2">
      <c r="B453" s="14"/>
      <c r="C453" s="14"/>
      <c r="D453" s="15" t="s">
        <v>3</v>
      </c>
      <c r="E453" s="19" t="s">
        <v>3</v>
      </c>
      <c r="F453" s="20"/>
      <c r="G453" s="18"/>
      <c r="H453" s="8" t="s">
        <v>3</v>
      </c>
    </row>
    <row r="454" spans="2:8" x14ac:dyDescent="0.2">
      <c r="C454" s="14">
        <v>3251</v>
      </c>
      <c r="D454" s="14" t="s">
        <v>470</v>
      </c>
      <c r="F454" s="20"/>
      <c r="G454" s="18"/>
      <c r="H454" s="8" t="s">
        <v>3</v>
      </c>
    </row>
    <row r="455" spans="2:8" x14ac:dyDescent="0.2">
      <c r="C455" s="14"/>
      <c r="D455" s="14" t="s">
        <v>3</v>
      </c>
      <c r="E455" s="19" t="s">
        <v>3</v>
      </c>
      <c r="F455" s="20"/>
      <c r="G455" s="18"/>
      <c r="H455" s="8" t="s">
        <v>3</v>
      </c>
    </row>
    <row r="456" spans="2:8" x14ac:dyDescent="0.2">
      <c r="D456" s="15">
        <v>325110</v>
      </c>
      <c r="E456" s="19" t="s">
        <v>471</v>
      </c>
      <c r="F456" s="20"/>
      <c r="G456" s="18">
        <v>32511</v>
      </c>
      <c r="H456" s="26" t="s">
        <v>59</v>
      </c>
    </row>
    <row r="457" spans="2:8" x14ac:dyDescent="0.2">
      <c r="D457" s="15">
        <v>325120</v>
      </c>
      <c r="E457" s="19" t="s">
        <v>472</v>
      </c>
      <c r="F457" s="20"/>
      <c r="G457" s="18">
        <v>32512</v>
      </c>
      <c r="H457" s="26" t="s">
        <v>59</v>
      </c>
    </row>
    <row r="458" spans="2:8" x14ac:dyDescent="0.2">
      <c r="D458" s="15">
        <v>325130</v>
      </c>
      <c r="E458" s="19" t="s">
        <v>473</v>
      </c>
      <c r="F458" s="20"/>
      <c r="G458" s="18">
        <v>32513</v>
      </c>
      <c r="H458" s="26" t="s">
        <v>59</v>
      </c>
    </row>
    <row r="459" spans="2:8" x14ac:dyDescent="0.2">
      <c r="D459" s="15">
        <v>325180</v>
      </c>
      <c r="E459" s="19" t="s">
        <v>474</v>
      </c>
      <c r="F459" s="20"/>
      <c r="G459" s="18">
        <v>32518</v>
      </c>
      <c r="H459" s="26" t="s">
        <v>59</v>
      </c>
    </row>
    <row r="460" spans="2:8" x14ac:dyDescent="0.2">
      <c r="D460" s="15">
        <v>325190</v>
      </c>
      <c r="E460" s="19" t="s">
        <v>475</v>
      </c>
      <c r="F460" s="20"/>
      <c r="G460" s="20">
        <v>32519</v>
      </c>
      <c r="H460" s="26" t="s">
        <v>59</v>
      </c>
    </row>
    <row r="461" spans="2:8" x14ac:dyDescent="0.2">
      <c r="E461" s="19" t="s">
        <v>3</v>
      </c>
      <c r="F461" s="20"/>
      <c r="G461" s="20"/>
      <c r="H461" s="8" t="s">
        <v>3</v>
      </c>
    </row>
    <row r="462" spans="2:8" x14ac:dyDescent="0.2">
      <c r="C462" s="14">
        <v>3252</v>
      </c>
      <c r="D462" s="14" t="s">
        <v>476</v>
      </c>
      <c r="F462" s="20"/>
      <c r="G462" s="18"/>
      <c r="H462" s="8" t="s">
        <v>3</v>
      </c>
    </row>
    <row r="463" spans="2:8" x14ac:dyDescent="0.2">
      <c r="C463" s="14"/>
      <c r="D463" s="14" t="s">
        <v>3</v>
      </c>
      <c r="E463" s="19" t="s">
        <v>3</v>
      </c>
      <c r="F463" s="20"/>
      <c r="G463" s="18"/>
      <c r="H463" s="8" t="s">
        <v>3</v>
      </c>
    </row>
    <row r="464" spans="2:8" x14ac:dyDescent="0.2">
      <c r="D464" s="15">
        <v>325211</v>
      </c>
      <c r="E464" s="19" t="s">
        <v>477</v>
      </c>
      <c r="F464" s="20"/>
      <c r="G464" s="18">
        <v>325211</v>
      </c>
      <c r="H464" s="26" t="s">
        <v>59</v>
      </c>
    </row>
    <row r="465" spans="3:8" x14ac:dyDescent="0.2">
      <c r="D465" s="15" t="s">
        <v>478</v>
      </c>
      <c r="E465" s="19" t="s">
        <v>479</v>
      </c>
      <c r="F465" s="20"/>
      <c r="G465" s="18" t="s">
        <v>480</v>
      </c>
      <c r="H465" s="26" t="s">
        <v>59</v>
      </c>
    </row>
    <row r="466" spans="3:8" x14ac:dyDescent="0.2">
      <c r="D466" s="15" t="s">
        <v>3</v>
      </c>
      <c r="E466" s="19" t="s">
        <v>3</v>
      </c>
      <c r="F466" s="20"/>
      <c r="G466" s="18"/>
      <c r="H466" s="8" t="s">
        <v>3</v>
      </c>
    </row>
    <row r="467" spans="3:8" x14ac:dyDescent="0.2">
      <c r="C467" s="14">
        <v>3254</v>
      </c>
      <c r="D467" s="14" t="s">
        <v>481</v>
      </c>
      <c r="F467" s="20"/>
      <c r="G467" s="18"/>
      <c r="H467" s="8" t="s">
        <v>3</v>
      </c>
    </row>
    <row r="468" spans="3:8" x14ac:dyDescent="0.2">
      <c r="C468" s="14"/>
      <c r="D468" s="14" t="s">
        <v>3</v>
      </c>
      <c r="E468" s="19" t="s">
        <v>3</v>
      </c>
      <c r="F468" s="20"/>
      <c r="G468" s="18"/>
      <c r="H468" s="8" t="s">
        <v>3</v>
      </c>
    </row>
    <row r="469" spans="3:8" x14ac:dyDescent="0.2">
      <c r="D469" s="15">
        <v>325411</v>
      </c>
      <c r="E469" s="19" t="s">
        <v>482</v>
      </c>
      <c r="F469" s="20"/>
      <c r="G469" s="18">
        <v>325411</v>
      </c>
      <c r="H469" s="26" t="s">
        <v>60</v>
      </c>
    </row>
    <row r="470" spans="3:8" x14ac:dyDescent="0.2">
      <c r="D470" s="15">
        <v>325412</v>
      </c>
      <c r="E470" s="19" t="s">
        <v>483</v>
      </c>
      <c r="F470" s="20"/>
      <c r="G470" s="18">
        <v>325412</v>
      </c>
      <c r="H470" s="26" t="s">
        <v>60</v>
      </c>
    </row>
    <row r="471" spans="3:8" x14ac:dyDescent="0.2">
      <c r="D471" s="15">
        <v>325413</v>
      </c>
      <c r="E471" s="19" t="s">
        <v>484</v>
      </c>
      <c r="F471" s="20"/>
      <c r="G471" s="18">
        <v>325413</v>
      </c>
      <c r="H471" s="26" t="s">
        <v>60</v>
      </c>
    </row>
    <row r="472" spans="3:8" x14ac:dyDescent="0.2">
      <c r="D472" s="15">
        <v>325414</v>
      </c>
      <c r="E472" s="19" t="s">
        <v>485</v>
      </c>
      <c r="F472" s="20"/>
      <c r="G472" s="18">
        <v>325414</v>
      </c>
      <c r="H472" s="26" t="s">
        <v>60</v>
      </c>
    </row>
    <row r="473" spans="3:8" x14ac:dyDescent="0.2">
      <c r="D473" s="15" t="s">
        <v>3</v>
      </c>
      <c r="E473" s="19" t="s">
        <v>3</v>
      </c>
      <c r="F473" s="20"/>
      <c r="G473" s="18"/>
      <c r="H473" s="8" t="s">
        <v>3</v>
      </c>
    </row>
    <row r="474" spans="3:8" x14ac:dyDescent="0.2">
      <c r="C474" s="14" t="s">
        <v>486</v>
      </c>
      <c r="D474" s="14" t="s">
        <v>487</v>
      </c>
      <c r="F474" s="20"/>
      <c r="G474" s="18"/>
      <c r="H474" s="8" t="s">
        <v>3</v>
      </c>
    </row>
    <row r="475" spans="3:8" x14ac:dyDescent="0.2">
      <c r="C475" s="14"/>
      <c r="D475" s="14" t="s">
        <v>3</v>
      </c>
      <c r="E475" s="19" t="s">
        <v>3</v>
      </c>
      <c r="F475" s="20"/>
      <c r="G475" s="18"/>
      <c r="H475" s="8" t="s">
        <v>3</v>
      </c>
    </row>
    <row r="476" spans="3:8" x14ac:dyDescent="0.2">
      <c r="D476" s="15">
        <v>325310</v>
      </c>
      <c r="E476" s="19" t="s">
        <v>488</v>
      </c>
      <c r="F476" s="20"/>
      <c r="G476" s="18">
        <v>32531</v>
      </c>
      <c r="H476" s="26" t="s">
        <v>59</v>
      </c>
    </row>
    <row r="477" spans="3:8" x14ac:dyDescent="0.2">
      <c r="D477" s="15">
        <v>325320</v>
      </c>
      <c r="E477" s="19" t="s">
        <v>489</v>
      </c>
      <c r="F477" s="20"/>
      <c r="G477" s="18">
        <v>32532</v>
      </c>
      <c r="H477" s="26" t="s">
        <v>59</v>
      </c>
    </row>
    <row r="478" spans="3:8" x14ac:dyDescent="0.2">
      <c r="D478" s="15">
        <v>325510</v>
      </c>
      <c r="E478" s="19" t="s">
        <v>490</v>
      </c>
      <c r="F478" s="20"/>
      <c r="G478" s="18">
        <v>32551</v>
      </c>
      <c r="H478" s="26" t="s">
        <v>59</v>
      </c>
    </row>
    <row r="479" spans="3:8" x14ac:dyDescent="0.2">
      <c r="D479" s="15">
        <v>325520</v>
      </c>
      <c r="E479" s="19" t="s">
        <v>491</v>
      </c>
      <c r="F479" s="20"/>
      <c r="G479" s="18">
        <v>32552</v>
      </c>
      <c r="H479" s="26" t="s">
        <v>59</v>
      </c>
    </row>
    <row r="480" spans="3:8" x14ac:dyDescent="0.2">
      <c r="D480" s="15">
        <v>325610</v>
      </c>
      <c r="E480" s="19" t="s">
        <v>492</v>
      </c>
      <c r="F480" s="20"/>
      <c r="G480" s="18">
        <v>32561</v>
      </c>
      <c r="H480" s="26" t="s">
        <v>59</v>
      </c>
    </row>
    <row r="481" spans="2:8" x14ac:dyDescent="0.2">
      <c r="D481" s="15">
        <v>325620</v>
      </c>
      <c r="E481" s="19" t="s">
        <v>493</v>
      </c>
      <c r="F481" s="20"/>
      <c r="G481" s="18">
        <v>32562</v>
      </c>
      <c r="H481" s="26" t="s">
        <v>59</v>
      </c>
    </row>
    <row r="482" spans="2:8" x14ac:dyDescent="0.2">
      <c r="D482" s="15">
        <v>325910</v>
      </c>
      <c r="E482" s="19" t="s">
        <v>494</v>
      </c>
      <c r="F482" s="20"/>
      <c r="G482" s="18">
        <v>32591</v>
      </c>
      <c r="H482" s="26" t="s">
        <v>59</v>
      </c>
    </row>
    <row r="483" spans="2:8" x14ac:dyDescent="0.2">
      <c r="D483" s="15" t="s">
        <v>495</v>
      </c>
      <c r="E483" s="19" t="s">
        <v>496</v>
      </c>
      <c r="F483" s="20"/>
      <c r="G483" s="20" t="s">
        <v>497</v>
      </c>
      <c r="H483" s="26" t="s">
        <v>59</v>
      </c>
    </row>
    <row r="484" spans="2:8" x14ac:dyDescent="0.2">
      <c r="D484" s="15" t="s">
        <v>3</v>
      </c>
      <c r="E484" s="19" t="s">
        <v>3</v>
      </c>
      <c r="F484" s="20"/>
      <c r="G484" s="20"/>
      <c r="H484" s="8" t="s">
        <v>3</v>
      </c>
    </row>
    <row r="485" spans="2:8" x14ac:dyDescent="0.2">
      <c r="B485" s="14">
        <v>326</v>
      </c>
      <c r="C485" s="14" t="s">
        <v>498</v>
      </c>
      <c r="F485" s="20"/>
      <c r="G485" s="18"/>
      <c r="H485" s="8" t="s">
        <v>3</v>
      </c>
    </row>
    <row r="486" spans="2:8" x14ac:dyDescent="0.2">
      <c r="B486" s="14"/>
      <c r="C486" s="14"/>
      <c r="D486" s="15" t="s">
        <v>3</v>
      </c>
      <c r="E486" s="19" t="s">
        <v>3</v>
      </c>
      <c r="F486" s="20"/>
      <c r="G486" s="18"/>
      <c r="H486" s="8" t="s">
        <v>3</v>
      </c>
    </row>
    <row r="487" spans="2:8" x14ac:dyDescent="0.2">
      <c r="C487" s="14">
        <v>326</v>
      </c>
      <c r="D487" s="14" t="s">
        <v>498</v>
      </c>
      <c r="F487" s="20"/>
      <c r="G487" s="18"/>
      <c r="H487" s="8" t="s">
        <v>3</v>
      </c>
    </row>
    <row r="488" spans="2:8" x14ac:dyDescent="0.2">
      <c r="C488" s="14"/>
      <c r="D488" s="14" t="s">
        <v>3</v>
      </c>
      <c r="E488" s="19" t="s">
        <v>3</v>
      </c>
      <c r="F488" s="20"/>
      <c r="G488" s="18"/>
      <c r="H488" s="8" t="s">
        <v>3</v>
      </c>
    </row>
    <row r="489" spans="2:8" x14ac:dyDescent="0.2">
      <c r="D489" s="15">
        <v>326110</v>
      </c>
      <c r="E489" s="19" t="s">
        <v>499</v>
      </c>
      <c r="F489" s="20"/>
      <c r="G489" s="18">
        <v>32611</v>
      </c>
      <c r="H489" s="7" t="s">
        <v>12</v>
      </c>
    </row>
    <row r="490" spans="2:8" x14ac:dyDescent="0.2">
      <c r="D490" s="15">
        <v>326120</v>
      </c>
      <c r="E490" s="19" t="s">
        <v>500</v>
      </c>
      <c r="F490" s="20"/>
      <c r="G490" s="18">
        <v>32612</v>
      </c>
      <c r="H490" s="7" t="s">
        <v>12</v>
      </c>
    </row>
    <row r="491" spans="2:8" x14ac:dyDescent="0.2">
      <c r="D491" s="15">
        <v>326130</v>
      </c>
      <c r="E491" s="19" t="s">
        <v>501</v>
      </c>
      <c r="F491" s="20"/>
      <c r="G491" s="18">
        <v>32613</v>
      </c>
      <c r="H491" s="7" t="s">
        <v>12</v>
      </c>
    </row>
    <row r="492" spans="2:8" x14ac:dyDescent="0.2">
      <c r="D492" s="15">
        <v>326140</v>
      </c>
      <c r="E492" s="19" t="s">
        <v>502</v>
      </c>
      <c r="F492" s="20"/>
      <c r="G492" s="18">
        <v>32614</v>
      </c>
      <c r="H492" s="7" t="s">
        <v>12</v>
      </c>
    </row>
    <row r="493" spans="2:8" x14ac:dyDescent="0.2">
      <c r="D493" s="15">
        <v>326150</v>
      </c>
      <c r="E493" s="19" t="s">
        <v>503</v>
      </c>
      <c r="F493" s="20"/>
      <c r="G493" s="18">
        <v>32615</v>
      </c>
      <c r="H493" s="7" t="s">
        <v>12</v>
      </c>
    </row>
    <row r="494" spans="2:8" x14ac:dyDescent="0.2">
      <c r="D494" s="15">
        <v>326160</v>
      </c>
      <c r="E494" s="19" t="s">
        <v>504</v>
      </c>
      <c r="F494" s="20"/>
      <c r="G494" s="18">
        <v>32616</v>
      </c>
      <c r="H494" s="7" t="s">
        <v>12</v>
      </c>
    </row>
    <row r="495" spans="2:8" x14ac:dyDescent="0.2">
      <c r="D495" s="15">
        <v>326190</v>
      </c>
      <c r="E495" s="19" t="s">
        <v>505</v>
      </c>
      <c r="F495" s="20"/>
      <c r="G495" s="18">
        <v>32619</v>
      </c>
      <c r="H495" s="7" t="s">
        <v>12</v>
      </c>
    </row>
    <row r="496" spans="2:8" x14ac:dyDescent="0.2">
      <c r="D496" s="15">
        <v>326210</v>
      </c>
      <c r="E496" s="19" t="s">
        <v>506</v>
      </c>
      <c r="F496" s="20"/>
      <c r="G496" s="18">
        <v>32621</v>
      </c>
      <c r="H496" s="7" t="s">
        <v>12</v>
      </c>
    </row>
    <row r="497" spans="1:8" x14ac:dyDescent="0.2">
      <c r="D497" s="15">
        <v>326220</v>
      </c>
      <c r="E497" s="19" t="s">
        <v>507</v>
      </c>
      <c r="F497" s="20"/>
      <c r="G497" s="18">
        <v>32622</v>
      </c>
      <c r="H497" s="7" t="s">
        <v>12</v>
      </c>
    </row>
    <row r="498" spans="1:8" x14ac:dyDescent="0.2">
      <c r="D498" s="15">
        <v>326290</v>
      </c>
      <c r="E498" s="19" t="s">
        <v>508</v>
      </c>
      <c r="F498" s="20"/>
      <c r="G498" s="18">
        <v>32629</v>
      </c>
      <c r="H498" s="7" t="s">
        <v>12</v>
      </c>
    </row>
    <row r="499" spans="1:8" x14ac:dyDescent="0.2">
      <c r="F499" s="20"/>
      <c r="G499" s="18"/>
      <c r="H499" s="8" t="s">
        <v>3</v>
      </c>
    </row>
    <row r="500" spans="1:8" x14ac:dyDescent="0.2">
      <c r="A500" s="14">
        <v>42</v>
      </c>
      <c r="B500" s="14" t="s">
        <v>509</v>
      </c>
      <c r="D500" s="22"/>
      <c r="E500" s="24"/>
      <c r="F500" s="20"/>
      <c r="G500" s="18"/>
      <c r="H500" s="8" t="s">
        <v>3</v>
      </c>
    </row>
    <row r="501" spans="1:8" x14ac:dyDescent="0.2">
      <c r="A501" s="14"/>
      <c r="B501" s="24"/>
      <c r="D501" s="22"/>
      <c r="E501" s="24"/>
      <c r="F501" s="20"/>
      <c r="G501" s="18"/>
      <c r="H501" s="8" t="s">
        <v>3</v>
      </c>
    </row>
    <row r="502" spans="1:8" x14ac:dyDescent="0.2">
      <c r="A502" s="14"/>
      <c r="B502" s="14">
        <v>42</v>
      </c>
      <c r="C502" s="14" t="s">
        <v>510</v>
      </c>
      <c r="D502" s="22"/>
      <c r="E502" s="24"/>
      <c r="F502" s="20"/>
      <c r="G502" s="18"/>
      <c r="H502" s="8" t="s">
        <v>3</v>
      </c>
    </row>
    <row r="503" spans="1:8" x14ac:dyDescent="0.2">
      <c r="A503" s="14"/>
      <c r="B503" s="24"/>
      <c r="D503" s="22"/>
      <c r="E503" s="24"/>
      <c r="F503" s="20"/>
      <c r="G503" s="18"/>
      <c r="H503" s="8" t="s">
        <v>3</v>
      </c>
    </row>
    <row r="504" spans="1:8" x14ac:dyDescent="0.2">
      <c r="A504" s="14"/>
      <c r="B504" s="24"/>
      <c r="C504" s="14">
        <v>4231</v>
      </c>
      <c r="D504" s="14" t="s">
        <v>511</v>
      </c>
      <c r="E504" s="24"/>
      <c r="F504" s="20"/>
      <c r="G504" s="18"/>
      <c r="H504" s="8" t="s">
        <v>3</v>
      </c>
    </row>
    <row r="505" spans="1:8" x14ac:dyDescent="0.2">
      <c r="A505" s="14"/>
      <c r="B505" s="24"/>
      <c r="D505" s="22" t="s">
        <v>3</v>
      </c>
      <c r="E505" s="24" t="s">
        <v>3</v>
      </c>
      <c r="F505" s="20"/>
      <c r="G505" s="18"/>
      <c r="H505" s="8" t="s">
        <v>3</v>
      </c>
    </row>
    <row r="506" spans="1:8" x14ac:dyDescent="0.2">
      <c r="D506" s="15">
        <v>423100</v>
      </c>
      <c r="E506" s="23" t="s">
        <v>511</v>
      </c>
      <c r="F506" s="20"/>
      <c r="G506" s="18">
        <v>4231</v>
      </c>
      <c r="H506" s="7" t="s">
        <v>21</v>
      </c>
    </row>
    <row r="507" spans="1:8" x14ac:dyDescent="0.2">
      <c r="A507" s="14"/>
      <c r="B507" s="24"/>
      <c r="D507" s="22" t="s">
        <v>3</v>
      </c>
      <c r="E507" s="24" t="s">
        <v>3</v>
      </c>
      <c r="F507" s="20"/>
      <c r="G507" s="18"/>
      <c r="H507" s="8" t="s">
        <v>3</v>
      </c>
    </row>
    <row r="508" spans="1:8" x14ac:dyDescent="0.2">
      <c r="A508" s="14"/>
      <c r="B508" s="24"/>
      <c r="C508" s="14">
        <v>4234</v>
      </c>
      <c r="D508" s="14" t="s">
        <v>512</v>
      </c>
      <c r="E508" s="24"/>
      <c r="F508" s="20"/>
      <c r="G508" s="18"/>
      <c r="H508" s="8" t="s">
        <v>3</v>
      </c>
    </row>
    <row r="509" spans="1:8" x14ac:dyDescent="0.2">
      <c r="A509" s="14"/>
      <c r="B509" s="24"/>
      <c r="D509" s="22" t="s">
        <v>3</v>
      </c>
      <c r="E509" s="24" t="s">
        <v>3</v>
      </c>
      <c r="F509" s="20"/>
      <c r="G509" s="18"/>
      <c r="H509" s="8" t="s">
        <v>3</v>
      </c>
    </row>
    <row r="510" spans="1:8" x14ac:dyDescent="0.2">
      <c r="D510" s="15">
        <v>423400</v>
      </c>
      <c r="E510" s="23" t="s">
        <v>512</v>
      </c>
      <c r="F510" s="20"/>
      <c r="G510" s="18">
        <v>4234</v>
      </c>
      <c r="H510" s="7" t="s">
        <v>21</v>
      </c>
    </row>
    <row r="511" spans="1:8" x14ac:dyDescent="0.2">
      <c r="D511" s="23" t="s">
        <v>3</v>
      </c>
      <c r="E511" s="23" t="s">
        <v>3</v>
      </c>
      <c r="F511" s="20"/>
      <c r="G511" s="18"/>
      <c r="H511" s="8" t="s">
        <v>3</v>
      </c>
    </row>
    <row r="512" spans="1:8" x14ac:dyDescent="0.2">
      <c r="C512" s="14">
        <v>4236</v>
      </c>
      <c r="D512" s="14" t="s">
        <v>513</v>
      </c>
      <c r="E512" s="23"/>
      <c r="F512" s="20"/>
      <c r="G512" s="18"/>
      <c r="H512" s="8" t="s">
        <v>3</v>
      </c>
    </row>
    <row r="513" spans="1:8" x14ac:dyDescent="0.2">
      <c r="D513" s="23" t="s">
        <v>3</v>
      </c>
      <c r="E513" s="23" t="s">
        <v>3</v>
      </c>
      <c r="F513" s="20"/>
      <c r="G513" s="18"/>
      <c r="H513" s="8" t="s">
        <v>3</v>
      </c>
    </row>
    <row r="514" spans="1:8" x14ac:dyDescent="0.2">
      <c r="D514" s="15">
        <v>423600</v>
      </c>
      <c r="E514" s="23" t="s">
        <v>513</v>
      </c>
      <c r="F514" s="20"/>
      <c r="G514" s="18">
        <v>4236</v>
      </c>
      <c r="H514" s="7" t="s">
        <v>21</v>
      </c>
    </row>
    <row r="515" spans="1:8" x14ac:dyDescent="0.2">
      <c r="D515" s="23" t="s">
        <v>3</v>
      </c>
      <c r="E515" s="23" t="s">
        <v>3</v>
      </c>
      <c r="F515" s="20"/>
      <c r="G515" s="18"/>
      <c r="H515" s="8" t="s">
        <v>3</v>
      </c>
    </row>
    <row r="516" spans="1:8" x14ac:dyDescent="0.2">
      <c r="C516" s="14">
        <v>4238</v>
      </c>
      <c r="D516" s="14" t="s">
        <v>514</v>
      </c>
      <c r="E516" s="23"/>
      <c r="F516" s="20"/>
      <c r="G516" s="18"/>
      <c r="H516" s="8" t="s">
        <v>3</v>
      </c>
    </row>
    <row r="517" spans="1:8" x14ac:dyDescent="0.2">
      <c r="D517" s="23" t="s">
        <v>3</v>
      </c>
      <c r="E517" s="23" t="s">
        <v>3</v>
      </c>
      <c r="F517" s="20"/>
      <c r="G517" s="18"/>
      <c r="H517" s="8" t="s">
        <v>3</v>
      </c>
    </row>
    <row r="518" spans="1:8" x14ac:dyDescent="0.2">
      <c r="D518" s="15">
        <v>423800</v>
      </c>
      <c r="E518" s="23" t="s">
        <v>514</v>
      </c>
      <c r="F518" s="20"/>
      <c r="G518" s="18">
        <v>4238</v>
      </c>
      <c r="H518" s="7" t="s">
        <v>21</v>
      </c>
    </row>
    <row r="519" spans="1:8" x14ac:dyDescent="0.2">
      <c r="A519" s="14"/>
      <c r="B519" s="24"/>
      <c r="D519" s="22" t="s">
        <v>3</v>
      </c>
      <c r="E519" s="24" t="s">
        <v>3</v>
      </c>
      <c r="F519" s="20"/>
      <c r="G519" s="18"/>
      <c r="H519" s="8" t="s">
        <v>3</v>
      </c>
    </row>
    <row r="520" spans="1:8" x14ac:dyDescent="0.2">
      <c r="C520" s="14" t="s">
        <v>515</v>
      </c>
      <c r="D520" s="14" t="s">
        <v>516</v>
      </c>
      <c r="E520" s="27"/>
      <c r="F520" s="20"/>
      <c r="G520" s="18"/>
      <c r="H520" s="8" t="s">
        <v>3</v>
      </c>
    </row>
    <row r="521" spans="1:8" x14ac:dyDescent="0.2">
      <c r="D521" s="15" t="s">
        <v>3</v>
      </c>
      <c r="E521" s="19" t="s">
        <v>3</v>
      </c>
      <c r="F521" s="20"/>
      <c r="G521" s="28"/>
      <c r="H521" s="8" t="s">
        <v>3</v>
      </c>
    </row>
    <row r="522" spans="1:8" x14ac:dyDescent="0.2">
      <c r="D522" s="23" t="s">
        <v>517</v>
      </c>
      <c r="E522" s="23" t="s">
        <v>516</v>
      </c>
      <c r="F522" s="20"/>
      <c r="G522" s="20" t="s">
        <v>518</v>
      </c>
      <c r="H522" s="7" t="s">
        <v>21</v>
      </c>
    </row>
    <row r="523" spans="1:8" x14ac:dyDescent="0.2">
      <c r="D523" s="15" t="s">
        <v>3</v>
      </c>
      <c r="E523" s="19" t="s">
        <v>3</v>
      </c>
      <c r="F523" s="20"/>
      <c r="G523" s="28"/>
      <c r="H523" s="8" t="s">
        <v>3</v>
      </c>
    </row>
    <row r="524" spans="1:8" x14ac:dyDescent="0.2">
      <c r="B524" s="14"/>
      <c r="C524" s="14">
        <v>4242</v>
      </c>
      <c r="D524" s="14" t="s">
        <v>519</v>
      </c>
      <c r="F524" s="20"/>
      <c r="G524" s="28"/>
      <c r="H524" s="8" t="s">
        <v>3</v>
      </c>
    </row>
    <row r="525" spans="1:8" x14ac:dyDescent="0.2">
      <c r="B525" s="14"/>
      <c r="C525" s="14"/>
      <c r="D525" s="15" t="s">
        <v>3</v>
      </c>
      <c r="E525" s="19" t="s">
        <v>3</v>
      </c>
      <c r="F525" s="20"/>
      <c r="G525" s="28"/>
      <c r="H525" s="8" t="s">
        <v>3</v>
      </c>
    </row>
    <row r="526" spans="1:8" x14ac:dyDescent="0.2">
      <c r="D526" s="15">
        <v>424200</v>
      </c>
      <c r="E526" s="23" t="s">
        <v>519</v>
      </c>
      <c r="F526" s="20"/>
      <c r="G526" s="18">
        <v>4242</v>
      </c>
      <c r="H526" s="7" t="s">
        <v>21</v>
      </c>
    </row>
    <row r="527" spans="1:8" x14ac:dyDescent="0.2">
      <c r="B527" s="14"/>
      <c r="C527" s="14"/>
      <c r="D527" s="15" t="s">
        <v>3</v>
      </c>
      <c r="E527" s="19" t="s">
        <v>3</v>
      </c>
      <c r="F527" s="20"/>
      <c r="G527" s="28"/>
      <c r="H527" s="8" t="s">
        <v>3</v>
      </c>
    </row>
    <row r="528" spans="1:8" x14ac:dyDescent="0.2">
      <c r="B528" s="14"/>
      <c r="C528" s="14">
        <v>4244</v>
      </c>
      <c r="D528" s="14" t="s">
        <v>520</v>
      </c>
      <c r="F528" s="20"/>
      <c r="G528" s="28"/>
      <c r="H528" s="8" t="s">
        <v>3</v>
      </c>
    </row>
    <row r="529" spans="2:8" x14ac:dyDescent="0.2">
      <c r="B529" s="14"/>
      <c r="C529" s="14"/>
      <c r="D529" s="15" t="s">
        <v>3</v>
      </c>
      <c r="E529" s="19" t="s">
        <v>3</v>
      </c>
      <c r="F529" s="20"/>
      <c r="G529" s="28"/>
      <c r="H529" s="8" t="s">
        <v>3</v>
      </c>
    </row>
    <row r="530" spans="2:8" x14ac:dyDescent="0.2">
      <c r="B530" s="14"/>
      <c r="C530" s="14"/>
      <c r="D530" s="15">
        <v>424400</v>
      </c>
      <c r="E530" s="23" t="s">
        <v>520</v>
      </c>
      <c r="F530" s="20"/>
      <c r="G530" s="18">
        <v>4244</v>
      </c>
      <c r="H530" s="7" t="s">
        <v>21</v>
      </c>
    </row>
    <row r="531" spans="2:8" x14ac:dyDescent="0.2">
      <c r="B531" s="14"/>
      <c r="C531" s="14"/>
      <c r="D531" s="15" t="s">
        <v>3</v>
      </c>
      <c r="E531" s="19" t="s">
        <v>3</v>
      </c>
      <c r="F531" s="20"/>
      <c r="G531" s="28"/>
      <c r="H531" s="8" t="s">
        <v>3</v>
      </c>
    </row>
    <row r="532" spans="2:8" x14ac:dyDescent="0.2">
      <c r="B532" s="14"/>
      <c r="C532" s="14">
        <v>4247</v>
      </c>
      <c r="D532" s="14" t="s">
        <v>521</v>
      </c>
      <c r="F532" s="20"/>
      <c r="G532" s="28"/>
      <c r="H532" s="8" t="s">
        <v>3</v>
      </c>
    </row>
    <row r="533" spans="2:8" x14ac:dyDescent="0.2">
      <c r="B533" s="14"/>
      <c r="C533" s="14"/>
      <c r="D533" s="15" t="s">
        <v>3</v>
      </c>
      <c r="E533" s="19" t="s">
        <v>3</v>
      </c>
      <c r="F533" s="20"/>
      <c r="G533" s="28"/>
      <c r="H533" s="8" t="s">
        <v>3</v>
      </c>
    </row>
    <row r="534" spans="2:8" x14ac:dyDescent="0.2">
      <c r="D534" s="15">
        <v>424700</v>
      </c>
      <c r="E534" s="23" t="s">
        <v>521</v>
      </c>
      <c r="F534" s="20"/>
      <c r="G534" s="18">
        <v>4247</v>
      </c>
      <c r="H534" s="7" t="s">
        <v>21</v>
      </c>
    </row>
    <row r="535" spans="2:8" x14ac:dyDescent="0.2">
      <c r="B535" s="14"/>
      <c r="C535" s="14"/>
      <c r="D535" s="15" t="s">
        <v>3</v>
      </c>
      <c r="E535" s="19" t="s">
        <v>3</v>
      </c>
      <c r="F535" s="20"/>
      <c r="G535" s="28"/>
      <c r="H535" s="8" t="s">
        <v>3</v>
      </c>
    </row>
    <row r="536" spans="2:8" x14ac:dyDescent="0.2">
      <c r="B536" s="14"/>
      <c r="C536" s="14" t="s">
        <v>522</v>
      </c>
      <c r="D536" s="14" t="s">
        <v>523</v>
      </c>
      <c r="F536" s="20"/>
      <c r="G536" s="28"/>
      <c r="H536" s="8" t="s">
        <v>3</v>
      </c>
    </row>
    <row r="537" spans="2:8" x14ac:dyDescent="0.2">
      <c r="B537" s="14"/>
      <c r="C537" s="14"/>
      <c r="D537" s="15" t="s">
        <v>3</v>
      </c>
      <c r="F537" s="20"/>
      <c r="G537" s="28"/>
      <c r="H537" s="8" t="s">
        <v>3</v>
      </c>
    </row>
    <row r="538" spans="2:8" x14ac:dyDescent="0.2">
      <c r="D538" s="23" t="s">
        <v>524</v>
      </c>
      <c r="E538" s="23" t="s">
        <v>523</v>
      </c>
      <c r="F538" s="20"/>
      <c r="G538" s="20" t="s">
        <v>525</v>
      </c>
      <c r="H538" s="7" t="s">
        <v>21</v>
      </c>
    </row>
    <row r="539" spans="2:8" x14ac:dyDescent="0.2">
      <c r="D539" s="15" t="s">
        <v>3</v>
      </c>
      <c r="E539" s="19" t="s">
        <v>3</v>
      </c>
      <c r="F539" s="20"/>
      <c r="G539" s="28"/>
      <c r="H539" s="8" t="s">
        <v>3</v>
      </c>
    </row>
    <row r="540" spans="2:8" x14ac:dyDescent="0.2">
      <c r="C540" s="14">
        <v>425</v>
      </c>
      <c r="D540" s="14" t="s">
        <v>526</v>
      </c>
      <c r="F540" s="20"/>
      <c r="G540" s="28"/>
      <c r="H540" s="8" t="s">
        <v>3</v>
      </c>
    </row>
    <row r="541" spans="2:8" x14ac:dyDescent="0.2">
      <c r="D541" s="22" t="s">
        <v>3</v>
      </c>
      <c r="E541" s="22" t="s">
        <v>3</v>
      </c>
      <c r="F541" s="20"/>
      <c r="G541" s="28"/>
      <c r="H541" s="8" t="s">
        <v>3</v>
      </c>
    </row>
    <row r="542" spans="2:8" x14ac:dyDescent="0.2">
      <c r="D542" s="15">
        <v>425000</v>
      </c>
      <c r="E542" s="23" t="s">
        <v>526</v>
      </c>
      <c r="F542" s="20"/>
      <c r="G542" s="18">
        <v>425</v>
      </c>
      <c r="H542" s="7" t="s">
        <v>21</v>
      </c>
    </row>
    <row r="543" spans="2:8" x14ac:dyDescent="0.2">
      <c r="D543" s="15" t="s">
        <v>3</v>
      </c>
      <c r="E543" s="19" t="s">
        <v>3</v>
      </c>
      <c r="F543" s="20"/>
      <c r="G543" s="28"/>
      <c r="H543" s="8" t="s">
        <v>3</v>
      </c>
    </row>
    <row r="544" spans="2:8" x14ac:dyDescent="0.2">
      <c r="B544" s="14"/>
      <c r="C544" s="14" t="s">
        <v>527</v>
      </c>
      <c r="D544" s="14" t="s">
        <v>528</v>
      </c>
      <c r="F544" s="20"/>
      <c r="G544" s="28"/>
      <c r="H544" s="8" t="s">
        <v>3</v>
      </c>
    </row>
    <row r="545" spans="1:8" x14ac:dyDescent="0.2">
      <c r="B545" s="14"/>
      <c r="C545" s="14"/>
      <c r="D545" s="15" t="s">
        <v>3</v>
      </c>
      <c r="E545" s="19" t="s">
        <v>3</v>
      </c>
      <c r="F545" s="20"/>
      <c r="G545" s="28"/>
      <c r="H545" s="8" t="s">
        <v>3</v>
      </c>
    </row>
    <row r="546" spans="1:8" x14ac:dyDescent="0.2">
      <c r="C546" s="14"/>
      <c r="D546" s="23" t="s">
        <v>529</v>
      </c>
      <c r="E546" s="23" t="s">
        <v>528</v>
      </c>
      <c r="F546" s="20"/>
      <c r="G546" s="28" t="s">
        <v>530</v>
      </c>
      <c r="H546" s="7" t="s">
        <v>21</v>
      </c>
    </row>
    <row r="547" spans="1:8" x14ac:dyDescent="0.2">
      <c r="D547" s="15" t="s">
        <v>3</v>
      </c>
      <c r="E547" s="19" t="s">
        <v>3</v>
      </c>
      <c r="F547" s="20"/>
      <c r="G547" s="18"/>
      <c r="H547" s="8" t="s">
        <v>3</v>
      </c>
    </row>
    <row r="548" spans="1:8" x14ac:dyDescent="0.2">
      <c r="A548" s="14" t="s">
        <v>531</v>
      </c>
      <c r="B548" s="14" t="s">
        <v>532</v>
      </c>
      <c r="D548" s="24" t="s">
        <v>3</v>
      </c>
      <c r="E548" s="24" t="s">
        <v>3</v>
      </c>
      <c r="F548" s="20"/>
      <c r="G548" s="18"/>
      <c r="H548" s="8" t="s">
        <v>3</v>
      </c>
    </row>
    <row r="549" spans="1:8" x14ac:dyDescent="0.2">
      <c r="A549" s="14"/>
      <c r="B549" s="24"/>
      <c r="D549" s="24" t="s">
        <v>3</v>
      </c>
      <c r="E549" s="24" t="s">
        <v>3</v>
      </c>
      <c r="F549" s="20"/>
      <c r="G549" s="18"/>
      <c r="H549" s="8" t="s">
        <v>3</v>
      </c>
    </row>
    <row r="550" spans="1:8" x14ac:dyDescent="0.2">
      <c r="A550" s="14"/>
      <c r="B550" s="14">
        <v>441</v>
      </c>
      <c r="C550" s="24" t="s">
        <v>533</v>
      </c>
      <c r="D550" s="24"/>
      <c r="E550" s="24"/>
      <c r="F550" s="20"/>
      <c r="G550" s="18"/>
      <c r="H550" s="8" t="s">
        <v>3</v>
      </c>
    </row>
    <row r="551" spans="1:8" x14ac:dyDescent="0.2">
      <c r="A551" s="14"/>
      <c r="B551" s="24"/>
      <c r="D551" s="24" t="s">
        <v>3</v>
      </c>
      <c r="E551" s="24" t="s">
        <v>3</v>
      </c>
      <c r="F551" s="20"/>
      <c r="G551" s="18"/>
      <c r="H551" s="8" t="s">
        <v>3</v>
      </c>
    </row>
    <row r="552" spans="1:8" x14ac:dyDescent="0.2">
      <c r="A552" s="14"/>
      <c r="B552" s="24"/>
      <c r="C552" s="14">
        <v>441</v>
      </c>
      <c r="D552" s="24" t="s">
        <v>533</v>
      </c>
      <c r="E552" s="24"/>
      <c r="F552" s="20"/>
      <c r="G552" s="18"/>
      <c r="H552" s="8" t="s">
        <v>3</v>
      </c>
    </row>
    <row r="553" spans="1:8" x14ac:dyDescent="0.2">
      <c r="A553" s="14"/>
      <c r="B553" s="24"/>
      <c r="D553" s="24" t="s">
        <v>3</v>
      </c>
      <c r="E553" s="24" t="s">
        <v>3</v>
      </c>
      <c r="F553" s="20"/>
      <c r="G553" s="18"/>
      <c r="H553" s="8" t="s">
        <v>3</v>
      </c>
    </row>
    <row r="554" spans="1:8" x14ac:dyDescent="0.2">
      <c r="C554" s="14"/>
      <c r="D554" s="15">
        <v>441000</v>
      </c>
      <c r="E554" s="19" t="s">
        <v>533</v>
      </c>
      <c r="F554" s="20"/>
      <c r="G554" s="18">
        <v>441</v>
      </c>
      <c r="H554" s="7" t="s">
        <v>21</v>
      </c>
    </row>
    <row r="555" spans="1:8" x14ac:dyDescent="0.2">
      <c r="A555" s="14"/>
      <c r="B555" s="24"/>
      <c r="D555" s="24" t="s">
        <v>3</v>
      </c>
      <c r="E555" s="24" t="s">
        <v>3</v>
      </c>
      <c r="F555" s="20"/>
      <c r="G555" s="18"/>
      <c r="H555" s="8" t="s">
        <v>3</v>
      </c>
    </row>
    <row r="556" spans="1:8" x14ac:dyDescent="0.2">
      <c r="A556" s="14"/>
      <c r="B556" s="14">
        <v>445</v>
      </c>
      <c r="C556" s="14" t="s">
        <v>534</v>
      </c>
      <c r="D556" s="14"/>
      <c r="E556" s="29"/>
      <c r="F556" s="20"/>
      <c r="G556" s="18"/>
      <c r="H556" s="8" t="s">
        <v>3</v>
      </c>
    </row>
    <row r="557" spans="1:8" x14ac:dyDescent="0.2">
      <c r="A557" s="14"/>
      <c r="B557" s="24"/>
      <c r="D557" s="24" t="s">
        <v>3</v>
      </c>
      <c r="E557" s="24" t="s">
        <v>3</v>
      </c>
      <c r="F557" s="20"/>
      <c r="G557" s="18"/>
      <c r="H557" s="8" t="s">
        <v>3</v>
      </c>
    </row>
    <row r="558" spans="1:8" x14ac:dyDescent="0.2">
      <c r="A558" s="14"/>
      <c r="B558" s="24"/>
      <c r="C558" s="14">
        <v>445</v>
      </c>
      <c r="D558" s="24" t="s">
        <v>534</v>
      </c>
      <c r="E558" s="24"/>
      <c r="F558" s="20"/>
      <c r="G558" s="18"/>
      <c r="H558" s="8" t="s">
        <v>3</v>
      </c>
    </row>
    <row r="559" spans="1:8" x14ac:dyDescent="0.2">
      <c r="A559" s="14"/>
      <c r="B559" s="24"/>
      <c r="D559" s="24" t="s">
        <v>3</v>
      </c>
      <c r="E559" s="24" t="s">
        <v>3</v>
      </c>
      <c r="F559" s="20"/>
      <c r="G559" s="18"/>
      <c r="H559" s="8" t="s">
        <v>3</v>
      </c>
    </row>
    <row r="560" spans="1:8" x14ac:dyDescent="0.2">
      <c r="C560" s="14"/>
      <c r="D560" s="15">
        <v>445000</v>
      </c>
      <c r="E560" s="15" t="s">
        <v>534</v>
      </c>
      <c r="F560" s="20"/>
      <c r="G560" s="18">
        <v>445</v>
      </c>
      <c r="H560" s="7" t="s">
        <v>21</v>
      </c>
    </row>
    <row r="561" spans="1:8" x14ac:dyDescent="0.2">
      <c r="A561" s="14"/>
      <c r="B561" s="24"/>
      <c r="D561" s="24" t="s">
        <v>3</v>
      </c>
      <c r="E561" s="24" t="s">
        <v>3</v>
      </c>
      <c r="F561" s="20"/>
      <c r="G561" s="18"/>
      <c r="H561" s="8" t="s">
        <v>3</v>
      </c>
    </row>
    <row r="562" spans="1:8" x14ac:dyDescent="0.2">
      <c r="A562" s="14"/>
      <c r="B562" s="14">
        <v>452</v>
      </c>
      <c r="C562" s="24" t="s">
        <v>535</v>
      </c>
      <c r="D562" s="24"/>
      <c r="E562" s="24"/>
      <c r="F562" s="20"/>
      <c r="G562" s="18"/>
      <c r="H562" s="8" t="s">
        <v>3</v>
      </c>
    </row>
    <row r="563" spans="1:8" x14ac:dyDescent="0.2">
      <c r="A563" s="14"/>
      <c r="B563" s="24"/>
      <c r="D563" s="24" t="s">
        <v>3</v>
      </c>
      <c r="E563" s="24" t="s">
        <v>3</v>
      </c>
      <c r="F563" s="20"/>
      <c r="G563" s="18"/>
      <c r="H563" s="8" t="s">
        <v>3</v>
      </c>
    </row>
    <row r="564" spans="1:8" x14ac:dyDescent="0.2">
      <c r="A564" s="14"/>
      <c r="B564" s="24"/>
      <c r="C564" s="14">
        <v>452</v>
      </c>
      <c r="D564" s="24" t="s">
        <v>535</v>
      </c>
      <c r="E564" s="24"/>
      <c r="F564" s="20"/>
      <c r="G564" s="18"/>
      <c r="H564" s="8" t="s">
        <v>3</v>
      </c>
    </row>
    <row r="565" spans="1:8" x14ac:dyDescent="0.2">
      <c r="A565" s="14"/>
      <c r="B565" s="24"/>
      <c r="D565" s="24" t="s">
        <v>3</v>
      </c>
      <c r="E565" s="24" t="s">
        <v>3</v>
      </c>
      <c r="F565" s="20"/>
      <c r="G565" s="18"/>
      <c r="H565" s="8" t="s">
        <v>3</v>
      </c>
    </row>
    <row r="566" spans="1:8" x14ac:dyDescent="0.2">
      <c r="C566" s="14"/>
      <c r="D566" s="15">
        <v>452000</v>
      </c>
      <c r="E566" s="15" t="s">
        <v>535</v>
      </c>
      <c r="F566" s="20"/>
      <c r="G566" s="18">
        <v>452</v>
      </c>
      <c r="H566" s="7" t="s">
        <v>21</v>
      </c>
    </row>
    <row r="567" spans="1:8" x14ac:dyDescent="0.2">
      <c r="A567" s="14"/>
      <c r="B567" s="24"/>
      <c r="D567" s="24" t="s">
        <v>3</v>
      </c>
      <c r="E567" s="24" t="s">
        <v>3</v>
      </c>
      <c r="F567" s="20"/>
      <c r="G567" s="18"/>
      <c r="H567" s="8" t="s">
        <v>3</v>
      </c>
    </row>
    <row r="568" spans="1:8" x14ac:dyDescent="0.2">
      <c r="A568" s="14"/>
      <c r="B568" s="14" t="s">
        <v>536</v>
      </c>
      <c r="C568" s="14" t="s">
        <v>537</v>
      </c>
      <c r="D568" s="24"/>
      <c r="E568" s="24"/>
      <c r="F568" s="20"/>
      <c r="G568" s="18"/>
      <c r="H568" s="8" t="s">
        <v>3</v>
      </c>
    </row>
    <row r="569" spans="1:8" x14ac:dyDescent="0.2">
      <c r="A569" s="14"/>
      <c r="B569" s="24"/>
      <c r="D569" s="24" t="s">
        <v>3</v>
      </c>
      <c r="E569" s="24" t="s">
        <v>3</v>
      </c>
      <c r="F569" s="20"/>
      <c r="G569" s="18"/>
      <c r="H569" s="8" t="s">
        <v>3</v>
      </c>
    </row>
    <row r="570" spans="1:8" x14ac:dyDescent="0.2">
      <c r="A570" s="14"/>
      <c r="B570" s="24"/>
      <c r="C570" s="14">
        <v>444</v>
      </c>
      <c r="D570" s="14" t="s">
        <v>538</v>
      </c>
      <c r="E570" s="24"/>
      <c r="F570" s="20"/>
      <c r="G570" s="18"/>
      <c r="H570" s="8" t="s">
        <v>3</v>
      </c>
    </row>
    <row r="571" spans="1:8" x14ac:dyDescent="0.2">
      <c r="A571" s="14"/>
      <c r="B571" s="24"/>
      <c r="D571" s="15" t="s">
        <v>3</v>
      </c>
      <c r="E571" s="24" t="s">
        <v>3</v>
      </c>
      <c r="F571" s="20"/>
      <c r="G571" s="18"/>
      <c r="H571" s="8" t="s">
        <v>3</v>
      </c>
    </row>
    <row r="572" spans="1:8" x14ac:dyDescent="0.2">
      <c r="C572" s="14"/>
      <c r="D572" s="15">
        <v>444000</v>
      </c>
      <c r="E572" s="19" t="s">
        <v>538</v>
      </c>
      <c r="F572" s="20"/>
      <c r="G572" s="18">
        <v>444</v>
      </c>
      <c r="H572" s="7" t="s">
        <v>21</v>
      </c>
    </row>
    <row r="573" spans="1:8" x14ac:dyDescent="0.2">
      <c r="A573" s="22"/>
      <c r="B573" s="24"/>
      <c r="D573" s="15" t="s">
        <v>3</v>
      </c>
      <c r="E573" s="24" t="s">
        <v>3</v>
      </c>
      <c r="F573" s="20"/>
      <c r="G573" s="18"/>
      <c r="H573" s="8" t="s">
        <v>3</v>
      </c>
    </row>
    <row r="574" spans="1:8" x14ac:dyDescent="0.2">
      <c r="A574" s="22"/>
      <c r="B574" s="24"/>
      <c r="C574" s="14">
        <v>446</v>
      </c>
      <c r="D574" s="14" t="s">
        <v>539</v>
      </c>
      <c r="E574" s="24"/>
      <c r="F574" s="20"/>
      <c r="G574" s="18"/>
      <c r="H574" s="8" t="s">
        <v>3</v>
      </c>
    </row>
    <row r="575" spans="1:8" x14ac:dyDescent="0.2">
      <c r="B575" s="24"/>
      <c r="D575" s="15" t="s">
        <v>3</v>
      </c>
      <c r="E575" s="24" t="s">
        <v>3</v>
      </c>
      <c r="F575" s="20"/>
      <c r="G575" s="18"/>
      <c r="H575" s="8" t="s">
        <v>3</v>
      </c>
    </row>
    <row r="576" spans="1:8" x14ac:dyDescent="0.2">
      <c r="C576" s="14"/>
      <c r="D576" s="15">
        <v>446000</v>
      </c>
      <c r="E576" s="19" t="s">
        <v>539</v>
      </c>
      <c r="F576" s="20"/>
      <c r="G576" s="18">
        <v>446</v>
      </c>
      <c r="H576" s="7" t="s">
        <v>21</v>
      </c>
    </row>
    <row r="577" spans="1:8" x14ac:dyDescent="0.2">
      <c r="B577" s="24"/>
      <c r="D577" s="15" t="s">
        <v>3</v>
      </c>
      <c r="E577" s="24" t="s">
        <v>3</v>
      </c>
      <c r="F577" s="20"/>
      <c r="G577" s="18"/>
      <c r="H577" s="8" t="s">
        <v>3</v>
      </c>
    </row>
    <row r="578" spans="1:8" x14ac:dyDescent="0.2">
      <c r="B578" s="24"/>
      <c r="C578" s="14">
        <v>447</v>
      </c>
      <c r="D578" s="14" t="s">
        <v>540</v>
      </c>
      <c r="E578" s="24"/>
      <c r="F578" s="20"/>
      <c r="G578" s="18"/>
      <c r="H578" s="8" t="s">
        <v>3</v>
      </c>
    </row>
    <row r="579" spans="1:8" x14ac:dyDescent="0.2">
      <c r="B579" s="24"/>
      <c r="D579" s="15" t="s">
        <v>3</v>
      </c>
      <c r="E579" s="24" t="s">
        <v>3</v>
      </c>
      <c r="F579" s="20"/>
      <c r="G579" s="18"/>
      <c r="H579" s="8" t="s">
        <v>3</v>
      </c>
    </row>
    <row r="580" spans="1:8" x14ac:dyDescent="0.2">
      <c r="C580" s="14"/>
      <c r="D580" s="15">
        <v>447000</v>
      </c>
      <c r="E580" s="19" t="s">
        <v>540</v>
      </c>
      <c r="F580" s="20"/>
      <c r="G580" s="18">
        <v>447</v>
      </c>
      <c r="H580" s="7" t="s">
        <v>21</v>
      </c>
    </row>
    <row r="581" spans="1:8" x14ac:dyDescent="0.2">
      <c r="B581" s="24"/>
      <c r="D581" s="15" t="s">
        <v>3</v>
      </c>
      <c r="E581" s="24" t="s">
        <v>3</v>
      </c>
      <c r="F581" s="20"/>
      <c r="G581" s="18"/>
      <c r="H581" s="8" t="s">
        <v>3</v>
      </c>
    </row>
    <row r="582" spans="1:8" x14ac:dyDescent="0.2">
      <c r="B582" s="24"/>
      <c r="C582" s="14">
        <v>448</v>
      </c>
      <c r="D582" s="14" t="s">
        <v>541</v>
      </c>
      <c r="E582" s="24"/>
      <c r="F582" s="20"/>
      <c r="G582" s="18"/>
      <c r="H582" s="8" t="s">
        <v>3</v>
      </c>
    </row>
    <row r="583" spans="1:8" x14ac:dyDescent="0.2">
      <c r="B583" s="24"/>
      <c r="D583" s="15" t="s">
        <v>3</v>
      </c>
      <c r="E583" s="24" t="s">
        <v>3</v>
      </c>
      <c r="F583" s="20"/>
      <c r="G583" s="18"/>
      <c r="H583" s="8" t="s">
        <v>3</v>
      </c>
    </row>
    <row r="584" spans="1:8" x14ac:dyDescent="0.2">
      <c r="C584" s="14"/>
      <c r="D584" s="15">
        <v>448000</v>
      </c>
      <c r="E584" s="19" t="s">
        <v>541</v>
      </c>
      <c r="F584" s="20"/>
      <c r="G584" s="18">
        <v>448</v>
      </c>
      <c r="H584" s="7" t="s">
        <v>21</v>
      </c>
    </row>
    <row r="585" spans="1:8" x14ac:dyDescent="0.2">
      <c r="B585" s="24"/>
      <c r="D585" s="15" t="s">
        <v>3</v>
      </c>
      <c r="E585" s="24" t="s">
        <v>3</v>
      </c>
      <c r="F585" s="20"/>
      <c r="G585" s="18"/>
      <c r="H585" s="8" t="s">
        <v>3</v>
      </c>
    </row>
    <row r="586" spans="1:8" x14ac:dyDescent="0.2">
      <c r="A586" s="14"/>
      <c r="B586" s="24"/>
      <c r="C586" s="14">
        <v>454</v>
      </c>
      <c r="D586" s="14" t="s">
        <v>542</v>
      </c>
      <c r="E586" s="24"/>
      <c r="F586" s="20"/>
      <c r="G586" s="18"/>
      <c r="H586" s="8" t="s">
        <v>3</v>
      </c>
    </row>
    <row r="587" spans="1:8" x14ac:dyDescent="0.2">
      <c r="A587" s="14"/>
      <c r="B587" s="24"/>
      <c r="D587" s="15" t="s">
        <v>3</v>
      </c>
      <c r="E587" s="24" t="s">
        <v>3</v>
      </c>
      <c r="F587" s="20"/>
      <c r="G587" s="18"/>
      <c r="H587" s="8" t="s">
        <v>3</v>
      </c>
    </row>
    <row r="588" spans="1:8" x14ac:dyDescent="0.2">
      <c r="C588" s="14"/>
      <c r="D588" s="15">
        <v>454000</v>
      </c>
      <c r="E588" s="19" t="s">
        <v>542</v>
      </c>
      <c r="F588" s="20"/>
      <c r="G588" s="18">
        <v>454</v>
      </c>
      <c r="H588" s="7" t="s">
        <v>21</v>
      </c>
    </row>
    <row r="589" spans="1:8" x14ac:dyDescent="0.2">
      <c r="A589" s="14"/>
      <c r="B589" s="24"/>
      <c r="D589" s="15" t="s">
        <v>3</v>
      </c>
      <c r="E589" s="24" t="s">
        <v>3</v>
      </c>
      <c r="F589" s="20"/>
      <c r="G589" s="18"/>
      <c r="H589" s="8" t="s">
        <v>3</v>
      </c>
    </row>
    <row r="590" spans="1:8" x14ac:dyDescent="0.2">
      <c r="A590" s="14"/>
      <c r="B590" s="24"/>
      <c r="C590" s="14" t="s">
        <v>543</v>
      </c>
      <c r="D590" s="14" t="s">
        <v>544</v>
      </c>
      <c r="E590" s="24"/>
      <c r="F590" s="20"/>
      <c r="G590" s="18"/>
      <c r="H590" s="8" t="s">
        <v>3</v>
      </c>
    </row>
    <row r="591" spans="1:8" x14ac:dyDescent="0.2">
      <c r="A591" s="14"/>
      <c r="B591" s="24"/>
      <c r="D591" s="15" t="s">
        <v>3</v>
      </c>
      <c r="E591" s="24" t="s">
        <v>3</v>
      </c>
      <c r="F591" s="20"/>
      <c r="G591" s="18"/>
      <c r="H591" s="8" t="s">
        <v>3</v>
      </c>
    </row>
    <row r="592" spans="1:8" x14ac:dyDescent="0.2">
      <c r="A592" s="14"/>
      <c r="B592" s="24"/>
      <c r="D592" s="15" t="s">
        <v>545</v>
      </c>
      <c r="E592" s="19" t="s">
        <v>544</v>
      </c>
      <c r="F592" s="20"/>
      <c r="G592" s="18" t="s">
        <v>546</v>
      </c>
      <c r="H592" s="7" t="s">
        <v>21</v>
      </c>
    </row>
    <row r="593" spans="1:8" x14ac:dyDescent="0.2">
      <c r="C593" s="14"/>
      <c r="D593" s="15" t="s">
        <v>3</v>
      </c>
      <c r="E593" s="15" t="s">
        <v>3</v>
      </c>
      <c r="F593" s="20"/>
      <c r="G593" s="18"/>
      <c r="H593" s="8" t="s">
        <v>3</v>
      </c>
    </row>
    <row r="594" spans="1:8" x14ac:dyDescent="0.2">
      <c r="A594" s="14" t="s">
        <v>547</v>
      </c>
      <c r="B594" s="14" t="s">
        <v>548</v>
      </c>
      <c r="C594" s="24"/>
      <c r="D594" s="22"/>
      <c r="E594" s="22"/>
      <c r="F594" s="20"/>
      <c r="G594" s="18"/>
      <c r="H594" s="8" t="s">
        <v>3</v>
      </c>
    </row>
    <row r="595" spans="1:8" x14ac:dyDescent="0.2">
      <c r="C595" s="14"/>
      <c r="D595" s="14" t="s">
        <v>3</v>
      </c>
      <c r="E595" s="14" t="s">
        <v>3</v>
      </c>
      <c r="F595" s="20"/>
      <c r="G595" s="18"/>
      <c r="H595" s="8" t="s">
        <v>3</v>
      </c>
    </row>
    <row r="596" spans="1:8" x14ac:dyDescent="0.2">
      <c r="B596" s="14">
        <v>481</v>
      </c>
      <c r="C596" s="14" t="s">
        <v>549</v>
      </c>
      <c r="D596" s="14"/>
      <c r="E596" s="14"/>
      <c r="F596" s="20"/>
      <c r="G596" s="18"/>
      <c r="H596" s="8" t="s">
        <v>3</v>
      </c>
    </row>
    <row r="597" spans="1:8" x14ac:dyDescent="0.2">
      <c r="C597" s="14"/>
      <c r="D597" s="14" t="s">
        <v>3</v>
      </c>
      <c r="E597" s="14" t="s">
        <v>3</v>
      </c>
      <c r="F597" s="20"/>
      <c r="G597" s="18"/>
      <c r="H597" s="8" t="s">
        <v>3</v>
      </c>
    </row>
    <row r="598" spans="1:8" x14ac:dyDescent="0.2">
      <c r="C598" s="14">
        <v>481</v>
      </c>
      <c r="D598" s="14" t="s">
        <v>550</v>
      </c>
      <c r="E598" s="27"/>
      <c r="F598" s="20"/>
      <c r="G598" s="18"/>
      <c r="H598" s="8" t="s">
        <v>3</v>
      </c>
    </row>
    <row r="599" spans="1:8" x14ac:dyDescent="0.2">
      <c r="C599" s="14"/>
      <c r="D599" s="14" t="s">
        <v>3</v>
      </c>
      <c r="E599" s="27" t="s">
        <v>3</v>
      </c>
      <c r="F599" s="20"/>
      <c r="G599" s="18"/>
      <c r="H599" s="8" t="s">
        <v>3</v>
      </c>
    </row>
    <row r="600" spans="1:8" x14ac:dyDescent="0.2">
      <c r="D600" s="15">
        <v>481000</v>
      </c>
      <c r="E600" s="19" t="s">
        <v>550</v>
      </c>
      <c r="F600" s="20"/>
      <c r="G600" s="18">
        <v>481</v>
      </c>
      <c r="H600" s="7" t="s">
        <v>22</v>
      </c>
    </row>
    <row r="601" spans="1:8" x14ac:dyDescent="0.2">
      <c r="D601" s="15" t="s">
        <v>3</v>
      </c>
      <c r="E601" s="19" t="s">
        <v>3</v>
      </c>
      <c r="F601" s="20"/>
      <c r="G601" s="18"/>
      <c r="H601" s="8" t="s">
        <v>3</v>
      </c>
    </row>
    <row r="602" spans="1:8" x14ac:dyDescent="0.2">
      <c r="B602" s="14">
        <v>482</v>
      </c>
      <c r="C602" s="14" t="s">
        <v>551</v>
      </c>
      <c r="F602" s="20"/>
      <c r="G602" s="18"/>
      <c r="H602" s="8" t="s">
        <v>3</v>
      </c>
    </row>
    <row r="603" spans="1:8" x14ac:dyDescent="0.2">
      <c r="D603" s="15" t="s">
        <v>3</v>
      </c>
      <c r="E603" s="19" t="s">
        <v>3</v>
      </c>
      <c r="F603" s="20"/>
      <c r="G603" s="18"/>
      <c r="H603" s="8" t="s">
        <v>3</v>
      </c>
    </row>
    <row r="604" spans="1:8" x14ac:dyDescent="0.2">
      <c r="C604" s="14">
        <v>482</v>
      </c>
      <c r="D604" s="14" t="s">
        <v>552</v>
      </c>
      <c r="F604" s="20"/>
      <c r="G604" s="18"/>
      <c r="H604" s="8" t="s">
        <v>3</v>
      </c>
    </row>
    <row r="605" spans="1:8" x14ac:dyDescent="0.2">
      <c r="C605" s="14"/>
      <c r="D605" s="14" t="s">
        <v>3</v>
      </c>
      <c r="E605" s="19" t="s">
        <v>3</v>
      </c>
      <c r="F605" s="20"/>
      <c r="G605" s="18"/>
      <c r="H605" s="8" t="s">
        <v>3</v>
      </c>
    </row>
    <row r="606" spans="1:8" x14ac:dyDescent="0.2">
      <c r="D606" s="15">
        <v>482000</v>
      </c>
      <c r="E606" s="19" t="s">
        <v>552</v>
      </c>
      <c r="F606" s="20"/>
      <c r="G606" s="18">
        <v>482</v>
      </c>
      <c r="H606" s="7" t="s">
        <v>22</v>
      </c>
    </row>
    <row r="607" spans="1:8" x14ac:dyDescent="0.2">
      <c r="D607" s="15" t="s">
        <v>3</v>
      </c>
      <c r="E607" s="19" t="s">
        <v>3</v>
      </c>
      <c r="F607" s="20"/>
      <c r="G607" s="18"/>
      <c r="H607" s="8" t="s">
        <v>3</v>
      </c>
    </row>
    <row r="608" spans="1:8" x14ac:dyDescent="0.2">
      <c r="B608" s="14">
        <v>483</v>
      </c>
      <c r="C608" s="14" t="s">
        <v>553</v>
      </c>
      <c r="E608" s="19" t="s">
        <v>3</v>
      </c>
      <c r="F608" s="20"/>
      <c r="G608" s="18"/>
      <c r="H608" s="8" t="s">
        <v>3</v>
      </c>
    </row>
    <row r="609" spans="2:8" x14ac:dyDescent="0.2">
      <c r="D609" s="15" t="s">
        <v>3</v>
      </c>
      <c r="E609" s="19" t="s">
        <v>3</v>
      </c>
      <c r="F609" s="20"/>
      <c r="G609" s="18"/>
      <c r="H609" s="8" t="s">
        <v>3</v>
      </c>
    </row>
    <row r="610" spans="2:8" x14ac:dyDescent="0.2">
      <c r="C610" s="14">
        <v>483</v>
      </c>
      <c r="D610" s="14" t="s">
        <v>553</v>
      </c>
      <c r="F610" s="20"/>
      <c r="G610" s="18"/>
      <c r="H610" s="8" t="s">
        <v>3</v>
      </c>
    </row>
    <row r="611" spans="2:8" x14ac:dyDescent="0.2">
      <c r="C611" s="14"/>
      <c r="D611" s="14" t="s">
        <v>3</v>
      </c>
      <c r="E611" s="19" t="s">
        <v>3</v>
      </c>
      <c r="F611" s="20"/>
      <c r="G611" s="18"/>
      <c r="H611" s="8" t="s">
        <v>3</v>
      </c>
    </row>
    <row r="612" spans="2:8" x14ac:dyDescent="0.2">
      <c r="D612" s="15">
        <v>483000</v>
      </c>
      <c r="E612" s="19" t="s">
        <v>553</v>
      </c>
      <c r="F612" s="20"/>
      <c r="G612" s="18">
        <v>483</v>
      </c>
      <c r="H612" s="7" t="s">
        <v>22</v>
      </c>
    </row>
    <row r="613" spans="2:8" x14ac:dyDescent="0.2">
      <c r="D613" s="15" t="s">
        <v>3</v>
      </c>
      <c r="E613" s="19" t="s">
        <v>3</v>
      </c>
      <c r="F613" s="20"/>
      <c r="G613" s="18"/>
      <c r="H613" s="8" t="s">
        <v>3</v>
      </c>
    </row>
    <row r="614" spans="2:8" x14ac:dyDescent="0.2">
      <c r="B614" s="14">
        <v>484</v>
      </c>
      <c r="C614" s="14" t="s">
        <v>554</v>
      </c>
      <c r="E614" s="19" t="s">
        <v>3</v>
      </c>
      <c r="F614" s="20"/>
      <c r="G614" s="18"/>
      <c r="H614" s="8" t="s">
        <v>3</v>
      </c>
    </row>
    <row r="615" spans="2:8" x14ac:dyDescent="0.2">
      <c r="D615" s="15" t="s">
        <v>3</v>
      </c>
      <c r="E615" s="19" t="s">
        <v>3</v>
      </c>
      <c r="F615" s="20"/>
      <c r="G615" s="18"/>
      <c r="H615" s="8" t="s">
        <v>3</v>
      </c>
    </row>
    <row r="616" spans="2:8" x14ac:dyDescent="0.2">
      <c r="C616" s="14">
        <v>484</v>
      </c>
      <c r="D616" s="14" t="s">
        <v>554</v>
      </c>
      <c r="F616" s="20"/>
      <c r="G616" s="18"/>
      <c r="H616" s="8" t="s">
        <v>3</v>
      </c>
    </row>
    <row r="617" spans="2:8" x14ac:dyDescent="0.2">
      <c r="C617" s="14"/>
      <c r="D617" s="14" t="s">
        <v>3</v>
      </c>
      <c r="E617" s="19" t="s">
        <v>3</v>
      </c>
      <c r="F617" s="20"/>
      <c r="G617" s="18"/>
      <c r="H617" s="8" t="s">
        <v>3</v>
      </c>
    </row>
    <row r="618" spans="2:8" x14ac:dyDescent="0.2">
      <c r="D618" s="15">
        <v>484000</v>
      </c>
      <c r="E618" s="19" t="s">
        <v>554</v>
      </c>
      <c r="F618" s="20"/>
      <c r="G618" s="18">
        <v>484</v>
      </c>
      <c r="H618" s="7" t="s">
        <v>22</v>
      </c>
    </row>
    <row r="619" spans="2:8" x14ac:dyDescent="0.2">
      <c r="D619" s="15" t="s">
        <v>3</v>
      </c>
      <c r="E619" s="19" t="s">
        <v>3</v>
      </c>
      <c r="F619" s="20"/>
      <c r="G619" s="18"/>
      <c r="H619" s="8" t="s">
        <v>3</v>
      </c>
    </row>
    <row r="620" spans="2:8" x14ac:dyDescent="0.2">
      <c r="B620" s="14">
        <v>485</v>
      </c>
      <c r="C620" s="14" t="s">
        <v>555</v>
      </c>
      <c r="D620" s="22"/>
      <c r="F620" s="20"/>
      <c r="G620" s="18"/>
      <c r="H620" s="8" t="s">
        <v>3</v>
      </c>
    </row>
    <row r="621" spans="2:8" x14ac:dyDescent="0.2">
      <c r="D621" s="15" t="s">
        <v>3</v>
      </c>
      <c r="E621" s="19" t="s">
        <v>3</v>
      </c>
      <c r="F621" s="20"/>
      <c r="G621" s="18"/>
      <c r="H621" s="8" t="s">
        <v>3</v>
      </c>
    </row>
    <row r="622" spans="2:8" x14ac:dyDescent="0.2">
      <c r="C622" s="14">
        <v>485</v>
      </c>
      <c r="D622" s="14" t="s">
        <v>556</v>
      </c>
      <c r="F622" s="20"/>
      <c r="G622" s="18"/>
      <c r="H622" s="8" t="s">
        <v>3</v>
      </c>
    </row>
    <row r="623" spans="2:8" x14ac:dyDescent="0.2">
      <c r="C623" s="14"/>
      <c r="D623" s="14" t="s">
        <v>3</v>
      </c>
      <c r="E623" s="19" t="s">
        <v>3</v>
      </c>
      <c r="F623" s="20"/>
      <c r="G623" s="18"/>
      <c r="H623" s="8" t="s">
        <v>3</v>
      </c>
    </row>
    <row r="624" spans="2:8" x14ac:dyDescent="0.2">
      <c r="D624" s="15">
        <v>485000</v>
      </c>
      <c r="E624" s="19" t="s">
        <v>556</v>
      </c>
      <c r="F624" s="20"/>
      <c r="G624" s="18">
        <v>485</v>
      </c>
      <c r="H624" s="7" t="s">
        <v>22</v>
      </c>
    </row>
    <row r="625" spans="2:8" x14ac:dyDescent="0.2">
      <c r="D625" s="15" t="s">
        <v>3</v>
      </c>
      <c r="E625" s="19" t="s">
        <v>3</v>
      </c>
      <c r="F625" s="20"/>
      <c r="G625" s="18"/>
      <c r="H625" s="8" t="s">
        <v>3</v>
      </c>
    </row>
    <row r="626" spans="2:8" x14ac:dyDescent="0.2">
      <c r="B626" s="14">
        <v>486</v>
      </c>
      <c r="C626" s="14" t="s">
        <v>557</v>
      </c>
      <c r="D626" s="22"/>
      <c r="F626" s="20"/>
      <c r="G626" s="18"/>
      <c r="H626" s="8" t="s">
        <v>3</v>
      </c>
    </row>
    <row r="627" spans="2:8" x14ac:dyDescent="0.2">
      <c r="D627" s="15" t="s">
        <v>3</v>
      </c>
      <c r="E627" s="19" t="s">
        <v>3</v>
      </c>
      <c r="F627" s="20"/>
      <c r="G627" s="18"/>
      <c r="H627" s="8" t="s">
        <v>3</v>
      </c>
    </row>
    <row r="628" spans="2:8" x14ac:dyDescent="0.2">
      <c r="C628" s="14">
        <v>486</v>
      </c>
      <c r="D628" s="14" t="s">
        <v>557</v>
      </c>
      <c r="F628" s="20"/>
      <c r="G628" s="18"/>
      <c r="H628" s="8" t="s">
        <v>3</v>
      </c>
    </row>
    <row r="629" spans="2:8" x14ac:dyDescent="0.2">
      <c r="C629" s="14"/>
      <c r="D629" s="14" t="s">
        <v>3</v>
      </c>
      <c r="E629" s="19" t="s">
        <v>3</v>
      </c>
      <c r="F629" s="20"/>
      <c r="G629" s="18"/>
      <c r="H629" s="8" t="s">
        <v>3</v>
      </c>
    </row>
    <row r="630" spans="2:8" x14ac:dyDescent="0.2">
      <c r="D630" s="15">
        <v>486000</v>
      </c>
      <c r="E630" s="19" t="s">
        <v>557</v>
      </c>
      <c r="F630" s="20"/>
      <c r="G630" s="18">
        <v>486</v>
      </c>
      <c r="H630" s="7" t="s">
        <v>22</v>
      </c>
    </row>
    <row r="631" spans="2:8" x14ac:dyDescent="0.2">
      <c r="D631" s="15" t="s">
        <v>3</v>
      </c>
      <c r="E631" s="19" t="s">
        <v>3</v>
      </c>
      <c r="F631" s="20"/>
      <c r="G631" s="18"/>
      <c r="H631" s="8" t="s">
        <v>3</v>
      </c>
    </row>
    <row r="632" spans="2:8" x14ac:dyDescent="0.2">
      <c r="B632" s="14" t="s">
        <v>558</v>
      </c>
      <c r="C632" s="14" t="s">
        <v>559</v>
      </c>
      <c r="F632" s="20"/>
      <c r="G632" s="18"/>
      <c r="H632" s="8" t="s">
        <v>3</v>
      </c>
    </row>
    <row r="633" spans="2:8" x14ac:dyDescent="0.2">
      <c r="D633" s="15" t="s">
        <v>3</v>
      </c>
      <c r="E633" s="19" t="s">
        <v>3</v>
      </c>
      <c r="F633" s="20"/>
      <c r="G633" s="18"/>
      <c r="H633" s="8" t="s">
        <v>3</v>
      </c>
    </row>
    <row r="634" spans="2:8" x14ac:dyDescent="0.2">
      <c r="C634" s="14" t="s">
        <v>560</v>
      </c>
      <c r="D634" s="14" t="s">
        <v>561</v>
      </c>
      <c r="F634" s="20"/>
      <c r="G634" s="18"/>
      <c r="H634" s="8" t="s">
        <v>3</v>
      </c>
    </row>
    <row r="635" spans="2:8" x14ac:dyDescent="0.2">
      <c r="C635" s="14"/>
      <c r="D635" s="14" t="s">
        <v>3</v>
      </c>
      <c r="E635" s="19" t="s">
        <v>3</v>
      </c>
      <c r="F635" s="20"/>
      <c r="G635" s="18"/>
      <c r="H635" s="8" t="s">
        <v>3</v>
      </c>
    </row>
    <row r="636" spans="2:8" x14ac:dyDescent="0.2">
      <c r="D636" s="15" t="s">
        <v>562</v>
      </c>
      <c r="E636" s="19" t="s">
        <v>561</v>
      </c>
      <c r="F636" s="20"/>
      <c r="G636" s="30" t="s">
        <v>563</v>
      </c>
      <c r="H636" s="7" t="s">
        <v>22</v>
      </c>
    </row>
    <row r="637" spans="2:8" x14ac:dyDescent="0.2">
      <c r="D637" s="15" t="s">
        <v>3</v>
      </c>
      <c r="E637" s="19" t="s">
        <v>3</v>
      </c>
      <c r="F637" s="20"/>
      <c r="G637" s="18"/>
      <c r="H637" s="8" t="s">
        <v>3</v>
      </c>
    </row>
    <row r="638" spans="2:8" x14ac:dyDescent="0.2">
      <c r="C638" s="14">
        <v>492</v>
      </c>
      <c r="D638" s="14" t="s">
        <v>564</v>
      </c>
      <c r="F638" s="20"/>
      <c r="G638" s="18"/>
      <c r="H638" s="8" t="s">
        <v>3</v>
      </c>
    </row>
    <row r="639" spans="2:8" x14ac:dyDescent="0.2">
      <c r="C639" s="14"/>
      <c r="D639" s="14" t="s">
        <v>3</v>
      </c>
      <c r="E639" s="19" t="s">
        <v>3</v>
      </c>
      <c r="F639" s="20"/>
      <c r="G639" s="18"/>
      <c r="H639" s="8" t="s">
        <v>3</v>
      </c>
    </row>
    <row r="640" spans="2:8" x14ac:dyDescent="0.2">
      <c r="D640" s="15">
        <v>492000</v>
      </c>
      <c r="E640" s="19" t="s">
        <v>564</v>
      </c>
      <c r="F640" s="20"/>
      <c r="G640" s="18">
        <v>492</v>
      </c>
      <c r="H640" s="7" t="s">
        <v>22</v>
      </c>
    </row>
    <row r="641" spans="1:8" x14ac:dyDescent="0.2">
      <c r="D641" s="15" t="s">
        <v>3</v>
      </c>
      <c r="E641" s="19" t="s">
        <v>3</v>
      </c>
      <c r="F641" s="20"/>
      <c r="G641" s="18"/>
      <c r="H641" s="8" t="s">
        <v>3</v>
      </c>
    </row>
    <row r="642" spans="1:8" x14ac:dyDescent="0.2">
      <c r="B642" s="14">
        <v>493</v>
      </c>
      <c r="C642" s="14" t="s">
        <v>565</v>
      </c>
      <c r="F642" s="20"/>
      <c r="G642" s="18"/>
      <c r="H642" s="8" t="s">
        <v>3</v>
      </c>
    </row>
    <row r="643" spans="1:8" x14ac:dyDescent="0.2">
      <c r="D643" s="15" t="s">
        <v>3</v>
      </c>
      <c r="E643" s="19" t="s">
        <v>3</v>
      </c>
      <c r="F643" s="20"/>
      <c r="G643" s="18"/>
      <c r="H643" s="8" t="s">
        <v>3</v>
      </c>
    </row>
    <row r="644" spans="1:8" x14ac:dyDescent="0.2">
      <c r="C644" s="14">
        <v>493</v>
      </c>
      <c r="D644" s="14" t="s">
        <v>565</v>
      </c>
      <c r="F644" s="20"/>
      <c r="G644" s="18"/>
      <c r="H644" s="8" t="s">
        <v>3</v>
      </c>
    </row>
    <row r="645" spans="1:8" x14ac:dyDescent="0.2">
      <c r="C645" s="14"/>
      <c r="D645" s="14" t="s">
        <v>3</v>
      </c>
      <c r="E645" s="19" t="s">
        <v>3</v>
      </c>
      <c r="F645" s="20"/>
      <c r="G645" s="18"/>
      <c r="H645" s="8" t="s">
        <v>3</v>
      </c>
    </row>
    <row r="646" spans="1:8" x14ac:dyDescent="0.2">
      <c r="D646" s="15">
        <v>493000</v>
      </c>
      <c r="E646" s="19" t="s">
        <v>565</v>
      </c>
      <c r="F646" s="20"/>
      <c r="G646" s="18">
        <v>493</v>
      </c>
      <c r="H646" s="7" t="s">
        <v>22</v>
      </c>
    </row>
    <row r="647" spans="1:8" x14ac:dyDescent="0.2">
      <c r="D647" s="15" t="s">
        <v>3</v>
      </c>
      <c r="E647" s="19" t="s">
        <v>3</v>
      </c>
      <c r="F647" s="20"/>
      <c r="G647" s="18"/>
      <c r="H647" s="8" t="s">
        <v>3</v>
      </c>
    </row>
    <row r="648" spans="1:8" x14ac:dyDescent="0.2">
      <c r="A648" s="14">
        <v>51</v>
      </c>
      <c r="B648" s="14" t="s">
        <v>566</v>
      </c>
      <c r="D648" s="22" t="s">
        <v>3</v>
      </c>
      <c r="E648" s="24" t="s">
        <v>3</v>
      </c>
      <c r="F648" s="20"/>
      <c r="G648" s="18"/>
      <c r="H648" s="8" t="s">
        <v>3</v>
      </c>
    </row>
    <row r="649" spans="1:8" x14ac:dyDescent="0.2">
      <c r="A649" s="14"/>
      <c r="B649" s="24"/>
      <c r="D649" s="22" t="s">
        <v>3</v>
      </c>
      <c r="E649" s="24" t="s">
        <v>3</v>
      </c>
      <c r="F649" s="20"/>
      <c r="G649" s="18"/>
      <c r="H649" s="8" t="s">
        <v>3</v>
      </c>
    </row>
    <row r="650" spans="1:8" x14ac:dyDescent="0.2">
      <c r="A650" s="14"/>
      <c r="B650" s="14">
        <v>511</v>
      </c>
      <c r="C650" s="24" t="s">
        <v>567</v>
      </c>
      <c r="D650" s="22"/>
      <c r="E650" s="24"/>
      <c r="F650" s="20"/>
      <c r="G650" s="18"/>
      <c r="H650" s="8" t="s">
        <v>3</v>
      </c>
    </row>
    <row r="651" spans="1:8" x14ac:dyDescent="0.2">
      <c r="A651" s="14"/>
      <c r="B651" s="24"/>
      <c r="C651" s="24"/>
      <c r="D651" s="22" t="s">
        <v>3</v>
      </c>
      <c r="E651" s="24" t="s">
        <v>3</v>
      </c>
      <c r="F651" s="20"/>
      <c r="G651" s="18"/>
      <c r="H651" s="8" t="s">
        <v>3</v>
      </c>
    </row>
    <row r="652" spans="1:8" x14ac:dyDescent="0.2">
      <c r="C652" s="14">
        <v>5111</v>
      </c>
      <c r="D652" s="14" t="s">
        <v>568</v>
      </c>
      <c r="F652" s="20"/>
      <c r="G652" s="18"/>
      <c r="H652" s="8" t="s">
        <v>3</v>
      </c>
    </row>
    <row r="653" spans="1:8" x14ac:dyDescent="0.2">
      <c r="C653" s="14"/>
      <c r="D653" s="14" t="s">
        <v>3</v>
      </c>
      <c r="E653" s="19" t="s">
        <v>3</v>
      </c>
      <c r="F653" s="20"/>
      <c r="G653" s="18"/>
      <c r="H653" s="8" t="s">
        <v>3</v>
      </c>
    </row>
    <row r="654" spans="1:8" x14ac:dyDescent="0.2">
      <c r="D654" s="15">
        <v>511110</v>
      </c>
      <c r="E654" s="19" t="s">
        <v>569</v>
      </c>
      <c r="F654" s="20"/>
      <c r="G654" s="18">
        <v>51111</v>
      </c>
      <c r="H654" s="7" t="s">
        <v>24</v>
      </c>
    </row>
    <row r="655" spans="1:8" x14ac:dyDescent="0.2">
      <c r="D655" s="15">
        <v>511120</v>
      </c>
      <c r="E655" s="19" t="s">
        <v>570</v>
      </c>
      <c r="F655" s="20"/>
      <c r="G655" s="18">
        <v>51112</v>
      </c>
      <c r="H655" s="7" t="s">
        <v>24</v>
      </c>
    </row>
    <row r="656" spans="1:8" x14ac:dyDescent="0.2">
      <c r="D656" s="15">
        <v>511130</v>
      </c>
      <c r="E656" s="19" t="s">
        <v>571</v>
      </c>
      <c r="F656" s="20"/>
      <c r="G656" s="18">
        <v>51113</v>
      </c>
      <c r="H656" s="7" t="s">
        <v>24</v>
      </c>
    </row>
    <row r="657" spans="2:8" x14ac:dyDescent="0.2">
      <c r="D657" s="15" t="s">
        <v>572</v>
      </c>
      <c r="E657" s="19" t="s">
        <v>573</v>
      </c>
      <c r="F657" s="20"/>
      <c r="G657" s="18" t="s">
        <v>574</v>
      </c>
      <c r="H657" s="7" t="s">
        <v>24</v>
      </c>
    </row>
    <row r="658" spans="2:8" x14ac:dyDescent="0.2">
      <c r="D658" s="15" t="s">
        <v>3</v>
      </c>
      <c r="E658" s="19" t="s">
        <v>3</v>
      </c>
      <c r="F658" s="20"/>
      <c r="G658" s="18"/>
      <c r="H658" s="8" t="s">
        <v>3</v>
      </c>
    </row>
    <row r="659" spans="2:8" x14ac:dyDescent="0.2">
      <c r="C659" s="14">
        <v>5112</v>
      </c>
      <c r="D659" s="14" t="s">
        <v>575</v>
      </c>
      <c r="F659" s="20"/>
      <c r="G659" s="18"/>
      <c r="H659" s="8" t="s">
        <v>3</v>
      </c>
    </row>
    <row r="660" spans="2:8" x14ac:dyDescent="0.2">
      <c r="C660" s="14"/>
      <c r="D660" s="14" t="s">
        <v>3</v>
      </c>
      <c r="E660" s="19" t="s">
        <v>3</v>
      </c>
      <c r="F660" s="20"/>
      <c r="G660" s="18"/>
      <c r="H660" s="8" t="s">
        <v>3</v>
      </c>
    </row>
    <row r="661" spans="2:8" x14ac:dyDescent="0.2">
      <c r="D661" s="15">
        <v>511200</v>
      </c>
      <c r="E661" s="19" t="s">
        <v>575</v>
      </c>
      <c r="F661" s="20"/>
      <c r="G661" s="18">
        <v>51121</v>
      </c>
      <c r="H661" s="7" t="s">
        <v>24</v>
      </c>
    </row>
    <row r="662" spans="2:8" x14ac:dyDescent="0.2">
      <c r="D662" s="15" t="s">
        <v>3</v>
      </c>
      <c r="E662" s="19" t="s">
        <v>3</v>
      </c>
      <c r="F662" s="20"/>
      <c r="G662" s="18"/>
      <c r="H662" s="8" t="s">
        <v>3</v>
      </c>
    </row>
    <row r="663" spans="2:8" x14ac:dyDescent="0.2">
      <c r="B663" s="14">
        <v>512</v>
      </c>
      <c r="C663" s="24" t="s">
        <v>576</v>
      </c>
      <c r="F663" s="20"/>
      <c r="G663" s="18"/>
      <c r="H663" s="8" t="s">
        <v>3</v>
      </c>
    </row>
    <row r="664" spans="2:8" x14ac:dyDescent="0.2">
      <c r="D664" s="15" t="s">
        <v>3</v>
      </c>
      <c r="E664" s="19" t="s">
        <v>3</v>
      </c>
      <c r="F664" s="20"/>
      <c r="G664" s="18"/>
      <c r="H664" s="8" t="s">
        <v>3</v>
      </c>
    </row>
    <row r="665" spans="2:8" x14ac:dyDescent="0.2">
      <c r="C665" s="14">
        <v>512</v>
      </c>
      <c r="D665" s="14" t="s">
        <v>576</v>
      </c>
      <c r="F665" s="20"/>
      <c r="G665" s="18"/>
      <c r="H665" s="8" t="s">
        <v>3</v>
      </c>
    </row>
    <row r="666" spans="2:8" x14ac:dyDescent="0.2">
      <c r="C666" s="14"/>
      <c r="D666" s="14" t="s">
        <v>3</v>
      </c>
      <c r="E666" s="19" t="s">
        <v>3</v>
      </c>
      <c r="F666" s="20"/>
      <c r="G666" s="18"/>
      <c r="H666" s="8" t="s">
        <v>3</v>
      </c>
    </row>
    <row r="667" spans="2:8" x14ac:dyDescent="0.2">
      <c r="D667" s="15">
        <v>512100</v>
      </c>
      <c r="E667" s="19" t="s">
        <v>577</v>
      </c>
      <c r="F667" s="20"/>
      <c r="G667" s="20">
        <v>5121</v>
      </c>
      <c r="H667" s="7" t="s">
        <v>24</v>
      </c>
    </row>
    <row r="668" spans="2:8" x14ac:dyDescent="0.2">
      <c r="D668" s="15">
        <v>512200</v>
      </c>
      <c r="E668" s="19" t="s">
        <v>578</v>
      </c>
      <c r="F668" s="20"/>
      <c r="G668" s="20">
        <v>5122</v>
      </c>
      <c r="H668" s="7" t="s">
        <v>24</v>
      </c>
    </row>
    <row r="669" spans="2:8" x14ac:dyDescent="0.2">
      <c r="D669" s="15" t="s">
        <v>3</v>
      </c>
      <c r="E669" s="19" t="s">
        <v>3</v>
      </c>
      <c r="F669" s="20"/>
      <c r="G669" s="18"/>
      <c r="H669" s="8" t="s">
        <v>3</v>
      </c>
    </row>
    <row r="670" spans="2:8" x14ac:dyDescent="0.2">
      <c r="B670" s="14">
        <v>513</v>
      </c>
      <c r="C670" s="14" t="s">
        <v>579</v>
      </c>
      <c r="F670" s="20"/>
      <c r="G670" s="18"/>
      <c r="H670" s="8" t="s">
        <v>3</v>
      </c>
    </row>
    <row r="671" spans="2:8" x14ac:dyDescent="0.2">
      <c r="D671" s="15" t="s">
        <v>3</v>
      </c>
      <c r="E671" s="19" t="s">
        <v>3</v>
      </c>
      <c r="F671" s="20"/>
      <c r="G671" s="18"/>
      <c r="H671" s="8" t="s">
        <v>3</v>
      </c>
    </row>
    <row r="672" spans="2:8" x14ac:dyDescent="0.2">
      <c r="C672" s="14">
        <v>515</v>
      </c>
      <c r="D672" s="14" t="s">
        <v>580</v>
      </c>
      <c r="F672" s="20"/>
      <c r="G672" s="18"/>
      <c r="H672" s="8" t="s">
        <v>3</v>
      </c>
    </row>
    <row r="673" spans="2:8" x14ac:dyDescent="0.2">
      <c r="C673" s="14"/>
      <c r="D673" s="14" t="s">
        <v>3</v>
      </c>
      <c r="E673" s="19" t="s">
        <v>3</v>
      </c>
      <c r="F673" s="20"/>
      <c r="G673" s="18"/>
      <c r="H673" s="8" t="s">
        <v>3</v>
      </c>
    </row>
    <row r="674" spans="2:8" x14ac:dyDescent="0.2">
      <c r="D674" s="15">
        <v>515100</v>
      </c>
      <c r="E674" s="19" t="s">
        <v>581</v>
      </c>
      <c r="F674" s="20"/>
      <c r="G674" s="18">
        <v>5151</v>
      </c>
      <c r="H674" s="7" t="s">
        <v>24</v>
      </c>
    </row>
    <row r="675" spans="2:8" x14ac:dyDescent="0.2">
      <c r="D675" s="15">
        <v>515200</v>
      </c>
      <c r="E675" s="19" t="s">
        <v>582</v>
      </c>
      <c r="F675" s="20"/>
      <c r="G675" s="18">
        <v>5152</v>
      </c>
      <c r="H675" s="7" t="s">
        <v>24</v>
      </c>
    </row>
    <row r="676" spans="2:8" x14ac:dyDescent="0.2">
      <c r="D676" s="15" t="s">
        <v>3</v>
      </c>
      <c r="E676" s="19" t="s">
        <v>3</v>
      </c>
      <c r="F676" s="20"/>
      <c r="G676" s="18"/>
      <c r="H676" s="8" t="s">
        <v>3</v>
      </c>
    </row>
    <row r="677" spans="2:8" x14ac:dyDescent="0.2">
      <c r="C677" s="14">
        <v>5171</v>
      </c>
      <c r="D677" s="14" t="s">
        <v>583</v>
      </c>
      <c r="F677" s="20"/>
      <c r="G677" s="18"/>
      <c r="H677" s="8" t="s">
        <v>3</v>
      </c>
    </row>
    <row r="678" spans="2:8" x14ac:dyDescent="0.2">
      <c r="C678" s="14"/>
      <c r="D678" s="14" t="s">
        <v>3</v>
      </c>
      <c r="E678" s="19" t="s">
        <v>3</v>
      </c>
      <c r="F678" s="20"/>
      <c r="G678" s="18"/>
      <c r="H678" s="8" t="s">
        <v>3</v>
      </c>
    </row>
    <row r="679" spans="2:8" x14ac:dyDescent="0.2">
      <c r="D679" s="15">
        <v>517110</v>
      </c>
      <c r="E679" s="19" t="s">
        <v>583</v>
      </c>
      <c r="F679" s="20"/>
      <c r="G679" s="20">
        <v>5171</v>
      </c>
      <c r="H679" s="7" t="s">
        <v>25</v>
      </c>
    </row>
    <row r="680" spans="2:8" x14ac:dyDescent="0.2">
      <c r="D680" s="15" t="s">
        <v>3</v>
      </c>
      <c r="E680" s="19" t="s">
        <v>3</v>
      </c>
      <c r="F680" s="20"/>
      <c r="G680" s="20"/>
      <c r="H680" s="8" t="s">
        <v>3</v>
      </c>
    </row>
    <row r="681" spans="2:8" x14ac:dyDescent="0.2">
      <c r="C681" s="14">
        <v>5172</v>
      </c>
      <c r="D681" s="14" t="s">
        <v>584</v>
      </c>
      <c r="F681" s="20"/>
      <c r="G681" s="20"/>
      <c r="H681" s="8" t="s">
        <v>3</v>
      </c>
    </row>
    <row r="682" spans="2:8" x14ac:dyDescent="0.2">
      <c r="D682" s="15" t="s">
        <v>3</v>
      </c>
      <c r="E682" s="19" t="s">
        <v>3</v>
      </c>
      <c r="F682" s="20"/>
      <c r="G682" s="20"/>
      <c r="H682" s="8" t="s">
        <v>3</v>
      </c>
    </row>
    <row r="683" spans="2:8" x14ac:dyDescent="0.2">
      <c r="D683" s="15">
        <v>517210</v>
      </c>
      <c r="E683" s="19" t="s">
        <v>584</v>
      </c>
      <c r="F683" s="20"/>
      <c r="G683" s="20">
        <v>5172</v>
      </c>
      <c r="H683" s="7" t="s">
        <v>25</v>
      </c>
    </row>
    <row r="684" spans="2:8" x14ac:dyDescent="0.2">
      <c r="D684" s="15" t="s">
        <v>3</v>
      </c>
      <c r="E684" s="19" t="s">
        <v>3</v>
      </c>
      <c r="F684" s="20"/>
      <c r="G684" s="20"/>
      <c r="H684" s="8" t="s">
        <v>3</v>
      </c>
    </row>
    <row r="685" spans="2:8" x14ac:dyDescent="0.2">
      <c r="C685" s="14" t="s">
        <v>585</v>
      </c>
      <c r="D685" s="14" t="s">
        <v>586</v>
      </c>
      <c r="F685" s="20"/>
      <c r="G685" s="20"/>
      <c r="H685" s="8" t="s">
        <v>3</v>
      </c>
    </row>
    <row r="686" spans="2:8" x14ac:dyDescent="0.2">
      <c r="C686" s="14"/>
      <c r="D686" s="14" t="s">
        <v>3</v>
      </c>
      <c r="E686" s="19" t="s">
        <v>3</v>
      </c>
      <c r="F686" s="20"/>
      <c r="G686" s="20"/>
      <c r="H686" s="8" t="s">
        <v>3</v>
      </c>
    </row>
    <row r="687" spans="2:8" x14ac:dyDescent="0.2">
      <c r="D687" s="15" t="s">
        <v>587</v>
      </c>
      <c r="E687" s="19" t="s">
        <v>588</v>
      </c>
      <c r="F687" s="20"/>
      <c r="G687" s="20" t="s">
        <v>589</v>
      </c>
      <c r="H687" s="7" t="s">
        <v>25</v>
      </c>
    </row>
    <row r="688" spans="2:8" x14ac:dyDescent="0.2">
      <c r="B688" s="22"/>
      <c r="C688" s="22"/>
      <c r="D688" s="15" t="s">
        <v>3</v>
      </c>
      <c r="E688" s="19" t="s">
        <v>3</v>
      </c>
      <c r="F688" s="20"/>
      <c r="G688" s="20"/>
      <c r="H688" s="8" t="s">
        <v>3</v>
      </c>
    </row>
    <row r="689" spans="1:8" x14ac:dyDescent="0.2">
      <c r="B689" s="14">
        <v>514</v>
      </c>
      <c r="C689" s="14" t="s">
        <v>590</v>
      </c>
      <c r="D689" s="14"/>
      <c r="E689" s="29"/>
      <c r="F689" s="20"/>
      <c r="G689" s="20"/>
      <c r="H689" s="8" t="s">
        <v>3</v>
      </c>
    </row>
    <row r="690" spans="1:8" x14ac:dyDescent="0.2">
      <c r="D690" s="15" t="s">
        <v>3</v>
      </c>
      <c r="E690" s="19" t="s">
        <v>3</v>
      </c>
      <c r="F690" s="20"/>
      <c r="G690" s="18"/>
      <c r="H690" s="8" t="s">
        <v>3</v>
      </c>
    </row>
    <row r="691" spans="1:8" x14ac:dyDescent="0.2">
      <c r="C691" s="14">
        <v>518</v>
      </c>
      <c r="D691" s="14" t="s">
        <v>591</v>
      </c>
      <c r="F691" s="20"/>
      <c r="G691" s="18"/>
      <c r="H691" s="8" t="s">
        <v>3</v>
      </c>
    </row>
    <row r="692" spans="1:8" x14ac:dyDescent="0.2">
      <c r="C692" s="14"/>
      <c r="D692" s="14" t="s">
        <v>3</v>
      </c>
      <c r="E692" s="19" t="s">
        <v>3</v>
      </c>
      <c r="F692" s="20"/>
      <c r="G692" s="18"/>
      <c r="H692" s="7"/>
    </row>
    <row r="693" spans="1:8" x14ac:dyDescent="0.2">
      <c r="D693" s="15">
        <v>518200</v>
      </c>
      <c r="E693" s="19" t="s">
        <v>591</v>
      </c>
      <c r="F693" s="20"/>
      <c r="G693" s="18">
        <v>5182</v>
      </c>
      <c r="H693" s="7" t="s">
        <v>26</v>
      </c>
    </row>
    <row r="694" spans="1:8" x14ac:dyDescent="0.2">
      <c r="D694" s="15" t="s">
        <v>3</v>
      </c>
      <c r="E694" s="19" t="s">
        <v>3</v>
      </c>
      <c r="F694" s="20"/>
      <c r="G694" s="28"/>
      <c r="H694" s="8" t="s">
        <v>3</v>
      </c>
    </row>
    <row r="695" spans="1:8" x14ac:dyDescent="0.2">
      <c r="C695" s="14">
        <v>519</v>
      </c>
      <c r="D695" s="14" t="s">
        <v>592</v>
      </c>
      <c r="F695" s="20"/>
      <c r="G695" s="18"/>
      <c r="H695" s="8" t="s">
        <v>3</v>
      </c>
    </row>
    <row r="696" spans="1:8" x14ac:dyDescent="0.2">
      <c r="C696" s="14"/>
      <c r="D696" s="14" t="s">
        <v>3</v>
      </c>
      <c r="E696" s="19" t="s">
        <v>3</v>
      </c>
      <c r="F696" s="20"/>
      <c r="G696" s="18"/>
      <c r="H696" s="8" t="s">
        <v>3</v>
      </c>
    </row>
    <row r="697" spans="1:8" x14ac:dyDescent="0.2">
      <c r="D697" s="15">
        <v>519130</v>
      </c>
      <c r="E697" s="19" t="s">
        <v>593</v>
      </c>
      <c r="F697" s="20"/>
      <c r="G697" s="18">
        <v>51913</v>
      </c>
      <c r="H697" s="7" t="s">
        <v>26</v>
      </c>
    </row>
    <row r="698" spans="1:8" x14ac:dyDescent="0.2">
      <c r="D698" s="15" t="s">
        <v>594</v>
      </c>
      <c r="E698" s="19" t="s">
        <v>595</v>
      </c>
      <c r="F698" s="20"/>
      <c r="G698" s="18" t="s">
        <v>596</v>
      </c>
      <c r="H698" s="7" t="s">
        <v>26</v>
      </c>
    </row>
    <row r="699" spans="1:8" x14ac:dyDescent="0.2">
      <c r="D699" s="15" t="s">
        <v>3</v>
      </c>
      <c r="E699" s="19" t="s">
        <v>3</v>
      </c>
      <c r="F699" s="20"/>
      <c r="G699" s="18"/>
      <c r="H699" s="8" t="s">
        <v>3</v>
      </c>
    </row>
    <row r="700" spans="1:8" x14ac:dyDescent="0.2">
      <c r="A700" s="14">
        <v>52</v>
      </c>
      <c r="B700" s="24" t="s">
        <v>597</v>
      </c>
      <c r="C700" s="24"/>
      <c r="D700" s="24"/>
      <c r="E700" s="24" t="s">
        <v>3</v>
      </c>
      <c r="F700" s="20"/>
      <c r="G700" s="18"/>
      <c r="H700" s="8" t="s">
        <v>3</v>
      </c>
    </row>
    <row r="701" spans="1:8" x14ac:dyDescent="0.2">
      <c r="A701" s="14"/>
      <c r="B701" s="24"/>
      <c r="D701" s="22" t="s">
        <v>3</v>
      </c>
      <c r="E701" s="24" t="s">
        <v>3</v>
      </c>
      <c r="F701" s="20"/>
      <c r="G701" s="18"/>
      <c r="H701" s="8" t="s">
        <v>3</v>
      </c>
    </row>
    <row r="702" spans="1:8" x14ac:dyDescent="0.2">
      <c r="A702" s="14"/>
      <c r="B702" s="14" t="s">
        <v>598</v>
      </c>
      <c r="C702" s="24" t="s">
        <v>599</v>
      </c>
      <c r="D702" s="24"/>
      <c r="E702" s="25"/>
      <c r="F702" s="20"/>
      <c r="G702" s="18"/>
      <c r="H702" s="8" t="s">
        <v>3</v>
      </c>
    </row>
    <row r="703" spans="1:8" x14ac:dyDescent="0.2">
      <c r="A703" s="14"/>
      <c r="B703" s="24"/>
      <c r="D703" s="22" t="s">
        <v>3</v>
      </c>
      <c r="E703" s="24" t="s">
        <v>3</v>
      </c>
      <c r="F703" s="20"/>
      <c r="G703" s="18"/>
      <c r="H703" s="8" t="s">
        <v>3</v>
      </c>
    </row>
    <row r="704" spans="1:8" x14ac:dyDescent="0.2">
      <c r="C704" s="14" t="s">
        <v>598</v>
      </c>
      <c r="D704" s="24" t="s">
        <v>599</v>
      </c>
      <c r="F704" s="20"/>
      <c r="G704" s="18"/>
      <c r="H704" s="8" t="s">
        <v>3</v>
      </c>
    </row>
    <row r="705" spans="2:8" x14ac:dyDescent="0.2">
      <c r="C705" s="14"/>
      <c r="D705" s="24" t="s">
        <v>3</v>
      </c>
      <c r="E705" s="19" t="s">
        <v>3</v>
      </c>
      <c r="F705" s="20"/>
      <c r="G705" s="18"/>
      <c r="H705" s="8" t="s">
        <v>3</v>
      </c>
    </row>
    <row r="706" spans="2:8" x14ac:dyDescent="0.2">
      <c r="C706" s="14"/>
      <c r="D706" s="15" t="s">
        <v>600</v>
      </c>
      <c r="E706" s="19" t="s">
        <v>601</v>
      </c>
      <c r="F706" s="20"/>
      <c r="G706" s="20" t="s">
        <v>602</v>
      </c>
      <c r="H706" s="7" t="s">
        <v>27</v>
      </c>
    </row>
    <row r="707" spans="2:8" x14ac:dyDescent="0.2">
      <c r="D707" s="15" t="s">
        <v>603</v>
      </c>
      <c r="E707" s="19" t="s">
        <v>604</v>
      </c>
      <c r="F707" s="20"/>
      <c r="G707" s="20" t="s">
        <v>605</v>
      </c>
      <c r="H707" s="7" t="s">
        <v>27</v>
      </c>
    </row>
    <row r="708" spans="2:8" x14ac:dyDescent="0.2">
      <c r="D708" s="15" t="s">
        <v>3</v>
      </c>
      <c r="E708" s="19" t="s">
        <v>3</v>
      </c>
      <c r="F708" s="20"/>
      <c r="G708" s="20"/>
      <c r="H708" s="8" t="s">
        <v>3</v>
      </c>
    </row>
    <row r="709" spans="2:8" x14ac:dyDescent="0.2">
      <c r="B709" s="14">
        <v>523</v>
      </c>
      <c r="C709" s="24" t="s">
        <v>606</v>
      </c>
      <c r="F709" s="20"/>
      <c r="G709" s="20"/>
      <c r="H709" s="8" t="s">
        <v>3</v>
      </c>
    </row>
    <row r="710" spans="2:8" x14ac:dyDescent="0.2">
      <c r="D710" s="14" t="s">
        <v>3</v>
      </c>
      <c r="E710" s="27" t="s">
        <v>3</v>
      </c>
      <c r="F710" s="20"/>
      <c r="G710" s="18"/>
      <c r="H710" s="8" t="s">
        <v>3</v>
      </c>
    </row>
    <row r="711" spans="2:8" x14ac:dyDescent="0.2">
      <c r="C711" s="14">
        <v>523</v>
      </c>
      <c r="D711" s="24" t="s">
        <v>606</v>
      </c>
      <c r="F711" s="20"/>
      <c r="G711" s="18"/>
      <c r="H711" s="8" t="s">
        <v>3</v>
      </c>
    </row>
    <row r="712" spans="2:8" x14ac:dyDescent="0.2">
      <c r="C712" s="14"/>
      <c r="D712" s="24" t="s">
        <v>3</v>
      </c>
      <c r="E712" s="19" t="s">
        <v>3</v>
      </c>
      <c r="F712" s="20"/>
      <c r="G712" s="18"/>
      <c r="H712" s="8" t="s">
        <v>3</v>
      </c>
    </row>
    <row r="713" spans="2:8" x14ac:dyDescent="0.2">
      <c r="D713" s="15" t="s">
        <v>607</v>
      </c>
      <c r="E713" s="19" t="s">
        <v>608</v>
      </c>
      <c r="F713" s="20"/>
      <c r="G713" s="18" t="s">
        <v>609</v>
      </c>
      <c r="H713" s="7" t="s">
        <v>27</v>
      </c>
    </row>
    <row r="714" spans="2:8" x14ac:dyDescent="0.2">
      <c r="D714" s="15">
        <v>523900</v>
      </c>
      <c r="E714" s="19" t="s">
        <v>610</v>
      </c>
      <c r="F714" s="20"/>
      <c r="G714" s="18">
        <v>5239</v>
      </c>
      <c r="H714" s="7" t="s">
        <v>27</v>
      </c>
    </row>
    <row r="715" spans="2:8" x14ac:dyDescent="0.2">
      <c r="D715" s="15" t="s">
        <v>3</v>
      </c>
      <c r="E715" s="19" t="s">
        <v>3</v>
      </c>
      <c r="F715" s="20"/>
      <c r="G715" s="18"/>
      <c r="H715" s="8" t="s">
        <v>3</v>
      </c>
    </row>
    <row r="716" spans="2:8" x14ac:dyDescent="0.2">
      <c r="B716" s="14">
        <v>524</v>
      </c>
      <c r="C716" s="14" t="s">
        <v>611</v>
      </c>
      <c r="F716" s="20"/>
      <c r="G716" s="18"/>
      <c r="H716" s="8" t="s">
        <v>3</v>
      </c>
    </row>
    <row r="717" spans="2:8" x14ac:dyDescent="0.2">
      <c r="D717" s="15" t="s">
        <v>3</v>
      </c>
      <c r="E717" s="19" t="s">
        <v>3</v>
      </c>
      <c r="F717" s="20"/>
      <c r="G717" s="18"/>
      <c r="H717" s="8" t="s">
        <v>3</v>
      </c>
    </row>
    <row r="718" spans="2:8" x14ac:dyDescent="0.2">
      <c r="C718" s="14">
        <v>524113</v>
      </c>
      <c r="D718" s="14" t="s">
        <v>612</v>
      </c>
      <c r="F718" s="20"/>
      <c r="G718" s="18"/>
      <c r="H718" s="8" t="s">
        <v>3</v>
      </c>
    </row>
    <row r="719" spans="2:8" x14ac:dyDescent="0.2">
      <c r="C719" s="14"/>
      <c r="D719" s="14" t="s">
        <v>3</v>
      </c>
      <c r="E719" s="19" t="s">
        <v>3</v>
      </c>
      <c r="F719" s="20"/>
      <c r="G719" s="18"/>
      <c r="H719" s="8" t="s">
        <v>3</v>
      </c>
    </row>
    <row r="720" spans="2:8" x14ac:dyDescent="0.2">
      <c r="D720" s="15">
        <v>524113</v>
      </c>
      <c r="E720" s="23" t="s">
        <v>612</v>
      </c>
      <c r="F720" s="20"/>
      <c r="G720" s="18">
        <v>524113</v>
      </c>
      <c r="H720" s="7" t="s">
        <v>27</v>
      </c>
    </row>
    <row r="721" spans="1:8" x14ac:dyDescent="0.2">
      <c r="D721" s="23" t="s">
        <v>3</v>
      </c>
      <c r="E721" s="23" t="s">
        <v>3</v>
      </c>
      <c r="F721" s="20"/>
      <c r="G721" s="18"/>
      <c r="H721" s="8" t="s">
        <v>3</v>
      </c>
    </row>
    <row r="722" spans="1:8" x14ac:dyDescent="0.2">
      <c r="C722" s="14" t="s">
        <v>613</v>
      </c>
      <c r="D722" s="14" t="s">
        <v>614</v>
      </c>
      <c r="E722" s="23"/>
      <c r="F722" s="20"/>
      <c r="G722" s="18"/>
      <c r="H722" s="8" t="s">
        <v>3</v>
      </c>
    </row>
    <row r="723" spans="1:8" x14ac:dyDescent="0.2">
      <c r="C723" s="14"/>
      <c r="D723" s="14" t="s">
        <v>3</v>
      </c>
      <c r="E723" s="23" t="s">
        <v>3</v>
      </c>
      <c r="F723" s="20"/>
      <c r="G723" s="18"/>
      <c r="H723" s="8" t="s">
        <v>3</v>
      </c>
    </row>
    <row r="724" spans="1:8" x14ac:dyDescent="0.2">
      <c r="D724" s="23" t="s">
        <v>615</v>
      </c>
      <c r="E724" s="23" t="s">
        <v>614</v>
      </c>
      <c r="F724" s="20"/>
      <c r="G724" s="18" t="s">
        <v>616</v>
      </c>
      <c r="H724" s="7" t="s">
        <v>27</v>
      </c>
    </row>
    <row r="725" spans="1:8" x14ac:dyDescent="0.2">
      <c r="D725" s="23" t="s">
        <v>3</v>
      </c>
      <c r="E725" s="23" t="s">
        <v>3</v>
      </c>
      <c r="F725" s="20"/>
      <c r="G725" s="18"/>
      <c r="H725" s="8" t="s">
        <v>3</v>
      </c>
    </row>
    <row r="726" spans="1:8" x14ac:dyDescent="0.2">
      <c r="C726" s="14">
        <v>5242</v>
      </c>
      <c r="D726" s="14" t="s">
        <v>617</v>
      </c>
      <c r="E726" s="23"/>
      <c r="F726" s="20"/>
      <c r="G726" s="18"/>
      <c r="H726" s="8" t="s">
        <v>3</v>
      </c>
    </row>
    <row r="727" spans="1:8" x14ac:dyDescent="0.2">
      <c r="C727" s="14"/>
      <c r="D727" s="14" t="s">
        <v>3</v>
      </c>
      <c r="E727" s="23" t="s">
        <v>3</v>
      </c>
      <c r="F727" s="20"/>
      <c r="G727" s="18"/>
      <c r="H727" s="8" t="s">
        <v>3</v>
      </c>
    </row>
    <row r="728" spans="1:8" x14ac:dyDescent="0.2">
      <c r="D728" s="15">
        <v>524200</v>
      </c>
      <c r="E728" s="19" t="s">
        <v>618</v>
      </c>
      <c r="F728" s="20"/>
      <c r="G728" s="20">
        <v>5242</v>
      </c>
      <c r="H728" s="7" t="s">
        <v>27</v>
      </c>
    </row>
    <row r="729" spans="1:8" x14ac:dyDescent="0.2">
      <c r="D729" s="15" t="s">
        <v>3</v>
      </c>
      <c r="E729" s="19" t="s">
        <v>3</v>
      </c>
      <c r="F729" s="20"/>
      <c r="G729" s="20"/>
      <c r="H729" s="8" t="s">
        <v>3</v>
      </c>
    </row>
    <row r="730" spans="1:8" x14ac:dyDescent="0.2">
      <c r="B730" s="14">
        <v>525</v>
      </c>
      <c r="C730" s="24" t="s">
        <v>619</v>
      </c>
      <c r="F730" s="20"/>
      <c r="G730" s="20"/>
      <c r="H730" s="8" t="s">
        <v>3</v>
      </c>
    </row>
    <row r="731" spans="1:8" x14ac:dyDescent="0.2">
      <c r="D731" s="15" t="s">
        <v>3</v>
      </c>
      <c r="E731" s="19" t="s">
        <v>3</v>
      </c>
      <c r="F731" s="20"/>
      <c r="G731" s="20"/>
      <c r="H731" s="8" t="s">
        <v>3</v>
      </c>
    </row>
    <row r="732" spans="1:8" x14ac:dyDescent="0.2">
      <c r="C732" s="14">
        <v>525</v>
      </c>
      <c r="D732" s="24" t="s">
        <v>619</v>
      </c>
      <c r="F732" s="20"/>
      <c r="G732" s="20"/>
      <c r="H732" s="8" t="s">
        <v>3</v>
      </c>
    </row>
    <row r="733" spans="1:8" x14ac:dyDescent="0.2">
      <c r="C733" s="14"/>
      <c r="D733" s="24" t="s">
        <v>3</v>
      </c>
      <c r="E733" s="19" t="s">
        <v>3</v>
      </c>
      <c r="F733" s="20"/>
      <c r="G733" s="20"/>
      <c r="H733" s="8" t="s">
        <v>3</v>
      </c>
    </row>
    <row r="734" spans="1:8" x14ac:dyDescent="0.2">
      <c r="D734" s="15">
        <v>525000</v>
      </c>
      <c r="E734" s="19" t="s">
        <v>619</v>
      </c>
      <c r="F734" s="20"/>
      <c r="G734" s="18">
        <v>525</v>
      </c>
      <c r="H734" s="7" t="s">
        <v>27</v>
      </c>
    </row>
    <row r="735" spans="1:8" x14ac:dyDescent="0.2">
      <c r="D735" s="15" t="s">
        <v>3</v>
      </c>
      <c r="E735" s="19" t="s">
        <v>3</v>
      </c>
      <c r="F735" s="20"/>
      <c r="G735" s="18"/>
      <c r="H735" s="8" t="s">
        <v>3</v>
      </c>
    </row>
    <row r="736" spans="1:8" x14ac:dyDescent="0.2">
      <c r="A736" s="14">
        <v>53</v>
      </c>
      <c r="B736" s="24" t="s">
        <v>620</v>
      </c>
      <c r="C736" s="24"/>
      <c r="D736" s="24"/>
      <c r="E736" s="25"/>
      <c r="F736" s="20"/>
      <c r="G736" s="18"/>
      <c r="H736" s="8" t="s">
        <v>3</v>
      </c>
    </row>
    <row r="737" spans="1:8" x14ac:dyDescent="0.2">
      <c r="A737" s="14"/>
      <c r="B737" s="24"/>
      <c r="C737" s="24"/>
      <c r="D737" s="22" t="s">
        <v>3</v>
      </c>
      <c r="E737" s="22" t="s">
        <v>3</v>
      </c>
      <c r="F737" s="20"/>
      <c r="G737" s="18"/>
      <c r="H737" s="8" t="s">
        <v>3</v>
      </c>
    </row>
    <row r="738" spans="1:8" x14ac:dyDescent="0.2">
      <c r="A738" s="14"/>
      <c r="B738" s="24" t="s">
        <v>621</v>
      </c>
      <c r="C738" s="24" t="s">
        <v>622</v>
      </c>
      <c r="D738" s="22" t="s">
        <v>3</v>
      </c>
      <c r="E738" s="22" t="s">
        <v>3</v>
      </c>
      <c r="F738" s="20"/>
      <c r="G738" s="18"/>
      <c r="H738" s="8" t="s">
        <v>3</v>
      </c>
    </row>
    <row r="739" spans="1:8" x14ac:dyDescent="0.2">
      <c r="A739" s="14"/>
      <c r="B739" s="24"/>
      <c r="C739" s="24"/>
      <c r="D739" s="22" t="s">
        <v>3</v>
      </c>
      <c r="E739" s="22" t="s">
        <v>3</v>
      </c>
      <c r="F739" s="20"/>
      <c r="G739" s="18"/>
      <c r="H739" s="8" t="s">
        <v>3</v>
      </c>
    </row>
    <row r="740" spans="1:8" x14ac:dyDescent="0.2">
      <c r="A740" s="14"/>
      <c r="B740" s="24"/>
      <c r="C740" s="14" t="s">
        <v>623</v>
      </c>
      <c r="D740" s="14" t="s">
        <v>624</v>
      </c>
      <c r="E740" s="22"/>
      <c r="F740" s="20"/>
      <c r="G740" s="18"/>
      <c r="H740" s="8" t="s">
        <v>3</v>
      </c>
    </row>
    <row r="741" spans="1:8" x14ac:dyDescent="0.2">
      <c r="A741" s="14"/>
      <c r="B741" s="24"/>
      <c r="C741" s="24"/>
      <c r="D741" s="22" t="s">
        <v>3</v>
      </c>
      <c r="E741" s="22" t="s">
        <v>3</v>
      </c>
      <c r="F741" s="20"/>
      <c r="G741" s="18"/>
      <c r="H741" s="8" t="s">
        <v>3</v>
      </c>
    </row>
    <row r="742" spans="1:8" x14ac:dyDescent="0.2">
      <c r="C742" s="14"/>
      <c r="D742" s="23" t="s">
        <v>625</v>
      </c>
      <c r="E742" s="23" t="s">
        <v>624</v>
      </c>
      <c r="F742" s="20"/>
      <c r="G742" s="28" t="s">
        <v>530</v>
      </c>
      <c r="H742" s="7" t="s">
        <v>28</v>
      </c>
    </row>
    <row r="743" spans="1:8" x14ac:dyDescent="0.2">
      <c r="A743" s="14"/>
      <c r="B743" s="24"/>
      <c r="C743" s="24"/>
      <c r="D743" s="22" t="s">
        <v>3</v>
      </c>
      <c r="E743" s="22" t="s">
        <v>3</v>
      </c>
      <c r="F743" s="20"/>
      <c r="G743" s="18"/>
      <c r="H743" s="8" t="s">
        <v>3</v>
      </c>
    </row>
    <row r="744" spans="1:8" x14ac:dyDescent="0.2">
      <c r="A744" s="14"/>
      <c r="B744" s="24"/>
      <c r="C744" s="14" t="s">
        <v>626</v>
      </c>
      <c r="D744" s="14" t="s">
        <v>627</v>
      </c>
      <c r="E744" s="22"/>
      <c r="F744" s="20"/>
      <c r="G744" s="18"/>
      <c r="H744" s="8" t="s">
        <v>3</v>
      </c>
    </row>
    <row r="745" spans="1:8" x14ac:dyDescent="0.2">
      <c r="A745" s="14"/>
      <c r="B745" s="24"/>
      <c r="D745" s="15" t="s">
        <v>3</v>
      </c>
      <c r="E745" s="22" t="s">
        <v>3</v>
      </c>
      <c r="F745" s="20"/>
      <c r="G745" s="18"/>
      <c r="H745" s="8" t="s">
        <v>3</v>
      </c>
    </row>
    <row r="746" spans="1:8" x14ac:dyDescent="0.2">
      <c r="C746" s="14"/>
      <c r="D746" s="23" t="s">
        <v>628</v>
      </c>
      <c r="E746" s="23" t="s">
        <v>627</v>
      </c>
      <c r="F746" s="20"/>
      <c r="G746" s="18">
        <v>531</v>
      </c>
      <c r="H746" s="7" t="s">
        <v>28</v>
      </c>
    </row>
    <row r="747" spans="1:8" x14ac:dyDescent="0.2">
      <c r="A747" s="14"/>
      <c r="B747" s="24"/>
      <c r="D747" s="15" t="s">
        <v>3</v>
      </c>
      <c r="E747" s="22" t="s">
        <v>3</v>
      </c>
      <c r="F747" s="20"/>
      <c r="G747" s="18"/>
      <c r="H747" s="8" t="s">
        <v>3</v>
      </c>
    </row>
    <row r="748" spans="1:8" x14ac:dyDescent="0.2">
      <c r="A748" s="14"/>
      <c r="B748" s="24"/>
      <c r="C748" s="24"/>
      <c r="D748" s="22" t="s">
        <v>3</v>
      </c>
      <c r="E748" s="22" t="s">
        <v>3</v>
      </c>
      <c r="F748" s="20"/>
      <c r="G748" s="18"/>
      <c r="H748" s="8" t="s">
        <v>3</v>
      </c>
    </row>
    <row r="749" spans="1:8" x14ac:dyDescent="0.2">
      <c r="A749" s="14"/>
      <c r="B749" s="14" t="s">
        <v>629</v>
      </c>
      <c r="C749" s="24" t="s">
        <v>630</v>
      </c>
      <c r="D749" s="22"/>
      <c r="E749" s="22" t="s">
        <v>3</v>
      </c>
      <c r="F749" s="20"/>
      <c r="G749" s="18"/>
      <c r="H749" s="8" t="s">
        <v>3</v>
      </c>
    </row>
    <row r="750" spans="1:8" x14ac:dyDescent="0.2">
      <c r="A750" s="14"/>
      <c r="B750" s="24"/>
      <c r="C750" s="24"/>
      <c r="D750" s="22" t="s">
        <v>3</v>
      </c>
      <c r="E750" s="22" t="s">
        <v>3</v>
      </c>
      <c r="F750" s="20"/>
      <c r="G750" s="18"/>
      <c r="H750" s="8" t="s">
        <v>3</v>
      </c>
    </row>
    <row r="751" spans="1:8" x14ac:dyDescent="0.2">
      <c r="A751" s="14"/>
      <c r="B751" s="24"/>
      <c r="C751" s="14" t="s">
        <v>629</v>
      </c>
      <c r="D751" s="24" t="s">
        <v>630</v>
      </c>
      <c r="E751" s="22"/>
      <c r="F751" s="20"/>
      <c r="G751" s="18"/>
      <c r="H751" s="8" t="s">
        <v>3</v>
      </c>
    </row>
    <row r="752" spans="1:8" x14ac:dyDescent="0.2">
      <c r="A752" s="14"/>
      <c r="B752" s="24"/>
      <c r="C752" s="14"/>
      <c r="D752" s="24" t="s">
        <v>3</v>
      </c>
      <c r="E752" s="22" t="s">
        <v>3</v>
      </c>
      <c r="F752" s="20"/>
      <c r="G752" s="18"/>
      <c r="H752" s="8" t="s">
        <v>3</v>
      </c>
    </row>
    <row r="753" spans="1:8" x14ac:dyDescent="0.2">
      <c r="D753" s="15" t="s">
        <v>631</v>
      </c>
      <c r="E753" s="19" t="s">
        <v>630</v>
      </c>
      <c r="F753" s="20"/>
      <c r="G753" s="18">
        <v>531</v>
      </c>
      <c r="H753" s="7" t="s">
        <v>28</v>
      </c>
    </row>
    <row r="754" spans="1:8" x14ac:dyDescent="0.2">
      <c r="A754" s="14"/>
      <c r="B754" s="24"/>
      <c r="C754" s="24"/>
      <c r="D754" s="22" t="s">
        <v>3</v>
      </c>
      <c r="E754" s="22" t="s">
        <v>3</v>
      </c>
      <c r="F754" s="20"/>
      <c r="G754" s="18"/>
      <c r="H754" s="8" t="s">
        <v>3</v>
      </c>
    </row>
    <row r="755" spans="1:8" x14ac:dyDescent="0.2">
      <c r="A755" s="14"/>
      <c r="B755" s="14" t="s">
        <v>632</v>
      </c>
      <c r="C755" s="24" t="s">
        <v>633</v>
      </c>
      <c r="D755" s="22"/>
      <c r="E755" s="22"/>
      <c r="F755" s="20"/>
      <c r="G755" s="18"/>
      <c r="H755" s="8" t="s">
        <v>3</v>
      </c>
    </row>
    <row r="756" spans="1:8" x14ac:dyDescent="0.2">
      <c r="A756" s="14"/>
      <c r="B756" s="14"/>
      <c r="C756" s="24"/>
      <c r="D756" s="22" t="s">
        <v>3</v>
      </c>
      <c r="E756" s="22" t="s">
        <v>3</v>
      </c>
      <c r="F756" s="20"/>
      <c r="G756" s="18"/>
      <c r="H756" s="8" t="s">
        <v>3</v>
      </c>
    </row>
    <row r="757" spans="1:8" x14ac:dyDescent="0.2">
      <c r="A757" s="14"/>
      <c r="B757" s="14"/>
      <c r="C757" s="14" t="s">
        <v>632</v>
      </c>
      <c r="D757" s="24" t="s">
        <v>633</v>
      </c>
      <c r="E757" s="22"/>
      <c r="F757" s="20"/>
      <c r="G757" s="18"/>
      <c r="H757" s="8" t="s">
        <v>3</v>
      </c>
    </row>
    <row r="758" spans="1:8" x14ac:dyDescent="0.2">
      <c r="A758" s="14"/>
      <c r="B758" s="14"/>
      <c r="C758" s="24"/>
      <c r="D758" s="22"/>
      <c r="E758" s="22"/>
      <c r="F758" s="20"/>
      <c r="G758" s="18"/>
      <c r="H758" s="8" t="s">
        <v>3</v>
      </c>
    </row>
    <row r="759" spans="1:8" x14ac:dyDescent="0.2">
      <c r="D759" s="15">
        <v>532100</v>
      </c>
      <c r="E759" s="19" t="s">
        <v>634</v>
      </c>
      <c r="F759" s="20"/>
      <c r="G759" s="18">
        <v>5321</v>
      </c>
      <c r="H759" s="7" t="s">
        <v>28</v>
      </c>
    </row>
    <row r="760" spans="1:8" x14ac:dyDescent="0.2">
      <c r="C760" s="14"/>
      <c r="D760" s="15" t="s">
        <v>635</v>
      </c>
      <c r="E760" s="19" t="s">
        <v>636</v>
      </c>
      <c r="F760" s="20"/>
      <c r="G760" s="20" t="s">
        <v>637</v>
      </c>
      <c r="H760" s="7" t="s">
        <v>28</v>
      </c>
    </row>
    <row r="761" spans="1:8" x14ac:dyDescent="0.2">
      <c r="D761" s="15">
        <v>532400</v>
      </c>
      <c r="E761" s="19" t="s">
        <v>638</v>
      </c>
      <c r="F761" s="20"/>
      <c r="G761" s="18">
        <v>5324</v>
      </c>
      <c r="H761" s="7" t="s">
        <v>28</v>
      </c>
    </row>
    <row r="762" spans="1:8" x14ac:dyDescent="0.2">
      <c r="D762" s="15">
        <v>533000</v>
      </c>
      <c r="E762" s="19" t="s">
        <v>639</v>
      </c>
      <c r="F762" s="20"/>
      <c r="G762" s="18">
        <v>533</v>
      </c>
      <c r="H762" s="7" t="s">
        <v>28</v>
      </c>
    </row>
    <row r="763" spans="1:8" x14ac:dyDescent="0.2">
      <c r="D763" s="15" t="s">
        <v>3</v>
      </c>
      <c r="E763" s="19" t="s">
        <v>3</v>
      </c>
      <c r="F763" s="20"/>
      <c r="G763" s="18"/>
      <c r="H763" s="8" t="s">
        <v>3</v>
      </c>
    </row>
    <row r="764" spans="1:8" x14ac:dyDescent="0.2">
      <c r="A764" s="14">
        <v>54</v>
      </c>
      <c r="B764" s="14" t="s">
        <v>640</v>
      </c>
      <c r="C764" s="24"/>
      <c r="D764" s="22"/>
      <c r="E764" s="22"/>
      <c r="F764" s="20"/>
      <c r="G764" s="18"/>
      <c r="H764" s="8" t="s">
        <v>3</v>
      </c>
    </row>
    <row r="765" spans="1:8" x14ac:dyDescent="0.2">
      <c r="A765" s="14"/>
      <c r="B765" s="24"/>
      <c r="C765" s="24"/>
      <c r="D765" s="22" t="s">
        <v>3</v>
      </c>
      <c r="E765" s="22" t="s">
        <v>3</v>
      </c>
      <c r="F765" s="20"/>
      <c r="G765" s="18"/>
      <c r="H765" s="8" t="s">
        <v>3</v>
      </c>
    </row>
    <row r="766" spans="1:8" x14ac:dyDescent="0.2">
      <c r="A766" s="14"/>
      <c r="B766" s="14">
        <v>5411</v>
      </c>
      <c r="C766" s="14" t="s">
        <v>641</v>
      </c>
      <c r="D766" s="22"/>
      <c r="E766" s="22" t="s">
        <v>3</v>
      </c>
      <c r="F766" s="20"/>
      <c r="G766" s="18"/>
      <c r="H766" s="8" t="s">
        <v>3</v>
      </c>
    </row>
    <row r="767" spans="1:8" x14ac:dyDescent="0.2">
      <c r="A767" s="14"/>
      <c r="B767" s="24"/>
      <c r="C767" s="24"/>
      <c r="D767" s="22" t="s">
        <v>3</v>
      </c>
      <c r="E767" s="22"/>
      <c r="F767" s="20"/>
      <c r="G767" s="18"/>
      <c r="H767" s="8" t="s">
        <v>3</v>
      </c>
    </row>
    <row r="768" spans="1:8" x14ac:dyDescent="0.2">
      <c r="C768" s="14">
        <v>5411</v>
      </c>
      <c r="D768" s="14" t="s">
        <v>641</v>
      </c>
      <c r="F768" s="20"/>
      <c r="G768" s="18"/>
      <c r="H768" s="8" t="s">
        <v>3</v>
      </c>
    </row>
    <row r="769" spans="2:8" x14ac:dyDescent="0.2">
      <c r="C769" s="14"/>
      <c r="D769" s="14" t="s">
        <v>3</v>
      </c>
      <c r="E769" s="19" t="s">
        <v>3</v>
      </c>
      <c r="F769" s="20"/>
      <c r="G769" s="18"/>
      <c r="H769" s="8" t="s">
        <v>3</v>
      </c>
    </row>
    <row r="770" spans="2:8" x14ac:dyDescent="0.2">
      <c r="D770" s="15">
        <v>541100</v>
      </c>
      <c r="E770" s="19" t="s">
        <v>641</v>
      </c>
      <c r="F770" s="20"/>
      <c r="G770" s="18">
        <v>5411</v>
      </c>
      <c r="H770" s="7" t="s">
        <v>29</v>
      </c>
    </row>
    <row r="771" spans="2:8" x14ac:dyDescent="0.2">
      <c r="D771" s="15" t="s">
        <v>3</v>
      </c>
      <c r="E771" s="19" t="s">
        <v>3</v>
      </c>
      <c r="F771" s="20"/>
      <c r="G771" s="18"/>
      <c r="H771" s="8" t="s">
        <v>3</v>
      </c>
    </row>
    <row r="772" spans="2:8" x14ac:dyDescent="0.2">
      <c r="B772" s="24" t="s">
        <v>642</v>
      </c>
      <c r="C772" s="24" t="s">
        <v>643</v>
      </c>
      <c r="F772" s="20"/>
      <c r="G772" s="18"/>
      <c r="H772" s="8" t="s">
        <v>3</v>
      </c>
    </row>
    <row r="773" spans="2:8" x14ac:dyDescent="0.2">
      <c r="D773" s="15" t="s">
        <v>3</v>
      </c>
      <c r="E773" s="19" t="s">
        <v>3</v>
      </c>
      <c r="F773" s="20"/>
      <c r="G773" s="18"/>
      <c r="H773" s="8" t="s">
        <v>3</v>
      </c>
    </row>
    <row r="774" spans="2:8" x14ac:dyDescent="0.2">
      <c r="C774" s="14">
        <v>5412</v>
      </c>
      <c r="D774" s="14" t="s">
        <v>644</v>
      </c>
      <c r="F774" s="20"/>
      <c r="G774" s="18"/>
      <c r="H774" s="8" t="s">
        <v>3</v>
      </c>
    </row>
    <row r="775" spans="2:8" x14ac:dyDescent="0.2">
      <c r="C775" s="14"/>
      <c r="D775" s="14" t="s">
        <v>3</v>
      </c>
      <c r="E775" s="19" t="s">
        <v>3</v>
      </c>
      <c r="F775" s="20"/>
      <c r="G775" s="18"/>
      <c r="H775" s="8" t="s">
        <v>3</v>
      </c>
    </row>
    <row r="776" spans="2:8" x14ac:dyDescent="0.2">
      <c r="D776" s="15">
        <v>541200</v>
      </c>
      <c r="E776" s="19" t="s">
        <v>644</v>
      </c>
      <c r="F776" s="20"/>
      <c r="G776" s="18">
        <v>5412</v>
      </c>
      <c r="H776" s="7" t="s">
        <v>29</v>
      </c>
    </row>
    <row r="777" spans="2:8" x14ac:dyDescent="0.2">
      <c r="D777" s="15" t="s">
        <v>3</v>
      </c>
      <c r="E777" s="19" t="s">
        <v>3</v>
      </c>
      <c r="F777" s="20"/>
      <c r="G777" s="18"/>
      <c r="H777" s="8" t="s">
        <v>3</v>
      </c>
    </row>
    <row r="778" spans="2:8" x14ac:dyDescent="0.2">
      <c r="C778" s="14">
        <v>5413</v>
      </c>
      <c r="D778" s="14" t="s">
        <v>645</v>
      </c>
      <c r="F778" s="20"/>
      <c r="G778" s="18"/>
      <c r="H778" s="8" t="s">
        <v>3</v>
      </c>
    </row>
    <row r="779" spans="2:8" x14ac:dyDescent="0.2">
      <c r="C779" s="14"/>
      <c r="D779" s="14" t="s">
        <v>3</v>
      </c>
      <c r="E779" s="19" t="s">
        <v>3</v>
      </c>
      <c r="F779" s="20"/>
      <c r="G779" s="18"/>
      <c r="H779" s="8" t="s">
        <v>3</v>
      </c>
    </row>
    <row r="780" spans="2:8" x14ac:dyDescent="0.2">
      <c r="D780" s="15">
        <v>541300</v>
      </c>
      <c r="E780" s="19" t="s">
        <v>645</v>
      </c>
      <c r="F780" s="20"/>
      <c r="G780" s="18">
        <v>5413</v>
      </c>
      <c r="H780" s="7" t="s">
        <v>29</v>
      </c>
    </row>
    <row r="781" spans="2:8" x14ac:dyDescent="0.2">
      <c r="D781" s="15" t="s">
        <v>3</v>
      </c>
      <c r="E781" s="19" t="s">
        <v>3</v>
      </c>
      <c r="F781" s="20"/>
      <c r="G781" s="18"/>
      <c r="H781" s="8" t="s">
        <v>3</v>
      </c>
    </row>
    <row r="782" spans="2:8" x14ac:dyDescent="0.2">
      <c r="C782" s="14">
        <v>5416</v>
      </c>
      <c r="D782" s="14" t="s">
        <v>646</v>
      </c>
      <c r="F782" s="20"/>
      <c r="G782" s="18"/>
      <c r="H782" s="8" t="s">
        <v>3</v>
      </c>
    </row>
    <row r="783" spans="2:8" x14ac:dyDescent="0.2">
      <c r="C783" s="14"/>
      <c r="D783" s="14" t="s">
        <v>3</v>
      </c>
      <c r="E783" s="19" t="s">
        <v>3</v>
      </c>
      <c r="F783" s="20"/>
      <c r="G783" s="18"/>
      <c r="H783" s="8" t="s">
        <v>3</v>
      </c>
    </row>
    <row r="784" spans="2:8" x14ac:dyDescent="0.2">
      <c r="D784" s="15">
        <v>541610</v>
      </c>
      <c r="E784" s="19" t="s">
        <v>647</v>
      </c>
      <c r="F784" s="20"/>
      <c r="G784" s="18">
        <v>54161</v>
      </c>
      <c r="H784" s="7" t="s">
        <v>29</v>
      </c>
    </row>
    <row r="785" spans="3:8" x14ac:dyDescent="0.2">
      <c r="D785" s="15" t="s">
        <v>648</v>
      </c>
      <c r="E785" s="19" t="s">
        <v>649</v>
      </c>
      <c r="F785" s="20"/>
      <c r="G785" s="18" t="s">
        <v>650</v>
      </c>
      <c r="H785" s="7" t="s">
        <v>29</v>
      </c>
    </row>
    <row r="786" spans="3:8" x14ac:dyDescent="0.2">
      <c r="D786" s="15" t="s">
        <v>3</v>
      </c>
      <c r="E786" s="19" t="s">
        <v>3</v>
      </c>
      <c r="F786" s="20"/>
      <c r="G786" s="18"/>
      <c r="H786" s="8" t="s">
        <v>3</v>
      </c>
    </row>
    <row r="787" spans="3:8" x14ac:dyDescent="0.2">
      <c r="C787" s="14">
        <v>5417</v>
      </c>
      <c r="D787" s="14" t="s">
        <v>651</v>
      </c>
      <c r="F787" s="20"/>
      <c r="G787" s="18"/>
      <c r="H787" s="8" t="s">
        <v>3</v>
      </c>
    </row>
    <row r="788" spans="3:8" x14ac:dyDescent="0.2">
      <c r="C788" s="14"/>
      <c r="D788" s="14" t="s">
        <v>3</v>
      </c>
      <c r="E788" s="19" t="s">
        <v>3</v>
      </c>
      <c r="F788" s="20"/>
      <c r="G788" s="18"/>
      <c r="H788" s="8" t="s">
        <v>3</v>
      </c>
    </row>
    <row r="789" spans="3:8" x14ac:dyDescent="0.2">
      <c r="D789" s="15">
        <v>541700</v>
      </c>
      <c r="E789" s="19" t="s">
        <v>651</v>
      </c>
      <c r="F789" s="20"/>
      <c r="G789" s="18">
        <v>5417</v>
      </c>
      <c r="H789" s="7" t="s">
        <v>29</v>
      </c>
    </row>
    <row r="790" spans="3:8" x14ac:dyDescent="0.2">
      <c r="D790" s="15" t="s">
        <v>3</v>
      </c>
      <c r="E790" s="19" t="s">
        <v>3</v>
      </c>
      <c r="F790" s="20"/>
      <c r="G790" s="18"/>
      <c r="H790" s="8" t="s">
        <v>3</v>
      </c>
    </row>
    <row r="791" spans="3:8" x14ac:dyDescent="0.2">
      <c r="C791" s="14">
        <v>5418</v>
      </c>
      <c r="D791" s="14" t="s">
        <v>652</v>
      </c>
      <c r="F791" s="20"/>
      <c r="G791" s="18"/>
      <c r="H791" s="8" t="s">
        <v>3</v>
      </c>
    </row>
    <row r="792" spans="3:8" x14ac:dyDescent="0.2">
      <c r="C792" s="14"/>
      <c r="D792" s="14" t="s">
        <v>3</v>
      </c>
      <c r="E792" s="19" t="s">
        <v>3</v>
      </c>
      <c r="F792" s="20"/>
      <c r="G792" s="18"/>
      <c r="H792" s="8" t="s">
        <v>3</v>
      </c>
    </row>
    <row r="793" spans="3:8" x14ac:dyDescent="0.2">
      <c r="D793" s="15">
        <v>541800</v>
      </c>
      <c r="E793" s="19" t="s">
        <v>652</v>
      </c>
      <c r="F793" s="20"/>
      <c r="G793" s="18">
        <v>5418</v>
      </c>
      <c r="H793" s="7" t="s">
        <v>29</v>
      </c>
    </row>
    <row r="794" spans="3:8" x14ac:dyDescent="0.2">
      <c r="D794" s="15" t="s">
        <v>3</v>
      </c>
      <c r="E794" s="19" t="s">
        <v>3</v>
      </c>
      <c r="F794" s="20"/>
      <c r="G794" s="18"/>
      <c r="H794" s="8" t="s">
        <v>3</v>
      </c>
    </row>
    <row r="795" spans="3:8" x14ac:dyDescent="0.2">
      <c r="C795" s="14" t="s">
        <v>653</v>
      </c>
      <c r="D795" s="14" t="s">
        <v>654</v>
      </c>
      <c r="F795" s="20"/>
      <c r="G795" s="18"/>
      <c r="H795" s="8" t="s">
        <v>3</v>
      </c>
    </row>
    <row r="796" spans="3:8" x14ac:dyDescent="0.2">
      <c r="C796" s="14"/>
      <c r="D796" s="14" t="s">
        <v>3</v>
      </c>
      <c r="E796" s="19" t="s">
        <v>3</v>
      </c>
      <c r="F796" s="20"/>
      <c r="G796" s="18"/>
      <c r="H796" s="8" t="s">
        <v>3</v>
      </c>
    </row>
    <row r="797" spans="3:8" x14ac:dyDescent="0.2">
      <c r="D797" s="15">
        <v>541400</v>
      </c>
      <c r="E797" s="19" t="s">
        <v>655</v>
      </c>
      <c r="F797" s="20"/>
      <c r="G797" s="18">
        <v>5414</v>
      </c>
      <c r="H797" s="7" t="s">
        <v>29</v>
      </c>
    </row>
    <row r="798" spans="3:8" x14ac:dyDescent="0.2">
      <c r="C798" s="14"/>
      <c r="D798" s="15" t="s">
        <v>656</v>
      </c>
      <c r="E798" s="19" t="s">
        <v>657</v>
      </c>
      <c r="F798" s="20"/>
      <c r="G798" s="18" t="s">
        <v>658</v>
      </c>
      <c r="H798" s="7" t="s">
        <v>29</v>
      </c>
    </row>
    <row r="799" spans="3:8" x14ac:dyDescent="0.2">
      <c r="D799" s="15">
        <v>541920</v>
      </c>
      <c r="E799" s="19" t="s">
        <v>659</v>
      </c>
      <c r="F799" s="20"/>
      <c r="G799" s="18">
        <v>54192</v>
      </c>
      <c r="H799" s="7" t="s">
        <v>29</v>
      </c>
    </row>
    <row r="800" spans="3:8" x14ac:dyDescent="0.2">
      <c r="D800" s="15">
        <v>541940</v>
      </c>
      <c r="E800" s="19" t="s">
        <v>660</v>
      </c>
      <c r="F800" s="20"/>
      <c r="G800" s="18">
        <v>54194</v>
      </c>
      <c r="H800" s="7" t="s">
        <v>29</v>
      </c>
    </row>
    <row r="801" spans="1:8" x14ac:dyDescent="0.2">
      <c r="D801" s="15" t="s">
        <v>3</v>
      </c>
      <c r="E801" s="19" t="s">
        <v>3</v>
      </c>
      <c r="F801" s="20"/>
      <c r="G801" s="18"/>
      <c r="H801" s="8" t="s">
        <v>3</v>
      </c>
    </row>
    <row r="802" spans="1:8" x14ac:dyDescent="0.2">
      <c r="B802" s="14">
        <v>5415</v>
      </c>
      <c r="C802" s="24" t="s">
        <v>661</v>
      </c>
      <c r="F802" s="20"/>
      <c r="G802" s="18"/>
      <c r="H802" s="8" t="s">
        <v>3</v>
      </c>
    </row>
    <row r="803" spans="1:8" x14ac:dyDescent="0.2">
      <c r="D803" s="15" t="s">
        <v>3</v>
      </c>
      <c r="E803" s="19" t="s">
        <v>3</v>
      </c>
      <c r="F803" s="20"/>
      <c r="G803" s="18"/>
      <c r="H803" s="8" t="s">
        <v>3</v>
      </c>
    </row>
    <row r="804" spans="1:8" x14ac:dyDescent="0.2">
      <c r="C804" s="14">
        <v>5415</v>
      </c>
      <c r="D804" s="24" t="s">
        <v>661</v>
      </c>
      <c r="F804" s="20"/>
      <c r="G804" s="18"/>
      <c r="H804" s="8" t="s">
        <v>3</v>
      </c>
    </row>
    <row r="805" spans="1:8" x14ac:dyDescent="0.2">
      <c r="C805" s="14"/>
      <c r="D805" s="24" t="s">
        <v>3</v>
      </c>
      <c r="E805" s="19" t="s">
        <v>3</v>
      </c>
      <c r="F805" s="20"/>
      <c r="G805" s="18"/>
      <c r="H805" s="8" t="s">
        <v>3</v>
      </c>
    </row>
    <row r="806" spans="1:8" x14ac:dyDescent="0.2">
      <c r="D806" s="15">
        <v>541511</v>
      </c>
      <c r="E806" s="19" t="s">
        <v>662</v>
      </c>
      <c r="F806" s="20"/>
      <c r="G806" s="18">
        <v>541511</v>
      </c>
      <c r="H806" s="7" t="s">
        <v>26</v>
      </c>
    </row>
    <row r="807" spans="1:8" x14ac:dyDescent="0.2">
      <c r="D807" s="15">
        <v>541512</v>
      </c>
      <c r="E807" s="19" t="s">
        <v>663</v>
      </c>
      <c r="F807" s="20"/>
      <c r="G807" s="18">
        <v>541512</v>
      </c>
      <c r="H807" s="7" t="s">
        <v>26</v>
      </c>
    </row>
    <row r="808" spans="1:8" x14ac:dyDescent="0.2">
      <c r="D808" s="15" t="s">
        <v>664</v>
      </c>
      <c r="E808" s="19" t="s">
        <v>665</v>
      </c>
      <c r="F808" s="20"/>
      <c r="G808" s="18" t="s">
        <v>666</v>
      </c>
      <c r="H808" s="7" t="s">
        <v>26</v>
      </c>
    </row>
    <row r="809" spans="1:8" x14ac:dyDescent="0.2">
      <c r="D809" s="15" t="s">
        <v>3</v>
      </c>
      <c r="E809" s="19" t="s">
        <v>3</v>
      </c>
      <c r="F809" s="20"/>
      <c r="G809" s="18"/>
      <c r="H809" s="8" t="s">
        <v>3</v>
      </c>
    </row>
    <row r="810" spans="1:8" x14ac:dyDescent="0.2">
      <c r="A810" s="14">
        <v>55</v>
      </c>
      <c r="B810" s="14" t="s">
        <v>667</v>
      </c>
      <c r="C810" s="24"/>
      <c r="D810" s="24"/>
      <c r="E810" s="24"/>
      <c r="F810" s="20"/>
      <c r="G810" s="18"/>
      <c r="H810" s="8" t="s">
        <v>3</v>
      </c>
    </row>
    <row r="811" spans="1:8" x14ac:dyDescent="0.2">
      <c r="A811" s="14"/>
      <c r="B811" s="14"/>
      <c r="C811" s="24"/>
      <c r="D811" s="24"/>
      <c r="E811" s="24"/>
      <c r="F811" s="20"/>
      <c r="G811" s="18"/>
      <c r="H811" s="8" t="s">
        <v>3</v>
      </c>
    </row>
    <row r="812" spans="1:8" x14ac:dyDescent="0.2">
      <c r="A812" s="14"/>
      <c r="B812" s="14">
        <v>55</v>
      </c>
      <c r="C812" s="14" t="s">
        <v>668</v>
      </c>
      <c r="D812" s="24"/>
      <c r="E812" s="24"/>
      <c r="F812" s="20"/>
      <c r="G812" s="18"/>
      <c r="H812" s="8" t="s">
        <v>3</v>
      </c>
    </row>
    <row r="813" spans="1:8" x14ac:dyDescent="0.2">
      <c r="A813" s="14"/>
      <c r="B813" s="24"/>
      <c r="C813" s="24"/>
      <c r="D813" s="24" t="s">
        <v>3</v>
      </c>
      <c r="E813" s="24" t="s">
        <v>3</v>
      </c>
      <c r="F813" s="20"/>
      <c r="G813" s="18"/>
      <c r="H813" s="8" t="s">
        <v>3</v>
      </c>
    </row>
    <row r="814" spans="1:8" x14ac:dyDescent="0.2">
      <c r="C814" s="14">
        <v>55</v>
      </c>
      <c r="D814" s="14" t="s">
        <v>668</v>
      </c>
      <c r="F814" s="20"/>
      <c r="G814" s="18"/>
      <c r="H814" s="8" t="s">
        <v>3</v>
      </c>
    </row>
    <row r="815" spans="1:8" x14ac:dyDescent="0.2">
      <c r="C815" s="14"/>
      <c r="D815" s="14" t="s">
        <v>3</v>
      </c>
      <c r="E815" s="19" t="s">
        <v>3</v>
      </c>
      <c r="F815" s="20"/>
      <c r="G815" s="18"/>
      <c r="H815" s="8" t="s">
        <v>3</v>
      </c>
    </row>
    <row r="816" spans="1:8" x14ac:dyDescent="0.2">
      <c r="D816" s="15">
        <v>550000</v>
      </c>
      <c r="E816" s="19" t="s">
        <v>668</v>
      </c>
      <c r="F816" s="20"/>
      <c r="G816" s="18">
        <v>55</v>
      </c>
      <c r="H816" s="7" t="s">
        <v>29</v>
      </c>
    </row>
    <row r="817" spans="1:8" x14ac:dyDescent="0.2">
      <c r="D817" s="15" t="s">
        <v>3</v>
      </c>
      <c r="E817" s="19" t="s">
        <v>3</v>
      </c>
      <c r="F817" s="20"/>
      <c r="G817" s="18"/>
      <c r="H817" s="8" t="s">
        <v>3</v>
      </c>
    </row>
    <row r="818" spans="1:8" x14ac:dyDescent="0.2">
      <c r="A818" s="14">
        <v>56</v>
      </c>
      <c r="B818" s="14" t="s">
        <v>669</v>
      </c>
      <c r="C818" s="24"/>
      <c r="D818" s="22"/>
      <c r="E818" s="22"/>
      <c r="F818" s="20"/>
      <c r="G818" s="18"/>
      <c r="H818" s="8" t="s">
        <v>3</v>
      </c>
    </row>
    <row r="819" spans="1:8" x14ac:dyDescent="0.2">
      <c r="B819" s="14"/>
      <c r="C819" s="14"/>
      <c r="D819" s="22"/>
      <c r="E819" s="22" t="s">
        <v>3</v>
      </c>
      <c r="F819" s="20"/>
      <c r="G819" s="18"/>
      <c r="H819" s="8" t="s">
        <v>3</v>
      </c>
    </row>
    <row r="820" spans="1:8" x14ac:dyDescent="0.2">
      <c r="B820" s="14">
        <v>561</v>
      </c>
      <c r="C820" s="14" t="s">
        <v>670</v>
      </c>
      <c r="D820" s="22"/>
      <c r="E820" s="27"/>
      <c r="F820" s="20"/>
      <c r="G820" s="18"/>
      <c r="H820" s="8" t="s">
        <v>3</v>
      </c>
    </row>
    <row r="821" spans="1:8" x14ac:dyDescent="0.2">
      <c r="B821" s="14"/>
      <c r="C821" s="14"/>
      <c r="D821" s="22" t="s">
        <v>3</v>
      </c>
      <c r="E821" s="27" t="s">
        <v>3</v>
      </c>
      <c r="F821" s="20"/>
      <c r="G821" s="18"/>
      <c r="H821" s="8" t="s">
        <v>3</v>
      </c>
    </row>
    <row r="822" spans="1:8" x14ac:dyDescent="0.2">
      <c r="B822" s="14"/>
      <c r="C822" s="14">
        <v>5613</v>
      </c>
      <c r="D822" s="14" t="s">
        <v>671</v>
      </c>
      <c r="E822" s="27"/>
      <c r="F822" s="20"/>
      <c r="G822" s="18"/>
      <c r="H822" s="8" t="s">
        <v>3</v>
      </c>
    </row>
    <row r="823" spans="1:8" x14ac:dyDescent="0.2">
      <c r="B823" s="14"/>
      <c r="C823" s="14"/>
      <c r="D823" s="14" t="s">
        <v>3</v>
      </c>
      <c r="E823" s="27" t="s">
        <v>3</v>
      </c>
      <c r="F823" s="20"/>
      <c r="G823" s="18"/>
      <c r="H823" s="8" t="s">
        <v>3</v>
      </c>
    </row>
    <row r="824" spans="1:8" x14ac:dyDescent="0.2">
      <c r="D824" s="15">
        <v>561300</v>
      </c>
      <c r="E824" s="19" t="s">
        <v>671</v>
      </c>
      <c r="F824" s="20"/>
      <c r="G824" s="18">
        <v>5613</v>
      </c>
      <c r="H824" s="7" t="s">
        <v>29</v>
      </c>
    </row>
    <row r="825" spans="1:8" x14ac:dyDescent="0.2">
      <c r="B825" s="14"/>
      <c r="C825" s="14"/>
      <c r="D825" s="22" t="s">
        <v>3</v>
      </c>
      <c r="E825" s="27" t="s">
        <v>3</v>
      </c>
      <c r="F825" s="20"/>
      <c r="G825" s="18"/>
      <c r="H825" s="8" t="s">
        <v>3</v>
      </c>
    </row>
    <row r="826" spans="1:8" x14ac:dyDescent="0.2">
      <c r="B826" s="14"/>
      <c r="C826" s="14">
        <v>5617</v>
      </c>
      <c r="D826" s="14" t="s">
        <v>672</v>
      </c>
      <c r="E826" s="27"/>
      <c r="F826" s="20"/>
      <c r="G826" s="18"/>
      <c r="H826" s="8" t="s">
        <v>3</v>
      </c>
    </row>
    <row r="827" spans="1:8" x14ac:dyDescent="0.2">
      <c r="B827" s="14"/>
      <c r="C827" s="14"/>
      <c r="D827" s="22" t="s">
        <v>3</v>
      </c>
      <c r="E827" s="27" t="s">
        <v>3</v>
      </c>
      <c r="F827" s="20"/>
      <c r="G827" s="18"/>
      <c r="H827" s="8" t="s">
        <v>3</v>
      </c>
    </row>
    <row r="828" spans="1:8" x14ac:dyDescent="0.2">
      <c r="D828" s="15">
        <v>561700</v>
      </c>
      <c r="E828" s="19" t="s">
        <v>672</v>
      </c>
      <c r="F828" s="20"/>
      <c r="G828" s="18">
        <v>5617</v>
      </c>
      <c r="H828" s="7" t="s">
        <v>29</v>
      </c>
    </row>
    <row r="829" spans="1:8" x14ac:dyDescent="0.2">
      <c r="D829" s="15" t="s">
        <v>3</v>
      </c>
      <c r="E829" s="19" t="s">
        <v>3</v>
      </c>
      <c r="F829" s="20"/>
      <c r="G829" s="18"/>
      <c r="H829" s="8" t="s">
        <v>3</v>
      </c>
    </row>
    <row r="830" spans="1:8" x14ac:dyDescent="0.2">
      <c r="C830" s="14" t="s">
        <v>673</v>
      </c>
      <c r="D830" s="14" t="s">
        <v>674</v>
      </c>
      <c r="F830" s="20"/>
      <c r="G830" s="18"/>
      <c r="H830" s="8" t="s">
        <v>3</v>
      </c>
    </row>
    <row r="831" spans="1:8" x14ac:dyDescent="0.2">
      <c r="B831" s="14"/>
      <c r="C831" s="14"/>
      <c r="D831" s="22" t="s">
        <v>3</v>
      </c>
      <c r="E831" s="27" t="s">
        <v>3</v>
      </c>
      <c r="F831" s="20"/>
      <c r="G831" s="18"/>
      <c r="H831" s="8" t="s">
        <v>3</v>
      </c>
    </row>
    <row r="832" spans="1:8" x14ac:dyDescent="0.2">
      <c r="D832" s="15">
        <v>561100</v>
      </c>
      <c r="E832" s="19" t="s">
        <v>675</v>
      </c>
      <c r="F832" s="20"/>
      <c r="G832" s="18">
        <v>5611</v>
      </c>
      <c r="H832" s="7" t="s">
        <v>29</v>
      </c>
    </row>
    <row r="833" spans="1:8" x14ac:dyDescent="0.2">
      <c r="D833" s="15">
        <v>561200</v>
      </c>
      <c r="E833" s="19" t="s">
        <v>676</v>
      </c>
      <c r="F833" s="20"/>
      <c r="G833" s="18">
        <v>5612</v>
      </c>
      <c r="H833" s="7" t="s">
        <v>29</v>
      </c>
    </row>
    <row r="834" spans="1:8" x14ac:dyDescent="0.2">
      <c r="D834" s="15">
        <v>561400</v>
      </c>
      <c r="E834" s="19" t="s">
        <v>677</v>
      </c>
      <c r="F834" s="20"/>
      <c r="G834" s="18">
        <v>5614</v>
      </c>
      <c r="H834" s="7" t="s">
        <v>29</v>
      </c>
    </row>
    <row r="835" spans="1:8" x14ac:dyDescent="0.2">
      <c r="D835" s="15">
        <v>561500</v>
      </c>
      <c r="E835" s="19" t="s">
        <v>678</v>
      </c>
      <c r="F835" s="20"/>
      <c r="G835" s="18">
        <v>5615</v>
      </c>
      <c r="H835" s="7" t="s">
        <v>29</v>
      </c>
    </row>
    <row r="836" spans="1:8" x14ac:dyDescent="0.2">
      <c r="D836" s="15">
        <v>561600</v>
      </c>
      <c r="E836" s="19" t="s">
        <v>679</v>
      </c>
      <c r="F836" s="20"/>
      <c r="G836" s="18">
        <v>5616</v>
      </c>
      <c r="H836" s="7" t="s">
        <v>29</v>
      </c>
    </row>
    <row r="837" spans="1:8" x14ac:dyDescent="0.2">
      <c r="D837" s="15">
        <v>561900</v>
      </c>
      <c r="E837" s="19" t="s">
        <v>680</v>
      </c>
      <c r="F837" s="20"/>
      <c r="G837" s="18">
        <v>5619</v>
      </c>
      <c r="H837" s="7" t="s">
        <v>29</v>
      </c>
    </row>
    <row r="838" spans="1:8" x14ac:dyDescent="0.2">
      <c r="D838" s="15" t="s">
        <v>3</v>
      </c>
      <c r="E838" s="19" t="s">
        <v>3</v>
      </c>
      <c r="F838" s="20"/>
      <c r="G838" s="18"/>
      <c r="H838" s="8" t="s">
        <v>3</v>
      </c>
    </row>
    <row r="839" spans="1:8" x14ac:dyDescent="0.2">
      <c r="B839" s="14">
        <v>562</v>
      </c>
      <c r="C839" s="24" t="s">
        <v>681</v>
      </c>
      <c r="D839" s="14"/>
      <c r="F839" s="20"/>
      <c r="G839" s="18"/>
      <c r="H839" s="8" t="s">
        <v>3</v>
      </c>
    </row>
    <row r="840" spans="1:8" x14ac:dyDescent="0.2">
      <c r="B840" s="14"/>
      <c r="C840" s="24"/>
      <c r="D840" s="14" t="s">
        <v>3</v>
      </c>
      <c r="E840" s="19" t="s">
        <v>3</v>
      </c>
      <c r="F840" s="20"/>
      <c r="G840" s="18"/>
      <c r="H840" s="8" t="s">
        <v>3</v>
      </c>
    </row>
    <row r="841" spans="1:8" x14ac:dyDescent="0.2">
      <c r="B841" s="14"/>
      <c r="C841" s="14">
        <v>562</v>
      </c>
      <c r="D841" s="14" t="s">
        <v>681</v>
      </c>
      <c r="F841" s="20"/>
      <c r="G841" s="18"/>
      <c r="H841" s="8" t="s">
        <v>3</v>
      </c>
    </row>
    <row r="842" spans="1:8" x14ac:dyDescent="0.2">
      <c r="B842" s="14"/>
      <c r="C842" s="24"/>
      <c r="D842" s="14" t="s">
        <v>3</v>
      </c>
      <c r="E842" s="19" t="s">
        <v>3</v>
      </c>
      <c r="F842" s="20"/>
      <c r="G842" s="18"/>
      <c r="H842" s="8" t="s">
        <v>3</v>
      </c>
    </row>
    <row r="843" spans="1:8" x14ac:dyDescent="0.2">
      <c r="D843" s="15">
        <v>562000</v>
      </c>
      <c r="E843" s="19" t="s">
        <v>681</v>
      </c>
      <c r="F843" s="20"/>
      <c r="G843" s="18">
        <v>562</v>
      </c>
      <c r="H843" s="7" t="s">
        <v>875</v>
      </c>
    </row>
    <row r="844" spans="1:8" x14ac:dyDescent="0.2">
      <c r="D844" s="15" t="s">
        <v>3</v>
      </c>
      <c r="E844" s="19" t="s">
        <v>3</v>
      </c>
      <c r="F844" s="20"/>
      <c r="G844" s="18"/>
      <c r="H844" s="8" t="s">
        <v>3</v>
      </c>
    </row>
    <row r="845" spans="1:8" x14ac:dyDescent="0.2">
      <c r="A845" s="14">
        <v>61</v>
      </c>
      <c r="B845" s="24" t="s">
        <v>682</v>
      </c>
      <c r="C845" s="24"/>
      <c r="D845" s="24"/>
      <c r="E845" s="25"/>
      <c r="F845" s="20"/>
      <c r="G845" s="18"/>
      <c r="H845" s="8" t="s">
        <v>3</v>
      </c>
    </row>
    <row r="846" spans="1:8" x14ac:dyDescent="0.2">
      <c r="A846" s="14"/>
      <c r="B846" s="24"/>
      <c r="C846" s="24"/>
      <c r="D846" s="22" t="s">
        <v>3</v>
      </c>
      <c r="E846" s="22" t="s">
        <v>3</v>
      </c>
      <c r="F846" s="20"/>
      <c r="G846" s="18"/>
      <c r="H846" s="8" t="s">
        <v>3</v>
      </c>
    </row>
    <row r="847" spans="1:8" x14ac:dyDescent="0.2">
      <c r="A847" s="14"/>
      <c r="B847" s="14">
        <v>61</v>
      </c>
      <c r="C847" s="24" t="s">
        <v>683</v>
      </c>
      <c r="D847" s="22"/>
      <c r="E847" s="22"/>
      <c r="F847" s="20"/>
      <c r="G847" s="18"/>
      <c r="H847" s="8" t="s">
        <v>3</v>
      </c>
    </row>
    <row r="848" spans="1:8" x14ac:dyDescent="0.2">
      <c r="A848" s="14"/>
      <c r="B848" s="14"/>
      <c r="C848" s="24"/>
      <c r="D848" s="22" t="s">
        <v>3</v>
      </c>
      <c r="E848" s="22" t="s">
        <v>3</v>
      </c>
      <c r="F848" s="20"/>
      <c r="G848" s="18"/>
      <c r="H848" s="8" t="s">
        <v>3</v>
      </c>
    </row>
    <row r="849" spans="1:8" x14ac:dyDescent="0.2">
      <c r="A849" s="14"/>
      <c r="B849" s="14"/>
      <c r="C849" s="14">
        <v>61</v>
      </c>
      <c r="D849" s="24" t="s">
        <v>683</v>
      </c>
      <c r="E849" s="22"/>
      <c r="F849" s="20"/>
      <c r="G849" s="18"/>
      <c r="H849" s="8" t="s">
        <v>3</v>
      </c>
    </row>
    <row r="850" spans="1:8" x14ac:dyDescent="0.2">
      <c r="A850" s="14"/>
      <c r="B850" s="24"/>
      <c r="C850" s="24"/>
      <c r="D850" s="22" t="s">
        <v>3</v>
      </c>
      <c r="E850" s="22" t="s">
        <v>3</v>
      </c>
      <c r="F850" s="20"/>
      <c r="G850" s="18"/>
      <c r="H850" s="8" t="s">
        <v>3</v>
      </c>
    </row>
    <row r="851" spans="1:8" x14ac:dyDescent="0.2">
      <c r="D851" s="15">
        <v>611100</v>
      </c>
      <c r="E851" s="19" t="s">
        <v>684</v>
      </c>
      <c r="F851" s="20"/>
      <c r="G851" s="18">
        <v>6111</v>
      </c>
      <c r="H851" s="7" t="s">
        <v>31</v>
      </c>
    </row>
    <row r="852" spans="1:8" x14ac:dyDescent="0.2">
      <c r="D852" s="15" t="s">
        <v>685</v>
      </c>
      <c r="E852" s="19" t="s">
        <v>686</v>
      </c>
      <c r="F852" s="20"/>
      <c r="G852" s="18" t="s">
        <v>687</v>
      </c>
      <c r="H852" s="7" t="s">
        <v>31</v>
      </c>
    </row>
    <row r="853" spans="1:8" x14ac:dyDescent="0.2">
      <c r="D853" s="15" t="s">
        <v>688</v>
      </c>
      <c r="E853" s="19" t="s">
        <v>689</v>
      </c>
      <c r="F853" s="20"/>
      <c r="G853" s="18" t="s">
        <v>690</v>
      </c>
      <c r="H853" s="7" t="s">
        <v>31</v>
      </c>
    </row>
    <row r="854" spans="1:8" x14ac:dyDescent="0.2">
      <c r="F854" s="20"/>
      <c r="G854" s="18"/>
      <c r="H854" s="8" t="s">
        <v>3</v>
      </c>
    </row>
    <row r="855" spans="1:8" x14ac:dyDescent="0.2">
      <c r="A855" s="14">
        <v>62</v>
      </c>
      <c r="B855" s="14" t="s">
        <v>691</v>
      </c>
      <c r="C855" s="24"/>
      <c r="D855" s="22"/>
      <c r="E855" s="22"/>
      <c r="F855" s="20"/>
      <c r="G855" s="18"/>
      <c r="H855" s="8" t="s">
        <v>3</v>
      </c>
    </row>
    <row r="856" spans="1:8" x14ac:dyDescent="0.2">
      <c r="A856" s="14"/>
      <c r="B856" s="24"/>
      <c r="C856" s="24"/>
      <c r="D856" s="22"/>
      <c r="E856" s="22"/>
      <c r="F856" s="20"/>
      <c r="G856" s="18"/>
      <c r="H856" s="8" t="s">
        <v>3</v>
      </c>
    </row>
    <row r="857" spans="1:8" x14ac:dyDescent="0.2">
      <c r="A857" s="14"/>
      <c r="B857" s="14">
        <v>621</v>
      </c>
      <c r="C857" s="14" t="s">
        <v>692</v>
      </c>
      <c r="D857" s="22"/>
      <c r="E857" s="22"/>
      <c r="F857" s="20"/>
      <c r="G857" s="18"/>
      <c r="H857" s="8" t="s">
        <v>3</v>
      </c>
    </row>
    <row r="858" spans="1:8" x14ac:dyDescent="0.2">
      <c r="A858" s="14"/>
      <c r="B858" s="24"/>
      <c r="C858" s="24"/>
      <c r="D858" s="22"/>
      <c r="E858" s="22"/>
      <c r="F858" s="20"/>
      <c r="G858" s="18"/>
      <c r="H858" s="8" t="s">
        <v>3</v>
      </c>
    </row>
    <row r="859" spans="1:8" x14ac:dyDescent="0.2">
      <c r="C859" s="14">
        <v>6211</v>
      </c>
      <c r="D859" s="14" t="s">
        <v>693</v>
      </c>
      <c r="F859" s="20"/>
      <c r="G859" s="18"/>
      <c r="H859" s="8" t="s">
        <v>3</v>
      </c>
    </row>
    <row r="860" spans="1:8" x14ac:dyDescent="0.2">
      <c r="C860" s="14"/>
      <c r="D860" s="14" t="s">
        <v>3</v>
      </c>
      <c r="E860" s="19" t="s">
        <v>3</v>
      </c>
      <c r="F860" s="20"/>
      <c r="G860" s="18"/>
      <c r="H860" s="8" t="s">
        <v>3</v>
      </c>
    </row>
    <row r="861" spans="1:8" x14ac:dyDescent="0.2">
      <c r="C861" s="14"/>
      <c r="D861" s="15">
        <v>621100</v>
      </c>
      <c r="E861" s="19" t="s">
        <v>693</v>
      </c>
      <c r="F861" s="20"/>
      <c r="G861" s="18">
        <v>6211</v>
      </c>
      <c r="H861" s="7" t="s">
        <v>32</v>
      </c>
    </row>
    <row r="862" spans="1:8" x14ac:dyDescent="0.2">
      <c r="C862" s="14"/>
      <c r="D862" s="15" t="s">
        <v>3</v>
      </c>
      <c r="E862" s="19" t="s">
        <v>3</v>
      </c>
      <c r="F862" s="20"/>
      <c r="G862" s="18"/>
      <c r="H862" s="8" t="s">
        <v>3</v>
      </c>
    </row>
    <row r="863" spans="1:8" x14ac:dyDescent="0.2">
      <c r="C863" s="14">
        <v>6212</v>
      </c>
      <c r="D863" s="14" t="s">
        <v>694</v>
      </c>
      <c r="F863" s="20"/>
      <c r="G863" s="18"/>
      <c r="H863" s="8" t="s">
        <v>3</v>
      </c>
    </row>
    <row r="864" spans="1:8" x14ac:dyDescent="0.2">
      <c r="C864" s="14"/>
      <c r="D864" s="15" t="s">
        <v>3</v>
      </c>
      <c r="E864" s="19" t="s">
        <v>3</v>
      </c>
      <c r="F864" s="20"/>
      <c r="G864" s="18"/>
      <c r="H864" s="8" t="s">
        <v>3</v>
      </c>
    </row>
    <row r="865" spans="3:8" x14ac:dyDescent="0.2">
      <c r="C865" s="14"/>
      <c r="D865" s="15">
        <v>621200</v>
      </c>
      <c r="E865" s="19" t="s">
        <v>694</v>
      </c>
      <c r="F865" s="20"/>
      <c r="G865" s="18">
        <v>6212</v>
      </c>
      <c r="H865" s="7" t="s">
        <v>32</v>
      </c>
    </row>
    <row r="866" spans="3:8" x14ac:dyDescent="0.2">
      <c r="C866" s="14"/>
      <c r="D866" s="15" t="s">
        <v>3</v>
      </c>
      <c r="E866" s="19" t="s">
        <v>3</v>
      </c>
      <c r="F866" s="20"/>
      <c r="G866" s="18"/>
      <c r="H866" s="8" t="s">
        <v>3</v>
      </c>
    </row>
    <row r="867" spans="3:8" x14ac:dyDescent="0.2">
      <c r="C867" s="14">
        <v>6213</v>
      </c>
      <c r="D867" s="14" t="s">
        <v>695</v>
      </c>
      <c r="F867" s="20"/>
      <c r="G867" s="18"/>
      <c r="H867" s="8" t="s">
        <v>3</v>
      </c>
    </row>
    <row r="868" spans="3:8" x14ac:dyDescent="0.2">
      <c r="C868" s="14"/>
      <c r="D868" s="15" t="s">
        <v>3</v>
      </c>
      <c r="E868" s="19" t="s">
        <v>3</v>
      </c>
      <c r="F868" s="20"/>
      <c r="G868" s="18"/>
      <c r="H868" s="8" t="s">
        <v>3</v>
      </c>
    </row>
    <row r="869" spans="3:8" x14ac:dyDescent="0.2">
      <c r="C869" s="14"/>
      <c r="D869" s="15">
        <v>621300</v>
      </c>
      <c r="E869" s="19" t="s">
        <v>695</v>
      </c>
      <c r="F869" s="20"/>
      <c r="G869" s="18">
        <v>6213</v>
      </c>
      <c r="H869" s="7" t="s">
        <v>32</v>
      </c>
    </row>
    <row r="870" spans="3:8" x14ac:dyDescent="0.2">
      <c r="C870" s="14"/>
      <c r="D870" s="15" t="s">
        <v>3</v>
      </c>
      <c r="E870" s="19" t="s">
        <v>3</v>
      </c>
      <c r="F870" s="20"/>
      <c r="G870" s="18"/>
      <c r="H870" s="8" t="s">
        <v>3</v>
      </c>
    </row>
    <row r="871" spans="3:8" x14ac:dyDescent="0.2">
      <c r="C871" s="14">
        <v>6214</v>
      </c>
      <c r="D871" s="14" t="s">
        <v>696</v>
      </c>
      <c r="F871" s="20"/>
      <c r="G871" s="18"/>
      <c r="H871" s="8" t="s">
        <v>3</v>
      </c>
    </row>
    <row r="872" spans="3:8" x14ac:dyDescent="0.2">
      <c r="C872" s="14"/>
      <c r="D872" s="15" t="s">
        <v>3</v>
      </c>
      <c r="E872" s="19" t="s">
        <v>3</v>
      </c>
      <c r="F872" s="20"/>
      <c r="G872" s="18"/>
      <c r="H872" s="8" t="s">
        <v>3</v>
      </c>
    </row>
    <row r="873" spans="3:8" x14ac:dyDescent="0.2">
      <c r="D873" s="15">
        <v>621400</v>
      </c>
      <c r="E873" s="19" t="s">
        <v>696</v>
      </c>
      <c r="F873" s="20"/>
      <c r="G873" s="18">
        <v>6214</v>
      </c>
      <c r="H873" s="7" t="s">
        <v>32</v>
      </c>
    </row>
    <row r="874" spans="3:8" x14ac:dyDescent="0.2">
      <c r="D874" s="15" t="s">
        <v>3</v>
      </c>
      <c r="E874" s="19" t="s">
        <v>3</v>
      </c>
      <c r="F874" s="20"/>
      <c r="G874" s="18"/>
      <c r="H874" s="8" t="s">
        <v>3</v>
      </c>
    </row>
    <row r="875" spans="3:8" x14ac:dyDescent="0.2">
      <c r="C875" s="14" t="s">
        <v>697</v>
      </c>
      <c r="D875" s="14" t="s">
        <v>698</v>
      </c>
      <c r="F875" s="20"/>
      <c r="G875" s="18"/>
      <c r="H875" s="8" t="s">
        <v>3</v>
      </c>
    </row>
    <row r="876" spans="3:8" x14ac:dyDescent="0.2">
      <c r="D876" s="15" t="s">
        <v>3</v>
      </c>
      <c r="E876" s="19" t="s">
        <v>3</v>
      </c>
      <c r="F876" s="20"/>
      <c r="G876" s="18"/>
      <c r="H876" s="8" t="s">
        <v>3</v>
      </c>
    </row>
    <row r="877" spans="3:8" x14ac:dyDescent="0.2">
      <c r="D877" s="15">
        <v>621500</v>
      </c>
      <c r="E877" s="19" t="s">
        <v>699</v>
      </c>
      <c r="F877" s="20"/>
      <c r="G877" s="18">
        <v>6215</v>
      </c>
      <c r="H877" s="7" t="s">
        <v>32</v>
      </c>
    </row>
    <row r="878" spans="3:8" x14ac:dyDescent="0.2">
      <c r="D878" s="15">
        <v>621600</v>
      </c>
      <c r="E878" s="19" t="s">
        <v>700</v>
      </c>
      <c r="F878" s="20"/>
      <c r="G878" s="18">
        <v>6216</v>
      </c>
      <c r="H878" s="7" t="s">
        <v>32</v>
      </c>
    </row>
    <row r="879" spans="3:8" x14ac:dyDescent="0.2">
      <c r="D879" s="15">
        <v>621900</v>
      </c>
      <c r="E879" s="19" t="s">
        <v>698</v>
      </c>
      <c r="F879" s="20"/>
      <c r="G879" s="18">
        <v>6219</v>
      </c>
      <c r="H879" s="7" t="s">
        <v>32</v>
      </c>
    </row>
    <row r="880" spans="3:8" x14ac:dyDescent="0.2">
      <c r="D880" s="15" t="s">
        <v>3</v>
      </c>
      <c r="E880" s="19" t="s">
        <v>3</v>
      </c>
      <c r="F880" s="20"/>
      <c r="G880" s="18"/>
      <c r="H880" s="8" t="s">
        <v>3</v>
      </c>
    </row>
    <row r="881" spans="2:8" x14ac:dyDescent="0.2">
      <c r="B881" s="14">
        <v>622</v>
      </c>
      <c r="C881" s="24" t="s">
        <v>701</v>
      </c>
      <c r="D881" s="15" t="s">
        <v>3</v>
      </c>
      <c r="E881" s="19" t="s">
        <v>3</v>
      </c>
      <c r="F881" s="20"/>
      <c r="G881" s="18"/>
      <c r="H881" s="8" t="s">
        <v>3</v>
      </c>
    </row>
    <row r="882" spans="2:8" x14ac:dyDescent="0.2">
      <c r="D882" s="15" t="s">
        <v>3</v>
      </c>
      <c r="E882" s="19" t="s">
        <v>3</v>
      </c>
      <c r="F882" s="20"/>
      <c r="G882" s="18"/>
      <c r="H882" s="8" t="s">
        <v>3</v>
      </c>
    </row>
    <row r="883" spans="2:8" x14ac:dyDescent="0.2">
      <c r="C883" s="14">
        <v>622</v>
      </c>
      <c r="D883" s="14" t="s">
        <v>701</v>
      </c>
      <c r="F883" s="20"/>
      <c r="G883" s="18"/>
      <c r="H883" s="8" t="s">
        <v>3</v>
      </c>
    </row>
    <row r="884" spans="2:8" x14ac:dyDescent="0.2">
      <c r="C884" s="14"/>
      <c r="D884" s="14" t="s">
        <v>3</v>
      </c>
      <c r="E884" s="19" t="s">
        <v>3</v>
      </c>
      <c r="F884" s="20"/>
      <c r="G884" s="18"/>
      <c r="H884" s="8" t="s">
        <v>3</v>
      </c>
    </row>
    <row r="885" spans="2:8" x14ac:dyDescent="0.2">
      <c r="D885" s="15">
        <v>622000</v>
      </c>
      <c r="E885" s="19" t="s">
        <v>701</v>
      </c>
      <c r="F885" s="20"/>
      <c r="G885" s="18">
        <v>622</v>
      </c>
      <c r="H885" s="7" t="s">
        <v>32</v>
      </c>
    </row>
    <row r="886" spans="2:8" x14ac:dyDescent="0.2">
      <c r="D886" s="15" t="s">
        <v>3</v>
      </c>
      <c r="E886" s="19" t="s">
        <v>3</v>
      </c>
      <c r="F886" s="20"/>
      <c r="G886" s="18"/>
      <c r="H886" s="8" t="s">
        <v>3</v>
      </c>
    </row>
    <row r="887" spans="2:8" x14ac:dyDescent="0.2">
      <c r="B887" s="14">
        <v>623</v>
      </c>
      <c r="C887" s="24" t="s">
        <v>702</v>
      </c>
      <c r="F887" s="20"/>
      <c r="G887" s="18"/>
      <c r="H887" s="8" t="s">
        <v>3</v>
      </c>
    </row>
    <row r="888" spans="2:8" x14ac:dyDescent="0.2">
      <c r="D888" s="15" t="s">
        <v>3</v>
      </c>
      <c r="E888" s="19" t="s">
        <v>3</v>
      </c>
      <c r="F888" s="20"/>
      <c r="G888" s="18"/>
      <c r="H888" s="8" t="s">
        <v>3</v>
      </c>
    </row>
    <row r="889" spans="2:8" x14ac:dyDescent="0.2">
      <c r="C889" s="14">
        <v>623</v>
      </c>
      <c r="D889" s="24" t="s">
        <v>702</v>
      </c>
      <c r="F889" s="20"/>
      <c r="G889" s="18"/>
      <c r="H889" s="8" t="s">
        <v>3</v>
      </c>
    </row>
    <row r="890" spans="2:8" x14ac:dyDescent="0.2">
      <c r="C890" s="14"/>
      <c r="D890" s="24" t="s">
        <v>3</v>
      </c>
      <c r="E890" s="19" t="s">
        <v>3</v>
      </c>
      <c r="F890" s="20"/>
      <c r="G890" s="18"/>
      <c r="H890" s="8" t="s">
        <v>3</v>
      </c>
    </row>
    <row r="891" spans="2:8" x14ac:dyDescent="0.2">
      <c r="D891" s="15" t="s">
        <v>703</v>
      </c>
      <c r="E891" s="19" t="s">
        <v>704</v>
      </c>
      <c r="F891" s="20"/>
      <c r="G891" s="18" t="s">
        <v>705</v>
      </c>
      <c r="H891" s="7" t="s">
        <v>32</v>
      </c>
    </row>
    <row r="892" spans="2:8" x14ac:dyDescent="0.2">
      <c r="D892" s="15" t="s">
        <v>706</v>
      </c>
      <c r="E892" s="19" t="s">
        <v>707</v>
      </c>
      <c r="F892" s="20"/>
      <c r="G892" s="18" t="s">
        <v>708</v>
      </c>
      <c r="H892" s="7" t="s">
        <v>32</v>
      </c>
    </row>
    <row r="893" spans="2:8" x14ac:dyDescent="0.2">
      <c r="D893" s="15" t="s">
        <v>3</v>
      </c>
      <c r="E893" s="19" t="s">
        <v>3</v>
      </c>
      <c r="F893" s="20"/>
      <c r="G893" s="18"/>
      <c r="H893" s="8" t="s">
        <v>3</v>
      </c>
    </row>
    <row r="894" spans="2:8" x14ac:dyDescent="0.2">
      <c r="B894" s="14">
        <v>624</v>
      </c>
      <c r="C894" s="24" t="s">
        <v>709</v>
      </c>
      <c r="F894" s="20"/>
      <c r="G894" s="18"/>
      <c r="H894" s="8" t="s">
        <v>3</v>
      </c>
    </row>
    <row r="895" spans="2:8" x14ac:dyDescent="0.2">
      <c r="D895" s="15" t="s">
        <v>3</v>
      </c>
      <c r="E895" s="19" t="s">
        <v>3</v>
      </c>
      <c r="F895" s="20"/>
      <c r="G895" s="18"/>
      <c r="H895" s="8" t="s">
        <v>3</v>
      </c>
    </row>
    <row r="896" spans="2:8" x14ac:dyDescent="0.2">
      <c r="C896" s="14">
        <v>624</v>
      </c>
      <c r="D896" s="24" t="s">
        <v>709</v>
      </c>
      <c r="F896" s="20"/>
      <c r="G896" s="18"/>
      <c r="H896" s="8" t="s">
        <v>3</v>
      </c>
    </row>
    <row r="897" spans="1:8" x14ac:dyDescent="0.2">
      <c r="C897" s="14"/>
      <c r="D897" s="24" t="s">
        <v>3</v>
      </c>
      <c r="E897" s="19" t="s">
        <v>3</v>
      </c>
      <c r="F897" s="20"/>
      <c r="G897" s="18"/>
      <c r="H897" s="8" t="s">
        <v>3</v>
      </c>
    </row>
    <row r="898" spans="1:8" x14ac:dyDescent="0.2">
      <c r="C898" s="14"/>
      <c r="D898" s="15">
        <v>624100</v>
      </c>
      <c r="E898" s="19" t="s">
        <v>710</v>
      </c>
      <c r="F898" s="20"/>
      <c r="G898" s="18">
        <v>6241</v>
      </c>
      <c r="H898" s="7" t="s">
        <v>32</v>
      </c>
    </row>
    <row r="899" spans="1:8" x14ac:dyDescent="0.2">
      <c r="D899" s="15" t="s">
        <v>711</v>
      </c>
      <c r="E899" s="19" t="s">
        <v>712</v>
      </c>
      <c r="F899" s="20"/>
      <c r="G899" s="20" t="s">
        <v>713</v>
      </c>
      <c r="H899" s="7" t="s">
        <v>32</v>
      </c>
    </row>
    <row r="900" spans="1:8" x14ac:dyDescent="0.2">
      <c r="D900" s="15">
        <v>624400</v>
      </c>
      <c r="E900" s="19" t="s">
        <v>714</v>
      </c>
      <c r="F900" s="20"/>
      <c r="G900" s="18">
        <v>6244</v>
      </c>
      <c r="H900" s="7" t="s">
        <v>32</v>
      </c>
    </row>
    <row r="901" spans="1:8" x14ac:dyDescent="0.2">
      <c r="D901" s="15" t="s">
        <v>3</v>
      </c>
      <c r="E901" s="19" t="s">
        <v>3</v>
      </c>
      <c r="F901" s="20"/>
      <c r="G901" s="18"/>
      <c r="H901" s="8" t="s">
        <v>3</v>
      </c>
    </row>
    <row r="902" spans="1:8" x14ac:dyDescent="0.2">
      <c r="A902" s="14">
        <v>71</v>
      </c>
      <c r="B902" s="14" t="s">
        <v>715</v>
      </c>
      <c r="C902" s="24"/>
      <c r="F902" s="20"/>
      <c r="G902" s="18"/>
      <c r="H902" s="8" t="s">
        <v>3</v>
      </c>
    </row>
    <row r="903" spans="1:8" x14ac:dyDescent="0.2">
      <c r="A903" s="14"/>
      <c r="B903" s="24"/>
      <c r="C903" s="24"/>
      <c r="D903" s="15" t="s">
        <v>3</v>
      </c>
      <c r="E903" s="19" t="s">
        <v>3</v>
      </c>
      <c r="F903" s="20"/>
      <c r="G903" s="18"/>
      <c r="H903" s="8" t="s">
        <v>3</v>
      </c>
    </row>
    <row r="904" spans="1:8" x14ac:dyDescent="0.2">
      <c r="A904" s="14"/>
      <c r="B904" s="14" t="s">
        <v>716</v>
      </c>
      <c r="C904" s="24" t="s">
        <v>717</v>
      </c>
      <c r="D904" s="24"/>
      <c r="E904" s="25"/>
      <c r="F904" s="20"/>
      <c r="G904" s="18"/>
      <c r="H904" s="8" t="s">
        <v>3</v>
      </c>
    </row>
    <row r="905" spans="1:8" x14ac:dyDescent="0.2">
      <c r="A905" s="14"/>
      <c r="B905" s="24"/>
      <c r="C905" s="24"/>
      <c r="D905" s="15" t="s">
        <v>3</v>
      </c>
      <c r="E905" s="19" t="s">
        <v>3</v>
      </c>
      <c r="F905" s="20"/>
      <c r="G905" s="18"/>
      <c r="H905" s="8" t="s">
        <v>3</v>
      </c>
    </row>
    <row r="906" spans="1:8" x14ac:dyDescent="0.2">
      <c r="C906" s="14" t="s">
        <v>716</v>
      </c>
      <c r="D906" s="24" t="s">
        <v>717</v>
      </c>
      <c r="F906" s="20"/>
      <c r="G906" s="18"/>
      <c r="H906" s="8" t="s">
        <v>3</v>
      </c>
    </row>
    <row r="907" spans="1:8" x14ac:dyDescent="0.2">
      <c r="C907" s="14"/>
      <c r="D907" s="14" t="s">
        <v>3</v>
      </c>
      <c r="E907" s="19" t="s">
        <v>3</v>
      </c>
      <c r="F907" s="20"/>
      <c r="G907" s="18"/>
      <c r="H907" s="8" t="s">
        <v>3</v>
      </c>
    </row>
    <row r="908" spans="1:8" x14ac:dyDescent="0.2">
      <c r="D908" s="15">
        <v>711100</v>
      </c>
      <c r="E908" s="19" t="s">
        <v>718</v>
      </c>
      <c r="F908" s="20"/>
      <c r="G908" s="18">
        <v>7111</v>
      </c>
      <c r="H908" s="7" t="s">
        <v>33</v>
      </c>
    </row>
    <row r="909" spans="1:8" x14ac:dyDescent="0.2">
      <c r="D909" s="15">
        <v>711200</v>
      </c>
      <c r="E909" s="19" t="s">
        <v>719</v>
      </c>
      <c r="F909" s="20"/>
      <c r="G909" s="18">
        <v>7112</v>
      </c>
      <c r="H909" s="7" t="s">
        <v>33</v>
      </c>
    </row>
    <row r="910" spans="1:8" x14ac:dyDescent="0.2">
      <c r="D910" s="15" t="s">
        <v>720</v>
      </c>
      <c r="E910" s="19" t="s">
        <v>721</v>
      </c>
      <c r="F910" s="20"/>
      <c r="G910" s="18" t="s">
        <v>722</v>
      </c>
      <c r="H910" s="7" t="s">
        <v>33</v>
      </c>
    </row>
    <row r="911" spans="1:8" x14ac:dyDescent="0.2">
      <c r="D911" s="15">
        <v>711500</v>
      </c>
      <c r="E911" s="19" t="s">
        <v>723</v>
      </c>
      <c r="F911" s="20"/>
      <c r="G911" s="18">
        <v>7115</v>
      </c>
      <c r="H911" s="7" t="s">
        <v>33</v>
      </c>
    </row>
    <row r="912" spans="1:8" x14ac:dyDescent="0.2">
      <c r="D912" s="15">
        <v>712000</v>
      </c>
      <c r="E912" s="19" t="s">
        <v>724</v>
      </c>
      <c r="F912" s="20"/>
      <c r="G912" s="18">
        <v>712</v>
      </c>
      <c r="H912" s="7" t="s">
        <v>33</v>
      </c>
    </row>
    <row r="913" spans="1:8" x14ac:dyDescent="0.2">
      <c r="D913" s="15" t="s">
        <v>3</v>
      </c>
      <c r="E913" s="19" t="s">
        <v>3</v>
      </c>
      <c r="F913" s="20"/>
      <c r="G913" s="18"/>
      <c r="H913" s="8" t="s">
        <v>3</v>
      </c>
    </row>
    <row r="914" spans="1:8" x14ac:dyDescent="0.2">
      <c r="B914" s="14">
        <v>713</v>
      </c>
      <c r="C914" s="24" t="s">
        <v>725</v>
      </c>
      <c r="F914" s="20"/>
      <c r="G914" s="18"/>
      <c r="H914" s="8" t="s">
        <v>3</v>
      </c>
    </row>
    <row r="915" spans="1:8" x14ac:dyDescent="0.2">
      <c r="D915" s="15" t="s">
        <v>3</v>
      </c>
      <c r="E915" s="19" t="s">
        <v>3</v>
      </c>
      <c r="F915" s="20"/>
      <c r="G915" s="18"/>
      <c r="H915" s="8" t="s">
        <v>3</v>
      </c>
    </row>
    <row r="916" spans="1:8" x14ac:dyDescent="0.2">
      <c r="C916" s="14">
        <v>713</v>
      </c>
      <c r="D916" s="24" t="s">
        <v>725</v>
      </c>
      <c r="F916" s="20"/>
      <c r="G916" s="18"/>
      <c r="H916" s="8" t="s">
        <v>3</v>
      </c>
    </row>
    <row r="917" spans="1:8" x14ac:dyDescent="0.2">
      <c r="C917" s="14"/>
      <c r="D917" s="24" t="s">
        <v>3</v>
      </c>
      <c r="E917" s="19" t="s">
        <v>3</v>
      </c>
      <c r="F917" s="20"/>
      <c r="G917" s="18"/>
      <c r="H917" s="8" t="s">
        <v>3</v>
      </c>
    </row>
    <row r="918" spans="1:8" x14ac:dyDescent="0.2">
      <c r="C918" s="14"/>
      <c r="D918" s="15">
        <v>713100</v>
      </c>
      <c r="E918" s="19" t="s">
        <v>726</v>
      </c>
      <c r="F918" s="20"/>
      <c r="G918" s="18">
        <v>7131</v>
      </c>
      <c r="H918" s="7" t="s">
        <v>33</v>
      </c>
    </row>
    <row r="919" spans="1:8" x14ac:dyDescent="0.2">
      <c r="C919" s="14"/>
      <c r="D919" s="15">
        <v>713200</v>
      </c>
      <c r="E919" s="19" t="s">
        <v>727</v>
      </c>
      <c r="F919" s="20"/>
      <c r="G919" s="20">
        <v>7132</v>
      </c>
      <c r="H919" s="7" t="s">
        <v>33</v>
      </c>
    </row>
    <row r="920" spans="1:8" x14ac:dyDescent="0.2">
      <c r="D920" s="15">
        <v>713900</v>
      </c>
      <c r="E920" s="19" t="s">
        <v>728</v>
      </c>
      <c r="F920" s="20"/>
      <c r="G920" s="18">
        <v>7139</v>
      </c>
      <c r="H920" s="7" t="s">
        <v>33</v>
      </c>
    </row>
    <row r="921" spans="1:8" x14ac:dyDescent="0.2">
      <c r="D921" s="15" t="s">
        <v>3</v>
      </c>
      <c r="E921" s="19" t="s">
        <v>3</v>
      </c>
      <c r="F921" s="20"/>
      <c r="G921" s="20"/>
      <c r="H921" s="8" t="s">
        <v>3</v>
      </c>
    </row>
    <row r="922" spans="1:8" x14ac:dyDescent="0.2">
      <c r="A922" s="14">
        <v>72</v>
      </c>
      <c r="B922" s="14" t="s">
        <v>729</v>
      </c>
      <c r="C922" s="24"/>
      <c r="D922" s="22"/>
      <c r="E922" s="22"/>
      <c r="F922" s="20"/>
      <c r="G922" s="20"/>
      <c r="H922" s="8" t="s">
        <v>3</v>
      </c>
    </row>
    <row r="923" spans="1:8" x14ac:dyDescent="0.2">
      <c r="A923" s="14"/>
      <c r="B923" s="24"/>
      <c r="C923" s="24"/>
      <c r="D923" s="22" t="s">
        <v>3</v>
      </c>
      <c r="E923" s="22" t="s">
        <v>3</v>
      </c>
      <c r="F923" s="20"/>
      <c r="G923" s="20"/>
      <c r="H923" s="8" t="s">
        <v>3</v>
      </c>
    </row>
    <row r="924" spans="1:8" x14ac:dyDescent="0.2">
      <c r="A924" s="14"/>
      <c r="B924" s="14">
        <v>721</v>
      </c>
      <c r="C924" s="24" t="s">
        <v>730</v>
      </c>
      <c r="D924" s="22"/>
      <c r="E924" s="22" t="s">
        <v>3</v>
      </c>
      <c r="F924" s="20"/>
      <c r="G924" s="20"/>
      <c r="H924" s="8" t="s">
        <v>3</v>
      </c>
    </row>
    <row r="925" spans="1:8" x14ac:dyDescent="0.2">
      <c r="A925" s="14"/>
      <c r="B925" s="14"/>
      <c r="C925" s="24"/>
      <c r="D925" s="22"/>
      <c r="E925" s="22" t="s">
        <v>3</v>
      </c>
      <c r="F925" s="20"/>
      <c r="G925" s="20"/>
      <c r="H925" s="8" t="s">
        <v>3</v>
      </c>
    </row>
    <row r="926" spans="1:8" x14ac:dyDescent="0.2">
      <c r="C926" s="14">
        <v>721</v>
      </c>
      <c r="D926" s="14" t="s">
        <v>730</v>
      </c>
      <c r="F926" s="20"/>
      <c r="G926" s="20"/>
      <c r="H926" s="8" t="s">
        <v>3</v>
      </c>
    </row>
    <row r="927" spans="1:8" x14ac:dyDescent="0.2">
      <c r="C927" s="14"/>
      <c r="D927" s="14" t="s">
        <v>3</v>
      </c>
      <c r="E927" s="19" t="s">
        <v>3</v>
      </c>
      <c r="F927" s="20"/>
      <c r="G927" s="20"/>
      <c r="H927" s="8" t="s">
        <v>3</v>
      </c>
    </row>
    <row r="928" spans="1:8" x14ac:dyDescent="0.2">
      <c r="D928" s="15">
        <v>721000</v>
      </c>
      <c r="E928" s="19" t="s">
        <v>730</v>
      </c>
      <c r="F928" s="20"/>
      <c r="G928" s="18">
        <v>721</v>
      </c>
      <c r="H928" s="7" t="s">
        <v>23</v>
      </c>
    </row>
    <row r="929" spans="1:8" x14ac:dyDescent="0.2">
      <c r="D929" s="15" t="s">
        <v>3</v>
      </c>
      <c r="E929" s="19" t="s">
        <v>3</v>
      </c>
      <c r="F929" s="20"/>
      <c r="G929" s="18"/>
      <c r="H929" s="8" t="s">
        <v>3</v>
      </c>
    </row>
    <row r="930" spans="1:8" x14ac:dyDescent="0.2">
      <c r="B930" s="14">
        <v>722</v>
      </c>
      <c r="C930" s="24" t="s">
        <v>731</v>
      </c>
      <c r="F930" s="20"/>
      <c r="G930" s="18"/>
      <c r="H930" s="8" t="s">
        <v>3</v>
      </c>
    </row>
    <row r="931" spans="1:8" x14ac:dyDescent="0.2">
      <c r="D931" s="15" t="s">
        <v>3</v>
      </c>
      <c r="E931" s="19" t="s">
        <v>3</v>
      </c>
      <c r="F931" s="20"/>
      <c r="G931" s="20"/>
      <c r="H931" s="8" t="s">
        <v>3</v>
      </c>
    </row>
    <row r="932" spans="1:8" x14ac:dyDescent="0.2">
      <c r="C932" s="14">
        <v>722</v>
      </c>
      <c r="D932" s="14" t="s">
        <v>731</v>
      </c>
      <c r="F932" s="20"/>
      <c r="G932" s="20"/>
      <c r="H932" s="8" t="s">
        <v>3</v>
      </c>
    </row>
    <row r="933" spans="1:8" x14ac:dyDescent="0.2">
      <c r="C933" s="14"/>
      <c r="D933" s="14" t="s">
        <v>3</v>
      </c>
      <c r="E933" s="19" t="s">
        <v>3</v>
      </c>
      <c r="F933" s="20"/>
      <c r="G933" s="20"/>
      <c r="H933" s="8" t="s">
        <v>3</v>
      </c>
    </row>
    <row r="934" spans="1:8" x14ac:dyDescent="0.2">
      <c r="D934" s="15">
        <v>722110</v>
      </c>
      <c r="E934" s="19" t="s">
        <v>732</v>
      </c>
      <c r="F934" s="20"/>
      <c r="G934" s="18">
        <v>722511</v>
      </c>
      <c r="H934" s="7" t="s">
        <v>23</v>
      </c>
    </row>
    <row r="935" spans="1:8" x14ac:dyDescent="0.2">
      <c r="D935" s="15">
        <v>722211</v>
      </c>
      <c r="E935" s="19" t="s">
        <v>733</v>
      </c>
      <c r="F935" s="20"/>
      <c r="G935" s="18">
        <v>722513</v>
      </c>
      <c r="H935" s="7" t="s">
        <v>23</v>
      </c>
    </row>
    <row r="936" spans="1:8" x14ac:dyDescent="0.2">
      <c r="D936" s="15" t="s">
        <v>734</v>
      </c>
      <c r="E936" s="19" t="s">
        <v>735</v>
      </c>
      <c r="F936" s="20"/>
      <c r="G936" s="18" t="s">
        <v>736</v>
      </c>
      <c r="H936" s="7" t="s">
        <v>23</v>
      </c>
    </row>
    <row r="937" spans="1:8" x14ac:dyDescent="0.2">
      <c r="D937" s="15" t="s">
        <v>3</v>
      </c>
      <c r="E937" s="19" t="s">
        <v>3</v>
      </c>
      <c r="F937" s="20"/>
      <c r="G937" s="18"/>
      <c r="H937" s="8" t="s">
        <v>3</v>
      </c>
    </row>
    <row r="938" spans="1:8" x14ac:dyDescent="0.2">
      <c r="A938" s="14">
        <v>81</v>
      </c>
      <c r="B938" s="14" t="s">
        <v>737</v>
      </c>
      <c r="D938" s="22"/>
      <c r="E938" s="24"/>
      <c r="F938" s="20"/>
      <c r="G938" s="18"/>
      <c r="H938" s="8" t="s">
        <v>3</v>
      </c>
    </row>
    <row r="939" spans="1:8" x14ac:dyDescent="0.2">
      <c r="A939" s="14"/>
      <c r="B939" s="24"/>
      <c r="D939" s="22" t="s">
        <v>3</v>
      </c>
      <c r="E939" s="24" t="s">
        <v>3</v>
      </c>
      <c r="F939" s="20"/>
      <c r="G939" s="18"/>
      <c r="H939" s="8" t="s">
        <v>3</v>
      </c>
    </row>
    <row r="940" spans="1:8" x14ac:dyDescent="0.2">
      <c r="A940" s="14"/>
      <c r="B940" s="14">
        <v>81</v>
      </c>
      <c r="C940" s="24" t="s">
        <v>738</v>
      </c>
      <c r="D940" s="22"/>
      <c r="E940" s="24"/>
      <c r="F940" s="20"/>
      <c r="G940" s="18"/>
      <c r="H940" s="8" t="s">
        <v>3</v>
      </c>
    </row>
    <row r="941" spans="1:8" x14ac:dyDescent="0.2">
      <c r="A941" s="14"/>
      <c r="B941" s="24"/>
      <c r="D941" s="22" t="s">
        <v>3</v>
      </c>
      <c r="E941" s="24" t="s">
        <v>3</v>
      </c>
      <c r="F941" s="20"/>
      <c r="G941" s="18"/>
      <c r="H941" s="8" t="s">
        <v>3</v>
      </c>
    </row>
    <row r="942" spans="1:8" x14ac:dyDescent="0.2">
      <c r="C942" s="14">
        <v>811</v>
      </c>
      <c r="D942" s="14" t="s">
        <v>739</v>
      </c>
      <c r="F942" s="20"/>
      <c r="G942" s="18"/>
      <c r="H942" s="8" t="s">
        <v>3</v>
      </c>
    </row>
    <row r="943" spans="1:8" x14ac:dyDescent="0.2">
      <c r="C943" s="14"/>
      <c r="D943" s="14" t="s">
        <v>3</v>
      </c>
      <c r="E943" s="19" t="s">
        <v>3</v>
      </c>
      <c r="F943" s="20"/>
      <c r="G943" s="18"/>
      <c r="H943" s="8" t="s">
        <v>3</v>
      </c>
    </row>
    <row r="944" spans="1:8" x14ac:dyDescent="0.2">
      <c r="C944" s="14"/>
      <c r="D944" s="15">
        <v>811100</v>
      </c>
      <c r="E944" s="19" t="s">
        <v>740</v>
      </c>
      <c r="F944" s="20"/>
      <c r="G944" s="20">
        <v>8111</v>
      </c>
      <c r="H944" s="7" t="s">
        <v>21</v>
      </c>
    </row>
    <row r="945" spans="3:8" x14ac:dyDescent="0.2">
      <c r="D945" s="15">
        <v>811200</v>
      </c>
      <c r="E945" s="19" t="s">
        <v>741</v>
      </c>
      <c r="F945" s="20"/>
      <c r="G945" s="18">
        <v>8112</v>
      </c>
      <c r="H945" s="7" t="s">
        <v>33</v>
      </c>
    </row>
    <row r="946" spans="3:8" x14ac:dyDescent="0.2">
      <c r="D946" s="15">
        <v>811300</v>
      </c>
      <c r="E946" s="19" t="s">
        <v>742</v>
      </c>
      <c r="F946" s="20"/>
      <c r="G946" s="18">
        <v>8113</v>
      </c>
      <c r="H946" s="7" t="s">
        <v>19</v>
      </c>
    </row>
    <row r="947" spans="3:8" x14ac:dyDescent="0.2">
      <c r="D947" s="15">
        <v>811400</v>
      </c>
      <c r="E947" s="19" t="s">
        <v>743</v>
      </c>
      <c r="F947" s="20"/>
      <c r="G947" s="18">
        <v>8114</v>
      </c>
      <c r="H947" s="7" t="s">
        <v>33</v>
      </c>
    </row>
    <row r="948" spans="3:8" x14ac:dyDescent="0.2">
      <c r="D948" s="15" t="s">
        <v>3</v>
      </c>
      <c r="E948" s="19" t="s">
        <v>3</v>
      </c>
      <c r="F948" s="20"/>
      <c r="G948" s="18"/>
      <c r="H948" s="8" t="s">
        <v>3</v>
      </c>
    </row>
    <row r="949" spans="3:8" x14ac:dyDescent="0.2">
      <c r="C949" s="14">
        <v>812</v>
      </c>
      <c r="D949" s="14" t="s">
        <v>744</v>
      </c>
      <c r="F949" s="20"/>
      <c r="G949" s="18"/>
      <c r="H949" s="8" t="s">
        <v>3</v>
      </c>
    </row>
    <row r="950" spans="3:8" x14ac:dyDescent="0.2">
      <c r="C950" s="14"/>
      <c r="D950" s="14" t="s">
        <v>3</v>
      </c>
      <c r="E950" s="19" t="s">
        <v>3</v>
      </c>
      <c r="F950" s="20"/>
      <c r="G950" s="18"/>
      <c r="H950" s="8" t="s">
        <v>3</v>
      </c>
    </row>
    <row r="951" spans="3:8" x14ac:dyDescent="0.2">
      <c r="D951" s="15">
        <v>812100</v>
      </c>
      <c r="E951" s="19" t="s">
        <v>745</v>
      </c>
      <c r="F951" s="20"/>
      <c r="G951" s="18">
        <v>8121</v>
      </c>
      <c r="H951" s="7" t="s">
        <v>33</v>
      </c>
    </row>
    <row r="952" spans="3:8" x14ac:dyDescent="0.2">
      <c r="D952" s="15">
        <v>812200</v>
      </c>
      <c r="E952" s="19" t="s">
        <v>746</v>
      </c>
      <c r="F952" s="20"/>
      <c r="G952" s="18">
        <v>8122</v>
      </c>
      <c r="H952" s="7" t="s">
        <v>33</v>
      </c>
    </row>
    <row r="953" spans="3:8" x14ac:dyDescent="0.2">
      <c r="D953" s="15">
        <v>812300</v>
      </c>
      <c r="E953" s="19" t="s">
        <v>747</v>
      </c>
      <c r="F953" s="20"/>
      <c r="G953" s="18">
        <v>8123</v>
      </c>
      <c r="H953" s="7" t="s">
        <v>33</v>
      </c>
    </row>
    <row r="954" spans="3:8" x14ac:dyDescent="0.2">
      <c r="D954" s="15">
        <v>812900</v>
      </c>
      <c r="E954" s="19" t="s">
        <v>748</v>
      </c>
      <c r="F954" s="20"/>
      <c r="G954" s="18">
        <v>8129</v>
      </c>
      <c r="H954" s="7" t="s">
        <v>33</v>
      </c>
    </row>
    <row r="955" spans="3:8" x14ac:dyDescent="0.2">
      <c r="D955" s="15" t="s">
        <v>3</v>
      </c>
      <c r="E955" s="19" t="s">
        <v>3</v>
      </c>
      <c r="F955" s="20"/>
      <c r="G955" s="18"/>
      <c r="H955" s="8" t="s">
        <v>3</v>
      </c>
    </row>
    <row r="956" spans="3:8" x14ac:dyDescent="0.2">
      <c r="C956" s="14">
        <v>813</v>
      </c>
      <c r="D956" s="14" t="s">
        <v>749</v>
      </c>
      <c r="F956" s="20"/>
      <c r="G956" s="18"/>
      <c r="H956" s="8" t="s">
        <v>3</v>
      </c>
    </row>
    <row r="957" spans="3:8" x14ac:dyDescent="0.2">
      <c r="C957" s="14"/>
      <c r="D957" s="14" t="s">
        <v>3</v>
      </c>
      <c r="E957" s="19" t="s">
        <v>3</v>
      </c>
      <c r="F957" s="20"/>
      <c r="G957" s="18"/>
      <c r="H957" s="8" t="s">
        <v>3</v>
      </c>
    </row>
    <row r="958" spans="3:8" x14ac:dyDescent="0.2">
      <c r="D958" s="15">
        <v>813100</v>
      </c>
      <c r="E958" s="19" t="s">
        <v>750</v>
      </c>
      <c r="F958" s="20"/>
      <c r="G958" s="18">
        <v>8131</v>
      </c>
      <c r="H958" s="7" t="s">
        <v>33</v>
      </c>
    </row>
    <row r="959" spans="3:8" x14ac:dyDescent="0.2">
      <c r="D959" s="15" t="s">
        <v>751</v>
      </c>
      <c r="E959" s="19" t="s">
        <v>752</v>
      </c>
      <c r="F959" s="20"/>
      <c r="G959" s="18" t="s">
        <v>753</v>
      </c>
      <c r="H959" s="7" t="s">
        <v>33</v>
      </c>
    </row>
    <row r="960" spans="3:8" x14ac:dyDescent="0.2">
      <c r="D960" s="15" t="s">
        <v>754</v>
      </c>
      <c r="E960" s="19" t="s">
        <v>755</v>
      </c>
      <c r="F960" s="20"/>
      <c r="G960" s="18" t="s">
        <v>756</v>
      </c>
      <c r="H960" s="7" t="s">
        <v>33</v>
      </c>
    </row>
    <row r="961" spans="1:8" x14ac:dyDescent="0.2">
      <c r="D961" s="15" t="s">
        <v>3</v>
      </c>
      <c r="E961" s="19" t="s">
        <v>3</v>
      </c>
      <c r="F961" s="20"/>
      <c r="G961" s="18"/>
      <c r="H961" s="8" t="s">
        <v>3</v>
      </c>
    </row>
    <row r="962" spans="1:8" x14ac:dyDescent="0.2">
      <c r="C962" s="14">
        <v>814</v>
      </c>
      <c r="D962" s="14" t="s">
        <v>757</v>
      </c>
      <c r="F962" s="20"/>
      <c r="G962" s="18"/>
      <c r="H962" s="8" t="s">
        <v>3</v>
      </c>
    </row>
    <row r="963" spans="1:8" x14ac:dyDescent="0.2">
      <c r="C963" s="14"/>
      <c r="D963" s="14" t="s">
        <v>3</v>
      </c>
      <c r="E963" s="19" t="s">
        <v>3</v>
      </c>
      <c r="F963" s="20"/>
      <c r="G963" s="18"/>
      <c r="H963" s="8" t="s">
        <v>3</v>
      </c>
    </row>
    <row r="964" spans="1:8" x14ac:dyDescent="0.2">
      <c r="C964" s="14"/>
      <c r="D964" s="15">
        <v>814000</v>
      </c>
      <c r="E964" s="19" t="s">
        <v>757</v>
      </c>
      <c r="F964" s="20"/>
      <c r="G964" s="18">
        <v>814</v>
      </c>
      <c r="H964" s="7" t="s">
        <v>34</v>
      </c>
    </row>
    <row r="965" spans="1:8" x14ac:dyDescent="0.2">
      <c r="C965" s="14"/>
      <c r="D965" s="15" t="s">
        <v>3</v>
      </c>
      <c r="E965" s="19" t="s">
        <v>3</v>
      </c>
      <c r="F965" s="20"/>
      <c r="G965" s="18"/>
      <c r="H965" s="8" t="s">
        <v>3</v>
      </c>
    </row>
    <row r="966" spans="1:8" x14ac:dyDescent="0.2">
      <c r="A966" s="14" t="s">
        <v>758</v>
      </c>
      <c r="B966" s="24" t="s">
        <v>759</v>
      </c>
      <c r="C966" s="24"/>
      <c r="D966" s="22" t="s">
        <v>3</v>
      </c>
      <c r="E966" s="22" t="s">
        <v>3</v>
      </c>
      <c r="F966" s="20"/>
      <c r="G966" s="18"/>
      <c r="H966" s="8" t="s">
        <v>3</v>
      </c>
    </row>
    <row r="967" spans="1:8" x14ac:dyDescent="0.2">
      <c r="A967" s="14"/>
      <c r="B967" s="14"/>
      <c r="C967" s="14"/>
      <c r="D967" s="22"/>
      <c r="E967" s="22"/>
      <c r="F967" s="20"/>
      <c r="G967" s="18"/>
      <c r="H967" s="8" t="s">
        <v>3</v>
      </c>
    </row>
    <row r="968" spans="1:8" x14ac:dyDescent="0.2">
      <c r="A968" s="14"/>
      <c r="B968" s="14" t="s">
        <v>760</v>
      </c>
      <c r="C968" s="24" t="s">
        <v>761</v>
      </c>
      <c r="D968" s="22"/>
      <c r="E968" s="22"/>
      <c r="F968" s="20"/>
      <c r="G968" s="18"/>
      <c r="H968" s="8" t="s">
        <v>3</v>
      </c>
    </row>
    <row r="969" spans="1:8" x14ac:dyDescent="0.2">
      <c r="A969" s="14"/>
      <c r="B969" s="14"/>
      <c r="C969" s="14"/>
      <c r="D969" s="22"/>
      <c r="E969" s="22"/>
      <c r="F969" s="20"/>
      <c r="G969" s="18"/>
      <c r="H969" s="8" t="s">
        <v>3</v>
      </c>
    </row>
    <row r="970" spans="1:8" x14ac:dyDescent="0.2">
      <c r="A970" s="14"/>
      <c r="B970" s="14"/>
      <c r="C970" s="14" t="s">
        <v>760</v>
      </c>
      <c r="D970" s="14" t="s">
        <v>761</v>
      </c>
      <c r="E970" s="22"/>
      <c r="F970" s="20"/>
      <c r="G970" s="18"/>
      <c r="H970" s="8" t="s">
        <v>3</v>
      </c>
    </row>
    <row r="971" spans="1:8" x14ac:dyDescent="0.2">
      <c r="A971" s="14"/>
      <c r="B971" s="14"/>
      <c r="C971" s="14"/>
      <c r="D971" s="14" t="s">
        <v>3</v>
      </c>
      <c r="E971" s="22" t="s">
        <v>3</v>
      </c>
      <c r="F971" s="20"/>
      <c r="G971" s="18"/>
      <c r="H971" s="8" t="s">
        <v>3</v>
      </c>
    </row>
    <row r="972" spans="1:8" x14ac:dyDescent="0.2">
      <c r="C972" s="14"/>
      <c r="D972" s="15" t="s">
        <v>762</v>
      </c>
      <c r="E972" s="19" t="s">
        <v>761</v>
      </c>
      <c r="F972" s="20"/>
      <c r="G972" s="18" t="s">
        <v>530</v>
      </c>
      <c r="H972" s="7" t="s">
        <v>30</v>
      </c>
    </row>
    <row r="973" spans="1:8" x14ac:dyDescent="0.2">
      <c r="C973" s="14"/>
      <c r="D973" s="15" t="s">
        <v>3</v>
      </c>
      <c r="E973" s="19" t="s">
        <v>3</v>
      </c>
      <c r="F973" s="20"/>
      <c r="G973" s="18"/>
      <c r="H973" s="8" t="s">
        <v>3</v>
      </c>
    </row>
    <row r="974" spans="1:8" x14ac:dyDescent="0.2">
      <c r="B974" s="14" t="s">
        <v>763</v>
      </c>
      <c r="C974" s="24" t="s">
        <v>764</v>
      </c>
      <c r="F974" s="20"/>
      <c r="G974" s="18"/>
      <c r="H974" s="8" t="s">
        <v>3</v>
      </c>
    </row>
    <row r="975" spans="1:8" x14ac:dyDescent="0.2">
      <c r="C975" s="14"/>
      <c r="D975" s="15" t="s">
        <v>3</v>
      </c>
      <c r="E975" s="19" t="s">
        <v>3</v>
      </c>
      <c r="F975" s="20"/>
      <c r="G975" s="18"/>
      <c r="H975" s="8" t="s">
        <v>3</v>
      </c>
    </row>
    <row r="976" spans="1:8" x14ac:dyDescent="0.2">
      <c r="C976" s="14"/>
      <c r="D976" s="15" t="s">
        <v>3</v>
      </c>
      <c r="E976" s="19" t="s">
        <v>3</v>
      </c>
      <c r="F976" s="20"/>
      <c r="G976" s="18"/>
      <c r="H976" s="8" t="s">
        <v>3</v>
      </c>
    </row>
    <row r="977" spans="2:8" x14ac:dyDescent="0.2">
      <c r="C977" s="14" t="s">
        <v>763</v>
      </c>
      <c r="D977" s="14" t="s">
        <v>764</v>
      </c>
      <c r="F977" s="20"/>
      <c r="G977" s="18"/>
      <c r="H977" s="8" t="s">
        <v>3</v>
      </c>
    </row>
    <row r="978" spans="2:8" x14ac:dyDescent="0.2">
      <c r="C978" s="14"/>
      <c r="D978" s="15" t="s">
        <v>3</v>
      </c>
      <c r="E978" s="19" t="s">
        <v>3</v>
      </c>
      <c r="F978" s="20"/>
      <c r="G978" s="18"/>
      <c r="H978" s="8" t="s">
        <v>3</v>
      </c>
    </row>
    <row r="979" spans="2:8" x14ac:dyDescent="0.2">
      <c r="C979" s="14"/>
      <c r="D979" s="15" t="s">
        <v>765</v>
      </c>
      <c r="E979" s="19" t="s">
        <v>764</v>
      </c>
      <c r="F979" s="20"/>
      <c r="G979" s="18" t="s">
        <v>530</v>
      </c>
      <c r="H979" s="7" t="s">
        <v>30</v>
      </c>
    </row>
    <row r="980" spans="2:8" x14ac:dyDescent="0.2">
      <c r="C980" s="14"/>
      <c r="D980" s="15" t="s">
        <v>3</v>
      </c>
      <c r="E980" s="19" t="s">
        <v>3</v>
      </c>
      <c r="F980" s="20"/>
      <c r="G980" s="18"/>
      <c r="H980" s="8" t="s">
        <v>3</v>
      </c>
    </row>
    <row r="981" spans="2:8" x14ac:dyDescent="0.2">
      <c r="B981" s="14" t="s">
        <v>766</v>
      </c>
      <c r="C981" s="24" t="s">
        <v>767</v>
      </c>
      <c r="F981" s="20"/>
      <c r="G981" s="18"/>
      <c r="H981" s="8" t="s">
        <v>3</v>
      </c>
    </row>
    <row r="982" spans="2:8" x14ac:dyDescent="0.2">
      <c r="C982" s="14"/>
      <c r="D982" s="15" t="s">
        <v>3</v>
      </c>
      <c r="E982" s="19" t="s">
        <v>3</v>
      </c>
      <c r="F982" s="20"/>
      <c r="G982" s="18"/>
      <c r="H982" s="8" t="s">
        <v>3</v>
      </c>
    </row>
    <row r="983" spans="2:8" x14ac:dyDescent="0.2">
      <c r="C983" s="14" t="s">
        <v>766</v>
      </c>
      <c r="D983" s="24" t="s">
        <v>767</v>
      </c>
      <c r="F983" s="20"/>
      <c r="G983" s="18"/>
      <c r="H983" s="8" t="s">
        <v>3</v>
      </c>
    </row>
    <row r="984" spans="2:8" x14ac:dyDescent="0.2">
      <c r="C984" s="14"/>
      <c r="D984" s="24" t="s">
        <v>3</v>
      </c>
      <c r="E984" s="19" t="s">
        <v>3</v>
      </c>
      <c r="F984" s="20"/>
      <c r="G984" s="18"/>
      <c r="H984" s="8" t="s">
        <v>3</v>
      </c>
    </row>
    <row r="985" spans="2:8" x14ac:dyDescent="0.2">
      <c r="C985" s="14"/>
      <c r="D985" s="15">
        <v>491000</v>
      </c>
      <c r="E985" s="19" t="s">
        <v>768</v>
      </c>
      <c r="F985" s="20"/>
      <c r="G985" s="18">
        <v>491</v>
      </c>
      <c r="H985" s="7" t="s">
        <v>30</v>
      </c>
    </row>
    <row r="986" spans="2:8" x14ac:dyDescent="0.2">
      <c r="C986" s="14"/>
      <c r="D986" s="15" t="s">
        <v>769</v>
      </c>
      <c r="E986" s="19" t="s">
        <v>770</v>
      </c>
      <c r="F986" s="20" t="s">
        <v>771</v>
      </c>
      <c r="G986" s="18" t="s">
        <v>530</v>
      </c>
      <c r="H986" s="7" t="s">
        <v>30</v>
      </c>
    </row>
    <row r="987" spans="2:8" x14ac:dyDescent="0.2">
      <c r="C987" s="14"/>
      <c r="D987" s="15" t="s">
        <v>772</v>
      </c>
      <c r="E987" s="19" t="s">
        <v>773</v>
      </c>
      <c r="F987" s="20"/>
      <c r="G987" s="18" t="s">
        <v>530</v>
      </c>
      <c r="H987" s="7" t="s">
        <v>30</v>
      </c>
    </row>
    <row r="988" spans="2:8" x14ac:dyDescent="0.2">
      <c r="C988" s="14"/>
      <c r="D988" s="15" t="s">
        <v>3</v>
      </c>
      <c r="E988" s="19" t="s">
        <v>3</v>
      </c>
      <c r="F988" s="20"/>
      <c r="G988" s="18"/>
      <c r="H988" s="8" t="s">
        <v>3</v>
      </c>
    </row>
    <row r="989" spans="2:8" x14ac:dyDescent="0.2">
      <c r="B989" s="24" t="s">
        <v>774</v>
      </c>
      <c r="C989" s="24" t="s">
        <v>775</v>
      </c>
      <c r="F989" s="20"/>
      <c r="G989" s="18"/>
      <c r="H989" s="8" t="s">
        <v>3</v>
      </c>
    </row>
    <row r="990" spans="2:8" x14ac:dyDescent="0.2">
      <c r="C990" s="14"/>
      <c r="D990" s="15" t="s">
        <v>3</v>
      </c>
      <c r="E990" s="19" t="s">
        <v>3</v>
      </c>
      <c r="F990" s="20"/>
      <c r="G990" s="18"/>
      <c r="H990" s="8" t="s">
        <v>3</v>
      </c>
    </row>
    <row r="991" spans="2:8" x14ac:dyDescent="0.2">
      <c r="C991" s="14" t="s">
        <v>776</v>
      </c>
      <c r="D991" s="14" t="s">
        <v>777</v>
      </c>
      <c r="F991" s="20"/>
      <c r="G991" s="18"/>
      <c r="H991" s="8" t="s">
        <v>3</v>
      </c>
    </row>
    <row r="992" spans="2:8" x14ac:dyDescent="0.2">
      <c r="C992" s="14"/>
      <c r="D992" s="14" t="s">
        <v>3</v>
      </c>
      <c r="E992" s="19" t="s">
        <v>3</v>
      </c>
      <c r="F992" s="20"/>
      <c r="G992" s="18"/>
      <c r="H992" s="8" t="s">
        <v>3</v>
      </c>
    </row>
    <row r="993" spans="2:8" x14ac:dyDescent="0.2">
      <c r="D993" s="23" t="s">
        <v>776</v>
      </c>
      <c r="E993" s="23" t="s">
        <v>777</v>
      </c>
      <c r="F993" s="20"/>
      <c r="G993" s="28" t="s">
        <v>530</v>
      </c>
      <c r="H993" s="7" t="s">
        <v>30</v>
      </c>
    </row>
    <row r="994" spans="2:8" x14ac:dyDescent="0.2">
      <c r="D994" s="23" t="s">
        <v>3</v>
      </c>
      <c r="E994" s="23" t="s">
        <v>3</v>
      </c>
      <c r="F994" s="20"/>
      <c r="G994" s="28"/>
      <c r="H994" s="8" t="s">
        <v>3</v>
      </c>
    </row>
    <row r="995" spans="2:8" x14ac:dyDescent="0.2">
      <c r="C995" s="14" t="s">
        <v>778</v>
      </c>
      <c r="D995" s="14" t="s">
        <v>779</v>
      </c>
      <c r="E995" s="23"/>
      <c r="F995" s="20"/>
      <c r="G995" s="28"/>
      <c r="H995" s="8" t="s">
        <v>3</v>
      </c>
    </row>
    <row r="996" spans="2:8" x14ac:dyDescent="0.2">
      <c r="D996" s="23" t="s">
        <v>3</v>
      </c>
      <c r="E996" s="23" t="s">
        <v>3</v>
      </c>
      <c r="F996" s="20"/>
      <c r="G996" s="28"/>
      <c r="H996" s="8" t="s">
        <v>3</v>
      </c>
    </row>
    <row r="997" spans="2:8" x14ac:dyDescent="0.2">
      <c r="D997" s="23" t="s">
        <v>778</v>
      </c>
      <c r="E997" s="23" t="s">
        <v>779</v>
      </c>
      <c r="F997" s="20"/>
      <c r="G997" s="28" t="s">
        <v>530</v>
      </c>
      <c r="H997" s="7" t="s">
        <v>30</v>
      </c>
    </row>
    <row r="998" spans="2:8" x14ac:dyDescent="0.2">
      <c r="D998" s="23" t="s">
        <v>3</v>
      </c>
      <c r="E998" s="23" t="s">
        <v>3</v>
      </c>
      <c r="F998" s="20"/>
      <c r="G998" s="28"/>
      <c r="H998" s="8" t="s">
        <v>3</v>
      </c>
    </row>
    <row r="999" spans="2:8" x14ac:dyDescent="0.2">
      <c r="C999" s="14" t="s">
        <v>780</v>
      </c>
      <c r="D999" s="14" t="s">
        <v>781</v>
      </c>
      <c r="E999" s="23"/>
      <c r="F999" s="20"/>
      <c r="G999" s="28"/>
      <c r="H999" s="8" t="s">
        <v>3</v>
      </c>
    </row>
    <row r="1000" spans="2:8" x14ac:dyDescent="0.2">
      <c r="D1000" s="23" t="s">
        <v>3</v>
      </c>
      <c r="E1000" s="23" t="s">
        <v>3</v>
      </c>
      <c r="F1000" s="20"/>
      <c r="G1000" s="28"/>
      <c r="H1000" s="8" t="s">
        <v>3</v>
      </c>
    </row>
    <row r="1001" spans="2:8" x14ac:dyDescent="0.2">
      <c r="D1001" s="23" t="s">
        <v>780</v>
      </c>
      <c r="E1001" s="23" t="s">
        <v>781</v>
      </c>
      <c r="F1001" s="20"/>
      <c r="G1001" s="28" t="s">
        <v>530</v>
      </c>
      <c r="H1001" s="7" t="s">
        <v>30</v>
      </c>
    </row>
    <row r="1002" spans="2:8" x14ac:dyDescent="0.2">
      <c r="D1002" s="23" t="s">
        <v>3</v>
      </c>
      <c r="E1002" s="23" t="s">
        <v>3</v>
      </c>
      <c r="F1002" s="20"/>
      <c r="G1002" s="28"/>
      <c r="H1002" s="8" t="s">
        <v>3</v>
      </c>
    </row>
    <row r="1003" spans="2:8" x14ac:dyDescent="0.2">
      <c r="B1003" s="14" t="s">
        <v>782</v>
      </c>
      <c r="C1003" s="24" t="s">
        <v>783</v>
      </c>
      <c r="D1003" s="23"/>
      <c r="E1003" s="23"/>
      <c r="F1003" s="20"/>
      <c r="G1003" s="28"/>
      <c r="H1003" s="8" t="s">
        <v>3</v>
      </c>
    </row>
    <row r="1004" spans="2:8" x14ac:dyDescent="0.2">
      <c r="C1004" s="14"/>
      <c r="D1004" s="15" t="s">
        <v>3</v>
      </c>
      <c r="E1004" s="19" t="s">
        <v>3</v>
      </c>
      <c r="F1004" s="20"/>
      <c r="G1004" s="18"/>
      <c r="H1004" s="8" t="s">
        <v>3</v>
      </c>
    </row>
    <row r="1005" spans="2:8" x14ac:dyDescent="0.2">
      <c r="C1005" s="14" t="s">
        <v>782</v>
      </c>
      <c r="D1005" s="14" t="s">
        <v>783</v>
      </c>
      <c r="F1005" s="20"/>
      <c r="G1005" s="18"/>
      <c r="H1005" s="8" t="s">
        <v>3</v>
      </c>
    </row>
    <row r="1006" spans="2:8" x14ac:dyDescent="0.2">
      <c r="C1006" s="14"/>
      <c r="D1006" s="14" t="s">
        <v>3</v>
      </c>
      <c r="E1006" s="19" t="s">
        <v>3</v>
      </c>
      <c r="F1006" s="20"/>
      <c r="G1006" s="18"/>
      <c r="H1006" s="8" t="s">
        <v>3</v>
      </c>
    </row>
    <row r="1007" spans="2:8" x14ac:dyDescent="0.2">
      <c r="C1007" s="14"/>
      <c r="D1007" s="15" t="s">
        <v>784</v>
      </c>
      <c r="E1007" s="19" t="s">
        <v>785</v>
      </c>
      <c r="F1007" s="20" t="s">
        <v>771</v>
      </c>
      <c r="G1007" s="18" t="s">
        <v>530</v>
      </c>
      <c r="H1007" s="7" t="s">
        <v>30</v>
      </c>
    </row>
    <row r="1008" spans="2:8" x14ac:dyDescent="0.2">
      <c r="C1008" s="14"/>
      <c r="D1008" s="15" t="s">
        <v>786</v>
      </c>
      <c r="E1008" s="19" t="s">
        <v>787</v>
      </c>
      <c r="F1008" s="20" t="s">
        <v>771</v>
      </c>
      <c r="G1008" s="18" t="s">
        <v>530</v>
      </c>
      <c r="H1008" s="7" t="s">
        <v>30</v>
      </c>
    </row>
    <row r="1009" spans="1:8" x14ac:dyDescent="0.2">
      <c r="C1009" s="14"/>
      <c r="D1009" s="15" t="s">
        <v>788</v>
      </c>
      <c r="E1009" s="19" t="s">
        <v>789</v>
      </c>
      <c r="F1009" s="20"/>
      <c r="G1009" s="18" t="s">
        <v>530</v>
      </c>
      <c r="H1009" s="7" t="s">
        <v>30</v>
      </c>
    </row>
    <row r="1010" spans="1:8" x14ac:dyDescent="0.2">
      <c r="C1010" s="14"/>
      <c r="D1010" s="15" t="s">
        <v>3</v>
      </c>
      <c r="E1010" s="19" t="s">
        <v>3</v>
      </c>
      <c r="F1010" s="20"/>
      <c r="G1010" s="18"/>
      <c r="H1010" s="8" t="s">
        <v>3</v>
      </c>
    </row>
    <row r="1011" spans="1:8" x14ac:dyDescent="0.2">
      <c r="A1011" s="14" t="s">
        <v>790</v>
      </c>
      <c r="B1011" s="24" t="s">
        <v>791</v>
      </c>
      <c r="C1011" s="24"/>
      <c r="D1011" s="24"/>
      <c r="E1011" s="24"/>
      <c r="F1011" s="20"/>
      <c r="G1011" s="28"/>
      <c r="H1011" s="8" t="s">
        <v>3</v>
      </c>
    </row>
    <row r="1012" spans="1:8" x14ac:dyDescent="0.2">
      <c r="A1012" s="14"/>
      <c r="B1012" s="14" t="s">
        <v>790</v>
      </c>
      <c r="C1012" s="14" t="s">
        <v>792</v>
      </c>
      <c r="D1012" s="14"/>
      <c r="E1012" s="14"/>
      <c r="F1012" s="20"/>
      <c r="G1012" s="28"/>
      <c r="H1012" s="8" t="s">
        <v>3</v>
      </c>
    </row>
    <row r="1013" spans="1:8" x14ac:dyDescent="0.2">
      <c r="A1013" s="14"/>
      <c r="C1013" s="14"/>
      <c r="D1013" s="14"/>
      <c r="E1013" s="14"/>
      <c r="F1013" s="20"/>
      <c r="G1013" s="28"/>
      <c r="H1013" s="8" t="s">
        <v>3</v>
      </c>
    </row>
    <row r="1014" spans="1:8" x14ac:dyDescent="0.2">
      <c r="A1014" s="14"/>
      <c r="C1014" s="14" t="s">
        <v>793</v>
      </c>
      <c r="D1014" s="14" t="s">
        <v>792</v>
      </c>
      <c r="F1014" s="20"/>
      <c r="G1014" s="28"/>
      <c r="H1014" s="8" t="s">
        <v>3</v>
      </c>
    </row>
    <row r="1015" spans="1:8" x14ac:dyDescent="0.2">
      <c r="A1015" s="14"/>
      <c r="D1015" s="15" t="s">
        <v>794</v>
      </c>
      <c r="E1015" s="19" t="s">
        <v>795</v>
      </c>
      <c r="F1015" s="20" t="s">
        <v>796</v>
      </c>
      <c r="G1015" s="28" t="s">
        <v>530</v>
      </c>
      <c r="H1015" s="7" t="s">
        <v>21</v>
      </c>
    </row>
    <row r="1016" spans="1:8" x14ac:dyDescent="0.2">
      <c r="A1016" s="14"/>
      <c r="D1016" s="15" t="s">
        <v>797</v>
      </c>
      <c r="E1016" s="19" t="s">
        <v>798</v>
      </c>
      <c r="F1016" s="20" t="s">
        <v>796</v>
      </c>
      <c r="G1016" s="28" t="s">
        <v>530</v>
      </c>
      <c r="H1016" s="7" t="s">
        <v>21</v>
      </c>
    </row>
    <row r="1017" spans="1:8" x14ac:dyDescent="0.2">
      <c r="A1017" s="14"/>
      <c r="C1017" s="14"/>
      <c r="D1017" s="14" t="s">
        <v>3</v>
      </c>
      <c r="E1017" s="14" t="s">
        <v>3</v>
      </c>
      <c r="F1017" s="20"/>
      <c r="G1017" s="28"/>
    </row>
    <row r="1018" spans="1:8" x14ac:dyDescent="0.2">
      <c r="A1018" s="14" t="s">
        <v>799</v>
      </c>
      <c r="B1018" s="24" t="s">
        <v>800</v>
      </c>
      <c r="C1018" s="24"/>
      <c r="D1018" s="24"/>
      <c r="E1018" s="25"/>
      <c r="F1018" s="20"/>
      <c r="G1018" s="28"/>
    </row>
    <row r="1019" spans="1:8" x14ac:dyDescent="0.2">
      <c r="A1019" s="14"/>
      <c r="B1019" s="14" t="s">
        <v>799</v>
      </c>
      <c r="C1019" s="24" t="s">
        <v>801</v>
      </c>
      <c r="D1019" s="24"/>
      <c r="E1019" s="25"/>
      <c r="F1019" s="20"/>
      <c r="G1019" s="28"/>
    </row>
    <row r="1020" spans="1:8" x14ac:dyDescent="0.2">
      <c r="A1020" s="14"/>
      <c r="C1020" s="14"/>
      <c r="D1020" s="14" t="s">
        <v>3</v>
      </c>
      <c r="E1020" s="14" t="s">
        <v>3</v>
      </c>
      <c r="F1020" s="20"/>
      <c r="G1020" s="28"/>
    </row>
    <row r="1021" spans="1:8" x14ac:dyDescent="0.2">
      <c r="C1021" s="14" t="s">
        <v>802</v>
      </c>
      <c r="D1021" s="14" t="s">
        <v>803</v>
      </c>
      <c r="F1021" s="20"/>
      <c r="G1021" s="28"/>
    </row>
    <row r="1022" spans="1:8" x14ac:dyDescent="0.2">
      <c r="D1022" s="15" t="s">
        <v>804</v>
      </c>
      <c r="E1022" s="19" t="s">
        <v>803</v>
      </c>
      <c r="F1022" s="20" t="s">
        <v>796</v>
      </c>
      <c r="G1022" s="28" t="s">
        <v>530</v>
      </c>
    </row>
    <row r="1023" spans="1:8" x14ac:dyDescent="0.2">
      <c r="D1023" s="15" t="s">
        <v>3</v>
      </c>
      <c r="E1023" s="19" t="s">
        <v>3</v>
      </c>
      <c r="F1023" s="20"/>
      <c r="G1023" s="28"/>
    </row>
    <row r="1024" spans="1:8" x14ac:dyDescent="0.2">
      <c r="C1024" s="14" t="s">
        <v>805</v>
      </c>
      <c r="D1024" s="14" t="s">
        <v>806</v>
      </c>
      <c r="F1024" s="20"/>
      <c r="G1024" s="28"/>
    </row>
    <row r="1025" spans="1:7" x14ac:dyDescent="0.2">
      <c r="A1025" s="31"/>
      <c r="B1025" s="31"/>
      <c r="C1025" s="31"/>
      <c r="D1025" s="31" t="s">
        <v>807</v>
      </c>
      <c r="E1025" s="32" t="s">
        <v>806</v>
      </c>
      <c r="F1025" s="33" t="s">
        <v>796</v>
      </c>
      <c r="G1025" s="34" t="s">
        <v>530</v>
      </c>
    </row>
    <row r="1026" spans="1:7" x14ac:dyDescent="0.2">
      <c r="A1026" s="15" t="s">
        <v>808</v>
      </c>
      <c r="C1026" s="22"/>
    </row>
    <row r="1027" spans="1:7" x14ac:dyDescent="0.2">
      <c r="A1027" s="15" t="s">
        <v>809</v>
      </c>
      <c r="C1027" s="22"/>
    </row>
    <row r="1028" spans="1:7" ht="24" customHeight="1" x14ac:dyDescent="0.2">
      <c r="A1028" s="47" t="s">
        <v>810</v>
      </c>
      <c r="B1028" s="47"/>
      <c r="C1028" s="47"/>
      <c r="D1028" s="47"/>
      <c r="E1028" s="47"/>
      <c r="F1028" s="47"/>
      <c r="G1028" s="47"/>
    </row>
    <row r="1029" spans="1:7" ht="24" customHeight="1" x14ac:dyDescent="0.2">
      <c r="A1029" s="47" t="s">
        <v>811</v>
      </c>
      <c r="B1029" s="47"/>
      <c r="C1029" s="47"/>
      <c r="D1029" s="47"/>
      <c r="E1029" s="47"/>
      <c r="F1029" s="47"/>
      <c r="G1029" s="47"/>
    </row>
    <row r="1030" spans="1:7" ht="24" customHeight="1" x14ac:dyDescent="0.2">
      <c r="A1030" s="47" t="s">
        <v>812</v>
      </c>
      <c r="B1030" s="47"/>
      <c r="C1030" s="47"/>
      <c r="D1030" s="47"/>
      <c r="E1030" s="47"/>
      <c r="F1030" s="47"/>
      <c r="G1030" s="47"/>
    </row>
    <row r="1031" spans="1:7" ht="24" customHeight="1" x14ac:dyDescent="0.2">
      <c r="A1031" s="47" t="s">
        <v>813</v>
      </c>
      <c r="B1031" s="47"/>
      <c r="C1031" s="47"/>
      <c r="D1031" s="47"/>
      <c r="E1031" s="47"/>
      <c r="F1031" s="47"/>
      <c r="G1031" s="47"/>
    </row>
  </sheetData>
  <mergeCells count="8">
    <mergeCell ref="A1030:G1030"/>
    <mergeCell ref="A1031:G1031"/>
    <mergeCell ref="A1:G1"/>
    <mergeCell ref="A2:G2"/>
    <mergeCell ref="A4:D4"/>
    <mergeCell ref="E4:E5"/>
    <mergeCell ref="A1028:G1028"/>
    <mergeCell ref="A1029:G1029"/>
  </mergeCells>
  <phoneticPr fontId="9" type="noConversion"/>
  <pageMargins left="0.31" right="0.28000000000000003" top="0.52" bottom="0.5" header="0.5" footer="0.5"/>
  <pageSetup scale="59" fitToHeight="7"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BF685-7FE8-41E9-BB46-46C5F3D5D9B2}">
  <sheetPr>
    <tabColor theme="5" tint="0.59999389629810485"/>
  </sheetPr>
  <dimension ref="A1:W60"/>
  <sheetViews>
    <sheetView zoomScale="115" zoomScaleNormal="115" workbookViewId="0">
      <selection activeCell="C2" sqref="C2:C43"/>
    </sheetView>
  </sheetViews>
  <sheetFormatPr defaultColWidth="9.140625" defaultRowHeight="11.25" x14ac:dyDescent="0.2"/>
  <cols>
    <col min="1" max="1" width="59.85546875" style="7" customWidth="1"/>
    <col min="2" max="2" width="10.140625" style="7" customWidth="1"/>
    <col min="3" max="10" width="9.140625" style="7"/>
    <col min="11" max="11" width="13.85546875" style="7" bestFit="1" customWidth="1"/>
    <col min="12" max="20" width="9.140625" style="7"/>
    <col min="21" max="21" width="101" style="7" bestFit="1" customWidth="1"/>
    <col min="22" max="22" width="15.5703125" style="7" bestFit="1" customWidth="1"/>
    <col min="23" max="23" width="101" style="7" bestFit="1" customWidth="1"/>
    <col min="24" max="16384" width="9.140625" style="7"/>
  </cols>
  <sheetData>
    <row r="1" spans="1:23" ht="13.5" x14ac:dyDescent="0.2">
      <c r="A1" s="6" t="s">
        <v>48</v>
      </c>
      <c r="B1" s="6" t="s">
        <v>49</v>
      </c>
      <c r="C1" s="6" t="s">
        <v>50</v>
      </c>
      <c r="K1" s="7" t="s">
        <v>1003</v>
      </c>
      <c r="L1" s="7" t="s">
        <v>1004</v>
      </c>
      <c r="T1" s="46" t="s">
        <v>1005</v>
      </c>
      <c r="U1" s="46" t="s">
        <v>1006</v>
      </c>
      <c r="V1" s="46" t="s">
        <v>1007</v>
      </c>
      <c r="W1" s="46" t="s">
        <v>1008</v>
      </c>
    </row>
    <row r="2" spans="1:23" ht="15.75" thickBot="1" x14ac:dyDescent="0.3">
      <c r="A2" s="7" t="s">
        <v>51</v>
      </c>
      <c r="B2" s="7" t="str">
        <f>_xlfn.CONCAT("ISIC ",LEFT(A2,FIND(":",A2)-1))</f>
        <v>ISIC 01T03</v>
      </c>
      <c r="C2" s="7" t="s">
        <v>4</v>
      </c>
      <c r="J2" s="46" t="s">
        <v>884</v>
      </c>
      <c r="K2" t="s">
        <v>943</v>
      </c>
      <c r="L2" s="7" t="s">
        <v>4</v>
      </c>
      <c r="T2" s="46" t="s">
        <v>943</v>
      </c>
      <c r="U2" s="46" t="s">
        <v>1009</v>
      </c>
      <c r="V2" s="46" t="s">
        <v>884</v>
      </c>
      <c r="W2" s="46" t="s">
        <v>1009</v>
      </c>
    </row>
    <row r="3" spans="1:23" ht="15" x14ac:dyDescent="0.25">
      <c r="A3" s="42" t="s">
        <v>858</v>
      </c>
      <c r="B3" s="7" t="str">
        <f t="shared" ref="B3:B43" si="0">_xlfn.CONCAT("ISIC ",LEFT(A3,FIND(":",A3)-1))</f>
        <v>ISIC 05</v>
      </c>
      <c r="C3" s="7" t="s">
        <v>857</v>
      </c>
      <c r="D3" s="40" t="s">
        <v>859</v>
      </c>
      <c r="J3" s="46" t="s">
        <v>885</v>
      </c>
      <c r="K3" t="s">
        <v>944</v>
      </c>
      <c r="L3" s="7" t="s">
        <v>4</v>
      </c>
      <c r="T3" s="46" t="s">
        <v>944</v>
      </c>
      <c r="U3" s="46" t="s">
        <v>119</v>
      </c>
      <c r="V3" s="46" t="s">
        <v>885</v>
      </c>
      <c r="W3" s="46" t="s">
        <v>119</v>
      </c>
    </row>
    <row r="4" spans="1:23" ht="15.75" thickBot="1" x14ac:dyDescent="0.3">
      <c r="A4" s="43" t="s">
        <v>860</v>
      </c>
      <c r="B4" s="7" t="str">
        <f t="shared" si="0"/>
        <v>ISIC 06</v>
      </c>
      <c r="C4" s="7" t="s">
        <v>856</v>
      </c>
      <c r="D4" s="40" t="s">
        <v>826</v>
      </c>
      <c r="J4" s="46" t="s">
        <v>886</v>
      </c>
      <c r="K4" t="s">
        <v>945</v>
      </c>
      <c r="L4" s="7" t="s">
        <v>4</v>
      </c>
      <c r="T4" s="46" t="s">
        <v>945</v>
      </c>
      <c r="U4" s="46" t="s">
        <v>1010</v>
      </c>
      <c r="V4" s="46" t="s">
        <v>886</v>
      </c>
      <c r="W4" s="46" t="s">
        <v>1010</v>
      </c>
    </row>
    <row r="5" spans="1:23" ht="15" x14ac:dyDescent="0.25">
      <c r="A5" s="7" t="s">
        <v>52</v>
      </c>
      <c r="B5" s="7" t="str">
        <f t="shared" si="0"/>
        <v>ISIC 07T08</v>
      </c>
      <c r="C5" s="7" t="s">
        <v>5</v>
      </c>
      <c r="J5" s="46" t="s">
        <v>887</v>
      </c>
      <c r="K5" t="s">
        <v>946</v>
      </c>
      <c r="L5" s="7" t="s">
        <v>857</v>
      </c>
      <c r="T5" s="46" t="s">
        <v>946</v>
      </c>
      <c r="U5" s="46" t="s">
        <v>1011</v>
      </c>
      <c r="V5" s="46" t="s">
        <v>887</v>
      </c>
      <c r="W5" s="46" t="s">
        <v>1011</v>
      </c>
    </row>
    <row r="6" spans="1:23" ht="15" x14ac:dyDescent="0.25">
      <c r="A6" s="7" t="s">
        <v>53</v>
      </c>
      <c r="B6" s="7" t="str">
        <f t="shared" si="0"/>
        <v>ISIC 09</v>
      </c>
      <c r="C6" s="7" t="s">
        <v>6</v>
      </c>
      <c r="J6" s="46" t="s">
        <v>888</v>
      </c>
      <c r="K6" t="s">
        <v>947</v>
      </c>
      <c r="L6" s="7" t="s">
        <v>856</v>
      </c>
      <c r="T6" s="46" t="s">
        <v>947</v>
      </c>
      <c r="U6" s="46" t="s">
        <v>1012</v>
      </c>
      <c r="V6" s="46" t="s">
        <v>888</v>
      </c>
      <c r="W6" s="46" t="s">
        <v>1012</v>
      </c>
    </row>
    <row r="7" spans="1:23" ht="15" x14ac:dyDescent="0.25">
      <c r="A7" s="7" t="s">
        <v>54</v>
      </c>
      <c r="B7" s="7" t="str">
        <f t="shared" si="0"/>
        <v>ISIC 10T12</v>
      </c>
      <c r="C7" s="7" t="s">
        <v>7</v>
      </c>
      <c r="J7" s="46" t="s">
        <v>889</v>
      </c>
      <c r="K7" t="s">
        <v>948</v>
      </c>
      <c r="L7" s="7" t="s">
        <v>5</v>
      </c>
      <c r="T7" s="46" t="s">
        <v>948</v>
      </c>
      <c r="U7" s="46" t="s">
        <v>1013</v>
      </c>
      <c r="V7" s="46" t="s">
        <v>889</v>
      </c>
      <c r="W7" s="46" t="s">
        <v>1013</v>
      </c>
    </row>
    <row r="8" spans="1:23" ht="15" x14ac:dyDescent="0.25">
      <c r="A8" s="7" t="s">
        <v>55</v>
      </c>
      <c r="B8" s="7" t="str">
        <f t="shared" si="0"/>
        <v>ISIC 13T15</v>
      </c>
      <c r="C8" s="7" t="s">
        <v>8</v>
      </c>
      <c r="J8" s="46" t="s">
        <v>890</v>
      </c>
      <c r="K8" t="s">
        <v>949</v>
      </c>
      <c r="L8" s="7" t="s">
        <v>5</v>
      </c>
      <c r="T8" s="46" t="s">
        <v>949</v>
      </c>
      <c r="U8" s="46" t="s">
        <v>1014</v>
      </c>
      <c r="V8" s="46" t="s">
        <v>890</v>
      </c>
      <c r="W8" s="46" t="s">
        <v>1014</v>
      </c>
    </row>
    <row r="9" spans="1:23" ht="15" x14ac:dyDescent="0.25">
      <c r="A9" s="7" t="s">
        <v>56</v>
      </c>
      <c r="B9" s="7" t="str">
        <f t="shared" si="0"/>
        <v>ISIC 16</v>
      </c>
      <c r="C9" s="7" t="s">
        <v>9</v>
      </c>
      <c r="J9" s="46" t="s">
        <v>891</v>
      </c>
      <c r="K9" t="s">
        <v>950</v>
      </c>
      <c r="L9" s="7" t="s">
        <v>6</v>
      </c>
      <c r="T9" s="46" t="s">
        <v>950</v>
      </c>
      <c r="U9" s="46" t="s">
        <v>1015</v>
      </c>
      <c r="V9" s="46" t="s">
        <v>891</v>
      </c>
      <c r="W9" s="46" t="s">
        <v>1015</v>
      </c>
    </row>
    <row r="10" spans="1:23" ht="15" x14ac:dyDescent="0.25">
      <c r="A10" s="7" t="s">
        <v>57</v>
      </c>
      <c r="B10" s="7" t="str">
        <f t="shared" si="0"/>
        <v>ISIC 17T18</v>
      </c>
      <c r="C10" s="7" t="s">
        <v>10</v>
      </c>
      <c r="J10" s="46" t="s">
        <v>892</v>
      </c>
      <c r="K10" t="s">
        <v>951</v>
      </c>
      <c r="L10" s="7" t="s">
        <v>7</v>
      </c>
      <c r="T10" s="46" t="s">
        <v>951</v>
      </c>
      <c r="U10" s="46" t="s">
        <v>1016</v>
      </c>
      <c r="V10" s="46" t="s">
        <v>892</v>
      </c>
      <c r="W10" s="46" t="s">
        <v>1016</v>
      </c>
    </row>
    <row r="11" spans="1:23" ht="15.75" thickBot="1" x14ac:dyDescent="0.3">
      <c r="A11" s="7" t="s">
        <v>58</v>
      </c>
      <c r="B11" s="7" t="str">
        <f t="shared" si="0"/>
        <v>ISIC 19</v>
      </c>
      <c r="C11" s="7" t="s">
        <v>11</v>
      </c>
      <c r="J11" s="46" t="s">
        <v>893</v>
      </c>
      <c r="K11" t="s">
        <v>952</v>
      </c>
      <c r="L11" s="7" t="s">
        <v>8</v>
      </c>
      <c r="T11" s="46" t="s">
        <v>952</v>
      </c>
      <c r="U11" s="46" t="s">
        <v>1017</v>
      </c>
      <c r="V11" s="46" t="s">
        <v>893</v>
      </c>
      <c r="W11" s="46" t="s">
        <v>1017</v>
      </c>
    </row>
    <row r="12" spans="1:23" ht="15" x14ac:dyDescent="0.25">
      <c r="A12" s="42" t="s">
        <v>823</v>
      </c>
      <c r="B12" s="7" t="str">
        <f t="shared" si="0"/>
        <v>ISIC 20</v>
      </c>
      <c r="C12" s="7" t="s">
        <v>59</v>
      </c>
      <c r="D12" s="40" t="s">
        <v>825</v>
      </c>
      <c r="J12" s="46" t="s">
        <v>894</v>
      </c>
      <c r="K12" t="s">
        <v>953</v>
      </c>
      <c r="L12" s="7" t="s">
        <v>9</v>
      </c>
      <c r="T12" s="46" t="s">
        <v>953</v>
      </c>
      <c r="U12" s="46" t="s">
        <v>1018</v>
      </c>
      <c r="V12" s="46" t="s">
        <v>894</v>
      </c>
      <c r="W12" s="46" t="s">
        <v>1018</v>
      </c>
    </row>
    <row r="13" spans="1:23" ht="15.75" thickBot="1" x14ac:dyDescent="0.3">
      <c r="A13" s="43" t="s">
        <v>824</v>
      </c>
      <c r="B13" s="7" t="str">
        <f t="shared" si="0"/>
        <v>ISIC 21</v>
      </c>
      <c r="C13" s="7" t="s">
        <v>60</v>
      </c>
      <c r="D13" s="40" t="s">
        <v>826</v>
      </c>
      <c r="J13" s="46" t="s">
        <v>895</v>
      </c>
      <c r="K13" t="s">
        <v>954</v>
      </c>
      <c r="L13" s="7" t="s">
        <v>10</v>
      </c>
      <c r="T13" s="46" t="s">
        <v>954</v>
      </c>
      <c r="U13" s="46" t="s">
        <v>1019</v>
      </c>
      <c r="V13" s="46" t="s">
        <v>895</v>
      </c>
      <c r="W13" s="46" t="s">
        <v>1019</v>
      </c>
    </row>
    <row r="14" spans="1:23" ht="15.75" thickBot="1" x14ac:dyDescent="0.3">
      <c r="A14" s="7" t="s">
        <v>61</v>
      </c>
      <c r="B14" s="7" t="str">
        <f t="shared" si="0"/>
        <v>ISIC 22</v>
      </c>
      <c r="C14" s="7" t="s">
        <v>12</v>
      </c>
      <c r="J14" s="46" t="s">
        <v>896</v>
      </c>
      <c r="K14" t="s">
        <v>955</v>
      </c>
      <c r="L14" s="7" t="s">
        <v>11</v>
      </c>
      <c r="T14" s="46" t="s">
        <v>955</v>
      </c>
      <c r="U14" s="46" t="s">
        <v>1020</v>
      </c>
      <c r="V14" s="46" t="s">
        <v>896</v>
      </c>
      <c r="W14" s="46" t="s">
        <v>1020</v>
      </c>
    </row>
    <row r="15" spans="1:23" ht="15" x14ac:dyDescent="0.25">
      <c r="A15" s="42" t="s">
        <v>862</v>
      </c>
      <c r="B15" s="7" t="str">
        <f t="shared" si="0"/>
        <v>ISIC 231</v>
      </c>
      <c r="C15" s="7" t="s">
        <v>869</v>
      </c>
      <c r="D15" s="40" t="s">
        <v>876</v>
      </c>
      <c r="J15" s="46" t="s">
        <v>897</v>
      </c>
      <c r="K15" t="s">
        <v>956</v>
      </c>
      <c r="L15" s="7" t="s">
        <v>59</v>
      </c>
      <c r="T15" s="46" t="s">
        <v>956</v>
      </c>
      <c r="U15" s="46" t="s">
        <v>1021</v>
      </c>
      <c r="V15" s="46" t="s">
        <v>897</v>
      </c>
      <c r="W15" s="46" t="s">
        <v>1021</v>
      </c>
    </row>
    <row r="16" spans="1:23" ht="15.75" thickBot="1" x14ac:dyDescent="0.3">
      <c r="A16" s="43" t="s">
        <v>863</v>
      </c>
      <c r="B16" s="7" t="str">
        <f t="shared" si="0"/>
        <v>ISIC 239</v>
      </c>
      <c r="C16" s="7" t="s">
        <v>870</v>
      </c>
      <c r="D16" s="40" t="s">
        <v>826</v>
      </c>
      <c r="J16" s="46" t="s">
        <v>898</v>
      </c>
      <c r="K16" t="s">
        <v>957</v>
      </c>
      <c r="L16" s="7" t="s">
        <v>60</v>
      </c>
      <c r="T16" s="46" t="s">
        <v>957</v>
      </c>
      <c r="U16" s="46" t="s">
        <v>1022</v>
      </c>
      <c r="V16" s="46" t="s">
        <v>898</v>
      </c>
      <c r="W16" s="46" t="s">
        <v>1022</v>
      </c>
    </row>
    <row r="17" spans="1:23" ht="15" x14ac:dyDescent="0.25">
      <c r="A17" s="42" t="s">
        <v>864</v>
      </c>
      <c r="B17" s="7" t="str">
        <f t="shared" si="0"/>
        <v>ISIC 241</v>
      </c>
      <c r="C17" s="7" t="s">
        <v>871</v>
      </c>
      <c r="D17" s="40" t="s">
        <v>877</v>
      </c>
      <c r="J17" s="46" t="s">
        <v>899</v>
      </c>
      <c r="K17" t="s">
        <v>958</v>
      </c>
      <c r="L17" s="7" t="s">
        <v>12</v>
      </c>
      <c r="T17" s="46" t="s">
        <v>958</v>
      </c>
      <c r="U17" s="46" t="s">
        <v>1023</v>
      </c>
      <c r="V17" s="46" t="s">
        <v>899</v>
      </c>
      <c r="W17" s="46" t="s">
        <v>1023</v>
      </c>
    </row>
    <row r="18" spans="1:23" ht="15.75" thickBot="1" x14ac:dyDescent="0.3">
      <c r="A18" s="43" t="s">
        <v>865</v>
      </c>
      <c r="B18" s="7" t="str">
        <f t="shared" si="0"/>
        <v>ISIC 242</v>
      </c>
      <c r="C18" s="7" t="s">
        <v>872</v>
      </c>
      <c r="D18" s="40" t="s">
        <v>826</v>
      </c>
      <c r="J18" s="46" t="s">
        <v>900</v>
      </c>
      <c r="K18" t="s">
        <v>959</v>
      </c>
      <c r="L18" s="7" t="s">
        <v>869</v>
      </c>
      <c r="T18" s="46" t="s">
        <v>959</v>
      </c>
      <c r="U18" s="46" t="s">
        <v>1024</v>
      </c>
      <c r="V18" s="46" t="s">
        <v>900</v>
      </c>
      <c r="W18" s="46" t="s">
        <v>1024</v>
      </c>
    </row>
    <row r="19" spans="1:23" ht="15" x14ac:dyDescent="0.25">
      <c r="A19" s="7" t="s">
        <v>62</v>
      </c>
      <c r="B19" s="7" t="str">
        <f t="shared" si="0"/>
        <v>ISIC 25</v>
      </c>
      <c r="C19" s="7" t="s">
        <v>13</v>
      </c>
      <c r="J19" s="46" t="s">
        <v>901</v>
      </c>
      <c r="K19" t="s">
        <v>960</v>
      </c>
      <c r="L19" s="7" t="s">
        <v>871</v>
      </c>
      <c r="M19" s="7" t="s">
        <v>870</v>
      </c>
      <c r="T19" s="46" t="s">
        <v>960</v>
      </c>
      <c r="U19" s="46" t="s">
        <v>1025</v>
      </c>
      <c r="V19" s="46" t="s">
        <v>1026</v>
      </c>
      <c r="W19" s="46" t="s">
        <v>1025</v>
      </c>
    </row>
    <row r="20" spans="1:23" ht="15" x14ac:dyDescent="0.25">
      <c r="A20" s="7" t="s">
        <v>63</v>
      </c>
      <c r="B20" s="7" t="str">
        <f t="shared" si="0"/>
        <v>ISIC 26</v>
      </c>
      <c r="C20" s="7" t="s">
        <v>14</v>
      </c>
      <c r="J20" s="46" t="s">
        <v>902</v>
      </c>
      <c r="K20" t="s">
        <v>961</v>
      </c>
      <c r="L20" s="7" t="s">
        <v>872</v>
      </c>
      <c r="T20" s="46" t="s">
        <v>961</v>
      </c>
      <c r="U20" s="46" t="s">
        <v>1027</v>
      </c>
      <c r="V20" s="46" t="s">
        <v>1028</v>
      </c>
      <c r="W20" s="46" t="s">
        <v>1027</v>
      </c>
    </row>
    <row r="21" spans="1:23" ht="15" x14ac:dyDescent="0.25">
      <c r="A21" s="7" t="s">
        <v>64</v>
      </c>
      <c r="B21" s="7" t="str">
        <f t="shared" si="0"/>
        <v>ISIC 27</v>
      </c>
      <c r="C21" s="7" t="s">
        <v>15</v>
      </c>
      <c r="J21" s="46" t="s">
        <v>903</v>
      </c>
      <c r="K21" t="s">
        <v>962</v>
      </c>
      <c r="L21" s="7" t="s">
        <v>13</v>
      </c>
      <c r="T21" s="46" t="s">
        <v>962</v>
      </c>
      <c r="U21" s="46" t="s">
        <v>217</v>
      </c>
      <c r="V21" s="46" t="s">
        <v>903</v>
      </c>
      <c r="W21" s="46" t="s">
        <v>217</v>
      </c>
    </row>
    <row r="22" spans="1:23" ht="15" x14ac:dyDescent="0.25">
      <c r="A22" s="7" t="s">
        <v>65</v>
      </c>
      <c r="B22" s="7" t="str">
        <f t="shared" si="0"/>
        <v>ISIC 28</v>
      </c>
      <c r="C22" s="7" t="s">
        <v>16</v>
      </c>
      <c r="J22" s="46" t="s">
        <v>904</v>
      </c>
      <c r="K22" t="s">
        <v>963</v>
      </c>
      <c r="L22" s="7" t="s">
        <v>14</v>
      </c>
      <c r="T22" s="46" t="s">
        <v>963</v>
      </c>
      <c r="U22" s="46" t="s">
        <v>1029</v>
      </c>
      <c r="V22" s="46" t="s">
        <v>904</v>
      </c>
      <c r="W22" s="46" t="s">
        <v>1029</v>
      </c>
    </row>
    <row r="23" spans="1:23" ht="15" x14ac:dyDescent="0.25">
      <c r="A23" s="7" t="s">
        <v>66</v>
      </c>
      <c r="B23" s="7" t="str">
        <f t="shared" si="0"/>
        <v>ISIC 29</v>
      </c>
      <c r="C23" s="7" t="s">
        <v>17</v>
      </c>
      <c r="J23" s="46" t="s">
        <v>905</v>
      </c>
      <c r="K23" t="s">
        <v>964</v>
      </c>
      <c r="L23" s="7" t="s">
        <v>15</v>
      </c>
      <c r="T23" s="46" t="s">
        <v>964</v>
      </c>
      <c r="U23" s="46" t="s">
        <v>1030</v>
      </c>
      <c r="V23" s="46" t="s">
        <v>905</v>
      </c>
      <c r="W23" s="46" t="s">
        <v>1030</v>
      </c>
    </row>
    <row r="24" spans="1:23" ht="15" x14ac:dyDescent="0.25">
      <c r="A24" s="7" t="s">
        <v>67</v>
      </c>
      <c r="B24" s="7" t="str">
        <f t="shared" si="0"/>
        <v>ISIC 30</v>
      </c>
      <c r="C24" s="7" t="s">
        <v>18</v>
      </c>
      <c r="J24" s="46" t="s">
        <v>906</v>
      </c>
      <c r="K24" t="s">
        <v>965</v>
      </c>
      <c r="L24" s="7" t="s">
        <v>16</v>
      </c>
      <c r="T24" s="46" t="s">
        <v>965</v>
      </c>
      <c r="U24" s="46" t="s">
        <v>1031</v>
      </c>
      <c r="V24" s="46" t="s">
        <v>906</v>
      </c>
      <c r="W24" s="46" t="s">
        <v>1031</v>
      </c>
    </row>
    <row r="25" spans="1:23" ht="15.75" thickBot="1" x14ac:dyDescent="0.3">
      <c r="A25" s="7" t="s">
        <v>68</v>
      </c>
      <c r="B25" s="7" t="str">
        <f t="shared" si="0"/>
        <v>ISIC 31T33</v>
      </c>
      <c r="C25" s="7" t="s">
        <v>19</v>
      </c>
      <c r="J25" s="46" t="s">
        <v>907</v>
      </c>
      <c r="K25" t="s">
        <v>966</v>
      </c>
      <c r="L25" s="7" t="s">
        <v>17</v>
      </c>
      <c r="T25" s="46" t="s">
        <v>966</v>
      </c>
      <c r="U25" s="46" t="s">
        <v>1032</v>
      </c>
      <c r="V25" s="46" t="s">
        <v>907</v>
      </c>
      <c r="W25" s="46" t="s">
        <v>1032</v>
      </c>
    </row>
    <row r="26" spans="1:23" ht="15" x14ac:dyDescent="0.25">
      <c r="A26" s="42" t="s">
        <v>866</v>
      </c>
      <c r="B26" s="7" t="str">
        <f t="shared" si="0"/>
        <v>ISIC 351</v>
      </c>
      <c r="C26" s="7" t="s">
        <v>873</v>
      </c>
      <c r="D26" s="40" t="s">
        <v>878</v>
      </c>
      <c r="J26" s="46" t="s">
        <v>908</v>
      </c>
      <c r="K26" t="s">
        <v>967</v>
      </c>
      <c r="L26" s="7" t="s">
        <v>18</v>
      </c>
      <c r="T26" s="46" t="s">
        <v>967</v>
      </c>
      <c r="U26" s="46" t="s">
        <v>1033</v>
      </c>
      <c r="V26" s="46" t="s">
        <v>908</v>
      </c>
      <c r="W26" s="46" t="s">
        <v>1033</v>
      </c>
    </row>
    <row r="27" spans="1:23" ht="15" x14ac:dyDescent="0.25">
      <c r="A27" s="44" t="s">
        <v>867</v>
      </c>
      <c r="B27" s="7" t="str">
        <f t="shared" si="0"/>
        <v>ISIC 352T353</v>
      </c>
      <c r="C27" s="7" t="s">
        <v>874</v>
      </c>
      <c r="D27" s="40" t="s">
        <v>826</v>
      </c>
      <c r="J27" s="46" t="s">
        <v>909</v>
      </c>
      <c r="K27" t="s">
        <v>968</v>
      </c>
      <c r="L27" s="7" t="s">
        <v>18</v>
      </c>
      <c r="T27" s="46" t="s">
        <v>968</v>
      </c>
      <c r="U27" s="46" t="s">
        <v>1034</v>
      </c>
      <c r="V27" s="46" t="s">
        <v>909</v>
      </c>
      <c r="W27" s="46" t="s">
        <v>1034</v>
      </c>
    </row>
    <row r="28" spans="1:23" ht="15.75" thickBot="1" x14ac:dyDescent="0.3">
      <c r="A28" s="43" t="s">
        <v>868</v>
      </c>
      <c r="B28" s="7" t="str">
        <f t="shared" si="0"/>
        <v>ISIC 36T39</v>
      </c>
      <c r="C28" s="7" t="s">
        <v>875</v>
      </c>
      <c r="J28" s="46" t="s">
        <v>910</v>
      </c>
      <c r="K28" t="s">
        <v>969</v>
      </c>
      <c r="L28" s="7" t="s">
        <v>19</v>
      </c>
      <c r="T28" s="46" t="s">
        <v>969</v>
      </c>
      <c r="U28" s="46" t="s">
        <v>1035</v>
      </c>
      <c r="V28" s="46" t="s">
        <v>910</v>
      </c>
      <c r="W28" s="46" t="s">
        <v>1035</v>
      </c>
    </row>
    <row r="29" spans="1:23" ht="15" x14ac:dyDescent="0.25">
      <c r="A29" s="7" t="s">
        <v>69</v>
      </c>
      <c r="B29" s="7" t="str">
        <f t="shared" si="0"/>
        <v>ISIC 41T43</v>
      </c>
      <c r="C29" s="7" t="s">
        <v>20</v>
      </c>
      <c r="J29" s="46" t="s">
        <v>911</v>
      </c>
      <c r="K29" t="s">
        <v>970</v>
      </c>
      <c r="L29" s="7" t="s">
        <v>873</v>
      </c>
      <c r="T29" s="46" t="s">
        <v>970</v>
      </c>
      <c r="U29" s="46" t="s">
        <v>1036</v>
      </c>
      <c r="V29" s="46" t="s">
        <v>911</v>
      </c>
      <c r="W29" s="46" t="s">
        <v>1036</v>
      </c>
    </row>
    <row r="30" spans="1:23" ht="15" x14ac:dyDescent="0.25">
      <c r="A30" s="7" t="s">
        <v>70</v>
      </c>
      <c r="B30" s="7" t="str">
        <f t="shared" si="0"/>
        <v>ISIC 45T47</v>
      </c>
      <c r="C30" s="7" t="s">
        <v>21</v>
      </c>
      <c r="J30" s="46" t="s">
        <v>912</v>
      </c>
      <c r="K30" t="s">
        <v>971</v>
      </c>
      <c r="L30" s="7" t="s">
        <v>875</v>
      </c>
      <c r="M30" s="7" t="s">
        <v>874</v>
      </c>
      <c r="T30" s="46" t="s">
        <v>971</v>
      </c>
      <c r="U30" s="46" t="s">
        <v>1037</v>
      </c>
      <c r="V30" s="46" t="s">
        <v>912</v>
      </c>
      <c r="W30" s="46" t="s">
        <v>1037</v>
      </c>
    </row>
    <row r="31" spans="1:23" ht="15" x14ac:dyDescent="0.25">
      <c r="A31" s="7" t="s">
        <v>71</v>
      </c>
      <c r="B31" s="7" t="str">
        <f t="shared" si="0"/>
        <v>ISIC 49T53</v>
      </c>
      <c r="C31" s="7" t="s">
        <v>22</v>
      </c>
      <c r="J31" s="46" t="s">
        <v>913</v>
      </c>
      <c r="K31" t="s">
        <v>972</v>
      </c>
      <c r="L31" s="7" t="s">
        <v>20</v>
      </c>
      <c r="T31" s="46" t="s">
        <v>972</v>
      </c>
      <c r="U31" s="46" t="s">
        <v>147</v>
      </c>
      <c r="V31" s="46" t="s">
        <v>913</v>
      </c>
      <c r="W31" s="46" t="s">
        <v>147</v>
      </c>
    </row>
    <row r="32" spans="1:23" ht="15" x14ac:dyDescent="0.25">
      <c r="A32" s="7" t="s">
        <v>72</v>
      </c>
      <c r="B32" s="7" t="str">
        <f t="shared" si="0"/>
        <v>ISIC 55T56</v>
      </c>
      <c r="C32" s="7" t="s">
        <v>23</v>
      </c>
      <c r="J32" s="46" t="s">
        <v>758</v>
      </c>
      <c r="K32" t="s">
        <v>973</v>
      </c>
      <c r="L32" s="7" t="s">
        <v>21</v>
      </c>
      <c r="T32" s="46" t="s">
        <v>973</v>
      </c>
      <c r="U32" s="46" t="s">
        <v>1038</v>
      </c>
      <c r="V32" s="46" t="s">
        <v>758</v>
      </c>
      <c r="W32" s="46" t="s">
        <v>1038</v>
      </c>
    </row>
    <row r="33" spans="1:23" ht="15" x14ac:dyDescent="0.25">
      <c r="A33" s="7" t="s">
        <v>73</v>
      </c>
      <c r="B33" s="7" t="str">
        <f t="shared" si="0"/>
        <v>ISIC 58T60</v>
      </c>
      <c r="C33" s="7" t="s">
        <v>24</v>
      </c>
      <c r="J33" s="46" t="s">
        <v>914</v>
      </c>
      <c r="K33" t="s">
        <v>974</v>
      </c>
      <c r="L33" s="7" t="s">
        <v>22</v>
      </c>
      <c r="T33" s="46" t="s">
        <v>974</v>
      </c>
      <c r="U33" s="46" t="s">
        <v>1039</v>
      </c>
      <c r="V33" s="46" t="s">
        <v>914</v>
      </c>
      <c r="W33" s="46" t="s">
        <v>1039</v>
      </c>
    </row>
    <row r="34" spans="1:23" ht="15" x14ac:dyDescent="0.25">
      <c r="A34" s="7" t="s">
        <v>74</v>
      </c>
      <c r="B34" s="7" t="str">
        <f t="shared" si="0"/>
        <v>ISIC 61</v>
      </c>
      <c r="C34" s="7" t="s">
        <v>25</v>
      </c>
      <c r="J34" s="46" t="s">
        <v>915</v>
      </c>
      <c r="K34" t="s">
        <v>975</v>
      </c>
      <c r="L34" s="7" t="s">
        <v>22</v>
      </c>
      <c r="T34" s="46" t="s">
        <v>975</v>
      </c>
      <c r="U34" s="46" t="s">
        <v>1040</v>
      </c>
      <c r="V34" s="46" t="s">
        <v>915</v>
      </c>
      <c r="W34" s="46" t="s">
        <v>1040</v>
      </c>
    </row>
    <row r="35" spans="1:23" ht="15" x14ac:dyDescent="0.25">
      <c r="A35" s="7" t="s">
        <v>75</v>
      </c>
      <c r="B35" s="7" t="str">
        <f t="shared" si="0"/>
        <v>ISIC 62T63</v>
      </c>
      <c r="C35" s="7" t="s">
        <v>26</v>
      </c>
      <c r="J35" s="46" t="s">
        <v>916</v>
      </c>
      <c r="K35" t="s">
        <v>976</v>
      </c>
      <c r="L35" s="7" t="s">
        <v>22</v>
      </c>
      <c r="T35" s="46" t="s">
        <v>976</v>
      </c>
      <c r="U35" s="46" t="s">
        <v>1041</v>
      </c>
      <c r="V35" s="46" t="s">
        <v>916</v>
      </c>
      <c r="W35" s="46" t="s">
        <v>1041</v>
      </c>
    </row>
    <row r="36" spans="1:23" ht="15" x14ac:dyDescent="0.25">
      <c r="A36" s="7" t="s">
        <v>76</v>
      </c>
      <c r="B36" s="7" t="str">
        <f t="shared" si="0"/>
        <v>ISIC 64T66</v>
      </c>
      <c r="C36" s="7" t="s">
        <v>27</v>
      </c>
      <c r="J36" s="46" t="s">
        <v>917</v>
      </c>
      <c r="K36" t="s">
        <v>977</v>
      </c>
      <c r="L36" s="7" t="s">
        <v>22</v>
      </c>
      <c r="T36" s="46" t="s">
        <v>977</v>
      </c>
      <c r="U36" s="46" t="s">
        <v>1042</v>
      </c>
      <c r="V36" s="46" t="s">
        <v>917</v>
      </c>
      <c r="W36" s="46" t="s">
        <v>1042</v>
      </c>
    </row>
    <row r="37" spans="1:23" ht="15" x14ac:dyDescent="0.25">
      <c r="A37" s="7" t="s">
        <v>77</v>
      </c>
      <c r="B37" s="7" t="str">
        <f t="shared" si="0"/>
        <v>ISIC 68</v>
      </c>
      <c r="C37" s="7" t="s">
        <v>28</v>
      </c>
      <c r="J37" s="46" t="s">
        <v>918</v>
      </c>
      <c r="K37" t="s">
        <v>978</v>
      </c>
      <c r="L37" s="7" t="s">
        <v>22</v>
      </c>
      <c r="T37" s="46" t="s">
        <v>978</v>
      </c>
      <c r="U37" s="46" t="s">
        <v>1043</v>
      </c>
      <c r="V37" s="46" t="s">
        <v>918</v>
      </c>
      <c r="W37" s="46" t="s">
        <v>1043</v>
      </c>
    </row>
    <row r="38" spans="1:23" ht="15" x14ac:dyDescent="0.25">
      <c r="A38" s="7" t="s">
        <v>78</v>
      </c>
      <c r="B38" s="7" t="str">
        <f t="shared" si="0"/>
        <v>ISIC 69T82</v>
      </c>
      <c r="C38" s="7" t="s">
        <v>29</v>
      </c>
      <c r="J38" s="46" t="s">
        <v>919</v>
      </c>
      <c r="K38" t="s">
        <v>979</v>
      </c>
      <c r="L38" s="7" t="s">
        <v>23</v>
      </c>
      <c r="T38" s="46" t="s">
        <v>979</v>
      </c>
      <c r="U38" s="46" t="s">
        <v>1044</v>
      </c>
      <c r="V38" s="46" t="s">
        <v>919</v>
      </c>
      <c r="W38" s="46" t="s">
        <v>1044</v>
      </c>
    </row>
    <row r="39" spans="1:23" ht="15" x14ac:dyDescent="0.25">
      <c r="A39" s="7" t="s">
        <v>79</v>
      </c>
      <c r="B39" s="7" t="str">
        <f t="shared" si="0"/>
        <v>ISIC 84</v>
      </c>
      <c r="C39" s="7" t="s">
        <v>30</v>
      </c>
      <c r="J39" s="46" t="s">
        <v>920</v>
      </c>
      <c r="K39" t="s">
        <v>980</v>
      </c>
      <c r="L39" s="7" t="s">
        <v>24</v>
      </c>
      <c r="T39" s="46" t="s">
        <v>980</v>
      </c>
      <c r="U39" s="46" t="s">
        <v>1045</v>
      </c>
      <c r="V39" s="46" t="s">
        <v>920</v>
      </c>
      <c r="W39" s="46" t="s">
        <v>1045</v>
      </c>
    </row>
    <row r="40" spans="1:23" ht="15" x14ac:dyDescent="0.25">
      <c r="A40" s="7" t="s">
        <v>80</v>
      </c>
      <c r="B40" s="7" t="str">
        <f t="shared" si="0"/>
        <v>ISIC 85</v>
      </c>
      <c r="C40" s="7" t="s">
        <v>31</v>
      </c>
      <c r="J40" s="46" t="s">
        <v>921</v>
      </c>
      <c r="K40" t="s">
        <v>981</v>
      </c>
      <c r="L40" s="7" t="s">
        <v>25</v>
      </c>
      <c r="T40" s="46" t="s">
        <v>981</v>
      </c>
      <c r="U40" s="46" t="s">
        <v>1046</v>
      </c>
      <c r="V40" s="46" t="s">
        <v>921</v>
      </c>
      <c r="W40" s="46" t="s">
        <v>1046</v>
      </c>
    </row>
    <row r="41" spans="1:23" ht="15" x14ac:dyDescent="0.25">
      <c r="A41" s="7" t="s">
        <v>81</v>
      </c>
      <c r="B41" s="7" t="str">
        <f t="shared" si="0"/>
        <v>ISIC 86T88</v>
      </c>
      <c r="C41" s="7" t="s">
        <v>32</v>
      </c>
      <c r="J41" s="46" t="s">
        <v>922</v>
      </c>
      <c r="K41" t="s">
        <v>982</v>
      </c>
      <c r="L41" s="7" t="s">
        <v>26</v>
      </c>
      <c r="T41" s="46" t="s">
        <v>982</v>
      </c>
      <c r="U41" s="46" t="s">
        <v>1047</v>
      </c>
      <c r="V41" s="46" t="s">
        <v>922</v>
      </c>
      <c r="W41" s="46" t="s">
        <v>1047</v>
      </c>
    </row>
    <row r="42" spans="1:23" ht="15" x14ac:dyDescent="0.25">
      <c r="A42" s="7" t="s">
        <v>82</v>
      </c>
      <c r="B42" s="7" t="str">
        <f t="shared" si="0"/>
        <v>ISIC 90T96</v>
      </c>
      <c r="C42" s="7" t="s">
        <v>33</v>
      </c>
      <c r="J42" s="46" t="s">
        <v>923</v>
      </c>
      <c r="K42" t="s">
        <v>983</v>
      </c>
      <c r="L42" s="7" t="s">
        <v>27</v>
      </c>
      <c r="T42" s="46" t="s">
        <v>983</v>
      </c>
      <c r="U42" s="46" t="s">
        <v>1048</v>
      </c>
      <c r="V42" s="46" t="s">
        <v>923</v>
      </c>
      <c r="W42" s="46" t="s">
        <v>1048</v>
      </c>
    </row>
    <row r="43" spans="1:23" ht="15" x14ac:dyDescent="0.25">
      <c r="A43" s="7" t="s">
        <v>83</v>
      </c>
      <c r="B43" s="7" t="str">
        <f t="shared" si="0"/>
        <v>ISIC 97T98</v>
      </c>
      <c r="C43" s="7" t="s">
        <v>34</v>
      </c>
      <c r="J43" s="46" t="s">
        <v>924</v>
      </c>
      <c r="K43" t="s">
        <v>984</v>
      </c>
      <c r="L43" s="7" t="s">
        <v>28</v>
      </c>
      <c r="T43" s="46" t="s">
        <v>984</v>
      </c>
      <c r="U43" s="46" t="s">
        <v>1049</v>
      </c>
      <c r="V43" s="46" t="s">
        <v>924</v>
      </c>
      <c r="W43" s="46" t="s">
        <v>1049</v>
      </c>
    </row>
    <row r="44" spans="1:23" ht="15" x14ac:dyDescent="0.25">
      <c r="J44" s="46" t="s">
        <v>925</v>
      </c>
      <c r="K44" t="s">
        <v>985</v>
      </c>
      <c r="L44" s="7" t="s">
        <v>29</v>
      </c>
      <c r="T44" s="46" t="s">
        <v>985</v>
      </c>
      <c r="U44" s="46" t="s">
        <v>1050</v>
      </c>
      <c r="V44" s="46" t="s">
        <v>925</v>
      </c>
      <c r="W44" s="46" t="s">
        <v>1050</v>
      </c>
    </row>
    <row r="45" spans="1:23" ht="15" x14ac:dyDescent="0.25">
      <c r="J45" s="46" t="s">
        <v>926</v>
      </c>
      <c r="K45" t="s">
        <v>986</v>
      </c>
      <c r="L45" s="7" t="s">
        <v>29</v>
      </c>
      <c r="T45" s="46" t="s">
        <v>986</v>
      </c>
      <c r="U45" s="46" t="s">
        <v>670</v>
      </c>
      <c r="V45" s="46" t="s">
        <v>926</v>
      </c>
      <c r="W45" s="46" t="s">
        <v>670</v>
      </c>
    </row>
    <row r="46" spans="1:23" ht="15" x14ac:dyDescent="0.25">
      <c r="J46" s="46" t="s">
        <v>927</v>
      </c>
      <c r="K46" t="s">
        <v>987</v>
      </c>
      <c r="L46" s="7" t="s">
        <v>30</v>
      </c>
      <c r="T46" s="46" t="s">
        <v>987</v>
      </c>
      <c r="U46" s="46" t="s">
        <v>1051</v>
      </c>
      <c r="V46" s="46" t="s">
        <v>927</v>
      </c>
      <c r="W46" s="46" t="s">
        <v>1051</v>
      </c>
    </row>
    <row r="47" spans="1:23" ht="15" x14ac:dyDescent="0.25">
      <c r="J47" s="46" t="s">
        <v>928</v>
      </c>
      <c r="K47" t="s">
        <v>988</v>
      </c>
      <c r="L47" s="7" t="s">
        <v>31</v>
      </c>
      <c r="T47" s="46" t="s">
        <v>988</v>
      </c>
      <c r="U47" s="46" t="s">
        <v>1052</v>
      </c>
      <c r="V47" s="46" t="s">
        <v>928</v>
      </c>
      <c r="W47" s="46" t="s">
        <v>1052</v>
      </c>
    </row>
    <row r="48" spans="1:23" ht="15" x14ac:dyDescent="0.25">
      <c r="J48" s="46" t="s">
        <v>929</v>
      </c>
      <c r="K48" t="s">
        <v>989</v>
      </c>
      <c r="L48" s="7" t="s">
        <v>32</v>
      </c>
      <c r="T48" s="46" t="s">
        <v>989</v>
      </c>
      <c r="U48" s="46" t="s">
        <v>1053</v>
      </c>
      <c r="V48" s="46" t="s">
        <v>929</v>
      </c>
      <c r="W48" s="46" t="s">
        <v>1053</v>
      </c>
    </row>
    <row r="49" spans="10:23" ht="15" x14ac:dyDescent="0.25">
      <c r="J49" s="46" t="s">
        <v>930</v>
      </c>
      <c r="K49" t="s">
        <v>990</v>
      </c>
      <c r="L49" s="7" t="s">
        <v>33</v>
      </c>
      <c r="T49" s="46" t="s">
        <v>990</v>
      </c>
      <c r="U49" s="46" t="s">
        <v>1054</v>
      </c>
      <c r="V49" s="46" t="s">
        <v>930</v>
      </c>
      <c r="W49" s="46" t="s">
        <v>1054</v>
      </c>
    </row>
    <row r="50" spans="10:23" ht="15" x14ac:dyDescent="0.25">
      <c r="J50" s="46" t="s">
        <v>931</v>
      </c>
      <c r="K50" t="s">
        <v>991</v>
      </c>
      <c r="L50" s="7" t="s">
        <v>33</v>
      </c>
      <c r="T50" s="46" t="s">
        <v>991</v>
      </c>
      <c r="U50" s="46" t="s">
        <v>1055</v>
      </c>
      <c r="V50" s="46" t="s">
        <v>931</v>
      </c>
      <c r="W50" s="46" t="s">
        <v>1055</v>
      </c>
    </row>
    <row r="51" spans="10:23" ht="15" x14ac:dyDescent="0.25">
      <c r="J51" s="46" t="s">
        <v>932</v>
      </c>
      <c r="K51" t="s">
        <v>992</v>
      </c>
      <c r="L51" s="7" t="s">
        <v>34</v>
      </c>
      <c r="T51" s="46" t="s">
        <v>992</v>
      </c>
      <c r="U51" s="46" t="s">
        <v>1056</v>
      </c>
      <c r="V51" s="46" t="s">
        <v>932</v>
      </c>
      <c r="W51" s="46" t="s">
        <v>1056</v>
      </c>
    </row>
    <row r="52" spans="10:23" ht="13.5" x14ac:dyDescent="0.2">
      <c r="T52" s="46" t="s">
        <v>1057</v>
      </c>
      <c r="U52" s="46" t="s">
        <v>1058</v>
      </c>
      <c r="V52" s="46" t="s">
        <v>933</v>
      </c>
      <c r="W52" s="46" t="s">
        <v>1059</v>
      </c>
    </row>
    <row r="53" spans="10:23" ht="13.5" x14ac:dyDescent="0.2">
      <c r="T53" s="46" t="s">
        <v>994</v>
      </c>
      <c r="U53" s="46" t="s">
        <v>1060</v>
      </c>
      <c r="V53" s="46" t="s">
        <v>934</v>
      </c>
      <c r="W53" s="46" t="s">
        <v>1061</v>
      </c>
    </row>
    <row r="54" spans="10:23" ht="13.5" x14ac:dyDescent="0.2">
      <c r="T54" s="46" t="s">
        <v>995</v>
      </c>
      <c r="U54" s="46" t="s">
        <v>1062</v>
      </c>
      <c r="V54" s="46" t="s">
        <v>935</v>
      </c>
      <c r="W54" s="46" t="s">
        <v>1063</v>
      </c>
    </row>
    <row r="55" spans="10:23" ht="13.5" x14ac:dyDescent="0.2">
      <c r="T55" s="46" t="s">
        <v>996</v>
      </c>
      <c r="U55" s="46" t="s">
        <v>1064</v>
      </c>
      <c r="V55" s="46" t="s">
        <v>936</v>
      </c>
      <c r="W55" s="46" t="s">
        <v>1065</v>
      </c>
    </row>
    <row r="56" spans="10:23" ht="13.5" x14ac:dyDescent="0.2">
      <c r="T56" s="46" t="s">
        <v>997</v>
      </c>
      <c r="U56" s="46" t="s">
        <v>814</v>
      </c>
      <c r="V56" s="46" t="s">
        <v>937</v>
      </c>
      <c r="W56" s="46" t="s">
        <v>1066</v>
      </c>
    </row>
    <row r="57" spans="10:23" ht="13.5" x14ac:dyDescent="0.2">
      <c r="T57" s="46" t="s">
        <v>998</v>
      </c>
      <c r="U57" s="46" t="s">
        <v>815</v>
      </c>
      <c r="V57" s="46" t="s">
        <v>938</v>
      </c>
      <c r="W57" s="46" t="s">
        <v>1067</v>
      </c>
    </row>
    <row r="58" spans="10:23" ht="13.5" x14ac:dyDescent="0.2">
      <c r="T58" s="46" t="s">
        <v>999</v>
      </c>
      <c r="U58" s="46" t="s">
        <v>1068</v>
      </c>
      <c r="V58" s="46" t="s">
        <v>939</v>
      </c>
      <c r="W58" s="46" t="s">
        <v>1069</v>
      </c>
    </row>
    <row r="59" spans="10:23" ht="13.5" x14ac:dyDescent="0.2">
      <c r="T59" s="46" t="s">
        <v>1000</v>
      </c>
      <c r="U59" s="46" t="s">
        <v>1070</v>
      </c>
      <c r="V59" s="46" t="s">
        <v>940</v>
      </c>
      <c r="W59" s="46" t="s">
        <v>1071</v>
      </c>
    </row>
    <row r="60" spans="10:23" ht="13.5" x14ac:dyDescent="0.2">
      <c r="T60" s="46" t="s">
        <v>1001</v>
      </c>
      <c r="U60" s="46" t="s">
        <v>1072</v>
      </c>
      <c r="V60" s="46" t="s">
        <v>941</v>
      </c>
      <c r="W60" s="46" t="s">
        <v>1073</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OECD_TTL</vt:lpstr>
      <vt:lpstr>Calculated IO Table</vt:lpstr>
      <vt:lpstr>TIOT</vt:lpstr>
      <vt:lpstr>NAICS to ISIC Key</vt:lpstr>
      <vt:lpstr>ISIC Code Meanings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Robbie Orvis</cp:lastModifiedBy>
  <dcterms:created xsi:type="dcterms:W3CDTF">2019-12-02T22:49:06Z</dcterms:created>
  <dcterms:modified xsi:type="dcterms:W3CDTF">2026-07-07T18:42:57Z</dcterms:modified>
</cp:coreProperties>
</file>