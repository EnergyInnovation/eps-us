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BEA Data" sheetId="2" state="visible" r:id="rId2"/>
    <sheet xmlns:r="http://schemas.openxmlformats.org/officeDocument/2006/relationships" name="AEO 2025 Table 20" sheetId="3" state="visible" r:id="rId3"/>
    <sheet xmlns:r="http://schemas.openxmlformats.org/officeDocument/2006/relationships" name="AEO 2026 Table 20" sheetId="4" state="visible" r:id="rId4"/>
    <sheet xmlns:r="http://schemas.openxmlformats.org/officeDocument/2006/relationships" name="calcs" sheetId="5" state="visible" r:id="rId5"/>
    <sheet xmlns:r="http://schemas.openxmlformats.org/officeDocument/2006/relationships" name="BGDP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E+00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b val="1"/>
      <color indexed="30"/>
      <sz val="12"/>
    </font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7" fillId="0" borderId="0"/>
    <xf numFmtId="0" fontId="2" fillId="0" borderId="0"/>
    <xf numFmtId="0" fontId="4" fillId="0" borderId="0"/>
    <xf numFmtId="0" fontId="5" fillId="0" borderId="1" applyAlignment="1">
      <alignment wrapText="1"/>
    </xf>
    <xf numFmtId="0" fontId="4" fillId="0" borderId="0"/>
    <xf numFmtId="0" fontId="6" fillId="0" borderId="0" applyAlignment="1">
      <alignment horizontal="left"/>
    </xf>
    <xf numFmtId="0" fontId="5" fillId="0" borderId="2" applyAlignment="1">
      <alignment wrapText="1"/>
    </xf>
    <xf numFmtId="0" fontId="4" fillId="0" borderId="3" applyAlignment="1">
      <alignment wrapText="1"/>
    </xf>
    <xf numFmtId="0" fontId="4" fillId="0" borderId="4" applyAlignment="1">
      <alignment wrapText="1"/>
    </xf>
    <xf numFmtId="9" fontId="7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 wrapText="1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indent="1"/>
    </xf>
    <xf numFmtId="0" fontId="0" fillId="3" borderId="0" pivotButton="0" quotePrefix="0" xfId="0"/>
    <xf numFmtId="10" fontId="0" fillId="0" borderId="0" pivotButton="0" quotePrefix="0" xfId="0"/>
    <xf numFmtId="0" fontId="0" fillId="4" borderId="0" pivotButton="0" quotePrefix="0" xfId="0"/>
    <xf numFmtId="10" fontId="0" fillId="4" borderId="0" pivotButton="0" quotePrefix="0" xfId="0"/>
    <xf numFmtId="9" fontId="0" fillId="0" borderId="0" pivotButton="0" quotePrefix="0" xfId="9"/>
    <xf numFmtId="0" fontId="0" fillId="3" borderId="0" applyAlignment="1" pivotButton="0" quotePrefix="0" xfId="0">
      <alignment horizontal="right"/>
    </xf>
    <xf numFmtId="164" fontId="0" fillId="3" borderId="0" pivotButton="0" quotePrefix="0" xfId="0"/>
    <xf numFmtId="164" fontId="0" fillId="0" borderId="0" pivotButton="0" quotePrefix="0" xfId="0"/>
  </cellXfs>
  <cellStyles count="10">
    <cellStyle name="Normal" xfId="0" builtinId="0"/>
    <cellStyle name="Hyperlink" xfId="1" builtinId="8"/>
    <cellStyle name="Font: Calibri, 9pt regular" xfId="2"/>
    <cellStyle name="Header: bottom row" xfId="3"/>
    <cellStyle name="Normal 2" xfId="4"/>
    <cellStyle name="Table title" xfId="5"/>
    <cellStyle name="Parent row" xfId="6"/>
    <cellStyle name="Body: normal cell" xfId="7"/>
    <cellStyle name="Footnotes: top row" xfId="8"/>
    <cellStyle name="Percent" xfId="9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s.bea.gov/iTable/?isuri=1&amp;reqid=151&amp;step=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tabSelected="1" workbookViewId="0">
      <selection activeCell="B17" sqref="B17"/>
    </sheetView>
  </sheetViews>
  <sheetFormatPr baseColWidth="8" defaultRowHeight="15"/>
  <cols>
    <col width="77.5703125" customWidth="1" min="2" max="2"/>
  </cols>
  <sheetData>
    <row r="1">
      <c r="A1" s="1" t="inlineStr">
        <is>
          <t>BGDP BAU Gross Domestic Product</t>
        </is>
      </c>
    </row>
    <row r="3">
      <c r="A3" s="1" t="inlineStr">
        <is>
          <t>Source:</t>
        </is>
      </c>
      <c r="B3" s="8" t="inlineStr">
        <is>
          <t>2021 Data</t>
        </is>
      </c>
    </row>
    <row r="4">
      <c r="B4" t="inlineStr">
        <is>
          <t>BEA</t>
        </is>
      </c>
    </row>
    <row r="5">
      <c r="B5" s="2" t="n">
        <v>2025</v>
      </c>
    </row>
    <row r="6">
      <c r="B6" t="inlineStr">
        <is>
          <t>Industry File Download</t>
        </is>
      </c>
    </row>
    <row r="7">
      <c r="B7" s="3" t="inlineStr">
        <is>
          <t>https://apps.bea.gov/iTable/?isuri=1&amp;reqid=151&amp;step=1</t>
        </is>
      </c>
    </row>
    <row r="8">
      <c r="B8" s="11" t="inlineStr">
        <is>
          <t>Value Added by Industry</t>
        </is>
      </c>
    </row>
    <row r="10">
      <c r="B10" s="8" t="inlineStr">
        <is>
          <t>Projections</t>
        </is>
      </c>
    </row>
    <row r="11">
      <c r="B11" t="inlineStr">
        <is>
          <t>EIA</t>
        </is>
      </c>
    </row>
    <row r="12">
      <c r="B12" s="2" t="n">
        <v>2026</v>
      </c>
    </row>
    <row r="13">
      <c r="B13" t="inlineStr">
        <is>
          <t>Annual Energy Outlook 2026</t>
        </is>
      </c>
    </row>
    <row r="14">
      <c r="B14" s="3" t="inlineStr">
        <is>
          <t>https://www.eia.gov/outlooks/aeo/tables_ref.php</t>
        </is>
      </c>
    </row>
    <row r="15">
      <c r="B15" s="11" t="inlineStr">
        <is>
          <t>Table 20</t>
        </is>
      </c>
    </row>
    <row r="16">
      <c r="B16" t="inlineStr">
        <is>
          <t>Alternative Electricity and Transportation</t>
        </is>
      </c>
    </row>
    <row r="17">
      <c r="A17" s="1" t="inlineStr">
        <is>
          <t>Notes</t>
        </is>
      </c>
    </row>
    <row r="18">
      <c r="A18" t="inlineStr">
        <is>
          <t>We use historical data from BEA for 2021 and 2022, then scale by the growth in GDP in the AEO.</t>
        </is>
      </c>
    </row>
    <row r="19">
      <c r="A19" s="1" t="n"/>
    </row>
    <row r="20">
      <c r="A20" t="n">
        <v>0.8473041296084436</v>
      </c>
      <c r="B20" t="inlineStr">
        <is>
          <t>2021 to 2012 USD</t>
        </is>
      </c>
    </row>
    <row r="21">
      <c r="A21" t="n">
        <v>0.7845210230476158</v>
      </c>
      <c r="B21" t="inlineStr">
        <is>
          <t>2022 to 2012 USD</t>
        </is>
      </c>
    </row>
    <row r="22">
      <c r="A22" t="n">
        <v>0.7535034230165867</v>
      </c>
      <c r="B22" t="inlineStr">
        <is>
          <t>2023 to 2012 USD</t>
        </is>
      </c>
    </row>
    <row r="23">
      <c r="A23" t="n">
        <v>0.7319160059804455</v>
      </c>
      <c r="B23" t="inlineStr">
        <is>
          <t>2024 to 2012 USD</t>
        </is>
      </c>
    </row>
  </sheetData>
  <hyperlinks>
    <hyperlink xmlns:r="http://schemas.openxmlformats.org/officeDocument/2006/relationships" ref="B7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D5" sqref="D5"/>
    </sheetView>
  </sheetViews>
  <sheetFormatPr baseColWidth="8" defaultRowHeight="15"/>
  <cols>
    <col width="13.140625" customWidth="1" min="1" max="1"/>
    <col width="21" customWidth="1" min="2" max="2"/>
    <col width="10.85546875" customWidth="1" min="3" max="3"/>
    <col width="13" customWidth="1" min="4" max="4"/>
    <col width="17" customWidth="1" min="5" max="7"/>
  </cols>
  <sheetData>
    <row r="1">
      <c r="A1" s="1" t="inlineStr">
        <is>
          <t>2025 Data:</t>
        </is>
      </c>
      <c r="B1" s="1" t="inlineStr">
        <is>
          <t>[Millions of dollars]</t>
        </is>
      </c>
      <c r="C1" t="inlineStr">
        <is>
          <t>(nominal)</t>
        </is>
      </c>
      <c r="E1" s="4" t="n"/>
    </row>
    <row r="2">
      <c r="A2" s="7" t="inlineStr">
        <is>
          <t>Line</t>
        </is>
      </c>
      <c r="B2" s="7" t="n"/>
      <c r="C2" s="8" t="inlineStr">
        <is>
          <t>ISIC Code</t>
        </is>
      </c>
      <c r="D2" s="9" t="inlineStr">
        <is>
          <t>2021</t>
        </is>
      </c>
      <c r="E2" s="9" t="inlineStr">
        <is>
          <t>2022</t>
        </is>
      </c>
      <c r="F2" s="9" t="inlineStr">
        <is>
          <t>2023</t>
        </is>
      </c>
      <c r="G2" s="9" t="inlineStr">
        <is>
          <t>2024</t>
        </is>
      </c>
    </row>
    <row r="3">
      <c r="A3" t="inlineStr">
        <is>
          <t>1</t>
        </is>
      </c>
      <c r="B3" t="inlineStr">
        <is>
          <t xml:space="preserve">    Gross domestic product</t>
        </is>
      </c>
      <c r="D3" s="10" t="n">
        <v>23725645</v>
      </c>
      <c r="E3" s="10" t="n">
        <v>26054614</v>
      </c>
      <c r="F3" s="10" t="n">
        <v>27811517</v>
      </c>
      <c r="G3" s="10" t="n">
        <v>29298013</v>
      </c>
    </row>
    <row r="5">
      <c r="B5" s="12" t="n"/>
      <c r="C5" s="17" t="inlineStr">
        <is>
          <t>in 2012 USD:</t>
        </is>
      </c>
      <c r="D5">
        <f t="array" ref="D5:G5">D3:G3*TRANSPOSE(About!A20:A23)</f>
        <v/>
      </c>
      <c r="E5" t="n">
        <v>20440392.43039073</v>
      </c>
      <c r="F5" t="n">
        <v>20956073.25878399</v>
      </c>
      <c r="G5" t="n">
        <v>21443684.65812317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53"/>
  <sheetViews>
    <sheetView workbookViewId="0">
      <selection activeCell="F5" sqref="F5:AF6"/>
    </sheetView>
  </sheetViews>
  <sheetFormatPr baseColWidth="8" defaultRowHeight="15"/>
  <cols>
    <col width="10.85546875" bestFit="1" customWidth="1" min="8" max="8"/>
  </cols>
  <sheetData>
    <row r="1">
      <c r="A1" t="inlineStr">
        <is>
          <t>Table 20.  Macroeconomic Indicators</t>
        </is>
      </c>
    </row>
    <row r="2">
      <c r="A2" t="inlineStr">
        <is>
          <t>https://www.eia.gov/outlooks/aeo/data/browser/#/?id=18-AEO2025&amp;cases=highZTC&amp;sourcekey=0</t>
        </is>
      </c>
    </row>
    <row r="3">
      <c r="A3" t="inlineStr">
        <is>
          <t>Tue Dec 02 2025 13:21:36 GMT-0800 (Pacific Standard Time)</t>
        </is>
      </c>
    </row>
    <row r="4">
      <c r="A4" t="inlineStr">
        <is>
          <t>Source: U.S. Energy Information Administration</t>
        </is>
      </c>
      <c r="H4">
        <f>G6/F6*'BEA Data'!G5</f>
        <v/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 customFormat="1" s="14">
      <c r="A6" s="14" t="inlineStr">
        <is>
          <t>Real Gross Domestic Product</t>
        </is>
      </c>
      <c r="B6" s="14" t="inlineStr">
        <is>
          <t>Macroeconomic Indicators: Real Gross Domestic Product: High Zero-Carbon Technology Cost</t>
        </is>
      </c>
      <c r="C6" s="14" t="inlineStr">
        <is>
          <t>AEO.2025.HIGHZTC.ECI_NA_NA_NA_GDP_REAL_NA_BLNY09DLR.A</t>
        </is>
      </c>
      <c r="D6" s="14" t="inlineStr">
        <is>
          <t>billion 2012  $</t>
        </is>
      </c>
      <c r="F6" s="14" t="n">
        <v>21699.671875</v>
      </c>
      <c r="G6" s="14" t="n">
        <v>22171.929688</v>
      </c>
      <c r="H6" s="14" t="n">
        <v>22685.953125</v>
      </c>
      <c r="I6" s="14" t="n">
        <v>23162.595703</v>
      </c>
      <c r="J6" s="14" t="n">
        <v>23590.015625</v>
      </c>
      <c r="K6" s="14" t="n">
        <v>24042.869141</v>
      </c>
      <c r="L6" s="14" t="n">
        <v>24479.318359</v>
      </c>
      <c r="M6" s="14" t="n">
        <v>24877.939453</v>
      </c>
      <c r="N6" s="14" t="n">
        <v>25299.824219</v>
      </c>
      <c r="O6" s="14" t="n">
        <v>25731.902344</v>
      </c>
      <c r="P6" s="14" t="n">
        <v>26166.296875</v>
      </c>
      <c r="Q6" s="14" t="n">
        <v>26621.835938</v>
      </c>
      <c r="R6" s="14" t="n">
        <v>27077.875</v>
      </c>
      <c r="S6" s="14" t="n">
        <v>27546.341797</v>
      </c>
      <c r="T6" s="14" t="n">
        <v>28018.710938</v>
      </c>
      <c r="U6" s="14" t="n">
        <v>28503.035156</v>
      </c>
      <c r="V6" s="14" t="n">
        <v>29003.939453</v>
      </c>
      <c r="W6" s="14" t="n">
        <v>29486.919922</v>
      </c>
      <c r="X6" s="14" t="n">
        <v>29991.914062</v>
      </c>
      <c r="Y6" s="14" t="n">
        <v>30494.671875</v>
      </c>
      <c r="Z6" s="14" t="n">
        <v>30998.292969</v>
      </c>
      <c r="AA6" s="14" t="n">
        <v>31501.849609</v>
      </c>
      <c r="AB6" s="14" t="n">
        <v>32021.367188</v>
      </c>
      <c r="AC6" s="14" t="n">
        <v>32546.509766</v>
      </c>
      <c r="AD6" s="14" t="n">
        <v>33074.625</v>
      </c>
      <c r="AE6" s="14" t="n">
        <v>33617.65625</v>
      </c>
      <c r="AF6" s="14" t="n">
        <v>34162.722656</v>
      </c>
      <c r="AG6" s="15" t="n">
        <v>0.018</v>
      </c>
    </row>
    <row r="7">
      <c r="A7" t="inlineStr">
        <is>
          <t>Components of Real Gross Domestic Product</t>
        </is>
      </c>
    </row>
    <row r="8">
      <c r="A8" t="inlineStr">
        <is>
          <t>Real Consumption</t>
        </is>
      </c>
      <c r="B8" t="inlineStr">
        <is>
          <t>Macroeconomic Indicators: GDP Components: Real Consumption: High Zero-Carbon Technology Cost</t>
        </is>
      </c>
      <c r="C8" t="inlineStr">
        <is>
          <t>AEO.2025.HIGHZTC.ECI_NA_NA_NA_GDP_RCNSP_NA_BLNY09DLR.A</t>
        </is>
      </c>
      <c r="D8" t="inlineStr">
        <is>
          <t>billion 2012  $</t>
        </is>
      </c>
      <c r="F8" t="n">
        <v>15151.048828</v>
      </c>
      <c r="G8" t="n">
        <v>15524.572266</v>
      </c>
      <c r="H8" t="n">
        <v>15926.875</v>
      </c>
      <c r="I8" t="n">
        <v>16368.389648</v>
      </c>
      <c r="J8" t="n">
        <v>16790.757812</v>
      </c>
      <c r="K8" t="n">
        <v>17202.304688</v>
      </c>
      <c r="L8" t="n">
        <v>17601.259766</v>
      </c>
      <c r="M8" t="n">
        <v>17987.453125</v>
      </c>
      <c r="N8" t="n">
        <v>18384.164062</v>
      </c>
      <c r="O8" t="n">
        <v>18798.505859</v>
      </c>
      <c r="P8" t="n">
        <v>19221.488281</v>
      </c>
      <c r="Q8" t="n">
        <v>19634.119141</v>
      </c>
      <c r="R8" t="n">
        <v>20038.617188</v>
      </c>
      <c r="S8" t="n">
        <v>20454.4375</v>
      </c>
      <c r="T8" t="n">
        <v>20860.751953</v>
      </c>
      <c r="U8" t="n">
        <v>21268.019531</v>
      </c>
      <c r="V8" t="n">
        <v>21682.087891</v>
      </c>
      <c r="W8" t="n">
        <v>22091.867188</v>
      </c>
      <c r="X8" t="n">
        <v>22505.357422</v>
      </c>
      <c r="Y8" t="n">
        <v>22920.322266</v>
      </c>
      <c r="Z8" t="n">
        <v>23337.054688</v>
      </c>
      <c r="AA8" t="n">
        <v>23747.720703</v>
      </c>
      <c r="AB8" t="n">
        <v>24165.929688</v>
      </c>
      <c r="AC8" t="n">
        <v>24601.738281</v>
      </c>
      <c r="AD8" t="n">
        <v>25052.125</v>
      </c>
      <c r="AE8" t="n">
        <v>25519.373047</v>
      </c>
      <c r="AF8" t="n">
        <v>25983.876953</v>
      </c>
      <c r="AG8" s="13" t="n">
        <v>0.021</v>
      </c>
    </row>
    <row r="9">
      <c r="A9" t="inlineStr">
        <is>
          <t>Real Business Fixed Investment</t>
        </is>
      </c>
      <c r="B9" t="inlineStr">
        <is>
          <t>Macroeconomic Indicators: GDP Components: Real Business Fixed Investment: High Zero-Carbon Technology Cost</t>
        </is>
      </c>
      <c r="C9" t="inlineStr">
        <is>
          <t>AEO.2025.HIGHZTC.ECI_NA_NA_NA_GDP_RINV_NA_BLNY09DLR.A</t>
        </is>
      </c>
      <c r="D9" t="inlineStr">
        <is>
          <t>billion 2012  $</t>
        </is>
      </c>
      <c r="F9" t="n">
        <v>3493.940186</v>
      </c>
      <c r="G9" t="n">
        <v>3594.274902</v>
      </c>
      <c r="H9" t="n">
        <v>3649.965088</v>
      </c>
      <c r="I9" t="n">
        <v>3702.768066</v>
      </c>
      <c r="J9" t="n">
        <v>3743.259277</v>
      </c>
      <c r="K9" t="n">
        <v>3788.81958</v>
      </c>
      <c r="L9" t="n">
        <v>3847.733398</v>
      </c>
      <c r="M9" t="n">
        <v>3920.041016</v>
      </c>
      <c r="N9" t="n">
        <v>4008.160889</v>
      </c>
      <c r="O9" t="n">
        <v>4113.016113</v>
      </c>
      <c r="P9" t="n">
        <v>4230.083984</v>
      </c>
      <c r="Q9" t="n">
        <v>4347.656738</v>
      </c>
      <c r="R9" t="n">
        <v>4442.969727</v>
      </c>
      <c r="S9" t="n">
        <v>4543.996582</v>
      </c>
      <c r="T9" t="n">
        <v>4646.40918</v>
      </c>
      <c r="U9" t="n">
        <v>4749.912598</v>
      </c>
      <c r="V9" t="n">
        <v>4858.616699</v>
      </c>
      <c r="W9" t="n">
        <v>4967.812012</v>
      </c>
      <c r="X9" t="n">
        <v>5077.726562</v>
      </c>
      <c r="Y9" t="n">
        <v>5191.708008</v>
      </c>
      <c r="Z9" t="n">
        <v>5302.592285</v>
      </c>
      <c r="AA9" t="n">
        <v>5413.768555</v>
      </c>
      <c r="AB9" t="n">
        <v>5525.905762</v>
      </c>
      <c r="AC9" t="n">
        <v>5645.53125</v>
      </c>
      <c r="AD9" t="n">
        <v>5763.834473</v>
      </c>
      <c r="AE9" t="n">
        <v>5887.236816</v>
      </c>
      <c r="AF9" t="n">
        <v>6010.665039</v>
      </c>
      <c r="AG9" s="13" t="n">
        <v>0.021</v>
      </c>
    </row>
    <row r="10">
      <c r="A10" t="inlineStr">
        <is>
          <t>Real Government Spending</t>
        </is>
      </c>
      <c r="B10" t="inlineStr">
        <is>
          <t>Macroeconomic Indicators: GDP Components: Real Government Spending: High Zero-Carbon Technology Cost</t>
        </is>
      </c>
      <c r="C10" t="inlineStr">
        <is>
          <t>AEO.2025.HIGHZTC.ECI_NA_NA_NA_GDP_RGSP_NA_BLNY09DLR.A</t>
        </is>
      </c>
      <c r="D10" t="inlineStr">
        <is>
          <t>billion 2012  $</t>
        </is>
      </c>
      <c r="F10" t="n">
        <v>3663.099609</v>
      </c>
      <c r="G10" t="n">
        <v>3692.658203</v>
      </c>
      <c r="H10" t="n">
        <v>3702.429443</v>
      </c>
      <c r="I10" t="n">
        <v>3705.206787</v>
      </c>
      <c r="J10" t="n">
        <v>3700.452148</v>
      </c>
      <c r="K10" t="n">
        <v>3692.942383</v>
      </c>
      <c r="L10" t="n">
        <v>3692.636475</v>
      </c>
      <c r="M10" t="n">
        <v>3683.720459</v>
      </c>
      <c r="N10" t="n">
        <v>3684.817871</v>
      </c>
      <c r="O10" t="n">
        <v>3687.054199</v>
      </c>
      <c r="P10" t="n">
        <v>3686.151855</v>
      </c>
      <c r="Q10" t="n">
        <v>3695.817139</v>
      </c>
      <c r="R10" t="n">
        <v>3716.425293</v>
      </c>
      <c r="S10" t="n">
        <v>3739.574219</v>
      </c>
      <c r="T10" t="n">
        <v>3763.750732</v>
      </c>
      <c r="U10" t="n">
        <v>3787.489258</v>
      </c>
      <c r="V10" t="n">
        <v>3815.957275</v>
      </c>
      <c r="W10" t="n">
        <v>3832.676025</v>
      </c>
      <c r="X10" t="n">
        <v>3856.480469</v>
      </c>
      <c r="Y10" t="n">
        <v>3879.949463</v>
      </c>
      <c r="Z10" t="n">
        <v>3900.893799</v>
      </c>
      <c r="AA10" t="n">
        <v>3921.02002</v>
      </c>
      <c r="AB10" t="n">
        <v>3941.85791</v>
      </c>
      <c r="AC10" t="n">
        <v>3959.268799</v>
      </c>
      <c r="AD10" t="n">
        <v>3977.983398</v>
      </c>
      <c r="AE10" t="n">
        <v>3997.874023</v>
      </c>
      <c r="AF10" t="n">
        <v>4025.757324</v>
      </c>
      <c r="AG10" s="13" t="n">
        <v>0.004</v>
      </c>
    </row>
    <row r="11">
      <c r="A11" t="inlineStr">
        <is>
          <t>Real Exports</t>
        </is>
      </c>
      <c r="B11" t="inlineStr">
        <is>
          <t>Macroeconomic Indicators: GDP Components: Real Exports: High Zero-Carbon Technology Cost</t>
        </is>
      </c>
      <c r="C11" t="inlineStr">
        <is>
          <t>AEO.2025.HIGHZTC.ECI_NA_NA_NA_GDP_REXP_NA_BLNY09DLR.A</t>
        </is>
      </c>
      <c r="D11" t="inlineStr">
        <is>
          <t>billion 2012  $</t>
        </is>
      </c>
      <c r="F11" t="n">
        <v>2721.996582</v>
      </c>
      <c r="G11" t="n">
        <v>2817.294678</v>
      </c>
      <c r="H11" t="n">
        <v>2907.773193</v>
      </c>
      <c r="I11" t="n">
        <v>3020.005371</v>
      </c>
      <c r="J11" t="n">
        <v>3130.076416</v>
      </c>
      <c r="K11" t="n">
        <v>3230.909912</v>
      </c>
      <c r="L11" t="n">
        <v>3328.460205</v>
      </c>
      <c r="M11" t="n">
        <v>3416.292969</v>
      </c>
      <c r="N11" t="n">
        <v>3509.299072</v>
      </c>
      <c r="O11" t="n">
        <v>3589.12085</v>
      </c>
      <c r="P11" t="n">
        <v>3685.481201</v>
      </c>
      <c r="Q11" t="n">
        <v>3762.872559</v>
      </c>
      <c r="R11" t="n">
        <v>3821.49292</v>
      </c>
      <c r="S11" t="n">
        <v>3883.985107</v>
      </c>
      <c r="T11" t="n">
        <v>3946.661865</v>
      </c>
      <c r="U11" t="n">
        <v>4015.374756</v>
      </c>
      <c r="V11" t="n">
        <v>4087.000977</v>
      </c>
      <c r="W11" t="n">
        <v>4157.402344</v>
      </c>
      <c r="X11" t="n">
        <v>4230.541504</v>
      </c>
      <c r="Y11" t="n">
        <v>4302.790039</v>
      </c>
      <c r="Z11" t="n">
        <v>4378.001953</v>
      </c>
      <c r="AA11" t="n">
        <v>4441.743164</v>
      </c>
      <c r="AB11" t="n">
        <v>4512.819336</v>
      </c>
      <c r="AC11" t="n">
        <v>4584.194824</v>
      </c>
      <c r="AD11" t="n">
        <v>4643.154785</v>
      </c>
      <c r="AE11" t="n">
        <v>4699.083496</v>
      </c>
      <c r="AF11" t="n">
        <v>4750.366211</v>
      </c>
      <c r="AG11" s="13" t="n">
        <v>0.022</v>
      </c>
    </row>
    <row r="12">
      <c r="A12" t="inlineStr">
        <is>
          <t>Real Imports</t>
        </is>
      </c>
      <c r="B12" t="inlineStr">
        <is>
          <t>Macroeconomic Indicators: GDP Components: Real Imports: High Zero-Carbon Technology Cost</t>
        </is>
      </c>
      <c r="C12" t="inlineStr">
        <is>
          <t>AEO.2025.HIGHZTC.ECI_NA_NA_NA_GDP_RIMP_NA_BLNY09DLR.A</t>
        </is>
      </c>
      <c r="D12" t="inlineStr">
        <is>
          <t>billion 2012  $</t>
        </is>
      </c>
      <c r="F12" t="n">
        <v>4085.130371</v>
      </c>
      <c r="G12" t="n">
        <v>4233.834473</v>
      </c>
      <c r="H12" t="n">
        <v>4349.933105</v>
      </c>
      <c r="I12" t="n">
        <v>4482.450195</v>
      </c>
      <c r="J12" t="n">
        <v>4617.819824</v>
      </c>
      <c r="K12" t="n">
        <v>4748.723145</v>
      </c>
      <c r="L12" t="n">
        <v>4891.594238</v>
      </c>
      <c r="M12" t="n">
        <v>5038.959961</v>
      </c>
      <c r="N12" t="n">
        <v>5209.848145</v>
      </c>
      <c r="O12" t="n">
        <v>5367.569824</v>
      </c>
      <c r="P12" t="n">
        <v>5568.17627</v>
      </c>
      <c r="Q12" t="n">
        <v>5712.379883</v>
      </c>
      <c r="R12" t="n">
        <v>5821.236328</v>
      </c>
      <c r="S12" t="n">
        <v>5943.608398</v>
      </c>
      <c r="T12" t="n">
        <v>6033.525391</v>
      </c>
      <c r="U12" t="n">
        <v>6125.297363</v>
      </c>
      <c r="V12" t="n">
        <v>6213.26709</v>
      </c>
      <c r="W12" t="n">
        <v>6286.727051</v>
      </c>
      <c r="X12" t="n">
        <v>6369.73584</v>
      </c>
      <c r="Y12" t="n">
        <v>6443.523438</v>
      </c>
      <c r="Z12" t="n">
        <v>6522.733398</v>
      </c>
      <c r="AA12" t="n">
        <v>6587.856934</v>
      </c>
      <c r="AB12" t="n">
        <v>6664.949707</v>
      </c>
      <c r="AC12" t="n">
        <v>6768.418457</v>
      </c>
      <c r="AD12" t="n">
        <v>6865.898438</v>
      </c>
      <c r="AE12" t="n">
        <v>6979.140625</v>
      </c>
      <c r="AF12" t="n">
        <v>7082.506836</v>
      </c>
      <c r="AG12" s="13" t="n">
        <v>0.021</v>
      </c>
    </row>
    <row r="13">
      <c r="A13" t="inlineStr">
        <is>
          <t>Energy Intensity</t>
        </is>
      </c>
    </row>
    <row r="14">
      <c r="A14" t="inlineStr">
        <is>
          <t>(thousand Btu per 2012 dollar of GDP)</t>
        </is>
      </c>
    </row>
    <row r="15">
      <c r="A15" t="inlineStr">
        <is>
          <t>Delivered Energy</t>
        </is>
      </c>
      <c r="B15" t="inlineStr">
        <is>
          <t>Macroeconomic Indicators: Energy Intensity: Delivered Energy: High Zero-Carbon Technology Cost</t>
        </is>
      </c>
      <c r="C15" t="inlineStr">
        <is>
          <t>AEO.2025.HIGHZTC.INY_NA_NA_NA_DELE_NA_NA_THBTUPDLRGDP.A</t>
        </is>
      </c>
      <c r="D15" t="inlineStr">
        <is>
          <t>thousand Btu/$ GDP</t>
        </is>
      </c>
      <c r="F15" t="n">
        <v>3.428446</v>
      </c>
      <c r="G15" t="n">
        <v>3.411206</v>
      </c>
      <c r="H15" t="n">
        <v>3.342017</v>
      </c>
      <c r="I15" t="n">
        <v>3.275083</v>
      </c>
      <c r="J15" t="n">
        <v>3.217942</v>
      </c>
      <c r="K15" t="n">
        <v>3.154305</v>
      </c>
      <c r="L15" t="n">
        <v>3.091216</v>
      </c>
      <c r="M15" t="n">
        <v>3.032044</v>
      </c>
      <c r="N15" t="n">
        <v>2.970481</v>
      </c>
      <c r="O15" t="n">
        <v>2.904588</v>
      </c>
      <c r="P15" t="n">
        <v>2.84617</v>
      </c>
      <c r="Q15" t="n">
        <v>2.788277</v>
      </c>
      <c r="R15" t="n">
        <v>2.734798</v>
      </c>
      <c r="S15" t="n">
        <v>2.68155</v>
      </c>
      <c r="T15" t="n">
        <v>2.632799</v>
      </c>
      <c r="U15" t="n">
        <v>2.587637</v>
      </c>
      <c r="V15" t="n">
        <v>2.546635</v>
      </c>
      <c r="W15" t="n">
        <v>2.505724</v>
      </c>
      <c r="X15" t="n">
        <v>2.464391</v>
      </c>
      <c r="Y15" t="n">
        <v>2.426893</v>
      </c>
      <c r="Z15" t="n">
        <v>2.392449</v>
      </c>
      <c r="AA15" t="n">
        <v>2.360774</v>
      </c>
      <c r="AB15" t="n">
        <v>2.328157</v>
      </c>
      <c r="AC15" t="n">
        <v>2.300343</v>
      </c>
      <c r="AD15" t="n">
        <v>2.269897</v>
      </c>
      <c r="AE15" t="n">
        <v>2.242767</v>
      </c>
      <c r="AF15" t="n">
        <v>2.216291</v>
      </c>
      <c r="AG15" s="13" t="n">
        <v>-0.017</v>
      </c>
    </row>
    <row r="16">
      <c r="A16" t="inlineStr">
        <is>
          <t>Total Energy</t>
        </is>
      </c>
      <c r="B16" t="inlineStr">
        <is>
          <t>Macroeconomic Indicators: Energy Intensity: Total Energy: High Zero-Carbon Technology Cost</t>
        </is>
      </c>
      <c r="C16" t="inlineStr">
        <is>
          <t>AEO.2025.HIGHZTC.INY_NA_NA_NA_TEN_NA_NA_THBTUPDLRGDP.A</t>
        </is>
      </c>
      <c r="D16" t="inlineStr">
        <is>
          <t>thousand Btu/$ GDP</t>
        </is>
      </c>
      <c r="F16" t="n">
        <v>4.32228</v>
      </c>
      <c r="G16" t="n">
        <v>4.264395</v>
      </c>
      <c r="H16" t="n">
        <v>4.132428</v>
      </c>
      <c r="I16" t="n">
        <v>4.030019</v>
      </c>
      <c r="J16" t="n">
        <v>3.951152</v>
      </c>
      <c r="K16" t="n">
        <v>3.870462</v>
      </c>
      <c r="L16" t="n">
        <v>3.775505</v>
      </c>
      <c r="M16" t="n">
        <v>3.693105</v>
      </c>
      <c r="N16" t="n">
        <v>3.590498</v>
      </c>
      <c r="O16" t="n">
        <v>3.506058</v>
      </c>
      <c r="P16" t="n">
        <v>3.429272</v>
      </c>
      <c r="Q16" t="n">
        <v>3.349698</v>
      </c>
      <c r="R16" t="n">
        <v>3.276012</v>
      </c>
      <c r="S16" t="n">
        <v>3.197353</v>
      </c>
      <c r="T16" t="n">
        <v>3.133636</v>
      </c>
      <c r="U16" t="n">
        <v>3.060143</v>
      </c>
      <c r="V16" t="n">
        <v>3.011317</v>
      </c>
      <c r="W16" t="n">
        <v>2.969604</v>
      </c>
      <c r="X16" t="n">
        <v>2.926789</v>
      </c>
      <c r="Y16" t="n">
        <v>2.885433</v>
      </c>
      <c r="Z16" t="n">
        <v>2.847558</v>
      </c>
      <c r="AA16" t="n">
        <v>2.809716</v>
      </c>
      <c r="AB16" t="n">
        <v>2.77065</v>
      </c>
      <c r="AC16" t="n">
        <v>2.737859</v>
      </c>
      <c r="AD16" t="n">
        <v>2.703419</v>
      </c>
      <c r="AE16" t="n">
        <v>2.672775</v>
      </c>
      <c r="AF16" t="n">
        <v>2.639816</v>
      </c>
      <c r="AG16" s="13" t="n">
        <v>-0.019</v>
      </c>
    </row>
    <row r="17">
      <c r="A17" t="inlineStr">
        <is>
          <t>Price Indices</t>
        </is>
      </c>
    </row>
    <row r="18">
      <c r="A18" t="inlineStr">
        <is>
          <t>GDP Chain-type Price Index (2012=1.000)</t>
        </is>
      </c>
      <c r="B18" t="inlineStr">
        <is>
          <t>Macroeconomic Indicators: Price Indices: GDP Chain-type Price Index: High Zero-Carbon Technology Cost</t>
        </is>
      </c>
      <c r="C18" t="inlineStr">
        <is>
          <t>AEO.2025.HIGHZTC.ECI_INDX_NA_NA_GDP_NA_NA_Y09EQ1D3Z.A</t>
        </is>
      </c>
      <c r="D18" t="inlineStr">
        <is>
          <t>2012=1.000</t>
        </is>
      </c>
      <c r="F18" t="n">
        <v>1.343117</v>
      </c>
      <c r="G18" t="n">
        <v>1.37063</v>
      </c>
      <c r="H18" t="n">
        <v>1.393811</v>
      </c>
      <c r="I18" t="n">
        <v>1.417134</v>
      </c>
      <c r="J18" t="n">
        <v>1.443964</v>
      </c>
      <c r="K18" t="n">
        <v>1.469734</v>
      </c>
      <c r="L18" t="n">
        <v>1.497355</v>
      </c>
      <c r="M18" t="n">
        <v>1.528316</v>
      </c>
      <c r="N18" t="n">
        <v>1.560939</v>
      </c>
      <c r="O18" t="n">
        <v>1.59519</v>
      </c>
      <c r="P18" t="n">
        <v>1.630786</v>
      </c>
      <c r="Q18" t="n">
        <v>1.666277</v>
      </c>
      <c r="R18" t="n">
        <v>1.700817</v>
      </c>
      <c r="S18" t="n">
        <v>1.736221</v>
      </c>
      <c r="T18" t="n">
        <v>1.772393</v>
      </c>
      <c r="U18" t="n">
        <v>1.808899</v>
      </c>
      <c r="V18" t="n">
        <v>1.846825</v>
      </c>
      <c r="W18" t="n">
        <v>1.88623</v>
      </c>
      <c r="X18" t="n">
        <v>1.926926</v>
      </c>
      <c r="Y18" t="n">
        <v>1.969164</v>
      </c>
      <c r="Z18" t="n">
        <v>2.012674</v>
      </c>
      <c r="AA18" t="n">
        <v>2.057508</v>
      </c>
      <c r="AB18" t="n">
        <v>2.103435</v>
      </c>
      <c r="AC18" t="n">
        <v>2.151106</v>
      </c>
      <c r="AD18" t="n">
        <v>2.200072</v>
      </c>
      <c r="AE18" t="n">
        <v>2.250369</v>
      </c>
      <c r="AF18" t="n">
        <v>2.302053</v>
      </c>
      <c r="AG18" s="13" t="n">
        <v>0.021</v>
      </c>
    </row>
    <row r="19">
      <c r="A19" t="inlineStr">
        <is>
          <t>Consumer Price Index (1982-84=1.00)</t>
        </is>
      </c>
    </row>
    <row r="20">
      <c r="A20" t="inlineStr">
        <is>
          <t>All-urban</t>
        </is>
      </c>
      <c r="B20" t="inlineStr">
        <is>
          <t>Macroeconomic Indicators: Consumer Price Index: All-Urban: High Zero-Carbon Technology Cost</t>
        </is>
      </c>
      <c r="C20" t="inlineStr">
        <is>
          <t>AEO.2025.HIGHZTC.ECI_INDX_NA_NA_CPI_URB_NA_IDX82TO84EQ1.A</t>
        </is>
      </c>
      <c r="D20" t="inlineStr">
        <is>
          <t>1982-84=1.00</t>
        </is>
      </c>
      <c r="F20" t="n">
        <v>3.133236</v>
      </c>
      <c r="G20" t="n">
        <v>3.18731</v>
      </c>
      <c r="H20" t="n">
        <v>3.243816</v>
      </c>
      <c r="I20" t="n">
        <v>3.29739</v>
      </c>
      <c r="J20" t="n">
        <v>3.358501</v>
      </c>
      <c r="K20" t="n">
        <v>3.419744</v>
      </c>
      <c r="L20" t="n">
        <v>3.48402</v>
      </c>
      <c r="M20" t="n">
        <v>3.553799</v>
      </c>
      <c r="N20" t="n">
        <v>3.626987</v>
      </c>
      <c r="O20" t="n">
        <v>3.70384</v>
      </c>
      <c r="P20" t="n">
        <v>3.783029</v>
      </c>
      <c r="Q20" t="n">
        <v>3.862728</v>
      </c>
      <c r="R20" t="n">
        <v>3.941548</v>
      </c>
      <c r="S20" t="n">
        <v>4.02279</v>
      </c>
      <c r="T20" t="n">
        <v>4.106466</v>
      </c>
      <c r="U20" t="n">
        <v>4.191313</v>
      </c>
      <c r="V20" t="n">
        <v>4.278983</v>
      </c>
      <c r="W20" t="n">
        <v>4.372421</v>
      </c>
      <c r="X20" t="n">
        <v>4.468499</v>
      </c>
      <c r="Y20" t="n">
        <v>4.569344</v>
      </c>
      <c r="Z20" t="n">
        <v>4.672993</v>
      </c>
      <c r="AA20" t="n">
        <v>4.780564</v>
      </c>
      <c r="AB20" t="n">
        <v>4.890984</v>
      </c>
      <c r="AC20" t="n">
        <v>5.0058</v>
      </c>
      <c r="AD20" t="n">
        <v>5.123957</v>
      </c>
      <c r="AE20" t="n">
        <v>5.246688</v>
      </c>
      <c r="AF20" t="n">
        <v>5.373349</v>
      </c>
      <c r="AG20" s="13" t="n">
        <v>0.021</v>
      </c>
    </row>
    <row r="21">
      <c r="A21" t="inlineStr">
        <is>
          <t>Energy Commodities and Services</t>
        </is>
      </c>
      <c r="B21" t="inlineStr">
        <is>
          <t>Macroeconomic Indicators: Consumer Price Index: Energy Commodities and Services: High Zero-Carbon Technology Cost</t>
        </is>
      </c>
      <c r="C21" t="inlineStr">
        <is>
          <t>AEO.2025.HIGHZTC.ECI_INDX_NA_NA_CPI_ENE_NA_IDX82TO84EQ1.A</t>
        </is>
      </c>
      <c r="D21" t="inlineStr">
        <is>
          <t>1982-84=1.00</t>
        </is>
      </c>
      <c r="F21" t="n">
        <v>2.792508</v>
      </c>
      <c r="G21" t="n">
        <v>2.691455</v>
      </c>
      <c r="H21" t="n">
        <v>2.687613</v>
      </c>
      <c r="I21" t="n">
        <v>2.652168</v>
      </c>
      <c r="J21" t="n">
        <v>2.694916</v>
      </c>
      <c r="K21" t="n">
        <v>2.754513</v>
      </c>
      <c r="L21" t="n">
        <v>2.822355</v>
      </c>
      <c r="M21" t="n">
        <v>2.904072</v>
      </c>
      <c r="N21" t="n">
        <v>2.985838</v>
      </c>
      <c r="O21" t="n">
        <v>3.074229</v>
      </c>
      <c r="P21" t="n">
        <v>3.154155</v>
      </c>
      <c r="Q21" t="n">
        <v>3.222357</v>
      </c>
      <c r="R21" t="n">
        <v>3.283375</v>
      </c>
      <c r="S21" t="n">
        <v>3.345484</v>
      </c>
      <c r="T21" t="n">
        <v>3.41182</v>
      </c>
      <c r="U21" t="n">
        <v>3.473768</v>
      </c>
      <c r="V21" t="n">
        <v>3.537099</v>
      </c>
      <c r="W21" t="n">
        <v>3.624193</v>
      </c>
      <c r="X21" t="n">
        <v>3.703975</v>
      </c>
      <c r="Y21" t="n">
        <v>3.798629</v>
      </c>
      <c r="Z21" t="n">
        <v>3.885333</v>
      </c>
      <c r="AA21" t="n">
        <v>3.978532</v>
      </c>
      <c r="AB21" t="n">
        <v>4.071112</v>
      </c>
      <c r="AC21" t="n">
        <v>4.17385</v>
      </c>
      <c r="AD21" t="n">
        <v>4.280673</v>
      </c>
      <c r="AE21" t="n">
        <v>4.404905</v>
      </c>
      <c r="AF21" t="n">
        <v>4.542088</v>
      </c>
      <c r="AG21" s="13" t="n">
        <v>0.019</v>
      </c>
    </row>
    <row r="22">
      <c r="A22" t="inlineStr">
        <is>
          <t>Wholesale Price Index (1982=1.00)</t>
        </is>
      </c>
    </row>
    <row r="23">
      <c r="A23" t="inlineStr">
        <is>
          <t>All Commodities</t>
        </is>
      </c>
      <c r="B23" t="inlineStr">
        <is>
          <t>Macroeconomic Indicators: Wholesale Price Index: All Commodities: High Zero-Carbon Technology Cost</t>
        </is>
      </c>
      <c r="C23" t="inlineStr">
        <is>
          <t>AEO.2025.HIGHZTC.ECI_INDX_NA_NA_WHP_NA_NA_IDX82EQ1.A</t>
        </is>
      </c>
      <c r="D23" t="inlineStr">
        <is>
          <t>1982=1.00</t>
        </is>
      </c>
      <c r="F23" t="n">
        <v>2.544483</v>
      </c>
      <c r="G23" t="n">
        <v>2.536922</v>
      </c>
      <c r="H23" t="n">
        <v>2.52845</v>
      </c>
      <c r="I23" t="n">
        <v>2.525562</v>
      </c>
      <c r="J23" t="n">
        <v>2.550341</v>
      </c>
      <c r="K23" t="n">
        <v>2.579834</v>
      </c>
      <c r="L23" t="n">
        <v>2.619156</v>
      </c>
      <c r="M23" t="n">
        <v>2.668178</v>
      </c>
      <c r="N23" t="n">
        <v>2.726175</v>
      </c>
      <c r="O23" t="n">
        <v>2.789146</v>
      </c>
      <c r="P23" t="n">
        <v>2.847746</v>
      </c>
      <c r="Q23" t="n">
        <v>2.89746</v>
      </c>
      <c r="R23" t="n">
        <v>2.941257</v>
      </c>
      <c r="S23" t="n">
        <v>2.990532</v>
      </c>
      <c r="T23" t="n">
        <v>3.043014</v>
      </c>
      <c r="U23" t="n">
        <v>3.092615</v>
      </c>
      <c r="V23" t="n">
        <v>3.145597</v>
      </c>
      <c r="W23" t="n">
        <v>3.206867</v>
      </c>
      <c r="X23" t="n">
        <v>3.267742</v>
      </c>
      <c r="Y23" t="n">
        <v>3.331159</v>
      </c>
      <c r="Z23" t="n">
        <v>3.391821</v>
      </c>
      <c r="AA23" t="n">
        <v>3.45685</v>
      </c>
      <c r="AB23" t="n">
        <v>3.521263</v>
      </c>
      <c r="AC23" t="n">
        <v>3.589466</v>
      </c>
      <c r="AD23" t="n">
        <v>3.660784</v>
      </c>
      <c r="AE23" t="n">
        <v>3.739734</v>
      </c>
      <c r="AF23" t="n">
        <v>3.822432</v>
      </c>
      <c r="AG23" s="13" t="n">
        <v>0.016</v>
      </c>
    </row>
    <row r="24">
      <c r="A24" t="inlineStr">
        <is>
          <t>Fuel and Power</t>
        </is>
      </c>
      <c r="B24" t="inlineStr">
        <is>
          <t>Macroeconomic Indicators: Wholesale Price Index: Fuel and Power: High Zero-Carbon Technology Cost</t>
        </is>
      </c>
      <c r="C24" t="inlineStr">
        <is>
          <t>AEO.2025.HIGHZTC.ECI_INDX_NA_NA_WHP_FULP_NA_IDX82EQ1.A</t>
        </is>
      </c>
      <c r="D24" t="inlineStr">
        <is>
          <t>1982=1.00</t>
        </is>
      </c>
      <c r="F24" t="n">
        <v>2.310759</v>
      </c>
      <c r="G24" t="n">
        <v>2.320295</v>
      </c>
      <c r="H24" t="n">
        <v>2.303557</v>
      </c>
      <c r="I24" t="n">
        <v>2.275027</v>
      </c>
      <c r="J24" t="n">
        <v>2.318662</v>
      </c>
      <c r="K24" t="n">
        <v>2.382703</v>
      </c>
      <c r="L24" t="n">
        <v>2.459605</v>
      </c>
      <c r="M24" t="n">
        <v>2.541698</v>
      </c>
      <c r="N24" t="n">
        <v>2.647537</v>
      </c>
      <c r="O24" t="n">
        <v>2.771688</v>
      </c>
      <c r="P24" t="n">
        <v>2.876411</v>
      </c>
      <c r="Q24" t="n">
        <v>2.950422</v>
      </c>
      <c r="R24" t="n">
        <v>3.007536</v>
      </c>
      <c r="S24" t="n">
        <v>3.068552</v>
      </c>
      <c r="T24" t="n">
        <v>3.136262</v>
      </c>
      <c r="U24" t="n">
        <v>3.193604</v>
      </c>
      <c r="V24" t="n">
        <v>3.256008</v>
      </c>
      <c r="W24" t="n">
        <v>3.34528</v>
      </c>
      <c r="X24" t="n">
        <v>3.429423</v>
      </c>
      <c r="Y24" t="n">
        <v>3.523086</v>
      </c>
      <c r="Z24" t="n">
        <v>3.602231</v>
      </c>
      <c r="AA24" t="n">
        <v>3.695193</v>
      </c>
      <c r="AB24" t="n">
        <v>3.781319</v>
      </c>
      <c r="AC24" t="n">
        <v>3.872714</v>
      </c>
      <c r="AD24" t="n">
        <v>3.971825</v>
      </c>
      <c r="AE24" t="n">
        <v>4.096216</v>
      </c>
      <c r="AF24" t="n">
        <v>4.237024</v>
      </c>
      <c r="AG24" s="13" t="n">
        <v>0.024</v>
      </c>
    </row>
    <row r="25">
      <c r="A25" t="inlineStr">
        <is>
          <t>Metals and Metal Products</t>
        </is>
      </c>
      <c r="B25" t="inlineStr">
        <is>
          <t>Macroeconomic Indicators: Wholesale Price Index: Metals and Metal Products: High Zero-Carbon Technology Cost</t>
        </is>
      </c>
      <c r="C25" t="inlineStr">
        <is>
          <t>AEO.2025.HIGHZTC.ECI_INDX_NA_NA_WHP_MET_NA_IDX82EQ1.A</t>
        </is>
      </c>
      <c r="D25" t="inlineStr">
        <is>
          <t>1982=1.00</t>
        </is>
      </c>
      <c r="F25" t="n">
        <v>3.032147</v>
      </c>
      <c r="G25" t="n">
        <v>2.860675</v>
      </c>
      <c r="H25" t="n">
        <v>2.788216</v>
      </c>
      <c r="I25" t="n">
        <v>2.763405</v>
      </c>
      <c r="J25" t="n">
        <v>2.74133</v>
      </c>
      <c r="K25" t="n">
        <v>2.739916</v>
      </c>
      <c r="L25" t="n">
        <v>2.764125</v>
      </c>
      <c r="M25" t="n">
        <v>2.812309</v>
      </c>
      <c r="N25" t="n">
        <v>2.861876</v>
      </c>
      <c r="O25" t="n">
        <v>2.903126</v>
      </c>
      <c r="P25" t="n">
        <v>2.943663</v>
      </c>
      <c r="Q25" t="n">
        <v>2.968103</v>
      </c>
      <c r="R25" t="n">
        <v>2.997323</v>
      </c>
      <c r="S25" t="n">
        <v>3.04296</v>
      </c>
      <c r="T25" t="n">
        <v>3.089376</v>
      </c>
      <c r="U25" t="n">
        <v>3.133001</v>
      </c>
      <c r="V25" t="n">
        <v>3.182893</v>
      </c>
      <c r="W25" t="n">
        <v>3.233063</v>
      </c>
      <c r="X25" t="n">
        <v>3.282713</v>
      </c>
      <c r="Y25" t="n">
        <v>3.329767</v>
      </c>
      <c r="Z25" t="n">
        <v>3.375909</v>
      </c>
      <c r="AA25" t="n">
        <v>3.42059</v>
      </c>
      <c r="AB25" t="n">
        <v>3.467509</v>
      </c>
      <c r="AC25" t="n">
        <v>3.520473</v>
      </c>
      <c r="AD25" t="n">
        <v>3.57451</v>
      </c>
      <c r="AE25" t="n">
        <v>3.631343</v>
      </c>
      <c r="AF25" t="n">
        <v>3.683043</v>
      </c>
      <c r="AG25" s="13" t="n">
        <v>0.008</v>
      </c>
    </row>
    <row r="26">
      <c r="A26" t="inlineStr">
        <is>
          <t>Industrial Commodities excluding Energy</t>
        </is>
      </c>
      <c r="B26" t="inlineStr">
        <is>
          <t>Macroeconomic Indicators: Wholesale Price Index: Industrial Commodities Excluding Energy: High Zero-Carbon Technology Cost</t>
        </is>
      </c>
      <c r="C26" t="inlineStr">
        <is>
          <t>AEO.2025.HIGHZTC.ECI_INDX_NA_NA_WHP_INDCOM_NA_IDX82EQ1.A</t>
        </is>
      </c>
      <c r="D26" t="inlineStr">
        <is>
          <t>1982=1.00</t>
        </is>
      </c>
      <c r="F26" t="n">
        <v>2.584583</v>
      </c>
      <c r="G26" t="n">
        <v>2.578931</v>
      </c>
      <c r="H26" t="n">
        <v>2.570989</v>
      </c>
      <c r="I26" t="n">
        <v>2.575217</v>
      </c>
      <c r="J26" t="n">
        <v>2.591711</v>
      </c>
      <c r="K26" t="n">
        <v>2.608134</v>
      </c>
      <c r="L26" t="n">
        <v>2.636302</v>
      </c>
      <c r="M26" t="n">
        <v>2.675857</v>
      </c>
      <c r="N26" t="n">
        <v>2.721102</v>
      </c>
      <c r="O26" t="n">
        <v>2.768586</v>
      </c>
      <c r="P26" t="n">
        <v>2.817564</v>
      </c>
      <c r="Q26" t="n">
        <v>2.862855</v>
      </c>
      <c r="R26" t="n">
        <v>2.904735</v>
      </c>
      <c r="S26" t="n">
        <v>2.953261</v>
      </c>
      <c r="T26" t="n">
        <v>3.004182</v>
      </c>
      <c r="U26" t="n">
        <v>3.054205</v>
      </c>
      <c r="V26" t="n">
        <v>3.107413</v>
      </c>
      <c r="W26" t="n">
        <v>3.163722</v>
      </c>
      <c r="X26" t="n">
        <v>3.220893</v>
      </c>
      <c r="Y26" t="n">
        <v>3.278532</v>
      </c>
      <c r="Z26" t="n">
        <v>3.336572</v>
      </c>
      <c r="AA26" t="n">
        <v>3.396411</v>
      </c>
      <c r="AB26" t="n">
        <v>3.457436</v>
      </c>
      <c r="AC26" t="n">
        <v>3.522192</v>
      </c>
      <c r="AD26" t="n">
        <v>3.588874</v>
      </c>
      <c r="AE26" t="n">
        <v>3.658511</v>
      </c>
      <c r="AF26" t="n">
        <v>3.728199</v>
      </c>
      <c r="AG26" s="13" t="n">
        <v>0.014</v>
      </c>
    </row>
    <row r="27">
      <c r="A27" t="inlineStr">
        <is>
          <t>Interest Rates (percentage</t>
        </is>
      </c>
      <c r="B27" t="inlineStr">
        <is>
          <t xml:space="preserve"> nominal)</t>
        </is>
      </c>
    </row>
    <row r="28">
      <c r="A28" t="inlineStr">
        <is>
          <t>Federal Funds Rate</t>
        </is>
      </c>
      <c r="B28" t="inlineStr">
        <is>
          <t>Macroeconomic Indicators: Interest Rates: Federal Funds Rate: High Zero-Carbon Technology Cost</t>
        </is>
      </c>
      <c r="C28" t="inlineStr">
        <is>
          <t>AEO.2025.HIGHZTC.ECI_FFR_NA_NA_NA_NA_NA_PCNTN.A</t>
        </is>
      </c>
      <c r="D28" t="inlineStr">
        <is>
          <t>percent, nominal</t>
        </is>
      </c>
      <c r="F28" t="n">
        <v>5.145988</v>
      </c>
      <c r="G28" t="n">
        <v>3.788913</v>
      </c>
      <c r="H28" t="n">
        <v>2.638171</v>
      </c>
      <c r="I28" t="n">
        <v>2.623136</v>
      </c>
      <c r="J28" t="n">
        <v>2.623651</v>
      </c>
      <c r="K28" t="n">
        <v>2.624111</v>
      </c>
      <c r="L28" t="n">
        <v>2.623967</v>
      </c>
      <c r="M28" t="n">
        <v>2.623016</v>
      </c>
      <c r="N28" t="n">
        <v>2.623715</v>
      </c>
      <c r="O28" t="n">
        <v>2.625211</v>
      </c>
      <c r="P28" t="n">
        <v>2.62642</v>
      </c>
      <c r="Q28" t="n">
        <v>2.627128</v>
      </c>
      <c r="R28" t="n">
        <v>2.627128</v>
      </c>
      <c r="S28" t="n">
        <v>2.627128</v>
      </c>
      <c r="T28" t="n">
        <v>2.627128</v>
      </c>
      <c r="U28" t="n">
        <v>2.627128</v>
      </c>
      <c r="V28" t="n">
        <v>2.627128</v>
      </c>
      <c r="W28" t="n">
        <v>2.627128</v>
      </c>
      <c r="X28" t="n">
        <v>2.627128</v>
      </c>
      <c r="Y28" t="n">
        <v>2.627128</v>
      </c>
      <c r="Z28" t="n">
        <v>2.627128</v>
      </c>
      <c r="AA28" t="n">
        <v>2.627128</v>
      </c>
      <c r="AB28" t="n">
        <v>2.627128</v>
      </c>
      <c r="AC28" t="n">
        <v>2.627128</v>
      </c>
      <c r="AD28" t="n">
        <v>2.627128</v>
      </c>
      <c r="AE28" t="n">
        <v>2.627128</v>
      </c>
      <c r="AF28" t="n">
        <v>2.627128</v>
      </c>
      <c r="AG28" s="13" t="n">
        <v>-0.026</v>
      </c>
    </row>
    <row r="29">
      <c r="A29" t="inlineStr">
        <is>
          <t>10-Year Treasury Note</t>
        </is>
      </c>
      <c r="B29" t="inlineStr">
        <is>
          <t>Macroeconomic Indicators: Interest Rates: 10-Year Treasury Note: High Zero-Carbon Technology Cost</t>
        </is>
      </c>
      <c r="C29" t="inlineStr">
        <is>
          <t>AEO.2025.HIGHZTC.ECI_TNR10_NA_NA_NA_NA_NA_PCNTN.A</t>
        </is>
      </c>
      <c r="D29" t="inlineStr">
        <is>
          <t>percent, nominal</t>
        </is>
      </c>
      <c r="F29" t="n">
        <v>4.076191</v>
      </c>
      <c r="G29" t="n">
        <v>3.481254</v>
      </c>
      <c r="H29" t="n">
        <v>3.280257</v>
      </c>
      <c r="I29" t="n">
        <v>3.187414</v>
      </c>
      <c r="J29" t="n">
        <v>3.166135</v>
      </c>
      <c r="K29" t="n">
        <v>3.182389</v>
      </c>
      <c r="L29" t="n">
        <v>3.213074</v>
      </c>
      <c r="M29" t="n">
        <v>3.235777</v>
      </c>
      <c r="N29" t="n">
        <v>3.245176</v>
      </c>
      <c r="O29" t="n">
        <v>3.24564</v>
      </c>
      <c r="P29" t="n">
        <v>3.257311</v>
      </c>
      <c r="Q29" t="n">
        <v>3.271183</v>
      </c>
      <c r="R29" t="n">
        <v>3.280437</v>
      </c>
      <c r="S29" t="n">
        <v>3.281555</v>
      </c>
      <c r="T29" t="n">
        <v>3.27677</v>
      </c>
      <c r="U29" t="n">
        <v>3.274115</v>
      </c>
      <c r="V29" t="n">
        <v>3.266999</v>
      </c>
      <c r="W29" t="n">
        <v>3.26056</v>
      </c>
      <c r="X29" t="n">
        <v>3.260744</v>
      </c>
      <c r="Y29" t="n">
        <v>3.26487</v>
      </c>
      <c r="Z29" t="n">
        <v>3.273189</v>
      </c>
      <c r="AA29" t="n">
        <v>3.280186</v>
      </c>
      <c r="AB29" t="n">
        <v>3.290334</v>
      </c>
      <c r="AC29" t="n">
        <v>3.30423</v>
      </c>
      <c r="AD29" t="n">
        <v>3.309904</v>
      </c>
      <c r="AE29" t="n">
        <v>3.312296</v>
      </c>
      <c r="AF29" t="n">
        <v>3.317643</v>
      </c>
      <c r="AG29" s="13" t="n">
        <v>-0.008</v>
      </c>
    </row>
    <row r="30">
      <c r="A30" t="inlineStr">
        <is>
          <t>AA Utility Bond Rate</t>
        </is>
      </c>
      <c r="B30" t="inlineStr">
        <is>
          <t>Macroeconomic Indicators: Interest Rates: AA Utility Bond Rate: High Zero-Carbon Technology Cost</t>
        </is>
      </c>
      <c r="C30" t="inlineStr">
        <is>
          <t>AEO.2025.HIGHZTC.ECI_AAUTR_NA_NA_NA_NA_NA_PCNTN.A</t>
        </is>
      </c>
      <c r="D30" t="inlineStr">
        <is>
          <t>percent, nominal</t>
        </is>
      </c>
      <c r="F30" t="n">
        <v>5.39535</v>
      </c>
      <c r="G30" t="n">
        <v>5.215527</v>
      </c>
      <c r="H30" t="n">
        <v>5.132888</v>
      </c>
      <c r="I30" t="n">
        <v>5.046895</v>
      </c>
      <c r="J30" t="n">
        <v>5.031319</v>
      </c>
      <c r="K30" t="n">
        <v>5.018938</v>
      </c>
      <c r="L30" t="n">
        <v>5.001282</v>
      </c>
      <c r="M30" t="n">
        <v>4.983429</v>
      </c>
      <c r="N30" t="n">
        <v>4.99271</v>
      </c>
      <c r="O30" t="n">
        <v>5.025341</v>
      </c>
      <c r="P30" t="n">
        <v>5.034194</v>
      </c>
      <c r="Q30" t="n">
        <v>5.057391</v>
      </c>
      <c r="R30" t="n">
        <v>5.061762</v>
      </c>
      <c r="S30" t="n">
        <v>5.038929</v>
      </c>
      <c r="T30" t="n">
        <v>5.03973</v>
      </c>
      <c r="U30" t="n">
        <v>5.029006</v>
      </c>
      <c r="V30" t="n">
        <v>4.991193</v>
      </c>
      <c r="W30" t="n">
        <v>4.98222</v>
      </c>
      <c r="X30" t="n">
        <v>4.979214</v>
      </c>
      <c r="Y30" t="n">
        <v>4.996862</v>
      </c>
      <c r="Z30" t="n">
        <v>4.991411</v>
      </c>
      <c r="AA30" t="n">
        <v>5.0238</v>
      </c>
      <c r="AB30" t="n">
        <v>5.033196</v>
      </c>
      <c r="AC30" t="n">
        <v>5.048281</v>
      </c>
      <c r="AD30" t="n">
        <v>5.03838</v>
      </c>
      <c r="AE30" t="n">
        <v>5.04697</v>
      </c>
      <c r="AF30" t="n">
        <v>5.087938</v>
      </c>
      <c r="AG30" s="13" t="n">
        <v>-0.002</v>
      </c>
    </row>
    <row r="31">
      <c r="A31" t="inlineStr">
        <is>
          <t>Value of Shipments (billion 2012 dollars)</t>
        </is>
      </c>
    </row>
    <row r="32">
      <c r="A32" t="inlineStr">
        <is>
          <t>Non-Industrial and Service Sectors</t>
        </is>
      </c>
      <c r="B32" t="inlineStr">
        <is>
          <t>Macroeconomic Indicators: Value of Shipments: Non-Industrial: High Zero-Carbon Technology Cost</t>
        </is>
      </c>
      <c r="C32" t="inlineStr">
        <is>
          <t>AEO.2025.HIGHZTC.ECI_VOS_NIND_NA_NA_NA_NA_BLNY09DLR.A</t>
        </is>
      </c>
      <c r="D32" t="inlineStr">
        <is>
          <t>billion 2012 $</t>
        </is>
      </c>
      <c r="F32" t="n">
        <v>28226.228516</v>
      </c>
      <c r="G32" t="n">
        <v>28832.503906</v>
      </c>
      <c r="H32" t="n">
        <v>29531.828125</v>
      </c>
      <c r="I32" t="n">
        <v>30358.589844</v>
      </c>
      <c r="J32" t="n">
        <v>31193.046875</v>
      </c>
      <c r="K32" t="n">
        <v>31916.195312</v>
      </c>
      <c r="L32" t="n">
        <v>32552.964844</v>
      </c>
      <c r="M32" t="n">
        <v>33193.347656</v>
      </c>
      <c r="N32" t="n">
        <v>33870.484375</v>
      </c>
      <c r="O32" t="n">
        <v>34561.386719</v>
      </c>
      <c r="P32" t="n">
        <v>35260.015625</v>
      </c>
      <c r="Q32" t="n">
        <v>35955.832031</v>
      </c>
      <c r="R32" t="n">
        <v>36628.492188</v>
      </c>
      <c r="S32" t="n">
        <v>37306.128906</v>
      </c>
      <c r="T32" t="n">
        <v>37972.011719</v>
      </c>
      <c r="U32" t="n">
        <v>38639.6875</v>
      </c>
      <c r="V32" t="n">
        <v>39328.714844</v>
      </c>
      <c r="W32" t="n">
        <v>40017.15625</v>
      </c>
      <c r="X32" t="n">
        <v>40711.210938</v>
      </c>
      <c r="Y32" t="n">
        <v>41405.953125</v>
      </c>
      <c r="Z32" t="n">
        <v>42105.753906</v>
      </c>
      <c r="AA32" t="n">
        <v>42813.265625</v>
      </c>
      <c r="AB32" t="n">
        <v>43534.359375</v>
      </c>
      <c r="AC32" t="n">
        <v>44293.554688</v>
      </c>
      <c r="AD32" t="n">
        <v>45075.363281</v>
      </c>
      <c r="AE32" t="n">
        <v>45888.054688</v>
      </c>
      <c r="AF32" t="n">
        <v>46699.144531</v>
      </c>
      <c r="AG32" s="13" t="n">
        <v>0.02</v>
      </c>
    </row>
    <row r="33">
      <c r="A33" t="inlineStr">
        <is>
          <t>Total Industrial</t>
        </is>
      </c>
      <c r="B33" t="inlineStr">
        <is>
          <t>Macroeconomic Indicators: Value of Shipments: Total Industrial: High Zero-Carbon Technology Cost</t>
        </is>
      </c>
      <c r="C33" t="inlineStr">
        <is>
          <t>AEO.2025.HIGHZTC.ECI_VOS_IDAL_NA_NA_NA_NA_BLNY09DLR.A</t>
        </is>
      </c>
      <c r="D33" t="inlineStr">
        <is>
          <t>billion 2012 $</t>
        </is>
      </c>
      <c r="F33" t="n">
        <v>8693.214844</v>
      </c>
      <c r="G33" t="n">
        <v>8880.021484000001</v>
      </c>
      <c r="H33" t="n">
        <v>9023.890625</v>
      </c>
      <c r="I33" t="n">
        <v>9136.965819999999</v>
      </c>
      <c r="J33" t="n">
        <v>9250.294921999999</v>
      </c>
      <c r="K33" t="n">
        <v>9368.205078000001</v>
      </c>
      <c r="L33" t="n">
        <v>9471.404296999999</v>
      </c>
      <c r="M33" t="n">
        <v>9544.327148</v>
      </c>
      <c r="N33" t="n">
        <v>9631.375</v>
      </c>
      <c r="O33" t="n">
        <v>9680.830078000001</v>
      </c>
      <c r="P33" t="n">
        <v>9759.069336</v>
      </c>
      <c r="Q33" t="n">
        <v>9833.179688</v>
      </c>
      <c r="R33" t="n">
        <v>9910.932617</v>
      </c>
      <c r="S33" t="n">
        <v>9985.494140999999</v>
      </c>
      <c r="T33" t="n">
        <v>10063.265625</v>
      </c>
      <c r="U33" t="n">
        <v>10146.550781</v>
      </c>
      <c r="V33" t="n">
        <v>10240.19043</v>
      </c>
      <c r="W33" t="n">
        <v>10320.269531</v>
      </c>
      <c r="X33" t="n">
        <v>10409.382812</v>
      </c>
      <c r="Y33" t="n">
        <v>10482.77832</v>
      </c>
      <c r="Z33" t="n">
        <v>10564.851562</v>
      </c>
      <c r="AA33" t="n">
        <v>10653.480469</v>
      </c>
      <c r="AB33" t="n">
        <v>10756.961914</v>
      </c>
      <c r="AC33" t="n">
        <v>10868.238281</v>
      </c>
      <c r="AD33" t="n">
        <v>10969.666992</v>
      </c>
      <c r="AE33" t="n">
        <v>11079.728516</v>
      </c>
      <c r="AF33" t="n">
        <v>11173.776367</v>
      </c>
      <c r="AG33" s="13" t="n">
        <v>0.01</v>
      </c>
    </row>
    <row r="34">
      <c r="A34" t="inlineStr">
        <is>
          <t>Agriculture</t>
        </is>
      </c>
      <c r="B34" t="inlineStr">
        <is>
          <t xml:space="preserve"> Mining</t>
        </is>
      </c>
      <c r="C34" t="inlineStr">
        <is>
          <t xml:space="preserve"> and Construction</t>
        </is>
      </c>
      <c r="D34" t="inlineStr">
        <is>
          <t>Macroeconomic Indicators: Value of Shipments: Agriculture, Mining, and Construction: High Zero-Carbon Technology Cost</t>
        </is>
      </c>
      <c r="E34" t="inlineStr">
        <is>
          <t>AEO.2025.HIGHZTC.ECI_VOS_NMFG_NA_NA_NA_NA_BLNY09DLR.A</t>
        </is>
      </c>
      <c r="F34" t="inlineStr">
        <is>
          <t>billion 2012 $</t>
        </is>
      </c>
      <c r="H34" t="n">
        <v>2718.250488</v>
      </c>
      <c r="I34" t="n">
        <v>2777.917969</v>
      </c>
      <c r="J34" t="n">
        <v>2803.508545</v>
      </c>
      <c r="K34" t="n">
        <v>2839.277832</v>
      </c>
      <c r="L34" t="n">
        <v>2891.1875</v>
      </c>
      <c r="M34" t="n">
        <v>2948.479492</v>
      </c>
      <c r="N34" t="n">
        <v>2992.109863</v>
      </c>
      <c r="O34" t="n">
        <v>3020.339844</v>
      </c>
      <c r="P34" t="n">
        <v>3053.486084</v>
      </c>
      <c r="Q34" t="n">
        <v>3066.199951</v>
      </c>
      <c r="R34" t="n">
        <v>3074.731445</v>
      </c>
      <c r="S34" t="n">
        <v>3093.089844</v>
      </c>
      <c r="T34" t="n">
        <v>3117.248047</v>
      </c>
      <c r="U34" t="n">
        <v>3128.845215</v>
      </c>
      <c r="V34" t="n">
        <v>3144.9646</v>
      </c>
      <c r="W34" t="n">
        <v>3159.154297</v>
      </c>
      <c r="X34" t="n">
        <v>3177.171387</v>
      </c>
      <c r="Y34" t="n">
        <v>3191.807617</v>
      </c>
      <c r="Z34" t="n">
        <v>3212.519531</v>
      </c>
      <c r="AA34" t="n">
        <v>3226.170898</v>
      </c>
      <c r="AB34" t="n">
        <v>3241.981445</v>
      </c>
      <c r="AC34" t="n">
        <v>3269.150391</v>
      </c>
      <c r="AD34" t="n">
        <v>3302.412109</v>
      </c>
      <c r="AE34" t="n">
        <v>3332.982422</v>
      </c>
      <c r="AF34" t="n">
        <v>3363.429443</v>
      </c>
      <c r="AG34" t="n">
        <v>3398.200684</v>
      </c>
      <c r="AH34" t="n">
        <v>3430.172119</v>
      </c>
      <c r="AI34" s="13" t="n">
        <v>0.008999999999999999</v>
      </c>
    </row>
    <row r="35">
      <c r="A35" t="inlineStr">
        <is>
          <t>Manufacturing</t>
        </is>
      </c>
      <c r="B35" t="inlineStr">
        <is>
          <t>Macroeconomic Indicators: Value of Shipments: Manufacturing: High Zero-Carbon Technology Cost</t>
        </is>
      </c>
      <c r="C35" t="inlineStr">
        <is>
          <t>AEO.2025.HIGHZTC.ECI_VOS_MANF_NA_NA_NA_NA_BLNY09DLR.A</t>
        </is>
      </c>
      <c r="D35" t="inlineStr">
        <is>
          <t>billion 2012 $</t>
        </is>
      </c>
      <c r="F35" t="n">
        <v>5974.964355</v>
      </c>
      <c r="G35" t="n">
        <v>6102.103027</v>
      </c>
      <c r="H35" t="n">
        <v>6220.381836</v>
      </c>
      <c r="I35" t="n">
        <v>6297.688477</v>
      </c>
      <c r="J35" t="n">
        <v>6359.106445</v>
      </c>
      <c r="K35" t="n">
        <v>6419.725098</v>
      </c>
      <c r="L35" t="n">
        <v>6479.293945</v>
      </c>
      <c r="M35" t="n">
        <v>6523.987305</v>
      </c>
      <c r="N35" t="n">
        <v>6577.888672</v>
      </c>
      <c r="O35" t="n">
        <v>6614.629883</v>
      </c>
      <c r="P35" t="n">
        <v>6684.337891</v>
      </c>
      <c r="Q35" t="n">
        <v>6740.089844</v>
      </c>
      <c r="R35" t="n">
        <v>6793.68457</v>
      </c>
      <c r="S35" t="n">
        <v>6856.649414</v>
      </c>
      <c r="T35" t="n">
        <v>6918.300781</v>
      </c>
      <c r="U35" t="n">
        <v>6987.396484</v>
      </c>
      <c r="V35" t="n">
        <v>7063.019043</v>
      </c>
      <c r="W35" t="n">
        <v>7128.462402</v>
      </c>
      <c r="X35" t="n">
        <v>7196.863281</v>
      </c>
      <c r="Y35" t="n">
        <v>7256.607422</v>
      </c>
      <c r="Z35" t="n">
        <v>7322.870117</v>
      </c>
      <c r="AA35" t="n">
        <v>7384.330078</v>
      </c>
      <c r="AB35" t="n">
        <v>7454.550293</v>
      </c>
      <c r="AC35" t="n">
        <v>7535.255371</v>
      </c>
      <c r="AD35" t="n">
        <v>7606.237305</v>
      </c>
      <c r="AE35" t="n">
        <v>7681.527344</v>
      </c>
      <c r="AF35" t="n">
        <v>7743.604004</v>
      </c>
      <c r="AG35" s="13" t="n">
        <v>0.01</v>
      </c>
    </row>
    <row r="36">
      <c r="A36" t="inlineStr">
        <is>
          <t>Energy-Intensive</t>
        </is>
      </c>
      <c r="B36" t="inlineStr">
        <is>
          <t>Macroeconomic Indicators: Value of Shipments: Energy-Intensive: High Zero-Carbon Technology Cost</t>
        </is>
      </c>
      <c r="C36" t="inlineStr">
        <is>
          <t>AEO.2025.HIGHZTC.ECI_VOS_EINT_NA_NA_NA_NA_BLNY09DLR.A</t>
        </is>
      </c>
      <c r="D36" t="inlineStr">
        <is>
          <t>billion 2012 $</t>
        </is>
      </c>
      <c r="F36" t="n">
        <v>2316.677002</v>
      </c>
      <c r="G36" t="n">
        <v>2344.067871</v>
      </c>
      <c r="H36" t="n">
        <v>2344.700439</v>
      </c>
      <c r="I36" t="n">
        <v>2344.456055</v>
      </c>
      <c r="J36" t="n">
        <v>2339.989746</v>
      </c>
      <c r="K36" t="n">
        <v>2341.404297</v>
      </c>
      <c r="L36" t="n">
        <v>2345.962158</v>
      </c>
      <c r="M36" t="n">
        <v>2352.545898</v>
      </c>
      <c r="N36" t="n">
        <v>2357.474609</v>
      </c>
      <c r="O36" t="n">
        <v>2357.036621</v>
      </c>
      <c r="P36" t="n">
        <v>2364.644775</v>
      </c>
      <c r="Q36" t="n">
        <v>2371.565918</v>
      </c>
      <c r="R36" t="n">
        <v>2377.955811</v>
      </c>
      <c r="S36" t="n">
        <v>2386.459473</v>
      </c>
      <c r="T36" t="n">
        <v>2396.358154</v>
      </c>
      <c r="U36" t="n">
        <v>2410.375</v>
      </c>
      <c r="V36" t="n">
        <v>2428.246826</v>
      </c>
      <c r="W36" t="n">
        <v>2443.214111</v>
      </c>
      <c r="X36" t="n">
        <v>2458.029541</v>
      </c>
      <c r="Y36" t="n">
        <v>2472.549072</v>
      </c>
      <c r="Z36" t="n">
        <v>2488.795166</v>
      </c>
      <c r="AA36" t="n">
        <v>2501.265137</v>
      </c>
      <c r="AB36" t="n">
        <v>2515.979004</v>
      </c>
      <c r="AC36" t="n">
        <v>2536.919922</v>
      </c>
      <c r="AD36" t="n">
        <v>2552.499268</v>
      </c>
      <c r="AE36" t="n">
        <v>2569.561523</v>
      </c>
      <c r="AF36" t="n">
        <v>2586.614746</v>
      </c>
      <c r="AG36" s="13" t="n">
        <v>0.004</v>
      </c>
    </row>
    <row r="37">
      <c r="A37" t="inlineStr">
        <is>
          <t>Non-Energy-Intensive</t>
        </is>
      </c>
      <c r="B37" t="inlineStr">
        <is>
          <t>Macroeconomic Indicators: Value of Shipments: Non-Energy-Intensive: High Zero-Carbon Technology Cost</t>
        </is>
      </c>
      <c r="C37" t="inlineStr">
        <is>
          <t>AEO.2025.HIGHZTC.ECI_VOS_NEINT_NA_NA_NA_NA_BLNY09DLR.A</t>
        </is>
      </c>
      <c r="D37" t="inlineStr">
        <is>
          <t>billion 2012 $</t>
        </is>
      </c>
      <c r="F37" t="n">
        <v>3658.287109</v>
      </c>
      <c r="G37" t="n">
        <v>3758.035645</v>
      </c>
      <c r="H37" t="n">
        <v>3875.681152</v>
      </c>
      <c r="I37" t="n">
        <v>3953.232666</v>
      </c>
      <c r="J37" t="n">
        <v>4019.117188</v>
      </c>
      <c r="K37" t="n">
        <v>4078.321777</v>
      </c>
      <c r="L37" t="n">
        <v>4133.331055</v>
      </c>
      <c r="M37" t="n">
        <v>4171.442383</v>
      </c>
      <c r="N37" t="n">
        <v>4220.415039</v>
      </c>
      <c r="O37" t="n">
        <v>4257.59375</v>
      </c>
      <c r="P37" t="n">
        <v>4319.693359</v>
      </c>
      <c r="Q37" t="n">
        <v>4368.523438</v>
      </c>
      <c r="R37" t="n">
        <v>4415.728516</v>
      </c>
      <c r="S37" t="n">
        <v>4470.19043</v>
      </c>
      <c r="T37" t="n">
        <v>4521.942383</v>
      </c>
      <c r="U37" t="n">
        <v>4577.020996</v>
      </c>
      <c r="V37" t="n">
        <v>4634.772461</v>
      </c>
      <c r="W37" t="n">
        <v>4685.248535</v>
      </c>
      <c r="X37" t="n">
        <v>4738.833984</v>
      </c>
      <c r="Y37" t="n">
        <v>4784.058594</v>
      </c>
      <c r="Z37" t="n">
        <v>4834.074707</v>
      </c>
      <c r="AA37" t="n">
        <v>4883.065918</v>
      </c>
      <c r="AB37" t="n">
        <v>4938.571289</v>
      </c>
      <c r="AC37" t="n">
        <v>4998.336426</v>
      </c>
      <c r="AD37" t="n">
        <v>5053.737793</v>
      </c>
      <c r="AE37" t="n">
        <v>5111.96582</v>
      </c>
      <c r="AF37" t="n">
        <v>5156.989746</v>
      </c>
      <c r="AG37" s="13" t="n">
        <v>0.013</v>
      </c>
    </row>
    <row r="38">
      <c r="A38" t="inlineStr">
        <is>
          <t>Total Shipments</t>
        </is>
      </c>
      <c r="B38" t="inlineStr">
        <is>
          <t>Macroeconomic Indicators: Value of Shipments: Total: High Zero-Carbon Technology Cost</t>
        </is>
      </c>
      <c r="C38" t="inlineStr">
        <is>
          <t>AEO.2025.HIGHZTC.ECI_VOS_NA_NA_NA_NA_NA_BLNY09DLR.A</t>
        </is>
      </c>
      <c r="D38" t="inlineStr">
        <is>
          <t>billion 2012 $</t>
        </is>
      </c>
      <c r="F38" t="n">
        <v>36919.445312</v>
      </c>
      <c r="G38" t="n">
        <v>37712.523438</v>
      </c>
      <c r="H38" t="n">
        <v>38555.71875</v>
      </c>
      <c r="I38" t="n">
        <v>39495.554688</v>
      </c>
      <c r="J38" t="n">
        <v>40443.34375</v>
      </c>
      <c r="K38" t="n">
        <v>41284.398438</v>
      </c>
      <c r="L38" t="n">
        <v>42024.367188</v>
      </c>
      <c r="M38" t="n">
        <v>42737.675781</v>
      </c>
      <c r="N38" t="n">
        <v>43501.859375</v>
      </c>
      <c r="O38" t="n">
        <v>44242.21875</v>
      </c>
      <c r="P38" t="n">
        <v>45019.085938</v>
      </c>
      <c r="Q38" t="n">
        <v>45789.011719</v>
      </c>
      <c r="R38" t="n">
        <v>46539.425781</v>
      </c>
      <c r="S38" t="n">
        <v>47291.625</v>
      </c>
      <c r="T38" t="n">
        <v>48035.277344</v>
      </c>
      <c r="U38" t="n">
        <v>48786.238281</v>
      </c>
      <c r="V38" t="n">
        <v>49568.90625</v>
      </c>
      <c r="W38" t="n">
        <v>50337.425781</v>
      </c>
      <c r="X38" t="n">
        <v>51120.59375</v>
      </c>
      <c r="Y38" t="n">
        <v>51888.730469</v>
      </c>
      <c r="Z38" t="n">
        <v>52670.605469</v>
      </c>
      <c r="AA38" t="n">
        <v>53466.746094</v>
      </c>
      <c r="AB38" t="n">
        <v>54291.320312</v>
      </c>
      <c r="AC38" t="n">
        <v>55161.792969</v>
      </c>
      <c r="AD38" t="n">
        <v>56045.03125</v>
      </c>
      <c r="AE38" t="n">
        <v>56967.78125</v>
      </c>
      <c r="AF38" t="n">
        <v>57872.921875</v>
      </c>
      <c r="AG38" s="13" t="n">
        <v>0.017</v>
      </c>
    </row>
    <row r="39">
      <c r="A39" t="inlineStr">
        <is>
          <t>Population and Employment (millions)</t>
        </is>
      </c>
    </row>
    <row r="40">
      <c r="A40" t="inlineStr">
        <is>
          <t>Population</t>
        </is>
      </c>
      <c r="B40" t="inlineStr">
        <is>
          <t xml:space="preserve"> with Armed Forces Overseas</t>
        </is>
      </c>
      <c r="C40" t="inlineStr">
        <is>
          <t>Macroeconomic Indicators: Population, with Armed Forces Overseas: High Zero-Carbon Technology Cost</t>
        </is>
      </c>
      <c r="D40" t="inlineStr">
        <is>
          <t>AEO.2025.HIGHZTC.DMG_POP_PWAF_NA_NA_NA_NA_MILL.A</t>
        </is>
      </c>
      <c r="E40" t="inlineStr">
        <is>
          <t>millions</t>
        </is>
      </c>
      <c r="G40" t="n">
        <v>342.001984</v>
      </c>
      <c r="H40" t="n">
        <v>344.850769</v>
      </c>
      <c r="I40" t="n">
        <v>346.964233</v>
      </c>
      <c r="J40" t="n">
        <v>348.437408</v>
      </c>
      <c r="K40" t="n">
        <v>349.878052</v>
      </c>
      <c r="L40" t="n">
        <v>351.281189</v>
      </c>
      <c r="M40" t="n">
        <v>352.641785</v>
      </c>
      <c r="N40" t="n">
        <v>353.957397</v>
      </c>
      <c r="O40" t="n">
        <v>355.230469</v>
      </c>
      <c r="P40" t="n">
        <v>356.458527</v>
      </c>
      <c r="Q40" t="n">
        <v>357.634064</v>
      </c>
      <c r="R40" t="n">
        <v>358.735931</v>
      </c>
      <c r="S40" t="n">
        <v>359.772827</v>
      </c>
      <c r="T40" t="n">
        <v>360.751251</v>
      </c>
      <c r="U40" t="n">
        <v>361.672638</v>
      </c>
      <c r="V40" t="n">
        <v>362.535645</v>
      </c>
      <c r="W40" t="n">
        <v>363.343536</v>
      </c>
      <c r="X40" t="n">
        <v>364.095734</v>
      </c>
      <c r="Y40" t="n">
        <v>364.791321</v>
      </c>
      <c r="Z40" t="n">
        <v>365.436127</v>
      </c>
      <c r="AA40" t="n">
        <v>366.034454</v>
      </c>
      <c r="AB40" t="n">
        <v>366.590668</v>
      </c>
      <c r="AC40" t="n">
        <v>367.106476</v>
      </c>
      <c r="AD40" t="n">
        <v>367.587921</v>
      </c>
      <c r="AE40" t="n">
        <v>368.039459</v>
      </c>
      <c r="AF40" t="n">
        <v>368.46582</v>
      </c>
      <c r="AG40" t="n">
        <v>368.870575</v>
      </c>
      <c r="AH40" s="13" t="n">
        <v>0.003</v>
      </c>
    </row>
    <row r="41">
      <c r="A41" t="inlineStr">
        <is>
          <t>Population</t>
        </is>
      </c>
      <c r="B41" t="inlineStr">
        <is>
          <t xml:space="preserve"> aged 16 and over</t>
        </is>
      </c>
      <c r="C41" t="inlineStr">
        <is>
          <t>Macroeconomic Indicators: Population, aged 16 and over: High Zero-Carbon Technology Cost</t>
        </is>
      </c>
      <c r="D41" t="inlineStr">
        <is>
          <t>AEO.2025.HIGHZTC.DMG_POP_16+_NA_NA_NA_NA_MILL.A</t>
        </is>
      </c>
      <c r="E41" t="inlineStr">
        <is>
          <t>millions</t>
        </is>
      </c>
      <c r="G41" t="n">
        <v>277.998077</v>
      </c>
      <c r="H41" t="n">
        <v>280.904388</v>
      </c>
      <c r="I41" t="n">
        <v>283.17041</v>
      </c>
      <c r="J41" t="n">
        <v>284.871185</v>
      </c>
      <c r="K41" t="n">
        <v>286.501923</v>
      </c>
      <c r="L41" t="n">
        <v>288.105133</v>
      </c>
      <c r="M41" t="n">
        <v>289.690857</v>
      </c>
      <c r="N41" t="n">
        <v>291.249054</v>
      </c>
      <c r="O41" t="n">
        <v>292.724731</v>
      </c>
      <c r="P41" t="n">
        <v>294.080353</v>
      </c>
      <c r="Q41" t="n">
        <v>295.31839</v>
      </c>
      <c r="R41" t="n">
        <v>296.446411</v>
      </c>
      <c r="S41" t="n">
        <v>297.476868</v>
      </c>
      <c r="T41" t="n">
        <v>298.402283</v>
      </c>
      <c r="U41" t="n">
        <v>299.382751</v>
      </c>
      <c r="V41" t="n">
        <v>300.318176</v>
      </c>
      <c r="W41" t="n">
        <v>301.21106</v>
      </c>
      <c r="X41" t="n">
        <v>302.063965</v>
      </c>
      <c r="Y41" t="n">
        <v>302.88681</v>
      </c>
      <c r="Z41" t="n">
        <v>303.677185</v>
      </c>
      <c r="AA41" t="n">
        <v>304.440033</v>
      </c>
      <c r="AB41" t="n">
        <v>305.177856</v>
      </c>
      <c r="AC41" t="n">
        <v>305.898193</v>
      </c>
      <c r="AD41" t="n">
        <v>306.601013</v>
      </c>
      <c r="AE41" t="n">
        <v>307.293823</v>
      </c>
      <c r="AF41" t="n">
        <v>307.966614</v>
      </c>
      <c r="AG41" t="n">
        <v>308.626923</v>
      </c>
      <c r="AH41" s="13" t="n">
        <v>0.004</v>
      </c>
    </row>
    <row r="42">
      <c r="A42" t="inlineStr">
        <is>
          <t>Population</t>
        </is>
      </c>
      <c r="B42" t="inlineStr">
        <is>
          <t xml:space="preserve"> aged 65 and over</t>
        </is>
      </c>
      <c r="C42" t="inlineStr">
        <is>
          <t>Macroeconomic Indicators: Population, aged 65 and over: High Zero-Carbon Technology Cost</t>
        </is>
      </c>
      <c r="D42" t="inlineStr">
        <is>
          <t>AEO.2025.HIGHZTC.DMG_POP_65+_NA_NA_NA_NA_MILL.A</t>
        </is>
      </c>
      <c r="E42" t="inlineStr">
        <is>
          <t>millions</t>
        </is>
      </c>
      <c r="G42" t="n">
        <v>61.577816</v>
      </c>
      <c r="H42" t="n">
        <v>63.338612</v>
      </c>
      <c r="I42" t="n">
        <v>65.07189200000001</v>
      </c>
      <c r="J42" t="n">
        <v>66.73764799999999</v>
      </c>
      <c r="K42" t="n">
        <v>68.30585499999999</v>
      </c>
      <c r="L42" t="n">
        <v>69.77151499999999</v>
      </c>
      <c r="M42" t="n">
        <v>71.052094</v>
      </c>
      <c r="N42" t="n">
        <v>72.125084</v>
      </c>
      <c r="O42" t="n">
        <v>73.070511</v>
      </c>
      <c r="P42" t="n">
        <v>73.94090300000001</v>
      </c>
      <c r="Q42" t="n">
        <v>74.821297</v>
      </c>
      <c r="R42" t="n">
        <v>75.75421900000001</v>
      </c>
      <c r="S42" t="n">
        <v>76.622108</v>
      </c>
      <c r="T42" t="n">
        <v>77.20987700000001</v>
      </c>
      <c r="U42" t="n">
        <v>77.577545</v>
      </c>
      <c r="V42" t="n">
        <v>77.86267100000001</v>
      </c>
      <c r="W42" t="n">
        <v>78.140297</v>
      </c>
      <c r="X42" t="n">
        <v>78.365402</v>
      </c>
      <c r="Y42" t="n">
        <v>78.663033</v>
      </c>
      <c r="Z42" t="n">
        <v>78.975677</v>
      </c>
      <c r="AA42" t="n">
        <v>79.35585</v>
      </c>
      <c r="AB42" t="n">
        <v>79.83356499999999</v>
      </c>
      <c r="AC42" t="n">
        <v>80.30877700000001</v>
      </c>
      <c r="AD42" t="n">
        <v>80.819008</v>
      </c>
      <c r="AE42" t="n">
        <v>81.30423</v>
      </c>
      <c r="AF42" t="n">
        <v>81.75942999999999</v>
      </c>
      <c r="AG42" t="n">
        <v>82.294678</v>
      </c>
      <c r="AH42" s="13" t="n">
        <v>0.011</v>
      </c>
    </row>
    <row r="43">
      <c r="A43" t="inlineStr">
        <is>
          <t>Employment</t>
        </is>
      </c>
      <c r="B43" t="inlineStr">
        <is>
          <t xml:space="preserve"> Nonfarm</t>
        </is>
      </c>
      <c r="C43" t="inlineStr">
        <is>
          <t>Macroeconomic Indicators: Employment, Nonfarm: High Zero-Carbon Technology Cost</t>
        </is>
      </c>
      <c r="D43" t="inlineStr">
        <is>
          <t>AEO.2025.HIGHZTC.DMG_EMPM_NOFM_NA_NA_NA_NA_MILL.A</t>
        </is>
      </c>
      <c r="E43" t="inlineStr">
        <is>
          <t>millions</t>
        </is>
      </c>
      <c r="G43" t="n">
        <v>159.545212</v>
      </c>
      <c r="H43" t="n">
        <v>160.898468</v>
      </c>
      <c r="I43" t="n">
        <v>161.430664</v>
      </c>
      <c r="J43" t="n">
        <v>161.697113</v>
      </c>
      <c r="K43" t="n">
        <v>161.99791</v>
      </c>
      <c r="L43" t="n">
        <v>162.531403</v>
      </c>
      <c r="M43" t="n">
        <v>163.241547</v>
      </c>
      <c r="N43" t="n">
        <v>163.926712</v>
      </c>
      <c r="O43" t="n">
        <v>164.54892</v>
      </c>
      <c r="P43" t="n">
        <v>164.984772</v>
      </c>
      <c r="Q43" t="n">
        <v>165.29776</v>
      </c>
      <c r="R43" t="n">
        <v>165.565918</v>
      </c>
      <c r="S43" t="n">
        <v>166.083389</v>
      </c>
      <c r="T43" t="n">
        <v>166.791397</v>
      </c>
      <c r="U43" t="n">
        <v>167.531403</v>
      </c>
      <c r="V43" t="n">
        <v>168.186569</v>
      </c>
      <c r="W43" t="n">
        <v>169.003845</v>
      </c>
      <c r="X43" t="n">
        <v>169.658646</v>
      </c>
      <c r="Y43" t="n">
        <v>170.297318</v>
      </c>
      <c r="Z43" t="n">
        <v>170.740448</v>
      </c>
      <c r="AA43" t="n">
        <v>171.206116</v>
      </c>
      <c r="AB43" t="n">
        <v>171.654968</v>
      </c>
      <c r="AC43" t="n">
        <v>172.127533</v>
      </c>
      <c r="AD43" t="n">
        <v>172.641632</v>
      </c>
      <c r="AE43" t="n">
        <v>173.163284</v>
      </c>
      <c r="AF43" t="n">
        <v>173.717438</v>
      </c>
      <c r="AG43" t="n">
        <v>174.287827</v>
      </c>
      <c r="AH43" s="13" t="n">
        <v>0.003</v>
      </c>
    </row>
    <row r="44">
      <c r="A44" t="inlineStr">
        <is>
          <t>Employment</t>
        </is>
      </c>
      <c r="B44" t="inlineStr">
        <is>
          <t xml:space="preserve"> Manufacturing</t>
        </is>
      </c>
      <c r="C44" t="inlineStr">
        <is>
          <t>Macroeconomic Indicators: Employment, Manufacturing: High Zero-Carbon Technology Cost</t>
        </is>
      </c>
      <c r="D44" t="inlineStr">
        <is>
          <t>AEO.2025.HIGHZTC.DMG_EMPM_MANF_NA_NA_NA_NA_MILL.A</t>
        </is>
      </c>
      <c r="E44" t="inlineStr">
        <is>
          <t>millions</t>
        </is>
      </c>
      <c r="G44" t="n">
        <v>12.946291</v>
      </c>
      <c r="H44" t="n">
        <v>12.607818</v>
      </c>
      <c r="I44" t="n">
        <v>12.266395</v>
      </c>
      <c r="J44" t="n">
        <v>12.145359</v>
      </c>
      <c r="K44" t="n">
        <v>11.975657</v>
      </c>
      <c r="L44" t="n">
        <v>11.855324</v>
      </c>
      <c r="M44" t="n">
        <v>11.823164</v>
      </c>
      <c r="N44" t="n">
        <v>11.811355</v>
      </c>
      <c r="O44" t="n">
        <v>11.753557</v>
      </c>
      <c r="P44" t="n">
        <v>11.639316</v>
      </c>
      <c r="Q44" t="n">
        <v>11.500506</v>
      </c>
      <c r="R44" t="n">
        <v>11.483269</v>
      </c>
      <c r="S44" t="n">
        <v>11.548651</v>
      </c>
      <c r="T44" t="n">
        <v>11.638992</v>
      </c>
      <c r="U44" t="n">
        <v>11.723704</v>
      </c>
      <c r="V44" t="n">
        <v>11.78691</v>
      </c>
      <c r="W44" t="n">
        <v>11.825394</v>
      </c>
      <c r="X44" t="n">
        <v>11.847021</v>
      </c>
      <c r="Y44" t="n">
        <v>11.844115</v>
      </c>
      <c r="Z44" t="n">
        <v>11.812518</v>
      </c>
      <c r="AA44" t="n">
        <v>11.792035</v>
      </c>
      <c r="AB44" t="n">
        <v>11.817151</v>
      </c>
      <c r="AC44" t="n">
        <v>11.839629</v>
      </c>
      <c r="AD44" t="n">
        <v>11.86697</v>
      </c>
      <c r="AE44" t="n">
        <v>11.895567</v>
      </c>
      <c r="AF44" t="n">
        <v>11.917656</v>
      </c>
      <c r="AG44" t="n">
        <v>11.917175</v>
      </c>
      <c r="AH44" s="13" t="n">
        <v>-0.003</v>
      </c>
    </row>
    <row r="45">
      <c r="A45" t="inlineStr">
        <is>
          <t>Key Labor Indicators</t>
        </is>
      </c>
    </row>
    <row r="46">
      <c r="A46" t="inlineStr">
        <is>
          <t>Labor Force (millions)</t>
        </is>
      </c>
      <c r="B46" t="inlineStr">
        <is>
          <t>Macroeconomic Indicators: Key Labor Indicators: Labor Force: High Zero-Carbon Technology Cost</t>
        </is>
      </c>
      <c r="C46" t="inlineStr">
        <is>
          <t>AEO.2025.HIGHZTC.ECI_LBF_NA_NA_NA_NA_NA_MILL.A</t>
        </is>
      </c>
      <c r="D46" t="inlineStr">
        <is>
          <t>millions</t>
        </is>
      </c>
      <c r="F46" t="n">
        <v>168.244507</v>
      </c>
      <c r="G46" t="n">
        <v>169.612473</v>
      </c>
      <c r="H46" t="n">
        <v>170.370926</v>
      </c>
      <c r="I46" t="n">
        <v>170.938721</v>
      </c>
      <c r="J46" t="n">
        <v>171.43718</v>
      </c>
      <c r="K46" t="n">
        <v>171.976822</v>
      </c>
      <c r="L46" t="n">
        <v>172.528076</v>
      </c>
      <c r="M46" t="n">
        <v>172.998825</v>
      </c>
      <c r="N46" t="n">
        <v>173.500107</v>
      </c>
      <c r="O46" t="n">
        <v>173.970444</v>
      </c>
      <c r="P46" t="n">
        <v>174.390472</v>
      </c>
      <c r="Q46" t="n">
        <v>174.836533</v>
      </c>
      <c r="R46" t="n">
        <v>175.403778</v>
      </c>
      <c r="S46" t="n">
        <v>176.1875</v>
      </c>
      <c r="T46" t="n">
        <v>177.085922</v>
      </c>
      <c r="U46" t="n">
        <v>177.926468</v>
      </c>
      <c r="V46" t="n">
        <v>178.689499</v>
      </c>
      <c r="W46" t="n">
        <v>179.396881</v>
      </c>
      <c r="X46" t="n">
        <v>179.991302</v>
      </c>
      <c r="Y46" t="n">
        <v>180.498596</v>
      </c>
      <c r="Z46" t="n">
        <v>180.958252</v>
      </c>
      <c r="AA46" t="n">
        <v>181.417801</v>
      </c>
      <c r="AB46" t="n">
        <v>181.869919</v>
      </c>
      <c r="AC46" t="n">
        <v>182.336227</v>
      </c>
      <c r="AD46" t="n">
        <v>182.857971</v>
      </c>
      <c r="AE46" t="n">
        <v>183.421295</v>
      </c>
      <c r="AF46" t="n">
        <v>183.963303</v>
      </c>
      <c r="AG46" s="13" t="n">
        <v>0.003</v>
      </c>
    </row>
    <row r="47">
      <c r="A47" t="inlineStr">
        <is>
          <t>Nonfarm Labor Productivity (2012=1.00)</t>
        </is>
      </c>
      <c r="B47" t="inlineStr">
        <is>
          <t>Macroeconomic Indicators: Key Labor Indicators: Nonfarm Labor Productivity: High Zero-Carbon Technology Cost</t>
        </is>
      </c>
      <c r="C47" t="inlineStr">
        <is>
          <t>AEO.2025.HIGHZTC.ECI_LP_NOFM_NA_NA_NA_NA_Y09EQ1.A</t>
        </is>
      </c>
      <c r="D47" t="inlineStr">
        <is>
          <t>2012=1.00</t>
        </is>
      </c>
      <c r="F47" t="n">
        <v>1.200237</v>
      </c>
      <c r="G47" t="n">
        <v>1.222142</v>
      </c>
      <c r="H47" t="n">
        <v>1.249974</v>
      </c>
      <c r="I47" t="n">
        <v>1.275052</v>
      </c>
      <c r="J47" t="n">
        <v>1.296528</v>
      </c>
      <c r="K47" t="n">
        <v>1.31716</v>
      </c>
      <c r="L47" t="n">
        <v>1.335774</v>
      </c>
      <c r="M47" t="n">
        <v>1.353707</v>
      </c>
      <c r="N47" t="n">
        <v>1.374473</v>
      </c>
      <c r="O47" t="n">
        <v>1.396873</v>
      </c>
      <c r="P47" t="n">
        <v>1.420872</v>
      </c>
      <c r="Q47" t="n">
        <v>1.445487</v>
      </c>
      <c r="R47" t="n">
        <v>1.469641</v>
      </c>
      <c r="S47" t="n">
        <v>1.494957</v>
      </c>
      <c r="T47" t="n">
        <v>1.52258</v>
      </c>
      <c r="U47" t="n">
        <v>1.55371</v>
      </c>
      <c r="V47" t="n">
        <v>1.586405</v>
      </c>
      <c r="W47" t="n">
        <v>1.621016</v>
      </c>
      <c r="X47" t="n">
        <v>1.658167</v>
      </c>
      <c r="Y47" t="n">
        <v>1.696587</v>
      </c>
      <c r="Z47" t="n">
        <v>1.735201</v>
      </c>
      <c r="AA47" t="n">
        <v>1.773522</v>
      </c>
      <c r="AB47" t="n">
        <v>1.812844</v>
      </c>
      <c r="AC47" t="n">
        <v>1.852177</v>
      </c>
      <c r="AD47" t="n">
        <v>1.892461</v>
      </c>
      <c r="AE47" t="n">
        <v>1.933445</v>
      </c>
      <c r="AF47" t="n">
        <v>1.975163</v>
      </c>
      <c r="AG47" s="13" t="n">
        <v>0.019</v>
      </c>
    </row>
    <row r="48">
      <c r="A48" t="inlineStr">
        <is>
          <t>Unemployment Rate (percentage)</t>
        </is>
      </c>
      <c r="B48" t="inlineStr">
        <is>
          <t>Macroeconomic Indicators: Key Labor Indicators: Unemployment Rate: High Zero-Carbon Technology Cost</t>
        </is>
      </c>
      <c r="C48" t="inlineStr">
        <is>
          <t>AEO.2025.HIGHZTC.ECI_UER_NA_NA_NA_NA_NA_PCT.A</t>
        </is>
      </c>
      <c r="D48" t="inlineStr">
        <is>
          <t>percent</t>
        </is>
      </c>
      <c r="F48" t="n">
        <v>4.027698</v>
      </c>
      <c r="G48" t="n">
        <v>4.323439</v>
      </c>
      <c r="H48" t="n">
        <v>4.482402</v>
      </c>
      <c r="I48" t="n">
        <v>4.517805</v>
      </c>
      <c r="J48" t="n">
        <v>4.489653</v>
      </c>
      <c r="K48" t="n">
        <v>4.392113</v>
      </c>
      <c r="L48" t="n">
        <v>4.257711</v>
      </c>
      <c r="M48" t="n">
        <v>4.14608</v>
      </c>
      <c r="N48" t="n">
        <v>4.074936</v>
      </c>
      <c r="O48" t="n">
        <v>4.066734</v>
      </c>
      <c r="P48" t="n">
        <v>4.097273</v>
      </c>
      <c r="Q48" t="n">
        <v>4.088147</v>
      </c>
      <c r="R48" t="n">
        <v>4.076896</v>
      </c>
      <c r="S48" t="n">
        <v>4.094329</v>
      </c>
      <c r="T48" t="n">
        <v>4.154743</v>
      </c>
      <c r="U48" t="n">
        <v>4.235021</v>
      </c>
      <c r="V48" t="n">
        <v>4.268937</v>
      </c>
      <c r="W48" t="n">
        <v>4.296646</v>
      </c>
      <c r="X48" t="n">
        <v>4.294996</v>
      </c>
      <c r="Y48" t="n">
        <v>4.281965</v>
      </c>
      <c r="Z48" t="n">
        <v>4.271393</v>
      </c>
      <c r="AA48" t="n">
        <v>4.286569</v>
      </c>
      <c r="AB48" t="n">
        <v>4.294228</v>
      </c>
      <c r="AC48" t="n">
        <v>4.285175</v>
      </c>
      <c r="AD48" t="n">
        <v>4.276694</v>
      </c>
      <c r="AE48" t="n">
        <v>4.269107</v>
      </c>
      <c r="AF48" t="n">
        <v>4.278886</v>
      </c>
      <c r="AG48" s="13" t="n">
        <v>0.002</v>
      </c>
    </row>
    <row r="49">
      <c r="A49" t="inlineStr">
        <is>
          <t>Key Indicators for Energy Demand</t>
        </is>
      </c>
    </row>
    <row r="50">
      <c r="A50" t="inlineStr">
        <is>
          <t>Real Disposable Personal Income</t>
        </is>
      </c>
      <c r="B50" t="inlineStr">
        <is>
          <t>Macroeconomic Indicators: Key Indicators for Energy Use: Real Disposable Personal Income: High Zero-Carbon Technology Cost</t>
        </is>
      </c>
      <c r="C50" t="inlineStr">
        <is>
          <t>AEO.2025.HIGHZTC.ECI_PEI_NA_NA_NA_NA_NA_BLNY09DLR.A</t>
        </is>
      </c>
      <c r="D50" t="inlineStr">
        <is>
          <t>billion 2012  $</t>
        </is>
      </c>
      <c r="F50" t="n">
        <v>16628.990234</v>
      </c>
      <c r="G50" t="n">
        <v>17088.570312</v>
      </c>
      <c r="H50" t="n">
        <v>17659.257812</v>
      </c>
      <c r="I50" t="n">
        <v>18160.914062</v>
      </c>
      <c r="J50" t="n">
        <v>18622.626953</v>
      </c>
      <c r="K50" t="n">
        <v>19065.867188</v>
      </c>
      <c r="L50" t="n">
        <v>19500.0625</v>
      </c>
      <c r="M50" t="n">
        <v>19916.849609</v>
      </c>
      <c r="N50" t="n">
        <v>20345.167969</v>
      </c>
      <c r="O50" t="n">
        <v>20778.535156</v>
      </c>
      <c r="P50" t="n">
        <v>21232.025391</v>
      </c>
      <c r="Q50" t="n">
        <v>21663.232422</v>
      </c>
      <c r="R50" t="n">
        <v>22105.75</v>
      </c>
      <c r="S50" t="n">
        <v>22560.574219</v>
      </c>
      <c r="T50" t="n">
        <v>23022.482422</v>
      </c>
      <c r="U50" t="n">
        <v>23508.675781</v>
      </c>
      <c r="V50" t="n">
        <v>24013.269531</v>
      </c>
      <c r="W50" t="n">
        <v>24495.851562</v>
      </c>
      <c r="X50" t="n">
        <v>25000.126953</v>
      </c>
      <c r="Y50" t="n">
        <v>25509.75</v>
      </c>
      <c r="Z50" t="n">
        <v>26027.070312</v>
      </c>
      <c r="AA50" t="n">
        <v>26546.287109</v>
      </c>
      <c r="AB50" t="n">
        <v>27081.972656</v>
      </c>
      <c r="AC50" t="n">
        <v>27627.421875</v>
      </c>
      <c r="AD50" t="n">
        <v>28177.890625</v>
      </c>
      <c r="AE50" t="n">
        <v>28739.75</v>
      </c>
      <c r="AF50" t="n">
        <v>29311.912109</v>
      </c>
      <c r="AG50" s="13" t="n">
        <v>0.022</v>
      </c>
    </row>
    <row r="51">
      <c r="A51" t="inlineStr">
        <is>
          <t>Housing Starts (millions)</t>
        </is>
      </c>
      <c r="B51" t="inlineStr">
        <is>
          <t>Macroeconomic Indicators: Key Indicators for Energy Use: Housing Starts: High Zero-Carbon Technology Cost</t>
        </is>
      </c>
      <c r="C51" t="inlineStr">
        <is>
          <t>AEO.2025.HIGHZTC.ECI_HST_NA_NA_NA_NA_NA_MILL.A</t>
        </is>
      </c>
      <c r="D51" t="inlineStr">
        <is>
          <t>millions</t>
        </is>
      </c>
      <c r="F51" t="n">
        <v>1.45246</v>
      </c>
      <c r="G51" t="n">
        <v>1.485654</v>
      </c>
      <c r="H51" t="n">
        <v>1.569675</v>
      </c>
      <c r="I51" t="n">
        <v>1.586839</v>
      </c>
      <c r="J51" t="n">
        <v>1.593096</v>
      </c>
      <c r="K51" t="n">
        <v>1.63071</v>
      </c>
      <c r="L51" t="n">
        <v>1.630992</v>
      </c>
      <c r="M51" t="n">
        <v>1.633131</v>
      </c>
      <c r="N51" t="n">
        <v>1.617862</v>
      </c>
      <c r="O51" t="n">
        <v>1.565299</v>
      </c>
      <c r="P51" t="n">
        <v>1.500715</v>
      </c>
      <c r="Q51" t="n">
        <v>1.478613</v>
      </c>
      <c r="R51" t="n">
        <v>1.449096</v>
      </c>
      <c r="S51" t="n">
        <v>1.392733</v>
      </c>
      <c r="T51" t="n">
        <v>1.341528</v>
      </c>
      <c r="U51" t="n">
        <v>1.285423</v>
      </c>
      <c r="V51" t="n">
        <v>1.242643</v>
      </c>
      <c r="W51" t="n">
        <v>1.191305</v>
      </c>
      <c r="X51" t="n">
        <v>1.153365</v>
      </c>
      <c r="Y51" t="n">
        <v>1.113051</v>
      </c>
      <c r="Z51" t="n">
        <v>1.094303</v>
      </c>
      <c r="AA51" t="n">
        <v>1.094501</v>
      </c>
      <c r="AB51" t="n">
        <v>1.091579</v>
      </c>
      <c r="AC51" t="n">
        <v>1.090332</v>
      </c>
      <c r="AD51" t="n">
        <v>1.089172</v>
      </c>
      <c r="AE51" t="n">
        <v>1.089164</v>
      </c>
      <c r="AF51" t="n">
        <v>1.085835</v>
      </c>
      <c r="AG51" s="13" t="n">
        <v>-0.011</v>
      </c>
    </row>
    <row r="52">
      <c r="A52" t="inlineStr">
        <is>
          <t>Commercial Floorspace (billion square feet)</t>
        </is>
      </c>
      <c r="B52" t="inlineStr">
        <is>
          <t>Macroeconomic Indicators: Key Indicators for Energy Use: Commercial Floorspace: High Zero-Carbon Technology Cost</t>
        </is>
      </c>
      <c r="C52" t="inlineStr">
        <is>
          <t>AEO.2025.HIGHZTC.ECI_FLR_COMM_NA_NA_NA_NA_BLNSQFT.A</t>
        </is>
      </c>
      <c r="D52" t="inlineStr">
        <is>
          <t>billion sq ft</t>
        </is>
      </c>
      <c r="F52" t="n">
        <v>103.371872</v>
      </c>
      <c r="G52" t="n">
        <v>104.52195</v>
      </c>
      <c r="H52" t="n">
        <v>105.93502</v>
      </c>
      <c r="I52" t="n">
        <v>107.51918</v>
      </c>
      <c r="J52" t="n">
        <v>109.194839</v>
      </c>
      <c r="K52" t="n">
        <v>110.865685</v>
      </c>
      <c r="L52" t="n">
        <v>112.493584</v>
      </c>
      <c r="M52" t="n">
        <v>114.092934</v>
      </c>
      <c r="N52" t="n">
        <v>115.698303</v>
      </c>
      <c r="O52" t="n">
        <v>117.319679</v>
      </c>
      <c r="P52" t="n">
        <v>118.948647</v>
      </c>
      <c r="Q52" t="n">
        <v>120.570572</v>
      </c>
      <c r="R52" t="n">
        <v>122.168922</v>
      </c>
      <c r="S52" t="n">
        <v>123.73555</v>
      </c>
      <c r="T52" t="n">
        <v>125.272934</v>
      </c>
      <c r="U52" t="n">
        <v>126.786034</v>
      </c>
      <c r="V52" t="n">
        <v>128.280212</v>
      </c>
      <c r="W52" t="n">
        <v>129.760834</v>
      </c>
      <c r="X52" t="n">
        <v>131.231323</v>
      </c>
      <c r="Y52" t="n">
        <v>132.694901</v>
      </c>
      <c r="Z52" t="n">
        <v>134.155365</v>
      </c>
      <c r="AA52" t="n">
        <v>135.616333</v>
      </c>
      <c r="AB52" t="n">
        <v>137.08107</v>
      </c>
      <c r="AC52" t="n">
        <v>138.552307</v>
      </c>
      <c r="AD52" t="n">
        <v>140.031601</v>
      </c>
      <c r="AE52" t="n">
        <v>141.519608</v>
      </c>
      <c r="AF52" t="n">
        <v>143.016235</v>
      </c>
      <c r="AG52" s="13" t="n">
        <v>0.013</v>
      </c>
    </row>
    <row r="53">
      <c r="A53" t="inlineStr">
        <is>
          <t>Unit Sales of Light-Duty Vehicles (millions)</t>
        </is>
      </c>
      <c r="B53" t="inlineStr">
        <is>
          <t>Macroeconomic Indicators: Key Indicators for Energy Use: Unit Sales of Light-Duty Vehicles: High Zero-Carbon Technology Cost</t>
        </is>
      </c>
      <c r="C53" t="inlineStr">
        <is>
          <t>AEO.2025.HIGHZTC.KEI_SAL_TRN_LDV_NA_NA_NA_MILL.A</t>
        </is>
      </c>
      <c r="D53" t="inlineStr">
        <is>
          <t>millions</t>
        </is>
      </c>
      <c r="F53" t="n">
        <v>15.735111</v>
      </c>
      <c r="G53" t="n">
        <v>16.256453</v>
      </c>
      <c r="H53" t="n">
        <v>16.903843</v>
      </c>
      <c r="I53" t="n">
        <v>17.003399</v>
      </c>
      <c r="J53" t="n">
        <v>16.499796</v>
      </c>
      <c r="K53" t="n">
        <v>16.222467</v>
      </c>
      <c r="L53" t="n">
        <v>16.024593</v>
      </c>
      <c r="M53" t="n">
        <v>15.67191</v>
      </c>
      <c r="N53" t="n">
        <v>15.4829</v>
      </c>
      <c r="O53" t="n">
        <v>15.518479</v>
      </c>
      <c r="P53" t="n">
        <v>15.631788</v>
      </c>
      <c r="Q53" t="n">
        <v>15.618697</v>
      </c>
      <c r="R53" t="n">
        <v>15.587206</v>
      </c>
      <c r="S53" t="n">
        <v>15.601235</v>
      </c>
      <c r="T53" t="n">
        <v>15.641642</v>
      </c>
      <c r="U53" t="n">
        <v>15.727674</v>
      </c>
      <c r="V53" t="n">
        <v>15.74424</v>
      </c>
      <c r="W53" t="n">
        <v>15.652267</v>
      </c>
      <c r="X53" t="n">
        <v>15.621376</v>
      </c>
      <c r="Y53" t="n">
        <v>15.562071</v>
      </c>
      <c r="Z53" t="n">
        <v>15.513393</v>
      </c>
      <c r="AA53" t="n">
        <v>15.461763</v>
      </c>
      <c r="AB53" t="n">
        <v>15.408041</v>
      </c>
      <c r="AC53" t="n">
        <v>15.295394</v>
      </c>
      <c r="AD53" t="n">
        <v>15.206058</v>
      </c>
      <c r="AE53" t="n">
        <v>15.107029</v>
      </c>
      <c r="AF53" t="n">
        <v>14.964993</v>
      </c>
      <c r="AG53" s="13" t="n">
        <v>-0.002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53"/>
  <sheetViews>
    <sheetView workbookViewId="0">
      <selection activeCell="E6" sqref="E6"/>
    </sheetView>
  </sheetViews>
  <sheetFormatPr baseColWidth="8" defaultRowHeight="15"/>
  <cols>
    <col width="37.140625" customWidth="1" min="1" max="1"/>
    <col width="101.42578125" bestFit="1" customWidth="1" min="3" max="3"/>
  </cols>
  <sheetData>
    <row r="1">
      <c r="A1" t="inlineStr">
        <is>
          <t>Table 20.  Macroeconomic Indicators</t>
        </is>
      </c>
    </row>
    <row r="2">
      <c r="A2" t="inlineStr">
        <is>
          <t>https://www.eia.gov/outlooks/aeo/data/browser/#/?id=18-AEO2026&amp;cases=electrnp&amp;sourcekey=0</t>
        </is>
      </c>
    </row>
    <row r="3">
      <c r="A3" t="inlineStr">
        <is>
          <t>Thu Apr 23 2026 15:00:34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Real Gross Domestic Product</t>
        </is>
      </c>
      <c r="B6" t="inlineStr">
        <is>
          <t>Macroeconomic Indicators: Real Gross Domestic Product: Alternative Electricity and Transportation</t>
        </is>
      </c>
      <c r="C6" t="inlineStr">
        <is>
          <t>AEO.2026.ELECTRNP.ECI_NA_NA_NA_GDP_REAL_NA_BLNY09DLR.A</t>
        </is>
      </c>
      <c r="D6" t="inlineStr">
        <is>
          <t>billion 2012  $</t>
        </is>
      </c>
      <c r="E6" t="n">
        <v>22086.083984</v>
      </c>
      <c r="F6" t="n">
        <v>22669.974609</v>
      </c>
      <c r="G6" t="n">
        <v>23095.640625</v>
      </c>
      <c r="H6" t="n">
        <v>23390.617188</v>
      </c>
      <c r="I6" t="n">
        <v>23750.759766</v>
      </c>
      <c r="J6" t="n">
        <v>24166.652344</v>
      </c>
      <c r="K6" t="n">
        <v>24572.644531</v>
      </c>
      <c r="L6" t="n">
        <v>25034.144531</v>
      </c>
      <c r="M6" t="n">
        <v>25522.300781</v>
      </c>
      <c r="N6" t="n">
        <v>26041.154297</v>
      </c>
      <c r="O6" t="n">
        <v>26595.578125</v>
      </c>
      <c r="P6" t="n">
        <v>27063.660156</v>
      </c>
      <c r="Q6" t="n">
        <v>27531.339844</v>
      </c>
      <c r="R6" t="n">
        <v>28000.277344</v>
      </c>
      <c r="S6" t="n">
        <v>28461.050781</v>
      </c>
      <c r="T6" t="n">
        <v>28925.544922</v>
      </c>
      <c r="U6" t="n">
        <v>29375.912109</v>
      </c>
      <c r="V6" t="n">
        <v>29841.964844</v>
      </c>
      <c r="W6" t="n">
        <v>30321.671875</v>
      </c>
      <c r="X6" t="n">
        <v>30806.214844</v>
      </c>
      <c r="Y6" t="n">
        <v>31294.171875</v>
      </c>
      <c r="Z6" t="n">
        <v>31769.9375</v>
      </c>
      <c r="AA6" t="n">
        <v>32226.466797</v>
      </c>
      <c r="AB6" t="n">
        <v>32681.023438</v>
      </c>
      <c r="AC6" t="n">
        <v>33125.082031</v>
      </c>
      <c r="AD6" t="n">
        <v>33582.949219</v>
      </c>
      <c r="AE6" s="13" t="n">
        <v>0.017</v>
      </c>
    </row>
    <row r="7">
      <c r="A7" t="inlineStr">
        <is>
          <t>Components of Real Gross Domestic Product</t>
        </is>
      </c>
    </row>
    <row r="8">
      <c r="A8" t="inlineStr">
        <is>
          <t>Real Consumption</t>
        </is>
      </c>
      <c r="B8" t="inlineStr">
        <is>
          <t>Macroeconomic Indicators: GDP Components: Real Consumption: Alternative Electricity and Transportation</t>
        </is>
      </c>
      <c r="C8" t="inlineStr">
        <is>
          <t>AEO.2026.ELECTRNP.ECI_NA_NA_NA_GDP_RCNSP_NA_BLNY09DLR.A</t>
        </is>
      </c>
      <c r="D8" t="inlineStr">
        <is>
          <t>billion 2012  $</t>
        </is>
      </c>
      <c r="E8" t="n">
        <v>15470.457031</v>
      </c>
      <c r="F8" t="n">
        <v>15745.257812</v>
      </c>
      <c r="G8" t="n">
        <v>16077.06543</v>
      </c>
      <c r="H8" t="n">
        <v>16443.414062</v>
      </c>
      <c r="I8" t="n">
        <v>16808.171875</v>
      </c>
      <c r="J8" t="n">
        <v>17210.960938</v>
      </c>
      <c r="K8" t="n">
        <v>17613.142578</v>
      </c>
      <c r="L8" t="n">
        <v>18045.730469</v>
      </c>
      <c r="M8" t="n">
        <v>18508.070312</v>
      </c>
      <c r="N8" t="n">
        <v>18995.169922</v>
      </c>
      <c r="O8" t="n">
        <v>19504.886719</v>
      </c>
      <c r="P8" t="n">
        <v>19969.222656</v>
      </c>
      <c r="Q8" t="n">
        <v>20418.203125</v>
      </c>
      <c r="R8" t="n">
        <v>20862.244141</v>
      </c>
      <c r="S8" t="n">
        <v>21285.115234</v>
      </c>
      <c r="T8" t="n">
        <v>21701.123047</v>
      </c>
      <c r="U8" t="n">
        <v>22115.761719</v>
      </c>
      <c r="V8" t="n">
        <v>22530.050781</v>
      </c>
      <c r="W8" t="n">
        <v>22959.675781</v>
      </c>
      <c r="X8" t="n">
        <v>23398.494141</v>
      </c>
      <c r="Y8" t="n">
        <v>23833.767578</v>
      </c>
      <c r="Z8" t="n">
        <v>24265.730469</v>
      </c>
      <c r="AA8" t="n">
        <v>24688.705078</v>
      </c>
      <c r="AB8" t="n">
        <v>25114.117188</v>
      </c>
      <c r="AC8" t="n">
        <v>25538.404297</v>
      </c>
      <c r="AD8" t="n">
        <v>25973.339844</v>
      </c>
      <c r="AE8" s="13" t="n">
        <v>0.021</v>
      </c>
    </row>
    <row r="9">
      <c r="A9" t="inlineStr">
        <is>
          <t>Real Business Fixed Investment</t>
        </is>
      </c>
      <c r="B9" t="inlineStr">
        <is>
          <t>Macroeconomic Indicators: GDP Components: Real Business Fixed Investment: Alternative Electricity and Transportation</t>
        </is>
      </c>
      <c r="C9" t="inlineStr">
        <is>
          <t>AEO.2026.ELECTRNP.ECI_NA_NA_NA_GDP_RINV_NA_BLNY09DLR.A</t>
        </is>
      </c>
      <c r="D9" t="inlineStr">
        <is>
          <t>billion 2012  $</t>
        </is>
      </c>
      <c r="E9" t="n">
        <v>3563.635498</v>
      </c>
      <c r="F9" t="n">
        <v>3578.648682</v>
      </c>
      <c r="G9" t="n">
        <v>3636.20752</v>
      </c>
      <c r="H9" t="n">
        <v>3675.77417</v>
      </c>
      <c r="I9" t="n">
        <v>3739.963135</v>
      </c>
      <c r="J9" t="n">
        <v>3828.876221</v>
      </c>
      <c r="K9" t="n">
        <v>3932.936523</v>
      </c>
      <c r="L9" t="n">
        <v>4064.687012</v>
      </c>
      <c r="M9" t="n">
        <v>4220.551758</v>
      </c>
      <c r="N9" t="n">
        <v>4389.611816</v>
      </c>
      <c r="O9" t="n">
        <v>4577.15625</v>
      </c>
      <c r="P9" t="n">
        <v>4708.250977</v>
      </c>
      <c r="Q9" t="n">
        <v>4803.777344</v>
      </c>
      <c r="R9" t="n">
        <v>4906.787109</v>
      </c>
      <c r="S9" t="n">
        <v>5008.870117</v>
      </c>
      <c r="T9" t="n">
        <v>5115.351562</v>
      </c>
      <c r="U9" t="n">
        <v>5224.273926</v>
      </c>
      <c r="V9" t="n">
        <v>5330.099121</v>
      </c>
      <c r="W9" t="n">
        <v>5439.543457</v>
      </c>
      <c r="X9" t="n">
        <v>5548.852051</v>
      </c>
      <c r="Y9" t="n">
        <v>5656.487305</v>
      </c>
      <c r="Z9" t="n">
        <v>5759.685547</v>
      </c>
      <c r="AA9" t="n">
        <v>5856.403809</v>
      </c>
      <c r="AB9" t="n">
        <v>5955.807129</v>
      </c>
      <c r="AC9" t="n">
        <v>6052.561523</v>
      </c>
      <c r="AD9" t="n">
        <v>6153.734863</v>
      </c>
      <c r="AE9" s="13" t="n">
        <v>0.022</v>
      </c>
    </row>
    <row r="10">
      <c r="A10" t="inlineStr">
        <is>
          <t>Real Government Spending</t>
        </is>
      </c>
      <c r="B10" t="inlineStr">
        <is>
          <t>Macroeconomic Indicators: GDP Components: Real Government Spending: Alternative Electricity and Transportation</t>
        </is>
      </c>
      <c r="C10" t="inlineStr">
        <is>
          <t>AEO.2026.ELECTRNP.ECI_NA_NA_NA_GDP_RGSP_NA_BLNY09DLR.A</t>
        </is>
      </c>
      <c r="D10" t="inlineStr">
        <is>
          <t>billion 2012  $</t>
        </is>
      </c>
      <c r="E10" t="n">
        <v>3737.134277</v>
      </c>
      <c r="F10" t="n">
        <v>3772.556396</v>
      </c>
      <c r="G10" t="n">
        <v>3775.849121</v>
      </c>
      <c r="H10" t="n">
        <v>3765.763672</v>
      </c>
      <c r="I10" t="n">
        <v>3760.973145</v>
      </c>
      <c r="J10" t="n">
        <v>3758.694824</v>
      </c>
      <c r="K10" t="n">
        <v>3745.555176</v>
      </c>
      <c r="L10" t="n">
        <v>3742.278076</v>
      </c>
      <c r="M10" t="n">
        <v>3740.540283</v>
      </c>
      <c r="N10" t="n">
        <v>3740.723145</v>
      </c>
      <c r="O10" t="n">
        <v>3741.604004</v>
      </c>
      <c r="P10" t="n">
        <v>3755.566895</v>
      </c>
      <c r="Q10" t="n">
        <v>3777.712402</v>
      </c>
      <c r="R10" t="n">
        <v>3798.312988</v>
      </c>
      <c r="S10" t="n">
        <v>3816.788818</v>
      </c>
      <c r="T10" t="n">
        <v>3839.536133</v>
      </c>
      <c r="U10" t="n">
        <v>3850.359619</v>
      </c>
      <c r="V10" t="n">
        <v>3869.396484</v>
      </c>
      <c r="W10" t="n">
        <v>3887.589844</v>
      </c>
      <c r="X10" t="n">
        <v>3907.698975</v>
      </c>
      <c r="Y10" t="n">
        <v>3928.432861</v>
      </c>
      <c r="Z10" t="n">
        <v>3946.745605</v>
      </c>
      <c r="AA10" t="n">
        <v>3963.805908</v>
      </c>
      <c r="AB10" t="n">
        <v>3979.484131</v>
      </c>
      <c r="AC10" t="n">
        <v>3992.628906</v>
      </c>
      <c r="AD10" t="n">
        <v>4010.463867</v>
      </c>
      <c r="AE10" s="13" t="n">
        <v>0.003</v>
      </c>
    </row>
    <row r="11">
      <c r="A11" t="inlineStr">
        <is>
          <t>Real Exports</t>
        </is>
      </c>
      <c r="B11" t="inlineStr">
        <is>
          <t>Macroeconomic Indicators: GDP Components: Real Exports: Alternative Electricity and Transportation</t>
        </is>
      </c>
      <c r="C11" t="inlineStr">
        <is>
          <t>AEO.2026.ELECTRNP.ECI_NA_NA_NA_GDP_REXP_NA_BLNY09DLR.A</t>
        </is>
      </c>
      <c r="D11" t="inlineStr">
        <is>
          <t>billion 2012  $</t>
        </is>
      </c>
      <c r="E11" t="n">
        <v>2741.991699</v>
      </c>
      <c r="F11" t="n">
        <v>2835.48877</v>
      </c>
      <c r="G11" t="n">
        <v>2965.720703</v>
      </c>
      <c r="H11" t="n">
        <v>3053.724854</v>
      </c>
      <c r="I11" t="n">
        <v>3141.342041</v>
      </c>
      <c r="J11" t="n">
        <v>3221.047607</v>
      </c>
      <c r="K11" t="n">
        <v>3296.947021</v>
      </c>
      <c r="L11" t="n">
        <v>3370.631836</v>
      </c>
      <c r="M11" t="n">
        <v>3442.129883</v>
      </c>
      <c r="N11" t="n">
        <v>3516.774658</v>
      </c>
      <c r="O11" t="n">
        <v>3600.787842</v>
      </c>
      <c r="P11" t="n">
        <v>3663.313965</v>
      </c>
      <c r="Q11" t="n">
        <v>3717.053711</v>
      </c>
      <c r="R11" t="n">
        <v>3773.175537</v>
      </c>
      <c r="S11" t="n">
        <v>3830.61377</v>
      </c>
      <c r="T11" t="n">
        <v>3891.933105</v>
      </c>
      <c r="U11" t="n">
        <v>3953.213135</v>
      </c>
      <c r="V11" t="n">
        <v>4015.360596</v>
      </c>
      <c r="W11" t="n">
        <v>4078.238525</v>
      </c>
      <c r="X11" t="n">
        <v>4136.777344</v>
      </c>
      <c r="Y11" t="n">
        <v>4201.094238</v>
      </c>
      <c r="Z11" t="n">
        <v>4263.44043</v>
      </c>
      <c r="AA11" t="n">
        <v>4324.482422</v>
      </c>
      <c r="AB11" t="n">
        <v>4377.575684</v>
      </c>
      <c r="AC11" t="n">
        <v>4423.974609</v>
      </c>
      <c r="AD11" t="n">
        <v>4471.935547</v>
      </c>
      <c r="AE11" s="13" t="n">
        <v>0.02</v>
      </c>
    </row>
    <row r="12">
      <c r="A12" t="inlineStr">
        <is>
          <t>Real Imports</t>
        </is>
      </c>
      <c r="B12" t="inlineStr">
        <is>
          <t>Macroeconomic Indicators: GDP Components: Real Imports: Alternative Electricity and Transportation</t>
        </is>
      </c>
      <c r="C12" t="inlineStr">
        <is>
          <t>AEO.2026.ELECTRNP.ECI_NA_NA_NA_GDP_RIMP_NA_BLNY09DLR.A</t>
        </is>
      </c>
      <c r="D12" t="inlineStr">
        <is>
          <t>billion 2012  $</t>
        </is>
      </c>
      <c r="E12" t="n">
        <v>4186.752441</v>
      </c>
      <c r="F12" t="n">
        <v>4022.17334</v>
      </c>
      <c r="G12" t="n">
        <v>4147.222168</v>
      </c>
      <c r="H12" t="n">
        <v>4320.276367</v>
      </c>
      <c r="I12" t="n">
        <v>4507.016113</v>
      </c>
      <c r="J12" t="n">
        <v>4704.029297</v>
      </c>
      <c r="K12" t="n">
        <v>4907.705566</v>
      </c>
      <c r="L12" t="n">
        <v>5125.879883</v>
      </c>
      <c r="M12" t="n">
        <v>5352.996094</v>
      </c>
      <c r="N12" t="n">
        <v>5587.928223</v>
      </c>
      <c r="O12" t="n">
        <v>5844.69043</v>
      </c>
      <c r="P12" t="n">
        <v>6048.554199</v>
      </c>
      <c r="Q12" t="n">
        <v>6204.130859</v>
      </c>
      <c r="R12" t="n">
        <v>6358.211914</v>
      </c>
      <c r="S12" t="n">
        <v>6485.880859</v>
      </c>
      <c r="T12" t="n">
        <v>6615.10498</v>
      </c>
      <c r="U12" t="n">
        <v>6735.519043</v>
      </c>
      <c r="V12" t="n">
        <v>6867.327148</v>
      </c>
      <c r="W12" t="n">
        <v>6990.737793</v>
      </c>
      <c r="X12" t="n">
        <v>7119.167969</v>
      </c>
      <c r="Y12" t="n">
        <v>7268.382812</v>
      </c>
      <c r="Z12" t="n">
        <v>7422.497559</v>
      </c>
      <c r="AA12" t="n">
        <v>7583.299805</v>
      </c>
      <c r="AB12" t="n">
        <v>7741.941895</v>
      </c>
      <c r="AC12" t="n">
        <v>7900.013672</v>
      </c>
      <c r="AD12" t="n">
        <v>8086.984863</v>
      </c>
      <c r="AE12" s="13" t="n">
        <v>0.027</v>
      </c>
    </row>
    <row r="13">
      <c r="A13" t="inlineStr">
        <is>
          <t>Energy Intensity</t>
        </is>
      </c>
    </row>
    <row r="14">
      <c r="A14" t="inlineStr">
        <is>
          <t>(thousand Btu per 2012 dollar of GDP)</t>
        </is>
      </c>
    </row>
    <row r="15">
      <c r="A15" t="inlineStr">
        <is>
          <t>Delivered Energy</t>
        </is>
      </c>
      <c r="B15" t="inlineStr">
        <is>
          <t>Macroeconomic Indicators: Energy Intensity: Delivered Energy: Alternative Electricity and Transportation</t>
        </is>
      </c>
      <c r="C15" t="inlineStr">
        <is>
          <t>AEO.2026.ELECTRNP.INY_NA_NA_NA_DELE_NA_NA_THBTUPDLRGDP.A</t>
        </is>
      </c>
      <c r="D15" t="inlineStr">
        <is>
          <t>thousand Btu/$ GDP</t>
        </is>
      </c>
      <c r="E15" t="n">
        <v>3.439244</v>
      </c>
      <c r="F15" t="n">
        <v>3.350909</v>
      </c>
      <c r="G15" t="n">
        <v>3.29415</v>
      </c>
      <c r="H15" t="n">
        <v>3.255929</v>
      </c>
      <c r="I15" t="n">
        <v>3.19607</v>
      </c>
      <c r="J15" t="n">
        <v>3.139376</v>
      </c>
      <c r="K15" t="n">
        <v>3.082243</v>
      </c>
      <c r="L15" t="n">
        <v>3.026489</v>
      </c>
      <c r="M15" t="n">
        <v>2.967935</v>
      </c>
      <c r="N15" t="n">
        <v>2.916056</v>
      </c>
      <c r="O15" t="n">
        <v>2.860977</v>
      </c>
      <c r="P15" t="n">
        <v>2.816053</v>
      </c>
      <c r="Q15" t="n">
        <v>2.772426</v>
      </c>
      <c r="R15" t="n">
        <v>2.731513</v>
      </c>
      <c r="S15" t="n">
        <v>2.694315</v>
      </c>
      <c r="T15" t="n">
        <v>2.65988</v>
      </c>
      <c r="U15" t="n">
        <v>2.627352</v>
      </c>
      <c r="V15" t="n">
        <v>2.595521</v>
      </c>
      <c r="W15" t="n">
        <v>2.564102</v>
      </c>
      <c r="X15" t="n">
        <v>2.532736</v>
      </c>
      <c r="Y15" t="n">
        <v>2.503596</v>
      </c>
      <c r="Z15" t="n">
        <v>2.474786</v>
      </c>
      <c r="AA15" t="n">
        <v>2.450853</v>
      </c>
      <c r="AB15" t="n">
        <v>2.423894</v>
      </c>
      <c r="AC15" t="n">
        <v>2.396323</v>
      </c>
      <c r="AD15" t="n">
        <v>2.370422</v>
      </c>
      <c r="AE15" s="13" t="n">
        <v>-0.015</v>
      </c>
    </row>
    <row r="16">
      <c r="A16" t="inlineStr">
        <is>
          <t>Total Energy</t>
        </is>
      </c>
      <c r="B16" t="inlineStr">
        <is>
          <t>Macroeconomic Indicators: Energy Intensity: Total Energy: Alternative Electricity and Transportation</t>
        </is>
      </c>
      <c r="C16" t="inlineStr">
        <is>
          <t>AEO.2026.ELECTRNP.INY_NA_NA_NA_TEN_NA_NA_THBTUPDLRGDP.A</t>
        </is>
      </c>
      <c r="D16" t="inlineStr">
        <is>
          <t>thousand Btu/$ GDP</t>
        </is>
      </c>
      <c r="E16" t="n">
        <v>4.314489</v>
      </c>
      <c r="F16" t="n">
        <v>4.218206</v>
      </c>
      <c r="G16" t="n">
        <v>4.078142</v>
      </c>
      <c r="H16" t="n">
        <v>4.003045</v>
      </c>
      <c r="I16" t="n">
        <v>3.920406</v>
      </c>
      <c r="J16" t="n">
        <v>3.841981</v>
      </c>
      <c r="K16" t="n">
        <v>3.754112</v>
      </c>
      <c r="L16" t="n">
        <v>3.676647</v>
      </c>
      <c r="M16" t="n">
        <v>3.602411</v>
      </c>
      <c r="N16" t="n">
        <v>3.530866</v>
      </c>
      <c r="O16" t="n">
        <v>3.459574</v>
      </c>
      <c r="P16" t="n">
        <v>3.401268</v>
      </c>
      <c r="Q16" t="n">
        <v>3.348348</v>
      </c>
      <c r="R16" t="n">
        <v>3.299749</v>
      </c>
      <c r="S16" t="n">
        <v>3.254078</v>
      </c>
      <c r="T16" t="n">
        <v>3.209533</v>
      </c>
      <c r="U16" t="n">
        <v>3.167369</v>
      </c>
      <c r="V16" t="n">
        <v>3.128416</v>
      </c>
      <c r="W16" t="n">
        <v>3.090411</v>
      </c>
      <c r="X16" t="n">
        <v>3.052857</v>
      </c>
      <c r="Y16" t="n">
        <v>3.017984</v>
      </c>
      <c r="Z16" t="n">
        <v>2.983811</v>
      </c>
      <c r="AA16" t="n">
        <v>2.955237</v>
      </c>
      <c r="AB16" t="n">
        <v>2.923449</v>
      </c>
      <c r="AC16" t="n">
        <v>2.88939</v>
      </c>
      <c r="AD16" t="n">
        <v>2.858316</v>
      </c>
      <c r="AE16" s="13" t="n">
        <v>-0.016</v>
      </c>
    </row>
    <row r="17">
      <c r="A17" t="inlineStr">
        <is>
          <t>Price Indices</t>
        </is>
      </c>
    </row>
    <row r="18">
      <c r="A18" t="inlineStr">
        <is>
          <t>GDP Chain-type Price Index (2012=1.000)</t>
        </is>
      </c>
      <c r="B18" t="inlineStr">
        <is>
          <t>Macroeconomic Indicators: Price Indices: GDP Chain-type Price Index: Alternative Electricity and Transportation</t>
        </is>
      </c>
      <c r="C18" t="inlineStr">
        <is>
          <t>AEO.2026.ELECTRNP.ECI_INDX_NA_NA_GDP_NA_NA_Y09EQ1D3Z.A</t>
        </is>
      </c>
      <c r="D18" t="inlineStr">
        <is>
          <t>2012=1.000</t>
        </is>
      </c>
      <c r="E18" t="n">
        <v>1.383637</v>
      </c>
      <c r="F18" t="n">
        <v>1.421667</v>
      </c>
      <c r="G18" t="n">
        <v>1.448645</v>
      </c>
      <c r="H18" t="n">
        <v>1.478788</v>
      </c>
      <c r="I18" t="n">
        <v>1.509192</v>
      </c>
      <c r="J18" t="n">
        <v>1.540631</v>
      </c>
      <c r="K18" t="n">
        <v>1.572918</v>
      </c>
      <c r="L18" t="n">
        <v>1.605325</v>
      </c>
      <c r="M18" t="n">
        <v>1.639644</v>
      </c>
      <c r="N18" t="n">
        <v>1.673843</v>
      </c>
      <c r="O18" t="n">
        <v>1.709171</v>
      </c>
      <c r="P18" t="n">
        <v>1.744338</v>
      </c>
      <c r="Q18" t="n">
        <v>1.778532</v>
      </c>
      <c r="R18" t="n">
        <v>1.813455</v>
      </c>
      <c r="S18" t="n">
        <v>1.848656</v>
      </c>
      <c r="T18" t="n">
        <v>1.884722</v>
      </c>
      <c r="U18" t="n">
        <v>1.920868</v>
      </c>
      <c r="V18" t="n">
        <v>1.957016</v>
      </c>
      <c r="W18" t="n">
        <v>1.993336</v>
      </c>
      <c r="X18" t="n">
        <v>2.029829</v>
      </c>
      <c r="Y18" t="n">
        <v>2.066643</v>
      </c>
      <c r="Z18" t="n">
        <v>2.104074</v>
      </c>
      <c r="AA18" t="n">
        <v>2.142279</v>
      </c>
      <c r="AB18" t="n">
        <v>2.18149</v>
      </c>
      <c r="AC18" t="n">
        <v>2.2211</v>
      </c>
      <c r="AD18" t="n">
        <v>2.260831</v>
      </c>
      <c r="AE18" s="13" t="n">
        <v>0.02</v>
      </c>
    </row>
    <row r="19">
      <c r="A19" t="inlineStr">
        <is>
          <t>Consumer Price Index (1982-84=1.00)</t>
        </is>
      </c>
    </row>
    <row r="20">
      <c r="A20" t="inlineStr">
        <is>
          <t>All-urban</t>
        </is>
      </c>
      <c r="B20" t="inlineStr">
        <is>
          <t>Macroeconomic Indicators: Consumer Price Index: All-Urban: Alternative Electricity and Transportation</t>
        </is>
      </c>
      <c r="C20" t="inlineStr">
        <is>
          <t>AEO.2026.ELECTRNP.ECI_INDX_NA_NA_CPI_URB_NA_IDX82TO84EQ1.A</t>
        </is>
      </c>
      <c r="D20" t="inlineStr">
        <is>
          <t>1982-84=1.00</t>
        </is>
      </c>
      <c r="E20" t="n">
        <v>3.224163</v>
      </c>
      <c r="F20" t="n">
        <v>3.299957</v>
      </c>
      <c r="G20" t="n">
        <v>3.363701</v>
      </c>
      <c r="H20" t="n">
        <v>3.431324</v>
      </c>
      <c r="I20" t="n">
        <v>3.501327</v>
      </c>
      <c r="J20" t="n">
        <v>3.575855</v>
      </c>
      <c r="K20" t="n">
        <v>3.651944</v>
      </c>
      <c r="L20" t="n">
        <v>3.728562</v>
      </c>
      <c r="M20" t="n">
        <v>3.810579</v>
      </c>
      <c r="N20" t="n">
        <v>3.889556</v>
      </c>
      <c r="O20" t="n">
        <v>3.972642</v>
      </c>
      <c r="P20" t="n">
        <v>4.055532</v>
      </c>
      <c r="Q20" t="n">
        <v>4.137613</v>
      </c>
      <c r="R20" t="n">
        <v>4.220924</v>
      </c>
      <c r="S20" t="n">
        <v>4.305421</v>
      </c>
      <c r="T20" t="n">
        <v>4.391723</v>
      </c>
      <c r="U20" t="n">
        <v>4.478698</v>
      </c>
      <c r="V20" t="n">
        <v>4.566073</v>
      </c>
      <c r="W20" t="n">
        <v>4.653815</v>
      </c>
      <c r="X20" t="n">
        <v>4.742461</v>
      </c>
      <c r="Y20" t="n">
        <v>4.834256</v>
      </c>
      <c r="Z20" t="n">
        <v>4.927659</v>
      </c>
      <c r="AA20" t="n">
        <v>5.023974</v>
      </c>
      <c r="AB20" t="n">
        <v>5.123249</v>
      </c>
      <c r="AC20" t="n">
        <v>5.224092</v>
      </c>
      <c r="AD20" t="n">
        <v>5.323658</v>
      </c>
      <c r="AE20" s="13" t="n">
        <v>0.02</v>
      </c>
    </row>
    <row r="21">
      <c r="A21" t="inlineStr">
        <is>
          <t>Energy Commodities and Services</t>
        </is>
      </c>
      <c r="B21" t="inlineStr">
        <is>
          <t>Macroeconomic Indicators: Consumer Price Index: Energy Commodities and Services: Alternative Electricity and Transportation</t>
        </is>
      </c>
      <c r="C21" t="inlineStr">
        <is>
          <t>AEO.2026.ELECTRNP.ECI_INDX_NA_NA_CPI_ENE_NA_IDX82TO84EQ1.A</t>
        </is>
      </c>
      <c r="D21" t="inlineStr">
        <is>
          <t>1982-84=1.00</t>
        </is>
      </c>
      <c r="E21" t="n">
        <v>2.773167</v>
      </c>
      <c r="F21" t="n">
        <v>2.699711</v>
      </c>
      <c r="G21" t="n">
        <v>2.694441</v>
      </c>
      <c r="H21" t="n">
        <v>2.730387</v>
      </c>
      <c r="I21" t="n">
        <v>2.795724</v>
      </c>
      <c r="J21" t="n">
        <v>2.888529</v>
      </c>
      <c r="K21" t="n">
        <v>2.986886</v>
      </c>
      <c r="L21" t="n">
        <v>3.073357</v>
      </c>
      <c r="M21" t="n">
        <v>3.189636</v>
      </c>
      <c r="N21" t="n">
        <v>3.256396</v>
      </c>
      <c r="O21" t="n">
        <v>3.349661</v>
      </c>
      <c r="P21" t="n">
        <v>3.438492</v>
      </c>
      <c r="Q21" t="n">
        <v>3.534943</v>
      </c>
      <c r="R21" t="n">
        <v>3.625857</v>
      </c>
      <c r="S21" t="n">
        <v>3.71479</v>
      </c>
      <c r="T21" t="n">
        <v>3.802111</v>
      </c>
      <c r="U21" t="n">
        <v>3.88752</v>
      </c>
      <c r="V21" t="n">
        <v>3.973053</v>
      </c>
      <c r="W21" t="n">
        <v>4.048632</v>
      </c>
      <c r="X21" t="n">
        <v>4.120994</v>
      </c>
      <c r="Y21" t="n">
        <v>4.213217</v>
      </c>
      <c r="Z21" t="n">
        <v>4.302158</v>
      </c>
      <c r="AA21" t="n">
        <v>4.403974</v>
      </c>
      <c r="AB21" t="n">
        <v>4.514734</v>
      </c>
      <c r="AC21" t="n">
        <v>4.621875</v>
      </c>
      <c r="AD21" t="n">
        <v>4.717258</v>
      </c>
      <c r="AE21" s="13" t="n">
        <v>0.021</v>
      </c>
    </row>
    <row r="22">
      <c r="A22" t="inlineStr">
        <is>
          <t>Wholesale Price Index (1982=1.00)</t>
        </is>
      </c>
    </row>
    <row r="23">
      <c r="A23" t="inlineStr">
        <is>
          <t>All Commodities</t>
        </is>
      </c>
      <c r="B23" t="inlineStr">
        <is>
          <t>Macroeconomic Indicators: Wholesale Price Index: All Commodities: Alternative Electricity and Transportation</t>
        </is>
      </c>
      <c r="C23" t="inlineStr">
        <is>
          <t>AEO.2026.ELECTRNP.ECI_INDX_NA_NA_WHP_NA_NA_IDX82EQ1.A</t>
        </is>
      </c>
      <c r="D23" t="inlineStr">
        <is>
          <t>1982=1.00</t>
        </is>
      </c>
      <c r="E23" t="n">
        <v>2.591355</v>
      </c>
      <c r="F23" t="n">
        <v>2.597289</v>
      </c>
      <c r="G23" t="n">
        <v>2.626654</v>
      </c>
      <c r="H23" t="n">
        <v>2.655499</v>
      </c>
      <c r="I23" t="n">
        <v>2.693941</v>
      </c>
      <c r="J23" t="n">
        <v>2.746304</v>
      </c>
      <c r="K23" t="n">
        <v>2.80189</v>
      </c>
      <c r="L23" t="n">
        <v>2.853223</v>
      </c>
      <c r="M23" t="n">
        <v>2.910415</v>
      </c>
      <c r="N23" t="n">
        <v>2.959416</v>
      </c>
      <c r="O23" t="n">
        <v>3.016569</v>
      </c>
      <c r="P23" t="n">
        <v>3.073467</v>
      </c>
      <c r="Q23" t="n">
        <v>3.133204</v>
      </c>
      <c r="R23" t="n">
        <v>3.196835</v>
      </c>
      <c r="S23" t="n">
        <v>3.259201</v>
      </c>
      <c r="T23" t="n">
        <v>3.323803</v>
      </c>
      <c r="U23" t="n">
        <v>3.38692</v>
      </c>
      <c r="V23" t="n">
        <v>3.446613</v>
      </c>
      <c r="W23" t="n">
        <v>3.503907</v>
      </c>
      <c r="X23" t="n">
        <v>3.561005</v>
      </c>
      <c r="Y23" t="n">
        <v>3.62564</v>
      </c>
      <c r="Z23" t="n">
        <v>3.695196</v>
      </c>
      <c r="AA23" t="n">
        <v>3.768493</v>
      </c>
      <c r="AB23" t="n">
        <v>3.845382</v>
      </c>
      <c r="AC23" t="n">
        <v>3.921381</v>
      </c>
      <c r="AD23" t="n">
        <v>3.997225</v>
      </c>
      <c r="AE23" s="13" t="n">
        <v>0.017</v>
      </c>
    </row>
    <row r="24">
      <c r="A24" t="inlineStr">
        <is>
          <t>Fuel and Power</t>
        </is>
      </c>
      <c r="B24" t="inlineStr">
        <is>
          <t>Macroeconomic Indicators: Wholesale Price Index: Fuel and Power: Alternative Electricity and Transportation</t>
        </is>
      </c>
      <c r="C24" t="inlineStr">
        <is>
          <t>AEO.2026.ELECTRNP.ECI_INDX_NA_NA_WHP_FULP_NA_IDX82EQ1.A</t>
        </is>
      </c>
      <c r="D24" t="inlineStr">
        <is>
          <t>1982=1.00</t>
        </is>
      </c>
      <c r="E24" t="n">
        <v>2.242908</v>
      </c>
      <c r="F24" t="n">
        <v>2.199618</v>
      </c>
      <c r="G24" t="n">
        <v>2.225608</v>
      </c>
      <c r="H24" t="n">
        <v>2.267588</v>
      </c>
      <c r="I24" t="n">
        <v>2.342907</v>
      </c>
      <c r="J24" t="n">
        <v>2.446827</v>
      </c>
      <c r="K24" t="n">
        <v>2.552402</v>
      </c>
      <c r="L24" t="n">
        <v>2.628374</v>
      </c>
      <c r="M24" t="n">
        <v>2.727046</v>
      </c>
      <c r="N24" t="n">
        <v>2.797092</v>
      </c>
      <c r="O24" t="n">
        <v>2.883656</v>
      </c>
      <c r="P24" t="n">
        <v>2.963107</v>
      </c>
      <c r="Q24" t="n">
        <v>3.04702</v>
      </c>
      <c r="R24" t="n">
        <v>3.130187</v>
      </c>
      <c r="S24" t="n">
        <v>3.208749</v>
      </c>
      <c r="T24" t="n">
        <v>3.28886</v>
      </c>
      <c r="U24" t="n">
        <v>3.354087</v>
      </c>
      <c r="V24" t="n">
        <v>3.404894</v>
      </c>
      <c r="W24" t="n">
        <v>3.442159</v>
      </c>
      <c r="X24" t="n">
        <v>3.47821</v>
      </c>
      <c r="Y24" t="n">
        <v>3.536491</v>
      </c>
      <c r="Z24" t="n">
        <v>3.608317</v>
      </c>
      <c r="AA24" t="n">
        <v>3.69306</v>
      </c>
      <c r="AB24" t="n">
        <v>3.783067</v>
      </c>
      <c r="AC24" t="n">
        <v>3.865132</v>
      </c>
      <c r="AD24" t="n">
        <v>3.938273</v>
      </c>
      <c r="AE24" s="13" t="n">
        <v>0.023</v>
      </c>
    </row>
    <row r="25">
      <c r="A25" t="inlineStr">
        <is>
          <t>Metals and Metal Products</t>
        </is>
      </c>
      <c r="B25" t="inlineStr">
        <is>
          <t>Macroeconomic Indicators: Wholesale Price Index: Metals and Metal Products: Alternative Electricity and Transportation</t>
        </is>
      </c>
      <c r="C25" t="inlineStr">
        <is>
          <t>AEO.2026.ELECTRNP.ECI_INDX_NA_NA_WHP_MET_NA_IDX82EQ1.A</t>
        </is>
      </c>
      <c r="D25" t="inlineStr">
        <is>
          <t>1982=1.00</t>
        </is>
      </c>
      <c r="E25" t="n">
        <v>3.202144</v>
      </c>
      <c r="F25" t="n">
        <v>3.17322</v>
      </c>
      <c r="G25" t="n">
        <v>3.169432</v>
      </c>
      <c r="H25" t="n">
        <v>3.162961</v>
      </c>
      <c r="I25" t="n">
        <v>3.166607</v>
      </c>
      <c r="J25" t="n">
        <v>3.197945</v>
      </c>
      <c r="K25" t="n">
        <v>3.232062</v>
      </c>
      <c r="L25" t="n">
        <v>3.27933</v>
      </c>
      <c r="M25" t="n">
        <v>3.322896</v>
      </c>
      <c r="N25" t="n">
        <v>3.365797</v>
      </c>
      <c r="O25" t="n">
        <v>3.412253</v>
      </c>
      <c r="P25" t="n">
        <v>3.454753</v>
      </c>
      <c r="Q25" t="n">
        <v>3.505802</v>
      </c>
      <c r="R25" t="n">
        <v>3.567842</v>
      </c>
      <c r="S25" t="n">
        <v>3.624778</v>
      </c>
      <c r="T25" t="n">
        <v>3.687192</v>
      </c>
      <c r="U25" t="n">
        <v>3.752452</v>
      </c>
      <c r="V25" t="n">
        <v>3.814663</v>
      </c>
      <c r="W25" t="n">
        <v>3.879371</v>
      </c>
      <c r="X25" t="n">
        <v>3.941341</v>
      </c>
      <c r="Y25" t="n">
        <v>4.011244</v>
      </c>
      <c r="Z25" t="n">
        <v>4.086101</v>
      </c>
      <c r="AA25" t="n">
        <v>4.15933</v>
      </c>
      <c r="AB25" t="n">
        <v>4.238098</v>
      </c>
      <c r="AC25" t="n">
        <v>4.313878</v>
      </c>
      <c r="AD25" t="n">
        <v>4.397111</v>
      </c>
      <c r="AE25" s="13" t="n">
        <v>0.013</v>
      </c>
    </row>
    <row r="26">
      <c r="A26" t="inlineStr">
        <is>
          <t>Industrial Commodities excluding Energy</t>
        </is>
      </c>
      <c r="B26" t="inlineStr">
        <is>
          <t>Macroeconomic Indicators: Wholesale Price Index: Industrial Commodities Excluding Energy: Alternative Electricity and Transportation</t>
        </is>
      </c>
      <c r="C26" t="inlineStr">
        <is>
          <t>AEO.2026.ELECTRNP.ECI_INDX_NA_NA_WHP_INDCOM_NA_IDX82EQ1.A</t>
        </is>
      </c>
      <c r="D26" t="inlineStr">
        <is>
          <t>1982=1.00</t>
        </is>
      </c>
      <c r="E26" t="n">
        <v>2.662289</v>
      </c>
      <c r="F26" t="n">
        <v>2.704771</v>
      </c>
      <c r="G26" t="n">
        <v>2.73811</v>
      </c>
      <c r="H26" t="n">
        <v>2.759989</v>
      </c>
      <c r="I26" t="n">
        <v>2.784223</v>
      </c>
      <c r="J26" t="n">
        <v>2.821728</v>
      </c>
      <c r="K26" t="n">
        <v>2.863219</v>
      </c>
      <c r="L26" t="n">
        <v>2.908752</v>
      </c>
      <c r="M26" t="n">
        <v>2.95659</v>
      </c>
      <c r="N26" t="n">
        <v>3.003484</v>
      </c>
      <c r="O26" t="n">
        <v>3.056471</v>
      </c>
      <c r="P26" t="n">
        <v>3.11063</v>
      </c>
      <c r="Q26" t="n">
        <v>3.167595</v>
      </c>
      <c r="R26" t="n">
        <v>3.230385</v>
      </c>
      <c r="S26" t="n">
        <v>3.292784</v>
      </c>
      <c r="T26" t="n">
        <v>3.357944</v>
      </c>
      <c r="U26" t="n">
        <v>3.425665</v>
      </c>
      <c r="V26" t="n">
        <v>3.493071</v>
      </c>
      <c r="W26" t="n">
        <v>3.561416</v>
      </c>
      <c r="X26" t="n">
        <v>3.629889</v>
      </c>
      <c r="Y26" t="n">
        <v>3.702253</v>
      </c>
      <c r="Z26" t="n">
        <v>3.77741</v>
      </c>
      <c r="AA26" t="n">
        <v>3.853839</v>
      </c>
      <c r="AB26" t="n">
        <v>3.933667</v>
      </c>
      <c r="AC26" t="n">
        <v>4.014669</v>
      </c>
      <c r="AD26" t="n">
        <v>4.098438</v>
      </c>
      <c r="AE26" s="13" t="n">
        <v>0.017</v>
      </c>
    </row>
    <row r="27">
      <c r="A27" t="inlineStr">
        <is>
          <t>Interest Rates (percentage</t>
        </is>
      </c>
      <c r="B27" t="inlineStr">
        <is>
          <t xml:space="preserve"> nominal)</t>
        </is>
      </c>
    </row>
    <row r="28">
      <c r="A28" t="inlineStr">
        <is>
          <t>Federal Funds Rate</t>
        </is>
      </c>
      <c r="B28" t="inlineStr">
        <is>
          <t>Macroeconomic Indicators: Interest Rates: Federal Funds Rate: Alternative Electricity and Transportation</t>
        </is>
      </c>
      <c r="C28" t="inlineStr">
        <is>
          <t>AEO.2026.ELECTRNP.ECI_FFR_NA_NA_NA_NA_NA_PCNTN.A</t>
        </is>
      </c>
      <c r="D28" t="inlineStr">
        <is>
          <t>percent, nominal</t>
        </is>
      </c>
      <c r="E28" t="n">
        <v>4.328587</v>
      </c>
      <c r="F28" t="n">
        <v>3.471333</v>
      </c>
      <c r="G28" t="n">
        <v>2.875</v>
      </c>
      <c r="H28" t="n">
        <v>2.920516</v>
      </c>
      <c r="I28" t="n">
        <v>3.125</v>
      </c>
      <c r="J28" t="n">
        <v>3.125</v>
      </c>
      <c r="K28" t="n">
        <v>3.125</v>
      </c>
      <c r="L28" t="n">
        <v>3.125</v>
      </c>
      <c r="M28" t="n">
        <v>3.125</v>
      </c>
      <c r="N28" t="n">
        <v>3.125</v>
      </c>
      <c r="O28" t="n">
        <v>3.125</v>
      </c>
      <c r="P28" t="n">
        <v>3.125</v>
      </c>
      <c r="Q28" t="n">
        <v>3.125</v>
      </c>
      <c r="R28" t="n">
        <v>3.125</v>
      </c>
      <c r="S28" t="n">
        <v>3.125</v>
      </c>
      <c r="T28" t="n">
        <v>3.125</v>
      </c>
      <c r="U28" t="n">
        <v>3.125</v>
      </c>
      <c r="V28" t="n">
        <v>3.125</v>
      </c>
      <c r="W28" t="n">
        <v>3.125</v>
      </c>
      <c r="X28" t="n">
        <v>3.125</v>
      </c>
      <c r="Y28" t="n">
        <v>3.125</v>
      </c>
      <c r="Z28" t="n">
        <v>3.125</v>
      </c>
      <c r="AA28" t="n">
        <v>3.125</v>
      </c>
      <c r="AB28" t="n">
        <v>3.125</v>
      </c>
      <c r="AC28" t="n">
        <v>3.125</v>
      </c>
      <c r="AD28" t="n">
        <v>3.125</v>
      </c>
      <c r="AE28" s="13" t="n">
        <v>-0.013</v>
      </c>
    </row>
    <row r="29">
      <c r="A29" t="inlineStr">
        <is>
          <t>10-Year Treasury Note</t>
        </is>
      </c>
      <c r="B29" t="inlineStr">
        <is>
          <t>Macroeconomic Indicators: Interest Rates: 10-Year Treasury Note: Alternative Electricity and Transportation</t>
        </is>
      </c>
      <c r="C29" t="inlineStr">
        <is>
          <t>AEO.2026.ELECTRNP.ECI_TNR10_NA_NA_NA_NA_NA_PCNTN.A</t>
        </is>
      </c>
      <c r="D29" t="inlineStr">
        <is>
          <t>percent, nominal</t>
        </is>
      </c>
      <c r="E29" t="n">
        <v>4.359502</v>
      </c>
      <c r="F29" t="n">
        <v>4.021862</v>
      </c>
      <c r="G29" t="n">
        <v>3.892701</v>
      </c>
      <c r="H29" t="n">
        <v>3.930959</v>
      </c>
      <c r="I29" t="n">
        <v>3.989025</v>
      </c>
      <c r="J29" t="n">
        <v>4.000497</v>
      </c>
      <c r="K29" t="n">
        <v>3.975329</v>
      </c>
      <c r="L29" t="n">
        <v>3.949521</v>
      </c>
      <c r="M29" t="n">
        <v>3.932374</v>
      </c>
      <c r="N29" t="n">
        <v>3.902812</v>
      </c>
      <c r="O29" t="n">
        <v>3.887719</v>
      </c>
      <c r="P29" t="n">
        <v>3.889442</v>
      </c>
      <c r="Q29" t="n">
        <v>3.893909</v>
      </c>
      <c r="R29" t="n">
        <v>3.908684</v>
      </c>
      <c r="S29" t="n">
        <v>3.911668</v>
      </c>
      <c r="T29" t="n">
        <v>3.907815</v>
      </c>
      <c r="U29" t="n">
        <v>3.900185</v>
      </c>
      <c r="V29" t="n">
        <v>3.887692</v>
      </c>
      <c r="W29" t="n">
        <v>3.872872</v>
      </c>
      <c r="X29" t="n">
        <v>3.852367</v>
      </c>
      <c r="Y29" t="n">
        <v>3.839636</v>
      </c>
      <c r="Z29" t="n">
        <v>3.832254</v>
      </c>
      <c r="AA29" t="n">
        <v>3.831839</v>
      </c>
      <c r="AB29" t="n">
        <v>3.843084</v>
      </c>
      <c r="AC29" t="n">
        <v>3.859855</v>
      </c>
      <c r="AD29" t="n">
        <v>3.872646</v>
      </c>
      <c r="AE29" s="13" t="n">
        <v>-0.005</v>
      </c>
    </row>
    <row r="30">
      <c r="A30" t="inlineStr">
        <is>
          <t>AA Utility Bond Rate</t>
        </is>
      </c>
      <c r="B30" t="inlineStr">
        <is>
          <t>Macroeconomic Indicators: Interest Rates: AA Utility Bond Rate: Alternative Electricity and Transportation</t>
        </is>
      </c>
      <c r="C30" t="inlineStr">
        <is>
          <t>AEO.2026.ELECTRNP.ECI_AAUTR_NA_NA_NA_NA_NA_PCNTN.A</t>
        </is>
      </c>
      <c r="D30" t="inlineStr">
        <is>
          <t>percent, nominal</t>
        </is>
      </c>
      <c r="E30" t="n">
        <v>5.777357</v>
      </c>
      <c r="F30" t="n">
        <v>5.770922</v>
      </c>
      <c r="G30" t="n">
        <v>5.738921</v>
      </c>
      <c r="H30" t="n">
        <v>5.72926</v>
      </c>
      <c r="I30" t="n">
        <v>5.729354</v>
      </c>
      <c r="J30" t="n">
        <v>5.699732</v>
      </c>
      <c r="K30" t="n">
        <v>5.665697</v>
      </c>
      <c r="L30" t="n">
        <v>5.628308</v>
      </c>
      <c r="M30" t="n">
        <v>5.606607</v>
      </c>
      <c r="N30" t="n">
        <v>5.600248</v>
      </c>
      <c r="O30" t="n">
        <v>5.55746</v>
      </c>
      <c r="P30" t="n">
        <v>5.582308</v>
      </c>
      <c r="Q30" t="n">
        <v>5.592952</v>
      </c>
      <c r="R30" t="n">
        <v>5.608163</v>
      </c>
      <c r="S30" t="n">
        <v>5.628979</v>
      </c>
      <c r="T30" t="n">
        <v>5.609316</v>
      </c>
      <c r="U30" t="n">
        <v>5.599217</v>
      </c>
      <c r="V30" t="n">
        <v>5.591004</v>
      </c>
      <c r="W30" t="n">
        <v>5.569545</v>
      </c>
      <c r="X30" t="n">
        <v>5.544533</v>
      </c>
      <c r="Y30" t="n">
        <v>5.521287</v>
      </c>
      <c r="Z30" t="n">
        <v>5.507062</v>
      </c>
      <c r="AA30" t="n">
        <v>5.514881</v>
      </c>
      <c r="AB30" t="n">
        <v>5.532126</v>
      </c>
      <c r="AC30" t="n">
        <v>5.568912</v>
      </c>
      <c r="AD30" t="n">
        <v>5.580168</v>
      </c>
      <c r="AE30" s="13" t="n">
        <v>-0.001</v>
      </c>
    </row>
    <row r="31">
      <c r="A31" t="inlineStr">
        <is>
          <t>Value of Shipments (billion 2012 dollars)</t>
        </is>
      </c>
    </row>
    <row r="32">
      <c r="A32" t="inlineStr">
        <is>
          <t>Non-Industrial and Service Sectors</t>
        </is>
      </c>
      <c r="B32" t="inlineStr">
        <is>
          <t>Macroeconomic Indicators: Value of Shipments: Non-Industrial: Alternative Electricity and Transportation</t>
        </is>
      </c>
      <c r="C32" t="inlineStr">
        <is>
          <t>AEO.2026.ELECTRNP.ECI_VOS_NIND_NA_NA_NA_NA_BLNY09DLR.A</t>
        </is>
      </c>
      <c r="D32" t="inlineStr">
        <is>
          <t>billion 2012 $</t>
        </is>
      </c>
      <c r="E32" t="n">
        <v>29310.039062</v>
      </c>
      <c r="F32" t="n">
        <v>30023.714844</v>
      </c>
      <c r="G32" t="n">
        <v>30766.251953</v>
      </c>
      <c r="H32" t="n">
        <v>31515.330078</v>
      </c>
      <c r="I32" t="n">
        <v>32089.751953</v>
      </c>
      <c r="J32" t="n">
        <v>32683.011719</v>
      </c>
      <c r="K32" t="n">
        <v>33302.929688</v>
      </c>
      <c r="L32" t="n">
        <v>33955.328125</v>
      </c>
      <c r="M32" t="n">
        <v>34627.875</v>
      </c>
      <c r="N32" t="n">
        <v>35322.40625</v>
      </c>
      <c r="O32" t="n">
        <v>36045.230469</v>
      </c>
      <c r="P32" t="n">
        <v>36780.773438</v>
      </c>
      <c r="Q32" t="n">
        <v>37524.59375</v>
      </c>
      <c r="R32" t="n">
        <v>38263.554688</v>
      </c>
      <c r="S32" t="n">
        <v>38972.632812</v>
      </c>
      <c r="T32" t="n">
        <v>39668.195312</v>
      </c>
      <c r="U32" t="n">
        <v>40357.140625</v>
      </c>
      <c r="V32" t="n">
        <v>41045.8125</v>
      </c>
      <c r="W32" t="n">
        <v>41749.960938</v>
      </c>
      <c r="X32" t="n">
        <v>42474.761719</v>
      </c>
      <c r="Y32" t="n">
        <v>43209.519531</v>
      </c>
      <c r="Z32" t="n">
        <v>43937.121094</v>
      </c>
      <c r="AA32" t="n">
        <v>44650.023438</v>
      </c>
      <c r="AB32" t="n">
        <v>45374.546875</v>
      </c>
      <c r="AC32" t="n">
        <v>46099.578125</v>
      </c>
      <c r="AD32" t="n">
        <v>46845.535156</v>
      </c>
      <c r="AE32" s="13" t="n">
        <v>0.019</v>
      </c>
    </row>
    <row r="33">
      <c r="A33" t="inlineStr">
        <is>
          <t>Total Industrial</t>
        </is>
      </c>
      <c r="B33" t="inlineStr">
        <is>
          <t>Macroeconomic Indicators: Value of Shipments: Total Industrial: Alternative Electricity and Transportation</t>
        </is>
      </c>
      <c r="C33" t="inlineStr">
        <is>
          <t>AEO.2026.ELECTRNP.ECI_VOS_IDAL_NA_NA_NA_NA_BLNY09DLR.A</t>
        </is>
      </c>
      <c r="D33" t="inlineStr">
        <is>
          <t>billion 2012 $</t>
        </is>
      </c>
      <c r="E33" t="n">
        <v>8703.197265999999</v>
      </c>
      <c r="F33" t="n">
        <v>8752.563477</v>
      </c>
      <c r="G33" t="n">
        <v>8860.084961</v>
      </c>
      <c r="H33" t="n">
        <v>8925.210938</v>
      </c>
      <c r="I33" t="n">
        <v>8996.972656</v>
      </c>
      <c r="J33" t="n">
        <v>9096.013671999999</v>
      </c>
      <c r="K33" t="n">
        <v>9180.388671999999</v>
      </c>
      <c r="L33" t="n">
        <v>9280.908203000001</v>
      </c>
      <c r="M33" t="n">
        <v>9357.757812</v>
      </c>
      <c r="N33" t="n">
        <v>9436.433594</v>
      </c>
      <c r="O33" t="n">
        <v>9520.166015999999</v>
      </c>
      <c r="P33" t="n">
        <v>9604.297852</v>
      </c>
      <c r="Q33" t="n">
        <v>9697.364258</v>
      </c>
      <c r="R33" t="n">
        <v>9786.882812</v>
      </c>
      <c r="S33" t="n">
        <v>9878.123046999999</v>
      </c>
      <c r="T33" t="n">
        <v>9974.827148</v>
      </c>
      <c r="U33" t="n">
        <v>10069.033203</v>
      </c>
      <c r="V33" t="n">
        <v>10166.393555</v>
      </c>
      <c r="W33" t="n">
        <v>10253.316406</v>
      </c>
      <c r="X33" t="n">
        <v>10343.382812</v>
      </c>
      <c r="Y33" t="n">
        <v>10450.386719</v>
      </c>
      <c r="Z33" t="n">
        <v>10563.197266</v>
      </c>
      <c r="AA33" t="n">
        <v>10674.791992</v>
      </c>
      <c r="AB33" t="n">
        <v>10773.287109</v>
      </c>
      <c r="AC33" t="n">
        <v>10876.103516</v>
      </c>
      <c r="AD33" t="n">
        <v>10975.347656</v>
      </c>
      <c r="AE33" s="13" t="n">
        <v>0.008999999999999999</v>
      </c>
    </row>
    <row r="34">
      <c r="A34" t="inlineStr">
        <is>
          <t>Agriculture</t>
        </is>
      </c>
      <c r="B34" t="inlineStr">
        <is>
          <t xml:space="preserve"> Mining</t>
        </is>
      </c>
      <c r="C34" t="inlineStr">
        <is>
          <t xml:space="preserve"> and Construction</t>
        </is>
      </c>
      <c r="D34" t="inlineStr">
        <is>
          <t>Macroeconomic Indicators: Value of Shipments: Agriculture, Mining, and Construction: Alternative Electricity and Transportation</t>
        </is>
      </c>
      <c r="E34" t="inlineStr">
        <is>
          <t>AEO.2026.ELECTRNP.ECI_VOS_NMFG_NA_NA_NA_NA_BLNY09DLR.A</t>
        </is>
      </c>
      <c r="F34" t="inlineStr">
        <is>
          <t>billion 2012 $</t>
        </is>
      </c>
      <c r="G34" t="n">
        <v>2803.344238</v>
      </c>
      <c r="H34" t="n">
        <v>2871.466553</v>
      </c>
      <c r="I34" t="n">
        <v>2881.313965</v>
      </c>
      <c r="J34" t="n">
        <v>2905.505127</v>
      </c>
      <c r="K34" t="n">
        <v>2942.682617</v>
      </c>
      <c r="L34" t="n">
        <v>2994.171387</v>
      </c>
      <c r="M34" t="n">
        <v>3039.165039</v>
      </c>
      <c r="N34" t="n">
        <v>3083.439453</v>
      </c>
      <c r="O34" t="n">
        <v>3117.453613</v>
      </c>
      <c r="P34" t="n">
        <v>3149.968262</v>
      </c>
      <c r="Q34" t="n">
        <v>3179.411865</v>
      </c>
      <c r="R34" t="n">
        <v>3207.255615</v>
      </c>
      <c r="S34" t="n">
        <v>3233.686035</v>
      </c>
      <c r="T34" t="n">
        <v>3258.142578</v>
      </c>
      <c r="U34" t="n">
        <v>3282.637207</v>
      </c>
      <c r="V34" t="n">
        <v>3307.21167</v>
      </c>
      <c r="W34" t="n">
        <v>3331.680664</v>
      </c>
      <c r="X34" t="n">
        <v>3357.115234</v>
      </c>
      <c r="Y34" t="n">
        <v>3380.119141</v>
      </c>
      <c r="Z34" t="n">
        <v>3401.780518</v>
      </c>
      <c r="AA34" t="n">
        <v>3431.351074</v>
      </c>
      <c r="AB34" t="n">
        <v>3462.294922</v>
      </c>
      <c r="AC34" t="n">
        <v>3493.666992</v>
      </c>
      <c r="AD34" t="n">
        <v>3521.992188</v>
      </c>
      <c r="AE34" t="n">
        <v>3550.415771</v>
      </c>
      <c r="AF34" t="n">
        <v>3579.939941</v>
      </c>
      <c r="AG34" s="13" t="n">
        <v>0.01</v>
      </c>
    </row>
    <row r="35">
      <c r="A35" t="inlineStr">
        <is>
          <t>Manufacturing</t>
        </is>
      </c>
      <c r="B35" t="inlineStr">
        <is>
          <t>Macroeconomic Indicators: Value of Shipments: Manufacturing: Alternative Electricity and Transportation</t>
        </is>
      </c>
      <c r="C35" t="inlineStr">
        <is>
          <t>AEO.2026.ELECTRNP.ECI_VOS_MANF_NA_NA_NA_NA_BLNY09DLR.A</t>
        </is>
      </c>
      <c r="D35" t="inlineStr">
        <is>
          <t>billion 2012 $</t>
        </is>
      </c>
      <c r="E35" t="n">
        <v>5899.852539</v>
      </c>
      <c r="F35" t="n">
        <v>5881.097168</v>
      </c>
      <c r="G35" t="n">
        <v>5978.771973</v>
      </c>
      <c r="H35" t="n">
        <v>6019.705566</v>
      </c>
      <c r="I35" t="n">
        <v>6054.289062</v>
      </c>
      <c r="J35" t="n">
        <v>6101.841797</v>
      </c>
      <c r="K35" t="n">
        <v>6141.223633</v>
      </c>
      <c r="L35" t="n">
        <v>6197.46875</v>
      </c>
      <c r="M35" t="n">
        <v>6240.304199</v>
      </c>
      <c r="N35" t="n">
        <v>6286.465332</v>
      </c>
      <c r="O35" t="n">
        <v>6340.753906</v>
      </c>
      <c r="P35" t="n">
        <v>6397.04248</v>
      </c>
      <c r="Q35" t="n">
        <v>6463.677734</v>
      </c>
      <c r="R35" t="n">
        <v>6528.740234</v>
      </c>
      <c r="S35" t="n">
        <v>6595.48584</v>
      </c>
      <c r="T35" t="n">
        <v>6667.615234</v>
      </c>
      <c r="U35" t="n">
        <v>6737.351562</v>
      </c>
      <c r="V35" t="n">
        <v>6809.278809</v>
      </c>
      <c r="W35" t="n">
        <v>6873.197266</v>
      </c>
      <c r="X35" t="n">
        <v>6941.602051</v>
      </c>
      <c r="Y35" t="n">
        <v>7019.035645</v>
      </c>
      <c r="Z35" t="n">
        <v>7100.902344</v>
      </c>
      <c r="AA35" t="n">
        <v>7181.124512</v>
      </c>
      <c r="AB35" t="n">
        <v>7251.294434</v>
      </c>
      <c r="AC35" t="n">
        <v>7325.687012</v>
      </c>
      <c r="AD35" t="n">
        <v>7395.407715</v>
      </c>
      <c r="AE35" s="13" t="n">
        <v>0.008999999999999999</v>
      </c>
    </row>
    <row r="36">
      <c r="A36" t="inlineStr">
        <is>
          <t>Energy-Intensive</t>
        </is>
      </c>
      <c r="B36" t="inlineStr">
        <is>
          <t>Macroeconomic Indicators: Value of Shipments: Energy-Intensive: Alternative Electricity and Transportation</t>
        </is>
      </c>
      <c r="C36" t="inlineStr">
        <is>
          <t>AEO.2026.ELECTRNP.ECI_VOS_EINT_NA_NA_NA_NA_BLNY09DLR.A</t>
        </is>
      </c>
      <c r="D36" t="inlineStr">
        <is>
          <t>billion 2012 $</t>
        </is>
      </c>
      <c r="E36" t="n">
        <v>2268.080322</v>
      </c>
      <c r="F36" t="n">
        <v>2262.80127</v>
      </c>
      <c r="G36" t="n">
        <v>2273.158447</v>
      </c>
      <c r="H36" t="n">
        <v>2277.827148</v>
      </c>
      <c r="I36" t="n">
        <v>2273.041504</v>
      </c>
      <c r="J36" t="n">
        <v>2281.112305</v>
      </c>
      <c r="K36" t="n">
        <v>2292.398926</v>
      </c>
      <c r="L36" t="n">
        <v>2305.205566</v>
      </c>
      <c r="M36" t="n">
        <v>2320.08374</v>
      </c>
      <c r="N36" t="n">
        <v>2336.434326</v>
      </c>
      <c r="O36" t="n">
        <v>2354.885742</v>
      </c>
      <c r="P36" t="n">
        <v>2369.820068</v>
      </c>
      <c r="Q36" t="n">
        <v>2380.842285</v>
      </c>
      <c r="R36" t="n">
        <v>2392.513672</v>
      </c>
      <c r="S36" t="n">
        <v>2409.41748</v>
      </c>
      <c r="T36" t="n">
        <v>2428.351074</v>
      </c>
      <c r="U36" t="n">
        <v>2449.604492</v>
      </c>
      <c r="V36" t="n">
        <v>2469.742676</v>
      </c>
      <c r="W36" t="n">
        <v>2485.338379</v>
      </c>
      <c r="X36" t="n">
        <v>2500.545898</v>
      </c>
      <c r="Y36" t="n">
        <v>2517.709473</v>
      </c>
      <c r="Z36" t="n">
        <v>2539.046875</v>
      </c>
      <c r="AA36" t="n">
        <v>2562.507812</v>
      </c>
      <c r="AB36" t="n">
        <v>2580.412842</v>
      </c>
      <c r="AC36" t="n">
        <v>2597.092285</v>
      </c>
      <c r="AD36" t="n">
        <v>2616.894287</v>
      </c>
      <c r="AE36" s="13" t="n">
        <v>0.006</v>
      </c>
    </row>
    <row r="37">
      <c r="A37" t="inlineStr">
        <is>
          <t>Non-Energy-Intensive</t>
        </is>
      </c>
      <c r="B37" t="inlineStr">
        <is>
          <t>Macroeconomic Indicators: Value of Shipments: Non-Energy-Intensive: Alternative Electricity and Transportation</t>
        </is>
      </c>
      <c r="C37" t="inlineStr">
        <is>
          <t>AEO.2026.ELECTRNP.ECI_VOS_NEINT_NA_NA_NA_NA_BLNY09DLR.A</t>
        </is>
      </c>
      <c r="D37" t="inlineStr">
        <is>
          <t>billion 2012 $</t>
        </is>
      </c>
      <c r="E37" t="n">
        <v>3631.771973</v>
      </c>
      <c r="F37" t="n">
        <v>3618.296631</v>
      </c>
      <c r="G37" t="n">
        <v>3705.613525</v>
      </c>
      <c r="H37" t="n">
        <v>3741.879395</v>
      </c>
      <c r="I37" t="n">
        <v>3781.247314</v>
      </c>
      <c r="J37" t="n">
        <v>3820.729248</v>
      </c>
      <c r="K37" t="n">
        <v>3848.824707</v>
      </c>
      <c r="L37" t="n">
        <v>3892.262695</v>
      </c>
      <c r="M37" t="n">
        <v>3920.221191</v>
      </c>
      <c r="N37" t="n">
        <v>3950.031494</v>
      </c>
      <c r="O37" t="n">
        <v>3985.868652</v>
      </c>
      <c r="P37" t="n">
        <v>4027.222168</v>
      </c>
      <c r="Q37" t="n">
        <v>4082.835449</v>
      </c>
      <c r="R37" t="n">
        <v>4136.227051</v>
      </c>
      <c r="S37" t="n">
        <v>4186.068359</v>
      </c>
      <c r="T37" t="n">
        <v>4239.26416</v>
      </c>
      <c r="U37" t="n">
        <v>4287.746582</v>
      </c>
      <c r="V37" t="n">
        <v>4339.536133</v>
      </c>
      <c r="W37" t="n">
        <v>4387.858398</v>
      </c>
      <c r="X37" t="n">
        <v>4441.056152</v>
      </c>
      <c r="Y37" t="n">
        <v>4501.326172</v>
      </c>
      <c r="Z37" t="n">
        <v>4561.855469</v>
      </c>
      <c r="AA37" t="n">
        <v>4618.616211</v>
      </c>
      <c r="AB37" t="n">
        <v>4670.881836</v>
      </c>
      <c r="AC37" t="n">
        <v>4728.595215</v>
      </c>
      <c r="AD37" t="n">
        <v>4778.513672</v>
      </c>
      <c r="AE37" s="13" t="n">
        <v>0.011</v>
      </c>
    </row>
    <row r="38">
      <c r="A38" t="inlineStr">
        <is>
          <t>Total Shipments</t>
        </is>
      </c>
      <c r="B38" t="inlineStr">
        <is>
          <t>Macroeconomic Indicators: Value of Shipments: Total: Alternative Electricity and Transportation</t>
        </is>
      </c>
      <c r="C38" t="inlineStr">
        <is>
          <t>AEO.2026.ELECTRNP.ECI_VOS_NA_NA_NA_NA_NA_BLNY09DLR.A</t>
        </is>
      </c>
      <c r="D38" t="inlineStr">
        <is>
          <t>billion 2012 $</t>
        </is>
      </c>
      <c r="E38" t="n">
        <v>38013.234375</v>
      </c>
      <c r="F38" t="n">
        <v>38776.277344</v>
      </c>
      <c r="G38" t="n">
        <v>39626.335938</v>
      </c>
      <c r="H38" t="n">
        <v>40440.539062</v>
      </c>
      <c r="I38" t="n">
        <v>41086.726562</v>
      </c>
      <c r="J38" t="n">
        <v>41779.023438</v>
      </c>
      <c r="K38" t="n">
        <v>42483.320312</v>
      </c>
      <c r="L38" t="n">
        <v>43236.234375</v>
      </c>
      <c r="M38" t="n">
        <v>43985.632812</v>
      </c>
      <c r="N38" t="n">
        <v>44758.839844</v>
      </c>
      <c r="O38" t="n">
        <v>45565.398438</v>
      </c>
      <c r="P38" t="n">
        <v>46385.070312</v>
      </c>
      <c r="Q38" t="n">
        <v>47221.957031</v>
      </c>
      <c r="R38" t="n">
        <v>48050.4375</v>
      </c>
      <c r="S38" t="n">
        <v>48850.757812</v>
      </c>
      <c r="T38" t="n">
        <v>49643.023438</v>
      </c>
      <c r="U38" t="n">
        <v>50426.171875</v>
      </c>
      <c r="V38" t="n">
        <v>51212.207031</v>
      </c>
      <c r="W38" t="n">
        <v>52003.277344</v>
      </c>
      <c r="X38" t="n">
        <v>52818.144531</v>
      </c>
      <c r="Y38" t="n">
        <v>53659.90625</v>
      </c>
      <c r="Z38" t="n">
        <v>54500.320312</v>
      </c>
      <c r="AA38" t="n">
        <v>55324.816406</v>
      </c>
      <c r="AB38" t="n">
        <v>56147.835938</v>
      </c>
      <c r="AC38" t="n">
        <v>56975.679688</v>
      </c>
      <c r="AD38" t="n">
        <v>57820.882812</v>
      </c>
      <c r="AE38" s="13" t="n">
        <v>0.017</v>
      </c>
    </row>
    <row r="39">
      <c r="A39" t="inlineStr">
        <is>
          <t>Population and Employment (millions)</t>
        </is>
      </c>
    </row>
    <row r="40">
      <c r="A40" t="inlineStr">
        <is>
          <t>Population</t>
        </is>
      </c>
      <c r="B40" t="inlineStr">
        <is>
          <t xml:space="preserve"> with Armed Forces Overseas</t>
        </is>
      </c>
      <c r="C40" t="inlineStr">
        <is>
          <t>Macroeconomic Indicators: Population, with Armed Forces Overseas: Alternative Electricity and Transportation</t>
        </is>
      </c>
      <c r="D40" t="inlineStr">
        <is>
          <t>AEO.2026.ELECTRNP.DMG_POP_PWAF_NA_NA_NA_NA_MILL.A</t>
        </is>
      </c>
      <c r="E40" t="inlineStr">
        <is>
          <t>millions</t>
        </is>
      </c>
      <c r="F40" t="n">
        <v>341.753174</v>
      </c>
      <c r="G40" t="n">
        <v>343.011414</v>
      </c>
      <c r="H40" t="n">
        <v>344.242157</v>
      </c>
      <c r="I40" t="n">
        <v>345.608368</v>
      </c>
      <c r="J40" t="n">
        <v>347.091949</v>
      </c>
      <c r="K40" t="n">
        <v>348.5</v>
      </c>
      <c r="L40" t="n">
        <v>349.848175</v>
      </c>
      <c r="M40" t="n">
        <v>351.130157</v>
      </c>
      <c r="N40" t="n">
        <v>352.354767</v>
      </c>
      <c r="O40" t="n">
        <v>353.526184</v>
      </c>
      <c r="P40" t="n">
        <v>354.640015</v>
      </c>
      <c r="Q40" t="n">
        <v>355.694489</v>
      </c>
      <c r="R40" t="n">
        <v>356.688843</v>
      </c>
      <c r="S40" t="n">
        <v>357.624695</v>
      </c>
      <c r="T40" t="n">
        <v>358.501038</v>
      </c>
      <c r="U40" t="n">
        <v>359.317688</v>
      </c>
      <c r="V40" t="n">
        <v>360.069763</v>
      </c>
      <c r="W40" t="n">
        <v>360.765015</v>
      </c>
      <c r="X40" t="n">
        <v>361.406006</v>
      </c>
      <c r="Y40" t="n">
        <v>361.99826</v>
      </c>
      <c r="Z40" t="n">
        <v>362.542145</v>
      </c>
      <c r="AA40" t="n">
        <v>363.045013</v>
      </c>
      <c r="AB40" t="n">
        <v>363.510315</v>
      </c>
      <c r="AC40" t="n">
        <v>363.94165</v>
      </c>
      <c r="AD40" t="n">
        <v>364.34549</v>
      </c>
      <c r="AE40" t="n">
        <v>364.728088</v>
      </c>
      <c r="AF40" s="13" t="n">
        <v>0.003</v>
      </c>
    </row>
    <row r="41">
      <c r="A41" t="inlineStr">
        <is>
          <t>Population</t>
        </is>
      </c>
      <c r="B41" t="inlineStr">
        <is>
          <t xml:space="preserve"> aged 16 and over</t>
        </is>
      </c>
      <c r="C41" t="inlineStr">
        <is>
          <t>Macroeconomic Indicators: Population, aged 16 and over: Alternative Electricity and Transportation</t>
        </is>
      </c>
      <c r="D41" t="inlineStr">
        <is>
          <t>AEO.2026.ELECTRNP.DMG_POP_16+_NA_NA_NA_NA_MILL.A</t>
        </is>
      </c>
      <c r="E41" t="inlineStr">
        <is>
          <t>millions</t>
        </is>
      </c>
      <c r="F41" t="n">
        <v>278.51181</v>
      </c>
      <c r="G41" t="n">
        <v>280.230499</v>
      </c>
      <c r="H41" t="n">
        <v>281.84906</v>
      </c>
      <c r="I41" t="n">
        <v>283.522186</v>
      </c>
      <c r="J41" t="n">
        <v>285.271729</v>
      </c>
      <c r="K41" t="n">
        <v>286.978973</v>
      </c>
      <c r="L41" t="n">
        <v>288.636536</v>
      </c>
      <c r="M41" t="n">
        <v>290.182861</v>
      </c>
      <c r="N41" t="n">
        <v>291.590485</v>
      </c>
      <c r="O41" t="n">
        <v>292.871704</v>
      </c>
      <c r="P41" t="n">
        <v>294.042053</v>
      </c>
      <c r="Q41" t="n">
        <v>295.074188</v>
      </c>
      <c r="R41" t="n">
        <v>296.015228</v>
      </c>
      <c r="S41" t="n">
        <v>296.948456</v>
      </c>
      <c r="T41" t="n">
        <v>297.748474</v>
      </c>
      <c r="U41" t="n">
        <v>298.491882</v>
      </c>
      <c r="V41" t="n">
        <v>299.263947</v>
      </c>
      <c r="W41" t="n">
        <v>300.000244</v>
      </c>
      <c r="X41" t="n">
        <v>300.715088</v>
      </c>
      <c r="Y41" t="n">
        <v>301.413666</v>
      </c>
      <c r="Z41" t="n">
        <v>302.093079</v>
      </c>
      <c r="AA41" t="n">
        <v>302.750488</v>
      </c>
      <c r="AB41" t="n">
        <v>303.389954</v>
      </c>
      <c r="AC41" t="n">
        <v>304.013672</v>
      </c>
      <c r="AD41" t="n">
        <v>304.626465</v>
      </c>
      <c r="AE41" t="n">
        <v>305.23468</v>
      </c>
      <c r="AF41" s="13" t="n">
        <v>0.004</v>
      </c>
    </row>
    <row r="42">
      <c r="A42" t="inlineStr">
        <is>
          <t>Population</t>
        </is>
      </c>
      <c r="B42" t="inlineStr">
        <is>
          <t xml:space="preserve"> aged 65 and over</t>
        </is>
      </c>
      <c r="C42" t="inlineStr">
        <is>
          <t>Macroeconomic Indicators: Population, aged 65 and over: Alternative Electricity and Transportation</t>
        </is>
      </c>
      <c r="D42" t="inlineStr">
        <is>
          <t>AEO.2026.ELECTRNP.DMG_POP_65+_NA_NA_NA_NA_MILL.A</t>
        </is>
      </c>
      <c r="E42" t="inlineStr">
        <is>
          <t>millions</t>
        </is>
      </c>
      <c r="F42" t="n">
        <v>63.792053</v>
      </c>
      <c r="G42" t="n">
        <v>65.65595999999999</v>
      </c>
      <c r="H42" t="n">
        <v>67.422668</v>
      </c>
      <c r="I42" t="n">
        <v>69.082092</v>
      </c>
      <c r="J42" t="n">
        <v>70.607651</v>
      </c>
      <c r="K42" t="n">
        <v>71.922028</v>
      </c>
      <c r="L42" t="n">
        <v>73.025795</v>
      </c>
      <c r="M42" t="n">
        <v>74.004333</v>
      </c>
      <c r="N42" t="n">
        <v>74.91712200000001</v>
      </c>
      <c r="O42" t="n">
        <v>75.859871</v>
      </c>
      <c r="P42" t="n">
        <v>76.84815999999999</v>
      </c>
      <c r="Q42" t="n">
        <v>77.70787</v>
      </c>
      <c r="R42" t="n">
        <v>78.281807</v>
      </c>
      <c r="S42" t="n">
        <v>78.66578699999999</v>
      </c>
      <c r="T42" t="n">
        <v>78.9851</v>
      </c>
      <c r="U42" t="n">
        <v>79.269989</v>
      </c>
      <c r="V42" t="n">
        <v>79.525375</v>
      </c>
      <c r="W42" t="n">
        <v>79.83200100000001</v>
      </c>
      <c r="X42" t="n">
        <v>80.155342</v>
      </c>
      <c r="Y42" t="n">
        <v>80.552437</v>
      </c>
      <c r="Z42" t="n">
        <v>81.031357</v>
      </c>
      <c r="AA42" t="n">
        <v>81.519257</v>
      </c>
      <c r="AB42" t="n">
        <v>82.02555099999999</v>
      </c>
      <c r="AC42" t="n">
        <v>82.509041</v>
      </c>
      <c r="AD42" t="n">
        <v>82.98820499999999</v>
      </c>
      <c r="AE42" t="n">
        <v>83.523186</v>
      </c>
      <c r="AF42" s="13" t="n">
        <v>0.011</v>
      </c>
    </row>
    <row r="43">
      <c r="A43" t="inlineStr">
        <is>
          <t>Employment</t>
        </is>
      </c>
      <c r="B43" t="inlineStr">
        <is>
          <t xml:space="preserve"> Nonfarm</t>
        </is>
      </c>
      <c r="C43" t="inlineStr">
        <is>
          <t>Macroeconomic Indicators: Employment, Nonfarm: Alternative Electricity and Transportation</t>
        </is>
      </c>
      <c r="D43" t="inlineStr">
        <is>
          <t>AEO.2026.ELECTRNP.DMG_EMPM_NOFM_NA_NA_NA_NA_MILL.A</t>
        </is>
      </c>
      <c r="E43" t="inlineStr">
        <is>
          <t>millions</t>
        </is>
      </c>
      <c r="F43" t="n">
        <v>160.340073</v>
      </c>
      <c r="G43" t="n">
        <v>161.281006</v>
      </c>
      <c r="H43" t="n">
        <v>162.170471</v>
      </c>
      <c r="I43" t="n">
        <v>162.608612</v>
      </c>
      <c r="J43" t="n">
        <v>163.086288</v>
      </c>
      <c r="K43" t="n">
        <v>163.62587</v>
      </c>
      <c r="L43" t="n">
        <v>164.116058</v>
      </c>
      <c r="M43" t="n">
        <v>164.787308</v>
      </c>
      <c r="N43" t="n">
        <v>165.462021</v>
      </c>
      <c r="O43" t="n">
        <v>166.1698</v>
      </c>
      <c r="P43" t="n">
        <v>166.884872</v>
      </c>
      <c r="Q43" t="n">
        <v>167.661972</v>
      </c>
      <c r="R43" t="n">
        <v>168.565765</v>
      </c>
      <c r="S43" t="n">
        <v>169.439774</v>
      </c>
      <c r="T43" t="n">
        <v>170.151398</v>
      </c>
      <c r="U43" t="n">
        <v>170.952469</v>
      </c>
      <c r="V43" t="n">
        <v>171.580383</v>
      </c>
      <c r="W43" t="n">
        <v>172.178421</v>
      </c>
      <c r="X43" t="n">
        <v>172.706116</v>
      </c>
      <c r="Y43" t="n">
        <v>173.327744</v>
      </c>
      <c r="Z43" t="n">
        <v>174.001205</v>
      </c>
      <c r="AA43" t="n">
        <v>174.602432</v>
      </c>
      <c r="AB43" t="n">
        <v>175.097656</v>
      </c>
      <c r="AC43" t="n">
        <v>175.47995</v>
      </c>
      <c r="AD43" t="n">
        <v>175.778961</v>
      </c>
      <c r="AE43" t="n">
        <v>176.125061</v>
      </c>
      <c r="AF43" s="13" t="n">
        <v>0.004</v>
      </c>
    </row>
    <row r="44">
      <c r="A44" t="inlineStr">
        <is>
          <t>Employment</t>
        </is>
      </c>
      <c r="B44" t="inlineStr">
        <is>
          <t xml:space="preserve"> Manufacturing</t>
        </is>
      </c>
      <c r="C44" t="inlineStr">
        <is>
          <t>Macroeconomic Indicators: Employment, Manufacturing: Alternative Electricity and Transportation</t>
        </is>
      </c>
      <c r="D44" t="inlineStr">
        <is>
          <t>AEO.2026.ELECTRNP.DMG_EMPM_MANF_NA_NA_NA_NA_MILL.A</t>
        </is>
      </c>
      <c r="E44" t="inlineStr">
        <is>
          <t>millions</t>
        </is>
      </c>
      <c r="F44" t="n">
        <v>12.703077</v>
      </c>
      <c r="G44" t="n">
        <v>12.506077</v>
      </c>
      <c r="H44" t="n">
        <v>12.613195</v>
      </c>
      <c r="I44" t="n">
        <v>12.464388</v>
      </c>
      <c r="J44" t="n">
        <v>12.222918</v>
      </c>
      <c r="K44" t="n">
        <v>12.106469</v>
      </c>
      <c r="L44" t="n">
        <v>12.017034</v>
      </c>
      <c r="M44" t="n">
        <v>11.918694</v>
      </c>
      <c r="N44" t="n">
        <v>11.786911</v>
      </c>
      <c r="O44" t="n">
        <v>11.567508</v>
      </c>
      <c r="P44" t="n">
        <v>11.441332</v>
      </c>
      <c r="Q44" t="n">
        <v>11.462002</v>
      </c>
      <c r="R44" t="n">
        <v>11.537078</v>
      </c>
      <c r="S44" t="n">
        <v>11.623907</v>
      </c>
      <c r="T44" t="n">
        <v>11.677309</v>
      </c>
      <c r="U44" t="n">
        <v>11.724118</v>
      </c>
      <c r="V44" t="n">
        <v>11.766093</v>
      </c>
      <c r="W44" t="n">
        <v>11.78767</v>
      </c>
      <c r="X44" t="n">
        <v>11.782259</v>
      </c>
      <c r="Y44" t="n">
        <v>11.78955</v>
      </c>
      <c r="Z44" t="n">
        <v>11.861156</v>
      </c>
      <c r="AA44" t="n">
        <v>11.941236</v>
      </c>
      <c r="AB44" t="n">
        <v>12.03371</v>
      </c>
      <c r="AC44" t="n">
        <v>12.11508</v>
      </c>
      <c r="AD44" t="n">
        <v>12.205623</v>
      </c>
      <c r="AE44" t="n">
        <v>12.271933</v>
      </c>
      <c r="AF44" s="13" t="n">
        <v>-0.001</v>
      </c>
    </row>
    <row r="45">
      <c r="A45" t="inlineStr">
        <is>
          <t>Key Labor Indicators</t>
        </is>
      </c>
    </row>
    <row r="46">
      <c r="A46" t="inlineStr">
        <is>
          <t>Labor Force (millions)</t>
        </is>
      </c>
      <c r="B46" t="inlineStr">
        <is>
          <t>Macroeconomic Indicators: Key Labor Indicators: Labor Force: Alternative Electricity and Transportation</t>
        </is>
      </c>
      <c r="C46" t="inlineStr">
        <is>
          <t>AEO.2026.ELECTRNP.ECI_LBF_NA_NA_NA_NA_NA_MILL.A</t>
        </is>
      </c>
      <c r="D46" t="inlineStr">
        <is>
          <t>millions</t>
        </is>
      </c>
      <c r="E46" t="n">
        <v>170.751038</v>
      </c>
      <c r="F46" t="n">
        <v>171.092606</v>
      </c>
      <c r="G46" t="n">
        <v>171.804779</v>
      </c>
      <c r="H46" t="n">
        <v>172.37233</v>
      </c>
      <c r="I46" t="n">
        <v>172.981247</v>
      </c>
      <c r="J46" t="n">
        <v>173.566055</v>
      </c>
      <c r="K46" t="n">
        <v>174.033646</v>
      </c>
      <c r="L46" t="n">
        <v>174.57222</v>
      </c>
      <c r="M46" t="n">
        <v>175.069153</v>
      </c>
      <c r="N46" t="n">
        <v>175.561707</v>
      </c>
      <c r="O46" t="n">
        <v>176.044525</v>
      </c>
      <c r="P46" t="n">
        <v>176.682327</v>
      </c>
      <c r="Q46" t="n">
        <v>177.524857</v>
      </c>
      <c r="R46" t="n">
        <v>178.419403</v>
      </c>
      <c r="S46" t="n">
        <v>179.238846</v>
      </c>
      <c r="T46" t="n">
        <v>180.0177</v>
      </c>
      <c r="U46" t="n">
        <v>180.734894</v>
      </c>
      <c r="V46" t="n">
        <v>181.335602</v>
      </c>
      <c r="W46" t="n">
        <v>181.85405</v>
      </c>
      <c r="X46" t="n">
        <v>182.328857</v>
      </c>
      <c r="Y46" t="n">
        <v>182.771194</v>
      </c>
      <c r="Z46" t="n">
        <v>183.170807</v>
      </c>
      <c r="AA46" t="n">
        <v>183.652069</v>
      </c>
      <c r="AB46" t="n">
        <v>184.182251</v>
      </c>
      <c r="AC46" t="n">
        <v>184.733322</v>
      </c>
      <c r="AD46" t="n">
        <v>185.291977</v>
      </c>
      <c r="AE46" s="13" t="n">
        <v>0.003</v>
      </c>
    </row>
    <row r="47">
      <c r="A47" t="inlineStr">
        <is>
          <t>Nonfarm Labor Productivity (2012=1.00)</t>
        </is>
      </c>
      <c r="B47" t="inlineStr">
        <is>
          <t>Macroeconomic Indicators: Key Labor Indicators: Nonfarm Labor Productivity: Alternative Electricity and Transportation</t>
        </is>
      </c>
      <c r="C47" t="inlineStr">
        <is>
          <t>AEO.2026.ELECTRNP.ECI_LP_NOFM_NA_NA_NA_NA_Y09EQ1.A</t>
        </is>
      </c>
      <c r="D47" t="inlineStr">
        <is>
          <t>2012=1.00</t>
        </is>
      </c>
      <c r="E47" t="n">
        <v>1.216278</v>
      </c>
      <c r="F47" t="n">
        <v>1.245477</v>
      </c>
      <c r="G47" t="n">
        <v>1.266322</v>
      </c>
      <c r="H47" t="n">
        <v>1.282768</v>
      </c>
      <c r="I47" t="n">
        <v>1.302433</v>
      </c>
      <c r="J47" t="n">
        <v>1.324193</v>
      </c>
      <c r="K47" t="n">
        <v>1.345283</v>
      </c>
      <c r="L47" t="n">
        <v>1.368074</v>
      </c>
      <c r="M47" t="n">
        <v>1.392357</v>
      </c>
      <c r="N47" t="n">
        <v>1.418205</v>
      </c>
      <c r="O47" t="n">
        <v>1.445823</v>
      </c>
      <c r="P47" t="n">
        <v>1.46902</v>
      </c>
      <c r="Q47" t="n">
        <v>1.493886</v>
      </c>
      <c r="R47" t="n">
        <v>1.520837</v>
      </c>
      <c r="S47" t="n">
        <v>1.551005</v>
      </c>
      <c r="T47" t="n">
        <v>1.582492</v>
      </c>
      <c r="U47" t="n">
        <v>1.615999</v>
      </c>
      <c r="V47" t="n">
        <v>1.65204</v>
      </c>
      <c r="W47" t="n">
        <v>1.689487</v>
      </c>
      <c r="X47" t="n">
        <v>1.726819</v>
      </c>
      <c r="Y47" t="n">
        <v>1.763461</v>
      </c>
      <c r="Z47" t="n">
        <v>1.800171</v>
      </c>
      <c r="AA47" t="n">
        <v>1.837051</v>
      </c>
      <c r="AB47" t="n">
        <v>1.875177</v>
      </c>
      <c r="AC47" t="n">
        <v>1.913363</v>
      </c>
      <c r="AD47" t="n">
        <v>1.952227</v>
      </c>
      <c r="AE47" s="13" t="n">
        <v>0.019</v>
      </c>
    </row>
    <row r="48">
      <c r="A48" t="inlineStr">
        <is>
          <t>Unemployment Rate (percentage)</t>
        </is>
      </c>
      <c r="B48" t="inlineStr">
        <is>
          <t>Macroeconomic Indicators: Key Labor Indicators: Unemployment Rate: Alternative Electricity and Transportation</t>
        </is>
      </c>
      <c r="C48" t="inlineStr">
        <is>
          <t>AEO.2026.ELECTRNP.ECI_UER_NA_NA_NA_NA_NA_PCT.A</t>
        </is>
      </c>
      <c r="D48" t="inlineStr">
        <is>
          <t>percent</t>
        </is>
      </c>
      <c r="E48" t="n">
        <v>4.227422</v>
      </c>
      <c r="F48" t="n">
        <v>4.464453</v>
      </c>
      <c r="G48" t="n">
        <v>4.446928</v>
      </c>
      <c r="H48" t="n">
        <v>4.419762</v>
      </c>
      <c r="I48" t="n">
        <v>4.383177</v>
      </c>
      <c r="J48" t="n">
        <v>4.3245</v>
      </c>
      <c r="K48" t="n">
        <v>4.301201</v>
      </c>
      <c r="L48" t="n">
        <v>4.261675</v>
      </c>
      <c r="M48" t="n">
        <v>4.236601</v>
      </c>
      <c r="N48" t="n">
        <v>4.209572</v>
      </c>
      <c r="O48" t="n">
        <v>4.169725</v>
      </c>
      <c r="P48" t="n">
        <v>4.161917</v>
      </c>
      <c r="Q48" t="n">
        <v>4.212792</v>
      </c>
      <c r="R48" t="n">
        <v>4.281001</v>
      </c>
      <c r="S48" t="n">
        <v>4.384094</v>
      </c>
      <c r="T48" t="n">
        <v>4.44699</v>
      </c>
      <c r="U48" t="n">
        <v>4.485125</v>
      </c>
      <c r="V48" t="n">
        <v>4.48908</v>
      </c>
      <c r="W48" t="n">
        <v>4.445694</v>
      </c>
      <c r="X48" t="n">
        <v>4.380372</v>
      </c>
      <c r="Y48" t="n">
        <v>4.30802</v>
      </c>
      <c r="Z48" t="n">
        <v>4.24307</v>
      </c>
      <c r="AA48" t="n">
        <v>4.209525</v>
      </c>
      <c r="AB48" t="n">
        <v>4.188687</v>
      </c>
      <c r="AC48" t="n">
        <v>4.186512</v>
      </c>
      <c r="AD48" t="n">
        <v>4.161588</v>
      </c>
      <c r="AE48" s="13" t="n">
        <v>-0.001</v>
      </c>
    </row>
    <row r="49">
      <c r="A49" t="inlineStr">
        <is>
          <t>Key Indicators for Energy Demand</t>
        </is>
      </c>
    </row>
    <row r="50">
      <c r="A50" t="inlineStr">
        <is>
          <t>Real Disposable Personal Income</t>
        </is>
      </c>
      <c r="B50" t="inlineStr">
        <is>
          <t>Macroeconomic Indicators: Key Indicators for Energy Use: Real Disposable Personal Income: Alternative Electricity and Transportation</t>
        </is>
      </c>
      <c r="C50" t="inlineStr">
        <is>
          <t>AEO.2026.ELECTRNP.ECI_PEI_NA_NA_NA_NA_NA_BLNY09DLR.A</t>
        </is>
      </c>
      <c r="D50" t="inlineStr">
        <is>
          <t>billion 2012  $</t>
        </is>
      </c>
      <c r="E50" t="n">
        <v>16819.988281</v>
      </c>
      <c r="F50" t="n">
        <v>17419.429688</v>
      </c>
      <c r="G50" t="n">
        <v>17966.023438</v>
      </c>
      <c r="H50" t="n">
        <v>18430.591797</v>
      </c>
      <c r="I50" t="n">
        <v>18890.945312</v>
      </c>
      <c r="J50" t="n">
        <v>19349.445312</v>
      </c>
      <c r="K50" t="n">
        <v>19798.207031</v>
      </c>
      <c r="L50" t="n">
        <v>20250.675781</v>
      </c>
      <c r="M50" t="n">
        <v>20707.828125</v>
      </c>
      <c r="N50" t="n">
        <v>21224.564453</v>
      </c>
      <c r="O50" t="n">
        <v>21759.009766</v>
      </c>
      <c r="P50" t="n">
        <v>22280.761719</v>
      </c>
      <c r="Q50" t="n">
        <v>22823.425781</v>
      </c>
      <c r="R50" t="n">
        <v>23374.630859</v>
      </c>
      <c r="S50" t="n">
        <v>23908.109375</v>
      </c>
      <c r="T50" t="n">
        <v>24349.046875</v>
      </c>
      <c r="U50" t="n">
        <v>24838.697266</v>
      </c>
      <c r="V50" t="n">
        <v>25344.472656</v>
      </c>
      <c r="W50" t="n">
        <v>25865.765625</v>
      </c>
      <c r="X50" t="n">
        <v>26393.070312</v>
      </c>
      <c r="Y50" t="n">
        <v>26824.154297</v>
      </c>
      <c r="Z50" t="n">
        <v>27344.341797</v>
      </c>
      <c r="AA50" t="n">
        <v>27871.779297</v>
      </c>
      <c r="AB50" t="n">
        <v>28414.349609</v>
      </c>
      <c r="AC50" t="n">
        <v>28967.552734</v>
      </c>
      <c r="AD50" t="n">
        <v>29541.8125</v>
      </c>
      <c r="AE50" s="13" t="n">
        <v>0.023</v>
      </c>
    </row>
    <row r="51">
      <c r="A51" t="inlineStr">
        <is>
          <t>Housing Starts (millions)</t>
        </is>
      </c>
      <c r="B51" t="inlineStr">
        <is>
          <t>Macroeconomic Indicators: Key Indicators for Energy Use: Housing Starts: Alternative Electricity and Transportation</t>
        </is>
      </c>
      <c r="C51" t="inlineStr">
        <is>
          <t>AEO.2026.ELECTRNP.ECI_HST_NA_NA_NA_NA_NA_MILL.A</t>
        </is>
      </c>
      <c r="D51" t="inlineStr">
        <is>
          <t>millions</t>
        </is>
      </c>
      <c r="E51" t="n">
        <v>1.44772</v>
      </c>
      <c r="F51" t="n">
        <v>1.486049</v>
      </c>
      <c r="G51" t="n">
        <v>1.520428</v>
      </c>
      <c r="H51" t="n">
        <v>1.49801</v>
      </c>
      <c r="I51" t="n">
        <v>1.498304</v>
      </c>
      <c r="J51" t="n">
        <v>1.483243</v>
      </c>
      <c r="K51" t="n">
        <v>1.489964</v>
      </c>
      <c r="L51" t="n">
        <v>1.491298</v>
      </c>
      <c r="M51" t="n">
        <v>1.469409</v>
      </c>
      <c r="N51" t="n">
        <v>1.430597</v>
      </c>
      <c r="O51" t="n">
        <v>1.403754</v>
      </c>
      <c r="P51" t="n">
        <v>1.369387</v>
      </c>
      <c r="Q51" t="n">
        <v>1.307112</v>
      </c>
      <c r="R51" t="n">
        <v>1.25578</v>
      </c>
      <c r="S51" t="n">
        <v>1.196771</v>
      </c>
      <c r="T51" t="n">
        <v>1.152172</v>
      </c>
      <c r="U51" t="n">
        <v>1.101699</v>
      </c>
      <c r="V51" t="n">
        <v>1.068275</v>
      </c>
      <c r="W51" t="n">
        <v>1.036331</v>
      </c>
      <c r="X51" t="n">
        <v>1.017411</v>
      </c>
      <c r="Y51" t="n">
        <v>1.02172</v>
      </c>
      <c r="Z51" t="n">
        <v>1.026768</v>
      </c>
      <c r="AA51" t="n">
        <v>1.023274</v>
      </c>
      <c r="AB51" t="n">
        <v>1.02035</v>
      </c>
      <c r="AC51" t="n">
        <v>1.019308</v>
      </c>
      <c r="AD51" t="n">
        <v>1.023431</v>
      </c>
      <c r="AE51" s="13" t="n">
        <v>-0.014</v>
      </c>
    </row>
    <row r="52">
      <c r="A52" t="inlineStr">
        <is>
          <t>Commercial Floorspace (billion square feet)</t>
        </is>
      </c>
      <c r="B52" t="inlineStr">
        <is>
          <t>Macroeconomic Indicators: Key Indicators for Energy Use: Commercial Floorspace: Alternative Electricity and Transportation</t>
        </is>
      </c>
      <c r="C52" t="inlineStr">
        <is>
          <t>AEO.2026.ELECTRNP.ECI_FLR_COMM_NA_NA_NA_NA_BLNSQFT.A</t>
        </is>
      </c>
      <c r="D52" t="inlineStr">
        <is>
          <t>billion sq ft</t>
        </is>
      </c>
      <c r="E52" t="n">
        <v>104.64386</v>
      </c>
      <c r="F52" t="n">
        <v>105.867554</v>
      </c>
      <c r="G52" t="n">
        <v>107.049866</v>
      </c>
      <c r="H52" t="n">
        <v>108.210457</v>
      </c>
      <c r="I52" t="n">
        <v>109.35656</v>
      </c>
      <c r="J52" t="n">
        <v>110.513985</v>
      </c>
      <c r="K52" t="n">
        <v>111.697708</v>
      </c>
      <c r="L52" t="n">
        <v>112.910751</v>
      </c>
      <c r="M52" t="n">
        <v>114.159492</v>
      </c>
      <c r="N52" t="n">
        <v>115.445183</v>
      </c>
      <c r="O52" t="n">
        <v>116.768059</v>
      </c>
      <c r="P52" t="n">
        <v>118.126747</v>
      </c>
      <c r="Q52" t="n">
        <v>119.511673</v>
      </c>
      <c r="R52" t="n">
        <v>120.864799</v>
      </c>
      <c r="S52" t="n">
        <v>122.184166</v>
      </c>
      <c r="T52" t="n">
        <v>123.471954</v>
      </c>
      <c r="U52" t="n">
        <v>124.703606</v>
      </c>
      <c r="V52" t="n">
        <v>125.887589</v>
      </c>
      <c r="W52" t="n">
        <v>127.039177</v>
      </c>
      <c r="X52" t="n">
        <v>128.165298</v>
      </c>
      <c r="Y52" t="n">
        <v>129.275116</v>
      </c>
      <c r="Z52" t="n">
        <v>130.37233</v>
      </c>
      <c r="AA52" t="n">
        <v>131.458466</v>
      </c>
      <c r="AB52" t="n">
        <v>132.53508</v>
      </c>
      <c r="AC52" t="n">
        <v>133.603241</v>
      </c>
      <c r="AD52" t="n">
        <v>134.664093</v>
      </c>
      <c r="AE52" s="13" t="n">
        <v>0.01</v>
      </c>
    </row>
    <row r="53">
      <c r="A53" t="inlineStr">
        <is>
          <t>Unit Sales of Light-Duty Vehicles (millions)</t>
        </is>
      </c>
      <c r="B53" t="inlineStr">
        <is>
          <t>Macroeconomic Indicators: Key Indicators for Energy Use: Unit Sales of Light-Duty Vehicles: Alternative Electricity and Transportation</t>
        </is>
      </c>
      <c r="C53" t="inlineStr">
        <is>
          <t>AEO.2026.ELECTRNP.KEI_SAL_TRN_LDV_NA_NA_NA_MILL.A</t>
        </is>
      </c>
      <c r="D53" t="inlineStr">
        <is>
          <t>millions</t>
        </is>
      </c>
      <c r="E53" t="n">
        <v>15.812405</v>
      </c>
      <c r="F53" t="n">
        <v>15.377604</v>
      </c>
      <c r="G53" t="n">
        <v>15.855638</v>
      </c>
      <c r="H53" t="n">
        <v>16.052624</v>
      </c>
      <c r="I53" t="n">
        <v>16.394119</v>
      </c>
      <c r="J53" t="n">
        <v>16.898895</v>
      </c>
      <c r="K53" t="n">
        <v>17.157703</v>
      </c>
      <c r="L53" t="n">
        <v>17.294743</v>
      </c>
      <c r="M53" t="n">
        <v>17.471609</v>
      </c>
      <c r="N53" t="n">
        <v>17.513344</v>
      </c>
      <c r="O53" t="n">
        <v>17.561474</v>
      </c>
      <c r="P53" t="n">
        <v>17.312103</v>
      </c>
      <c r="Q53" t="n">
        <v>17.327036</v>
      </c>
      <c r="R53" t="n">
        <v>17.322725</v>
      </c>
      <c r="S53" t="n">
        <v>17.281418</v>
      </c>
      <c r="T53" t="n">
        <v>17.241014</v>
      </c>
      <c r="U53" t="n">
        <v>17.11919</v>
      </c>
      <c r="V53" t="n">
        <v>16.995007</v>
      </c>
      <c r="W53" t="n">
        <v>16.891577</v>
      </c>
      <c r="X53" t="n">
        <v>16.801416</v>
      </c>
      <c r="Y53" t="n">
        <v>16.749784</v>
      </c>
      <c r="Z53" t="n">
        <v>16.645475</v>
      </c>
      <c r="AA53" t="n">
        <v>16.577404</v>
      </c>
      <c r="AB53" t="n">
        <v>16.445074</v>
      </c>
      <c r="AC53" t="n">
        <v>16.298859</v>
      </c>
      <c r="AD53" t="n">
        <v>16.054882</v>
      </c>
      <c r="AE53" s="13" t="n">
        <v>0.001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H50"/>
  <sheetViews>
    <sheetView workbookViewId="0">
      <selection activeCell="G3" sqref="G3"/>
    </sheetView>
  </sheetViews>
  <sheetFormatPr baseColWidth="8" defaultRowHeight="15"/>
  <cols>
    <col width="10.85546875" bestFit="1" customWidth="1" min="7" max="7"/>
  </cols>
  <sheetData>
    <row r="2">
      <c r="E2" t="n">
        <v>2024</v>
      </c>
      <c r="F2" t="n">
        <v>2025</v>
      </c>
      <c r="G2" t="n">
        <v>2026</v>
      </c>
      <c r="H2" t="n">
        <v>2027</v>
      </c>
      <c r="I2" t="n">
        <v>2028</v>
      </c>
      <c r="J2" t="n">
        <v>2029</v>
      </c>
      <c r="K2" t="n">
        <v>2030</v>
      </c>
      <c r="L2" t="n">
        <v>2031</v>
      </c>
      <c r="M2" t="n">
        <v>2032</v>
      </c>
      <c r="N2" t="n">
        <v>2033</v>
      </c>
      <c r="O2" t="n">
        <v>2034</v>
      </c>
      <c r="P2" t="n">
        <v>2035</v>
      </c>
      <c r="Q2" t="n">
        <v>2036</v>
      </c>
      <c r="R2" t="n">
        <v>2037</v>
      </c>
      <c r="S2" t="n">
        <v>2038</v>
      </c>
      <c r="T2" t="n">
        <v>2039</v>
      </c>
      <c r="U2" t="n">
        <v>2040</v>
      </c>
      <c r="V2" t="n">
        <v>2041</v>
      </c>
      <c r="W2" t="n">
        <v>2042</v>
      </c>
      <c r="X2" t="n">
        <v>2043</v>
      </c>
      <c r="Y2" t="n">
        <v>2044</v>
      </c>
      <c r="Z2" t="n">
        <v>2045</v>
      </c>
      <c r="AA2" t="n">
        <v>2046</v>
      </c>
      <c r="AB2" t="n">
        <v>2047</v>
      </c>
      <c r="AC2" t="n">
        <v>2048</v>
      </c>
      <c r="AD2" t="n">
        <v>2049</v>
      </c>
      <c r="AE2" t="n">
        <v>2050</v>
      </c>
    </row>
    <row r="3" customFormat="1" s="14">
      <c r="A3" s="14" t="inlineStr">
        <is>
          <t>Real Gross Domestic Product</t>
        </is>
      </c>
      <c r="B3" s="14" t="inlineStr">
        <is>
          <t>Macroeconomic Indicators: Real Gross Domestic Product: High Zero-Carbon Technology Cost</t>
        </is>
      </c>
      <c r="C3" s="14" t="inlineStr">
        <is>
          <t>AEO.2025.HIGHZTC.ECI_NA_NA_NA_GDP_REAL_NA_BLNY09DLR.A</t>
        </is>
      </c>
      <c r="D3" s="14" t="inlineStr">
        <is>
          <t>billion 2012  $</t>
        </is>
      </c>
      <c r="E3" s="14">
        <f>'AEO 2025 Table 20'!F6</f>
        <v/>
      </c>
      <c r="F3" s="14">
        <f>'AEO 2026 Table 20'!E6</f>
        <v/>
      </c>
      <c r="G3" s="14">
        <f>'AEO 2026 Table 20'!F6</f>
        <v/>
      </c>
      <c r="H3" s="14">
        <f>'AEO 2026 Table 20'!G6</f>
        <v/>
      </c>
      <c r="I3" s="14">
        <f>'AEO 2026 Table 20'!H6</f>
        <v/>
      </c>
      <c r="J3" s="14">
        <f>'AEO 2026 Table 20'!I6</f>
        <v/>
      </c>
      <c r="K3" s="14">
        <f>'AEO 2026 Table 20'!J6</f>
        <v/>
      </c>
      <c r="L3" s="14">
        <f>'AEO 2026 Table 20'!K6</f>
        <v/>
      </c>
      <c r="M3" s="14">
        <f>'AEO 2026 Table 20'!L6</f>
        <v/>
      </c>
      <c r="N3" s="14">
        <f>'AEO 2026 Table 20'!M6</f>
        <v/>
      </c>
      <c r="O3" s="14">
        <f>'AEO 2026 Table 20'!N6</f>
        <v/>
      </c>
      <c r="P3" s="14">
        <f>'AEO 2026 Table 20'!O6</f>
        <v/>
      </c>
      <c r="Q3" s="14">
        <f>'AEO 2026 Table 20'!P6</f>
        <v/>
      </c>
      <c r="R3" s="14">
        <f>'AEO 2026 Table 20'!Q6</f>
        <v/>
      </c>
      <c r="S3" s="14">
        <f>'AEO 2026 Table 20'!R6</f>
        <v/>
      </c>
      <c r="T3" s="14">
        <f>'AEO 2026 Table 20'!S6</f>
        <v/>
      </c>
      <c r="U3" s="14">
        <f>'AEO 2026 Table 20'!T6</f>
        <v/>
      </c>
      <c r="V3" s="14">
        <f>'AEO 2026 Table 20'!U6</f>
        <v/>
      </c>
      <c r="W3" s="14">
        <f>'AEO 2026 Table 20'!V6</f>
        <v/>
      </c>
      <c r="X3" s="14">
        <f>'AEO 2026 Table 20'!W6</f>
        <v/>
      </c>
      <c r="Y3" s="14">
        <f>'AEO 2026 Table 20'!X6</f>
        <v/>
      </c>
      <c r="Z3" s="14">
        <f>'AEO 2026 Table 20'!Y6</f>
        <v/>
      </c>
      <c r="AA3" s="14">
        <f>'AEO 2026 Table 20'!Z6</f>
        <v/>
      </c>
      <c r="AB3" s="14">
        <f>'AEO 2026 Table 20'!AA6</f>
        <v/>
      </c>
      <c r="AC3" s="14">
        <f>'AEO 2026 Table 20'!AB6</f>
        <v/>
      </c>
      <c r="AD3" s="14">
        <f>'AEO 2026 Table 20'!AC6</f>
        <v/>
      </c>
      <c r="AE3" s="14">
        <f>'AEO 2026 Table 20'!AD6</f>
        <v/>
      </c>
    </row>
    <row r="5">
      <c r="AF5" s="13" t="n"/>
    </row>
    <row r="6">
      <c r="AF6" s="13" t="n"/>
    </row>
    <row r="7">
      <c r="AF7" s="13" t="n"/>
    </row>
    <row r="8">
      <c r="AF8" s="13" t="n"/>
    </row>
    <row r="9">
      <c r="AF9" s="13" t="n"/>
    </row>
    <row r="12">
      <c r="AF12" s="13" t="n"/>
    </row>
    <row r="13">
      <c r="AF13" s="13" t="n"/>
    </row>
    <row r="15">
      <c r="AF15" s="13" t="n"/>
    </row>
    <row r="17">
      <c r="AF17" s="13" t="n"/>
    </row>
    <row r="18">
      <c r="AF18" s="13" t="n"/>
    </row>
    <row r="20">
      <c r="AF20" s="13" t="n"/>
    </row>
    <row r="21">
      <c r="AF21" s="13" t="n"/>
    </row>
    <row r="22">
      <c r="AF22" s="13" t="n"/>
    </row>
    <row r="23">
      <c r="AF23" s="13" t="n"/>
    </row>
    <row r="25">
      <c r="AF25" s="13" t="n"/>
    </row>
    <row r="26">
      <c r="AF26" s="13" t="n"/>
    </row>
    <row r="27">
      <c r="AF27" s="13" t="n"/>
    </row>
    <row r="29">
      <c r="AF29" s="13" t="n"/>
    </row>
    <row r="30">
      <c r="AF30" s="13" t="n"/>
    </row>
    <row r="31">
      <c r="AH31" s="13" t="n"/>
    </row>
    <row r="32">
      <c r="AF32" s="13" t="n"/>
    </row>
    <row r="33">
      <c r="AF33" s="13" t="n"/>
    </row>
    <row r="34">
      <c r="AF34" s="13" t="n"/>
    </row>
    <row r="35">
      <c r="AF35" s="13" t="n"/>
    </row>
    <row r="37">
      <c r="AG37" s="13" t="n"/>
    </row>
    <row r="38">
      <c r="AG38" s="13" t="n"/>
    </row>
    <row r="39">
      <c r="AG39" s="13" t="n"/>
    </row>
    <row r="40">
      <c r="AG40" s="13" t="n"/>
    </row>
    <row r="41">
      <c r="AG41" s="13" t="n"/>
    </row>
    <row r="43">
      <c r="AF43" s="13" t="n"/>
    </row>
    <row r="44">
      <c r="AF44" s="13" t="n"/>
    </row>
    <row r="45">
      <c r="AF45" s="13" t="n"/>
    </row>
    <row r="47">
      <c r="AF47" s="13" t="n"/>
    </row>
    <row r="48">
      <c r="AF48" s="13" t="n"/>
    </row>
    <row r="49">
      <c r="AF49" s="13" t="n"/>
    </row>
    <row r="50">
      <c r="AF50" s="1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F29"/>
  <sheetViews>
    <sheetView workbookViewId="0">
      <selection activeCell="B4" sqref="B4"/>
    </sheetView>
  </sheetViews>
  <sheetFormatPr baseColWidth="8" defaultRowHeight="15"/>
  <cols>
    <col width="17.7109375" customWidth="1" min="1" max="1"/>
    <col width="15.140625" customWidth="1" min="2" max="2"/>
    <col width="9.140625" customWidth="1" min="4" max="4"/>
    <col width="12" bestFit="1" customWidth="1" min="5" max="5"/>
  </cols>
  <sheetData>
    <row r="1">
      <c r="A1" s="6" t="inlineStr">
        <is>
          <t>Unit: 2012 USD</t>
        </is>
      </c>
      <c r="B1" s="5" t="inlineStr">
        <is>
          <t>GDP  {2025+ recomputed: AEO 2026 ELECTRNP real-GDP growth, 2025 spliced vs AEO 2025 (consistent with the Table-23 industrial rates); &lt;=2024 unchanged BEA-anchored history}</t>
        </is>
      </c>
    </row>
    <row r="2">
      <c r="A2" t="n">
        <v>2024</v>
      </c>
      <c r="B2" s="18">
        <f>'BEA Data'!G5*10^6</f>
        <v/>
      </c>
      <c r="F2" s="16" t="n"/>
    </row>
    <row r="3">
      <c r="A3" t="n">
        <v>2025</v>
      </c>
      <c r="B3" s="19">
        <f>B2*(1+(('AEO 2026 Table 20'!E6-'AEO 2025 Table 20'!F6)/'AEO 2025 Table 20'!F6))</f>
        <v/>
      </c>
      <c r="F3" s="16" t="n"/>
    </row>
    <row r="4">
      <c r="A4" t="n">
        <v>2026</v>
      </c>
      <c r="B4" s="19">
        <f>B3*(1+('AEO 2026 Table 20'!F6/'AEO 2026 Table 20'!E6-1))</f>
        <v/>
      </c>
      <c r="F4" s="16" t="n"/>
    </row>
    <row r="5">
      <c r="A5" t="n">
        <v>2027</v>
      </c>
      <c r="B5" s="19">
        <f>B4*(1+('AEO 2026 Table 20'!G6/'AEO 2026 Table 20'!F6-1))</f>
        <v/>
      </c>
      <c r="F5" s="16" t="n"/>
    </row>
    <row r="6">
      <c r="A6" t="n">
        <v>2028</v>
      </c>
      <c r="B6" s="19">
        <f>B5*(1+('AEO 2026 Table 20'!H6/'AEO 2026 Table 20'!G6-1))</f>
        <v/>
      </c>
      <c r="F6" s="16" t="n"/>
    </row>
    <row r="7">
      <c r="A7" t="n">
        <v>2029</v>
      </c>
      <c r="B7" s="19">
        <f>B6*(1+('AEO 2026 Table 20'!I6/'AEO 2026 Table 20'!H6-1))</f>
        <v/>
      </c>
      <c r="F7" s="16" t="n"/>
    </row>
    <row r="8">
      <c r="A8" t="n">
        <v>2030</v>
      </c>
      <c r="B8" s="19">
        <f>B7*(1+('AEO 2026 Table 20'!J6/'AEO 2026 Table 20'!I6-1))</f>
        <v/>
      </c>
      <c r="F8" s="16" t="n"/>
    </row>
    <row r="9">
      <c r="A9" t="n">
        <v>2031</v>
      </c>
      <c r="B9" s="19">
        <f>B8*(1+('AEO 2026 Table 20'!K6/'AEO 2026 Table 20'!J6-1))</f>
        <v/>
      </c>
      <c r="F9" s="16" t="n"/>
    </row>
    <row r="10">
      <c r="A10" t="n">
        <v>2032</v>
      </c>
      <c r="B10" s="19">
        <f>B9*(1+('AEO 2026 Table 20'!L6/'AEO 2026 Table 20'!K6-1))</f>
        <v/>
      </c>
      <c r="F10" s="16" t="n"/>
    </row>
    <row r="11">
      <c r="A11" t="n">
        <v>2033</v>
      </c>
      <c r="B11" s="19">
        <f>B10*(1+('AEO 2026 Table 20'!M6/'AEO 2026 Table 20'!L6-1))</f>
        <v/>
      </c>
      <c r="F11" s="16" t="n"/>
    </row>
    <row r="12">
      <c r="A12" t="n">
        <v>2034</v>
      </c>
      <c r="B12" s="19">
        <f>B11*(1+('AEO 2026 Table 20'!N6/'AEO 2026 Table 20'!M6-1))</f>
        <v/>
      </c>
      <c r="F12" s="16" t="n"/>
    </row>
    <row r="13">
      <c r="A13" t="n">
        <v>2035</v>
      </c>
      <c r="B13" s="19">
        <f>B12*(1+('AEO 2026 Table 20'!O6/'AEO 2026 Table 20'!N6-1))</f>
        <v/>
      </c>
      <c r="F13" s="16" t="n"/>
    </row>
    <row r="14">
      <c r="A14" t="n">
        <v>2036</v>
      </c>
      <c r="B14" s="19">
        <f>B13*(1+('AEO 2026 Table 20'!P6/'AEO 2026 Table 20'!O6-1))</f>
        <v/>
      </c>
      <c r="F14" s="16" t="n"/>
    </row>
    <row r="15">
      <c r="A15" t="n">
        <v>2037</v>
      </c>
      <c r="B15" s="19">
        <f>B14*(1+('AEO 2026 Table 20'!Q6/'AEO 2026 Table 20'!P6-1))</f>
        <v/>
      </c>
      <c r="F15" s="16" t="n"/>
    </row>
    <row r="16">
      <c r="A16" t="n">
        <v>2038</v>
      </c>
      <c r="B16" s="19">
        <f>B15*(1+('AEO 2026 Table 20'!R6/'AEO 2026 Table 20'!Q6-1))</f>
        <v/>
      </c>
      <c r="F16" s="16" t="n"/>
    </row>
    <row r="17">
      <c r="A17" t="n">
        <v>2039</v>
      </c>
      <c r="B17" s="19">
        <f>B16*(1+('AEO 2026 Table 20'!S6/'AEO 2026 Table 20'!R6-1))</f>
        <v/>
      </c>
      <c r="F17" s="16" t="n"/>
    </row>
    <row r="18">
      <c r="A18" t="n">
        <v>2040</v>
      </c>
      <c r="B18" s="19">
        <f>B17*(1+('AEO 2026 Table 20'!T6/'AEO 2026 Table 20'!S6-1))</f>
        <v/>
      </c>
      <c r="F18" s="16" t="n"/>
    </row>
    <row r="19">
      <c r="A19" t="n">
        <v>2041</v>
      </c>
      <c r="B19" s="19">
        <f>B18*(1+('AEO 2026 Table 20'!U6/'AEO 2026 Table 20'!T6-1))</f>
        <v/>
      </c>
      <c r="F19" s="16" t="n"/>
    </row>
    <row r="20">
      <c r="A20" t="n">
        <v>2042</v>
      </c>
      <c r="B20" s="19">
        <f>B19*(1+('AEO 2026 Table 20'!V6/'AEO 2026 Table 20'!U6-1))</f>
        <v/>
      </c>
      <c r="F20" s="16" t="n"/>
    </row>
    <row r="21">
      <c r="A21" t="n">
        <v>2043</v>
      </c>
      <c r="B21" s="19">
        <f>B20*(1+('AEO 2026 Table 20'!W6/'AEO 2026 Table 20'!V6-1))</f>
        <v/>
      </c>
      <c r="F21" s="16" t="n"/>
    </row>
    <row r="22">
      <c r="A22" t="n">
        <v>2044</v>
      </c>
      <c r="B22" s="19">
        <f>B21*(1+('AEO 2026 Table 20'!X6/'AEO 2026 Table 20'!W6-1))</f>
        <v/>
      </c>
      <c r="F22" s="16" t="n"/>
    </row>
    <row r="23">
      <c r="A23" t="n">
        <v>2045</v>
      </c>
      <c r="B23" s="19">
        <f>B22*(1+('AEO 2026 Table 20'!Y6/'AEO 2026 Table 20'!X6-1))</f>
        <v/>
      </c>
      <c r="F23" s="16" t="n"/>
    </row>
    <row r="24">
      <c r="A24" t="n">
        <v>2046</v>
      </c>
      <c r="B24" s="19">
        <f>B23*(1+('AEO 2026 Table 20'!Z6/'AEO 2026 Table 20'!Y6-1))</f>
        <v/>
      </c>
      <c r="F24" s="16" t="n"/>
    </row>
    <row r="25">
      <c r="A25" t="n">
        <v>2047</v>
      </c>
      <c r="B25" s="19">
        <f>B24*(1+('AEO 2026 Table 20'!AA6/'AEO 2026 Table 20'!Z6-1))</f>
        <v/>
      </c>
      <c r="F25" s="16" t="n"/>
    </row>
    <row r="26">
      <c r="A26" t="n">
        <v>2048</v>
      </c>
      <c r="B26" s="19">
        <f>B25*(1+('AEO 2026 Table 20'!AB6/'AEO 2026 Table 20'!AA6-1))</f>
        <v/>
      </c>
      <c r="F26" s="16" t="n"/>
    </row>
    <row r="27">
      <c r="A27" t="n">
        <v>2049</v>
      </c>
      <c r="B27" s="19">
        <f>B26*(1+('AEO 2026 Table 20'!AC6/'AEO 2026 Table 20'!AB6-1))</f>
        <v/>
      </c>
      <c r="F27" s="16" t="n"/>
    </row>
    <row r="28">
      <c r="A28" t="n">
        <v>2050</v>
      </c>
      <c r="B28" s="19">
        <f>B27*(1+('AEO 2026 Table 20'!AD6/'AEO 2026 Table 20'!AC6-1))</f>
        <v/>
      </c>
      <c r="F28" s="16" t="n"/>
    </row>
    <row r="29">
      <c r="D29" s="13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2026-07-20T16:47:06Z</dcterms:modified>
  <cp:lastModifiedBy>Olivia Ashmoore</cp:lastModifiedBy>
</cp:coreProperties>
</file>